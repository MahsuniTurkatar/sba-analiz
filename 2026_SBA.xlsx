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C0E42BF3-9897-40F1-ABF0-D617112C50BC}" xr6:coauthVersionLast="47" xr6:coauthVersionMax="47" xr10:uidLastSave="{00000000-0000-0000-0000-000000000000}"/>
  <bookViews>
    <workbookView xWindow="-120" yWindow="-120" windowWidth="29040" windowHeight="16440" tabRatio="587"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Birim!$B$5:$P$85</definedName>
    <definedName name="_xlnm._FilterDatabase" localSheetId="6" hidden="1">Sorumlu!$B$5:$P$334</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62" i="10" l="1"/>
  <c r="B62" i="10"/>
  <c r="C61" i="10"/>
  <c r="B61" i="10"/>
  <c r="C60" i="10"/>
  <c r="B60" i="10"/>
  <c r="C59" i="10"/>
  <c r="B59" i="10"/>
  <c r="C58" i="10"/>
  <c r="B58" i="10"/>
  <c r="C57" i="10"/>
  <c r="B57" i="10"/>
  <c r="C56" i="10"/>
  <c r="B56" i="10"/>
  <c r="C55" i="10"/>
  <c r="B55" i="10"/>
  <c r="C54" i="10"/>
  <c r="B54" i="10"/>
  <c r="C53" i="10"/>
  <c r="B53" i="10"/>
  <c r="C52" i="10"/>
  <c r="B52" i="10"/>
  <c r="C51" i="10"/>
  <c r="B51" i="10"/>
  <c r="C50" i="10"/>
  <c r="B50" i="10"/>
  <c r="C49" i="10"/>
  <c r="B49" i="10"/>
  <c r="C48" i="10"/>
  <c r="B48" i="10"/>
  <c r="C47" i="10"/>
  <c r="B47" i="10"/>
  <c r="C46" i="10"/>
  <c r="B46" i="10"/>
  <c r="C45" i="10"/>
  <c r="B45" i="10"/>
  <c r="C44" i="10"/>
  <c r="B44" i="10"/>
  <c r="C43" i="10"/>
  <c r="B43" i="10"/>
  <c r="C42" i="10"/>
  <c r="B42" i="10"/>
  <c r="C41" i="10"/>
  <c r="B41" i="10"/>
  <c r="C40" i="10"/>
  <c r="B40" i="10"/>
  <c r="C39" i="10"/>
  <c r="B39" i="10"/>
  <c r="C38" i="10"/>
  <c r="B38" i="10"/>
  <c r="C37" i="10"/>
  <c r="B37" i="10"/>
  <c r="C36" i="10"/>
  <c r="B36" i="10"/>
  <c r="C35" i="10"/>
  <c r="B35" i="10"/>
  <c r="C34" i="10"/>
  <c r="B34" i="10"/>
  <c r="C33" i="10"/>
  <c r="B33" i="10"/>
  <c r="C32" i="10"/>
  <c r="B32" i="10"/>
  <c r="C31" i="10"/>
  <c r="B31" i="10"/>
  <c r="C30" i="10"/>
  <c r="B30" i="10"/>
  <c r="C29" i="10"/>
  <c r="B29" i="10"/>
  <c r="C28" i="10"/>
  <c r="B28"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H5" i="8"/>
  <c r="P506" i="7"/>
  <c r="O506" i="7"/>
  <c r="N506" i="7"/>
  <c r="M506" i="7"/>
  <c r="L506" i="7"/>
  <c r="K506" i="7"/>
  <c r="J506" i="7"/>
  <c r="I506" i="7"/>
  <c r="H506" i="7"/>
  <c r="G506" i="7"/>
  <c r="F506" i="7"/>
  <c r="D506" i="7"/>
  <c r="Q6" i="7" a="1"/>
  <c r="Q6" i="7" s="1"/>
  <c r="P3" i="6"/>
  <c r="O3" i="6"/>
  <c r="N3" i="6"/>
  <c r="M3" i="6"/>
  <c r="L3" i="6"/>
  <c r="K3" i="6"/>
  <c r="J3" i="6"/>
  <c r="I3" i="6"/>
  <c r="H3" i="6"/>
  <c r="G3" i="6"/>
  <c r="F3" i="6"/>
  <c r="E3" i="6"/>
  <c r="D3" i="6"/>
  <c r="C3" i="6"/>
  <c r="B3" i="6"/>
  <c r="P156" i="5"/>
  <c r="O156" i="5"/>
  <c r="N156" i="5"/>
  <c r="M156" i="5"/>
  <c r="L156" i="5"/>
  <c r="K156" i="5"/>
  <c r="J156" i="5"/>
  <c r="I156" i="5"/>
  <c r="H156" i="5"/>
  <c r="G156" i="5"/>
  <c r="F156" i="5"/>
  <c r="D156" i="5"/>
  <c r="Q6" i="5" a="1"/>
  <c r="Q6" i="5" s="1"/>
  <c r="C35" i="4"/>
  <c r="C34" i="4"/>
  <c r="C33" i="4"/>
  <c r="C32" i="4"/>
  <c r="C31" i="4"/>
  <c r="C30" i="4"/>
  <c r="C29" i="4"/>
  <c r="C28" i="4"/>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K20" i="3"/>
  <c r="J20" i="3"/>
  <c r="I20" i="3"/>
  <c r="H20" i="3"/>
  <c r="G20" i="3"/>
  <c r="F20" i="3"/>
  <c r="E20" i="3"/>
  <c r="D20" i="3"/>
  <c r="C20" i="3"/>
  <c r="A20" i="3"/>
  <c r="K19" i="3"/>
  <c r="J19" i="3"/>
  <c r="I19" i="3"/>
  <c r="H19" i="3"/>
  <c r="G19" i="3"/>
  <c r="F19" i="3"/>
  <c r="E19" i="3"/>
  <c r="D19" i="3"/>
  <c r="C19" i="3"/>
  <c r="A19" i="3"/>
  <c r="K18" i="3"/>
  <c r="J18" i="3"/>
  <c r="I18" i="3"/>
  <c r="H18" i="3"/>
  <c r="G18" i="3"/>
  <c r="F18" i="3"/>
  <c r="E18" i="3"/>
  <c r="D18" i="3"/>
  <c r="C18" i="3"/>
  <c r="A18" i="3"/>
  <c r="K17" i="3"/>
  <c r="J17" i="3"/>
  <c r="I17" i="3"/>
  <c r="H17" i="3"/>
  <c r="G17" i="3"/>
  <c r="F17" i="3"/>
  <c r="E17" i="3"/>
  <c r="D17" i="3"/>
  <c r="C17" i="3"/>
  <c r="A17" i="3"/>
  <c r="K16" i="3"/>
  <c r="J16" i="3"/>
  <c r="I16" i="3"/>
  <c r="H16" i="3"/>
  <c r="G16" i="3"/>
  <c r="F16" i="3"/>
  <c r="E16" i="3"/>
  <c r="D16" i="3"/>
  <c r="C16" i="3"/>
  <c r="A16" i="3"/>
  <c r="K15" i="3"/>
  <c r="J15" i="3"/>
  <c r="I15" i="3"/>
  <c r="H15" i="3"/>
  <c r="G15" i="3"/>
  <c r="F15" i="3"/>
  <c r="E15" i="3"/>
  <c r="D15" i="3"/>
  <c r="C15" i="3"/>
  <c r="A15" i="3"/>
  <c r="K14" i="3"/>
  <c r="J14" i="3"/>
  <c r="I14" i="3"/>
  <c r="H14" i="3"/>
  <c r="G14" i="3"/>
  <c r="F14" i="3"/>
  <c r="E14" i="3"/>
  <c r="D14" i="3"/>
  <c r="C14" i="3"/>
  <c r="A14" i="3"/>
  <c r="K13" i="3"/>
  <c r="J13" i="3"/>
  <c r="I13" i="3"/>
  <c r="H13" i="3"/>
  <c r="G13" i="3"/>
  <c r="F13" i="3"/>
  <c r="E13" i="3"/>
  <c r="D13" i="3"/>
  <c r="L13" i="3" s="1"/>
  <c r="M13" i="3" s="1"/>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H21" i="3" s="1"/>
  <c r="G4" i="3"/>
  <c r="F4" i="3"/>
  <c r="E4" i="3"/>
  <c r="E21" i="3" s="1"/>
  <c r="D4" i="3"/>
  <c r="C4" i="3"/>
  <c r="A4" i="3"/>
  <c r="B35" i="1"/>
  <c r="C31" i="1"/>
  <c r="C30" i="1"/>
  <c r="C29" i="1"/>
  <c r="C28" i="1"/>
  <c r="C25" i="1"/>
  <c r="C15" i="1"/>
  <c r="C8" i="1"/>
  <c r="C7" i="1"/>
  <c r="AA1799" i="2"/>
  <c r="AB1799" i="2" s="1"/>
  <c r="Y1799" i="2"/>
  <c r="Z1799" i="2" s="1"/>
  <c r="V1799" i="2"/>
  <c r="U1799" i="2"/>
  <c r="AA1798" i="2"/>
  <c r="AB1798" i="2" s="1"/>
  <c r="Y1798" i="2"/>
  <c r="Z1798" i="2" s="1"/>
  <c r="V1798" i="2"/>
  <c r="U1798" i="2"/>
  <c r="AA1797" i="2"/>
  <c r="AB1797" i="2" s="1"/>
  <c r="Y1797" i="2"/>
  <c r="Z1797" i="2" s="1"/>
  <c r="V1797" i="2"/>
  <c r="U1797" i="2"/>
  <c r="AA1796" i="2"/>
  <c r="AB1796" i="2" s="1"/>
  <c r="Y1796" i="2"/>
  <c r="Z1796" i="2" s="1"/>
  <c r="V1796" i="2"/>
  <c r="U1796" i="2"/>
  <c r="AA1795" i="2"/>
  <c r="AB1795" i="2" s="1"/>
  <c r="Y1795" i="2"/>
  <c r="Z1795" i="2" s="1"/>
  <c r="V1795" i="2"/>
  <c r="U1795" i="2"/>
  <c r="AA1794" i="2"/>
  <c r="AB1794" i="2" s="1"/>
  <c r="Y1794" i="2"/>
  <c r="Z1794" i="2" s="1"/>
  <c r="V1794" i="2"/>
  <c r="U1794" i="2"/>
  <c r="AA1793" i="2"/>
  <c r="AB1793" i="2" s="1"/>
  <c r="Y1793" i="2"/>
  <c r="Z1793" i="2" s="1"/>
  <c r="V1793" i="2"/>
  <c r="U1793" i="2"/>
  <c r="AA1792" i="2"/>
  <c r="AB1792" i="2" s="1"/>
  <c r="Y1792" i="2"/>
  <c r="Z1792" i="2" s="1"/>
  <c r="V1792" i="2"/>
  <c r="U1792" i="2"/>
  <c r="AA1791" i="2"/>
  <c r="AB1791" i="2" s="1"/>
  <c r="Y1791" i="2"/>
  <c r="Z1791" i="2" s="1"/>
  <c r="V1791" i="2"/>
  <c r="U1791" i="2"/>
  <c r="AA1790" i="2"/>
  <c r="AB1790" i="2" s="1"/>
  <c r="Y1790" i="2"/>
  <c r="Z1790" i="2" s="1"/>
  <c r="V1790" i="2"/>
  <c r="U1790" i="2"/>
  <c r="AA1789" i="2"/>
  <c r="AB1789" i="2" s="1"/>
  <c r="Y1789" i="2"/>
  <c r="Z1789" i="2" s="1"/>
  <c r="V1789" i="2"/>
  <c r="U1789" i="2"/>
  <c r="AA1788" i="2"/>
  <c r="AB1788" i="2" s="1"/>
  <c r="Y1788" i="2"/>
  <c r="Z1788" i="2" s="1"/>
  <c r="V1788" i="2"/>
  <c r="U1788" i="2"/>
  <c r="AA1787" i="2"/>
  <c r="AB1787" i="2" s="1"/>
  <c r="Y1787" i="2"/>
  <c r="Z1787" i="2" s="1"/>
  <c r="V1787" i="2"/>
  <c r="U1787" i="2"/>
  <c r="AA1786" i="2"/>
  <c r="AB1786" i="2" s="1"/>
  <c r="Y1786" i="2"/>
  <c r="Z1786" i="2" s="1"/>
  <c r="V1786" i="2"/>
  <c r="U1786" i="2"/>
  <c r="AA1785" i="2"/>
  <c r="AB1785" i="2" s="1"/>
  <c r="Y1785" i="2"/>
  <c r="Z1785" i="2" s="1"/>
  <c r="V1785" i="2"/>
  <c r="U1785" i="2"/>
  <c r="AA1784" i="2"/>
  <c r="AB1784" i="2" s="1"/>
  <c r="Y1784" i="2"/>
  <c r="Z1784" i="2" s="1"/>
  <c r="V1784" i="2"/>
  <c r="U1784" i="2"/>
  <c r="AA1783" i="2"/>
  <c r="AB1783" i="2" s="1"/>
  <c r="Y1783" i="2"/>
  <c r="Z1783" i="2" s="1"/>
  <c r="V1783" i="2"/>
  <c r="U1783" i="2"/>
  <c r="AA1782" i="2"/>
  <c r="AB1782" i="2" s="1"/>
  <c r="Y1782" i="2"/>
  <c r="Z1782" i="2" s="1"/>
  <c r="V1782" i="2"/>
  <c r="U1782" i="2"/>
  <c r="AA1781" i="2"/>
  <c r="AB1781" i="2" s="1"/>
  <c r="Y1781" i="2"/>
  <c r="Z1781" i="2" s="1"/>
  <c r="V1781" i="2"/>
  <c r="U1781" i="2"/>
  <c r="AA1780" i="2"/>
  <c r="AB1780" i="2" s="1"/>
  <c r="Y1780" i="2"/>
  <c r="Z1780" i="2" s="1"/>
  <c r="V1780" i="2"/>
  <c r="U1780" i="2"/>
  <c r="AA1779" i="2"/>
  <c r="AB1779" i="2" s="1"/>
  <c r="Y1779" i="2"/>
  <c r="Z1779" i="2" s="1"/>
  <c r="V1779" i="2"/>
  <c r="U1779" i="2"/>
  <c r="AA1778" i="2"/>
  <c r="AB1778" i="2" s="1"/>
  <c r="Y1778" i="2"/>
  <c r="Z1778" i="2" s="1"/>
  <c r="V1778" i="2"/>
  <c r="U1778" i="2"/>
  <c r="AA1777" i="2"/>
  <c r="AB1777" i="2" s="1"/>
  <c r="Y1777" i="2"/>
  <c r="Z1777" i="2" s="1"/>
  <c r="V1777" i="2"/>
  <c r="U1777" i="2"/>
  <c r="AA1776" i="2"/>
  <c r="AB1776" i="2" s="1"/>
  <c r="Y1776" i="2"/>
  <c r="Z1776" i="2" s="1"/>
  <c r="V1776" i="2"/>
  <c r="U1776" i="2"/>
  <c r="AA1775" i="2"/>
  <c r="AB1775" i="2" s="1"/>
  <c r="Y1775" i="2"/>
  <c r="Z1775" i="2" s="1"/>
  <c r="V1775" i="2"/>
  <c r="U1775" i="2"/>
  <c r="AA1774" i="2"/>
  <c r="AB1774" i="2" s="1"/>
  <c r="Y1774" i="2"/>
  <c r="Z1774" i="2" s="1"/>
  <c r="V1774" i="2"/>
  <c r="U1774" i="2"/>
  <c r="AA1773" i="2"/>
  <c r="AB1773" i="2" s="1"/>
  <c r="Y1773" i="2"/>
  <c r="Z1773" i="2" s="1"/>
  <c r="V1773" i="2"/>
  <c r="U1773" i="2"/>
  <c r="AA1772" i="2"/>
  <c r="AB1772" i="2" s="1"/>
  <c r="Y1772" i="2"/>
  <c r="Z1772" i="2" s="1"/>
  <c r="V1772" i="2"/>
  <c r="U1772" i="2"/>
  <c r="AA1771" i="2"/>
  <c r="AB1771" i="2" s="1"/>
  <c r="Y1771" i="2"/>
  <c r="Z1771" i="2" s="1"/>
  <c r="V1771" i="2"/>
  <c r="U1771" i="2"/>
  <c r="AA1770" i="2"/>
  <c r="AB1770" i="2" s="1"/>
  <c r="Y1770" i="2"/>
  <c r="Z1770" i="2" s="1"/>
  <c r="V1770" i="2"/>
  <c r="U1770" i="2"/>
  <c r="AA1769" i="2"/>
  <c r="AB1769" i="2" s="1"/>
  <c r="Y1769" i="2"/>
  <c r="Z1769" i="2" s="1"/>
  <c r="V1769" i="2"/>
  <c r="U1769" i="2"/>
  <c r="AA1768" i="2"/>
  <c r="AB1768" i="2" s="1"/>
  <c r="Y1768" i="2"/>
  <c r="Z1768" i="2" s="1"/>
  <c r="V1768" i="2"/>
  <c r="U1768" i="2"/>
  <c r="AA1767" i="2"/>
  <c r="AB1767" i="2" s="1"/>
  <c r="Y1767" i="2"/>
  <c r="Z1767" i="2" s="1"/>
  <c r="V1767" i="2"/>
  <c r="U1767" i="2"/>
  <c r="AA1766" i="2"/>
  <c r="AB1766" i="2" s="1"/>
  <c r="Y1766" i="2"/>
  <c r="Z1766" i="2" s="1"/>
  <c r="V1766" i="2"/>
  <c r="U1766" i="2"/>
  <c r="AA1765" i="2"/>
  <c r="AB1765" i="2" s="1"/>
  <c r="Y1765" i="2"/>
  <c r="Z1765" i="2" s="1"/>
  <c r="V1765" i="2"/>
  <c r="U1765" i="2"/>
  <c r="AA1764" i="2"/>
  <c r="AB1764" i="2" s="1"/>
  <c r="Y1764" i="2"/>
  <c r="Z1764" i="2" s="1"/>
  <c r="V1764" i="2"/>
  <c r="U1764" i="2"/>
  <c r="AA1763" i="2"/>
  <c r="AB1763" i="2" s="1"/>
  <c r="Y1763" i="2"/>
  <c r="Z1763" i="2" s="1"/>
  <c r="V1763" i="2"/>
  <c r="U1763" i="2"/>
  <c r="AA1762" i="2"/>
  <c r="AB1762" i="2" s="1"/>
  <c r="Y1762" i="2"/>
  <c r="Z1762" i="2" s="1"/>
  <c r="V1762" i="2"/>
  <c r="U1762" i="2"/>
  <c r="AA1761" i="2"/>
  <c r="AB1761" i="2" s="1"/>
  <c r="Y1761" i="2"/>
  <c r="Z1761" i="2" s="1"/>
  <c r="V1761" i="2"/>
  <c r="U1761" i="2"/>
  <c r="AA1760" i="2"/>
  <c r="AB1760" i="2" s="1"/>
  <c r="Y1760" i="2"/>
  <c r="Z1760" i="2" s="1"/>
  <c r="V1760" i="2"/>
  <c r="U1760" i="2"/>
  <c r="AA1759" i="2"/>
  <c r="AB1759" i="2" s="1"/>
  <c r="Y1759" i="2"/>
  <c r="Z1759" i="2" s="1"/>
  <c r="V1759" i="2"/>
  <c r="U1759" i="2"/>
  <c r="AA1758" i="2"/>
  <c r="AB1758" i="2" s="1"/>
  <c r="Y1758" i="2"/>
  <c r="Z1758" i="2" s="1"/>
  <c r="V1758" i="2"/>
  <c r="U1758" i="2"/>
  <c r="AA1757" i="2"/>
  <c r="AB1757" i="2" s="1"/>
  <c r="Y1757" i="2"/>
  <c r="Z1757" i="2" s="1"/>
  <c r="V1757" i="2"/>
  <c r="U1757" i="2"/>
  <c r="AA1756" i="2"/>
  <c r="AB1756" i="2" s="1"/>
  <c r="Y1756" i="2"/>
  <c r="Z1756" i="2" s="1"/>
  <c r="V1756" i="2"/>
  <c r="U1756" i="2"/>
  <c r="AA1755" i="2"/>
  <c r="AB1755" i="2" s="1"/>
  <c r="Y1755" i="2"/>
  <c r="Z1755" i="2" s="1"/>
  <c r="V1755" i="2"/>
  <c r="U1755" i="2"/>
  <c r="AA1754" i="2"/>
  <c r="AB1754" i="2" s="1"/>
  <c r="Y1754" i="2"/>
  <c r="Z1754" i="2" s="1"/>
  <c r="V1754" i="2"/>
  <c r="U1754" i="2"/>
  <c r="AA1753" i="2"/>
  <c r="AB1753" i="2" s="1"/>
  <c r="Y1753" i="2"/>
  <c r="Z1753" i="2" s="1"/>
  <c r="V1753" i="2"/>
  <c r="U1753" i="2"/>
  <c r="AA1752" i="2"/>
  <c r="AB1752" i="2" s="1"/>
  <c r="Y1752" i="2"/>
  <c r="Z1752" i="2" s="1"/>
  <c r="V1752" i="2"/>
  <c r="U1752" i="2"/>
  <c r="AA1751" i="2"/>
  <c r="AB1751" i="2" s="1"/>
  <c r="Y1751" i="2"/>
  <c r="Z1751" i="2" s="1"/>
  <c r="V1751" i="2"/>
  <c r="U1751" i="2"/>
  <c r="AA1750" i="2"/>
  <c r="AB1750" i="2" s="1"/>
  <c r="Y1750" i="2"/>
  <c r="Z1750" i="2" s="1"/>
  <c r="V1750" i="2"/>
  <c r="U1750" i="2"/>
  <c r="AA1749" i="2"/>
  <c r="AB1749" i="2" s="1"/>
  <c r="Y1749" i="2"/>
  <c r="Z1749" i="2" s="1"/>
  <c r="V1749" i="2"/>
  <c r="U1749" i="2"/>
  <c r="AA1748" i="2"/>
  <c r="AB1748" i="2" s="1"/>
  <c r="Y1748" i="2"/>
  <c r="Z1748" i="2" s="1"/>
  <c r="V1748" i="2"/>
  <c r="U1748" i="2"/>
  <c r="AA1747" i="2"/>
  <c r="AB1747" i="2" s="1"/>
  <c r="Y1747" i="2"/>
  <c r="Z1747" i="2" s="1"/>
  <c r="V1747" i="2"/>
  <c r="U1747" i="2"/>
  <c r="AA1746" i="2"/>
  <c r="AB1746" i="2" s="1"/>
  <c r="Y1746" i="2"/>
  <c r="Z1746" i="2" s="1"/>
  <c r="V1746" i="2"/>
  <c r="U1746" i="2"/>
  <c r="AA1745" i="2"/>
  <c r="AB1745" i="2" s="1"/>
  <c r="Y1745" i="2"/>
  <c r="Z1745" i="2" s="1"/>
  <c r="V1745" i="2"/>
  <c r="U1745" i="2"/>
  <c r="AA1744" i="2"/>
  <c r="AB1744" i="2" s="1"/>
  <c r="Y1744" i="2"/>
  <c r="Z1744" i="2" s="1"/>
  <c r="V1744" i="2"/>
  <c r="U1744" i="2"/>
  <c r="AA1743" i="2"/>
  <c r="AB1743" i="2" s="1"/>
  <c r="Y1743" i="2"/>
  <c r="Z1743" i="2" s="1"/>
  <c r="V1743" i="2"/>
  <c r="U1743" i="2"/>
  <c r="AA1742" i="2"/>
  <c r="AB1742" i="2" s="1"/>
  <c r="Y1742" i="2"/>
  <c r="Z1742" i="2" s="1"/>
  <c r="V1742" i="2"/>
  <c r="U1742" i="2"/>
  <c r="AA1741" i="2"/>
  <c r="AB1741" i="2" s="1"/>
  <c r="Y1741" i="2"/>
  <c r="Z1741" i="2" s="1"/>
  <c r="V1741" i="2"/>
  <c r="U1741" i="2"/>
  <c r="AA1740" i="2"/>
  <c r="AB1740" i="2" s="1"/>
  <c r="Y1740" i="2"/>
  <c r="Z1740" i="2" s="1"/>
  <c r="V1740" i="2"/>
  <c r="U1740" i="2"/>
  <c r="AA1739" i="2"/>
  <c r="AB1739" i="2" s="1"/>
  <c r="Y1739" i="2"/>
  <c r="Z1739" i="2" s="1"/>
  <c r="V1739" i="2"/>
  <c r="U1739" i="2"/>
  <c r="AA1738" i="2"/>
  <c r="AB1738" i="2" s="1"/>
  <c r="Y1738" i="2"/>
  <c r="Z1738" i="2" s="1"/>
  <c r="V1738" i="2"/>
  <c r="U1738" i="2"/>
  <c r="AA1737" i="2"/>
  <c r="AB1737" i="2" s="1"/>
  <c r="Y1737" i="2"/>
  <c r="Z1737" i="2" s="1"/>
  <c r="V1737" i="2"/>
  <c r="U1737" i="2"/>
  <c r="AA1736" i="2"/>
  <c r="AB1736" i="2" s="1"/>
  <c r="Y1736" i="2"/>
  <c r="Z1736" i="2" s="1"/>
  <c r="V1736" i="2"/>
  <c r="U1736" i="2"/>
  <c r="AA1735" i="2"/>
  <c r="AB1735" i="2" s="1"/>
  <c r="Y1735" i="2"/>
  <c r="Z1735" i="2" s="1"/>
  <c r="V1735" i="2"/>
  <c r="U1735" i="2"/>
  <c r="AA1734" i="2"/>
  <c r="AB1734" i="2" s="1"/>
  <c r="Y1734" i="2"/>
  <c r="Z1734" i="2" s="1"/>
  <c r="V1734" i="2"/>
  <c r="U1734" i="2"/>
  <c r="AA1733" i="2"/>
  <c r="AB1733" i="2" s="1"/>
  <c r="Y1733" i="2"/>
  <c r="Z1733" i="2" s="1"/>
  <c r="V1733" i="2"/>
  <c r="U1733" i="2"/>
  <c r="AA1732" i="2"/>
  <c r="AB1732" i="2" s="1"/>
  <c r="Y1732" i="2"/>
  <c r="Z1732" i="2" s="1"/>
  <c r="V1732" i="2"/>
  <c r="U1732" i="2"/>
  <c r="AA1731" i="2"/>
  <c r="AB1731" i="2" s="1"/>
  <c r="Y1731" i="2"/>
  <c r="Z1731" i="2" s="1"/>
  <c r="V1731" i="2"/>
  <c r="U1731" i="2"/>
  <c r="AA1730" i="2"/>
  <c r="AB1730" i="2" s="1"/>
  <c r="Y1730" i="2"/>
  <c r="Z1730" i="2" s="1"/>
  <c r="V1730" i="2"/>
  <c r="U1730" i="2"/>
  <c r="AA1729" i="2"/>
  <c r="AB1729" i="2" s="1"/>
  <c r="Y1729" i="2"/>
  <c r="Z1729" i="2" s="1"/>
  <c r="V1729" i="2"/>
  <c r="U1729" i="2"/>
  <c r="AA1728" i="2"/>
  <c r="AB1728" i="2" s="1"/>
  <c r="Y1728" i="2"/>
  <c r="Z1728" i="2" s="1"/>
  <c r="V1728" i="2"/>
  <c r="U1728" i="2"/>
  <c r="AA1727" i="2"/>
  <c r="AB1727" i="2" s="1"/>
  <c r="Y1727" i="2"/>
  <c r="Z1727" i="2" s="1"/>
  <c r="V1727" i="2"/>
  <c r="U1727" i="2"/>
  <c r="AA1726" i="2"/>
  <c r="AB1726" i="2" s="1"/>
  <c r="Y1726" i="2"/>
  <c r="Z1726" i="2" s="1"/>
  <c r="V1726" i="2"/>
  <c r="U1726" i="2"/>
  <c r="AA1725" i="2"/>
  <c r="AB1725" i="2" s="1"/>
  <c r="Y1725" i="2"/>
  <c r="Z1725" i="2" s="1"/>
  <c r="V1725" i="2"/>
  <c r="U1725" i="2"/>
  <c r="AA1724" i="2"/>
  <c r="AB1724" i="2" s="1"/>
  <c r="Y1724" i="2"/>
  <c r="Z1724" i="2" s="1"/>
  <c r="V1724" i="2"/>
  <c r="U1724" i="2"/>
  <c r="AA1723" i="2"/>
  <c r="AB1723" i="2" s="1"/>
  <c r="Y1723" i="2"/>
  <c r="Z1723" i="2" s="1"/>
  <c r="V1723" i="2"/>
  <c r="U1723" i="2"/>
  <c r="AA1722" i="2"/>
  <c r="AB1722" i="2" s="1"/>
  <c r="Y1722" i="2"/>
  <c r="Z1722" i="2" s="1"/>
  <c r="V1722" i="2"/>
  <c r="U1722" i="2"/>
  <c r="AA1721" i="2"/>
  <c r="AB1721" i="2" s="1"/>
  <c r="Y1721" i="2"/>
  <c r="Z1721" i="2" s="1"/>
  <c r="V1721" i="2"/>
  <c r="U1721" i="2"/>
  <c r="AA1720" i="2"/>
  <c r="AB1720" i="2" s="1"/>
  <c r="Y1720" i="2"/>
  <c r="Z1720" i="2" s="1"/>
  <c r="V1720" i="2"/>
  <c r="U1720" i="2"/>
  <c r="AA1719" i="2"/>
  <c r="AB1719" i="2" s="1"/>
  <c r="Y1719" i="2"/>
  <c r="Z1719" i="2" s="1"/>
  <c r="V1719" i="2"/>
  <c r="U1719" i="2"/>
  <c r="AA1718" i="2"/>
  <c r="AB1718" i="2" s="1"/>
  <c r="Y1718" i="2"/>
  <c r="Z1718" i="2" s="1"/>
  <c r="V1718" i="2"/>
  <c r="U1718" i="2"/>
  <c r="AA1717" i="2"/>
  <c r="AB1717" i="2" s="1"/>
  <c r="Y1717" i="2"/>
  <c r="Z1717" i="2" s="1"/>
  <c r="V1717" i="2"/>
  <c r="U1717" i="2"/>
  <c r="AA1716" i="2"/>
  <c r="AB1716" i="2" s="1"/>
  <c r="Y1716" i="2"/>
  <c r="Z1716" i="2" s="1"/>
  <c r="V1716" i="2"/>
  <c r="U1716" i="2"/>
  <c r="AA1715" i="2"/>
  <c r="AB1715" i="2" s="1"/>
  <c r="Y1715" i="2"/>
  <c r="Z1715" i="2" s="1"/>
  <c r="V1715" i="2"/>
  <c r="U1715" i="2"/>
  <c r="AA1714" i="2"/>
  <c r="AB1714" i="2" s="1"/>
  <c r="Y1714" i="2"/>
  <c r="Z1714" i="2" s="1"/>
  <c r="V1714" i="2"/>
  <c r="U1714" i="2"/>
  <c r="AA1713" i="2"/>
  <c r="AB1713" i="2" s="1"/>
  <c r="Y1713" i="2"/>
  <c r="Z1713" i="2" s="1"/>
  <c r="V1713" i="2"/>
  <c r="U1713" i="2"/>
  <c r="AA1712" i="2"/>
  <c r="AB1712" i="2" s="1"/>
  <c r="Y1712" i="2"/>
  <c r="Z1712" i="2" s="1"/>
  <c r="V1712" i="2"/>
  <c r="U1712" i="2"/>
  <c r="AA1711" i="2"/>
  <c r="AB1711" i="2" s="1"/>
  <c r="Y1711" i="2"/>
  <c r="Z1711" i="2" s="1"/>
  <c r="V1711" i="2"/>
  <c r="U1711" i="2"/>
  <c r="AA1710" i="2"/>
  <c r="AB1710" i="2" s="1"/>
  <c r="Y1710" i="2"/>
  <c r="Z1710" i="2" s="1"/>
  <c r="V1710" i="2"/>
  <c r="U1710" i="2"/>
  <c r="AA1709" i="2"/>
  <c r="AB1709" i="2" s="1"/>
  <c r="Y1709" i="2"/>
  <c r="Z1709" i="2" s="1"/>
  <c r="V1709" i="2"/>
  <c r="U1709" i="2"/>
  <c r="AA1708" i="2"/>
  <c r="AB1708" i="2" s="1"/>
  <c r="Y1708" i="2"/>
  <c r="Z1708" i="2" s="1"/>
  <c r="V1708" i="2"/>
  <c r="U1708" i="2"/>
  <c r="AA1707" i="2"/>
  <c r="AB1707" i="2" s="1"/>
  <c r="Y1707" i="2"/>
  <c r="Z1707" i="2" s="1"/>
  <c r="V1707" i="2"/>
  <c r="U1707" i="2"/>
  <c r="AA1706" i="2"/>
  <c r="AB1706" i="2" s="1"/>
  <c r="Y1706" i="2"/>
  <c r="Z1706" i="2" s="1"/>
  <c r="V1706" i="2"/>
  <c r="U1706" i="2"/>
  <c r="AA1705" i="2"/>
  <c r="AB1705" i="2" s="1"/>
  <c r="Y1705" i="2"/>
  <c r="Z1705" i="2" s="1"/>
  <c r="V1705" i="2"/>
  <c r="U1705" i="2"/>
  <c r="AA1704" i="2"/>
  <c r="AB1704" i="2" s="1"/>
  <c r="Y1704" i="2"/>
  <c r="Z1704" i="2" s="1"/>
  <c r="V1704" i="2"/>
  <c r="U1704" i="2"/>
  <c r="AA1703" i="2"/>
  <c r="AB1703" i="2" s="1"/>
  <c r="Y1703" i="2"/>
  <c r="Z1703" i="2" s="1"/>
  <c r="V1703" i="2"/>
  <c r="U1703" i="2"/>
  <c r="AA1702" i="2"/>
  <c r="AB1702" i="2" s="1"/>
  <c r="Y1702" i="2"/>
  <c r="Z1702" i="2" s="1"/>
  <c r="V1702" i="2"/>
  <c r="U1702" i="2"/>
  <c r="AA1701" i="2"/>
  <c r="AB1701" i="2" s="1"/>
  <c r="Y1701" i="2"/>
  <c r="Z1701" i="2" s="1"/>
  <c r="V1701" i="2"/>
  <c r="U1701" i="2"/>
  <c r="AA1700" i="2"/>
  <c r="AB1700" i="2" s="1"/>
  <c r="Y1700" i="2"/>
  <c r="Z1700" i="2" s="1"/>
  <c r="V1700" i="2"/>
  <c r="U1700" i="2"/>
  <c r="AA1699" i="2"/>
  <c r="AB1699" i="2" s="1"/>
  <c r="Y1699" i="2"/>
  <c r="Z1699" i="2" s="1"/>
  <c r="V1699" i="2"/>
  <c r="U1699" i="2"/>
  <c r="AA1698" i="2"/>
  <c r="AB1698" i="2" s="1"/>
  <c r="Y1698" i="2"/>
  <c r="Z1698" i="2" s="1"/>
  <c r="V1698" i="2"/>
  <c r="U1698" i="2"/>
  <c r="AA1697" i="2"/>
  <c r="AB1697" i="2" s="1"/>
  <c r="Y1697" i="2"/>
  <c r="Z1697" i="2" s="1"/>
  <c r="V1697" i="2"/>
  <c r="U1697" i="2"/>
  <c r="AA1696" i="2"/>
  <c r="AB1696" i="2" s="1"/>
  <c r="Y1696" i="2"/>
  <c r="Z1696" i="2" s="1"/>
  <c r="V1696" i="2"/>
  <c r="U1696" i="2"/>
  <c r="AA1695" i="2"/>
  <c r="AB1695" i="2" s="1"/>
  <c r="Y1695" i="2"/>
  <c r="Z1695" i="2" s="1"/>
  <c r="V1695" i="2"/>
  <c r="U1695" i="2"/>
  <c r="AA1694" i="2"/>
  <c r="AB1694" i="2" s="1"/>
  <c r="Y1694" i="2"/>
  <c r="Z1694" i="2" s="1"/>
  <c r="V1694" i="2"/>
  <c r="U1694" i="2"/>
  <c r="AA1693" i="2"/>
  <c r="AB1693" i="2" s="1"/>
  <c r="Y1693" i="2"/>
  <c r="Z1693" i="2" s="1"/>
  <c r="V1693" i="2"/>
  <c r="U1693" i="2"/>
  <c r="AA1692" i="2"/>
  <c r="AB1692" i="2" s="1"/>
  <c r="Y1692" i="2"/>
  <c r="Z1692" i="2" s="1"/>
  <c r="V1692" i="2"/>
  <c r="U1692" i="2"/>
  <c r="AA1691" i="2"/>
  <c r="AB1691" i="2" s="1"/>
  <c r="Y1691" i="2"/>
  <c r="Z1691" i="2" s="1"/>
  <c r="V1691" i="2"/>
  <c r="U1691" i="2"/>
  <c r="AA1690" i="2"/>
  <c r="AB1690" i="2" s="1"/>
  <c r="Y1690" i="2"/>
  <c r="Z1690" i="2" s="1"/>
  <c r="V1690" i="2"/>
  <c r="U1690" i="2"/>
  <c r="AA1689" i="2"/>
  <c r="AB1689" i="2" s="1"/>
  <c r="Y1689" i="2"/>
  <c r="Z1689" i="2" s="1"/>
  <c r="V1689" i="2"/>
  <c r="U1689" i="2"/>
  <c r="AA1688" i="2"/>
  <c r="AB1688" i="2" s="1"/>
  <c r="Y1688" i="2"/>
  <c r="Z1688" i="2" s="1"/>
  <c r="V1688" i="2"/>
  <c r="U1688" i="2"/>
  <c r="AA1687" i="2"/>
  <c r="AB1687" i="2" s="1"/>
  <c r="Y1687" i="2"/>
  <c r="Z1687" i="2" s="1"/>
  <c r="V1687" i="2"/>
  <c r="U1687" i="2"/>
  <c r="AA1686" i="2"/>
  <c r="AB1686" i="2" s="1"/>
  <c r="Y1686" i="2"/>
  <c r="Z1686" i="2" s="1"/>
  <c r="V1686" i="2"/>
  <c r="U1686" i="2"/>
  <c r="AA1685" i="2"/>
  <c r="AB1685" i="2" s="1"/>
  <c r="Y1685" i="2"/>
  <c r="Z1685" i="2" s="1"/>
  <c r="V1685" i="2"/>
  <c r="U1685" i="2"/>
  <c r="AA1684" i="2"/>
  <c r="AB1684" i="2" s="1"/>
  <c r="Y1684" i="2"/>
  <c r="Z1684" i="2" s="1"/>
  <c r="V1684" i="2"/>
  <c r="U1684" i="2"/>
  <c r="AA1683" i="2"/>
  <c r="AB1683" i="2" s="1"/>
  <c r="Y1683" i="2"/>
  <c r="Z1683" i="2" s="1"/>
  <c r="V1683" i="2"/>
  <c r="U1683" i="2"/>
  <c r="AA1682" i="2"/>
  <c r="AB1682" i="2" s="1"/>
  <c r="Y1682" i="2"/>
  <c r="Z1682" i="2" s="1"/>
  <c r="V1682" i="2"/>
  <c r="U1682" i="2"/>
  <c r="AA1681" i="2"/>
  <c r="AB1681" i="2" s="1"/>
  <c r="Y1681" i="2"/>
  <c r="Z1681" i="2" s="1"/>
  <c r="V1681" i="2"/>
  <c r="U1681" i="2"/>
  <c r="AA1680" i="2"/>
  <c r="AB1680" i="2" s="1"/>
  <c r="Y1680" i="2"/>
  <c r="Z1680" i="2" s="1"/>
  <c r="V1680" i="2"/>
  <c r="U1680" i="2"/>
  <c r="AA1679" i="2"/>
  <c r="AB1679" i="2" s="1"/>
  <c r="Y1679" i="2"/>
  <c r="Z1679" i="2" s="1"/>
  <c r="V1679" i="2"/>
  <c r="U1679" i="2"/>
  <c r="AA1678" i="2"/>
  <c r="AB1678" i="2" s="1"/>
  <c r="Y1678" i="2"/>
  <c r="Z1678" i="2" s="1"/>
  <c r="V1678" i="2"/>
  <c r="U1678" i="2"/>
  <c r="AA1677" i="2"/>
  <c r="AB1677" i="2" s="1"/>
  <c r="Y1677" i="2"/>
  <c r="Z1677" i="2" s="1"/>
  <c r="V1677" i="2"/>
  <c r="U1677" i="2"/>
  <c r="AA1676" i="2"/>
  <c r="AB1676" i="2" s="1"/>
  <c r="Y1676" i="2"/>
  <c r="Z1676" i="2" s="1"/>
  <c r="V1676" i="2"/>
  <c r="U1676" i="2"/>
  <c r="AA1675" i="2"/>
  <c r="AB1675" i="2" s="1"/>
  <c r="Y1675" i="2"/>
  <c r="Z1675" i="2" s="1"/>
  <c r="V1675" i="2"/>
  <c r="U1675" i="2"/>
  <c r="AA1674" i="2"/>
  <c r="AB1674" i="2" s="1"/>
  <c r="Y1674" i="2"/>
  <c r="Z1674" i="2" s="1"/>
  <c r="V1674" i="2"/>
  <c r="U1674" i="2"/>
  <c r="AA1673" i="2"/>
  <c r="AB1673" i="2" s="1"/>
  <c r="Y1673" i="2"/>
  <c r="Z1673" i="2" s="1"/>
  <c r="V1673" i="2"/>
  <c r="U1673" i="2"/>
  <c r="AA1672" i="2"/>
  <c r="AB1672" i="2" s="1"/>
  <c r="Y1672" i="2"/>
  <c r="Z1672" i="2" s="1"/>
  <c r="V1672" i="2"/>
  <c r="U1672" i="2"/>
  <c r="AA1671" i="2"/>
  <c r="AB1671" i="2" s="1"/>
  <c r="Y1671" i="2"/>
  <c r="Z1671" i="2" s="1"/>
  <c r="V1671" i="2"/>
  <c r="U1671" i="2"/>
  <c r="AA1670" i="2"/>
  <c r="AB1670" i="2" s="1"/>
  <c r="Y1670" i="2"/>
  <c r="Z1670" i="2" s="1"/>
  <c r="V1670" i="2"/>
  <c r="U1670" i="2"/>
  <c r="AA1669" i="2"/>
  <c r="AB1669" i="2" s="1"/>
  <c r="Y1669" i="2"/>
  <c r="Z1669" i="2" s="1"/>
  <c r="V1669" i="2"/>
  <c r="U1669" i="2"/>
  <c r="AA1668" i="2"/>
  <c r="AB1668" i="2" s="1"/>
  <c r="Y1668" i="2"/>
  <c r="Z1668" i="2" s="1"/>
  <c r="V1668" i="2"/>
  <c r="U1668" i="2"/>
  <c r="AA1667" i="2"/>
  <c r="AB1667" i="2" s="1"/>
  <c r="Y1667" i="2"/>
  <c r="Z1667" i="2" s="1"/>
  <c r="V1667" i="2"/>
  <c r="U1667" i="2"/>
  <c r="AA1666" i="2"/>
  <c r="AB1666" i="2" s="1"/>
  <c r="Y1666" i="2"/>
  <c r="Z1666" i="2" s="1"/>
  <c r="V1666" i="2"/>
  <c r="U1666" i="2"/>
  <c r="AA1665" i="2"/>
  <c r="AB1665" i="2" s="1"/>
  <c r="Y1665" i="2"/>
  <c r="Z1665" i="2" s="1"/>
  <c r="V1665" i="2"/>
  <c r="U1665" i="2"/>
  <c r="AA1664" i="2"/>
  <c r="AB1664" i="2" s="1"/>
  <c r="Y1664" i="2"/>
  <c r="Z1664" i="2" s="1"/>
  <c r="V1664" i="2"/>
  <c r="U1664" i="2"/>
  <c r="AA1663" i="2"/>
  <c r="AB1663" i="2" s="1"/>
  <c r="Y1663" i="2"/>
  <c r="Z1663" i="2" s="1"/>
  <c r="V1663" i="2"/>
  <c r="U1663" i="2"/>
  <c r="AA1662" i="2"/>
  <c r="AB1662" i="2" s="1"/>
  <c r="Y1662" i="2"/>
  <c r="Z1662" i="2" s="1"/>
  <c r="V1662" i="2"/>
  <c r="U1662" i="2"/>
  <c r="AA1661" i="2"/>
  <c r="AB1661" i="2" s="1"/>
  <c r="Y1661" i="2"/>
  <c r="Z1661" i="2" s="1"/>
  <c r="V1661" i="2"/>
  <c r="U1661" i="2"/>
  <c r="AA1660" i="2"/>
  <c r="AB1660" i="2" s="1"/>
  <c r="Y1660" i="2"/>
  <c r="Z1660" i="2" s="1"/>
  <c r="V1660" i="2"/>
  <c r="U1660" i="2"/>
  <c r="AA1659" i="2"/>
  <c r="AB1659" i="2" s="1"/>
  <c r="Y1659" i="2"/>
  <c r="Z1659" i="2" s="1"/>
  <c r="V1659" i="2"/>
  <c r="U1659" i="2"/>
  <c r="AA1658" i="2"/>
  <c r="AB1658" i="2" s="1"/>
  <c r="Y1658" i="2"/>
  <c r="Z1658" i="2" s="1"/>
  <c r="V1658" i="2"/>
  <c r="U1658" i="2"/>
  <c r="AA1657" i="2"/>
  <c r="AB1657" i="2" s="1"/>
  <c r="Y1657" i="2"/>
  <c r="Z1657" i="2" s="1"/>
  <c r="V1657" i="2"/>
  <c r="U1657" i="2"/>
  <c r="AA1656" i="2"/>
  <c r="AB1656" i="2" s="1"/>
  <c r="Y1656" i="2"/>
  <c r="Z1656" i="2" s="1"/>
  <c r="V1656" i="2"/>
  <c r="U1656" i="2"/>
  <c r="AA1655" i="2"/>
  <c r="AB1655" i="2" s="1"/>
  <c r="Y1655" i="2"/>
  <c r="Z1655" i="2" s="1"/>
  <c r="V1655" i="2"/>
  <c r="U1655" i="2"/>
  <c r="AA1654" i="2"/>
  <c r="AB1654" i="2" s="1"/>
  <c r="Y1654" i="2"/>
  <c r="Z1654" i="2" s="1"/>
  <c r="V1654" i="2"/>
  <c r="U1654" i="2"/>
  <c r="AA1653" i="2"/>
  <c r="AB1653" i="2" s="1"/>
  <c r="Y1653" i="2"/>
  <c r="Z1653" i="2" s="1"/>
  <c r="V1653" i="2"/>
  <c r="U1653" i="2"/>
  <c r="AA1652" i="2"/>
  <c r="AB1652" i="2" s="1"/>
  <c r="Y1652" i="2"/>
  <c r="Z1652" i="2" s="1"/>
  <c r="V1652" i="2"/>
  <c r="U1652" i="2"/>
  <c r="AA1651" i="2"/>
  <c r="AB1651" i="2" s="1"/>
  <c r="Y1651" i="2"/>
  <c r="Z1651" i="2" s="1"/>
  <c r="V1651" i="2"/>
  <c r="U1651" i="2"/>
  <c r="AA1650" i="2"/>
  <c r="AB1650" i="2" s="1"/>
  <c r="Y1650" i="2"/>
  <c r="Z1650" i="2" s="1"/>
  <c r="V1650" i="2"/>
  <c r="U1650" i="2"/>
  <c r="AA1649" i="2"/>
  <c r="AB1649" i="2" s="1"/>
  <c r="Y1649" i="2"/>
  <c r="Z1649" i="2" s="1"/>
  <c r="V1649" i="2"/>
  <c r="U1649" i="2"/>
  <c r="AA1648" i="2"/>
  <c r="AB1648" i="2" s="1"/>
  <c r="Y1648" i="2"/>
  <c r="Z1648" i="2" s="1"/>
  <c r="V1648" i="2"/>
  <c r="U1648" i="2"/>
  <c r="AA1647" i="2"/>
  <c r="AB1647" i="2" s="1"/>
  <c r="Y1647" i="2"/>
  <c r="Z1647" i="2" s="1"/>
  <c r="V1647" i="2"/>
  <c r="U1647" i="2"/>
  <c r="AA1646" i="2"/>
  <c r="AB1646" i="2" s="1"/>
  <c r="Y1646" i="2"/>
  <c r="Z1646" i="2" s="1"/>
  <c r="V1646" i="2"/>
  <c r="U1646" i="2"/>
  <c r="AA1645" i="2"/>
  <c r="AB1645" i="2" s="1"/>
  <c r="Y1645" i="2"/>
  <c r="Z1645" i="2" s="1"/>
  <c r="V1645" i="2"/>
  <c r="U1645" i="2"/>
  <c r="AA1644" i="2"/>
  <c r="AB1644" i="2" s="1"/>
  <c r="Y1644" i="2"/>
  <c r="Z1644" i="2" s="1"/>
  <c r="V1644" i="2"/>
  <c r="U1644" i="2"/>
  <c r="AA1643" i="2"/>
  <c r="AB1643" i="2" s="1"/>
  <c r="Y1643" i="2"/>
  <c r="Z1643" i="2" s="1"/>
  <c r="V1643" i="2"/>
  <c r="U1643" i="2"/>
  <c r="AA1642" i="2"/>
  <c r="AB1642" i="2" s="1"/>
  <c r="Y1642" i="2"/>
  <c r="Z1642" i="2" s="1"/>
  <c r="V1642" i="2"/>
  <c r="U1642" i="2"/>
  <c r="AA1641" i="2"/>
  <c r="AB1641" i="2" s="1"/>
  <c r="Y1641" i="2"/>
  <c r="Z1641" i="2" s="1"/>
  <c r="V1641" i="2"/>
  <c r="U1641" i="2"/>
  <c r="AA1640" i="2"/>
  <c r="AB1640" i="2" s="1"/>
  <c r="Y1640" i="2"/>
  <c r="Z1640" i="2" s="1"/>
  <c r="V1640" i="2"/>
  <c r="U1640" i="2"/>
  <c r="AA1639" i="2"/>
  <c r="AB1639" i="2" s="1"/>
  <c r="Y1639" i="2"/>
  <c r="Z1639" i="2" s="1"/>
  <c r="V1639" i="2"/>
  <c r="U1639" i="2"/>
  <c r="AA1638" i="2"/>
  <c r="AB1638" i="2" s="1"/>
  <c r="Y1638" i="2"/>
  <c r="Z1638" i="2" s="1"/>
  <c r="V1638" i="2"/>
  <c r="U1638" i="2"/>
  <c r="AA1637" i="2"/>
  <c r="AB1637" i="2" s="1"/>
  <c r="Y1637" i="2"/>
  <c r="Z1637" i="2" s="1"/>
  <c r="V1637" i="2"/>
  <c r="U1637" i="2"/>
  <c r="AA1636" i="2"/>
  <c r="AB1636" i="2" s="1"/>
  <c r="Y1636" i="2"/>
  <c r="Z1636" i="2" s="1"/>
  <c r="V1636" i="2"/>
  <c r="U1636" i="2"/>
  <c r="AA1635" i="2"/>
  <c r="AB1635" i="2" s="1"/>
  <c r="Y1635" i="2"/>
  <c r="Z1635" i="2" s="1"/>
  <c r="V1635" i="2"/>
  <c r="U1635" i="2"/>
  <c r="AA1634" i="2"/>
  <c r="AB1634" i="2" s="1"/>
  <c r="Y1634" i="2"/>
  <c r="Z1634" i="2" s="1"/>
  <c r="V1634" i="2"/>
  <c r="U1634" i="2"/>
  <c r="AA1633" i="2"/>
  <c r="AB1633" i="2" s="1"/>
  <c r="Y1633" i="2"/>
  <c r="Z1633" i="2" s="1"/>
  <c r="V1633" i="2"/>
  <c r="U1633" i="2"/>
  <c r="AA1632" i="2"/>
  <c r="AB1632" i="2" s="1"/>
  <c r="Y1632" i="2"/>
  <c r="Z1632" i="2" s="1"/>
  <c r="V1632" i="2"/>
  <c r="U1632" i="2"/>
  <c r="AA1631" i="2"/>
  <c r="AB1631" i="2" s="1"/>
  <c r="Y1631" i="2"/>
  <c r="Z1631" i="2" s="1"/>
  <c r="V1631" i="2"/>
  <c r="U1631" i="2"/>
  <c r="AA1630" i="2"/>
  <c r="AB1630" i="2" s="1"/>
  <c r="Y1630" i="2"/>
  <c r="Z1630" i="2" s="1"/>
  <c r="V1630" i="2"/>
  <c r="U1630" i="2"/>
  <c r="AA1629" i="2"/>
  <c r="AB1629" i="2" s="1"/>
  <c r="Y1629" i="2"/>
  <c r="Z1629" i="2" s="1"/>
  <c r="V1629" i="2"/>
  <c r="U1629" i="2"/>
  <c r="AA1628" i="2"/>
  <c r="AB1628" i="2" s="1"/>
  <c r="Y1628" i="2"/>
  <c r="Z1628" i="2" s="1"/>
  <c r="V1628" i="2"/>
  <c r="U1628" i="2"/>
  <c r="AA1627" i="2"/>
  <c r="AB1627" i="2" s="1"/>
  <c r="Y1627" i="2"/>
  <c r="Z1627" i="2" s="1"/>
  <c r="V1627" i="2"/>
  <c r="U1627" i="2"/>
  <c r="AA1626" i="2"/>
  <c r="AB1626" i="2" s="1"/>
  <c r="Y1626" i="2"/>
  <c r="Z1626" i="2" s="1"/>
  <c r="V1626" i="2"/>
  <c r="U1626" i="2"/>
  <c r="AA1625" i="2"/>
  <c r="AB1625" i="2" s="1"/>
  <c r="Y1625" i="2"/>
  <c r="Z1625" i="2" s="1"/>
  <c r="V1625" i="2"/>
  <c r="U1625" i="2"/>
  <c r="AA1624" i="2"/>
  <c r="AB1624" i="2" s="1"/>
  <c r="Y1624" i="2"/>
  <c r="Z1624" i="2" s="1"/>
  <c r="V1624" i="2"/>
  <c r="U1624" i="2"/>
  <c r="AA1623" i="2"/>
  <c r="AB1623" i="2" s="1"/>
  <c r="Y1623" i="2"/>
  <c r="Z1623" i="2" s="1"/>
  <c r="V1623" i="2"/>
  <c r="U1623" i="2"/>
  <c r="AA1622" i="2"/>
  <c r="AB1622" i="2" s="1"/>
  <c r="Y1622" i="2"/>
  <c r="Z1622" i="2" s="1"/>
  <c r="V1622" i="2"/>
  <c r="U1622" i="2"/>
  <c r="AA1621" i="2"/>
  <c r="AB1621" i="2" s="1"/>
  <c r="Y1621" i="2"/>
  <c r="Z1621" i="2" s="1"/>
  <c r="V1621" i="2"/>
  <c r="U1621" i="2"/>
  <c r="AA1620" i="2"/>
  <c r="AB1620" i="2" s="1"/>
  <c r="Y1620" i="2"/>
  <c r="Z1620" i="2" s="1"/>
  <c r="V1620" i="2"/>
  <c r="U1620" i="2"/>
  <c r="AA1619" i="2"/>
  <c r="AB1619" i="2" s="1"/>
  <c r="Y1619" i="2"/>
  <c r="Z1619" i="2" s="1"/>
  <c r="V1619" i="2"/>
  <c r="U1619" i="2"/>
  <c r="AA1618" i="2"/>
  <c r="AB1618" i="2" s="1"/>
  <c r="Y1618" i="2"/>
  <c r="Z1618" i="2" s="1"/>
  <c r="V1618" i="2"/>
  <c r="U1618" i="2"/>
  <c r="AA1617" i="2"/>
  <c r="AB1617" i="2" s="1"/>
  <c r="Y1617" i="2"/>
  <c r="Z1617" i="2" s="1"/>
  <c r="V1617" i="2"/>
  <c r="U1617" i="2"/>
  <c r="AA1616" i="2"/>
  <c r="AB1616" i="2" s="1"/>
  <c r="Y1616" i="2"/>
  <c r="Z1616" i="2" s="1"/>
  <c r="V1616" i="2"/>
  <c r="U1616" i="2"/>
  <c r="AA1615" i="2"/>
  <c r="AB1615" i="2" s="1"/>
  <c r="Y1615" i="2"/>
  <c r="Z1615" i="2" s="1"/>
  <c r="V1615" i="2"/>
  <c r="U1615" i="2"/>
  <c r="AA1614" i="2"/>
  <c r="AB1614" i="2" s="1"/>
  <c r="Y1614" i="2"/>
  <c r="Z1614" i="2" s="1"/>
  <c r="V1614" i="2"/>
  <c r="U1614" i="2"/>
  <c r="AA1613" i="2"/>
  <c r="AB1613" i="2" s="1"/>
  <c r="Y1613" i="2"/>
  <c r="Z1613" i="2" s="1"/>
  <c r="V1613" i="2"/>
  <c r="U1613" i="2"/>
  <c r="AA1612" i="2"/>
  <c r="AB1612" i="2" s="1"/>
  <c r="Y1612" i="2"/>
  <c r="Z1612" i="2" s="1"/>
  <c r="V1612" i="2"/>
  <c r="U1612" i="2"/>
  <c r="AA1611" i="2"/>
  <c r="AB1611" i="2" s="1"/>
  <c r="Y1611" i="2"/>
  <c r="Z1611" i="2" s="1"/>
  <c r="V1611" i="2"/>
  <c r="U1611" i="2"/>
  <c r="AA1610" i="2"/>
  <c r="AB1610" i="2" s="1"/>
  <c r="Y1610" i="2"/>
  <c r="Z1610" i="2" s="1"/>
  <c r="V1610" i="2"/>
  <c r="U1610" i="2"/>
  <c r="AA1609" i="2"/>
  <c r="AB1609" i="2" s="1"/>
  <c r="Y1609" i="2"/>
  <c r="Z1609" i="2" s="1"/>
  <c r="V1609" i="2"/>
  <c r="U1609" i="2"/>
  <c r="AA1608" i="2"/>
  <c r="AB1608" i="2" s="1"/>
  <c r="Y1608" i="2"/>
  <c r="Z1608" i="2" s="1"/>
  <c r="V1608" i="2"/>
  <c r="U1608" i="2"/>
  <c r="AA1607" i="2"/>
  <c r="AB1607" i="2" s="1"/>
  <c r="Y1607" i="2"/>
  <c r="Z1607" i="2" s="1"/>
  <c r="V1607" i="2"/>
  <c r="U1607" i="2"/>
  <c r="AA1606" i="2"/>
  <c r="AB1606" i="2" s="1"/>
  <c r="Y1606" i="2"/>
  <c r="Z1606" i="2" s="1"/>
  <c r="V1606" i="2"/>
  <c r="U1606" i="2"/>
  <c r="AA1605" i="2"/>
  <c r="AB1605" i="2" s="1"/>
  <c r="Y1605" i="2"/>
  <c r="Z1605" i="2" s="1"/>
  <c r="V1605" i="2"/>
  <c r="U1605" i="2"/>
  <c r="AA1604" i="2"/>
  <c r="AB1604" i="2" s="1"/>
  <c r="Y1604" i="2"/>
  <c r="Z1604" i="2" s="1"/>
  <c r="V1604" i="2"/>
  <c r="U1604" i="2"/>
  <c r="AA1603" i="2"/>
  <c r="AB1603" i="2" s="1"/>
  <c r="Y1603" i="2"/>
  <c r="Z1603" i="2" s="1"/>
  <c r="V1603" i="2"/>
  <c r="U1603" i="2"/>
  <c r="AA1602" i="2"/>
  <c r="AB1602" i="2" s="1"/>
  <c r="Y1602" i="2"/>
  <c r="Z1602" i="2" s="1"/>
  <c r="V1602" i="2"/>
  <c r="U1602" i="2"/>
  <c r="AA1601" i="2"/>
  <c r="AB1601" i="2" s="1"/>
  <c r="Y1601" i="2"/>
  <c r="Z1601" i="2" s="1"/>
  <c r="V1601" i="2"/>
  <c r="U1601" i="2"/>
  <c r="AA1600" i="2"/>
  <c r="AB1600" i="2" s="1"/>
  <c r="Y1600" i="2"/>
  <c r="Z1600" i="2" s="1"/>
  <c r="V1600" i="2"/>
  <c r="U1600" i="2"/>
  <c r="AA1599" i="2"/>
  <c r="AB1599" i="2" s="1"/>
  <c r="Y1599" i="2"/>
  <c r="Z1599" i="2" s="1"/>
  <c r="V1599" i="2"/>
  <c r="U1599" i="2"/>
  <c r="AA1598" i="2"/>
  <c r="AB1598" i="2" s="1"/>
  <c r="Y1598" i="2"/>
  <c r="Z1598" i="2" s="1"/>
  <c r="V1598" i="2"/>
  <c r="U1598" i="2"/>
  <c r="AA1597" i="2"/>
  <c r="AB1597" i="2" s="1"/>
  <c r="Y1597" i="2"/>
  <c r="Z1597" i="2" s="1"/>
  <c r="V1597" i="2"/>
  <c r="U1597" i="2"/>
  <c r="AA1596" i="2"/>
  <c r="AB1596" i="2" s="1"/>
  <c r="Y1596" i="2"/>
  <c r="Z1596" i="2" s="1"/>
  <c r="V1596" i="2"/>
  <c r="U1596" i="2"/>
  <c r="AA1595" i="2"/>
  <c r="AB1595" i="2" s="1"/>
  <c r="Y1595" i="2"/>
  <c r="Z1595" i="2" s="1"/>
  <c r="V1595" i="2"/>
  <c r="U1595" i="2"/>
  <c r="AA1594" i="2"/>
  <c r="AB1594" i="2" s="1"/>
  <c r="Y1594" i="2"/>
  <c r="Z1594" i="2" s="1"/>
  <c r="V1594" i="2"/>
  <c r="U1594" i="2"/>
  <c r="AA1593" i="2"/>
  <c r="AB1593" i="2" s="1"/>
  <c r="Y1593" i="2"/>
  <c r="Z1593" i="2" s="1"/>
  <c r="V1593" i="2"/>
  <c r="U1593" i="2"/>
  <c r="AA1592" i="2"/>
  <c r="AB1592" i="2" s="1"/>
  <c r="Y1592" i="2"/>
  <c r="Z1592" i="2" s="1"/>
  <c r="V1592" i="2"/>
  <c r="U1592" i="2"/>
  <c r="AA1591" i="2"/>
  <c r="AB1591" i="2" s="1"/>
  <c r="Y1591" i="2"/>
  <c r="Z1591" i="2" s="1"/>
  <c r="V1591" i="2"/>
  <c r="U1591" i="2"/>
  <c r="AA1590" i="2"/>
  <c r="AB1590" i="2" s="1"/>
  <c r="Y1590" i="2"/>
  <c r="Z1590" i="2" s="1"/>
  <c r="V1590" i="2"/>
  <c r="U1590" i="2"/>
  <c r="AA1589" i="2"/>
  <c r="AB1589" i="2" s="1"/>
  <c r="Y1589" i="2"/>
  <c r="Z1589" i="2" s="1"/>
  <c r="V1589" i="2"/>
  <c r="U1589" i="2"/>
  <c r="AA1588" i="2"/>
  <c r="AB1588" i="2" s="1"/>
  <c r="Y1588" i="2"/>
  <c r="Z1588" i="2" s="1"/>
  <c r="V1588" i="2"/>
  <c r="U1588" i="2"/>
  <c r="AA1587" i="2"/>
  <c r="AB1587" i="2" s="1"/>
  <c r="Y1587" i="2"/>
  <c r="Z1587" i="2" s="1"/>
  <c r="V1587" i="2"/>
  <c r="U1587" i="2"/>
  <c r="AA1586" i="2"/>
  <c r="AB1586" i="2" s="1"/>
  <c r="Y1586" i="2"/>
  <c r="Z1586" i="2" s="1"/>
  <c r="V1586" i="2"/>
  <c r="U1586" i="2"/>
  <c r="AA1585" i="2"/>
  <c r="AB1585" i="2" s="1"/>
  <c r="Y1585" i="2"/>
  <c r="Z1585" i="2" s="1"/>
  <c r="V1585" i="2"/>
  <c r="U1585" i="2"/>
  <c r="AA1584" i="2"/>
  <c r="AB1584" i="2" s="1"/>
  <c r="Y1584" i="2"/>
  <c r="Z1584" i="2" s="1"/>
  <c r="V1584" i="2"/>
  <c r="U1584" i="2"/>
  <c r="AA1583" i="2"/>
  <c r="AB1583" i="2" s="1"/>
  <c r="Y1583" i="2"/>
  <c r="Z1583" i="2" s="1"/>
  <c r="V1583" i="2"/>
  <c r="U1583" i="2"/>
  <c r="AA1582" i="2"/>
  <c r="AB1582" i="2" s="1"/>
  <c r="Y1582" i="2"/>
  <c r="Z1582" i="2" s="1"/>
  <c r="V1582" i="2"/>
  <c r="U1582" i="2"/>
  <c r="AA1581" i="2"/>
  <c r="AB1581" i="2" s="1"/>
  <c r="Y1581" i="2"/>
  <c r="Z1581" i="2" s="1"/>
  <c r="V1581" i="2"/>
  <c r="U1581" i="2"/>
  <c r="AA1580" i="2"/>
  <c r="AB1580" i="2" s="1"/>
  <c r="Y1580" i="2"/>
  <c r="Z1580" i="2" s="1"/>
  <c r="V1580" i="2"/>
  <c r="U1580" i="2"/>
  <c r="AA1579" i="2"/>
  <c r="AB1579" i="2" s="1"/>
  <c r="Y1579" i="2"/>
  <c r="Z1579" i="2" s="1"/>
  <c r="V1579" i="2"/>
  <c r="U1579" i="2"/>
  <c r="AA1578" i="2"/>
  <c r="AB1578" i="2" s="1"/>
  <c r="Y1578" i="2"/>
  <c r="Z1578" i="2" s="1"/>
  <c r="V1578" i="2"/>
  <c r="U1578" i="2"/>
  <c r="AA1577" i="2"/>
  <c r="AB1577" i="2" s="1"/>
  <c r="Y1577" i="2"/>
  <c r="Z1577" i="2" s="1"/>
  <c r="V1577" i="2"/>
  <c r="U1577" i="2"/>
  <c r="AA1576" i="2"/>
  <c r="AB1576" i="2" s="1"/>
  <c r="Y1576" i="2"/>
  <c r="Z1576" i="2" s="1"/>
  <c r="V1576" i="2"/>
  <c r="U1576" i="2"/>
  <c r="AA1575" i="2"/>
  <c r="AB1575" i="2" s="1"/>
  <c r="Y1575" i="2"/>
  <c r="Z1575" i="2" s="1"/>
  <c r="V1575" i="2"/>
  <c r="U1575" i="2"/>
  <c r="AA1574" i="2"/>
  <c r="AB1574" i="2" s="1"/>
  <c r="Y1574" i="2"/>
  <c r="Z1574" i="2" s="1"/>
  <c r="V1574" i="2"/>
  <c r="U1574" i="2"/>
  <c r="AA1573" i="2"/>
  <c r="AB1573" i="2" s="1"/>
  <c r="Y1573" i="2"/>
  <c r="Z1573" i="2" s="1"/>
  <c r="V1573" i="2"/>
  <c r="U1573" i="2"/>
  <c r="AA1572" i="2"/>
  <c r="AB1572" i="2" s="1"/>
  <c r="Y1572" i="2"/>
  <c r="Z1572" i="2" s="1"/>
  <c r="V1572" i="2"/>
  <c r="U1572" i="2"/>
  <c r="AA1571" i="2"/>
  <c r="AB1571" i="2" s="1"/>
  <c r="Y1571" i="2"/>
  <c r="Z1571" i="2" s="1"/>
  <c r="V1571" i="2"/>
  <c r="U1571" i="2"/>
  <c r="AA1570" i="2"/>
  <c r="AB1570" i="2" s="1"/>
  <c r="Y1570" i="2"/>
  <c r="Z1570" i="2" s="1"/>
  <c r="V1570" i="2"/>
  <c r="U1570" i="2"/>
  <c r="AA1569" i="2"/>
  <c r="AB1569" i="2" s="1"/>
  <c r="Y1569" i="2"/>
  <c r="Z1569" i="2" s="1"/>
  <c r="V1569" i="2"/>
  <c r="U1569" i="2"/>
  <c r="AA1568" i="2"/>
  <c r="AB1568" i="2" s="1"/>
  <c r="Y1568" i="2"/>
  <c r="Z1568" i="2" s="1"/>
  <c r="V1568" i="2"/>
  <c r="U1568" i="2"/>
  <c r="AA1567" i="2"/>
  <c r="AB1567" i="2" s="1"/>
  <c r="Y1567" i="2"/>
  <c r="Z1567" i="2" s="1"/>
  <c r="V1567" i="2"/>
  <c r="U1567" i="2"/>
  <c r="AA1566" i="2"/>
  <c r="AB1566" i="2" s="1"/>
  <c r="Y1566" i="2"/>
  <c r="Z1566" i="2" s="1"/>
  <c r="V1566" i="2"/>
  <c r="U1566" i="2"/>
  <c r="AA1565" i="2"/>
  <c r="AB1565" i="2" s="1"/>
  <c r="Y1565" i="2"/>
  <c r="Z1565" i="2" s="1"/>
  <c r="V1565" i="2"/>
  <c r="U1565" i="2"/>
  <c r="AA1564" i="2"/>
  <c r="AB1564" i="2" s="1"/>
  <c r="Y1564" i="2"/>
  <c r="Z1564" i="2" s="1"/>
  <c r="V1564" i="2"/>
  <c r="U1564" i="2"/>
  <c r="AA1563" i="2"/>
  <c r="AB1563" i="2" s="1"/>
  <c r="Y1563" i="2"/>
  <c r="Z1563" i="2" s="1"/>
  <c r="V1563" i="2"/>
  <c r="U1563" i="2"/>
  <c r="AA1562" i="2"/>
  <c r="AB1562" i="2" s="1"/>
  <c r="Y1562" i="2"/>
  <c r="Z1562" i="2" s="1"/>
  <c r="V1562" i="2"/>
  <c r="U1562" i="2"/>
  <c r="AA1561" i="2"/>
  <c r="AB1561" i="2" s="1"/>
  <c r="Y1561" i="2"/>
  <c r="Z1561" i="2" s="1"/>
  <c r="V1561" i="2"/>
  <c r="U1561" i="2"/>
  <c r="AA1560" i="2"/>
  <c r="AB1560" i="2" s="1"/>
  <c r="Y1560" i="2"/>
  <c r="Z1560" i="2" s="1"/>
  <c r="V1560" i="2"/>
  <c r="U1560" i="2"/>
  <c r="AA1559" i="2"/>
  <c r="AB1559" i="2" s="1"/>
  <c r="Y1559" i="2"/>
  <c r="Z1559" i="2" s="1"/>
  <c r="V1559" i="2"/>
  <c r="U1559" i="2"/>
  <c r="AA1558" i="2"/>
  <c r="AB1558" i="2" s="1"/>
  <c r="Y1558" i="2"/>
  <c r="Z1558" i="2" s="1"/>
  <c r="V1558" i="2"/>
  <c r="U1558" i="2"/>
  <c r="AA1557" i="2"/>
  <c r="AB1557" i="2" s="1"/>
  <c r="Y1557" i="2"/>
  <c r="Z1557" i="2" s="1"/>
  <c r="V1557" i="2"/>
  <c r="U1557" i="2"/>
  <c r="AA1556" i="2"/>
  <c r="AB1556" i="2" s="1"/>
  <c r="Y1556" i="2"/>
  <c r="Z1556" i="2" s="1"/>
  <c r="V1556" i="2"/>
  <c r="U1556" i="2"/>
  <c r="AA1555" i="2"/>
  <c r="AB1555" i="2" s="1"/>
  <c r="Y1555" i="2"/>
  <c r="Z1555" i="2" s="1"/>
  <c r="V1555" i="2"/>
  <c r="U1555" i="2"/>
  <c r="AA1554" i="2"/>
  <c r="AB1554" i="2" s="1"/>
  <c r="Y1554" i="2"/>
  <c r="Z1554" i="2" s="1"/>
  <c r="V1554" i="2"/>
  <c r="U1554" i="2"/>
  <c r="AA1553" i="2"/>
  <c r="AB1553" i="2" s="1"/>
  <c r="Y1553" i="2"/>
  <c r="Z1553" i="2" s="1"/>
  <c r="V1553" i="2"/>
  <c r="U1553" i="2"/>
  <c r="AA1552" i="2"/>
  <c r="AB1552" i="2" s="1"/>
  <c r="Y1552" i="2"/>
  <c r="Z1552" i="2" s="1"/>
  <c r="V1552" i="2"/>
  <c r="U1552" i="2"/>
  <c r="AA1551" i="2"/>
  <c r="AB1551" i="2" s="1"/>
  <c r="Y1551" i="2"/>
  <c r="Z1551" i="2" s="1"/>
  <c r="V1551" i="2"/>
  <c r="U1551" i="2"/>
  <c r="AA1550" i="2"/>
  <c r="AB1550" i="2" s="1"/>
  <c r="Y1550" i="2"/>
  <c r="Z1550" i="2" s="1"/>
  <c r="V1550" i="2"/>
  <c r="U1550" i="2"/>
  <c r="AA1549" i="2"/>
  <c r="AB1549" i="2" s="1"/>
  <c r="Y1549" i="2"/>
  <c r="Z1549" i="2" s="1"/>
  <c r="V1549" i="2"/>
  <c r="U1549" i="2"/>
  <c r="AA1548" i="2"/>
  <c r="AB1548" i="2" s="1"/>
  <c r="Y1548" i="2"/>
  <c r="Z1548" i="2" s="1"/>
  <c r="V1548" i="2"/>
  <c r="U1548" i="2"/>
  <c r="AA1547" i="2"/>
  <c r="AB1547" i="2" s="1"/>
  <c r="Y1547" i="2"/>
  <c r="Z1547" i="2" s="1"/>
  <c r="V1547" i="2"/>
  <c r="U1547" i="2"/>
  <c r="AA1546" i="2"/>
  <c r="AB1546" i="2" s="1"/>
  <c r="Y1546" i="2"/>
  <c r="Z1546" i="2" s="1"/>
  <c r="V1546" i="2"/>
  <c r="U1546" i="2"/>
  <c r="AA1545" i="2"/>
  <c r="AB1545" i="2" s="1"/>
  <c r="Y1545" i="2"/>
  <c r="Z1545" i="2" s="1"/>
  <c r="V1545" i="2"/>
  <c r="U1545" i="2"/>
  <c r="AA1544" i="2"/>
  <c r="AB1544" i="2" s="1"/>
  <c r="Y1544" i="2"/>
  <c r="Z1544" i="2" s="1"/>
  <c r="V1544" i="2"/>
  <c r="U1544" i="2"/>
  <c r="AA1543" i="2"/>
  <c r="AB1543" i="2" s="1"/>
  <c r="Y1543" i="2"/>
  <c r="Z1543" i="2" s="1"/>
  <c r="V1543" i="2"/>
  <c r="U1543" i="2"/>
  <c r="AA1542" i="2"/>
  <c r="AB1542" i="2" s="1"/>
  <c r="Y1542" i="2"/>
  <c r="Z1542" i="2" s="1"/>
  <c r="V1542" i="2"/>
  <c r="U1542" i="2"/>
  <c r="AA1541" i="2"/>
  <c r="AB1541" i="2" s="1"/>
  <c r="Y1541" i="2"/>
  <c r="Z1541" i="2" s="1"/>
  <c r="V1541" i="2"/>
  <c r="U1541" i="2"/>
  <c r="AA1540" i="2"/>
  <c r="AB1540" i="2" s="1"/>
  <c r="Y1540" i="2"/>
  <c r="Z1540" i="2" s="1"/>
  <c r="V1540" i="2"/>
  <c r="U1540" i="2"/>
  <c r="AA1539" i="2"/>
  <c r="AB1539" i="2" s="1"/>
  <c r="Y1539" i="2"/>
  <c r="Z1539" i="2" s="1"/>
  <c r="V1539" i="2"/>
  <c r="U1539" i="2"/>
  <c r="AA1538" i="2"/>
  <c r="AB1538" i="2" s="1"/>
  <c r="Y1538" i="2"/>
  <c r="Z1538" i="2" s="1"/>
  <c r="V1538" i="2"/>
  <c r="U1538" i="2"/>
  <c r="AA1537" i="2"/>
  <c r="AB1537" i="2" s="1"/>
  <c r="Y1537" i="2"/>
  <c r="Z1537" i="2" s="1"/>
  <c r="V1537" i="2"/>
  <c r="U1537" i="2"/>
  <c r="AA1536" i="2"/>
  <c r="AB1536" i="2" s="1"/>
  <c r="Y1536" i="2"/>
  <c r="Z1536" i="2" s="1"/>
  <c r="V1536" i="2"/>
  <c r="U1536" i="2"/>
  <c r="AA1535" i="2"/>
  <c r="AB1535" i="2" s="1"/>
  <c r="Y1535" i="2"/>
  <c r="Z1535" i="2" s="1"/>
  <c r="V1535" i="2"/>
  <c r="U1535" i="2"/>
  <c r="AA1534" i="2"/>
  <c r="AB1534" i="2" s="1"/>
  <c r="Y1534" i="2"/>
  <c r="Z1534" i="2" s="1"/>
  <c r="V1534" i="2"/>
  <c r="U1534" i="2"/>
  <c r="AA1533" i="2"/>
  <c r="AB1533" i="2" s="1"/>
  <c r="Y1533" i="2"/>
  <c r="Z1533" i="2" s="1"/>
  <c r="V1533" i="2"/>
  <c r="U1533" i="2"/>
  <c r="AA1532" i="2"/>
  <c r="AB1532" i="2" s="1"/>
  <c r="Y1532" i="2"/>
  <c r="Z1532" i="2" s="1"/>
  <c r="V1532" i="2"/>
  <c r="U1532" i="2"/>
  <c r="AA1531" i="2"/>
  <c r="AB1531" i="2" s="1"/>
  <c r="Y1531" i="2"/>
  <c r="Z1531" i="2" s="1"/>
  <c r="V1531" i="2"/>
  <c r="U1531" i="2"/>
  <c r="AA1530" i="2"/>
  <c r="AB1530" i="2" s="1"/>
  <c r="Y1530" i="2"/>
  <c r="Z1530" i="2" s="1"/>
  <c r="V1530" i="2"/>
  <c r="U1530" i="2"/>
  <c r="AA1529" i="2"/>
  <c r="AB1529" i="2" s="1"/>
  <c r="Y1529" i="2"/>
  <c r="Z1529" i="2" s="1"/>
  <c r="V1529" i="2"/>
  <c r="U1529" i="2"/>
  <c r="AA1528" i="2"/>
  <c r="AB1528" i="2" s="1"/>
  <c r="Y1528" i="2"/>
  <c r="Z1528" i="2" s="1"/>
  <c r="V1528" i="2"/>
  <c r="U1528" i="2"/>
  <c r="AA1527" i="2"/>
  <c r="AB1527" i="2" s="1"/>
  <c r="Y1527" i="2"/>
  <c r="Z1527" i="2" s="1"/>
  <c r="V1527" i="2"/>
  <c r="U1527" i="2"/>
  <c r="AA1526" i="2"/>
  <c r="AB1526" i="2" s="1"/>
  <c r="Y1526" i="2"/>
  <c r="Z1526" i="2" s="1"/>
  <c r="V1526" i="2"/>
  <c r="U1526" i="2"/>
  <c r="AA1525" i="2"/>
  <c r="AB1525" i="2" s="1"/>
  <c r="Y1525" i="2"/>
  <c r="Z1525" i="2" s="1"/>
  <c r="V1525" i="2"/>
  <c r="U1525" i="2"/>
  <c r="AA1524" i="2"/>
  <c r="AB1524" i="2" s="1"/>
  <c r="Y1524" i="2"/>
  <c r="Z1524" i="2" s="1"/>
  <c r="V1524" i="2"/>
  <c r="U1524" i="2"/>
  <c r="AA1523" i="2"/>
  <c r="AB1523" i="2" s="1"/>
  <c r="Y1523" i="2"/>
  <c r="Z1523" i="2" s="1"/>
  <c r="V1523" i="2"/>
  <c r="U1523" i="2"/>
  <c r="AA1522" i="2"/>
  <c r="AB1522" i="2" s="1"/>
  <c r="Y1522" i="2"/>
  <c r="Z1522" i="2" s="1"/>
  <c r="V1522" i="2"/>
  <c r="U1522" i="2"/>
  <c r="AA1521" i="2"/>
  <c r="AB1521" i="2" s="1"/>
  <c r="Y1521" i="2"/>
  <c r="Z1521" i="2" s="1"/>
  <c r="V1521" i="2"/>
  <c r="U1521" i="2"/>
  <c r="AA1520" i="2"/>
  <c r="AB1520" i="2" s="1"/>
  <c r="Y1520" i="2"/>
  <c r="Z1520" i="2" s="1"/>
  <c r="V1520" i="2"/>
  <c r="U1520" i="2"/>
  <c r="AA1519" i="2"/>
  <c r="AB1519" i="2" s="1"/>
  <c r="Y1519" i="2"/>
  <c r="Z1519" i="2" s="1"/>
  <c r="V1519" i="2"/>
  <c r="U1519" i="2"/>
  <c r="AA1518" i="2"/>
  <c r="AB1518" i="2" s="1"/>
  <c r="Y1518" i="2"/>
  <c r="Z1518" i="2" s="1"/>
  <c r="V1518" i="2"/>
  <c r="U1518" i="2"/>
  <c r="AA1517" i="2"/>
  <c r="AB1517" i="2" s="1"/>
  <c r="Y1517" i="2"/>
  <c r="Z1517" i="2" s="1"/>
  <c r="V1517" i="2"/>
  <c r="U1517" i="2"/>
  <c r="AA1516" i="2"/>
  <c r="AB1516" i="2" s="1"/>
  <c r="Y1516" i="2"/>
  <c r="Z1516" i="2" s="1"/>
  <c r="V1516" i="2"/>
  <c r="U1516" i="2"/>
  <c r="AA1515" i="2"/>
  <c r="AB1515" i="2" s="1"/>
  <c r="Y1515" i="2"/>
  <c r="Z1515" i="2" s="1"/>
  <c r="V1515" i="2"/>
  <c r="U1515" i="2"/>
  <c r="AA1514" i="2"/>
  <c r="AB1514" i="2" s="1"/>
  <c r="Y1514" i="2"/>
  <c r="Z1514" i="2" s="1"/>
  <c r="V1514" i="2"/>
  <c r="U1514" i="2"/>
  <c r="AA1513" i="2"/>
  <c r="AB1513" i="2" s="1"/>
  <c r="Y1513" i="2"/>
  <c r="Z1513" i="2" s="1"/>
  <c r="V1513" i="2"/>
  <c r="U1513" i="2"/>
  <c r="AA1512" i="2"/>
  <c r="AB1512" i="2" s="1"/>
  <c r="Y1512" i="2"/>
  <c r="Z1512" i="2" s="1"/>
  <c r="V1512" i="2"/>
  <c r="U1512" i="2"/>
  <c r="AA1511" i="2"/>
  <c r="AB1511" i="2" s="1"/>
  <c r="Y1511" i="2"/>
  <c r="Z1511" i="2" s="1"/>
  <c r="V1511" i="2"/>
  <c r="U1511" i="2"/>
  <c r="AA1510" i="2"/>
  <c r="AB1510" i="2" s="1"/>
  <c r="Y1510" i="2"/>
  <c r="Z1510" i="2" s="1"/>
  <c r="V1510" i="2"/>
  <c r="U1510" i="2"/>
  <c r="AA1509" i="2"/>
  <c r="AB1509" i="2" s="1"/>
  <c r="Y1509" i="2"/>
  <c r="Z1509" i="2" s="1"/>
  <c r="V1509" i="2"/>
  <c r="U1509" i="2"/>
  <c r="AA1508" i="2"/>
  <c r="AB1508" i="2" s="1"/>
  <c r="Y1508" i="2"/>
  <c r="Z1508" i="2" s="1"/>
  <c r="V1508" i="2"/>
  <c r="U1508" i="2"/>
  <c r="AA1507" i="2"/>
  <c r="AB1507" i="2" s="1"/>
  <c r="Y1507" i="2"/>
  <c r="Z1507" i="2" s="1"/>
  <c r="V1507" i="2"/>
  <c r="U1507" i="2"/>
  <c r="AA1506" i="2"/>
  <c r="AB1506" i="2" s="1"/>
  <c r="Y1506" i="2"/>
  <c r="Z1506" i="2" s="1"/>
  <c r="V1506" i="2"/>
  <c r="U1506" i="2"/>
  <c r="AA1505" i="2"/>
  <c r="AB1505" i="2" s="1"/>
  <c r="Y1505" i="2"/>
  <c r="Z1505" i="2" s="1"/>
  <c r="V1505" i="2"/>
  <c r="U1505" i="2"/>
  <c r="AA1504" i="2"/>
  <c r="AB1504" i="2" s="1"/>
  <c r="Y1504" i="2"/>
  <c r="Z1504" i="2" s="1"/>
  <c r="V1504" i="2"/>
  <c r="U1504" i="2"/>
  <c r="AA1503" i="2"/>
  <c r="AB1503" i="2" s="1"/>
  <c r="Y1503" i="2"/>
  <c r="Z1503" i="2" s="1"/>
  <c r="V1503" i="2"/>
  <c r="U1503" i="2"/>
  <c r="AA1502" i="2"/>
  <c r="AB1502" i="2" s="1"/>
  <c r="Y1502" i="2"/>
  <c r="Z1502" i="2" s="1"/>
  <c r="V1502" i="2"/>
  <c r="U1502" i="2"/>
  <c r="AA1501" i="2"/>
  <c r="AB1501" i="2" s="1"/>
  <c r="Y1501" i="2"/>
  <c r="Z1501" i="2" s="1"/>
  <c r="V1501" i="2"/>
  <c r="U1501" i="2"/>
  <c r="AA1500" i="2"/>
  <c r="AB1500" i="2" s="1"/>
  <c r="Y1500" i="2"/>
  <c r="Z1500" i="2" s="1"/>
  <c r="V1500" i="2"/>
  <c r="U1500" i="2"/>
  <c r="AA1499" i="2"/>
  <c r="AB1499" i="2" s="1"/>
  <c r="Y1499" i="2"/>
  <c r="Z1499" i="2" s="1"/>
  <c r="V1499" i="2"/>
  <c r="U1499" i="2"/>
  <c r="AA1498" i="2"/>
  <c r="AB1498" i="2" s="1"/>
  <c r="Y1498" i="2"/>
  <c r="Z1498" i="2" s="1"/>
  <c r="V1498" i="2"/>
  <c r="U1498" i="2"/>
  <c r="AA1497" i="2"/>
  <c r="AB1497" i="2" s="1"/>
  <c r="Y1497" i="2"/>
  <c r="Z1497" i="2" s="1"/>
  <c r="V1497" i="2"/>
  <c r="U1497" i="2"/>
  <c r="AA1496" i="2"/>
  <c r="AB1496" i="2" s="1"/>
  <c r="Y1496" i="2"/>
  <c r="Z1496" i="2" s="1"/>
  <c r="V1496" i="2"/>
  <c r="U1496" i="2"/>
  <c r="AA1495" i="2"/>
  <c r="AB1495" i="2" s="1"/>
  <c r="Y1495" i="2"/>
  <c r="Z1495" i="2" s="1"/>
  <c r="V1495" i="2"/>
  <c r="U1495" i="2"/>
  <c r="AA1494" i="2"/>
  <c r="AB1494" i="2" s="1"/>
  <c r="Y1494" i="2"/>
  <c r="Z1494" i="2" s="1"/>
  <c r="V1494" i="2"/>
  <c r="U1494" i="2"/>
  <c r="AA1493" i="2"/>
  <c r="AB1493" i="2" s="1"/>
  <c r="Y1493" i="2"/>
  <c r="Z1493" i="2" s="1"/>
  <c r="V1493" i="2"/>
  <c r="U1493" i="2"/>
  <c r="AA1492" i="2"/>
  <c r="AB1492" i="2" s="1"/>
  <c r="Y1492" i="2"/>
  <c r="Z1492" i="2" s="1"/>
  <c r="V1492" i="2"/>
  <c r="U1492" i="2"/>
  <c r="AA1491" i="2"/>
  <c r="AB1491" i="2" s="1"/>
  <c r="Y1491" i="2"/>
  <c r="Z1491" i="2" s="1"/>
  <c r="V1491" i="2"/>
  <c r="U1491" i="2"/>
  <c r="AA1490" i="2"/>
  <c r="AB1490" i="2" s="1"/>
  <c r="Y1490" i="2"/>
  <c r="Z1490" i="2" s="1"/>
  <c r="V1490" i="2"/>
  <c r="U1490" i="2"/>
  <c r="AA1489" i="2"/>
  <c r="AB1489" i="2" s="1"/>
  <c r="Y1489" i="2"/>
  <c r="Z1489" i="2" s="1"/>
  <c r="V1489" i="2"/>
  <c r="U1489" i="2"/>
  <c r="AA1488" i="2"/>
  <c r="AB1488" i="2" s="1"/>
  <c r="Y1488" i="2"/>
  <c r="Z1488" i="2" s="1"/>
  <c r="V1488" i="2"/>
  <c r="U1488" i="2"/>
  <c r="AA1487" i="2"/>
  <c r="AB1487" i="2" s="1"/>
  <c r="Y1487" i="2"/>
  <c r="Z1487" i="2" s="1"/>
  <c r="V1487" i="2"/>
  <c r="U1487" i="2"/>
  <c r="AA1486" i="2"/>
  <c r="AB1486" i="2" s="1"/>
  <c r="Y1486" i="2"/>
  <c r="Z1486" i="2" s="1"/>
  <c r="V1486" i="2"/>
  <c r="U1486" i="2"/>
  <c r="AA1485" i="2"/>
  <c r="AB1485" i="2" s="1"/>
  <c r="Y1485" i="2"/>
  <c r="Z1485" i="2" s="1"/>
  <c r="V1485" i="2"/>
  <c r="U1485" i="2"/>
  <c r="AA1484" i="2"/>
  <c r="AB1484" i="2" s="1"/>
  <c r="Y1484" i="2"/>
  <c r="Z1484" i="2" s="1"/>
  <c r="V1484" i="2"/>
  <c r="U1484" i="2"/>
  <c r="AA1483" i="2"/>
  <c r="AB1483" i="2" s="1"/>
  <c r="Y1483" i="2"/>
  <c r="Z1483" i="2" s="1"/>
  <c r="V1483" i="2"/>
  <c r="U1483" i="2"/>
  <c r="AA1482" i="2"/>
  <c r="AB1482" i="2" s="1"/>
  <c r="Y1482" i="2"/>
  <c r="Z1482" i="2" s="1"/>
  <c r="V1482" i="2"/>
  <c r="U1482" i="2"/>
  <c r="AA1481" i="2"/>
  <c r="AB1481" i="2" s="1"/>
  <c r="Y1481" i="2"/>
  <c r="Z1481" i="2" s="1"/>
  <c r="V1481" i="2"/>
  <c r="U1481" i="2"/>
  <c r="AA1480" i="2"/>
  <c r="AB1480" i="2" s="1"/>
  <c r="Y1480" i="2"/>
  <c r="Z1480" i="2" s="1"/>
  <c r="V1480" i="2"/>
  <c r="U1480" i="2"/>
  <c r="AA1479" i="2"/>
  <c r="AB1479" i="2" s="1"/>
  <c r="Y1479" i="2"/>
  <c r="Z1479" i="2" s="1"/>
  <c r="V1479" i="2"/>
  <c r="U1479" i="2"/>
  <c r="AA1478" i="2"/>
  <c r="AB1478" i="2" s="1"/>
  <c r="Y1478" i="2"/>
  <c r="Z1478" i="2" s="1"/>
  <c r="V1478" i="2"/>
  <c r="U1478" i="2"/>
  <c r="AA1477" i="2"/>
  <c r="AB1477" i="2" s="1"/>
  <c r="Y1477" i="2"/>
  <c r="Z1477" i="2" s="1"/>
  <c r="V1477" i="2"/>
  <c r="U1477" i="2"/>
  <c r="AA1476" i="2"/>
  <c r="AB1476" i="2" s="1"/>
  <c r="Y1476" i="2"/>
  <c r="Z1476" i="2" s="1"/>
  <c r="V1476" i="2"/>
  <c r="U1476" i="2"/>
  <c r="AA1475" i="2"/>
  <c r="AB1475" i="2" s="1"/>
  <c r="Y1475" i="2"/>
  <c r="Z1475" i="2" s="1"/>
  <c r="V1475" i="2"/>
  <c r="U1475" i="2"/>
  <c r="AA1474" i="2"/>
  <c r="AB1474" i="2" s="1"/>
  <c r="Y1474" i="2"/>
  <c r="Z1474" i="2" s="1"/>
  <c r="V1474" i="2"/>
  <c r="U1474" i="2"/>
  <c r="AA1473" i="2"/>
  <c r="AB1473" i="2" s="1"/>
  <c r="Y1473" i="2"/>
  <c r="Z1473" i="2" s="1"/>
  <c r="V1473" i="2"/>
  <c r="U1473" i="2"/>
  <c r="AA1472" i="2"/>
  <c r="AB1472" i="2" s="1"/>
  <c r="Y1472" i="2"/>
  <c r="Z1472" i="2" s="1"/>
  <c r="V1472" i="2"/>
  <c r="U1472" i="2"/>
  <c r="AA1471" i="2"/>
  <c r="AB1471" i="2" s="1"/>
  <c r="Y1471" i="2"/>
  <c r="Z1471" i="2" s="1"/>
  <c r="V1471" i="2"/>
  <c r="U1471" i="2"/>
  <c r="AA1470" i="2"/>
  <c r="AB1470" i="2" s="1"/>
  <c r="Y1470" i="2"/>
  <c r="Z1470" i="2" s="1"/>
  <c r="V1470" i="2"/>
  <c r="U1470" i="2"/>
  <c r="AA1469" i="2"/>
  <c r="AB1469" i="2" s="1"/>
  <c r="Y1469" i="2"/>
  <c r="Z1469" i="2" s="1"/>
  <c r="V1469" i="2"/>
  <c r="U1469" i="2"/>
  <c r="AA1468" i="2"/>
  <c r="AB1468" i="2" s="1"/>
  <c r="Y1468" i="2"/>
  <c r="Z1468" i="2" s="1"/>
  <c r="V1468" i="2"/>
  <c r="U1468" i="2"/>
  <c r="AA1467" i="2"/>
  <c r="AB1467" i="2" s="1"/>
  <c r="Y1467" i="2"/>
  <c r="Z1467" i="2" s="1"/>
  <c r="V1467" i="2"/>
  <c r="U1467" i="2"/>
  <c r="AA1466" i="2"/>
  <c r="AB1466" i="2" s="1"/>
  <c r="Y1466" i="2"/>
  <c r="Z1466" i="2" s="1"/>
  <c r="V1466" i="2"/>
  <c r="U1466" i="2"/>
  <c r="AA1465" i="2"/>
  <c r="AB1465" i="2" s="1"/>
  <c r="Y1465" i="2"/>
  <c r="Z1465" i="2" s="1"/>
  <c r="V1465" i="2"/>
  <c r="U1465" i="2"/>
  <c r="AA1464" i="2"/>
  <c r="AB1464" i="2" s="1"/>
  <c r="Y1464" i="2"/>
  <c r="Z1464" i="2" s="1"/>
  <c r="V1464" i="2"/>
  <c r="U1464" i="2"/>
  <c r="AA1463" i="2"/>
  <c r="AB1463" i="2" s="1"/>
  <c r="Y1463" i="2"/>
  <c r="Z1463" i="2" s="1"/>
  <c r="V1463" i="2"/>
  <c r="U1463" i="2"/>
  <c r="AA1462" i="2"/>
  <c r="AB1462" i="2" s="1"/>
  <c r="Y1462" i="2"/>
  <c r="Z1462" i="2" s="1"/>
  <c r="V1462" i="2"/>
  <c r="U1462" i="2"/>
  <c r="AA1461" i="2"/>
  <c r="AB1461" i="2" s="1"/>
  <c r="Y1461" i="2"/>
  <c r="Z1461" i="2" s="1"/>
  <c r="V1461" i="2"/>
  <c r="U1461" i="2"/>
  <c r="AA1460" i="2"/>
  <c r="AB1460" i="2" s="1"/>
  <c r="Y1460" i="2"/>
  <c r="Z1460" i="2" s="1"/>
  <c r="V1460" i="2"/>
  <c r="U1460" i="2"/>
  <c r="AA1459" i="2"/>
  <c r="AB1459" i="2" s="1"/>
  <c r="Y1459" i="2"/>
  <c r="Z1459" i="2" s="1"/>
  <c r="V1459" i="2"/>
  <c r="U1459" i="2"/>
  <c r="AA1458" i="2"/>
  <c r="AB1458" i="2" s="1"/>
  <c r="Y1458" i="2"/>
  <c r="Z1458" i="2" s="1"/>
  <c r="V1458" i="2"/>
  <c r="U1458" i="2"/>
  <c r="AA1457" i="2"/>
  <c r="AB1457" i="2" s="1"/>
  <c r="Y1457" i="2"/>
  <c r="Z1457" i="2" s="1"/>
  <c r="V1457" i="2"/>
  <c r="U1457" i="2"/>
  <c r="AA1456" i="2"/>
  <c r="AB1456" i="2" s="1"/>
  <c r="Y1456" i="2"/>
  <c r="Z1456" i="2" s="1"/>
  <c r="V1456" i="2"/>
  <c r="U1456" i="2"/>
  <c r="AA1455" i="2"/>
  <c r="AB1455" i="2" s="1"/>
  <c r="Y1455" i="2"/>
  <c r="Z1455" i="2" s="1"/>
  <c r="V1455" i="2"/>
  <c r="U1455" i="2"/>
  <c r="AA1454" i="2"/>
  <c r="AB1454" i="2" s="1"/>
  <c r="Y1454" i="2"/>
  <c r="Z1454" i="2" s="1"/>
  <c r="V1454" i="2"/>
  <c r="U1454" i="2"/>
  <c r="AA1453" i="2"/>
  <c r="AB1453" i="2" s="1"/>
  <c r="Y1453" i="2"/>
  <c r="Z1453" i="2" s="1"/>
  <c r="V1453" i="2"/>
  <c r="U1453" i="2"/>
  <c r="AA1452" i="2"/>
  <c r="AB1452" i="2" s="1"/>
  <c r="Y1452" i="2"/>
  <c r="Z1452" i="2" s="1"/>
  <c r="V1452" i="2"/>
  <c r="U1452" i="2"/>
  <c r="AA1451" i="2"/>
  <c r="AB1451" i="2" s="1"/>
  <c r="Y1451" i="2"/>
  <c r="Z1451" i="2" s="1"/>
  <c r="V1451" i="2"/>
  <c r="U1451" i="2"/>
  <c r="AA1450" i="2"/>
  <c r="AB1450" i="2" s="1"/>
  <c r="Y1450" i="2"/>
  <c r="Z1450" i="2" s="1"/>
  <c r="V1450" i="2"/>
  <c r="U1450" i="2"/>
  <c r="AA1449" i="2"/>
  <c r="AB1449" i="2" s="1"/>
  <c r="Y1449" i="2"/>
  <c r="Z1449" i="2" s="1"/>
  <c r="V1449" i="2"/>
  <c r="U1449" i="2"/>
  <c r="AA1448" i="2"/>
  <c r="AB1448" i="2" s="1"/>
  <c r="Y1448" i="2"/>
  <c r="Z1448" i="2" s="1"/>
  <c r="V1448" i="2"/>
  <c r="U1448" i="2"/>
  <c r="AA1447" i="2"/>
  <c r="AB1447" i="2" s="1"/>
  <c r="Y1447" i="2"/>
  <c r="Z1447" i="2" s="1"/>
  <c r="V1447" i="2"/>
  <c r="U1447" i="2"/>
  <c r="AA1446" i="2"/>
  <c r="AB1446" i="2" s="1"/>
  <c r="Y1446" i="2"/>
  <c r="Z1446" i="2" s="1"/>
  <c r="V1446" i="2"/>
  <c r="U1446" i="2"/>
  <c r="AA1445" i="2"/>
  <c r="AB1445" i="2" s="1"/>
  <c r="Y1445" i="2"/>
  <c r="Z1445" i="2" s="1"/>
  <c r="V1445" i="2"/>
  <c r="U1445" i="2"/>
  <c r="AA1444" i="2"/>
  <c r="AB1444" i="2" s="1"/>
  <c r="Y1444" i="2"/>
  <c r="Z1444" i="2" s="1"/>
  <c r="V1444" i="2"/>
  <c r="U1444" i="2"/>
  <c r="AA1443" i="2"/>
  <c r="AB1443" i="2" s="1"/>
  <c r="Y1443" i="2"/>
  <c r="Z1443" i="2" s="1"/>
  <c r="V1443" i="2"/>
  <c r="U1443" i="2"/>
  <c r="AA1442" i="2"/>
  <c r="AB1442" i="2" s="1"/>
  <c r="Y1442" i="2"/>
  <c r="Z1442" i="2" s="1"/>
  <c r="V1442" i="2"/>
  <c r="U1442" i="2"/>
  <c r="AA1441" i="2"/>
  <c r="AB1441" i="2" s="1"/>
  <c r="Y1441" i="2"/>
  <c r="Z1441" i="2" s="1"/>
  <c r="V1441" i="2"/>
  <c r="U1441" i="2"/>
  <c r="AA1440" i="2"/>
  <c r="AB1440" i="2" s="1"/>
  <c r="Y1440" i="2"/>
  <c r="Z1440" i="2" s="1"/>
  <c r="V1440" i="2"/>
  <c r="U1440" i="2"/>
  <c r="AA1439" i="2"/>
  <c r="AB1439" i="2" s="1"/>
  <c r="Y1439" i="2"/>
  <c r="Z1439" i="2" s="1"/>
  <c r="V1439" i="2"/>
  <c r="U1439" i="2"/>
  <c r="AA1438" i="2"/>
  <c r="AB1438" i="2" s="1"/>
  <c r="Y1438" i="2"/>
  <c r="Z1438" i="2" s="1"/>
  <c r="V1438" i="2"/>
  <c r="U1438" i="2"/>
  <c r="AA1437" i="2"/>
  <c r="AB1437" i="2" s="1"/>
  <c r="Y1437" i="2"/>
  <c r="Z1437" i="2" s="1"/>
  <c r="V1437" i="2"/>
  <c r="U1437" i="2"/>
  <c r="AA1436" i="2"/>
  <c r="AB1436" i="2" s="1"/>
  <c r="Y1436" i="2"/>
  <c r="Z1436" i="2" s="1"/>
  <c r="V1436" i="2"/>
  <c r="U1436" i="2"/>
  <c r="AA1435" i="2"/>
  <c r="AB1435" i="2" s="1"/>
  <c r="Y1435" i="2"/>
  <c r="Z1435" i="2" s="1"/>
  <c r="V1435" i="2"/>
  <c r="U1435" i="2"/>
  <c r="AA1434" i="2"/>
  <c r="AB1434" i="2" s="1"/>
  <c r="Y1434" i="2"/>
  <c r="Z1434" i="2" s="1"/>
  <c r="V1434" i="2"/>
  <c r="U1434" i="2"/>
  <c r="AA1433" i="2"/>
  <c r="AB1433" i="2" s="1"/>
  <c r="Y1433" i="2"/>
  <c r="Z1433" i="2" s="1"/>
  <c r="V1433" i="2"/>
  <c r="U1433" i="2"/>
  <c r="AA1432" i="2"/>
  <c r="AB1432" i="2" s="1"/>
  <c r="Y1432" i="2"/>
  <c r="Z1432" i="2" s="1"/>
  <c r="V1432" i="2"/>
  <c r="U1432" i="2"/>
  <c r="AA1431" i="2"/>
  <c r="AB1431" i="2" s="1"/>
  <c r="Y1431" i="2"/>
  <c r="Z1431" i="2" s="1"/>
  <c r="V1431" i="2"/>
  <c r="U1431" i="2"/>
  <c r="AA1430" i="2"/>
  <c r="AB1430" i="2" s="1"/>
  <c r="Y1430" i="2"/>
  <c r="Z1430" i="2" s="1"/>
  <c r="V1430" i="2"/>
  <c r="U1430" i="2"/>
  <c r="AA1429" i="2"/>
  <c r="AB1429" i="2" s="1"/>
  <c r="Y1429" i="2"/>
  <c r="Z1429" i="2" s="1"/>
  <c r="V1429" i="2"/>
  <c r="U1429" i="2"/>
  <c r="AA1428" i="2"/>
  <c r="AB1428" i="2" s="1"/>
  <c r="Y1428" i="2"/>
  <c r="Z1428" i="2" s="1"/>
  <c r="V1428" i="2"/>
  <c r="U1428" i="2"/>
  <c r="AA1427" i="2"/>
  <c r="AB1427" i="2" s="1"/>
  <c r="Y1427" i="2"/>
  <c r="Z1427" i="2" s="1"/>
  <c r="V1427" i="2"/>
  <c r="U1427" i="2"/>
  <c r="AA1426" i="2"/>
  <c r="AB1426" i="2" s="1"/>
  <c r="Y1426" i="2"/>
  <c r="Z1426" i="2" s="1"/>
  <c r="V1426" i="2"/>
  <c r="U1426" i="2"/>
  <c r="AA1425" i="2"/>
  <c r="AB1425" i="2" s="1"/>
  <c r="Y1425" i="2"/>
  <c r="Z1425" i="2" s="1"/>
  <c r="V1425" i="2"/>
  <c r="U1425" i="2"/>
  <c r="AA1424" i="2"/>
  <c r="AB1424" i="2" s="1"/>
  <c r="Y1424" i="2"/>
  <c r="Z1424" i="2" s="1"/>
  <c r="V1424" i="2"/>
  <c r="U1424" i="2"/>
  <c r="AA1423" i="2"/>
  <c r="AB1423" i="2" s="1"/>
  <c r="Y1423" i="2"/>
  <c r="Z1423" i="2" s="1"/>
  <c r="V1423" i="2"/>
  <c r="U1423" i="2"/>
  <c r="AA1422" i="2"/>
  <c r="AB1422" i="2" s="1"/>
  <c r="Y1422" i="2"/>
  <c r="Z1422" i="2" s="1"/>
  <c r="V1422" i="2"/>
  <c r="U1422" i="2"/>
  <c r="AA1421" i="2"/>
  <c r="AB1421" i="2" s="1"/>
  <c r="Y1421" i="2"/>
  <c r="Z1421" i="2" s="1"/>
  <c r="V1421" i="2"/>
  <c r="U1421" i="2"/>
  <c r="AA1420" i="2"/>
  <c r="AB1420" i="2" s="1"/>
  <c r="Y1420" i="2"/>
  <c r="Z1420" i="2" s="1"/>
  <c r="V1420" i="2"/>
  <c r="U1420" i="2"/>
  <c r="AA1419" i="2"/>
  <c r="AB1419" i="2" s="1"/>
  <c r="Y1419" i="2"/>
  <c r="Z1419" i="2" s="1"/>
  <c r="V1419" i="2"/>
  <c r="U1419" i="2"/>
  <c r="AA1418" i="2"/>
  <c r="AB1418" i="2" s="1"/>
  <c r="Y1418" i="2"/>
  <c r="Z1418" i="2" s="1"/>
  <c r="V1418" i="2"/>
  <c r="U1418" i="2"/>
  <c r="AA1417" i="2"/>
  <c r="AB1417" i="2" s="1"/>
  <c r="Y1417" i="2"/>
  <c r="Z1417" i="2" s="1"/>
  <c r="V1417" i="2"/>
  <c r="U1417" i="2"/>
  <c r="AA1416" i="2"/>
  <c r="AB1416" i="2" s="1"/>
  <c r="Y1416" i="2"/>
  <c r="Z1416" i="2" s="1"/>
  <c r="V1416" i="2"/>
  <c r="U1416" i="2"/>
  <c r="AA1415" i="2"/>
  <c r="AB1415" i="2" s="1"/>
  <c r="Y1415" i="2"/>
  <c r="Z1415" i="2" s="1"/>
  <c r="V1415" i="2"/>
  <c r="U1415" i="2"/>
  <c r="AA1414" i="2"/>
  <c r="AB1414" i="2" s="1"/>
  <c r="Y1414" i="2"/>
  <c r="Z1414" i="2" s="1"/>
  <c r="V1414" i="2"/>
  <c r="U1414" i="2"/>
  <c r="AA1413" i="2"/>
  <c r="AB1413" i="2" s="1"/>
  <c r="Y1413" i="2"/>
  <c r="Z1413" i="2" s="1"/>
  <c r="V1413" i="2"/>
  <c r="U1413" i="2"/>
  <c r="AA1412" i="2"/>
  <c r="AB1412" i="2" s="1"/>
  <c r="Y1412" i="2"/>
  <c r="Z1412" i="2" s="1"/>
  <c r="V1412" i="2"/>
  <c r="U1412" i="2"/>
  <c r="AA1411" i="2"/>
  <c r="AB1411" i="2" s="1"/>
  <c r="Y1411" i="2"/>
  <c r="Z1411" i="2" s="1"/>
  <c r="V1411" i="2"/>
  <c r="U1411" i="2"/>
  <c r="AA1410" i="2"/>
  <c r="AB1410" i="2" s="1"/>
  <c r="Y1410" i="2"/>
  <c r="Z1410" i="2" s="1"/>
  <c r="V1410" i="2"/>
  <c r="U1410" i="2"/>
  <c r="AA1409" i="2"/>
  <c r="AB1409" i="2" s="1"/>
  <c r="Y1409" i="2"/>
  <c r="Z1409" i="2" s="1"/>
  <c r="V1409" i="2"/>
  <c r="U1409" i="2"/>
  <c r="AA1408" i="2"/>
  <c r="AB1408" i="2" s="1"/>
  <c r="Y1408" i="2"/>
  <c r="Z1408" i="2" s="1"/>
  <c r="V1408" i="2"/>
  <c r="U1408" i="2"/>
  <c r="AA1407" i="2"/>
  <c r="AB1407" i="2" s="1"/>
  <c r="Y1407" i="2"/>
  <c r="Z1407" i="2" s="1"/>
  <c r="V1407" i="2"/>
  <c r="U1407" i="2"/>
  <c r="AA1406" i="2"/>
  <c r="AB1406" i="2" s="1"/>
  <c r="Y1406" i="2"/>
  <c r="Z1406" i="2" s="1"/>
  <c r="V1406" i="2"/>
  <c r="U1406" i="2"/>
  <c r="AA1405" i="2"/>
  <c r="AB1405" i="2" s="1"/>
  <c r="Y1405" i="2"/>
  <c r="Z1405" i="2" s="1"/>
  <c r="V1405" i="2"/>
  <c r="U1405" i="2"/>
  <c r="AA1404" i="2"/>
  <c r="AB1404" i="2" s="1"/>
  <c r="Y1404" i="2"/>
  <c r="Z1404" i="2" s="1"/>
  <c r="V1404" i="2"/>
  <c r="U1404" i="2"/>
  <c r="AA1403" i="2"/>
  <c r="AB1403" i="2" s="1"/>
  <c r="Y1403" i="2"/>
  <c r="Z1403" i="2" s="1"/>
  <c r="V1403" i="2"/>
  <c r="U1403" i="2"/>
  <c r="AA1402" i="2"/>
  <c r="AB1402" i="2" s="1"/>
  <c r="Y1402" i="2"/>
  <c r="Z1402" i="2" s="1"/>
  <c r="V1402" i="2"/>
  <c r="U1402" i="2"/>
  <c r="AA1401" i="2"/>
  <c r="AB1401" i="2" s="1"/>
  <c r="Y1401" i="2"/>
  <c r="Z1401" i="2" s="1"/>
  <c r="V1401" i="2"/>
  <c r="U1401" i="2"/>
  <c r="AA1400" i="2"/>
  <c r="AB1400" i="2" s="1"/>
  <c r="Y1400" i="2"/>
  <c r="Z1400" i="2" s="1"/>
  <c r="V1400" i="2"/>
  <c r="U1400" i="2"/>
  <c r="AA1399" i="2"/>
  <c r="AB1399" i="2" s="1"/>
  <c r="Y1399" i="2"/>
  <c r="Z1399" i="2" s="1"/>
  <c r="V1399" i="2"/>
  <c r="U1399" i="2"/>
  <c r="AA1398" i="2"/>
  <c r="AB1398" i="2" s="1"/>
  <c r="Y1398" i="2"/>
  <c r="Z1398" i="2" s="1"/>
  <c r="V1398" i="2"/>
  <c r="U1398" i="2"/>
  <c r="AA1397" i="2"/>
  <c r="AB1397" i="2" s="1"/>
  <c r="Y1397" i="2"/>
  <c r="Z1397" i="2" s="1"/>
  <c r="V1397" i="2"/>
  <c r="U1397" i="2"/>
  <c r="AA1396" i="2"/>
  <c r="AB1396" i="2" s="1"/>
  <c r="Y1396" i="2"/>
  <c r="Z1396" i="2" s="1"/>
  <c r="V1396" i="2"/>
  <c r="U1396" i="2"/>
  <c r="AA1395" i="2"/>
  <c r="AB1395" i="2" s="1"/>
  <c r="Y1395" i="2"/>
  <c r="Z1395" i="2" s="1"/>
  <c r="V1395" i="2"/>
  <c r="U1395" i="2"/>
  <c r="AA1394" i="2"/>
  <c r="AB1394" i="2" s="1"/>
  <c r="Y1394" i="2"/>
  <c r="Z1394" i="2" s="1"/>
  <c r="V1394" i="2"/>
  <c r="U1394" i="2"/>
  <c r="AA1393" i="2"/>
  <c r="AB1393" i="2" s="1"/>
  <c r="Y1393" i="2"/>
  <c r="Z1393" i="2" s="1"/>
  <c r="V1393" i="2"/>
  <c r="U1393" i="2"/>
  <c r="AA1392" i="2"/>
  <c r="AB1392" i="2" s="1"/>
  <c r="Y1392" i="2"/>
  <c r="Z1392" i="2" s="1"/>
  <c r="V1392" i="2"/>
  <c r="U1392" i="2"/>
  <c r="AA1391" i="2"/>
  <c r="AB1391" i="2" s="1"/>
  <c r="Y1391" i="2"/>
  <c r="Z1391" i="2" s="1"/>
  <c r="V1391" i="2"/>
  <c r="U1391" i="2"/>
  <c r="AA1390" i="2"/>
  <c r="AB1390" i="2" s="1"/>
  <c r="Y1390" i="2"/>
  <c r="Z1390" i="2" s="1"/>
  <c r="V1390" i="2"/>
  <c r="U1390" i="2"/>
  <c r="AA1389" i="2"/>
  <c r="AB1389" i="2" s="1"/>
  <c r="Y1389" i="2"/>
  <c r="Z1389" i="2" s="1"/>
  <c r="V1389" i="2"/>
  <c r="U1389" i="2"/>
  <c r="AA1388" i="2"/>
  <c r="AB1388" i="2" s="1"/>
  <c r="Y1388" i="2"/>
  <c r="Z1388" i="2" s="1"/>
  <c r="V1388" i="2"/>
  <c r="U1388" i="2"/>
  <c r="AA1387" i="2"/>
  <c r="AB1387" i="2" s="1"/>
  <c r="Y1387" i="2"/>
  <c r="Z1387" i="2" s="1"/>
  <c r="V1387" i="2"/>
  <c r="U1387" i="2"/>
  <c r="AA1386" i="2"/>
  <c r="AB1386" i="2" s="1"/>
  <c r="Y1386" i="2"/>
  <c r="Z1386" i="2" s="1"/>
  <c r="V1386" i="2"/>
  <c r="U1386" i="2"/>
  <c r="AA1385" i="2"/>
  <c r="AB1385" i="2" s="1"/>
  <c r="Y1385" i="2"/>
  <c r="Z1385" i="2" s="1"/>
  <c r="V1385" i="2"/>
  <c r="U1385" i="2"/>
  <c r="AA1384" i="2"/>
  <c r="AB1384" i="2" s="1"/>
  <c r="Y1384" i="2"/>
  <c r="Z1384" i="2" s="1"/>
  <c r="V1384" i="2"/>
  <c r="U1384" i="2"/>
  <c r="AA1383" i="2"/>
  <c r="AB1383" i="2" s="1"/>
  <c r="Y1383" i="2"/>
  <c r="Z1383" i="2" s="1"/>
  <c r="V1383" i="2"/>
  <c r="U1383" i="2"/>
  <c r="AA1382" i="2"/>
  <c r="AB1382" i="2" s="1"/>
  <c r="Y1382" i="2"/>
  <c r="Z1382" i="2" s="1"/>
  <c r="V1382" i="2"/>
  <c r="U1382" i="2"/>
  <c r="AA1381" i="2"/>
  <c r="AB1381" i="2" s="1"/>
  <c r="Y1381" i="2"/>
  <c r="Z1381" i="2" s="1"/>
  <c r="V1381" i="2"/>
  <c r="U1381" i="2"/>
  <c r="AA1380" i="2"/>
  <c r="AB1380" i="2" s="1"/>
  <c r="Y1380" i="2"/>
  <c r="Z1380" i="2" s="1"/>
  <c r="V1380" i="2"/>
  <c r="U1380" i="2"/>
  <c r="AA1379" i="2"/>
  <c r="AB1379" i="2" s="1"/>
  <c r="Y1379" i="2"/>
  <c r="Z1379" i="2" s="1"/>
  <c r="V1379" i="2"/>
  <c r="U1379" i="2"/>
  <c r="AA1378" i="2"/>
  <c r="AB1378" i="2" s="1"/>
  <c r="Y1378" i="2"/>
  <c r="Z1378" i="2" s="1"/>
  <c r="V1378" i="2"/>
  <c r="U1378" i="2"/>
  <c r="AA1377" i="2"/>
  <c r="AB1377" i="2" s="1"/>
  <c r="Y1377" i="2"/>
  <c r="Z1377" i="2" s="1"/>
  <c r="V1377" i="2"/>
  <c r="U1377" i="2"/>
  <c r="AA1376" i="2"/>
  <c r="AB1376" i="2" s="1"/>
  <c r="Y1376" i="2"/>
  <c r="Z1376" i="2" s="1"/>
  <c r="V1376" i="2"/>
  <c r="U1376" i="2"/>
  <c r="AA1375" i="2"/>
  <c r="AB1375" i="2" s="1"/>
  <c r="Y1375" i="2"/>
  <c r="Z1375" i="2" s="1"/>
  <c r="V1375" i="2"/>
  <c r="U1375" i="2"/>
  <c r="AA1374" i="2"/>
  <c r="AB1374" i="2" s="1"/>
  <c r="Y1374" i="2"/>
  <c r="Z1374" i="2" s="1"/>
  <c r="V1374" i="2"/>
  <c r="U1374" i="2"/>
  <c r="AA1373" i="2"/>
  <c r="AB1373" i="2" s="1"/>
  <c r="Y1373" i="2"/>
  <c r="Z1373" i="2" s="1"/>
  <c r="V1373" i="2"/>
  <c r="U1373" i="2"/>
  <c r="AA1372" i="2"/>
  <c r="AB1372" i="2" s="1"/>
  <c r="Y1372" i="2"/>
  <c r="Z1372" i="2" s="1"/>
  <c r="V1372" i="2"/>
  <c r="U1372" i="2"/>
  <c r="AA1371" i="2"/>
  <c r="AB1371" i="2" s="1"/>
  <c r="Y1371" i="2"/>
  <c r="Z1371" i="2" s="1"/>
  <c r="V1371" i="2"/>
  <c r="U1371" i="2"/>
  <c r="AA1370" i="2"/>
  <c r="AB1370" i="2" s="1"/>
  <c r="Y1370" i="2"/>
  <c r="Z1370" i="2" s="1"/>
  <c r="V1370" i="2"/>
  <c r="U1370" i="2"/>
  <c r="AA1369" i="2"/>
  <c r="AB1369" i="2" s="1"/>
  <c r="Y1369" i="2"/>
  <c r="Z1369" i="2" s="1"/>
  <c r="V1369" i="2"/>
  <c r="U1369" i="2"/>
  <c r="AA1368" i="2"/>
  <c r="AB1368" i="2" s="1"/>
  <c r="Y1368" i="2"/>
  <c r="Z1368" i="2" s="1"/>
  <c r="V1368" i="2"/>
  <c r="U1368" i="2"/>
  <c r="AA1367" i="2"/>
  <c r="AB1367" i="2" s="1"/>
  <c r="Y1367" i="2"/>
  <c r="Z1367" i="2" s="1"/>
  <c r="V1367" i="2"/>
  <c r="U1367" i="2"/>
  <c r="AA1366" i="2"/>
  <c r="AB1366" i="2" s="1"/>
  <c r="Y1366" i="2"/>
  <c r="Z1366" i="2" s="1"/>
  <c r="V1366" i="2"/>
  <c r="U1366" i="2"/>
  <c r="AA1365" i="2"/>
  <c r="AB1365" i="2" s="1"/>
  <c r="Y1365" i="2"/>
  <c r="Z1365" i="2" s="1"/>
  <c r="V1365" i="2"/>
  <c r="U1365" i="2"/>
  <c r="AA1364" i="2"/>
  <c r="AB1364" i="2" s="1"/>
  <c r="Y1364" i="2"/>
  <c r="Z1364" i="2" s="1"/>
  <c r="V1364" i="2"/>
  <c r="U1364" i="2"/>
  <c r="AA1363" i="2"/>
  <c r="AB1363" i="2" s="1"/>
  <c r="Y1363" i="2"/>
  <c r="Z1363" i="2" s="1"/>
  <c r="V1363" i="2"/>
  <c r="U1363" i="2"/>
  <c r="AA1362" i="2"/>
  <c r="AB1362" i="2" s="1"/>
  <c r="Y1362" i="2"/>
  <c r="Z1362" i="2" s="1"/>
  <c r="V1362" i="2"/>
  <c r="U1362" i="2"/>
  <c r="AA1361" i="2"/>
  <c r="AB1361" i="2" s="1"/>
  <c r="Y1361" i="2"/>
  <c r="Z1361" i="2" s="1"/>
  <c r="V1361" i="2"/>
  <c r="U1361" i="2"/>
  <c r="AA1360" i="2"/>
  <c r="AB1360" i="2" s="1"/>
  <c r="Y1360" i="2"/>
  <c r="Z1360" i="2" s="1"/>
  <c r="V1360" i="2"/>
  <c r="U1360" i="2"/>
  <c r="AA1359" i="2"/>
  <c r="AB1359" i="2" s="1"/>
  <c r="Y1359" i="2"/>
  <c r="Z1359" i="2" s="1"/>
  <c r="V1359" i="2"/>
  <c r="U1359" i="2"/>
  <c r="AA1358" i="2"/>
  <c r="AB1358" i="2" s="1"/>
  <c r="Y1358" i="2"/>
  <c r="Z1358" i="2" s="1"/>
  <c r="V1358" i="2"/>
  <c r="U1358" i="2"/>
  <c r="AA1357" i="2"/>
  <c r="AB1357" i="2" s="1"/>
  <c r="Y1357" i="2"/>
  <c r="Z1357" i="2" s="1"/>
  <c r="V1357" i="2"/>
  <c r="U1357" i="2"/>
  <c r="AA1356" i="2"/>
  <c r="AB1356" i="2" s="1"/>
  <c r="Y1356" i="2"/>
  <c r="Z1356" i="2" s="1"/>
  <c r="V1356" i="2"/>
  <c r="U1356" i="2"/>
  <c r="AA1355" i="2"/>
  <c r="AB1355" i="2" s="1"/>
  <c r="Y1355" i="2"/>
  <c r="Z1355" i="2" s="1"/>
  <c r="V1355" i="2"/>
  <c r="U1355" i="2"/>
  <c r="AA1354" i="2"/>
  <c r="AB1354" i="2" s="1"/>
  <c r="Y1354" i="2"/>
  <c r="Z1354" i="2" s="1"/>
  <c r="V1354" i="2"/>
  <c r="U1354" i="2"/>
  <c r="AA1353" i="2"/>
  <c r="AB1353" i="2" s="1"/>
  <c r="Y1353" i="2"/>
  <c r="Z1353" i="2" s="1"/>
  <c r="V1353" i="2"/>
  <c r="U1353" i="2"/>
  <c r="AA1352" i="2"/>
  <c r="AB1352" i="2" s="1"/>
  <c r="Y1352" i="2"/>
  <c r="Z1352" i="2" s="1"/>
  <c r="V1352" i="2"/>
  <c r="U1352" i="2"/>
  <c r="AA1351" i="2"/>
  <c r="AB1351" i="2" s="1"/>
  <c r="Y1351" i="2"/>
  <c r="Z1351" i="2" s="1"/>
  <c r="V1351" i="2"/>
  <c r="U1351" i="2"/>
  <c r="AA1350" i="2"/>
  <c r="AB1350" i="2" s="1"/>
  <c r="Y1350" i="2"/>
  <c r="Z1350" i="2" s="1"/>
  <c r="V1350" i="2"/>
  <c r="U1350" i="2"/>
  <c r="AA1349" i="2"/>
  <c r="AB1349" i="2" s="1"/>
  <c r="Y1349" i="2"/>
  <c r="Z1349" i="2" s="1"/>
  <c r="V1349" i="2"/>
  <c r="U1349" i="2"/>
  <c r="AA1348" i="2"/>
  <c r="AB1348" i="2" s="1"/>
  <c r="Y1348" i="2"/>
  <c r="Z1348" i="2" s="1"/>
  <c r="V1348" i="2"/>
  <c r="U1348" i="2"/>
  <c r="AA1347" i="2"/>
  <c r="AB1347" i="2" s="1"/>
  <c r="Y1347" i="2"/>
  <c r="Z1347" i="2" s="1"/>
  <c r="V1347" i="2"/>
  <c r="U1347" i="2"/>
  <c r="AA1346" i="2"/>
  <c r="AB1346" i="2" s="1"/>
  <c r="Y1346" i="2"/>
  <c r="Z1346" i="2" s="1"/>
  <c r="V1346" i="2"/>
  <c r="U1346" i="2"/>
  <c r="AA1345" i="2"/>
  <c r="AB1345" i="2" s="1"/>
  <c r="Y1345" i="2"/>
  <c r="Z1345" i="2" s="1"/>
  <c r="V1345" i="2"/>
  <c r="U1345" i="2"/>
  <c r="AA1344" i="2"/>
  <c r="AB1344" i="2" s="1"/>
  <c r="Y1344" i="2"/>
  <c r="Z1344" i="2" s="1"/>
  <c r="V1344" i="2"/>
  <c r="U1344" i="2"/>
  <c r="AA1343" i="2"/>
  <c r="AB1343" i="2" s="1"/>
  <c r="Y1343" i="2"/>
  <c r="Z1343" i="2" s="1"/>
  <c r="V1343" i="2"/>
  <c r="U1343" i="2"/>
  <c r="AA1342" i="2"/>
  <c r="AB1342" i="2" s="1"/>
  <c r="Y1342" i="2"/>
  <c r="Z1342" i="2" s="1"/>
  <c r="V1342" i="2"/>
  <c r="U1342" i="2"/>
  <c r="AA1341" i="2"/>
  <c r="AB1341" i="2" s="1"/>
  <c r="Y1341" i="2"/>
  <c r="Z1341" i="2" s="1"/>
  <c r="V1341" i="2"/>
  <c r="U1341" i="2"/>
  <c r="AA1340" i="2"/>
  <c r="AB1340" i="2" s="1"/>
  <c r="Y1340" i="2"/>
  <c r="Z1340" i="2" s="1"/>
  <c r="V1340" i="2"/>
  <c r="U1340" i="2"/>
  <c r="AA1339" i="2"/>
  <c r="AB1339" i="2" s="1"/>
  <c r="Y1339" i="2"/>
  <c r="Z1339" i="2" s="1"/>
  <c r="V1339" i="2"/>
  <c r="U1339" i="2"/>
  <c r="AA1338" i="2"/>
  <c r="AB1338" i="2" s="1"/>
  <c r="Y1338" i="2"/>
  <c r="Z1338" i="2" s="1"/>
  <c r="V1338" i="2"/>
  <c r="U1338" i="2"/>
  <c r="AA1337" i="2"/>
  <c r="AB1337" i="2" s="1"/>
  <c r="Y1337" i="2"/>
  <c r="Z1337" i="2" s="1"/>
  <c r="V1337" i="2"/>
  <c r="U1337" i="2"/>
  <c r="AA1336" i="2"/>
  <c r="AB1336" i="2" s="1"/>
  <c r="Y1336" i="2"/>
  <c r="Z1336" i="2" s="1"/>
  <c r="V1336" i="2"/>
  <c r="U1336" i="2"/>
  <c r="AA1335" i="2"/>
  <c r="AB1335" i="2" s="1"/>
  <c r="Y1335" i="2"/>
  <c r="Z1335" i="2" s="1"/>
  <c r="V1335" i="2"/>
  <c r="U1335" i="2"/>
  <c r="AA1334" i="2"/>
  <c r="AB1334" i="2" s="1"/>
  <c r="Y1334" i="2"/>
  <c r="Z1334" i="2" s="1"/>
  <c r="V1334" i="2"/>
  <c r="U1334" i="2"/>
  <c r="AA1333" i="2"/>
  <c r="AB1333" i="2" s="1"/>
  <c r="Y1333" i="2"/>
  <c r="Z1333" i="2" s="1"/>
  <c r="V1333" i="2"/>
  <c r="U1333" i="2"/>
  <c r="AA1332" i="2"/>
  <c r="AB1332" i="2" s="1"/>
  <c r="Y1332" i="2"/>
  <c r="Z1332" i="2" s="1"/>
  <c r="V1332" i="2"/>
  <c r="U1332" i="2"/>
  <c r="AA1331" i="2"/>
  <c r="AB1331" i="2" s="1"/>
  <c r="Y1331" i="2"/>
  <c r="Z1331" i="2" s="1"/>
  <c r="V1331" i="2"/>
  <c r="U1331" i="2"/>
  <c r="AA1330" i="2"/>
  <c r="AB1330" i="2" s="1"/>
  <c r="Y1330" i="2"/>
  <c r="Z1330" i="2" s="1"/>
  <c r="V1330" i="2"/>
  <c r="U1330" i="2"/>
  <c r="AA1329" i="2"/>
  <c r="AB1329" i="2" s="1"/>
  <c r="Y1329" i="2"/>
  <c r="Z1329" i="2" s="1"/>
  <c r="V1329" i="2"/>
  <c r="U1329" i="2"/>
  <c r="AA1328" i="2"/>
  <c r="AB1328" i="2" s="1"/>
  <c r="Y1328" i="2"/>
  <c r="Z1328" i="2" s="1"/>
  <c r="V1328" i="2"/>
  <c r="U1328" i="2"/>
  <c r="AA1327" i="2"/>
  <c r="AB1327" i="2" s="1"/>
  <c r="Y1327" i="2"/>
  <c r="Z1327" i="2" s="1"/>
  <c r="V1327" i="2"/>
  <c r="U1327" i="2"/>
  <c r="AA1326" i="2"/>
  <c r="AB1326" i="2" s="1"/>
  <c r="Y1326" i="2"/>
  <c r="Z1326" i="2" s="1"/>
  <c r="V1326" i="2"/>
  <c r="U1326" i="2"/>
  <c r="AA1325" i="2"/>
  <c r="AB1325" i="2" s="1"/>
  <c r="Y1325" i="2"/>
  <c r="Z1325" i="2" s="1"/>
  <c r="V1325" i="2"/>
  <c r="U1325" i="2"/>
  <c r="AA1324" i="2"/>
  <c r="AB1324" i="2" s="1"/>
  <c r="Y1324" i="2"/>
  <c r="Z1324" i="2" s="1"/>
  <c r="V1324" i="2"/>
  <c r="U1324" i="2"/>
  <c r="AA1323" i="2"/>
  <c r="AB1323" i="2" s="1"/>
  <c r="Y1323" i="2"/>
  <c r="Z1323" i="2" s="1"/>
  <c r="V1323" i="2"/>
  <c r="U1323" i="2"/>
  <c r="AA1322" i="2"/>
  <c r="AB1322" i="2" s="1"/>
  <c r="Y1322" i="2"/>
  <c r="Z1322" i="2" s="1"/>
  <c r="V1322" i="2"/>
  <c r="U1322" i="2"/>
  <c r="AA1321" i="2"/>
  <c r="AB1321" i="2" s="1"/>
  <c r="Y1321" i="2"/>
  <c r="Z1321" i="2" s="1"/>
  <c r="V1321" i="2"/>
  <c r="U1321" i="2"/>
  <c r="AA1320" i="2"/>
  <c r="AB1320" i="2" s="1"/>
  <c r="Y1320" i="2"/>
  <c r="Z1320" i="2" s="1"/>
  <c r="V1320" i="2"/>
  <c r="U1320" i="2"/>
  <c r="AA1319" i="2"/>
  <c r="AB1319" i="2" s="1"/>
  <c r="Y1319" i="2"/>
  <c r="Z1319" i="2" s="1"/>
  <c r="V1319" i="2"/>
  <c r="U1319" i="2"/>
  <c r="AA1318" i="2"/>
  <c r="AB1318" i="2" s="1"/>
  <c r="Y1318" i="2"/>
  <c r="Z1318" i="2" s="1"/>
  <c r="V1318" i="2"/>
  <c r="U1318" i="2"/>
  <c r="AA1317" i="2"/>
  <c r="AB1317" i="2" s="1"/>
  <c r="Y1317" i="2"/>
  <c r="Z1317" i="2" s="1"/>
  <c r="V1317" i="2"/>
  <c r="U1317" i="2"/>
  <c r="AA1316" i="2"/>
  <c r="AB1316" i="2" s="1"/>
  <c r="Y1316" i="2"/>
  <c r="Z1316" i="2" s="1"/>
  <c r="V1316" i="2"/>
  <c r="U1316" i="2"/>
  <c r="AA1315" i="2"/>
  <c r="AB1315" i="2" s="1"/>
  <c r="Y1315" i="2"/>
  <c r="Z1315" i="2" s="1"/>
  <c r="V1315" i="2"/>
  <c r="U1315" i="2"/>
  <c r="AA1314" i="2"/>
  <c r="AB1314" i="2" s="1"/>
  <c r="Y1314" i="2"/>
  <c r="Z1314" i="2" s="1"/>
  <c r="V1314" i="2"/>
  <c r="U1314" i="2"/>
  <c r="AA1313" i="2"/>
  <c r="AB1313" i="2" s="1"/>
  <c r="Y1313" i="2"/>
  <c r="Z1313" i="2" s="1"/>
  <c r="V1313" i="2"/>
  <c r="U1313" i="2"/>
  <c r="AA1312" i="2"/>
  <c r="AB1312" i="2" s="1"/>
  <c r="Y1312" i="2"/>
  <c r="Z1312" i="2" s="1"/>
  <c r="V1312" i="2"/>
  <c r="U1312" i="2"/>
  <c r="AA1311" i="2"/>
  <c r="AB1311" i="2" s="1"/>
  <c r="Y1311" i="2"/>
  <c r="Z1311" i="2" s="1"/>
  <c r="V1311" i="2"/>
  <c r="U1311" i="2"/>
  <c r="AA1310" i="2"/>
  <c r="AB1310" i="2" s="1"/>
  <c r="Y1310" i="2"/>
  <c r="Z1310" i="2" s="1"/>
  <c r="V1310" i="2"/>
  <c r="U1310" i="2"/>
  <c r="AA1309" i="2"/>
  <c r="AB1309" i="2" s="1"/>
  <c r="Y1309" i="2"/>
  <c r="Z1309" i="2" s="1"/>
  <c r="V1309" i="2"/>
  <c r="U1309" i="2"/>
  <c r="AA1308" i="2"/>
  <c r="AB1308" i="2" s="1"/>
  <c r="Y1308" i="2"/>
  <c r="Z1308" i="2" s="1"/>
  <c r="V1308" i="2"/>
  <c r="U1308" i="2"/>
  <c r="AA1307" i="2"/>
  <c r="AB1307" i="2" s="1"/>
  <c r="Y1307" i="2"/>
  <c r="Z1307" i="2" s="1"/>
  <c r="V1307" i="2"/>
  <c r="U1307" i="2"/>
  <c r="AA1306" i="2"/>
  <c r="AB1306" i="2" s="1"/>
  <c r="Y1306" i="2"/>
  <c r="Z1306" i="2" s="1"/>
  <c r="V1306" i="2"/>
  <c r="U1306" i="2"/>
  <c r="AA1305" i="2"/>
  <c r="AB1305" i="2" s="1"/>
  <c r="Y1305" i="2"/>
  <c r="Z1305" i="2" s="1"/>
  <c r="V1305" i="2"/>
  <c r="U1305" i="2"/>
  <c r="AA1304" i="2"/>
  <c r="AB1304" i="2" s="1"/>
  <c r="Y1304" i="2"/>
  <c r="Z1304" i="2" s="1"/>
  <c r="V1304" i="2"/>
  <c r="U1304" i="2"/>
  <c r="AA1303" i="2"/>
  <c r="AB1303" i="2" s="1"/>
  <c r="Y1303" i="2"/>
  <c r="Z1303" i="2" s="1"/>
  <c r="V1303" i="2"/>
  <c r="U1303" i="2"/>
  <c r="AA1302" i="2"/>
  <c r="AB1302" i="2" s="1"/>
  <c r="Y1302" i="2"/>
  <c r="Z1302" i="2" s="1"/>
  <c r="V1302" i="2"/>
  <c r="U1302" i="2"/>
  <c r="AA1301" i="2"/>
  <c r="AB1301" i="2" s="1"/>
  <c r="Y1301" i="2"/>
  <c r="Z1301" i="2" s="1"/>
  <c r="V1301" i="2"/>
  <c r="U1301" i="2"/>
  <c r="AA1300" i="2"/>
  <c r="AB1300" i="2" s="1"/>
  <c r="Y1300" i="2"/>
  <c r="Z1300" i="2" s="1"/>
  <c r="V1300" i="2"/>
  <c r="U1300" i="2"/>
  <c r="AA1299" i="2"/>
  <c r="AB1299" i="2" s="1"/>
  <c r="Y1299" i="2"/>
  <c r="Z1299" i="2" s="1"/>
  <c r="V1299" i="2"/>
  <c r="U1299" i="2"/>
  <c r="AA1298" i="2"/>
  <c r="AB1298" i="2" s="1"/>
  <c r="Y1298" i="2"/>
  <c r="Z1298" i="2" s="1"/>
  <c r="V1298" i="2"/>
  <c r="U1298" i="2"/>
  <c r="AA1297" i="2"/>
  <c r="AB1297" i="2" s="1"/>
  <c r="Y1297" i="2"/>
  <c r="Z1297" i="2" s="1"/>
  <c r="V1297" i="2"/>
  <c r="U1297" i="2"/>
  <c r="AA1296" i="2"/>
  <c r="AB1296" i="2" s="1"/>
  <c r="Y1296" i="2"/>
  <c r="Z1296" i="2" s="1"/>
  <c r="V1296" i="2"/>
  <c r="U1296" i="2"/>
  <c r="AA1295" i="2"/>
  <c r="AB1295" i="2" s="1"/>
  <c r="Y1295" i="2"/>
  <c r="Z1295" i="2" s="1"/>
  <c r="V1295" i="2"/>
  <c r="U1295" i="2"/>
  <c r="AA1294" i="2"/>
  <c r="AB1294" i="2" s="1"/>
  <c r="Y1294" i="2"/>
  <c r="Z1294" i="2" s="1"/>
  <c r="V1294" i="2"/>
  <c r="U1294" i="2"/>
  <c r="AA1293" i="2"/>
  <c r="AB1293" i="2" s="1"/>
  <c r="Y1293" i="2"/>
  <c r="Z1293" i="2" s="1"/>
  <c r="V1293" i="2"/>
  <c r="U1293" i="2"/>
  <c r="AA1292" i="2"/>
  <c r="AB1292" i="2" s="1"/>
  <c r="Y1292" i="2"/>
  <c r="Z1292" i="2" s="1"/>
  <c r="V1292" i="2"/>
  <c r="U1292" i="2"/>
  <c r="AA1291" i="2"/>
  <c r="AB1291" i="2" s="1"/>
  <c r="Y1291" i="2"/>
  <c r="Z1291" i="2" s="1"/>
  <c r="V1291" i="2"/>
  <c r="U1291" i="2"/>
  <c r="AA1290" i="2"/>
  <c r="AB1290" i="2" s="1"/>
  <c r="Y1290" i="2"/>
  <c r="Z1290" i="2" s="1"/>
  <c r="V1290" i="2"/>
  <c r="U1290" i="2"/>
  <c r="AA1289" i="2"/>
  <c r="AB1289" i="2" s="1"/>
  <c r="Y1289" i="2"/>
  <c r="Z1289" i="2" s="1"/>
  <c r="V1289" i="2"/>
  <c r="U1289" i="2"/>
  <c r="AA1288" i="2"/>
  <c r="AB1288" i="2" s="1"/>
  <c r="Y1288" i="2"/>
  <c r="Z1288" i="2" s="1"/>
  <c r="V1288" i="2"/>
  <c r="U1288" i="2"/>
  <c r="AA1287" i="2"/>
  <c r="AB1287" i="2" s="1"/>
  <c r="Y1287" i="2"/>
  <c r="Z1287" i="2" s="1"/>
  <c r="V1287" i="2"/>
  <c r="U1287" i="2"/>
  <c r="AA1286" i="2"/>
  <c r="AB1286" i="2" s="1"/>
  <c r="Y1286" i="2"/>
  <c r="Z1286" i="2" s="1"/>
  <c r="V1286" i="2"/>
  <c r="U1286" i="2"/>
  <c r="AA1285" i="2"/>
  <c r="AB1285" i="2" s="1"/>
  <c r="Y1285" i="2"/>
  <c r="Z1285" i="2" s="1"/>
  <c r="V1285" i="2"/>
  <c r="U1285" i="2"/>
  <c r="AA1284" i="2"/>
  <c r="AB1284" i="2" s="1"/>
  <c r="Y1284" i="2"/>
  <c r="Z1284" i="2" s="1"/>
  <c r="V1284" i="2"/>
  <c r="U1284" i="2"/>
  <c r="AA1283" i="2"/>
  <c r="AB1283" i="2" s="1"/>
  <c r="Y1283" i="2"/>
  <c r="Z1283" i="2" s="1"/>
  <c r="V1283" i="2"/>
  <c r="U1283" i="2"/>
  <c r="AA1282" i="2"/>
  <c r="AB1282" i="2" s="1"/>
  <c r="Y1282" i="2"/>
  <c r="Z1282" i="2" s="1"/>
  <c r="V1282" i="2"/>
  <c r="U1282" i="2"/>
  <c r="AA1281" i="2"/>
  <c r="AB1281" i="2" s="1"/>
  <c r="Y1281" i="2"/>
  <c r="Z1281" i="2" s="1"/>
  <c r="V1281" i="2"/>
  <c r="U1281" i="2"/>
  <c r="AA1280" i="2"/>
  <c r="AB1280" i="2" s="1"/>
  <c r="Y1280" i="2"/>
  <c r="Z1280" i="2" s="1"/>
  <c r="V1280" i="2"/>
  <c r="U1280" i="2"/>
  <c r="AA1279" i="2"/>
  <c r="AB1279" i="2" s="1"/>
  <c r="Y1279" i="2"/>
  <c r="Z1279" i="2" s="1"/>
  <c r="V1279" i="2"/>
  <c r="U1279" i="2"/>
  <c r="AA1278" i="2"/>
  <c r="AB1278" i="2" s="1"/>
  <c r="Y1278" i="2"/>
  <c r="Z1278" i="2" s="1"/>
  <c r="V1278" i="2"/>
  <c r="U1278" i="2"/>
  <c r="AA1277" i="2"/>
  <c r="AB1277" i="2" s="1"/>
  <c r="Y1277" i="2"/>
  <c r="Z1277" i="2" s="1"/>
  <c r="V1277" i="2"/>
  <c r="U1277" i="2"/>
  <c r="AA1276" i="2"/>
  <c r="AB1276" i="2" s="1"/>
  <c r="Y1276" i="2"/>
  <c r="Z1276" i="2" s="1"/>
  <c r="V1276" i="2"/>
  <c r="U1276" i="2"/>
  <c r="AA1275" i="2"/>
  <c r="AB1275" i="2" s="1"/>
  <c r="Y1275" i="2"/>
  <c r="Z1275" i="2" s="1"/>
  <c r="V1275" i="2"/>
  <c r="U1275" i="2"/>
  <c r="AA1274" i="2"/>
  <c r="AB1274" i="2" s="1"/>
  <c r="Y1274" i="2"/>
  <c r="Z1274" i="2" s="1"/>
  <c r="V1274" i="2"/>
  <c r="U1274" i="2"/>
  <c r="AA1273" i="2"/>
  <c r="AB1273" i="2" s="1"/>
  <c r="Y1273" i="2"/>
  <c r="Z1273" i="2" s="1"/>
  <c r="V1273" i="2"/>
  <c r="U1273" i="2"/>
  <c r="AA1272" i="2"/>
  <c r="AB1272" i="2" s="1"/>
  <c r="Y1272" i="2"/>
  <c r="Z1272" i="2" s="1"/>
  <c r="V1272" i="2"/>
  <c r="U1272" i="2"/>
  <c r="AA1271" i="2"/>
  <c r="AB1271" i="2" s="1"/>
  <c r="Y1271" i="2"/>
  <c r="Z1271" i="2" s="1"/>
  <c r="V1271" i="2"/>
  <c r="U1271" i="2"/>
  <c r="AA1270" i="2"/>
  <c r="AB1270" i="2" s="1"/>
  <c r="Y1270" i="2"/>
  <c r="Z1270" i="2" s="1"/>
  <c r="V1270" i="2"/>
  <c r="U1270" i="2"/>
  <c r="AA1269" i="2"/>
  <c r="AB1269" i="2" s="1"/>
  <c r="Y1269" i="2"/>
  <c r="Z1269" i="2" s="1"/>
  <c r="V1269" i="2"/>
  <c r="U1269" i="2"/>
  <c r="AA1268" i="2"/>
  <c r="AB1268" i="2" s="1"/>
  <c r="Y1268" i="2"/>
  <c r="Z1268" i="2" s="1"/>
  <c r="V1268" i="2"/>
  <c r="U1268" i="2"/>
  <c r="AA1267" i="2"/>
  <c r="AB1267" i="2" s="1"/>
  <c r="Y1267" i="2"/>
  <c r="Z1267" i="2" s="1"/>
  <c r="V1267" i="2"/>
  <c r="U1267" i="2"/>
  <c r="AA1266" i="2"/>
  <c r="AB1266" i="2" s="1"/>
  <c r="Y1266" i="2"/>
  <c r="Z1266" i="2" s="1"/>
  <c r="V1266" i="2"/>
  <c r="U1266" i="2"/>
  <c r="AA1265" i="2"/>
  <c r="AB1265" i="2" s="1"/>
  <c r="Y1265" i="2"/>
  <c r="Z1265" i="2" s="1"/>
  <c r="V1265" i="2"/>
  <c r="U1265" i="2"/>
  <c r="AA1264" i="2"/>
  <c r="AB1264" i="2" s="1"/>
  <c r="Y1264" i="2"/>
  <c r="Z1264" i="2" s="1"/>
  <c r="V1264" i="2"/>
  <c r="U1264" i="2"/>
  <c r="AA1263" i="2"/>
  <c r="AB1263" i="2" s="1"/>
  <c r="Y1263" i="2"/>
  <c r="Z1263" i="2" s="1"/>
  <c r="V1263" i="2"/>
  <c r="U1263" i="2"/>
  <c r="AA1262" i="2"/>
  <c r="AB1262" i="2" s="1"/>
  <c r="Y1262" i="2"/>
  <c r="Z1262" i="2" s="1"/>
  <c r="V1262" i="2"/>
  <c r="U1262" i="2"/>
  <c r="AA1261" i="2"/>
  <c r="AB1261" i="2" s="1"/>
  <c r="Y1261" i="2"/>
  <c r="Z1261" i="2" s="1"/>
  <c r="V1261" i="2"/>
  <c r="U1261" i="2"/>
  <c r="AA1260" i="2"/>
  <c r="AB1260" i="2" s="1"/>
  <c r="Y1260" i="2"/>
  <c r="Z1260" i="2" s="1"/>
  <c r="V1260" i="2"/>
  <c r="U1260" i="2"/>
  <c r="AA1259" i="2"/>
  <c r="AB1259" i="2" s="1"/>
  <c r="Y1259" i="2"/>
  <c r="Z1259" i="2" s="1"/>
  <c r="V1259" i="2"/>
  <c r="U1259" i="2"/>
  <c r="AA1258" i="2"/>
  <c r="AB1258" i="2" s="1"/>
  <c r="Y1258" i="2"/>
  <c r="Z1258" i="2" s="1"/>
  <c r="V1258" i="2"/>
  <c r="U1258" i="2"/>
  <c r="AA1257" i="2"/>
  <c r="AB1257" i="2" s="1"/>
  <c r="Y1257" i="2"/>
  <c r="Z1257" i="2" s="1"/>
  <c r="V1257" i="2"/>
  <c r="U1257" i="2"/>
  <c r="AA1256" i="2"/>
  <c r="AB1256" i="2" s="1"/>
  <c r="Y1256" i="2"/>
  <c r="Z1256" i="2" s="1"/>
  <c r="V1256" i="2"/>
  <c r="U1256" i="2"/>
  <c r="AA1255" i="2"/>
  <c r="AB1255" i="2" s="1"/>
  <c r="Y1255" i="2"/>
  <c r="Z1255" i="2" s="1"/>
  <c r="V1255" i="2"/>
  <c r="U1255" i="2"/>
  <c r="AA1254" i="2"/>
  <c r="AB1254" i="2" s="1"/>
  <c r="Y1254" i="2"/>
  <c r="Z1254" i="2" s="1"/>
  <c r="V1254" i="2"/>
  <c r="U1254" i="2"/>
  <c r="AA1253" i="2"/>
  <c r="AB1253" i="2" s="1"/>
  <c r="Y1253" i="2"/>
  <c r="Z1253" i="2" s="1"/>
  <c r="V1253" i="2"/>
  <c r="U1253" i="2"/>
  <c r="AA1252" i="2"/>
  <c r="AB1252" i="2" s="1"/>
  <c r="Y1252" i="2"/>
  <c r="Z1252" i="2" s="1"/>
  <c r="V1252" i="2"/>
  <c r="U1252" i="2"/>
  <c r="AA1251" i="2"/>
  <c r="AB1251" i="2" s="1"/>
  <c r="Y1251" i="2"/>
  <c r="Z1251" i="2" s="1"/>
  <c r="V1251" i="2"/>
  <c r="U1251" i="2"/>
  <c r="AA1250" i="2"/>
  <c r="AB1250" i="2" s="1"/>
  <c r="Y1250" i="2"/>
  <c r="Z1250" i="2" s="1"/>
  <c r="V1250" i="2"/>
  <c r="U1250" i="2"/>
  <c r="AA1249" i="2"/>
  <c r="AB1249" i="2" s="1"/>
  <c r="Y1249" i="2"/>
  <c r="Z1249" i="2" s="1"/>
  <c r="V1249" i="2"/>
  <c r="U1249" i="2"/>
  <c r="AA1248" i="2"/>
  <c r="AB1248" i="2" s="1"/>
  <c r="Y1248" i="2"/>
  <c r="Z1248" i="2" s="1"/>
  <c r="V1248" i="2"/>
  <c r="U1248" i="2"/>
  <c r="AA1247" i="2"/>
  <c r="AB1247" i="2" s="1"/>
  <c r="Y1247" i="2"/>
  <c r="Z1247" i="2" s="1"/>
  <c r="V1247" i="2"/>
  <c r="U1247" i="2"/>
  <c r="AA1246" i="2"/>
  <c r="AB1246" i="2" s="1"/>
  <c r="Y1246" i="2"/>
  <c r="Z1246" i="2" s="1"/>
  <c r="V1246" i="2"/>
  <c r="U1246" i="2"/>
  <c r="AA1245" i="2"/>
  <c r="AB1245" i="2" s="1"/>
  <c r="Y1245" i="2"/>
  <c r="Z1245" i="2" s="1"/>
  <c r="V1245" i="2"/>
  <c r="U1245" i="2"/>
  <c r="AA1244" i="2"/>
  <c r="AB1244" i="2" s="1"/>
  <c r="Y1244" i="2"/>
  <c r="Z1244" i="2" s="1"/>
  <c r="V1244" i="2"/>
  <c r="U1244" i="2"/>
  <c r="AA1243" i="2"/>
  <c r="AB1243" i="2" s="1"/>
  <c r="Y1243" i="2"/>
  <c r="Z1243" i="2" s="1"/>
  <c r="V1243" i="2"/>
  <c r="U1243" i="2"/>
  <c r="AA1242" i="2"/>
  <c r="AB1242" i="2" s="1"/>
  <c r="Y1242" i="2"/>
  <c r="Z1242" i="2" s="1"/>
  <c r="V1242" i="2"/>
  <c r="U1242" i="2"/>
  <c r="AA1241" i="2"/>
  <c r="AB1241" i="2" s="1"/>
  <c r="Y1241" i="2"/>
  <c r="Z1241" i="2" s="1"/>
  <c r="V1241" i="2"/>
  <c r="U1241" i="2"/>
  <c r="AA1240" i="2"/>
  <c r="AB1240" i="2" s="1"/>
  <c r="Y1240" i="2"/>
  <c r="Z1240" i="2" s="1"/>
  <c r="V1240" i="2"/>
  <c r="U1240" i="2"/>
  <c r="AA1239" i="2"/>
  <c r="AB1239" i="2" s="1"/>
  <c r="Y1239" i="2"/>
  <c r="Z1239" i="2" s="1"/>
  <c r="V1239" i="2"/>
  <c r="U1239" i="2"/>
  <c r="AA1238" i="2"/>
  <c r="AB1238" i="2" s="1"/>
  <c r="Y1238" i="2"/>
  <c r="Z1238" i="2" s="1"/>
  <c r="V1238" i="2"/>
  <c r="U1238" i="2"/>
  <c r="AA1237" i="2"/>
  <c r="AB1237" i="2" s="1"/>
  <c r="Y1237" i="2"/>
  <c r="Z1237" i="2" s="1"/>
  <c r="V1237" i="2"/>
  <c r="U1237" i="2"/>
  <c r="AA1236" i="2"/>
  <c r="AB1236" i="2" s="1"/>
  <c r="Y1236" i="2"/>
  <c r="Z1236" i="2" s="1"/>
  <c r="V1236" i="2"/>
  <c r="U1236" i="2"/>
  <c r="AA1235" i="2"/>
  <c r="AB1235" i="2" s="1"/>
  <c r="Y1235" i="2"/>
  <c r="Z1235" i="2" s="1"/>
  <c r="V1235" i="2"/>
  <c r="U1235" i="2"/>
  <c r="AA1234" i="2"/>
  <c r="AB1234" i="2" s="1"/>
  <c r="Y1234" i="2"/>
  <c r="Z1234" i="2" s="1"/>
  <c r="V1234" i="2"/>
  <c r="U1234" i="2"/>
  <c r="AA1233" i="2"/>
  <c r="AB1233" i="2" s="1"/>
  <c r="Y1233" i="2"/>
  <c r="Z1233" i="2" s="1"/>
  <c r="V1233" i="2"/>
  <c r="U1233" i="2"/>
  <c r="AA1232" i="2"/>
  <c r="AB1232" i="2" s="1"/>
  <c r="Y1232" i="2"/>
  <c r="Z1232" i="2" s="1"/>
  <c r="V1232" i="2"/>
  <c r="U1232" i="2"/>
  <c r="AA1231" i="2"/>
  <c r="AB1231" i="2" s="1"/>
  <c r="Y1231" i="2"/>
  <c r="Z1231" i="2" s="1"/>
  <c r="V1231" i="2"/>
  <c r="U1231" i="2"/>
  <c r="AA1230" i="2"/>
  <c r="AB1230" i="2" s="1"/>
  <c r="Y1230" i="2"/>
  <c r="Z1230" i="2" s="1"/>
  <c r="V1230" i="2"/>
  <c r="U1230" i="2"/>
  <c r="AA1229" i="2"/>
  <c r="AB1229" i="2" s="1"/>
  <c r="Y1229" i="2"/>
  <c r="Z1229" i="2" s="1"/>
  <c r="V1229" i="2"/>
  <c r="U1229" i="2"/>
  <c r="AA1228" i="2"/>
  <c r="AB1228" i="2" s="1"/>
  <c r="Y1228" i="2"/>
  <c r="Z1228" i="2" s="1"/>
  <c r="V1228" i="2"/>
  <c r="U1228" i="2"/>
  <c r="AA1227" i="2"/>
  <c r="AB1227" i="2" s="1"/>
  <c r="Y1227" i="2"/>
  <c r="Z1227" i="2" s="1"/>
  <c r="V1227" i="2"/>
  <c r="U1227" i="2"/>
  <c r="AA1226" i="2"/>
  <c r="AB1226" i="2" s="1"/>
  <c r="Y1226" i="2"/>
  <c r="Z1226" i="2" s="1"/>
  <c r="V1226" i="2"/>
  <c r="U1226" i="2"/>
  <c r="AA1225" i="2"/>
  <c r="AB1225" i="2" s="1"/>
  <c r="Y1225" i="2"/>
  <c r="Z1225" i="2" s="1"/>
  <c r="V1225" i="2"/>
  <c r="U1225" i="2"/>
  <c r="AA1224" i="2"/>
  <c r="AB1224" i="2" s="1"/>
  <c r="Y1224" i="2"/>
  <c r="Z1224" i="2" s="1"/>
  <c r="V1224" i="2"/>
  <c r="U1224" i="2"/>
  <c r="AA1223" i="2"/>
  <c r="AB1223" i="2" s="1"/>
  <c r="Y1223" i="2"/>
  <c r="Z1223" i="2" s="1"/>
  <c r="V1223" i="2"/>
  <c r="U1223" i="2"/>
  <c r="AA1222" i="2"/>
  <c r="AB1222" i="2" s="1"/>
  <c r="Y1222" i="2"/>
  <c r="Z1222" i="2" s="1"/>
  <c r="V1222" i="2"/>
  <c r="U1222" i="2"/>
  <c r="AA1221" i="2"/>
  <c r="AB1221" i="2" s="1"/>
  <c r="Y1221" i="2"/>
  <c r="Z1221" i="2" s="1"/>
  <c r="V1221" i="2"/>
  <c r="U1221" i="2"/>
  <c r="AA1220" i="2"/>
  <c r="AB1220" i="2" s="1"/>
  <c r="Y1220" i="2"/>
  <c r="Z1220" i="2" s="1"/>
  <c r="V1220" i="2"/>
  <c r="U1220" i="2"/>
  <c r="AA1219" i="2"/>
  <c r="AB1219" i="2" s="1"/>
  <c r="Y1219" i="2"/>
  <c r="Z1219" i="2" s="1"/>
  <c r="V1219" i="2"/>
  <c r="U1219" i="2"/>
  <c r="AA1218" i="2"/>
  <c r="AB1218" i="2" s="1"/>
  <c r="Y1218" i="2"/>
  <c r="Z1218" i="2" s="1"/>
  <c r="V1218" i="2"/>
  <c r="U1218" i="2"/>
  <c r="AA1217" i="2"/>
  <c r="AB1217" i="2" s="1"/>
  <c r="Y1217" i="2"/>
  <c r="Z1217" i="2" s="1"/>
  <c r="V1217" i="2"/>
  <c r="U1217" i="2"/>
  <c r="AA1216" i="2"/>
  <c r="AB1216" i="2" s="1"/>
  <c r="Y1216" i="2"/>
  <c r="Z1216" i="2" s="1"/>
  <c r="V1216" i="2"/>
  <c r="U1216" i="2"/>
  <c r="AA1215" i="2"/>
  <c r="AB1215" i="2" s="1"/>
  <c r="Y1215" i="2"/>
  <c r="Z1215" i="2" s="1"/>
  <c r="V1215" i="2"/>
  <c r="U1215" i="2"/>
  <c r="AA1214" i="2"/>
  <c r="AB1214" i="2" s="1"/>
  <c r="Y1214" i="2"/>
  <c r="Z1214" i="2" s="1"/>
  <c r="V1214" i="2"/>
  <c r="U1214" i="2"/>
  <c r="AA1213" i="2"/>
  <c r="AB1213" i="2" s="1"/>
  <c r="Y1213" i="2"/>
  <c r="Z1213" i="2" s="1"/>
  <c r="V1213" i="2"/>
  <c r="U1213" i="2"/>
  <c r="AA1212" i="2"/>
  <c r="AB1212" i="2" s="1"/>
  <c r="Y1212" i="2"/>
  <c r="Z1212" i="2" s="1"/>
  <c r="V1212" i="2"/>
  <c r="U1212" i="2"/>
  <c r="AA1211" i="2"/>
  <c r="AB1211" i="2" s="1"/>
  <c r="Y1211" i="2"/>
  <c r="Z1211" i="2" s="1"/>
  <c r="V1211" i="2"/>
  <c r="U1211" i="2"/>
  <c r="AA1210" i="2"/>
  <c r="AB1210" i="2" s="1"/>
  <c r="Y1210" i="2"/>
  <c r="Z1210" i="2" s="1"/>
  <c r="V1210" i="2"/>
  <c r="U1210" i="2"/>
  <c r="AA1209" i="2"/>
  <c r="AB1209" i="2" s="1"/>
  <c r="Y1209" i="2"/>
  <c r="Z1209" i="2" s="1"/>
  <c r="V1209" i="2"/>
  <c r="U1209" i="2"/>
  <c r="AA1208" i="2"/>
  <c r="AB1208" i="2" s="1"/>
  <c r="Y1208" i="2"/>
  <c r="Z1208" i="2" s="1"/>
  <c r="V1208" i="2"/>
  <c r="U1208" i="2"/>
  <c r="AA1207" i="2"/>
  <c r="AB1207" i="2" s="1"/>
  <c r="Y1207" i="2"/>
  <c r="Z1207" i="2" s="1"/>
  <c r="V1207" i="2"/>
  <c r="U1207" i="2"/>
  <c r="AA1206" i="2"/>
  <c r="AB1206" i="2" s="1"/>
  <c r="Y1206" i="2"/>
  <c r="Z1206" i="2" s="1"/>
  <c r="V1206" i="2"/>
  <c r="U1206" i="2"/>
  <c r="AA1205" i="2"/>
  <c r="AB1205" i="2" s="1"/>
  <c r="Y1205" i="2"/>
  <c r="Z1205" i="2" s="1"/>
  <c r="V1205" i="2"/>
  <c r="U1205" i="2"/>
  <c r="AA1204" i="2"/>
  <c r="AB1204" i="2" s="1"/>
  <c r="Y1204" i="2"/>
  <c r="Z1204" i="2" s="1"/>
  <c r="V1204" i="2"/>
  <c r="U1204" i="2"/>
  <c r="AA1203" i="2"/>
  <c r="AB1203" i="2" s="1"/>
  <c r="Y1203" i="2"/>
  <c r="Z1203" i="2" s="1"/>
  <c r="V1203" i="2"/>
  <c r="U1203" i="2"/>
  <c r="AA1202" i="2"/>
  <c r="AB1202" i="2" s="1"/>
  <c r="Y1202" i="2"/>
  <c r="Z1202" i="2" s="1"/>
  <c r="V1202" i="2"/>
  <c r="U1202" i="2"/>
  <c r="AA1201" i="2"/>
  <c r="AB1201" i="2" s="1"/>
  <c r="Y1201" i="2"/>
  <c r="Z1201" i="2" s="1"/>
  <c r="V1201" i="2"/>
  <c r="U1201" i="2"/>
  <c r="AA1200" i="2"/>
  <c r="AB1200" i="2" s="1"/>
  <c r="Y1200" i="2"/>
  <c r="Z1200" i="2" s="1"/>
  <c r="V1200" i="2"/>
  <c r="U1200" i="2"/>
  <c r="AA1199" i="2"/>
  <c r="AB1199" i="2" s="1"/>
  <c r="Y1199" i="2"/>
  <c r="Z1199" i="2" s="1"/>
  <c r="V1199" i="2"/>
  <c r="U1199" i="2"/>
  <c r="AA1198" i="2"/>
  <c r="AB1198" i="2" s="1"/>
  <c r="Y1198" i="2"/>
  <c r="Z1198" i="2" s="1"/>
  <c r="V1198" i="2"/>
  <c r="U1198" i="2"/>
  <c r="AA1197" i="2"/>
  <c r="AB1197" i="2" s="1"/>
  <c r="Y1197" i="2"/>
  <c r="Z1197" i="2" s="1"/>
  <c r="V1197" i="2"/>
  <c r="U1197" i="2"/>
  <c r="AA1196" i="2"/>
  <c r="AB1196" i="2" s="1"/>
  <c r="Y1196" i="2"/>
  <c r="Z1196" i="2" s="1"/>
  <c r="V1196" i="2"/>
  <c r="U1196" i="2"/>
  <c r="AA1195" i="2"/>
  <c r="AB1195" i="2" s="1"/>
  <c r="Y1195" i="2"/>
  <c r="Z1195" i="2" s="1"/>
  <c r="V1195" i="2"/>
  <c r="U1195" i="2"/>
  <c r="AA1194" i="2"/>
  <c r="AB1194" i="2" s="1"/>
  <c r="Y1194" i="2"/>
  <c r="Z1194" i="2" s="1"/>
  <c r="V1194" i="2"/>
  <c r="U1194" i="2"/>
  <c r="AA1193" i="2"/>
  <c r="AB1193" i="2" s="1"/>
  <c r="Y1193" i="2"/>
  <c r="Z1193" i="2" s="1"/>
  <c r="V1193" i="2"/>
  <c r="U1193" i="2"/>
  <c r="AA1192" i="2"/>
  <c r="AB1192" i="2" s="1"/>
  <c r="Y1192" i="2"/>
  <c r="Z1192" i="2" s="1"/>
  <c r="V1192" i="2"/>
  <c r="U1192" i="2"/>
  <c r="AA1191" i="2"/>
  <c r="AB1191" i="2" s="1"/>
  <c r="Y1191" i="2"/>
  <c r="Z1191" i="2" s="1"/>
  <c r="V1191" i="2"/>
  <c r="U1191" i="2"/>
  <c r="AA1190" i="2"/>
  <c r="AB1190" i="2" s="1"/>
  <c r="Y1190" i="2"/>
  <c r="Z1190" i="2" s="1"/>
  <c r="V1190" i="2"/>
  <c r="U1190" i="2"/>
  <c r="AA1189" i="2"/>
  <c r="AB1189" i="2" s="1"/>
  <c r="Y1189" i="2"/>
  <c r="Z1189" i="2" s="1"/>
  <c r="V1189" i="2"/>
  <c r="U1189" i="2"/>
  <c r="AA1188" i="2"/>
  <c r="AB1188" i="2" s="1"/>
  <c r="Y1188" i="2"/>
  <c r="Z1188" i="2" s="1"/>
  <c r="V1188" i="2"/>
  <c r="U1188" i="2"/>
  <c r="AA1187" i="2"/>
  <c r="AB1187" i="2" s="1"/>
  <c r="Y1187" i="2"/>
  <c r="Z1187" i="2" s="1"/>
  <c r="V1187" i="2"/>
  <c r="U1187" i="2"/>
  <c r="AA1186" i="2"/>
  <c r="AB1186" i="2" s="1"/>
  <c r="Y1186" i="2"/>
  <c r="Z1186" i="2" s="1"/>
  <c r="V1186" i="2"/>
  <c r="U1186" i="2"/>
  <c r="AA1185" i="2"/>
  <c r="AB1185" i="2" s="1"/>
  <c r="Y1185" i="2"/>
  <c r="Z1185" i="2" s="1"/>
  <c r="V1185" i="2"/>
  <c r="U1185" i="2"/>
  <c r="AA1184" i="2"/>
  <c r="AB1184" i="2" s="1"/>
  <c r="Y1184" i="2"/>
  <c r="Z1184" i="2" s="1"/>
  <c r="V1184" i="2"/>
  <c r="U1184" i="2"/>
  <c r="AA1183" i="2"/>
  <c r="AB1183" i="2" s="1"/>
  <c r="Y1183" i="2"/>
  <c r="Z1183" i="2" s="1"/>
  <c r="V1183" i="2"/>
  <c r="U1183" i="2"/>
  <c r="AA1182" i="2"/>
  <c r="AB1182" i="2" s="1"/>
  <c r="Y1182" i="2"/>
  <c r="Z1182" i="2" s="1"/>
  <c r="V1182" i="2"/>
  <c r="U1182" i="2"/>
  <c r="AA1181" i="2"/>
  <c r="AB1181" i="2" s="1"/>
  <c r="Y1181" i="2"/>
  <c r="Z1181" i="2" s="1"/>
  <c r="V1181" i="2"/>
  <c r="U1181" i="2"/>
  <c r="AA1180" i="2"/>
  <c r="AB1180" i="2" s="1"/>
  <c r="Y1180" i="2"/>
  <c r="Z1180" i="2" s="1"/>
  <c r="V1180" i="2"/>
  <c r="U1180" i="2"/>
  <c r="AA1179" i="2"/>
  <c r="AB1179" i="2" s="1"/>
  <c r="Y1179" i="2"/>
  <c r="Z1179" i="2" s="1"/>
  <c r="V1179" i="2"/>
  <c r="U1179" i="2"/>
  <c r="AA1178" i="2"/>
  <c r="AB1178" i="2" s="1"/>
  <c r="Y1178" i="2"/>
  <c r="Z1178" i="2" s="1"/>
  <c r="V1178" i="2"/>
  <c r="U1178" i="2"/>
  <c r="AA1177" i="2"/>
  <c r="AB1177" i="2" s="1"/>
  <c r="Y1177" i="2"/>
  <c r="Z1177" i="2" s="1"/>
  <c r="V1177" i="2"/>
  <c r="U1177" i="2"/>
  <c r="AA1176" i="2"/>
  <c r="AB1176" i="2" s="1"/>
  <c r="Y1176" i="2"/>
  <c r="Z1176" i="2" s="1"/>
  <c r="V1176" i="2"/>
  <c r="U1176" i="2"/>
  <c r="AA1175" i="2"/>
  <c r="AB1175" i="2" s="1"/>
  <c r="Y1175" i="2"/>
  <c r="Z1175" i="2" s="1"/>
  <c r="V1175" i="2"/>
  <c r="U1175" i="2"/>
  <c r="AA1174" i="2"/>
  <c r="AB1174" i="2" s="1"/>
  <c r="Y1174" i="2"/>
  <c r="Z1174" i="2" s="1"/>
  <c r="V1174" i="2"/>
  <c r="U1174" i="2"/>
  <c r="AA1173" i="2"/>
  <c r="AB1173" i="2" s="1"/>
  <c r="Y1173" i="2"/>
  <c r="Z1173" i="2" s="1"/>
  <c r="V1173" i="2"/>
  <c r="U1173" i="2"/>
  <c r="AA1172" i="2"/>
  <c r="AB1172" i="2" s="1"/>
  <c r="Y1172" i="2"/>
  <c r="Z1172" i="2" s="1"/>
  <c r="V1172" i="2"/>
  <c r="U1172" i="2"/>
  <c r="AA1171" i="2"/>
  <c r="AB1171" i="2" s="1"/>
  <c r="Y1171" i="2"/>
  <c r="Z1171" i="2" s="1"/>
  <c r="V1171" i="2"/>
  <c r="U1171" i="2"/>
  <c r="AA1170" i="2"/>
  <c r="AB1170" i="2" s="1"/>
  <c r="Y1170" i="2"/>
  <c r="Z1170" i="2" s="1"/>
  <c r="V1170" i="2"/>
  <c r="U1170" i="2"/>
  <c r="AA1169" i="2"/>
  <c r="AB1169" i="2" s="1"/>
  <c r="Y1169" i="2"/>
  <c r="Z1169" i="2" s="1"/>
  <c r="V1169" i="2"/>
  <c r="U1169" i="2"/>
  <c r="AA1168" i="2"/>
  <c r="AB1168" i="2" s="1"/>
  <c r="Y1168" i="2"/>
  <c r="Z1168" i="2" s="1"/>
  <c r="V1168" i="2"/>
  <c r="U1168" i="2"/>
  <c r="AA1167" i="2"/>
  <c r="AB1167" i="2" s="1"/>
  <c r="Y1167" i="2"/>
  <c r="Z1167" i="2" s="1"/>
  <c r="V1167" i="2"/>
  <c r="U1167" i="2"/>
  <c r="AA1166" i="2"/>
  <c r="AB1166" i="2" s="1"/>
  <c r="Y1166" i="2"/>
  <c r="Z1166" i="2" s="1"/>
  <c r="V1166" i="2"/>
  <c r="U1166" i="2"/>
  <c r="AA1165" i="2"/>
  <c r="AB1165" i="2" s="1"/>
  <c r="Y1165" i="2"/>
  <c r="Z1165" i="2" s="1"/>
  <c r="V1165" i="2"/>
  <c r="U1165" i="2"/>
  <c r="AA1164" i="2"/>
  <c r="AB1164" i="2" s="1"/>
  <c r="Y1164" i="2"/>
  <c r="Z1164" i="2" s="1"/>
  <c r="V1164" i="2"/>
  <c r="U1164" i="2"/>
  <c r="AA1163" i="2"/>
  <c r="AB1163" i="2" s="1"/>
  <c r="Y1163" i="2"/>
  <c r="Z1163" i="2" s="1"/>
  <c r="V1163" i="2"/>
  <c r="U1163" i="2"/>
  <c r="AA1162" i="2"/>
  <c r="AB1162" i="2" s="1"/>
  <c r="Y1162" i="2"/>
  <c r="Z1162" i="2" s="1"/>
  <c r="V1162" i="2"/>
  <c r="U1162" i="2"/>
  <c r="AA1161" i="2"/>
  <c r="AB1161" i="2" s="1"/>
  <c r="Y1161" i="2"/>
  <c r="Z1161" i="2" s="1"/>
  <c r="V1161" i="2"/>
  <c r="U1161" i="2"/>
  <c r="AA1160" i="2"/>
  <c r="AB1160" i="2" s="1"/>
  <c r="Y1160" i="2"/>
  <c r="Z1160" i="2" s="1"/>
  <c r="V1160" i="2"/>
  <c r="U1160" i="2"/>
  <c r="AA1159" i="2"/>
  <c r="AB1159" i="2" s="1"/>
  <c r="Y1159" i="2"/>
  <c r="Z1159" i="2" s="1"/>
  <c r="V1159" i="2"/>
  <c r="U1159" i="2"/>
  <c r="AA1158" i="2"/>
  <c r="AB1158" i="2" s="1"/>
  <c r="Y1158" i="2"/>
  <c r="Z1158" i="2" s="1"/>
  <c r="V1158" i="2"/>
  <c r="U1158" i="2"/>
  <c r="AA1157" i="2"/>
  <c r="AB1157" i="2" s="1"/>
  <c r="Y1157" i="2"/>
  <c r="Z1157" i="2" s="1"/>
  <c r="V1157" i="2"/>
  <c r="U1157" i="2"/>
  <c r="AA1156" i="2"/>
  <c r="AB1156" i="2" s="1"/>
  <c r="Y1156" i="2"/>
  <c r="Z1156" i="2" s="1"/>
  <c r="V1156" i="2"/>
  <c r="U1156" i="2"/>
  <c r="AA1155" i="2"/>
  <c r="AB1155" i="2" s="1"/>
  <c r="Y1155" i="2"/>
  <c r="Z1155" i="2" s="1"/>
  <c r="V1155" i="2"/>
  <c r="U1155" i="2"/>
  <c r="AA1154" i="2"/>
  <c r="AB1154" i="2" s="1"/>
  <c r="Y1154" i="2"/>
  <c r="Z1154" i="2" s="1"/>
  <c r="V1154" i="2"/>
  <c r="U1154" i="2"/>
  <c r="AA1153" i="2"/>
  <c r="AB1153" i="2" s="1"/>
  <c r="Y1153" i="2"/>
  <c r="Z1153" i="2" s="1"/>
  <c r="V1153" i="2"/>
  <c r="U1153" i="2"/>
  <c r="AA1152" i="2"/>
  <c r="AB1152" i="2" s="1"/>
  <c r="Y1152" i="2"/>
  <c r="Z1152" i="2" s="1"/>
  <c r="V1152" i="2"/>
  <c r="U1152" i="2"/>
  <c r="AA1151" i="2"/>
  <c r="AB1151" i="2" s="1"/>
  <c r="Y1151" i="2"/>
  <c r="Z1151" i="2" s="1"/>
  <c r="V1151" i="2"/>
  <c r="U1151" i="2"/>
  <c r="AA1150" i="2"/>
  <c r="AB1150" i="2" s="1"/>
  <c r="Y1150" i="2"/>
  <c r="Z1150" i="2" s="1"/>
  <c r="V1150" i="2"/>
  <c r="U1150" i="2"/>
  <c r="AA1149" i="2"/>
  <c r="AB1149" i="2" s="1"/>
  <c r="Y1149" i="2"/>
  <c r="Z1149" i="2" s="1"/>
  <c r="V1149" i="2"/>
  <c r="U1149" i="2"/>
  <c r="AA1148" i="2"/>
  <c r="AB1148" i="2" s="1"/>
  <c r="Y1148" i="2"/>
  <c r="Z1148" i="2" s="1"/>
  <c r="V1148" i="2"/>
  <c r="U1148" i="2"/>
  <c r="AA1147" i="2"/>
  <c r="AB1147" i="2" s="1"/>
  <c r="Y1147" i="2"/>
  <c r="Z1147" i="2" s="1"/>
  <c r="V1147" i="2"/>
  <c r="U1147" i="2"/>
  <c r="AA1146" i="2"/>
  <c r="AB1146" i="2" s="1"/>
  <c r="Y1146" i="2"/>
  <c r="Z1146" i="2" s="1"/>
  <c r="V1146" i="2"/>
  <c r="U1146" i="2"/>
  <c r="AA1145" i="2"/>
  <c r="AB1145" i="2" s="1"/>
  <c r="Y1145" i="2"/>
  <c r="Z1145" i="2" s="1"/>
  <c r="V1145" i="2"/>
  <c r="U1145" i="2"/>
  <c r="AA1144" i="2"/>
  <c r="AB1144" i="2" s="1"/>
  <c r="Y1144" i="2"/>
  <c r="Z1144" i="2" s="1"/>
  <c r="V1144" i="2"/>
  <c r="U1144" i="2"/>
  <c r="AA1143" i="2"/>
  <c r="AB1143" i="2" s="1"/>
  <c r="Y1143" i="2"/>
  <c r="Z1143" i="2" s="1"/>
  <c r="V1143" i="2"/>
  <c r="U1143" i="2"/>
  <c r="AA1142" i="2"/>
  <c r="AB1142" i="2" s="1"/>
  <c r="Y1142" i="2"/>
  <c r="Z1142" i="2" s="1"/>
  <c r="V1142" i="2"/>
  <c r="U1142" i="2"/>
  <c r="AA1141" i="2"/>
  <c r="AB1141" i="2" s="1"/>
  <c r="Y1141" i="2"/>
  <c r="Z1141" i="2" s="1"/>
  <c r="V1141" i="2"/>
  <c r="U1141" i="2"/>
  <c r="AA1140" i="2"/>
  <c r="AB1140" i="2" s="1"/>
  <c r="Y1140" i="2"/>
  <c r="Z1140" i="2" s="1"/>
  <c r="V1140" i="2"/>
  <c r="U1140" i="2"/>
  <c r="AA1139" i="2"/>
  <c r="AB1139" i="2" s="1"/>
  <c r="Y1139" i="2"/>
  <c r="Z1139" i="2" s="1"/>
  <c r="V1139" i="2"/>
  <c r="U1139" i="2"/>
  <c r="AA1138" i="2"/>
  <c r="AB1138" i="2" s="1"/>
  <c r="Y1138" i="2"/>
  <c r="Z1138" i="2" s="1"/>
  <c r="V1138" i="2"/>
  <c r="U1138" i="2"/>
  <c r="AA1137" i="2"/>
  <c r="AB1137" i="2" s="1"/>
  <c r="Y1137" i="2"/>
  <c r="Z1137" i="2" s="1"/>
  <c r="V1137" i="2"/>
  <c r="U1137" i="2"/>
  <c r="AA1136" i="2"/>
  <c r="AB1136" i="2" s="1"/>
  <c r="Y1136" i="2"/>
  <c r="Z1136" i="2" s="1"/>
  <c r="V1136" i="2"/>
  <c r="U1136" i="2"/>
  <c r="AA1135" i="2"/>
  <c r="AB1135" i="2" s="1"/>
  <c r="Y1135" i="2"/>
  <c r="Z1135" i="2" s="1"/>
  <c r="V1135" i="2"/>
  <c r="U1135" i="2"/>
  <c r="AA1134" i="2"/>
  <c r="AB1134" i="2" s="1"/>
  <c r="Y1134" i="2"/>
  <c r="Z1134" i="2" s="1"/>
  <c r="V1134" i="2"/>
  <c r="U1134" i="2"/>
  <c r="AA1133" i="2"/>
  <c r="AB1133" i="2" s="1"/>
  <c r="Y1133" i="2"/>
  <c r="Z1133" i="2" s="1"/>
  <c r="V1133" i="2"/>
  <c r="U1133" i="2"/>
  <c r="AA1132" i="2"/>
  <c r="AB1132" i="2" s="1"/>
  <c r="Y1132" i="2"/>
  <c r="Z1132" i="2" s="1"/>
  <c r="V1132" i="2"/>
  <c r="U1132" i="2"/>
  <c r="AA1131" i="2"/>
  <c r="AB1131" i="2" s="1"/>
  <c r="Y1131" i="2"/>
  <c r="Z1131" i="2" s="1"/>
  <c r="V1131" i="2"/>
  <c r="U1131" i="2"/>
  <c r="AA1130" i="2"/>
  <c r="AB1130" i="2" s="1"/>
  <c r="Y1130" i="2"/>
  <c r="Z1130" i="2" s="1"/>
  <c r="V1130" i="2"/>
  <c r="U1130" i="2"/>
  <c r="AA1129" i="2"/>
  <c r="AB1129" i="2" s="1"/>
  <c r="Y1129" i="2"/>
  <c r="Z1129" i="2" s="1"/>
  <c r="V1129" i="2"/>
  <c r="U1129" i="2"/>
  <c r="AA1128" i="2"/>
  <c r="AB1128" i="2" s="1"/>
  <c r="Y1128" i="2"/>
  <c r="Z1128" i="2" s="1"/>
  <c r="V1128" i="2"/>
  <c r="U1128" i="2"/>
  <c r="AA1127" i="2"/>
  <c r="AB1127" i="2" s="1"/>
  <c r="Y1127" i="2"/>
  <c r="Z1127" i="2" s="1"/>
  <c r="V1127" i="2"/>
  <c r="U1127" i="2"/>
  <c r="AA1126" i="2"/>
  <c r="AB1126" i="2" s="1"/>
  <c r="Y1126" i="2"/>
  <c r="Z1126" i="2" s="1"/>
  <c r="V1126" i="2"/>
  <c r="U1126" i="2"/>
  <c r="AA1125" i="2"/>
  <c r="AB1125" i="2" s="1"/>
  <c r="Y1125" i="2"/>
  <c r="Z1125" i="2" s="1"/>
  <c r="V1125" i="2"/>
  <c r="U1125" i="2"/>
  <c r="AA1124" i="2"/>
  <c r="AB1124" i="2" s="1"/>
  <c r="Y1124" i="2"/>
  <c r="Z1124" i="2" s="1"/>
  <c r="V1124" i="2"/>
  <c r="U1124" i="2"/>
  <c r="AA1123" i="2"/>
  <c r="AB1123" i="2" s="1"/>
  <c r="Y1123" i="2"/>
  <c r="Z1123" i="2" s="1"/>
  <c r="V1123" i="2"/>
  <c r="U1123" i="2"/>
  <c r="AA1122" i="2"/>
  <c r="AB1122" i="2" s="1"/>
  <c r="Y1122" i="2"/>
  <c r="Z1122" i="2" s="1"/>
  <c r="V1122" i="2"/>
  <c r="U1122" i="2"/>
  <c r="AA1121" i="2"/>
  <c r="AB1121" i="2" s="1"/>
  <c r="Y1121" i="2"/>
  <c r="Z1121" i="2" s="1"/>
  <c r="V1121" i="2"/>
  <c r="U1121" i="2"/>
  <c r="AA1120" i="2"/>
  <c r="AB1120" i="2" s="1"/>
  <c r="Y1120" i="2"/>
  <c r="Z1120" i="2" s="1"/>
  <c r="V1120" i="2"/>
  <c r="U1120" i="2"/>
  <c r="AA1119" i="2"/>
  <c r="AB1119" i="2" s="1"/>
  <c r="Y1119" i="2"/>
  <c r="Z1119" i="2" s="1"/>
  <c r="V1119" i="2"/>
  <c r="U1119" i="2"/>
  <c r="AA1118" i="2"/>
  <c r="AB1118" i="2" s="1"/>
  <c r="Y1118" i="2"/>
  <c r="Z1118" i="2" s="1"/>
  <c r="V1118" i="2"/>
  <c r="U1118" i="2"/>
  <c r="AA1117" i="2"/>
  <c r="AB1117" i="2" s="1"/>
  <c r="Y1117" i="2"/>
  <c r="Z1117" i="2" s="1"/>
  <c r="V1117" i="2"/>
  <c r="U1117" i="2"/>
  <c r="AA1116" i="2"/>
  <c r="AB1116" i="2" s="1"/>
  <c r="Y1116" i="2"/>
  <c r="Z1116" i="2" s="1"/>
  <c r="V1116" i="2"/>
  <c r="U1116" i="2"/>
  <c r="AA1115" i="2"/>
  <c r="AB1115" i="2" s="1"/>
  <c r="Y1115" i="2"/>
  <c r="Z1115" i="2" s="1"/>
  <c r="V1115" i="2"/>
  <c r="U1115" i="2"/>
  <c r="AA1114" i="2"/>
  <c r="AB1114" i="2" s="1"/>
  <c r="Y1114" i="2"/>
  <c r="Z1114" i="2" s="1"/>
  <c r="V1114" i="2"/>
  <c r="U1114" i="2"/>
  <c r="AA1113" i="2"/>
  <c r="AB1113" i="2" s="1"/>
  <c r="Y1113" i="2"/>
  <c r="Z1113" i="2" s="1"/>
  <c r="V1113" i="2"/>
  <c r="U1113" i="2"/>
  <c r="AA1112" i="2"/>
  <c r="AB1112" i="2" s="1"/>
  <c r="Y1112" i="2"/>
  <c r="Z1112" i="2" s="1"/>
  <c r="V1112" i="2"/>
  <c r="U1112" i="2"/>
  <c r="AA1111" i="2"/>
  <c r="AB1111" i="2" s="1"/>
  <c r="Y1111" i="2"/>
  <c r="Z1111" i="2" s="1"/>
  <c r="V1111" i="2"/>
  <c r="U1111" i="2"/>
  <c r="AA1110" i="2"/>
  <c r="AB1110" i="2" s="1"/>
  <c r="Y1110" i="2"/>
  <c r="Z1110" i="2" s="1"/>
  <c r="V1110" i="2"/>
  <c r="U1110" i="2"/>
  <c r="AA1109" i="2"/>
  <c r="AB1109" i="2" s="1"/>
  <c r="Y1109" i="2"/>
  <c r="Z1109" i="2" s="1"/>
  <c r="V1109" i="2"/>
  <c r="U1109" i="2"/>
  <c r="AA1108" i="2"/>
  <c r="AB1108" i="2" s="1"/>
  <c r="Y1108" i="2"/>
  <c r="Z1108" i="2" s="1"/>
  <c r="V1108" i="2"/>
  <c r="U1108" i="2"/>
  <c r="AA1107" i="2"/>
  <c r="AB1107" i="2" s="1"/>
  <c r="Y1107" i="2"/>
  <c r="Z1107" i="2" s="1"/>
  <c r="V1107" i="2"/>
  <c r="U1107" i="2"/>
  <c r="AA1106" i="2"/>
  <c r="AB1106" i="2" s="1"/>
  <c r="Y1106" i="2"/>
  <c r="Z1106" i="2" s="1"/>
  <c r="V1106" i="2"/>
  <c r="U1106" i="2"/>
  <c r="AA1105" i="2"/>
  <c r="AB1105" i="2" s="1"/>
  <c r="Y1105" i="2"/>
  <c r="Z1105" i="2" s="1"/>
  <c r="V1105" i="2"/>
  <c r="U1105" i="2"/>
  <c r="AA1104" i="2"/>
  <c r="AB1104" i="2" s="1"/>
  <c r="Y1104" i="2"/>
  <c r="Z1104" i="2" s="1"/>
  <c r="V1104" i="2"/>
  <c r="U1104" i="2"/>
  <c r="AA1103" i="2"/>
  <c r="AB1103" i="2" s="1"/>
  <c r="Y1103" i="2"/>
  <c r="Z1103" i="2" s="1"/>
  <c r="V1103" i="2"/>
  <c r="U1103" i="2"/>
  <c r="AA1102" i="2"/>
  <c r="AB1102" i="2" s="1"/>
  <c r="Y1102" i="2"/>
  <c r="Z1102" i="2" s="1"/>
  <c r="V1102" i="2"/>
  <c r="U1102" i="2"/>
  <c r="AA1101" i="2"/>
  <c r="AB1101" i="2" s="1"/>
  <c r="Y1101" i="2"/>
  <c r="Z1101" i="2" s="1"/>
  <c r="V1101" i="2"/>
  <c r="U1101" i="2"/>
  <c r="AA1100" i="2"/>
  <c r="AB1100" i="2" s="1"/>
  <c r="Y1100" i="2"/>
  <c r="Z1100" i="2" s="1"/>
  <c r="V1100" i="2"/>
  <c r="U1100" i="2"/>
  <c r="AA1099" i="2"/>
  <c r="AB1099" i="2" s="1"/>
  <c r="Y1099" i="2"/>
  <c r="Z1099" i="2" s="1"/>
  <c r="V1099" i="2"/>
  <c r="U1099" i="2"/>
  <c r="AA1098" i="2"/>
  <c r="AB1098" i="2" s="1"/>
  <c r="Y1098" i="2"/>
  <c r="Z1098" i="2" s="1"/>
  <c r="V1098" i="2"/>
  <c r="U1098" i="2"/>
  <c r="AA1097" i="2"/>
  <c r="AB1097" i="2" s="1"/>
  <c r="Y1097" i="2"/>
  <c r="Z1097" i="2" s="1"/>
  <c r="V1097" i="2"/>
  <c r="U1097" i="2"/>
  <c r="AA1096" i="2"/>
  <c r="AB1096" i="2" s="1"/>
  <c r="Y1096" i="2"/>
  <c r="Z1096" i="2" s="1"/>
  <c r="V1096" i="2"/>
  <c r="U1096" i="2"/>
  <c r="AA1095" i="2"/>
  <c r="AB1095" i="2" s="1"/>
  <c r="Y1095" i="2"/>
  <c r="Z1095" i="2" s="1"/>
  <c r="V1095" i="2"/>
  <c r="U1095" i="2"/>
  <c r="AA1094" i="2"/>
  <c r="AB1094" i="2" s="1"/>
  <c r="Y1094" i="2"/>
  <c r="Z1094" i="2" s="1"/>
  <c r="V1094" i="2"/>
  <c r="U1094" i="2"/>
  <c r="AA1093" i="2"/>
  <c r="AB1093" i="2" s="1"/>
  <c r="Y1093" i="2"/>
  <c r="Z1093" i="2" s="1"/>
  <c r="V1093" i="2"/>
  <c r="U1093" i="2"/>
  <c r="AA1092" i="2"/>
  <c r="AB1092" i="2" s="1"/>
  <c r="Y1092" i="2"/>
  <c r="Z1092" i="2" s="1"/>
  <c r="V1092" i="2"/>
  <c r="U1092" i="2"/>
  <c r="AA1091" i="2"/>
  <c r="AB1091" i="2" s="1"/>
  <c r="Y1091" i="2"/>
  <c r="Z1091" i="2" s="1"/>
  <c r="V1091" i="2"/>
  <c r="U1091" i="2"/>
  <c r="AA1090" i="2"/>
  <c r="AB1090" i="2" s="1"/>
  <c r="Y1090" i="2"/>
  <c r="Z1090" i="2" s="1"/>
  <c r="V1090" i="2"/>
  <c r="U1090" i="2"/>
  <c r="AA1089" i="2"/>
  <c r="AB1089" i="2" s="1"/>
  <c r="Y1089" i="2"/>
  <c r="Z1089" i="2" s="1"/>
  <c r="V1089" i="2"/>
  <c r="U1089" i="2"/>
  <c r="AA1088" i="2"/>
  <c r="AB1088" i="2" s="1"/>
  <c r="Y1088" i="2"/>
  <c r="Z1088" i="2" s="1"/>
  <c r="V1088" i="2"/>
  <c r="U1088" i="2"/>
  <c r="AA1087" i="2"/>
  <c r="AB1087" i="2" s="1"/>
  <c r="Y1087" i="2"/>
  <c r="Z1087" i="2" s="1"/>
  <c r="V1087" i="2"/>
  <c r="U1087" i="2"/>
  <c r="AA1086" i="2"/>
  <c r="AB1086" i="2" s="1"/>
  <c r="Y1086" i="2"/>
  <c r="Z1086" i="2" s="1"/>
  <c r="V1086" i="2"/>
  <c r="U1086" i="2"/>
  <c r="AA1085" i="2"/>
  <c r="AB1085" i="2" s="1"/>
  <c r="Y1085" i="2"/>
  <c r="Z1085" i="2" s="1"/>
  <c r="V1085" i="2"/>
  <c r="U1085" i="2"/>
  <c r="AA1084" i="2"/>
  <c r="AB1084" i="2" s="1"/>
  <c r="Y1084" i="2"/>
  <c r="Z1084" i="2" s="1"/>
  <c r="V1084" i="2"/>
  <c r="U1084" i="2"/>
  <c r="AA1083" i="2"/>
  <c r="AB1083" i="2" s="1"/>
  <c r="Y1083" i="2"/>
  <c r="Z1083" i="2" s="1"/>
  <c r="V1083" i="2"/>
  <c r="U1083" i="2"/>
  <c r="AA1082" i="2"/>
  <c r="AB1082" i="2" s="1"/>
  <c r="Y1082" i="2"/>
  <c r="Z1082" i="2" s="1"/>
  <c r="V1082" i="2"/>
  <c r="U1082" i="2"/>
  <c r="AA1081" i="2"/>
  <c r="AB1081" i="2" s="1"/>
  <c r="Y1081" i="2"/>
  <c r="Z1081" i="2" s="1"/>
  <c r="V1081" i="2"/>
  <c r="U1081" i="2"/>
  <c r="AA1080" i="2"/>
  <c r="AB1080" i="2" s="1"/>
  <c r="Y1080" i="2"/>
  <c r="Z1080" i="2" s="1"/>
  <c r="V1080" i="2"/>
  <c r="U1080" i="2"/>
  <c r="AA1079" i="2"/>
  <c r="AB1079" i="2" s="1"/>
  <c r="Y1079" i="2"/>
  <c r="Z1079" i="2" s="1"/>
  <c r="V1079" i="2"/>
  <c r="U1079" i="2"/>
  <c r="AA1078" i="2"/>
  <c r="AB1078" i="2" s="1"/>
  <c r="Y1078" i="2"/>
  <c r="Z1078" i="2" s="1"/>
  <c r="V1078" i="2"/>
  <c r="U1078" i="2"/>
  <c r="AA1077" i="2"/>
  <c r="AB1077" i="2" s="1"/>
  <c r="Y1077" i="2"/>
  <c r="Z1077" i="2" s="1"/>
  <c r="V1077" i="2"/>
  <c r="U1077" i="2"/>
  <c r="AA1076" i="2"/>
  <c r="AB1076" i="2" s="1"/>
  <c r="Y1076" i="2"/>
  <c r="Z1076" i="2" s="1"/>
  <c r="V1076" i="2"/>
  <c r="U1076" i="2"/>
  <c r="AA1075" i="2"/>
  <c r="AB1075" i="2" s="1"/>
  <c r="Y1075" i="2"/>
  <c r="Z1075" i="2" s="1"/>
  <c r="V1075" i="2"/>
  <c r="U1075" i="2"/>
  <c r="AA1074" i="2"/>
  <c r="AB1074" i="2" s="1"/>
  <c r="Y1074" i="2"/>
  <c r="Z1074" i="2" s="1"/>
  <c r="V1074" i="2"/>
  <c r="U1074" i="2"/>
  <c r="AA1073" i="2"/>
  <c r="AB1073" i="2" s="1"/>
  <c r="Y1073" i="2"/>
  <c r="Z1073" i="2" s="1"/>
  <c r="V1073" i="2"/>
  <c r="U1073" i="2"/>
  <c r="AA1072" i="2"/>
  <c r="AB1072" i="2" s="1"/>
  <c r="Y1072" i="2"/>
  <c r="Z1072" i="2" s="1"/>
  <c r="V1072" i="2"/>
  <c r="U1072" i="2"/>
  <c r="AA1071" i="2"/>
  <c r="AB1071" i="2" s="1"/>
  <c r="Y1071" i="2"/>
  <c r="Z1071" i="2" s="1"/>
  <c r="V1071" i="2"/>
  <c r="U1071" i="2"/>
  <c r="AA1070" i="2"/>
  <c r="AB1070" i="2" s="1"/>
  <c r="Y1070" i="2"/>
  <c r="Z1070" i="2" s="1"/>
  <c r="V1070" i="2"/>
  <c r="U1070" i="2"/>
  <c r="AA1069" i="2"/>
  <c r="AB1069" i="2" s="1"/>
  <c r="Y1069" i="2"/>
  <c r="Z1069" i="2" s="1"/>
  <c r="V1069" i="2"/>
  <c r="U1069" i="2"/>
  <c r="AA1068" i="2"/>
  <c r="AB1068" i="2" s="1"/>
  <c r="Y1068" i="2"/>
  <c r="Z1068" i="2" s="1"/>
  <c r="V1068" i="2"/>
  <c r="U1068" i="2"/>
  <c r="AA1067" i="2"/>
  <c r="AB1067" i="2" s="1"/>
  <c r="Y1067" i="2"/>
  <c r="Z1067" i="2" s="1"/>
  <c r="V1067" i="2"/>
  <c r="U1067" i="2"/>
  <c r="AA1066" i="2"/>
  <c r="AB1066" i="2" s="1"/>
  <c r="Y1066" i="2"/>
  <c r="Z1066" i="2" s="1"/>
  <c r="V1066" i="2"/>
  <c r="U1066" i="2"/>
  <c r="AA1065" i="2"/>
  <c r="AB1065" i="2" s="1"/>
  <c r="Y1065" i="2"/>
  <c r="Z1065" i="2" s="1"/>
  <c r="V1065" i="2"/>
  <c r="U1065" i="2"/>
  <c r="AA1064" i="2"/>
  <c r="AB1064" i="2" s="1"/>
  <c r="Y1064" i="2"/>
  <c r="Z1064" i="2" s="1"/>
  <c r="V1064" i="2"/>
  <c r="U1064" i="2"/>
  <c r="AA1063" i="2"/>
  <c r="AB1063" i="2" s="1"/>
  <c r="Y1063" i="2"/>
  <c r="Z1063" i="2" s="1"/>
  <c r="V1063" i="2"/>
  <c r="U1063" i="2"/>
  <c r="AA1062" i="2"/>
  <c r="AB1062" i="2" s="1"/>
  <c r="Y1062" i="2"/>
  <c r="Z1062" i="2" s="1"/>
  <c r="V1062" i="2"/>
  <c r="U1062" i="2"/>
  <c r="AA1061" i="2"/>
  <c r="AB1061" i="2" s="1"/>
  <c r="Y1061" i="2"/>
  <c r="Z1061" i="2" s="1"/>
  <c r="V1061" i="2"/>
  <c r="U1061" i="2"/>
  <c r="AA1060" i="2"/>
  <c r="AB1060" i="2" s="1"/>
  <c r="Y1060" i="2"/>
  <c r="Z1060" i="2" s="1"/>
  <c r="V1060" i="2"/>
  <c r="U1060" i="2"/>
  <c r="AA1059" i="2"/>
  <c r="AB1059" i="2" s="1"/>
  <c r="Y1059" i="2"/>
  <c r="Z1059" i="2" s="1"/>
  <c r="V1059" i="2"/>
  <c r="U1059" i="2"/>
  <c r="AA1058" i="2"/>
  <c r="AB1058" i="2" s="1"/>
  <c r="Y1058" i="2"/>
  <c r="Z1058" i="2" s="1"/>
  <c r="V1058" i="2"/>
  <c r="U1058" i="2"/>
  <c r="AA1057" i="2"/>
  <c r="AB1057" i="2" s="1"/>
  <c r="Y1057" i="2"/>
  <c r="Z1057" i="2" s="1"/>
  <c r="V1057" i="2"/>
  <c r="U1057" i="2"/>
  <c r="AA1056" i="2"/>
  <c r="AB1056" i="2" s="1"/>
  <c r="Y1056" i="2"/>
  <c r="Z1056" i="2" s="1"/>
  <c r="V1056" i="2"/>
  <c r="U1056" i="2"/>
  <c r="AA1055" i="2"/>
  <c r="AB1055" i="2" s="1"/>
  <c r="Y1055" i="2"/>
  <c r="Z1055" i="2" s="1"/>
  <c r="V1055" i="2"/>
  <c r="U1055" i="2"/>
  <c r="AA1054" i="2"/>
  <c r="AB1054" i="2" s="1"/>
  <c r="Y1054" i="2"/>
  <c r="Z1054" i="2" s="1"/>
  <c r="V1054" i="2"/>
  <c r="U1054" i="2"/>
  <c r="AA1053" i="2"/>
  <c r="AB1053" i="2" s="1"/>
  <c r="Y1053" i="2"/>
  <c r="Z1053" i="2" s="1"/>
  <c r="V1053" i="2"/>
  <c r="U1053" i="2"/>
  <c r="AA1052" i="2"/>
  <c r="AB1052" i="2" s="1"/>
  <c r="Y1052" i="2"/>
  <c r="Z1052" i="2" s="1"/>
  <c r="V1052" i="2"/>
  <c r="U1052" i="2"/>
  <c r="AA1051" i="2"/>
  <c r="AB1051" i="2" s="1"/>
  <c r="Y1051" i="2"/>
  <c r="Z1051" i="2" s="1"/>
  <c r="V1051" i="2"/>
  <c r="U1051" i="2"/>
  <c r="AA1050" i="2"/>
  <c r="AB1050" i="2" s="1"/>
  <c r="Y1050" i="2"/>
  <c r="Z1050" i="2" s="1"/>
  <c r="V1050" i="2"/>
  <c r="U1050" i="2"/>
  <c r="AA1049" i="2"/>
  <c r="AB1049" i="2" s="1"/>
  <c r="Y1049" i="2"/>
  <c r="Z1049" i="2" s="1"/>
  <c r="V1049" i="2"/>
  <c r="U1049" i="2"/>
  <c r="AA1048" i="2"/>
  <c r="AB1048" i="2" s="1"/>
  <c r="Y1048" i="2"/>
  <c r="Z1048" i="2" s="1"/>
  <c r="V1048" i="2"/>
  <c r="U1048" i="2"/>
  <c r="AA1047" i="2"/>
  <c r="AB1047" i="2" s="1"/>
  <c r="Y1047" i="2"/>
  <c r="Z1047" i="2" s="1"/>
  <c r="V1047" i="2"/>
  <c r="U1047" i="2"/>
  <c r="AA1046" i="2"/>
  <c r="AB1046" i="2" s="1"/>
  <c r="Y1046" i="2"/>
  <c r="Z1046" i="2" s="1"/>
  <c r="V1046" i="2"/>
  <c r="U1046" i="2"/>
  <c r="AA1045" i="2"/>
  <c r="AB1045" i="2" s="1"/>
  <c r="Y1045" i="2"/>
  <c r="Z1045" i="2" s="1"/>
  <c r="V1045" i="2"/>
  <c r="U1045" i="2"/>
  <c r="AA1044" i="2"/>
  <c r="AB1044" i="2" s="1"/>
  <c r="Y1044" i="2"/>
  <c r="Z1044" i="2" s="1"/>
  <c r="V1044" i="2"/>
  <c r="U1044" i="2"/>
  <c r="AA1043" i="2"/>
  <c r="AB1043" i="2" s="1"/>
  <c r="Y1043" i="2"/>
  <c r="Z1043" i="2" s="1"/>
  <c r="V1043" i="2"/>
  <c r="U1043" i="2"/>
  <c r="AA1042" i="2"/>
  <c r="AB1042" i="2" s="1"/>
  <c r="Y1042" i="2"/>
  <c r="Z1042" i="2" s="1"/>
  <c r="V1042" i="2"/>
  <c r="U1042" i="2"/>
  <c r="AA1041" i="2"/>
  <c r="AB1041" i="2" s="1"/>
  <c r="Y1041" i="2"/>
  <c r="Z1041" i="2" s="1"/>
  <c r="V1041" i="2"/>
  <c r="U1041" i="2"/>
  <c r="AA1040" i="2"/>
  <c r="AB1040" i="2" s="1"/>
  <c r="Y1040" i="2"/>
  <c r="Z1040" i="2" s="1"/>
  <c r="V1040" i="2"/>
  <c r="U1040" i="2"/>
  <c r="AA1039" i="2"/>
  <c r="AB1039" i="2" s="1"/>
  <c r="Y1039" i="2"/>
  <c r="Z1039" i="2" s="1"/>
  <c r="V1039" i="2"/>
  <c r="U1039" i="2"/>
  <c r="AA1038" i="2"/>
  <c r="AB1038" i="2" s="1"/>
  <c r="Y1038" i="2"/>
  <c r="Z1038" i="2" s="1"/>
  <c r="V1038" i="2"/>
  <c r="U1038" i="2"/>
  <c r="AA1037" i="2"/>
  <c r="AB1037" i="2" s="1"/>
  <c r="Y1037" i="2"/>
  <c r="Z1037" i="2" s="1"/>
  <c r="V1037" i="2"/>
  <c r="U1037" i="2"/>
  <c r="AA1036" i="2"/>
  <c r="AB1036" i="2" s="1"/>
  <c r="Y1036" i="2"/>
  <c r="Z1036" i="2" s="1"/>
  <c r="V1036" i="2"/>
  <c r="U1036" i="2"/>
  <c r="AA1035" i="2"/>
  <c r="AB1035" i="2" s="1"/>
  <c r="Y1035" i="2"/>
  <c r="Z1035" i="2" s="1"/>
  <c r="V1035" i="2"/>
  <c r="U1035" i="2"/>
  <c r="AA1034" i="2"/>
  <c r="AB1034" i="2" s="1"/>
  <c r="Y1034" i="2"/>
  <c r="Z1034" i="2" s="1"/>
  <c r="V1034" i="2"/>
  <c r="U1034" i="2"/>
  <c r="AA1033" i="2"/>
  <c r="AB1033" i="2" s="1"/>
  <c r="Y1033" i="2"/>
  <c r="Z1033" i="2" s="1"/>
  <c r="V1033" i="2"/>
  <c r="U1033" i="2"/>
  <c r="AA1032" i="2"/>
  <c r="AB1032" i="2" s="1"/>
  <c r="Y1032" i="2"/>
  <c r="Z1032" i="2" s="1"/>
  <c r="V1032" i="2"/>
  <c r="U1032" i="2"/>
  <c r="AA1031" i="2"/>
  <c r="AB1031" i="2" s="1"/>
  <c r="Y1031" i="2"/>
  <c r="Z1031" i="2" s="1"/>
  <c r="V1031" i="2"/>
  <c r="U1031" i="2"/>
  <c r="AA1030" i="2"/>
  <c r="AB1030" i="2" s="1"/>
  <c r="Y1030" i="2"/>
  <c r="Z1030" i="2" s="1"/>
  <c r="V1030" i="2"/>
  <c r="U1030" i="2"/>
  <c r="AA1029" i="2"/>
  <c r="AB1029" i="2" s="1"/>
  <c r="Y1029" i="2"/>
  <c r="Z1029" i="2" s="1"/>
  <c r="V1029" i="2"/>
  <c r="U1029" i="2"/>
  <c r="AA1028" i="2"/>
  <c r="AB1028" i="2" s="1"/>
  <c r="Y1028" i="2"/>
  <c r="Z1028" i="2" s="1"/>
  <c r="V1028" i="2"/>
  <c r="U1028" i="2"/>
  <c r="AA1027" i="2"/>
  <c r="AB1027" i="2" s="1"/>
  <c r="Y1027" i="2"/>
  <c r="Z1027" i="2" s="1"/>
  <c r="V1027" i="2"/>
  <c r="U1027" i="2"/>
  <c r="AA1026" i="2"/>
  <c r="AB1026" i="2" s="1"/>
  <c r="Y1026" i="2"/>
  <c r="Z1026" i="2" s="1"/>
  <c r="V1026" i="2"/>
  <c r="U1026" i="2"/>
  <c r="AA1025" i="2"/>
  <c r="AB1025" i="2" s="1"/>
  <c r="Y1025" i="2"/>
  <c r="Z1025" i="2" s="1"/>
  <c r="V1025" i="2"/>
  <c r="U1025" i="2"/>
  <c r="AA1024" i="2"/>
  <c r="AB1024" i="2" s="1"/>
  <c r="Y1024" i="2"/>
  <c r="Z1024" i="2" s="1"/>
  <c r="V1024" i="2"/>
  <c r="U1024" i="2"/>
  <c r="AA1023" i="2"/>
  <c r="AB1023" i="2" s="1"/>
  <c r="Y1023" i="2"/>
  <c r="Z1023" i="2" s="1"/>
  <c r="V1023" i="2"/>
  <c r="U1023" i="2"/>
  <c r="AA1022" i="2"/>
  <c r="AB1022" i="2" s="1"/>
  <c r="Y1022" i="2"/>
  <c r="Z1022" i="2" s="1"/>
  <c r="V1022" i="2"/>
  <c r="U1022" i="2"/>
  <c r="AA1021" i="2"/>
  <c r="AB1021" i="2" s="1"/>
  <c r="Y1021" i="2"/>
  <c r="Z1021" i="2" s="1"/>
  <c r="V1021" i="2"/>
  <c r="U1021" i="2"/>
  <c r="AA1020" i="2"/>
  <c r="AB1020" i="2" s="1"/>
  <c r="Y1020" i="2"/>
  <c r="Z1020" i="2" s="1"/>
  <c r="V1020" i="2"/>
  <c r="U1020" i="2"/>
  <c r="AA1019" i="2"/>
  <c r="AB1019" i="2" s="1"/>
  <c r="Y1019" i="2"/>
  <c r="Z1019" i="2" s="1"/>
  <c r="V1019" i="2"/>
  <c r="U1019" i="2"/>
  <c r="AA1018" i="2"/>
  <c r="AB1018" i="2" s="1"/>
  <c r="Y1018" i="2"/>
  <c r="Z1018" i="2" s="1"/>
  <c r="V1018" i="2"/>
  <c r="U1018" i="2"/>
  <c r="AA1017" i="2"/>
  <c r="AB1017" i="2" s="1"/>
  <c r="Y1017" i="2"/>
  <c r="Z1017" i="2" s="1"/>
  <c r="V1017" i="2"/>
  <c r="U1017" i="2"/>
  <c r="AA1016" i="2"/>
  <c r="AB1016" i="2" s="1"/>
  <c r="Y1016" i="2"/>
  <c r="Z1016" i="2" s="1"/>
  <c r="V1016" i="2"/>
  <c r="U1016" i="2"/>
  <c r="AA1015" i="2"/>
  <c r="AB1015" i="2" s="1"/>
  <c r="Y1015" i="2"/>
  <c r="Z1015" i="2" s="1"/>
  <c r="V1015" i="2"/>
  <c r="U1015" i="2"/>
  <c r="AA1014" i="2"/>
  <c r="AB1014" i="2" s="1"/>
  <c r="Y1014" i="2"/>
  <c r="Z1014" i="2" s="1"/>
  <c r="V1014" i="2"/>
  <c r="U1014" i="2"/>
  <c r="AA1013" i="2"/>
  <c r="AB1013" i="2" s="1"/>
  <c r="Y1013" i="2"/>
  <c r="Z1013" i="2" s="1"/>
  <c r="V1013" i="2"/>
  <c r="U1013" i="2"/>
  <c r="AA1012" i="2"/>
  <c r="AB1012" i="2" s="1"/>
  <c r="Y1012" i="2"/>
  <c r="Z1012" i="2" s="1"/>
  <c r="V1012" i="2"/>
  <c r="U1012" i="2"/>
  <c r="AA1011" i="2"/>
  <c r="AB1011" i="2" s="1"/>
  <c r="Y1011" i="2"/>
  <c r="Z1011" i="2" s="1"/>
  <c r="V1011" i="2"/>
  <c r="U1011" i="2"/>
  <c r="AA1010" i="2"/>
  <c r="AB1010" i="2" s="1"/>
  <c r="Y1010" i="2"/>
  <c r="Z1010" i="2" s="1"/>
  <c r="V1010" i="2"/>
  <c r="U1010" i="2"/>
  <c r="AA1009" i="2"/>
  <c r="AB1009" i="2" s="1"/>
  <c r="Y1009" i="2"/>
  <c r="Z1009" i="2" s="1"/>
  <c r="V1009" i="2"/>
  <c r="U1009" i="2"/>
  <c r="AA1008" i="2"/>
  <c r="AB1008" i="2" s="1"/>
  <c r="Y1008" i="2"/>
  <c r="Z1008" i="2" s="1"/>
  <c r="V1008" i="2"/>
  <c r="U1008" i="2"/>
  <c r="AA1007" i="2"/>
  <c r="AB1007" i="2" s="1"/>
  <c r="Y1007" i="2"/>
  <c r="Z1007" i="2" s="1"/>
  <c r="V1007" i="2"/>
  <c r="U1007" i="2"/>
  <c r="AA1006" i="2"/>
  <c r="AB1006" i="2" s="1"/>
  <c r="Y1006" i="2"/>
  <c r="Z1006" i="2" s="1"/>
  <c r="V1006" i="2"/>
  <c r="U1006" i="2"/>
  <c r="AA1005" i="2"/>
  <c r="AB1005" i="2" s="1"/>
  <c r="Y1005" i="2"/>
  <c r="Z1005" i="2" s="1"/>
  <c r="V1005" i="2"/>
  <c r="U1005" i="2"/>
  <c r="AA1004" i="2"/>
  <c r="AB1004" i="2" s="1"/>
  <c r="Y1004" i="2"/>
  <c r="Z1004" i="2" s="1"/>
  <c r="V1004" i="2"/>
  <c r="U1004" i="2"/>
  <c r="AA1003" i="2"/>
  <c r="AB1003" i="2" s="1"/>
  <c r="Y1003" i="2"/>
  <c r="Z1003" i="2" s="1"/>
  <c r="V1003" i="2"/>
  <c r="U1003" i="2"/>
  <c r="AA1002" i="2"/>
  <c r="AB1002" i="2" s="1"/>
  <c r="Y1002" i="2"/>
  <c r="Z1002" i="2" s="1"/>
  <c r="V1002" i="2"/>
  <c r="U1002" i="2"/>
  <c r="AA1001" i="2"/>
  <c r="AB1001" i="2" s="1"/>
  <c r="Y1001" i="2"/>
  <c r="Z1001" i="2" s="1"/>
  <c r="V1001" i="2"/>
  <c r="U1001" i="2"/>
  <c r="AA1000" i="2"/>
  <c r="AB1000" i="2" s="1"/>
  <c r="Y1000" i="2"/>
  <c r="Z1000" i="2" s="1"/>
  <c r="V1000" i="2"/>
  <c r="U1000" i="2"/>
  <c r="AA999" i="2"/>
  <c r="AB999" i="2" s="1"/>
  <c r="Y999" i="2"/>
  <c r="Z999" i="2" s="1"/>
  <c r="V999" i="2"/>
  <c r="U999" i="2"/>
  <c r="AA998" i="2"/>
  <c r="AB998" i="2" s="1"/>
  <c r="Y998" i="2"/>
  <c r="Z998" i="2" s="1"/>
  <c r="V998" i="2"/>
  <c r="U998" i="2"/>
  <c r="AA997" i="2"/>
  <c r="AB997" i="2" s="1"/>
  <c r="Y997" i="2"/>
  <c r="Z997" i="2" s="1"/>
  <c r="V997" i="2"/>
  <c r="U997" i="2"/>
  <c r="AA996" i="2"/>
  <c r="AB996" i="2" s="1"/>
  <c r="Y996" i="2"/>
  <c r="Z996" i="2" s="1"/>
  <c r="V996" i="2"/>
  <c r="U996" i="2"/>
  <c r="AA995" i="2"/>
  <c r="AB995" i="2" s="1"/>
  <c r="Y995" i="2"/>
  <c r="Z995" i="2" s="1"/>
  <c r="V995" i="2"/>
  <c r="U995" i="2"/>
  <c r="AA994" i="2"/>
  <c r="AB994" i="2" s="1"/>
  <c r="Y994" i="2"/>
  <c r="Z994" i="2" s="1"/>
  <c r="V994" i="2"/>
  <c r="U994" i="2"/>
  <c r="AA993" i="2"/>
  <c r="AB993" i="2" s="1"/>
  <c r="Y993" i="2"/>
  <c r="Z993" i="2" s="1"/>
  <c r="V993" i="2"/>
  <c r="U993" i="2"/>
  <c r="AA992" i="2"/>
  <c r="AB992" i="2" s="1"/>
  <c r="Y992" i="2"/>
  <c r="Z992" i="2" s="1"/>
  <c r="V992" i="2"/>
  <c r="U992" i="2"/>
  <c r="AA991" i="2"/>
  <c r="AB991" i="2" s="1"/>
  <c r="Y991" i="2"/>
  <c r="Z991" i="2" s="1"/>
  <c r="V991" i="2"/>
  <c r="U991" i="2"/>
  <c r="AA990" i="2"/>
  <c r="AB990" i="2" s="1"/>
  <c r="Y990" i="2"/>
  <c r="Z990" i="2" s="1"/>
  <c r="V990" i="2"/>
  <c r="U990" i="2"/>
  <c r="AA989" i="2"/>
  <c r="AB989" i="2" s="1"/>
  <c r="Y989" i="2"/>
  <c r="Z989" i="2" s="1"/>
  <c r="V989" i="2"/>
  <c r="U989" i="2"/>
  <c r="AA988" i="2"/>
  <c r="AB988" i="2" s="1"/>
  <c r="Y988" i="2"/>
  <c r="Z988" i="2" s="1"/>
  <c r="V988" i="2"/>
  <c r="U988" i="2"/>
  <c r="AA987" i="2"/>
  <c r="AB987" i="2" s="1"/>
  <c r="Y987" i="2"/>
  <c r="Z987" i="2" s="1"/>
  <c r="V987" i="2"/>
  <c r="U987" i="2"/>
  <c r="AA986" i="2"/>
  <c r="AB986" i="2" s="1"/>
  <c r="Y986" i="2"/>
  <c r="Z986" i="2" s="1"/>
  <c r="V986" i="2"/>
  <c r="U986" i="2"/>
  <c r="AA985" i="2"/>
  <c r="AB985" i="2" s="1"/>
  <c r="Y985" i="2"/>
  <c r="Z985" i="2" s="1"/>
  <c r="V985" i="2"/>
  <c r="U985" i="2"/>
  <c r="AA984" i="2"/>
  <c r="AB984" i="2" s="1"/>
  <c r="Y984" i="2"/>
  <c r="Z984" i="2" s="1"/>
  <c r="V984" i="2"/>
  <c r="U984" i="2"/>
  <c r="AA983" i="2"/>
  <c r="AB983" i="2" s="1"/>
  <c r="Y983" i="2"/>
  <c r="Z983" i="2" s="1"/>
  <c r="V983" i="2"/>
  <c r="U983" i="2"/>
  <c r="AA982" i="2"/>
  <c r="AB982" i="2" s="1"/>
  <c r="Y982" i="2"/>
  <c r="Z982" i="2" s="1"/>
  <c r="V982" i="2"/>
  <c r="U982" i="2"/>
  <c r="AA981" i="2"/>
  <c r="AB981" i="2" s="1"/>
  <c r="Y981" i="2"/>
  <c r="Z981" i="2" s="1"/>
  <c r="V981" i="2"/>
  <c r="U981" i="2"/>
  <c r="AA980" i="2"/>
  <c r="AB980" i="2" s="1"/>
  <c r="Y980" i="2"/>
  <c r="Z980" i="2" s="1"/>
  <c r="V980" i="2"/>
  <c r="U980" i="2"/>
  <c r="AA979" i="2"/>
  <c r="AB979" i="2" s="1"/>
  <c r="Y979" i="2"/>
  <c r="Z979" i="2" s="1"/>
  <c r="V979" i="2"/>
  <c r="U979" i="2"/>
  <c r="AA978" i="2"/>
  <c r="AB978" i="2" s="1"/>
  <c r="Y978" i="2"/>
  <c r="Z978" i="2" s="1"/>
  <c r="V978" i="2"/>
  <c r="U978" i="2"/>
  <c r="AA977" i="2"/>
  <c r="AB977" i="2" s="1"/>
  <c r="Y977" i="2"/>
  <c r="Z977" i="2" s="1"/>
  <c r="V977" i="2"/>
  <c r="U977" i="2"/>
  <c r="AA976" i="2"/>
  <c r="AB976" i="2" s="1"/>
  <c r="Y976" i="2"/>
  <c r="Z976" i="2" s="1"/>
  <c r="V976" i="2"/>
  <c r="U976" i="2"/>
  <c r="AA975" i="2"/>
  <c r="AB975" i="2" s="1"/>
  <c r="Y975" i="2"/>
  <c r="Z975" i="2" s="1"/>
  <c r="V975" i="2"/>
  <c r="U975" i="2"/>
  <c r="AA974" i="2"/>
  <c r="AB974" i="2" s="1"/>
  <c r="Y974" i="2"/>
  <c r="Z974" i="2" s="1"/>
  <c r="V974" i="2"/>
  <c r="U974" i="2"/>
  <c r="AA973" i="2"/>
  <c r="AB973" i="2" s="1"/>
  <c r="Y973" i="2"/>
  <c r="Z973" i="2" s="1"/>
  <c r="V973" i="2"/>
  <c r="U973" i="2"/>
  <c r="AA972" i="2"/>
  <c r="AB972" i="2" s="1"/>
  <c r="Y972" i="2"/>
  <c r="Z972" i="2" s="1"/>
  <c r="V972" i="2"/>
  <c r="U972" i="2"/>
  <c r="AA971" i="2"/>
  <c r="AB971" i="2" s="1"/>
  <c r="Y971" i="2"/>
  <c r="Z971" i="2" s="1"/>
  <c r="V971" i="2"/>
  <c r="U971" i="2"/>
  <c r="AA970" i="2"/>
  <c r="AB970" i="2" s="1"/>
  <c r="Y970" i="2"/>
  <c r="Z970" i="2" s="1"/>
  <c r="V970" i="2"/>
  <c r="U970" i="2"/>
  <c r="AA969" i="2"/>
  <c r="AB969" i="2" s="1"/>
  <c r="Y969" i="2"/>
  <c r="Z969" i="2" s="1"/>
  <c r="V969" i="2"/>
  <c r="U969" i="2"/>
  <c r="AA968" i="2"/>
  <c r="AB968" i="2" s="1"/>
  <c r="Y968" i="2"/>
  <c r="Z968" i="2" s="1"/>
  <c r="V968" i="2"/>
  <c r="U968" i="2"/>
  <c r="AA967" i="2"/>
  <c r="AB967" i="2" s="1"/>
  <c r="Y967" i="2"/>
  <c r="Z967" i="2" s="1"/>
  <c r="V967" i="2"/>
  <c r="U967" i="2"/>
  <c r="AA966" i="2"/>
  <c r="AB966" i="2" s="1"/>
  <c r="Y966" i="2"/>
  <c r="Z966" i="2" s="1"/>
  <c r="V966" i="2"/>
  <c r="U966" i="2"/>
  <c r="AA965" i="2"/>
  <c r="AB965" i="2" s="1"/>
  <c r="Y965" i="2"/>
  <c r="Z965" i="2" s="1"/>
  <c r="V965" i="2"/>
  <c r="U965" i="2"/>
  <c r="AA964" i="2"/>
  <c r="AB964" i="2" s="1"/>
  <c r="Y964" i="2"/>
  <c r="Z964" i="2" s="1"/>
  <c r="V964" i="2"/>
  <c r="U964" i="2"/>
  <c r="AA963" i="2"/>
  <c r="AB963" i="2" s="1"/>
  <c r="Y963" i="2"/>
  <c r="Z963" i="2" s="1"/>
  <c r="V963" i="2"/>
  <c r="U963" i="2"/>
  <c r="AA962" i="2"/>
  <c r="AB962" i="2" s="1"/>
  <c r="Y962" i="2"/>
  <c r="Z962" i="2" s="1"/>
  <c r="V962" i="2"/>
  <c r="U962" i="2"/>
  <c r="AA961" i="2"/>
  <c r="AB961" i="2" s="1"/>
  <c r="Y961" i="2"/>
  <c r="Z961" i="2" s="1"/>
  <c r="V961" i="2"/>
  <c r="U961" i="2"/>
  <c r="AA960" i="2"/>
  <c r="AB960" i="2" s="1"/>
  <c r="Y960" i="2"/>
  <c r="Z960" i="2" s="1"/>
  <c r="V960" i="2"/>
  <c r="U960" i="2"/>
  <c r="AA959" i="2"/>
  <c r="AB959" i="2" s="1"/>
  <c r="Y959" i="2"/>
  <c r="Z959" i="2" s="1"/>
  <c r="V959" i="2"/>
  <c r="U959" i="2"/>
  <c r="AA958" i="2"/>
  <c r="AB958" i="2" s="1"/>
  <c r="Y958" i="2"/>
  <c r="Z958" i="2" s="1"/>
  <c r="V958" i="2"/>
  <c r="U958" i="2"/>
  <c r="AA957" i="2"/>
  <c r="AB957" i="2" s="1"/>
  <c r="Y957" i="2"/>
  <c r="Z957" i="2" s="1"/>
  <c r="V957" i="2"/>
  <c r="U957" i="2"/>
  <c r="AA956" i="2"/>
  <c r="AB956" i="2" s="1"/>
  <c r="Y956" i="2"/>
  <c r="Z956" i="2" s="1"/>
  <c r="V956" i="2"/>
  <c r="U956" i="2"/>
  <c r="AA955" i="2"/>
  <c r="AB955" i="2" s="1"/>
  <c r="Y955" i="2"/>
  <c r="Z955" i="2" s="1"/>
  <c r="V955" i="2"/>
  <c r="U955" i="2"/>
  <c r="AA954" i="2"/>
  <c r="AB954" i="2" s="1"/>
  <c r="Y954" i="2"/>
  <c r="Z954" i="2" s="1"/>
  <c r="V954" i="2"/>
  <c r="U954" i="2"/>
  <c r="AA953" i="2"/>
  <c r="AB953" i="2" s="1"/>
  <c r="Y953" i="2"/>
  <c r="Z953" i="2" s="1"/>
  <c r="V953" i="2"/>
  <c r="U953" i="2"/>
  <c r="AA952" i="2"/>
  <c r="AB952" i="2" s="1"/>
  <c r="Y952" i="2"/>
  <c r="Z952" i="2" s="1"/>
  <c r="V952" i="2"/>
  <c r="U952" i="2"/>
  <c r="AA951" i="2"/>
  <c r="AB951" i="2" s="1"/>
  <c r="Y951" i="2"/>
  <c r="Z951" i="2" s="1"/>
  <c r="V951" i="2"/>
  <c r="U951" i="2"/>
  <c r="AA950" i="2"/>
  <c r="AB950" i="2" s="1"/>
  <c r="Y950" i="2"/>
  <c r="Z950" i="2" s="1"/>
  <c r="V950" i="2"/>
  <c r="U950" i="2"/>
  <c r="AA949" i="2"/>
  <c r="AB949" i="2" s="1"/>
  <c r="Y949" i="2"/>
  <c r="Z949" i="2" s="1"/>
  <c r="V949" i="2"/>
  <c r="U949" i="2"/>
  <c r="AA948" i="2"/>
  <c r="AB948" i="2" s="1"/>
  <c r="Y948" i="2"/>
  <c r="Z948" i="2" s="1"/>
  <c r="V948" i="2"/>
  <c r="U948" i="2"/>
  <c r="AA947" i="2"/>
  <c r="AB947" i="2" s="1"/>
  <c r="Y947" i="2"/>
  <c r="Z947" i="2" s="1"/>
  <c r="V947" i="2"/>
  <c r="U947" i="2"/>
  <c r="AA946" i="2"/>
  <c r="AB946" i="2" s="1"/>
  <c r="Y946" i="2"/>
  <c r="Z946" i="2" s="1"/>
  <c r="V946" i="2"/>
  <c r="U946" i="2"/>
  <c r="AA945" i="2"/>
  <c r="AB945" i="2" s="1"/>
  <c r="Y945" i="2"/>
  <c r="Z945" i="2" s="1"/>
  <c r="V945" i="2"/>
  <c r="U945" i="2"/>
  <c r="AA944" i="2"/>
  <c r="AB944" i="2" s="1"/>
  <c r="Y944" i="2"/>
  <c r="Z944" i="2" s="1"/>
  <c r="V944" i="2"/>
  <c r="U944" i="2"/>
  <c r="AA943" i="2"/>
  <c r="AB943" i="2" s="1"/>
  <c r="Y943" i="2"/>
  <c r="Z943" i="2" s="1"/>
  <c r="V943" i="2"/>
  <c r="U943" i="2"/>
  <c r="AA942" i="2"/>
  <c r="AB942" i="2" s="1"/>
  <c r="Y942" i="2"/>
  <c r="Z942" i="2" s="1"/>
  <c r="V942" i="2"/>
  <c r="U942" i="2"/>
  <c r="AA941" i="2"/>
  <c r="AB941" i="2" s="1"/>
  <c r="Y941" i="2"/>
  <c r="Z941" i="2" s="1"/>
  <c r="V941" i="2"/>
  <c r="U941" i="2"/>
  <c r="AA940" i="2"/>
  <c r="AB940" i="2" s="1"/>
  <c r="Y940" i="2"/>
  <c r="Z940" i="2" s="1"/>
  <c r="V940" i="2"/>
  <c r="U940" i="2"/>
  <c r="AA939" i="2"/>
  <c r="AB939" i="2" s="1"/>
  <c r="Y939" i="2"/>
  <c r="Z939" i="2" s="1"/>
  <c r="V939" i="2"/>
  <c r="U939" i="2"/>
  <c r="AA938" i="2"/>
  <c r="AB938" i="2" s="1"/>
  <c r="Y938" i="2"/>
  <c r="Z938" i="2" s="1"/>
  <c r="V938" i="2"/>
  <c r="U938" i="2"/>
  <c r="AA937" i="2"/>
  <c r="AB937" i="2" s="1"/>
  <c r="Y937" i="2"/>
  <c r="Z937" i="2" s="1"/>
  <c r="V937" i="2"/>
  <c r="U937" i="2"/>
  <c r="AA936" i="2"/>
  <c r="AB936" i="2" s="1"/>
  <c r="Y936" i="2"/>
  <c r="Z936" i="2" s="1"/>
  <c r="V936" i="2"/>
  <c r="U936" i="2"/>
  <c r="AA935" i="2"/>
  <c r="AB935" i="2" s="1"/>
  <c r="Y935" i="2"/>
  <c r="Z935" i="2" s="1"/>
  <c r="V935" i="2"/>
  <c r="U935" i="2"/>
  <c r="AA934" i="2"/>
  <c r="AB934" i="2" s="1"/>
  <c r="Y934" i="2"/>
  <c r="Z934" i="2" s="1"/>
  <c r="V934" i="2"/>
  <c r="U934" i="2"/>
  <c r="AA933" i="2"/>
  <c r="AB933" i="2" s="1"/>
  <c r="Y933" i="2"/>
  <c r="Z933" i="2" s="1"/>
  <c r="V933" i="2"/>
  <c r="U933" i="2"/>
  <c r="AA932" i="2"/>
  <c r="AB932" i="2" s="1"/>
  <c r="Y932" i="2"/>
  <c r="Z932" i="2" s="1"/>
  <c r="V932" i="2"/>
  <c r="U932" i="2"/>
  <c r="AA931" i="2"/>
  <c r="AB931" i="2" s="1"/>
  <c r="Y931" i="2"/>
  <c r="Z931" i="2" s="1"/>
  <c r="V931" i="2"/>
  <c r="U931" i="2"/>
  <c r="AA930" i="2"/>
  <c r="AB930" i="2" s="1"/>
  <c r="Y930" i="2"/>
  <c r="Z930" i="2" s="1"/>
  <c r="V930" i="2"/>
  <c r="U930" i="2"/>
  <c r="AA929" i="2"/>
  <c r="AB929" i="2" s="1"/>
  <c r="Y929" i="2"/>
  <c r="Z929" i="2" s="1"/>
  <c r="V929" i="2"/>
  <c r="U929" i="2"/>
  <c r="AA928" i="2"/>
  <c r="AB928" i="2" s="1"/>
  <c r="Y928" i="2"/>
  <c r="Z928" i="2" s="1"/>
  <c r="V928" i="2"/>
  <c r="U928" i="2"/>
  <c r="AA927" i="2"/>
  <c r="AB927" i="2" s="1"/>
  <c r="Y927" i="2"/>
  <c r="Z927" i="2" s="1"/>
  <c r="V927" i="2"/>
  <c r="U927" i="2"/>
  <c r="AA926" i="2"/>
  <c r="AB926" i="2" s="1"/>
  <c r="Y926" i="2"/>
  <c r="Z926" i="2" s="1"/>
  <c r="V926" i="2"/>
  <c r="U926" i="2"/>
  <c r="AA925" i="2"/>
  <c r="AB925" i="2" s="1"/>
  <c r="Y925" i="2"/>
  <c r="Z925" i="2" s="1"/>
  <c r="V925" i="2"/>
  <c r="U925" i="2"/>
  <c r="AA924" i="2"/>
  <c r="AB924" i="2" s="1"/>
  <c r="Y924" i="2"/>
  <c r="Z924" i="2" s="1"/>
  <c r="V924" i="2"/>
  <c r="U924" i="2"/>
  <c r="AA923" i="2"/>
  <c r="AB923" i="2" s="1"/>
  <c r="Y923" i="2"/>
  <c r="Z923" i="2" s="1"/>
  <c r="V923" i="2"/>
  <c r="U923" i="2"/>
  <c r="AA922" i="2"/>
  <c r="AB922" i="2" s="1"/>
  <c r="Y922" i="2"/>
  <c r="Z922" i="2" s="1"/>
  <c r="V922" i="2"/>
  <c r="U922" i="2"/>
  <c r="AA921" i="2"/>
  <c r="AB921" i="2" s="1"/>
  <c r="Y921" i="2"/>
  <c r="Z921" i="2" s="1"/>
  <c r="V921" i="2"/>
  <c r="U921" i="2"/>
  <c r="AA920" i="2"/>
  <c r="AB920" i="2" s="1"/>
  <c r="Y920" i="2"/>
  <c r="Z920" i="2" s="1"/>
  <c r="V920" i="2"/>
  <c r="U920" i="2"/>
  <c r="AA919" i="2"/>
  <c r="AB919" i="2" s="1"/>
  <c r="Y919" i="2"/>
  <c r="Z919" i="2" s="1"/>
  <c r="V919" i="2"/>
  <c r="U919" i="2"/>
  <c r="AA918" i="2"/>
  <c r="AB918" i="2" s="1"/>
  <c r="Y918" i="2"/>
  <c r="Z918" i="2" s="1"/>
  <c r="V918" i="2"/>
  <c r="U918" i="2"/>
  <c r="AA917" i="2"/>
  <c r="AB917" i="2" s="1"/>
  <c r="Y917" i="2"/>
  <c r="Z917" i="2" s="1"/>
  <c r="V917" i="2"/>
  <c r="U917" i="2"/>
  <c r="AA916" i="2"/>
  <c r="AB916" i="2" s="1"/>
  <c r="Y916" i="2"/>
  <c r="Z916" i="2" s="1"/>
  <c r="V916" i="2"/>
  <c r="U916" i="2"/>
  <c r="AA915" i="2"/>
  <c r="AB915" i="2" s="1"/>
  <c r="Y915" i="2"/>
  <c r="Z915" i="2" s="1"/>
  <c r="V915" i="2"/>
  <c r="U915" i="2"/>
  <c r="AA914" i="2"/>
  <c r="AB914" i="2" s="1"/>
  <c r="Y914" i="2"/>
  <c r="Z914" i="2" s="1"/>
  <c r="V914" i="2"/>
  <c r="U914" i="2"/>
  <c r="AA913" i="2"/>
  <c r="AB913" i="2" s="1"/>
  <c r="Y913" i="2"/>
  <c r="Z913" i="2" s="1"/>
  <c r="V913" i="2"/>
  <c r="U913" i="2"/>
  <c r="AA912" i="2"/>
  <c r="AB912" i="2" s="1"/>
  <c r="Y912" i="2"/>
  <c r="Z912" i="2" s="1"/>
  <c r="V912" i="2"/>
  <c r="U912" i="2"/>
  <c r="AA911" i="2"/>
  <c r="AB911" i="2" s="1"/>
  <c r="Y911" i="2"/>
  <c r="Z911" i="2" s="1"/>
  <c r="V911" i="2"/>
  <c r="U911" i="2"/>
  <c r="AA910" i="2"/>
  <c r="AB910" i="2" s="1"/>
  <c r="Y910" i="2"/>
  <c r="Z910" i="2" s="1"/>
  <c r="V910" i="2"/>
  <c r="U910" i="2"/>
  <c r="AA909" i="2"/>
  <c r="AB909" i="2" s="1"/>
  <c r="Y909" i="2"/>
  <c r="Z909" i="2" s="1"/>
  <c r="V909" i="2"/>
  <c r="U909" i="2"/>
  <c r="AA908" i="2"/>
  <c r="AB908" i="2" s="1"/>
  <c r="Y908" i="2"/>
  <c r="Z908" i="2" s="1"/>
  <c r="V908" i="2"/>
  <c r="U908" i="2"/>
  <c r="AA907" i="2"/>
  <c r="AB907" i="2" s="1"/>
  <c r="Y907" i="2"/>
  <c r="Z907" i="2" s="1"/>
  <c r="V907" i="2"/>
  <c r="U907" i="2"/>
  <c r="AA906" i="2"/>
  <c r="AB906" i="2" s="1"/>
  <c r="Y906" i="2"/>
  <c r="Z906" i="2" s="1"/>
  <c r="V906" i="2"/>
  <c r="U906" i="2"/>
  <c r="AA905" i="2"/>
  <c r="AB905" i="2" s="1"/>
  <c r="Y905" i="2"/>
  <c r="Z905" i="2" s="1"/>
  <c r="V905" i="2"/>
  <c r="U905" i="2"/>
  <c r="AA904" i="2"/>
  <c r="AB904" i="2" s="1"/>
  <c r="Y904" i="2"/>
  <c r="Z904" i="2" s="1"/>
  <c r="V904" i="2"/>
  <c r="U904" i="2"/>
  <c r="AA903" i="2"/>
  <c r="AB903" i="2" s="1"/>
  <c r="Y903" i="2"/>
  <c r="Z903" i="2" s="1"/>
  <c r="V903" i="2"/>
  <c r="U903" i="2"/>
  <c r="AA902" i="2"/>
  <c r="AB902" i="2" s="1"/>
  <c r="Y902" i="2"/>
  <c r="Z902" i="2" s="1"/>
  <c r="V902" i="2"/>
  <c r="U902" i="2"/>
  <c r="AA901" i="2"/>
  <c r="AB901" i="2" s="1"/>
  <c r="Y901" i="2"/>
  <c r="Z901" i="2" s="1"/>
  <c r="V901" i="2"/>
  <c r="U901" i="2"/>
  <c r="AA900" i="2"/>
  <c r="AB900" i="2" s="1"/>
  <c r="Y900" i="2"/>
  <c r="Z900" i="2" s="1"/>
  <c r="V900" i="2"/>
  <c r="U900" i="2"/>
  <c r="AA899" i="2"/>
  <c r="AB899" i="2" s="1"/>
  <c r="Y899" i="2"/>
  <c r="Z899" i="2" s="1"/>
  <c r="V899" i="2"/>
  <c r="U899" i="2"/>
  <c r="AA898" i="2"/>
  <c r="AB898" i="2" s="1"/>
  <c r="Y898" i="2"/>
  <c r="Z898" i="2" s="1"/>
  <c r="V898" i="2"/>
  <c r="U898" i="2"/>
  <c r="AA897" i="2"/>
  <c r="AB897" i="2" s="1"/>
  <c r="Y897" i="2"/>
  <c r="Z897" i="2" s="1"/>
  <c r="V897" i="2"/>
  <c r="U897" i="2"/>
  <c r="AA896" i="2"/>
  <c r="AB896" i="2" s="1"/>
  <c r="Y896" i="2"/>
  <c r="Z896" i="2" s="1"/>
  <c r="V896" i="2"/>
  <c r="U896" i="2"/>
  <c r="AA895" i="2"/>
  <c r="AB895" i="2" s="1"/>
  <c r="Y895" i="2"/>
  <c r="Z895" i="2" s="1"/>
  <c r="V895" i="2"/>
  <c r="U895" i="2"/>
  <c r="AA894" i="2"/>
  <c r="AB894" i="2" s="1"/>
  <c r="Y894" i="2"/>
  <c r="Z894" i="2" s="1"/>
  <c r="V894" i="2"/>
  <c r="U894" i="2"/>
  <c r="AA893" i="2"/>
  <c r="AB893" i="2" s="1"/>
  <c r="Y893" i="2"/>
  <c r="Z893" i="2" s="1"/>
  <c r="V893" i="2"/>
  <c r="U893" i="2"/>
  <c r="AA892" i="2"/>
  <c r="AB892" i="2" s="1"/>
  <c r="Y892" i="2"/>
  <c r="Z892" i="2" s="1"/>
  <c r="V892" i="2"/>
  <c r="U892" i="2"/>
  <c r="AA891" i="2"/>
  <c r="AB891" i="2" s="1"/>
  <c r="Y891" i="2"/>
  <c r="Z891" i="2" s="1"/>
  <c r="V891" i="2"/>
  <c r="U891" i="2"/>
  <c r="AA890" i="2"/>
  <c r="AB890" i="2" s="1"/>
  <c r="Y890" i="2"/>
  <c r="Z890" i="2" s="1"/>
  <c r="V890" i="2"/>
  <c r="U890" i="2"/>
  <c r="AA889" i="2"/>
  <c r="AB889" i="2" s="1"/>
  <c r="Y889" i="2"/>
  <c r="Z889" i="2" s="1"/>
  <c r="V889" i="2"/>
  <c r="U889" i="2"/>
  <c r="AA888" i="2"/>
  <c r="AB888" i="2" s="1"/>
  <c r="Y888" i="2"/>
  <c r="Z888" i="2" s="1"/>
  <c r="V888" i="2"/>
  <c r="U888" i="2"/>
  <c r="AA887" i="2"/>
  <c r="AB887" i="2" s="1"/>
  <c r="Y887" i="2"/>
  <c r="Z887" i="2" s="1"/>
  <c r="V887" i="2"/>
  <c r="U887" i="2"/>
  <c r="AA886" i="2"/>
  <c r="AB886" i="2" s="1"/>
  <c r="Y886" i="2"/>
  <c r="Z886" i="2" s="1"/>
  <c r="V886" i="2"/>
  <c r="U886" i="2"/>
  <c r="AA885" i="2"/>
  <c r="AB885" i="2" s="1"/>
  <c r="Y885" i="2"/>
  <c r="Z885" i="2" s="1"/>
  <c r="V885" i="2"/>
  <c r="U885" i="2"/>
  <c r="AA884" i="2"/>
  <c r="AB884" i="2" s="1"/>
  <c r="Y884" i="2"/>
  <c r="Z884" i="2" s="1"/>
  <c r="V884" i="2"/>
  <c r="U884" i="2"/>
  <c r="AA883" i="2"/>
  <c r="AB883" i="2" s="1"/>
  <c r="Y883" i="2"/>
  <c r="Z883" i="2" s="1"/>
  <c r="V883" i="2"/>
  <c r="U883" i="2"/>
  <c r="AA882" i="2"/>
  <c r="AB882" i="2" s="1"/>
  <c r="Y882" i="2"/>
  <c r="Z882" i="2" s="1"/>
  <c r="V882" i="2"/>
  <c r="U882" i="2"/>
  <c r="AA881" i="2"/>
  <c r="AB881" i="2" s="1"/>
  <c r="Y881" i="2"/>
  <c r="Z881" i="2" s="1"/>
  <c r="V881" i="2"/>
  <c r="U881" i="2"/>
  <c r="AA880" i="2"/>
  <c r="AB880" i="2" s="1"/>
  <c r="Y880" i="2"/>
  <c r="Z880" i="2" s="1"/>
  <c r="V880" i="2"/>
  <c r="U880" i="2"/>
  <c r="AA879" i="2"/>
  <c r="AB879" i="2" s="1"/>
  <c r="Y879" i="2"/>
  <c r="Z879" i="2" s="1"/>
  <c r="V879" i="2"/>
  <c r="U879" i="2"/>
  <c r="AA878" i="2"/>
  <c r="AB878" i="2" s="1"/>
  <c r="Y878" i="2"/>
  <c r="Z878" i="2" s="1"/>
  <c r="V878" i="2"/>
  <c r="U878" i="2"/>
  <c r="AA877" i="2"/>
  <c r="AB877" i="2" s="1"/>
  <c r="Y877" i="2"/>
  <c r="Z877" i="2" s="1"/>
  <c r="V877" i="2"/>
  <c r="U877" i="2"/>
  <c r="AA876" i="2"/>
  <c r="AB876" i="2" s="1"/>
  <c r="Y876" i="2"/>
  <c r="Z876" i="2" s="1"/>
  <c r="V876" i="2"/>
  <c r="U876" i="2"/>
  <c r="AA875" i="2"/>
  <c r="AB875" i="2" s="1"/>
  <c r="Y875" i="2"/>
  <c r="Z875" i="2" s="1"/>
  <c r="V875" i="2"/>
  <c r="U875" i="2"/>
  <c r="AA874" i="2"/>
  <c r="AB874" i="2" s="1"/>
  <c r="Y874" i="2"/>
  <c r="Z874" i="2" s="1"/>
  <c r="V874" i="2"/>
  <c r="U874" i="2"/>
  <c r="AA873" i="2"/>
  <c r="AB873" i="2" s="1"/>
  <c r="Y873" i="2"/>
  <c r="Z873" i="2" s="1"/>
  <c r="V873" i="2"/>
  <c r="U873" i="2"/>
  <c r="AA872" i="2"/>
  <c r="AB872" i="2" s="1"/>
  <c r="Y872" i="2"/>
  <c r="Z872" i="2" s="1"/>
  <c r="V872" i="2"/>
  <c r="U872" i="2"/>
  <c r="AA871" i="2"/>
  <c r="AB871" i="2" s="1"/>
  <c r="Y871" i="2"/>
  <c r="Z871" i="2" s="1"/>
  <c r="V871" i="2"/>
  <c r="U871" i="2"/>
  <c r="AA870" i="2"/>
  <c r="AB870" i="2" s="1"/>
  <c r="Y870" i="2"/>
  <c r="Z870" i="2" s="1"/>
  <c r="V870" i="2"/>
  <c r="U870" i="2"/>
  <c r="AA869" i="2"/>
  <c r="AB869" i="2" s="1"/>
  <c r="Y869" i="2"/>
  <c r="Z869" i="2" s="1"/>
  <c r="V869" i="2"/>
  <c r="U869" i="2"/>
  <c r="AA868" i="2"/>
  <c r="AB868" i="2" s="1"/>
  <c r="Y868" i="2"/>
  <c r="Z868" i="2" s="1"/>
  <c r="V868" i="2"/>
  <c r="U868" i="2"/>
  <c r="AA867" i="2"/>
  <c r="AB867" i="2" s="1"/>
  <c r="Y867" i="2"/>
  <c r="Z867" i="2" s="1"/>
  <c r="V867" i="2"/>
  <c r="U867" i="2"/>
  <c r="AA866" i="2"/>
  <c r="AB866" i="2" s="1"/>
  <c r="Y866" i="2"/>
  <c r="Z866" i="2" s="1"/>
  <c r="V866" i="2"/>
  <c r="U866" i="2"/>
  <c r="AA865" i="2"/>
  <c r="AB865" i="2" s="1"/>
  <c r="Y865" i="2"/>
  <c r="Z865" i="2" s="1"/>
  <c r="V865" i="2"/>
  <c r="U865" i="2"/>
  <c r="AA864" i="2"/>
  <c r="AB864" i="2" s="1"/>
  <c r="Y864" i="2"/>
  <c r="Z864" i="2" s="1"/>
  <c r="V864" i="2"/>
  <c r="U864" i="2"/>
  <c r="AA863" i="2"/>
  <c r="AB863" i="2" s="1"/>
  <c r="Y863" i="2"/>
  <c r="Z863" i="2" s="1"/>
  <c r="V863" i="2"/>
  <c r="U863" i="2"/>
  <c r="AA862" i="2"/>
  <c r="AB862" i="2" s="1"/>
  <c r="Y862" i="2"/>
  <c r="Z862" i="2" s="1"/>
  <c r="V862" i="2"/>
  <c r="U862" i="2"/>
  <c r="AA861" i="2"/>
  <c r="AB861" i="2" s="1"/>
  <c r="Y861" i="2"/>
  <c r="Z861" i="2" s="1"/>
  <c r="V861" i="2"/>
  <c r="U861" i="2"/>
  <c r="AA860" i="2"/>
  <c r="AB860" i="2" s="1"/>
  <c r="Y860" i="2"/>
  <c r="Z860" i="2" s="1"/>
  <c r="V860" i="2"/>
  <c r="U860" i="2"/>
  <c r="AA859" i="2"/>
  <c r="AB859" i="2" s="1"/>
  <c r="Y859" i="2"/>
  <c r="Z859" i="2" s="1"/>
  <c r="V859" i="2"/>
  <c r="U859" i="2"/>
  <c r="AA858" i="2"/>
  <c r="AB858" i="2" s="1"/>
  <c r="Y858" i="2"/>
  <c r="Z858" i="2" s="1"/>
  <c r="V858" i="2"/>
  <c r="U858" i="2"/>
  <c r="AA857" i="2"/>
  <c r="AB857" i="2" s="1"/>
  <c r="Y857" i="2"/>
  <c r="Z857" i="2" s="1"/>
  <c r="V857" i="2"/>
  <c r="U857" i="2"/>
  <c r="AA856" i="2"/>
  <c r="AB856" i="2" s="1"/>
  <c r="Y856" i="2"/>
  <c r="Z856" i="2" s="1"/>
  <c r="V856" i="2"/>
  <c r="U856" i="2"/>
  <c r="AA855" i="2"/>
  <c r="AB855" i="2" s="1"/>
  <c r="Y855" i="2"/>
  <c r="Z855" i="2" s="1"/>
  <c r="V855" i="2"/>
  <c r="U855" i="2"/>
  <c r="AA854" i="2"/>
  <c r="AB854" i="2" s="1"/>
  <c r="Y854" i="2"/>
  <c r="Z854" i="2" s="1"/>
  <c r="V854" i="2"/>
  <c r="U854" i="2"/>
  <c r="AA853" i="2"/>
  <c r="AB853" i="2" s="1"/>
  <c r="Y853" i="2"/>
  <c r="Z853" i="2" s="1"/>
  <c r="V853" i="2"/>
  <c r="U853" i="2"/>
  <c r="AA852" i="2"/>
  <c r="AB852" i="2" s="1"/>
  <c r="Y852" i="2"/>
  <c r="Z852" i="2" s="1"/>
  <c r="V852" i="2"/>
  <c r="U852" i="2"/>
  <c r="AA851" i="2"/>
  <c r="AB851" i="2" s="1"/>
  <c r="Y851" i="2"/>
  <c r="Z851" i="2" s="1"/>
  <c r="V851" i="2"/>
  <c r="U851" i="2"/>
  <c r="AA850" i="2"/>
  <c r="AB850" i="2" s="1"/>
  <c r="Y850" i="2"/>
  <c r="Z850" i="2" s="1"/>
  <c r="V850" i="2"/>
  <c r="U850" i="2"/>
  <c r="AA849" i="2"/>
  <c r="AB849" i="2" s="1"/>
  <c r="Y849" i="2"/>
  <c r="Z849" i="2" s="1"/>
  <c r="V849" i="2"/>
  <c r="U849" i="2"/>
  <c r="AA848" i="2"/>
  <c r="AB848" i="2" s="1"/>
  <c r="Y848" i="2"/>
  <c r="Z848" i="2" s="1"/>
  <c r="V848" i="2"/>
  <c r="U848" i="2"/>
  <c r="AA847" i="2"/>
  <c r="AB847" i="2" s="1"/>
  <c r="Y847" i="2"/>
  <c r="Z847" i="2" s="1"/>
  <c r="V847" i="2"/>
  <c r="U847" i="2"/>
  <c r="AA846" i="2"/>
  <c r="AB846" i="2" s="1"/>
  <c r="Y846" i="2"/>
  <c r="Z846" i="2" s="1"/>
  <c r="V846" i="2"/>
  <c r="U846" i="2"/>
  <c r="AA845" i="2"/>
  <c r="AB845" i="2" s="1"/>
  <c r="Y845" i="2"/>
  <c r="Z845" i="2" s="1"/>
  <c r="V845" i="2"/>
  <c r="U845" i="2"/>
  <c r="AA844" i="2"/>
  <c r="AB844" i="2" s="1"/>
  <c r="Y844" i="2"/>
  <c r="Z844" i="2" s="1"/>
  <c r="V844" i="2"/>
  <c r="U844" i="2"/>
  <c r="AA843" i="2"/>
  <c r="AB843" i="2" s="1"/>
  <c r="Y843" i="2"/>
  <c r="Z843" i="2" s="1"/>
  <c r="V843" i="2"/>
  <c r="U843" i="2"/>
  <c r="AA842" i="2"/>
  <c r="AB842" i="2" s="1"/>
  <c r="Y842" i="2"/>
  <c r="Z842" i="2" s="1"/>
  <c r="V842" i="2"/>
  <c r="U842" i="2"/>
  <c r="AA841" i="2"/>
  <c r="AB841" i="2" s="1"/>
  <c r="Y841" i="2"/>
  <c r="Z841" i="2" s="1"/>
  <c r="V841" i="2"/>
  <c r="U841" i="2"/>
  <c r="AA840" i="2"/>
  <c r="AB840" i="2" s="1"/>
  <c r="Y840" i="2"/>
  <c r="Z840" i="2" s="1"/>
  <c r="V840" i="2"/>
  <c r="U840" i="2"/>
  <c r="AA839" i="2"/>
  <c r="AB839" i="2" s="1"/>
  <c r="Y839" i="2"/>
  <c r="Z839" i="2" s="1"/>
  <c r="V839" i="2"/>
  <c r="U839" i="2"/>
  <c r="AA838" i="2"/>
  <c r="AB838" i="2" s="1"/>
  <c r="Y838" i="2"/>
  <c r="Z838" i="2" s="1"/>
  <c r="V838" i="2"/>
  <c r="U838" i="2"/>
  <c r="AA837" i="2"/>
  <c r="AB837" i="2" s="1"/>
  <c r="Y837" i="2"/>
  <c r="Z837" i="2" s="1"/>
  <c r="V837" i="2"/>
  <c r="U837" i="2"/>
  <c r="AA836" i="2"/>
  <c r="AB836" i="2" s="1"/>
  <c r="Y836" i="2"/>
  <c r="Z836" i="2" s="1"/>
  <c r="V836" i="2"/>
  <c r="U836" i="2"/>
  <c r="AA835" i="2"/>
  <c r="AB835" i="2" s="1"/>
  <c r="Y835" i="2"/>
  <c r="Z835" i="2" s="1"/>
  <c r="V835" i="2"/>
  <c r="U835" i="2"/>
  <c r="AA834" i="2"/>
  <c r="AB834" i="2" s="1"/>
  <c r="Y834" i="2"/>
  <c r="Z834" i="2" s="1"/>
  <c r="V834" i="2"/>
  <c r="U834" i="2"/>
  <c r="AA833" i="2"/>
  <c r="AB833" i="2" s="1"/>
  <c r="Y833" i="2"/>
  <c r="Z833" i="2" s="1"/>
  <c r="V833" i="2"/>
  <c r="U833" i="2"/>
  <c r="AA832" i="2"/>
  <c r="AB832" i="2" s="1"/>
  <c r="Y832" i="2"/>
  <c r="Z832" i="2" s="1"/>
  <c r="V832" i="2"/>
  <c r="U832" i="2"/>
  <c r="AA831" i="2"/>
  <c r="AB831" i="2" s="1"/>
  <c r="Y831" i="2"/>
  <c r="Z831" i="2" s="1"/>
  <c r="V831" i="2"/>
  <c r="U831" i="2"/>
  <c r="AA830" i="2"/>
  <c r="AB830" i="2" s="1"/>
  <c r="Y830" i="2"/>
  <c r="Z830" i="2" s="1"/>
  <c r="V830" i="2"/>
  <c r="U830" i="2"/>
  <c r="AA829" i="2"/>
  <c r="AB829" i="2" s="1"/>
  <c r="Y829" i="2"/>
  <c r="Z829" i="2" s="1"/>
  <c r="V829" i="2"/>
  <c r="U829" i="2"/>
  <c r="AA828" i="2"/>
  <c r="AB828" i="2" s="1"/>
  <c r="Y828" i="2"/>
  <c r="Z828" i="2" s="1"/>
  <c r="V828" i="2"/>
  <c r="U828" i="2"/>
  <c r="AA827" i="2"/>
  <c r="AB827" i="2" s="1"/>
  <c r="Y827" i="2"/>
  <c r="Z827" i="2" s="1"/>
  <c r="V827" i="2"/>
  <c r="U827" i="2"/>
  <c r="AA826" i="2"/>
  <c r="AB826" i="2" s="1"/>
  <c r="Y826" i="2"/>
  <c r="Z826" i="2" s="1"/>
  <c r="V826" i="2"/>
  <c r="U826" i="2"/>
  <c r="AA825" i="2"/>
  <c r="AB825" i="2" s="1"/>
  <c r="Y825" i="2"/>
  <c r="Z825" i="2" s="1"/>
  <c r="V825" i="2"/>
  <c r="U825" i="2"/>
  <c r="AA824" i="2"/>
  <c r="AB824" i="2" s="1"/>
  <c r="Y824" i="2"/>
  <c r="Z824" i="2" s="1"/>
  <c r="V824" i="2"/>
  <c r="U824" i="2"/>
  <c r="AA823" i="2"/>
  <c r="AB823" i="2" s="1"/>
  <c r="Y823" i="2"/>
  <c r="Z823" i="2" s="1"/>
  <c r="V823" i="2"/>
  <c r="U823" i="2"/>
  <c r="AA822" i="2"/>
  <c r="AB822" i="2" s="1"/>
  <c r="Y822" i="2"/>
  <c r="Z822" i="2" s="1"/>
  <c r="V822" i="2"/>
  <c r="U822" i="2"/>
  <c r="AA821" i="2"/>
  <c r="AB821" i="2" s="1"/>
  <c r="Y821" i="2"/>
  <c r="Z821" i="2" s="1"/>
  <c r="V821" i="2"/>
  <c r="U821" i="2"/>
  <c r="AA820" i="2"/>
  <c r="AB820" i="2" s="1"/>
  <c r="Y820" i="2"/>
  <c r="Z820" i="2" s="1"/>
  <c r="V820" i="2"/>
  <c r="U820" i="2"/>
  <c r="AA819" i="2"/>
  <c r="AB819" i="2" s="1"/>
  <c r="Y819" i="2"/>
  <c r="Z819" i="2" s="1"/>
  <c r="V819" i="2"/>
  <c r="U819" i="2"/>
  <c r="AA818" i="2"/>
  <c r="AB818" i="2" s="1"/>
  <c r="Y818" i="2"/>
  <c r="Z818" i="2" s="1"/>
  <c r="V818" i="2"/>
  <c r="U818" i="2"/>
  <c r="AA817" i="2"/>
  <c r="AB817" i="2" s="1"/>
  <c r="Y817" i="2"/>
  <c r="Z817" i="2" s="1"/>
  <c r="V817" i="2"/>
  <c r="U817" i="2"/>
  <c r="AA816" i="2"/>
  <c r="AB816" i="2" s="1"/>
  <c r="Y816" i="2"/>
  <c r="Z816" i="2" s="1"/>
  <c r="V816" i="2"/>
  <c r="U816" i="2"/>
  <c r="AA815" i="2"/>
  <c r="AB815" i="2" s="1"/>
  <c r="Y815" i="2"/>
  <c r="Z815" i="2" s="1"/>
  <c r="V815" i="2"/>
  <c r="U815" i="2"/>
  <c r="AA814" i="2"/>
  <c r="AB814" i="2" s="1"/>
  <c r="Y814" i="2"/>
  <c r="Z814" i="2" s="1"/>
  <c r="V814" i="2"/>
  <c r="U814" i="2"/>
  <c r="AA813" i="2"/>
  <c r="AB813" i="2" s="1"/>
  <c r="Y813" i="2"/>
  <c r="Z813" i="2" s="1"/>
  <c r="V813" i="2"/>
  <c r="U813" i="2"/>
  <c r="AA812" i="2"/>
  <c r="AB812" i="2" s="1"/>
  <c r="Y812" i="2"/>
  <c r="Z812" i="2" s="1"/>
  <c r="V812" i="2"/>
  <c r="U812" i="2"/>
  <c r="AA811" i="2"/>
  <c r="AB811" i="2" s="1"/>
  <c r="Y811" i="2"/>
  <c r="Z811" i="2" s="1"/>
  <c r="V811" i="2"/>
  <c r="U811" i="2"/>
  <c r="AA810" i="2"/>
  <c r="AB810" i="2" s="1"/>
  <c r="Y810" i="2"/>
  <c r="Z810" i="2" s="1"/>
  <c r="V810" i="2"/>
  <c r="U810" i="2"/>
  <c r="AA809" i="2"/>
  <c r="AB809" i="2" s="1"/>
  <c r="Y809" i="2"/>
  <c r="Z809" i="2" s="1"/>
  <c r="V809" i="2"/>
  <c r="U809" i="2"/>
  <c r="AA808" i="2"/>
  <c r="AB808" i="2" s="1"/>
  <c r="Y808" i="2"/>
  <c r="Z808" i="2" s="1"/>
  <c r="V808" i="2"/>
  <c r="U808" i="2"/>
  <c r="AA807" i="2"/>
  <c r="AB807" i="2" s="1"/>
  <c r="Y807" i="2"/>
  <c r="Z807" i="2" s="1"/>
  <c r="V807" i="2"/>
  <c r="U807" i="2"/>
  <c r="AA806" i="2"/>
  <c r="AB806" i="2" s="1"/>
  <c r="Y806" i="2"/>
  <c r="Z806" i="2" s="1"/>
  <c r="V806" i="2"/>
  <c r="U806" i="2"/>
  <c r="AA805" i="2"/>
  <c r="AB805" i="2" s="1"/>
  <c r="Y805" i="2"/>
  <c r="Z805" i="2" s="1"/>
  <c r="V805" i="2"/>
  <c r="U805" i="2"/>
  <c r="AA804" i="2"/>
  <c r="AB804" i="2" s="1"/>
  <c r="Y804" i="2"/>
  <c r="Z804" i="2" s="1"/>
  <c r="V804" i="2"/>
  <c r="U804" i="2"/>
  <c r="AA803" i="2"/>
  <c r="AB803" i="2" s="1"/>
  <c r="Y803" i="2"/>
  <c r="Z803" i="2" s="1"/>
  <c r="V803" i="2"/>
  <c r="U803" i="2"/>
  <c r="AA802" i="2"/>
  <c r="AB802" i="2" s="1"/>
  <c r="Y802" i="2"/>
  <c r="Z802" i="2" s="1"/>
  <c r="V802" i="2"/>
  <c r="U802" i="2"/>
  <c r="AA801" i="2"/>
  <c r="AB801" i="2" s="1"/>
  <c r="Y801" i="2"/>
  <c r="Z801" i="2" s="1"/>
  <c r="V801" i="2"/>
  <c r="U801" i="2"/>
  <c r="AA800" i="2"/>
  <c r="AB800" i="2" s="1"/>
  <c r="Y800" i="2"/>
  <c r="Z800" i="2" s="1"/>
  <c r="V800" i="2"/>
  <c r="U800" i="2"/>
  <c r="AA799" i="2"/>
  <c r="AB799" i="2" s="1"/>
  <c r="Y799" i="2"/>
  <c r="Z799" i="2" s="1"/>
  <c r="V799" i="2"/>
  <c r="U799" i="2"/>
  <c r="AA798" i="2"/>
  <c r="AB798" i="2" s="1"/>
  <c r="Y798" i="2"/>
  <c r="Z798" i="2" s="1"/>
  <c r="V798" i="2"/>
  <c r="U798" i="2"/>
  <c r="AA797" i="2"/>
  <c r="AB797" i="2" s="1"/>
  <c r="Y797" i="2"/>
  <c r="Z797" i="2" s="1"/>
  <c r="V797" i="2"/>
  <c r="U797" i="2"/>
  <c r="AA796" i="2"/>
  <c r="AB796" i="2" s="1"/>
  <c r="Y796" i="2"/>
  <c r="Z796" i="2" s="1"/>
  <c r="V796" i="2"/>
  <c r="U796" i="2"/>
  <c r="AA795" i="2"/>
  <c r="AB795" i="2" s="1"/>
  <c r="Y795" i="2"/>
  <c r="Z795" i="2" s="1"/>
  <c r="V795" i="2"/>
  <c r="U795" i="2"/>
  <c r="AA794" i="2"/>
  <c r="AB794" i="2" s="1"/>
  <c r="Y794" i="2"/>
  <c r="Z794" i="2" s="1"/>
  <c r="V794" i="2"/>
  <c r="U794" i="2"/>
  <c r="AA793" i="2"/>
  <c r="AB793" i="2" s="1"/>
  <c r="Y793" i="2"/>
  <c r="Z793" i="2" s="1"/>
  <c r="V793" i="2"/>
  <c r="U793" i="2"/>
  <c r="AA792" i="2"/>
  <c r="AB792" i="2" s="1"/>
  <c r="Y792" i="2"/>
  <c r="Z792" i="2" s="1"/>
  <c r="V792" i="2"/>
  <c r="U792" i="2"/>
  <c r="AA791" i="2"/>
  <c r="AB791" i="2" s="1"/>
  <c r="Y791" i="2"/>
  <c r="Z791" i="2" s="1"/>
  <c r="V791" i="2"/>
  <c r="U791" i="2"/>
  <c r="AA790" i="2"/>
  <c r="AB790" i="2" s="1"/>
  <c r="Y790" i="2"/>
  <c r="Z790" i="2" s="1"/>
  <c r="V790" i="2"/>
  <c r="U790" i="2"/>
  <c r="AA789" i="2"/>
  <c r="AB789" i="2" s="1"/>
  <c r="Y789" i="2"/>
  <c r="Z789" i="2" s="1"/>
  <c r="V789" i="2"/>
  <c r="U789" i="2"/>
  <c r="AA788" i="2"/>
  <c r="AB788" i="2" s="1"/>
  <c r="Y788" i="2"/>
  <c r="Z788" i="2" s="1"/>
  <c r="V788" i="2"/>
  <c r="U788" i="2"/>
  <c r="AA787" i="2"/>
  <c r="AB787" i="2" s="1"/>
  <c r="Y787" i="2"/>
  <c r="Z787" i="2" s="1"/>
  <c r="V787" i="2"/>
  <c r="U787" i="2"/>
  <c r="AA786" i="2"/>
  <c r="AB786" i="2" s="1"/>
  <c r="Y786" i="2"/>
  <c r="Z786" i="2" s="1"/>
  <c r="V786" i="2"/>
  <c r="U786" i="2"/>
  <c r="AA785" i="2"/>
  <c r="AB785" i="2" s="1"/>
  <c r="Y785" i="2"/>
  <c r="Z785" i="2" s="1"/>
  <c r="V785" i="2"/>
  <c r="U785" i="2"/>
  <c r="AA784" i="2"/>
  <c r="AB784" i="2" s="1"/>
  <c r="Y784" i="2"/>
  <c r="Z784" i="2" s="1"/>
  <c r="V784" i="2"/>
  <c r="U784" i="2"/>
  <c r="AA783" i="2"/>
  <c r="AB783" i="2" s="1"/>
  <c r="Y783" i="2"/>
  <c r="Z783" i="2" s="1"/>
  <c r="V783" i="2"/>
  <c r="U783" i="2"/>
  <c r="AA782" i="2"/>
  <c r="AB782" i="2" s="1"/>
  <c r="Y782" i="2"/>
  <c r="Z782" i="2" s="1"/>
  <c r="V782" i="2"/>
  <c r="U782" i="2"/>
  <c r="AA781" i="2"/>
  <c r="AB781" i="2" s="1"/>
  <c r="Y781" i="2"/>
  <c r="Z781" i="2" s="1"/>
  <c r="V781" i="2"/>
  <c r="U781" i="2"/>
  <c r="AA780" i="2"/>
  <c r="AB780" i="2" s="1"/>
  <c r="Y780" i="2"/>
  <c r="Z780" i="2" s="1"/>
  <c r="V780" i="2"/>
  <c r="U780" i="2"/>
  <c r="AA779" i="2"/>
  <c r="AB779" i="2" s="1"/>
  <c r="Y779" i="2"/>
  <c r="Z779" i="2" s="1"/>
  <c r="V779" i="2"/>
  <c r="U779" i="2"/>
  <c r="AA778" i="2"/>
  <c r="AB778" i="2" s="1"/>
  <c r="Y778" i="2"/>
  <c r="Z778" i="2" s="1"/>
  <c r="V778" i="2"/>
  <c r="U778" i="2"/>
  <c r="AA777" i="2"/>
  <c r="AB777" i="2" s="1"/>
  <c r="Y777" i="2"/>
  <c r="Z777" i="2" s="1"/>
  <c r="V777" i="2"/>
  <c r="U777" i="2"/>
  <c r="AA776" i="2"/>
  <c r="AB776" i="2" s="1"/>
  <c r="Y776" i="2"/>
  <c r="Z776" i="2" s="1"/>
  <c r="V776" i="2"/>
  <c r="U776" i="2"/>
  <c r="AA775" i="2"/>
  <c r="AB775" i="2" s="1"/>
  <c r="Y775" i="2"/>
  <c r="Z775" i="2" s="1"/>
  <c r="V775" i="2"/>
  <c r="U775" i="2"/>
  <c r="AA774" i="2"/>
  <c r="AB774" i="2" s="1"/>
  <c r="Y774" i="2"/>
  <c r="Z774" i="2" s="1"/>
  <c r="V774" i="2"/>
  <c r="U774" i="2"/>
  <c r="AA773" i="2"/>
  <c r="AB773" i="2" s="1"/>
  <c r="Y773" i="2"/>
  <c r="Z773" i="2" s="1"/>
  <c r="V773" i="2"/>
  <c r="U773" i="2"/>
  <c r="AA772" i="2"/>
  <c r="AB772" i="2" s="1"/>
  <c r="Y772" i="2"/>
  <c r="Z772" i="2" s="1"/>
  <c r="V772" i="2"/>
  <c r="U772" i="2"/>
  <c r="AA771" i="2"/>
  <c r="AB771" i="2" s="1"/>
  <c r="Y771" i="2"/>
  <c r="Z771" i="2" s="1"/>
  <c r="V771" i="2"/>
  <c r="U771" i="2"/>
  <c r="AA770" i="2"/>
  <c r="AB770" i="2" s="1"/>
  <c r="Y770" i="2"/>
  <c r="Z770" i="2" s="1"/>
  <c r="V770" i="2"/>
  <c r="U770" i="2"/>
  <c r="L770" i="2"/>
  <c r="AA769" i="2"/>
  <c r="AB769" i="2" s="1"/>
  <c r="Y769" i="2"/>
  <c r="Z769" i="2" s="1"/>
  <c r="V769" i="2"/>
  <c r="U769" i="2"/>
  <c r="L769" i="2"/>
  <c r="AA768" i="2"/>
  <c r="AB768" i="2" s="1"/>
  <c r="Y768" i="2"/>
  <c r="Z768" i="2" s="1"/>
  <c r="V768" i="2"/>
  <c r="U768" i="2"/>
  <c r="L768" i="2"/>
  <c r="AA767" i="2"/>
  <c r="AB767" i="2" s="1"/>
  <c r="Y767" i="2"/>
  <c r="Z767" i="2" s="1"/>
  <c r="V767" i="2"/>
  <c r="U767" i="2"/>
  <c r="L767" i="2"/>
  <c r="AA766" i="2"/>
  <c r="AB766" i="2" s="1"/>
  <c r="Y766" i="2"/>
  <c r="Z766" i="2" s="1"/>
  <c r="V766" i="2"/>
  <c r="U766" i="2"/>
  <c r="L766" i="2"/>
  <c r="AA765" i="2"/>
  <c r="AB765" i="2" s="1"/>
  <c r="Y765" i="2"/>
  <c r="Z765" i="2" s="1"/>
  <c r="V765" i="2"/>
  <c r="U765" i="2"/>
  <c r="L765" i="2"/>
  <c r="AA764" i="2"/>
  <c r="AB764" i="2" s="1"/>
  <c r="Y764" i="2"/>
  <c r="Z764" i="2" s="1"/>
  <c r="V764" i="2"/>
  <c r="U764" i="2"/>
  <c r="R764" i="2"/>
  <c r="L764" i="2"/>
  <c r="AA763" i="2"/>
  <c r="AB763" i="2" s="1"/>
  <c r="Y763" i="2"/>
  <c r="Z763" i="2" s="1"/>
  <c r="V763" i="2"/>
  <c r="U763" i="2"/>
  <c r="R763" i="2"/>
  <c r="L763" i="2"/>
  <c r="AA762" i="2"/>
  <c r="AB762" i="2" s="1"/>
  <c r="Y762" i="2"/>
  <c r="Z762" i="2" s="1"/>
  <c r="V762" i="2"/>
  <c r="U762" i="2"/>
  <c r="R762" i="2"/>
  <c r="L762" i="2"/>
  <c r="AA761" i="2"/>
  <c r="AB761" i="2" s="1"/>
  <c r="Y761" i="2"/>
  <c r="Z761" i="2" s="1"/>
  <c r="V761" i="2"/>
  <c r="U761" i="2"/>
  <c r="R761" i="2"/>
  <c r="L761" i="2"/>
  <c r="AA760" i="2"/>
  <c r="AB760" i="2" s="1"/>
  <c r="Y760" i="2"/>
  <c r="Z760" i="2" s="1"/>
  <c r="V760" i="2"/>
  <c r="U760" i="2"/>
  <c r="R760" i="2"/>
  <c r="L760" i="2"/>
  <c r="AA759" i="2"/>
  <c r="AB759" i="2" s="1"/>
  <c r="Y759" i="2"/>
  <c r="Z759" i="2" s="1"/>
  <c r="V759" i="2"/>
  <c r="U759" i="2"/>
  <c r="R759" i="2"/>
  <c r="L759" i="2"/>
  <c r="AA758" i="2"/>
  <c r="AB758" i="2" s="1"/>
  <c r="Y758" i="2"/>
  <c r="Z758" i="2" s="1"/>
  <c r="V758" i="2"/>
  <c r="U758" i="2"/>
  <c r="R758" i="2"/>
  <c r="L758" i="2"/>
  <c r="AA757" i="2"/>
  <c r="AB757" i="2" s="1"/>
  <c r="Y757" i="2"/>
  <c r="Z757" i="2" s="1"/>
  <c r="V757" i="2"/>
  <c r="U757" i="2"/>
  <c r="R757" i="2"/>
  <c r="L757" i="2"/>
  <c r="AA756" i="2"/>
  <c r="AB756" i="2" s="1"/>
  <c r="Y756" i="2"/>
  <c r="Z756" i="2" s="1"/>
  <c r="V756" i="2"/>
  <c r="U756" i="2"/>
  <c r="R756" i="2"/>
  <c r="L756" i="2"/>
  <c r="AA755" i="2"/>
  <c r="AB755" i="2" s="1"/>
  <c r="Y755" i="2"/>
  <c r="Z755" i="2" s="1"/>
  <c r="V755" i="2"/>
  <c r="U755" i="2"/>
  <c r="R755" i="2"/>
  <c r="L755" i="2"/>
  <c r="AA754" i="2"/>
  <c r="AB754" i="2" s="1"/>
  <c r="Y754" i="2"/>
  <c r="Z754" i="2" s="1"/>
  <c r="V754" i="2"/>
  <c r="U754" i="2"/>
  <c r="R754" i="2"/>
  <c r="L754" i="2"/>
  <c r="AA753" i="2"/>
  <c r="AB753" i="2" s="1"/>
  <c r="Y753" i="2"/>
  <c r="Z753" i="2" s="1"/>
  <c r="V753" i="2"/>
  <c r="U753" i="2"/>
  <c r="R753" i="2"/>
  <c r="L753" i="2"/>
  <c r="AA752" i="2"/>
  <c r="AB752" i="2" s="1"/>
  <c r="Y752" i="2"/>
  <c r="Z752" i="2" s="1"/>
  <c r="V752" i="2"/>
  <c r="U752" i="2"/>
  <c r="R752" i="2"/>
  <c r="L752" i="2"/>
  <c r="AA751" i="2"/>
  <c r="AB751" i="2" s="1"/>
  <c r="Y751" i="2"/>
  <c r="Z751" i="2" s="1"/>
  <c r="V751" i="2"/>
  <c r="U751" i="2"/>
  <c r="R751" i="2"/>
  <c r="L751" i="2"/>
  <c r="AA750" i="2"/>
  <c r="AB750" i="2" s="1"/>
  <c r="Y750" i="2"/>
  <c r="Z750" i="2" s="1"/>
  <c r="V750" i="2"/>
  <c r="U750" i="2"/>
  <c r="R750" i="2"/>
  <c r="L750" i="2"/>
  <c r="AA749" i="2"/>
  <c r="AB749" i="2" s="1"/>
  <c r="Y749" i="2"/>
  <c r="Z749" i="2" s="1"/>
  <c r="V749" i="2"/>
  <c r="U749" i="2"/>
  <c r="R749" i="2"/>
  <c r="L749" i="2"/>
  <c r="AA748" i="2"/>
  <c r="AB748" i="2" s="1"/>
  <c r="Y748" i="2"/>
  <c r="Z748" i="2" s="1"/>
  <c r="V748" i="2"/>
  <c r="U748" i="2"/>
  <c r="R748" i="2"/>
  <c r="L748" i="2"/>
  <c r="AA747" i="2"/>
  <c r="AB747" i="2" s="1"/>
  <c r="Y747" i="2"/>
  <c r="Z747" i="2" s="1"/>
  <c r="V747" i="2"/>
  <c r="U747" i="2"/>
  <c r="R747" i="2"/>
  <c r="L747" i="2"/>
  <c r="AA746" i="2"/>
  <c r="AB746" i="2" s="1"/>
  <c r="Y746" i="2"/>
  <c r="Z746" i="2" s="1"/>
  <c r="V746" i="2"/>
  <c r="U746" i="2"/>
  <c r="R746" i="2"/>
  <c r="L746" i="2"/>
  <c r="AA745" i="2"/>
  <c r="AB745" i="2" s="1"/>
  <c r="Y745" i="2"/>
  <c r="Z745" i="2" s="1"/>
  <c r="V745" i="2"/>
  <c r="U745" i="2"/>
  <c r="R745" i="2"/>
  <c r="L745" i="2"/>
  <c r="AA744" i="2"/>
  <c r="AB744" i="2" s="1"/>
  <c r="Y744" i="2"/>
  <c r="Z744" i="2" s="1"/>
  <c r="V744" i="2"/>
  <c r="U744" i="2"/>
  <c r="R744" i="2"/>
  <c r="L744" i="2"/>
  <c r="AA743" i="2"/>
  <c r="AB743" i="2" s="1"/>
  <c r="Y743" i="2"/>
  <c r="Z743" i="2" s="1"/>
  <c r="V743" i="2"/>
  <c r="U743" i="2"/>
  <c r="R743" i="2"/>
  <c r="L743" i="2"/>
  <c r="AA742" i="2"/>
  <c r="AB742" i="2" s="1"/>
  <c r="Y742" i="2"/>
  <c r="Z742" i="2" s="1"/>
  <c r="V742" i="2"/>
  <c r="U742" i="2"/>
  <c r="R742" i="2"/>
  <c r="L742" i="2"/>
  <c r="AA741" i="2"/>
  <c r="AB741" i="2" s="1"/>
  <c r="Y741" i="2"/>
  <c r="Z741" i="2" s="1"/>
  <c r="V741" i="2"/>
  <c r="U741" i="2"/>
  <c r="R741" i="2"/>
  <c r="L741" i="2"/>
  <c r="AA740" i="2"/>
  <c r="AB740" i="2" s="1"/>
  <c r="Y740" i="2"/>
  <c r="Z740" i="2" s="1"/>
  <c r="V740" i="2"/>
  <c r="U740" i="2"/>
  <c r="R740" i="2"/>
  <c r="L740" i="2"/>
  <c r="AA739" i="2"/>
  <c r="AB739" i="2" s="1"/>
  <c r="Y739" i="2"/>
  <c r="Z739" i="2" s="1"/>
  <c r="V739" i="2"/>
  <c r="U739" i="2"/>
  <c r="R739" i="2"/>
  <c r="L739" i="2"/>
  <c r="AA738" i="2"/>
  <c r="AB738" i="2" s="1"/>
  <c r="Y738" i="2"/>
  <c r="Z738" i="2" s="1"/>
  <c r="V738" i="2"/>
  <c r="U738" i="2"/>
  <c r="R738" i="2"/>
  <c r="L738" i="2"/>
  <c r="AA737" i="2"/>
  <c r="AB737" i="2" s="1"/>
  <c r="Y737" i="2"/>
  <c r="Z737" i="2" s="1"/>
  <c r="V737" i="2"/>
  <c r="U737" i="2"/>
  <c r="R737" i="2"/>
  <c r="L737" i="2"/>
  <c r="AA736" i="2"/>
  <c r="AB736" i="2" s="1"/>
  <c r="Y736" i="2"/>
  <c r="Z736" i="2" s="1"/>
  <c r="V736" i="2"/>
  <c r="U736" i="2"/>
  <c r="R736" i="2"/>
  <c r="L736" i="2"/>
  <c r="AA735" i="2"/>
  <c r="AB735" i="2" s="1"/>
  <c r="Y735" i="2"/>
  <c r="Z735" i="2" s="1"/>
  <c r="V735" i="2"/>
  <c r="U735" i="2"/>
  <c r="R735" i="2"/>
  <c r="L735" i="2"/>
  <c r="AA734" i="2"/>
  <c r="AB734" i="2" s="1"/>
  <c r="Y734" i="2"/>
  <c r="Z734" i="2" s="1"/>
  <c r="V734" i="2"/>
  <c r="U734" i="2"/>
  <c r="R734" i="2"/>
  <c r="L734" i="2"/>
  <c r="AA733" i="2"/>
  <c r="AB733" i="2" s="1"/>
  <c r="Y733" i="2"/>
  <c r="Z733" i="2" s="1"/>
  <c r="V733" i="2"/>
  <c r="U733" i="2"/>
  <c r="R733" i="2"/>
  <c r="L733" i="2"/>
  <c r="AA732" i="2"/>
  <c r="AB732" i="2" s="1"/>
  <c r="Y732" i="2"/>
  <c r="Z732" i="2" s="1"/>
  <c r="V732" i="2"/>
  <c r="U732" i="2"/>
  <c r="R732" i="2"/>
  <c r="L732" i="2"/>
  <c r="AA731" i="2"/>
  <c r="AB731" i="2" s="1"/>
  <c r="Y731" i="2"/>
  <c r="Z731" i="2" s="1"/>
  <c r="V731" i="2"/>
  <c r="U731" i="2"/>
  <c r="R731" i="2"/>
  <c r="AA730" i="2"/>
  <c r="AB730" i="2" s="1"/>
  <c r="Y730" i="2"/>
  <c r="Z730" i="2" s="1"/>
  <c r="V730" i="2"/>
  <c r="U730" i="2"/>
  <c r="R730" i="2"/>
  <c r="AA729" i="2"/>
  <c r="AB729" i="2" s="1"/>
  <c r="Y729" i="2"/>
  <c r="Z729" i="2" s="1"/>
  <c r="V729" i="2"/>
  <c r="U729" i="2"/>
  <c r="R729" i="2"/>
  <c r="L729" i="2"/>
  <c r="AA728" i="2"/>
  <c r="AB728" i="2" s="1"/>
  <c r="Y728" i="2"/>
  <c r="Z728" i="2" s="1"/>
  <c r="V728" i="2"/>
  <c r="U728" i="2"/>
  <c r="R728" i="2"/>
  <c r="AA727" i="2"/>
  <c r="AB727" i="2" s="1"/>
  <c r="Y727" i="2"/>
  <c r="Z727" i="2" s="1"/>
  <c r="V727" i="2"/>
  <c r="U727" i="2"/>
  <c r="R727" i="2"/>
  <c r="AA726" i="2"/>
  <c r="AB726" i="2" s="1"/>
  <c r="Y726" i="2"/>
  <c r="Z726" i="2" s="1"/>
  <c r="V726" i="2"/>
  <c r="U726" i="2"/>
  <c r="R726" i="2"/>
  <c r="AA725" i="2"/>
  <c r="AB725" i="2" s="1"/>
  <c r="Y725" i="2"/>
  <c r="Z725" i="2" s="1"/>
  <c r="V725" i="2"/>
  <c r="U725" i="2"/>
  <c r="R725" i="2"/>
  <c r="O725" i="2"/>
  <c r="N725" i="2"/>
  <c r="M725" i="2"/>
  <c r="L725" i="2"/>
  <c r="AA724" i="2"/>
  <c r="AB724" i="2" s="1"/>
  <c r="Y724" i="2"/>
  <c r="Z724" i="2" s="1"/>
  <c r="V724" i="2"/>
  <c r="U724" i="2"/>
  <c r="R724" i="2"/>
  <c r="O724" i="2"/>
  <c r="N724" i="2"/>
  <c r="M724" i="2"/>
  <c r="L724" i="2"/>
  <c r="AA723" i="2"/>
  <c r="AB723" i="2" s="1"/>
  <c r="Y723" i="2"/>
  <c r="Z723" i="2" s="1"/>
  <c r="V723" i="2"/>
  <c r="U723" i="2"/>
  <c r="R723" i="2"/>
  <c r="O723" i="2"/>
  <c r="N723" i="2"/>
  <c r="M723" i="2"/>
  <c r="L723" i="2"/>
  <c r="AA722" i="2"/>
  <c r="AB722" i="2" s="1"/>
  <c r="Y722" i="2"/>
  <c r="Z722" i="2" s="1"/>
  <c r="V722" i="2"/>
  <c r="U722" i="2"/>
  <c r="R722" i="2"/>
  <c r="O722" i="2"/>
  <c r="N722" i="2"/>
  <c r="M722" i="2"/>
  <c r="L722" i="2"/>
  <c r="AA721" i="2"/>
  <c r="AB721" i="2" s="1"/>
  <c r="Y721" i="2"/>
  <c r="Z721" i="2" s="1"/>
  <c r="V721" i="2"/>
  <c r="U721" i="2"/>
  <c r="R721" i="2"/>
  <c r="O721" i="2"/>
  <c r="N721" i="2"/>
  <c r="M721" i="2"/>
  <c r="L721" i="2"/>
  <c r="AA720" i="2"/>
  <c r="AB720" i="2" s="1"/>
  <c r="Y720" i="2"/>
  <c r="Z720" i="2" s="1"/>
  <c r="V720" i="2"/>
  <c r="U720" i="2"/>
  <c r="R720" i="2"/>
  <c r="O720" i="2"/>
  <c r="N720" i="2"/>
  <c r="M720" i="2"/>
  <c r="L720" i="2"/>
  <c r="AA719" i="2"/>
  <c r="AB719" i="2" s="1"/>
  <c r="Y719" i="2"/>
  <c r="Z719" i="2" s="1"/>
  <c r="V719" i="2"/>
  <c r="U719" i="2"/>
  <c r="R719" i="2"/>
  <c r="O719" i="2"/>
  <c r="O726" i="2" s="1"/>
  <c r="N719" i="2"/>
  <c r="N726" i="2" s="1"/>
  <c r="M719" i="2"/>
  <c r="M726" i="2" s="1"/>
  <c r="L719" i="2"/>
  <c r="AA718" i="2"/>
  <c r="AB718" i="2" s="1"/>
  <c r="Y718" i="2"/>
  <c r="Z718" i="2" s="1"/>
  <c r="V718" i="2"/>
  <c r="U718" i="2"/>
  <c r="R718" i="2"/>
  <c r="AA717" i="2"/>
  <c r="AB717" i="2" s="1"/>
  <c r="Y717" i="2"/>
  <c r="Z717" i="2" s="1"/>
  <c r="V717" i="2"/>
  <c r="U717" i="2"/>
  <c r="R717" i="2"/>
  <c r="AA716" i="2"/>
  <c r="AB716" i="2" s="1"/>
  <c r="Y716" i="2"/>
  <c r="Z716" i="2" s="1"/>
  <c r="V716" i="2"/>
  <c r="U716" i="2"/>
  <c r="R716" i="2"/>
  <c r="AA715" i="2"/>
  <c r="AB715" i="2" s="1"/>
  <c r="Y715" i="2"/>
  <c r="Z715" i="2" s="1"/>
  <c r="V715" i="2"/>
  <c r="U715" i="2"/>
  <c r="R715" i="2"/>
  <c r="AA714" i="2"/>
  <c r="AB714" i="2" s="1"/>
  <c r="Y714" i="2"/>
  <c r="Z714" i="2" s="1"/>
  <c r="V714" i="2"/>
  <c r="U714" i="2"/>
  <c r="R714" i="2"/>
  <c r="P714" i="2"/>
  <c r="AA713" i="2"/>
  <c r="AB713" i="2" s="1"/>
  <c r="Y713" i="2"/>
  <c r="Z713" i="2" s="1"/>
  <c r="V713" i="2"/>
  <c r="U713" i="2"/>
  <c r="R713" i="2"/>
  <c r="P713" i="2"/>
  <c r="AA712" i="2"/>
  <c r="AB712" i="2" s="1"/>
  <c r="Y712" i="2"/>
  <c r="Z712" i="2" s="1"/>
  <c r="V712" i="2"/>
  <c r="U712" i="2"/>
  <c r="R712" i="2"/>
  <c r="P712" i="2"/>
  <c r="AA711" i="2"/>
  <c r="AB711" i="2" s="1"/>
  <c r="Y711" i="2"/>
  <c r="Z711" i="2" s="1"/>
  <c r="V711" i="2"/>
  <c r="U711" i="2"/>
  <c r="R711" i="2"/>
  <c r="P711" i="2"/>
  <c r="AA710" i="2"/>
  <c r="AB710" i="2" s="1"/>
  <c r="Y710" i="2"/>
  <c r="Z710" i="2" s="1"/>
  <c r="V710" i="2"/>
  <c r="U710" i="2"/>
  <c r="R710" i="2"/>
  <c r="P710" i="2"/>
  <c r="AA709" i="2"/>
  <c r="AB709" i="2" s="1"/>
  <c r="Y709" i="2"/>
  <c r="Z709" i="2" s="1"/>
  <c r="V709" i="2"/>
  <c r="U709" i="2"/>
  <c r="R709" i="2"/>
  <c r="P709" i="2"/>
  <c r="AA708" i="2"/>
  <c r="AB708" i="2" s="1"/>
  <c r="Y708" i="2"/>
  <c r="Z708" i="2" s="1"/>
  <c r="V708" i="2"/>
  <c r="U708" i="2"/>
  <c r="R708" i="2"/>
  <c r="P708" i="2"/>
  <c r="AA707" i="2"/>
  <c r="AB707" i="2" s="1"/>
  <c r="Y707" i="2"/>
  <c r="Z707" i="2" s="1"/>
  <c r="V707" i="2"/>
  <c r="U707" i="2"/>
  <c r="R707" i="2"/>
  <c r="P707" i="2"/>
  <c r="AA706" i="2"/>
  <c r="AB706" i="2" s="1"/>
  <c r="Y706" i="2"/>
  <c r="Z706" i="2" s="1"/>
  <c r="V706" i="2"/>
  <c r="U706" i="2"/>
  <c r="R706" i="2"/>
  <c r="P706" i="2"/>
  <c r="AA705" i="2"/>
  <c r="AB705" i="2" s="1"/>
  <c r="Y705" i="2"/>
  <c r="Z705" i="2" s="1"/>
  <c r="V705" i="2"/>
  <c r="U705" i="2"/>
  <c r="R705" i="2"/>
  <c r="P705" i="2"/>
  <c r="AA704" i="2"/>
  <c r="AB704" i="2" s="1"/>
  <c r="Y704" i="2"/>
  <c r="Z704" i="2" s="1"/>
  <c r="V704" i="2"/>
  <c r="U704" i="2"/>
  <c r="R704" i="2"/>
  <c r="P704" i="2"/>
  <c r="AA703" i="2"/>
  <c r="AB703" i="2" s="1"/>
  <c r="Y703" i="2"/>
  <c r="Z703" i="2" s="1"/>
  <c r="V703" i="2"/>
  <c r="U703" i="2"/>
  <c r="R703" i="2"/>
  <c r="P703" i="2"/>
  <c r="AA702" i="2"/>
  <c r="AB702" i="2" s="1"/>
  <c r="Y702" i="2"/>
  <c r="Z702" i="2" s="1"/>
  <c r="V702" i="2"/>
  <c r="U702" i="2"/>
  <c r="R702" i="2"/>
  <c r="P702" i="2"/>
  <c r="AA701" i="2"/>
  <c r="AB701" i="2" s="1"/>
  <c r="Y701" i="2"/>
  <c r="Z701" i="2" s="1"/>
  <c r="U701" i="2"/>
  <c r="V701" i="2" s="1"/>
  <c r="R701" i="2"/>
  <c r="P701" i="2"/>
  <c r="AA700" i="2"/>
  <c r="AB700" i="2" s="1"/>
  <c r="Y700" i="2"/>
  <c r="Z700" i="2" s="1"/>
  <c r="U700" i="2"/>
  <c r="V700" i="2" s="1"/>
  <c r="R700" i="2"/>
  <c r="P700" i="2"/>
  <c r="AA699" i="2"/>
  <c r="AB699" i="2" s="1"/>
  <c r="Y699" i="2"/>
  <c r="Z699" i="2" s="1"/>
  <c r="U699" i="2"/>
  <c r="R699" i="2"/>
  <c r="P699" i="2"/>
  <c r="AA698" i="2"/>
  <c r="AB698" i="2" s="1"/>
  <c r="Y698" i="2"/>
  <c r="Z698" i="2" s="1"/>
  <c r="U698" i="2"/>
  <c r="R698" i="2"/>
  <c r="P698" i="2"/>
  <c r="AA697" i="2"/>
  <c r="AB697" i="2" s="1"/>
  <c r="Y697" i="2"/>
  <c r="Z697" i="2" s="1"/>
  <c r="U697" i="2"/>
  <c r="R697" i="2"/>
  <c r="P697" i="2"/>
  <c r="AA696" i="2"/>
  <c r="AB696" i="2" s="1"/>
  <c r="Y696" i="2"/>
  <c r="Z696" i="2" s="1"/>
  <c r="U696" i="2"/>
  <c r="R696" i="2"/>
  <c r="P696" i="2"/>
  <c r="AA695" i="2"/>
  <c r="AB695" i="2" s="1"/>
  <c r="Y695" i="2"/>
  <c r="Z695" i="2" s="1"/>
  <c r="U695" i="2"/>
  <c r="R695" i="2"/>
  <c r="P695" i="2"/>
  <c r="AA694" i="2"/>
  <c r="AB694" i="2" s="1"/>
  <c r="Y694" i="2"/>
  <c r="Z694" i="2" s="1"/>
  <c r="U694" i="2"/>
  <c r="R694" i="2"/>
  <c r="P694" i="2"/>
  <c r="AA693" i="2"/>
  <c r="AB693" i="2" s="1"/>
  <c r="Y693" i="2"/>
  <c r="Z693" i="2" s="1"/>
  <c r="U693" i="2"/>
  <c r="R693" i="2"/>
  <c r="P693" i="2"/>
  <c r="AA692" i="2"/>
  <c r="AB692" i="2" s="1"/>
  <c r="Y692" i="2"/>
  <c r="Z692" i="2" s="1"/>
  <c r="U692" i="2"/>
  <c r="R692" i="2"/>
  <c r="P692" i="2"/>
  <c r="AA691" i="2"/>
  <c r="AB691" i="2" s="1"/>
  <c r="Y691" i="2"/>
  <c r="Z691" i="2" s="1"/>
  <c r="U691" i="2"/>
  <c r="R691" i="2"/>
  <c r="P691" i="2"/>
  <c r="AA690" i="2"/>
  <c r="AB690" i="2" s="1"/>
  <c r="Y690" i="2"/>
  <c r="Z690" i="2" s="1"/>
  <c r="U690" i="2"/>
  <c r="R690" i="2"/>
  <c r="P690" i="2"/>
  <c r="AA689" i="2"/>
  <c r="AB689" i="2" s="1"/>
  <c r="Y689" i="2"/>
  <c r="Z689" i="2" s="1"/>
  <c r="U689" i="2"/>
  <c r="R689" i="2"/>
  <c r="P689" i="2"/>
  <c r="J5" i="8" s="1"/>
  <c r="AA688" i="2"/>
  <c r="AB688" i="2" s="1"/>
  <c r="Y688" i="2"/>
  <c r="Z688" i="2" s="1"/>
  <c r="U688" i="2"/>
  <c r="R688" i="2"/>
  <c r="P688" i="2"/>
  <c r="AA687" i="2"/>
  <c r="AB687" i="2" s="1"/>
  <c r="Y687" i="2"/>
  <c r="Z687" i="2" s="1"/>
  <c r="U687" i="2"/>
  <c r="R687" i="2"/>
  <c r="P687" i="2"/>
  <c r="AA686" i="2"/>
  <c r="AB686" i="2" s="1"/>
  <c r="Y686" i="2"/>
  <c r="Z686" i="2" s="1"/>
  <c r="U686" i="2"/>
  <c r="R686" i="2"/>
  <c r="P686" i="2"/>
  <c r="AA685" i="2"/>
  <c r="AB685" i="2" s="1"/>
  <c r="Y685" i="2"/>
  <c r="Z685" i="2" s="1"/>
  <c r="U685" i="2"/>
  <c r="R685" i="2"/>
  <c r="P685" i="2"/>
  <c r="AA684" i="2"/>
  <c r="AB684" i="2" s="1"/>
  <c r="Y684" i="2"/>
  <c r="Z684" i="2" s="1"/>
  <c r="U684" i="2"/>
  <c r="R684" i="2"/>
  <c r="P684" i="2"/>
  <c r="AA683" i="2"/>
  <c r="AB683" i="2" s="1"/>
  <c r="Y683" i="2"/>
  <c r="Z683" i="2" s="1"/>
  <c r="U683" i="2"/>
  <c r="R683" i="2"/>
  <c r="P683" i="2"/>
  <c r="AA682" i="2"/>
  <c r="AB682" i="2" s="1"/>
  <c r="Y682" i="2"/>
  <c r="Z682" i="2" s="1"/>
  <c r="U682" i="2"/>
  <c r="R682" i="2"/>
  <c r="P682" i="2"/>
  <c r="AA681" i="2"/>
  <c r="AB681" i="2" s="1"/>
  <c r="Y681" i="2"/>
  <c r="Z681" i="2" s="1"/>
  <c r="U681" i="2"/>
  <c r="R681" i="2"/>
  <c r="P681" i="2"/>
  <c r="AA680" i="2"/>
  <c r="AB680" i="2" s="1"/>
  <c r="Y680" i="2"/>
  <c r="Z680" i="2" s="1"/>
  <c r="U680" i="2"/>
  <c r="R680" i="2"/>
  <c r="P680" i="2"/>
  <c r="AA679" i="2"/>
  <c r="AB679" i="2" s="1"/>
  <c r="Y679" i="2"/>
  <c r="Z679" i="2" s="1"/>
  <c r="U679" i="2"/>
  <c r="R679" i="2"/>
  <c r="P679" i="2"/>
  <c r="AA678" i="2"/>
  <c r="AB678" i="2" s="1"/>
  <c r="Y678" i="2"/>
  <c r="Z678" i="2" s="1"/>
  <c r="U678" i="2"/>
  <c r="R678" i="2"/>
  <c r="P678" i="2"/>
  <c r="AA677" i="2"/>
  <c r="AB677" i="2" s="1"/>
  <c r="Y677" i="2"/>
  <c r="Z677" i="2" s="1"/>
  <c r="U677" i="2"/>
  <c r="R677" i="2"/>
  <c r="P677" i="2"/>
  <c r="AA676" i="2"/>
  <c r="AB676" i="2" s="1"/>
  <c r="Y676" i="2"/>
  <c r="Z676" i="2" s="1"/>
  <c r="U676" i="2"/>
  <c r="R676" i="2"/>
  <c r="P676" i="2"/>
  <c r="AA675" i="2"/>
  <c r="AB675" i="2" s="1"/>
  <c r="Y675" i="2"/>
  <c r="Z675" i="2" s="1"/>
  <c r="U675" i="2"/>
  <c r="R675" i="2"/>
  <c r="P675" i="2"/>
  <c r="AA674" i="2"/>
  <c r="AB674" i="2" s="1"/>
  <c r="Y674" i="2"/>
  <c r="Z674" i="2" s="1"/>
  <c r="U674" i="2"/>
  <c r="R674" i="2"/>
  <c r="P674" i="2"/>
  <c r="AA673" i="2"/>
  <c r="AB673" i="2" s="1"/>
  <c r="Y673" i="2"/>
  <c r="Z673" i="2" s="1"/>
  <c r="U673" i="2"/>
  <c r="R673" i="2"/>
  <c r="P673" i="2"/>
  <c r="AA672" i="2"/>
  <c r="AB672" i="2" s="1"/>
  <c r="Y672" i="2"/>
  <c r="Z672" i="2" s="1"/>
  <c r="U672" i="2"/>
  <c r="R672" i="2"/>
  <c r="P672" i="2"/>
  <c r="AA671" i="2"/>
  <c r="AB671" i="2" s="1"/>
  <c r="Y671" i="2"/>
  <c r="Z671" i="2" s="1"/>
  <c r="U671" i="2"/>
  <c r="R671" i="2"/>
  <c r="P671" i="2"/>
  <c r="AA670" i="2"/>
  <c r="AB670" i="2" s="1"/>
  <c r="Y670" i="2"/>
  <c r="Z670" i="2" s="1"/>
  <c r="U670" i="2"/>
  <c r="R670" i="2"/>
  <c r="P670" i="2"/>
  <c r="AA669" i="2"/>
  <c r="AB669" i="2" s="1"/>
  <c r="Y669" i="2"/>
  <c r="Z669" i="2" s="1"/>
  <c r="U669" i="2"/>
  <c r="R669" i="2"/>
  <c r="P669" i="2"/>
  <c r="AA668" i="2"/>
  <c r="AB668" i="2" s="1"/>
  <c r="Y668" i="2"/>
  <c r="Z668" i="2" s="1"/>
  <c r="U668" i="2"/>
  <c r="R668" i="2"/>
  <c r="P668" i="2"/>
  <c r="AA667" i="2"/>
  <c r="AB667" i="2" s="1"/>
  <c r="Y667" i="2"/>
  <c r="Z667" i="2" s="1"/>
  <c r="U667" i="2"/>
  <c r="R667" i="2"/>
  <c r="P667" i="2"/>
  <c r="AA666" i="2"/>
  <c r="AB666" i="2" s="1"/>
  <c r="Y666" i="2"/>
  <c r="Z666" i="2" s="1"/>
  <c r="U666" i="2"/>
  <c r="R666" i="2"/>
  <c r="P666" i="2"/>
  <c r="AA665" i="2"/>
  <c r="AB665" i="2" s="1"/>
  <c r="Y665" i="2"/>
  <c r="Z665" i="2" s="1"/>
  <c r="U665" i="2"/>
  <c r="R665" i="2"/>
  <c r="P665" i="2"/>
  <c r="AA664" i="2"/>
  <c r="AB664" i="2" s="1"/>
  <c r="Y664" i="2"/>
  <c r="Z664" i="2" s="1"/>
  <c r="U664" i="2"/>
  <c r="R664" i="2"/>
  <c r="P664" i="2"/>
  <c r="AA663" i="2"/>
  <c r="AB663" i="2" s="1"/>
  <c r="Y663" i="2"/>
  <c r="Z663" i="2" s="1"/>
  <c r="U663" i="2"/>
  <c r="R663" i="2"/>
  <c r="P663" i="2"/>
  <c r="AA662" i="2"/>
  <c r="AB662" i="2" s="1"/>
  <c r="Y662" i="2"/>
  <c r="Z662" i="2" s="1"/>
  <c r="U662" i="2"/>
  <c r="R662" i="2"/>
  <c r="P662" i="2"/>
  <c r="AA661" i="2"/>
  <c r="AB661" i="2" s="1"/>
  <c r="Y661" i="2"/>
  <c r="Z661" i="2" s="1"/>
  <c r="U661" i="2"/>
  <c r="R661" i="2"/>
  <c r="P661" i="2"/>
  <c r="AA660" i="2"/>
  <c r="AB660" i="2" s="1"/>
  <c r="Y660" i="2"/>
  <c r="Z660" i="2" s="1"/>
  <c r="U660" i="2"/>
  <c r="R660" i="2"/>
  <c r="P660" i="2"/>
  <c r="AA659" i="2"/>
  <c r="AB659" i="2" s="1"/>
  <c r="Y659" i="2"/>
  <c r="Z659" i="2" s="1"/>
  <c r="U659" i="2"/>
  <c r="R659" i="2"/>
  <c r="P659" i="2"/>
  <c r="AA658" i="2"/>
  <c r="AB658" i="2" s="1"/>
  <c r="Y658" i="2"/>
  <c r="Z658" i="2" s="1"/>
  <c r="U658" i="2"/>
  <c r="R658" i="2"/>
  <c r="P658" i="2"/>
  <c r="AA657" i="2"/>
  <c r="AB657" i="2" s="1"/>
  <c r="Y657" i="2"/>
  <c r="Z657" i="2" s="1"/>
  <c r="U657" i="2"/>
  <c r="R657" i="2"/>
  <c r="P657" i="2"/>
  <c r="AA656" i="2"/>
  <c r="AB656" i="2" s="1"/>
  <c r="Y656" i="2"/>
  <c r="Z656" i="2" s="1"/>
  <c r="U656" i="2"/>
  <c r="R656" i="2"/>
  <c r="P656" i="2"/>
  <c r="AA655" i="2"/>
  <c r="AB655" i="2" s="1"/>
  <c r="Y655" i="2"/>
  <c r="Z655" i="2" s="1"/>
  <c r="U655" i="2"/>
  <c r="R655" i="2"/>
  <c r="P655" i="2"/>
  <c r="AA654" i="2"/>
  <c r="AB654" i="2" s="1"/>
  <c r="Y654" i="2"/>
  <c r="Z654" i="2" s="1"/>
  <c r="U654" i="2"/>
  <c r="R654" i="2"/>
  <c r="P654" i="2"/>
  <c r="AA653" i="2"/>
  <c r="AB653" i="2" s="1"/>
  <c r="Y653" i="2"/>
  <c r="Z653" i="2" s="1"/>
  <c r="U653" i="2"/>
  <c r="R653" i="2"/>
  <c r="P653" i="2"/>
  <c r="AA652" i="2"/>
  <c r="AB652" i="2" s="1"/>
  <c r="Y652" i="2"/>
  <c r="Z652" i="2" s="1"/>
  <c r="U652" i="2"/>
  <c r="R652" i="2"/>
  <c r="P652" i="2"/>
  <c r="AA651" i="2"/>
  <c r="AB651" i="2" s="1"/>
  <c r="Y651" i="2"/>
  <c r="Z651" i="2" s="1"/>
  <c r="U651" i="2"/>
  <c r="R651" i="2"/>
  <c r="P651" i="2"/>
  <c r="AA650" i="2"/>
  <c r="AB650" i="2" s="1"/>
  <c r="Y650" i="2"/>
  <c r="Z650" i="2" s="1"/>
  <c r="U650" i="2"/>
  <c r="R650" i="2"/>
  <c r="P650" i="2"/>
  <c r="AA649" i="2"/>
  <c r="AB649" i="2" s="1"/>
  <c r="Y649" i="2"/>
  <c r="Z649" i="2" s="1"/>
  <c r="U649" i="2"/>
  <c r="R649" i="2"/>
  <c r="P649" i="2"/>
  <c r="AA648" i="2"/>
  <c r="AB648" i="2" s="1"/>
  <c r="Y648" i="2"/>
  <c r="Z648" i="2" s="1"/>
  <c r="U648" i="2"/>
  <c r="R648" i="2"/>
  <c r="P648" i="2"/>
  <c r="AA647" i="2"/>
  <c r="AB647" i="2" s="1"/>
  <c r="Y647" i="2"/>
  <c r="Z647" i="2" s="1"/>
  <c r="U647" i="2"/>
  <c r="R647" i="2"/>
  <c r="P647" i="2"/>
  <c r="AA646" i="2"/>
  <c r="AB646" i="2" s="1"/>
  <c r="Y646" i="2"/>
  <c r="Z646" i="2" s="1"/>
  <c r="U646" i="2"/>
  <c r="R646" i="2"/>
  <c r="P646" i="2"/>
  <c r="AA645" i="2"/>
  <c r="AB645" i="2" s="1"/>
  <c r="Y645" i="2"/>
  <c r="Z645" i="2" s="1"/>
  <c r="U645" i="2"/>
  <c r="R645" i="2"/>
  <c r="P645" i="2"/>
  <c r="AA644" i="2"/>
  <c r="AB644" i="2" s="1"/>
  <c r="Y644" i="2"/>
  <c r="Z644" i="2" s="1"/>
  <c r="U644" i="2"/>
  <c r="R644" i="2"/>
  <c r="P644" i="2"/>
  <c r="AA643" i="2"/>
  <c r="AB643" i="2" s="1"/>
  <c r="Y643" i="2"/>
  <c r="Z643" i="2" s="1"/>
  <c r="U643" i="2"/>
  <c r="R643" i="2"/>
  <c r="P643" i="2"/>
  <c r="AA642" i="2"/>
  <c r="AB642" i="2" s="1"/>
  <c r="Y642" i="2"/>
  <c r="Z642" i="2" s="1"/>
  <c r="U642" i="2"/>
  <c r="R642" i="2"/>
  <c r="P642" i="2"/>
  <c r="AA641" i="2"/>
  <c r="AB641" i="2" s="1"/>
  <c r="Y641" i="2"/>
  <c r="Z641" i="2" s="1"/>
  <c r="U641" i="2"/>
  <c r="R641" i="2"/>
  <c r="P641" i="2"/>
  <c r="AA640" i="2"/>
  <c r="AB640" i="2" s="1"/>
  <c r="Y640" i="2"/>
  <c r="Z640" i="2" s="1"/>
  <c r="U640" i="2"/>
  <c r="R640" i="2"/>
  <c r="P640" i="2"/>
  <c r="AA639" i="2"/>
  <c r="AB639" i="2" s="1"/>
  <c r="Y639" i="2"/>
  <c r="Z639" i="2" s="1"/>
  <c r="U639" i="2"/>
  <c r="R639" i="2"/>
  <c r="P639" i="2"/>
  <c r="AA638" i="2"/>
  <c r="AB638" i="2" s="1"/>
  <c r="Y638" i="2"/>
  <c r="Z638" i="2" s="1"/>
  <c r="U638" i="2"/>
  <c r="R638" i="2"/>
  <c r="P638" i="2"/>
  <c r="AA637" i="2"/>
  <c r="AB637" i="2" s="1"/>
  <c r="Y637" i="2"/>
  <c r="Z637" i="2" s="1"/>
  <c r="U637" i="2"/>
  <c r="R637" i="2"/>
  <c r="P637" i="2"/>
  <c r="AA636" i="2"/>
  <c r="AB636" i="2" s="1"/>
  <c r="Y636" i="2"/>
  <c r="Z636" i="2" s="1"/>
  <c r="U636" i="2"/>
  <c r="R636" i="2"/>
  <c r="P636" i="2"/>
  <c r="AA635" i="2"/>
  <c r="AB635" i="2" s="1"/>
  <c r="Y635" i="2"/>
  <c r="Z635" i="2" s="1"/>
  <c r="U635" i="2"/>
  <c r="R635" i="2"/>
  <c r="P635" i="2"/>
  <c r="AA634" i="2"/>
  <c r="AB634" i="2" s="1"/>
  <c r="Y634" i="2"/>
  <c r="Z634" i="2" s="1"/>
  <c r="U634" i="2"/>
  <c r="R634" i="2"/>
  <c r="P634" i="2"/>
  <c r="AA633" i="2"/>
  <c r="AB633" i="2" s="1"/>
  <c r="Y633" i="2"/>
  <c r="Z633" i="2" s="1"/>
  <c r="U633" i="2"/>
  <c r="R633" i="2"/>
  <c r="P633" i="2"/>
  <c r="AA632" i="2"/>
  <c r="AB632" i="2" s="1"/>
  <c r="Y632" i="2"/>
  <c r="Z632" i="2" s="1"/>
  <c r="U632" i="2"/>
  <c r="R632" i="2"/>
  <c r="P632" i="2"/>
  <c r="AA631" i="2"/>
  <c r="AB631" i="2" s="1"/>
  <c r="Y631" i="2"/>
  <c r="Z631" i="2" s="1"/>
  <c r="U631" i="2"/>
  <c r="R631" i="2"/>
  <c r="P631" i="2"/>
  <c r="AA630" i="2"/>
  <c r="AB630" i="2" s="1"/>
  <c r="Y630" i="2"/>
  <c r="Z630" i="2" s="1"/>
  <c r="U630" i="2"/>
  <c r="R630" i="2"/>
  <c r="P630" i="2"/>
  <c r="AA629" i="2"/>
  <c r="AB629" i="2" s="1"/>
  <c r="Y629" i="2"/>
  <c r="Z629" i="2" s="1"/>
  <c r="U629" i="2"/>
  <c r="R629" i="2"/>
  <c r="P629" i="2"/>
  <c r="AA628" i="2"/>
  <c r="AB628" i="2" s="1"/>
  <c r="Y628" i="2"/>
  <c r="Z628" i="2" s="1"/>
  <c r="U628" i="2"/>
  <c r="R628" i="2"/>
  <c r="P628" i="2"/>
  <c r="AA627" i="2"/>
  <c r="AB627" i="2" s="1"/>
  <c r="Y627" i="2"/>
  <c r="Z627" i="2" s="1"/>
  <c r="U627" i="2"/>
  <c r="R627" i="2"/>
  <c r="P627" i="2"/>
  <c r="AA626" i="2"/>
  <c r="AB626" i="2" s="1"/>
  <c r="Y626" i="2"/>
  <c r="Z626" i="2" s="1"/>
  <c r="U626" i="2"/>
  <c r="R626" i="2"/>
  <c r="P626" i="2"/>
  <c r="AA625" i="2"/>
  <c r="AB625" i="2" s="1"/>
  <c r="Y625" i="2"/>
  <c r="Z625" i="2" s="1"/>
  <c r="U625" i="2"/>
  <c r="R625" i="2"/>
  <c r="P625" i="2"/>
  <c r="AA624" i="2"/>
  <c r="AB624" i="2" s="1"/>
  <c r="Y624" i="2"/>
  <c r="Z624" i="2" s="1"/>
  <c r="U624" i="2"/>
  <c r="R624" i="2"/>
  <c r="P624" i="2"/>
  <c r="AA623" i="2"/>
  <c r="AB623" i="2" s="1"/>
  <c r="Y623" i="2"/>
  <c r="Z623" i="2" s="1"/>
  <c r="U623" i="2"/>
  <c r="R623" i="2"/>
  <c r="P623" i="2"/>
  <c r="AA622" i="2"/>
  <c r="AB622" i="2" s="1"/>
  <c r="Y622" i="2"/>
  <c r="Z622" i="2" s="1"/>
  <c r="U622" i="2"/>
  <c r="R622" i="2"/>
  <c r="P622" i="2"/>
  <c r="AA621" i="2"/>
  <c r="AB621" i="2" s="1"/>
  <c r="Y621" i="2"/>
  <c r="Z621" i="2" s="1"/>
  <c r="U621" i="2"/>
  <c r="R621" i="2"/>
  <c r="P621" i="2"/>
  <c r="AA620" i="2"/>
  <c r="AB620" i="2" s="1"/>
  <c r="Y620" i="2"/>
  <c r="Z620" i="2" s="1"/>
  <c r="U620" i="2"/>
  <c r="R620" i="2"/>
  <c r="P620" i="2"/>
  <c r="AA619" i="2"/>
  <c r="AB619" i="2" s="1"/>
  <c r="Y619" i="2"/>
  <c r="Z619" i="2" s="1"/>
  <c r="U619" i="2"/>
  <c r="R619" i="2"/>
  <c r="P619" i="2"/>
  <c r="AA618" i="2"/>
  <c r="AB618" i="2" s="1"/>
  <c r="Y618" i="2"/>
  <c r="Z618" i="2" s="1"/>
  <c r="U618" i="2"/>
  <c r="R618" i="2"/>
  <c r="P618" i="2"/>
  <c r="AA617" i="2"/>
  <c r="AB617" i="2" s="1"/>
  <c r="Y617" i="2"/>
  <c r="Z617" i="2" s="1"/>
  <c r="U617" i="2"/>
  <c r="R617" i="2"/>
  <c r="P617" i="2"/>
  <c r="AA616" i="2"/>
  <c r="AB616" i="2" s="1"/>
  <c r="Y616" i="2"/>
  <c r="Z616" i="2" s="1"/>
  <c r="U616" i="2"/>
  <c r="R616" i="2"/>
  <c r="P616" i="2"/>
  <c r="AA615" i="2"/>
  <c r="AB615" i="2" s="1"/>
  <c r="Y615" i="2"/>
  <c r="Z615" i="2" s="1"/>
  <c r="U615" i="2"/>
  <c r="R615" i="2"/>
  <c r="P615" i="2"/>
  <c r="AA614" i="2"/>
  <c r="AB614" i="2" s="1"/>
  <c r="Y614" i="2"/>
  <c r="Z614" i="2" s="1"/>
  <c r="U614" i="2"/>
  <c r="R614" i="2"/>
  <c r="P614" i="2"/>
  <c r="AA613" i="2"/>
  <c r="AB613" i="2" s="1"/>
  <c r="Y613" i="2"/>
  <c r="Z613" i="2" s="1"/>
  <c r="U613" i="2"/>
  <c r="R613" i="2"/>
  <c r="P613" i="2"/>
  <c r="AA612" i="2"/>
  <c r="AB612" i="2" s="1"/>
  <c r="Y612" i="2"/>
  <c r="Z612" i="2" s="1"/>
  <c r="U612" i="2"/>
  <c r="R612" i="2"/>
  <c r="P612" i="2"/>
  <c r="AA611" i="2"/>
  <c r="AB611" i="2" s="1"/>
  <c r="Y611" i="2"/>
  <c r="Z611" i="2" s="1"/>
  <c r="U611" i="2"/>
  <c r="R611" i="2"/>
  <c r="P611" i="2"/>
  <c r="AA610" i="2"/>
  <c r="AB610" i="2" s="1"/>
  <c r="Y610" i="2"/>
  <c r="Z610" i="2" s="1"/>
  <c r="U610" i="2"/>
  <c r="R610" i="2"/>
  <c r="P610" i="2"/>
  <c r="AA609" i="2"/>
  <c r="AB609" i="2" s="1"/>
  <c r="Y609" i="2"/>
  <c r="Z609" i="2" s="1"/>
  <c r="U609" i="2"/>
  <c r="R609" i="2"/>
  <c r="P609" i="2"/>
  <c r="AA608" i="2"/>
  <c r="AB608" i="2" s="1"/>
  <c r="Y608" i="2"/>
  <c r="Z608" i="2" s="1"/>
  <c r="U608" i="2"/>
  <c r="R608" i="2"/>
  <c r="P608" i="2"/>
  <c r="AA607" i="2"/>
  <c r="AB607" i="2" s="1"/>
  <c r="Y607" i="2"/>
  <c r="Z607" i="2" s="1"/>
  <c r="U607" i="2"/>
  <c r="R607" i="2"/>
  <c r="P607" i="2"/>
  <c r="AA606" i="2"/>
  <c r="AB606" i="2" s="1"/>
  <c r="Y606" i="2"/>
  <c r="Z606" i="2" s="1"/>
  <c r="U606" i="2"/>
  <c r="R606" i="2"/>
  <c r="P606" i="2"/>
  <c r="AA605" i="2"/>
  <c r="AB605" i="2" s="1"/>
  <c r="Y605" i="2"/>
  <c r="Z605" i="2" s="1"/>
  <c r="U605" i="2"/>
  <c r="R605" i="2"/>
  <c r="P605" i="2"/>
  <c r="AA604" i="2"/>
  <c r="AB604" i="2" s="1"/>
  <c r="Y604" i="2"/>
  <c r="Z604" i="2" s="1"/>
  <c r="U604" i="2"/>
  <c r="R604" i="2"/>
  <c r="P604" i="2"/>
  <c r="AA603" i="2"/>
  <c r="AB603" i="2" s="1"/>
  <c r="Y603" i="2"/>
  <c r="Z603" i="2" s="1"/>
  <c r="U603" i="2"/>
  <c r="R603" i="2"/>
  <c r="P603" i="2"/>
  <c r="AA602" i="2"/>
  <c r="AB602" i="2" s="1"/>
  <c r="Y602" i="2"/>
  <c r="Z602" i="2" s="1"/>
  <c r="U602" i="2"/>
  <c r="R602" i="2"/>
  <c r="P602" i="2"/>
  <c r="AA601" i="2"/>
  <c r="AB601" i="2" s="1"/>
  <c r="Y601" i="2"/>
  <c r="Z601" i="2" s="1"/>
  <c r="U601" i="2"/>
  <c r="R601" i="2"/>
  <c r="P601" i="2"/>
  <c r="AA600" i="2"/>
  <c r="AB600" i="2" s="1"/>
  <c r="Y600" i="2"/>
  <c r="Z600" i="2" s="1"/>
  <c r="U600" i="2"/>
  <c r="R600" i="2"/>
  <c r="P600" i="2"/>
  <c r="AA599" i="2"/>
  <c r="AB599" i="2" s="1"/>
  <c r="Y599" i="2"/>
  <c r="Z599" i="2" s="1"/>
  <c r="U599" i="2"/>
  <c r="R599" i="2"/>
  <c r="P599" i="2"/>
  <c r="AA598" i="2"/>
  <c r="AB598" i="2" s="1"/>
  <c r="Y598" i="2"/>
  <c r="Z598" i="2" s="1"/>
  <c r="U598" i="2"/>
  <c r="R598" i="2"/>
  <c r="P598" i="2"/>
  <c r="AA597" i="2"/>
  <c r="AB597" i="2" s="1"/>
  <c r="Y597" i="2"/>
  <c r="Z597" i="2" s="1"/>
  <c r="U597" i="2"/>
  <c r="R597" i="2"/>
  <c r="P597" i="2"/>
  <c r="AA596" i="2"/>
  <c r="AB596" i="2" s="1"/>
  <c r="Y596" i="2"/>
  <c r="Z596" i="2" s="1"/>
  <c r="U596" i="2"/>
  <c r="R596" i="2"/>
  <c r="P596" i="2"/>
  <c r="AA595" i="2"/>
  <c r="AB595" i="2" s="1"/>
  <c r="Y595" i="2"/>
  <c r="Z595" i="2" s="1"/>
  <c r="U595" i="2"/>
  <c r="R595" i="2"/>
  <c r="P595" i="2"/>
  <c r="AA594" i="2"/>
  <c r="AB594" i="2" s="1"/>
  <c r="Y594" i="2"/>
  <c r="Z594" i="2" s="1"/>
  <c r="U594" i="2"/>
  <c r="R594" i="2"/>
  <c r="P594" i="2"/>
  <c r="AA593" i="2"/>
  <c r="AB593" i="2" s="1"/>
  <c r="Y593" i="2"/>
  <c r="Z593" i="2" s="1"/>
  <c r="U593" i="2"/>
  <c r="R593" i="2"/>
  <c r="P593" i="2"/>
  <c r="AA592" i="2"/>
  <c r="AB592" i="2" s="1"/>
  <c r="Y592" i="2"/>
  <c r="Z592" i="2" s="1"/>
  <c r="U592" i="2"/>
  <c r="R592" i="2"/>
  <c r="P592" i="2"/>
  <c r="AA591" i="2"/>
  <c r="AB591" i="2" s="1"/>
  <c r="Y591" i="2"/>
  <c r="Z591" i="2" s="1"/>
  <c r="U591" i="2"/>
  <c r="R591" i="2"/>
  <c r="P591" i="2"/>
  <c r="AA590" i="2"/>
  <c r="AB590" i="2" s="1"/>
  <c r="Y590" i="2"/>
  <c r="Z590" i="2" s="1"/>
  <c r="U590" i="2"/>
  <c r="R590" i="2"/>
  <c r="P590" i="2"/>
  <c r="AA589" i="2"/>
  <c r="AB589" i="2" s="1"/>
  <c r="Y589" i="2"/>
  <c r="Z589" i="2" s="1"/>
  <c r="U589" i="2"/>
  <c r="R589" i="2"/>
  <c r="P589" i="2"/>
  <c r="AA588" i="2"/>
  <c r="AB588" i="2" s="1"/>
  <c r="Y588" i="2"/>
  <c r="Z588" i="2" s="1"/>
  <c r="U588" i="2"/>
  <c r="R588" i="2"/>
  <c r="P588" i="2"/>
  <c r="AA587" i="2"/>
  <c r="AB587" i="2" s="1"/>
  <c r="Y587" i="2"/>
  <c r="Z587" i="2" s="1"/>
  <c r="U587" i="2"/>
  <c r="R587" i="2"/>
  <c r="P587" i="2"/>
  <c r="AA586" i="2"/>
  <c r="AB586" i="2" s="1"/>
  <c r="Y586" i="2"/>
  <c r="Z586" i="2" s="1"/>
  <c r="U586" i="2"/>
  <c r="R586" i="2"/>
  <c r="P586" i="2"/>
  <c r="AA585" i="2"/>
  <c r="AB585" i="2" s="1"/>
  <c r="Y585" i="2"/>
  <c r="Z585" i="2" s="1"/>
  <c r="U585" i="2"/>
  <c r="R585" i="2"/>
  <c r="P585" i="2"/>
  <c r="AA584" i="2"/>
  <c r="AB584" i="2" s="1"/>
  <c r="Y584" i="2"/>
  <c r="Z584" i="2" s="1"/>
  <c r="U584" i="2"/>
  <c r="R584" i="2"/>
  <c r="P584" i="2"/>
  <c r="AA583" i="2"/>
  <c r="AB583" i="2" s="1"/>
  <c r="Y583" i="2"/>
  <c r="Z583" i="2" s="1"/>
  <c r="U583" i="2"/>
  <c r="R583" i="2"/>
  <c r="P583" i="2"/>
  <c r="AA582" i="2"/>
  <c r="AB582" i="2" s="1"/>
  <c r="Y582" i="2"/>
  <c r="Z582" i="2" s="1"/>
  <c r="U582" i="2"/>
  <c r="R582" i="2"/>
  <c r="P582" i="2"/>
  <c r="AA581" i="2"/>
  <c r="AB581" i="2" s="1"/>
  <c r="Y581" i="2"/>
  <c r="Z581" i="2" s="1"/>
  <c r="U581" i="2"/>
  <c r="R581" i="2"/>
  <c r="P581" i="2"/>
  <c r="AA580" i="2"/>
  <c r="AB580" i="2" s="1"/>
  <c r="Y580" i="2"/>
  <c r="Z580" i="2" s="1"/>
  <c r="U580" i="2"/>
  <c r="R580" i="2"/>
  <c r="P580" i="2"/>
  <c r="AA579" i="2"/>
  <c r="AB579" i="2" s="1"/>
  <c r="Y579" i="2"/>
  <c r="Z579" i="2" s="1"/>
  <c r="U579" i="2"/>
  <c r="R579" i="2"/>
  <c r="P579" i="2"/>
  <c r="AA578" i="2"/>
  <c r="AB578" i="2" s="1"/>
  <c r="Y578" i="2"/>
  <c r="Z578" i="2" s="1"/>
  <c r="U578" i="2"/>
  <c r="R578" i="2"/>
  <c r="P578" i="2"/>
  <c r="AA577" i="2"/>
  <c r="AB577" i="2" s="1"/>
  <c r="Y577" i="2"/>
  <c r="Z577" i="2" s="1"/>
  <c r="U577" i="2"/>
  <c r="R577" i="2"/>
  <c r="P577" i="2"/>
  <c r="AA576" i="2"/>
  <c r="AB576" i="2" s="1"/>
  <c r="Y576" i="2"/>
  <c r="Z576" i="2" s="1"/>
  <c r="U576" i="2"/>
  <c r="R576" i="2"/>
  <c r="P576" i="2"/>
  <c r="AA575" i="2"/>
  <c r="AB575" i="2" s="1"/>
  <c r="Y575" i="2"/>
  <c r="Z575" i="2" s="1"/>
  <c r="U575" i="2"/>
  <c r="R575" i="2"/>
  <c r="P575" i="2"/>
  <c r="AA574" i="2"/>
  <c r="AB574" i="2" s="1"/>
  <c r="Y574" i="2"/>
  <c r="Z574" i="2" s="1"/>
  <c r="U574" i="2"/>
  <c r="R574" i="2"/>
  <c r="P574" i="2"/>
  <c r="AA573" i="2"/>
  <c r="AB573" i="2" s="1"/>
  <c r="Y573" i="2"/>
  <c r="Z573" i="2" s="1"/>
  <c r="U573" i="2"/>
  <c r="R573" i="2"/>
  <c r="P573" i="2"/>
  <c r="AA572" i="2"/>
  <c r="AB572" i="2" s="1"/>
  <c r="Y572" i="2"/>
  <c r="Z572" i="2" s="1"/>
  <c r="U572" i="2"/>
  <c r="R572" i="2"/>
  <c r="P572" i="2"/>
  <c r="AA571" i="2"/>
  <c r="AB571" i="2" s="1"/>
  <c r="Y571" i="2"/>
  <c r="Z571" i="2" s="1"/>
  <c r="U571" i="2"/>
  <c r="R571" i="2"/>
  <c r="P571" i="2"/>
  <c r="AA570" i="2"/>
  <c r="AB570" i="2" s="1"/>
  <c r="Y570" i="2"/>
  <c r="Z570" i="2" s="1"/>
  <c r="U570" i="2"/>
  <c r="R570" i="2"/>
  <c r="P570" i="2"/>
  <c r="AA569" i="2"/>
  <c r="AB569" i="2" s="1"/>
  <c r="Y569" i="2"/>
  <c r="Z569" i="2" s="1"/>
  <c r="U569" i="2"/>
  <c r="R569" i="2"/>
  <c r="P569" i="2"/>
  <c r="AA568" i="2"/>
  <c r="AB568" i="2" s="1"/>
  <c r="Y568" i="2"/>
  <c r="Z568" i="2" s="1"/>
  <c r="U568" i="2"/>
  <c r="R568" i="2"/>
  <c r="P568" i="2"/>
  <c r="AA567" i="2"/>
  <c r="AB567" i="2" s="1"/>
  <c r="Y567" i="2"/>
  <c r="Z567" i="2" s="1"/>
  <c r="U567" i="2"/>
  <c r="R567" i="2"/>
  <c r="P567" i="2"/>
  <c r="AA566" i="2"/>
  <c r="AB566" i="2" s="1"/>
  <c r="Y566" i="2"/>
  <c r="Z566" i="2" s="1"/>
  <c r="U566" i="2"/>
  <c r="R566" i="2"/>
  <c r="P566" i="2"/>
  <c r="AA565" i="2"/>
  <c r="AB565" i="2" s="1"/>
  <c r="Y565" i="2"/>
  <c r="Z565" i="2" s="1"/>
  <c r="U565" i="2"/>
  <c r="R565" i="2"/>
  <c r="P565" i="2"/>
  <c r="AA564" i="2"/>
  <c r="AB564" i="2" s="1"/>
  <c r="Y564" i="2"/>
  <c r="Z564" i="2" s="1"/>
  <c r="U564" i="2"/>
  <c r="R564" i="2"/>
  <c r="P564" i="2"/>
  <c r="AA563" i="2"/>
  <c r="AB563" i="2" s="1"/>
  <c r="Y563" i="2"/>
  <c r="Z563" i="2" s="1"/>
  <c r="U563" i="2"/>
  <c r="R563" i="2"/>
  <c r="P563" i="2"/>
  <c r="AA562" i="2"/>
  <c r="AB562" i="2" s="1"/>
  <c r="Y562" i="2"/>
  <c r="Z562" i="2" s="1"/>
  <c r="U562" i="2"/>
  <c r="R562" i="2"/>
  <c r="P562" i="2"/>
  <c r="AA561" i="2"/>
  <c r="AB561" i="2" s="1"/>
  <c r="Y561" i="2"/>
  <c r="Z561" i="2" s="1"/>
  <c r="U561" i="2"/>
  <c r="R561" i="2"/>
  <c r="P561" i="2"/>
  <c r="AA560" i="2"/>
  <c r="AB560" i="2" s="1"/>
  <c r="Y560" i="2"/>
  <c r="Z560" i="2" s="1"/>
  <c r="U560" i="2"/>
  <c r="R560" i="2"/>
  <c r="P560" i="2"/>
  <c r="AA559" i="2"/>
  <c r="AB559" i="2" s="1"/>
  <c r="Y559" i="2"/>
  <c r="Z559" i="2" s="1"/>
  <c r="U559" i="2"/>
  <c r="R559" i="2"/>
  <c r="P559" i="2"/>
  <c r="AA558" i="2"/>
  <c r="AB558" i="2" s="1"/>
  <c r="Y558" i="2"/>
  <c r="Z558" i="2" s="1"/>
  <c r="U558" i="2"/>
  <c r="R558" i="2"/>
  <c r="P558" i="2"/>
  <c r="AA557" i="2"/>
  <c r="AB557" i="2" s="1"/>
  <c r="Y557" i="2"/>
  <c r="Z557" i="2" s="1"/>
  <c r="U557" i="2"/>
  <c r="R557" i="2"/>
  <c r="P557" i="2"/>
  <c r="AA556" i="2"/>
  <c r="AB556" i="2" s="1"/>
  <c r="Y556" i="2"/>
  <c r="Z556" i="2" s="1"/>
  <c r="U556" i="2"/>
  <c r="R556" i="2"/>
  <c r="P556" i="2"/>
  <c r="AA555" i="2"/>
  <c r="AB555" i="2" s="1"/>
  <c r="Y555" i="2"/>
  <c r="Z555" i="2" s="1"/>
  <c r="U555" i="2"/>
  <c r="R555" i="2"/>
  <c r="P555" i="2"/>
  <c r="AA554" i="2"/>
  <c r="AB554" i="2" s="1"/>
  <c r="Y554" i="2"/>
  <c r="Z554" i="2" s="1"/>
  <c r="U554" i="2"/>
  <c r="R554" i="2"/>
  <c r="P554" i="2"/>
  <c r="AA553" i="2"/>
  <c r="AB553" i="2" s="1"/>
  <c r="Y553" i="2"/>
  <c r="Z553" i="2" s="1"/>
  <c r="X553" i="2"/>
  <c r="U553" i="2"/>
  <c r="R553" i="2"/>
  <c r="P553" i="2"/>
  <c r="AA552" i="2"/>
  <c r="AB552" i="2" s="1"/>
  <c r="Y552" i="2"/>
  <c r="Z552" i="2" s="1"/>
  <c r="U552" i="2"/>
  <c r="R552" i="2"/>
  <c r="P552" i="2"/>
  <c r="AA551" i="2"/>
  <c r="AB551" i="2" s="1"/>
  <c r="Y551" i="2"/>
  <c r="Z551" i="2" s="1"/>
  <c r="U551" i="2"/>
  <c r="R551" i="2"/>
  <c r="P551" i="2"/>
  <c r="AA550" i="2"/>
  <c r="AB550" i="2" s="1"/>
  <c r="Y550" i="2"/>
  <c r="Z550" i="2" s="1"/>
  <c r="U550" i="2"/>
  <c r="R550" i="2"/>
  <c r="P550" i="2"/>
  <c r="AA549" i="2"/>
  <c r="AB549" i="2" s="1"/>
  <c r="Y549" i="2"/>
  <c r="Z549" i="2" s="1"/>
  <c r="U549" i="2"/>
  <c r="R549" i="2"/>
  <c r="P549" i="2"/>
  <c r="AA548" i="2"/>
  <c r="AB548" i="2" s="1"/>
  <c r="Y548" i="2"/>
  <c r="Z548" i="2" s="1"/>
  <c r="U548" i="2"/>
  <c r="R548" i="2"/>
  <c r="P548" i="2"/>
  <c r="AA547" i="2"/>
  <c r="AB547" i="2" s="1"/>
  <c r="Y547" i="2"/>
  <c r="Z547" i="2" s="1"/>
  <c r="U547" i="2"/>
  <c r="R547" i="2"/>
  <c r="P547" i="2"/>
  <c r="AA546" i="2"/>
  <c r="AB546" i="2" s="1"/>
  <c r="Y546" i="2"/>
  <c r="Z546" i="2" s="1"/>
  <c r="U546" i="2"/>
  <c r="R546" i="2"/>
  <c r="P546" i="2"/>
  <c r="AA545" i="2"/>
  <c r="AB545" i="2" s="1"/>
  <c r="Y545" i="2"/>
  <c r="Z545" i="2" s="1"/>
  <c r="U545" i="2"/>
  <c r="R545" i="2"/>
  <c r="P545" i="2"/>
  <c r="AA544" i="2"/>
  <c r="AB544" i="2" s="1"/>
  <c r="Y544" i="2"/>
  <c r="Z544" i="2" s="1"/>
  <c r="U544" i="2"/>
  <c r="R544" i="2"/>
  <c r="P544" i="2"/>
  <c r="AA543" i="2"/>
  <c r="AB543" i="2" s="1"/>
  <c r="Y543" i="2"/>
  <c r="Z543" i="2" s="1"/>
  <c r="U543" i="2"/>
  <c r="R543" i="2"/>
  <c r="P543" i="2"/>
  <c r="AA542" i="2"/>
  <c r="AB542" i="2" s="1"/>
  <c r="Y542" i="2"/>
  <c r="Z542" i="2" s="1"/>
  <c r="U542" i="2"/>
  <c r="R542" i="2"/>
  <c r="P542" i="2"/>
  <c r="AA541" i="2"/>
  <c r="AB541" i="2" s="1"/>
  <c r="Y541" i="2"/>
  <c r="Z541" i="2" s="1"/>
  <c r="U541" i="2"/>
  <c r="R541" i="2"/>
  <c r="P541" i="2"/>
  <c r="AA540" i="2"/>
  <c r="AB540" i="2" s="1"/>
  <c r="Y540" i="2"/>
  <c r="Z540" i="2" s="1"/>
  <c r="U540" i="2"/>
  <c r="R540" i="2"/>
  <c r="P540" i="2"/>
  <c r="AA539" i="2"/>
  <c r="AB539" i="2" s="1"/>
  <c r="Y539" i="2"/>
  <c r="Z539" i="2" s="1"/>
  <c r="U539" i="2"/>
  <c r="R539" i="2"/>
  <c r="P539" i="2"/>
  <c r="AA538" i="2"/>
  <c r="AB538" i="2" s="1"/>
  <c r="Y538" i="2"/>
  <c r="Z538" i="2" s="1"/>
  <c r="U538" i="2"/>
  <c r="R538" i="2"/>
  <c r="P538" i="2"/>
  <c r="AA537" i="2"/>
  <c r="AB537" i="2" s="1"/>
  <c r="Y537" i="2"/>
  <c r="Z537" i="2" s="1"/>
  <c r="U537" i="2"/>
  <c r="R537" i="2"/>
  <c r="P537" i="2"/>
  <c r="AA536" i="2"/>
  <c r="AB536" i="2" s="1"/>
  <c r="Y536" i="2"/>
  <c r="Z536" i="2" s="1"/>
  <c r="U536" i="2"/>
  <c r="R536" i="2"/>
  <c r="P536" i="2"/>
  <c r="AA535" i="2"/>
  <c r="AB535" i="2" s="1"/>
  <c r="Y535" i="2"/>
  <c r="Z535" i="2" s="1"/>
  <c r="U535" i="2"/>
  <c r="R535" i="2"/>
  <c r="P535" i="2"/>
  <c r="AA534" i="2"/>
  <c r="AB534" i="2" s="1"/>
  <c r="Y534" i="2"/>
  <c r="Z534" i="2" s="1"/>
  <c r="U534" i="2"/>
  <c r="R534" i="2"/>
  <c r="P534" i="2"/>
  <c r="AA533" i="2"/>
  <c r="AB533" i="2" s="1"/>
  <c r="Y533" i="2"/>
  <c r="Z533" i="2" s="1"/>
  <c r="U533" i="2"/>
  <c r="R533" i="2"/>
  <c r="P533" i="2"/>
  <c r="AA532" i="2"/>
  <c r="AB532" i="2" s="1"/>
  <c r="Y532" i="2"/>
  <c r="Z532" i="2" s="1"/>
  <c r="U532" i="2"/>
  <c r="R532" i="2"/>
  <c r="P532" i="2"/>
  <c r="AA531" i="2"/>
  <c r="AB531" i="2" s="1"/>
  <c r="Y531" i="2"/>
  <c r="Z531" i="2" s="1"/>
  <c r="U531" i="2"/>
  <c r="R531" i="2"/>
  <c r="P531" i="2"/>
  <c r="AA530" i="2"/>
  <c r="AB530" i="2" s="1"/>
  <c r="Y530" i="2"/>
  <c r="Z530" i="2" s="1"/>
  <c r="U530" i="2"/>
  <c r="R530" i="2"/>
  <c r="P530" i="2"/>
  <c r="AA529" i="2"/>
  <c r="AB529" i="2" s="1"/>
  <c r="Y529" i="2"/>
  <c r="Z529" i="2" s="1"/>
  <c r="U529" i="2"/>
  <c r="R529" i="2"/>
  <c r="P529" i="2"/>
  <c r="AA528" i="2"/>
  <c r="AB528" i="2" s="1"/>
  <c r="Y528" i="2"/>
  <c r="Z528" i="2" s="1"/>
  <c r="U528" i="2"/>
  <c r="R528" i="2"/>
  <c r="P528" i="2"/>
  <c r="AA527" i="2"/>
  <c r="AB527" i="2" s="1"/>
  <c r="Y527" i="2"/>
  <c r="Z527" i="2" s="1"/>
  <c r="U527" i="2"/>
  <c r="R527" i="2"/>
  <c r="P527" i="2"/>
  <c r="AA526" i="2"/>
  <c r="AB526" i="2" s="1"/>
  <c r="Y526" i="2"/>
  <c r="Z526" i="2" s="1"/>
  <c r="U526" i="2"/>
  <c r="R526" i="2"/>
  <c r="P526" i="2"/>
  <c r="AA525" i="2"/>
  <c r="AB525" i="2" s="1"/>
  <c r="Y525" i="2"/>
  <c r="Z525" i="2" s="1"/>
  <c r="U525" i="2"/>
  <c r="R525" i="2"/>
  <c r="P525" i="2"/>
  <c r="AA524" i="2"/>
  <c r="AB524" i="2" s="1"/>
  <c r="Y524" i="2"/>
  <c r="Z524" i="2" s="1"/>
  <c r="U524" i="2"/>
  <c r="R524" i="2"/>
  <c r="P524" i="2"/>
  <c r="AA523" i="2"/>
  <c r="AB523" i="2" s="1"/>
  <c r="Y523" i="2"/>
  <c r="Z523" i="2" s="1"/>
  <c r="U523" i="2"/>
  <c r="R523" i="2"/>
  <c r="P523" i="2"/>
  <c r="AA522" i="2"/>
  <c r="AB522" i="2" s="1"/>
  <c r="Y522" i="2"/>
  <c r="Z522" i="2" s="1"/>
  <c r="U522" i="2"/>
  <c r="R522" i="2"/>
  <c r="P522" i="2"/>
  <c r="AA521" i="2"/>
  <c r="AB521" i="2" s="1"/>
  <c r="Y521" i="2"/>
  <c r="Z521" i="2" s="1"/>
  <c r="U521" i="2"/>
  <c r="R521" i="2"/>
  <c r="P521" i="2"/>
  <c r="AA520" i="2"/>
  <c r="AB520" i="2" s="1"/>
  <c r="Y520" i="2"/>
  <c r="Z520" i="2" s="1"/>
  <c r="U520" i="2"/>
  <c r="R520" i="2"/>
  <c r="P520" i="2"/>
  <c r="AA519" i="2"/>
  <c r="AB519" i="2" s="1"/>
  <c r="Y519" i="2"/>
  <c r="Z519" i="2" s="1"/>
  <c r="U519" i="2"/>
  <c r="R519" i="2"/>
  <c r="P519" i="2"/>
  <c r="AA518" i="2"/>
  <c r="AB518" i="2" s="1"/>
  <c r="Y518" i="2"/>
  <c r="Z518" i="2" s="1"/>
  <c r="U518" i="2"/>
  <c r="R518" i="2"/>
  <c r="P518" i="2"/>
  <c r="AA517" i="2"/>
  <c r="AB517" i="2" s="1"/>
  <c r="Y517" i="2"/>
  <c r="Z517" i="2" s="1"/>
  <c r="U517" i="2"/>
  <c r="R517" i="2"/>
  <c r="P517" i="2"/>
  <c r="AA516" i="2"/>
  <c r="AB516" i="2" s="1"/>
  <c r="Y516" i="2"/>
  <c r="Z516" i="2" s="1"/>
  <c r="U516" i="2"/>
  <c r="R516" i="2"/>
  <c r="P516" i="2"/>
  <c r="AA515" i="2"/>
  <c r="AB515" i="2" s="1"/>
  <c r="Y515" i="2"/>
  <c r="Z515" i="2" s="1"/>
  <c r="U515" i="2"/>
  <c r="R515" i="2"/>
  <c r="P515" i="2"/>
  <c r="AA514" i="2"/>
  <c r="AB514" i="2" s="1"/>
  <c r="Y514" i="2"/>
  <c r="Z514" i="2" s="1"/>
  <c r="U514" i="2"/>
  <c r="R514" i="2"/>
  <c r="P514" i="2"/>
  <c r="AA513" i="2"/>
  <c r="AB513" i="2" s="1"/>
  <c r="Y513" i="2"/>
  <c r="Z513" i="2" s="1"/>
  <c r="U513" i="2"/>
  <c r="R513" i="2"/>
  <c r="P513" i="2"/>
  <c r="AA512" i="2"/>
  <c r="AB512" i="2" s="1"/>
  <c r="Y512" i="2"/>
  <c r="Z512" i="2" s="1"/>
  <c r="U512" i="2"/>
  <c r="R512" i="2"/>
  <c r="P512" i="2"/>
  <c r="AA511" i="2"/>
  <c r="AB511" i="2" s="1"/>
  <c r="Y511" i="2"/>
  <c r="Z511" i="2" s="1"/>
  <c r="U511" i="2"/>
  <c r="R511" i="2"/>
  <c r="P511" i="2"/>
  <c r="AA510" i="2"/>
  <c r="AB510" i="2" s="1"/>
  <c r="Y510" i="2"/>
  <c r="Z510" i="2" s="1"/>
  <c r="U510" i="2"/>
  <c r="R510" i="2"/>
  <c r="P510" i="2"/>
  <c r="AA509" i="2"/>
  <c r="AB509" i="2" s="1"/>
  <c r="Y509" i="2"/>
  <c r="Z509" i="2" s="1"/>
  <c r="U509" i="2"/>
  <c r="R509" i="2"/>
  <c r="P509" i="2"/>
  <c r="AA508" i="2"/>
  <c r="AB508" i="2" s="1"/>
  <c r="Y508" i="2"/>
  <c r="Z508" i="2" s="1"/>
  <c r="U508" i="2"/>
  <c r="R508" i="2"/>
  <c r="P508" i="2"/>
  <c r="AA507" i="2"/>
  <c r="AB507" i="2" s="1"/>
  <c r="Y507" i="2"/>
  <c r="Z507" i="2" s="1"/>
  <c r="U507" i="2"/>
  <c r="R507" i="2"/>
  <c r="P507" i="2"/>
  <c r="AA506" i="2"/>
  <c r="AB506" i="2" s="1"/>
  <c r="Y506" i="2"/>
  <c r="Z506" i="2" s="1"/>
  <c r="U506" i="2"/>
  <c r="R506" i="2"/>
  <c r="P506" i="2"/>
  <c r="AA505" i="2"/>
  <c r="AB505" i="2" s="1"/>
  <c r="Y505" i="2"/>
  <c r="Z505" i="2" s="1"/>
  <c r="U505" i="2"/>
  <c r="R505" i="2"/>
  <c r="P505" i="2"/>
  <c r="AA504" i="2"/>
  <c r="AB504" i="2" s="1"/>
  <c r="Y504" i="2"/>
  <c r="Z504" i="2" s="1"/>
  <c r="U504" i="2"/>
  <c r="R504" i="2"/>
  <c r="P504" i="2"/>
  <c r="AA503" i="2"/>
  <c r="AB503" i="2" s="1"/>
  <c r="Y503" i="2"/>
  <c r="Z503" i="2" s="1"/>
  <c r="U503" i="2"/>
  <c r="R503" i="2"/>
  <c r="P503" i="2"/>
  <c r="AA502" i="2"/>
  <c r="AB502" i="2" s="1"/>
  <c r="Y502" i="2"/>
  <c r="Z502" i="2" s="1"/>
  <c r="U502" i="2"/>
  <c r="R502" i="2"/>
  <c r="P502" i="2"/>
  <c r="AA501" i="2"/>
  <c r="AB501" i="2" s="1"/>
  <c r="Y501" i="2"/>
  <c r="Z501" i="2" s="1"/>
  <c r="U501" i="2"/>
  <c r="R501" i="2"/>
  <c r="P501" i="2"/>
  <c r="AA500" i="2"/>
  <c r="AB500" i="2" s="1"/>
  <c r="Y500" i="2"/>
  <c r="Z500" i="2" s="1"/>
  <c r="U500" i="2"/>
  <c r="R500" i="2"/>
  <c r="P500" i="2"/>
  <c r="AA499" i="2"/>
  <c r="AB499" i="2" s="1"/>
  <c r="Y499" i="2"/>
  <c r="Z499" i="2" s="1"/>
  <c r="U499" i="2"/>
  <c r="R499" i="2"/>
  <c r="P499" i="2"/>
  <c r="AA498" i="2"/>
  <c r="AB498" i="2" s="1"/>
  <c r="Y498" i="2"/>
  <c r="Z498" i="2" s="1"/>
  <c r="U498" i="2"/>
  <c r="R498" i="2"/>
  <c r="P498" i="2"/>
  <c r="AA497" i="2"/>
  <c r="AB497" i="2" s="1"/>
  <c r="Y497" i="2"/>
  <c r="Z497" i="2" s="1"/>
  <c r="U497" i="2"/>
  <c r="R497" i="2"/>
  <c r="P497" i="2"/>
  <c r="AA496" i="2"/>
  <c r="AB496" i="2" s="1"/>
  <c r="Y496" i="2"/>
  <c r="Z496" i="2" s="1"/>
  <c r="U496" i="2"/>
  <c r="R496" i="2"/>
  <c r="P496" i="2"/>
  <c r="AA495" i="2"/>
  <c r="AB495" i="2" s="1"/>
  <c r="Y495" i="2"/>
  <c r="Z495" i="2" s="1"/>
  <c r="U495" i="2"/>
  <c r="R495" i="2"/>
  <c r="P495" i="2"/>
  <c r="AA494" i="2"/>
  <c r="AB494" i="2" s="1"/>
  <c r="Y494" i="2"/>
  <c r="Z494" i="2" s="1"/>
  <c r="U494" i="2"/>
  <c r="R494" i="2"/>
  <c r="P494" i="2"/>
  <c r="AA493" i="2"/>
  <c r="AB493" i="2" s="1"/>
  <c r="Y493" i="2"/>
  <c r="Z493" i="2" s="1"/>
  <c r="U493" i="2"/>
  <c r="R493" i="2"/>
  <c r="P493" i="2"/>
  <c r="AA492" i="2"/>
  <c r="AB492" i="2" s="1"/>
  <c r="Y492" i="2"/>
  <c r="Z492" i="2" s="1"/>
  <c r="U492" i="2"/>
  <c r="R492" i="2"/>
  <c r="P492" i="2"/>
  <c r="AA491" i="2"/>
  <c r="AB491" i="2" s="1"/>
  <c r="Y491" i="2"/>
  <c r="Z491" i="2" s="1"/>
  <c r="U491" i="2"/>
  <c r="R491" i="2"/>
  <c r="P491" i="2"/>
  <c r="AA490" i="2"/>
  <c r="AB490" i="2" s="1"/>
  <c r="Y490" i="2"/>
  <c r="Z490" i="2" s="1"/>
  <c r="U490" i="2"/>
  <c r="R490" i="2"/>
  <c r="P490" i="2"/>
  <c r="AA489" i="2"/>
  <c r="AB489" i="2" s="1"/>
  <c r="Y489" i="2"/>
  <c r="Z489" i="2" s="1"/>
  <c r="U489" i="2"/>
  <c r="R489" i="2"/>
  <c r="P489" i="2"/>
  <c r="AA488" i="2"/>
  <c r="AB488" i="2" s="1"/>
  <c r="Y488" i="2"/>
  <c r="Z488" i="2" s="1"/>
  <c r="U488" i="2"/>
  <c r="R488" i="2"/>
  <c r="P488" i="2"/>
  <c r="AA487" i="2"/>
  <c r="AB487" i="2" s="1"/>
  <c r="Y487" i="2"/>
  <c r="Z487" i="2" s="1"/>
  <c r="U487" i="2"/>
  <c r="R487" i="2"/>
  <c r="P487" i="2"/>
  <c r="AA486" i="2"/>
  <c r="AB486" i="2" s="1"/>
  <c r="Y486" i="2"/>
  <c r="Z486" i="2" s="1"/>
  <c r="U486" i="2"/>
  <c r="R486" i="2"/>
  <c r="P486" i="2"/>
  <c r="AA485" i="2"/>
  <c r="AB485" i="2" s="1"/>
  <c r="Y485" i="2"/>
  <c r="Z485" i="2" s="1"/>
  <c r="U485" i="2"/>
  <c r="R485" i="2"/>
  <c r="P485" i="2"/>
  <c r="AA484" i="2"/>
  <c r="AB484" i="2" s="1"/>
  <c r="Y484" i="2"/>
  <c r="Z484" i="2" s="1"/>
  <c r="U484" i="2"/>
  <c r="R484" i="2"/>
  <c r="P484" i="2"/>
  <c r="AA483" i="2"/>
  <c r="AB483" i="2" s="1"/>
  <c r="Y483" i="2"/>
  <c r="Z483" i="2" s="1"/>
  <c r="U483" i="2"/>
  <c r="R483" i="2"/>
  <c r="P483" i="2"/>
  <c r="AA482" i="2"/>
  <c r="AB482" i="2" s="1"/>
  <c r="Y482" i="2"/>
  <c r="Z482" i="2" s="1"/>
  <c r="U482" i="2"/>
  <c r="R482" i="2"/>
  <c r="P482" i="2"/>
  <c r="AA481" i="2"/>
  <c r="AB481" i="2" s="1"/>
  <c r="Y481" i="2"/>
  <c r="Z481" i="2" s="1"/>
  <c r="U481" i="2"/>
  <c r="R481" i="2"/>
  <c r="P481" i="2"/>
  <c r="AA480" i="2"/>
  <c r="AB480" i="2" s="1"/>
  <c r="Y480" i="2"/>
  <c r="Z480" i="2" s="1"/>
  <c r="U480" i="2"/>
  <c r="R480" i="2"/>
  <c r="P480" i="2"/>
  <c r="AA479" i="2"/>
  <c r="AB479" i="2" s="1"/>
  <c r="Y479" i="2"/>
  <c r="Z479" i="2" s="1"/>
  <c r="U479" i="2"/>
  <c r="R479" i="2"/>
  <c r="P479" i="2"/>
  <c r="AA478" i="2"/>
  <c r="AB478" i="2" s="1"/>
  <c r="Y478" i="2"/>
  <c r="Z478" i="2" s="1"/>
  <c r="U478" i="2"/>
  <c r="R478" i="2"/>
  <c r="P478" i="2"/>
  <c r="AA477" i="2"/>
  <c r="AB477" i="2" s="1"/>
  <c r="Y477" i="2"/>
  <c r="Z477" i="2" s="1"/>
  <c r="U477" i="2"/>
  <c r="R477" i="2"/>
  <c r="P477" i="2"/>
  <c r="AA476" i="2"/>
  <c r="AB476" i="2" s="1"/>
  <c r="Y476" i="2"/>
  <c r="Z476" i="2" s="1"/>
  <c r="U476" i="2"/>
  <c r="R476" i="2"/>
  <c r="P476" i="2"/>
  <c r="AA475" i="2"/>
  <c r="AB475" i="2" s="1"/>
  <c r="Y475" i="2"/>
  <c r="Z475" i="2" s="1"/>
  <c r="U475" i="2"/>
  <c r="R475" i="2"/>
  <c r="P475" i="2"/>
  <c r="AA474" i="2"/>
  <c r="AB474" i="2" s="1"/>
  <c r="Y474" i="2"/>
  <c r="Z474" i="2" s="1"/>
  <c r="U474" i="2"/>
  <c r="R474" i="2"/>
  <c r="P474" i="2"/>
  <c r="AA473" i="2"/>
  <c r="AB473" i="2" s="1"/>
  <c r="Y473" i="2"/>
  <c r="Z473" i="2" s="1"/>
  <c r="U473" i="2"/>
  <c r="R473" i="2"/>
  <c r="P473" i="2"/>
  <c r="AA472" i="2"/>
  <c r="AB472" i="2" s="1"/>
  <c r="Y472" i="2"/>
  <c r="Z472" i="2" s="1"/>
  <c r="U472" i="2"/>
  <c r="R472" i="2"/>
  <c r="P472" i="2"/>
  <c r="AA471" i="2"/>
  <c r="AB471" i="2" s="1"/>
  <c r="Y471" i="2"/>
  <c r="Z471" i="2" s="1"/>
  <c r="U471" i="2"/>
  <c r="R471" i="2"/>
  <c r="P471" i="2"/>
  <c r="AA470" i="2"/>
  <c r="AB470" i="2" s="1"/>
  <c r="Y470" i="2"/>
  <c r="Z470" i="2" s="1"/>
  <c r="U470" i="2"/>
  <c r="R470" i="2"/>
  <c r="P470" i="2"/>
  <c r="AA469" i="2"/>
  <c r="AB469" i="2" s="1"/>
  <c r="Y469" i="2"/>
  <c r="Z469" i="2" s="1"/>
  <c r="U469" i="2"/>
  <c r="R469" i="2"/>
  <c r="P469" i="2"/>
  <c r="AA468" i="2"/>
  <c r="AB468" i="2" s="1"/>
  <c r="Y468" i="2"/>
  <c r="Z468" i="2" s="1"/>
  <c r="U468" i="2"/>
  <c r="R468" i="2"/>
  <c r="P468" i="2"/>
  <c r="AA467" i="2"/>
  <c r="AB467" i="2" s="1"/>
  <c r="Y467" i="2"/>
  <c r="Z467" i="2" s="1"/>
  <c r="U467" i="2"/>
  <c r="R467" i="2"/>
  <c r="P467" i="2"/>
  <c r="AA466" i="2"/>
  <c r="AB466" i="2" s="1"/>
  <c r="Y466" i="2"/>
  <c r="Z466" i="2" s="1"/>
  <c r="U466" i="2"/>
  <c r="R466" i="2"/>
  <c r="P466" i="2"/>
  <c r="AA465" i="2"/>
  <c r="AB465" i="2" s="1"/>
  <c r="Y465" i="2"/>
  <c r="Z465" i="2" s="1"/>
  <c r="U465" i="2"/>
  <c r="R465" i="2"/>
  <c r="P465" i="2"/>
  <c r="AA464" i="2"/>
  <c r="AB464" i="2" s="1"/>
  <c r="Y464" i="2"/>
  <c r="Z464" i="2" s="1"/>
  <c r="U464" i="2"/>
  <c r="R464" i="2"/>
  <c r="P464" i="2"/>
  <c r="AA463" i="2"/>
  <c r="AB463" i="2" s="1"/>
  <c r="Y463" i="2"/>
  <c r="Z463" i="2" s="1"/>
  <c r="U463" i="2"/>
  <c r="R463" i="2"/>
  <c r="P463" i="2"/>
  <c r="AA462" i="2"/>
  <c r="AB462" i="2" s="1"/>
  <c r="Y462" i="2"/>
  <c r="Z462" i="2" s="1"/>
  <c r="U462" i="2"/>
  <c r="R462" i="2"/>
  <c r="P462" i="2"/>
  <c r="AA461" i="2"/>
  <c r="AB461" i="2" s="1"/>
  <c r="Y461" i="2"/>
  <c r="Z461" i="2" s="1"/>
  <c r="U461" i="2"/>
  <c r="R461" i="2"/>
  <c r="P461" i="2"/>
  <c r="AA460" i="2"/>
  <c r="AB460" i="2" s="1"/>
  <c r="Y460" i="2"/>
  <c r="Z460" i="2" s="1"/>
  <c r="U460" i="2"/>
  <c r="R460" i="2"/>
  <c r="P460" i="2"/>
  <c r="AA459" i="2"/>
  <c r="AB459" i="2" s="1"/>
  <c r="Y459" i="2"/>
  <c r="Z459" i="2" s="1"/>
  <c r="U459" i="2"/>
  <c r="R459" i="2"/>
  <c r="P459" i="2"/>
  <c r="AA458" i="2"/>
  <c r="AB458" i="2" s="1"/>
  <c r="Y458" i="2"/>
  <c r="Z458" i="2" s="1"/>
  <c r="U458" i="2"/>
  <c r="R458" i="2"/>
  <c r="P458" i="2"/>
  <c r="AA457" i="2"/>
  <c r="AB457" i="2" s="1"/>
  <c r="Y457" i="2"/>
  <c r="Z457" i="2" s="1"/>
  <c r="U457" i="2"/>
  <c r="R457" i="2"/>
  <c r="P457" i="2"/>
  <c r="AA456" i="2"/>
  <c r="AB456" i="2" s="1"/>
  <c r="Y456" i="2"/>
  <c r="Z456" i="2" s="1"/>
  <c r="U456" i="2"/>
  <c r="R456" i="2"/>
  <c r="P456" i="2"/>
  <c r="AA455" i="2"/>
  <c r="AB455" i="2" s="1"/>
  <c r="Y455" i="2"/>
  <c r="Z455" i="2" s="1"/>
  <c r="U455" i="2"/>
  <c r="R455" i="2"/>
  <c r="P455" i="2"/>
  <c r="AA454" i="2"/>
  <c r="AB454" i="2" s="1"/>
  <c r="Y454" i="2"/>
  <c r="Z454" i="2" s="1"/>
  <c r="U454" i="2"/>
  <c r="R454" i="2"/>
  <c r="P454" i="2"/>
  <c r="AA453" i="2"/>
  <c r="AB453" i="2" s="1"/>
  <c r="Y453" i="2"/>
  <c r="Z453" i="2" s="1"/>
  <c r="U453" i="2"/>
  <c r="R453" i="2"/>
  <c r="P453" i="2"/>
  <c r="AA452" i="2"/>
  <c r="AB452" i="2" s="1"/>
  <c r="Y452" i="2"/>
  <c r="Z452" i="2" s="1"/>
  <c r="U452" i="2"/>
  <c r="R452" i="2"/>
  <c r="P452" i="2"/>
  <c r="AA451" i="2"/>
  <c r="AB451" i="2" s="1"/>
  <c r="Y451" i="2"/>
  <c r="Z451" i="2" s="1"/>
  <c r="U451" i="2"/>
  <c r="R451" i="2"/>
  <c r="P451" i="2"/>
  <c r="AA450" i="2"/>
  <c r="AB450" i="2" s="1"/>
  <c r="Y450" i="2"/>
  <c r="Z450" i="2" s="1"/>
  <c r="U450" i="2"/>
  <c r="R450" i="2"/>
  <c r="P450" i="2"/>
  <c r="AA449" i="2"/>
  <c r="AB449" i="2" s="1"/>
  <c r="Y449" i="2"/>
  <c r="Z449" i="2" s="1"/>
  <c r="U449" i="2"/>
  <c r="R449" i="2"/>
  <c r="P449" i="2"/>
  <c r="AA448" i="2"/>
  <c r="AB448" i="2" s="1"/>
  <c r="Y448" i="2"/>
  <c r="Z448" i="2" s="1"/>
  <c r="U448" i="2"/>
  <c r="R448" i="2"/>
  <c r="P448" i="2"/>
  <c r="AA447" i="2"/>
  <c r="AB447" i="2" s="1"/>
  <c r="Y447" i="2"/>
  <c r="Z447" i="2" s="1"/>
  <c r="U447" i="2"/>
  <c r="R447" i="2"/>
  <c r="P447" i="2"/>
  <c r="AA446" i="2"/>
  <c r="AB446" i="2" s="1"/>
  <c r="Y446" i="2"/>
  <c r="Z446" i="2" s="1"/>
  <c r="U446" i="2"/>
  <c r="R446" i="2"/>
  <c r="P446" i="2"/>
  <c r="AA445" i="2"/>
  <c r="AB445" i="2" s="1"/>
  <c r="Y445" i="2"/>
  <c r="Z445" i="2" s="1"/>
  <c r="U445" i="2"/>
  <c r="R445" i="2"/>
  <c r="P445" i="2"/>
  <c r="AA444" i="2"/>
  <c r="AB444" i="2" s="1"/>
  <c r="Y444" i="2"/>
  <c r="Z444" i="2" s="1"/>
  <c r="U444" i="2"/>
  <c r="R444" i="2"/>
  <c r="P444" i="2"/>
  <c r="AA443" i="2"/>
  <c r="AB443" i="2" s="1"/>
  <c r="Y443" i="2"/>
  <c r="Z443" i="2" s="1"/>
  <c r="U443" i="2"/>
  <c r="R443" i="2"/>
  <c r="P443" i="2"/>
  <c r="AA442" i="2"/>
  <c r="AB442" i="2" s="1"/>
  <c r="Y442" i="2"/>
  <c r="Z442" i="2" s="1"/>
  <c r="U442" i="2"/>
  <c r="R442" i="2"/>
  <c r="P442" i="2"/>
  <c r="AA441" i="2"/>
  <c r="AB441" i="2" s="1"/>
  <c r="Y441" i="2"/>
  <c r="Z441" i="2" s="1"/>
  <c r="U441" i="2"/>
  <c r="R441" i="2"/>
  <c r="P441" i="2"/>
  <c r="AA440" i="2"/>
  <c r="AB440" i="2" s="1"/>
  <c r="Y440" i="2"/>
  <c r="Z440" i="2" s="1"/>
  <c r="U440" i="2"/>
  <c r="R440" i="2"/>
  <c r="P440" i="2"/>
  <c r="AA439" i="2"/>
  <c r="AB439" i="2" s="1"/>
  <c r="Y439" i="2"/>
  <c r="Z439" i="2" s="1"/>
  <c r="U439" i="2"/>
  <c r="R439" i="2"/>
  <c r="P439" i="2"/>
  <c r="AA438" i="2"/>
  <c r="AB438" i="2" s="1"/>
  <c r="Y438" i="2"/>
  <c r="Z438" i="2" s="1"/>
  <c r="U438" i="2"/>
  <c r="R438" i="2"/>
  <c r="P438" i="2"/>
  <c r="AA437" i="2"/>
  <c r="AB437" i="2" s="1"/>
  <c r="Y437" i="2"/>
  <c r="Z437" i="2" s="1"/>
  <c r="U437" i="2"/>
  <c r="R437" i="2"/>
  <c r="P437" i="2"/>
  <c r="AA436" i="2"/>
  <c r="AB436" i="2" s="1"/>
  <c r="Y436" i="2"/>
  <c r="Z436" i="2" s="1"/>
  <c r="U436" i="2"/>
  <c r="R436" i="2"/>
  <c r="P436" i="2"/>
  <c r="AA435" i="2"/>
  <c r="AB435" i="2" s="1"/>
  <c r="Y435" i="2"/>
  <c r="Z435" i="2" s="1"/>
  <c r="U435" i="2"/>
  <c r="R435" i="2"/>
  <c r="P435" i="2"/>
  <c r="AA434" i="2"/>
  <c r="AB434" i="2" s="1"/>
  <c r="Y434" i="2"/>
  <c r="Z434" i="2" s="1"/>
  <c r="U434" i="2"/>
  <c r="R434" i="2"/>
  <c r="P434" i="2"/>
  <c r="AA433" i="2"/>
  <c r="AB433" i="2" s="1"/>
  <c r="Y433" i="2"/>
  <c r="Z433" i="2" s="1"/>
  <c r="U433" i="2"/>
  <c r="R433" i="2"/>
  <c r="P433" i="2"/>
  <c r="AA432" i="2"/>
  <c r="AB432" i="2" s="1"/>
  <c r="Y432" i="2"/>
  <c r="Z432" i="2" s="1"/>
  <c r="U432" i="2"/>
  <c r="R432" i="2"/>
  <c r="P432" i="2"/>
  <c r="AA431" i="2"/>
  <c r="AB431" i="2" s="1"/>
  <c r="Y431" i="2"/>
  <c r="Z431" i="2" s="1"/>
  <c r="U431" i="2"/>
  <c r="R431" i="2"/>
  <c r="P431" i="2"/>
  <c r="AA430" i="2"/>
  <c r="AB430" i="2" s="1"/>
  <c r="Y430" i="2"/>
  <c r="Z430" i="2" s="1"/>
  <c r="U430" i="2"/>
  <c r="R430" i="2"/>
  <c r="P430" i="2"/>
  <c r="AA429" i="2"/>
  <c r="AB429" i="2" s="1"/>
  <c r="Y429" i="2"/>
  <c r="Z429" i="2" s="1"/>
  <c r="U429" i="2"/>
  <c r="R429" i="2"/>
  <c r="P429" i="2"/>
  <c r="AA428" i="2"/>
  <c r="AB428" i="2" s="1"/>
  <c r="Y428" i="2"/>
  <c r="Z428" i="2" s="1"/>
  <c r="U428" i="2"/>
  <c r="R428" i="2"/>
  <c r="P428" i="2"/>
  <c r="AA427" i="2"/>
  <c r="AB427" i="2" s="1"/>
  <c r="Y427" i="2"/>
  <c r="Z427" i="2" s="1"/>
  <c r="U427" i="2"/>
  <c r="R427" i="2"/>
  <c r="P427" i="2"/>
  <c r="AA426" i="2"/>
  <c r="AB426" i="2" s="1"/>
  <c r="Y426" i="2"/>
  <c r="Z426" i="2" s="1"/>
  <c r="U426" i="2"/>
  <c r="R426" i="2"/>
  <c r="P426" i="2"/>
  <c r="AA425" i="2"/>
  <c r="AB425" i="2" s="1"/>
  <c r="Y425" i="2"/>
  <c r="Z425" i="2" s="1"/>
  <c r="U425" i="2"/>
  <c r="R425" i="2"/>
  <c r="P425" i="2"/>
  <c r="AA424" i="2"/>
  <c r="AB424" i="2" s="1"/>
  <c r="Y424" i="2"/>
  <c r="Z424" i="2" s="1"/>
  <c r="U424" i="2"/>
  <c r="R424" i="2"/>
  <c r="P424" i="2"/>
  <c r="AA423" i="2"/>
  <c r="AB423" i="2" s="1"/>
  <c r="Y423" i="2"/>
  <c r="Z423" i="2" s="1"/>
  <c r="U423" i="2"/>
  <c r="R423" i="2"/>
  <c r="P423" i="2"/>
  <c r="AA422" i="2"/>
  <c r="AB422" i="2" s="1"/>
  <c r="Y422" i="2"/>
  <c r="Z422" i="2" s="1"/>
  <c r="U422" i="2"/>
  <c r="R422" i="2"/>
  <c r="P422" i="2"/>
  <c r="AA421" i="2"/>
  <c r="AB421" i="2" s="1"/>
  <c r="Y421" i="2"/>
  <c r="Z421" i="2" s="1"/>
  <c r="U421" i="2"/>
  <c r="R421" i="2"/>
  <c r="P421" i="2"/>
  <c r="AA420" i="2"/>
  <c r="AB420" i="2" s="1"/>
  <c r="Y420" i="2"/>
  <c r="Z420" i="2" s="1"/>
  <c r="U420" i="2"/>
  <c r="R420" i="2"/>
  <c r="P420" i="2"/>
  <c r="AA419" i="2"/>
  <c r="AB419" i="2" s="1"/>
  <c r="Y419" i="2"/>
  <c r="Z419" i="2" s="1"/>
  <c r="U419" i="2"/>
  <c r="R419" i="2"/>
  <c r="P419" i="2"/>
  <c r="AA418" i="2"/>
  <c r="AB418" i="2" s="1"/>
  <c r="Y418" i="2"/>
  <c r="Z418" i="2" s="1"/>
  <c r="U418" i="2"/>
  <c r="R418" i="2"/>
  <c r="P418" i="2"/>
  <c r="AA417" i="2"/>
  <c r="AB417" i="2" s="1"/>
  <c r="Y417" i="2"/>
  <c r="Z417" i="2" s="1"/>
  <c r="U417" i="2"/>
  <c r="R417" i="2"/>
  <c r="P417" i="2"/>
  <c r="AA416" i="2"/>
  <c r="AB416" i="2" s="1"/>
  <c r="Y416" i="2"/>
  <c r="Z416" i="2" s="1"/>
  <c r="U416" i="2"/>
  <c r="R416" i="2"/>
  <c r="P416" i="2"/>
  <c r="AA415" i="2"/>
  <c r="AB415" i="2" s="1"/>
  <c r="Y415" i="2"/>
  <c r="Z415" i="2" s="1"/>
  <c r="U415" i="2"/>
  <c r="R415" i="2"/>
  <c r="P415" i="2"/>
  <c r="AA414" i="2"/>
  <c r="AB414" i="2" s="1"/>
  <c r="Y414" i="2"/>
  <c r="Z414" i="2" s="1"/>
  <c r="U414" i="2"/>
  <c r="R414" i="2"/>
  <c r="P414" i="2"/>
  <c r="AA413" i="2"/>
  <c r="AB413" i="2" s="1"/>
  <c r="Y413" i="2"/>
  <c r="Z413" i="2" s="1"/>
  <c r="U413" i="2"/>
  <c r="R413" i="2"/>
  <c r="P413" i="2"/>
  <c r="AA412" i="2"/>
  <c r="AB412" i="2" s="1"/>
  <c r="Y412" i="2"/>
  <c r="Z412" i="2" s="1"/>
  <c r="U412" i="2"/>
  <c r="R412" i="2"/>
  <c r="P412" i="2"/>
  <c r="AA411" i="2"/>
  <c r="AB411" i="2" s="1"/>
  <c r="Y411" i="2"/>
  <c r="Z411" i="2" s="1"/>
  <c r="U411" i="2"/>
  <c r="R411" i="2"/>
  <c r="P411" i="2"/>
  <c r="AA410" i="2"/>
  <c r="AB410" i="2" s="1"/>
  <c r="Y410" i="2"/>
  <c r="Z410" i="2" s="1"/>
  <c r="U410" i="2"/>
  <c r="R410" i="2"/>
  <c r="P410" i="2"/>
  <c r="AA409" i="2"/>
  <c r="AB409" i="2" s="1"/>
  <c r="Y409" i="2"/>
  <c r="Z409" i="2" s="1"/>
  <c r="U409" i="2"/>
  <c r="R409" i="2"/>
  <c r="P409" i="2"/>
  <c r="AA408" i="2"/>
  <c r="AB408" i="2" s="1"/>
  <c r="Y408" i="2"/>
  <c r="Z408" i="2" s="1"/>
  <c r="U408" i="2"/>
  <c r="R408" i="2"/>
  <c r="P408" i="2"/>
  <c r="AA407" i="2"/>
  <c r="AB407" i="2" s="1"/>
  <c r="Y407" i="2"/>
  <c r="Z407" i="2" s="1"/>
  <c r="U407" i="2"/>
  <c r="R407" i="2"/>
  <c r="P407" i="2"/>
  <c r="AA406" i="2"/>
  <c r="AB406" i="2" s="1"/>
  <c r="Y406" i="2"/>
  <c r="Z406" i="2" s="1"/>
  <c r="U406" i="2"/>
  <c r="R406" i="2"/>
  <c r="P406" i="2"/>
  <c r="AA405" i="2"/>
  <c r="AB405" i="2" s="1"/>
  <c r="Y405" i="2"/>
  <c r="Z405" i="2" s="1"/>
  <c r="U405" i="2"/>
  <c r="R405" i="2"/>
  <c r="P405" i="2"/>
  <c r="AA404" i="2"/>
  <c r="AB404" i="2" s="1"/>
  <c r="Y404" i="2"/>
  <c r="Z404" i="2" s="1"/>
  <c r="U404" i="2"/>
  <c r="R404" i="2"/>
  <c r="P404" i="2"/>
  <c r="AA403" i="2"/>
  <c r="AB403" i="2" s="1"/>
  <c r="Y403" i="2"/>
  <c r="Z403" i="2" s="1"/>
  <c r="U403" i="2"/>
  <c r="R403" i="2"/>
  <c r="P403" i="2"/>
  <c r="AA402" i="2"/>
  <c r="AB402" i="2" s="1"/>
  <c r="Y402" i="2"/>
  <c r="Z402" i="2" s="1"/>
  <c r="U402" i="2"/>
  <c r="R402" i="2"/>
  <c r="P402" i="2"/>
  <c r="AA401" i="2"/>
  <c r="AB401" i="2" s="1"/>
  <c r="Y401" i="2"/>
  <c r="Z401" i="2" s="1"/>
  <c r="U401" i="2"/>
  <c r="R401" i="2"/>
  <c r="P401" i="2"/>
  <c r="AA400" i="2"/>
  <c r="AB400" i="2" s="1"/>
  <c r="Y400" i="2"/>
  <c r="Z400" i="2" s="1"/>
  <c r="U400" i="2"/>
  <c r="R400" i="2"/>
  <c r="P400" i="2"/>
  <c r="AA399" i="2"/>
  <c r="AB399" i="2" s="1"/>
  <c r="Y399" i="2"/>
  <c r="Z399" i="2" s="1"/>
  <c r="U399" i="2"/>
  <c r="R399" i="2"/>
  <c r="P399" i="2"/>
  <c r="AA398" i="2"/>
  <c r="AB398" i="2" s="1"/>
  <c r="Y398" i="2"/>
  <c r="Z398" i="2" s="1"/>
  <c r="U398" i="2"/>
  <c r="R398" i="2"/>
  <c r="P398" i="2"/>
  <c r="AA397" i="2"/>
  <c r="AB397" i="2" s="1"/>
  <c r="Y397" i="2"/>
  <c r="Z397" i="2" s="1"/>
  <c r="U397" i="2"/>
  <c r="R397" i="2"/>
  <c r="P397" i="2"/>
  <c r="AA396" i="2"/>
  <c r="AB396" i="2" s="1"/>
  <c r="Y396" i="2"/>
  <c r="Z396" i="2" s="1"/>
  <c r="U396" i="2"/>
  <c r="R396" i="2"/>
  <c r="P396" i="2"/>
  <c r="AA395" i="2"/>
  <c r="AB395" i="2" s="1"/>
  <c r="Y395" i="2"/>
  <c r="Z395" i="2" s="1"/>
  <c r="U395" i="2"/>
  <c r="R395" i="2"/>
  <c r="P395" i="2"/>
  <c r="AA394" i="2"/>
  <c r="AB394" i="2" s="1"/>
  <c r="Y394" i="2"/>
  <c r="Z394" i="2" s="1"/>
  <c r="U394" i="2"/>
  <c r="R394" i="2"/>
  <c r="P394" i="2"/>
  <c r="AA393" i="2"/>
  <c r="AB393" i="2" s="1"/>
  <c r="Y393" i="2"/>
  <c r="Z393" i="2" s="1"/>
  <c r="U393" i="2"/>
  <c r="R393" i="2"/>
  <c r="P393" i="2"/>
  <c r="AA392" i="2"/>
  <c r="AB392" i="2" s="1"/>
  <c r="Y392" i="2"/>
  <c r="Z392" i="2" s="1"/>
  <c r="U392" i="2"/>
  <c r="R392" i="2"/>
  <c r="P392" i="2"/>
  <c r="AA391" i="2"/>
  <c r="AB391" i="2" s="1"/>
  <c r="Y391" i="2"/>
  <c r="Z391" i="2" s="1"/>
  <c r="U391" i="2"/>
  <c r="R391" i="2"/>
  <c r="P391" i="2"/>
  <c r="AA390" i="2"/>
  <c r="AB390" i="2" s="1"/>
  <c r="Y390" i="2"/>
  <c r="Z390" i="2" s="1"/>
  <c r="U390" i="2"/>
  <c r="R390" i="2"/>
  <c r="P390" i="2"/>
  <c r="AA389" i="2"/>
  <c r="AB389" i="2" s="1"/>
  <c r="Y389" i="2"/>
  <c r="Z389" i="2" s="1"/>
  <c r="U389" i="2"/>
  <c r="R389" i="2"/>
  <c r="P389" i="2"/>
  <c r="AA388" i="2"/>
  <c r="AB388" i="2" s="1"/>
  <c r="Y388" i="2"/>
  <c r="Z388" i="2" s="1"/>
  <c r="U388" i="2"/>
  <c r="R388" i="2"/>
  <c r="P388" i="2"/>
  <c r="AA387" i="2"/>
  <c r="AB387" i="2" s="1"/>
  <c r="Y387" i="2"/>
  <c r="Z387" i="2" s="1"/>
  <c r="U387" i="2"/>
  <c r="R387" i="2"/>
  <c r="P387" i="2"/>
  <c r="AA386" i="2"/>
  <c r="AB386" i="2" s="1"/>
  <c r="Y386" i="2"/>
  <c r="Z386" i="2" s="1"/>
  <c r="U386" i="2"/>
  <c r="R386" i="2"/>
  <c r="P386" i="2"/>
  <c r="AA385" i="2"/>
  <c r="AB385" i="2" s="1"/>
  <c r="Y385" i="2"/>
  <c r="Z385" i="2" s="1"/>
  <c r="U385" i="2"/>
  <c r="R385" i="2"/>
  <c r="P385" i="2"/>
  <c r="AA384" i="2"/>
  <c r="AB384" i="2" s="1"/>
  <c r="Y384" i="2"/>
  <c r="Z384" i="2" s="1"/>
  <c r="U384" i="2"/>
  <c r="R384" i="2"/>
  <c r="P384" i="2"/>
  <c r="AA383" i="2"/>
  <c r="AB383" i="2" s="1"/>
  <c r="Y383" i="2"/>
  <c r="Z383" i="2" s="1"/>
  <c r="U383" i="2"/>
  <c r="R383" i="2"/>
  <c r="P383" i="2"/>
  <c r="AA382" i="2"/>
  <c r="AB382" i="2" s="1"/>
  <c r="Y382" i="2"/>
  <c r="Z382" i="2" s="1"/>
  <c r="U382" i="2"/>
  <c r="R382" i="2"/>
  <c r="P382" i="2"/>
  <c r="AA381" i="2"/>
  <c r="AB381" i="2" s="1"/>
  <c r="Y381" i="2"/>
  <c r="Z381" i="2" s="1"/>
  <c r="U381" i="2"/>
  <c r="R381" i="2"/>
  <c r="P381" i="2"/>
  <c r="AA380" i="2"/>
  <c r="AB380" i="2" s="1"/>
  <c r="Y380" i="2"/>
  <c r="Z380" i="2" s="1"/>
  <c r="U380" i="2"/>
  <c r="R380" i="2"/>
  <c r="P380" i="2"/>
  <c r="AA379" i="2"/>
  <c r="AB379" i="2" s="1"/>
  <c r="Y379" i="2"/>
  <c r="Z379" i="2" s="1"/>
  <c r="U379" i="2"/>
  <c r="R379" i="2"/>
  <c r="P379" i="2"/>
  <c r="AA378" i="2"/>
  <c r="AB378" i="2" s="1"/>
  <c r="Y378" i="2"/>
  <c r="Z378" i="2" s="1"/>
  <c r="U378" i="2"/>
  <c r="R378" i="2"/>
  <c r="P378" i="2"/>
  <c r="AA377" i="2"/>
  <c r="AB377" i="2" s="1"/>
  <c r="Y377" i="2"/>
  <c r="Z377" i="2" s="1"/>
  <c r="U377" i="2"/>
  <c r="R377" i="2"/>
  <c r="P377" i="2"/>
  <c r="AA376" i="2"/>
  <c r="AB376" i="2" s="1"/>
  <c r="Y376" i="2"/>
  <c r="Z376" i="2" s="1"/>
  <c r="U376" i="2"/>
  <c r="R376" i="2"/>
  <c r="P376" i="2"/>
  <c r="AA375" i="2"/>
  <c r="AB375" i="2" s="1"/>
  <c r="Y375" i="2"/>
  <c r="Z375" i="2" s="1"/>
  <c r="U375" i="2"/>
  <c r="R375" i="2"/>
  <c r="P375" i="2"/>
  <c r="AA374" i="2"/>
  <c r="AB374" i="2" s="1"/>
  <c r="Y374" i="2"/>
  <c r="Z374" i="2" s="1"/>
  <c r="U374" i="2"/>
  <c r="R374" i="2"/>
  <c r="P374" i="2"/>
  <c r="AA373" i="2"/>
  <c r="AB373" i="2" s="1"/>
  <c r="Y373" i="2"/>
  <c r="Z373" i="2" s="1"/>
  <c r="U373" i="2"/>
  <c r="R373" i="2"/>
  <c r="P373" i="2"/>
  <c r="AA372" i="2"/>
  <c r="AB372" i="2" s="1"/>
  <c r="Y372" i="2"/>
  <c r="Z372" i="2" s="1"/>
  <c r="U372" i="2"/>
  <c r="R372" i="2"/>
  <c r="P372" i="2"/>
  <c r="AA371" i="2"/>
  <c r="AB371" i="2" s="1"/>
  <c r="Y371" i="2"/>
  <c r="Z371" i="2" s="1"/>
  <c r="U371" i="2"/>
  <c r="R371" i="2"/>
  <c r="P371" i="2"/>
  <c r="AA370" i="2"/>
  <c r="AB370" i="2" s="1"/>
  <c r="Y370" i="2"/>
  <c r="Z370" i="2" s="1"/>
  <c r="U370" i="2"/>
  <c r="R370" i="2"/>
  <c r="P370" i="2"/>
  <c r="AA369" i="2"/>
  <c r="AB369" i="2" s="1"/>
  <c r="Y369" i="2"/>
  <c r="Z369" i="2" s="1"/>
  <c r="U369" i="2"/>
  <c r="R369" i="2"/>
  <c r="P369" i="2"/>
  <c r="AA368" i="2"/>
  <c r="AB368" i="2" s="1"/>
  <c r="Y368" i="2"/>
  <c r="Z368" i="2" s="1"/>
  <c r="U368" i="2"/>
  <c r="R368" i="2"/>
  <c r="P368" i="2"/>
  <c r="AA367" i="2"/>
  <c r="AB367" i="2" s="1"/>
  <c r="Y367" i="2"/>
  <c r="Z367" i="2" s="1"/>
  <c r="U367" i="2"/>
  <c r="R367" i="2"/>
  <c r="P367" i="2"/>
  <c r="AA366" i="2"/>
  <c r="AB366" i="2" s="1"/>
  <c r="Y366" i="2"/>
  <c r="Z366" i="2" s="1"/>
  <c r="U366" i="2"/>
  <c r="R366" i="2"/>
  <c r="P366" i="2"/>
  <c r="AA365" i="2"/>
  <c r="AB365" i="2" s="1"/>
  <c r="Y365" i="2"/>
  <c r="Z365" i="2" s="1"/>
  <c r="U365" i="2"/>
  <c r="R365" i="2"/>
  <c r="P365" i="2"/>
  <c r="AA364" i="2"/>
  <c r="AB364" i="2" s="1"/>
  <c r="Y364" i="2"/>
  <c r="Z364" i="2" s="1"/>
  <c r="U364" i="2"/>
  <c r="R364" i="2"/>
  <c r="P364" i="2"/>
  <c r="AA363" i="2"/>
  <c r="AB363" i="2" s="1"/>
  <c r="Y363" i="2"/>
  <c r="Z363" i="2" s="1"/>
  <c r="U363" i="2"/>
  <c r="R363" i="2"/>
  <c r="P363" i="2"/>
  <c r="AA362" i="2"/>
  <c r="AB362" i="2" s="1"/>
  <c r="Y362" i="2"/>
  <c r="Z362" i="2" s="1"/>
  <c r="U362" i="2"/>
  <c r="R362" i="2"/>
  <c r="P362" i="2"/>
  <c r="AA361" i="2"/>
  <c r="AB361" i="2" s="1"/>
  <c r="Y361" i="2"/>
  <c r="Z361" i="2" s="1"/>
  <c r="U361" i="2"/>
  <c r="R361" i="2"/>
  <c r="P361" i="2"/>
  <c r="AA360" i="2"/>
  <c r="AB360" i="2" s="1"/>
  <c r="Y360" i="2"/>
  <c r="Z360" i="2" s="1"/>
  <c r="U360" i="2"/>
  <c r="R360" i="2"/>
  <c r="P360" i="2"/>
  <c r="AA359" i="2"/>
  <c r="AB359" i="2" s="1"/>
  <c r="Y359" i="2"/>
  <c r="Z359" i="2" s="1"/>
  <c r="U359" i="2"/>
  <c r="R359" i="2"/>
  <c r="P359" i="2"/>
  <c r="AA358" i="2"/>
  <c r="AB358" i="2" s="1"/>
  <c r="Y358" i="2"/>
  <c r="Z358" i="2" s="1"/>
  <c r="U358" i="2"/>
  <c r="R358" i="2"/>
  <c r="P358" i="2"/>
  <c r="AA357" i="2"/>
  <c r="AB357" i="2" s="1"/>
  <c r="Y357" i="2"/>
  <c r="Z357" i="2" s="1"/>
  <c r="U357" i="2"/>
  <c r="R357" i="2"/>
  <c r="P357" i="2"/>
  <c r="AA356" i="2"/>
  <c r="AB356" i="2" s="1"/>
  <c r="Y356" i="2"/>
  <c r="Z356" i="2" s="1"/>
  <c r="U356" i="2"/>
  <c r="R356" i="2"/>
  <c r="P356" i="2"/>
  <c r="AA355" i="2"/>
  <c r="AB355" i="2" s="1"/>
  <c r="Y355" i="2"/>
  <c r="Z355" i="2" s="1"/>
  <c r="U355" i="2"/>
  <c r="R355" i="2"/>
  <c r="P355" i="2"/>
  <c r="AA354" i="2"/>
  <c r="AB354" i="2" s="1"/>
  <c r="Y354" i="2"/>
  <c r="Z354" i="2" s="1"/>
  <c r="U354" i="2"/>
  <c r="R354" i="2"/>
  <c r="P354" i="2"/>
  <c r="AA353" i="2"/>
  <c r="AB353" i="2" s="1"/>
  <c r="Y353" i="2"/>
  <c r="Z353" i="2" s="1"/>
  <c r="U353" i="2"/>
  <c r="R353" i="2"/>
  <c r="P353" i="2"/>
  <c r="AA352" i="2"/>
  <c r="AB352" i="2" s="1"/>
  <c r="Y352" i="2"/>
  <c r="Z352" i="2" s="1"/>
  <c r="U352" i="2"/>
  <c r="R352" i="2"/>
  <c r="P352" i="2"/>
  <c r="AA351" i="2"/>
  <c r="AB351" i="2" s="1"/>
  <c r="Y351" i="2"/>
  <c r="Z351" i="2" s="1"/>
  <c r="U351" i="2"/>
  <c r="R351" i="2"/>
  <c r="P351" i="2"/>
  <c r="AA350" i="2"/>
  <c r="AB350" i="2" s="1"/>
  <c r="Y350" i="2"/>
  <c r="Z350" i="2" s="1"/>
  <c r="U350" i="2"/>
  <c r="R350" i="2"/>
  <c r="P350" i="2"/>
  <c r="AA349" i="2"/>
  <c r="AB349" i="2" s="1"/>
  <c r="Y349" i="2"/>
  <c r="Z349" i="2" s="1"/>
  <c r="U349" i="2"/>
  <c r="R349" i="2"/>
  <c r="P349" i="2"/>
  <c r="AA348" i="2"/>
  <c r="AB348" i="2" s="1"/>
  <c r="Y348" i="2"/>
  <c r="Z348" i="2" s="1"/>
  <c r="U348" i="2"/>
  <c r="R348" i="2"/>
  <c r="P348" i="2"/>
  <c r="AA347" i="2"/>
  <c r="AB347" i="2" s="1"/>
  <c r="Y347" i="2"/>
  <c r="Z347" i="2" s="1"/>
  <c r="U347" i="2"/>
  <c r="R347" i="2"/>
  <c r="P347" i="2"/>
  <c r="AA346" i="2"/>
  <c r="AB346" i="2" s="1"/>
  <c r="Y346" i="2"/>
  <c r="Z346" i="2" s="1"/>
  <c r="U346" i="2"/>
  <c r="R346" i="2"/>
  <c r="P346" i="2"/>
  <c r="AA345" i="2"/>
  <c r="AB345" i="2" s="1"/>
  <c r="Y345" i="2"/>
  <c r="Z345" i="2" s="1"/>
  <c r="U345" i="2"/>
  <c r="R345" i="2"/>
  <c r="P345" i="2"/>
  <c r="AA344" i="2"/>
  <c r="AB344" i="2" s="1"/>
  <c r="Y344" i="2"/>
  <c r="Z344" i="2" s="1"/>
  <c r="U344" i="2"/>
  <c r="R344" i="2"/>
  <c r="P344" i="2"/>
  <c r="AA343" i="2"/>
  <c r="AB343" i="2" s="1"/>
  <c r="Y343" i="2"/>
  <c r="Z343" i="2" s="1"/>
  <c r="U343" i="2"/>
  <c r="R343" i="2"/>
  <c r="P343" i="2"/>
  <c r="AA342" i="2"/>
  <c r="AB342" i="2" s="1"/>
  <c r="Y342" i="2"/>
  <c r="Z342" i="2" s="1"/>
  <c r="U342" i="2"/>
  <c r="R342" i="2"/>
  <c r="P342" i="2"/>
  <c r="AA341" i="2"/>
  <c r="AB341" i="2" s="1"/>
  <c r="Y341" i="2"/>
  <c r="Z341" i="2" s="1"/>
  <c r="U341" i="2"/>
  <c r="R341" i="2"/>
  <c r="P341" i="2"/>
  <c r="AA340" i="2"/>
  <c r="AB340" i="2" s="1"/>
  <c r="Y340" i="2"/>
  <c r="Z340" i="2" s="1"/>
  <c r="U340" i="2"/>
  <c r="R340" i="2"/>
  <c r="P340" i="2"/>
  <c r="AA339" i="2"/>
  <c r="AB339" i="2" s="1"/>
  <c r="Y339" i="2"/>
  <c r="Z339" i="2" s="1"/>
  <c r="U339" i="2"/>
  <c r="R339" i="2"/>
  <c r="P339" i="2"/>
  <c r="AA338" i="2"/>
  <c r="AB338" i="2" s="1"/>
  <c r="Y338" i="2"/>
  <c r="Z338" i="2" s="1"/>
  <c r="U338" i="2"/>
  <c r="R338" i="2"/>
  <c r="P338" i="2"/>
  <c r="AA337" i="2"/>
  <c r="AB337" i="2" s="1"/>
  <c r="Y337" i="2"/>
  <c r="Z337" i="2" s="1"/>
  <c r="U337" i="2"/>
  <c r="R337" i="2"/>
  <c r="P337" i="2"/>
  <c r="AA336" i="2"/>
  <c r="AB336" i="2" s="1"/>
  <c r="Y336" i="2"/>
  <c r="Z336" i="2" s="1"/>
  <c r="U336" i="2"/>
  <c r="R336" i="2"/>
  <c r="P336" i="2"/>
  <c r="AA335" i="2"/>
  <c r="AB335" i="2" s="1"/>
  <c r="Y335" i="2"/>
  <c r="Z335" i="2" s="1"/>
  <c r="U335" i="2"/>
  <c r="R335" i="2"/>
  <c r="P335" i="2"/>
  <c r="AA334" i="2"/>
  <c r="AB334" i="2" s="1"/>
  <c r="Y334" i="2"/>
  <c r="Z334" i="2" s="1"/>
  <c r="U334" i="2"/>
  <c r="R334" i="2"/>
  <c r="P334" i="2"/>
  <c r="AA333" i="2"/>
  <c r="AB333" i="2" s="1"/>
  <c r="Y333" i="2"/>
  <c r="Z333" i="2" s="1"/>
  <c r="U333" i="2"/>
  <c r="R333" i="2"/>
  <c r="P333" i="2"/>
  <c r="AA332" i="2"/>
  <c r="AB332" i="2" s="1"/>
  <c r="Y332" i="2"/>
  <c r="Z332" i="2" s="1"/>
  <c r="U332" i="2"/>
  <c r="R332" i="2"/>
  <c r="P332" i="2"/>
  <c r="AA331" i="2"/>
  <c r="AB331" i="2" s="1"/>
  <c r="Y331" i="2"/>
  <c r="Z331" i="2" s="1"/>
  <c r="U331" i="2"/>
  <c r="R331" i="2"/>
  <c r="P331" i="2"/>
  <c r="AA330" i="2"/>
  <c r="AB330" i="2" s="1"/>
  <c r="Y330" i="2"/>
  <c r="Z330" i="2" s="1"/>
  <c r="U330" i="2"/>
  <c r="R330" i="2"/>
  <c r="P330" i="2"/>
  <c r="AA329" i="2"/>
  <c r="AB329" i="2" s="1"/>
  <c r="Y329" i="2"/>
  <c r="Z329" i="2" s="1"/>
  <c r="U329" i="2"/>
  <c r="R329" i="2"/>
  <c r="P329" i="2"/>
  <c r="AA328" i="2"/>
  <c r="AB328" i="2" s="1"/>
  <c r="Y328" i="2"/>
  <c r="Z328" i="2" s="1"/>
  <c r="U328" i="2"/>
  <c r="R328" i="2"/>
  <c r="P328" i="2"/>
  <c r="AA327" i="2"/>
  <c r="AB327" i="2" s="1"/>
  <c r="Y327" i="2"/>
  <c r="Z327" i="2" s="1"/>
  <c r="U327" i="2"/>
  <c r="R327" i="2"/>
  <c r="P327" i="2"/>
  <c r="AA326" i="2"/>
  <c r="AB326" i="2" s="1"/>
  <c r="Y326" i="2"/>
  <c r="Z326" i="2" s="1"/>
  <c r="U326" i="2"/>
  <c r="R326" i="2"/>
  <c r="P326" i="2"/>
  <c r="AA325" i="2"/>
  <c r="AB325" i="2" s="1"/>
  <c r="Y325" i="2"/>
  <c r="Z325" i="2" s="1"/>
  <c r="U325" i="2"/>
  <c r="R325" i="2"/>
  <c r="P325" i="2"/>
  <c r="AA324" i="2"/>
  <c r="AB324" i="2" s="1"/>
  <c r="Y324" i="2"/>
  <c r="Z324" i="2" s="1"/>
  <c r="U324" i="2"/>
  <c r="R324" i="2"/>
  <c r="P324" i="2"/>
  <c r="AA323" i="2"/>
  <c r="AB323" i="2" s="1"/>
  <c r="Y323" i="2"/>
  <c r="Z323" i="2" s="1"/>
  <c r="U323" i="2"/>
  <c r="R323" i="2"/>
  <c r="P323" i="2"/>
  <c r="AA322" i="2"/>
  <c r="AB322" i="2" s="1"/>
  <c r="Y322" i="2"/>
  <c r="Z322" i="2" s="1"/>
  <c r="U322" i="2"/>
  <c r="R322" i="2"/>
  <c r="P322" i="2"/>
  <c r="AA321" i="2"/>
  <c r="AB321" i="2" s="1"/>
  <c r="Y321" i="2"/>
  <c r="Z321" i="2" s="1"/>
  <c r="U321" i="2"/>
  <c r="R321" i="2"/>
  <c r="P321" i="2"/>
  <c r="AA320" i="2"/>
  <c r="AB320" i="2" s="1"/>
  <c r="Y320" i="2"/>
  <c r="Z320" i="2" s="1"/>
  <c r="U320" i="2"/>
  <c r="R320" i="2"/>
  <c r="P320" i="2"/>
  <c r="AA319" i="2"/>
  <c r="AB319" i="2" s="1"/>
  <c r="Y319" i="2"/>
  <c r="Z319" i="2" s="1"/>
  <c r="U319" i="2"/>
  <c r="R319" i="2"/>
  <c r="P319" i="2"/>
  <c r="AA318" i="2"/>
  <c r="AB318" i="2" s="1"/>
  <c r="Y318" i="2"/>
  <c r="Z318" i="2" s="1"/>
  <c r="U318" i="2"/>
  <c r="R318" i="2"/>
  <c r="P318" i="2"/>
  <c r="AA317" i="2"/>
  <c r="AB317" i="2" s="1"/>
  <c r="Y317" i="2"/>
  <c r="Z317" i="2" s="1"/>
  <c r="U317" i="2"/>
  <c r="R317" i="2"/>
  <c r="P317" i="2"/>
  <c r="AA316" i="2"/>
  <c r="AB316" i="2" s="1"/>
  <c r="Y316" i="2"/>
  <c r="Z316" i="2" s="1"/>
  <c r="U316" i="2"/>
  <c r="R316" i="2"/>
  <c r="P316" i="2"/>
  <c r="AA315" i="2"/>
  <c r="AB315" i="2" s="1"/>
  <c r="Y315" i="2"/>
  <c r="Z315" i="2" s="1"/>
  <c r="U315" i="2"/>
  <c r="R315" i="2"/>
  <c r="P315" i="2"/>
  <c r="AA314" i="2"/>
  <c r="AB314" i="2" s="1"/>
  <c r="Y314" i="2"/>
  <c r="Z314" i="2" s="1"/>
  <c r="U314" i="2"/>
  <c r="R314" i="2"/>
  <c r="P314" i="2"/>
  <c r="AA313" i="2"/>
  <c r="AB313" i="2" s="1"/>
  <c r="Y313" i="2"/>
  <c r="Z313" i="2" s="1"/>
  <c r="U313" i="2"/>
  <c r="R313" i="2"/>
  <c r="P313" i="2"/>
  <c r="AA312" i="2"/>
  <c r="AB312" i="2" s="1"/>
  <c r="Y312" i="2"/>
  <c r="Z312" i="2" s="1"/>
  <c r="U312" i="2"/>
  <c r="R312" i="2"/>
  <c r="P312" i="2"/>
  <c r="AA311" i="2"/>
  <c r="AB311" i="2" s="1"/>
  <c r="Y311" i="2"/>
  <c r="Z311" i="2" s="1"/>
  <c r="U311" i="2"/>
  <c r="R311" i="2"/>
  <c r="P311" i="2"/>
  <c r="AA310" i="2"/>
  <c r="AB310" i="2" s="1"/>
  <c r="Y310" i="2"/>
  <c r="Z310" i="2" s="1"/>
  <c r="U310" i="2"/>
  <c r="R310" i="2"/>
  <c r="P310" i="2"/>
  <c r="AA309" i="2"/>
  <c r="AB309" i="2" s="1"/>
  <c r="Y309" i="2"/>
  <c r="Z309" i="2" s="1"/>
  <c r="U309" i="2"/>
  <c r="R309" i="2"/>
  <c r="P309" i="2"/>
  <c r="AA308" i="2"/>
  <c r="AB308" i="2" s="1"/>
  <c r="Y308" i="2"/>
  <c r="Z308" i="2" s="1"/>
  <c r="U308" i="2"/>
  <c r="R308" i="2"/>
  <c r="P308" i="2"/>
  <c r="AA307" i="2"/>
  <c r="AB307" i="2" s="1"/>
  <c r="Y307" i="2"/>
  <c r="Z307" i="2" s="1"/>
  <c r="U307" i="2"/>
  <c r="R307" i="2"/>
  <c r="P307" i="2"/>
  <c r="AA306" i="2"/>
  <c r="AB306" i="2" s="1"/>
  <c r="Y306" i="2"/>
  <c r="Z306" i="2" s="1"/>
  <c r="U306" i="2"/>
  <c r="R306" i="2"/>
  <c r="P306" i="2"/>
  <c r="AA305" i="2"/>
  <c r="AB305" i="2" s="1"/>
  <c r="Y305" i="2"/>
  <c r="Z305" i="2" s="1"/>
  <c r="U305" i="2"/>
  <c r="R305" i="2"/>
  <c r="P305" i="2"/>
  <c r="AA304" i="2"/>
  <c r="AB304" i="2" s="1"/>
  <c r="Y304" i="2"/>
  <c r="Z304" i="2" s="1"/>
  <c r="U304" i="2"/>
  <c r="R304" i="2"/>
  <c r="P304" i="2"/>
  <c r="AA303" i="2"/>
  <c r="AB303" i="2" s="1"/>
  <c r="Y303" i="2"/>
  <c r="Z303" i="2" s="1"/>
  <c r="U303" i="2"/>
  <c r="R303" i="2"/>
  <c r="P303" i="2"/>
  <c r="AA302" i="2"/>
  <c r="AB302" i="2" s="1"/>
  <c r="Y302" i="2"/>
  <c r="Z302" i="2" s="1"/>
  <c r="U302" i="2"/>
  <c r="R302" i="2"/>
  <c r="P302" i="2"/>
  <c r="AA301" i="2"/>
  <c r="AB301" i="2" s="1"/>
  <c r="Y301" i="2"/>
  <c r="Z301" i="2" s="1"/>
  <c r="U301" i="2"/>
  <c r="R301" i="2"/>
  <c r="P301" i="2"/>
  <c r="AA300" i="2"/>
  <c r="AB300" i="2" s="1"/>
  <c r="Y300" i="2"/>
  <c r="Z300" i="2" s="1"/>
  <c r="U300" i="2"/>
  <c r="R300" i="2"/>
  <c r="P300" i="2"/>
  <c r="AA299" i="2"/>
  <c r="AB299" i="2" s="1"/>
  <c r="Y299" i="2"/>
  <c r="Z299" i="2" s="1"/>
  <c r="U299" i="2"/>
  <c r="R299" i="2"/>
  <c r="P299" i="2"/>
  <c r="AA298" i="2"/>
  <c r="AB298" i="2" s="1"/>
  <c r="Y298" i="2"/>
  <c r="Z298" i="2" s="1"/>
  <c r="U298" i="2"/>
  <c r="R298" i="2"/>
  <c r="P298" i="2"/>
  <c r="AA297" i="2"/>
  <c r="AB297" i="2" s="1"/>
  <c r="Y297" i="2"/>
  <c r="Z297" i="2" s="1"/>
  <c r="U297" i="2"/>
  <c r="R297" i="2"/>
  <c r="P297" i="2"/>
  <c r="AA296" i="2"/>
  <c r="AB296" i="2" s="1"/>
  <c r="Y296" i="2"/>
  <c r="Z296" i="2" s="1"/>
  <c r="U296" i="2"/>
  <c r="R296" i="2"/>
  <c r="P296" i="2"/>
  <c r="AA295" i="2"/>
  <c r="AB295" i="2" s="1"/>
  <c r="Y295" i="2"/>
  <c r="Z295" i="2" s="1"/>
  <c r="U295" i="2"/>
  <c r="R295" i="2"/>
  <c r="P295" i="2"/>
  <c r="AA294" i="2"/>
  <c r="AB294" i="2" s="1"/>
  <c r="Y294" i="2"/>
  <c r="Z294" i="2" s="1"/>
  <c r="U294" i="2"/>
  <c r="R294" i="2"/>
  <c r="P294" i="2"/>
  <c r="AA293" i="2"/>
  <c r="AB293" i="2" s="1"/>
  <c r="Y293" i="2"/>
  <c r="Z293" i="2" s="1"/>
  <c r="U293" i="2"/>
  <c r="R293" i="2"/>
  <c r="P293" i="2"/>
  <c r="AA292" i="2"/>
  <c r="AB292" i="2" s="1"/>
  <c r="Y292" i="2"/>
  <c r="Z292" i="2" s="1"/>
  <c r="U292" i="2"/>
  <c r="R292" i="2"/>
  <c r="P292" i="2"/>
  <c r="AA291" i="2"/>
  <c r="AB291" i="2" s="1"/>
  <c r="Y291" i="2"/>
  <c r="Z291" i="2" s="1"/>
  <c r="U291" i="2"/>
  <c r="R291" i="2"/>
  <c r="P291" i="2"/>
  <c r="AA290" i="2"/>
  <c r="AB290" i="2" s="1"/>
  <c r="Y290" i="2"/>
  <c r="Z290" i="2" s="1"/>
  <c r="U290" i="2"/>
  <c r="R290" i="2"/>
  <c r="P290" i="2"/>
  <c r="AA289" i="2"/>
  <c r="AB289" i="2" s="1"/>
  <c r="Y289" i="2"/>
  <c r="Z289" i="2" s="1"/>
  <c r="U289" i="2"/>
  <c r="R289" i="2"/>
  <c r="P289" i="2"/>
  <c r="AA288" i="2"/>
  <c r="AB288" i="2" s="1"/>
  <c r="Y288" i="2"/>
  <c r="Z288" i="2" s="1"/>
  <c r="U288" i="2"/>
  <c r="R288" i="2"/>
  <c r="P288" i="2"/>
  <c r="AA287" i="2"/>
  <c r="AB287" i="2" s="1"/>
  <c r="Y287" i="2"/>
  <c r="Z287" i="2" s="1"/>
  <c r="U287" i="2"/>
  <c r="R287" i="2"/>
  <c r="P287" i="2"/>
  <c r="AA286" i="2"/>
  <c r="AB286" i="2" s="1"/>
  <c r="Y286" i="2"/>
  <c r="Z286" i="2" s="1"/>
  <c r="U286" i="2"/>
  <c r="R286" i="2"/>
  <c r="P286" i="2"/>
  <c r="AA285" i="2"/>
  <c r="AB285" i="2" s="1"/>
  <c r="Y285" i="2"/>
  <c r="Z285" i="2" s="1"/>
  <c r="U285" i="2"/>
  <c r="R285" i="2"/>
  <c r="P285" i="2"/>
  <c r="AA284" i="2"/>
  <c r="AB284" i="2" s="1"/>
  <c r="Y284" i="2"/>
  <c r="Z284" i="2" s="1"/>
  <c r="U284" i="2"/>
  <c r="R284" i="2"/>
  <c r="P284" i="2"/>
  <c r="AA283" i="2"/>
  <c r="AB283" i="2" s="1"/>
  <c r="Y283" i="2"/>
  <c r="Z283" i="2" s="1"/>
  <c r="U283" i="2"/>
  <c r="R283" i="2"/>
  <c r="P283" i="2"/>
  <c r="AA282" i="2"/>
  <c r="AB282" i="2" s="1"/>
  <c r="Y282" i="2"/>
  <c r="Z282" i="2" s="1"/>
  <c r="U282" i="2"/>
  <c r="R282" i="2"/>
  <c r="P282" i="2"/>
  <c r="AA281" i="2"/>
  <c r="AB281" i="2" s="1"/>
  <c r="Y281" i="2"/>
  <c r="Z281" i="2" s="1"/>
  <c r="U281" i="2"/>
  <c r="R281" i="2"/>
  <c r="P281" i="2"/>
  <c r="AA280" i="2"/>
  <c r="AB280" i="2" s="1"/>
  <c r="Y280" i="2"/>
  <c r="Z280" i="2" s="1"/>
  <c r="U280" i="2"/>
  <c r="R280" i="2"/>
  <c r="P280" i="2"/>
  <c r="AA279" i="2"/>
  <c r="AB279" i="2" s="1"/>
  <c r="Y279" i="2"/>
  <c r="Z279" i="2" s="1"/>
  <c r="U279" i="2"/>
  <c r="R279" i="2"/>
  <c r="P279" i="2"/>
  <c r="AA278" i="2"/>
  <c r="AB278" i="2" s="1"/>
  <c r="Y278" i="2"/>
  <c r="Z278" i="2" s="1"/>
  <c r="U278" i="2"/>
  <c r="R278" i="2"/>
  <c r="P278" i="2"/>
  <c r="AA277" i="2"/>
  <c r="AB277" i="2" s="1"/>
  <c r="Y277" i="2"/>
  <c r="Z277" i="2" s="1"/>
  <c r="U277" i="2"/>
  <c r="R277" i="2"/>
  <c r="P277" i="2"/>
  <c r="AA276" i="2"/>
  <c r="AB276" i="2" s="1"/>
  <c r="Y276" i="2"/>
  <c r="Z276" i="2" s="1"/>
  <c r="U276" i="2"/>
  <c r="R276" i="2"/>
  <c r="P276" i="2"/>
  <c r="AA275" i="2"/>
  <c r="AB275" i="2" s="1"/>
  <c r="Y275" i="2"/>
  <c r="Z275" i="2" s="1"/>
  <c r="U275" i="2"/>
  <c r="R275" i="2"/>
  <c r="P275" i="2"/>
  <c r="AA274" i="2"/>
  <c r="AB274" i="2" s="1"/>
  <c r="Y274" i="2"/>
  <c r="Z274" i="2" s="1"/>
  <c r="U274" i="2"/>
  <c r="R274" i="2"/>
  <c r="P274" i="2"/>
  <c r="AA273" i="2"/>
  <c r="AB273" i="2" s="1"/>
  <c r="Y273" i="2"/>
  <c r="Z273" i="2" s="1"/>
  <c r="U273" i="2"/>
  <c r="R273" i="2"/>
  <c r="P273" i="2"/>
  <c r="AA272" i="2"/>
  <c r="AB272" i="2" s="1"/>
  <c r="Y272" i="2"/>
  <c r="Z272" i="2" s="1"/>
  <c r="U272" i="2"/>
  <c r="R272" i="2"/>
  <c r="P272" i="2"/>
  <c r="AA271" i="2"/>
  <c r="AB271" i="2" s="1"/>
  <c r="Y271" i="2"/>
  <c r="Z271" i="2" s="1"/>
  <c r="U271" i="2"/>
  <c r="R271" i="2"/>
  <c r="P271" i="2"/>
  <c r="AA270" i="2"/>
  <c r="AB270" i="2" s="1"/>
  <c r="Y270" i="2"/>
  <c r="Z270" i="2" s="1"/>
  <c r="U270" i="2"/>
  <c r="R270" i="2"/>
  <c r="P270" i="2"/>
  <c r="AA269" i="2"/>
  <c r="AB269" i="2" s="1"/>
  <c r="Y269" i="2"/>
  <c r="Z269" i="2" s="1"/>
  <c r="U269" i="2"/>
  <c r="R269" i="2"/>
  <c r="P269" i="2"/>
  <c r="AA268" i="2"/>
  <c r="AB268" i="2" s="1"/>
  <c r="Y268" i="2"/>
  <c r="Z268" i="2" s="1"/>
  <c r="U268" i="2"/>
  <c r="R268" i="2"/>
  <c r="P268" i="2"/>
  <c r="AA267" i="2"/>
  <c r="AB267" i="2" s="1"/>
  <c r="Y267" i="2"/>
  <c r="Z267" i="2" s="1"/>
  <c r="U267" i="2"/>
  <c r="R267" i="2"/>
  <c r="P267" i="2"/>
  <c r="AA266" i="2"/>
  <c r="AB266" i="2" s="1"/>
  <c r="Y266" i="2"/>
  <c r="Z266" i="2" s="1"/>
  <c r="U266" i="2"/>
  <c r="R266" i="2"/>
  <c r="P266" i="2"/>
  <c r="AA265" i="2"/>
  <c r="AB265" i="2" s="1"/>
  <c r="Y265" i="2"/>
  <c r="Z265" i="2" s="1"/>
  <c r="U265" i="2"/>
  <c r="R265" i="2"/>
  <c r="P265" i="2"/>
  <c r="AA264" i="2"/>
  <c r="AB264" i="2" s="1"/>
  <c r="Y264" i="2"/>
  <c r="Z264" i="2" s="1"/>
  <c r="U264" i="2"/>
  <c r="R264" i="2"/>
  <c r="P264" i="2"/>
  <c r="AA263" i="2"/>
  <c r="AB263" i="2" s="1"/>
  <c r="Y263" i="2"/>
  <c r="Z263" i="2" s="1"/>
  <c r="U263" i="2"/>
  <c r="R263" i="2"/>
  <c r="P263" i="2"/>
  <c r="AA262" i="2"/>
  <c r="AB262" i="2" s="1"/>
  <c r="Y262" i="2"/>
  <c r="Z262" i="2" s="1"/>
  <c r="U262" i="2"/>
  <c r="R262" i="2"/>
  <c r="P262" i="2"/>
  <c r="AA261" i="2"/>
  <c r="AB261" i="2" s="1"/>
  <c r="Y261" i="2"/>
  <c r="Z261" i="2" s="1"/>
  <c r="U261" i="2"/>
  <c r="R261" i="2"/>
  <c r="P261" i="2"/>
  <c r="AA260" i="2"/>
  <c r="AB260" i="2" s="1"/>
  <c r="Y260" i="2"/>
  <c r="Z260" i="2" s="1"/>
  <c r="U260" i="2"/>
  <c r="R260" i="2"/>
  <c r="P260" i="2"/>
  <c r="AA259" i="2"/>
  <c r="AB259" i="2" s="1"/>
  <c r="Y259" i="2"/>
  <c r="Z259" i="2" s="1"/>
  <c r="U259" i="2"/>
  <c r="R259" i="2"/>
  <c r="P259" i="2"/>
  <c r="AA258" i="2"/>
  <c r="AB258" i="2" s="1"/>
  <c r="Y258" i="2"/>
  <c r="Z258" i="2" s="1"/>
  <c r="U258" i="2"/>
  <c r="R258" i="2"/>
  <c r="P258" i="2"/>
  <c r="AA257" i="2"/>
  <c r="AB257" i="2" s="1"/>
  <c r="Y257" i="2"/>
  <c r="Z257" i="2" s="1"/>
  <c r="U257" i="2"/>
  <c r="R257" i="2"/>
  <c r="P257" i="2"/>
  <c r="AA256" i="2"/>
  <c r="AB256" i="2" s="1"/>
  <c r="Y256" i="2"/>
  <c r="Z256" i="2" s="1"/>
  <c r="U256" i="2"/>
  <c r="R256" i="2"/>
  <c r="P256" i="2"/>
  <c r="AA255" i="2"/>
  <c r="AB255" i="2" s="1"/>
  <c r="Y255" i="2"/>
  <c r="Z255" i="2" s="1"/>
  <c r="U255" i="2"/>
  <c r="R255" i="2"/>
  <c r="P255" i="2"/>
  <c r="AA254" i="2"/>
  <c r="AB254" i="2" s="1"/>
  <c r="Y254" i="2"/>
  <c r="Z254" i="2" s="1"/>
  <c r="U254" i="2"/>
  <c r="R254" i="2"/>
  <c r="P254" i="2"/>
  <c r="AA253" i="2"/>
  <c r="AB253" i="2" s="1"/>
  <c r="Y253" i="2"/>
  <c r="Z253" i="2" s="1"/>
  <c r="U253" i="2"/>
  <c r="R253" i="2"/>
  <c r="P253" i="2"/>
  <c r="AA252" i="2"/>
  <c r="AB252" i="2" s="1"/>
  <c r="Y252" i="2"/>
  <c r="Z252" i="2" s="1"/>
  <c r="U252" i="2"/>
  <c r="R252" i="2"/>
  <c r="P252" i="2"/>
  <c r="AA251" i="2"/>
  <c r="AB251" i="2" s="1"/>
  <c r="Y251" i="2"/>
  <c r="Z251" i="2" s="1"/>
  <c r="U251" i="2"/>
  <c r="R251" i="2"/>
  <c r="P251" i="2"/>
  <c r="AA250" i="2"/>
  <c r="AB250" i="2" s="1"/>
  <c r="Y250" i="2"/>
  <c r="Z250" i="2" s="1"/>
  <c r="U250" i="2"/>
  <c r="R250" i="2"/>
  <c r="P250" i="2"/>
  <c r="AA249" i="2"/>
  <c r="AB249" i="2" s="1"/>
  <c r="Y249" i="2"/>
  <c r="Z249" i="2" s="1"/>
  <c r="U249" i="2"/>
  <c r="R249" i="2"/>
  <c r="P249" i="2"/>
  <c r="AA248" i="2"/>
  <c r="AB248" i="2" s="1"/>
  <c r="Y248" i="2"/>
  <c r="Z248" i="2" s="1"/>
  <c r="U248" i="2"/>
  <c r="R248" i="2"/>
  <c r="P248" i="2"/>
  <c r="AA247" i="2"/>
  <c r="AB247" i="2" s="1"/>
  <c r="Y247" i="2"/>
  <c r="Z247" i="2" s="1"/>
  <c r="U247" i="2"/>
  <c r="R247" i="2"/>
  <c r="P247" i="2"/>
  <c r="AA246" i="2"/>
  <c r="AB246" i="2" s="1"/>
  <c r="Y246" i="2"/>
  <c r="Z246" i="2" s="1"/>
  <c r="U246" i="2"/>
  <c r="R246" i="2"/>
  <c r="P246" i="2"/>
  <c r="AA245" i="2"/>
  <c r="AB245" i="2" s="1"/>
  <c r="Y245" i="2"/>
  <c r="Z245" i="2" s="1"/>
  <c r="U245" i="2"/>
  <c r="R245" i="2"/>
  <c r="P245" i="2"/>
  <c r="AA244" i="2"/>
  <c r="AB244" i="2" s="1"/>
  <c r="Y244" i="2"/>
  <c r="Z244" i="2" s="1"/>
  <c r="U244" i="2"/>
  <c r="R244" i="2"/>
  <c r="P244" i="2"/>
  <c r="AA243" i="2"/>
  <c r="AB243" i="2" s="1"/>
  <c r="Y243" i="2"/>
  <c r="Z243" i="2" s="1"/>
  <c r="U243" i="2"/>
  <c r="R243" i="2"/>
  <c r="P243" i="2"/>
  <c r="AA242" i="2"/>
  <c r="AB242" i="2" s="1"/>
  <c r="Y242" i="2"/>
  <c r="Z242" i="2" s="1"/>
  <c r="U242" i="2"/>
  <c r="R242" i="2"/>
  <c r="P242" i="2"/>
  <c r="AA241" i="2"/>
  <c r="AB241" i="2" s="1"/>
  <c r="Y241" i="2"/>
  <c r="Z241" i="2" s="1"/>
  <c r="U241" i="2"/>
  <c r="R241" i="2"/>
  <c r="P241" i="2"/>
  <c r="AA240" i="2"/>
  <c r="AB240" i="2" s="1"/>
  <c r="Y240" i="2"/>
  <c r="Z240" i="2" s="1"/>
  <c r="U240" i="2"/>
  <c r="R240" i="2"/>
  <c r="P240" i="2"/>
  <c r="AA239" i="2"/>
  <c r="AB239" i="2" s="1"/>
  <c r="Y239" i="2"/>
  <c r="Z239" i="2" s="1"/>
  <c r="U239" i="2"/>
  <c r="R239" i="2"/>
  <c r="P239" i="2"/>
  <c r="AA238" i="2"/>
  <c r="AB238" i="2" s="1"/>
  <c r="Y238" i="2"/>
  <c r="Z238" i="2" s="1"/>
  <c r="U238" i="2"/>
  <c r="R238" i="2"/>
  <c r="P238" i="2"/>
  <c r="AA237" i="2"/>
  <c r="AB237" i="2" s="1"/>
  <c r="Y237" i="2"/>
  <c r="Z237" i="2" s="1"/>
  <c r="U237" i="2"/>
  <c r="R237" i="2"/>
  <c r="P237" i="2"/>
  <c r="AA236" i="2"/>
  <c r="AB236" i="2" s="1"/>
  <c r="Y236" i="2"/>
  <c r="Z236" i="2" s="1"/>
  <c r="U236" i="2"/>
  <c r="R236" i="2"/>
  <c r="P236" i="2"/>
  <c r="AA235" i="2"/>
  <c r="AB235" i="2" s="1"/>
  <c r="Y235" i="2"/>
  <c r="Z235" i="2" s="1"/>
  <c r="U235" i="2"/>
  <c r="R235" i="2"/>
  <c r="P235" i="2"/>
  <c r="AA234" i="2"/>
  <c r="AB234" i="2" s="1"/>
  <c r="Y234" i="2"/>
  <c r="Z234" i="2" s="1"/>
  <c r="U234" i="2"/>
  <c r="R234" i="2"/>
  <c r="P234" i="2"/>
  <c r="AA233" i="2"/>
  <c r="AB233" i="2" s="1"/>
  <c r="Y233" i="2"/>
  <c r="Z233" i="2" s="1"/>
  <c r="U233" i="2"/>
  <c r="R233" i="2"/>
  <c r="P233" i="2"/>
  <c r="AA232" i="2"/>
  <c r="AB232" i="2" s="1"/>
  <c r="Y232" i="2"/>
  <c r="Z232" i="2" s="1"/>
  <c r="U232" i="2"/>
  <c r="R232" i="2"/>
  <c r="P232" i="2"/>
  <c r="AA231" i="2"/>
  <c r="AB231" i="2" s="1"/>
  <c r="Y231" i="2"/>
  <c r="Z231" i="2" s="1"/>
  <c r="U231" i="2"/>
  <c r="R231" i="2"/>
  <c r="P231" i="2"/>
  <c r="AA230" i="2"/>
  <c r="AB230" i="2" s="1"/>
  <c r="Y230" i="2"/>
  <c r="Z230" i="2" s="1"/>
  <c r="U230" i="2"/>
  <c r="R230" i="2"/>
  <c r="P230" i="2"/>
  <c r="AA229" i="2"/>
  <c r="AB229" i="2" s="1"/>
  <c r="Y229" i="2"/>
  <c r="Z229" i="2" s="1"/>
  <c r="U229" i="2"/>
  <c r="R229" i="2"/>
  <c r="P229" i="2"/>
  <c r="AA228" i="2"/>
  <c r="AB228" i="2" s="1"/>
  <c r="Y228" i="2"/>
  <c r="Z228" i="2" s="1"/>
  <c r="U228" i="2"/>
  <c r="R228" i="2"/>
  <c r="P228" i="2"/>
  <c r="AA227" i="2"/>
  <c r="AB227" i="2" s="1"/>
  <c r="Y227" i="2"/>
  <c r="Z227" i="2" s="1"/>
  <c r="U227" i="2"/>
  <c r="R227" i="2"/>
  <c r="P227" i="2"/>
  <c r="AA226" i="2"/>
  <c r="AB226" i="2" s="1"/>
  <c r="Y226" i="2"/>
  <c r="Z226" i="2" s="1"/>
  <c r="U226" i="2"/>
  <c r="R226" i="2"/>
  <c r="P226" i="2"/>
  <c r="AA225" i="2"/>
  <c r="AB225" i="2" s="1"/>
  <c r="Y225" i="2"/>
  <c r="Z225" i="2" s="1"/>
  <c r="U225" i="2"/>
  <c r="R225" i="2"/>
  <c r="P225" i="2"/>
  <c r="AA224" i="2"/>
  <c r="AB224" i="2" s="1"/>
  <c r="Y224" i="2"/>
  <c r="Z224" i="2" s="1"/>
  <c r="U224" i="2"/>
  <c r="R224" i="2"/>
  <c r="P224" i="2"/>
  <c r="AA223" i="2"/>
  <c r="AB223" i="2" s="1"/>
  <c r="Y223" i="2"/>
  <c r="Z223" i="2" s="1"/>
  <c r="U223" i="2"/>
  <c r="R223" i="2"/>
  <c r="P223" i="2"/>
  <c r="AA222" i="2"/>
  <c r="AB222" i="2" s="1"/>
  <c r="Y222" i="2"/>
  <c r="Z222" i="2" s="1"/>
  <c r="U222" i="2"/>
  <c r="R222" i="2"/>
  <c r="P222" i="2"/>
  <c r="AA221" i="2"/>
  <c r="AB221" i="2" s="1"/>
  <c r="Y221" i="2"/>
  <c r="Z221" i="2" s="1"/>
  <c r="U221" i="2"/>
  <c r="R221" i="2"/>
  <c r="P221" i="2"/>
  <c r="AA220" i="2"/>
  <c r="AB220" i="2" s="1"/>
  <c r="Y220" i="2"/>
  <c r="Z220" i="2" s="1"/>
  <c r="U220" i="2"/>
  <c r="R220" i="2"/>
  <c r="P220" i="2"/>
  <c r="AA219" i="2"/>
  <c r="AB219" i="2" s="1"/>
  <c r="Y219" i="2"/>
  <c r="Z219" i="2" s="1"/>
  <c r="U219" i="2"/>
  <c r="R219" i="2"/>
  <c r="P219" i="2"/>
  <c r="AA218" i="2"/>
  <c r="AB218" i="2" s="1"/>
  <c r="Y218" i="2"/>
  <c r="Z218" i="2" s="1"/>
  <c r="U218" i="2"/>
  <c r="R218" i="2"/>
  <c r="P218" i="2"/>
  <c r="AA217" i="2"/>
  <c r="AB217" i="2" s="1"/>
  <c r="Y217" i="2"/>
  <c r="Z217" i="2" s="1"/>
  <c r="U217" i="2"/>
  <c r="R217" i="2"/>
  <c r="P217" i="2"/>
  <c r="AA216" i="2"/>
  <c r="AB216" i="2" s="1"/>
  <c r="Y216" i="2"/>
  <c r="Z216" i="2" s="1"/>
  <c r="U216" i="2"/>
  <c r="R216" i="2"/>
  <c r="P216" i="2"/>
  <c r="AA215" i="2"/>
  <c r="AB215" i="2" s="1"/>
  <c r="Y215" i="2"/>
  <c r="Z215" i="2" s="1"/>
  <c r="U215" i="2"/>
  <c r="R215" i="2"/>
  <c r="P215" i="2"/>
  <c r="AA214" i="2"/>
  <c r="AB214" i="2" s="1"/>
  <c r="Y214" i="2"/>
  <c r="Z214" i="2" s="1"/>
  <c r="U214" i="2"/>
  <c r="R214" i="2"/>
  <c r="P214" i="2"/>
  <c r="AA213" i="2"/>
  <c r="AB213" i="2" s="1"/>
  <c r="Y213" i="2"/>
  <c r="Z213" i="2" s="1"/>
  <c r="U213" i="2"/>
  <c r="R213" i="2"/>
  <c r="P213" i="2"/>
  <c r="AA212" i="2"/>
  <c r="AB212" i="2" s="1"/>
  <c r="Y212" i="2"/>
  <c r="Z212" i="2" s="1"/>
  <c r="U212" i="2"/>
  <c r="R212" i="2"/>
  <c r="P212" i="2"/>
  <c r="AA211" i="2"/>
  <c r="AB211" i="2" s="1"/>
  <c r="Y211" i="2"/>
  <c r="Z211" i="2" s="1"/>
  <c r="U211" i="2"/>
  <c r="R211" i="2"/>
  <c r="P211" i="2"/>
  <c r="AA210" i="2"/>
  <c r="AB210" i="2" s="1"/>
  <c r="Y210" i="2"/>
  <c r="Z210" i="2" s="1"/>
  <c r="U210" i="2"/>
  <c r="R210" i="2"/>
  <c r="P210" i="2"/>
  <c r="AA209" i="2"/>
  <c r="AB209" i="2" s="1"/>
  <c r="Y209" i="2"/>
  <c r="Z209" i="2" s="1"/>
  <c r="U209" i="2"/>
  <c r="R209" i="2"/>
  <c r="P209" i="2"/>
  <c r="AA208" i="2"/>
  <c r="AB208" i="2" s="1"/>
  <c r="Y208" i="2"/>
  <c r="Z208" i="2" s="1"/>
  <c r="U208" i="2"/>
  <c r="R208" i="2"/>
  <c r="P208" i="2"/>
  <c r="AA207" i="2"/>
  <c r="AB207" i="2" s="1"/>
  <c r="Y207" i="2"/>
  <c r="Z207" i="2" s="1"/>
  <c r="U207" i="2"/>
  <c r="R207" i="2"/>
  <c r="P207" i="2"/>
  <c r="AA206" i="2"/>
  <c r="AB206" i="2" s="1"/>
  <c r="Y206" i="2"/>
  <c r="Z206" i="2" s="1"/>
  <c r="U206" i="2"/>
  <c r="R206" i="2"/>
  <c r="P206" i="2"/>
  <c r="AA205" i="2"/>
  <c r="AB205" i="2" s="1"/>
  <c r="Y205" i="2"/>
  <c r="Z205" i="2" s="1"/>
  <c r="U205" i="2"/>
  <c r="R205" i="2"/>
  <c r="P205" i="2"/>
  <c r="AA204" i="2"/>
  <c r="AB204" i="2" s="1"/>
  <c r="Y204" i="2"/>
  <c r="Z204" i="2" s="1"/>
  <c r="U204" i="2"/>
  <c r="R204" i="2"/>
  <c r="P204" i="2"/>
  <c r="AA203" i="2"/>
  <c r="AB203" i="2" s="1"/>
  <c r="Y203" i="2"/>
  <c r="Z203" i="2" s="1"/>
  <c r="U203" i="2"/>
  <c r="R203" i="2"/>
  <c r="P203" i="2"/>
  <c r="AA202" i="2"/>
  <c r="AB202" i="2" s="1"/>
  <c r="Y202" i="2"/>
  <c r="Z202" i="2" s="1"/>
  <c r="U202" i="2"/>
  <c r="R202" i="2"/>
  <c r="P202" i="2"/>
  <c r="AA201" i="2"/>
  <c r="AB201" i="2" s="1"/>
  <c r="Y201" i="2"/>
  <c r="Z201" i="2" s="1"/>
  <c r="U201" i="2"/>
  <c r="R201" i="2"/>
  <c r="P201" i="2"/>
  <c r="AA200" i="2"/>
  <c r="AB200" i="2" s="1"/>
  <c r="Y200" i="2"/>
  <c r="Z200" i="2" s="1"/>
  <c r="U200" i="2"/>
  <c r="R200" i="2"/>
  <c r="P200" i="2"/>
  <c r="AA199" i="2"/>
  <c r="AB199" i="2" s="1"/>
  <c r="Y199" i="2"/>
  <c r="Z199" i="2" s="1"/>
  <c r="U199" i="2"/>
  <c r="R199" i="2"/>
  <c r="P199" i="2"/>
  <c r="AA198" i="2"/>
  <c r="AB198" i="2" s="1"/>
  <c r="Y198" i="2"/>
  <c r="Z198" i="2" s="1"/>
  <c r="U198" i="2"/>
  <c r="R198" i="2"/>
  <c r="P198" i="2"/>
  <c r="AA197" i="2"/>
  <c r="AB197" i="2" s="1"/>
  <c r="Y197" i="2"/>
  <c r="Z197" i="2" s="1"/>
  <c r="U197" i="2"/>
  <c r="R197" i="2"/>
  <c r="P197" i="2"/>
  <c r="AA196" i="2"/>
  <c r="AB196" i="2" s="1"/>
  <c r="Y196" i="2"/>
  <c r="Z196" i="2" s="1"/>
  <c r="U196" i="2"/>
  <c r="R196" i="2"/>
  <c r="P196" i="2"/>
  <c r="AA195" i="2"/>
  <c r="AB195" i="2" s="1"/>
  <c r="Y195" i="2"/>
  <c r="Z195" i="2" s="1"/>
  <c r="U195" i="2"/>
  <c r="R195" i="2"/>
  <c r="P195" i="2"/>
  <c r="AA194" i="2"/>
  <c r="AB194" i="2" s="1"/>
  <c r="Y194" i="2"/>
  <c r="Z194" i="2" s="1"/>
  <c r="U194" i="2"/>
  <c r="R194" i="2"/>
  <c r="P194" i="2"/>
  <c r="AA193" i="2"/>
  <c r="AB193" i="2" s="1"/>
  <c r="Y193" i="2"/>
  <c r="Z193" i="2" s="1"/>
  <c r="U193" i="2"/>
  <c r="R193" i="2"/>
  <c r="P193" i="2"/>
  <c r="AA192" i="2"/>
  <c r="AB192" i="2" s="1"/>
  <c r="Y192" i="2"/>
  <c r="Z192" i="2" s="1"/>
  <c r="U192" i="2"/>
  <c r="R192" i="2"/>
  <c r="P192" i="2"/>
  <c r="AA191" i="2"/>
  <c r="AB191" i="2" s="1"/>
  <c r="Y191" i="2"/>
  <c r="Z191" i="2" s="1"/>
  <c r="U191" i="2"/>
  <c r="R191" i="2"/>
  <c r="P191" i="2"/>
  <c r="AA190" i="2"/>
  <c r="AB190" i="2" s="1"/>
  <c r="Y190" i="2"/>
  <c r="Z190" i="2" s="1"/>
  <c r="U190" i="2"/>
  <c r="R190" i="2"/>
  <c r="P190" i="2"/>
  <c r="AA189" i="2"/>
  <c r="AB189" i="2" s="1"/>
  <c r="Y189" i="2"/>
  <c r="Z189" i="2" s="1"/>
  <c r="U189" i="2"/>
  <c r="R189" i="2"/>
  <c r="P189" i="2"/>
  <c r="AA188" i="2"/>
  <c r="AB188" i="2" s="1"/>
  <c r="Y188" i="2"/>
  <c r="Z188" i="2" s="1"/>
  <c r="U188" i="2"/>
  <c r="R188" i="2"/>
  <c r="P188" i="2"/>
  <c r="AA187" i="2"/>
  <c r="AB187" i="2" s="1"/>
  <c r="Y187" i="2"/>
  <c r="Z187" i="2" s="1"/>
  <c r="U187" i="2"/>
  <c r="R187" i="2"/>
  <c r="P187" i="2"/>
  <c r="AA186" i="2"/>
  <c r="AB186" i="2" s="1"/>
  <c r="Y186" i="2"/>
  <c r="Z186" i="2" s="1"/>
  <c r="U186" i="2"/>
  <c r="R186" i="2"/>
  <c r="P186" i="2"/>
  <c r="AA185" i="2"/>
  <c r="AB185" i="2" s="1"/>
  <c r="Y185" i="2"/>
  <c r="Z185" i="2" s="1"/>
  <c r="U185" i="2"/>
  <c r="R185" i="2"/>
  <c r="P185" i="2"/>
  <c r="AA184" i="2"/>
  <c r="AB184" i="2" s="1"/>
  <c r="Y184" i="2"/>
  <c r="Z184" i="2" s="1"/>
  <c r="U184" i="2"/>
  <c r="R184" i="2"/>
  <c r="P184" i="2"/>
  <c r="AA183" i="2"/>
  <c r="AB183" i="2" s="1"/>
  <c r="Y183" i="2"/>
  <c r="Z183" i="2" s="1"/>
  <c r="U183" i="2"/>
  <c r="R183" i="2"/>
  <c r="P183" i="2"/>
  <c r="AA182" i="2"/>
  <c r="AB182" i="2" s="1"/>
  <c r="Y182" i="2"/>
  <c r="Z182" i="2" s="1"/>
  <c r="U182" i="2"/>
  <c r="R182" i="2"/>
  <c r="P182" i="2"/>
  <c r="AA181" i="2"/>
  <c r="AB181" i="2" s="1"/>
  <c r="Y181" i="2"/>
  <c r="Z181" i="2" s="1"/>
  <c r="U181" i="2"/>
  <c r="R181" i="2"/>
  <c r="P181" i="2"/>
  <c r="AA180" i="2"/>
  <c r="AB180" i="2" s="1"/>
  <c r="Y180" i="2"/>
  <c r="Z180" i="2" s="1"/>
  <c r="U180" i="2"/>
  <c r="R180" i="2"/>
  <c r="P180" i="2"/>
  <c r="AA179" i="2"/>
  <c r="AB179" i="2" s="1"/>
  <c r="Y179" i="2"/>
  <c r="Z179" i="2" s="1"/>
  <c r="U179" i="2"/>
  <c r="R179" i="2"/>
  <c r="P179" i="2"/>
  <c r="AA178" i="2"/>
  <c r="AB178" i="2" s="1"/>
  <c r="Y178" i="2"/>
  <c r="Z178" i="2" s="1"/>
  <c r="U178" i="2"/>
  <c r="R178" i="2"/>
  <c r="P178" i="2"/>
  <c r="AA177" i="2"/>
  <c r="AB177" i="2" s="1"/>
  <c r="Y177" i="2"/>
  <c r="Z177" i="2" s="1"/>
  <c r="U177" i="2"/>
  <c r="R177" i="2"/>
  <c r="P177" i="2"/>
  <c r="AA176" i="2"/>
  <c r="AB176" i="2" s="1"/>
  <c r="Y176" i="2"/>
  <c r="Z176" i="2" s="1"/>
  <c r="U176" i="2"/>
  <c r="R176" i="2"/>
  <c r="P176" i="2"/>
  <c r="AA175" i="2"/>
  <c r="AB175" i="2" s="1"/>
  <c r="Y175" i="2"/>
  <c r="Z175" i="2" s="1"/>
  <c r="U175" i="2"/>
  <c r="R175" i="2"/>
  <c r="P175" i="2"/>
  <c r="AA174" i="2"/>
  <c r="AB174" i="2" s="1"/>
  <c r="Y174" i="2"/>
  <c r="Z174" i="2" s="1"/>
  <c r="U174" i="2"/>
  <c r="R174" i="2"/>
  <c r="P174" i="2"/>
  <c r="AA173" i="2"/>
  <c r="AB173" i="2" s="1"/>
  <c r="Y173" i="2"/>
  <c r="Z173" i="2" s="1"/>
  <c r="U173" i="2"/>
  <c r="R173" i="2"/>
  <c r="P173" i="2"/>
  <c r="AA172" i="2"/>
  <c r="AB172" i="2" s="1"/>
  <c r="Y172" i="2"/>
  <c r="Z172" i="2" s="1"/>
  <c r="U172" i="2"/>
  <c r="R172" i="2"/>
  <c r="P172" i="2"/>
  <c r="AA171" i="2"/>
  <c r="AB171" i="2" s="1"/>
  <c r="Y171" i="2"/>
  <c r="Z171" i="2" s="1"/>
  <c r="U171" i="2"/>
  <c r="R171" i="2"/>
  <c r="P171" i="2"/>
  <c r="AA170" i="2"/>
  <c r="AB170" i="2" s="1"/>
  <c r="Y170" i="2"/>
  <c r="Z170" i="2" s="1"/>
  <c r="U170" i="2"/>
  <c r="R170" i="2"/>
  <c r="P170" i="2"/>
  <c r="AA169" i="2"/>
  <c r="AB169" i="2" s="1"/>
  <c r="Y169" i="2"/>
  <c r="Z169" i="2" s="1"/>
  <c r="U169" i="2"/>
  <c r="R169" i="2"/>
  <c r="P169" i="2"/>
  <c r="AA168" i="2"/>
  <c r="AB168" i="2" s="1"/>
  <c r="Y168" i="2"/>
  <c r="Z168" i="2" s="1"/>
  <c r="U168" i="2"/>
  <c r="R168" i="2"/>
  <c r="P168" i="2"/>
  <c r="AA167" i="2"/>
  <c r="AB167" i="2" s="1"/>
  <c r="Y167" i="2"/>
  <c r="Z167" i="2" s="1"/>
  <c r="U167" i="2"/>
  <c r="R167" i="2"/>
  <c r="P167" i="2"/>
  <c r="AA166" i="2"/>
  <c r="AB166" i="2" s="1"/>
  <c r="Y166" i="2"/>
  <c r="Z166" i="2" s="1"/>
  <c r="U166" i="2"/>
  <c r="R166" i="2"/>
  <c r="P166" i="2"/>
  <c r="AA165" i="2"/>
  <c r="AB165" i="2" s="1"/>
  <c r="Y165" i="2"/>
  <c r="Z165" i="2" s="1"/>
  <c r="U165" i="2"/>
  <c r="R165" i="2"/>
  <c r="P165" i="2"/>
  <c r="AA164" i="2"/>
  <c r="AB164" i="2" s="1"/>
  <c r="Y164" i="2"/>
  <c r="Z164" i="2" s="1"/>
  <c r="U164" i="2"/>
  <c r="R164" i="2"/>
  <c r="P164" i="2"/>
  <c r="AA163" i="2"/>
  <c r="AB163" i="2" s="1"/>
  <c r="Y163" i="2"/>
  <c r="Z163" i="2" s="1"/>
  <c r="U163" i="2"/>
  <c r="R163" i="2"/>
  <c r="P163" i="2"/>
  <c r="AA162" i="2"/>
  <c r="AB162" i="2" s="1"/>
  <c r="Y162" i="2"/>
  <c r="Z162" i="2" s="1"/>
  <c r="U162" i="2"/>
  <c r="R162" i="2"/>
  <c r="P162" i="2"/>
  <c r="AA161" i="2"/>
  <c r="AB161" i="2" s="1"/>
  <c r="Y161" i="2"/>
  <c r="Z161" i="2" s="1"/>
  <c r="U161" i="2"/>
  <c r="R161" i="2"/>
  <c r="P161" i="2"/>
  <c r="AA160" i="2"/>
  <c r="AB160" i="2" s="1"/>
  <c r="Y160" i="2"/>
  <c r="Z160" i="2" s="1"/>
  <c r="U160" i="2"/>
  <c r="R160" i="2"/>
  <c r="P160" i="2"/>
  <c r="AA159" i="2"/>
  <c r="AB159" i="2" s="1"/>
  <c r="Y159" i="2"/>
  <c r="Z159" i="2" s="1"/>
  <c r="U159" i="2"/>
  <c r="R159" i="2"/>
  <c r="P159" i="2"/>
  <c r="AA158" i="2"/>
  <c r="AB158" i="2" s="1"/>
  <c r="Y158" i="2"/>
  <c r="Z158" i="2" s="1"/>
  <c r="U158" i="2"/>
  <c r="R158" i="2"/>
  <c r="P158" i="2"/>
  <c r="AA157" i="2"/>
  <c r="AB157" i="2" s="1"/>
  <c r="Y157" i="2"/>
  <c r="Z157" i="2" s="1"/>
  <c r="U157" i="2"/>
  <c r="R157" i="2"/>
  <c r="P157" i="2"/>
  <c r="AA156" i="2"/>
  <c r="AB156" i="2" s="1"/>
  <c r="Y156" i="2"/>
  <c r="Z156" i="2" s="1"/>
  <c r="U156" i="2"/>
  <c r="R156" i="2"/>
  <c r="P156" i="2"/>
  <c r="AA155" i="2"/>
  <c r="AB155" i="2" s="1"/>
  <c r="Y155" i="2"/>
  <c r="Z155" i="2" s="1"/>
  <c r="U155" i="2"/>
  <c r="R155" i="2"/>
  <c r="P155" i="2"/>
  <c r="AA154" i="2"/>
  <c r="AB154" i="2" s="1"/>
  <c r="Y154" i="2"/>
  <c r="Z154" i="2" s="1"/>
  <c r="U154" i="2"/>
  <c r="R154" i="2"/>
  <c r="P154" i="2"/>
  <c r="AA153" i="2"/>
  <c r="AB153" i="2" s="1"/>
  <c r="Y153" i="2"/>
  <c r="Z153" i="2" s="1"/>
  <c r="U153" i="2"/>
  <c r="R153" i="2"/>
  <c r="P153" i="2"/>
  <c r="AA152" i="2"/>
  <c r="AB152" i="2" s="1"/>
  <c r="Y152" i="2"/>
  <c r="Z152" i="2" s="1"/>
  <c r="U152" i="2"/>
  <c r="R152" i="2"/>
  <c r="P152" i="2"/>
  <c r="AA151" i="2"/>
  <c r="AB151" i="2" s="1"/>
  <c r="Y151" i="2"/>
  <c r="Z151" i="2" s="1"/>
  <c r="U151" i="2"/>
  <c r="R151" i="2"/>
  <c r="P151" i="2"/>
  <c r="AA150" i="2"/>
  <c r="AB150" i="2" s="1"/>
  <c r="Y150" i="2"/>
  <c r="Z150" i="2" s="1"/>
  <c r="U150" i="2"/>
  <c r="R150" i="2"/>
  <c r="P150" i="2"/>
  <c r="AA149" i="2"/>
  <c r="AB149" i="2" s="1"/>
  <c r="Y149" i="2"/>
  <c r="Z149" i="2" s="1"/>
  <c r="U149" i="2"/>
  <c r="R149" i="2"/>
  <c r="P149" i="2"/>
  <c r="AA148" i="2"/>
  <c r="AB148" i="2" s="1"/>
  <c r="Y148" i="2"/>
  <c r="Z148" i="2" s="1"/>
  <c r="U148" i="2"/>
  <c r="R148" i="2"/>
  <c r="P148" i="2"/>
  <c r="AA147" i="2"/>
  <c r="AB147" i="2" s="1"/>
  <c r="Y147" i="2"/>
  <c r="Z147" i="2" s="1"/>
  <c r="U147" i="2"/>
  <c r="R147" i="2"/>
  <c r="P147" i="2"/>
  <c r="AA146" i="2"/>
  <c r="AB146" i="2" s="1"/>
  <c r="Y146" i="2"/>
  <c r="Z146" i="2" s="1"/>
  <c r="U146" i="2"/>
  <c r="R146" i="2"/>
  <c r="P146" i="2"/>
  <c r="AA145" i="2"/>
  <c r="AB145" i="2" s="1"/>
  <c r="Y145" i="2"/>
  <c r="Z145" i="2" s="1"/>
  <c r="U145" i="2"/>
  <c r="R145" i="2"/>
  <c r="P145" i="2"/>
  <c r="AA144" i="2"/>
  <c r="AB144" i="2" s="1"/>
  <c r="Y144" i="2"/>
  <c r="Z144" i="2" s="1"/>
  <c r="U144" i="2"/>
  <c r="R144" i="2"/>
  <c r="P144" i="2"/>
  <c r="AA143" i="2"/>
  <c r="AB143" i="2" s="1"/>
  <c r="Y143" i="2"/>
  <c r="Z143" i="2" s="1"/>
  <c r="U143" i="2"/>
  <c r="R143" i="2"/>
  <c r="P143" i="2"/>
  <c r="AA142" i="2"/>
  <c r="AB142" i="2" s="1"/>
  <c r="Y142" i="2"/>
  <c r="Z142" i="2" s="1"/>
  <c r="U142" i="2"/>
  <c r="R142" i="2"/>
  <c r="P142" i="2"/>
  <c r="AA141" i="2"/>
  <c r="AB141" i="2" s="1"/>
  <c r="Y141" i="2"/>
  <c r="Z141" i="2" s="1"/>
  <c r="U141" i="2"/>
  <c r="R141" i="2"/>
  <c r="P141" i="2"/>
  <c r="AA140" i="2"/>
  <c r="AB140" i="2" s="1"/>
  <c r="Y140" i="2"/>
  <c r="Z140" i="2" s="1"/>
  <c r="U140" i="2"/>
  <c r="R140" i="2"/>
  <c r="P140" i="2"/>
  <c r="AA139" i="2"/>
  <c r="AB139" i="2" s="1"/>
  <c r="Y139" i="2"/>
  <c r="Z139" i="2" s="1"/>
  <c r="U139" i="2"/>
  <c r="R139" i="2"/>
  <c r="P139" i="2"/>
  <c r="AA138" i="2"/>
  <c r="AB138" i="2" s="1"/>
  <c r="Y138" i="2"/>
  <c r="Z138" i="2" s="1"/>
  <c r="U138" i="2"/>
  <c r="R138" i="2"/>
  <c r="P138" i="2"/>
  <c r="AA137" i="2"/>
  <c r="AB137" i="2" s="1"/>
  <c r="Y137" i="2"/>
  <c r="Z137" i="2" s="1"/>
  <c r="U137" i="2"/>
  <c r="R137" i="2"/>
  <c r="P137" i="2"/>
  <c r="AA136" i="2"/>
  <c r="AB136" i="2" s="1"/>
  <c r="Y136" i="2"/>
  <c r="Z136" i="2" s="1"/>
  <c r="U136" i="2"/>
  <c r="R136" i="2"/>
  <c r="P136" i="2"/>
  <c r="AA135" i="2"/>
  <c r="AB135" i="2" s="1"/>
  <c r="Y135" i="2"/>
  <c r="Z135" i="2" s="1"/>
  <c r="U135" i="2"/>
  <c r="R135" i="2"/>
  <c r="P135" i="2"/>
  <c r="AA134" i="2"/>
  <c r="AB134" i="2" s="1"/>
  <c r="Y134" i="2"/>
  <c r="Z134" i="2" s="1"/>
  <c r="U134" i="2"/>
  <c r="R134" i="2"/>
  <c r="P134" i="2"/>
  <c r="AA133" i="2"/>
  <c r="AB133" i="2" s="1"/>
  <c r="Y133" i="2"/>
  <c r="Z133" i="2" s="1"/>
  <c r="U133" i="2"/>
  <c r="R133" i="2"/>
  <c r="P133" i="2"/>
  <c r="AA132" i="2"/>
  <c r="AB132" i="2" s="1"/>
  <c r="Y132" i="2"/>
  <c r="Z132" i="2" s="1"/>
  <c r="U132" i="2"/>
  <c r="R132" i="2"/>
  <c r="P132" i="2"/>
  <c r="AA131" i="2"/>
  <c r="AB131" i="2" s="1"/>
  <c r="Y131" i="2"/>
  <c r="Z131" i="2" s="1"/>
  <c r="U131" i="2"/>
  <c r="R131" i="2"/>
  <c r="P131" i="2"/>
  <c r="AA130" i="2"/>
  <c r="AB130" i="2" s="1"/>
  <c r="Y130" i="2"/>
  <c r="Z130" i="2" s="1"/>
  <c r="U130" i="2"/>
  <c r="R130" i="2"/>
  <c r="P130" i="2"/>
  <c r="AA129" i="2"/>
  <c r="AB129" i="2" s="1"/>
  <c r="Y129" i="2"/>
  <c r="Z129" i="2" s="1"/>
  <c r="U129" i="2"/>
  <c r="R129" i="2"/>
  <c r="P129" i="2"/>
  <c r="AA128" i="2"/>
  <c r="AB128" i="2" s="1"/>
  <c r="Y128" i="2"/>
  <c r="Z128" i="2" s="1"/>
  <c r="U128" i="2"/>
  <c r="R128" i="2"/>
  <c r="P128" i="2"/>
  <c r="AA127" i="2"/>
  <c r="AB127" i="2" s="1"/>
  <c r="Y127" i="2"/>
  <c r="Z127" i="2" s="1"/>
  <c r="U127" i="2"/>
  <c r="R127" i="2"/>
  <c r="P127" i="2"/>
  <c r="AA126" i="2"/>
  <c r="AB126" i="2" s="1"/>
  <c r="Y126" i="2"/>
  <c r="Z126" i="2" s="1"/>
  <c r="U126" i="2"/>
  <c r="R126" i="2"/>
  <c r="P126" i="2"/>
  <c r="AA125" i="2"/>
  <c r="AB125" i="2" s="1"/>
  <c r="Y125" i="2"/>
  <c r="Z125" i="2" s="1"/>
  <c r="U125" i="2"/>
  <c r="R125" i="2"/>
  <c r="P125" i="2"/>
  <c r="AA124" i="2"/>
  <c r="AB124" i="2" s="1"/>
  <c r="Y124" i="2"/>
  <c r="Z124" i="2" s="1"/>
  <c r="U124" i="2"/>
  <c r="R124" i="2"/>
  <c r="P124" i="2"/>
  <c r="AA123" i="2"/>
  <c r="AB123" i="2" s="1"/>
  <c r="Y123" i="2"/>
  <c r="Z123" i="2" s="1"/>
  <c r="U123" i="2"/>
  <c r="R123" i="2"/>
  <c r="P123" i="2"/>
  <c r="AA122" i="2"/>
  <c r="AB122" i="2" s="1"/>
  <c r="Y122" i="2"/>
  <c r="Z122" i="2" s="1"/>
  <c r="U122" i="2"/>
  <c r="R122" i="2"/>
  <c r="P122" i="2"/>
  <c r="AA121" i="2"/>
  <c r="AB121" i="2" s="1"/>
  <c r="Y121" i="2"/>
  <c r="Z121" i="2" s="1"/>
  <c r="U121" i="2"/>
  <c r="R121" i="2"/>
  <c r="P121" i="2"/>
  <c r="AA120" i="2"/>
  <c r="AB120" i="2" s="1"/>
  <c r="Y120" i="2"/>
  <c r="Z120" i="2" s="1"/>
  <c r="U120" i="2"/>
  <c r="R120" i="2"/>
  <c r="P120" i="2"/>
  <c r="AA119" i="2"/>
  <c r="AB119" i="2" s="1"/>
  <c r="Y119" i="2"/>
  <c r="Z119" i="2" s="1"/>
  <c r="U119" i="2"/>
  <c r="R119" i="2"/>
  <c r="P119" i="2"/>
  <c r="AA118" i="2"/>
  <c r="AB118" i="2" s="1"/>
  <c r="Y118" i="2"/>
  <c r="Z118" i="2" s="1"/>
  <c r="U118" i="2"/>
  <c r="R118" i="2"/>
  <c r="P118" i="2"/>
  <c r="AA117" i="2"/>
  <c r="AB117" i="2" s="1"/>
  <c r="Y117" i="2"/>
  <c r="Z117" i="2" s="1"/>
  <c r="U117" i="2"/>
  <c r="R117" i="2"/>
  <c r="P117" i="2"/>
  <c r="AA116" i="2"/>
  <c r="AB116" i="2" s="1"/>
  <c r="Y116" i="2"/>
  <c r="Z116" i="2" s="1"/>
  <c r="U116" i="2"/>
  <c r="R116" i="2"/>
  <c r="P116" i="2"/>
  <c r="AA115" i="2"/>
  <c r="AB115" i="2" s="1"/>
  <c r="Y115" i="2"/>
  <c r="Z115" i="2" s="1"/>
  <c r="U115" i="2"/>
  <c r="R115" i="2"/>
  <c r="P115" i="2"/>
  <c r="AA114" i="2"/>
  <c r="AB114" i="2" s="1"/>
  <c r="Y114" i="2"/>
  <c r="Z114" i="2" s="1"/>
  <c r="U114" i="2"/>
  <c r="R114" i="2"/>
  <c r="P114" i="2"/>
  <c r="AA113" i="2"/>
  <c r="AB113" i="2" s="1"/>
  <c r="Y113" i="2"/>
  <c r="Z113" i="2" s="1"/>
  <c r="U113" i="2"/>
  <c r="R113" i="2"/>
  <c r="P113" i="2"/>
  <c r="AA112" i="2"/>
  <c r="AB112" i="2" s="1"/>
  <c r="Y112" i="2"/>
  <c r="Z112" i="2" s="1"/>
  <c r="U112" i="2"/>
  <c r="R112" i="2"/>
  <c r="P112" i="2"/>
  <c r="AA111" i="2"/>
  <c r="AB111" i="2" s="1"/>
  <c r="Y111" i="2"/>
  <c r="Z111" i="2" s="1"/>
  <c r="U111" i="2"/>
  <c r="R111" i="2"/>
  <c r="P111" i="2"/>
  <c r="AA110" i="2"/>
  <c r="AB110" i="2" s="1"/>
  <c r="Y110" i="2"/>
  <c r="Z110" i="2" s="1"/>
  <c r="U110" i="2"/>
  <c r="R110" i="2"/>
  <c r="P110" i="2"/>
  <c r="AA109" i="2"/>
  <c r="AB109" i="2" s="1"/>
  <c r="Y109" i="2"/>
  <c r="Z109" i="2" s="1"/>
  <c r="U109" i="2"/>
  <c r="R109" i="2"/>
  <c r="P109" i="2"/>
  <c r="AA108" i="2"/>
  <c r="AB108" i="2" s="1"/>
  <c r="Y108" i="2"/>
  <c r="Z108" i="2" s="1"/>
  <c r="U108" i="2"/>
  <c r="R108" i="2"/>
  <c r="P108" i="2"/>
  <c r="AA107" i="2"/>
  <c r="AB107" i="2" s="1"/>
  <c r="Y107" i="2"/>
  <c r="Z107" i="2" s="1"/>
  <c r="U107" i="2"/>
  <c r="R107" i="2"/>
  <c r="P107" i="2"/>
  <c r="AA106" i="2"/>
  <c r="AB106" i="2" s="1"/>
  <c r="Y106" i="2"/>
  <c r="Z106" i="2" s="1"/>
  <c r="U106" i="2"/>
  <c r="R106" i="2"/>
  <c r="P106" i="2"/>
  <c r="AA105" i="2"/>
  <c r="AB105" i="2" s="1"/>
  <c r="Y105" i="2"/>
  <c r="Z105" i="2" s="1"/>
  <c r="U105" i="2"/>
  <c r="R105" i="2"/>
  <c r="P105" i="2"/>
  <c r="AA104" i="2"/>
  <c r="AB104" i="2" s="1"/>
  <c r="Y104" i="2"/>
  <c r="Z104" i="2" s="1"/>
  <c r="U104" i="2"/>
  <c r="R104" i="2"/>
  <c r="P104" i="2"/>
  <c r="AA103" i="2"/>
  <c r="AB103" i="2" s="1"/>
  <c r="Y103" i="2"/>
  <c r="Z103" i="2" s="1"/>
  <c r="U103" i="2"/>
  <c r="R103" i="2"/>
  <c r="P103" i="2"/>
  <c r="AA102" i="2"/>
  <c r="AB102" i="2" s="1"/>
  <c r="Y102" i="2"/>
  <c r="Z102" i="2" s="1"/>
  <c r="U102" i="2"/>
  <c r="R102" i="2"/>
  <c r="P102" i="2"/>
  <c r="AA101" i="2"/>
  <c r="AB101" i="2" s="1"/>
  <c r="Y101" i="2"/>
  <c r="Z101" i="2" s="1"/>
  <c r="U101" i="2"/>
  <c r="R101" i="2"/>
  <c r="P101" i="2"/>
  <c r="AA100" i="2"/>
  <c r="AB100" i="2" s="1"/>
  <c r="Y100" i="2"/>
  <c r="Z100" i="2" s="1"/>
  <c r="U100" i="2"/>
  <c r="R100" i="2"/>
  <c r="P100" i="2"/>
  <c r="AA99" i="2"/>
  <c r="AB99" i="2" s="1"/>
  <c r="Y99" i="2"/>
  <c r="Z99" i="2" s="1"/>
  <c r="U99" i="2"/>
  <c r="R99" i="2"/>
  <c r="P99" i="2"/>
  <c r="AA98" i="2"/>
  <c r="AB98" i="2" s="1"/>
  <c r="Y98" i="2"/>
  <c r="Z98" i="2" s="1"/>
  <c r="U98" i="2"/>
  <c r="R98" i="2"/>
  <c r="P98" i="2"/>
  <c r="AA97" i="2"/>
  <c r="AB97" i="2" s="1"/>
  <c r="Y97" i="2"/>
  <c r="Z97" i="2" s="1"/>
  <c r="U97" i="2"/>
  <c r="R97" i="2"/>
  <c r="P97" i="2"/>
  <c r="AA96" i="2"/>
  <c r="AB96" i="2" s="1"/>
  <c r="Y96" i="2"/>
  <c r="Z96" i="2" s="1"/>
  <c r="U96" i="2"/>
  <c r="R96" i="2"/>
  <c r="P96" i="2"/>
  <c r="AA95" i="2"/>
  <c r="AB95" i="2" s="1"/>
  <c r="Y95" i="2"/>
  <c r="Z95" i="2" s="1"/>
  <c r="U95" i="2"/>
  <c r="R95" i="2"/>
  <c r="P95" i="2"/>
  <c r="AA94" i="2"/>
  <c r="AB94" i="2" s="1"/>
  <c r="Y94" i="2"/>
  <c r="Z94" i="2" s="1"/>
  <c r="U94" i="2"/>
  <c r="R94" i="2"/>
  <c r="P94" i="2"/>
  <c r="AA93" i="2"/>
  <c r="AB93" i="2" s="1"/>
  <c r="Y93" i="2"/>
  <c r="Z93" i="2" s="1"/>
  <c r="U93" i="2"/>
  <c r="R93" i="2"/>
  <c r="P93" i="2"/>
  <c r="AA92" i="2"/>
  <c r="AB92" i="2" s="1"/>
  <c r="Y92" i="2"/>
  <c r="Z92" i="2" s="1"/>
  <c r="U92" i="2"/>
  <c r="R92" i="2"/>
  <c r="P92" i="2"/>
  <c r="AA91" i="2"/>
  <c r="AB91" i="2" s="1"/>
  <c r="Y91" i="2"/>
  <c r="Z91" i="2" s="1"/>
  <c r="U91" i="2"/>
  <c r="R91" i="2"/>
  <c r="P91" i="2"/>
  <c r="AA90" i="2"/>
  <c r="AB90" i="2" s="1"/>
  <c r="Y90" i="2"/>
  <c r="Z90" i="2" s="1"/>
  <c r="U90" i="2"/>
  <c r="R90" i="2"/>
  <c r="P90" i="2"/>
  <c r="AA89" i="2"/>
  <c r="AB89" i="2" s="1"/>
  <c r="Y89" i="2"/>
  <c r="Z89" i="2" s="1"/>
  <c r="U89" i="2"/>
  <c r="R89" i="2"/>
  <c r="P89" i="2"/>
  <c r="AA88" i="2"/>
  <c r="AB88" i="2" s="1"/>
  <c r="Y88" i="2"/>
  <c r="Z88" i="2" s="1"/>
  <c r="U88" i="2"/>
  <c r="R88" i="2"/>
  <c r="P88" i="2"/>
  <c r="AA87" i="2"/>
  <c r="AB87" i="2" s="1"/>
  <c r="Y87" i="2"/>
  <c r="Z87" i="2" s="1"/>
  <c r="U87" i="2"/>
  <c r="R87" i="2"/>
  <c r="P87" i="2"/>
  <c r="AA86" i="2"/>
  <c r="AB86" i="2" s="1"/>
  <c r="Y86" i="2"/>
  <c r="Z86" i="2" s="1"/>
  <c r="U86" i="2"/>
  <c r="R86" i="2"/>
  <c r="P86" i="2"/>
  <c r="AA85" i="2"/>
  <c r="AB85" i="2" s="1"/>
  <c r="Y85" i="2"/>
  <c r="Z85" i="2" s="1"/>
  <c r="U85" i="2"/>
  <c r="R85" i="2"/>
  <c r="P85" i="2"/>
  <c r="AA84" i="2"/>
  <c r="AB84" i="2" s="1"/>
  <c r="Y84" i="2"/>
  <c r="Z84" i="2" s="1"/>
  <c r="U84" i="2"/>
  <c r="R84" i="2"/>
  <c r="P84" i="2"/>
  <c r="AA83" i="2"/>
  <c r="AB83" i="2" s="1"/>
  <c r="Y83" i="2"/>
  <c r="Z83" i="2" s="1"/>
  <c r="U83" i="2"/>
  <c r="R83" i="2"/>
  <c r="P83" i="2"/>
  <c r="AA82" i="2"/>
  <c r="AB82" i="2" s="1"/>
  <c r="Y82" i="2"/>
  <c r="Z82" i="2" s="1"/>
  <c r="U82" i="2"/>
  <c r="R82" i="2"/>
  <c r="P82" i="2"/>
  <c r="AA81" i="2"/>
  <c r="AB81" i="2" s="1"/>
  <c r="Y81" i="2"/>
  <c r="Z81" i="2" s="1"/>
  <c r="U81" i="2"/>
  <c r="R81" i="2"/>
  <c r="P81" i="2"/>
  <c r="AA80" i="2"/>
  <c r="AB80" i="2" s="1"/>
  <c r="Y80" i="2"/>
  <c r="Z80" i="2" s="1"/>
  <c r="U80" i="2"/>
  <c r="R80" i="2"/>
  <c r="P80" i="2"/>
  <c r="AA79" i="2"/>
  <c r="AB79" i="2" s="1"/>
  <c r="Y79" i="2"/>
  <c r="Z79" i="2" s="1"/>
  <c r="U79" i="2"/>
  <c r="R79" i="2"/>
  <c r="P79" i="2"/>
  <c r="AA78" i="2"/>
  <c r="AB78" i="2" s="1"/>
  <c r="Y78" i="2"/>
  <c r="Z78" i="2" s="1"/>
  <c r="U78" i="2"/>
  <c r="R78" i="2"/>
  <c r="P78" i="2"/>
  <c r="AA77" i="2"/>
  <c r="AB77" i="2" s="1"/>
  <c r="Y77" i="2"/>
  <c r="Z77" i="2" s="1"/>
  <c r="U77" i="2"/>
  <c r="R77" i="2"/>
  <c r="P77" i="2"/>
  <c r="AA76" i="2"/>
  <c r="AB76" i="2" s="1"/>
  <c r="Y76" i="2"/>
  <c r="Z76" i="2" s="1"/>
  <c r="U76" i="2"/>
  <c r="R76" i="2"/>
  <c r="P76" i="2"/>
  <c r="AA75" i="2"/>
  <c r="AB75" i="2" s="1"/>
  <c r="Y75" i="2"/>
  <c r="Z75" i="2" s="1"/>
  <c r="U75" i="2"/>
  <c r="R75" i="2"/>
  <c r="P75" i="2"/>
  <c r="AA74" i="2"/>
  <c r="AB74" i="2" s="1"/>
  <c r="Y74" i="2"/>
  <c r="Z74" i="2" s="1"/>
  <c r="U74" i="2"/>
  <c r="R74" i="2"/>
  <c r="P74" i="2"/>
  <c r="AA73" i="2"/>
  <c r="AB73" i="2" s="1"/>
  <c r="Y73" i="2"/>
  <c r="Z73" i="2" s="1"/>
  <c r="U73" i="2"/>
  <c r="R73" i="2"/>
  <c r="P73" i="2"/>
  <c r="AA72" i="2"/>
  <c r="AB72" i="2" s="1"/>
  <c r="Y72" i="2"/>
  <c r="Z72" i="2" s="1"/>
  <c r="U72" i="2"/>
  <c r="R72" i="2"/>
  <c r="P72" i="2"/>
  <c r="AA71" i="2"/>
  <c r="AB71" i="2" s="1"/>
  <c r="Y71" i="2"/>
  <c r="Z71" i="2" s="1"/>
  <c r="U71" i="2"/>
  <c r="R71" i="2"/>
  <c r="P71" i="2"/>
  <c r="AA70" i="2"/>
  <c r="AB70" i="2" s="1"/>
  <c r="Y70" i="2"/>
  <c r="Z70" i="2" s="1"/>
  <c r="U70" i="2"/>
  <c r="R70" i="2"/>
  <c r="P70" i="2"/>
  <c r="AA69" i="2"/>
  <c r="AB69" i="2" s="1"/>
  <c r="Y69" i="2"/>
  <c r="Z69" i="2" s="1"/>
  <c r="U69" i="2"/>
  <c r="R69" i="2"/>
  <c r="P69" i="2"/>
  <c r="AA68" i="2"/>
  <c r="AB68" i="2" s="1"/>
  <c r="Y68" i="2"/>
  <c r="Z68" i="2" s="1"/>
  <c r="U68" i="2"/>
  <c r="R68" i="2"/>
  <c r="P68" i="2"/>
  <c r="AA67" i="2"/>
  <c r="AB67" i="2" s="1"/>
  <c r="Y67" i="2"/>
  <c r="Z67" i="2" s="1"/>
  <c r="U67" i="2"/>
  <c r="R67" i="2"/>
  <c r="P67" i="2"/>
  <c r="AA66" i="2"/>
  <c r="AB66" i="2" s="1"/>
  <c r="Y66" i="2"/>
  <c r="Z66" i="2" s="1"/>
  <c r="U66" i="2"/>
  <c r="R66" i="2"/>
  <c r="P66" i="2"/>
  <c r="AA65" i="2"/>
  <c r="AB65" i="2" s="1"/>
  <c r="Y65" i="2"/>
  <c r="Z65" i="2" s="1"/>
  <c r="U65" i="2"/>
  <c r="R65" i="2"/>
  <c r="P65" i="2"/>
  <c r="AA64" i="2"/>
  <c r="AB64" i="2" s="1"/>
  <c r="Y64" i="2"/>
  <c r="Z64" i="2" s="1"/>
  <c r="U64" i="2"/>
  <c r="R64" i="2"/>
  <c r="P64" i="2"/>
  <c r="AA63" i="2"/>
  <c r="AB63" i="2" s="1"/>
  <c r="Y63" i="2"/>
  <c r="Z63" i="2" s="1"/>
  <c r="U63" i="2"/>
  <c r="R63" i="2"/>
  <c r="P63" i="2"/>
  <c r="AA62" i="2"/>
  <c r="AB62" i="2" s="1"/>
  <c r="Y62" i="2"/>
  <c r="Z62" i="2" s="1"/>
  <c r="U62" i="2"/>
  <c r="R62" i="2"/>
  <c r="P62" i="2"/>
  <c r="AA61" i="2"/>
  <c r="AB61" i="2" s="1"/>
  <c r="Y61" i="2"/>
  <c r="Z61" i="2" s="1"/>
  <c r="U61" i="2"/>
  <c r="R61" i="2"/>
  <c r="P61" i="2"/>
  <c r="AA60" i="2"/>
  <c r="AB60" i="2" s="1"/>
  <c r="Y60" i="2"/>
  <c r="Z60" i="2" s="1"/>
  <c r="U60" i="2"/>
  <c r="R60" i="2"/>
  <c r="P60" i="2"/>
  <c r="AA59" i="2"/>
  <c r="AB59" i="2" s="1"/>
  <c r="Y59" i="2"/>
  <c r="Z59" i="2" s="1"/>
  <c r="U59" i="2"/>
  <c r="R59" i="2"/>
  <c r="P59" i="2"/>
  <c r="AA58" i="2"/>
  <c r="AB58" i="2" s="1"/>
  <c r="Y58" i="2"/>
  <c r="Z58" i="2" s="1"/>
  <c r="U58" i="2"/>
  <c r="R58" i="2"/>
  <c r="P58" i="2"/>
  <c r="AA57" i="2"/>
  <c r="AB57" i="2" s="1"/>
  <c r="Y57" i="2"/>
  <c r="Z57" i="2" s="1"/>
  <c r="U57" i="2"/>
  <c r="R57" i="2"/>
  <c r="P57" i="2"/>
  <c r="AA56" i="2"/>
  <c r="AB56" i="2" s="1"/>
  <c r="Y56" i="2"/>
  <c r="Z56" i="2" s="1"/>
  <c r="U56" i="2"/>
  <c r="R56" i="2"/>
  <c r="P56" i="2"/>
  <c r="AA55" i="2"/>
  <c r="AB55" i="2" s="1"/>
  <c r="Y55" i="2"/>
  <c r="Z55" i="2" s="1"/>
  <c r="U55" i="2"/>
  <c r="R55" i="2"/>
  <c r="P55" i="2"/>
  <c r="AA54" i="2"/>
  <c r="AB54" i="2" s="1"/>
  <c r="Y54" i="2"/>
  <c r="Z54" i="2" s="1"/>
  <c r="U54" i="2"/>
  <c r="R54" i="2"/>
  <c r="P54" i="2"/>
  <c r="AA53" i="2"/>
  <c r="AB53" i="2" s="1"/>
  <c r="Y53" i="2"/>
  <c r="Z53" i="2" s="1"/>
  <c r="U53" i="2"/>
  <c r="R53" i="2"/>
  <c r="P53" i="2"/>
  <c r="AA52" i="2"/>
  <c r="AB52" i="2" s="1"/>
  <c r="Y52" i="2"/>
  <c r="Z52" i="2" s="1"/>
  <c r="U52" i="2"/>
  <c r="R52" i="2"/>
  <c r="P52" i="2"/>
  <c r="AA51" i="2"/>
  <c r="AB51" i="2" s="1"/>
  <c r="Y51" i="2"/>
  <c r="Z51" i="2" s="1"/>
  <c r="U51" i="2"/>
  <c r="R51" i="2"/>
  <c r="P51" i="2"/>
  <c r="AA50" i="2"/>
  <c r="AB50" i="2" s="1"/>
  <c r="Y50" i="2"/>
  <c r="Z50" i="2" s="1"/>
  <c r="U50" i="2"/>
  <c r="R50" i="2"/>
  <c r="P50" i="2"/>
  <c r="AA49" i="2"/>
  <c r="AB49" i="2" s="1"/>
  <c r="Y49" i="2"/>
  <c r="Z49" i="2" s="1"/>
  <c r="U49" i="2"/>
  <c r="R49" i="2"/>
  <c r="P49" i="2"/>
  <c r="AA48" i="2"/>
  <c r="AB48" i="2" s="1"/>
  <c r="Y48" i="2"/>
  <c r="Z48" i="2" s="1"/>
  <c r="U48" i="2"/>
  <c r="R48" i="2"/>
  <c r="P48" i="2"/>
  <c r="AA47" i="2"/>
  <c r="AB47" i="2" s="1"/>
  <c r="Y47" i="2"/>
  <c r="Z47" i="2" s="1"/>
  <c r="U47" i="2"/>
  <c r="R47" i="2"/>
  <c r="P47" i="2"/>
  <c r="AA46" i="2"/>
  <c r="AB46" i="2" s="1"/>
  <c r="Y46" i="2"/>
  <c r="Z46" i="2" s="1"/>
  <c r="U46" i="2"/>
  <c r="R46" i="2"/>
  <c r="P46" i="2"/>
  <c r="AA45" i="2"/>
  <c r="AB45" i="2" s="1"/>
  <c r="Y45" i="2"/>
  <c r="Z45" i="2" s="1"/>
  <c r="U45" i="2"/>
  <c r="R45" i="2"/>
  <c r="P45" i="2"/>
  <c r="AA44" i="2"/>
  <c r="AB44" i="2" s="1"/>
  <c r="Y44" i="2"/>
  <c r="Z44" i="2" s="1"/>
  <c r="U44" i="2"/>
  <c r="R44" i="2"/>
  <c r="P44" i="2"/>
  <c r="AA43" i="2"/>
  <c r="AB43" i="2" s="1"/>
  <c r="Y43" i="2"/>
  <c r="Z43" i="2" s="1"/>
  <c r="U43" i="2"/>
  <c r="R43" i="2"/>
  <c r="P43" i="2"/>
  <c r="AA42" i="2"/>
  <c r="AB42" i="2" s="1"/>
  <c r="Y42" i="2"/>
  <c r="Z42" i="2" s="1"/>
  <c r="U42" i="2"/>
  <c r="R42" i="2"/>
  <c r="P42" i="2"/>
  <c r="AA41" i="2"/>
  <c r="AB41" i="2" s="1"/>
  <c r="Y41" i="2"/>
  <c r="Z41" i="2" s="1"/>
  <c r="U41" i="2"/>
  <c r="R41" i="2"/>
  <c r="P41" i="2"/>
  <c r="AA40" i="2"/>
  <c r="AB40" i="2" s="1"/>
  <c r="Y40" i="2"/>
  <c r="Z40" i="2" s="1"/>
  <c r="U40" i="2"/>
  <c r="R40" i="2"/>
  <c r="P40" i="2"/>
  <c r="AA39" i="2"/>
  <c r="AB39" i="2" s="1"/>
  <c r="Y39" i="2"/>
  <c r="Z39" i="2" s="1"/>
  <c r="U39" i="2"/>
  <c r="R39" i="2"/>
  <c r="P39" i="2"/>
  <c r="AA38" i="2"/>
  <c r="AB38" i="2" s="1"/>
  <c r="Y38" i="2"/>
  <c r="Z38" i="2" s="1"/>
  <c r="U38" i="2"/>
  <c r="R38" i="2"/>
  <c r="P38" i="2"/>
  <c r="AA37" i="2"/>
  <c r="AB37" i="2" s="1"/>
  <c r="Y37" i="2"/>
  <c r="Z37" i="2" s="1"/>
  <c r="U37" i="2"/>
  <c r="R37" i="2"/>
  <c r="P37" i="2"/>
  <c r="AA36" i="2"/>
  <c r="AB36" i="2" s="1"/>
  <c r="Y36" i="2"/>
  <c r="Z36" i="2" s="1"/>
  <c r="U36" i="2"/>
  <c r="R36" i="2"/>
  <c r="P36" i="2"/>
  <c r="AA35" i="2"/>
  <c r="AB35" i="2" s="1"/>
  <c r="Y35" i="2"/>
  <c r="Z35" i="2" s="1"/>
  <c r="U35" i="2"/>
  <c r="R35" i="2"/>
  <c r="P35" i="2"/>
  <c r="AA34" i="2"/>
  <c r="AB34" i="2" s="1"/>
  <c r="Y34" i="2"/>
  <c r="Z34" i="2" s="1"/>
  <c r="U34" i="2"/>
  <c r="R34" i="2"/>
  <c r="P34" i="2"/>
  <c r="AA33" i="2"/>
  <c r="AB33" i="2" s="1"/>
  <c r="Y33" i="2"/>
  <c r="Z33" i="2" s="1"/>
  <c r="U33" i="2"/>
  <c r="R33" i="2"/>
  <c r="P33" i="2"/>
  <c r="AA32" i="2"/>
  <c r="AB32" i="2" s="1"/>
  <c r="Y32" i="2"/>
  <c r="Z32" i="2" s="1"/>
  <c r="U32" i="2"/>
  <c r="R32" i="2"/>
  <c r="P32" i="2"/>
  <c r="AA31" i="2"/>
  <c r="AB31" i="2" s="1"/>
  <c r="Y31" i="2"/>
  <c r="Z31" i="2" s="1"/>
  <c r="U31" i="2"/>
  <c r="R31" i="2"/>
  <c r="P31" i="2"/>
  <c r="AA30" i="2"/>
  <c r="AB30" i="2" s="1"/>
  <c r="Y30" i="2"/>
  <c r="Z30" i="2" s="1"/>
  <c r="U30" i="2"/>
  <c r="R30" i="2"/>
  <c r="P30" i="2"/>
  <c r="AA29" i="2"/>
  <c r="AB29" i="2" s="1"/>
  <c r="Y29" i="2"/>
  <c r="Z29" i="2" s="1"/>
  <c r="U29" i="2"/>
  <c r="R29" i="2"/>
  <c r="P29" i="2"/>
  <c r="AA28" i="2"/>
  <c r="AB28" i="2" s="1"/>
  <c r="Y28" i="2"/>
  <c r="Z28" i="2" s="1"/>
  <c r="U28" i="2"/>
  <c r="R28" i="2"/>
  <c r="P28" i="2"/>
  <c r="AA27" i="2"/>
  <c r="AB27" i="2" s="1"/>
  <c r="Y27" i="2"/>
  <c r="Z27" i="2" s="1"/>
  <c r="U27" i="2"/>
  <c r="R27" i="2"/>
  <c r="P27" i="2"/>
  <c r="AA26" i="2"/>
  <c r="AB26" i="2" s="1"/>
  <c r="Y26" i="2"/>
  <c r="Z26" i="2" s="1"/>
  <c r="U26" i="2"/>
  <c r="R26" i="2"/>
  <c r="P26" i="2"/>
  <c r="AA25" i="2"/>
  <c r="AB25" i="2" s="1"/>
  <c r="Y25" i="2"/>
  <c r="Z25" i="2" s="1"/>
  <c r="U25" i="2"/>
  <c r="R25" i="2"/>
  <c r="P25" i="2"/>
  <c r="AA24" i="2"/>
  <c r="AB24" i="2" s="1"/>
  <c r="Y24" i="2"/>
  <c r="Z24" i="2" s="1"/>
  <c r="U24" i="2"/>
  <c r="R24" i="2"/>
  <c r="P24" i="2"/>
  <c r="AA23" i="2"/>
  <c r="AB23" i="2" s="1"/>
  <c r="Y23" i="2"/>
  <c r="Z23" i="2" s="1"/>
  <c r="U23" i="2"/>
  <c r="R23" i="2"/>
  <c r="P23" i="2"/>
  <c r="AA22" i="2"/>
  <c r="AB22" i="2" s="1"/>
  <c r="Y22" i="2"/>
  <c r="Z22" i="2" s="1"/>
  <c r="U22" i="2"/>
  <c r="R22" i="2"/>
  <c r="P22" i="2"/>
  <c r="AA21" i="2"/>
  <c r="AB21" i="2" s="1"/>
  <c r="Y21" i="2"/>
  <c r="Z21" i="2" s="1"/>
  <c r="U21" i="2"/>
  <c r="R21" i="2"/>
  <c r="P21" i="2"/>
  <c r="AA20" i="2"/>
  <c r="AB20" i="2" s="1"/>
  <c r="Y20" i="2"/>
  <c r="Z20" i="2" s="1"/>
  <c r="U20" i="2"/>
  <c r="R20" i="2"/>
  <c r="P20" i="2"/>
  <c r="AA19" i="2"/>
  <c r="AB19" i="2" s="1"/>
  <c r="Y19" i="2"/>
  <c r="Z19" i="2" s="1"/>
  <c r="U19" i="2"/>
  <c r="R19" i="2"/>
  <c r="P19" i="2"/>
  <c r="AA18" i="2"/>
  <c r="AB18" i="2" s="1"/>
  <c r="Y18" i="2"/>
  <c r="Z18" i="2" s="1"/>
  <c r="U18" i="2"/>
  <c r="R18" i="2"/>
  <c r="P18" i="2"/>
  <c r="AA17" i="2"/>
  <c r="AB17" i="2" s="1"/>
  <c r="Y17" i="2"/>
  <c r="Z17" i="2" s="1"/>
  <c r="U17" i="2"/>
  <c r="R17" i="2"/>
  <c r="P17" i="2"/>
  <c r="AA16" i="2"/>
  <c r="AB16" i="2" s="1"/>
  <c r="Y16" i="2"/>
  <c r="Z16" i="2" s="1"/>
  <c r="U16" i="2"/>
  <c r="R16" i="2"/>
  <c r="P16" i="2"/>
  <c r="AA15" i="2"/>
  <c r="AB15" i="2" s="1"/>
  <c r="Y15" i="2"/>
  <c r="Z15" i="2" s="1"/>
  <c r="U15" i="2"/>
  <c r="R15" i="2"/>
  <c r="P15" i="2"/>
  <c r="AA14" i="2"/>
  <c r="AB14" i="2" s="1"/>
  <c r="Y14" i="2"/>
  <c r="Z14" i="2" s="1"/>
  <c r="U14" i="2"/>
  <c r="R14" i="2"/>
  <c r="P14" i="2"/>
  <c r="AA13" i="2"/>
  <c r="AB13" i="2" s="1"/>
  <c r="Y13" i="2"/>
  <c r="Z13" i="2" s="1"/>
  <c r="U13" i="2"/>
  <c r="R13" i="2"/>
  <c r="P13" i="2"/>
  <c r="AA12" i="2"/>
  <c r="AB12" i="2" s="1"/>
  <c r="Y12" i="2"/>
  <c r="Z12" i="2" s="1"/>
  <c r="U12" i="2"/>
  <c r="R12" i="2"/>
  <c r="P12" i="2"/>
  <c r="AA11" i="2"/>
  <c r="AB11" i="2" s="1"/>
  <c r="Y11" i="2"/>
  <c r="Z11" i="2" s="1"/>
  <c r="U11" i="2"/>
  <c r="R11" i="2"/>
  <c r="P11" i="2"/>
  <c r="AA10" i="2"/>
  <c r="AB10" i="2" s="1"/>
  <c r="Y10" i="2"/>
  <c r="Z10" i="2" s="1"/>
  <c r="U10" i="2"/>
  <c r="R10" i="2"/>
  <c r="P10" i="2"/>
  <c r="AA9" i="2"/>
  <c r="AB9" i="2" s="1"/>
  <c r="Y9" i="2"/>
  <c r="Z9" i="2" s="1"/>
  <c r="U9" i="2"/>
  <c r="R9" i="2"/>
  <c r="P9" i="2"/>
  <c r="AA8" i="2"/>
  <c r="AB8" i="2" s="1"/>
  <c r="Y8" i="2"/>
  <c r="Z8" i="2" s="1"/>
  <c r="U8" i="2"/>
  <c r="R8" i="2"/>
  <c r="P8" i="2"/>
  <c r="AA7" i="2"/>
  <c r="AB7" i="2" s="1"/>
  <c r="Y7" i="2"/>
  <c r="Z7" i="2" s="1"/>
  <c r="U7" i="2"/>
  <c r="R7" i="2"/>
  <c r="P7" i="2"/>
  <c r="AA6" i="2"/>
  <c r="AB6" i="2" s="1"/>
  <c r="Y6" i="2"/>
  <c r="Z6" i="2" s="1"/>
  <c r="U6" i="2"/>
  <c r="R6" i="2"/>
  <c r="P6" i="2"/>
  <c r="AA5" i="2"/>
  <c r="AB5" i="2" s="1"/>
  <c r="Y5" i="2"/>
  <c r="Z5" i="2" s="1"/>
  <c r="U5" i="2"/>
  <c r="R5" i="2"/>
  <c r="P5" i="2"/>
  <c r="AA4" i="2"/>
  <c r="AB4" i="2" s="1"/>
  <c r="Y4" i="2"/>
  <c r="Z4" i="2" s="1"/>
  <c r="U4" i="2"/>
  <c r="R4" i="2"/>
  <c r="P4" i="2"/>
  <c r="AA3" i="2"/>
  <c r="AB3" i="2" s="1"/>
  <c r="Y3" i="2"/>
  <c r="Z3" i="2" s="1"/>
  <c r="U3" i="2"/>
  <c r="R3" i="2"/>
  <c r="P3" i="2"/>
  <c r="AA2" i="2"/>
  <c r="AB2" i="2" s="1"/>
  <c r="Y2" i="2"/>
  <c r="Z2" i="2" s="1"/>
  <c r="U2" i="2"/>
  <c r="R2" i="2"/>
  <c r="P2" i="2"/>
  <c r="J21" i="3" l="1"/>
  <c r="AS15" i="4"/>
  <c r="AT15" i="4"/>
  <c r="L16" i="3"/>
  <c r="M16" i="3" s="1"/>
  <c r="I21" i="3"/>
  <c r="G21" i="3"/>
  <c r="L18" i="3"/>
  <c r="M18" i="3" s="1"/>
  <c r="L8" i="3"/>
  <c r="M8" i="3" s="1"/>
  <c r="L7" i="3"/>
  <c r="M7" i="3" s="1"/>
  <c r="L9" i="3"/>
  <c r="M9" i="3" s="1"/>
  <c r="L17" i="3"/>
  <c r="M17" i="3" s="1"/>
  <c r="F21" i="3"/>
  <c r="L11" i="3"/>
  <c r="M11" i="3" s="1"/>
  <c r="L19" i="3"/>
  <c r="M19" i="3" s="1"/>
  <c r="L12" i="3"/>
  <c r="M12" i="3" s="1"/>
  <c r="K21" i="3"/>
  <c r="L10" i="3"/>
  <c r="M10" i="3" s="1"/>
  <c r="L6" i="3"/>
  <c r="M6" i="3" s="1"/>
  <c r="L20" i="3"/>
  <c r="M20" i="3" s="1"/>
  <c r="C36" i="4"/>
  <c r="L5" i="3"/>
  <c r="M5" i="3" s="1"/>
  <c r="L726" i="2"/>
  <c r="L15" i="3"/>
  <c r="M15" i="3" s="1"/>
  <c r="L14" i="3"/>
  <c r="M14" i="3" s="1"/>
  <c r="C12" i="1"/>
  <c r="C13" i="1"/>
  <c r="F15" i="9"/>
  <c r="F27" i="9" s="1"/>
  <c r="D29" i="9" s="1"/>
  <c r="C27" i="9"/>
  <c r="Q7" i="7" a="1"/>
  <c r="Q7" i="7" s="1"/>
  <c r="R6" i="7"/>
  <c r="Q8" i="7" a="1"/>
  <c r="Q8" i="7" s="1"/>
  <c r="R6" i="5"/>
  <c r="Q7" i="5" a="1"/>
  <c r="Q7" i="5" s="1"/>
  <c r="C15" i="4"/>
  <c r="L4" i="3"/>
  <c r="D21" i="3"/>
  <c r="W1799" i="2"/>
  <c r="X1799" i="2"/>
  <c r="X1798" i="2"/>
  <c r="W1798" i="2"/>
  <c r="X1797" i="2"/>
  <c r="W1797" i="2"/>
  <c r="X1796" i="2"/>
  <c r="W1796" i="2"/>
  <c r="W1795" i="2"/>
  <c r="X1795" i="2"/>
  <c r="W1794" i="2"/>
  <c r="X1794" i="2"/>
  <c r="W1793" i="2"/>
  <c r="X1793" i="2"/>
  <c r="W1792" i="2"/>
  <c r="X1792" i="2"/>
  <c r="W1791" i="2"/>
  <c r="X1791" i="2"/>
  <c r="W1790" i="2"/>
  <c r="X1790" i="2"/>
  <c r="W1789" i="2"/>
  <c r="X1789" i="2"/>
  <c r="W1788" i="2"/>
  <c r="X1788" i="2"/>
  <c r="W1787" i="2"/>
  <c r="X1787" i="2"/>
  <c r="X1786" i="2"/>
  <c r="W1786" i="2"/>
  <c r="W1785" i="2"/>
  <c r="X1785" i="2"/>
  <c r="X1784" i="2"/>
  <c r="W1784" i="2"/>
  <c r="X1783" i="2"/>
  <c r="W1783" i="2"/>
  <c r="W1782" i="2"/>
  <c r="X1782" i="2"/>
  <c r="X1781" i="2"/>
  <c r="W1781" i="2"/>
  <c r="W1780" i="2"/>
  <c r="X1780" i="2"/>
  <c r="W1779" i="2"/>
  <c r="X1779" i="2"/>
  <c r="X1778" i="2"/>
  <c r="W1778" i="2"/>
  <c r="W1777" i="2"/>
  <c r="X1777" i="2"/>
  <c r="W1776" i="2"/>
  <c r="X1776" i="2"/>
  <c r="W1775" i="2"/>
  <c r="X1775" i="2"/>
  <c r="W1774" i="2"/>
  <c r="X1774" i="2"/>
  <c r="W1773" i="2"/>
  <c r="X1773" i="2"/>
  <c r="W1772" i="2"/>
  <c r="X1772" i="2"/>
  <c r="X1771" i="2"/>
  <c r="W1771" i="2"/>
  <c r="X1770" i="2"/>
  <c r="W1770" i="2"/>
  <c r="W1769" i="2"/>
  <c r="X1769" i="2"/>
  <c r="X1768" i="2"/>
  <c r="W1768" i="2"/>
  <c r="X1767" i="2"/>
  <c r="W1767" i="2"/>
  <c r="W1766" i="2"/>
  <c r="X1766" i="2"/>
  <c r="X1765" i="2"/>
  <c r="W1765" i="2"/>
  <c r="W1764" i="2"/>
  <c r="X1764" i="2"/>
  <c r="X1763" i="2"/>
  <c r="W1763" i="2"/>
  <c r="X1762" i="2"/>
  <c r="W1762" i="2"/>
  <c r="W1761" i="2"/>
  <c r="X1761" i="2"/>
  <c r="X1760" i="2"/>
  <c r="W1760" i="2"/>
  <c r="X1759" i="2"/>
  <c r="W1759" i="2"/>
  <c r="X1758" i="2"/>
  <c r="W1758" i="2"/>
  <c r="W1757" i="2"/>
  <c r="X1757" i="2"/>
  <c r="W1756" i="2"/>
  <c r="X1756" i="2"/>
  <c r="W1755" i="2"/>
  <c r="X1755" i="2"/>
  <c r="W1754" i="2"/>
  <c r="X1754" i="2"/>
  <c r="X1753" i="2"/>
  <c r="W1753" i="2"/>
  <c r="X1752" i="2"/>
  <c r="W1752" i="2"/>
  <c r="X1751" i="2"/>
  <c r="W1751" i="2"/>
  <c r="W1750" i="2"/>
  <c r="X1750" i="2"/>
  <c r="X1749" i="2"/>
  <c r="W1749" i="2"/>
  <c r="X1748" i="2"/>
  <c r="W1748" i="2"/>
  <c r="X1747" i="2"/>
  <c r="W1747" i="2"/>
  <c r="X1746" i="2"/>
  <c r="W1746" i="2"/>
  <c r="X1745" i="2"/>
  <c r="W1745" i="2"/>
  <c r="W1744" i="2"/>
  <c r="X1744" i="2"/>
  <c r="W1743" i="2"/>
  <c r="X1743" i="2"/>
  <c r="X1742" i="2"/>
  <c r="W1742" i="2"/>
  <c r="X1741" i="2"/>
  <c r="W1741" i="2"/>
  <c r="W1740" i="2"/>
  <c r="X1740" i="2"/>
  <c r="X1739" i="2"/>
  <c r="W1739" i="2"/>
  <c r="X1738" i="2"/>
  <c r="W1738" i="2"/>
  <c r="W1737" i="2"/>
  <c r="X1737" i="2"/>
  <c r="W1736" i="2"/>
  <c r="X1736" i="2"/>
  <c r="X1735" i="2"/>
  <c r="W1735" i="2"/>
  <c r="W1734" i="2"/>
  <c r="X1734" i="2"/>
  <c r="X1733" i="2"/>
  <c r="W1733" i="2"/>
  <c r="X1732" i="2"/>
  <c r="W1732" i="2"/>
  <c r="X1731" i="2"/>
  <c r="W1731" i="2"/>
  <c r="X1730" i="2"/>
  <c r="W1730" i="2"/>
  <c r="W1729" i="2"/>
  <c r="X1729" i="2"/>
  <c r="X1728" i="2"/>
  <c r="W1728" i="2"/>
  <c r="W1727" i="2"/>
  <c r="X1727" i="2"/>
  <c r="W1726" i="2"/>
  <c r="X1726" i="2"/>
  <c r="X1725" i="2"/>
  <c r="W1725" i="2"/>
  <c r="W1724" i="2"/>
  <c r="X1724" i="2"/>
  <c r="X1723" i="2"/>
  <c r="W1723" i="2"/>
  <c r="X1722" i="2"/>
  <c r="W1722" i="2"/>
  <c r="X1721" i="2"/>
  <c r="W1721" i="2"/>
  <c r="X1720" i="2"/>
  <c r="W1720" i="2"/>
  <c r="W1719" i="2"/>
  <c r="X1719" i="2"/>
  <c r="X1718" i="2"/>
  <c r="W1718" i="2"/>
  <c r="W1717" i="2"/>
  <c r="X1717" i="2"/>
  <c r="W1716" i="2"/>
  <c r="X1716" i="2"/>
  <c r="W1715" i="2"/>
  <c r="X1715" i="2"/>
  <c r="X1714" i="2"/>
  <c r="W1714" i="2"/>
  <c r="X1713" i="2"/>
  <c r="W1713" i="2"/>
  <c r="W1712" i="2"/>
  <c r="X1712" i="2"/>
  <c r="W1711" i="2"/>
  <c r="X1711" i="2"/>
  <c r="X1710" i="2"/>
  <c r="W1710" i="2"/>
  <c r="W1709" i="2"/>
  <c r="X1709" i="2"/>
  <c r="W1708" i="2"/>
  <c r="X1708" i="2"/>
  <c r="X1707" i="2"/>
  <c r="W1707" i="2"/>
  <c r="X1706" i="2"/>
  <c r="W1706" i="2"/>
  <c r="X1705" i="2"/>
  <c r="W1705" i="2"/>
  <c r="X1704" i="2"/>
  <c r="W1704" i="2"/>
  <c r="X1703" i="2"/>
  <c r="W1703" i="2"/>
  <c r="X1702" i="2"/>
  <c r="W1702" i="2"/>
  <c r="X1701" i="2"/>
  <c r="W1701" i="2"/>
  <c r="X1700" i="2"/>
  <c r="W1700" i="2"/>
  <c r="W1699" i="2"/>
  <c r="X1699" i="2"/>
  <c r="W1698" i="2"/>
  <c r="X1698" i="2"/>
  <c r="W1697" i="2"/>
  <c r="X1697" i="2"/>
  <c r="W1696" i="2"/>
  <c r="X1696" i="2"/>
  <c r="W1695" i="2"/>
  <c r="X1695" i="2"/>
  <c r="X1694" i="2"/>
  <c r="W1694" i="2"/>
  <c r="W1693" i="2"/>
  <c r="X1693" i="2"/>
  <c r="W1692" i="2"/>
  <c r="X1692" i="2"/>
  <c r="X1691" i="2"/>
  <c r="W1691" i="2"/>
  <c r="X1690" i="2"/>
  <c r="W1690" i="2"/>
  <c r="W1689" i="2"/>
  <c r="X1689" i="2"/>
  <c r="X1688" i="2"/>
  <c r="W1688" i="2"/>
  <c r="X1687" i="2"/>
  <c r="W1687" i="2"/>
  <c r="W1686" i="2"/>
  <c r="X1686" i="2"/>
  <c r="W1685" i="2"/>
  <c r="X1685" i="2"/>
  <c r="W1684" i="2"/>
  <c r="X1684" i="2"/>
  <c r="W1683" i="2"/>
  <c r="X1683" i="2"/>
  <c r="X1682" i="2"/>
  <c r="W1682" i="2"/>
  <c r="W1681" i="2"/>
  <c r="X1681" i="2"/>
  <c r="W1680" i="2"/>
  <c r="X1680" i="2"/>
  <c r="X1679" i="2"/>
  <c r="W1679" i="2"/>
  <c r="W1678" i="2"/>
  <c r="X1678" i="2"/>
  <c r="X1677" i="2"/>
  <c r="W1677" i="2"/>
  <c r="W1676" i="2"/>
  <c r="X1676" i="2"/>
  <c r="X1675" i="2"/>
  <c r="W1675" i="2"/>
  <c r="W1674" i="2"/>
  <c r="X1674" i="2"/>
  <c r="W1673" i="2"/>
  <c r="X1673" i="2"/>
  <c r="W1672" i="2"/>
  <c r="X1672" i="2"/>
  <c r="W1671" i="2"/>
  <c r="X1671" i="2"/>
  <c r="X1670" i="2"/>
  <c r="W1670" i="2"/>
  <c r="X1669" i="2"/>
  <c r="W1669" i="2"/>
  <c r="W1668" i="2"/>
  <c r="X1668" i="2"/>
  <c r="W1667" i="2"/>
  <c r="X1667" i="2"/>
  <c r="W1666" i="2"/>
  <c r="X1666" i="2"/>
  <c r="X1665" i="2"/>
  <c r="W1665" i="2"/>
  <c r="W1664" i="2"/>
  <c r="X1664" i="2"/>
  <c r="W1663" i="2"/>
  <c r="X1663" i="2"/>
  <c r="X1662" i="2"/>
  <c r="W1662" i="2"/>
  <c r="W1661" i="2"/>
  <c r="X1661" i="2"/>
  <c r="X1660" i="2"/>
  <c r="W1660" i="2"/>
  <c r="X1659" i="2"/>
  <c r="W1659" i="2"/>
  <c r="W1658" i="2"/>
  <c r="X1658" i="2"/>
  <c r="X1657" i="2"/>
  <c r="W1657" i="2"/>
  <c r="W1656" i="2"/>
  <c r="X1656" i="2"/>
  <c r="X1655" i="2"/>
  <c r="W1655" i="2"/>
  <c r="X1654" i="2"/>
  <c r="W1654" i="2"/>
  <c r="W1653" i="2"/>
  <c r="X1653" i="2"/>
  <c r="X1652" i="2"/>
  <c r="W1652" i="2"/>
  <c r="W1651" i="2"/>
  <c r="X1651" i="2"/>
  <c r="X1650" i="2"/>
  <c r="W1650" i="2"/>
  <c r="X1649" i="2"/>
  <c r="W1649" i="2"/>
  <c r="W1648" i="2"/>
  <c r="X1648" i="2"/>
  <c r="X1647" i="2"/>
  <c r="W1647" i="2"/>
  <c r="X1646" i="2"/>
  <c r="W1646" i="2"/>
  <c r="W1645" i="2"/>
  <c r="X1645" i="2"/>
  <c r="W1644" i="2"/>
  <c r="X1644" i="2"/>
  <c r="X1643" i="2"/>
  <c r="W1643" i="2"/>
  <c r="X1642" i="2"/>
  <c r="W1642" i="2"/>
  <c r="W1641" i="2"/>
  <c r="X1641" i="2"/>
  <c r="X1640" i="2"/>
  <c r="W1640" i="2"/>
  <c r="X1639" i="2"/>
  <c r="W1639" i="2"/>
  <c r="X1638" i="2"/>
  <c r="W1638" i="2"/>
  <c r="W1637" i="2"/>
  <c r="X1637" i="2"/>
  <c r="W1636" i="2"/>
  <c r="X1636" i="2"/>
  <c r="X1635" i="2"/>
  <c r="W1635" i="2"/>
  <c r="W1634" i="2"/>
  <c r="X1634" i="2"/>
  <c r="X1633" i="2"/>
  <c r="W1633" i="2"/>
  <c r="X1632" i="2"/>
  <c r="W1632" i="2"/>
  <c r="X1631" i="2"/>
  <c r="W1631" i="2"/>
  <c r="X1630" i="2"/>
  <c r="W1630" i="2"/>
  <c r="X1629" i="2"/>
  <c r="W1629" i="2"/>
  <c r="X1628" i="2"/>
  <c r="W1628" i="2"/>
  <c r="W1627" i="2"/>
  <c r="X1627" i="2"/>
  <c r="X1626" i="2"/>
  <c r="W1626" i="2"/>
  <c r="X1625" i="2"/>
  <c r="W1625" i="2"/>
  <c r="W1624" i="2"/>
  <c r="X1624" i="2"/>
  <c r="W1623" i="2"/>
  <c r="X1623" i="2"/>
  <c r="W1622" i="2"/>
  <c r="X1622" i="2"/>
  <c r="X1621" i="2"/>
  <c r="W1621" i="2"/>
  <c r="W1620" i="2"/>
  <c r="X1620" i="2"/>
  <c r="W1619" i="2"/>
  <c r="X1619" i="2"/>
  <c r="X1618" i="2"/>
  <c r="W1618" i="2"/>
  <c r="W1617" i="2"/>
  <c r="X1617" i="2"/>
  <c r="X1616" i="2"/>
  <c r="W1616" i="2"/>
  <c r="X1615" i="2"/>
  <c r="W1615" i="2"/>
  <c r="X1614" i="2"/>
  <c r="W1614" i="2"/>
  <c r="W1613" i="2"/>
  <c r="X1613" i="2"/>
  <c r="X1612" i="2"/>
  <c r="W1612" i="2"/>
  <c r="W1611" i="2"/>
  <c r="X1611" i="2"/>
  <c r="X1610" i="2"/>
  <c r="W1610" i="2"/>
  <c r="W1609" i="2"/>
  <c r="X1609" i="2"/>
  <c r="X1608" i="2"/>
  <c r="W1608" i="2"/>
  <c r="W1607" i="2"/>
  <c r="X1607" i="2"/>
  <c r="W1606" i="2"/>
  <c r="X1606" i="2"/>
  <c r="W1605" i="2"/>
  <c r="X1605" i="2"/>
  <c r="X1604" i="2"/>
  <c r="W1604" i="2"/>
  <c r="W1603" i="2"/>
  <c r="X1603" i="2"/>
  <c r="X1602" i="2"/>
  <c r="W1602" i="2"/>
  <c r="X1601" i="2"/>
  <c r="W1601" i="2"/>
  <c r="W1600" i="2"/>
  <c r="X1600" i="2"/>
  <c r="W1599" i="2"/>
  <c r="X1599" i="2"/>
  <c r="W1598" i="2"/>
  <c r="X1598" i="2"/>
  <c r="X1597" i="2"/>
  <c r="W1597" i="2"/>
  <c r="X1596" i="2"/>
  <c r="W1596" i="2"/>
  <c r="X1595" i="2"/>
  <c r="W1595" i="2"/>
  <c r="W1594" i="2"/>
  <c r="X1594" i="2"/>
  <c r="W1593" i="2"/>
  <c r="X1593" i="2"/>
  <c r="X1592" i="2"/>
  <c r="W1592" i="2"/>
  <c r="W1591" i="2"/>
  <c r="X1591" i="2"/>
  <c r="W1590" i="2"/>
  <c r="X1590" i="2"/>
  <c r="W1589" i="2"/>
  <c r="X1589" i="2"/>
  <c r="W1588" i="2"/>
  <c r="X1588" i="2"/>
  <c r="W1587" i="2"/>
  <c r="X1587" i="2"/>
  <c r="X1586" i="2"/>
  <c r="W1586" i="2"/>
  <c r="X1585" i="2"/>
  <c r="W1585" i="2"/>
  <c r="W1584" i="2"/>
  <c r="X1584" i="2"/>
  <c r="X1583" i="2"/>
  <c r="W1583" i="2"/>
  <c r="W1582" i="2"/>
  <c r="X1582" i="2"/>
  <c r="W1581" i="2"/>
  <c r="X1581" i="2"/>
  <c r="W1580" i="2"/>
  <c r="X1580" i="2"/>
  <c r="W1579" i="2"/>
  <c r="X1579" i="2"/>
  <c r="W1578" i="2"/>
  <c r="X1578" i="2"/>
  <c r="X1577" i="2"/>
  <c r="W1577" i="2"/>
  <c r="X1576" i="2"/>
  <c r="W1576" i="2"/>
  <c r="W1575" i="2"/>
  <c r="X1575" i="2"/>
  <c r="X1574" i="2"/>
  <c r="W1574" i="2"/>
  <c r="X1573" i="2"/>
  <c r="W1573" i="2"/>
  <c r="X1572" i="2"/>
  <c r="W1572" i="2"/>
  <c r="X1571" i="2"/>
  <c r="W1571" i="2"/>
  <c r="W1570" i="2"/>
  <c r="X1570" i="2"/>
  <c r="X1569" i="2"/>
  <c r="W1569" i="2"/>
  <c r="W1568" i="2"/>
  <c r="X1568" i="2"/>
  <c r="X1567" i="2"/>
  <c r="W1567" i="2"/>
  <c r="W1566" i="2"/>
  <c r="X1566" i="2"/>
  <c r="W1565" i="2"/>
  <c r="X1565" i="2"/>
  <c r="W1564" i="2"/>
  <c r="X1564" i="2"/>
  <c r="X1563" i="2"/>
  <c r="W1563" i="2"/>
  <c r="W1562" i="2"/>
  <c r="X1562" i="2"/>
  <c r="W1561" i="2"/>
  <c r="X1561" i="2"/>
  <c r="X1560" i="2"/>
  <c r="W1560" i="2"/>
  <c r="W1559" i="2"/>
  <c r="X1559" i="2"/>
  <c r="W1558" i="2"/>
  <c r="X1558" i="2"/>
  <c r="X1557" i="2"/>
  <c r="W1557" i="2"/>
  <c r="W1556" i="2"/>
  <c r="X1556" i="2"/>
  <c r="W1555" i="2"/>
  <c r="X1555" i="2"/>
  <c r="X1554" i="2"/>
  <c r="W1554" i="2"/>
  <c r="W1553" i="2"/>
  <c r="X1553" i="2"/>
  <c r="X1552" i="2"/>
  <c r="W1552" i="2"/>
  <c r="W1551" i="2"/>
  <c r="X1551" i="2"/>
  <c r="X1550" i="2"/>
  <c r="W1550" i="2"/>
  <c r="W1549" i="2"/>
  <c r="X1549" i="2"/>
  <c r="W1548" i="2"/>
  <c r="X1548" i="2"/>
  <c r="X1547" i="2"/>
  <c r="W1547" i="2"/>
  <c r="X1546" i="2"/>
  <c r="W1546" i="2"/>
  <c r="X1545" i="2"/>
  <c r="W1545" i="2"/>
  <c r="W1544" i="2"/>
  <c r="X1544" i="2"/>
  <c r="W1543" i="2"/>
  <c r="X1543" i="2"/>
  <c r="X1542" i="2"/>
  <c r="W1542" i="2"/>
  <c r="W1541" i="2"/>
  <c r="X1541" i="2"/>
  <c r="W1540" i="2"/>
  <c r="X1540" i="2"/>
  <c r="W1539" i="2"/>
  <c r="X1539" i="2"/>
  <c r="X1538" i="2"/>
  <c r="W1538" i="2"/>
  <c r="W1537" i="2"/>
  <c r="X1537" i="2"/>
  <c r="X1536" i="2"/>
  <c r="W1536" i="2"/>
  <c r="W1535" i="2"/>
  <c r="X1535" i="2"/>
  <c r="X1534" i="2"/>
  <c r="W1534" i="2"/>
  <c r="W1533" i="2"/>
  <c r="X1533" i="2"/>
  <c r="W1532" i="2"/>
  <c r="X1532" i="2"/>
  <c r="X1531" i="2"/>
  <c r="W1531" i="2"/>
  <c r="W1530" i="2"/>
  <c r="X1530" i="2"/>
  <c r="W1529" i="2"/>
  <c r="X1529" i="2"/>
  <c r="X1528" i="2"/>
  <c r="W1528" i="2"/>
  <c r="X1527" i="2"/>
  <c r="W1527" i="2"/>
  <c r="X1526" i="2"/>
  <c r="W1526" i="2"/>
  <c r="X1525" i="2"/>
  <c r="W1525" i="2"/>
  <c r="X1524" i="2"/>
  <c r="W1524" i="2"/>
  <c r="X1523" i="2"/>
  <c r="W1523" i="2"/>
  <c r="W1522" i="2"/>
  <c r="X1522" i="2"/>
  <c r="X1521" i="2"/>
  <c r="W1521" i="2"/>
  <c r="W1520" i="2"/>
  <c r="X1520" i="2"/>
  <c r="W1519" i="2"/>
  <c r="X1519" i="2"/>
  <c r="X1518" i="2"/>
  <c r="W1518" i="2"/>
  <c r="W1517" i="2"/>
  <c r="X1517" i="2"/>
  <c r="X1516" i="2"/>
  <c r="W1516" i="2"/>
  <c r="X1515" i="2"/>
  <c r="W1515" i="2"/>
  <c r="X1514" i="2"/>
  <c r="W1514" i="2"/>
  <c r="X1513" i="2"/>
  <c r="W1513" i="2"/>
  <c r="X1512" i="2"/>
  <c r="W1512" i="2"/>
  <c r="X1511" i="2"/>
  <c r="W1511" i="2"/>
  <c r="W1510" i="2"/>
  <c r="X1510" i="2"/>
  <c r="W1509" i="2"/>
  <c r="X1509" i="2"/>
  <c r="W1508" i="2"/>
  <c r="X1508" i="2"/>
  <c r="X1507" i="2"/>
  <c r="W1507" i="2"/>
  <c r="X1506" i="2"/>
  <c r="W1506" i="2"/>
  <c r="W1505" i="2"/>
  <c r="X1505" i="2"/>
  <c r="W1504" i="2"/>
  <c r="X1504" i="2"/>
  <c r="W1503" i="2"/>
  <c r="X1503" i="2"/>
  <c r="W1502" i="2"/>
  <c r="X1502" i="2"/>
  <c r="X1501" i="2"/>
  <c r="W1501" i="2"/>
  <c r="W1500" i="2"/>
  <c r="X1500" i="2"/>
  <c r="W1499" i="2"/>
  <c r="X1499" i="2"/>
  <c r="W1498" i="2"/>
  <c r="X1498" i="2"/>
  <c r="X1497" i="2"/>
  <c r="W1497" i="2"/>
  <c r="X1496" i="2"/>
  <c r="W1496" i="2"/>
  <c r="X1495" i="2"/>
  <c r="W1495" i="2"/>
  <c r="W1494" i="2"/>
  <c r="X1494" i="2"/>
  <c r="W1493" i="2"/>
  <c r="X1493" i="2"/>
  <c r="W1492" i="2"/>
  <c r="X1492" i="2"/>
  <c r="W1491" i="2"/>
  <c r="X1491" i="2"/>
  <c r="X1490" i="2"/>
  <c r="W1490" i="2"/>
  <c r="W1489" i="2"/>
  <c r="X1489" i="2"/>
  <c r="W1488" i="2"/>
  <c r="X1488" i="2"/>
  <c r="X1487" i="2"/>
  <c r="W1487" i="2"/>
  <c r="W1486" i="2"/>
  <c r="X1486" i="2"/>
  <c r="X1485" i="2"/>
  <c r="W1485" i="2"/>
  <c r="W1484" i="2"/>
  <c r="X1484" i="2"/>
  <c r="X1483" i="2"/>
  <c r="W1483" i="2"/>
  <c r="W1482" i="2"/>
  <c r="X1482" i="2"/>
  <c r="X1481" i="2"/>
  <c r="W1481" i="2"/>
  <c r="X1480" i="2"/>
  <c r="W1480" i="2"/>
  <c r="X1479" i="2"/>
  <c r="W1479" i="2"/>
  <c r="X1478" i="2"/>
  <c r="W1478" i="2"/>
  <c r="X1477" i="2"/>
  <c r="W1477" i="2"/>
  <c r="X1476" i="2"/>
  <c r="W1476" i="2"/>
  <c r="W1475" i="2"/>
  <c r="X1475" i="2"/>
  <c r="X1474" i="2"/>
  <c r="W1474" i="2"/>
  <c r="W1473" i="2"/>
  <c r="X1473" i="2"/>
  <c r="W1472" i="2"/>
  <c r="X1472" i="2"/>
  <c r="W1471" i="2"/>
  <c r="X1471" i="2"/>
  <c r="X1470" i="2"/>
  <c r="W1470" i="2"/>
  <c r="X1469" i="2"/>
  <c r="W1469" i="2"/>
  <c r="X1468" i="2"/>
  <c r="W1468" i="2"/>
  <c r="W1467" i="2"/>
  <c r="X1467" i="2"/>
  <c r="W1466" i="2"/>
  <c r="X1466" i="2"/>
  <c r="W1465" i="2"/>
  <c r="X1465" i="2"/>
  <c r="W1464" i="2"/>
  <c r="X1464" i="2"/>
  <c r="W1463" i="2"/>
  <c r="X1463" i="2"/>
  <c r="X1462" i="2"/>
  <c r="W1462" i="2"/>
  <c r="X1461" i="2"/>
  <c r="W1461" i="2"/>
  <c r="X1460" i="2"/>
  <c r="W1460" i="2"/>
  <c r="X1459" i="2"/>
  <c r="W1459" i="2"/>
  <c r="X1458" i="2"/>
  <c r="W1458" i="2"/>
  <c r="W1457" i="2"/>
  <c r="X1457" i="2"/>
  <c r="X1456" i="2"/>
  <c r="W1456" i="2"/>
  <c r="X1455" i="2"/>
  <c r="W1455" i="2"/>
  <c r="W1454" i="2"/>
  <c r="X1454" i="2"/>
  <c r="X1453" i="2"/>
  <c r="W1453" i="2"/>
  <c r="W1452" i="2"/>
  <c r="X1452" i="2"/>
  <c r="W1451" i="2"/>
  <c r="X1451" i="2"/>
  <c r="X1450" i="2"/>
  <c r="W1450" i="2"/>
  <c r="X1449" i="2"/>
  <c r="W1449" i="2"/>
  <c r="X1448" i="2"/>
  <c r="W1448" i="2"/>
  <c r="X1447" i="2"/>
  <c r="W1447" i="2"/>
  <c r="X1446" i="2"/>
  <c r="W1446" i="2"/>
  <c r="W1445" i="2"/>
  <c r="X1445" i="2"/>
  <c r="X1444" i="2"/>
  <c r="W1444" i="2"/>
  <c r="W1443" i="2"/>
  <c r="X1443" i="2"/>
  <c r="X1442" i="2"/>
  <c r="W1442" i="2"/>
  <c r="W1441" i="2"/>
  <c r="X1441" i="2"/>
  <c r="W1440" i="2"/>
  <c r="X1440" i="2"/>
  <c r="W1439" i="2"/>
  <c r="X1439" i="2"/>
  <c r="W1438" i="2"/>
  <c r="X1438" i="2"/>
  <c r="X1437" i="2"/>
  <c r="W1437" i="2"/>
  <c r="W1436" i="2"/>
  <c r="X1436" i="2"/>
  <c r="W1435" i="2"/>
  <c r="X1435" i="2"/>
  <c r="X1434" i="2"/>
  <c r="W1434" i="2"/>
  <c r="W1433" i="2"/>
  <c r="X1433" i="2"/>
  <c r="W1432" i="2"/>
  <c r="X1432" i="2"/>
  <c r="X1431" i="2"/>
  <c r="W1431" i="2"/>
  <c r="W1430" i="2"/>
  <c r="X1430" i="2"/>
  <c r="W1429" i="2"/>
  <c r="X1429" i="2"/>
  <c r="W1428" i="2"/>
  <c r="X1428" i="2"/>
  <c r="W1427" i="2"/>
  <c r="X1427" i="2"/>
  <c r="W1426" i="2"/>
  <c r="X1426" i="2"/>
  <c r="X1425" i="2"/>
  <c r="W1425" i="2"/>
  <c r="X1424" i="2"/>
  <c r="W1424" i="2"/>
  <c r="X1423" i="2"/>
  <c r="W1423" i="2"/>
  <c r="X1422" i="2"/>
  <c r="W1422" i="2"/>
  <c r="X1421" i="2"/>
  <c r="W1421" i="2"/>
  <c r="X1420" i="2"/>
  <c r="W1420" i="2"/>
  <c r="X1419" i="2"/>
  <c r="W1419" i="2"/>
  <c r="X1418" i="2"/>
  <c r="W1418" i="2"/>
  <c r="X1417" i="2"/>
  <c r="W1417" i="2"/>
  <c r="X1416" i="2"/>
  <c r="W1416" i="2"/>
  <c r="W1415" i="2"/>
  <c r="X1415" i="2"/>
  <c r="X1414" i="2"/>
  <c r="W1414" i="2"/>
  <c r="X1413" i="2"/>
  <c r="W1413" i="2"/>
  <c r="X1412" i="2"/>
  <c r="W1412" i="2"/>
  <c r="W1411" i="2"/>
  <c r="X1411" i="2"/>
  <c r="W1410" i="2"/>
  <c r="X1410" i="2"/>
  <c r="X1409" i="2"/>
  <c r="W1409" i="2"/>
  <c r="W1408" i="2"/>
  <c r="X1408" i="2"/>
  <c r="W1407" i="2"/>
  <c r="X1407" i="2"/>
  <c r="W1406" i="2"/>
  <c r="X1406" i="2"/>
  <c r="W1405" i="2"/>
  <c r="X1405" i="2"/>
  <c r="X1404" i="2"/>
  <c r="W1404" i="2"/>
  <c r="X1403" i="2"/>
  <c r="W1403" i="2"/>
  <c r="W1402" i="2"/>
  <c r="X1402" i="2"/>
  <c r="W1401" i="2"/>
  <c r="X1401" i="2"/>
  <c r="X1400" i="2"/>
  <c r="W1400" i="2"/>
  <c r="X1399" i="2"/>
  <c r="W1399" i="2"/>
  <c r="W1398" i="2"/>
  <c r="X1398" i="2"/>
  <c r="X1397" i="2"/>
  <c r="W1397" i="2"/>
  <c r="W1396" i="2"/>
  <c r="X1396" i="2"/>
  <c r="W1395" i="2"/>
  <c r="X1395" i="2"/>
  <c r="X1394" i="2"/>
  <c r="W1394" i="2"/>
  <c r="W1393" i="2"/>
  <c r="X1393" i="2"/>
  <c r="W1392" i="2"/>
  <c r="X1392" i="2"/>
  <c r="X1391" i="2"/>
  <c r="W1391" i="2"/>
  <c r="X1390" i="2"/>
  <c r="W1390" i="2"/>
  <c r="X1389" i="2"/>
  <c r="W1389" i="2"/>
  <c r="X1388" i="2"/>
  <c r="W1388" i="2"/>
  <c r="W1387" i="2"/>
  <c r="X1387" i="2"/>
  <c r="X1386" i="2"/>
  <c r="W1386" i="2"/>
  <c r="X1385" i="2"/>
  <c r="W1385" i="2"/>
  <c r="X1384" i="2"/>
  <c r="W1384" i="2"/>
  <c r="W1383" i="2"/>
  <c r="X1383" i="2"/>
  <c r="X1382" i="2"/>
  <c r="W1382" i="2"/>
  <c r="W1381" i="2"/>
  <c r="X1381" i="2"/>
  <c r="W1380" i="2"/>
  <c r="X1380" i="2"/>
  <c r="W1379" i="2"/>
  <c r="X1379" i="2"/>
  <c r="X1378" i="2"/>
  <c r="W1378" i="2"/>
  <c r="W1377" i="2"/>
  <c r="X1377" i="2"/>
  <c r="X1376" i="2"/>
  <c r="W1376" i="2"/>
  <c r="W1375" i="2"/>
  <c r="X1375" i="2"/>
  <c r="X1374" i="2"/>
  <c r="W1374" i="2"/>
  <c r="W1373" i="2"/>
  <c r="X1373" i="2"/>
  <c r="X1372" i="2"/>
  <c r="W1372" i="2"/>
  <c r="X1371" i="2"/>
  <c r="W1371" i="2"/>
  <c r="X1370" i="2"/>
  <c r="W1370" i="2"/>
  <c r="W1369" i="2"/>
  <c r="X1369" i="2"/>
  <c r="W1368" i="2"/>
  <c r="X1368" i="2"/>
  <c r="W1367" i="2"/>
  <c r="X1367" i="2"/>
  <c r="X1366" i="2"/>
  <c r="W1366" i="2"/>
  <c r="X1365" i="2"/>
  <c r="W1365" i="2"/>
  <c r="X1364" i="2"/>
  <c r="W1364" i="2"/>
  <c r="X1363" i="2"/>
  <c r="W1363" i="2"/>
  <c r="X1362" i="2"/>
  <c r="W1362" i="2"/>
  <c r="W1361" i="2"/>
  <c r="X1361" i="2"/>
  <c r="W1360" i="2"/>
  <c r="X1360" i="2"/>
  <c r="X1359" i="2"/>
  <c r="W1359" i="2"/>
  <c r="X1358" i="2"/>
  <c r="W1358" i="2"/>
  <c r="X1357" i="2"/>
  <c r="W1357" i="2"/>
  <c r="W1356" i="2"/>
  <c r="X1356" i="2"/>
  <c r="X1355" i="2"/>
  <c r="W1355" i="2"/>
  <c r="X1354" i="2"/>
  <c r="W1354" i="2"/>
  <c r="X1353" i="2"/>
  <c r="W1353" i="2"/>
  <c r="X1352" i="2"/>
  <c r="W1352" i="2"/>
  <c r="X1351" i="2"/>
  <c r="W1351" i="2"/>
  <c r="X1350" i="2"/>
  <c r="W1350" i="2"/>
  <c r="X1349" i="2"/>
  <c r="W1349" i="2"/>
  <c r="X1348" i="2"/>
  <c r="W1348" i="2"/>
  <c r="X1347" i="2"/>
  <c r="W1347" i="2"/>
  <c r="X1346" i="2"/>
  <c r="W1346" i="2"/>
  <c r="X1345" i="2"/>
  <c r="W1345" i="2"/>
  <c r="X1344" i="2"/>
  <c r="W1344" i="2"/>
  <c r="X1343" i="2"/>
  <c r="W1343" i="2"/>
  <c r="W1342" i="2"/>
  <c r="X1342" i="2"/>
  <c r="W1341" i="2"/>
  <c r="X1341" i="2"/>
  <c r="X1340" i="2"/>
  <c r="W1340" i="2"/>
  <c r="X1339" i="2"/>
  <c r="W1339" i="2"/>
  <c r="W1338" i="2"/>
  <c r="X1338" i="2"/>
  <c r="X1337" i="2"/>
  <c r="W1337" i="2"/>
  <c r="X1336" i="2"/>
  <c r="W1336" i="2"/>
  <c r="X1335" i="2"/>
  <c r="W1335" i="2"/>
  <c r="X1334" i="2"/>
  <c r="W1334" i="2"/>
  <c r="W1333" i="2"/>
  <c r="X1333" i="2"/>
  <c r="X1332" i="2"/>
  <c r="W1332" i="2"/>
  <c r="X1331" i="2"/>
  <c r="W1331" i="2"/>
  <c r="W1330" i="2"/>
  <c r="X1330" i="2"/>
  <c r="X1329" i="2"/>
  <c r="W1329" i="2"/>
  <c r="W1328" i="2"/>
  <c r="X1328" i="2"/>
  <c r="X1327" i="2"/>
  <c r="W1327" i="2"/>
  <c r="X1326" i="2"/>
  <c r="W1326" i="2"/>
  <c r="W1325" i="2"/>
  <c r="X1325" i="2"/>
  <c r="W1324" i="2"/>
  <c r="X1324" i="2"/>
  <c r="W1323" i="2"/>
  <c r="X1323" i="2"/>
  <c r="X1322" i="2"/>
  <c r="W1322" i="2"/>
  <c r="X1321" i="2"/>
  <c r="W1321" i="2"/>
  <c r="W1320" i="2"/>
  <c r="X1320" i="2"/>
  <c r="X1319" i="2"/>
  <c r="W1319" i="2"/>
  <c r="X1318" i="2"/>
  <c r="W1318" i="2"/>
  <c r="X1317" i="2"/>
  <c r="W1317" i="2"/>
  <c r="X1316" i="2"/>
  <c r="W1316" i="2"/>
  <c r="X1315" i="2"/>
  <c r="W1315" i="2"/>
  <c r="W1314" i="2"/>
  <c r="X1314" i="2"/>
  <c r="X1313" i="2"/>
  <c r="W1313" i="2"/>
  <c r="W1312" i="2"/>
  <c r="X1312" i="2"/>
  <c r="W1311" i="2"/>
  <c r="X1311" i="2"/>
  <c r="W1310" i="2"/>
  <c r="X1310" i="2"/>
  <c r="X1309" i="2"/>
  <c r="W1309" i="2"/>
  <c r="X1308" i="2"/>
  <c r="W1308" i="2"/>
  <c r="X1307" i="2"/>
  <c r="W1307" i="2"/>
  <c r="W1306" i="2"/>
  <c r="X1306" i="2"/>
  <c r="X1305" i="2"/>
  <c r="W1305" i="2"/>
  <c r="X1304" i="2"/>
  <c r="W1304" i="2"/>
  <c r="X1303" i="2"/>
  <c r="W1303" i="2"/>
  <c r="X1302" i="2"/>
  <c r="W1302" i="2"/>
  <c r="X1301" i="2"/>
  <c r="W1301" i="2"/>
  <c r="X1300" i="2"/>
  <c r="W1300" i="2"/>
  <c r="X1299" i="2"/>
  <c r="W1299" i="2"/>
  <c r="W1298" i="2"/>
  <c r="X1298" i="2"/>
  <c r="W1297" i="2"/>
  <c r="X1297" i="2"/>
  <c r="W1296" i="2"/>
  <c r="X1296" i="2"/>
  <c r="X1295" i="2"/>
  <c r="W1295" i="2"/>
  <c r="W1294" i="2"/>
  <c r="X1294" i="2"/>
  <c r="W1293" i="2"/>
  <c r="X1293" i="2"/>
  <c r="W1292" i="2"/>
  <c r="X1292" i="2"/>
  <c r="W1291" i="2"/>
  <c r="X1291" i="2"/>
  <c r="X1290" i="2"/>
  <c r="W1290" i="2"/>
  <c r="X1289" i="2"/>
  <c r="W1289" i="2"/>
  <c r="W1288" i="2"/>
  <c r="X1288" i="2"/>
  <c r="W1287" i="2"/>
  <c r="X1287" i="2"/>
  <c r="X1286" i="2"/>
  <c r="W1286" i="2"/>
  <c r="W1285" i="2"/>
  <c r="X1285" i="2"/>
  <c r="X1284" i="2"/>
  <c r="W1284" i="2"/>
  <c r="X1283" i="2"/>
  <c r="W1283" i="2"/>
  <c r="X1282" i="2"/>
  <c r="W1282" i="2"/>
  <c r="X1281" i="2"/>
  <c r="W1281" i="2"/>
  <c r="W1280" i="2"/>
  <c r="X1280" i="2"/>
  <c r="X1279" i="2"/>
  <c r="W1279" i="2"/>
  <c r="W1278" i="2"/>
  <c r="X1278" i="2"/>
  <c r="X1277" i="2"/>
  <c r="W1277" i="2"/>
  <c r="W1276" i="2"/>
  <c r="X1276" i="2"/>
  <c r="X1275" i="2"/>
  <c r="W1275" i="2"/>
  <c r="W1274" i="2"/>
  <c r="X1274" i="2"/>
  <c r="X1273" i="2"/>
  <c r="W1273" i="2"/>
  <c r="X1272" i="2"/>
  <c r="W1272" i="2"/>
  <c r="W1271" i="2"/>
  <c r="X1271" i="2"/>
  <c r="X1270" i="2"/>
  <c r="W1270" i="2"/>
  <c r="W1269" i="2"/>
  <c r="X1269" i="2"/>
  <c r="X1268" i="2"/>
  <c r="W1268" i="2"/>
  <c r="W1267" i="2"/>
  <c r="X1267" i="2"/>
  <c r="W1266" i="2"/>
  <c r="X1266" i="2"/>
  <c r="W1265" i="2"/>
  <c r="X1265" i="2"/>
  <c r="X1264" i="2"/>
  <c r="W1264" i="2"/>
  <c r="X1263" i="2"/>
  <c r="W1263" i="2"/>
  <c r="W1262" i="2"/>
  <c r="X1262" i="2"/>
  <c r="W1261" i="2"/>
  <c r="X1261" i="2"/>
  <c r="X1260" i="2"/>
  <c r="W1260" i="2"/>
  <c r="W1259" i="2"/>
  <c r="X1259" i="2"/>
  <c r="W1258" i="2"/>
  <c r="X1258" i="2"/>
  <c r="X1257" i="2"/>
  <c r="W1257" i="2"/>
  <c r="X1256" i="2"/>
  <c r="W1256" i="2"/>
  <c r="X1255" i="2"/>
  <c r="W1255" i="2"/>
  <c r="X1254" i="2"/>
  <c r="W1254" i="2"/>
  <c r="W1253" i="2"/>
  <c r="X1253" i="2"/>
  <c r="X1252" i="2"/>
  <c r="W1252" i="2"/>
  <c r="W1251" i="2"/>
  <c r="X1251" i="2"/>
  <c r="X1250" i="2"/>
  <c r="W1250" i="2"/>
  <c r="X1249" i="2"/>
  <c r="W1249" i="2"/>
  <c r="X1248" i="2"/>
  <c r="W1248" i="2"/>
  <c r="X1247" i="2"/>
  <c r="W1247" i="2"/>
  <c r="X1246" i="2"/>
  <c r="W1246" i="2"/>
  <c r="X1245" i="2"/>
  <c r="W1245" i="2"/>
  <c r="X1244" i="2"/>
  <c r="W1244" i="2"/>
  <c r="X1243" i="2"/>
  <c r="W1243" i="2"/>
  <c r="X1242" i="2"/>
  <c r="W1242" i="2"/>
  <c r="X1241" i="2"/>
  <c r="W1241" i="2"/>
  <c r="X1240" i="2"/>
  <c r="W1240" i="2"/>
  <c r="X1239" i="2"/>
  <c r="W1239" i="2"/>
  <c r="X1238" i="2"/>
  <c r="W1238" i="2"/>
  <c r="X1237" i="2"/>
  <c r="W1237" i="2"/>
  <c r="X1236" i="2"/>
  <c r="W1236" i="2"/>
  <c r="X1235" i="2"/>
  <c r="W1235" i="2"/>
  <c r="W1234" i="2"/>
  <c r="X1234" i="2"/>
  <c r="X1233" i="2"/>
  <c r="W1233" i="2"/>
  <c r="X1232" i="2"/>
  <c r="W1232" i="2"/>
  <c r="X1231" i="2"/>
  <c r="W1231" i="2"/>
  <c r="X1230" i="2"/>
  <c r="W1230" i="2"/>
  <c r="W1229" i="2"/>
  <c r="X1229" i="2"/>
  <c r="X1228" i="2"/>
  <c r="W1228" i="2"/>
  <c r="X1227" i="2"/>
  <c r="W1227" i="2"/>
  <c r="X1226" i="2"/>
  <c r="W1226" i="2"/>
  <c r="X1225" i="2"/>
  <c r="W1225" i="2"/>
  <c r="X1224" i="2"/>
  <c r="W1224" i="2"/>
  <c r="X1223" i="2"/>
  <c r="W1223" i="2"/>
  <c r="X1222" i="2"/>
  <c r="W1222" i="2"/>
  <c r="X1221" i="2"/>
  <c r="W1221" i="2"/>
  <c r="W1220" i="2"/>
  <c r="X1220" i="2"/>
  <c r="X1219" i="2"/>
  <c r="W1219" i="2"/>
  <c r="X1218" i="2"/>
  <c r="W1218" i="2"/>
  <c r="W1217" i="2"/>
  <c r="X1217" i="2"/>
  <c r="W1216" i="2"/>
  <c r="X1216" i="2"/>
  <c r="W1215" i="2"/>
  <c r="X1215" i="2"/>
  <c r="X1214" i="2"/>
  <c r="W1214" i="2"/>
  <c r="W1213" i="2"/>
  <c r="X1213" i="2"/>
  <c r="X1212" i="2"/>
  <c r="W1212" i="2"/>
  <c r="X1211" i="2"/>
  <c r="W1211" i="2"/>
  <c r="W1210" i="2"/>
  <c r="X1210" i="2"/>
  <c r="X1209" i="2"/>
  <c r="W1209" i="2"/>
  <c r="W1208" i="2"/>
  <c r="X1208" i="2"/>
  <c r="W1207" i="2"/>
  <c r="X1207" i="2"/>
  <c r="X1206" i="2"/>
  <c r="W1206" i="2"/>
  <c r="X1205" i="2"/>
  <c r="W1205" i="2"/>
  <c r="X1204" i="2"/>
  <c r="W1204" i="2"/>
  <c r="W1203" i="2"/>
  <c r="X1203" i="2"/>
  <c r="W1202" i="2"/>
  <c r="X1202" i="2"/>
  <c r="X1201" i="2"/>
  <c r="W1201" i="2"/>
  <c r="W1200" i="2"/>
  <c r="X1200" i="2"/>
  <c r="W1199" i="2"/>
  <c r="X1199" i="2"/>
  <c r="X1198" i="2"/>
  <c r="W1198" i="2"/>
  <c r="X1197" i="2"/>
  <c r="W1197" i="2"/>
  <c r="W1196" i="2"/>
  <c r="X1196" i="2"/>
  <c r="X1195" i="2"/>
  <c r="W1195" i="2"/>
  <c r="X1194" i="2"/>
  <c r="W1194" i="2"/>
  <c r="X1193" i="2"/>
  <c r="W1193" i="2"/>
  <c r="W1192" i="2"/>
  <c r="X1192" i="2"/>
  <c r="W1191" i="2"/>
  <c r="X1191" i="2"/>
  <c r="X1190" i="2"/>
  <c r="W1190" i="2"/>
  <c r="X1189" i="2"/>
  <c r="W1189" i="2"/>
  <c r="X1188" i="2"/>
  <c r="W1188" i="2"/>
  <c r="X1187" i="2"/>
  <c r="W1187" i="2"/>
  <c r="X1186" i="2"/>
  <c r="W1186" i="2"/>
  <c r="W1185" i="2"/>
  <c r="X1185" i="2"/>
  <c r="W1184" i="2"/>
  <c r="X1184" i="2"/>
  <c r="X1183" i="2"/>
  <c r="W1183" i="2"/>
  <c r="W1182" i="2"/>
  <c r="X1182" i="2"/>
  <c r="W1181" i="2"/>
  <c r="X1181" i="2"/>
  <c r="X1180" i="2"/>
  <c r="W1180" i="2"/>
  <c r="X1179" i="2"/>
  <c r="W1179" i="2"/>
  <c r="W1178" i="2"/>
  <c r="X1178" i="2"/>
  <c r="W1177" i="2"/>
  <c r="X1177" i="2"/>
  <c r="W1176" i="2"/>
  <c r="X1176" i="2"/>
  <c r="X1175" i="2"/>
  <c r="W1175" i="2"/>
  <c r="X1174" i="2"/>
  <c r="W1174" i="2"/>
  <c r="W1173" i="2"/>
  <c r="X1173" i="2"/>
  <c r="W1172" i="2"/>
  <c r="X1172" i="2"/>
  <c r="W1171" i="2"/>
  <c r="X1171" i="2"/>
  <c r="X1170" i="2"/>
  <c r="W1170" i="2"/>
  <c r="W1169" i="2"/>
  <c r="X1169" i="2"/>
  <c r="X1168" i="2"/>
  <c r="W1168" i="2"/>
  <c r="X1167" i="2"/>
  <c r="W1167" i="2"/>
  <c r="W1166" i="2"/>
  <c r="X1166" i="2"/>
  <c r="W1165" i="2"/>
  <c r="X1165" i="2"/>
  <c r="W1164" i="2"/>
  <c r="X1164" i="2"/>
  <c r="W1163" i="2"/>
  <c r="X1163" i="2"/>
  <c r="X1162" i="2"/>
  <c r="W1162" i="2"/>
  <c r="X1161" i="2"/>
  <c r="W1161" i="2"/>
  <c r="W1160" i="2"/>
  <c r="X1160" i="2"/>
  <c r="W1159" i="2"/>
  <c r="X1159" i="2"/>
  <c r="W1158" i="2"/>
  <c r="X1158" i="2"/>
  <c r="W1157" i="2"/>
  <c r="X1157" i="2"/>
  <c r="W1156" i="2"/>
  <c r="X1156" i="2"/>
  <c r="X1155" i="2"/>
  <c r="W1155" i="2"/>
  <c r="X1154" i="2"/>
  <c r="W1154" i="2"/>
  <c r="W1153" i="2"/>
  <c r="X1153" i="2"/>
  <c r="W1152" i="2"/>
  <c r="X1152" i="2"/>
  <c r="W1151" i="2"/>
  <c r="X1151" i="2"/>
  <c r="W1150" i="2"/>
  <c r="X1150" i="2"/>
  <c r="W1149" i="2"/>
  <c r="X1149" i="2"/>
  <c r="W1148" i="2"/>
  <c r="X1148" i="2"/>
  <c r="W1147" i="2"/>
  <c r="X1147" i="2"/>
  <c r="W1146" i="2"/>
  <c r="X1146" i="2"/>
  <c r="W1145" i="2"/>
  <c r="X1145" i="2"/>
  <c r="X1144" i="2"/>
  <c r="W1144" i="2"/>
  <c r="W1143" i="2"/>
  <c r="X1143" i="2"/>
  <c r="X1142" i="2"/>
  <c r="W1142" i="2"/>
  <c r="X1141" i="2"/>
  <c r="W1141" i="2"/>
  <c r="X1140" i="2"/>
  <c r="W1140" i="2"/>
  <c r="X1139" i="2"/>
  <c r="W1139" i="2"/>
  <c r="X1138" i="2"/>
  <c r="W1138" i="2"/>
  <c r="W1137" i="2"/>
  <c r="X1137" i="2"/>
  <c r="X1136" i="2"/>
  <c r="W1136" i="2"/>
  <c r="X1135" i="2"/>
  <c r="W1135" i="2"/>
  <c r="X1134" i="2"/>
  <c r="W1134" i="2"/>
  <c r="W1133" i="2"/>
  <c r="X1133" i="2"/>
  <c r="W1132" i="2"/>
  <c r="X1132" i="2"/>
  <c r="W1131" i="2"/>
  <c r="X1131" i="2"/>
  <c r="W1130" i="2"/>
  <c r="X1130" i="2"/>
  <c r="W1129" i="2"/>
  <c r="X1129" i="2"/>
  <c r="W1128" i="2"/>
  <c r="X1128" i="2"/>
  <c r="X1127" i="2"/>
  <c r="W1127" i="2"/>
  <c r="W1126" i="2"/>
  <c r="X1126" i="2"/>
  <c r="W1125" i="2"/>
  <c r="X1125" i="2"/>
  <c r="X1124" i="2"/>
  <c r="W1124" i="2"/>
  <c r="W1123" i="2"/>
  <c r="X1123" i="2"/>
  <c r="X1122" i="2"/>
  <c r="W1122" i="2"/>
  <c r="X1121" i="2"/>
  <c r="W1121" i="2"/>
  <c r="X1120" i="2"/>
  <c r="W1120" i="2"/>
  <c r="X1119" i="2"/>
  <c r="W1119" i="2"/>
  <c r="W1118" i="2"/>
  <c r="X1118" i="2"/>
  <c r="X1117" i="2"/>
  <c r="W1117" i="2"/>
  <c r="X1116" i="2"/>
  <c r="W1116" i="2"/>
  <c r="W1115" i="2"/>
  <c r="X1115" i="2"/>
  <c r="X1114" i="2"/>
  <c r="W1114" i="2"/>
  <c r="W1113" i="2"/>
  <c r="X1113" i="2"/>
  <c r="W1112" i="2"/>
  <c r="X1112" i="2"/>
  <c r="W1111" i="2"/>
  <c r="X1111" i="2"/>
  <c r="W1110" i="2"/>
  <c r="X1110" i="2"/>
  <c r="W1109" i="2"/>
  <c r="X1109" i="2"/>
  <c r="X1108" i="2"/>
  <c r="W1108" i="2"/>
  <c r="W1107" i="2"/>
  <c r="X1107" i="2"/>
  <c r="W1106" i="2"/>
  <c r="X1106" i="2"/>
  <c r="X1105" i="2"/>
  <c r="W1105" i="2"/>
  <c r="W1104" i="2"/>
  <c r="X1104" i="2"/>
  <c r="X1103" i="2"/>
  <c r="W1103" i="2"/>
  <c r="W1102" i="2"/>
  <c r="X1102" i="2"/>
  <c r="W1101" i="2"/>
  <c r="X1101" i="2"/>
  <c r="X1100" i="2"/>
  <c r="W1100" i="2"/>
  <c r="W1099" i="2"/>
  <c r="X1099" i="2"/>
  <c r="X1098" i="2"/>
  <c r="W1098" i="2"/>
  <c r="X1097" i="2"/>
  <c r="W1097" i="2"/>
  <c r="X1096" i="2"/>
  <c r="W1096" i="2"/>
  <c r="W1095" i="2"/>
  <c r="X1095" i="2"/>
  <c r="X1094" i="2"/>
  <c r="W1094" i="2"/>
  <c r="X1093" i="2"/>
  <c r="W1093" i="2"/>
  <c r="W1092" i="2"/>
  <c r="X1092" i="2"/>
  <c r="W1091" i="2"/>
  <c r="X1091" i="2"/>
  <c r="W1090" i="2"/>
  <c r="X1090" i="2"/>
  <c r="X1089" i="2"/>
  <c r="W1089" i="2"/>
  <c r="X1088" i="2"/>
  <c r="W1088" i="2"/>
  <c r="X1087" i="2"/>
  <c r="W1087" i="2"/>
  <c r="X1086" i="2"/>
  <c r="W1086" i="2"/>
  <c r="W1085" i="2"/>
  <c r="X1085" i="2"/>
  <c r="X1084" i="2"/>
  <c r="W1084" i="2"/>
  <c r="X1083" i="2"/>
  <c r="W1083" i="2"/>
  <c r="W1082" i="2"/>
  <c r="X1082" i="2"/>
  <c r="X1081" i="2"/>
  <c r="W1081" i="2"/>
  <c r="W1080" i="2"/>
  <c r="X1080" i="2"/>
  <c r="X1079" i="2"/>
  <c r="W1079" i="2"/>
  <c r="X1078" i="2"/>
  <c r="W1078" i="2"/>
  <c r="X1077" i="2"/>
  <c r="W1077" i="2"/>
  <c r="W1076" i="2"/>
  <c r="X1076" i="2"/>
  <c r="X1075" i="2"/>
  <c r="W1075" i="2"/>
  <c r="X1074" i="2"/>
  <c r="W1074" i="2"/>
  <c r="W1073" i="2"/>
  <c r="X1073" i="2"/>
  <c r="X1072" i="2"/>
  <c r="W1072" i="2"/>
  <c r="X1071" i="2"/>
  <c r="W1071" i="2"/>
  <c r="W1070" i="2"/>
  <c r="X1070" i="2"/>
  <c r="X1069" i="2"/>
  <c r="W1069" i="2"/>
  <c r="X1068" i="2"/>
  <c r="W1068" i="2"/>
  <c r="X1067" i="2"/>
  <c r="W1067" i="2"/>
  <c r="X1066" i="2"/>
  <c r="W1066" i="2"/>
  <c r="X1065" i="2"/>
  <c r="W1065" i="2"/>
  <c r="X1064" i="2"/>
  <c r="W1064" i="2"/>
  <c r="X1063" i="2"/>
  <c r="W1063" i="2"/>
  <c r="X1062" i="2"/>
  <c r="W1062" i="2"/>
  <c r="W1061" i="2"/>
  <c r="X1061" i="2"/>
  <c r="W1060" i="2"/>
  <c r="X1060" i="2"/>
  <c r="X1059" i="2"/>
  <c r="W1059" i="2"/>
  <c r="X1058" i="2"/>
  <c r="W1058" i="2"/>
  <c r="X1057" i="2"/>
  <c r="W1057" i="2"/>
  <c r="W1056" i="2"/>
  <c r="X1056" i="2"/>
  <c r="W1055" i="2"/>
  <c r="X1055" i="2"/>
  <c r="X1054" i="2"/>
  <c r="W1054" i="2"/>
  <c r="W1053" i="2"/>
  <c r="X1053" i="2"/>
  <c r="X1052" i="2"/>
  <c r="W1052" i="2"/>
  <c r="X1051" i="2"/>
  <c r="W1051" i="2"/>
  <c r="W1050" i="2"/>
  <c r="X1050" i="2"/>
  <c r="X1049" i="2"/>
  <c r="W1049" i="2"/>
  <c r="X1048" i="2"/>
  <c r="W1048" i="2"/>
  <c r="W1047" i="2"/>
  <c r="X1047" i="2"/>
  <c r="X1046" i="2"/>
  <c r="W1046" i="2"/>
  <c r="W1045" i="2"/>
  <c r="X1045" i="2"/>
  <c r="X1044" i="2"/>
  <c r="W1044" i="2"/>
  <c r="W1043" i="2"/>
  <c r="X1043" i="2"/>
  <c r="X1042" i="2"/>
  <c r="W1042" i="2"/>
  <c r="W1041" i="2"/>
  <c r="X1041" i="2"/>
  <c r="W1040" i="2"/>
  <c r="X1040" i="2"/>
  <c r="W1039" i="2"/>
  <c r="X1039" i="2"/>
  <c r="W1038" i="2"/>
  <c r="X1038" i="2"/>
  <c r="W1037" i="2"/>
  <c r="X1037" i="2"/>
  <c r="W1036" i="2"/>
  <c r="X1036" i="2"/>
  <c r="W1035" i="2"/>
  <c r="X1035" i="2"/>
  <c r="W1034" i="2"/>
  <c r="X1034" i="2"/>
  <c r="W1033" i="2"/>
  <c r="X1033" i="2"/>
  <c r="X1032" i="2"/>
  <c r="W1032" i="2"/>
  <c r="W1031" i="2"/>
  <c r="X1031" i="2"/>
  <c r="W1030" i="2"/>
  <c r="X1030" i="2"/>
  <c r="W1029" i="2"/>
  <c r="X1029" i="2"/>
  <c r="W1028" i="2"/>
  <c r="X1028" i="2"/>
  <c r="X1027" i="2"/>
  <c r="W1027" i="2"/>
  <c r="W1026" i="2"/>
  <c r="X1026" i="2"/>
  <c r="X1025" i="2"/>
  <c r="W1025" i="2"/>
  <c r="W1024" i="2"/>
  <c r="X1024" i="2"/>
  <c r="W1023" i="2"/>
  <c r="X1023" i="2"/>
  <c r="W1022" i="2"/>
  <c r="X1022" i="2"/>
  <c r="X1021" i="2"/>
  <c r="W1021" i="2"/>
  <c r="X1020" i="2"/>
  <c r="W1020" i="2"/>
  <c r="X1019" i="2"/>
  <c r="W1019" i="2"/>
  <c r="W1018" i="2"/>
  <c r="X1018" i="2"/>
  <c r="X1017" i="2"/>
  <c r="W1017" i="2"/>
  <c r="W1016" i="2"/>
  <c r="X1016" i="2"/>
  <c r="X1015" i="2"/>
  <c r="W1015" i="2"/>
  <c r="X1014" i="2"/>
  <c r="W1014" i="2"/>
  <c r="X1013" i="2"/>
  <c r="W1013" i="2"/>
  <c r="W1012" i="2"/>
  <c r="X1012" i="2"/>
  <c r="X1011" i="2"/>
  <c r="W1011" i="2"/>
  <c r="X1010" i="2"/>
  <c r="W1010" i="2"/>
  <c r="W1009" i="2"/>
  <c r="X1009" i="2"/>
  <c r="X1008" i="2"/>
  <c r="W1008" i="2"/>
  <c r="W1007" i="2"/>
  <c r="X1007" i="2"/>
  <c r="W1006" i="2"/>
  <c r="X1006" i="2"/>
  <c r="X1005" i="2"/>
  <c r="W1005" i="2"/>
  <c r="W1004" i="2"/>
  <c r="X1004" i="2"/>
  <c r="X1003" i="2"/>
  <c r="W1003" i="2"/>
  <c r="X1002" i="2"/>
  <c r="W1002" i="2"/>
  <c r="W1001" i="2"/>
  <c r="X1001" i="2"/>
  <c r="W1000" i="2"/>
  <c r="X1000" i="2"/>
  <c r="W999" i="2"/>
  <c r="X999" i="2"/>
  <c r="W998" i="2"/>
  <c r="X998" i="2"/>
  <c r="W997" i="2"/>
  <c r="X997" i="2"/>
  <c r="X996" i="2"/>
  <c r="W996" i="2"/>
  <c r="W995" i="2"/>
  <c r="X995" i="2"/>
  <c r="W994" i="2"/>
  <c r="X994" i="2"/>
  <c r="X993" i="2"/>
  <c r="W993" i="2"/>
  <c r="W992" i="2"/>
  <c r="X992" i="2"/>
  <c r="W991" i="2"/>
  <c r="X991" i="2"/>
  <c r="X990" i="2"/>
  <c r="W990" i="2"/>
  <c r="W989" i="2"/>
  <c r="X989" i="2"/>
  <c r="X988" i="2"/>
  <c r="W988" i="2"/>
  <c r="X987" i="2"/>
  <c r="W987" i="2"/>
  <c r="X986" i="2"/>
  <c r="W986" i="2"/>
  <c r="W985" i="2"/>
  <c r="X985" i="2"/>
  <c r="X984" i="2"/>
  <c r="W984" i="2"/>
  <c r="W983" i="2"/>
  <c r="X983" i="2"/>
  <c r="W982" i="2"/>
  <c r="X982" i="2"/>
  <c r="X981" i="2"/>
  <c r="W981" i="2"/>
  <c r="X980" i="2"/>
  <c r="W980" i="2"/>
  <c r="W979" i="2"/>
  <c r="X979" i="2"/>
  <c r="W978" i="2"/>
  <c r="X978" i="2"/>
  <c r="W977" i="2"/>
  <c r="X977" i="2"/>
  <c r="W976" i="2"/>
  <c r="X976" i="2"/>
  <c r="W975" i="2"/>
  <c r="X975" i="2"/>
  <c r="W974" i="2"/>
  <c r="X974" i="2"/>
  <c r="W973" i="2"/>
  <c r="X973" i="2"/>
  <c r="W972" i="2"/>
  <c r="X972" i="2"/>
  <c r="W971" i="2"/>
  <c r="X971" i="2"/>
  <c r="X970" i="2"/>
  <c r="W970" i="2"/>
  <c r="W969" i="2"/>
  <c r="X969" i="2"/>
  <c r="X968" i="2"/>
  <c r="W968" i="2"/>
  <c r="X967" i="2"/>
  <c r="W967" i="2"/>
  <c r="X966" i="2"/>
  <c r="W966" i="2"/>
  <c r="W965" i="2"/>
  <c r="X965" i="2"/>
  <c r="W964" i="2"/>
  <c r="X964" i="2"/>
  <c r="W963" i="2"/>
  <c r="X963" i="2"/>
  <c r="X962" i="2"/>
  <c r="W962" i="2"/>
  <c r="X961" i="2"/>
  <c r="W961" i="2"/>
  <c r="X960" i="2"/>
  <c r="W960" i="2"/>
  <c r="W959" i="2"/>
  <c r="X959" i="2"/>
  <c r="W958" i="2"/>
  <c r="X958" i="2"/>
  <c r="W957" i="2"/>
  <c r="X957" i="2"/>
  <c r="W956" i="2"/>
  <c r="X956" i="2"/>
  <c r="W955" i="2"/>
  <c r="X955" i="2"/>
  <c r="W954" i="2"/>
  <c r="X954" i="2"/>
  <c r="X953" i="2"/>
  <c r="W953" i="2"/>
  <c r="W952" i="2"/>
  <c r="X952" i="2"/>
  <c r="W951" i="2"/>
  <c r="X951" i="2"/>
  <c r="W950" i="2"/>
  <c r="X950" i="2"/>
  <c r="W949" i="2"/>
  <c r="X949" i="2"/>
  <c r="W948" i="2"/>
  <c r="X948" i="2"/>
  <c r="W947" i="2"/>
  <c r="X947" i="2"/>
  <c r="W946" i="2"/>
  <c r="X946" i="2"/>
  <c r="X945" i="2"/>
  <c r="W945" i="2"/>
  <c r="X944" i="2"/>
  <c r="W944" i="2"/>
  <c r="X943" i="2"/>
  <c r="W943" i="2"/>
  <c r="W942" i="2"/>
  <c r="X942" i="2"/>
  <c r="W941" i="2"/>
  <c r="X941" i="2"/>
  <c r="W940" i="2"/>
  <c r="X940" i="2"/>
  <c r="X939" i="2"/>
  <c r="W939" i="2"/>
  <c r="W938" i="2"/>
  <c r="X938" i="2"/>
  <c r="X937" i="2"/>
  <c r="W937" i="2"/>
  <c r="W936" i="2"/>
  <c r="X936" i="2"/>
  <c r="W935" i="2"/>
  <c r="X935" i="2"/>
  <c r="W934" i="2"/>
  <c r="X934" i="2"/>
  <c r="W933" i="2"/>
  <c r="X933" i="2"/>
  <c r="W932" i="2"/>
  <c r="X932" i="2"/>
  <c r="X931" i="2"/>
  <c r="W931" i="2"/>
  <c r="X930" i="2"/>
  <c r="W930" i="2"/>
  <c r="X929" i="2"/>
  <c r="W929" i="2"/>
  <c r="X928" i="2"/>
  <c r="W928" i="2"/>
  <c r="X927" i="2"/>
  <c r="W927" i="2"/>
  <c r="W926" i="2"/>
  <c r="X926" i="2"/>
  <c r="W925" i="2"/>
  <c r="X925" i="2"/>
  <c r="W924" i="2"/>
  <c r="X924" i="2"/>
  <c r="W923" i="2"/>
  <c r="X923" i="2"/>
  <c r="W922" i="2"/>
  <c r="X922" i="2"/>
  <c r="X921" i="2"/>
  <c r="W921" i="2"/>
  <c r="W920" i="2"/>
  <c r="X920" i="2"/>
  <c r="X919" i="2"/>
  <c r="W919" i="2"/>
  <c r="X918" i="2"/>
  <c r="W918" i="2"/>
  <c r="X917" i="2"/>
  <c r="W917" i="2"/>
  <c r="X916" i="2"/>
  <c r="W916" i="2"/>
  <c r="X915" i="2"/>
  <c r="W915" i="2"/>
  <c r="X914" i="2"/>
  <c r="W914" i="2"/>
  <c r="X913" i="2"/>
  <c r="W913" i="2"/>
  <c r="W912" i="2"/>
  <c r="X912" i="2"/>
  <c r="X911" i="2"/>
  <c r="W911" i="2"/>
  <c r="X910" i="2"/>
  <c r="W910" i="2"/>
  <c r="X909" i="2"/>
  <c r="W909" i="2"/>
  <c r="W908" i="2"/>
  <c r="X908" i="2"/>
  <c r="X907" i="2"/>
  <c r="W907" i="2"/>
  <c r="X906" i="2"/>
  <c r="W906" i="2"/>
  <c r="X905" i="2"/>
  <c r="W905" i="2"/>
  <c r="W904" i="2"/>
  <c r="X904" i="2"/>
  <c r="X903" i="2"/>
  <c r="W903" i="2"/>
  <c r="W902" i="2"/>
  <c r="X902" i="2"/>
  <c r="W901" i="2"/>
  <c r="X901" i="2"/>
  <c r="X900" i="2"/>
  <c r="W900" i="2"/>
  <c r="X899" i="2"/>
  <c r="W899" i="2"/>
  <c r="X898" i="2"/>
  <c r="W898" i="2"/>
  <c r="W897" i="2"/>
  <c r="X897" i="2"/>
  <c r="X896" i="2"/>
  <c r="W896" i="2"/>
  <c r="W895" i="2"/>
  <c r="X895" i="2"/>
  <c r="W894" i="2"/>
  <c r="X894" i="2"/>
  <c r="X893" i="2"/>
  <c r="W893" i="2"/>
  <c r="W892" i="2"/>
  <c r="X892" i="2"/>
  <c r="W891" i="2"/>
  <c r="X891" i="2"/>
  <c r="X890" i="2"/>
  <c r="W890" i="2"/>
  <c r="X889" i="2"/>
  <c r="W889" i="2"/>
  <c r="X888" i="2"/>
  <c r="W888" i="2"/>
  <c r="X887" i="2"/>
  <c r="W887" i="2"/>
  <c r="X886" i="2"/>
  <c r="W886" i="2"/>
  <c r="X885" i="2"/>
  <c r="W885" i="2"/>
  <c r="X884" i="2"/>
  <c r="W884" i="2"/>
  <c r="X883" i="2"/>
  <c r="W883" i="2"/>
  <c r="X882" i="2"/>
  <c r="W882" i="2"/>
  <c r="X881" i="2"/>
  <c r="W881" i="2"/>
  <c r="X880" i="2"/>
  <c r="W880" i="2"/>
  <c r="W879" i="2"/>
  <c r="X879" i="2"/>
  <c r="W878" i="2"/>
  <c r="X878" i="2"/>
  <c r="X877" i="2"/>
  <c r="W877" i="2"/>
  <c r="X876" i="2"/>
  <c r="W876" i="2"/>
  <c r="X875" i="2"/>
  <c r="W875" i="2"/>
  <c r="X874" i="2"/>
  <c r="W874" i="2"/>
  <c r="X873" i="2"/>
  <c r="W873" i="2"/>
  <c r="X872" i="2"/>
  <c r="W872" i="2"/>
  <c r="X871" i="2"/>
  <c r="W871" i="2"/>
  <c r="W870" i="2"/>
  <c r="X870" i="2"/>
  <c r="X869" i="2"/>
  <c r="W869" i="2"/>
  <c r="X868" i="2"/>
  <c r="W868" i="2"/>
  <c r="X867" i="2"/>
  <c r="W867" i="2"/>
  <c r="X866" i="2"/>
  <c r="W866" i="2"/>
  <c r="X865" i="2"/>
  <c r="W865" i="2"/>
  <c r="W864" i="2"/>
  <c r="X864" i="2"/>
  <c r="W863" i="2"/>
  <c r="X863" i="2"/>
  <c r="X862" i="2"/>
  <c r="W862" i="2"/>
  <c r="X861" i="2"/>
  <c r="W861" i="2"/>
  <c r="X860" i="2"/>
  <c r="W860" i="2"/>
  <c r="X859" i="2"/>
  <c r="W859" i="2"/>
  <c r="X858" i="2"/>
  <c r="W858" i="2"/>
  <c r="W857" i="2"/>
  <c r="X857" i="2"/>
  <c r="W856" i="2"/>
  <c r="X856" i="2"/>
  <c r="W855" i="2"/>
  <c r="X855" i="2"/>
  <c r="X854" i="2"/>
  <c r="W854" i="2"/>
  <c r="X853" i="2"/>
  <c r="W853" i="2"/>
  <c r="W852" i="2"/>
  <c r="X852" i="2"/>
  <c r="W851" i="2"/>
  <c r="X851" i="2"/>
  <c r="X850" i="2"/>
  <c r="W850" i="2"/>
  <c r="X849" i="2"/>
  <c r="W849" i="2"/>
  <c r="X848" i="2"/>
  <c r="W848" i="2"/>
  <c r="X847" i="2"/>
  <c r="W847" i="2"/>
  <c r="X846" i="2"/>
  <c r="W846" i="2"/>
  <c r="X845" i="2"/>
  <c r="W845" i="2"/>
  <c r="X844" i="2"/>
  <c r="W844" i="2"/>
  <c r="W843" i="2"/>
  <c r="X843" i="2"/>
  <c r="X842" i="2"/>
  <c r="W842" i="2"/>
  <c r="W841" i="2"/>
  <c r="X841" i="2"/>
  <c r="W840" i="2"/>
  <c r="X840" i="2"/>
  <c r="X839" i="2"/>
  <c r="W839" i="2"/>
  <c r="W838" i="2"/>
  <c r="X838" i="2"/>
  <c r="W837" i="2"/>
  <c r="X837" i="2"/>
  <c r="X836" i="2"/>
  <c r="W836" i="2"/>
  <c r="W835" i="2"/>
  <c r="X835" i="2"/>
  <c r="X834" i="2"/>
  <c r="W834" i="2"/>
  <c r="W833" i="2"/>
  <c r="X833" i="2"/>
  <c r="W832" i="2"/>
  <c r="X832" i="2"/>
  <c r="W831" i="2"/>
  <c r="X831" i="2"/>
  <c r="X830" i="2"/>
  <c r="W830" i="2"/>
  <c r="X829" i="2"/>
  <c r="W829" i="2"/>
  <c r="X828" i="2"/>
  <c r="W828" i="2"/>
  <c r="W827" i="2"/>
  <c r="X827" i="2"/>
  <c r="X826" i="2"/>
  <c r="W826" i="2"/>
  <c r="X825" i="2"/>
  <c r="W825" i="2"/>
  <c r="X824" i="2"/>
  <c r="W824" i="2"/>
  <c r="X823" i="2"/>
  <c r="W823" i="2"/>
  <c r="W822" i="2"/>
  <c r="X822" i="2"/>
  <c r="X821" i="2"/>
  <c r="W821" i="2"/>
  <c r="X820" i="2"/>
  <c r="W820" i="2"/>
  <c r="X819" i="2"/>
  <c r="W819" i="2"/>
  <c r="W818" i="2"/>
  <c r="X818" i="2"/>
  <c r="W817" i="2"/>
  <c r="X817" i="2"/>
  <c r="W816" i="2"/>
  <c r="X816" i="2"/>
  <c r="X815" i="2"/>
  <c r="W815" i="2"/>
  <c r="X814" i="2"/>
  <c r="W814" i="2"/>
  <c r="W813" i="2"/>
  <c r="X813" i="2"/>
  <c r="W812" i="2"/>
  <c r="X812" i="2"/>
  <c r="W811" i="2"/>
  <c r="X811" i="2"/>
  <c r="W810" i="2"/>
  <c r="X810" i="2"/>
  <c r="X809" i="2"/>
  <c r="W809" i="2"/>
  <c r="X808" i="2"/>
  <c r="W808" i="2"/>
  <c r="X807" i="2"/>
  <c r="W807" i="2"/>
  <c r="X806" i="2"/>
  <c r="W806" i="2"/>
  <c r="W805" i="2"/>
  <c r="X805" i="2"/>
  <c r="W804" i="2"/>
  <c r="X804" i="2"/>
  <c r="W803" i="2"/>
  <c r="X803" i="2"/>
  <c r="X802" i="2"/>
  <c r="W802" i="2"/>
  <c r="X801" i="2"/>
  <c r="W801" i="2"/>
  <c r="X800" i="2"/>
  <c r="W800" i="2"/>
  <c r="X799" i="2"/>
  <c r="W799" i="2"/>
  <c r="X798" i="2"/>
  <c r="W798" i="2"/>
  <c r="X797" i="2"/>
  <c r="W797" i="2"/>
  <c r="X796" i="2"/>
  <c r="W796" i="2"/>
  <c r="X795" i="2"/>
  <c r="W795" i="2"/>
  <c r="X794" i="2"/>
  <c r="W794" i="2"/>
  <c r="X793" i="2"/>
  <c r="W793" i="2"/>
  <c r="X792" i="2"/>
  <c r="W792" i="2"/>
  <c r="X791" i="2"/>
  <c r="W791" i="2"/>
  <c r="W790" i="2"/>
  <c r="X790" i="2"/>
  <c r="X789" i="2"/>
  <c r="W789" i="2"/>
  <c r="W788" i="2"/>
  <c r="X788" i="2"/>
  <c r="W787" i="2"/>
  <c r="X787" i="2"/>
  <c r="W786" i="2"/>
  <c r="X786" i="2"/>
  <c r="W785" i="2"/>
  <c r="X785" i="2"/>
  <c r="W784" i="2"/>
  <c r="X784" i="2"/>
  <c r="W783" i="2"/>
  <c r="X783" i="2"/>
  <c r="W782" i="2"/>
  <c r="X782" i="2"/>
  <c r="X781" i="2"/>
  <c r="W781" i="2"/>
  <c r="X780" i="2"/>
  <c r="W780" i="2"/>
  <c r="X779" i="2"/>
  <c r="W779" i="2"/>
  <c r="W778" i="2"/>
  <c r="X778" i="2"/>
  <c r="X777" i="2"/>
  <c r="W777" i="2"/>
  <c r="X776" i="2"/>
  <c r="W776" i="2"/>
  <c r="W775" i="2"/>
  <c r="X775" i="2"/>
  <c r="X774" i="2"/>
  <c r="W774" i="2"/>
  <c r="X773" i="2"/>
  <c r="W773" i="2"/>
  <c r="X772" i="2"/>
  <c r="W772" i="2"/>
  <c r="X771" i="2"/>
  <c r="W771" i="2"/>
  <c r="X770" i="2"/>
  <c r="W770" i="2"/>
  <c r="W769" i="2"/>
  <c r="X769" i="2"/>
  <c r="W768" i="2"/>
  <c r="X768" i="2"/>
  <c r="X767" i="2"/>
  <c r="W767" i="2"/>
  <c r="X766" i="2"/>
  <c r="W766" i="2"/>
  <c r="X765" i="2"/>
  <c r="W765" i="2"/>
  <c r="X764" i="2"/>
  <c r="W764" i="2"/>
  <c r="X763" i="2"/>
  <c r="W763" i="2"/>
  <c r="W762" i="2"/>
  <c r="X762" i="2"/>
  <c r="W761" i="2"/>
  <c r="X761" i="2"/>
  <c r="X760" i="2"/>
  <c r="W760" i="2"/>
  <c r="X759" i="2"/>
  <c r="W759" i="2"/>
  <c r="W758" i="2"/>
  <c r="X758" i="2"/>
  <c r="W757" i="2"/>
  <c r="X757" i="2"/>
  <c r="W756" i="2"/>
  <c r="X756" i="2"/>
  <c r="W755" i="2"/>
  <c r="X755" i="2"/>
  <c r="W754" i="2"/>
  <c r="X754" i="2"/>
  <c r="W753" i="2"/>
  <c r="X753" i="2"/>
  <c r="X752" i="2"/>
  <c r="W752" i="2"/>
  <c r="X751" i="2"/>
  <c r="W751" i="2"/>
  <c r="W750" i="2"/>
  <c r="X750" i="2"/>
  <c r="X749" i="2"/>
  <c r="W749" i="2"/>
  <c r="X748" i="2"/>
  <c r="W748" i="2"/>
  <c r="X747" i="2"/>
  <c r="W747" i="2"/>
  <c r="X746" i="2"/>
  <c r="W746" i="2"/>
  <c r="X745" i="2"/>
  <c r="W745" i="2"/>
  <c r="W744" i="2"/>
  <c r="X744" i="2"/>
  <c r="X743" i="2"/>
  <c r="W743" i="2"/>
  <c r="X742" i="2"/>
  <c r="W742" i="2"/>
  <c r="W741" i="2"/>
  <c r="X741" i="2"/>
  <c r="W740" i="2"/>
  <c r="X740" i="2"/>
  <c r="X739" i="2"/>
  <c r="W739" i="2"/>
  <c r="X738" i="2"/>
  <c r="W738" i="2"/>
  <c r="X737" i="2"/>
  <c r="W737" i="2"/>
  <c r="X736" i="2"/>
  <c r="W736" i="2"/>
  <c r="X735" i="2"/>
  <c r="W735" i="2"/>
  <c r="X734" i="2"/>
  <c r="W734" i="2"/>
  <c r="X733" i="2"/>
  <c r="W733" i="2"/>
  <c r="W732" i="2"/>
  <c r="X732" i="2"/>
  <c r="W731" i="2"/>
  <c r="X731" i="2"/>
  <c r="W730" i="2"/>
  <c r="X730" i="2"/>
  <c r="W729" i="2"/>
  <c r="X729" i="2"/>
  <c r="W728" i="2"/>
  <c r="X728" i="2"/>
  <c r="W727" i="2"/>
  <c r="X727" i="2"/>
  <c r="W726" i="2"/>
  <c r="X726" i="2"/>
  <c r="W725" i="2"/>
  <c r="X725" i="2"/>
  <c r="X724" i="2"/>
  <c r="W724" i="2"/>
  <c r="W723" i="2"/>
  <c r="X723" i="2"/>
  <c r="X722" i="2"/>
  <c r="W722" i="2"/>
  <c r="W721" i="2"/>
  <c r="X721" i="2"/>
  <c r="X720" i="2"/>
  <c r="W720" i="2"/>
  <c r="W719" i="2"/>
  <c r="X719" i="2"/>
  <c r="L3" i="4" a="1"/>
  <c r="L3" i="4" s="1"/>
  <c r="Y3" i="4" a="1"/>
  <c r="Y3" i="4" s="1"/>
  <c r="G4" i="4" a="1"/>
  <c r="G4" i="4" s="1"/>
  <c r="U4" i="4" a="1"/>
  <c r="U4" i="4" s="1"/>
  <c r="AG4" i="4" a="1"/>
  <c r="AG4" i="4" s="1"/>
  <c r="N5" i="4" a="1"/>
  <c r="N5" i="4" s="1"/>
  <c r="Z5" i="4" a="1"/>
  <c r="Z5" i="4" s="1"/>
  <c r="H6" i="4" a="1"/>
  <c r="H6" i="4" s="1"/>
  <c r="V6" i="4" a="1"/>
  <c r="V6" i="4" s="1"/>
  <c r="D7" i="4" a="1"/>
  <c r="D7" i="4" s="1"/>
  <c r="Q7" i="4" a="1"/>
  <c r="Q7" i="4" s="1"/>
  <c r="AE7" i="4" a="1"/>
  <c r="AE7" i="4" s="1"/>
  <c r="L8" i="4" a="1"/>
  <c r="L8" i="4" s="1"/>
  <c r="Y8" i="4" a="1"/>
  <c r="Y8" i="4" s="1"/>
  <c r="H9" i="4" a="1"/>
  <c r="H9" i="4" s="1"/>
  <c r="O9" i="4" a="1"/>
  <c r="O9" i="4" s="1"/>
  <c r="Q9" i="4" a="1"/>
  <c r="Q9" i="4" s="1"/>
  <c r="R9" i="4" a="1"/>
  <c r="R9" i="4" s="1"/>
  <c r="T9" i="4" a="1"/>
  <c r="T9" i="4" s="1"/>
  <c r="U9" i="4" a="1"/>
  <c r="U9" i="4" s="1"/>
  <c r="V9" i="4" a="1"/>
  <c r="V9" i="4" s="1"/>
  <c r="W9" i="4" a="1"/>
  <c r="W9" i="4" s="1"/>
  <c r="X9" i="4" a="1"/>
  <c r="X9" i="4" s="1"/>
  <c r="Y9" i="4" a="1"/>
  <c r="Y9" i="4" s="1"/>
  <c r="Z9" i="4" a="1"/>
  <c r="Z9" i="4" s="1"/>
  <c r="AB9" i="4" a="1"/>
  <c r="AB9" i="4" s="1"/>
  <c r="AC9" i="4" a="1"/>
  <c r="AC9" i="4" s="1"/>
  <c r="AD9" i="4" a="1"/>
  <c r="AD9" i="4" s="1"/>
  <c r="AE9" i="4" a="1"/>
  <c r="AE9" i="4" s="1"/>
  <c r="AF9" i="4" a="1"/>
  <c r="AF9" i="4" s="1"/>
  <c r="AG9" i="4" a="1"/>
  <c r="AG9" i="4" s="1"/>
  <c r="AH9" i="4" a="1"/>
  <c r="AH9" i="4" s="1"/>
  <c r="D10" i="4" a="1"/>
  <c r="D10" i="4" s="1"/>
  <c r="E10" i="4" a="1"/>
  <c r="E10" i="4" s="1"/>
  <c r="F10" i="4" a="1"/>
  <c r="F10" i="4" s="1"/>
  <c r="G10" i="4" a="1"/>
  <c r="G10" i="4" s="1"/>
  <c r="H10" i="4" a="1"/>
  <c r="H10" i="4" s="1"/>
  <c r="I10" i="4" a="1"/>
  <c r="I10" i="4" s="1"/>
  <c r="J10" i="4" a="1"/>
  <c r="J10" i="4" s="1"/>
  <c r="L10" i="4" a="1"/>
  <c r="L10" i="4" s="1"/>
  <c r="M10" i="4" a="1"/>
  <c r="M10" i="4" s="1"/>
  <c r="N10" i="4" a="1"/>
  <c r="N10" i="4" s="1"/>
  <c r="O10" i="4" a="1"/>
  <c r="O10" i="4" s="1"/>
  <c r="P10" i="4" a="1"/>
  <c r="P10" i="4" s="1"/>
  <c r="Q10" i="4" a="1"/>
  <c r="Q10" i="4" s="1"/>
  <c r="R10" i="4" a="1"/>
  <c r="R10" i="4" s="1"/>
  <c r="T10" i="4" a="1"/>
  <c r="T10" i="4" s="1"/>
  <c r="U10" i="4" a="1"/>
  <c r="U10" i="4" s="1"/>
  <c r="V10" i="4" a="1"/>
  <c r="V10" i="4" s="1"/>
  <c r="W10" i="4" a="1"/>
  <c r="W10" i="4" s="1"/>
  <c r="X10" i="4" a="1"/>
  <c r="X10" i="4" s="1"/>
  <c r="Y10" i="4" a="1"/>
  <c r="Y10" i="4" s="1"/>
  <c r="Z10" i="4" a="1"/>
  <c r="Z10" i="4" s="1"/>
  <c r="AB10" i="4" a="1"/>
  <c r="AB10" i="4" s="1"/>
  <c r="AC10" i="4" a="1"/>
  <c r="AC10" i="4" s="1"/>
  <c r="AD10" i="4" a="1"/>
  <c r="AD10" i="4" s="1"/>
  <c r="AE10" i="4" a="1"/>
  <c r="AE10" i="4" s="1"/>
  <c r="AF10" i="4" a="1"/>
  <c r="AF10" i="4" s="1"/>
  <c r="AG10" i="4" a="1"/>
  <c r="AG10" i="4" s="1"/>
  <c r="AH10" i="4" a="1"/>
  <c r="AH10" i="4" s="1"/>
  <c r="D11" i="4" a="1"/>
  <c r="D11" i="4" s="1"/>
  <c r="E11" i="4" a="1"/>
  <c r="E11" i="4" s="1"/>
  <c r="F11" i="4" a="1"/>
  <c r="F11" i="4" s="1"/>
  <c r="G11" i="4" a="1"/>
  <c r="G11" i="4" s="1"/>
  <c r="H11" i="4" a="1"/>
  <c r="H11" i="4" s="1"/>
  <c r="I11" i="4" a="1"/>
  <c r="I11" i="4" s="1"/>
  <c r="J11" i="4" a="1"/>
  <c r="J11" i="4" s="1"/>
  <c r="L11" i="4" a="1"/>
  <c r="L11" i="4" s="1"/>
  <c r="M11" i="4" a="1"/>
  <c r="M11" i="4" s="1"/>
  <c r="N11" i="4" a="1"/>
  <c r="N11" i="4" s="1"/>
  <c r="O11" i="4" a="1"/>
  <c r="O11" i="4" s="1"/>
  <c r="P11" i="4" a="1"/>
  <c r="P11" i="4" s="1"/>
  <c r="Q11" i="4" a="1"/>
  <c r="Q11" i="4" s="1"/>
  <c r="R11" i="4" a="1"/>
  <c r="R11" i="4" s="1"/>
  <c r="T11" i="4" a="1"/>
  <c r="T11" i="4" s="1"/>
  <c r="U11" i="4" a="1"/>
  <c r="U11" i="4" s="1"/>
  <c r="V11" i="4" a="1"/>
  <c r="V11" i="4" s="1"/>
  <c r="W11" i="4" a="1"/>
  <c r="W11" i="4" s="1"/>
  <c r="X11" i="4" a="1"/>
  <c r="X11" i="4" s="1"/>
  <c r="Y11" i="4" a="1"/>
  <c r="Y11" i="4" s="1"/>
  <c r="Z11" i="4" a="1"/>
  <c r="Z11" i="4" s="1"/>
  <c r="AB11" i="4" a="1"/>
  <c r="AB11" i="4" s="1"/>
  <c r="AC11" i="4" a="1"/>
  <c r="AC11" i="4" s="1"/>
  <c r="AD11" i="4" a="1"/>
  <c r="AD11" i="4" s="1"/>
  <c r="AE11" i="4" a="1"/>
  <c r="AE11" i="4" s="1"/>
  <c r="AF11" i="4" a="1"/>
  <c r="AF11" i="4" s="1"/>
  <c r="AG11" i="4" a="1"/>
  <c r="AG11" i="4" s="1"/>
  <c r="AH11" i="4" a="1"/>
  <c r="AH11" i="4" s="1"/>
  <c r="D12" i="4" a="1"/>
  <c r="D12" i="4" s="1"/>
  <c r="E12" i="4" a="1"/>
  <c r="E12" i="4" s="1"/>
  <c r="F12" i="4" a="1"/>
  <c r="F12" i="4" s="1"/>
  <c r="G12" i="4" a="1"/>
  <c r="G12" i="4" s="1"/>
  <c r="H12" i="4" a="1"/>
  <c r="H12" i="4" s="1"/>
  <c r="I12" i="4" a="1"/>
  <c r="I12" i="4" s="1"/>
  <c r="J12" i="4" a="1"/>
  <c r="J12" i="4" s="1"/>
  <c r="L12" i="4" a="1"/>
  <c r="L12" i="4" s="1"/>
  <c r="M12" i="4" a="1"/>
  <c r="M12" i="4" s="1"/>
  <c r="N12" i="4" a="1"/>
  <c r="N12" i="4" s="1"/>
  <c r="O12" i="4" a="1"/>
  <c r="O12" i="4" s="1"/>
  <c r="P12" i="4" a="1"/>
  <c r="P12" i="4" s="1"/>
  <c r="Q12" i="4" a="1"/>
  <c r="Q12" i="4" s="1"/>
  <c r="R12" i="4" a="1"/>
  <c r="R12" i="4" s="1"/>
  <c r="T12" i="4" a="1"/>
  <c r="T12" i="4" s="1"/>
  <c r="U12" i="4" a="1"/>
  <c r="U12" i="4" s="1"/>
  <c r="V12" i="4" a="1"/>
  <c r="V12" i="4" s="1"/>
  <c r="W12" i="4" a="1"/>
  <c r="W12" i="4" s="1"/>
  <c r="X12" i="4" a="1"/>
  <c r="X12" i="4" s="1"/>
  <c r="Y12" i="4" a="1"/>
  <c r="Y12" i="4" s="1"/>
  <c r="Z12" i="4" a="1"/>
  <c r="Z12" i="4" s="1"/>
  <c r="AB12" i="4" a="1"/>
  <c r="AB12" i="4" s="1"/>
  <c r="AC12" i="4" a="1"/>
  <c r="AC12" i="4" s="1"/>
  <c r="AD12" i="4" a="1"/>
  <c r="AD12" i="4" s="1"/>
  <c r="AE12" i="4" a="1"/>
  <c r="AE12" i="4" s="1"/>
  <c r="AF12" i="4" a="1"/>
  <c r="AF12" i="4" s="1"/>
  <c r="AG12" i="4" a="1"/>
  <c r="AG12" i="4" s="1"/>
  <c r="AH12" i="4" a="1"/>
  <c r="AH12" i="4" s="1"/>
  <c r="D13" i="4" a="1"/>
  <c r="D13" i="4" s="1"/>
  <c r="E13" i="4" a="1"/>
  <c r="E13" i="4" s="1"/>
  <c r="F13" i="4" a="1"/>
  <c r="F13" i="4" s="1"/>
  <c r="G13" i="4" a="1"/>
  <c r="G13" i="4" s="1"/>
  <c r="H13" i="4" a="1"/>
  <c r="H13" i="4" s="1"/>
  <c r="I13" i="4" a="1"/>
  <c r="I13" i="4" s="1"/>
  <c r="J13" i="4" a="1"/>
  <c r="J13" i="4" s="1"/>
  <c r="L13" i="4" a="1"/>
  <c r="L13" i="4" s="1"/>
  <c r="M13" i="4" a="1"/>
  <c r="M13" i="4" s="1"/>
  <c r="N13" i="4" a="1"/>
  <c r="N13" i="4" s="1"/>
  <c r="O13" i="4" a="1"/>
  <c r="O13" i="4" s="1"/>
  <c r="P13" i="4" a="1"/>
  <c r="P13" i="4" s="1"/>
  <c r="Q13" i="4" a="1"/>
  <c r="Q13" i="4" s="1"/>
  <c r="R13" i="4" a="1"/>
  <c r="R13" i="4" s="1"/>
  <c r="T13" i="4" a="1"/>
  <c r="T13" i="4" s="1"/>
  <c r="U13" i="4" a="1"/>
  <c r="U13" i="4" s="1"/>
  <c r="V13" i="4" a="1"/>
  <c r="V13" i="4" s="1"/>
  <c r="W13" i="4" a="1"/>
  <c r="W13" i="4" s="1"/>
  <c r="X13" i="4" a="1"/>
  <c r="X13" i="4" s="1"/>
  <c r="Y13" i="4" a="1"/>
  <c r="Y13" i="4" s="1"/>
  <c r="Z13" i="4" a="1"/>
  <c r="Z13" i="4" s="1"/>
  <c r="AB13" i="4" a="1"/>
  <c r="AB13" i="4" s="1"/>
  <c r="AC13" i="4" a="1"/>
  <c r="AC13" i="4" s="1"/>
  <c r="AD13" i="4" a="1"/>
  <c r="AD13" i="4" s="1"/>
  <c r="AE13" i="4" a="1"/>
  <c r="AE13" i="4" s="1"/>
  <c r="AF13" i="4" a="1"/>
  <c r="AF13" i="4" s="1"/>
  <c r="AG13" i="4" a="1"/>
  <c r="AG13" i="4" s="1"/>
  <c r="AH13" i="4" a="1"/>
  <c r="AH13" i="4" s="1"/>
  <c r="D14" i="4" a="1"/>
  <c r="D14" i="4" s="1"/>
  <c r="E14" i="4" a="1"/>
  <c r="E14" i="4" s="1"/>
  <c r="F14" i="4" a="1"/>
  <c r="F14" i="4" s="1"/>
  <c r="G14" i="4" a="1"/>
  <c r="G14" i="4" s="1"/>
  <c r="H14" i="4" a="1"/>
  <c r="H14" i="4" s="1"/>
  <c r="I14" i="4" a="1"/>
  <c r="I14" i="4" s="1"/>
  <c r="J14" i="4" a="1"/>
  <c r="J14" i="4" s="1"/>
  <c r="L14" i="4" a="1"/>
  <c r="L14" i="4" s="1"/>
  <c r="M14" i="4" a="1"/>
  <c r="M14" i="4" s="1"/>
  <c r="N14" i="4" a="1"/>
  <c r="N14" i="4" s="1"/>
  <c r="O14" i="4" a="1"/>
  <c r="O14" i="4" s="1"/>
  <c r="P14" i="4" a="1"/>
  <c r="P14" i="4" s="1"/>
  <c r="Q14" i="4" a="1"/>
  <c r="Q14" i="4" s="1"/>
  <c r="R14" i="4" a="1"/>
  <c r="R14" i="4" s="1"/>
  <c r="T14" i="4" a="1"/>
  <c r="T14" i="4" s="1"/>
  <c r="U14" i="4" a="1"/>
  <c r="U14" i="4" s="1"/>
  <c r="V14" i="4" a="1"/>
  <c r="V14" i="4" s="1"/>
  <c r="W14" i="4" a="1"/>
  <c r="W14" i="4" s="1"/>
  <c r="X14" i="4" a="1"/>
  <c r="X14" i="4" s="1"/>
  <c r="Y14" i="4" a="1"/>
  <c r="Y14" i="4" s="1"/>
  <c r="Z14" i="4" a="1"/>
  <c r="Z14" i="4" s="1"/>
  <c r="AB14" i="4" a="1"/>
  <c r="AB14" i="4" s="1"/>
  <c r="AC14" i="4" a="1"/>
  <c r="AC14" i="4" s="1"/>
  <c r="AD14" i="4" a="1"/>
  <c r="AD14" i="4" s="1"/>
  <c r="AE14" i="4" a="1"/>
  <c r="AE14" i="4" s="1"/>
  <c r="AF14" i="4" a="1"/>
  <c r="AF14" i="4" s="1"/>
  <c r="AG14" i="4" a="1"/>
  <c r="AG14" i="4" s="1"/>
  <c r="AH14" i="4" a="1"/>
  <c r="AH14" i="4" s="1"/>
  <c r="E3" i="4" a="1"/>
  <c r="E3" i="4" s="1"/>
  <c r="R3" i="4" a="1"/>
  <c r="R3" i="4" s="1"/>
  <c r="AF3" i="4" a="1"/>
  <c r="AF3" i="4" s="1"/>
  <c r="M4" i="4" a="1"/>
  <c r="M4" i="4" s="1"/>
  <c r="AB4" i="4" a="1"/>
  <c r="AB4" i="4" s="1"/>
  <c r="P5" i="4" a="1"/>
  <c r="P5" i="4" s="1"/>
  <c r="AD5" i="4" a="1"/>
  <c r="AD5" i="4" s="1"/>
  <c r="L6" i="4" a="1"/>
  <c r="L6" i="4" s="1"/>
  <c r="X6" i="4" a="1"/>
  <c r="X6" i="4" s="1"/>
  <c r="G7" i="4" a="1"/>
  <c r="G7" i="4" s="1"/>
  <c r="V7" i="4" a="1"/>
  <c r="V7" i="4" s="1"/>
  <c r="D8" i="4" a="1"/>
  <c r="D8" i="4" s="1"/>
  <c r="Q8" i="4" a="1"/>
  <c r="Q8" i="4" s="1"/>
  <c r="AG8" i="4" a="1"/>
  <c r="AG8" i="4" s="1"/>
  <c r="L9" i="4" a="1"/>
  <c r="L9" i="4" s="1"/>
  <c r="C17" i="1"/>
  <c r="H3" i="4" a="1"/>
  <c r="H3" i="4" s="1"/>
  <c r="V3" i="4" a="1"/>
  <c r="V3" i="4" s="1"/>
  <c r="D4" i="4" a="1"/>
  <c r="D4" i="4" s="1"/>
  <c r="Q4" i="4" a="1"/>
  <c r="Q4" i="4" s="1"/>
  <c r="AF4" i="4" a="1"/>
  <c r="AF4" i="4" s="1"/>
  <c r="M5" i="4" a="1"/>
  <c r="M5" i="4" s="1"/>
  <c r="AB5" i="4" a="1"/>
  <c r="AB5" i="4" s="1"/>
  <c r="J6" i="4" a="1"/>
  <c r="J6" i="4" s="1"/>
  <c r="Y6" i="4" a="1"/>
  <c r="Y6" i="4" s="1"/>
  <c r="F7" i="4" a="1"/>
  <c r="F7" i="4" s="1"/>
  <c r="W7" i="4" a="1"/>
  <c r="W7" i="4" s="1"/>
  <c r="E8" i="4" a="1"/>
  <c r="E8" i="4" s="1"/>
  <c r="R8" i="4" a="1"/>
  <c r="R8" i="4" s="1"/>
  <c r="AE8" i="4" a="1"/>
  <c r="AE8" i="4" s="1"/>
  <c r="G3" i="4" a="1"/>
  <c r="G3" i="4" s="1"/>
  <c r="U3" i="4" a="1"/>
  <c r="U3" i="4" s="1"/>
  <c r="AH3" i="4" a="1"/>
  <c r="AH3" i="4" s="1"/>
  <c r="N4" i="4" a="1"/>
  <c r="N4" i="4" s="1"/>
  <c r="Z4" i="4" a="1"/>
  <c r="Z4" i="4" s="1"/>
  <c r="H5" i="4" a="1"/>
  <c r="H5" i="4" s="1"/>
  <c r="V5" i="4" a="1"/>
  <c r="V5" i="4" s="1"/>
  <c r="D6" i="4" a="1"/>
  <c r="D6" i="4" s="1"/>
  <c r="Q6" i="4" a="1"/>
  <c r="Q6" i="4" s="1"/>
  <c r="AE6" i="4" a="1"/>
  <c r="AE6" i="4" s="1"/>
  <c r="L7" i="4" a="1"/>
  <c r="L7" i="4" s="1"/>
  <c r="Y7" i="4" a="1"/>
  <c r="Y7" i="4" s="1"/>
  <c r="G8" i="4" a="1"/>
  <c r="G8" i="4" s="1"/>
  <c r="U8" i="4" a="1"/>
  <c r="U8" i="4" s="1"/>
  <c r="AF8" i="4" a="1"/>
  <c r="AF8" i="4" s="1"/>
  <c r="M9" i="4" a="1"/>
  <c r="M9" i="4" s="1"/>
  <c r="M3" i="4" a="1"/>
  <c r="M3" i="4" s="1"/>
  <c r="AB3" i="4" a="1"/>
  <c r="AB3" i="4" s="1"/>
  <c r="I4" i="4" a="1"/>
  <c r="I4" i="4" s="1"/>
  <c r="X4" i="4" a="1"/>
  <c r="X4" i="4" s="1"/>
  <c r="F5" i="4" a="1"/>
  <c r="F5" i="4" s="1"/>
  <c r="AL5" i="4" s="1"/>
  <c r="T5" i="4" a="1"/>
  <c r="T5" i="4" s="1"/>
  <c r="AG5" i="4" a="1"/>
  <c r="AG5" i="4" s="1"/>
  <c r="P6" i="4" a="1"/>
  <c r="P6" i="4" s="1"/>
  <c r="AD6" i="4" a="1"/>
  <c r="AD6" i="4" s="1"/>
  <c r="P7" i="4" a="1"/>
  <c r="P7" i="4" s="1"/>
  <c r="AD7" i="4" a="1"/>
  <c r="AD7" i="4" s="1"/>
  <c r="P8" i="4" a="1"/>
  <c r="P8" i="4" s="1"/>
  <c r="AD8" i="4" a="1"/>
  <c r="AD8" i="4" s="1"/>
  <c r="J9" i="4" a="1"/>
  <c r="J9" i="4" s="1"/>
  <c r="AP9" i="4" s="1"/>
  <c r="C10" i="1"/>
  <c r="D3" i="4" a="1"/>
  <c r="D3" i="4" s="1"/>
  <c r="Q3" i="4" a="1"/>
  <c r="Q3" i="4" s="1"/>
  <c r="AE3" i="4" a="1"/>
  <c r="AE3" i="4" s="1"/>
  <c r="L4" i="4" a="1"/>
  <c r="L4" i="4" s="1"/>
  <c r="Y4" i="4" a="1"/>
  <c r="Y4" i="4" s="1"/>
  <c r="G5" i="4" a="1"/>
  <c r="G5" i="4" s="1"/>
  <c r="U5" i="4" a="1"/>
  <c r="U5" i="4" s="1"/>
  <c r="AH5" i="4" a="1"/>
  <c r="AH5" i="4" s="1"/>
  <c r="O6" i="4" a="1"/>
  <c r="O6" i="4" s="1"/>
  <c r="AC6" i="4" a="1"/>
  <c r="AC6" i="4" s="1"/>
  <c r="J7" i="4" a="1"/>
  <c r="J7" i="4" s="1"/>
  <c r="X7" i="4" a="1"/>
  <c r="X7" i="4" s="1"/>
  <c r="F8" i="4" a="1"/>
  <c r="F8" i="4" s="1"/>
  <c r="T8" i="4" a="1"/>
  <c r="T8" i="4" s="1"/>
  <c r="AH8" i="4" a="1"/>
  <c r="AH8" i="4" s="1"/>
  <c r="P3" i="4" a="1"/>
  <c r="P3" i="4" s="1"/>
  <c r="AD3" i="4" a="1"/>
  <c r="AD3" i="4" s="1"/>
  <c r="P4" i="4" a="1"/>
  <c r="P4" i="4" s="1"/>
  <c r="AD4" i="4" a="1"/>
  <c r="AD4" i="4" s="1"/>
  <c r="J5" i="4" a="1"/>
  <c r="J5" i="4" s="1"/>
  <c r="X5" i="4" a="1"/>
  <c r="X5" i="4" s="1"/>
  <c r="F6" i="4" a="1"/>
  <c r="F6" i="4" s="1"/>
  <c r="T6" i="4" a="1"/>
  <c r="T6" i="4" s="1"/>
  <c r="AH6" i="4" a="1"/>
  <c r="AH6" i="4" s="1"/>
  <c r="O7" i="4" a="1"/>
  <c r="O7" i="4" s="1"/>
  <c r="AC7" i="4" a="1"/>
  <c r="AC7" i="4" s="1"/>
  <c r="J8" i="4" a="1"/>
  <c r="J8" i="4" s="1"/>
  <c r="W8" i="4" a="1"/>
  <c r="W8" i="4" s="1"/>
  <c r="E9" i="4" a="1"/>
  <c r="E9" i="4" s="1"/>
  <c r="AK9" i="4" s="1"/>
  <c r="O3" i="4" a="1"/>
  <c r="O3" i="4" s="1"/>
  <c r="AC3" i="4" a="1"/>
  <c r="AC3" i="4" s="1"/>
  <c r="J4" i="4" a="1"/>
  <c r="J4" i="4" s="1"/>
  <c r="W4" i="4" a="1"/>
  <c r="W4" i="4" s="1"/>
  <c r="D5" i="4" a="1"/>
  <c r="D5" i="4" s="1"/>
  <c r="Q5" i="4" a="1"/>
  <c r="Q5" i="4" s="1"/>
  <c r="AE5" i="4" a="1"/>
  <c r="AE5" i="4" s="1"/>
  <c r="M6" i="4" a="1"/>
  <c r="M6" i="4" s="1"/>
  <c r="AB6" i="4" a="1"/>
  <c r="AB6" i="4" s="1"/>
  <c r="I7" i="4" a="1"/>
  <c r="I7" i="4" s="1"/>
  <c r="U7" i="4" a="1"/>
  <c r="U7" i="4" s="1"/>
  <c r="AH7" i="4" a="1"/>
  <c r="AH7" i="4" s="1"/>
  <c r="O8" i="4" a="1"/>
  <c r="O8" i="4" s="1"/>
  <c r="AB8" i="4" a="1"/>
  <c r="AB8" i="4" s="1"/>
  <c r="I9" i="4" a="1"/>
  <c r="I9" i="4" s="1"/>
  <c r="AO9" i="4" s="1"/>
  <c r="P9" i="4" a="1"/>
  <c r="P9" i="4" s="1"/>
  <c r="C19" i="1"/>
  <c r="J3" i="4" a="1"/>
  <c r="J3" i="4" s="1"/>
  <c r="X3" i="4" a="1"/>
  <c r="X3" i="4" s="1"/>
  <c r="F4" i="4" a="1"/>
  <c r="F4" i="4" s="1"/>
  <c r="T4" i="4" a="1"/>
  <c r="T4" i="4" s="1"/>
  <c r="AH4" i="4" a="1"/>
  <c r="AH4" i="4" s="1"/>
  <c r="O5" i="4" a="1"/>
  <c r="O5" i="4" s="1"/>
  <c r="AC5" i="4" a="1"/>
  <c r="AC5" i="4" s="1"/>
  <c r="I6" i="4" a="1"/>
  <c r="I6" i="4" s="1"/>
  <c r="W6" i="4" a="1"/>
  <c r="W6" i="4" s="1"/>
  <c r="E7" i="4" a="1"/>
  <c r="E7" i="4" s="1"/>
  <c r="R7" i="4" a="1"/>
  <c r="R7" i="4" s="1"/>
  <c r="AF7" i="4" a="1"/>
  <c r="AF7" i="4" s="1"/>
  <c r="M8" i="4" a="1"/>
  <c r="M8" i="4" s="1"/>
  <c r="Z8" i="4" a="1"/>
  <c r="Z8" i="4" s="1"/>
  <c r="G9" i="4" a="1"/>
  <c r="G9" i="4" s="1"/>
  <c r="AM9" i="4" s="1"/>
  <c r="C18" i="1"/>
  <c r="C24" i="1"/>
  <c r="F3" i="4" a="1"/>
  <c r="F3" i="4" s="1"/>
  <c r="T3" i="4" a="1"/>
  <c r="T3" i="4" s="1"/>
  <c r="AG3" i="4" a="1"/>
  <c r="AG3" i="4" s="1"/>
  <c r="O4" i="4" a="1"/>
  <c r="O4" i="4" s="1"/>
  <c r="AC4" i="4" a="1"/>
  <c r="AC4" i="4" s="1"/>
  <c r="I5" i="4" a="1"/>
  <c r="I5" i="4" s="1"/>
  <c r="W5" i="4" a="1"/>
  <c r="W5" i="4" s="1"/>
  <c r="E6" i="4" a="1"/>
  <c r="E6" i="4" s="1"/>
  <c r="R6" i="4" a="1"/>
  <c r="R6" i="4" s="1"/>
  <c r="AF6" i="4" a="1"/>
  <c r="AF6" i="4" s="1"/>
  <c r="M7" i="4" a="1"/>
  <c r="M7" i="4" s="1"/>
  <c r="AB7" i="4" a="1"/>
  <c r="AB7" i="4" s="1"/>
  <c r="I8" i="4" a="1"/>
  <c r="I8" i="4" s="1"/>
  <c r="AO8" i="4" s="1"/>
  <c r="X8" i="4" a="1"/>
  <c r="X8" i="4" s="1"/>
  <c r="F9" i="4" a="1"/>
  <c r="F9" i="4" s="1"/>
  <c r="N9" i="4" a="1"/>
  <c r="N9" i="4" s="1"/>
  <c r="I3" i="4" a="1"/>
  <c r="I3" i="4" s="1"/>
  <c r="W3" i="4" a="1"/>
  <c r="W3" i="4" s="1"/>
  <c r="W15" i="4" s="1"/>
  <c r="E4" i="4" a="1"/>
  <c r="E4" i="4" s="1"/>
  <c r="AK4" i="4" s="1"/>
  <c r="R4" i="4" a="1"/>
  <c r="R4" i="4" s="1"/>
  <c r="AE4" i="4" a="1"/>
  <c r="AE4" i="4" s="1"/>
  <c r="L5" i="4" a="1"/>
  <c r="L5" i="4" s="1"/>
  <c r="Y5" i="4" a="1"/>
  <c r="Y5" i="4" s="1"/>
  <c r="G6" i="4" a="1"/>
  <c r="G6" i="4" s="1"/>
  <c r="AM6" i="4" s="1"/>
  <c r="U6" i="4" a="1"/>
  <c r="U6" i="4" s="1"/>
  <c r="AG6" i="4" a="1"/>
  <c r="AG6" i="4" s="1"/>
  <c r="N7" i="4" a="1"/>
  <c r="N7" i="4" s="1"/>
  <c r="Z7" i="4" a="1"/>
  <c r="Z7" i="4" s="1"/>
  <c r="H8" i="4" a="1"/>
  <c r="H8" i="4" s="1"/>
  <c r="AN8" i="4" s="1"/>
  <c r="V8" i="4" a="1"/>
  <c r="V8" i="4" s="1"/>
  <c r="D9" i="4" a="1"/>
  <c r="D9" i="4" s="1"/>
  <c r="N3" i="4" a="1"/>
  <c r="N3" i="4" s="1"/>
  <c r="Z3" i="4" a="1"/>
  <c r="Z3" i="4" s="1"/>
  <c r="H4" i="4" a="1"/>
  <c r="H4" i="4" s="1"/>
  <c r="V4" i="4" a="1"/>
  <c r="V4" i="4" s="1"/>
  <c r="E5" i="4" a="1"/>
  <c r="E5" i="4" s="1"/>
  <c r="R5" i="4" a="1"/>
  <c r="R5" i="4" s="1"/>
  <c r="AF5" i="4" a="1"/>
  <c r="AF5" i="4" s="1"/>
  <c r="N6" i="4" a="1"/>
  <c r="N6" i="4" s="1"/>
  <c r="Z6" i="4" a="1"/>
  <c r="Z6" i="4" s="1"/>
  <c r="H7" i="4" a="1"/>
  <c r="H7" i="4" s="1"/>
  <c r="T7" i="4" a="1"/>
  <c r="T7" i="4" s="1"/>
  <c r="AG7" i="4" a="1"/>
  <c r="AG7" i="4" s="1"/>
  <c r="N8" i="4" a="1"/>
  <c r="N8" i="4" s="1"/>
  <c r="AC8" i="4" a="1"/>
  <c r="AC8" i="4" s="1"/>
  <c r="X718" i="2"/>
  <c r="W718" i="2"/>
  <c r="W717" i="2"/>
  <c r="X717" i="2"/>
  <c r="W716" i="2"/>
  <c r="X716" i="2"/>
  <c r="X715" i="2"/>
  <c r="W715" i="2"/>
  <c r="W714" i="2"/>
  <c r="X714" i="2"/>
  <c r="W713" i="2"/>
  <c r="X713" i="2"/>
  <c r="X712" i="2"/>
  <c r="W712" i="2"/>
  <c r="W711" i="2"/>
  <c r="X711" i="2"/>
  <c r="X710" i="2"/>
  <c r="W710" i="2"/>
  <c r="X709" i="2"/>
  <c r="W709" i="2"/>
  <c r="X708" i="2"/>
  <c r="W708" i="2"/>
  <c r="X707" i="2"/>
  <c r="W707" i="2"/>
  <c r="X706" i="2"/>
  <c r="W706" i="2"/>
  <c r="X705" i="2"/>
  <c r="W705" i="2"/>
  <c r="W704" i="2"/>
  <c r="X704" i="2"/>
  <c r="X703" i="2"/>
  <c r="W703" i="2"/>
  <c r="W702" i="2"/>
  <c r="X702" i="2"/>
  <c r="X701" i="2"/>
  <c r="W701" i="2"/>
  <c r="X700" i="2"/>
  <c r="W700" i="2"/>
  <c r="W699" i="2"/>
  <c r="V699" i="2"/>
  <c r="X699" i="2"/>
  <c r="X698" i="2"/>
  <c r="V698" i="2"/>
  <c r="W698" i="2"/>
  <c r="W697" i="2"/>
  <c r="V697" i="2"/>
  <c r="X697" i="2"/>
  <c r="W696" i="2"/>
  <c r="V696" i="2"/>
  <c r="X696" i="2"/>
  <c r="V695" i="2"/>
  <c r="W695" i="2"/>
  <c r="X695" i="2"/>
  <c r="V694" i="2"/>
  <c r="W694" i="2"/>
  <c r="X694" i="2"/>
  <c r="V693" i="2"/>
  <c r="W693" i="2"/>
  <c r="X693" i="2"/>
  <c r="X692" i="2"/>
  <c r="V692" i="2"/>
  <c r="W692" i="2"/>
  <c r="V691" i="2"/>
  <c r="X691" i="2"/>
  <c r="W691" i="2"/>
  <c r="X690" i="2"/>
  <c r="W690" i="2"/>
  <c r="V690" i="2"/>
  <c r="X689" i="2"/>
  <c r="W689" i="2"/>
  <c r="V689" i="2"/>
  <c r="V688" i="2"/>
  <c r="W688" i="2"/>
  <c r="X688" i="2"/>
  <c r="X687" i="2"/>
  <c r="W687" i="2"/>
  <c r="V687" i="2"/>
  <c r="X686" i="2"/>
  <c r="W686" i="2"/>
  <c r="V686" i="2"/>
  <c r="X685" i="2"/>
  <c r="W685" i="2"/>
  <c r="V685" i="2"/>
  <c r="W684" i="2"/>
  <c r="X684" i="2"/>
  <c r="V684" i="2"/>
  <c r="W683" i="2"/>
  <c r="V683" i="2"/>
  <c r="X683" i="2"/>
  <c r="X682" i="2"/>
  <c r="W682" i="2"/>
  <c r="V682" i="2"/>
  <c r="V681" i="2"/>
  <c r="X681" i="2"/>
  <c r="W681" i="2"/>
  <c r="X680" i="2"/>
  <c r="W680" i="2"/>
  <c r="V680" i="2"/>
  <c r="V679" i="2"/>
  <c r="W679" i="2"/>
  <c r="X679" i="2"/>
  <c r="X678" i="2"/>
  <c r="W678" i="2"/>
  <c r="V678" i="2"/>
  <c r="V677" i="2"/>
  <c r="W677" i="2"/>
  <c r="X677" i="2"/>
  <c r="X676" i="2"/>
  <c r="W676" i="2"/>
  <c r="V676" i="2"/>
  <c r="V675" i="2"/>
  <c r="X675" i="2"/>
  <c r="W675" i="2"/>
  <c r="X674" i="2"/>
  <c r="W674" i="2"/>
  <c r="V674" i="2"/>
  <c r="W673" i="2"/>
  <c r="V673" i="2"/>
  <c r="X673" i="2"/>
  <c r="X672" i="2"/>
  <c r="W672" i="2"/>
  <c r="V672" i="2"/>
  <c r="V671" i="2"/>
  <c r="X671" i="2"/>
  <c r="W671" i="2"/>
  <c r="W670" i="2"/>
  <c r="X670" i="2"/>
  <c r="V670" i="2"/>
  <c r="X669" i="2"/>
  <c r="W669" i="2"/>
  <c r="V669" i="2"/>
  <c r="X668" i="2"/>
  <c r="W668" i="2"/>
  <c r="V668" i="2"/>
  <c r="V667" i="2"/>
  <c r="W667" i="2"/>
  <c r="X667" i="2"/>
  <c r="X666" i="2"/>
  <c r="W666" i="2"/>
  <c r="V666" i="2"/>
  <c r="V665" i="2"/>
  <c r="X665" i="2"/>
  <c r="W665" i="2"/>
  <c r="X664" i="2"/>
  <c r="W664" i="2"/>
  <c r="V664" i="2"/>
  <c r="V663" i="2"/>
  <c r="W663" i="2"/>
  <c r="X663" i="2"/>
  <c r="W662" i="2"/>
  <c r="X662" i="2"/>
  <c r="V662" i="2"/>
  <c r="X661" i="2"/>
  <c r="W661" i="2"/>
  <c r="V661" i="2"/>
  <c r="V660" i="2"/>
  <c r="X660" i="2"/>
  <c r="W660" i="2"/>
  <c r="X659" i="2"/>
  <c r="W659" i="2"/>
  <c r="V659" i="2"/>
  <c r="X658" i="2"/>
  <c r="W658" i="2"/>
  <c r="V658" i="2"/>
  <c r="X657" i="2"/>
  <c r="W657" i="2"/>
  <c r="V657" i="2"/>
  <c r="V656" i="2"/>
  <c r="X656" i="2"/>
  <c r="W656" i="2"/>
  <c r="V655" i="2"/>
  <c r="W655" i="2"/>
  <c r="X655" i="2"/>
  <c r="W654" i="2"/>
  <c r="V654" i="2"/>
  <c r="X654" i="2"/>
  <c r="X653" i="2"/>
  <c r="W653" i="2"/>
  <c r="V653" i="2"/>
  <c r="X652" i="2"/>
  <c r="W652" i="2"/>
  <c r="V652" i="2"/>
  <c r="X651" i="2"/>
  <c r="W651" i="2"/>
  <c r="V651" i="2"/>
  <c r="X650" i="2"/>
  <c r="W650" i="2"/>
  <c r="V650" i="2"/>
  <c r="W649" i="2"/>
  <c r="X649" i="2"/>
  <c r="V649" i="2"/>
  <c r="W648" i="2"/>
  <c r="V648" i="2"/>
  <c r="X648" i="2"/>
  <c r="X647" i="2"/>
  <c r="V647" i="2"/>
  <c r="W647" i="2"/>
  <c r="V646" i="2"/>
  <c r="W646" i="2"/>
  <c r="X646" i="2"/>
  <c r="V645" i="2"/>
  <c r="W645" i="2"/>
  <c r="X645" i="2"/>
  <c r="V644" i="2"/>
  <c r="W644" i="2"/>
  <c r="X644" i="2"/>
  <c r="X643" i="2"/>
  <c r="W643" i="2"/>
  <c r="V643" i="2"/>
  <c r="X642" i="2"/>
  <c r="W642" i="2"/>
  <c r="V642" i="2"/>
  <c r="V641" i="2"/>
  <c r="W641" i="2"/>
  <c r="X641" i="2"/>
  <c r="V640" i="2"/>
  <c r="X640" i="2"/>
  <c r="W640" i="2"/>
  <c r="V639" i="2"/>
  <c r="W639" i="2"/>
  <c r="X639" i="2"/>
  <c r="X638" i="2"/>
  <c r="W638" i="2"/>
  <c r="V638" i="2"/>
  <c r="X637" i="2"/>
  <c r="W637" i="2"/>
  <c r="V637" i="2"/>
  <c r="W636" i="2"/>
  <c r="V636" i="2"/>
  <c r="X636" i="2"/>
  <c r="X635" i="2"/>
  <c r="W635" i="2"/>
  <c r="V635" i="2"/>
  <c r="V634" i="2"/>
  <c r="X634" i="2"/>
  <c r="W634" i="2"/>
  <c r="X633" i="2"/>
  <c r="W633" i="2"/>
  <c r="V633" i="2"/>
  <c r="X632" i="2"/>
  <c r="W632" i="2"/>
  <c r="V632" i="2"/>
  <c r="W631" i="2"/>
  <c r="V631" i="2"/>
  <c r="X631" i="2"/>
  <c r="X630" i="2"/>
  <c r="W630" i="2"/>
  <c r="V630" i="2"/>
  <c r="X629" i="2"/>
  <c r="W629" i="2"/>
  <c r="V629" i="2"/>
  <c r="X628" i="2"/>
  <c r="V628" i="2"/>
  <c r="W628" i="2"/>
  <c r="V627" i="2"/>
  <c r="W627" i="2"/>
  <c r="X627" i="2"/>
  <c r="W626" i="2"/>
  <c r="X626" i="2"/>
  <c r="V626" i="2"/>
  <c r="X625" i="2"/>
  <c r="V625" i="2"/>
  <c r="W625" i="2"/>
  <c r="V624" i="2"/>
  <c r="X624" i="2"/>
  <c r="W624" i="2"/>
  <c r="X623" i="2"/>
  <c r="V623" i="2"/>
  <c r="W623" i="2"/>
  <c r="W622" i="2"/>
  <c r="V622" i="2"/>
  <c r="X622" i="2"/>
  <c r="W621" i="2"/>
  <c r="V621" i="2"/>
  <c r="X621" i="2"/>
  <c r="V620" i="2"/>
  <c r="W620" i="2"/>
  <c r="X620" i="2"/>
  <c r="V619" i="2"/>
  <c r="X619" i="2"/>
  <c r="W619" i="2"/>
  <c r="X618" i="2"/>
  <c r="W618" i="2"/>
  <c r="V618" i="2"/>
  <c r="V617" i="2"/>
  <c r="X617" i="2"/>
  <c r="W617" i="2"/>
  <c r="X616" i="2"/>
  <c r="W616" i="2"/>
  <c r="V616" i="2"/>
  <c r="V615" i="2"/>
  <c r="W615" i="2"/>
  <c r="X615" i="2"/>
  <c r="V614" i="2"/>
  <c r="W614" i="2"/>
  <c r="X614" i="2"/>
  <c r="X613" i="2"/>
  <c r="W613" i="2"/>
  <c r="V613" i="2"/>
  <c r="V612" i="2"/>
  <c r="W612" i="2"/>
  <c r="X612" i="2"/>
  <c r="V611" i="2"/>
  <c r="W611" i="2"/>
  <c r="X611" i="2"/>
  <c r="V610" i="2"/>
  <c r="W610" i="2"/>
  <c r="X610" i="2"/>
  <c r="V609" i="2"/>
  <c r="X609" i="2"/>
  <c r="W609" i="2"/>
  <c r="W608" i="2"/>
  <c r="X608" i="2"/>
  <c r="V608" i="2"/>
  <c r="W607" i="2"/>
  <c r="X607" i="2"/>
  <c r="V607" i="2"/>
  <c r="W606" i="2"/>
  <c r="V606" i="2"/>
  <c r="X606" i="2"/>
  <c r="W605" i="2"/>
  <c r="V605" i="2"/>
  <c r="X605" i="2"/>
  <c r="V604" i="2"/>
  <c r="W604" i="2"/>
  <c r="X604" i="2"/>
  <c r="W603" i="2"/>
  <c r="X603" i="2"/>
  <c r="V603" i="2"/>
  <c r="W602" i="2"/>
  <c r="V602" i="2"/>
  <c r="X602" i="2"/>
  <c r="X601" i="2"/>
  <c r="W601" i="2"/>
  <c r="V601" i="2"/>
  <c r="X600" i="2"/>
  <c r="W600" i="2"/>
  <c r="V600" i="2"/>
  <c r="X599" i="2"/>
  <c r="V599" i="2"/>
  <c r="W599" i="2"/>
  <c r="X598" i="2"/>
  <c r="W598" i="2"/>
  <c r="V598" i="2"/>
  <c r="V597" i="2"/>
  <c r="W597" i="2"/>
  <c r="X597" i="2"/>
  <c r="X596" i="2"/>
  <c r="W596" i="2"/>
  <c r="V596" i="2"/>
  <c r="W595" i="2"/>
  <c r="X595" i="2"/>
  <c r="V595" i="2"/>
  <c r="V594" i="2"/>
  <c r="X594" i="2"/>
  <c r="W594" i="2"/>
  <c r="V593" i="2"/>
  <c r="W593" i="2"/>
  <c r="X593" i="2"/>
  <c r="V592" i="2"/>
  <c r="X592" i="2"/>
  <c r="W592" i="2"/>
  <c r="X591" i="2"/>
  <c r="W591" i="2"/>
  <c r="V591" i="2"/>
  <c r="V590" i="2"/>
  <c r="W590" i="2"/>
  <c r="X590" i="2"/>
  <c r="X589" i="2"/>
  <c r="W589" i="2"/>
  <c r="V589" i="2"/>
  <c r="W588" i="2"/>
  <c r="V588" i="2"/>
  <c r="X588" i="2"/>
  <c r="X587" i="2"/>
  <c r="V587" i="2"/>
  <c r="W587" i="2"/>
  <c r="X586" i="2"/>
  <c r="W586" i="2"/>
  <c r="V586" i="2"/>
  <c r="V585" i="2"/>
  <c r="W585" i="2"/>
  <c r="X585" i="2"/>
  <c r="W584" i="2"/>
  <c r="V584" i="2"/>
  <c r="X584" i="2"/>
  <c r="X583" i="2"/>
  <c r="W583" i="2"/>
  <c r="V583" i="2"/>
  <c r="X582" i="2"/>
  <c r="W582" i="2"/>
  <c r="V582" i="2"/>
  <c r="X581" i="2"/>
  <c r="W581" i="2"/>
  <c r="V581" i="2"/>
  <c r="V580" i="2"/>
  <c r="W580" i="2"/>
  <c r="X580" i="2"/>
  <c r="V579" i="2"/>
  <c r="W579" i="2"/>
  <c r="X579" i="2"/>
  <c r="V578" i="2"/>
  <c r="W578" i="2"/>
  <c r="X578" i="2"/>
  <c r="W577" i="2"/>
  <c r="V577" i="2"/>
  <c r="X577" i="2"/>
  <c r="W576" i="2"/>
  <c r="V576" i="2"/>
  <c r="X576" i="2"/>
  <c r="W575" i="2"/>
  <c r="V575" i="2"/>
  <c r="X575" i="2"/>
  <c r="X574" i="2"/>
  <c r="V574" i="2"/>
  <c r="W574" i="2"/>
  <c r="V573" i="2"/>
  <c r="W573" i="2"/>
  <c r="X573" i="2"/>
  <c r="X572" i="2"/>
  <c r="W572" i="2"/>
  <c r="V572" i="2"/>
  <c r="X571" i="2"/>
  <c r="W571" i="2"/>
  <c r="V571" i="2"/>
  <c r="X570" i="2"/>
  <c r="W570" i="2"/>
  <c r="V570" i="2"/>
  <c r="X569" i="2"/>
  <c r="V569" i="2"/>
  <c r="W569" i="2"/>
  <c r="V568" i="2"/>
  <c r="X568" i="2"/>
  <c r="W568" i="2"/>
  <c r="X567" i="2"/>
  <c r="W567" i="2"/>
  <c r="V567" i="2"/>
  <c r="X566" i="2"/>
  <c r="W566" i="2"/>
  <c r="V566" i="2"/>
  <c r="W565" i="2"/>
  <c r="V565" i="2"/>
  <c r="X565" i="2"/>
  <c r="X564" i="2"/>
  <c r="W564" i="2"/>
  <c r="V564" i="2"/>
  <c r="V563" i="2"/>
  <c r="W563" i="2"/>
  <c r="X563" i="2"/>
  <c r="X562" i="2"/>
  <c r="W562" i="2"/>
  <c r="V562" i="2"/>
  <c r="V561" i="2"/>
  <c r="W561" i="2"/>
  <c r="X561" i="2"/>
  <c r="W560" i="2"/>
  <c r="V560" i="2"/>
  <c r="X560" i="2"/>
  <c r="X559" i="2"/>
  <c r="W559" i="2"/>
  <c r="V559" i="2"/>
  <c r="W558" i="2"/>
  <c r="V558" i="2"/>
  <c r="X558" i="2"/>
  <c r="X557" i="2"/>
  <c r="W557" i="2"/>
  <c r="V557" i="2"/>
  <c r="W556" i="2"/>
  <c r="V556" i="2"/>
  <c r="X556" i="2"/>
  <c r="W555" i="2"/>
  <c r="X555" i="2"/>
  <c r="V555" i="2"/>
  <c r="W554" i="2"/>
  <c r="V554" i="2"/>
  <c r="X554" i="2"/>
  <c r="W553" i="2"/>
  <c r="V553" i="2"/>
  <c r="V552" i="2"/>
  <c r="W552" i="2"/>
  <c r="X552" i="2"/>
  <c r="W551" i="2"/>
  <c r="X551" i="2"/>
  <c r="V551" i="2"/>
  <c r="X550" i="2"/>
  <c r="W550" i="2"/>
  <c r="V550" i="2"/>
  <c r="V549" i="2"/>
  <c r="X549" i="2"/>
  <c r="W549" i="2"/>
  <c r="W548" i="2"/>
  <c r="V548" i="2"/>
  <c r="X548" i="2"/>
  <c r="V547" i="2"/>
  <c r="W547" i="2"/>
  <c r="X547" i="2"/>
  <c r="V546" i="2"/>
  <c r="W546" i="2"/>
  <c r="X546" i="2"/>
  <c r="V545" i="2"/>
  <c r="W545" i="2"/>
  <c r="X545" i="2"/>
  <c r="X544" i="2"/>
  <c r="W544" i="2"/>
  <c r="V544" i="2"/>
  <c r="W543" i="2"/>
  <c r="V543" i="2"/>
  <c r="X543" i="2"/>
  <c r="V542" i="2"/>
  <c r="X542" i="2"/>
  <c r="W542" i="2"/>
  <c r="W541" i="2"/>
  <c r="X541" i="2"/>
  <c r="V541" i="2"/>
  <c r="X540" i="2"/>
  <c r="W540" i="2"/>
  <c r="V540" i="2"/>
  <c r="X539" i="2"/>
  <c r="W539" i="2"/>
  <c r="V539" i="2"/>
  <c r="X538" i="2"/>
  <c r="W538" i="2"/>
  <c r="V538" i="2"/>
  <c r="X537" i="2"/>
  <c r="W537" i="2"/>
  <c r="V537" i="2"/>
  <c r="X536" i="2"/>
  <c r="V536" i="2"/>
  <c r="W536" i="2"/>
  <c r="X535" i="2"/>
  <c r="W535" i="2"/>
  <c r="V535" i="2"/>
  <c r="W534" i="2"/>
  <c r="V534" i="2"/>
  <c r="X534" i="2"/>
  <c r="V533" i="2"/>
  <c r="W533" i="2"/>
  <c r="X533" i="2"/>
  <c r="V532" i="2"/>
  <c r="W532" i="2"/>
  <c r="X532" i="2"/>
  <c r="X531" i="2"/>
  <c r="W531" i="2"/>
  <c r="V531" i="2"/>
  <c r="X530" i="2"/>
  <c r="W530" i="2"/>
  <c r="V530" i="2"/>
  <c r="V529" i="2"/>
  <c r="W529" i="2"/>
  <c r="X529" i="2"/>
  <c r="X528" i="2"/>
  <c r="W528" i="2"/>
  <c r="V528" i="2"/>
  <c r="W527" i="2"/>
  <c r="X527" i="2"/>
  <c r="V527" i="2"/>
  <c r="X526" i="2"/>
  <c r="V526" i="2"/>
  <c r="W526" i="2"/>
  <c r="W525" i="2"/>
  <c r="X525" i="2"/>
  <c r="V525" i="2"/>
  <c r="V524" i="2"/>
  <c r="W524" i="2"/>
  <c r="X524" i="2"/>
  <c r="W523" i="2"/>
  <c r="V523" i="2"/>
  <c r="X523" i="2"/>
  <c r="X522" i="2"/>
  <c r="W522" i="2"/>
  <c r="V522" i="2"/>
  <c r="X521" i="2"/>
  <c r="W521" i="2"/>
  <c r="V521" i="2"/>
  <c r="W520" i="2"/>
  <c r="V520" i="2"/>
  <c r="X520" i="2"/>
  <c r="V519" i="2"/>
  <c r="W519" i="2"/>
  <c r="X519" i="2"/>
  <c r="V518" i="2"/>
  <c r="W518" i="2"/>
  <c r="X518" i="2"/>
  <c r="V517" i="2"/>
  <c r="W517" i="2"/>
  <c r="X517" i="2"/>
  <c r="V516" i="2"/>
  <c r="W516" i="2"/>
  <c r="X516" i="2"/>
  <c r="V515" i="2"/>
  <c r="W515" i="2"/>
  <c r="X515" i="2"/>
  <c r="X514" i="2"/>
  <c r="V514" i="2"/>
  <c r="W514" i="2"/>
  <c r="X513" i="2"/>
  <c r="W513" i="2"/>
  <c r="V513" i="2"/>
  <c r="W512" i="2"/>
  <c r="V512" i="2"/>
  <c r="X512" i="2"/>
  <c r="V511" i="2"/>
  <c r="W511" i="2"/>
  <c r="X511" i="2"/>
  <c r="V510" i="2"/>
  <c r="W510" i="2"/>
  <c r="X510" i="2"/>
  <c r="W509" i="2"/>
  <c r="X509" i="2"/>
  <c r="V509" i="2"/>
  <c r="X508" i="2"/>
  <c r="W508" i="2"/>
  <c r="V508" i="2"/>
  <c r="V507" i="2"/>
  <c r="X507" i="2"/>
  <c r="W507" i="2"/>
  <c r="W506" i="2"/>
  <c r="V506" i="2"/>
  <c r="X506" i="2"/>
  <c r="V505" i="2"/>
  <c r="W505" i="2"/>
  <c r="X505" i="2"/>
  <c r="V504" i="2"/>
  <c r="W504" i="2"/>
  <c r="X504" i="2"/>
  <c r="V503" i="2"/>
  <c r="W503" i="2"/>
  <c r="X503" i="2"/>
  <c r="X502" i="2"/>
  <c r="W502" i="2"/>
  <c r="V502" i="2"/>
  <c r="V501" i="2"/>
  <c r="W501" i="2"/>
  <c r="X501" i="2"/>
  <c r="V500" i="2"/>
  <c r="X500" i="2"/>
  <c r="W500" i="2"/>
  <c r="X499" i="2"/>
  <c r="W499" i="2"/>
  <c r="V499" i="2"/>
  <c r="X498" i="2"/>
  <c r="W498" i="2"/>
  <c r="V498" i="2"/>
  <c r="W497" i="2"/>
  <c r="X497" i="2"/>
  <c r="V497" i="2"/>
  <c r="V496" i="2"/>
  <c r="W496" i="2"/>
  <c r="X496" i="2"/>
  <c r="V495" i="2"/>
  <c r="W495" i="2"/>
  <c r="X495" i="2"/>
  <c r="V494" i="2"/>
  <c r="W494" i="2"/>
  <c r="X494" i="2"/>
  <c r="V493" i="2"/>
  <c r="W493" i="2"/>
  <c r="X493" i="2"/>
  <c r="X492" i="2"/>
  <c r="W492" i="2"/>
  <c r="V492" i="2"/>
  <c r="V491" i="2"/>
  <c r="W491" i="2"/>
  <c r="X491" i="2"/>
  <c r="V490" i="2"/>
  <c r="X490" i="2"/>
  <c r="W490" i="2"/>
  <c r="X489" i="2"/>
  <c r="V489" i="2"/>
  <c r="W489" i="2"/>
  <c r="V488" i="2"/>
  <c r="W488" i="2"/>
  <c r="X488" i="2"/>
  <c r="W487" i="2"/>
  <c r="V487" i="2"/>
  <c r="X487" i="2"/>
  <c r="V486" i="2"/>
  <c r="W486" i="2"/>
  <c r="X486" i="2"/>
  <c r="X485" i="2"/>
  <c r="W485" i="2"/>
  <c r="V485" i="2"/>
  <c r="X484" i="2"/>
  <c r="V484" i="2"/>
  <c r="W484" i="2"/>
  <c r="X483" i="2"/>
  <c r="W483" i="2"/>
  <c r="V483" i="2"/>
  <c r="X482" i="2"/>
  <c r="W482" i="2"/>
  <c r="V482" i="2"/>
  <c r="W481" i="2"/>
  <c r="V481" i="2"/>
  <c r="X481" i="2"/>
  <c r="V480" i="2"/>
  <c r="W480" i="2"/>
  <c r="X480" i="2"/>
  <c r="V479" i="2"/>
  <c r="W479" i="2"/>
  <c r="X479" i="2"/>
  <c r="V478" i="2"/>
  <c r="W478" i="2"/>
  <c r="X478" i="2"/>
  <c r="X477" i="2"/>
  <c r="V477" i="2"/>
  <c r="W477" i="2"/>
  <c r="V476" i="2"/>
  <c r="W476" i="2"/>
  <c r="X476" i="2"/>
  <c r="V475" i="2"/>
  <c r="W475" i="2"/>
  <c r="X475" i="2"/>
  <c r="W474" i="2"/>
  <c r="V474" i="2"/>
  <c r="X474" i="2"/>
  <c r="W473" i="2"/>
  <c r="V473" i="2"/>
  <c r="X473" i="2"/>
  <c r="X472" i="2"/>
  <c r="V472" i="2"/>
  <c r="W472" i="2"/>
  <c r="W471" i="2"/>
  <c r="V471" i="2"/>
  <c r="X471" i="2"/>
  <c r="V470" i="2"/>
  <c r="X470" i="2"/>
  <c r="W470" i="2"/>
  <c r="X469" i="2"/>
  <c r="V469" i="2"/>
  <c r="W469" i="2"/>
  <c r="V468" i="2"/>
  <c r="X468" i="2"/>
  <c r="W468" i="2"/>
  <c r="X467" i="2"/>
  <c r="W467" i="2"/>
  <c r="V467" i="2"/>
  <c r="V466" i="2"/>
  <c r="W466" i="2"/>
  <c r="X466" i="2"/>
  <c r="X465" i="2"/>
  <c r="W465" i="2"/>
  <c r="V465" i="2"/>
  <c r="W464" i="2"/>
  <c r="X464" i="2"/>
  <c r="V464" i="2"/>
  <c r="X463" i="2"/>
  <c r="V463" i="2"/>
  <c r="W463" i="2"/>
  <c r="X462" i="2"/>
  <c r="W462" i="2"/>
  <c r="V462" i="2"/>
  <c r="X461" i="2"/>
  <c r="W461" i="2"/>
  <c r="V461" i="2"/>
  <c r="W460" i="2"/>
  <c r="X460" i="2"/>
  <c r="V460" i="2"/>
  <c r="W459" i="2"/>
  <c r="X459" i="2"/>
  <c r="V459" i="2"/>
  <c r="X458" i="2"/>
  <c r="V458" i="2"/>
  <c r="W458" i="2"/>
  <c r="X457" i="2"/>
  <c r="W457" i="2"/>
  <c r="V457" i="2"/>
  <c r="W456" i="2"/>
  <c r="V456" i="2"/>
  <c r="X456" i="2"/>
  <c r="X455" i="2"/>
  <c r="W455" i="2"/>
  <c r="V455" i="2"/>
  <c r="V454" i="2"/>
  <c r="W454" i="2"/>
  <c r="X454" i="2"/>
  <c r="W453" i="2"/>
  <c r="V453" i="2"/>
  <c r="X453" i="2"/>
  <c r="V452" i="2"/>
  <c r="W452" i="2"/>
  <c r="X452" i="2"/>
  <c r="V451" i="2"/>
  <c r="W451" i="2"/>
  <c r="X451" i="2"/>
  <c r="W450" i="2"/>
  <c r="V450" i="2"/>
  <c r="X450" i="2"/>
  <c r="X449" i="2"/>
  <c r="W449" i="2"/>
  <c r="V449" i="2"/>
  <c r="X448" i="2"/>
  <c r="W448" i="2"/>
  <c r="V448" i="2"/>
  <c r="X447" i="2"/>
  <c r="W447" i="2"/>
  <c r="V447" i="2"/>
  <c r="X446" i="2"/>
  <c r="W446" i="2"/>
  <c r="V446" i="2"/>
  <c r="X445" i="2"/>
  <c r="W445" i="2"/>
  <c r="V445" i="2"/>
  <c r="X444" i="2"/>
  <c r="W444" i="2"/>
  <c r="V444" i="2"/>
  <c r="X443" i="2"/>
  <c r="W443" i="2"/>
  <c r="V443" i="2"/>
  <c r="W442" i="2"/>
  <c r="X442" i="2"/>
  <c r="V442" i="2"/>
  <c r="X441" i="2"/>
  <c r="W441" i="2"/>
  <c r="V441" i="2"/>
  <c r="X440" i="2"/>
  <c r="W440" i="2"/>
  <c r="V440" i="2"/>
  <c r="W439" i="2"/>
  <c r="V439" i="2"/>
  <c r="X439" i="2"/>
  <c r="V438" i="2"/>
  <c r="W438" i="2"/>
  <c r="X438" i="2"/>
  <c r="V437" i="2"/>
  <c r="W437" i="2"/>
  <c r="X437" i="2"/>
  <c r="X436" i="2"/>
  <c r="W436" i="2"/>
  <c r="V436" i="2"/>
  <c r="W435" i="2"/>
  <c r="X435" i="2"/>
  <c r="V435" i="2"/>
  <c r="X434" i="2"/>
  <c r="W434" i="2"/>
  <c r="V434" i="2"/>
  <c r="X433" i="2"/>
  <c r="W433" i="2"/>
  <c r="V433" i="2"/>
  <c r="X432" i="2"/>
  <c r="V432" i="2"/>
  <c r="W432" i="2"/>
  <c r="W431" i="2"/>
  <c r="X431" i="2"/>
  <c r="V431" i="2"/>
  <c r="X430" i="2"/>
  <c r="W430" i="2"/>
  <c r="V430" i="2"/>
  <c r="V429" i="2"/>
  <c r="W429" i="2"/>
  <c r="X429" i="2"/>
  <c r="W428" i="2"/>
  <c r="V428" i="2"/>
  <c r="X428" i="2"/>
  <c r="X427" i="2"/>
  <c r="W427" i="2"/>
  <c r="V427" i="2"/>
  <c r="V426" i="2"/>
  <c r="W426" i="2"/>
  <c r="X426" i="2"/>
  <c r="X425" i="2"/>
  <c r="W425" i="2"/>
  <c r="V425" i="2"/>
  <c r="V424" i="2"/>
  <c r="W424" i="2"/>
  <c r="X424" i="2"/>
  <c r="W423" i="2"/>
  <c r="X423" i="2"/>
  <c r="V423" i="2"/>
  <c r="V422" i="2"/>
  <c r="W422" i="2"/>
  <c r="X422" i="2"/>
  <c r="X421" i="2"/>
  <c r="W421" i="2"/>
  <c r="V421" i="2"/>
  <c r="W420" i="2"/>
  <c r="X420" i="2"/>
  <c r="V420" i="2"/>
  <c r="W419" i="2"/>
  <c r="V419" i="2"/>
  <c r="X419" i="2"/>
  <c r="W418" i="2"/>
  <c r="V418" i="2"/>
  <c r="X418" i="2"/>
  <c r="X417" i="2"/>
  <c r="W417" i="2"/>
  <c r="V417" i="2"/>
  <c r="X416" i="2"/>
  <c r="W416" i="2"/>
  <c r="V416" i="2"/>
  <c r="V415" i="2"/>
  <c r="W415" i="2"/>
  <c r="X415" i="2"/>
  <c r="W414" i="2"/>
  <c r="X414" i="2"/>
  <c r="V414" i="2"/>
  <c r="W413" i="2"/>
  <c r="V413" i="2"/>
  <c r="X413" i="2"/>
  <c r="X412" i="2"/>
  <c r="W412" i="2"/>
  <c r="V412" i="2"/>
  <c r="X411" i="2"/>
  <c r="W411" i="2"/>
  <c r="V411" i="2"/>
  <c r="V410" i="2"/>
  <c r="W410" i="2"/>
  <c r="X410" i="2"/>
  <c r="V409" i="2"/>
  <c r="W409" i="2"/>
  <c r="X409" i="2"/>
  <c r="X408" i="2"/>
  <c r="V408" i="2"/>
  <c r="W408" i="2"/>
  <c r="W407" i="2"/>
  <c r="X407" i="2"/>
  <c r="V407" i="2"/>
  <c r="W406" i="2"/>
  <c r="V406" i="2"/>
  <c r="X406" i="2"/>
  <c r="X405" i="2"/>
  <c r="V405" i="2"/>
  <c r="W405" i="2"/>
  <c r="X404" i="2"/>
  <c r="W404" i="2"/>
  <c r="V404" i="2"/>
  <c r="X403" i="2"/>
  <c r="V403" i="2"/>
  <c r="W403" i="2"/>
  <c r="V402" i="2"/>
  <c r="W402" i="2"/>
  <c r="X402" i="2"/>
  <c r="X401" i="2"/>
  <c r="W401" i="2"/>
  <c r="V401" i="2"/>
  <c r="V400" i="2"/>
  <c r="W400" i="2"/>
  <c r="X400" i="2"/>
  <c r="W399" i="2"/>
  <c r="V399" i="2"/>
  <c r="X399" i="2"/>
  <c r="V398" i="2"/>
  <c r="W398" i="2"/>
  <c r="X398" i="2"/>
  <c r="V397" i="2"/>
  <c r="W397" i="2"/>
  <c r="X397" i="2"/>
  <c r="W396" i="2"/>
  <c r="V396" i="2"/>
  <c r="X396" i="2"/>
  <c r="W395" i="2"/>
  <c r="V395" i="2"/>
  <c r="X395" i="2"/>
  <c r="V394" i="2"/>
  <c r="W394" i="2"/>
  <c r="X394" i="2"/>
  <c r="X393" i="2"/>
  <c r="W393" i="2"/>
  <c r="V393" i="2"/>
  <c r="V392" i="2"/>
  <c r="W392" i="2"/>
  <c r="X392" i="2"/>
  <c r="V391" i="2"/>
  <c r="W391" i="2"/>
  <c r="X391" i="2"/>
  <c r="W390" i="2"/>
  <c r="X390" i="2"/>
  <c r="V390" i="2"/>
  <c r="V389" i="2"/>
  <c r="W389" i="2"/>
  <c r="X389" i="2"/>
  <c r="V388" i="2"/>
  <c r="W388" i="2"/>
  <c r="X388" i="2"/>
  <c r="X387" i="2"/>
  <c r="W387" i="2"/>
  <c r="V387" i="2"/>
  <c r="V386" i="2"/>
  <c r="X386" i="2"/>
  <c r="W386" i="2"/>
  <c r="W385" i="2"/>
  <c r="V385" i="2"/>
  <c r="X385" i="2"/>
  <c r="X384" i="2"/>
  <c r="W384" i="2"/>
  <c r="V384" i="2"/>
  <c r="V383" i="2"/>
  <c r="W383" i="2"/>
  <c r="X383" i="2"/>
  <c r="V382" i="2"/>
  <c r="W382" i="2"/>
  <c r="X382" i="2"/>
  <c r="W381" i="2"/>
  <c r="X381" i="2"/>
  <c r="V381" i="2"/>
  <c r="X380" i="2"/>
  <c r="V380" i="2"/>
  <c r="W380" i="2"/>
  <c r="X379" i="2"/>
  <c r="V379" i="2"/>
  <c r="W379" i="2"/>
  <c r="V378" i="2"/>
  <c r="W378" i="2"/>
  <c r="X378" i="2"/>
  <c r="X377" i="2"/>
  <c r="W377" i="2"/>
  <c r="V377" i="2"/>
  <c r="V376" i="2"/>
  <c r="W376" i="2"/>
  <c r="X376" i="2"/>
  <c r="W375" i="2"/>
  <c r="X375" i="2"/>
  <c r="V375" i="2"/>
  <c r="X374" i="2"/>
  <c r="W374" i="2"/>
  <c r="V374" i="2"/>
  <c r="X373" i="2"/>
  <c r="W373" i="2"/>
  <c r="V373" i="2"/>
  <c r="X372" i="2"/>
  <c r="W372" i="2"/>
  <c r="V372" i="2"/>
  <c r="V371" i="2"/>
  <c r="X371" i="2"/>
  <c r="W371" i="2"/>
  <c r="V370" i="2"/>
  <c r="X370" i="2"/>
  <c r="W370" i="2"/>
  <c r="X369" i="2"/>
  <c r="W369" i="2"/>
  <c r="V369" i="2"/>
  <c r="V368" i="2"/>
  <c r="W368" i="2"/>
  <c r="X368" i="2"/>
  <c r="V367" i="2"/>
  <c r="W367" i="2"/>
  <c r="X367" i="2"/>
  <c r="X366" i="2"/>
  <c r="W366" i="2"/>
  <c r="V366" i="2"/>
  <c r="V365" i="2"/>
  <c r="X365" i="2"/>
  <c r="W365" i="2"/>
  <c r="W364" i="2"/>
  <c r="X364" i="2"/>
  <c r="V364" i="2"/>
  <c r="X363" i="2"/>
  <c r="W363" i="2"/>
  <c r="V363" i="2"/>
  <c r="V362" i="2"/>
  <c r="W362" i="2"/>
  <c r="X362" i="2"/>
  <c r="V361" i="2"/>
  <c r="W361" i="2"/>
  <c r="X361" i="2"/>
  <c r="X360" i="2"/>
  <c r="W360" i="2"/>
  <c r="V360" i="2"/>
  <c r="X359" i="2"/>
  <c r="W359" i="2"/>
  <c r="V359" i="2"/>
  <c r="V358" i="2"/>
  <c r="W358" i="2"/>
  <c r="X358" i="2"/>
  <c r="X357" i="2"/>
  <c r="W357" i="2"/>
  <c r="V357" i="2"/>
  <c r="X356" i="2"/>
  <c r="W356" i="2"/>
  <c r="V356" i="2"/>
  <c r="V355" i="2"/>
  <c r="W355" i="2"/>
  <c r="X355" i="2"/>
  <c r="W354" i="2"/>
  <c r="V354" i="2"/>
  <c r="X354" i="2"/>
  <c r="X353" i="2"/>
  <c r="W353" i="2"/>
  <c r="V353" i="2"/>
  <c r="X352" i="2"/>
  <c r="W352" i="2"/>
  <c r="V352" i="2"/>
  <c r="V351" i="2"/>
  <c r="W351" i="2"/>
  <c r="X351" i="2"/>
  <c r="X350" i="2"/>
  <c r="W350" i="2"/>
  <c r="V350" i="2"/>
  <c r="V349" i="2"/>
  <c r="X349" i="2"/>
  <c r="W349" i="2"/>
  <c r="V348" i="2"/>
  <c r="W348" i="2"/>
  <c r="X348" i="2"/>
  <c r="X347" i="2"/>
  <c r="V347" i="2"/>
  <c r="W347" i="2"/>
  <c r="W346" i="2"/>
  <c r="V346" i="2"/>
  <c r="X346" i="2"/>
  <c r="X345" i="2"/>
  <c r="W345" i="2"/>
  <c r="V345" i="2"/>
  <c r="V344" i="2"/>
  <c r="X344" i="2"/>
  <c r="W344" i="2"/>
  <c r="W343" i="2"/>
  <c r="V343" i="2"/>
  <c r="X343" i="2"/>
  <c r="V342" i="2"/>
  <c r="X342" i="2"/>
  <c r="W342" i="2"/>
  <c r="X341" i="2"/>
  <c r="V341" i="2"/>
  <c r="W341" i="2"/>
  <c r="W340" i="2"/>
  <c r="X340" i="2"/>
  <c r="V340" i="2"/>
  <c r="V339" i="2"/>
  <c r="W339" i="2"/>
  <c r="X339" i="2"/>
  <c r="W338" i="2"/>
  <c r="V338" i="2"/>
  <c r="X338" i="2"/>
  <c r="W337" i="2"/>
  <c r="V337" i="2"/>
  <c r="X337" i="2"/>
  <c r="X336" i="2"/>
  <c r="W336" i="2"/>
  <c r="V336" i="2"/>
  <c r="W335" i="2"/>
  <c r="X335" i="2"/>
  <c r="V335" i="2"/>
  <c r="V334" i="2"/>
  <c r="W334" i="2"/>
  <c r="X334" i="2"/>
  <c r="X333" i="2"/>
  <c r="V333" i="2"/>
  <c r="W333" i="2"/>
  <c r="V332" i="2"/>
  <c r="W332" i="2"/>
  <c r="X332" i="2"/>
  <c r="X331" i="2"/>
  <c r="W331" i="2"/>
  <c r="V331" i="2"/>
  <c r="V330" i="2"/>
  <c r="W330" i="2"/>
  <c r="X330" i="2"/>
  <c r="X329" i="2"/>
  <c r="W329" i="2"/>
  <c r="V329" i="2"/>
  <c r="X328" i="2"/>
  <c r="W328" i="2"/>
  <c r="V328" i="2"/>
  <c r="V327" i="2"/>
  <c r="W327" i="2"/>
  <c r="X327" i="2"/>
  <c r="X326" i="2"/>
  <c r="W326" i="2"/>
  <c r="V326" i="2"/>
  <c r="X325" i="2"/>
  <c r="W325" i="2"/>
  <c r="V325" i="2"/>
  <c r="V324" i="2"/>
  <c r="X324" i="2"/>
  <c r="W324" i="2"/>
  <c r="X323" i="2"/>
  <c r="V323" i="2"/>
  <c r="W323" i="2"/>
  <c r="W322" i="2"/>
  <c r="V322" i="2"/>
  <c r="X322" i="2"/>
  <c r="X321" i="2"/>
  <c r="W321" i="2"/>
  <c r="V321" i="2"/>
  <c r="X320" i="2"/>
  <c r="W320" i="2"/>
  <c r="V320" i="2"/>
  <c r="W319" i="2"/>
  <c r="V319" i="2"/>
  <c r="X319" i="2"/>
  <c r="X318" i="2"/>
  <c r="W318" i="2"/>
  <c r="V318" i="2"/>
  <c r="W317" i="2"/>
  <c r="V317" i="2"/>
  <c r="X317" i="2"/>
  <c r="V316" i="2"/>
  <c r="X316" i="2"/>
  <c r="W316" i="2"/>
  <c r="X315" i="2"/>
  <c r="W315" i="2"/>
  <c r="V315" i="2"/>
  <c r="X314" i="2"/>
  <c r="W314" i="2"/>
  <c r="V314" i="2"/>
  <c r="X313" i="2"/>
  <c r="W313" i="2"/>
  <c r="V313" i="2"/>
  <c r="V312" i="2"/>
  <c r="W312" i="2"/>
  <c r="X312" i="2"/>
  <c r="X311" i="2"/>
  <c r="W311" i="2"/>
  <c r="V311" i="2"/>
  <c r="W310" i="2"/>
  <c r="X310" i="2"/>
  <c r="V310" i="2"/>
  <c r="W309" i="2"/>
  <c r="X309" i="2"/>
  <c r="V309" i="2"/>
  <c r="V308" i="2"/>
  <c r="W308" i="2"/>
  <c r="X308" i="2"/>
  <c r="W307" i="2"/>
  <c r="X307" i="2"/>
  <c r="V307" i="2"/>
  <c r="V306" i="2"/>
  <c r="W306" i="2"/>
  <c r="X306" i="2"/>
  <c r="V305" i="2"/>
  <c r="W305" i="2"/>
  <c r="X305" i="2"/>
  <c r="W304" i="2"/>
  <c r="X304" i="2"/>
  <c r="V304" i="2"/>
  <c r="X303" i="2"/>
  <c r="W303" i="2"/>
  <c r="V303" i="2"/>
  <c r="V302" i="2"/>
  <c r="W302" i="2"/>
  <c r="X302" i="2"/>
  <c r="W301" i="2"/>
  <c r="X301" i="2"/>
  <c r="V301" i="2"/>
  <c r="V300" i="2"/>
  <c r="X300" i="2"/>
  <c r="W300" i="2"/>
  <c r="X299" i="2"/>
  <c r="W299" i="2"/>
  <c r="V299" i="2"/>
  <c r="X298" i="2"/>
  <c r="W298" i="2"/>
  <c r="V298" i="2"/>
  <c r="X297" i="2"/>
  <c r="W297" i="2"/>
  <c r="V297" i="2"/>
  <c r="X296" i="2"/>
  <c r="W296" i="2"/>
  <c r="V296" i="2"/>
  <c r="X295" i="2"/>
  <c r="W295" i="2"/>
  <c r="V295" i="2"/>
  <c r="X294" i="2"/>
  <c r="W294" i="2"/>
  <c r="V294" i="2"/>
  <c r="V293" i="2"/>
  <c r="W293" i="2"/>
  <c r="X293" i="2"/>
  <c r="V292" i="2"/>
  <c r="X292" i="2"/>
  <c r="W292" i="2"/>
  <c r="X291" i="2"/>
  <c r="W291" i="2"/>
  <c r="V291" i="2"/>
  <c r="V290" i="2"/>
  <c r="W290" i="2"/>
  <c r="X290" i="2"/>
  <c r="V289" i="2"/>
  <c r="W289" i="2"/>
  <c r="X289" i="2"/>
  <c r="V288" i="2"/>
  <c r="X288" i="2"/>
  <c r="W288" i="2"/>
  <c r="X287" i="2"/>
  <c r="W287" i="2"/>
  <c r="V287" i="2"/>
  <c r="X286" i="2"/>
  <c r="V286" i="2"/>
  <c r="W286" i="2"/>
  <c r="X285" i="2"/>
  <c r="W285" i="2"/>
  <c r="V285" i="2"/>
  <c r="W284" i="2"/>
  <c r="X284" i="2"/>
  <c r="V284" i="2"/>
  <c r="W283" i="2"/>
  <c r="V283" i="2"/>
  <c r="X283" i="2"/>
  <c r="W282" i="2"/>
  <c r="V282" i="2"/>
  <c r="X282" i="2"/>
  <c r="X281" i="2"/>
  <c r="W281" i="2"/>
  <c r="V281" i="2"/>
  <c r="X280" i="2"/>
  <c r="W280" i="2"/>
  <c r="V280" i="2"/>
  <c r="W279" i="2"/>
  <c r="V279" i="2"/>
  <c r="X279" i="2"/>
  <c r="X278" i="2"/>
  <c r="W278" i="2"/>
  <c r="V278" i="2"/>
  <c r="X277" i="2"/>
  <c r="W277" i="2"/>
  <c r="V277" i="2"/>
  <c r="V276" i="2"/>
  <c r="W276" i="2"/>
  <c r="X276" i="2"/>
  <c r="W275" i="2"/>
  <c r="X275" i="2"/>
  <c r="V275" i="2"/>
  <c r="W274" i="2"/>
  <c r="V274" i="2"/>
  <c r="X274" i="2"/>
  <c r="X273" i="2"/>
  <c r="W273" i="2"/>
  <c r="V273" i="2"/>
  <c r="X272" i="2"/>
  <c r="W272" i="2"/>
  <c r="V272" i="2"/>
  <c r="V271" i="2"/>
  <c r="W271" i="2"/>
  <c r="X271" i="2"/>
  <c r="X270" i="2"/>
  <c r="V270" i="2"/>
  <c r="W270" i="2"/>
  <c r="X269" i="2"/>
  <c r="W269" i="2"/>
  <c r="V269" i="2"/>
  <c r="X268" i="2"/>
  <c r="W268" i="2"/>
  <c r="V268" i="2"/>
  <c r="X267" i="2"/>
  <c r="W267" i="2"/>
  <c r="V267" i="2"/>
  <c r="X266" i="2"/>
  <c r="W266" i="2"/>
  <c r="V266" i="2"/>
  <c r="W265" i="2"/>
  <c r="V265" i="2"/>
  <c r="X265" i="2"/>
  <c r="X264" i="2"/>
  <c r="W264" i="2"/>
  <c r="V264" i="2"/>
  <c r="X263" i="2"/>
  <c r="W263" i="2"/>
  <c r="V263" i="2"/>
  <c r="X262" i="2"/>
  <c r="W262" i="2"/>
  <c r="V262" i="2"/>
  <c r="X261" i="2"/>
  <c r="W261" i="2"/>
  <c r="V261" i="2"/>
  <c r="X260" i="2"/>
  <c r="W260" i="2"/>
  <c r="V260" i="2"/>
  <c r="X259" i="2"/>
  <c r="W259" i="2"/>
  <c r="V259" i="2"/>
  <c r="X258" i="2"/>
  <c r="W258" i="2"/>
  <c r="V258" i="2"/>
  <c r="X257" i="2"/>
  <c r="V257" i="2"/>
  <c r="W257" i="2"/>
  <c r="V256" i="2"/>
  <c r="W256" i="2"/>
  <c r="X256" i="2"/>
  <c r="X255" i="2"/>
  <c r="W255" i="2"/>
  <c r="V255" i="2"/>
  <c r="V254" i="2"/>
  <c r="W254" i="2"/>
  <c r="X254" i="2"/>
  <c r="V253" i="2"/>
  <c r="W253" i="2"/>
  <c r="X253" i="2"/>
  <c r="V252" i="2"/>
  <c r="W252" i="2"/>
  <c r="X252" i="2"/>
  <c r="V251" i="2"/>
  <c r="X251" i="2"/>
  <c r="W251" i="2"/>
  <c r="X250" i="2"/>
  <c r="W250" i="2"/>
  <c r="V250" i="2"/>
  <c r="V249" i="2"/>
  <c r="W249" i="2"/>
  <c r="X249" i="2"/>
  <c r="V248" i="2"/>
  <c r="W248" i="2"/>
  <c r="X248" i="2"/>
  <c r="V247" i="2"/>
  <c r="W247" i="2"/>
  <c r="X247" i="2"/>
  <c r="V246" i="2"/>
  <c r="W246" i="2"/>
  <c r="X246" i="2"/>
  <c r="W245" i="2"/>
  <c r="V245" i="2"/>
  <c r="X245" i="2"/>
  <c r="W244" i="2"/>
  <c r="V244" i="2"/>
  <c r="X244" i="2"/>
  <c r="V243" i="2"/>
  <c r="X243" i="2"/>
  <c r="W243" i="2"/>
  <c r="V242" i="2"/>
  <c r="X242" i="2"/>
  <c r="W242" i="2"/>
  <c r="X241" i="2"/>
  <c r="W241" i="2"/>
  <c r="V241" i="2"/>
  <c r="X240" i="2"/>
  <c r="W240" i="2"/>
  <c r="V240" i="2"/>
  <c r="X239" i="2"/>
  <c r="W239" i="2"/>
  <c r="V239" i="2"/>
  <c r="X238" i="2"/>
  <c r="V238" i="2"/>
  <c r="W238" i="2"/>
  <c r="W237" i="2"/>
  <c r="X237" i="2"/>
  <c r="V237" i="2"/>
  <c r="W236" i="2"/>
  <c r="X236" i="2"/>
  <c r="V236" i="2"/>
  <c r="X235" i="2"/>
  <c r="W235" i="2"/>
  <c r="V235" i="2"/>
  <c r="X234" i="2"/>
  <c r="W234" i="2"/>
  <c r="V234" i="2"/>
  <c r="V233" i="2"/>
  <c r="X233" i="2"/>
  <c r="W233" i="2"/>
  <c r="X232" i="2"/>
  <c r="W232" i="2"/>
  <c r="V232" i="2"/>
  <c r="X231" i="2"/>
  <c r="V231" i="2"/>
  <c r="W231" i="2"/>
  <c r="X230" i="2"/>
  <c r="V230" i="2"/>
  <c r="W230" i="2"/>
  <c r="V229" i="2"/>
  <c r="X229" i="2"/>
  <c r="W229" i="2"/>
  <c r="X228" i="2"/>
  <c r="W228" i="2"/>
  <c r="V228" i="2"/>
  <c r="V227" i="2"/>
  <c r="X227" i="2"/>
  <c r="W227" i="2"/>
  <c r="X226" i="2"/>
  <c r="W226" i="2"/>
  <c r="V226" i="2"/>
  <c r="W225" i="2"/>
  <c r="X225" i="2"/>
  <c r="V225" i="2"/>
  <c r="W224" i="2"/>
  <c r="V224" i="2"/>
  <c r="X224" i="2"/>
  <c r="X223" i="2"/>
  <c r="W223" i="2"/>
  <c r="V223" i="2"/>
  <c r="V222" i="2"/>
  <c r="W222" i="2"/>
  <c r="X222" i="2"/>
  <c r="V221" i="2"/>
  <c r="W221" i="2"/>
  <c r="X221" i="2"/>
  <c r="V220" i="2"/>
  <c r="W220" i="2"/>
  <c r="X220" i="2"/>
  <c r="X219" i="2"/>
  <c r="W219" i="2"/>
  <c r="V219" i="2"/>
  <c r="V218" i="2"/>
  <c r="W218" i="2"/>
  <c r="X218" i="2"/>
  <c r="X217" i="2"/>
  <c r="W217" i="2"/>
  <c r="V217" i="2"/>
  <c r="W216" i="2"/>
  <c r="V216" i="2"/>
  <c r="X216" i="2"/>
  <c r="X215" i="2"/>
  <c r="W215" i="2"/>
  <c r="V215" i="2"/>
  <c r="X214" i="2"/>
  <c r="V214" i="2"/>
  <c r="W214" i="2"/>
  <c r="X213" i="2"/>
  <c r="W213" i="2"/>
  <c r="V213" i="2"/>
  <c r="X212" i="2"/>
  <c r="W212" i="2"/>
  <c r="V212" i="2"/>
  <c r="V211" i="2"/>
  <c r="W211" i="2"/>
  <c r="X211" i="2"/>
  <c r="V210" i="2"/>
  <c r="X210" i="2"/>
  <c r="W210" i="2"/>
  <c r="V209" i="2"/>
  <c r="W209" i="2"/>
  <c r="X209" i="2"/>
  <c r="X208" i="2"/>
  <c r="W208" i="2"/>
  <c r="V208" i="2"/>
  <c r="X207" i="2"/>
  <c r="V207" i="2"/>
  <c r="W207" i="2"/>
  <c r="V206" i="2"/>
  <c r="W206" i="2"/>
  <c r="X206" i="2"/>
  <c r="X205" i="2"/>
  <c r="V205" i="2"/>
  <c r="W205" i="2"/>
  <c r="V204" i="2"/>
  <c r="W204" i="2"/>
  <c r="X204" i="2"/>
  <c r="W203" i="2"/>
  <c r="V203" i="2"/>
  <c r="X203" i="2"/>
  <c r="V202" i="2"/>
  <c r="X202" i="2"/>
  <c r="W202" i="2"/>
  <c r="X201" i="2"/>
  <c r="W201" i="2"/>
  <c r="V201" i="2"/>
  <c r="X200" i="2"/>
  <c r="W200" i="2"/>
  <c r="V200" i="2"/>
  <c r="V199" i="2"/>
  <c r="X199" i="2"/>
  <c r="W199" i="2"/>
  <c r="V198" i="2"/>
  <c r="W198" i="2"/>
  <c r="X198" i="2"/>
  <c r="X197" i="2"/>
  <c r="W197" i="2"/>
  <c r="V197" i="2"/>
  <c r="X196" i="2"/>
  <c r="W196" i="2"/>
  <c r="V196" i="2"/>
  <c r="V195" i="2"/>
  <c r="W195" i="2"/>
  <c r="X195" i="2"/>
  <c r="W194" i="2"/>
  <c r="X194" i="2"/>
  <c r="V194" i="2"/>
  <c r="V193" i="2"/>
  <c r="W193" i="2"/>
  <c r="X193" i="2"/>
  <c r="X192" i="2"/>
  <c r="W192" i="2"/>
  <c r="V192" i="2"/>
  <c r="V191" i="2"/>
  <c r="W191" i="2"/>
  <c r="X191" i="2"/>
  <c r="W190" i="2"/>
  <c r="X190" i="2"/>
  <c r="V190" i="2"/>
  <c r="X189" i="2"/>
  <c r="V189" i="2"/>
  <c r="W189" i="2"/>
  <c r="V188" i="2"/>
  <c r="X188" i="2"/>
  <c r="W188" i="2"/>
  <c r="X187" i="2"/>
  <c r="W187" i="2"/>
  <c r="V187" i="2"/>
  <c r="X186" i="2"/>
  <c r="W186" i="2"/>
  <c r="V186" i="2"/>
  <c r="V185" i="2"/>
  <c r="W185" i="2"/>
  <c r="X185" i="2"/>
  <c r="X184" i="2"/>
  <c r="W184" i="2"/>
  <c r="V184" i="2"/>
  <c r="W183" i="2"/>
  <c r="X183" i="2"/>
  <c r="V183" i="2"/>
  <c r="X182" i="2"/>
  <c r="V182" i="2"/>
  <c r="W182" i="2"/>
  <c r="X181" i="2"/>
  <c r="W181" i="2"/>
  <c r="V181" i="2"/>
  <c r="X180" i="2"/>
  <c r="W180" i="2"/>
  <c r="V180" i="2"/>
  <c r="X179" i="2"/>
  <c r="W179" i="2"/>
  <c r="V179" i="2"/>
  <c r="V178" i="2"/>
  <c r="W178" i="2"/>
  <c r="X178" i="2"/>
  <c r="X177" i="2"/>
  <c r="W177" i="2"/>
  <c r="V177" i="2"/>
  <c r="X176" i="2"/>
  <c r="W176" i="2"/>
  <c r="V176" i="2"/>
  <c r="V175" i="2"/>
  <c r="W175" i="2"/>
  <c r="X175" i="2"/>
  <c r="W174" i="2"/>
  <c r="X174" i="2"/>
  <c r="V174" i="2"/>
  <c r="X173" i="2"/>
  <c r="W173" i="2"/>
  <c r="V173" i="2"/>
  <c r="X172" i="2"/>
  <c r="W172" i="2"/>
  <c r="V172" i="2"/>
  <c r="X171" i="2"/>
  <c r="W171" i="2"/>
  <c r="V171" i="2"/>
  <c r="W170" i="2"/>
  <c r="V170" i="2"/>
  <c r="X170" i="2"/>
  <c r="X169" i="2"/>
  <c r="V169" i="2"/>
  <c r="W169" i="2"/>
  <c r="W168" i="2"/>
  <c r="X168" i="2"/>
  <c r="V168" i="2"/>
  <c r="V167" i="2"/>
  <c r="W167" i="2"/>
  <c r="X167" i="2"/>
  <c r="X166" i="2"/>
  <c r="W166" i="2"/>
  <c r="V166" i="2"/>
  <c r="X165" i="2"/>
  <c r="W165" i="2"/>
  <c r="V165" i="2"/>
  <c r="V164" i="2"/>
  <c r="W164" i="2"/>
  <c r="X164" i="2"/>
  <c r="V163" i="2"/>
  <c r="W163" i="2"/>
  <c r="X163" i="2"/>
  <c r="X162" i="2"/>
  <c r="W162" i="2"/>
  <c r="V162" i="2"/>
  <c r="V161" i="2"/>
  <c r="X161" i="2"/>
  <c r="W161" i="2"/>
  <c r="V160" i="2"/>
  <c r="X160" i="2"/>
  <c r="W160" i="2"/>
  <c r="X159" i="2"/>
  <c r="W159" i="2"/>
  <c r="V159" i="2"/>
  <c r="X158" i="2"/>
  <c r="W158" i="2"/>
  <c r="V158" i="2"/>
  <c r="X157" i="2"/>
  <c r="V157" i="2"/>
  <c r="W157" i="2"/>
  <c r="X156" i="2"/>
  <c r="W156" i="2"/>
  <c r="V156" i="2"/>
  <c r="V155" i="2"/>
  <c r="W155" i="2"/>
  <c r="X155" i="2"/>
  <c r="W154" i="2"/>
  <c r="X154" i="2"/>
  <c r="V154" i="2"/>
  <c r="V153" i="2"/>
  <c r="W153" i="2"/>
  <c r="X153" i="2"/>
  <c r="X152" i="2"/>
  <c r="W152" i="2"/>
  <c r="V152" i="2"/>
  <c r="X151" i="2"/>
  <c r="W151" i="2"/>
  <c r="V151" i="2"/>
  <c r="X150" i="2"/>
  <c r="W150" i="2"/>
  <c r="V150" i="2"/>
  <c r="X149" i="2"/>
  <c r="W149" i="2"/>
  <c r="V149" i="2"/>
  <c r="X148" i="2"/>
  <c r="W148" i="2"/>
  <c r="V148" i="2"/>
  <c r="X147" i="2"/>
  <c r="W147" i="2"/>
  <c r="V147" i="2"/>
  <c r="V146" i="2"/>
  <c r="W146" i="2"/>
  <c r="X146" i="2"/>
  <c r="V145" i="2"/>
  <c r="W145" i="2"/>
  <c r="X145" i="2"/>
  <c r="X144" i="2"/>
  <c r="W144" i="2"/>
  <c r="V144" i="2"/>
  <c r="X143" i="2"/>
  <c r="W143" i="2"/>
  <c r="V143" i="2"/>
  <c r="X142" i="2"/>
  <c r="W142" i="2"/>
  <c r="V142" i="2"/>
  <c r="X141" i="2"/>
  <c r="W141" i="2"/>
  <c r="V141" i="2"/>
  <c r="X140" i="2"/>
  <c r="W140" i="2"/>
  <c r="V140" i="2"/>
  <c r="X139" i="2"/>
  <c r="W139" i="2"/>
  <c r="V139" i="2"/>
  <c r="V138" i="2"/>
  <c r="W138" i="2"/>
  <c r="X138" i="2"/>
  <c r="X137" i="2"/>
  <c r="V137" i="2"/>
  <c r="W137" i="2"/>
  <c r="W136" i="2"/>
  <c r="V136" i="2"/>
  <c r="X136" i="2"/>
  <c r="X135" i="2"/>
  <c r="W135" i="2"/>
  <c r="V135" i="2"/>
  <c r="V134" i="2"/>
  <c r="W134" i="2"/>
  <c r="X134" i="2"/>
  <c r="V133" i="2"/>
  <c r="W133" i="2"/>
  <c r="X133" i="2"/>
  <c r="X132" i="2"/>
  <c r="W132" i="2"/>
  <c r="V132" i="2"/>
  <c r="W131" i="2"/>
  <c r="V131" i="2"/>
  <c r="X131" i="2"/>
  <c r="X130" i="2"/>
  <c r="W130" i="2"/>
  <c r="V130" i="2"/>
  <c r="W129" i="2"/>
  <c r="X129" i="2"/>
  <c r="V129" i="2"/>
  <c r="V128" i="2"/>
  <c r="W128" i="2"/>
  <c r="X128" i="2"/>
  <c r="W127" i="2"/>
  <c r="V127" i="2"/>
  <c r="X127" i="2"/>
  <c r="W126" i="2"/>
  <c r="V126" i="2"/>
  <c r="X126" i="2"/>
  <c r="W125" i="2"/>
  <c r="X125" i="2"/>
  <c r="V125" i="2"/>
  <c r="W124" i="2"/>
  <c r="V124" i="2"/>
  <c r="X124" i="2"/>
  <c r="W123" i="2"/>
  <c r="V123" i="2"/>
  <c r="X123" i="2"/>
  <c r="V122" i="2"/>
  <c r="X122" i="2"/>
  <c r="W122" i="2"/>
  <c r="V121" i="2"/>
  <c r="W121" i="2"/>
  <c r="X121" i="2"/>
  <c r="W120" i="2"/>
  <c r="V120" i="2"/>
  <c r="X120" i="2"/>
  <c r="W119" i="2"/>
  <c r="X119" i="2"/>
  <c r="V119" i="2"/>
  <c r="X118" i="2"/>
  <c r="W118" i="2"/>
  <c r="V118" i="2"/>
  <c r="X117" i="2"/>
  <c r="W117" i="2"/>
  <c r="V117" i="2"/>
  <c r="W116" i="2"/>
  <c r="X116" i="2"/>
  <c r="V116" i="2"/>
  <c r="V115" i="2"/>
  <c r="X115" i="2"/>
  <c r="W115" i="2"/>
  <c r="X114" i="2"/>
  <c r="W114" i="2"/>
  <c r="V114" i="2"/>
  <c r="V113" i="2"/>
  <c r="W113" i="2"/>
  <c r="X113" i="2"/>
  <c r="X112" i="2"/>
  <c r="W112" i="2"/>
  <c r="V112" i="2"/>
  <c r="X111" i="2"/>
  <c r="W111" i="2"/>
  <c r="V111" i="2"/>
  <c r="W110" i="2"/>
  <c r="V110" i="2"/>
  <c r="X110" i="2"/>
  <c r="X109" i="2"/>
  <c r="V109" i="2"/>
  <c r="W109" i="2"/>
  <c r="V108" i="2"/>
  <c r="X108" i="2"/>
  <c r="W108" i="2"/>
  <c r="X107" i="2"/>
  <c r="W107" i="2"/>
  <c r="V107" i="2"/>
  <c r="X106" i="2"/>
  <c r="W106" i="2"/>
  <c r="V106" i="2"/>
  <c r="X105" i="2"/>
  <c r="W105" i="2"/>
  <c r="V105" i="2"/>
  <c r="X104" i="2"/>
  <c r="V104" i="2"/>
  <c r="W104" i="2"/>
  <c r="W103" i="2"/>
  <c r="V103" i="2"/>
  <c r="X103" i="2"/>
  <c r="X102" i="2"/>
  <c r="W102" i="2"/>
  <c r="V102" i="2"/>
  <c r="X101" i="2"/>
  <c r="W101" i="2"/>
  <c r="V101" i="2"/>
  <c r="X100" i="2"/>
  <c r="W100" i="2"/>
  <c r="V100" i="2"/>
  <c r="X99" i="2"/>
  <c r="W99" i="2"/>
  <c r="V99" i="2"/>
  <c r="X98" i="2"/>
  <c r="W98" i="2"/>
  <c r="V98" i="2"/>
  <c r="V97" i="2"/>
  <c r="X97" i="2"/>
  <c r="W97" i="2"/>
  <c r="X96" i="2"/>
  <c r="W96" i="2"/>
  <c r="V96" i="2"/>
  <c r="X95" i="2"/>
  <c r="W95" i="2"/>
  <c r="V95" i="2"/>
  <c r="X94" i="2"/>
  <c r="W94" i="2"/>
  <c r="V94" i="2"/>
  <c r="X93" i="2"/>
  <c r="W93" i="2"/>
  <c r="V93" i="2"/>
  <c r="X92" i="2"/>
  <c r="W92" i="2"/>
  <c r="V92" i="2"/>
  <c r="X91" i="2"/>
  <c r="V91" i="2"/>
  <c r="W91" i="2"/>
  <c r="V90" i="2"/>
  <c r="W90" i="2"/>
  <c r="X90" i="2"/>
  <c r="X89" i="2"/>
  <c r="W89" i="2"/>
  <c r="V89" i="2"/>
  <c r="X88" i="2"/>
  <c r="W88" i="2"/>
  <c r="V88" i="2"/>
  <c r="X87" i="2"/>
  <c r="W87" i="2"/>
  <c r="V87" i="2"/>
  <c r="W86" i="2"/>
  <c r="X86" i="2"/>
  <c r="V86" i="2"/>
  <c r="X85" i="2"/>
  <c r="W85" i="2"/>
  <c r="V85" i="2"/>
  <c r="X84" i="2"/>
  <c r="W84" i="2"/>
  <c r="V84" i="2"/>
  <c r="V83" i="2"/>
  <c r="X83" i="2"/>
  <c r="W83" i="2"/>
  <c r="X82" i="2"/>
  <c r="W82" i="2"/>
  <c r="V82" i="2"/>
  <c r="X81" i="2"/>
  <c r="W81" i="2"/>
  <c r="V81" i="2"/>
  <c r="W80" i="2"/>
  <c r="V80" i="2"/>
  <c r="X80" i="2"/>
  <c r="X79" i="2"/>
  <c r="W79" i="2"/>
  <c r="V79" i="2"/>
  <c r="W78" i="2"/>
  <c r="X78" i="2"/>
  <c r="V78" i="2"/>
  <c r="V77" i="2"/>
  <c r="X77" i="2"/>
  <c r="W77" i="2"/>
  <c r="X76" i="2"/>
  <c r="W76" i="2"/>
  <c r="V76" i="2"/>
  <c r="X75" i="2"/>
  <c r="W75" i="2"/>
  <c r="V75" i="2"/>
  <c r="X74" i="2"/>
  <c r="W74" i="2"/>
  <c r="V74" i="2"/>
  <c r="X73" i="2"/>
  <c r="V73" i="2"/>
  <c r="W73" i="2"/>
  <c r="X72" i="2"/>
  <c r="W72" i="2"/>
  <c r="V72" i="2"/>
  <c r="X71" i="2"/>
  <c r="W71" i="2"/>
  <c r="V71" i="2"/>
  <c r="X70" i="2"/>
  <c r="W70" i="2"/>
  <c r="V70" i="2"/>
  <c r="X69" i="2"/>
  <c r="W69" i="2"/>
  <c r="V69" i="2"/>
  <c r="X68" i="2"/>
  <c r="W68" i="2"/>
  <c r="V68" i="2"/>
  <c r="X67" i="2"/>
  <c r="W67" i="2"/>
  <c r="V67" i="2"/>
  <c r="X66" i="2"/>
  <c r="W66" i="2"/>
  <c r="V66" i="2"/>
  <c r="X65" i="2"/>
  <c r="W65" i="2"/>
  <c r="V65" i="2"/>
  <c r="X64" i="2"/>
  <c r="V64" i="2"/>
  <c r="W64" i="2"/>
  <c r="W63" i="2"/>
  <c r="X63" i="2"/>
  <c r="V63" i="2"/>
  <c r="W62" i="2"/>
  <c r="V62" i="2"/>
  <c r="X62" i="2"/>
  <c r="X61" i="2"/>
  <c r="W61" i="2"/>
  <c r="V61" i="2"/>
  <c r="X60" i="2"/>
  <c r="W60" i="2"/>
  <c r="V60" i="2"/>
  <c r="V59" i="2"/>
  <c r="W59" i="2"/>
  <c r="X59" i="2"/>
  <c r="X58" i="2"/>
  <c r="W58" i="2"/>
  <c r="V58" i="2"/>
  <c r="W57" i="2"/>
  <c r="V57" i="2"/>
  <c r="X57" i="2"/>
  <c r="X56" i="2"/>
  <c r="W56" i="2"/>
  <c r="V56" i="2"/>
  <c r="X55" i="2"/>
  <c r="W55" i="2"/>
  <c r="V55" i="2"/>
  <c r="X54" i="2"/>
  <c r="W54" i="2"/>
  <c r="V54" i="2"/>
  <c r="X53" i="2"/>
  <c r="W53" i="2"/>
  <c r="V53" i="2"/>
  <c r="X52" i="2"/>
  <c r="V52" i="2"/>
  <c r="W52" i="2"/>
  <c r="W51" i="2"/>
  <c r="V51" i="2"/>
  <c r="X51" i="2"/>
  <c r="W50" i="2"/>
  <c r="V50" i="2"/>
  <c r="X50" i="2"/>
  <c r="X49" i="2"/>
  <c r="W49" i="2"/>
  <c r="V49" i="2"/>
  <c r="X48" i="2"/>
  <c r="W48" i="2"/>
  <c r="V48" i="2"/>
  <c r="W47" i="2"/>
  <c r="V47" i="2"/>
  <c r="X47" i="2"/>
  <c r="X46" i="2"/>
  <c r="W46" i="2"/>
  <c r="V46" i="2"/>
  <c r="X45" i="2"/>
  <c r="W45" i="2"/>
  <c r="V45" i="2"/>
  <c r="V44" i="2"/>
  <c r="X44" i="2"/>
  <c r="W44" i="2"/>
  <c r="X43" i="2"/>
  <c r="W43" i="2"/>
  <c r="V43" i="2"/>
  <c r="X42" i="2"/>
  <c r="W42" i="2"/>
  <c r="V42" i="2"/>
  <c r="X41" i="2"/>
  <c r="W41" i="2"/>
  <c r="V41" i="2"/>
  <c r="X40" i="2"/>
  <c r="W40" i="2"/>
  <c r="V40" i="2"/>
  <c r="X39" i="2"/>
  <c r="W39" i="2"/>
  <c r="V39" i="2"/>
  <c r="X38" i="2"/>
  <c r="W38" i="2"/>
  <c r="V38" i="2"/>
  <c r="V37" i="2"/>
  <c r="X37" i="2"/>
  <c r="W37" i="2"/>
  <c r="X36" i="2"/>
  <c r="W36" i="2"/>
  <c r="V36" i="2"/>
  <c r="X35" i="2"/>
  <c r="W35" i="2"/>
  <c r="V35" i="2"/>
  <c r="X34" i="2"/>
  <c r="W34" i="2"/>
  <c r="V34" i="2"/>
  <c r="X33" i="2"/>
  <c r="W33" i="2"/>
  <c r="V33" i="2"/>
  <c r="X32" i="2"/>
  <c r="W32" i="2"/>
  <c r="V32" i="2"/>
  <c r="X31" i="2"/>
  <c r="W31" i="2"/>
  <c r="V31" i="2"/>
  <c r="V30" i="2"/>
  <c r="X30" i="2"/>
  <c r="W30" i="2"/>
  <c r="X29" i="2"/>
  <c r="W29" i="2"/>
  <c r="V29" i="2"/>
  <c r="X28" i="2"/>
  <c r="W28" i="2"/>
  <c r="V28" i="2"/>
  <c r="V27" i="2"/>
  <c r="W27" i="2"/>
  <c r="X27" i="2"/>
  <c r="X26" i="2"/>
  <c r="W26" i="2"/>
  <c r="V26" i="2"/>
  <c r="X25" i="2"/>
  <c r="V25" i="2"/>
  <c r="W25" i="2"/>
  <c r="V24" i="2"/>
  <c r="W24" i="2"/>
  <c r="X24" i="2"/>
  <c r="V23" i="2"/>
  <c r="W23" i="2"/>
  <c r="X23" i="2"/>
  <c r="V22" i="2"/>
  <c r="W22" i="2"/>
  <c r="X22" i="2"/>
  <c r="V21" i="2"/>
  <c r="X21" i="2"/>
  <c r="W21" i="2"/>
  <c r="W20" i="2"/>
  <c r="X20" i="2"/>
  <c r="V20" i="2"/>
  <c r="X19" i="2"/>
  <c r="W19" i="2"/>
  <c r="V19" i="2"/>
  <c r="V18" i="2"/>
  <c r="W18" i="2"/>
  <c r="X18" i="2"/>
  <c r="W17" i="2"/>
  <c r="V17" i="2"/>
  <c r="X17" i="2"/>
  <c r="W16" i="2"/>
  <c r="X16" i="2"/>
  <c r="V16" i="2"/>
  <c r="W15" i="2"/>
  <c r="V15" i="2"/>
  <c r="X15" i="2"/>
  <c r="X14" i="2"/>
  <c r="W14" i="2"/>
  <c r="V14" i="2"/>
  <c r="V13" i="2"/>
  <c r="W13" i="2"/>
  <c r="X13" i="2"/>
  <c r="X12" i="2"/>
  <c r="V12" i="2"/>
  <c r="W12" i="2"/>
  <c r="X11" i="2"/>
  <c r="W11" i="2"/>
  <c r="V11" i="2"/>
  <c r="X10" i="2"/>
  <c r="W10" i="2"/>
  <c r="V10" i="2"/>
  <c r="W9" i="2"/>
  <c r="X9" i="2"/>
  <c r="V9" i="2"/>
  <c r="V8" i="2"/>
  <c r="W8" i="2"/>
  <c r="X8" i="2"/>
  <c r="X7" i="2"/>
  <c r="V7" i="2"/>
  <c r="W7" i="2"/>
  <c r="V6" i="2"/>
  <c r="X6" i="2"/>
  <c r="W6" i="2"/>
  <c r="V5" i="2"/>
  <c r="W5" i="2"/>
  <c r="X5" i="2"/>
  <c r="V4" i="2"/>
  <c r="W4" i="2"/>
  <c r="X4" i="2"/>
  <c r="W3" i="2"/>
  <c r="X3" i="2"/>
  <c r="V3" i="2"/>
  <c r="W2" i="2"/>
  <c r="X2" i="2"/>
  <c r="V2" i="2"/>
  <c r="P722" i="2"/>
  <c r="P720" i="2"/>
  <c r="P724" i="2"/>
  <c r="P721" i="2"/>
  <c r="P725" i="2"/>
  <c r="P723" i="2"/>
  <c r="P719" i="2"/>
  <c r="S2" i="2"/>
  <c r="AA4" i="4" l="1"/>
  <c r="AI7" i="4"/>
  <c r="S5" i="4"/>
  <c r="AL6" i="4"/>
  <c r="AL4" i="4"/>
  <c r="AO7" i="4"/>
  <c r="AI8" i="4"/>
  <c r="AP5" i="4"/>
  <c r="M4" i="3"/>
  <c r="L21" i="3"/>
  <c r="M21" i="3" s="1"/>
  <c r="L15" i="4"/>
  <c r="S3" i="4"/>
  <c r="K7" i="4"/>
  <c r="AJ7" i="4"/>
  <c r="K10" i="4"/>
  <c r="AJ10" i="4"/>
  <c r="K11" i="4"/>
  <c r="AJ11" i="4"/>
  <c r="K12" i="4"/>
  <c r="AJ12" i="4"/>
  <c r="K13" i="4"/>
  <c r="AJ13" i="4"/>
  <c r="K14" i="4"/>
  <c r="AJ14" i="4"/>
  <c r="E15" i="4"/>
  <c r="AK3" i="4"/>
  <c r="AJ8" i="4"/>
  <c r="K8" i="4"/>
  <c r="AN3" i="4"/>
  <c r="H15" i="4"/>
  <c r="K4" i="4"/>
  <c r="AJ4" i="4"/>
  <c r="G15" i="4"/>
  <c r="AM3" i="4"/>
  <c r="AJ6" i="4"/>
  <c r="K6" i="4"/>
  <c r="AB15" i="4"/>
  <c r="AI3" i="4"/>
  <c r="K3" i="4"/>
  <c r="D15" i="4"/>
  <c r="AJ3" i="4"/>
  <c r="AJ5" i="4"/>
  <c r="K5" i="4"/>
  <c r="J15" i="4"/>
  <c r="AP3" i="4"/>
  <c r="AL3" i="4"/>
  <c r="F15" i="4"/>
  <c r="AA3" i="4"/>
  <c r="T15" i="4"/>
  <c r="AO3" i="4"/>
  <c r="I15" i="4"/>
  <c r="AJ9" i="4"/>
  <c r="K9" i="4"/>
  <c r="N13" i="8"/>
  <c r="N14" i="8"/>
  <c r="N25" i="8"/>
  <c r="N26" i="8"/>
  <c r="N27" i="8"/>
  <c r="N30" i="8"/>
  <c r="N31" i="8"/>
  <c r="N32" i="8"/>
  <c r="N40" i="8"/>
  <c r="N44" i="8"/>
  <c r="N48" i="8"/>
  <c r="N52" i="8"/>
  <c r="N56" i="8"/>
  <c r="N60" i="8"/>
  <c r="N65" i="8"/>
  <c r="N69" i="8"/>
  <c r="N73" i="8"/>
  <c r="N76" i="8"/>
  <c r="N78" i="8"/>
  <c r="N81" i="8"/>
  <c r="N85" i="8"/>
  <c r="N89" i="8"/>
  <c r="N93" i="8"/>
  <c r="N96" i="8"/>
  <c r="N100" i="8"/>
  <c r="N104" i="8"/>
  <c r="N108" i="8"/>
  <c r="N112" i="8"/>
  <c r="N116" i="8"/>
  <c r="N120" i="8"/>
  <c r="N124" i="8"/>
  <c r="N127" i="8"/>
  <c r="N131" i="8"/>
  <c r="N135" i="8"/>
  <c r="N139" i="8"/>
  <c r="N143" i="8"/>
  <c r="N147" i="8"/>
  <c r="N156" i="8"/>
  <c r="N159" i="8"/>
  <c r="N163" i="8"/>
  <c r="N168" i="8"/>
  <c r="N172" i="8"/>
  <c r="N176" i="8"/>
  <c r="N179" i="8"/>
  <c r="N183" i="8"/>
  <c r="N188" i="8"/>
  <c r="N191" i="8"/>
  <c r="N197" i="8"/>
  <c r="N201" i="8"/>
  <c r="N205" i="8"/>
  <c r="N210" i="8"/>
  <c r="N214" i="8"/>
  <c r="N217" i="8"/>
  <c r="N221" i="8"/>
  <c r="N225" i="8"/>
  <c r="N229" i="8"/>
  <c r="N233" i="8"/>
  <c r="N237" i="8"/>
  <c r="N242" i="8"/>
  <c r="N245" i="8"/>
  <c r="N250" i="8"/>
  <c r="N253" i="8"/>
  <c r="N257" i="8"/>
  <c r="N259" i="8"/>
  <c r="N262" i="8"/>
  <c r="N264" i="8"/>
  <c r="N267" i="8"/>
  <c r="N268" i="8"/>
  <c r="N269" i="8"/>
  <c r="N270" i="8"/>
  <c r="N271" i="8"/>
  <c r="N273" i="8"/>
  <c r="N275" i="8"/>
  <c r="N277" i="8"/>
  <c r="N279" i="8"/>
  <c r="N282" i="8"/>
  <c r="N284" i="8"/>
  <c r="N286" i="8"/>
  <c r="N288" i="8"/>
  <c r="N290" i="8"/>
  <c r="N292" i="8"/>
  <c r="N294" i="8"/>
  <c r="N296" i="8"/>
  <c r="N299" i="8"/>
  <c r="N301" i="8"/>
  <c r="N303" i="8"/>
  <c r="N305" i="8"/>
  <c r="N307" i="8"/>
  <c r="N310" i="8"/>
  <c r="N312" i="8"/>
  <c r="N314" i="8"/>
  <c r="N316" i="8"/>
  <c r="N318" i="8"/>
  <c r="N319" i="8"/>
  <c r="N321" i="8"/>
  <c r="N323" i="8"/>
  <c r="N326" i="8"/>
  <c r="N328" i="8"/>
  <c r="N331" i="8"/>
  <c r="N334" i="8"/>
  <c r="N336" i="8"/>
  <c r="N338" i="8"/>
  <c r="N340" i="8"/>
  <c r="N342" i="8"/>
  <c r="N344" i="8"/>
  <c r="N346" i="8"/>
  <c r="N348" i="8"/>
  <c r="N350" i="8"/>
  <c r="N352" i="8"/>
  <c r="N354" i="8"/>
  <c r="N357" i="8"/>
  <c r="N358" i="8"/>
  <c r="N361" i="8"/>
  <c r="N363" i="8"/>
  <c r="N365" i="8"/>
  <c r="N367" i="8"/>
  <c r="N369" i="8"/>
  <c r="N371" i="8"/>
  <c r="N374" i="8"/>
  <c r="N376" i="8"/>
  <c r="N379" i="8"/>
  <c r="N391" i="8"/>
  <c r="N9" i="8"/>
  <c r="N10" i="8"/>
  <c r="N15" i="8"/>
  <c r="N17" i="8"/>
  <c r="N18" i="8"/>
  <c r="N19" i="8"/>
  <c r="N20" i="8"/>
  <c r="N23" i="8"/>
  <c r="N24" i="8"/>
  <c r="N28" i="8"/>
  <c r="N29" i="8"/>
  <c r="N33" i="8"/>
  <c r="N34" i="8"/>
  <c r="N35" i="8"/>
  <c r="N39" i="8"/>
  <c r="N41" i="8"/>
  <c r="N43" i="8"/>
  <c r="N45" i="8"/>
  <c r="N47" i="8"/>
  <c r="N49" i="8"/>
  <c r="N51" i="8"/>
  <c r="N54" i="8"/>
  <c r="N55" i="8"/>
  <c r="N58" i="8"/>
  <c r="N59" i="8"/>
  <c r="N62" i="8"/>
  <c r="N63" i="8"/>
  <c r="N66" i="8"/>
  <c r="N67" i="8"/>
  <c r="N70" i="8"/>
  <c r="N72" i="8"/>
  <c r="N74" i="8"/>
  <c r="N79" i="8"/>
  <c r="N82" i="8"/>
  <c r="N83" i="8"/>
  <c r="N86" i="8"/>
  <c r="N87" i="8"/>
  <c r="N90" i="8"/>
  <c r="N92" i="8"/>
  <c r="N94" i="8"/>
  <c r="N97" i="8"/>
  <c r="N98" i="8"/>
  <c r="N101" i="8"/>
  <c r="N103" i="8"/>
  <c r="N105" i="8"/>
  <c r="N107" i="8"/>
  <c r="N109" i="8"/>
  <c r="N111" i="8"/>
  <c r="N113" i="8"/>
  <c r="N115" i="8"/>
  <c r="N117" i="8"/>
  <c r="N119" i="8"/>
  <c r="N121" i="8"/>
  <c r="N123" i="8"/>
  <c r="N126" i="8"/>
  <c r="N128" i="8"/>
  <c r="N130" i="8"/>
  <c r="N132" i="8"/>
  <c r="N134" i="8"/>
  <c r="N137" i="8"/>
  <c r="N138" i="8"/>
  <c r="N141" i="8"/>
  <c r="N144" i="8"/>
  <c r="N145" i="8"/>
  <c r="N148" i="8"/>
  <c r="N149" i="8"/>
  <c r="N151" i="8"/>
  <c r="N153" i="8"/>
  <c r="N154" i="8"/>
  <c r="N157" i="8"/>
  <c r="N160" i="8"/>
  <c r="N162" i="8"/>
  <c r="N164" i="8"/>
  <c r="N166" i="8"/>
  <c r="N169" i="8"/>
  <c r="N171" i="8"/>
  <c r="N173" i="8"/>
  <c r="N175" i="8"/>
  <c r="N177" i="8"/>
  <c r="N180" i="8"/>
  <c r="N182" i="8"/>
  <c r="N185" i="8"/>
  <c r="N186" i="8"/>
  <c r="N189" i="8"/>
  <c r="N192" i="8"/>
  <c r="N194" i="8"/>
  <c r="N196" i="8"/>
  <c r="N198" i="8"/>
  <c r="N200" i="8"/>
  <c r="N203" i="8"/>
  <c r="N204" i="8"/>
  <c r="N207" i="8"/>
  <c r="N209" i="8"/>
  <c r="N211" i="8"/>
  <c r="N213" i="8"/>
  <c r="N216" i="8"/>
  <c r="N218" i="8"/>
  <c r="N220" i="8"/>
  <c r="N223" i="8"/>
  <c r="N226" i="8"/>
  <c r="N228" i="8"/>
  <c r="N231" i="8"/>
  <c r="N232" i="8"/>
  <c r="N235" i="8"/>
  <c r="N236" i="8"/>
  <c r="N239" i="8"/>
  <c r="N240" i="8"/>
  <c r="N243" i="8"/>
  <c r="N246" i="8"/>
  <c r="N247" i="8"/>
  <c r="N249" i="8"/>
  <c r="N251" i="8"/>
  <c r="N254" i="8"/>
  <c r="N256" i="8"/>
  <c r="N261" i="8"/>
  <c r="N407" i="8"/>
  <c r="N11" i="8"/>
  <c r="N16" i="8"/>
  <c r="N21" i="8"/>
  <c r="N22" i="8"/>
  <c r="N36" i="8"/>
  <c r="N37" i="8"/>
  <c r="N38" i="8"/>
  <c r="N42" i="8"/>
  <c r="N46" i="8"/>
  <c r="N50" i="8"/>
  <c r="N53" i="8"/>
  <c r="N57" i="8"/>
  <c r="N61" i="8"/>
  <c r="N64" i="8"/>
  <c r="N68" i="8"/>
  <c r="N71" i="8"/>
  <c r="N75" i="8"/>
  <c r="N77" i="8"/>
  <c r="N80" i="8"/>
  <c r="N84" i="8"/>
  <c r="N88" i="8"/>
  <c r="N91" i="8"/>
  <c r="N95" i="8"/>
  <c r="N99" i="8"/>
  <c r="N102" i="8"/>
  <c r="N106" i="8"/>
  <c r="N110" i="8"/>
  <c r="N114" i="8"/>
  <c r="N118" i="8"/>
  <c r="N122" i="8"/>
  <c r="N125" i="8"/>
  <c r="N129" i="8"/>
  <c r="N133" i="8"/>
  <c r="N136" i="8"/>
  <c r="N140" i="8"/>
  <c r="N142" i="8"/>
  <c r="N146" i="8"/>
  <c r="N150" i="8"/>
  <c r="N152" i="8"/>
  <c r="N155" i="8"/>
  <c r="N158" i="8"/>
  <c r="N161" i="8"/>
  <c r="N165" i="8"/>
  <c r="N167" i="8"/>
  <c r="N170" i="8"/>
  <c r="N174" i="8"/>
  <c r="N178" i="8"/>
  <c r="N181" i="8"/>
  <c r="N184" i="8"/>
  <c r="N187" i="8"/>
  <c r="N190" i="8"/>
  <c r="N193" i="8"/>
  <c r="N195" i="8"/>
  <c r="N199" i="8"/>
  <c r="N202" i="8"/>
  <c r="N206" i="8"/>
  <c r="N208" i="8"/>
  <c r="N212" i="8"/>
  <c r="N215" i="8"/>
  <c r="N219" i="8"/>
  <c r="N222" i="8"/>
  <c r="N224" i="8"/>
  <c r="N227" i="8"/>
  <c r="N230" i="8"/>
  <c r="N234" i="8"/>
  <c r="N238" i="8"/>
  <c r="N241" i="8"/>
  <c r="N244" i="8"/>
  <c r="N248" i="8"/>
  <c r="N252" i="8"/>
  <c r="N255" i="8"/>
  <c r="N258" i="8"/>
  <c r="N260" i="8"/>
  <c r="N263" i="8"/>
  <c r="N265" i="8"/>
  <c r="N266" i="8"/>
  <c r="N272" i="8"/>
  <c r="N274" i="8"/>
  <c r="N276" i="8"/>
  <c r="N278" i="8"/>
  <c r="N280" i="8"/>
  <c r="N281" i="8"/>
  <c r="N283" i="8"/>
  <c r="N285" i="8"/>
  <c r="N287" i="8"/>
  <c r="N289" i="8"/>
  <c r="N291" i="8"/>
  <c r="N293" i="8"/>
  <c r="N295" i="8"/>
  <c r="N297" i="8"/>
  <c r="N298" i="8"/>
  <c r="N300" i="8"/>
  <c r="N302" i="8"/>
  <c r="N304" i="8"/>
  <c r="N306" i="8"/>
  <c r="N308" i="8"/>
  <c r="N309" i="8"/>
  <c r="N311" i="8"/>
  <c r="N313" i="8"/>
  <c r="N315" i="8"/>
  <c r="N317" i="8"/>
  <c r="N320" i="8"/>
  <c r="N322" i="8"/>
  <c r="N324" i="8"/>
  <c r="N325" i="8"/>
  <c r="N327" i="8"/>
  <c r="N329" i="8"/>
  <c r="N330" i="8"/>
  <c r="N332" i="8"/>
  <c r="N333" i="8"/>
  <c r="N335" i="8"/>
  <c r="N337" i="8"/>
  <c r="N339" i="8"/>
  <c r="N341" i="8"/>
  <c r="N343" i="8"/>
  <c r="N345" i="8"/>
  <c r="N347" i="8"/>
  <c r="N349" i="8"/>
  <c r="N351" i="8"/>
  <c r="N353" i="8"/>
  <c r="N355" i="8"/>
  <c r="N356" i="8"/>
  <c r="N359" i="8"/>
  <c r="N360" i="8"/>
  <c r="N362" i="8"/>
  <c r="N364" i="8"/>
  <c r="N366" i="8"/>
  <c r="N368" i="8"/>
  <c r="N370" i="8"/>
  <c r="N372" i="8"/>
  <c r="N373" i="8"/>
  <c r="N375" i="8"/>
  <c r="N377" i="8"/>
  <c r="N378" i="8"/>
  <c r="N380" i="8"/>
  <c r="N381" i="8"/>
  <c r="N382" i="8"/>
  <c r="N383" i="8"/>
  <c r="N384" i="8"/>
  <c r="N385" i="8"/>
  <c r="N386" i="8"/>
  <c r="N387" i="8"/>
  <c r="N388" i="8"/>
  <c r="N389" i="8"/>
  <c r="N390" i="8"/>
  <c r="N392" i="8"/>
  <c r="N393" i="8"/>
  <c r="N394" i="8"/>
  <c r="N395" i="8"/>
  <c r="N396" i="8"/>
  <c r="N397" i="8"/>
  <c r="N398" i="8"/>
  <c r="N399" i="8"/>
  <c r="N400" i="8"/>
  <c r="N401" i="8"/>
  <c r="N402" i="8"/>
  <c r="N403" i="8"/>
  <c r="N404" i="8"/>
  <c r="N405" i="8"/>
  <c r="N406" i="8"/>
  <c r="N408" i="8"/>
  <c r="N12" i="8"/>
  <c r="L9" i="8"/>
  <c r="L11" i="8"/>
  <c r="L16" i="8"/>
  <c r="L19" i="8"/>
  <c r="L21" i="8"/>
  <c r="L22" i="8"/>
  <c r="L23" i="8"/>
  <c r="L29" i="8"/>
  <c r="L33" i="8"/>
  <c r="L34" i="8"/>
  <c r="L37" i="8"/>
  <c r="L12" i="8"/>
  <c r="L13" i="8"/>
  <c r="L14" i="8"/>
  <c r="L25" i="8"/>
  <c r="L26" i="8"/>
  <c r="L27" i="8"/>
  <c r="L31" i="8"/>
  <c r="L32" i="8"/>
  <c r="L36" i="8"/>
  <c r="L38" i="8"/>
  <c r="L10" i="8"/>
  <c r="L15" i="8"/>
  <c r="L18" i="8"/>
  <c r="L20" i="8"/>
  <c r="L24" i="8"/>
  <c r="L28" i="8"/>
  <c r="L30" i="8"/>
  <c r="L35" i="8"/>
  <c r="L17" i="8"/>
  <c r="P726" i="2"/>
  <c r="C21" i="1"/>
  <c r="C16" i="1"/>
  <c r="C22" i="1"/>
  <c r="C20" i="1"/>
  <c r="Y15" i="4"/>
  <c r="S8" i="4"/>
  <c r="AN9" i="4"/>
  <c r="AA9" i="4"/>
  <c r="AL10" i="4"/>
  <c r="AN10" i="4"/>
  <c r="AP10" i="4"/>
  <c r="AI10" i="4"/>
  <c r="AK11" i="4"/>
  <c r="AM11" i="4"/>
  <c r="AO11" i="4"/>
  <c r="S11" i="4"/>
  <c r="AL12" i="4"/>
  <c r="AN12" i="4"/>
  <c r="AP12" i="4"/>
  <c r="AA12" i="4"/>
  <c r="AL13" i="4"/>
  <c r="AN13" i="4"/>
  <c r="AP13" i="4"/>
  <c r="AA13" i="4"/>
  <c r="AK14" i="4"/>
  <c r="AM14" i="4"/>
  <c r="AO14" i="4"/>
  <c r="S14" i="4"/>
  <c r="AI14" i="4"/>
  <c r="R15" i="4"/>
  <c r="S6" i="4"/>
  <c r="AM7" i="4"/>
  <c r="S9" i="4"/>
  <c r="AP6" i="4"/>
  <c r="AL7" i="4"/>
  <c r="AK8" i="4"/>
  <c r="U15" i="4"/>
  <c r="AN5" i="4"/>
  <c r="S7" i="4"/>
  <c r="AM8" i="4"/>
  <c r="M15" i="4"/>
  <c r="AO4" i="4"/>
  <c r="Q15" i="4"/>
  <c r="AE15" i="4"/>
  <c r="AP7" i="4"/>
  <c r="AA8" i="4"/>
  <c r="AD15" i="4"/>
  <c r="AA6" i="4"/>
  <c r="AP8" i="4"/>
  <c r="O15" i="4"/>
  <c r="AC15" i="4"/>
  <c r="AO6" i="4"/>
  <c r="AK7" i="4"/>
  <c r="AO5" i="4"/>
  <c r="AK6" i="4"/>
  <c r="AM4" i="4"/>
  <c r="AN6" i="4"/>
  <c r="AI9" i="4"/>
  <c r="AK10" i="4"/>
  <c r="AM10" i="4"/>
  <c r="AO10" i="4"/>
  <c r="S10" i="4"/>
  <c r="AA10" i="4"/>
  <c r="AL11" i="4"/>
  <c r="AN11" i="4"/>
  <c r="AP11" i="4"/>
  <c r="AA11" i="4"/>
  <c r="AI11" i="4"/>
  <c r="AK12" i="4"/>
  <c r="AM12" i="4"/>
  <c r="AO12" i="4"/>
  <c r="S12" i="4"/>
  <c r="AI12" i="4"/>
  <c r="AK13" i="4"/>
  <c r="AM13" i="4"/>
  <c r="AO13" i="4"/>
  <c r="S13" i="4"/>
  <c r="AI13" i="4"/>
  <c r="AL14" i="4"/>
  <c r="AN14" i="4"/>
  <c r="AP14" i="4"/>
  <c r="AA14" i="4"/>
  <c r="AF15" i="4"/>
  <c r="AI4" i="4"/>
  <c r="V15" i="4"/>
  <c r="AI5" i="4"/>
  <c r="AH15" i="4"/>
  <c r="AA5" i="4"/>
  <c r="S4" i="4"/>
  <c r="AM5" i="4"/>
  <c r="AL8" i="4"/>
  <c r="P15" i="4"/>
  <c r="AP4" i="4"/>
  <c r="AI6" i="4"/>
  <c r="X15" i="4"/>
  <c r="AG15" i="4"/>
  <c r="AL9" i="4"/>
  <c r="N15" i="4"/>
  <c r="Z15" i="4"/>
  <c r="AN4" i="4"/>
  <c r="AK5" i="4"/>
  <c r="AN7" i="4"/>
  <c r="AA7" i="4"/>
  <c r="R7" i="7"/>
  <c r="R8" i="7"/>
  <c r="Q9" i="7" a="1"/>
  <c r="Q9" i="7" s="1"/>
  <c r="R7" i="5"/>
  <c r="Q8" i="5" a="1"/>
  <c r="Q8" i="5" s="1"/>
  <c r="Q9" i="5" s="1" a="1"/>
  <c r="Q9" i="5" s="1"/>
  <c r="AQ3" i="4" l="1"/>
  <c r="AR3" i="4" s="1"/>
  <c r="AJ15" i="4"/>
  <c r="B9" i="8"/>
  <c r="D9" i="8"/>
  <c r="G9" i="8"/>
  <c r="I9" i="8"/>
  <c r="C9" i="8"/>
  <c r="F9" i="8"/>
  <c r="E9" i="8"/>
  <c r="H9" i="8"/>
  <c r="J9" i="8"/>
  <c r="B11" i="8"/>
  <c r="C11" i="8"/>
  <c r="D11" i="8"/>
  <c r="E11" i="8"/>
  <c r="F11" i="8"/>
  <c r="G11" i="8"/>
  <c r="H11" i="8"/>
  <c r="I11" i="8"/>
  <c r="J11" i="8"/>
  <c r="C16" i="8"/>
  <c r="D16" i="8"/>
  <c r="E16" i="8"/>
  <c r="F16" i="8"/>
  <c r="G16" i="8"/>
  <c r="H16" i="8"/>
  <c r="I16" i="8"/>
  <c r="J16" i="8"/>
  <c r="B16" i="8"/>
  <c r="B19" i="8"/>
  <c r="D19" i="8"/>
  <c r="F19" i="8"/>
  <c r="H19" i="8"/>
  <c r="C19" i="8"/>
  <c r="E19" i="8"/>
  <c r="G19" i="8"/>
  <c r="I19" i="8"/>
  <c r="J19" i="8"/>
  <c r="C21" i="8"/>
  <c r="F21" i="8"/>
  <c r="H21" i="8"/>
  <c r="J21" i="8"/>
  <c r="D21" i="8"/>
  <c r="E21" i="8"/>
  <c r="G21" i="8"/>
  <c r="I21" i="8"/>
  <c r="B21" i="8"/>
  <c r="B22" i="8"/>
  <c r="C22" i="8"/>
  <c r="E22" i="8"/>
  <c r="G22" i="8"/>
  <c r="H22" i="8"/>
  <c r="J22" i="8"/>
  <c r="D22" i="8"/>
  <c r="F22" i="8"/>
  <c r="I22" i="8"/>
  <c r="D23" i="8"/>
  <c r="F23" i="8"/>
  <c r="H23" i="8"/>
  <c r="I23" i="8"/>
  <c r="B23" i="8"/>
  <c r="C23" i="8"/>
  <c r="E23" i="8"/>
  <c r="G23" i="8"/>
  <c r="J23" i="8"/>
  <c r="C29" i="8"/>
  <c r="D29" i="8"/>
  <c r="F29" i="8"/>
  <c r="H29" i="8"/>
  <c r="B29" i="8"/>
  <c r="E29" i="8"/>
  <c r="G29" i="8"/>
  <c r="I29" i="8"/>
  <c r="J29" i="8"/>
  <c r="C33" i="8"/>
  <c r="F33" i="8"/>
  <c r="I33" i="8"/>
  <c r="J33" i="8"/>
  <c r="B33" i="8"/>
  <c r="E33" i="8"/>
  <c r="H33" i="8"/>
  <c r="D33" i="8"/>
  <c r="G33" i="8"/>
  <c r="B34" i="8"/>
  <c r="C34" i="8"/>
  <c r="D34" i="8"/>
  <c r="E34" i="8"/>
  <c r="F34" i="8"/>
  <c r="G34" i="8"/>
  <c r="H34" i="8"/>
  <c r="I34" i="8"/>
  <c r="J34" i="8"/>
  <c r="B37" i="8"/>
  <c r="C37" i="8"/>
  <c r="D37" i="8"/>
  <c r="E37" i="8"/>
  <c r="F37" i="8"/>
  <c r="G37" i="8"/>
  <c r="H37" i="8"/>
  <c r="I37" i="8"/>
  <c r="J37" i="8"/>
  <c r="C12" i="8"/>
  <c r="E12" i="8"/>
  <c r="F12" i="8"/>
  <c r="J12" i="8"/>
  <c r="B12" i="8"/>
  <c r="D12" i="8"/>
  <c r="G12" i="8"/>
  <c r="H12" i="8"/>
  <c r="I12" i="8"/>
  <c r="D13" i="8"/>
  <c r="G13" i="8"/>
  <c r="I13" i="8"/>
  <c r="J13" i="8"/>
  <c r="E13" i="8"/>
  <c r="H13" i="8"/>
  <c r="B13" i="8"/>
  <c r="C13" i="8"/>
  <c r="F13" i="8"/>
  <c r="D14" i="8"/>
  <c r="G14" i="8"/>
  <c r="I14" i="8"/>
  <c r="J14" i="8"/>
  <c r="C14" i="8"/>
  <c r="F14" i="8"/>
  <c r="B14" i="8"/>
  <c r="E14" i="8"/>
  <c r="H14" i="8"/>
  <c r="C25" i="8"/>
  <c r="F25" i="8"/>
  <c r="G25" i="8"/>
  <c r="H25" i="8"/>
  <c r="I25" i="8"/>
  <c r="J25" i="8"/>
  <c r="B25" i="8"/>
  <c r="E25" i="8"/>
  <c r="D25" i="8"/>
  <c r="C26" i="8"/>
  <c r="F26" i="8"/>
  <c r="G26" i="8"/>
  <c r="H26" i="8"/>
  <c r="I26" i="8"/>
  <c r="J26" i="8"/>
  <c r="D26" i="8"/>
  <c r="B26" i="8"/>
  <c r="E26" i="8"/>
  <c r="B27" i="8"/>
  <c r="D27" i="8"/>
  <c r="H27" i="8"/>
  <c r="I27" i="8"/>
  <c r="J27" i="8"/>
  <c r="E27" i="8"/>
  <c r="G27" i="8"/>
  <c r="C27" i="8"/>
  <c r="F27" i="8"/>
  <c r="C31" i="8"/>
  <c r="F31" i="8"/>
  <c r="G31" i="8"/>
  <c r="H31" i="8"/>
  <c r="I31" i="8"/>
  <c r="J31" i="8"/>
  <c r="E31" i="8"/>
  <c r="B31" i="8"/>
  <c r="D31" i="8"/>
  <c r="B32" i="8"/>
  <c r="D32" i="8"/>
  <c r="G32" i="8"/>
  <c r="J32" i="8"/>
  <c r="C32" i="8"/>
  <c r="E32" i="8"/>
  <c r="H32" i="8"/>
  <c r="F32" i="8"/>
  <c r="I32" i="8"/>
  <c r="D36" i="8"/>
  <c r="G36" i="8"/>
  <c r="I36" i="8"/>
  <c r="C36" i="8"/>
  <c r="H36" i="8"/>
  <c r="J36" i="8"/>
  <c r="B36" i="8"/>
  <c r="E36" i="8"/>
  <c r="F36" i="8"/>
  <c r="C38" i="8"/>
  <c r="E38" i="8"/>
  <c r="G38" i="8"/>
  <c r="I38" i="8"/>
  <c r="B38" i="8"/>
  <c r="D38" i="8"/>
  <c r="F38" i="8"/>
  <c r="H38" i="8"/>
  <c r="J38" i="8"/>
  <c r="B10" i="8"/>
  <c r="F10" i="8"/>
  <c r="H10" i="8"/>
  <c r="J10" i="8"/>
  <c r="C10" i="8"/>
  <c r="D10" i="8"/>
  <c r="E10" i="8"/>
  <c r="G10" i="8"/>
  <c r="I10" i="8"/>
  <c r="C15" i="8"/>
  <c r="E15" i="8"/>
  <c r="G15" i="8"/>
  <c r="J15" i="8"/>
  <c r="B15" i="8"/>
  <c r="D15" i="8"/>
  <c r="F15" i="8"/>
  <c r="H15" i="8"/>
  <c r="I15" i="8"/>
  <c r="D18" i="8"/>
  <c r="G18" i="8"/>
  <c r="J18" i="8"/>
  <c r="I18" i="8"/>
  <c r="B18" i="8"/>
  <c r="C18" i="8"/>
  <c r="E18" i="8"/>
  <c r="F18" i="8"/>
  <c r="H18" i="8"/>
  <c r="B20" i="8"/>
  <c r="D20" i="8"/>
  <c r="F20" i="8"/>
  <c r="I20" i="8"/>
  <c r="J20" i="8"/>
  <c r="C20" i="8"/>
  <c r="E20" i="8"/>
  <c r="G20" i="8"/>
  <c r="H20" i="8"/>
  <c r="C24" i="8"/>
  <c r="E24" i="8"/>
  <c r="G24" i="8"/>
  <c r="H24" i="8"/>
  <c r="I24" i="8"/>
  <c r="J24" i="8"/>
  <c r="B24" i="8"/>
  <c r="D24" i="8"/>
  <c r="F24" i="8"/>
  <c r="C28" i="8"/>
  <c r="E28" i="8"/>
  <c r="G28" i="8"/>
  <c r="I28" i="8"/>
  <c r="B28" i="8"/>
  <c r="D28" i="8"/>
  <c r="F28" i="8"/>
  <c r="H28" i="8"/>
  <c r="J28" i="8"/>
  <c r="C30" i="8"/>
  <c r="E30" i="8"/>
  <c r="B30" i="8"/>
  <c r="D30" i="8"/>
  <c r="F30" i="8"/>
  <c r="G30" i="8"/>
  <c r="H30" i="8"/>
  <c r="I30" i="8"/>
  <c r="J30" i="8"/>
  <c r="B35" i="8"/>
  <c r="G35" i="8"/>
  <c r="H35" i="8"/>
  <c r="J35" i="8"/>
  <c r="C35" i="8"/>
  <c r="D35" i="8"/>
  <c r="E35" i="8"/>
  <c r="F35" i="8"/>
  <c r="I35" i="8"/>
  <c r="C17" i="8"/>
  <c r="B17" i="8"/>
  <c r="D17" i="8"/>
  <c r="F17" i="8"/>
  <c r="H17" i="8"/>
  <c r="J17" i="8"/>
  <c r="E17" i="8"/>
  <c r="G17" i="8"/>
  <c r="I17" i="8"/>
  <c r="R9" i="7"/>
  <c r="Q10" i="5" a="1"/>
  <c r="Q10" i="5" s="1"/>
  <c r="R8" i="5"/>
  <c r="AQ7" i="4"/>
  <c r="AR7" i="4" s="1"/>
  <c r="AQ11" i="4"/>
  <c r="AR11" i="4" s="1"/>
  <c r="AQ13" i="4"/>
  <c r="AR13" i="4" s="1"/>
  <c r="AQ14" i="4"/>
  <c r="AR14" i="4" s="1"/>
  <c r="AQ8" i="4"/>
  <c r="AR8" i="4" s="1"/>
  <c r="AQ4" i="4"/>
  <c r="AR4" i="4" s="1"/>
  <c r="AQ6" i="4"/>
  <c r="AR6" i="4" s="1"/>
  <c r="AI15" i="4"/>
  <c r="AQ5" i="4"/>
  <c r="AR5" i="4" s="1"/>
  <c r="AL15" i="4"/>
  <c r="AQ9" i="4"/>
  <c r="AR9" i="4" s="1"/>
  <c r="S15" i="4"/>
  <c r="AQ10" i="4"/>
  <c r="AR10" i="4" s="1"/>
  <c r="AQ12" i="4"/>
  <c r="AR12" i="4" s="1"/>
  <c r="AK15" i="4"/>
  <c r="AN15" i="4"/>
  <c r="AM15" i="4"/>
  <c r="K15" i="4"/>
  <c r="AP15" i="4"/>
  <c r="AA15" i="4"/>
  <c r="AO15" i="4"/>
  <c r="Q10" i="7" a="1"/>
  <c r="Q10" i="7" s="1"/>
  <c r="R9" i="5"/>
  <c r="Q11" i="5" l="1" a="1"/>
  <c r="Q11" i="5" s="1"/>
  <c r="R10" i="7"/>
  <c r="AQ15" i="4"/>
  <c r="AR15" i="4"/>
  <c r="AR16" i="4" s="1"/>
  <c r="R10" i="5"/>
  <c r="Q11" i="7" a="1"/>
  <c r="Q11" i="7" s="1"/>
  <c r="Q12" i="7" s="1" a="1"/>
  <c r="Q12" i="7" s="1"/>
  <c r="Q12" i="5" l="1" a="1"/>
  <c r="Q12" i="5" s="1"/>
  <c r="R11" i="5"/>
  <c r="R11" i="7"/>
  <c r="Q13" i="7" a="1"/>
  <c r="Q13" i="7" s="1"/>
  <c r="R12" i="7"/>
  <c r="R12" i="5" l="1"/>
  <c r="Q13" i="5" a="1"/>
  <c r="Q13" i="5" s="1"/>
  <c r="Q14" i="7" a="1"/>
  <c r="Q14" i="7" s="1"/>
  <c r="R13" i="7"/>
  <c r="R13" i="5" l="1"/>
  <c r="Q14" i="5" a="1"/>
  <c r="Q14" i="5" s="1"/>
  <c r="Q15" i="7" a="1"/>
  <c r="Q15" i="7" s="1"/>
  <c r="R14" i="7"/>
  <c r="R14" i="5" l="1"/>
  <c r="Q15" i="5" a="1"/>
  <c r="Q15" i="5" s="1"/>
  <c r="Q16" i="7" a="1"/>
  <c r="Q16" i="7" s="1"/>
  <c r="R15" i="7"/>
  <c r="R15" i="5" l="1"/>
  <c r="Q16" i="5" a="1"/>
  <c r="Q16" i="5" s="1"/>
  <c r="Q17" i="7" a="1"/>
  <c r="Q17" i="7" s="1"/>
  <c r="R16" i="7"/>
  <c r="R16" i="5" l="1"/>
  <c r="Q17" i="5" a="1"/>
  <c r="Q17" i="5" s="1"/>
  <c r="Q18" i="7" a="1"/>
  <c r="Q18" i="7" s="1"/>
  <c r="R17" i="7"/>
  <c r="R17" i="5" l="1"/>
  <c r="Q18" i="5" a="1"/>
  <c r="Q18" i="5" s="1"/>
  <c r="Q19" i="7" a="1"/>
  <c r="Q19" i="7" s="1"/>
  <c r="R18" i="7"/>
  <c r="R18" i="5" l="1"/>
  <c r="Q19" i="5" a="1"/>
  <c r="Q19" i="5" s="1"/>
  <c r="R19" i="7"/>
  <c r="Q20" i="7" a="1"/>
  <c r="Q20" i="7" s="1"/>
  <c r="R19" i="5" l="1"/>
  <c r="Q20" i="5" a="1"/>
  <c r="Q20" i="5" s="1"/>
  <c r="R20" i="7"/>
  <c r="Q21" i="7" a="1"/>
  <c r="Q21" i="7" s="1"/>
  <c r="R20" i="5" l="1"/>
  <c r="Q21" i="5" a="1"/>
  <c r="Q21" i="5" s="1"/>
  <c r="Q22" i="7" a="1"/>
  <c r="Q22" i="7" s="1"/>
  <c r="R21" i="7"/>
  <c r="R21" i="5" l="1"/>
  <c r="Q22" i="5" a="1"/>
  <c r="Q22" i="5" s="1"/>
  <c r="Q23" i="7" a="1"/>
  <c r="Q23" i="7" s="1"/>
  <c r="R22" i="7"/>
  <c r="R22" i="5" l="1"/>
  <c r="Q23" i="5" a="1"/>
  <c r="Q23" i="5" s="1"/>
  <c r="Q24" i="7" a="1"/>
  <c r="Q24" i="7" s="1"/>
  <c r="R23" i="7"/>
  <c r="R23" i="5" l="1"/>
  <c r="Q24" i="5" a="1"/>
  <c r="Q24" i="5" s="1"/>
  <c r="R24" i="7"/>
  <c r="Q25" i="7" a="1"/>
  <c r="Q25" i="7" s="1"/>
  <c r="R24" i="5" l="1"/>
  <c r="Q25" i="5" a="1"/>
  <c r="Q25" i="5" s="1"/>
  <c r="Q26" i="7" a="1"/>
  <c r="Q26" i="7" s="1"/>
  <c r="R25" i="7"/>
  <c r="R25" i="5" l="1"/>
  <c r="Q26" i="5" a="1"/>
  <c r="Q26" i="5" s="1"/>
  <c r="Q27" i="7" a="1"/>
  <c r="Q27" i="7" s="1"/>
  <c r="R26" i="7"/>
  <c r="R26" i="5" l="1"/>
  <c r="Q27" i="5" a="1"/>
  <c r="Q27" i="5" s="1"/>
  <c r="Q28" i="7" a="1"/>
  <c r="Q28" i="7" s="1"/>
  <c r="R27" i="7"/>
  <c r="R27" i="5" l="1"/>
  <c r="Q28" i="5" a="1"/>
  <c r="Q28" i="5" s="1"/>
  <c r="Q29" i="7" a="1"/>
  <c r="Q29" i="7" s="1"/>
  <c r="R28" i="7"/>
  <c r="R28" i="5" l="1"/>
  <c r="Q29" i="5" a="1"/>
  <c r="Q29" i="5" s="1"/>
  <c r="Q30" i="7" a="1"/>
  <c r="Q30" i="7" s="1"/>
  <c r="R29" i="7"/>
  <c r="R29" i="5" l="1"/>
  <c r="Q30" i="5" a="1"/>
  <c r="Q30" i="5" s="1"/>
  <c r="Q31" i="7" a="1"/>
  <c r="Q31" i="7" s="1"/>
  <c r="R30" i="7"/>
  <c r="R30" i="5" l="1"/>
  <c r="Q31" i="5" a="1"/>
  <c r="Q31" i="5" s="1"/>
  <c r="Q32" i="7" a="1"/>
  <c r="Q32" i="7" s="1"/>
  <c r="R31" i="7"/>
  <c r="R31" i="5" l="1"/>
  <c r="Q32" i="5" a="1"/>
  <c r="Q32" i="5" s="1"/>
  <c r="Q33" i="7" a="1"/>
  <c r="Q33" i="7" s="1"/>
  <c r="R32" i="7"/>
  <c r="R32" i="5" l="1"/>
  <c r="Q33" i="5" a="1"/>
  <c r="Q33" i="5" s="1"/>
  <c r="R33" i="7"/>
  <c r="Q34" i="7" a="1"/>
  <c r="Q34" i="7" s="1"/>
  <c r="R33" i="5" l="1"/>
  <c r="Q34" i="5" a="1"/>
  <c r="Q34" i="5" s="1"/>
  <c r="Q35" i="7" a="1"/>
  <c r="Q35" i="7" s="1"/>
  <c r="R34" i="7"/>
  <c r="R34" i="5" l="1"/>
  <c r="Q35" i="5" a="1"/>
  <c r="Q35" i="5" s="1"/>
  <c r="Q36" i="7" a="1"/>
  <c r="Q36" i="7" s="1"/>
  <c r="R35" i="7"/>
  <c r="R35" i="5" l="1"/>
  <c r="Q36" i="5" a="1"/>
  <c r="Q36" i="5" s="1"/>
  <c r="Q37" i="7" a="1"/>
  <c r="Q37" i="7" s="1"/>
  <c r="R36" i="7"/>
  <c r="R36" i="5" l="1"/>
  <c r="Q37" i="5" a="1"/>
  <c r="Q37" i="5" s="1"/>
  <c r="Q38" i="7" a="1"/>
  <c r="Q38" i="7" s="1"/>
  <c r="R37" i="7"/>
  <c r="R37" i="5" l="1"/>
  <c r="Q38" i="5" a="1"/>
  <c r="Q38" i="5" s="1"/>
  <c r="R38" i="7"/>
  <c r="Q39" i="7" a="1"/>
  <c r="Q39" i="7" s="1"/>
  <c r="R38" i="5" l="1"/>
  <c r="Q39" i="5" a="1"/>
  <c r="Q39" i="5" s="1"/>
  <c r="Q40" i="7" a="1"/>
  <c r="Q40" i="7" s="1"/>
  <c r="R39" i="7"/>
  <c r="R39" i="5" l="1"/>
  <c r="Q40" i="5" a="1"/>
  <c r="Q40" i="5" s="1"/>
  <c r="R40" i="7"/>
  <c r="Q41" i="7" a="1"/>
  <c r="Q41" i="7" s="1"/>
  <c r="R40" i="5" l="1"/>
  <c r="Q41" i="5" a="1"/>
  <c r="Q41" i="5" s="1"/>
  <c r="Q42" i="7" a="1"/>
  <c r="Q42" i="7" s="1"/>
  <c r="R41" i="7"/>
  <c r="R41" i="5" l="1"/>
  <c r="Q42" i="5" a="1"/>
  <c r="Q42" i="5" s="1"/>
  <c r="Q43" i="7" a="1"/>
  <c r="Q43" i="7" s="1"/>
  <c r="R42" i="7"/>
  <c r="R42" i="5" l="1"/>
  <c r="Q43" i="5" a="1"/>
  <c r="Q43" i="5" s="1"/>
  <c r="R43" i="7"/>
  <c r="Q44" i="7" a="1"/>
  <c r="Q44" i="7" s="1"/>
  <c r="R43" i="5" l="1"/>
  <c r="Q44" i="5" a="1"/>
  <c r="Q44" i="5" s="1"/>
  <c r="Q45" i="7" a="1"/>
  <c r="Q45" i="7" s="1"/>
  <c r="R44" i="7"/>
  <c r="R44" i="5" l="1"/>
  <c r="Q45" i="5" a="1"/>
  <c r="Q45" i="5" s="1"/>
  <c r="Q46" i="7" a="1"/>
  <c r="Q46" i="7" s="1"/>
  <c r="R45" i="7"/>
  <c r="R45" i="5" l="1"/>
  <c r="Q46" i="5" a="1"/>
  <c r="Q46" i="5" s="1"/>
  <c r="Q47" i="7" a="1"/>
  <c r="Q47" i="7" s="1"/>
  <c r="R46" i="7"/>
  <c r="R46" i="5" l="1"/>
  <c r="Q47" i="5" a="1"/>
  <c r="Q47" i="5" s="1"/>
  <c r="R47" i="7"/>
  <c r="Q48" i="7" a="1"/>
  <c r="Q48" i="7" s="1"/>
  <c r="R47" i="5" l="1"/>
  <c r="Q48" i="5" a="1"/>
  <c r="Q48" i="5" s="1"/>
  <c r="Q49" i="7" a="1"/>
  <c r="Q49" i="7" s="1"/>
  <c r="R48" i="7"/>
  <c r="R48" i="5" l="1"/>
  <c r="Q49" i="5" a="1"/>
  <c r="Q49" i="5" s="1"/>
  <c r="Q50" i="7" a="1"/>
  <c r="Q50" i="7" s="1"/>
  <c r="R49" i="7"/>
  <c r="R49" i="5" l="1"/>
  <c r="Q50" i="5" a="1"/>
  <c r="Q50" i="5" s="1"/>
  <c r="R50" i="7"/>
  <c r="Q51" i="7" a="1"/>
  <c r="Q51" i="7" s="1"/>
  <c r="R50" i="5" l="1"/>
  <c r="Q51" i="5" a="1"/>
  <c r="Q51" i="5" s="1"/>
  <c r="Q52" i="7" a="1"/>
  <c r="Q52" i="7" s="1"/>
  <c r="R51" i="7"/>
  <c r="R51" i="5" l="1"/>
  <c r="Q52" i="5" a="1"/>
  <c r="Q52" i="5" s="1"/>
  <c r="Q53" i="7" a="1"/>
  <c r="Q53" i="7" s="1"/>
  <c r="R52" i="7"/>
  <c r="R52" i="5" l="1"/>
  <c r="Q53" i="5" a="1"/>
  <c r="Q53" i="5" s="1"/>
  <c r="R53" i="7"/>
  <c r="Q54" i="7" a="1"/>
  <c r="Q54" i="7" s="1"/>
  <c r="R53" i="5" l="1"/>
  <c r="Q54" i="5" a="1"/>
  <c r="Q54" i="5" s="1"/>
  <c r="Q55" i="7" a="1"/>
  <c r="Q55" i="7" s="1"/>
  <c r="R54" i="7"/>
  <c r="R54" i="5" l="1"/>
  <c r="Q55" i="5" a="1"/>
  <c r="Q55" i="5" s="1"/>
  <c r="R55" i="7"/>
  <c r="Q56" i="7" a="1"/>
  <c r="Q56" i="7" s="1"/>
  <c r="R55" i="5" l="1"/>
  <c r="Q56" i="5" a="1"/>
  <c r="Q56" i="5" s="1"/>
  <c r="Q57" i="7" a="1"/>
  <c r="Q57" i="7" s="1"/>
  <c r="R56" i="7"/>
  <c r="R56" i="5" l="1"/>
  <c r="Q57" i="5" a="1"/>
  <c r="Q57" i="5" s="1"/>
  <c r="Q58" i="7" a="1"/>
  <c r="Q58" i="7" s="1"/>
  <c r="R57" i="7"/>
  <c r="R57" i="5" l="1"/>
  <c r="Q58" i="5" a="1"/>
  <c r="Q58" i="5" s="1"/>
  <c r="Q59" i="7" a="1"/>
  <c r="Q59" i="7" s="1"/>
  <c r="R58" i="7"/>
  <c r="R58" i="5" l="1"/>
  <c r="Q59" i="5" a="1"/>
  <c r="Q59" i="5" s="1"/>
  <c r="Q60" i="7" a="1"/>
  <c r="Q60" i="7" s="1"/>
  <c r="R59" i="7"/>
  <c r="R59" i="5" l="1"/>
  <c r="Q60" i="5" a="1"/>
  <c r="Q60" i="5" s="1"/>
  <c r="Q61" i="7" a="1"/>
  <c r="Q61" i="7" s="1"/>
  <c r="R60" i="7"/>
  <c r="R60" i="5" l="1"/>
  <c r="Q61" i="5" a="1"/>
  <c r="Q61" i="5" s="1"/>
  <c r="Q62" i="7" a="1"/>
  <c r="Q62" i="7" s="1"/>
  <c r="R61" i="7"/>
  <c r="R61" i="5" l="1"/>
  <c r="Q62" i="5" a="1"/>
  <c r="Q62" i="5" s="1"/>
  <c r="Q63" i="7" a="1"/>
  <c r="Q63" i="7" s="1"/>
  <c r="R62" i="7"/>
  <c r="R62" i="5" l="1"/>
  <c r="Q63" i="5" a="1"/>
  <c r="Q63" i="5" s="1"/>
  <c r="R63" i="7"/>
  <c r="Q64" i="7" a="1"/>
  <c r="Q64" i="7" s="1"/>
  <c r="R63" i="5" l="1"/>
  <c r="Q64" i="5" a="1"/>
  <c r="Q64" i="5" s="1"/>
  <c r="Q65" i="7" a="1"/>
  <c r="Q65" i="7" s="1"/>
  <c r="R64" i="7"/>
  <c r="R64" i="5" l="1"/>
  <c r="Q65" i="5" a="1"/>
  <c r="Q65" i="5" s="1"/>
  <c r="R65" i="7"/>
  <c r="Q66" i="7" a="1"/>
  <c r="Q66" i="7" s="1"/>
  <c r="R65" i="5" l="1"/>
  <c r="Q66" i="5" a="1"/>
  <c r="Q66" i="5" s="1"/>
  <c r="Q67" i="7" a="1"/>
  <c r="Q67" i="7" s="1"/>
  <c r="R66" i="7"/>
  <c r="R66" i="5" l="1"/>
  <c r="Q67" i="5" a="1"/>
  <c r="Q67" i="5" s="1"/>
  <c r="R67" i="7"/>
  <c r="Q68" i="7" a="1"/>
  <c r="Q68" i="7" s="1"/>
  <c r="R67" i="5" l="1"/>
  <c r="Q68" i="5" a="1"/>
  <c r="Q68" i="5" s="1"/>
  <c r="R68" i="7"/>
  <c r="Q69" i="7" a="1"/>
  <c r="Q69" i="7" s="1"/>
  <c r="R68" i="5" l="1"/>
  <c r="Q69" i="5" a="1"/>
  <c r="Q69" i="5" s="1"/>
  <c r="Q70" i="7" a="1"/>
  <c r="Q70" i="7" s="1"/>
  <c r="R69" i="7"/>
  <c r="R69" i="5" l="1"/>
  <c r="Q70" i="5" a="1"/>
  <c r="Q70" i="5" s="1"/>
  <c r="Q71" i="7" a="1"/>
  <c r="Q71" i="7" s="1"/>
  <c r="R70" i="7"/>
  <c r="R70" i="5" l="1"/>
  <c r="Q71" i="5" a="1"/>
  <c r="Q71" i="5" s="1"/>
  <c r="Q72" i="7" a="1"/>
  <c r="Q72" i="7" s="1"/>
  <c r="R71" i="7"/>
  <c r="Q72" i="5" l="1" a="1"/>
  <c r="Q72" i="5" s="1"/>
  <c r="R71" i="5"/>
  <c r="R72" i="7"/>
  <c r="Q73" i="7" a="1"/>
  <c r="Q73" i="7" s="1"/>
  <c r="Q73" i="5" l="1" a="1"/>
  <c r="Q73" i="5" s="1"/>
  <c r="Q74" i="5" s="1" a="1"/>
  <c r="R72" i="5"/>
  <c r="Q74" i="7" a="1"/>
  <c r="Q74" i="7" s="1"/>
  <c r="R73" i="7"/>
  <c r="R73" i="5" l="1"/>
  <c r="Q74" i="5"/>
  <c r="Q75" i="7" a="1"/>
  <c r="Q75" i="7" s="1"/>
  <c r="R74" i="7"/>
  <c r="R74" i="5" l="1"/>
  <c r="Q75" i="5" a="1"/>
  <c r="Q75" i="5" s="1"/>
  <c r="Q76" i="7" a="1"/>
  <c r="Q76" i="7" s="1"/>
  <c r="R75" i="7"/>
  <c r="R75" i="5" l="1"/>
  <c r="Q76" i="5" a="1"/>
  <c r="Q76" i="5" s="1"/>
  <c r="Q77" i="7" a="1"/>
  <c r="Q77" i="7" s="1"/>
  <c r="R76" i="7"/>
  <c r="R76" i="5" l="1"/>
  <c r="Q77" i="5" a="1"/>
  <c r="Q77" i="5" s="1"/>
  <c r="R77" i="7"/>
  <c r="Q78" i="7" a="1"/>
  <c r="Q78" i="7" s="1"/>
  <c r="R77" i="5" l="1"/>
  <c r="Q78" i="5" a="1"/>
  <c r="Q78" i="5" s="1"/>
  <c r="R78" i="7"/>
  <c r="Q79" i="7" a="1"/>
  <c r="Q79" i="7" s="1"/>
  <c r="R78" i="5" l="1"/>
  <c r="Q79" i="5" a="1"/>
  <c r="Q79" i="5" s="1"/>
  <c r="Q80" i="7" a="1"/>
  <c r="Q80" i="7" s="1"/>
  <c r="R79" i="7"/>
  <c r="R79" i="5" l="1"/>
  <c r="Q80" i="5" a="1"/>
  <c r="Q80" i="5" s="1"/>
  <c r="R80" i="7"/>
  <c r="Q81" i="7" a="1"/>
  <c r="Q81" i="7" s="1"/>
  <c r="R80" i="5" l="1"/>
  <c r="Q81" i="5" a="1"/>
  <c r="Q81" i="5" s="1"/>
  <c r="Q82" i="7" a="1"/>
  <c r="Q82" i="7" s="1"/>
  <c r="R81" i="7"/>
  <c r="R81" i="5" l="1"/>
  <c r="Q82" i="5" a="1"/>
  <c r="Q82" i="5" s="1"/>
  <c r="Q83" i="7" a="1"/>
  <c r="Q83" i="7" s="1"/>
  <c r="R82" i="7"/>
  <c r="R82" i="5" l="1"/>
  <c r="Q83" i="5" a="1"/>
  <c r="Q83" i="5" s="1"/>
  <c r="R83" i="7"/>
  <c r="Q84" i="7" a="1"/>
  <c r="Q84" i="7" s="1"/>
  <c r="R83" i="5" l="1"/>
  <c r="Q84" i="5" a="1"/>
  <c r="Q84" i="5" s="1"/>
  <c r="Q85" i="7" a="1"/>
  <c r="Q85" i="7" s="1"/>
  <c r="R84" i="7"/>
  <c r="R84" i="5" l="1"/>
  <c r="Q85" i="5" a="1"/>
  <c r="Q85" i="5" s="1"/>
  <c r="R85" i="7"/>
  <c r="Q86" i="7" a="1"/>
  <c r="Q86" i="7" s="1"/>
  <c r="R85" i="5" l="1"/>
  <c r="Q86" i="5" a="1"/>
  <c r="Q86" i="5" s="1"/>
  <c r="R86" i="7"/>
  <c r="Q87" i="7" a="1"/>
  <c r="Q87" i="7" s="1"/>
  <c r="Q87" i="5" l="1" a="1"/>
  <c r="Q87" i="5" s="1"/>
  <c r="R86" i="5"/>
  <c r="Q88" i="7" a="1"/>
  <c r="Q88" i="7" s="1"/>
  <c r="R87" i="7"/>
  <c r="Q88" i="5" l="1" a="1"/>
  <c r="Q88" i="5" s="1"/>
  <c r="Q89" i="5" s="1" a="1"/>
  <c r="R87" i="5"/>
  <c r="Q89" i="7" a="1"/>
  <c r="Q89" i="7" s="1"/>
  <c r="R88" i="7"/>
  <c r="R88" i="5" l="1"/>
  <c r="S88" i="5" s="1"/>
  <c r="Q89" i="5"/>
  <c r="Q90" i="7" a="1"/>
  <c r="Q90" i="7" s="1"/>
  <c r="R89" i="7"/>
  <c r="R89" i="5" l="1"/>
  <c r="S89" i="5" s="1"/>
  <c r="Q90" i="5" a="1"/>
  <c r="Q90" i="5" s="1"/>
  <c r="Q91" i="7" a="1"/>
  <c r="Q91" i="7" s="1"/>
  <c r="R90" i="7"/>
  <c r="R90" i="5" l="1"/>
  <c r="S90" i="5" s="1"/>
  <c r="Q91" i="5" a="1"/>
  <c r="Q91" i="5" s="1"/>
  <c r="R91" i="7"/>
  <c r="Q92" i="7" a="1"/>
  <c r="Q92" i="7" s="1"/>
  <c r="R91" i="5" l="1"/>
  <c r="S91" i="5" s="1"/>
  <c r="Q92" i="5" a="1"/>
  <c r="Q92" i="5" s="1"/>
  <c r="Q93" i="7" a="1"/>
  <c r="Q93" i="7" s="1"/>
  <c r="R92" i="7"/>
  <c r="R92" i="5" l="1"/>
  <c r="S92" i="5" s="1"/>
  <c r="Q93" i="5" a="1"/>
  <c r="Q93" i="5" s="1"/>
  <c r="Q94" i="7" a="1"/>
  <c r="Q94" i="7" s="1"/>
  <c r="R93" i="7"/>
  <c r="R93" i="5" l="1"/>
  <c r="S93" i="5" s="1"/>
  <c r="Q94" i="5" a="1"/>
  <c r="Q94" i="5" s="1"/>
  <c r="R94" i="7"/>
  <c r="Q95" i="7" a="1"/>
  <c r="Q95" i="7" s="1"/>
  <c r="R94" i="5" l="1"/>
  <c r="S94" i="5" s="1"/>
  <c r="Q95" i="5" a="1"/>
  <c r="Q95" i="5" s="1"/>
  <c r="Q96" i="7" a="1"/>
  <c r="Q96" i="7" s="1"/>
  <c r="R95" i="7"/>
  <c r="R95" i="5" l="1"/>
  <c r="S95" i="5" s="1"/>
  <c r="Q96" i="5" a="1"/>
  <c r="Q96" i="5" s="1"/>
  <c r="Q97" i="7" a="1"/>
  <c r="Q97" i="7" s="1"/>
  <c r="R96" i="7"/>
  <c r="R96" i="5" l="1"/>
  <c r="S96" i="5" s="1"/>
  <c r="Q97" i="5" a="1"/>
  <c r="Q97" i="5" s="1"/>
  <c r="Q98" i="7" a="1"/>
  <c r="Q98" i="7" s="1"/>
  <c r="R97" i="7"/>
  <c r="R97" i="5" l="1"/>
  <c r="S97" i="5" s="1"/>
  <c r="Q98" i="5" a="1"/>
  <c r="Q98" i="5" s="1"/>
  <c r="Q99" i="7" a="1"/>
  <c r="Q99" i="7" s="1"/>
  <c r="R98" i="7"/>
  <c r="R98" i="5" l="1"/>
  <c r="S98" i="5" s="1"/>
  <c r="Q99" i="5" a="1"/>
  <c r="Q99" i="5" s="1"/>
  <c r="Q100" i="7" a="1"/>
  <c r="Q100" i="7" s="1"/>
  <c r="R99" i="7"/>
  <c r="R99" i="5" l="1"/>
  <c r="S99" i="5" s="1"/>
  <c r="Q100" i="5" a="1"/>
  <c r="Q100" i="5" s="1"/>
  <c r="R100" i="7"/>
  <c r="Q101" i="7" a="1"/>
  <c r="Q101" i="7" s="1"/>
  <c r="R100" i="5" l="1"/>
  <c r="S100" i="5" s="1"/>
  <c r="Q101" i="5" a="1"/>
  <c r="Q101" i="5" s="1"/>
  <c r="Q102" i="7" a="1"/>
  <c r="Q102" i="7" s="1"/>
  <c r="R101" i="7"/>
  <c r="R101" i="5" l="1"/>
  <c r="S101" i="5" s="1"/>
  <c r="Q102" i="5" a="1"/>
  <c r="Q102" i="5" s="1"/>
  <c r="R102" i="7"/>
  <c r="Q103" i="7" a="1"/>
  <c r="Q103" i="7" s="1"/>
  <c r="R102" i="5" l="1"/>
  <c r="S102" i="5" s="1"/>
  <c r="Q103" i="5" a="1"/>
  <c r="Q103" i="5" s="1"/>
  <c r="Q104" i="7" a="1"/>
  <c r="Q104" i="7" s="1"/>
  <c r="R103" i="7"/>
  <c r="R103" i="5" l="1"/>
  <c r="S103" i="5" s="1"/>
  <c r="Q104" i="5" a="1"/>
  <c r="Q104" i="5" s="1"/>
  <c r="Q105" i="7" a="1"/>
  <c r="Q105" i="7" s="1"/>
  <c r="R104" i="7"/>
  <c r="R104" i="5" l="1"/>
  <c r="S104" i="5" s="1"/>
  <c r="Q105" i="5" a="1"/>
  <c r="Q105" i="5" s="1"/>
  <c r="Q106" i="7" a="1"/>
  <c r="Q106" i="7" s="1"/>
  <c r="R105" i="7"/>
  <c r="R105" i="5" l="1"/>
  <c r="S105" i="5" s="1"/>
  <c r="Q106" i="5" a="1"/>
  <c r="Q106" i="5" s="1"/>
  <c r="Q107" i="7" a="1"/>
  <c r="Q107" i="7" s="1"/>
  <c r="R106" i="7"/>
  <c r="R106" i="5" l="1"/>
  <c r="S106" i="5" s="1"/>
  <c r="Q107" i="5" a="1"/>
  <c r="Q107" i="5" s="1"/>
  <c r="Q108" i="7" a="1"/>
  <c r="Q108" i="7" s="1"/>
  <c r="R107" i="7"/>
  <c r="R107" i="5" l="1"/>
  <c r="S107" i="5" s="1"/>
  <c r="Q108" i="5" a="1"/>
  <c r="Q108" i="5" s="1"/>
  <c r="Q109" i="7" a="1"/>
  <c r="Q109" i="7" s="1"/>
  <c r="R108" i="7"/>
  <c r="R108" i="5" l="1"/>
  <c r="S108" i="5" s="1"/>
  <c r="Q109" i="5" a="1"/>
  <c r="Q109" i="5" s="1"/>
  <c r="R109" i="7"/>
  <c r="Q110" i="7" a="1"/>
  <c r="Q110" i="7" s="1"/>
  <c r="R109" i="5" l="1"/>
  <c r="S109" i="5" s="1"/>
  <c r="Q110" i="5" a="1"/>
  <c r="Q110" i="5" s="1"/>
  <c r="Q111" i="7" a="1"/>
  <c r="Q111" i="7" s="1"/>
  <c r="R110" i="7"/>
  <c r="R110" i="5" l="1"/>
  <c r="S110" i="5" s="1"/>
  <c r="Q111" i="5" a="1"/>
  <c r="Q111" i="5" s="1"/>
  <c r="Q112" i="7" a="1"/>
  <c r="Q112" i="7" s="1"/>
  <c r="R111" i="7"/>
  <c r="R111" i="5" l="1"/>
  <c r="S111" i="5" s="1"/>
  <c r="Q112" i="5" a="1"/>
  <c r="Q112" i="5" s="1"/>
  <c r="Q113" i="7" a="1"/>
  <c r="Q113" i="7" s="1"/>
  <c r="R112" i="7"/>
  <c r="R112" i="5" l="1"/>
  <c r="S112" i="5" s="1"/>
  <c r="Q113" i="5" a="1"/>
  <c r="Q113" i="5" s="1"/>
  <c r="Q114" i="7" a="1"/>
  <c r="Q114" i="7" s="1"/>
  <c r="R113" i="7"/>
  <c r="R113" i="5" l="1"/>
  <c r="S113" i="5" s="1"/>
  <c r="Q114" i="5" a="1"/>
  <c r="Q114" i="5" s="1"/>
  <c r="Q115" i="7" a="1"/>
  <c r="Q115" i="7" s="1"/>
  <c r="R114" i="7"/>
  <c r="Q115" i="5" l="1" a="1"/>
  <c r="Q115" i="5" s="1"/>
  <c r="R114" i="5"/>
  <c r="S114" i="5" s="1"/>
  <c r="Q116" i="7" a="1"/>
  <c r="Q116" i="7" s="1"/>
  <c r="R115" i="7"/>
  <c r="Q116" i="5" l="1" a="1"/>
  <c r="Q116" i="5" s="1"/>
  <c r="Q117" i="5" s="1" a="1"/>
  <c r="R115" i="5"/>
  <c r="S115" i="5" s="1"/>
  <c r="R116" i="7"/>
  <c r="Q117" i="7" a="1"/>
  <c r="Q117" i="7" s="1"/>
  <c r="R116" i="5" l="1"/>
  <c r="S116" i="5" s="1"/>
  <c r="Q117" i="5"/>
  <c r="Q118" i="7" a="1"/>
  <c r="Q118" i="7" s="1"/>
  <c r="R117" i="7"/>
  <c r="R117" i="5" l="1"/>
  <c r="S117" i="5" s="1"/>
  <c r="Q118" i="5" a="1"/>
  <c r="Q118" i="5" s="1"/>
  <c r="Q119" i="7" a="1"/>
  <c r="Q119" i="7" s="1"/>
  <c r="R118" i="7"/>
  <c r="R118" i="5" l="1"/>
  <c r="S118" i="5" s="1"/>
  <c r="Q119" i="5" a="1"/>
  <c r="Q119" i="5" s="1"/>
  <c r="Q120" i="7" a="1"/>
  <c r="Q120" i="7" s="1"/>
  <c r="R119" i="7"/>
  <c r="R119" i="5" l="1"/>
  <c r="S119" i="5" s="1"/>
  <c r="Q120" i="5" a="1"/>
  <c r="Q120" i="5" s="1"/>
  <c r="Q121" i="7" a="1"/>
  <c r="Q121" i="7" s="1"/>
  <c r="R120" i="7"/>
  <c r="R120" i="5" l="1"/>
  <c r="S120" i="5" s="1"/>
  <c r="Q121" i="5" a="1"/>
  <c r="Q121" i="5" s="1"/>
  <c r="Q122" i="7" a="1"/>
  <c r="Q122" i="7" s="1"/>
  <c r="R121" i="7"/>
  <c r="R121" i="5" l="1"/>
  <c r="S121" i="5" s="1"/>
  <c r="Q122" i="5" a="1"/>
  <c r="Q122" i="5" s="1"/>
  <c r="Q123" i="7" a="1"/>
  <c r="Q123" i="7" s="1"/>
  <c r="R122" i="7"/>
  <c r="R122" i="5" l="1"/>
  <c r="S122" i="5" s="1"/>
  <c r="Q123" i="5" a="1"/>
  <c r="Q123" i="5" s="1"/>
  <c r="Q124" i="7" a="1"/>
  <c r="Q124" i="7" s="1"/>
  <c r="R123" i="7"/>
  <c r="R123" i="5" l="1"/>
  <c r="S123" i="5" s="1"/>
  <c r="Q124" i="5" a="1"/>
  <c r="Q124" i="5" s="1"/>
  <c r="Q125" i="7" a="1"/>
  <c r="Q125" i="7" s="1"/>
  <c r="R124" i="7"/>
  <c r="Q125" i="5" l="1" a="1"/>
  <c r="Q125" i="5" s="1"/>
  <c r="R124" i="5"/>
  <c r="S124" i="5" s="1"/>
  <c r="R125" i="7"/>
  <c r="Q126" i="7" a="1"/>
  <c r="Q126" i="7" s="1"/>
  <c r="Q126" i="5" l="1" a="1"/>
  <c r="Q126" i="5" s="1"/>
  <c r="Q127" i="5" s="1" a="1"/>
  <c r="R125" i="5"/>
  <c r="S125" i="5" s="1"/>
  <c r="Q127" i="7" a="1"/>
  <c r="Q127" i="7" s="1"/>
  <c r="R126" i="7"/>
  <c r="R126" i="5" l="1"/>
  <c r="S126" i="5" s="1"/>
  <c r="Q127" i="5"/>
  <c r="Q128" i="7" a="1"/>
  <c r="Q128" i="7" s="1"/>
  <c r="R127" i="7"/>
  <c r="R127" i="5" l="1"/>
  <c r="S127" i="5" s="1"/>
  <c r="Q128" i="5" a="1"/>
  <c r="Q128" i="5" s="1"/>
  <c r="R128" i="7"/>
  <c r="Q129" i="7" a="1"/>
  <c r="Q129" i="7" s="1"/>
  <c r="R128" i="5" l="1"/>
  <c r="S128" i="5" s="1"/>
  <c r="Q129" i="5" a="1"/>
  <c r="Q129" i="5" s="1"/>
  <c r="Q130" i="7" a="1"/>
  <c r="Q130" i="7" s="1"/>
  <c r="R129" i="7"/>
  <c r="R129" i="5" l="1"/>
  <c r="S129" i="5" s="1"/>
  <c r="Q130" i="5" a="1"/>
  <c r="Q130" i="5" s="1"/>
  <c r="Q131" i="7" a="1"/>
  <c r="Q131" i="7" s="1"/>
  <c r="R130" i="7"/>
  <c r="R130" i="5" l="1"/>
  <c r="S130" i="5" s="1"/>
  <c r="Q131" i="5" a="1"/>
  <c r="Q131" i="5" s="1"/>
  <c r="Q132" i="7" a="1"/>
  <c r="Q132" i="7" s="1"/>
  <c r="R131" i="7"/>
  <c r="R131" i="5" l="1"/>
  <c r="S131" i="5" s="1"/>
  <c r="Q132" i="5" a="1"/>
  <c r="Q132" i="5" s="1"/>
  <c r="R132" i="7"/>
  <c r="Q133" i="7" a="1"/>
  <c r="Q133" i="7" s="1"/>
  <c r="R132" i="5" l="1"/>
  <c r="S132" i="5" s="1"/>
  <c r="Q133" i="5" a="1"/>
  <c r="Q133" i="5" s="1"/>
  <c r="Q134" i="7" a="1"/>
  <c r="Q134" i="7" s="1"/>
  <c r="R133" i="7"/>
  <c r="R133" i="5" l="1"/>
  <c r="S133" i="5" s="1"/>
  <c r="Q134" i="5" a="1"/>
  <c r="Q134" i="5" s="1"/>
  <c r="R134" i="7"/>
  <c r="Q135" i="7" a="1"/>
  <c r="Q135" i="7" s="1"/>
  <c r="R134" i="5" l="1"/>
  <c r="S134" i="5" s="1"/>
  <c r="Q135" i="5" a="1"/>
  <c r="Q135" i="5" s="1"/>
  <c r="Q136" i="7" a="1"/>
  <c r="Q136" i="7" s="1"/>
  <c r="R135" i="7"/>
  <c r="R135" i="5" l="1"/>
  <c r="S135" i="5" s="1"/>
  <c r="Q136" i="5" a="1"/>
  <c r="Q136" i="5" s="1"/>
  <c r="Q137" i="7" a="1"/>
  <c r="Q137" i="7" s="1"/>
  <c r="R136" i="7"/>
  <c r="R136" i="5" l="1"/>
  <c r="S136" i="5" s="1"/>
  <c r="Q137" i="5" a="1"/>
  <c r="Q137" i="5" s="1"/>
  <c r="Q138" i="7" a="1"/>
  <c r="Q138" i="7" s="1"/>
  <c r="R137" i="7"/>
  <c r="R137" i="5" l="1"/>
  <c r="S137" i="5" s="1"/>
  <c r="Q138" i="5" a="1"/>
  <c r="Q138" i="5" s="1"/>
  <c r="R138" i="7"/>
  <c r="Q139" i="7" a="1"/>
  <c r="Q139" i="7" s="1"/>
  <c r="R138" i="5" l="1"/>
  <c r="S138" i="5" s="1"/>
  <c r="Q139" i="5" a="1"/>
  <c r="Q139" i="5" s="1"/>
  <c r="Q140" i="7" a="1"/>
  <c r="Q140" i="7" s="1"/>
  <c r="R139" i="7"/>
  <c r="R139" i="5" l="1"/>
  <c r="S139" i="5" s="1"/>
  <c r="Q140" i="5" a="1"/>
  <c r="Q140" i="5" s="1"/>
  <c r="R140" i="7"/>
  <c r="Q141" i="7" a="1"/>
  <c r="Q141" i="7" s="1"/>
  <c r="R140" i="5" l="1"/>
  <c r="S140" i="5" s="1"/>
  <c r="Q141" i="5" a="1"/>
  <c r="Q141" i="5" s="1"/>
  <c r="Q142" i="7" a="1"/>
  <c r="Q142" i="7" s="1"/>
  <c r="R141" i="7"/>
  <c r="R141" i="5" l="1"/>
  <c r="S141" i="5" s="1"/>
  <c r="Q142" i="5" a="1"/>
  <c r="Q142" i="5" s="1"/>
  <c r="Q143" i="7" a="1"/>
  <c r="Q143" i="7" s="1"/>
  <c r="R142" i="7"/>
  <c r="R142" i="5" l="1"/>
  <c r="S142" i="5" s="1"/>
  <c r="Q143" i="5" a="1"/>
  <c r="Q143" i="5" s="1"/>
  <c r="R143" i="7"/>
  <c r="Q144" i="7" a="1"/>
  <c r="Q144" i="7" s="1"/>
  <c r="R143" i="5" l="1"/>
  <c r="S143" i="5" s="1"/>
  <c r="Q144" i="5" a="1"/>
  <c r="Q144" i="5" s="1"/>
  <c r="Q145" i="7" a="1"/>
  <c r="Q145" i="7" s="1"/>
  <c r="R144" i="7"/>
  <c r="R144" i="5" l="1"/>
  <c r="S144" i="5" s="1"/>
  <c r="Q145" i="5" a="1"/>
  <c r="Q145" i="5" s="1"/>
  <c r="Q146" i="7" a="1"/>
  <c r="Q146" i="7" s="1"/>
  <c r="R145" i="7"/>
  <c r="R145" i="5" l="1"/>
  <c r="S145" i="5" s="1"/>
  <c r="Q146" i="5" a="1"/>
  <c r="Q146" i="5" s="1"/>
  <c r="Q147" i="7" a="1"/>
  <c r="Q147" i="7" s="1"/>
  <c r="R146" i="7"/>
  <c r="R146" i="5" l="1"/>
  <c r="S146" i="5" s="1"/>
  <c r="Q147" i="5" a="1"/>
  <c r="Q147" i="5" s="1"/>
  <c r="R147" i="7"/>
  <c r="Q148" i="7" a="1"/>
  <c r="Q148" i="7" s="1"/>
  <c r="R147" i="5" l="1"/>
  <c r="S147" i="5" s="1"/>
  <c r="Q148" i="5" a="1"/>
  <c r="Q148" i="5" s="1"/>
  <c r="Q149" i="7" a="1"/>
  <c r="Q149" i="7" s="1"/>
  <c r="R148" i="7"/>
  <c r="R148" i="5" l="1"/>
  <c r="S148" i="5" s="1"/>
  <c r="Q149" i="5" a="1"/>
  <c r="Q149" i="5" s="1"/>
  <c r="Q150" i="7" a="1"/>
  <c r="Q150" i="7" s="1"/>
  <c r="R149" i="7"/>
  <c r="R149" i="5" l="1"/>
  <c r="S149" i="5" s="1"/>
  <c r="Q150" i="5" a="1"/>
  <c r="Q150" i="5" s="1"/>
  <c r="Q151" i="7" a="1"/>
  <c r="Q151" i="7" s="1"/>
  <c r="R150" i="7"/>
  <c r="R150" i="5" l="1"/>
  <c r="S150" i="5" s="1"/>
  <c r="Q151" i="5" a="1"/>
  <c r="Q151" i="5" s="1"/>
  <c r="Q152" i="7" a="1"/>
  <c r="Q152" i="7" s="1"/>
  <c r="R151" i="7"/>
  <c r="R151" i="5" l="1"/>
  <c r="S151" i="5" s="1"/>
  <c r="Q152" i="5" a="1"/>
  <c r="Q152" i="5" s="1"/>
  <c r="R152" i="7"/>
  <c r="Q153" i="7" a="1"/>
  <c r="Q153" i="7" s="1"/>
  <c r="R152" i="5" l="1"/>
  <c r="Q153" i="5" a="1"/>
  <c r="Q153" i="5" s="1"/>
  <c r="Q154" i="7" a="1"/>
  <c r="Q154" i="7" s="1"/>
  <c r="R153" i="7"/>
  <c r="S152" i="5" l="1"/>
  <c r="R153" i="5"/>
  <c r="S153" i="5" s="1"/>
  <c r="Q154" i="5" a="1"/>
  <c r="Q154" i="5" s="1"/>
  <c r="Q155" i="7" a="1"/>
  <c r="Q155" i="7" s="1"/>
  <c r="R154" i="7"/>
  <c r="R154" i="5" l="1"/>
  <c r="Q155" i="5" a="1"/>
  <c r="Q155" i="5" s="1"/>
  <c r="R155" i="5" s="1"/>
  <c r="S155" i="5" s="1"/>
  <c r="Q156" i="7" a="1"/>
  <c r="Q156" i="7" s="1"/>
  <c r="R155" i="7"/>
  <c r="S69" i="5" l="1"/>
  <c r="S75" i="5"/>
  <c r="S58" i="5"/>
  <c r="S60" i="5"/>
  <c r="S50" i="5"/>
  <c r="S40" i="5"/>
  <c r="S32" i="5"/>
  <c r="S26" i="5"/>
  <c r="S19" i="5"/>
  <c r="S14" i="5"/>
  <c r="S9" i="5"/>
  <c r="S74" i="5"/>
  <c r="S48" i="5"/>
  <c r="S56" i="5"/>
  <c r="S49" i="5"/>
  <c r="S85" i="5"/>
  <c r="S31" i="5"/>
  <c r="S25" i="5"/>
  <c r="S20" i="5"/>
  <c r="S17" i="5"/>
  <c r="S15" i="5"/>
  <c r="S79" i="5"/>
  <c r="S71" i="5"/>
  <c r="S61" i="5"/>
  <c r="S52" i="5"/>
  <c r="S42" i="5"/>
  <c r="S34" i="5"/>
  <c r="S80" i="5"/>
  <c r="S72" i="5"/>
  <c r="S51" i="5"/>
  <c r="S77" i="5"/>
  <c r="S67" i="5"/>
  <c r="S57" i="5"/>
  <c r="S47" i="5"/>
  <c r="S38" i="5"/>
  <c r="S30" i="5"/>
  <c r="S23" i="5"/>
  <c r="S83" i="5"/>
  <c r="S62" i="5"/>
  <c r="S45" i="5"/>
  <c r="S37" i="5"/>
  <c r="S29" i="5"/>
  <c r="S21" i="5"/>
  <c r="S73" i="5"/>
  <c r="S65" i="5"/>
  <c r="S55" i="5"/>
  <c r="S44" i="5"/>
  <c r="S36" i="5"/>
  <c r="S28" i="5"/>
  <c r="S84" i="5"/>
  <c r="S81" i="5"/>
  <c r="S70" i="5"/>
  <c r="S63" i="5"/>
  <c r="S53" i="5"/>
  <c r="S41" i="5"/>
  <c r="S33" i="5"/>
  <c r="S87" i="5"/>
  <c r="S78" i="5"/>
  <c r="S68" i="5"/>
  <c r="S64" i="5"/>
  <c r="S54" i="5"/>
  <c r="S43" i="5"/>
  <c r="S35" i="5"/>
  <c r="S27" i="5"/>
  <c r="S22" i="5"/>
  <c r="S76" i="5"/>
  <c r="S66" i="5"/>
  <c r="S59" i="5"/>
  <c r="S46" i="5"/>
  <c r="S39" i="5"/>
  <c r="S82" i="5"/>
  <c r="S24" i="5"/>
  <c r="S18" i="5"/>
  <c r="S16" i="5"/>
  <c r="S86" i="5"/>
  <c r="S13" i="5"/>
  <c r="S7" i="5"/>
  <c r="S10" i="5"/>
  <c r="S11" i="5"/>
  <c r="S12" i="5"/>
  <c r="S6" i="5"/>
  <c r="S8" i="5"/>
  <c r="S154" i="5"/>
  <c r="Q157" i="7" a="1"/>
  <c r="Q157" i="7" s="1"/>
  <c r="R156" i="7"/>
  <c r="C35" i="5" l="1"/>
  <c r="C46" i="5"/>
  <c r="C59" i="5"/>
  <c r="C72" i="5"/>
  <c r="C83" i="5"/>
  <c r="C94" i="5"/>
  <c r="C95" i="5"/>
  <c r="C100" i="5"/>
  <c r="C101" i="5"/>
  <c r="C102" i="5"/>
  <c r="C103" i="5"/>
  <c r="C104" i="5"/>
  <c r="C105" i="5"/>
  <c r="C106" i="5"/>
  <c r="C107" i="5"/>
  <c r="C108" i="5"/>
  <c r="C109" i="5"/>
  <c r="C110" i="5"/>
  <c r="C111" i="5"/>
  <c r="C112" i="5"/>
  <c r="C113" i="5"/>
  <c r="C114" i="5"/>
  <c r="C115" i="5"/>
  <c r="C116" i="5"/>
  <c r="C117" i="5"/>
  <c r="C118" i="5"/>
  <c r="C119" i="5"/>
  <c r="C120" i="5"/>
  <c r="C130" i="5"/>
  <c r="C133" i="5"/>
  <c r="C48" i="5"/>
  <c r="C93" i="5"/>
  <c r="C36" i="5"/>
  <c r="C80" i="5"/>
  <c r="C19" i="5"/>
  <c r="C52" i="5"/>
  <c r="C85" i="5"/>
  <c r="C33" i="5"/>
  <c r="C65" i="5"/>
  <c r="C97" i="5"/>
  <c r="C39" i="5"/>
  <c r="C99" i="5"/>
  <c r="C34" i="5"/>
  <c r="C77" i="5"/>
  <c r="C16" i="5"/>
  <c r="C50" i="5"/>
  <c r="C90" i="5"/>
  <c r="C32" i="5"/>
  <c r="C76" i="5"/>
  <c r="C68" i="5"/>
  <c r="C64" i="5"/>
  <c r="C121" i="5"/>
  <c r="C122" i="5"/>
  <c r="C123" i="5"/>
  <c r="C124" i="5"/>
  <c r="C125" i="5"/>
  <c r="C126" i="5"/>
  <c r="C127" i="5"/>
  <c r="C128" i="5"/>
  <c r="C129" i="5"/>
  <c r="C131" i="5"/>
  <c r="C132" i="5"/>
  <c r="C134" i="5"/>
  <c r="C71" i="5"/>
  <c r="C25" i="5"/>
  <c r="C57" i="5"/>
  <c r="C8" i="5"/>
  <c r="C41" i="5"/>
  <c r="C74" i="5"/>
  <c r="C11" i="5"/>
  <c r="C54" i="5"/>
  <c r="C17" i="5"/>
  <c r="C49" i="5"/>
  <c r="C89" i="5"/>
  <c r="C23" i="5"/>
  <c r="C66" i="5"/>
  <c r="C27" i="5"/>
  <c r="C70" i="5"/>
  <c r="C10" i="5"/>
  <c r="C43" i="5"/>
  <c r="C86" i="5"/>
  <c r="C135" i="5"/>
  <c r="C136" i="5"/>
  <c r="C137" i="5"/>
  <c r="C138" i="5"/>
  <c r="C139" i="5"/>
  <c r="C140" i="5"/>
  <c r="C141" i="5"/>
  <c r="C142" i="5"/>
  <c r="C143" i="5"/>
  <c r="C144" i="5"/>
  <c r="C145" i="5"/>
  <c r="C146" i="5"/>
  <c r="C147" i="5"/>
  <c r="C148" i="5"/>
  <c r="C149" i="5"/>
  <c r="C150" i="5"/>
  <c r="C151" i="5"/>
  <c r="C152" i="5"/>
  <c r="C153" i="5"/>
  <c r="C154" i="5"/>
  <c r="C155" i="5"/>
  <c r="C9" i="5"/>
  <c r="C20" i="5"/>
  <c r="C31" i="5"/>
  <c r="C42" i="5"/>
  <c r="C53" i="5"/>
  <c r="C67" i="5"/>
  <c r="C79" i="5"/>
  <c r="C92" i="5"/>
  <c r="C15" i="5"/>
  <c r="C26" i="5"/>
  <c r="C37" i="5"/>
  <c r="C60" i="5"/>
  <c r="C82" i="5"/>
  <c r="C13" i="5"/>
  <c r="C47" i="5"/>
  <c r="C69" i="5"/>
  <c r="C91" i="5"/>
  <c r="C30" i="5"/>
  <c r="C63" i="5"/>
  <c r="C96" i="5"/>
  <c r="C22" i="5"/>
  <c r="C44" i="5"/>
  <c r="C75" i="5"/>
  <c r="C87" i="5"/>
  <c r="C28" i="5"/>
  <c r="C58" i="5"/>
  <c r="C78" i="5"/>
  <c r="C12" i="5"/>
  <c r="C45" i="5"/>
  <c r="C56" i="5"/>
  <c r="C88" i="5"/>
  <c r="C98" i="5"/>
  <c r="C38" i="5"/>
  <c r="C61" i="5"/>
  <c r="C81" i="5"/>
  <c r="C21" i="5"/>
  <c r="C55" i="5"/>
  <c r="C7" i="5"/>
  <c r="C18" i="5"/>
  <c r="C40" i="5"/>
  <c r="C51" i="5"/>
  <c r="C62" i="5"/>
  <c r="C73" i="5"/>
  <c r="C84" i="5"/>
  <c r="C6" i="5"/>
  <c r="C14" i="5"/>
  <c r="C24" i="5"/>
  <c r="C29" i="5"/>
  <c r="R157" i="7"/>
  <c r="Q158" i="7" a="1"/>
  <c r="Q158" i="7" s="1"/>
  <c r="A33" i="6" l="1"/>
  <c r="P35" i="5"/>
  <c r="O35" i="5"/>
  <c r="N35" i="5"/>
  <c r="M35" i="5"/>
  <c r="L35" i="5"/>
  <c r="K35" i="5"/>
  <c r="J35" i="5"/>
  <c r="I35" i="5"/>
  <c r="H35" i="5"/>
  <c r="G35" i="5"/>
  <c r="F35" i="5"/>
  <c r="D35" i="5"/>
  <c r="E35" i="5" s="1"/>
  <c r="A44" i="6"/>
  <c r="P46" i="5"/>
  <c r="O46" i="5"/>
  <c r="N46" i="5"/>
  <c r="M46" i="5"/>
  <c r="L46" i="5"/>
  <c r="K46" i="5"/>
  <c r="J46" i="5"/>
  <c r="I46" i="5"/>
  <c r="H46" i="5"/>
  <c r="G46" i="5"/>
  <c r="F46" i="5"/>
  <c r="D46" i="5"/>
  <c r="E46" i="5" s="1"/>
  <c r="A57" i="6"/>
  <c r="P59" i="5"/>
  <c r="O59" i="5"/>
  <c r="N59" i="5"/>
  <c r="M59" i="5"/>
  <c r="L59" i="5"/>
  <c r="K59" i="5"/>
  <c r="J59" i="5"/>
  <c r="I59" i="5"/>
  <c r="H59" i="5"/>
  <c r="G59" i="5"/>
  <c r="F59" i="5"/>
  <c r="D59" i="5"/>
  <c r="E59" i="5" s="1"/>
  <c r="A70" i="6"/>
  <c r="P72" i="5"/>
  <c r="O72" i="5"/>
  <c r="N72" i="5"/>
  <c r="M72" i="5"/>
  <c r="L72" i="5"/>
  <c r="K72" i="5"/>
  <c r="J72" i="5"/>
  <c r="I72" i="5"/>
  <c r="H72" i="5"/>
  <c r="G72" i="5"/>
  <c r="F72" i="5"/>
  <c r="D72" i="5"/>
  <c r="E72" i="5" s="1"/>
  <c r="A81" i="6"/>
  <c r="P83" i="5"/>
  <c r="O83" i="5"/>
  <c r="N83" i="5"/>
  <c r="M83" i="5"/>
  <c r="L83" i="5"/>
  <c r="K83" i="5"/>
  <c r="J83" i="5"/>
  <c r="I83" i="5"/>
  <c r="H83" i="5"/>
  <c r="G83" i="5"/>
  <c r="F83" i="5"/>
  <c r="D83" i="5"/>
  <c r="E83" i="5" s="1"/>
  <c r="A92" i="6"/>
  <c r="P94" i="5"/>
  <c r="O94" i="5"/>
  <c r="N94" i="5"/>
  <c r="M94" i="5"/>
  <c r="L94" i="5"/>
  <c r="K94" i="5"/>
  <c r="J94" i="5"/>
  <c r="I94" i="5"/>
  <c r="H94" i="5"/>
  <c r="G94" i="5"/>
  <c r="F94" i="5"/>
  <c r="E94" i="5"/>
  <c r="D94" i="5"/>
  <c r="P95" i="5"/>
  <c r="L95" i="5"/>
  <c r="I95" i="5"/>
  <c r="G95" i="5"/>
  <c r="F95" i="5"/>
  <c r="D95" i="5"/>
  <c r="A93" i="6"/>
  <c r="O95" i="5"/>
  <c r="N95" i="5"/>
  <c r="M95" i="5"/>
  <c r="K95" i="5"/>
  <c r="J95" i="5"/>
  <c r="H95" i="5"/>
  <c r="E95" i="5"/>
  <c r="A98" i="6"/>
  <c r="P100" i="5"/>
  <c r="O100" i="5"/>
  <c r="N100" i="5"/>
  <c r="M100" i="5"/>
  <c r="L100" i="5"/>
  <c r="K100" i="5"/>
  <c r="J100" i="5"/>
  <c r="I100" i="5"/>
  <c r="H100" i="5"/>
  <c r="G100" i="5"/>
  <c r="F100" i="5"/>
  <c r="E100" i="5"/>
  <c r="D100" i="5"/>
  <c r="A99" i="6"/>
  <c r="P101" i="5"/>
  <c r="O101" i="5"/>
  <c r="N101" i="5"/>
  <c r="M101" i="5"/>
  <c r="L101" i="5"/>
  <c r="K101" i="5"/>
  <c r="J101" i="5"/>
  <c r="I101" i="5"/>
  <c r="H101" i="5"/>
  <c r="G101" i="5"/>
  <c r="F101" i="5"/>
  <c r="E101" i="5"/>
  <c r="D101" i="5"/>
  <c r="A100" i="6"/>
  <c r="P102" i="5"/>
  <c r="O102" i="5"/>
  <c r="N102" i="5"/>
  <c r="M102" i="5"/>
  <c r="L102" i="5"/>
  <c r="K102" i="5"/>
  <c r="J102" i="5"/>
  <c r="I102" i="5"/>
  <c r="H102" i="5"/>
  <c r="G102" i="5"/>
  <c r="F102" i="5"/>
  <c r="E102" i="5"/>
  <c r="D102" i="5"/>
  <c r="A101" i="6"/>
  <c r="P103" i="5"/>
  <c r="O103" i="5"/>
  <c r="N103" i="5"/>
  <c r="M103" i="5"/>
  <c r="L103" i="5"/>
  <c r="K103" i="5"/>
  <c r="J103" i="5"/>
  <c r="I103" i="5"/>
  <c r="H103" i="5"/>
  <c r="G103" i="5"/>
  <c r="F103" i="5"/>
  <c r="E103" i="5"/>
  <c r="D103" i="5"/>
  <c r="A102" i="6"/>
  <c r="P104" i="5"/>
  <c r="O104" i="5"/>
  <c r="N104" i="5"/>
  <c r="M104" i="5"/>
  <c r="L104" i="5"/>
  <c r="K104" i="5"/>
  <c r="J104" i="5"/>
  <c r="I104" i="5"/>
  <c r="H104" i="5"/>
  <c r="G104" i="5"/>
  <c r="F104" i="5"/>
  <c r="E104" i="5"/>
  <c r="D104" i="5"/>
  <c r="A103" i="6"/>
  <c r="P105" i="5"/>
  <c r="O105" i="5"/>
  <c r="N105" i="5"/>
  <c r="M105" i="5"/>
  <c r="L105" i="5"/>
  <c r="K105" i="5"/>
  <c r="J105" i="5"/>
  <c r="I105" i="5"/>
  <c r="H105" i="5"/>
  <c r="G105" i="5"/>
  <c r="F105" i="5"/>
  <c r="E105" i="5"/>
  <c r="D105" i="5"/>
  <c r="A104" i="6"/>
  <c r="P106" i="5"/>
  <c r="O106" i="5"/>
  <c r="N106" i="5"/>
  <c r="M106" i="5"/>
  <c r="L106" i="5"/>
  <c r="K106" i="5"/>
  <c r="J106" i="5"/>
  <c r="I106" i="5"/>
  <c r="H106" i="5"/>
  <c r="G106" i="5"/>
  <c r="F106" i="5"/>
  <c r="E106" i="5"/>
  <c r="D106" i="5"/>
  <c r="A105" i="6"/>
  <c r="P107" i="5"/>
  <c r="O107" i="5"/>
  <c r="N107" i="5"/>
  <c r="M107" i="5"/>
  <c r="L107" i="5"/>
  <c r="K107" i="5"/>
  <c r="J107" i="5"/>
  <c r="I107" i="5"/>
  <c r="H107" i="5"/>
  <c r="G107" i="5"/>
  <c r="F107" i="5"/>
  <c r="E107" i="5"/>
  <c r="D107" i="5"/>
  <c r="A106" i="6"/>
  <c r="P108" i="5"/>
  <c r="O108" i="5"/>
  <c r="N108" i="5"/>
  <c r="M108" i="5"/>
  <c r="L108" i="5"/>
  <c r="K108" i="5"/>
  <c r="J108" i="5"/>
  <c r="I108" i="5"/>
  <c r="H108" i="5"/>
  <c r="G108" i="5"/>
  <c r="F108" i="5"/>
  <c r="E108" i="5"/>
  <c r="D108" i="5"/>
  <c r="A107" i="6"/>
  <c r="P109" i="5"/>
  <c r="O109" i="5"/>
  <c r="N109" i="5"/>
  <c r="M109" i="5"/>
  <c r="L109" i="5"/>
  <c r="K109" i="5"/>
  <c r="J109" i="5"/>
  <c r="I109" i="5"/>
  <c r="H109" i="5"/>
  <c r="G109" i="5"/>
  <c r="F109" i="5"/>
  <c r="E109" i="5"/>
  <c r="D109" i="5"/>
  <c r="A108" i="6"/>
  <c r="P110" i="5"/>
  <c r="O110" i="5"/>
  <c r="N110" i="5"/>
  <c r="M110" i="5"/>
  <c r="L110" i="5"/>
  <c r="K110" i="5"/>
  <c r="J110" i="5"/>
  <c r="I110" i="5"/>
  <c r="H110" i="5"/>
  <c r="G110" i="5"/>
  <c r="F110" i="5"/>
  <c r="E110" i="5"/>
  <c r="D110" i="5"/>
  <c r="A109" i="6"/>
  <c r="P111" i="5"/>
  <c r="O111" i="5"/>
  <c r="N111" i="5"/>
  <c r="M111" i="5"/>
  <c r="L111" i="5"/>
  <c r="K111" i="5"/>
  <c r="J111" i="5"/>
  <c r="I111" i="5"/>
  <c r="H111" i="5"/>
  <c r="G111" i="5"/>
  <c r="F111" i="5"/>
  <c r="E111" i="5"/>
  <c r="D111" i="5"/>
  <c r="A110" i="6"/>
  <c r="P112" i="5"/>
  <c r="O112" i="5"/>
  <c r="N112" i="5"/>
  <c r="M112" i="5"/>
  <c r="L112" i="5"/>
  <c r="K112" i="5"/>
  <c r="J112" i="5"/>
  <c r="I112" i="5"/>
  <c r="H112" i="5"/>
  <c r="G112" i="5"/>
  <c r="F112" i="5"/>
  <c r="E112" i="5"/>
  <c r="D112" i="5"/>
  <c r="A111" i="6"/>
  <c r="P113" i="5"/>
  <c r="O113" i="5"/>
  <c r="N113" i="5"/>
  <c r="M113" i="5"/>
  <c r="L113" i="5"/>
  <c r="K113" i="5"/>
  <c r="J113" i="5"/>
  <c r="I113" i="5"/>
  <c r="H113" i="5"/>
  <c r="G113" i="5"/>
  <c r="F113" i="5"/>
  <c r="E113" i="5"/>
  <c r="D113" i="5"/>
  <c r="A112" i="6"/>
  <c r="P114" i="5"/>
  <c r="O114" i="5"/>
  <c r="N114" i="5"/>
  <c r="M114" i="5"/>
  <c r="L114" i="5"/>
  <c r="K114" i="5"/>
  <c r="J114" i="5"/>
  <c r="I114" i="5"/>
  <c r="H114" i="5"/>
  <c r="G114" i="5"/>
  <c r="F114" i="5"/>
  <c r="E114" i="5"/>
  <c r="D114" i="5"/>
  <c r="A113" i="6"/>
  <c r="P115" i="5"/>
  <c r="O115" i="5"/>
  <c r="N115" i="5"/>
  <c r="M115" i="5"/>
  <c r="L115" i="5"/>
  <c r="K115" i="5"/>
  <c r="J115" i="5"/>
  <c r="I115" i="5"/>
  <c r="H115" i="5"/>
  <c r="G115" i="5"/>
  <c r="F115" i="5"/>
  <c r="E115" i="5"/>
  <c r="D115" i="5"/>
  <c r="A114" i="6"/>
  <c r="P116" i="5"/>
  <c r="O116" i="5"/>
  <c r="N116" i="5"/>
  <c r="M116" i="5"/>
  <c r="L116" i="5"/>
  <c r="K116" i="5"/>
  <c r="J116" i="5"/>
  <c r="I116" i="5"/>
  <c r="H116" i="5"/>
  <c r="G116" i="5"/>
  <c r="F116" i="5"/>
  <c r="E116" i="5"/>
  <c r="D116" i="5"/>
  <c r="A115" i="6"/>
  <c r="P117" i="5"/>
  <c r="O117" i="5"/>
  <c r="N117" i="5"/>
  <c r="M117" i="5"/>
  <c r="L117" i="5"/>
  <c r="K117" i="5"/>
  <c r="J117" i="5"/>
  <c r="I117" i="5"/>
  <c r="H117" i="5"/>
  <c r="G117" i="5"/>
  <c r="F117" i="5"/>
  <c r="E117" i="5"/>
  <c r="D117" i="5"/>
  <c r="A116" i="6"/>
  <c r="P118" i="5"/>
  <c r="O118" i="5"/>
  <c r="N118" i="5"/>
  <c r="M118" i="5"/>
  <c r="L118" i="5"/>
  <c r="K118" i="5"/>
  <c r="J118" i="5"/>
  <c r="I118" i="5"/>
  <c r="H118" i="5"/>
  <c r="G118" i="5"/>
  <c r="F118" i="5"/>
  <c r="E118" i="5"/>
  <c r="D118" i="5"/>
  <c r="A117" i="6"/>
  <c r="P119" i="5"/>
  <c r="O119" i="5"/>
  <c r="N119" i="5"/>
  <c r="M119" i="5"/>
  <c r="L119" i="5"/>
  <c r="K119" i="5"/>
  <c r="J119" i="5"/>
  <c r="I119" i="5"/>
  <c r="H119" i="5"/>
  <c r="G119" i="5"/>
  <c r="F119" i="5"/>
  <c r="E119" i="5"/>
  <c r="D119" i="5"/>
  <c r="P120" i="5"/>
  <c r="J120" i="5"/>
  <c r="I120" i="5"/>
  <c r="H120" i="5"/>
  <c r="G120" i="5"/>
  <c r="F120" i="5"/>
  <c r="E120" i="5"/>
  <c r="D120" i="5"/>
  <c r="A118" i="6"/>
  <c r="O120" i="5"/>
  <c r="N120" i="5"/>
  <c r="M120" i="5"/>
  <c r="L120" i="5"/>
  <c r="K120" i="5"/>
  <c r="A128" i="6"/>
  <c r="P130" i="5"/>
  <c r="O130" i="5"/>
  <c r="N130" i="5"/>
  <c r="M130" i="5"/>
  <c r="L130" i="5"/>
  <c r="K130" i="5"/>
  <c r="J130" i="5"/>
  <c r="I130" i="5"/>
  <c r="H130" i="5"/>
  <c r="G130" i="5"/>
  <c r="F130" i="5"/>
  <c r="E130" i="5"/>
  <c r="D130" i="5"/>
  <c r="A131" i="6"/>
  <c r="P133" i="5"/>
  <c r="O133" i="5"/>
  <c r="N133" i="5"/>
  <c r="M133" i="5"/>
  <c r="L133" i="5"/>
  <c r="K133" i="5"/>
  <c r="J133" i="5"/>
  <c r="I133" i="5"/>
  <c r="H133" i="5"/>
  <c r="G133" i="5"/>
  <c r="F133" i="5"/>
  <c r="E133" i="5"/>
  <c r="D133" i="5"/>
  <c r="A46" i="6"/>
  <c r="P48" i="5"/>
  <c r="O48" i="5"/>
  <c r="N48" i="5"/>
  <c r="M48" i="5"/>
  <c r="L48" i="5"/>
  <c r="K48" i="5"/>
  <c r="J48" i="5"/>
  <c r="I48" i="5"/>
  <c r="H48" i="5"/>
  <c r="G48" i="5"/>
  <c r="F48" i="5"/>
  <c r="D48" i="5"/>
  <c r="E48" i="5" s="1"/>
  <c r="A91" i="6"/>
  <c r="P93" i="5"/>
  <c r="O93" i="5"/>
  <c r="N93" i="5"/>
  <c r="M93" i="5"/>
  <c r="L93" i="5"/>
  <c r="K93" i="5"/>
  <c r="J93" i="5"/>
  <c r="I93" i="5"/>
  <c r="H93" i="5"/>
  <c r="G93" i="5"/>
  <c r="F93" i="5"/>
  <c r="E93" i="5"/>
  <c r="D93" i="5"/>
  <c r="A34" i="6"/>
  <c r="N36" i="5"/>
  <c r="K36" i="5"/>
  <c r="I36" i="5"/>
  <c r="F36" i="5"/>
  <c r="M36" i="5"/>
  <c r="J36" i="5"/>
  <c r="G36" i="5"/>
  <c r="D36" i="5"/>
  <c r="E36" i="5" s="1"/>
  <c r="P36" i="5"/>
  <c r="O36" i="5"/>
  <c r="L36" i="5"/>
  <c r="H36" i="5"/>
  <c r="P80" i="5"/>
  <c r="M80" i="5"/>
  <c r="H80" i="5"/>
  <c r="A78" i="6"/>
  <c r="K80" i="5"/>
  <c r="I80" i="5"/>
  <c r="F80" i="5"/>
  <c r="L80" i="5"/>
  <c r="J80" i="5"/>
  <c r="G80" i="5"/>
  <c r="D80" i="5"/>
  <c r="E80" i="5" s="1"/>
  <c r="N80" i="5"/>
  <c r="O80" i="5"/>
  <c r="A17" i="6"/>
  <c r="P19" i="5"/>
  <c r="O19" i="5"/>
  <c r="N19" i="5"/>
  <c r="M19" i="5"/>
  <c r="L19" i="5"/>
  <c r="K19" i="5"/>
  <c r="J19" i="5"/>
  <c r="I19" i="5"/>
  <c r="H19" i="5"/>
  <c r="G19" i="5"/>
  <c r="F19" i="5"/>
  <c r="D19" i="5"/>
  <c r="E19" i="5" s="1"/>
  <c r="A50" i="6"/>
  <c r="P52" i="5"/>
  <c r="O52" i="5"/>
  <c r="N52" i="5"/>
  <c r="M52" i="5"/>
  <c r="L52" i="5"/>
  <c r="K52" i="5"/>
  <c r="J52" i="5"/>
  <c r="I52" i="5"/>
  <c r="H52" i="5"/>
  <c r="G52" i="5"/>
  <c r="F52" i="5"/>
  <c r="D52" i="5"/>
  <c r="E52" i="5" s="1"/>
  <c r="A83" i="6"/>
  <c r="P85" i="5"/>
  <c r="O85" i="5"/>
  <c r="N85" i="5"/>
  <c r="M85" i="5"/>
  <c r="L85" i="5"/>
  <c r="K85" i="5"/>
  <c r="J85" i="5"/>
  <c r="I85" i="5"/>
  <c r="H85" i="5"/>
  <c r="G85" i="5"/>
  <c r="F85" i="5"/>
  <c r="D85" i="5"/>
  <c r="E85" i="5" s="1"/>
  <c r="N33" i="5"/>
  <c r="M33" i="5"/>
  <c r="L33" i="5"/>
  <c r="K33" i="5"/>
  <c r="J33" i="5"/>
  <c r="I33" i="5"/>
  <c r="H33" i="5"/>
  <c r="G33" i="5"/>
  <c r="F33" i="5"/>
  <c r="D33" i="5"/>
  <c r="E33" i="5" s="1"/>
  <c r="O33" i="5"/>
  <c r="P33" i="5"/>
  <c r="A31" i="6"/>
  <c r="A63" i="6"/>
  <c r="P65" i="5"/>
  <c r="O65" i="5"/>
  <c r="N65" i="5"/>
  <c r="M65" i="5"/>
  <c r="L65" i="5"/>
  <c r="K65" i="5"/>
  <c r="J65" i="5"/>
  <c r="I65" i="5"/>
  <c r="H65" i="5"/>
  <c r="G65" i="5"/>
  <c r="F65" i="5"/>
  <c r="D65" i="5"/>
  <c r="E65" i="5" s="1"/>
  <c r="A95" i="6"/>
  <c r="P97" i="5"/>
  <c r="O97" i="5"/>
  <c r="N97" i="5"/>
  <c r="M97" i="5"/>
  <c r="L97" i="5"/>
  <c r="K97" i="5"/>
  <c r="J97" i="5"/>
  <c r="I97" i="5"/>
  <c r="H97" i="5"/>
  <c r="G97" i="5"/>
  <c r="F97" i="5"/>
  <c r="E97" i="5"/>
  <c r="D97" i="5"/>
  <c r="A37" i="6"/>
  <c r="P39" i="5"/>
  <c r="O39" i="5"/>
  <c r="N39" i="5"/>
  <c r="M39" i="5"/>
  <c r="L39" i="5"/>
  <c r="K39" i="5"/>
  <c r="J39" i="5"/>
  <c r="I39" i="5"/>
  <c r="H39" i="5"/>
  <c r="G39" i="5"/>
  <c r="F39" i="5"/>
  <c r="D39" i="5"/>
  <c r="E39" i="5" s="1"/>
  <c r="A97" i="6"/>
  <c r="P99" i="5"/>
  <c r="O99" i="5"/>
  <c r="N99" i="5"/>
  <c r="M99" i="5"/>
  <c r="L99" i="5"/>
  <c r="K99" i="5"/>
  <c r="J99" i="5"/>
  <c r="I99" i="5"/>
  <c r="H99" i="5"/>
  <c r="G99" i="5"/>
  <c r="F99" i="5"/>
  <c r="E99" i="5"/>
  <c r="D99" i="5"/>
  <c r="A32" i="6"/>
  <c r="P34" i="5"/>
  <c r="O34" i="5"/>
  <c r="N34" i="5"/>
  <c r="M34" i="5"/>
  <c r="L34" i="5"/>
  <c r="K34" i="5"/>
  <c r="J34" i="5"/>
  <c r="I34" i="5"/>
  <c r="H34" i="5"/>
  <c r="G34" i="5"/>
  <c r="F34" i="5"/>
  <c r="D34" i="5"/>
  <c r="E34" i="5" s="1"/>
  <c r="A75" i="6"/>
  <c r="P77" i="5"/>
  <c r="O77" i="5"/>
  <c r="N77" i="5"/>
  <c r="M77" i="5"/>
  <c r="L77" i="5"/>
  <c r="K77" i="5"/>
  <c r="J77" i="5"/>
  <c r="I77" i="5"/>
  <c r="H77" i="5"/>
  <c r="G77" i="5"/>
  <c r="F77" i="5"/>
  <c r="D77" i="5"/>
  <c r="E77" i="5" s="1"/>
  <c r="A14" i="6"/>
  <c r="P16" i="5"/>
  <c r="O16" i="5"/>
  <c r="N16" i="5"/>
  <c r="M16" i="5"/>
  <c r="L16" i="5"/>
  <c r="K16" i="5"/>
  <c r="J16" i="5"/>
  <c r="I16" i="5"/>
  <c r="H16" i="5"/>
  <c r="G16" i="5"/>
  <c r="F16" i="5"/>
  <c r="D16" i="5"/>
  <c r="E16" i="5" s="1"/>
  <c r="A48" i="6"/>
  <c r="P50" i="5"/>
  <c r="O50" i="5"/>
  <c r="N50" i="5"/>
  <c r="M50" i="5"/>
  <c r="L50" i="5"/>
  <c r="K50" i="5"/>
  <c r="J50" i="5"/>
  <c r="I50" i="5"/>
  <c r="H50" i="5"/>
  <c r="G50" i="5"/>
  <c r="F50" i="5"/>
  <c r="D50" i="5"/>
  <c r="E50" i="5" s="1"/>
  <c r="A88" i="6"/>
  <c r="P90" i="5"/>
  <c r="O90" i="5"/>
  <c r="N90" i="5"/>
  <c r="M90" i="5"/>
  <c r="L90" i="5"/>
  <c r="K90" i="5"/>
  <c r="J90" i="5"/>
  <c r="I90" i="5"/>
  <c r="H90" i="5"/>
  <c r="G90" i="5"/>
  <c r="F90" i="5"/>
  <c r="E90" i="5"/>
  <c r="D90" i="5"/>
  <c r="A30" i="6"/>
  <c r="P32" i="5"/>
  <c r="O32" i="5"/>
  <c r="N32" i="5"/>
  <c r="M32" i="5"/>
  <c r="L32" i="5"/>
  <c r="K32" i="5"/>
  <c r="J32" i="5"/>
  <c r="I32" i="5"/>
  <c r="H32" i="5"/>
  <c r="G32" i="5"/>
  <c r="F32" i="5"/>
  <c r="D32" i="5"/>
  <c r="E32" i="5" s="1"/>
  <c r="A74" i="6"/>
  <c r="P76" i="5"/>
  <c r="O76" i="5"/>
  <c r="N76" i="5"/>
  <c r="M76" i="5"/>
  <c r="L76" i="5"/>
  <c r="K76" i="5"/>
  <c r="J76" i="5"/>
  <c r="I76" i="5"/>
  <c r="H76" i="5"/>
  <c r="G76" i="5"/>
  <c r="F76" i="5"/>
  <c r="D76" i="5"/>
  <c r="E76" i="5" s="1"/>
  <c r="A66" i="6"/>
  <c r="P68" i="5"/>
  <c r="O68" i="5"/>
  <c r="N68" i="5"/>
  <c r="M68" i="5"/>
  <c r="L68" i="5"/>
  <c r="K68" i="5"/>
  <c r="J68" i="5"/>
  <c r="I68" i="5"/>
  <c r="H68" i="5"/>
  <c r="G68" i="5"/>
  <c r="F68" i="5"/>
  <c r="D68" i="5"/>
  <c r="E68" i="5" s="1"/>
  <c r="A62" i="6"/>
  <c r="P64" i="5"/>
  <c r="O64" i="5"/>
  <c r="N64" i="5"/>
  <c r="M64" i="5"/>
  <c r="L64" i="5"/>
  <c r="K64" i="5"/>
  <c r="J64" i="5"/>
  <c r="I64" i="5"/>
  <c r="H64" i="5"/>
  <c r="G64" i="5"/>
  <c r="F64" i="5"/>
  <c r="D64" i="5"/>
  <c r="E64" i="5" s="1"/>
  <c r="A119" i="6"/>
  <c r="O121" i="5"/>
  <c r="M121" i="5"/>
  <c r="L121" i="5"/>
  <c r="J121" i="5"/>
  <c r="I121" i="5"/>
  <c r="G121" i="5"/>
  <c r="E121" i="5"/>
  <c r="D121" i="5"/>
  <c r="P121" i="5"/>
  <c r="N121" i="5"/>
  <c r="K121" i="5"/>
  <c r="H121" i="5"/>
  <c r="F121" i="5"/>
  <c r="P122" i="5"/>
  <c r="N122" i="5"/>
  <c r="L122" i="5"/>
  <c r="J122" i="5"/>
  <c r="H122" i="5"/>
  <c r="F122" i="5"/>
  <c r="A120" i="6"/>
  <c r="O122" i="5"/>
  <c r="M122" i="5"/>
  <c r="K122" i="5"/>
  <c r="I122" i="5"/>
  <c r="G122" i="5"/>
  <c r="E122" i="5"/>
  <c r="D122" i="5"/>
  <c r="P123" i="5"/>
  <c r="N123" i="5"/>
  <c r="L123" i="5"/>
  <c r="J123" i="5"/>
  <c r="H123" i="5"/>
  <c r="F123" i="5"/>
  <c r="E123" i="5"/>
  <c r="D123" i="5"/>
  <c r="A121" i="6"/>
  <c r="O123" i="5"/>
  <c r="M123" i="5"/>
  <c r="K123" i="5"/>
  <c r="I123" i="5"/>
  <c r="G123" i="5"/>
  <c r="A122" i="6"/>
  <c r="O124" i="5"/>
  <c r="M124" i="5"/>
  <c r="J124" i="5"/>
  <c r="H124" i="5"/>
  <c r="F124" i="5"/>
  <c r="E124" i="5"/>
  <c r="D124" i="5"/>
  <c r="P124" i="5"/>
  <c r="N124" i="5"/>
  <c r="L124" i="5"/>
  <c r="K124" i="5"/>
  <c r="I124" i="5"/>
  <c r="G124" i="5"/>
  <c r="P125" i="5"/>
  <c r="N125" i="5"/>
  <c r="L125" i="5"/>
  <c r="I125" i="5"/>
  <c r="F125" i="5"/>
  <c r="A123" i="6"/>
  <c r="O125" i="5"/>
  <c r="M125" i="5"/>
  <c r="K125" i="5"/>
  <c r="J125" i="5"/>
  <c r="H125" i="5"/>
  <c r="G125" i="5"/>
  <c r="E125" i="5"/>
  <c r="D125" i="5"/>
  <c r="P126" i="5"/>
  <c r="N126" i="5"/>
  <c r="L126" i="5"/>
  <c r="J126" i="5"/>
  <c r="G126" i="5"/>
  <c r="E126" i="5"/>
  <c r="D126" i="5"/>
  <c r="A124" i="6"/>
  <c r="O126" i="5"/>
  <c r="M126" i="5"/>
  <c r="K126" i="5"/>
  <c r="I126" i="5"/>
  <c r="H126" i="5"/>
  <c r="F126" i="5"/>
  <c r="A125" i="6"/>
  <c r="P127" i="5"/>
  <c r="O127" i="5"/>
  <c r="N127" i="5"/>
  <c r="M127" i="5"/>
  <c r="L127" i="5"/>
  <c r="K127" i="5"/>
  <c r="J127" i="5"/>
  <c r="I127" i="5"/>
  <c r="G127" i="5"/>
  <c r="E127" i="5"/>
  <c r="D127" i="5"/>
  <c r="H127" i="5"/>
  <c r="F127" i="5"/>
  <c r="A126" i="6"/>
  <c r="P128" i="5"/>
  <c r="O128" i="5"/>
  <c r="N128" i="5"/>
  <c r="M128" i="5"/>
  <c r="L128" i="5"/>
  <c r="K128" i="5"/>
  <c r="J128" i="5"/>
  <c r="I128" i="5"/>
  <c r="H128" i="5"/>
  <c r="G128" i="5"/>
  <c r="F128" i="5"/>
  <c r="E128" i="5"/>
  <c r="D128" i="5"/>
  <c r="A127" i="6"/>
  <c r="P129" i="5"/>
  <c r="O129" i="5"/>
  <c r="N129" i="5"/>
  <c r="M129" i="5"/>
  <c r="L129" i="5"/>
  <c r="K129" i="5"/>
  <c r="J129" i="5"/>
  <c r="I129" i="5"/>
  <c r="H129" i="5"/>
  <c r="G129" i="5"/>
  <c r="F129" i="5"/>
  <c r="E129" i="5"/>
  <c r="D129" i="5"/>
  <c r="A129" i="6"/>
  <c r="P131" i="5"/>
  <c r="O131" i="5"/>
  <c r="N131" i="5"/>
  <c r="M131" i="5"/>
  <c r="L131" i="5"/>
  <c r="K131" i="5"/>
  <c r="J131" i="5"/>
  <c r="I131" i="5"/>
  <c r="H131" i="5"/>
  <c r="G131" i="5"/>
  <c r="F131" i="5"/>
  <c r="E131" i="5"/>
  <c r="D131" i="5"/>
  <c r="A130" i="6"/>
  <c r="P132" i="5"/>
  <c r="O132" i="5"/>
  <c r="N132" i="5"/>
  <c r="M132" i="5"/>
  <c r="L132" i="5"/>
  <c r="K132" i="5"/>
  <c r="J132" i="5"/>
  <c r="I132" i="5"/>
  <c r="H132" i="5"/>
  <c r="G132" i="5"/>
  <c r="F132" i="5"/>
  <c r="E132" i="5"/>
  <c r="D132" i="5"/>
  <c r="A132" i="6"/>
  <c r="P134" i="5"/>
  <c r="O134" i="5"/>
  <c r="N134" i="5"/>
  <c r="M134" i="5"/>
  <c r="L134" i="5"/>
  <c r="K134" i="5"/>
  <c r="J134" i="5"/>
  <c r="I134" i="5"/>
  <c r="H134" i="5"/>
  <c r="G134" i="5"/>
  <c r="F134" i="5"/>
  <c r="E134" i="5"/>
  <c r="D134" i="5"/>
  <c r="A69" i="6"/>
  <c r="P71" i="5"/>
  <c r="O71" i="5"/>
  <c r="N71" i="5"/>
  <c r="M71" i="5"/>
  <c r="L71" i="5"/>
  <c r="K71" i="5"/>
  <c r="J71" i="5"/>
  <c r="I71" i="5"/>
  <c r="H71" i="5"/>
  <c r="G71" i="5"/>
  <c r="F71" i="5"/>
  <c r="D71" i="5"/>
  <c r="E71" i="5" s="1"/>
  <c r="O25" i="5"/>
  <c r="M25" i="5"/>
  <c r="I25" i="5"/>
  <c r="F25" i="5"/>
  <c r="P25" i="5"/>
  <c r="L25" i="5"/>
  <c r="K25" i="5"/>
  <c r="H25" i="5"/>
  <c r="D25" i="5"/>
  <c r="E25" i="5" s="1"/>
  <c r="A23" i="6"/>
  <c r="N25" i="5"/>
  <c r="J25" i="5"/>
  <c r="G25" i="5"/>
  <c r="P57" i="5"/>
  <c r="N57" i="5"/>
  <c r="K57" i="5"/>
  <c r="G57" i="5"/>
  <c r="F57" i="5"/>
  <c r="A55" i="6"/>
  <c r="M57" i="5"/>
  <c r="J57" i="5"/>
  <c r="H57" i="5"/>
  <c r="D57" i="5"/>
  <c r="E57" i="5" s="1"/>
  <c r="O57" i="5"/>
  <c r="L57" i="5"/>
  <c r="I57" i="5"/>
  <c r="A6" i="6"/>
  <c r="P8" i="5"/>
  <c r="O8" i="5"/>
  <c r="N8" i="5"/>
  <c r="M8" i="5"/>
  <c r="L8" i="5"/>
  <c r="K8" i="5"/>
  <c r="J8" i="5"/>
  <c r="I8" i="5"/>
  <c r="H8" i="5"/>
  <c r="G8" i="5"/>
  <c r="F8" i="5"/>
  <c r="D8" i="5"/>
  <c r="E8" i="5" s="1"/>
  <c r="A39" i="6"/>
  <c r="P41" i="5"/>
  <c r="O41" i="5"/>
  <c r="N41" i="5"/>
  <c r="M41" i="5"/>
  <c r="L41" i="5"/>
  <c r="K41" i="5"/>
  <c r="J41" i="5"/>
  <c r="I41" i="5"/>
  <c r="H41" i="5"/>
  <c r="G41" i="5"/>
  <c r="F41" i="5"/>
  <c r="D41" i="5"/>
  <c r="E41" i="5" s="1"/>
  <c r="A72" i="6"/>
  <c r="P74" i="5"/>
  <c r="O74" i="5"/>
  <c r="N74" i="5"/>
  <c r="M74" i="5"/>
  <c r="L74" i="5"/>
  <c r="K74" i="5"/>
  <c r="J74" i="5"/>
  <c r="I74" i="5"/>
  <c r="H74" i="5"/>
  <c r="G74" i="5"/>
  <c r="F74" i="5"/>
  <c r="D74" i="5"/>
  <c r="E74" i="5" s="1"/>
  <c r="A9" i="6"/>
  <c r="P11" i="5"/>
  <c r="O11" i="5"/>
  <c r="N11" i="5"/>
  <c r="M11" i="5"/>
  <c r="L11" i="5"/>
  <c r="K11" i="5"/>
  <c r="J11" i="5"/>
  <c r="I11" i="5"/>
  <c r="H11" i="5"/>
  <c r="G11" i="5"/>
  <c r="F11" i="5"/>
  <c r="D11" i="5"/>
  <c r="E11" i="5" s="1"/>
  <c r="A52" i="6"/>
  <c r="P54" i="5"/>
  <c r="O54" i="5"/>
  <c r="N54" i="5"/>
  <c r="M54" i="5"/>
  <c r="L54" i="5"/>
  <c r="K54" i="5"/>
  <c r="J54" i="5"/>
  <c r="I54" i="5"/>
  <c r="H54" i="5"/>
  <c r="G54" i="5"/>
  <c r="F54" i="5"/>
  <c r="D54" i="5"/>
  <c r="E54" i="5" s="1"/>
  <c r="A15" i="6"/>
  <c r="P17" i="5"/>
  <c r="O17" i="5"/>
  <c r="N17" i="5"/>
  <c r="M17" i="5"/>
  <c r="L17" i="5"/>
  <c r="K17" i="5"/>
  <c r="J17" i="5"/>
  <c r="I17" i="5"/>
  <c r="H17" i="5"/>
  <c r="G17" i="5"/>
  <c r="F17" i="5"/>
  <c r="D17" i="5"/>
  <c r="E17" i="5" s="1"/>
  <c r="A47" i="6"/>
  <c r="P49" i="5"/>
  <c r="O49" i="5"/>
  <c r="N49" i="5"/>
  <c r="M49" i="5"/>
  <c r="L49" i="5"/>
  <c r="K49" i="5"/>
  <c r="J49" i="5"/>
  <c r="I49" i="5"/>
  <c r="H49" i="5"/>
  <c r="G49" i="5"/>
  <c r="F49" i="5"/>
  <c r="D49" i="5"/>
  <c r="E49" i="5" s="1"/>
  <c r="A87" i="6"/>
  <c r="P89" i="5"/>
  <c r="O89" i="5"/>
  <c r="N89" i="5"/>
  <c r="M89" i="5"/>
  <c r="L89" i="5"/>
  <c r="K89" i="5"/>
  <c r="J89" i="5"/>
  <c r="I89" i="5"/>
  <c r="H89" i="5"/>
  <c r="G89" i="5"/>
  <c r="F89" i="5"/>
  <c r="E89" i="5"/>
  <c r="D89" i="5"/>
  <c r="A21" i="6"/>
  <c r="P23" i="5"/>
  <c r="O23" i="5"/>
  <c r="N23" i="5"/>
  <c r="M23" i="5"/>
  <c r="L23" i="5"/>
  <c r="K23" i="5"/>
  <c r="J23" i="5"/>
  <c r="I23" i="5"/>
  <c r="H23" i="5"/>
  <c r="G23" i="5"/>
  <c r="F23" i="5"/>
  <c r="D23" i="5"/>
  <c r="E23" i="5" s="1"/>
  <c r="A64" i="6"/>
  <c r="P66" i="5"/>
  <c r="O66" i="5"/>
  <c r="N66" i="5"/>
  <c r="M66" i="5"/>
  <c r="L66" i="5"/>
  <c r="K66" i="5"/>
  <c r="J66" i="5"/>
  <c r="I66" i="5"/>
  <c r="H66" i="5"/>
  <c r="G66" i="5"/>
  <c r="F66" i="5"/>
  <c r="D66" i="5"/>
  <c r="E66" i="5" s="1"/>
  <c r="A25" i="6"/>
  <c r="P27" i="5"/>
  <c r="O27" i="5"/>
  <c r="N27" i="5"/>
  <c r="M27" i="5"/>
  <c r="L27" i="5"/>
  <c r="K27" i="5"/>
  <c r="J27" i="5"/>
  <c r="I27" i="5"/>
  <c r="H27" i="5"/>
  <c r="G27" i="5"/>
  <c r="F27" i="5"/>
  <c r="D27" i="5"/>
  <c r="E27" i="5" s="1"/>
  <c r="A68" i="6"/>
  <c r="P70" i="5"/>
  <c r="O70" i="5"/>
  <c r="N70" i="5"/>
  <c r="M70" i="5"/>
  <c r="L70" i="5"/>
  <c r="K70" i="5"/>
  <c r="J70" i="5"/>
  <c r="I70" i="5"/>
  <c r="H70" i="5"/>
  <c r="G70" i="5"/>
  <c r="F70" i="5"/>
  <c r="D70" i="5"/>
  <c r="E70" i="5" s="1"/>
  <c r="A8" i="6"/>
  <c r="P10" i="5"/>
  <c r="O10" i="5"/>
  <c r="N10" i="5"/>
  <c r="M10" i="5"/>
  <c r="L10" i="5"/>
  <c r="K10" i="5"/>
  <c r="J10" i="5"/>
  <c r="I10" i="5"/>
  <c r="H10" i="5"/>
  <c r="G10" i="5"/>
  <c r="F10" i="5"/>
  <c r="D10" i="5"/>
  <c r="E10" i="5" s="1"/>
  <c r="A41" i="6"/>
  <c r="P43" i="5"/>
  <c r="O43" i="5"/>
  <c r="N43" i="5"/>
  <c r="M43" i="5"/>
  <c r="L43" i="5"/>
  <c r="K43" i="5"/>
  <c r="J43" i="5"/>
  <c r="I43" i="5"/>
  <c r="H43" i="5"/>
  <c r="G43" i="5"/>
  <c r="F43" i="5"/>
  <c r="D43" i="5"/>
  <c r="E43" i="5" s="1"/>
  <c r="K86" i="5"/>
  <c r="J86" i="5"/>
  <c r="I86" i="5"/>
  <c r="H86" i="5"/>
  <c r="G86" i="5"/>
  <c r="F86" i="5"/>
  <c r="D86" i="5"/>
  <c r="E86" i="5" s="1"/>
  <c r="A84" i="6"/>
  <c r="P86" i="5"/>
  <c r="O86" i="5"/>
  <c r="N86" i="5"/>
  <c r="M86" i="5"/>
  <c r="L86" i="5"/>
  <c r="A133" i="6"/>
  <c r="P135" i="5"/>
  <c r="O135" i="5"/>
  <c r="N135" i="5"/>
  <c r="M135" i="5"/>
  <c r="L135" i="5"/>
  <c r="K135" i="5"/>
  <c r="J135" i="5"/>
  <c r="I135" i="5"/>
  <c r="H135" i="5"/>
  <c r="G135" i="5"/>
  <c r="F135" i="5"/>
  <c r="E135" i="5"/>
  <c r="D135" i="5"/>
  <c r="A134" i="6"/>
  <c r="P136" i="5"/>
  <c r="O136" i="5"/>
  <c r="N136" i="5"/>
  <c r="M136" i="5"/>
  <c r="L136" i="5"/>
  <c r="K136" i="5"/>
  <c r="J136" i="5"/>
  <c r="I136" i="5"/>
  <c r="H136" i="5"/>
  <c r="G136" i="5"/>
  <c r="F136" i="5"/>
  <c r="E136" i="5"/>
  <c r="D136" i="5"/>
  <c r="A135" i="6"/>
  <c r="P137" i="5"/>
  <c r="O137" i="5"/>
  <c r="N137" i="5"/>
  <c r="M137" i="5"/>
  <c r="L137" i="5"/>
  <c r="K137" i="5"/>
  <c r="J137" i="5"/>
  <c r="I137" i="5"/>
  <c r="H137" i="5"/>
  <c r="G137" i="5"/>
  <c r="F137" i="5"/>
  <c r="E137" i="5"/>
  <c r="D137" i="5"/>
  <c r="A136" i="6"/>
  <c r="P138" i="5"/>
  <c r="O138" i="5"/>
  <c r="N138" i="5"/>
  <c r="M138" i="5"/>
  <c r="L138" i="5"/>
  <c r="K138" i="5"/>
  <c r="J138" i="5"/>
  <c r="I138" i="5"/>
  <c r="H138" i="5"/>
  <c r="G138" i="5"/>
  <c r="F138" i="5"/>
  <c r="E138" i="5"/>
  <c r="D138" i="5"/>
  <c r="A137" i="6"/>
  <c r="P139" i="5"/>
  <c r="O139" i="5"/>
  <c r="N139" i="5"/>
  <c r="M139" i="5"/>
  <c r="L139" i="5"/>
  <c r="K139" i="5"/>
  <c r="J139" i="5"/>
  <c r="I139" i="5"/>
  <c r="H139" i="5"/>
  <c r="G139" i="5"/>
  <c r="F139" i="5"/>
  <c r="E139" i="5"/>
  <c r="D139" i="5"/>
  <c r="A138" i="6"/>
  <c r="P140" i="5"/>
  <c r="O140" i="5"/>
  <c r="N140" i="5"/>
  <c r="M140" i="5"/>
  <c r="L140" i="5"/>
  <c r="K140" i="5"/>
  <c r="J140" i="5"/>
  <c r="I140" i="5"/>
  <c r="H140" i="5"/>
  <c r="G140" i="5"/>
  <c r="F140" i="5"/>
  <c r="E140" i="5"/>
  <c r="D140" i="5"/>
  <c r="A139" i="6"/>
  <c r="P141" i="5"/>
  <c r="O141" i="5"/>
  <c r="N141" i="5"/>
  <c r="M141" i="5"/>
  <c r="L141" i="5"/>
  <c r="K141" i="5"/>
  <c r="J141" i="5"/>
  <c r="I141" i="5"/>
  <c r="H141" i="5"/>
  <c r="G141" i="5"/>
  <c r="F141" i="5"/>
  <c r="E141" i="5"/>
  <c r="D141" i="5"/>
  <c r="A140" i="6"/>
  <c r="P142" i="5"/>
  <c r="O142" i="5"/>
  <c r="N142" i="5"/>
  <c r="M142" i="5"/>
  <c r="L142" i="5"/>
  <c r="K142" i="5"/>
  <c r="J142" i="5"/>
  <c r="I142" i="5"/>
  <c r="H142" i="5"/>
  <c r="G142" i="5"/>
  <c r="F142" i="5"/>
  <c r="E142" i="5"/>
  <c r="D142" i="5"/>
  <c r="A141" i="6"/>
  <c r="P143" i="5"/>
  <c r="O143" i="5"/>
  <c r="N143" i="5"/>
  <c r="M143" i="5"/>
  <c r="L143" i="5"/>
  <c r="K143" i="5"/>
  <c r="J143" i="5"/>
  <c r="I143" i="5"/>
  <c r="H143" i="5"/>
  <c r="G143" i="5"/>
  <c r="F143" i="5"/>
  <c r="E143" i="5"/>
  <c r="D143" i="5"/>
  <c r="A142" i="6"/>
  <c r="P144" i="5"/>
  <c r="O144" i="5"/>
  <c r="N144" i="5"/>
  <c r="M144" i="5"/>
  <c r="L144" i="5"/>
  <c r="K144" i="5"/>
  <c r="J144" i="5"/>
  <c r="I144" i="5"/>
  <c r="H144" i="5"/>
  <c r="G144" i="5"/>
  <c r="F144" i="5"/>
  <c r="E144" i="5"/>
  <c r="D144" i="5"/>
  <c r="A143" i="6"/>
  <c r="P145" i="5"/>
  <c r="O145" i="5"/>
  <c r="N145" i="5"/>
  <c r="M145" i="5"/>
  <c r="L145" i="5"/>
  <c r="K145" i="5"/>
  <c r="J145" i="5"/>
  <c r="I145" i="5"/>
  <c r="H145" i="5"/>
  <c r="G145" i="5"/>
  <c r="F145" i="5"/>
  <c r="E145" i="5"/>
  <c r="D145" i="5"/>
  <c r="A144" i="6"/>
  <c r="P146" i="5"/>
  <c r="O146" i="5"/>
  <c r="N146" i="5"/>
  <c r="M146" i="5"/>
  <c r="L146" i="5"/>
  <c r="K146" i="5"/>
  <c r="J146" i="5"/>
  <c r="I146" i="5"/>
  <c r="H146" i="5"/>
  <c r="G146" i="5"/>
  <c r="F146" i="5"/>
  <c r="E146" i="5"/>
  <c r="D146" i="5"/>
  <c r="A145" i="6"/>
  <c r="P147" i="5"/>
  <c r="O147" i="5"/>
  <c r="N147" i="5"/>
  <c r="M147" i="5"/>
  <c r="L147" i="5"/>
  <c r="K147" i="5"/>
  <c r="J147" i="5"/>
  <c r="I147" i="5"/>
  <c r="H147" i="5"/>
  <c r="G147" i="5"/>
  <c r="F147" i="5"/>
  <c r="E147" i="5"/>
  <c r="D147" i="5"/>
  <c r="A146" i="6"/>
  <c r="P148" i="5"/>
  <c r="O148" i="5"/>
  <c r="N148" i="5"/>
  <c r="M148" i="5"/>
  <c r="L148" i="5"/>
  <c r="K148" i="5"/>
  <c r="J148" i="5"/>
  <c r="I148" i="5"/>
  <c r="H148" i="5"/>
  <c r="G148" i="5"/>
  <c r="F148" i="5"/>
  <c r="E148" i="5"/>
  <c r="D148" i="5"/>
  <c r="A147" i="6"/>
  <c r="P149" i="5"/>
  <c r="O149" i="5"/>
  <c r="N149" i="5"/>
  <c r="M149" i="5"/>
  <c r="L149" i="5"/>
  <c r="K149" i="5"/>
  <c r="J149" i="5"/>
  <c r="I149" i="5"/>
  <c r="H149" i="5"/>
  <c r="G149" i="5"/>
  <c r="F149" i="5"/>
  <c r="E149" i="5"/>
  <c r="D149" i="5"/>
  <c r="A148" i="6"/>
  <c r="O150" i="5"/>
  <c r="M150" i="5"/>
  <c r="L150" i="5"/>
  <c r="J150" i="5"/>
  <c r="H150" i="5"/>
  <c r="G150" i="5"/>
  <c r="E150" i="5"/>
  <c r="P150" i="5"/>
  <c r="N150" i="5"/>
  <c r="K150" i="5"/>
  <c r="I150" i="5"/>
  <c r="F150" i="5"/>
  <c r="D150" i="5"/>
  <c r="A149" i="6"/>
  <c r="O151" i="5"/>
  <c r="M151" i="5"/>
  <c r="K151" i="5"/>
  <c r="J151" i="5"/>
  <c r="H151" i="5"/>
  <c r="F151" i="5"/>
  <c r="P151" i="5"/>
  <c r="N151" i="5"/>
  <c r="L151" i="5"/>
  <c r="I151" i="5"/>
  <c r="G151" i="5"/>
  <c r="E151" i="5"/>
  <c r="D151" i="5"/>
  <c r="P152" i="5"/>
  <c r="O152" i="5"/>
  <c r="M152" i="5"/>
  <c r="K152" i="5"/>
  <c r="I152" i="5"/>
  <c r="G152" i="5"/>
  <c r="E152" i="5"/>
  <c r="A150" i="6"/>
  <c r="N152" i="5"/>
  <c r="L152" i="5"/>
  <c r="J152" i="5"/>
  <c r="H152" i="5"/>
  <c r="F152" i="5"/>
  <c r="D152" i="5"/>
  <c r="A151" i="6"/>
  <c r="P153" i="5"/>
  <c r="O153" i="5"/>
  <c r="N153" i="5"/>
  <c r="M153" i="5"/>
  <c r="L153" i="5"/>
  <c r="K153" i="5"/>
  <c r="I153" i="5"/>
  <c r="H153" i="5"/>
  <c r="G153" i="5"/>
  <c r="E153" i="5"/>
  <c r="D153" i="5"/>
  <c r="J153" i="5"/>
  <c r="F153" i="5"/>
  <c r="A152" i="6"/>
  <c r="P154" i="5"/>
  <c r="O154" i="5"/>
  <c r="N154" i="5"/>
  <c r="M154" i="5"/>
  <c r="L154" i="5"/>
  <c r="K154" i="5"/>
  <c r="J154" i="5"/>
  <c r="I154" i="5"/>
  <c r="H154" i="5"/>
  <c r="G154" i="5"/>
  <c r="F154" i="5"/>
  <c r="E154" i="5"/>
  <c r="D154" i="5"/>
  <c r="A153" i="6"/>
  <c r="P155" i="5"/>
  <c r="O155" i="5"/>
  <c r="N155" i="5"/>
  <c r="M155" i="5"/>
  <c r="L155" i="5"/>
  <c r="K155" i="5"/>
  <c r="J155" i="5"/>
  <c r="I155" i="5"/>
  <c r="H155" i="5"/>
  <c r="G155" i="5"/>
  <c r="F155" i="5"/>
  <c r="E155" i="5"/>
  <c r="D155" i="5"/>
  <c r="A7" i="6"/>
  <c r="P9" i="5"/>
  <c r="O9" i="5"/>
  <c r="N9" i="5"/>
  <c r="M9" i="5"/>
  <c r="L9" i="5"/>
  <c r="K9" i="5"/>
  <c r="J9" i="5"/>
  <c r="I9" i="5"/>
  <c r="H9" i="5"/>
  <c r="G9" i="5"/>
  <c r="F9" i="5"/>
  <c r="D9" i="5"/>
  <c r="E9" i="5" s="1"/>
  <c r="A18" i="6"/>
  <c r="P20" i="5"/>
  <c r="O20" i="5"/>
  <c r="N20" i="5"/>
  <c r="M20" i="5"/>
  <c r="L20" i="5"/>
  <c r="K20" i="5"/>
  <c r="J20" i="5"/>
  <c r="I20" i="5"/>
  <c r="H20" i="5"/>
  <c r="G20" i="5"/>
  <c r="F20" i="5"/>
  <c r="D20" i="5"/>
  <c r="E20" i="5" s="1"/>
  <c r="A29" i="6"/>
  <c r="P31" i="5"/>
  <c r="O31" i="5"/>
  <c r="N31" i="5"/>
  <c r="M31" i="5"/>
  <c r="L31" i="5"/>
  <c r="K31" i="5"/>
  <c r="J31" i="5"/>
  <c r="I31" i="5"/>
  <c r="H31" i="5"/>
  <c r="G31" i="5"/>
  <c r="F31" i="5"/>
  <c r="D31" i="5"/>
  <c r="E31" i="5" s="1"/>
  <c r="A40" i="6"/>
  <c r="P42" i="5"/>
  <c r="O42" i="5"/>
  <c r="N42" i="5"/>
  <c r="M42" i="5"/>
  <c r="L42" i="5"/>
  <c r="K42" i="5"/>
  <c r="J42" i="5"/>
  <c r="I42" i="5"/>
  <c r="H42" i="5"/>
  <c r="G42" i="5"/>
  <c r="F42" i="5"/>
  <c r="D42" i="5"/>
  <c r="E42" i="5" s="1"/>
  <c r="A51" i="6"/>
  <c r="M53" i="5"/>
  <c r="J53" i="5"/>
  <c r="G53" i="5"/>
  <c r="F53" i="5"/>
  <c r="D53" i="5"/>
  <c r="E53" i="5" s="1"/>
  <c r="P53" i="5"/>
  <c r="N53" i="5"/>
  <c r="L53" i="5"/>
  <c r="H53" i="5"/>
  <c r="O53" i="5"/>
  <c r="K53" i="5"/>
  <c r="I53" i="5"/>
  <c r="P67" i="5"/>
  <c r="M67" i="5"/>
  <c r="I67" i="5"/>
  <c r="A65" i="6"/>
  <c r="N67" i="5"/>
  <c r="L67" i="5"/>
  <c r="K67" i="5"/>
  <c r="H67" i="5"/>
  <c r="F67" i="5"/>
  <c r="O67" i="5"/>
  <c r="J67" i="5"/>
  <c r="G67" i="5"/>
  <c r="D67" i="5"/>
  <c r="E67" i="5" s="1"/>
  <c r="A77" i="6"/>
  <c r="O79" i="5"/>
  <c r="M79" i="5"/>
  <c r="K79" i="5"/>
  <c r="H79" i="5"/>
  <c r="G79" i="5"/>
  <c r="P79" i="5"/>
  <c r="N79" i="5"/>
  <c r="L79" i="5"/>
  <c r="J79" i="5"/>
  <c r="I79" i="5"/>
  <c r="F79" i="5"/>
  <c r="D79" i="5"/>
  <c r="E79" i="5" s="1"/>
  <c r="N92" i="5"/>
  <c r="M92" i="5"/>
  <c r="K92" i="5"/>
  <c r="H92" i="5"/>
  <c r="A90" i="6"/>
  <c r="P92" i="5"/>
  <c r="O92" i="5"/>
  <c r="L92" i="5"/>
  <c r="J92" i="5"/>
  <c r="I92" i="5"/>
  <c r="G92" i="5"/>
  <c r="F92" i="5"/>
  <c r="E92" i="5"/>
  <c r="D92" i="5"/>
  <c r="A13" i="6"/>
  <c r="O15" i="5"/>
  <c r="L15" i="5"/>
  <c r="J15" i="5"/>
  <c r="G15" i="5"/>
  <c r="D15" i="5"/>
  <c r="E15" i="5" s="1"/>
  <c r="P15" i="5"/>
  <c r="N15" i="5"/>
  <c r="H15" i="5"/>
  <c r="M15" i="5"/>
  <c r="K15" i="5"/>
  <c r="I15" i="5"/>
  <c r="F15" i="5"/>
  <c r="O26" i="5"/>
  <c r="M26" i="5"/>
  <c r="K26" i="5"/>
  <c r="I26" i="5"/>
  <c r="G26" i="5"/>
  <c r="P26" i="5"/>
  <c r="A24" i="6"/>
  <c r="N26" i="5"/>
  <c r="L26" i="5"/>
  <c r="J26" i="5"/>
  <c r="H26" i="5"/>
  <c r="F26" i="5"/>
  <c r="D26" i="5"/>
  <c r="E26" i="5" s="1"/>
  <c r="A35" i="6"/>
  <c r="P37" i="5"/>
  <c r="O37" i="5"/>
  <c r="N37" i="5"/>
  <c r="M37" i="5"/>
  <c r="J37" i="5"/>
  <c r="I37" i="5"/>
  <c r="G37" i="5"/>
  <c r="D37" i="5"/>
  <c r="E37" i="5" s="1"/>
  <c r="K37" i="5"/>
  <c r="F37" i="5"/>
  <c r="L37" i="5"/>
  <c r="H37" i="5"/>
  <c r="A58" i="6"/>
  <c r="P60" i="5"/>
  <c r="O60" i="5"/>
  <c r="N60" i="5"/>
  <c r="M60" i="5"/>
  <c r="L60" i="5"/>
  <c r="K60" i="5"/>
  <c r="J60" i="5"/>
  <c r="I60" i="5"/>
  <c r="H60" i="5"/>
  <c r="G60" i="5"/>
  <c r="F60" i="5"/>
  <c r="D60" i="5"/>
  <c r="E60" i="5" s="1"/>
  <c r="A80" i="6"/>
  <c r="P82" i="5"/>
  <c r="O82" i="5"/>
  <c r="N82" i="5"/>
  <c r="M82" i="5"/>
  <c r="L82" i="5"/>
  <c r="K82" i="5"/>
  <c r="J82" i="5"/>
  <c r="I82" i="5"/>
  <c r="H82" i="5"/>
  <c r="G82" i="5"/>
  <c r="F82" i="5"/>
  <c r="D82" i="5"/>
  <c r="E82" i="5" s="1"/>
  <c r="A11" i="6"/>
  <c r="P13" i="5"/>
  <c r="O13" i="5"/>
  <c r="N13" i="5"/>
  <c r="M13" i="5"/>
  <c r="L13" i="5"/>
  <c r="K13" i="5"/>
  <c r="J13" i="5"/>
  <c r="I13" i="5"/>
  <c r="H13" i="5"/>
  <c r="G13" i="5"/>
  <c r="F13" i="5"/>
  <c r="D13" i="5"/>
  <c r="E13" i="5" s="1"/>
  <c r="P47" i="5"/>
  <c r="M47" i="5"/>
  <c r="I47" i="5"/>
  <c r="O47" i="5"/>
  <c r="L47" i="5"/>
  <c r="J47" i="5"/>
  <c r="G47" i="5"/>
  <c r="D47" i="5"/>
  <c r="E47" i="5" s="1"/>
  <c r="A45" i="6"/>
  <c r="N47" i="5"/>
  <c r="K47" i="5"/>
  <c r="H47" i="5"/>
  <c r="F47" i="5"/>
  <c r="A67" i="6"/>
  <c r="N69" i="5"/>
  <c r="L69" i="5"/>
  <c r="I69" i="5"/>
  <c r="G69" i="5"/>
  <c r="F69" i="5"/>
  <c r="P69" i="5"/>
  <c r="K69" i="5"/>
  <c r="O69" i="5"/>
  <c r="M69" i="5"/>
  <c r="J69" i="5"/>
  <c r="H69" i="5"/>
  <c r="D69" i="5"/>
  <c r="E69" i="5" s="1"/>
  <c r="A89" i="6"/>
  <c r="P91" i="5"/>
  <c r="O91" i="5"/>
  <c r="N91" i="5"/>
  <c r="L91" i="5"/>
  <c r="H91" i="5"/>
  <c r="K91" i="5"/>
  <c r="D91" i="5"/>
  <c r="J91" i="5"/>
  <c r="G91" i="5"/>
  <c r="F91" i="5"/>
  <c r="M91" i="5"/>
  <c r="I91" i="5"/>
  <c r="E91" i="5"/>
  <c r="A28" i="6"/>
  <c r="P30" i="5"/>
  <c r="O30" i="5"/>
  <c r="N30" i="5"/>
  <c r="M30" i="5"/>
  <c r="L30" i="5"/>
  <c r="K30" i="5"/>
  <c r="J30" i="5"/>
  <c r="I30" i="5"/>
  <c r="H30" i="5"/>
  <c r="G30" i="5"/>
  <c r="F30" i="5"/>
  <c r="D30" i="5"/>
  <c r="E30" i="5" s="1"/>
  <c r="A61" i="6"/>
  <c r="P63" i="5"/>
  <c r="O63" i="5"/>
  <c r="N63" i="5"/>
  <c r="M63" i="5"/>
  <c r="L63" i="5"/>
  <c r="K63" i="5"/>
  <c r="J63" i="5"/>
  <c r="I63" i="5"/>
  <c r="H63" i="5"/>
  <c r="G63" i="5"/>
  <c r="F63" i="5"/>
  <c r="D63" i="5"/>
  <c r="E63" i="5" s="1"/>
  <c r="A94" i="6"/>
  <c r="P96" i="5"/>
  <c r="O96" i="5"/>
  <c r="N96" i="5"/>
  <c r="M96" i="5"/>
  <c r="L96" i="5"/>
  <c r="K96" i="5"/>
  <c r="J96" i="5"/>
  <c r="I96" i="5"/>
  <c r="H96" i="5"/>
  <c r="G96" i="5"/>
  <c r="F96" i="5"/>
  <c r="E96" i="5"/>
  <c r="D96" i="5"/>
  <c r="A20" i="6"/>
  <c r="P22" i="5"/>
  <c r="O22" i="5"/>
  <c r="N22" i="5"/>
  <c r="M22" i="5"/>
  <c r="L22" i="5"/>
  <c r="K22" i="5"/>
  <c r="J22" i="5"/>
  <c r="I22" i="5"/>
  <c r="H22" i="5"/>
  <c r="G22" i="5"/>
  <c r="F22" i="5"/>
  <c r="D22" i="5"/>
  <c r="E22" i="5" s="1"/>
  <c r="A42" i="6"/>
  <c r="P44" i="5"/>
  <c r="O44" i="5"/>
  <c r="N44" i="5"/>
  <c r="K44" i="5"/>
  <c r="H44" i="5"/>
  <c r="F44" i="5"/>
  <c r="M44" i="5"/>
  <c r="J44" i="5"/>
  <c r="G44" i="5"/>
  <c r="I44" i="5"/>
  <c r="D44" i="5"/>
  <c r="E44" i="5" s="1"/>
  <c r="L44" i="5"/>
  <c r="A73" i="6"/>
  <c r="P75" i="5"/>
  <c r="O75" i="5"/>
  <c r="N75" i="5"/>
  <c r="M75" i="5"/>
  <c r="L75" i="5"/>
  <c r="K75" i="5"/>
  <c r="J75" i="5"/>
  <c r="I75" i="5"/>
  <c r="H75" i="5"/>
  <c r="G75" i="5"/>
  <c r="F75" i="5"/>
  <c r="D75" i="5"/>
  <c r="E75" i="5" s="1"/>
  <c r="A85" i="6"/>
  <c r="P87" i="5"/>
  <c r="O87" i="5"/>
  <c r="N87" i="5"/>
  <c r="M87" i="5"/>
  <c r="L87" i="5"/>
  <c r="K87" i="5"/>
  <c r="J87" i="5"/>
  <c r="I87" i="5"/>
  <c r="H87" i="5"/>
  <c r="G87" i="5"/>
  <c r="F87" i="5"/>
  <c r="D87" i="5"/>
  <c r="E87" i="5" s="1"/>
  <c r="A26" i="6"/>
  <c r="P28" i="5"/>
  <c r="O28" i="5"/>
  <c r="N28" i="5"/>
  <c r="M28" i="5"/>
  <c r="L28" i="5"/>
  <c r="K28" i="5"/>
  <c r="J28" i="5"/>
  <c r="I28" i="5"/>
  <c r="H28" i="5"/>
  <c r="G28" i="5"/>
  <c r="F28" i="5"/>
  <c r="D28" i="5"/>
  <c r="E28" i="5" s="1"/>
  <c r="A56" i="6"/>
  <c r="P58" i="5"/>
  <c r="O58" i="5"/>
  <c r="N58" i="5"/>
  <c r="M58" i="5"/>
  <c r="L58" i="5"/>
  <c r="K58" i="5"/>
  <c r="J58" i="5"/>
  <c r="I58" i="5"/>
  <c r="H58" i="5"/>
  <c r="G58" i="5"/>
  <c r="F58" i="5"/>
  <c r="D58" i="5"/>
  <c r="E58" i="5" s="1"/>
  <c r="A76" i="6"/>
  <c r="P78" i="5"/>
  <c r="O78" i="5"/>
  <c r="N78" i="5"/>
  <c r="M78" i="5"/>
  <c r="L78" i="5"/>
  <c r="K78" i="5"/>
  <c r="J78" i="5"/>
  <c r="I78" i="5"/>
  <c r="H78" i="5"/>
  <c r="G78" i="5"/>
  <c r="F78" i="5"/>
  <c r="D78" i="5"/>
  <c r="E78" i="5" s="1"/>
  <c r="A10" i="6"/>
  <c r="P12" i="5"/>
  <c r="O12" i="5"/>
  <c r="N12" i="5"/>
  <c r="M12" i="5"/>
  <c r="L12" i="5"/>
  <c r="K12" i="5"/>
  <c r="J12" i="5"/>
  <c r="I12" i="5"/>
  <c r="H12" i="5"/>
  <c r="G12" i="5"/>
  <c r="F12" i="5"/>
  <c r="D12" i="5"/>
  <c r="E12" i="5" s="1"/>
  <c r="A43" i="6"/>
  <c r="P45" i="5"/>
  <c r="O45" i="5"/>
  <c r="N45" i="5"/>
  <c r="M45" i="5"/>
  <c r="L45" i="5"/>
  <c r="K45" i="5"/>
  <c r="J45" i="5"/>
  <c r="I45" i="5"/>
  <c r="H45" i="5"/>
  <c r="G45" i="5"/>
  <c r="F45" i="5"/>
  <c r="D45" i="5"/>
  <c r="E45" i="5" s="1"/>
  <c r="A54" i="6"/>
  <c r="P56" i="5"/>
  <c r="O56" i="5"/>
  <c r="N56" i="5"/>
  <c r="M56" i="5"/>
  <c r="L56" i="5"/>
  <c r="K56" i="5"/>
  <c r="J56" i="5"/>
  <c r="I56" i="5"/>
  <c r="H56" i="5"/>
  <c r="G56" i="5"/>
  <c r="F56" i="5"/>
  <c r="D56" i="5"/>
  <c r="E56" i="5" s="1"/>
  <c r="A86" i="6"/>
  <c r="P88" i="5"/>
  <c r="O88" i="5"/>
  <c r="N88" i="5"/>
  <c r="M88" i="5"/>
  <c r="L88" i="5"/>
  <c r="K88" i="5"/>
  <c r="J88" i="5"/>
  <c r="I88" i="5"/>
  <c r="H88" i="5"/>
  <c r="G88" i="5"/>
  <c r="F88" i="5"/>
  <c r="E88" i="5"/>
  <c r="D88" i="5"/>
  <c r="A96" i="6"/>
  <c r="P98" i="5"/>
  <c r="O98" i="5"/>
  <c r="N98" i="5"/>
  <c r="M98" i="5"/>
  <c r="L98" i="5"/>
  <c r="K98" i="5"/>
  <c r="J98" i="5"/>
  <c r="I98" i="5"/>
  <c r="H98" i="5"/>
  <c r="G98" i="5"/>
  <c r="F98" i="5"/>
  <c r="E98" i="5"/>
  <c r="D98" i="5"/>
  <c r="A36" i="6"/>
  <c r="P38" i="5"/>
  <c r="O38" i="5"/>
  <c r="N38" i="5"/>
  <c r="M38" i="5"/>
  <c r="L38" i="5"/>
  <c r="K38" i="5"/>
  <c r="J38" i="5"/>
  <c r="I38" i="5"/>
  <c r="H38" i="5"/>
  <c r="G38" i="5"/>
  <c r="F38" i="5"/>
  <c r="D38" i="5"/>
  <c r="E38" i="5" s="1"/>
  <c r="A59" i="6"/>
  <c r="P61" i="5"/>
  <c r="O61" i="5"/>
  <c r="N61" i="5"/>
  <c r="M61" i="5"/>
  <c r="L61" i="5"/>
  <c r="K61" i="5"/>
  <c r="J61" i="5"/>
  <c r="I61" i="5"/>
  <c r="H61" i="5"/>
  <c r="G61" i="5"/>
  <c r="F61" i="5"/>
  <c r="D61" i="5"/>
  <c r="E61" i="5" s="1"/>
  <c r="A79" i="6"/>
  <c r="P81" i="5"/>
  <c r="O81" i="5"/>
  <c r="N81" i="5"/>
  <c r="M81" i="5"/>
  <c r="L81" i="5"/>
  <c r="K81" i="5"/>
  <c r="J81" i="5"/>
  <c r="I81" i="5"/>
  <c r="H81" i="5"/>
  <c r="G81" i="5"/>
  <c r="F81" i="5"/>
  <c r="D81" i="5"/>
  <c r="E81" i="5" s="1"/>
  <c r="A19" i="6"/>
  <c r="P21" i="5"/>
  <c r="O21" i="5"/>
  <c r="N21" i="5"/>
  <c r="M21" i="5"/>
  <c r="L21" i="5"/>
  <c r="K21" i="5"/>
  <c r="J21" i="5"/>
  <c r="I21" i="5"/>
  <c r="H21" i="5"/>
  <c r="G21" i="5"/>
  <c r="F21" i="5"/>
  <c r="D21" i="5"/>
  <c r="E21" i="5" s="1"/>
  <c r="A53" i="6"/>
  <c r="P55" i="5"/>
  <c r="O55" i="5"/>
  <c r="N55" i="5"/>
  <c r="M55" i="5"/>
  <c r="L55" i="5"/>
  <c r="K55" i="5"/>
  <c r="J55" i="5"/>
  <c r="I55" i="5"/>
  <c r="H55" i="5"/>
  <c r="G55" i="5"/>
  <c r="F55" i="5"/>
  <c r="D55" i="5"/>
  <c r="E55" i="5" s="1"/>
  <c r="P7" i="5"/>
  <c r="M7" i="5"/>
  <c r="I7" i="5"/>
  <c r="G7" i="5"/>
  <c r="N7" i="5"/>
  <c r="J7" i="5"/>
  <c r="H7" i="5"/>
  <c r="F7" i="5"/>
  <c r="D7" i="5"/>
  <c r="E7" i="5" s="1"/>
  <c r="L7" i="5"/>
  <c r="A5" i="6"/>
  <c r="O7" i="5"/>
  <c r="K7" i="5"/>
  <c r="A16" i="6"/>
  <c r="J18" i="5"/>
  <c r="D18" i="5"/>
  <c r="E18" i="5" s="1"/>
  <c r="O18" i="5"/>
  <c r="L18" i="5"/>
  <c r="G18" i="5"/>
  <c r="M18" i="5"/>
  <c r="H18" i="5"/>
  <c r="N18" i="5"/>
  <c r="I18" i="5"/>
  <c r="F18" i="5"/>
  <c r="K18" i="5"/>
  <c r="P18" i="5"/>
  <c r="A38" i="6"/>
  <c r="J40" i="5"/>
  <c r="M40" i="5"/>
  <c r="P40" i="5"/>
  <c r="F40" i="5"/>
  <c r="O40" i="5"/>
  <c r="I40" i="5"/>
  <c r="D40" i="5"/>
  <c r="E40" i="5" s="1"/>
  <c r="K40" i="5"/>
  <c r="G40" i="5"/>
  <c r="L40" i="5"/>
  <c r="H40" i="5"/>
  <c r="N40" i="5"/>
  <c r="P51" i="5"/>
  <c r="I51" i="5"/>
  <c r="L51" i="5"/>
  <c r="F51" i="5"/>
  <c r="J51" i="5"/>
  <c r="M51" i="5"/>
  <c r="G51" i="5"/>
  <c r="A49" i="6"/>
  <c r="K51" i="5"/>
  <c r="O51" i="5"/>
  <c r="D51" i="5"/>
  <c r="E51" i="5" s="1"/>
  <c r="N51" i="5"/>
  <c r="H51" i="5"/>
  <c r="N62" i="5"/>
  <c r="J62" i="5"/>
  <c r="F62" i="5"/>
  <c r="P62" i="5"/>
  <c r="K62" i="5"/>
  <c r="G62" i="5"/>
  <c r="A60" i="6"/>
  <c r="L62" i="5"/>
  <c r="D62" i="5"/>
  <c r="E62" i="5" s="1"/>
  <c r="M62" i="5"/>
  <c r="I62" i="5"/>
  <c r="O62" i="5"/>
  <c r="H62" i="5"/>
  <c r="F73" i="5"/>
  <c r="A71" i="6"/>
  <c r="P73" i="5"/>
  <c r="O73" i="5"/>
  <c r="N73" i="5"/>
  <c r="M73" i="5"/>
  <c r="L73" i="5"/>
  <c r="K73" i="5"/>
  <c r="J73" i="5"/>
  <c r="I73" i="5"/>
  <c r="H73" i="5"/>
  <c r="G73" i="5"/>
  <c r="D73" i="5"/>
  <c r="E73" i="5" s="1"/>
  <c r="A82" i="6"/>
  <c r="P84" i="5"/>
  <c r="O84" i="5"/>
  <c r="N84" i="5"/>
  <c r="M84" i="5"/>
  <c r="L84" i="5"/>
  <c r="K84" i="5"/>
  <c r="J84" i="5"/>
  <c r="I84" i="5"/>
  <c r="H84" i="5"/>
  <c r="G84" i="5"/>
  <c r="F84" i="5"/>
  <c r="D84" i="5"/>
  <c r="E84" i="5" s="1"/>
  <c r="P6" i="5"/>
  <c r="O6" i="5"/>
  <c r="N6" i="5"/>
  <c r="M6" i="5"/>
  <c r="L6" i="5"/>
  <c r="K6" i="5"/>
  <c r="A4" i="6"/>
  <c r="J6" i="5"/>
  <c r="I6" i="5"/>
  <c r="H6" i="5"/>
  <c r="G6" i="5"/>
  <c r="F6" i="5"/>
  <c r="D6" i="5"/>
  <c r="E6" i="5" s="1"/>
  <c r="A12" i="6"/>
  <c r="P14" i="5"/>
  <c r="O14" i="5"/>
  <c r="N14" i="5"/>
  <c r="M14" i="5"/>
  <c r="L14" i="5"/>
  <c r="K14" i="5"/>
  <c r="J14" i="5"/>
  <c r="I14" i="5"/>
  <c r="H14" i="5"/>
  <c r="G14" i="5"/>
  <c r="F14" i="5"/>
  <c r="D14" i="5"/>
  <c r="E14" i="5" s="1"/>
  <c r="A22" i="6"/>
  <c r="P24" i="5"/>
  <c r="O24" i="5"/>
  <c r="N24" i="5"/>
  <c r="M24" i="5"/>
  <c r="L24" i="5"/>
  <c r="K24" i="5"/>
  <c r="J24" i="5"/>
  <c r="I24" i="5"/>
  <c r="H24" i="5"/>
  <c r="G24" i="5"/>
  <c r="F24" i="5"/>
  <c r="D24" i="5"/>
  <c r="E24" i="5" s="1"/>
  <c r="N29" i="5"/>
  <c r="M29" i="5"/>
  <c r="D29" i="5"/>
  <c r="E29" i="5" s="1"/>
  <c r="O29" i="5"/>
  <c r="J29" i="5"/>
  <c r="L29" i="5"/>
  <c r="G29" i="5"/>
  <c r="K29" i="5"/>
  <c r="F29" i="5"/>
  <c r="P29" i="5"/>
  <c r="I29" i="5"/>
  <c r="A27" i="6"/>
  <c r="H29" i="5"/>
  <c r="Q159" i="7" a="1"/>
  <c r="Q159" i="7" s="1"/>
  <c r="R158" i="7"/>
  <c r="H33" i="6" l="1"/>
  <c r="L33" i="6"/>
  <c r="R33" i="6"/>
  <c r="P33" i="6"/>
  <c r="I33" i="6"/>
  <c r="F33" i="6"/>
  <c r="Q33" i="6"/>
  <c r="M33" i="6"/>
  <c r="K33" i="6"/>
  <c r="C33" i="6"/>
  <c r="D33" i="6"/>
  <c r="O33" i="6"/>
  <c r="J33" i="6"/>
  <c r="E33" i="6"/>
  <c r="N33" i="6"/>
  <c r="G33" i="6"/>
  <c r="B33" i="6"/>
  <c r="S33" i="6" s="1"/>
  <c r="B44" i="6"/>
  <c r="R44" i="6"/>
  <c r="Q44" i="6"/>
  <c r="P44" i="6"/>
  <c r="O44" i="6"/>
  <c r="N44" i="6"/>
  <c r="M44" i="6"/>
  <c r="L44" i="6"/>
  <c r="K44" i="6"/>
  <c r="J44" i="6"/>
  <c r="I44" i="6"/>
  <c r="H44" i="6"/>
  <c r="G44" i="6"/>
  <c r="F44" i="6"/>
  <c r="E44" i="6"/>
  <c r="D44" i="6"/>
  <c r="C44" i="6"/>
  <c r="R57" i="6"/>
  <c r="Q57" i="6"/>
  <c r="P57" i="6"/>
  <c r="O57" i="6"/>
  <c r="N57" i="6"/>
  <c r="M57" i="6"/>
  <c r="L57" i="6"/>
  <c r="K57" i="6"/>
  <c r="J57" i="6"/>
  <c r="I57" i="6"/>
  <c r="H57" i="6"/>
  <c r="G57" i="6"/>
  <c r="F57" i="6"/>
  <c r="E57" i="6"/>
  <c r="D57" i="6"/>
  <c r="C57" i="6"/>
  <c r="B57" i="6"/>
  <c r="S57" i="6" s="1"/>
  <c r="R70" i="6"/>
  <c r="Q70" i="6"/>
  <c r="P70" i="6"/>
  <c r="O70" i="6"/>
  <c r="N70" i="6"/>
  <c r="M70" i="6"/>
  <c r="L70" i="6"/>
  <c r="K70" i="6"/>
  <c r="J70" i="6"/>
  <c r="I70" i="6"/>
  <c r="H70" i="6"/>
  <c r="G70" i="6"/>
  <c r="F70" i="6"/>
  <c r="E70" i="6"/>
  <c r="D70" i="6"/>
  <c r="C70" i="6"/>
  <c r="B70" i="6"/>
  <c r="S70" i="6" s="1"/>
  <c r="R81" i="6"/>
  <c r="Q81" i="6"/>
  <c r="P81" i="6"/>
  <c r="O81" i="6"/>
  <c r="N81" i="6"/>
  <c r="M81" i="6"/>
  <c r="L81" i="6"/>
  <c r="K81" i="6"/>
  <c r="J81" i="6"/>
  <c r="I81" i="6"/>
  <c r="H81" i="6"/>
  <c r="G81" i="6"/>
  <c r="F81" i="6"/>
  <c r="E81" i="6"/>
  <c r="D81" i="6"/>
  <c r="C81" i="6"/>
  <c r="B81" i="6"/>
  <c r="S81" i="6" s="1"/>
  <c r="R92" i="6"/>
  <c r="Q92" i="6"/>
  <c r="P92" i="6"/>
  <c r="O92" i="6"/>
  <c r="N92" i="6"/>
  <c r="M92" i="6"/>
  <c r="L92" i="6"/>
  <c r="K92" i="6"/>
  <c r="J92" i="6"/>
  <c r="I92" i="6"/>
  <c r="H92" i="6"/>
  <c r="G92" i="6"/>
  <c r="F92" i="6"/>
  <c r="E92" i="6"/>
  <c r="D92" i="6"/>
  <c r="C92" i="6"/>
  <c r="B92" i="6"/>
  <c r="S92" i="6" s="1"/>
  <c r="R93" i="6"/>
  <c r="Q93" i="6"/>
  <c r="P93" i="6"/>
  <c r="O93" i="6"/>
  <c r="N93" i="6"/>
  <c r="M93" i="6"/>
  <c r="L93" i="6"/>
  <c r="K93" i="6"/>
  <c r="J93" i="6"/>
  <c r="I93" i="6"/>
  <c r="H93" i="6"/>
  <c r="G93" i="6"/>
  <c r="F93" i="6"/>
  <c r="E93" i="6"/>
  <c r="D93" i="6"/>
  <c r="C93" i="6"/>
  <c r="B93" i="6"/>
  <c r="S93" i="6" s="1"/>
  <c r="R98" i="6"/>
  <c r="Q98" i="6"/>
  <c r="P98" i="6"/>
  <c r="O98" i="6"/>
  <c r="N98" i="6"/>
  <c r="M98" i="6"/>
  <c r="L98" i="6"/>
  <c r="K98" i="6"/>
  <c r="J98" i="6"/>
  <c r="I98" i="6"/>
  <c r="H98" i="6"/>
  <c r="G98" i="6"/>
  <c r="F98" i="6"/>
  <c r="E98" i="6"/>
  <c r="D98" i="6"/>
  <c r="C98" i="6"/>
  <c r="B98" i="6"/>
  <c r="S98" i="6" s="1"/>
  <c r="R99" i="6"/>
  <c r="Q99" i="6"/>
  <c r="P99" i="6"/>
  <c r="O99" i="6"/>
  <c r="N99" i="6"/>
  <c r="M99" i="6"/>
  <c r="L99" i="6"/>
  <c r="K99" i="6"/>
  <c r="J99" i="6"/>
  <c r="I99" i="6"/>
  <c r="H99" i="6"/>
  <c r="G99" i="6"/>
  <c r="F99" i="6"/>
  <c r="E99" i="6"/>
  <c r="D99" i="6"/>
  <c r="C99" i="6"/>
  <c r="B99" i="6"/>
  <c r="S99" i="6" s="1"/>
  <c r="R100" i="6"/>
  <c r="Q100" i="6"/>
  <c r="P100" i="6"/>
  <c r="O100" i="6"/>
  <c r="N100" i="6"/>
  <c r="M100" i="6"/>
  <c r="L100" i="6"/>
  <c r="K100" i="6"/>
  <c r="J100" i="6"/>
  <c r="I100" i="6"/>
  <c r="H100" i="6"/>
  <c r="G100" i="6"/>
  <c r="F100" i="6"/>
  <c r="E100" i="6"/>
  <c r="D100" i="6"/>
  <c r="C100" i="6"/>
  <c r="B100" i="6"/>
  <c r="S100" i="6" s="1"/>
  <c r="R101" i="6"/>
  <c r="Q101" i="6"/>
  <c r="P101" i="6"/>
  <c r="O101" i="6"/>
  <c r="N101" i="6"/>
  <c r="M101" i="6"/>
  <c r="L101" i="6"/>
  <c r="K101" i="6"/>
  <c r="J101" i="6"/>
  <c r="I101" i="6"/>
  <c r="H101" i="6"/>
  <c r="G101" i="6"/>
  <c r="F101" i="6"/>
  <c r="E101" i="6"/>
  <c r="D101" i="6"/>
  <c r="C101" i="6"/>
  <c r="B101" i="6"/>
  <c r="S101" i="6" s="1"/>
  <c r="R102" i="6"/>
  <c r="Q102" i="6"/>
  <c r="P102" i="6"/>
  <c r="O102" i="6"/>
  <c r="N102" i="6"/>
  <c r="M102" i="6"/>
  <c r="L102" i="6"/>
  <c r="K102" i="6"/>
  <c r="J102" i="6"/>
  <c r="I102" i="6"/>
  <c r="H102" i="6"/>
  <c r="G102" i="6"/>
  <c r="F102" i="6"/>
  <c r="E102" i="6"/>
  <c r="D102" i="6"/>
  <c r="C102" i="6"/>
  <c r="B102" i="6"/>
  <c r="S102" i="6" s="1"/>
  <c r="R103" i="6"/>
  <c r="Q103" i="6"/>
  <c r="P103" i="6"/>
  <c r="O103" i="6"/>
  <c r="N103" i="6"/>
  <c r="M103" i="6"/>
  <c r="L103" i="6"/>
  <c r="K103" i="6"/>
  <c r="J103" i="6"/>
  <c r="I103" i="6"/>
  <c r="H103" i="6"/>
  <c r="G103" i="6"/>
  <c r="F103" i="6"/>
  <c r="E103" i="6"/>
  <c r="D103" i="6"/>
  <c r="C103" i="6"/>
  <c r="B103" i="6"/>
  <c r="R104" i="6"/>
  <c r="Q104" i="6"/>
  <c r="P104" i="6"/>
  <c r="O104" i="6"/>
  <c r="N104" i="6"/>
  <c r="M104" i="6"/>
  <c r="L104" i="6"/>
  <c r="K104" i="6"/>
  <c r="J104" i="6"/>
  <c r="I104" i="6"/>
  <c r="H104" i="6"/>
  <c r="G104" i="6"/>
  <c r="F104" i="6"/>
  <c r="E104" i="6"/>
  <c r="D104" i="6"/>
  <c r="C104" i="6"/>
  <c r="B104" i="6"/>
  <c r="S104" i="6" s="1"/>
  <c r="R105" i="6"/>
  <c r="Q105" i="6"/>
  <c r="P105" i="6"/>
  <c r="O105" i="6"/>
  <c r="N105" i="6"/>
  <c r="M105" i="6"/>
  <c r="L105" i="6"/>
  <c r="K105" i="6"/>
  <c r="J105" i="6"/>
  <c r="I105" i="6"/>
  <c r="H105" i="6"/>
  <c r="G105" i="6"/>
  <c r="F105" i="6"/>
  <c r="E105" i="6"/>
  <c r="D105" i="6"/>
  <c r="C105" i="6"/>
  <c r="B105" i="6"/>
  <c r="S105" i="6" s="1"/>
  <c r="R106" i="6"/>
  <c r="Q106" i="6"/>
  <c r="P106" i="6"/>
  <c r="O106" i="6"/>
  <c r="N106" i="6"/>
  <c r="M106" i="6"/>
  <c r="L106" i="6"/>
  <c r="K106" i="6"/>
  <c r="J106" i="6"/>
  <c r="I106" i="6"/>
  <c r="H106" i="6"/>
  <c r="G106" i="6"/>
  <c r="F106" i="6"/>
  <c r="E106" i="6"/>
  <c r="D106" i="6"/>
  <c r="C106" i="6"/>
  <c r="B106" i="6"/>
  <c r="S106" i="6" s="1"/>
  <c r="R107" i="6"/>
  <c r="Q107" i="6"/>
  <c r="P107" i="6"/>
  <c r="O107" i="6"/>
  <c r="N107" i="6"/>
  <c r="M107" i="6"/>
  <c r="L107" i="6"/>
  <c r="K107" i="6"/>
  <c r="J107" i="6"/>
  <c r="I107" i="6"/>
  <c r="H107" i="6"/>
  <c r="G107" i="6"/>
  <c r="F107" i="6"/>
  <c r="E107" i="6"/>
  <c r="D107" i="6"/>
  <c r="C107" i="6"/>
  <c r="B107" i="6"/>
  <c r="S107" i="6" s="1"/>
  <c r="R108" i="6"/>
  <c r="Q108" i="6"/>
  <c r="P108" i="6"/>
  <c r="O108" i="6"/>
  <c r="N108" i="6"/>
  <c r="M108" i="6"/>
  <c r="L108" i="6"/>
  <c r="K108" i="6"/>
  <c r="J108" i="6"/>
  <c r="I108" i="6"/>
  <c r="H108" i="6"/>
  <c r="G108" i="6"/>
  <c r="F108" i="6"/>
  <c r="E108" i="6"/>
  <c r="D108" i="6"/>
  <c r="C108" i="6"/>
  <c r="B108" i="6"/>
  <c r="S108" i="6" s="1"/>
  <c r="R109" i="6"/>
  <c r="Q109" i="6"/>
  <c r="P109" i="6"/>
  <c r="O109" i="6"/>
  <c r="N109" i="6"/>
  <c r="M109" i="6"/>
  <c r="L109" i="6"/>
  <c r="K109" i="6"/>
  <c r="J109" i="6"/>
  <c r="I109" i="6"/>
  <c r="H109" i="6"/>
  <c r="G109" i="6"/>
  <c r="F109" i="6"/>
  <c r="E109" i="6"/>
  <c r="D109" i="6"/>
  <c r="C109" i="6"/>
  <c r="B109" i="6"/>
  <c r="S109" i="6" s="1"/>
  <c r="R110" i="6"/>
  <c r="Q110" i="6"/>
  <c r="P110" i="6"/>
  <c r="O110" i="6"/>
  <c r="N110" i="6"/>
  <c r="M110" i="6"/>
  <c r="L110" i="6"/>
  <c r="K110" i="6"/>
  <c r="J110" i="6"/>
  <c r="I110" i="6"/>
  <c r="H110" i="6"/>
  <c r="G110" i="6"/>
  <c r="F110" i="6"/>
  <c r="E110" i="6"/>
  <c r="D110" i="6"/>
  <c r="C110" i="6"/>
  <c r="B110" i="6"/>
  <c r="S110" i="6" s="1"/>
  <c r="R111" i="6"/>
  <c r="Q111" i="6"/>
  <c r="P111" i="6"/>
  <c r="O111" i="6"/>
  <c r="N111" i="6"/>
  <c r="M111" i="6"/>
  <c r="L111" i="6"/>
  <c r="K111" i="6"/>
  <c r="J111" i="6"/>
  <c r="I111" i="6"/>
  <c r="H111" i="6"/>
  <c r="G111" i="6"/>
  <c r="F111" i="6"/>
  <c r="E111" i="6"/>
  <c r="D111" i="6"/>
  <c r="C111" i="6"/>
  <c r="B111" i="6"/>
  <c r="S111" i="6" s="1"/>
  <c r="R112" i="6"/>
  <c r="O112" i="6"/>
  <c r="N112" i="6"/>
  <c r="G112" i="6"/>
  <c r="Q112" i="6"/>
  <c r="P112" i="6"/>
  <c r="M112" i="6"/>
  <c r="L112" i="6"/>
  <c r="K112" i="6"/>
  <c r="J112" i="6"/>
  <c r="I112" i="6"/>
  <c r="H112" i="6"/>
  <c r="F112" i="6"/>
  <c r="E112" i="6"/>
  <c r="D112" i="6"/>
  <c r="C112" i="6"/>
  <c r="B112" i="6"/>
  <c r="S112" i="6" s="1"/>
  <c r="R113" i="6"/>
  <c r="P113" i="6"/>
  <c r="N113" i="6"/>
  <c r="L113" i="6"/>
  <c r="K113" i="6"/>
  <c r="I113" i="6"/>
  <c r="G113" i="6"/>
  <c r="D113" i="6"/>
  <c r="C113" i="6"/>
  <c r="Q113" i="6"/>
  <c r="O113" i="6"/>
  <c r="M113" i="6"/>
  <c r="J113" i="6"/>
  <c r="H113" i="6"/>
  <c r="F113" i="6"/>
  <c r="E113" i="6"/>
  <c r="B113" i="6"/>
  <c r="S113" i="6" s="1"/>
  <c r="Q114" i="6"/>
  <c r="N114" i="6"/>
  <c r="M114" i="6"/>
  <c r="K114" i="6"/>
  <c r="I114" i="6"/>
  <c r="G114" i="6"/>
  <c r="E114" i="6"/>
  <c r="C114" i="6"/>
  <c r="R114" i="6"/>
  <c r="P114" i="6"/>
  <c r="O114" i="6"/>
  <c r="L114" i="6"/>
  <c r="J114" i="6"/>
  <c r="H114" i="6"/>
  <c r="F114" i="6"/>
  <c r="D114" i="6"/>
  <c r="B114" i="6"/>
  <c r="S114" i="6" s="1"/>
  <c r="R115" i="6"/>
  <c r="P115" i="6"/>
  <c r="N115" i="6"/>
  <c r="K115" i="6"/>
  <c r="I115" i="6"/>
  <c r="G115" i="6"/>
  <c r="D115" i="6"/>
  <c r="B115" i="6"/>
  <c r="Q115" i="6"/>
  <c r="O115" i="6"/>
  <c r="M115" i="6"/>
  <c r="L115" i="6"/>
  <c r="J115" i="6"/>
  <c r="H115" i="6"/>
  <c r="F115" i="6"/>
  <c r="E115" i="6"/>
  <c r="C115" i="6"/>
  <c r="Q116" i="6"/>
  <c r="O116" i="6"/>
  <c r="M116" i="6"/>
  <c r="K116" i="6"/>
  <c r="H116" i="6"/>
  <c r="F116" i="6"/>
  <c r="E116" i="6"/>
  <c r="C116" i="6"/>
  <c r="R116" i="6"/>
  <c r="P116" i="6"/>
  <c r="N116" i="6"/>
  <c r="L116" i="6"/>
  <c r="J116" i="6"/>
  <c r="I116" i="6"/>
  <c r="G116" i="6"/>
  <c r="D116" i="6"/>
  <c r="B116" i="6"/>
  <c r="R117" i="6"/>
  <c r="Q117" i="6"/>
  <c r="P117" i="6"/>
  <c r="O117" i="6"/>
  <c r="N117" i="6"/>
  <c r="M117" i="6"/>
  <c r="L117" i="6"/>
  <c r="K117" i="6"/>
  <c r="J117" i="6"/>
  <c r="I117" i="6"/>
  <c r="H117" i="6"/>
  <c r="G117" i="6"/>
  <c r="F117" i="6"/>
  <c r="E117" i="6"/>
  <c r="D117" i="6"/>
  <c r="B117" i="6"/>
  <c r="C117" i="6"/>
  <c r="R118" i="6"/>
  <c r="Q118" i="6"/>
  <c r="P118" i="6"/>
  <c r="O118" i="6"/>
  <c r="N118" i="6"/>
  <c r="M118" i="6"/>
  <c r="L118" i="6"/>
  <c r="K118" i="6"/>
  <c r="J118" i="6"/>
  <c r="I118" i="6"/>
  <c r="H118" i="6"/>
  <c r="G118" i="6"/>
  <c r="F118" i="6"/>
  <c r="E118" i="6"/>
  <c r="D118" i="6"/>
  <c r="C118" i="6"/>
  <c r="B118" i="6"/>
  <c r="S118" i="6" s="1"/>
  <c r="R128" i="6"/>
  <c r="Q128" i="6"/>
  <c r="P128" i="6"/>
  <c r="O128" i="6"/>
  <c r="N128" i="6"/>
  <c r="M128" i="6"/>
  <c r="L128" i="6"/>
  <c r="K128" i="6"/>
  <c r="J128" i="6"/>
  <c r="I128" i="6"/>
  <c r="H128" i="6"/>
  <c r="G128" i="6"/>
  <c r="F128" i="6"/>
  <c r="E128" i="6"/>
  <c r="D128" i="6"/>
  <c r="C128" i="6"/>
  <c r="B128" i="6"/>
  <c r="S128" i="6" s="1"/>
  <c r="R131" i="6"/>
  <c r="Q131" i="6"/>
  <c r="P131" i="6"/>
  <c r="O131" i="6"/>
  <c r="N131" i="6"/>
  <c r="M131" i="6"/>
  <c r="L131" i="6"/>
  <c r="K131" i="6"/>
  <c r="J131" i="6"/>
  <c r="I131" i="6"/>
  <c r="H131" i="6"/>
  <c r="G131" i="6"/>
  <c r="F131" i="6"/>
  <c r="E131" i="6"/>
  <c r="D131" i="6"/>
  <c r="C131" i="6"/>
  <c r="B131" i="6"/>
  <c r="S131" i="6" s="1"/>
  <c r="R46" i="6"/>
  <c r="Q46" i="6"/>
  <c r="P46" i="6"/>
  <c r="O46" i="6"/>
  <c r="N46" i="6"/>
  <c r="M46" i="6"/>
  <c r="L46" i="6"/>
  <c r="K46" i="6"/>
  <c r="J46" i="6"/>
  <c r="I46" i="6"/>
  <c r="H46" i="6"/>
  <c r="G46" i="6"/>
  <c r="F46" i="6"/>
  <c r="E46" i="6"/>
  <c r="D46" i="6"/>
  <c r="C46" i="6"/>
  <c r="B46" i="6"/>
  <c r="S46" i="6" s="1"/>
  <c r="R91" i="6"/>
  <c r="Q91" i="6"/>
  <c r="P91" i="6"/>
  <c r="O91" i="6"/>
  <c r="N91" i="6"/>
  <c r="M91" i="6"/>
  <c r="L91" i="6"/>
  <c r="K91" i="6"/>
  <c r="J91" i="6"/>
  <c r="I91" i="6"/>
  <c r="H91" i="6"/>
  <c r="G91" i="6"/>
  <c r="F91" i="6"/>
  <c r="E91" i="6"/>
  <c r="D91" i="6"/>
  <c r="C91" i="6"/>
  <c r="B91" i="6"/>
  <c r="S91" i="6" s="1"/>
  <c r="R34" i="6"/>
  <c r="Q34" i="6"/>
  <c r="P34" i="6"/>
  <c r="O34" i="6"/>
  <c r="N34" i="6"/>
  <c r="M34" i="6"/>
  <c r="L34" i="6"/>
  <c r="K34" i="6"/>
  <c r="J34" i="6"/>
  <c r="I34" i="6"/>
  <c r="H34" i="6"/>
  <c r="G34" i="6"/>
  <c r="F34" i="6"/>
  <c r="E34" i="6"/>
  <c r="D34" i="6"/>
  <c r="C34" i="6"/>
  <c r="B34" i="6"/>
  <c r="S34" i="6" s="1"/>
  <c r="R78" i="6"/>
  <c r="Q78" i="6"/>
  <c r="P78" i="6"/>
  <c r="O78" i="6"/>
  <c r="N78" i="6"/>
  <c r="M78" i="6"/>
  <c r="L78" i="6"/>
  <c r="K78" i="6"/>
  <c r="J78" i="6"/>
  <c r="I78" i="6"/>
  <c r="H78" i="6"/>
  <c r="G78" i="6"/>
  <c r="F78" i="6"/>
  <c r="E78" i="6"/>
  <c r="D78" i="6"/>
  <c r="C78" i="6"/>
  <c r="B78" i="6"/>
  <c r="S78" i="6" s="1"/>
  <c r="R17" i="6"/>
  <c r="Q17" i="6"/>
  <c r="P17" i="6"/>
  <c r="O17" i="6"/>
  <c r="N17" i="6"/>
  <c r="M17" i="6"/>
  <c r="L17" i="6"/>
  <c r="K17" i="6"/>
  <c r="J17" i="6"/>
  <c r="I17" i="6"/>
  <c r="H17" i="6"/>
  <c r="G17" i="6"/>
  <c r="F17" i="6"/>
  <c r="E17" i="6"/>
  <c r="D17" i="6"/>
  <c r="C17" i="6"/>
  <c r="B17" i="6"/>
  <c r="S17" i="6" s="1"/>
  <c r="R50" i="6"/>
  <c r="Q50" i="6"/>
  <c r="P50" i="6"/>
  <c r="O50" i="6"/>
  <c r="N50" i="6"/>
  <c r="M50" i="6"/>
  <c r="L50" i="6"/>
  <c r="K50" i="6"/>
  <c r="J50" i="6"/>
  <c r="I50" i="6"/>
  <c r="H50" i="6"/>
  <c r="G50" i="6"/>
  <c r="F50" i="6"/>
  <c r="E50" i="6"/>
  <c r="D50" i="6"/>
  <c r="C50" i="6"/>
  <c r="B50" i="6"/>
  <c r="R83" i="6"/>
  <c r="Q83" i="6"/>
  <c r="P83" i="6"/>
  <c r="O83" i="6"/>
  <c r="N83" i="6"/>
  <c r="M83" i="6"/>
  <c r="L83" i="6"/>
  <c r="K83" i="6"/>
  <c r="J83" i="6"/>
  <c r="I83" i="6"/>
  <c r="H83" i="6"/>
  <c r="G83" i="6"/>
  <c r="F83" i="6"/>
  <c r="E83" i="6"/>
  <c r="D83" i="6"/>
  <c r="C83" i="6"/>
  <c r="B83" i="6"/>
  <c r="S83" i="6" s="1"/>
  <c r="R31" i="6"/>
  <c r="P31" i="6"/>
  <c r="N31" i="6"/>
  <c r="K31" i="6"/>
  <c r="H31" i="6"/>
  <c r="E31" i="6"/>
  <c r="C31" i="6"/>
  <c r="Q31" i="6"/>
  <c r="M31" i="6"/>
  <c r="J31" i="6"/>
  <c r="G31" i="6"/>
  <c r="F31" i="6"/>
  <c r="D31" i="6"/>
  <c r="B31" i="6"/>
  <c r="O31" i="6"/>
  <c r="L31" i="6"/>
  <c r="I31" i="6"/>
  <c r="R63" i="6"/>
  <c r="Q63" i="6"/>
  <c r="P63" i="6"/>
  <c r="O63" i="6"/>
  <c r="N63" i="6"/>
  <c r="M63" i="6"/>
  <c r="L63" i="6"/>
  <c r="K63" i="6"/>
  <c r="J63" i="6"/>
  <c r="I63" i="6"/>
  <c r="H63" i="6"/>
  <c r="E63" i="6"/>
  <c r="C63" i="6"/>
  <c r="F63" i="6"/>
  <c r="B63" i="6"/>
  <c r="G63" i="6"/>
  <c r="D63" i="6"/>
  <c r="R95" i="6"/>
  <c r="Q95" i="6"/>
  <c r="P95" i="6"/>
  <c r="O95" i="6"/>
  <c r="N95" i="6"/>
  <c r="M95" i="6"/>
  <c r="L95" i="6"/>
  <c r="K95" i="6"/>
  <c r="J95" i="6"/>
  <c r="I95" i="6"/>
  <c r="H95" i="6"/>
  <c r="G95" i="6"/>
  <c r="F95" i="6"/>
  <c r="E95" i="6"/>
  <c r="D95" i="6"/>
  <c r="C95" i="6"/>
  <c r="B95" i="6"/>
  <c r="S95" i="6" s="1"/>
  <c r="R37" i="6"/>
  <c r="Q37" i="6"/>
  <c r="P37" i="6"/>
  <c r="O37" i="6"/>
  <c r="N37" i="6"/>
  <c r="M37" i="6"/>
  <c r="L37" i="6"/>
  <c r="K37" i="6"/>
  <c r="J37" i="6"/>
  <c r="I37" i="6"/>
  <c r="H37" i="6"/>
  <c r="G37" i="6"/>
  <c r="F37" i="6"/>
  <c r="E37" i="6"/>
  <c r="D37" i="6"/>
  <c r="C37" i="6"/>
  <c r="B37" i="6"/>
  <c r="R97" i="6"/>
  <c r="Q97" i="6"/>
  <c r="P97" i="6"/>
  <c r="O97" i="6"/>
  <c r="N97" i="6"/>
  <c r="M97" i="6"/>
  <c r="L97" i="6"/>
  <c r="K97" i="6"/>
  <c r="J97" i="6"/>
  <c r="I97" i="6"/>
  <c r="H97" i="6"/>
  <c r="G97" i="6"/>
  <c r="F97" i="6"/>
  <c r="E97" i="6"/>
  <c r="D97" i="6"/>
  <c r="C97" i="6"/>
  <c r="B97" i="6"/>
  <c r="S97" i="6" s="1"/>
  <c r="M32" i="6"/>
  <c r="I32" i="6"/>
  <c r="D32" i="6"/>
  <c r="Q32" i="6"/>
  <c r="N32" i="6"/>
  <c r="J32" i="6"/>
  <c r="G32" i="6"/>
  <c r="C32" i="6"/>
  <c r="R32" i="6"/>
  <c r="O32" i="6"/>
  <c r="L32" i="6"/>
  <c r="H32" i="6"/>
  <c r="E32" i="6"/>
  <c r="P32" i="6"/>
  <c r="K32" i="6"/>
  <c r="F32" i="6"/>
  <c r="B32" i="6"/>
  <c r="S32" i="6" s="1"/>
  <c r="O75" i="6"/>
  <c r="I75" i="6"/>
  <c r="F75" i="6"/>
  <c r="P75" i="6"/>
  <c r="N75" i="6"/>
  <c r="J75" i="6"/>
  <c r="C75" i="6"/>
  <c r="Q75" i="6"/>
  <c r="L75" i="6"/>
  <c r="G75" i="6"/>
  <c r="B75" i="6"/>
  <c r="M75" i="6"/>
  <c r="H75" i="6"/>
  <c r="E75" i="6"/>
  <c r="R75" i="6"/>
  <c r="K75" i="6"/>
  <c r="D75" i="6"/>
  <c r="R14" i="6"/>
  <c r="M14" i="6"/>
  <c r="I14" i="6"/>
  <c r="E14" i="6"/>
  <c r="Q14" i="6"/>
  <c r="K14" i="6"/>
  <c r="D14" i="6"/>
  <c r="P14" i="6"/>
  <c r="L14" i="6"/>
  <c r="G14" i="6"/>
  <c r="C14" i="6"/>
  <c r="O14" i="6"/>
  <c r="J14" i="6"/>
  <c r="F14" i="6"/>
  <c r="N14" i="6"/>
  <c r="H14" i="6"/>
  <c r="B14" i="6"/>
  <c r="S14" i="6" s="1"/>
  <c r="R48" i="6"/>
  <c r="Q48" i="6"/>
  <c r="P48" i="6"/>
  <c r="O48" i="6"/>
  <c r="N48" i="6"/>
  <c r="M48" i="6"/>
  <c r="L48" i="6"/>
  <c r="K48" i="6"/>
  <c r="J48" i="6"/>
  <c r="I48" i="6"/>
  <c r="D48" i="6"/>
  <c r="E48" i="6"/>
  <c r="C48" i="6"/>
  <c r="F48" i="6"/>
  <c r="H48" i="6"/>
  <c r="G48" i="6"/>
  <c r="B48" i="6"/>
  <c r="S48" i="6" s="1"/>
  <c r="Q88" i="6"/>
  <c r="J88" i="6"/>
  <c r="G88" i="6"/>
  <c r="M88" i="6"/>
  <c r="F88" i="6"/>
  <c r="R88" i="6"/>
  <c r="P88" i="6"/>
  <c r="L88" i="6"/>
  <c r="B88" i="6"/>
  <c r="N88" i="6"/>
  <c r="H88" i="6"/>
  <c r="E88" i="6"/>
  <c r="O88" i="6"/>
  <c r="I88" i="6"/>
  <c r="C88" i="6"/>
  <c r="K88" i="6"/>
  <c r="D88" i="6"/>
  <c r="Q30" i="6"/>
  <c r="H30" i="6"/>
  <c r="F30" i="6"/>
  <c r="B30" i="6"/>
  <c r="R30" i="6"/>
  <c r="N30" i="6"/>
  <c r="L30" i="6"/>
  <c r="I30" i="6"/>
  <c r="O30" i="6"/>
  <c r="J30" i="6"/>
  <c r="C30" i="6"/>
  <c r="M30" i="6"/>
  <c r="E30" i="6"/>
  <c r="G30" i="6"/>
  <c r="D30" i="6"/>
  <c r="P30" i="6"/>
  <c r="K30" i="6"/>
  <c r="Q74" i="6"/>
  <c r="M74" i="6"/>
  <c r="G74" i="6"/>
  <c r="L74" i="6"/>
  <c r="F74" i="6"/>
  <c r="B74" i="6"/>
  <c r="R74" i="6"/>
  <c r="O74" i="6"/>
  <c r="J74" i="6"/>
  <c r="C74" i="6"/>
  <c r="N74" i="6"/>
  <c r="K74" i="6"/>
  <c r="P74" i="6"/>
  <c r="H74" i="6"/>
  <c r="E74" i="6"/>
  <c r="I74" i="6"/>
  <c r="D74" i="6"/>
  <c r="R66" i="6"/>
  <c r="Q66" i="6"/>
  <c r="P66" i="6"/>
  <c r="O66" i="6"/>
  <c r="N66" i="6"/>
  <c r="M66" i="6"/>
  <c r="L66" i="6"/>
  <c r="K66" i="6"/>
  <c r="J66" i="6"/>
  <c r="I66" i="6"/>
  <c r="H66" i="6"/>
  <c r="G66" i="6"/>
  <c r="F66" i="6"/>
  <c r="E66" i="6"/>
  <c r="D66" i="6"/>
  <c r="C66" i="6"/>
  <c r="B66" i="6"/>
  <c r="P62" i="6"/>
  <c r="I62" i="6"/>
  <c r="D62" i="6"/>
  <c r="R62" i="6"/>
  <c r="O62" i="6"/>
  <c r="F62" i="6"/>
  <c r="M62" i="6"/>
  <c r="G62" i="6"/>
  <c r="B62" i="6"/>
  <c r="J62" i="6"/>
  <c r="E62" i="6"/>
  <c r="L62" i="6"/>
  <c r="H62" i="6"/>
  <c r="Q62" i="6"/>
  <c r="N62" i="6"/>
  <c r="K62" i="6"/>
  <c r="C62" i="6"/>
  <c r="R119" i="6"/>
  <c r="Q119" i="6"/>
  <c r="P119" i="6"/>
  <c r="O119" i="6"/>
  <c r="N119" i="6"/>
  <c r="M119" i="6"/>
  <c r="L119" i="6"/>
  <c r="K119" i="6"/>
  <c r="J119" i="6"/>
  <c r="I119" i="6"/>
  <c r="H119" i="6"/>
  <c r="G119" i="6"/>
  <c r="F119" i="6"/>
  <c r="E119" i="6"/>
  <c r="D119" i="6"/>
  <c r="C119" i="6"/>
  <c r="B119" i="6"/>
  <c r="S119" i="6" s="1"/>
  <c r="R120" i="6"/>
  <c r="Q120" i="6"/>
  <c r="P120" i="6"/>
  <c r="O120" i="6"/>
  <c r="N120" i="6"/>
  <c r="M120" i="6"/>
  <c r="L120" i="6"/>
  <c r="K120" i="6"/>
  <c r="J120" i="6"/>
  <c r="I120" i="6"/>
  <c r="H120" i="6"/>
  <c r="G120" i="6"/>
  <c r="F120" i="6"/>
  <c r="E120" i="6"/>
  <c r="D120" i="6"/>
  <c r="C120" i="6"/>
  <c r="B120" i="6"/>
  <c r="S120" i="6" s="1"/>
  <c r="R121" i="6"/>
  <c r="Q121" i="6"/>
  <c r="P121" i="6"/>
  <c r="O121" i="6"/>
  <c r="N121" i="6"/>
  <c r="M121" i="6"/>
  <c r="L121" i="6"/>
  <c r="K121" i="6"/>
  <c r="J121" i="6"/>
  <c r="I121" i="6"/>
  <c r="H121" i="6"/>
  <c r="G121" i="6"/>
  <c r="F121" i="6"/>
  <c r="E121" i="6"/>
  <c r="D121" i="6"/>
  <c r="C121" i="6"/>
  <c r="B121" i="6"/>
  <c r="S121" i="6" s="1"/>
  <c r="R122" i="6"/>
  <c r="Q122" i="6"/>
  <c r="P122" i="6"/>
  <c r="O122" i="6"/>
  <c r="N122" i="6"/>
  <c r="M122" i="6"/>
  <c r="L122" i="6"/>
  <c r="K122" i="6"/>
  <c r="J122" i="6"/>
  <c r="I122" i="6"/>
  <c r="H122" i="6"/>
  <c r="G122" i="6"/>
  <c r="F122" i="6"/>
  <c r="E122" i="6"/>
  <c r="D122" i="6"/>
  <c r="C122" i="6"/>
  <c r="B122" i="6"/>
  <c r="S122" i="6" s="1"/>
  <c r="R123" i="6"/>
  <c r="Q123" i="6"/>
  <c r="P123" i="6"/>
  <c r="O123" i="6"/>
  <c r="N123" i="6"/>
  <c r="M123" i="6"/>
  <c r="L123" i="6"/>
  <c r="K123" i="6"/>
  <c r="J123" i="6"/>
  <c r="I123" i="6"/>
  <c r="H123" i="6"/>
  <c r="G123" i="6"/>
  <c r="F123" i="6"/>
  <c r="E123" i="6"/>
  <c r="D123" i="6"/>
  <c r="C123" i="6"/>
  <c r="B123" i="6"/>
  <c r="S123" i="6" s="1"/>
  <c r="R124" i="6"/>
  <c r="Q124" i="6"/>
  <c r="P124" i="6"/>
  <c r="O124" i="6"/>
  <c r="N124" i="6"/>
  <c r="M124" i="6"/>
  <c r="L124" i="6"/>
  <c r="K124" i="6"/>
  <c r="J124" i="6"/>
  <c r="I124" i="6"/>
  <c r="H124" i="6"/>
  <c r="G124" i="6"/>
  <c r="F124" i="6"/>
  <c r="E124" i="6"/>
  <c r="D124" i="6"/>
  <c r="C124" i="6"/>
  <c r="B124" i="6"/>
  <c r="R125" i="6"/>
  <c r="Q125" i="6"/>
  <c r="P125" i="6"/>
  <c r="O125" i="6"/>
  <c r="N125" i="6"/>
  <c r="M125" i="6"/>
  <c r="L125" i="6"/>
  <c r="K125" i="6"/>
  <c r="J125" i="6"/>
  <c r="I125" i="6"/>
  <c r="H125" i="6"/>
  <c r="G125" i="6"/>
  <c r="F125" i="6"/>
  <c r="E125" i="6"/>
  <c r="D125" i="6"/>
  <c r="C125" i="6"/>
  <c r="B125" i="6"/>
  <c r="S125" i="6" s="1"/>
  <c r="R126" i="6"/>
  <c r="Q126" i="6"/>
  <c r="P126" i="6"/>
  <c r="O126" i="6"/>
  <c r="N126" i="6"/>
  <c r="M126" i="6"/>
  <c r="L126" i="6"/>
  <c r="K126" i="6"/>
  <c r="J126" i="6"/>
  <c r="I126" i="6"/>
  <c r="H126" i="6"/>
  <c r="G126" i="6"/>
  <c r="F126" i="6"/>
  <c r="E126" i="6"/>
  <c r="D126" i="6"/>
  <c r="C126" i="6"/>
  <c r="B126" i="6"/>
  <c r="S126" i="6" s="1"/>
  <c r="R127" i="6"/>
  <c r="Q127" i="6"/>
  <c r="P127" i="6"/>
  <c r="O127" i="6"/>
  <c r="N127" i="6"/>
  <c r="M127" i="6"/>
  <c r="L127" i="6"/>
  <c r="K127" i="6"/>
  <c r="J127" i="6"/>
  <c r="I127" i="6"/>
  <c r="H127" i="6"/>
  <c r="G127" i="6"/>
  <c r="F127" i="6"/>
  <c r="E127" i="6"/>
  <c r="D127" i="6"/>
  <c r="C127" i="6"/>
  <c r="B127" i="6"/>
  <c r="S127" i="6" s="1"/>
  <c r="R129" i="6"/>
  <c r="Q129" i="6"/>
  <c r="P129" i="6"/>
  <c r="O129" i="6"/>
  <c r="N129" i="6"/>
  <c r="M129" i="6"/>
  <c r="L129" i="6"/>
  <c r="K129" i="6"/>
  <c r="J129" i="6"/>
  <c r="I129" i="6"/>
  <c r="H129" i="6"/>
  <c r="G129" i="6"/>
  <c r="F129" i="6"/>
  <c r="E129" i="6"/>
  <c r="D129" i="6"/>
  <c r="C129" i="6"/>
  <c r="B129" i="6"/>
  <c r="S129" i="6" s="1"/>
  <c r="R130" i="6"/>
  <c r="Q130" i="6"/>
  <c r="P130" i="6"/>
  <c r="O130" i="6"/>
  <c r="N130" i="6"/>
  <c r="M130" i="6"/>
  <c r="L130" i="6"/>
  <c r="K130" i="6"/>
  <c r="J130" i="6"/>
  <c r="I130" i="6"/>
  <c r="H130" i="6"/>
  <c r="G130" i="6"/>
  <c r="F130" i="6"/>
  <c r="E130" i="6"/>
  <c r="D130" i="6"/>
  <c r="C130" i="6"/>
  <c r="B130" i="6"/>
  <c r="S130" i="6" s="1"/>
  <c r="R132" i="6"/>
  <c r="Q132" i="6"/>
  <c r="P132" i="6"/>
  <c r="O132" i="6"/>
  <c r="N132" i="6"/>
  <c r="M132" i="6"/>
  <c r="L132" i="6"/>
  <c r="K132" i="6"/>
  <c r="J132" i="6"/>
  <c r="I132" i="6"/>
  <c r="H132" i="6"/>
  <c r="G132" i="6"/>
  <c r="F132" i="6"/>
  <c r="E132" i="6"/>
  <c r="D132" i="6"/>
  <c r="C132" i="6"/>
  <c r="B132" i="6"/>
  <c r="R69" i="6"/>
  <c r="Q69" i="6"/>
  <c r="P69" i="6"/>
  <c r="O69" i="6"/>
  <c r="N69" i="6"/>
  <c r="M69" i="6"/>
  <c r="L69" i="6"/>
  <c r="K69" i="6"/>
  <c r="J69" i="6"/>
  <c r="I69" i="6"/>
  <c r="H69" i="6"/>
  <c r="G69" i="6"/>
  <c r="F69" i="6"/>
  <c r="E69" i="6"/>
  <c r="D69" i="6"/>
  <c r="C69" i="6"/>
  <c r="B69" i="6"/>
  <c r="S69" i="6" s="1"/>
  <c r="R23" i="6"/>
  <c r="Q23" i="6"/>
  <c r="P23" i="6"/>
  <c r="O23" i="6"/>
  <c r="N23" i="6"/>
  <c r="M23" i="6"/>
  <c r="L23" i="6"/>
  <c r="K23" i="6"/>
  <c r="J23" i="6"/>
  <c r="I23" i="6"/>
  <c r="H23" i="6"/>
  <c r="G23" i="6"/>
  <c r="F23" i="6"/>
  <c r="E23" i="6"/>
  <c r="D23" i="6"/>
  <c r="C23" i="6"/>
  <c r="B23" i="6"/>
  <c r="S23" i="6" s="1"/>
  <c r="R55" i="6"/>
  <c r="Q55" i="6"/>
  <c r="P55" i="6"/>
  <c r="O55" i="6"/>
  <c r="N55" i="6"/>
  <c r="M55" i="6"/>
  <c r="L55" i="6"/>
  <c r="K55" i="6"/>
  <c r="J55" i="6"/>
  <c r="I55" i="6"/>
  <c r="H55" i="6"/>
  <c r="G55" i="6"/>
  <c r="F55" i="6"/>
  <c r="E55" i="6"/>
  <c r="D55" i="6"/>
  <c r="C55" i="6"/>
  <c r="B55" i="6"/>
  <c r="R6" i="6"/>
  <c r="Q6" i="6"/>
  <c r="P6" i="6"/>
  <c r="O6" i="6"/>
  <c r="N6" i="6"/>
  <c r="M6" i="6"/>
  <c r="L6" i="6"/>
  <c r="K6" i="6"/>
  <c r="J6" i="6"/>
  <c r="I6" i="6"/>
  <c r="H6" i="6"/>
  <c r="G6" i="6"/>
  <c r="F6" i="6"/>
  <c r="E6" i="6"/>
  <c r="D6" i="6"/>
  <c r="C6" i="6"/>
  <c r="B6" i="6"/>
  <c r="S6" i="6" s="1"/>
  <c r="R39" i="6"/>
  <c r="Q39" i="6"/>
  <c r="P39" i="6"/>
  <c r="O39" i="6"/>
  <c r="N39" i="6"/>
  <c r="M39" i="6"/>
  <c r="L39" i="6"/>
  <c r="K39" i="6"/>
  <c r="J39" i="6"/>
  <c r="I39" i="6"/>
  <c r="H39" i="6"/>
  <c r="G39" i="6"/>
  <c r="F39" i="6"/>
  <c r="E39" i="6"/>
  <c r="D39" i="6"/>
  <c r="C39" i="6"/>
  <c r="B39" i="6"/>
  <c r="S39" i="6" s="1"/>
  <c r="R72" i="6"/>
  <c r="Q72" i="6"/>
  <c r="P72" i="6"/>
  <c r="O72" i="6"/>
  <c r="N72" i="6"/>
  <c r="M72" i="6"/>
  <c r="L72" i="6"/>
  <c r="K72" i="6"/>
  <c r="J72" i="6"/>
  <c r="I72" i="6"/>
  <c r="H72" i="6"/>
  <c r="G72" i="6"/>
  <c r="F72" i="6"/>
  <c r="E72" i="6"/>
  <c r="D72" i="6"/>
  <c r="C72" i="6"/>
  <c r="B72" i="6"/>
  <c r="S72" i="6" s="1"/>
  <c r="R9" i="6"/>
  <c r="Q9" i="6"/>
  <c r="P9" i="6"/>
  <c r="O9" i="6"/>
  <c r="N9" i="6"/>
  <c r="M9" i="6"/>
  <c r="L9" i="6"/>
  <c r="K9" i="6"/>
  <c r="J9" i="6"/>
  <c r="I9" i="6"/>
  <c r="H9" i="6"/>
  <c r="G9" i="6"/>
  <c r="F9" i="6"/>
  <c r="E9" i="6"/>
  <c r="D9" i="6"/>
  <c r="C9" i="6"/>
  <c r="B9" i="6"/>
  <c r="P52" i="6"/>
  <c r="M52" i="6"/>
  <c r="K52" i="6"/>
  <c r="I52" i="6"/>
  <c r="G52" i="6"/>
  <c r="F52" i="6"/>
  <c r="C52" i="6"/>
  <c r="R52" i="6"/>
  <c r="O52" i="6"/>
  <c r="J52" i="6"/>
  <c r="D52" i="6"/>
  <c r="Q52" i="6"/>
  <c r="N52" i="6"/>
  <c r="L52" i="6"/>
  <c r="H52" i="6"/>
  <c r="E52" i="6"/>
  <c r="B52" i="6"/>
  <c r="R15" i="6"/>
  <c r="Q15" i="6"/>
  <c r="P15" i="6"/>
  <c r="O15" i="6"/>
  <c r="N15" i="6"/>
  <c r="M15" i="6"/>
  <c r="L15" i="6"/>
  <c r="K15" i="6"/>
  <c r="J15" i="6"/>
  <c r="I15" i="6"/>
  <c r="H15" i="6"/>
  <c r="G15" i="6"/>
  <c r="F15" i="6"/>
  <c r="E15" i="6"/>
  <c r="D15" i="6"/>
  <c r="C15" i="6"/>
  <c r="B15" i="6"/>
  <c r="S15" i="6" s="1"/>
  <c r="R47" i="6"/>
  <c r="Q47" i="6"/>
  <c r="P47" i="6"/>
  <c r="O47" i="6"/>
  <c r="N47" i="6"/>
  <c r="M47" i="6"/>
  <c r="L47" i="6"/>
  <c r="K47" i="6"/>
  <c r="J47" i="6"/>
  <c r="I47" i="6"/>
  <c r="H47" i="6"/>
  <c r="G47" i="6"/>
  <c r="F47" i="6"/>
  <c r="E47" i="6"/>
  <c r="D47" i="6"/>
  <c r="C47" i="6"/>
  <c r="B47" i="6"/>
  <c r="S47" i="6" s="1"/>
  <c r="R87" i="6"/>
  <c r="Q87" i="6"/>
  <c r="P87" i="6"/>
  <c r="O87" i="6"/>
  <c r="N87" i="6"/>
  <c r="M87" i="6"/>
  <c r="L87" i="6"/>
  <c r="K87" i="6"/>
  <c r="J87" i="6"/>
  <c r="I87" i="6"/>
  <c r="H87" i="6"/>
  <c r="G87" i="6"/>
  <c r="F87" i="6"/>
  <c r="E87" i="6"/>
  <c r="D87" i="6"/>
  <c r="C87" i="6"/>
  <c r="B87" i="6"/>
  <c r="S87" i="6" s="1"/>
  <c r="Q21" i="6"/>
  <c r="L21" i="6"/>
  <c r="E21" i="6"/>
  <c r="P21" i="6"/>
  <c r="M21" i="6"/>
  <c r="K21" i="6"/>
  <c r="H21" i="6"/>
  <c r="G21" i="6"/>
  <c r="B21" i="6"/>
  <c r="R21" i="6"/>
  <c r="O21" i="6"/>
  <c r="J21" i="6"/>
  <c r="F21" i="6"/>
  <c r="C21" i="6"/>
  <c r="N21" i="6"/>
  <c r="I21" i="6"/>
  <c r="D21" i="6"/>
  <c r="P64" i="6"/>
  <c r="L64" i="6"/>
  <c r="H64" i="6"/>
  <c r="D64" i="6"/>
  <c r="Q64" i="6"/>
  <c r="K64" i="6"/>
  <c r="I64" i="6"/>
  <c r="F64" i="6"/>
  <c r="B64" i="6"/>
  <c r="N64" i="6"/>
  <c r="G64" i="6"/>
  <c r="C64" i="6"/>
  <c r="R64" i="6"/>
  <c r="O64" i="6"/>
  <c r="J64" i="6"/>
  <c r="M64" i="6"/>
  <c r="E64" i="6"/>
  <c r="P25" i="6"/>
  <c r="E25" i="6"/>
  <c r="Q25" i="6"/>
  <c r="N25" i="6"/>
  <c r="L25" i="6"/>
  <c r="H25" i="6"/>
  <c r="D25" i="6"/>
  <c r="M25" i="6"/>
  <c r="J25" i="6"/>
  <c r="F25" i="6"/>
  <c r="R25" i="6"/>
  <c r="K25" i="6"/>
  <c r="G25" i="6"/>
  <c r="C25" i="6"/>
  <c r="O25" i="6"/>
  <c r="I25" i="6"/>
  <c r="B25" i="6"/>
  <c r="S25" i="6" s="1"/>
  <c r="O68" i="6"/>
  <c r="L68" i="6"/>
  <c r="K68" i="6"/>
  <c r="J68" i="6"/>
  <c r="I68" i="6"/>
  <c r="H68" i="6"/>
  <c r="G68" i="6"/>
  <c r="F68" i="6"/>
  <c r="E68" i="6"/>
  <c r="D68" i="6"/>
  <c r="C68" i="6"/>
  <c r="B68" i="6"/>
  <c r="Q68" i="6"/>
  <c r="M68" i="6"/>
  <c r="R68" i="6"/>
  <c r="P68" i="6"/>
  <c r="N68" i="6"/>
  <c r="F8" i="6"/>
  <c r="N8" i="6"/>
  <c r="J8" i="6"/>
  <c r="G8" i="6"/>
  <c r="R8" i="6"/>
  <c r="P8" i="6"/>
  <c r="K8" i="6"/>
  <c r="I8" i="6"/>
  <c r="E8" i="6"/>
  <c r="B8" i="6"/>
  <c r="D8" i="6"/>
  <c r="O8" i="6"/>
  <c r="M8" i="6"/>
  <c r="H8" i="6"/>
  <c r="C8" i="6"/>
  <c r="Q8" i="6"/>
  <c r="L8" i="6"/>
  <c r="O41" i="6"/>
  <c r="L41" i="6"/>
  <c r="H41" i="6"/>
  <c r="C41" i="6"/>
  <c r="I41" i="6"/>
  <c r="M41" i="6"/>
  <c r="D41" i="6"/>
  <c r="J41" i="6"/>
  <c r="E41" i="6"/>
  <c r="P41" i="6"/>
  <c r="Q41" i="6"/>
  <c r="K41" i="6"/>
  <c r="G41" i="6"/>
  <c r="B41" i="6"/>
  <c r="R41" i="6"/>
  <c r="N41" i="6"/>
  <c r="F41" i="6"/>
  <c r="Q84" i="6"/>
  <c r="E84" i="6"/>
  <c r="L84" i="6"/>
  <c r="H84" i="6"/>
  <c r="N84" i="6"/>
  <c r="K84" i="6"/>
  <c r="G84" i="6"/>
  <c r="B84" i="6"/>
  <c r="O84" i="6"/>
  <c r="J84" i="6"/>
  <c r="R84" i="6"/>
  <c r="F84" i="6"/>
  <c r="C84" i="6"/>
  <c r="P84" i="6"/>
  <c r="M84" i="6"/>
  <c r="I84" i="6"/>
  <c r="D84" i="6"/>
  <c r="R133" i="6"/>
  <c r="Q133" i="6"/>
  <c r="P133" i="6"/>
  <c r="O133" i="6"/>
  <c r="N133" i="6"/>
  <c r="M133" i="6"/>
  <c r="L133" i="6"/>
  <c r="K133" i="6"/>
  <c r="J133" i="6"/>
  <c r="I133" i="6"/>
  <c r="H133" i="6"/>
  <c r="G133" i="6"/>
  <c r="F133" i="6"/>
  <c r="E133" i="6"/>
  <c r="D133" i="6"/>
  <c r="C133" i="6"/>
  <c r="B133" i="6"/>
  <c r="S133" i="6" s="1"/>
  <c r="R134" i="6"/>
  <c r="Q134" i="6"/>
  <c r="P134" i="6"/>
  <c r="O134" i="6"/>
  <c r="N134" i="6"/>
  <c r="M134" i="6"/>
  <c r="L134" i="6"/>
  <c r="K134" i="6"/>
  <c r="J134" i="6"/>
  <c r="I134" i="6"/>
  <c r="H134" i="6"/>
  <c r="G134" i="6"/>
  <c r="F134" i="6"/>
  <c r="E134" i="6"/>
  <c r="D134" i="6"/>
  <c r="C134" i="6"/>
  <c r="B134" i="6"/>
  <c r="S134" i="6" s="1"/>
  <c r="R135" i="6"/>
  <c r="Q135" i="6"/>
  <c r="P135" i="6"/>
  <c r="O135" i="6"/>
  <c r="N135" i="6"/>
  <c r="M135" i="6"/>
  <c r="L135" i="6"/>
  <c r="K135" i="6"/>
  <c r="J135" i="6"/>
  <c r="I135" i="6"/>
  <c r="H135" i="6"/>
  <c r="G135" i="6"/>
  <c r="F135" i="6"/>
  <c r="E135" i="6"/>
  <c r="D135" i="6"/>
  <c r="C135" i="6"/>
  <c r="B135" i="6"/>
  <c r="S135" i="6" s="1"/>
  <c r="R136" i="6"/>
  <c r="Q136" i="6"/>
  <c r="P136" i="6"/>
  <c r="O136" i="6"/>
  <c r="N136" i="6"/>
  <c r="M136" i="6"/>
  <c r="L136" i="6"/>
  <c r="K136" i="6"/>
  <c r="J136" i="6"/>
  <c r="I136" i="6"/>
  <c r="H136" i="6"/>
  <c r="G136" i="6"/>
  <c r="F136" i="6"/>
  <c r="E136" i="6"/>
  <c r="D136" i="6"/>
  <c r="C136" i="6"/>
  <c r="B136" i="6"/>
  <c r="R137" i="6"/>
  <c r="Q137" i="6"/>
  <c r="P137" i="6"/>
  <c r="O137" i="6"/>
  <c r="N137" i="6"/>
  <c r="M137" i="6"/>
  <c r="L137" i="6"/>
  <c r="K137" i="6"/>
  <c r="J137" i="6"/>
  <c r="I137" i="6"/>
  <c r="H137" i="6"/>
  <c r="G137" i="6"/>
  <c r="F137" i="6"/>
  <c r="E137" i="6"/>
  <c r="D137" i="6"/>
  <c r="C137" i="6"/>
  <c r="B137" i="6"/>
  <c r="R138" i="6"/>
  <c r="Q138" i="6"/>
  <c r="P138" i="6"/>
  <c r="O138" i="6"/>
  <c r="N138" i="6"/>
  <c r="M138" i="6"/>
  <c r="L138" i="6"/>
  <c r="K138" i="6"/>
  <c r="J138" i="6"/>
  <c r="I138" i="6"/>
  <c r="H138" i="6"/>
  <c r="G138" i="6"/>
  <c r="F138" i="6"/>
  <c r="E138" i="6"/>
  <c r="D138" i="6"/>
  <c r="C138" i="6"/>
  <c r="B138" i="6"/>
  <c r="R139" i="6"/>
  <c r="Q139" i="6"/>
  <c r="P139" i="6"/>
  <c r="O139" i="6"/>
  <c r="N139" i="6"/>
  <c r="M139" i="6"/>
  <c r="L139" i="6"/>
  <c r="K139" i="6"/>
  <c r="J139" i="6"/>
  <c r="I139" i="6"/>
  <c r="H139" i="6"/>
  <c r="G139" i="6"/>
  <c r="F139" i="6"/>
  <c r="E139" i="6"/>
  <c r="D139" i="6"/>
  <c r="C139" i="6"/>
  <c r="B139" i="6"/>
  <c r="R140" i="6"/>
  <c r="Q140" i="6"/>
  <c r="P140" i="6"/>
  <c r="O140" i="6"/>
  <c r="N140" i="6"/>
  <c r="M140" i="6"/>
  <c r="L140" i="6"/>
  <c r="K140" i="6"/>
  <c r="J140" i="6"/>
  <c r="I140" i="6"/>
  <c r="H140" i="6"/>
  <c r="G140" i="6"/>
  <c r="F140" i="6"/>
  <c r="E140" i="6"/>
  <c r="D140" i="6"/>
  <c r="C140" i="6"/>
  <c r="B140" i="6"/>
  <c r="R141" i="6"/>
  <c r="Q141" i="6"/>
  <c r="P141" i="6"/>
  <c r="O141" i="6"/>
  <c r="N141" i="6"/>
  <c r="M141" i="6"/>
  <c r="L141" i="6"/>
  <c r="K141" i="6"/>
  <c r="J141" i="6"/>
  <c r="I141" i="6"/>
  <c r="H141" i="6"/>
  <c r="G141" i="6"/>
  <c r="F141" i="6"/>
  <c r="E141" i="6"/>
  <c r="D141" i="6"/>
  <c r="C141" i="6"/>
  <c r="B141" i="6"/>
  <c r="S141" i="6" s="1"/>
  <c r="R142" i="6"/>
  <c r="Q142" i="6"/>
  <c r="P142" i="6"/>
  <c r="O142" i="6"/>
  <c r="N142" i="6"/>
  <c r="M142" i="6"/>
  <c r="L142" i="6"/>
  <c r="K142" i="6"/>
  <c r="J142" i="6"/>
  <c r="I142" i="6"/>
  <c r="H142" i="6"/>
  <c r="G142" i="6"/>
  <c r="F142" i="6"/>
  <c r="E142" i="6"/>
  <c r="D142" i="6"/>
  <c r="C142" i="6"/>
  <c r="B142" i="6"/>
  <c r="S142" i="6" s="1"/>
  <c r="R143" i="6"/>
  <c r="Q143" i="6"/>
  <c r="P143" i="6"/>
  <c r="O143" i="6"/>
  <c r="N143" i="6"/>
  <c r="M143" i="6"/>
  <c r="L143" i="6"/>
  <c r="K143" i="6"/>
  <c r="J143" i="6"/>
  <c r="I143" i="6"/>
  <c r="H143" i="6"/>
  <c r="G143" i="6"/>
  <c r="F143" i="6"/>
  <c r="E143" i="6"/>
  <c r="D143" i="6"/>
  <c r="C143" i="6"/>
  <c r="B143" i="6"/>
  <c r="S143" i="6" s="1"/>
  <c r="R144" i="6"/>
  <c r="Q144" i="6"/>
  <c r="P144" i="6"/>
  <c r="O144" i="6"/>
  <c r="N144" i="6"/>
  <c r="M144" i="6"/>
  <c r="L144" i="6"/>
  <c r="K144" i="6"/>
  <c r="J144" i="6"/>
  <c r="I144" i="6"/>
  <c r="H144" i="6"/>
  <c r="G144" i="6"/>
  <c r="F144" i="6"/>
  <c r="E144" i="6"/>
  <c r="D144" i="6"/>
  <c r="C144" i="6"/>
  <c r="B144" i="6"/>
  <c r="S144" i="6" s="1"/>
  <c r="R145" i="6"/>
  <c r="Q145" i="6"/>
  <c r="P145" i="6"/>
  <c r="O145" i="6"/>
  <c r="N145" i="6"/>
  <c r="M145" i="6"/>
  <c r="L145" i="6"/>
  <c r="K145" i="6"/>
  <c r="J145" i="6"/>
  <c r="I145" i="6"/>
  <c r="H145" i="6"/>
  <c r="G145" i="6"/>
  <c r="F145" i="6"/>
  <c r="E145" i="6"/>
  <c r="D145" i="6"/>
  <c r="C145" i="6"/>
  <c r="B145" i="6"/>
  <c r="S145" i="6" s="1"/>
  <c r="R146" i="6"/>
  <c r="Q146" i="6"/>
  <c r="P146" i="6"/>
  <c r="O146" i="6"/>
  <c r="N146" i="6"/>
  <c r="M146" i="6"/>
  <c r="L146" i="6"/>
  <c r="K146" i="6"/>
  <c r="J146" i="6"/>
  <c r="I146" i="6"/>
  <c r="H146" i="6"/>
  <c r="G146" i="6"/>
  <c r="F146" i="6"/>
  <c r="E146" i="6"/>
  <c r="D146" i="6"/>
  <c r="C146" i="6"/>
  <c r="B146" i="6"/>
  <c r="S146" i="6" s="1"/>
  <c r="R147" i="6"/>
  <c r="Q147" i="6"/>
  <c r="P147" i="6"/>
  <c r="O147" i="6"/>
  <c r="N147" i="6"/>
  <c r="M147" i="6"/>
  <c r="L147" i="6"/>
  <c r="K147" i="6"/>
  <c r="J147" i="6"/>
  <c r="I147" i="6"/>
  <c r="H147" i="6"/>
  <c r="G147" i="6"/>
  <c r="F147" i="6"/>
  <c r="E147" i="6"/>
  <c r="D147" i="6"/>
  <c r="C147" i="6"/>
  <c r="B147" i="6"/>
  <c r="S147" i="6" s="1"/>
  <c r="R148" i="6"/>
  <c r="Q148" i="6"/>
  <c r="P148" i="6"/>
  <c r="O148" i="6"/>
  <c r="N148" i="6"/>
  <c r="M148" i="6"/>
  <c r="L148" i="6"/>
  <c r="K148" i="6"/>
  <c r="J148" i="6"/>
  <c r="I148" i="6"/>
  <c r="H148" i="6"/>
  <c r="G148" i="6"/>
  <c r="F148" i="6"/>
  <c r="E148" i="6"/>
  <c r="D148" i="6"/>
  <c r="C148" i="6"/>
  <c r="B148" i="6"/>
  <c r="S148" i="6" s="1"/>
  <c r="R149" i="6"/>
  <c r="Q149" i="6"/>
  <c r="P149" i="6"/>
  <c r="O149" i="6"/>
  <c r="N149" i="6"/>
  <c r="M149" i="6"/>
  <c r="L149" i="6"/>
  <c r="K149" i="6"/>
  <c r="J149" i="6"/>
  <c r="I149" i="6"/>
  <c r="H149" i="6"/>
  <c r="G149" i="6"/>
  <c r="F149" i="6"/>
  <c r="E149" i="6"/>
  <c r="D149" i="6"/>
  <c r="C149" i="6"/>
  <c r="B149" i="6"/>
  <c r="S149" i="6" s="1"/>
  <c r="R150" i="6"/>
  <c r="Q150" i="6"/>
  <c r="P150" i="6"/>
  <c r="O150" i="6"/>
  <c r="N150" i="6"/>
  <c r="M150" i="6"/>
  <c r="L150" i="6"/>
  <c r="K150" i="6"/>
  <c r="J150" i="6"/>
  <c r="I150" i="6"/>
  <c r="H150" i="6"/>
  <c r="G150" i="6"/>
  <c r="F150" i="6"/>
  <c r="E150" i="6"/>
  <c r="D150" i="6"/>
  <c r="C150" i="6"/>
  <c r="B150" i="6"/>
  <c r="S150" i="6" s="1"/>
  <c r="R151" i="6"/>
  <c r="Q151" i="6"/>
  <c r="P151" i="6"/>
  <c r="O151" i="6"/>
  <c r="N151" i="6"/>
  <c r="M151" i="6"/>
  <c r="L151" i="6"/>
  <c r="K151" i="6"/>
  <c r="J151" i="6"/>
  <c r="I151" i="6"/>
  <c r="H151" i="6"/>
  <c r="G151" i="6"/>
  <c r="F151" i="6"/>
  <c r="E151" i="6"/>
  <c r="D151" i="6"/>
  <c r="C151" i="6"/>
  <c r="B151" i="6"/>
  <c r="R152" i="6"/>
  <c r="Q152" i="6"/>
  <c r="P152" i="6"/>
  <c r="O152" i="6"/>
  <c r="N152" i="6"/>
  <c r="M152" i="6"/>
  <c r="L152" i="6"/>
  <c r="K152" i="6"/>
  <c r="J152" i="6"/>
  <c r="I152" i="6"/>
  <c r="H152" i="6"/>
  <c r="G152" i="6"/>
  <c r="F152" i="6"/>
  <c r="E152" i="6"/>
  <c r="D152" i="6"/>
  <c r="C152" i="6"/>
  <c r="B152" i="6"/>
  <c r="R153" i="6"/>
  <c r="Q153" i="6"/>
  <c r="P153" i="6"/>
  <c r="O153" i="6"/>
  <c r="N153" i="6"/>
  <c r="M153" i="6"/>
  <c r="L153" i="6"/>
  <c r="K153" i="6"/>
  <c r="J153" i="6"/>
  <c r="I153" i="6"/>
  <c r="H153" i="6"/>
  <c r="G153" i="6"/>
  <c r="F153" i="6"/>
  <c r="E153" i="6"/>
  <c r="D153" i="6"/>
  <c r="C153" i="6"/>
  <c r="B153" i="6"/>
  <c r="S153" i="6" s="1"/>
  <c r="R7" i="6"/>
  <c r="Q7" i="6"/>
  <c r="P7" i="6"/>
  <c r="O7" i="6"/>
  <c r="N7" i="6"/>
  <c r="M7" i="6"/>
  <c r="L7" i="6"/>
  <c r="K7" i="6"/>
  <c r="J7" i="6"/>
  <c r="I7" i="6"/>
  <c r="H7" i="6"/>
  <c r="G7" i="6"/>
  <c r="F7" i="6"/>
  <c r="E7" i="6"/>
  <c r="D7" i="6"/>
  <c r="C7" i="6"/>
  <c r="B7" i="6"/>
  <c r="S7" i="6" s="1"/>
  <c r="R18" i="6"/>
  <c r="Q18" i="6"/>
  <c r="P18" i="6"/>
  <c r="O18" i="6"/>
  <c r="N18" i="6"/>
  <c r="M18" i="6"/>
  <c r="L18" i="6"/>
  <c r="K18" i="6"/>
  <c r="J18" i="6"/>
  <c r="I18" i="6"/>
  <c r="H18" i="6"/>
  <c r="G18" i="6"/>
  <c r="F18" i="6"/>
  <c r="E18" i="6"/>
  <c r="D18" i="6"/>
  <c r="C18" i="6"/>
  <c r="B18" i="6"/>
  <c r="S18" i="6" s="1"/>
  <c r="R29" i="6"/>
  <c r="Q29" i="6"/>
  <c r="P29" i="6"/>
  <c r="O29" i="6"/>
  <c r="N29" i="6"/>
  <c r="M29" i="6"/>
  <c r="L29" i="6"/>
  <c r="K29" i="6"/>
  <c r="J29" i="6"/>
  <c r="I29" i="6"/>
  <c r="H29" i="6"/>
  <c r="G29" i="6"/>
  <c r="F29" i="6"/>
  <c r="E29" i="6"/>
  <c r="D29" i="6"/>
  <c r="C29" i="6"/>
  <c r="B29" i="6"/>
  <c r="R40" i="6"/>
  <c r="Q40" i="6"/>
  <c r="P40" i="6"/>
  <c r="O40" i="6"/>
  <c r="N40" i="6"/>
  <c r="M40" i="6"/>
  <c r="L40" i="6"/>
  <c r="K40" i="6"/>
  <c r="J40" i="6"/>
  <c r="I40" i="6"/>
  <c r="H40" i="6"/>
  <c r="G40" i="6"/>
  <c r="F40" i="6"/>
  <c r="E40" i="6"/>
  <c r="D40" i="6"/>
  <c r="C40" i="6"/>
  <c r="B40" i="6"/>
  <c r="R51" i="6"/>
  <c r="Q51" i="6"/>
  <c r="P51" i="6"/>
  <c r="O51" i="6"/>
  <c r="N51" i="6"/>
  <c r="M51" i="6"/>
  <c r="L51" i="6"/>
  <c r="K51" i="6"/>
  <c r="J51" i="6"/>
  <c r="I51" i="6"/>
  <c r="H51" i="6"/>
  <c r="G51" i="6"/>
  <c r="F51" i="6"/>
  <c r="E51" i="6"/>
  <c r="D51" i="6"/>
  <c r="C51" i="6"/>
  <c r="B51" i="6"/>
  <c r="S51" i="6" s="1"/>
  <c r="R65" i="6"/>
  <c r="Q65" i="6"/>
  <c r="P65" i="6"/>
  <c r="O65" i="6"/>
  <c r="N65" i="6"/>
  <c r="M65" i="6"/>
  <c r="L65" i="6"/>
  <c r="K65" i="6"/>
  <c r="J65" i="6"/>
  <c r="I65" i="6"/>
  <c r="H65" i="6"/>
  <c r="G65" i="6"/>
  <c r="F65" i="6"/>
  <c r="E65" i="6"/>
  <c r="D65" i="6"/>
  <c r="C65" i="6"/>
  <c r="B65" i="6"/>
  <c r="R77" i="6"/>
  <c r="Q77" i="6"/>
  <c r="P77" i="6"/>
  <c r="O77" i="6"/>
  <c r="N77" i="6"/>
  <c r="M77" i="6"/>
  <c r="L77" i="6"/>
  <c r="K77" i="6"/>
  <c r="J77" i="6"/>
  <c r="I77" i="6"/>
  <c r="H77" i="6"/>
  <c r="G77" i="6"/>
  <c r="F77" i="6"/>
  <c r="E77" i="6"/>
  <c r="D77" i="6"/>
  <c r="C77" i="6"/>
  <c r="B77" i="6"/>
  <c r="R90" i="6"/>
  <c r="Q90" i="6"/>
  <c r="P90" i="6"/>
  <c r="O90" i="6"/>
  <c r="N90" i="6"/>
  <c r="M90" i="6"/>
  <c r="L90" i="6"/>
  <c r="K90" i="6"/>
  <c r="J90" i="6"/>
  <c r="I90" i="6"/>
  <c r="H90" i="6"/>
  <c r="G90" i="6"/>
  <c r="F90" i="6"/>
  <c r="E90" i="6"/>
  <c r="D90" i="6"/>
  <c r="C90" i="6"/>
  <c r="B90" i="6"/>
  <c r="S90" i="6" s="1"/>
  <c r="R13" i="6"/>
  <c r="Q13" i="6"/>
  <c r="P13" i="6"/>
  <c r="O13" i="6"/>
  <c r="N13" i="6"/>
  <c r="M13" i="6"/>
  <c r="L13" i="6"/>
  <c r="K13" i="6"/>
  <c r="J13" i="6"/>
  <c r="I13" i="6"/>
  <c r="H13" i="6"/>
  <c r="G13" i="6"/>
  <c r="F13" i="6"/>
  <c r="E13" i="6"/>
  <c r="D13" i="6"/>
  <c r="C13" i="6"/>
  <c r="B13" i="6"/>
  <c r="S13" i="6" s="1"/>
  <c r="R24" i="6"/>
  <c r="Q24" i="6"/>
  <c r="P24" i="6"/>
  <c r="O24" i="6"/>
  <c r="N24" i="6"/>
  <c r="M24" i="6"/>
  <c r="L24" i="6"/>
  <c r="K24" i="6"/>
  <c r="J24" i="6"/>
  <c r="I24" i="6"/>
  <c r="H24" i="6"/>
  <c r="G24" i="6"/>
  <c r="F24" i="6"/>
  <c r="E24" i="6"/>
  <c r="D24" i="6"/>
  <c r="C24" i="6"/>
  <c r="B24" i="6"/>
  <c r="R35" i="6"/>
  <c r="Q35" i="6"/>
  <c r="P35" i="6"/>
  <c r="O35" i="6"/>
  <c r="N35" i="6"/>
  <c r="M35" i="6"/>
  <c r="L35" i="6"/>
  <c r="K35" i="6"/>
  <c r="J35" i="6"/>
  <c r="I35" i="6"/>
  <c r="H35" i="6"/>
  <c r="G35" i="6"/>
  <c r="F35" i="6"/>
  <c r="E35" i="6"/>
  <c r="D35" i="6"/>
  <c r="C35" i="6"/>
  <c r="B35" i="6"/>
  <c r="R58" i="6"/>
  <c r="Q58" i="6"/>
  <c r="P58" i="6"/>
  <c r="O58" i="6"/>
  <c r="N58" i="6"/>
  <c r="M58" i="6"/>
  <c r="L58" i="6"/>
  <c r="K58" i="6"/>
  <c r="J58" i="6"/>
  <c r="I58" i="6"/>
  <c r="H58" i="6"/>
  <c r="G58" i="6"/>
  <c r="F58" i="6"/>
  <c r="E58" i="6"/>
  <c r="D58" i="6"/>
  <c r="C58" i="6"/>
  <c r="B58" i="6"/>
  <c r="R80" i="6"/>
  <c r="Q80" i="6"/>
  <c r="P80" i="6"/>
  <c r="O80" i="6"/>
  <c r="N80" i="6"/>
  <c r="M80" i="6"/>
  <c r="L80" i="6"/>
  <c r="K80" i="6"/>
  <c r="J80" i="6"/>
  <c r="I80" i="6"/>
  <c r="H80" i="6"/>
  <c r="G80" i="6"/>
  <c r="F80" i="6"/>
  <c r="E80" i="6"/>
  <c r="D80" i="6"/>
  <c r="C80" i="6"/>
  <c r="B80" i="6"/>
  <c r="S80" i="6" s="1"/>
  <c r="R11" i="6"/>
  <c r="Q11" i="6"/>
  <c r="P11" i="6"/>
  <c r="O11" i="6"/>
  <c r="N11" i="6"/>
  <c r="M11" i="6"/>
  <c r="L11" i="6"/>
  <c r="K11" i="6"/>
  <c r="J11" i="6"/>
  <c r="I11" i="6"/>
  <c r="H11" i="6"/>
  <c r="G11" i="6"/>
  <c r="F11" i="6"/>
  <c r="E11" i="6"/>
  <c r="D11" i="6"/>
  <c r="C11" i="6"/>
  <c r="B11" i="6"/>
  <c r="S11" i="6" s="1"/>
  <c r="R45" i="6"/>
  <c r="Q45" i="6"/>
  <c r="P45" i="6"/>
  <c r="O45" i="6"/>
  <c r="N45" i="6"/>
  <c r="M45" i="6"/>
  <c r="L45" i="6"/>
  <c r="K45" i="6"/>
  <c r="J45" i="6"/>
  <c r="I45" i="6"/>
  <c r="H45" i="6"/>
  <c r="G45" i="6"/>
  <c r="F45" i="6"/>
  <c r="E45" i="6"/>
  <c r="D45" i="6"/>
  <c r="C45" i="6"/>
  <c r="B45" i="6"/>
  <c r="S45" i="6" s="1"/>
  <c r="R67" i="6"/>
  <c r="Q67" i="6"/>
  <c r="P67" i="6"/>
  <c r="O67" i="6"/>
  <c r="N67" i="6"/>
  <c r="M67" i="6"/>
  <c r="L67" i="6"/>
  <c r="K67" i="6"/>
  <c r="J67" i="6"/>
  <c r="I67" i="6"/>
  <c r="H67" i="6"/>
  <c r="G67" i="6"/>
  <c r="F67" i="6"/>
  <c r="E67" i="6"/>
  <c r="D67" i="6"/>
  <c r="C67" i="6"/>
  <c r="B67" i="6"/>
  <c r="S67" i="6" s="1"/>
  <c r="R89" i="6"/>
  <c r="Q89" i="6"/>
  <c r="P89" i="6"/>
  <c r="O89" i="6"/>
  <c r="N89" i="6"/>
  <c r="M89" i="6"/>
  <c r="L89" i="6"/>
  <c r="K89" i="6"/>
  <c r="J89" i="6"/>
  <c r="I89" i="6"/>
  <c r="H89" i="6"/>
  <c r="G89" i="6"/>
  <c r="F89" i="6"/>
  <c r="E89" i="6"/>
  <c r="D89" i="6"/>
  <c r="C89" i="6"/>
  <c r="B89" i="6"/>
  <c r="S89" i="6" s="1"/>
  <c r="R28" i="6"/>
  <c r="Q28" i="6"/>
  <c r="P28" i="6"/>
  <c r="O28" i="6"/>
  <c r="N28" i="6"/>
  <c r="M28" i="6"/>
  <c r="L28" i="6"/>
  <c r="K28" i="6"/>
  <c r="J28" i="6"/>
  <c r="I28" i="6"/>
  <c r="H28" i="6"/>
  <c r="G28" i="6"/>
  <c r="F28" i="6"/>
  <c r="E28" i="6"/>
  <c r="D28" i="6"/>
  <c r="C28" i="6"/>
  <c r="B28" i="6"/>
  <c r="S28" i="6" s="1"/>
  <c r="R61" i="6"/>
  <c r="Q61" i="6"/>
  <c r="P61" i="6"/>
  <c r="O61" i="6"/>
  <c r="N61" i="6"/>
  <c r="M61" i="6"/>
  <c r="L61" i="6"/>
  <c r="K61" i="6"/>
  <c r="J61" i="6"/>
  <c r="I61" i="6"/>
  <c r="H61" i="6"/>
  <c r="G61" i="6"/>
  <c r="F61" i="6"/>
  <c r="E61" i="6"/>
  <c r="D61" i="6"/>
  <c r="C61" i="6"/>
  <c r="B61" i="6"/>
  <c r="S61" i="6" s="1"/>
  <c r="R94" i="6"/>
  <c r="Q94" i="6"/>
  <c r="P94" i="6"/>
  <c r="O94" i="6"/>
  <c r="N94" i="6"/>
  <c r="M94" i="6"/>
  <c r="L94" i="6"/>
  <c r="K94" i="6"/>
  <c r="J94" i="6"/>
  <c r="I94" i="6"/>
  <c r="H94" i="6"/>
  <c r="G94" i="6"/>
  <c r="F94" i="6"/>
  <c r="E94" i="6"/>
  <c r="D94" i="6"/>
  <c r="C94" i="6"/>
  <c r="B94" i="6"/>
  <c r="R20" i="6"/>
  <c r="P20" i="6"/>
  <c r="O20" i="6"/>
  <c r="N20" i="6"/>
  <c r="L20" i="6"/>
  <c r="J20" i="6"/>
  <c r="I20" i="6"/>
  <c r="H20" i="6"/>
  <c r="G20" i="6"/>
  <c r="F20" i="6"/>
  <c r="E20" i="6"/>
  <c r="D20" i="6"/>
  <c r="C20" i="6"/>
  <c r="B20" i="6"/>
  <c r="Q20" i="6"/>
  <c r="M20" i="6"/>
  <c r="K20" i="6"/>
  <c r="R42" i="6"/>
  <c r="O42" i="6"/>
  <c r="L42" i="6"/>
  <c r="I42" i="6"/>
  <c r="G42" i="6"/>
  <c r="D42" i="6"/>
  <c r="Q42" i="6"/>
  <c r="N42" i="6"/>
  <c r="K42" i="6"/>
  <c r="H42" i="6"/>
  <c r="F42" i="6"/>
  <c r="C42" i="6"/>
  <c r="P42" i="6"/>
  <c r="M42" i="6"/>
  <c r="J42" i="6"/>
  <c r="E42" i="6"/>
  <c r="B42" i="6"/>
  <c r="R73" i="6"/>
  <c r="Q73" i="6"/>
  <c r="P73" i="6"/>
  <c r="O73" i="6"/>
  <c r="N73" i="6"/>
  <c r="M73" i="6"/>
  <c r="L73" i="6"/>
  <c r="K73" i="6"/>
  <c r="J73" i="6"/>
  <c r="I73" i="6"/>
  <c r="H73" i="6"/>
  <c r="G73" i="6"/>
  <c r="F73" i="6"/>
  <c r="E73" i="6"/>
  <c r="D73" i="6"/>
  <c r="C73" i="6"/>
  <c r="B73" i="6"/>
  <c r="R85" i="6"/>
  <c r="Q85" i="6"/>
  <c r="P85" i="6"/>
  <c r="O85" i="6"/>
  <c r="N85" i="6"/>
  <c r="M85" i="6"/>
  <c r="L85" i="6"/>
  <c r="K85" i="6"/>
  <c r="J85" i="6"/>
  <c r="I85" i="6"/>
  <c r="H85" i="6"/>
  <c r="G85" i="6"/>
  <c r="F85" i="6"/>
  <c r="E85" i="6"/>
  <c r="D85" i="6"/>
  <c r="C85" i="6"/>
  <c r="B85" i="6"/>
  <c r="R26" i="6"/>
  <c r="Q26" i="6"/>
  <c r="P26" i="6"/>
  <c r="O26" i="6"/>
  <c r="N26" i="6"/>
  <c r="M26" i="6"/>
  <c r="L26" i="6"/>
  <c r="K26" i="6"/>
  <c r="J26" i="6"/>
  <c r="I26" i="6"/>
  <c r="H26" i="6"/>
  <c r="G26" i="6"/>
  <c r="F26" i="6"/>
  <c r="E26" i="6"/>
  <c r="D26" i="6"/>
  <c r="C26" i="6"/>
  <c r="B26" i="6"/>
  <c r="S26" i="6" s="1"/>
  <c r="R56" i="6"/>
  <c r="Q56" i="6"/>
  <c r="P56" i="6"/>
  <c r="O56" i="6"/>
  <c r="N56" i="6"/>
  <c r="M56" i="6"/>
  <c r="L56" i="6"/>
  <c r="K56" i="6"/>
  <c r="J56" i="6"/>
  <c r="I56" i="6"/>
  <c r="H56" i="6"/>
  <c r="G56" i="6"/>
  <c r="F56" i="6"/>
  <c r="E56" i="6"/>
  <c r="D56" i="6"/>
  <c r="C56" i="6"/>
  <c r="B56" i="6"/>
  <c r="S56" i="6" s="1"/>
  <c r="R76" i="6"/>
  <c r="Q76" i="6"/>
  <c r="P76" i="6"/>
  <c r="O76" i="6"/>
  <c r="N76" i="6"/>
  <c r="M76" i="6"/>
  <c r="L76" i="6"/>
  <c r="K76" i="6"/>
  <c r="J76" i="6"/>
  <c r="I76" i="6"/>
  <c r="H76" i="6"/>
  <c r="G76" i="6"/>
  <c r="F76" i="6"/>
  <c r="E76" i="6"/>
  <c r="D76" i="6"/>
  <c r="C76" i="6"/>
  <c r="B76" i="6"/>
  <c r="S76" i="6" s="1"/>
  <c r="N10" i="6"/>
  <c r="G10" i="6"/>
  <c r="E10" i="6"/>
  <c r="D10" i="6"/>
  <c r="C10" i="6"/>
  <c r="B10" i="6"/>
  <c r="P10" i="6"/>
  <c r="M10" i="6"/>
  <c r="K10" i="6"/>
  <c r="H10" i="6"/>
  <c r="F10" i="6"/>
  <c r="Q10" i="6"/>
  <c r="L10" i="6"/>
  <c r="I10" i="6"/>
  <c r="R10" i="6"/>
  <c r="O10" i="6"/>
  <c r="J10" i="6"/>
  <c r="O43" i="6"/>
  <c r="K43" i="6"/>
  <c r="F43" i="6"/>
  <c r="C43" i="6"/>
  <c r="Q43" i="6"/>
  <c r="M43" i="6"/>
  <c r="I43" i="6"/>
  <c r="B43" i="6"/>
  <c r="R43" i="6"/>
  <c r="N43" i="6"/>
  <c r="J43" i="6"/>
  <c r="G43" i="6"/>
  <c r="D43" i="6"/>
  <c r="P43" i="6"/>
  <c r="L43" i="6"/>
  <c r="H43" i="6"/>
  <c r="E43" i="6"/>
  <c r="Q54" i="6"/>
  <c r="I54" i="6"/>
  <c r="D54" i="6"/>
  <c r="P54" i="6"/>
  <c r="K54" i="6"/>
  <c r="H54" i="6"/>
  <c r="E54" i="6"/>
  <c r="O54" i="6"/>
  <c r="L54" i="6"/>
  <c r="F54" i="6"/>
  <c r="N54" i="6"/>
  <c r="J54" i="6"/>
  <c r="G54" i="6"/>
  <c r="C54" i="6"/>
  <c r="R54" i="6"/>
  <c r="M54" i="6"/>
  <c r="B54" i="6"/>
  <c r="S54" i="6" s="1"/>
  <c r="N86" i="6"/>
  <c r="J86" i="6"/>
  <c r="C86" i="6"/>
  <c r="Q86" i="6"/>
  <c r="O86" i="6"/>
  <c r="L86" i="6"/>
  <c r="I86" i="6"/>
  <c r="B86" i="6"/>
  <c r="P86" i="6"/>
  <c r="H86" i="6"/>
  <c r="E86" i="6"/>
  <c r="R86" i="6"/>
  <c r="M86" i="6"/>
  <c r="G86" i="6"/>
  <c r="D86" i="6"/>
  <c r="K86" i="6"/>
  <c r="F86" i="6"/>
  <c r="J96" i="6"/>
  <c r="D96" i="6"/>
  <c r="R96" i="6"/>
  <c r="P96" i="6"/>
  <c r="N96" i="6"/>
  <c r="K96" i="6"/>
  <c r="H96" i="6"/>
  <c r="M96" i="6"/>
  <c r="G96" i="6"/>
  <c r="C96" i="6"/>
  <c r="Q96" i="6"/>
  <c r="L96" i="6"/>
  <c r="E96" i="6"/>
  <c r="O96" i="6"/>
  <c r="I96" i="6"/>
  <c r="F96" i="6"/>
  <c r="B96" i="6"/>
  <c r="S96" i="6" s="1"/>
  <c r="P36" i="6"/>
  <c r="J36" i="6"/>
  <c r="D36" i="6"/>
  <c r="Q36" i="6"/>
  <c r="M36" i="6"/>
  <c r="I36" i="6"/>
  <c r="G36" i="6"/>
  <c r="F36" i="6"/>
  <c r="R36" i="6"/>
  <c r="O36" i="6"/>
  <c r="K36" i="6"/>
  <c r="B36" i="6"/>
  <c r="N36" i="6"/>
  <c r="E36" i="6"/>
  <c r="L36" i="6"/>
  <c r="H36" i="6"/>
  <c r="C36" i="6"/>
  <c r="R59" i="6"/>
  <c r="Q59" i="6"/>
  <c r="P59" i="6"/>
  <c r="O59" i="6"/>
  <c r="N59" i="6"/>
  <c r="M59" i="6"/>
  <c r="L59" i="6"/>
  <c r="K59" i="6"/>
  <c r="J59" i="6"/>
  <c r="I59" i="6"/>
  <c r="H59" i="6"/>
  <c r="G59" i="6"/>
  <c r="F59" i="6"/>
  <c r="E59" i="6"/>
  <c r="D59" i="6"/>
  <c r="C59" i="6"/>
  <c r="B59" i="6"/>
  <c r="R79" i="6"/>
  <c r="M79" i="6"/>
  <c r="G79" i="6"/>
  <c r="Q79" i="6"/>
  <c r="D79" i="6"/>
  <c r="N79" i="6"/>
  <c r="J79" i="6"/>
  <c r="H79" i="6"/>
  <c r="B79" i="6"/>
  <c r="K79" i="6"/>
  <c r="E79" i="6"/>
  <c r="O79" i="6"/>
  <c r="I79" i="6"/>
  <c r="C79" i="6"/>
  <c r="P79" i="6"/>
  <c r="L79" i="6"/>
  <c r="F79" i="6"/>
  <c r="J19" i="6"/>
  <c r="Q19" i="6"/>
  <c r="G19" i="6"/>
  <c r="B19" i="6"/>
  <c r="M19" i="6"/>
  <c r="H19" i="6"/>
  <c r="F19" i="6"/>
  <c r="D19" i="6"/>
  <c r="R19" i="6"/>
  <c r="K19" i="6"/>
  <c r="I19" i="6"/>
  <c r="C19" i="6"/>
  <c r="L19" i="6"/>
  <c r="E19" i="6"/>
  <c r="P19" i="6"/>
  <c r="N19" i="6"/>
  <c r="O19" i="6"/>
  <c r="G53" i="6"/>
  <c r="E53" i="6"/>
  <c r="L53" i="6"/>
  <c r="N53" i="6"/>
  <c r="Q53" i="6"/>
  <c r="J53" i="6"/>
  <c r="D53" i="6"/>
  <c r="P53" i="6"/>
  <c r="I53" i="6"/>
  <c r="F53" i="6"/>
  <c r="B53" i="6"/>
  <c r="R53" i="6"/>
  <c r="O53" i="6"/>
  <c r="K53" i="6"/>
  <c r="C53" i="6"/>
  <c r="M53" i="6"/>
  <c r="H53" i="6"/>
  <c r="N5" i="6"/>
  <c r="D5" i="6"/>
  <c r="L5" i="6"/>
  <c r="G5" i="6"/>
  <c r="P5" i="6"/>
  <c r="J5" i="6"/>
  <c r="H5" i="6"/>
  <c r="E5" i="6"/>
  <c r="R5" i="6"/>
  <c r="O5" i="6"/>
  <c r="K5" i="6"/>
  <c r="I5" i="6"/>
  <c r="B5" i="6"/>
  <c r="C5" i="6"/>
  <c r="Q5" i="6"/>
  <c r="M5" i="6"/>
  <c r="F5" i="6"/>
  <c r="L16" i="6"/>
  <c r="I16" i="6"/>
  <c r="R16" i="6"/>
  <c r="N16" i="6"/>
  <c r="Q16" i="6"/>
  <c r="H16" i="6"/>
  <c r="E16" i="6"/>
  <c r="B16" i="6"/>
  <c r="O16" i="6"/>
  <c r="J16" i="6"/>
  <c r="G16" i="6"/>
  <c r="D16" i="6"/>
  <c r="P16" i="6"/>
  <c r="K16" i="6"/>
  <c r="F16" i="6"/>
  <c r="C16" i="6"/>
  <c r="M16" i="6"/>
  <c r="B38" i="6"/>
  <c r="Q38" i="6"/>
  <c r="M38" i="6"/>
  <c r="J38" i="6"/>
  <c r="F38" i="6"/>
  <c r="P38" i="6"/>
  <c r="I38" i="6"/>
  <c r="E38" i="6"/>
  <c r="R38" i="6"/>
  <c r="N38" i="6"/>
  <c r="D38" i="6"/>
  <c r="L38" i="6"/>
  <c r="K38" i="6"/>
  <c r="H38" i="6"/>
  <c r="C38" i="6"/>
  <c r="O38" i="6"/>
  <c r="G38" i="6"/>
  <c r="J49" i="6"/>
  <c r="G49" i="6"/>
  <c r="R49" i="6"/>
  <c r="H49" i="6"/>
  <c r="Q49" i="6"/>
  <c r="O49" i="6"/>
  <c r="E49" i="6"/>
  <c r="P49" i="6"/>
  <c r="L49" i="6"/>
  <c r="D49" i="6"/>
  <c r="I49" i="6"/>
  <c r="B49" i="6"/>
  <c r="N49" i="6"/>
  <c r="K49" i="6"/>
  <c r="C49" i="6"/>
  <c r="M49" i="6"/>
  <c r="F49" i="6"/>
  <c r="Q60" i="6"/>
  <c r="I60" i="6"/>
  <c r="F60" i="6"/>
  <c r="O60" i="6"/>
  <c r="K60" i="6"/>
  <c r="E60" i="6"/>
  <c r="C60" i="6"/>
  <c r="M60" i="6"/>
  <c r="J60" i="6"/>
  <c r="B60" i="6"/>
  <c r="N60" i="6"/>
  <c r="H60" i="6"/>
  <c r="R60" i="6"/>
  <c r="P60" i="6"/>
  <c r="D60" i="6"/>
  <c r="L60" i="6"/>
  <c r="G60" i="6"/>
  <c r="H71" i="6"/>
  <c r="P71" i="6"/>
  <c r="J71" i="6"/>
  <c r="E71" i="6"/>
  <c r="B71" i="6"/>
  <c r="Q71" i="6"/>
  <c r="L71" i="6"/>
  <c r="F71" i="6"/>
  <c r="G71" i="6"/>
  <c r="D71" i="6"/>
  <c r="R71" i="6"/>
  <c r="O71" i="6"/>
  <c r="I71" i="6"/>
  <c r="M71" i="6"/>
  <c r="N71" i="6"/>
  <c r="K71" i="6"/>
  <c r="C71" i="6"/>
  <c r="P82" i="6"/>
  <c r="C82" i="6"/>
  <c r="R82" i="6"/>
  <c r="I82" i="6"/>
  <c r="M82" i="6"/>
  <c r="J82" i="6"/>
  <c r="K82" i="6"/>
  <c r="F82" i="6"/>
  <c r="E82" i="6"/>
  <c r="L82" i="6"/>
  <c r="G82" i="6"/>
  <c r="H82" i="6"/>
  <c r="N82" i="6"/>
  <c r="B82" i="6"/>
  <c r="Q82" i="6"/>
  <c r="O82" i="6"/>
  <c r="D82" i="6"/>
  <c r="P4" i="6"/>
  <c r="K4" i="6"/>
  <c r="G4" i="6"/>
  <c r="O4" i="6"/>
  <c r="L4" i="6"/>
  <c r="M4" i="6"/>
  <c r="C4" i="6"/>
  <c r="R4" i="6"/>
  <c r="H4" i="6"/>
  <c r="Q4" i="6"/>
  <c r="E4" i="6"/>
  <c r="J4" i="6"/>
  <c r="D4" i="6"/>
  <c r="N4" i="6"/>
  <c r="F4" i="6"/>
  <c r="I4" i="6"/>
  <c r="B4" i="6"/>
  <c r="O12" i="6"/>
  <c r="G12" i="6"/>
  <c r="B12" i="6"/>
  <c r="I12" i="6"/>
  <c r="J12" i="6"/>
  <c r="C12" i="6"/>
  <c r="P12" i="6"/>
  <c r="K12" i="6"/>
  <c r="D12" i="6"/>
  <c r="R12" i="6"/>
  <c r="L12" i="6"/>
  <c r="F12" i="6"/>
  <c r="N12" i="6"/>
  <c r="E12" i="6"/>
  <c r="Q12" i="6"/>
  <c r="M12" i="6"/>
  <c r="H12" i="6"/>
  <c r="P22" i="6"/>
  <c r="D22" i="6"/>
  <c r="K22" i="6"/>
  <c r="F22" i="6"/>
  <c r="R22" i="6"/>
  <c r="I22" i="6"/>
  <c r="E22" i="6"/>
  <c r="B22" i="6"/>
  <c r="J22" i="6"/>
  <c r="O22" i="6"/>
  <c r="L22" i="6"/>
  <c r="M22" i="6"/>
  <c r="C22" i="6"/>
  <c r="N22" i="6"/>
  <c r="H22" i="6"/>
  <c r="Q22" i="6"/>
  <c r="G22" i="6"/>
  <c r="M27" i="6"/>
  <c r="J27" i="6"/>
  <c r="G27" i="6"/>
  <c r="B27" i="6"/>
  <c r="P27" i="6"/>
  <c r="I27" i="6"/>
  <c r="R27" i="6"/>
  <c r="Q27" i="6"/>
  <c r="K27" i="6"/>
  <c r="H27" i="6"/>
  <c r="F27" i="6"/>
  <c r="C27" i="6"/>
  <c r="L27" i="6"/>
  <c r="O27" i="6"/>
  <c r="D27" i="6"/>
  <c r="N27" i="6"/>
  <c r="E27" i="6"/>
  <c r="Q160" i="7" a="1"/>
  <c r="Q160" i="7" s="1"/>
  <c r="R159" i="7"/>
  <c r="S137" i="6" l="1"/>
  <c r="S29" i="6"/>
  <c r="S55" i="6"/>
  <c r="S42" i="6"/>
  <c r="S52" i="6"/>
  <c r="S50" i="6"/>
  <c r="S37" i="6"/>
  <c r="S124" i="6"/>
  <c r="S136" i="6"/>
  <c r="S24" i="6"/>
  <c r="S20" i="6"/>
  <c r="S94" i="6"/>
  <c r="S66" i="6"/>
  <c r="S64" i="6"/>
  <c r="S139" i="6"/>
  <c r="S151" i="6"/>
  <c r="S40" i="6"/>
  <c r="S65" i="6"/>
  <c r="S77" i="6"/>
  <c r="S35" i="6"/>
  <c r="S73" i="6"/>
  <c r="B154" i="6"/>
  <c r="S4" i="6"/>
  <c r="S44" i="6"/>
  <c r="S36" i="6"/>
  <c r="O154" i="6"/>
  <c r="I154" i="6"/>
  <c r="S103" i="6"/>
  <c r="S115" i="6"/>
  <c r="S74" i="6"/>
  <c r="P154" i="6"/>
  <c r="N154" i="6"/>
  <c r="S27" i="6"/>
  <c r="S116" i="6"/>
  <c r="S117" i="6"/>
  <c r="S75" i="6"/>
  <c r="S88" i="6"/>
  <c r="S30" i="6"/>
  <c r="G154" i="6"/>
  <c r="S31" i="6"/>
  <c r="S63" i="6"/>
  <c r="S21" i="6"/>
  <c r="S79" i="6"/>
  <c r="J154" i="6"/>
  <c r="S62" i="6"/>
  <c r="S9" i="6"/>
  <c r="K154" i="6"/>
  <c r="F154" i="6"/>
  <c r="S132" i="6"/>
  <c r="S138" i="6"/>
  <c r="M154" i="6"/>
  <c r="S22" i="6"/>
  <c r="S68" i="6"/>
  <c r="S8" i="6"/>
  <c r="S41" i="6"/>
  <c r="S84" i="6"/>
  <c r="S19" i="6"/>
  <c r="L154" i="6"/>
  <c r="S140" i="6"/>
  <c r="E154" i="6"/>
  <c r="S152" i="6"/>
  <c r="C154" i="6"/>
  <c r="S12" i="6"/>
  <c r="S58" i="6"/>
  <c r="S59" i="6"/>
  <c r="Q154" i="6"/>
  <c r="S85" i="6"/>
  <c r="S10" i="6"/>
  <c r="S43" i="6"/>
  <c r="S86" i="6"/>
  <c r="R154" i="6"/>
  <c r="D154" i="6"/>
  <c r="S53" i="6"/>
  <c r="S5" i="6"/>
  <c r="S16" i="6"/>
  <c r="S38" i="6"/>
  <c r="S49" i="6"/>
  <c r="S60" i="6"/>
  <c r="S71" i="6"/>
  <c r="S82" i="6"/>
  <c r="H154" i="6"/>
  <c r="Q161" i="7" a="1"/>
  <c r="Q161" i="7" s="1"/>
  <c r="R160" i="7"/>
  <c r="S154" i="6" l="1"/>
  <c r="Q162" i="7" a="1"/>
  <c r="Q162" i="7" s="1"/>
  <c r="R161" i="7"/>
  <c r="R162" i="7" l="1"/>
  <c r="Q163" i="7" a="1"/>
  <c r="Q163" i="7" s="1"/>
  <c r="Q164" i="7" l="1" a="1"/>
  <c r="Q164" i="7" s="1"/>
  <c r="R163" i="7"/>
  <c r="Q165" i="7" l="1" a="1"/>
  <c r="Q165" i="7" s="1"/>
  <c r="R164" i="7"/>
  <c r="Q166" i="7" l="1" a="1"/>
  <c r="Q166" i="7" s="1"/>
  <c r="R165" i="7"/>
  <c r="R166" i="7" l="1"/>
  <c r="Q167" i="7" a="1"/>
  <c r="Q167" i="7" s="1"/>
  <c r="Q168" i="7" l="1" a="1"/>
  <c r="Q168" i="7" s="1"/>
  <c r="R167" i="7"/>
  <c r="Q169" i="7" l="1" a="1"/>
  <c r="Q169" i="7" s="1"/>
  <c r="R168" i="7"/>
  <c r="Q170" i="7" l="1" a="1"/>
  <c r="Q170" i="7" s="1"/>
  <c r="R169" i="7"/>
  <c r="R170" i="7" l="1"/>
  <c r="Q171" i="7" a="1"/>
  <c r="Q171" i="7" s="1"/>
  <c r="Q172" i="7" l="1" a="1"/>
  <c r="Q172" i="7" s="1"/>
  <c r="R171" i="7"/>
  <c r="Q173" i="7" l="1" a="1"/>
  <c r="Q173" i="7" s="1"/>
  <c r="R172" i="7"/>
  <c r="Q174" i="7" l="1" a="1"/>
  <c r="Q174" i="7" s="1"/>
  <c r="R173" i="7"/>
  <c r="Q175" i="7" l="1" a="1"/>
  <c r="Q175" i="7" s="1"/>
  <c r="R174" i="7"/>
  <c r="R175" i="7" l="1"/>
  <c r="Q176" i="7" a="1"/>
  <c r="Q176" i="7" s="1"/>
  <c r="Q177" i="7" l="1" a="1"/>
  <c r="Q177" i="7" s="1"/>
  <c r="R176" i="7"/>
  <c r="Q178" i="7" l="1" a="1"/>
  <c r="Q178" i="7" s="1"/>
  <c r="R177" i="7"/>
  <c r="Q179" i="7" l="1" a="1"/>
  <c r="Q179" i="7" s="1"/>
  <c r="R178" i="7"/>
  <c r="R179" i="7" l="1"/>
  <c r="Q180" i="7" a="1"/>
  <c r="Q180" i="7" s="1"/>
  <c r="Q181" i="7" l="1" a="1"/>
  <c r="Q181" i="7" s="1"/>
  <c r="R180" i="7"/>
  <c r="Q182" i="7" l="1" a="1"/>
  <c r="Q182" i="7" s="1"/>
  <c r="R181" i="7"/>
  <c r="Q183" i="7" l="1" a="1"/>
  <c r="Q183" i="7" s="1"/>
  <c r="R182" i="7"/>
  <c r="Q184" i="7" l="1" a="1"/>
  <c r="Q184" i="7" s="1"/>
  <c r="R183" i="7"/>
  <c r="Q185" i="7" l="1" a="1"/>
  <c r="Q185" i="7" s="1"/>
  <c r="R184" i="7"/>
  <c r="R185" i="7" l="1"/>
  <c r="Q186" i="7" a="1"/>
  <c r="Q186" i="7" s="1"/>
  <c r="Q187" i="7" l="1" a="1"/>
  <c r="Q187" i="7" s="1"/>
  <c r="R186" i="7"/>
  <c r="Q188" i="7" l="1" a="1"/>
  <c r="Q188" i="7" s="1"/>
  <c r="R187" i="7"/>
  <c r="R188" i="7" l="1"/>
  <c r="Q189" i="7" a="1"/>
  <c r="Q189" i="7" s="1"/>
  <c r="Q190" i="7" l="1" a="1"/>
  <c r="Q190" i="7" s="1"/>
  <c r="R189" i="7"/>
  <c r="Q191" i="7" l="1" a="1"/>
  <c r="Q191" i="7" s="1"/>
  <c r="R190" i="7"/>
  <c r="Q192" i="7" l="1" a="1"/>
  <c r="Q192" i="7" s="1"/>
  <c r="R191" i="7"/>
  <c r="Q193" i="7" l="1" a="1"/>
  <c r="Q193" i="7" s="1"/>
  <c r="R192" i="7"/>
  <c r="R193" i="7" l="1"/>
  <c r="Q194" i="7" a="1"/>
  <c r="Q194" i="7" s="1"/>
  <c r="Q195" i="7" l="1" a="1"/>
  <c r="Q195" i="7" s="1"/>
  <c r="R194" i="7"/>
  <c r="Q196" i="7" l="1" a="1"/>
  <c r="Q196" i="7" s="1"/>
  <c r="R195" i="7"/>
  <c r="R196" i="7" l="1"/>
  <c r="Q197" i="7" a="1"/>
  <c r="Q197" i="7" s="1"/>
  <c r="Q198" i="7" l="1" a="1"/>
  <c r="Q198" i="7" s="1"/>
  <c r="R197" i="7"/>
  <c r="R198" i="7" l="1"/>
  <c r="Q199" i="7" a="1"/>
  <c r="Q199" i="7" s="1"/>
  <c r="Q200" i="7" l="1" a="1"/>
  <c r="Q200" i="7" s="1"/>
  <c r="R199" i="7"/>
  <c r="Q201" i="7" l="1" a="1"/>
  <c r="Q201" i="7" s="1"/>
  <c r="R200" i="7"/>
  <c r="Q202" i="7" l="1" a="1"/>
  <c r="Q202" i="7" s="1"/>
  <c r="R201" i="7"/>
  <c r="R202" i="7" l="1"/>
  <c r="Q203" i="7" a="1"/>
  <c r="Q203" i="7" s="1"/>
  <c r="Q204" i="7" l="1" a="1"/>
  <c r="Q204" i="7" s="1"/>
  <c r="R203" i="7"/>
  <c r="R204" i="7" l="1"/>
  <c r="Q205" i="7" a="1"/>
  <c r="Q205" i="7" s="1"/>
  <c r="Q206" i="7" l="1" a="1"/>
  <c r="Q206" i="7" s="1"/>
  <c r="R205" i="7"/>
  <c r="R206" i="7" l="1"/>
  <c r="Q207" i="7" a="1"/>
  <c r="Q207" i="7" s="1"/>
  <c r="Q208" i="7" l="1" a="1"/>
  <c r="Q208" i="7" s="1"/>
  <c r="R207" i="7"/>
  <c r="Q209" i="7" l="1" a="1"/>
  <c r="Q209" i="7" s="1"/>
  <c r="R208" i="7"/>
  <c r="Q210" i="7" l="1" a="1"/>
  <c r="Q210" i="7" s="1"/>
  <c r="R209" i="7"/>
  <c r="Q211" i="7" l="1" a="1"/>
  <c r="Q211" i="7" s="1"/>
  <c r="R210" i="7"/>
  <c r="R211" i="7" l="1"/>
  <c r="Q212" i="7" a="1"/>
  <c r="Q212" i="7" s="1"/>
  <c r="Q213" i="7" l="1" a="1"/>
  <c r="Q213" i="7" s="1"/>
  <c r="R212" i="7"/>
  <c r="Q214" i="7" l="1" a="1"/>
  <c r="Q214" i="7" s="1"/>
  <c r="R213" i="7"/>
  <c r="Q215" i="7" l="1" a="1"/>
  <c r="Q215" i="7" s="1"/>
  <c r="R214" i="7"/>
  <c r="R215" i="7" l="1"/>
  <c r="Q216" i="7" a="1"/>
  <c r="Q216" i="7" s="1"/>
  <c r="Q217" i="7" l="1" a="1"/>
  <c r="Q217" i="7" s="1"/>
  <c r="R216" i="7"/>
  <c r="Q218" i="7" l="1" a="1"/>
  <c r="Q218" i="7" s="1"/>
  <c r="R217" i="7"/>
  <c r="Q219" i="7" l="1" a="1"/>
  <c r="Q219" i="7" s="1"/>
  <c r="R218" i="7"/>
  <c r="Q220" i="7" l="1" a="1"/>
  <c r="Q220" i="7" s="1"/>
  <c r="R219" i="7"/>
  <c r="R220" i="7" l="1"/>
  <c r="Q221" i="7" a="1"/>
  <c r="Q221" i="7" s="1"/>
  <c r="Q222" i="7" l="1" a="1"/>
  <c r="Q222" i="7" s="1"/>
  <c r="R221" i="7"/>
  <c r="Q223" i="7" l="1" a="1"/>
  <c r="Q223" i="7" s="1"/>
  <c r="R222" i="7"/>
  <c r="R223" i="7" l="1"/>
  <c r="Q224" i="7" a="1"/>
  <c r="Q224" i="7" s="1"/>
  <c r="Q225" i="7" l="1" a="1"/>
  <c r="Q225" i="7" s="1"/>
  <c r="R224" i="7"/>
  <c r="Q226" i="7" l="1" a="1"/>
  <c r="Q226" i="7" s="1"/>
  <c r="R225" i="7"/>
  <c r="Q227" i="7" l="1" a="1"/>
  <c r="Q227" i="7" s="1"/>
  <c r="R226" i="7"/>
  <c r="Q228" i="7" l="1" a="1"/>
  <c r="Q228" i="7" s="1"/>
  <c r="R227" i="7"/>
  <c r="Q229" i="7" l="1" a="1"/>
  <c r="Q229" i="7" s="1"/>
  <c r="R228" i="7"/>
  <c r="Q230" i="7" l="1" a="1"/>
  <c r="Q230" i="7" s="1"/>
  <c r="R229" i="7"/>
  <c r="R230" i="7" l="1"/>
  <c r="Q231" i="7" a="1"/>
  <c r="Q231" i="7" s="1"/>
  <c r="Q232" i="7" l="1" a="1"/>
  <c r="Q232" i="7" s="1"/>
  <c r="R231" i="7"/>
  <c r="R232" i="7" l="1"/>
  <c r="Q233" i="7" a="1"/>
  <c r="Q233" i="7" s="1"/>
  <c r="Q234" i="7" l="1" a="1"/>
  <c r="Q234" i="7" s="1"/>
  <c r="R233" i="7"/>
  <c r="Q235" i="7" l="1" a="1"/>
  <c r="Q235" i="7" s="1"/>
  <c r="R234" i="7"/>
  <c r="Q236" i="7" l="1" a="1"/>
  <c r="Q236" i="7" s="1"/>
  <c r="R235" i="7"/>
  <c r="Q237" i="7" l="1" a="1"/>
  <c r="Q237" i="7" s="1"/>
  <c r="R236" i="7"/>
  <c r="Q238" i="7" l="1" a="1"/>
  <c r="Q238" i="7" s="1"/>
  <c r="R237" i="7"/>
  <c r="Q239" i="7" l="1" a="1"/>
  <c r="Q239" i="7" s="1"/>
  <c r="R238" i="7"/>
  <c r="Q240" i="7" l="1" a="1"/>
  <c r="Q240" i="7" s="1"/>
  <c r="R239" i="7"/>
  <c r="R240" i="7" l="1"/>
  <c r="Q241" i="7" a="1"/>
  <c r="Q241" i="7" s="1"/>
  <c r="Q242" i="7" l="1" a="1"/>
  <c r="Q242" i="7" s="1"/>
  <c r="R241" i="7"/>
  <c r="R242" i="7" l="1"/>
  <c r="Q243" i="7" a="1"/>
  <c r="Q243" i="7" s="1"/>
  <c r="Q244" i="7" l="1" a="1"/>
  <c r="Q244" i="7" s="1"/>
  <c r="R243" i="7"/>
  <c r="Q245" i="7" l="1" a="1"/>
  <c r="Q245" i="7" s="1"/>
  <c r="R244" i="7"/>
  <c r="Q246" i="7" l="1" a="1"/>
  <c r="Q246" i="7" s="1"/>
  <c r="R245" i="7"/>
  <c r="Q247" i="7" l="1" a="1"/>
  <c r="Q247" i="7" s="1"/>
  <c r="R246" i="7"/>
  <c r="R247" i="7" l="1"/>
  <c r="Q248" i="7" a="1"/>
  <c r="Q248" i="7" s="1"/>
  <c r="Q249" i="7" l="1" a="1"/>
  <c r="Q249" i="7" s="1"/>
  <c r="R248" i="7"/>
  <c r="Q250" i="7" l="1" a="1"/>
  <c r="Q250" i="7" s="1"/>
  <c r="R249" i="7"/>
  <c r="Q251" i="7" l="1" a="1"/>
  <c r="Q251" i="7" s="1"/>
  <c r="R250" i="7"/>
  <c r="R251" i="7" l="1"/>
  <c r="Q252" i="7" a="1"/>
  <c r="Q252" i="7" s="1"/>
  <c r="Q253" i="7" l="1" a="1"/>
  <c r="Q253" i="7" s="1"/>
  <c r="R252" i="7"/>
  <c r="Q254" i="7" l="1" a="1"/>
  <c r="Q254" i="7" s="1"/>
  <c r="R253" i="7"/>
  <c r="Q255" i="7" l="1" a="1"/>
  <c r="Q255" i="7" s="1"/>
  <c r="R254" i="7"/>
  <c r="Q256" i="7" l="1" a="1"/>
  <c r="Q256" i="7" s="1"/>
  <c r="R255" i="7"/>
  <c r="R256" i="7" l="1"/>
  <c r="Q257" i="7" a="1"/>
  <c r="Q257" i="7" s="1"/>
  <c r="Q258" i="7" l="1" a="1"/>
  <c r="Q258" i="7" s="1"/>
  <c r="R257" i="7"/>
  <c r="R258" i="7" l="1"/>
  <c r="Q259" i="7" a="1"/>
  <c r="Q259" i="7" s="1"/>
  <c r="Q260" i="7" l="1" a="1"/>
  <c r="Q260" i="7" s="1"/>
  <c r="R259" i="7"/>
  <c r="Q261" i="7" l="1" a="1"/>
  <c r="Q261" i="7" s="1"/>
  <c r="R260" i="7"/>
  <c r="Q262" i="7" l="1" a="1"/>
  <c r="Q262" i="7" s="1"/>
  <c r="R261" i="7"/>
  <c r="R262" i="7" l="1"/>
  <c r="Q263" i="7" a="1"/>
  <c r="Q263" i="7" s="1"/>
  <c r="Q264" i="7" l="1" a="1"/>
  <c r="Q264" i="7" s="1"/>
  <c r="R263" i="7"/>
  <c r="Q265" i="7" l="1" a="1"/>
  <c r="Q265" i="7" s="1"/>
  <c r="R264" i="7"/>
  <c r="Q266" i="7" l="1" a="1"/>
  <c r="Q266" i="7" s="1"/>
  <c r="R265" i="7"/>
  <c r="Q267" i="7" l="1" a="1"/>
  <c r="Q267" i="7" s="1"/>
  <c r="R266" i="7"/>
  <c r="R267" i="7" l="1"/>
  <c r="Q268" i="7" a="1"/>
  <c r="Q268" i="7" s="1"/>
  <c r="Q269" i="7" l="1" a="1"/>
  <c r="Q269" i="7" s="1"/>
  <c r="R268" i="7"/>
  <c r="Q270" i="7" l="1" a="1"/>
  <c r="Q270" i="7" s="1"/>
  <c r="R269" i="7"/>
  <c r="R270" i="7" l="1"/>
  <c r="Q271" i="7" a="1"/>
  <c r="Q271" i="7" s="1"/>
  <c r="Q272" i="7" l="1" a="1"/>
  <c r="Q272" i="7" s="1"/>
  <c r="R271" i="7"/>
  <c r="Q273" i="7" l="1" a="1"/>
  <c r="Q273" i="7" s="1"/>
  <c r="R272" i="7"/>
  <c r="Q274" i="7" l="1" a="1"/>
  <c r="Q274" i="7" s="1"/>
  <c r="R273" i="7"/>
  <c r="Q275" i="7" l="1" a="1"/>
  <c r="Q275" i="7" s="1"/>
  <c r="R274" i="7"/>
  <c r="Q276" i="7" l="1" a="1"/>
  <c r="Q276" i="7" s="1"/>
  <c r="R275" i="7"/>
  <c r="R276" i="7" l="1"/>
  <c r="Q277" i="7" a="1"/>
  <c r="Q277" i="7" s="1"/>
  <c r="Q278" i="7" l="1" a="1"/>
  <c r="Q278" i="7" s="1"/>
  <c r="R277" i="7"/>
  <c r="Q279" i="7" l="1" a="1"/>
  <c r="Q279" i="7" s="1"/>
  <c r="R278" i="7"/>
  <c r="Q280" i="7" l="1" a="1"/>
  <c r="Q280" i="7" s="1"/>
  <c r="R279" i="7"/>
  <c r="Q281" i="7" l="1" a="1"/>
  <c r="Q281" i="7" s="1"/>
  <c r="R280" i="7"/>
  <c r="Q282" i="7" l="1" a="1"/>
  <c r="Q282" i="7" s="1"/>
  <c r="R281" i="7"/>
  <c r="Q283" i="7" l="1" a="1"/>
  <c r="Q283" i="7" s="1"/>
  <c r="R282" i="7"/>
  <c r="Q284" i="7" l="1" a="1"/>
  <c r="Q284" i="7" s="1"/>
  <c r="R283" i="7"/>
  <c r="R284" i="7" l="1"/>
  <c r="Q285" i="7" a="1"/>
  <c r="Q285" i="7" s="1"/>
  <c r="R285" i="7" l="1"/>
  <c r="Q286" i="7" a="1"/>
  <c r="Q286" i="7" s="1"/>
  <c r="Q287" i="7" l="1" a="1"/>
  <c r="Q287" i="7" s="1"/>
  <c r="R286" i="7"/>
  <c r="Q288" i="7" l="1" a="1"/>
  <c r="Q288" i="7" s="1"/>
  <c r="R287" i="7"/>
  <c r="Q289" i="7" l="1" a="1"/>
  <c r="Q289" i="7" s="1"/>
  <c r="R288" i="7"/>
  <c r="Q290" i="7" l="1" a="1"/>
  <c r="Q290" i="7" s="1"/>
  <c r="R289" i="7"/>
  <c r="Q291" i="7" l="1" a="1"/>
  <c r="Q291" i="7" s="1"/>
  <c r="R290" i="7"/>
  <c r="Q292" i="7" l="1" a="1"/>
  <c r="Q292" i="7" s="1"/>
  <c r="R291" i="7"/>
  <c r="Q293" i="7" l="1" a="1"/>
  <c r="Q293" i="7" s="1"/>
  <c r="R292" i="7"/>
  <c r="Q294" i="7" l="1" a="1"/>
  <c r="Q294" i="7" s="1"/>
  <c r="R293" i="7"/>
  <c r="R294" i="7" l="1"/>
  <c r="Q295" i="7" a="1"/>
  <c r="Q295" i="7" s="1"/>
  <c r="Q296" i="7" l="1" a="1"/>
  <c r="Q296" i="7" s="1"/>
  <c r="R295" i="7"/>
  <c r="Q297" i="7" l="1" a="1"/>
  <c r="Q297" i="7" s="1"/>
  <c r="R296" i="7"/>
  <c r="Q298" i="7" l="1" a="1"/>
  <c r="Q298" i="7" s="1"/>
  <c r="R297" i="7"/>
  <c r="Q299" i="7" l="1" a="1"/>
  <c r="Q299" i="7" s="1"/>
  <c r="R298" i="7"/>
  <c r="Q300" i="7" l="1" a="1"/>
  <c r="Q300" i="7" s="1"/>
  <c r="R299" i="7"/>
  <c r="Q301" i="7" l="1" a="1"/>
  <c r="Q301" i="7" s="1"/>
  <c r="R300" i="7"/>
  <c r="R301" i="7" l="1"/>
  <c r="Q302" i="7" a="1"/>
  <c r="Q302" i="7" s="1"/>
  <c r="R302" i="7" l="1"/>
  <c r="Q303" i="7" a="1"/>
  <c r="Q303" i="7" s="1"/>
  <c r="Q304" i="7" l="1" a="1"/>
  <c r="Q304" i="7" s="1"/>
  <c r="R303" i="7"/>
  <c r="R304" i="7" l="1"/>
  <c r="Q305" i="7" a="1"/>
  <c r="Q305" i="7" s="1"/>
  <c r="Q306" i="7" l="1" a="1"/>
  <c r="Q306" i="7" s="1"/>
  <c r="R305" i="7"/>
  <c r="Q307" i="7" l="1" a="1"/>
  <c r="Q307" i="7" s="1"/>
  <c r="R306" i="7"/>
  <c r="Q308" i="7" l="1" a="1"/>
  <c r="Q308" i="7" s="1"/>
  <c r="R307" i="7"/>
  <c r="Q309" i="7" l="1" a="1"/>
  <c r="Q309" i="7" s="1"/>
  <c r="R308" i="7"/>
  <c r="Q310" i="7" l="1" a="1"/>
  <c r="Q310" i="7" s="1"/>
  <c r="R309" i="7"/>
  <c r="Q311" i="7" l="1" a="1"/>
  <c r="Q311" i="7" s="1"/>
  <c r="R310" i="7"/>
  <c r="R311" i="7" l="1"/>
  <c r="Q312" i="7" a="1"/>
  <c r="Q312" i="7" s="1"/>
  <c r="Q313" i="7" l="1" a="1"/>
  <c r="Q313" i="7" s="1"/>
  <c r="R312" i="7"/>
  <c r="Q314" i="7" l="1" a="1"/>
  <c r="Q314" i="7" s="1"/>
  <c r="R313" i="7"/>
  <c r="Q315" i="7" l="1" a="1"/>
  <c r="Q315" i="7" s="1"/>
  <c r="R314" i="7"/>
  <c r="Q316" i="7" l="1" a="1"/>
  <c r="Q316" i="7" s="1"/>
  <c r="R315" i="7"/>
  <c r="Q317" i="7" l="1" a="1"/>
  <c r="Q317" i="7" s="1"/>
  <c r="R316" i="7"/>
  <c r="R317" i="7" l="1"/>
  <c r="Q318" i="7" a="1"/>
  <c r="Q318" i="7" s="1"/>
  <c r="Q319" i="7" l="1" a="1"/>
  <c r="Q319" i="7" s="1"/>
  <c r="R318" i="7"/>
  <c r="Q320" i="7" l="1" a="1"/>
  <c r="Q320" i="7" s="1"/>
  <c r="R319" i="7"/>
  <c r="Q321" i="7" l="1" a="1"/>
  <c r="Q321" i="7" s="1"/>
  <c r="R320" i="7"/>
  <c r="Q322" i="7" l="1" a="1"/>
  <c r="Q322" i="7" s="1"/>
  <c r="R321" i="7"/>
  <c r="Q323" i="7" l="1" a="1"/>
  <c r="Q323" i="7" s="1"/>
  <c r="R322" i="7"/>
  <c r="Q324" i="7" l="1" a="1"/>
  <c r="Q324" i="7" s="1"/>
  <c r="R323" i="7"/>
  <c r="Q325" i="7" l="1" a="1"/>
  <c r="Q325" i="7" s="1"/>
  <c r="R324" i="7"/>
  <c r="R325" i="7" l="1"/>
  <c r="Q326" i="7" a="1"/>
  <c r="Q326" i="7" s="1"/>
  <c r="Q327" i="7" l="1" a="1"/>
  <c r="Q327" i="7" s="1"/>
  <c r="R326" i="7"/>
  <c r="Q328" i="7" l="1" a="1"/>
  <c r="Q328" i="7" s="1"/>
  <c r="R327" i="7"/>
  <c r="Q329" i="7" l="1" a="1"/>
  <c r="Q329" i="7" s="1"/>
  <c r="R328" i="7"/>
  <c r="Q330" i="7" l="1" a="1"/>
  <c r="Q330" i="7" s="1"/>
  <c r="R329" i="7"/>
  <c r="Q331" i="7" l="1" a="1"/>
  <c r="Q331" i="7" s="1"/>
  <c r="R330" i="7"/>
  <c r="R331" i="7" l="1"/>
  <c r="Q332" i="7" a="1"/>
  <c r="Q332" i="7" s="1"/>
  <c r="Q333" i="7" l="1" a="1"/>
  <c r="Q333" i="7" s="1"/>
  <c r="R332" i="7"/>
  <c r="R333" i="7" l="1"/>
  <c r="Q334" i="7" a="1"/>
  <c r="Q334" i="7" s="1"/>
  <c r="Q335" i="7" l="1" a="1"/>
  <c r="Q335" i="7" s="1"/>
  <c r="R334" i="7"/>
  <c r="Q336" i="7" l="1" a="1"/>
  <c r="Q336" i="7" s="1"/>
  <c r="R335" i="7"/>
  <c r="Q337" i="7" l="1" a="1"/>
  <c r="Q337" i="7" s="1"/>
  <c r="R336" i="7"/>
  <c r="Q338" i="7" l="1" a="1"/>
  <c r="Q338" i="7" s="1"/>
  <c r="R337" i="7"/>
  <c r="R338" i="7" l="1"/>
  <c r="Q339" i="7" a="1"/>
  <c r="Q339" i="7" s="1"/>
  <c r="Q340" i="7" l="1" a="1"/>
  <c r="Q340" i="7" s="1"/>
  <c r="R339" i="7"/>
  <c r="Q341" i="7" l="1" a="1"/>
  <c r="Q341" i="7" s="1"/>
  <c r="R340" i="7"/>
  <c r="R341" i="7" l="1"/>
  <c r="Q342" i="7" a="1"/>
  <c r="Q342" i="7" s="1"/>
  <c r="Q343" i="7" l="1" a="1"/>
  <c r="Q343" i="7" s="1"/>
  <c r="R342" i="7"/>
  <c r="Q344" i="7" l="1" a="1"/>
  <c r="Q344" i="7" s="1"/>
  <c r="R343" i="7"/>
  <c r="S343" i="7" l="1"/>
  <c r="Q345" i="7" a="1"/>
  <c r="Q345" i="7" s="1"/>
  <c r="R344" i="7"/>
  <c r="S344" i="7" l="1"/>
  <c r="Q346" i="7" a="1"/>
  <c r="Q346" i="7" s="1"/>
  <c r="R345" i="7"/>
  <c r="S345" i="7" l="1"/>
  <c r="Q347" i="7" a="1"/>
  <c r="Q347" i="7" s="1"/>
  <c r="R346" i="7"/>
  <c r="S346" i="7" l="1"/>
  <c r="Q348" i="7" a="1"/>
  <c r="Q348" i="7" s="1"/>
  <c r="R347" i="7"/>
  <c r="S347" i="7" l="1"/>
  <c r="Q349" i="7" a="1"/>
  <c r="Q349" i="7" s="1"/>
  <c r="R348" i="7"/>
  <c r="S348" i="7" s="1"/>
  <c r="R349" i="7" l="1"/>
  <c r="S349" i="7" s="1"/>
  <c r="Q350" i="7" a="1"/>
  <c r="Q350" i="7" s="1"/>
  <c r="Q351" i="7" l="1" a="1"/>
  <c r="Q351" i="7" s="1"/>
  <c r="R350" i="7"/>
  <c r="S350" i="7" s="1"/>
  <c r="R351" i="7" l="1"/>
  <c r="S351" i="7" s="1"/>
  <c r="Q352" i="7" a="1"/>
  <c r="Q352" i="7" s="1"/>
  <c r="Q353" i="7" l="1" a="1"/>
  <c r="Q353" i="7" s="1"/>
  <c r="R352" i="7"/>
  <c r="S352" i="7" s="1"/>
  <c r="R353" i="7" l="1"/>
  <c r="S353" i="7" s="1"/>
  <c r="Q354" i="7" a="1"/>
  <c r="Q354" i="7" s="1"/>
  <c r="Q355" i="7" l="1" a="1"/>
  <c r="Q355" i="7" s="1"/>
  <c r="R354" i="7"/>
  <c r="S354" i="7" s="1"/>
  <c r="Q356" i="7" l="1" a="1"/>
  <c r="Q356" i="7" s="1"/>
  <c r="R355" i="7"/>
  <c r="S355" i="7" s="1"/>
  <c r="R356" i="7" l="1"/>
  <c r="S356" i="7" s="1"/>
  <c r="Q357" i="7" a="1"/>
  <c r="Q357" i="7" s="1"/>
  <c r="Q358" i="7" l="1" a="1"/>
  <c r="Q358" i="7" s="1"/>
  <c r="R357" i="7"/>
  <c r="S357" i="7" s="1"/>
  <c r="R358" i="7" l="1"/>
  <c r="S358" i="7" s="1"/>
  <c r="Q359" i="7" a="1"/>
  <c r="Q359" i="7" s="1"/>
  <c r="Q360" i="7" l="1" a="1"/>
  <c r="Q360" i="7" s="1"/>
  <c r="R359" i="7"/>
  <c r="S359" i="7" s="1"/>
  <c r="Q361" i="7" l="1" a="1"/>
  <c r="Q361" i="7" s="1"/>
  <c r="R360" i="7"/>
  <c r="S360" i="7" s="1"/>
  <c r="R361" i="7" l="1"/>
  <c r="S361" i="7" s="1"/>
  <c r="Q362" i="7" a="1"/>
  <c r="Q362" i="7" s="1"/>
  <c r="Q363" i="7" l="1" a="1"/>
  <c r="Q363" i="7" s="1"/>
  <c r="R362" i="7"/>
  <c r="S362" i="7" s="1"/>
  <c r="Q364" i="7" l="1" a="1"/>
  <c r="Q364" i="7" s="1"/>
  <c r="R363" i="7"/>
  <c r="S363" i="7" s="1"/>
  <c r="R364" i="7" l="1"/>
  <c r="S364" i="7" s="1"/>
  <c r="Q365" i="7" a="1"/>
  <c r="Q365" i="7" s="1"/>
  <c r="Q366" i="7" l="1" a="1"/>
  <c r="Q366" i="7" s="1"/>
  <c r="R365" i="7"/>
  <c r="S365" i="7" s="1"/>
  <c r="R366" i="7" l="1"/>
  <c r="S366" i="7" s="1"/>
  <c r="Q367" i="7" a="1"/>
  <c r="Q367" i="7" s="1"/>
  <c r="Q368" i="7" l="1" a="1"/>
  <c r="Q368" i="7" s="1"/>
  <c r="R367" i="7"/>
  <c r="S367" i="7" s="1"/>
  <c r="R368" i="7" l="1"/>
  <c r="S368" i="7" s="1"/>
  <c r="Q369" i="7" a="1"/>
  <c r="Q369" i="7" s="1"/>
  <c r="Q370" i="7" l="1" a="1"/>
  <c r="Q370" i="7" s="1"/>
  <c r="R369" i="7"/>
  <c r="S369" i="7" s="1"/>
  <c r="Q371" i="7" l="1" a="1"/>
  <c r="Q371" i="7" s="1"/>
  <c r="R370" i="7"/>
  <c r="S370" i="7" s="1"/>
  <c r="R371" i="7" l="1"/>
  <c r="S371" i="7" s="1"/>
  <c r="Q372" i="7" a="1"/>
  <c r="Q372" i="7" s="1"/>
  <c r="Q373" i="7" l="1" a="1"/>
  <c r="Q373" i="7" s="1"/>
  <c r="R372" i="7"/>
  <c r="S372" i="7" s="1"/>
  <c r="R373" i="7" l="1"/>
  <c r="S373" i="7" s="1"/>
  <c r="Q374" i="7" a="1"/>
  <c r="Q374" i="7" s="1"/>
  <c r="Q375" i="7" l="1" a="1"/>
  <c r="Q375" i="7" s="1"/>
  <c r="R374" i="7"/>
  <c r="S374" i="7" s="1"/>
  <c r="Q376" i="7" l="1" a="1"/>
  <c r="Q376" i="7" s="1"/>
  <c r="R375" i="7"/>
  <c r="S375" i="7" s="1"/>
  <c r="Q377" i="7" l="1" a="1"/>
  <c r="Q377" i="7" s="1"/>
  <c r="R376" i="7"/>
  <c r="S376" i="7" s="1"/>
  <c r="R377" i="7" l="1"/>
  <c r="S377" i="7" s="1"/>
  <c r="Q378" i="7" a="1"/>
  <c r="Q378" i="7" s="1"/>
  <c r="Q379" i="7" l="1" a="1"/>
  <c r="Q379" i="7" s="1"/>
  <c r="R378" i="7"/>
  <c r="S378" i="7" s="1"/>
  <c r="Q380" i="7" l="1" a="1"/>
  <c r="Q380" i="7" s="1"/>
  <c r="R379" i="7"/>
  <c r="S379" i="7" s="1"/>
  <c r="Q381" i="7" l="1" a="1"/>
  <c r="Q381" i="7" s="1"/>
  <c r="R380" i="7"/>
  <c r="S380" i="7" s="1"/>
  <c r="R381" i="7" l="1"/>
  <c r="S381" i="7" s="1"/>
  <c r="Q382" i="7" a="1"/>
  <c r="Q382" i="7" s="1"/>
  <c r="Q383" i="7" l="1" a="1"/>
  <c r="Q383" i="7" s="1"/>
  <c r="R382" i="7"/>
  <c r="S382" i="7" s="1"/>
  <c r="Q384" i="7" l="1" a="1"/>
  <c r="Q384" i="7" s="1"/>
  <c r="R383" i="7"/>
  <c r="S383" i="7" s="1"/>
  <c r="Q385" i="7" l="1" a="1"/>
  <c r="Q385" i="7" s="1"/>
  <c r="R384" i="7"/>
  <c r="S384" i="7" s="1"/>
  <c r="Q386" i="7" l="1" a="1"/>
  <c r="Q386" i="7" s="1"/>
  <c r="R385" i="7"/>
  <c r="S385" i="7" s="1"/>
  <c r="R386" i="7" l="1"/>
  <c r="S386" i="7" s="1"/>
  <c r="Q387" i="7" a="1"/>
  <c r="Q387" i="7" s="1"/>
  <c r="Q388" i="7" l="1" a="1"/>
  <c r="Q388" i="7" s="1"/>
  <c r="R387" i="7"/>
  <c r="S387" i="7" s="1"/>
  <c r="Q389" i="7" l="1" a="1"/>
  <c r="Q389" i="7" s="1"/>
  <c r="R388" i="7"/>
  <c r="S388" i="7" s="1"/>
  <c r="R389" i="7" l="1"/>
  <c r="S389" i="7" s="1"/>
  <c r="Q390" i="7" a="1"/>
  <c r="Q390" i="7" s="1"/>
  <c r="Q391" i="7" l="1" a="1"/>
  <c r="Q391" i="7" s="1"/>
  <c r="R390" i="7"/>
  <c r="S390" i="7" s="1"/>
  <c r="R391" i="7" l="1"/>
  <c r="S391" i="7" s="1"/>
  <c r="Q392" i="7" a="1"/>
  <c r="Q392" i="7" s="1"/>
  <c r="Q393" i="7" l="1" a="1"/>
  <c r="Q393" i="7" s="1"/>
  <c r="R392" i="7"/>
  <c r="S392" i="7" s="1"/>
  <c r="R393" i="7" l="1"/>
  <c r="S393" i="7" s="1"/>
  <c r="Q394" i="7" a="1"/>
  <c r="Q394" i="7" s="1"/>
  <c r="R394" i="7" l="1"/>
  <c r="S394" i="7" s="1"/>
  <c r="Q395" i="7" a="1"/>
  <c r="Q395" i="7" s="1"/>
  <c r="Q396" i="7" l="1" a="1"/>
  <c r="Q396" i="7" s="1"/>
  <c r="R395" i="7"/>
  <c r="S395" i="7" s="1"/>
  <c r="R396" i="7" l="1"/>
  <c r="S396" i="7" s="1"/>
  <c r="Q397" i="7" a="1"/>
  <c r="Q397" i="7" s="1"/>
  <c r="Q398" i="7" l="1" a="1"/>
  <c r="Q398" i="7" s="1"/>
  <c r="R397" i="7"/>
  <c r="S397" i="7" s="1"/>
  <c r="R398" i="7" l="1"/>
  <c r="S398" i="7" s="1"/>
  <c r="Q399" i="7" a="1"/>
  <c r="Q399" i="7" s="1"/>
  <c r="R399" i="7" l="1"/>
  <c r="S399" i="7" s="1"/>
  <c r="Q400" i="7" a="1"/>
  <c r="Q400" i="7" s="1"/>
  <c r="Q401" i="7" l="1" a="1"/>
  <c r="Q401" i="7" s="1"/>
  <c r="R400" i="7"/>
  <c r="S400" i="7" s="1"/>
  <c r="R401" i="7" l="1"/>
  <c r="S401" i="7" s="1"/>
  <c r="Q402" i="7" a="1"/>
  <c r="Q402" i="7" s="1"/>
  <c r="Q403" i="7" l="1" a="1"/>
  <c r="Q403" i="7" s="1"/>
  <c r="R402" i="7"/>
  <c r="S402" i="7" s="1"/>
  <c r="Q404" i="7" l="1" a="1"/>
  <c r="Q404" i="7" s="1"/>
  <c r="R403" i="7"/>
  <c r="S403" i="7" s="1"/>
  <c r="R404" i="7" l="1"/>
  <c r="S404" i="7" s="1"/>
  <c r="Q405" i="7" a="1"/>
  <c r="Q405" i="7" s="1"/>
  <c r="Q406" i="7" l="1" a="1"/>
  <c r="Q406" i="7" s="1"/>
  <c r="R405" i="7"/>
  <c r="S405" i="7" s="1"/>
  <c r="R406" i="7" l="1"/>
  <c r="S406" i="7" s="1"/>
  <c r="Q407" i="7" a="1"/>
  <c r="Q407" i="7" s="1"/>
  <c r="Q408" i="7" l="1" a="1"/>
  <c r="Q408" i="7" s="1"/>
  <c r="R407" i="7"/>
  <c r="S407" i="7" s="1"/>
  <c r="Q409" i="7" l="1" a="1"/>
  <c r="Q409" i="7" s="1"/>
  <c r="R408" i="7"/>
  <c r="S408" i="7" s="1"/>
  <c r="R409" i="7" l="1"/>
  <c r="S409" i="7" s="1"/>
  <c r="Q410" i="7" a="1"/>
  <c r="Q410" i="7" s="1"/>
  <c r="Q411" i="7" l="1" a="1"/>
  <c r="Q411" i="7" s="1"/>
  <c r="R410" i="7"/>
  <c r="S410" i="7" s="1"/>
  <c r="R411" i="7" l="1"/>
  <c r="S411" i="7" s="1"/>
  <c r="Q412" i="7" a="1"/>
  <c r="Q412" i="7" s="1"/>
  <c r="Q413" i="7" l="1" a="1"/>
  <c r="Q413" i="7" s="1"/>
  <c r="R412" i="7"/>
  <c r="S412" i="7" s="1"/>
  <c r="Q414" i="7" l="1" a="1"/>
  <c r="Q414" i="7" s="1"/>
  <c r="R413" i="7"/>
  <c r="S413" i="7" s="1"/>
  <c r="R414" i="7" l="1"/>
  <c r="S414" i="7" s="1"/>
  <c r="Q415" i="7" a="1"/>
  <c r="Q415" i="7" s="1"/>
  <c r="Q416" i="7" l="1" a="1"/>
  <c r="Q416" i="7" s="1"/>
  <c r="R415" i="7"/>
  <c r="S415" i="7" s="1"/>
  <c r="R416" i="7" l="1"/>
  <c r="S416" i="7" s="1"/>
  <c r="Q417" i="7" a="1"/>
  <c r="Q417" i="7" s="1"/>
  <c r="Q418" i="7" l="1" a="1"/>
  <c r="Q418" i="7" s="1"/>
  <c r="R417" i="7"/>
  <c r="S417" i="7" s="1"/>
  <c r="Q419" i="7" l="1" a="1"/>
  <c r="Q419" i="7" s="1"/>
  <c r="R418" i="7"/>
  <c r="S418" i="7" s="1"/>
  <c r="R419" i="7" l="1"/>
  <c r="S419" i="7" s="1"/>
  <c r="Q420" i="7" a="1"/>
  <c r="Q420" i="7" s="1"/>
  <c r="Q421" i="7" l="1" a="1"/>
  <c r="Q421" i="7" s="1"/>
  <c r="R420" i="7"/>
  <c r="S420" i="7" s="1"/>
  <c r="Q422" i="7" l="1" a="1"/>
  <c r="Q422" i="7" s="1"/>
  <c r="R421" i="7"/>
  <c r="S421" i="7" s="1"/>
  <c r="Q423" i="7" l="1" a="1"/>
  <c r="Q423" i="7" s="1"/>
  <c r="R422" i="7"/>
  <c r="S422" i="7" s="1"/>
  <c r="Q424" i="7" l="1" a="1"/>
  <c r="Q424" i="7" s="1"/>
  <c r="R423" i="7"/>
  <c r="S423" i="7" s="1"/>
  <c r="R424" i="7" l="1"/>
  <c r="S424" i="7" s="1"/>
  <c r="Q425" i="7" a="1"/>
  <c r="Q425" i="7" s="1"/>
  <c r="Q426" i="7" l="1" a="1"/>
  <c r="Q426" i="7" s="1"/>
  <c r="R425" i="7"/>
  <c r="S425" i="7" s="1"/>
  <c r="R426" i="7" l="1"/>
  <c r="S426" i="7" s="1"/>
  <c r="Q427" i="7" a="1"/>
  <c r="Q427" i="7" s="1"/>
  <c r="Q428" i="7" l="1" a="1"/>
  <c r="Q428" i="7" s="1"/>
  <c r="R427" i="7"/>
  <c r="S427" i="7" s="1"/>
  <c r="Q429" i="7" l="1" a="1"/>
  <c r="Q429" i="7" s="1"/>
  <c r="R428" i="7"/>
  <c r="S428" i="7" s="1"/>
  <c r="R429" i="7" l="1"/>
  <c r="S429" i="7" s="1"/>
  <c r="Q430" i="7" a="1"/>
  <c r="Q430" i="7" s="1"/>
  <c r="Q431" i="7" l="1" a="1"/>
  <c r="Q431" i="7" s="1"/>
  <c r="R430" i="7"/>
  <c r="S430" i="7" s="1"/>
  <c r="R431" i="7" l="1"/>
  <c r="S431" i="7" s="1"/>
  <c r="Q432" i="7" a="1"/>
  <c r="Q432" i="7" s="1"/>
  <c r="Q433" i="7" l="1" a="1"/>
  <c r="Q433" i="7" s="1"/>
  <c r="R432" i="7"/>
  <c r="S432" i="7" s="1"/>
  <c r="Q434" i="7" l="1" a="1"/>
  <c r="Q434" i="7" s="1"/>
  <c r="R433" i="7"/>
  <c r="S433" i="7" s="1"/>
  <c r="Q435" i="7" l="1" a="1"/>
  <c r="Q435" i="7" s="1"/>
  <c r="R434" i="7"/>
  <c r="S434" i="7" s="1"/>
  <c r="R435" i="7" l="1"/>
  <c r="S435" i="7" s="1"/>
  <c r="Q436" i="7" a="1"/>
  <c r="Q436" i="7" s="1"/>
  <c r="Q437" i="7" l="1" a="1"/>
  <c r="Q437" i="7" s="1"/>
  <c r="R436" i="7"/>
  <c r="S436" i="7" s="1"/>
  <c r="Q438" i="7" l="1" a="1"/>
  <c r="Q438" i="7" s="1"/>
  <c r="R437" i="7"/>
  <c r="S437" i="7" s="1"/>
  <c r="Q439" i="7" l="1" a="1"/>
  <c r="Q439" i="7" s="1"/>
  <c r="R438" i="7"/>
  <c r="S438" i="7" s="1"/>
  <c r="Q440" i="7" l="1" a="1"/>
  <c r="Q440" i="7" s="1"/>
  <c r="R439" i="7"/>
  <c r="S439" i="7" s="1"/>
  <c r="Q441" i="7" l="1" a="1"/>
  <c r="Q441" i="7" s="1"/>
  <c r="R440" i="7"/>
  <c r="S440" i="7" s="1"/>
  <c r="R441" i="7" l="1"/>
  <c r="S441" i="7" s="1"/>
  <c r="Q442" i="7" a="1"/>
  <c r="Q442" i="7" s="1"/>
  <c r="Q443" i="7" l="1" a="1"/>
  <c r="Q443" i="7" s="1"/>
  <c r="R442" i="7"/>
  <c r="S442" i="7" s="1"/>
  <c r="Q444" i="7" l="1" a="1"/>
  <c r="Q444" i="7" s="1"/>
  <c r="R443" i="7"/>
  <c r="S443" i="7" s="1"/>
  <c r="R444" i="7" l="1"/>
  <c r="S444" i="7" s="1"/>
  <c r="Q445" i="7" a="1"/>
  <c r="Q445" i="7" s="1"/>
  <c r="Q446" i="7" l="1" a="1"/>
  <c r="Q446" i="7" s="1"/>
  <c r="R445" i="7"/>
  <c r="S445" i="7" s="1"/>
  <c r="R446" i="7" l="1"/>
  <c r="S446" i="7" s="1"/>
  <c r="Q447" i="7" a="1"/>
  <c r="Q447" i="7" s="1"/>
  <c r="Q448" i="7" l="1" a="1"/>
  <c r="Q448" i="7" s="1"/>
  <c r="R447" i="7"/>
  <c r="S447" i="7" s="1"/>
  <c r="Q449" i="7" l="1" a="1"/>
  <c r="Q449" i="7" s="1"/>
  <c r="R448" i="7"/>
  <c r="S448" i="7" s="1"/>
  <c r="R449" i="7" l="1"/>
  <c r="S449" i="7" s="1"/>
  <c r="Q450" i="7" a="1"/>
  <c r="Q450" i="7" s="1"/>
  <c r="Q451" i="7" l="1" a="1"/>
  <c r="Q451" i="7" s="1"/>
  <c r="R450" i="7"/>
  <c r="S450" i="7" s="1"/>
  <c r="R451" i="7" l="1"/>
  <c r="S451" i="7" s="1"/>
  <c r="Q452" i="7" a="1"/>
  <c r="Q452" i="7" s="1"/>
  <c r="Q453" i="7" l="1" a="1"/>
  <c r="Q453" i="7" s="1"/>
  <c r="R452" i="7"/>
  <c r="S452" i="7" s="1"/>
  <c r="R453" i="7" l="1"/>
  <c r="S453" i="7" s="1"/>
  <c r="Q454" i="7" a="1"/>
  <c r="Q454" i="7" s="1"/>
  <c r="Q455" i="7" l="1" a="1"/>
  <c r="Q455" i="7" s="1"/>
  <c r="R454" i="7"/>
  <c r="S454" i="7" s="1"/>
  <c r="Q456" i="7" l="1" a="1"/>
  <c r="Q456" i="7" s="1"/>
  <c r="R455" i="7"/>
  <c r="S455" i="7" s="1"/>
  <c r="Q457" i="7" l="1" a="1"/>
  <c r="Q457" i="7" s="1"/>
  <c r="R456" i="7"/>
  <c r="S456" i="7" s="1"/>
  <c r="Q458" i="7" l="1" a="1"/>
  <c r="Q458" i="7" s="1"/>
  <c r="R457" i="7"/>
  <c r="S457" i="7" s="1"/>
  <c r="R458" i="7" l="1"/>
  <c r="S458" i="7" s="1"/>
  <c r="Q459" i="7" a="1"/>
  <c r="Q459" i="7" s="1"/>
  <c r="Q460" i="7" l="1" a="1"/>
  <c r="Q460" i="7" s="1"/>
  <c r="R459" i="7"/>
  <c r="S459" i="7" s="1"/>
  <c r="Q461" i="7" l="1" a="1"/>
  <c r="Q461" i="7" s="1"/>
  <c r="R460" i="7"/>
  <c r="S460" i="7" s="1"/>
  <c r="Q462" i="7" l="1" a="1"/>
  <c r="Q462" i="7" s="1"/>
  <c r="R461" i="7"/>
  <c r="S461" i="7" s="1"/>
  <c r="Q463" i="7" l="1" a="1"/>
  <c r="Q463" i="7" s="1"/>
  <c r="R462" i="7"/>
  <c r="S462" i="7" s="1"/>
  <c r="R463" i="7" l="1"/>
  <c r="S463" i="7" s="1"/>
  <c r="Q464" i="7" a="1"/>
  <c r="Q464" i="7" s="1"/>
  <c r="Q465" i="7" l="1" a="1"/>
  <c r="Q465" i="7" s="1"/>
  <c r="R464" i="7"/>
  <c r="S464" i="7" s="1"/>
  <c r="R465" i="7" l="1"/>
  <c r="S465" i="7" s="1"/>
  <c r="Q466" i="7" a="1"/>
  <c r="Q466" i="7" s="1"/>
  <c r="Q467" i="7" l="1" a="1"/>
  <c r="Q467" i="7" s="1"/>
  <c r="R466" i="7"/>
  <c r="S466" i="7" s="1"/>
  <c r="Q468" i="7" l="1" a="1"/>
  <c r="Q468" i="7" s="1"/>
  <c r="R467" i="7"/>
  <c r="S467" i="7" s="1"/>
  <c r="R468" i="7" l="1"/>
  <c r="S468" i="7" s="1"/>
  <c r="Q469" i="7" a="1"/>
  <c r="Q469" i="7" s="1"/>
  <c r="Q470" i="7" l="1" a="1"/>
  <c r="Q470" i="7" s="1"/>
  <c r="R469" i="7"/>
  <c r="S469" i="7" s="1"/>
  <c r="Q471" i="7" l="1" a="1"/>
  <c r="Q471" i="7" s="1"/>
  <c r="R470" i="7"/>
  <c r="S470" i="7" s="1"/>
  <c r="Q472" i="7" l="1" a="1"/>
  <c r="Q472" i="7" s="1"/>
  <c r="R471" i="7"/>
  <c r="S471" i="7" s="1"/>
  <c r="R472" i="7" l="1"/>
  <c r="S472" i="7" s="1"/>
  <c r="Q473" i="7" a="1"/>
  <c r="Q473" i="7" s="1"/>
  <c r="Q474" i="7" l="1" a="1"/>
  <c r="Q474" i="7" s="1"/>
  <c r="R473" i="7"/>
  <c r="S473" i="7" s="1"/>
  <c r="Q475" i="7" l="1" a="1"/>
  <c r="Q475" i="7" s="1"/>
  <c r="R474" i="7"/>
  <c r="S474" i="7" s="1"/>
  <c r="Q476" i="7" l="1" a="1"/>
  <c r="Q476" i="7" s="1"/>
  <c r="R475" i="7"/>
  <c r="S475" i="7" s="1"/>
  <c r="Q477" i="7" l="1" a="1"/>
  <c r="Q477" i="7" s="1"/>
  <c r="R476" i="7"/>
  <c r="S476" i="7" s="1"/>
  <c r="R477" i="7" l="1"/>
  <c r="S477" i="7" s="1"/>
  <c r="Q478" i="7" a="1"/>
  <c r="Q478" i="7" s="1"/>
  <c r="Q479" i="7" l="1" a="1"/>
  <c r="Q479" i="7" s="1"/>
  <c r="R478" i="7"/>
  <c r="S478" i="7" s="1"/>
  <c r="R479" i="7" l="1"/>
  <c r="S479" i="7" s="1"/>
  <c r="Q480" i="7" a="1"/>
  <c r="Q480" i="7" s="1"/>
  <c r="Q481" i="7" l="1" a="1"/>
  <c r="Q481" i="7" s="1"/>
  <c r="R480" i="7"/>
  <c r="S480" i="7" s="1"/>
  <c r="Q482" i="7" l="1" a="1"/>
  <c r="Q482" i="7" s="1"/>
  <c r="R481" i="7"/>
  <c r="S481" i="7" s="1"/>
  <c r="R482" i="7" l="1"/>
  <c r="S482" i="7" s="1"/>
  <c r="Q483" i="7" a="1"/>
  <c r="Q483" i="7" s="1"/>
  <c r="Q484" i="7" l="1" a="1"/>
  <c r="Q484" i="7" s="1"/>
  <c r="R483" i="7"/>
  <c r="S483" i="7" s="1"/>
  <c r="R484" i="7" l="1"/>
  <c r="S484" i="7" s="1"/>
  <c r="Q485" i="7" a="1"/>
  <c r="Q485" i="7" s="1"/>
  <c r="Q486" i="7" l="1" a="1"/>
  <c r="Q486" i="7" s="1"/>
  <c r="R485" i="7"/>
  <c r="S485" i="7" s="1"/>
  <c r="R486" i="7" l="1"/>
  <c r="S486" i="7" s="1"/>
  <c r="Q487" i="7" a="1"/>
  <c r="Q487" i="7" s="1"/>
  <c r="Q488" i="7" l="1" a="1"/>
  <c r="Q488" i="7" s="1"/>
  <c r="R487" i="7"/>
  <c r="S487" i="7" s="1"/>
  <c r="Q489" i="7" l="1" a="1"/>
  <c r="Q489" i="7" s="1"/>
  <c r="R488" i="7"/>
  <c r="S488" i="7" s="1"/>
  <c r="Q490" i="7" l="1" a="1"/>
  <c r="Q490" i="7" s="1"/>
  <c r="R489" i="7"/>
  <c r="S489" i="7" s="1"/>
  <c r="Q491" i="7" l="1" a="1"/>
  <c r="Q491" i="7" s="1"/>
  <c r="R490" i="7"/>
  <c r="S490" i="7" s="1"/>
  <c r="Q492" i="7" l="1" a="1"/>
  <c r="Q492" i="7" s="1"/>
  <c r="R491" i="7"/>
  <c r="S491" i="7" s="1"/>
  <c r="Q493" i="7" l="1" a="1"/>
  <c r="Q493" i="7" s="1"/>
  <c r="R492" i="7"/>
  <c r="S492" i="7" s="1"/>
  <c r="R493" i="7" l="1"/>
  <c r="S493" i="7" s="1"/>
  <c r="Q494" i="7" a="1"/>
  <c r="Q494" i="7" s="1"/>
  <c r="Q495" i="7" l="1" a="1"/>
  <c r="Q495" i="7" s="1"/>
  <c r="R494" i="7"/>
  <c r="S494" i="7" s="1"/>
  <c r="Q496" i="7" l="1" a="1"/>
  <c r="Q496" i="7" s="1"/>
  <c r="R495" i="7"/>
  <c r="S495" i="7" s="1"/>
  <c r="R496" i="7" l="1"/>
  <c r="S496" i="7" s="1"/>
  <c r="Q497" i="7" a="1"/>
  <c r="Q497" i="7" s="1"/>
  <c r="Q498" i="7" l="1" a="1"/>
  <c r="Q498" i="7" s="1"/>
  <c r="R497" i="7"/>
  <c r="S497" i="7" s="1"/>
  <c r="R498" i="7" l="1"/>
  <c r="S498" i="7" s="1"/>
  <c r="Q499" i="7" a="1"/>
  <c r="Q499" i="7" s="1"/>
  <c r="R499" i="7" l="1"/>
  <c r="S499" i="7" s="1"/>
  <c r="Q500" i="7" a="1"/>
  <c r="Q500" i="7" s="1"/>
  <c r="Q501" i="7" l="1" a="1"/>
  <c r="Q501" i="7" s="1"/>
  <c r="R500" i="7"/>
  <c r="S500" i="7" s="1"/>
  <c r="Q502" i="7" l="1" a="1"/>
  <c r="Q502" i="7" s="1"/>
  <c r="R501" i="7"/>
  <c r="S501" i="7" s="1"/>
  <c r="R502" i="7" l="1"/>
  <c r="S502" i="7" s="1"/>
  <c r="Q503" i="7" a="1"/>
  <c r="Q503" i="7" s="1"/>
  <c r="Q504" i="7" l="1" a="1"/>
  <c r="Q504" i="7" s="1"/>
  <c r="R503" i="7"/>
  <c r="S503" i="7" s="1"/>
  <c r="R504" i="7" l="1"/>
  <c r="S504" i="7" s="1"/>
  <c r="Q505" i="7" a="1"/>
  <c r="Q505" i="7" s="1"/>
  <c r="R505" i="7" s="1"/>
  <c r="S342" i="7" s="1"/>
  <c r="S312" i="7" l="1"/>
  <c r="S311" i="7"/>
  <c r="S314" i="7"/>
  <c r="S313" i="7"/>
  <c r="S316" i="7"/>
  <c r="S315" i="7"/>
  <c r="S317" i="7"/>
  <c r="S318" i="7"/>
  <c r="S319" i="7"/>
  <c r="S320" i="7"/>
  <c r="S321" i="7"/>
  <c r="S322" i="7"/>
  <c r="S323" i="7"/>
  <c r="S324" i="7"/>
  <c r="S325" i="7"/>
  <c r="S326" i="7"/>
  <c r="S328" i="7"/>
  <c r="S327" i="7"/>
  <c r="S330" i="7"/>
  <c r="S329" i="7"/>
  <c r="S331" i="7"/>
  <c r="S332" i="7"/>
  <c r="S333" i="7"/>
  <c r="S334" i="7"/>
  <c r="S336" i="7"/>
  <c r="S335" i="7"/>
  <c r="S337" i="7"/>
  <c r="S338" i="7"/>
  <c r="S339" i="7"/>
  <c r="S340" i="7"/>
  <c r="S341" i="7"/>
  <c r="S293" i="7"/>
  <c r="S294" i="7"/>
  <c r="S292" i="7"/>
  <c r="S296" i="7"/>
  <c r="S295" i="7"/>
  <c r="S297" i="7"/>
  <c r="S298" i="7"/>
  <c r="S299" i="7"/>
  <c r="S300" i="7"/>
  <c r="S301" i="7"/>
  <c r="S302" i="7"/>
  <c r="S303" i="7"/>
  <c r="S304" i="7"/>
  <c r="S305" i="7"/>
  <c r="S306" i="7"/>
  <c r="S307" i="7"/>
  <c r="S308" i="7"/>
  <c r="S309" i="7"/>
  <c r="S310" i="7"/>
  <c r="S291" i="7"/>
  <c r="S290" i="7"/>
  <c r="S289" i="7"/>
  <c r="S288" i="7"/>
  <c r="S287" i="7"/>
  <c r="S286" i="7"/>
  <c r="S285" i="7"/>
  <c r="S284" i="7"/>
  <c r="S283" i="7"/>
  <c r="S282" i="7"/>
  <c r="S281" i="7"/>
  <c r="S280" i="7"/>
  <c r="S279" i="7"/>
  <c r="S278" i="7"/>
  <c r="S277" i="7"/>
  <c r="S276" i="7"/>
  <c r="S275" i="7"/>
  <c r="S274" i="7"/>
  <c r="S273" i="7"/>
  <c r="S272" i="7"/>
  <c r="S271" i="7"/>
  <c r="S270" i="7"/>
  <c r="S269" i="7"/>
  <c r="S268" i="7"/>
  <c r="S267" i="7"/>
  <c r="S266" i="7"/>
  <c r="S265" i="7"/>
  <c r="S264" i="7"/>
  <c r="S263" i="7"/>
  <c r="S262" i="7"/>
  <c r="S261" i="7"/>
  <c r="S260" i="7"/>
  <c r="S259" i="7"/>
  <c r="S258" i="7"/>
  <c r="S257" i="7"/>
  <c r="S256" i="7"/>
  <c r="S255" i="7"/>
  <c r="S254" i="7"/>
  <c r="S253" i="7"/>
  <c r="S252" i="7"/>
  <c r="S251" i="7"/>
  <c r="S250" i="7"/>
  <c r="S249" i="7"/>
  <c r="S248" i="7"/>
  <c r="S247" i="7"/>
  <c r="S246" i="7"/>
  <c r="S245" i="7"/>
  <c r="S244" i="7"/>
  <c r="S243" i="7"/>
  <c r="S242" i="7"/>
  <c r="S241" i="7"/>
  <c r="S240" i="7"/>
  <c r="S239" i="7"/>
  <c r="S238" i="7"/>
  <c r="S237" i="7"/>
  <c r="S236" i="7"/>
  <c r="S235" i="7"/>
  <c r="S234" i="7"/>
  <c r="S233" i="7"/>
  <c r="S232" i="7"/>
  <c r="S231" i="7"/>
  <c r="S230" i="7"/>
  <c r="S229" i="7"/>
  <c r="S228" i="7"/>
  <c r="S227" i="7"/>
  <c r="S226" i="7"/>
  <c r="S225" i="7"/>
  <c r="S223" i="7"/>
  <c r="S224" i="7"/>
  <c r="S222" i="7"/>
  <c r="S221" i="7"/>
  <c r="S220" i="7"/>
  <c r="S219" i="7"/>
  <c r="S218" i="7"/>
  <c r="S216" i="7"/>
  <c r="S217" i="7"/>
  <c r="S215" i="7"/>
  <c r="S214" i="7"/>
  <c r="S213" i="7"/>
  <c r="S212" i="7"/>
  <c r="S211" i="7"/>
  <c r="S210" i="7"/>
  <c r="S209" i="7"/>
  <c r="S208" i="7"/>
  <c r="S207" i="7"/>
  <c r="S206" i="7"/>
  <c r="S205" i="7"/>
  <c r="S204" i="7"/>
  <c r="S203" i="7"/>
  <c r="S202" i="7"/>
  <c r="S201" i="7"/>
  <c r="S200" i="7"/>
  <c r="S199" i="7"/>
  <c r="S198" i="7"/>
  <c r="S197" i="7"/>
  <c r="S196" i="7"/>
  <c r="S195" i="7"/>
  <c r="S194" i="7"/>
  <c r="S193" i="7"/>
  <c r="S192" i="7"/>
  <c r="S191" i="7"/>
  <c r="S190" i="7"/>
  <c r="S189" i="7"/>
  <c r="S188" i="7"/>
  <c r="S187" i="7"/>
  <c r="S186" i="7"/>
  <c r="S185" i="7"/>
  <c r="S184" i="7"/>
  <c r="S183" i="7"/>
  <c r="S182" i="7"/>
  <c r="S181" i="7"/>
  <c r="S180" i="7"/>
  <c r="S179" i="7"/>
  <c r="S178" i="7"/>
  <c r="S177" i="7"/>
  <c r="S176" i="7"/>
  <c r="S175" i="7"/>
  <c r="S174" i="7"/>
  <c r="S173" i="7"/>
  <c r="S172" i="7"/>
  <c r="S171" i="7"/>
  <c r="S170" i="7"/>
  <c r="S169" i="7"/>
  <c r="S168" i="7"/>
  <c r="S167" i="7"/>
  <c r="S166" i="7"/>
  <c r="S165" i="7"/>
  <c r="S164" i="7"/>
  <c r="S163" i="7"/>
  <c r="S162" i="7"/>
  <c r="S161" i="7"/>
  <c r="S160" i="7"/>
  <c r="S159" i="7"/>
  <c r="S158" i="7"/>
  <c r="S157" i="7"/>
  <c r="S156" i="7"/>
  <c r="S155" i="7"/>
  <c r="S154" i="7"/>
  <c r="S153" i="7"/>
  <c r="S152" i="7"/>
  <c r="S151" i="7"/>
  <c r="S150" i="7"/>
  <c r="S149" i="7"/>
  <c r="S148" i="7"/>
  <c r="S147" i="7"/>
  <c r="S146" i="7"/>
  <c r="S145" i="7"/>
  <c r="S144" i="7"/>
  <c r="S143" i="7"/>
  <c r="S142" i="7"/>
  <c r="S141" i="7"/>
  <c r="S140" i="7"/>
  <c r="S139" i="7"/>
  <c r="S138" i="7"/>
  <c r="S137" i="7"/>
  <c r="S136" i="7"/>
  <c r="S135" i="7"/>
  <c r="S134" i="7"/>
  <c r="S133" i="7"/>
  <c r="S132" i="7"/>
  <c r="S131" i="7"/>
  <c r="S130" i="7"/>
  <c r="S129" i="7"/>
  <c r="S128" i="7"/>
  <c r="S127" i="7"/>
  <c r="S126" i="7"/>
  <c r="S125" i="7"/>
  <c r="S124" i="7"/>
  <c r="S123" i="7"/>
  <c r="S122" i="7"/>
  <c r="S121" i="7"/>
  <c r="S120" i="7"/>
  <c r="S119" i="7"/>
  <c r="S118" i="7"/>
  <c r="S117" i="7"/>
  <c r="S116" i="7"/>
  <c r="S115" i="7"/>
  <c r="S114" i="7"/>
  <c r="S113" i="7"/>
  <c r="S112" i="7"/>
  <c r="S111" i="7"/>
  <c r="S110" i="7"/>
  <c r="S109" i="7"/>
  <c r="S108" i="7"/>
  <c r="S107" i="7"/>
  <c r="S106" i="7"/>
  <c r="S105" i="7"/>
  <c r="S104" i="7"/>
  <c r="S103" i="7"/>
  <c r="S102" i="7"/>
  <c r="S101" i="7"/>
  <c r="S100" i="7"/>
  <c r="S99" i="7"/>
  <c r="S98" i="7"/>
  <c r="S97" i="7"/>
  <c r="S96" i="7"/>
  <c r="S95" i="7"/>
  <c r="S94" i="7"/>
  <c r="S93" i="7"/>
  <c r="S92" i="7"/>
  <c r="S91" i="7"/>
  <c r="S90" i="7"/>
  <c r="S88" i="7"/>
  <c r="S89" i="7"/>
  <c r="S87" i="7"/>
  <c r="S86" i="7"/>
  <c r="S85" i="7"/>
  <c r="S84" i="7"/>
  <c r="S83" i="7"/>
  <c r="S82" i="7"/>
  <c r="S81" i="7"/>
  <c r="S79" i="7"/>
  <c r="S80" i="7"/>
  <c r="S78" i="7"/>
  <c r="S77" i="7"/>
  <c r="S76" i="7"/>
  <c r="S75" i="7"/>
  <c r="S74" i="7"/>
  <c r="S73" i="7"/>
  <c r="S72" i="7"/>
  <c r="S71" i="7"/>
  <c r="S70" i="7"/>
  <c r="S69" i="7"/>
  <c r="S68" i="7"/>
  <c r="S67" i="7"/>
  <c r="S66" i="7"/>
  <c r="S65" i="7"/>
  <c r="S64" i="7"/>
  <c r="S63" i="7"/>
  <c r="S62" i="7"/>
  <c r="S61" i="7"/>
  <c r="S60" i="7"/>
  <c r="S59" i="7"/>
  <c r="S58" i="7"/>
  <c r="S57" i="7"/>
  <c r="S56" i="7"/>
  <c r="S55" i="7"/>
  <c r="S54" i="7"/>
  <c r="S53" i="7"/>
  <c r="S52" i="7"/>
  <c r="S51" i="7"/>
  <c r="S50" i="7"/>
  <c r="S49" i="7"/>
  <c r="S48" i="7"/>
  <c r="S47" i="7"/>
  <c r="S46" i="7"/>
  <c r="S45" i="7"/>
  <c r="S44" i="7"/>
  <c r="S43" i="7"/>
  <c r="S42" i="7"/>
  <c r="S41" i="7"/>
  <c r="S40" i="7"/>
  <c r="S39" i="7"/>
  <c r="S38" i="7"/>
  <c r="S37" i="7"/>
  <c r="S36" i="7"/>
  <c r="S35" i="7"/>
  <c r="S34" i="7"/>
  <c r="S33" i="7"/>
  <c r="S32" i="7"/>
  <c r="S31" i="7"/>
  <c r="S30" i="7"/>
  <c r="S29" i="7"/>
  <c r="S28" i="7"/>
  <c r="S27" i="7"/>
  <c r="S26" i="7"/>
  <c r="S25" i="7"/>
  <c r="S24" i="7"/>
  <c r="S23" i="7"/>
  <c r="S22" i="7"/>
  <c r="S21" i="7"/>
  <c r="S20" i="7"/>
  <c r="S19" i="7"/>
  <c r="S18" i="7"/>
  <c r="S17" i="7"/>
  <c r="S16" i="7"/>
  <c r="S15" i="7"/>
  <c r="S14" i="7"/>
  <c r="S13" i="7"/>
  <c r="S11" i="7"/>
  <c r="S9" i="7"/>
  <c r="S12" i="7"/>
  <c r="S10" i="7"/>
  <c r="S8" i="7"/>
  <c r="S7" i="7"/>
  <c r="S6" i="7"/>
  <c r="S505" i="7"/>
  <c r="C7" i="7" l="1"/>
  <c r="C17" i="7"/>
  <c r="C28" i="7"/>
  <c r="C37" i="7"/>
  <c r="C48" i="7"/>
  <c r="C58" i="7"/>
  <c r="C67" i="7"/>
  <c r="C137" i="7"/>
  <c r="C146" i="7"/>
  <c r="C155" i="7"/>
  <c r="C164" i="7"/>
  <c r="C175" i="7"/>
  <c r="C176" i="7"/>
  <c r="C186" i="7"/>
  <c r="C195" i="7"/>
  <c r="C206" i="7"/>
  <c r="C216" i="7"/>
  <c r="C225" i="7"/>
  <c r="C234" i="7"/>
  <c r="C243" i="7"/>
  <c r="C252" i="7"/>
  <c r="C261" i="7"/>
  <c r="C269" i="7"/>
  <c r="C278" i="7"/>
  <c r="C287" i="7"/>
  <c r="C296" i="7"/>
  <c r="C306" i="7"/>
  <c r="C344" i="7"/>
  <c r="C352" i="7"/>
  <c r="C360" i="7"/>
  <c r="C370" i="7"/>
  <c r="C380" i="7"/>
  <c r="C12" i="7"/>
  <c r="C22" i="7"/>
  <c r="C32" i="7"/>
  <c r="C42" i="7"/>
  <c r="C51" i="7"/>
  <c r="C61" i="7"/>
  <c r="C70" i="7"/>
  <c r="C131" i="7"/>
  <c r="C140" i="7"/>
  <c r="C149" i="7"/>
  <c r="C157" i="7"/>
  <c r="C165" i="7"/>
  <c r="C174" i="7"/>
  <c r="C182" i="7"/>
  <c r="C191" i="7"/>
  <c r="C200" i="7"/>
  <c r="C210" i="7"/>
  <c r="C219" i="7"/>
  <c r="C228" i="7"/>
  <c r="C229" i="7"/>
  <c r="C237" i="7"/>
  <c r="C246" i="7"/>
  <c r="C255" i="7"/>
  <c r="C264" i="7"/>
  <c r="C273" i="7"/>
  <c r="C282" i="7"/>
  <c r="C291" i="7"/>
  <c r="C300" i="7"/>
  <c r="C309" i="7"/>
  <c r="C347" i="7"/>
  <c r="C355" i="7"/>
  <c r="C363" i="7"/>
  <c r="C371" i="7"/>
  <c r="C10" i="7"/>
  <c r="C20" i="7"/>
  <c r="C31" i="7"/>
  <c r="C41" i="7"/>
  <c r="C52" i="7"/>
  <c r="C62" i="7"/>
  <c r="C72"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1" i="7"/>
  <c r="C21" i="7"/>
  <c r="C30" i="7"/>
  <c r="C40" i="7"/>
  <c r="C50" i="7"/>
  <c r="C60" i="7"/>
  <c r="C71" i="7"/>
  <c r="C132" i="7"/>
  <c r="C141" i="7"/>
  <c r="C150" i="7"/>
  <c r="C159" i="7"/>
  <c r="C168" i="7"/>
  <c r="C178" i="7"/>
  <c r="C187" i="7"/>
  <c r="C196" i="7"/>
  <c r="C204" i="7"/>
  <c r="C213" i="7"/>
  <c r="C222" i="7"/>
  <c r="C232" i="7"/>
  <c r="C242" i="7"/>
  <c r="C251" i="7"/>
  <c r="C260" i="7"/>
  <c r="C270" i="7"/>
  <c r="C279" i="7"/>
  <c r="C288" i="7"/>
  <c r="C297" i="7"/>
  <c r="C298" i="7"/>
  <c r="C308"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9" i="7"/>
  <c r="C19" i="7"/>
  <c r="C29" i="7"/>
  <c r="C39" i="7"/>
  <c r="C49" i="7"/>
  <c r="C59" i="7"/>
  <c r="C69" i="7"/>
  <c r="C130" i="7"/>
  <c r="C139" i="7"/>
  <c r="C148" i="7"/>
  <c r="C158" i="7"/>
  <c r="C167" i="7"/>
  <c r="C185" i="7"/>
  <c r="C194" i="7"/>
  <c r="C203" i="7"/>
  <c r="C212" i="7"/>
  <c r="C221" i="7"/>
  <c r="C230" i="7"/>
  <c r="C239" i="7"/>
  <c r="C248" i="7"/>
  <c r="C258" i="7"/>
  <c r="C259" i="7"/>
  <c r="C268" i="7"/>
  <c r="C277" i="7"/>
  <c r="C286" i="7"/>
  <c r="C295" i="7"/>
  <c r="C305" i="7"/>
  <c r="C345" i="7"/>
  <c r="C354" i="7"/>
  <c r="C362" i="7"/>
  <c r="C369" i="7"/>
  <c r="C377" i="7"/>
  <c r="C385" i="7"/>
  <c r="C390" i="7"/>
  <c r="C395" i="7"/>
  <c r="C400" i="7"/>
  <c r="C405" i="7"/>
  <c r="C410" i="7"/>
  <c r="C415" i="7"/>
  <c r="C420" i="7"/>
  <c r="C425" i="7"/>
  <c r="C430" i="7"/>
  <c r="C435" i="7"/>
  <c r="C442" i="7"/>
  <c r="C447" i="7"/>
  <c r="C452" i="7"/>
  <c r="C457" i="7"/>
  <c r="C461" i="7"/>
  <c r="C466" i="7"/>
  <c r="C472" i="7"/>
  <c r="C477" i="7"/>
  <c r="C482" i="7"/>
  <c r="C487" i="7"/>
  <c r="C491" i="7"/>
  <c r="C495" i="7"/>
  <c r="C500" i="7"/>
  <c r="C503" i="7"/>
  <c r="C504" i="7"/>
  <c r="C13" i="7"/>
  <c r="C23" i="7"/>
  <c r="C33" i="7"/>
  <c r="C43" i="7"/>
  <c r="C53" i="7"/>
  <c r="C63" i="7"/>
  <c r="C73" i="7"/>
  <c r="C133" i="7"/>
  <c r="C143" i="7"/>
  <c r="C152" i="7"/>
  <c r="C161" i="7"/>
  <c r="C170" i="7"/>
  <c r="C179" i="7"/>
  <c r="C188" i="7"/>
  <c r="C197" i="7"/>
  <c r="C205" i="7"/>
  <c r="C214" i="7"/>
  <c r="C223" i="7"/>
  <c r="C231" i="7"/>
  <c r="C240" i="7"/>
  <c r="C249" i="7"/>
  <c r="C267" i="7"/>
  <c r="C276" i="7"/>
  <c r="C285" i="7"/>
  <c r="C294" i="7"/>
  <c r="C303" i="7"/>
  <c r="C342" i="7"/>
  <c r="C350" i="7"/>
  <c r="C359" i="7"/>
  <c r="C367" i="7"/>
  <c r="C376" i="7"/>
  <c r="C384" i="7"/>
  <c r="C389" i="7"/>
  <c r="C394" i="7"/>
  <c r="C399" i="7"/>
  <c r="C404" i="7"/>
  <c r="C409" i="7"/>
  <c r="C414" i="7"/>
  <c r="C419" i="7"/>
  <c r="C424" i="7"/>
  <c r="C429" i="7"/>
  <c r="C434" i="7"/>
  <c r="C439" i="7"/>
  <c r="C444" i="7"/>
  <c r="C449" i="7"/>
  <c r="C454" i="7"/>
  <c r="C459" i="7"/>
  <c r="C464" i="7"/>
  <c r="C469" i="7"/>
  <c r="C473" i="7"/>
  <c r="C478" i="7"/>
  <c r="C483" i="7"/>
  <c r="C489" i="7"/>
  <c r="C494" i="7"/>
  <c r="C497" i="7"/>
  <c r="C14" i="7"/>
  <c r="C24" i="7"/>
  <c r="C34" i="7"/>
  <c r="C44" i="7"/>
  <c r="C54" i="7"/>
  <c r="C64" i="7"/>
  <c r="C126" i="7"/>
  <c r="C135" i="7"/>
  <c r="C144" i="7"/>
  <c r="C153" i="7"/>
  <c r="C162" i="7"/>
  <c r="C171" i="7"/>
  <c r="C180" i="7"/>
  <c r="C189" i="7"/>
  <c r="C198" i="7"/>
  <c r="C207" i="7"/>
  <c r="C215" i="7"/>
  <c r="C224" i="7"/>
  <c r="C233" i="7"/>
  <c r="C241" i="7"/>
  <c r="C250" i="7"/>
  <c r="C257" i="7"/>
  <c r="C266" i="7"/>
  <c r="C275" i="7"/>
  <c r="C284" i="7"/>
  <c r="C293" i="7"/>
  <c r="C302" i="7"/>
  <c r="C341" i="7"/>
  <c r="C349" i="7"/>
  <c r="C357" i="7"/>
  <c r="C365" i="7"/>
  <c r="C374" i="7"/>
  <c r="C382" i="7"/>
  <c r="C387" i="7"/>
  <c r="C392" i="7"/>
  <c r="C397" i="7"/>
  <c r="C402" i="7"/>
  <c r="C407" i="7"/>
  <c r="C412" i="7"/>
  <c r="C417" i="7"/>
  <c r="C422" i="7"/>
  <c r="C431" i="7"/>
  <c r="C436" i="7"/>
  <c r="C440" i="7"/>
  <c r="C445" i="7"/>
  <c r="C450" i="7"/>
  <c r="C456" i="7"/>
  <c r="C463" i="7"/>
  <c r="C468" i="7"/>
  <c r="C476" i="7"/>
  <c r="C480" i="7"/>
  <c r="C481" i="7"/>
  <c r="C485" i="7"/>
  <c r="C490" i="7"/>
  <c r="C493" i="7"/>
  <c r="C499" i="7"/>
  <c r="C502" i="7"/>
  <c r="C505" i="7"/>
  <c r="C6" i="7"/>
  <c r="C16" i="7"/>
  <c r="C26" i="7"/>
  <c r="C35" i="7"/>
  <c r="C45" i="7"/>
  <c r="C55" i="7"/>
  <c r="C65" i="7"/>
  <c r="C74" i="7"/>
  <c r="C125" i="7"/>
  <c r="C134" i="7"/>
  <c r="C142" i="7"/>
  <c r="C151" i="7"/>
  <c r="C160" i="7"/>
  <c r="C169" i="7"/>
  <c r="C177" i="7"/>
  <c r="C184" i="7"/>
  <c r="C193" i="7"/>
  <c r="C201" i="7"/>
  <c r="C209" i="7"/>
  <c r="C218" i="7"/>
  <c r="C227" i="7"/>
  <c r="C236" i="7"/>
  <c r="C245" i="7"/>
  <c r="C254" i="7"/>
  <c r="C263" i="7"/>
  <c r="C272" i="7"/>
  <c r="C281" i="7"/>
  <c r="C290" i="7"/>
  <c r="C304" i="7"/>
  <c r="C343" i="7"/>
  <c r="C351" i="7"/>
  <c r="C358" i="7"/>
  <c r="C366" i="7"/>
  <c r="C373" i="7"/>
  <c r="C381" i="7"/>
  <c r="C386" i="7"/>
  <c r="C391" i="7"/>
  <c r="C396" i="7"/>
  <c r="C401" i="7"/>
  <c r="C406" i="7"/>
  <c r="C411" i="7"/>
  <c r="C416" i="7"/>
  <c r="C421" i="7"/>
  <c r="C426" i="7"/>
  <c r="C427" i="7"/>
  <c r="C432" i="7"/>
  <c r="C437" i="7"/>
  <c r="C441" i="7"/>
  <c r="C446" i="7"/>
  <c r="C451" i="7"/>
  <c r="C455" i="7"/>
  <c r="C460" i="7"/>
  <c r="C465" i="7"/>
  <c r="C470" i="7"/>
  <c r="C474" i="7"/>
  <c r="C479" i="7"/>
  <c r="C484" i="7"/>
  <c r="C488" i="7"/>
  <c r="C492" i="7"/>
  <c r="C496" i="7"/>
  <c r="C498" i="7"/>
  <c r="C501" i="7"/>
  <c r="C15" i="7"/>
  <c r="C25" i="7"/>
  <c r="C36" i="7"/>
  <c r="C46" i="7"/>
  <c r="C56" i="7"/>
  <c r="C66" i="7"/>
  <c r="C127" i="7"/>
  <c r="C136" i="7"/>
  <c r="C145" i="7"/>
  <c r="C154" i="7"/>
  <c r="C163" i="7"/>
  <c r="C172" i="7"/>
  <c r="C181" i="7"/>
  <c r="C190" i="7"/>
  <c r="C199" i="7"/>
  <c r="C208" i="7"/>
  <c r="C217" i="7"/>
  <c r="C226" i="7"/>
  <c r="C235" i="7"/>
  <c r="C244" i="7"/>
  <c r="C253" i="7"/>
  <c r="C262" i="7"/>
  <c r="C271" i="7"/>
  <c r="C280" i="7"/>
  <c r="C289" i="7"/>
  <c r="C299" i="7"/>
  <c r="C307" i="7"/>
  <c r="C346" i="7"/>
  <c r="C353" i="7"/>
  <c r="C361" i="7"/>
  <c r="C368" i="7"/>
  <c r="C375" i="7"/>
  <c r="C383" i="7"/>
  <c r="C388" i="7"/>
  <c r="C393" i="7"/>
  <c r="C398" i="7"/>
  <c r="C403" i="7"/>
  <c r="C408" i="7"/>
  <c r="C413" i="7"/>
  <c r="C418" i="7"/>
  <c r="C423" i="7"/>
  <c r="C428" i="7"/>
  <c r="C433" i="7"/>
  <c r="C438" i="7"/>
  <c r="C443" i="7"/>
  <c r="C448" i="7"/>
  <c r="C453" i="7"/>
  <c r="C458" i="7"/>
  <c r="C462" i="7"/>
  <c r="C467" i="7"/>
  <c r="C471" i="7"/>
  <c r="C475" i="7"/>
  <c r="C486" i="7"/>
  <c r="C8" i="7"/>
  <c r="C18" i="7"/>
  <c r="C27" i="7"/>
  <c r="C38" i="7"/>
  <c r="C47" i="7"/>
  <c r="C57" i="7"/>
  <c r="C68" i="7"/>
  <c r="C128" i="7"/>
  <c r="C129" i="7"/>
  <c r="C138" i="7"/>
  <c r="C147" i="7"/>
  <c r="C156" i="7"/>
  <c r="C166" i="7"/>
  <c r="C173" i="7"/>
  <c r="C183" i="7"/>
  <c r="C192" i="7"/>
  <c r="C202" i="7"/>
  <c r="C211" i="7"/>
  <c r="C220" i="7"/>
  <c r="C238" i="7"/>
  <c r="C247" i="7"/>
  <c r="C256" i="7"/>
  <c r="C265" i="7"/>
  <c r="C274" i="7"/>
  <c r="C283" i="7"/>
  <c r="C292" i="7"/>
  <c r="C301" i="7"/>
  <c r="C340" i="7"/>
  <c r="C348" i="7"/>
  <c r="C356" i="7"/>
  <c r="C364" i="7"/>
  <c r="C372" i="7"/>
  <c r="C378" i="7"/>
  <c r="C379" i="7"/>
  <c r="D7" i="7" l="1"/>
  <c r="E7" i="7"/>
  <c r="F7" i="7"/>
  <c r="G7" i="7"/>
  <c r="H7" i="7"/>
  <c r="I7" i="7"/>
  <c r="J7" i="7"/>
  <c r="K7" i="7"/>
  <c r="L7" i="7"/>
  <c r="M7" i="7"/>
  <c r="N7" i="7"/>
  <c r="O7" i="7"/>
  <c r="P7" i="7"/>
  <c r="D17" i="7"/>
  <c r="E17" i="7"/>
  <c r="F17" i="7"/>
  <c r="G17" i="7"/>
  <c r="H17" i="7"/>
  <c r="I17" i="7"/>
  <c r="J17" i="7"/>
  <c r="K17" i="7"/>
  <c r="L17" i="7"/>
  <c r="M17" i="7"/>
  <c r="N17" i="7"/>
  <c r="O17" i="7"/>
  <c r="P17" i="7"/>
  <c r="D28" i="7"/>
  <c r="E28" i="7"/>
  <c r="F28" i="7"/>
  <c r="G28" i="7"/>
  <c r="H28" i="7"/>
  <c r="I28" i="7"/>
  <c r="J28" i="7"/>
  <c r="K28" i="7"/>
  <c r="L28" i="7"/>
  <c r="M28" i="7"/>
  <c r="N28" i="7"/>
  <c r="O28" i="7"/>
  <c r="P28" i="7"/>
  <c r="D37" i="7"/>
  <c r="E37" i="7"/>
  <c r="F37" i="7"/>
  <c r="G37" i="7"/>
  <c r="H37" i="7"/>
  <c r="I37" i="7"/>
  <c r="J37" i="7"/>
  <c r="K37" i="7"/>
  <c r="L37" i="7"/>
  <c r="M37" i="7"/>
  <c r="N37" i="7"/>
  <c r="O37" i="7"/>
  <c r="P37" i="7"/>
  <c r="D48" i="7"/>
  <c r="E48" i="7"/>
  <c r="F48" i="7"/>
  <c r="G48" i="7"/>
  <c r="H48" i="7"/>
  <c r="I48" i="7"/>
  <c r="J48" i="7"/>
  <c r="K48" i="7"/>
  <c r="L48" i="7"/>
  <c r="M48" i="7"/>
  <c r="N48" i="7"/>
  <c r="O48" i="7"/>
  <c r="P48" i="7"/>
  <c r="D58" i="7"/>
  <c r="E58" i="7"/>
  <c r="F58" i="7"/>
  <c r="G58" i="7"/>
  <c r="H58" i="7"/>
  <c r="I58" i="7"/>
  <c r="J58" i="7"/>
  <c r="K58" i="7"/>
  <c r="L58" i="7"/>
  <c r="M58" i="7"/>
  <c r="N58" i="7"/>
  <c r="O58" i="7"/>
  <c r="P58" i="7"/>
  <c r="D67" i="7"/>
  <c r="E67" i="7"/>
  <c r="F67" i="7"/>
  <c r="G67" i="7"/>
  <c r="H67" i="7"/>
  <c r="I67" i="7"/>
  <c r="J67" i="7"/>
  <c r="K67" i="7"/>
  <c r="L67" i="7"/>
  <c r="M67" i="7"/>
  <c r="N67" i="7"/>
  <c r="O67" i="7"/>
  <c r="P67" i="7"/>
  <c r="D137" i="7"/>
  <c r="E137" i="7"/>
  <c r="F137" i="7"/>
  <c r="G137" i="7"/>
  <c r="H137" i="7"/>
  <c r="I137" i="7"/>
  <c r="J137" i="7"/>
  <c r="K137" i="7"/>
  <c r="L137" i="7"/>
  <c r="M137" i="7"/>
  <c r="N137" i="7"/>
  <c r="O137" i="7"/>
  <c r="P137" i="7"/>
  <c r="D146" i="7"/>
  <c r="E146" i="7"/>
  <c r="F146" i="7"/>
  <c r="G146" i="7"/>
  <c r="H146" i="7"/>
  <c r="I146" i="7"/>
  <c r="J146" i="7"/>
  <c r="K146" i="7"/>
  <c r="L146" i="7"/>
  <c r="M146" i="7"/>
  <c r="N146" i="7"/>
  <c r="O146" i="7"/>
  <c r="P146" i="7"/>
  <c r="D155" i="7"/>
  <c r="E155" i="7"/>
  <c r="F155" i="7"/>
  <c r="G155" i="7"/>
  <c r="H155" i="7"/>
  <c r="I155" i="7"/>
  <c r="J155" i="7"/>
  <c r="K155" i="7"/>
  <c r="L155" i="7"/>
  <c r="M155" i="7"/>
  <c r="N155" i="7"/>
  <c r="O155" i="7"/>
  <c r="P155" i="7"/>
  <c r="D164" i="7"/>
  <c r="E164" i="7"/>
  <c r="F164" i="7"/>
  <c r="G164" i="7"/>
  <c r="H164" i="7"/>
  <c r="I164" i="7"/>
  <c r="J164" i="7"/>
  <c r="K164" i="7"/>
  <c r="L164" i="7"/>
  <c r="M164" i="7"/>
  <c r="N164" i="7"/>
  <c r="O164" i="7"/>
  <c r="P164" i="7"/>
  <c r="D175" i="7"/>
  <c r="E175" i="7"/>
  <c r="F175" i="7"/>
  <c r="G175" i="7"/>
  <c r="H175" i="7"/>
  <c r="I175" i="7"/>
  <c r="J175" i="7"/>
  <c r="K175" i="7"/>
  <c r="L175" i="7"/>
  <c r="M175" i="7"/>
  <c r="N175" i="7"/>
  <c r="O175" i="7"/>
  <c r="P175" i="7"/>
  <c r="G176" i="7"/>
  <c r="I176" i="7"/>
  <c r="K176" i="7"/>
  <c r="L176" i="7"/>
  <c r="M176" i="7"/>
  <c r="N176" i="7"/>
  <c r="P176" i="7"/>
  <c r="D176" i="7"/>
  <c r="E176" i="7" s="1"/>
  <c r="F176" i="7"/>
  <c r="H176" i="7"/>
  <c r="J176" i="7"/>
  <c r="O176" i="7"/>
  <c r="D186" i="7"/>
  <c r="E186" i="7"/>
  <c r="F186" i="7"/>
  <c r="G186" i="7"/>
  <c r="H186" i="7"/>
  <c r="I186" i="7"/>
  <c r="J186" i="7"/>
  <c r="K186" i="7"/>
  <c r="L186" i="7"/>
  <c r="M186" i="7"/>
  <c r="N186" i="7"/>
  <c r="O186" i="7"/>
  <c r="P186" i="7"/>
  <c r="D195" i="7"/>
  <c r="E195" i="7"/>
  <c r="F195" i="7"/>
  <c r="G195" i="7"/>
  <c r="H195" i="7"/>
  <c r="I195" i="7"/>
  <c r="J195" i="7"/>
  <c r="K195" i="7"/>
  <c r="L195" i="7"/>
  <c r="M195" i="7"/>
  <c r="N195" i="7"/>
  <c r="O195" i="7"/>
  <c r="P195" i="7"/>
  <c r="D206" i="7"/>
  <c r="E206" i="7"/>
  <c r="F206" i="7"/>
  <c r="G206" i="7"/>
  <c r="H206" i="7"/>
  <c r="I206" i="7"/>
  <c r="J206" i="7"/>
  <c r="K206" i="7"/>
  <c r="L206" i="7"/>
  <c r="M206" i="7"/>
  <c r="N206" i="7"/>
  <c r="O206" i="7"/>
  <c r="P206" i="7"/>
  <c r="D216" i="7"/>
  <c r="E216" i="7"/>
  <c r="F216" i="7"/>
  <c r="G216" i="7"/>
  <c r="H216" i="7"/>
  <c r="I216" i="7"/>
  <c r="J216" i="7"/>
  <c r="K216" i="7"/>
  <c r="L216" i="7"/>
  <c r="M216" i="7"/>
  <c r="N216" i="7"/>
  <c r="O216" i="7"/>
  <c r="P216" i="7"/>
  <c r="D225" i="7"/>
  <c r="E225" i="7"/>
  <c r="F225" i="7"/>
  <c r="G225" i="7"/>
  <c r="H225" i="7"/>
  <c r="I225" i="7"/>
  <c r="J225" i="7"/>
  <c r="K225" i="7"/>
  <c r="L225" i="7"/>
  <c r="M225" i="7"/>
  <c r="N225" i="7"/>
  <c r="O225" i="7"/>
  <c r="P225" i="7"/>
  <c r="D234" i="7"/>
  <c r="E234" i="7"/>
  <c r="F234" i="7"/>
  <c r="G234" i="7"/>
  <c r="H234" i="7"/>
  <c r="I234" i="7"/>
  <c r="J234" i="7"/>
  <c r="K234" i="7"/>
  <c r="L234" i="7"/>
  <c r="M234" i="7"/>
  <c r="N234" i="7"/>
  <c r="O234" i="7"/>
  <c r="P234" i="7"/>
  <c r="D243" i="7"/>
  <c r="E243" i="7" s="1"/>
  <c r="F243" i="7"/>
  <c r="G243" i="7"/>
  <c r="H243" i="7"/>
  <c r="I243" i="7"/>
  <c r="J243" i="7"/>
  <c r="K243" i="7"/>
  <c r="L243" i="7"/>
  <c r="M243" i="7"/>
  <c r="N243" i="7"/>
  <c r="O243" i="7"/>
  <c r="P243" i="7"/>
  <c r="D252" i="7"/>
  <c r="E252" i="7" s="1"/>
  <c r="F252" i="7"/>
  <c r="G252" i="7"/>
  <c r="H252" i="7"/>
  <c r="I252" i="7"/>
  <c r="J252" i="7"/>
  <c r="K252" i="7"/>
  <c r="L252" i="7"/>
  <c r="M252" i="7"/>
  <c r="N252" i="7"/>
  <c r="O252" i="7"/>
  <c r="P252" i="7"/>
  <c r="D261" i="7"/>
  <c r="E261" i="7" s="1"/>
  <c r="F261" i="7"/>
  <c r="G261" i="7"/>
  <c r="H261" i="7"/>
  <c r="I261" i="7"/>
  <c r="J261" i="7"/>
  <c r="K261" i="7"/>
  <c r="L261" i="7"/>
  <c r="M261" i="7"/>
  <c r="N261" i="7"/>
  <c r="O261" i="7"/>
  <c r="P261" i="7"/>
  <c r="D269" i="7"/>
  <c r="E269" i="7" s="1"/>
  <c r="F269" i="7"/>
  <c r="G269" i="7"/>
  <c r="H269" i="7"/>
  <c r="I269" i="7"/>
  <c r="J269" i="7"/>
  <c r="K269" i="7"/>
  <c r="L269" i="7"/>
  <c r="M269" i="7"/>
  <c r="N269" i="7"/>
  <c r="O269" i="7"/>
  <c r="P269" i="7"/>
  <c r="D278" i="7"/>
  <c r="E278" i="7" s="1"/>
  <c r="F278" i="7"/>
  <c r="G278" i="7"/>
  <c r="H278" i="7"/>
  <c r="I278" i="7"/>
  <c r="J278" i="7"/>
  <c r="K278" i="7"/>
  <c r="L278" i="7"/>
  <c r="M278" i="7"/>
  <c r="N278" i="7"/>
  <c r="O278" i="7"/>
  <c r="P278" i="7"/>
  <c r="D287" i="7"/>
  <c r="E287" i="7" s="1"/>
  <c r="F287" i="7"/>
  <c r="G287" i="7"/>
  <c r="H287" i="7"/>
  <c r="I287" i="7"/>
  <c r="J287" i="7"/>
  <c r="K287" i="7"/>
  <c r="L287" i="7"/>
  <c r="M287" i="7"/>
  <c r="N287" i="7"/>
  <c r="O287" i="7"/>
  <c r="P287" i="7"/>
  <c r="D296" i="7"/>
  <c r="E296" i="7" s="1"/>
  <c r="F296" i="7"/>
  <c r="G296" i="7"/>
  <c r="H296" i="7"/>
  <c r="I296" i="7"/>
  <c r="J296" i="7"/>
  <c r="K296" i="7"/>
  <c r="L296" i="7"/>
  <c r="M296" i="7"/>
  <c r="N296" i="7"/>
  <c r="O296" i="7"/>
  <c r="P296" i="7"/>
  <c r="D306" i="7"/>
  <c r="E306" i="7" s="1"/>
  <c r="F306" i="7"/>
  <c r="G306" i="7"/>
  <c r="H306" i="7"/>
  <c r="I306" i="7"/>
  <c r="J306" i="7"/>
  <c r="K306" i="7"/>
  <c r="L306" i="7"/>
  <c r="M306" i="7"/>
  <c r="N306" i="7"/>
  <c r="O306" i="7"/>
  <c r="P306" i="7"/>
  <c r="D344" i="7"/>
  <c r="E344" i="7"/>
  <c r="F344" i="7"/>
  <c r="G344" i="7"/>
  <c r="H344" i="7"/>
  <c r="I344" i="7"/>
  <c r="J344" i="7"/>
  <c r="K344" i="7"/>
  <c r="L344" i="7"/>
  <c r="M344" i="7"/>
  <c r="N344" i="7"/>
  <c r="O344" i="7"/>
  <c r="P344" i="7"/>
  <c r="D352" i="7"/>
  <c r="E352" i="7"/>
  <c r="F352" i="7"/>
  <c r="G352" i="7"/>
  <c r="H352" i="7"/>
  <c r="I352" i="7"/>
  <c r="J352" i="7"/>
  <c r="K352" i="7"/>
  <c r="L352" i="7"/>
  <c r="M352" i="7"/>
  <c r="N352" i="7"/>
  <c r="O352" i="7"/>
  <c r="P352" i="7"/>
  <c r="D360" i="7"/>
  <c r="E360" i="7"/>
  <c r="F360" i="7"/>
  <c r="G360" i="7"/>
  <c r="H360" i="7"/>
  <c r="I360" i="7"/>
  <c r="J360" i="7"/>
  <c r="K360" i="7"/>
  <c r="L360" i="7"/>
  <c r="M360" i="7"/>
  <c r="N360" i="7"/>
  <c r="O360" i="7"/>
  <c r="P360" i="7"/>
  <c r="D370" i="7"/>
  <c r="E370" i="7"/>
  <c r="F370" i="7"/>
  <c r="G370" i="7"/>
  <c r="H370" i="7"/>
  <c r="I370" i="7"/>
  <c r="J370" i="7"/>
  <c r="K370" i="7"/>
  <c r="L370" i="7"/>
  <c r="M370" i="7"/>
  <c r="N370" i="7"/>
  <c r="O370" i="7"/>
  <c r="P370" i="7"/>
  <c r="E380" i="7"/>
  <c r="I380" i="7"/>
  <c r="O380" i="7"/>
  <c r="D380" i="7"/>
  <c r="G380" i="7"/>
  <c r="H380" i="7"/>
  <c r="J380" i="7"/>
  <c r="K380" i="7"/>
  <c r="L380" i="7"/>
  <c r="M380" i="7"/>
  <c r="N380" i="7"/>
  <c r="P380" i="7"/>
  <c r="F380" i="7"/>
  <c r="D12" i="7"/>
  <c r="E12" i="7" s="1"/>
  <c r="F12" i="7"/>
  <c r="G12" i="7"/>
  <c r="H12" i="7"/>
  <c r="I12" i="7"/>
  <c r="J12" i="7"/>
  <c r="K12" i="7"/>
  <c r="L12" i="7"/>
  <c r="M12" i="7"/>
  <c r="N12" i="7"/>
  <c r="O12" i="7"/>
  <c r="P12" i="7"/>
  <c r="D22" i="7"/>
  <c r="E22" i="7" s="1"/>
  <c r="F22" i="7"/>
  <c r="G22" i="7"/>
  <c r="H22" i="7"/>
  <c r="I22" i="7"/>
  <c r="J22" i="7"/>
  <c r="K22" i="7"/>
  <c r="L22" i="7"/>
  <c r="M22" i="7"/>
  <c r="N22" i="7"/>
  <c r="O22" i="7"/>
  <c r="P22" i="7"/>
  <c r="D32" i="7"/>
  <c r="E32" i="7" s="1"/>
  <c r="F32" i="7"/>
  <c r="G32" i="7"/>
  <c r="H32" i="7"/>
  <c r="I32" i="7"/>
  <c r="J32" i="7"/>
  <c r="K32" i="7"/>
  <c r="L32" i="7"/>
  <c r="M32" i="7"/>
  <c r="N32" i="7"/>
  <c r="O32" i="7"/>
  <c r="P32" i="7"/>
  <c r="D42" i="7"/>
  <c r="E42" i="7" s="1"/>
  <c r="F42" i="7"/>
  <c r="G42" i="7"/>
  <c r="H42" i="7"/>
  <c r="I42" i="7"/>
  <c r="J42" i="7"/>
  <c r="K42" i="7"/>
  <c r="L42" i="7"/>
  <c r="M42" i="7"/>
  <c r="N42" i="7"/>
  <c r="O42" i="7"/>
  <c r="P42" i="7"/>
  <c r="D51" i="7"/>
  <c r="E51" i="7" s="1"/>
  <c r="F51" i="7"/>
  <c r="G51" i="7"/>
  <c r="H51" i="7"/>
  <c r="I51" i="7"/>
  <c r="J51" i="7"/>
  <c r="K51" i="7"/>
  <c r="L51" i="7"/>
  <c r="M51" i="7"/>
  <c r="N51" i="7"/>
  <c r="O51" i="7"/>
  <c r="P51" i="7"/>
  <c r="D61" i="7"/>
  <c r="E61" i="7" s="1"/>
  <c r="F61" i="7"/>
  <c r="G61" i="7"/>
  <c r="H61" i="7"/>
  <c r="I61" i="7"/>
  <c r="J61" i="7"/>
  <c r="K61" i="7"/>
  <c r="L61" i="7"/>
  <c r="M61" i="7"/>
  <c r="N61" i="7"/>
  <c r="O61" i="7"/>
  <c r="P61" i="7"/>
  <c r="D70" i="7"/>
  <c r="E70" i="7" s="1"/>
  <c r="F70" i="7"/>
  <c r="G70" i="7"/>
  <c r="H70" i="7"/>
  <c r="I70" i="7"/>
  <c r="J70" i="7"/>
  <c r="K70" i="7"/>
  <c r="L70" i="7"/>
  <c r="M70" i="7"/>
  <c r="N70" i="7"/>
  <c r="O70" i="7"/>
  <c r="P70" i="7"/>
  <c r="D131" i="7"/>
  <c r="E131" i="7" s="1"/>
  <c r="F131" i="7"/>
  <c r="G131" i="7"/>
  <c r="H131" i="7"/>
  <c r="I131" i="7"/>
  <c r="J131" i="7"/>
  <c r="K131" i="7"/>
  <c r="L131" i="7"/>
  <c r="M131" i="7"/>
  <c r="N131" i="7"/>
  <c r="O131" i="7"/>
  <c r="P131" i="7"/>
  <c r="D140" i="7"/>
  <c r="E140" i="7" s="1"/>
  <c r="F140" i="7"/>
  <c r="G140" i="7"/>
  <c r="H140" i="7"/>
  <c r="I140" i="7"/>
  <c r="J140" i="7"/>
  <c r="K140" i="7"/>
  <c r="L140" i="7"/>
  <c r="M140" i="7"/>
  <c r="N140" i="7"/>
  <c r="O140" i="7"/>
  <c r="P140" i="7"/>
  <c r="D149" i="7"/>
  <c r="E149" i="7" s="1"/>
  <c r="F149" i="7"/>
  <c r="G149" i="7"/>
  <c r="H149" i="7"/>
  <c r="I149" i="7"/>
  <c r="J149" i="7"/>
  <c r="K149" i="7"/>
  <c r="L149" i="7"/>
  <c r="M149" i="7"/>
  <c r="N149" i="7"/>
  <c r="O149" i="7"/>
  <c r="P149" i="7"/>
  <c r="D157" i="7"/>
  <c r="E157" i="7"/>
  <c r="F157" i="7"/>
  <c r="G157" i="7"/>
  <c r="H157" i="7"/>
  <c r="I157" i="7"/>
  <c r="J157" i="7"/>
  <c r="K157" i="7"/>
  <c r="L157" i="7"/>
  <c r="M157" i="7"/>
  <c r="N157" i="7"/>
  <c r="O157" i="7"/>
  <c r="P157" i="7"/>
  <c r="D165" i="7"/>
  <c r="E165" i="7"/>
  <c r="F165" i="7"/>
  <c r="G165" i="7"/>
  <c r="H165" i="7"/>
  <c r="I165" i="7"/>
  <c r="J165" i="7"/>
  <c r="K165" i="7"/>
  <c r="L165" i="7"/>
  <c r="M165" i="7"/>
  <c r="N165" i="7"/>
  <c r="O165" i="7"/>
  <c r="P165" i="7"/>
  <c r="D174" i="7"/>
  <c r="E174" i="7"/>
  <c r="F174" i="7"/>
  <c r="G174" i="7"/>
  <c r="H174" i="7"/>
  <c r="I174" i="7"/>
  <c r="J174" i="7"/>
  <c r="K174" i="7"/>
  <c r="L174" i="7"/>
  <c r="M174" i="7"/>
  <c r="N174" i="7"/>
  <c r="O174" i="7"/>
  <c r="P174" i="7"/>
  <c r="D182" i="7"/>
  <c r="E182" i="7"/>
  <c r="F182" i="7"/>
  <c r="G182" i="7"/>
  <c r="H182" i="7"/>
  <c r="I182" i="7"/>
  <c r="J182" i="7"/>
  <c r="K182" i="7"/>
  <c r="L182" i="7"/>
  <c r="M182" i="7"/>
  <c r="N182" i="7"/>
  <c r="O182" i="7"/>
  <c r="P182" i="7"/>
  <c r="D191" i="7"/>
  <c r="E191" i="7"/>
  <c r="F191" i="7"/>
  <c r="G191" i="7"/>
  <c r="H191" i="7"/>
  <c r="I191" i="7"/>
  <c r="J191" i="7"/>
  <c r="K191" i="7"/>
  <c r="L191" i="7"/>
  <c r="M191" i="7"/>
  <c r="N191" i="7"/>
  <c r="O191" i="7"/>
  <c r="P191" i="7"/>
  <c r="D200" i="7"/>
  <c r="E200" i="7"/>
  <c r="F200" i="7"/>
  <c r="G200" i="7"/>
  <c r="H200" i="7"/>
  <c r="I200" i="7"/>
  <c r="J200" i="7"/>
  <c r="K200" i="7"/>
  <c r="L200" i="7"/>
  <c r="M200" i="7"/>
  <c r="N200" i="7"/>
  <c r="O200" i="7"/>
  <c r="P200" i="7"/>
  <c r="D210" i="7"/>
  <c r="E210" i="7"/>
  <c r="F210" i="7"/>
  <c r="G210" i="7"/>
  <c r="H210" i="7"/>
  <c r="I210" i="7"/>
  <c r="J210" i="7"/>
  <c r="K210" i="7"/>
  <c r="L210" i="7"/>
  <c r="M210" i="7"/>
  <c r="N210" i="7"/>
  <c r="O210" i="7"/>
  <c r="P210" i="7"/>
  <c r="D219" i="7"/>
  <c r="E219" i="7"/>
  <c r="F219" i="7"/>
  <c r="G219" i="7"/>
  <c r="H219" i="7"/>
  <c r="I219" i="7"/>
  <c r="J219" i="7"/>
  <c r="K219" i="7"/>
  <c r="L219" i="7"/>
  <c r="M219" i="7"/>
  <c r="N219" i="7"/>
  <c r="O219" i="7"/>
  <c r="P219" i="7"/>
  <c r="D228" i="7"/>
  <c r="E228" i="7"/>
  <c r="F228" i="7"/>
  <c r="G228" i="7"/>
  <c r="H228" i="7"/>
  <c r="I228" i="7"/>
  <c r="J228" i="7"/>
  <c r="K228" i="7"/>
  <c r="L228" i="7"/>
  <c r="M228" i="7"/>
  <c r="N228" i="7"/>
  <c r="O228" i="7"/>
  <c r="P228" i="7"/>
  <c r="G229" i="7"/>
  <c r="I229" i="7"/>
  <c r="K229" i="7"/>
  <c r="O229" i="7"/>
  <c r="D229" i="7"/>
  <c r="E229" i="7" s="1"/>
  <c r="F229" i="7"/>
  <c r="H229" i="7"/>
  <c r="J229" i="7"/>
  <c r="L229" i="7"/>
  <c r="M229" i="7"/>
  <c r="N229" i="7"/>
  <c r="P229" i="7"/>
  <c r="D237" i="7"/>
  <c r="E237" i="7"/>
  <c r="F237" i="7"/>
  <c r="G237" i="7"/>
  <c r="H237" i="7"/>
  <c r="I237" i="7"/>
  <c r="J237" i="7"/>
  <c r="K237" i="7"/>
  <c r="L237" i="7"/>
  <c r="M237" i="7"/>
  <c r="N237" i="7"/>
  <c r="O237" i="7"/>
  <c r="P237" i="7"/>
  <c r="D246" i="7"/>
  <c r="E246" i="7"/>
  <c r="F246" i="7"/>
  <c r="G246" i="7"/>
  <c r="H246" i="7"/>
  <c r="I246" i="7"/>
  <c r="J246" i="7"/>
  <c r="K246" i="7"/>
  <c r="L246" i="7"/>
  <c r="M246" i="7"/>
  <c r="N246" i="7"/>
  <c r="O246" i="7"/>
  <c r="P246" i="7"/>
  <c r="D255" i="7"/>
  <c r="E255" i="7"/>
  <c r="F255" i="7"/>
  <c r="G255" i="7"/>
  <c r="H255" i="7"/>
  <c r="I255" i="7"/>
  <c r="J255" i="7"/>
  <c r="K255" i="7"/>
  <c r="L255" i="7"/>
  <c r="M255" i="7"/>
  <c r="N255" i="7"/>
  <c r="O255" i="7"/>
  <c r="P255" i="7"/>
  <c r="D264" i="7"/>
  <c r="E264" i="7"/>
  <c r="F264" i="7"/>
  <c r="G264" i="7"/>
  <c r="H264" i="7"/>
  <c r="I264" i="7"/>
  <c r="J264" i="7"/>
  <c r="K264" i="7"/>
  <c r="L264" i="7"/>
  <c r="M264" i="7"/>
  <c r="N264" i="7"/>
  <c r="O264" i="7"/>
  <c r="P264" i="7"/>
  <c r="D273" i="7"/>
  <c r="E273" i="7"/>
  <c r="F273" i="7"/>
  <c r="G273" i="7"/>
  <c r="H273" i="7"/>
  <c r="I273" i="7"/>
  <c r="J273" i="7"/>
  <c r="K273" i="7"/>
  <c r="L273" i="7"/>
  <c r="M273" i="7"/>
  <c r="N273" i="7"/>
  <c r="O273" i="7"/>
  <c r="P273" i="7"/>
  <c r="D282" i="7"/>
  <c r="E282" i="7"/>
  <c r="F282" i="7"/>
  <c r="G282" i="7"/>
  <c r="H282" i="7"/>
  <c r="I282" i="7"/>
  <c r="J282" i="7"/>
  <c r="K282" i="7"/>
  <c r="L282" i="7"/>
  <c r="M282" i="7"/>
  <c r="N282" i="7"/>
  <c r="O282" i="7"/>
  <c r="P282" i="7"/>
  <c r="D291" i="7"/>
  <c r="E291" i="7"/>
  <c r="F291" i="7"/>
  <c r="G291" i="7"/>
  <c r="H291" i="7"/>
  <c r="I291" i="7"/>
  <c r="J291" i="7"/>
  <c r="K291" i="7"/>
  <c r="L291" i="7"/>
  <c r="M291" i="7"/>
  <c r="N291" i="7"/>
  <c r="O291" i="7"/>
  <c r="P291" i="7"/>
  <c r="D300" i="7"/>
  <c r="E300" i="7"/>
  <c r="F300" i="7"/>
  <c r="G300" i="7"/>
  <c r="H300" i="7"/>
  <c r="I300" i="7"/>
  <c r="J300" i="7"/>
  <c r="K300" i="7"/>
  <c r="L300" i="7"/>
  <c r="M300" i="7"/>
  <c r="N300" i="7"/>
  <c r="O300" i="7"/>
  <c r="P300" i="7"/>
  <c r="D309" i="7"/>
  <c r="E309" i="7"/>
  <c r="F309" i="7"/>
  <c r="G309" i="7"/>
  <c r="H309" i="7"/>
  <c r="I309" i="7"/>
  <c r="J309" i="7"/>
  <c r="K309" i="7"/>
  <c r="L309" i="7"/>
  <c r="M309" i="7"/>
  <c r="N309" i="7"/>
  <c r="O309" i="7"/>
  <c r="P309" i="7"/>
  <c r="D347" i="7"/>
  <c r="E347" i="7"/>
  <c r="F347" i="7"/>
  <c r="G347" i="7"/>
  <c r="H347" i="7"/>
  <c r="I347" i="7"/>
  <c r="J347" i="7"/>
  <c r="K347" i="7"/>
  <c r="L347" i="7"/>
  <c r="M347" i="7"/>
  <c r="N347" i="7"/>
  <c r="O347" i="7"/>
  <c r="P347" i="7"/>
  <c r="D355" i="7"/>
  <c r="E355" i="7"/>
  <c r="F355" i="7"/>
  <c r="G355" i="7"/>
  <c r="H355" i="7"/>
  <c r="I355" i="7"/>
  <c r="J355" i="7"/>
  <c r="K355" i="7"/>
  <c r="L355" i="7"/>
  <c r="M355" i="7"/>
  <c r="N355" i="7"/>
  <c r="O355" i="7"/>
  <c r="P355" i="7"/>
  <c r="D363" i="7"/>
  <c r="E363" i="7"/>
  <c r="F363" i="7"/>
  <c r="G363" i="7"/>
  <c r="H363" i="7"/>
  <c r="I363" i="7"/>
  <c r="J363" i="7"/>
  <c r="K363" i="7"/>
  <c r="L363" i="7"/>
  <c r="M363" i="7"/>
  <c r="N363" i="7"/>
  <c r="O363" i="7"/>
  <c r="P363" i="7"/>
  <c r="D371" i="7"/>
  <c r="E371" i="7"/>
  <c r="F371" i="7"/>
  <c r="G371" i="7"/>
  <c r="H371" i="7"/>
  <c r="I371" i="7"/>
  <c r="J371" i="7"/>
  <c r="K371" i="7"/>
  <c r="L371" i="7"/>
  <c r="M371" i="7"/>
  <c r="N371" i="7"/>
  <c r="O371" i="7"/>
  <c r="P371" i="7"/>
  <c r="D10" i="7"/>
  <c r="E10" i="7"/>
  <c r="F10" i="7"/>
  <c r="G10" i="7"/>
  <c r="H10" i="7"/>
  <c r="I10" i="7"/>
  <c r="J10" i="7"/>
  <c r="K10" i="7"/>
  <c r="L10" i="7"/>
  <c r="M10" i="7"/>
  <c r="N10" i="7"/>
  <c r="O10" i="7"/>
  <c r="P10" i="7"/>
  <c r="D20" i="7"/>
  <c r="E20" i="7"/>
  <c r="F20" i="7"/>
  <c r="G20" i="7"/>
  <c r="H20" i="7"/>
  <c r="I20" i="7"/>
  <c r="J20" i="7"/>
  <c r="K20" i="7"/>
  <c r="L20" i="7"/>
  <c r="M20" i="7"/>
  <c r="N20" i="7"/>
  <c r="O20" i="7"/>
  <c r="P20" i="7"/>
  <c r="D31" i="7"/>
  <c r="E31" i="7"/>
  <c r="F31" i="7"/>
  <c r="G31" i="7"/>
  <c r="H31" i="7"/>
  <c r="I31" i="7"/>
  <c r="J31" i="7"/>
  <c r="K31" i="7"/>
  <c r="L31" i="7"/>
  <c r="M31" i="7"/>
  <c r="N31" i="7"/>
  <c r="O31" i="7"/>
  <c r="P31" i="7"/>
  <c r="D41" i="7"/>
  <c r="E41" i="7" s="1"/>
  <c r="F41" i="7"/>
  <c r="G41" i="7"/>
  <c r="H41" i="7"/>
  <c r="I41" i="7"/>
  <c r="J41" i="7"/>
  <c r="K41" i="7"/>
  <c r="L41" i="7"/>
  <c r="M41" i="7"/>
  <c r="N41" i="7"/>
  <c r="O41" i="7"/>
  <c r="P41" i="7"/>
  <c r="D52" i="7"/>
  <c r="E52" i="7" s="1"/>
  <c r="F52" i="7"/>
  <c r="G52" i="7"/>
  <c r="H52" i="7"/>
  <c r="I52" i="7"/>
  <c r="J52" i="7"/>
  <c r="K52" i="7"/>
  <c r="L52" i="7"/>
  <c r="M52" i="7"/>
  <c r="N52" i="7"/>
  <c r="O52" i="7"/>
  <c r="P52" i="7"/>
  <c r="D62" i="7"/>
  <c r="E62" i="7" s="1"/>
  <c r="F62" i="7"/>
  <c r="G62" i="7"/>
  <c r="H62" i="7"/>
  <c r="I62" i="7"/>
  <c r="J62" i="7"/>
  <c r="K62" i="7"/>
  <c r="L62" i="7"/>
  <c r="M62" i="7"/>
  <c r="N62" i="7"/>
  <c r="O62" i="7"/>
  <c r="P62" i="7"/>
  <c r="D72" i="7"/>
  <c r="E72" i="7" s="1"/>
  <c r="F72" i="7"/>
  <c r="G72" i="7"/>
  <c r="H72" i="7"/>
  <c r="I72" i="7"/>
  <c r="J72" i="7"/>
  <c r="K72" i="7"/>
  <c r="L72" i="7"/>
  <c r="M72" i="7"/>
  <c r="N72" i="7"/>
  <c r="O72" i="7"/>
  <c r="P72" i="7"/>
  <c r="D75" i="7"/>
  <c r="E75" i="7" s="1"/>
  <c r="F75" i="7"/>
  <c r="G75" i="7"/>
  <c r="H75" i="7"/>
  <c r="I75" i="7"/>
  <c r="J75" i="7"/>
  <c r="K75" i="7"/>
  <c r="L75" i="7"/>
  <c r="M75" i="7"/>
  <c r="N75" i="7"/>
  <c r="O75" i="7"/>
  <c r="P75" i="7"/>
  <c r="D76" i="7"/>
  <c r="E76" i="7" s="1"/>
  <c r="F76" i="7"/>
  <c r="G76" i="7"/>
  <c r="H76" i="7"/>
  <c r="I76" i="7"/>
  <c r="J76" i="7"/>
  <c r="K76" i="7"/>
  <c r="L76" i="7"/>
  <c r="M76" i="7"/>
  <c r="N76" i="7"/>
  <c r="O76" i="7"/>
  <c r="P76" i="7"/>
  <c r="D77" i="7"/>
  <c r="E77" i="7" s="1"/>
  <c r="F77" i="7"/>
  <c r="G77" i="7"/>
  <c r="H77" i="7"/>
  <c r="I77" i="7"/>
  <c r="J77" i="7"/>
  <c r="K77" i="7"/>
  <c r="L77" i="7"/>
  <c r="M77" i="7"/>
  <c r="N77" i="7"/>
  <c r="O77" i="7"/>
  <c r="P77" i="7"/>
  <c r="D78" i="7"/>
  <c r="E78" i="7" s="1"/>
  <c r="F78" i="7"/>
  <c r="G78" i="7"/>
  <c r="H78" i="7"/>
  <c r="I78" i="7"/>
  <c r="J78" i="7"/>
  <c r="K78" i="7"/>
  <c r="L78" i="7"/>
  <c r="M78" i="7"/>
  <c r="N78" i="7"/>
  <c r="O78" i="7"/>
  <c r="P78" i="7"/>
  <c r="D79" i="7"/>
  <c r="E79" i="7" s="1"/>
  <c r="F79" i="7"/>
  <c r="G79" i="7"/>
  <c r="H79" i="7"/>
  <c r="I79" i="7"/>
  <c r="J79" i="7"/>
  <c r="K79" i="7"/>
  <c r="L79" i="7"/>
  <c r="M79" i="7"/>
  <c r="N79" i="7"/>
  <c r="O79" i="7"/>
  <c r="P79" i="7"/>
  <c r="D80" i="7"/>
  <c r="E80" i="7" s="1"/>
  <c r="F80" i="7"/>
  <c r="G80" i="7"/>
  <c r="H80" i="7"/>
  <c r="I80" i="7"/>
  <c r="J80" i="7"/>
  <c r="K80" i="7"/>
  <c r="L80" i="7"/>
  <c r="M80" i="7"/>
  <c r="N80" i="7"/>
  <c r="O80" i="7"/>
  <c r="P80" i="7"/>
  <c r="D81" i="7"/>
  <c r="E81" i="7" s="1"/>
  <c r="F81" i="7"/>
  <c r="G81" i="7"/>
  <c r="H81" i="7"/>
  <c r="I81" i="7"/>
  <c r="J81" i="7"/>
  <c r="K81" i="7"/>
  <c r="L81" i="7"/>
  <c r="M81" i="7"/>
  <c r="N81" i="7"/>
  <c r="O81" i="7"/>
  <c r="P81" i="7"/>
  <c r="D82" i="7"/>
  <c r="E82" i="7" s="1"/>
  <c r="F82" i="7"/>
  <c r="G82" i="7"/>
  <c r="H82" i="7"/>
  <c r="I82" i="7"/>
  <c r="J82" i="7"/>
  <c r="K82" i="7"/>
  <c r="L82" i="7"/>
  <c r="M82" i="7"/>
  <c r="N82" i="7"/>
  <c r="O82" i="7"/>
  <c r="P82" i="7"/>
  <c r="D83" i="7"/>
  <c r="E83" i="7" s="1"/>
  <c r="F83" i="7"/>
  <c r="G83" i="7"/>
  <c r="H83" i="7"/>
  <c r="I83" i="7"/>
  <c r="J83" i="7"/>
  <c r="K83" i="7"/>
  <c r="L83" i="7"/>
  <c r="M83" i="7"/>
  <c r="N83" i="7"/>
  <c r="O83" i="7"/>
  <c r="P83" i="7"/>
  <c r="D84" i="7"/>
  <c r="E84" i="7" s="1"/>
  <c r="F84" i="7"/>
  <c r="G84" i="7"/>
  <c r="H84" i="7"/>
  <c r="I84" i="7"/>
  <c r="J84" i="7"/>
  <c r="K84" i="7"/>
  <c r="L84" i="7"/>
  <c r="M84" i="7"/>
  <c r="N84" i="7"/>
  <c r="O84" i="7"/>
  <c r="P84" i="7"/>
  <c r="D85" i="7"/>
  <c r="E85" i="7" s="1"/>
  <c r="F85" i="7"/>
  <c r="G85" i="7"/>
  <c r="H85" i="7"/>
  <c r="I85" i="7"/>
  <c r="J85" i="7"/>
  <c r="K85" i="7"/>
  <c r="L85" i="7"/>
  <c r="M85" i="7"/>
  <c r="N85" i="7"/>
  <c r="O85" i="7"/>
  <c r="P85" i="7"/>
  <c r="D86" i="7"/>
  <c r="E86" i="7" s="1"/>
  <c r="F86" i="7"/>
  <c r="G86" i="7"/>
  <c r="H86" i="7"/>
  <c r="I86" i="7"/>
  <c r="J86" i="7"/>
  <c r="K86" i="7"/>
  <c r="L86" i="7"/>
  <c r="M86" i="7"/>
  <c r="N86" i="7"/>
  <c r="O86" i="7"/>
  <c r="P86" i="7"/>
  <c r="D87" i="7"/>
  <c r="E87" i="7"/>
  <c r="F87" i="7"/>
  <c r="G87" i="7"/>
  <c r="H87" i="7"/>
  <c r="I87" i="7"/>
  <c r="J87" i="7"/>
  <c r="K87" i="7"/>
  <c r="L87" i="7"/>
  <c r="M87" i="7"/>
  <c r="N87" i="7"/>
  <c r="O87" i="7"/>
  <c r="P87" i="7"/>
  <c r="D88" i="7"/>
  <c r="E88" i="7"/>
  <c r="F88" i="7"/>
  <c r="G88" i="7"/>
  <c r="H88" i="7"/>
  <c r="I88" i="7"/>
  <c r="J88" i="7"/>
  <c r="K88" i="7"/>
  <c r="L88" i="7"/>
  <c r="M88" i="7"/>
  <c r="N88" i="7"/>
  <c r="O88" i="7"/>
  <c r="P88" i="7"/>
  <c r="D89" i="7"/>
  <c r="E89" i="7"/>
  <c r="F89" i="7"/>
  <c r="G89" i="7"/>
  <c r="H89" i="7"/>
  <c r="I89" i="7"/>
  <c r="J89" i="7"/>
  <c r="K89" i="7"/>
  <c r="L89" i="7"/>
  <c r="M89" i="7"/>
  <c r="N89" i="7"/>
  <c r="O89" i="7"/>
  <c r="P89" i="7"/>
  <c r="D90" i="7"/>
  <c r="E90" i="7"/>
  <c r="F90" i="7"/>
  <c r="G90" i="7"/>
  <c r="H90" i="7"/>
  <c r="I90" i="7"/>
  <c r="J90" i="7"/>
  <c r="K90" i="7"/>
  <c r="L90" i="7"/>
  <c r="M90" i="7"/>
  <c r="N90" i="7"/>
  <c r="O90" i="7"/>
  <c r="P90" i="7"/>
  <c r="D91" i="7"/>
  <c r="E91" i="7"/>
  <c r="F91" i="7"/>
  <c r="G91" i="7"/>
  <c r="H91" i="7"/>
  <c r="I91" i="7"/>
  <c r="J91" i="7"/>
  <c r="K91" i="7"/>
  <c r="L91" i="7"/>
  <c r="M91" i="7"/>
  <c r="N91" i="7"/>
  <c r="O91" i="7"/>
  <c r="P91" i="7"/>
  <c r="D92" i="7"/>
  <c r="E92" i="7"/>
  <c r="F92" i="7"/>
  <c r="G92" i="7"/>
  <c r="H92" i="7"/>
  <c r="I92" i="7"/>
  <c r="J92" i="7"/>
  <c r="K92" i="7"/>
  <c r="L92" i="7"/>
  <c r="M92" i="7"/>
  <c r="N92" i="7"/>
  <c r="O92" i="7"/>
  <c r="P92" i="7"/>
  <c r="D93" i="7"/>
  <c r="E93" i="7"/>
  <c r="F93" i="7"/>
  <c r="G93" i="7"/>
  <c r="H93" i="7"/>
  <c r="I93" i="7"/>
  <c r="J93" i="7"/>
  <c r="K93" i="7"/>
  <c r="L93" i="7"/>
  <c r="M93" i="7"/>
  <c r="N93" i="7"/>
  <c r="O93" i="7"/>
  <c r="P93" i="7"/>
  <c r="D94" i="7"/>
  <c r="E94" i="7"/>
  <c r="F94" i="7"/>
  <c r="G94" i="7"/>
  <c r="H94" i="7"/>
  <c r="I94" i="7"/>
  <c r="J94" i="7"/>
  <c r="K94" i="7"/>
  <c r="L94" i="7"/>
  <c r="M94" i="7"/>
  <c r="N94" i="7"/>
  <c r="O94" i="7"/>
  <c r="P94" i="7"/>
  <c r="D95" i="7"/>
  <c r="E95" i="7"/>
  <c r="F95" i="7"/>
  <c r="G95" i="7"/>
  <c r="H95" i="7"/>
  <c r="I95" i="7"/>
  <c r="J95" i="7"/>
  <c r="K95" i="7"/>
  <c r="L95" i="7"/>
  <c r="M95" i="7"/>
  <c r="N95" i="7"/>
  <c r="O95" i="7"/>
  <c r="P95" i="7"/>
  <c r="D96" i="7"/>
  <c r="E96" i="7"/>
  <c r="F96" i="7"/>
  <c r="G96" i="7"/>
  <c r="H96" i="7"/>
  <c r="I96" i="7"/>
  <c r="J96" i="7"/>
  <c r="K96" i="7"/>
  <c r="L96" i="7"/>
  <c r="M96" i="7"/>
  <c r="N96" i="7"/>
  <c r="O96" i="7"/>
  <c r="P96" i="7"/>
  <c r="D97" i="7"/>
  <c r="E97" i="7"/>
  <c r="F97" i="7"/>
  <c r="G97" i="7"/>
  <c r="H97" i="7"/>
  <c r="I97" i="7"/>
  <c r="J97" i="7"/>
  <c r="K97" i="7"/>
  <c r="L97" i="7"/>
  <c r="M97" i="7"/>
  <c r="N97" i="7"/>
  <c r="O97" i="7"/>
  <c r="P97" i="7"/>
  <c r="D98" i="7"/>
  <c r="E98" i="7"/>
  <c r="F98" i="7"/>
  <c r="G98" i="7"/>
  <c r="H98" i="7"/>
  <c r="I98" i="7"/>
  <c r="J98" i="7"/>
  <c r="K98" i="7"/>
  <c r="L98" i="7"/>
  <c r="M98" i="7"/>
  <c r="N98" i="7"/>
  <c r="O98" i="7"/>
  <c r="P98" i="7"/>
  <c r="D99" i="7"/>
  <c r="E99" i="7"/>
  <c r="F99" i="7"/>
  <c r="G99" i="7"/>
  <c r="H99" i="7"/>
  <c r="I99" i="7"/>
  <c r="J99" i="7"/>
  <c r="K99" i="7"/>
  <c r="L99" i="7"/>
  <c r="M99" i="7"/>
  <c r="N99" i="7"/>
  <c r="O99" i="7"/>
  <c r="P99" i="7"/>
  <c r="D100" i="7"/>
  <c r="E100" i="7"/>
  <c r="F100" i="7"/>
  <c r="G100" i="7"/>
  <c r="H100" i="7"/>
  <c r="I100" i="7"/>
  <c r="J100" i="7"/>
  <c r="K100" i="7"/>
  <c r="L100" i="7"/>
  <c r="M100" i="7"/>
  <c r="N100" i="7"/>
  <c r="O100" i="7"/>
  <c r="P100" i="7"/>
  <c r="D101" i="7"/>
  <c r="E101" i="7"/>
  <c r="F101" i="7"/>
  <c r="G101" i="7"/>
  <c r="H101" i="7"/>
  <c r="I101" i="7"/>
  <c r="J101" i="7"/>
  <c r="K101" i="7"/>
  <c r="L101" i="7"/>
  <c r="M101" i="7"/>
  <c r="N101" i="7"/>
  <c r="O101" i="7"/>
  <c r="P101" i="7"/>
  <c r="D102" i="7"/>
  <c r="E102" i="7"/>
  <c r="F102" i="7"/>
  <c r="G102" i="7"/>
  <c r="H102" i="7"/>
  <c r="I102" i="7"/>
  <c r="J102" i="7"/>
  <c r="K102" i="7"/>
  <c r="L102" i="7"/>
  <c r="M102" i="7"/>
  <c r="N102" i="7"/>
  <c r="O102" i="7"/>
  <c r="P102" i="7"/>
  <c r="D103" i="7"/>
  <c r="E103" i="7"/>
  <c r="F103" i="7"/>
  <c r="G103" i="7"/>
  <c r="H103" i="7"/>
  <c r="I103" i="7"/>
  <c r="J103" i="7"/>
  <c r="K103" i="7"/>
  <c r="L103" i="7"/>
  <c r="M103" i="7"/>
  <c r="N103" i="7"/>
  <c r="O103" i="7"/>
  <c r="P103" i="7"/>
  <c r="D104" i="7"/>
  <c r="E104" i="7"/>
  <c r="F104" i="7"/>
  <c r="G104" i="7"/>
  <c r="H104" i="7"/>
  <c r="I104" i="7"/>
  <c r="J104" i="7"/>
  <c r="K104" i="7"/>
  <c r="L104" i="7"/>
  <c r="M104" i="7"/>
  <c r="N104" i="7"/>
  <c r="O104" i="7"/>
  <c r="P104" i="7"/>
  <c r="D105" i="7"/>
  <c r="E105" i="7"/>
  <c r="F105" i="7"/>
  <c r="G105" i="7"/>
  <c r="H105" i="7"/>
  <c r="I105" i="7"/>
  <c r="J105" i="7"/>
  <c r="K105" i="7"/>
  <c r="L105" i="7"/>
  <c r="M105" i="7"/>
  <c r="N105" i="7"/>
  <c r="O105" i="7"/>
  <c r="P105" i="7"/>
  <c r="D106" i="7"/>
  <c r="E106" i="7"/>
  <c r="F106" i="7"/>
  <c r="G106" i="7"/>
  <c r="H106" i="7"/>
  <c r="I106" i="7"/>
  <c r="J106" i="7"/>
  <c r="K106" i="7"/>
  <c r="L106" i="7"/>
  <c r="M106" i="7"/>
  <c r="N106" i="7"/>
  <c r="O106" i="7"/>
  <c r="P106" i="7"/>
  <c r="D107" i="7"/>
  <c r="E107" i="7"/>
  <c r="F107" i="7"/>
  <c r="G107" i="7"/>
  <c r="H107" i="7"/>
  <c r="I107" i="7"/>
  <c r="J107" i="7"/>
  <c r="K107" i="7"/>
  <c r="L107" i="7"/>
  <c r="M107" i="7"/>
  <c r="N107" i="7"/>
  <c r="O107" i="7"/>
  <c r="P107" i="7"/>
  <c r="D108" i="7"/>
  <c r="E108" i="7"/>
  <c r="F108" i="7"/>
  <c r="G108" i="7"/>
  <c r="H108" i="7"/>
  <c r="I108" i="7"/>
  <c r="J108" i="7"/>
  <c r="K108" i="7"/>
  <c r="L108" i="7"/>
  <c r="M108" i="7"/>
  <c r="N108" i="7"/>
  <c r="O108" i="7"/>
  <c r="P108" i="7"/>
  <c r="D109" i="7"/>
  <c r="E109" i="7"/>
  <c r="F109" i="7"/>
  <c r="G109" i="7"/>
  <c r="H109" i="7"/>
  <c r="I109" i="7"/>
  <c r="J109" i="7"/>
  <c r="K109" i="7"/>
  <c r="L109" i="7"/>
  <c r="M109" i="7"/>
  <c r="N109" i="7"/>
  <c r="O109" i="7"/>
  <c r="P109" i="7"/>
  <c r="D110" i="7"/>
  <c r="E110" i="7" s="1"/>
  <c r="F110" i="7"/>
  <c r="G110" i="7"/>
  <c r="H110" i="7"/>
  <c r="I110" i="7"/>
  <c r="J110" i="7"/>
  <c r="K110" i="7"/>
  <c r="L110" i="7"/>
  <c r="M110" i="7"/>
  <c r="N110" i="7"/>
  <c r="O110" i="7"/>
  <c r="P110" i="7"/>
  <c r="D111" i="7"/>
  <c r="E111" i="7" s="1"/>
  <c r="F111" i="7"/>
  <c r="G111" i="7"/>
  <c r="H111" i="7"/>
  <c r="I111" i="7"/>
  <c r="J111" i="7"/>
  <c r="K111" i="7"/>
  <c r="L111" i="7"/>
  <c r="M111" i="7"/>
  <c r="N111" i="7"/>
  <c r="O111" i="7"/>
  <c r="P111" i="7"/>
  <c r="D112" i="7"/>
  <c r="E112" i="7" s="1"/>
  <c r="F112" i="7"/>
  <c r="G112" i="7"/>
  <c r="H112" i="7"/>
  <c r="I112" i="7"/>
  <c r="J112" i="7"/>
  <c r="K112" i="7"/>
  <c r="L112" i="7"/>
  <c r="M112" i="7"/>
  <c r="N112" i="7"/>
  <c r="O112" i="7"/>
  <c r="P112" i="7"/>
  <c r="D113" i="7"/>
  <c r="E113" i="7" s="1"/>
  <c r="F113" i="7"/>
  <c r="G113" i="7"/>
  <c r="H113" i="7"/>
  <c r="I113" i="7"/>
  <c r="J113" i="7"/>
  <c r="K113" i="7"/>
  <c r="L113" i="7"/>
  <c r="M113" i="7"/>
  <c r="N113" i="7"/>
  <c r="O113" i="7"/>
  <c r="P113" i="7"/>
  <c r="D114" i="7"/>
  <c r="E114" i="7" s="1"/>
  <c r="F114" i="7"/>
  <c r="G114" i="7"/>
  <c r="H114" i="7"/>
  <c r="I114" i="7"/>
  <c r="J114" i="7"/>
  <c r="K114" i="7"/>
  <c r="L114" i="7"/>
  <c r="M114" i="7"/>
  <c r="N114" i="7"/>
  <c r="O114" i="7"/>
  <c r="P114" i="7"/>
  <c r="D115" i="7"/>
  <c r="E115" i="7" s="1"/>
  <c r="F115" i="7"/>
  <c r="G115" i="7"/>
  <c r="H115" i="7"/>
  <c r="I115" i="7"/>
  <c r="J115" i="7"/>
  <c r="K115" i="7"/>
  <c r="L115" i="7"/>
  <c r="M115" i="7"/>
  <c r="N115" i="7"/>
  <c r="O115" i="7"/>
  <c r="P115" i="7"/>
  <c r="D116" i="7"/>
  <c r="E116" i="7" s="1"/>
  <c r="F116" i="7"/>
  <c r="G116" i="7"/>
  <c r="H116" i="7"/>
  <c r="I116" i="7"/>
  <c r="J116" i="7"/>
  <c r="K116" i="7"/>
  <c r="L116" i="7"/>
  <c r="M116" i="7"/>
  <c r="N116" i="7"/>
  <c r="O116" i="7"/>
  <c r="P116" i="7"/>
  <c r="D117" i="7"/>
  <c r="E117" i="7" s="1"/>
  <c r="F117" i="7"/>
  <c r="G117" i="7"/>
  <c r="H117" i="7"/>
  <c r="I117" i="7"/>
  <c r="J117" i="7"/>
  <c r="K117" i="7"/>
  <c r="L117" i="7"/>
  <c r="M117" i="7"/>
  <c r="N117" i="7"/>
  <c r="O117" i="7"/>
  <c r="P117" i="7"/>
  <c r="D118" i="7"/>
  <c r="E118" i="7" s="1"/>
  <c r="F118" i="7"/>
  <c r="G118" i="7"/>
  <c r="H118" i="7"/>
  <c r="I118" i="7"/>
  <c r="J118" i="7"/>
  <c r="K118" i="7"/>
  <c r="L118" i="7"/>
  <c r="M118" i="7"/>
  <c r="N118" i="7"/>
  <c r="O118" i="7"/>
  <c r="P118" i="7"/>
  <c r="D119" i="7"/>
  <c r="E119" i="7" s="1"/>
  <c r="F119" i="7"/>
  <c r="G119" i="7"/>
  <c r="H119" i="7"/>
  <c r="I119" i="7"/>
  <c r="J119" i="7"/>
  <c r="K119" i="7"/>
  <c r="L119" i="7"/>
  <c r="M119" i="7"/>
  <c r="N119" i="7"/>
  <c r="O119" i="7"/>
  <c r="P119" i="7"/>
  <c r="D120" i="7"/>
  <c r="E120" i="7" s="1"/>
  <c r="F120" i="7"/>
  <c r="G120" i="7"/>
  <c r="H120" i="7"/>
  <c r="I120" i="7"/>
  <c r="J120" i="7"/>
  <c r="K120" i="7"/>
  <c r="L120" i="7"/>
  <c r="M120" i="7"/>
  <c r="N120" i="7"/>
  <c r="O120" i="7"/>
  <c r="P120" i="7"/>
  <c r="D121" i="7"/>
  <c r="E121" i="7" s="1"/>
  <c r="F121" i="7"/>
  <c r="G121" i="7"/>
  <c r="H121" i="7"/>
  <c r="I121" i="7"/>
  <c r="J121" i="7"/>
  <c r="K121" i="7"/>
  <c r="L121" i="7"/>
  <c r="M121" i="7"/>
  <c r="N121" i="7"/>
  <c r="O121" i="7"/>
  <c r="P121" i="7"/>
  <c r="D122" i="7"/>
  <c r="E122" i="7" s="1"/>
  <c r="F122" i="7"/>
  <c r="G122" i="7"/>
  <c r="H122" i="7"/>
  <c r="I122" i="7"/>
  <c r="J122" i="7"/>
  <c r="K122" i="7"/>
  <c r="L122" i="7"/>
  <c r="M122" i="7"/>
  <c r="N122" i="7"/>
  <c r="O122" i="7"/>
  <c r="P122" i="7"/>
  <c r="D123" i="7"/>
  <c r="E123" i="7" s="1"/>
  <c r="F123" i="7"/>
  <c r="G123" i="7"/>
  <c r="H123" i="7"/>
  <c r="I123" i="7"/>
  <c r="J123" i="7"/>
  <c r="K123" i="7"/>
  <c r="L123" i="7"/>
  <c r="M123" i="7"/>
  <c r="N123" i="7"/>
  <c r="O123" i="7"/>
  <c r="P123" i="7"/>
  <c r="D124" i="7"/>
  <c r="E124" i="7" s="1"/>
  <c r="F124" i="7"/>
  <c r="G124" i="7"/>
  <c r="H124" i="7"/>
  <c r="I124" i="7"/>
  <c r="J124" i="7"/>
  <c r="K124" i="7"/>
  <c r="L124" i="7"/>
  <c r="M124" i="7"/>
  <c r="N124" i="7"/>
  <c r="O124" i="7"/>
  <c r="P124" i="7"/>
  <c r="D11" i="7"/>
  <c r="E11" i="7" s="1"/>
  <c r="F11" i="7"/>
  <c r="G11" i="7"/>
  <c r="H11" i="7"/>
  <c r="I11" i="7"/>
  <c r="J11" i="7"/>
  <c r="K11" i="7"/>
  <c r="L11" i="7"/>
  <c r="M11" i="7"/>
  <c r="N11" i="7"/>
  <c r="O11" i="7"/>
  <c r="P11" i="7"/>
  <c r="D21" i="7"/>
  <c r="E21" i="7" s="1"/>
  <c r="F21" i="7"/>
  <c r="G21" i="7"/>
  <c r="H21" i="7"/>
  <c r="I21" i="7"/>
  <c r="J21" i="7"/>
  <c r="K21" i="7"/>
  <c r="L21" i="7"/>
  <c r="M21" i="7"/>
  <c r="N21" i="7"/>
  <c r="O21" i="7"/>
  <c r="P21" i="7"/>
  <c r="D30" i="7"/>
  <c r="E30" i="7" s="1"/>
  <c r="F30" i="7"/>
  <c r="G30" i="7"/>
  <c r="H30" i="7"/>
  <c r="I30" i="7"/>
  <c r="J30" i="7"/>
  <c r="K30" i="7"/>
  <c r="L30" i="7"/>
  <c r="M30" i="7"/>
  <c r="N30" i="7"/>
  <c r="O30" i="7"/>
  <c r="P30" i="7"/>
  <c r="D40" i="7"/>
  <c r="E40" i="7"/>
  <c r="F40" i="7"/>
  <c r="G40" i="7"/>
  <c r="H40" i="7"/>
  <c r="I40" i="7"/>
  <c r="J40" i="7"/>
  <c r="K40" i="7"/>
  <c r="L40" i="7"/>
  <c r="M40" i="7"/>
  <c r="N40" i="7"/>
  <c r="O40" i="7"/>
  <c r="P40" i="7"/>
  <c r="D50" i="7"/>
  <c r="E50" i="7"/>
  <c r="F50" i="7"/>
  <c r="G50" i="7"/>
  <c r="H50" i="7"/>
  <c r="I50" i="7"/>
  <c r="J50" i="7"/>
  <c r="K50" i="7"/>
  <c r="L50" i="7"/>
  <c r="M50" i="7"/>
  <c r="N50" i="7"/>
  <c r="O50" i="7"/>
  <c r="P50" i="7"/>
  <c r="D60" i="7"/>
  <c r="E60" i="7"/>
  <c r="F60" i="7"/>
  <c r="G60" i="7"/>
  <c r="H60" i="7"/>
  <c r="I60" i="7"/>
  <c r="J60" i="7"/>
  <c r="K60" i="7"/>
  <c r="L60" i="7"/>
  <c r="M60" i="7"/>
  <c r="N60" i="7"/>
  <c r="O60" i="7"/>
  <c r="P60" i="7"/>
  <c r="D71" i="7"/>
  <c r="E71" i="7"/>
  <c r="F71" i="7"/>
  <c r="G71" i="7"/>
  <c r="H71" i="7"/>
  <c r="I71" i="7"/>
  <c r="J71" i="7"/>
  <c r="K71" i="7"/>
  <c r="L71" i="7"/>
  <c r="M71" i="7"/>
  <c r="N71" i="7"/>
  <c r="O71" i="7"/>
  <c r="P71" i="7"/>
  <c r="D132" i="7"/>
  <c r="E132" i="7"/>
  <c r="F132" i="7"/>
  <c r="G132" i="7"/>
  <c r="H132" i="7"/>
  <c r="I132" i="7"/>
  <c r="J132" i="7"/>
  <c r="K132" i="7"/>
  <c r="L132" i="7"/>
  <c r="M132" i="7"/>
  <c r="N132" i="7"/>
  <c r="O132" i="7"/>
  <c r="P132" i="7"/>
  <c r="D141" i="7"/>
  <c r="E141" i="7"/>
  <c r="F141" i="7"/>
  <c r="G141" i="7"/>
  <c r="H141" i="7"/>
  <c r="I141" i="7"/>
  <c r="J141" i="7"/>
  <c r="K141" i="7"/>
  <c r="L141" i="7"/>
  <c r="M141" i="7"/>
  <c r="N141" i="7"/>
  <c r="O141" i="7"/>
  <c r="P141" i="7"/>
  <c r="D150" i="7"/>
  <c r="E150" i="7"/>
  <c r="F150" i="7"/>
  <c r="G150" i="7"/>
  <c r="H150" i="7"/>
  <c r="I150" i="7"/>
  <c r="J150" i="7"/>
  <c r="K150" i="7"/>
  <c r="L150" i="7"/>
  <c r="M150" i="7"/>
  <c r="N150" i="7"/>
  <c r="O150" i="7"/>
  <c r="P150" i="7"/>
  <c r="D159" i="7"/>
  <c r="E159" i="7"/>
  <c r="F159" i="7"/>
  <c r="G159" i="7"/>
  <c r="H159" i="7"/>
  <c r="I159" i="7"/>
  <c r="J159" i="7"/>
  <c r="K159" i="7"/>
  <c r="L159" i="7"/>
  <c r="M159" i="7"/>
  <c r="N159" i="7"/>
  <c r="O159" i="7"/>
  <c r="P159" i="7"/>
  <c r="D168" i="7"/>
  <c r="E168" i="7"/>
  <c r="F168" i="7"/>
  <c r="G168" i="7"/>
  <c r="H168" i="7"/>
  <c r="I168" i="7"/>
  <c r="J168" i="7"/>
  <c r="K168" i="7"/>
  <c r="L168" i="7"/>
  <c r="M168" i="7"/>
  <c r="N168" i="7"/>
  <c r="O168" i="7"/>
  <c r="P168" i="7"/>
  <c r="D178" i="7"/>
  <c r="E178" i="7"/>
  <c r="F178" i="7"/>
  <c r="G178" i="7"/>
  <c r="H178" i="7"/>
  <c r="I178" i="7"/>
  <c r="J178" i="7"/>
  <c r="K178" i="7"/>
  <c r="L178" i="7"/>
  <c r="M178" i="7"/>
  <c r="N178" i="7"/>
  <c r="O178" i="7"/>
  <c r="P178" i="7"/>
  <c r="D187" i="7"/>
  <c r="E187" i="7"/>
  <c r="F187" i="7"/>
  <c r="G187" i="7"/>
  <c r="H187" i="7"/>
  <c r="I187" i="7"/>
  <c r="J187" i="7"/>
  <c r="K187" i="7"/>
  <c r="L187" i="7"/>
  <c r="M187" i="7"/>
  <c r="N187" i="7"/>
  <c r="O187" i="7"/>
  <c r="P187" i="7"/>
  <c r="D196" i="7"/>
  <c r="E196" i="7"/>
  <c r="F196" i="7"/>
  <c r="G196" i="7"/>
  <c r="H196" i="7"/>
  <c r="I196" i="7"/>
  <c r="J196" i="7"/>
  <c r="K196" i="7"/>
  <c r="L196" i="7"/>
  <c r="M196" i="7"/>
  <c r="N196" i="7"/>
  <c r="O196" i="7"/>
  <c r="P196" i="7"/>
  <c r="D204" i="7"/>
  <c r="E204" i="7"/>
  <c r="F204" i="7"/>
  <c r="G204" i="7"/>
  <c r="H204" i="7"/>
  <c r="I204" i="7"/>
  <c r="J204" i="7"/>
  <c r="K204" i="7"/>
  <c r="L204" i="7"/>
  <c r="M204" i="7"/>
  <c r="N204" i="7"/>
  <c r="O204" i="7"/>
  <c r="P204" i="7"/>
  <c r="D213" i="7"/>
  <c r="E213" i="7"/>
  <c r="F213" i="7"/>
  <c r="G213" i="7"/>
  <c r="H213" i="7"/>
  <c r="I213" i="7"/>
  <c r="J213" i="7"/>
  <c r="K213" i="7"/>
  <c r="L213" i="7"/>
  <c r="M213" i="7"/>
  <c r="N213" i="7"/>
  <c r="O213" i="7"/>
  <c r="P213" i="7"/>
  <c r="D222" i="7"/>
  <c r="E222" i="7"/>
  <c r="F222" i="7"/>
  <c r="G222" i="7"/>
  <c r="H222" i="7"/>
  <c r="I222" i="7"/>
  <c r="J222" i="7"/>
  <c r="K222" i="7"/>
  <c r="L222" i="7"/>
  <c r="M222" i="7"/>
  <c r="N222" i="7"/>
  <c r="O222" i="7"/>
  <c r="P222" i="7"/>
  <c r="D232" i="7"/>
  <c r="E232" i="7"/>
  <c r="F232" i="7"/>
  <c r="G232" i="7"/>
  <c r="H232" i="7"/>
  <c r="I232" i="7"/>
  <c r="J232" i="7"/>
  <c r="K232" i="7"/>
  <c r="L232" i="7"/>
  <c r="M232" i="7"/>
  <c r="N232" i="7"/>
  <c r="O232" i="7"/>
  <c r="P232" i="7"/>
  <c r="D242" i="7"/>
  <c r="E242" i="7"/>
  <c r="F242" i="7"/>
  <c r="G242" i="7"/>
  <c r="H242" i="7"/>
  <c r="I242" i="7"/>
  <c r="J242" i="7"/>
  <c r="K242" i="7"/>
  <c r="L242" i="7"/>
  <c r="M242" i="7"/>
  <c r="N242" i="7"/>
  <c r="O242" i="7"/>
  <c r="P242" i="7"/>
  <c r="D251" i="7"/>
  <c r="E251" i="7"/>
  <c r="F251" i="7"/>
  <c r="G251" i="7"/>
  <c r="H251" i="7"/>
  <c r="I251" i="7"/>
  <c r="J251" i="7"/>
  <c r="K251" i="7"/>
  <c r="L251" i="7"/>
  <c r="M251" i="7"/>
  <c r="N251" i="7"/>
  <c r="O251" i="7"/>
  <c r="P251" i="7"/>
  <c r="D260" i="7"/>
  <c r="E260" i="7"/>
  <c r="F260" i="7"/>
  <c r="G260" i="7"/>
  <c r="H260" i="7"/>
  <c r="I260" i="7"/>
  <c r="J260" i="7"/>
  <c r="K260" i="7"/>
  <c r="L260" i="7"/>
  <c r="M260" i="7"/>
  <c r="N260" i="7"/>
  <c r="O260" i="7"/>
  <c r="P260" i="7"/>
  <c r="D270" i="7"/>
  <c r="E270" i="7"/>
  <c r="F270" i="7"/>
  <c r="G270" i="7"/>
  <c r="H270" i="7"/>
  <c r="I270" i="7"/>
  <c r="J270" i="7"/>
  <c r="K270" i="7"/>
  <c r="L270" i="7"/>
  <c r="M270" i="7"/>
  <c r="N270" i="7"/>
  <c r="O270" i="7"/>
  <c r="P270" i="7"/>
  <c r="D279" i="7"/>
  <c r="E279" i="7"/>
  <c r="F279" i="7"/>
  <c r="G279" i="7"/>
  <c r="H279" i="7"/>
  <c r="I279" i="7"/>
  <c r="J279" i="7"/>
  <c r="K279" i="7"/>
  <c r="L279" i="7"/>
  <c r="M279" i="7"/>
  <c r="N279" i="7"/>
  <c r="O279" i="7"/>
  <c r="P279" i="7"/>
  <c r="D288" i="7"/>
  <c r="E288" i="7"/>
  <c r="F288" i="7"/>
  <c r="G288" i="7"/>
  <c r="H288" i="7"/>
  <c r="I288" i="7"/>
  <c r="J288" i="7"/>
  <c r="K288" i="7"/>
  <c r="L288" i="7"/>
  <c r="M288" i="7"/>
  <c r="N288" i="7"/>
  <c r="O288" i="7"/>
  <c r="P288" i="7"/>
  <c r="D297" i="7"/>
  <c r="E297" i="7"/>
  <c r="F297" i="7"/>
  <c r="G297" i="7"/>
  <c r="H297" i="7"/>
  <c r="I297" i="7"/>
  <c r="J297" i="7"/>
  <c r="K297" i="7"/>
  <c r="L297" i="7"/>
  <c r="M297" i="7"/>
  <c r="N297" i="7"/>
  <c r="O297" i="7"/>
  <c r="P297" i="7"/>
  <c r="G298" i="7"/>
  <c r="H298" i="7"/>
  <c r="J298" i="7"/>
  <c r="K298" i="7"/>
  <c r="L298" i="7"/>
  <c r="M298" i="7"/>
  <c r="N298" i="7"/>
  <c r="O298" i="7"/>
  <c r="P298" i="7"/>
  <c r="D298" i="7"/>
  <c r="E298" i="7" s="1"/>
  <c r="F298" i="7"/>
  <c r="I298" i="7"/>
  <c r="D308" i="7"/>
  <c r="E308" i="7"/>
  <c r="F308" i="7"/>
  <c r="G308" i="7"/>
  <c r="H308" i="7"/>
  <c r="I308" i="7"/>
  <c r="J308" i="7"/>
  <c r="K308" i="7"/>
  <c r="L308" i="7"/>
  <c r="M308" i="7"/>
  <c r="N308" i="7"/>
  <c r="O308" i="7"/>
  <c r="P308" i="7"/>
  <c r="D310" i="7"/>
  <c r="E310" i="7" s="1"/>
  <c r="F310" i="7"/>
  <c r="G310" i="7"/>
  <c r="H310" i="7"/>
  <c r="I310" i="7"/>
  <c r="J310" i="7"/>
  <c r="K310" i="7"/>
  <c r="L310" i="7"/>
  <c r="M310" i="7"/>
  <c r="N310" i="7"/>
  <c r="O310" i="7"/>
  <c r="P310" i="7"/>
  <c r="D311" i="7"/>
  <c r="E311" i="7" s="1"/>
  <c r="F311" i="7"/>
  <c r="G311" i="7"/>
  <c r="H311" i="7"/>
  <c r="I311" i="7"/>
  <c r="J311" i="7"/>
  <c r="K311" i="7"/>
  <c r="L311" i="7"/>
  <c r="M311" i="7"/>
  <c r="N311" i="7"/>
  <c r="O311" i="7"/>
  <c r="P311" i="7"/>
  <c r="D312" i="7"/>
  <c r="E312" i="7" s="1"/>
  <c r="F312" i="7"/>
  <c r="G312" i="7"/>
  <c r="H312" i="7"/>
  <c r="I312" i="7"/>
  <c r="J312" i="7"/>
  <c r="K312" i="7"/>
  <c r="L312" i="7"/>
  <c r="M312" i="7"/>
  <c r="N312" i="7"/>
  <c r="O312" i="7"/>
  <c r="P312" i="7"/>
  <c r="D313" i="7"/>
  <c r="E313" i="7" s="1"/>
  <c r="F313" i="7"/>
  <c r="G313" i="7"/>
  <c r="H313" i="7"/>
  <c r="I313" i="7"/>
  <c r="J313" i="7"/>
  <c r="K313" i="7"/>
  <c r="L313" i="7"/>
  <c r="M313" i="7"/>
  <c r="N313" i="7"/>
  <c r="O313" i="7"/>
  <c r="P313" i="7"/>
  <c r="D314" i="7"/>
  <c r="E314" i="7" s="1"/>
  <c r="F314" i="7"/>
  <c r="G314" i="7"/>
  <c r="H314" i="7"/>
  <c r="I314" i="7"/>
  <c r="J314" i="7"/>
  <c r="K314" i="7"/>
  <c r="L314" i="7"/>
  <c r="M314" i="7"/>
  <c r="N314" i="7"/>
  <c r="O314" i="7"/>
  <c r="P314" i="7"/>
  <c r="D315" i="7"/>
  <c r="E315" i="7" s="1"/>
  <c r="F315" i="7"/>
  <c r="G315" i="7"/>
  <c r="H315" i="7"/>
  <c r="I315" i="7"/>
  <c r="J315" i="7"/>
  <c r="K315" i="7"/>
  <c r="L315" i="7"/>
  <c r="M315" i="7"/>
  <c r="N315" i="7"/>
  <c r="O315" i="7"/>
  <c r="P315" i="7"/>
  <c r="D316" i="7"/>
  <c r="E316" i="7" s="1"/>
  <c r="F316" i="7"/>
  <c r="G316" i="7"/>
  <c r="H316" i="7"/>
  <c r="I316" i="7"/>
  <c r="J316" i="7"/>
  <c r="K316" i="7"/>
  <c r="L316" i="7"/>
  <c r="M316" i="7"/>
  <c r="N316" i="7"/>
  <c r="O316" i="7"/>
  <c r="P316" i="7"/>
  <c r="D317" i="7"/>
  <c r="E317" i="7" s="1"/>
  <c r="F317" i="7"/>
  <c r="G317" i="7"/>
  <c r="H317" i="7"/>
  <c r="I317" i="7"/>
  <c r="J317" i="7"/>
  <c r="K317" i="7"/>
  <c r="L317" i="7"/>
  <c r="M317" i="7"/>
  <c r="N317" i="7"/>
  <c r="O317" i="7"/>
  <c r="P317" i="7"/>
  <c r="D318" i="7"/>
  <c r="E318" i="7" s="1"/>
  <c r="F318" i="7"/>
  <c r="G318" i="7"/>
  <c r="H318" i="7"/>
  <c r="I318" i="7"/>
  <c r="J318" i="7"/>
  <c r="K318" i="7"/>
  <c r="L318" i="7"/>
  <c r="M318" i="7"/>
  <c r="N318" i="7"/>
  <c r="O318" i="7"/>
  <c r="P318" i="7"/>
  <c r="D319" i="7"/>
  <c r="E319" i="7" s="1"/>
  <c r="F319" i="7"/>
  <c r="G319" i="7"/>
  <c r="H319" i="7"/>
  <c r="I319" i="7"/>
  <c r="J319" i="7"/>
  <c r="K319" i="7"/>
  <c r="L319" i="7"/>
  <c r="M319" i="7"/>
  <c r="N319" i="7"/>
  <c r="O319" i="7"/>
  <c r="P319" i="7"/>
  <c r="D320" i="7"/>
  <c r="E320" i="7" s="1"/>
  <c r="F320" i="7"/>
  <c r="G320" i="7"/>
  <c r="H320" i="7"/>
  <c r="I320" i="7"/>
  <c r="J320" i="7"/>
  <c r="K320" i="7"/>
  <c r="L320" i="7"/>
  <c r="M320" i="7"/>
  <c r="N320" i="7"/>
  <c r="O320" i="7"/>
  <c r="P320" i="7"/>
  <c r="D321" i="7"/>
  <c r="E321" i="7" s="1"/>
  <c r="F321" i="7"/>
  <c r="G321" i="7"/>
  <c r="H321" i="7"/>
  <c r="I321" i="7"/>
  <c r="J321" i="7"/>
  <c r="K321" i="7"/>
  <c r="L321" i="7"/>
  <c r="M321" i="7"/>
  <c r="N321" i="7"/>
  <c r="O321" i="7"/>
  <c r="P321" i="7"/>
  <c r="D322" i="7"/>
  <c r="E322" i="7" s="1"/>
  <c r="F322" i="7"/>
  <c r="G322" i="7"/>
  <c r="H322" i="7"/>
  <c r="I322" i="7"/>
  <c r="J322" i="7"/>
  <c r="K322" i="7"/>
  <c r="L322" i="7"/>
  <c r="M322" i="7"/>
  <c r="N322" i="7"/>
  <c r="O322" i="7"/>
  <c r="P322" i="7"/>
  <c r="D323" i="7"/>
  <c r="E323" i="7" s="1"/>
  <c r="F323" i="7"/>
  <c r="G323" i="7"/>
  <c r="H323" i="7"/>
  <c r="I323" i="7"/>
  <c r="J323" i="7"/>
  <c r="K323" i="7"/>
  <c r="L323" i="7"/>
  <c r="M323" i="7"/>
  <c r="N323" i="7"/>
  <c r="O323" i="7"/>
  <c r="P323" i="7"/>
  <c r="D324" i="7"/>
  <c r="E324" i="7" s="1"/>
  <c r="F324" i="7"/>
  <c r="G324" i="7"/>
  <c r="H324" i="7"/>
  <c r="I324" i="7"/>
  <c r="J324" i="7"/>
  <c r="K324" i="7"/>
  <c r="L324" i="7"/>
  <c r="M324" i="7"/>
  <c r="N324" i="7"/>
  <c r="O324" i="7"/>
  <c r="P324" i="7"/>
  <c r="D325" i="7"/>
  <c r="E325" i="7" s="1"/>
  <c r="F325" i="7"/>
  <c r="G325" i="7"/>
  <c r="H325" i="7"/>
  <c r="I325" i="7"/>
  <c r="J325" i="7"/>
  <c r="K325" i="7"/>
  <c r="L325" i="7"/>
  <c r="M325" i="7"/>
  <c r="N325" i="7"/>
  <c r="O325" i="7"/>
  <c r="P325" i="7"/>
  <c r="D326" i="7"/>
  <c r="E326" i="7" s="1"/>
  <c r="F326" i="7"/>
  <c r="G326" i="7"/>
  <c r="H326" i="7"/>
  <c r="I326" i="7"/>
  <c r="J326" i="7"/>
  <c r="K326" i="7"/>
  <c r="L326" i="7"/>
  <c r="M326" i="7"/>
  <c r="N326" i="7"/>
  <c r="O326" i="7"/>
  <c r="P326" i="7"/>
  <c r="D327" i="7"/>
  <c r="E327" i="7"/>
  <c r="F327" i="7"/>
  <c r="G327" i="7"/>
  <c r="H327" i="7"/>
  <c r="I327" i="7"/>
  <c r="J327" i="7"/>
  <c r="K327" i="7"/>
  <c r="L327" i="7"/>
  <c r="M327" i="7"/>
  <c r="N327" i="7"/>
  <c r="O327" i="7"/>
  <c r="P327" i="7"/>
  <c r="D328" i="7"/>
  <c r="E328" i="7"/>
  <c r="F328" i="7"/>
  <c r="G328" i="7"/>
  <c r="H328" i="7"/>
  <c r="I328" i="7"/>
  <c r="J328" i="7"/>
  <c r="K328" i="7"/>
  <c r="L328" i="7"/>
  <c r="M328" i="7"/>
  <c r="N328" i="7"/>
  <c r="O328" i="7"/>
  <c r="P328" i="7"/>
  <c r="D329" i="7"/>
  <c r="E329" i="7"/>
  <c r="F329" i="7"/>
  <c r="G329" i="7"/>
  <c r="H329" i="7"/>
  <c r="I329" i="7"/>
  <c r="J329" i="7"/>
  <c r="K329" i="7"/>
  <c r="L329" i="7"/>
  <c r="M329" i="7"/>
  <c r="N329" i="7"/>
  <c r="O329" i="7"/>
  <c r="P329" i="7"/>
  <c r="D330" i="7"/>
  <c r="E330" i="7"/>
  <c r="F330" i="7"/>
  <c r="G330" i="7"/>
  <c r="H330" i="7"/>
  <c r="I330" i="7"/>
  <c r="J330" i="7"/>
  <c r="K330" i="7"/>
  <c r="L330" i="7"/>
  <c r="M330" i="7"/>
  <c r="N330" i="7"/>
  <c r="O330" i="7"/>
  <c r="P330" i="7"/>
  <c r="D331" i="7"/>
  <c r="E331" i="7"/>
  <c r="F331" i="7"/>
  <c r="G331" i="7"/>
  <c r="H331" i="7"/>
  <c r="I331" i="7"/>
  <c r="J331" i="7"/>
  <c r="K331" i="7"/>
  <c r="L331" i="7"/>
  <c r="M331" i="7"/>
  <c r="N331" i="7"/>
  <c r="O331" i="7"/>
  <c r="P331" i="7"/>
  <c r="D332" i="7"/>
  <c r="E332" i="7"/>
  <c r="F332" i="7"/>
  <c r="G332" i="7"/>
  <c r="H332" i="7"/>
  <c r="I332" i="7"/>
  <c r="J332" i="7"/>
  <c r="K332" i="7"/>
  <c r="L332" i="7"/>
  <c r="M332" i="7"/>
  <c r="N332" i="7"/>
  <c r="O332" i="7"/>
  <c r="P332" i="7"/>
  <c r="D333" i="7"/>
  <c r="E333" i="7"/>
  <c r="F333" i="7"/>
  <c r="G333" i="7"/>
  <c r="H333" i="7"/>
  <c r="I333" i="7"/>
  <c r="J333" i="7"/>
  <c r="K333" i="7"/>
  <c r="L333" i="7"/>
  <c r="M333" i="7"/>
  <c r="N333" i="7"/>
  <c r="O333" i="7"/>
  <c r="P333" i="7"/>
  <c r="D334" i="7"/>
  <c r="E334" i="7"/>
  <c r="F334" i="7"/>
  <c r="G334" i="7"/>
  <c r="H334" i="7"/>
  <c r="I334" i="7"/>
  <c r="J334" i="7"/>
  <c r="K334" i="7"/>
  <c r="L334" i="7"/>
  <c r="M334" i="7"/>
  <c r="N334" i="7"/>
  <c r="O334" i="7"/>
  <c r="P334" i="7"/>
  <c r="D335" i="7"/>
  <c r="E335" i="7"/>
  <c r="F335" i="7"/>
  <c r="G335" i="7"/>
  <c r="H335" i="7"/>
  <c r="I335" i="7"/>
  <c r="J335" i="7"/>
  <c r="K335" i="7"/>
  <c r="L335" i="7"/>
  <c r="M335" i="7"/>
  <c r="N335" i="7"/>
  <c r="O335" i="7"/>
  <c r="P335" i="7"/>
  <c r="D336" i="7"/>
  <c r="E336" i="7"/>
  <c r="F336" i="7"/>
  <c r="G336" i="7"/>
  <c r="H336" i="7"/>
  <c r="I336" i="7"/>
  <c r="J336" i="7"/>
  <c r="K336" i="7"/>
  <c r="L336" i="7"/>
  <c r="M336" i="7"/>
  <c r="N336" i="7"/>
  <c r="O336" i="7"/>
  <c r="P336" i="7"/>
  <c r="D337" i="7"/>
  <c r="E337" i="7"/>
  <c r="F337" i="7"/>
  <c r="G337" i="7"/>
  <c r="H337" i="7"/>
  <c r="I337" i="7"/>
  <c r="J337" i="7"/>
  <c r="K337" i="7"/>
  <c r="L337" i="7"/>
  <c r="M337" i="7"/>
  <c r="N337" i="7"/>
  <c r="O337" i="7"/>
  <c r="P337" i="7"/>
  <c r="D338" i="7"/>
  <c r="E338" i="7"/>
  <c r="F338" i="7"/>
  <c r="G338" i="7"/>
  <c r="H338" i="7"/>
  <c r="I338" i="7"/>
  <c r="J338" i="7"/>
  <c r="K338" i="7"/>
  <c r="L338" i="7"/>
  <c r="M338" i="7"/>
  <c r="N338" i="7"/>
  <c r="O338" i="7"/>
  <c r="P338" i="7"/>
  <c r="D339" i="7"/>
  <c r="E339" i="7"/>
  <c r="F339" i="7"/>
  <c r="G339" i="7"/>
  <c r="H339" i="7"/>
  <c r="I339" i="7"/>
  <c r="J339" i="7"/>
  <c r="K339" i="7"/>
  <c r="L339" i="7"/>
  <c r="M339" i="7"/>
  <c r="N339" i="7"/>
  <c r="O339" i="7"/>
  <c r="P339" i="7"/>
  <c r="D9" i="7"/>
  <c r="E9" i="7"/>
  <c r="F9" i="7"/>
  <c r="G9" i="7"/>
  <c r="H9" i="7"/>
  <c r="I9" i="7"/>
  <c r="J9" i="7"/>
  <c r="K9" i="7"/>
  <c r="L9" i="7"/>
  <c r="M9" i="7"/>
  <c r="N9" i="7"/>
  <c r="O9" i="7"/>
  <c r="P9" i="7"/>
  <c r="D19" i="7"/>
  <c r="E19" i="7"/>
  <c r="F19" i="7"/>
  <c r="G19" i="7"/>
  <c r="H19" i="7"/>
  <c r="I19" i="7"/>
  <c r="J19" i="7"/>
  <c r="K19" i="7"/>
  <c r="L19" i="7"/>
  <c r="M19" i="7"/>
  <c r="N19" i="7"/>
  <c r="O19" i="7"/>
  <c r="P19" i="7"/>
  <c r="D29" i="7"/>
  <c r="E29" i="7" s="1"/>
  <c r="F29" i="7"/>
  <c r="G29" i="7"/>
  <c r="H29" i="7"/>
  <c r="I29" i="7"/>
  <c r="J29" i="7"/>
  <c r="K29" i="7"/>
  <c r="L29" i="7"/>
  <c r="M29" i="7"/>
  <c r="N29" i="7"/>
  <c r="O29" i="7"/>
  <c r="P29" i="7"/>
  <c r="D39" i="7"/>
  <c r="E39" i="7" s="1"/>
  <c r="F39" i="7"/>
  <c r="G39" i="7"/>
  <c r="H39" i="7"/>
  <c r="I39" i="7"/>
  <c r="J39" i="7"/>
  <c r="K39" i="7"/>
  <c r="L39" i="7"/>
  <c r="M39" i="7"/>
  <c r="N39" i="7"/>
  <c r="O39" i="7"/>
  <c r="P39" i="7"/>
  <c r="D49" i="7"/>
  <c r="E49" i="7" s="1"/>
  <c r="F49" i="7"/>
  <c r="G49" i="7"/>
  <c r="H49" i="7"/>
  <c r="I49" i="7"/>
  <c r="J49" i="7"/>
  <c r="K49" i="7"/>
  <c r="L49" i="7"/>
  <c r="M49" i="7"/>
  <c r="N49" i="7"/>
  <c r="O49" i="7"/>
  <c r="P49" i="7"/>
  <c r="D59" i="7"/>
  <c r="E59" i="7" s="1"/>
  <c r="F59" i="7"/>
  <c r="G59" i="7"/>
  <c r="H59" i="7"/>
  <c r="I59" i="7"/>
  <c r="J59" i="7"/>
  <c r="K59" i="7"/>
  <c r="L59" i="7"/>
  <c r="M59" i="7"/>
  <c r="N59" i="7"/>
  <c r="O59" i="7"/>
  <c r="P59" i="7"/>
  <c r="D69" i="7"/>
  <c r="E69" i="7" s="1"/>
  <c r="F69" i="7"/>
  <c r="G69" i="7"/>
  <c r="H69" i="7"/>
  <c r="I69" i="7"/>
  <c r="J69" i="7"/>
  <c r="K69" i="7"/>
  <c r="L69" i="7"/>
  <c r="M69" i="7"/>
  <c r="N69" i="7"/>
  <c r="O69" i="7"/>
  <c r="P69" i="7"/>
  <c r="D130" i="7"/>
  <c r="E130" i="7" s="1"/>
  <c r="F130" i="7"/>
  <c r="G130" i="7"/>
  <c r="H130" i="7"/>
  <c r="I130" i="7"/>
  <c r="J130" i="7"/>
  <c r="K130" i="7"/>
  <c r="L130" i="7"/>
  <c r="M130" i="7"/>
  <c r="N130" i="7"/>
  <c r="O130" i="7"/>
  <c r="P130" i="7"/>
  <c r="D139" i="7"/>
  <c r="E139" i="7" s="1"/>
  <c r="F139" i="7"/>
  <c r="G139" i="7"/>
  <c r="H139" i="7"/>
  <c r="I139" i="7"/>
  <c r="J139" i="7"/>
  <c r="K139" i="7"/>
  <c r="L139" i="7"/>
  <c r="M139" i="7"/>
  <c r="N139" i="7"/>
  <c r="O139" i="7"/>
  <c r="P139" i="7"/>
  <c r="D148" i="7"/>
  <c r="E148" i="7" s="1"/>
  <c r="F148" i="7"/>
  <c r="G148" i="7"/>
  <c r="H148" i="7"/>
  <c r="I148" i="7"/>
  <c r="J148" i="7"/>
  <c r="K148" i="7"/>
  <c r="L148" i="7"/>
  <c r="M148" i="7"/>
  <c r="N148" i="7"/>
  <c r="O148" i="7"/>
  <c r="P148" i="7"/>
  <c r="D158" i="7"/>
  <c r="E158" i="7" s="1"/>
  <c r="F158" i="7"/>
  <c r="G158" i="7"/>
  <c r="H158" i="7"/>
  <c r="I158" i="7"/>
  <c r="J158" i="7"/>
  <c r="K158" i="7"/>
  <c r="L158" i="7"/>
  <c r="M158" i="7"/>
  <c r="N158" i="7"/>
  <c r="O158" i="7"/>
  <c r="P158" i="7"/>
  <c r="D167" i="7"/>
  <c r="E167" i="7" s="1"/>
  <c r="F167" i="7"/>
  <c r="G167" i="7"/>
  <c r="H167" i="7"/>
  <c r="I167" i="7"/>
  <c r="J167" i="7"/>
  <c r="K167" i="7"/>
  <c r="L167" i="7"/>
  <c r="M167" i="7"/>
  <c r="N167" i="7"/>
  <c r="O167" i="7"/>
  <c r="P167" i="7"/>
  <c r="D185" i="7"/>
  <c r="E185" i="7" s="1"/>
  <c r="F185" i="7"/>
  <c r="G185" i="7"/>
  <c r="H185" i="7"/>
  <c r="I185" i="7"/>
  <c r="J185" i="7"/>
  <c r="K185" i="7"/>
  <c r="L185" i="7"/>
  <c r="M185" i="7"/>
  <c r="N185" i="7"/>
  <c r="O185" i="7"/>
  <c r="P185" i="7"/>
  <c r="D194" i="7"/>
  <c r="E194" i="7" s="1"/>
  <c r="F194" i="7"/>
  <c r="G194" i="7"/>
  <c r="H194" i="7"/>
  <c r="I194" i="7"/>
  <c r="J194" i="7"/>
  <c r="K194" i="7"/>
  <c r="L194" i="7"/>
  <c r="M194" i="7"/>
  <c r="N194" i="7"/>
  <c r="O194" i="7"/>
  <c r="P194" i="7"/>
  <c r="D203" i="7"/>
  <c r="E203" i="7" s="1"/>
  <c r="F203" i="7"/>
  <c r="G203" i="7"/>
  <c r="H203" i="7"/>
  <c r="I203" i="7"/>
  <c r="J203" i="7"/>
  <c r="K203" i="7"/>
  <c r="L203" i="7"/>
  <c r="M203" i="7"/>
  <c r="N203" i="7"/>
  <c r="O203" i="7"/>
  <c r="P203" i="7"/>
  <c r="D212" i="7"/>
  <c r="E212" i="7" s="1"/>
  <c r="F212" i="7"/>
  <c r="G212" i="7"/>
  <c r="H212" i="7"/>
  <c r="I212" i="7"/>
  <c r="J212" i="7"/>
  <c r="K212" i="7"/>
  <c r="L212" i="7"/>
  <c r="M212" i="7"/>
  <c r="N212" i="7"/>
  <c r="O212" i="7"/>
  <c r="P212" i="7"/>
  <c r="D221" i="7"/>
  <c r="E221" i="7" s="1"/>
  <c r="F221" i="7"/>
  <c r="G221" i="7"/>
  <c r="H221" i="7"/>
  <c r="I221" i="7"/>
  <c r="J221" i="7"/>
  <c r="K221" i="7"/>
  <c r="L221" i="7"/>
  <c r="M221" i="7"/>
  <c r="N221" i="7"/>
  <c r="O221" i="7"/>
  <c r="P221" i="7"/>
  <c r="D230" i="7"/>
  <c r="E230" i="7" s="1"/>
  <c r="F230" i="7"/>
  <c r="G230" i="7"/>
  <c r="H230" i="7"/>
  <c r="I230" i="7"/>
  <c r="J230" i="7"/>
  <c r="K230" i="7"/>
  <c r="L230" i="7"/>
  <c r="M230" i="7"/>
  <c r="N230" i="7"/>
  <c r="O230" i="7"/>
  <c r="P230" i="7"/>
  <c r="D239" i="7"/>
  <c r="E239" i="7" s="1"/>
  <c r="F239" i="7"/>
  <c r="G239" i="7"/>
  <c r="H239" i="7"/>
  <c r="I239" i="7"/>
  <c r="J239" i="7"/>
  <c r="K239" i="7"/>
  <c r="L239" i="7"/>
  <c r="M239" i="7"/>
  <c r="N239" i="7"/>
  <c r="O239" i="7"/>
  <c r="P239" i="7"/>
  <c r="D248" i="7"/>
  <c r="E248" i="7" s="1"/>
  <c r="F248" i="7"/>
  <c r="G248" i="7"/>
  <c r="H248" i="7"/>
  <c r="I248" i="7"/>
  <c r="J248" i="7"/>
  <c r="K248" i="7"/>
  <c r="L248" i="7"/>
  <c r="M248" i="7"/>
  <c r="N248" i="7"/>
  <c r="O248" i="7"/>
  <c r="P248" i="7"/>
  <c r="D258" i="7"/>
  <c r="E258" i="7" s="1"/>
  <c r="F258" i="7"/>
  <c r="G258" i="7"/>
  <c r="H258" i="7"/>
  <c r="I258" i="7"/>
  <c r="J258" i="7"/>
  <c r="K258" i="7"/>
  <c r="L258" i="7"/>
  <c r="M258" i="7"/>
  <c r="N258" i="7"/>
  <c r="O258" i="7"/>
  <c r="P258" i="7"/>
  <c r="D259" i="7"/>
  <c r="E259" i="7" s="1"/>
  <c r="G259" i="7"/>
  <c r="H259" i="7"/>
  <c r="I259" i="7"/>
  <c r="J259" i="7"/>
  <c r="K259" i="7"/>
  <c r="L259" i="7"/>
  <c r="M259" i="7"/>
  <c r="N259" i="7"/>
  <c r="O259" i="7"/>
  <c r="P259" i="7"/>
  <c r="F259" i="7"/>
  <c r="D268" i="7"/>
  <c r="E268" i="7" s="1"/>
  <c r="F268" i="7"/>
  <c r="G268" i="7"/>
  <c r="H268" i="7"/>
  <c r="I268" i="7"/>
  <c r="J268" i="7"/>
  <c r="K268" i="7"/>
  <c r="L268" i="7"/>
  <c r="M268" i="7"/>
  <c r="N268" i="7"/>
  <c r="O268" i="7"/>
  <c r="P268" i="7"/>
  <c r="D277" i="7"/>
  <c r="E277" i="7" s="1"/>
  <c r="F277" i="7"/>
  <c r="G277" i="7"/>
  <c r="H277" i="7"/>
  <c r="I277" i="7"/>
  <c r="J277" i="7"/>
  <c r="K277" i="7"/>
  <c r="L277" i="7"/>
  <c r="M277" i="7"/>
  <c r="N277" i="7"/>
  <c r="O277" i="7"/>
  <c r="P277" i="7"/>
  <c r="D286" i="7"/>
  <c r="E286" i="7" s="1"/>
  <c r="F286" i="7"/>
  <c r="G286" i="7"/>
  <c r="H286" i="7"/>
  <c r="I286" i="7"/>
  <c r="J286" i="7"/>
  <c r="K286" i="7"/>
  <c r="L286" i="7"/>
  <c r="M286" i="7"/>
  <c r="N286" i="7"/>
  <c r="O286" i="7"/>
  <c r="P286" i="7"/>
  <c r="D295" i="7"/>
  <c r="E295" i="7" s="1"/>
  <c r="F295" i="7"/>
  <c r="G295" i="7"/>
  <c r="H295" i="7"/>
  <c r="I295" i="7"/>
  <c r="J295" i="7"/>
  <c r="K295" i="7"/>
  <c r="L295" i="7"/>
  <c r="M295" i="7"/>
  <c r="N295" i="7"/>
  <c r="O295" i="7"/>
  <c r="P295" i="7"/>
  <c r="D305" i="7"/>
  <c r="E305" i="7" s="1"/>
  <c r="F305" i="7"/>
  <c r="G305" i="7"/>
  <c r="H305" i="7"/>
  <c r="I305" i="7"/>
  <c r="J305" i="7"/>
  <c r="K305" i="7"/>
  <c r="L305" i="7"/>
  <c r="M305" i="7"/>
  <c r="N305" i="7"/>
  <c r="O305" i="7"/>
  <c r="P305" i="7"/>
  <c r="D345" i="7"/>
  <c r="E345" i="7"/>
  <c r="F345" i="7"/>
  <c r="G345" i="7"/>
  <c r="H345" i="7"/>
  <c r="I345" i="7"/>
  <c r="J345" i="7"/>
  <c r="K345" i="7"/>
  <c r="L345" i="7"/>
  <c r="M345" i="7"/>
  <c r="N345" i="7"/>
  <c r="O345" i="7"/>
  <c r="P345" i="7"/>
  <c r="D354" i="7"/>
  <c r="E354" i="7"/>
  <c r="F354" i="7"/>
  <c r="G354" i="7"/>
  <c r="H354" i="7"/>
  <c r="I354" i="7"/>
  <c r="J354" i="7"/>
  <c r="K354" i="7"/>
  <c r="L354" i="7"/>
  <c r="M354" i="7"/>
  <c r="N354" i="7"/>
  <c r="O354" i="7"/>
  <c r="P354" i="7"/>
  <c r="D362" i="7"/>
  <c r="E362" i="7"/>
  <c r="F362" i="7"/>
  <c r="G362" i="7"/>
  <c r="H362" i="7"/>
  <c r="I362" i="7"/>
  <c r="J362" i="7"/>
  <c r="K362" i="7"/>
  <c r="L362" i="7"/>
  <c r="M362" i="7"/>
  <c r="N362" i="7"/>
  <c r="O362" i="7"/>
  <c r="P362" i="7"/>
  <c r="D369" i="7"/>
  <c r="E369" i="7"/>
  <c r="F369" i="7"/>
  <c r="G369" i="7"/>
  <c r="H369" i="7"/>
  <c r="I369" i="7"/>
  <c r="J369" i="7"/>
  <c r="K369" i="7"/>
  <c r="L369" i="7"/>
  <c r="M369" i="7"/>
  <c r="N369" i="7"/>
  <c r="O369" i="7"/>
  <c r="P369" i="7"/>
  <c r="D377" i="7"/>
  <c r="E377" i="7"/>
  <c r="F377" i="7"/>
  <c r="G377" i="7"/>
  <c r="H377" i="7"/>
  <c r="I377" i="7"/>
  <c r="J377" i="7"/>
  <c r="K377" i="7"/>
  <c r="L377" i="7"/>
  <c r="M377" i="7"/>
  <c r="N377" i="7"/>
  <c r="O377" i="7"/>
  <c r="P377" i="7"/>
  <c r="D385" i="7"/>
  <c r="E385" i="7"/>
  <c r="F385" i="7"/>
  <c r="G385" i="7"/>
  <c r="H385" i="7"/>
  <c r="I385" i="7"/>
  <c r="J385" i="7"/>
  <c r="K385" i="7"/>
  <c r="L385" i="7"/>
  <c r="M385" i="7"/>
  <c r="N385" i="7"/>
  <c r="O385" i="7"/>
  <c r="P385" i="7"/>
  <c r="D390" i="7"/>
  <c r="E390" i="7"/>
  <c r="F390" i="7"/>
  <c r="G390" i="7"/>
  <c r="H390" i="7"/>
  <c r="I390" i="7"/>
  <c r="J390" i="7"/>
  <c r="K390" i="7"/>
  <c r="L390" i="7"/>
  <c r="M390" i="7"/>
  <c r="N390" i="7"/>
  <c r="O390" i="7"/>
  <c r="P390" i="7"/>
  <c r="D395" i="7"/>
  <c r="E395" i="7"/>
  <c r="F395" i="7"/>
  <c r="G395" i="7"/>
  <c r="H395" i="7"/>
  <c r="I395" i="7"/>
  <c r="J395" i="7"/>
  <c r="K395" i="7"/>
  <c r="L395" i="7"/>
  <c r="M395" i="7"/>
  <c r="N395" i="7"/>
  <c r="O395" i="7"/>
  <c r="P395" i="7"/>
  <c r="D400" i="7"/>
  <c r="E400" i="7"/>
  <c r="F400" i="7"/>
  <c r="G400" i="7"/>
  <c r="H400" i="7"/>
  <c r="I400" i="7"/>
  <c r="J400" i="7"/>
  <c r="K400" i="7"/>
  <c r="L400" i="7"/>
  <c r="M400" i="7"/>
  <c r="N400" i="7"/>
  <c r="O400" i="7"/>
  <c r="P400" i="7"/>
  <c r="D405" i="7"/>
  <c r="E405" i="7"/>
  <c r="F405" i="7"/>
  <c r="G405" i="7"/>
  <c r="H405" i="7"/>
  <c r="I405" i="7"/>
  <c r="J405" i="7"/>
  <c r="K405" i="7"/>
  <c r="L405" i="7"/>
  <c r="M405" i="7"/>
  <c r="N405" i="7"/>
  <c r="O405" i="7"/>
  <c r="P405" i="7"/>
  <c r="D410" i="7"/>
  <c r="E410" i="7"/>
  <c r="F410" i="7"/>
  <c r="G410" i="7"/>
  <c r="H410" i="7"/>
  <c r="I410" i="7"/>
  <c r="J410" i="7"/>
  <c r="K410" i="7"/>
  <c r="L410" i="7"/>
  <c r="M410" i="7"/>
  <c r="N410" i="7"/>
  <c r="O410" i="7"/>
  <c r="P410" i="7"/>
  <c r="D415" i="7"/>
  <c r="E415" i="7"/>
  <c r="F415" i="7"/>
  <c r="G415" i="7"/>
  <c r="H415" i="7"/>
  <c r="I415" i="7"/>
  <c r="J415" i="7"/>
  <c r="K415" i="7"/>
  <c r="L415" i="7"/>
  <c r="M415" i="7"/>
  <c r="N415" i="7"/>
  <c r="O415" i="7"/>
  <c r="P415" i="7"/>
  <c r="D420" i="7"/>
  <c r="E420" i="7"/>
  <c r="F420" i="7"/>
  <c r="G420" i="7"/>
  <c r="H420" i="7"/>
  <c r="I420" i="7"/>
  <c r="J420" i="7"/>
  <c r="K420" i="7"/>
  <c r="L420" i="7"/>
  <c r="M420" i="7"/>
  <c r="N420" i="7"/>
  <c r="O420" i="7"/>
  <c r="P420" i="7"/>
  <c r="D425" i="7"/>
  <c r="E425" i="7"/>
  <c r="F425" i="7"/>
  <c r="G425" i="7"/>
  <c r="H425" i="7"/>
  <c r="I425" i="7"/>
  <c r="J425" i="7"/>
  <c r="K425" i="7"/>
  <c r="L425" i="7"/>
  <c r="M425" i="7"/>
  <c r="N425" i="7"/>
  <c r="O425" i="7"/>
  <c r="P425" i="7"/>
  <c r="D430" i="7"/>
  <c r="E430" i="7"/>
  <c r="F430" i="7"/>
  <c r="G430" i="7"/>
  <c r="H430" i="7"/>
  <c r="I430" i="7"/>
  <c r="J430" i="7"/>
  <c r="K430" i="7"/>
  <c r="L430" i="7"/>
  <c r="M430" i="7"/>
  <c r="N430" i="7"/>
  <c r="O430" i="7"/>
  <c r="P430" i="7"/>
  <c r="D435" i="7"/>
  <c r="E435" i="7"/>
  <c r="F435" i="7"/>
  <c r="G435" i="7"/>
  <c r="H435" i="7"/>
  <c r="I435" i="7"/>
  <c r="J435" i="7"/>
  <c r="K435" i="7"/>
  <c r="L435" i="7"/>
  <c r="M435" i="7"/>
  <c r="N435" i="7"/>
  <c r="O435" i="7"/>
  <c r="P435" i="7"/>
  <c r="D442" i="7"/>
  <c r="E442" i="7"/>
  <c r="F442" i="7"/>
  <c r="G442" i="7"/>
  <c r="H442" i="7"/>
  <c r="I442" i="7"/>
  <c r="J442" i="7"/>
  <c r="K442" i="7"/>
  <c r="L442" i="7"/>
  <c r="M442" i="7"/>
  <c r="N442" i="7"/>
  <c r="O442" i="7"/>
  <c r="P442" i="7"/>
  <c r="D447" i="7"/>
  <c r="E447" i="7"/>
  <c r="F447" i="7"/>
  <c r="G447" i="7"/>
  <c r="H447" i="7"/>
  <c r="I447" i="7"/>
  <c r="J447" i="7"/>
  <c r="K447" i="7"/>
  <c r="L447" i="7"/>
  <c r="M447" i="7"/>
  <c r="N447" i="7"/>
  <c r="O447" i="7"/>
  <c r="P447" i="7"/>
  <c r="D452" i="7"/>
  <c r="E452" i="7"/>
  <c r="F452" i="7"/>
  <c r="G452" i="7"/>
  <c r="H452" i="7"/>
  <c r="I452" i="7"/>
  <c r="J452" i="7"/>
  <c r="K452" i="7"/>
  <c r="L452" i="7"/>
  <c r="M452" i="7"/>
  <c r="N452" i="7"/>
  <c r="O452" i="7"/>
  <c r="P452" i="7"/>
  <c r="D457" i="7"/>
  <c r="E457" i="7"/>
  <c r="F457" i="7"/>
  <c r="G457" i="7"/>
  <c r="H457" i="7"/>
  <c r="I457" i="7"/>
  <c r="J457" i="7"/>
  <c r="K457" i="7"/>
  <c r="L457" i="7"/>
  <c r="M457" i="7"/>
  <c r="N457" i="7"/>
  <c r="O457" i="7"/>
  <c r="P457" i="7"/>
  <c r="D461" i="7"/>
  <c r="E461" i="7"/>
  <c r="F461" i="7"/>
  <c r="G461" i="7"/>
  <c r="H461" i="7"/>
  <c r="I461" i="7"/>
  <c r="J461" i="7"/>
  <c r="K461" i="7"/>
  <c r="L461" i="7"/>
  <c r="M461" i="7"/>
  <c r="N461" i="7"/>
  <c r="O461" i="7"/>
  <c r="P461" i="7"/>
  <c r="D466" i="7"/>
  <c r="E466" i="7"/>
  <c r="F466" i="7"/>
  <c r="G466" i="7"/>
  <c r="H466" i="7"/>
  <c r="I466" i="7"/>
  <c r="J466" i="7"/>
  <c r="K466" i="7"/>
  <c r="L466" i="7"/>
  <c r="M466" i="7"/>
  <c r="N466" i="7"/>
  <c r="O466" i="7"/>
  <c r="P466" i="7"/>
  <c r="D472" i="7"/>
  <c r="E472" i="7"/>
  <c r="F472" i="7"/>
  <c r="G472" i="7"/>
  <c r="H472" i="7"/>
  <c r="I472" i="7"/>
  <c r="J472" i="7"/>
  <c r="K472" i="7"/>
  <c r="L472" i="7"/>
  <c r="M472" i="7"/>
  <c r="N472" i="7"/>
  <c r="O472" i="7"/>
  <c r="P472" i="7"/>
  <c r="D477" i="7"/>
  <c r="E477" i="7"/>
  <c r="F477" i="7"/>
  <c r="G477" i="7"/>
  <c r="H477" i="7"/>
  <c r="I477" i="7"/>
  <c r="J477" i="7"/>
  <c r="K477" i="7"/>
  <c r="L477" i="7"/>
  <c r="M477" i="7"/>
  <c r="N477" i="7"/>
  <c r="O477" i="7"/>
  <c r="P477" i="7"/>
  <c r="D482" i="7"/>
  <c r="E482" i="7"/>
  <c r="F482" i="7"/>
  <c r="G482" i="7"/>
  <c r="H482" i="7"/>
  <c r="I482" i="7"/>
  <c r="J482" i="7"/>
  <c r="K482" i="7"/>
  <c r="L482" i="7"/>
  <c r="M482" i="7"/>
  <c r="N482" i="7"/>
  <c r="O482" i="7"/>
  <c r="P482" i="7"/>
  <c r="D487" i="7"/>
  <c r="E487" i="7"/>
  <c r="F487" i="7"/>
  <c r="G487" i="7"/>
  <c r="H487" i="7"/>
  <c r="I487" i="7"/>
  <c r="J487" i="7"/>
  <c r="K487" i="7"/>
  <c r="L487" i="7"/>
  <c r="M487" i="7"/>
  <c r="N487" i="7"/>
  <c r="O487" i="7"/>
  <c r="P487" i="7"/>
  <c r="D491" i="7"/>
  <c r="E491" i="7"/>
  <c r="F491" i="7"/>
  <c r="G491" i="7"/>
  <c r="H491" i="7"/>
  <c r="I491" i="7"/>
  <c r="J491" i="7"/>
  <c r="K491" i="7"/>
  <c r="L491" i="7"/>
  <c r="M491" i="7"/>
  <c r="N491" i="7"/>
  <c r="O491" i="7"/>
  <c r="P491" i="7"/>
  <c r="D495" i="7"/>
  <c r="E495" i="7"/>
  <c r="F495" i="7"/>
  <c r="G495" i="7"/>
  <c r="H495" i="7"/>
  <c r="I495" i="7"/>
  <c r="J495" i="7"/>
  <c r="K495" i="7"/>
  <c r="L495" i="7"/>
  <c r="M495" i="7"/>
  <c r="N495" i="7"/>
  <c r="O495" i="7"/>
  <c r="P495" i="7"/>
  <c r="D500" i="7"/>
  <c r="E500" i="7"/>
  <c r="F500" i="7"/>
  <c r="G500" i="7"/>
  <c r="H500" i="7"/>
  <c r="I500" i="7"/>
  <c r="J500" i="7"/>
  <c r="K500" i="7"/>
  <c r="L500" i="7"/>
  <c r="M500" i="7"/>
  <c r="N500" i="7"/>
  <c r="O500" i="7"/>
  <c r="P500" i="7"/>
  <c r="D503" i="7"/>
  <c r="E503" i="7"/>
  <c r="F503" i="7"/>
  <c r="G503" i="7"/>
  <c r="H503" i="7"/>
  <c r="I503" i="7"/>
  <c r="J503" i="7"/>
  <c r="K503" i="7"/>
  <c r="L503" i="7"/>
  <c r="M503" i="7"/>
  <c r="N503" i="7"/>
  <c r="P503" i="7"/>
  <c r="O503" i="7"/>
  <c r="D504" i="7"/>
  <c r="E504" i="7"/>
  <c r="F504" i="7"/>
  <c r="G504" i="7"/>
  <c r="H504" i="7"/>
  <c r="I504" i="7"/>
  <c r="J504" i="7"/>
  <c r="K504" i="7"/>
  <c r="L504" i="7"/>
  <c r="M504" i="7"/>
  <c r="N504" i="7"/>
  <c r="O504" i="7"/>
  <c r="P504" i="7"/>
  <c r="D13" i="7"/>
  <c r="E13" i="7"/>
  <c r="F13" i="7"/>
  <c r="G13" i="7"/>
  <c r="H13" i="7"/>
  <c r="I13" i="7"/>
  <c r="J13" i="7"/>
  <c r="K13" i="7"/>
  <c r="L13" i="7"/>
  <c r="M13" i="7"/>
  <c r="N13" i="7"/>
  <c r="O13" i="7"/>
  <c r="P13" i="7"/>
  <c r="D23" i="7"/>
  <c r="E23" i="7"/>
  <c r="F23" i="7"/>
  <c r="G23" i="7"/>
  <c r="H23" i="7"/>
  <c r="I23" i="7"/>
  <c r="J23" i="7"/>
  <c r="K23" i="7"/>
  <c r="L23" i="7"/>
  <c r="M23" i="7"/>
  <c r="N23" i="7"/>
  <c r="O23" i="7"/>
  <c r="P23" i="7"/>
  <c r="D33" i="7"/>
  <c r="E33" i="7"/>
  <c r="F33" i="7"/>
  <c r="G33" i="7"/>
  <c r="H33" i="7"/>
  <c r="I33" i="7"/>
  <c r="J33" i="7"/>
  <c r="K33" i="7"/>
  <c r="L33" i="7"/>
  <c r="M33" i="7"/>
  <c r="N33" i="7"/>
  <c r="O33" i="7"/>
  <c r="P33" i="7"/>
  <c r="D43" i="7"/>
  <c r="E43" i="7"/>
  <c r="F43" i="7"/>
  <c r="G43" i="7"/>
  <c r="H43" i="7"/>
  <c r="I43" i="7"/>
  <c r="J43" i="7"/>
  <c r="K43" i="7"/>
  <c r="L43" i="7"/>
  <c r="M43" i="7"/>
  <c r="N43" i="7"/>
  <c r="O43" i="7"/>
  <c r="P43" i="7"/>
  <c r="D53" i="7"/>
  <c r="E53" i="7"/>
  <c r="F53" i="7"/>
  <c r="G53" i="7"/>
  <c r="H53" i="7"/>
  <c r="I53" i="7"/>
  <c r="J53" i="7"/>
  <c r="K53" i="7"/>
  <c r="L53" i="7"/>
  <c r="M53" i="7"/>
  <c r="N53" i="7"/>
  <c r="O53" i="7"/>
  <c r="P53" i="7"/>
  <c r="D63" i="7"/>
  <c r="E63" i="7"/>
  <c r="F63" i="7"/>
  <c r="G63" i="7"/>
  <c r="H63" i="7"/>
  <c r="I63" i="7"/>
  <c r="J63" i="7"/>
  <c r="K63" i="7"/>
  <c r="L63" i="7"/>
  <c r="M63" i="7"/>
  <c r="N63" i="7"/>
  <c r="O63" i="7"/>
  <c r="P63" i="7"/>
  <c r="D73" i="7"/>
  <c r="E73" i="7"/>
  <c r="F73" i="7"/>
  <c r="G73" i="7"/>
  <c r="H73" i="7"/>
  <c r="I73" i="7"/>
  <c r="J73" i="7"/>
  <c r="K73" i="7"/>
  <c r="L73" i="7"/>
  <c r="M73" i="7"/>
  <c r="N73" i="7"/>
  <c r="O73" i="7"/>
  <c r="P73" i="7"/>
  <c r="D133" i="7"/>
  <c r="E133" i="7"/>
  <c r="F133" i="7"/>
  <c r="G133" i="7"/>
  <c r="H133" i="7"/>
  <c r="I133" i="7"/>
  <c r="J133" i="7"/>
  <c r="K133" i="7"/>
  <c r="L133" i="7"/>
  <c r="M133" i="7"/>
  <c r="N133" i="7"/>
  <c r="O133" i="7"/>
  <c r="P133" i="7"/>
  <c r="D143" i="7"/>
  <c r="E143" i="7"/>
  <c r="F143" i="7"/>
  <c r="G143" i="7"/>
  <c r="H143" i="7"/>
  <c r="I143" i="7"/>
  <c r="J143" i="7"/>
  <c r="K143" i="7"/>
  <c r="L143" i="7"/>
  <c r="M143" i="7"/>
  <c r="N143" i="7"/>
  <c r="O143" i="7"/>
  <c r="P143" i="7"/>
  <c r="D152" i="7"/>
  <c r="E152" i="7"/>
  <c r="F152" i="7"/>
  <c r="G152" i="7"/>
  <c r="H152" i="7"/>
  <c r="I152" i="7"/>
  <c r="J152" i="7"/>
  <c r="K152" i="7"/>
  <c r="L152" i="7"/>
  <c r="M152" i="7"/>
  <c r="N152" i="7"/>
  <c r="O152" i="7"/>
  <c r="P152" i="7"/>
  <c r="D161" i="7"/>
  <c r="E161" i="7"/>
  <c r="F161" i="7"/>
  <c r="G161" i="7"/>
  <c r="H161" i="7"/>
  <c r="I161" i="7"/>
  <c r="J161" i="7"/>
  <c r="K161" i="7"/>
  <c r="L161" i="7"/>
  <c r="M161" i="7"/>
  <c r="N161" i="7"/>
  <c r="O161" i="7"/>
  <c r="P161" i="7"/>
  <c r="D170" i="7"/>
  <c r="E170" i="7"/>
  <c r="F170" i="7"/>
  <c r="G170" i="7"/>
  <c r="H170" i="7"/>
  <c r="I170" i="7"/>
  <c r="J170" i="7"/>
  <c r="K170" i="7"/>
  <c r="L170" i="7"/>
  <c r="M170" i="7"/>
  <c r="N170" i="7"/>
  <c r="O170" i="7"/>
  <c r="P170" i="7"/>
  <c r="D179" i="7"/>
  <c r="E179" i="7"/>
  <c r="F179" i="7"/>
  <c r="G179" i="7"/>
  <c r="H179" i="7"/>
  <c r="I179" i="7"/>
  <c r="J179" i="7"/>
  <c r="K179" i="7"/>
  <c r="L179" i="7"/>
  <c r="M179" i="7"/>
  <c r="N179" i="7"/>
  <c r="O179" i="7"/>
  <c r="P179" i="7"/>
  <c r="D188" i="7"/>
  <c r="E188" i="7"/>
  <c r="F188" i="7"/>
  <c r="G188" i="7"/>
  <c r="H188" i="7"/>
  <c r="I188" i="7"/>
  <c r="J188" i="7"/>
  <c r="K188" i="7"/>
  <c r="L188" i="7"/>
  <c r="M188" i="7"/>
  <c r="N188" i="7"/>
  <c r="O188" i="7"/>
  <c r="P188" i="7"/>
  <c r="D197" i="7"/>
  <c r="E197" i="7"/>
  <c r="F197" i="7"/>
  <c r="G197" i="7"/>
  <c r="H197" i="7"/>
  <c r="I197" i="7"/>
  <c r="J197" i="7"/>
  <c r="K197" i="7"/>
  <c r="L197" i="7"/>
  <c r="M197" i="7"/>
  <c r="N197" i="7"/>
  <c r="O197" i="7"/>
  <c r="P197" i="7"/>
  <c r="D205" i="7"/>
  <c r="E205" i="7"/>
  <c r="F205" i="7"/>
  <c r="G205" i="7"/>
  <c r="H205" i="7"/>
  <c r="I205" i="7"/>
  <c r="J205" i="7"/>
  <c r="K205" i="7"/>
  <c r="L205" i="7"/>
  <c r="M205" i="7"/>
  <c r="N205" i="7"/>
  <c r="O205" i="7"/>
  <c r="P205" i="7"/>
  <c r="D214" i="7"/>
  <c r="E214" i="7"/>
  <c r="F214" i="7"/>
  <c r="G214" i="7"/>
  <c r="H214" i="7"/>
  <c r="I214" i="7"/>
  <c r="J214" i="7"/>
  <c r="K214" i="7"/>
  <c r="L214" i="7"/>
  <c r="M214" i="7"/>
  <c r="N214" i="7"/>
  <c r="O214" i="7"/>
  <c r="P214" i="7"/>
  <c r="D223" i="7"/>
  <c r="E223" i="7"/>
  <c r="F223" i="7"/>
  <c r="G223" i="7"/>
  <c r="H223" i="7"/>
  <c r="I223" i="7"/>
  <c r="J223" i="7"/>
  <c r="K223" i="7"/>
  <c r="L223" i="7"/>
  <c r="M223" i="7"/>
  <c r="N223" i="7"/>
  <c r="O223" i="7"/>
  <c r="P223" i="7"/>
  <c r="D231" i="7"/>
  <c r="E231" i="7"/>
  <c r="F231" i="7"/>
  <c r="G231" i="7"/>
  <c r="H231" i="7"/>
  <c r="I231" i="7"/>
  <c r="J231" i="7"/>
  <c r="K231" i="7"/>
  <c r="L231" i="7"/>
  <c r="M231" i="7"/>
  <c r="N231" i="7"/>
  <c r="O231" i="7"/>
  <c r="P231" i="7"/>
  <c r="D240" i="7"/>
  <c r="E240" i="7"/>
  <c r="F240" i="7"/>
  <c r="G240" i="7"/>
  <c r="H240" i="7"/>
  <c r="I240" i="7"/>
  <c r="J240" i="7"/>
  <c r="K240" i="7"/>
  <c r="L240" i="7"/>
  <c r="M240" i="7"/>
  <c r="N240" i="7"/>
  <c r="O240" i="7"/>
  <c r="P240" i="7"/>
  <c r="D249" i="7"/>
  <c r="E249" i="7"/>
  <c r="F249" i="7"/>
  <c r="G249" i="7"/>
  <c r="H249" i="7"/>
  <c r="I249" i="7"/>
  <c r="J249" i="7"/>
  <c r="K249" i="7"/>
  <c r="L249" i="7"/>
  <c r="M249" i="7"/>
  <c r="N249" i="7"/>
  <c r="O249" i="7"/>
  <c r="P249" i="7"/>
  <c r="D267" i="7"/>
  <c r="E267" i="7"/>
  <c r="F267" i="7"/>
  <c r="G267" i="7"/>
  <c r="H267" i="7"/>
  <c r="I267" i="7"/>
  <c r="J267" i="7"/>
  <c r="K267" i="7"/>
  <c r="L267" i="7"/>
  <c r="M267" i="7"/>
  <c r="N267" i="7"/>
  <c r="O267" i="7"/>
  <c r="P267" i="7"/>
  <c r="D276" i="7"/>
  <c r="E276" i="7"/>
  <c r="F276" i="7"/>
  <c r="G276" i="7"/>
  <c r="H276" i="7"/>
  <c r="I276" i="7"/>
  <c r="J276" i="7"/>
  <c r="K276" i="7"/>
  <c r="L276" i="7"/>
  <c r="M276" i="7"/>
  <c r="N276" i="7"/>
  <c r="O276" i="7"/>
  <c r="P276" i="7"/>
  <c r="D285" i="7"/>
  <c r="E285" i="7"/>
  <c r="F285" i="7"/>
  <c r="G285" i="7"/>
  <c r="H285" i="7"/>
  <c r="I285" i="7"/>
  <c r="J285" i="7"/>
  <c r="K285" i="7"/>
  <c r="L285" i="7"/>
  <c r="M285" i="7"/>
  <c r="N285" i="7"/>
  <c r="O285" i="7"/>
  <c r="P285" i="7"/>
  <c r="D294" i="7"/>
  <c r="E294" i="7"/>
  <c r="F294" i="7"/>
  <c r="G294" i="7"/>
  <c r="H294" i="7"/>
  <c r="I294" i="7"/>
  <c r="J294" i="7"/>
  <c r="K294" i="7"/>
  <c r="L294" i="7"/>
  <c r="M294" i="7"/>
  <c r="N294" i="7"/>
  <c r="O294" i="7"/>
  <c r="P294" i="7"/>
  <c r="D303" i="7"/>
  <c r="E303" i="7" s="1"/>
  <c r="F303" i="7"/>
  <c r="G303" i="7"/>
  <c r="H303" i="7"/>
  <c r="I303" i="7"/>
  <c r="J303" i="7"/>
  <c r="K303" i="7"/>
  <c r="L303" i="7"/>
  <c r="M303" i="7"/>
  <c r="N303" i="7"/>
  <c r="O303" i="7"/>
  <c r="P303" i="7"/>
  <c r="D342" i="7"/>
  <c r="E342" i="7" s="1"/>
  <c r="F342" i="7"/>
  <c r="G342" i="7"/>
  <c r="H342" i="7"/>
  <c r="I342" i="7"/>
  <c r="J342" i="7"/>
  <c r="K342" i="7"/>
  <c r="L342" i="7"/>
  <c r="M342" i="7"/>
  <c r="N342" i="7"/>
  <c r="O342" i="7"/>
  <c r="P342" i="7"/>
  <c r="D350" i="7"/>
  <c r="E350" i="7"/>
  <c r="F350" i="7"/>
  <c r="G350" i="7"/>
  <c r="H350" i="7"/>
  <c r="I350" i="7"/>
  <c r="J350" i="7"/>
  <c r="K350" i="7"/>
  <c r="L350" i="7"/>
  <c r="M350" i="7"/>
  <c r="N350" i="7"/>
  <c r="O350" i="7"/>
  <c r="P350" i="7"/>
  <c r="D359" i="7"/>
  <c r="E359" i="7"/>
  <c r="F359" i="7"/>
  <c r="G359" i="7"/>
  <c r="H359" i="7"/>
  <c r="I359" i="7"/>
  <c r="J359" i="7"/>
  <c r="K359" i="7"/>
  <c r="L359" i="7"/>
  <c r="M359" i="7"/>
  <c r="N359" i="7"/>
  <c r="O359" i="7"/>
  <c r="P359" i="7"/>
  <c r="D367" i="7"/>
  <c r="E367" i="7"/>
  <c r="F367" i="7"/>
  <c r="G367" i="7"/>
  <c r="H367" i="7"/>
  <c r="I367" i="7"/>
  <c r="J367" i="7"/>
  <c r="K367" i="7"/>
  <c r="L367" i="7"/>
  <c r="M367" i="7"/>
  <c r="N367" i="7"/>
  <c r="O367" i="7"/>
  <c r="P367" i="7"/>
  <c r="D376" i="7"/>
  <c r="E376" i="7"/>
  <c r="F376" i="7"/>
  <c r="G376" i="7"/>
  <c r="H376" i="7"/>
  <c r="I376" i="7"/>
  <c r="J376" i="7"/>
  <c r="K376" i="7"/>
  <c r="L376" i="7"/>
  <c r="M376" i="7"/>
  <c r="N376" i="7"/>
  <c r="O376" i="7"/>
  <c r="P376" i="7"/>
  <c r="D384" i="7"/>
  <c r="E384" i="7"/>
  <c r="F384" i="7"/>
  <c r="G384" i="7"/>
  <c r="H384" i="7"/>
  <c r="I384" i="7"/>
  <c r="J384" i="7"/>
  <c r="K384" i="7"/>
  <c r="L384" i="7"/>
  <c r="M384" i="7"/>
  <c r="N384" i="7"/>
  <c r="O384" i="7"/>
  <c r="P384" i="7"/>
  <c r="D389" i="7"/>
  <c r="E389" i="7"/>
  <c r="F389" i="7"/>
  <c r="G389" i="7"/>
  <c r="H389" i="7"/>
  <c r="I389" i="7"/>
  <c r="J389" i="7"/>
  <c r="K389" i="7"/>
  <c r="L389" i="7"/>
  <c r="M389" i="7"/>
  <c r="N389" i="7"/>
  <c r="O389" i="7"/>
  <c r="P389" i="7"/>
  <c r="D394" i="7"/>
  <c r="E394" i="7"/>
  <c r="F394" i="7"/>
  <c r="G394" i="7"/>
  <c r="H394" i="7"/>
  <c r="I394" i="7"/>
  <c r="J394" i="7"/>
  <c r="K394" i="7"/>
  <c r="L394" i="7"/>
  <c r="M394" i="7"/>
  <c r="N394" i="7"/>
  <c r="O394" i="7"/>
  <c r="P394" i="7"/>
  <c r="D399" i="7"/>
  <c r="E399" i="7"/>
  <c r="F399" i="7"/>
  <c r="G399" i="7"/>
  <c r="H399" i="7"/>
  <c r="I399" i="7"/>
  <c r="J399" i="7"/>
  <c r="K399" i="7"/>
  <c r="L399" i="7"/>
  <c r="M399" i="7"/>
  <c r="N399" i="7"/>
  <c r="O399" i="7"/>
  <c r="P399" i="7"/>
  <c r="D404" i="7"/>
  <c r="E404" i="7"/>
  <c r="F404" i="7"/>
  <c r="G404" i="7"/>
  <c r="H404" i="7"/>
  <c r="I404" i="7"/>
  <c r="J404" i="7"/>
  <c r="K404" i="7"/>
  <c r="L404" i="7"/>
  <c r="M404" i="7"/>
  <c r="N404" i="7"/>
  <c r="O404" i="7"/>
  <c r="P404" i="7"/>
  <c r="D409" i="7"/>
  <c r="E409" i="7"/>
  <c r="F409" i="7"/>
  <c r="G409" i="7"/>
  <c r="H409" i="7"/>
  <c r="I409" i="7"/>
  <c r="J409" i="7"/>
  <c r="K409" i="7"/>
  <c r="L409" i="7"/>
  <c r="M409" i="7"/>
  <c r="N409" i="7"/>
  <c r="O409" i="7"/>
  <c r="P409" i="7"/>
  <c r="D414" i="7"/>
  <c r="E414" i="7"/>
  <c r="F414" i="7"/>
  <c r="G414" i="7"/>
  <c r="H414" i="7"/>
  <c r="I414" i="7"/>
  <c r="J414" i="7"/>
  <c r="K414" i="7"/>
  <c r="L414" i="7"/>
  <c r="M414" i="7"/>
  <c r="N414" i="7"/>
  <c r="O414" i="7"/>
  <c r="P414" i="7"/>
  <c r="D419" i="7"/>
  <c r="E419" i="7"/>
  <c r="F419" i="7"/>
  <c r="G419" i="7"/>
  <c r="H419" i="7"/>
  <c r="I419" i="7"/>
  <c r="J419" i="7"/>
  <c r="K419" i="7"/>
  <c r="L419" i="7"/>
  <c r="M419" i="7"/>
  <c r="N419" i="7"/>
  <c r="O419" i="7"/>
  <c r="P419" i="7"/>
  <c r="D424" i="7"/>
  <c r="E424" i="7"/>
  <c r="F424" i="7"/>
  <c r="G424" i="7"/>
  <c r="H424" i="7"/>
  <c r="I424" i="7"/>
  <c r="J424" i="7"/>
  <c r="K424" i="7"/>
  <c r="L424" i="7"/>
  <c r="M424" i="7"/>
  <c r="N424" i="7"/>
  <c r="O424" i="7"/>
  <c r="P424" i="7"/>
  <c r="D429" i="7"/>
  <c r="E429" i="7"/>
  <c r="F429" i="7"/>
  <c r="G429" i="7"/>
  <c r="H429" i="7"/>
  <c r="I429" i="7"/>
  <c r="J429" i="7"/>
  <c r="K429" i="7"/>
  <c r="L429" i="7"/>
  <c r="M429" i="7"/>
  <c r="N429" i="7"/>
  <c r="O429" i="7"/>
  <c r="P429" i="7"/>
  <c r="D434" i="7"/>
  <c r="E434" i="7"/>
  <c r="F434" i="7"/>
  <c r="G434" i="7"/>
  <c r="H434" i="7"/>
  <c r="I434" i="7"/>
  <c r="J434" i="7"/>
  <c r="K434" i="7"/>
  <c r="L434" i="7"/>
  <c r="M434" i="7"/>
  <c r="N434" i="7"/>
  <c r="O434" i="7"/>
  <c r="P434" i="7"/>
  <c r="D439" i="7"/>
  <c r="E439" i="7"/>
  <c r="F439" i="7"/>
  <c r="G439" i="7"/>
  <c r="H439" i="7"/>
  <c r="I439" i="7"/>
  <c r="J439" i="7"/>
  <c r="K439" i="7"/>
  <c r="L439" i="7"/>
  <c r="M439" i="7"/>
  <c r="N439" i="7"/>
  <c r="O439" i="7"/>
  <c r="P439" i="7"/>
  <c r="D444" i="7"/>
  <c r="E444" i="7"/>
  <c r="F444" i="7"/>
  <c r="G444" i="7"/>
  <c r="H444" i="7"/>
  <c r="I444" i="7"/>
  <c r="J444" i="7"/>
  <c r="K444" i="7"/>
  <c r="L444" i="7"/>
  <c r="M444" i="7"/>
  <c r="N444" i="7"/>
  <c r="O444" i="7"/>
  <c r="P444" i="7"/>
  <c r="D449" i="7"/>
  <c r="E449" i="7"/>
  <c r="F449" i="7"/>
  <c r="G449" i="7"/>
  <c r="H449" i="7"/>
  <c r="I449" i="7"/>
  <c r="J449" i="7"/>
  <c r="K449" i="7"/>
  <c r="L449" i="7"/>
  <c r="M449" i="7"/>
  <c r="N449" i="7"/>
  <c r="O449" i="7"/>
  <c r="P449" i="7"/>
  <c r="D454" i="7"/>
  <c r="E454" i="7"/>
  <c r="F454" i="7"/>
  <c r="G454" i="7"/>
  <c r="H454" i="7"/>
  <c r="I454" i="7"/>
  <c r="J454" i="7"/>
  <c r="K454" i="7"/>
  <c r="L454" i="7"/>
  <c r="M454" i="7"/>
  <c r="N454" i="7"/>
  <c r="O454" i="7"/>
  <c r="P454" i="7"/>
  <c r="D459" i="7"/>
  <c r="E459" i="7"/>
  <c r="F459" i="7"/>
  <c r="G459" i="7"/>
  <c r="H459" i="7"/>
  <c r="I459" i="7"/>
  <c r="J459" i="7"/>
  <c r="K459" i="7"/>
  <c r="L459" i="7"/>
  <c r="M459" i="7"/>
  <c r="N459" i="7"/>
  <c r="O459" i="7"/>
  <c r="P459" i="7"/>
  <c r="D464" i="7"/>
  <c r="E464" i="7"/>
  <c r="F464" i="7"/>
  <c r="G464" i="7"/>
  <c r="H464" i="7"/>
  <c r="I464" i="7"/>
  <c r="J464" i="7"/>
  <c r="K464" i="7"/>
  <c r="L464" i="7"/>
  <c r="M464" i="7"/>
  <c r="N464" i="7"/>
  <c r="O464" i="7"/>
  <c r="P464" i="7"/>
  <c r="D469" i="7"/>
  <c r="E469" i="7"/>
  <c r="F469" i="7"/>
  <c r="G469" i="7"/>
  <c r="H469" i="7"/>
  <c r="I469" i="7"/>
  <c r="J469" i="7"/>
  <c r="K469" i="7"/>
  <c r="L469" i="7"/>
  <c r="M469" i="7"/>
  <c r="N469" i="7"/>
  <c r="O469" i="7"/>
  <c r="P469" i="7"/>
  <c r="D473" i="7"/>
  <c r="E473" i="7"/>
  <c r="F473" i="7"/>
  <c r="G473" i="7"/>
  <c r="H473" i="7"/>
  <c r="I473" i="7"/>
  <c r="J473" i="7"/>
  <c r="K473" i="7"/>
  <c r="L473" i="7"/>
  <c r="M473" i="7"/>
  <c r="N473" i="7"/>
  <c r="O473" i="7"/>
  <c r="P473" i="7"/>
  <c r="D478" i="7"/>
  <c r="E478" i="7"/>
  <c r="F478" i="7"/>
  <c r="G478" i="7"/>
  <c r="H478" i="7"/>
  <c r="I478" i="7"/>
  <c r="J478" i="7"/>
  <c r="K478" i="7"/>
  <c r="L478" i="7"/>
  <c r="M478" i="7"/>
  <c r="N478" i="7"/>
  <c r="O478" i="7"/>
  <c r="P478" i="7"/>
  <c r="D483" i="7"/>
  <c r="E483" i="7"/>
  <c r="F483" i="7"/>
  <c r="G483" i="7"/>
  <c r="H483" i="7"/>
  <c r="I483" i="7"/>
  <c r="J483" i="7"/>
  <c r="K483" i="7"/>
  <c r="L483" i="7"/>
  <c r="M483" i="7"/>
  <c r="N483" i="7"/>
  <c r="O483" i="7"/>
  <c r="P483" i="7"/>
  <c r="D489" i="7"/>
  <c r="E489" i="7"/>
  <c r="F489" i="7"/>
  <c r="G489" i="7"/>
  <c r="H489" i="7"/>
  <c r="I489" i="7"/>
  <c r="J489" i="7"/>
  <c r="K489" i="7"/>
  <c r="L489" i="7"/>
  <c r="M489" i="7"/>
  <c r="N489" i="7"/>
  <c r="O489" i="7"/>
  <c r="P489" i="7"/>
  <c r="D494" i="7"/>
  <c r="E494" i="7"/>
  <c r="F494" i="7"/>
  <c r="G494" i="7"/>
  <c r="H494" i="7"/>
  <c r="I494" i="7"/>
  <c r="J494" i="7"/>
  <c r="K494" i="7"/>
  <c r="L494" i="7"/>
  <c r="M494" i="7"/>
  <c r="N494" i="7"/>
  <c r="O494" i="7"/>
  <c r="P494" i="7"/>
  <c r="D497" i="7"/>
  <c r="E497" i="7"/>
  <c r="F497" i="7"/>
  <c r="G497" i="7"/>
  <c r="H497" i="7"/>
  <c r="I497" i="7"/>
  <c r="J497" i="7"/>
  <c r="K497" i="7"/>
  <c r="L497" i="7"/>
  <c r="M497" i="7"/>
  <c r="N497" i="7"/>
  <c r="O497" i="7"/>
  <c r="P497" i="7"/>
  <c r="D14" i="7"/>
  <c r="E14" i="7"/>
  <c r="F14" i="7"/>
  <c r="G14" i="7"/>
  <c r="H14" i="7"/>
  <c r="I14" i="7"/>
  <c r="J14" i="7"/>
  <c r="K14" i="7"/>
  <c r="L14" i="7"/>
  <c r="M14" i="7"/>
  <c r="N14" i="7"/>
  <c r="O14" i="7"/>
  <c r="P14" i="7"/>
  <c r="D24" i="7"/>
  <c r="E24" i="7"/>
  <c r="F24" i="7"/>
  <c r="G24" i="7"/>
  <c r="H24" i="7"/>
  <c r="I24" i="7"/>
  <c r="J24" i="7"/>
  <c r="K24" i="7"/>
  <c r="L24" i="7"/>
  <c r="M24" i="7"/>
  <c r="N24" i="7"/>
  <c r="O24" i="7"/>
  <c r="P24" i="7"/>
  <c r="D34" i="7"/>
  <c r="E34" i="7"/>
  <c r="F34" i="7"/>
  <c r="G34" i="7"/>
  <c r="H34" i="7"/>
  <c r="I34" i="7"/>
  <c r="J34" i="7"/>
  <c r="K34" i="7"/>
  <c r="L34" i="7"/>
  <c r="M34" i="7"/>
  <c r="N34" i="7"/>
  <c r="O34" i="7"/>
  <c r="P34" i="7"/>
  <c r="D44" i="7"/>
  <c r="E44" i="7"/>
  <c r="F44" i="7"/>
  <c r="G44" i="7"/>
  <c r="H44" i="7"/>
  <c r="I44" i="7"/>
  <c r="J44" i="7"/>
  <c r="K44" i="7"/>
  <c r="L44" i="7"/>
  <c r="M44" i="7"/>
  <c r="N44" i="7"/>
  <c r="O44" i="7"/>
  <c r="P44" i="7"/>
  <c r="D54" i="7"/>
  <c r="E54" i="7"/>
  <c r="F54" i="7"/>
  <c r="G54" i="7"/>
  <c r="H54" i="7"/>
  <c r="I54" i="7"/>
  <c r="J54" i="7"/>
  <c r="K54" i="7"/>
  <c r="L54" i="7"/>
  <c r="M54" i="7"/>
  <c r="N54" i="7"/>
  <c r="O54" i="7"/>
  <c r="P54" i="7"/>
  <c r="D64" i="7"/>
  <c r="E64" i="7"/>
  <c r="F64" i="7"/>
  <c r="G64" i="7"/>
  <c r="H64" i="7"/>
  <c r="I64" i="7"/>
  <c r="J64" i="7"/>
  <c r="K64" i="7"/>
  <c r="L64" i="7"/>
  <c r="M64" i="7"/>
  <c r="N64" i="7"/>
  <c r="O64" i="7"/>
  <c r="P64" i="7"/>
  <c r="D126" i="7"/>
  <c r="E126" i="7"/>
  <c r="F126" i="7"/>
  <c r="G126" i="7"/>
  <c r="H126" i="7"/>
  <c r="I126" i="7"/>
  <c r="J126" i="7"/>
  <c r="K126" i="7"/>
  <c r="L126" i="7"/>
  <c r="M126" i="7"/>
  <c r="N126" i="7"/>
  <c r="O126" i="7"/>
  <c r="P126" i="7"/>
  <c r="D135" i="7"/>
  <c r="E135" i="7"/>
  <c r="F135" i="7"/>
  <c r="G135" i="7"/>
  <c r="H135" i="7"/>
  <c r="I135" i="7"/>
  <c r="J135" i="7"/>
  <c r="K135" i="7"/>
  <c r="L135" i="7"/>
  <c r="M135" i="7"/>
  <c r="N135" i="7"/>
  <c r="O135" i="7"/>
  <c r="P135" i="7"/>
  <c r="D144" i="7"/>
  <c r="E144" i="7"/>
  <c r="F144" i="7"/>
  <c r="G144" i="7"/>
  <c r="H144" i="7"/>
  <c r="I144" i="7"/>
  <c r="J144" i="7"/>
  <c r="K144" i="7"/>
  <c r="L144" i="7"/>
  <c r="M144" i="7"/>
  <c r="N144" i="7"/>
  <c r="O144" i="7"/>
  <c r="P144" i="7"/>
  <c r="D153" i="7"/>
  <c r="E153" i="7"/>
  <c r="F153" i="7"/>
  <c r="G153" i="7"/>
  <c r="H153" i="7"/>
  <c r="I153" i="7"/>
  <c r="J153" i="7"/>
  <c r="K153" i="7"/>
  <c r="L153" i="7"/>
  <c r="M153" i="7"/>
  <c r="N153" i="7"/>
  <c r="O153" i="7"/>
  <c r="P153" i="7"/>
  <c r="D162" i="7"/>
  <c r="E162" i="7"/>
  <c r="F162" i="7"/>
  <c r="G162" i="7"/>
  <c r="H162" i="7"/>
  <c r="I162" i="7"/>
  <c r="J162" i="7"/>
  <c r="K162" i="7"/>
  <c r="L162" i="7"/>
  <c r="M162" i="7"/>
  <c r="N162" i="7"/>
  <c r="O162" i="7"/>
  <c r="P162" i="7"/>
  <c r="D171" i="7"/>
  <c r="E171" i="7"/>
  <c r="F171" i="7"/>
  <c r="G171" i="7"/>
  <c r="H171" i="7"/>
  <c r="I171" i="7"/>
  <c r="J171" i="7"/>
  <c r="K171" i="7"/>
  <c r="L171" i="7"/>
  <c r="M171" i="7"/>
  <c r="N171" i="7"/>
  <c r="O171" i="7"/>
  <c r="P171" i="7"/>
  <c r="D180" i="7"/>
  <c r="E180" i="7"/>
  <c r="F180" i="7"/>
  <c r="G180" i="7"/>
  <c r="H180" i="7"/>
  <c r="I180" i="7"/>
  <c r="J180" i="7"/>
  <c r="K180" i="7"/>
  <c r="L180" i="7"/>
  <c r="M180" i="7"/>
  <c r="N180" i="7"/>
  <c r="O180" i="7"/>
  <c r="P180" i="7"/>
  <c r="D189" i="7"/>
  <c r="E189" i="7" s="1"/>
  <c r="F189" i="7"/>
  <c r="G189" i="7"/>
  <c r="H189" i="7"/>
  <c r="I189" i="7"/>
  <c r="J189" i="7"/>
  <c r="K189" i="7"/>
  <c r="L189" i="7"/>
  <c r="M189" i="7"/>
  <c r="N189" i="7"/>
  <c r="O189" i="7"/>
  <c r="P189" i="7"/>
  <c r="D198" i="7"/>
  <c r="E198" i="7" s="1"/>
  <c r="F198" i="7"/>
  <c r="G198" i="7"/>
  <c r="H198" i="7"/>
  <c r="I198" i="7"/>
  <c r="J198" i="7"/>
  <c r="K198" i="7"/>
  <c r="L198" i="7"/>
  <c r="M198" i="7"/>
  <c r="N198" i="7"/>
  <c r="O198" i="7"/>
  <c r="P198" i="7"/>
  <c r="D207" i="7"/>
  <c r="E207" i="7" s="1"/>
  <c r="F207" i="7"/>
  <c r="G207" i="7"/>
  <c r="H207" i="7"/>
  <c r="I207" i="7"/>
  <c r="J207" i="7"/>
  <c r="K207" i="7"/>
  <c r="L207" i="7"/>
  <c r="M207" i="7"/>
  <c r="N207" i="7"/>
  <c r="O207" i="7"/>
  <c r="P207" i="7"/>
  <c r="D215" i="7"/>
  <c r="E215" i="7" s="1"/>
  <c r="F215" i="7"/>
  <c r="G215" i="7"/>
  <c r="H215" i="7"/>
  <c r="I215" i="7"/>
  <c r="J215" i="7"/>
  <c r="K215" i="7"/>
  <c r="L215" i="7"/>
  <c r="M215" i="7"/>
  <c r="N215" i="7"/>
  <c r="O215" i="7"/>
  <c r="P215" i="7"/>
  <c r="D224" i="7"/>
  <c r="E224" i="7" s="1"/>
  <c r="F224" i="7"/>
  <c r="G224" i="7"/>
  <c r="H224" i="7"/>
  <c r="I224" i="7"/>
  <c r="J224" i="7"/>
  <c r="K224" i="7"/>
  <c r="L224" i="7"/>
  <c r="M224" i="7"/>
  <c r="N224" i="7"/>
  <c r="O224" i="7"/>
  <c r="P224" i="7"/>
  <c r="D233" i="7"/>
  <c r="E233" i="7" s="1"/>
  <c r="F233" i="7"/>
  <c r="G233" i="7"/>
  <c r="H233" i="7"/>
  <c r="I233" i="7"/>
  <c r="J233" i="7"/>
  <c r="K233" i="7"/>
  <c r="L233" i="7"/>
  <c r="M233" i="7"/>
  <c r="N233" i="7"/>
  <c r="O233" i="7"/>
  <c r="P233" i="7"/>
  <c r="D241" i="7"/>
  <c r="E241" i="7" s="1"/>
  <c r="F241" i="7"/>
  <c r="G241" i="7"/>
  <c r="H241" i="7"/>
  <c r="I241" i="7"/>
  <c r="J241" i="7"/>
  <c r="K241" i="7"/>
  <c r="L241" i="7"/>
  <c r="M241" i="7"/>
  <c r="N241" i="7"/>
  <c r="O241" i="7"/>
  <c r="P241" i="7"/>
  <c r="D250" i="7"/>
  <c r="E250" i="7" s="1"/>
  <c r="F250" i="7"/>
  <c r="G250" i="7"/>
  <c r="H250" i="7"/>
  <c r="I250" i="7"/>
  <c r="J250" i="7"/>
  <c r="K250" i="7"/>
  <c r="L250" i="7"/>
  <c r="M250" i="7"/>
  <c r="N250" i="7"/>
  <c r="O250" i="7"/>
  <c r="P250" i="7"/>
  <c r="D257" i="7"/>
  <c r="E257" i="7" s="1"/>
  <c r="F257" i="7"/>
  <c r="G257" i="7"/>
  <c r="H257" i="7"/>
  <c r="I257" i="7"/>
  <c r="J257" i="7"/>
  <c r="K257" i="7"/>
  <c r="L257" i="7"/>
  <c r="M257" i="7"/>
  <c r="N257" i="7"/>
  <c r="O257" i="7"/>
  <c r="P257" i="7"/>
  <c r="D266" i="7"/>
  <c r="E266" i="7" s="1"/>
  <c r="F266" i="7"/>
  <c r="G266" i="7"/>
  <c r="H266" i="7"/>
  <c r="I266" i="7"/>
  <c r="J266" i="7"/>
  <c r="K266" i="7"/>
  <c r="L266" i="7"/>
  <c r="M266" i="7"/>
  <c r="N266" i="7"/>
  <c r="O266" i="7"/>
  <c r="P266" i="7"/>
  <c r="D275" i="7"/>
  <c r="E275" i="7" s="1"/>
  <c r="F275" i="7"/>
  <c r="G275" i="7"/>
  <c r="H275" i="7"/>
  <c r="I275" i="7"/>
  <c r="J275" i="7"/>
  <c r="K275" i="7"/>
  <c r="L275" i="7"/>
  <c r="M275" i="7"/>
  <c r="N275" i="7"/>
  <c r="O275" i="7"/>
  <c r="P275" i="7"/>
  <c r="D284" i="7"/>
  <c r="E284" i="7" s="1"/>
  <c r="F284" i="7"/>
  <c r="G284" i="7"/>
  <c r="H284" i="7"/>
  <c r="I284" i="7"/>
  <c r="J284" i="7"/>
  <c r="K284" i="7"/>
  <c r="L284" i="7"/>
  <c r="M284" i="7"/>
  <c r="N284" i="7"/>
  <c r="O284" i="7"/>
  <c r="P284" i="7"/>
  <c r="D293" i="7"/>
  <c r="E293" i="7" s="1"/>
  <c r="F293" i="7"/>
  <c r="G293" i="7"/>
  <c r="H293" i="7"/>
  <c r="I293" i="7"/>
  <c r="J293" i="7"/>
  <c r="K293" i="7"/>
  <c r="L293" i="7"/>
  <c r="M293" i="7"/>
  <c r="N293" i="7"/>
  <c r="O293" i="7"/>
  <c r="P293" i="7"/>
  <c r="D302" i="7"/>
  <c r="E302" i="7" s="1"/>
  <c r="F302" i="7"/>
  <c r="G302" i="7"/>
  <c r="H302" i="7"/>
  <c r="I302" i="7"/>
  <c r="J302" i="7"/>
  <c r="K302" i="7"/>
  <c r="L302" i="7"/>
  <c r="M302" i="7"/>
  <c r="N302" i="7"/>
  <c r="O302" i="7"/>
  <c r="P302" i="7"/>
  <c r="D341" i="7"/>
  <c r="E341" i="7" s="1"/>
  <c r="F341" i="7"/>
  <c r="G341" i="7"/>
  <c r="H341" i="7"/>
  <c r="I341" i="7"/>
  <c r="J341" i="7"/>
  <c r="K341" i="7"/>
  <c r="L341" i="7"/>
  <c r="M341" i="7"/>
  <c r="N341" i="7"/>
  <c r="O341" i="7"/>
  <c r="P341" i="7"/>
  <c r="D349" i="7"/>
  <c r="E349" i="7"/>
  <c r="F349" i="7"/>
  <c r="G349" i="7"/>
  <c r="H349" i="7"/>
  <c r="I349" i="7"/>
  <c r="J349" i="7"/>
  <c r="K349" i="7"/>
  <c r="L349" i="7"/>
  <c r="M349" i="7"/>
  <c r="N349" i="7"/>
  <c r="O349" i="7"/>
  <c r="P349" i="7"/>
  <c r="D357" i="7"/>
  <c r="E357" i="7"/>
  <c r="F357" i="7"/>
  <c r="G357" i="7"/>
  <c r="H357" i="7"/>
  <c r="I357" i="7"/>
  <c r="J357" i="7"/>
  <c r="K357" i="7"/>
  <c r="L357" i="7"/>
  <c r="M357" i="7"/>
  <c r="N357" i="7"/>
  <c r="O357" i="7"/>
  <c r="P357" i="7"/>
  <c r="D365" i="7"/>
  <c r="E365" i="7"/>
  <c r="F365" i="7"/>
  <c r="G365" i="7"/>
  <c r="H365" i="7"/>
  <c r="I365" i="7"/>
  <c r="J365" i="7"/>
  <c r="K365" i="7"/>
  <c r="L365" i="7"/>
  <c r="M365" i="7"/>
  <c r="N365" i="7"/>
  <c r="O365" i="7"/>
  <c r="P365" i="7"/>
  <c r="D374" i="7"/>
  <c r="E374" i="7"/>
  <c r="F374" i="7"/>
  <c r="G374" i="7"/>
  <c r="H374" i="7"/>
  <c r="I374" i="7"/>
  <c r="J374" i="7"/>
  <c r="K374" i="7"/>
  <c r="L374" i="7"/>
  <c r="M374" i="7"/>
  <c r="N374" i="7"/>
  <c r="O374" i="7"/>
  <c r="P374" i="7"/>
  <c r="D382" i="7"/>
  <c r="E382" i="7"/>
  <c r="F382" i="7"/>
  <c r="G382" i="7"/>
  <c r="H382" i="7"/>
  <c r="I382" i="7"/>
  <c r="J382" i="7"/>
  <c r="K382" i="7"/>
  <c r="L382" i="7"/>
  <c r="M382" i="7"/>
  <c r="N382" i="7"/>
  <c r="O382" i="7"/>
  <c r="P382" i="7"/>
  <c r="D387" i="7"/>
  <c r="E387" i="7"/>
  <c r="F387" i="7"/>
  <c r="G387" i="7"/>
  <c r="H387" i="7"/>
  <c r="I387" i="7"/>
  <c r="J387" i="7"/>
  <c r="K387" i="7"/>
  <c r="L387" i="7"/>
  <c r="M387" i="7"/>
  <c r="N387" i="7"/>
  <c r="O387" i="7"/>
  <c r="P387" i="7"/>
  <c r="D392" i="7"/>
  <c r="E392" i="7"/>
  <c r="F392" i="7"/>
  <c r="G392" i="7"/>
  <c r="H392" i="7"/>
  <c r="I392" i="7"/>
  <c r="J392" i="7"/>
  <c r="K392" i="7"/>
  <c r="L392" i="7"/>
  <c r="M392" i="7"/>
  <c r="N392" i="7"/>
  <c r="O392" i="7"/>
  <c r="P392" i="7"/>
  <c r="D397" i="7"/>
  <c r="E397" i="7"/>
  <c r="F397" i="7"/>
  <c r="G397" i="7"/>
  <c r="H397" i="7"/>
  <c r="I397" i="7"/>
  <c r="J397" i="7"/>
  <c r="K397" i="7"/>
  <c r="L397" i="7"/>
  <c r="M397" i="7"/>
  <c r="N397" i="7"/>
  <c r="O397" i="7"/>
  <c r="P397" i="7"/>
  <c r="D402" i="7"/>
  <c r="E402" i="7"/>
  <c r="F402" i="7"/>
  <c r="G402" i="7"/>
  <c r="H402" i="7"/>
  <c r="I402" i="7"/>
  <c r="J402" i="7"/>
  <c r="K402" i="7"/>
  <c r="L402" i="7"/>
  <c r="M402" i="7"/>
  <c r="N402" i="7"/>
  <c r="O402" i="7"/>
  <c r="P402" i="7"/>
  <c r="D407" i="7"/>
  <c r="E407" i="7"/>
  <c r="F407" i="7"/>
  <c r="G407" i="7"/>
  <c r="H407" i="7"/>
  <c r="I407" i="7"/>
  <c r="J407" i="7"/>
  <c r="K407" i="7"/>
  <c r="L407" i="7"/>
  <c r="M407" i="7"/>
  <c r="N407" i="7"/>
  <c r="O407" i="7"/>
  <c r="P407" i="7"/>
  <c r="D412" i="7"/>
  <c r="E412" i="7"/>
  <c r="F412" i="7"/>
  <c r="G412" i="7"/>
  <c r="H412" i="7"/>
  <c r="I412" i="7"/>
  <c r="J412" i="7"/>
  <c r="K412" i="7"/>
  <c r="L412" i="7"/>
  <c r="M412" i="7"/>
  <c r="N412" i="7"/>
  <c r="O412" i="7"/>
  <c r="P412" i="7"/>
  <c r="D417" i="7"/>
  <c r="E417" i="7"/>
  <c r="F417" i="7"/>
  <c r="G417" i="7"/>
  <c r="H417" i="7"/>
  <c r="I417" i="7"/>
  <c r="J417" i="7"/>
  <c r="K417" i="7"/>
  <c r="L417" i="7"/>
  <c r="M417" i="7"/>
  <c r="N417" i="7"/>
  <c r="O417" i="7"/>
  <c r="P417" i="7"/>
  <c r="D422" i="7"/>
  <c r="E422" i="7"/>
  <c r="F422" i="7"/>
  <c r="G422" i="7"/>
  <c r="H422" i="7"/>
  <c r="I422" i="7"/>
  <c r="J422" i="7"/>
  <c r="K422" i="7"/>
  <c r="L422" i="7"/>
  <c r="M422" i="7"/>
  <c r="N422" i="7"/>
  <c r="O422" i="7"/>
  <c r="P422" i="7"/>
  <c r="D431" i="7"/>
  <c r="E431" i="7"/>
  <c r="F431" i="7"/>
  <c r="G431" i="7"/>
  <c r="H431" i="7"/>
  <c r="I431" i="7"/>
  <c r="J431" i="7"/>
  <c r="K431" i="7"/>
  <c r="L431" i="7"/>
  <c r="M431" i="7"/>
  <c r="N431" i="7"/>
  <c r="O431" i="7"/>
  <c r="P431" i="7"/>
  <c r="D436" i="7"/>
  <c r="E436" i="7"/>
  <c r="F436" i="7"/>
  <c r="G436" i="7"/>
  <c r="H436" i="7"/>
  <c r="I436" i="7"/>
  <c r="J436" i="7"/>
  <c r="K436" i="7"/>
  <c r="L436" i="7"/>
  <c r="M436" i="7"/>
  <c r="N436" i="7"/>
  <c r="O436" i="7"/>
  <c r="P436" i="7"/>
  <c r="D440" i="7"/>
  <c r="E440" i="7"/>
  <c r="F440" i="7"/>
  <c r="G440" i="7"/>
  <c r="H440" i="7"/>
  <c r="I440" i="7"/>
  <c r="J440" i="7"/>
  <c r="K440" i="7"/>
  <c r="L440" i="7"/>
  <c r="M440" i="7"/>
  <c r="N440" i="7"/>
  <c r="O440" i="7"/>
  <c r="P440" i="7"/>
  <c r="D445" i="7"/>
  <c r="E445" i="7"/>
  <c r="F445" i="7"/>
  <c r="G445" i="7"/>
  <c r="H445" i="7"/>
  <c r="I445" i="7"/>
  <c r="J445" i="7"/>
  <c r="K445" i="7"/>
  <c r="L445" i="7"/>
  <c r="M445" i="7"/>
  <c r="N445" i="7"/>
  <c r="O445" i="7"/>
  <c r="P445" i="7"/>
  <c r="D450" i="7"/>
  <c r="E450" i="7"/>
  <c r="F450" i="7"/>
  <c r="G450" i="7"/>
  <c r="H450" i="7"/>
  <c r="I450" i="7"/>
  <c r="J450" i="7"/>
  <c r="K450" i="7"/>
  <c r="L450" i="7"/>
  <c r="M450" i="7"/>
  <c r="N450" i="7"/>
  <c r="O450" i="7"/>
  <c r="P450" i="7"/>
  <c r="D456" i="7"/>
  <c r="E456" i="7"/>
  <c r="F456" i="7"/>
  <c r="G456" i="7"/>
  <c r="H456" i="7"/>
  <c r="I456" i="7"/>
  <c r="J456" i="7"/>
  <c r="K456" i="7"/>
  <c r="L456" i="7"/>
  <c r="M456" i="7"/>
  <c r="N456" i="7"/>
  <c r="O456" i="7"/>
  <c r="P456" i="7"/>
  <c r="D463" i="7"/>
  <c r="E463" i="7"/>
  <c r="F463" i="7"/>
  <c r="G463" i="7"/>
  <c r="H463" i="7"/>
  <c r="I463" i="7"/>
  <c r="J463" i="7"/>
  <c r="K463" i="7"/>
  <c r="L463" i="7"/>
  <c r="M463" i="7"/>
  <c r="N463" i="7"/>
  <c r="O463" i="7"/>
  <c r="P463" i="7"/>
  <c r="D468" i="7"/>
  <c r="E468" i="7"/>
  <c r="F468" i="7"/>
  <c r="G468" i="7"/>
  <c r="H468" i="7"/>
  <c r="I468" i="7"/>
  <c r="J468" i="7"/>
  <c r="K468" i="7"/>
  <c r="L468" i="7"/>
  <c r="M468" i="7"/>
  <c r="N468" i="7"/>
  <c r="O468" i="7"/>
  <c r="P468" i="7"/>
  <c r="D476" i="7"/>
  <c r="E476" i="7"/>
  <c r="F476" i="7"/>
  <c r="G476" i="7"/>
  <c r="H476" i="7"/>
  <c r="I476" i="7"/>
  <c r="J476" i="7"/>
  <c r="K476" i="7"/>
  <c r="L476" i="7"/>
  <c r="M476" i="7"/>
  <c r="N476" i="7"/>
  <c r="O476" i="7"/>
  <c r="P476" i="7"/>
  <c r="D480" i="7"/>
  <c r="E480" i="7"/>
  <c r="F480" i="7"/>
  <c r="G480" i="7"/>
  <c r="H480" i="7"/>
  <c r="I480" i="7"/>
  <c r="J480" i="7"/>
  <c r="K480" i="7"/>
  <c r="L480" i="7"/>
  <c r="M480" i="7"/>
  <c r="N480" i="7"/>
  <c r="O480" i="7"/>
  <c r="P480" i="7"/>
  <c r="D481" i="7"/>
  <c r="E481" i="7"/>
  <c r="F481" i="7"/>
  <c r="G481" i="7"/>
  <c r="H481" i="7"/>
  <c r="I481" i="7"/>
  <c r="J481" i="7"/>
  <c r="K481" i="7"/>
  <c r="L481" i="7"/>
  <c r="M481" i="7"/>
  <c r="N481" i="7"/>
  <c r="O481" i="7"/>
  <c r="P481" i="7"/>
  <c r="D485" i="7"/>
  <c r="E485" i="7"/>
  <c r="F485" i="7"/>
  <c r="G485" i="7"/>
  <c r="H485" i="7"/>
  <c r="I485" i="7"/>
  <c r="J485" i="7"/>
  <c r="K485" i="7"/>
  <c r="L485" i="7"/>
  <c r="M485" i="7"/>
  <c r="N485" i="7"/>
  <c r="O485" i="7"/>
  <c r="P485" i="7"/>
  <c r="D490" i="7"/>
  <c r="E490" i="7"/>
  <c r="F490" i="7"/>
  <c r="G490" i="7"/>
  <c r="H490" i="7"/>
  <c r="I490" i="7"/>
  <c r="J490" i="7"/>
  <c r="K490" i="7"/>
  <c r="L490" i="7"/>
  <c r="M490" i="7"/>
  <c r="N490" i="7"/>
  <c r="O490" i="7"/>
  <c r="P490" i="7"/>
  <c r="D493" i="7"/>
  <c r="E493" i="7"/>
  <c r="F493" i="7"/>
  <c r="G493" i="7"/>
  <c r="H493" i="7"/>
  <c r="I493" i="7"/>
  <c r="J493" i="7"/>
  <c r="K493" i="7"/>
  <c r="L493" i="7"/>
  <c r="M493" i="7"/>
  <c r="N493" i="7"/>
  <c r="O493" i="7"/>
  <c r="P493" i="7"/>
  <c r="D499" i="7"/>
  <c r="E499" i="7"/>
  <c r="F499" i="7"/>
  <c r="G499" i="7"/>
  <c r="H499" i="7"/>
  <c r="I499" i="7"/>
  <c r="J499" i="7"/>
  <c r="K499" i="7"/>
  <c r="L499" i="7"/>
  <c r="M499" i="7"/>
  <c r="N499" i="7"/>
  <c r="O499" i="7"/>
  <c r="P499" i="7"/>
  <c r="D502" i="7"/>
  <c r="E502" i="7"/>
  <c r="F502" i="7"/>
  <c r="G502" i="7"/>
  <c r="H502" i="7"/>
  <c r="I502" i="7"/>
  <c r="J502" i="7"/>
  <c r="K502" i="7"/>
  <c r="L502" i="7"/>
  <c r="M502" i="7"/>
  <c r="N502" i="7"/>
  <c r="O502" i="7"/>
  <c r="P502" i="7"/>
  <c r="D505" i="7"/>
  <c r="E505" i="7"/>
  <c r="F505" i="7"/>
  <c r="G505" i="7"/>
  <c r="H505" i="7"/>
  <c r="I505" i="7"/>
  <c r="J505" i="7"/>
  <c r="K505" i="7"/>
  <c r="L505" i="7"/>
  <c r="M505" i="7"/>
  <c r="N505" i="7"/>
  <c r="O505" i="7"/>
  <c r="P505" i="7"/>
  <c r="D6" i="7"/>
  <c r="E6" i="7"/>
  <c r="F6" i="7"/>
  <c r="G6" i="7"/>
  <c r="H6" i="7"/>
  <c r="I6" i="7"/>
  <c r="J6" i="7"/>
  <c r="K6" i="7"/>
  <c r="L6" i="7"/>
  <c r="M6" i="7"/>
  <c r="N6" i="7"/>
  <c r="O6" i="7"/>
  <c r="P6" i="7"/>
  <c r="D16" i="7"/>
  <c r="E16" i="7"/>
  <c r="F16" i="7"/>
  <c r="G16" i="7"/>
  <c r="H16" i="7"/>
  <c r="I16" i="7"/>
  <c r="J16" i="7"/>
  <c r="K16" i="7"/>
  <c r="L16" i="7"/>
  <c r="M16" i="7"/>
  <c r="N16" i="7"/>
  <c r="O16" i="7"/>
  <c r="P16" i="7"/>
  <c r="D26" i="7"/>
  <c r="E26" i="7"/>
  <c r="F26" i="7"/>
  <c r="G26" i="7"/>
  <c r="H26" i="7"/>
  <c r="I26" i="7"/>
  <c r="J26" i="7"/>
  <c r="K26" i="7"/>
  <c r="L26" i="7"/>
  <c r="M26" i="7"/>
  <c r="N26" i="7"/>
  <c r="O26" i="7"/>
  <c r="P26" i="7"/>
  <c r="D35" i="7"/>
  <c r="E35" i="7"/>
  <c r="F35" i="7"/>
  <c r="G35" i="7"/>
  <c r="H35" i="7"/>
  <c r="I35" i="7"/>
  <c r="J35" i="7"/>
  <c r="K35" i="7"/>
  <c r="L35" i="7"/>
  <c r="M35" i="7"/>
  <c r="N35" i="7"/>
  <c r="O35" i="7"/>
  <c r="P35" i="7"/>
  <c r="D45" i="7"/>
  <c r="E45" i="7"/>
  <c r="F45" i="7"/>
  <c r="G45" i="7"/>
  <c r="H45" i="7"/>
  <c r="I45" i="7"/>
  <c r="J45" i="7"/>
  <c r="K45" i="7"/>
  <c r="L45" i="7"/>
  <c r="M45" i="7"/>
  <c r="N45" i="7"/>
  <c r="O45" i="7"/>
  <c r="P45" i="7"/>
  <c r="D55" i="7"/>
  <c r="E55" i="7"/>
  <c r="F55" i="7"/>
  <c r="G55" i="7"/>
  <c r="H55" i="7"/>
  <c r="I55" i="7"/>
  <c r="J55" i="7"/>
  <c r="K55" i="7"/>
  <c r="L55" i="7"/>
  <c r="M55" i="7"/>
  <c r="N55" i="7"/>
  <c r="O55" i="7"/>
  <c r="P55" i="7"/>
  <c r="D65" i="7"/>
  <c r="E65" i="7"/>
  <c r="F65" i="7"/>
  <c r="G65" i="7"/>
  <c r="H65" i="7"/>
  <c r="I65" i="7"/>
  <c r="J65" i="7"/>
  <c r="K65" i="7"/>
  <c r="L65" i="7"/>
  <c r="M65" i="7"/>
  <c r="N65" i="7"/>
  <c r="O65" i="7"/>
  <c r="P65" i="7"/>
  <c r="D74" i="7"/>
  <c r="E74" i="7"/>
  <c r="F74" i="7"/>
  <c r="G74" i="7"/>
  <c r="H74" i="7"/>
  <c r="I74" i="7"/>
  <c r="J74" i="7"/>
  <c r="K74" i="7"/>
  <c r="L74" i="7"/>
  <c r="M74" i="7"/>
  <c r="N74" i="7"/>
  <c r="O74" i="7"/>
  <c r="P74" i="7"/>
  <c r="D125" i="7"/>
  <c r="E125" i="7"/>
  <c r="F125" i="7"/>
  <c r="G125" i="7"/>
  <c r="H125" i="7"/>
  <c r="I125" i="7"/>
  <c r="J125" i="7"/>
  <c r="K125" i="7"/>
  <c r="L125" i="7"/>
  <c r="M125" i="7"/>
  <c r="N125" i="7"/>
  <c r="O125" i="7"/>
  <c r="P125" i="7"/>
  <c r="D134" i="7"/>
  <c r="E134" i="7"/>
  <c r="F134" i="7"/>
  <c r="G134" i="7"/>
  <c r="H134" i="7"/>
  <c r="I134" i="7"/>
  <c r="J134" i="7"/>
  <c r="K134" i="7"/>
  <c r="L134" i="7"/>
  <c r="M134" i="7"/>
  <c r="N134" i="7"/>
  <c r="O134" i="7"/>
  <c r="P134" i="7"/>
  <c r="D142" i="7"/>
  <c r="E142" i="7"/>
  <c r="F142" i="7"/>
  <c r="G142" i="7"/>
  <c r="H142" i="7"/>
  <c r="I142" i="7"/>
  <c r="J142" i="7"/>
  <c r="K142" i="7"/>
  <c r="L142" i="7"/>
  <c r="M142" i="7"/>
  <c r="N142" i="7"/>
  <c r="O142" i="7"/>
  <c r="P142" i="7"/>
  <c r="D151" i="7"/>
  <c r="E151" i="7"/>
  <c r="F151" i="7"/>
  <c r="G151" i="7"/>
  <c r="H151" i="7"/>
  <c r="I151" i="7"/>
  <c r="J151" i="7"/>
  <c r="K151" i="7"/>
  <c r="L151" i="7"/>
  <c r="M151" i="7"/>
  <c r="N151" i="7"/>
  <c r="O151" i="7"/>
  <c r="P151" i="7"/>
  <c r="D160" i="7"/>
  <c r="E160" i="7"/>
  <c r="F160" i="7"/>
  <c r="G160" i="7"/>
  <c r="H160" i="7"/>
  <c r="I160" i="7"/>
  <c r="J160" i="7"/>
  <c r="K160" i="7"/>
  <c r="L160" i="7"/>
  <c r="M160" i="7"/>
  <c r="N160" i="7"/>
  <c r="O160" i="7"/>
  <c r="P160" i="7"/>
  <c r="D169" i="7"/>
  <c r="E169" i="7" s="1"/>
  <c r="F169" i="7"/>
  <c r="G169" i="7"/>
  <c r="H169" i="7"/>
  <c r="I169" i="7"/>
  <c r="J169" i="7"/>
  <c r="K169" i="7"/>
  <c r="L169" i="7"/>
  <c r="M169" i="7"/>
  <c r="N169" i="7"/>
  <c r="O169" i="7"/>
  <c r="P169" i="7"/>
  <c r="D177" i="7"/>
  <c r="E177" i="7" s="1"/>
  <c r="F177" i="7"/>
  <c r="G177" i="7"/>
  <c r="H177" i="7"/>
  <c r="I177" i="7"/>
  <c r="J177" i="7"/>
  <c r="K177" i="7"/>
  <c r="L177" i="7"/>
  <c r="M177" i="7"/>
  <c r="N177" i="7"/>
  <c r="O177" i="7"/>
  <c r="P177" i="7"/>
  <c r="D184" i="7"/>
  <c r="E184" i="7" s="1"/>
  <c r="F184" i="7"/>
  <c r="G184" i="7"/>
  <c r="H184" i="7"/>
  <c r="I184" i="7"/>
  <c r="J184" i="7"/>
  <c r="K184" i="7"/>
  <c r="L184" i="7"/>
  <c r="M184" i="7"/>
  <c r="N184" i="7"/>
  <c r="O184" i="7"/>
  <c r="P184" i="7"/>
  <c r="D193" i="7"/>
  <c r="E193" i="7" s="1"/>
  <c r="F193" i="7"/>
  <c r="G193" i="7"/>
  <c r="H193" i="7"/>
  <c r="I193" i="7"/>
  <c r="J193" i="7"/>
  <c r="K193" i="7"/>
  <c r="L193" i="7"/>
  <c r="M193" i="7"/>
  <c r="N193" i="7"/>
  <c r="O193" i="7"/>
  <c r="P193" i="7"/>
  <c r="D201" i="7"/>
  <c r="E201" i="7" s="1"/>
  <c r="F201" i="7"/>
  <c r="G201" i="7"/>
  <c r="H201" i="7"/>
  <c r="I201" i="7"/>
  <c r="J201" i="7"/>
  <c r="K201" i="7"/>
  <c r="L201" i="7"/>
  <c r="M201" i="7"/>
  <c r="N201" i="7"/>
  <c r="O201" i="7"/>
  <c r="P201" i="7"/>
  <c r="D209" i="7"/>
  <c r="E209" i="7" s="1"/>
  <c r="F209" i="7"/>
  <c r="G209" i="7"/>
  <c r="H209" i="7"/>
  <c r="I209" i="7"/>
  <c r="J209" i="7"/>
  <c r="K209" i="7"/>
  <c r="L209" i="7"/>
  <c r="M209" i="7"/>
  <c r="N209" i="7"/>
  <c r="O209" i="7"/>
  <c r="P209" i="7"/>
  <c r="D218" i="7"/>
  <c r="E218" i="7" s="1"/>
  <c r="F218" i="7"/>
  <c r="G218" i="7"/>
  <c r="H218" i="7"/>
  <c r="I218" i="7"/>
  <c r="J218" i="7"/>
  <c r="K218" i="7"/>
  <c r="L218" i="7"/>
  <c r="M218" i="7"/>
  <c r="N218" i="7"/>
  <c r="O218" i="7"/>
  <c r="P218" i="7"/>
  <c r="D227" i="7"/>
  <c r="E227" i="7" s="1"/>
  <c r="F227" i="7"/>
  <c r="G227" i="7"/>
  <c r="H227" i="7"/>
  <c r="I227" i="7"/>
  <c r="J227" i="7"/>
  <c r="K227" i="7"/>
  <c r="L227" i="7"/>
  <c r="M227" i="7"/>
  <c r="N227" i="7"/>
  <c r="O227" i="7"/>
  <c r="P227" i="7"/>
  <c r="D236" i="7"/>
  <c r="E236" i="7" s="1"/>
  <c r="F236" i="7"/>
  <c r="G236" i="7"/>
  <c r="H236" i="7"/>
  <c r="I236" i="7"/>
  <c r="J236" i="7"/>
  <c r="K236" i="7"/>
  <c r="L236" i="7"/>
  <c r="M236" i="7"/>
  <c r="N236" i="7"/>
  <c r="O236" i="7"/>
  <c r="P236" i="7"/>
  <c r="D245" i="7"/>
  <c r="E245" i="7" s="1"/>
  <c r="F245" i="7"/>
  <c r="G245" i="7"/>
  <c r="H245" i="7"/>
  <c r="I245" i="7"/>
  <c r="J245" i="7"/>
  <c r="K245" i="7"/>
  <c r="L245" i="7"/>
  <c r="M245" i="7"/>
  <c r="N245" i="7"/>
  <c r="O245" i="7"/>
  <c r="P245" i="7"/>
  <c r="D254" i="7"/>
  <c r="E254" i="7" s="1"/>
  <c r="F254" i="7"/>
  <c r="G254" i="7"/>
  <c r="H254" i="7"/>
  <c r="I254" i="7"/>
  <c r="J254" i="7"/>
  <c r="K254" i="7"/>
  <c r="L254" i="7"/>
  <c r="M254" i="7"/>
  <c r="N254" i="7"/>
  <c r="O254" i="7"/>
  <c r="P254" i="7"/>
  <c r="D263" i="7"/>
  <c r="E263" i="7"/>
  <c r="F263" i="7"/>
  <c r="G263" i="7"/>
  <c r="H263" i="7"/>
  <c r="I263" i="7"/>
  <c r="J263" i="7"/>
  <c r="K263" i="7"/>
  <c r="L263" i="7"/>
  <c r="M263" i="7"/>
  <c r="N263" i="7"/>
  <c r="O263" i="7"/>
  <c r="P263" i="7"/>
  <c r="D272" i="7"/>
  <c r="E272" i="7"/>
  <c r="F272" i="7"/>
  <c r="G272" i="7"/>
  <c r="H272" i="7"/>
  <c r="I272" i="7"/>
  <c r="J272" i="7"/>
  <c r="K272" i="7"/>
  <c r="L272" i="7"/>
  <c r="M272" i="7"/>
  <c r="N272" i="7"/>
  <c r="O272" i="7"/>
  <c r="P272" i="7"/>
  <c r="D281" i="7"/>
  <c r="E281" i="7"/>
  <c r="F281" i="7"/>
  <c r="G281" i="7"/>
  <c r="H281" i="7"/>
  <c r="I281" i="7"/>
  <c r="J281" i="7"/>
  <c r="K281" i="7"/>
  <c r="L281" i="7"/>
  <c r="M281" i="7"/>
  <c r="N281" i="7"/>
  <c r="O281" i="7"/>
  <c r="P281" i="7"/>
  <c r="D290" i="7"/>
  <c r="E290" i="7"/>
  <c r="F290" i="7"/>
  <c r="G290" i="7"/>
  <c r="H290" i="7"/>
  <c r="I290" i="7"/>
  <c r="J290" i="7"/>
  <c r="K290" i="7"/>
  <c r="L290" i="7"/>
  <c r="M290" i="7"/>
  <c r="N290" i="7"/>
  <c r="O290" i="7"/>
  <c r="P290" i="7"/>
  <c r="D304" i="7"/>
  <c r="E304" i="7"/>
  <c r="F304" i="7"/>
  <c r="G304" i="7"/>
  <c r="H304" i="7"/>
  <c r="I304" i="7"/>
  <c r="J304" i="7"/>
  <c r="K304" i="7"/>
  <c r="L304" i="7"/>
  <c r="M304" i="7"/>
  <c r="N304" i="7"/>
  <c r="O304" i="7"/>
  <c r="P304" i="7"/>
  <c r="D343" i="7"/>
  <c r="E343" i="7"/>
  <c r="F343" i="7"/>
  <c r="G343" i="7"/>
  <c r="H343" i="7"/>
  <c r="I343" i="7"/>
  <c r="J343" i="7"/>
  <c r="K343" i="7"/>
  <c r="L343" i="7"/>
  <c r="M343" i="7"/>
  <c r="N343" i="7"/>
  <c r="O343" i="7"/>
  <c r="P343" i="7"/>
  <c r="D351" i="7"/>
  <c r="E351" i="7"/>
  <c r="F351" i="7"/>
  <c r="G351" i="7"/>
  <c r="H351" i="7"/>
  <c r="I351" i="7"/>
  <c r="J351" i="7"/>
  <c r="K351" i="7"/>
  <c r="L351" i="7"/>
  <c r="M351" i="7"/>
  <c r="N351" i="7"/>
  <c r="O351" i="7"/>
  <c r="P351" i="7"/>
  <c r="D358" i="7"/>
  <c r="E358" i="7"/>
  <c r="F358" i="7"/>
  <c r="G358" i="7"/>
  <c r="H358" i="7"/>
  <c r="I358" i="7"/>
  <c r="J358" i="7"/>
  <c r="K358" i="7"/>
  <c r="L358" i="7"/>
  <c r="M358" i="7"/>
  <c r="N358" i="7"/>
  <c r="O358" i="7"/>
  <c r="P358" i="7"/>
  <c r="D366" i="7"/>
  <c r="E366" i="7"/>
  <c r="F366" i="7"/>
  <c r="G366" i="7"/>
  <c r="H366" i="7"/>
  <c r="I366" i="7"/>
  <c r="J366" i="7"/>
  <c r="K366" i="7"/>
  <c r="L366" i="7"/>
  <c r="M366" i="7"/>
  <c r="N366" i="7"/>
  <c r="O366" i="7"/>
  <c r="P366" i="7"/>
  <c r="D373" i="7"/>
  <c r="E373" i="7"/>
  <c r="F373" i="7"/>
  <c r="G373" i="7"/>
  <c r="H373" i="7"/>
  <c r="I373" i="7"/>
  <c r="J373" i="7"/>
  <c r="K373" i="7"/>
  <c r="L373" i="7"/>
  <c r="M373" i="7"/>
  <c r="N373" i="7"/>
  <c r="O373" i="7"/>
  <c r="P373" i="7"/>
  <c r="D381" i="7"/>
  <c r="E381" i="7"/>
  <c r="F381" i="7"/>
  <c r="G381" i="7"/>
  <c r="H381" i="7"/>
  <c r="I381" i="7"/>
  <c r="J381" i="7"/>
  <c r="K381" i="7"/>
  <c r="L381" i="7"/>
  <c r="M381" i="7"/>
  <c r="N381" i="7"/>
  <c r="O381" i="7"/>
  <c r="P381" i="7"/>
  <c r="D386" i="7"/>
  <c r="E386" i="7"/>
  <c r="F386" i="7"/>
  <c r="G386" i="7"/>
  <c r="H386" i="7"/>
  <c r="I386" i="7"/>
  <c r="J386" i="7"/>
  <c r="K386" i="7"/>
  <c r="L386" i="7"/>
  <c r="M386" i="7"/>
  <c r="N386" i="7"/>
  <c r="O386" i="7"/>
  <c r="P386" i="7"/>
  <c r="D391" i="7"/>
  <c r="E391" i="7"/>
  <c r="F391" i="7"/>
  <c r="G391" i="7"/>
  <c r="H391" i="7"/>
  <c r="I391" i="7"/>
  <c r="J391" i="7"/>
  <c r="K391" i="7"/>
  <c r="L391" i="7"/>
  <c r="M391" i="7"/>
  <c r="N391" i="7"/>
  <c r="O391" i="7"/>
  <c r="P391" i="7"/>
  <c r="D396" i="7"/>
  <c r="E396" i="7"/>
  <c r="F396" i="7"/>
  <c r="G396" i="7"/>
  <c r="H396" i="7"/>
  <c r="I396" i="7"/>
  <c r="J396" i="7"/>
  <c r="K396" i="7"/>
  <c r="L396" i="7"/>
  <c r="M396" i="7"/>
  <c r="N396" i="7"/>
  <c r="O396" i="7"/>
  <c r="P396" i="7"/>
  <c r="D401" i="7"/>
  <c r="E401" i="7"/>
  <c r="F401" i="7"/>
  <c r="G401" i="7"/>
  <c r="H401" i="7"/>
  <c r="I401" i="7"/>
  <c r="J401" i="7"/>
  <c r="K401" i="7"/>
  <c r="L401" i="7"/>
  <c r="M401" i="7"/>
  <c r="N401" i="7"/>
  <c r="O401" i="7"/>
  <c r="P401" i="7"/>
  <c r="D406" i="7"/>
  <c r="E406" i="7"/>
  <c r="F406" i="7"/>
  <c r="G406" i="7"/>
  <c r="H406" i="7"/>
  <c r="I406" i="7"/>
  <c r="J406" i="7"/>
  <c r="K406" i="7"/>
  <c r="L406" i="7"/>
  <c r="M406" i="7"/>
  <c r="N406" i="7"/>
  <c r="O406" i="7"/>
  <c r="P406" i="7"/>
  <c r="D411" i="7"/>
  <c r="E411" i="7"/>
  <c r="F411" i="7"/>
  <c r="G411" i="7"/>
  <c r="H411" i="7"/>
  <c r="I411" i="7"/>
  <c r="J411" i="7"/>
  <c r="K411" i="7"/>
  <c r="L411" i="7"/>
  <c r="M411" i="7"/>
  <c r="N411" i="7"/>
  <c r="O411" i="7"/>
  <c r="P411" i="7"/>
  <c r="D416" i="7"/>
  <c r="E416" i="7"/>
  <c r="F416" i="7"/>
  <c r="G416" i="7"/>
  <c r="H416" i="7"/>
  <c r="I416" i="7"/>
  <c r="J416" i="7"/>
  <c r="K416" i="7"/>
  <c r="L416" i="7"/>
  <c r="M416" i="7"/>
  <c r="N416" i="7"/>
  <c r="O416" i="7"/>
  <c r="P416" i="7"/>
  <c r="D421" i="7"/>
  <c r="E421" i="7"/>
  <c r="F421" i="7"/>
  <c r="G421" i="7"/>
  <c r="H421" i="7"/>
  <c r="I421" i="7"/>
  <c r="J421" i="7"/>
  <c r="K421" i="7"/>
  <c r="L421" i="7"/>
  <c r="M421" i="7"/>
  <c r="N421" i="7"/>
  <c r="O421" i="7"/>
  <c r="P421" i="7"/>
  <c r="D426" i="7"/>
  <c r="E426" i="7"/>
  <c r="F426" i="7"/>
  <c r="G426" i="7"/>
  <c r="H426" i="7"/>
  <c r="I426" i="7"/>
  <c r="J426" i="7"/>
  <c r="K426" i="7"/>
  <c r="L426" i="7"/>
  <c r="M426" i="7"/>
  <c r="N426" i="7"/>
  <c r="O426" i="7"/>
  <c r="P426" i="7"/>
  <c r="D427" i="7"/>
  <c r="E427" i="7"/>
  <c r="F427" i="7"/>
  <c r="G427" i="7"/>
  <c r="H427" i="7"/>
  <c r="I427" i="7"/>
  <c r="J427" i="7"/>
  <c r="K427" i="7"/>
  <c r="L427" i="7"/>
  <c r="M427" i="7"/>
  <c r="N427" i="7"/>
  <c r="O427" i="7"/>
  <c r="P427" i="7"/>
  <c r="D432" i="7"/>
  <c r="E432" i="7"/>
  <c r="F432" i="7"/>
  <c r="G432" i="7"/>
  <c r="H432" i="7"/>
  <c r="I432" i="7"/>
  <c r="J432" i="7"/>
  <c r="K432" i="7"/>
  <c r="L432" i="7"/>
  <c r="M432" i="7"/>
  <c r="N432" i="7"/>
  <c r="O432" i="7"/>
  <c r="P432" i="7"/>
  <c r="D437" i="7"/>
  <c r="E437" i="7"/>
  <c r="F437" i="7"/>
  <c r="G437" i="7"/>
  <c r="H437" i="7"/>
  <c r="I437" i="7"/>
  <c r="J437" i="7"/>
  <c r="K437" i="7"/>
  <c r="L437" i="7"/>
  <c r="M437" i="7"/>
  <c r="N437" i="7"/>
  <c r="O437" i="7"/>
  <c r="P437" i="7"/>
  <c r="D441" i="7"/>
  <c r="E441" i="7"/>
  <c r="F441" i="7"/>
  <c r="G441" i="7"/>
  <c r="H441" i="7"/>
  <c r="I441" i="7"/>
  <c r="J441" i="7"/>
  <c r="K441" i="7"/>
  <c r="L441" i="7"/>
  <c r="M441" i="7"/>
  <c r="N441" i="7"/>
  <c r="O441" i="7"/>
  <c r="P441" i="7"/>
  <c r="D446" i="7"/>
  <c r="E446" i="7"/>
  <c r="F446" i="7"/>
  <c r="G446" i="7"/>
  <c r="H446" i="7"/>
  <c r="I446" i="7"/>
  <c r="J446" i="7"/>
  <c r="K446" i="7"/>
  <c r="L446" i="7"/>
  <c r="M446" i="7"/>
  <c r="N446" i="7"/>
  <c r="O446" i="7"/>
  <c r="P446" i="7"/>
  <c r="D451" i="7"/>
  <c r="E451" i="7"/>
  <c r="F451" i="7"/>
  <c r="G451" i="7"/>
  <c r="H451" i="7"/>
  <c r="I451" i="7"/>
  <c r="J451" i="7"/>
  <c r="K451" i="7"/>
  <c r="L451" i="7"/>
  <c r="M451" i="7"/>
  <c r="N451" i="7"/>
  <c r="O451" i="7"/>
  <c r="P451" i="7"/>
  <c r="D455" i="7"/>
  <c r="E455" i="7"/>
  <c r="F455" i="7"/>
  <c r="G455" i="7"/>
  <c r="H455" i="7"/>
  <c r="I455" i="7"/>
  <c r="J455" i="7"/>
  <c r="K455" i="7"/>
  <c r="L455" i="7"/>
  <c r="M455" i="7"/>
  <c r="N455" i="7"/>
  <c r="O455" i="7"/>
  <c r="P455" i="7"/>
  <c r="D460" i="7"/>
  <c r="E460" i="7"/>
  <c r="F460" i="7"/>
  <c r="G460" i="7"/>
  <c r="H460" i="7"/>
  <c r="I460" i="7"/>
  <c r="J460" i="7"/>
  <c r="K460" i="7"/>
  <c r="L460" i="7"/>
  <c r="M460" i="7"/>
  <c r="N460" i="7"/>
  <c r="O460" i="7"/>
  <c r="P460" i="7"/>
  <c r="D465" i="7"/>
  <c r="E465" i="7"/>
  <c r="F465" i="7"/>
  <c r="G465" i="7"/>
  <c r="H465" i="7"/>
  <c r="I465" i="7"/>
  <c r="J465" i="7"/>
  <c r="K465" i="7"/>
  <c r="L465" i="7"/>
  <c r="M465" i="7"/>
  <c r="N465" i="7"/>
  <c r="O465" i="7"/>
  <c r="P465" i="7"/>
  <c r="D470" i="7"/>
  <c r="E470" i="7"/>
  <c r="F470" i="7"/>
  <c r="G470" i="7"/>
  <c r="H470" i="7"/>
  <c r="I470" i="7"/>
  <c r="J470" i="7"/>
  <c r="K470" i="7"/>
  <c r="L470" i="7"/>
  <c r="M470" i="7"/>
  <c r="N470" i="7"/>
  <c r="O470" i="7"/>
  <c r="P470" i="7"/>
  <c r="D474" i="7"/>
  <c r="E474" i="7"/>
  <c r="F474" i="7"/>
  <c r="G474" i="7"/>
  <c r="H474" i="7"/>
  <c r="I474" i="7"/>
  <c r="J474" i="7"/>
  <c r="K474" i="7"/>
  <c r="L474" i="7"/>
  <c r="M474" i="7"/>
  <c r="N474" i="7"/>
  <c r="O474" i="7"/>
  <c r="P474" i="7"/>
  <c r="D479" i="7"/>
  <c r="E479" i="7"/>
  <c r="F479" i="7"/>
  <c r="G479" i="7"/>
  <c r="H479" i="7"/>
  <c r="I479" i="7"/>
  <c r="J479" i="7"/>
  <c r="K479" i="7"/>
  <c r="L479" i="7"/>
  <c r="M479" i="7"/>
  <c r="N479" i="7"/>
  <c r="O479" i="7"/>
  <c r="P479" i="7"/>
  <c r="D484" i="7"/>
  <c r="E484" i="7"/>
  <c r="F484" i="7"/>
  <c r="G484" i="7"/>
  <c r="H484" i="7"/>
  <c r="I484" i="7"/>
  <c r="J484" i="7"/>
  <c r="K484" i="7"/>
  <c r="L484" i="7"/>
  <c r="M484" i="7"/>
  <c r="N484" i="7"/>
  <c r="O484" i="7"/>
  <c r="P484" i="7"/>
  <c r="D488" i="7"/>
  <c r="E488" i="7"/>
  <c r="F488" i="7"/>
  <c r="G488" i="7"/>
  <c r="H488" i="7"/>
  <c r="I488" i="7"/>
  <c r="J488" i="7"/>
  <c r="K488" i="7"/>
  <c r="L488" i="7"/>
  <c r="M488" i="7"/>
  <c r="N488" i="7"/>
  <c r="O488" i="7"/>
  <c r="P488" i="7"/>
  <c r="D492" i="7"/>
  <c r="E492" i="7"/>
  <c r="F492" i="7"/>
  <c r="G492" i="7"/>
  <c r="H492" i="7"/>
  <c r="I492" i="7"/>
  <c r="J492" i="7"/>
  <c r="K492" i="7"/>
  <c r="L492" i="7"/>
  <c r="M492" i="7"/>
  <c r="N492" i="7"/>
  <c r="O492" i="7"/>
  <c r="P492" i="7"/>
  <c r="D496" i="7"/>
  <c r="E496" i="7"/>
  <c r="F496" i="7"/>
  <c r="G496" i="7"/>
  <c r="H496" i="7"/>
  <c r="I496" i="7"/>
  <c r="J496" i="7"/>
  <c r="K496" i="7"/>
  <c r="L496" i="7"/>
  <c r="M496" i="7"/>
  <c r="N496" i="7"/>
  <c r="O496" i="7"/>
  <c r="P496" i="7"/>
  <c r="D498" i="7"/>
  <c r="E498" i="7"/>
  <c r="F498" i="7"/>
  <c r="G498" i="7"/>
  <c r="H498" i="7"/>
  <c r="I498" i="7"/>
  <c r="J498" i="7"/>
  <c r="K498" i="7"/>
  <c r="L498" i="7"/>
  <c r="M498" i="7"/>
  <c r="N498" i="7"/>
  <c r="O498" i="7"/>
  <c r="P498" i="7"/>
  <c r="D501" i="7"/>
  <c r="E501" i="7"/>
  <c r="F501" i="7"/>
  <c r="G501" i="7"/>
  <c r="H501" i="7"/>
  <c r="I501" i="7"/>
  <c r="J501" i="7"/>
  <c r="K501" i="7"/>
  <c r="L501" i="7"/>
  <c r="M501" i="7"/>
  <c r="N501" i="7"/>
  <c r="O501" i="7"/>
  <c r="P501" i="7"/>
  <c r="D15" i="7"/>
  <c r="E15" i="7"/>
  <c r="F15" i="7"/>
  <c r="G15" i="7"/>
  <c r="H15" i="7"/>
  <c r="I15" i="7"/>
  <c r="J15" i="7"/>
  <c r="K15" i="7"/>
  <c r="L15" i="7"/>
  <c r="M15" i="7"/>
  <c r="N15" i="7"/>
  <c r="O15" i="7"/>
  <c r="P15" i="7"/>
  <c r="D25" i="7"/>
  <c r="E25" i="7"/>
  <c r="F25" i="7"/>
  <c r="G25" i="7"/>
  <c r="H25" i="7"/>
  <c r="I25" i="7"/>
  <c r="J25" i="7"/>
  <c r="K25" i="7"/>
  <c r="L25" i="7"/>
  <c r="M25" i="7"/>
  <c r="N25" i="7"/>
  <c r="O25" i="7"/>
  <c r="P25" i="7"/>
  <c r="D36" i="7"/>
  <c r="E36" i="7"/>
  <c r="F36" i="7"/>
  <c r="G36" i="7"/>
  <c r="H36" i="7"/>
  <c r="I36" i="7"/>
  <c r="J36" i="7"/>
  <c r="K36" i="7"/>
  <c r="L36" i="7"/>
  <c r="M36" i="7"/>
  <c r="N36" i="7"/>
  <c r="O36" i="7"/>
  <c r="P36" i="7"/>
  <c r="D46" i="7"/>
  <c r="E46" i="7"/>
  <c r="F46" i="7"/>
  <c r="G46" i="7"/>
  <c r="H46" i="7"/>
  <c r="I46" i="7"/>
  <c r="J46" i="7"/>
  <c r="K46" i="7"/>
  <c r="L46" i="7"/>
  <c r="M46" i="7"/>
  <c r="N46" i="7"/>
  <c r="O46" i="7"/>
  <c r="P46" i="7"/>
  <c r="D56" i="7"/>
  <c r="E56" i="7"/>
  <c r="F56" i="7"/>
  <c r="G56" i="7"/>
  <c r="H56" i="7"/>
  <c r="I56" i="7"/>
  <c r="J56" i="7"/>
  <c r="K56" i="7"/>
  <c r="L56" i="7"/>
  <c r="M56" i="7"/>
  <c r="N56" i="7"/>
  <c r="O56" i="7"/>
  <c r="P56" i="7"/>
  <c r="D66" i="7"/>
  <c r="E66" i="7"/>
  <c r="F66" i="7"/>
  <c r="G66" i="7"/>
  <c r="H66" i="7"/>
  <c r="I66" i="7"/>
  <c r="J66" i="7"/>
  <c r="K66" i="7"/>
  <c r="L66" i="7"/>
  <c r="M66" i="7"/>
  <c r="N66" i="7"/>
  <c r="O66" i="7"/>
  <c r="P66" i="7"/>
  <c r="D127" i="7"/>
  <c r="E127" i="7" s="1"/>
  <c r="F127" i="7"/>
  <c r="G127" i="7"/>
  <c r="H127" i="7"/>
  <c r="I127" i="7"/>
  <c r="J127" i="7"/>
  <c r="K127" i="7"/>
  <c r="L127" i="7"/>
  <c r="M127" i="7"/>
  <c r="N127" i="7"/>
  <c r="O127" i="7"/>
  <c r="P127" i="7"/>
  <c r="D136" i="7"/>
  <c r="E136" i="7" s="1"/>
  <c r="F136" i="7"/>
  <c r="G136" i="7"/>
  <c r="H136" i="7"/>
  <c r="I136" i="7"/>
  <c r="J136" i="7"/>
  <c r="K136" i="7"/>
  <c r="L136" i="7"/>
  <c r="M136" i="7"/>
  <c r="N136" i="7"/>
  <c r="O136" i="7"/>
  <c r="P136" i="7"/>
  <c r="D145" i="7"/>
  <c r="E145" i="7" s="1"/>
  <c r="F145" i="7"/>
  <c r="G145" i="7"/>
  <c r="H145" i="7"/>
  <c r="I145" i="7"/>
  <c r="J145" i="7"/>
  <c r="K145" i="7"/>
  <c r="L145" i="7"/>
  <c r="M145" i="7"/>
  <c r="N145" i="7"/>
  <c r="O145" i="7"/>
  <c r="P145" i="7"/>
  <c r="D154" i="7"/>
  <c r="E154" i="7"/>
  <c r="F154" i="7"/>
  <c r="G154" i="7"/>
  <c r="H154" i="7"/>
  <c r="I154" i="7"/>
  <c r="J154" i="7"/>
  <c r="K154" i="7"/>
  <c r="L154" i="7"/>
  <c r="M154" i="7"/>
  <c r="N154" i="7"/>
  <c r="O154" i="7"/>
  <c r="P154" i="7"/>
  <c r="D163" i="7"/>
  <c r="E163" i="7" s="1"/>
  <c r="F163" i="7"/>
  <c r="G163" i="7"/>
  <c r="H163" i="7"/>
  <c r="I163" i="7"/>
  <c r="J163" i="7"/>
  <c r="K163" i="7"/>
  <c r="L163" i="7"/>
  <c r="M163" i="7"/>
  <c r="N163" i="7"/>
  <c r="O163" i="7"/>
  <c r="P163" i="7"/>
  <c r="D172" i="7"/>
  <c r="E172" i="7" s="1"/>
  <c r="F172" i="7"/>
  <c r="G172" i="7"/>
  <c r="H172" i="7"/>
  <c r="I172" i="7"/>
  <c r="J172" i="7"/>
  <c r="K172" i="7"/>
  <c r="L172" i="7"/>
  <c r="M172" i="7"/>
  <c r="N172" i="7"/>
  <c r="O172" i="7"/>
  <c r="P172" i="7"/>
  <c r="D181" i="7"/>
  <c r="E181" i="7" s="1"/>
  <c r="F181" i="7"/>
  <c r="G181" i="7"/>
  <c r="H181" i="7"/>
  <c r="I181" i="7"/>
  <c r="J181" i="7"/>
  <c r="K181" i="7"/>
  <c r="L181" i="7"/>
  <c r="M181" i="7"/>
  <c r="N181" i="7"/>
  <c r="O181" i="7"/>
  <c r="P181" i="7"/>
  <c r="D190" i="7"/>
  <c r="E190" i="7" s="1"/>
  <c r="F190" i="7"/>
  <c r="G190" i="7"/>
  <c r="H190" i="7"/>
  <c r="I190" i="7"/>
  <c r="J190" i="7"/>
  <c r="K190" i="7"/>
  <c r="L190" i="7"/>
  <c r="M190" i="7"/>
  <c r="N190" i="7"/>
  <c r="O190" i="7"/>
  <c r="P190" i="7"/>
  <c r="D199" i="7"/>
  <c r="E199" i="7" s="1"/>
  <c r="F199" i="7"/>
  <c r="G199" i="7"/>
  <c r="H199" i="7"/>
  <c r="I199" i="7"/>
  <c r="J199" i="7"/>
  <c r="K199" i="7"/>
  <c r="L199" i="7"/>
  <c r="M199" i="7"/>
  <c r="N199" i="7"/>
  <c r="O199" i="7"/>
  <c r="P199" i="7"/>
  <c r="D208" i="7"/>
  <c r="E208" i="7" s="1"/>
  <c r="F208" i="7"/>
  <c r="G208" i="7"/>
  <c r="H208" i="7"/>
  <c r="I208" i="7"/>
  <c r="J208" i="7"/>
  <c r="K208" i="7"/>
  <c r="L208" i="7"/>
  <c r="M208" i="7"/>
  <c r="N208" i="7"/>
  <c r="O208" i="7"/>
  <c r="P208" i="7"/>
  <c r="D217" i="7"/>
  <c r="E217" i="7" s="1"/>
  <c r="F217" i="7"/>
  <c r="G217" i="7"/>
  <c r="H217" i="7"/>
  <c r="I217" i="7"/>
  <c r="J217" i="7"/>
  <c r="K217" i="7"/>
  <c r="L217" i="7"/>
  <c r="M217" i="7"/>
  <c r="N217" i="7"/>
  <c r="O217" i="7"/>
  <c r="P217" i="7"/>
  <c r="D226" i="7"/>
  <c r="E226" i="7" s="1"/>
  <c r="F226" i="7"/>
  <c r="G226" i="7"/>
  <c r="H226" i="7"/>
  <c r="I226" i="7"/>
  <c r="J226" i="7"/>
  <c r="K226" i="7"/>
  <c r="L226" i="7"/>
  <c r="M226" i="7"/>
  <c r="N226" i="7"/>
  <c r="O226" i="7"/>
  <c r="P226" i="7"/>
  <c r="D235" i="7"/>
  <c r="E235" i="7" s="1"/>
  <c r="F235" i="7"/>
  <c r="G235" i="7"/>
  <c r="H235" i="7"/>
  <c r="I235" i="7"/>
  <c r="J235" i="7"/>
  <c r="K235" i="7"/>
  <c r="L235" i="7"/>
  <c r="M235" i="7"/>
  <c r="N235" i="7"/>
  <c r="O235" i="7"/>
  <c r="P235" i="7"/>
  <c r="D244" i="7"/>
  <c r="E244" i="7" s="1"/>
  <c r="F244" i="7"/>
  <c r="G244" i="7"/>
  <c r="H244" i="7"/>
  <c r="I244" i="7"/>
  <c r="J244" i="7"/>
  <c r="K244" i="7"/>
  <c r="L244" i="7"/>
  <c r="M244" i="7"/>
  <c r="N244" i="7"/>
  <c r="O244" i="7"/>
  <c r="P244" i="7"/>
  <c r="D253" i="7"/>
  <c r="E253" i="7" s="1"/>
  <c r="F253" i="7"/>
  <c r="G253" i="7"/>
  <c r="H253" i="7"/>
  <c r="I253" i="7"/>
  <c r="J253" i="7"/>
  <c r="K253" i="7"/>
  <c r="L253" i="7"/>
  <c r="M253" i="7"/>
  <c r="N253" i="7"/>
  <c r="O253" i="7"/>
  <c r="P253" i="7"/>
  <c r="D262" i="7"/>
  <c r="E262" i="7" s="1"/>
  <c r="F262" i="7"/>
  <c r="G262" i="7"/>
  <c r="H262" i="7"/>
  <c r="I262" i="7"/>
  <c r="J262" i="7"/>
  <c r="K262" i="7"/>
  <c r="L262" i="7"/>
  <c r="M262" i="7"/>
  <c r="N262" i="7"/>
  <c r="O262" i="7"/>
  <c r="P262" i="7"/>
  <c r="D271" i="7"/>
  <c r="E271" i="7" s="1"/>
  <c r="F271" i="7"/>
  <c r="G271" i="7"/>
  <c r="H271" i="7"/>
  <c r="I271" i="7"/>
  <c r="J271" i="7"/>
  <c r="K271" i="7"/>
  <c r="L271" i="7"/>
  <c r="M271" i="7"/>
  <c r="N271" i="7"/>
  <c r="O271" i="7"/>
  <c r="P271" i="7"/>
  <c r="D280" i="7"/>
  <c r="E280" i="7" s="1"/>
  <c r="F280" i="7"/>
  <c r="G280" i="7"/>
  <c r="H280" i="7"/>
  <c r="I280" i="7"/>
  <c r="J280" i="7"/>
  <c r="K280" i="7"/>
  <c r="L280" i="7"/>
  <c r="M280" i="7"/>
  <c r="N280" i="7"/>
  <c r="O280" i="7"/>
  <c r="P280" i="7"/>
  <c r="D289" i="7"/>
  <c r="E289" i="7" s="1"/>
  <c r="F289" i="7"/>
  <c r="G289" i="7"/>
  <c r="H289" i="7"/>
  <c r="I289" i="7"/>
  <c r="J289" i="7"/>
  <c r="K289" i="7"/>
  <c r="L289" i="7"/>
  <c r="M289" i="7"/>
  <c r="N289" i="7"/>
  <c r="O289" i="7"/>
  <c r="P289" i="7"/>
  <c r="D299" i="7"/>
  <c r="E299" i="7" s="1"/>
  <c r="F299" i="7"/>
  <c r="G299" i="7"/>
  <c r="H299" i="7"/>
  <c r="I299" i="7"/>
  <c r="J299" i="7"/>
  <c r="K299" i="7"/>
  <c r="L299" i="7"/>
  <c r="M299" i="7"/>
  <c r="N299" i="7"/>
  <c r="O299" i="7"/>
  <c r="P299" i="7"/>
  <c r="D307" i="7"/>
  <c r="E307" i="7" s="1"/>
  <c r="F307" i="7"/>
  <c r="G307" i="7"/>
  <c r="H307" i="7"/>
  <c r="I307" i="7"/>
  <c r="J307" i="7"/>
  <c r="K307" i="7"/>
  <c r="L307" i="7"/>
  <c r="M307" i="7"/>
  <c r="N307" i="7"/>
  <c r="O307" i="7"/>
  <c r="P307" i="7"/>
  <c r="D346" i="7"/>
  <c r="E346" i="7"/>
  <c r="F346" i="7"/>
  <c r="G346" i="7"/>
  <c r="H346" i="7"/>
  <c r="I346" i="7"/>
  <c r="J346" i="7"/>
  <c r="K346" i="7"/>
  <c r="L346" i="7"/>
  <c r="M346" i="7"/>
  <c r="N346" i="7"/>
  <c r="O346" i="7"/>
  <c r="P346" i="7"/>
  <c r="D353" i="7"/>
  <c r="E353" i="7"/>
  <c r="F353" i="7"/>
  <c r="G353" i="7"/>
  <c r="H353" i="7"/>
  <c r="I353" i="7"/>
  <c r="J353" i="7"/>
  <c r="K353" i="7"/>
  <c r="L353" i="7"/>
  <c r="M353" i="7"/>
  <c r="N353" i="7"/>
  <c r="O353" i="7"/>
  <c r="P353" i="7"/>
  <c r="D361" i="7"/>
  <c r="E361" i="7"/>
  <c r="F361" i="7"/>
  <c r="G361" i="7"/>
  <c r="H361" i="7"/>
  <c r="I361" i="7"/>
  <c r="J361" i="7"/>
  <c r="K361" i="7"/>
  <c r="L361" i="7"/>
  <c r="M361" i="7"/>
  <c r="N361" i="7"/>
  <c r="O361" i="7"/>
  <c r="P361" i="7"/>
  <c r="D368" i="7"/>
  <c r="E368" i="7"/>
  <c r="F368" i="7"/>
  <c r="G368" i="7"/>
  <c r="H368" i="7"/>
  <c r="I368" i="7"/>
  <c r="J368" i="7"/>
  <c r="K368" i="7"/>
  <c r="L368" i="7"/>
  <c r="M368" i="7"/>
  <c r="N368" i="7"/>
  <c r="O368" i="7"/>
  <c r="P368" i="7"/>
  <c r="D375" i="7"/>
  <c r="E375" i="7"/>
  <c r="F375" i="7"/>
  <c r="G375" i="7"/>
  <c r="H375" i="7"/>
  <c r="I375" i="7"/>
  <c r="J375" i="7"/>
  <c r="K375" i="7"/>
  <c r="L375" i="7"/>
  <c r="M375" i="7"/>
  <c r="N375" i="7"/>
  <c r="O375" i="7"/>
  <c r="P375" i="7"/>
  <c r="D383" i="7"/>
  <c r="E383" i="7"/>
  <c r="F383" i="7"/>
  <c r="G383" i="7"/>
  <c r="H383" i="7"/>
  <c r="I383" i="7"/>
  <c r="J383" i="7"/>
  <c r="K383" i="7"/>
  <c r="L383" i="7"/>
  <c r="M383" i="7"/>
  <c r="N383" i="7"/>
  <c r="O383" i="7"/>
  <c r="P383" i="7"/>
  <c r="D388" i="7"/>
  <c r="E388" i="7"/>
  <c r="F388" i="7"/>
  <c r="G388" i="7"/>
  <c r="H388" i="7"/>
  <c r="I388" i="7"/>
  <c r="J388" i="7"/>
  <c r="K388" i="7"/>
  <c r="L388" i="7"/>
  <c r="M388" i="7"/>
  <c r="N388" i="7"/>
  <c r="O388" i="7"/>
  <c r="P388" i="7"/>
  <c r="D393" i="7"/>
  <c r="E393" i="7"/>
  <c r="F393" i="7"/>
  <c r="G393" i="7"/>
  <c r="H393" i="7"/>
  <c r="I393" i="7"/>
  <c r="J393" i="7"/>
  <c r="K393" i="7"/>
  <c r="L393" i="7"/>
  <c r="M393" i="7"/>
  <c r="N393" i="7"/>
  <c r="O393" i="7"/>
  <c r="P393" i="7"/>
  <c r="D398" i="7"/>
  <c r="E398" i="7"/>
  <c r="F398" i="7"/>
  <c r="G398" i="7"/>
  <c r="H398" i="7"/>
  <c r="I398" i="7"/>
  <c r="J398" i="7"/>
  <c r="K398" i="7"/>
  <c r="L398" i="7"/>
  <c r="M398" i="7"/>
  <c r="N398" i="7"/>
  <c r="O398" i="7"/>
  <c r="P398" i="7"/>
  <c r="D403" i="7"/>
  <c r="E403" i="7"/>
  <c r="F403" i="7"/>
  <c r="G403" i="7"/>
  <c r="H403" i="7"/>
  <c r="I403" i="7"/>
  <c r="J403" i="7"/>
  <c r="K403" i="7"/>
  <c r="L403" i="7"/>
  <c r="M403" i="7"/>
  <c r="N403" i="7"/>
  <c r="O403" i="7"/>
  <c r="P403" i="7"/>
  <c r="D408" i="7"/>
  <c r="E408" i="7"/>
  <c r="F408" i="7"/>
  <c r="G408" i="7"/>
  <c r="H408" i="7"/>
  <c r="I408" i="7"/>
  <c r="J408" i="7"/>
  <c r="K408" i="7"/>
  <c r="L408" i="7"/>
  <c r="M408" i="7"/>
  <c r="N408" i="7"/>
  <c r="O408" i="7"/>
  <c r="P408" i="7"/>
  <c r="D413" i="7"/>
  <c r="E413" i="7"/>
  <c r="F413" i="7"/>
  <c r="G413" i="7"/>
  <c r="H413" i="7"/>
  <c r="I413" i="7"/>
  <c r="J413" i="7"/>
  <c r="K413" i="7"/>
  <c r="L413" i="7"/>
  <c r="M413" i="7"/>
  <c r="N413" i="7"/>
  <c r="O413" i="7"/>
  <c r="P413" i="7"/>
  <c r="D418" i="7"/>
  <c r="E418" i="7"/>
  <c r="F418" i="7"/>
  <c r="G418" i="7"/>
  <c r="H418" i="7"/>
  <c r="I418" i="7"/>
  <c r="J418" i="7"/>
  <c r="K418" i="7"/>
  <c r="L418" i="7"/>
  <c r="M418" i="7"/>
  <c r="N418" i="7"/>
  <c r="O418" i="7"/>
  <c r="P418" i="7"/>
  <c r="D423" i="7"/>
  <c r="E423" i="7"/>
  <c r="F423" i="7"/>
  <c r="G423" i="7"/>
  <c r="H423" i="7"/>
  <c r="I423" i="7"/>
  <c r="J423" i="7"/>
  <c r="K423" i="7"/>
  <c r="L423" i="7"/>
  <c r="M423" i="7"/>
  <c r="N423" i="7"/>
  <c r="O423" i="7"/>
  <c r="P423" i="7"/>
  <c r="D428" i="7"/>
  <c r="E428" i="7"/>
  <c r="F428" i="7"/>
  <c r="G428" i="7"/>
  <c r="H428" i="7"/>
  <c r="I428" i="7"/>
  <c r="J428" i="7"/>
  <c r="K428" i="7"/>
  <c r="L428" i="7"/>
  <c r="M428" i="7"/>
  <c r="N428" i="7"/>
  <c r="O428" i="7"/>
  <c r="P428" i="7"/>
  <c r="D433" i="7"/>
  <c r="E433" i="7"/>
  <c r="F433" i="7"/>
  <c r="G433" i="7"/>
  <c r="H433" i="7"/>
  <c r="I433" i="7"/>
  <c r="J433" i="7"/>
  <c r="K433" i="7"/>
  <c r="L433" i="7"/>
  <c r="M433" i="7"/>
  <c r="N433" i="7"/>
  <c r="O433" i="7"/>
  <c r="P433" i="7"/>
  <c r="D438" i="7"/>
  <c r="E438" i="7"/>
  <c r="F438" i="7"/>
  <c r="G438" i="7"/>
  <c r="H438" i="7"/>
  <c r="I438" i="7"/>
  <c r="J438" i="7"/>
  <c r="K438" i="7"/>
  <c r="L438" i="7"/>
  <c r="M438" i="7"/>
  <c r="N438" i="7"/>
  <c r="O438" i="7"/>
  <c r="P438" i="7"/>
  <c r="D443" i="7"/>
  <c r="E443" i="7"/>
  <c r="F443" i="7"/>
  <c r="G443" i="7"/>
  <c r="H443" i="7"/>
  <c r="I443" i="7"/>
  <c r="J443" i="7"/>
  <c r="K443" i="7"/>
  <c r="L443" i="7"/>
  <c r="M443" i="7"/>
  <c r="N443" i="7"/>
  <c r="O443" i="7"/>
  <c r="P443" i="7"/>
  <c r="D448" i="7"/>
  <c r="E448" i="7"/>
  <c r="F448" i="7"/>
  <c r="G448" i="7"/>
  <c r="H448" i="7"/>
  <c r="I448" i="7"/>
  <c r="J448" i="7"/>
  <c r="K448" i="7"/>
  <c r="L448" i="7"/>
  <c r="M448" i="7"/>
  <c r="N448" i="7"/>
  <c r="O448" i="7"/>
  <c r="P448" i="7"/>
  <c r="D453" i="7"/>
  <c r="E453" i="7"/>
  <c r="F453" i="7"/>
  <c r="G453" i="7"/>
  <c r="H453" i="7"/>
  <c r="I453" i="7"/>
  <c r="J453" i="7"/>
  <c r="K453" i="7"/>
  <c r="L453" i="7"/>
  <c r="M453" i="7"/>
  <c r="N453" i="7"/>
  <c r="O453" i="7"/>
  <c r="P453" i="7"/>
  <c r="D458" i="7"/>
  <c r="E458" i="7"/>
  <c r="F458" i="7"/>
  <c r="G458" i="7"/>
  <c r="H458" i="7"/>
  <c r="I458" i="7"/>
  <c r="J458" i="7"/>
  <c r="K458" i="7"/>
  <c r="L458" i="7"/>
  <c r="M458" i="7"/>
  <c r="N458" i="7"/>
  <c r="O458" i="7"/>
  <c r="P458" i="7"/>
  <c r="D462" i="7"/>
  <c r="E462" i="7"/>
  <c r="F462" i="7"/>
  <c r="G462" i="7"/>
  <c r="H462" i="7"/>
  <c r="I462" i="7"/>
  <c r="J462" i="7"/>
  <c r="K462" i="7"/>
  <c r="L462" i="7"/>
  <c r="M462" i="7"/>
  <c r="N462" i="7"/>
  <c r="O462" i="7"/>
  <c r="P462" i="7"/>
  <c r="D467" i="7"/>
  <c r="E467" i="7"/>
  <c r="F467" i="7"/>
  <c r="G467" i="7"/>
  <c r="H467" i="7"/>
  <c r="I467" i="7"/>
  <c r="J467" i="7"/>
  <c r="K467" i="7"/>
  <c r="L467" i="7"/>
  <c r="M467" i="7"/>
  <c r="N467" i="7"/>
  <c r="O467" i="7"/>
  <c r="P467" i="7"/>
  <c r="D471" i="7"/>
  <c r="E471" i="7"/>
  <c r="F471" i="7"/>
  <c r="G471" i="7"/>
  <c r="H471" i="7"/>
  <c r="I471" i="7"/>
  <c r="J471" i="7"/>
  <c r="K471" i="7"/>
  <c r="L471" i="7"/>
  <c r="M471" i="7"/>
  <c r="N471" i="7"/>
  <c r="O471" i="7"/>
  <c r="P471" i="7"/>
  <c r="D475" i="7"/>
  <c r="E475" i="7"/>
  <c r="F475" i="7"/>
  <c r="G475" i="7"/>
  <c r="H475" i="7"/>
  <c r="I475" i="7"/>
  <c r="J475" i="7"/>
  <c r="K475" i="7"/>
  <c r="L475" i="7"/>
  <c r="M475" i="7"/>
  <c r="N475" i="7"/>
  <c r="O475" i="7"/>
  <c r="P475" i="7"/>
  <c r="D486" i="7"/>
  <c r="E486" i="7"/>
  <c r="F486" i="7"/>
  <c r="G486" i="7"/>
  <c r="H486" i="7"/>
  <c r="I486" i="7"/>
  <c r="J486" i="7"/>
  <c r="K486" i="7"/>
  <c r="L486" i="7"/>
  <c r="M486" i="7"/>
  <c r="N486" i="7"/>
  <c r="O486" i="7"/>
  <c r="P486" i="7"/>
  <c r="D8" i="7"/>
  <c r="E8" i="7"/>
  <c r="F8" i="7"/>
  <c r="G8" i="7"/>
  <c r="H8" i="7"/>
  <c r="I8" i="7"/>
  <c r="J8" i="7"/>
  <c r="K8" i="7"/>
  <c r="L8" i="7"/>
  <c r="M8" i="7"/>
  <c r="N8" i="7"/>
  <c r="O8" i="7"/>
  <c r="P8" i="7"/>
  <c r="D18" i="7"/>
  <c r="E18" i="7"/>
  <c r="F18" i="7"/>
  <c r="G18" i="7"/>
  <c r="H18" i="7"/>
  <c r="I18" i="7"/>
  <c r="J18" i="7"/>
  <c r="K18" i="7"/>
  <c r="L18" i="7"/>
  <c r="M18" i="7"/>
  <c r="N18" i="7"/>
  <c r="O18" i="7"/>
  <c r="P18" i="7"/>
  <c r="D27" i="7"/>
  <c r="E27" i="7"/>
  <c r="F27" i="7"/>
  <c r="G27" i="7"/>
  <c r="H27" i="7"/>
  <c r="I27" i="7"/>
  <c r="J27" i="7"/>
  <c r="K27" i="7"/>
  <c r="L27" i="7"/>
  <c r="M27" i="7"/>
  <c r="N27" i="7"/>
  <c r="O27" i="7"/>
  <c r="P27" i="7"/>
  <c r="D38" i="7"/>
  <c r="E38" i="7"/>
  <c r="F38" i="7"/>
  <c r="G38" i="7"/>
  <c r="H38" i="7"/>
  <c r="I38" i="7"/>
  <c r="J38" i="7"/>
  <c r="K38" i="7"/>
  <c r="L38" i="7"/>
  <c r="M38" i="7"/>
  <c r="N38" i="7"/>
  <c r="O38" i="7"/>
  <c r="P38" i="7"/>
  <c r="D47" i="7"/>
  <c r="E47" i="7"/>
  <c r="F47" i="7"/>
  <c r="G47" i="7"/>
  <c r="H47" i="7"/>
  <c r="I47" i="7"/>
  <c r="J47" i="7"/>
  <c r="K47" i="7"/>
  <c r="L47" i="7"/>
  <c r="M47" i="7"/>
  <c r="N47" i="7"/>
  <c r="O47" i="7"/>
  <c r="P47" i="7"/>
  <c r="D57" i="7"/>
  <c r="E57" i="7"/>
  <c r="F57" i="7"/>
  <c r="G57" i="7"/>
  <c r="H57" i="7"/>
  <c r="I57" i="7"/>
  <c r="J57" i="7"/>
  <c r="K57" i="7"/>
  <c r="L57" i="7"/>
  <c r="M57" i="7"/>
  <c r="N57" i="7"/>
  <c r="O57" i="7"/>
  <c r="P57" i="7"/>
  <c r="D68" i="7"/>
  <c r="E68" i="7"/>
  <c r="F68" i="7"/>
  <c r="G68" i="7"/>
  <c r="H68" i="7"/>
  <c r="I68" i="7"/>
  <c r="J68" i="7"/>
  <c r="K68" i="7"/>
  <c r="L68" i="7"/>
  <c r="M68" i="7"/>
  <c r="N68" i="7"/>
  <c r="O68" i="7"/>
  <c r="P68" i="7"/>
  <c r="D128" i="7"/>
  <c r="E128" i="7"/>
  <c r="F128" i="7"/>
  <c r="G128" i="7"/>
  <c r="H128" i="7"/>
  <c r="I128" i="7"/>
  <c r="J128" i="7"/>
  <c r="K128" i="7"/>
  <c r="L128" i="7"/>
  <c r="M128" i="7"/>
  <c r="N128" i="7"/>
  <c r="O128" i="7"/>
  <c r="P128" i="7"/>
  <c r="G129" i="7"/>
  <c r="I129" i="7"/>
  <c r="K129" i="7"/>
  <c r="M129" i="7"/>
  <c r="N129" i="7"/>
  <c r="P129" i="7"/>
  <c r="D129" i="7"/>
  <c r="E129" i="7" s="1"/>
  <c r="F129" i="7"/>
  <c r="H129" i="7"/>
  <c r="J129" i="7"/>
  <c r="L129" i="7"/>
  <c r="O129" i="7"/>
  <c r="D138" i="7"/>
  <c r="E138" i="7" s="1"/>
  <c r="F138" i="7"/>
  <c r="G138" i="7"/>
  <c r="H138" i="7"/>
  <c r="I138" i="7"/>
  <c r="J138" i="7"/>
  <c r="K138" i="7"/>
  <c r="L138" i="7"/>
  <c r="M138" i="7"/>
  <c r="N138" i="7"/>
  <c r="O138" i="7"/>
  <c r="P138" i="7"/>
  <c r="D147" i="7"/>
  <c r="E147" i="7" s="1"/>
  <c r="F147" i="7"/>
  <c r="G147" i="7"/>
  <c r="H147" i="7"/>
  <c r="I147" i="7"/>
  <c r="J147" i="7"/>
  <c r="K147" i="7"/>
  <c r="L147" i="7"/>
  <c r="M147" i="7"/>
  <c r="N147" i="7"/>
  <c r="O147" i="7"/>
  <c r="P147" i="7"/>
  <c r="D156" i="7"/>
  <c r="E156" i="7" s="1"/>
  <c r="F156" i="7"/>
  <c r="G156" i="7"/>
  <c r="H156" i="7"/>
  <c r="I156" i="7"/>
  <c r="J156" i="7"/>
  <c r="K156" i="7"/>
  <c r="L156" i="7"/>
  <c r="M156" i="7"/>
  <c r="N156" i="7"/>
  <c r="O156" i="7"/>
  <c r="P156" i="7"/>
  <c r="D166" i="7"/>
  <c r="E166" i="7" s="1"/>
  <c r="F166" i="7"/>
  <c r="G166" i="7"/>
  <c r="H166" i="7"/>
  <c r="I166" i="7"/>
  <c r="J166" i="7"/>
  <c r="K166" i="7"/>
  <c r="L166" i="7"/>
  <c r="M166" i="7"/>
  <c r="N166" i="7"/>
  <c r="O166" i="7"/>
  <c r="P166" i="7"/>
  <c r="D173" i="7"/>
  <c r="E173" i="7" s="1"/>
  <c r="F173" i="7"/>
  <c r="G173" i="7"/>
  <c r="H173" i="7"/>
  <c r="I173" i="7"/>
  <c r="J173" i="7"/>
  <c r="K173" i="7"/>
  <c r="L173" i="7"/>
  <c r="M173" i="7"/>
  <c r="N173" i="7"/>
  <c r="O173" i="7"/>
  <c r="P173" i="7"/>
  <c r="D183" i="7"/>
  <c r="E183" i="7" s="1"/>
  <c r="F183" i="7"/>
  <c r="G183" i="7"/>
  <c r="H183" i="7"/>
  <c r="I183" i="7"/>
  <c r="J183" i="7"/>
  <c r="K183" i="7"/>
  <c r="L183" i="7"/>
  <c r="M183" i="7"/>
  <c r="N183" i="7"/>
  <c r="O183" i="7"/>
  <c r="P183" i="7"/>
  <c r="D192" i="7"/>
  <c r="E192" i="7" s="1"/>
  <c r="F192" i="7"/>
  <c r="G192" i="7"/>
  <c r="H192" i="7"/>
  <c r="I192" i="7"/>
  <c r="J192" i="7"/>
  <c r="K192" i="7"/>
  <c r="L192" i="7"/>
  <c r="M192" i="7"/>
  <c r="N192" i="7"/>
  <c r="O192" i="7"/>
  <c r="P192" i="7"/>
  <c r="D202" i="7"/>
  <c r="E202" i="7" s="1"/>
  <c r="F202" i="7"/>
  <c r="G202" i="7"/>
  <c r="H202" i="7"/>
  <c r="I202" i="7"/>
  <c r="J202" i="7"/>
  <c r="K202" i="7"/>
  <c r="L202" i="7"/>
  <c r="M202" i="7"/>
  <c r="N202" i="7"/>
  <c r="O202" i="7"/>
  <c r="P202" i="7"/>
  <c r="D211" i="7"/>
  <c r="E211" i="7" s="1"/>
  <c r="F211" i="7"/>
  <c r="G211" i="7"/>
  <c r="H211" i="7"/>
  <c r="I211" i="7"/>
  <c r="J211" i="7"/>
  <c r="K211" i="7"/>
  <c r="L211" i="7"/>
  <c r="M211" i="7"/>
  <c r="N211" i="7"/>
  <c r="O211" i="7"/>
  <c r="P211" i="7"/>
  <c r="D220" i="7"/>
  <c r="E220" i="7" s="1"/>
  <c r="F220" i="7"/>
  <c r="G220" i="7"/>
  <c r="H220" i="7"/>
  <c r="I220" i="7"/>
  <c r="J220" i="7"/>
  <c r="K220" i="7"/>
  <c r="L220" i="7"/>
  <c r="M220" i="7"/>
  <c r="N220" i="7"/>
  <c r="O220" i="7"/>
  <c r="P220" i="7"/>
  <c r="D238" i="7"/>
  <c r="E238" i="7" s="1"/>
  <c r="F238" i="7"/>
  <c r="G238" i="7"/>
  <c r="H238" i="7"/>
  <c r="I238" i="7"/>
  <c r="J238" i="7"/>
  <c r="K238" i="7"/>
  <c r="L238" i="7"/>
  <c r="M238" i="7"/>
  <c r="N238" i="7"/>
  <c r="O238" i="7"/>
  <c r="P238" i="7"/>
  <c r="D247" i="7"/>
  <c r="E247" i="7" s="1"/>
  <c r="F247" i="7"/>
  <c r="G247" i="7"/>
  <c r="H247" i="7"/>
  <c r="I247" i="7"/>
  <c r="J247" i="7"/>
  <c r="K247" i="7"/>
  <c r="L247" i="7"/>
  <c r="M247" i="7"/>
  <c r="N247" i="7"/>
  <c r="O247" i="7"/>
  <c r="P247" i="7"/>
  <c r="D256" i="7"/>
  <c r="E256" i="7" s="1"/>
  <c r="F256" i="7"/>
  <c r="G256" i="7"/>
  <c r="H256" i="7"/>
  <c r="I256" i="7"/>
  <c r="J256" i="7"/>
  <c r="K256" i="7"/>
  <c r="L256" i="7"/>
  <c r="M256" i="7"/>
  <c r="N256" i="7"/>
  <c r="O256" i="7"/>
  <c r="P256" i="7"/>
  <c r="D265" i="7"/>
  <c r="E265" i="7" s="1"/>
  <c r="F265" i="7"/>
  <c r="G265" i="7"/>
  <c r="H265" i="7"/>
  <c r="I265" i="7"/>
  <c r="J265" i="7"/>
  <c r="K265" i="7"/>
  <c r="L265" i="7"/>
  <c r="M265" i="7"/>
  <c r="N265" i="7"/>
  <c r="O265" i="7"/>
  <c r="P265" i="7"/>
  <c r="D274" i="7"/>
  <c r="E274" i="7" s="1"/>
  <c r="F274" i="7"/>
  <c r="G274" i="7"/>
  <c r="H274" i="7"/>
  <c r="I274" i="7"/>
  <c r="J274" i="7"/>
  <c r="K274" i="7"/>
  <c r="L274" i="7"/>
  <c r="M274" i="7"/>
  <c r="N274" i="7"/>
  <c r="O274" i="7"/>
  <c r="P274" i="7"/>
  <c r="D283" i="7"/>
  <c r="E283" i="7" s="1"/>
  <c r="F283" i="7"/>
  <c r="G283" i="7"/>
  <c r="H283" i="7"/>
  <c r="I283" i="7"/>
  <c r="J283" i="7"/>
  <c r="K283" i="7"/>
  <c r="L283" i="7"/>
  <c r="M283" i="7"/>
  <c r="N283" i="7"/>
  <c r="O283" i="7"/>
  <c r="P283" i="7"/>
  <c r="D292" i="7"/>
  <c r="E292" i="7" s="1"/>
  <c r="F292" i="7"/>
  <c r="G292" i="7"/>
  <c r="H292" i="7"/>
  <c r="I292" i="7"/>
  <c r="J292" i="7"/>
  <c r="K292" i="7"/>
  <c r="L292" i="7"/>
  <c r="M292" i="7"/>
  <c r="N292" i="7"/>
  <c r="O292" i="7"/>
  <c r="P292" i="7"/>
  <c r="D301" i="7"/>
  <c r="E301" i="7" s="1"/>
  <c r="F301" i="7"/>
  <c r="G301" i="7"/>
  <c r="H301" i="7"/>
  <c r="I301" i="7"/>
  <c r="J301" i="7"/>
  <c r="K301" i="7"/>
  <c r="L301" i="7"/>
  <c r="M301" i="7"/>
  <c r="N301" i="7"/>
  <c r="O301" i="7"/>
  <c r="P301" i="7"/>
  <c r="D340" i="7"/>
  <c r="E340" i="7" s="1"/>
  <c r="F340" i="7"/>
  <c r="G340" i="7"/>
  <c r="H340" i="7"/>
  <c r="I340" i="7"/>
  <c r="J340" i="7"/>
  <c r="K340" i="7"/>
  <c r="L340" i="7"/>
  <c r="M340" i="7"/>
  <c r="N340" i="7"/>
  <c r="O340" i="7"/>
  <c r="P340" i="7"/>
  <c r="D348" i="7"/>
  <c r="E348" i="7"/>
  <c r="F348" i="7"/>
  <c r="G348" i="7"/>
  <c r="H348" i="7"/>
  <c r="I348" i="7"/>
  <c r="J348" i="7"/>
  <c r="K348" i="7"/>
  <c r="L348" i="7"/>
  <c r="M348" i="7"/>
  <c r="N348" i="7"/>
  <c r="O348" i="7"/>
  <c r="P348" i="7"/>
  <c r="D356" i="7"/>
  <c r="E356" i="7"/>
  <c r="F356" i="7"/>
  <c r="G356" i="7"/>
  <c r="H356" i="7"/>
  <c r="I356" i="7"/>
  <c r="J356" i="7"/>
  <c r="K356" i="7"/>
  <c r="L356" i="7"/>
  <c r="M356" i="7"/>
  <c r="N356" i="7"/>
  <c r="O356" i="7"/>
  <c r="P356" i="7"/>
  <c r="D364" i="7"/>
  <c r="E364" i="7"/>
  <c r="F364" i="7"/>
  <c r="G364" i="7"/>
  <c r="H364" i="7"/>
  <c r="I364" i="7"/>
  <c r="J364" i="7"/>
  <c r="K364" i="7"/>
  <c r="L364" i="7"/>
  <c r="M364" i="7"/>
  <c r="N364" i="7"/>
  <c r="O364" i="7"/>
  <c r="P364" i="7"/>
  <c r="D372" i="7"/>
  <c r="E372" i="7"/>
  <c r="F372" i="7"/>
  <c r="G372" i="7"/>
  <c r="H372" i="7"/>
  <c r="I372" i="7"/>
  <c r="J372" i="7"/>
  <c r="K372" i="7"/>
  <c r="L372" i="7"/>
  <c r="M372" i="7"/>
  <c r="N372" i="7"/>
  <c r="O372" i="7"/>
  <c r="P372" i="7"/>
  <c r="D378" i="7"/>
  <c r="E378" i="7"/>
  <c r="F378" i="7"/>
  <c r="G378" i="7"/>
  <c r="H378" i="7"/>
  <c r="I378" i="7"/>
  <c r="J378" i="7"/>
  <c r="K378" i="7"/>
  <c r="L378" i="7"/>
  <c r="M378" i="7"/>
  <c r="N378" i="7"/>
  <c r="O378" i="7"/>
  <c r="P378" i="7"/>
  <c r="E379" i="7"/>
  <c r="F379" i="7"/>
  <c r="H379" i="7"/>
  <c r="I379" i="7"/>
  <c r="J379" i="7"/>
  <c r="K379" i="7"/>
  <c r="L379" i="7"/>
  <c r="M379" i="7"/>
  <c r="N379" i="7"/>
  <c r="O379" i="7"/>
  <c r="P379" i="7"/>
  <c r="D379" i="7"/>
  <c r="G37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<sst xmlns="http://schemas.openxmlformats.org/spreadsheetml/2006/main" count="13025" uniqueCount="6065">
  <si>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</si>
  <si>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</si>
  <si>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</si>
  <si>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</si>
  <si>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</si>
  <si>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</si>
  <si>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</si>
  <si>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</si>
  <si>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</si>
  <si>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</si>
  <si>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</si>
  <si>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</si>
  <si>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BAŞVURAN BİRİM SAYISI</t>
  </si>
  <si>
    <t>2026 yılında başvuru yapan farklı birim (anabilim dalı/enstitü) sayısı</t>
  </si>
  <si>
    <t>BAŞVURAN ARAŞTIRMACI SAYISI</t>
  </si>
  <si>
    <t>2026 yılında başvuru yapan farklı sorumlu araştırmacı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</si>
  <si>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</si>
  <si>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</si>
  <si>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</si>
  <si>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</si>
  <si>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</si>
  <si>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</si>
  <si>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</si>
  <si>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</si>
  <si>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</si>
  <si>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</si>
  <si>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</si>
  <si>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</si>
  <si>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</si>
  <si>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</si>
  <si>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</si>
  <si>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</si>
  <si>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</si>
  <si>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</si>
  <si>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</si>
  <si>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</si>
  <si>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</si>
  <si>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</si>
  <si>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</si>
  <si>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</si>
  <si>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</si>
  <si>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</si>
  <si>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</si>
  <si>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</si>
  <si>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</si>
  <si>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</si>
  <si>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</si>
  <si>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</si>
  <si>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</si>
  <si>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</si>
  <si>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</si>
  <si>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</si>
  <si>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</si>
  <si>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</si>
  <si>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</si>
  <si>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</si>
  <si>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</si>
  <si>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</si>
  <si>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</si>
  <si>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</si>
  <si>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</si>
  <si>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YRD_SIRA_ADI</t>
  </si>
  <si>
    <t>YRD_ANAHTAR</t>
  </si>
  <si>
    <t>YRD_BENZERSİZ_SIRA</t>
  </si>
  <si>
    <t>YRD_ALFA_SIRA</t>
  </si>
  <si>
    <t>YRD2_BIRIM_SIRA</t>
  </si>
  <si>
    <t>YRD2_BIRIM_ILK</t>
  </si>
  <si>
    <t>YRD2_ARAS_SIRA</t>
  </si>
  <si>
    <t>YRD2_ARAS_ILK</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</si>
  <si>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</si>
  <si>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</si>
  <si>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</si>
  <si>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</si>
  <si>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</si>
  <si>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</si>
  <si>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</si>
  <si>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</si>
  <si>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</si>
  <si>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</si>
  <si>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</si>
  <si>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</si>
  <si>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</si>
  <si>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</si>
  <si>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</si>
  <si>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</si>
  <si>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</si>
  <si>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</si>
  <si>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</si>
  <si>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</si>
  <si>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</si>
  <si>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</si>
  <si>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</si>
  <si>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</si>
  <si>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</si>
  <si>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</si>
  <si>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</si>
  <si>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</si>
  <si>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</si>
  <si>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</si>
  <si>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</si>
  <si>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</si>
  <si>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</si>
  <si>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</si>
  <si>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</si>
  <si>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</si>
  <si>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</si>
  <si>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</si>
  <si>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</si>
  <si>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</si>
  <si>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</si>
  <si>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</si>
  <si>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</si>
  <si>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</si>
  <si>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</si>
  <si>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</si>
  <si>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</si>
  <si>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</si>
  <si>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</si>
  <si>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</si>
  <si>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</si>
  <si>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</si>
  <si>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</si>
  <si>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</si>
  <si>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</si>
  <si>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</si>
  <si>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</si>
  <si>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</si>
  <si>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</si>
  <si>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</si>
  <si>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</si>
  <si>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</si>
  <si>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</si>
  <si>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</si>
  <si>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</si>
  <si>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</si>
  <si>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</si>
  <si>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</si>
  <si>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</si>
  <si>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</si>
  <si>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</si>
  <si>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</si>
  <si>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</si>
  <si>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</si>
  <si>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</si>
  <si>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</si>
  <si>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</si>
  <si>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</si>
  <si>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</si>
  <si>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</si>
  <si>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</si>
  <si>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</si>
  <si>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</si>
  <si>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</si>
  <si>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</si>
  <si>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</si>
  <si>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</si>
  <si>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</si>
  <si>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</si>
  <si>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</si>
  <si>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</si>
  <si>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</si>
  <si>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</si>
  <si>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</si>
  <si>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</si>
  <si>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</si>
  <si>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</si>
  <si>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</si>
  <si>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</si>
  <si>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</si>
  <si>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</si>
  <si>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</si>
  <si>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</si>
  <si>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</si>
  <si>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</si>
  <si>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</si>
  <si>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</si>
  <si>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</si>
  <si>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</si>
  <si>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</si>
  <si>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</si>
  <si>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</si>
  <si>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</si>
  <si>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</si>
  <si>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</si>
  <si>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</si>
  <si>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</si>
  <si>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</si>
  <si>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</si>
  <si>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</si>
  <si>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</si>
  <si>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</si>
  <si>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</si>
  <si>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</si>
  <si>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</si>
  <si>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</si>
  <si>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</si>
  <si>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</si>
  <si>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</si>
  <si>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</si>
  <si>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</si>
  <si>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</si>
  <si>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</si>
  <si>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</si>
  <si>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</si>
  <si>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</si>
  <si>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</si>
  <si>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</si>
  <si>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</si>
  <si>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</si>
  <si>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</si>
  <si>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</si>
  <si>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</si>
  <si>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</si>
  <si>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</si>
  <si>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</si>
  <si>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</si>
  <si>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</si>
  <si>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</si>
  <si>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</si>
  <si>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</si>
  <si>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</si>
  <si>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</si>
  <si>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</si>
  <si>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</si>
  <si>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</si>
  <si>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</si>
  <si>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</si>
  <si>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</si>
  <si>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</si>
  <si>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</si>
  <si>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</si>
  <si>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</si>
  <si>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</si>
  <si>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</si>
  <si>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</si>
  <si>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</si>
  <si>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</si>
  <si>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</si>
  <si>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</si>
  <si>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</si>
  <si>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</si>
  <si>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</si>
  <si>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</si>
  <si>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</si>
  <si>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</si>
  <si>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</si>
  <si>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</si>
  <si>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</si>
  <si>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</si>
  <si>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</si>
  <si>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</si>
  <si>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</si>
  <si>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</si>
  <si>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</si>
  <si>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</si>
  <si>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</si>
  <si>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</si>
  <si>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</si>
  <si>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</si>
  <si>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</si>
  <si>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</si>
  <si>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</si>
  <si>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</si>
  <si>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</si>
  <si>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</si>
  <si>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</si>
  <si>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</si>
  <si>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</si>
  <si>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</si>
  <si>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</si>
  <si>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</si>
  <si>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</si>
  <si>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</si>
  <si>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</si>
  <si>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</si>
  <si>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</si>
  <si>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</si>
  <si>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</si>
  <si>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</si>
  <si>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</si>
  <si>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</si>
  <si>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</si>
  <si>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</si>
  <si>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</si>
  <si>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</si>
  <si>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</si>
  <si>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</si>
  <si>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</si>
  <si>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</si>
  <si>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</si>
  <si>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</si>
  <si>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</si>
  <si>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</si>
  <si>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</si>
  <si>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</si>
  <si>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</si>
  <si>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</si>
  <si>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</si>
  <si>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</si>
  <si>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</si>
  <si>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</si>
  <si>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</si>
  <si>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</si>
  <si>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</si>
  <si>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</si>
  <si>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</si>
  <si>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</si>
  <si>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</si>
  <si>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</si>
  <si>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</si>
  <si>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</si>
  <si>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</si>
  <si>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</si>
  <si>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</si>
  <si>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</si>
  <si>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</si>
  <si>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</si>
  <si>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</si>
  <si>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</si>
  <si>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</si>
  <si>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</si>
  <si>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</si>
  <si>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</si>
  <si>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</si>
  <si>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</si>
  <si>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</si>
  <si>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</si>
  <si>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</si>
  <si>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</si>
  <si>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</si>
  <si>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</si>
  <si>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</si>
  <si>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</si>
  <si>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</si>
  <si>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</si>
  <si>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</si>
  <si>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</si>
  <si>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</si>
  <si>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</si>
  <si>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</si>
  <si>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</si>
  <si>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</si>
  <si>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</si>
  <si>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</si>
  <si>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</si>
  <si>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</si>
  <si>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</si>
  <si>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</si>
  <si>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</si>
  <si>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</si>
  <si>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</si>
  <si>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</si>
  <si>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</si>
  <si>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</si>
  <si>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</si>
  <si>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</si>
  <si>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</si>
  <si>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</si>
  <si>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</si>
  <si>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</si>
  <si>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</si>
  <si>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</si>
  <si>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</si>
  <si>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</si>
  <si>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</si>
  <si>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</si>
  <si>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</si>
  <si>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</si>
  <si>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</si>
  <si>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</si>
  <si>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</si>
  <si>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</si>
  <si>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</si>
  <si>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</si>
  <si>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</si>
  <si>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</si>
  <si>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</si>
  <si>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</si>
  <si>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</si>
  <si>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</si>
  <si>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</si>
  <si>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</si>
  <si>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</si>
  <si>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</si>
  <si>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</si>
  <si>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</si>
  <si>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</si>
  <si>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</si>
  <si>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</si>
  <si>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</si>
  <si>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</si>
  <si>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</si>
  <si>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</si>
  <si>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</si>
  <si>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</si>
  <si>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</si>
  <si>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</si>
  <si>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</si>
  <si>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</si>
  <si>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</si>
  <si>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</si>
  <si>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</si>
  <si>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</si>
  <si>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</si>
  <si>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</si>
  <si>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</si>
  <si>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</si>
  <si>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</si>
  <si>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</si>
  <si>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</si>
  <si>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</si>
  <si>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</si>
  <si>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</si>
  <si>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</si>
  <si>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</si>
  <si>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</si>
  <si>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</si>
  <si>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</si>
  <si>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</si>
  <si>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</si>
  <si>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</si>
  <si>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</si>
  <si>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</si>
  <si>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</si>
  <si>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</si>
  <si>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</si>
  <si>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</si>
  <si>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</si>
  <si>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</si>
  <si>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</si>
  <si>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</si>
  <si>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</si>
  <si>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</si>
  <si>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</si>
  <si>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</si>
  <si>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</si>
  <si>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</si>
  <si>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</si>
  <si>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</si>
  <si>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</si>
  <si>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</si>
  <si>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</si>
  <si>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</si>
  <si>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</si>
  <si>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</si>
  <si>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</si>
  <si>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</si>
  <si>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</si>
  <si>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</si>
  <si>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</si>
  <si>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</si>
  <si>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</si>
  <si>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</si>
  <si>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</si>
  <si>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</si>
  <si>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</si>
  <si>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</si>
  <si>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</si>
  <si>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</si>
  <si>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</si>
  <si>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</si>
  <si>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</si>
  <si>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</si>
  <si>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</si>
  <si>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</si>
  <si>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</si>
  <si>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</si>
  <si>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</si>
  <si>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</si>
  <si>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</si>
  <si>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</si>
  <si>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</si>
  <si>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</si>
  <si>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</si>
  <si>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</si>
  <si>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</si>
  <si>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</si>
  <si>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</si>
  <si>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</si>
  <si>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</si>
  <si>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</si>
  <si>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</si>
  <si>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</si>
  <si>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</si>
  <si>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</si>
  <si>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</si>
  <si>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</si>
  <si>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</si>
  <si>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</si>
  <si>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</si>
  <si>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</si>
  <si>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</si>
  <si>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</si>
  <si>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</si>
  <si>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</si>
  <si>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</si>
  <si>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</si>
  <si>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</si>
  <si>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</si>
  <si>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</si>
  <si>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</si>
  <si>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</si>
  <si>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</si>
  <si>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</si>
  <si>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</si>
  <si>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</si>
  <si>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</si>
  <si>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</si>
  <si>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</si>
  <si>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</si>
  <si>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</si>
  <si>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</si>
  <si>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</si>
  <si>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</si>
  <si>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</si>
  <si>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</si>
  <si>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</si>
  <si>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</si>
  <si>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</si>
  <si>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</si>
  <si>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</si>
  <si>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</si>
  <si>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</si>
  <si>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</si>
  <si>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</si>
  <si>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</si>
  <si>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</si>
  <si>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</si>
  <si>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</si>
  <si>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</si>
  <si>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</si>
  <si>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</si>
  <si>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</si>
  <si>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</si>
  <si>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</si>
  <si>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</si>
  <si>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</si>
  <si>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</si>
  <si>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</si>
  <si>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</si>
  <si>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</si>
  <si>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</si>
  <si>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</si>
  <si>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</si>
  <si>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</si>
  <si>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</si>
  <si>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</si>
  <si>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</si>
  <si>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</si>
  <si>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</si>
  <si>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</si>
  <si>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</si>
  <si>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</si>
  <si>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</si>
  <si>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</si>
  <si>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</si>
  <si>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</si>
  <si>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</si>
  <si>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</si>
  <si>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</si>
  <si>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</si>
  <si>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</si>
  <si>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</si>
  <si>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</si>
  <si>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</si>
  <si>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</si>
  <si>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</si>
  <si>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</si>
  <si>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</si>
  <si>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</si>
  <si>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</si>
  <si>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</si>
  <si>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</si>
  <si>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</si>
  <si>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</si>
  <si>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</si>
  <si>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</si>
  <si>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</si>
  <si>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</si>
  <si>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</si>
  <si>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</si>
  <si>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</si>
  <si>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</si>
  <si>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</si>
  <si>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</si>
  <si>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</si>
  <si>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</si>
  <si>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</si>
  <si>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</si>
  <si>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</si>
  <si>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</si>
  <si>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</si>
  <si>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</si>
  <si>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</si>
  <si>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</si>
  <si>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</si>
  <si>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</si>
  <si>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</si>
  <si>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</si>
  <si>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</si>
  <si>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</si>
  <si>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</si>
  <si>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</si>
  <si>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</si>
  <si>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</si>
  <si>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</si>
  <si>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</si>
  <si>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</si>
  <si>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</si>
  <si>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</si>
  <si>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</si>
  <si>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</si>
  <si>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</si>
  <si>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</si>
  <si>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</si>
  <si>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</si>
  <si>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</si>
  <si>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</si>
  <si>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</si>
  <si>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</si>
  <si>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</si>
  <si>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</si>
  <si>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</si>
  <si>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</si>
  <si>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</si>
  <si>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</si>
  <si>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</si>
  <si>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</si>
  <si>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</si>
  <si>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</si>
  <si>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</si>
  <si>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</si>
  <si>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</si>
  <si>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</si>
  <si>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</si>
  <si>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</si>
  <si>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</si>
  <si>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</si>
  <si>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</si>
  <si>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</si>
  <si>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</si>
  <si>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</si>
  <si>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</si>
  <si>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</si>
  <si>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</si>
  <si>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</si>
  <si>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</si>
  <si>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</si>
  <si>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</si>
  <si>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</si>
  <si>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</si>
  <si>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</si>
  <si>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</si>
  <si>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</si>
  <si>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</si>
  <si>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</si>
  <si>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</si>
  <si>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</si>
  <si>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</si>
  <si>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</si>
  <si>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</si>
  <si>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</si>
  <si>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</si>
  <si>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</si>
  <si>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</si>
  <si>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</si>
  <si>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</si>
  <si>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</si>
  <si>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</si>
  <si>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</si>
  <si>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</si>
  <si>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</si>
  <si>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</si>
  <si>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</si>
  <si>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</si>
  <si>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</si>
  <si>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</si>
  <si>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</si>
  <si>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</si>
  <si>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</si>
  <si>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</si>
  <si>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</si>
  <si>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</si>
  <si>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</si>
  <si>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</si>
  <si>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</si>
  <si>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</si>
  <si>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</si>
  <si>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</si>
  <si>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</si>
  <si>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</si>
  <si>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</si>
  <si>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</si>
  <si>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</si>
  <si>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</si>
  <si>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</si>
  <si>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</si>
  <si>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</si>
  <si>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</si>
  <si>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</si>
  <si>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</si>
  <si>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</si>
  <si>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</si>
  <si>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</si>
  <si>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</si>
  <si>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</si>
  <si>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</si>
  <si>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</si>
  <si>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</si>
  <si>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</si>
  <si>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</si>
  <si>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</si>
  <si>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</si>
  <si>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</si>
  <si>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</si>
  <si>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</si>
  <si>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</si>
  <si>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</si>
  <si>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</si>
  <si>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</si>
  <si>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</si>
  <si>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</si>
  <si>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</si>
  <si>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</si>
  <si>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</si>
  <si>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</si>
  <si>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</si>
  <si>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</si>
  <si>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</si>
  <si>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</si>
  <si>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</si>
  <si>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</si>
  <si>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</si>
  <si>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</si>
  <si>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</si>
  <si>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</si>
  <si>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</si>
  <si>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</si>
  <si>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</si>
  <si>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</si>
  <si>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</si>
  <si>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</si>
  <si>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</si>
  <si>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</si>
  <si>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</si>
  <si>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</si>
  <si>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</si>
  <si>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</si>
  <si>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</si>
  <si>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</si>
  <si>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</si>
  <si>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</si>
  <si>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</si>
  <si>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</si>
  <si>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</si>
  <si>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</si>
  <si>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</si>
  <si>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</si>
  <si>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</si>
  <si>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</si>
  <si>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</si>
  <si>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</si>
  <si>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</si>
  <si>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</si>
  <si>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</si>
  <si>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</si>
  <si>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</si>
  <si>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</si>
  <si>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</si>
  <si>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</si>
  <si>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</si>
  <si>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</si>
  <si>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</si>
  <si>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</si>
  <si>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</si>
  <si>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</si>
  <si>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</si>
  <si>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</si>
  <si>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</si>
  <si>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</si>
  <si>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</si>
  <si>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</si>
  <si>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</si>
  <si>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</si>
  <si>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</si>
  <si>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</si>
  <si>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</si>
  <si>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</si>
  <si>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</si>
  <si>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</si>
  <si>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</si>
  <si>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</si>
  <si>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</si>
  <si>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</si>
  <si>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</si>
  <si>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</si>
  <si>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</si>
  <si>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</si>
  <si>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</si>
  <si>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</si>
  <si>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</si>
  <si>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</si>
  <si>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</si>
  <si>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</si>
  <si>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</si>
  <si>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</si>
  <si>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</si>
  <si>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</si>
  <si>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</si>
  <si>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</si>
  <si>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</si>
  <si>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</si>
  <si>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</si>
  <si>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</si>
  <si>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</si>
  <si>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</si>
  <si>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</si>
  <si>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</si>
  <si>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</si>
  <si>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</si>
  <si>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</si>
  <si>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</si>
  <si>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</si>
  <si>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</si>
  <si>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</si>
  <si>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</si>
  <si>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</si>
  <si>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</si>
  <si>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</si>
  <si>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</si>
  <si>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</si>
  <si>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</si>
  <si>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</si>
  <si>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</si>
  <si>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</si>
  <si>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</si>
  <si>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</si>
  <si>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</si>
  <si>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</si>
  <si>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</si>
  <si>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</si>
  <si>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</si>
  <si>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</si>
  <si>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</si>
  <si>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</si>
  <si>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</si>
  <si>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</si>
  <si>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</si>
  <si>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</si>
  <si>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</si>
  <si>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</si>
  <si>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</si>
  <si>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</si>
  <si>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</si>
  <si>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</si>
  <si>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</si>
  <si>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</si>
  <si>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</si>
  <si>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</si>
  <si>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</si>
  <si>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</si>
  <si>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</si>
  <si>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</si>
  <si>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</si>
  <si>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</si>
  <si>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</si>
  <si>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</si>
  <si>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</si>
  <si>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</si>
  <si>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</si>
  <si>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</si>
  <si>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</si>
  <si>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</si>
  <si>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</si>
  <si>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</si>
  <si>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</si>
  <si>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</si>
  <si>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</si>
  <si>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</si>
  <si>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</si>
  <si>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</si>
  <si>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</si>
  <si>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</si>
  <si>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</si>
  <si>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</si>
  <si>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</si>
  <si>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</si>
  <si>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</si>
  <si>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</si>
  <si>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</si>
  <si>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</si>
  <si>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</si>
  <si>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</si>
  <si>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</si>
  <si>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</si>
  <si>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</si>
  <si>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</si>
  <si>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</si>
  <si>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</si>
  <si>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</si>
  <si>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</si>
  <si>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</si>
  <si>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</si>
  <si>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</si>
  <si>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</si>
  <si>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</si>
  <si>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</si>
  <si>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</si>
  <si>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</si>
  <si>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</si>
  <si>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</si>
  <si>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</si>
  <si>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</si>
  <si>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</si>
  <si>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</si>
  <si>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</si>
  <si>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</si>
  <si>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</si>
  <si>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</si>
  <si>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</si>
  <si>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</si>
  <si>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</si>
  <si>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</si>
  <si>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</si>
  <si>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</si>
  <si>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</si>
  <si>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</si>
  <si>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</si>
  <si>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</si>
  <si>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</si>
  <si>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</si>
  <si>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</si>
  <si>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</si>
  <si>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</si>
  <si>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</si>
  <si>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</si>
  <si>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</si>
  <si>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</si>
  <si>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</si>
  <si>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</si>
  <si>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</si>
  <si>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</si>
  <si>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</si>
  <si>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</si>
  <si>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</si>
  <si>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</si>
  <si>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</si>
  <si>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</si>
  <si>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</si>
  <si>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</si>
  <si>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</si>
  <si>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</si>
  <si>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</si>
  <si>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</si>
  <si>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</si>
  <si>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</si>
  <si>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</si>
  <si>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</si>
  <si>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</si>
  <si>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</si>
  <si>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</si>
  <si>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</si>
  <si>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</si>
  <si>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</si>
  <si>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</si>
  <si>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</si>
  <si>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</si>
  <si>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</si>
  <si>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</si>
  <si>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</si>
  <si>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</si>
  <si>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</si>
  <si>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</si>
  <si>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</si>
  <si>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</si>
  <si>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</si>
  <si>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</si>
  <si>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</si>
  <si>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</si>
  <si>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</si>
  <si>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</si>
  <si>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</si>
  <si>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</si>
  <si>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</si>
  <si>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</si>
  <si>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</si>
  <si>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</si>
  <si>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</si>
  <si>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</si>
  <si>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</si>
  <si>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</si>
  <si>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</si>
  <si>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</si>
  <si>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</si>
  <si>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</si>
  <si>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</si>
  <si>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</si>
  <si>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</si>
  <si>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</si>
  <si>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</si>
  <si>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</si>
  <si>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</si>
  <si>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</si>
  <si>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</si>
  <si>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</si>
  <si>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</si>
  <si>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</si>
  <si>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</si>
  <si>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</si>
  <si>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 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</si>
  <si>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</si>
  <si>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</si>
  <si>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</si>
  <si>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</si>
  <si>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</si>
  <si>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</si>
  <si>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</si>
  <si>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</si>
  <si>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</si>
  <si>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</si>
  <si>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</si>
  <si>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</si>
  <si>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</si>
  <si>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</si>
  <si>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</si>
  <si>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</si>
  <si>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</si>
  <si>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</si>
  <si>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</si>
  <si>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</si>
  <si>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</si>
  <si>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</si>
  <si>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</si>
  <si>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</si>
  <si>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</si>
  <si>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</si>
  <si>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</si>
  <si>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</si>
  <si>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</si>
  <si>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</si>
  <si>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</si>
  <si>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</si>
  <si>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</si>
  <si>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</si>
  <si>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</si>
  <si>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</si>
  <si>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</si>
  <si>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</si>
  <si>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</si>
  <si>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</si>
  <si>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</si>
  <si>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</si>
  <si>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</si>
  <si>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</si>
  <si>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</si>
  <si>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</si>
  <si>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</si>
  <si>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</si>
  <si>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</si>
  <si>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</si>
  <si>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</si>
  <si>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</si>
  <si>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</si>
  <si>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</si>
  <si>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</si>
  <si>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</si>
  <si>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</si>
  <si>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</si>
  <si>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</si>
  <si>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</si>
  <si>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</si>
  <si>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</si>
  <si>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</si>
  <si>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</si>
  <si>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</si>
  <si>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</si>
  <si>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</si>
  <si>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</si>
  <si>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</si>
  <si>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</si>
  <si>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</si>
  <si>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</si>
  <si>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</si>
  <si>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</si>
  <si>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</si>
  <si>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</si>
  <si>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</si>
  <si>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</si>
  <si>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</si>
  <si>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</si>
  <si>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</si>
  <si>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</si>
  <si>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</si>
  <si>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</si>
  <si>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</si>
  <si>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</si>
  <si>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</si>
  <si>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</si>
  <si>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</si>
  <si>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</si>
  <si>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</si>
  <si>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</si>
  <si>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</si>
  <si>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</si>
  <si>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</si>
  <si>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</si>
  <si>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</si>
  <si>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</si>
  <si>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</si>
  <si>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</si>
  <si>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</si>
  <si>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</si>
  <si>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</si>
  <si>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</si>
  <si>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</si>
  <si>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</si>
  <si>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</si>
  <si>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</si>
  <si>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</si>
  <si>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</si>
  <si>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</si>
  <si>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</si>
  <si>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</si>
  <si>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</si>
  <si>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</si>
  <si>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</si>
  <si>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</si>
  <si>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</si>
  <si>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</si>
  <si>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</si>
  <si>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</si>
  <si>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</si>
  <si>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</si>
  <si>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</si>
  <si>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</si>
  <si>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</si>
  <si>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</si>
  <si>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</si>
  <si>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</si>
  <si>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</si>
  <si>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</si>
  <si>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</si>
  <si>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</si>
  <si>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</si>
  <si>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</si>
  <si>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</si>
  <si>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</si>
  <si>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</si>
  <si>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</si>
  <si>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</si>
  <si>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</si>
  <si>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</si>
  <si>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</si>
  <si>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</si>
  <si>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</si>
  <si>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</si>
  <si>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</si>
  <si>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</si>
  <si>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</si>
  <si>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</si>
  <si>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</si>
  <si>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</si>
  <si>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</si>
  <si>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</si>
  <si>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</si>
  <si>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</si>
  <si>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</si>
  <si>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</si>
  <si>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</si>
  <si>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</si>
  <si>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</si>
  <si>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</si>
  <si>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</si>
  <si>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</si>
  <si>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</si>
  <si>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</si>
  <si>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</si>
  <si>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</si>
  <si>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</si>
  <si>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</si>
  <si>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</si>
  <si>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</si>
  <si>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</si>
  <si>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</si>
  <si>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</si>
  <si>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</si>
  <si>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</si>
  <si>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</si>
  <si>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</si>
  <si>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</si>
  <si>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</si>
  <si>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</si>
  <si>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</si>
  <si>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</si>
  <si>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</si>
  <si>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</si>
  <si>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</si>
  <si>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</si>
  <si>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</si>
  <si>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</si>
  <si>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</si>
  <si>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</si>
  <si>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</si>
  <si>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</si>
  <si>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</si>
  <si>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</si>
  <si>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</si>
  <si>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</si>
  <si>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</si>
  <si>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</si>
  <si>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</si>
  <si>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</si>
  <si>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</si>
  <si>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</si>
  <si>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</si>
  <si>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</si>
  <si>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</si>
  <si>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</si>
  <si>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</si>
  <si>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</si>
  <si>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</si>
  <si>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</si>
  <si>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</si>
  <si>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</si>
  <si>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</si>
  <si>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</si>
  <si>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</si>
  <si>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</si>
  <si>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</si>
  <si>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</si>
  <si>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</si>
  <si>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</si>
  <si>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</si>
  <si>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</si>
  <si>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</si>
  <si>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</si>
  <si>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</si>
  <si>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</si>
  <si>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</si>
  <si>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</si>
  <si>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</si>
  <si>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</si>
  <si>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</si>
  <si>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</si>
  <si>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</si>
  <si>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</si>
  <si>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</si>
  <si>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</si>
  <si>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</si>
  <si>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</si>
  <si>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</si>
  <si>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</si>
  <si>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</si>
  <si>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</si>
  <si>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</si>
  <si>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</si>
  <si>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</si>
  <si>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</si>
  <si>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</si>
  <si>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</si>
  <si>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</si>
  <si>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</si>
  <si>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</si>
  <si>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</si>
  <si>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</si>
  <si>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</si>
  <si>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</si>
  <si>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</si>
  <si>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</si>
  <si>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</si>
  <si>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</si>
  <si>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</si>
  <si>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</si>
  <si>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</si>
  <si>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</si>
  <si>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</si>
  <si>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</si>
  <si>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</si>
  <si>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</si>
  <si>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</si>
  <si>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</si>
  <si>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</si>
  <si>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</si>
  <si>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</si>
  <si>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</si>
  <si>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</si>
  <si>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</si>
  <si>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</si>
  <si>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</si>
  <si>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</si>
  <si>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</si>
  <si>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</si>
  <si>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</si>
  <si>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</si>
  <si>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</si>
  <si>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</si>
  <si>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</si>
  <si>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</si>
  <si>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</si>
  <si>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</si>
  <si>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</si>
  <si>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</si>
  <si>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</si>
  <si>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</si>
  <si>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</si>
  <si>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</si>
  <si>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</si>
  <si>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</si>
  <si>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</si>
  <si>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</si>
  <si>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</si>
  <si>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</si>
  <si>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</si>
  <si>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</si>
  <si>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</si>
  <si>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</si>
  <si>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</si>
  <si>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</si>
  <si>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</si>
  <si>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</si>
  <si>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</si>
  <si>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</si>
  <si>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</si>
  <si>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</si>
  <si>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</si>
  <si>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</si>
  <si>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</si>
  <si>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</si>
  <si>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</si>
  <si>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</si>
  <si>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</si>
  <si>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</si>
  <si>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</si>
  <si>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</si>
  <si>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</si>
  <si>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</si>
  <si>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</si>
  <si>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</si>
  <si>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</si>
  <si>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</si>
  <si>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</si>
  <si>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</si>
  <si>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</si>
  <si>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</si>
  <si>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</si>
  <si>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</si>
  <si>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</si>
  <si>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</si>
  <si>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</si>
  <si>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</si>
  <si>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</si>
  <si>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</si>
  <si>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</si>
  <si>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</si>
  <si>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</si>
  <si>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</si>
  <si>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</si>
  <si>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</si>
  <si>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</si>
  <si>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</si>
  <si>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</si>
  <si>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</si>
  <si>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</si>
  <si>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</si>
  <si>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</si>
  <si>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</si>
  <si>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</si>
  <si>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</si>
  <si>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</si>
  <si>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</si>
  <si>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</si>
  <si>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</si>
  <si>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</si>
  <si>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</si>
  <si>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</si>
  <si>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</si>
  <si>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</si>
  <si>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</si>
  <si>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</si>
  <si>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</si>
  <si>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</si>
  <si>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</si>
  <si>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</si>
  <si>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</si>
  <si>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</si>
  <si>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</si>
  <si>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</si>
  <si>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</si>
  <si>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</si>
  <si>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</si>
  <si>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</si>
  <si>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</si>
  <si>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</si>
  <si>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</si>
  <si>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</si>
  <si>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</si>
  <si>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</si>
  <si>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</si>
  <si>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</si>
  <si>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</si>
  <si>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</si>
  <si>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</si>
  <si>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</si>
  <si>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</si>
  <si>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</si>
  <si>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</si>
  <si>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</si>
  <si>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</si>
  <si>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</si>
  <si>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</si>
  <si>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</si>
  <si>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</si>
  <si>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</si>
  <si>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</si>
  <si>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</si>
  <si>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</si>
  <si>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</si>
  <si>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</si>
  <si>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</si>
  <si>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</si>
  <si>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</si>
  <si>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</si>
  <si>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</si>
  <si>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</si>
  <si>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</si>
  <si>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</si>
  <si>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</si>
  <si>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</si>
  <si>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</si>
  <si>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</si>
  <si>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</si>
  <si>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</si>
  <si>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</si>
  <si>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</si>
  <si>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</si>
  <si>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</si>
  <si>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</si>
  <si>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</si>
  <si>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</si>
  <si>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</si>
  <si>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</si>
  <si>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</si>
  <si>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</si>
  <si>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</si>
  <si>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</si>
  <si>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</si>
  <si>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</si>
  <si>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</si>
  <si>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</si>
  <si>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</si>
  <si>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</si>
  <si>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</si>
  <si>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</si>
  <si>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</si>
  <si>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</si>
  <si>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</si>
  <si>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</si>
  <si>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</si>
  <si>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</si>
  <si>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</si>
  <si>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</si>
  <si>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</si>
  <si>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</si>
  <si>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</si>
  <si>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</si>
  <si>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</si>
  <si>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</si>
  <si>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</si>
  <si>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</si>
  <si>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</si>
  <si>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</si>
  <si>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</si>
  <si>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</si>
  <si>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</si>
  <si>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</si>
  <si>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</si>
  <si>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</si>
  <si>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</si>
  <si>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</si>
  <si>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</si>
  <si>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</si>
  <si>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</si>
  <si>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</si>
  <si>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</si>
  <si>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</si>
  <si>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</si>
  <si>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</si>
  <si>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</si>
  <si>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</si>
  <si>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</si>
  <si>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</si>
  <si>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</si>
  <si>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</si>
  <si>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</si>
  <si>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</si>
  <si>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</si>
  <si>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</si>
  <si>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</si>
  <si>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</si>
  <si>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</si>
  <si>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</si>
  <si>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</si>
  <si>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</si>
  <si>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</si>
  <si>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</si>
  <si>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</si>
  <si>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</si>
  <si>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</si>
  <si>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</si>
  <si>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</si>
  <si>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</si>
  <si>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</si>
  <si>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</si>
  <si>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</si>
  <si>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</si>
  <si>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</si>
  <si>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</si>
  <si>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</si>
  <si>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</si>
  <si>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</si>
  <si>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</si>
  <si>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</si>
  <si>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</si>
  <si>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</si>
  <si>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</si>
  <si>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</si>
  <si>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</si>
  <si>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</si>
  <si>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</si>
  <si>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</si>
  <si>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</si>
  <si>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</si>
  <si>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</si>
  <si>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</si>
  <si>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</si>
  <si>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</si>
  <si>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</si>
  <si>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</si>
  <si>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</si>
  <si>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</si>
  <si>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</si>
  <si>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</si>
  <si>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</si>
  <si>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</si>
  <si>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</si>
  <si>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</si>
  <si>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</si>
  <si>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</si>
  <si>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</si>
  <si>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</si>
  <si>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</si>
  <si>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</si>
  <si>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</si>
  <si>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</si>
  <si>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</si>
  <si>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</si>
  <si>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</si>
  <si>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</si>
  <si>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</si>
  <si>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</si>
  <si>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</si>
  <si>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</si>
  <si>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</si>
  <si>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</si>
  <si>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</si>
  <si>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</si>
  <si>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</si>
  <si>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</si>
  <si>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</si>
  <si>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</si>
  <si>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</si>
  <si>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</si>
  <si>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</si>
  <si>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</si>
  <si>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</si>
  <si>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</si>
  <si>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</si>
  <si>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</si>
  <si>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</si>
  <si>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</si>
  <si>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</si>
  <si>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</si>
  <si>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</si>
  <si>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</si>
  <si>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</si>
  <si>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</si>
  <si>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</si>
  <si>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</si>
  <si>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</si>
  <si>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</si>
  <si>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</si>
  <si>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</si>
  <si>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</si>
  <si>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</si>
  <si>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</si>
  <si>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</si>
  <si>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</si>
  <si>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</si>
  <si>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</si>
  <si>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</si>
  <si>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</si>
  <si>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</si>
  <si>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</si>
  <si>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</si>
  <si>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</si>
  <si>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</si>
  <si>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</si>
  <si>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</si>
  <si>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</si>
  <si>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</si>
  <si>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</si>
  <si>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</si>
  <si>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</si>
  <si>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</si>
  <si>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</si>
  <si>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</si>
  <si>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</si>
  <si>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</si>
  <si>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</si>
  <si>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</si>
  <si>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</si>
  <si>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</si>
  <si>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</si>
  <si>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</si>
  <si>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</si>
  <si>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</si>
  <si>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</si>
  <si>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</si>
  <si>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</si>
  <si>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</si>
  <si>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</si>
  <si>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</si>
  <si>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</si>
  <si>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</si>
  <si>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</si>
  <si>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</si>
  <si>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</si>
  <si>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</si>
  <si>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</si>
  <si>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</si>
  <si>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</si>
  <si>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</si>
  <si>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</si>
  <si>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</si>
  <si>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</si>
  <si>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</si>
  <si>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</si>
  <si>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</si>
  <si>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</si>
  <si>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</si>
  <si>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</si>
  <si>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</si>
  <si>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</si>
  <si>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</si>
  <si>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</si>
  <si>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</si>
  <si>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</si>
  <si>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</si>
  <si>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</si>
  <si>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</si>
  <si>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</si>
  <si>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</si>
  <si>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</si>
  <si>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</si>
  <si>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</si>
  <si>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</si>
  <si>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</si>
  <si>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</si>
  <si>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</si>
  <si>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</si>
  <si>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</si>
  <si>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</si>
  <si>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</si>
  <si>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</si>
  <si>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</si>
  <si>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</si>
  <si>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</si>
  <si>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</si>
  <si>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</si>
  <si>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</si>
  <si>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</si>
  <si>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</si>
  <si>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</si>
  <si>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</si>
  <si>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</si>
  <si>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</si>
  <si>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</si>
  <si>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</si>
  <si>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</si>
  <si>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</si>
  <si>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</si>
  <si>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</si>
  <si>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</si>
  <si>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</si>
  <si>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</si>
  <si>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</si>
  <si>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</si>
  <si>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</si>
  <si>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</si>
  <si>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</si>
  <si>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</si>
  <si>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</si>
  <si>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</si>
  <si>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</si>
  <si>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</si>
  <si>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</si>
  <si>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</si>
  <si>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</si>
  <si>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</si>
  <si>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</si>
  <si>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</si>
  <si>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</si>
  <si>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</si>
  <si>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</si>
  <si>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</si>
  <si>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</si>
  <si>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</si>
  <si>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</si>
  <si>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</si>
  <si>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</si>
  <si>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</si>
  <si>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</si>
  <si>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</si>
  <si>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</si>
  <si>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</si>
  <si>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</si>
  <si>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</si>
  <si>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</si>
  <si>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</si>
  <si>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</si>
  <si>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</si>
  <si>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</si>
  <si>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</si>
  <si>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</si>
  <si>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</si>
  <si>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</si>
  <si>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</si>
  <si>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</si>
  <si>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</si>
  <si>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</si>
  <si>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</si>
  <si>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</si>
  <si>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</si>
  <si>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</si>
  <si>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</si>
  <si>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</si>
  <si>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</si>
  <si>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</si>
  <si>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</si>
  <si>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</si>
  <si>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</si>
  <si>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</si>
  <si>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</si>
  <si>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</si>
  <si>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</si>
  <si>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</si>
  <si>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</si>
  <si>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</si>
  <si>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</si>
  <si>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</si>
  <si>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</si>
  <si>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</si>
  <si>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</si>
  <si>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</si>
  <si>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</si>
  <si>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</si>
  <si>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</si>
  <si>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</si>
  <si>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</si>
  <si>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</si>
  <si>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</si>
  <si>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</si>
  <si>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</si>
  <si>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</si>
  <si>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</si>
  <si>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</si>
  <si>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</si>
  <si>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</si>
  <si>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</si>
  <si>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</si>
  <si>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</si>
  <si>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</si>
  <si>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</si>
  <si>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</si>
  <si>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</si>
  <si>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</si>
  <si>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</si>
  <si>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</si>
  <si>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</si>
  <si>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</si>
  <si>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</si>
  <si>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</si>
  <si>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</si>
  <si>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</si>
  <si>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</si>
  <si>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</si>
  <si>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</si>
  <si>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</si>
  <si>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</si>
  <si>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</si>
  <si>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</si>
  <si>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</si>
  <si>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</si>
  <si>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</si>
  <si>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</si>
  <si>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</si>
  <si>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</si>
  <si>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</si>
  <si>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</si>
  <si>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</si>
  <si>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</si>
  <si>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</si>
  <si>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</si>
  <si>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</si>
  <si>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</si>
  <si>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</si>
  <si>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</si>
  <si>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</si>
  <si>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</si>
  <si>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</si>
  <si>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</si>
  <si>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</si>
  <si>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</si>
  <si>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</si>
  <si>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</si>
  <si>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</si>
  <si>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</si>
  <si>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</si>
  <si>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</si>
  <si>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</si>
  <si>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</si>
  <si>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</si>
  <si>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</si>
  <si>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</si>
  <si>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</si>
  <si>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</si>
  <si>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</si>
  <si>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</si>
  <si>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</si>
  <si>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</si>
  <si>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</si>
  <si>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</si>
  <si>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</si>
  <si>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</si>
  <si>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</si>
  <si>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</si>
  <si>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</si>
  <si>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</si>
  <si>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</si>
  <si>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</si>
  <si>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</si>
  <si>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</si>
  <si>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</si>
  <si>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</si>
  <si>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</si>
  <si>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</si>
  <si>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</si>
  <si>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</si>
  <si>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</si>
  <si>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</si>
  <si>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</si>
  <si>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</si>
  <si>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</si>
  <si>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</si>
  <si>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</si>
  <si>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</si>
  <si>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</si>
  <si>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</si>
  <si>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</si>
  <si>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</si>
  <si>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</si>
  <si>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</si>
  <si>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</si>
  <si>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</si>
  <si>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</si>
  <si>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</si>
  <si>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</si>
  <si>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</si>
  <si>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</si>
  <si>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</si>
  <si>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</si>
  <si>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</si>
  <si>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</si>
  <si>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</si>
  <si>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</si>
  <si>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</si>
  <si>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</si>
  <si>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</si>
  <si>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</si>
  <si>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</si>
  <si>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</si>
  <si>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</si>
  <si>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</si>
  <si>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</si>
  <si>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</si>
  <si>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</si>
  <si>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</si>
  <si>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</si>
  <si>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</si>
  <si>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</si>
  <si>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</si>
  <si>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</si>
  <si>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</si>
  <si>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</si>
  <si>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</si>
  <si>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</si>
  <si>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</si>
  <si>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</si>
  <si>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</si>
  <si>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</si>
  <si>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</si>
  <si>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</si>
  <si>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</si>
  <si>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</si>
  <si>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</si>
  <si>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</si>
  <si>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</si>
  <si>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</si>
  <si>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</si>
  <si>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</si>
  <si>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</si>
  <si>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</si>
  <si>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</si>
  <si>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</si>
  <si>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</si>
  <si>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</si>
  <si>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</si>
  <si>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</si>
  <si>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</si>
  <si>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</si>
  <si>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</si>
  <si>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</si>
  <si>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</si>
  <si>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</si>
  <si>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</si>
  <si>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</si>
  <si>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</si>
  <si>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</si>
  <si>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</si>
  <si>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</si>
  <si>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</si>
  <si>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</si>
  <si>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</si>
  <si>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</si>
  <si>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</si>
  <si>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</si>
  <si>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</si>
  <si>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</si>
  <si>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</si>
  <si>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</si>
  <si>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</si>
  <si>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</si>
  <si>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</si>
  <si>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</si>
  <si>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</si>
  <si>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</si>
  <si>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</si>
  <si>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</si>
  <si>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</si>
  <si>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</si>
  <si>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</si>
  <si>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</si>
  <si>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</si>
  <si>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</si>
  <si>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</si>
  <si>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</si>
  <si>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</si>
  <si>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</si>
  <si>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</si>
  <si>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</si>
  <si>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</si>
  <si>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</si>
  <si>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</si>
  <si>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</si>
  <si>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</si>
  <si>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</si>
  <si>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</si>
  <si>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</si>
  <si>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</si>
  <si>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</si>
  <si>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</si>
  <si>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</si>
  <si>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</si>
  <si>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</si>
  <si>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</si>
  <si>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</si>
  <si>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</si>
  <si>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</si>
  <si>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</si>
  <si>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</si>
  <si>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</si>
  <si>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</si>
  <si>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</si>
  <si>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</si>
  <si>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</si>
  <si>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</si>
  <si>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</si>
  <si>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</si>
  <si>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</si>
  <si>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</si>
  <si>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</si>
  <si>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</si>
  <si>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</si>
  <si>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</si>
  <si>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</si>
  <si>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</si>
  <si>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</si>
  <si>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</si>
  <si>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</si>
  <si>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</si>
  <si>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</si>
  <si>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</si>
  <si>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</si>
  <si>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</si>
  <si>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</si>
  <si>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</si>
  <si>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</si>
  <si>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</si>
  <si>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</si>
  <si>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</si>
  <si>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</si>
  <si>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</si>
  <si>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</si>
  <si>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</si>
  <si>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</si>
  <si>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</si>
  <si>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</si>
  <si>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</si>
  <si>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</si>
  <si>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</si>
  <si>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</si>
  <si>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</si>
  <si>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</si>
  <si>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</si>
  <si>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</si>
  <si>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</si>
  <si>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</si>
  <si>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</si>
  <si>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</si>
  <si>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</si>
  <si>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</si>
  <si>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</si>
  <si>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</si>
  <si>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</si>
  <si>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</si>
  <si>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</si>
  <si>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</si>
  <si>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</si>
  <si>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</si>
  <si>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</si>
  <si>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</si>
  <si>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</si>
  <si>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</si>
  <si>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</si>
  <si>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</si>
  <si>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</si>
  <si>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</si>
  <si>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</si>
  <si>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</si>
  <si>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</si>
  <si>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</si>
  <si>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</si>
  <si>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</si>
  <si>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</si>
  <si>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</si>
  <si>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</si>
  <si>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</si>
  <si>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</si>
  <si>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</si>
  <si>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</si>
  <si>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</si>
  <si>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</si>
  <si>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</si>
  <si>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</si>
  <si>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</si>
  <si>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</si>
  <si>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</si>
  <si>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</si>
  <si>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</si>
  <si>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</si>
  <si>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</si>
  <si>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</si>
  <si>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</si>
  <si>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</si>
  <si>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</si>
  <si>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</si>
  <si>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</si>
  <si>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</si>
  <si>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</si>
  <si>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</si>
  <si>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</si>
  <si>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</si>
  <si>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</si>
  <si>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</si>
  <si>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</si>
  <si>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</si>
  <si>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</si>
  <si>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</si>
  <si>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</si>
  <si>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</si>
  <si>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</si>
  <si>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</si>
  <si>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</si>
  <si>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</si>
  <si>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</si>
  <si>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</si>
  <si>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</si>
  <si>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</si>
  <si>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</si>
  <si>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</si>
  <si>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</si>
  <si>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</si>
  <si>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</si>
  <si>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</si>
  <si>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</si>
  <si>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</si>
  <si>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</si>
  <si>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</si>
  <si>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</si>
  <si>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</si>
  <si>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</si>
  <si>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</si>
  <si>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</si>
  <si>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</si>
  <si>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</si>
  <si>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</si>
  <si>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</si>
  <si>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</si>
  <si>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</si>
  <si>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</si>
  <si>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</si>
  <si>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</si>
  <si>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</si>
  <si>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</si>
  <si>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</si>
  <si>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</si>
  <si>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</si>
  <si>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</si>
  <si>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</si>
  <si>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</si>
  <si>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</si>
  <si>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</si>
  <si>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</si>
  <si>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</si>
  <si>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</si>
  <si>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</si>
  <si>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</si>
  <si>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</si>
  <si>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</si>
  <si>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</si>
  <si>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</si>
  <si>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</si>
  <si>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</si>
  <si>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</si>
  <si>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</si>
  <si>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</si>
  <si>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</si>
  <si>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</si>
  <si>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</si>
  <si>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</si>
  <si>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</si>
  <si>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</si>
  <si>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</si>
  <si>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</si>
  <si>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</si>
  <si>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</si>
  <si>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</si>
  <si>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</si>
  <si>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</si>
  <si>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</si>
  <si>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</si>
  <si>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</si>
  <si>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</si>
  <si>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</si>
  <si>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</si>
  <si>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</si>
  <si>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</si>
  <si>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</si>
  <si>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</si>
  <si>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</si>
  <si>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</si>
  <si>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</si>
  <si>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</si>
  <si>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</si>
  <si>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</si>
  <si>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</si>
  <si>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</si>
  <si>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</si>
  <si>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</si>
  <si>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</si>
  <si>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</si>
  <si>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</si>
  <si>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</si>
  <si>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</si>
  <si>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</si>
  <si>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</si>
  <si>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</si>
  <si>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</si>
  <si>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</si>
  <si>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</si>
  <si>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</si>
  <si>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</si>
  <si>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</si>
  <si>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</si>
  <si>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</si>
  <si>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</si>
  <si>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</si>
  <si>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</si>
  <si>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</si>
  <si>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</si>
  <si>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</si>
  <si>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</si>
  <si>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</si>
  <si>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</si>
  <si>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</si>
  <si>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</si>
  <si>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</si>
  <si>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</si>
  <si>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</si>
  <si>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</si>
  <si>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</si>
  <si>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</si>
  <si>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</si>
  <si>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</si>
  <si>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</si>
  <si>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</si>
  <si>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</si>
  <si>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</si>
  <si>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</si>
  <si>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</si>
  <si>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</si>
  <si>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</si>
  <si>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</si>
  <si>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</si>
  <si>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</si>
  <si>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</si>
  <si>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</si>
  <si>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</si>
  <si>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</si>
  <si>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</si>
  <si>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</si>
  <si>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</si>
  <si>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</si>
  <si>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</si>
  <si>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</si>
  <si>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</si>
  <si>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</si>
  <si>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</si>
  <si>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</si>
  <si>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</si>
  <si>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</si>
  <si>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</si>
  <si>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</si>
  <si>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</si>
  <si>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</si>
  <si>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</si>
  <si>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</si>
  <si>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</si>
  <si>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</si>
  <si>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</si>
  <si>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</si>
  <si>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</si>
  <si>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</si>
  <si>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</si>
  <si>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</si>
  <si>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</si>
  <si>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</si>
  <si>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</si>
  <si>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</si>
  <si>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</si>
  <si>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</si>
  <si>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</si>
  <si>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</si>
  <si>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</si>
  <si>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</si>
  <si>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</si>
  <si>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</si>
  <si>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</si>
  <si>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</si>
  <si>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</si>
  <si>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</si>
  <si>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</si>
  <si>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</si>
  <si>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</si>
  <si>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</si>
  <si>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</si>
  <si>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</si>
  <si>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</si>
  <si>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</si>
  <si>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</si>
  <si>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</si>
  <si>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</si>
  <si>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</si>
  <si>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</si>
  <si>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</si>
  <si>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</si>
  <si>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</si>
  <si>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</si>
  <si>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</si>
  <si>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</si>
  <si>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</si>
  <si>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</si>
  <si>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</si>
  <si>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</si>
  <si>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</si>
  <si>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</si>
  <si>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</si>
  <si>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</si>
  <si>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</si>
  <si>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</si>
  <si>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</si>
  <si>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</si>
  <si>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</si>
  <si>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</si>
  <si>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</si>
  <si>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</si>
  <si>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</si>
  <si>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</si>
  <si>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</si>
  <si>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</si>
  <si>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</si>
  <si>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</si>
  <si>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</si>
  <si>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</si>
  <si>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</si>
  <si>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</si>
  <si>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</si>
  <si>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</si>
  <si>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</si>
  <si>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</si>
  <si>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</si>
  <si>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</si>
  <si>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</si>
  <si>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</si>
  <si>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</si>
  <si>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</si>
  <si>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</si>
  <si>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</si>
  <si>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</si>
  <si>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</si>
  <si>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</si>
  <si>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</si>
  <si>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</si>
  <si>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</si>
  <si>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</si>
  <si>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</si>
  <si>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</si>
  <si>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</si>
  <si>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</si>
  <si>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</si>
  <si>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</si>
  <si>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</si>
  <si>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</si>
  <si>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</si>
  <si>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</si>
  <si>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</si>
  <si>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</si>
  <si>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</si>
  <si>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</si>
  <si>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</si>
  <si>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</si>
  <si>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</si>
  <si>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</si>
  <si>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</si>
  <si>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</si>
  <si>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</si>
  <si>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</si>
  <si>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</si>
  <si>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</si>
  <si>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</si>
  <si>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</si>
  <si>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</si>
  <si>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</si>
  <si>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</si>
  <si>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</si>
  <si>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</si>
  <si>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</si>
  <si>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</si>
  <si>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</si>
  <si>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</si>
  <si>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</si>
  <si>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</si>
  <si>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</si>
  <si>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</si>
  <si>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</si>
  <si>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</si>
  <si>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</si>
  <si>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</si>
  <si>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</si>
  <si>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</si>
  <si>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</si>
  <si>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</si>
  <si>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</si>
  <si>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</si>
  <si>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</si>
  <si>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</si>
  <si>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</si>
  <si>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</si>
  <si>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</si>
  <si>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</si>
  <si>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</si>
  <si>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</si>
  <si>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</si>
  <si>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</si>
  <si>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</si>
  <si>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</si>
  <si>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</si>
  <si>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</si>
  <si>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</si>
  <si>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</si>
  <si>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</si>
  <si>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</si>
  <si>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</si>
  <si>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</si>
  <si>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</si>
  <si>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</si>
  <si>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</si>
  <si>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</si>
  <si>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</si>
  <si>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</si>
  <si>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</si>
  <si>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</si>
  <si>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</si>
  <si>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</si>
  <si>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</si>
  <si>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</si>
  <si>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</si>
  <si>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</si>
  <si>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</si>
  <si>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</si>
  <si>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</si>
  <si>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</si>
  <si>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</si>
  <si>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</si>
  <si>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</si>
  <si>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</si>
  <si>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</si>
  <si>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</si>
  <si>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</si>
  <si>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</si>
  <si>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</si>
  <si>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</si>
  <si>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</si>
  <si>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</si>
  <si>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</si>
  <si>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</si>
  <si>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</si>
  <si>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</si>
  <si>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</si>
  <si>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</si>
  <si>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</si>
  <si>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</si>
  <si>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</si>
  <si>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</si>
  <si>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</si>
  <si>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</si>
  <si>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</si>
  <si>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</si>
  <si>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</si>
  <si>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</si>
  <si>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</si>
  <si>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</si>
  <si>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</si>
  <si>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</si>
  <si>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</si>
  <si>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</si>
  <si>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</si>
  <si>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</si>
  <si>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</si>
  <si>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</si>
  <si>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</si>
  <si>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</si>
  <si>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</si>
  <si>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</si>
  <si>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</si>
  <si>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</si>
  <si>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</si>
  <si>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</si>
  <si>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</si>
  <si>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</si>
  <si>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</si>
  <si>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</si>
  <si>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</si>
  <si>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</si>
  <si>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</si>
  <si>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</si>
  <si>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</si>
  <si>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</si>
  <si>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</si>
  <si>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</si>
  <si>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</si>
  <si>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</si>
  <si>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</si>
  <si>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</si>
  <si>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</si>
  <si>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</si>
  <si>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</si>
  <si>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</si>
  <si>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</si>
  <si>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</si>
  <si>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</si>
  <si>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</si>
  <si>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</si>
  <si>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</si>
  <si>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</si>
  <si>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</si>
  <si>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</si>
  <si>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</si>
  <si>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</si>
  <si>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</si>
  <si>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</si>
  <si>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</si>
  <si>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</si>
  <si>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</si>
  <si>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</si>
  <si>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</si>
  <si>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</si>
  <si>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</si>
  <si>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</si>
  <si>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</si>
  <si>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</si>
  <si>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</si>
  <si>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</si>
  <si>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</si>
  <si>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</si>
  <si>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</si>
  <si>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</si>
  <si>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</si>
  <si>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</si>
  <si>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</si>
  <si>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</si>
  <si>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</si>
  <si>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</si>
  <si>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</si>
  <si>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</si>
  <si>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</si>
  <si>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</si>
  <si>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</si>
  <si>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</si>
  <si>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</si>
  <si>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</si>
  <si>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</si>
  <si>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</si>
  <si>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</si>
  <si>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</si>
  <si>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</si>
  <si>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</si>
  <si>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</si>
  <si>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</si>
  <si>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</si>
  <si>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</si>
  <si>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</si>
  <si>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</si>
  <si>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</si>
  <si>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</si>
  <si>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</si>
  <si>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</si>
  <si>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</si>
  <si>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</si>
  <si>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</si>
  <si>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</si>
  <si>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</si>
  <si>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</si>
  <si>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</si>
  <si>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</si>
  <si>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</si>
  <si>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</si>
  <si>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</si>
  <si>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</si>
  <si>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</si>
  <si>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</si>
  <si>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</si>
  <si>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</si>
  <si>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</si>
  <si>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</si>
  <si>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</si>
  <si>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</si>
  <si>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</si>
  <si>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</si>
  <si>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</si>
  <si>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</si>
  <si>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</si>
  <si>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</si>
  <si>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</si>
  <si>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</si>
  <si>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</si>
  <si>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</si>
  <si>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</si>
  <si>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</si>
  <si>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</si>
  <si>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</si>
  <si>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</si>
  <si>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</si>
  <si>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</si>
  <si>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</si>
  <si>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</si>
  <si>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</si>
  <si>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</si>
  <si>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</si>
  <si>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</si>
  <si>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</si>
  <si>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</si>
  <si>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</si>
  <si>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</si>
  <si>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</si>
  <si>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</si>
  <si>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</si>
  <si>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</si>
  <si>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</si>
  <si>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</si>
  <si>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</si>
  <si>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</si>
  <si>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</si>
  <si>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</si>
  <si>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</si>
  <si>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</si>
  <si>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</si>
  <si>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</si>
  <si>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</si>
  <si>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</si>
  <si>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</si>
  <si>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</si>
  <si>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</si>
  <si>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</si>
  <si>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</si>
  <si>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</si>
  <si>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</si>
  <si>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</si>
  <si>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</si>
  <si>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</si>
  <si>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</si>
  <si>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</si>
  <si>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</si>
  <si>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</si>
  <si>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</si>
  <si>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</si>
  <si>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</si>
  <si>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</si>
  <si>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</si>
  <si>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</si>
  <si>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</si>
  <si>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</si>
  <si>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</si>
  <si>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</si>
  <si>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</si>
  <si>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</si>
  <si>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</si>
  <si>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</si>
  <si>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</si>
  <si>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</si>
  <si>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</si>
  <si>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</si>
  <si>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</si>
  <si>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</si>
  <si>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</si>
  <si>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</si>
  <si>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</si>
  <si>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</si>
  <si>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</si>
  <si>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</si>
  <si>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</si>
  <si>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</si>
  <si>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</si>
  <si>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</si>
  <si>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</si>
  <si>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</si>
  <si>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</si>
  <si>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</si>
  <si>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</si>
  <si>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</si>
  <si>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</si>
  <si>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</si>
  <si>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</si>
  <si>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</si>
  <si>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</si>
  <si>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</si>
  <si>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</si>
  <si>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</si>
  <si>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</si>
  <si>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</si>
  <si>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</si>
  <si>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</si>
  <si>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</si>
  <si>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</si>
  <si>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</si>
  <si>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</si>
  <si>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</si>
  <si>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</si>
  <si>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</si>
  <si>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</si>
  <si>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</si>
  <si>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</si>
  <si>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</si>
  <si>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</si>
  <si>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</si>
  <si>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</si>
  <si>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</si>
  <si>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</si>
  <si>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</si>
  <si>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</si>
  <si>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</si>
  <si>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</si>
  <si>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</si>
  <si>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</si>
  <si>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</si>
  <si>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</si>
  <si>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</si>
  <si>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</si>
  <si>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</si>
  <si>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</si>
  <si>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</si>
  <si>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</si>
  <si>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</si>
  <si>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</si>
  <si>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</si>
  <si>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</si>
  <si>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</si>
  <si>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</si>
  <si>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</si>
  <si>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</si>
  <si>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</si>
  <si>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</si>
  <si>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</si>
  <si>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</si>
  <si>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</si>
  <si>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</si>
  <si>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</si>
  <si>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</si>
  <si>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</si>
  <si>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</si>
  <si>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</si>
  <si>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</si>
  <si>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</si>
  <si>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</si>
  <si>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</si>
  <si>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</si>
  <si>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</si>
  <si>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</si>
  <si>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</si>
  <si>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</si>
  <si>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</si>
  <si>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</si>
  <si>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</si>
  <si>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</si>
  <si>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</si>
  <si>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</si>
  <si>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</si>
  <si>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</si>
  <si>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</si>
  <si>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</si>
  <si>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</si>
  <si>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</si>
  <si>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</si>
  <si>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</si>
  <si>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</si>
  <si>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</si>
  <si>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</si>
  <si>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</si>
  <si>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</si>
  <si>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</si>
  <si>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</si>
  <si>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</si>
  <si>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</si>
  <si>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</si>
  <si>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</si>
  <si>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</si>
  <si>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</si>
  <si>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</si>
  <si>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</si>
  <si>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</si>
  <si>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</si>
  <si>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</si>
  <si>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</si>
  <si>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</si>
  <si>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</si>
  <si>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</si>
  <si>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</si>
  <si>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</si>
  <si>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</si>
  <si>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</si>
  <si>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</si>
  <si>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</si>
  <si>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</si>
  <si>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</si>
  <si>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</si>
  <si>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</si>
  <si>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</si>
  <si>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</si>
  <si>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</si>
  <si>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</si>
  <si>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</si>
  <si>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</si>
  <si>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</si>
  <si>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</si>
  <si>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</si>
  <si>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</si>
  <si>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</si>
  <si>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</si>
  <si>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</si>
  <si>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</si>
  <si>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</si>
  <si>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</si>
  <si>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</si>
  <si>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</si>
  <si>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</si>
  <si>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</si>
  <si>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</si>
  <si>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</si>
  <si>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</si>
  <si>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</si>
  <si>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</si>
  <si>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</si>
  <si>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</si>
  <si>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</si>
  <si>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</si>
  <si>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</si>
  <si>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</si>
  <si>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</si>
  <si>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</si>
  <si>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</si>
  <si>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</si>
  <si>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</si>
  <si>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</si>
  <si>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</si>
  <si>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</si>
  <si>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</si>
  <si>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</si>
  <si>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</si>
  <si>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</si>
  <si>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</si>
  <si>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</si>
  <si>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</si>
  <si>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</si>
  <si>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</si>
  <si>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</si>
  <si>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</si>
  <si>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</si>
  <si>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</si>
  <si>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</si>
  <si>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</si>
  <si>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</si>
  <si>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</si>
  <si>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</si>
  <si>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</si>
  <si>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</si>
  <si>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</si>
  <si>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</si>
  <si>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</si>
  <si>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</si>
  <si>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</si>
  <si>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</si>
  <si>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</si>
  <si>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</si>
  <si>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</si>
  <si>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</si>
  <si>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</si>
  <si>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</si>
  <si>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</si>
  <si>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</si>
  <si>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</si>
  <si>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</si>
  <si>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</si>
  <si>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</si>
  <si>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</si>
  <si>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</si>
  <si>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</si>
  <si>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</si>
  <si>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</si>
  <si>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</si>
  <si>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</si>
  <si>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</si>
  <si>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</si>
  <si>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</si>
  <si>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</si>
  <si>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</si>
  <si>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</si>
  <si>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</si>
  <si>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</si>
  <si>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</si>
  <si>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</si>
  <si>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</si>
  <si>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</si>
  <si>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</si>
  <si>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</si>
  <si>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</si>
  <si>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</si>
  <si>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</si>
  <si>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</si>
  <si>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</si>
  <si>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</si>
  <si>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</si>
  <si>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</si>
  <si>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</si>
  <si>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</si>
  <si>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</si>
  <si>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</si>
  <si>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</si>
  <si>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</si>
  <si>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</si>
  <si>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</si>
  <si>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</si>
  <si>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</si>
  <si>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</si>
  <si>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</si>
  <si>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</si>
  <si>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</si>
  <si>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</si>
  <si>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</si>
  <si>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</si>
  <si>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</si>
  <si>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</si>
  <si>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</si>
  <si>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</si>
  <si>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</si>
  <si>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</si>
  <si>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</si>
  <si>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</si>
  <si>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</si>
  <si>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</si>
  <si>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</si>
  <si>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</si>
  <si>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</si>
  <si>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</si>
  <si>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</si>
  <si>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</si>
  <si>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</si>
  <si>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</si>
  <si>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</si>
  <si>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</si>
  <si>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</si>
  <si>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</si>
  <si>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</si>
  <si>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</si>
  <si>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</si>
  <si>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</si>
  <si>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</si>
  <si>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</si>
  <si>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</si>
  <si>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</si>
  <si>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</si>
  <si>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</si>
  <si>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</si>
  <si>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</si>
  <si>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</si>
  <si>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</si>
  <si>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</si>
  <si>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</si>
  <si>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</si>
  <si>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</si>
  <si>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</si>
  <si>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</si>
  <si>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</si>
  <si>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</si>
  <si>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</si>
  <si>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</si>
  <si>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</si>
  <si>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</si>
  <si>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</si>
  <si>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</si>
  <si>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</si>
  <si>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</si>
  <si>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</si>
  <si>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</si>
  <si>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</si>
  <si>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</si>
  <si>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</si>
  <si>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</si>
  <si>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</si>
  <si>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</si>
  <si>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</si>
  <si>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</si>
  <si>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</si>
  <si>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</si>
  <si>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</si>
  <si>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</si>
  <si>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</si>
  <si>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</si>
  <si>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</si>
  <si>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</si>
  <si>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</si>
  <si>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</si>
  <si>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</si>
  <si>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</si>
  <si>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</si>
  <si>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</si>
  <si>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</si>
  <si>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</si>
  <si>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</si>
  <si>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</si>
  <si>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</si>
  <si>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</si>
  <si>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</si>
  <si>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</si>
  <si>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</si>
  <si>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</si>
  <si>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</si>
  <si>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</si>
  <si>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</si>
  <si>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</si>
  <si>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</si>
  <si>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</si>
  <si>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</si>
  <si>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</si>
  <si>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</si>
  <si>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</si>
  <si>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</si>
  <si>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</si>
  <si>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</si>
  <si>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</si>
  <si>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</si>
  <si>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</si>
  <si>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</si>
  <si>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</si>
  <si>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</si>
  <si>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</si>
  <si>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</si>
  <si>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</si>
  <si>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</si>
  <si>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</si>
  <si>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</si>
  <si>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</si>
  <si>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</si>
  <si>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</si>
  <si>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</si>
  <si>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</si>
  <si>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</si>
  <si>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</si>
  <si>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</si>
  <si>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</si>
  <si>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</si>
  <si>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</si>
  <si>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</si>
  <si>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</si>
  <si>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</si>
  <si>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</si>
  <si>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</si>
  <si>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</si>
  <si>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</si>
  <si>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</si>
  <si>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</si>
  <si>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</si>
  <si>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</si>
  <si>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</si>
  <si>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</si>
  <si>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</si>
  <si>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</si>
  <si>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</si>
  <si>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</si>
  <si>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</si>
  <si>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</si>
  <si>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</si>
  <si>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</si>
  <si>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</si>
  <si>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</si>
  <si>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</si>
  <si>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</si>
  <si>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</si>
  <si>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</si>
  <si>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</si>
  <si>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</si>
  <si>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</si>
  <si>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</si>
  <si>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</si>
  <si>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</si>
  <si>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</si>
  <si>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</si>
  <si>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</si>
  <si>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</si>
  <si>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</si>
  <si>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</si>
  <si>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</si>
  <si>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</si>
  <si>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</si>
  <si>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</si>
  <si>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</si>
  <si>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</si>
  <si>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</si>
  <si>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</si>
  <si>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</si>
  <si>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</si>
  <si>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</si>
  <si>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</si>
  <si>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</si>
  <si>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</si>
  <si>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</si>
  <si>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</si>
  <si>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</si>
  <si>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</si>
  <si>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</si>
  <si>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</si>
  <si>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</si>
  <si>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</si>
  <si>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</si>
  <si>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</si>
  <si>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</si>
  <si>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Arş. Gör. Dr. İsmail Çağrı ÖZÜTOK</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</si>
  <si>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</si>
  <si>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</si>
  <si>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</si>
  <si>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</si>
  <si>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</si>
  <si>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</si>
  <si>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</si>
  <si>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</si>
  <si>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</si>
  <si>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</si>
  <si>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</si>
  <si>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</si>
  <si>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</si>
  <si>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Prof. Dr. Turgut Emrah BOZKURT</t>
  </si>
  <si>
    <t>Farmakoloji Anabilim Dalı</t>
  </si>
  <si>
    <t>Üniversitemiz Eczacılık Fakültesi Farmakoloji Anabilim Dalı öğretim üyelerinden Prof. Dr. Turgut Emrah BOZKURT'un sorumlu araştırmacı olduğu, Prof. Dr. Emirhan NEMUTLU, Prof. Dr. Sevgen Çelik ÖNDER, Prof. Dr. Serdar ÖZER, Prof. Dr. Ebru DAMADOĞLU, Doç. Dr. Tuba REÇBER, Dr. Öğr. Ü. Yasemin KARAMAN, Dr. Öğr. Ü. Muhammed Çağrı KÜLEKCİ, Dr. Öğr. Ü. Olcay KURTULAN, Öğr. Gör. Dr. Burçay TELLİOĞLU, Öğr. Gör. Dr. Kutsal DOĞAN, Uzm. Ecz. Gaye ÖZTÜRK, Ecz. Tülay Özge ALPASLAN, Kerem ERDOĞAN ile birlikte çalışacakları,</t>
  </si>
  <si>
    <t>“Alerjik Rinit ve Birlikte Seyreden Solunum Yolu İnflamasyonunda Endokannabinoid Sistemin Bir Tedavi Hedefi Olarak Değerlendirilmesi”</t>
  </si>
  <si>
    <t>668.</t>
  </si>
  <si>
    <t>SBA 26/668</t>
  </si>
  <si>
    <t>Üniversitemiz Tıp Fakültesi İç Hastalıkları Anabilim Dalı öğretim üyelerinden Prof. Dr. Hakan GÖKER’in sorumlu araştırmacı olduğu, Arş. Gör. Dr. Alkım YOLCU ile birlikte çalışacakları,</t>
  </si>
  <si>
    <t>“Haploidentik Hematopoietik Kök Hücre Nakli Alıcılarında Sitomegalovirüs Reaktivasyonunun Belirleyicileri, Kinetiği ve Klinik Sonuçlarının Retrospektif Değerlendirilmesi”</t>
  </si>
  <si>
    <t>669.</t>
  </si>
  <si>
    <t>SBA 26/669</t>
  </si>
  <si>
    <t>Üniversitemiz Tıp Fakültesi İç Hastalıkları Anabilim Dalı öğretim üyelerinden Doç. Dr. Cafer BALCI’nın sorumlu araştırmacı olduğu, Arş. Gör. Dr. İbrahim KURAN ile birlikte çalışacakları,</t>
  </si>
  <si>
    <t>“Diyabetik Yaşlı Bireylerde Baldır Çevresi Ölçümleriyle Sarkopeni Arasındaki İlişkinin Değerlendirilmesi: Retrospektif Gözlemsel Çalışma”</t>
  </si>
  <si>
    <t>670.</t>
  </si>
  <si>
    <t>SBA 26/670</t>
  </si>
  <si>
    <t>Doç. Dr. Murat KARA</t>
  </si>
  <si>
    <t>Üniversitemiz Tıp Fakültesi Plastik, Rekonstrüktif ve Estetik Cerrahi Anabilim Dalı öğretim üyelerinden Doç. Dr. Murat KARA’nın sorumlu araştırmacı olduğu, Prof. Dr. Mehmet Deniz DEMİRYÜREK ile birlikte çalışacakları ve Arş. Gör. Dr. Berkay SERT'in uzmanlık tezi olan,</t>
  </si>
  <si>
    <t>“Dinamik Velofaringeal Rekonstrüksiyonda Yeni Bir Teknik: Bipediküllü Konstriktör Faringeus Superior Kas-Mukoza Flebi, Kadavra Çalışması”</t>
  </si>
  <si>
    <t>671.</t>
  </si>
  <si>
    <t>SBA 26/671</t>
  </si>
  <si>
    <t>Prof. Dr. Esra Burcu SAĞLAM</t>
  </si>
  <si>
    <t>Sosyoloji ve Metodoloji Anabilim Dalı</t>
  </si>
  <si>
    <t>Üniversitemiz Edebiyat Fakültesi Sosyoloji ve Metodoloji Anabilim Dalı öğretim üyelerinden Prof. Dr. Esra BURCU SAĞLAM'ın sorumlu araştırmacı olduğu, Zeynep Nazlı ELGİNOĞLU ile birlikte çalışacakları,</t>
  </si>
  <si>
    <t>“Görünmez Engellilik Biçimi Olarak Mental Bozukluğu Olan Üniversiteli Gençlerde Arkadaşlık İlişkisi ve Damgalanma”</t>
  </si>
  <si>
    <t>672.</t>
  </si>
  <si>
    <t>SBA 26/672</t>
  </si>
  <si>
    <t>Prof. Dr. Münip Gökhan TUNÇBİLEK</t>
  </si>
  <si>
    <t>Üniversitemiz Tıp Fakültesi Plastik, Rekonstrüktif ve Estetik Cerrahi Anabilim Dalı öğretim üyelerinden Prof. Dr. Münip Gökhan TUNÇBİLEK’in sorumlu araştırmacı olduğu, Dr. Öğr. Üyesi Güven Ozan KAPLAN, Arş. Gör. Dr. Hasan Buğra BOZ, Doç. Dr. Elif GÜNAY BULUT, Arş. Gör. Dr. Halil Barış BAŞARIR, Prof. Dr. Güliz Fatma YAVAŞ, Dr. Öğr. Üyesi Yavuz Kemal ARIBAŞ ile birlikte çalışacakları ve Arş. Gör. Dr. Kutluhan Yusuf KÜÇÜK’ün uzmanlık tezi olan,</t>
  </si>
  <si>
    <t>“Frontoorbital Şekillendirme ve Distraksiyon Osteogenezi ile İlerletme Cerrahisinin İntrakraniyel ve Orbital Volümetrik ve Optik Koherens Tomografi Sonuçları”</t>
  </si>
  <si>
    <t>673.</t>
  </si>
  <si>
    <t>SBA 26/673</t>
  </si>
  <si>
    <t>Üniversitemiz Diş Hekimliği Fakültesi Endodonti Anabilim Dalı öğretim üyelerinden Prof. Dr. Ahmet SERPER’in sorumlu araştırmacı olduğu, Arş. Gör. Deniz Arca Çakır, Prof. Dr. Emel UZUNOĞLU ÖZYÜREK, Prof. Dr. Ülfet Pınar ERKEKOĞLU ile birlikte çalışacakları ve Arş. Gör. Dr. Baransel KOÇ’un uzmanlık tezi olan,</t>
  </si>
  <si>
    <t>Rektör yardımcısı münasebetiyle --- 562</t>
  </si>
  <si>
    <t>674.</t>
  </si>
  <si>
    <t>SBA 26/674</t>
  </si>
  <si>
    <t>Üniversitemiz Tıp Fakültesi Çocuk Sağlığı ve Hastalıkları Anabilim Dalı öğretim üyelerinden Prof. Dr. Deniz ÇAĞDAŞ AYVAZ’ın sorumlu araştırmacı olduğu, Doç. Dr. Saliha ESENBOĞA, Doç. Dr. Elif SOYAK AYTEKİN, Arş. Gör. Dr. Büşra HOTAMAN ile birlikte çalışacakları,</t>
  </si>
  <si>
    <t>“Mikobakteriyel Enfeksiyonlara Mendelyen Yatkınlık (MSMD) Şüphesi ile Değerlendirilen Hastaların Klinik, İmmünolojik, Genetik Özellikleri ve Tedavi Sonuçlarının Retrospektif Değerlendirilmesi”</t>
  </si>
  <si>
    <t>675.</t>
  </si>
  <si>
    <t>SBA 26/675</t>
  </si>
  <si>
    <t>“Sekonder İmmün Yetmezlik Nedeniyle Çocuk İmmünoloji Kliniğine Konsülte Edilen Hastaların Klinik, İmmünolojik ve Genetik Özelliklerinin İncelenmesi”</t>
  </si>
  <si>
    <t>676.</t>
  </si>
  <si>
    <t>SBA 26/676</t>
  </si>
  <si>
    <t>Üniversitemiz Tıp Fakültesi Çocuk Sağlığı ve Hastalıkları Anabilim Dalı öğretim üyelerinden Doç. Dr. Melis PEHLİVANTÜRK KIZILKAN'ın sorumlu araştırmacı olduğu, Prof. Dr. Sinem AKGÜL, Prof. Dr. Özlem TEKŞAM, Doç. Dr. Zeynep TÜZÜN GÜN, Doç. Dr. Leman AKCAN YILDIZ, Dr. Öğr. Üyesi Eylem Şerife KALKAN, Dr. Öğr. Üyesi Demet AYGÜN ARI, Uzm. Dr. Nur MUTLU, Arş. Gör. Dr. Eymen YILMAZ ile birlikte çalışacakları,</t>
  </si>
  <si>
    <t>“Acil Servise Başvuran Ergenlerde Madde Kullanım Bozukluğu Riskinin Taranması”</t>
  </si>
  <si>
    <t>677.</t>
  </si>
  <si>
    <t>SBA 26/677</t>
  </si>
  <si>
    <t>Üniversitemiz Tıp Fakültesi Çocuk Sağlığı ve Hastalıkları Anabilim Dalı öğretim üyelerinden Doç. Dr. Tekin AKSU’nun sorumlu araştırmacı olduğu, Prof. Dr. Şule ÜNAL CANGÜL, Prof. Dr. Ş. Selin AYTAÇ EYÜPOĞLU, Arş. Gör. Dr. Esma Nur ÜNAL ile birlikte çalışacakları,</t>
  </si>
  <si>
    <t>“Telomer Biyoloji Bozuklukları: Fenotip ve Genetik Bulgular”</t>
  </si>
  <si>
    <t>678.</t>
  </si>
  <si>
    <t>SBA 26/678</t>
  </si>
  <si>
    <t>Arş. Gör. Dr. İzzet Türkalp AKBAŞLI</t>
  </si>
  <si>
    <t>Üniversitemiz Tıp Fakültesi Çocuk Sağlığı ve Hastalıkları Anabilim öğretim elemanlarından Arş. Gör. Dr. İzzet Türkalp AKBAŞLI’nın sorumlu araştırmacı olduğu, Doç. Dr. Selman KESİCİ ve Arş. Gör. Dr. Mehmet BEŞREK ile birlikte çalışacakları,</t>
  </si>
  <si>
    <t>“Türkiye’de Motosiklet Ehliyet Yaş Sınırının 16’ya İndirilmesinin Genç Sürücü Kazaları Üzerindeki Etkisi: Kesintili Zaman Serisi Çalışması”</t>
  </si>
  <si>
    <t>679.</t>
  </si>
  <si>
    <t>SBA 26/679</t>
  </si>
  <si>
    <t>Üniversitemiz Tıp Fakültesi Kadın Hastalıkları ve Doğum Anabilim Dalı öğretim üyelerinden Doç. Dr. Erdem FADILOĞLU’nun sorumlu araştırmacı olduğu, Arş. Gör. Dr. Mert EYÜPOĞLU ve Arş. Gör. Dr. Betül GÜNGÖR SERİN ile birlikte çalışacakları,</t>
  </si>
  <si>
    <t>“Noninvaziv Prenatal Test Çağında İnvaziv Prenatal Girişim Endikasyonlarının Değişimi: 2020–2025 Yılları Arasında Tek Merkez Retrospektif Analizi"</t>
  </si>
  <si>
    <t>680.</t>
  </si>
  <si>
    <t>SBA 26/680</t>
  </si>
  <si>
    <t>Üniversitemiz Tıp Fakültesi İç Hastalıkları Anabilim Dalı öğretim üyelerinden Prof. Dr. Ali AKDOĞAN’ın sorumlu araştırmacı olduğu, Doç. Dr. Levent KILIÇ, Doç. Dr. Gamze DURHAN ve Uzm. Dr. Büşra FIRLATAN YAZGAN ile birlikte çalışacakları,</t>
  </si>
  <si>
    <t>“Sistemik Skleroz Tanılı Hastalarda Bilgisayarlı Tomografi ile Elde Edilen Toraks Duvarı Kas Ölçümleri ile Zorlu Vital Kapasite Arasındaki İlişkinin Değerlendirilmesi”</t>
  </si>
  <si>
    <t>681.</t>
  </si>
  <si>
    <t>SBA 26/681</t>
  </si>
  <si>
    <t>Üniversitemiz Tıp Fakültesi Radyoloji Anabilim Dalı öğretim üyelerinden Doç. Dr. Gamze DURHAN’ın sorumlu araştırmacı olduğu, Arş. Gör. Dr. Deniz GÜLKAN ve Arş. Gör. Dr. Hasbi BAŞARAN ile birlikte çalışacakları,</t>
  </si>
  <si>
    <t>“Hastanemizde Mamografi Tetkiklerinde Kullanılan Yapay Zekâ Uygulamalarının Tanısal Performans ve Uyumlarının Karşılaştırılması”</t>
  </si>
  <si>
    <t>682.</t>
  </si>
  <si>
    <t>SBA 26/682</t>
  </si>
  <si>
    <t>Üniversitemiz Tıp Fakültesi İç Hastalıkları Anabilim Dalı öğretim üyelerinden Prof. Dr. Umut KALYONCU’nun sorumlu araştırmacı olduğu, Prof. Dr. Burçin ŞENER, Prof Dr. Zeynep SARIBAŞ ile birlikte çalışacakları ve Arş. Gör. Dr. Elif EMİRSÜLEYMANOĞLU FİLİZ’in uzmanlık tezi olan,</t>
  </si>
  <si>
    <t>“Romatoloji Polikliniğine Başvuran Hastalarda Antinükleer Antikor (ANA) İstem Paternleri, Pozitiflik Belirteçleri ve Klinik-Laboratuvar Korelasyonu: 4 Yıllık Retrospektif Kohort Analizi”</t>
  </si>
  <si>
    <t>683.</t>
  </si>
  <si>
    <t>SBA 26/683</t>
  </si>
  <si>
    <t>Üniversitemiz Tıp Fakültesi Çocuk Sağlığı ve Hastalıkları Anabilim Dalı öğretim üyelerinden Prof. Dr. Hülya DEMİR'in sorumlu araştırmacı olduğu, Dr. Öğr. Üyesi Duygu DEMİRTAŞ GÜNER ve Arş. Gör. Dr. Emir Furkan ÖNEN ile birlikte çalışacakları,</t>
  </si>
  <si>
    <t>"Pediatrik İnflamatuar Bağırsak Hastalarında İmmünsupresif/İmmünomodülatör Tedavi Öncesi ve Tedavi Sırasında Serolojik Bağışıklık ve İmmünizasyon Durumunun Değerlendirilmesi"</t>
  </si>
  <si>
    <t>684.</t>
  </si>
  <si>
    <t>SBA 26/684</t>
  </si>
  <si>
    <t>Üniversitemiz Tıp Fakültesi Çocuk Sağlığı ve Hastalıkları Anabilim Dalı öğretim üyelerinden Prof. Dr. Hülya DEMİR'in sorumlu araştırmacı olduğu, Arş. Gör. Dr. Emir Furkan ÖNEN ile birlikte çalışacakları,</t>
  </si>
  <si>
    <t>“Safra Asidi Biyosentez Bozukluğu Tanılı Hastalarda Klinik Bulgular ve Tedavi Yanıtı: Tek Merkez Deneyimi”</t>
  </si>
  <si>
    <t>685.</t>
  </si>
  <si>
    <t>SBA 26/685</t>
  </si>
  <si>
    <t>Üniversitemiz Tıp Fakültesi İç Hastalıkları Anabilim Dalı öğretim üyelerinden Doç. Dr. Cafer BALCI’nın sorumlu araştırmacı olduğu, Uzm. Dr. Murat PEHLİVAN ile birlikte çalışacakları,</t>
  </si>
  <si>
    <t>“85 Yaş Üzeri Hastalarda Direkt Oral Antikoagülanlar ve Varfarin ile İlişkili Kanama Güvenliğinin Karşılaştırılması”</t>
  </si>
  <si>
    <t>686.</t>
  </si>
  <si>
    <t>SBA 26/686</t>
  </si>
  <si>
    <t>Üniversitemiz Tıp Fakültesi Radyoloji Anabilim Dalı öğretim üyelerinden Dr. Öğr. Üyesi Sinan BALCI’nın sorumlu araştırmacı olduğu, Dr. Öğr. Üyesi İrem İYİGÜN ile birlikte çalışacakları,</t>
  </si>
  <si>
    <t>“Yenidoğanlarda Galen Veni Anevrizmal Malformasyonlarının Endovasküler Tedavi Sonuçlarının Retrospektif Değerlendirilmesi”</t>
  </si>
  <si>
    <t>687.</t>
  </si>
  <si>
    <t>SBA 26/687</t>
  </si>
  <si>
    <t>Üniversitemiz Tıp Fakültesi Çocuk Sağlığı ve Hastalıkları Anabilim Dalı öğretim üyelerinden Prof. Dr. Özge UYSAL SOYER’in sorumlu araştırmacı olduğu, Prof. Dr. Bülent Enis ŞEKEREL, Prof. Dr. Adil DENİZLİ, Doç. Dr. Melike OCAK, Doç. Dr. Ayşegül ERTUĞRUL, Dr. Öğr. Üyesi Semra AKGÖNÜLLÜ, Arş. Gör. Dr. Zehra GENÇ ÖZBAY ile birlikte çalışacakları,</t>
  </si>
  <si>
    <t>“Çocukluk Çağı Anafilaksisinde Çoklu Biyobelirteçlerin Değerlendirilmesi”</t>
  </si>
  <si>
    <t>688.</t>
  </si>
  <si>
    <t>SBA 26/688</t>
  </si>
  <si>
    <t>Prof. Dr. Oğuz KUŞCU</t>
  </si>
  <si>
    <t>Üniversitemiz Tıp Fakültesi Kulak Burun Boğaz Anabilim Dalı öğretim üyelerinden Prof. Dr. Oğuz KUŞCU’nun sorumlu araştırmacı olduğu, Arş. Gör. Dr. Nurbanu KAÇAR ile birlikte çalışacakları,</t>
  </si>
  <si>
    <t>“Direkt Laringoskopi Görüntülerinin Analizinde 6 Farklı Büyük Dil Modelinin Tanısal Performanslarının İnsan Faktörüyle Birlikte Karşılaştırılması: Retrospektif Bir Çalışma”</t>
  </si>
  <si>
    <t>689.</t>
  </si>
  <si>
    <t>SBA 26/689</t>
  </si>
  <si>
    <t>Prof. Dr. Sadi KAPLAN</t>
  </si>
  <si>
    <t>Kalp ve Damar Cerrahisi Anabilim Dalı</t>
  </si>
  <si>
    <t>Üniversitemiz Tıp Fakültesi Kalp ve Damar Cerrahisi Anabilim Dalı öğretim üyelerinden Prof. Dr. Sadi KAPLAN’ın sorumlu araştırmacı olduğu, Prof. Dr. Bekir SALİH, Prof. Dr. İncilay LAY, Doç. Dr. Mehmet ATAKAY, Arş. Gör. Dr. Meryem ZENGİN BÜLBÜL ile birlikte çalışacakları ve Arş. Gör. Dr. Kağan İslam BAĞCI’nın uzmanlık tezi olan,</t>
  </si>
  <si>
    <t>“Açık Kalp Cerrahisinde Kardiyopulmoner Bypass Kaynaklı Akut Mikroplastik Akümülasyonu ve Pro/Anti-İnflamatuar Sitokin Kinetiği ile İlişkisi”</t>
  </si>
  <si>
    <t>690.</t>
  </si>
  <si>
    <t>SBA 26/690</t>
  </si>
  <si>
    <t>Doç. Dr. Nadir YALÇIN</t>
  </si>
  <si>
    <t>Üniversitemiz Eczacılık Fakültesi Klinik Eczacılık Anabilim Dalı öğretim üyelerinden Doç. Dr. Nadir YALÇIN’ın sorumlu araştırmacı olduğu, Arş. Gör. Uğur BALABAN, Doç. Dr. Selman KESİCİ ile birlikte çalışacakları,</t>
  </si>
  <si>
    <t>“Çocuk Yoğun Bakım Hastalarında İlaç Tedavi Karmaşıklığının İlaç-İlaç Etkileşimleri ve Klinik Sonuçlarla İlişkisinin Değerlendirilmesi”</t>
  </si>
  <si>
    <t>691.</t>
  </si>
  <si>
    <t>SBA 26/691</t>
  </si>
  <si>
    <t>Prof. Dr. Mustafa Kerem VURAL</t>
  </si>
  <si>
    <t>Üniversitemiz Tıp Fakültesi Kalp ve Damar Cerrahisi Anabilim Dalı öğretim üyelerinden Prof. Dr. Mustafa Kerem VURAL’ın sorumlu araştırmacı olduğu, Prof. Dr. Samiye YABANOĞLU ÇİFTÇİ, Prof. Dr. Emirhan NEMUTLU, Arş. Gör. Aysima SEZER ile birlikte çalışacakları ve Arş. Gör. Dr. Mert Can DİNÇÇAĞ’ın uzmanlık tezi olan,</t>
  </si>
  <si>
    <t>“Asendan Aort Anevrizması ve Aterosklerotik Koroner Arter Hastalığında MMP-9, TIMP-1 ve MMP-9/TIMP-1 Düzeylerinin Kliniğe Etkisi”</t>
  </si>
  <si>
    <t>692.</t>
  </si>
  <si>
    <t>SBA 26/692</t>
  </si>
  <si>
    <t>Üniversitemiz Tıp Fakültesi Göğüs Hastalıkları Anabilim Dalı öğretim üyelerinden Prof. Dr. Gül KARAKAYA’nın sorumlu araştırmacı olduğu, Prof. Dr. Ebru DAMADOĞLU, Dr. Öğr. Üyesi Özge ÖZTÜRK AKTAŞ ve Arş. Gör. Dr. Özlem ŞAHAN GÜVEN ile birlikte çalışacakları,</t>
  </si>
  <si>
    <t>“Yaygın Değişken İmmün Yetmezlik Hastalarında Tip 2 İnflamasyonla İlişkili Hastalıkların Sıklığı ve Klinik-İmmünolojik Fenotiplerle İlişkisi”</t>
  </si>
  <si>
    <t>693.</t>
  </si>
  <si>
    <t>SBA 26/693</t>
  </si>
  <si>
    <t>Üniversitemiz Eczacılık Fakültesi Klinik Eczacılık Anabilim Dalı öğretim üyelerinden Prof. Dr. S. Kutay DEMİRKAN’ın sorumlu araştırmacı olduğu, Arş. Gör. Uğur BALABAN, Arş. Gör. Yakup GÜDEK, Öğr. Gör. Dr. Adnan Menderes VURAL, Prof. Dr. Seda Banu AKINCI ile birlikte çalışacakları,</t>
  </si>
  <si>
    <t>“Yoğun Bakım Hastalarında CRP/Prealbumin ve CRP/Albumin Oranlarının Klinik Sonuçlar ile İlişkisinin Değerlendirilmesi”</t>
  </si>
  <si>
    <t>694.</t>
  </si>
  <si>
    <t>SBA 26/694</t>
  </si>
  <si>
    <t>“Geriatri Polikliniğine Başvuran 65 Yaş ve Üzeri Hastalarda İzole Sistolik Hipertansiyon Sıklığı ve İlişkili Geriatrik Faktörlerin Değerlendirilmesi”</t>
  </si>
  <si>
    <t>695.</t>
  </si>
  <si>
    <t>SBA 26/695</t>
  </si>
  <si>
    <t>Üniversitemiz Tıp Fakültesi Üroloji Anabilim Dalı öğretim üyelerinden Prof. Dr. Hasan Serkan DOĞAN’ın sorumlu araştırmacı olduğu, Arş. Gör. Dr. Rabia HİZARCİ BAL’ın uzmanlık tezi olan,</t>
  </si>
  <si>
    <t>“İşeme Disfonksiyonu Olan 6-16 Yaş Arası Hasta Grubunda Basınç Akım Çalışması Yerine Üroflov-EMG Testi Kullanılabilir mi?”</t>
  </si>
  <si>
    <t>696.</t>
  </si>
  <si>
    <t>SBA 26/696</t>
  </si>
  <si>
    <t>Doç. Dr. Elif SOYAK AYTEKİN</t>
  </si>
  <si>
    <t>Üniversitemiz Tıp Fakültesi Çocuk Sağlığı ve Hastalıkları Anabilim Dalı öğretim üyelerinden Doç. Dr. Elif SOYAK AYTEKİN’in sorumlu araştırmacı olduğu, Prof. Dr. Deniz ÇAĞDAŞ AYVAZ, Doç. Dr. Saliha ESENBOĞA ile birlikte çalışacakları Arş. Gör. Dr. Zeynep Tuğçe KARAHAN’ın uzmanlık tezi olan,</t>
  </si>
  <si>
    <t>“Doğuştan Kompleman Sistem Hastalıklarının Değerlendirilmesi”</t>
  </si>
  <si>
    <t>697.</t>
  </si>
  <si>
    <t>SBA 26/697</t>
  </si>
  <si>
    <t>Üniversitemiz Tıp Fakültesi İç Hastalıkları Anabilim Dalı öğretim üyelerinden Prof. Dr. Taylan KAV’ın sorumlu araştırmacı olduğu, Dr. Öğr. Üyesi Bengi ÖZTÜRK, Arş. Gör. Dr. Beyza ATAY, Arş Gör. Dr. Abdurrahman ÖZKAN ile birlikte çalışacakları,</t>
  </si>
  <si>
    <t>“Kapsül Endoskopide Yapay Zekâ Modalitelerinin Tanısal Lezyon Doğruluklarının Karşılaştırılması”</t>
  </si>
  <si>
    <t>698.</t>
  </si>
  <si>
    <t>SBA 26/698</t>
  </si>
  <si>
    <t>Doç. Dr. Gözde HONDUR</t>
  </si>
  <si>
    <t>Sağlık Bilimleri Üniversitesi
Ulucanlar Göz Eğitim ve Araştırma Hastanesi</t>
  </si>
  <si>
    <t>Sağlık Bilimleri Üniversitesi Ulucanlar Göz Eğitim ve Araştırma Hastanesi öğretim üyelerinden Doç. Dr. Gözde HONDUR'un sorumlu araştırmacı olduğu, Dr. Öğr. Üyesi Elif KARAKOÇ, Prof. Dr. Sevda F. MÜFTÜOĞLU, Arş. Gör. Dr. Büşra TURPÇUOĞLU ve Arş. Gör. Dr. Sezai Berkand KOÇAK ile birlikte çalışacakları,</t>
  </si>
  <si>
    <t>“Gonyoskopi Yardımlı Transluminal Trabekülotomi (GATT) Başarısızlığı Sonrası Trabekülektomi Sırasında Elde Edilen Korneaskleral Dokunun Histolojik Olarak Değerlendirilmesi”</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</si>
  <si>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</si>
  <si>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</si>
  <si>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</si>
  <si>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</si>
  <si>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</si>
  <si>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</si>
  <si>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</si>
  <si>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</si>
  <si>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</si>
  <si>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</si>
  <si>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</si>
  <si>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</si>
  <si>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</si>
  <si>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</si>
  <si>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</si>
  <si>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</si>
  <si>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</si>
  <si>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</si>
  <si>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</si>
  <si>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</si>
  <si>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</si>
  <si>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</si>
  <si>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</si>
  <si>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</si>
  <si>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</si>
  <si>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</si>
  <si>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</si>
  <si>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</si>
  <si>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</si>
  <si>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</si>
  <si>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</si>
  <si>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</si>
  <si>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</si>
  <si>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</si>
  <si>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</si>
  <si>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</si>
  <si>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</si>
  <si>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</si>
  <si>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</si>
  <si>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</si>
  <si>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</si>
  <si>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</si>
  <si>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</si>
  <si>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BOŞ KURUL KARARI 1</t>
  </si>
  <si>
    <t>(Kurula girmiş, karar girilmemiş)</t>
  </si>
  <si>
    <t>"Kadın Hastalarda Herediter Anjioödemin Seyri ve Klinik Özellikleri"</t>
  </si>
  <si>
    <t>adet boş karar</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</si>
  <si>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</si>
  <si>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</si>
  <si>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</si>
  <si>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</si>
  <si>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</si>
  <si>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</si>
  <si>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</si>
  <si>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</si>
  <si>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</si>
  <si>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</si>
  <si>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</si>
  <si>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</si>
  <si>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</si>
  <si>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</si>
  <si>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</si>
  <si>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</si>
  <si>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</si>
  <si>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</si>
  <si>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</si>
  <si>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</si>
  <si>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</si>
  <si>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</si>
  <si>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</si>
  <si>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</si>
  <si>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</si>
  <si>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</si>
  <si>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</si>
  <si>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</si>
  <si>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</si>
  <si>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</si>
  <si>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</si>
  <si>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</si>
  <si>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</si>
  <si>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</si>
  <si>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</si>
  <si>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</si>
  <si>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</si>
  <si>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</si>
  <si>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</si>
  <si>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</si>
  <si>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</si>
  <si>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</si>
  <si>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</si>
  <si>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</si>
  <si>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</si>
  <si>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</si>
  <si>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</si>
  <si>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</si>
  <si>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</si>
  <si>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</si>
  <si>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</si>
  <si>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</si>
  <si>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</si>
  <si>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</si>
  <si>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</si>
  <si>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</si>
  <si>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</si>
  <si>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</si>
  <si>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</si>
  <si>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</si>
  <si>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</si>
  <si>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</si>
  <si>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</si>
  <si>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</si>
  <si>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</si>
  <si>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</si>
  <si>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</si>
  <si>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</si>
  <si>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</si>
  <si>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</si>
  <si>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</si>
  <si>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</si>
  <si>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</si>
  <si>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</si>
  <si>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</si>
  <si>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</si>
  <si>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</si>
  <si>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</si>
  <si>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</si>
  <si>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</si>
  <si>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</si>
  <si>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</si>
  <si>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</si>
  <si>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</si>
  <si>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</si>
  <si>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</si>
  <si>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</si>
  <si>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</si>
  <si>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</si>
  <si>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</si>
  <si>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</si>
  <si>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</si>
  <si>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</si>
  <si>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</si>
  <si>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</si>
  <si>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</si>
  <si>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</si>
  <si>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</si>
  <si>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</si>
  <si>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</si>
  <si>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</si>
  <si>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</si>
  <si>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</si>
  <si>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</si>
  <si>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</si>
  <si>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</si>
  <si>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</si>
  <si>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</si>
  <si>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</si>
  <si>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</si>
  <si>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</si>
  <si>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</si>
  <si>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</si>
  <si>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</si>
  <si>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</si>
  <si>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</si>
  <si>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</si>
  <si>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</si>
  <si>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</si>
  <si>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</si>
  <si>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</si>
  <si>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</si>
  <si>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</si>
  <si>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</si>
  <si>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</si>
  <si>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</si>
  <si>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</si>
  <si>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</si>
  <si>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</si>
  <si>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</si>
  <si>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</si>
  <si>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</si>
  <si>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</si>
  <si>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</si>
  <si>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</si>
  <si>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</si>
  <si>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</si>
  <si>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</si>
  <si>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</si>
  <si>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</si>
  <si>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</si>
  <si>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</si>
  <si>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</si>
  <si>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</si>
  <si>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</si>
  <si>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</si>
  <si>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</si>
  <si>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</si>
  <si>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</si>
  <si>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</si>
  <si>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</si>
  <si>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</si>
  <si>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</si>
  <si>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</si>
  <si>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</si>
  <si>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</si>
  <si>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</si>
  <si>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</si>
  <si>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</si>
  <si>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</si>
  <si>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</si>
  <si>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</si>
  <si>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</si>
  <si>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</si>
  <si>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</si>
  <si>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</si>
  <si>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</si>
  <si>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</si>
  <si>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</si>
  <si>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</si>
  <si>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</si>
  <si>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</si>
  <si>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</si>
  <si>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</si>
  <si>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</si>
  <si>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</si>
  <si>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</si>
  <si>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</si>
  <si>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</si>
  <si>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</si>
  <si>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</si>
  <si>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</si>
  <si>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</si>
  <si>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</si>
  <si>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</si>
  <si>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</si>
  <si>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</si>
  <si>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</si>
  <si>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</si>
  <si>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</si>
  <si>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</si>
  <si>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</si>
  <si>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</si>
  <si>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</si>
  <si>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</si>
  <si>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</si>
  <si>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</si>
  <si>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</si>
  <si>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</si>
  <si>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</si>
  <si>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</si>
  <si>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</si>
  <si>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</si>
  <si>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</si>
  <si>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</si>
  <si>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</si>
  <si>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</si>
  <si>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</si>
  <si>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</si>
  <si>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</si>
  <si>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</si>
  <si>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</si>
  <si>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</si>
  <si>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</si>
  <si>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</si>
  <si>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</si>
  <si>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</si>
  <si>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</si>
  <si>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</si>
  <si>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</si>
  <si>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</si>
  <si>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</si>
  <si>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</si>
  <si>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</si>
  <si>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</si>
  <si>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</si>
  <si>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</si>
  <si>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</si>
  <si>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</si>
  <si>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</si>
  <si>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</si>
  <si>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</si>
  <si>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</si>
  <si>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</si>
  <si>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</si>
  <si>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</si>
  <si>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</si>
  <si>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</si>
  <si>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</si>
  <si>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</si>
  <si>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</si>
  <si>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</si>
  <si>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</si>
  <si>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</si>
  <si>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</si>
  <si>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</si>
  <si>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</si>
  <si>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</si>
  <si>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</si>
  <si>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</si>
  <si>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</si>
  <si>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</si>
  <si>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</si>
  <si>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</si>
  <si>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</si>
  <si>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</si>
  <si>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</si>
  <si>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</si>
  <si>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</si>
  <si>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</si>
  <si>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</si>
  <si>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</si>
  <si>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</si>
  <si>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</si>
  <si>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</si>
  <si>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</si>
  <si>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</si>
  <si>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</si>
  <si>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</si>
  <si>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</si>
  <si>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</si>
  <si>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</si>
  <si>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</si>
  <si>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</si>
  <si>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</si>
  <si>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</si>
  <si>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</si>
  <si>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</si>
  <si>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</si>
  <si>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</si>
  <si>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</si>
  <si>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</si>
  <si>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</si>
  <si>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</si>
  <si>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</si>
  <si>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</si>
  <si>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</si>
  <si>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</si>
  <si>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</si>
  <si>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</si>
  <si>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</si>
  <si>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</si>
  <si>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</si>
  <si>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</si>
  <si>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</si>
  <si>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</si>
  <si>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</si>
  <si>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</si>
  <si>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</si>
  <si>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</si>
  <si>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</si>
  <si>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</si>
  <si>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</si>
  <si>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</si>
  <si>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</si>
  <si>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</si>
  <si>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</si>
  <si>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</si>
  <si>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</si>
  <si>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</si>
  <si>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</si>
  <si>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</si>
  <si>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</si>
  <si>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</si>
  <si>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</si>
  <si>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</si>
  <si>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</si>
  <si>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</si>
  <si>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</si>
  <si>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</si>
  <si>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</si>
  <si>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</si>
  <si>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</si>
  <si>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</si>
  <si>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</si>
  <si>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</si>
  <si>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</si>
  <si>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</si>
  <si>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</si>
  <si>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</si>
  <si>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</si>
  <si>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</si>
  <si>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</si>
  <si>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</si>
  <si>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</si>
  <si>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</si>
  <si>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</si>
  <si>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</si>
  <si>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</si>
  <si>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</si>
  <si>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</si>
  <si>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</si>
  <si>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</si>
  <si>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</si>
  <si>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</si>
  <si>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</si>
  <si>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</si>
  <si>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</si>
  <si>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</si>
  <si>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</si>
  <si>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</si>
  <si>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</si>
  <si>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</si>
  <si>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</si>
  <si>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</si>
  <si>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</si>
  <si>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</si>
  <si>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</si>
  <si>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</si>
  <si>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</si>
  <si>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</si>
  <si>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</si>
  <si>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</si>
  <si>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</si>
  <si>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</si>
  <si>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</si>
  <si>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</si>
  <si>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</si>
  <si>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</si>
  <si>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</si>
  <si>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</si>
  <si>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</si>
  <si>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</si>
  <si>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</si>
  <si>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</si>
  <si>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</si>
  <si>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</si>
  <si>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</si>
  <si>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</si>
  <si>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</si>
  <si>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</si>
  <si>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</si>
  <si>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</si>
  <si>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</si>
  <si>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</si>
  <si>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</si>
  <si>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</si>
  <si>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</si>
  <si>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</si>
  <si>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</si>
  <si>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</si>
  <si>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</si>
  <si>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</si>
  <si>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</si>
  <si>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</si>
  <si>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</si>
  <si>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</si>
  <si>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</si>
  <si>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</si>
  <si>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</si>
  <si>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</si>
  <si>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</si>
  <si>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</si>
  <si>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</si>
  <si>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</si>
  <si>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</si>
  <si>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</si>
  <si>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</si>
  <si>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</si>
  <si>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</si>
  <si>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</si>
  <si>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</si>
  <si>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</si>
  <si>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</si>
  <si>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</si>
  <si>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</si>
  <si>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</si>
  <si>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</si>
  <si>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</si>
  <si>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</si>
  <si>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</si>
  <si>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</si>
  <si>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</si>
  <si>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</si>
  <si>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</si>
  <si>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</si>
  <si>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</si>
  <si>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</si>
  <si>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</si>
  <si>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</si>
  <si>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</si>
  <si>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</si>
  <si>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</si>
  <si>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</si>
  <si>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</si>
  <si>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</si>
  <si>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</si>
  <si>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</si>
  <si>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</si>
  <si>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</si>
  <si>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</si>
  <si>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</si>
  <si>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</si>
  <si>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</si>
  <si>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</si>
  <si>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</si>
  <si>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</si>
  <si>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</si>
  <si>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</si>
  <si>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</si>
  <si>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</si>
  <si>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</si>
  <si>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</si>
  <si>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</si>
  <si>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</si>
  <si>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</si>
  <si>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</si>
  <si>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</si>
  <si>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</si>
  <si>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</si>
  <si>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</si>
  <si>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</si>
  <si>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</si>
  <si>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</si>
  <si>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</si>
  <si>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</si>
  <si>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</si>
  <si>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</si>
  <si>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</si>
  <si>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</si>
  <si>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</si>
  <si>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</si>
  <si>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</si>
  <si>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</si>
  <si>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</si>
  <si>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</si>
  <si>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</si>
  <si>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</si>
  <si>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</si>
  <si>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</si>
  <si>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</si>
  <si>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</si>
  <si>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</si>
  <si>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</si>
  <si>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</si>
  <si>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</si>
  <si>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</si>
  <si>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</si>
  <si>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</si>
  <si>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</si>
  <si>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</si>
  <si>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</si>
  <si>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</si>
  <si>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</si>
  <si>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</si>
  <si>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</si>
  <si>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</si>
  <si>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</si>
  <si>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</si>
  <si>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</si>
  <si>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</si>
  <si>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</si>
  <si>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</si>
  <si>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</si>
  <si>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</si>
  <si>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</si>
  <si>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</si>
  <si>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</si>
  <si>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</si>
  <si>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</si>
  <si>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</si>
  <si>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</si>
  <si>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</si>
  <si>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</si>
  <si>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</si>
  <si>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</si>
  <si>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</si>
  <si>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</si>
  <si>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</si>
  <si>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</si>
  <si>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</si>
  <si>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</si>
  <si>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</si>
  <si>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</si>
  <si>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</si>
  <si>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</si>
  <si>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</si>
  <si>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</si>
  <si>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</si>
  <si>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</si>
  <si>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</si>
  <si>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</si>
  <si>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</si>
  <si>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</si>
  <si>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</si>
  <si>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</si>
  <si>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</si>
  <si>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</si>
  <si>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</si>
  <si>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</si>
  <si>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</si>
  <si>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</si>
  <si>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</si>
  <si>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</si>
  <si>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</si>
  <si>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</si>
  <si>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</si>
  <si>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</si>
  <si>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</si>
  <si>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</si>
  <si>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</si>
  <si>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</si>
  <si>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</si>
  <si>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</si>
  <si>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</si>
  <si>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</si>
  <si>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</si>
  <si>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</si>
  <si>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</si>
  <si>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</si>
  <si>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</si>
  <si>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</si>
  <si>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</si>
  <si>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</si>
  <si>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</si>
  <si>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</si>
  <si>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</si>
  <si>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</si>
  <si>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</si>
  <si>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</si>
  <si>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</si>
  <si>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</si>
  <si>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</si>
  <si>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</si>
  <si>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</si>
  <si>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</si>
  <si>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</si>
  <si>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</si>
  <si>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</si>
  <si>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</si>
  <si>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</si>
  <si>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</si>
  <si>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</si>
  <si>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</si>
  <si>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</si>
  <si>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</si>
  <si>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</si>
  <si>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</si>
  <si>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</si>
  <si>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</si>
  <si>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</si>
  <si>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</si>
  <si>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</si>
  <si>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</si>
  <si>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</si>
  <si>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</si>
  <si>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</si>
  <si>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</si>
  <si>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</si>
  <si>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</si>
  <si>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</si>
  <si>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</si>
  <si>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</si>
  <si>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</si>
  <si>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</si>
  <si>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</si>
  <si>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</si>
  <si>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</si>
  <si>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</si>
  <si>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</si>
  <si>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</si>
  <si>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</si>
  <si>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</si>
  <si>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</si>
  <si>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</si>
  <si>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</si>
  <si>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</si>
  <si>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</si>
  <si>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</si>
  <si>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</si>
  <si>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</si>
  <si>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</si>
  <si>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</si>
  <si>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</si>
  <si>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</si>
  <si>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</si>
  <si>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</si>
  <si>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</si>
  <si>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</si>
  <si>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</si>
  <si>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</si>
  <si>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</si>
  <si>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</si>
  <si>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</si>
  <si>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</si>
  <si>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</si>
  <si>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</si>
  <si>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</si>
  <si>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</si>
  <si>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</si>
  <si>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</si>
  <si>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</si>
  <si>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</si>
  <si>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</si>
  <si>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</si>
  <si>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</si>
  <si>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</si>
  <si>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</si>
  <si>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</si>
  <si>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</si>
  <si>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</si>
  <si>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</si>
  <si>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</si>
  <si>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</si>
  <si>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</si>
  <si>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</si>
  <si>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</si>
  <si>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</si>
  <si>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</si>
  <si>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</si>
  <si>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</si>
  <si>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</si>
  <si>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</si>
  <si>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</si>
  <si>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</si>
  <si>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</si>
  <si>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</si>
  <si>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</si>
  <si>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</si>
  <si>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</si>
  <si>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</si>
  <si>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</si>
  <si>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</si>
  <si>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</si>
  <si>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</si>
  <si>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</si>
  <si>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</si>
  <si>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</si>
  <si>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</si>
  <si>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</si>
  <si>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</si>
  <si>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</si>
  <si>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</si>
  <si>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</si>
  <si>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</si>
  <si>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</si>
  <si>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</si>
  <si>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</si>
  <si>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</si>
  <si>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</si>
  <si>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</si>
  <si>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</si>
  <si>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</si>
  <si>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</si>
  <si>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</si>
  <si>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</si>
  <si>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</si>
  <si>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</si>
  <si>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</si>
  <si>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</si>
  <si>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</si>
  <si>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</si>
  <si>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</si>
  <si>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</si>
  <si>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</si>
  <si>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</si>
  <si>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</si>
  <si>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</si>
  <si>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</si>
  <si>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</si>
  <si>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</si>
  <si>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</si>
  <si>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</si>
  <si>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</si>
  <si>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</si>
  <si>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</si>
  <si>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</si>
  <si>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</si>
  <si>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</si>
  <si>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</si>
  <si>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</si>
  <si>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</si>
  <si>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</si>
  <si>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</si>
  <si>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</si>
  <si>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</si>
  <si>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</si>
  <si>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</si>
  <si>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</si>
  <si>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</si>
  <si>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</si>
  <si>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</si>
  <si>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</si>
  <si>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</si>
  <si>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</si>
  <si>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</si>
  <si>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</si>
  <si>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</si>
  <si>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</si>
  <si>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</si>
  <si>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</si>
  <si>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</si>
  <si>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</si>
  <si>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</si>
  <si>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</si>
  <si>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</si>
  <si>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</si>
  <si>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</si>
  <si>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</si>
  <si>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</si>
  <si>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</si>
  <si>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</si>
  <si>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</si>
  <si>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</si>
  <si>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</si>
  <si>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</si>
  <si>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</si>
  <si>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</si>
  <si>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</si>
  <si>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</si>
  <si>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</si>
  <si>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</si>
  <si>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</si>
  <si>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</si>
  <si>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</si>
  <si>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</si>
  <si>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</si>
  <si>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</si>
  <si>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</si>
  <si>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</si>
  <si>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</si>
  <si>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</si>
  <si>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</si>
  <si>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</si>
  <si>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</si>
  <si>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</si>
  <si>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</si>
  <si>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</si>
  <si>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</si>
  <si>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</si>
  <si>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</si>
  <si>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</si>
  <si>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</si>
  <si>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</si>
  <si>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</si>
  <si>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</si>
  <si>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</si>
  <si>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</si>
  <si>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</si>
  <si>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</si>
  <si>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</si>
  <si>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</si>
  <si>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</si>
  <si>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</si>
  <si>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</si>
  <si>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</si>
  <si>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</si>
  <si>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</si>
  <si>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</si>
  <si>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</si>
  <si>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</si>
  <si>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</si>
  <si>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</si>
  <si>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</si>
  <si>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</si>
  <si>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</si>
  <si>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</si>
  <si>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</si>
  <si>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</si>
  <si>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</si>
  <si>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</si>
  <si>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</si>
  <si>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</si>
  <si>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</si>
  <si>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</si>
  <si>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</si>
  <si>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</si>
  <si>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</si>
  <si>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</si>
  <si>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</si>
  <si>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</si>
  <si>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</si>
  <si>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</si>
  <si>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</si>
  <si>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</si>
  <si>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</si>
  <si>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</si>
  <si>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</si>
  <si>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</si>
  <si>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</si>
  <si>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</si>
  <si>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</si>
  <si>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</si>
  <si>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</si>
  <si>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</si>
  <si>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</si>
  <si>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</si>
  <si>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</si>
  <si>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</si>
  <si>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</si>
  <si>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</si>
  <si>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</si>
  <si>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</si>
  <si>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</si>
  <si>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</si>
  <si>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</si>
  <si>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</si>
  <si>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</si>
  <si>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</si>
  <si>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</si>
  <si>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</si>
  <si>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</si>
  <si>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</si>
  <si>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</si>
  <si>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</si>
  <si>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</si>
  <si>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</si>
  <si>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</si>
  <si>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</si>
  <si>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</si>
  <si>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</si>
  <si>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</si>
  <si>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</si>
  <si>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</si>
  <si>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</si>
  <si>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</si>
  <si>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</si>
  <si>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</si>
  <si>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</si>
  <si>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</si>
  <si>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</si>
  <si>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</si>
  <si>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</si>
  <si>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</si>
  <si>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</si>
  <si>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</si>
  <si>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</si>
  <si>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</si>
  <si>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</si>
  <si>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</si>
  <si>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</si>
  <si>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</si>
  <si>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</si>
  <si>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</si>
  <si>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</si>
  <si>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</si>
  <si>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</si>
  <si>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</si>
  <si>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</si>
  <si>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</si>
  <si>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</si>
  <si>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</si>
  <si>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</si>
  <si>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</si>
  <si>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</si>
  <si>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</si>
  <si>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</si>
  <si>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</si>
  <si>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</si>
  <si>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</si>
  <si>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</si>
  <si>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</si>
  <si>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</si>
  <si>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</si>
  <si>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</si>
  <si>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</si>
  <si>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</si>
  <si>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</si>
  <si>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</si>
  <si>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</si>
  <si>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</si>
  <si>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</si>
  <si>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</si>
  <si>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</si>
  <si>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</si>
  <si>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</si>
  <si>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</si>
  <si>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</si>
  <si>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</si>
  <si>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</si>
  <si>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</si>
  <si>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</si>
  <si>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</si>
  <si>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</si>
  <si>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</si>
  <si>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</si>
  <si>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</si>
  <si>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</si>
  <si>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</si>
  <si>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</si>
  <si>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</si>
  <si>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</si>
  <si>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</si>
  <si>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</si>
  <si>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</si>
  <si>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</si>
  <si>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</si>
  <si>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</si>
  <si>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</si>
  <si>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</si>
  <si>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</si>
  <si>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</si>
  <si>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</si>
  <si>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</si>
  <si>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</si>
  <si>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</si>
  <si>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</si>
  <si>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</si>
  <si>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</si>
  <si>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</si>
  <si>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</si>
  <si>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</si>
  <si>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</si>
  <si>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</si>
  <si>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</si>
  <si>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</si>
  <si>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</si>
  <si>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</si>
  <si>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</si>
  <si>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</si>
  <si>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</si>
  <si>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</si>
  <si>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</si>
  <si>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</si>
  <si>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</si>
  <si>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</si>
  <si>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</si>
  <si>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</si>
  <si>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</si>
  <si>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</si>
  <si>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</si>
  <si>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</si>
  <si>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</si>
  <si>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</si>
  <si>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</si>
  <si>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</si>
  <si>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</si>
  <si>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</si>
  <si>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</si>
  <si>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</si>
  <si>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</si>
  <si>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</si>
  <si>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</si>
  <si>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</si>
  <si>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</si>
  <si>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</si>
  <si>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</si>
  <si>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</si>
  <si>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</si>
  <si>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</si>
  <si>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</si>
  <si>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</si>
  <si>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</si>
  <si>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</si>
  <si>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</si>
  <si>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</si>
  <si>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</si>
  <si>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</si>
  <si>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</si>
  <si>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</si>
  <si>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</si>
  <si>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</si>
  <si>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</si>
  <si>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</si>
  <si>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</si>
  <si>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</si>
  <si>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</si>
  <si>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</si>
  <si>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</si>
  <si>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</si>
  <si>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</si>
  <si>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</si>
  <si>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</si>
  <si>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</si>
  <si>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</si>
  <si>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</si>
  <si>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</si>
  <si>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</si>
  <si>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</si>
  <si>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</si>
  <si>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</si>
  <si>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</si>
  <si>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</si>
  <si>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</si>
  <si>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</si>
  <si>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</si>
  <si>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</si>
  <si>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</si>
  <si>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</si>
  <si>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</si>
  <si>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</si>
  <si>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</si>
  <si>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</si>
  <si>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</si>
  <si>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</si>
  <si>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</si>
  <si>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</si>
  <si>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</si>
  <si>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</si>
  <si>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</si>
  <si>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</si>
  <si>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</si>
  <si>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</si>
  <si>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</si>
  <si>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</si>
  <si>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</si>
  <si>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</si>
  <si>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</si>
  <si>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</si>
  <si>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</si>
  <si>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</si>
  <si>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</si>
  <si>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</si>
  <si>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</si>
  <si>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</si>
  <si>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</si>
  <si>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</si>
  <si>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</si>
  <si>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</si>
  <si>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</si>
  <si>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</si>
  <si>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</si>
  <si>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</si>
  <si>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</si>
  <si>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</si>
  <si>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</si>
  <si>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</si>
  <si>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</si>
  <si>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</si>
  <si>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</si>
  <si>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</si>
  <si>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</si>
  <si>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</si>
  <si>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</si>
  <si>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</si>
  <si>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</si>
  <si>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</si>
  <si>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</si>
  <si>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</si>
  <si>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</si>
  <si>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</si>
  <si>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</si>
  <si>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</si>
  <si>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</si>
  <si>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</si>
  <si>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</si>
  <si>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</si>
  <si>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</si>
  <si>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</si>
  <si>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</si>
  <si>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</si>
  <si>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</si>
  <si>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</si>
  <si>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</si>
  <si>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</si>
  <si>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</si>
  <si>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</si>
  <si>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</si>
  <si>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</si>
  <si>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</si>
  <si>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</si>
  <si>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</si>
  <si>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</si>
  <si>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</si>
  <si>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</si>
  <si>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</si>
  <si>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</si>
  <si>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</si>
  <si>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</si>
  <si>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</si>
  <si>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</si>
  <si>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</si>
  <si>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</si>
  <si>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Başvuru sayfasına eklendiğinde bu sayfa ve Birim sayfası otomatik günceller (Excel açılışında veya F9 ile yeniden hesaplatın).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</si>
  <si>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</si>
  <si>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</si>
  <si>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</si>
  <si>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</si>
  <si>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</si>
  <si>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</si>
  <si>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</si>
  <si>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</si>
  <si>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</si>
  <si>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</si>
  <si>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</si>
  <si>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</si>
  <si>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</si>
  <si>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</si>
  <si>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</si>
  <si>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</si>
  <si>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</si>
  <si>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</si>
  <si>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</si>
  <si>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</si>
  <si>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</si>
  <si>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</si>
  <si>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</si>
  <si>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</si>
  <si>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</si>
  <si>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</si>
  <si>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</si>
  <si>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</si>
  <si>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</si>
  <si>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</si>
  <si>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</si>
  <si>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</si>
  <si>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</si>
  <si>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</si>
  <si>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</si>
  <si>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</si>
  <si>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</si>
  <si>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</si>
  <si>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</si>
  <si>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</si>
  <si>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</si>
  <si>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</si>
  <si>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</si>
  <si>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</si>
  <si>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</si>
  <si>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</si>
  <si>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</si>
  <si>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</si>
  <si>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</si>
  <si>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</si>
  <si>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</si>
  <si>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</si>
  <si>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</si>
  <si>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</si>
  <si>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</si>
  <si>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</si>
  <si>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</si>
  <si>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</si>
  <si>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</si>
  <si>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</si>
  <si>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</si>
  <si>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</si>
  <si>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</si>
  <si>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</si>
  <si>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</si>
  <si>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</si>
  <si>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</si>
  <si>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</si>
  <si>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</si>
  <si>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</si>
  <si>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</si>
  <si>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</si>
  <si>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</si>
  <si>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</si>
  <si>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</si>
  <si>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</si>
  <si>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</si>
  <si>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</si>
  <si>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</si>
  <si>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</si>
  <si>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</si>
  <si>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</si>
  <si>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</si>
  <si>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</si>
  <si>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</si>
  <si>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</si>
  <si>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</si>
  <si>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</si>
  <si>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</si>
  <si>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</si>
  <si>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</si>
  <si>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</si>
  <si>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</si>
  <si>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</si>
  <si>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</si>
  <si>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</si>
  <si>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</si>
  <si>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</si>
  <si>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</si>
  <si>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</si>
  <si>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</si>
  <si>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</si>
  <si>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</si>
  <si>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</si>
  <si>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</si>
  <si>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</si>
  <si>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</si>
  <si>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</si>
  <si>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</si>
  <si>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</si>
  <si>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</si>
  <si>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</si>
  <si>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</si>
  <si>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</si>
  <si>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</si>
  <si>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</si>
  <si>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</si>
  <si>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</si>
  <si>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</si>
  <si>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</si>
  <si>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</si>
  <si>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</si>
  <si>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</si>
  <si>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</si>
  <si>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</si>
  <si>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</si>
  <si>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</si>
  <si>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</si>
  <si>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</si>
  <si>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</si>
  <si>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</si>
  <si>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</si>
  <si>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</si>
  <si>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</si>
  <si>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</si>
  <si>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</si>
  <si>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</si>
  <si>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</si>
  <si>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</si>
  <si>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</si>
  <si>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</si>
  <si>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</si>
  <si>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</si>
  <si>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</si>
  <si>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</si>
  <si>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</si>
  <si>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</si>
  <si>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</si>
  <si>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</si>
  <si>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</si>
  <si>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</si>
  <si>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</si>
  <si>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</si>
  <si>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</si>
  <si>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</si>
  <si>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</si>
  <si>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</si>
  <si>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</si>
  <si>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</si>
  <si>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</si>
  <si>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</si>
  <si>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</si>
  <si>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</si>
  <si>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</si>
  <si>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</si>
  <si>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</si>
  <si>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</si>
  <si>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</si>
  <si>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</si>
  <si>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</si>
  <si>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</si>
  <si>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</si>
  <si>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</si>
  <si>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</si>
  <si>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</si>
  <si>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</si>
  <si>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</si>
  <si>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</si>
  <si>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</si>
  <si>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</si>
  <si>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</si>
  <si>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</si>
  <si>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</si>
  <si>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</si>
  <si>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</si>
  <si>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</si>
  <si>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</si>
  <si>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</si>
  <si>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</si>
  <si>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</si>
  <si>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</si>
  <si>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</si>
  <si>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</si>
  <si>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</si>
  <si>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</si>
  <si>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</si>
  <si>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</si>
  <si>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</si>
  <si>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</si>
  <si>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</si>
  <si>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</si>
  <si>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</si>
  <si>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</si>
  <si>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</si>
  <si>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</si>
  <si>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</si>
  <si>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</si>
  <si>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</si>
  <si>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</si>
  <si>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</si>
  <si>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</si>
  <si>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</si>
  <si>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</si>
  <si>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</si>
  <si>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</si>
  <si>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</si>
  <si>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</si>
  <si>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</si>
  <si>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</si>
  <si>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</si>
  <si>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</si>
  <si>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</si>
  <si>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</si>
  <si>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</si>
  <si>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</si>
  <si>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</si>
  <si>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</si>
  <si>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</si>
  <si>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</si>
  <si>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</si>
  <si>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</si>
  <si>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</si>
  <si>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</si>
  <si>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</si>
  <si>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</si>
  <si>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</si>
  <si>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</si>
  <si>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</si>
  <si>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</si>
  <si>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</si>
  <si>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</si>
  <si>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</si>
  <si>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</si>
  <si>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</si>
  <si>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</si>
  <si>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</si>
  <si>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</si>
  <si>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</si>
  <si>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</si>
  <si>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</si>
  <si>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</si>
  <si>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</si>
  <si>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</si>
  <si>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</si>
  <si>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</si>
  <si>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</si>
  <si>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</si>
  <si>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</si>
  <si>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</si>
  <si>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</si>
  <si>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</si>
  <si>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</si>
  <si>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</si>
  <si>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</si>
  <si>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</si>
  <si>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</si>
  <si>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</si>
  <si>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</si>
  <si>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</si>
  <si>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</si>
  <si>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</si>
  <si>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</si>
  <si>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</si>
  <si>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</si>
  <si>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</si>
  <si>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</si>
  <si>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</si>
  <si>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</si>
  <si>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</si>
  <si>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</si>
  <si>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</si>
  <si>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</si>
  <si>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</si>
  <si>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</si>
  <si>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</si>
  <si>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</si>
  <si>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</si>
  <si>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</si>
  <si>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</si>
  <si>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</si>
  <si>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</si>
  <si>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</si>
  <si>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</si>
  <si>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</si>
  <si>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</si>
  <si>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</si>
  <si>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</si>
  <si>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</si>
  <si>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</si>
  <si>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</si>
  <si>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</si>
  <si>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</si>
  <si>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</si>
  <si>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</si>
  <si>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</si>
  <si>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</si>
  <si>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</si>
  <si>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</si>
  <si>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</si>
  <si>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</si>
  <si>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</si>
  <si>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SBA 25/217</t>
  </si>
  <si>
    <t>SBA 25/218</t>
  </si>
  <si>
    <t>SBA 25/219</t>
  </si>
  <si>
    <t>SBA 25/220</t>
  </si>
  <si>
    <t>Prof. Dr. Banu TAVAT</t>
  </si>
  <si>
    <t>SBA 25/221</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</si>
  <si>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</si>
  <si>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</si>
  <si>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</si>
  <si>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</si>
  <si>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</si>
  <si>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</si>
  <si>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</si>
  <si>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</si>
  <si>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</si>
  <si>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</si>
  <si>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</si>
  <si>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</si>
  <si>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</si>
  <si>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</si>
  <si>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</si>
  <si>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</si>
  <si>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</si>
  <si>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</si>
  <si>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</si>
  <si>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</si>
  <si>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</si>
  <si>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</si>
  <si>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</si>
  <si>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</si>
  <si>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</si>
  <si>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</si>
  <si>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</si>
  <si>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</si>
  <si>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</si>
  <si>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</si>
  <si>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</si>
  <si>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</si>
  <si>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</si>
  <si>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</si>
  <si>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</si>
  <si>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</si>
  <si>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</si>
  <si>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</si>
  <si>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</si>
  <si>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</si>
  <si>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</si>
  <si>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</si>
  <si>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</si>
  <si>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</si>
  <si>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</si>
  <si>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</si>
  <si>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</si>
  <si>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</si>
  <si>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</si>
  <si>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</si>
  <si>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</si>
  <si>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</si>
  <si>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</si>
  <si>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</si>
  <si>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</si>
  <si>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</si>
  <si>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</si>
  <si>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</si>
  <si>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</si>
  <si>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</si>
  <si>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</si>
  <si>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</si>
  <si>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</si>
  <si>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</si>
  <si>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</si>
  <si>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</si>
  <si>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</si>
  <si>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</si>
  <si>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</si>
  <si>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</si>
  <si>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</si>
  <si>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</si>
  <si>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</si>
  <si>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</si>
  <si>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</si>
  <si>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</si>
  <si>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</si>
  <si>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</si>
  <si>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</si>
  <si>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</si>
  <si>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</si>
  <si>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</si>
  <si>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</si>
  <si>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</si>
  <si>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</si>
  <si>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</si>
  <si>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</si>
  <si>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</si>
  <si>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</si>
  <si>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</si>
  <si>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</si>
  <si>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</si>
  <si>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</si>
  <si>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</si>
  <si>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</si>
  <si>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</si>
  <si>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</si>
  <si>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</si>
  <si>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</si>
  <si>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</si>
  <si>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</si>
  <si>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</si>
  <si>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</si>
  <si>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</si>
  <si>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</si>
  <si>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</si>
  <si>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</si>
  <si>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</si>
  <si>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</si>
  <si>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</si>
  <si>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</si>
  <si>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</si>
  <si>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</si>
  <si>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</si>
  <si>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</si>
  <si>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</si>
  <si>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</si>
  <si>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</si>
  <si>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</si>
  <si>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</si>
  <si>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</si>
  <si>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</si>
  <si>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</si>
  <si>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</si>
  <si>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</si>
  <si>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</si>
  <si>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</si>
  <si>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</si>
  <si>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</si>
  <si>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</si>
  <si>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</si>
  <si>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</si>
  <si>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</si>
  <si>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</si>
  <si>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</si>
  <si>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</si>
  <si>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</si>
  <si>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</si>
  <si>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</si>
  <si>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</si>
  <si>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</si>
  <si>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</si>
  <si>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</si>
  <si>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</si>
  <si>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</si>
  <si>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</si>
  <si>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</si>
  <si>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</si>
  <si>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</si>
  <si>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</si>
  <si>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</si>
  <si>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</si>
  <si>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</si>
  <si>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</si>
  <si>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</si>
  <si>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</si>
  <si>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</si>
  <si>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</si>
  <si>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</si>
  <si>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</si>
  <si>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</si>
  <si>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</si>
  <si>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</si>
  <si>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</si>
  <si>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</si>
  <si>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</si>
  <si>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</si>
  <si>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</si>
  <si>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</si>
  <si>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</si>
  <si>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</si>
  <si>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</si>
  <si>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</si>
  <si>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</si>
  <si>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</si>
  <si>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</si>
  <si>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</si>
  <si>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</si>
  <si>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</si>
  <si>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</si>
  <si>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</si>
  <si>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</si>
  <si>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</si>
  <si>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</si>
  <si>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</si>
  <si>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</si>
  <si>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</si>
  <si>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</si>
  <si>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</si>
  <si>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</si>
  <si>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</si>
  <si>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</si>
  <si>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</si>
  <si>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</si>
  <si>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</si>
  <si>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</si>
  <si>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</si>
  <si>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</si>
  <si>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</si>
  <si>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</si>
  <si>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</si>
  <si>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</si>
  <si>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</si>
  <si>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</si>
  <si>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</si>
  <si>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</si>
  <si>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</si>
  <si>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</si>
  <si>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</si>
  <si>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</si>
  <si>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</si>
  <si>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</si>
  <si>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</si>
  <si>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</si>
  <si>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</si>
  <si>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</si>
  <si>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</si>
  <si>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</si>
  <si>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</si>
  <si>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</si>
  <si>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</si>
  <si>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</si>
  <si>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</si>
  <si>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</si>
  <si>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</si>
  <si>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</si>
  <si>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</si>
  <si>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</si>
  <si>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</si>
  <si>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</si>
  <si>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</si>
  <si>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</si>
  <si>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</si>
  <si>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</si>
  <si>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</si>
  <si>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</si>
  <si>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</si>
  <si>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</si>
  <si>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</si>
  <si>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</si>
  <si>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</si>
  <si>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</si>
  <si>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</si>
  <si>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</si>
  <si>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</si>
  <si>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</si>
  <si>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</si>
  <si>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</si>
  <si>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</si>
  <si>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</si>
  <si>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</si>
  <si>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</si>
  <si>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</si>
  <si>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</si>
  <si>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</si>
  <si>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</si>
  <si>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</si>
  <si>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</si>
  <si>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</si>
  <si>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</si>
  <si>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</si>
  <si>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</si>
  <si>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</si>
  <si>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</si>
  <si>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</si>
  <si>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</si>
  <si>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</si>
  <si>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</si>
  <si>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</si>
  <si>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</si>
  <si>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</si>
  <si>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</si>
  <si>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</si>
  <si>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</si>
  <si>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</si>
  <si>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</si>
  <si>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</si>
  <si>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</si>
  <si>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</si>
  <si>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</si>
  <si>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</si>
  <si>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</si>
  <si>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</si>
  <si>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</si>
  <si>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</si>
  <si>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</si>
  <si>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</si>
  <si>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</si>
  <si>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</si>
  <si>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</si>
  <si>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</si>
  <si>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</si>
  <si>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</si>
  <si>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</si>
  <si>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</si>
  <si>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</si>
  <si>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</si>
  <si>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</si>
  <si>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</si>
  <si>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</si>
  <si>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</si>
  <si>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</si>
  <si>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</si>
  <si>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</si>
  <si>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</si>
  <si>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</si>
  <si>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</si>
  <si>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</si>
  <si>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</si>
  <si>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</si>
  <si>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</si>
  <si>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</si>
  <si>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</si>
  <si>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</si>
  <si>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</si>
  <si>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</si>
  <si>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</si>
  <si>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</si>
  <si>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</si>
  <si>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</si>
  <si>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</si>
  <si>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</si>
  <si>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</si>
  <si>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</si>
  <si>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</si>
  <si>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</si>
  <si>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</si>
  <si>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</si>
  <si>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</si>
  <si>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</si>
  <si>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</si>
  <si>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</si>
  <si>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</si>
  <si>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</si>
  <si>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</si>
  <si>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</si>
  <si>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</si>
  <si>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</si>
  <si>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</si>
  <si>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</si>
  <si>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</si>
  <si>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</si>
  <si>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</si>
  <si>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</si>
  <si>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</si>
  <si>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</si>
  <si>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</si>
  <si>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</si>
  <si>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</si>
  <si>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</si>
  <si>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</si>
  <si>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</si>
  <si>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</si>
  <si>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</si>
  <si>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</si>
  <si>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</si>
  <si>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</si>
  <si>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</si>
  <si>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</si>
  <si>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</si>
  <si>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</si>
  <si>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</si>
  <si>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</si>
  <si>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</si>
  <si>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</si>
  <si>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</si>
  <si>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</si>
  <si>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</si>
  <si>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</si>
  <si>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</si>
  <si>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</si>
  <si>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</si>
  <si>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</si>
  <si>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</si>
  <si>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</si>
  <si>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</si>
  <si>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</si>
  <si>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</si>
  <si>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</si>
  <si>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</si>
  <si>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</si>
  <si>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</si>
  <si>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</si>
  <si>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</si>
  <si>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</si>
  <si>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</si>
  <si>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</si>
  <si>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</si>
  <si>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</si>
  <si>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</si>
  <si>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</si>
  <si>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</si>
  <si>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</si>
  <si>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</si>
  <si>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</si>
  <si>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</si>
  <si>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</si>
  <si>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</si>
  <si>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</si>
  <si>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</si>
  <si>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</si>
  <si>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</si>
  <si>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</si>
  <si>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</si>
  <si>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</si>
  <si>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</si>
  <si>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</si>
  <si>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</si>
  <si>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</si>
  <si>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</si>
  <si>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</si>
  <si>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</si>
  <si>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</si>
  <si>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</si>
  <si>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</si>
  <si>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</si>
  <si>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</si>
  <si>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</si>
  <si>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</si>
  <si>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</si>
  <si>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</si>
  <si>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</si>
  <si>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</si>
  <si>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</si>
  <si>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</si>
  <si>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</si>
  <si>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</si>
  <si>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</si>
  <si>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</si>
  <si>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</si>
  <si>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</si>
  <si>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</si>
  <si>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</si>
  <si>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</si>
  <si>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</si>
  <si>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</si>
  <si>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</si>
  <si>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</si>
  <si>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</si>
  <si>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</si>
  <si>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</si>
  <si>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</si>
  <si>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</si>
  <si>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</si>
  <si>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</si>
  <si>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</si>
  <si>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</si>
  <si>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</si>
  <si>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</si>
  <si>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</si>
  <si>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</si>
  <si>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</si>
  <si>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</si>
  <si>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</si>
  <si>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</si>
  <si>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</si>
  <si>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</si>
  <si>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</si>
  <si>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</si>
  <si>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</si>
  <si>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</si>
  <si>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</si>
  <si>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</si>
  <si>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</si>
  <si>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</si>
  <si>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</si>
  <si>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</si>
  <si>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</si>
  <si>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</si>
  <si>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</si>
  <si>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</si>
  <si>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</si>
  <si>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</si>
  <si>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</si>
  <si>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</si>
  <si>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</si>
  <si>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</si>
  <si>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</si>
  <si>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</si>
  <si>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</si>
  <si>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</si>
  <si>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</si>
  <si>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</si>
  <si>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</si>
  <si>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</si>
  <si>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</si>
  <si>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</si>
  <si>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</si>
  <si>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</si>
  <si>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</si>
  <si>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</si>
  <si>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</si>
  <si>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</si>
  <si>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</si>
  <si>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</si>
  <si>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</si>
  <si>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</si>
  <si>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</si>
  <si>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</si>
  <si>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</si>
  <si>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</si>
  <si>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</si>
  <si>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</si>
  <si>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</si>
  <si>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</si>
  <si>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</si>
  <si>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</si>
  <si>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</si>
  <si>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</si>
  <si>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</si>
  <si>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</si>
  <si>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</si>
  <si>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</si>
  <si>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</si>
  <si>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</si>
  <si>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</si>
  <si>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</si>
  <si>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</si>
  <si>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</si>
  <si>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</si>
  <si>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</si>
  <si>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</si>
  <si>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</si>
  <si>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</si>
  <si>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</si>
  <si>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</si>
  <si>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</si>
  <si>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</si>
  <si>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</si>
  <si>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</si>
  <si>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</si>
  <si>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</si>
  <si>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</si>
  <si>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</si>
  <si>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</si>
  <si>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</si>
  <si>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</si>
  <si>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</si>
  <si>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</si>
  <si>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</si>
  <si>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</si>
  <si>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</si>
  <si>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</si>
  <si>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</si>
  <si>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</si>
  <si>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</si>
  <si>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</si>
  <si>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</si>
  <si>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</si>
  <si>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</si>
  <si>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</si>
  <si>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</si>
  <si>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</si>
  <si>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</si>
  <si>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</si>
  <si>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</si>
  <si>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</si>
  <si>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</si>
  <si>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</si>
  <si>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</si>
  <si>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</si>
  <si>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</si>
  <si>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</si>
  <si>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</si>
  <si>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</si>
  <si>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</si>
  <si>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</si>
  <si>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</si>
  <si>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</si>
  <si>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</si>
  <si>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</si>
  <si>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</si>
  <si>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</si>
  <si>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</si>
  <si>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</si>
  <si>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</si>
  <si>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</si>
  <si>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</si>
  <si>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</si>
  <si>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</si>
  <si>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</si>
  <si>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</si>
  <si>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</si>
  <si>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</si>
  <si>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</si>
  <si>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</si>
  <si>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</si>
  <si>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</si>
  <si>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</si>
  <si>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</si>
  <si>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</si>
  <si>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</si>
  <si>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</si>
  <si>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</si>
  <si>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</si>
  <si>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</si>
  <si>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</si>
  <si>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</si>
  <si>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</si>
  <si>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</si>
  <si>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</si>
  <si>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</si>
  <si>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</si>
  <si>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</si>
  <si>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</si>
  <si>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</si>
  <si>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</si>
  <si>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</si>
  <si>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</si>
  <si>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</si>
  <si>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</si>
  <si>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</si>
  <si>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</si>
  <si>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</si>
  <si>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</si>
  <si>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</si>
  <si>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</si>
  <si>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</si>
  <si>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</si>
  <si>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</si>
  <si>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</si>
  <si>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</si>
  <si>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</si>
  <si>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</si>
  <si>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</si>
  <si>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</si>
  <si>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</si>
  <si>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</si>
  <si>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</si>
  <si>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</si>
  <si>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</si>
  <si>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</si>
  <si>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</si>
  <si>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</si>
  <si>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</si>
  <si>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</si>
  <si>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</si>
  <si>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</si>
  <si>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</si>
  <si>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</si>
  <si>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</si>
  <si>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</si>
  <si>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</si>
  <si>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</si>
  <si>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</si>
  <si>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</si>
  <si>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</si>
  <si>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</si>
  <si>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</si>
  <si>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</si>
  <si>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</si>
  <si>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</si>
  <si>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</si>
  <si>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</si>
  <si>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</si>
  <si>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</si>
  <si>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</si>
  <si>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</si>
  <si>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</si>
  <si>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</si>
  <si>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</si>
  <si>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</si>
  <si>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</si>
  <si>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</si>
  <si>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</si>
  <si>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</si>
  <si>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</si>
  <si>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</si>
  <si>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</si>
  <si>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</si>
  <si>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</si>
  <si>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</si>
  <si>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</si>
  <si>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</si>
  <si>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</si>
  <si>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</si>
  <si>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</si>
  <si>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</si>
  <si>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</si>
  <si>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</si>
  <si>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</si>
  <si>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</si>
  <si>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</si>
  <si>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</si>
  <si>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</si>
  <si>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</si>
  <si>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</si>
  <si>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</si>
  <si>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</si>
  <si>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</si>
  <si>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</si>
  <si>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</si>
  <si>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</si>
  <si>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</si>
  <si>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</si>
  <si>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</si>
  <si>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</si>
  <si>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</si>
  <si>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</si>
  <si>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</si>
  <si>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</si>
  <si>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</si>
  <si>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</si>
  <si>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</si>
  <si>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</si>
  <si>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</si>
  <si>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</si>
  <si>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</si>
  <si>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</si>
  <si>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</si>
  <si>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</si>
  <si>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</si>
  <si>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</si>
  <si>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</si>
  <si>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</si>
  <si>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</si>
  <si>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</si>
  <si>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</si>
  <si>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</si>
  <si>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</si>
  <si>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</si>
  <si>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</si>
  <si>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</si>
  <si>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</si>
  <si>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</si>
  <si>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</si>
  <si>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</si>
  <si>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</si>
  <si>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</si>
  <si>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</si>
  <si>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</si>
  <si>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</si>
  <si>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</si>
  <si>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</si>
  <si>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</si>
  <si>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</si>
  <si>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</si>
  <si>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</si>
  <si>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</si>
  <si>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</si>
  <si>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</si>
  <si>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</si>
  <si>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</si>
  <si>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</si>
  <si>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</si>
  <si>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</si>
  <si>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</si>
  <si>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</si>
  <si>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</si>
  <si>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</si>
  <si>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</si>
  <si>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</si>
  <si>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</si>
  <si>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</si>
  <si>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</si>
  <si>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</si>
  <si>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</si>
  <si>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</si>
  <si>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</si>
  <si>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</si>
  <si>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</si>
  <si>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</si>
  <si>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</si>
  <si>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</si>
  <si>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</si>
  <si>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</si>
  <si>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</si>
  <si>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</si>
  <si>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</si>
  <si>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</si>
  <si>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</si>
  <si>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</si>
  <si>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</si>
  <si>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</si>
  <si>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</si>
  <si>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</si>
  <si>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</si>
  <si>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</si>
  <si>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</si>
  <si>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</si>
  <si>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</si>
  <si>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</si>
  <si>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</si>
  <si>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</si>
  <si>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</si>
  <si>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</si>
  <si>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</si>
  <si>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</si>
  <si>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</si>
  <si>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</si>
  <si>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</si>
  <si>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</si>
  <si>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</si>
  <si>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</si>
  <si>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</si>
  <si>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</si>
  <si>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</si>
  <si>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</si>
  <si>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</si>
  <si>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</si>
  <si>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</si>
  <si>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</si>
  <si>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</si>
  <si>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</si>
  <si>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</si>
  <si>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</si>
  <si>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</si>
  <si>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</si>
  <si>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</si>
  <si>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</si>
  <si>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</si>
  <si>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</si>
  <si>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</si>
  <si>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</si>
  <si>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</si>
  <si>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</si>
  <si>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</si>
  <si>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</si>
  <si>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</si>
  <si>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</si>
  <si>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</si>
  <si>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</si>
  <si>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</si>
  <si>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</si>
  <si>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</si>
  <si>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</si>
  <si>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</si>
  <si>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</si>
  <si>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</si>
  <si>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</si>
  <si>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</si>
  <si>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</si>
  <si>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</si>
  <si>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</si>
  <si>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</si>
  <si>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</si>
  <si>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</si>
  <si>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</si>
  <si>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</si>
  <si>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</si>
  <si>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</si>
  <si>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</si>
  <si>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</si>
  <si>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</si>
  <si>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</si>
  <si>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</si>
  <si>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</si>
  <si>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</si>
  <si>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</si>
  <si>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</si>
  <si>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</si>
  <si>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</si>
  <si>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</si>
  <si>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</si>
  <si>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</si>
  <si>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</si>
  <si>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</si>
  <si>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</si>
  <si>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</si>
  <si>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</si>
  <si>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</si>
  <si>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</si>
  <si>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</si>
  <si>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</si>
  <si>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</si>
  <si>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</si>
  <si>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</si>
  <si>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</si>
  <si>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</si>
  <si>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</si>
  <si>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</si>
  <si>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</si>
  <si>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</si>
  <si>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</si>
  <si>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</si>
  <si>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</si>
  <si>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</si>
  <si>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</si>
  <si>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</si>
  <si>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</si>
  <si>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</si>
  <si>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</si>
  <si>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</si>
  <si>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</si>
  <si>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</si>
  <si>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</si>
  <si>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</si>
  <si>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</si>
  <si>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</si>
  <si>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</si>
  <si>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</si>
  <si>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</si>
  <si>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</si>
  <si>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</si>
  <si>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</si>
  <si>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</si>
  <si>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</si>
  <si>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</si>
  <si>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</si>
  <si>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</si>
  <si>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</si>
  <si>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</si>
  <si>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</si>
  <si>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</si>
  <si>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</si>
  <si>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</si>
  <si>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</si>
  <si>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</si>
  <si>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</si>
  <si>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</si>
  <si>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</si>
  <si>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</si>
  <si>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</si>
  <si>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</si>
  <si>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</si>
  <si>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</si>
  <si>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</si>
  <si>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</si>
  <si>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</si>
  <si>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</si>
  <si>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</si>
  <si>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</si>
  <si>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</si>
  <si>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</si>
  <si>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</si>
  <si>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</si>
  <si>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</si>
  <si>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</si>
  <si>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</si>
  <si>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</si>
  <si>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</si>
  <si>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</si>
  <si>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</si>
  <si>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</si>
  <si>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</si>
  <si>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</si>
  <si>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</si>
  <si>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</si>
  <si>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</si>
  <si>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</si>
  <si>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</si>
  <si>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</si>
  <si>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</si>
  <si>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</si>
  <si>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</si>
  <si>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</si>
  <si>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</si>
  <si>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</si>
  <si>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</si>
  <si>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</si>
  <si>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</si>
  <si>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</si>
  <si>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</si>
  <si>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</si>
  <si>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</si>
  <si>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</si>
  <si>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</si>
  <si>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</si>
  <si>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</si>
  <si>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</si>
  <si>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</si>
  <si>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</si>
  <si>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</si>
  <si>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</si>
  <si>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</si>
  <si>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</si>
  <si>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</si>
  <si>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</si>
  <si>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</si>
  <si>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</si>
  <si>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</si>
  <si>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</si>
  <si>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</si>
  <si>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</si>
  <si>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</si>
  <si>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</si>
  <si>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</si>
  <si>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</si>
  <si>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</si>
  <si>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</si>
  <si>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</si>
  <si>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</si>
  <si>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</si>
  <si>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</si>
  <si>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</si>
  <si>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</si>
  <si>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</si>
  <si>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</si>
  <si>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</si>
  <si>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</si>
  <si>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</si>
  <si>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</si>
  <si>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</si>
  <si>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</si>
  <si>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</si>
  <si>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</si>
  <si>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</si>
  <si>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</si>
  <si>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</si>
  <si>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</si>
  <si>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</si>
  <si>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</si>
  <si>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</si>
  <si>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</si>
  <si>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</si>
  <si>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</si>
  <si>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</si>
  <si>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</si>
  <si>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</si>
  <si>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</si>
  <si>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</si>
  <si>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</si>
  <si>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</si>
  <si>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</si>
  <si>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</si>
  <si>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</si>
  <si>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</si>
  <si>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</si>
  <si>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</si>
  <si>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</si>
  <si>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</si>
  <si>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</si>
  <si>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</si>
  <si>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</si>
  <si>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</si>
  <si>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</si>
  <si>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</si>
  <si>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</si>
  <si>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</si>
  <si>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</si>
  <si>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</si>
  <si>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</si>
  <si>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</si>
  <si>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</si>
  <si>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</si>
  <si>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</si>
  <si>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</si>
  <si>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</si>
  <si>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</si>
  <si>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</si>
  <si>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</si>
  <si>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</si>
  <si>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</si>
  <si>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</si>
  <si>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</si>
  <si>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</si>
  <si>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</si>
  <si>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</si>
  <si>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</si>
  <si>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</si>
  <si>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</si>
  <si>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</si>
  <si>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</si>
  <si>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</si>
  <si>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</si>
  <si>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</si>
  <si>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</si>
  <si>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</si>
  <si>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</si>
  <si>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</si>
  <si>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</si>
  <si>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</si>
  <si>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</si>
  <si>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</si>
  <si>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</si>
  <si>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</si>
  <si>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</si>
  <si>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</si>
  <si>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</si>
  <si>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</si>
  <si>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</si>
  <si>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</si>
  <si>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</si>
  <si>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</si>
  <si>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</si>
  <si>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</si>
  <si>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</si>
  <si>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</si>
  <si>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</si>
  <si>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</si>
  <si>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</si>
  <si>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</si>
  <si>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</si>
  <si>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</si>
  <si>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</si>
  <si>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</si>
  <si>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</si>
  <si>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</si>
  <si>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</si>
  <si>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</si>
  <si>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</si>
  <si>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</si>
  <si>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</si>
  <si>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</si>
  <si>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</si>
  <si>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</si>
  <si>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</si>
  <si>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</si>
  <si>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</si>
  <si>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</si>
  <si>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</si>
  <si>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</si>
  <si>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</si>
  <si>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</si>
  <si>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</si>
  <si>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</si>
  <si>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</si>
  <si>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</si>
  <si>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</si>
  <si>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</si>
  <si>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</si>
  <si>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</si>
  <si>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</si>
  <si>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</si>
  <si>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</si>
  <si>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</si>
  <si>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</si>
  <si>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</si>
  <si>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</si>
  <si>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</si>
  <si>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</si>
  <si>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</si>
  <si>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</si>
  <si>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</si>
  <si>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</si>
  <si>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</si>
  <si>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</si>
  <si>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</si>
  <si>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</si>
  <si>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</si>
  <si>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</si>
  <si>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</si>
  <si>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</si>
  <si>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</si>
  <si>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</si>
  <si>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</si>
  <si>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</si>
  <si>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</si>
  <si>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</si>
  <si>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</si>
  <si>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</si>
  <si>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</si>
  <si>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</si>
  <si>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</si>
  <si>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</si>
  <si>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</si>
  <si>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</si>
  <si>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</si>
  <si>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</si>
  <si>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</si>
  <si>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</si>
  <si>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</si>
  <si>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</si>
  <si>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</si>
  <si>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</si>
  <si>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</si>
  <si>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</si>
  <si>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</si>
  <si>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</si>
  <si>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</si>
  <si>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</si>
  <si>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</si>
  <si>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</si>
  <si>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</si>
  <si>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</si>
  <si>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</si>
  <si>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</si>
  <si>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</si>
  <si>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</si>
  <si>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</si>
  <si>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</si>
  <si>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</si>
  <si>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</si>
  <si>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</si>
  <si>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</si>
  <si>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</si>
  <si>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</si>
  <si>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</si>
  <si>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</si>
  <si>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</si>
  <si>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</si>
  <si>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</si>
  <si>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</si>
  <si>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</si>
  <si>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</si>
  <si>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</si>
  <si>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</si>
  <si>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</si>
  <si>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</si>
  <si>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</si>
  <si>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</si>
  <si>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</si>
  <si>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</si>
  <si>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</si>
  <si>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</si>
  <si>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</si>
  <si>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</si>
  <si>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</si>
  <si>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</si>
  <si>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</si>
  <si>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</si>
  <si>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</si>
  <si>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</si>
  <si>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</si>
  <si>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</si>
  <si>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</si>
  <si>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</si>
  <si>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</si>
  <si>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</si>
  <si>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</si>
  <si>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</si>
  <si>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</si>
  <si>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</si>
  <si>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</si>
  <si>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</si>
  <si>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</si>
  <si>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</si>
  <si>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</si>
  <si>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</si>
  <si>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</si>
  <si>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</si>
  <si>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</si>
  <si>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</si>
  <si>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</si>
  <si>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</si>
  <si>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</si>
  <si>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</si>
  <si>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</si>
  <si>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</si>
  <si>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</si>
  <si>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</si>
  <si>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</si>
  <si>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</si>
  <si>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</si>
  <si>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</si>
  <si>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</si>
  <si>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</si>
  <si>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</si>
  <si>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</si>
  <si>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</si>
  <si>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</si>
  <si>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</si>
  <si>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</si>
  <si>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</si>
  <si>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</si>
  <si>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</si>
  <si>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</si>
  <si>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</si>
  <si>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</si>
  <si>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</si>
  <si>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</si>
  <si>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</si>
  <si>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</si>
  <si>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</si>
  <si>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</si>
  <si>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</si>
  <si>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</si>
  <si>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</si>
  <si>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</si>
  <si>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</si>
  <si>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</si>
  <si>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</si>
  <si>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</si>
  <si>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</si>
  <si>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</si>
  <si>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</si>
  <si>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</si>
  <si>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</si>
  <si>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</si>
  <si>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</si>
  <si>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</si>
  <si>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</si>
  <si>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</si>
  <si>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</si>
  <si>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</si>
  <si>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</si>
  <si>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</si>
  <si>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</si>
  <si>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</si>
  <si>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</si>
  <si>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</si>
  <si>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</si>
  <si>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</si>
  <si>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</si>
  <si>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</si>
  <si>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</si>
  <si>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</si>
  <si>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</si>
  <si>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</si>
  <si>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</si>
  <si>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</si>
  <si>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</si>
  <si>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</si>
  <si>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</si>
  <si>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</si>
  <si>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</si>
  <si>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</si>
  <si>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</si>
  <si>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</si>
  <si>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</si>
  <si>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</si>
  <si>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</si>
  <si>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</si>
  <si>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</si>
  <si>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</si>
  <si>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</si>
  <si>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</si>
  <si>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</si>
  <si>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</si>
  <si>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</si>
  <si>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</si>
  <si>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</si>
  <si>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</si>
  <si>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</si>
  <si>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</si>
  <si>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</si>
  <si>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</si>
  <si>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</si>
  <si>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</si>
  <si>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</si>
  <si>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</si>
  <si>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</si>
  <si>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</si>
  <si>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</si>
  <si>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</si>
  <si>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</si>
  <si>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</si>
  <si>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</si>
  <si>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</si>
  <si>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</si>
  <si>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</si>
  <si>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</si>
  <si>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</si>
  <si>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</si>
  <si>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Göz Hastalıkları Anabilim Dalı öğretim üyelerinden Prof. Dr. Faruk ÖZTÜRK’ün sorumlu araştırmacı olduğu, Prof. Dr. Güliz Fatma YAVAŞ, Doç. Dr. Ayşe İlksen ÇOLPAK IŞIKAY ile birlikte çalışacakları ve Arş. Gör. Dr. Berk ŞAHAN'ın uzmanlık tezi olan,</t>
  </si>
  <si>
    <t>“Psödotümör Serebri Hastalarında Yapısal, Vasküler ve Fonksiyonel Değişikliklerin Değerlendirilmesi”</t>
  </si>
  <si>
    <t>Prof. Dr. Faruk ÖZTÜRK</t>
  </si>
  <si>
    <t>Üniversitemiz Diş Hekimliği Fakültesi Restoratif Diş Tedavisi Anabilim Dalı öğretim üyelerinden Dr. Öğr. Üyesi Aybüke USLU TEKCE’nin sorumlu araştırmacı olduğu, Arş. Gör. Dt. Ceren Serra CUZDAN ve Arş. Gör. Dt. Deniz ÖZDEMİR ile birlikte çalışacakları,</t>
  </si>
  <si>
    <t>“Beyaz Nokta Lezyonlarinin Tedavisinde Lazer Desteğinin İn Vitro Değerlendirilmesi”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</si>
</sst>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3"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family val="2"/>
      <charset val="162"/>
    </font>
    <font>
      <b/>
      <sz val="11"/>
      <color rgb="FFFFFFFF"/>
      <name val="Calibri"/>
      <family val="2"/>
      <charset val="162"/>
    </font>
    <font>
      <b/>
      <sz val="10"/>
      <color rgb="FF1B3A4B"/>
      <name val="Calibri"/>
      <family val="2"/>
      <charset val="162"/>
    </font>
    <font>
      <b/>
      <sz val="11"/>
      <color rgb="FF1B3A4B"/>
      <name val="Calibri"/>
      <family val="2"/>
      <charset val="162"/>
    </font>
    <font>
      <i/>
      <sz val="9"/>
      <color rgb="FF555555"/>
      <name val="Calibri"/>
      <family val="2"/>
      <charset val="162"/>
    </font>
    <font>
      <b/>
      <sz val="10"/>
      <color theme="5" tint="-0.249977111117893"/>
      <name val="Calibri"/>
      <family val="2"/>
      <charset val="162"/>
    </font>
    <font>
      <b/>
      <sz val="11"/>
      <color rgb="FF1A1814"/>
      <name val="Calibri"/>
      <family val="2"/>
      <charset val="162"/>
    </font>
    <font>
      <i/>
      <sz val="9"/>
      <color rgb="FF1B3A4B"/>
      <name val="Calibri"/>
      <family val="2"/>
      <charset val="162"/>
    </font>
    <font>
      <sz val="9"/>
      <color rgb="FF1B3A4B"/>
      <name val="Calibri"/>
      <family val="2"/>
      <charset val="162"/>
    </font>
    <font>
      <sz val="10"/>
      <color rgb="FF1A1814"/>
      <name val="Calibri"/>
      <family val="2"/>
      <charset val="162"/>
    </font>
    <font>
      <i/>
      <sz val="8"/>
      <color rgb="FF888888"/>
      <name val="Calibri"/>
      <family val="2"/>
      <charset val="162"/>
    </font>
    <font>
      <b/>
      <sz val="9"/>
      <color rgb="FFFFFFFF"/>
      <name val="Calibri"/>
      <family val="2"/>
      <charset val="162"/>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family val="2"/>
      <charset val="162"/>
    </font>
    <font>
      <sz val="10"/>
      <name val="Arial"/>
      <family val="2"/>
      <charset val="162"/>
    </font>
    <font>
      <i/>
      <sz val="8"/>
      <color rgb="FF9C9C9C"/>
      <name val="Calibri"/>
      <family val="2"/>
      <charset val="162"/>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i/>
      <sz val="9"/>
      <color rgb="FF595959"/>
      <name val="Arial"/>
      <family val="2"/>
      <charset val="162"/>
    </font>
    <font>
      <b/>
      <sz val="10"/>
      <color rgb="FFC00000"/>
      <name val="Arial"/>
      <family val="2"/>
      <charset val="162"/>
    </font>
    <font>
      <sz val="9"/>
      <color rgb="FF595959"/>
      <name val="Arial"/>
      <family val="2"/>
      <charset val="162"/>
    </font>
    <font>
      <b/>
      <sz val="9"/>
      <color rgb="FFC00000"/>
      <name val="Arial"/>
      <family val="2"/>
      <charset val="162"/>
    </font>
    <font>
      <b/>
      <sz val="13"/>
      <color rgb="FFFFFFFF"/>
      <name val="Arial"/>
      <family val="2"/>
      <charset val="162"/>
    </font>
    <font>
      <i/>
      <sz val="9"/>
      <color rgb="FF404040"/>
      <name val="Arial"/>
      <family val="2"/>
      <charset val="162"/>
    </font>
    <font>
      <b/>
      <sz val="11"/>
      <color rgb="FFFFFFFF"/>
      <name val="Arial"/>
      <family val="2"/>
      <charset val="162"/>
    </font>
    <font>
      <b/>
      <sz val="10"/>
      <name val="Arial"/>
      <family val="2"/>
      <charset val="162"/>
    </font>
    <font>
      <b/>
      <sz val="11"/>
      <color rgb="FF1F3864"/>
      <name val="Arial"/>
      <family val="2"/>
      <charset val="162"/>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family val="2"/>
      <charset val="162"/>
    </font>
    <font>
      <i/>
      <sz val="9"/>
      <color rgb="FFFFFFFF"/>
      <name val="Calibri"/>
      <family val="2"/>
      <charset val="162"/>
    </font>
    <font>
      <b/>
      <sz val="8"/>
      <color rgb="FFFFFFFF"/>
      <name val="Calibri"/>
      <family val="2"/>
      <charset val="162"/>
    </font>
    <font>
      <b/>
      <sz val="10"/>
      <color rgb="FFFFFFFF"/>
      <name val="Calibri"/>
      <family val="2"/>
      <charset val="162"/>
    </font>
    <font>
      <b/>
      <sz val="8"/>
      <color rgb="FF1B5E20"/>
      <name val="Calibri"/>
      <family val="2"/>
      <charset val="162"/>
    </font>
    <font>
      <b/>
      <sz val="8"/>
      <color rgb="FFE65100"/>
      <name val="Calibri"/>
      <family val="2"/>
      <charset val="162"/>
    </font>
    <font>
      <b/>
      <sz val="8"/>
      <color rgb="FF4527A0"/>
      <name val="Calibri"/>
      <family val="2"/>
      <charset val="162"/>
    </font>
    <font>
      <b/>
      <sz val="8"/>
      <color rgb="FF1565C0"/>
      <name val="Calibri"/>
      <family val="2"/>
      <charset val="162"/>
    </font>
    <font>
      <b/>
      <sz val="8"/>
      <color rgb="FFC62828"/>
      <name val="Calibri"/>
      <family val="2"/>
      <charset val="162"/>
    </font>
    <font>
      <b/>
      <sz val="8"/>
      <color rgb="FF616161"/>
      <name val="Calibri"/>
      <family val="2"/>
      <charset val="162"/>
    </font>
    <font>
      <b/>
      <sz val="8"/>
      <color rgb="FF795548"/>
      <name val="Calibri"/>
      <family val="2"/>
      <charset val="162"/>
    </font>
    <font>
      <sz val="7"/>
      <color rgb="FF999999"/>
      <name val="Calibri"/>
      <family val="2"/>
      <charset val="162"/>
    </font>
    <font>
      <sz val="8"/>
      <color rgb="FF757575"/>
      <name val="Calibri"/>
      <family val="2"/>
      <charset val="162"/>
    </font>
    <font>
      <sz val="9"/>
      <color rgb="FF1A1814"/>
      <name val="Calibri"/>
      <family val="2"/>
      <charset val="162"/>
    </font>
    <font>
      <sz val="9"/>
      <color rgb="FF2D6A8A"/>
      <name val="Calibri"/>
      <family val="2"/>
      <charset val="162"/>
    </font>
    <font>
      <sz val="9"/>
      <color rgb="FF1B5E20"/>
      <name val="Calibri"/>
      <family val="2"/>
      <charset val="162"/>
    </font>
    <font>
      <sz val="9"/>
      <color rgb="FFE65100"/>
      <name val="Calibri"/>
      <family val="2"/>
      <charset val="162"/>
    </font>
    <font>
      <sz val="9"/>
      <color rgb="FF4527A0"/>
      <name val="Calibri"/>
      <family val="2"/>
      <charset val="162"/>
    </font>
    <font>
      <sz val="9"/>
      <color rgb="FF1565C0"/>
      <name val="Calibri"/>
      <family val="2"/>
      <charset val="162"/>
    </font>
    <font>
      <sz val="9"/>
      <color rgb="FFC62828"/>
      <name val="Calibri"/>
      <family val="2"/>
      <charset val="162"/>
    </font>
    <font>
      <sz val="9"/>
      <color rgb="FF616161"/>
      <name val="Calibri"/>
      <family val="2"/>
      <charset val="162"/>
    </font>
    <font>
      <sz val="9"/>
      <color rgb="FF795548"/>
      <name val="Calibri"/>
      <family val="2"/>
      <charset val="162"/>
    </font>
    <font>
      <sz val="8"/>
      <color rgb="FF999999"/>
      <name val="Calibri"/>
      <family val="2"/>
      <charset val="162"/>
    </font>
    <font>
      <sz val="9"/>
      <color rgb="FF404040"/>
      <name val="Arial"/>
      <family val="2"/>
      <charset val="162"/>
    </font>
    <font>
      <b/>
      <sz val="9"/>
      <color rgb="FFFFFFFF"/>
      <name val="Arial"/>
      <family val="2"/>
      <charset val="162"/>
    </font>
    <font>
      <sz val="9"/>
      <color rgb="FF000000"/>
      <name val="Arial"/>
      <family val="2"/>
      <charset val="162"/>
    </font>
    <font>
      <sz val="9"/>
      <name val="Arial"/>
      <family val="2"/>
      <charset val="162"/>
    </font>
    <font>
      <b/>
      <sz val="9"/>
      <color rgb="FF1F4E79"/>
      <name val="Arial"/>
      <family val="2"/>
      <charset val="162"/>
    </font>
    <font>
      <i/>
      <sz val="8"/>
      <color rgb="FF757575"/>
      <name val="Cambria"/>
      <family val="1"/>
      <charset val="162"/>
    </font>
    <font>
      <i/>
      <sz val="9"/>
      <color rgb="FF757575"/>
      <name val="Calibri"/>
      <family val="2"/>
      <charset val="162"/>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2F5597"/>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9"/>
        <bgColor rgb="FFFFF2F2"/>
      </patternFill>
    </fill>
    <fill>
      <patternFill patternType="solid">
        <fgColor theme="4" tint="-0.499984740745262"/>
        <bgColor rgb="FF2F5597"/>
      </patternFill>
    </fill>
    <fill>
      <patternFill patternType="darkGray">
        <fgColor rgb="FF775D0A"/>
        <bgColor rgb="FF645A56"/>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A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8071A"/>
      </patternFill>
    </fill>
    <fill>
      <patternFill patternType="solid">
        <fgColor rgb="FFC00000"/>
        <bgColor rgb="FFC62828"/>
      </patternFill>
    </fill>
    <fill>
      <patternFill patternType="solid">
        <fgColor rgb="FFFFF2F2"/>
        <bgColor rgb="FFFFF3E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54"/>
        <bgColor rgb="FF1F4E79"/>
      </patternFill>
    </fill>
    <fill>
      <patternFill patternType="solid">
        <fgColor rgb="FFCD5615"/>
        <bgColor rgb="FFE65100"/>
      </patternFill>
    </fill>
    <fill>
      <patternFill patternType="solid">
        <fgColor rgb="FF5B2C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2F2F2"/>
      </patternFill>
    </fill>
    <fill>
      <patternFill patternType="solid">
        <fgColor theme="8" tint="-0.249977111117893"/>
        <bgColor rgb="FF1F4E79"/>
      </patternFill>
    </fill>
  </fills>
  <borders count="29">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CD5615"/>
      </left>
      <right style="thin">
        <color rgb="FFCD5615"/>
      </right>
      <top style="thin">
        <color rgb="FFCD5615"/>
      </top>
      <bottom style="thin">
        <color rgb="FFCD5615"/>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auto="1"/>
      </left>
      <right style="thin">
        <color rgb="FFCFCBC0"/>
      </right>
      <top style="thin">
        <color rgb="FFCFCBC0"/>
      </top>
      <bottom style="thin">
        <color rgb="FFCFCBC0"/>
      </bottom>
      <diagonal/>
    </border>
    <border>
      <left style="thin">
        <color rgb="FFCFCBC0"/>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2" fillId="0" borderId="0">
      <alignment horizontal="left"/>
    </xf>
    <xf numFmtId="0" fontId="82" fillId="0" borderId="0"/>
    <xf numFmtId="0" fontId="82" fillId="0" borderId="0"/>
    <xf numFmtId="0" fontId="2" fillId="0" borderId="0"/>
    <xf numFmtId="0" fontId="2" fillId="0" borderId="0">
      <alignment horizontal="left"/>
    </xf>
    <xf numFmtId="0" fontId="82" fillId="0" borderId="0"/>
  </cellStyleXfs>
  <cellXfs count="232">
    <xf numFmtId="0" fontId="0" fillId="0" borderId="0" xfId="0"/>
    <xf numFmtId="0" fontId="37" fillId="30" borderId="6"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164" fontId="14" fillId="2" borderId="0" xfId="0" applyNumberFormat="1" applyFont="1" applyFill="1" applyAlignment="1">
      <alignment horizontal="left" vertical="center"/>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1" fillId="0" borderId="0" xfId="0" applyFont="1"/>
    <xf numFmtId="0" fontId="22"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17" fillId="0" borderId="5"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4"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6" xfId="0" applyFont="1" applyBorder="1" applyAlignment="1">
      <alignment horizontal="justify" vertical="top"/>
    </xf>
    <xf numFmtId="0" fontId="25" fillId="15" borderId="7" xfId="0" applyFont="1" applyFill="1" applyBorder="1" applyAlignment="1">
      <alignment horizontal="right" vertical="center"/>
    </xf>
    <xf numFmtId="0" fontId="25" fillId="15" borderId="8" xfId="0" applyFont="1" applyFill="1" applyBorder="1" applyAlignment="1">
      <alignment horizontal="center" vertical="center"/>
    </xf>
    <xf numFmtId="0" fontId="25" fillId="15" borderId="7" xfId="0" applyFont="1" applyFill="1" applyBorder="1" applyAlignment="1">
      <alignment horizontal="center" vertical="center"/>
    </xf>
    <xf numFmtId="0" fontId="25" fillId="15" borderId="9" xfId="0" applyFont="1" applyFill="1" applyBorder="1" applyAlignment="1">
      <alignment horizontal="center" vertical="center"/>
    </xf>
    <xf numFmtId="0" fontId="25" fillId="16" borderId="7" xfId="0" applyFont="1" applyFill="1" applyBorder="1" applyAlignment="1">
      <alignment horizontal="right" vertical="center"/>
    </xf>
    <xf numFmtId="0" fontId="25" fillId="16" borderId="8" xfId="0" applyFont="1" applyFill="1" applyBorder="1" applyAlignment="1">
      <alignment horizontal="center" vertical="center"/>
    </xf>
    <xf numFmtId="0" fontId="25" fillId="16" borderId="7" xfId="0" applyFont="1" applyFill="1" applyBorder="1" applyAlignment="1">
      <alignment horizontal="center" vertical="center"/>
    </xf>
    <xf numFmtId="0" fontId="25" fillId="16" borderId="10" xfId="0" applyFont="1" applyFill="1" applyBorder="1" applyAlignment="1">
      <alignment horizontal="center" vertical="center"/>
    </xf>
    <xf numFmtId="0" fontId="25" fillId="14" borderId="7" xfId="0" applyFont="1" applyFill="1" applyBorder="1" applyAlignment="1">
      <alignment horizontal="right" vertical="center"/>
    </xf>
    <xf numFmtId="0" fontId="25" fillId="14" borderId="8" xfId="0" applyFont="1" applyFill="1" applyBorder="1" applyAlignment="1">
      <alignment horizontal="center" vertical="center"/>
    </xf>
    <xf numFmtId="0" fontId="25" fillId="14" borderId="7" xfId="0" applyFont="1" applyFill="1" applyBorder="1" applyAlignment="1">
      <alignment horizontal="center" vertical="center"/>
    </xf>
    <xf numFmtId="0" fontId="25" fillId="17" borderId="7" xfId="0" applyFont="1" applyFill="1" applyBorder="1" applyAlignment="1">
      <alignment horizontal="right" vertical="center"/>
    </xf>
    <xf numFmtId="0" fontId="25" fillId="17" borderId="8" xfId="0" applyFont="1" applyFill="1" applyBorder="1" applyAlignment="1">
      <alignment horizontal="center" vertical="center"/>
    </xf>
    <xf numFmtId="0" fontId="25" fillId="17" borderId="7" xfId="0" applyFont="1" applyFill="1" applyBorder="1" applyAlignment="1">
      <alignment horizontal="center" vertical="center"/>
    </xf>
    <xf numFmtId="0" fontId="25" fillId="18" borderId="7" xfId="0" applyFont="1" applyFill="1" applyBorder="1" applyAlignment="1">
      <alignment horizontal="right" vertical="center"/>
    </xf>
    <xf numFmtId="0" fontId="25" fillId="18" borderId="8" xfId="0" applyFont="1" applyFill="1" applyBorder="1" applyAlignment="1">
      <alignment horizontal="center" vertical="center"/>
    </xf>
    <xf numFmtId="0" fontId="25" fillId="18" borderId="7" xfId="0" applyFont="1" applyFill="1" applyBorder="1" applyAlignment="1">
      <alignment horizontal="center" vertical="center"/>
    </xf>
    <xf numFmtId="0" fontId="25" fillId="19" borderId="10" xfId="0" applyFont="1" applyFill="1" applyBorder="1" applyAlignment="1">
      <alignment horizontal="right" vertical="center"/>
    </xf>
    <xf numFmtId="0" fontId="25" fillId="19" borderId="11" xfId="0" applyFont="1" applyFill="1" applyBorder="1" applyAlignment="1">
      <alignment horizontal="center" vertical="center"/>
    </xf>
    <xf numFmtId="0" fontId="25" fillId="19" borderId="10" xfId="0" applyFont="1" applyFill="1" applyBorder="1" applyAlignment="1">
      <alignment horizontal="center" vertical="center"/>
    </xf>
    <xf numFmtId="0" fontId="25" fillId="20" borderId="7" xfId="0" applyFont="1" applyFill="1" applyBorder="1" applyAlignment="1">
      <alignment horizontal="right" vertical="center"/>
    </xf>
    <xf numFmtId="0" fontId="25" fillId="20" borderId="8" xfId="0" applyFont="1" applyFill="1" applyBorder="1" applyAlignment="1">
      <alignment horizontal="center" vertical="center"/>
    </xf>
    <xf numFmtId="0" fontId="25" fillId="20" borderId="7" xfId="0" applyFont="1" applyFill="1" applyBorder="1" applyAlignment="1">
      <alignment horizontal="center" vertical="center"/>
    </xf>
    <xf numFmtId="0" fontId="26" fillId="14" borderId="10" xfId="0" applyFont="1" applyFill="1" applyBorder="1" applyAlignment="1">
      <alignment horizontal="right" vertical="center"/>
    </xf>
    <xf numFmtId="0" fontId="26" fillId="14" borderId="12" xfId="0" applyFont="1" applyFill="1" applyBorder="1" applyAlignment="1">
      <alignment horizontal="center" vertical="center"/>
    </xf>
    <xf numFmtId="0" fontId="26" fillId="14" borderId="10" xfId="0" applyFont="1" applyFill="1" applyBorder="1" applyAlignment="1">
      <alignment horizontal="center" vertical="center"/>
    </xf>
    <xf numFmtId="0" fontId="20" fillId="21" borderId="0" xfId="0" applyFont="1" applyFill="1" applyAlignment="1">
      <alignment horizontal="center" vertical="center"/>
    </xf>
    <xf numFmtId="0" fontId="27" fillId="0" borderId="0" xfId="0" applyFont="1" applyAlignment="1">
      <alignment horizontal="left" vertical="center"/>
    </xf>
    <xf numFmtId="0" fontId="28" fillId="0" borderId="0" xfId="0" applyFont="1" applyAlignment="1">
      <alignment horizontal="center"/>
    </xf>
    <xf numFmtId="0" fontId="29" fillId="0" borderId="0" xfId="0" applyFont="1" applyAlignment="1">
      <alignment horizontal="left" vertical="center"/>
    </xf>
    <xf numFmtId="0" fontId="30" fillId="22" borderId="13" xfId="0" applyFont="1" applyFill="1" applyBorder="1" applyAlignment="1">
      <alignment horizontal="center" vertical="center"/>
    </xf>
    <xf numFmtId="0" fontId="33" fillId="12" borderId="14" xfId="0" applyFont="1" applyFill="1" applyBorder="1" applyAlignment="1">
      <alignment horizontal="center" vertical="center" wrapText="1"/>
    </xf>
    <xf numFmtId="0" fontId="33" fillId="25" borderId="14" xfId="0" applyFont="1" applyFill="1" applyBorder="1" applyAlignment="1">
      <alignment horizontal="center" vertical="center" wrapText="1"/>
    </xf>
    <xf numFmtId="0" fontId="21" fillId="8" borderId="14" xfId="0" applyFont="1" applyFill="1" applyBorder="1" applyAlignment="1">
      <alignment horizontal="center" vertical="center" wrapText="1"/>
    </xf>
    <xf numFmtId="167" fontId="34" fillId="26" borderId="15" xfId="0" applyNumberFormat="1" applyFont="1" applyFill="1" applyBorder="1" applyAlignment="1">
      <alignment horizontal="center" vertical="center" wrapText="1"/>
    </xf>
    <xf numFmtId="0" fontId="34" fillId="8" borderId="14" xfId="0" applyFont="1" applyFill="1" applyBorder="1" applyAlignment="1">
      <alignment horizontal="center" vertical="center" wrapText="1"/>
    </xf>
    <xf numFmtId="168" fontId="21" fillId="8" borderId="14" xfId="0" applyNumberFormat="1" applyFont="1" applyFill="1" applyBorder="1" applyAlignment="1">
      <alignment horizontal="center" vertical="center" wrapText="1"/>
    </xf>
    <xf numFmtId="0" fontId="21" fillId="8" borderId="14" xfId="0" applyFont="1" applyFill="1" applyBorder="1" applyAlignment="1">
      <alignment horizontal="left" vertical="center"/>
    </xf>
    <xf numFmtId="0" fontId="21" fillId="27" borderId="14" xfId="0" applyFont="1" applyFill="1" applyBorder="1" applyAlignment="1">
      <alignment horizontal="center" vertical="center" wrapText="1"/>
    </xf>
    <xf numFmtId="0" fontId="34" fillId="27" borderId="14" xfId="0" applyFont="1" applyFill="1" applyBorder="1" applyAlignment="1">
      <alignment horizontal="center" vertical="center" wrapText="1"/>
    </xf>
    <xf numFmtId="168" fontId="21" fillId="27" borderId="14" xfId="0" applyNumberFormat="1" applyFont="1" applyFill="1" applyBorder="1" applyAlignment="1">
      <alignment horizontal="center" vertical="center" wrapText="1"/>
    </xf>
    <xf numFmtId="0" fontId="21" fillId="27" borderId="14" xfId="0" applyFont="1" applyFill="1" applyBorder="1" applyAlignment="1">
      <alignment horizontal="left" vertical="center"/>
    </xf>
    <xf numFmtId="0" fontId="21" fillId="28" borderId="14" xfId="0" applyFont="1" applyFill="1" applyBorder="1" applyAlignment="1">
      <alignment horizontal="center" vertical="center" wrapText="1"/>
    </xf>
    <xf numFmtId="0" fontId="34" fillId="28" borderId="14" xfId="0" applyFont="1" applyFill="1" applyBorder="1" applyAlignment="1">
      <alignment horizontal="center" vertical="center" wrapText="1"/>
    </xf>
    <xf numFmtId="168" fontId="21" fillId="28" borderId="14" xfId="0" applyNumberFormat="1" applyFont="1" applyFill="1" applyBorder="1" applyAlignment="1">
      <alignment horizontal="center" vertical="center" wrapText="1"/>
    </xf>
    <xf numFmtId="0" fontId="21" fillId="28" borderId="14" xfId="0" applyFont="1" applyFill="1" applyBorder="1" applyAlignment="1">
      <alignment horizontal="left" vertical="center"/>
    </xf>
    <xf numFmtId="0" fontId="34" fillId="29" borderId="14" xfId="0" applyFont="1" applyFill="1" applyBorder="1" applyAlignment="1">
      <alignment horizontal="center" vertical="center" wrapText="1"/>
    </xf>
    <xf numFmtId="168" fontId="34" fillId="29" borderId="14" xfId="0" applyNumberFormat="1" applyFont="1" applyFill="1" applyBorder="1" applyAlignment="1">
      <alignment horizontal="center" vertical="center" wrapText="1"/>
    </xf>
    <xf numFmtId="0" fontId="36" fillId="0" borderId="0" xfId="0" applyFont="1" applyAlignment="1">
      <alignment horizontal="center" vertical="center"/>
    </xf>
    <xf numFmtId="0" fontId="36" fillId="0" borderId="0" xfId="0" applyFont="1"/>
    <xf numFmtId="0" fontId="39" fillId="0" borderId="0" xfId="0" applyFont="1" applyAlignment="1">
      <alignment horizontal="center" vertical="center"/>
    </xf>
    <xf numFmtId="0" fontId="37" fillId="30" borderId="2" xfId="0" applyFont="1" applyFill="1" applyBorder="1" applyAlignment="1">
      <alignment horizontal="center" vertical="center" textRotation="90"/>
    </xf>
    <xf numFmtId="0" fontId="37" fillId="14" borderId="2" xfId="0" applyFont="1" applyFill="1" applyBorder="1" applyAlignment="1">
      <alignment horizontal="center" vertical="center" textRotation="90"/>
    </xf>
    <xf numFmtId="0" fontId="40" fillId="0" borderId="6" xfId="0" applyFont="1" applyBorder="1" applyAlignment="1">
      <alignment horizontal="center" vertical="center"/>
    </xf>
    <xf numFmtId="0" fontId="41" fillId="0" borderId="6" xfId="0" applyFont="1" applyBorder="1" applyAlignment="1">
      <alignment horizontal="justify" vertical="center"/>
    </xf>
    <xf numFmtId="0" fontId="42" fillId="0" borderId="2" xfId="0" applyFont="1" applyBorder="1" applyAlignment="1">
      <alignment horizontal="center" vertical="center"/>
    </xf>
    <xf numFmtId="0" fontId="42" fillId="24" borderId="2" xfId="0" applyFont="1" applyFill="1" applyBorder="1" applyAlignment="1">
      <alignment horizontal="center" vertical="center"/>
    </xf>
    <xf numFmtId="0" fontId="43" fillId="29" borderId="2" xfId="0" applyFont="1" applyFill="1" applyBorder="1" applyAlignment="1">
      <alignment horizontal="center" vertical="center"/>
    </xf>
    <xf numFmtId="0" fontId="43" fillId="29" borderId="4" xfId="0" applyFont="1" applyFill="1" applyBorder="1" applyAlignment="1">
      <alignment horizontal="center" vertical="center"/>
    </xf>
    <xf numFmtId="0" fontId="44" fillId="9" borderId="18" xfId="0" applyFont="1" applyFill="1" applyBorder="1" applyAlignment="1">
      <alignment horizontal="center" vertical="center"/>
    </xf>
    <xf numFmtId="0" fontId="45" fillId="10" borderId="18" xfId="0" applyFont="1" applyFill="1" applyBorder="1" applyAlignment="1">
      <alignment horizontal="center" vertical="center"/>
    </xf>
    <xf numFmtId="0" fontId="46" fillId="30" borderId="6" xfId="0" applyFont="1" applyFill="1" applyBorder="1" applyAlignment="1">
      <alignment horizontal="center" vertical="center"/>
    </xf>
    <xf numFmtId="0" fontId="46" fillId="14" borderId="0" xfId="0" applyFont="1" applyFill="1" applyAlignment="1">
      <alignment horizontal="center" vertical="center"/>
    </xf>
    <xf numFmtId="0" fontId="46" fillId="17" borderId="2" xfId="0" applyFont="1" applyFill="1" applyBorder="1" applyAlignment="1">
      <alignment horizontal="center" vertical="center"/>
    </xf>
    <xf numFmtId="0" fontId="46" fillId="17" borderId="4" xfId="0" applyFont="1" applyFill="1" applyBorder="1" applyAlignment="1">
      <alignment horizontal="center" vertical="center"/>
    </xf>
    <xf numFmtId="0" fontId="46" fillId="14" borderId="6" xfId="0" applyFont="1" applyFill="1" applyBorder="1" applyAlignment="1">
      <alignment horizontal="center" vertical="center"/>
    </xf>
    <xf numFmtId="0" fontId="38" fillId="31" borderId="18" xfId="0" applyFont="1" applyFill="1" applyBorder="1" applyAlignment="1">
      <alignment horizontal="center" vertical="center"/>
    </xf>
    <xf numFmtId="0" fontId="38" fillId="32" borderId="18" xfId="0" applyFont="1" applyFill="1" applyBorder="1" applyAlignment="1">
      <alignment horizontal="center" vertical="center"/>
    </xf>
    <xf numFmtId="0" fontId="47" fillId="0" borderId="0" xfId="0" applyFont="1" applyAlignment="1">
      <alignment horizontal="center" vertical="center"/>
    </xf>
    <xf numFmtId="0" fontId="46" fillId="0" borderId="0" xfId="0" applyFont="1" applyAlignment="1">
      <alignment vertical="center"/>
    </xf>
    <xf numFmtId="0" fontId="47" fillId="0" borderId="0" xfId="0" applyFont="1" applyAlignment="1">
      <alignment vertical="center"/>
    </xf>
    <xf numFmtId="0" fontId="46" fillId="0" borderId="20" xfId="0" applyFont="1" applyBorder="1" applyAlignment="1">
      <alignment horizontal="center" vertical="center"/>
    </xf>
    <xf numFmtId="0" fontId="46" fillId="0" borderId="19" xfId="0" applyFont="1" applyBorder="1" applyAlignment="1">
      <alignment horizontal="center" vertical="center"/>
    </xf>
    <xf numFmtId="0" fontId="48" fillId="0" borderId="0" xfId="0" applyFont="1" applyAlignment="1">
      <alignment horizontal="center" vertical="center"/>
    </xf>
    <xf numFmtId="0" fontId="19" fillId="30" borderId="6" xfId="0" applyFont="1" applyFill="1" applyBorder="1" applyAlignment="1">
      <alignment horizontal="center" vertical="center"/>
    </xf>
    <xf numFmtId="0" fontId="49" fillId="0" borderId="6" xfId="0" applyFont="1" applyBorder="1" applyAlignment="1">
      <alignment horizontal="center" vertical="center"/>
    </xf>
    <xf numFmtId="0" fontId="41" fillId="0" borderId="6" xfId="0" applyFont="1" applyBorder="1" applyAlignment="1">
      <alignment horizontal="center" vertical="center"/>
    </xf>
    <xf numFmtId="0" fontId="49" fillId="33" borderId="6" xfId="0" applyFont="1" applyFill="1" applyBorder="1" applyAlignment="1">
      <alignment horizontal="center" vertical="center"/>
    </xf>
    <xf numFmtId="0" fontId="41" fillId="33" borderId="6" xfId="0" applyFont="1" applyFill="1" applyBorder="1" applyAlignment="1">
      <alignment horizontal="justify" vertical="center"/>
    </xf>
    <xf numFmtId="0" fontId="41" fillId="33" borderId="6" xfId="0" applyFont="1" applyFill="1" applyBorder="1" applyAlignment="1">
      <alignment horizontal="center" vertical="center"/>
    </xf>
    <xf numFmtId="0" fontId="41" fillId="0" borderId="6" xfId="0" applyFont="1" applyBorder="1" applyAlignment="1">
      <alignment horizontal="left" vertical="center"/>
    </xf>
    <xf numFmtId="0" fontId="52" fillId="34" borderId="21" xfId="0" applyFont="1" applyFill="1" applyBorder="1" applyAlignment="1">
      <alignment horizontal="center" vertical="center"/>
    </xf>
    <xf numFmtId="0" fontId="14" fillId="34" borderId="21" xfId="0" applyFont="1" applyFill="1" applyBorder="1" applyAlignment="1">
      <alignment horizontal="left" vertical="center"/>
    </xf>
    <xf numFmtId="0" fontId="53" fillId="34" borderId="21" xfId="0" applyFont="1" applyFill="1" applyBorder="1" applyAlignment="1">
      <alignment horizontal="center" vertical="center"/>
    </xf>
    <xf numFmtId="0" fontId="52" fillId="3" borderId="21" xfId="0" applyFont="1" applyFill="1" applyBorder="1" applyAlignment="1">
      <alignment horizontal="center" vertical="center"/>
    </xf>
    <xf numFmtId="0" fontId="54" fillId="7" borderId="21" xfId="0" applyFont="1" applyFill="1" applyBorder="1" applyAlignment="1">
      <alignment horizontal="center" vertical="center"/>
    </xf>
    <xf numFmtId="0" fontId="55" fillId="35" borderId="21" xfId="0" applyFont="1" applyFill="1" applyBorder="1" applyAlignment="1">
      <alignment horizontal="center" vertical="center"/>
    </xf>
    <xf numFmtId="0" fontId="56" fillId="10" borderId="21" xfId="0" applyFont="1" applyFill="1" applyBorder="1" applyAlignment="1">
      <alignment horizontal="center" vertical="center"/>
    </xf>
    <xf numFmtId="0" fontId="57" fillId="36" borderId="21" xfId="0" applyFont="1" applyFill="1" applyBorder="1" applyAlignment="1">
      <alignment horizontal="center" vertical="center"/>
    </xf>
    <xf numFmtId="0" fontId="58" fillId="11" borderId="21" xfId="0" applyFont="1" applyFill="1" applyBorder="1" applyAlignment="1">
      <alignment horizontal="center" vertical="center"/>
    </xf>
    <xf numFmtId="0" fontId="59" fillId="6" borderId="21" xfId="0" applyFont="1" applyFill="1" applyBorder="1" applyAlignment="1">
      <alignment horizontal="center" vertical="center"/>
    </xf>
    <xf numFmtId="0" fontId="60" fillId="37" borderId="21" xfId="0" applyFont="1" applyFill="1" applyBorder="1" applyAlignment="1">
      <alignment horizontal="center" vertical="center"/>
    </xf>
    <xf numFmtId="0" fontId="61" fillId="38" borderId="21" xfId="0" applyFont="1" applyFill="1" applyBorder="1" applyAlignment="1">
      <alignment horizontal="center" vertical="center"/>
    </xf>
    <xf numFmtId="0" fontId="62" fillId="5" borderId="21" xfId="0" applyFont="1" applyFill="1" applyBorder="1" applyAlignment="1">
      <alignment horizontal="center" vertical="center"/>
    </xf>
    <xf numFmtId="0" fontId="63" fillId="5" borderId="21" xfId="0" applyFont="1" applyFill="1" applyBorder="1" applyAlignment="1">
      <alignment horizontal="left" vertical="center"/>
    </xf>
    <xf numFmtId="0" fontId="5" fillId="5" borderId="21" xfId="0" applyFont="1" applyFill="1" applyBorder="1" applyAlignment="1">
      <alignment horizontal="center" vertical="center"/>
    </xf>
    <xf numFmtId="0" fontId="64" fillId="5" borderId="21" xfId="0" applyFont="1" applyFill="1" applyBorder="1" applyAlignment="1">
      <alignment horizontal="center" vertical="center"/>
    </xf>
    <xf numFmtId="0" fontId="65" fillId="5" borderId="21" xfId="0" applyFont="1" applyFill="1" applyBorder="1" applyAlignment="1">
      <alignment horizontal="center" vertical="center"/>
    </xf>
    <xf numFmtId="0" fontId="66" fillId="5" borderId="21" xfId="0" applyFont="1" applyFill="1" applyBorder="1" applyAlignment="1">
      <alignment horizontal="center" vertical="center"/>
    </xf>
    <xf numFmtId="0" fontId="67" fillId="5" borderId="21" xfId="0" applyFont="1" applyFill="1" applyBorder="1" applyAlignment="1">
      <alignment horizontal="center" vertical="center"/>
    </xf>
    <xf numFmtId="0" fontId="68" fillId="5" borderId="21" xfId="0" applyFont="1" applyFill="1" applyBorder="1" applyAlignment="1">
      <alignment horizontal="center" vertical="center"/>
    </xf>
    <xf numFmtId="0" fontId="69" fillId="5" borderId="21" xfId="0" applyFont="1" applyFill="1" applyBorder="1" applyAlignment="1">
      <alignment horizontal="center" vertical="center"/>
    </xf>
    <xf numFmtId="0" fontId="70" fillId="5" borderId="21" xfId="0" applyFont="1" applyFill="1" applyBorder="1" applyAlignment="1">
      <alignment horizontal="center" vertical="center"/>
    </xf>
    <xf numFmtId="0" fontId="71" fillId="5" borderId="21" xfId="0" applyFont="1" applyFill="1" applyBorder="1" applyAlignment="1">
      <alignment horizontal="center" vertical="center"/>
    </xf>
    <xf numFmtId="0" fontId="72" fillId="6" borderId="0" xfId="0" applyFont="1" applyFill="1" applyAlignment="1">
      <alignment horizontal="left" vertical="center"/>
    </xf>
    <xf numFmtId="0" fontId="72" fillId="6" borderId="0" xfId="0" applyFont="1" applyFill="1" applyAlignment="1">
      <alignment horizontal="center" vertical="center"/>
    </xf>
    <xf numFmtId="0" fontId="63" fillId="5" borderId="21" xfId="0" applyFont="1" applyFill="1" applyBorder="1" applyAlignment="1">
      <alignment horizontal="left" vertical="center" wrapText="1"/>
    </xf>
    <xf numFmtId="0" fontId="20" fillId="12" borderId="22" xfId="0" applyFont="1" applyFill="1" applyBorder="1" applyAlignment="1">
      <alignment horizontal="center" vertical="center" wrapText="1"/>
    </xf>
    <xf numFmtId="167" fontId="74" fillId="25" borderId="23" xfId="0" applyNumberFormat="1" applyFont="1" applyFill="1" applyBorder="1" applyAlignment="1">
      <alignment horizontal="center" vertical="center" wrapText="1"/>
    </xf>
    <xf numFmtId="0" fontId="75" fillId="27" borderId="23" xfId="0" applyFont="1" applyFill="1" applyBorder="1" applyAlignment="1">
      <alignment horizontal="left" vertical="center" wrapText="1"/>
    </xf>
    <xf numFmtId="0" fontId="76" fillId="27" borderId="23" xfId="0" applyFont="1" applyFill="1" applyBorder="1" applyAlignment="1">
      <alignment horizontal="center" vertical="center" wrapText="1"/>
    </xf>
    <xf numFmtId="0" fontId="77" fillId="29" borderId="24" xfId="0" applyFont="1" applyFill="1" applyBorder="1" applyAlignment="1">
      <alignment horizontal="center" vertical="center" wrapText="1"/>
    </xf>
    <xf numFmtId="0" fontId="52" fillId="34" borderId="0" xfId="0" applyFont="1" applyFill="1" applyAlignment="1">
      <alignment horizontal="center" vertical="center"/>
    </xf>
    <xf numFmtId="0" fontId="3" fillId="34" borderId="0" xfId="0" applyFont="1" applyFill="1" applyAlignment="1">
      <alignment horizontal="center" vertical="center"/>
    </xf>
    <xf numFmtId="0" fontId="14" fillId="34" borderId="26" xfId="0" applyFont="1" applyFill="1" applyBorder="1" applyAlignment="1">
      <alignment horizontal="center" vertical="center"/>
    </xf>
    <xf numFmtId="0" fontId="78" fillId="0" borderId="0" xfId="0" applyFont="1"/>
    <xf numFmtId="0" fontId="62" fillId="5" borderId="26" xfId="0" applyFont="1" applyFill="1" applyBorder="1" applyAlignment="1">
      <alignment horizontal="center" vertical="center"/>
    </xf>
    <xf numFmtId="0" fontId="63" fillId="5" borderId="26" xfId="0" applyFont="1" applyFill="1" applyBorder="1" applyAlignment="1">
      <alignment horizontal="left" vertical="center" indent="1"/>
    </xf>
    <xf numFmtId="0" fontId="63" fillId="5" borderId="26" xfId="0" applyFont="1" applyFill="1" applyBorder="1" applyAlignment="1">
      <alignment horizontal="justify" vertical="center"/>
    </xf>
    <xf numFmtId="167" fontId="63" fillId="5" borderId="26" xfId="0" applyNumberFormat="1" applyFont="1" applyFill="1" applyBorder="1" applyAlignment="1">
      <alignment horizontal="center" vertical="center"/>
    </xf>
    <xf numFmtId="0" fontId="62" fillId="8" borderId="26" xfId="0" applyFont="1" applyFill="1" applyBorder="1" applyAlignment="1">
      <alignment horizontal="center" vertical="center"/>
    </xf>
    <xf numFmtId="0" fontId="63" fillId="8" borderId="26" xfId="0" applyFont="1" applyFill="1" applyBorder="1" applyAlignment="1">
      <alignment horizontal="left" vertical="center" indent="1"/>
    </xf>
    <xf numFmtId="0" fontId="63" fillId="8" borderId="26" xfId="0" applyFont="1" applyFill="1" applyBorder="1" applyAlignment="1">
      <alignment horizontal="justify" vertical="center"/>
    </xf>
    <xf numFmtId="167" fontId="63" fillId="8" borderId="26"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0" fontId="81" fillId="14" borderId="27" xfId="0" applyFont="1" applyFill="1" applyBorder="1" applyAlignment="1">
      <alignment horizontal="center" vertical="center"/>
    </xf>
    <xf numFmtId="0" fontId="23" fillId="39" borderId="27" xfId="0" applyFont="1" applyFill="1" applyBorder="1" applyAlignment="1">
      <alignment horizontal="center" vertical="center"/>
    </xf>
    <xf numFmtId="0" fontId="23" fillId="39" borderId="10"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6" xfId="0" applyFont="1" applyBorder="1" applyAlignment="1">
      <alignment horizontal="center" vertical="center"/>
    </xf>
    <xf numFmtId="0" fontId="16" fillId="0" borderId="6" xfId="0" applyFont="1" applyBorder="1" applyAlignment="1">
      <alignment horizontal="left" vertical="center"/>
    </xf>
    <xf numFmtId="0" fontId="16" fillId="0" borderId="6" xfId="0" applyFont="1" applyBorder="1" applyAlignment="1">
      <alignment horizontal="left" vertical="center" wrapText="1"/>
    </xf>
    <xf numFmtId="14" fontId="17" fillId="0" borderId="2" xfId="0" applyNumberFormat="1" applyFont="1" applyBorder="1" applyAlignment="1">
      <alignment horizontal="center" vertical="center"/>
    </xf>
    <xf numFmtId="0" fontId="23" fillId="39" borderId="0" xfId="0" applyFont="1" applyFill="1" applyAlignment="1">
      <alignment horizontal="center" vertical="center"/>
    </xf>
    <xf numFmtId="0" fontId="23" fillId="39" borderId="20" xfId="0" applyFont="1" applyFill="1" applyBorder="1" applyAlignment="1">
      <alignment horizontal="right" vertical="center"/>
    </xf>
    <xf numFmtId="0" fontId="23" fillId="39" borderId="28" xfId="0" applyFont="1" applyFill="1" applyBorder="1" applyAlignment="1">
      <alignment horizontal="center" vertical="center"/>
    </xf>
    <xf numFmtId="0" fontId="16" fillId="0" borderId="0" xfId="0" applyFont="1"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3" fillId="0" borderId="0" xfId="0" applyFont="1" applyAlignment="1">
      <alignment horizontal="left" vertical="center" wrapText="1"/>
    </xf>
    <xf numFmtId="0" fontId="31" fillId="23" borderId="0" xfId="0" applyFont="1" applyFill="1" applyAlignment="1">
      <alignment horizontal="center" vertical="center" wrapText="1"/>
    </xf>
    <xf numFmtId="0" fontId="32" fillId="24" borderId="0" xfId="0" applyFont="1" applyFill="1" applyAlignment="1">
      <alignment horizontal="left" vertical="center"/>
    </xf>
    <xf numFmtId="0" fontId="35" fillId="29" borderId="14" xfId="0" applyFont="1" applyFill="1" applyBorder="1" applyAlignment="1">
      <alignment horizontal="center" vertical="center" wrapText="1"/>
    </xf>
    <xf numFmtId="0" fontId="27" fillId="0" borderId="0" xfId="0" applyFont="1" applyAlignment="1">
      <alignment horizontal="left" vertical="center" wrapText="1"/>
    </xf>
    <xf numFmtId="0" fontId="38" fillId="32" borderId="18" xfId="0" applyFont="1" applyFill="1" applyBorder="1" applyAlignment="1">
      <alignment horizontal="center" vertical="center" wrapText="1"/>
    </xf>
    <xf numFmtId="0" fontId="46" fillId="30" borderId="6" xfId="0" applyFont="1" applyFill="1" applyBorder="1" applyAlignment="1">
      <alignment horizontal="right" vertical="center"/>
    </xf>
    <xf numFmtId="0" fontId="48" fillId="0" borderId="19" xfId="0" applyFont="1" applyBorder="1" applyAlignment="1">
      <alignment horizontal="right" vertical="center"/>
    </xf>
    <xf numFmtId="0" fontId="19" fillId="30" borderId="6" xfId="0" applyFont="1" applyFill="1" applyBorder="1" applyAlignment="1">
      <alignment horizontal="right" vertical="center"/>
    </xf>
    <xf numFmtId="0" fontId="37" fillId="30" borderId="6" xfId="0" applyFont="1" applyFill="1" applyBorder="1" applyAlignment="1">
      <alignment horizontal="right" vertical="center"/>
    </xf>
    <xf numFmtId="0" fontId="37" fillId="30" borderId="2" xfId="0" applyFont="1" applyFill="1" applyBorder="1" applyAlignment="1">
      <alignment horizontal="center" vertical="center"/>
    </xf>
    <xf numFmtId="0" fontId="37" fillId="17" borderId="2" xfId="0" applyFont="1" applyFill="1" applyBorder="1" applyAlignment="1">
      <alignment horizontal="center" vertical="center"/>
    </xf>
    <xf numFmtId="0" fontId="37" fillId="14" borderId="2" xfId="0" applyFont="1" applyFill="1" applyBorder="1" applyAlignment="1">
      <alignment horizontal="center" vertical="center" wrapText="1"/>
    </xf>
    <xf numFmtId="0" fontId="38" fillId="31" borderId="17" xfId="0" applyFont="1" applyFill="1" applyBorder="1" applyAlignment="1">
      <alignment horizontal="center" vertical="center" wrapText="1"/>
    </xf>
    <xf numFmtId="0" fontId="37" fillId="30" borderId="6" xfId="0" applyFont="1" applyFill="1" applyBorder="1" applyAlignment="1">
      <alignment horizontal="center" vertical="center"/>
    </xf>
    <xf numFmtId="0" fontId="37" fillId="30" borderId="16" xfId="0" applyFont="1" applyFill="1" applyBorder="1" applyAlignment="1">
      <alignment horizontal="center" vertical="center"/>
    </xf>
    <xf numFmtId="0" fontId="50" fillId="34" borderId="21" xfId="0" applyFont="1" applyFill="1" applyBorder="1" applyAlignment="1">
      <alignment horizontal="center" vertical="center"/>
    </xf>
    <xf numFmtId="0" fontId="51" fillId="3" borderId="21" xfId="0" applyFont="1" applyFill="1" applyBorder="1" applyAlignment="1">
      <alignment horizontal="center" vertical="center"/>
    </xf>
    <xf numFmtId="0" fontId="33" fillId="23" borderId="0" xfId="0" applyFont="1" applyFill="1" applyAlignment="1">
      <alignment horizontal="center" vertical="center" wrapText="1"/>
    </xf>
    <xf numFmtId="0" fontId="73" fillId="24" borderId="0" xfId="0" applyFont="1" applyFill="1" applyAlignment="1">
      <alignment horizontal="left" vertical="center" wrapText="1"/>
    </xf>
    <xf numFmtId="0" fontId="50" fillId="34" borderId="0" xfId="0" applyFont="1" applyFill="1" applyAlignment="1">
      <alignment horizontal="center" vertical="center"/>
    </xf>
    <xf numFmtId="0" fontId="51" fillId="3" borderId="0" xfId="0" applyFont="1" applyFill="1" applyAlignment="1">
      <alignment horizontal="center" vertical="center"/>
    </xf>
    <xf numFmtId="0" fontId="9" fillId="26" borderId="25" xfId="0" applyFont="1" applyFill="1" applyBorder="1" applyAlignment="1">
      <alignment horizontal="left" vertical="center" indent="1"/>
    </xf>
    <xf numFmtId="0" fontId="79" fillId="0" borderId="0" xfId="0" applyFont="1" applyAlignment="1">
      <alignment horizontal="left" vertical="center" indent="1"/>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30">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9"/>
      <rgbColor rgb="FFDEEAF1"/>
      <rgbColor rgb="FFC00000"/>
      <rgbColor rgb="FF1F4E79"/>
      <rgbColor rgb="FF28071A"/>
      <rgbColor rgb="FF775D0A"/>
      <rgbColor rgb="FFF2F2F2"/>
      <rgbColor rgb="FF2D6A8A"/>
      <rgbColor rgb="FFCFCBC0"/>
      <rgbColor rgb="FF757575"/>
      <rgbColor rgb="FF95B3D7"/>
      <rgbColor rgb="FF7030A0"/>
      <rgbColor rgb="FFFFF9C4"/>
      <rgbColor rgb="FFE3F2FD"/>
      <rgbColor rgb="FF5B2CA0"/>
      <rgbColor rgb="FFD9D9D9"/>
      <rgbColor rgb="FF006AC0"/>
      <rgbColor rgb="FFBDD7EE"/>
      <rgbColor rgb="FF1F3864"/>
      <rgbColor rgb="FFFFF2F2"/>
      <rgbColor rgb="FFFFF8E1"/>
      <rgbColor rgb="FFEBF4FA"/>
      <rgbColor rgb="FFF2F4F4"/>
      <rgbColor rgb="FFFFF3E0"/>
      <rgbColor rgb="FF1B5E54"/>
      <rgbColor rgb="FFF5F5F5"/>
      <rgbColor rgb="FFEDE7F6"/>
      <rgbColor rgb="FFDEEBF7"/>
      <rgbColor rgb="FFE8F5E9"/>
      <rgbColor rgb="FFFFF2CC"/>
      <rgbColor rgb="FF9CC3E6"/>
      <rgbColor rgb="FFF4B183"/>
      <rgbColor rgb="FF9DC3E6"/>
      <rgbColor rgb="FFFFD966"/>
      <rgbColor rgb="FF2E75B6"/>
      <rgbColor rgb="FFD6E8F0"/>
      <rgbColor rgb="FFC8D8E0"/>
      <rgbColor rgb="FFFCE4D6"/>
      <rgbColor rgb="FFDAD8E0"/>
      <rgbColor rgb="FFE65100"/>
      <rgbColor rgb="FF645A56"/>
      <rgbColor rgb="FF959595"/>
      <rgbColor rgb="FF002060"/>
      <rgbColor rgb="FF00B050"/>
      <rgbColor rgb="FF1B3A4B"/>
      <rgbColor rgb="FF1A384A"/>
      <rgbColor rgb="FFC62828"/>
      <rgbColor rgb="FFCD5615"/>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5"/>
  <sheetViews>
    <sheetView showGridLines="0" showZeros="0" topLeftCell="A3" zoomScaleNormal="100" workbookViewId="0">
      <selection activeCell="C12" sqref="C12"/>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05" t="s">
        <v>0</v>
      </c>
      <c r="C2" s="205"/>
      <c r="D2" s="205"/>
    </row>
    <row r="3" spans="2:4" ht="24" customHeight="1" x14ac:dyDescent="0.25">
      <c r="B3" s="206" t="s">
        <v>1</v>
      </c>
      <c r="C3" s="206"/>
      <c r="D3" s="206"/>
    </row>
    <row r="4" spans="2:4" ht="18" customHeight="1" x14ac:dyDescent="0.25">
      <c r="B4" s="207" t="s">
        <v>2</v>
      </c>
      <c r="C4" s="207"/>
      <c r="D4" s="207"/>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700</v>
      </c>
      <c r="D7" s="6" t="s">
        <v>7</v>
      </c>
    </row>
    <row r="8" spans="2:4" ht="21.75" customHeight="1" x14ac:dyDescent="0.25">
      <c r="B8" s="4" t="s">
        <v>8</v>
      </c>
      <c r="C8" s="5">
        <f>COUNTA(Sayılar!B4:B26)</f>
        <v>17</v>
      </c>
      <c r="D8" s="6" t="s">
        <v>9</v>
      </c>
    </row>
    <row r="9" spans="2:4" ht="6" customHeight="1" x14ac:dyDescent="0.25"/>
    <row r="10" spans="2:4" ht="15" customHeight="1" x14ac:dyDescent="0.25">
      <c r="B10" s="7" t="s">
        <v>10</v>
      </c>
      <c r="C10" s="8">
        <f>COUNTIFS(Başvuru!L:L,"DÜZELTME",Başvuru!F:F,"&lt;&gt;"&amp;"")</f>
        <v>208</v>
      </c>
      <c r="D10" s="6" t="s">
        <v>11</v>
      </c>
    </row>
    <row r="11" spans="2:4" ht="6" customHeight="1" x14ac:dyDescent="0.25"/>
    <row r="12" spans="2:4" ht="15" customHeight="1" x14ac:dyDescent="0.25">
      <c r="B12" s="7" t="s">
        <v>12</v>
      </c>
      <c r="C12" s="8">
        <f>MAX(Başvuru!$Z$2:$Z$1799)</f>
        <v>82</v>
      </c>
      <c r="D12" s="6" t="s">
        <v>13</v>
      </c>
    </row>
    <row r="13" spans="2:4" ht="15" customHeight="1" x14ac:dyDescent="0.25">
      <c r="B13" s="7" t="s">
        <v>14</v>
      </c>
      <c r="C13" s="8">
        <f>MAX(Başvuru!$AB$2:$AB$1799)</f>
        <v>337</v>
      </c>
      <c r="D13" s="6" t="s">
        <v>15</v>
      </c>
    </row>
    <row r="14" spans="2:4" ht="21.75" customHeight="1" x14ac:dyDescent="0.25"/>
    <row r="15" spans="2:4" ht="24" customHeight="1" x14ac:dyDescent="0.25">
      <c r="B15" s="9" t="s">
        <v>16</v>
      </c>
      <c r="C15" s="10">
        <f>COUNTIFS(Başvuru!$A:$A,"&lt;&gt;",Başvuru!$F:$F,"&lt;&gt;",Başvuru!$L:$L,"&lt;&gt;")-1</f>
        <v>658</v>
      </c>
      <c r="D15" s="11" t="s">
        <v>17</v>
      </c>
    </row>
    <row r="16" spans="2:4" ht="15" customHeight="1" x14ac:dyDescent="0.25">
      <c r="B16" s="12" t="s">
        <v>18</v>
      </c>
      <c r="C16" s="13">
        <f>COUNTIFS(Başvuru!P:P,"ONAY",Başvuru!F:F,"&lt;&gt;"&amp;"")</f>
        <v>545</v>
      </c>
      <c r="D16" s="14" t="s">
        <v>19</v>
      </c>
    </row>
    <row r="17" spans="2:4" ht="15" customHeight="1" x14ac:dyDescent="0.25">
      <c r="B17" s="12" t="s">
        <v>20</v>
      </c>
      <c r="C17" s="13">
        <f>COUNTIFS(Başvuru!L:L,"DÜZELTME",Başvuru!M:M,"&lt;&gt;"&amp;"",Başvuru!F:F,"&lt;&gt;"&amp;"")</f>
        <v>162</v>
      </c>
      <c r="D17" s="14" t="s">
        <v>21</v>
      </c>
    </row>
    <row r="18" spans="2:4" ht="24" customHeight="1" x14ac:dyDescent="0.25">
      <c r="B18" s="15" t="s">
        <v>22</v>
      </c>
      <c r="C18" s="16">
        <f>COUNTIFS(Başvuru!L:L,"DÜZELTME",Başvuru!M:M,"",Başvuru!F:F,"&lt;&gt;"&amp;"")</f>
        <v>46</v>
      </c>
      <c r="D18" s="14" t="s">
        <v>23</v>
      </c>
    </row>
    <row r="19" spans="2:4" ht="24" customHeight="1" x14ac:dyDescent="0.25">
      <c r="B19" s="17" t="s">
        <v>24</v>
      </c>
      <c r="C19" s="18">
        <f>COUNTIFS(Başvuru!L:L,"KAEK",Başvuru!F:F,"&lt;&gt;"&amp;"")</f>
        <v>17</v>
      </c>
      <c r="D19" s="14" t="s">
        <v>25</v>
      </c>
    </row>
    <row r="20" spans="2:4" ht="15" customHeight="1" x14ac:dyDescent="0.25">
      <c r="B20" s="19" t="s">
        <v>26</v>
      </c>
      <c r="C20" s="8">
        <f>COUNTIFS(Başvuru!P:P,"KAPSAM DIŞI",Başvuru!F:F,"&lt;&gt;"&amp;"")</f>
        <v>15</v>
      </c>
      <c r="D20" s="14" t="s">
        <v>27</v>
      </c>
    </row>
    <row r="21" spans="2:4" ht="15" customHeight="1" x14ac:dyDescent="0.25">
      <c r="B21" s="20" t="s">
        <v>28</v>
      </c>
      <c r="C21" s="21">
        <f>COUNTIFS(Başvuru!P:P,"RET",Başvuru!F:F,"&lt;&gt;"&amp;"")</f>
        <v>19</v>
      </c>
      <c r="D21" s="14" t="s">
        <v>29</v>
      </c>
    </row>
    <row r="22" spans="2:4" ht="15" customHeight="1" x14ac:dyDescent="0.25">
      <c r="B22" s="19" t="s">
        <v>30</v>
      </c>
      <c r="C22" s="8">
        <f>COUNTIFS(Başvuru!P:P,"GERİ ÇEKİLDİ",Başvuru!F:F,"&lt;&gt;"&amp;"")</f>
        <v>4</v>
      </c>
      <c r="D22" s="14" t="s">
        <v>31</v>
      </c>
    </row>
    <row r="24" spans="2:4" ht="15" customHeight="1" x14ac:dyDescent="0.25">
      <c r="B24" s="4" t="s">
        <v>32</v>
      </c>
      <c r="C24" s="5">
        <f>COUNTIFS(Başvuru!L:L,"GÖRÜŞ",Başvuru!F:F,"&lt;&gt;"&amp;"")</f>
        <v>25</v>
      </c>
      <c r="D24" s="6" t="s">
        <v>33</v>
      </c>
    </row>
    <row r="25" spans="2:4" ht="15" customHeight="1" x14ac:dyDescent="0.25">
      <c r="B25" s="22" t="s">
        <v>34</v>
      </c>
      <c r="C25" s="16">
        <f>COUNTIFS(Başvuru!L:L,"",Başvuru!J:J,"&lt;&gt;"&amp;"",Başvuru!F:F,"&lt;&gt;"&amp;"")</f>
        <v>15</v>
      </c>
      <c r="D25" s="6" t="s">
        <v>35</v>
      </c>
    </row>
    <row r="27" spans="2:4" ht="15" customHeight="1" x14ac:dyDescent="0.25">
      <c r="B27" s="9" t="s">
        <v>36</v>
      </c>
      <c r="C27" s="23"/>
      <c r="D27" s="11" t="s">
        <v>37</v>
      </c>
    </row>
    <row r="28" spans="2:4" ht="15" customHeight="1" x14ac:dyDescent="0.25">
      <c r="B28" s="24" t="s">
        <v>38</v>
      </c>
      <c r="C28" s="5">
        <f>COUNTIFS(Başvuru!G:G,"Bireysel Araştırma",Başvuru!F:F,"&lt;&gt;"&amp;"")</f>
        <v>526</v>
      </c>
      <c r="D28" s="14"/>
    </row>
    <row r="29" spans="2:4" ht="15" customHeight="1" x14ac:dyDescent="0.25">
      <c r="B29" s="24" t="s">
        <v>39</v>
      </c>
      <c r="C29" s="5">
        <f>COUNTIFS(Başvuru!G:G,"Uzmanlık Tezi",Başvuru!F:F,"&lt;&gt;"&amp;"")</f>
        <v>120</v>
      </c>
      <c r="D29" s="14"/>
    </row>
    <row r="30" spans="2:4" ht="15" customHeight="1" x14ac:dyDescent="0.25">
      <c r="B30" s="24" t="s">
        <v>40</v>
      </c>
      <c r="C30" s="5">
        <f>COUNTIFS(Başvuru!G:G,"Yüksek Lisans Tezi",Başvuru!F:F,"&lt;&gt;"&amp;"")</f>
        <v>21</v>
      </c>
      <c r="D30" s="14"/>
    </row>
    <row r="31" spans="2:4" ht="15" customHeight="1" x14ac:dyDescent="0.25">
      <c r="B31" s="24" t="s">
        <v>41</v>
      </c>
      <c r="C31" s="5">
        <f>COUNTIFS(Başvuru!G:G,"Doktora Tezi",Başvuru!F:F,"&lt;&gt;"&amp;"")</f>
        <v>33</v>
      </c>
      <c r="D31" s="14"/>
    </row>
    <row r="33" spans="2:4" ht="18" customHeight="1" x14ac:dyDescent="0.25">
      <c r="B33" s="208" t="s">
        <v>42</v>
      </c>
      <c r="C33" s="208"/>
      <c r="D33" s="208"/>
    </row>
    <row r="35" spans="2:4" ht="15" customHeight="1" x14ac:dyDescent="0.25">
      <c r="B35" s="25">
        <f ca="1">TODAY()</f>
        <v>46234</v>
      </c>
    </row>
  </sheetData>
  <mergeCells count="4">
    <mergeCell ref="B2:D2"/>
    <mergeCell ref="B3:D3"/>
    <mergeCell ref="B4:D4"/>
    <mergeCell ref="B33:D3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AB1799"/>
  <sheetViews>
    <sheetView showZeros="0" tabSelected="1" zoomScaleNormal="100" workbookViewId="0">
      <pane xSplit="2" ySplit="1" topLeftCell="D697" activePane="bottomRight" state="frozen"/>
      <selection pane="topRight" activeCell="I1" sqref="I1"/>
      <selection pane="bottomLeft" activeCell="A658" sqref="A658"/>
      <selection pane="bottomRight" activeCell="H702" sqref="H702"/>
    </sheetView>
  </sheetViews>
  <sheetFormatPr defaultColWidth="26" defaultRowHeight="20.25" x14ac:dyDescent="0.25"/>
  <cols>
    <col min="1" max="1" width="6.28515625" style="26" customWidth="1"/>
    <col min="2" max="2" width="18.85546875" style="26" customWidth="1"/>
    <col min="3" max="3" width="48.7109375" style="26" customWidth="1"/>
    <col min="4" max="5" width="60.7109375" style="26" customWidth="1"/>
    <col min="6" max="6" width="50.7109375" style="27" customWidth="1"/>
    <col min="7" max="7" width="18.140625" style="28" customWidth="1"/>
    <col min="8" max="8" width="25.7109375" style="29" customWidth="1"/>
    <col min="9" max="9" width="18.28515625" style="30" customWidth="1"/>
    <col min="10" max="10" width="39.85546875" style="31" customWidth="1"/>
    <col min="11" max="11" width="39.85546875" style="29" customWidth="1"/>
    <col min="12" max="13" width="28" style="28" customWidth="1"/>
    <col min="14" max="15" width="21.140625" style="29" customWidth="1"/>
    <col min="16" max="16" width="20.5703125" style="32" customWidth="1"/>
    <col min="17" max="17" width="39.42578125" style="28" customWidth="1"/>
    <col min="18" max="18" width="20" style="33" customWidth="1"/>
    <col min="19" max="19" width="20.28515625" style="29" customWidth="1"/>
    <col min="20" max="20" width="30.7109375" style="29" customWidth="1"/>
    <col min="21" max="16384" width="26" style="29"/>
  </cols>
  <sheetData>
    <row r="1" spans="1:28" s="26" customFormat="1" ht="25.5" customHeight="1" x14ac:dyDescent="0.2">
      <c r="A1" s="34" t="s">
        <v>43</v>
      </c>
      <c r="B1" s="34" t="s">
        <v>44</v>
      </c>
      <c r="C1" s="34" t="s">
        <v>45</v>
      </c>
      <c r="D1" s="34" t="s">
        <v>46</v>
      </c>
      <c r="E1" s="34" t="s">
        <v>47</v>
      </c>
      <c r="F1" s="34" t="s">
        <v>48</v>
      </c>
      <c r="G1" s="34" t="s">
        <v>49</v>
      </c>
      <c r="H1" s="35" t="s">
        <v>50</v>
      </c>
      <c r="I1" s="36" t="s">
        <v>51</v>
      </c>
      <c r="J1" s="34" t="s">
        <v>52</v>
      </c>
      <c r="K1" s="34" t="s">
        <v>53</v>
      </c>
      <c r="L1" s="37" t="s">
        <v>54</v>
      </c>
      <c r="M1" s="38" t="s">
        <v>55</v>
      </c>
      <c r="N1" s="38" t="s">
        <v>56</v>
      </c>
      <c r="O1" s="39" t="s">
        <v>57</v>
      </c>
      <c r="P1" s="38" t="s">
        <v>58</v>
      </c>
      <c r="Q1" s="34" t="s">
        <v>59</v>
      </c>
      <c r="R1" s="40" t="s">
        <v>60</v>
      </c>
      <c r="T1" s="41"/>
      <c r="U1" s="42" t="s">
        <v>61</v>
      </c>
      <c r="V1" s="42" t="s">
        <v>62</v>
      </c>
      <c r="W1" s="42" t="s">
        <v>63</v>
      </c>
      <c r="X1" s="26" t="s">
        <v>64</v>
      </c>
      <c r="Y1" s="26" t="s">
        <v>65</v>
      </c>
      <c r="Z1" s="26" t="s">
        <v>66</v>
      </c>
      <c r="AA1" s="26" t="s">
        <v>67</v>
      </c>
      <c r="AB1" s="26" t="s">
        <v>68</v>
      </c>
    </row>
    <row r="2" spans="1:28" ht="63" customHeight="1" x14ac:dyDescent="0.2">
      <c r="A2" s="43" t="s">
        <v>69</v>
      </c>
      <c r="B2" s="43" t="s">
        <v>70</v>
      </c>
      <c r="C2" s="44" t="s">
        <v>71</v>
      </c>
      <c r="D2" s="44" t="s">
        <v>72</v>
      </c>
      <c r="E2" s="45" t="s">
        <v>73</v>
      </c>
      <c r="F2" s="45" t="s">
        <v>74</v>
      </c>
      <c r="G2" s="46" t="s">
        <v>38</v>
      </c>
      <c r="H2" s="47"/>
      <c r="I2" s="48">
        <v>46028</v>
      </c>
      <c r="J2" s="44" t="s">
        <v>75</v>
      </c>
      <c r="K2" s="44" t="s">
        <v>76</v>
      </c>
      <c r="L2" s="49" t="s">
        <v>77</v>
      </c>
      <c r="M2" s="50"/>
      <c r="N2" s="50"/>
      <c r="O2" s="49"/>
      <c r="P2" s="50" t="str">
        <f t="shared" ref="P2:P65" si="0">IF(O2&lt;&gt;"",O2, IF(N2&lt;&gt;"",N2, IF(M2&lt;&gt;"",M2, L2)))</f>
        <v>ONAY</v>
      </c>
      <c r="R2" s="51" t="str">
        <f t="shared" ref="R2:R65" si="1">IF(AND($I2&lt;&gt;"",$I2&gt;=DATE(2026,6,23),COUNTIFS($C:$C,$C2,$I:$I,$I2)&gt;2),"⚠ "&amp;COUNTIFS($C:$C,$C2,$I:$I,$I2)&amp;" BAŞVURU!","")</f>
        <v/>
      </c>
      <c r="S2" s="29" t="str">
        <f>IF(AND(P2="", B2&lt;&gt;""), B2, "")</f>
        <v/>
      </c>
      <c r="T2" s="41"/>
      <c r="U2" s="29">
        <f>IF($C2&lt;&gt;"",COUNTIF($C$2:C2,C2),"")</f>
        <v>1</v>
      </c>
      <c r="V2" s="29" t="str">
        <f t="shared" ref="V2:V65" si="2">IF($C2&lt;&gt;"",C2&amp;"§"&amp;U2,"")</f>
        <v>Dr. Vet. Hek. Özgür Doğuş EROL DUYAR§1</v>
      </c>
      <c r="W2" s="29">
        <f>IF(U2=1,COUNTIF($U$2:U2,1),"")</f>
        <v>1</v>
      </c>
      <c r="X2" s="29">
        <f t="shared" ref="X2:X65" si="3">IF(U2=1,SUMPRODUCT(($U$2:$U$1799=1)*($C$2:$C$1799&lt;C2))+1,"")</f>
        <v>167</v>
      </c>
      <c r="Y2" s="29">
        <f>IF(AND(LEFT($B2,7)="SBA 26/",$D2&lt;&gt;"",$F2&lt;&gt;""),COUNTIFS($D$2:$D2,$D2,$B$2:$B2,"SBA 26/*",$F$2:$F2,"&lt;&gt;"),"")</f>
        <v>1</v>
      </c>
      <c r="Z2" s="29">
        <f>IF(Y2=1,COUNTIF($Y$2:Y2,1),"")</f>
        <v>1</v>
      </c>
      <c r="AA2" s="29">
        <f>IF(AND(LEFT($B2,7)="SBA 26/",$C2&lt;&gt;"",$F2&lt;&gt;""),COUNTIFS($C$2:$C2,$C2,$B$2:$B2,"SBA 26/*",$F$2:$F2,"&lt;&gt;"),"")</f>
        <v>1</v>
      </c>
      <c r="AB2" s="29">
        <f>IF(AA2=1,COUNTIF($AA$2:AA2,1),"")</f>
        <v>1</v>
      </c>
    </row>
    <row r="3" spans="1:28" ht="94.5" customHeight="1" x14ac:dyDescent="0.2">
      <c r="A3" s="43" t="s">
        <v>78</v>
      </c>
      <c r="B3" s="43" t="s">
        <v>79</v>
      </c>
      <c r="C3" s="44" t="s">
        <v>80</v>
      </c>
      <c r="D3" s="44" t="s">
        <v>81</v>
      </c>
      <c r="E3" s="45" t="s">
        <v>82</v>
      </c>
      <c r="F3" s="45" t="s">
        <v>83</v>
      </c>
      <c r="G3" s="46" t="s">
        <v>38</v>
      </c>
      <c r="H3" s="47"/>
      <c r="I3" s="48">
        <v>46028</v>
      </c>
      <c r="J3" s="44" t="s">
        <v>76</v>
      </c>
      <c r="K3" s="44" t="s">
        <v>84</v>
      </c>
      <c r="L3" s="49" t="s">
        <v>77</v>
      </c>
      <c r="M3" s="50"/>
      <c r="N3" s="50"/>
      <c r="O3" s="49"/>
      <c r="P3" s="50" t="str">
        <f t="shared" si="0"/>
        <v>ONAY</v>
      </c>
      <c r="R3" s="51" t="str">
        <f t="shared" si="1"/>
        <v/>
      </c>
      <c r="T3" s="41"/>
      <c r="U3" s="29">
        <f>IF($C3&lt;&gt;"",COUNTIF($C$2:C3,C3),"")</f>
        <v>1</v>
      </c>
      <c r="V3" s="29" t="str">
        <f t="shared" si="2"/>
        <v>Prof. Dr. Esra BİRBEN§1</v>
      </c>
      <c r="W3" s="29">
        <f>IF(U3=1,COUNTIF($U$2:U3,1),"")</f>
        <v>2</v>
      </c>
      <c r="X3" s="29">
        <f t="shared" si="3"/>
        <v>220</v>
      </c>
      <c r="Y3" s="29">
        <f>IF(AND(LEFT($B3,7)="SBA 26/",$D3&lt;&gt;"",$F3&lt;&gt;""),COUNTIFS($D$2:$D3,$D3,$B$2:$B3,"SBA 26/*",$F$2:$F3,"&lt;&gt;"),"")</f>
        <v>1</v>
      </c>
      <c r="Z3" s="29">
        <f>IF(Y3=1,COUNTIF($Y$2:Y3,1),"")</f>
        <v>2</v>
      </c>
      <c r="AA3" s="29">
        <f>IF(AND(LEFT($B3,7)="SBA 26/",$C3&lt;&gt;"",$F3&lt;&gt;""),COUNTIFS($C$2:$C3,$C3,$B$2:$B3,"SBA 26/*",$F$2:$F3,"&lt;&gt;"),"")</f>
        <v>1</v>
      </c>
      <c r="AB3" s="29">
        <f>IF(AA3=1,COUNTIF($AA$2:AA3,1),"")</f>
        <v>2</v>
      </c>
    </row>
    <row r="4" spans="1:28" ht="94.5" customHeight="1" x14ac:dyDescent="0.2">
      <c r="A4" s="43" t="s">
        <v>85</v>
      </c>
      <c r="B4" s="43" t="s">
        <v>86</v>
      </c>
      <c r="C4" s="44" t="s">
        <v>87</v>
      </c>
      <c r="D4" s="44" t="s">
        <v>88</v>
      </c>
      <c r="E4" s="45" t="s">
        <v>89</v>
      </c>
      <c r="F4" s="45" t="s">
        <v>90</v>
      </c>
      <c r="G4" s="46" t="s">
        <v>38</v>
      </c>
      <c r="H4" s="47"/>
      <c r="I4" s="48">
        <v>46028</v>
      </c>
      <c r="J4" s="44" t="s">
        <v>91</v>
      </c>
      <c r="K4" s="44" t="s">
        <v>92</v>
      </c>
      <c r="L4" s="50" t="s">
        <v>77</v>
      </c>
      <c r="M4" s="52"/>
      <c r="N4" s="52"/>
      <c r="O4" s="53"/>
      <c r="P4" s="50" t="str">
        <f t="shared" si="0"/>
        <v>ONAY</v>
      </c>
      <c r="R4" s="51" t="str">
        <f t="shared" si="1"/>
        <v/>
      </c>
      <c r="T4" s="41"/>
      <c r="U4" s="29">
        <f>IF($C4&lt;&gt;"",COUNTIF($C$2:C4,C4),"")</f>
        <v>1</v>
      </c>
      <c r="V4" s="29" t="str">
        <f t="shared" si="2"/>
        <v>Doç. Dr. Gamze DURHAN§1</v>
      </c>
      <c r="W4" s="29">
        <f>IF(U4=1,COUNTIF($U$2:U4,1),"")</f>
        <v>3</v>
      </c>
      <c r="X4" s="29">
        <f t="shared" si="3"/>
        <v>56</v>
      </c>
      <c r="Y4" s="29">
        <f>IF(AND(LEFT($B4,7)="SBA 26/",$D4&lt;&gt;"",$F4&lt;&gt;""),COUNTIFS($D$2:$D4,$D4,$B$2:$B4,"SBA 26/*",$F$2:$F4,"&lt;&gt;"),"")</f>
        <v>1</v>
      </c>
      <c r="Z4" s="29">
        <f>IF(Y4=1,COUNTIF($Y$2:Y4,1),"")</f>
        <v>3</v>
      </c>
      <c r="AA4" s="29">
        <f>IF(AND(LEFT($B4,7)="SBA 26/",$C4&lt;&gt;"",$F4&lt;&gt;""),COUNTIFS($C$2:$C4,$C4,$B$2:$B4,"SBA 26/*",$F$2:$F4,"&lt;&gt;"),"")</f>
        <v>1</v>
      </c>
      <c r="AB4" s="29">
        <f>IF(AA4=1,COUNTIF($AA$2:AA4,1),"")</f>
        <v>3</v>
      </c>
    </row>
    <row r="5" spans="1:28" ht="78.75" customHeight="1" x14ac:dyDescent="0.2">
      <c r="A5" s="43" t="s">
        <v>93</v>
      </c>
      <c r="B5" s="43" t="s">
        <v>94</v>
      </c>
      <c r="C5" s="44" t="s">
        <v>95</v>
      </c>
      <c r="D5" s="54" t="s">
        <v>96</v>
      </c>
      <c r="E5" s="45" t="s">
        <v>97</v>
      </c>
      <c r="F5" s="45" t="s">
        <v>98</v>
      </c>
      <c r="G5" s="46" t="s">
        <v>41</v>
      </c>
      <c r="H5" s="47"/>
      <c r="I5" s="48">
        <v>46028</v>
      </c>
      <c r="J5" s="44" t="s">
        <v>99</v>
      </c>
      <c r="K5" s="44" t="s">
        <v>100</v>
      </c>
      <c r="L5" s="50" t="s">
        <v>101</v>
      </c>
      <c r="M5" s="50" t="s">
        <v>77</v>
      </c>
      <c r="N5" s="50"/>
      <c r="O5" s="49"/>
      <c r="P5" s="50" t="str">
        <f t="shared" si="0"/>
        <v>ONAY</v>
      </c>
      <c r="Q5" s="28" t="s">
        <v>100</v>
      </c>
      <c r="R5" s="51" t="str">
        <f t="shared" si="1"/>
        <v/>
      </c>
      <c r="T5" s="41"/>
      <c r="U5" s="29">
        <f>IF($C5&lt;&gt;"",COUNTIF($C$2:C5,C5),"")</f>
        <v>1</v>
      </c>
      <c r="V5" s="29" t="str">
        <f t="shared" si="2"/>
        <v>Prof. Dr. Bayram ŞAHİN§1</v>
      </c>
      <c r="W5" s="29">
        <f>IF(U5=1,COUNTIF($U$2:U5,1),"")</f>
        <v>4</v>
      </c>
      <c r="X5" s="29">
        <f t="shared" si="3"/>
        <v>197</v>
      </c>
      <c r="Y5" s="29">
        <f>IF(AND(LEFT($B5,7)="SBA 26/",$D5&lt;&gt;"",$F5&lt;&gt;""),COUNTIFS($D$2:$D5,$D5,$B$2:$B5,"SBA 26/*",$F$2:$F5,"&lt;&gt;"),"")</f>
        <v>1</v>
      </c>
      <c r="Z5" s="29">
        <f>IF(Y5=1,COUNTIF($Y$2:Y5,1),"")</f>
        <v>4</v>
      </c>
      <c r="AA5" s="29">
        <f>IF(AND(LEFT($B5,7)="SBA 26/",$C5&lt;&gt;"",$F5&lt;&gt;""),COUNTIFS($C$2:$C5,$C5,$B$2:$B5,"SBA 26/*",$F$2:$F5,"&lt;&gt;"),"")</f>
        <v>1</v>
      </c>
      <c r="AB5" s="29">
        <f>IF(AA5=1,COUNTIF($AA$2:AA5,1),"")</f>
        <v>4</v>
      </c>
    </row>
    <row r="6" spans="1:28" ht="47.25" customHeight="1" x14ac:dyDescent="0.2">
      <c r="A6" s="43" t="s">
        <v>102</v>
      </c>
      <c r="B6" s="43" t="s">
        <v>103</v>
      </c>
      <c r="C6" s="44" t="s">
        <v>104</v>
      </c>
      <c r="D6" s="44" t="s">
        <v>105</v>
      </c>
      <c r="E6" s="45" t="s">
        <v>106</v>
      </c>
      <c r="F6" s="45" t="s">
        <v>107</v>
      </c>
      <c r="G6" s="46" t="s">
        <v>41</v>
      </c>
      <c r="H6" s="47"/>
      <c r="I6" s="48">
        <v>46028</v>
      </c>
      <c r="J6" s="44" t="s">
        <v>108</v>
      </c>
      <c r="K6" s="44" t="s">
        <v>109</v>
      </c>
      <c r="L6" s="50" t="s">
        <v>101</v>
      </c>
      <c r="M6" s="50" t="s">
        <v>77</v>
      </c>
      <c r="N6" s="50"/>
      <c r="O6" s="49"/>
      <c r="P6" s="50" t="str">
        <f t="shared" si="0"/>
        <v>ONAY</v>
      </c>
      <c r="Q6" s="28" t="s">
        <v>109</v>
      </c>
      <c r="R6" s="51" t="str">
        <f t="shared" si="1"/>
        <v/>
      </c>
      <c r="T6" s="41"/>
      <c r="U6" s="29">
        <f>IF($C6&lt;&gt;"",COUNTIF($C$2:C6,C6),"")</f>
        <v>1</v>
      </c>
      <c r="V6" s="29" t="str">
        <f t="shared" si="2"/>
        <v>Prof. Dr. Ömür ÇELİKBIÇAK§1</v>
      </c>
      <c r="W6" s="29">
        <f>IF(U6=1,COUNTIF($U$2:U6,1),"")</f>
        <v>5</v>
      </c>
      <c r="X6" s="29">
        <f t="shared" si="3"/>
        <v>288</v>
      </c>
      <c r="Y6" s="29">
        <f>IF(AND(LEFT($B6,7)="SBA 26/",$D6&lt;&gt;"",$F6&lt;&gt;""),COUNTIFS($D$2:$D6,$D6,$B$2:$B6,"SBA 26/*",$F$2:$F6,"&lt;&gt;"),"")</f>
        <v>1</v>
      </c>
      <c r="Z6" s="29">
        <f>IF(Y6=1,COUNTIF($Y$2:Y6,1),"")</f>
        <v>5</v>
      </c>
      <c r="AA6" s="29">
        <f>IF(AND(LEFT($B6,7)="SBA 26/",$C6&lt;&gt;"",$F6&lt;&gt;""),COUNTIFS($C$2:$C6,$C6,$B$2:$B6,"SBA 26/*",$F$2:$F6,"&lt;&gt;"),"")</f>
        <v>1</v>
      </c>
      <c r="AB6" s="29">
        <f>IF(AA6=1,COUNTIF($AA$2:AA6,1),"")</f>
        <v>5</v>
      </c>
    </row>
    <row r="7" spans="1:28" ht="63" customHeight="1" x14ac:dyDescent="0.2">
      <c r="A7" s="43" t="s">
        <v>110</v>
      </c>
      <c r="B7" s="43" t="s">
        <v>111</v>
      </c>
      <c r="C7" s="44" t="s">
        <v>112</v>
      </c>
      <c r="D7" s="44" t="s">
        <v>113</v>
      </c>
      <c r="E7" s="45" t="s">
        <v>114</v>
      </c>
      <c r="F7" s="45" t="s">
        <v>115</v>
      </c>
      <c r="G7" s="46" t="s">
        <v>38</v>
      </c>
      <c r="H7" s="47"/>
      <c r="I7" s="48">
        <v>46028</v>
      </c>
      <c r="J7" s="44" t="s">
        <v>84</v>
      </c>
      <c r="K7" s="44" t="s">
        <v>116</v>
      </c>
      <c r="L7" s="50" t="s">
        <v>77</v>
      </c>
      <c r="M7" s="50"/>
      <c r="N7" s="50"/>
      <c r="O7" s="49"/>
      <c r="P7" s="50" t="str">
        <f t="shared" si="0"/>
        <v>ONAY</v>
      </c>
      <c r="R7" s="51" t="str">
        <f t="shared" si="1"/>
        <v/>
      </c>
      <c r="T7" s="41"/>
      <c r="U7" s="29">
        <f>IF($C7&lt;&gt;"",COUNTIF($C$2:C7,C7),"")</f>
        <v>1</v>
      </c>
      <c r="V7" s="29" t="str">
        <f t="shared" si="2"/>
        <v>Prof. Dr. Meltem Gülhan HALİL§1</v>
      </c>
      <c r="W7" s="29">
        <f>IF(U7=1,COUNTIF($U$2:U7,1),"")</f>
        <v>6</v>
      </c>
      <c r="X7" s="29">
        <f t="shared" si="3"/>
        <v>263</v>
      </c>
      <c r="Y7" s="29">
        <f>IF(AND(LEFT($B7,7)="SBA 26/",$D7&lt;&gt;"",$F7&lt;&gt;""),COUNTIFS($D$2:$D7,$D7,$B$2:$B7,"SBA 26/*",$F$2:$F7,"&lt;&gt;"),"")</f>
        <v>1</v>
      </c>
      <c r="Z7" s="29">
        <f>IF(Y7=1,COUNTIF($Y$2:Y7,1),"")</f>
        <v>6</v>
      </c>
      <c r="AA7" s="29">
        <f>IF(AND(LEFT($B7,7)="SBA 26/",$C7&lt;&gt;"",$F7&lt;&gt;""),COUNTIFS($C$2:$C7,$C7,$B$2:$B7,"SBA 26/*",$F$2:$F7,"&lt;&gt;"),"")</f>
        <v>1</v>
      </c>
      <c r="AB7" s="29">
        <f>IF(AA7=1,COUNTIF($AA$2:AA7,1),"")</f>
        <v>6</v>
      </c>
    </row>
    <row r="8" spans="1:28" ht="47.25" customHeight="1" x14ac:dyDescent="0.2">
      <c r="A8" s="43" t="s">
        <v>117</v>
      </c>
      <c r="B8" s="43" t="s">
        <v>118</v>
      </c>
      <c r="C8" s="44" t="s">
        <v>119</v>
      </c>
      <c r="D8" s="44" t="s">
        <v>120</v>
      </c>
      <c r="E8" s="45" t="s">
        <v>121</v>
      </c>
      <c r="F8" s="45" t="s">
        <v>122</v>
      </c>
      <c r="G8" s="46" t="s">
        <v>39</v>
      </c>
      <c r="H8" s="47"/>
      <c r="I8" s="48">
        <v>46028</v>
      </c>
      <c r="J8" s="44" t="s">
        <v>123</v>
      </c>
      <c r="K8" s="44" t="s">
        <v>116</v>
      </c>
      <c r="L8" s="50" t="s">
        <v>77</v>
      </c>
      <c r="M8" s="50"/>
      <c r="N8" s="50"/>
      <c r="O8" s="49"/>
      <c r="P8" s="50" t="str">
        <f t="shared" si="0"/>
        <v>ONAY</v>
      </c>
      <c r="R8" s="51" t="str">
        <f t="shared" si="1"/>
        <v/>
      </c>
      <c r="T8" s="41"/>
      <c r="U8" s="29">
        <f>IF($C8&lt;&gt;"",COUNTIF($C$2:C8,C8),"")</f>
        <v>1</v>
      </c>
      <c r="V8" s="29" t="str">
        <f t="shared" si="2"/>
        <v>Doç. Dr. Ayhan EYMİRLİ§1</v>
      </c>
      <c r="W8" s="29">
        <f>IF(U8=1,COUNTIF($U$2:U8,1),"")</f>
        <v>7</v>
      </c>
      <c r="X8" s="29">
        <f t="shared" si="3"/>
        <v>19</v>
      </c>
      <c r="Y8" s="29">
        <f>IF(AND(LEFT($B8,7)="SBA 26/",$D8&lt;&gt;"",$F8&lt;&gt;""),COUNTIFS($D$2:$D8,$D8,$B$2:$B8,"SBA 26/*",$F$2:$F8,"&lt;&gt;"),"")</f>
        <v>1</v>
      </c>
      <c r="Z8" s="29">
        <f>IF(Y8=1,COUNTIF($Y$2:Y8,1),"")</f>
        <v>7</v>
      </c>
      <c r="AA8" s="29">
        <f>IF(AND(LEFT($B8,7)="SBA 26/",$C8&lt;&gt;"",$F8&lt;&gt;""),COUNTIFS($C$2:$C8,$C8,$B$2:$B8,"SBA 26/*",$F$2:$F8,"&lt;&gt;"),"")</f>
        <v>1</v>
      </c>
      <c r="AB8" s="29">
        <f>IF(AA8=1,COUNTIF($AA$2:AA8,1),"")</f>
        <v>7</v>
      </c>
    </row>
    <row r="9" spans="1:28" ht="63" customHeight="1" x14ac:dyDescent="0.2">
      <c r="A9" s="43" t="s">
        <v>124</v>
      </c>
      <c r="B9" s="43" t="s">
        <v>125</v>
      </c>
      <c r="C9" s="44" t="s">
        <v>126</v>
      </c>
      <c r="D9" s="44" t="s">
        <v>113</v>
      </c>
      <c r="E9" s="45" t="s">
        <v>127</v>
      </c>
      <c r="F9" s="45" t="s">
        <v>128</v>
      </c>
      <c r="G9" s="46" t="s">
        <v>39</v>
      </c>
      <c r="H9" s="47"/>
      <c r="I9" s="48">
        <v>46028</v>
      </c>
      <c r="J9" s="44" t="s">
        <v>99</v>
      </c>
      <c r="K9" s="44" t="s">
        <v>129</v>
      </c>
      <c r="L9" s="50" t="s">
        <v>77</v>
      </c>
      <c r="M9" s="50"/>
      <c r="N9" s="50"/>
      <c r="O9" s="49"/>
      <c r="P9" s="50" t="str">
        <f t="shared" si="0"/>
        <v>ONAY</v>
      </c>
      <c r="R9" s="51" t="str">
        <f t="shared" si="1"/>
        <v/>
      </c>
      <c r="T9" s="41"/>
      <c r="U9" s="29">
        <f>IF($C9&lt;&gt;"",COUNTIF($C$2:C9,C9),"")</f>
        <v>1</v>
      </c>
      <c r="V9" s="29" t="str">
        <f t="shared" si="2"/>
        <v>Doç. Dr. Nursel ÇALIK BAŞARAN§1</v>
      </c>
      <c r="W9" s="29">
        <f>IF(U9=1,COUNTIF($U$2:U9,1),"")</f>
        <v>8</v>
      </c>
      <c r="X9" s="29">
        <f t="shared" si="3"/>
        <v>87</v>
      </c>
      <c r="Y9" s="29">
        <f>IF(AND(LEFT($B9,7)="SBA 26/",$D9&lt;&gt;"",$F9&lt;&gt;""),COUNTIFS($D$2:$D9,$D9,$B$2:$B9,"SBA 26/*",$F$2:$F9,"&lt;&gt;"),"")</f>
        <v>2</v>
      </c>
      <c r="Z9" s="29" t="str">
        <f>IF(Y9=1,COUNTIF($Y$2:Y9,1),"")</f>
        <v/>
      </c>
      <c r="AA9" s="29">
        <f>IF(AND(LEFT($B9,7)="SBA 26/",$C9&lt;&gt;"",$F9&lt;&gt;""),COUNTIFS($C$2:$C9,$C9,$B$2:$B9,"SBA 26/*",$F$2:$F9,"&lt;&gt;"),"")</f>
        <v>1</v>
      </c>
      <c r="AB9" s="29">
        <f>IF(AA9=1,COUNTIF($AA$2:AA9,1),"")</f>
        <v>8</v>
      </c>
    </row>
    <row r="10" spans="1:28" ht="110.25" customHeight="1" x14ac:dyDescent="0.2">
      <c r="A10" s="43" t="s">
        <v>130</v>
      </c>
      <c r="B10" s="43" t="s">
        <v>131</v>
      </c>
      <c r="C10" s="44" t="s">
        <v>132</v>
      </c>
      <c r="D10" s="44" t="s">
        <v>133</v>
      </c>
      <c r="E10" s="45" t="s">
        <v>134</v>
      </c>
      <c r="F10" s="45" t="s">
        <v>135</v>
      </c>
      <c r="G10" s="46" t="s">
        <v>38</v>
      </c>
      <c r="H10" s="47"/>
      <c r="I10" s="48">
        <v>46028</v>
      </c>
      <c r="J10" s="44" t="s">
        <v>100</v>
      </c>
      <c r="K10" s="44" t="s">
        <v>76</v>
      </c>
      <c r="L10" s="50" t="s">
        <v>77</v>
      </c>
      <c r="M10" s="50"/>
      <c r="N10" s="50"/>
      <c r="O10" s="49"/>
      <c r="P10" s="50" t="str">
        <f t="shared" si="0"/>
        <v>ONAY</v>
      </c>
      <c r="R10" s="51" t="str">
        <f t="shared" si="1"/>
        <v/>
      </c>
      <c r="T10" s="41"/>
      <c r="U10" s="29">
        <f>IF($C10&lt;&gt;"",COUNTIF($C$2:C10,C10),"")</f>
        <v>1</v>
      </c>
      <c r="V10" s="29" t="str">
        <f t="shared" si="2"/>
        <v>Öğr. Gör. Dr. Buket KILIÇ§1</v>
      </c>
      <c r="W10" s="29">
        <f>IF(U10=1,COUNTIF($U$2:U10,1),"")</f>
        <v>9</v>
      </c>
      <c r="X10" s="29">
        <f t="shared" si="3"/>
        <v>171</v>
      </c>
      <c r="Y10" s="29">
        <f>IF(AND(LEFT($B10,7)="SBA 26/",$D10&lt;&gt;"",$F10&lt;&gt;""),COUNTIFS($D$2:$D10,$D10,$B$2:$B10,"SBA 26/*",$F$2:$F10,"&lt;&gt;"),"")</f>
        <v>1</v>
      </c>
      <c r="Z10" s="29">
        <f>IF(Y10=1,COUNTIF($Y$2:Y10,1),"")</f>
        <v>8</v>
      </c>
      <c r="AA10" s="29">
        <f>IF(AND(LEFT($B10,7)="SBA 26/",$C10&lt;&gt;"",$F10&lt;&gt;""),COUNTIFS($C$2:$C10,$C10,$B$2:$B10,"SBA 26/*",$F$2:$F10,"&lt;&gt;"),"")</f>
        <v>1</v>
      </c>
      <c r="AB10" s="29">
        <f>IF(AA10=1,COUNTIF($AA$2:AA10,1),"")</f>
        <v>9</v>
      </c>
    </row>
    <row r="11" spans="1:28" ht="94.5" customHeight="1" x14ac:dyDescent="0.2">
      <c r="A11" s="43" t="s">
        <v>136</v>
      </c>
      <c r="B11" s="43" t="s">
        <v>137</v>
      </c>
      <c r="C11" s="44" t="s">
        <v>138</v>
      </c>
      <c r="D11" s="44" t="s">
        <v>139</v>
      </c>
      <c r="E11" s="45" t="s">
        <v>140</v>
      </c>
      <c r="F11" s="45" t="s">
        <v>141</v>
      </c>
      <c r="G11" s="46" t="s">
        <v>41</v>
      </c>
      <c r="H11" s="47"/>
      <c r="I11" s="48">
        <v>46028</v>
      </c>
      <c r="J11" s="44" t="s">
        <v>123</v>
      </c>
      <c r="K11" s="44" t="s">
        <v>75</v>
      </c>
      <c r="L11" s="50" t="s">
        <v>101</v>
      </c>
      <c r="M11" s="50" t="s">
        <v>77</v>
      </c>
      <c r="N11" s="50"/>
      <c r="O11" s="49"/>
      <c r="P11" s="50" t="str">
        <f t="shared" si="0"/>
        <v>ONAY</v>
      </c>
      <c r="Q11" s="28" t="s">
        <v>75</v>
      </c>
      <c r="R11" s="51" t="str">
        <f t="shared" si="1"/>
        <v/>
      </c>
      <c r="T11" s="41"/>
      <c r="U11" s="29">
        <f>IF($C11&lt;&gt;"",COUNTIF($C$2:C11,C11),"")</f>
        <v>1</v>
      </c>
      <c r="V11" s="29" t="str">
        <f t="shared" si="2"/>
        <v>Prof. Dr. Yakut AKYÖN YILMAZ§1</v>
      </c>
      <c r="W11" s="29">
        <f>IF(U11=1,COUNTIF($U$2:U11,1),"")</f>
        <v>10</v>
      </c>
      <c r="X11" s="29">
        <f t="shared" si="3"/>
        <v>333</v>
      </c>
      <c r="Y11" s="29">
        <f>IF(AND(LEFT($B11,7)="SBA 26/",$D11&lt;&gt;"",$F11&lt;&gt;""),COUNTIFS($D$2:$D11,$D11,$B$2:$B11,"SBA 26/*",$F$2:$F11,"&lt;&gt;"),"")</f>
        <v>1</v>
      </c>
      <c r="Z11" s="29">
        <f>IF(Y11=1,COUNTIF($Y$2:Y11,1),"")</f>
        <v>9</v>
      </c>
      <c r="AA11" s="29">
        <f>IF(AND(LEFT($B11,7)="SBA 26/",$C11&lt;&gt;"",$F11&lt;&gt;""),COUNTIFS($C$2:$C11,$C11,$B$2:$B11,"SBA 26/*",$F$2:$F11,"&lt;&gt;"),"")</f>
        <v>1</v>
      </c>
      <c r="AB11" s="29">
        <f>IF(AA11=1,COUNTIF($AA$2:AA11,1),"")</f>
        <v>10</v>
      </c>
    </row>
    <row r="12" spans="1:28" ht="78.75" customHeight="1" x14ac:dyDescent="0.2">
      <c r="A12" s="43" t="s">
        <v>142</v>
      </c>
      <c r="B12" s="43" t="s">
        <v>143</v>
      </c>
      <c r="C12" s="44" t="s">
        <v>144</v>
      </c>
      <c r="D12" s="44" t="s">
        <v>113</v>
      </c>
      <c r="E12" s="45" t="s">
        <v>145</v>
      </c>
      <c r="F12" s="45" t="s">
        <v>146</v>
      </c>
      <c r="G12" s="46" t="s">
        <v>38</v>
      </c>
      <c r="H12" s="47"/>
      <c r="I12" s="48">
        <v>46028</v>
      </c>
      <c r="J12" s="44" t="s">
        <v>129</v>
      </c>
      <c r="K12" s="44" t="s">
        <v>108</v>
      </c>
      <c r="L12" s="50" t="s">
        <v>77</v>
      </c>
      <c r="M12" s="50"/>
      <c r="N12" s="50"/>
      <c r="O12" s="49"/>
      <c r="P12" s="50" t="str">
        <f t="shared" si="0"/>
        <v>ONAY</v>
      </c>
      <c r="R12" s="51" t="str">
        <f t="shared" si="1"/>
        <v/>
      </c>
      <c r="T12" s="41"/>
      <c r="U12" s="29">
        <f>IF($C12&lt;&gt;"",COUNTIF($C$2:C12,C12),"")</f>
        <v>1</v>
      </c>
      <c r="V12" s="29" t="str">
        <f t="shared" si="2"/>
        <v>Prof. Dr. Ömer KARADAĞ§1</v>
      </c>
      <c r="W12" s="29">
        <f>IF(U12=1,COUNTIF($U$2:U12,1),"")</f>
        <v>11</v>
      </c>
      <c r="X12" s="29">
        <f t="shared" si="3"/>
        <v>284</v>
      </c>
      <c r="Y12" s="29">
        <f>IF(AND(LEFT($B12,7)="SBA 26/",$D12&lt;&gt;"",$F12&lt;&gt;""),COUNTIFS($D$2:$D12,$D12,$B$2:$B12,"SBA 26/*",$F$2:$F12,"&lt;&gt;"),"")</f>
        <v>3</v>
      </c>
      <c r="Z12" s="29" t="str">
        <f>IF(Y12=1,COUNTIF($Y$2:Y12,1),"")</f>
        <v/>
      </c>
      <c r="AA12" s="29">
        <f>IF(AND(LEFT($B12,7)="SBA 26/",$C12&lt;&gt;"",$F12&lt;&gt;""),COUNTIFS($C$2:$C12,$C12,$B$2:$B12,"SBA 26/*",$F$2:$F12,"&lt;&gt;"),"")</f>
        <v>1</v>
      </c>
      <c r="AB12" s="29">
        <f>IF(AA12=1,COUNTIF($AA$2:AA12,1),"")</f>
        <v>11</v>
      </c>
    </row>
    <row r="13" spans="1:28" ht="78.75" customHeight="1" x14ac:dyDescent="0.2">
      <c r="A13" s="43" t="s">
        <v>147</v>
      </c>
      <c r="B13" s="43" t="s">
        <v>148</v>
      </c>
      <c r="C13" s="44" t="s">
        <v>149</v>
      </c>
      <c r="D13" s="44" t="s">
        <v>150</v>
      </c>
      <c r="E13" s="45" t="s">
        <v>151</v>
      </c>
      <c r="F13" s="45" t="s">
        <v>152</v>
      </c>
      <c r="G13" s="46" t="s">
        <v>39</v>
      </c>
      <c r="H13" s="47"/>
      <c r="I13" s="48">
        <v>46028</v>
      </c>
      <c r="J13" s="44" t="s">
        <v>92</v>
      </c>
      <c r="K13" s="44" t="s">
        <v>109</v>
      </c>
      <c r="L13" s="50" t="s">
        <v>153</v>
      </c>
      <c r="M13" s="50"/>
      <c r="N13" s="50"/>
      <c r="O13" s="49"/>
      <c r="P13" s="50" t="str">
        <f t="shared" si="0"/>
        <v>KAPSAM DIŞI</v>
      </c>
      <c r="R13" s="51" t="str">
        <f t="shared" si="1"/>
        <v/>
      </c>
      <c r="T13" s="41"/>
      <c r="U13" s="29">
        <f>IF($C13&lt;&gt;"",COUNTIF($C$2:C13,C13),"")</f>
        <v>1</v>
      </c>
      <c r="V13" s="29" t="str">
        <f t="shared" si="2"/>
        <v>Prof. Dr. N. Dilara ZEYBEK§1</v>
      </c>
      <c r="W13" s="29">
        <f>IF(U13=1,COUNTIF($U$2:U13,1),"")</f>
        <v>12</v>
      </c>
      <c r="X13" s="29">
        <f t="shared" si="3"/>
        <v>275</v>
      </c>
      <c r="Y13" s="29">
        <f>IF(AND(LEFT($B13,7)="SBA 26/",$D13&lt;&gt;"",$F13&lt;&gt;""),COUNTIFS($D$2:$D13,$D13,$B$2:$B13,"SBA 26/*",$F$2:$F13,"&lt;&gt;"),"")</f>
        <v>1</v>
      </c>
      <c r="Z13" s="29">
        <f>IF(Y13=1,COUNTIF($Y$2:Y13,1),"")</f>
        <v>10</v>
      </c>
      <c r="AA13" s="29">
        <f>IF(AND(LEFT($B13,7)="SBA 26/",$C13&lt;&gt;"",$F13&lt;&gt;""),COUNTIFS($C$2:$C13,$C13,$B$2:$B13,"SBA 26/*",$F$2:$F13,"&lt;&gt;"),"")</f>
        <v>1</v>
      </c>
      <c r="AB13" s="29">
        <f>IF(AA13=1,COUNTIF($AA$2:AA13,1),"")</f>
        <v>12</v>
      </c>
    </row>
    <row r="14" spans="1:28" ht="63" customHeight="1" x14ac:dyDescent="0.2">
      <c r="A14" s="43" t="s">
        <v>154</v>
      </c>
      <c r="B14" s="43" t="s">
        <v>155</v>
      </c>
      <c r="C14" s="44" t="s">
        <v>156</v>
      </c>
      <c r="D14" s="44" t="s">
        <v>157</v>
      </c>
      <c r="E14" s="45" t="s">
        <v>158</v>
      </c>
      <c r="F14" s="45" t="s">
        <v>159</v>
      </c>
      <c r="G14" s="46" t="s">
        <v>40</v>
      </c>
      <c r="H14" s="47"/>
      <c r="I14" s="48">
        <v>46028</v>
      </c>
      <c r="J14" s="44" t="s">
        <v>91</v>
      </c>
      <c r="K14" s="44" t="s">
        <v>99</v>
      </c>
      <c r="L14" s="50" t="s">
        <v>101</v>
      </c>
      <c r="M14" s="50" t="s">
        <v>77</v>
      </c>
      <c r="N14" s="50"/>
      <c r="O14" s="49"/>
      <c r="P14" s="50" t="str">
        <f t="shared" si="0"/>
        <v>ONAY</v>
      </c>
      <c r="Q14" s="28" t="s">
        <v>91</v>
      </c>
      <c r="R14" s="51" t="str">
        <f t="shared" si="1"/>
        <v/>
      </c>
      <c r="T14" s="41"/>
      <c r="U14" s="29">
        <f>IF($C14&lt;&gt;"",COUNTIF($C$2:C14,C14),"")</f>
        <v>1</v>
      </c>
      <c r="V14" s="29" t="str">
        <f t="shared" si="2"/>
        <v>Prof. Dr. Orhan ODABAŞI§1</v>
      </c>
      <c r="W14" s="29">
        <f>IF(U14=1,COUNTIF($U$2:U14,1),"")</f>
        <v>13</v>
      </c>
      <c r="X14" s="29">
        <f t="shared" si="3"/>
        <v>281</v>
      </c>
      <c r="Y14" s="29">
        <f>IF(AND(LEFT($B14,7)="SBA 26/",$D14&lt;&gt;"",$F14&lt;&gt;""),COUNTIFS($D$2:$D14,$D14,$B$2:$B14,"SBA 26/*",$F$2:$F14,"&lt;&gt;"),"")</f>
        <v>1</v>
      </c>
      <c r="Z14" s="29">
        <f>IF(Y14=1,COUNTIF($Y$2:Y14,1),"")</f>
        <v>11</v>
      </c>
      <c r="AA14" s="29">
        <f>IF(AND(LEFT($B14,7)="SBA 26/",$C14&lt;&gt;"",$F14&lt;&gt;""),COUNTIFS($C$2:$C14,$C14,$B$2:$B14,"SBA 26/*",$F$2:$F14,"&lt;&gt;"),"")</f>
        <v>1</v>
      </c>
      <c r="AB14" s="29">
        <f>IF(AA14=1,COUNTIF($AA$2:AA14,1),"")</f>
        <v>13</v>
      </c>
    </row>
    <row r="15" spans="1:28" ht="78.75" customHeight="1" x14ac:dyDescent="0.2">
      <c r="A15" s="43" t="s">
        <v>160</v>
      </c>
      <c r="B15" s="43" t="s">
        <v>161</v>
      </c>
      <c r="C15" s="44" t="s">
        <v>162</v>
      </c>
      <c r="D15" s="44" t="s">
        <v>163</v>
      </c>
      <c r="E15" s="45" t="s">
        <v>164</v>
      </c>
      <c r="F15" s="45" t="s">
        <v>165</v>
      </c>
      <c r="G15" s="46" t="s">
        <v>38</v>
      </c>
      <c r="H15" s="47"/>
      <c r="I15" s="48">
        <v>46028</v>
      </c>
      <c r="J15" s="44" t="s">
        <v>116</v>
      </c>
      <c r="K15" s="44" t="s">
        <v>76</v>
      </c>
      <c r="L15" s="50" t="s">
        <v>77</v>
      </c>
      <c r="M15" s="50"/>
      <c r="N15" s="50"/>
      <c r="O15" s="49"/>
      <c r="P15" s="50" t="str">
        <f t="shared" si="0"/>
        <v>ONAY</v>
      </c>
      <c r="R15" s="51" t="str">
        <f t="shared" si="1"/>
        <v/>
      </c>
      <c r="T15" s="41"/>
      <c r="U15" s="29">
        <f>IF($C15&lt;&gt;"",COUNTIF($C$2:C15,C15),"")</f>
        <v>1</v>
      </c>
      <c r="V15" s="29" t="str">
        <f t="shared" si="2"/>
        <v>Dr. Öğr. Üyesi Yiğitcan KARANFİL§1</v>
      </c>
      <c r="W15" s="29">
        <f>IF(U15=1,COUNTIF($U$2:U15,1),"")</f>
        <v>14</v>
      </c>
      <c r="X15" s="29">
        <f t="shared" si="3"/>
        <v>166</v>
      </c>
      <c r="Y15" s="29">
        <f>IF(AND(LEFT($B15,7)="SBA 26/",$D15&lt;&gt;"",$F15&lt;&gt;""),COUNTIFS($D$2:$D15,$D15,$B$2:$B15,"SBA 26/*",$F$2:$F15,"&lt;&gt;"),"")</f>
        <v>1</v>
      </c>
      <c r="Z15" s="29">
        <f>IF(Y15=1,COUNTIF($Y$2:Y15,1),"")</f>
        <v>12</v>
      </c>
      <c r="AA15" s="29">
        <f>IF(AND(LEFT($B15,7)="SBA 26/",$C15&lt;&gt;"",$F15&lt;&gt;""),COUNTIFS($C$2:$C15,$C15,$B$2:$B15,"SBA 26/*",$F$2:$F15,"&lt;&gt;"),"")</f>
        <v>1</v>
      </c>
      <c r="AB15" s="29">
        <f>IF(AA15=1,COUNTIF($AA$2:AA15,1),"")</f>
        <v>14</v>
      </c>
    </row>
    <row r="16" spans="1:28" ht="94.5" customHeight="1" x14ac:dyDescent="0.2">
      <c r="A16" s="43" t="s">
        <v>166</v>
      </c>
      <c r="B16" s="43" t="s">
        <v>167</v>
      </c>
      <c r="C16" s="44" t="s">
        <v>168</v>
      </c>
      <c r="D16" s="44" t="s">
        <v>169</v>
      </c>
      <c r="E16" s="45" t="s">
        <v>170</v>
      </c>
      <c r="F16" s="45" t="s">
        <v>171</v>
      </c>
      <c r="G16" s="46" t="s">
        <v>38</v>
      </c>
      <c r="H16" s="47"/>
      <c r="I16" s="48">
        <v>46028</v>
      </c>
      <c r="J16" s="44" t="s">
        <v>109</v>
      </c>
      <c r="K16" s="44" t="s">
        <v>84</v>
      </c>
      <c r="L16" s="50" t="s">
        <v>172</v>
      </c>
      <c r="M16" s="50" t="s">
        <v>101</v>
      </c>
      <c r="N16" s="50" t="s">
        <v>101</v>
      </c>
      <c r="O16" s="49"/>
      <c r="P16" s="50" t="str">
        <f t="shared" si="0"/>
        <v>DÜZELTME</v>
      </c>
      <c r="R16" s="51" t="str">
        <f t="shared" si="1"/>
        <v/>
      </c>
      <c r="T16" s="41"/>
      <c r="U16" s="29">
        <f>IF($C16&lt;&gt;"",COUNTIF($C$2:C16,C16),"")</f>
        <v>1</v>
      </c>
      <c r="V16" s="29" t="str">
        <f t="shared" si="2"/>
        <v>Prof. Dr. Ali Fuat KALYONCU§1</v>
      </c>
      <c r="W16" s="29">
        <f>IF(U16=1,COUNTIF($U$2:U16,1),"")</f>
        <v>15</v>
      </c>
      <c r="X16" s="29">
        <f t="shared" si="3"/>
        <v>184</v>
      </c>
      <c r="Y16" s="29">
        <f>IF(AND(LEFT($B16,7)="SBA 26/",$D16&lt;&gt;"",$F16&lt;&gt;""),COUNTIFS($D$2:$D16,$D16,$B$2:$B16,"SBA 26/*",$F$2:$F16,"&lt;&gt;"),"")</f>
        <v>1</v>
      </c>
      <c r="Z16" s="29">
        <f>IF(Y16=1,COUNTIF($Y$2:Y16,1),"")</f>
        <v>13</v>
      </c>
      <c r="AA16" s="29">
        <f>IF(AND(LEFT($B16,7)="SBA 26/",$C16&lt;&gt;"",$F16&lt;&gt;""),COUNTIFS($C$2:$C16,$C16,$B$2:$B16,"SBA 26/*",$F$2:$F16,"&lt;&gt;"),"")</f>
        <v>1</v>
      </c>
      <c r="AB16" s="29">
        <f>IF(AA16=1,COUNTIF($AA$2:AA16,1),"")</f>
        <v>15</v>
      </c>
    </row>
    <row r="17" spans="1:28" ht="94.5" customHeight="1" x14ac:dyDescent="0.2">
      <c r="A17" s="43" t="s">
        <v>173</v>
      </c>
      <c r="B17" s="43" t="s">
        <v>174</v>
      </c>
      <c r="C17" s="44" t="s">
        <v>175</v>
      </c>
      <c r="D17" s="44" t="s">
        <v>169</v>
      </c>
      <c r="E17" s="45" t="s">
        <v>176</v>
      </c>
      <c r="F17" s="45" t="s">
        <v>177</v>
      </c>
      <c r="G17" s="46" t="s">
        <v>38</v>
      </c>
      <c r="H17" s="47"/>
      <c r="I17" s="48">
        <v>46028</v>
      </c>
      <c r="J17" s="44" t="s">
        <v>129</v>
      </c>
      <c r="K17" s="44" t="s">
        <v>108</v>
      </c>
      <c r="L17" s="50" t="s">
        <v>77</v>
      </c>
      <c r="M17" s="50"/>
      <c r="N17" s="50"/>
      <c r="O17" s="49"/>
      <c r="P17" s="50" t="str">
        <f t="shared" si="0"/>
        <v>ONAY</v>
      </c>
      <c r="R17" s="51" t="str">
        <f t="shared" si="1"/>
        <v/>
      </c>
      <c r="T17" s="41"/>
      <c r="U17" s="29">
        <f>IF($C17&lt;&gt;"",COUNTIF($C$2:C17,C17),"")</f>
        <v>1</v>
      </c>
      <c r="V17" s="29" t="str">
        <f t="shared" si="2"/>
        <v>Prof. Dr. Gül KARAKAYA§1</v>
      </c>
      <c r="W17" s="29">
        <f>IF(U17=1,COUNTIF($U$2:U17,1),"")</f>
        <v>16</v>
      </c>
      <c r="X17" s="29">
        <f t="shared" si="3"/>
        <v>230</v>
      </c>
      <c r="Y17" s="29">
        <f>IF(AND(LEFT($B17,7)="SBA 26/",$D17&lt;&gt;"",$F17&lt;&gt;""),COUNTIFS($D$2:$D17,$D17,$B$2:$B17,"SBA 26/*",$F$2:$F17,"&lt;&gt;"),"")</f>
        <v>2</v>
      </c>
      <c r="Z17" s="29" t="str">
        <f>IF(Y17=1,COUNTIF($Y$2:Y17,1),"")</f>
        <v/>
      </c>
      <c r="AA17" s="29">
        <f>IF(AND(LEFT($B17,7)="SBA 26/",$C17&lt;&gt;"",$F17&lt;&gt;""),COUNTIFS($C$2:$C17,$C17,$B$2:$B17,"SBA 26/*",$F$2:$F17,"&lt;&gt;"),"")</f>
        <v>1</v>
      </c>
      <c r="AB17" s="29">
        <f>IF(AA17=1,COUNTIF($AA$2:AA17,1),"")</f>
        <v>16</v>
      </c>
    </row>
    <row r="18" spans="1:28" ht="63" customHeight="1" x14ac:dyDescent="0.2">
      <c r="A18" s="43" t="s">
        <v>178</v>
      </c>
      <c r="B18" s="43" t="s">
        <v>179</v>
      </c>
      <c r="C18" s="44" t="s">
        <v>180</v>
      </c>
      <c r="D18" s="44" t="s">
        <v>181</v>
      </c>
      <c r="E18" s="45" t="s">
        <v>182</v>
      </c>
      <c r="F18" s="45" t="s">
        <v>183</v>
      </c>
      <c r="G18" s="46" t="s">
        <v>39</v>
      </c>
      <c r="H18" s="47"/>
      <c r="I18" s="48">
        <v>46028</v>
      </c>
      <c r="J18" s="44" t="s">
        <v>99</v>
      </c>
      <c r="K18" s="44" t="s">
        <v>100</v>
      </c>
      <c r="L18" s="50" t="s">
        <v>101</v>
      </c>
      <c r="M18" s="50" t="s">
        <v>77</v>
      </c>
      <c r="N18" s="50"/>
      <c r="O18" s="49"/>
      <c r="P18" s="50" t="str">
        <f t="shared" si="0"/>
        <v>ONAY</v>
      </c>
      <c r="Q18" s="28" t="s">
        <v>75</v>
      </c>
      <c r="R18" s="51" t="str">
        <f t="shared" si="1"/>
        <v/>
      </c>
      <c r="T18" s="41"/>
      <c r="U18" s="29">
        <f>IF($C18&lt;&gt;"",COUNTIF($C$2:C18,C18),"")</f>
        <v>1</v>
      </c>
      <c r="V18" s="29" t="str">
        <f t="shared" si="2"/>
        <v>Prof. Dr. Banu KILIÇASLAN§1</v>
      </c>
      <c r="W18" s="29">
        <f>IF(U18=1,COUNTIF($U$2:U18,1),"")</f>
        <v>17</v>
      </c>
      <c r="X18" s="29">
        <f t="shared" si="3"/>
        <v>195</v>
      </c>
      <c r="Y18" s="29">
        <f>IF(AND(LEFT($B18,7)="SBA 26/",$D18&lt;&gt;"",$F18&lt;&gt;""),COUNTIFS($D$2:$D18,$D18,$B$2:$B18,"SBA 26/*",$F$2:$F18,"&lt;&gt;"),"")</f>
        <v>1</v>
      </c>
      <c r="Z18" s="29">
        <f>IF(Y18=1,COUNTIF($Y$2:Y18,1),"")</f>
        <v>14</v>
      </c>
      <c r="AA18" s="29">
        <f>IF(AND(LEFT($B18,7)="SBA 26/",$C18&lt;&gt;"",$F18&lt;&gt;""),COUNTIFS($C$2:$C18,$C18,$B$2:$B18,"SBA 26/*",$F$2:$F18,"&lt;&gt;"),"")</f>
        <v>1</v>
      </c>
      <c r="AB18" s="29">
        <f>IF(AA18=1,COUNTIF($AA$2:AA18,1),"")</f>
        <v>17</v>
      </c>
    </row>
    <row r="19" spans="1:28" ht="63" customHeight="1" x14ac:dyDescent="0.2">
      <c r="A19" s="43" t="s">
        <v>184</v>
      </c>
      <c r="B19" s="43" t="s">
        <v>185</v>
      </c>
      <c r="C19" s="44" t="s">
        <v>186</v>
      </c>
      <c r="D19" s="44" t="s">
        <v>187</v>
      </c>
      <c r="E19" s="45" t="s">
        <v>188</v>
      </c>
      <c r="F19" s="45" t="s">
        <v>189</v>
      </c>
      <c r="G19" s="46" t="s">
        <v>38</v>
      </c>
      <c r="H19" s="47"/>
      <c r="I19" s="48">
        <v>46028</v>
      </c>
      <c r="J19" s="44" t="s">
        <v>75</v>
      </c>
      <c r="K19" s="44" t="s">
        <v>76</v>
      </c>
      <c r="L19" s="50" t="s">
        <v>77</v>
      </c>
      <c r="M19" s="50"/>
      <c r="N19" s="50"/>
      <c r="O19" s="49"/>
      <c r="P19" s="50" t="str">
        <f t="shared" si="0"/>
        <v>ONAY</v>
      </c>
      <c r="R19" s="51" t="str">
        <f t="shared" si="1"/>
        <v/>
      </c>
      <c r="T19" s="41"/>
      <c r="U19" s="29">
        <f>IF($C19&lt;&gt;"",COUNTIF($C$2:C19,C19),"")</f>
        <v>1</v>
      </c>
      <c r="V19" s="29" t="str">
        <f t="shared" si="2"/>
        <v>Doç. Dr. Ulaş KUMBASAR§1</v>
      </c>
      <c r="W19" s="29">
        <f>IF(U19=1,COUNTIF($U$2:U19,1),"")</f>
        <v>18</v>
      </c>
      <c r="X19" s="29">
        <f t="shared" si="3"/>
        <v>101</v>
      </c>
      <c r="Y19" s="29">
        <f>IF(AND(LEFT($B19,7)="SBA 26/",$D19&lt;&gt;"",$F19&lt;&gt;""),COUNTIFS($D$2:$D19,$D19,$B$2:$B19,"SBA 26/*",$F$2:$F19,"&lt;&gt;"),"")</f>
        <v>1</v>
      </c>
      <c r="Z19" s="29">
        <f>IF(Y19=1,COUNTIF($Y$2:Y19,1),"")</f>
        <v>15</v>
      </c>
      <c r="AA19" s="29">
        <f>IF(AND(LEFT($B19,7)="SBA 26/",$C19&lt;&gt;"",$F19&lt;&gt;""),COUNTIFS($C$2:$C19,$C19,$B$2:$B19,"SBA 26/*",$F$2:$F19,"&lt;&gt;"),"")</f>
        <v>1</v>
      </c>
      <c r="AB19" s="29">
        <f>IF(AA19=1,COUNTIF($AA$2:AA19,1),"")</f>
        <v>18</v>
      </c>
    </row>
    <row r="20" spans="1:28" ht="76.5" customHeight="1" x14ac:dyDescent="0.2">
      <c r="A20" s="43" t="s">
        <v>190</v>
      </c>
      <c r="B20" s="43" t="s">
        <v>191</v>
      </c>
      <c r="C20" s="44" t="s">
        <v>192</v>
      </c>
      <c r="D20" s="44" t="s">
        <v>193</v>
      </c>
      <c r="E20" s="45" t="s">
        <v>194</v>
      </c>
      <c r="F20" s="45" t="s">
        <v>195</v>
      </c>
      <c r="G20" s="46" t="s">
        <v>38</v>
      </c>
      <c r="H20" s="47"/>
      <c r="I20" s="48">
        <v>46028</v>
      </c>
      <c r="J20" s="44" t="s">
        <v>92</v>
      </c>
      <c r="K20" s="44" t="s">
        <v>129</v>
      </c>
      <c r="L20" s="50" t="s">
        <v>77</v>
      </c>
      <c r="M20" s="50"/>
      <c r="N20" s="50"/>
      <c r="O20" s="49"/>
      <c r="P20" s="50" t="str">
        <f t="shared" si="0"/>
        <v>ONAY</v>
      </c>
      <c r="R20" s="51" t="str">
        <f t="shared" si="1"/>
        <v/>
      </c>
      <c r="T20" s="41"/>
      <c r="U20" s="29">
        <f>IF($C20&lt;&gt;"",COUNTIF($C$2:C20,C20),"")</f>
        <v>1</v>
      </c>
      <c r="V20" s="29" t="str">
        <f t="shared" si="2"/>
        <v>Dr. Öğr. Üyesi Figen BEZCİ AYGÜN§1</v>
      </c>
      <c r="W20" s="29">
        <f>IF(U20=1,COUNTIF($U$2:U20,1),"")</f>
        <v>19</v>
      </c>
      <c r="X20" s="29">
        <f t="shared" si="3"/>
        <v>132</v>
      </c>
      <c r="Y20" s="29">
        <f>IF(AND(LEFT($B20,7)="SBA 26/",$D20&lt;&gt;"",$F20&lt;&gt;""),COUNTIFS($D$2:$D20,$D20,$B$2:$B20,"SBA 26/*",$F$2:$F20,"&lt;&gt;"),"")</f>
        <v>1</v>
      </c>
      <c r="Z20" s="29">
        <f>IF(Y20=1,COUNTIF($Y$2:Y20,1),"")</f>
        <v>16</v>
      </c>
      <c r="AA20" s="29">
        <f>IF(AND(LEFT($B20,7)="SBA 26/",$C20&lt;&gt;"",$F20&lt;&gt;""),COUNTIFS($C$2:$C20,$C20,$B$2:$B20,"SBA 26/*",$F$2:$F20,"&lt;&gt;"),"")</f>
        <v>1</v>
      </c>
      <c r="AB20" s="29">
        <f>IF(AA20=1,COUNTIF($AA$2:AA20,1),"")</f>
        <v>19</v>
      </c>
    </row>
    <row r="21" spans="1:28" ht="80.25" customHeight="1" x14ac:dyDescent="0.2">
      <c r="A21" s="43" t="s">
        <v>196</v>
      </c>
      <c r="B21" s="43" t="s">
        <v>197</v>
      </c>
      <c r="C21" s="44" t="s">
        <v>192</v>
      </c>
      <c r="D21" s="44" t="s">
        <v>193</v>
      </c>
      <c r="E21" s="45" t="s">
        <v>198</v>
      </c>
      <c r="F21" s="45" t="s">
        <v>199</v>
      </c>
      <c r="G21" s="46" t="s">
        <v>38</v>
      </c>
      <c r="H21" s="47"/>
      <c r="I21" s="48">
        <v>46028</v>
      </c>
      <c r="J21" s="44" t="s">
        <v>91</v>
      </c>
      <c r="K21" s="44" t="s">
        <v>108</v>
      </c>
      <c r="L21" s="50" t="s">
        <v>77</v>
      </c>
      <c r="M21" s="50"/>
      <c r="N21" s="50"/>
      <c r="O21" s="49"/>
      <c r="P21" s="50" t="str">
        <f t="shared" si="0"/>
        <v>ONAY</v>
      </c>
      <c r="R21" s="51" t="str">
        <f t="shared" si="1"/>
        <v/>
      </c>
      <c r="T21" s="41"/>
      <c r="U21" s="29">
        <f>IF($C21&lt;&gt;"",COUNTIF($C$2:C21,C21),"")</f>
        <v>2</v>
      </c>
      <c r="V21" s="29" t="str">
        <f t="shared" si="2"/>
        <v>Dr. Öğr. Üyesi Figen BEZCİ AYGÜN§2</v>
      </c>
      <c r="W21" s="29" t="str">
        <f>IF(U21=1,COUNTIF($U$2:U21,1),"")</f>
        <v/>
      </c>
      <c r="X21" s="29" t="str">
        <f t="shared" si="3"/>
        <v/>
      </c>
      <c r="Y21" s="29">
        <f>IF(AND(LEFT($B21,7)="SBA 26/",$D21&lt;&gt;"",$F21&lt;&gt;""),COUNTIFS($D$2:$D21,$D21,$B$2:$B21,"SBA 26/*",$F$2:$F21,"&lt;&gt;"),"")</f>
        <v>2</v>
      </c>
      <c r="Z21" s="29" t="str">
        <f>IF(Y21=1,COUNTIF($Y$2:Y21,1),"")</f>
        <v/>
      </c>
      <c r="AA21" s="29">
        <f>IF(AND(LEFT($B21,7)="SBA 26/",$C21&lt;&gt;"",$F21&lt;&gt;""),COUNTIFS($C$2:$C21,$C21,$B$2:$B21,"SBA 26/*",$F$2:$F21,"&lt;&gt;"),"")</f>
        <v>2</v>
      </c>
      <c r="AB21" s="29" t="str">
        <f>IF(AA21=1,COUNTIF($AA$2:AA21,1),"")</f>
        <v/>
      </c>
    </row>
    <row r="22" spans="1:28" ht="63" customHeight="1" x14ac:dyDescent="0.2">
      <c r="A22" s="43" t="s">
        <v>200</v>
      </c>
      <c r="B22" s="43" t="s">
        <v>201</v>
      </c>
      <c r="C22" s="44" t="s">
        <v>202</v>
      </c>
      <c r="D22" s="44" t="s">
        <v>203</v>
      </c>
      <c r="E22" s="45" t="s">
        <v>204</v>
      </c>
      <c r="F22" s="45" t="s">
        <v>205</v>
      </c>
      <c r="G22" s="46" t="s">
        <v>41</v>
      </c>
      <c r="H22" s="47"/>
      <c r="I22" s="48">
        <v>46028</v>
      </c>
      <c r="J22" s="44" t="s">
        <v>116</v>
      </c>
      <c r="K22" s="44" t="s">
        <v>109</v>
      </c>
      <c r="L22" s="50" t="s">
        <v>101</v>
      </c>
      <c r="M22" s="50" t="s">
        <v>206</v>
      </c>
      <c r="N22" s="50" t="s">
        <v>77</v>
      </c>
      <c r="O22" s="49"/>
      <c r="P22" s="50" t="str">
        <f t="shared" si="0"/>
        <v>ONAY</v>
      </c>
      <c r="Q22" s="28" t="s">
        <v>116</v>
      </c>
      <c r="R22" s="51" t="str">
        <f t="shared" si="1"/>
        <v/>
      </c>
      <c r="T22" s="41"/>
      <c r="U22" s="29">
        <f>IF($C22&lt;&gt;"",COUNTIF($C$2:C22,C22),"")</f>
        <v>1</v>
      </c>
      <c r="V22" s="29" t="str">
        <f t="shared" si="2"/>
        <v>Prof. Dr. Oğuz IŞIK§1</v>
      </c>
      <c r="W22" s="29">
        <f>IF(U22=1,COUNTIF($U$2:U22,1),"")</f>
        <v>20</v>
      </c>
      <c r="X22" s="29">
        <f t="shared" si="3"/>
        <v>278</v>
      </c>
      <c r="Y22" s="29">
        <f>IF(AND(LEFT($B22,7)="SBA 26/",$D22&lt;&gt;"",$F22&lt;&gt;""),COUNTIFS($D$2:$D22,$D22,$B$2:$B22,"SBA 26/*",$F$2:$F22,"&lt;&gt;"),"")</f>
        <v>1</v>
      </c>
      <c r="Z22" s="29">
        <f>IF(Y22=1,COUNTIF($Y$2:Y22,1),"")</f>
        <v>17</v>
      </c>
      <c r="AA22" s="29">
        <f>IF(AND(LEFT($B22,7)="SBA 26/",$C22&lt;&gt;"",$F22&lt;&gt;""),COUNTIFS($C$2:$C22,$C22,$B$2:$B22,"SBA 26/*",$F$2:$F22,"&lt;&gt;"),"")</f>
        <v>1</v>
      </c>
      <c r="AB22" s="29">
        <f>IF(AA22=1,COUNTIF($AA$2:AA22,1),"")</f>
        <v>20</v>
      </c>
    </row>
    <row r="23" spans="1:28" ht="63" customHeight="1" x14ac:dyDescent="0.2">
      <c r="A23" s="43" t="s">
        <v>207</v>
      </c>
      <c r="B23" s="43" t="s">
        <v>208</v>
      </c>
      <c r="C23" s="44" t="s">
        <v>209</v>
      </c>
      <c r="D23" s="44" t="s">
        <v>133</v>
      </c>
      <c r="E23" s="45" t="s">
        <v>210</v>
      </c>
      <c r="F23" s="45" t="s">
        <v>211</v>
      </c>
      <c r="G23" s="46" t="s">
        <v>39</v>
      </c>
      <c r="H23" s="47"/>
      <c r="I23" s="48">
        <v>46028</v>
      </c>
      <c r="J23" s="44" t="s">
        <v>100</v>
      </c>
      <c r="K23" s="44" t="s">
        <v>84</v>
      </c>
      <c r="L23" s="50" t="s">
        <v>101</v>
      </c>
      <c r="M23" s="50" t="s">
        <v>77</v>
      </c>
      <c r="N23" s="50"/>
      <c r="O23" s="49"/>
      <c r="P23" s="50" t="str">
        <f t="shared" si="0"/>
        <v>ONAY</v>
      </c>
      <c r="Q23" s="28" t="s">
        <v>100</v>
      </c>
      <c r="R23" s="51" t="str">
        <f t="shared" si="1"/>
        <v/>
      </c>
      <c r="T23" s="41"/>
      <c r="U23" s="29">
        <f>IF($C23&lt;&gt;"",COUNTIF($C$2:C23,C23),"")</f>
        <v>1</v>
      </c>
      <c r="V23" s="29" t="str">
        <f t="shared" si="2"/>
        <v>Doç. Dr. Dilek ÜNAL§1</v>
      </c>
      <c r="W23" s="29">
        <f>IF(U23=1,COUNTIF($U$2:U23,1),"")</f>
        <v>21</v>
      </c>
      <c r="X23" s="29">
        <f t="shared" si="3"/>
        <v>36</v>
      </c>
      <c r="Y23" s="29">
        <f>IF(AND(LEFT($B23,7)="SBA 26/",$D23&lt;&gt;"",$F23&lt;&gt;""),COUNTIFS($D$2:$D23,$D23,$B$2:$B23,"SBA 26/*",$F$2:$F23,"&lt;&gt;"),"")</f>
        <v>2</v>
      </c>
      <c r="Z23" s="29" t="str">
        <f>IF(Y23=1,COUNTIF($Y$2:Y23,1),"")</f>
        <v/>
      </c>
      <c r="AA23" s="29">
        <f>IF(AND(LEFT($B23,7)="SBA 26/",$C23&lt;&gt;"",$F23&lt;&gt;""),COUNTIFS($C$2:$C23,$C23,$B$2:$B23,"SBA 26/*",$F$2:$F23,"&lt;&gt;"),"")</f>
        <v>1</v>
      </c>
      <c r="AB23" s="29">
        <f>IF(AA23=1,COUNTIF($AA$2:AA23,1),"")</f>
        <v>21</v>
      </c>
    </row>
    <row r="24" spans="1:28" ht="78.75" customHeight="1" x14ac:dyDescent="0.2">
      <c r="A24" s="43" t="s">
        <v>212</v>
      </c>
      <c r="B24" s="43" t="s">
        <v>213</v>
      </c>
      <c r="C24" s="44" t="s">
        <v>214</v>
      </c>
      <c r="D24" s="44" t="s">
        <v>215</v>
      </c>
      <c r="E24" s="45" t="s">
        <v>216</v>
      </c>
      <c r="F24" s="45" t="s">
        <v>217</v>
      </c>
      <c r="G24" s="46" t="s">
        <v>38</v>
      </c>
      <c r="H24" s="47"/>
      <c r="I24" s="48">
        <v>46028</v>
      </c>
      <c r="J24" s="44" t="s">
        <v>123</v>
      </c>
      <c r="K24" s="44" t="s">
        <v>92</v>
      </c>
      <c r="L24" s="50" t="s">
        <v>206</v>
      </c>
      <c r="M24" s="50" t="s">
        <v>218</v>
      </c>
      <c r="N24" s="50"/>
      <c r="O24" s="49"/>
      <c r="P24" s="50" t="str">
        <f t="shared" si="0"/>
        <v>KAEK</v>
      </c>
      <c r="R24" s="51" t="str">
        <f t="shared" si="1"/>
        <v/>
      </c>
      <c r="T24" s="41"/>
      <c r="U24" s="29">
        <f>IF($C24&lt;&gt;"",COUNTIF($C$2:C24,C24),"")</f>
        <v>1</v>
      </c>
      <c r="V24" s="29" t="str">
        <f t="shared" si="2"/>
        <v>Prof. Dr. Emre TOSUN§1</v>
      </c>
      <c r="W24" s="29">
        <f>IF(U24=1,COUNTIF($U$2:U24,1),"")</f>
        <v>22</v>
      </c>
      <c r="X24" s="29">
        <f t="shared" si="3"/>
        <v>218</v>
      </c>
      <c r="Y24" s="29">
        <f>IF(AND(LEFT($B24,7)="SBA 26/",$D24&lt;&gt;"",$F24&lt;&gt;""),COUNTIFS($D$2:$D24,$D24,$B$2:$B24,"SBA 26/*",$F$2:$F24,"&lt;&gt;"),"")</f>
        <v>1</v>
      </c>
      <c r="Z24" s="29">
        <f>IF(Y24=1,COUNTIF($Y$2:Y24,1),"")</f>
        <v>18</v>
      </c>
      <c r="AA24" s="29">
        <f>IF(AND(LEFT($B24,7)="SBA 26/",$C24&lt;&gt;"",$F24&lt;&gt;""),COUNTIFS($C$2:$C24,$C24,$B$2:$B24,"SBA 26/*",$F$2:$F24,"&lt;&gt;"),"")</f>
        <v>1</v>
      </c>
      <c r="AB24" s="29">
        <f>IF(AA24=1,COUNTIF($AA$2:AA24,1),"")</f>
        <v>22</v>
      </c>
    </row>
    <row r="25" spans="1:28" ht="94.5" customHeight="1" x14ac:dyDescent="0.2">
      <c r="A25" s="43" t="s">
        <v>219</v>
      </c>
      <c r="B25" s="43" t="s">
        <v>220</v>
      </c>
      <c r="C25" s="44" t="s">
        <v>221</v>
      </c>
      <c r="D25" s="44" t="s">
        <v>222</v>
      </c>
      <c r="E25" s="45" t="s">
        <v>223</v>
      </c>
      <c r="F25" s="45" t="s">
        <v>224</v>
      </c>
      <c r="G25" s="46" t="s">
        <v>38</v>
      </c>
      <c r="H25" s="47"/>
      <c r="I25" s="48">
        <v>46028</v>
      </c>
      <c r="J25" s="44" t="s">
        <v>100</v>
      </c>
      <c r="K25" s="44" t="s">
        <v>108</v>
      </c>
      <c r="L25" s="50" t="s">
        <v>206</v>
      </c>
      <c r="M25" s="50" t="s">
        <v>101</v>
      </c>
      <c r="N25" s="50" t="s">
        <v>77</v>
      </c>
      <c r="O25" s="49"/>
      <c r="P25" s="50" t="str">
        <f t="shared" si="0"/>
        <v>ONAY</v>
      </c>
      <c r="Q25" s="28" t="s">
        <v>108</v>
      </c>
      <c r="R25" s="51" t="str">
        <f t="shared" si="1"/>
        <v/>
      </c>
      <c r="T25" s="41"/>
      <c r="U25" s="29">
        <f>IF($C25&lt;&gt;"",COUNTIF($C$2:C25,C25),"")</f>
        <v>1</v>
      </c>
      <c r="V25" s="29" t="str">
        <f t="shared" si="2"/>
        <v>Prof. Dr. Seza ÖZEN§1</v>
      </c>
      <c r="W25" s="29">
        <f>IF(U25=1,COUNTIF($U$2:U25,1),"")</f>
        <v>23</v>
      </c>
      <c r="X25" s="29">
        <f t="shared" si="3"/>
        <v>310</v>
      </c>
      <c r="Y25" s="29">
        <f>IF(AND(LEFT($B25,7)="SBA 26/",$D25&lt;&gt;"",$F25&lt;&gt;""),COUNTIFS($D$2:$D25,$D25,$B$2:$B25,"SBA 26/*",$F$2:$F25,"&lt;&gt;"),"")</f>
        <v>1</v>
      </c>
      <c r="Z25" s="29">
        <f>IF(Y25=1,COUNTIF($Y$2:Y25,1),"")</f>
        <v>19</v>
      </c>
      <c r="AA25" s="29">
        <f>IF(AND(LEFT($B25,7)="SBA 26/",$C25&lt;&gt;"",$F25&lt;&gt;""),COUNTIFS($C$2:$C25,$C25,$B$2:$B25,"SBA 26/*",$F$2:$F25,"&lt;&gt;"),"")</f>
        <v>1</v>
      </c>
      <c r="AB25" s="29">
        <f>IF(AA25=1,COUNTIF($AA$2:AA25,1),"")</f>
        <v>23</v>
      </c>
    </row>
    <row r="26" spans="1:28" ht="63" customHeight="1" x14ac:dyDescent="0.2">
      <c r="A26" s="43" t="s">
        <v>225</v>
      </c>
      <c r="B26" s="43" t="s">
        <v>226</v>
      </c>
      <c r="C26" s="44" t="s">
        <v>227</v>
      </c>
      <c r="D26" s="44" t="s">
        <v>228</v>
      </c>
      <c r="E26" s="45" t="s">
        <v>229</v>
      </c>
      <c r="F26" s="45" t="s">
        <v>230</v>
      </c>
      <c r="G26" s="46" t="s">
        <v>38</v>
      </c>
      <c r="H26" s="47"/>
      <c r="I26" s="48">
        <v>46028</v>
      </c>
      <c r="J26" s="44" t="s">
        <v>92</v>
      </c>
      <c r="K26" s="44" t="s">
        <v>76</v>
      </c>
      <c r="L26" s="50" t="s">
        <v>77</v>
      </c>
      <c r="M26" s="50"/>
      <c r="N26" s="50"/>
      <c r="O26" s="49"/>
      <c r="P26" s="50" t="str">
        <f t="shared" si="0"/>
        <v>ONAY</v>
      </c>
      <c r="R26" s="51" t="str">
        <f t="shared" si="1"/>
        <v/>
      </c>
      <c r="T26" s="41"/>
      <c r="U26" s="29">
        <f>IF($C26&lt;&gt;"",COUNTIF($C$2:C26,C26),"")</f>
        <v>1</v>
      </c>
      <c r="V26" s="29" t="str">
        <f t="shared" si="2"/>
        <v>Dr. Öğr. Üyesi Gonca ÖZTEN DERE§1</v>
      </c>
      <c r="W26" s="29">
        <f>IF(U26=1,COUNTIF($U$2:U26,1),"")</f>
        <v>24</v>
      </c>
      <c r="X26" s="29">
        <f t="shared" si="3"/>
        <v>134</v>
      </c>
      <c r="Y26" s="29">
        <f>IF(AND(LEFT($B26,7)="SBA 26/",$D26&lt;&gt;"",$F26&lt;&gt;""),COUNTIFS($D$2:$D26,$D26,$B$2:$B26,"SBA 26/*",$F$2:$F26,"&lt;&gt;"),"")</f>
        <v>1</v>
      </c>
      <c r="Z26" s="29">
        <f>IF(Y26=1,COUNTIF($Y$2:Y26,1),"")</f>
        <v>20</v>
      </c>
      <c r="AA26" s="29">
        <f>IF(AND(LEFT($B26,7)="SBA 26/",$C26&lt;&gt;"",$F26&lt;&gt;""),COUNTIFS($C$2:$C26,$C26,$B$2:$B26,"SBA 26/*",$F$2:$F26,"&lt;&gt;"),"")</f>
        <v>1</v>
      </c>
      <c r="AB26" s="29">
        <f>IF(AA26=1,COUNTIF($AA$2:AA26,1),"")</f>
        <v>24</v>
      </c>
    </row>
    <row r="27" spans="1:28" ht="63" customHeight="1" x14ac:dyDescent="0.2">
      <c r="A27" s="43" t="s">
        <v>231</v>
      </c>
      <c r="B27" s="43" t="s">
        <v>232</v>
      </c>
      <c r="C27" s="44" t="s">
        <v>233</v>
      </c>
      <c r="D27" s="44" t="s">
        <v>234</v>
      </c>
      <c r="E27" s="45" t="s">
        <v>235</v>
      </c>
      <c r="F27" s="45" t="s">
        <v>236</v>
      </c>
      <c r="G27" s="46" t="s">
        <v>38</v>
      </c>
      <c r="H27" s="47"/>
      <c r="I27" s="48">
        <v>46028</v>
      </c>
      <c r="J27" s="44" t="s">
        <v>91</v>
      </c>
      <c r="K27" s="44" t="s">
        <v>123</v>
      </c>
      <c r="L27" s="50" t="s">
        <v>77</v>
      </c>
      <c r="M27" s="50"/>
      <c r="N27" s="50"/>
      <c r="O27" s="49"/>
      <c r="P27" s="50" t="str">
        <f t="shared" si="0"/>
        <v>ONAY</v>
      </c>
      <c r="R27" s="51" t="str">
        <f t="shared" si="1"/>
        <v/>
      </c>
      <c r="T27" s="41"/>
      <c r="U27" s="29">
        <f>IF($C27&lt;&gt;"",COUNTIF($C$2:C27,C27),"")</f>
        <v>1</v>
      </c>
      <c r="V27" s="29" t="str">
        <f t="shared" si="2"/>
        <v>Prof. Dr. Hikmet YORGUN§1</v>
      </c>
      <c r="W27" s="29">
        <f>IF(U27=1,COUNTIF($U$2:U27,1),"")</f>
        <v>25</v>
      </c>
      <c r="X27" s="29">
        <f t="shared" si="3"/>
        <v>243</v>
      </c>
      <c r="Y27" s="29">
        <f>IF(AND(LEFT($B27,7)="SBA 26/",$D27&lt;&gt;"",$F27&lt;&gt;""),COUNTIFS($D$2:$D27,$D27,$B$2:$B27,"SBA 26/*",$F$2:$F27,"&lt;&gt;"),"")</f>
        <v>1</v>
      </c>
      <c r="Z27" s="29">
        <f>IF(Y27=1,COUNTIF($Y$2:Y27,1),"")</f>
        <v>21</v>
      </c>
      <c r="AA27" s="29">
        <f>IF(AND(LEFT($B27,7)="SBA 26/",$C27&lt;&gt;"",$F27&lt;&gt;""),COUNTIFS($C$2:$C27,$C27,$B$2:$B27,"SBA 26/*",$F$2:$F27,"&lt;&gt;"),"")</f>
        <v>1</v>
      </c>
      <c r="AB27" s="29">
        <f>IF(AA27=1,COUNTIF($AA$2:AA27,1),"")</f>
        <v>25</v>
      </c>
    </row>
    <row r="28" spans="1:28" ht="63" customHeight="1" x14ac:dyDescent="0.2">
      <c r="A28" s="43" t="s">
        <v>237</v>
      </c>
      <c r="B28" s="43" t="s">
        <v>238</v>
      </c>
      <c r="C28" s="44" t="s">
        <v>162</v>
      </c>
      <c r="D28" s="44" t="s">
        <v>163</v>
      </c>
      <c r="E28" s="45" t="s">
        <v>239</v>
      </c>
      <c r="F28" s="45" t="s">
        <v>240</v>
      </c>
      <c r="G28" s="46" t="s">
        <v>38</v>
      </c>
      <c r="H28" s="47"/>
      <c r="I28" s="48">
        <v>46028</v>
      </c>
      <c r="J28" s="44" t="s">
        <v>116</v>
      </c>
      <c r="K28" s="44" t="s">
        <v>99</v>
      </c>
      <c r="L28" s="50" t="s">
        <v>77</v>
      </c>
      <c r="M28" s="50"/>
      <c r="N28" s="50"/>
      <c r="O28" s="49"/>
      <c r="P28" s="50" t="str">
        <f t="shared" si="0"/>
        <v>ONAY</v>
      </c>
      <c r="R28" s="51" t="str">
        <f t="shared" si="1"/>
        <v/>
      </c>
      <c r="T28" s="41"/>
      <c r="U28" s="29">
        <f>IF($C28&lt;&gt;"",COUNTIF($C$2:C28,C28),"")</f>
        <v>2</v>
      </c>
      <c r="V28" s="29" t="str">
        <f t="shared" si="2"/>
        <v>Dr. Öğr. Üyesi Yiğitcan KARANFİL§2</v>
      </c>
      <c r="W28" s="29" t="str">
        <f>IF(U28=1,COUNTIF($U$2:U28,1),"")</f>
        <v/>
      </c>
      <c r="X28" s="29" t="str">
        <f t="shared" si="3"/>
        <v/>
      </c>
      <c r="Y28" s="29">
        <f>IF(AND(LEFT($B28,7)="SBA 26/",$D28&lt;&gt;"",$F28&lt;&gt;""),COUNTIFS($D$2:$D28,$D28,$B$2:$B28,"SBA 26/*",$F$2:$F28,"&lt;&gt;"),"")</f>
        <v>2</v>
      </c>
      <c r="Z28" s="29" t="str">
        <f>IF(Y28=1,COUNTIF($Y$2:Y28,1),"")</f>
        <v/>
      </c>
      <c r="AA28" s="29">
        <f>IF(AND(LEFT($B28,7)="SBA 26/",$C28&lt;&gt;"",$F28&lt;&gt;""),COUNTIFS($C$2:$C28,$C28,$B$2:$B28,"SBA 26/*",$F$2:$F28,"&lt;&gt;"),"")</f>
        <v>2</v>
      </c>
      <c r="AB28" s="29" t="str">
        <f>IF(AA28=1,COUNTIF($AA$2:AA28,1),"")</f>
        <v/>
      </c>
    </row>
    <row r="29" spans="1:28" ht="47.25" customHeight="1" x14ac:dyDescent="0.2">
      <c r="A29" s="43" t="s">
        <v>241</v>
      </c>
      <c r="B29" s="43" t="s">
        <v>242</v>
      </c>
      <c r="C29" s="44" t="s">
        <v>243</v>
      </c>
      <c r="D29" s="44" t="s">
        <v>113</v>
      </c>
      <c r="E29" s="45" t="s">
        <v>244</v>
      </c>
      <c r="F29" s="45" t="s">
        <v>245</v>
      </c>
      <c r="G29" s="46" t="s">
        <v>38</v>
      </c>
      <c r="H29" s="47"/>
      <c r="I29" s="48">
        <v>46028</v>
      </c>
      <c r="J29" s="44" t="s">
        <v>92</v>
      </c>
      <c r="K29" s="44" t="s">
        <v>84</v>
      </c>
      <c r="L29" s="50" t="s">
        <v>77</v>
      </c>
      <c r="M29" s="50"/>
      <c r="N29" s="50"/>
      <c r="O29" s="49"/>
      <c r="P29" s="50" t="str">
        <f t="shared" si="0"/>
        <v>ONAY</v>
      </c>
      <c r="R29" s="51" t="str">
        <f t="shared" si="1"/>
        <v/>
      </c>
      <c r="T29" s="41"/>
      <c r="U29" s="29">
        <f>IF($C29&lt;&gt;"",COUNTIF($C$2:C29,C29),"")</f>
        <v>1</v>
      </c>
      <c r="V29" s="29" t="str">
        <f t="shared" si="2"/>
        <v>Doç. Dr. Levent KILIÇ§1</v>
      </c>
      <c r="W29" s="29">
        <f>IF(U29=1,COUNTIF($U$2:U29,1),"")</f>
        <v>26</v>
      </c>
      <c r="X29" s="29">
        <f t="shared" si="3"/>
        <v>75</v>
      </c>
      <c r="Y29" s="29">
        <f>IF(AND(LEFT($B29,7)="SBA 26/",$D29&lt;&gt;"",$F29&lt;&gt;""),COUNTIFS($D$2:$D29,$D29,$B$2:$B29,"SBA 26/*",$F$2:$F29,"&lt;&gt;"),"")</f>
        <v>4</v>
      </c>
      <c r="Z29" s="29" t="str">
        <f>IF(Y29=1,COUNTIF($Y$2:Y29,1),"")</f>
        <v/>
      </c>
      <c r="AA29" s="29">
        <f>IF(AND(LEFT($B29,7)="SBA 26/",$C29&lt;&gt;"",$F29&lt;&gt;""),COUNTIFS($C$2:$C29,$C29,$B$2:$B29,"SBA 26/*",$F$2:$F29,"&lt;&gt;"),"")</f>
        <v>1</v>
      </c>
      <c r="AB29" s="29">
        <f>IF(AA29=1,COUNTIF($AA$2:AA29,1),"")</f>
        <v>26</v>
      </c>
    </row>
    <row r="30" spans="1:28" ht="63" customHeight="1" x14ac:dyDescent="0.2">
      <c r="A30" s="43" t="s">
        <v>246</v>
      </c>
      <c r="B30" s="43" t="s">
        <v>247</v>
      </c>
      <c r="C30" s="44" t="s">
        <v>248</v>
      </c>
      <c r="D30" s="44" t="s">
        <v>234</v>
      </c>
      <c r="E30" s="45" t="s">
        <v>249</v>
      </c>
      <c r="F30" s="45" t="s">
        <v>250</v>
      </c>
      <c r="G30" s="46" t="s">
        <v>38</v>
      </c>
      <c r="H30" s="48">
        <v>46017</v>
      </c>
      <c r="I30" s="48">
        <v>46028</v>
      </c>
      <c r="J30" s="44" t="s">
        <v>109</v>
      </c>
      <c r="K30" s="44" t="s">
        <v>129</v>
      </c>
      <c r="L30" s="50" t="s">
        <v>77</v>
      </c>
      <c r="M30" s="50"/>
      <c r="N30" s="50"/>
      <c r="O30" s="49"/>
      <c r="P30" s="50" t="str">
        <f t="shared" si="0"/>
        <v>ONAY</v>
      </c>
      <c r="R30" s="51" t="str">
        <f t="shared" si="1"/>
        <v/>
      </c>
      <c r="T30" s="41"/>
      <c r="U30" s="29">
        <f>IF($C30&lt;&gt;"",COUNTIF($C$2:C30,C30),"")</f>
        <v>1</v>
      </c>
      <c r="V30" s="29" t="str">
        <f t="shared" si="2"/>
        <v>Prof. Dr. Kudret AYTEMİR§1</v>
      </c>
      <c r="W30" s="29">
        <f>IF(U30=1,COUNTIF($U$2:U30,1),"")</f>
        <v>27</v>
      </c>
      <c r="X30" s="29">
        <f t="shared" si="3"/>
        <v>252</v>
      </c>
      <c r="Y30" s="29">
        <f>IF(AND(LEFT($B30,7)="SBA 26/",$D30&lt;&gt;"",$F30&lt;&gt;""),COUNTIFS($D$2:$D30,$D30,$B$2:$B30,"SBA 26/*",$F$2:$F30,"&lt;&gt;"),"")</f>
        <v>2</v>
      </c>
      <c r="Z30" s="29" t="str">
        <f>IF(Y30=1,COUNTIF($Y$2:Y30,1),"")</f>
        <v/>
      </c>
      <c r="AA30" s="29">
        <f>IF(AND(LEFT($B30,7)="SBA 26/",$C30&lt;&gt;"",$F30&lt;&gt;""),COUNTIFS($C$2:$C30,$C30,$B$2:$B30,"SBA 26/*",$F$2:$F30,"&lt;&gt;"),"")</f>
        <v>1</v>
      </c>
      <c r="AB30" s="29">
        <f>IF(AA30=1,COUNTIF($AA$2:AA30,1),"")</f>
        <v>27</v>
      </c>
    </row>
    <row r="31" spans="1:28" ht="93.75" customHeight="1" x14ac:dyDescent="0.2">
      <c r="A31" s="43" t="s">
        <v>251</v>
      </c>
      <c r="B31" s="43" t="s">
        <v>252</v>
      </c>
      <c r="C31" s="44" t="s">
        <v>168</v>
      </c>
      <c r="D31" s="44" t="s">
        <v>169</v>
      </c>
      <c r="E31" s="45" t="s">
        <v>253</v>
      </c>
      <c r="F31" s="45" t="s">
        <v>254</v>
      </c>
      <c r="G31" s="46" t="s">
        <v>38</v>
      </c>
      <c r="H31" s="48">
        <v>46017</v>
      </c>
      <c r="I31" s="48">
        <v>46028</v>
      </c>
      <c r="J31" s="44" t="s">
        <v>109</v>
      </c>
      <c r="K31" s="44" t="s">
        <v>76</v>
      </c>
      <c r="L31" s="50" t="s">
        <v>101</v>
      </c>
      <c r="M31" s="50" t="s">
        <v>77</v>
      </c>
      <c r="N31" s="50"/>
      <c r="O31" s="49"/>
      <c r="P31" s="50" t="str">
        <f t="shared" si="0"/>
        <v>ONAY</v>
      </c>
      <c r="Q31" s="28" t="s">
        <v>109</v>
      </c>
      <c r="R31" s="51" t="str">
        <f t="shared" si="1"/>
        <v/>
      </c>
      <c r="T31" s="41"/>
      <c r="U31" s="29">
        <f>IF($C31&lt;&gt;"",COUNTIF($C$2:C31,C31),"")</f>
        <v>2</v>
      </c>
      <c r="V31" s="29" t="str">
        <f t="shared" si="2"/>
        <v>Prof. Dr. Ali Fuat KALYONCU§2</v>
      </c>
      <c r="W31" s="29" t="str">
        <f>IF(U31=1,COUNTIF($U$2:U31,1),"")</f>
        <v/>
      </c>
      <c r="X31" s="29" t="str">
        <f t="shared" si="3"/>
        <v/>
      </c>
      <c r="Y31" s="29">
        <f>IF(AND(LEFT($B31,7)="SBA 26/",$D31&lt;&gt;"",$F31&lt;&gt;""),COUNTIFS($D$2:$D31,$D31,$B$2:$B31,"SBA 26/*",$F$2:$F31,"&lt;&gt;"),"")</f>
        <v>3</v>
      </c>
      <c r="Z31" s="29" t="str">
        <f>IF(Y31=1,COUNTIF($Y$2:Y31,1),"")</f>
        <v/>
      </c>
      <c r="AA31" s="29">
        <f>IF(AND(LEFT($B31,7)="SBA 26/",$C31&lt;&gt;"",$F31&lt;&gt;""),COUNTIFS($C$2:$C31,$C31,$B$2:$B31,"SBA 26/*",$F$2:$F31,"&lt;&gt;"),"")</f>
        <v>2</v>
      </c>
      <c r="AB31" s="29" t="str">
        <f>IF(AA31=1,COUNTIF($AA$2:AA31,1),"")</f>
        <v/>
      </c>
    </row>
    <row r="32" spans="1:28" ht="94.5" customHeight="1" x14ac:dyDescent="0.2">
      <c r="A32" s="43" t="s">
        <v>255</v>
      </c>
      <c r="B32" s="43" t="s">
        <v>256</v>
      </c>
      <c r="C32" s="44" t="s">
        <v>168</v>
      </c>
      <c r="D32" s="44" t="s">
        <v>169</v>
      </c>
      <c r="E32" s="45" t="s">
        <v>253</v>
      </c>
      <c r="F32" s="45" t="s">
        <v>257</v>
      </c>
      <c r="G32" s="46" t="s">
        <v>38</v>
      </c>
      <c r="H32" s="48">
        <v>46017</v>
      </c>
      <c r="I32" s="48">
        <v>46028</v>
      </c>
      <c r="J32" s="44" t="s">
        <v>109</v>
      </c>
      <c r="K32" s="44" t="s">
        <v>129</v>
      </c>
      <c r="L32" s="50" t="s">
        <v>101</v>
      </c>
      <c r="M32" s="50"/>
      <c r="N32" s="50"/>
      <c r="O32" s="49"/>
      <c r="P32" s="50" t="str">
        <f t="shared" si="0"/>
        <v>DÜZELTME</v>
      </c>
      <c r="R32" s="51" t="str">
        <f t="shared" si="1"/>
        <v/>
      </c>
      <c r="T32" s="41"/>
      <c r="U32" s="29">
        <f>IF($C32&lt;&gt;"",COUNTIF($C$2:C32,C32),"")</f>
        <v>3</v>
      </c>
      <c r="V32" s="29" t="str">
        <f t="shared" si="2"/>
        <v>Prof. Dr. Ali Fuat KALYONCU§3</v>
      </c>
      <c r="W32" s="29" t="str">
        <f>IF(U32=1,COUNTIF($U$2:U32,1),"")</f>
        <v/>
      </c>
      <c r="X32" s="29" t="str">
        <f t="shared" si="3"/>
        <v/>
      </c>
      <c r="Y32" s="29">
        <f>IF(AND(LEFT($B32,7)="SBA 26/",$D32&lt;&gt;"",$F32&lt;&gt;""),COUNTIFS($D$2:$D32,$D32,$B$2:$B32,"SBA 26/*",$F$2:$F32,"&lt;&gt;"),"")</f>
        <v>4</v>
      </c>
      <c r="Z32" s="29" t="str">
        <f>IF(Y32=1,COUNTIF($Y$2:Y32,1),"")</f>
        <v/>
      </c>
      <c r="AA32" s="29">
        <f>IF(AND(LEFT($B32,7)="SBA 26/",$C32&lt;&gt;"",$F32&lt;&gt;""),COUNTIFS($C$2:$C32,$C32,$B$2:$B32,"SBA 26/*",$F$2:$F32,"&lt;&gt;"),"")</f>
        <v>3</v>
      </c>
      <c r="AB32" s="29" t="str">
        <f>IF(AA32=1,COUNTIF($AA$2:AA32,1),"")</f>
        <v/>
      </c>
    </row>
    <row r="33" spans="1:28" ht="94.5" customHeight="1" x14ac:dyDescent="0.2">
      <c r="A33" s="43" t="s">
        <v>258</v>
      </c>
      <c r="B33" s="43" t="s">
        <v>259</v>
      </c>
      <c r="C33" s="44" t="s">
        <v>260</v>
      </c>
      <c r="D33" s="44" t="s">
        <v>169</v>
      </c>
      <c r="E33" s="45" t="s">
        <v>261</v>
      </c>
      <c r="F33" s="45" t="s">
        <v>262</v>
      </c>
      <c r="G33" s="46" t="s">
        <v>38</v>
      </c>
      <c r="H33" s="48">
        <v>46017</v>
      </c>
      <c r="I33" s="48">
        <v>46028</v>
      </c>
      <c r="J33" s="44" t="s">
        <v>129</v>
      </c>
      <c r="K33" s="44" t="s">
        <v>84</v>
      </c>
      <c r="L33" s="50" t="s">
        <v>77</v>
      </c>
      <c r="M33" s="50"/>
      <c r="N33" s="50"/>
      <c r="O33" s="49"/>
      <c r="P33" s="50" t="str">
        <f t="shared" si="0"/>
        <v>ONAY</v>
      </c>
      <c r="R33" s="51" t="str">
        <f t="shared" si="1"/>
        <v/>
      </c>
      <c r="T33" s="41"/>
      <c r="U33" s="29">
        <f>IF($C33&lt;&gt;"",COUNTIF($C$2:C33,C33),"")</f>
        <v>1</v>
      </c>
      <c r="V33" s="29" t="str">
        <f t="shared" si="2"/>
        <v>Prof. Dr. Ebru DAMADOĞLU§1</v>
      </c>
      <c r="W33" s="29">
        <f>IF(U33=1,COUNTIF($U$2:U33,1),"")</f>
        <v>28</v>
      </c>
      <c r="X33" s="29">
        <f t="shared" si="3"/>
        <v>214</v>
      </c>
      <c r="Y33" s="29">
        <f>IF(AND(LEFT($B33,7)="SBA 26/",$D33&lt;&gt;"",$F33&lt;&gt;""),COUNTIFS($D$2:$D33,$D33,$B$2:$B33,"SBA 26/*",$F$2:$F33,"&lt;&gt;"),"")</f>
        <v>5</v>
      </c>
      <c r="Z33" s="29" t="str">
        <f>IF(Y33=1,COUNTIF($Y$2:Y33,1),"")</f>
        <v/>
      </c>
      <c r="AA33" s="29">
        <f>IF(AND(LEFT($B33,7)="SBA 26/",$C33&lt;&gt;"",$F33&lt;&gt;""),COUNTIFS($C$2:$C33,$C33,$B$2:$B33,"SBA 26/*",$F$2:$F33,"&lt;&gt;"),"")</f>
        <v>1</v>
      </c>
      <c r="AB33" s="29">
        <f>IF(AA33=1,COUNTIF($AA$2:AA33,1),"")</f>
        <v>28</v>
      </c>
    </row>
    <row r="34" spans="1:28" ht="63" customHeight="1" x14ac:dyDescent="0.2">
      <c r="A34" s="43" t="s">
        <v>263</v>
      </c>
      <c r="B34" s="43" t="s">
        <v>264</v>
      </c>
      <c r="C34" s="44" t="s">
        <v>112</v>
      </c>
      <c r="D34" s="44" t="s">
        <v>113</v>
      </c>
      <c r="E34" s="45" t="s">
        <v>265</v>
      </c>
      <c r="F34" s="45" t="s">
        <v>266</v>
      </c>
      <c r="G34" s="46" t="s">
        <v>39</v>
      </c>
      <c r="H34" s="48">
        <v>46017</v>
      </c>
      <c r="I34" s="48">
        <v>46028</v>
      </c>
      <c r="J34" s="44" t="s">
        <v>99</v>
      </c>
      <c r="K34" s="44" t="s">
        <v>108</v>
      </c>
      <c r="L34" s="50" t="s">
        <v>77</v>
      </c>
      <c r="M34" s="50"/>
      <c r="N34" s="50"/>
      <c r="O34" s="49"/>
      <c r="P34" s="50" t="str">
        <f t="shared" si="0"/>
        <v>ONAY</v>
      </c>
      <c r="R34" s="51" t="str">
        <f t="shared" si="1"/>
        <v/>
      </c>
      <c r="T34" s="41"/>
      <c r="U34" s="29">
        <f>IF($C34&lt;&gt;"",COUNTIF($C$2:C34,C34),"")</f>
        <v>2</v>
      </c>
      <c r="V34" s="29" t="str">
        <f t="shared" si="2"/>
        <v>Prof. Dr. Meltem Gülhan HALİL§2</v>
      </c>
      <c r="W34" s="29" t="str">
        <f>IF(U34=1,COUNTIF($U$2:U34,1),"")</f>
        <v/>
      </c>
      <c r="X34" s="29" t="str">
        <f t="shared" si="3"/>
        <v/>
      </c>
      <c r="Y34" s="29">
        <f>IF(AND(LEFT($B34,7)="SBA 26/",$D34&lt;&gt;"",$F34&lt;&gt;""),COUNTIFS($D$2:$D34,$D34,$B$2:$B34,"SBA 26/*",$F$2:$F34,"&lt;&gt;"),"")</f>
        <v>5</v>
      </c>
      <c r="Z34" s="29" t="str">
        <f>IF(Y34=1,COUNTIF($Y$2:Y34,1),"")</f>
        <v/>
      </c>
      <c r="AA34" s="29">
        <f>IF(AND(LEFT($B34,7)="SBA 26/",$C34&lt;&gt;"",$F34&lt;&gt;""),COUNTIFS($C$2:$C34,$C34,$B$2:$B34,"SBA 26/*",$F$2:$F34,"&lt;&gt;"),"")</f>
        <v>2</v>
      </c>
      <c r="AB34" s="29" t="str">
        <f>IF(AA34=1,COUNTIF($AA$2:AA34,1),"")</f>
        <v/>
      </c>
    </row>
    <row r="35" spans="1:28" ht="63" customHeight="1" x14ac:dyDescent="0.2">
      <c r="A35" s="43" t="s">
        <v>267</v>
      </c>
      <c r="B35" s="43" t="s">
        <v>268</v>
      </c>
      <c r="C35" s="44" t="s">
        <v>269</v>
      </c>
      <c r="D35" s="44" t="s">
        <v>270</v>
      </c>
      <c r="E35" s="45" t="s">
        <v>271</v>
      </c>
      <c r="F35" s="45" t="s">
        <v>272</v>
      </c>
      <c r="G35" s="46" t="s">
        <v>38</v>
      </c>
      <c r="H35" s="48">
        <v>46017</v>
      </c>
      <c r="I35" s="48">
        <v>46028</v>
      </c>
      <c r="J35" s="44" t="s">
        <v>123</v>
      </c>
      <c r="K35" s="44" t="s">
        <v>116</v>
      </c>
      <c r="L35" s="50" t="s">
        <v>77</v>
      </c>
      <c r="M35" s="50"/>
      <c r="N35" s="50"/>
      <c r="O35" s="49"/>
      <c r="P35" s="50" t="str">
        <f t="shared" si="0"/>
        <v>ONAY</v>
      </c>
      <c r="R35" s="51" t="str">
        <f t="shared" si="1"/>
        <v/>
      </c>
      <c r="T35" s="41"/>
      <c r="U35" s="29">
        <f>IF($C35&lt;&gt;"",COUNTIF($C$2:C35,C35),"")</f>
        <v>1</v>
      </c>
      <c r="V35" s="29" t="str">
        <f t="shared" si="2"/>
        <v>Öğr. Gör. Dr. Bahattin PASLI§1</v>
      </c>
      <c r="W35" s="29">
        <f>IF(U35=1,COUNTIF($U$2:U35,1),"")</f>
        <v>29</v>
      </c>
      <c r="X35" s="29">
        <f t="shared" si="3"/>
        <v>169</v>
      </c>
      <c r="Y35" s="29">
        <f>IF(AND(LEFT($B35,7)="SBA 26/",$D35&lt;&gt;"",$F35&lt;&gt;""),COUNTIFS($D$2:$D35,$D35,$B$2:$B35,"SBA 26/*",$F$2:$F35,"&lt;&gt;"),"")</f>
        <v>1</v>
      </c>
      <c r="Z35" s="29">
        <f>IF(Y35=1,COUNTIF($Y$2:Y35,1),"")</f>
        <v>22</v>
      </c>
      <c r="AA35" s="29">
        <f>IF(AND(LEFT($B35,7)="SBA 26/",$C35&lt;&gt;"",$F35&lt;&gt;""),COUNTIFS($C$2:$C35,$C35,$B$2:$B35,"SBA 26/*",$F$2:$F35,"&lt;&gt;"),"")</f>
        <v>1</v>
      </c>
      <c r="AB35" s="29">
        <f>IF(AA35=1,COUNTIF($AA$2:AA35,1),"")</f>
        <v>29</v>
      </c>
    </row>
    <row r="36" spans="1:28" ht="78.75" customHeight="1" x14ac:dyDescent="0.2">
      <c r="A36" s="43" t="s">
        <v>273</v>
      </c>
      <c r="B36" s="43" t="s">
        <v>274</v>
      </c>
      <c r="C36" s="44" t="s">
        <v>269</v>
      </c>
      <c r="D36" s="44" t="s">
        <v>270</v>
      </c>
      <c r="E36" s="45" t="s">
        <v>275</v>
      </c>
      <c r="F36" s="45" t="s">
        <v>276</v>
      </c>
      <c r="G36" s="46" t="s">
        <v>38</v>
      </c>
      <c r="H36" s="48">
        <v>46017</v>
      </c>
      <c r="I36" s="48">
        <v>46028</v>
      </c>
      <c r="J36" s="44" t="s">
        <v>91</v>
      </c>
      <c r="K36" s="44" t="s">
        <v>116</v>
      </c>
      <c r="L36" s="50" t="s">
        <v>77</v>
      </c>
      <c r="M36" s="50"/>
      <c r="N36" s="50"/>
      <c r="O36" s="49"/>
      <c r="P36" s="50" t="str">
        <f t="shared" si="0"/>
        <v>ONAY</v>
      </c>
      <c r="R36" s="51" t="str">
        <f t="shared" si="1"/>
        <v/>
      </c>
      <c r="T36" s="41"/>
      <c r="U36" s="29">
        <f>IF($C36&lt;&gt;"",COUNTIF($C$2:C36,C36),"")</f>
        <v>2</v>
      </c>
      <c r="V36" s="29" t="str">
        <f t="shared" si="2"/>
        <v>Öğr. Gör. Dr. Bahattin PASLI§2</v>
      </c>
      <c r="W36" s="29" t="str">
        <f>IF(U36=1,COUNTIF($U$2:U36,1),"")</f>
        <v/>
      </c>
      <c r="X36" s="29" t="str">
        <f t="shared" si="3"/>
        <v/>
      </c>
      <c r="Y36" s="29">
        <f>IF(AND(LEFT($B36,7)="SBA 26/",$D36&lt;&gt;"",$F36&lt;&gt;""),COUNTIFS($D$2:$D36,$D36,$B$2:$B36,"SBA 26/*",$F$2:$F36,"&lt;&gt;"),"")</f>
        <v>2</v>
      </c>
      <c r="Z36" s="29" t="str">
        <f>IF(Y36=1,COUNTIF($Y$2:Y36,1),"")</f>
        <v/>
      </c>
      <c r="AA36" s="29">
        <f>IF(AND(LEFT($B36,7)="SBA 26/",$C36&lt;&gt;"",$F36&lt;&gt;""),COUNTIFS($C$2:$C36,$C36,$B$2:$B36,"SBA 26/*",$F$2:$F36,"&lt;&gt;"),"")</f>
        <v>2</v>
      </c>
      <c r="AB36" s="29" t="str">
        <f>IF(AA36=1,COUNTIF($AA$2:AA36,1),"")</f>
        <v/>
      </c>
    </row>
    <row r="37" spans="1:28" ht="78.75" customHeight="1" x14ac:dyDescent="0.2">
      <c r="A37" s="43" t="s">
        <v>277</v>
      </c>
      <c r="B37" s="43" t="s">
        <v>278</v>
      </c>
      <c r="C37" s="44" t="s">
        <v>279</v>
      </c>
      <c r="D37" s="44" t="s">
        <v>280</v>
      </c>
      <c r="E37" s="45" t="s">
        <v>281</v>
      </c>
      <c r="F37" s="45" t="s">
        <v>282</v>
      </c>
      <c r="G37" s="46" t="s">
        <v>38</v>
      </c>
      <c r="H37" s="48">
        <v>46017</v>
      </c>
      <c r="I37" s="48">
        <v>46028</v>
      </c>
      <c r="J37" s="44" t="s">
        <v>91</v>
      </c>
      <c r="K37" s="44" t="s">
        <v>92</v>
      </c>
      <c r="L37" s="50" t="s">
        <v>77</v>
      </c>
      <c r="M37" s="50"/>
      <c r="N37" s="50"/>
      <c r="O37" s="49"/>
      <c r="P37" s="50" t="str">
        <f t="shared" si="0"/>
        <v>ONAY</v>
      </c>
      <c r="R37" s="51" t="str">
        <f t="shared" si="1"/>
        <v/>
      </c>
      <c r="T37" s="41"/>
      <c r="U37" s="29">
        <f>IF($C37&lt;&gt;"",COUNTIF($C$2:C37,C37),"")</f>
        <v>1</v>
      </c>
      <c r="V37" s="29" t="str">
        <f t="shared" si="2"/>
        <v>Prof. Dr. Müzeyyen Pınar ÖZGEN KIRATLI§1</v>
      </c>
      <c r="W37" s="29">
        <f>IF(U37=1,COUNTIF($U$2:U37,1),"")</f>
        <v>30</v>
      </c>
      <c r="X37" s="29">
        <f t="shared" si="3"/>
        <v>274</v>
      </c>
      <c r="Y37" s="29">
        <f>IF(AND(LEFT($B37,7)="SBA 26/",$D37&lt;&gt;"",$F37&lt;&gt;""),COUNTIFS($D$2:$D37,$D37,$B$2:$B37,"SBA 26/*",$F$2:$F37,"&lt;&gt;"),"")</f>
        <v>1</v>
      </c>
      <c r="Z37" s="29">
        <f>IF(Y37=1,COUNTIF($Y$2:Y37,1),"")</f>
        <v>23</v>
      </c>
      <c r="AA37" s="29">
        <f>IF(AND(LEFT($B37,7)="SBA 26/",$C37&lt;&gt;"",$F37&lt;&gt;""),COUNTIFS($C$2:$C37,$C37,$B$2:$B37,"SBA 26/*",$F$2:$F37,"&lt;&gt;"),"")</f>
        <v>1</v>
      </c>
      <c r="AB37" s="29">
        <f>IF(AA37=1,COUNTIF($AA$2:AA37,1),"")</f>
        <v>30</v>
      </c>
    </row>
    <row r="38" spans="1:28" ht="63" customHeight="1" x14ac:dyDescent="0.2">
      <c r="A38" s="43" t="s">
        <v>283</v>
      </c>
      <c r="B38" s="43" t="s">
        <v>284</v>
      </c>
      <c r="C38" s="44" t="s">
        <v>285</v>
      </c>
      <c r="D38" s="44" t="s">
        <v>222</v>
      </c>
      <c r="E38" s="45" t="s">
        <v>286</v>
      </c>
      <c r="F38" s="45" t="s">
        <v>287</v>
      </c>
      <c r="G38" s="46" t="s">
        <v>38</v>
      </c>
      <c r="H38" s="48">
        <v>46017</v>
      </c>
      <c r="I38" s="48">
        <v>46028</v>
      </c>
      <c r="J38" s="44" t="s">
        <v>76</v>
      </c>
      <c r="K38" s="44" t="s">
        <v>100</v>
      </c>
      <c r="L38" s="50" t="s">
        <v>77</v>
      </c>
      <c r="M38" s="50"/>
      <c r="N38" s="50"/>
      <c r="O38" s="49"/>
      <c r="P38" s="50" t="str">
        <f t="shared" si="0"/>
        <v>ONAY</v>
      </c>
      <c r="R38" s="51" t="str">
        <f t="shared" si="1"/>
        <v/>
      </c>
      <c r="T38" s="41"/>
      <c r="U38" s="29">
        <f>IF($C38&lt;&gt;"",COUNTIF($C$2:C38,C38),"")</f>
        <v>1</v>
      </c>
      <c r="V38" s="29" t="str">
        <f t="shared" si="2"/>
        <v>Prof. Dr. Yasemin ÖZSÜREKCİ§1</v>
      </c>
      <c r="W38" s="29">
        <f>IF(U38=1,COUNTIF($U$2:U38,1),"")</f>
        <v>31</v>
      </c>
      <c r="X38" s="29">
        <f t="shared" si="3"/>
        <v>334</v>
      </c>
      <c r="Y38" s="29">
        <f>IF(AND(LEFT($B38,7)="SBA 26/",$D38&lt;&gt;"",$F38&lt;&gt;""),COUNTIFS($D$2:$D38,$D38,$B$2:$B38,"SBA 26/*",$F$2:$F38,"&lt;&gt;"),"")</f>
        <v>2</v>
      </c>
      <c r="Z38" s="29" t="str">
        <f>IF(Y38=1,COUNTIF($Y$2:Y38,1),"")</f>
        <v/>
      </c>
      <c r="AA38" s="29">
        <f>IF(AND(LEFT($B38,7)="SBA 26/",$C38&lt;&gt;"",$F38&lt;&gt;""),COUNTIFS($C$2:$C38,$C38,$B$2:$B38,"SBA 26/*",$F$2:$F38,"&lt;&gt;"),"")</f>
        <v>1</v>
      </c>
      <c r="AB38" s="29">
        <f>IF(AA38=1,COUNTIF($AA$2:AA38,1),"")</f>
        <v>31</v>
      </c>
    </row>
    <row r="39" spans="1:28" ht="63" customHeight="1" x14ac:dyDescent="0.2">
      <c r="A39" s="43" t="s">
        <v>288</v>
      </c>
      <c r="B39" s="43" t="s">
        <v>289</v>
      </c>
      <c r="C39" s="44" t="s">
        <v>290</v>
      </c>
      <c r="D39" s="44" t="s">
        <v>291</v>
      </c>
      <c r="E39" s="45" t="s">
        <v>292</v>
      </c>
      <c r="F39" s="45" t="s">
        <v>293</v>
      </c>
      <c r="G39" s="46" t="s">
        <v>38</v>
      </c>
      <c r="H39" s="48">
        <v>46017</v>
      </c>
      <c r="I39" s="48">
        <v>46028</v>
      </c>
      <c r="J39" s="44" t="s">
        <v>75</v>
      </c>
      <c r="K39" s="44" t="s">
        <v>92</v>
      </c>
      <c r="L39" s="50" t="s">
        <v>206</v>
      </c>
      <c r="M39" s="50" t="s">
        <v>101</v>
      </c>
      <c r="N39" s="50" t="s">
        <v>77</v>
      </c>
      <c r="O39" s="49"/>
      <c r="P39" s="50" t="str">
        <f t="shared" si="0"/>
        <v>ONAY</v>
      </c>
      <c r="Q39" s="28" t="s">
        <v>91</v>
      </c>
      <c r="R39" s="51" t="str">
        <f t="shared" si="1"/>
        <v/>
      </c>
      <c r="T39" s="41"/>
      <c r="U39" s="29">
        <f>IF($C39&lt;&gt;"",COUNTIF($C$2:C39,C39),"")</f>
        <v>1</v>
      </c>
      <c r="V39" s="29" t="str">
        <f t="shared" si="2"/>
        <v>Öğr. Gör. Dr. Burçay TELLİOĞLU§1</v>
      </c>
      <c r="W39" s="29">
        <f>IF(U39=1,COUNTIF($U$2:U39,1),"")</f>
        <v>32</v>
      </c>
      <c r="X39" s="29">
        <f t="shared" si="3"/>
        <v>172</v>
      </c>
      <c r="Y39" s="29">
        <f>IF(AND(LEFT($B39,7)="SBA 26/",$D39&lt;&gt;"",$F39&lt;&gt;""),COUNTIFS($D$2:$D39,$D39,$B$2:$B39,"SBA 26/*",$F$2:$F39,"&lt;&gt;"),"")</f>
        <v>1</v>
      </c>
      <c r="Z39" s="29">
        <f>IF(Y39=1,COUNTIF($Y$2:Y39,1),"")</f>
        <v>24</v>
      </c>
      <c r="AA39" s="29">
        <f>IF(AND(LEFT($B39,7)="SBA 26/",$C39&lt;&gt;"",$F39&lt;&gt;""),COUNTIFS($C$2:$C39,$C39,$B$2:$B39,"SBA 26/*",$F$2:$F39,"&lt;&gt;"),"")</f>
        <v>1</v>
      </c>
      <c r="AB39" s="29">
        <f>IF(AA39=1,COUNTIF($AA$2:AA39,1),"")</f>
        <v>32</v>
      </c>
    </row>
    <row r="40" spans="1:28" ht="47.25" customHeight="1" x14ac:dyDescent="0.2">
      <c r="A40" s="43" t="s">
        <v>294</v>
      </c>
      <c r="B40" s="43" t="s">
        <v>295</v>
      </c>
      <c r="C40" s="44" t="s">
        <v>296</v>
      </c>
      <c r="D40" s="44" t="s">
        <v>297</v>
      </c>
      <c r="E40" s="45" t="s">
        <v>298</v>
      </c>
      <c r="F40" s="45" t="s">
        <v>299</v>
      </c>
      <c r="G40" s="46" t="s">
        <v>38</v>
      </c>
      <c r="H40" s="48">
        <v>46017</v>
      </c>
      <c r="I40" s="48">
        <v>46028</v>
      </c>
      <c r="J40" s="44" t="s">
        <v>123</v>
      </c>
      <c r="K40" s="44" t="s">
        <v>99</v>
      </c>
      <c r="L40" s="50" t="s">
        <v>172</v>
      </c>
      <c r="M40" s="50" t="s">
        <v>77</v>
      </c>
      <c r="N40" s="50"/>
      <c r="O40" s="49"/>
      <c r="P40" s="50" t="str">
        <f t="shared" si="0"/>
        <v>ONAY</v>
      </c>
      <c r="R40" s="51" t="str">
        <f t="shared" si="1"/>
        <v/>
      </c>
      <c r="T40" s="41"/>
      <c r="U40" s="29">
        <f>IF($C40&lt;&gt;"",COUNTIF($C$2:C40,C40),"")</f>
        <v>1</v>
      </c>
      <c r="V40" s="29" t="str">
        <f t="shared" si="2"/>
        <v>Doç. Dr. Hande GÖRÜCÜ COŞKUNER§1</v>
      </c>
      <c r="W40" s="29">
        <f>IF(U40=1,COUNTIF($U$2:U40,1),"")</f>
        <v>33</v>
      </c>
      <c r="X40" s="29">
        <f t="shared" si="3"/>
        <v>62</v>
      </c>
      <c r="Y40" s="29">
        <f>IF(AND(LEFT($B40,7)="SBA 26/",$D40&lt;&gt;"",$F40&lt;&gt;""),COUNTIFS($D$2:$D40,$D40,$B$2:$B40,"SBA 26/*",$F$2:$F40,"&lt;&gt;"),"")</f>
        <v>1</v>
      </c>
      <c r="Z40" s="29">
        <f>IF(Y40=1,COUNTIF($Y$2:Y40,1),"")</f>
        <v>25</v>
      </c>
      <c r="AA40" s="29">
        <f>IF(AND(LEFT($B40,7)="SBA 26/",$C40&lt;&gt;"",$F40&lt;&gt;""),COUNTIFS($C$2:$C40,$C40,$B$2:$B40,"SBA 26/*",$F$2:$F40,"&lt;&gt;"),"")</f>
        <v>1</v>
      </c>
      <c r="AB40" s="29">
        <f>IF(AA40=1,COUNTIF($AA$2:AA40,1),"")</f>
        <v>33</v>
      </c>
    </row>
    <row r="41" spans="1:28" ht="96.75" customHeight="1" x14ac:dyDescent="0.2">
      <c r="A41" s="43" t="s">
        <v>300</v>
      </c>
      <c r="B41" s="43" t="s">
        <v>301</v>
      </c>
      <c r="C41" s="44" t="s">
        <v>302</v>
      </c>
      <c r="D41" s="44" t="s">
        <v>222</v>
      </c>
      <c r="E41" s="45" t="s">
        <v>303</v>
      </c>
      <c r="F41" s="45" t="s">
        <v>304</v>
      </c>
      <c r="G41" s="46" t="s">
        <v>38</v>
      </c>
      <c r="H41" s="48">
        <v>46017</v>
      </c>
      <c r="I41" s="48">
        <v>46028</v>
      </c>
      <c r="J41" s="44" t="s">
        <v>84</v>
      </c>
      <c r="K41" s="44" t="s">
        <v>100</v>
      </c>
      <c r="L41" s="50" t="s">
        <v>77</v>
      </c>
      <c r="M41" s="50"/>
      <c r="N41" s="50"/>
      <c r="O41" s="49"/>
      <c r="P41" s="50" t="str">
        <f t="shared" si="0"/>
        <v>ONAY</v>
      </c>
      <c r="R41" s="51" t="str">
        <f t="shared" si="1"/>
        <v/>
      </c>
      <c r="T41" s="41"/>
      <c r="U41" s="29">
        <f>IF($C41&lt;&gt;"",COUNTIF($C$2:C41,C41),"")</f>
        <v>1</v>
      </c>
      <c r="V41" s="29" t="str">
        <f t="shared" si="2"/>
        <v>Doç. Dr. Saliha ESENBOĞA§1</v>
      </c>
      <c r="W41" s="29">
        <f>IF(U41=1,COUNTIF($U$2:U41,1),"")</f>
        <v>34</v>
      </c>
      <c r="X41" s="29">
        <f t="shared" si="3"/>
        <v>92</v>
      </c>
      <c r="Y41" s="29">
        <f>IF(AND(LEFT($B41,7)="SBA 26/",$D41&lt;&gt;"",$F41&lt;&gt;""),COUNTIFS($D$2:$D41,$D41,$B$2:$B41,"SBA 26/*",$F$2:$F41,"&lt;&gt;"),"")</f>
        <v>3</v>
      </c>
      <c r="Z41" s="29" t="str">
        <f>IF(Y41=1,COUNTIF($Y$2:Y41,1),"")</f>
        <v/>
      </c>
      <c r="AA41" s="29">
        <f>IF(AND(LEFT($B41,7)="SBA 26/",$C41&lt;&gt;"",$F41&lt;&gt;""),COUNTIFS($C$2:$C41,$C41,$B$2:$B41,"SBA 26/*",$F$2:$F41,"&lt;&gt;"),"")</f>
        <v>1</v>
      </c>
      <c r="AB41" s="29">
        <f>IF(AA41=1,COUNTIF($AA$2:AA41,1),"")</f>
        <v>34</v>
      </c>
    </row>
    <row r="42" spans="1:28" ht="78.75" customHeight="1" x14ac:dyDescent="0.2">
      <c r="A42" s="43" t="s">
        <v>305</v>
      </c>
      <c r="B42" s="43" t="s">
        <v>306</v>
      </c>
      <c r="C42" s="44" t="s">
        <v>307</v>
      </c>
      <c r="D42" s="44" t="s">
        <v>234</v>
      </c>
      <c r="E42" s="45" t="s">
        <v>308</v>
      </c>
      <c r="F42" s="45" t="s">
        <v>309</v>
      </c>
      <c r="G42" s="46" t="s">
        <v>39</v>
      </c>
      <c r="H42" s="48">
        <v>46017</v>
      </c>
      <c r="I42" s="48">
        <v>46028</v>
      </c>
      <c r="J42" s="44" t="s">
        <v>108</v>
      </c>
      <c r="K42" s="44" t="s">
        <v>123</v>
      </c>
      <c r="L42" s="50" t="s">
        <v>77</v>
      </c>
      <c r="M42" s="50"/>
      <c r="N42" s="50"/>
      <c r="O42" s="49"/>
      <c r="P42" s="50" t="str">
        <f t="shared" si="0"/>
        <v>ONAY</v>
      </c>
      <c r="R42" s="51" t="str">
        <f t="shared" si="1"/>
        <v/>
      </c>
      <c r="T42" s="41"/>
      <c r="U42" s="29">
        <f>IF($C42&lt;&gt;"",COUNTIF($C$2:C42,C42),"")</f>
        <v>1</v>
      </c>
      <c r="V42" s="29" t="str">
        <f t="shared" si="2"/>
        <v>Dr. Öğr. Üyesi Ahmet KIVRAK§1</v>
      </c>
      <c r="W42" s="29">
        <f>IF(U42=1,COUNTIF($U$2:U42,1),"")</f>
        <v>35</v>
      </c>
      <c r="X42" s="29">
        <f t="shared" si="3"/>
        <v>110</v>
      </c>
      <c r="Y42" s="29">
        <f>IF(AND(LEFT($B42,7)="SBA 26/",$D42&lt;&gt;"",$F42&lt;&gt;""),COUNTIFS($D$2:$D42,$D42,$B$2:$B42,"SBA 26/*",$F$2:$F42,"&lt;&gt;"),"")</f>
        <v>3</v>
      </c>
      <c r="Z42" s="29" t="str">
        <f>IF(Y42=1,COUNTIF($Y$2:Y42,1),"")</f>
        <v/>
      </c>
      <c r="AA42" s="29">
        <f>IF(AND(LEFT($B42,7)="SBA 26/",$C42&lt;&gt;"",$F42&lt;&gt;""),COUNTIFS($C$2:$C42,$C42,$B$2:$B42,"SBA 26/*",$F$2:$F42,"&lt;&gt;"),"")</f>
        <v>1</v>
      </c>
      <c r="AB42" s="29">
        <f>IF(AA42=1,COUNTIF($AA$2:AA42,1),"")</f>
        <v>35</v>
      </c>
    </row>
    <row r="43" spans="1:28" ht="63" customHeight="1" x14ac:dyDescent="0.2">
      <c r="A43" s="43" t="s">
        <v>310</v>
      </c>
      <c r="B43" s="43" t="s">
        <v>311</v>
      </c>
      <c r="C43" s="44" t="s">
        <v>307</v>
      </c>
      <c r="D43" s="44" t="s">
        <v>234</v>
      </c>
      <c r="E43" s="45" t="s">
        <v>312</v>
      </c>
      <c r="F43" s="45" t="s">
        <v>313</v>
      </c>
      <c r="G43" s="46" t="s">
        <v>38</v>
      </c>
      <c r="H43" s="48">
        <v>46017</v>
      </c>
      <c r="I43" s="48">
        <v>46028</v>
      </c>
      <c r="J43" s="44" t="s">
        <v>109</v>
      </c>
      <c r="K43" s="44" t="s">
        <v>76</v>
      </c>
      <c r="L43" s="50" t="s">
        <v>101</v>
      </c>
      <c r="M43" s="50" t="s">
        <v>206</v>
      </c>
      <c r="N43" s="50" t="s">
        <v>77</v>
      </c>
      <c r="O43" s="49"/>
      <c r="P43" s="50" t="str">
        <f t="shared" si="0"/>
        <v>ONAY</v>
      </c>
      <c r="Q43" s="28" t="s">
        <v>91</v>
      </c>
      <c r="R43" s="51" t="str">
        <f t="shared" si="1"/>
        <v/>
      </c>
      <c r="T43" s="41"/>
      <c r="U43" s="29">
        <f>IF($C43&lt;&gt;"",COUNTIF($C$2:C43,C43),"")</f>
        <v>2</v>
      </c>
      <c r="V43" s="29" t="str">
        <f t="shared" si="2"/>
        <v>Dr. Öğr. Üyesi Ahmet KIVRAK§2</v>
      </c>
      <c r="W43" s="29" t="str">
        <f>IF(U43=1,COUNTIF($U$2:U43,1),"")</f>
        <v/>
      </c>
      <c r="X43" s="29" t="str">
        <f t="shared" si="3"/>
        <v/>
      </c>
      <c r="Y43" s="29">
        <f>IF(AND(LEFT($B43,7)="SBA 26/",$D43&lt;&gt;"",$F43&lt;&gt;""),COUNTIFS($D$2:$D43,$D43,$B$2:$B43,"SBA 26/*",$F$2:$F43,"&lt;&gt;"),"")</f>
        <v>4</v>
      </c>
      <c r="Z43" s="29" t="str">
        <f>IF(Y43=1,COUNTIF($Y$2:Y43,1),"")</f>
        <v/>
      </c>
      <c r="AA43" s="29">
        <f>IF(AND(LEFT($B43,7)="SBA 26/",$C43&lt;&gt;"",$F43&lt;&gt;""),COUNTIFS($C$2:$C43,$C43,$B$2:$B43,"SBA 26/*",$F$2:$F43,"&lt;&gt;"),"")</f>
        <v>2</v>
      </c>
      <c r="AB43" s="29" t="str">
        <f>IF(AA43=1,COUNTIF($AA$2:AA43,1),"")</f>
        <v/>
      </c>
    </row>
    <row r="44" spans="1:28" ht="63" customHeight="1" x14ac:dyDescent="0.2">
      <c r="A44" s="43" t="s">
        <v>314</v>
      </c>
      <c r="B44" s="43" t="s">
        <v>315</v>
      </c>
      <c r="C44" s="44" t="s">
        <v>307</v>
      </c>
      <c r="D44" s="44" t="s">
        <v>234</v>
      </c>
      <c r="E44" s="45" t="s">
        <v>312</v>
      </c>
      <c r="F44" s="45" t="s">
        <v>316</v>
      </c>
      <c r="G44" s="46" t="s">
        <v>38</v>
      </c>
      <c r="H44" s="48">
        <v>46017</v>
      </c>
      <c r="I44" s="48">
        <v>46028</v>
      </c>
      <c r="J44" s="44" t="s">
        <v>91</v>
      </c>
      <c r="K44" s="44" t="s">
        <v>75</v>
      </c>
      <c r="L44" s="50" t="s">
        <v>77</v>
      </c>
      <c r="M44" s="50"/>
      <c r="N44" s="50"/>
      <c r="O44" s="49"/>
      <c r="P44" s="50" t="str">
        <f t="shared" si="0"/>
        <v>ONAY</v>
      </c>
      <c r="R44" s="51" t="str">
        <f t="shared" si="1"/>
        <v/>
      </c>
      <c r="T44" s="41"/>
      <c r="U44" s="29">
        <f>IF($C44&lt;&gt;"",COUNTIF($C$2:C44,C44),"")</f>
        <v>3</v>
      </c>
      <c r="V44" s="29" t="str">
        <f t="shared" si="2"/>
        <v>Dr. Öğr. Üyesi Ahmet KIVRAK§3</v>
      </c>
      <c r="W44" s="29" t="str">
        <f>IF(U44=1,COUNTIF($U$2:U44,1),"")</f>
        <v/>
      </c>
      <c r="X44" s="29" t="str">
        <f t="shared" si="3"/>
        <v/>
      </c>
      <c r="Y44" s="29">
        <f>IF(AND(LEFT($B44,7)="SBA 26/",$D44&lt;&gt;"",$F44&lt;&gt;""),COUNTIFS($D$2:$D44,$D44,$B$2:$B44,"SBA 26/*",$F$2:$F44,"&lt;&gt;"),"")</f>
        <v>5</v>
      </c>
      <c r="Z44" s="29" t="str">
        <f>IF(Y44=1,COUNTIF($Y$2:Y44,1),"")</f>
        <v/>
      </c>
      <c r="AA44" s="29">
        <f>IF(AND(LEFT($B44,7)="SBA 26/",$C44&lt;&gt;"",$F44&lt;&gt;""),COUNTIFS($C$2:$C44,$C44,$B$2:$B44,"SBA 26/*",$F$2:$F44,"&lt;&gt;"),"")</f>
        <v>3</v>
      </c>
      <c r="AB44" s="29" t="str">
        <f>IF(AA44=1,COUNTIF($AA$2:AA44,1),"")</f>
        <v/>
      </c>
    </row>
    <row r="45" spans="1:28" ht="98.25" customHeight="1" x14ac:dyDescent="0.2">
      <c r="A45" s="43" t="s">
        <v>317</v>
      </c>
      <c r="B45" s="43" t="s">
        <v>318</v>
      </c>
      <c r="C45" s="44" t="s">
        <v>319</v>
      </c>
      <c r="D45" s="44" t="s">
        <v>113</v>
      </c>
      <c r="E45" s="45" t="s">
        <v>320</v>
      </c>
      <c r="F45" s="45" t="s">
        <v>321</v>
      </c>
      <c r="G45" s="46" t="s">
        <v>38</v>
      </c>
      <c r="H45" s="48">
        <v>46017</v>
      </c>
      <c r="I45" s="48">
        <v>46028</v>
      </c>
      <c r="J45" s="44" t="s">
        <v>75</v>
      </c>
      <c r="K45" s="44" t="s">
        <v>100</v>
      </c>
      <c r="L45" s="50" t="s">
        <v>77</v>
      </c>
      <c r="M45" s="50"/>
      <c r="N45" s="50"/>
      <c r="O45" s="49"/>
      <c r="P45" s="50" t="str">
        <f t="shared" si="0"/>
        <v>ONAY</v>
      </c>
      <c r="R45" s="51" t="str">
        <f t="shared" si="1"/>
        <v/>
      </c>
      <c r="T45" s="41"/>
      <c r="U45" s="29">
        <f>IF($C45&lt;&gt;"",COUNTIF($C$2:C45,C45),"")</f>
        <v>1</v>
      </c>
      <c r="V45" s="29" t="str">
        <f t="shared" si="2"/>
        <v>Prof. Dr. Bülent ALTUN§1</v>
      </c>
      <c r="W45" s="29">
        <f>IF(U45=1,COUNTIF($U$2:U45,1),"")</f>
        <v>36</v>
      </c>
      <c r="X45" s="29">
        <f t="shared" si="3"/>
        <v>202</v>
      </c>
      <c r="Y45" s="29">
        <f>IF(AND(LEFT($B45,7)="SBA 26/",$D45&lt;&gt;"",$F45&lt;&gt;""),COUNTIFS($D$2:$D45,$D45,$B$2:$B45,"SBA 26/*",$F$2:$F45,"&lt;&gt;"),"")</f>
        <v>6</v>
      </c>
      <c r="Z45" s="29" t="str">
        <f>IF(Y45=1,COUNTIF($Y$2:Y45,1),"")</f>
        <v/>
      </c>
      <c r="AA45" s="29">
        <f>IF(AND(LEFT($B45,7)="SBA 26/",$C45&lt;&gt;"",$F45&lt;&gt;""),COUNTIFS($C$2:$C45,$C45,$B$2:$B45,"SBA 26/*",$F$2:$F45,"&lt;&gt;"),"")</f>
        <v>1</v>
      </c>
      <c r="AB45" s="29">
        <f>IF(AA45=1,COUNTIF($AA$2:AA45,1),"")</f>
        <v>36</v>
      </c>
    </row>
    <row r="46" spans="1:28" ht="47.25" customHeight="1" x14ac:dyDescent="0.2">
      <c r="A46" s="43" t="s">
        <v>322</v>
      </c>
      <c r="B46" s="43" t="s">
        <v>323</v>
      </c>
      <c r="C46" s="44" t="s">
        <v>324</v>
      </c>
      <c r="D46" s="44" t="s">
        <v>325</v>
      </c>
      <c r="E46" s="45" t="s">
        <v>326</v>
      </c>
      <c r="F46" s="45" t="s">
        <v>327</v>
      </c>
      <c r="G46" s="46" t="s">
        <v>41</v>
      </c>
      <c r="H46" s="48">
        <v>46017</v>
      </c>
      <c r="I46" s="48">
        <v>46028</v>
      </c>
      <c r="J46" s="44" t="s">
        <v>116</v>
      </c>
      <c r="K46" s="44" t="s">
        <v>91</v>
      </c>
      <c r="L46" s="50" t="s">
        <v>77</v>
      </c>
      <c r="M46" s="50"/>
      <c r="N46" s="50"/>
      <c r="O46" s="49"/>
      <c r="P46" s="50" t="str">
        <f t="shared" si="0"/>
        <v>ONAY</v>
      </c>
      <c r="R46" s="51" t="str">
        <f t="shared" si="1"/>
        <v/>
      </c>
      <c r="T46" s="41"/>
      <c r="U46" s="29">
        <f>IF($C46&lt;&gt;"",COUNTIF($C$2:C46,C46),"")</f>
        <v>1</v>
      </c>
      <c r="V46" s="29" t="str">
        <f t="shared" si="2"/>
        <v>Prof. Dr. Dilek ASLAN§1</v>
      </c>
      <c r="W46" s="29">
        <f>IF(U46=1,COUNTIF($U$2:U46,1),"")</f>
        <v>37</v>
      </c>
      <c r="X46" s="29">
        <f t="shared" si="3"/>
        <v>211</v>
      </c>
      <c r="Y46" s="29">
        <f>IF(AND(LEFT($B46,7)="SBA 26/",$D46&lt;&gt;"",$F46&lt;&gt;""),COUNTIFS($D$2:$D46,$D46,$B$2:$B46,"SBA 26/*",$F$2:$F46,"&lt;&gt;"),"")</f>
        <v>1</v>
      </c>
      <c r="Z46" s="29">
        <f>IF(Y46=1,COUNTIF($Y$2:Y46,1),"")</f>
        <v>26</v>
      </c>
      <c r="AA46" s="29">
        <f>IF(AND(LEFT($B46,7)="SBA 26/",$C46&lt;&gt;"",$F46&lt;&gt;""),COUNTIFS($C$2:$C46,$C46,$B$2:$B46,"SBA 26/*",$F$2:$F46,"&lt;&gt;"),"")</f>
        <v>1</v>
      </c>
      <c r="AB46" s="29">
        <f>IF(AA46=1,COUNTIF($AA$2:AA46,1),"")</f>
        <v>37</v>
      </c>
    </row>
    <row r="47" spans="1:28" ht="63" customHeight="1" x14ac:dyDescent="0.2">
      <c r="A47" s="43" t="s">
        <v>328</v>
      </c>
      <c r="B47" s="43" t="s">
        <v>329</v>
      </c>
      <c r="C47" s="44" t="s">
        <v>330</v>
      </c>
      <c r="D47" s="44" t="s">
        <v>222</v>
      </c>
      <c r="E47" s="45" t="s">
        <v>331</v>
      </c>
      <c r="F47" s="45" t="s">
        <v>332</v>
      </c>
      <c r="G47" s="46" t="s">
        <v>38</v>
      </c>
      <c r="H47" s="48">
        <v>46017</v>
      </c>
      <c r="I47" s="48">
        <v>46028</v>
      </c>
      <c r="J47" s="44" t="s">
        <v>100</v>
      </c>
      <c r="K47" s="44" t="s">
        <v>99</v>
      </c>
      <c r="L47" s="50" t="s">
        <v>77</v>
      </c>
      <c r="M47" s="50"/>
      <c r="N47" s="50"/>
      <c r="O47" s="49"/>
      <c r="P47" s="50" t="str">
        <f t="shared" si="0"/>
        <v>ONAY</v>
      </c>
      <c r="R47" s="51" t="str">
        <f t="shared" si="1"/>
        <v/>
      </c>
      <c r="T47" s="41"/>
      <c r="U47" s="29">
        <f>IF($C47&lt;&gt;"",COUNTIF($C$2:C47,C47),"")</f>
        <v>1</v>
      </c>
      <c r="V47" s="29" t="str">
        <f t="shared" si="2"/>
        <v>Prof. Dr. Ali DÜZOVA§1</v>
      </c>
      <c r="W47" s="29">
        <f>IF(U47=1,COUNTIF($U$2:U47,1),"")</f>
        <v>38</v>
      </c>
      <c r="X47" s="29">
        <f t="shared" si="3"/>
        <v>183</v>
      </c>
      <c r="Y47" s="29">
        <f>IF(AND(LEFT($B47,7)="SBA 26/",$D47&lt;&gt;"",$F47&lt;&gt;""),COUNTIFS($D$2:$D47,$D47,$B$2:$B47,"SBA 26/*",$F$2:$F47,"&lt;&gt;"),"")</f>
        <v>4</v>
      </c>
      <c r="Z47" s="29" t="str">
        <f>IF(Y47=1,COUNTIF($Y$2:Y47,1),"")</f>
        <v/>
      </c>
      <c r="AA47" s="29">
        <f>IF(AND(LEFT($B47,7)="SBA 26/",$C47&lt;&gt;"",$F47&lt;&gt;""),COUNTIFS($C$2:$C47,$C47,$B$2:$B47,"SBA 26/*",$F$2:$F47,"&lt;&gt;"),"")</f>
        <v>1</v>
      </c>
      <c r="AB47" s="29">
        <f>IF(AA47=1,COUNTIF($AA$2:AA47,1),"")</f>
        <v>38</v>
      </c>
    </row>
    <row r="48" spans="1:28" ht="126" customHeight="1" x14ac:dyDescent="0.2">
      <c r="A48" s="43" t="s">
        <v>333</v>
      </c>
      <c r="B48" s="43" t="s">
        <v>334</v>
      </c>
      <c r="C48" s="44" t="s">
        <v>335</v>
      </c>
      <c r="D48" s="44" t="s">
        <v>150</v>
      </c>
      <c r="E48" s="45" t="s">
        <v>336</v>
      </c>
      <c r="F48" s="45" t="s">
        <v>337</v>
      </c>
      <c r="G48" s="46" t="s">
        <v>38</v>
      </c>
      <c r="H48" s="48">
        <v>46017</v>
      </c>
      <c r="I48" s="48">
        <v>46028</v>
      </c>
      <c r="J48" s="44" t="s">
        <v>75</v>
      </c>
      <c r="K48" s="44" t="s">
        <v>108</v>
      </c>
      <c r="L48" s="50" t="s">
        <v>101</v>
      </c>
      <c r="M48" s="50" t="s">
        <v>77</v>
      </c>
      <c r="N48" s="50"/>
      <c r="O48" s="49"/>
      <c r="P48" s="50" t="str">
        <f t="shared" si="0"/>
        <v>ONAY</v>
      </c>
      <c r="Q48" s="28" t="s">
        <v>75</v>
      </c>
      <c r="R48" s="51" t="str">
        <f t="shared" si="1"/>
        <v/>
      </c>
      <c r="T48" s="41"/>
      <c r="U48" s="29">
        <f>IF($C48&lt;&gt;"",COUNTIF($C$2:C48,C48),"")</f>
        <v>1</v>
      </c>
      <c r="V48" s="29" t="str">
        <f t="shared" si="2"/>
        <v>Prof. Dr. Petek KORKUSUZ§1</v>
      </c>
      <c r="W48" s="29">
        <f>IF(U48=1,COUNTIF($U$2:U48,1),"")</f>
        <v>39</v>
      </c>
      <c r="X48" s="29">
        <f t="shared" si="3"/>
        <v>295</v>
      </c>
      <c r="Y48" s="29">
        <f>IF(AND(LEFT($B48,7)="SBA 26/",$D48&lt;&gt;"",$F48&lt;&gt;""),COUNTIFS($D$2:$D48,$D48,$B$2:$B48,"SBA 26/*",$F$2:$F48,"&lt;&gt;"),"")</f>
        <v>2</v>
      </c>
      <c r="Z48" s="29" t="str">
        <f>IF(Y48=1,COUNTIF($Y$2:Y48,1),"")</f>
        <v/>
      </c>
      <c r="AA48" s="29">
        <f>IF(AND(LEFT($B48,7)="SBA 26/",$C48&lt;&gt;"",$F48&lt;&gt;""),COUNTIFS($C$2:$C48,$C48,$B$2:$B48,"SBA 26/*",$F$2:$F48,"&lt;&gt;"),"")</f>
        <v>1</v>
      </c>
      <c r="AB48" s="29">
        <f>IF(AA48=1,COUNTIF($AA$2:AA48,1),"")</f>
        <v>39</v>
      </c>
    </row>
    <row r="49" spans="1:28" ht="63" customHeight="1" x14ac:dyDescent="0.2">
      <c r="A49" s="43" t="s">
        <v>338</v>
      </c>
      <c r="B49" s="43" t="s">
        <v>339</v>
      </c>
      <c r="C49" s="44" t="s">
        <v>340</v>
      </c>
      <c r="D49" s="44" t="s">
        <v>341</v>
      </c>
      <c r="E49" s="45" t="s">
        <v>342</v>
      </c>
      <c r="F49" s="45" t="s">
        <v>343</v>
      </c>
      <c r="G49" s="46" t="s">
        <v>38</v>
      </c>
      <c r="H49" s="48">
        <v>46017</v>
      </c>
      <c r="I49" s="48">
        <v>46028</v>
      </c>
      <c r="J49" s="44" t="s">
        <v>76</v>
      </c>
      <c r="K49" s="44" t="s">
        <v>92</v>
      </c>
      <c r="L49" s="50" t="s">
        <v>206</v>
      </c>
      <c r="M49" s="50" t="s">
        <v>101</v>
      </c>
      <c r="N49" s="50" t="s">
        <v>77</v>
      </c>
      <c r="O49" s="49"/>
      <c r="P49" s="50" t="str">
        <f t="shared" si="0"/>
        <v>ONAY</v>
      </c>
      <c r="Q49" s="28" t="s">
        <v>91</v>
      </c>
      <c r="R49" s="51" t="str">
        <f t="shared" si="1"/>
        <v/>
      </c>
      <c r="T49" s="41"/>
      <c r="U49" s="29">
        <f>IF($C49&lt;&gt;"",COUNTIF($C$2:C49,C49),"")</f>
        <v>1</v>
      </c>
      <c r="V49" s="29" t="str">
        <f t="shared" si="2"/>
        <v>Prof. Dr. Sibel ERSOY EVANS§1</v>
      </c>
      <c r="W49" s="29">
        <f>IF(U49=1,COUNTIF($U$2:U49,1),"")</f>
        <v>40</v>
      </c>
      <c r="X49" s="29">
        <f t="shared" si="3"/>
        <v>313</v>
      </c>
      <c r="Y49" s="29">
        <f>IF(AND(LEFT($B49,7)="SBA 26/",$D49&lt;&gt;"",$F49&lt;&gt;""),COUNTIFS($D$2:$D49,$D49,$B$2:$B49,"SBA 26/*",$F$2:$F49,"&lt;&gt;"),"")</f>
        <v>1</v>
      </c>
      <c r="Z49" s="29">
        <f>IF(Y49=1,COUNTIF($Y$2:Y49,1),"")</f>
        <v>27</v>
      </c>
      <c r="AA49" s="29">
        <f>IF(AND(LEFT($B49,7)="SBA 26/",$C49&lt;&gt;"",$F49&lt;&gt;""),COUNTIFS($C$2:$C49,$C49,$B$2:$B49,"SBA 26/*",$F$2:$F49,"&lt;&gt;"),"")</f>
        <v>1</v>
      </c>
      <c r="AB49" s="29">
        <f>IF(AA49=1,COUNTIF($AA$2:AA49,1),"")</f>
        <v>40</v>
      </c>
    </row>
    <row r="50" spans="1:28" ht="78.75" customHeight="1" x14ac:dyDescent="0.2">
      <c r="A50" s="43" t="s">
        <v>344</v>
      </c>
      <c r="B50" s="43" t="s">
        <v>345</v>
      </c>
      <c r="C50" s="44" t="s">
        <v>346</v>
      </c>
      <c r="D50" s="44" t="s">
        <v>347</v>
      </c>
      <c r="E50" s="45" t="s">
        <v>348</v>
      </c>
      <c r="F50" s="45" t="s">
        <v>349</v>
      </c>
      <c r="G50" s="46" t="s">
        <v>39</v>
      </c>
      <c r="H50" s="48">
        <v>46020</v>
      </c>
      <c r="I50" s="48">
        <v>46028</v>
      </c>
      <c r="J50" s="44" t="s">
        <v>84</v>
      </c>
      <c r="K50" s="44" t="s">
        <v>123</v>
      </c>
      <c r="L50" s="50" t="s">
        <v>77</v>
      </c>
      <c r="M50" s="50"/>
      <c r="N50" s="50"/>
      <c r="O50" s="49"/>
      <c r="P50" s="50" t="str">
        <f t="shared" si="0"/>
        <v>ONAY</v>
      </c>
      <c r="R50" s="51" t="str">
        <f t="shared" si="1"/>
        <v/>
      </c>
      <c r="T50" s="41"/>
      <c r="U50" s="29">
        <f>IF($C50&lt;&gt;"",COUNTIF($C$2:C50,C50),"")</f>
        <v>1</v>
      </c>
      <c r="V50" s="29" t="str">
        <f t="shared" si="2"/>
        <v>Prof. Dr. Oya ÖZDEMİR§1</v>
      </c>
      <c r="W50" s="29">
        <f>IF(U50=1,COUNTIF($U$2:U50,1),"")</f>
        <v>41</v>
      </c>
      <c r="X50" s="29">
        <f t="shared" si="3"/>
        <v>282</v>
      </c>
      <c r="Y50" s="29">
        <f>IF(AND(LEFT($B50,7)="SBA 26/",$D50&lt;&gt;"",$F50&lt;&gt;""),COUNTIFS($D$2:$D50,$D50,$B$2:$B50,"SBA 26/*",$F$2:$F50,"&lt;&gt;"),"")</f>
        <v>1</v>
      </c>
      <c r="Z50" s="29">
        <f>IF(Y50=1,COUNTIF($Y$2:Y50,1),"")</f>
        <v>28</v>
      </c>
      <c r="AA50" s="29">
        <f>IF(AND(LEFT($B50,7)="SBA 26/",$C50&lt;&gt;"",$F50&lt;&gt;""),COUNTIFS($C$2:$C50,$C50,$B$2:$B50,"SBA 26/*",$F$2:$F50,"&lt;&gt;"),"")</f>
        <v>1</v>
      </c>
      <c r="AB50" s="29">
        <f>IF(AA50=1,COUNTIF($AA$2:AA50,1),"")</f>
        <v>41</v>
      </c>
    </row>
    <row r="51" spans="1:28" ht="63" customHeight="1" x14ac:dyDescent="0.2">
      <c r="A51" s="43" t="s">
        <v>350</v>
      </c>
      <c r="B51" s="43" t="s">
        <v>351</v>
      </c>
      <c r="C51" s="44" t="s">
        <v>352</v>
      </c>
      <c r="D51" s="44" t="s">
        <v>353</v>
      </c>
      <c r="E51" s="45" t="s">
        <v>354</v>
      </c>
      <c r="F51" s="45" t="s">
        <v>355</v>
      </c>
      <c r="G51" s="46" t="s">
        <v>38</v>
      </c>
      <c r="H51" s="48">
        <v>46020</v>
      </c>
      <c r="I51" s="48">
        <v>46028</v>
      </c>
      <c r="J51" s="44" t="s">
        <v>123</v>
      </c>
      <c r="K51" s="44" t="s">
        <v>91</v>
      </c>
      <c r="L51" s="50" t="s">
        <v>101</v>
      </c>
      <c r="M51" s="50" t="s">
        <v>77</v>
      </c>
      <c r="N51" s="50"/>
      <c r="O51" s="49"/>
      <c r="P51" s="50" t="str">
        <f t="shared" si="0"/>
        <v>ONAY</v>
      </c>
      <c r="Q51" s="28" t="s">
        <v>91</v>
      </c>
      <c r="R51" s="51" t="str">
        <f t="shared" si="1"/>
        <v/>
      </c>
      <c r="T51" s="41"/>
      <c r="U51" s="29">
        <f>IF($C51&lt;&gt;"",COUNTIF($C$2:C51,C51),"")</f>
        <v>1</v>
      </c>
      <c r="V51" s="29" t="str">
        <f t="shared" si="2"/>
        <v>Prof. Dr. Bahar GÜÇİZ DOĞAN§1</v>
      </c>
      <c r="W51" s="29">
        <f>IF(U51=1,COUNTIF($U$2:U51,1),"")</f>
        <v>42</v>
      </c>
      <c r="X51" s="29">
        <f t="shared" si="3"/>
        <v>194</v>
      </c>
      <c r="Y51" s="29">
        <f>IF(AND(LEFT($B51,7)="SBA 26/",$D51&lt;&gt;"",$F51&lt;&gt;""),COUNTIFS($D$2:$D51,$D51,$B$2:$B51,"SBA 26/*",$F$2:$F51,"&lt;&gt;"),"")</f>
        <v>1</v>
      </c>
      <c r="Z51" s="29">
        <f>IF(Y51=1,COUNTIF($Y$2:Y51,1),"")</f>
        <v>29</v>
      </c>
      <c r="AA51" s="29">
        <f>IF(AND(LEFT($B51,7)="SBA 26/",$C51&lt;&gt;"",$F51&lt;&gt;""),COUNTIFS($C$2:$C51,$C51,$B$2:$B51,"SBA 26/*",$F$2:$F51,"&lt;&gt;"),"")</f>
        <v>1</v>
      </c>
      <c r="AB51" s="29">
        <f>IF(AA51=1,COUNTIF($AA$2:AA51,1),"")</f>
        <v>42</v>
      </c>
    </row>
    <row r="52" spans="1:28" ht="78.75" customHeight="1" x14ac:dyDescent="0.2">
      <c r="A52" s="43" t="s">
        <v>356</v>
      </c>
      <c r="B52" s="43" t="s">
        <v>357</v>
      </c>
      <c r="C52" s="44" t="s">
        <v>358</v>
      </c>
      <c r="D52" s="44" t="s">
        <v>228</v>
      </c>
      <c r="E52" s="45" t="s">
        <v>359</v>
      </c>
      <c r="F52" s="45" t="s">
        <v>360</v>
      </c>
      <c r="G52" s="46" t="s">
        <v>39</v>
      </c>
      <c r="H52" s="48">
        <v>46021</v>
      </c>
      <c r="I52" s="48">
        <v>46028</v>
      </c>
      <c r="J52" s="44" t="s">
        <v>109</v>
      </c>
      <c r="K52" s="44" t="s">
        <v>108</v>
      </c>
      <c r="L52" s="50" t="s">
        <v>101</v>
      </c>
      <c r="M52" s="50" t="s">
        <v>77</v>
      </c>
      <c r="N52" s="50"/>
      <c r="O52" s="49"/>
      <c r="P52" s="50" t="str">
        <f t="shared" si="0"/>
        <v>ONAY</v>
      </c>
      <c r="Q52" s="28" t="s">
        <v>108</v>
      </c>
      <c r="R52" s="51" t="str">
        <f t="shared" si="1"/>
        <v/>
      </c>
      <c r="T52" s="41"/>
      <c r="U52" s="29">
        <f>IF($C52&lt;&gt;"",COUNTIF($C$2:C52,C52),"")</f>
        <v>1</v>
      </c>
      <c r="V52" s="29" t="str">
        <f t="shared" si="2"/>
        <v>Doç. Dr. Erdem FADILOĞLU§1</v>
      </c>
      <c r="W52" s="29">
        <f>IF(U52=1,COUNTIF($U$2:U52,1),"")</f>
        <v>43</v>
      </c>
      <c r="X52" s="29">
        <f t="shared" si="3"/>
        <v>47</v>
      </c>
      <c r="Y52" s="29">
        <f>IF(AND(LEFT($B52,7)="SBA 26/",$D52&lt;&gt;"",$F52&lt;&gt;""),COUNTIFS($D$2:$D52,$D52,$B$2:$B52,"SBA 26/*",$F$2:$F52,"&lt;&gt;"),"")</f>
        <v>2</v>
      </c>
      <c r="Z52" s="29" t="str">
        <f>IF(Y52=1,COUNTIF($Y$2:Y52,1),"")</f>
        <v/>
      </c>
      <c r="AA52" s="29">
        <f>IF(AND(LEFT($B52,7)="SBA 26/",$C52&lt;&gt;"",$F52&lt;&gt;""),COUNTIFS($C$2:$C52,$C52,$B$2:$B52,"SBA 26/*",$F$2:$F52,"&lt;&gt;"),"")</f>
        <v>1</v>
      </c>
      <c r="AB52" s="29">
        <f>IF(AA52=1,COUNTIF($AA$2:AA52,1),"")</f>
        <v>43</v>
      </c>
    </row>
    <row r="53" spans="1:28" ht="63" customHeight="1" x14ac:dyDescent="0.2">
      <c r="A53" s="43" t="s">
        <v>361</v>
      </c>
      <c r="B53" s="43" t="s">
        <v>362</v>
      </c>
      <c r="C53" s="44" t="s">
        <v>363</v>
      </c>
      <c r="D53" s="44" t="s">
        <v>364</v>
      </c>
      <c r="E53" s="45" t="s">
        <v>365</v>
      </c>
      <c r="F53" s="45" t="s">
        <v>366</v>
      </c>
      <c r="G53" s="46" t="s">
        <v>38</v>
      </c>
      <c r="H53" s="48">
        <v>46021</v>
      </c>
      <c r="I53" s="48">
        <v>46028</v>
      </c>
      <c r="J53" s="44" t="s">
        <v>75</v>
      </c>
      <c r="K53" s="44" t="s">
        <v>116</v>
      </c>
      <c r="L53" s="50" t="s">
        <v>77</v>
      </c>
      <c r="M53" s="50"/>
      <c r="N53" s="50"/>
      <c r="O53" s="49"/>
      <c r="P53" s="50" t="str">
        <f t="shared" si="0"/>
        <v>ONAY</v>
      </c>
      <c r="R53" s="51" t="str">
        <f t="shared" si="1"/>
        <v/>
      </c>
      <c r="T53" s="41"/>
      <c r="U53" s="29">
        <f>IF($C53&lt;&gt;"",COUNTIF($C$2:C53,C53),"")</f>
        <v>1</v>
      </c>
      <c r="V53" s="29" t="str">
        <f t="shared" si="2"/>
        <v>Prof. Dr. Mehmet Akif TOPÇUOĞLU§1</v>
      </c>
      <c r="W53" s="29">
        <f>IF(U53=1,COUNTIF($U$2:U53,1),"")</f>
        <v>44</v>
      </c>
      <c r="X53" s="29">
        <f t="shared" si="3"/>
        <v>258</v>
      </c>
      <c r="Y53" s="29">
        <f>IF(AND(LEFT($B53,7)="SBA 26/",$D53&lt;&gt;"",$F53&lt;&gt;""),COUNTIFS($D$2:$D53,$D53,$B$2:$B53,"SBA 26/*",$F$2:$F53,"&lt;&gt;"),"")</f>
        <v>1</v>
      </c>
      <c r="Z53" s="29">
        <f>IF(Y53=1,COUNTIF($Y$2:Y53,1),"")</f>
        <v>30</v>
      </c>
      <c r="AA53" s="29">
        <f>IF(AND(LEFT($B53,7)="SBA 26/",$C53&lt;&gt;"",$F53&lt;&gt;""),COUNTIFS($C$2:$C53,$C53,$B$2:$B53,"SBA 26/*",$F$2:$F53,"&lt;&gt;"),"")</f>
        <v>1</v>
      </c>
      <c r="AB53" s="29">
        <f>IF(AA53=1,COUNTIF($AA$2:AA53,1),"")</f>
        <v>44</v>
      </c>
    </row>
    <row r="54" spans="1:28" ht="94.5" customHeight="1" x14ac:dyDescent="0.2">
      <c r="A54" s="43" t="s">
        <v>367</v>
      </c>
      <c r="B54" s="43" t="s">
        <v>368</v>
      </c>
      <c r="C54" s="44" t="s">
        <v>369</v>
      </c>
      <c r="D54" s="44" t="s">
        <v>341</v>
      </c>
      <c r="E54" s="45" t="s">
        <v>370</v>
      </c>
      <c r="F54" s="45" t="s">
        <v>371</v>
      </c>
      <c r="G54" s="46" t="s">
        <v>39</v>
      </c>
      <c r="H54" s="48">
        <v>46021</v>
      </c>
      <c r="I54" s="48">
        <v>46028</v>
      </c>
      <c r="J54" s="44" t="s">
        <v>91</v>
      </c>
      <c r="K54" s="44" t="s">
        <v>129</v>
      </c>
      <c r="L54" s="50" t="s">
        <v>218</v>
      </c>
      <c r="M54" s="50"/>
      <c r="N54" s="50"/>
      <c r="O54" s="49"/>
      <c r="P54" s="50" t="str">
        <f t="shared" si="0"/>
        <v>KAEK</v>
      </c>
      <c r="R54" s="51" t="str">
        <f t="shared" si="1"/>
        <v/>
      </c>
      <c r="T54" s="41"/>
      <c r="U54" s="29">
        <f>IF($C54&lt;&gt;"",COUNTIF($C$2:C54,C54),"")</f>
        <v>1</v>
      </c>
      <c r="V54" s="29" t="str">
        <f t="shared" si="2"/>
        <v>Doç. Dr. Başak YALICI ARMAĞAN§1</v>
      </c>
      <c r="W54" s="29">
        <f>IF(U54=1,COUNTIF($U$2:U54,1),"")</f>
        <v>45</v>
      </c>
      <c r="X54" s="29">
        <f t="shared" si="3"/>
        <v>24</v>
      </c>
      <c r="Y54" s="29">
        <f>IF(AND(LEFT($B54,7)="SBA 26/",$D54&lt;&gt;"",$F54&lt;&gt;""),COUNTIFS($D$2:$D54,$D54,$B$2:$B54,"SBA 26/*",$F$2:$F54,"&lt;&gt;"),"")</f>
        <v>2</v>
      </c>
      <c r="Z54" s="29" t="str">
        <f>IF(Y54=1,COUNTIF($Y$2:Y54,1),"")</f>
        <v/>
      </c>
      <c r="AA54" s="29">
        <f>IF(AND(LEFT($B54,7)="SBA 26/",$C54&lt;&gt;"",$F54&lt;&gt;""),COUNTIFS($C$2:$C54,$C54,$B$2:$B54,"SBA 26/*",$F$2:$F54,"&lt;&gt;"),"")</f>
        <v>1</v>
      </c>
      <c r="AB54" s="29">
        <f>IF(AA54=1,COUNTIF($AA$2:AA54,1),"")</f>
        <v>45</v>
      </c>
    </row>
    <row r="55" spans="1:28" ht="78.75" customHeight="1" x14ac:dyDescent="0.2">
      <c r="A55" s="43" t="s">
        <v>372</v>
      </c>
      <c r="B55" s="43" t="s">
        <v>373</v>
      </c>
      <c r="C55" s="44" t="s">
        <v>374</v>
      </c>
      <c r="D55" s="44" t="s">
        <v>341</v>
      </c>
      <c r="E55" s="45" t="s">
        <v>375</v>
      </c>
      <c r="F55" s="45" t="s">
        <v>376</v>
      </c>
      <c r="G55" s="46" t="s">
        <v>39</v>
      </c>
      <c r="H55" s="48">
        <v>46021</v>
      </c>
      <c r="I55" s="48">
        <v>46028</v>
      </c>
      <c r="J55" s="44" t="s">
        <v>84</v>
      </c>
      <c r="K55" s="44" t="s">
        <v>129</v>
      </c>
      <c r="L55" s="50" t="s">
        <v>77</v>
      </c>
      <c r="M55" s="50"/>
      <c r="N55" s="50"/>
      <c r="O55" s="49"/>
      <c r="P55" s="50" t="str">
        <f t="shared" si="0"/>
        <v>ONAY</v>
      </c>
      <c r="R55" s="51" t="str">
        <f t="shared" si="1"/>
        <v/>
      </c>
      <c r="T55" s="41"/>
      <c r="U55" s="29">
        <f>IF($C55&lt;&gt;"",COUNTIF($C$2:C55,C55),"")</f>
        <v>1</v>
      </c>
      <c r="V55" s="29" t="str">
        <f t="shared" si="2"/>
        <v>Doç. Dr. Neslihan AKDOĞAN§1</v>
      </c>
      <c r="W55" s="29">
        <f>IF(U55=1,COUNTIF($U$2:U55,1),"")</f>
        <v>46</v>
      </c>
      <c r="X55" s="29">
        <f t="shared" si="3"/>
        <v>84</v>
      </c>
      <c r="Y55" s="29">
        <f>IF(AND(LEFT($B55,7)="SBA 26/",$D55&lt;&gt;"",$F55&lt;&gt;""),COUNTIFS($D$2:$D55,$D55,$B$2:$B55,"SBA 26/*",$F$2:$F55,"&lt;&gt;"),"")</f>
        <v>3</v>
      </c>
      <c r="Z55" s="29" t="str">
        <f>IF(Y55=1,COUNTIF($Y$2:Y55,1),"")</f>
        <v/>
      </c>
      <c r="AA55" s="29">
        <f>IF(AND(LEFT($B55,7)="SBA 26/",$C55&lt;&gt;"",$F55&lt;&gt;""),COUNTIFS($C$2:$C55,$C55,$B$2:$B55,"SBA 26/*",$F$2:$F55,"&lt;&gt;"),"")</f>
        <v>1</v>
      </c>
      <c r="AB55" s="29">
        <f>IF(AA55=1,COUNTIF($AA$2:AA55,1),"")</f>
        <v>46</v>
      </c>
    </row>
    <row r="56" spans="1:28" ht="78.75" customHeight="1" x14ac:dyDescent="0.2">
      <c r="A56" s="43" t="s">
        <v>377</v>
      </c>
      <c r="B56" s="43" t="s">
        <v>378</v>
      </c>
      <c r="C56" s="44" t="s">
        <v>379</v>
      </c>
      <c r="D56" s="44" t="s">
        <v>222</v>
      </c>
      <c r="E56" s="45" t="s">
        <v>380</v>
      </c>
      <c r="F56" s="45" t="s">
        <v>381</v>
      </c>
      <c r="G56" s="46" t="s">
        <v>38</v>
      </c>
      <c r="H56" s="48">
        <v>46021</v>
      </c>
      <c r="I56" s="48">
        <v>46028</v>
      </c>
      <c r="J56" s="44" t="s">
        <v>75</v>
      </c>
      <c r="K56" s="44" t="s">
        <v>99</v>
      </c>
      <c r="L56" s="50" t="s">
        <v>77</v>
      </c>
      <c r="M56" s="50"/>
      <c r="N56" s="50"/>
      <c r="O56" s="49"/>
      <c r="P56" s="50" t="str">
        <f t="shared" si="0"/>
        <v>ONAY</v>
      </c>
      <c r="R56" s="51" t="str">
        <f t="shared" si="1"/>
        <v/>
      </c>
      <c r="T56" s="41"/>
      <c r="U56" s="29">
        <f>IF($C56&lt;&gt;"",COUNTIF($C$2:C56,C56),"")</f>
        <v>1</v>
      </c>
      <c r="V56" s="29" t="str">
        <f t="shared" si="2"/>
        <v>Prof. Dr. Deniz ÇAĞDAŞ AYVAZ§1</v>
      </c>
      <c r="W56" s="29">
        <f>IF(U56=1,COUNTIF($U$2:U56,1),"")</f>
        <v>47</v>
      </c>
      <c r="X56" s="29">
        <f t="shared" si="3"/>
        <v>208</v>
      </c>
      <c r="Y56" s="29">
        <f>IF(AND(LEFT($B56,7)="SBA 26/",$D56&lt;&gt;"",$F56&lt;&gt;""),COUNTIFS($D$2:$D56,$D56,$B$2:$B56,"SBA 26/*",$F$2:$F56,"&lt;&gt;"),"")</f>
        <v>5</v>
      </c>
      <c r="Z56" s="29" t="str">
        <f>IF(Y56=1,COUNTIF($Y$2:Y56,1),"")</f>
        <v/>
      </c>
      <c r="AA56" s="29">
        <f>IF(AND(LEFT($B56,7)="SBA 26/",$C56&lt;&gt;"",$F56&lt;&gt;""),COUNTIFS($C$2:$C56,$C56,$B$2:$B56,"SBA 26/*",$F$2:$F56,"&lt;&gt;"),"")</f>
        <v>1</v>
      </c>
      <c r="AB56" s="29">
        <f>IF(AA56=1,COUNTIF($AA$2:AA56,1),"")</f>
        <v>47</v>
      </c>
    </row>
    <row r="57" spans="1:28" ht="63" customHeight="1" x14ac:dyDescent="0.2">
      <c r="A57" s="43" t="s">
        <v>382</v>
      </c>
      <c r="B57" s="43" t="s">
        <v>383</v>
      </c>
      <c r="C57" s="44" t="s">
        <v>384</v>
      </c>
      <c r="D57" s="44" t="s">
        <v>385</v>
      </c>
      <c r="E57" s="45" t="s">
        <v>386</v>
      </c>
      <c r="F57" s="45" t="s">
        <v>387</v>
      </c>
      <c r="G57" s="46" t="s">
        <v>38</v>
      </c>
      <c r="H57" s="48">
        <v>46024</v>
      </c>
      <c r="I57" s="48">
        <v>46042</v>
      </c>
      <c r="J57" s="44" t="s">
        <v>116</v>
      </c>
      <c r="K57" s="44" t="s">
        <v>84</v>
      </c>
      <c r="L57" s="50" t="s">
        <v>101</v>
      </c>
      <c r="M57" s="50" t="s">
        <v>77</v>
      </c>
      <c r="N57" s="50"/>
      <c r="O57" s="49"/>
      <c r="P57" s="50" t="str">
        <f t="shared" si="0"/>
        <v>ONAY</v>
      </c>
      <c r="Q57" s="28" t="s">
        <v>116</v>
      </c>
      <c r="R57" s="51" t="str">
        <f t="shared" si="1"/>
        <v/>
      </c>
      <c r="T57" s="41"/>
      <c r="U57" s="29">
        <f>IF($C57&lt;&gt;"",COUNTIF($C$2:C57,C57),"")</f>
        <v>1</v>
      </c>
      <c r="V57" s="29" t="str">
        <f t="shared" si="2"/>
        <v>Prof. Dr. Tutku SOYER§1</v>
      </c>
      <c r="W57" s="29">
        <f>IF(U57=1,COUNTIF($U$2:U57,1),"")</f>
        <v>48</v>
      </c>
      <c r="X57" s="29">
        <f t="shared" si="3"/>
        <v>324</v>
      </c>
      <c r="Y57" s="29">
        <f>IF(AND(LEFT($B57,7)="SBA 26/",$D57&lt;&gt;"",$F57&lt;&gt;""),COUNTIFS($D$2:$D57,$D57,$B$2:$B57,"SBA 26/*",$F$2:$F57,"&lt;&gt;"),"")</f>
        <v>1</v>
      </c>
      <c r="Z57" s="29">
        <f>IF(Y57=1,COUNTIF($Y$2:Y57,1),"")</f>
        <v>31</v>
      </c>
      <c r="AA57" s="29">
        <f>IF(AND(LEFT($B57,7)="SBA 26/",$C57&lt;&gt;"",$F57&lt;&gt;""),COUNTIFS($C$2:$C57,$C57,$B$2:$B57,"SBA 26/*",$F$2:$F57,"&lt;&gt;"),"")</f>
        <v>1</v>
      </c>
      <c r="AB57" s="29">
        <f>IF(AA57=1,COUNTIF($AA$2:AA57,1),"")</f>
        <v>48</v>
      </c>
    </row>
    <row r="58" spans="1:28" ht="63" customHeight="1" x14ac:dyDescent="0.2">
      <c r="A58" s="43" t="s">
        <v>388</v>
      </c>
      <c r="B58" s="43" t="s">
        <v>389</v>
      </c>
      <c r="C58" s="44" t="s">
        <v>390</v>
      </c>
      <c r="D58" s="44" t="s">
        <v>391</v>
      </c>
      <c r="E58" s="45" t="s">
        <v>392</v>
      </c>
      <c r="F58" s="45" t="s">
        <v>393</v>
      </c>
      <c r="G58" s="46" t="s">
        <v>38</v>
      </c>
      <c r="H58" s="48">
        <v>46024</v>
      </c>
      <c r="I58" s="48">
        <v>46042</v>
      </c>
      <c r="J58" s="44" t="s">
        <v>91</v>
      </c>
      <c r="K58" s="44" t="s">
        <v>92</v>
      </c>
      <c r="L58" s="50" t="s">
        <v>101</v>
      </c>
      <c r="M58" s="50" t="s">
        <v>77</v>
      </c>
      <c r="N58" s="50"/>
      <c r="O58" s="49"/>
      <c r="P58" s="50" t="str">
        <f t="shared" si="0"/>
        <v>ONAY</v>
      </c>
      <c r="Q58" s="28" t="s">
        <v>91</v>
      </c>
      <c r="R58" s="51" t="str">
        <f t="shared" si="1"/>
        <v/>
      </c>
      <c r="T58" s="41"/>
      <c r="U58" s="29">
        <f>IF($C58&lt;&gt;"",COUNTIF($C$2:C58,C58),"")</f>
        <v>1</v>
      </c>
      <c r="V58" s="29" t="str">
        <f t="shared" si="2"/>
        <v>Prof. Dr. Mehmet AYVAZ§1</v>
      </c>
      <c r="W58" s="29">
        <f>IF(U58=1,COUNTIF($U$2:U58,1),"")</f>
        <v>49</v>
      </c>
      <c r="X58" s="29">
        <f t="shared" si="3"/>
        <v>259</v>
      </c>
      <c r="Y58" s="29">
        <f>IF(AND(LEFT($B58,7)="SBA 26/",$D58&lt;&gt;"",$F58&lt;&gt;""),COUNTIFS($D$2:$D58,$D58,$B$2:$B58,"SBA 26/*",$F$2:$F58,"&lt;&gt;"),"")</f>
        <v>1</v>
      </c>
      <c r="Z58" s="29">
        <f>IF(Y58=1,COUNTIF($Y$2:Y58,1),"")</f>
        <v>32</v>
      </c>
      <c r="AA58" s="29">
        <f>IF(AND(LEFT($B58,7)="SBA 26/",$C58&lt;&gt;"",$F58&lt;&gt;""),COUNTIFS($C$2:$C58,$C58,$B$2:$B58,"SBA 26/*",$F$2:$F58,"&lt;&gt;"),"")</f>
        <v>1</v>
      </c>
      <c r="AB58" s="29">
        <f>IF(AA58=1,COUNTIF($AA$2:AA58,1),"")</f>
        <v>49</v>
      </c>
    </row>
    <row r="59" spans="1:28" ht="78.75" customHeight="1" x14ac:dyDescent="0.2">
      <c r="A59" s="43" t="s">
        <v>394</v>
      </c>
      <c r="B59" s="43" t="s">
        <v>395</v>
      </c>
      <c r="C59" s="44" t="s">
        <v>396</v>
      </c>
      <c r="D59" s="44" t="s">
        <v>397</v>
      </c>
      <c r="E59" s="45" t="s">
        <v>398</v>
      </c>
      <c r="F59" s="45" t="s">
        <v>399</v>
      </c>
      <c r="G59" s="46" t="s">
        <v>41</v>
      </c>
      <c r="H59" s="48">
        <v>46024</v>
      </c>
      <c r="I59" s="48">
        <v>46042</v>
      </c>
      <c r="J59" s="44" t="s">
        <v>129</v>
      </c>
      <c r="K59" s="44" t="s">
        <v>99</v>
      </c>
      <c r="L59" s="50" t="s">
        <v>101</v>
      </c>
      <c r="M59" s="50" t="s">
        <v>400</v>
      </c>
      <c r="N59" s="50"/>
      <c r="O59" s="49"/>
      <c r="P59" s="50" t="str">
        <f t="shared" si="0"/>
        <v>GERİ ÇEKİLDİ</v>
      </c>
      <c r="R59" s="51" t="str">
        <f t="shared" si="1"/>
        <v/>
      </c>
      <c r="T59" s="41"/>
      <c r="U59" s="29">
        <f>IF($C59&lt;&gt;"",COUNTIF($C$2:C59,C59),"")</f>
        <v>1</v>
      </c>
      <c r="V59" s="29" t="str">
        <f t="shared" si="2"/>
        <v>Prof. Dr. Salih Kutay DEMİRKAN§1</v>
      </c>
      <c r="W59" s="29">
        <f>IF(U59=1,COUNTIF($U$2:U59,1),"")</f>
        <v>50</v>
      </c>
      <c r="X59" s="29">
        <f t="shared" si="3"/>
        <v>300</v>
      </c>
      <c r="Y59" s="29">
        <f>IF(AND(LEFT($B59,7)="SBA 26/",$D59&lt;&gt;"",$F59&lt;&gt;""),COUNTIFS($D$2:$D59,$D59,$B$2:$B59,"SBA 26/*",$F$2:$F59,"&lt;&gt;"),"")</f>
        <v>1</v>
      </c>
      <c r="Z59" s="29">
        <f>IF(Y59=1,COUNTIF($Y$2:Y59,1),"")</f>
        <v>33</v>
      </c>
      <c r="AA59" s="29">
        <f>IF(AND(LEFT($B59,7)="SBA 26/",$C59&lt;&gt;"",$F59&lt;&gt;""),COUNTIFS($C$2:$C59,$C59,$B$2:$B59,"SBA 26/*",$F$2:$F59,"&lt;&gt;"),"")</f>
        <v>1</v>
      </c>
      <c r="AB59" s="29">
        <f>IF(AA59=1,COUNTIF($AA$2:AA59,1),"")</f>
        <v>50</v>
      </c>
    </row>
    <row r="60" spans="1:28" ht="78.75" customHeight="1" x14ac:dyDescent="0.2">
      <c r="A60" s="43" t="s">
        <v>401</v>
      </c>
      <c r="B60" s="43" t="s">
        <v>402</v>
      </c>
      <c r="C60" s="44" t="s">
        <v>403</v>
      </c>
      <c r="D60" s="44" t="s">
        <v>404</v>
      </c>
      <c r="E60" s="45" t="s">
        <v>405</v>
      </c>
      <c r="F60" s="45" t="s">
        <v>406</v>
      </c>
      <c r="G60" s="46" t="s">
        <v>38</v>
      </c>
      <c r="H60" s="48">
        <v>46024</v>
      </c>
      <c r="I60" s="48">
        <v>46042</v>
      </c>
      <c r="J60" s="44" t="s">
        <v>76</v>
      </c>
      <c r="K60" s="44" t="s">
        <v>108</v>
      </c>
      <c r="L60" s="50" t="s">
        <v>101</v>
      </c>
      <c r="M60" s="50" t="s">
        <v>400</v>
      </c>
      <c r="N60" s="50"/>
      <c r="O60" s="49"/>
      <c r="P60" s="50" t="str">
        <f t="shared" si="0"/>
        <v>GERİ ÇEKİLDİ</v>
      </c>
      <c r="R60" s="51" t="str">
        <f t="shared" si="1"/>
        <v/>
      </c>
      <c r="T60" s="41"/>
      <c r="U60" s="29">
        <f>IF($C60&lt;&gt;"",COUNTIF($C$2:C60,C60),"")</f>
        <v>1</v>
      </c>
      <c r="V60" s="29" t="str">
        <f t="shared" si="2"/>
        <v>Prof. Dr. Hasan Serkan DOĞAN§1</v>
      </c>
      <c r="W60" s="29">
        <f>IF(U60=1,COUNTIF($U$2:U60,1),"")</f>
        <v>51</v>
      </c>
      <c r="X60" s="29">
        <f t="shared" si="3"/>
        <v>240</v>
      </c>
      <c r="Y60" s="29">
        <f>IF(AND(LEFT($B60,7)="SBA 26/",$D60&lt;&gt;"",$F60&lt;&gt;""),COUNTIFS($D$2:$D60,$D60,$B$2:$B60,"SBA 26/*",$F$2:$F60,"&lt;&gt;"),"")</f>
        <v>1</v>
      </c>
      <c r="Z60" s="29">
        <f>IF(Y60=1,COUNTIF($Y$2:Y60,1),"")</f>
        <v>34</v>
      </c>
      <c r="AA60" s="29">
        <f>IF(AND(LEFT($B60,7)="SBA 26/",$C60&lt;&gt;"",$F60&lt;&gt;""),COUNTIFS($C$2:$C60,$C60,$B$2:$B60,"SBA 26/*",$F$2:$F60,"&lt;&gt;"),"")</f>
        <v>1</v>
      </c>
      <c r="AB60" s="29">
        <f>IF(AA60=1,COUNTIF($AA$2:AA60,1),"")</f>
        <v>51</v>
      </c>
    </row>
    <row r="61" spans="1:28" ht="126" customHeight="1" x14ac:dyDescent="0.2">
      <c r="A61" s="43" t="s">
        <v>407</v>
      </c>
      <c r="B61" s="43" t="s">
        <v>408</v>
      </c>
      <c r="C61" s="44" t="s">
        <v>379</v>
      </c>
      <c r="D61" s="44" t="s">
        <v>222</v>
      </c>
      <c r="E61" s="45" t="s">
        <v>409</v>
      </c>
      <c r="F61" s="45" t="s">
        <v>410</v>
      </c>
      <c r="G61" s="46" t="s">
        <v>40</v>
      </c>
      <c r="H61" s="48">
        <v>46024</v>
      </c>
      <c r="I61" s="48">
        <v>46042</v>
      </c>
      <c r="J61" s="44" t="s">
        <v>109</v>
      </c>
      <c r="K61" s="44" t="s">
        <v>76</v>
      </c>
      <c r="L61" s="50" t="s">
        <v>101</v>
      </c>
      <c r="M61" s="50" t="s">
        <v>77</v>
      </c>
      <c r="N61" s="50"/>
      <c r="O61" s="49"/>
      <c r="P61" s="50" t="str">
        <f t="shared" si="0"/>
        <v>ONAY</v>
      </c>
      <c r="Q61" s="28" t="s">
        <v>109</v>
      </c>
      <c r="R61" s="51" t="str">
        <f t="shared" si="1"/>
        <v/>
      </c>
      <c r="T61" s="41"/>
      <c r="U61" s="29">
        <f>IF($C61&lt;&gt;"",COUNTIF($C$2:C61,C61),"")</f>
        <v>2</v>
      </c>
      <c r="V61" s="29" t="str">
        <f t="shared" si="2"/>
        <v>Prof. Dr. Deniz ÇAĞDAŞ AYVAZ§2</v>
      </c>
      <c r="W61" s="29" t="str">
        <f>IF(U61=1,COUNTIF($U$2:U61,1),"")</f>
        <v/>
      </c>
      <c r="X61" s="29" t="str">
        <f t="shared" si="3"/>
        <v/>
      </c>
      <c r="Y61" s="29">
        <f>IF(AND(LEFT($B61,7)="SBA 26/",$D61&lt;&gt;"",$F61&lt;&gt;""),COUNTIFS($D$2:$D61,$D61,$B$2:$B61,"SBA 26/*",$F$2:$F61,"&lt;&gt;"),"")</f>
        <v>6</v>
      </c>
      <c r="Z61" s="29" t="str">
        <f>IF(Y61=1,COUNTIF($Y$2:Y61,1),"")</f>
        <v/>
      </c>
      <c r="AA61" s="29">
        <f>IF(AND(LEFT($B61,7)="SBA 26/",$C61&lt;&gt;"",$F61&lt;&gt;""),COUNTIFS($C$2:$C61,$C61,$B$2:$B61,"SBA 26/*",$F$2:$F61,"&lt;&gt;"),"")</f>
        <v>2</v>
      </c>
      <c r="AB61" s="29" t="str">
        <f>IF(AA61=1,COUNTIF($AA$2:AA61,1),"")</f>
        <v/>
      </c>
    </row>
    <row r="62" spans="1:28" ht="63" customHeight="1" x14ac:dyDescent="0.2">
      <c r="A62" s="43" t="s">
        <v>411</v>
      </c>
      <c r="B62" s="43" t="s">
        <v>412</v>
      </c>
      <c r="C62" s="44" t="s">
        <v>413</v>
      </c>
      <c r="D62" s="44" t="s">
        <v>414</v>
      </c>
      <c r="E62" s="45" t="s">
        <v>415</v>
      </c>
      <c r="F62" s="45" t="s">
        <v>416</v>
      </c>
      <c r="G62" s="46" t="s">
        <v>38</v>
      </c>
      <c r="H62" s="48">
        <v>46024</v>
      </c>
      <c r="I62" s="48">
        <v>46042</v>
      </c>
      <c r="J62" s="44" t="s">
        <v>123</v>
      </c>
      <c r="K62" s="44" t="s">
        <v>100</v>
      </c>
      <c r="L62" s="50" t="s">
        <v>206</v>
      </c>
      <c r="M62" s="50" t="s">
        <v>101</v>
      </c>
      <c r="N62" s="50"/>
      <c r="O62" s="49"/>
      <c r="P62" s="50" t="str">
        <f t="shared" si="0"/>
        <v>DÜZELTME</v>
      </c>
      <c r="R62" s="51" t="str">
        <f t="shared" si="1"/>
        <v/>
      </c>
      <c r="T62" s="41"/>
      <c r="U62" s="29">
        <f>IF($C62&lt;&gt;"",COUNTIF($C$2:C62,C62),"")</f>
        <v>1</v>
      </c>
      <c r="V62" s="29" t="str">
        <f t="shared" si="2"/>
        <v>Prof. Dr. Kıvanç AKÇA§1</v>
      </c>
      <c r="W62" s="29">
        <f>IF(U62=1,COUNTIF($U$2:U62,1),"")</f>
        <v>52</v>
      </c>
      <c r="X62" s="29">
        <f t="shared" si="3"/>
        <v>251</v>
      </c>
      <c r="Y62" s="29">
        <f>IF(AND(LEFT($B62,7)="SBA 26/",$D62&lt;&gt;"",$F62&lt;&gt;""),COUNTIFS($D$2:$D62,$D62,$B$2:$B62,"SBA 26/*",$F$2:$F62,"&lt;&gt;"),"")</f>
        <v>1</v>
      </c>
      <c r="Z62" s="29">
        <f>IF(Y62=1,COUNTIF($Y$2:Y62,1),"")</f>
        <v>35</v>
      </c>
      <c r="AA62" s="29">
        <f>IF(AND(LEFT($B62,7)="SBA 26/",$C62&lt;&gt;"",$F62&lt;&gt;""),COUNTIFS($C$2:$C62,$C62,$B$2:$B62,"SBA 26/*",$F$2:$F62,"&lt;&gt;"),"")</f>
        <v>1</v>
      </c>
      <c r="AB62" s="29">
        <f>IF(AA62=1,COUNTIF($AA$2:AA62,1),"")</f>
        <v>52</v>
      </c>
    </row>
    <row r="63" spans="1:28" ht="63.75" customHeight="1" x14ac:dyDescent="0.2">
      <c r="A63" s="43" t="s">
        <v>417</v>
      </c>
      <c r="B63" s="43" t="s">
        <v>418</v>
      </c>
      <c r="C63" s="44" t="s">
        <v>419</v>
      </c>
      <c r="D63" s="44" t="s">
        <v>397</v>
      </c>
      <c r="E63" s="45" t="s">
        <v>420</v>
      </c>
      <c r="F63" s="45" t="s">
        <v>421</v>
      </c>
      <c r="G63" s="46" t="s">
        <v>38</v>
      </c>
      <c r="H63" s="48">
        <v>46024</v>
      </c>
      <c r="I63" s="48">
        <v>46042</v>
      </c>
      <c r="J63" s="44" t="s">
        <v>116</v>
      </c>
      <c r="K63" s="44" t="s">
        <v>100</v>
      </c>
      <c r="L63" s="50" t="s">
        <v>77</v>
      </c>
      <c r="M63" s="50"/>
      <c r="N63" s="50"/>
      <c r="O63" s="49"/>
      <c r="P63" s="50" t="str">
        <f t="shared" si="0"/>
        <v>ONAY</v>
      </c>
      <c r="R63" s="51" t="str">
        <f t="shared" si="1"/>
        <v/>
      </c>
      <c r="T63" s="41"/>
      <c r="U63" s="29">
        <f>IF($C63&lt;&gt;"",COUNTIF($C$2:C63,C63),"")</f>
        <v>1</v>
      </c>
      <c r="V63" s="29" t="str">
        <f t="shared" si="2"/>
        <v>Dr. Öğr. Üyesi Burcu KELLECİ ÇAKIR§1</v>
      </c>
      <c r="W63" s="29">
        <f>IF(U63=1,COUNTIF($U$2:U63,1),"")</f>
        <v>53</v>
      </c>
      <c r="X63" s="29">
        <f t="shared" si="3"/>
        <v>121</v>
      </c>
      <c r="Y63" s="29">
        <f>IF(AND(LEFT($B63,7)="SBA 26/",$D63&lt;&gt;"",$F63&lt;&gt;""),COUNTIFS($D$2:$D63,$D63,$B$2:$B63,"SBA 26/*",$F$2:$F63,"&lt;&gt;"),"")</f>
        <v>2</v>
      </c>
      <c r="Z63" s="29" t="str">
        <f>IF(Y63=1,COUNTIF($Y$2:Y63,1),"")</f>
        <v/>
      </c>
      <c r="AA63" s="29">
        <f>IF(AND(LEFT($B63,7)="SBA 26/",$C63&lt;&gt;"",$F63&lt;&gt;""),COUNTIFS($C$2:$C63,$C63,$B$2:$B63,"SBA 26/*",$F$2:$F63,"&lt;&gt;"),"")</f>
        <v>1</v>
      </c>
      <c r="AB63" s="29">
        <f>IF(AA63=1,COUNTIF($AA$2:AA63,1),"")</f>
        <v>53</v>
      </c>
    </row>
    <row r="64" spans="1:28" ht="78.75" customHeight="1" x14ac:dyDescent="0.2">
      <c r="A64" s="43" t="s">
        <v>422</v>
      </c>
      <c r="B64" s="43" t="s">
        <v>423</v>
      </c>
      <c r="C64" s="44" t="s">
        <v>424</v>
      </c>
      <c r="D64" s="44" t="s">
        <v>364</v>
      </c>
      <c r="E64" s="45" t="s">
        <v>425</v>
      </c>
      <c r="F64" s="45" t="s">
        <v>426</v>
      </c>
      <c r="G64" s="46" t="s">
        <v>38</v>
      </c>
      <c r="H64" s="48">
        <v>46024</v>
      </c>
      <c r="I64" s="48">
        <v>46042</v>
      </c>
      <c r="J64" s="44" t="s">
        <v>109</v>
      </c>
      <c r="K64" s="44" t="s">
        <v>84</v>
      </c>
      <c r="L64" s="50" t="s">
        <v>77</v>
      </c>
      <c r="M64" s="50"/>
      <c r="N64" s="50"/>
      <c r="O64" s="49"/>
      <c r="P64" s="50" t="str">
        <f t="shared" si="0"/>
        <v>ONAY</v>
      </c>
      <c r="R64" s="51" t="str">
        <f t="shared" si="1"/>
        <v/>
      </c>
      <c r="T64" s="41"/>
      <c r="U64" s="29">
        <f>IF($C64&lt;&gt;"",COUNTIF($C$2:C64,C64),"")</f>
        <v>1</v>
      </c>
      <c r="V64" s="29" t="str">
        <f t="shared" si="2"/>
        <v>Prof. Dr. Fatma Gökçem YILDIZ SARIKAYA§1</v>
      </c>
      <c r="W64" s="29">
        <f>IF(U64=1,COUNTIF($U$2:U64,1),"")</f>
        <v>54</v>
      </c>
      <c r="X64" s="29">
        <f t="shared" si="3"/>
        <v>224</v>
      </c>
      <c r="Y64" s="29">
        <f>IF(AND(LEFT($B64,7)="SBA 26/",$D64&lt;&gt;"",$F64&lt;&gt;""),COUNTIFS($D$2:$D64,$D64,$B$2:$B64,"SBA 26/*",$F$2:$F64,"&lt;&gt;"),"")</f>
        <v>2</v>
      </c>
      <c r="Z64" s="29" t="str">
        <f>IF(Y64=1,COUNTIF($Y$2:Y64,1),"")</f>
        <v/>
      </c>
      <c r="AA64" s="29">
        <f>IF(AND(LEFT($B64,7)="SBA 26/",$C64&lt;&gt;"",$F64&lt;&gt;""),COUNTIFS($C$2:$C64,$C64,$B$2:$B64,"SBA 26/*",$F$2:$F64,"&lt;&gt;"),"")</f>
        <v>1</v>
      </c>
      <c r="AB64" s="29">
        <f>IF(AA64=1,COUNTIF($AA$2:AA64,1),"")</f>
        <v>54</v>
      </c>
    </row>
    <row r="65" spans="1:28" ht="47.25" customHeight="1" x14ac:dyDescent="0.2">
      <c r="A65" s="43" t="s">
        <v>427</v>
      </c>
      <c r="B65" s="43" t="s">
        <v>428</v>
      </c>
      <c r="C65" s="44" t="s">
        <v>429</v>
      </c>
      <c r="D65" s="44" t="s">
        <v>430</v>
      </c>
      <c r="E65" s="45" t="s">
        <v>431</v>
      </c>
      <c r="F65" s="45" t="s">
        <v>432</v>
      </c>
      <c r="G65" s="46" t="s">
        <v>39</v>
      </c>
      <c r="H65" s="48">
        <v>46024</v>
      </c>
      <c r="I65" s="48">
        <v>46042</v>
      </c>
      <c r="J65" s="44" t="s">
        <v>108</v>
      </c>
      <c r="K65" s="44" t="s">
        <v>129</v>
      </c>
      <c r="L65" s="50" t="s">
        <v>101</v>
      </c>
      <c r="M65" s="50" t="s">
        <v>101</v>
      </c>
      <c r="N65" s="50" t="s">
        <v>77</v>
      </c>
      <c r="O65" s="49"/>
      <c r="P65" s="50" t="str">
        <f t="shared" si="0"/>
        <v>ONAY</v>
      </c>
      <c r="Q65" s="28" t="s">
        <v>75</v>
      </c>
      <c r="R65" s="51" t="str">
        <f t="shared" si="1"/>
        <v/>
      </c>
      <c r="T65" s="41"/>
      <c r="U65" s="29">
        <f>IF($C65&lt;&gt;"",COUNTIF($C$2:C65,C65),"")</f>
        <v>1</v>
      </c>
      <c r="V65" s="29" t="str">
        <f t="shared" si="2"/>
        <v>Prof. Dr. Cengiz KILIÇ§1</v>
      </c>
      <c r="W65" s="29">
        <f>IF(U65=1,COUNTIF($U$2:U65,1),"")</f>
        <v>55</v>
      </c>
      <c r="X65" s="29">
        <f t="shared" si="3"/>
        <v>206</v>
      </c>
      <c r="Y65" s="29">
        <f>IF(AND(LEFT($B65,7)="SBA 26/",$D65&lt;&gt;"",$F65&lt;&gt;""),COUNTIFS($D$2:$D65,$D65,$B$2:$B65,"SBA 26/*",$F$2:$F65,"&lt;&gt;"),"")</f>
        <v>1</v>
      </c>
      <c r="Z65" s="29">
        <f>IF(Y65=1,COUNTIF($Y$2:Y65,1),"")</f>
        <v>36</v>
      </c>
      <c r="AA65" s="29">
        <f>IF(AND(LEFT($B65,7)="SBA 26/",$C65&lt;&gt;"",$F65&lt;&gt;""),COUNTIFS($C$2:$C65,$C65,$B$2:$B65,"SBA 26/*",$F$2:$F65,"&lt;&gt;"),"")</f>
        <v>1</v>
      </c>
      <c r="AB65" s="29">
        <f>IF(AA65=1,COUNTIF($AA$2:AA65,1),"")</f>
        <v>55</v>
      </c>
    </row>
    <row r="66" spans="1:28" ht="63" customHeight="1" x14ac:dyDescent="0.2">
      <c r="A66" s="43" t="s">
        <v>433</v>
      </c>
      <c r="B66" s="43" t="s">
        <v>434</v>
      </c>
      <c r="C66" s="44" t="s">
        <v>429</v>
      </c>
      <c r="D66" s="44" t="s">
        <v>430</v>
      </c>
      <c r="E66" s="45" t="s">
        <v>435</v>
      </c>
      <c r="F66" s="45" t="s">
        <v>436</v>
      </c>
      <c r="G66" s="46" t="s">
        <v>39</v>
      </c>
      <c r="H66" s="48">
        <v>46024</v>
      </c>
      <c r="I66" s="48">
        <v>46042</v>
      </c>
      <c r="J66" s="44" t="s">
        <v>108</v>
      </c>
      <c r="K66" s="44" t="s">
        <v>129</v>
      </c>
      <c r="L66" s="50" t="s">
        <v>101</v>
      </c>
      <c r="M66" s="50" t="s">
        <v>400</v>
      </c>
      <c r="N66" s="50"/>
      <c r="O66" s="49"/>
      <c r="P66" s="50" t="str">
        <f t="shared" ref="P66:P129" si="4">IF(O66&lt;&gt;"",O66, IF(N66&lt;&gt;"",N66, IF(M66&lt;&gt;"",M66, L66)))</f>
        <v>GERİ ÇEKİLDİ</v>
      </c>
      <c r="R66" s="51" t="str">
        <f t="shared" ref="R66:R129" si="5">IF(AND($I66&lt;&gt;"",$I66&gt;=DATE(2026,6,23),COUNTIFS($C:$C,$C66,$I:$I,$I66)&gt;2),"⚠ "&amp;COUNTIFS($C:$C,$C66,$I:$I,$I66)&amp;" BAŞVURU!","")</f>
        <v/>
      </c>
      <c r="T66" s="41"/>
      <c r="U66" s="29">
        <f>IF($C66&lt;&gt;"",COUNTIF($C$2:C66,C66),"")</f>
        <v>2</v>
      </c>
      <c r="V66" s="29" t="str">
        <f t="shared" ref="V66:V129" si="6">IF($C66&lt;&gt;"",C66&amp;"§"&amp;U66,"")</f>
        <v>Prof. Dr. Cengiz KILIÇ§2</v>
      </c>
      <c r="W66" s="29" t="str">
        <f>IF(U66=1,COUNTIF($U$2:U66,1),"")</f>
        <v/>
      </c>
      <c r="X66" s="29" t="str">
        <f t="shared" ref="X66:X129" si="7">IF(U66=1,SUMPRODUCT(($U$2:$U$1799=1)*($C$2:$C$1799&lt;C66))+1,"")</f>
        <v/>
      </c>
      <c r="Y66" s="29">
        <f>IF(AND(LEFT($B66,7)="SBA 26/",$D66&lt;&gt;"",$F66&lt;&gt;""),COUNTIFS($D$2:$D66,$D66,$B$2:$B66,"SBA 26/*",$F$2:$F66,"&lt;&gt;"),"")</f>
        <v>2</v>
      </c>
      <c r="Z66" s="29" t="str">
        <f>IF(Y66=1,COUNTIF($Y$2:Y66,1),"")</f>
        <v/>
      </c>
      <c r="AA66" s="29">
        <f>IF(AND(LEFT($B66,7)="SBA 26/",$C66&lt;&gt;"",$F66&lt;&gt;""),COUNTIFS($C$2:$C66,$C66,$B$2:$B66,"SBA 26/*",$F$2:$F66,"&lt;&gt;"),"")</f>
        <v>2</v>
      </c>
      <c r="AB66" s="29" t="str">
        <f>IF(AA66=1,COUNTIF($AA$2:AA66,1),"")</f>
        <v/>
      </c>
    </row>
    <row r="67" spans="1:28" ht="81" customHeight="1" x14ac:dyDescent="0.2">
      <c r="A67" s="43" t="s">
        <v>437</v>
      </c>
      <c r="B67" s="43" t="s">
        <v>438</v>
      </c>
      <c r="C67" s="44" t="s">
        <v>439</v>
      </c>
      <c r="D67" s="44" t="s">
        <v>187</v>
      </c>
      <c r="E67" s="45" t="s">
        <v>440</v>
      </c>
      <c r="F67" s="45" t="s">
        <v>441</v>
      </c>
      <c r="G67" s="46" t="s">
        <v>38</v>
      </c>
      <c r="H67" s="48">
        <v>46027</v>
      </c>
      <c r="I67" s="48">
        <v>46042</v>
      </c>
      <c r="J67" s="44" t="s">
        <v>92</v>
      </c>
      <c r="K67" s="44" t="s">
        <v>109</v>
      </c>
      <c r="L67" s="50" t="s">
        <v>77</v>
      </c>
      <c r="M67" s="50"/>
      <c r="N67" s="50"/>
      <c r="O67" s="49"/>
      <c r="P67" s="50" t="str">
        <f t="shared" si="4"/>
        <v>ONAY</v>
      </c>
      <c r="R67" s="51" t="str">
        <f t="shared" si="5"/>
        <v/>
      </c>
      <c r="T67" s="41"/>
      <c r="U67" s="29">
        <f>IF($C67&lt;&gt;"",COUNTIF($C$2:C67,C67),"")</f>
        <v>1</v>
      </c>
      <c r="V67" s="29" t="str">
        <f t="shared" si="6"/>
        <v>Dr. Öğr. Üyesi Serkan UYSAL§1</v>
      </c>
      <c r="W67" s="29">
        <f>IF(U67=1,COUNTIF($U$2:U67,1),"")</f>
        <v>56</v>
      </c>
      <c r="X67" s="29">
        <f t="shared" si="7"/>
        <v>159</v>
      </c>
      <c r="Y67" s="29">
        <f>IF(AND(LEFT($B67,7)="SBA 26/",$D67&lt;&gt;"",$F67&lt;&gt;""),COUNTIFS($D$2:$D67,$D67,$B$2:$B67,"SBA 26/*",$F$2:$F67,"&lt;&gt;"),"")</f>
        <v>2</v>
      </c>
      <c r="Z67" s="29" t="str">
        <f>IF(Y67=1,COUNTIF($Y$2:Y67,1),"")</f>
        <v/>
      </c>
      <c r="AA67" s="29">
        <f>IF(AND(LEFT($B67,7)="SBA 26/",$C67&lt;&gt;"",$F67&lt;&gt;""),COUNTIFS($C$2:$C67,$C67,$B$2:$B67,"SBA 26/*",$F$2:$F67,"&lt;&gt;"),"")</f>
        <v>1</v>
      </c>
      <c r="AB67" s="29">
        <f>IF(AA67=1,COUNTIF($AA$2:AA67,1),"")</f>
        <v>56</v>
      </c>
    </row>
    <row r="68" spans="1:28" ht="80.25" customHeight="1" x14ac:dyDescent="0.2">
      <c r="A68" s="43" t="s">
        <v>442</v>
      </c>
      <c r="B68" s="43" t="s">
        <v>443</v>
      </c>
      <c r="C68" s="44" t="s">
        <v>444</v>
      </c>
      <c r="D68" s="44" t="s">
        <v>88</v>
      </c>
      <c r="E68" s="45" t="s">
        <v>445</v>
      </c>
      <c r="F68" s="45" t="s">
        <v>446</v>
      </c>
      <c r="G68" s="46" t="s">
        <v>38</v>
      </c>
      <c r="H68" s="48">
        <v>46027</v>
      </c>
      <c r="I68" s="48">
        <v>46042</v>
      </c>
      <c r="J68" s="44" t="s">
        <v>92</v>
      </c>
      <c r="K68" s="44" t="s">
        <v>91</v>
      </c>
      <c r="L68" s="50" t="s">
        <v>101</v>
      </c>
      <c r="M68" s="50" t="s">
        <v>77</v>
      </c>
      <c r="N68" s="50"/>
      <c r="O68" s="49"/>
      <c r="P68" s="50" t="str">
        <f t="shared" si="4"/>
        <v>ONAY</v>
      </c>
      <c r="Q68" s="28" t="s">
        <v>91</v>
      </c>
      <c r="R68" s="51" t="str">
        <f t="shared" si="5"/>
        <v/>
      </c>
      <c r="T68" s="41"/>
      <c r="U68" s="29">
        <f>IF($C68&lt;&gt;"",COUNTIF($C$2:C68,C68),"")</f>
        <v>1</v>
      </c>
      <c r="V68" s="29" t="str">
        <f t="shared" si="6"/>
        <v>Arş. Gör. Dr. Aycan UYSAL§1</v>
      </c>
      <c r="W68" s="29">
        <f>IF(U68=1,COUNTIF($U$2:U68,1),"")</f>
        <v>57</v>
      </c>
      <c r="X68" s="29">
        <f t="shared" si="7"/>
        <v>1</v>
      </c>
      <c r="Y68" s="29">
        <f>IF(AND(LEFT($B68,7)="SBA 26/",$D68&lt;&gt;"",$F68&lt;&gt;""),COUNTIFS($D$2:$D68,$D68,$B$2:$B68,"SBA 26/*",$F$2:$F68,"&lt;&gt;"),"")</f>
        <v>2</v>
      </c>
      <c r="Z68" s="29" t="str">
        <f>IF(Y68=1,COUNTIF($Y$2:Y68,1),"")</f>
        <v/>
      </c>
      <c r="AA68" s="29">
        <f>IF(AND(LEFT($B68,7)="SBA 26/",$C68&lt;&gt;"",$F68&lt;&gt;""),COUNTIFS($C$2:$C68,$C68,$B$2:$B68,"SBA 26/*",$F$2:$F68,"&lt;&gt;"),"")</f>
        <v>1</v>
      </c>
      <c r="AB68" s="29">
        <f>IF(AA68=1,COUNTIF($AA$2:AA68,1),"")</f>
        <v>57</v>
      </c>
    </row>
    <row r="69" spans="1:28" ht="126" customHeight="1" x14ac:dyDescent="0.2">
      <c r="A69" s="43" t="s">
        <v>447</v>
      </c>
      <c r="B69" s="43" t="s">
        <v>448</v>
      </c>
      <c r="C69" s="44" t="s">
        <v>92</v>
      </c>
      <c r="D69" s="44" t="s">
        <v>88</v>
      </c>
      <c r="E69" s="45" t="s">
        <v>449</v>
      </c>
      <c r="F69" s="45" t="s">
        <v>450</v>
      </c>
      <c r="G69" s="46" t="s">
        <v>39</v>
      </c>
      <c r="H69" s="48">
        <v>46027</v>
      </c>
      <c r="I69" s="48">
        <v>46042</v>
      </c>
      <c r="J69" s="44" t="s">
        <v>91</v>
      </c>
      <c r="K69" s="44" t="s">
        <v>76</v>
      </c>
      <c r="L69" s="50" t="s">
        <v>77</v>
      </c>
      <c r="M69" s="50"/>
      <c r="N69" s="50"/>
      <c r="O69" s="49"/>
      <c r="P69" s="50" t="str">
        <f t="shared" si="4"/>
        <v>ONAY</v>
      </c>
      <c r="R69" s="51" t="str">
        <f t="shared" si="5"/>
        <v/>
      </c>
      <c r="T69" s="41"/>
      <c r="U69" s="29">
        <f>IF($C69&lt;&gt;"",COUNTIF($C$2:C69,C69),"")</f>
        <v>1</v>
      </c>
      <c r="V69" s="29" t="str">
        <f t="shared" si="6"/>
        <v>Doç. Dr. Ekim GÜMELER§1</v>
      </c>
      <c r="W69" s="29">
        <f>IF(U69=1,COUNTIF($U$2:U69,1),"")</f>
        <v>58</v>
      </c>
      <c r="X69" s="29">
        <f t="shared" si="7"/>
        <v>41</v>
      </c>
      <c r="Y69" s="29">
        <f>IF(AND(LEFT($B69,7)="SBA 26/",$D69&lt;&gt;"",$F69&lt;&gt;""),COUNTIFS($D$2:$D69,$D69,$B$2:$B69,"SBA 26/*",$F$2:$F69,"&lt;&gt;"),"")</f>
        <v>3</v>
      </c>
      <c r="Z69" s="29" t="str">
        <f>IF(Y69=1,COUNTIF($Y$2:Y69,1),"")</f>
        <v/>
      </c>
      <c r="AA69" s="29">
        <f>IF(AND(LEFT($B69,7)="SBA 26/",$C69&lt;&gt;"",$F69&lt;&gt;""),COUNTIFS($C$2:$C69,$C69,$B$2:$B69,"SBA 26/*",$F$2:$F69,"&lt;&gt;"),"")</f>
        <v>1</v>
      </c>
      <c r="AB69" s="29">
        <f>IF(AA69=1,COUNTIF($AA$2:AA69,1),"")</f>
        <v>58</v>
      </c>
    </row>
    <row r="70" spans="1:28" ht="63" customHeight="1" x14ac:dyDescent="0.2">
      <c r="A70" s="43" t="s">
        <v>451</v>
      </c>
      <c r="B70" s="43" t="s">
        <v>452</v>
      </c>
      <c r="C70" s="44" t="s">
        <v>419</v>
      </c>
      <c r="D70" s="44" t="s">
        <v>397</v>
      </c>
      <c r="E70" s="45" t="s">
        <v>453</v>
      </c>
      <c r="F70" s="45" t="s">
        <v>454</v>
      </c>
      <c r="G70" s="46" t="s">
        <v>38</v>
      </c>
      <c r="H70" s="48">
        <v>46027</v>
      </c>
      <c r="I70" s="48">
        <v>46042</v>
      </c>
      <c r="J70" s="44" t="s">
        <v>84</v>
      </c>
      <c r="K70" s="44" t="s">
        <v>108</v>
      </c>
      <c r="L70" s="50" t="s">
        <v>77</v>
      </c>
      <c r="M70" s="50"/>
      <c r="N70" s="50"/>
      <c r="O70" s="49"/>
      <c r="P70" s="50" t="str">
        <f t="shared" si="4"/>
        <v>ONAY</v>
      </c>
      <c r="R70" s="51" t="str">
        <f t="shared" si="5"/>
        <v/>
      </c>
      <c r="T70" s="41"/>
      <c r="U70" s="29">
        <f>IF($C70&lt;&gt;"",COUNTIF($C$2:C70,C70),"")</f>
        <v>2</v>
      </c>
      <c r="V70" s="29" t="str">
        <f t="shared" si="6"/>
        <v>Dr. Öğr. Üyesi Burcu KELLECİ ÇAKIR§2</v>
      </c>
      <c r="W70" s="29" t="str">
        <f>IF(U70=1,COUNTIF($U$2:U70,1),"")</f>
        <v/>
      </c>
      <c r="X70" s="29" t="str">
        <f t="shared" si="7"/>
        <v/>
      </c>
      <c r="Y70" s="29">
        <f>IF(AND(LEFT($B70,7)="SBA 26/",$D70&lt;&gt;"",$F70&lt;&gt;""),COUNTIFS($D$2:$D70,$D70,$B$2:$B70,"SBA 26/*",$F$2:$F70,"&lt;&gt;"),"")</f>
        <v>3</v>
      </c>
      <c r="Z70" s="29" t="str">
        <f>IF(Y70=1,COUNTIF($Y$2:Y70,1),"")</f>
        <v/>
      </c>
      <c r="AA70" s="29">
        <f>IF(AND(LEFT($B70,7)="SBA 26/",$C70&lt;&gt;"",$F70&lt;&gt;""),COUNTIFS($C$2:$C70,$C70,$B$2:$B70,"SBA 26/*",$F$2:$F70,"&lt;&gt;"),"")</f>
        <v>2</v>
      </c>
      <c r="AB70" s="29" t="str">
        <f>IF(AA70=1,COUNTIF($AA$2:AA70,1),"")</f>
        <v/>
      </c>
    </row>
    <row r="71" spans="1:28" ht="63" customHeight="1" x14ac:dyDescent="0.2">
      <c r="A71" s="43" t="s">
        <v>455</v>
      </c>
      <c r="B71" s="43" t="s">
        <v>456</v>
      </c>
      <c r="C71" s="44" t="s">
        <v>457</v>
      </c>
      <c r="D71" s="44" t="s">
        <v>280</v>
      </c>
      <c r="E71" s="45" t="s">
        <v>458</v>
      </c>
      <c r="F71" s="45" t="s">
        <v>459</v>
      </c>
      <c r="G71" s="46" t="s">
        <v>38</v>
      </c>
      <c r="H71" s="48">
        <v>46027</v>
      </c>
      <c r="I71" s="48">
        <v>46042</v>
      </c>
      <c r="J71" s="44" t="s">
        <v>92</v>
      </c>
      <c r="K71" s="44" t="s">
        <v>108</v>
      </c>
      <c r="L71" s="50" t="s">
        <v>77</v>
      </c>
      <c r="M71" s="50"/>
      <c r="N71" s="50"/>
      <c r="O71" s="49"/>
      <c r="P71" s="50" t="str">
        <f t="shared" si="4"/>
        <v>ONAY</v>
      </c>
      <c r="R71" s="51" t="str">
        <f t="shared" si="5"/>
        <v/>
      </c>
      <c r="T71" s="41"/>
      <c r="U71" s="29">
        <f>IF($C71&lt;&gt;"",COUNTIF($C$2:C71,C71),"")</f>
        <v>1</v>
      </c>
      <c r="V71" s="29" t="str">
        <f t="shared" si="6"/>
        <v>Prof. Dr. Ömer UĞUR§1</v>
      </c>
      <c r="W71" s="29">
        <f>IF(U71=1,COUNTIF($U$2:U71,1),"")</f>
        <v>59</v>
      </c>
      <c r="X71" s="29">
        <f t="shared" si="7"/>
        <v>285</v>
      </c>
      <c r="Y71" s="29">
        <f>IF(AND(LEFT($B71,7)="SBA 26/",$D71&lt;&gt;"",$F71&lt;&gt;""),COUNTIFS($D$2:$D71,$D71,$B$2:$B71,"SBA 26/*",$F$2:$F71,"&lt;&gt;"),"")</f>
        <v>2</v>
      </c>
      <c r="Z71" s="29" t="str">
        <f>IF(Y71=1,COUNTIF($Y$2:Y71,1),"")</f>
        <v/>
      </c>
      <c r="AA71" s="29">
        <f>IF(AND(LEFT($B71,7)="SBA 26/",$C71&lt;&gt;"",$F71&lt;&gt;""),COUNTIFS($C$2:$C71,$C71,$B$2:$B71,"SBA 26/*",$F$2:$F71,"&lt;&gt;"),"")</f>
        <v>1</v>
      </c>
      <c r="AB71" s="29">
        <f>IF(AA71=1,COUNTIF($AA$2:AA71,1),"")</f>
        <v>59</v>
      </c>
    </row>
    <row r="72" spans="1:28" ht="78.75" customHeight="1" x14ac:dyDescent="0.2">
      <c r="A72" s="43" t="s">
        <v>460</v>
      </c>
      <c r="B72" s="43" t="s">
        <v>461</v>
      </c>
      <c r="C72" s="44" t="s">
        <v>462</v>
      </c>
      <c r="D72" s="44" t="s">
        <v>463</v>
      </c>
      <c r="E72" s="45" t="s">
        <v>464</v>
      </c>
      <c r="F72" s="45" t="s">
        <v>465</v>
      </c>
      <c r="G72" s="46" t="s">
        <v>38</v>
      </c>
      <c r="H72" s="48">
        <v>46029</v>
      </c>
      <c r="I72" s="48">
        <v>46042</v>
      </c>
      <c r="J72" s="44" t="s">
        <v>75</v>
      </c>
      <c r="K72" s="44" t="s">
        <v>91</v>
      </c>
      <c r="L72" s="50" t="s">
        <v>101</v>
      </c>
      <c r="M72" s="50" t="s">
        <v>77</v>
      </c>
      <c r="N72" s="50"/>
      <c r="O72" s="49"/>
      <c r="P72" s="50" t="str">
        <f t="shared" si="4"/>
        <v>ONAY</v>
      </c>
      <c r="Q72" s="28" t="s">
        <v>75</v>
      </c>
      <c r="R72" s="51" t="str">
        <f t="shared" si="5"/>
        <v/>
      </c>
      <c r="T72" s="41"/>
      <c r="U72" s="29">
        <f>IF($C72&lt;&gt;"",COUNTIF($C$2:C72,C72),"")</f>
        <v>1</v>
      </c>
      <c r="V72" s="29" t="str">
        <f t="shared" si="6"/>
        <v>Dr. Natalia RAKİSLOVA§1</v>
      </c>
      <c r="W72" s="29">
        <f>IF(U72=1,COUNTIF($U$2:U72,1),"")</f>
        <v>60</v>
      </c>
      <c r="X72" s="29">
        <f t="shared" si="7"/>
        <v>106</v>
      </c>
      <c r="Y72" s="29">
        <f>IF(AND(LEFT($B72,7)="SBA 26/",$D72&lt;&gt;"",$F72&lt;&gt;""),COUNTIFS($D$2:$D72,$D72,$B$2:$B72,"SBA 26/*",$F$2:$F72,"&lt;&gt;"),"")</f>
        <v>1</v>
      </c>
      <c r="Z72" s="29">
        <f>IF(Y72=1,COUNTIF($Y$2:Y72,1),"")</f>
        <v>37</v>
      </c>
      <c r="AA72" s="29">
        <f>IF(AND(LEFT($B72,7)="SBA 26/",$C72&lt;&gt;"",$F72&lt;&gt;""),COUNTIFS($C$2:$C72,$C72,$B$2:$B72,"SBA 26/*",$F$2:$F72,"&lt;&gt;"),"")</f>
        <v>1</v>
      </c>
      <c r="AB72" s="29">
        <f>IF(AA72=1,COUNTIF($AA$2:AA72,1),"")</f>
        <v>60</v>
      </c>
    </row>
    <row r="73" spans="1:28" ht="63" customHeight="1" x14ac:dyDescent="0.2">
      <c r="A73" s="43" t="s">
        <v>466</v>
      </c>
      <c r="B73" s="43" t="s">
        <v>467</v>
      </c>
      <c r="C73" s="44" t="s">
        <v>468</v>
      </c>
      <c r="D73" s="44" t="s">
        <v>222</v>
      </c>
      <c r="E73" s="45" t="s">
        <v>469</v>
      </c>
      <c r="F73" s="45" t="s">
        <v>470</v>
      </c>
      <c r="G73" s="46" t="s">
        <v>38</v>
      </c>
      <c r="H73" s="48">
        <v>46029</v>
      </c>
      <c r="I73" s="48">
        <v>46042</v>
      </c>
      <c r="J73" s="44" t="s">
        <v>109</v>
      </c>
      <c r="K73" s="44" t="s">
        <v>123</v>
      </c>
      <c r="L73" s="50" t="s">
        <v>101</v>
      </c>
      <c r="M73" s="50"/>
      <c r="N73" s="50"/>
      <c r="O73" s="49"/>
      <c r="P73" s="50" t="str">
        <f t="shared" si="4"/>
        <v>DÜZELTME</v>
      </c>
      <c r="R73" s="51" t="str">
        <f t="shared" si="5"/>
        <v/>
      </c>
      <c r="T73" s="41"/>
      <c r="U73" s="29">
        <f>IF($C73&lt;&gt;"",COUNTIF($C$2:C73,C73),"")</f>
        <v>1</v>
      </c>
      <c r="V73" s="29" t="str">
        <f t="shared" si="6"/>
        <v>Doç. Dr. İlker ERTUĞRUL§1</v>
      </c>
      <c r="W73" s="29">
        <f>IF(U73=1,COUNTIF($U$2:U73,1),"")</f>
        <v>61</v>
      </c>
      <c r="X73" s="29">
        <f t="shared" si="7"/>
        <v>67</v>
      </c>
      <c r="Y73" s="29">
        <f>IF(AND(LEFT($B73,7)="SBA 26/",$D73&lt;&gt;"",$F73&lt;&gt;""),COUNTIFS($D$2:$D73,$D73,$B$2:$B73,"SBA 26/*",$F$2:$F73,"&lt;&gt;"),"")</f>
        <v>7</v>
      </c>
      <c r="Z73" s="29" t="str">
        <f>IF(Y73=1,COUNTIF($Y$2:Y73,1),"")</f>
        <v/>
      </c>
      <c r="AA73" s="29">
        <f>IF(AND(LEFT($B73,7)="SBA 26/",$C73&lt;&gt;"",$F73&lt;&gt;""),COUNTIFS($C$2:$C73,$C73,$B$2:$B73,"SBA 26/*",$F$2:$F73,"&lt;&gt;"),"")</f>
        <v>1</v>
      </c>
      <c r="AB73" s="29">
        <f>IF(AA73=1,COUNTIF($AA$2:AA73,1),"")</f>
        <v>61</v>
      </c>
    </row>
    <row r="74" spans="1:28" ht="78.75" customHeight="1" x14ac:dyDescent="0.2">
      <c r="A74" s="43" t="s">
        <v>471</v>
      </c>
      <c r="B74" s="43" t="s">
        <v>472</v>
      </c>
      <c r="C74" s="44" t="s">
        <v>396</v>
      </c>
      <c r="D74" s="44" t="s">
        <v>397</v>
      </c>
      <c r="E74" s="45" t="s">
        <v>473</v>
      </c>
      <c r="F74" s="45" t="s">
        <v>474</v>
      </c>
      <c r="G74" s="46" t="s">
        <v>38</v>
      </c>
      <c r="H74" s="48">
        <v>46029</v>
      </c>
      <c r="I74" s="48">
        <v>46042</v>
      </c>
      <c r="J74" s="44" t="s">
        <v>84</v>
      </c>
      <c r="K74" s="44" t="s">
        <v>116</v>
      </c>
      <c r="L74" s="50" t="s">
        <v>101</v>
      </c>
      <c r="M74" s="50" t="s">
        <v>206</v>
      </c>
      <c r="N74" s="50" t="s">
        <v>77</v>
      </c>
      <c r="O74" s="49"/>
      <c r="P74" s="50" t="str">
        <f t="shared" si="4"/>
        <v>ONAY</v>
      </c>
      <c r="R74" s="51" t="str">
        <f t="shared" si="5"/>
        <v/>
      </c>
      <c r="T74" s="41"/>
      <c r="U74" s="29">
        <f>IF($C74&lt;&gt;"",COUNTIF($C$2:C74,C74),"")</f>
        <v>2</v>
      </c>
      <c r="V74" s="29" t="str">
        <f t="shared" si="6"/>
        <v>Prof. Dr. Salih Kutay DEMİRKAN§2</v>
      </c>
      <c r="W74" s="29" t="str">
        <f>IF(U74=1,COUNTIF($U$2:U74,1),"")</f>
        <v/>
      </c>
      <c r="X74" s="29" t="str">
        <f t="shared" si="7"/>
        <v/>
      </c>
      <c r="Y74" s="29">
        <f>IF(AND(LEFT($B74,7)="SBA 26/",$D74&lt;&gt;"",$F74&lt;&gt;""),COUNTIFS($D$2:$D74,$D74,$B$2:$B74,"SBA 26/*",$F$2:$F74,"&lt;&gt;"),"")</f>
        <v>4</v>
      </c>
      <c r="Z74" s="29" t="str">
        <f>IF(Y74=1,COUNTIF($Y$2:Y74,1),"")</f>
        <v/>
      </c>
      <c r="AA74" s="29">
        <f>IF(AND(LEFT($B74,7)="SBA 26/",$C74&lt;&gt;"",$F74&lt;&gt;""),COUNTIFS($C$2:$C74,$C74,$B$2:$B74,"SBA 26/*",$F$2:$F74,"&lt;&gt;"),"")</f>
        <v>2</v>
      </c>
      <c r="AB74" s="29" t="str">
        <f>IF(AA74=1,COUNTIF($AA$2:AA74,1),"")</f>
        <v/>
      </c>
    </row>
    <row r="75" spans="1:28" ht="47.25" customHeight="1" x14ac:dyDescent="0.2">
      <c r="A75" s="43" t="s">
        <v>475</v>
      </c>
      <c r="B75" s="43" t="s">
        <v>476</v>
      </c>
      <c r="C75" s="44" t="s">
        <v>477</v>
      </c>
      <c r="D75" s="44" t="s">
        <v>478</v>
      </c>
      <c r="E75" s="45" t="s">
        <v>479</v>
      </c>
      <c r="F75" s="45" t="s">
        <v>480</v>
      </c>
      <c r="G75" s="46" t="s">
        <v>41</v>
      </c>
      <c r="H75" s="48">
        <v>46030</v>
      </c>
      <c r="I75" s="48">
        <v>46042</v>
      </c>
      <c r="J75" s="44" t="s">
        <v>99</v>
      </c>
      <c r="K75" s="44" t="s">
        <v>100</v>
      </c>
      <c r="L75" s="50" t="s">
        <v>77</v>
      </c>
      <c r="M75" s="50"/>
      <c r="N75" s="50"/>
      <c r="O75" s="49"/>
      <c r="P75" s="50" t="str">
        <f t="shared" si="4"/>
        <v>ONAY</v>
      </c>
      <c r="R75" s="51" t="str">
        <f t="shared" si="5"/>
        <v/>
      </c>
      <c r="T75" s="41"/>
      <c r="U75" s="29">
        <f>IF($C75&lt;&gt;"",COUNTIF($C$2:C75,C75),"")</f>
        <v>1</v>
      </c>
      <c r="V75" s="29" t="str">
        <f t="shared" si="6"/>
        <v>Prof. Dr. Sıddika Songül YALÇIN§1</v>
      </c>
      <c r="W75" s="29">
        <f>IF(U75=1,COUNTIF($U$2:U75,1),"")</f>
        <v>62</v>
      </c>
      <c r="X75" s="29">
        <f t="shared" si="7"/>
        <v>311</v>
      </c>
      <c r="Y75" s="29">
        <f>IF(AND(LEFT($B75,7)="SBA 26/",$D75&lt;&gt;"",$F75&lt;&gt;""),COUNTIFS($D$2:$D75,$D75,$B$2:$B75,"SBA 26/*",$F$2:$F75,"&lt;&gt;"),"")</f>
        <v>1</v>
      </c>
      <c r="Z75" s="29">
        <f>IF(Y75=1,COUNTIF($Y$2:Y75,1),"")</f>
        <v>38</v>
      </c>
      <c r="AA75" s="29">
        <f>IF(AND(LEFT($B75,7)="SBA 26/",$C75&lt;&gt;"",$F75&lt;&gt;""),COUNTIFS($C$2:$C75,$C75,$B$2:$B75,"SBA 26/*",$F$2:$F75,"&lt;&gt;"),"")</f>
        <v>1</v>
      </c>
      <c r="AB75" s="29">
        <f>IF(AA75=1,COUNTIF($AA$2:AA75,1),"")</f>
        <v>62</v>
      </c>
    </row>
    <row r="76" spans="1:28" ht="78.75" customHeight="1" x14ac:dyDescent="0.2">
      <c r="A76" s="43" t="s">
        <v>481</v>
      </c>
      <c r="B76" s="43" t="s">
        <v>482</v>
      </c>
      <c r="C76" s="44" t="s">
        <v>483</v>
      </c>
      <c r="D76" s="44" t="s">
        <v>484</v>
      </c>
      <c r="E76" s="45" t="s">
        <v>485</v>
      </c>
      <c r="F76" s="45" t="s">
        <v>486</v>
      </c>
      <c r="G76" s="46" t="s">
        <v>39</v>
      </c>
      <c r="H76" s="48">
        <v>46030</v>
      </c>
      <c r="I76" s="48">
        <v>46042</v>
      </c>
      <c r="J76" s="44" t="s">
        <v>123</v>
      </c>
      <c r="K76" s="44" t="s">
        <v>92</v>
      </c>
      <c r="L76" s="50" t="s">
        <v>77</v>
      </c>
      <c r="M76" s="50"/>
      <c r="N76" s="50"/>
      <c r="O76" s="49"/>
      <c r="P76" s="50" t="str">
        <f t="shared" si="4"/>
        <v>ONAY</v>
      </c>
      <c r="R76" s="51" t="str">
        <f t="shared" si="5"/>
        <v/>
      </c>
      <c r="T76" s="41"/>
      <c r="U76" s="29">
        <f>IF($C76&lt;&gt;"",COUNTIF($C$2:C76,C76),"")</f>
        <v>1</v>
      </c>
      <c r="V76" s="29" t="str">
        <f t="shared" si="6"/>
        <v>Dr. Öğr. Üyesi Gökçen AKÇİÇEK§1</v>
      </c>
      <c r="W76" s="29">
        <f>IF(U76=1,COUNTIF($U$2:U76,1),"")</f>
        <v>63</v>
      </c>
      <c r="X76" s="29">
        <f t="shared" si="7"/>
        <v>135</v>
      </c>
      <c r="Y76" s="29">
        <f>IF(AND(LEFT($B76,7)="SBA 26/",$D76&lt;&gt;"",$F76&lt;&gt;""),COUNTIFS($D$2:$D76,$D76,$B$2:$B76,"SBA 26/*",$F$2:$F76,"&lt;&gt;"),"")</f>
        <v>1</v>
      </c>
      <c r="Z76" s="29">
        <f>IF(Y76=1,COUNTIF($Y$2:Y76,1),"")</f>
        <v>39</v>
      </c>
      <c r="AA76" s="29">
        <f>IF(AND(LEFT($B76,7)="SBA 26/",$C76&lt;&gt;"",$F76&lt;&gt;""),COUNTIFS($C$2:$C76,$C76,$B$2:$B76,"SBA 26/*",$F$2:$F76,"&lt;&gt;"),"")</f>
        <v>1</v>
      </c>
      <c r="AB76" s="29">
        <f>IF(AA76=1,COUNTIF($AA$2:AA76,1),"")</f>
        <v>63</v>
      </c>
    </row>
    <row r="77" spans="1:28" ht="63" customHeight="1" x14ac:dyDescent="0.2">
      <c r="A77" s="43" t="s">
        <v>487</v>
      </c>
      <c r="B77" s="43" t="s">
        <v>488</v>
      </c>
      <c r="C77" s="44" t="s">
        <v>489</v>
      </c>
      <c r="D77" s="44" t="s">
        <v>297</v>
      </c>
      <c r="E77" s="45" t="s">
        <v>490</v>
      </c>
      <c r="F77" s="45" t="s">
        <v>491</v>
      </c>
      <c r="G77" s="46" t="s">
        <v>38</v>
      </c>
      <c r="H77" s="48">
        <v>46031</v>
      </c>
      <c r="I77" s="48">
        <v>46042</v>
      </c>
      <c r="J77" s="44" t="s">
        <v>123</v>
      </c>
      <c r="K77" s="44" t="s">
        <v>76</v>
      </c>
      <c r="L77" s="50" t="s">
        <v>77</v>
      </c>
      <c r="M77" s="50"/>
      <c r="N77" s="50"/>
      <c r="O77" s="49"/>
      <c r="P77" s="50" t="str">
        <f t="shared" si="4"/>
        <v>ONAY</v>
      </c>
      <c r="R77" s="51" t="str">
        <f t="shared" si="5"/>
        <v/>
      </c>
      <c r="T77" s="41"/>
      <c r="U77" s="29">
        <f>IF($C77&lt;&gt;"",COUNTIF($C$2:C77,C77),"")</f>
        <v>1</v>
      </c>
      <c r="V77" s="29" t="str">
        <f t="shared" si="6"/>
        <v>Doç. Dr. Ezgi ATİK§1</v>
      </c>
      <c r="W77" s="29">
        <f>IF(U77=1,COUNTIF($U$2:U77,1),"")</f>
        <v>64</v>
      </c>
      <c r="X77" s="29">
        <f t="shared" si="7"/>
        <v>50</v>
      </c>
      <c r="Y77" s="29">
        <f>IF(AND(LEFT($B77,7)="SBA 26/",$D77&lt;&gt;"",$F77&lt;&gt;""),COUNTIFS($D$2:$D77,$D77,$B$2:$B77,"SBA 26/*",$F$2:$F77,"&lt;&gt;"),"")</f>
        <v>2</v>
      </c>
      <c r="Z77" s="29" t="str">
        <f>IF(Y77=1,COUNTIF($Y$2:Y77,1),"")</f>
        <v/>
      </c>
      <c r="AA77" s="29">
        <f>IF(AND(LEFT($B77,7)="SBA 26/",$C77&lt;&gt;"",$F77&lt;&gt;""),COUNTIFS($C$2:$C77,$C77,$B$2:$B77,"SBA 26/*",$F$2:$F77,"&lt;&gt;"),"")</f>
        <v>1</v>
      </c>
      <c r="AB77" s="29">
        <f>IF(AA77=1,COUNTIF($AA$2:AA77,1),"")</f>
        <v>64</v>
      </c>
    </row>
    <row r="78" spans="1:28" ht="63" customHeight="1" x14ac:dyDescent="0.2">
      <c r="A78" s="43" t="s">
        <v>492</v>
      </c>
      <c r="B78" s="43" t="s">
        <v>493</v>
      </c>
      <c r="C78" s="44" t="s">
        <v>494</v>
      </c>
      <c r="D78" s="44" t="s">
        <v>385</v>
      </c>
      <c r="E78" s="45" t="s">
        <v>495</v>
      </c>
      <c r="F78" s="45" t="s">
        <v>496</v>
      </c>
      <c r="G78" s="46" t="s">
        <v>38</v>
      </c>
      <c r="H78" s="48">
        <v>46031</v>
      </c>
      <c r="I78" s="48">
        <v>46042</v>
      </c>
      <c r="J78" s="44" t="s">
        <v>76</v>
      </c>
      <c r="K78" s="44" t="s">
        <v>100</v>
      </c>
      <c r="L78" s="50" t="s">
        <v>101</v>
      </c>
      <c r="M78" s="50" t="s">
        <v>77</v>
      </c>
      <c r="N78" s="50"/>
      <c r="O78" s="49"/>
      <c r="P78" s="50" t="str">
        <f t="shared" si="4"/>
        <v>ONAY</v>
      </c>
      <c r="Q78" s="28" t="s">
        <v>100</v>
      </c>
      <c r="R78" s="51" t="str">
        <f t="shared" si="5"/>
        <v/>
      </c>
      <c r="T78" s="41"/>
      <c r="U78" s="29">
        <f>IF($C78&lt;&gt;"",COUNTIF($C$2:C78,C78),"")</f>
        <v>1</v>
      </c>
      <c r="V78" s="29" t="str">
        <f t="shared" si="6"/>
        <v>Prof. Dr. Özlem BOYBEYİ§1</v>
      </c>
      <c r="W78" s="29">
        <f>IF(U78=1,COUNTIF($U$2:U78,1),"")</f>
        <v>65</v>
      </c>
      <c r="X78" s="29">
        <f t="shared" si="7"/>
        <v>291</v>
      </c>
      <c r="Y78" s="29">
        <f>IF(AND(LEFT($B78,7)="SBA 26/",$D78&lt;&gt;"",$F78&lt;&gt;""),COUNTIFS($D$2:$D78,$D78,$B$2:$B78,"SBA 26/*",$F$2:$F78,"&lt;&gt;"),"")</f>
        <v>2</v>
      </c>
      <c r="Z78" s="29" t="str">
        <f>IF(Y78=1,COUNTIF($Y$2:Y78,1),"")</f>
        <v/>
      </c>
      <c r="AA78" s="29">
        <f>IF(AND(LEFT($B78,7)="SBA 26/",$C78&lt;&gt;"",$F78&lt;&gt;""),COUNTIFS($C$2:$C78,$C78,$B$2:$B78,"SBA 26/*",$F$2:$F78,"&lt;&gt;"),"")</f>
        <v>1</v>
      </c>
      <c r="AB78" s="29">
        <f>IF(AA78=1,COUNTIF($AA$2:AA78,1),"")</f>
        <v>65</v>
      </c>
    </row>
    <row r="79" spans="1:28" ht="78.75" customHeight="1" x14ac:dyDescent="0.2">
      <c r="A79" s="43" t="s">
        <v>497</v>
      </c>
      <c r="B79" s="43" t="s">
        <v>498</v>
      </c>
      <c r="C79" s="44" t="s">
        <v>285</v>
      </c>
      <c r="D79" s="44" t="s">
        <v>222</v>
      </c>
      <c r="E79" s="45" t="s">
        <v>499</v>
      </c>
      <c r="F79" s="45" t="s">
        <v>500</v>
      </c>
      <c r="G79" s="46" t="s">
        <v>39</v>
      </c>
      <c r="H79" s="48">
        <v>46031</v>
      </c>
      <c r="I79" s="48">
        <v>46042</v>
      </c>
      <c r="J79" s="44" t="s">
        <v>100</v>
      </c>
      <c r="K79" s="44" t="s">
        <v>99</v>
      </c>
      <c r="L79" s="50" t="s">
        <v>77</v>
      </c>
      <c r="M79" s="50"/>
      <c r="N79" s="50"/>
      <c r="O79" s="49"/>
      <c r="P79" s="50" t="str">
        <f t="shared" si="4"/>
        <v>ONAY</v>
      </c>
      <c r="R79" s="51" t="str">
        <f t="shared" si="5"/>
        <v/>
      </c>
      <c r="T79" s="41"/>
      <c r="U79" s="29">
        <f>IF($C79&lt;&gt;"",COUNTIF($C$2:C79,C79),"")</f>
        <v>2</v>
      </c>
      <c r="V79" s="29" t="str">
        <f t="shared" si="6"/>
        <v>Prof. Dr. Yasemin ÖZSÜREKCİ§2</v>
      </c>
      <c r="W79" s="29" t="str">
        <f>IF(U79=1,COUNTIF($U$2:U79,1),"")</f>
        <v/>
      </c>
      <c r="X79" s="29" t="str">
        <f t="shared" si="7"/>
        <v/>
      </c>
      <c r="Y79" s="29">
        <f>IF(AND(LEFT($B79,7)="SBA 26/",$D79&lt;&gt;"",$F79&lt;&gt;""),COUNTIFS($D$2:$D79,$D79,$B$2:$B79,"SBA 26/*",$F$2:$F79,"&lt;&gt;"),"")</f>
        <v>8</v>
      </c>
      <c r="Z79" s="29" t="str">
        <f>IF(Y79=1,COUNTIF($Y$2:Y79,1),"")</f>
        <v/>
      </c>
      <c r="AA79" s="29">
        <f>IF(AND(LEFT($B79,7)="SBA 26/",$C79&lt;&gt;"",$F79&lt;&gt;""),COUNTIFS($C$2:$C79,$C79,$B$2:$B79,"SBA 26/*",$F$2:$F79,"&lt;&gt;"),"")</f>
        <v>2</v>
      </c>
      <c r="AB79" s="29" t="str">
        <f>IF(AA79=1,COUNTIF($AA$2:AA79,1),"")</f>
        <v/>
      </c>
    </row>
    <row r="80" spans="1:28" ht="94.5" customHeight="1" x14ac:dyDescent="0.2">
      <c r="A80" s="43" t="s">
        <v>501</v>
      </c>
      <c r="B80" s="43" t="s">
        <v>502</v>
      </c>
      <c r="C80" s="44" t="s">
        <v>503</v>
      </c>
      <c r="D80" s="44" t="s">
        <v>504</v>
      </c>
      <c r="E80" s="45" t="s">
        <v>505</v>
      </c>
      <c r="F80" s="45" t="s">
        <v>506</v>
      </c>
      <c r="G80" s="46" t="s">
        <v>41</v>
      </c>
      <c r="H80" s="48">
        <v>46031</v>
      </c>
      <c r="I80" s="48">
        <v>46042</v>
      </c>
      <c r="J80" s="44" t="s">
        <v>99</v>
      </c>
      <c r="K80" s="44" t="s">
        <v>84</v>
      </c>
      <c r="L80" s="50" t="s">
        <v>101</v>
      </c>
      <c r="M80" s="50" t="s">
        <v>77</v>
      </c>
      <c r="N80" s="50"/>
      <c r="O80" s="49"/>
      <c r="P80" s="50" t="str">
        <f t="shared" si="4"/>
        <v>ONAY</v>
      </c>
      <c r="Q80" s="28" t="s">
        <v>84</v>
      </c>
      <c r="R80" s="51" t="str">
        <f t="shared" si="5"/>
        <v/>
      </c>
      <c r="T80" s="41"/>
      <c r="U80" s="29">
        <f>IF($C80&lt;&gt;"",COUNTIF($C$2:C80,C80),"")</f>
        <v>1</v>
      </c>
      <c r="V80" s="29" t="str">
        <f t="shared" si="6"/>
        <v>Prof. Dr. Ülkü ÜNDEĞER BUCURGAT§1</v>
      </c>
      <c r="W80" s="29">
        <f>IF(U80=1,COUNTIF($U$2:U80,1),"")</f>
        <v>66</v>
      </c>
      <c r="X80" s="29">
        <f t="shared" si="7"/>
        <v>329</v>
      </c>
      <c r="Y80" s="29">
        <f>IF(AND(LEFT($B80,7)="SBA 26/",$D80&lt;&gt;"",$F80&lt;&gt;""),COUNTIFS($D$2:$D80,$D80,$B$2:$B80,"SBA 26/*",$F$2:$F80,"&lt;&gt;"),"")</f>
        <v>1</v>
      </c>
      <c r="Z80" s="29">
        <f>IF(Y80=1,COUNTIF($Y$2:Y80,1),"")</f>
        <v>40</v>
      </c>
      <c r="AA80" s="29">
        <f>IF(AND(LEFT($B80,7)="SBA 26/",$C80&lt;&gt;"",$F80&lt;&gt;""),COUNTIFS($C$2:$C80,$C80,$B$2:$B80,"SBA 26/*",$F$2:$F80,"&lt;&gt;"),"")</f>
        <v>1</v>
      </c>
      <c r="AB80" s="29">
        <f>IF(AA80=1,COUNTIF($AA$2:AA80,1),"")</f>
        <v>66</v>
      </c>
    </row>
    <row r="81" spans="1:28" ht="78.75" customHeight="1" x14ac:dyDescent="0.2">
      <c r="A81" s="43" t="s">
        <v>507</v>
      </c>
      <c r="B81" s="43" t="s">
        <v>508</v>
      </c>
      <c r="C81" s="44" t="s">
        <v>509</v>
      </c>
      <c r="D81" s="44" t="s">
        <v>222</v>
      </c>
      <c r="E81" s="45" t="s">
        <v>510</v>
      </c>
      <c r="F81" s="45" t="s">
        <v>511</v>
      </c>
      <c r="G81" s="46" t="s">
        <v>39</v>
      </c>
      <c r="H81" s="48">
        <v>46034</v>
      </c>
      <c r="I81" s="48">
        <v>46042</v>
      </c>
      <c r="J81" s="44" t="s">
        <v>109</v>
      </c>
      <c r="K81" s="44" t="s">
        <v>76</v>
      </c>
      <c r="L81" s="50" t="s">
        <v>101</v>
      </c>
      <c r="M81" s="50" t="s">
        <v>77</v>
      </c>
      <c r="N81" s="50"/>
      <c r="O81" s="49"/>
      <c r="P81" s="50" t="str">
        <f t="shared" si="4"/>
        <v>ONAY</v>
      </c>
      <c r="Q81" s="28" t="s">
        <v>109</v>
      </c>
      <c r="R81" s="51" t="str">
        <f t="shared" si="5"/>
        <v/>
      </c>
      <c r="T81" s="41"/>
      <c r="U81" s="29">
        <f>IF($C81&lt;&gt;"",COUNTIF($C$2:C81,C81),"")</f>
        <v>1</v>
      </c>
      <c r="V81" s="29" t="str">
        <f t="shared" si="6"/>
        <v>Doç. Dr. Erdal SAĞ§1</v>
      </c>
      <c r="W81" s="29">
        <f>IF(U81=1,COUNTIF($U$2:U81,1),"")</f>
        <v>67</v>
      </c>
      <c r="X81" s="29">
        <f t="shared" si="7"/>
        <v>46</v>
      </c>
      <c r="Y81" s="29">
        <f>IF(AND(LEFT($B81,7)="SBA 26/",$D81&lt;&gt;"",$F81&lt;&gt;""),COUNTIFS($D$2:$D81,$D81,$B$2:$B81,"SBA 26/*",$F$2:$F81,"&lt;&gt;"),"")</f>
        <v>9</v>
      </c>
      <c r="Z81" s="29" t="str">
        <f>IF(Y81=1,COUNTIF($Y$2:Y81,1),"")</f>
        <v/>
      </c>
      <c r="AA81" s="29">
        <f>IF(AND(LEFT($B81,7)="SBA 26/",$C81&lt;&gt;"",$F81&lt;&gt;""),COUNTIFS($C$2:$C81,$C81,$B$2:$B81,"SBA 26/*",$F$2:$F81,"&lt;&gt;"),"")</f>
        <v>1</v>
      </c>
      <c r="AB81" s="29">
        <f>IF(AA81=1,COUNTIF($AA$2:AA81,1),"")</f>
        <v>67</v>
      </c>
    </row>
    <row r="82" spans="1:28" ht="63" customHeight="1" x14ac:dyDescent="0.2">
      <c r="A82" s="43" t="s">
        <v>512</v>
      </c>
      <c r="B82" s="43" t="s">
        <v>513</v>
      </c>
      <c r="C82" s="44" t="s">
        <v>514</v>
      </c>
      <c r="D82" s="44" t="s">
        <v>291</v>
      </c>
      <c r="E82" s="45" t="s">
        <v>515</v>
      </c>
      <c r="F82" s="45" t="s">
        <v>516</v>
      </c>
      <c r="G82" s="46" t="s">
        <v>38</v>
      </c>
      <c r="H82" s="48">
        <v>46034</v>
      </c>
      <c r="I82" s="48">
        <v>46042</v>
      </c>
      <c r="J82" s="44" t="s">
        <v>91</v>
      </c>
      <c r="K82" s="44" t="s">
        <v>116</v>
      </c>
      <c r="L82" s="50" t="s">
        <v>77</v>
      </c>
      <c r="M82" s="50"/>
      <c r="N82" s="50"/>
      <c r="O82" s="49"/>
      <c r="P82" s="50" t="str">
        <f t="shared" si="4"/>
        <v>ONAY</v>
      </c>
      <c r="R82" s="51" t="str">
        <f t="shared" si="5"/>
        <v/>
      </c>
      <c r="T82" s="41"/>
      <c r="U82" s="29">
        <f>IF($C82&lt;&gt;"",COUNTIF($C$2:C82,C82),"")</f>
        <v>1</v>
      </c>
      <c r="V82" s="29" t="str">
        <f t="shared" si="6"/>
        <v>Prof. Dr. Taner YILMAZ§1</v>
      </c>
      <c r="W82" s="29">
        <f>IF(U82=1,COUNTIF($U$2:U82,1),"")</f>
        <v>68</v>
      </c>
      <c r="X82" s="29">
        <f t="shared" si="7"/>
        <v>320</v>
      </c>
      <c r="Y82" s="29">
        <f>IF(AND(LEFT($B82,7)="SBA 26/",$D82&lt;&gt;"",$F82&lt;&gt;""),COUNTIFS($D$2:$D82,$D82,$B$2:$B82,"SBA 26/*",$F$2:$F82,"&lt;&gt;"),"")</f>
        <v>2</v>
      </c>
      <c r="Z82" s="29" t="str">
        <f>IF(Y82=1,COUNTIF($Y$2:Y82,1),"")</f>
        <v/>
      </c>
      <c r="AA82" s="29">
        <f>IF(AND(LEFT($B82,7)="SBA 26/",$C82&lt;&gt;"",$F82&lt;&gt;""),COUNTIFS($C$2:$C82,$C82,$B$2:$B82,"SBA 26/*",$F$2:$F82,"&lt;&gt;"),"")</f>
        <v>1</v>
      </c>
      <c r="AB82" s="29">
        <f>IF(AA82=1,COUNTIF($AA$2:AA82,1),"")</f>
        <v>68</v>
      </c>
    </row>
    <row r="83" spans="1:28" ht="78.75" customHeight="1" x14ac:dyDescent="0.2">
      <c r="A83" s="43" t="s">
        <v>517</v>
      </c>
      <c r="B83" s="43" t="s">
        <v>518</v>
      </c>
      <c r="C83" s="44" t="s">
        <v>519</v>
      </c>
      <c r="D83" s="44" t="s">
        <v>364</v>
      </c>
      <c r="E83" s="45" t="s">
        <v>520</v>
      </c>
      <c r="F83" s="45" t="s">
        <v>521</v>
      </c>
      <c r="G83" s="46" t="s">
        <v>38</v>
      </c>
      <c r="H83" s="48">
        <v>46034</v>
      </c>
      <c r="I83" s="48">
        <v>46042</v>
      </c>
      <c r="J83" s="44" t="s">
        <v>108</v>
      </c>
      <c r="K83" s="44" t="s">
        <v>129</v>
      </c>
      <c r="L83" s="50" t="s">
        <v>101</v>
      </c>
      <c r="M83" s="50" t="s">
        <v>77</v>
      </c>
      <c r="N83" s="50"/>
      <c r="O83" s="49"/>
      <c r="P83" s="50" t="str">
        <f t="shared" si="4"/>
        <v>ONAY</v>
      </c>
      <c r="Q83" s="28" t="s">
        <v>108</v>
      </c>
      <c r="R83" s="51" t="str">
        <f t="shared" si="5"/>
        <v/>
      </c>
      <c r="T83" s="41"/>
      <c r="U83" s="29">
        <f>IF($C83&lt;&gt;"",COUNTIF($C$2:C83,C83),"")</f>
        <v>1</v>
      </c>
      <c r="V83" s="29" t="str">
        <f t="shared" si="6"/>
        <v>Prof. Dr. Neşe DERİCİOĞLU§1</v>
      </c>
      <c r="W83" s="29">
        <f>IF(U83=1,COUNTIF($U$2:U83,1),"")</f>
        <v>69</v>
      </c>
      <c r="X83" s="29">
        <f t="shared" si="7"/>
        <v>277</v>
      </c>
      <c r="Y83" s="29">
        <f>IF(AND(LEFT($B83,7)="SBA 26/",$D83&lt;&gt;"",$F83&lt;&gt;""),COUNTIFS($D$2:$D83,$D83,$B$2:$B83,"SBA 26/*",$F$2:$F83,"&lt;&gt;"),"")</f>
        <v>3</v>
      </c>
      <c r="Z83" s="29" t="str">
        <f>IF(Y83=1,COUNTIF($Y$2:Y83,1),"")</f>
        <v/>
      </c>
      <c r="AA83" s="29">
        <f>IF(AND(LEFT($B83,7)="SBA 26/",$C83&lt;&gt;"",$F83&lt;&gt;""),COUNTIFS($C$2:$C83,$C83,$B$2:$B83,"SBA 26/*",$F$2:$F83,"&lt;&gt;"),"")</f>
        <v>1</v>
      </c>
      <c r="AB83" s="29">
        <f>IF(AA83=1,COUNTIF($AA$2:AA83,1),"")</f>
        <v>69</v>
      </c>
    </row>
    <row r="84" spans="1:28" ht="63" customHeight="1" x14ac:dyDescent="0.2">
      <c r="A84" s="43" t="s">
        <v>522</v>
      </c>
      <c r="B84" s="43" t="s">
        <v>523</v>
      </c>
      <c r="C84" s="44" t="s">
        <v>524</v>
      </c>
      <c r="D84" s="44" t="s">
        <v>113</v>
      </c>
      <c r="E84" s="45" t="s">
        <v>525</v>
      </c>
      <c r="F84" s="45" t="s">
        <v>526</v>
      </c>
      <c r="G84" s="46" t="s">
        <v>38</v>
      </c>
      <c r="H84" s="48">
        <v>46034</v>
      </c>
      <c r="I84" s="48">
        <v>46042</v>
      </c>
      <c r="J84" s="44" t="s">
        <v>99</v>
      </c>
      <c r="K84" s="44" t="s">
        <v>116</v>
      </c>
      <c r="L84" s="50" t="s">
        <v>206</v>
      </c>
      <c r="M84" s="50" t="s">
        <v>77</v>
      </c>
      <c r="N84" s="50"/>
      <c r="O84" s="49"/>
      <c r="P84" s="50" t="str">
        <f t="shared" si="4"/>
        <v>ONAY</v>
      </c>
      <c r="R84" s="51" t="str">
        <f t="shared" si="5"/>
        <v/>
      </c>
      <c r="T84" s="41"/>
      <c r="U84" s="29">
        <f>IF($C84&lt;&gt;"",COUNTIF($C$2:C84,C84),"")</f>
        <v>1</v>
      </c>
      <c r="V84" s="29" t="str">
        <f t="shared" si="6"/>
        <v>Doç. Dr. Mert EŞME§1</v>
      </c>
      <c r="W84" s="29">
        <f>IF(U84=1,COUNTIF($U$2:U84,1),"")</f>
        <v>70</v>
      </c>
      <c r="X84" s="29">
        <f t="shared" si="7"/>
        <v>78</v>
      </c>
      <c r="Y84" s="29">
        <f>IF(AND(LEFT($B84,7)="SBA 26/",$D84&lt;&gt;"",$F84&lt;&gt;""),COUNTIFS($D$2:$D84,$D84,$B$2:$B84,"SBA 26/*",$F$2:$F84,"&lt;&gt;"),"")</f>
        <v>7</v>
      </c>
      <c r="Z84" s="29" t="str">
        <f>IF(Y84=1,COUNTIF($Y$2:Y84,1),"")</f>
        <v/>
      </c>
      <c r="AA84" s="29">
        <f>IF(AND(LEFT($B84,7)="SBA 26/",$C84&lt;&gt;"",$F84&lt;&gt;""),COUNTIFS($C$2:$C84,$C84,$B$2:$B84,"SBA 26/*",$F$2:$F84,"&lt;&gt;"),"")</f>
        <v>1</v>
      </c>
      <c r="AB84" s="29">
        <f>IF(AA84=1,COUNTIF($AA$2:AA84,1),"")</f>
        <v>70</v>
      </c>
    </row>
    <row r="85" spans="1:28" ht="63" customHeight="1" x14ac:dyDescent="0.2">
      <c r="A85" s="43" t="s">
        <v>527</v>
      </c>
      <c r="B85" s="43" t="s">
        <v>528</v>
      </c>
      <c r="C85" s="44" t="s">
        <v>112</v>
      </c>
      <c r="D85" s="44" t="s">
        <v>113</v>
      </c>
      <c r="E85" s="45" t="s">
        <v>529</v>
      </c>
      <c r="F85" s="45" t="s">
        <v>530</v>
      </c>
      <c r="G85" s="46" t="s">
        <v>38</v>
      </c>
      <c r="H85" s="48">
        <v>46034</v>
      </c>
      <c r="I85" s="48">
        <v>46042</v>
      </c>
      <c r="J85" s="44" t="s">
        <v>129</v>
      </c>
      <c r="K85" s="44" t="s">
        <v>116</v>
      </c>
      <c r="L85" s="50" t="s">
        <v>206</v>
      </c>
      <c r="M85" s="50" t="s">
        <v>101</v>
      </c>
      <c r="N85" s="50"/>
      <c r="O85" s="49"/>
      <c r="P85" s="50" t="str">
        <f t="shared" si="4"/>
        <v>DÜZELTME</v>
      </c>
      <c r="R85" s="51" t="str">
        <f t="shared" si="5"/>
        <v/>
      </c>
      <c r="T85" s="41"/>
      <c r="U85" s="29">
        <f>IF($C85&lt;&gt;"",COUNTIF($C$2:C85,C85),"")</f>
        <v>3</v>
      </c>
      <c r="V85" s="29" t="str">
        <f t="shared" si="6"/>
        <v>Prof. Dr. Meltem Gülhan HALİL§3</v>
      </c>
      <c r="W85" s="29" t="str">
        <f>IF(U85=1,COUNTIF($U$2:U85,1),"")</f>
        <v/>
      </c>
      <c r="X85" s="29" t="str">
        <f t="shared" si="7"/>
        <v/>
      </c>
      <c r="Y85" s="29">
        <f>IF(AND(LEFT($B85,7)="SBA 26/",$D85&lt;&gt;"",$F85&lt;&gt;""),COUNTIFS($D$2:$D85,$D85,$B$2:$B85,"SBA 26/*",$F$2:$F85,"&lt;&gt;"),"")</f>
        <v>8</v>
      </c>
      <c r="Z85" s="29" t="str">
        <f>IF(Y85=1,COUNTIF($Y$2:Y85,1),"")</f>
        <v/>
      </c>
      <c r="AA85" s="29">
        <f>IF(AND(LEFT($B85,7)="SBA 26/",$C85&lt;&gt;"",$F85&lt;&gt;""),COUNTIFS($C$2:$C85,$C85,$B$2:$B85,"SBA 26/*",$F$2:$F85,"&lt;&gt;"),"")</f>
        <v>3</v>
      </c>
      <c r="AB85" s="29" t="str">
        <f>IF(AA85=1,COUNTIF($AA$2:AA85,1),"")</f>
        <v/>
      </c>
    </row>
    <row r="86" spans="1:28" ht="63" customHeight="1" x14ac:dyDescent="0.2">
      <c r="A86" s="43" t="s">
        <v>531</v>
      </c>
      <c r="B86" s="43" t="s">
        <v>532</v>
      </c>
      <c r="C86" s="44" t="s">
        <v>533</v>
      </c>
      <c r="D86" s="44" t="s">
        <v>113</v>
      </c>
      <c r="E86" s="45" t="s">
        <v>534</v>
      </c>
      <c r="F86" s="45" t="s">
        <v>535</v>
      </c>
      <c r="G86" s="46" t="s">
        <v>38</v>
      </c>
      <c r="H86" s="48">
        <v>46036</v>
      </c>
      <c r="I86" s="48">
        <v>46042</v>
      </c>
      <c r="J86" s="44" t="s">
        <v>109</v>
      </c>
      <c r="K86" s="44" t="s">
        <v>100</v>
      </c>
      <c r="L86" s="50" t="s">
        <v>77</v>
      </c>
      <c r="M86" s="50"/>
      <c r="N86" s="50"/>
      <c r="O86" s="49"/>
      <c r="P86" s="50" t="str">
        <f t="shared" si="4"/>
        <v>ONAY</v>
      </c>
      <c r="R86" s="51" t="str">
        <f t="shared" si="5"/>
        <v/>
      </c>
      <c r="T86" s="41"/>
      <c r="U86" s="29">
        <f>IF($C86&lt;&gt;"",COUNTIF($C$2:C86,C86),"")</f>
        <v>1</v>
      </c>
      <c r="V86" s="29" t="str">
        <f t="shared" si="6"/>
        <v>Prof. Dr. Salih AKSU§1</v>
      </c>
      <c r="W86" s="29">
        <f>IF(U86=1,COUNTIF($U$2:U86,1),"")</f>
        <v>71</v>
      </c>
      <c r="X86" s="29">
        <f t="shared" si="7"/>
        <v>299</v>
      </c>
      <c r="Y86" s="29">
        <f>IF(AND(LEFT($B86,7)="SBA 26/",$D86&lt;&gt;"",$F86&lt;&gt;""),COUNTIFS($D$2:$D86,$D86,$B$2:$B86,"SBA 26/*",$F$2:$F86,"&lt;&gt;"),"")</f>
        <v>9</v>
      </c>
      <c r="Z86" s="29" t="str">
        <f>IF(Y86=1,COUNTIF($Y$2:Y86,1),"")</f>
        <v/>
      </c>
      <c r="AA86" s="29">
        <f>IF(AND(LEFT($B86,7)="SBA 26/",$C86&lt;&gt;"",$F86&lt;&gt;""),COUNTIFS($C$2:$C86,$C86,$B$2:$B86,"SBA 26/*",$F$2:$F86,"&lt;&gt;"),"")</f>
        <v>1</v>
      </c>
      <c r="AB86" s="29">
        <f>IF(AA86=1,COUNTIF($AA$2:AA86,1),"")</f>
        <v>71</v>
      </c>
    </row>
    <row r="87" spans="1:28" ht="78.75" customHeight="1" x14ac:dyDescent="0.2">
      <c r="A87" s="43" t="s">
        <v>536</v>
      </c>
      <c r="B87" s="43" t="s">
        <v>537</v>
      </c>
      <c r="C87" s="44" t="s">
        <v>538</v>
      </c>
      <c r="D87" s="44" t="s">
        <v>539</v>
      </c>
      <c r="E87" s="45" t="s">
        <v>540</v>
      </c>
      <c r="F87" s="45" t="s">
        <v>541</v>
      </c>
      <c r="G87" s="46" t="s">
        <v>39</v>
      </c>
      <c r="H87" s="48">
        <v>46036</v>
      </c>
      <c r="I87" s="48">
        <v>46042</v>
      </c>
      <c r="J87" s="44" t="s">
        <v>123</v>
      </c>
      <c r="K87" s="44" t="s">
        <v>84</v>
      </c>
      <c r="L87" s="50" t="s">
        <v>101</v>
      </c>
      <c r="M87" s="50" t="s">
        <v>77</v>
      </c>
      <c r="N87" s="50"/>
      <c r="O87" s="49"/>
      <c r="P87" s="50" t="str">
        <f t="shared" si="4"/>
        <v>ONAY</v>
      </c>
      <c r="Q87" s="28" t="s">
        <v>123</v>
      </c>
      <c r="R87" s="51" t="str">
        <f t="shared" si="5"/>
        <v/>
      </c>
      <c r="T87" s="41"/>
      <c r="U87" s="29">
        <f>IF($C87&lt;&gt;"",COUNTIF($C$2:C87,C87),"")</f>
        <v>1</v>
      </c>
      <c r="V87" s="29" t="str">
        <f t="shared" si="6"/>
        <v>Prof. Dr. Güliz Nigar GÜNCÜ§1</v>
      </c>
      <c r="W87" s="29">
        <f>IF(U87=1,COUNTIF($U$2:U87,1),"")</f>
        <v>72</v>
      </c>
      <c r="X87" s="29">
        <f t="shared" si="7"/>
        <v>234</v>
      </c>
      <c r="Y87" s="29">
        <f>IF(AND(LEFT($B87,7)="SBA 26/",$D87&lt;&gt;"",$F87&lt;&gt;""),COUNTIFS($D$2:$D87,$D87,$B$2:$B87,"SBA 26/*",$F$2:$F87,"&lt;&gt;"),"")</f>
        <v>1</v>
      </c>
      <c r="Z87" s="29">
        <f>IF(Y87=1,COUNTIF($Y$2:Y87,1),"")</f>
        <v>41</v>
      </c>
      <c r="AA87" s="29">
        <f>IF(AND(LEFT($B87,7)="SBA 26/",$C87&lt;&gt;"",$F87&lt;&gt;""),COUNTIFS($C$2:$C87,$C87,$B$2:$B87,"SBA 26/*",$F$2:$F87,"&lt;&gt;"),"")</f>
        <v>1</v>
      </c>
      <c r="AB87" s="29">
        <f>IF(AA87=1,COUNTIF($AA$2:AA87,1),"")</f>
        <v>72</v>
      </c>
    </row>
    <row r="88" spans="1:28" ht="78.75" customHeight="1" x14ac:dyDescent="0.2">
      <c r="A88" s="43" t="s">
        <v>542</v>
      </c>
      <c r="B88" s="43" t="s">
        <v>543</v>
      </c>
      <c r="C88" s="44" t="s">
        <v>477</v>
      </c>
      <c r="D88" s="44" t="s">
        <v>222</v>
      </c>
      <c r="E88" s="45" t="s">
        <v>544</v>
      </c>
      <c r="F88" s="45" t="s">
        <v>545</v>
      </c>
      <c r="G88" s="46" t="s">
        <v>38</v>
      </c>
      <c r="H88" s="48">
        <v>46036</v>
      </c>
      <c r="I88" s="48">
        <v>46042</v>
      </c>
      <c r="J88" s="44" t="s">
        <v>116</v>
      </c>
      <c r="K88" s="44" t="s">
        <v>92</v>
      </c>
      <c r="L88" s="50" t="s">
        <v>77</v>
      </c>
      <c r="M88" s="50"/>
      <c r="N88" s="50"/>
      <c r="O88" s="49"/>
      <c r="P88" s="50" t="str">
        <f t="shared" si="4"/>
        <v>ONAY</v>
      </c>
      <c r="R88" s="51" t="str">
        <f t="shared" si="5"/>
        <v/>
      </c>
      <c r="T88" s="41"/>
      <c r="U88" s="29">
        <f>IF($C88&lt;&gt;"",COUNTIF($C$2:C88,C88),"")</f>
        <v>2</v>
      </c>
      <c r="V88" s="29" t="str">
        <f t="shared" si="6"/>
        <v>Prof. Dr. Sıddika Songül YALÇIN§2</v>
      </c>
      <c r="W88" s="29" t="str">
        <f>IF(U88=1,COUNTIF($U$2:U88,1),"")</f>
        <v/>
      </c>
      <c r="X88" s="29" t="str">
        <f t="shared" si="7"/>
        <v/>
      </c>
      <c r="Y88" s="29">
        <f>IF(AND(LEFT($B88,7)="SBA 26/",$D88&lt;&gt;"",$F88&lt;&gt;""),COUNTIFS($D$2:$D88,$D88,$B$2:$B88,"SBA 26/*",$F$2:$F88,"&lt;&gt;"),"")</f>
        <v>10</v>
      </c>
      <c r="Z88" s="29" t="str">
        <f>IF(Y88=1,COUNTIF($Y$2:Y88,1),"")</f>
        <v/>
      </c>
      <c r="AA88" s="29">
        <f>IF(AND(LEFT($B88,7)="SBA 26/",$C88&lt;&gt;"",$F88&lt;&gt;""),COUNTIFS($C$2:$C88,$C88,$B$2:$B88,"SBA 26/*",$F$2:$F88,"&lt;&gt;"),"")</f>
        <v>2</v>
      </c>
      <c r="AB88" s="29" t="str">
        <f>IF(AA88=1,COUNTIF($AA$2:AA88,1),"")</f>
        <v/>
      </c>
    </row>
    <row r="89" spans="1:28" ht="63" customHeight="1" x14ac:dyDescent="0.2">
      <c r="A89" s="43" t="s">
        <v>546</v>
      </c>
      <c r="B89" s="43" t="s">
        <v>547</v>
      </c>
      <c r="C89" s="44" t="s">
        <v>548</v>
      </c>
      <c r="D89" s="44" t="s">
        <v>193</v>
      </c>
      <c r="E89" s="45" t="s">
        <v>549</v>
      </c>
      <c r="F89" s="45" t="s">
        <v>550</v>
      </c>
      <c r="G89" s="46" t="s">
        <v>38</v>
      </c>
      <c r="H89" s="48">
        <v>46036</v>
      </c>
      <c r="I89" s="48">
        <v>46042</v>
      </c>
      <c r="J89" s="44" t="s">
        <v>108</v>
      </c>
      <c r="K89" s="44" t="s">
        <v>109</v>
      </c>
      <c r="L89" s="50" t="s">
        <v>77</v>
      </c>
      <c r="M89" s="50"/>
      <c r="N89" s="50"/>
      <c r="O89" s="49"/>
      <c r="P89" s="50" t="str">
        <f t="shared" si="4"/>
        <v>ONAY</v>
      </c>
      <c r="R89" s="51" t="str">
        <f t="shared" si="5"/>
        <v/>
      </c>
      <c r="T89" s="41"/>
      <c r="U89" s="29">
        <f>IF($C89&lt;&gt;"",COUNTIF($C$2:C89,C89),"")</f>
        <v>1</v>
      </c>
      <c r="V89" s="29" t="str">
        <f t="shared" si="6"/>
        <v>Doç. Dr. İrem KOÇ§1</v>
      </c>
      <c r="W89" s="29">
        <f>IF(U89=1,COUNTIF($U$2:U89,1),"")</f>
        <v>73</v>
      </c>
      <c r="X89" s="29">
        <f t="shared" si="7"/>
        <v>68</v>
      </c>
      <c r="Y89" s="29">
        <f>IF(AND(LEFT($B89,7)="SBA 26/",$D89&lt;&gt;"",$F89&lt;&gt;""),COUNTIFS($D$2:$D89,$D89,$B$2:$B89,"SBA 26/*",$F$2:$F89,"&lt;&gt;"),"")</f>
        <v>3</v>
      </c>
      <c r="Z89" s="29" t="str">
        <f>IF(Y89=1,COUNTIF($Y$2:Y89,1),"")</f>
        <v/>
      </c>
      <c r="AA89" s="29">
        <f>IF(AND(LEFT($B89,7)="SBA 26/",$C89&lt;&gt;"",$F89&lt;&gt;""),COUNTIFS($C$2:$C89,$C89,$B$2:$B89,"SBA 26/*",$F$2:$F89,"&lt;&gt;"),"")</f>
        <v>1</v>
      </c>
      <c r="AB89" s="29">
        <f>IF(AA89=1,COUNTIF($AA$2:AA89,1),"")</f>
        <v>73</v>
      </c>
    </row>
    <row r="90" spans="1:28" ht="63" customHeight="1" x14ac:dyDescent="0.2">
      <c r="A90" s="43" t="s">
        <v>551</v>
      </c>
      <c r="B90" s="43" t="s">
        <v>552</v>
      </c>
      <c r="C90" s="44" t="s">
        <v>548</v>
      </c>
      <c r="D90" s="44" t="s">
        <v>193</v>
      </c>
      <c r="E90" s="45" t="s">
        <v>549</v>
      </c>
      <c r="F90" s="45" t="s">
        <v>553</v>
      </c>
      <c r="G90" s="46" t="s">
        <v>38</v>
      </c>
      <c r="H90" s="48">
        <v>46036</v>
      </c>
      <c r="I90" s="48">
        <v>46042</v>
      </c>
      <c r="J90" s="44" t="s">
        <v>92</v>
      </c>
      <c r="K90" s="44" t="s">
        <v>129</v>
      </c>
      <c r="L90" s="50" t="s">
        <v>77</v>
      </c>
      <c r="M90" s="50"/>
      <c r="N90" s="50"/>
      <c r="O90" s="49"/>
      <c r="P90" s="50" t="str">
        <f t="shared" si="4"/>
        <v>ONAY</v>
      </c>
      <c r="R90" s="51" t="str">
        <f t="shared" si="5"/>
        <v/>
      </c>
      <c r="T90" s="41"/>
      <c r="U90" s="29">
        <f>IF($C90&lt;&gt;"",COUNTIF($C$2:C90,C90),"")</f>
        <v>2</v>
      </c>
      <c r="V90" s="29" t="str">
        <f t="shared" si="6"/>
        <v>Doç. Dr. İrem KOÇ§2</v>
      </c>
      <c r="W90" s="29" t="str">
        <f>IF(U90=1,COUNTIF($U$2:U90,1),"")</f>
        <v/>
      </c>
      <c r="X90" s="29" t="str">
        <f t="shared" si="7"/>
        <v/>
      </c>
      <c r="Y90" s="29">
        <f>IF(AND(LEFT($B90,7)="SBA 26/",$D90&lt;&gt;"",$F90&lt;&gt;""),COUNTIFS($D$2:$D90,$D90,$B$2:$B90,"SBA 26/*",$F$2:$F90,"&lt;&gt;"),"")</f>
        <v>4</v>
      </c>
      <c r="Z90" s="29" t="str">
        <f>IF(Y90=1,COUNTIF($Y$2:Y90,1),"")</f>
        <v/>
      </c>
      <c r="AA90" s="29">
        <f>IF(AND(LEFT($B90,7)="SBA 26/",$C90&lt;&gt;"",$F90&lt;&gt;""),COUNTIFS($C$2:$C90,$C90,$B$2:$B90,"SBA 26/*",$F$2:$F90,"&lt;&gt;"),"")</f>
        <v>2</v>
      </c>
      <c r="AB90" s="29" t="str">
        <f>IF(AA90=1,COUNTIF($AA$2:AA90,1),"")</f>
        <v/>
      </c>
    </row>
    <row r="91" spans="1:28" ht="78.75" customHeight="1" x14ac:dyDescent="0.2">
      <c r="A91" s="43" t="s">
        <v>554</v>
      </c>
      <c r="B91" s="43" t="s">
        <v>555</v>
      </c>
      <c r="C91" s="44" t="s">
        <v>379</v>
      </c>
      <c r="D91" s="44" t="s">
        <v>222</v>
      </c>
      <c r="E91" s="45" t="s">
        <v>556</v>
      </c>
      <c r="F91" s="45" t="s">
        <v>557</v>
      </c>
      <c r="G91" s="46" t="s">
        <v>38</v>
      </c>
      <c r="H91" s="48">
        <v>46036</v>
      </c>
      <c r="I91" s="48">
        <v>46042</v>
      </c>
      <c r="J91" s="44" t="s">
        <v>76</v>
      </c>
      <c r="K91" s="44" t="s">
        <v>99</v>
      </c>
      <c r="L91" s="50" t="s">
        <v>101</v>
      </c>
      <c r="M91" s="50" t="s">
        <v>77</v>
      </c>
      <c r="N91" s="50"/>
      <c r="O91" s="49"/>
      <c r="P91" s="50" t="str">
        <f t="shared" si="4"/>
        <v>ONAY</v>
      </c>
      <c r="Q91" s="28" t="s">
        <v>76</v>
      </c>
      <c r="R91" s="51" t="str">
        <f t="shared" si="5"/>
        <v/>
      </c>
      <c r="T91" s="41"/>
      <c r="U91" s="29">
        <f>IF($C91&lt;&gt;"",COUNTIF($C$2:C91,C91),"")</f>
        <v>3</v>
      </c>
      <c r="V91" s="29" t="str">
        <f t="shared" si="6"/>
        <v>Prof. Dr. Deniz ÇAĞDAŞ AYVAZ§3</v>
      </c>
      <c r="W91" s="29" t="str">
        <f>IF(U91=1,COUNTIF($U$2:U91,1),"")</f>
        <v/>
      </c>
      <c r="X91" s="29" t="str">
        <f t="shared" si="7"/>
        <v/>
      </c>
      <c r="Y91" s="29">
        <f>IF(AND(LEFT($B91,7)="SBA 26/",$D91&lt;&gt;"",$F91&lt;&gt;""),COUNTIFS($D$2:$D91,$D91,$B$2:$B91,"SBA 26/*",$F$2:$F91,"&lt;&gt;"),"")</f>
        <v>11</v>
      </c>
      <c r="Z91" s="29" t="str">
        <f>IF(Y91=1,COUNTIF($Y$2:Y91,1),"")</f>
        <v/>
      </c>
      <c r="AA91" s="29">
        <f>IF(AND(LEFT($B91,7)="SBA 26/",$C91&lt;&gt;"",$F91&lt;&gt;""),COUNTIFS($C$2:$C91,$C91,$B$2:$B91,"SBA 26/*",$F$2:$F91,"&lt;&gt;"),"")</f>
        <v>3</v>
      </c>
      <c r="AB91" s="29" t="str">
        <f>IF(AA91=1,COUNTIF($AA$2:AA91,1),"")</f>
        <v/>
      </c>
    </row>
    <row r="92" spans="1:28" ht="63" customHeight="1" x14ac:dyDescent="0.2">
      <c r="A92" s="43" t="s">
        <v>558</v>
      </c>
      <c r="B92" s="43" t="s">
        <v>559</v>
      </c>
      <c r="C92" s="44" t="s">
        <v>560</v>
      </c>
      <c r="D92" s="44" t="s">
        <v>113</v>
      </c>
      <c r="E92" s="45" t="s">
        <v>561</v>
      </c>
      <c r="F92" s="45" t="s">
        <v>562</v>
      </c>
      <c r="G92" s="46" t="s">
        <v>38</v>
      </c>
      <c r="H92" s="48">
        <v>46036</v>
      </c>
      <c r="I92" s="48">
        <v>46042</v>
      </c>
      <c r="J92" s="44" t="s">
        <v>100</v>
      </c>
      <c r="K92" s="44" t="s">
        <v>123</v>
      </c>
      <c r="L92" s="50" t="s">
        <v>77</v>
      </c>
      <c r="M92" s="50"/>
      <c r="N92" s="50"/>
      <c r="O92" s="49"/>
      <c r="P92" s="50" t="str">
        <f t="shared" si="4"/>
        <v>ONAY</v>
      </c>
      <c r="R92" s="51" t="str">
        <f t="shared" si="5"/>
        <v/>
      </c>
      <c r="T92" s="41"/>
      <c r="U92" s="29">
        <f>IF($C92&lt;&gt;"",COUNTIF($C$2:C92,C92),"")</f>
        <v>1</v>
      </c>
      <c r="V92" s="29" t="str">
        <f t="shared" si="6"/>
        <v>Doç. Dr. Hacı Hasan YETER§1</v>
      </c>
      <c r="W92" s="29">
        <f>IF(U92=1,COUNTIF($U$2:U92,1),"")</f>
        <v>74</v>
      </c>
      <c r="X92" s="29">
        <f t="shared" si="7"/>
        <v>60</v>
      </c>
      <c r="Y92" s="29">
        <f>IF(AND(LEFT($B92,7)="SBA 26/",$D92&lt;&gt;"",$F92&lt;&gt;""),COUNTIFS($D$2:$D92,$D92,$B$2:$B92,"SBA 26/*",$F$2:$F92,"&lt;&gt;"),"")</f>
        <v>10</v>
      </c>
      <c r="Z92" s="29" t="str">
        <f>IF(Y92=1,COUNTIF($Y$2:Y92,1),"")</f>
        <v/>
      </c>
      <c r="AA92" s="29">
        <f>IF(AND(LEFT($B92,7)="SBA 26/",$C92&lt;&gt;"",$F92&lt;&gt;""),COUNTIFS($C$2:$C92,$C92,$B$2:$B92,"SBA 26/*",$F$2:$F92,"&lt;&gt;"),"")</f>
        <v>1</v>
      </c>
      <c r="AB92" s="29">
        <f>IF(AA92=1,COUNTIF($AA$2:AA92,1),"")</f>
        <v>74</v>
      </c>
    </row>
    <row r="93" spans="1:28" ht="63" customHeight="1" x14ac:dyDescent="0.2">
      <c r="A93" s="43" t="s">
        <v>563</v>
      </c>
      <c r="B93" s="43" t="s">
        <v>564</v>
      </c>
      <c r="C93" s="44" t="s">
        <v>192</v>
      </c>
      <c r="D93" s="44" t="s">
        <v>193</v>
      </c>
      <c r="E93" s="45" t="s">
        <v>565</v>
      </c>
      <c r="F93" s="45" t="s">
        <v>566</v>
      </c>
      <c r="G93" s="46" t="s">
        <v>38</v>
      </c>
      <c r="H93" s="48">
        <v>46036</v>
      </c>
      <c r="I93" s="48">
        <v>46042</v>
      </c>
      <c r="J93" s="44" t="s">
        <v>108</v>
      </c>
      <c r="K93" s="44" t="s">
        <v>116</v>
      </c>
      <c r="L93" s="50" t="s">
        <v>77</v>
      </c>
      <c r="M93" s="50"/>
      <c r="N93" s="50"/>
      <c r="O93" s="49"/>
      <c r="P93" s="50" t="str">
        <f t="shared" si="4"/>
        <v>ONAY</v>
      </c>
      <c r="R93" s="51" t="str">
        <f t="shared" si="5"/>
        <v/>
      </c>
      <c r="T93" s="41"/>
      <c r="U93" s="29">
        <f>IF($C93&lt;&gt;"",COUNTIF($C$2:C93,C93),"")</f>
        <v>3</v>
      </c>
      <c r="V93" s="29" t="str">
        <f t="shared" si="6"/>
        <v>Dr. Öğr. Üyesi Figen BEZCİ AYGÜN§3</v>
      </c>
      <c r="W93" s="29" t="str">
        <f>IF(U93=1,COUNTIF($U$2:U93,1),"")</f>
        <v/>
      </c>
      <c r="X93" s="29" t="str">
        <f t="shared" si="7"/>
        <v/>
      </c>
      <c r="Y93" s="29">
        <f>IF(AND(LEFT($B93,7)="SBA 26/",$D93&lt;&gt;"",$F93&lt;&gt;""),COUNTIFS($D$2:$D93,$D93,$B$2:$B93,"SBA 26/*",$F$2:$F93,"&lt;&gt;"),"")</f>
        <v>5</v>
      </c>
      <c r="Z93" s="29" t="str">
        <f>IF(Y93=1,COUNTIF($Y$2:Y93,1),"")</f>
        <v/>
      </c>
      <c r="AA93" s="29">
        <f>IF(AND(LEFT($B93,7)="SBA 26/",$C93&lt;&gt;"",$F93&lt;&gt;""),COUNTIFS($C$2:$C93,$C93,$B$2:$B93,"SBA 26/*",$F$2:$F93,"&lt;&gt;"),"")</f>
        <v>3</v>
      </c>
      <c r="AB93" s="29" t="str">
        <f>IF(AA93=1,COUNTIF($AA$2:AA93,1),"")</f>
        <v/>
      </c>
    </row>
    <row r="94" spans="1:28" ht="63" customHeight="1" x14ac:dyDescent="0.2">
      <c r="A94" s="43" t="s">
        <v>567</v>
      </c>
      <c r="B94" s="43" t="s">
        <v>568</v>
      </c>
      <c r="C94" s="44" t="s">
        <v>76</v>
      </c>
      <c r="D94" s="44" t="s">
        <v>222</v>
      </c>
      <c r="E94" s="45" t="s">
        <v>569</v>
      </c>
      <c r="F94" s="45" t="s">
        <v>570</v>
      </c>
      <c r="G94" s="46" t="s">
        <v>39</v>
      </c>
      <c r="H94" s="48">
        <v>46036</v>
      </c>
      <c r="I94" s="48">
        <v>46042</v>
      </c>
      <c r="J94" s="44" t="s">
        <v>109</v>
      </c>
      <c r="K94" s="44" t="s">
        <v>123</v>
      </c>
      <c r="L94" s="50" t="s">
        <v>77</v>
      </c>
      <c r="M94" s="50"/>
      <c r="N94" s="50"/>
      <c r="O94" s="49"/>
      <c r="P94" s="50" t="str">
        <f t="shared" si="4"/>
        <v>ONAY</v>
      </c>
      <c r="R94" s="51" t="str">
        <f t="shared" si="5"/>
        <v/>
      </c>
      <c r="T94" s="41"/>
      <c r="U94" s="29">
        <f>IF($C94&lt;&gt;"",COUNTIF($C$2:C94,C94),"")</f>
        <v>1</v>
      </c>
      <c r="V94" s="29" t="str">
        <f t="shared" si="6"/>
        <v>Doç. Dr. Kübra AYKAÇ§1</v>
      </c>
      <c r="W94" s="29">
        <f>IF(U94=1,COUNTIF($U$2:U94,1),"")</f>
        <v>75</v>
      </c>
      <c r="X94" s="29">
        <f t="shared" si="7"/>
        <v>73</v>
      </c>
      <c r="Y94" s="29">
        <f>IF(AND(LEFT($B94,7)="SBA 26/",$D94&lt;&gt;"",$F94&lt;&gt;""),COUNTIFS($D$2:$D94,$D94,$B$2:$B94,"SBA 26/*",$F$2:$F94,"&lt;&gt;"),"")</f>
        <v>12</v>
      </c>
      <c r="Z94" s="29" t="str">
        <f>IF(Y94=1,COUNTIF($Y$2:Y94,1),"")</f>
        <v/>
      </c>
      <c r="AA94" s="29">
        <f>IF(AND(LEFT($B94,7)="SBA 26/",$C94&lt;&gt;"",$F94&lt;&gt;""),COUNTIFS($C$2:$C94,$C94,$B$2:$B94,"SBA 26/*",$F$2:$F94,"&lt;&gt;"),"")</f>
        <v>1</v>
      </c>
      <c r="AB94" s="29">
        <f>IF(AA94=1,COUNTIF($AA$2:AA94,1),"")</f>
        <v>75</v>
      </c>
    </row>
    <row r="95" spans="1:28" ht="78.75" customHeight="1" x14ac:dyDescent="0.2">
      <c r="A95" s="43" t="s">
        <v>571</v>
      </c>
      <c r="B95" s="43" t="s">
        <v>572</v>
      </c>
      <c r="C95" s="44" t="s">
        <v>573</v>
      </c>
      <c r="D95" s="44" t="s">
        <v>222</v>
      </c>
      <c r="E95" s="45" t="s">
        <v>574</v>
      </c>
      <c r="F95" s="45" t="s">
        <v>575</v>
      </c>
      <c r="G95" s="46" t="s">
        <v>39</v>
      </c>
      <c r="H95" s="48">
        <v>46036</v>
      </c>
      <c r="I95" s="48">
        <v>46042</v>
      </c>
      <c r="J95" s="44" t="s">
        <v>91</v>
      </c>
      <c r="K95" s="44" t="s">
        <v>76</v>
      </c>
      <c r="L95" s="50" t="s">
        <v>101</v>
      </c>
      <c r="M95" s="50" t="s">
        <v>77</v>
      </c>
      <c r="N95" s="50"/>
      <c r="O95" s="49"/>
      <c r="P95" s="50" t="str">
        <f t="shared" si="4"/>
        <v>ONAY</v>
      </c>
      <c r="Q95" s="28" t="s">
        <v>91</v>
      </c>
      <c r="R95" s="51" t="str">
        <f t="shared" si="5"/>
        <v/>
      </c>
      <c r="T95" s="41"/>
      <c r="U95" s="29">
        <f>IF($C95&lt;&gt;"",COUNTIF($C$2:C95,C95),"")</f>
        <v>1</v>
      </c>
      <c r="V95" s="29" t="str">
        <f t="shared" si="6"/>
        <v>Doç. Dr. Emel ISIYEL§1</v>
      </c>
      <c r="W95" s="29">
        <f>IF(U95=1,COUNTIF($U$2:U95,1),"")</f>
        <v>76</v>
      </c>
      <c r="X95" s="29">
        <f t="shared" si="7"/>
        <v>44</v>
      </c>
      <c r="Y95" s="29">
        <f>IF(AND(LEFT($B95,7)="SBA 26/",$D95&lt;&gt;"",$F95&lt;&gt;""),COUNTIFS($D$2:$D95,$D95,$B$2:$B95,"SBA 26/*",$F$2:$F95,"&lt;&gt;"),"")</f>
        <v>13</v>
      </c>
      <c r="Z95" s="29" t="str">
        <f>IF(Y95=1,COUNTIF($Y$2:Y95,1),"")</f>
        <v/>
      </c>
      <c r="AA95" s="29">
        <f>IF(AND(LEFT($B95,7)="SBA 26/",$C95&lt;&gt;"",$F95&lt;&gt;""),COUNTIFS($C$2:$C95,$C95,$B$2:$B95,"SBA 26/*",$F$2:$F95,"&lt;&gt;"),"")</f>
        <v>1</v>
      </c>
      <c r="AB95" s="29">
        <f>IF(AA95=1,COUNTIF($AA$2:AA95,1),"")</f>
        <v>76</v>
      </c>
    </row>
    <row r="96" spans="1:28" ht="78.75" customHeight="1" x14ac:dyDescent="0.2">
      <c r="A96" s="43" t="s">
        <v>576</v>
      </c>
      <c r="B96" s="43" t="s">
        <v>577</v>
      </c>
      <c r="C96" s="44" t="s">
        <v>578</v>
      </c>
      <c r="D96" s="44" t="s">
        <v>113</v>
      </c>
      <c r="E96" s="45" t="s">
        <v>579</v>
      </c>
      <c r="F96" s="45" t="s">
        <v>580</v>
      </c>
      <c r="G96" s="46" t="s">
        <v>38</v>
      </c>
      <c r="H96" s="48">
        <v>46036</v>
      </c>
      <c r="I96" s="48">
        <v>46042</v>
      </c>
      <c r="J96" s="44" t="s">
        <v>99</v>
      </c>
      <c r="K96" s="44" t="s">
        <v>100</v>
      </c>
      <c r="L96" s="50" t="s">
        <v>77</v>
      </c>
      <c r="M96" s="50"/>
      <c r="N96" s="50"/>
      <c r="O96" s="49"/>
      <c r="P96" s="50" t="str">
        <f t="shared" si="4"/>
        <v>ONAY</v>
      </c>
      <c r="R96" s="51" t="str">
        <f t="shared" si="5"/>
        <v/>
      </c>
      <c r="T96" s="41"/>
      <c r="U96" s="29">
        <f>IF($C96&lt;&gt;"",COUNTIF($C$2:C96,C96),"")</f>
        <v>1</v>
      </c>
      <c r="V96" s="29" t="str">
        <f t="shared" si="6"/>
        <v>Prof. Dr. Ayşe Tomris ERBAŞ§1</v>
      </c>
      <c r="W96" s="29">
        <f>IF(U96=1,COUNTIF($U$2:U96,1),"")</f>
        <v>77</v>
      </c>
      <c r="X96" s="29">
        <f t="shared" si="7"/>
        <v>192</v>
      </c>
      <c r="Y96" s="29">
        <f>IF(AND(LEFT($B96,7)="SBA 26/",$D96&lt;&gt;"",$F96&lt;&gt;""),COUNTIFS($D$2:$D96,$D96,$B$2:$B96,"SBA 26/*",$F$2:$F96,"&lt;&gt;"),"")</f>
        <v>11</v>
      </c>
      <c r="Z96" s="29" t="str">
        <f>IF(Y96=1,COUNTIF($Y$2:Y96,1),"")</f>
        <v/>
      </c>
      <c r="AA96" s="29">
        <f>IF(AND(LEFT($B96,7)="SBA 26/",$C96&lt;&gt;"",$F96&lt;&gt;""),COUNTIFS($C$2:$C96,$C96,$B$2:$B96,"SBA 26/*",$F$2:$F96,"&lt;&gt;"),"")</f>
        <v>1</v>
      </c>
      <c r="AB96" s="29">
        <f>IF(AA96=1,COUNTIF($AA$2:AA96,1),"")</f>
        <v>77</v>
      </c>
    </row>
    <row r="97" spans="1:28" ht="47.25" customHeight="1" x14ac:dyDescent="0.2">
      <c r="A97" s="43" t="s">
        <v>581</v>
      </c>
      <c r="B97" s="43" t="s">
        <v>582</v>
      </c>
      <c r="C97" s="44" t="s">
        <v>583</v>
      </c>
      <c r="D97" s="44" t="s">
        <v>584</v>
      </c>
      <c r="E97" s="45" t="s">
        <v>585</v>
      </c>
      <c r="F97" s="45" t="s">
        <v>586</v>
      </c>
      <c r="G97" s="46" t="s">
        <v>41</v>
      </c>
      <c r="H97" s="48">
        <v>46037</v>
      </c>
      <c r="I97" s="48">
        <v>46042</v>
      </c>
      <c r="J97" s="44" t="s">
        <v>91</v>
      </c>
      <c r="K97" s="44" t="s">
        <v>99</v>
      </c>
      <c r="L97" s="50" t="s">
        <v>77</v>
      </c>
      <c r="M97" s="50"/>
      <c r="N97" s="50"/>
      <c r="O97" s="49"/>
      <c r="P97" s="50" t="str">
        <f t="shared" si="4"/>
        <v>ONAY</v>
      </c>
      <c r="R97" s="51" t="str">
        <f t="shared" si="5"/>
        <v/>
      </c>
      <c r="T97" s="41"/>
      <c r="U97" s="29">
        <f>IF($C97&lt;&gt;"",COUNTIF($C$2:C97,C97),"")</f>
        <v>1</v>
      </c>
      <c r="V97" s="29" t="str">
        <f t="shared" si="6"/>
        <v>Doç. Dr. Aslıhan AYKARA§1</v>
      </c>
      <c r="W97" s="29">
        <f>IF(U97=1,COUNTIF($U$2:U97,1),"")</f>
        <v>78</v>
      </c>
      <c r="X97" s="29">
        <f t="shared" si="7"/>
        <v>18</v>
      </c>
      <c r="Y97" s="29">
        <f>IF(AND(LEFT($B97,7)="SBA 26/",$D97&lt;&gt;"",$F97&lt;&gt;""),COUNTIFS($D$2:$D97,$D97,$B$2:$B97,"SBA 26/*",$F$2:$F97,"&lt;&gt;"),"")</f>
        <v>1</v>
      </c>
      <c r="Z97" s="29">
        <f>IF(Y97=1,COUNTIF($Y$2:Y97,1),"")</f>
        <v>42</v>
      </c>
      <c r="AA97" s="29">
        <f>IF(AND(LEFT($B97,7)="SBA 26/",$C97&lt;&gt;"",$F97&lt;&gt;""),COUNTIFS($C$2:$C97,$C97,$B$2:$B97,"SBA 26/*",$F$2:$F97,"&lt;&gt;"),"")</f>
        <v>1</v>
      </c>
      <c r="AB97" s="29">
        <f>IF(AA97=1,COUNTIF($AA$2:AA97,1),"")</f>
        <v>78</v>
      </c>
    </row>
    <row r="98" spans="1:28" ht="47.25" customHeight="1" x14ac:dyDescent="0.2">
      <c r="A98" s="43" t="s">
        <v>587</v>
      </c>
      <c r="B98" s="43" t="s">
        <v>588</v>
      </c>
      <c r="C98" s="44" t="s">
        <v>112</v>
      </c>
      <c r="D98" s="44" t="s">
        <v>113</v>
      </c>
      <c r="E98" s="45" t="s">
        <v>589</v>
      </c>
      <c r="F98" s="45" t="s">
        <v>590</v>
      </c>
      <c r="G98" s="46" t="s">
        <v>38</v>
      </c>
      <c r="H98" s="48">
        <v>46037</v>
      </c>
      <c r="I98" s="48">
        <v>46042</v>
      </c>
      <c r="J98" s="44" t="s">
        <v>129</v>
      </c>
      <c r="K98" s="44" t="s">
        <v>84</v>
      </c>
      <c r="L98" s="50" t="s">
        <v>77</v>
      </c>
      <c r="M98" s="50"/>
      <c r="N98" s="50"/>
      <c r="O98" s="49"/>
      <c r="P98" s="50" t="str">
        <f t="shared" si="4"/>
        <v>ONAY</v>
      </c>
      <c r="R98" s="51" t="str">
        <f t="shared" si="5"/>
        <v/>
      </c>
      <c r="T98" s="41"/>
      <c r="U98" s="29">
        <f>IF($C98&lt;&gt;"",COUNTIF($C$2:C98,C98),"")</f>
        <v>4</v>
      </c>
      <c r="V98" s="29" t="str">
        <f t="shared" si="6"/>
        <v>Prof. Dr. Meltem Gülhan HALİL§4</v>
      </c>
      <c r="W98" s="29" t="str">
        <f>IF(U98=1,COUNTIF($U$2:U98,1),"")</f>
        <v/>
      </c>
      <c r="X98" s="29" t="str">
        <f t="shared" si="7"/>
        <v/>
      </c>
      <c r="Y98" s="29">
        <f>IF(AND(LEFT($B98,7)="SBA 26/",$D98&lt;&gt;"",$F98&lt;&gt;""),COUNTIFS($D$2:$D98,$D98,$B$2:$B98,"SBA 26/*",$F$2:$F98,"&lt;&gt;"),"")</f>
        <v>12</v>
      </c>
      <c r="Z98" s="29" t="str">
        <f>IF(Y98=1,COUNTIF($Y$2:Y98,1),"")</f>
        <v/>
      </c>
      <c r="AA98" s="29">
        <f>IF(AND(LEFT($B98,7)="SBA 26/",$C98&lt;&gt;"",$F98&lt;&gt;""),COUNTIFS($C$2:$C98,$C98,$B$2:$B98,"SBA 26/*",$F$2:$F98,"&lt;&gt;"),"")</f>
        <v>4</v>
      </c>
      <c r="AB98" s="29" t="str">
        <f>IF(AA98=1,COUNTIF($AA$2:AA98,1),"")</f>
        <v/>
      </c>
    </row>
    <row r="99" spans="1:28" ht="47.25" customHeight="1" x14ac:dyDescent="0.2">
      <c r="A99" s="43" t="s">
        <v>591</v>
      </c>
      <c r="B99" s="43" t="s">
        <v>592</v>
      </c>
      <c r="C99" s="44" t="s">
        <v>112</v>
      </c>
      <c r="D99" s="44" t="s">
        <v>113</v>
      </c>
      <c r="E99" s="45" t="s">
        <v>589</v>
      </c>
      <c r="F99" s="45" t="s">
        <v>593</v>
      </c>
      <c r="G99" s="46" t="s">
        <v>38</v>
      </c>
      <c r="H99" s="48">
        <v>46037</v>
      </c>
      <c r="I99" s="48">
        <v>46042</v>
      </c>
      <c r="J99" s="44" t="s">
        <v>129</v>
      </c>
      <c r="K99" s="44" t="s">
        <v>84</v>
      </c>
      <c r="L99" s="50" t="s">
        <v>77</v>
      </c>
      <c r="M99" s="50"/>
      <c r="N99" s="50"/>
      <c r="O99" s="49"/>
      <c r="P99" s="50" t="str">
        <f t="shared" si="4"/>
        <v>ONAY</v>
      </c>
      <c r="R99" s="51" t="str">
        <f t="shared" si="5"/>
        <v/>
      </c>
      <c r="T99" s="41"/>
      <c r="U99" s="29">
        <f>IF($C99&lt;&gt;"",COUNTIF($C$2:C99,C99),"")</f>
        <v>5</v>
      </c>
      <c r="V99" s="29" t="str">
        <f t="shared" si="6"/>
        <v>Prof. Dr. Meltem Gülhan HALİL§5</v>
      </c>
      <c r="W99" s="29" t="str">
        <f>IF(U99=1,COUNTIF($U$2:U99,1),"")</f>
        <v/>
      </c>
      <c r="X99" s="29" t="str">
        <f t="shared" si="7"/>
        <v/>
      </c>
      <c r="Y99" s="29">
        <f>IF(AND(LEFT($B99,7)="SBA 26/",$D99&lt;&gt;"",$F99&lt;&gt;""),COUNTIFS($D$2:$D99,$D99,$B$2:$B99,"SBA 26/*",$F$2:$F99,"&lt;&gt;"),"")</f>
        <v>13</v>
      </c>
      <c r="Z99" s="29" t="str">
        <f>IF(Y99=1,COUNTIF($Y$2:Y99,1),"")</f>
        <v/>
      </c>
      <c r="AA99" s="29">
        <f>IF(AND(LEFT($B99,7)="SBA 26/",$C99&lt;&gt;"",$F99&lt;&gt;""),COUNTIFS($C$2:$C99,$C99,$B$2:$B99,"SBA 26/*",$F$2:$F99,"&lt;&gt;"),"")</f>
        <v>5</v>
      </c>
      <c r="AB99" s="29" t="str">
        <f>IF(AA99=1,COUNTIF($AA$2:AA99,1),"")</f>
        <v/>
      </c>
    </row>
    <row r="100" spans="1:28" ht="63" customHeight="1" x14ac:dyDescent="0.2">
      <c r="A100" s="43" t="s">
        <v>594</v>
      </c>
      <c r="B100" s="43" t="s">
        <v>595</v>
      </c>
      <c r="C100" s="44" t="s">
        <v>583</v>
      </c>
      <c r="D100" s="44" t="s">
        <v>584</v>
      </c>
      <c r="E100" s="45" t="s">
        <v>596</v>
      </c>
      <c r="F100" s="45" t="s">
        <v>597</v>
      </c>
      <c r="G100" s="46" t="s">
        <v>41</v>
      </c>
      <c r="H100" s="48">
        <v>46037</v>
      </c>
      <c r="I100" s="48">
        <v>46042</v>
      </c>
      <c r="J100" s="44" t="s">
        <v>91</v>
      </c>
      <c r="K100" s="44" t="s">
        <v>92</v>
      </c>
      <c r="L100" s="50" t="s">
        <v>77</v>
      </c>
      <c r="M100" s="50"/>
      <c r="N100" s="50"/>
      <c r="O100" s="49"/>
      <c r="P100" s="50" t="str">
        <f t="shared" si="4"/>
        <v>ONAY</v>
      </c>
      <c r="R100" s="51" t="str">
        <f t="shared" si="5"/>
        <v/>
      </c>
      <c r="T100" s="41"/>
      <c r="U100" s="29">
        <f>IF($C100&lt;&gt;"",COUNTIF($C$2:C100,C100),"")</f>
        <v>2</v>
      </c>
      <c r="V100" s="29" t="str">
        <f t="shared" si="6"/>
        <v>Doç. Dr. Aslıhan AYKARA§2</v>
      </c>
      <c r="W100" s="29" t="str">
        <f>IF(U100=1,COUNTIF($U$2:U100,1),"")</f>
        <v/>
      </c>
      <c r="X100" s="29" t="str">
        <f t="shared" si="7"/>
        <v/>
      </c>
      <c r="Y100" s="29">
        <f>IF(AND(LEFT($B100,7)="SBA 26/",$D100&lt;&gt;"",$F100&lt;&gt;""),COUNTIFS($D$2:$D100,$D100,$B$2:$B100,"SBA 26/*",$F$2:$F100,"&lt;&gt;"),"")</f>
        <v>2</v>
      </c>
      <c r="Z100" s="29" t="str">
        <f>IF(Y100=1,COUNTIF($Y$2:Y100,1),"")</f>
        <v/>
      </c>
      <c r="AA100" s="29">
        <f>IF(AND(LEFT($B100,7)="SBA 26/",$C100&lt;&gt;"",$F100&lt;&gt;""),COUNTIFS($C$2:$C100,$C100,$B$2:$B100,"SBA 26/*",$F$2:$F100,"&lt;&gt;"),"")</f>
        <v>2</v>
      </c>
      <c r="AB100" s="29" t="str">
        <f>IF(AA100=1,COUNTIF($AA$2:AA100,1),"")</f>
        <v/>
      </c>
    </row>
    <row r="101" spans="1:28" ht="78.75" customHeight="1" x14ac:dyDescent="0.2">
      <c r="A101" s="43" t="s">
        <v>598</v>
      </c>
      <c r="B101" s="43" t="s">
        <v>599</v>
      </c>
      <c r="C101" s="44" t="s">
        <v>477</v>
      </c>
      <c r="D101" s="44" t="s">
        <v>222</v>
      </c>
      <c r="E101" s="45" t="s">
        <v>600</v>
      </c>
      <c r="F101" s="45" t="s">
        <v>601</v>
      </c>
      <c r="G101" s="46" t="s">
        <v>38</v>
      </c>
      <c r="H101" s="48">
        <v>46037</v>
      </c>
      <c r="I101" s="48">
        <v>46042</v>
      </c>
      <c r="J101" s="44" t="s">
        <v>75</v>
      </c>
      <c r="K101" s="44" t="s">
        <v>91</v>
      </c>
      <c r="L101" s="50" t="s">
        <v>77</v>
      </c>
      <c r="M101" s="50"/>
      <c r="N101" s="50"/>
      <c r="O101" s="49"/>
      <c r="P101" s="50" t="str">
        <f t="shared" si="4"/>
        <v>ONAY</v>
      </c>
      <c r="R101" s="51" t="str">
        <f t="shared" si="5"/>
        <v/>
      </c>
      <c r="T101" s="41"/>
      <c r="U101" s="29">
        <f>IF($C101&lt;&gt;"",COUNTIF($C$2:C101,C101),"")</f>
        <v>3</v>
      </c>
      <c r="V101" s="29" t="str">
        <f t="shared" si="6"/>
        <v>Prof. Dr. Sıddika Songül YALÇIN§3</v>
      </c>
      <c r="W101" s="29" t="str">
        <f>IF(U101=1,COUNTIF($U$2:U101,1),"")</f>
        <v/>
      </c>
      <c r="X101" s="29" t="str">
        <f t="shared" si="7"/>
        <v/>
      </c>
      <c r="Y101" s="29">
        <f>IF(AND(LEFT($B101,7)="SBA 26/",$D101&lt;&gt;"",$F101&lt;&gt;""),COUNTIFS($D$2:$D101,$D101,$B$2:$B101,"SBA 26/*",$F$2:$F101,"&lt;&gt;"),"")</f>
        <v>14</v>
      </c>
      <c r="Z101" s="29" t="str">
        <f>IF(Y101=1,COUNTIF($Y$2:Y101,1),"")</f>
        <v/>
      </c>
      <c r="AA101" s="29">
        <f>IF(AND(LEFT($B101,7)="SBA 26/",$C101&lt;&gt;"",$F101&lt;&gt;""),COUNTIFS($C$2:$C101,$C101,$B$2:$B101,"SBA 26/*",$F$2:$F101,"&lt;&gt;"),"")</f>
        <v>3</v>
      </c>
      <c r="AB101" s="29" t="str">
        <f>IF(AA101=1,COUNTIF($AA$2:AA101,1),"")</f>
        <v/>
      </c>
    </row>
    <row r="102" spans="1:28" ht="79.5" customHeight="1" x14ac:dyDescent="0.2">
      <c r="A102" s="43" t="s">
        <v>602</v>
      </c>
      <c r="B102" s="43" t="s">
        <v>603</v>
      </c>
      <c r="C102" s="44" t="s">
        <v>604</v>
      </c>
      <c r="D102" s="44" t="s">
        <v>215</v>
      </c>
      <c r="E102" s="45" t="s">
        <v>605</v>
      </c>
      <c r="F102" s="45" t="s">
        <v>606</v>
      </c>
      <c r="G102" s="46" t="s">
        <v>39</v>
      </c>
      <c r="H102" s="48">
        <v>46044</v>
      </c>
      <c r="I102" s="48">
        <v>46057</v>
      </c>
      <c r="J102" s="44" t="s">
        <v>123</v>
      </c>
      <c r="K102" s="44" t="s">
        <v>84</v>
      </c>
      <c r="L102" s="50" t="s">
        <v>77</v>
      </c>
      <c r="M102" s="50"/>
      <c r="N102" s="50"/>
      <c r="O102" s="49"/>
      <c r="P102" s="50" t="str">
        <f t="shared" si="4"/>
        <v>ONAY</v>
      </c>
      <c r="R102" s="51" t="str">
        <f t="shared" si="5"/>
        <v/>
      </c>
      <c r="T102" s="41"/>
      <c r="U102" s="29">
        <f>IF($C102&lt;&gt;"",COUNTIF($C$2:C102,C102),"")</f>
        <v>1</v>
      </c>
      <c r="V102" s="29" t="str">
        <f t="shared" si="6"/>
        <v>Prof. Dr. Hakan Hıfzı TÜZ§1</v>
      </c>
      <c r="W102" s="29">
        <f>IF(U102=1,COUNTIF($U$2:U102,1),"")</f>
        <v>79</v>
      </c>
      <c r="X102" s="29">
        <f t="shared" si="7"/>
        <v>237</v>
      </c>
      <c r="Y102" s="29">
        <f>IF(AND(LEFT($B102,7)="SBA 26/",$D102&lt;&gt;"",$F102&lt;&gt;""),COUNTIFS($D$2:$D102,$D102,$B$2:$B102,"SBA 26/*",$F$2:$F102,"&lt;&gt;"),"")</f>
        <v>2</v>
      </c>
      <c r="Z102" s="29" t="str">
        <f>IF(Y102=1,COUNTIF($Y$2:Y102,1),"")</f>
        <v/>
      </c>
      <c r="AA102" s="29">
        <f>IF(AND(LEFT($B102,7)="SBA 26/",$C102&lt;&gt;"",$F102&lt;&gt;""),COUNTIFS($C$2:$C102,$C102,$B$2:$B102,"SBA 26/*",$F$2:$F102,"&lt;&gt;"),"")</f>
        <v>1</v>
      </c>
      <c r="AB102" s="29">
        <f>IF(AA102=1,COUNTIF($AA$2:AA102,1),"")</f>
        <v>79</v>
      </c>
    </row>
    <row r="103" spans="1:28" ht="94.5" customHeight="1" x14ac:dyDescent="0.2">
      <c r="A103" s="43" t="s">
        <v>607</v>
      </c>
      <c r="B103" s="43" t="s">
        <v>608</v>
      </c>
      <c r="C103" s="44" t="s">
        <v>609</v>
      </c>
      <c r="D103" s="44" t="s">
        <v>163</v>
      </c>
      <c r="E103" s="45" t="s">
        <v>610</v>
      </c>
      <c r="F103" s="45" t="s">
        <v>611</v>
      </c>
      <c r="G103" s="46" t="s">
        <v>38</v>
      </c>
      <c r="H103" s="48">
        <v>46044</v>
      </c>
      <c r="I103" s="48">
        <v>46057</v>
      </c>
      <c r="J103" s="44" t="s">
        <v>129</v>
      </c>
      <c r="K103" s="44" t="s">
        <v>109</v>
      </c>
      <c r="L103" s="50" t="s">
        <v>101</v>
      </c>
      <c r="M103" s="50" t="s">
        <v>77</v>
      </c>
      <c r="N103" s="50"/>
      <c r="O103" s="49"/>
      <c r="P103" s="50" t="str">
        <f t="shared" si="4"/>
        <v>ONAY</v>
      </c>
      <c r="Q103" s="28" t="s">
        <v>129</v>
      </c>
      <c r="R103" s="51" t="str">
        <f t="shared" si="5"/>
        <v/>
      </c>
      <c r="T103" s="41"/>
      <c r="U103" s="29">
        <f>IF($C103&lt;&gt;"",COUNTIF($C$2:C103,C103),"")</f>
        <v>1</v>
      </c>
      <c r="V103" s="29" t="str">
        <f t="shared" si="6"/>
        <v>Dr. Öğr. Üyesi Burkay UTKU§1</v>
      </c>
      <c r="W103" s="29">
        <f>IF(U103=1,COUNTIF($U$2:U103,1),"")</f>
        <v>80</v>
      </c>
      <c r="X103" s="29">
        <f t="shared" si="7"/>
        <v>123</v>
      </c>
      <c r="Y103" s="29">
        <f>IF(AND(LEFT($B103,7)="SBA 26/",$D103&lt;&gt;"",$F103&lt;&gt;""),COUNTIFS($D$2:$D103,$D103,$B$2:$B103,"SBA 26/*",$F$2:$F103,"&lt;&gt;"),"")</f>
        <v>3</v>
      </c>
      <c r="Z103" s="29" t="str">
        <f>IF(Y103=1,COUNTIF($Y$2:Y103,1),"")</f>
        <v/>
      </c>
      <c r="AA103" s="29">
        <f>IF(AND(LEFT($B103,7)="SBA 26/",$C103&lt;&gt;"",$F103&lt;&gt;""),COUNTIFS($C$2:$C103,$C103,$B$2:$B103,"SBA 26/*",$F$2:$F103,"&lt;&gt;"),"")</f>
        <v>1</v>
      </c>
      <c r="AB103" s="29">
        <f>IF(AA103=1,COUNTIF($AA$2:AA103,1),"")</f>
        <v>80</v>
      </c>
    </row>
    <row r="104" spans="1:28" ht="63" customHeight="1" x14ac:dyDescent="0.2">
      <c r="A104" s="43" t="s">
        <v>612</v>
      </c>
      <c r="B104" s="43" t="s">
        <v>613</v>
      </c>
      <c r="C104" s="44" t="s">
        <v>100</v>
      </c>
      <c r="D104" s="44" t="s">
        <v>133</v>
      </c>
      <c r="E104" s="45" t="s">
        <v>614</v>
      </c>
      <c r="F104" s="45" t="s">
        <v>615</v>
      </c>
      <c r="G104" s="46" t="s">
        <v>39</v>
      </c>
      <c r="H104" s="48">
        <v>46044</v>
      </c>
      <c r="I104" s="48">
        <v>46057</v>
      </c>
      <c r="J104" s="44" t="s">
        <v>91</v>
      </c>
      <c r="K104" s="44" t="s">
        <v>76</v>
      </c>
      <c r="L104" s="50" t="s">
        <v>77</v>
      </c>
      <c r="M104" s="50"/>
      <c r="N104" s="50"/>
      <c r="O104" s="49"/>
      <c r="P104" s="50" t="str">
        <f t="shared" si="4"/>
        <v>ONAY</v>
      </c>
      <c r="R104" s="51" t="str">
        <f t="shared" si="5"/>
        <v/>
      </c>
      <c r="T104" s="41"/>
      <c r="U104" s="29">
        <f>IF($C104&lt;&gt;"",COUNTIF($C$2:C104,C104),"")</f>
        <v>1</v>
      </c>
      <c r="V104" s="29" t="str">
        <f t="shared" si="6"/>
        <v>Doç. Dr. Burcu ERSÖZ ALAN§1</v>
      </c>
      <c r="W104" s="29">
        <f>IF(U104=1,COUNTIF($U$2:U104,1),"")</f>
        <v>81</v>
      </c>
      <c r="X104" s="29">
        <f t="shared" si="7"/>
        <v>27</v>
      </c>
      <c r="Y104" s="29">
        <f>IF(AND(LEFT($B104,7)="SBA 26/",$D104&lt;&gt;"",$F104&lt;&gt;""),COUNTIFS($D$2:$D104,$D104,$B$2:$B104,"SBA 26/*",$F$2:$F104,"&lt;&gt;"),"")</f>
        <v>3</v>
      </c>
      <c r="Z104" s="29" t="str">
        <f>IF(Y104=1,COUNTIF($Y$2:Y104,1),"")</f>
        <v/>
      </c>
      <c r="AA104" s="29">
        <f>IF(AND(LEFT($B104,7)="SBA 26/",$C104&lt;&gt;"",$F104&lt;&gt;""),COUNTIFS($C$2:$C104,$C104,$B$2:$B104,"SBA 26/*",$F$2:$F104,"&lt;&gt;"),"")</f>
        <v>1</v>
      </c>
      <c r="AB104" s="29">
        <f>IF(AA104=1,COUNTIF($AA$2:AA104,1),"")</f>
        <v>81</v>
      </c>
    </row>
    <row r="105" spans="1:28" ht="97.5" customHeight="1" x14ac:dyDescent="0.2">
      <c r="A105" s="43" t="s">
        <v>616</v>
      </c>
      <c r="B105" s="43" t="s">
        <v>617</v>
      </c>
      <c r="C105" s="44" t="s">
        <v>618</v>
      </c>
      <c r="D105" s="44" t="s">
        <v>113</v>
      </c>
      <c r="E105" s="45" t="s">
        <v>619</v>
      </c>
      <c r="F105" s="45" t="s">
        <v>620</v>
      </c>
      <c r="G105" s="46" t="s">
        <v>38</v>
      </c>
      <c r="H105" s="48">
        <v>46044</v>
      </c>
      <c r="I105" s="48">
        <v>46057</v>
      </c>
      <c r="J105" s="44" t="s">
        <v>109</v>
      </c>
      <c r="K105" s="44" t="s">
        <v>84</v>
      </c>
      <c r="L105" s="50" t="s">
        <v>77</v>
      </c>
      <c r="M105" s="50"/>
      <c r="N105" s="50"/>
      <c r="O105" s="49"/>
      <c r="P105" s="50" t="str">
        <f t="shared" si="4"/>
        <v>ONAY</v>
      </c>
      <c r="R105" s="51" t="str">
        <f t="shared" si="5"/>
        <v/>
      </c>
      <c r="T105" s="41"/>
      <c r="U105" s="29">
        <f>IF($C105&lt;&gt;"",COUNTIF($C$2:C105,C105),"")</f>
        <v>1</v>
      </c>
      <c r="V105" s="29" t="str">
        <f t="shared" si="6"/>
        <v>Prof. Dr. Selçuk DAĞDELEN§1</v>
      </c>
      <c r="W105" s="29">
        <f>IF(U105=1,COUNTIF($U$2:U105,1),"")</f>
        <v>82</v>
      </c>
      <c r="X105" s="29">
        <f t="shared" si="7"/>
        <v>303</v>
      </c>
      <c r="Y105" s="29">
        <f>IF(AND(LEFT($B105,7)="SBA 26/",$D105&lt;&gt;"",$F105&lt;&gt;""),COUNTIFS($D$2:$D105,$D105,$B$2:$B105,"SBA 26/*",$F$2:$F105,"&lt;&gt;"),"")</f>
        <v>14</v>
      </c>
      <c r="Z105" s="29" t="str">
        <f>IF(Y105=1,COUNTIF($Y$2:Y105,1),"")</f>
        <v/>
      </c>
      <c r="AA105" s="29">
        <f>IF(AND(LEFT($B105,7)="SBA 26/",$C105&lt;&gt;"",$F105&lt;&gt;""),COUNTIFS($C$2:$C105,$C105,$B$2:$B105,"SBA 26/*",$F$2:$F105,"&lt;&gt;"),"")</f>
        <v>1</v>
      </c>
      <c r="AB105" s="29">
        <f>IF(AA105=1,COUNTIF($AA$2:AA105,1),"")</f>
        <v>82</v>
      </c>
    </row>
    <row r="106" spans="1:28" ht="78.75" customHeight="1" x14ac:dyDescent="0.2">
      <c r="A106" s="43" t="s">
        <v>621</v>
      </c>
      <c r="B106" s="43" t="s">
        <v>622</v>
      </c>
      <c r="C106" s="44" t="s">
        <v>623</v>
      </c>
      <c r="D106" s="44" t="s">
        <v>169</v>
      </c>
      <c r="E106" s="45" t="s">
        <v>624</v>
      </c>
      <c r="F106" s="45" t="s">
        <v>625</v>
      </c>
      <c r="G106" s="46" t="s">
        <v>38</v>
      </c>
      <c r="H106" s="48">
        <v>46044</v>
      </c>
      <c r="I106" s="48">
        <v>46057</v>
      </c>
      <c r="J106" s="44" t="s">
        <v>109</v>
      </c>
      <c r="K106" s="44" t="s">
        <v>75</v>
      </c>
      <c r="L106" s="50" t="s">
        <v>77</v>
      </c>
      <c r="M106" s="50"/>
      <c r="N106" s="50"/>
      <c r="O106" s="49"/>
      <c r="P106" s="50" t="str">
        <f t="shared" si="4"/>
        <v>ONAY</v>
      </c>
      <c r="R106" s="51" t="str">
        <f t="shared" si="5"/>
        <v/>
      </c>
      <c r="T106" s="41"/>
      <c r="U106" s="29">
        <f>IF($C106&lt;&gt;"",COUNTIF($C$2:C106,C106),"")</f>
        <v>1</v>
      </c>
      <c r="V106" s="29" t="str">
        <f t="shared" si="6"/>
        <v>Öğr. Gör. Dr. Aytekin İDİKUT§1</v>
      </c>
      <c r="W106" s="29">
        <f>IF(U106=1,COUNTIF($U$2:U106,1),"")</f>
        <v>83</v>
      </c>
      <c r="X106" s="29">
        <f t="shared" si="7"/>
        <v>168</v>
      </c>
      <c r="Y106" s="29">
        <f>IF(AND(LEFT($B106,7)="SBA 26/",$D106&lt;&gt;"",$F106&lt;&gt;""),COUNTIFS($D$2:$D106,$D106,$B$2:$B106,"SBA 26/*",$F$2:$F106,"&lt;&gt;"),"")</f>
        <v>6</v>
      </c>
      <c r="Z106" s="29" t="str">
        <f>IF(Y106=1,COUNTIF($Y$2:Y106,1),"")</f>
        <v/>
      </c>
      <c r="AA106" s="29">
        <f>IF(AND(LEFT($B106,7)="SBA 26/",$C106&lt;&gt;"",$F106&lt;&gt;""),COUNTIFS($C$2:$C106,$C106,$B$2:$B106,"SBA 26/*",$F$2:$F106,"&lt;&gt;"),"")</f>
        <v>1</v>
      </c>
      <c r="AB106" s="29">
        <f>IF(AA106=1,COUNTIF($AA$2:AA106,1),"")</f>
        <v>83</v>
      </c>
    </row>
    <row r="107" spans="1:28" ht="63" customHeight="1" x14ac:dyDescent="0.2">
      <c r="A107" s="43" t="s">
        <v>626</v>
      </c>
      <c r="B107" s="43" t="s">
        <v>627</v>
      </c>
      <c r="C107" s="44" t="s">
        <v>628</v>
      </c>
      <c r="D107" s="44" t="s">
        <v>228</v>
      </c>
      <c r="E107" s="45" t="s">
        <v>629</v>
      </c>
      <c r="F107" s="45" t="s">
        <v>630</v>
      </c>
      <c r="G107" s="46" t="s">
        <v>38</v>
      </c>
      <c r="H107" s="48">
        <v>46044</v>
      </c>
      <c r="I107" s="48">
        <v>46057</v>
      </c>
      <c r="J107" s="44" t="s">
        <v>100</v>
      </c>
      <c r="K107" s="44" t="s">
        <v>129</v>
      </c>
      <c r="L107" s="50" t="s">
        <v>77</v>
      </c>
      <c r="M107" s="50"/>
      <c r="N107" s="50"/>
      <c r="O107" s="49"/>
      <c r="P107" s="50" t="str">
        <f t="shared" si="4"/>
        <v>ONAY</v>
      </c>
      <c r="R107" s="51" t="str">
        <f t="shared" si="5"/>
        <v/>
      </c>
      <c r="T107" s="41"/>
      <c r="U107" s="29">
        <f>IF($C107&lt;&gt;"",COUNTIF($C$2:C107,C107),"")</f>
        <v>1</v>
      </c>
      <c r="V107" s="29" t="str">
        <f t="shared" si="6"/>
        <v>Dr. Öğr. Üyesi Murat ÇAĞAN§1</v>
      </c>
      <c r="W107" s="29">
        <f>IF(U107=1,COUNTIF($U$2:U107,1),"")</f>
        <v>84</v>
      </c>
      <c r="X107" s="29">
        <f t="shared" si="7"/>
        <v>147</v>
      </c>
      <c r="Y107" s="29">
        <f>IF(AND(LEFT($B107,7)="SBA 26/",$D107&lt;&gt;"",$F107&lt;&gt;""),COUNTIFS($D$2:$D107,$D107,$B$2:$B107,"SBA 26/*",$F$2:$F107,"&lt;&gt;"),"")</f>
        <v>3</v>
      </c>
      <c r="Z107" s="29" t="str">
        <f>IF(Y107=1,COUNTIF($Y$2:Y107,1),"")</f>
        <v/>
      </c>
      <c r="AA107" s="29">
        <f>IF(AND(LEFT($B107,7)="SBA 26/",$C107&lt;&gt;"",$F107&lt;&gt;""),COUNTIFS($C$2:$C107,$C107,$B$2:$B107,"SBA 26/*",$F$2:$F107,"&lt;&gt;"),"")</f>
        <v>1</v>
      </c>
      <c r="AB107" s="29">
        <f>IF(AA107=1,COUNTIF($AA$2:AA107,1),"")</f>
        <v>84</v>
      </c>
    </row>
    <row r="108" spans="1:28" ht="110.25" customHeight="1" x14ac:dyDescent="0.2">
      <c r="A108" s="43" t="s">
        <v>631</v>
      </c>
      <c r="B108" s="43" t="s">
        <v>632</v>
      </c>
      <c r="C108" s="44" t="s">
        <v>633</v>
      </c>
      <c r="D108" s="44" t="s">
        <v>228</v>
      </c>
      <c r="E108" s="45" t="s">
        <v>634</v>
      </c>
      <c r="F108" s="45" t="s">
        <v>635</v>
      </c>
      <c r="G108" s="46" t="s">
        <v>38</v>
      </c>
      <c r="H108" s="48">
        <v>46044</v>
      </c>
      <c r="I108" s="48">
        <v>46057</v>
      </c>
      <c r="J108" s="44" t="s">
        <v>75</v>
      </c>
      <c r="K108" s="44" t="s">
        <v>76</v>
      </c>
      <c r="L108" s="50" t="s">
        <v>101</v>
      </c>
      <c r="M108" s="50" t="s">
        <v>77</v>
      </c>
      <c r="N108" s="50"/>
      <c r="O108" s="49"/>
      <c r="P108" s="50" t="str">
        <f t="shared" si="4"/>
        <v>ONAY</v>
      </c>
      <c r="Q108" s="28" t="s">
        <v>75</v>
      </c>
      <c r="R108" s="51" t="str">
        <f t="shared" si="5"/>
        <v/>
      </c>
      <c r="T108" s="41"/>
      <c r="U108" s="29">
        <f>IF($C108&lt;&gt;"",COUNTIF($C$2:C108,C108),"")</f>
        <v>1</v>
      </c>
      <c r="V108" s="29" t="str">
        <f t="shared" si="6"/>
        <v>Doç. Dr. Utku AKGÖR§1</v>
      </c>
      <c r="W108" s="29">
        <f>IF(U108=1,COUNTIF($U$2:U108,1),"")</f>
        <v>85</v>
      </c>
      <c r="X108" s="29">
        <f t="shared" si="7"/>
        <v>102</v>
      </c>
      <c r="Y108" s="29">
        <f>IF(AND(LEFT($B108,7)="SBA 26/",$D108&lt;&gt;"",$F108&lt;&gt;""),COUNTIFS($D$2:$D108,$D108,$B$2:$B108,"SBA 26/*",$F$2:$F108,"&lt;&gt;"),"")</f>
        <v>4</v>
      </c>
      <c r="Z108" s="29" t="str">
        <f>IF(Y108=1,COUNTIF($Y$2:Y108,1),"")</f>
        <v/>
      </c>
      <c r="AA108" s="29">
        <f>IF(AND(LEFT($B108,7)="SBA 26/",$C108&lt;&gt;"",$F108&lt;&gt;""),COUNTIFS($C$2:$C108,$C108,$B$2:$B108,"SBA 26/*",$F$2:$F108,"&lt;&gt;"),"")</f>
        <v>1</v>
      </c>
      <c r="AB108" s="29">
        <f>IF(AA108=1,COUNTIF($AA$2:AA108,1),"")</f>
        <v>85</v>
      </c>
    </row>
    <row r="109" spans="1:28" ht="78.75" customHeight="1" x14ac:dyDescent="0.2">
      <c r="A109" s="43" t="s">
        <v>636</v>
      </c>
      <c r="B109" s="43" t="s">
        <v>637</v>
      </c>
      <c r="C109" s="44" t="s">
        <v>638</v>
      </c>
      <c r="D109" s="44" t="s">
        <v>484</v>
      </c>
      <c r="E109" s="45" t="s">
        <v>639</v>
      </c>
      <c r="F109" s="45" t="s">
        <v>640</v>
      </c>
      <c r="G109" s="46" t="s">
        <v>38</v>
      </c>
      <c r="H109" s="48">
        <v>46044</v>
      </c>
      <c r="I109" s="48">
        <v>46057</v>
      </c>
      <c r="J109" s="44" t="s">
        <v>123</v>
      </c>
      <c r="K109" s="44" t="s">
        <v>100</v>
      </c>
      <c r="L109" s="50" t="s">
        <v>77</v>
      </c>
      <c r="M109" s="50"/>
      <c r="N109" s="50"/>
      <c r="O109" s="49"/>
      <c r="P109" s="50" t="str">
        <f t="shared" si="4"/>
        <v>ONAY</v>
      </c>
      <c r="R109" s="51" t="str">
        <f t="shared" si="5"/>
        <v/>
      </c>
      <c r="T109" s="41"/>
      <c r="U109" s="29">
        <f>IF($C109&lt;&gt;"",COUNTIF($C$2:C109,C109),"")</f>
        <v>1</v>
      </c>
      <c r="V109" s="29" t="str">
        <f t="shared" si="6"/>
        <v>Arş. Gör. Dt. Dilara KARA§1</v>
      </c>
      <c r="W109" s="29">
        <f>IF(U109=1,COUNTIF($U$2:U109,1),"")</f>
        <v>86</v>
      </c>
      <c r="X109" s="29">
        <f t="shared" si="7"/>
        <v>13</v>
      </c>
      <c r="Y109" s="29">
        <f>IF(AND(LEFT($B109,7)="SBA 26/",$D109&lt;&gt;"",$F109&lt;&gt;""),COUNTIFS($D$2:$D109,$D109,$B$2:$B109,"SBA 26/*",$F$2:$F109,"&lt;&gt;"),"")</f>
        <v>2</v>
      </c>
      <c r="Z109" s="29" t="str">
        <f>IF(Y109=1,COUNTIF($Y$2:Y109,1),"")</f>
        <v/>
      </c>
      <c r="AA109" s="29">
        <f>IF(AND(LEFT($B109,7)="SBA 26/",$C109&lt;&gt;"",$F109&lt;&gt;""),COUNTIFS($C$2:$C109,$C109,$B$2:$B109,"SBA 26/*",$F$2:$F109,"&lt;&gt;"),"")</f>
        <v>1</v>
      </c>
      <c r="AB109" s="29">
        <f>IF(AA109=1,COUNTIF($AA$2:AA109,1),"")</f>
        <v>86</v>
      </c>
    </row>
    <row r="110" spans="1:28" ht="78.75" customHeight="1" x14ac:dyDescent="0.2">
      <c r="A110" s="43" t="s">
        <v>641</v>
      </c>
      <c r="B110" s="43" t="s">
        <v>642</v>
      </c>
      <c r="C110" s="44" t="s">
        <v>643</v>
      </c>
      <c r="D110" s="44" t="s">
        <v>222</v>
      </c>
      <c r="E110" s="45" t="s">
        <v>644</v>
      </c>
      <c r="F110" s="45" t="s">
        <v>645</v>
      </c>
      <c r="G110" s="46" t="s">
        <v>38</v>
      </c>
      <c r="H110" s="48">
        <v>46044</v>
      </c>
      <c r="I110" s="48">
        <v>46057</v>
      </c>
      <c r="J110" s="44" t="s">
        <v>76</v>
      </c>
      <c r="K110" s="44" t="s">
        <v>84</v>
      </c>
      <c r="L110" s="50" t="s">
        <v>77</v>
      </c>
      <c r="M110" s="50"/>
      <c r="N110" s="50"/>
      <c r="O110" s="49"/>
      <c r="P110" s="50" t="str">
        <f t="shared" si="4"/>
        <v>ONAY</v>
      </c>
      <c r="R110" s="51" t="str">
        <f t="shared" si="5"/>
        <v/>
      </c>
      <c r="T110" s="41"/>
      <c r="U110" s="29">
        <f>IF($C110&lt;&gt;"",COUNTIF($C$2:C110,C110),"")</f>
        <v>1</v>
      </c>
      <c r="V110" s="29" t="str">
        <f t="shared" si="6"/>
        <v>Arş. Gör. Dr. Sebiha Şükran GÜNDEŞLİ§1</v>
      </c>
      <c r="W110" s="29">
        <f>IF(U110=1,COUNTIF($U$2:U110,1),"")</f>
        <v>87</v>
      </c>
      <c r="X110" s="29">
        <f t="shared" si="7"/>
        <v>9</v>
      </c>
      <c r="Y110" s="29">
        <f>IF(AND(LEFT($B110,7)="SBA 26/",$D110&lt;&gt;"",$F110&lt;&gt;""),COUNTIFS($D$2:$D110,$D110,$B$2:$B110,"SBA 26/*",$F$2:$F110,"&lt;&gt;"),"")</f>
        <v>15</v>
      </c>
      <c r="Z110" s="29" t="str">
        <f>IF(Y110=1,COUNTIF($Y$2:Y110,1),"")</f>
        <v/>
      </c>
      <c r="AA110" s="29">
        <f>IF(AND(LEFT($B110,7)="SBA 26/",$C110&lt;&gt;"",$F110&lt;&gt;""),COUNTIFS($C$2:$C110,$C110,$B$2:$B110,"SBA 26/*",$F$2:$F110,"&lt;&gt;"),"")</f>
        <v>1</v>
      </c>
      <c r="AB110" s="29">
        <f>IF(AA110=1,COUNTIF($AA$2:AA110,1),"")</f>
        <v>87</v>
      </c>
    </row>
    <row r="111" spans="1:28" ht="81.75" customHeight="1" x14ac:dyDescent="0.2">
      <c r="A111" s="43" t="s">
        <v>646</v>
      </c>
      <c r="B111" s="43" t="s">
        <v>647</v>
      </c>
      <c r="C111" s="44" t="s">
        <v>396</v>
      </c>
      <c r="D111" s="44" t="s">
        <v>397</v>
      </c>
      <c r="E111" s="45" t="s">
        <v>648</v>
      </c>
      <c r="F111" s="45" t="s">
        <v>649</v>
      </c>
      <c r="G111" s="46" t="s">
        <v>38</v>
      </c>
      <c r="H111" s="48">
        <v>46044</v>
      </c>
      <c r="I111" s="48">
        <v>46057</v>
      </c>
      <c r="J111" s="44" t="s">
        <v>84</v>
      </c>
      <c r="K111" s="44" t="s">
        <v>123</v>
      </c>
      <c r="L111" s="50" t="s">
        <v>77</v>
      </c>
      <c r="M111" s="50"/>
      <c r="N111" s="50"/>
      <c r="O111" s="49"/>
      <c r="P111" s="50" t="str">
        <f t="shared" si="4"/>
        <v>ONAY</v>
      </c>
      <c r="R111" s="51" t="str">
        <f t="shared" si="5"/>
        <v/>
      </c>
      <c r="T111" s="41"/>
      <c r="U111" s="29">
        <f>IF($C111&lt;&gt;"",COUNTIF($C$2:C111,C111),"")</f>
        <v>3</v>
      </c>
      <c r="V111" s="29" t="str">
        <f t="shared" si="6"/>
        <v>Prof. Dr. Salih Kutay DEMİRKAN§3</v>
      </c>
      <c r="W111" s="29" t="str">
        <f>IF(U111=1,COUNTIF($U$2:U111,1),"")</f>
        <v/>
      </c>
      <c r="X111" s="29" t="str">
        <f t="shared" si="7"/>
        <v/>
      </c>
      <c r="Y111" s="29">
        <f>IF(AND(LEFT($B111,7)="SBA 26/",$D111&lt;&gt;"",$F111&lt;&gt;""),COUNTIFS($D$2:$D111,$D111,$B$2:$B111,"SBA 26/*",$F$2:$F111,"&lt;&gt;"),"")</f>
        <v>5</v>
      </c>
      <c r="Z111" s="29" t="str">
        <f>IF(Y111=1,COUNTIF($Y$2:Y111,1),"")</f>
        <v/>
      </c>
      <c r="AA111" s="29">
        <f>IF(AND(LEFT($B111,7)="SBA 26/",$C111&lt;&gt;"",$F111&lt;&gt;""),COUNTIFS($C$2:$C111,$C111,$B$2:$B111,"SBA 26/*",$F$2:$F111,"&lt;&gt;"),"")</f>
        <v>3</v>
      </c>
      <c r="AB111" s="29" t="str">
        <f>IF(AA111=1,COUNTIF($AA$2:AA111,1),"")</f>
        <v/>
      </c>
    </row>
    <row r="112" spans="1:28" ht="94.5" customHeight="1" x14ac:dyDescent="0.2">
      <c r="A112" s="43" t="s">
        <v>650</v>
      </c>
      <c r="B112" s="43" t="s">
        <v>651</v>
      </c>
      <c r="C112" s="44" t="s">
        <v>652</v>
      </c>
      <c r="D112" s="44" t="s">
        <v>364</v>
      </c>
      <c r="E112" s="45" t="s">
        <v>653</v>
      </c>
      <c r="F112" s="45" t="s">
        <v>654</v>
      </c>
      <c r="G112" s="46" t="s">
        <v>38</v>
      </c>
      <c r="H112" s="48">
        <v>46044</v>
      </c>
      <c r="I112" s="48">
        <v>46057</v>
      </c>
      <c r="J112" s="44" t="s">
        <v>76</v>
      </c>
      <c r="K112" s="44" t="s">
        <v>100</v>
      </c>
      <c r="L112" s="50" t="s">
        <v>101</v>
      </c>
      <c r="M112" s="50" t="s">
        <v>77</v>
      </c>
      <c r="N112" s="50"/>
      <c r="O112" s="49"/>
      <c r="P112" s="50" t="str">
        <f t="shared" si="4"/>
        <v>ONAY</v>
      </c>
      <c r="Q112" s="28" t="s">
        <v>100</v>
      </c>
      <c r="R112" s="51" t="str">
        <f t="shared" si="5"/>
        <v/>
      </c>
      <c r="T112" s="41"/>
      <c r="U112" s="29">
        <f>IF($C112&lt;&gt;"",COUNTIF($C$2:C112,C112),"")</f>
        <v>1</v>
      </c>
      <c r="V112" s="29" t="str">
        <f t="shared" si="6"/>
        <v>Prof. Dr. Çağrı Mesut TEMUÇİN§1</v>
      </c>
      <c r="W112" s="29">
        <f>IF(U112=1,COUNTIF($U$2:U112,1),"")</f>
        <v>88</v>
      </c>
      <c r="X112" s="29">
        <f t="shared" si="7"/>
        <v>207</v>
      </c>
      <c r="Y112" s="29">
        <f>IF(AND(LEFT($B112,7)="SBA 26/",$D112&lt;&gt;"",$F112&lt;&gt;""),COUNTIFS($D$2:$D112,$D112,$B$2:$B112,"SBA 26/*",$F$2:$F112,"&lt;&gt;"),"")</f>
        <v>4</v>
      </c>
      <c r="Z112" s="29" t="str">
        <f>IF(Y112=1,COUNTIF($Y$2:Y112,1),"")</f>
        <v/>
      </c>
      <c r="AA112" s="29">
        <f>IF(AND(LEFT($B112,7)="SBA 26/",$C112&lt;&gt;"",$F112&lt;&gt;""),COUNTIFS($C$2:$C112,$C112,$B$2:$B112,"SBA 26/*",$F$2:$F112,"&lt;&gt;"),"")</f>
        <v>1</v>
      </c>
      <c r="AB112" s="29">
        <f>IF(AA112=1,COUNTIF($AA$2:AA112,1),"")</f>
        <v>88</v>
      </c>
    </row>
    <row r="113" spans="1:28" ht="63" customHeight="1" x14ac:dyDescent="0.2">
      <c r="A113" s="43" t="s">
        <v>655</v>
      </c>
      <c r="B113" s="43" t="s">
        <v>656</v>
      </c>
      <c r="C113" s="44" t="s">
        <v>657</v>
      </c>
      <c r="D113" s="44" t="s">
        <v>297</v>
      </c>
      <c r="E113" s="45" t="s">
        <v>658</v>
      </c>
      <c r="F113" s="45" t="s">
        <v>659</v>
      </c>
      <c r="G113" s="46" t="s">
        <v>38</v>
      </c>
      <c r="H113" s="48">
        <v>46044</v>
      </c>
      <c r="I113" s="48">
        <v>46057</v>
      </c>
      <c r="J113" s="44" t="s">
        <v>123</v>
      </c>
      <c r="K113" s="44" t="s">
        <v>129</v>
      </c>
      <c r="L113" s="50" t="s">
        <v>77</v>
      </c>
      <c r="M113" s="50"/>
      <c r="N113" s="50"/>
      <c r="O113" s="49"/>
      <c r="P113" s="50" t="str">
        <f t="shared" si="4"/>
        <v>ONAY</v>
      </c>
      <c r="R113" s="51" t="str">
        <f t="shared" si="5"/>
        <v/>
      </c>
      <c r="T113" s="41"/>
      <c r="U113" s="29">
        <f>IF($C113&lt;&gt;"",COUNTIF($C$2:C113,C113),"")</f>
        <v>1</v>
      </c>
      <c r="V113" s="29" t="str">
        <f t="shared" si="6"/>
        <v>Dr. Öğr. Üyesi Irmak OCAK§1</v>
      </c>
      <c r="W113" s="29">
        <f>IF(U113=1,COUNTIF($U$2:U113,1),"")</f>
        <v>89</v>
      </c>
      <c r="X113" s="29">
        <f t="shared" si="7"/>
        <v>143</v>
      </c>
      <c r="Y113" s="29">
        <f>IF(AND(LEFT($B113,7)="SBA 26/",$D113&lt;&gt;"",$F113&lt;&gt;""),COUNTIFS($D$2:$D113,$D113,$B$2:$B113,"SBA 26/*",$F$2:$F113,"&lt;&gt;"),"")</f>
        <v>3</v>
      </c>
      <c r="Z113" s="29" t="str">
        <f>IF(Y113=1,COUNTIF($Y$2:Y113,1),"")</f>
        <v/>
      </c>
      <c r="AA113" s="29">
        <f>IF(AND(LEFT($B113,7)="SBA 26/",$C113&lt;&gt;"",$F113&lt;&gt;""),COUNTIFS($C$2:$C113,$C113,$B$2:$B113,"SBA 26/*",$F$2:$F113,"&lt;&gt;"),"")</f>
        <v>1</v>
      </c>
      <c r="AB113" s="29">
        <f>IF(AA113=1,COUNTIF($AA$2:AA113,1),"")</f>
        <v>89</v>
      </c>
    </row>
    <row r="114" spans="1:28" ht="78.75" customHeight="1" x14ac:dyDescent="0.2">
      <c r="A114" s="43" t="s">
        <v>660</v>
      </c>
      <c r="B114" s="43" t="s">
        <v>661</v>
      </c>
      <c r="C114" s="44" t="s">
        <v>116</v>
      </c>
      <c r="D114" s="44" t="s">
        <v>662</v>
      </c>
      <c r="E114" s="45" t="s">
        <v>663</v>
      </c>
      <c r="F114" s="45" t="s">
        <v>664</v>
      </c>
      <c r="G114" s="46" t="s">
        <v>41</v>
      </c>
      <c r="H114" s="48">
        <v>46044</v>
      </c>
      <c r="I114" s="48">
        <v>46057</v>
      </c>
      <c r="J114" s="44" t="s">
        <v>75</v>
      </c>
      <c r="K114" s="44" t="s">
        <v>129</v>
      </c>
      <c r="L114" s="50" t="s">
        <v>101</v>
      </c>
      <c r="M114" s="50" t="s">
        <v>77</v>
      </c>
      <c r="N114" s="50"/>
      <c r="O114" s="49"/>
      <c r="P114" s="50" t="str">
        <f t="shared" si="4"/>
        <v>ONAY</v>
      </c>
      <c r="Q114" s="28" t="s">
        <v>75</v>
      </c>
      <c r="R114" s="51" t="str">
        <f t="shared" si="5"/>
        <v/>
      </c>
      <c r="T114" s="41"/>
      <c r="U114" s="29">
        <f>IF($C114&lt;&gt;"",COUNTIF($C$2:C114,C114),"")</f>
        <v>1</v>
      </c>
      <c r="V114" s="29" t="str">
        <f t="shared" si="6"/>
        <v>Prof. Dr. Ayşe KİN İŞLER§1</v>
      </c>
      <c r="W114" s="29">
        <f>IF(U114=1,COUNTIF($U$2:U114,1),"")</f>
        <v>90</v>
      </c>
      <c r="X114" s="29">
        <f t="shared" si="7"/>
        <v>191</v>
      </c>
      <c r="Y114" s="29">
        <f>IF(AND(LEFT($B114,7)="SBA 26/",$D114&lt;&gt;"",$F114&lt;&gt;""),COUNTIFS($D$2:$D114,$D114,$B$2:$B114,"SBA 26/*",$F$2:$F114,"&lt;&gt;"),"")</f>
        <v>1</v>
      </c>
      <c r="Z114" s="29">
        <f>IF(Y114=1,COUNTIF($Y$2:Y114,1),"")</f>
        <v>43</v>
      </c>
      <c r="AA114" s="29">
        <f>IF(AND(LEFT($B114,7)="SBA 26/",$C114&lt;&gt;"",$F114&lt;&gt;""),COUNTIFS($C$2:$C114,$C114,$B$2:$B114,"SBA 26/*",$F$2:$F114,"&lt;&gt;"),"")</f>
        <v>1</v>
      </c>
      <c r="AB114" s="29">
        <f>IF(AA114=1,COUNTIF($AA$2:AA114,1),"")</f>
        <v>90</v>
      </c>
    </row>
    <row r="115" spans="1:28" ht="110.25" customHeight="1" x14ac:dyDescent="0.2">
      <c r="A115" s="43" t="s">
        <v>665</v>
      </c>
      <c r="B115" s="43" t="s">
        <v>666</v>
      </c>
      <c r="C115" s="44" t="s">
        <v>260</v>
      </c>
      <c r="D115" s="44" t="s">
        <v>169</v>
      </c>
      <c r="E115" s="45" t="s">
        <v>667</v>
      </c>
      <c r="F115" s="45" t="s">
        <v>668</v>
      </c>
      <c r="G115" s="46" t="s">
        <v>38</v>
      </c>
      <c r="H115" s="48">
        <v>46044</v>
      </c>
      <c r="I115" s="48">
        <v>46057</v>
      </c>
      <c r="J115" s="44" t="s">
        <v>91</v>
      </c>
      <c r="K115" s="44" t="s">
        <v>100</v>
      </c>
      <c r="L115" s="50" t="s">
        <v>77</v>
      </c>
      <c r="M115" s="50"/>
      <c r="N115" s="50"/>
      <c r="O115" s="49"/>
      <c r="P115" s="50" t="str">
        <f t="shared" si="4"/>
        <v>ONAY</v>
      </c>
      <c r="R115" s="51" t="str">
        <f t="shared" si="5"/>
        <v/>
      </c>
      <c r="T115" s="41"/>
      <c r="U115" s="29">
        <f>IF($C115&lt;&gt;"",COUNTIF($C$2:C115,C115),"")</f>
        <v>2</v>
      </c>
      <c r="V115" s="29" t="str">
        <f t="shared" si="6"/>
        <v>Prof. Dr. Ebru DAMADOĞLU§2</v>
      </c>
      <c r="W115" s="29" t="str">
        <f>IF(U115=1,COUNTIF($U$2:U115,1),"")</f>
        <v/>
      </c>
      <c r="X115" s="29" t="str">
        <f t="shared" si="7"/>
        <v/>
      </c>
      <c r="Y115" s="29">
        <f>IF(AND(LEFT($B115,7)="SBA 26/",$D115&lt;&gt;"",$F115&lt;&gt;""),COUNTIFS($D$2:$D115,$D115,$B$2:$B115,"SBA 26/*",$F$2:$F115,"&lt;&gt;"),"")</f>
        <v>7</v>
      </c>
      <c r="Z115" s="29" t="str">
        <f>IF(Y115=1,COUNTIF($Y$2:Y115,1),"")</f>
        <v/>
      </c>
      <c r="AA115" s="29">
        <f>IF(AND(LEFT($B115,7)="SBA 26/",$C115&lt;&gt;"",$F115&lt;&gt;""),COUNTIFS($C$2:$C115,$C115,$B$2:$B115,"SBA 26/*",$F$2:$F115,"&lt;&gt;"),"")</f>
        <v>2</v>
      </c>
      <c r="AB115" s="29" t="str">
        <f>IF(AA115=1,COUNTIF($AA$2:AA115,1),"")</f>
        <v/>
      </c>
    </row>
    <row r="116" spans="1:28" ht="63" customHeight="1" x14ac:dyDescent="0.2">
      <c r="A116" s="43" t="s">
        <v>669</v>
      </c>
      <c r="B116" s="43" t="s">
        <v>670</v>
      </c>
      <c r="C116" s="44" t="s">
        <v>671</v>
      </c>
      <c r="D116" s="44" t="s">
        <v>347</v>
      </c>
      <c r="E116" s="45" t="s">
        <v>672</v>
      </c>
      <c r="F116" s="45" t="s">
        <v>673</v>
      </c>
      <c r="G116" s="46" t="s">
        <v>39</v>
      </c>
      <c r="H116" s="48">
        <v>46044</v>
      </c>
      <c r="I116" s="48">
        <v>46057</v>
      </c>
      <c r="J116" s="44" t="s">
        <v>91</v>
      </c>
      <c r="K116" s="44" t="s">
        <v>109</v>
      </c>
      <c r="L116" s="50" t="s">
        <v>101</v>
      </c>
      <c r="M116" s="50"/>
      <c r="N116" s="50"/>
      <c r="O116" s="49"/>
      <c r="P116" s="50" t="str">
        <f t="shared" si="4"/>
        <v>DÜZELTME</v>
      </c>
      <c r="R116" s="51" t="str">
        <f t="shared" si="5"/>
        <v/>
      </c>
      <c r="T116" s="41"/>
      <c r="U116" s="29">
        <f>IF($C116&lt;&gt;"",COUNTIF($C$2:C116,C116),"")</f>
        <v>1</v>
      </c>
      <c r="V116" s="29" t="str">
        <f t="shared" si="6"/>
        <v>Prof. Dr. Alp ÇETİN§1</v>
      </c>
      <c r="W116" s="29">
        <f>IF(U116=1,COUNTIF($U$2:U116,1),"")</f>
        <v>91</v>
      </c>
      <c r="X116" s="29">
        <f t="shared" si="7"/>
        <v>186</v>
      </c>
      <c r="Y116" s="29">
        <f>IF(AND(LEFT($B116,7)="SBA 26/",$D116&lt;&gt;"",$F116&lt;&gt;""),COUNTIFS($D$2:$D116,$D116,$B$2:$B116,"SBA 26/*",$F$2:$F116,"&lt;&gt;"),"")</f>
        <v>2</v>
      </c>
      <c r="Z116" s="29" t="str">
        <f>IF(Y116=1,COUNTIF($Y$2:Y116,1),"")</f>
        <v/>
      </c>
      <c r="AA116" s="29">
        <f>IF(AND(LEFT($B116,7)="SBA 26/",$C116&lt;&gt;"",$F116&lt;&gt;""),COUNTIFS($C$2:$C116,$C116,$B$2:$B116,"SBA 26/*",$F$2:$F116,"&lt;&gt;"),"")</f>
        <v>1</v>
      </c>
      <c r="AB116" s="29">
        <f>IF(AA116=1,COUNTIF($AA$2:AA116,1),"")</f>
        <v>91</v>
      </c>
    </row>
    <row r="117" spans="1:28" ht="78.75" customHeight="1" x14ac:dyDescent="0.2">
      <c r="A117" s="43" t="s">
        <v>674</v>
      </c>
      <c r="B117" s="43" t="s">
        <v>675</v>
      </c>
      <c r="C117" s="44" t="s">
        <v>676</v>
      </c>
      <c r="D117" s="44" t="s">
        <v>270</v>
      </c>
      <c r="E117" s="45" t="s">
        <v>677</v>
      </c>
      <c r="F117" s="45" t="s">
        <v>678</v>
      </c>
      <c r="G117" s="46" t="s">
        <v>41</v>
      </c>
      <c r="H117" s="48">
        <v>46044</v>
      </c>
      <c r="I117" s="48">
        <v>46057</v>
      </c>
      <c r="J117" s="44" t="s">
        <v>75</v>
      </c>
      <c r="K117" s="44" t="s">
        <v>100</v>
      </c>
      <c r="L117" s="50" t="s">
        <v>77</v>
      </c>
      <c r="M117" s="50"/>
      <c r="N117" s="50"/>
      <c r="O117" s="49"/>
      <c r="P117" s="50" t="str">
        <f t="shared" si="4"/>
        <v>ONAY</v>
      </c>
      <c r="R117" s="51" t="str">
        <f t="shared" si="5"/>
        <v/>
      </c>
      <c r="T117" s="41"/>
      <c r="U117" s="29">
        <f>IF($C117&lt;&gt;"",COUNTIF($C$2:C117,C117),"")</f>
        <v>1</v>
      </c>
      <c r="V117" s="29" t="str">
        <f t="shared" si="6"/>
        <v>Doç. Dr. Ceren GÜNENÇ BEŞER§1</v>
      </c>
      <c r="W117" s="29">
        <f>IF(U117=1,COUNTIF($U$2:U117,1),"")</f>
        <v>92</v>
      </c>
      <c r="X117" s="29">
        <f t="shared" si="7"/>
        <v>33</v>
      </c>
      <c r="Y117" s="29">
        <f>IF(AND(LEFT($B117,7)="SBA 26/",$D117&lt;&gt;"",$F117&lt;&gt;""),COUNTIFS($D$2:$D117,$D117,$B$2:$B117,"SBA 26/*",$F$2:$F117,"&lt;&gt;"),"")</f>
        <v>3</v>
      </c>
      <c r="Z117" s="29" t="str">
        <f>IF(Y117=1,COUNTIF($Y$2:Y117,1),"")</f>
        <v/>
      </c>
      <c r="AA117" s="29">
        <f>IF(AND(LEFT($B117,7)="SBA 26/",$C117&lt;&gt;"",$F117&lt;&gt;""),COUNTIFS($C$2:$C117,$C117,$B$2:$B117,"SBA 26/*",$F$2:$F117,"&lt;&gt;"),"")</f>
        <v>1</v>
      </c>
      <c r="AB117" s="29">
        <f>IF(AA117=1,COUNTIF($AA$2:AA117,1),"")</f>
        <v>92</v>
      </c>
    </row>
    <row r="118" spans="1:28" ht="63" customHeight="1" x14ac:dyDescent="0.2">
      <c r="A118" s="43" t="s">
        <v>679</v>
      </c>
      <c r="B118" s="43" t="s">
        <v>680</v>
      </c>
      <c r="C118" s="44" t="s">
        <v>681</v>
      </c>
      <c r="D118" s="44" t="s">
        <v>113</v>
      </c>
      <c r="E118" s="45" t="s">
        <v>682</v>
      </c>
      <c r="F118" s="45" t="s">
        <v>683</v>
      </c>
      <c r="G118" s="46" t="s">
        <v>38</v>
      </c>
      <c r="H118" s="48">
        <v>46044</v>
      </c>
      <c r="I118" s="48">
        <v>46057</v>
      </c>
      <c r="J118" s="44" t="s">
        <v>109</v>
      </c>
      <c r="K118" s="44" t="s">
        <v>129</v>
      </c>
      <c r="L118" s="50" t="s">
        <v>101</v>
      </c>
      <c r="M118" s="50" t="s">
        <v>77</v>
      </c>
      <c r="N118" s="50"/>
      <c r="O118" s="49"/>
      <c r="P118" s="50" t="str">
        <f t="shared" si="4"/>
        <v>ONAY</v>
      </c>
      <c r="Q118" s="28" t="s">
        <v>129</v>
      </c>
      <c r="R118" s="51" t="str">
        <f t="shared" si="5"/>
        <v/>
      </c>
      <c r="T118" s="41"/>
      <c r="U118" s="29">
        <f>IF($C118&lt;&gt;"",COUNTIF($C$2:C118,C118),"")</f>
        <v>1</v>
      </c>
      <c r="V118" s="29" t="str">
        <f t="shared" si="6"/>
        <v>Prof. Dr. Hatice Yasemin BALABAN§1</v>
      </c>
      <c r="W118" s="29">
        <f>IF(U118=1,COUNTIF($U$2:U118,1),"")</f>
        <v>93</v>
      </c>
      <c r="X118" s="29">
        <f t="shared" si="7"/>
        <v>242</v>
      </c>
      <c r="Y118" s="29">
        <f>IF(AND(LEFT($B118,7)="SBA 26/",$D118&lt;&gt;"",$F118&lt;&gt;""),COUNTIFS($D$2:$D118,$D118,$B$2:$B118,"SBA 26/*",$F$2:$F118,"&lt;&gt;"),"")</f>
        <v>15</v>
      </c>
      <c r="Z118" s="29" t="str">
        <f>IF(Y118=1,COUNTIF($Y$2:Y118,1),"")</f>
        <v/>
      </c>
      <c r="AA118" s="29">
        <f>IF(AND(LEFT($B118,7)="SBA 26/",$C118&lt;&gt;"",$F118&lt;&gt;""),COUNTIFS($C$2:$C118,$C118,$B$2:$B118,"SBA 26/*",$F$2:$F118,"&lt;&gt;"),"")</f>
        <v>1</v>
      </c>
      <c r="AB118" s="29">
        <f>IF(AA118=1,COUNTIF($AA$2:AA118,1),"")</f>
        <v>93</v>
      </c>
    </row>
    <row r="119" spans="1:28" ht="94.5" customHeight="1" x14ac:dyDescent="0.2">
      <c r="A119" s="43" t="s">
        <v>684</v>
      </c>
      <c r="B119" s="43" t="s">
        <v>685</v>
      </c>
      <c r="C119" s="44" t="s">
        <v>686</v>
      </c>
      <c r="D119" s="44" t="s">
        <v>687</v>
      </c>
      <c r="E119" s="45" t="s">
        <v>688</v>
      </c>
      <c r="F119" s="45" t="s">
        <v>689</v>
      </c>
      <c r="G119" s="46" t="s">
        <v>38</v>
      </c>
      <c r="H119" s="48">
        <v>46045</v>
      </c>
      <c r="I119" s="48">
        <v>46057</v>
      </c>
      <c r="J119" s="44" t="s">
        <v>75</v>
      </c>
      <c r="K119" s="44" t="s">
        <v>91</v>
      </c>
      <c r="L119" s="50" t="s">
        <v>101</v>
      </c>
      <c r="M119" s="50" t="s">
        <v>77</v>
      </c>
      <c r="N119" s="50"/>
      <c r="O119" s="49"/>
      <c r="P119" s="50" t="str">
        <f t="shared" si="4"/>
        <v>ONAY</v>
      </c>
      <c r="Q119" s="28" t="s">
        <v>91</v>
      </c>
      <c r="R119" s="51" t="str">
        <f t="shared" si="5"/>
        <v/>
      </c>
      <c r="T119" s="41"/>
      <c r="U119" s="29">
        <f>IF($C119&lt;&gt;"",COUNTIF($C$2:C119,C119),"")</f>
        <v>1</v>
      </c>
      <c r="V119" s="29" t="str">
        <f t="shared" si="6"/>
        <v>Doç. Dr. Serra ÖRSTEN§1</v>
      </c>
      <c r="W119" s="29">
        <f>IF(U119=1,COUNTIF($U$2:U119,1),"")</f>
        <v>94</v>
      </c>
      <c r="X119" s="29">
        <f t="shared" si="7"/>
        <v>94</v>
      </c>
      <c r="Y119" s="29">
        <f>IF(AND(LEFT($B119,7)="SBA 26/",$D119&lt;&gt;"",$F119&lt;&gt;""),COUNTIFS($D$2:$D119,$D119,$B$2:$B119,"SBA 26/*",$F$2:$F119,"&lt;&gt;"),"")</f>
        <v>1</v>
      </c>
      <c r="Z119" s="29">
        <f>IF(Y119=1,COUNTIF($Y$2:Y119,1),"")</f>
        <v>44</v>
      </c>
      <c r="AA119" s="29">
        <f>IF(AND(LEFT($B119,7)="SBA 26/",$C119&lt;&gt;"",$F119&lt;&gt;""),COUNTIFS($C$2:$C119,$C119,$B$2:$B119,"SBA 26/*",$F$2:$F119,"&lt;&gt;"),"")</f>
        <v>1</v>
      </c>
      <c r="AB119" s="29">
        <f>IF(AA119=1,COUNTIF($AA$2:AA119,1),"")</f>
        <v>94</v>
      </c>
    </row>
    <row r="120" spans="1:28" ht="63" customHeight="1" x14ac:dyDescent="0.2">
      <c r="A120" s="43" t="s">
        <v>690</v>
      </c>
      <c r="B120" s="43" t="s">
        <v>691</v>
      </c>
      <c r="C120" s="44" t="s">
        <v>692</v>
      </c>
      <c r="D120" s="44" t="s">
        <v>270</v>
      </c>
      <c r="E120" s="45" t="s">
        <v>693</v>
      </c>
      <c r="F120" s="45" t="s">
        <v>694</v>
      </c>
      <c r="G120" s="46" t="s">
        <v>38</v>
      </c>
      <c r="H120" s="48">
        <v>46045</v>
      </c>
      <c r="I120" s="48">
        <v>46057</v>
      </c>
      <c r="J120" s="44" t="s">
        <v>75</v>
      </c>
      <c r="K120" s="44" t="s">
        <v>123</v>
      </c>
      <c r="L120" s="50" t="s">
        <v>101</v>
      </c>
      <c r="M120" s="50" t="s">
        <v>77</v>
      </c>
      <c r="N120" s="50"/>
      <c r="O120" s="49"/>
      <c r="P120" s="50" t="str">
        <f t="shared" si="4"/>
        <v>ONAY</v>
      </c>
      <c r="Q120" s="28" t="s">
        <v>75</v>
      </c>
      <c r="R120" s="51" t="str">
        <f t="shared" si="5"/>
        <v/>
      </c>
      <c r="T120" s="41"/>
      <c r="U120" s="29">
        <f>IF($C120&lt;&gt;"",COUNTIF($C$2:C120,C120),"")</f>
        <v>1</v>
      </c>
      <c r="V120" s="29" t="str">
        <f t="shared" si="6"/>
        <v>Dr. Öğr. Üyesi Hilal AKDEMİR AKTAŞ§1</v>
      </c>
      <c r="W120" s="29">
        <f>IF(U120=1,COUNTIF($U$2:U120,1),"")</f>
        <v>95</v>
      </c>
      <c r="X120" s="29">
        <f t="shared" si="7"/>
        <v>142</v>
      </c>
      <c r="Y120" s="29">
        <f>IF(AND(LEFT($B120,7)="SBA 26/",$D120&lt;&gt;"",$F120&lt;&gt;""),COUNTIFS($D$2:$D120,$D120,$B$2:$B120,"SBA 26/*",$F$2:$F120,"&lt;&gt;"),"")</f>
        <v>4</v>
      </c>
      <c r="Z120" s="29" t="str">
        <f>IF(Y120=1,COUNTIF($Y$2:Y120,1),"")</f>
        <v/>
      </c>
      <c r="AA120" s="29">
        <f>IF(AND(LEFT($B120,7)="SBA 26/",$C120&lt;&gt;"",$F120&lt;&gt;""),COUNTIFS($C$2:$C120,$C120,$B$2:$B120,"SBA 26/*",$F$2:$F120,"&lt;&gt;"),"")</f>
        <v>1</v>
      </c>
      <c r="AB120" s="29">
        <f>IF(AA120=1,COUNTIF($AA$2:AA120,1),"")</f>
        <v>95</v>
      </c>
    </row>
    <row r="121" spans="1:28" ht="94.5" customHeight="1" x14ac:dyDescent="0.2">
      <c r="A121" s="43" t="s">
        <v>695</v>
      </c>
      <c r="B121" s="43" t="s">
        <v>696</v>
      </c>
      <c r="C121" s="44" t="s">
        <v>697</v>
      </c>
      <c r="D121" s="44" t="s">
        <v>698</v>
      </c>
      <c r="E121" s="45" t="s">
        <v>699</v>
      </c>
      <c r="F121" s="45" t="s">
        <v>700</v>
      </c>
      <c r="G121" s="46" t="s">
        <v>38</v>
      </c>
      <c r="H121" s="48">
        <v>46045</v>
      </c>
      <c r="I121" s="48">
        <v>46057</v>
      </c>
      <c r="J121" s="44" t="s">
        <v>75</v>
      </c>
      <c r="K121" s="44" t="s">
        <v>76</v>
      </c>
      <c r="L121" s="50" t="s">
        <v>101</v>
      </c>
      <c r="M121" s="50" t="s">
        <v>77</v>
      </c>
      <c r="N121" s="50"/>
      <c r="O121" s="49"/>
      <c r="P121" s="50" t="str">
        <f t="shared" si="4"/>
        <v>ONAY</v>
      </c>
      <c r="Q121" s="28" t="s">
        <v>75</v>
      </c>
      <c r="R121" s="51" t="str">
        <f t="shared" si="5"/>
        <v/>
      </c>
      <c r="T121" s="41"/>
      <c r="U121" s="29">
        <f>IF($C121&lt;&gt;"",COUNTIF($C$2:C121,C121),"")</f>
        <v>1</v>
      </c>
      <c r="V121" s="29" t="str">
        <f t="shared" si="6"/>
        <v>Prof. Dr. Rıza Köksal ÖZGÜL§1</v>
      </c>
      <c r="W121" s="29">
        <f>IF(U121=1,COUNTIF($U$2:U121,1),"")</f>
        <v>96</v>
      </c>
      <c r="X121" s="29">
        <f t="shared" si="7"/>
        <v>297</v>
      </c>
      <c r="Y121" s="29">
        <f>IF(AND(LEFT($B121,7)="SBA 26/",$D121&lt;&gt;"",$F121&lt;&gt;""),COUNTIFS($D$2:$D121,$D121,$B$2:$B121,"SBA 26/*",$F$2:$F121,"&lt;&gt;"),"")</f>
        <v>1</v>
      </c>
      <c r="Z121" s="29">
        <f>IF(Y121=1,COUNTIF($Y$2:Y121,1),"")</f>
        <v>45</v>
      </c>
      <c r="AA121" s="29">
        <f>IF(AND(LEFT($B121,7)="SBA 26/",$C121&lt;&gt;"",$F121&lt;&gt;""),COUNTIFS($C$2:$C121,$C121,$B$2:$B121,"SBA 26/*",$F$2:$F121,"&lt;&gt;"),"")</f>
        <v>1</v>
      </c>
      <c r="AB121" s="29">
        <f>IF(AA121=1,COUNTIF($AA$2:AA121,1),"")</f>
        <v>96</v>
      </c>
    </row>
    <row r="122" spans="1:28" ht="78.75" customHeight="1" x14ac:dyDescent="0.2">
      <c r="A122" s="43" t="s">
        <v>701</v>
      </c>
      <c r="B122" s="43" t="s">
        <v>702</v>
      </c>
      <c r="C122" s="44" t="s">
        <v>116</v>
      </c>
      <c r="D122" s="44" t="s">
        <v>662</v>
      </c>
      <c r="E122" s="45" t="s">
        <v>703</v>
      </c>
      <c r="F122" s="45" t="s">
        <v>704</v>
      </c>
      <c r="G122" s="46" t="s">
        <v>38</v>
      </c>
      <c r="H122" s="48">
        <v>46045</v>
      </c>
      <c r="I122" s="48">
        <v>46057</v>
      </c>
      <c r="J122" s="44" t="s">
        <v>75</v>
      </c>
      <c r="K122" s="44" t="s">
        <v>123</v>
      </c>
      <c r="L122" s="50" t="s">
        <v>101</v>
      </c>
      <c r="M122" s="50" t="s">
        <v>77</v>
      </c>
      <c r="N122" s="50"/>
      <c r="O122" s="49"/>
      <c r="P122" s="50" t="str">
        <f t="shared" si="4"/>
        <v>ONAY</v>
      </c>
      <c r="Q122" s="28" t="s">
        <v>75</v>
      </c>
      <c r="R122" s="51" t="str">
        <f t="shared" si="5"/>
        <v/>
      </c>
      <c r="T122" s="41"/>
      <c r="U122" s="29">
        <f>IF($C122&lt;&gt;"",COUNTIF($C$2:C122,C122),"")</f>
        <v>2</v>
      </c>
      <c r="V122" s="29" t="str">
        <f t="shared" si="6"/>
        <v>Prof. Dr. Ayşe KİN İŞLER§2</v>
      </c>
      <c r="W122" s="29" t="str">
        <f>IF(U122=1,COUNTIF($U$2:U122,1),"")</f>
        <v/>
      </c>
      <c r="X122" s="29" t="str">
        <f t="shared" si="7"/>
        <v/>
      </c>
      <c r="Y122" s="29">
        <f>IF(AND(LEFT($B122,7)="SBA 26/",$D122&lt;&gt;"",$F122&lt;&gt;""),COUNTIFS($D$2:$D122,$D122,$B$2:$B122,"SBA 26/*",$F$2:$F122,"&lt;&gt;"),"")</f>
        <v>2</v>
      </c>
      <c r="Z122" s="29" t="str">
        <f>IF(Y122=1,COUNTIF($Y$2:Y122,1),"")</f>
        <v/>
      </c>
      <c r="AA122" s="29">
        <f>IF(AND(LEFT($B122,7)="SBA 26/",$C122&lt;&gt;"",$F122&lt;&gt;""),COUNTIFS($C$2:$C122,$C122,$B$2:$B122,"SBA 26/*",$F$2:$F122,"&lt;&gt;"),"")</f>
        <v>2</v>
      </c>
      <c r="AB122" s="29" t="str">
        <f>IF(AA122=1,COUNTIF($AA$2:AA122,1),"")</f>
        <v/>
      </c>
    </row>
    <row r="123" spans="1:28" ht="65.25" customHeight="1" x14ac:dyDescent="0.2">
      <c r="A123" s="43" t="s">
        <v>705</v>
      </c>
      <c r="B123" s="43" t="s">
        <v>706</v>
      </c>
      <c r="C123" s="44" t="s">
        <v>439</v>
      </c>
      <c r="D123" s="44" t="s">
        <v>187</v>
      </c>
      <c r="E123" s="45" t="s">
        <v>707</v>
      </c>
      <c r="F123" s="45" t="s">
        <v>708</v>
      </c>
      <c r="G123" s="46" t="s">
        <v>38</v>
      </c>
      <c r="H123" s="48">
        <v>46045</v>
      </c>
      <c r="I123" s="48">
        <v>46057</v>
      </c>
      <c r="J123" s="44" t="s">
        <v>109</v>
      </c>
      <c r="K123" s="44" t="s">
        <v>84</v>
      </c>
      <c r="L123" s="50" t="s">
        <v>101</v>
      </c>
      <c r="M123" s="50" t="s">
        <v>77</v>
      </c>
      <c r="N123" s="50"/>
      <c r="O123" s="49"/>
      <c r="P123" s="50" t="str">
        <f t="shared" si="4"/>
        <v>ONAY</v>
      </c>
      <c r="Q123" s="28" t="s">
        <v>109</v>
      </c>
      <c r="R123" s="51" t="str">
        <f t="shared" si="5"/>
        <v/>
      </c>
      <c r="T123" s="41"/>
      <c r="U123" s="29">
        <f>IF($C123&lt;&gt;"",COUNTIF($C$2:C123,C123),"")</f>
        <v>2</v>
      </c>
      <c r="V123" s="29" t="str">
        <f t="shared" si="6"/>
        <v>Dr. Öğr. Üyesi Serkan UYSAL§2</v>
      </c>
      <c r="W123" s="29" t="str">
        <f>IF(U123=1,COUNTIF($U$2:U123,1),"")</f>
        <v/>
      </c>
      <c r="X123" s="29" t="str">
        <f t="shared" si="7"/>
        <v/>
      </c>
      <c r="Y123" s="29">
        <f>IF(AND(LEFT($B123,7)="SBA 26/",$D123&lt;&gt;"",$F123&lt;&gt;""),COUNTIFS($D$2:$D123,$D123,$B$2:$B123,"SBA 26/*",$F$2:$F123,"&lt;&gt;"),"")</f>
        <v>3</v>
      </c>
      <c r="Z123" s="29" t="str">
        <f>IF(Y123=1,COUNTIF($Y$2:Y123,1),"")</f>
        <v/>
      </c>
      <c r="AA123" s="29">
        <f>IF(AND(LEFT($B123,7)="SBA 26/",$C123&lt;&gt;"",$F123&lt;&gt;""),COUNTIFS($C$2:$C123,$C123,$B$2:$B123,"SBA 26/*",$F$2:$F123,"&lt;&gt;"),"")</f>
        <v>2</v>
      </c>
      <c r="AB123" s="29" t="str">
        <f>IF(AA123=1,COUNTIF($AA$2:AA123,1),"")</f>
        <v/>
      </c>
    </row>
    <row r="124" spans="1:28" ht="78.75" customHeight="1" x14ac:dyDescent="0.2">
      <c r="A124" s="43" t="s">
        <v>709</v>
      </c>
      <c r="B124" s="43" t="s">
        <v>710</v>
      </c>
      <c r="C124" s="44" t="s">
        <v>711</v>
      </c>
      <c r="D124" s="44" t="s">
        <v>113</v>
      </c>
      <c r="E124" s="45" t="s">
        <v>712</v>
      </c>
      <c r="F124" s="45" t="s">
        <v>713</v>
      </c>
      <c r="G124" s="46" t="s">
        <v>38</v>
      </c>
      <c r="H124" s="48">
        <v>46045</v>
      </c>
      <c r="I124" s="48">
        <v>46057</v>
      </c>
      <c r="J124" s="44" t="s">
        <v>91</v>
      </c>
      <c r="K124" s="44" t="s">
        <v>129</v>
      </c>
      <c r="L124" s="50" t="s">
        <v>77</v>
      </c>
      <c r="M124" s="50"/>
      <c r="N124" s="50"/>
      <c r="O124" s="49"/>
      <c r="P124" s="50" t="str">
        <f t="shared" si="4"/>
        <v>ONAY</v>
      </c>
      <c r="R124" s="51" t="str">
        <f t="shared" si="5"/>
        <v/>
      </c>
      <c r="T124" s="41"/>
      <c r="U124" s="29">
        <f>IF($C124&lt;&gt;"",COUNTIF($C$2:C124,C124),"")</f>
        <v>1</v>
      </c>
      <c r="V124" s="29" t="str">
        <f t="shared" si="6"/>
        <v>Doç. Dr. Süleyman Nahit ŞENDUR§1</v>
      </c>
      <c r="W124" s="29">
        <f>IF(U124=1,COUNTIF($U$2:U124,1),"")</f>
        <v>97</v>
      </c>
      <c r="X124" s="29">
        <f t="shared" si="7"/>
        <v>97</v>
      </c>
      <c r="Y124" s="29">
        <f>IF(AND(LEFT($B124,7)="SBA 26/",$D124&lt;&gt;"",$F124&lt;&gt;""),COUNTIFS($D$2:$D124,$D124,$B$2:$B124,"SBA 26/*",$F$2:$F124,"&lt;&gt;"),"")</f>
        <v>16</v>
      </c>
      <c r="Z124" s="29" t="str">
        <f>IF(Y124=1,COUNTIF($Y$2:Y124,1),"")</f>
        <v/>
      </c>
      <c r="AA124" s="29">
        <f>IF(AND(LEFT($B124,7)="SBA 26/",$C124&lt;&gt;"",$F124&lt;&gt;""),COUNTIFS($C$2:$C124,$C124,$B$2:$B124,"SBA 26/*",$F$2:$F124,"&lt;&gt;"),"")</f>
        <v>1</v>
      </c>
      <c r="AB124" s="29">
        <f>IF(AA124=1,COUNTIF($AA$2:AA124,1),"")</f>
        <v>97</v>
      </c>
    </row>
    <row r="125" spans="1:28" ht="94.5" customHeight="1" x14ac:dyDescent="0.2">
      <c r="A125" s="43" t="s">
        <v>714</v>
      </c>
      <c r="B125" s="43" t="s">
        <v>715</v>
      </c>
      <c r="C125" s="44" t="s">
        <v>108</v>
      </c>
      <c r="D125" s="44" t="s">
        <v>430</v>
      </c>
      <c r="E125" s="45" t="s">
        <v>716</v>
      </c>
      <c r="F125" s="45" t="s">
        <v>717</v>
      </c>
      <c r="G125" s="46" t="s">
        <v>38</v>
      </c>
      <c r="H125" s="48">
        <v>46045</v>
      </c>
      <c r="I125" s="48">
        <v>46057</v>
      </c>
      <c r="J125" s="44" t="s">
        <v>100</v>
      </c>
      <c r="K125" s="44" t="s">
        <v>75</v>
      </c>
      <c r="L125" s="50" t="s">
        <v>101</v>
      </c>
      <c r="M125" s="50"/>
      <c r="N125" s="50"/>
      <c r="O125" s="49"/>
      <c r="P125" s="50" t="str">
        <f t="shared" si="4"/>
        <v>DÜZELTME</v>
      </c>
      <c r="R125" s="51" t="str">
        <f t="shared" si="5"/>
        <v/>
      </c>
      <c r="T125" s="41"/>
      <c r="U125" s="29">
        <f>IF($C125&lt;&gt;"",COUNTIF($C$2:C125,C125),"")</f>
        <v>1</v>
      </c>
      <c r="V125" s="29" t="str">
        <f t="shared" si="6"/>
        <v>Prof. Dr. Yavuz AYHAN§1</v>
      </c>
      <c r="W125" s="29">
        <f>IF(U125=1,COUNTIF($U$2:U125,1),"")</f>
        <v>98</v>
      </c>
      <c r="X125" s="29">
        <f t="shared" si="7"/>
        <v>335</v>
      </c>
      <c r="Y125" s="29">
        <f>IF(AND(LEFT($B125,7)="SBA 26/",$D125&lt;&gt;"",$F125&lt;&gt;""),COUNTIFS($D$2:$D125,$D125,$B$2:$B125,"SBA 26/*",$F$2:$F125,"&lt;&gt;"),"")</f>
        <v>3</v>
      </c>
      <c r="Z125" s="29" t="str">
        <f>IF(Y125=1,COUNTIF($Y$2:Y125,1),"")</f>
        <v/>
      </c>
      <c r="AA125" s="29">
        <f>IF(AND(LEFT($B125,7)="SBA 26/",$C125&lt;&gt;"",$F125&lt;&gt;""),COUNTIFS($C$2:$C125,$C125,$B$2:$B125,"SBA 26/*",$F$2:$F125,"&lt;&gt;"),"")</f>
        <v>1</v>
      </c>
      <c r="AB125" s="29">
        <f>IF(AA125=1,COUNTIF($AA$2:AA125,1),"")</f>
        <v>98</v>
      </c>
    </row>
    <row r="126" spans="1:28" ht="110.25" customHeight="1" x14ac:dyDescent="0.2">
      <c r="A126" s="43" t="s">
        <v>718</v>
      </c>
      <c r="B126" s="43" t="s">
        <v>719</v>
      </c>
      <c r="C126" s="44" t="s">
        <v>168</v>
      </c>
      <c r="D126" s="44" t="s">
        <v>169</v>
      </c>
      <c r="E126" s="45" t="s">
        <v>720</v>
      </c>
      <c r="F126" s="45" t="s">
        <v>721</v>
      </c>
      <c r="G126" s="46" t="s">
        <v>38</v>
      </c>
      <c r="H126" s="48">
        <v>46045</v>
      </c>
      <c r="I126" s="48">
        <v>46057</v>
      </c>
      <c r="J126" s="44" t="s">
        <v>109</v>
      </c>
      <c r="K126" s="44" t="s">
        <v>76</v>
      </c>
      <c r="L126" s="50" t="s">
        <v>101</v>
      </c>
      <c r="M126" s="50"/>
      <c r="N126" s="50"/>
      <c r="O126" s="49"/>
      <c r="P126" s="50" t="str">
        <f t="shared" si="4"/>
        <v>DÜZELTME</v>
      </c>
      <c r="R126" s="51" t="str">
        <f t="shared" si="5"/>
        <v/>
      </c>
      <c r="T126" s="41"/>
      <c r="U126" s="29">
        <f>IF($C126&lt;&gt;"",COUNTIF($C$2:C126,C126),"")</f>
        <v>4</v>
      </c>
      <c r="V126" s="29" t="str">
        <f t="shared" si="6"/>
        <v>Prof. Dr. Ali Fuat KALYONCU§4</v>
      </c>
      <c r="W126" s="29" t="str">
        <f>IF(U126=1,COUNTIF($U$2:U126,1),"")</f>
        <v/>
      </c>
      <c r="X126" s="29" t="str">
        <f t="shared" si="7"/>
        <v/>
      </c>
      <c r="Y126" s="29">
        <f>IF(AND(LEFT($B126,7)="SBA 26/",$D126&lt;&gt;"",$F126&lt;&gt;""),COUNTIFS($D$2:$D126,$D126,$B$2:$B126,"SBA 26/*",$F$2:$F126,"&lt;&gt;"),"")</f>
        <v>8</v>
      </c>
      <c r="Z126" s="29" t="str">
        <f>IF(Y126=1,COUNTIF($Y$2:Y126,1),"")</f>
        <v/>
      </c>
      <c r="AA126" s="29">
        <f>IF(AND(LEFT($B126,7)="SBA 26/",$C126&lt;&gt;"",$F126&lt;&gt;""),COUNTIFS($C$2:$C126,$C126,$B$2:$B126,"SBA 26/*",$F$2:$F126,"&lt;&gt;"),"")</f>
        <v>4</v>
      </c>
      <c r="AB126" s="29" t="str">
        <f>IF(AA126=1,COUNTIF($AA$2:AA126,1),"")</f>
        <v/>
      </c>
    </row>
    <row r="127" spans="1:28" ht="94.5" customHeight="1" x14ac:dyDescent="0.2">
      <c r="A127" s="43" t="s">
        <v>722</v>
      </c>
      <c r="B127" s="43" t="s">
        <v>723</v>
      </c>
      <c r="C127" s="44" t="s">
        <v>724</v>
      </c>
      <c r="D127" s="44" t="s">
        <v>725</v>
      </c>
      <c r="E127" s="45" t="s">
        <v>726</v>
      </c>
      <c r="F127" s="45" t="s">
        <v>727</v>
      </c>
      <c r="G127" s="46" t="s">
        <v>41</v>
      </c>
      <c r="H127" s="48">
        <v>46045</v>
      </c>
      <c r="I127" s="48">
        <v>46057</v>
      </c>
      <c r="J127" s="44" t="s">
        <v>76</v>
      </c>
      <c r="K127" s="44" t="s">
        <v>84</v>
      </c>
      <c r="L127" s="50" t="s">
        <v>101</v>
      </c>
      <c r="M127" s="50" t="s">
        <v>77</v>
      </c>
      <c r="N127" s="50"/>
      <c r="O127" s="49"/>
      <c r="P127" s="50" t="str">
        <f t="shared" si="4"/>
        <v>ONAY</v>
      </c>
      <c r="Q127" s="28" t="s">
        <v>84</v>
      </c>
      <c r="R127" s="51" t="str">
        <f t="shared" si="5"/>
        <v/>
      </c>
      <c r="T127" s="41"/>
      <c r="U127" s="29">
        <f>IF($C127&lt;&gt;"",COUNTIF($C$2:C127,C127),"")</f>
        <v>1</v>
      </c>
      <c r="V127" s="29" t="str">
        <f t="shared" si="6"/>
        <v>Doç. Dr. Ceren ÖZKUL KOÇAK§1</v>
      </c>
      <c r="W127" s="29">
        <f>IF(U127=1,COUNTIF($U$2:U127,1),"")</f>
        <v>99</v>
      </c>
      <c r="X127" s="29">
        <f t="shared" si="7"/>
        <v>34</v>
      </c>
      <c r="Y127" s="29">
        <f>IF(AND(LEFT($B127,7)="SBA 26/",$D127&lt;&gt;"",$F127&lt;&gt;""),COUNTIFS($D$2:$D127,$D127,$B$2:$B127,"SBA 26/*",$F$2:$F127,"&lt;&gt;"),"")</f>
        <v>1</v>
      </c>
      <c r="Z127" s="29">
        <f>IF(Y127=1,COUNTIF($Y$2:Y127,1),"")</f>
        <v>46</v>
      </c>
      <c r="AA127" s="29">
        <f>IF(AND(LEFT($B127,7)="SBA 26/",$C127&lt;&gt;"",$F127&lt;&gt;""),COUNTIFS($C$2:$C127,$C127,$B$2:$B127,"SBA 26/*",$F$2:$F127,"&lt;&gt;"),"")</f>
        <v>1</v>
      </c>
      <c r="AB127" s="29">
        <f>IF(AA127=1,COUNTIF($AA$2:AA127,1),"")</f>
        <v>99</v>
      </c>
    </row>
    <row r="128" spans="1:28" ht="63" customHeight="1" x14ac:dyDescent="0.2">
      <c r="A128" s="43" t="s">
        <v>728</v>
      </c>
      <c r="B128" s="43" t="s">
        <v>729</v>
      </c>
      <c r="C128" s="44" t="s">
        <v>202</v>
      </c>
      <c r="D128" s="44" t="s">
        <v>203</v>
      </c>
      <c r="E128" s="45" t="s">
        <v>730</v>
      </c>
      <c r="F128" s="45" t="s">
        <v>731</v>
      </c>
      <c r="G128" s="46" t="s">
        <v>41</v>
      </c>
      <c r="H128" s="48">
        <v>46045</v>
      </c>
      <c r="I128" s="48">
        <v>46057</v>
      </c>
      <c r="J128" s="44" t="s">
        <v>75</v>
      </c>
      <c r="K128" s="44" t="s">
        <v>84</v>
      </c>
      <c r="L128" s="50" t="s">
        <v>77</v>
      </c>
      <c r="M128" s="50"/>
      <c r="N128" s="50"/>
      <c r="O128" s="49"/>
      <c r="P128" s="50" t="str">
        <f t="shared" si="4"/>
        <v>ONAY</v>
      </c>
      <c r="R128" s="51" t="str">
        <f t="shared" si="5"/>
        <v/>
      </c>
      <c r="T128" s="41"/>
      <c r="U128" s="29">
        <f>IF($C128&lt;&gt;"",COUNTIF($C$2:C128,C128),"")</f>
        <v>2</v>
      </c>
      <c r="V128" s="29" t="str">
        <f t="shared" si="6"/>
        <v>Prof. Dr. Oğuz IŞIK§2</v>
      </c>
      <c r="W128" s="29" t="str">
        <f>IF(U128=1,COUNTIF($U$2:U128,1),"")</f>
        <v/>
      </c>
      <c r="X128" s="29" t="str">
        <f t="shared" si="7"/>
        <v/>
      </c>
      <c r="Y128" s="29">
        <f>IF(AND(LEFT($B128,7)="SBA 26/",$D128&lt;&gt;"",$F128&lt;&gt;""),COUNTIFS($D$2:$D128,$D128,$B$2:$B128,"SBA 26/*",$F$2:$F128,"&lt;&gt;"),"")</f>
        <v>2</v>
      </c>
      <c r="Z128" s="29" t="str">
        <f>IF(Y128=1,COUNTIF($Y$2:Y128,1),"")</f>
        <v/>
      </c>
      <c r="AA128" s="29">
        <f>IF(AND(LEFT($B128,7)="SBA 26/",$C128&lt;&gt;"",$F128&lt;&gt;""),COUNTIFS($C$2:$C128,$C128,$B$2:$B128,"SBA 26/*",$F$2:$F128,"&lt;&gt;"),"")</f>
        <v>2</v>
      </c>
      <c r="AB128" s="29" t="str">
        <f>IF(AA128=1,COUNTIF($AA$2:AA128,1),"")</f>
        <v/>
      </c>
    </row>
    <row r="129" spans="1:28" ht="78.75" customHeight="1" x14ac:dyDescent="0.2">
      <c r="A129" s="43" t="s">
        <v>732</v>
      </c>
      <c r="B129" s="43" t="s">
        <v>733</v>
      </c>
      <c r="C129" s="44" t="s">
        <v>734</v>
      </c>
      <c r="D129" s="44" t="s">
        <v>222</v>
      </c>
      <c r="E129" s="45" t="s">
        <v>735</v>
      </c>
      <c r="F129" s="45" t="s">
        <v>736</v>
      </c>
      <c r="G129" s="46" t="s">
        <v>39</v>
      </c>
      <c r="H129" s="48">
        <v>46045</v>
      </c>
      <c r="I129" s="48">
        <v>46057</v>
      </c>
      <c r="J129" s="44" t="s">
        <v>100</v>
      </c>
      <c r="K129" s="44" t="s">
        <v>91</v>
      </c>
      <c r="L129" s="50" t="s">
        <v>101</v>
      </c>
      <c r="M129" s="50" t="s">
        <v>77</v>
      </c>
      <c r="N129" s="50"/>
      <c r="O129" s="49"/>
      <c r="P129" s="50" t="str">
        <f t="shared" si="4"/>
        <v>ONAY</v>
      </c>
      <c r="Q129" s="28" t="s">
        <v>91</v>
      </c>
      <c r="R129" s="51" t="str">
        <f t="shared" si="5"/>
        <v/>
      </c>
      <c r="T129" s="41"/>
      <c r="U129" s="29">
        <f>IF($C129&lt;&gt;"",COUNTIF($C$2:C129,C129),"")</f>
        <v>1</v>
      </c>
      <c r="V129" s="29" t="str">
        <f t="shared" si="6"/>
        <v>Dr. Öğr. Üyesi Ayşe METE YEŞİL§1</v>
      </c>
      <c r="W129" s="29">
        <f>IF(U129=1,COUNTIF($U$2:U129,1),"")</f>
        <v>100</v>
      </c>
      <c r="X129" s="29">
        <f t="shared" si="7"/>
        <v>117</v>
      </c>
      <c r="Y129" s="29">
        <f>IF(AND(LEFT($B129,7)="SBA 26/",$D129&lt;&gt;"",$F129&lt;&gt;""),COUNTIFS($D$2:$D129,$D129,$B$2:$B129,"SBA 26/*",$F$2:$F129,"&lt;&gt;"),"")</f>
        <v>16</v>
      </c>
      <c r="Z129" s="29" t="str">
        <f>IF(Y129=1,COUNTIF($Y$2:Y129,1),"")</f>
        <v/>
      </c>
      <c r="AA129" s="29">
        <f>IF(AND(LEFT($B129,7)="SBA 26/",$C129&lt;&gt;"",$F129&lt;&gt;""),COUNTIFS($C$2:$C129,$C129,$B$2:$B129,"SBA 26/*",$F$2:$F129,"&lt;&gt;"),"")</f>
        <v>1</v>
      </c>
      <c r="AB129" s="29">
        <f>IF(AA129=1,COUNTIF($AA$2:AA129,1),"")</f>
        <v>100</v>
      </c>
    </row>
    <row r="130" spans="1:28" ht="78.75" customHeight="1" x14ac:dyDescent="0.2">
      <c r="A130" s="43" t="s">
        <v>737</v>
      </c>
      <c r="B130" s="43" t="s">
        <v>738</v>
      </c>
      <c r="C130" s="44" t="s">
        <v>739</v>
      </c>
      <c r="D130" s="44" t="s">
        <v>133</v>
      </c>
      <c r="E130" s="45" t="s">
        <v>740</v>
      </c>
      <c r="F130" s="45" t="s">
        <v>741</v>
      </c>
      <c r="G130" s="46" t="s">
        <v>39</v>
      </c>
      <c r="H130" s="48">
        <v>46045</v>
      </c>
      <c r="I130" s="48">
        <v>46057</v>
      </c>
      <c r="J130" s="44" t="s">
        <v>100</v>
      </c>
      <c r="K130" s="44" t="s">
        <v>129</v>
      </c>
      <c r="L130" s="50" t="s">
        <v>77</v>
      </c>
      <c r="M130" s="50"/>
      <c r="N130" s="50"/>
      <c r="O130" s="49"/>
      <c r="P130" s="50" t="str">
        <f t="shared" ref="P130:P193" si="8">IF(O130&lt;&gt;"",O130, IF(N130&lt;&gt;"",N130, IF(M130&lt;&gt;"",M130, L130)))</f>
        <v>ONAY</v>
      </c>
      <c r="R130" s="51" t="str">
        <f t="shared" ref="R130:R193" si="9">IF(AND($I130&lt;&gt;"",$I130&gt;=DATE(2026,6,23),COUNTIFS($C:$C,$C130,$I:$I,$I130)&gt;2),"⚠ "&amp;COUNTIFS($C:$C,$C130,$I:$I,$I130)&amp;" BAŞVURU!","")</f>
        <v/>
      </c>
      <c r="T130" s="41"/>
      <c r="U130" s="29">
        <f>IF($C130&lt;&gt;"",COUNTIF($C$2:C130,C130),"")</f>
        <v>1</v>
      </c>
      <c r="V130" s="29" t="str">
        <f t="shared" ref="V130:V193" si="10">IF($C130&lt;&gt;"",C130&amp;"§"&amp;U130,"")</f>
        <v>Prof. Dr. Dilşad FOTO ÖZDEMİR§1</v>
      </c>
      <c r="W130" s="29">
        <f>IF(U130=1,COUNTIF($U$2:U130,1),"")</f>
        <v>101</v>
      </c>
      <c r="X130" s="29">
        <f t="shared" ref="X130:X193" si="11">IF(U130=1,SUMPRODUCT(($U$2:$U$1799=1)*($C$2:$C$1799&lt;C130))+1,"")</f>
        <v>212</v>
      </c>
      <c r="Y130" s="29">
        <f>IF(AND(LEFT($B130,7)="SBA 26/",$D130&lt;&gt;"",$F130&lt;&gt;""),COUNTIFS($D$2:$D130,$D130,$B$2:$B130,"SBA 26/*",$F$2:$F130,"&lt;&gt;"),"")</f>
        <v>4</v>
      </c>
      <c r="Z130" s="29" t="str">
        <f>IF(Y130=1,COUNTIF($Y$2:Y130,1),"")</f>
        <v/>
      </c>
      <c r="AA130" s="29">
        <f>IF(AND(LEFT($B130,7)="SBA 26/",$C130&lt;&gt;"",$F130&lt;&gt;""),COUNTIFS($C$2:$C130,$C130,$B$2:$B130,"SBA 26/*",$F$2:$F130,"&lt;&gt;"),"")</f>
        <v>1</v>
      </c>
      <c r="AB130" s="29">
        <f>IF(AA130=1,COUNTIF($AA$2:AA130,1),"")</f>
        <v>101</v>
      </c>
    </row>
    <row r="131" spans="1:28" ht="79.5" customHeight="1" x14ac:dyDescent="0.2">
      <c r="A131" s="43" t="s">
        <v>742</v>
      </c>
      <c r="B131" s="43" t="s">
        <v>743</v>
      </c>
      <c r="C131" s="44" t="s">
        <v>744</v>
      </c>
      <c r="D131" s="44" t="s">
        <v>291</v>
      </c>
      <c r="E131" s="45" t="s">
        <v>745</v>
      </c>
      <c r="F131" s="45" t="s">
        <v>746</v>
      </c>
      <c r="G131" s="46" t="s">
        <v>39</v>
      </c>
      <c r="H131" s="48">
        <v>46045</v>
      </c>
      <c r="I131" s="48">
        <v>46057</v>
      </c>
      <c r="J131" s="44" t="s">
        <v>109</v>
      </c>
      <c r="K131" s="44" t="s">
        <v>123</v>
      </c>
      <c r="L131" s="50" t="s">
        <v>77</v>
      </c>
      <c r="M131" s="50"/>
      <c r="N131" s="50"/>
      <c r="O131" s="49"/>
      <c r="P131" s="50" t="str">
        <f t="shared" si="8"/>
        <v>ONAY</v>
      </c>
      <c r="R131" s="51" t="str">
        <f t="shared" si="9"/>
        <v/>
      </c>
      <c r="T131" s="41"/>
      <c r="U131" s="29">
        <f>IF($C131&lt;&gt;"",COUNTIF($C$2:C131,C131),"")</f>
        <v>1</v>
      </c>
      <c r="V131" s="29" t="str">
        <f t="shared" si="10"/>
        <v>Prof. Dr. Serdar ÖZER§1</v>
      </c>
      <c r="W131" s="29">
        <f>IF(U131=1,COUNTIF($U$2:U131,1),"")</f>
        <v>102</v>
      </c>
      <c r="X131" s="29">
        <f t="shared" si="11"/>
        <v>307</v>
      </c>
      <c r="Y131" s="29">
        <f>IF(AND(LEFT($B131,7)="SBA 26/",$D131&lt;&gt;"",$F131&lt;&gt;""),COUNTIFS($D$2:$D131,$D131,$B$2:$B131,"SBA 26/*",$F$2:$F131,"&lt;&gt;"),"")</f>
        <v>3</v>
      </c>
      <c r="Z131" s="29" t="str">
        <f>IF(Y131=1,COUNTIF($Y$2:Y131,1),"")</f>
        <v/>
      </c>
      <c r="AA131" s="29">
        <f>IF(AND(LEFT($B131,7)="SBA 26/",$C131&lt;&gt;"",$F131&lt;&gt;""),COUNTIFS($C$2:$C131,$C131,$B$2:$B131,"SBA 26/*",$F$2:$F131,"&lt;&gt;"),"")</f>
        <v>1</v>
      </c>
      <c r="AB131" s="29">
        <f>IF(AA131=1,COUNTIF($AA$2:AA131,1),"")</f>
        <v>102</v>
      </c>
    </row>
    <row r="132" spans="1:28" ht="63" customHeight="1" x14ac:dyDescent="0.2">
      <c r="A132" s="43" t="s">
        <v>747</v>
      </c>
      <c r="B132" s="43" t="s">
        <v>748</v>
      </c>
      <c r="C132" s="44" t="s">
        <v>681</v>
      </c>
      <c r="D132" s="44" t="s">
        <v>113</v>
      </c>
      <c r="E132" s="45" t="s">
        <v>682</v>
      </c>
      <c r="F132" s="45" t="s">
        <v>749</v>
      </c>
      <c r="G132" s="46" t="s">
        <v>38</v>
      </c>
      <c r="H132" s="48">
        <v>46045</v>
      </c>
      <c r="I132" s="48">
        <v>46057</v>
      </c>
      <c r="J132" s="44" t="s">
        <v>129</v>
      </c>
      <c r="K132" s="44" t="s">
        <v>76</v>
      </c>
      <c r="L132" s="50" t="s">
        <v>101</v>
      </c>
      <c r="M132" s="50" t="s">
        <v>101</v>
      </c>
      <c r="N132" s="50" t="s">
        <v>77</v>
      </c>
      <c r="O132" s="49"/>
      <c r="P132" s="50" t="str">
        <f t="shared" si="8"/>
        <v>ONAY</v>
      </c>
      <c r="Q132" s="28" t="s">
        <v>129</v>
      </c>
      <c r="R132" s="51" t="str">
        <f t="shared" si="9"/>
        <v/>
      </c>
      <c r="T132" s="41"/>
      <c r="U132" s="29">
        <f>IF($C132&lt;&gt;"",COUNTIF($C$2:C132,C132),"")</f>
        <v>2</v>
      </c>
      <c r="V132" s="29" t="str">
        <f t="shared" si="10"/>
        <v>Prof. Dr. Hatice Yasemin BALABAN§2</v>
      </c>
      <c r="W132" s="29" t="str">
        <f>IF(U132=1,COUNTIF($U$2:U132,1),"")</f>
        <v/>
      </c>
      <c r="X132" s="29" t="str">
        <f t="shared" si="11"/>
        <v/>
      </c>
      <c r="Y132" s="29">
        <f>IF(AND(LEFT($B132,7)="SBA 26/",$D132&lt;&gt;"",$F132&lt;&gt;""),COUNTIFS($D$2:$D132,$D132,$B$2:$B132,"SBA 26/*",$F$2:$F132,"&lt;&gt;"),"")</f>
        <v>17</v>
      </c>
      <c r="Z132" s="29" t="str">
        <f>IF(Y132=1,COUNTIF($Y$2:Y132,1),"")</f>
        <v/>
      </c>
      <c r="AA132" s="29">
        <f>IF(AND(LEFT($B132,7)="SBA 26/",$C132&lt;&gt;"",$F132&lt;&gt;""),COUNTIFS($C$2:$C132,$C132,$B$2:$B132,"SBA 26/*",$F$2:$F132,"&lt;&gt;"),"")</f>
        <v>2</v>
      </c>
      <c r="AB132" s="29" t="str">
        <f>IF(AA132=1,COUNTIF($AA$2:AA132,1),"")</f>
        <v/>
      </c>
    </row>
    <row r="133" spans="1:28" ht="64.5" customHeight="1" x14ac:dyDescent="0.2">
      <c r="A133" s="43" t="s">
        <v>750</v>
      </c>
      <c r="B133" s="43" t="s">
        <v>751</v>
      </c>
      <c r="C133" s="44" t="s">
        <v>752</v>
      </c>
      <c r="D133" s="44" t="s">
        <v>113</v>
      </c>
      <c r="E133" s="45" t="s">
        <v>753</v>
      </c>
      <c r="F133" s="45" t="s">
        <v>754</v>
      </c>
      <c r="G133" s="46" t="s">
        <v>39</v>
      </c>
      <c r="H133" s="48">
        <v>46045</v>
      </c>
      <c r="I133" s="48">
        <v>46057</v>
      </c>
      <c r="J133" s="44" t="s">
        <v>129</v>
      </c>
      <c r="K133" s="44" t="s">
        <v>100</v>
      </c>
      <c r="L133" s="50" t="s">
        <v>77</v>
      </c>
      <c r="M133" s="50"/>
      <c r="N133" s="50"/>
      <c r="O133" s="49"/>
      <c r="P133" s="50" t="str">
        <f t="shared" si="8"/>
        <v>ONAY</v>
      </c>
      <c r="R133" s="51" t="str">
        <f t="shared" si="9"/>
        <v/>
      </c>
      <c r="T133" s="41"/>
      <c r="U133" s="29">
        <f>IF($C133&lt;&gt;"",COUNTIF($C$2:C133,C133),"")</f>
        <v>1</v>
      </c>
      <c r="V133" s="29" t="str">
        <f t="shared" si="10"/>
        <v>Prof. Dr. Yahya BÜYÜKAŞIK§1</v>
      </c>
      <c r="W133" s="29">
        <f>IF(U133=1,COUNTIF($U$2:U133,1),"")</f>
        <v>103</v>
      </c>
      <c r="X133" s="29">
        <f t="shared" si="11"/>
        <v>332</v>
      </c>
      <c r="Y133" s="29">
        <f>IF(AND(LEFT($B133,7)="SBA 26/",$D133&lt;&gt;"",$F133&lt;&gt;""),COUNTIFS($D$2:$D133,$D133,$B$2:$B133,"SBA 26/*",$F$2:$F133,"&lt;&gt;"),"")</f>
        <v>18</v>
      </c>
      <c r="Z133" s="29" t="str">
        <f>IF(Y133=1,COUNTIF($Y$2:Y133,1),"")</f>
        <v/>
      </c>
      <c r="AA133" s="29">
        <f>IF(AND(LEFT($B133,7)="SBA 26/",$C133&lt;&gt;"",$F133&lt;&gt;""),COUNTIFS($C$2:$C133,$C133,$B$2:$B133,"SBA 26/*",$F$2:$F133,"&lt;&gt;"),"")</f>
        <v>1</v>
      </c>
      <c r="AB133" s="29">
        <f>IF(AA133=1,COUNTIF($AA$2:AA133,1),"")</f>
        <v>103</v>
      </c>
    </row>
    <row r="134" spans="1:28" ht="78.75" customHeight="1" x14ac:dyDescent="0.2">
      <c r="A134" s="43" t="s">
        <v>755</v>
      </c>
      <c r="B134" s="43" t="s">
        <v>756</v>
      </c>
      <c r="C134" s="44" t="s">
        <v>757</v>
      </c>
      <c r="D134" s="44" t="s">
        <v>397</v>
      </c>
      <c r="E134" s="45" t="s">
        <v>758</v>
      </c>
      <c r="F134" s="45" t="s">
        <v>759</v>
      </c>
      <c r="G134" s="46" t="s">
        <v>38</v>
      </c>
      <c r="H134" s="48">
        <v>46045</v>
      </c>
      <c r="I134" s="48">
        <v>46057</v>
      </c>
      <c r="J134" s="44" t="s">
        <v>91</v>
      </c>
      <c r="K134" s="44" t="s">
        <v>84</v>
      </c>
      <c r="L134" s="50" t="s">
        <v>101</v>
      </c>
      <c r="M134" s="50" t="s">
        <v>77</v>
      </c>
      <c r="N134" s="50"/>
      <c r="O134" s="49"/>
      <c r="P134" s="50" t="str">
        <f t="shared" si="8"/>
        <v>ONAY</v>
      </c>
      <c r="Q134" s="28" t="s">
        <v>91</v>
      </c>
      <c r="R134" s="51" t="str">
        <f t="shared" si="9"/>
        <v/>
      </c>
      <c r="T134" s="41"/>
      <c r="U134" s="29">
        <f>IF($C134&lt;&gt;"",COUNTIF($C$2:C134,C134),"")</f>
        <v>1</v>
      </c>
      <c r="V134" s="29" t="str">
        <f t="shared" si="10"/>
        <v>Prof. Dr. Aygin EKİNCİOĞLU§1</v>
      </c>
      <c r="W134" s="29">
        <f>IF(U134=1,COUNTIF($U$2:U134,1),"")</f>
        <v>104</v>
      </c>
      <c r="X134" s="29">
        <f t="shared" si="11"/>
        <v>190</v>
      </c>
      <c r="Y134" s="29">
        <f>IF(AND(LEFT($B134,7)="SBA 26/",$D134&lt;&gt;"",$F134&lt;&gt;""),COUNTIFS($D$2:$D134,$D134,$B$2:$B134,"SBA 26/*",$F$2:$F134,"&lt;&gt;"),"")</f>
        <v>6</v>
      </c>
      <c r="Z134" s="29" t="str">
        <f>IF(Y134=1,COUNTIF($Y$2:Y134,1),"")</f>
        <v/>
      </c>
      <c r="AA134" s="29">
        <f>IF(AND(LEFT($B134,7)="SBA 26/",$C134&lt;&gt;"",$F134&lt;&gt;""),COUNTIFS($C$2:$C134,$C134,$B$2:$B134,"SBA 26/*",$F$2:$F134,"&lt;&gt;"),"")</f>
        <v>1</v>
      </c>
      <c r="AB134" s="29">
        <f>IF(AA134=1,COUNTIF($AA$2:AA134,1),"")</f>
        <v>104</v>
      </c>
    </row>
    <row r="135" spans="1:28" ht="94.5" customHeight="1" x14ac:dyDescent="0.2">
      <c r="A135" s="43" t="s">
        <v>760</v>
      </c>
      <c r="B135" s="43" t="s">
        <v>761</v>
      </c>
      <c r="C135" s="44" t="s">
        <v>87</v>
      </c>
      <c r="D135" s="44" t="s">
        <v>88</v>
      </c>
      <c r="E135" s="45" t="s">
        <v>762</v>
      </c>
      <c r="F135" s="45" t="s">
        <v>763</v>
      </c>
      <c r="G135" s="46" t="s">
        <v>38</v>
      </c>
      <c r="H135" s="48">
        <v>46045</v>
      </c>
      <c r="I135" s="48">
        <v>46057</v>
      </c>
      <c r="J135" s="44" t="s">
        <v>91</v>
      </c>
      <c r="K135" s="44" t="s">
        <v>109</v>
      </c>
      <c r="L135" s="50" t="s">
        <v>77</v>
      </c>
      <c r="M135" s="50"/>
      <c r="N135" s="50"/>
      <c r="O135" s="49"/>
      <c r="P135" s="50" t="str">
        <f t="shared" si="8"/>
        <v>ONAY</v>
      </c>
      <c r="R135" s="51" t="str">
        <f t="shared" si="9"/>
        <v/>
      </c>
      <c r="T135" s="41"/>
      <c r="U135" s="29">
        <f>IF($C135&lt;&gt;"",COUNTIF($C$2:C135,C135),"")</f>
        <v>2</v>
      </c>
      <c r="V135" s="29" t="str">
        <f t="shared" si="10"/>
        <v>Doç. Dr. Gamze DURHAN§2</v>
      </c>
      <c r="W135" s="29" t="str">
        <f>IF(U135=1,COUNTIF($U$2:U135,1),"")</f>
        <v/>
      </c>
      <c r="X135" s="29" t="str">
        <f t="shared" si="11"/>
        <v/>
      </c>
      <c r="Y135" s="29">
        <f>IF(AND(LEFT($B135,7)="SBA 26/",$D135&lt;&gt;"",$F135&lt;&gt;""),COUNTIFS($D$2:$D135,$D135,$B$2:$B135,"SBA 26/*",$F$2:$F135,"&lt;&gt;"),"")</f>
        <v>4</v>
      </c>
      <c r="Z135" s="29" t="str">
        <f>IF(Y135=1,COUNTIF($Y$2:Y135,1),"")</f>
        <v/>
      </c>
      <c r="AA135" s="29">
        <f>IF(AND(LEFT($B135,7)="SBA 26/",$C135&lt;&gt;"",$F135&lt;&gt;""),COUNTIFS($C$2:$C135,$C135,$B$2:$B135,"SBA 26/*",$F$2:$F135,"&lt;&gt;"),"")</f>
        <v>2</v>
      </c>
      <c r="AB135" s="29" t="str">
        <f>IF(AA135=1,COUNTIF($AA$2:AA135,1),"")</f>
        <v/>
      </c>
    </row>
    <row r="136" spans="1:28" ht="78.75" customHeight="1" x14ac:dyDescent="0.2">
      <c r="A136" s="43" t="s">
        <v>764</v>
      </c>
      <c r="B136" s="43" t="s">
        <v>765</v>
      </c>
      <c r="C136" s="44" t="s">
        <v>489</v>
      </c>
      <c r="D136" s="44" t="s">
        <v>297</v>
      </c>
      <c r="E136" s="45" t="s">
        <v>766</v>
      </c>
      <c r="F136" s="45" t="s">
        <v>767</v>
      </c>
      <c r="G136" s="46" t="s">
        <v>38</v>
      </c>
      <c r="H136" s="48">
        <v>46045</v>
      </c>
      <c r="I136" s="48">
        <v>46057</v>
      </c>
      <c r="J136" s="44" t="s">
        <v>123</v>
      </c>
      <c r="K136" s="44" t="s">
        <v>84</v>
      </c>
      <c r="L136" s="50" t="s">
        <v>101</v>
      </c>
      <c r="M136" s="50" t="s">
        <v>77</v>
      </c>
      <c r="N136" s="50"/>
      <c r="O136" s="49"/>
      <c r="P136" s="50" t="str">
        <f t="shared" si="8"/>
        <v>ONAY</v>
      </c>
      <c r="Q136" s="28" t="s">
        <v>84</v>
      </c>
      <c r="R136" s="51" t="str">
        <f t="shared" si="9"/>
        <v/>
      </c>
      <c r="T136" s="41"/>
      <c r="U136" s="29">
        <f>IF($C136&lt;&gt;"",COUNTIF($C$2:C136,C136),"")</f>
        <v>2</v>
      </c>
      <c r="V136" s="29" t="str">
        <f t="shared" si="10"/>
        <v>Doç. Dr. Ezgi ATİK§2</v>
      </c>
      <c r="W136" s="29" t="str">
        <f>IF(U136=1,COUNTIF($U$2:U136,1),"")</f>
        <v/>
      </c>
      <c r="X136" s="29" t="str">
        <f t="shared" si="11"/>
        <v/>
      </c>
      <c r="Y136" s="29">
        <f>IF(AND(LEFT($B136,7)="SBA 26/",$D136&lt;&gt;"",$F136&lt;&gt;""),COUNTIFS($D$2:$D136,$D136,$B$2:$B136,"SBA 26/*",$F$2:$F136,"&lt;&gt;"),"")</f>
        <v>4</v>
      </c>
      <c r="Z136" s="29" t="str">
        <f>IF(Y136=1,COUNTIF($Y$2:Y136,1),"")</f>
        <v/>
      </c>
      <c r="AA136" s="29">
        <f>IF(AND(LEFT($B136,7)="SBA 26/",$C136&lt;&gt;"",$F136&lt;&gt;""),COUNTIFS($C$2:$C136,$C136,$B$2:$B136,"SBA 26/*",$F$2:$F136,"&lt;&gt;"),"")</f>
        <v>2</v>
      </c>
      <c r="AB136" s="29" t="str">
        <f>IF(AA136=1,COUNTIF($AA$2:AA136,1),"")</f>
        <v/>
      </c>
    </row>
    <row r="137" spans="1:28" ht="63" customHeight="1" x14ac:dyDescent="0.2">
      <c r="A137" s="43" t="s">
        <v>768</v>
      </c>
      <c r="B137" s="43" t="s">
        <v>769</v>
      </c>
      <c r="C137" s="44" t="s">
        <v>770</v>
      </c>
      <c r="D137" s="44" t="s">
        <v>771</v>
      </c>
      <c r="E137" s="45" t="s">
        <v>772</v>
      </c>
      <c r="F137" s="45" t="s">
        <v>773</v>
      </c>
      <c r="G137" s="46" t="s">
        <v>40</v>
      </c>
      <c r="H137" s="48">
        <v>46045</v>
      </c>
      <c r="I137" s="48">
        <v>46057</v>
      </c>
      <c r="J137" s="44" t="s">
        <v>91</v>
      </c>
      <c r="K137" s="44" t="s">
        <v>123</v>
      </c>
      <c r="L137" s="50" t="s">
        <v>77</v>
      </c>
      <c r="M137" s="50"/>
      <c r="N137" s="50"/>
      <c r="O137" s="49"/>
      <c r="P137" s="50" t="str">
        <f t="shared" si="8"/>
        <v>ONAY</v>
      </c>
      <c r="R137" s="51" t="str">
        <f t="shared" si="9"/>
        <v/>
      </c>
      <c r="T137" s="41"/>
      <c r="U137" s="29">
        <f>IF($C137&lt;&gt;"",COUNTIF($C$2:C137,C137),"")</f>
        <v>1</v>
      </c>
      <c r="V137" s="29" t="str">
        <f t="shared" si="10"/>
        <v>Dr. Öğr. Üyesi Arda ÇETİNKAYA§1</v>
      </c>
      <c r="W137" s="29">
        <f>IF(U137=1,COUNTIF($U$2:U137,1),"")</f>
        <v>105</v>
      </c>
      <c r="X137" s="29">
        <f t="shared" si="11"/>
        <v>111</v>
      </c>
      <c r="Y137" s="29">
        <f>IF(AND(LEFT($B137,7)="SBA 26/",$D137&lt;&gt;"",$F137&lt;&gt;""),COUNTIFS($D$2:$D137,$D137,$B$2:$B137,"SBA 26/*",$F$2:$F137,"&lt;&gt;"),"")</f>
        <v>1</v>
      </c>
      <c r="Z137" s="29">
        <f>IF(Y137=1,COUNTIF($Y$2:Y137,1),"")</f>
        <v>47</v>
      </c>
      <c r="AA137" s="29">
        <f>IF(AND(LEFT($B137,7)="SBA 26/",$C137&lt;&gt;"",$F137&lt;&gt;""),COUNTIFS($C$2:$C137,$C137,$B$2:$B137,"SBA 26/*",$F$2:$F137,"&lt;&gt;"),"")</f>
        <v>1</v>
      </c>
      <c r="AB137" s="29">
        <f>IF(AA137=1,COUNTIF($AA$2:AA137,1),"")</f>
        <v>105</v>
      </c>
    </row>
    <row r="138" spans="1:28" ht="78.75" customHeight="1" x14ac:dyDescent="0.2">
      <c r="A138" s="43" t="s">
        <v>774</v>
      </c>
      <c r="B138" s="43" t="s">
        <v>775</v>
      </c>
      <c r="C138" s="44" t="s">
        <v>776</v>
      </c>
      <c r="D138" s="44" t="s">
        <v>291</v>
      </c>
      <c r="E138" s="45" t="s">
        <v>777</v>
      </c>
      <c r="F138" s="45" t="s">
        <v>778</v>
      </c>
      <c r="G138" s="46" t="s">
        <v>38</v>
      </c>
      <c r="H138" s="48">
        <v>46048</v>
      </c>
      <c r="I138" s="48">
        <v>46057</v>
      </c>
      <c r="J138" s="44" t="s">
        <v>91</v>
      </c>
      <c r="K138" s="44" t="s">
        <v>76</v>
      </c>
      <c r="L138" s="50" t="s">
        <v>77</v>
      </c>
      <c r="M138" s="50"/>
      <c r="N138" s="50"/>
      <c r="O138" s="49"/>
      <c r="P138" s="50" t="str">
        <f t="shared" si="8"/>
        <v>ONAY</v>
      </c>
      <c r="R138" s="51" t="str">
        <f t="shared" si="9"/>
        <v/>
      </c>
      <c r="T138" s="41"/>
      <c r="U138" s="29">
        <f>IF($C138&lt;&gt;"",COUNTIF($C$2:C138,C138),"")</f>
        <v>1</v>
      </c>
      <c r="V138" s="29" t="str">
        <f t="shared" si="10"/>
        <v>Dr. Öğr. Üyesi Ergin EROĞLU§1</v>
      </c>
      <c r="W138" s="29">
        <f>IF(U138=1,COUNTIF($U$2:U138,1),"")</f>
        <v>106</v>
      </c>
      <c r="X138" s="29">
        <f t="shared" si="11"/>
        <v>128</v>
      </c>
      <c r="Y138" s="29">
        <f>IF(AND(LEFT($B138,7)="SBA 26/",$D138&lt;&gt;"",$F138&lt;&gt;""),COUNTIFS($D$2:$D138,$D138,$B$2:$B138,"SBA 26/*",$F$2:$F138,"&lt;&gt;"),"")</f>
        <v>4</v>
      </c>
      <c r="Z138" s="29" t="str">
        <f>IF(Y138=1,COUNTIF($Y$2:Y138,1),"")</f>
        <v/>
      </c>
      <c r="AA138" s="29">
        <f>IF(AND(LEFT($B138,7)="SBA 26/",$C138&lt;&gt;"",$F138&lt;&gt;""),COUNTIFS($C$2:$C138,$C138,$B$2:$B138,"SBA 26/*",$F$2:$F138,"&lt;&gt;"),"")</f>
        <v>1</v>
      </c>
      <c r="AB138" s="29">
        <f>IF(AA138=1,COUNTIF($AA$2:AA138,1),"")</f>
        <v>106</v>
      </c>
    </row>
    <row r="139" spans="1:28" ht="110.25" customHeight="1" x14ac:dyDescent="0.2">
      <c r="A139" s="43" t="s">
        <v>779</v>
      </c>
      <c r="B139" s="43" t="s">
        <v>780</v>
      </c>
      <c r="C139" s="44" t="s">
        <v>781</v>
      </c>
      <c r="D139" s="44" t="s">
        <v>222</v>
      </c>
      <c r="E139" s="45" t="s">
        <v>782</v>
      </c>
      <c r="F139" s="45" t="s">
        <v>783</v>
      </c>
      <c r="G139" s="46" t="s">
        <v>38</v>
      </c>
      <c r="H139" s="48">
        <v>46048</v>
      </c>
      <c r="I139" s="48">
        <v>46057</v>
      </c>
      <c r="J139" s="44" t="s">
        <v>75</v>
      </c>
      <c r="K139" s="44" t="s">
        <v>100</v>
      </c>
      <c r="L139" s="50" t="s">
        <v>77</v>
      </c>
      <c r="M139" s="50"/>
      <c r="N139" s="50"/>
      <c r="O139" s="49"/>
      <c r="P139" s="50" t="str">
        <f t="shared" si="8"/>
        <v>ONAY</v>
      </c>
      <c r="R139" s="51" t="str">
        <f t="shared" si="9"/>
        <v/>
      </c>
      <c r="T139" s="41"/>
      <c r="U139" s="29">
        <f>IF($C139&lt;&gt;"",COUNTIF($C$2:C139,C139),"")</f>
        <v>1</v>
      </c>
      <c r="V139" s="29" t="str">
        <f t="shared" si="10"/>
        <v>Prof. Dr. Hülya DEMİR§1</v>
      </c>
      <c r="W139" s="29">
        <f>IF(U139=1,COUNTIF($U$2:U139,1),"")</f>
        <v>107</v>
      </c>
      <c r="X139" s="29">
        <f t="shared" si="11"/>
        <v>244</v>
      </c>
      <c r="Y139" s="29">
        <f>IF(AND(LEFT($B139,7)="SBA 26/",$D139&lt;&gt;"",$F139&lt;&gt;""),COUNTIFS($D$2:$D139,$D139,$B$2:$B139,"SBA 26/*",$F$2:$F139,"&lt;&gt;"),"")</f>
        <v>17</v>
      </c>
      <c r="Z139" s="29" t="str">
        <f>IF(Y139=1,COUNTIF($Y$2:Y139,1),"")</f>
        <v/>
      </c>
      <c r="AA139" s="29">
        <f>IF(AND(LEFT($B139,7)="SBA 26/",$C139&lt;&gt;"",$F139&lt;&gt;""),COUNTIFS($C$2:$C139,$C139,$B$2:$B139,"SBA 26/*",$F$2:$F139,"&lt;&gt;"),"")</f>
        <v>1</v>
      </c>
      <c r="AB139" s="29">
        <f>IF(AA139=1,COUNTIF($AA$2:AA139,1),"")</f>
        <v>107</v>
      </c>
    </row>
    <row r="140" spans="1:28" ht="63" customHeight="1" x14ac:dyDescent="0.2">
      <c r="A140" s="43" t="s">
        <v>784</v>
      </c>
      <c r="B140" s="43" t="s">
        <v>785</v>
      </c>
      <c r="C140" s="44" t="s">
        <v>786</v>
      </c>
      <c r="D140" s="44" t="s">
        <v>113</v>
      </c>
      <c r="E140" s="45" t="s">
        <v>787</v>
      </c>
      <c r="F140" s="45" t="s">
        <v>788</v>
      </c>
      <c r="G140" s="46" t="s">
        <v>38</v>
      </c>
      <c r="H140" s="48">
        <v>46048</v>
      </c>
      <c r="I140" s="48">
        <v>46057</v>
      </c>
      <c r="J140" s="44" t="s">
        <v>76</v>
      </c>
      <c r="K140" s="44" t="s">
        <v>129</v>
      </c>
      <c r="L140" s="50" t="s">
        <v>77</v>
      </c>
      <c r="M140" s="50"/>
      <c r="N140" s="50"/>
      <c r="O140" s="49"/>
      <c r="P140" s="50" t="str">
        <f t="shared" si="8"/>
        <v>ONAY</v>
      </c>
      <c r="R140" s="51" t="str">
        <f t="shared" si="9"/>
        <v/>
      </c>
      <c r="T140" s="41"/>
      <c r="U140" s="29">
        <f>IF($C140&lt;&gt;"",COUNTIF($C$2:C140,C140),"")</f>
        <v>1</v>
      </c>
      <c r="V140" s="29" t="str">
        <f t="shared" si="10"/>
        <v>Doç. Dr. Seda Hanife OĞUZ BAYKAL§1</v>
      </c>
      <c r="W140" s="29">
        <f>IF(U140=1,COUNTIF($U$2:U140,1),"")</f>
        <v>108</v>
      </c>
      <c r="X140" s="29">
        <f t="shared" si="11"/>
        <v>93</v>
      </c>
      <c r="Y140" s="29">
        <f>IF(AND(LEFT($B140,7)="SBA 26/",$D140&lt;&gt;"",$F140&lt;&gt;""),COUNTIFS($D$2:$D140,$D140,$B$2:$B140,"SBA 26/*",$F$2:$F140,"&lt;&gt;"),"")</f>
        <v>19</v>
      </c>
      <c r="Z140" s="29" t="str">
        <f>IF(Y140=1,COUNTIF($Y$2:Y140,1),"")</f>
        <v/>
      </c>
      <c r="AA140" s="29">
        <f>IF(AND(LEFT($B140,7)="SBA 26/",$C140&lt;&gt;"",$F140&lt;&gt;""),COUNTIFS($C$2:$C140,$C140,$B$2:$B140,"SBA 26/*",$F$2:$F140,"&lt;&gt;"),"")</f>
        <v>1</v>
      </c>
      <c r="AB140" s="29">
        <f>IF(AA140=1,COUNTIF($AA$2:AA140,1),"")</f>
        <v>108</v>
      </c>
    </row>
    <row r="141" spans="1:28" ht="80.25" customHeight="1" x14ac:dyDescent="0.2">
      <c r="A141" s="43" t="s">
        <v>789</v>
      </c>
      <c r="B141" s="43" t="s">
        <v>790</v>
      </c>
      <c r="C141" s="44" t="s">
        <v>578</v>
      </c>
      <c r="D141" s="44" t="s">
        <v>113</v>
      </c>
      <c r="E141" s="45" t="s">
        <v>791</v>
      </c>
      <c r="F141" s="45" t="s">
        <v>792</v>
      </c>
      <c r="G141" s="46" t="s">
        <v>38</v>
      </c>
      <c r="H141" s="48">
        <v>46048</v>
      </c>
      <c r="I141" s="48">
        <v>46057</v>
      </c>
      <c r="J141" s="44" t="s">
        <v>129</v>
      </c>
      <c r="K141" s="44" t="s">
        <v>109</v>
      </c>
      <c r="L141" s="50" t="s">
        <v>77</v>
      </c>
      <c r="M141" s="50"/>
      <c r="N141" s="50"/>
      <c r="O141" s="49"/>
      <c r="P141" s="50" t="str">
        <f t="shared" si="8"/>
        <v>ONAY</v>
      </c>
      <c r="R141" s="51" t="str">
        <f t="shared" si="9"/>
        <v/>
      </c>
      <c r="T141" s="41"/>
      <c r="U141" s="29">
        <f>IF($C141&lt;&gt;"",COUNTIF($C$2:C141,C141),"")</f>
        <v>2</v>
      </c>
      <c r="V141" s="29" t="str">
        <f t="shared" si="10"/>
        <v>Prof. Dr. Ayşe Tomris ERBAŞ§2</v>
      </c>
      <c r="W141" s="29" t="str">
        <f>IF(U141=1,COUNTIF($U$2:U141,1),"")</f>
        <v/>
      </c>
      <c r="X141" s="29" t="str">
        <f t="shared" si="11"/>
        <v/>
      </c>
      <c r="Y141" s="29">
        <f>IF(AND(LEFT($B141,7)="SBA 26/",$D141&lt;&gt;"",$F141&lt;&gt;""),COUNTIFS($D$2:$D141,$D141,$B$2:$B141,"SBA 26/*",$F$2:$F141,"&lt;&gt;"),"")</f>
        <v>20</v>
      </c>
      <c r="Z141" s="29" t="str">
        <f>IF(Y141=1,COUNTIF($Y$2:Y141,1),"")</f>
        <v/>
      </c>
      <c r="AA141" s="29">
        <f>IF(AND(LEFT($B141,7)="SBA 26/",$C141&lt;&gt;"",$F141&lt;&gt;""),COUNTIFS($C$2:$C141,$C141,$B$2:$B141,"SBA 26/*",$F$2:$F141,"&lt;&gt;"),"")</f>
        <v>2</v>
      </c>
      <c r="AB141" s="29" t="str">
        <f>IF(AA141=1,COUNTIF($AA$2:AA141,1),"")</f>
        <v/>
      </c>
    </row>
    <row r="142" spans="1:28" ht="126" customHeight="1" x14ac:dyDescent="0.2">
      <c r="A142" s="43" t="s">
        <v>793</v>
      </c>
      <c r="B142" s="43" t="s">
        <v>794</v>
      </c>
      <c r="C142" s="44" t="s">
        <v>795</v>
      </c>
      <c r="D142" s="44" t="s">
        <v>222</v>
      </c>
      <c r="E142" s="45" t="s">
        <v>796</v>
      </c>
      <c r="F142" s="45" t="s">
        <v>797</v>
      </c>
      <c r="G142" s="46" t="s">
        <v>38</v>
      </c>
      <c r="H142" s="48">
        <v>46048</v>
      </c>
      <c r="I142" s="48">
        <v>46057</v>
      </c>
      <c r="J142" s="44" t="s">
        <v>91</v>
      </c>
      <c r="K142" s="44" t="s">
        <v>76</v>
      </c>
      <c r="L142" s="50" t="s">
        <v>218</v>
      </c>
      <c r="M142" s="50"/>
      <c r="N142" s="50"/>
      <c r="O142" s="49"/>
      <c r="P142" s="50" t="str">
        <f t="shared" si="8"/>
        <v>KAEK</v>
      </c>
      <c r="R142" s="51" t="str">
        <f t="shared" si="9"/>
        <v/>
      </c>
      <c r="T142" s="41"/>
      <c r="U142" s="29">
        <f>IF($C142&lt;&gt;"",COUNTIF($C$2:C142,C142),"")</f>
        <v>1</v>
      </c>
      <c r="V142" s="29" t="str">
        <f t="shared" si="10"/>
        <v>Prof. Dr. Deniz DOĞRU ERSÖZ§1</v>
      </c>
      <c r="W142" s="29">
        <f>IF(U142=1,COUNTIF($U$2:U142,1),"")</f>
        <v>109</v>
      </c>
      <c r="X142" s="29">
        <f t="shared" si="11"/>
        <v>209</v>
      </c>
      <c r="Y142" s="29">
        <f>IF(AND(LEFT($B142,7)="SBA 26/",$D142&lt;&gt;"",$F142&lt;&gt;""),COUNTIFS($D$2:$D142,$D142,$B$2:$B142,"SBA 26/*",$F$2:$F142,"&lt;&gt;"),"")</f>
        <v>18</v>
      </c>
      <c r="Z142" s="29" t="str">
        <f>IF(Y142=1,COUNTIF($Y$2:Y142,1),"")</f>
        <v/>
      </c>
      <c r="AA142" s="29">
        <f>IF(AND(LEFT($B142,7)="SBA 26/",$C142&lt;&gt;"",$F142&lt;&gt;""),COUNTIFS($C$2:$C142,$C142,$B$2:$B142,"SBA 26/*",$F$2:$F142,"&lt;&gt;"),"")</f>
        <v>1</v>
      </c>
      <c r="AB142" s="29">
        <f>IF(AA142=1,COUNTIF($AA$2:AA142,1),"")</f>
        <v>109</v>
      </c>
    </row>
    <row r="143" spans="1:28" ht="63" customHeight="1" x14ac:dyDescent="0.2">
      <c r="A143" s="43" t="s">
        <v>798</v>
      </c>
      <c r="B143" s="43" t="s">
        <v>799</v>
      </c>
      <c r="C143" s="44" t="s">
        <v>800</v>
      </c>
      <c r="D143" s="44" t="s">
        <v>397</v>
      </c>
      <c r="E143" s="45" t="s">
        <v>801</v>
      </c>
      <c r="F143" s="45" t="s">
        <v>802</v>
      </c>
      <c r="G143" s="46" t="s">
        <v>38</v>
      </c>
      <c r="H143" s="48">
        <v>46048</v>
      </c>
      <c r="I143" s="48">
        <v>46057</v>
      </c>
      <c r="J143" s="44" t="s">
        <v>84</v>
      </c>
      <c r="K143" s="44" t="s">
        <v>109</v>
      </c>
      <c r="L143" s="50" t="s">
        <v>77</v>
      </c>
      <c r="M143" s="50"/>
      <c r="N143" s="50"/>
      <c r="O143" s="49"/>
      <c r="P143" s="50" t="str">
        <f t="shared" si="8"/>
        <v>ONAY</v>
      </c>
      <c r="R143" s="51" t="str">
        <f t="shared" si="9"/>
        <v/>
      </c>
      <c r="T143" s="41"/>
      <c r="U143" s="29">
        <f>IF($C143&lt;&gt;"",COUNTIF($C$2:C143,C143),"")</f>
        <v>1</v>
      </c>
      <c r="V143" s="29" t="str">
        <f t="shared" si="10"/>
        <v>Dr. Öğr. Üyesi Emre KARA§1</v>
      </c>
      <c r="W143" s="29">
        <f>IF(U143=1,COUNTIF($U$2:U143,1),"")</f>
        <v>110</v>
      </c>
      <c r="X143" s="29">
        <f t="shared" si="11"/>
        <v>126</v>
      </c>
      <c r="Y143" s="29">
        <f>IF(AND(LEFT($B143,7)="SBA 26/",$D143&lt;&gt;"",$F143&lt;&gt;""),COUNTIFS($D$2:$D143,$D143,$B$2:$B143,"SBA 26/*",$F$2:$F143,"&lt;&gt;"),"")</f>
        <v>7</v>
      </c>
      <c r="Z143" s="29" t="str">
        <f>IF(Y143=1,COUNTIF($Y$2:Y143,1),"")</f>
        <v/>
      </c>
      <c r="AA143" s="29">
        <f>IF(AND(LEFT($B143,7)="SBA 26/",$C143&lt;&gt;"",$F143&lt;&gt;""),COUNTIFS($C$2:$C143,$C143,$B$2:$B143,"SBA 26/*",$F$2:$F143,"&lt;&gt;"),"")</f>
        <v>1</v>
      </c>
      <c r="AB143" s="29">
        <f>IF(AA143=1,COUNTIF($AA$2:AA143,1),"")</f>
        <v>110</v>
      </c>
    </row>
    <row r="144" spans="1:28" ht="63" customHeight="1" x14ac:dyDescent="0.2">
      <c r="A144" s="43" t="s">
        <v>803</v>
      </c>
      <c r="B144" s="43" t="s">
        <v>804</v>
      </c>
      <c r="C144" s="44" t="s">
        <v>384</v>
      </c>
      <c r="D144" s="44" t="s">
        <v>385</v>
      </c>
      <c r="E144" s="45" t="s">
        <v>805</v>
      </c>
      <c r="F144" s="45" t="s">
        <v>806</v>
      </c>
      <c r="G144" s="46" t="s">
        <v>38</v>
      </c>
      <c r="H144" s="48">
        <v>46049</v>
      </c>
      <c r="I144" s="48">
        <v>46057</v>
      </c>
      <c r="J144" s="44" t="s">
        <v>91</v>
      </c>
      <c r="K144" s="44" t="s">
        <v>100</v>
      </c>
      <c r="L144" s="50" t="s">
        <v>101</v>
      </c>
      <c r="M144" s="50" t="s">
        <v>77</v>
      </c>
      <c r="N144" s="50"/>
      <c r="O144" s="49"/>
      <c r="P144" s="50" t="str">
        <f t="shared" si="8"/>
        <v>ONAY</v>
      </c>
      <c r="Q144" s="28" t="s">
        <v>91</v>
      </c>
      <c r="R144" s="51" t="str">
        <f t="shared" si="9"/>
        <v/>
      </c>
      <c r="T144" s="41"/>
      <c r="U144" s="29">
        <f>IF($C144&lt;&gt;"",COUNTIF($C$2:C144,C144),"")</f>
        <v>2</v>
      </c>
      <c r="V144" s="29" t="str">
        <f t="shared" si="10"/>
        <v>Prof. Dr. Tutku SOYER§2</v>
      </c>
      <c r="W144" s="29" t="str">
        <f>IF(U144=1,COUNTIF($U$2:U144,1),"")</f>
        <v/>
      </c>
      <c r="X144" s="29" t="str">
        <f t="shared" si="11"/>
        <v/>
      </c>
      <c r="Y144" s="29">
        <f>IF(AND(LEFT($B144,7)="SBA 26/",$D144&lt;&gt;"",$F144&lt;&gt;""),COUNTIFS($D$2:$D144,$D144,$B$2:$B144,"SBA 26/*",$F$2:$F144,"&lt;&gt;"),"")</f>
        <v>3</v>
      </c>
      <c r="Z144" s="29" t="str">
        <f>IF(Y144=1,COUNTIF($Y$2:Y144,1),"")</f>
        <v/>
      </c>
      <c r="AA144" s="29">
        <f>IF(AND(LEFT($B144,7)="SBA 26/",$C144&lt;&gt;"",$F144&lt;&gt;""),COUNTIFS($C$2:$C144,$C144,$B$2:$B144,"SBA 26/*",$F$2:$F144,"&lt;&gt;"),"")</f>
        <v>2</v>
      </c>
      <c r="AB144" s="29" t="str">
        <f>IF(AA144=1,COUNTIF($AA$2:AA144,1),"")</f>
        <v/>
      </c>
    </row>
    <row r="145" spans="1:28" ht="94.5" customHeight="1" x14ac:dyDescent="0.2">
      <c r="A145" s="43" t="s">
        <v>807</v>
      </c>
      <c r="B145" s="43" t="s">
        <v>808</v>
      </c>
      <c r="C145" s="44" t="s">
        <v>809</v>
      </c>
      <c r="D145" s="44" t="s">
        <v>222</v>
      </c>
      <c r="E145" s="45" t="s">
        <v>810</v>
      </c>
      <c r="F145" s="45" t="s">
        <v>811</v>
      </c>
      <c r="G145" s="46" t="s">
        <v>39</v>
      </c>
      <c r="H145" s="48">
        <v>46049</v>
      </c>
      <c r="I145" s="48">
        <v>46057</v>
      </c>
      <c r="J145" s="44" t="s">
        <v>76</v>
      </c>
      <c r="K145" s="44" t="s">
        <v>123</v>
      </c>
      <c r="L145" s="50" t="s">
        <v>77</v>
      </c>
      <c r="M145" s="50"/>
      <c r="N145" s="50"/>
      <c r="O145" s="49"/>
      <c r="P145" s="50" t="str">
        <f t="shared" si="8"/>
        <v>ONAY</v>
      </c>
      <c r="R145" s="51" t="str">
        <f t="shared" si="9"/>
        <v/>
      </c>
      <c r="T145" s="41"/>
      <c r="U145" s="29">
        <f>IF($C145&lt;&gt;"",COUNTIF($C$2:C145,C145),"")</f>
        <v>1</v>
      </c>
      <c r="V145" s="29" t="str">
        <f t="shared" si="10"/>
        <v>Prof. Dr. Nagehan EMİRALİOĞLU ORDUKAYA§1</v>
      </c>
      <c r="W145" s="29">
        <f>IF(U145=1,COUNTIF($U$2:U145,1),"")</f>
        <v>111</v>
      </c>
      <c r="X145" s="29">
        <f t="shared" si="11"/>
        <v>276</v>
      </c>
      <c r="Y145" s="29">
        <f>IF(AND(LEFT($B145,7)="SBA 26/",$D145&lt;&gt;"",$F145&lt;&gt;""),COUNTIFS($D$2:$D145,$D145,$B$2:$B145,"SBA 26/*",$F$2:$F145,"&lt;&gt;"),"")</f>
        <v>19</v>
      </c>
      <c r="Z145" s="29" t="str">
        <f>IF(Y145=1,COUNTIF($Y$2:Y145,1),"")</f>
        <v/>
      </c>
      <c r="AA145" s="29">
        <f>IF(AND(LEFT($B145,7)="SBA 26/",$C145&lt;&gt;"",$F145&lt;&gt;""),COUNTIFS($C$2:$C145,$C145,$B$2:$B145,"SBA 26/*",$F$2:$F145,"&lt;&gt;"),"")</f>
        <v>1</v>
      </c>
      <c r="AB145" s="29">
        <f>IF(AA145=1,COUNTIF($AA$2:AA145,1),"")</f>
        <v>111</v>
      </c>
    </row>
    <row r="146" spans="1:28" ht="63" customHeight="1" x14ac:dyDescent="0.2">
      <c r="A146" s="43" t="s">
        <v>812</v>
      </c>
      <c r="B146" s="43" t="s">
        <v>813</v>
      </c>
      <c r="C146" s="44" t="s">
        <v>419</v>
      </c>
      <c r="D146" s="44" t="s">
        <v>397</v>
      </c>
      <c r="E146" s="45" t="s">
        <v>814</v>
      </c>
      <c r="F146" s="45" t="s">
        <v>815</v>
      </c>
      <c r="G146" s="46" t="s">
        <v>38</v>
      </c>
      <c r="H146" s="48">
        <v>46049</v>
      </c>
      <c r="I146" s="48">
        <v>46057</v>
      </c>
      <c r="J146" s="44" t="s">
        <v>84</v>
      </c>
      <c r="K146" s="44" t="s">
        <v>123</v>
      </c>
      <c r="L146" s="50" t="s">
        <v>77</v>
      </c>
      <c r="M146" s="50"/>
      <c r="N146" s="50"/>
      <c r="O146" s="49"/>
      <c r="P146" s="50" t="str">
        <f t="shared" si="8"/>
        <v>ONAY</v>
      </c>
      <c r="R146" s="51" t="str">
        <f t="shared" si="9"/>
        <v/>
      </c>
      <c r="T146" s="41"/>
      <c r="U146" s="29">
        <f>IF($C146&lt;&gt;"",COUNTIF($C$2:C146,C146),"")</f>
        <v>3</v>
      </c>
      <c r="V146" s="29" t="str">
        <f t="shared" si="10"/>
        <v>Dr. Öğr. Üyesi Burcu KELLECİ ÇAKIR§3</v>
      </c>
      <c r="W146" s="29" t="str">
        <f>IF(U146=1,COUNTIF($U$2:U146,1),"")</f>
        <v/>
      </c>
      <c r="X146" s="29" t="str">
        <f t="shared" si="11"/>
        <v/>
      </c>
      <c r="Y146" s="29">
        <f>IF(AND(LEFT($B146,7)="SBA 26/",$D146&lt;&gt;"",$F146&lt;&gt;""),COUNTIFS($D$2:$D146,$D146,$B$2:$B146,"SBA 26/*",$F$2:$F146,"&lt;&gt;"),"")</f>
        <v>8</v>
      </c>
      <c r="Z146" s="29" t="str">
        <f>IF(Y146=1,COUNTIF($Y$2:Y146,1),"")</f>
        <v/>
      </c>
      <c r="AA146" s="29">
        <f>IF(AND(LEFT($B146,7)="SBA 26/",$C146&lt;&gt;"",$F146&lt;&gt;""),COUNTIFS($C$2:$C146,$C146,$B$2:$B146,"SBA 26/*",$F$2:$F146,"&lt;&gt;"),"")</f>
        <v>3</v>
      </c>
      <c r="AB146" s="29" t="str">
        <f>IF(AA146=1,COUNTIF($AA$2:AA146,1),"")</f>
        <v/>
      </c>
    </row>
    <row r="147" spans="1:28" ht="81" customHeight="1" x14ac:dyDescent="0.2">
      <c r="A147" s="43" t="s">
        <v>816</v>
      </c>
      <c r="B147" s="43" t="s">
        <v>817</v>
      </c>
      <c r="C147" s="44" t="s">
        <v>818</v>
      </c>
      <c r="D147" s="54" t="s">
        <v>819</v>
      </c>
      <c r="E147" s="45" t="s">
        <v>820</v>
      </c>
      <c r="F147" s="45" t="s">
        <v>821</v>
      </c>
      <c r="G147" s="46" t="s">
        <v>38</v>
      </c>
      <c r="H147" s="48">
        <v>46058</v>
      </c>
      <c r="I147" s="48">
        <v>46070</v>
      </c>
      <c r="J147" s="44" t="s">
        <v>129</v>
      </c>
      <c r="K147" s="44" t="s">
        <v>76</v>
      </c>
      <c r="L147" s="50" t="s">
        <v>77</v>
      </c>
      <c r="M147" s="50"/>
      <c r="N147" s="50"/>
      <c r="O147" s="49"/>
      <c r="P147" s="50" t="str">
        <f t="shared" si="8"/>
        <v>ONAY</v>
      </c>
      <c r="R147" s="51" t="str">
        <f t="shared" si="9"/>
        <v/>
      </c>
      <c r="T147" s="41"/>
      <c r="U147" s="29">
        <f>IF($C147&lt;&gt;"",COUNTIF($C$2:C147,C147),"")</f>
        <v>1</v>
      </c>
      <c r="V147" s="29" t="str">
        <f t="shared" si="10"/>
        <v>Doç. Dr. Gölşah KÖK§1</v>
      </c>
      <c r="W147" s="29">
        <f>IF(U147=1,COUNTIF($U$2:U147,1),"")</f>
        <v>112</v>
      </c>
      <c r="X147" s="29">
        <f t="shared" si="11"/>
        <v>57</v>
      </c>
      <c r="Y147" s="29">
        <f>IF(AND(LEFT($B147,7)="SBA 26/",$D147&lt;&gt;"",$F147&lt;&gt;""),COUNTIFS($D$2:$D147,$D147,$B$2:$B147,"SBA 26/*",$F$2:$F147,"&lt;&gt;"),"")</f>
        <v>1</v>
      </c>
      <c r="Z147" s="29">
        <f>IF(Y147=1,COUNTIF($Y$2:Y147,1),"")</f>
        <v>48</v>
      </c>
      <c r="AA147" s="29">
        <f>IF(AND(LEFT($B147,7)="SBA 26/",$C147&lt;&gt;"",$F147&lt;&gt;""),COUNTIFS($C$2:$C147,$C147,$B$2:$B147,"SBA 26/*",$F$2:$F147,"&lt;&gt;"),"")</f>
        <v>1</v>
      </c>
      <c r="AB147" s="29">
        <f>IF(AA147=1,COUNTIF($AA$2:AA147,1),"")</f>
        <v>112</v>
      </c>
    </row>
    <row r="148" spans="1:28" ht="78.75" customHeight="1" x14ac:dyDescent="0.2">
      <c r="A148" s="43" t="s">
        <v>822</v>
      </c>
      <c r="B148" s="43" t="s">
        <v>823</v>
      </c>
      <c r="C148" s="44" t="s">
        <v>824</v>
      </c>
      <c r="D148" s="44" t="s">
        <v>181</v>
      </c>
      <c r="E148" s="45" t="s">
        <v>825</v>
      </c>
      <c r="F148" s="45" t="s">
        <v>826</v>
      </c>
      <c r="G148" s="46" t="s">
        <v>38</v>
      </c>
      <c r="H148" s="48">
        <v>46058</v>
      </c>
      <c r="I148" s="48">
        <v>46070</v>
      </c>
      <c r="J148" s="44" t="s">
        <v>91</v>
      </c>
      <c r="K148" s="44" t="s">
        <v>92</v>
      </c>
      <c r="L148" s="50" t="s">
        <v>218</v>
      </c>
      <c r="M148" s="50"/>
      <c r="N148" s="50"/>
      <c r="O148" s="49"/>
      <c r="P148" s="50" t="str">
        <f t="shared" si="8"/>
        <v>KAEK</v>
      </c>
      <c r="R148" s="51" t="str">
        <f t="shared" si="9"/>
        <v/>
      </c>
      <c r="T148" s="41"/>
      <c r="U148" s="29">
        <f>IF($C148&lt;&gt;"",COUNTIF($C$2:C148,C148),"")</f>
        <v>1</v>
      </c>
      <c r="V148" s="29" t="str">
        <f t="shared" si="10"/>
        <v>Öğr. Gör. Dr. Pınar ÖZDEMİR YAŞAR§1</v>
      </c>
      <c r="W148" s="29">
        <f>IF(U148=1,COUNTIF($U$2:U148,1),"")</f>
        <v>113</v>
      </c>
      <c r="X148" s="29">
        <f t="shared" si="11"/>
        <v>176</v>
      </c>
      <c r="Y148" s="29">
        <f>IF(AND(LEFT($B148,7)="SBA 26/",$D148&lt;&gt;"",$F148&lt;&gt;""),COUNTIFS($D$2:$D148,$D148,$B$2:$B148,"SBA 26/*",$F$2:$F148,"&lt;&gt;"),"")</f>
        <v>2</v>
      </c>
      <c r="Z148" s="29" t="str">
        <f>IF(Y148=1,COUNTIF($Y$2:Y148,1),"")</f>
        <v/>
      </c>
      <c r="AA148" s="29">
        <f>IF(AND(LEFT($B148,7)="SBA 26/",$C148&lt;&gt;"",$F148&lt;&gt;""),COUNTIFS($C$2:$C148,$C148,$B$2:$B148,"SBA 26/*",$F$2:$F148,"&lt;&gt;"),"")</f>
        <v>1</v>
      </c>
      <c r="AB148" s="29">
        <f>IF(AA148=1,COUNTIF($AA$2:AA148,1),"")</f>
        <v>113</v>
      </c>
    </row>
    <row r="149" spans="1:28" ht="78.75" customHeight="1" x14ac:dyDescent="0.2">
      <c r="A149" s="43" t="s">
        <v>827</v>
      </c>
      <c r="B149" s="43" t="s">
        <v>828</v>
      </c>
      <c r="C149" s="44" t="s">
        <v>711</v>
      </c>
      <c r="D149" s="44" t="s">
        <v>113</v>
      </c>
      <c r="E149" s="45" t="s">
        <v>829</v>
      </c>
      <c r="F149" s="45" t="s">
        <v>830</v>
      </c>
      <c r="G149" s="46" t="s">
        <v>38</v>
      </c>
      <c r="H149" s="48">
        <v>46058</v>
      </c>
      <c r="I149" s="48">
        <v>46070</v>
      </c>
      <c r="J149" s="44" t="s">
        <v>108</v>
      </c>
      <c r="K149" s="44" t="s">
        <v>84</v>
      </c>
      <c r="L149" s="50" t="s">
        <v>77</v>
      </c>
      <c r="M149" s="50"/>
      <c r="N149" s="50"/>
      <c r="O149" s="49"/>
      <c r="P149" s="50" t="str">
        <f t="shared" si="8"/>
        <v>ONAY</v>
      </c>
      <c r="R149" s="51" t="str">
        <f t="shared" si="9"/>
        <v/>
      </c>
      <c r="T149" s="41"/>
      <c r="U149" s="29">
        <f>IF($C149&lt;&gt;"",COUNTIF($C$2:C149,C149),"")</f>
        <v>2</v>
      </c>
      <c r="V149" s="29" t="str">
        <f t="shared" si="10"/>
        <v>Doç. Dr. Süleyman Nahit ŞENDUR§2</v>
      </c>
      <c r="W149" s="29" t="str">
        <f>IF(U149=1,COUNTIF($U$2:U149,1),"")</f>
        <v/>
      </c>
      <c r="X149" s="29" t="str">
        <f t="shared" si="11"/>
        <v/>
      </c>
      <c r="Y149" s="29">
        <f>IF(AND(LEFT($B149,7)="SBA 26/",$D149&lt;&gt;"",$F149&lt;&gt;""),COUNTIFS($D$2:$D149,$D149,$B$2:$B149,"SBA 26/*",$F$2:$F149,"&lt;&gt;"),"")</f>
        <v>21</v>
      </c>
      <c r="Z149" s="29" t="str">
        <f>IF(Y149=1,COUNTIF($Y$2:Y149,1),"")</f>
        <v/>
      </c>
      <c r="AA149" s="29">
        <f>IF(AND(LEFT($B149,7)="SBA 26/",$C149&lt;&gt;"",$F149&lt;&gt;""),COUNTIFS($C$2:$C149,$C149,$B$2:$B149,"SBA 26/*",$F$2:$F149,"&lt;&gt;"),"")</f>
        <v>2</v>
      </c>
      <c r="AB149" s="29" t="str">
        <f>IF(AA149=1,COUNTIF($AA$2:AA149,1),"")</f>
        <v/>
      </c>
    </row>
    <row r="150" spans="1:28" ht="78.75" customHeight="1" x14ac:dyDescent="0.2">
      <c r="A150" s="43" t="s">
        <v>831</v>
      </c>
      <c r="B150" s="43" t="s">
        <v>832</v>
      </c>
      <c r="C150" s="44" t="s">
        <v>711</v>
      </c>
      <c r="D150" s="44" t="s">
        <v>113</v>
      </c>
      <c r="E150" s="45" t="s">
        <v>829</v>
      </c>
      <c r="F150" s="45" t="s">
        <v>833</v>
      </c>
      <c r="G150" s="46" t="s">
        <v>38</v>
      </c>
      <c r="H150" s="48">
        <v>46058</v>
      </c>
      <c r="I150" s="48">
        <v>46070</v>
      </c>
      <c r="J150" s="44" t="s">
        <v>129</v>
      </c>
      <c r="K150" s="44" t="s">
        <v>99</v>
      </c>
      <c r="L150" s="50" t="s">
        <v>77</v>
      </c>
      <c r="M150" s="50"/>
      <c r="N150" s="50"/>
      <c r="O150" s="49"/>
      <c r="P150" s="50" t="str">
        <f t="shared" si="8"/>
        <v>ONAY</v>
      </c>
      <c r="R150" s="51" t="str">
        <f t="shared" si="9"/>
        <v/>
      </c>
      <c r="T150" s="41"/>
      <c r="U150" s="29">
        <f>IF($C150&lt;&gt;"",COUNTIF($C$2:C150,C150),"")</f>
        <v>3</v>
      </c>
      <c r="V150" s="29" t="str">
        <f t="shared" si="10"/>
        <v>Doç. Dr. Süleyman Nahit ŞENDUR§3</v>
      </c>
      <c r="W150" s="29" t="str">
        <f>IF(U150=1,COUNTIF($U$2:U150,1),"")</f>
        <v/>
      </c>
      <c r="X150" s="29" t="str">
        <f t="shared" si="11"/>
        <v/>
      </c>
      <c r="Y150" s="29">
        <f>IF(AND(LEFT($B150,7)="SBA 26/",$D150&lt;&gt;"",$F150&lt;&gt;""),COUNTIFS($D$2:$D150,$D150,$B$2:$B150,"SBA 26/*",$F$2:$F150,"&lt;&gt;"),"")</f>
        <v>22</v>
      </c>
      <c r="Z150" s="29" t="str">
        <f>IF(Y150=1,COUNTIF($Y$2:Y150,1),"")</f>
        <v/>
      </c>
      <c r="AA150" s="29">
        <f>IF(AND(LEFT($B150,7)="SBA 26/",$C150&lt;&gt;"",$F150&lt;&gt;""),COUNTIFS($C$2:$C150,$C150,$B$2:$B150,"SBA 26/*",$F$2:$F150,"&lt;&gt;"),"")</f>
        <v>3</v>
      </c>
      <c r="AB150" s="29" t="str">
        <f>IF(AA150=1,COUNTIF($AA$2:AA150,1),"")</f>
        <v/>
      </c>
    </row>
    <row r="151" spans="1:28" ht="78.75" customHeight="1" x14ac:dyDescent="0.2">
      <c r="A151" s="43" t="s">
        <v>834</v>
      </c>
      <c r="B151" s="43" t="s">
        <v>835</v>
      </c>
      <c r="C151" s="44" t="s">
        <v>711</v>
      </c>
      <c r="D151" s="44" t="s">
        <v>113</v>
      </c>
      <c r="E151" s="45" t="s">
        <v>836</v>
      </c>
      <c r="F151" s="45" t="s">
        <v>837</v>
      </c>
      <c r="G151" s="46" t="s">
        <v>38</v>
      </c>
      <c r="H151" s="48">
        <v>46058</v>
      </c>
      <c r="I151" s="48">
        <v>46070</v>
      </c>
      <c r="J151" s="44" t="s">
        <v>100</v>
      </c>
      <c r="K151" s="44" t="s">
        <v>92</v>
      </c>
      <c r="L151" s="50" t="s">
        <v>77</v>
      </c>
      <c r="M151" s="50"/>
      <c r="N151" s="50"/>
      <c r="O151" s="49"/>
      <c r="P151" s="50" t="str">
        <f t="shared" si="8"/>
        <v>ONAY</v>
      </c>
      <c r="R151" s="51" t="str">
        <f t="shared" si="9"/>
        <v/>
      </c>
      <c r="T151" s="41"/>
      <c r="U151" s="29">
        <f>IF($C151&lt;&gt;"",COUNTIF($C$2:C151,C151),"")</f>
        <v>4</v>
      </c>
      <c r="V151" s="29" t="str">
        <f t="shared" si="10"/>
        <v>Doç. Dr. Süleyman Nahit ŞENDUR§4</v>
      </c>
      <c r="W151" s="29" t="str">
        <f>IF(U151=1,COUNTIF($U$2:U151,1),"")</f>
        <v/>
      </c>
      <c r="X151" s="29" t="str">
        <f t="shared" si="11"/>
        <v/>
      </c>
      <c r="Y151" s="29">
        <f>IF(AND(LEFT($B151,7)="SBA 26/",$D151&lt;&gt;"",$F151&lt;&gt;""),COUNTIFS($D$2:$D151,$D151,$B$2:$B151,"SBA 26/*",$F$2:$F151,"&lt;&gt;"),"")</f>
        <v>23</v>
      </c>
      <c r="Z151" s="29" t="str">
        <f>IF(Y151=1,COUNTIF($Y$2:Y151,1),"")</f>
        <v/>
      </c>
      <c r="AA151" s="29">
        <f>IF(AND(LEFT($B151,7)="SBA 26/",$C151&lt;&gt;"",$F151&lt;&gt;""),COUNTIFS($C$2:$C151,$C151,$B$2:$B151,"SBA 26/*",$F$2:$F151,"&lt;&gt;"),"")</f>
        <v>4</v>
      </c>
      <c r="AB151" s="29" t="str">
        <f>IF(AA151=1,COUNTIF($AA$2:AA151,1),"")</f>
        <v/>
      </c>
    </row>
    <row r="152" spans="1:28" ht="63" customHeight="1" x14ac:dyDescent="0.2">
      <c r="A152" s="43" t="s">
        <v>838</v>
      </c>
      <c r="B152" s="43" t="s">
        <v>839</v>
      </c>
      <c r="C152" s="44" t="s">
        <v>192</v>
      </c>
      <c r="D152" s="44" t="s">
        <v>193</v>
      </c>
      <c r="E152" s="45" t="s">
        <v>840</v>
      </c>
      <c r="F152" s="45" t="s">
        <v>841</v>
      </c>
      <c r="G152" s="46" t="s">
        <v>38</v>
      </c>
      <c r="H152" s="48">
        <v>46058</v>
      </c>
      <c r="I152" s="48">
        <v>46070</v>
      </c>
      <c r="J152" s="44" t="s">
        <v>91</v>
      </c>
      <c r="K152" s="44" t="s">
        <v>123</v>
      </c>
      <c r="L152" s="50" t="s">
        <v>101</v>
      </c>
      <c r="M152" s="50" t="s">
        <v>77</v>
      </c>
      <c r="N152" s="50"/>
      <c r="O152" s="49"/>
      <c r="P152" s="50" t="str">
        <f t="shared" si="8"/>
        <v>ONAY</v>
      </c>
      <c r="Q152" s="28" t="s">
        <v>91</v>
      </c>
      <c r="R152" s="51" t="str">
        <f t="shared" si="9"/>
        <v/>
      </c>
      <c r="T152" s="41"/>
      <c r="U152" s="29">
        <f>IF($C152&lt;&gt;"",COUNTIF($C$2:C152,C152),"")</f>
        <v>4</v>
      </c>
      <c r="V152" s="29" t="str">
        <f t="shared" si="10"/>
        <v>Dr. Öğr. Üyesi Figen BEZCİ AYGÜN§4</v>
      </c>
      <c r="W152" s="29" t="str">
        <f>IF(U152=1,COUNTIF($U$2:U152,1),"")</f>
        <v/>
      </c>
      <c r="X152" s="29" t="str">
        <f t="shared" si="11"/>
        <v/>
      </c>
      <c r="Y152" s="29">
        <f>IF(AND(LEFT($B152,7)="SBA 26/",$D152&lt;&gt;"",$F152&lt;&gt;""),COUNTIFS($D$2:$D152,$D152,$B$2:$B152,"SBA 26/*",$F$2:$F152,"&lt;&gt;"),"")</f>
        <v>6</v>
      </c>
      <c r="Z152" s="29" t="str">
        <f>IF(Y152=1,COUNTIF($Y$2:Y152,1),"")</f>
        <v/>
      </c>
      <c r="AA152" s="29">
        <f>IF(AND(LEFT($B152,7)="SBA 26/",$C152&lt;&gt;"",$F152&lt;&gt;""),COUNTIFS($C$2:$C152,$C152,$B$2:$B152,"SBA 26/*",$F$2:$F152,"&lt;&gt;"),"")</f>
        <v>4</v>
      </c>
      <c r="AB152" s="29" t="str">
        <f>IF(AA152=1,COUNTIF($AA$2:AA152,1),"")</f>
        <v/>
      </c>
    </row>
    <row r="153" spans="1:28" ht="94.5" customHeight="1" x14ac:dyDescent="0.2">
      <c r="A153" s="43" t="s">
        <v>842</v>
      </c>
      <c r="B153" s="43" t="s">
        <v>843</v>
      </c>
      <c r="C153" s="44" t="s">
        <v>112</v>
      </c>
      <c r="D153" s="44" t="s">
        <v>113</v>
      </c>
      <c r="E153" s="45" t="s">
        <v>844</v>
      </c>
      <c r="F153" s="45" t="s">
        <v>845</v>
      </c>
      <c r="G153" s="46" t="s">
        <v>41</v>
      </c>
      <c r="H153" s="48">
        <v>46058</v>
      </c>
      <c r="I153" s="48">
        <v>46070</v>
      </c>
      <c r="J153" s="44" t="s">
        <v>108</v>
      </c>
      <c r="K153" s="44" t="s">
        <v>84</v>
      </c>
      <c r="L153" s="50" t="s">
        <v>206</v>
      </c>
      <c r="M153" s="50" t="s">
        <v>101</v>
      </c>
      <c r="N153" s="50" t="s">
        <v>77</v>
      </c>
      <c r="O153" s="49"/>
      <c r="P153" s="50" t="str">
        <f t="shared" si="8"/>
        <v>ONAY</v>
      </c>
      <c r="Q153" s="28" t="s">
        <v>84</v>
      </c>
      <c r="R153" s="51" t="str">
        <f t="shared" si="9"/>
        <v/>
      </c>
      <c r="T153" s="41"/>
      <c r="U153" s="29">
        <f>IF($C153&lt;&gt;"",COUNTIF($C$2:C153,C153),"")</f>
        <v>6</v>
      </c>
      <c r="V153" s="29" t="str">
        <f t="shared" si="10"/>
        <v>Prof. Dr. Meltem Gülhan HALİL§6</v>
      </c>
      <c r="W153" s="29" t="str">
        <f>IF(U153=1,COUNTIF($U$2:U153,1),"")</f>
        <v/>
      </c>
      <c r="X153" s="29" t="str">
        <f t="shared" si="11"/>
        <v/>
      </c>
      <c r="Y153" s="29">
        <f>IF(AND(LEFT($B153,7)="SBA 26/",$D153&lt;&gt;"",$F153&lt;&gt;""),COUNTIFS($D$2:$D153,$D153,$B$2:$B153,"SBA 26/*",$F$2:$F153,"&lt;&gt;"),"")</f>
        <v>24</v>
      </c>
      <c r="Z153" s="29" t="str">
        <f>IF(Y153=1,COUNTIF($Y$2:Y153,1),"")</f>
        <v/>
      </c>
      <c r="AA153" s="29">
        <f>IF(AND(LEFT($B153,7)="SBA 26/",$C153&lt;&gt;"",$F153&lt;&gt;""),COUNTIFS($C$2:$C153,$C153,$B$2:$B153,"SBA 26/*",$F$2:$F153,"&lt;&gt;"),"")</f>
        <v>6</v>
      </c>
      <c r="AB153" s="29" t="str">
        <f>IF(AA153=1,COUNTIF($AA$2:AA153,1),"")</f>
        <v/>
      </c>
    </row>
    <row r="154" spans="1:28" ht="63" customHeight="1" x14ac:dyDescent="0.2">
      <c r="A154" s="43" t="s">
        <v>846</v>
      </c>
      <c r="B154" s="43" t="s">
        <v>847</v>
      </c>
      <c r="C154" s="44" t="s">
        <v>848</v>
      </c>
      <c r="D154" s="44" t="s">
        <v>391</v>
      </c>
      <c r="E154" s="45" t="s">
        <v>849</v>
      </c>
      <c r="F154" s="45" t="s">
        <v>850</v>
      </c>
      <c r="G154" s="46" t="s">
        <v>38</v>
      </c>
      <c r="H154" s="48">
        <v>46058</v>
      </c>
      <c r="I154" s="48">
        <v>46070</v>
      </c>
      <c r="J154" s="44" t="s">
        <v>76</v>
      </c>
      <c r="K154" s="44" t="s">
        <v>99</v>
      </c>
      <c r="L154" s="50" t="s">
        <v>101</v>
      </c>
      <c r="M154" s="50" t="s">
        <v>77</v>
      </c>
      <c r="N154" s="50"/>
      <c r="O154" s="49"/>
      <c r="P154" s="50" t="str">
        <f t="shared" si="8"/>
        <v>ONAY</v>
      </c>
      <c r="Q154" s="28" t="s">
        <v>76</v>
      </c>
      <c r="R154" s="51" t="str">
        <f t="shared" si="9"/>
        <v/>
      </c>
      <c r="T154" s="41"/>
      <c r="U154" s="29">
        <f>IF($C154&lt;&gt;"",COUNTIF($C$2:C154,C154),"")</f>
        <v>1</v>
      </c>
      <c r="V154" s="29" t="str">
        <f t="shared" si="10"/>
        <v>Dr. Öğr. Üyesi Barış KAFA§1</v>
      </c>
      <c r="W154" s="29">
        <f>IF(U154=1,COUNTIF($U$2:U154,1),"")</f>
        <v>114</v>
      </c>
      <c r="X154" s="29">
        <f t="shared" si="11"/>
        <v>118</v>
      </c>
      <c r="Y154" s="29">
        <f>IF(AND(LEFT($B154,7)="SBA 26/",$D154&lt;&gt;"",$F154&lt;&gt;""),COUNTIFS($D$2:$D154,$D154,$B$2:$B154,"SBA 26/*",$F$2:$F154,"&lt;&gt;"),"")</f>
        <v>2</v>
      </c>
      <c r="Z154" s="29" t="str">
        <f>IF(Y154=1,COUNTIF($Y$2:Y154,1),"")</f>
        <v/>
      </c>
      <c r="AA154" s="29">
        <f>IF(AND(LEFT($B154,7)="SBA 26/",$C154&lt;&gt;"",$F154&lt;&gt;""),COUNTIFS($C$2:$C154,$C154,$B$2:$B154,"SBA 26/*",$F$2:$F154,"&lt;&gt;"),"")</f>
        <v>1</v>
      </c>
      <c r="AB154" s="29">
        <f>IF(AA154=1,COUNTIF($AA$2:AA154,1),"")</f>
        <v>114</v>
      </c>
    </row>
    <row r="155" spans="1:28" ht="63" customHeight="1" x14ac:dyDescent="0.2">
      <c r="A155" s="43" t="s">
        <v>851</v>
      </c>
      <c r="B155" s="43" t="s">
        <v>852</v>
      </c>
      <c r="C155" s="44" t="s">
        <v>853</v>
      </c>
      <c r="D155" s="44" t="s">
        <v>584</v>
      </c>
      <c r="E155" s="45" t="s">
        <v>854</v>
      </c>
      <c r="F155" s="45" t="s">
        <v>855</v>
      </c>
      <c r="G155" s="46" t="s">
        <v>41</v>
      </c>
      <c r="H155" s="48">
        <v>46058</v>
      </c>
      <c r="I155" s="48">
        <v>46070</v>
      </c>
      <c r="J155" s="44" t="s">
        <v>91</v>
      </c>
      <c r="K155" s="44" t="s">
        <v>100</v>
      </c>
      <c r="L155" s="50" t="s">
        <v>77</v>
      </c>
      <c r="M155" s="50"/>
      <c r="N155" s="50"/>
      <c r="O155" s="49"/>
      <c r="P155" s="50" t="str">
        <f t="shared" si="8"/>
        <v>ONAY</v>
      </c>
      <c r="R155" s="51" t="str">
        <f t="shared" si="9"/>
        <v/>
      </c>
      <c r="T155" s="41"/>
      <c r="U155" s="29">
        <f>IF($C155&lt;&gt;"",COUNTIF($C$2:C155,C155),"")</f>
        <v>1</v>
      </c>
      <c r="V155" s="29" t="str">
        <f t="shared" si="10"/>
        <v>Doç. Dr. Burcu HATİBOĞLU§1</v>
      </c>
      <c r="W155" s="29">
        <f>IF(U155=1,COUNTIF($U$2:U155,1),"")</f>
        <v>115</v>
      </c>
      <c r="X155" s="29">
        <f t="shared" si="11"/>
        <v>28</v>
      </c>
      <c r="Y155" s="29">
        <f>IF(AND(LEFT($B155,7)="SBA 26/",$D155&lt;&gt;"",$F155&lt;&gt;""),COUNTIFS($D$2:$D155,$D155,$B$2:$B155,"SBA 26/*",$F$2:$F155,"&lt;&gt;"),"")</f>
        <v>3</v>
      </c>
      <c r="Z155" s="29" t="str">
        <f>IF(Y155=1,COUNTIF($Y$2:Y155,1),"")</f>
        <v/>
      </c>
      <c r="AA155" s="29">
        <f>IF(AND(LEFT($B155,7)="SBA 26/",$C155&lt;&gt;"",$F155&lt;&gt;""),COUNTIFS($C$2:$C155,$C155,$B$2:$B155,"SBA 26/*",$F$2:$F155,"&lt;&gt;"),"")</f>
        <v>1</v>
      </c>
      <c r="AB155" s="29">
        <f>IF(AA155=1,COUNTIF($AA$2:AA155,1),"")</f>
        <v>115</v>
      </c>
    </row>
    <row r="156" spans="1:28" ht="47.25" customHeight="1" x14ac:dyDescent="0.2">
      <c r="A156" s="43" t="s">
        <v>856</v>
      </c>
      <c r="B156" s="43" t="s">
        <v>857</v>
      </c>
      <c r="C156" s="44" t="s">
        <v>858</v>
      </c>
      <c r="D156" s="44" t="s">
        <v>539</v>
      </c>
      <c r="E156" s="45" t="s">
        <v>859</v>
      </c>
      <c r="F156" s="45" t="s">
        <v>860</v>
      </c>
      <c r="G156" s="46" t="s">
        <v>38</v>
      </c>
      <c r="H156" s="48">
        <v>46058</v>
      </c>
      <c r="I156" s="48">
        <v>46070</v>
      </c>
      <c r="J156" s="44" t="s">
        <v>123</v>
      </c>
      <c r="K156" s="44" t="s">
        <v>116</v>
      </c>
      <c r="L156" s="50" t="s">
        <v>77</v>
      </c>
      <c r="M156" s="50"/>
      <c r="N156" s="50"/>
      <c r="O156" s="49"/>
      <c r="P156" s="50" t="str">
        <f t="shared" si="8"/>
        <v>ONAY</v>
      </c>
      <c r="R156" s="51" t="str">
        <f t="shared" si="9"/>
        <v/>
      </c>
      <c r="T156" s="41"/>
      <c r="U156" s="29">
        <f>IF($C156&lt;&gt;"",COUNTIF($C$2:C156,C156),"")</f>
        <v>1</v>
      </c>
      <c r="V156" s="29" t="str">
        <f t="shared" si="10"/>
        <v>Dr. Öğr. Üyesi Hanife Merva PARLAK§1</v>
      </c>
      <c r="W156" s="29">
        <f>IF(U156=1,COUNTIF($U$2:U156,1),"")</f>
        <v>116</v>
      </c>
      <c r="X156" s="29">
        <f t="shared" si="11"/>
        <v>139</v>
      </c>
      <c r="Y156" s="29">
        <f>IF(AND(LEFT($B156,7)="SBA 26/",$D156&lt;&gt;"",$F156&lt;&gt;""),COUNTIFS($D$2:$D156,$D156,$B$2:$B156,"SBA 26/*",$F$2:$F156,"&lt;&gt;"),"")</f>
        <v>2</v>
      </c>
      <c r="Z156" s="29" t="str">
        <f>IF(Y156=1,COUNTIF($Y$2:Y156,1),"")</f>
        <v/>
      </c>
      <c r="AA156" s="29">
        <f>IF(AND(LEFT($B156,7)="SBA 26/",$C156&lt;&gt;"",$F156&lt;&gt;""),COUNTIFS($C$2:$C156,$C156,$B$2:$B156,"SBA 26/*",$F$2:$F156,"&lt;&gt;"),"")</f>
        <v>1</v>
      </c>
      <c r="AB156" s="29">
        <f>IF(AA156=1,COUNTIF($AA$2:AA156,1),"")</f>
        <v>116</v>
      </c>
    </row>
    <row r="157" spans="1:28" ht="78.75" customHeight="1" x14ac:dyDescent="0.2">
      <c r="A157" s="43" t="s">
        <v>861</v>
      </c>
      <c r="B157" s="43" t="s">
        <v>862</v>
      </c>
      <c r="C157" s="44" t="s">
        <v>285</v>
      </c>
      <c r="D157" s="44" t="s">
        <v>222</v>
      </c>
      <c r="E157" s="45" t="s">
        <v>863</v>
      </c>
      <c r="F157" s="45" t="s">
        <v>864</v>
      </c>
      <c r="G157" s="46" t="s">
        <v>38</v>
      </c>
      <c r="H157" s="48">
        <v>46058</v>
      </c>
      <c r="I157" s="48">
        <v>46070</v>
      </c>
      <c r="J157" s="44" t="s">
        <v>91</v>
      </c>
      <c r="K157" s="44" t="s">
        <v>92</v>
      </c>
      <c r="L157" s="50" t="s">
        <v>101</v>
      </c>
      <c r="M157" s="50" t="s">
        <v>77</v>
      </c>
      <c r="N157" s="50"/>
      <c r="O157" s="49"/>
      <c r="P157" s="50" t="str">
        <f t="shared" si="8"/>
        <v>ONAY</v>
      </c>
      <c r="Q157" s="28" t="s">
        <v>91</v>
      </c>
      <c r="R157" s="51" t="str">
        <f t="shared" si="9"/>
        <v/>
      </c>
      <c r="T157" s="41"/>
      <c r="U157" s="29">
        <f>IF($C157&lt;&gt;"",COUNTIF($C$2:C157,C157),"")</f>
        <v>3</v>
      </c>
      <c r="V157" s="29" t="str">
        <f t="shared" si="10"/>
        <v>Prof. Dr. Yasemin ÖZSÜREKCİ§3</v>
      </c>
      <c r="W157" s="29" t="str">
        <f>IF(U157=1,COUNTIF($U$2:U157,1),"")</f>
        <v/>
      </c>
      <c r="X157" s="29" t="str">
        <f t="shared" si="11"/>
        <v/>
      </c>
      <c r="Y157" s="29">
        <f>IF(AND(LEFT($B157,7)="SBA 26/",$D157&lt;&gt;"",$F157&lt;&gt;""),COUNTIFS($D$2:$D157,$D157,$B$2:$B157,"SBA 26/*",$F$2:$F157,"&lt;&gt;"),"")</f>
        <v>20</v>
      </c>
      <c r="Z157" s="29" t="str">
        <f>IF(Y157=1,COUNTIF($Y$2:Y157,1),"")</f>
        <v/>
      </c>
      <c r="AA157" s="29">
        <f>IF(AND(LEFT($B157,7)="SBA 26/",$C157&lt;&gt;"",$F157&lt;&gt;""),COUNTIFS($C$2:$C157,$C157,$B$2:$B157,"SBA 26/*",$F$2:$F157,"&lt;&gt;"),"")</f>
        <v>3</v>
      </c>
      <c r="AB157" s="29" t="str">
        <f>IF(AA157=1,COUNTIF($AA$2:AA157,1),"")</f>
        <v/>
      </c>
    </row>
    <row r="158" spans="1:28" ht="94.5" customHeight="1" x14ac:dyDescent="0.2">
      <c r="A158" s="43" t="s">
        <v>865</v>
      </c>
      <c r="B158" s="43" t="s">
        <v>866</v>
      </c>
      <c r="C158" s="44" t="s">
        <v>867</v>
      </c>
      <c r="D158" s="44" t="s">
        <v>120</v>
      </c>
      <c r="E158" s="45" t="s">
        <v>868</v>
      </c>
      <c r="F158" s="45" t="s">
        <v>869</v>
      </c>
      <c r="G158" s="46" t="s">
        <v>41</v>
      </c>
      <c r="H158" s="48">
        <v>46058</v>
      </c>
      <c r="I158" s="48">
        <v>46070</v>
      </c>
      <c r="J158" s="44" t="s">
        <v>123</v>
      </c>
      <c r="K158" s="44" t="s">
        <v>76</v>
      </c>
      <c r="L158" s="50" t="s">
        <v>77</v>
      </c>
      <c r="M158" s="50"/>
      <c r="N158" s="50"/>
      <c r="O158" s="49"/>
      <c r="P158" s="50" t="str">
        <f t="shared" si="8"/>
        <v>ONAY</v>
      </c>
      <c r="R158" s="51" t="str">
        <f t="shared" si="9"/>
        <v/>
      </c>
      <c r="T158" s="41"/>
      <c r="U158" s="29">
        <f>IF($C158&lt;&gt;"",COUNTIF($C$2:C158,C158),"")</f>
        <v>1</v>
      </c>
      <c r="V158" s="29" t="str">
        <f t="shared" si="10"/>
        <v>Prof. Dr. Hatice DOĞAN BUZOĞLU§1</v>
      </c>
      <c r="W158" s="29">
        <f>IF(U158=1,COUNTIF($U$2:U158,1),"")</f>
        <v>117</v>
      </c>
      <c r="X158" s="29">
        <f t="shared" si="11"/>
        <v>241</v>
      </c>
      <c r="Y158" s="29">
        <f>IF(AND(LEFT($B158,7)="SBA 26/",$D158&lt;&gt;"",$F158&lt;&gt;""),COUNTIFS($D$2:$D158,$D158,$B$2:$B158,"SBA 26/*",$F$2:$F158,"&lt;&gt;"),"")</f>
        <v>2</v>
      </c>
      <c r="Z158" s="29" t="str">
        <f>IF(Y158=1,COUNTIF($Y$2:Y158,1),"")</f>
        <v/>
      </c>
      <c r="AA158" s="29">
        <f>IF(AND(LEFT($B158,7)="SBA 26/",$C158&lt;&gt;"",$F158&lt;&gt;""),COUNTIFS($C$2:$C158,$C158,$B$2:$B158,"SBA 26/*",$F$2:$F158,"&lt;&gt;"),"")</f>
        <v>1</v>
      </c>
      <c r="AB158" s="29">
        <f>IF(AA158=1,COUNTIF($AA$2:AA158,1),"")</f>
        <v>117</v>
      </c>
    </row>
    <row r="159" spans="1:28" ht="63" customHeight="1" x14ac:dyDescent="0.2">
      <c r="A159" s="43" t="s">
        <v>870</v>
      </c>
      <c r="B159" s="43" t="s">
        <v>871</v>
      </c>
      <c r="C159" s="44" t="s">
        <v>872</v>
      </c>
      <c r="D159" s="44" t="s">
        <v>181</v>
      </c>
      <c r="E159" s="45" t="s">
        <v>873</v>
      </c>
      <c r="F159" s="45" t="s">
        <v>874</v>
      </c>
      <c r="G159" s="46" t="s">
        <v>39</v>
      </c>
      <c r="H159" s="48">
        <v>46058</v>
      </c>
      <c r="I159" s="48">
        <v>46070</v>
      </c>
      <c r="J159" s="44" t="s">
        <v>92</v>
      </c>
      <c r="K159" s="44" t="s">
        <v>100</v>
      </c>
      <c r="L159" s="50" t="s">
        <v>101</v>
      </c>
      <c r="M159" s="50" t="s">
        <v>77</v>
      </c>
      <c r="N159" s="50"/>
      <c r="O159" s="49"/>
      <c r="P159" s="50" t="str">
        <f t="shared" si="8"/>
        <v>ONAY</v>
      </c>
      <c r="Q159" s="28" t="s">
        <v>92</v>
      </c>
      <c r="R159" s="51" t="str">
        <f t="shared" si="9"/>
        <v/>
      </c>
      <c r="T159" s="41"/>
      <c r="U159" s="29">
        <f>IF($C159&lt;&gt;"",COUNTIF($C$2:C159,C159),"")</f>
        <v>1</v>
      </c>
      <c r="V159" s="29" t="str">
        <f t="shared" si="10"/>
        <v>Doç. Dr. Almıla Gülsün PAMUK§1</v>
      </c>
      <c r="W159" s="29">
        <f>IF(U159=1,COUNTIF($U$2:U159,1),"")</f>
        <v>118</v>
      </c>
      <c r="X159" s="29">
        <f t="shared" si="11"/>
        <v>17</v>
      </c>
      <c r="Y159" s="29">
        <f>IF(AND(LEFT($B159,7)="SBA 26/",$D159&lt;&gt;"",$F159&lt;&gt;""),COUNTIFS($D$2:$D159,$D159,$B$2:$B159,"SBA 26/*",$F$2:$F159,"&lt;&gt;"),"")</f>
        <v>3</v>
      </c>
      <c r="Z159" s="29" t="str">
        <f>IF(Y159=1,COUNTIF($Y$2:Y159,1),"")</f>
        <v/>
      </c>
      <c r="AA159" s="29">
        <f>IF(AND(LEFT($B159,7)="SBA 26/",$C159&lt;&gt;"",$F159&lt;&gt;""),COUNTIFS($C$2:$C159,$C159,$B$2:$B159,"SBA 26/*",$F$2:$F159,"&lt;&gt;"),"")</f>
        <v>1</v>
      </c>
      <c r="AB159" s="29">
        <f>IF(AA159=1,COUNTIF($AA$2:AA159,1),"")</f>
        <v>118</v>
      </c>
    </row>
    <row r="160" spans="1:28" ht="94.5" customHeight="1" x14ac:dyDescent="0.2">
      <c r="A160" s="43" t="s">
        <v>875</v>
      </c>
      <c r="B160" s="43" t="s">
        <v>876</v>
      </c>
      <c r="C160" s="44" t="s">
        <v>877</v>
      </c>
      <c r="D160" s="44" t="s">
        <v>291</v>
      </c>
      <c r="E160" s="45" t="s">
        <v>878</v>
      </c>
      <c r="F160" s="45" t="s">
        <v>879</v>
      </c>
      <c r="G160" s="46" t="s">
        <v>39</v>
      </c>
      <c r="H160" s="48">
        <v>46058</v>
      </c>
      <c r="I160" s="48">
        <v>46070</v>
      </c>
      <c r="J160" s="44" t="s">
        <v>116</v>
      </c>
      <c r="K160" s="44" t="s">
        <v>129</v>
      </c>
      <c r="L160" s="50" t="s">
        <v>101</v>
      </c>
      <c r="M160" s="50" t="s">
        <v>77</v>
      </c>
      <c r="N160" s="50"/>
      <c r="O160" s="49"/>
      <c r="P160" s="50" t="str">
        <f t="shared" si="8"/>
        <v>ONAY</v>
      </c>
      <c r="Q160" s="28" t="s">
        <v>116</v>
      </c>
      <c r="R160" s="51" t="str">
        <f t="shared" si="9"/>
        <v/>
      </c>
      <c r="T160" s="41"/>
      <c r="U160" s="29">
        <f>IF($C160&lt;&gt;"",COUNTIF($C$2:C160,C160),"")</f>
        <v>1</v>
      </c>
      <c r="V160" s="29" t="str">
        <f t="shared" si="10"/>
        <v>Doç. Dr. Gamze ATAY§1</v>
      </c>
      <c r="W160" s="29">
        <f>IF(U160=1,COUNTIF($U$2:U160,1),"")</f>
        <v>119</v>
      </c>
      <c r="X160" s="29">
        <f t="shared" si="11"/>
        <v>55</v>
      </c>
      <c r="Y160" s="29">
        <f>IF(AND(LEFT($B160,7)="SBA 26/",$D160&lt;&gt;"",$F160&lt;&gt;""),COUNTIFS($D$2:$D160,$D160,$B$2:$B160,"SBA 26/*",$F$2:$F160,"&lt;&gt;"),"")</f>
        <v>5</v>
      </c>
      <c r="Z160" s="29" t="str">
        <f>IF(Y160=1,COUNTIF($Y$2:Y160,1),"")</f>
        <v/>
      </c>
      <c r="AA160" s="29">
        <f>IF(AND(LEFT($B160,7)="SBA 26/",$C160&lt;&gt;"",$F160&lt;&gt;""),COUNTIFS($C$2:$C160,$C160,$B$2:$B160,"SBA 26/*",$F$2:$F160,"&lt;&gt;"),"")</f>
        <v>1</v>
      </c>
      <c r="AB160" s="29">
        <f>IF(AA160=1,COUNTIF($AA$2:AA160,1),"")</f>
        <v>119</v>
      </c>
    </row>
    <row r="161" spans="1:28" ht="80.25" customHeight="1" x14ac:dyDescent="0.2">
      <c r="A161" s="43" t="s">
        <v>880</v>
      </c>
      <c r="B161" s="43" t="s">
        <v>881</v>
      </c>
      <c r="C161" s="44" t="s">
        <v>285</v>
      </c>
      <c r="D161" s="44" t="s">
        <v>222</v>
      </c>
      <c r="E161" s="45" t="s">
        <v>882</v>
      </c>
      <c r="F161" s="45" t="s">
        <v>883</v>
      </c>
      <c r="G161" s="46" t="s">
        <v>38</v>
      </c>
      <c r="H161" s="48">
        <v>46059</v>
      </c>
      <c r="I161" s="48">
        <v>46070</v>
      </c>
      <c r="J161" s="44" t="s">
        <v>76</v>
      </c>
      <c r="K161" s="44" t="s">
        <v>99</v>
      </c>
      <c r="L161" s="50" t="s">
        <v>172</v>
      </c>
      <c r="M161" s="50"/>
      <c r="N161" s="50"/>
      <c r="O161" s="49"/>
      <c r="P161" s="50" t="str">
        <f t="shared" si="8"/>
        <v>RET</v>
      </c>
      <c r="R161" s="51" t="str">
        <f t="shared" si="9"/>
        <v/>
      </c>
      <c r="S161" s="55" t="s">
        <v>884</v>
      </c>
      <c r="T161" s="41"/>
      <c r="U161" s="29">
        <f>IF($C161&lt;&gt;"",COUNTIF($C$2:C161,C161),"")</f>
        <v>4</v>
      </c>
      <c r="V161" s="29" t="str">
        <f t="shared" si="10"/>
        <v>Prof. Dr. Yasemin ÖZSÜREKCİ§4</v>
      </c>
      <c r="W161" s="29" t="str">
        <f>IF(U161=1,COUNTIF($U$2:U161,1),"")</f>
        <v/>
      </c>
      <c r="X161" s="29" t="str">
        <f t="shared" si="11"/>
        <v/>
      </c>
      <c r="Y161" s="29">
        <f>IF(AND(LEFT($B161,7)="SBA 26/",$D161&lt;&gt;"",$F161&lt;&gt;""),COUNTIFS($D$2:$D161,$D161,$B$2:$B161,"SBA 26/*",$F$2:$F161,"&lt;&gt;"),"")</f>
        <v>21</v>
      </c>
      <c r="Z161" s="29" t="str">
        <f>IF(Y161=1,COUNTIF($Y$2:Y161,1),"")</f>
        <v/>
      </c>
      <c r="AA161" s="29">
        <f>IF(AND(LEFT($B161,7)="SBA 26/",$C161&lt;&gt;"",$F161&lt;&gt;""),COUNTIFS($C$2:$C161,$C161,$B$2:$B161,"SBA 26/*",$F$2:$F161,"&lt;&gt;"),"")</f>
        <v>4</v>
      </c>
      <c r="AB161" s="29" t="str">
        <f>IF(AA161=1,COUNTIF($AA$2:AA161,1),"")</f>
        <v/>
      </c>
    </row>
    <row r="162" spans="1:28" ht="78.75" customHeight="1" x14ac:dyDescent="0.2">
      <c r="A162" s="43" t="s">
        <v>885</v>
      </c>
      <c r="B162" s="43" t="s">
        <v>886</v>
      </c>
      <c r="C162" s="44" t="s">
        <v>419</v>
      </c>
      <c r="D162" s="44" t="s">
        <v>397</v>
      </c>
      <c r="E162" s="45" t="s">
        <v>887</v>
      </c>
      <c r="F162" s="45" t="s">
        <v>888</v>
      </c>
      <c r="G162" s="46" t="s">
        <v>38</v>
      </c>
      <c r="H162" s="48">
        <v>46059</v>
      </c>
      <c r="I162" s="48">
        <v>46070</v>
      </c>
      <c r="J162" s="44" t="s">
        <v>129</v>
      </c>
      <c r="K162" s="44" t="s">
        <v>116</v>
      </c>
      <c r="L162" s="50" t="s">
        <v>77</v>
      </c>
      <c r="M162" s="50"/>
      <c r="N162" s="50"/>
      <c r="O162" s="49"/>
      <c r="P162" s="50" t="str">
        <f t="shared" si="8"/>
        <v>ONAY</v>
      </c>
      <c r="R162" s="51" t="str">
        <f t="shared" si="9"/>
        <v/>
      </c>
      <c r="T162" s="41"/>
      <c r="U162" s="29">
        <f>IF($C162&lt;&gt;"",COUNTIF($C$2:C162,C162),"")</f>
        <v>4</v>
      </c>
      <c r="V162" s="29" t="str">
        <f t="shared" si="10"/>
        <v>Dr. Öğr. Üyesi Burcu KELLECİ ÇAKIR§4</v>
      </c>
      <c r="W162" s="29" t="str">
        <f>IF(U162=1,COUNTIF($U$2:U162,1),"")</f>
        <v/>
      </c>
      <c r="X162" s="29" t="str">
        <f t="shared" si="11"/>
        <v/>
      </c>
      <c r="Y162" s="29">
        <f>IF(AND(LEFT($B162,7)="SBA 26/",$D162&lt;&gt;"",$F162&lt;&gt;""),COUNTIFS($D$2:$D162,$D162,$B$2:$B162,"SBA 26/*",$F$2:$F162,"&lt;&gt;"),"")</f>
        <v>9</v>
      </c>
      <c r="Z162" s="29" t="str">
        <f>IF(Y162=1,COUNTIF($Y$2:Y162,1),"")</f>
        <v/>
      </c>
      <c r="AA162" s="29">
        <f>IF(AND(LEFT($B162,7)="SBA 26/",$C162&lt;&gt;"",$F162&lt;&gt;""),COUNTIFS($C$2:$C162,$C162,$B$2:$B162,"SBA 26/*",$F$2:$F162,"&lt;&gt;"),"")</f>
        <v>4</v>
      </c>
      <c r="AB162" s="29" t="str">
        <f>IF(AA162=1,COUNTIF($AA$2:AA162,1),"")</f>
        <v/>
      </c>
    </row>
    <row r="163" spans="1:28" ht="63" customHeight="1" x14ac:dyDescent="0.2">
      <c r="A163" s="43" t="s">
        <v>889</v>
      </c>
      <c r="B163" s="43" t="s">
        <v>890</v>
      </c>
      <c r="C163" s="44" t="s">
        <v>891</v>
      </c>
      <c r="D163" s="44" t="s">
        <v>892</v>
      </c>
      <c r="E163" s="45" t="s">
        <v>893</v>
      </c>
      <c r="F163" s="45" t="s">
        <v>894</v>
      </c>
      <c r="G163" s="46" t="s">
        <v>38</v>
      </c>
      <c r="H163" s="48">
        <v>46059</v>
      </c>
      <c r="I163" s="48">
        <v>46070</v>
      </c>
      <c r="J163" s="44" t="s">
        <v>108</v>
      </c>
      <c r="K163" s="44" t="s">
        <v>84</v>
      </c>
      <c r="L163" s="50" t="s">
        <v>101</v>
      </c>
      <c r="M163" s="50" t="s">
        <v>77</v>
      </c>
      <c r="N163" s="50"/>
      <c r="O163" s="49"/>
      <c r="P163" s="50" t="str">
        <f t="shared" si="8"/>
        <v>ONAY</v>
      </c>
      <c r="Q163" s="28" t="s">
        <v>108</v>
      </c>
      <c r="R163" s="51" t="str">
        <f t="shared" si="9"/>
        <v/>
      </c>
      <c r="T163" s="41"/>
      <c r="U163" s="29">
        <f>IF($C163&lt;&gt;"",COUNTIF($C$2:C163,C163),"")</f>
        <v>1</v>
      </c>
      <c r="V163" s="29" t="str">
        <f t="shared" si="10"/>
        <v>Doç. Dr. Hilal KORKMAZ§1</v>
      </c>
      <c r="W163" s="29">
        <f>IF(U163=1,COUNTIF($U$2:U163,1),"")</f>
        <v>120</v>
      </c>
      <c r="X163" s="29">
        <f t="shared" si="11"/>
        <v>65</v>
      </c>
      <c r="Y163" s="29">
        <f>IF(AND(LEFT($B163,7)="SBA 26/",$D163&lt;&gt;"",$F163&lt;&gt;""),COUNTIFS($D$2:$D163,$D163,$B$2:$B163,"SBA 26/*",$F$2:$F163,"&lt;&gt;"),"")</f>
        <v>1</v>
      </c>
      <c r="Z163" s="29">
        <f>IF(Y163=1,COUNTIF($Y$2:Y163,1),"")</f>
        <v>49</v>
      </c>
      <c r="AA163" s="29">
        <f>IF(AND(LEFT($B163,7)="SBA 26/",$C163&lt;&gt;"",$F163&lt;&gt;""),COUNTIFS($C$2:$C163,$C163,$B$2:$B163,"SBA 26/*",$F$2:$F163,"&lt;&gt;"),"")</f>
        <v>1</v>
      </c>
      <c r="AB163" s="29">
        <f>IF(AA163=1,COUNTIF($AA$2:AA163,1),"")</f>
        <v>120</v>
      </c>
    </row>
    <row r="164" spans="1:28" ht="81.75" customHeight="1" x14ac:dyDescent="0.2">
      <c r="A164" s="43" t="s">
        <v>895</v>
      </c>
      <c r="B164" s="43" t="s">
        <v>896</v>
      </c>
      <c r="C164" s="44" t="s">
        <v>524</v>
      </c>
      <c r="D164" s="44" t="s">
        <v>113</v>
      </c>
      <c r="E164" s="45" t="s">
        <v>897</v>
      </c>
      <c r="F164" s="45" t="s">
        <v>898</v>
      </c>
      <c r="G164" s="46" t="s">
        <v>39</v>
      </c>
      <c r="H164" s="48">
        <v>46059</v>
      </c>
      <c r="I164" s="48">
        <v>46070</v>
      </c>
      <c r="J164" s="44" t="s">
        <v>108</v>
      </c>
      <c r="K164" s="44" t="s">
        <v>84</v>
      </c>
      <c r="L164" s="50" t="s">
        <v>77</v>
      </c>
      <c r="M164" s="50"/>
      <c r="N164" s="50"/>
      <c r="O164" s="49"/>
      <c r="P164" s="50" t="str">
        <f t="shared" si="8"/>
        <v>ONAY</v>
      </c>
      <c r="R164" s="51" t="str">
        <f t="shared" si="9"/>
        <v/>
      </c>
      <c r="T164" s="41"/>
      <c r="U164" s="29">
        <f>IF($C164&lt;&gt;"",COUNTIF($C$2:C164,C164),"")</f>
        <v>2</v>
      </c>
      <c r="V164" s="29" t="str">
        <f t="shared" si="10"/>
        <v>Doç. Dr. Mert EŞME§2</v>
      </c>
      <c r="W164" s="29" t="str">
        <f>IF(U164=1,COUNTIF($U$2:U164,1),"")</f>
        <v/>
      </c>
      <c r="X164" s="29" t="str">
        <f t="shared" si="11"/>
        <v/>
      </c>
      <c r="Y164" s="29">
        <f>IF(AND(LEFT($B164,7)="SBA 26/",$D164&lt;&gt;"",$F164&lt;&gt;""),COUNTIFS($D$2:$D164,$D164,$B$2:$B164,"SBA 26/*",$F$2:$F164,"&lt;&gt;"),"")</f>
        <v>25</v>
      </c>
      <c r="Z164" s="29" t="str">
        <f>IF(Y164=1,COUNTIF($Y$2:Y164,1),"")</f>
        <v/>
      </c>
      <c r="AA164" s="29">
        <f>IF(AND(LEFT($B164,7)="SBA 26/",$C164&lt;&gt;"",$F164&lt;&gt;""),COUNTIFS($C$2:$C164,$C164,$B$2:$B164,"SBA 26/*",$F$2:$F164,"&lt;&gt;"),"")</f>
        <v>2</v>
      </c>
      <c r="AB164" s="29" t="str">
        <f>IF(AA164=1,COUNTIF($AA$2:AA164,1),"")</f>
        <v/>
      </c>
    </row>
    <row r="165" spans="1:28" ht="78.75" customHeight="1" x14ac:dyDescent="0.2">
      <c r="A165" s="43" t="s">
        <v>899</v>
      </c>
      <c r="B165" s="43" t="s">
        <v>900</v>
      </c>
      <c r="C165" s="44" t="s">
        <v>227</v>
      </c>
      <c r="D165" s="44" t="s">
        <v>228</v>
      </c>
      <c r="E165" s="45" t="s">
        <v>901</v>
      </c>
      <c r="F165" s="45" t="s">
        <v>902</v>
      </c>
      <c r="G165" s="46" t="s">
        <v>38</v>
      </c>
      <c r="H165" s="48">
        <v>46059</v>
      </c>
      <c r="I165" s="48">
        <v>46070</v>
      </c>
      <c r="J165" s="44" t="s">
        <v>91</v>
      </c>
      <c r="K165" s="44" t="s">
        <v>92</v>
      </c>
      <c r="L165" s="50" t="s">
        <v>101</v>
      </c>
      <c r="M165" s="50" t="s">
        <v>77</v>
      </c>
      <c r="N165" s="50"/>
      <c r="O165" s="49"/>
      <c r="P165" s="50" t="str">
        <f t="shared" si="8"/>
        <v>ONAY</v>
      </c>
      <c r="Q165" s="28" t="s">
        <v>91</v>
      </c>
      <c r="R165" s="51" t="str">
        <f t="shared" si="9"/>
        <v/>
      </c>
      <c r="T165" s="41"/>
      <c r="U165" s="29">
        <f>IF($C165&lt;&gt;"",COUNTIF($C$2:C165,C165),"")</f>
        <v>2</v>
      </c>
      <c r="V165" s="29" t="str">
        <f t="shared" si="10"/>
        <v>Dr. Öğr. Üyesi Gonca ÖZTEN DERE§2</v>
      </c>
      <c r="W165" s="29" t="str">
        <f>IF(U165=1,COUNTIF($U$2:U165,1),"")</f>
        <v/>
      </c>
      <c r="X165" s="29" t="str">
        <f t="shared" si="11"/>
        <v/>
      </c>
      <c r="Y165" s="29">
        <f>IF(AND(LEFT($B165,7)="SBA 26/",$D165&lt;&gt;"",$F165&lt;&gt;""),COUNTIFS($D$2:$D165,$D165,$B$2:$B165,"SBA 26/*",$F$2:$F165,"&lt;&gt;"),"")</f>
        <v>5</v>
      </c>
      <c r="Z165" s="29" t="str">
        <f>IF(Y165=1,COUNTIF($Y$2:Y165,1),"")</f>
        <v/>
      </c>
      <c r="AA165" s="29">
        <f>IF(AND(LEFT($B165,7)="SBA 26/",$C165&lt;&gt;"",$F165&lt;&gt;""),COUNTIFS($C$2:$C165,$C165,$B$2:$B165,"SBA 26/*",$F$2:$F165,"&lt;&gt;"),"")</f>
        <v>2</v>
      </c>
      <c r="AB165" s="29" t="str">
        <f>IF(AA165=1,COUNTIF($AA$2:AA165,1),"")</f>
        <v/>
      </c>
    </row>
    <row r="166" spans="1:28" ht="78.75" customHeight="1" x14ac:dyDescent="0.2">
      <c r="A166" s="43" t="s">
        <v>903</v>
      </c>
      <c r="B166" s="43" t="s">
        <v>904</v>
      </c>
      <c r="C166" s="44" t="s">
        <v>227</v>
      </c>
      <c r="D166" s="44" t="s">
        <v>228</v>
      </c>
      <c r="E166" s="45" t="s">
        <v>905</v>
      </c>
      <c r="F166" s="45" t="s">
        <v>906</v>
      </c>
      <c r="G166" s="46" t="s">
        <v>38</v>
      </c>
      <c r="H166" s="48">
        <v>46059</v>
      </c>
      <c r="I166" s="48">
        <v>46070</v>
      </c>
      <c r="J166" s="44" t="s">
        <v>91</v>
      </c>
      <c r="K166" s="44" t="s">
        <v>92</v>
      </c>
      <c r="L166" s="50" t="s">
        <v>101</v>
      </c>
      <c r="M166" s="50" t="s">
        <v>77</v>
      </c>
      <c r="N166" s="50"/>
      <c r="O166" s="49"/>
      <c r="P166" s="50" t="str">
        <f t="shared" si="8"/>
        <v>ONAY</v>
      </c>
      <c r="Q166" s="28" t="s">
        <v>91</v>
      </c>
      <c r="R166" s="51" t="str">
        <f t="shared" si="9"/>
        <v/>
      </c>
      <c r="T166" s="41"/>
      <c r="U166" s="29">
        <f>IF($C166&lt;&gt;"",COUNTIF($C$2:C166,C166),"")</f>
        <v>3</v>
      </c>
      <c r="V166" s="29" t="str">
        <f t="shared" si="10"/>
        <v>Dr. Öğr. Üyesi Gonca ÖZTEN DERE§3</v>
      </c>
      <c r="W166" s="29" t="str">
        <f>IF(U166=1,COUNTIF($U$2:U166,1),"")</f>
        <v/>
      </c>
      <c r="X166" s="29" t="str">
        <f t="shared" si="11"/>
        <v/>
      </c>
      <c r="Y166" s="29">
        <f>IF(AND(LEFT($B166,7)="SBA 26/",$D166&lt;&gt;"",$F166&lt;&gt;""),COUNTIFS($D$2:$D166,$D166,$B$2:$B166,"SBA 26/*",$F$2:$F166,"&lt;&gt;"),"")</f>
        <v>6</v>
      </c>
      <c r="Z166" s="29" t="str">
        <f>IF(Y166=1,COUNTIF($Y$2:Y166,1),"")</f>
        <v/>
      </c>
      <c r="AA166" s="29">
        <f>IF(AND(LEFT($B166,7)="SBA 26/",$C166&lt;&gt;"",$F166&lt;&gt;""),COUNTIFS($C$2:$C166,$C166,$B$2:$B166,"SBA 26/*",$F$2:$F166,"&lt;&gt;"),"")</f>
        <v>3</v>
      </c>
      <c r="AB166" s="29" t="str">
        <f>IF(AA166=1,COUNTIF($AA$2:AA166,1),"")</f>
        <v/>
      </c>
    </row>
    <row r="167" spans="1:28" ht="63" customHeight="1" x14ac:dyDescent="0.2">
      <c r="A167" s="43" t="s">
        <v>907</v>
      </c>
      <c r="B167" s="43" t="s">
        <v>908</v>
      </c>
      <c r="C167" s="44" t="s">
        <v>390</v>
      </c>
      <c r="D167" s="44" t="s">
        <v>391</v>
      </c>
      <c r="E167" s="45" t="s">
        <v>909</v>
      </c>
      <c r="F167" s="45" t="s">
        <v>910</v>
      </c>
      <c r="G167" s="46" t="s">
        <v>38</v>
      </c>
      <c r="H167" s="48">
        <v>46059</v>
      </c>
      <c r="I167" s="48">
        <v>46070</v>
      </c>
      <c r="J167" s="44" t="s">
        <v>92</v>
      </c>
      <c r="K167" s="44" t="s">
        <v>100</v>
      </c>
      <c r="L167" s="50" t="s">
        <v>101</v>
      </c>
      <c r="M167" s="50"/>
      <c r="N167" s="50"/>
      <c r="O167" s="49"/>
      <c r="P167" s="50" t="str">
        <f t="shared" si="8"/>
        <v>DÜZELTME</v>
      </c>
      <c r="R167" s="51" t="str">
        <f t="shared" si="9"/>
        <v/>
      </c>
      <c r="T167" s="41"/>
      <c r="U167" s="29">
        <f>IF($C167&lt;&gt;"",COUNTIF($C$2:C167,C167),"")</f>
        <v>2</v>
      </c>
      <c r="V167" s="29" t="str">
        <f t="shared" si="10"/>
        <v>Prof. Dr. Mehmet AYVAZ§2</v>
      </c>
      <c r="W167" s="29" t="str">
        <f>IF(U167=1,COUNTIF($U$2:U167,1),"")</f>
        <v/>
      </c>
      <c r="X167" s="29" t="str">
        <f t="shared" si="11"/>
        <v/>
      </c>
      <c r="Y167" s="29">
        <f>IF(AND(LEFT($B167,7)="SBA 26/",$D167&lt;&gt;"",$F167&lt;&gt;""),COUNTIFS($D$2:$D167,$D167,$B$2:$B167,"SBA 26/*",$F$2:$F167,"&lt;&gt;"),"")</f>
        <v>3</v>
      </c>
      <c r="Z167" s="29" t="str">
        <f>IF(Y167=1,COUNTIF($Y$2:Y167,1),"")</f>
        <v/>
      </c>
      <c r="AA167" s="29">
        <f>IF(AND(LEFT($B167,7)="SBA 26/",$C167&lt;&gt;"",$F167&lt;&gt;""),COUNTIFS($C$2:$C167,$C167,$B$2:$B167,"SBA 26/*",$F$2:$F167,"&lt;&gt;"),"")</f>
        <v>2</v>
      </c>
      <c r="AB167" s="29" t="str">
        <f>IF(AA167=1,COUNTIF($AA$2:AA167,1),"")</f>
        <v/>
      </c>
    </row>
    <row r="168" spans="1:28" ht="63" customHeight="1" x14ac:dyDescent="0.2">
      <c r="A168" s="43" t="s">
        <v>911</v>
      </c>
      <c r="B168" s="43" t="s">
        <v>912</v>
      </c>
      <c r="C168" s="44" t="s">
        <v>390</v>
      </c>
      <c r="D168" s="44" t="s">
        <v>391</v>
      </c>
      <c r="E168" s="45" t="s">
        <v>909</v>
      </c>
      <c r="F168" s="45" t="s">
        <v>913</v>
      </c>
      <c r="G168" s="46" t="s">
        <v>38</v>
      </c>
      <c r="H168" s="48">
        <v>46059</v>
      </c>
      <c r="I168" s="48">
        <v>46070</v>
      </c>
      <c r="J168" s="44" t="s">
        <v>75</v>
      </c>
      <c r="K168" s="44" t="s">
        <v>84</v>
      </c>
      <c r="L168" s="50" t="s">
        <v>101</v>
      </c>
      <c r="M168" s="50"/>
      <c r="N168" s="50"/>
      <c r="O168" s="49"/>
      <c r="P168" s="50" t="str">
        <f t="shared" si="8"/>
        <v>DÜZELTME</v>
      </c>
      <c r="R168" s="51" t="str">
        <f t="shared" si="9"/>
        <v/>
      </c>
      <c r="T168" s="41"/>
      <c r="U168" s="29">
        <f>IF($C168&lt;&gt;"",COUNTIF($C$2:C168,C168),"")</f>
        <v>3</v>
      </c>
      <c r="V168" s="29" t="str">
        <f t="shared" si="10"/>
        <v>Prof. Dr. Mehmet AYVAZ§3</v>
      </c>
      <c r="W168" s="29" t="str">
        <f>IF(U168=1,COUNTIF($U$2:U168,1),"")</f>
        <v/>
      </c>
      <c r="X168" s="29" t="str">
        <f t="shared" si="11"/>
        <v/>
      </c>
      <c r="Y168" s="29">
        <f>IF(AND(LEFT($B168,7)="SBA 26/",$D168&lt;&gt;"",$F168&lt;&gt;""),COUNTIFS($D$2:$D168,$D168,$B$2:$B168,"SBA 26/*",$F$2:$F168,"&lt;&gt;"),"")</f>
        <v>4</v>
      </c>
      <c r="Z168" s="29" t="str">
        <f>IF(Y168=1,COUNTIF($Y$2:Y168,1),"")</f>
        <v/>
      </c>
      <c r="AA168" s="29">
        <f>IF(AND(LEFT($B168,7)="SBA 26/",$C168&lt;&gt;"",$F168&lt;&gt;""),COUNTIFS($C$2:$C168,$C168,$B$2:$B168,"SBA 26/*",$F$2:$F168,"&lt;&gt;"),"")</f>
        <v>3</v>
      </c>
      <c r="AB168" s="29" t="str">
        <f>IF(AA168=1,COUNTIF($AA$2:AA168,1),"")</f>
        <v/>
      </c>
    </row>
    <row r="169" spans="1:28" ht="78.75" customHeight="1" x14ac:dyDescent="0.2">
      <c r="A169" s="43" t="s">
        <v>914</v>
      </c>
      <c r="B169" s="43" t="s">
        <v>915</v>
      </c>
      <c r="C169" s="44" t="s">
        <v>652</v>
      </c>
      <c r="D169" s="44" t="s">
        <v>364</v>
      </c>
      <c r="E169" s="45" t="s">
        <v>916</v>
      </c>
      <c r="F169" s="45" t="s">
        <v>917</v>
      </c>
      <c r="G169" s="46" t="s">
        <v>38</v>
      </c>
      <c r="H169" s="48">
        <v>46059</v>
      </c>
      <c r="I169" s="48">
        <v>46070</v>
      </c>
      <c r="J169" s="44" t="s">
        <v>108</v>
      </c>
      <c r="K169" s="44" t="s">
        <v>116</v>
      </c>
      <c r="L169" s="50" t="s">
        <v>77</v>
      </c>
      <c r="M169" s="50"/>
      <c r="N169" s="50"/>
      <c r="O169" s="49"/>
      <c r="P169" s="50" t="str">
        <f t="shared" si="8"/>
        <v>ONAY</v>
      </c>
      <c r="R169" s="51" t="str">
        <f t="shared" si="9"/>
        <v/>
      </c>
      <c r="T169" s="41"/>
      <c r="U169" s="29">
        <f>IF($C169&lt;&gt;"",COUNTIF($C$2:C169,C169),"")</f>
        <v>2</v>
      </c>
      <c r="V169" s="29" t="str">
        <f t="shared" si="10"/>
        <v>Prof. Dr. Çağrı Mesut TEMUÇİN§2</v>
      </c>
      <c r="W169" s="29" t="str">
        <f>IF(U169=1,COUNTIF($U$2:U169,1),"")</f>
        <v/>
      </c>
      <c r="X169" s="29" t="str">
        <f t="shared" si="11"/>
        <v/>
      </c>
      <c r="Y169" s="29">
        <f>IF(AND(LEFT($B169,7)="SBA 26/",$D169&lt;&gt;"",$F169&lt;&gt;""),COUNTIFS($D$2:$D169,$D169,$B$2:$B169,"SBA 26/*",$F$2:$F169,"&lt;&gt;"),"")</f>
        <v>5</v>
      </c>
      <c r="Z169" s="29" t="str">
        <f>IF(Y169=1,COUNTIF($Y$2:Y169,1),"")</f>
        <v/>
      </c>
      <c r="AA169" s="29">
        <f>IF(AND(LEFT($B169,7)="SBA 26/",$C169&lt;&gt;"",$F169&lt;&gt;""),COUNTIFS($C$2:$C169,$C169,$B$2:$B169,"SBA 26/*",$F$2:$F169,"&lt;&gt;"),"")</f>
        <v>2</v>
      </c>
      <c r="AB169" s="29" t="str">
        <f>IF(AA169=1,COUNTIF($AA$2:AA169,1),"")</f>
        <v/>
      </c>
    </row>
    <row r="170" spans="1:28" ht="78.75" customHeight="1" x14ac:dyDescent="0.2">
      <c r="A170" s="43" t="s">
        <v>918</v>
      </c>
      <c r="B170" s="43" t="s">
        <v>919</v>
      </c>
      <c r="C170" s="44" t="s">
        <v>633</v>
      </c>
      <c r="D170" s="44" t="s">
        <v>228</v>
      </c>
      <c r="E170" s="45" t="s">
        <v>920</v>
      </c>
      <c r="F170" s="45" t="s">
        <v>921</v>
      </c>
      <c r="G170" s="46" t="s">
        <v>38</v>
      </c>
      <c r="H170" s="48">
        <v>46059</v>
      </c>
      <c r="I170" s="48">
        <v>46070</v>
      </c>
      <c r="J170" s="44" t="s">
        <v>75</v>
      </c>
      <c r="K170" s="44" t="s">
        <v>99</v>
      </c>
      <c r="L170" s="50" t="s">
        <v>77</v>
      </c>
      <c r="M170" s="50"/>
      <c r="N170" s="50"/>
      <c r="O170" s="49"/>
      <c r="P170" s="50" t="str">
        <f t="shared" si="8"/>
        <v>ONAY</v>
      </c>
      <c r="R170" s="51" t="str">
        <f t="shared" si="9"/>
        <v/>
      </c>
      <c r="T170" s="41"/>
      <c r="U170" s="29">
        <f>IF($C170&lt;&gt;"",COUNTIF($C$2:C170,C170),"")</f>
        <v>2</v>
      </c>
      <c r="V170" s="29" t="str">
        <f t="shared" si="10"/>
        <v>Doç. Dr. Utku AKGÖR§2</v>
      </c>
      <c r="W170" s="29" t="str">
        <f>IF(U170=1,COUNTIF($U$2:U170,1),"")</f>
        <v/>
      </c>
      <c r="X170" s="29" t="str">
        <f t="shared" si="11"/>
        <v/>
      </c>
      <c r="Y170" s="29">
        <f>IF(AND(LEFT($B170,7)="SBA 26/",$D170&lt;&gt;"",$F170&lt;&gt;""),COUNTIFS($D$2:$D170,$D170,$B$2:$B170,"SBA 26/*",$F$2:$F170,"&lt;&gt;"),"")</f>
        <v>7</v>
      </c>
      <c r="Z170" s="29" t="str">
        <f>IF(Y170=1,COUNTIF($Y$2:Y170,1),"")</f>
        <v/>
      </c>
      <c r="AA170" s="29">
        <f>IF(AND(LEFT($B170,7)="SBA 26/",$C170&lt;&gt;"",$F170&lt;&gt;""),COUNTIFS($C$2:$C170,$C170,$B$2:$B170,"SBA 26/*",$F$2:$F170,"&lt;&gt;"),"")</f>
        <v>2</v>
      </c>
      <c r="AB170" s="29" t="str">
        <f>IF(AA170=1,COUNTIF($AA$2:AA170,1),"")</f>
        <v/>
      </c>
    </row>
    <row r="171" spans="1:28" ht="81.75" customHeight="1" x14ac:dyDescent="0.2">
      <c r="A171" s="43" t="s">
        <v>922</v>
      </c>
      <c r="B171" s="43" t="s">
        <v>923</v>
      </c>
      <c r="C171" s="44" t="s">
        <v>924</v>
      </c>
      <c r="D171" s="44" t="s">
        <v>228</v>
      </c>
      <c r="E171" s="45" t="s">
        <v>925</v>
      </c>
      <c r="F171" s="45" t="s">
        <v>926</v>
      </c>
      <c r="G171" s="46" t="s">
        <v>38</v>
      </c>
      <c r="H171" s="48">
        <v>46059</v>
      </c>
      <c r="I171" s="48">
        <v>46070</v>
      </c>
      <c r="J171" s="44" t="s">
        <v>75</v>
      </c>
      <c r="K171" s="44" t="s">
        <v>99</v>
      </c>
      <c r="L171" s="50" t="s">
        <v>77</v>
      </c>
      <c r="M171" s="50"/>
      <c r="N171" s="50"/>
      <c r="O171" s="49"/>
      <c r="P171" s="50" t="str">
        <f t="shared" si="8"/>
        <v>ONAY</v>
      </c>
      <c r="R171" s="51" t="str">
        <f t="shared" si="9"/>
        <v/>
      </c>
      <c r="T171" s="41"/>
      <c r="U171" s="29">
        <f>IF($C171&lt;&gt;"",COUNTIF($C$2:C171,C171),"")</f>
        <v>1</v>
      </c>
      <c r="V171" s="29" t="str">
        <f t="shared" si="10"/>
        <v>Doç. Dr. Derman BAŞARAN§1</v>
      </c>
      <c r="W171" s="29">
        <f>IF(U171=1,COUNTIF($U$2:U171,1),"")</f>
        <v>121</v>
      </c>
      <c r="X171" s="29">
        <f t="shared" si="11"/>
        <v>35</v>
      </c>
      <c r="Y171" s="29">
        <f>IF(AND(LEFT($B171,7)="SBA 26/",$D171&lt;&gt;"",$F171&lt;&gt;""),COUNTIFS($D$2:$D171,$D171,$B$2:$B171,"SBA 26/*",$F$2:$F171,"&lt;&gt;"),"")</f>
        <v>8</v>
      </c>
      <c r="Z171" s="29" t="str">
        <f>IF(Y171=1,COUNTIF($Y$2:Y171,1),"")</f>
        <v/>
      </c>
      <c r="AA171" s="29">
        <f>IF(AND(LEFT($B171,7)="SBA 26/",$C171&lt;&gt;"",$F171&lt;&gt;""),COUNTIFS($C$2:$C171,$C171,$B$2:$B171,"SBA 26/*",$F$2:$F171,"&lt;&gt;"),"")</f>
        <v>1</v>
      </c>
      <c r="AB171" s="29">
        <f>IF(AA171=1,COUNTIF($AA$2:AA171,1),"")</f>
        <v>121</v>
      </c>
    </row>
    <row r="172" spans="1:28" ht="63" customHeight="1" x14ac:dyDescent="0.2">
      <c r="A172" s="43" t="s">
        <v>927</v>
      </c>
      <c r="B172" s="43" t="s">
        <v>928</v>
      </c>
      <c r="C172" s="44" t="s">
        <v>285</v>
      </c>
      <c r="D172" s="44" t="s">
        <v>222</v>
      </c>
      <c r="E172" s="45" t="s">
        <v>929</v>
      </c>
      <c r="F172" s="45" t="s">
        <v>930</v>
      </c>
      <c r="G172" s="46" t="s">
        <v>38</v>
      </c>
      <c r="H172" s="48">
        <v>46059</v>
      </c>
      <c r="I172" s="48">
        <v>46070</v>
      </c>
      <c r="J172" s="44" t="s">
        <v>76</v>
      </c>
      <c r="K172" s="44" t="s">
        <v>100</v>
      </c>
      <c r="L172" s="50" t="s">
        <v>101</v>
      </c>
      <c r="M172" s="50" t="s">
        <v>77</v>
      </c>
      <c r="N172" s="50"/>
      <c r="O172" s="49"/>
      <c r="P172" s="50" t="str">
        <f t="shared" si="8"/>
        <v>ONAY</v>
      </c>
      <c r="Q172" s="28" t="s">
        <v>76</v>
      </c>
      <c r="R172" s="51" t="str">
        <f t="shared" si="9"/>
        <v/>
      </c>
      <c r="T172" s="41"/>
      <c r="U172" s="29">
        <f>IF($C172&lt;&gt;"",COUNTIF($C$2:C172,C172),"")</f>
        <v>5</v>
      </c>
      <c r="V172" s="29" t="str">
        <f t="shared" si="10"/>
        <v>Prof. Dr. Yasemin ÖZSÜREKCİ§5</v>
      </c>
      <c r="W172" s="29" t="str">
        <f>IF(U172=1,COUNTIF($U$2:U172,1),"")</f>
        <v/>
      </c>
      <c r="X172" s="29" t="str">
        <f t="shared" si="11"/>
        <v/>
      </c>
      <c r="Y172" s="29">
        <f>IF(AND(LEFT($B172,7)="SBA 26/",$D172&lt;&gt;"",$F172&lt;&gt;""),COUNTIFS($D$2:$D172,$D172,$B$2:$B172,"SBA 26/*",$F$2:$F172,"&lt;&gt;"),"")</f>
        <v>22</v>
      </c>
      <c r="Z172" s="29" t="str">
        <f>IF(Y172=1,COUNTIF($Y$2:Y172,1),"")</f>
        <v/>
      </c>
      <c r="AA172" s="29">
        <f>IF(AND(LEFT($B172,7)="SBA 26/",$C172&lt;&gt;"",$F172&lt;&gt;""),COUNTIFS($C$2:$C172,$C172,$B$2:$B172,"SBA 26/*",$F$2:$F172,"&lt;&gt;"),"")</f>
        <v>5</v>
      </c>
      <c r="AB172" s="29" t="str">
        <f>IF(AA172=1,COUNTIF($AA$2:AA172,1),"")</f>
        <v/>
      </c>
    </row>
    <row r="173" spans="1:28" ht="78.75" customHeight="1" x14ac:dyDescent="0.2">
      <c r="A173" s="43" t="s">
        <v>931</v>
      </c>
      <c r="B173" s="43" t="s">
        <v>932</v>
      </c>
      <c r="C173" s="44" t="s">
        <v>524</v>
      </c>
      <c r="D173" s="44" t="s">
        <v>113</v>
      </c>
      <c r="E173" s="45" t="s">
        <v>933</v>
      </c>
      <c r="F173" s="45" t="s">
        <v>934</v>
      </c>
      <c r="G173" s="46" t="s">
        <v>38</v>
      </c>
      <c r="H173" s="48">
        <v>46059</v>
      </c>
      <c r="I173" s="48">
        <v>46070</v>
      </c>
      <c r="J173" s="44" t="s">
        <v>116</v>
      </c>
      <c r="K173" s="44" t="s">
        <v>129</v>
      </c>
      <c r="L173" s="50" t="s">
        <v>101</v>
      </c>
      <c r="M173" s="50" t="s">
        <v>77</v>
      </c>
      <c r="N173" s="50"/>
      <c r="O173" s="49"/>
      <c r="P173" s="50" t="str">
        <f t="shared" si="8"/>
        <v>ONAY</v>
      </c>
      <c r="Q173" s="28" t="s">
        <v>116</v>
      </c>
      <c r="R173" s="51" t="str">
        <f t="shared" si="9"/>
        <v/>
      </c>
      <c r="T173" s="41"/>
      <c r="U173" s="29">
        <f>IF($C173&lt;&gt;"",COUNTIF($C$2:C173,C173),"")</f>
        <v>3</v>
      </c>
      <c r="V173" s="29" t="str">
        <f t="shared" si="10"/>
        <v>Doç. Dr. Mert EŞME§3</v>
      </c>
      <c r="W173" s="29" t="str">
        <f>IF(U173=1,COUNTIF($U$2:U173,1),"")</f>
        <v/>
      </c>
      <c r="X173" s="29" t="str">
        <f t="shared" si="11"/>
        <v/>
      </c>
      <c r="Y173" s="29">
        <f>IF(AND(LEFT($B173,7)="SBA 26/",$D173&lt;&gt;"",$F173&lt;&gt;""),COUNTIFS($D$2:$D173,$D173,$B$2:$B173,"SBA 26/*",$F$2:$F173,"&lt;&gt;"),"")</f>
        <v>26</v>
      </c>
      <c r="Z173" s="29" t="str">
        <f>IF(Y173=1,COUNTIF($Y$2:Y173,1),"")</f>
        <v/>
      </c>
      <c r="AA173" s="29">
        <f>IF(AND(LEFT($B173,7)="SBA 26/",$C173&lt;&gt;"",$F173&lt;&gt;""),COUNTIFS($C$2:$C173,$C173,$B$2:$B173,"SBA 26/*",$F$2:$F173,"&lt;&gt;"),"")</f>
        <v>3</v>
      </c>
      <c r="AB173" s="29" t="str">
        <f>IF(AA173=1,COUNTIF($AA$2:AA173,1),"")</f>
        <v/>
      </c>
    </row>
    <row r="174" spans="1:28" ht="80.25" customHeight="1" x14ac:dyDescent="0.2">
      <c r="A174" s="43" t="s">
        <v>935</v>
      </c>
      <c r="B174" s="43" t="s">
        <v>936</v>
      </c>
      <c r="C174" s="44" t="s">
        <v>937</v>
      </c>
      <c r="D174" s="44" t="s">
        <v>341</v>
      </c>
      <c r="E174" s="45" t="s">
        <v>938</v>
      </c>
      <c r="F174" s="45" t="s">
        <v>939</v>
      </c>
      <c r="G174" s="46" t="s">
        <v>38</v>
      </c>
      <c r="H174" s="48">
        <v>46059</v>
      </c>
      <c r="I174" s="48">
        <v>46070</v>
      </c>
      <c r="J174" s="44" t="s">
        <v>75</v>
      </c>
      <c r="K174" s="44" t="s">
        <v>123</v>
      </c>
      <c r="L174" s="50" t="s">
        <v>77</v>
      </c>
      <c r="M174" s="50"/>
      <c r="N174" s="50"/>
      <c r="O174" s="49"/>
      <c r="P174" s="50" t="str">
        <f t="shared" si="8"/>
        <v>ONAY</v>
      </c>
      <c r="R174" s="51" t="str">
        <f t="shared" si="9"/>
        <v/>
      </c>
      <c r="T174" s="41"/>
      <c r="U174" s="29">
        <f>IF($C174&lt;&gt;"",COUNTIF($C$2:C174,C174),"")</f>
        <v>1</v>
      </c>
      <c r="V174" s="29" t="str">
        <f t="shared" si="10"/>
        <v>Doç. Dr. Duygu GÜLSEREN§1</v>
      </c>
      <c r="W174" s="29">
        <f>IF(U174=1,COUNTIF($U$2:U174,1),"")</f>
        <v>122</v>
      </c>
      <c r="X174" s="29">
        <f t="shared" si="11"/>
        <v>38</v>
      </c>
      <c r="Y174" s="29">
        <f>IF(AND(LEFT($B174,7)="SBA 26/",$D174&lt;&gt;"",$F174&lt;&gt;""),COUNTIFS($D$2:$D174,$D174,$B$2:$B174,"SBA 26/*",$F$2:$F174,"&lt;&gt;"),"")</f>
        <v>4</v>
      </c>
      <c r="Z174" s="29" t="str">
        <f>IF(Y174=1,COUNTIF($Y$2:Y174,1),"")</f>
        <v/>
      </c>
      <c r="AA174" s="29">
        <f>IF(AND(LEFT($B174,7)="SBA 26/",$C174&lt;&gt;"",$F174&lt;&gt;""),COUNTIFS($C$2:$C174,$C174,$B$2:$B174,"SBA 26/*",$F$2:$F174,"&lt;&gt;"),"")</f>
        <v>1</v>
      </c>
      <c r="AB174" s="29">
        <f>IF(AA174=1,COUNTIF($AA$2:AA174,1),"")</f>
        <v>122</v>
      </c>
    </row>
    <row r="175" spans="1:28" ht="94.5" customHeight="1" x14ac:dyDescent="0.2">
      <c r="A175" s="43" t="s">
        <v>940</v>
      </c>
      <c r="B175" s="43" t="s">
        <v>941</v>
      </c>
      <c r="C175" s="44" t="s">
        <v>942</v>
      </c>
      <c r="D175" s="44" t="s">
        <v>391</v>
      </c>
      <c r="E175" s="45" t="s">
        <v>943</v>
      </c>
      <c r="F175" s="45" t="s">
        <v>944</v>
      </c>
      <c r="G175" s="46" t="s">
        <v>40</v>
      </c>
      <c r="H175" s="48">
        <v>46062</v>
      </c>
      <c r="I175" s="48">
        <v>46070</v>
      </c>
      <c r="J175" s="44" t="s">
        <v>75</v>
      </c>
      <c r="K175" s="44" t="s">
        <v>84</v>
      </c>
      <c r="L175" s="50" t="s">
        <v>101</v>
      </c>
      <c r="M175" s="50" t="s">
        <v>77</v>
      </c>
      <c r="N175" s="50"/>
      <c r="O175" s="49"/>
      <c r="P175" s="50" t="str">
        <f t="shared" si="8"/>
        <v>ONAY</v>
      </c>
      <c r="Q175" s="28" t="s">
        <v>75</v>
      </c>
      <c r="R175" s="51" t="str">
        <f t="shared" si="9"/>
        <v/>
      </c>
      <c r="T175" s="41"/>
      <c r="U175" s="29">
        <f>IF($C175&lt;&gt;"",COUNTIF($C$2:C175,C175),"")</f>
        <v>1</v>
      </c>
      <c r="V175" s="29" t="str">
        <f t="shared" si="10"/>
        <v>Prof. Dr. Egemen TURHAN§1</v>
      </c>
      <c r="W175" s="29">
        <f>IF(U175=1,COUNTIF($U$2:U175,1),"")</f>
        <v>123</v>
      </c>
      <c r="X175" s="29">
        <f t="shared" si="11"/>
        <v>215</v>
      </c>
      <c r="Y175" s="29">
        <f>IF(AND(LEFT($B175,7)="SBA 26/",$D175&lt;&gt;"",$F175&lt;&gt;""),COUNTIFS($D$2:$D175,$D175,$B$2:$B175,"SBA 26/*",$F$2:$F175,"&lt;&gt;"),"")</f>
        <v>5</v>
      </c>
      <c r="Z175" s="29" t="str">
        <f>IF(Y175=1,COUNTIF($Y$2:Y175,1),"")</f>
        <v/>
      </c>
      <c r="AA175" s="29">
        <f>IF(AND(LEFT($B175,7)="SBA 26/",$C175&lt;&gt;"",$F175&lt;&gt;""),COUNTIFS($C$2:$C175,$C175,$B$2:$B175,"SBA 26/*",$F$2:$F175,"&lt;&gt;"),"")</f>
        <v>1</v>
      </c>
      <c r="AB175" s="29">
        <f>IF(AA175=1,COUNTIF($AA$2:AA175,1),"")</f>
        <v>123</v>
      </c>
    </row>
    <row r="176" spans="1:28" ht="95.25" customHeight="1" x14ac:dyDescent="0.2">
      <c r="A176" s="43" t="s">
        <v>945</v>
      </c>
      <c r="B176" s="43" t="s">
        <v>946</v>
      </c>
      <c r="C176" s="44" t="s">
        <v>947</v>
      </c>
      <c r="D176" s="44" t="s">
        <v>169</v>
      </c>
      <c r="E176" s="45" t="s">
        <v>948</v>
      </c>
      <c r="F176" s="45" t="s">
        <v>949</v>
      </c>
      <c r="G176" s="46" t="s">
        <v>39</v>
      </c>
      <c r="H176" s="48">
        <v>46062</v>
      </c>
      <c r="I176" s="48">
        <v>46070</v>
      </c>
      <c r="J176" s="44" t="s">
        <v>75</v>
      </c>
      <c r="K176" s="44" t="s">
        <v>108</v>
      </c>
      <c r="L176" s="50" t="s">
        <v>101</v>
      </c>
      <c r="M176" s="50" t="s">
        <v>77</v>
      </c>
      <c r="N176" s="50"/>
      <c r="O176" s="49"/>
      <c r="P176" s="50" t="str">
        <f t="shared" si="8"/>
        <v>ONAY</v>
      </c>
      <c r="Q176" s="28" t="s">
        <v>75</v>
      </c>
      <c r="R176" s="51" t="str">
        <f t="shared" si="9"/>
        <v/>
      </c>
      <c r="T176" s="41"/>
      <c r="U176" s="29">
        <f>IF($C176&lt;&gt;"",COUNTIF($C$2:C176,C176),"")</f>
        <v>1</v>
      </c>
      <c r="V176" s="29" t="str">
        <f t="shared" si="10"/>
        <v>Prof. Dr. Sevinç SARINÇ§1</v>
      </c>
      <c r="W176" s="29">
        <f>IF(U176=1,COUNTIF($U$2:U176,1),"")</f>
        <v>124</v>
      </c>
      <c r="X176" s="29">
        <f t="shared" si="11"/>
        <v>309</v>
      </c>
      <c r="Y176" s="29">
        <f>IF(AND(LEFT($B176,7)="SBA 26/",$D176&lt;&gt;"",$F176&lt;&gt;""),COUNTIFS($D$2:$D176,$D176,$B$2:$B176,"SBA 26/*",$F$2:$F176,"&lt;&gt;"),"")</f>
        <v>9</v>
      </c>
      <c r="Z176" s="29" t="str">
        <f>IF(Y176=1,COUNTIF($Y$2:Y176,1),"")</f>
        <v/>
      </c>
      <c r="AA176" s="29">
        <f>IF(AND(LEFT($B176,7)="SBA 26/",$C176&lt;&gt;"",$F176&lt;&gt;""),COUNTIFS($C$2:$C176,$C176,$B$2:$B176,"SBA 26/*",$F$2:$F176,"&lt;&gt;"),"")</f>
        <v>1</v>
      </c>
      <c r="AB176" s="29">
        <f>IF(AA176=1,COUNTIF($AA$2:AA176,1),"")</f>
        <v>124</v>
      </c>
    </row>
    <row r="177" spans="1:28" ht="94.5" customHeight="1" x14ac:dyDescent="0.2">
      <c r="A177" s="43" t="s">
        <v>950</v>
      </c>
      <c r="B177" s="43" t="s">
        <v>951</v>
      </c>
      <c r="C177" s="44" t="s">
        <v>952</v>
      </c>
      <c r="D177" s="44" t="s">
        <v>404</v>
      </c>
      <c r="E177" s="45" t="s">
        <v>953</v>
      </c>
      <c r="F177" s="45" t="s">
        <v>954</v>
      </c>
      <c r="G177" s="46" t="s">
        <v>38</v>
      </c>
      <c r="H177" s="48">
        <v>46062</v>
      </c>
      <c r="I177" s="48">
        <v>46070</v>
      </c>
      <c r="J177" s="44" t="s">
        <v>129</v>
      </c>
      <c r="K177" s="44" t="s">
        <v>108</v>
      </c>
      <c r="L177" s="50" t="s">
        <v>77</v>
      </c>
      <c r="M177" s="50"/>
      <c r="N177" s="50"/>
      <c r="O177" s="49"/>
      <c r="P177" s="50" t="str">
        <f t="shared" si="8"/>
        <v>ONAY</v>
      </c>
      <c r="R177" s="51" t="str">
        <f t="shared" si="9"/>
        <v/>
      </c>
      <c r="T177" s="41"/>
      <c r="U177" s="29">
        <f>IF($C177&lt;&gt;"",COUNTIF($C$2:C177,C177),"")</f>
        <v>1</v>
      </c>
      <c r="V177" s="29" t="str">
        <f t="shared" si="10"/>
        <v>Prof. Dr. Serdar TEKGÜL§1</v>
      </c>
      <c r="W177" s="29">
        <f>IF(U177=1,COUNTIF($U$2:U177,1),"")</f>
        <v>125</v>
      </c>
      <c r="X177" s="29">
        <f t="shared" si="11"/>
        <v>308</v>
      </c>
      <c r="Y177" s="29">
        <f>IF(AND(LEFT($B177,7)="SBA 26/",$D177&lt;&gt;"",$F177&lt;&gt;""),COUNTIFS($D$2:$D177,$D177,$B$2:$B177,"SBA 26/*",$F$2:$F177,"&lt;&gt;"),"")</f>
        <v>2</v>
      </c>
      <c r="Z177" s="29" t="str">
        <f>IF(Y177=1,COUNTIF($Y$2:Y177,1),"")</f>
        <v/>
      </c>
      <c r="AA177" s="29">
        <f>IF(AND(LEFT($B177,7)="SBA 26/",$C177&lt;&gt;"",$F177&lt;&gt;""),COUNTIFS($C$2:$C177,$C177,$B$2:$B177,"SBA 26/*",$F$2:$F177,"&lt;&gt;"),"")</f>
        <v>1</v>
      </c>
      <c r="AB177" s="29">
        <f>IF(AA177=1,COUNTIF($AA$2:AA177,1),"")</f>
        <v>125</v>
      </c>
    </row>
    <row r="178" spans="1:28" ht="63" customHeight="1" x14ac:dyDescent="0.2">
      <c r="A178" s="43" t="s">
        <v>955</v>
      </c>
      <c r="B178" s="43" t="s">
        <v>956</v>
      </c>
      <c r="C178" s="44" t="s">
        <v>957</v>
      </c>
      <c r="D178" s="44" t="s">
        <v>404</v>
      </c>
      <c r="E178" s="45" t="s">
        <v>958</v>
      </c>
      <c r="F178" s="45" t="s">
        <v>959</v>
      </c>
      <c r="G178" s="46" t="s">
        <v>38</v>
      </c>
      <c r="H178" s="48">
        <v>46062</v>
      </c>
      <c r="I178" s="48">
        <v>46070</v>
      </c>
      <c r="J178" s="44" t="s">
        <v>76</v>
      </c>
      <c r="K178" s="44" t="s">
        <v>100</v>
      </c>
      <c r="L178" s="50" t="s">
        <v>77</v>
      </c>
      <c r="M178" s="50"/>
      <c r="N178" s="50"/>
      <c r="O178" s="49"/>
      <c r="P178" s="50" t="str">
        <f t="shared" si="8"/>
        <v>ONAY</v>
      </c>
      <c r="R178" s="51" t="str">
        <f t="shared" si="9"/>
        <v/>
      </c>
      <c r="T178" s="41"/>
      <c r="U178" s="29">
        <f>IF($C178&lt;&gt;"",COUNTIF($C$2:C178,C178),"")</f>
        <v>1</v>
      </c>
      <c r="V178" s="29" t="str">
        <f t="shared" si="10"/>
        <v>Doç. Dr. Mesut ALTAN§1</v>
      </c>
      <c r="W178" s="29">
        <f>IF(U178=1,COUNTIF($U$2:U178,1),"")</f>
        <v>126</v>
      </c>
      <c r="X178" s="29">
        <f t="shared" si="11"/>
        <v>79</v>
      </c>
      <c r="Y178" s="29">
        <f>IF(AND(LEFT($B178,7)="SBA 26/",$D178&lt;&gt;"",$F178&lt;&gt;""),COUNTIFS($D$2:$D178,$D178,$B$2:$B178,"SBA 26/*",$F$2:$F178,"&lt;&gt;"),"")</f>
        <v>3</v>
      </c>
      <c r="Z178" s="29" t="str">
        <f>IF(Y178=1,COUNTIF($Y$2:Y178,1),"")</f>
        <v/>
      </c>
      <c r="AA178" s="29">
        <f>IF(AND(LEFT($B178,7)="SBA 26/",$C178&lt;&gt;"",$F178&lt;&gt;""),COUNTIFS($C$2:$C178,$C178,$B$2:$B178,"SBA 26/*",$F$2:$F178,"&lt;&gt;"),"")</f>
        <v>1</v>
      </c>
      <c r="AB178" s="29">
        <f>IF(AA178=1,COUNTIF($AA$2:AA178,1),"")</f>
        <v>126</v>
      </c>
    </row>
    <row r="179" spans="1:28" ht="63" customHeight="1" x14ac:dyDescent="0.2">
      <c r="A179" s="43" t="s">
        <v>960</v>
      </c>
      <c r="B179" s="43" t="s">
        <v>961</v>
      </c>
      <c r="C179" s="44" t="s">
        <v>957</v>
      </c>
      <c r="D179" s="44" t="s">
        <v>404</v>
      </c>
      <c r="E179" s="45" t="s">
        <v>958</v>
      </c>
      <c r="F179" s="45" t="s">
        <v>962</v>
      </c>
      <c r="G179" s="46" t="s">
        <v>38</v>
      </c>
      <c r="H179" s="48">
        <v>46062</v>
      </c>
      <c r="I179" s="48">
        <v>46070</v>
      </c>
      <c r="J179" s="44" t="s">
        <v>76</v>
      </c>
      <c r="K179" s="44" t="s">
        <v>100</v>
      </c>
      <c r="L179" s="50" t="s">
        <v>77</v>
      </c>
      <c r="M179" s="50"/>
      <c r="N179" s="50"/>
      <c r="O179" s="49"/>
      <c r="P179" s="50" t="str">
        <f t="shared" si="8"/>
        <v>ONAY</v>
      </c>
      <c r="R179" s="51" t="str">
        <f t="shared" si="9"/>
        <v/>
      </c>
      <c r="T179" s="41"/>
      <c r="U179" s="29">
        <f>IF($C179&lt;&gt;"",COUNTIF($C$2:C179,C179),"")</f>
        <v>2</v>
      </c>
      <c r="V179" s="29" t="str">
        <f t="shared" si="10"/>
        <v>Doç. Dr. Mesut ALTAN§2</v>
      </c>
      <c r="W179" s="29" t="str">
        <f>IF(U179=1,COUNTIF($U$2:U179,1),"")</f>
        <v/>
      </c>
      <c r="X179" s="29" t="str">
        <f t="shared" si="11"/>
        <v/>
      </c>
      <c r="Y179" s="29">
        <f>IF(AND(LEFT($B179,7)="SBA 26/",$D179&lt;&gt;"",$F179&lt;&gt;""),COUNTIFS($D$2:$D179,$D179,$B$2:$B179,"SBA 26/*",$F$2:$F179,"&lt;&gt;"),"")</f>
        <v>4</v>
      </c>
      <c r="Z179" s="29" t="str">
        <f>IF(Y179=1,COUNTIF($Y$2:Y179,1),"")</f>
        <v/>
      </c>
      <c r="AA179" s="29">
        <f>IF(AND(LEFT($B179,7)="SBA 26/",$C179&lt;&gt;"",$F179&lt;&gt;""),COUNTIFS($C$2:$C179,$C179,$B$2:$B179,"SBA 26/*",$F$2:$F179,"&lt;&gt;"),"")</f>
        <v>2</v>
      </c>
      <c r="AB179" s="29" t="str">
        <f>IF(AA179=1,COUNTIF($AA$2:AA179,1),"")</f>
        <v/>
      </c>
    </row>
    <row r="180" spans="1:28" ht="63" customHeight="1" x14ac:dyDescent="0.2">
      <c r="A180" s="43" t="s">
        <v>963</v>
      </c>
      <c r="B180" s="43" t="s">
        <v>964</v>
      </c>
      <c r="C180" s="44" t="s">
        <v>965</v>
      </c>
      <c r="D180" s="44" t="s">
        <v>966</v>
      </c>
      <c r="E180" s="45" t="s">
        <v>967</v>
      </c>
      <c r="F180" s="45" t="s">
        <v>968</v>
      </c>
      <c r="G180" s="46" t="s">
        <v>38</v>
      </c>
      <c r="H180" s="48">
        <v>46062</v>
      </c>
      <c r="I180" s="48">
        <v>46070</v>
      </c>
      <c r="J180" s="44" t="s">
        <v>99</v>
      </c>
      <c r="K180" s="44" t="s">
        <v>116</v>
      </c>
      <c r="L180" s="50" t="s">
        <v>101</v>
      </c>
      <c r="M180" s="50" t="s">
        <v>77</v>
      </c>
      <c r="N180" s="50"/>
      <c r="O180" s="49"/>
      <c r="P180" s="50" t="str">
        <f t="shared" si="8"/>
        <v>ONAY</v>
      </c>
      <c r="Q180" s="28" t="s">
        <v>99</v>
      </c>
      <c r="R180" s="51" t="str">
        <f t="shared" si="9"/>
        <v/>
      </c>
      <c r="T180" s="41"/>
      <c r="U180" s="29">
        <f>IF($C180&lt;&gt;"",COUNTIF($C$2:C180,C180),"")</f>
        <v>1</v>
      </c>
      <c r="V180" s="29" t="str">
        <f t="shared" si="10"/>
        <v>Doç. Dr. İzzet FİDANCI§1</v>
      </c>
      <c r="W180" s="29">
        <f>IF(U180=1,COUNTIF($U$2:U180,1),"")</f>
        <v>127</v>
      </c>
      <c r="X180" s="29">
        <f t="shared" si="11"/>
        <v>70</v>
      </c>
      <c r="Y180" s="29">
        <f>IF(AND(LEFT($B180,7)="SBA 26/",$D180&lt;&gt;"",$F180&lt;&gt;""),COUNTIFS($D$2:$D180,$D180,$B$2:$B180,"SBA 26/*",$F$2:$F180,"&lt;&gt;"),"")</f>
        <v>1</v>
      </c>
      <c r="Z180" s="29">
        <f>IF(Y180=1,COUNTIF($Y$2:Y180,1),"")</f>
        <v>50</v>
      </c>
      <c r="AA180" s="29">
        <f>IF(AND(LEFT($B180,7)="SBA 26/",$C180&lt;&gt;"",$F180&lt;&gt;""),COUNTIFS($C$2:$C180,$C180,$B$2:$B180,"SBA 26/*",$F$2:$F180,"&lt;&gt;"),"")</f>
        <v>1</v>
      </c>
      <c r="AB180" s="29">
        <f>IF(AA180=1,COUNTIF($AA$2:AA180,1),"")</f>
        <v>127</v>
      </c>
    </row>
    <row r="181" spans="1:28" ht="63" customHeight="1" x14ac:dyDescent="0.2">
      <c r="A181" s="43" t="s">
        <v>969</v>
      </c>
      <c r="B181" s="43" t="s">
        <v>970</v>
      </c>
      <c r="C181" s="44" t="s">
        <v>243</v>
      </c>
      <c r="D181" s="44" t="s">
        <v>113</v>
      </c>
      <c r="E181" s="45" t="s">
        <v>971</v>
      </c>
      <c r="F181" s="45" t="s">
        <v>972</v>
      </c>
      <c r="G181" s="46" t="s">
        <v>39</v>
      </c>
      <c r="H181" s="48">
        <v>46062</v>
      </c>
      <c r="I181" s="48">
        <v>46070</v>
      </c>
      <c r="J181" s="44" t="s">
        <v>75</v>
      </c>
      <c r="K181" s="44" t="s">
        <v>123</v>
      </c>
      <c r="L181" s="50" t="s">
        <v>101</v>
      </c>
      <c r="M181" s="50" t="s">
        <v>77</v>
      </c>
      <c r="N181" s="50"/>
      <c r="O181" s="49"/>
      <c r="P181" s="50" t="str">
        <f t="shared" si="8"/>
        <v>ONAY</v>
      </c>
      <c r="Q181" s="28" t="s">
        <v>75</v>
      </c>
      <c r="R181" s="51" t="str">
        <f t="shared" si="9"/>
        <v/>
      </c>
      <c r="T181" s="41"/>
      <c r="U181" s="29">
        <f>IF($C181&lt;&gt;"",COUNTIF($C$2:C181,C181),"")</f>
        <v>2</v>
      </c>
      <c r="V181" s="29" t="str">
        <f t="shared" si="10"/>
        <v>Doç. Dr. Levent KILIÇ§2</v>
      </c>
      <c r="W181" s="29" t="str">
        <f>IF(U181=1,COUNTIF($U$2:U181,1),"")</f>
        <v/>
      </c>
      <c r="X181" s="29" t="str">
        <f t="shared" si="11"/>
        <v/>
      </c>
      <c r="Y181" s="29">
        <f>IF(AND(LEFT($B181,7)="SBA 26/",$D181&lt;&gt;"",$F181&lt;&gt;""),COUNTIFS($D$2:$D181,$D181,$B$2:$B181,"SBA 26/*",$F$2:$F181,"&lt;&gt;"),"")</f>
        <v>27</v>
      </c>
      <c r="Z181" s="29" t="str">
        <f>IF(Y181=1,COUNTIF($Y$2:Y181,1),"")</f>
        <v/>
      </c>
      <c r="AA181" s="29">
        <f>IF(AND(LEFT($B181,7)="SBA 26/",$C181&lt;&gt;"",$F181&lt;&gt;""),COUNTIFS($C$2:$C181,$C181,$B$2:$B181,"SBA 26/*",$F$2:$F181,"&lt;&gt;"),"")</f>
        <v>2</v>
      </c>
      <c r="AB181" s="29" t="str">
        <f>IF(AA181=1,COUNTIF($AA$2:AA181,1),"")</f>
        <v/>
      </c>
    </row>
    <row r="182" spans="1:28" ht="94.5" customHeight="1" x14ac:dyDescent="0.2">
      <c r="A182" s="43" t="s">
        <v>973</v>
      </c>
      <c r="B182" s="43" t="s">
        <v>974</v>
      </c>
      <c r="C182" s="44" t="s">
        <v>975</v>
      </c>
      <c r="D182" s="44" t="s">
        <v>698</v>
      </c>
      <c r="E182" s="45" t="s">
        <v>976</v>
      </c>
      <c r="F182" s="45" t="s">
        <v>977</v>
      </c>
      <c r="G182" s="46" t="s">
        <v>40</v>
      </c>
      <c r="H182" s="48">
        <v>46063</v>
      </c>
      <c r="I182" s="48">
        <v>46070</v>
      </c>
      <c r="J182" s="44" t="s">
        <v>75</v>
      </c>
      <c r="K182" s="44" t="s">
        <v>99</v>
      </c>
      <c r="L182" s="50" t="s">
        <v>101</v>
      </c>
      <c r="M182" s="50" t="s">
        <v>77</v>
      </c>
      <c r="N182" s="50"/>
      <c r="O182" s="49"/>
      <c r="P182" s="50" t="str">
        <f t="shared" si="8"/>
        <v>ONAY</v>
      </c>
      <c r="Q182" s="28" t="s">
        <v>75</v>
      </c>
      <c r="R182" s="51" t="str">
        <f t="shared" si="9"/>
        <v/>
      </c>
      <c r="T182" s="41"/>
      <c r="U182" s="29">
        <f>IF($C182&lt;&gt;"",COUNTIF($C$2:C182,C182),"")</f>
        <v>1</v>
      </c>
      <c r="V182" s="29" t="str">
        <f t="shared" si="10"/>
        <v>Doç. Dr. Basri GÜLBAKAN§1</v>
      </c>
      <c r="W182" s="29">
        <f>IF(U182=1,COUNTIF($U$2:U182,1),"")</f>
        <v>128</v>
      </c>
      <c r="X182" s="29">
        <f t="shared" si="11"/>
        <v>22</v>
      </c>
      <c r="Y182" s="29">
        <f>IF(AND(LEFT($B182,7)="SBA 26/",$D182&lt;&gt;"",$F182&lt;&gt;""),COUNTIFS($D$2:$D182,$D182,$B$2:$B182,"SBA 26/*",$F$2:$F182,"&lt;&gt;"),"")</f>
        <v>2</v>
      </c>
      <c r="Z182" s="29" t="str">
        <f>IF(Y182=1,COUNTIF($Y$2:Y182,1),"")</f>
        <v/>
      </c>
      <c r="AA182" s="29">
        <f>IF(AND(LEFT($B182,7)="SBA 26/",$C182&lt;&gt;"",$F182&lt;&gt;""),COUNTIFS($C$2:$C182,$C182,$B$2:$B182,"SBA 26/*",$F$2:$F182,"&lt;&gt;"),"")</f>
        <v>1</v>
      </c>
      <c r="AB182" s="29">
        <f>IF(AA182=1,COUNTIF($AA$2:AA182,1),"")</f>
        <v>128</v>
      </c>
    </row>
    <row r="183" spans="1:28" ht="63" customHeight="1" x14ac:dyDescent="0.2">
      <c r="A183" s="43" t="s">
        <v>978</v>
      </c>
      <c r="B183" s="43" t="s">
        <v>979</v>
      </c>
      <c r="C183" s="44" t="s">
        <v>980</v>
      </c>
      <c r="D183" s="44" t="s">
        <v>539</v>
      </c>
      <c r="E183" s="45" t="s">
        <v>981</v>
      </c>
      <c r="F183" s="45" t="s">
        <v>982</v>
      </c>
      <c r="G183" s="46" t="s">
        <v>38</v>
      </c>
      <c r="H183" s="48">
        <v>46063</v>
      </c>
      <c r="I183" s="48">
        <v>46070</v>
      </c>
      <c r="J183" s="44" t="s">
        <v>91</v>
      </c>
      <c r="K183" s="44" t="s">
        <v>123</v>
      </c>
      <c r="L183" s="50" t="s">
        <v>77</v>
      </c>
      <c r="M183" s="50"/>
      <c r="N183" s="50"/>
      <c r="O183" s="49"/>
      <c r="P183" s="50" t="str">
        <f t="shared" si="8"/>
        <v>ONAY</v>
      </c>
      <c r="R183" s="51" t="str">
        <f t="shared" si="9"/>
        <v/>
      </c>
      <c r="T183" s="41"/>
      <c r="U183" s="29">
        <f>IF($C183&lt;&gt;"",COUNTIF($C$2:C183,C183),"")</f>
        <v>1</v>
      </c>
      <c r="V183" s="29" t="str">
        <f t="shared" si="10"/>
        <v>Dr. Öğr. Üyesi Merva PARLAK§1</v>
      </c>
      <c r="W183" s="29">
        <f>IF(U183=1,COUNTIF($U$2:U183,1),"")</f>
        <v>129</v>
      </c>
      <c r="X183" s="29">
        <f t="shared" si="11"/>
        <v>145</v>
      </c>
      <c r="Y183" s="29">
        <f>IF(AND(LEFT($B183,7)="SBA 26/",$D183&lt;&gt;"",$F183&lt;&gt;""),COUNTIFS($D$2:$D183,$D183,$B$2:$B183,"SBA 26/*",$F$2:$F183,"&lt;&gt;"),"")</f>
        <v>3</v>
      </c>
      <c r="Z183" s="29" t="str">
        <f>IF(Y183=1,COUNTIF($Y$2:Y183,1),"")</f>
        <v/>
      </c>
      <c r="AA183" s="29">
        <f>IF(AND(LEFT($B183,7)="SBA 26/",$C183&lt;&gt;"",$F183&lt;&gt;""),COUNTIFS($C$2:$C183,$C183,$B$2:$B183,"SBA 26/*",$F$2:$F183,"&lt;&gt;"),"")</f>
        <v>1</v>
      </c>
      <c r="AB183" s="29">
        <f>IF(AA183=1,COUNTIF($AA$2:AA183,1),"")</f>
        <v>129</v>
      </c>
    </row>
    <row r="184" spans="1:28" ht="63" customHeight="1" x14ac:dyDescent="0.2">
      <c r="A184" s="43" t="s">
        <v>983</v>
      </c>
      <c r="B184" s="43" t="s">
        <v>984</v>
      </c>
      <c r="C184" s="44" t="s">
        <v>985</v>
      </c>
      <c r="D184" s="44" t="s">
        <v>414</v>
      </c>
      <c r="E184" s="45" t="s">
        <v>986</v>
      </c>
      <c r="F184" s="45" t="s">
        <v>987</v>
      </c>
      <c r="G184" s="46" t="s">
        <v>39</v>
      </c>
      <c r="H184" s="48">
        <v>46063</v>
      </c>
      <c r="I184" s="48">
        <v>46070</v>
      </c>
      <c r="J184" s="44" t="s">
        <v>123</v>
      </c>
      <c r="K184" s="44" t="s">
        <v>84</v>
      </c>
      <c r="L184" s="50" t="s">
        <v>206</v>
      </c>
      <c r="M184" s="50" t="s">
        <v>101</v>
      </c>
      <c r="N184" s="50" t="s">
        <v>77</v>
      </c>
      <c r="O184" s="49"/>
      <c r="P184" s="50" t="str">
        <f t="shared" si="8"/>
        <v>ONAY</v>
      </c>
      <c r="Q184" s="28" t="s">
        <v>91</v>
      </c>
      <c r="R184" s="51" t="str">
        <f t="shared" si="9"/>
        <v/>
      </c>
      <c r="T184" s="41"/>
      <c r="U184" s="29">
        <f>IF($C184&lt;&gt;"",COUNTIF($C$2:C184,C184),"")</f>
        <v>1</v>
      </c>
      <c r="V184" s="29" t="str">
        <f t="shared" si="10"/>
        <v>Prof. Dr. Mustafa Barış GÜNCÜ§1</v>
      </c>
      <c r="W184" s="29">
        <f>IF(U184=1,COUNTIF($U$2:U184,1),"")</f>
        <v>130</v>
      </c>
      <c r="X184" s="29">
        <f t="shared" si="11"/>
        <v>269</v>
      </c>
      <c r="Y184" s="29">
        <f>IF(AND(LEFT($B184,7)="SBA 26/",$D184&lt;&gt;"",$F184&lt;&gt;""),COUNTIFS($D$2:$D184,$D184,$B$2:$B184,"SBA 26/*",$F$2:$F184,"&lt;&gt;"),"")</f>
        <v>2</v>
      </c>
      <c r="Z184" s="29" t="str">
        <f>IF(Y184=1,COUNTIF($Y$2:Y184,1),"")</f>
        <v/>
      </c>
      <c r="AA184" s="29">
        <f>IF(AND(LEFT($B184,7)="SBA 26/",$C184&lt;&gt;"",$F184&lt;&gt;""),COUNTIFS($C$2:$C184,$C184,$B$2:$B184,"SBA 26/*",$F$2:$F184,"&lt;&gt;"),"")</f>
        <v>1</v>
      </c>
      <c r="AB184" s="29">
        <f>IF(AA184=1,COUNTIF($AA$2:AA184,1),"")</f>
        <v>130</v>
      </c>
    </row>
    <row r="185" spans="1:28" ht="78.75" customHeight="1" x14ac:dyDescent="0.2">
      <c r="A185" s="43" t="s">
        <v>988</v>
      </c>
      <c r="B185" s="43" t="s">
        <v>989</v>
      </c>
      <c r="C185" s="44" t="s">
        <v>990</v>
      </c>
      <c r="D185" s="44" t="s">
        <v>991</v>
      </c>
      <c r="E185" s="45" t="s">
        <v>992</v>
      </c>
      <c r="F185" s="45" t="s">
        <v>993</v>
      </c>
      <c r="G185" s="46" t="s">
        <v>38</v>
      </c>
      <c r="H185" s="48">
        <v>46064</v>
      </c>
      <c r="I185" s="48">
        <v>46070</v>
      </c>
      <c r="J185" s="44" t="s">
        <v>123</v>
      </c>
      <c r="K185" s="44" t="s">
        <v>116</v>
      </c>
      <c r="L185" s="50" t="s">
        <v>77</v>
      </c>
      <c r="M185" s="50"/>
      <c r="N185" s="50"/>
      <c r="O185" s="49"/>
      <c r="P185" s="50" t="str">
        <f t="shared" si="8"/>
        <v>ONAY</v>
      </c>
      <c r="R185" s="51" t="str">
        <f t="shared" si="9"/>
        <v/>
      </c>
      <c r="T185" s="41"/>
      <c r="U185" s="29">
        <f>IF($C185&lt;&gt;"",COUNTIF($C$2:C185,C185),"")</f>
        <v>1</v>
      </c>
      <c r="V185" s="29" t="str">
        <f t="shared" si="10"/>
        <v>Dr. Öğr. Üyesi Aybüke USLU TEKCE§1</v>
      </c>
      <c r="W185" s="29">
        <f>IF(U185=1,COUNTIF($U$2:U185,1),"")</f>
        <v>131</v>
      </c>
      <c r="X185" s="29">
        <f t="shared" si="11"/>
        <v>114</v>
      </c>
      <c r="Y185" s="29">
        <f>IF(AND(LEFT($B185,7)="SBA 26/",$D185&lt;&gt;"",$F185&lt;&gt;""),COUNTIFS($D$2:$D185,$D185,$B$2:$B185,"SBA 26/*",$F$2:$F185,"&lt;&gt;"),"")</f>
        <v>1</v>
      </c>
      <c r="Z185" s="29">
        <f>IF(Y185=1,COUNTIF($Y$2:Y185,1),"")</f>
        <v>51</v>
      </c>
      <c r="AA185" s="29">
        <f>IF(AND(LEFT($B185,7)="SBA 26/",$C185&lt;&gt;"",$F185&lt;&gt;""),COUNTIFS($C$2:$C185,$C185,$B$2:$B185,"SBA 26/*",$F$2:$F185,"&lt;&gt;"),"")</f>
        <v>1</v>
      </c>
      <c r="AB185" s="29">
        <f>IF(AA185=1,COUNTIF($AA$2:AA185,1),"")</f>
        <v>131</v>
      </c>
    </row>
    <row r="186" spans="1:28" ht="78.75" customHeight="1" x14ac:dyDescent="0.2">
      <c r="A186" s="43" t="s">
        <v>994</v>
      </c>
      <c r="B186" s="43" t="s">
        <v>995</v>
      </c>
      <c r="C186" s="44" t="s">
        <v>87</v>
      </c>
      <c r="D186" s="44" t="s">
        <v>88</v>
      </c>
      <c r="E186" s="45" t="s">
        <v>996</v>
      </c>
      <c r="F186" s="45" t="s">
        <v>997</v>
      </c>
      <c r="G186" s="46" t="s">
        <v>39</v>
      </c>
      <c r="H186" s="48">
        <v>46064</v>
      </c>
      <c r="I186" s="48">
        <v>46070</v>
      </c>
      <c r="J186" s="44" t="s">
        <v>129</v>
      </c>
      <c r="K186" s="44" t="s">
        <v>92</v>
      </c>
      <c r="L186" s="50" t="s">
        <v>77</v>
      </c>
      <c r="M186" s="50"/>
      <c r="N186" s="50"/>
      <c r="O186" s="49"/>
      <c r="P186" s="50" t="str">
        <f t="shared" si="8"/>
        <v>ONAY</v>
      </c>
      <c r="R186" s="51" t="str">
        <f t="shared" si="9"/>
        <v/>
      </c>
      <c r="T186" s="41"/>
      <c r="U186" s="29">
        <f>IF($C186&lt;&gt;"",COUNTIF($C$2:C186,C186),"")</f>
        <v>3</v>
      </c>
      <c r="V186" s="29" t="str">
        <f t="shared" si="10"/>
        <v>Doç. Dr. Gamze DURHAN§3</v>
      </c>
      <c r="W186" s="29" t="str">
        <f>IF(U186=1,COUNTIF($U$2:U186,1),"")</f>
        <v/>
      </c>
      <c r="X186" s="29" t="str">
        <f t="shared" si="11"/>
        <v/>
      </c>
      <c r="Y186" s="29">
        <f>IF(AND(LEFT($B186,7)="SBA 26/",$D186&lt;&gt;"",$F186&lt;&gt;""),COUNTIFS($D$2:$D186,$D186,$B$2:$B186,"SBA 26/*",$F$2:$F186,"&lt;&gt;"),"")</f>
        <v>5</v>
      </c>
      <c r="Z186" s="29" t="str">
        <f>IF(Y186=1,COUNTIF($Y$2:Y186,1),"")</f>
        <v/>
      </c>
      <c r="AA186" s="29">
        <f>IF(AND(LEFT($B186,7)="SBA 26/",$C186&lt;&gt;"",$F186&lt;&gt;""),COUNTIFS($C$2:$C186,$C186,$B$2:$B186,"SBA 26/*",$F$2:$F186,"&lt;&gt;"),"")</f>
        <v>3</v>
      </c>
      <c r="AB186" s="29" t="str">
        <f>IF(AA186=1,COUNTIF($AA$2:AA186,1),"")</f>
        <v/>
      </c>
    </row>
    <row r="187" spans="1:28" ht="96" customHeight="1" x14ac:dyDescent="0.2">
      <c r="A187" s="43" t="s">
        <v>998</v>
      </c>
      <c r="B187" s="43" t="s">
        <v>999</v>
      </c>
      <c r="C187" s="44" t="s">
        <v>227</v>
      </c>
      <c r="D187" s="44" t="s">
        <v>228</v>
      </c>
      <c r="E187" s="45" t="s">
        <v>1000</v>
      </c>
      <c r="F187" s="45" t="s">
        <v>1001</v>
      </c>
      <c r="G187" s="46" t="s">
        <v>38</v>
      </c>
      <c r="H187" s="48">
        <v>46064</v>
      </c>
      <c r="I187" s="48">
        <v>46070</v>
      </c>
      <c r="J187" s="44" t="s">
        <v>99</v>
      </c>
      <c r="K187" s="44" t="s">
        <v>129</v>
      </c>
      <c r="L187" s="50" t="s">
        <v>172</v>
      </c>
      <c r="M187" s="50"/>
      <c r="N187" s="50"/>
      <c r="O187" s="49"/>
      <c r="P187" s="50" t="str">
        <f t="shared" si="8"/>
        <v>RET</v>
      </c>
      <c r="R187" s="51" t="str">
        <f t="shared" si="9"/>
        <v/>
      </c>
      <c r="T187" s="41"/>
      <c r="U187" s="29">
        <f>IF($C187&lt;&gt;"",COUNTIF($C$2:C187,C187),"")</f>
        <v>4</v>
      </c>
      <c r="V187" s="29" t="str">
        <f t="shared" si="10"/>
        <v>Dr. Öğr. Üyesi Gonca ÖZTEN DERE§4</v>
      </c>
      <c r="W187" s="29" t="str">
        <f>IF(U187=1,COUNTIF($U$2:U187,1),"")</f>
        <v/>
      </c>
      <c r="X187" s="29" t="str">
        <f t="shared" si="11"/>
        <v/>
      </c>
      <c r="Y187" s="29">
        <f>IF(AND(LEFT($B187,7)="SBA 26/",$D187&lt;&gt;"",$F187&lt;&gt;""),COUNTIFS($D$2:$D187,$D187,$B$2:$B187,"SBA 26/*",$F$2:$F187,"&lt;&gt;"),"")</f>
        <v>9</v>
      </c>
      <c r="Z187" s="29" t="str">
        <f>IF(Y187=1,COUNTIF($Y$2:Y187,1),"")</f>
        <v/>
      </c>
      <c r="AA187" s="29">
        <f>IF(AND(LEFT($B187,7)="SBA 26/",$C187&lt;&gt;"",$F187&lt;&gt;""),COUNTIFS($C$2:$C187,$C187,$B$2:$B187,"SBA 26/*",$F$2:$F187,"&lt;&gt;"),"")</f>
        <v>4</v>
      </c>
      <c r="AB187" s="29" t="str">
        <f>IF(AA187=1,COUNTIF($AA$2:AA187,1),"")</f>
        <v/>
      </c>
    </row>
    <row r="188" spans="1:28" ht="63" customHeight="1" x14ac:dyDescent="0.2">
      <c r="A188" s="43" t="s">
        <v>1002</v>
      </c>
      <c r="B188" s="43" t="s">
        <v>1003</v>
      </c>
      <c r="C188" s="44" t="s">
        <v>1004</v>
      </c>
      <c r="D188" s="44" t="s">
        <v>291</v>
      </c>
      <c r="E188" s="45" t="s">
        <v>1005</v>
      </c>
      <c r="F188" s="45" t="s">
        <v>1006</v>
      </c>
      <c r="G188" s="46" t="s">
        <v>38</v>
      </c>
      <c r="H188" s="48">
        <v>46064</v>
      </c>
      <c r="I188" s="48">
        <v>46070</v>
      </c>
      <c r="J188" s="44" t="s">
        <v>91</v>
      </c>
      <c r="K188" s="44" t="s">
        <v>84</v>
      </c>
      <c r="L188" s="50" t="s">
        <v>172</v>
      </c>
      <c r="M188" s="50"/>
      <c r="N188" s="50"/>
      <c r="O188" s="49"/>
      <c r="P188" s="50" t="str">
        <f t="shared" si="8"/>
        <v>RET</v>
      </c>
      <c r="R188" s="51" t="str">
        <f t="shared" si="9"/>
        <v/>
      </c>
      <c r="T188" s="41"/>
      <c r="U188" s="29">
        <f>IF($C188&lt;&gt;"",COUNTIF($C$2:C188,C188),"")</f>
        <v>1</v>
      </c>
      <c r="V188" s="29" t="str">
        <f t="shared" si="10"/>
        <v>Dr. Öğr. Üyesi Muhammed Çağrı KÜLEKCİ§1</v>
      </c>
      <c r="W188" s="29">
        <f>IF(U188=1,COUNTIF($U$2:U188,1),"")</f>
        <v>132</v>
      </c>
      <c r="X188" s="29">
        <f t="shared" si="11"/>
        <v>146</v>
      </c>
      <c r="Y188" s="29">
        <f>IF(AND(LEFT($B188,7)="SBA 26/",$D188&lt;&gt;"",$F188&lt;&gt;""),COUNTIFS($D$2:$D188,$D188,$B$2:$B188,"SBA 26/*",$F$2:$F188,"&lt;&gt;"),"")</f>
        <v>6</v>
      </c>
      <c r="Z188" s="29" t="str">
        <f>IF(Y188=1,COUNTIF($Y$2:Y188,1),"")</f>
        <v/>
      </c>
      <c r="AA188" s="29">
        <f>IF(AND(LEFT($B188,7)="SBA 26/",$C188&lt;&gt;"",$F188&lt;&gt;""),COUNTIFS($C$2:$C188,$C188,$B$2:$B188,"SBA 26/*",$F$2:$F188,"&lt;&gt;"),"")</f>
        <v>1</v>
      </c>
      <c r="AB188" s="29">
        <f>IF(AA188=1,COUNTIF($AA$2:AA188,1),"")</f>
        <v>132</v>
      </c>
    </row>
    <row r="189" spans="1:28" ht="110.25" customHeight="1" x14ac:dyDescent="0.2">
      <c r="A189" s="43" t="s">
        <v>1007</v>
      </c>
      <c r="B189" s="43" t="s">
        <v>1008</v>
      </c>
      <c r="C189" s="44" t="s">
        <v>1009</v>
      </c>
      <c r="D189" s="44" t="s">
        <v>222</v>
      </c>
      <c r="E189" s="45" t="s">
        <v>1010</v>
      </c>
      <c r="F189" s="45" t="s">
        <v>1011</v>
      </c>
      <c r="G189" s="46" t="s">
        <v>39</v>
      </c>
      <c r="H189" s="48">
        <v>46064</v>
      </c>
      <c r="I189" s="48">
        <v>46070</v>
      </c>
      <c r="J189" s="44" t="s">
        <v>108</v>
      </c>
      <c r="K189" s="44" t="s">
        <v>116</v>
      </c>
      <c r="L189" s="50" t="s">
        <v>101</v>
      </c>
      <c r="M189" s="50" t="s">
        <v>77</v>
      </c>
      <c r="N189" s="50"/>
      <c r="O189" s="49"/>
      <c r="P189" s="50" t="str">
        <f t="shared" si="8"/>
        <v>ONAY</v>
      </c>
      <c r="Q189" s="28" t="s">
        <v>108</v>
      </c>
      <c r="R189" s="51" t="str">
        <f t="shared" si="9"/>
        <v/>
      </c>
      <c r="T189" s="41"/>
      <c r="U189" s="29">
        <f>IF($C189&lt;&gt;"",COUNTIF($C$2:C189,C189),"")</f>
        <v>1</v>
      </c>
      <c r="V189" s="29" t="str">
        <f t="shared" si="10"/>
        <v>Doç. Dr. Tekin AKSU§1</v>
      </c>
      <c r="W189" s="29">
        <f>IF(U189=1,COUNTIF($U$2:U189,1),"")</f>
        <v>133</v>
      </c>
      <c r="X189" s="29">
        <f t="shared" si="11"/>
        <v>100</v>
      </c>
      <c r="Y189" s="29">
        <f>IF(AND(LEFT($B189,7)="SBA 26/",$D189&lt;&gt;"",$F189&lt;&gt;""),COUNTIFS($D$2:$D189,$D189,$B$2:$B189,"SBA 26/*",$F$2:$F189,"&lt;&gt;"),"")</f>
        <v>23</v>
      </c>
      <c r="Z189" s="29" t="str">
        <f>IF(Y189=1,COUNTIF($Y$2:Y189,1),"")</f>
        <v/>
      </c>
      <c r="AA189" s="29">
        <f>IF(AND(LEFT($B189,7)="SBA 26/",$C189&lt;&gt;"",$F189&lt;&gt;""),COUNTIFS($C$2:$C189,$C189,$B$2:$B189,"SBA 26/*",$F$2:$F189,"&lt;&gt;"),"")</f>
        <v>1</v>
      </c>
      <c r="AB189" s="29">
        <f>IF(AA189=1,COUNTIF($AA$2:AA189,1),"")</f>
        <v>133</v>
      </c>
    </row>
    <row r="190" spans="1:28" ht="94.5" customHeight="1" x14ac:dyDescent="0.2">
      <c r="A190" s="43" t="s">
        <v>1012</v>
      </c>
      <c r="B190" s="43" t="s">
        <v>1013</v>
      </c>
      <c r="C190" s="44" t="s">
        <v>1014</v>
      </c>
      <c r="D190" s="44" t="s">
        <v>270</v>
      </c>
      <c r="E190" s="45" t="s">
        <v>1015</v>
      </c>
      <c r="F190" s="45" t="s">
        <v>1016</v>
      </c>
      <c r="G190" s="46" t="s">
        <v>38</v>
      </c>
      <c r="H190" s="48">
        <v>46064</v>
      </c>
      <c r="I190" s="48">
        <v>46070</v>
      </c>
      <c r="J190" s="44" t="s">
        <v>92</v>
      </c>
      <c r="K190" s="44" t="s">
        <v>76</v>
      </c>
      <c r="L190" s="50" t="s">
        <v>77</v>
      </c>
      <c r="M190" s="50"/>
      <c r="N190" s="50"/>
      <c r="O190" s="49"/>
      <c r="P190" s="50" t="str">
        <f t="shared" si="8"/>
        <v>ONAY</v>
      </c>
      <c r="R190" s="51" t="str">
        <f t="shared" si="9"/>
        <v/>
      </c>
      <c r="T190" s="41"/>
      <c r="U190" s="29">
        <f>IF($C190&lt;&gt;"",COUNTIF($C$2:C190,C190),"")</f>
        <v>1</v>
      </c>
      <c r="V190" s="29" t="str">
        <f t="shared" si="10"/>
        <v>Öğr. Gör. Dr. Helin YÜCEDAĞ GÜNDOĞDU§1</v>
      </c>
      <c r="W190" s="29">
        <f>IF(U190=1,COUNTIF($U$2:U190,1),"")</f>
        <v>134</v>
      </c>
      <c r="X190" s="29">
        <f t="shared" si="11"/>
        <v>174</v>
      </c>
      <c r="Y190" s="29">
        <f>IF(AND(LEFT($B190,7)="SBA 26/",$D190&lt;&gt;"",$F190&lt;&gt;""),COUNTIFS($D$2:$D190,$D190,$B$2:$B190,"SBA 26/*",$F$2:$F190,"&lt;&gt;"),"")</f>
        <v>5</v>
      </c>
      <c r="Z190" s="29" t="str">
        <f>IF(Y190=1,COUNTIF($Y$2:Y190,1),"")</f>
        <v/>
      </c>
      <c r="AA190" s="29">
        <f>IF(AND(LEFT($B190,7)="SBA 26/",$C190&lt;&gt;"",$F190&lt;&gt;""),COUNTIFS($C$2:$C190,$C190,$B$2:$B190,"SBA 26/*",$F$2:$F190,"&lt;&gt;"),"")</f>
        <v>1</v>
      </c>
      <c r="AB190" s="29">
        <f>IF(AA190=1,COUNTIF($AA$2:AA190,1),"")</f>
        <v>134</v>
      </c>
    </row>
    <row r="191" spans="1:28" ht="63" customHeight="1" x14ac:dyDescent="0.2">
      <c r="A191" s="43" t="s">
        <v>1017</v>
      </c>
      <c r="B191" s="43" t="s">
        <v>1018</v>
      </c>
      <c r="C191" s="44" t="s">
        <v>1019</v>
      </c>
      <c r="D191" s="44" t="s">
        <v>325</v>
      </c>
      <c r="E191" s="45" t="s">
        <v>1020</v>
      </c>
      <c r="F191" s="45" t="s">
        <v>1021</v>
      </c>
      <c r="G191" s="46" t="s">
        <v>38</v>
      </c>
      <c r="H191" s="48">
        <v>46064</v>
      </c>
      <c r="I191" s="48">
        <v>46070</v>
      </c>
      <c r="J191" s="44" t="s">
        <v>100</v>
      </c>
      <c r="K191" s="44" t="s">
        <v>75</v>
      </c>
      <c r="L191" s="50" t="s">
        <v>77</v>
      </c>
      <c r="M191" s="50"/>
      <c r="N191" s="50"/>
      <c r="O191" s="49"/>
      <c r="P191" s="50" t="str">
        <f t="shared" si="8"/>
        <v>ONAY</v>
      </c>
      <c r="R191" s="51" t="str">
        <f t="shared" si="9"/>
        <v/>
      </c>
      <c r="T191" s="41"/>
      <c r="U191" s="29">
        <f>IF($C191&lt;&gt;"",COUNTIF($C$2:C191,C191),"")</f>
        <v>1</v>
      </c>
      <c r="V191" s="29" t="str">
        <f t="shared" si="10"/>
        <v>Dr. Öğr. Üyesi Özge YAVUZ SARI§1</v>
      </c>
      <c r="W191" s="29">
        <f>IF(U191=1,COUNTIF($U$2:U191,1),"")</f>
        <v>135</v>
      </c>
      <c r="X191" s="29">
        <f t="shared" si="11"/>
        <v>153</v>
      </c>
      <c r="Y191" s="29">
        <f>IF(AND(LEFT($B191,7)="SBA 26/",$D191&lt;&gt;"",$F191&lt;&gt;""),COUNTIFS($D$2:$D191,$D191,$B$2:$B191,"SBA 26/*",$F$2:$F191,"&lt;&gt;"),"")</f>
        <v>2</v>
      </c>
      <c r="Z191" s="29" t="str">
        <f>IF(Y191=1,COUNTIF($Y$2:Y191,1),"")</f>
        <v/>
      </c>
      <c r="AA191" s="29">
        <f>IF(AND(LEFT($B191,7)="SBA 26/",$C191&lt;&gt;"",$F191&lt;&gt;""),COUNTIFS($C$2:$C191,$C191,$B$2:$B191,"SBA 26/*",$F$2:$F191,"&lt;&gt;"),"")</f>
        <v>1</v>
      </c>
      <c r="AB191" s="29">
        <f>IF(AA191=1,COUNTIF($AA$2:AA191,1),"")</f>
        <v>135</v>
      </c>
    </row>
    <row r="192" spans="1:28" ht="78.75" customHeight="1" x14ac:dyDescent="0.2">
      <c r="A192" s="43" t="s">
        <v>1022</v>
      </c>
      <c r="B192" s="43" t="s">
        <v>1023</v>
      </c>
      <c r="C192" s="44" t="s">
        <v>76</v>
      </c>
      <c r="D192" s="44" t="s">
        <v>222</v>
      </c>
      <c r="E192" s="45" t="s">
        <v>1024</v>
      </c>
      <c r="F192" s="45" t="s">
        <v>1025</v>
      </c>
      <c r="G192" s="46" t="s">
        <v>38</v>
      </c>
      <c r="H192" s="48">
        <v>46071</v>
      </c>
      <c r="I192" s="48">
        <v>46084</v>
      </c>
      <c r="J192" s="44" t="s">
        <v>109</v>
      </c>
      <c r="K192" s="44" t="s">
        <v>116</v>
      </c>
      <c r="L192" s="50" t="s">
        <v>101</v>
      </c>
      <c r="M192" s="50" t="s">
        <v>77</v>
      </c>
      <c r="N192" s="50"/>
      <c r="O192" s="49"/>
      <c r="P192" s="50" t="str">
        <f t="shared" si="8"/>
        <v>ONAY</v>
      </c>
      <c r="Q192" s="28" t="s">
        <v>116</v>
      </c>
      <c r="R192" s="51" t="str">
        <f t="shared" si="9"/>
        <v/>
      </c>
      <c r="T192" s="41"/>
      <c r="U192" s="29">
        <f>IF($C192&lt;&gt;"",COUNTIF($C$2:C192,C192),"")</f>
        <v>2</v>
      </c>
      <c r="V192" s="29" t="str">
        <f t="shared" si="10"/>
        <v>Doç. Dr. Kübra AYKAÇ§2</v>
      </c>
      <c r="W192" s="29" t="str">
        <f>IF(U192=1,COUNTIF($U$2:U192,1),"")</f>
        <v/>
      </c>
      <c r="X192" s="29" t="str">
        <f t="shared" si="11"/>
        <v/>
      </c>
      <c r="Y192" s="29">
        <f>IF(AND(LEFT($B192,7)="SBA 26/",$D192&lt;&gt;"",$F192&lt;&gt;""),COUNTIFS($D$2:$D192,$D192,$B$2:$B192,"SBA 26/*",$F$2:$F192,"&lt;&gt;"),"")</f>
        <v>24</v>
      </c>
      <c r="Z192" s="29" t="str">
        <f>IF(Y192=1,COUNTIF($Y$2:Y192,1),"")</f>
        <v/>
      </c>
      <c r="AA192" s="29">
        <f>IF(AND(LEFT($B192,7)="SBA 26/",$C192&lt;&gt;"",$F192&lt;&gt;""),COUNTIFS($C$2:$C192,$C192,$B$2:$B192,"SBA 26/*",$F$2:$F192,"&lt;&gt;"),"")</f>
        <v>2</v>
      </c>
      <c r="AB192" s="29" t="str">
        <f>IF(AA192=1,COUNTIF($AA$2:AA192,1),"")</f>
        <v/>
      </c>
    </row>
    <row r="193" spans="1:28" ht="113.25" customHeight="1" x14ac:dyDescent="0.2">
      <c r="A193" s="43" t="s">
        <v>1026</v>
      </c>
      <c r="B193" s="43" t="s">
        <v>1027</v>
      </c>
      <c r="C193" s="44" t="s">
        <v>1028</v>
      </c>
      <c r="D193" s="44" t="s">
        <v>222</v>
      </c>
      <c r="E193" s="45" t="s">
        <v>1029</v>
      </c>
      <c r="F193" s="45" t="s">
        <v>1030</v>
      </c>
      <c r="G193" s="46" t="s">
        <v>38</v>
      </c>
      <c r="H193" s="48">
        <v>46071</v>
      </c>
      <c r="I193" s="48">
        <v>46084</v>
      </c>
      <c r="J193" s="44" t="s">
        <v>84</v>
      </c>
      <c r="K193" s="44" t="s">
        <v>99</v>
      </c>
      <c r="L193" s="50" t="s">
        <v>77</v>
      </c>
      <c r="M193" s="50"/>
      <c r="N193" s="50"/>
      <c r="O193" s="49"/>
      <c r="P193" s="50" t="str">
        <f t="shared" si="8"/>
        <v>ONAY</v>
      </c>
      <c r="R193" s="51" t="str">
        <f t="shared" si="9"/>
        <v/>
      </c>
      <c r="T193" s="41"/>
      <c r="U193" s="29">
        <f>IF($C193&lt;&gt;"",COUNTIF($C$2:C193,C193),"")</f>
        <v>1</v>
      </c>
      <c r="V193" s="29" t="str">
        <f t="shared" si="10"/>
        <v>Arş. Gör. Dr. Şükran BAYRAK§1</v>
      </c>
      <c r="W193" s="29">
        <f>IF(U193=1,COUNTIF($U$2:U193,1),"")</f>
        <v>136</v>
      </c>
      <c r="X193" s="29">
        <f t="shared" si="11"/>
        <v>11</v>
      </c>
      <c r="Y193" s="29">
        <f>IF(AND(LEFT($B193,7)="SBA 26/",$D193&lt;&gt;"",$F193&lt;&gt;""),COUNTIFS($D$2:$D193,$D193,$B$2:$B193,"SBA 26/*",$F$2:$F193,"&lt;&gt;"),"")</f>
        <v>25</v>
      </c>
      <c r="Z193" s="29" t="str">
        <f>IF(Y193=1,COUNTIF($Y$2:Y193,1),"")</f>
        <v/>
      </c>
      <c r="AA193" s="29">
        <f>IF(AND(LEFT($B193,7)="SBA 26/",$C193&lt;&gt;"",$F193&lt;&gt;""),COUNTIFS($C$2:$C193,$C193,$B$2:$B193,"SBA 26/*",$F$2:$F193,"&lt;&gt;"),"")</f>
        <v>1</v>
      </c>
      <c r="AB193" s="29">
        <f>IF(AA193=1,COUNTIF($AA$2:AA193,1),"")</f>
        <v>136</v>
      </c>
    </row>
    <row r="194" spans="1:28" ht="63" customHeight="1" x14ac:dyDescent="0.2">
      <c r="A194" s="43" t="s">
        <v>1031</v>
      </c>
      <c r="B194" s="43" t="s">
        <v>1032</v>
      </c>
      <c r="C194" s="44" t="s">
        <v>519</v>
      </c>
      <c r="D194" s="44" t="s">
        <v>364</v>
      </c>
      <c r="E194" s="45" t="s">
        <v>1033</v>
      </c>
      <c r="F194" s="45" t="s">
        <v>1034</v>
      </c>
      <c r="G194" s="46" t="s">
        <v>38</v>
      </c>
      <c r="H194" s="48">
        <v>46071</v>
      </c>
      <c r="I194" s="48">
        <v>46084</v>
      </c>
      <c r="J194" s="44" t="s">
        <v>75</v>
      </c>
      <c r="K194" s="44" t="s">
        <v>108</v>
      </c>
      <c r="L194" s="50" t="s">
        <v>77</v>
      </c>
      <c r="M194" s="50"/>
      <c r="N194" s="50"/>
      <c r="O194" s="49"/>
      <c r="P194" s="50" t="str">
        <f t="shared" ref="P194:P257" si="12">IF(O194&lt;&gt;"",O194, IF(N194&lt;&gt;"",N194, IF(M194&lt;&gt;"",M194, L194)))</f>
        <v>ONAY</v>
      </c>
      <c r="R194" s="51" t="str">
        <f t="shared" ref="R194:R257" si="13">IF(AND($I194&lt;&gt;"",$I194&gt;=DATE(2026,6,23),COUNTIFS($C:$C,$C194,$I:$I,$I194)&gt;2),"⚠ "&amp;COUNTIFS($C:$C,$C194,$I:$I,$I194)&amp;" BAŞVURU!","")</f>
        <v/>
      </c>
      <c r="T194" s="41"/>
      <c r="U194" s="29">
        <f>IF($C194&lt;&gt;"",COUNTIF($C$2:C194,C194),"")</f>
        <v>2</v>
      </c>
      <c r="V194" s="29" t="str">
        <f t="shared" ref="V194:V257" si="14">IF($C194&lt;&gt;"",C194&amp;"§"&amp;U194,"")</f>
        <v>Prof. Dr. Neşe DERİCİOĞLU§2</v>
      </c>
      <c r="W194" s="29" t="str">
        <f>IF(U194=1,COUNTIF($U$2:U194,1),"")</f>
        <v/>
      </c>
      <c r="X194" s="29" t="str">
        <f t="shared" ref="X194:X257" si="15">IF(U194=1,SUMPRODUCT(($U$2:$U$1799=1)*($C$2:$C$1799&lt;C194))+1,"")</f>
        <v/>
      </c>
      <c r="Y194" s="29">
        <f>IF(AND(LEFT($B194,7)="SBA 26/",$D194&lt;&gt;"",$F194&lt;&gt;""),COUNTIFS($D$2:$D194,$D194,$B$2:$B194,"SBA 26/*",$F$2:$F194,"&lt;&gt;"),"")</f>
        <v>6</v>
      </c>
      <c r="Z194" s="29" t="str">
        <f>IF(Y194=1,COUNTIF($Y$2:Y194,1),"")</f>
        <v/>
      </c>
      <c r="AA194" s="29">
        <f>IF(AND(LEFT($B194,7)="SBA 26/",$C194&lt;&gt;"",$F194&lt;&gt;""),COUNTIFS($C$2:$C194,$C194,$B$2:$B194,"SBA 26/*",$F$2:$F194,"&lt;&gt;"),"")</f>
        <v>2</v>
      </c>
      <c r="AB194" s="29" t="str">
        <f>IF(AA194=1,COUNTIF($AA$2:AA194,1),"")</f>
        <v/>
      </c>
    </row>
    <row r="195" spans="1:28" ht="63" customHeight="1" x14ac:dyDescent="0.2">
      <c r="A195" s="43" t="s">
        <v>1035</v>
      </c>
      <c r="B195" s="43" t="s">
        <v>1036</v>
      </c>
      <c r="C195" s="44" t="s">
        <v>1037</v>
      </c>
      <c r="D195" s="44" t="s">
        <v>1038</v>
      </c>
      <c r="E195" s="45" t="s">
        <v>1039</v>
      </c>
      <c r="F195" s="45" t="s">
        <v>1040</v>
      </c>
      <c r="G195" s="46" t="s">
        <v>38</v>
      </c>
      <c r="H195" s="48">
        <v>46071</v>
      </c>
      <c r="I195" s="48">
        <v>46084</v>
      </c>
      <c r="J195" s="44" t="s">
        <v>84</v>
      </c>
      <c r="K195" s="44" t="s">
        <v>109</v>
      </c>
      <c r="L195" s="50" t="s">
        <v>206</v>
      </c>
      <c r="M195" s="50" t="s">
        <v>77</v>
      </c>
      <c r="N195" s="50"/>
      <c r="O195" s="49"/>
      <c r="P195" s="50" t="str">
        <f t="shared" si="12"/>
        <v>ONAY</v>
      </c>
      <c r="R195" s="51" t="str">
        <f t="shared" si="13"/>
        <v/>
      </c>
      <c r="T195" s="41"/>
      <c r="U195" s="29">
        <f>IF($C195&lt;&gt;"",COUNTIF($C$2:C195,C195),"")</f>
        <v>1</v>
      </c>
      <c r="V195" s="29" t="str">
        <f t="shared" si="14"/>
        <v>Prof. Dr. Jale KARAKAYA§1</v>
      </c>
      <c r="W195" s="29">
        <f>IF(U195=1,COUNTIF($U$2:U195,1),"")</f>
        <v>137</v>
      </c>
      <c r="X195" s="29">
        <f t="shared" si="15"/>
        <v>249</v>
      </c>
      <c r="Y195" s="29">
        <f>IF(AND(LEFT($B195,7)="SBA 26/",$D195&lt;&gt;"",$F195&lt;&gt;""),COUNTIFS($D$2:$D195,$D195,$B$2:$B195,"SBA 26/*",$F$2:$F195,"&lt;&gt;"),"")</f>
        <v>1</v>
      </c>
      <c r="Z195" s="29">
        <f>IF(Y195=1,COUNTIF($Y$2:Y195,1),"")</f>
        <v>52</v>
      </c>
      <c r="AA195" s="29">
        <f>IF(AND(LEFT($B195,7)="SBA 26/",$C195&lt;&gt;"",$F195&lt;&gt;""),COUNTIFS($C$2:$C195,$C195,$B$2:$B195,"SBA 26/*",$F$2:$F195,"&lt;&gt;"),"")</f>
        <v>1</v>
      </c>
      <c r="AB195" s="29">
        <f>IF(AA195=1,COUNTIF($AA$2:AA195,1),"")</f>
        <v>137</v>
      </c>
    </row>
    <row r="196" spans="1:28" ht="63" customHeight="1" x14ac:dyDescent="0.2">
      <c r="A196" s="43" t="s">
        <v>1041</v>
      </c>
      <c r="B196" s="43" t="s">
        <v>1042</v>
      </c>
      <c r="C196" s="44" t="s">
        <v>1043</v>
      </c>
      <c r="D196" s="44" t="s">
        <v>88</v>
      </c>
      <c r="E196" s="45" t="s">
        <v>1044</v>
      </c>
      <c r="F196" s="45" t="s">
        <v>1045</v>
      </c>
      <c r="G196" s="46" t="s">
        <v>38</v>
      </c>
      <c r="H196" s="48">
        <v>46071</v>
      </c>
      <c r="I196" s="48">
        <v>46084</v>
      </c>
      <c r="J196" s="44" t="s">
        <v>92</v>
      </c>
      <c r="K196" s="44" t="s">
        <v>100</v>
      </c>
      <c r="L196" s="50" t="s">
        <v>77</v>
      </c>
      <c r="M196" s="50"/>
      <c r="N196" s="50"/>
      <c r="O196" s="49"/>
      <c r="P196" s="50" t="str">
        <f t="shared" si="12"/>
        <v>ONAY</v>
      </c>
      <c r="R196" s="51" t="str">
        <f t="shared" si="13"/>
        <v/>
      </c>
      <c r="T196" s="41"/>
      <c r="U196" s="29">
        <f>IF($C196&lt;&gt;"",COUNTIF($C$2:C196,C196),"")</f>
        <v>1</v>
      </c>
      <c r="V196" s="29" t="str">
        <f t="shared" si="14"/>
        <v>Dr. Öğr. Üyesi Aycan UYSAL§1</v>
      </c>
      <c r="W196" s="29">
        <f>IF(U196=1,COUNTIF($U$2:U196,1),"")</f>
        <v>138</v>
      </c>
      <c r="X196" s="29">
        <f t="shared" si="15"/>
        <v>115</v>
      </c>
      <c r="Y196" s="29">
        <f>IF(AND(LEFT($B196,7)="SBA 26/",$D196&lt;&gt;"",$F196&lt;&gt;""),COUNTIFS($D$2:$D196,$D196,$B$2:$B196,"SBA 26/*",$F$2:$F196,"&lt;&gt;"),"")</f>
        <v>6</v>
      </c>
      <c r="Z196" s="29" t="str">
        <f>IF(Y196=1,COUNTIF($Y$2:Y196,1),"")</f>
        <v/>
      </c>
      <c r="AA196" s="29">
        <f>IF(AND(LEFT($B196,7)="SBA 26/",$C196&lt;&gt;"",$F196&lt;&gt;""),COUNTIFS($C$2:$C196,$C196,$B$2:$B196,"SBA 26/*",$F$2:$F196,"&lt;&gt;"),"")</f>
        <v>1</v>
      </c>
      <c r="AB196" s="29">
        <f>IF(AA196=1,COUNTIF($AA$2:AA196,1),"")</f>
        <v>138</v>
      </c>
    </row>
    <row r="197" spans="1:28" ht="63" customHeight="1" x14ac:dyDescent="0.2">
      <c r="A197" s="43" t="s">
        <v>1046</v>
      </c>
      <c r="B197" s="43" t="s">
        <v>1047</v>
      </c>
      <c r="C197" s="44" t="s">
        <v>676</v>
      </c>
      <c r="D197" s="44" t="s">
        <v>270</v>
      </c>
      <c r="E197" s="45" t="s">
        <v>1048</v>
      </c>
      <c r="F197" s="45" t="s">
        <v>1049</v>
      </c>
      <c r="G197" s="46" t="s">
        <v>40</v>
      </c>
      <c r="H197" s="48">
        <v>46071</v>
      </c>
      <c r="I197" s="48">
        <v>46084</v>
      </c>
      <c r="J197" s="44" t="s">
        <v>76</v>
      </c>
      <c r="K197" s="44" t="s">
        <v>116</v>
      </c>
      <c r="L197" s="50" t="s">
        <v>77</v>
      </c>
      <c r="M197" s="50"/>
      <c r="N197" s="50"/>
      <c r="O197" s="49"/>
      <c r="P197" s="50" t="str">
        <f t="shared" si="12"/>
        <v>ONAY</v>
      </c>
      <c r="R197" s="51" t="str">
        <f t="shared" si="13"/>
        <v/>
      </c>
      <c r="T197" s="41"/>
      <c r="U197" s="29">
        <f>IF($C197&lt;&gt;"",COUNTIF($C$2:C197,C197),"")</f>
        <v>2</v>
      </c>
      <c r="V197" s="29" t="str">
        <f t="shared" si="14"/>
        <v>Doç. Dr. Ceren GÜNENÇ BEŞER§2</v>
      </c>
      <c r="W197" s="29" t="str">
        <f>IF(U197=1,COUNTIF($U$2:U197,1),"")</f>
        <v/>
      </c>
      <c r="X197" s="29" t="str">
        <f t="shared" si="15"/>
        <v/>
      </c>
      <c r="Y197" s="29">
        <f>IF(AND(LEFT($B197,7)="SBA 26/",$D197&lt;&gt;"",$F197&lt;&gt;""),COUNTIFS($D$2:$D197,$D197,$B$2:$B197,"SBA 26/*",$F$2:$F197,"&lt;&gt;"),"")</f>
        <v>6</v>
      </c>
      <c r="Z197" s="29" t="str">
        <f>IF(Y197=1,COUNTIF($Y$2:Y197,1),"")</f>
        <v/>
      </c>
      <c r="AA197" s="29">
        <f>IF(AND(LEFT($B197,7)="SBA 26/",$C197&lt;&gt;"",$F197&lt;&gt;""),COUNTIFS($C$2:$C197,$C197,$B$2:$B197,"SBA 26/*",$F$2:$F197,"&lt;&gt;"),"")</f>
        <v>2</v>
      </c>
      <c r="AB197" s="29" t="str">
        <f>IF(AA197=1,COUNTIF($AA$2:AA197,1),"")</f>
        <v/>
      </c>
    </row>
    <row r="198" spans="1:28" ht="63" customHeight="1" x14ac:dyDescent="0.2">
      <c r="A198" s="43" t="s">
        <v>1050</v>
      </c>
      <c r="B198" s="43" t="s">
        <v>1051</v>
      </c>
      <c r="C198" s="44" t="s">
        <v>1052</v>
      </c>
      <c r="D198" s="44" t="s">
        <v>113</v>
      </c>
      <c r="E198" s="45" t="s">
        <v>1053</v>
      </c>
      <c r="F198" s="45" t="s">
        <v>1054</v>
      </c>
      <c r="G198" s="46" t="s">
        <v>38</v>
      </c>
      <c r="H198" s="48">
        <v>46071</v>
      </c>
      <c r="I198" s="48">
        <v>46084</v>
      </c>
      <c r="J198" s="44" t="s">
        <v>91</v>
      </c>
      <c r="K198" s="44" t="s">
        <v>108</v>
      </c>
      <c r="L198" s="50" t="s">
        <v>153</v>
      </c>
      <c r="M198" s="50"/>
      <c r="N198" s="50"/>
      <c r="O198" s="49"/>
      <c r="P198" s="50" t="str">
        <f t="shared" si="12"/>
        <v>KAPSAM DIŞI</v>
      </c>
      <c r="R198" s="51" t="str">
        <f t="shared" si="13"/>
        <v/>
      </c>
      <c r="T198" s="41"/>
      <c r="U198" s="29">
        <f>IF($C198&lt;&gt;"",COUNTIF($C$2:C198,C198),"")</f>
        <v>1</v>
      </c>
      <c r="V198" s="29" t="str">
        <f t="shared" si="14"/>
        <v>Prof. Dr. Mustafa CANKURTARAN§1</v>
      </c>
      <c r="W198" s="29">
        <f>IF(U198=1,COUNTIF($U$2:U198,1),"")</f>
        <v>139</v>
      </c>
      <c r="X198" s="29">
        <f t="shared" si="15"/>
        <v>271</v>
      </c>
      <c r="Y198" s="29">
        <f>IF(AND(LEFT($B198,7)="SBA 26/",$D198&lt;&gt;"",$F198&lt;&gt;""),COUNTIFS($D$2:$D198,$D198,$B$2:$B198,"SBA 26/*",$F$2:$F198,"&lt;&gt;"),"")</f>
        <v>28</v>
      </c>
      <c r="Z198" s="29" t="str">
        <f>IF(Y198=1,COUNTIF($Y$2:Y198,1),"")</f>
        <v/>
      </c>
      <c r="AA198" s="29">
        <f>IF(AND(LEFT($B198,7)="SBA 26/",$C198&lt;&gt;"",$F198&lt;&gt;""),COUNTIFS($C$2:$C198,$C198,$B$2:$B198,"SBA 26/*",$F$2:$F198,"&lt;&gt;"),"")</f>
        <v>1</v>
      </c>
      <c r="AB198" s="29">
        <f>IF(AA198=1,COUNTIF($AA$2:AA198,1),"")</f>
        <v>139</v>
      </c>
    </row>
    <row r="199" spans="1:28" ht="63" customHeight="1" x14ac:dyDescent="0.2">
      <c r="A199" s="43" t="s">
        <v>1055</v>
      </c>
      <c r="B199" s="43" t="s">
        <v>1056</v>
      </c>
      <c r="C199" s="44" t="s">
        <v>1052</v>
      </c>
      <c r="D199" s="44" t="s">
        <v>113</v>
      </c>
      <c r="E199" s="45" t="s">
        <v>1053</v>
      </c>
      <c r="F199" s="45" t="s">
        <v>1057</v>
      </c>
      <c r="G199" s="46" t="s">
        <v>38</v>
      </c>
      <c r="H199" s="48">
        <v>46071</v>
      </c>
      <c r="I199" s="48">
        <v>46084</v>
      </c>
      <c r="J199" s="44" t="s">
        <v>91</v>
      </c>
      <c r="K199" s="44" t="s">
        <v>108</v>
      </c>
      <c r="L199" s="50" t="s">
        <v>153</v>
      </c>
      <c r="M199" s="50"/>
      <c r="N199" s="50"/>
      <c r="O199" s="49"/>
      <c r="P199" s="50" t="str">
        <f t="shared" si="12"/>
        <v>KAPSAM DIŞI</v>
      </c>
      <c r="R199" s="51" t="str">
        <f t="shared" si="13"/>
        <v/>
      </c>
      <c r="T199" s="41"/>
      <c r="U199" s="29">
        <f>IF($C199&lt;&gt;"",COUNTIF($C$2:C199,C199),"")</f>
        <v>2</v>
      </c>
      <c r="V199" s="29" t="str">
        <f t="shared" si="14"/>
        <v>Prof. Dr. Mustafa CANKURTARAN§2</v>
      </c>
      <c r="W199" s="29" t="str">
        <f>IF(U199=1,COUNTIF($U$2:U199,1),"")</f>
        <v/>
      </c>
      <c r="X199" s="29" t="str">
        <f t="shared" si="15"/>
        <v/>
      </c>
      <c r="Y199" s="29">
        <f>IF(AND(LEFT($B199,7)="SBA 26/",$D199&lt;&gt;"",$F199&lt;&gt;""),COUNTIFS($D$2:$D199,$D199,$B$2:$B199,"SBA 26/*",$F$2:$F199,"&lt;&gt;"),"")</f>
        <v>29</v>
      </c>
      <c r="Z199" s="29" t="str">
        <f>IF(Y199=1,COUNTIF($Y$2:Y199,1),"")</f>
        <v/>
      </c>
      <c r="AA199" s="29">
        <f>IF(AND(LEFT($B199,7)="SBA 26/",$C199&lt;&gt;"",$F199&lt;&gt;""),COUNTIFS($C$2:$C199,$C199,$B$2:$B199,"SBA 26/*",$F$2:$F199,"&lt;&gt;"),"")</f>
        <v>2</v>
      </c>
      <c r="AB199" s="29" t="str">
        <f>IF(AA199=1,COUNTIF($AA$2:AA199,1),"")</f>
        <v/>
      </c>
    </row>
    <row r="200" spans="1:28" ht="63" customHeight="1" x14ac:dyDescent="0.2">
      <c r="A200" s="43" t="s">
        <v>1058</v>
      </c>
      <c r="B200" s="43" t="s">
        <v>1059</v>
      </c>
      <c r="C200" s="44" t="s">
        <v>1052</v>
      </c>
      <c r="D200" s="44" t="s">
        <v>113</v>
      </c>
      <c r="E200" s="45" t="s">
        <v>1053</v>
      </c>
      <c r="F200" s="45" t="s">
        <v>1060</v>
      </c>
      <c r="G200" s="46" t="s">
        <v>38</v>
      </c>
      <c r="H200" s="48">
        <v>46071</v>
      </c>
      <c r="I200" s="48">
        <v>46084</v>
      </c>
      <c r="J200" s="44" t="s">
        <v>91</v>
      </c>
      <c r="K200" s="44" t="s">
        <v>108</v>
      </c>
      <c r="L200" s="50" t="s">
        <v>153</v>
      </c>
      <c r="M200" s="50"/>
      <c r="N200" s="50"/>
      <c r="O200" s="49"/>
      <c r="P200" s="50" t="str">
        <f t="shared" si="12"/>
        <v>KAPSAM DIŞI</v>
      </c>
      <c r="R200" s="51" t="str">
        <f t="shared" si="13"/>
        <v/>
      </c>
      <c r="T200" s="41"/>
      <c r="U200" s="29">
        <f>IF($C200&lt;&gt;"",COUNTIF($C$2:C200,C200),"")</f>
        <v>3</v>
      </c>
      <c r="V200" s="29" t="str">
        <f t="shared" si="14"/>
        <v>Prof. Dr. Mustafa CANKURTARAN§3</v>
      </c>
      <c r="W200" s="29" t="str">
        <f>IF(U200=1,COUNTIF($U$2:U200,1),"")</f>
        <v/>
      </c>
      <c r="X200" s="29" t="str">
        <f t="shared" si="15"/>
        <v/>
      </c>
      <c r="Y200" s="29">
        <f>IF(AND(LEFT($B200,7)="SBA 26/",$D200&lt;&gt;"",$F200&lt;&gt;""),COUNTIFS($D$2:$D200,$D200,$B$2:$B200,"SBA 26/*",$F$2:$F200,"&lt;&gt;"),"")</f>
        <v>30</v>
      </c>
      <c r="Z200" s="29" t="str">
        <f>IF(Y200=1,COUNTIF($Y$2:Y200,1),"")</f>
        <v/>
      </c>
      <c r="AA200" s="29">
        <f>IF(AND(LEFT($B200,7)="SBA 26/",$C200&lt;&gt;"",$F200&lt;&gt;""),COUNTIFS($C$2:$C200,$C200,$B$2:$B200,"SBA 26/*",$F$2:$F200,"&lt;&gt;"),"")</f>
        <v>3</v>
      </c>
      <c r="AB200" s="29" t="str">
        <f>IF(AA200=1,COUNTIF($AA$2:AA200,1),"")</f>
        <v/>
      </c>
    </row>
    <row r="201" spans="1:28" ht="63" customHeight="1" x14ac:dyDescent="0.2">
      <c r="A201" s="43" t="s">
        <v>1061</v>
      </c>
      <c r="B201" s="43" t="s">
        <v>1062</v>
      </c>
      <c r="C201" s="44" t="s">
        <v>1063</v>
      </c>
      <c r="D201" s="44" t="s">
        <v>484</v>
      </c>
      <c r="E201" s="45" t="s">
        <v>1064</v>
      </c>
      <c r="F201" s="45" t="s">
        <v>1065</v>
      </c>
      <c r="G201" s="46" t="s">
        <v>38</v>
      </c>
      <c r="H201" s="48">
        <v>46071</v>
      </c>
      <c r="I201" s="48">
        <v>46084</v>
      </c>
      <c r="J201" s="44" t="s">
        <v>123</v>
      </c>
      <c r="K201" s="44" t="s">
        <v>92</v>
      </c>
      <c r="L201" s="50" t="s">
        <v>77</v>
      </c>
      <c r="M201" s="50"/>
      <c r="N201" s="50"/>
      <c r="O201" s="49"/>
      <c r="P201" s="50" t="str">
        <f t="shared" si="12"/>
        <v>ONAY</v>
      </c>
      <c r="R201" s="51" t="str">
        <f t="shared" si="13"/>
        <v/>
      </c>
      <c r="T201" s="41"/>
      <c r="U201" s="29">
        <f>IF($C201&lt;&gt;"",COUNTIF($C$2:C201,C201),"")</f>
        <v>1</v>
      </c>
      <c r="V201" s="29" t="str">
        <f t="shared" si="14"/>
        <v>Dr. Öğr. Üyesi Hatice BOYACIOĞLU ERDEN§1</v>
      </c>
      <c r="W201" s="29">
        <f>IF(U201=1,COUNTIF($U$2:U201,1),"")</f>
        <v>140</v>
      </c>
      <c r="X201" s="29">
        <f t="shared" si="15"/>
        <v>140</v>
      </c>
      <c r="Y201" s="29">
        <f>IF(AND(LEFT($B201,7)="SBA 26/",$D201&lt;&gt;"",$F201&lt;&gt;""),COUNTIFS($D$2:$D201,$D201,$B$2:$B201,"SBA 26/*",$F$2:$F201,"&lt;&gt;"),"")</f>
        <v>3</v>
      </c>
      <c r="Z201" s="29" t="str">
        <f>IF(Y201=1,COUNTIF($Y$2:Y201,1),"")</f>
        <v/>
      </c>
      <c r="AA201" s="29">
        <f>IF(AND(LEFT($B201,7)="SBA 26/",$C201&lt;&gt;"",$F201&lt;&gt;""),COUNTIFS($C$2:$C201,$C201,$B$2:$B201,"SBA 26/*",$F$2:$F201,"&lt;&gt;"),"")</f>
        <v>1</v>
      </c>
      <c r="AB201" s="29">
        <f>IF(AA201=1,COUNTIF($AA$2:AA201,1),"")</f>
        <v>140</v>
      </c>
    </row>
    <row r="202" spans="1:28" ht="63" customHeight="1" x14ac:dyDescent="0.2">
      <c r="A202" s="43" t="s">
        <v>1066</v>
      </c>
      <c r="B202" s="43" t="s">
        <v>1067</v>
      </c>
      <c r="C202" s="44" t="s">
        <v>112</v>
      </c>
      <c r="D202" s="44" t="s">
        <v>113</v>
      </c>
      <c r="E202" s="45" t="s">
        <v>1068</v>
      </c>
      <c r="F202" s="45" t="s">
        <v>1069</v>
      </c>
      <c r="G202" s="46" t="s">
        <v>38</v>
      </c>
      <c r="H202" s="48">
        <v>46071</v>
      </c>
      <c r="I202" s="48">
        <v>46084</v>
      </c>
      <c r="J202" s="44" t="s">
        <v>76</v>
      </c>
      <c r="K202" s="44" t="s">
        <v>84</v>
      </c>
      <c r="L202" s="50" t="s">
        <v>206</v>
      </c>
      <c r="M202" s="50" t="s">
        <v>101</v>
      </c>
      <c r="N202" s="50"/>
      <c r="O202" s="49"/>
      <c r="P202" s="50" t="str">
        <f t="shared" si="12"/>
        <v>DÜZELTME</v>
      </c>
      <c r="R202" s="51" t="str">
        <f t="shared" si="13"/>
        <v/>
      </c>
      <c r="T202" s="41"/>
      <c r="U202" s="29">
        <f>IF($C202&lt;&gt;"",COUNTIF($C$2:C202,C202),"")</f>
        <v>7</v>
      </c>
      <c r="V202" s="29" t="str">
        <f t="shared" si="14"/>
        <v>Prof. Dr. Meltem Gülhan HALİL§7</v>
      </c>
      <c r="W202" s="29" t="str">
        <f>IF(U202=1,COUNTIF($U$2:U202,1),"")</f>
        <v/>
      </c>
      <c r="X202" s="29" t="str">
        <f t="shared" si="15"/>
        <v/>
      </c>
      <c r="Y202" s="29">
        <f>IF(AND(LEFT($B202,7)="SBA 26/",$D202&lt;&gt;"",$F202&lt;&gt;""),COUNTIFS($D$2:$D202,$D202,$B$2:$B202,"SBA 26/*",$F$2:$F202,"&lt;&gt;"),"")</f>
        <v>31</v>
      </c>
      <c r="Z202" s="29" t="str">
        <f>IF(Y202=1,COUNTIF($Y$2:Y202,1),"")</f>
        <v/>
      </c>
      <c r="AA202" s="29">
        <f>IF(AND(LEFT($B202,7)="SBA 26/",$C202&lt;&gt;"",$F202&lt;&gt;""),COUNTIFS($C$2:$C202,$C202,$B$2:$B202,"SBA 26/*",$F$2:$F202,"&lt;&gt;"),"")</f>
        <v>7</v>
      </c>
      <c r="AB202" s="29" t="str">
        <f>IF(AA202=1,COUNTIF($AA$2:AA202,1),"")</f>
        <v/>
      </c>
    </row>
    <row r="203" spans="1:28" ht="63" customHeight="1" x14ac:dyDescent="0.2">
      <c r="A203" s="43" t="s">
        <v>1070</v>
      </c>
      <c r="B203" s="43" t="s">
        <v>1071</v>
      </c>
      <c r="C203" s="44" t="s">
        <v>1072</v>
      </c>
      <c r="D203" s="44" t="s">
        <v>1073</v>
      </c>
      <c r="E203" s="45" t="s">
        <v>1074</v>
      </c>
      <c r="F203" s="45" t="s">
        <v>1075</v>
      </c>
      <c r="G203" s="46" t="s">
        <v>38</v>
      </c>
      <c r="H203" s="48">
        <v>46072</v>
      </c>
      <c r="I203" s="48">
        <v>46084</v>
      </c>
      <c r="J203" s="44" t="s">
        <v>75</v>
      </c>
      <c r="K203" s="44" t="s">
        <v>99</v>
      </c>
      <c r="L203" s="50" t="s">
        <v>77</v>
      </c>
      <c r="M203" s="50"/>
      <c r="N203" s="50"/>
      <c r="O203" s="49"/>
      <c r="P203" s="50" t="str">
        <f t="shared" si="12"/>
        <v>ONAY</v>
      </c>
      <c r="R203" s="51" t="str">
        <f t="shared" si="13"/>
        <v/>
      </c>
      <c r="T203" s="41"/>
      <c r="U203" s="29">
        <f>IF($C203&lt;&gt;"",COUNTIF($C$2:C203,C203),"")</f>
        <v>1</v>
      </c>
      <c r="V203" s="29" t="str">
        <f t="shared" si="14"/>
        <v>Dr. Öğr. Üyesi Ezgi DOĞAN CÖMERT§1</v>
      </c>
      <c r="W203" s="29">
        <f>IF(U203=1,COUNTIF($U$2:U203,1),"")</f>
        <v>141</v>
      </c>
      <c r="X203" s="29">
        <f t="shared" si="15"/>
        <v>131</v>
      </c>
      <c r="Y203" s="29">
        <f>IF(AND(LEFT($B203,7)="SBA 26/",$D203&lt;&gt;"",$F203&lt;&gt;""),COUNTIFS($D$2:$D203,$D203,$B$2:$B203,"SBA 26/*",$F$2:$F203,"&lt;&gt;"),"")</f>
        <v>1</v>
      </c>
      <c r="Z203" s="29">
        <f>IF(Y203=1,COUNTIF($Y$2:Y203,1),"")</f>
        <v>53</v>
      </c>
      <c r="AA203" s="29">
        <f>IF(AND(LEFT($B203,7)="SBA 26/",$C203&lt;&gt;"",$F203&lt;&gt;""),COUNTIFS($C$2:$C203,$C203,$B$2:$B203,"SBA 26/*",$F$2:$F203,"&lt;&gt;"),"")</f>
        <v>1</v>
      </c>
      <c r="AB203" s="29">
        <f>IF(AA203=1,COUNTIF($AA$2:AA203,1),"")</f>
        <v>141</v>
      </c>
    </row>
    <row r="204" spans="1:28" ht="79.5" customHeight="1" x14ac:dyDescent="0.2">
      <c r="A204" s="43" t="s">
        <v>1076</v>
      </c>
      <c r="B204" s="43" t="s">
        <v>1077</v>
      </c>
      <c r="C204" s="44" t="s">
        <v>1078</v>
      </c>
      <c r="D204" s="44" t="s">
        <v>215</v>
      </c>
      <c r="E204" s="45" t="s">
        <v>1079</v>
      </c>
      <c r="F204" s="45" t="s">
        <v>1080</v>
      </c>
      <c r="G204" s="46" t="s">
        <v>38</v>
      </c>
      <c r="H204" s="48">
        <v>46072</v>
      </c>
      <c r="I204" s="48">
        <v>46084</v>
      </c>
      <c r="J204" s="44" t="s">
        <v>123</v>
      </c>
      <c r="K204" s="44" t="s">
        <v>100</v>
      </c>
      <c r="L204" s="50" t="s">
        <v>77</v>
      </c>
      <c r="M204" s="50"/>
      <c r="N204" s="50"/>
      <c r="O204" s="49"/>
      <c r="P204" s="50" t="str">
        <f t="shared" si="12"/>
        <v>ONAY</v>
      </c>
      <c r="R204" s="51" t="str">
        <f t="shared" si="13"/>
        <v/>
      </c>
      <c r="T204" s="41"/>
      <c r="U204" s="29">
        <f>IF($C204&lt;&gt;"",COUNTIF($C$2:C204,C204),"")</f>
        <v>1</v>
      </c>
      <c r="V204" s="29" t="str">
        <f t="shared" si="14"/>
        <v>Dr. Öğr. Üyesi Salih Eren MERAL§1</v>
      </c>
      <c r="W204" s="29">
        <f>IF(U204=1,COUNTIF($U$2:U204,1),"")</f>
        <v>142</v>
      </c>
      <c r="X204" s="29">
        <f t="shared" si="15"/>
        <v>154</v>
      </c>
      <c r="Y204" s="29">
        <f>IF(AND(LEFT($B204,7)="SBA 26/",$D204&lt;&gt;"",$F204&lt;&gt;""),COUNTIFS($D$2:$D204,$D204,$B$2:$B204,"SBA 26/*",$F$2:$F204,"&lt;&gt;"),"")</f>
        <v>3</v>
      </c>
      <c r="Z204" s="29" t="str">
        <f>IF(Y204=1,COUNTIF($Y$2:Y204,1),"")</f>
        <v/>
      </c>
      <c r="AA204" s="29">
        <f>IF(AND(LEFT($B204,7)="SBA 26/",$C204&lt;&gt;"",$F204&lt;&gt;""),COUNTIFS($C$2:$C204,$C204,$B$2:$B204,"SBA 26/*",$F$2:$F204,"&lt;&gt;"),"")</f>
        <v>1</v>
      </c>
      <c r="AB204" s="29">
        <f>IF(AA204=1,COUNTIF($AA$2:AA204,1),"")</f>
        <v>142</v>
      </c>
    </row>
    <row r="205" spans="1:28" ht="63" customHeight="1" x14ac:dyDescent="0.2">
      <c r="A205" s="43" t="s">
        <v>1081</v>
      </c>
      <c r="B205" s="43" t="s">
        <v>1082</v>
      </c>
      <c r="C205" s="44" t="s">
        <v>937</v>
      </c>
      <c r="D205" s="44" t="s">
        <v>341</v>
      </c>
      <c r="E205" s="56" t="s">
        <v>1083</v>
      </c>
      <c r="F205" s="45" t="s">
        <v>1084</v>
      </c>
      <c r="G205" s="46" t="s">
        <v>38</v>
      </c>
      <c r="H205" s="48">
        <v>46072</v>
      </c>
      <c r="I205" s="48">
        <v>46084</v>
      </c>
      <c r="J205" s="44" t="s">
        <v>116</v>
      </c>
      <c r="K205" s="44" t="s">
        <v>109</v>
      </c>
      <c r="L205" s="50" t="s">
        <v>77</v>
      </c>
      <c r="M205" s="50"/>
      <c r="N205" s="50"/>
      <c r="O205" s="49"/>
      <c r="P205" s="50" t="str">
        <f t="shared" si="12"/>
        <v>ONAY</v>
      </c>
      <c r="R205" s="51" t="str">
        <f t="shared" si="13"/>
        <v/>
      </c>
      <c r="T205" s="41"/>
      <c r="U205" s="29">
        <f>IF($C205&lt;&gt;"",COUNTIF($C$2:C205,C205),"")</f>
        <v>2</v>
      </c>
      <c r="V205" s="29" t="str">
        <f t="shared" si="14"/>
        <v>Doç. Dr. Duygu GÜLSEREN§2</v>
      </c>
      <c r="W205" s="29" t="str">
        <f>IF(U205=1,COUNTIF($U$2:U205,1),"")</f>
        <v/>
      </c>
      <c r="X205" s="29" t="str">
        <f t="shared" si="15"/>
        <v/>
      </c>
      <c r="Y205" s="29">
        <f>IF(AND(LEFT($B205,7)="SBA 26/",$D205&lt;&gt;"",$F205&lt;&gt;""),COUNTIFS($D$2:$D205,$D205,$B$2:$B205,"SBA 26/*",$F$2:$F205,"&lt;&gt;"),"")</f>
        <v>5</v>
      </c>
      <c r="Z205" s="29" t="str">
        <f>IF(Y205=1,COUNTIF($Y$2:Y205,1),"")</f>
        <v/>
      </c>
      <c r="AA205" s="29">
        <f>IF(AND(LEFT($B205,7)="SBA 26/",$C205&lt;&gt;"",$F205&lt;&gt;""),COUNTIFS($C$2:$C205,$C205,$B$2:$B205,"SBA 26/*",$F$2:$F205,"&lt;&gt;"),"")</f>
        <v>2</v>
      </c>
      <c r="AB205" s="29" t="str">
        <f>IF(AA205=1,COUNTIF($AA$2:AA205,1),"")</f>
        <v/>
      </c>
    </row>
    <row r="206" spans="1:28" ht="63" customHeight="1" x14ac:dyDescent="0.2">
      <c r="A206" s="43" t="s">
        <v>1085</v>
      </c>
      <c r="B206" s="43" t="s">
        <v>1086</v>
      </c>
      <c r="C206" s="44" t="s">
        <v>1087</v>
      </c>
      <c r="D206" s="44" t="s">
        <v>280</v>
      </c>
      <c r="E206" s="45" t="s">
        <v>1088</v>
      </c>
      <c r="F206" s="45" t="s">
        <v>1089</v>
      </c>
      <c r="G206" s="46" t="s">
        <v>38</v>
      </c>
      <c r="H206" s="48">
        <v>46072</v>
      </c>
      <c r="I206" s="48">
        <v>46084</v>
      </c>
      <c r="J206" s="44" t="s">
        <v>91</v>
      </c>
      <c r="K206" s="44" t="s">
        <v>75</v>
      </c>
      <c r="L206" s="50" t="s">
        <v>77</v>
      </c>
      <c r="M206" s="50"/>
      <c r="N206" s="50"/>
      <c r="O206" s="49"/>
      <c r="P206" s="50" t="str">
        <f t="shared" si="12"/>
        <v>ONAY</v>
      </c>
      <c r="R206" s="51" t="str">
        <f t="shared" si="13"/>
        <v/>
      </c>
      <c r="T206" s="41"/>
      <c r="U206" s="29">
        <f>IF($C206&lt;&gt;"",COUNTIF($C$2:C206,C206),"")</f>
        <v>1</v>
      </c>
      <c r="V206" s="29" t="str">
        <f t="shared" si="14"/>
        <v>Prof. Dr. Murat TUNCEL§1</v>
      </c>
      <c r="W206" s="29">
        <f>IF(U206=1,COUNTIF($U$2:U206,1),"")</f>
        <v>143</v>
      </c>
      <c r="X206" s="29">
        <f t="shared" si="15"/>
        <v>268</v>
      </c>
      <c r="Y206" s="29">
        <f>IF(AND(LEFT($B206,7)="SBA 26/",$D206&lt;&gt;"",$F206&lt;&gt;""),COUNTIFS($D$2:$D206,$D206,$B$2:$B206,"SBA 26/*",$F$2:$F206,"&lt;&gt;"),"")</f>
        <v>3</v>
      </c>
      <c r="Z206" s="29" t="str">
        <f>IF(Y206=1,COUNTIF($Y$2:Y206,1),"")</f>
        <v/>
      </c>
      <c r="AA206" s="29">
        <f>IF(AND(LEFT($B206,7)="SBA 26/",$C206&lt;&gt;"",$F206&lt;&gt;""),COUNTIFS($C$2:$C206,$C206,$B$2:$B206,"SBA 26/*",$F$2:$F206,"&lt;&gt;"),"")</f>
        <v>1</v>
      </c>
      <c r="AB206" s="29">
        <f>IF(AA206=1,COUNTIF($AA$2:AA206,1),"")</f>
        <v>143</v>
      </c>
    </row>
    <row r="207" spans="1:28" ht="97.5" customHeight="1" x14ac:dyDescent="0.2">
      <c r="A207" s="43" t="s">
        <v>1090</v>
      </c>
      <c r="B207" s="43" t="s">
        <v>1091</v>
      </c>
      <c r="C207" s="44" t="s">
        <v>1092</v>
      </c>
      <c r="D207" s="44" t="s">
        <v>203</v>
      </c>
      <c r="E207" s="45" t="s">
        <v>1093</v>
      </c>
      <c r="F207" s="45" t="s">
        <v>1094</v>
      </c>
      <c r="G207" s="46" t="s">
        <v>41</v>
      </c>
      <c r="H207" s="48">
        <v>46072</v>
      </c>
      <c r="I207" s="48">
        <v>46084</v>
      </c>
      <c r="J207" s="44" t="s">
        <v>92</v>
      </c>
      <c r="K207" s="44" t="s">
        <v>99</v>
      </c>
      <c r="L207" s="50" t="s">
        <v>206</v>
      </c>
      <c r="M207" s="50" t="s">
        <v>77</v>
      </c>
      <c r="N207" s="50"/>
      <c r="O207" s="49"/>
      <c r="P207" s="50" t="str">
        <f t="shared" si="12"/>
        <v>ONAY</v>
      </c>
      <c r="R207" s="51" t="str">
        <f t="shared" si="13"/>
        <v/>
      </c>
      <c r="T207" s="41"/>
      <c r="U207" s="29">
        <f>IF($C207&lt;&gt;"",COUNTIF($C$2:C207,C207),"")</f>
        <v>1</v>
      </c>
      <c r="V207" s="29" t="str">
        <f t="shared" si="14"/>
        <v>Prof. Dr. Özgür UĞURLUOĞLU§1</v>
      </c>
      <c r="W207" s="29">
        <f>IF(U207=1,COUNTIF($U$2:U207,1),"")</f>
        <v>144</v>
      </c>
      <c r="X207" s="29">
        <f t="shared" si="15"/>
        <v>290</v>
      </c>
      <c r="Y207" s="29">
        <f>IF(AND(LEFT($B207,7)="SBA 26/",$D207&lt;&gt;"",$F207&lt;&gt;""),COUNTIFS($D$2:$D207,$D207,$B$2:$B207,"SBA 26/*",$F$2:$F207,"&lt;&gt;"),"")</f>
        <v>3</v>
      </c>
      <c r="Z207" s="29" t="str">
        <f>IF(Y207=1,COUNTIF($Y$2:Y207,1),"")</f>
        <v/>
      </c>
      <c r="AA207" s="29">
        <f>IF(AND(LEFT($B207,7)="SBA 26/",$C207&lt;&gt;"",$F207&lt;&gt;""),COUNTIFS($C$2:$C207,$C207,$B$2:$B207,"SBA 26/*",$F$2:$F207,"&lt;&gt;"),"")</f>
        <v>1</v>
      </c>
      <c r="AB207" s="29">
        <f>IF(AA207=1,COUNTIF($AA$2:AA207,1),"")</f>
        <v>144</v>
      </c>
    </row>
    <row r="208" spans="1:28" ht="63" customHeight="1" x14ac:dyDescent="0.2">
      <c r="A208" s="43" t="s">
        <v>1095</v>
      </c>
      <c r="B208" s="43" t="s">
        <v>1096</v>
      </c>
      <c r="C208" s="44" t="s">
        <v>1097</v>
      </c>
      <c r="D208" s="44" t="s">
        <v>88</v>
      </c>
      <c r="E208" s="45" t="s">
        <v>1098</v>
      </c>
      <c r="F208" s="45" t="s">
        <v>1099</v>
      </c>
      <c r="G208" s="46" t="s">
        <v>38</v>
      </c>
      <c r="H208" s="48">
        <v>46076</v>
      </c>
      <c r="I208" s="48">
        <v>46084</v>
      </c>
      <c r="J208" s="44" t="s">
        <v>75</v>
      </c>
      <c r="K208" s="44" t="s">
        <v>92</v>
      </c>
      <c r="L208" s="50" t="s">
        <v>101</v>
      </c>
      <c r="M208" s="50" t="s">
        <v>101</v>
      </c>
      <c r="N208" s="50" t="s">
        <v>77</v>
      </c>
      <c r="O208" s="49"/>
      <c r="P208" s="50" t="str">
        <f t="shared" si="12"/>
        <v>ONAY</v>
      </c>
      <c r="R208" s="51" t="str">
        <f t="shared" si="13"/>
        <v/>
      </c>
      <c r="T208" s="41"/>
      <c r="U208" s="29">
        <f>IF($C208&lt;&gt;"",COUNTIF($C$2:C208,C208),"")</f>
        <v>1</v>
      </c>
      <c r="V208" s="29" t="str">
        <f t="shared" si="14"/>
        <v>Doç. Dr. Adalet Elçin YILDIZ§1</v>
      </c>
      <c r="W208" s="29">
        <f>IF(U208=1,COUNTIF($U$2:U208,1),"")</f>
        <v>145</v>
      </c>
      <c r="X208" s="29">
        <f t="shared" si="15"/>
        <v>14</v>
      </c>
      <c r="Y208" s="29">
        <f>IF(AND(LEFT($B208,7)="SBA 26/",$D208&lt;&gt;"",$F208&lt;&gt;""),COUNTIFS($D$2:$D208,$D208,$B$2:$B208,"SBA 26/*",$F$2:$F208,"&lt;&gt;"),"")</f>
        <v>7</v>
      </c>
      <c r="Z208" s="29" t="str">
        <f>IF(Y208=1,COUNTIF($Y$2:Y208,1),"")</f>
        <v/>
      </c>
      <c r="AA208" s="29">
        <f>IF(AND(LEFT($B208,7)="SBA 26/",$C208&lt;&gt;"",$F208&lt;&gt;""),COUNTIFS($C$2:$C208,$C208,$B$2:$B208,"SBA 26/*",$F$2:$F208,"&lt;&gt;"),"")</f>
        <v>1</v>
      </c>
      <c r="AB208" s="29">
        <f>IF(AA208=1,COUNTIF($AA$2:AA208,1),"")</f>
        <v>145</v>
      </c>
    </row>
    <row r="209" spans="1:28" ht="63" customHeight="1" x14ac:dyDescent="0.2">
      <c r="A209" s="43" t="s">
        <v>1100</v>
      </c>
      <c r="B209" s="43" t="s">
        <v>1101</v>
      </c>
      <c r="C209" s="44" t="s">
        <v>628</v>
      </c>
      <c r="D209" s="44" t="s">
        <v>228</v>
      </c>
      <c r="E209" s="45" t="s">
        <v>1102</v>
      </c>
      <c r="F209" s="45" t="s">
        <v>1103</v>
      </c>
      <c r="G209" s="46" t="s">
        <v>39</v>
      </c>
      <c r="H209" s="48">
        <v>46076</v>
      </c>
      <c r="I209" s="48">
        <v>46084</v>
      </c>
      <c r="J209" s="44" t="s">
        <v>100</v>
      </c>
      <c r="K209" s="44" t="s">
        <v>76</v>
      </c>
      <c r="L209" s="50" t="s">
        <v>101</v>
      </c>
      <c r="M209" s="50" t="s">
        <v>77</v>
      </c>
      <c r="N209" s="50"/>
      <c r="O209" s="49"/>
      <c r="P209" s="50" t="str">
        <f t="shared" si="12"/>
        <v>ONAY</v>
      </c>
      <c r="Q209" s="28" t="s">
        <v>100</v>
      </c>
      <c r="R209" s="51" t="str">
        <f t="shared" si="13"/>
        <v/>
      </c>
      <c r="T209" s="41"/>
      <c r="U209" s="29">
        <f>IF($C209&lt;&gt;"",COUNTIF($C$2:C209,C209),"")</f>
        <v>2</v>
      </c>
      <c r="V209" s="29" t="str">
        <f t="shared" si="14"/>
        <v>Dr. Öğr. Üyesi Murat ÇAĞAN§2</v>
      </c>
      <c r="W209" s="29" t="str">
        <f>IF(U209=1,COUNTIF($U$2:U209,1),"")</f>
        <v/>
      </c>
      <c r="X209" s="29" t="str">
        <f t="shared" si="15"/>
        <v/>
      </c>
      <c r="Y209" s="29">
        <f>IF(AND(LEFT($B209,7)="SBA 26/",$D209&lt;&gt;"",$F209&lt;&gt;""),COUNTIFS($D$2:$D209,$D209,$B$2:$B209,"SBA 26/*",$F$2:$F209,"&lt;&gt;"),"")</f>
        <v>10</v>
      </c>
      <c r="Z209" s="29" t="str">
        <f>IF(Y209=1,COUNTIF($Y$2:Y209,1),"")</f>
        <v/>
      </c>
      <c r="AA209" s="29">
        <f>IF(AND(LEFT($B209,7)="SBA 26/",$C209&lt;&gt;"",$F209&lt;&gt;""),COUNTIFS($C$2:$C209,$C209,$B$2:$B209,"SBA 26/*",$F$2:$F209,"&lt;&gt;"),"")</f>
        <v>2</v>
      </c>
      <c r="AB209" s="29" t="str">
        <f>IF(AA209=1,COUNTIF($AA$2:AA209,1),"")</f>
        <v/>
      </c>
    </row>
    <row r="210" spans="1:28" ht="94.5" customHeight="1" x14ac:dyDescent="0.2">
      <c r="A210" s="43" t="s">
        <v>1104</v>
      </c>
      <c r="B210" s="43" t="s">
        <v>1105</v>
      </c>
      <c r="C210" s="44" t="s">
        <v>1106</v>
      </c>
      <c r="D210" s="44" t="s">
        <v>966</v>
      </c>
      <c r="E210" s="45" t="s">
        <v>1107</v>
      </c>
      <c r="F210" s="45" t="s">
        <v>1108</v>
      </c>
      <c r="G210" s="46" t="s">
        <v>38</v>
      </c>
      <c r="H210" s="48">
        <v>46076</v>
      </c>
      <c r="I210" s="48">
        <v>46084</v>
      </c>
      <c r="J210" s="44" t="s">
        <v>84</v>
      </c>
      <c r="K210" s="44" t="s">
        <v>123</v>
      </c>
      <c r="L210" s="50" t="s">
        <v>77</v>
      </c>
      <c r="M210" s="50"/>
      <c r="N210" s="50"/>
      <c r="O210" s="49"/>
      <c r="P210" s="50" t="str">
        <f t="shared" si="12"/>
        <v>ONAY</v>
      </c>
      <c r="R210" s="51" t="str">
        <f t="shared" si="13"/>
        <v/>
      </c>
      <c r="T210" s="41"/>
      <c r="U210" s="29">
        <f>IF($C210&lt;&gt;"",COUNTIF($C$2:C210,C210),"")</f>
        <v>1</v>
      </c>
      <c r="V210" s="29" t="str">
        <f t="shared" si="14"/>
        <v>Doç. Dr. Duygu AYHAN BAŞER§1</v>
      </c>
      <c r="W210" s="29">
        <f>IF(U210=1,COUNTIF($U$2:U210,1),"")</f>
        <v>146</v>
      </c>
      <c r="X210" s="29">
        <f t="shared" si="15"/>
        <v>37</v>
      </c>
      <c r="Y210" s="29">
        <f>IF(AND(LEFT($B210,7)="SBA 26/",$D210&lt;&gt;"",$F210&lt;&gt;""),COUNTIFS($D$2:$D210,$D210,$B$2:$B210,"SBA 26/*",$F$2:$F210,"&lt;&gt;"),"")</f>
        <v>2</v>
      </c>
      <c r="Z210" s="29" t="str">
        <f>IF(Y210=1,COUNTIF($Y$2:Y210,1),"")</f>
        <v/>
      </c>
      <c r="AA210" s="29">
        <f>IF(AND(LEFT($B210,7)="SBA 26/",$C210&lt;&gt;"",$F210&lt;&gt;""),COUNTIFS($C$2:$C210,$C210,$B$2:$B210,"SBA 26/*",$F$2:$F210,"&lt;&gt;"),"")</f>
        <v>1</v>
      </c>
      <c r="AB210" s="29">
        <f>IF(AA210=1,COUNTIF($AA$2:AA210,1),"")</f>
        <v>146</v>
      </c>
    </row>
    <row r="211" spans="1:28" ht="94.5" customHeight="1" x14ac:dyDescent="0.2">
      <c r="A211" s="43" t="s">
        <v>1109</v>
      </c>
      <c r="B211" s="43" t="s">
        <v>1110</v>
      </c>
      <c r="C211" s="44" t="s">
        <v>1087</v>
      </c>
      <c r="D211" s="44" t="s">
        <v>280</v>
      </c>
      <c r="E211" s="45" t="s">
        <v>1111</v>
      </c>
      <c r="F211" s="45" t="s">
        <v>1112</v>
      </c>
      <c r="G211" s="46" t="s">
        <v>39</v>
      </c>
      <c r="H211" s="48">
        <v>46076</v>
      </c>
      <c r="I211" s="48">
        <v>46084</v>
      </c>
      <c r="J211" s="44" t="s">
        <v>91</v>
      </c>
      <c r="K211" s="44" t="s">
        <v>75</v>
      </c>
      <c r="L211" s="50" t="s">
        <v>172</v>
      </c>
      <c r="M211" s="50" t="s">
        <v>77</v>
      </c>
      <c r="N211" s="50"/>
      <c r="O211" s="49"/>
      <c r="P211" s="50" t="str">
        <f t="shared" si="12"/>
        <v>ONAY</v>
      </c>
      <c r="R211" s="51" t="str">
        <f t="shared" si="13"/>
        <v/>
      </c>
      <c r="T211" s="41"/>
      <c r="U211" s="29">
        <f>IF($C211&lt;&gt;"",COUNTIF($C$2:C211,C211),"")</f>
        <v>2</v>
      </c>
      <c r="V211" s="29" t="str">
        <f t="shared" si="14"/>
        <v>Prof. Dr. Murat TUNCEL§2</v>
      </c>
      <c r="W211" s="29" t="str">
        <f>IF(U211=1,COUNTIF($U$2:U211,1),"")</f>
        <v/>
      </c>
      <c r="X211" s="29" t="str">
        <f t="shared" si="15"/>
        <v/>
      </c>
      <c r="Y211" s="29">
        <f>IF(AND(LEFT($B211,7)="SBA 26/",$D211&lt;&gt;"",$F211&lt;&gt;""),COUNTIFS($D$2:$D211,$D211,$B$2:$B211,"SBA 26/*",$F$2:$F211,"&lt;&gt;"),"")</f>
        <v>4</v>
      </c>
      <c r="Z211" s="29" t="str">
        <f>IF(Y211=1,COUNTIF($Y$2:Y211,1),"")</f>
        <v/>
      </c>
      <c r="AA211" s="29">
        <f>IF(AND(LEFT($B211,7)="SBA 26/",$C211&lt;&gt;"",$F211&lt;&gt;""),COUNTIFS($C$2:$C211,$C211,$B$2:$B211,"SBA 26/*",$F$2:$F211,"&lt;&gt;"),"")</f>
        <v>2</v>
      </c>
      <c r="AB211" s="29" t="str">
        <f>IF(AA211=1,COUNTIF($AA$2:AA211,1),"")</f>
        <v/>
      </c>
    </row>
    <row r="212" spans="1:28" ht="63" customHeight="1" x14ac:dyDescent="0.2">
      <c r="A212" s="43" t="s">
        <v>1113</v>
      </c>
      <c r="B212" s="43" t="s">
        <v>1114</v>
      </c>
      <c r="C212" s="44" t="s">
        <v>1115</v>
      </c>
      <c r="D212" s="44" t="s">
        <v>385</v>
      </c>
      <c r="E212" s="45" t="s">
        <v>1116</v>
      </c>
      <c r="F212" s="45" t="s">
        <v>1117</v>
      </c>
      <c r="G212" s="46" t="s">
        <v>38</v>
      </c>
      <c r="H212" s="48">
        <v>46076</v>
      </c>
      <c r="I212" s="48">
        <v>46084</v>
      </c>
      <c r="J212" s="44" t="s">
        <v>76</v>
      </c>
      <c r="K212" s="44" t="s">
        <v>108</v>
      </c>
      <c r="L212" s="50" t="s">
        <v>77</v>
      </c>
      <c r="M212" s="50"/>
      <c r="N212" s="50"/>
      <c r="O212" s="49"/>
      <c r="P212" s="50" t="str">
        <f t="shared" si="12"/>
        <v>ONAY</v>
      </c>
      <c r="R212" s="51" t="str">
        <f t="shared" si="13"/>
        <v/>
      </c>
      <c r="T212" s="41"/>
      <c r="U212" s="29">
        <f>IF($C212&lt;&gt;"",COUNTIF($C$2:C212,C212),"")</f>
        <v>1</v>
      </c>
      <c r="V212" s="29" t="str">
        <f t="shared" si="14"/>
        <v>Doç. Dr. İdil Rana USER KILIÇ§1</v>
      </c>
      <c r="W212" s="29">
        <f>IF(U212=1,COUNTIF($U$2:U212,1),"")</f>
        <v>147</v>
      </c>
      <c r="X212" s="29">
        <f t="shared" si="15"/>
        <v>66</v>
      </c>
      <c r="Y212" s="29">
        <f>IF(AND(LEFT($B212,7)="SBA 26/",$D212&lt;&gt;"",$F212&lt;&gt;""),COUNTIFS($D$2:$D212,$D212,$B$2:$B212,"SBA 26/*",$F$2:$F212,"&lt;&gt;"),"")</f>
        <v>4</v>
      </c>
      <c r="Z212" s="29" t="str">
        <f>IF(Y212=1,COUNTIF($Y$2:Y212,1),"")</f>
        <v/>
      </c>
      <c r="AA212" s="29">
        <f>IF(AND(LEFT($B212,7)="SBA 26/",$C212&lt;&gt;"",$F212&lt;&gt;""),COUNTIFS($C$2:$C212,$C212,$B$2:$B212,"SBA 26/*",$F$2:$F212,"&lt;&gt;"),"")</f>
        <v>1</v>
      </c>
      <c r="AB212" s="29">
        <f>IF(AA212=1,COUNTIF($AA$2:AA212,1),"")</f>
        <v>147</v>
      </c>
    </row>
    <row r="213" spans="1:28" ht="78.75" customHeight="1" x14ac:dyDescent="0.2">
      <c r="A213" s="43" t="s">
        <v>1118</v>
      </c>
      <c r="B213" s="43" t="s">
        <v>1119</v>
      </c>
      <c r="C213" s="44" t="s">
        <v>1115</v>
      </c>
      <c r="D213" s="44" t="s">
        <v>385</v>
      </c>
      <c r="E213" s="45" t="s">
        <v>1120</v>
      </c>
      <c r="F213" s="45" t="s">
        <v>1121</v>
      </c>
      <c r="G213" s="46" t="s">
        <v>38</v>
      </c>
      <c r="H213" s="48">
        <v>46076</v>
      </c>
      <c r="I213" s="48">
        <v>46084</v>
      </c>
      <c r="J213" s="44" t="s">
        <v>76</v>
      </c>
      <c r="K213" s="44" t="s">
        <v>108</v>
      </c>
      <c r="L213" s="50" t="s">
        <v>77</v>
      </c>
      <c r="M213" s="50"/>
      <c r="N213" s="50"/>
      <c r="O213" s="49"/>
      <c r="P213" s="50" t="str">
        <f t="shared" si="12"/>
        <v>ONAY</v>
      </c>
      <c r="R213" s="51" t="str">
        <f t="shared" si="13"/>
        <v/>
      </c>
      <c r="T213" s="41"/>
      <c r="U213" s="29">
        <f>IF($C213&lt;&gt;"",COUNTIF($C$2:C213,C213),"")</f>
        <v>2</v>
      </c>
      <c r="V213" s="29" t="str">
        <f t="shared" si="14"/>
        <v>Doç. Dr. İdil Rana USER KILIÇ§2</v>
      </c>
      <c r="W213" s="29" t="str">
        <f>IF(U213=1,COUNTIF($U$2:U213,1),"")</f>
        <v/>
      </c>
      <c r="X213" s="29" t="str">
        <f t="shared" si="15"/>
        <v/>
      </c>
      <c r="Y213" s="29">
        <f>IF(AND(LEFT($B213,7)="SBA 26/",$D213&lt;&gt;"",$F213&lt;&gt;""),COUNTIFS($D$2:$D213,$D213,$B$2:$B213,"SBA 26/*",$F$2:$F213,"&lt;&gt;"),"")</f>
        <v>5</v>
      </c>
      <c r="Z213" s="29" t="str">
        <f>IF(Y213=1,COUNTIF($Y$2:Y213,1),"")</f>
        <v/>
      </c>
      <c r="AA213" s="29">
        <f>IF(AND(LEFT($B213,7)="SBA 26/",$C213&lt;&gt;"",$F213&lt;&gt;""),COUNTIFS($C$2:$C213,$C213,$B$2:$B213,"SBA 26/*",$F$2:$F213,"&lt;&gt;"),"")</f>
        <v>2</v>
      </c>
      <c r="AB213" s="29" t="str">
        <f>IF(AA213=1,COUNTIF($AA$2:AA213,1),"")</f>
        <v/>
      </c>
    </row>
    <row r="214" spans="1:28" ht="78.75" customHeight="1" x14ac:dyDescent="0.2">
      <c r="A214" s="43" t="s">
        <v>1122</v>
      </c>
      <c r="B214" s="43" t="s">
        <v>1123</v>
      </c>
      <c r="C214" s="44" t="s">
        <v>1124</v>
      </c>
      <c r="D214" s="44" t="s">
        <v>297</v>
      </c>
      <c r="E214" s="45" t="s">
        <v>1125</v>
      </c>
      <c r="F214" s="45" t="s">
        <v>1126</v>
      </c>
      <c r="G214" s="46" t="s">
        <v>38</v>
      </c>
      <c r="H214" s="48">
        <v>46076</v>
      </c>
      <c r="I214" s="48">
        <v>46084</v>
      </c>
      <c r="J214" s="44" t="s">
        <v>123</v>
      </c>
      <c r="K214" s="44" t="s">
        <v>84</v>
      </c>
      <c r="L214" s="50" t="s">
        <v>101</v>
      </c>
      <c r="M214" s="50"/>
      <c r="N214" s="50"/>
      <c r="O214" s="49"/>
      <c r="P214" s="50" t="str">
        <f t="shared" si="12"/>
        <v>DÜZELTME</v>
      </c>
      <c r="R214" s="51" t="str">
        <f t="shared" si="13"/>
        <v/>
      </c>
      <c r="T214" s="41"/>
      <c r="U214" s="29">
        <f>IF($C214&lt;&gt;"",COUNTIF($C$2:C214,C214),"")</f>
        <v>1</v>
      </c>
      <c r="V214" s="29" t="str">
        <f t="shared" si="14"/>
        <v>Doç. Dr. Bengisu AKARSU GÜVEN§1</v>
      </c>
      <c r="W214" s="29">
        <f>IF(U214=1,COUNTIF($U$2:U214,1),"")</f>
        <v>148</v>
      </c>
      <c r="X214" s="29">
        <f t="shared" si="15"/>
        <v>25</v>
      </c>
      <c r="Y214" s="29">
        <f>IF(AND(LEFT($B214,7)="SBA 26/",$D214&lt;&gt;"",$F214&lt;&gt;""),COUNTIFS($D$2:$D214,$D214,$B$2:$B214,"SBA 26/*",$F$2:$F214,"&lt;&gt;"),"")</f>
        <v>5</v>
      </c>
      <c r="Z214" s="29" t="str">
        <f>IF(Y214=1,COUNTIF($Y$2:Y214,1),"")</f>
        <v/>
      </c>
      <c r="AA214" s="29">
        <f>IF(AND(LEFT($B214,7)="SBA 26/",$C214&lt;&gt;"",$F214&lt;&gt;""),COUNTIFS($C$2:$C214,$C214,$B$2:$B214,"SBA 26/*",$F$2:$F214,"&lt;&gt;"),"")</f>
        <v>1</v>
      </c>
      <c r="AB214" s="29">
        <f>IF(AA214=1,COUNTIF($AA$2:AA214,1),"")</f>
        <v>148</v>
      </c>
    </row>
    <row r="215" spans="1:28" ht="96.75" customHeight="1" x14ac:dyDescent="0.2">
      <c r="A215" s="43" t="s">
        <v>1127</v>
      </c>
      <c r="B215" s="43" t="s">
        <v>1128</v>
      </c>
      <c r="C215" s="44" t="s">
        <v>1129</v>
      </c>
      <c r="D215" s="44" t="s">
        <v>222</v>
      </c>
      <c r="E215" s="45" t="s">
        <v>1130</v>
      </c>
      <c r="F215" s="45" t="s">
        <v>1131</v>
      </c>
      <c r="G215" s="46" t="s">
        <v>38</v>
      </c>
      <c r="H215" s="48">
        <v>46076</v>
      </c>
      <c r="I215" s="48">
        <v>46084</v>
      </c>
      <c r="J215" s="44" t="s">
        <v>123</v>
      </c>
      <c r="K215" s="44" t="s">
        <v>109</v>
      </c>
      <c r="L215" s="50" t="s">
        <v>101</v>
      </c>
      <c r="M215" s="50" t="s">
        <v>77</v>
      </c>
      <c r="N215" s="50"/>
      <c r="O215" s="49"/>
      <c r="P215" s="50" t="str">
        <f t="shared" si="12"/>
        <v>ONAY</v>
      </c>
      <c r="Q215" s="28" t="s">
        <v>123</v>
      </c>
      <c r="R215" s="51" t="str">
        <f t="shared" si="13"/>
        <v/>
      </c>
      <c r="T215" s="41"/>
      <c r="U215" s="29">
        <f>IF($C215&lt;&gt;"",COUNTIF($C$2:C215,C215),"")</f>
        <v>1</v>
      </c>
      <c r="V215" s="29" t="str">
        <f t="shared" si="14"/>
        <v>Prof. Dr. Ali DURSUN§1</v>
      </c>
      <c r="W215" s="29">
        <f>IF(U215=1,COUNTIF($U$2:U215,1),"")</f>
        <v>149</v>
      </c>
      <c r="X215" s="29">
        <f t="shared" si="15"/>
        <v>182</v>
      </c>
      <c r="Y215" s="29">
        <f>IF(AND(LEFT($B215,7)="SBA 26/",$D215&lt;&gt;"",$F215&lt;&gt;""),COUNTIFS($D$2:$D215,$D215,$B$2:$B215,"SBA 26/*",$F$2:$F215,"&lt;&gt;"),"")</f>
        <v>26</v>
      </c>
      <c r="Z215" s="29" t="str">
        <f>IF(Y215=1,COUNTIF($Y$2:Y215,1),"")</f>
        <v/>
      </c>
      <c r="AA215" s="29">
        <f>IF(AND(LEFT($B215,7)="SBA 26/",$C215&lt;&gt;"",$F215&lt;&gt;""),COUNTIFS($C$2:$C215,$C215,$B$2:$B215,"SBA 26/*",$F$2:$F215,"&lt;&gt;"),"")</f>
        <v>1</v>
      </c>
      <c r="AB215" s="29">
        <f>IF(AA215=1,COUNTIF($AA$2:AA215,1),"")</f>
        <v>149</v>
      </c>
    </row>
    <row r="216" spans="1:28" ht="63" customHeight="1" x14ac:dyDescent="0.2">
      <c r="A216" s="43" t="s">
        <v>1132</v>
      </c>
      <c r="B216" s="43" t="s">
        <v>1133</v>
      </c>
      <c r="C216" s="44" t="s">
        <v>384</v>
      </c>
      <c r="D216" s="44" t="s">
        <v>385</v>
      </c>
      <c r="E216" s="45" t="s">
        <v>1134</v>
      </c>
      <c r="F216" s="45" t="s">
        <v>1135</v>
      </c>
      <c r="G216" s="46" t="s">
        <v>38</v>
      </c>
      <c r="H216" s="48">
        <v>46077</v>
      </c>
      <c r="I216" s="48">
        <v>46084</v>
      </c>
      <c r="J216" s="44" t="s">
        <v>99</v>
      </c>
      <c r="K216" s="44" t="s">
        <v>109</v>
      </c>
      <c r="L216" s="50" t="s">
        <v>77</v>
      </c>
      <c r="M216" s="50"/>
      <c r="N216" s="50"/>
      <c r="O216" s="49"/>
      <c r="P216" s="50" t="str">
        <f t="shared" si="12"/>
        <v>ONAY</v>
      </c>
      <c r="R216" s="51" t="str">
        <f t="shared" si="13"/>
        <v/>
      </c>
      <c r="T216" s="41"/>
      <c r="U216" s="29">
        <f>IF($C216&lt;&gt;"",COUNTIF($C$2:C216,C216),"")</f>
        <v>3</v>
      </c>
      <c r="V216" s="29" t="str">
        <f t="shared" si="14"/>
        <v>Prof. Dr. Tutku SOYER§3</v>
      </c>
      <c r="W216" s="29" t="str">
        <f>IF(U216=1,COUNTIF($U$2:U216,1),"")</f>
        <v/>
      </c>
      <c r="X216" s="29" t="str">
        <f t="shared" si="15"/>
        <v/>
      </c>
      <c r="Y216" s="29">
        <f>IF(AND(LEFT($B216,7)="SBA 26/",$D216&lt;&gt;"",$F216&lt;&gt;""),COUNTIFS($D$2:$D216,$D216,$B$2:$B216,"SBA 26/*",$F$2:$F216,"&lt;&gt;"),"")</f>
        <v>6</v>
      </c>
      <c r="Z216" s="29" t="str">
        <f>IF(Y216=1,COUNTIF($Y$2:Y216,1),"")</f>
        <v/>
      </c>
      <c r="AA216" s="29">
        <f>IF(AND(LEFT($B216,7)="SBA 26/",$C216&lt;&gt;"",$F216&lt;&gt;""),COUNTIFS($C$2:$C216,$C216,$B$2:$B216,"SBA 26/*",$F$2:$F216,"&lt;&gt;"),"")</f>
        <v>3</v>
      </c>
      <c r="AB216" s="29" t="str">
        <f>IF(AA216=1,COUNTIF($AA$2:AA216,1),"")</f>
        <v/>
      </c>
    </row>
    <row r="217" spans="1:28" ht="63" customHeight="1" x14ac:dyDescent="0.2">
      <c r="A217" s="43" t="s">
        <v>1136</v>
      </c>
      <c r="B217" s="43" t="s">
        <v>1137</v>
      </c>
      <c r="C217" s="44" t="s">
        <v>369</v>
      </c>
      <c r="D217" s="44" t="s">
        <v>341</v>
      </c>
      <c r="E217" s="45" t="s">
        <v>1138</v>
      </c>
      <c r="F217" s="45" t="s">
        <v>1139</v>
      </c>
      <c r="G217" s="46" t="s">
        <v>38</v>
      </c>
      <c r="H217" s="48">
        <v>46077</v>
      </c>
      <c r="I217" s="48">
        <v>46084</v>
      </c>
      <c r="J217" s="44" t="s">
        <v>91</v>
      </c>
      <c r="K217" s="44" t="s">
        <v>100</v>
      </c>
      <c r="L217" s="50" t="s">
        <v>77</v>
      </c>
      <c r="M217" s="50"/>
      <c r="N217" s="50"/>
      <c r="O217" s="49"/>
      <c r="P217" s="50" t="str">
        <f t="shared" si="12"/>
        <v>ONAY</v>
      </c>
      <c r="R217" s="51" t="str">
        <f t="shared" si="13"/>
        <v/>
      </c>
      <c r="T217" s="41"/>
      <c r="U217" s="29">
        <f>IF($C217&lt;&gt;"",COUNTIF($C$2:C217,C217),"")</f>
        <v>2</v>
      </c>
      <c r="V217" s="29" t="str">
        <f t="shared" si="14"/>
        <v>Doç. Dr. Başak YALICI ARMAĞAN§2</v>
      </c>
      <c r="W217" s="29" t="str">
        <f>IF(U217=1,COUNTIF($U$2:U217,1),"")</f>
        <v/>
      </c>
      <c r="X217" s="29" t="str">
        <f t="shared" si="15"/>
        <v/>
      </c>
      <c r="Y217" s="29">
        <f>IF(AND(LEFT($B217,7)="SBA 26/",$D217&lt;&gt;"",$F217&lt;&gt;""),COUNTIFS($D$2:$D217,$D217,$B$2:$B217,"SBA 26/*",$F$2:$F217,"&lt;&gt;"),"")</f>
        <v>6</v>
      </c>
      <c r="Z217" s="29" t="str">
        <f>IF(Y217=1,COUNTIF($Y$2:Y217,1),"")</f>
        <v/>
      </c>
      <c r="AA217" s="29">
        <f>IF(AND(LEFT($B217,7)="SBA 26/",$C217&lt;&gt;"",$F217&lt;&gt;""),COUNTIFS($C$2:$C217,$C217,$B$2:$B217,"SBA 26/*",$F$2:$F217,"&lt;&gt;"),"")</f>
        <v>2</v>
      </c>
      <c r="AB217" s="29" t="str">
        <f>IF(AA217=1,COUNTIF($AA$2:AA217,1),"")</f>
        <v/>
      </c>
    </row>
    <row r="218" spans="1:28" ht="141.75" customHeight="1" x14ac:dyDescent="0.2">
      <c r="A218" s="43" t="s">
        <v>1140</v>
      </c>
      <c r="B218" s="43" t="s">
        <v>1141</v>
      </c>
      <c r="C218" s="44" t="s">
        <v>1142</v>
      </c>
      <c r="D218" s="44" t="s">
        <v>1143</v>
      </c>
      <c r="E218" s="45" t="s">
        <v>1144</v>
      </c>
      <c r="F218" s="45" t="s">
        <v>1145</v>
      </c>
      <c r="G218" s="46" t="s">
        <v>39</v>
      </c>
      <c r="H218" s="48">
        <v>46077</v>
      </c>
      <c r="I218" s="48">
        <v>46084</v>
      </c>
      <c r="J218" s="44" t="s">
        <v>116</v>
      </c>
      <c r="K218" s="44" t="s">
        <v>92</v>
      </c>
      <c r="L218" s="50" t="s">
        <v>77</v>
      </c>
      <c r="M218" s="50"/>
      <c r="N218" s="50"/>
      <c r="O218" s="49"/>
      <c r="P218" s="50" t="str">
        <f t="shared" si="12"/>
        <v>ONAY</v>
      </c>
      <c r="R218" s="51" t="str">
        <f t="shared" si="13"/>
        <v/>
      </c>
      <c r="T218" s="41"/>
      <c r="U218" s="29">
        <f>IF($C218&lt;&gt;"",COUNTIF($C$2:C218,C218),"")</f>
        <v>1</v>
      </c>
      <c r="V218" s="29" t="str">
        <f t="shared" si="14"/>
        <v>Prof. Dr. Mert ÇALIŞ§1</v>
      </c>
      <c r="W218" s="29">
        <f>IF(U218=1,COUNTIF($U$2:U218,1),"")</f>
        <v>150</v>
      </c>
      <c r="X218" s="29">
        <f t="shared" si="15"/>
        <v>264</v>
      </c>
      <c r="Y218" s="29">
        <f>IF(AND(LEFT($B218,7)="SBA 26/",$D218&lt;&gt;"",$F218&lt;&gt;""),COUNTIFS($D$2:$D218,$D218,$B$2:$B218,"SBA 26/*",$F$2:$F218,"&lt;&gt;"),"")</f>
        <v>1</v>
      </c>
      <c r="Z218" s="29">
        <f>IF(Y218=1,COUNTIF($Y$2:Y218,1),"")</f>
        <v>54</v>
      </c>
      <c r="AA218" s="29">
        <f>IF(AND(LEFT($B218,7)="SBA 26/",$C218&lt;&gt;"",$F218&lt;&gt;""),COUNTIFS($C$2:$C218,$C218,$B$2:$B218,"SBA 26/*",$F$2:$F218,"&lt;&gt;"),"")</f>
        <v>1</v>
      </c>
      <c r="AB218" s="29">
        <f>IF(AA218=1,COUNTIF($AA$2:AA218,1),"")</f>
        <v>150</v>
      </c>
    </row>
    <row r="219" spans="1:28" ht="94.5" customHeight="1" x14ac:dyDescent="0.2">
      <c r="A219" s="43" t="s">
        <v>1146</v>
      </c>
      <c r="B219" s="43" t="s">
        <v>1147</v>
      </c>
      <c r="C219" s="44" t="s">
        <v>643</v>
      </c>
      <c r="D219" s="44" t="s">
        <v>222</v>
      </c>
      <c r="E219" s="45" t="s">
        <v>1148</v>
      </c>
      <c r="F219" s="45" t="s">
        <v>1149</v>
      </c>
      <c r="G219" s="46" t="s">
        <v>38</v>
      </c>
      <c r="H219" s="48">
        <v>46077</v>
      </c>
      <c r="I219" s="48">
        <v>46084</v>
      </c>
      <c r="J219" s="44" t="s">
        <v>109</v>
      </c>
      <c r="K219" s="44" t="s">
        <v>116</v>
      </c>
      <c r="L219" s="50" t="s">
        <v>101</v>
      </c>
      <c r="M219" s="50" t="s">
        <v>77</v>
      </c>
      <c r="N219" s="50"/>
      <c r="O219" s="49"/>
      <c r="P219" s="50" t="str">
        <f t="shared" si="12"/>
        <v>ONAY</v>
      </c>
      <c r="Q219" s="28" t="s">
        <v>109</v>
      </c>
      <c r="R219" s="51" t="str">
        <f t="shared" si="13"/>
        <v/>
      </c>
      <c r="T219" s="41"/>
      <c r="U219" s="29">
        <f>IF($C219&lt;&gt;"",COUNTIF($C$2:C219,C219),"")</f>
        <v>2</v>
      </c>
      <c r="V219" s="29" t="str">
        <f t="shared" si="14"/>
        <v>Arş. Gör. Dr. Sebiha Şükran GÜNDEŞLİ§2</v>
      </c>
      <c r="W219" s="29" t="str">
        <f>IF(U219=1,COUNTIF($U$2:U219,1),"")</f>
        <v/>
      </c>
      <c r="X219" s="29" t="str">
        <f t="shared" si="15"/>
        <v/>
      </c>
      <c r="Y219" s="29">
        <f>IF(AND(LEFT($B219,7)="SBA 26/",$D219&lt;&gt;"",$F219&lt;&gt;""),COUNTIFS($D$2:$D219,$D219,$B$2:$B219,"SBA 26/*",$F$2:$F219,"&lt;&gt;"),"")</f>
        <v>27</v>
      </c>
      <c r="Z219" s="29" t="str">
        <f>IF(Y219=1,COUNTIF($Y$2:Y219,1),"")</f>
        <v/>
      </c>
      <c r="AA219" s="29">
        <f>IF(AND(LEFT($B219,7)="SBA 26/",$C219&lt;&gt;"",$F219&lt;&gt;""),COUNTIFS($C$2:$C219,$C219,$B$2:$B219,"SBA 26/*",$F$2:$F219,"&lt;&gt;"),"")</f>
        <v>2</v>
      </c>
      <c r="AB219" s="29" t="str">
        <f>IF(AA219=1,COUNTIF($AA$2:AA219,1),"")</f>
        <v/>
      </c>
    </row>
    <row r="220" spans="1:28" ht="80.25" customHeight="1" x14ac:dyDescent="0.2">
      <c r="A220" s="43" t="s">
        <v>1150</v>
      </c>
      <c r="B220" s="43" t="s">
        <v>1151</v>
      </c>
      <c r="C220" s="44" t="s">
        <v>1043</v>
      </c>
      <c r="D220" s="44" t="s">
        <v>88</v>
      </c>
      <c r="E220" s="45" t="s">
        <v>1152</v>
      </c>
      <c r="F220" s="45" t="s">
        <v>1153</v>
      </c>
      <c r="G220" s="46" t="s">
        <v>38</v>
      </c>
      <c r="H220" s="48">
        <v>46077</v>
      </c>
      <c r="I220" s="48">
        <v>46084</v>
      </c>
      <c r="J220" s="44" t="s">
        <v>92</v>
      </c>
      <c r="K220" s="44" t="s">
        <v>99</v>
      </c>
      <c r="L220" s="50" t="s">
        <v>77</v>
      </c>
      <c r="M220" s="50"/>
      <c r="N220" s="50"/>
      <c r="O220" s="49"/>
      <c r="P220" s="50" t="str">
        <f t="shared" si="12"/>
        <v>ONAY</v>
      </c>
      <c r="R220" s="51" t="str">
        <f t="shared" si="13"/>
        <v/>
      </c>
      <c r="T220" s="41"/>
      <c r="U220" s="29">
        <f>IF($C220&lt;&gt;"",COUNTIF($C$2:C220,C220),"")</f>
        <v>2</v>
      </c>
      <c r="V220" s="29" t="str">
        <f t="shared" si="14"/>
        <v>Dr. Öğr. Üyesi Aycan UYSAL§2</v>
      </c>
      <c r="W220" s="29" t="str">
        <f>IF(U220=1,COUNTIF($U$2:U220,1),"")</f>
        <v/>
      </c>
      <c r="X220" s="29" t="str">
        <f t="shared" si="15"/>
        <v/>
      </c>
      <c r="Y220" s="29">
        <f>IF(AND(LEFT($B220,7)="SBA 26/",$D220&lt;&gt;"",$F220&lt;&gt;""),COUNTIFS($D$2:$D220,$D220,$B$2:$B220,"SBA 26/*",$F$2:$F220,"&lt;&gt;"),"")</f>
        <v>8</v>
      </c>
      <c r="Z220" s="29" t="str">
        <f>IF(Y220=1,COUNTIF($Y$2:Y220,1),"")</f>
        <v/>
      </c>
      <c r="AA220" s="29">
        <f>IF(AND(LEFT($B220,7)="SBA 26/",$C220&lt;&gt;"",$F220&lt;&gt;""),COUNTIFS($C$2:$C220,$C220,$B$2:$B220,"SBA 26/*",$F$2:$F220,"&lt;&gt;"),"")</f>
        <v>2</v>
      </c>
      <c r="AB220" s="29" t="str">
        <f>IF(AA220=1,COUNTIF($AA$2:AA220,1),"")</f>
        <v/>
      </c>
    </row>
    <row r="221" spans="1:28" ht="63" customHeight="1" x14ac:dyDescent="0.2">
      <c r="A221" s="43" t="s">
        <v>1154</v>
      </c>
      <c r="B221" s="43" t="s">
        <v>1155</v>
      </c>
      <c r="C221" s="44" t="s">
        <v>1156</v>
      </c>
      <c r="D221" s="44" t="s">
        <v>88</v>
      </c>
      <c r="E221" s="45" t="s">
        <v>1157</v>
      </c>
      <c r="F221" s="45" t="s">
        <v>1158</v>
      </c>
      <c r="G221" s="46" t="s">
        <v>38</v>
      </c>
      <c r="H221" s="48">
        <v>46077</v>
      </c>
      <c r="I221" s="48">
        <v>46084</v>
      </c>
      <c r="J221" s="44" t="s">
        <v>100</v>
      </c>
      <c r="K221" s="44" t="s">
        <v>99</v>
      </c>
      <c r="L221" s="50" t="s">
        <v>77</v>
      </c>
      <c r="M221" s="50"/>
      <c r="N221" s="50"/>
      <c r="O221" s="49"/>
      <c r="P221" s="50" t="str">
        <f t="shared" si="12"/>
        <v>ONAY</v>
      </c>
      <c r="R221" s="51" t="str">
        <f t="shared" si="13"/>
        <v/>
      </c>
      <c r="T221" s="41"/>
      <c r="U221" s="29">
        <f>IF($C221&lt;&gt;"",COUNTIF($C$2:C221,C221),"")</f>
        <v>1</v>
      </c>
      <c r="V221" s="29" t="str">
        <f t="shared" si="14"/>
        <v>Dr. Öğr. Üyesi Gözde ÖZER§1</v>
      </c>
      <c r="W221" s="29">
        <f>IF(U221=1,COUNTIF($U$2:U221,1),"")</f>
        <v>151</v>
      </c>
      <c r="X221" s="29">
        <f t="shared" si="15"/>
        <v>137</v>
      </c>
      <c r="Y221" s="29">
        <f>IF(AND(LEFT($B221,7)="SBA 26/",$D221&lt;&gt;"",$F221&lt;&gt;""),COUNTIFS($D$2:$D221,$D221,$B$2:$B221,"SBA 26/*",$F$2:$F221,"&lt;&gt;"),"")</f>
        <v>9</v>
      </c>
      <c r="Z221" s="29" t="str">
        <f>IF(Y221=1,COUNTIF($Y$2:Y221,1),"")</f>
        <v/>
      </c>
      <c r="AA221" s="29">
        <f>IF(AND(LEFT($B221,7)="SBA 26/",$C221&lt;&gt;"",$F221&lt;&gt;""),COUNTIFS($C$2:$C221,$C221,$B$2:$B221,"SBA 26/*",$F$2:$F221,"&lt;&gt;"),"")</f>
        <v>1</v>
      </c>
      <c r="AB221" s="29">
        <f>IF(AA221=1,COUNTIF($AA$2:AA221,1),"")</f>
        <v>151</v>
      </c>
    </row>
    <row r="222" spans="1:28" ht="94.5" customHeight="1" x14ac:dyDescent="0.2">
      <c r="A222" s="43" t="s">
        <v>1159</v>
      </c>
      <c r="B222" s="43" t="s">
        <v>1160</v>
      </c>
      <c r="C222" s="44" t="s">
        <v>1161</v>
      </c>
      <c r="D222" s="44" t="s">
        <v>1162</v>
      </c>
      <c r="E222" s="45" t="s">
        <v>1163</v>
      </c>
      <c r="F222" s="45" t="s">
        <v>1164</v>
      </c>
      <c r="G222" s="46" t="s">
        <v>38</v>
      </c>
      <c r="H222" s="48">
        <v>46077</v>
      </c>
      <c r="I222" s="48">
        <v>46084</v>
      </c>
      <c r="J222" s="44" t="s">
        <v>75</v>
      </c>
      <c r="K222" s="44" t="s">
        <v>123</v>
      </c>
      <c r="L222" s="50" t="s">
        <v>77</v>
      </c>
      <c r="M222" s="50"/>
      <c r="N222" s="50"/>
      <c r="O222" s="49"/>
      <c r="P222" s="50" t="str">
        <f t="shared" si="12"/>
        <v>ONAY</v>
      </c>
      <c r="R222" s="51" t="str">
        <f t="shared" si="13"/>
        <v/>
      </c>
      <c r="T222" s="41"/>
      <c r="U222" s="29">
        <f>IF($C222&lt;&gt;"",COUNTIF($C$2:C222,C222),"")</f>
        <v>1</v>
      </c>
      <c r="V222" s="29" t="str">
        <f t="shared" si="14"/>
        <v>Prof. Dr. Betül ÇELEBİ SALTIK§1</v>
      </c>
      <c r="W222" s="29">
        <f>IF(U222=1,COUNTIF($U$2:U222,1),"")</f>
        <v>152</v>
      </c>
      <c r="X222" s="29">
        <f t="shared" si="15"/>
        <v>198</v>
      </c>
      <c r="Y222" s="29">
        <f>IF(AND(LEFT($B222,7)="SBA 26/",$D222&lt;&gt;"",$F222&lt;&gt;""),COUNTIFS($D$2:$D222,$D222,$B$2:$B222,"SBA 26/*",$F$2:$F222,"&lt;&gt;"),"")</f>
        <v>1</v>
      </c>
      <c r="Z222" s="29">
        <f>IF(Y222=1,COUNTIF($Y$2:Y222,1),"")</f>
        <v>55</v>
      </c>
      <c r="AA222" s="29">
        <f>IF(AND(LEFT($B222,7)="SBA 26/",$C222&lt;&gt;"",$F222&lt;&gt;""),COUNTIFS($C$2:$C222,$C222,$B$2:$B222,"SBA 26/*",$F$2:$F222,"&lt;&gt;"),"")</f>
        <v>1</v>
      </c>
      <c r="AB222" s="29">
        <f>IF(AA222=1,COUNTIF($AA$2:AA222,1),"")</f>
        <v>152</v>
      </c>
    </row>
    <row r="223" spans="1:28" ht="94.5" customHeight="1" x14ac:dyDescent="0.2">
      <c r="A223" s="43" t="s">
        <v>1165</v>
      </c>
      <c r="B223" s="43" t="s">
        <v>1166</v>
      </c>
      <c r="C223" s="44" t="s">
        <v>1167</v>
      </c>
      <c r="D223" s="44" t="s">
        <v>1168</v>
      </c>
      <c r="E223" s="45" t="s">
        <v>1169</v>
      </c>
      <c r="F223" s="45" t="s">
        <v>1170</v>
      </c>
      <c r="G223" s="46" t="s">
        <v>39</v>
      </c>
      <c r="H223" s="48">
        <v>46077</v>
      </c>
      <c r="I223" s="48">
        <v>46084</v>
      </c>
      <c r="J223" s="44" t="s">
        <v>76</v>
      </c>
      <c r="K223" s="44" t="s">
        <v>84</v>
      </c>
      <c r="L223" s="50" t="s">
        <v>77</v>
      </c>
      <c r="M223" s="50"/>
      <c r="N223" s="50"/>
      <c r="O223" s="49"/>
      <c r="P223" s="50" t="str">
        <f t="shared" si="12"/>
        <v>ONAY</v>
      </c>
      <c r="R223" s="51" t="str">
        <f t="shared" si="13"/>
        <v/>
      </c>
      <c r="T223" s="41"/>
      <c r="U223" s="29">
        <f>IF($C223&lt;&gt;"",COUNTIF($C$2:C223,C223),"")</f>
        <v>1</v>
      </c>
      <c r="V223" s="29" t="str">
        <f t="shared" si="14"/>
        <v>Prof. Dr. Şehnaz ALP§1</v>
      </c>
      <c r="W223" s="29">
        <f>IF(U223=1,COUNTIF($U$2:U223,1),"")</f>
        <v>153</v>
      </c>
      <c r="X223" s="29">
        <f t="shared" si="15"/>
        <v>315</v>
      </c>
      <c r="Y223" s="29">
        <f>IF(AND(LEFT($B223,7)="SBA 26/",$D223&lt;&gt;"",$F223&lt;&gt;""),COUNTIFS($D$2:$D223,$D223,$B$2:$B223,"SBA 26/*",$F$2:$F223,"&lt;&gt;"),"")</f>
        <v>1</v>
      </c>
      <c r="Z223" s="29">
        <f>IF(Y223=1,COUNTIF($Y$2:Y223,1),"")</f>
        <v>56</v>
      </c>
      <c r="AA223" s="29">
        <f>IF(AND(LEFT($B223,7)="SBA 26/",$C223&lt;&gt;"",$F223&lt;&gt;""),COUNTIFS($C$2:$C223,$C223,$B$2:$B223,"SBA 26/*",$F$2:$F223,"&lt;&gt;"),"")</f>
        <v>1</v>
      </c>
      <c r="AB223" s="29">
        <f>IF(AA223=1,COUNTIF($AA$2:AA223,1),"")</f>
        <v>153</v>
      </c>
    </row>
    <row r="224" spans="1:28" ht="94.5" customHeight="1" x14ac:dyDescent="0.2">
      <c r="A224" s="43" t="s">
        <v>1171</v>
      </c>
      <c r="B224" s="43" t="s">
        <v>1172</v>
      </c>
      <c r="C224" s="44" t="s">
        <v>1028</v>
      </c>
      <c r="D224" s="44" t="s">
        <v>222</v>
      </c>
      <c r="E224" s="45" t="s">
        <v>1173</v>
      </c>
      <c r="F224" s="45" t="s">
        <v>1174</v>
      </c>
      <c r="G224" s="46" t="s">
        <v>38</v>
      </c>
      <c r="H224" s="48">
        <v>46078</v>
      </c>
      <c r="I224" s="48">
        <v>46084</v>
      </c>
      <c r="J224" s="44" t="s">
        <v>76</v>
      </c>
      <c r="K224" s="44" t="s">
        <v>116</v>
      </c>
      <c r="L224" s="50" t="s">
        <v>101</v>
      </c>
      <c r="M224" s="50" t="s">
        <v>77</v>
      </c>
      <c r="N224" s="50"/>
      <c r="O224" s="49"/>
      <c r="P224" s="50" t="str">
        <f t="shared" si="12"/>
        <v>ONAY</v>
      </c>
      <c r="Q224" s="28" t="s">
        <v>116</v>
      </c>
      <c r="R224" s="51" t="str">
        <f t="shared" si="13"/>
        <v/>
      </c>
      <c r="T224" s="41"/>
      <c r="U224" s="29">
        <f>IF($C224&lt;&gt;"",COUNTIF($C$2:C224,C224),"")</f>
        <v>2</v>
      </c>
      <c r="V224" s="29" t="str">
        <f t="shared" si="14"/>
        <v>Arş. Gör. Dr. Şükran BAYRAK§2</v>
      </c>
      <c r="W224" s="29" t="str">
        <f>IF(U224=1,COUNTIF($U$2:U224,1),"")</f>
        <v/>
      </c>
      <c r="X224" s="29" t="str">
        <f t="shared" si="15"/>
        <v/>
      </c>
      <c r="Y224" s="29">
        <f>IF(AND(LEFT($B224,7)="SBA 26/",$D224&lt;&gt;"",$F224&lt;&gt;""),COUNTIFS($D$2:$D224,$D224,$B$2:$B224,"SBA 26/*",$F$2:$F224,"&lt;&gt;"),"")</f>
        <v>28</v>
      </c>
      <c r="Z224" s="29" t="str">
        <f>IF(Y224=1,COUNTIF($Y$2:Y224,1),"")</f>
        <v/>
      </c>
      <c r="AA224" s="29">
        <f>IF(AND(LEFT($B224,7)="SBA 26/",$C224&lt;&gt;"",$F224&lt;&gt;""),COUNTIFS($C$2:$C224,$C224,$B$2:$B224,"SBA 26/*",$F$2:$F224,"&lt;&gt;"),"")</f>
        <v>2</v>
      </c>
      <c r="AB224" s="29" t="str">
        <f>IF(AA224=1,COUNTIF($AA$2:AA224,1),"")</f>
        <v/>
      </c>
    </row>
    <row r="225" spans="1:28" ht="78.75" customHeight="1" x14ac:dyDescent="0.2">
      <c r="A225" s="43" t="s">
        <v>1175</v>
      </c>
      <c r="B225" s="43" t="s">
        <v>1176</v>
      </c>
      <c r="C225" s="44" t="s">
        <v>1177</v>
      </c>
      <c r="D225" s="44" t="s">
        <v>222</v>
      </c>
      <c r="E225" s="45" t="s">
        <v>1178</v>
      </c>
      <c r="F225" s="45" t="s">
        <v>1179</v>
      </c>
      <c r="G225" s="46" t="s">
        <v>39</v>
      </c>
      <c r="H225" s="48">
        <v>46079</v>
      </c>
      <c r="I225" s="48">
        <v>46084</v>
      </c>
      <c r="J225" s="44" t="s">
        <v>75</v>
      </c>
      <c r="K225" s="44" t="s">
        <v>84</v>
      </c>
      <c r="L225" s="50" t="s">
        <v>77</v>
      </c>
      <c r="M225" s="50"/>
      <c r="N225" s="50"/>
      <c r="O225" s="49"/>
      <c r="P225" s="50" t="str">
        <f t="shared" si="12"/>
        <v>ONAY</v>
      </c>
      <c r="R225" s="51" t="str">
        <f t="shared" si="13"/>
        <v/>
      </c>
      <c r="T225" s="41"/>
      <c r="U225" s="29">
        <f>IF($C225&lt;&gt;"",COUNTIF($C$2:C225,C225),"")</f>
        <v>1</v>
      </c>
      <c r="V225" s="29" t="str">
        <f t="shared" si="14"/>
        <v>Prof. Dr. Bora GÜLHAN§1</v>
      </c>
      <c r="W225" s="29">
        <f>IF(U225=1,COUNTIF($U$2:U225,1),"")</f>
        <v>154</v>
      </c>
      <c r="X225" s="29">
        <f t="shared" si="15"/>
        <v>200</v>
      </c>
      <c r="Y225" s="29">
        <f>IF(AND(LEFT($B225,7)="SBA 26/",$D225&lt;&gt;"",$F225&lt;&gt;""),COUNTIFS($D$2:$D225,$D225,$B$2:$B225,"SBA 26/*",$F$2:$F225,"&lt;&gt;"),"")</f>
        <v>29</v>
      </c>
      <c r="Z225" s="29" t="str">
        <f>IF(Y225=1,COUNTIF($Y$2:Y225,1),"")</f>
        <v/>
      </c>
      <c r="AA225" s="29">
        <f>IF(AND(LEFT($B225,7)="SBA 26/",$C225&lt;&gt;"",$F225&lt;&gt;""),COUNTIFS($C$2:$C225,$C225,$B$2:$B225,"SBA 26/*",$F$2:$F225,"&lt;&gt;"),"")</f>
        <v>1</v>
      </c>
      <c r="AB225" s="29">
        <f>IF(AA225=1,COUNTIF($AA$2:AA225,1),"")</f>
        <v>154</v>
      </c>
    </row>
    <row r="226" spans="1:28" ht="63" customHeight="1" x14ac:dyDescent="0.2">
      <c r="A226" s="43" t="s">
        <v>1180</v>
      </c>
      <c r="B226" s="43" t="s">
        <v>1181</v>
      </c>
      <c r="C226" s="44" t="s">
        <v>112</v>
      </c>
      <c r="D226" s="44" t="s">
        <v>113</v>
      </c>
      <c r="E226" s="45" t="s">
        <v>1182</v>
      </c>
      <c r="F226" s="45" t="s">
        <v>1183</v>
      </c>
      <c r="G226" s="46" t="s">
        <v>38</v>
      </c>
      <c r="H226" s="48">
        <v>46079</v>
      </c>
      <c r="I226" s="48">
        <v>46084</v>
      </c>
      <c r="J226" s="44" t="s">
        <v>108</v>
      </c>
      <c r="K226" s="44" t="s">
        <v>99</v>
      </c>
      <c r="L226" s="50" t="s">
        <v>206</v>
      </c>
      <c r="M226" s="50" t="s">
        <v>101</v>
      </c>
      <c r="N226" s="50"/>
      <c r="O226" s="49"/>
      <c r="P226" s="50" t="str">
        <f t="shared" si="12"/>
        <v>DÜZELTME</v>
      </c>
      <c r="R226" s="51" t="str">
        <f t="shared" si="13"/>
        <v/>
      </c>
      <c r="T226" s="41"/>
      <c r="U226" s="29">
        <f>IF($C226&lt;&gt;"",COUNTIF($C$2:C226,C226),"")</f>
        <v>8</v>
      </c>
      <c r="V226" s="29" t="str">
        <f t="shared" si="14"/>
        <v>Prof. Dr. Meltem Gülhan HALİL§8</v>
      </c>
      <c r="W226" s="29" t="str">
        <f>IF(U226=1,COUNTIF($U$2:U226,1),"")</f>
        <v/>
      </c>
      <c r="X226" s="29" t="str">
        <f t="shared" si="15"/>
        <v/>
      </c>
      <c r="Y226" s="29">
        <f>IF(AND(LEFT($B226,7)="SBA 26/",$D226&lt;&gt;"",$F226&lt;&gt;""),COUNTIFS($D$2:$D226,$D226,$B$2:$B226,"SBA 26/*",$F$2:$F226,"&lt;&gt;"),"")</f>
        <v>32</v>
      </c>
      <c r="Z226" s="29" t="str">
        <f>IF(Y226=1,COUNTIF($Y$2:Y226,1),"")</f>
        <v/>
      </c>
      <c r="AA226" s="29">
        <f>IF(AND(LEFT($B226,7)="SBA 26/",$C226&lt;&gt;"",$F226&lt;&gt;""),COUNTIFS($C$2:$C226,$C226,$B$2:$B226,"SBA 26/*",$F$2:$F226,"&lt;&gt;"),"")</f>
        <v>8</v>
      </c>
      <c r="AB226" s="29" t="str">
        <f>IF(AA226=1,COUNTIF($AA$2:AA226,1),"")</f>
        <v/>
      </c>
    </row>
    <row r="227" spans="1:28" ht="94.5" customHeight="1" x14ac:dyDescent="0.2">
      <c r="A227" s="43" t="s">
        <v>1184</v>
      </c>
      <c r="B227" s="43" t="s">
        <v>1185</v>
      </c>
      <c r="C227" s="44" t="s">
        <v>1186</v>
      </c>
      <c r="D227" s="44" t="s">
        <v>88</v>
      </c>
      <c r="E227" s="45" t="s">
        <v>1187</v>
      </c>
      <c r="F227" s="45" t="s">
        <v>1188</v>
      </c>
      <c r="G227" s="46" t="s">
        <v>39</v>
      </c>
      <c r="H227" s="48">
        <v>46087</v>
      </c>
      <c r="I227" s="48">
        <v>46098</v>
      </c>
      <c r="J227" s="44" t="s">
        <v>92</v>
      </c>
      <c r="K227" s="44" t="s">
        <v>99</v>
      </c>
      <c r="L227" s="50" t="s">
        <v>77</v>
      </c>
      <c r="M227" s="50"/>
      <c r="N227" s="50"/>
      <c r="O227" s="49"/>
      <c r="P227" s="50" t="str">
        <f t="shared" si="12"/>
        <v>ONAY</v>
      </c>
      <c r="R227" s="51" t="str">
        <f t="shared" si="13"/>
        <v/>
      </c>
      <c r="T227" s="41"/>
      <c r="U227" s="29">
        <f>IF($C227&lt;&gt;"",COUNTIF($C$2:C227,C227),"")</f>
        <v>1</v>
      </c>
      <c r="V227" s="29" t="str">
        <f t="shared" si="14"/>
        <v>Doç. Dr. Sevtap ARSLAN SARIKAYA§1</v>
      </c>
      <c r="W227" s="29">
        <f>IF(U227=1,COUNTIF($U$2:U227,1),"")</f>
        <v>155</v>
      </c>
      <c r="X227" s="29">
        <f t="shared" si="15"/>
        <v>95</v>
      </c>
      <c r="Y227" s="29">
        <f>IF(AND(LEFT($B227,7)="SBA 26/",$D227&lt;&gt;"",$F227&lt;&gt;""),COUNTIFS($D$2:$D227,$D227,$B$2:$B227,"SBA 26/*",$F$2:$F227,"&lt;&gt;"),"")</f>
        <v>10</v>
      </c>
      <c r="Z227" s="29" t="str">
        <f>IF(Y227=1,COUNTIF($Y$2:Y227,1),"")</f>
        <v/>
      </c>
      <c r="AA227" s="29">
        <f>IF(AND(LEFT($B227,7)="SBA 26/",$C227&lt;&gt;"",$F227&lt;&gt;""),COUNTIFS($C$2:$C227,$C227,$B$2:$B227,"SBA 26/*",$F$2:$F227,"&lt;&gt;"),"")</f>
        <v>1</v>
      </c>
      <c r="AB227" s="29">
        <f>IF(AA227=1,COUNTIF($AA$2:AA227,1),"")</f>
        <v>155</v>
      </c>
    </row>
    <row r="228" spans="1:28" ht="110.25" customHeight="1" x14ac:dyDescent="0.2">
      <c r="A228" s="43" t="s">
        <v>1189</v>
      </c>
      <c r="B228" s="43" t="s">
        <v>1190</v>
      </c>
      <c r="C228" s="44" t="s">
        <v>1191</v>
      </c>
      <c r="D228" s="44" t="s">
        <v>1192</v>
      </c>
      <c r="E228" s="45" t="s">
        <v>1193</v>
      </c>
      <c r="F228" s="45" t="s">
        <v>1194</v>
      </c>
      <c r="G228" s="46" t="s">
        <v>38</v>
      </c>
      <c r="H228" s="48">
        <v>46087</v>
      </c>
      <c r="I228" s="48">
        <v>46098</v>
      </c>
      <c r="J228" s="44" t="s">
        <v>108</v>
      </c>
      <c r="K228" s="44" t="s">
        <v>76</v>
      </c>
      <c r="L228" s="50" t="s">
        <v>101</v>
      </c>
      <c r="M228" s="50"/>
      <c r="N228" s="50"/>
      <c r="O228" s="49"/>
      <c r="P228" s="50" t="str">
        <f t="shared" si="12"/>
        <v>DÜZELTME</v>
      </c>
      <c r="R228" s="51" t="str">
        <f t="shared" si="13"/>
        <v/>
      </c>
      <c r="T228" s="41"/>
      <c r="U228" s="29">
        <f>IF($C228&lt;&gt;"",COUNTIF($C$2:C228,C228),"")</f>
        <v>1</v>
      </c>
      <c r="V228" s="29" t="str">
        <f t="shared" si="14"/>
        <v>Doç. Dr. Zeynep TÜZÜN GÜN§1</v>
      </c>
      <c r="W228" s="29">
        <f>IF(U228=1,COUNTIF($U$2:U228,1),"")</f>
        <v>156</v>
      </c>
      <c r="X228" s="29">
        <f t="shared" si="15"/>
        <v>105</v>
      </c>
      <c r="Y228" s="29">
        <f>IF(AND(LEFT($B228,7)="SBA 26/",$D228&lt;&gt;"",$F228&lt;&gt;""),COUNTIFS($D$2:$D228,$D228,$B$2:$B228,"SBA 26/*",$F$2:$F228,"&lt;&gt;"),"")</f>
        <v>1</v>
      </c>
      <c r="Z228" s="29">
        <f>IF(Y228=1,COUNTIF($Y$2:Y228,1),"")</f>
        <v>57</v>
      </c>
      <c r="AA228" s="29">
        <f>IF(AND(LEFT($B228,7)="SBA 26/",$C228&lt;&gt;"",$F228&lt;&gt;""),COUNTIFS($C$2:$C228,$C228,$B$2:$B228,"SBA 26/*",$F$2:$F228,"&lt;&gt;"),"")</f>
        <v>1</v>
      </c>
      <c r="AB228" s="29">
        <f>IF(AA228=1,COUNTIF($AA$2:AA228,1),"")</f>
        <v>156</v>
      </c>
    </row>
    <row r="229" spans="1:28" ht="78.75" customHeight="1" x14ac:dyDescent="0.2">
      <c r="A229" s="43" t="s">
        <v>1195</v>
      </c>
      <c r="B229" s="43" t="s">
        <v>1196</v>
      </c>
      <c r="C229" s="44" t="s">
        <v>1197</v>
      </c>
      <c r="D229" s="44" t="s">
        <v>364</v>
      </c>
      <c r="E229" s="45" t="s">
        <v>1198</v>
      </c>
      <c r="F229" s="45" t="s">
        <v>1199</v>
      </c>
      <c r="G229" s="46" t="s">
        <v>39</v>
      </c>
      <c r="H229" s="48">
        <v>46087</v>
      </c>
      <c r="I229" s="48">
        <v>46098</v>
      </c>
      <c r="J229" s="44" t="s">
        <v>100</v>
      </c>
      <c r="K229" s="44" t="s">
        <v>84</v>
      </c>
      <c r="L229" s="50" t="s">
        <v>77</v>
      </c>
      <c r="M229" s="50"/>
      <c r="N229" s="50"/>
      <c r="O229" s="49"/>
      <c r="P229" s="50" t="str">
        <f t="shared" si="12"/>
        <v>ONAY</v>
      </c>
      <c r="R229" s="51" t="str">
        <f t="shared" si="13"/>
        <v/>
      </c>
      <c r="T229" s="41"/>
      <c r="U229" s="29">
        <f>IF($C229&lt;&gt;"",COUNTIF($C$2:C229,C229),"")</f>
        <v>1</v>
      </c>
      <c r="V229" s="29" t="str">
        <f t="shared" si="14"/>
        <v>Prof. Dr. Fadime İrsel TEZER FİLİK§1</v>
      </c>
      <c r="W229" s="29">
        <f>IF(U229=1,COUNTIF($U$2:U229,1),"")</f>
        <v>157</v>
      </c>
      <c r="X229" s="29">
        <f t="shared" si="15"/>
        <v>222</v>
      </c>
      <c r="Y229" s="29">
        <f>IF(AND(LEFT($B229,7)="SBA 26/",$D229&lt;&gt;"",$F229&lt;&gt;""),COUNTIFS($D$2:$D229,$D229,$B$2:$B229,"SBA 26/*",$F$2:$F229,"&lt;&gt;"),"")</f>
        <v>7</v>
      </c>
      <c r="Z229" s="29" t="str">
        <f>IF(Y229=1,COUNTIF($Y$2:Y229,1),"")</f>
        <v/>
      </c>
      <c r="AA229" s="29">
        <f>IF(AND(LEFT($B229,7)="SBA 26/",$C229&lt;&gt;"",$F229&lt;&gt;""),COUNTIFS($C$2:$C229,$C229,$B$2:$B229,"SBA 26/*",$F$2:$F229,"&lt;&gt;"),"")</f>
        <v>1</v>
      </c>
      <c r="AB229" s="29">
        <f>IF(AA229=1,COUNTIF($AA$2:AA229,1),"")</f>
        <v>157</v>
      </c>
    </row>
    <row r="230" spans="1:28" ht="78.75" customHeight="1" x14ac:dyDescent="0.2">
      <c r="A230" s="43" t="s">
        <v>1200</v>
      </c>
      <c r="B230" s="43" t="s">
        <v>1201</v>
      </c>
      <c r="C230" s="44" t="s">
        <v>1202</v>
      </c>
      <c r="D230" s="44" t="s">
        <v>133</v>
      </c>
      <c r="E230" s="45" t="s">
        <v>1203</v>
      </c>
      <c r="F230" s="45" t="s">
        <v>1204</v>
      </c>
      <c r="G230" s="46" t="s">
        <v>38</v>
      </c>
      <c r="H230" s="48">
        <v>46087</v>
      </c>
      <c r="I230" s="48">
        <v>46098</v>
      </c>
      <c r="J230" s="44" t="s">
        <v>100</v>
      </c>
      <c r="K230" s="44" t="s">
        <v>91</v>
      </c>
      <c r="L230" s="50" t="s">
        <v>101</v>
      </c>
      <c r="M230" s="50" t="s">
        <v>77</v>
      </c>
      <c r="N230" s="50"/>
      <c r="O230" s="49"/>
      <c r="P230" s="50" t="str">
        <f t="shared" si="12"/>
        <v>ONAY</v>
      </c>
      <c r="Q230" s="28" t="s">
        <v>91</v>
      </c>
      <c r="R230" s="51" t="str">
        <f t="shared" si="13"/>
        <v/>
      </c>
      <c r="T230" s="41"/>
      <c r="U230" s="29">
        <f>IF($C230&lt;&gt;"",COUNTIF($C$2:C230,C230),"")</f>
        <v>1</v>
      </c>
      <c r="V230" s="29" t="str">
        <f t="shared" si="14"/>
        <v>Doç. Dr. Kevser NALBANT§1</v>
      </c>
      <c r="W230" s="29">
        <f>IF(U230=1,COUNTIF($U$2:U230,1),"")</f>
        <v>158</v>
      </c>
      <c r="X230" s="29">
        <f t="shared" si="15"/>
        <v>71</v>
      </c>
      <c r="Y230" s="29">
        <f>IF(AND(LEFT($B230,7)="SBA 26/",$D230&lt;&gt;"",$F230&lt;&gt;""),COUNTIFS($D$2:$D230,$D230,$B$2:$B230,"SBA 26/*",$F$2:$F230,"&lt;&gt;"),"")</f>
        <v>5</v>
      </c>
      <c r="Z230" s="29" t="str">
        <f>IF(Y230=1,COUNTIF($Y$2:Y230,1),"")</f>
        <v/>
      </c>
      <c r="AA230" s="29">
        <f>IF(AND(LEFT($B230,7)="SBA 26/",$C230&lt;&gt;"",$F230&lt;&gt;""),COUNTIFS($C$2:$C230,$C230,$B$2:$B230,"SBA 26/*",$F$2:$F230,"&lt;&gt;"),"")</f>
        <v>1</v>
      </c>
      <c r="AB230" s="29">
        <f>IF(AA230=1,COUNTIF($AA$2:AA230,1),"")</f>
        <v>158</v>
      </c>
    </row>
    <row r="231" spans="1:28" ht="63" customHeight="1" x14ac:dyDescent="0.2">
      <c r="A231" s="43" t="s">
        <v>1205</v>
      </c>
      <c r="B231" s="43" t="s">
        <v>1206</v>
      </c>
      <c r="C231" s="44" t="s">
        <v>1207</v>
      </c>
      <c r="D231" s="44" t="s">
        <v>222</v>
      </c>
      <c r="E231" s="45" t="s">
        <v>1208</v>
      </c>
      <c r="F231" s="45" t="s">
        <v>1209</v>
      </c>
      <c r="G231" s="46" t="s">
        <v>38</v>
      </c>
      <c r="H231" s="48">
        <v>46087</v>
      </c>
      <c r="I231" s="48">
        <v>46098</v>
      </c>
      <c r="J231" s="44" t="s">
        <v>129</v>
      </c>
      <c r="K231" s="44" t="s">
        <v>76</v>
      </c>
      <c r="L231" s="50" t="s">
        <v>101</v>
      </c>
      <c r="M231" s="50" t="s">
        <v>77</v>
      </c>
      <c r="N231" s="50"/>
      <c r="O231" s="49"/>
      <c r="P231" s="50" t="str">
        <f t="shared" si="12"/>
        <v>ONAY</v>
      </c>
      <c r="Q231" s="28" t="s">
        <v>76</v>
      </c>
      <c r="R231" s="51" t="str">
        <f t="shared" si="13"/>
        <v/>
      </c>
      <c r="T231" s="41"/>
      <c r="U231" s="29">
        <f>IF($C231&lt;&gt;"",COUNTIF($C$2:C231,C231),"")</f>
        <v>1</v>
      </c>
      <c r="V231" s="29" t="str">
        <f t="shared" si="14"/>
        <v>Prof. Dr. Özlem TEKŞAM§1</v>
      </c>
      <c r="W231" s="29">
        <f>IF(U231=1,COUNTIF($U$2:U231,1),"")</f>
        <v>159</v>
      </c>
      <c r="X231" s="29">
        <f t="shared" si="15"/>
        <v>292</v>
      </c>
      <c r="Y231" s="29">
        <f>IF(AND(LEFT($B231,7)="SBA 26/",$D231&lt;&gt;"",$F231&lt;&gt;""),COUNTIFS($D$2:$D231,$D231,$B$2:$B231,"SBA 26/*",$F$2:$F231,"&lt;&gt;"),"")</f>
        <v>30</v>
      </c>
      <c r="Z231" s="29" t="str">
        <f>IF(Y231=1,COUNTIF($Y$2:Y231,1),"")</f>
        <v/>
      </c>
      <c r="AA231" s="29">
        <f>IF(AND(LEFT($B231,7)="SBA 26/",$C231&lt;&gt;"",$F231&lt;&gt;""),COUNTIFS($C$2:$C231,$C231,$B$2:$B231,"SBA 26/*",$F$2:$F231,"&lt;&gt;"),"")</f>
        <v>1</v>
      </c>
      <c r="AB231" s="29">
        <f>IF(AA231=1,COUNTIF($AA$2:AA231,1),"")</f>
        <v>159</v>
      </c>
    </row>
    <row r="232" spans="1:28" ht="78.75" customHeight="1" x14ac:dyDescent="0.2">
      <c r="A232" s="43" t="s">
        <v>1210</v>
      </c>
      <c r="B232" s="43" t="s">
        <v>1211</v>
      </c>
      <c r="C232" s="44" t="s">
        <v>1097</v>
      </c>
      <c r="D232" s="44" t="s">
        <v>88</v>
      </c>
      <c r="E232" s="45" t="s">
        <v>1212</v>
      </c>
      <c r="F232" s="45" t="s">
        <v>1213</v>
      </c>
      <c r="G232" s="46" t="s">
        <v>39</v>
      </c>
      <c r="H232" s="48">
        <v>46087</v>
      </c>
      <c r="I232" s="48">
        <v>46098</v>
      </c>
      <c r="J232" s="44" t="s">
        <v>92</v>
      </c>
      <c r="K232" s="44" t="s">
        <v>116</v>
      </c>
      <c r="L232" s="50" t="s">
        <v>101</v>
      </c>
      <c r="M232" s="50" t="s">
        <v>77</v>
      </c>
      <c r="N232" s="50"/>
      <c r="O232" s="49"/>
      <c r="P232" s="50" t="str">
        <f t="shared" si="12"/>
        <v>ONAY</v>
      </c>
      <c r="Q232" s="28" t="s">
        <v>92</v>
      </c>
      <c r="R232" s="51" t="str">
        <f t="shared" si="13"/>
        <v/>
      </c>
      <c r="T232" s="41"/>
      <c r="U232" s="29">
        <f>IF($C232&lt;&gt;"",COUNTIF($C$2:C232,C232),"")</f>
        <v>2</v>
      </c>
      <c r="V232" s="29" t="str">
        <f t="shared" si="14"/>
        <v>Doç. Dr. Adalet Elçin YILDIZ§2</v>
      </c>
      <c r="W232" s="29" t="str">
        <f>IF(U232=1,COUNTIF($U$2:U232,1),"")</f>
        <v/>
      </c>
      <c r="X232" s="29" t="str">
        <f t="shared" si="15"/>
        <v/>
      </c>
      <c r="Y232" s="29">
        <f>IF(AND(LEFT($B232,7)="SBA 26/",$D232&lt;&gt;"",$F232&lt;&gt;""),COUNTIFS($D$2:$D232,$D232,$B$2:$B232,"SBA 26/*",$F$2:$F232,"&lt;&gt;"),"")</f>
        <v>11</v>
      </c>
      <c r="Z232" s="29" t="str">
        <f>IF(Y232=1,COUNTIF($Y$2:Y232,1),"")</f>
        <v/>
      </c>
      <c r="AA232" s="29">
        <f>IF(AND(LEFT($B232,7)="SBA 26/",$C232&lt;&gt;"",$F232&lt;&gt;""),COUNTIFS($C$2:$C232,$C232,$B$2:$B232,"SBA 26/*",$F$2:$F232,"&lt;&gt;"),"")</f>
        <v>2</v>
      </c>
      <c r="AB232" s="29" t="str">
        <f>IF(AA232=1,COUNTIF($AA$2:AA232,1),"")</f>
        <v/>
      </c>
    </row>
    <row r="233" spans="1:28" ht="63" customHeight="1" x14ac:dyDescent="0.2">
      <c r="A233" s="43" t="s">
        <v>1214</v>
      </c>
      <c r="B233" s="43" t="s">
        <v>1215</v>
      </c>
      <c r="C233" s="44" t="s">
        <v>390</v>
      </c>
      <c r="D233" s="44" t="s">
        <v>391</v>
      </c>
      <c r="E233" s="45" t="s">
        <v>392</v>
      </c>
      <c r="F233" s="45" t="s">
        <v>1216</v>
      </c>
      <c r="G233" s="46" t="s">
        <v>38</v>
      </c>
      <c r="H233" s="48">
        <v>46087</v>
      </c>
      <c r="I233" s="48">
        <v>46098</v>
      </c>
      <c r="J233" s="44" t="s">
        <v>84</v>
      </c>
      <c r="K233" s="44" t="s">
        <v>129</v>
      </c>
      <c r="L233" s="50" t="s">
        <v>77</v>
      </c>
      <c r="M233" s="50"/>
      <c r="N233" s="50"/>
      <c r="O233" s="49"/>
      <c r="P233" s="50" t="str">
        <f t="shared" si="12"/>
        <v>ONAY</v>
      </c>
      <c r="R233" s="51" t="str">
        <f t="shared" si="13"/>
        <v/>
      </c>
      <c r="T233" s="41"/>
      <c r="U233" s="29">
        <f>IF($C233&lt;&gt;"",COUNTIF($C$2:C233,C233),"")</f>
        <v>4</v>
      </c>
      <c r="V233" s="29" t="str">
        <f t="shared" si="14"/>
        <v>Prof. Dr. Mehmet AYVAZ§4</v>
      </c>
      <c r="W233" s="29" t="str">
        <f>IF(U233=1,COUNTIF($U$2:U233,1),"")</f>
        <v/>
      </c>
      <c r="X233" s="29" t="str">
        <f t="shared" si="15"/>
        <v/>
      </c>
      <c r="Y233" s="29">
        <f>IF(AND(LEFT($B233,7)="SBA 26/",$D233&lt;&gt;"",$F233&lt;&gt;""),COUNTIFS($D$2:$D233,$D233,$B$2:$B233,"SBA 26/*",$F$2:$F233,"&lt;&gt;"),"")</f>
        <v>6</v>
      </c>
      <c r="Z233" s="29" t="str">
        <f>IF(Y233=1,COUNTIF($Y$2:Y233,1),"")</f>
        <v/>
      </c>
      <c r="AA233" s="29">
        <f>IF(AND(LEFT($B233,7)="SBA 26/",$C233&lt;&gt;"",$F233&lt;&gt;""),COUNTIFS($C$2:$C233,$C233,$B$2:$B233,"SBA 26/*",$F$2:$F233,"&lt;&gt;"),"")</f>
        <v>4</v>
      </c>
      <c r="AB233" s="29" t="str">
        <f>IF(AA233=1,COUNTIF($AA$2:AA233,1),"")</f>
        <v/>
      </c>
    </row>
    <row r="234" spans="1:28" ht="63" customHeight="1" x14ac:dyDescent="0.2">
      <c r="A234" s="43" t="s">
        <v>1217</v>
      </c>
      <c r="B234" s="43" t="s">
        <v>1218</v>
      </c>
      <c r="C234" s="44" t="s">
        <v>390</v>
      </c>
      <c r="D234" s="44" t="s">
        <v>391</v>
      </c>
      <c r="E234" s="45" t="s">
        <v>909</v>
      </c>
      <c r="F234" s="45" t="s">
        <v>1219</v>
      </c>
      <c r="G234" s="46" t="s">
        <v>38</v>
      </c>
      <c r="H234" s="48">
        <v>46087</v>
      </c>
      <c r="I234" s="48">
        <v>46098</v>
      </c>
      <c r="J234" s="44" t="s">
        <v>129</v>
      </c>
      <c r="K234" s="44" t="s">
        <v>84</v>
      </c>
      <c r="L234" s="50" t="s">
        <v>77</v>
      </c>
      <c r="M234" s="50"/>
      <c r="N234" s="50"/>
      <c r="O234" s="49"/>
      <c r="P234" s="50" t="str">
        <f t="shared" si="12"/>
        <v>ONAY</v>
      </c>
      <c r="R234" s="51" t="str">
        <f t="shared" si="13"/>
        <v/>
      </c>
      <c r="T234" s="41"/>
      <c r="U234" s="29">
        <f>IF($C234&lt;&gt;"",COUNTIF($C$2:C234,C234),"")</f>
        <v>5</v>
      </c>
      <c r="V234" s="29" t="str">
        <f t="shared" si="14"/>
        <v>Prof. Dr. Mehmet AYVAZ§5</v>
      </c>
      <c r="W234" s="29" t="str">
        <f>IF(U234=1,COUNTIF($U$2:U234,1),"")</f>
        <v/>
      </c>
      <c r="X234" s="29" t="str">
        <f t="shared" si="15"/>
        <v/>
      </c>
      <c r="Y234" s="29">
        <f>IF(AND(LEFT($B234,7)="SBA 26/",$D234&lt;&gt;"",$F234&lt;&gt;""),COUNTIFS($D$2:$D234,$D234,$B$2:$B234,"SBA 26/*",$F$2:$F234,"&lt;&gt;"),"")</f>
        <v>7</v>
      </c>
      <c r="Z234" s="29" t="str">
        <f>IF(Y234=1,COUNTIF($Y$2:Y234,1),"")</f>
        <v/>
      </c>
      <c r="AA234" s="29">
        <f>IF(AND(LEFT($B234,7)="SBA 26/",$C234&lt;&gt;"",$F234&lt;&gt;""),COUNTIFS($C$2:$C234,$C234,$B$2:$B234,"SBA 26/*",$F$2:$F234,"&lt;&gt;"),"")</f>
        <v>5</v>
      </c>
      <c r="AB234" s="29" t="str">
        <f>IF(AA234=1,COUNTIF($AA$2:AA234,1),"")</f>
        <v/>
      </c>
    </row>
    <row r="235" spans="1:28" ht="63" customHeight="1" x14ac:dyDescent="0.2">
      <c r="A235" s="43" t="s">
        <v>1220</v>
      </c>
      <c r="B235" s="43" t="s">
        <v>1221</v>
      </c>
      <c r="C235" s="44" t="s">
        <v>390</v>
      </c>
      <c r="D235" s="44" t="s">
        <v>391</v>
      </c>
      <c r="E235" s="45" t="s">
        <v>909</v>
      </c>
      <c r="F235" s="45" t="s">
        <v>1222</v>
      </c>
      <c r="G235" s="46" t="s">
        <v>38</v>
      </c>
      <c r="H235" s="48">
        <v>46087</v>
      </c>
      <c r="I235" s="48">
        <v>46098</v>
      </c>
      <c r="J235" s="44" t="s">
        <v>129</v>
      </c>
      <c r="K235" s="44" t="s">
        <v>84</v>
      </c>
      <c r="L235" s="50" t="s">
        <v>77</v>
      </c>
      <c r="M235" s="50"/>
      <c r="N235" s="50"/>
      <c r="O235" s="49"/>
      <c r="P235" s="50" t="str">
        <f t="shared" si="12"/>
        <v>ONAY</v>
      </c>
      <c r="R235" s="51" t="str">
        <f t="shared" si="13"/>
        <v/>
      </c>
      <c r="T235" s="41"/>
      <c r="U235" s="29">
        <f>IF($C235&lt;&gt;"",COUNTIF($C$2:C235,C235),"")</f>
        <v>6</v>
      </c>
      <c r="V235" s="29" t="str">
        <f t="shared" si="14"/>
        <v>Prof. Dr. Mehmet AYVAZ§6</v>
      </c>
      <c r="W235" s="29" t="str">
        <f>IF(U235=1,COUNTIF($U$2:U235,1),"")</f>
        <v/>
      </c>
      <c r="X235" s="29" t="str">
        <f t="shared" si="15"/>
        <v/>
      </c>
      <c r="Y235" s="29">
        <f>IF(AND(LEFT($B235,7)="SBA 26/",$D235&lt;&gt;"",$F235&lt;&gt;""),COUNTIFS($D$2:$D235,$D235,$B$2:$B235,"SBA 26/*",$F$2:$F235,"&lt;&gt;"),"")</f>
        <v>8</v>
      </c>
      <c r="Z235" s="29" t="str">
        <f>IF(Y235=1,COUNTIF($Y$2:Y235,1),"")</f>
        <v/>
      </c>
      <c r="AA235" s="29">
        <f>IF(AND(LEFT($B235,7)="SBA 26/",$C235&lt;&gt;"",$F235&lt;&gt;""),COUNTIFS($C$2:$C235,$C235,$B$2:$B235,"SBA 26/*",$F$2:$F235,"&lt;&gt;"),"")</f>
        <v>6</v>
      </c>
      <c r="AB235" s="29" t="str">
        <f>IF(AA235=1,COUNTIF($AA$2:AA235,1),"")</f>
        <v/>
      </c>
    </row>
    <row r="236" spans="1:28" ht="63" customHeight="1" x14ac:dyDescent="0.2">
      <c r="A236" s="43" t="s">
        <v>1223</v>
      </c>
      <c r="B236" s="43" t="s">
        <v>1224</v>
      </c>
      <c r="C236" s="44" t="s">
        <v>390</v>
      </c>
      <c r="D236" s="44" t="s">
        <v>391</v>
      </c>
      <c r="E236" s="45" t="s">
        <v>909</v>
      </c>
      <c r="F236" s="45" t="s">
        <v>1225</v>
      </c>
      <c r="G236" s="46" t="s">
        <v>38</v>
      </c>
      <c r="H236" s="48">
        <v>46087</v>
      </c>
      <c r="I236" s="48">
        <v>46098</v>
      </c>
      <c r="J236" s="44" t="s">
        <v>129</v>
      </c>
      <c r="K236" s="44" t="s">
        <v>84</v>
      </c>
      <c r="L236" s="50" t="s">
        <v>153</v>
      </c>
      <c r="M236" s="50"/>
      <c r="N236" s="50"/>
      <c r="O236" s="49"/>
      <c r="P236" s="50" t="str">
        <f t="shared" si="12"/>
        <v>KAPSAM DIŞI</v>
      </c>
      <c r="R236" s="51" t="str">
        <f t="shared" si="13"/>
        <v/>
      </c>
      <c r="T236" s="41"/>
      <c r="U236" s="29">
        <f>IF($C236&lt;&gt;"",COUNTIF($C$2:C236,C236),"")</f>
        <v>7</v>
      </c>
      <c r="V236" s="29" t="str">
        <f t="shared" si="14"/>
        <v>Prof. Dr. Mehmet AYVAZ§7</v>
      </c>
      <c r="W236" s="29" t="str">
        <f>IF(U236=1,COUNTIF($U$2:U236,1),"")</f>
        <v/>
      </c>
      <c r="X236" s="29" t="str">
        <f t="shared" si="15"/>
        <v/>
      </c>
      <c r="Y236" s="29">
        <f>IF(AND(LEFT($B236,7)="SBA 26/",$D236&lt;&gt;"",$F236&lt;&gt;""),COUNTIFS($D$2:$D236,$D236,$B$2:$B236,"SBA 26/*",$F$2:$F236,"&lt;&gt;"),"")</f>
        <v>9</v>
      </c>
      <c r="Z236" s="29" t="str">
        <f>IF(Y236=1,COUNTIF($Y$2:Y236,1),"")</f>
        <v/>
      </c>
      <c r="AA236" s="29">
        <f>IF(AND(LEFT($B236,7)="SBA 26/",$C236&lt;&gt;"",$F236&lt;&gt;""),COUNTIFS($C$2:$C236,$C236,$B$2:$B236,"SBA 26/*",$F$2:$F236,"&lt;&gt;"),"")</f>
        <v>7</v>
      </c>
      <c r="AB236" s="29" t="str">
        <f>IF(AA236=1,COUNTIF($AA$2:AA236,1),"")</f>
        <v/>
      </c>
    </row>
    <row r="237" spans="1:28" ht="78.75" customHeight="1" x14ac:dyDescent="0.2">
      <c r="A237" s="43" t="s">
        <v>1226</v>
      </c>
      <c r="B237" s="43" t="s">
        <v>1227</v>
      </c>
      <c r="C237" s="44" t="s">
        <v>1228</v>
      </c>
      <c r="D237" s="44" t="s">
        <v>391</v>
      </c>
      <c r="E237" s="45" t="s">
        <v>1229</v>
      </c>
      <c r="F237" s="45" t="s">
        <v>1230</v>
      </c>
      <c r="G237" s="46" t="s">
        <v>38</v>
      </c>
      <c r="H237" s="48">
        <v>46087</v>
      </c>
      <c r="I237" s="48">
        <v>46098</v>
      </c>
      <c r="J237" s="44" t="s">
        <v>91</v>
      </c>
      <c r="K237" s="44" t="s">
        <v>116</v>
      </c>
      <c r="L237" s="50" t="s">
        <v>218</v>
      </c>
      <c r="M237" s="50"/>
      <c r="N237" s="50"/>
      <c r="O237" s="49"/>
      <c r="P237" s="50" t="str">
        <f t="shared" si="12"/>
        <v>KAEK</v>
      </c>
      <c r="R237" s="51" t="str">
        <f t="shared" si="13"/>
        <v/>
      </c>
      <c r="T237" s="41"/>
      <c r="U237" s="29">
        <f>IF($C237&lt;&gt;"",COUNTIF($C$2:C237,C237),"")</f>
        <v>1</v>
      </c>
      <c r="V237" s="29" t="str">
        <f t="shared" si="14"/>
        <v>Dr. Öğr. Üyesi Gökhan AYIK§1</v>
      </c>
      <c r="W237" s="29">
        <f>IF(U237=1,COUNTIF($U$2:U237,1),"")</f>
        <v>160</v>
      </c>
      <c r="X237" s="29">
        <f t="shared" si="15"/>
        <v>136</v>
      </c>
      <c r="Y237" s="29">
        <f>IF(AND(LEFT($B237,7)="SBA 26/",$D237&lt;&gt;"",$F237&lt;&gt;""),COUNTIFS($D$2:$D237,$D237,$B$2:$B237,"SBA 26/*",$F$2:$F237,"&lt;&gt;"),"")</f>
        <v>10</v>
      </c>
      <c r="Z237" s="29" t="str">
        <f>IF(Y237=1,COUNTIF($Y$2:Y237,1),"")</f>
        <v/>
      </c>
      <c r="AA237" s="29">
        <f>IF(AND(LEFT($B237,7)="SBA 26/",$C237&lt;&gt;"",$F237&lt;&gt;""),COUNTIFS($C$2:$C237,$C237,$B$2:$B237,"SBA 26/*",$F$2:$F237,"&lt;&gt;"),"")</f>
        <v>1</v>
      </c>
      <c r="AB237" s="29">
        <f>IF(AA237=1,COUNTIF($AA$2:AA237,1),"")</f>
        <v>160</v>
      </c>
    </row>
    <row r="238" spans="1:28" ht="94.5" customHeight="1" x14ac:dyDescent="0.2">
      <c r="A238" s="43" t="s">
        <v>1231</v>
      </c>
      <c r="B238" s="43" t="s">
        <v>1232</v>
      </c>
      <c r="C238" s="44" t="s">
        <v>1233</v>
      </c>
      <c r="D238" s="44" t="s">
        <v>222</v>
      </c>
      <c r="E238" s="45" t="s">
        <v>1234</v>
      </c>
      <c r="F238" s="45" t="s">
        <v>1235</v>
      </c>
      <c r="G238" s="46" t="s">
        <v>38</v>
      </c>
      <c r="H238" s="48">
        <v>46087</v>
      </c>
      <c r="I238" s="48">
        <v>46098</v>
      </c>
      <c r="J238" s="44" t="s">
        <v>99</v>
      </c>
      <c r="K238" s="44" t="s">
        <v>75</v>
      </c>
      <c r="L238" s="50" t="s">
        <v>101</v>
      </c>
      <c r="M238" s="50"/>
      <c r="N238" s="50"/>
      <c r="O238" s="49"/>
      <c r="P238" s="50" t="str">
        <f t="shared" si="12"/>
        <v>DÜZELTME</v>
      </c>
      <c r="R238" s="51" t="str">
        <f t="shared" si="13"/>
        <v/>
      </c>
      <c r="T238" s="41"/>
      <c r="U238" s="29">
        <f>IF($C238&lt;&gt;"",COUNTIF($C$2:C238,C238),"")</f>
        <v>1</v>
      </c>
      <c r="V238" s="29" t="str">
        <f t="shared" si="14"/>
        <v>Öğr. Gör. Dr. Esin ALPDÜNDAR BULUT§1</v>
      </c>
      <c r="W238" s="29">
        <f>IF(U238=1,COUNTIF($U$2:U238,1),"")</f>
        <v>161</v>
      </c>
      <c r="X238" s="29">
        <f t="shared" si="15"/>
        <v>173</v>
      </c>
      <c r="Y238" s="29">
        <f>IF(AND(LEFT($B238,7)="SBA 26/",$D238&lt;&gt;"",$F238&lt;&gt;""),COUNTIFS($D$2:$D238,$D238,$B$2:$B238,"SBA 26/*",$F$2:$F238,"&lt;&gt;"),"")</f>
        <v>31</v>
      </c>
      <c r="Z238" s="29" t="str">
        <f>IF(Y238=1,COUNTIF($Y$2:Y238,1),"")</f>
        <v/>
      </c>
      <c r="AA238" s="29">
        <f>IF(AND(LEFT($B238,7)="SBA 26/",$C238&lt;&gt;"",$F238&lt;&gt;""),COUNTIFS($C$2:$C238,$C238,$B$2:$B238,"SBA 26/*",$F$2:$F238,"&lt;&gt;"),"")</f>
        <v>1</v>
      </c>
      <c r="AB238" s="29">
        <f>IF(AA238=1,COUNTIF($AA$2:AA238,1),"")</f>
        <v>161</v>
      </c>
    </row>
    <row r="239" spans="1:28" ht="63" customHeight="1" x14ac:dyDescent="0.2">
      <c r="A239" s="43" t="s">
        <v>1236</v>
      </c>
      <c r="B239" s="43" t="s">
        <v>1237</v>
      </c>
      <c r="C239" s="44" t="s">
        <v>1238</v>
      </c>
      <c r="D239" s="44" t="s">
        <v>414</v>
      </c>
      <c r="E239" s="45" t="s">
        <v>1239</v>
      </c>
      <c r="F239" s="45" t="s">
        <v>1240</v>
      </c>
      <c r="G239" s="46" t="s">
        <v>39</v>
      </c>
      <c r="H239" s="48">
        <v>46087</v>
      </c>
      <c r="I239" s="48">
        <v>46098</v>
      </c>
      <c r="J239" s="44" t="s">
        <v>123</v>
      </c>
      <c r="K239" s="44" t="s">
        <v>99</v>
      </c>
      <c r="L239" s="50" t="s">
        <v>77</v>
      </c>
      <c r="M239" s="50"/>
      <c r="N239" s="50"/>
      <c r="O239" s="49"/>
      <c r="P239" s="50" t="str">
        <f t="shared" si="12"/>
        <v>ONAY</v>
      </c>
      <c r="R239" s="51" t="str">
        <f t="shared" si="13"/>
        <v/>
      </c>
      <c r="T239" s="41"/>
      <c r="U239" s="29">
        <f>IF($C239&lt;&gt;"",COUNTIF($C$2:C239,C239),"")</f>
        <v>1</v>
      </c>
      <c r="V239" s="29" t="str">
        <f t="shared" si="14"/>
        <v>Prof. Dr. Güliz AKTAŞ§1</v>
      </c>
      <c r="W239" s="29">
        <f>IF(U239=1,COUNTIF($U$2:U239,1),"")</f>
        <v>162</v>
      </c>
      <c r="X239" s="29">
        <f t="shared" si="15"/>
        <v>233</v>
      </c>
      <c r="Y239" s="29">
        <f>IF(AND(LEFT($B239,7)="SBA 26/",$D239&lt;&gt;"",$F239&lt;&gt;""),COUNTIFS($D$2:$D239,$D239,$B$2:$B239,"SBA 26/*",$F$2:$F239,"&lt;&gt;"),"")</f>
        <v>3</v>
      </c>
      <c r="Z239" s="29" t="str">
        <f>IF(Y239=1,COUNTIF($Y$2:Y239,1),"")</f>
        <v/>
      </c>
      <c r="AA239" s="29">
        <f>IF(AND(LEFT($B239,7)="SBA 26/",$C239&lt;&gt;"",$F239&lt;&gt;""),COUNTIFS($C$2:$C239,$C239,$B$2:$B239,"SBA 26/*",$F$2:$F239,"&lt;&gt;"),"")</f>
        <v>1</v>
      </c>
      <c r="AB239" s="29">
        <f>IF(AA239=1,COUNTIF($AA$2:AA239,1),"")</f>
        <v>162</v>
      </c>
    </row>
    <row r="240" spans="1:28" ht="94.5" customHeight="1" x14ac:dyDescent="0.2">
      <c r="A240" s="43" t="s">
        <v>1241</v>
      </c>
      <c r="B240" s="43" t="s">
        <v>1242</v>
      </c>
      <c r="C240" s="44" t="s">
        <v>1004</v>
      </c>
      <c r="D240" s="44" t="s">
        <v>291</v>
      </c>
      <c r="E240" s="45" t="s">
        <v>1243</v>
      </c>
      <c r="F240" s="45" t="s">
        <v>1244</v>
      </c>
      <c r="G240" s="46" t="s">
        <v>38</v>
      </c>
      <c r="H240" s="48">
        <v>46087</v>
      </c>
      <c r="I240" s="48">
        <v>46098</v>
      </c>
      <c r="J240" s="44" t="s">
        <v>92</v>
      </c>
      <c r="K240" s="44" t="s">
        <v>100</v>
      </c>
      <c r="L240" s="50" t="s">
        <v>101</v>
      </c>
      <c r="M240" s="50" t="s">
        <v>101</v>
      </c>
      <c r="N240" s="50" t="s">
        <v>77</v>
      </c>
      <c r="O240" s="49"/>
      <c r="P240" s="50" t="str">
        <f t="shared" si="12"/>
        <v>ONAY</v>
      </c>
      <c r="Q240" s="28" t="s">
        <v>92</v>
      </c>
      <c r="R240" s="51" t="str">
        <f t="shared" si="13"/>
        <v/>
      </c>
      <c r="T240" s="41"/>
      <c r="U240" s="29">
        <f>IF($C240&lt;&gt;"",COUNTIF($C$2:C240,C240),"")</f>
        <v>2</v>
      </c>
      <c r="V240" s="29" t="str">
        <f t="shared" si="14"/>
        <v>Dr. Öğr. Üyesi Muhammed Çağrı KÜLEKCİ§2</v>
      </c>
      <c r="W240" s="29" t="str">
        <f>IF(U240=1,COUNTIF($U$2:U240,1),"")</f>
        <v/>
      </c>
      <c r="X240" s="29" t="str">
        <f t="shared" si="15"/>
        <v/>
      </c>
      <c r="Y240" s="29">
        <f>IF(AND(LEFT($B240,7)="SBA 26/",$D240&lt;&gt;"",$F240&lt;&gt;""),COUNTIFS($D$2:$D240,$D240,$B$2:$B240,"SBA 26/*",$F$2:$F240,"&lt;&gt;"),"")</f>
        <v>7</v>
      </c>
      <c r="Z240" s="29" t="str">
        <f>IF(Y240=1,COUNTIF($Y$2:Y240,1),"")</f>
        <v/>
      </c>
      <c r="AA240" s="29">
        <f>IF(AND(LEFT($B240,7)="SBA 26/",$C240&lt;&gt;"",$F240&lt;&gt;""),COUNTIFS($C$2:$C240,$C240,$B$2:$B240,"SBA 26/*",$F$2:$F240,"&lt;&gt;"),"")</f>
        <v>2</v>
      </c>
      <c r="AB240" s="29" t="str">
        <f>IF(AA240=1,COUNTIF($AA$2:AA240,1),"")</f>
        <v/>
      </c>
    </row>
    <row r="241" spans="1:28" ht="81" customHeight="1" x14ac:dyDescent="0.2">
      <c r="A241" s="43" t="s">
        <v>1245</v>
      </c>
      <c r="B241" s="43" t="s">
        <v>1246</v>
      </c>
      <c r="C241" s="44" t="s">
        <v>1247</v>
      </c>
      <c r="D241" s="44" t="s">
        <v>222</v>
      </c>
      <c r="E241" s="45" t="s">
        <v>1248</v>
      </c>
      <c r="F241" s="45" t="s">
        <v>1249</v>
      </c>
      <c r="G241" s="46" t="s">
        <v>39</v>
      </c>
      <c r="H241" s="48">
        <v>46090</v>
      </c>
      <c r="I241" s="48">
        <v>46098</v>
      </c>
      <c r="J241" s="44" t="s">
        <v>91</v>
      </c>
      <c r="K241" s="44" t="s">
        <v>76</v>
      </c>
      <c r="L241" s="50" t="s">
        <v>218</v>
      </c>
      <c r="M241" s="50"/>
      <c r="N241" s="50"/>
      <c r="O241" s="49"/>
      <c r="P241" s="50" t="str">
        <f t="shared" si="12"/>
        <v>KAEK</v>
      </c>
      <c r="R241" s="51" t="str">
        <f t="shared" si="13"/>
        <v/>
      </c>
      <c r="T241" s="41"/>
      <c r="U241" s="29">
        <f>IF($C241&lt;&gt;"",COUNTIF($C$2:C241,C241),"")</f>
        <v>1</v>
      </c>
      <c r="V241" s="29" t="str">
        <f t="shared" si="14"/>
        <v>Prof. Dr. Şule ÜNAL CANGÜL§1</v>
      </c>
      <c r="W241" s="29">
        <f>IF(U241=1,COUNTIF($U$2:U241,1),"")</f>
        <v>163</v>
      </c>
      <c r="X241" s="29">
        <f t="shared" si="15"/>
        <v>318</v>
      </c>
      <c r="Y241" s="29">
        <f>IF(AND(LEFT($B241,7)="SBA 26/",$D241&lt;&gt;"",$F241&lt;&gt;""),COUNTIFS($D$2:$D241,$D241,$B$2:$B241,"SBA 26/*",$F$2:$F241,"&lt;&gt;"),"")</f>
        <v>32</v>
      </c>
      <c r="Z241" s="29" t="str">
        <f>IF(Y241=1,COUNTIF($Y$2:Y241,1),"")</f>
        <v/>
      </c>
      <c r="AA241" s="29">
        <f>IF(AND(LEFT($B241,7)="SBA 26/",$C241&lt;&gt;"",$F241&lt;&gt;""),COUNTIFS($C$2:$C241,$C241,$B$2:$B241,"SBA 26/*",$F$2:$F241,"&lt;&gt;"),"")</f>
        <v>1</v>
      </c>
      <c r="AB241" s="29">
        <f>IF(AA241=1,COUNTIF($AA$2:AA241,1),"")</f>
        <v>163</v>
      </c>
    </row>
    <row r="242" spans="1:28" ht="78.75" customHeight="1" x14ac:dyDescent="0.2">
      <c r="A242" s="43" t="s">
        <v>1250</v>
      </c>
      <c r="B242" s="43" t="s">
        <v>1251</v>
      </c>
      <c r="C242" s="44" t="s">
        <v>628</v>
      </c>
      <c r="D242" s="44" t="s">
        <v>228</v>
      </c>
      <c r="E242" s="45" t="s">
        <v>1252</v>
      </c>
      <c r="F242" s="45" t="s">
        <v>1253</v>
      </c>
      <c r="G242" s="46" t="s">
        <v>39</v>
      </c>
      <c r="H242" s="48">
        <v>46090</v>
      </c>
      <c r="I242" s="48">
        <v>46098</v>
      </c>
      <c r="J242" s="44" t="s">
        <v>75</v>
      </c>
      <c r="K242" s="44" t="s">
        <v>99</v>
      </c>
      <c r="L242" s="50" t="s">
        <v>77</v>
      </c>
      <c r="M242" s="50"/>
      <c r="N242" s="50"/>
      <c r="O242" s="49"/>
      <c r="P242" s="50" t="str">
        <f t="shared" si="12"/>
        <v>ONAY</v>
      </c>
      <c r="R242" s="51" t="str">
        <f t="shared" si="13"/>
        <v/>
      </c>
      <c r="T242" s="41"/>
      <c r="U242" s="29">
        <f>IF($C242&lt;&gt;"",COUNTIF($C$2:C242,C242),"")</f>
        <v>3</v>
      </c>
      <c r="V242" s="29" t="str">
        <f t="shared" si="14"/>
        <v>Dr. Öğr. Üyesi Murat ÇAĞAN§3</v>
      </c>
      <c r="W242" s="29" t="str">
        <f>IF(U242=1,COUNTIF($U$2:U242,1),"")</f>
        <v/>
      </c>
      <c r="X242" s="29" t="str">
        <f t="shared" si="15"/>
        <v/>
      </c>
      <c r="Y242" s="29">
        <f>IF(AND(LEFT($B242,7)="SBA 26/",$D242&lt;&gt;"",$F242&lt;&gt;""),COUNTIFS($D$2:$D242,$D242,$B$2:$B242,"SBA 26/*",$F$2:$F242,"&lt;&gt;"),"")</f>
        <v>11</v>
      </c>
      <c r="Z242" s="29" t="str">
        <f>IF(Y242=1,COUNTIF($Y$2:Y242,1),"")</f>
        <v/>
      </c>
      <c r="AA242" s="29">
        <f>IF(AND(LEFT($B242,7)="SBA 26/",$C242&lt;&gt;"",$F242&lt;&gt;""),COUNTIFS($C$2:$C242,$C242,$B$2:$B242,"SBA 26/*",$F$2:$F242,"&lt;&gt;"),"")</f>
        <v>3</v>
      </c>
      <c r="AB242" s="29" t="str">
        <f>IF(AA242=1,COUNTIF($AA$2:AA242,1),"")</f>
        <v/>
      </c>
    </row>
    <row r="243" spans="1:28" ht="78.75" customHeight="1" x14ac:dyDescent="0.2">
      <c r="A243" s="43" t="s">
        <v>1254</v>
      </c>
      <c r="B243" s="43" t="s">
        <v>1255</v>
      </c>
      <c r="C243" s="44" t="s">
        <v>227</v>
      </c>
      <c r="D243" s="44" t="s">
        <v>228</v>
      </c>
      <c r="E243" s="45" t="s">
        <v>1256</v>
      </c>
      <c r="F243" s="45" t="s">
        <v>1257</v>
      </c>
      <c r="G243" s="46" t="s">
        <v>38</v>
      </c>
      <c r="H243" s="48">
        <v>46090</v>
      </c>
      <c r="I243" s="48">
        <v>46098</v>
      </c>
      <c r="J243" s="44" t="s">
        <v>91</v>
      </c>
      <c r="K243" s="44" t="s">
        <v>75</v>
      </c>
      <c r="L243" s="50" t="s">
        <v>77</v>
      </c>
      <c r="M243" s="50"/>
      <c r="N243" s="50"/>
      <c r="O243" s="49"/>
      <c r="P243" s="50" t="str">
        <f t="shared" si="12"/>
        <v>ONAY</v>
      </c>
      <c r="R243" s="51" t="str">
        <f t="shared" si="13"/>
        <v/>
      </c>
      <c r="T243" s="41"/>
      <c r="U243" s="29">
        <f>IF($C243&lt;&gt;"",COUNTIF($C$2:C243,C243),"")</f>
        <v>5</v>
      </c>
      <c r="V243" s="29" t="str">
        <f t="shared" si="14"/>
        <v>Dr. Öğr. Üyesi Gonca ÖZTEN DERE§5</v>
      </c>
      <c r="W243" s="29" t="str">
        <f>IF(U243=1,COUNTIF($U$2:U243,1),"")</f>
        <v/>
      </c>
      <c r="X243" s="29" t="str">
        <f t="shared" si="15"/>
        <v/>
      </c>
      <c r="Y243" s="29">
        <f>IF(AND(LEFT($B243,7)="SBA 26/",$D243&lt;&gt;"",$F243&lt;&gt;""),COUNTIFS($D$2:$D243,$D243,$B$2:$B243,"SBA 26/*",$F$2:$F243,"&lt;&gt;"),"")</f>
        <v>12</v>
      </c>
      <c r="Z243" s="29" t="str">
        <f>IF(Y243=1,COUNTIF($Y$2:Y243,1),"")</f>
        <v/>
      </c>
      <c r="AA243" s="29">
        <f>IF(AND(LEFT($B243,7)="SBA 26/",$C243&lt;&gt;"",$F243&lt;&gt;""),COUNTIFS($C$2:$C243,$C243,$B$2:$B243,"SBA 26/*",$F$2:$F243,"&lt;&gt;"),"")</f>
        <v>5</v>
      </c>
      <c r="AB243" s="29" t="str">
        <f>IF(AA243=1,COUNTIF($AA$2:AA243,1),"")</f>
        <v/>
      </c>
    </row>
    <row r="244" spans="1:28" ht="126" customHeight="1" x14ac:dyDescent="0.2">
      <c r="A244" s="43" t="s">
        <v>1258</v>
      </c>
      <c r="B244" s="43" t="s">
        <v>1259</v>
      </c>
      <c r="C244" s="44" t="s">
        <v>1260</v>
      </c>
      <c r="D244" s="44" t="s">
        <v>181</v>
      </c>
      <c r="E244" s="45" t="s">
        <v>1261</v>
      </c>
      <c r="F244" s="45" t="s">
        <v>1262</v>
      </c>
      <c r="G244" s="46" t="s">
        <v>38</v>
      </c>
      <c r="H244" s="48">
        <v>46090</v>
      </c>
      <c r="I244" s="48">
        <v>46098</v>
      </c>
      <c r="J244" s="44" t="s">
        <v>91</v>
      </c>
      <c r="K244" s="44" t="s">
        <v>108</v>
      </c>
      <c r="L244" s="50" t="s">
        <v>77</v>
      </c>
      <c r="M244" s="50"/>
      <c r="N244" s="50"/>
      <c r="O244" s="49"/>
      <c r="P244" s="50" t="str">
        <f t="shared" si="12"/>
        <v>ONAY</v>
      </c>
      <c r="R244" s="51" t="str">
        <f t="shared" si="13"/>
        <v/>
      </c>
      <c r="T244" s="41"/>
      <c r="U244" s="29">
        <f>IF($C244&lt;&gt;"",COUNTIF($C$2:C244,C244),"")</f>
        <v>1</v>
      </c>
      <c r="V244" s="29" t="str">
        <f t="shared" si="14"/>
        <v>Prof. Dr. Seda Banu AKINCI§1</v>
      </c>
      <c r="W244" s="29">
        <f>IF(U244=1,COUNTIF($U$2:U244,1),"")</f>
        <v>164</v>
      </c>
      <c r="X244" s="29">
        <f t="shared" si="15"/>
        <v>302</v>
      </c>
      <c r="Y244" s="29">
        <f>IF(AND(LEFT($B244,7)="SBA 26/",$D244&lt;&gt;"",$F244&lt;&gt;""),COUNTIFS($D$2:$D244,$D244,$B$2:$B244,"SBA 26/*",$F$2:$F244,"&lt;&gt;"),"")</f>
        <v>4</v>
      </c>
      <c r="Z244" s="29" t="str">
        <f>IF(Y244=1,COUNTIF($Y$2:Y244,1),"")</f>
        <v/>
      </c>
      <c r="AA244" s="29">
        <f>IF(AND(LEFT($B244,7)="SBA 26/",$C244&lt;&gt;"",$F244&lt;&gt;""),COUNTIFS($C$2:$C244,$C244,$B$2:$B244,"SBA 26/*",$F$2:$F244,"&lt;&gt;"),"")</f>
        <v>1</v>
      </c>
      <c r="AB244" s="29">
        <f>IF(AA244=1,COUNTIF($AA$2:AA244,1),"")</f>
        <v>164</v>
      </c>
    </row>
    <row r="245" spans="1:28" ht="63" customHeight="1" x14ac:dyDescent="0.2">
      <c r="A245" s="43" t="s">
        <v>1263</v>
      </c>
      <c r="B245" s="43" t="s">
        <v>1264</v>
      </c>
      <c r="C245" s="44" t="s">
        <v>1197</v>
      </c>
      <c r="D245" s="44" t="s">
        <v>364</v>
      </c>
      <c r="E245" s="45" t="s">
        <v>1265</v>
      </c>
      <c r="F245" s="45" t="s">
        <v>1266</v>
      </c>
      <c r="G245" s="46" t="s">
        <v>38</v>
      </c>
      <c r="H245" s="48">
        <v>46090</v>
      </c>
      <c r="I245" s="48">
        <v>46098</v>
      </c>
      <c r="J245" s="44" t="s">
        <v>92</v>
      </c>
      <c r="K245" s="44" t="s">
        <v>108</v>
      </c>
      <c r="L245" s="50" t="s">
        <v>77</v>
      </c>
      <c r="M245" s="50"/>
      <c r="N245" s="50"/>
      <c r="O245" s="49"/>
      <c r="P245" s="50" t="str">
        <f t="shared" si="12"/>
        <v>ONAY</v>
      </c>
      <c r="R245" s="51" t="str">
        <f t="shared" si="13"/>
        <v/>
      </c>
      <c r="T245" s="41"/>
      <c r="U245" s="29">
        <f>IF($C245&lt;&gt;"",COUNTIF($C$2:C245,C245),"")</f>
        <v>2</v>
      </c>
      <c r="V245" s="29" t="str">
        <f t="shared" si="14"/>
        <v>Prof. Dr. Fadime İrsel TEZER FİLİK§2</v>
      </c>
      <c r="W245" s="29" t="str">
        <f>IF(U245=1,COUNTIF($U$2:U245,1),"")</f>
        <v/>
      </c>
      <c r="X245" s="29" t="str">
        <f t="shared" si="15"/>
        <v/>
      </c>
      <c r="Y245" s="29">
        <f>IF(AND(LEFT($B245,7)="SBA 26/",$D245&lt;&gt;"",$F245&lt;&gt;""),COUNTIFS($D$2:$D245,$D245,$B$2:$B245,"SBA 26/*",$F$2:$F245,"&lt;&gt;"),"")</f>
        <v>8</v>
      </c>
      <c r="Z245" s="29" t="str">
        <f>IF(Y245=1,COUNTIF($Y$2:Y245,1),"")</f>
        <v/>
      </c>
      <c r="AA245" s="29">
        <f>IF(AND(LEFT($B245,7)="SBA 26/",$C245&lt;&gt;"",$F245&lt;&gt;""),COUNTIFS($C$2:$C245,$C245,$B$2:$B245,"SBA 26/*",$F$2:$F245,"&lt;&gt;"),"")</f>
        <v>2</v>
      </c>
      <c r="AB245" s="29" t="str">
        <f>IF(AA245=1,COUNTIF($AA$2:AA245,1),"")</f>
        <v/>
      </c>
    </row>
    <row r="246" spans="1:28" ht="78.75" customHeight="1" x14ac:dyDescent="0.2">
      <c r="A246" s="43" t="s">
        <v>1267</v>
      </c>
      <c r="B246" s="43" t="s">
        <v>1268</v>
      </c>
      <c r="C246" s="44" t="s">
        <v>112</v>
      </c>
      <c r="D246" s="44" t="s">
        <v>113</v>
      </c>
      <c r="E246" s="45" t="s">
        <v>1269</v>
      </c>
      <c r="F246" s="45" t="s">
        <v>1270</v>
      </c>
      <c r="G246" s="46" t="s">
        <v>38</v>
      </c>
      <c r="H246" s="48">
        <v>46090</v>
      </c>
      <c r="I246" s="48">
        <v>46098</v>
      </c>
      <c r="J246" s="44" t="s">
        <v>116</v>
      </c>
      <c r="K246" s="44" t="s">
        <v>108</v>
      </c>
      <c r="L246" s="50" t="s">
        <v>101</v>
      </c>
      <c r="M246" s="50" t="s">
        <v>77</v>
      </c>
      <c r="N246" s="50"/>
      <c r="O246" s="49"/>
      <c r="P246" s="50" t="str">
        <f t="shared" si="12"/>
        <v>ONAY</v>
      </c>
      <c r="Q246" s="28" t="s">
        <v>116</v>
      </c>
      <c r="R246" s="51" t="str">
        <f t="shared" si="13"/>
        <v/>
      </c>
      <c r="T246" s="41"/>
      <c r="U246" s="29">
        <f>IF($C246&lt;&gt;"",COUNTIF($C$2:C246,C246),"")</f>
        <v>9</v>
      </c>
      <c r="V246" s="29" t="str">
        <f t="shared" si="14"/>
        <v>Prof. Dr. Meltem Gülhan HALİL§9</v>
      </c>
      <c r="W246" s="29" t="str">
        <f>IF(U246=1,COUNTIF($U$2:U246,1),"")</f>
        <v/>
      </c>
      <c r="X246" s="29" t="str">
        <f t="shared" si="15"/>
        <v/>
      </c>
      <c r="Y246" s="29">
        <f>IF(AND(LEFT($B246,7)="SBA 26/",$D246&lt;&gt;"",$F246&lt;&gt;""),COUNTIFS($D$2:$D246,$D246,$B$2:$B246,"SBA 26/*",$F$2:$F246,"&lt;&gt;"),"")</f>
        <v>33</v>
      </c>
      <c r="Z246" s="29" t="str">
        <f>IF(Y246=1,COUNTIF($Y$2:Y246,1),"")</f>
        <v/>
      </c>
      <c r="AA246" s="29">
        <f>IF(AND(LEFT($B246,7)="SBA 26/",$C246&lt;&gt;"",$F246&lt;&gt;""),COUNTIFS($C$2:$C246,$C246,$B$2:$B246,"SBA 26/*",$F$2:$F246,"&lt;&gt;"),"")</f>
        <v>9</v>
      </c>
      <c r="AB246" s="29" t="str">
        <f>IF(AA246=1,COUNTIF($AA$2:AA246,1),"")</f>
        <v/>
      </c>
    </row>
    <row r="247" spans="1:28" ht="94.5" customHeight="1" x14ac:dyDescent="0.2">
      <c r="A247" s="43" t="s">
        <v>1271</v>
      </c>
      <c r="B247" s="43" t="s">
        <v>1272</v>
      </c>
      <c r="C247" s="44" t="s">
        <v>1273</v>
      </c>
      <c r="D247" s="44" t="s">
        <v>181</v>
      </c>
      <c r="E247" s="45" t="s">
        <v>1274</v>
      </c>
      <c r="F247" s="45" t="s">
        <v>1275</v>
      </c>
      <c r="G247" s="46" t="s">
        <v>39</v>
      </c>
      <c r="H247" s="48">
        <v>46090</v>
      </c>
      <c r="I247" s="48">
        <v>46098</v>
      </c>
      <c r="J247" s="44" t="s">
        <v>108</v>
      </c>
      <c r="K247" s="44" t="s">
        <v>100</v>
      </c>
      <c r="L247" s="50" t="s">
        <v>206</v>
      </c>
      <c r="M247" s="50" t="s">
        <v>153</v>
      </c>
      <c r="N247" s="50"/>
      <c r="O247" s="49"/>
      <c r="P247" s="50" t="str">
        <f t="shared" si="12"/>
        <v>KAPSAM DIŞI</v>
      </c>
      <c r="R247" s="51" t="str">
        <f t="shared" si="13"/>
        <v/>
      </c>
      <c r="T247" s="41"/>
      <c r="U247" s="29">
        <f>IF($C247&lt;&gt;"",COUNTIF($C$2:C247,C247),"")</f>
        <v>1</v>
      </c>
      <c r="V247" s="29" t="str">
        <f t="shared" si="14"/>
        <v>Doç. Dr. Başak AKÇA§1</v>
      </c>
      <c r="W247" s="29">
        <f>IF(U247=1,COUNTIF($U$2:U247,1),"")</f>
        <v>165</v>
      </c>
      <c r="X247" s="29">
        <f t="shared" si="15"/>
        <v>23</v>
      </c>
      <c r="Y247" s="29">
        <f>IF(AND(LEFT($B247,7)="SBA 26/",$D247&lt;&gt;"",$F247&lt;&gt;""),COUNTIFS($D$2:$D247,$D247,$B$2:$B247,"SBA 26/*",$F$2:$F247,"&lt;&gt;"),"")</f>
        <v>5</v>
      </c>
      <c r="Z247" s="29" t="str">
        <f>IF(Y247=1,COUNTIF($Y$2:Y247,1),"")</f>
        <v/>
      </c>
      <c r="AA247" s="29">
        <f>IF(AND(LEFT($B247,7)="SBA 26/",$C247&lt;&gt;"",$F247&lt;&gt;""),COUNTIFS($C$2:$C247,$C247,$B$2:$B247,"SBA 26/*",$F$2:$F247,"&lt;&gt;"),"")</f>
        <v>1</v>
      </c>
      <c r="AB247" s="29">
        <f>IF(AA247=1,COUNTIF($AA$2:AA247,1),"")</f>
        <v>165</v>
      </c>
    </row>
    <row r="248" spans="1:28" ht="94.5" customHeight="1" x14ac:dyDescent="0.2">
      <c r="A248" s="43" t="s">
        <v>1276</v>
      </c>
      <c r="B248" s="43" t="s">
        <v>1277</v>
      </c>
      <c r="C248" s="44" t="s">
        <v>1278</v>
      </c>
      <c r="D248" s="44" t="s">
        <v>391</v>
      </c>
      <c r="E248" s="45" t="s">
        <v>1279</v>
      </c>
      <c r="F248" s="45" t="s">
        <v>1280</v>
      </c>
      <c r="G248" s="46" t="s">
        <v>38</v>
      </c>
      <c r="H248" s="48">
        <v>46090</v>
      </c>
      <c r="I248" s="48">
        <v>46098</v>
      </c>
      <c r="J248" s="44" t="s">
        <v>99</v>
      </c>
      <c r="K248" s="44" t="s">
        <v>123</v>
      </c>
      <c r="L248" s="50" t="s">
        <v>101</v>
      </c>
      <c r="M248" s="50" t="s">
        <v>77</v>
      </c>
      <c r="N248" s="50"/>
      <c r="O248" s="49"/>
      <c r="P248" s="50" t="str">
        <f t="shared" si="12"/>
        <v>ONAY</v>
      </c>
      <c r="Q248" s="28" t="s">
        <v>1281</v>
      </c>
      <c r="R248" s="51" t="str">
        <f t="shared" si="13"/>
        <v/>
      </c>
      <c r="T248" s="41"/>
      <c r="U248" s="29">
        <f>IF($C248&lt;&gt;"",COUNTIF($C$2:C248,C248),"")</f>
        <v>1</v>
      </c>
      <c r="V248" s="29" t="str">
        <f t="shared" si="14"/>
        <v>Prof. Dr. Mehmet Cemalettin AKSOY§1</v>
      </c>
      <c r="W248" s="29">
        <f>IF(U248=1,COUNTIF($U$2:U248,1),"")</f>
        <v>166</v>
      </c>
      <c r="X248" s="29">
        <f t="shared" si="15"/>
        <v>260</v>
      </c>
      <c r="Y248" s="29">
        <f>IF(AND(LEFT($B248,7)="SBA 26/",$D248&lt;&gt;"",$F248&lt;&gt;""),COUNTIFS($D$2:$D248,$D248,$B$2:$B248,"SBA 26/*",$F$2:$F248,"&lt;&gt;"),"")</f>
        <v>11</v>
      </c>
      <c r="Z248" s="29" t="str">
        <f>IF(Y248=1,COUNTIF($Y$2:Y248,1),"")</f>
        <v/>
      </c>
      <c r="AA248" s="29">
        <f>IF(AND(LEFT($B248,7)="SBA 26/",$C248&lt;&gt;"",$F248&lt;&gt;""),COUNTIFS($C$2:$C248,$C248,$B$2:$B248,"SBA 26/*",$F$2:$F248,"&lt;&gt;"),"")</f>
        <v>1</v>
      </c>
      <c r="AB248" s="29">
        <f>IF(AA248=1,COUNTIF($AA$2:AA248,1),"")</f>
        <v>166</v>
      </c>
    </row>
    <row r="249" spans="1:28" ht="141.75" customHeight="1" x14ac:dyDescent="0.2">
      <c r="A249" s="43" t="s">
        <v>1282</v>
      </c>
      <c r="B249" s="43" t="s">
        <v>1283</v>
      </c>
      <c r="C249" s="44" t="s">
        <v>369</v>
      </c>
      <c r="D249" s="44" t="s">
        <v>341</v>
      </c>
      <c r="E249" s="45" t="s">
        <v>1284</v>
      </c>
      <c r="F249" s="45" t="s">
        <v>1285</v>
      </c>
      <c r="G249" s="46" t="s">
        <v>39</v>
      </c>
      <c r="H249" s="48">
        <v>46090</v>
      </c>
      <c r="I249" s="48">
        <v>46098</v>
      </c>
      <c r="J249" s="44" t="s">
        <v>129</v>
      </c>
      <c r="K249" s="44" t="s">
        <v>116</v>
      </c>
      <c r="L249" s="50" t="s">
        <v>101</v>
      </c>
      <c r="M249" s="50" t="s">
        <v>77</v>
      </c>
      <c r="N249" s="50"/>
      <c r="O249" s="49"/>
      <c r="P249" s="50" t="str">
        <f t="shared" si="12"/>
        <v>ONAY</v>
      </c>
      <c r="Q249" s="28" t="s">
        <v>116</v>
      </c>
      <c r="R249" s="51" t="str">
        <f t="shared" si="13"/>
        <v/>
      </c>
      <c r="T249" s="41"/>
      <c r="U249" s="29">
        <f>IF($C249&lt;&gt;"",COUNTIF($C$2:C249,C249),"")</f>
        <v>3</v>
      </c>
      <c r="V249" s="29" t="str">
        <f t="shared" si="14"/>
        <v>Doç. Dr. Başak YALICI ARMAĞAN§3</v>
      </c>
      <c r="W249" s="29" t="str">
        <f>IF(U249=1,COUNTIF($U$2:U249,1),"")</f>
        <v/>
      </c>
      <c r="X249" s="29" t="str">
        <f t="shared" si="15"/>
        <v/>
      </c>
      <c r="Y249" s="29">
        <f>IF(AND(LEFT($B249,7)="SBA 26/",$D249&lt;&gt;"",$F249&lt;&gt;""),COUNTIFS($D$2:$D249,$D249,$B$2:$B249,"SBA 26/*",$F$2:$F249,"&lt;&gt;"),"")</f>
        <v>7</v>
      </c>
      <c r="Z249" s="29" t="str">
        <f>IF(Y249=1,COUNTIF($Y$2:Y249,1),"")</f>
        <v/>
      </c>
      <c r="AA249" s="29">
        <f>IF(AND(LEFT($B249,7)="SBA 26/",$C249&lt;&gt;"",$F249&lt;&gt;""),COUNTIFS($C$2:$C249,$C249,$B$2:$B249,"SBA 26/*",$F$2:$F249,"&lt;&gt;"),"")</f>
        <v>3</v>
      </c>
      <c r="AB249" s="29" t="str">
        <f>IF(AA249=1,COUNTIF($AA$2:AA249,1),"")</f>
        <v/>
      </c>
    </row>
    <row r="250" spans="1:28" ht="111" customHeight="1" x14ac:dyDescent="0.2">
      <c r="A250" s="43" t="s">
        <v>1286</v>
      </c>
      <c r="B250" s="43" t="s">
        <v>1287</v>
      </c>
      <c r="C250" s="44" t="s">
        <v>227</v>
      </c>
      <c r="D250" s="44" t="s">
        <v>228</v>
      </c>
      <c r="E250" s="45" t="s">
        <v>1288</v>
      </c>
      <c r="F250" s="45" t="s">
        <v>1289</v>
      </c>
      <c r="G250" s="46" t="s">
        <v>38</v>
      </c>
      <c r="H250" s="48">
        <v>46090</v>
      </c>
      <c r="I250" s="48">
        <v>46098</v>
      </c>
      <c r="J250" s="44" t="s">
        <v>91</v>
      </c>
      <c r="K250" s="44" t="s">
        <v>123</v>
      </c>
      <c r="L250" s="50" t="s">
        <v>77</v>
      </c>
      <c r="M250" s="50"/>
      <c r="N250" s="50"/>
      <c r="O250" s="49"/>
      <c r="P250" s="50" t="str">
        <f t="shared" si="12"/>
        <v>ONAY</v>
      </c>
      <c r="R250" s="51" t="str">
        <f t="shared" si="13"/>
        <v/>
      </c>
      <c r="T250" s="41"/>
      <c r="U250" s="29">
        <f>IF($C250&lt;&gt;"",COUNTIF($C$2:C250,C250),"")</f>
        <v>6</v>
      </c>
      <c r="V250" s="29" t="str">
        <f t="shared" si="14"/>
        <v>Dr. Öğr. Üyesi Gonca ÖZTEN DERE§6</v>
      </c>
      <c r="W250" s="29" t="str">
        <f>IF(U250=1,COUNTIF($U$2:U250,1),"")</f>
        <v/>
      </c>
      <c r="X250" s="29" t="str">
        <f t="shared" si="15"/>
        <v/>
      </c>
      <c r="Y250" s="29">
        <f>IF(AND(LEFT($B250,7)="SBA 26/",$D250&lt;&gt;"",$F250&lt;&gt;""),COUNTIFS($D$2:$D250,$D250,$B$2:$B250,"SBA 26/*",$F$2:$F250,"&lt;&gt;"),"")</f>
        <v>13</v>
      </c>
      <c r="Z250" s="29" t="str">
        <f>IF(Y250=1,COUNTIF($Y$2:Y250,1),"")</f>
        <v/>
      </c>
      <c r="AA250" s="29">
        <f>IF(AND(LEFT($B250,7)="SBA 26/",$C250&lt;&gt;"",$F250&lt;&gt;""),COUNTIFS($C$2:$C250,$C250,$B$2:$B250,"SBA 26/*",$F$2:$F250,"&lt;&gt;"),"")</f>
        <v>6</v>
      </c>
      <c r="AB250" s="29" t="str">
        <f>IF(AA250=1,COUNTIF($AA$2:AA250,1),"")</f>
        <v/>
      </c>
    </row>
    <row r="251" spans="1:28" ht="63" customHeight="1" x14ac:dyDescent="0.2">
      <c r="A251" s="43" t="s">
        <v>1290</v>
      </c>
      <c r="B251" s="43" t="s">
        <v>1291</v>
      </c>
      <c r="C251" s="44" t="s">
        <v>623</v>
      </c>
      <c r="D251" s="44" t="s">
        <v>169</v>
      </c>
      <c r="E251" s="45" t="s">
        <v>1292</v>
      </c>
      <c r="F251" s="45" t="s">
        <v>1293</v>
      </c>
      <c r="G251" s="46" t="s">
        <v>38</v>
      </c>
      <c r="H251" s="48">
        <v>46090</v>
      </c>
      <c r="I251" s="48">
        <v>46098</v>
      </c>
      <c r="J251" s="44" t="s">
        <v>75</v>
      </c>
      <c r="K251" s="44" t="s">
        <v>76</v>
      </c>
      <c r="L251" s="50" t="s">
        <v>101</v>
      </c>
      <c r="M251" s="50" t="s">
        <v>77</v>
      </c>
      <c r="N251" s="50"/>
      <c r="O251" s="49"/>
      <c r="P251" s="50" t="str">
        <f t="shared" si="12"/>
        <v>ONAY</v>
      </c>
      <c r="Q251" s="28" t="s">
        <v>75</v>
      </c>
      <c r="R251" s="51" t="str">
        <f t="shared" si="13"/>
        <v/>
      </c>
      <c r="T251" s="41"/>
      <c r="U251" s="29">
        <f>IF($C251&lt;&gt;"",COUNTIF($C$2:C251,C251),"")</f>
        <v>2</v>
      </c>
      <c r="V251" s="29" t="str">
        <f t="shared" si="14"/>
        <v>Öğr. Gör. Dr. Aytekin İDİKUT§2</v>
      </c>
      <c r="W251" s="29" t="str">
        <f>IF(U251=1,COUNTIF($U$2:U251,1),"")</f>
        <v/>
      </c>
      <c r="X251" s="29" t="str">
        <f t="shared" si="15"/>
        <v/>
      </c>
      <c r="Y251" s="29">
        <f>IF(AND(LEFT($B251,7)="SBA 26/",$D251&lt;&gt;"",$F251&lt;&gt;""),COUNTIFS($D$2:$D251,$D251,$B$2:$B251,"SBA 26/*",$F$2:$F251,"&lt;&gt;"),"")</f>
        <v>10</v>
      </c>
      <c r="Z251" s="29" t="str">
        <f>IF(Y251=1,COUNTIF($Y$2:Y251,1),"")</f>
        <v/>
      </c>
      <c r="AA251" s="29">
        <f>IF(AND(LEFT($B251,7)="SBA 26/",$C251&lt;&gt;"",$F251&lt;&gt;""),COUNTIFS($C$2:$C251,$C251,$B$2:$B251,"SBA 26/*",$F$2:$F251,"&lt;&gt;"),"")</f>
        <v>2</v>
      </c>
      <c r="AB251" s="29" t="str">
        <f>IF(AA251=1,COUNTIF($AA$2:AA251,1),"")</f>
        <v/>
      </c>
    </row>
    <row r="252" spans="1:28" ht="63" customHeight="1" x14ac:dyDescent="0.2">
      <c r="A252" s="43" t="s">
        <v>1294</v>
      </c>
      <c r="B252" s="43" t="s">
        <v>1295</v>
      </c>
      <c r="C252" s="44" t="s">
        <v>848</v>
      </c>
      <c r="D252" s="44" t="s">
        <v>391</v>
      </c>
      <c r="E252" s="45" t="s">
        <v>1296</v>
      </c>
      <c r="F252" s="45" t="s">
        <v>1297</v>
      </c>
      <c r="G252" s="46" t="s">
        <v>38</v>
      </c>
      <c r="H252" s="48">
        <v>46090</v>
      </c>
      <c r="I252" s="48">
        <v>46098</v>
      </c>
      <c r="J252" s="44" t="s">
        <v>92</v>
      </c>
      <c r="K252" s="44" t="s">
        <v>100</v>
      </c>
      <c r="L252" s="50" t="s">
        <v>77</v>
      </c>
      <c r="M252" s="50"/>
      <c r="N252" s="50"/>
      <c r="O252" s="49"/>
      <c r="P252" s="50" t="str">
        <f t="shared" si="12"/>
        <v>ONAY</v>
      </c>
      <c r="R252" s="51" t="str">
        <f t="shared" si="13"/>
        <v/>
      </c>
      <c r="T252" s="41"/>
      <c r="U252" s="29">
        <f>IF($C252&lt;&gt;"",COUNTIF($C$2:C252,C252),"")</f>
        <v>2</v>
      </c>
      <c r="V252" s="29" t="str">
        <f t="shared" si="14"/>
        <v>Dr. Öğr. Üyesi Barış KAFA§2</v>
      </c>
      <c r="W252" s="29" t="str">
        <f>IF(U252=1,COUNTIF($U$2:U252,1),"")</f>
        <v/>
      </c>
      <c r="X252" s="29" t="str">
        <f t="shared" si="15"/>
        <v/>
      </c>
      <c r="Y252" s="29">
        <f>IF(AND(LEFT($B252,7)="SBA 26/",$D252&lt;&gt;"",$F252&lt;&gt;""),COUNTIFS($D$2:$D252,$D252,$B$2:$B252,"SBA 26/*",$F$2:$F252,"&lt;&gt;"),"")</f>
        <v>12</v>
      </c>
      <c r="Z252" s="29" t="str">
        <f>IF(Y252=1,COUNTIF($Y$2:Y252,1),"")</f>
        <v/>
      </c>
      <c r="AA252" s="29">
        <f>IF(AND(LEFT($B252,7)="SBA 26/",$C252&lt;&gt;"",$F252&lt;&gt;""),COUNTIFS($C$2:$C252,$C252,$B$2:$B252,"SBA 26/*",$F$2:$F252,"&lt;&gt;"),"")</f>
        <v>2</v>
      </c>
      <c r="AB252" s="29" t="str">
        <f>IF(AA252=1,COUNTIF($AA$2:AA252,1),"")</f>
        <v/>
      </c>
    </row>
    <row r="253" spans="1:28" ht="63" customHeight="1" x14ac:dyDescent="0.2">
      <c r="A253" s="43" t="s">
        <v>1298</v>
      </c>
      <c r="B253" s="43" t="s">
        <v>1299</v>
      </c>
      <c r="C253" s="44" t="s">
        <v>1300</v>
      </c>
      <c r="D253" s="44" t="s">
        <v>228</v>
      </c>
      <c r="E253" s="45" t="s">
        <v>1301</v>
      </c>
      <c r="F253" s="45" t="s">
        <v>1302</v>
      </c>
      <c r="G253" s="46" t="s">
        <v>38</v>
      </c>
      <c r="H253" s="48">
        <v>46090</v>
      </c>
      <c r="I253" s="48">
        <v>46098</v>
      </c>
      <c r="J253" s="44" t="s">
        <v>91</v>
      </c>
      <c r="K253" s="44" t="s">
        <v>99</v>
      </c>
      <c r="L253" s="50" t="s">
        <v>172</v>
      </c>
      <c r="M253" s="50"/>
      <c r="N253" s="50"/>
      <c r="O253" s="49"/>
      <c r="P253" s="50" t="str">
        <f t="shared" si="12"/>
        <v>RET</v>
      </c>
      <c r="R253" s="51" t="str">
        <f t="shared" si="13"/>
        <v/>
      </c>
      <c r="T253" s="41"/>
      <c r="U253" s="29">
        <f>IF($C253&lt;&gt;"",COUNTIF($C$2:C253,C253),"")</f>
        <v>1</v>
      </c>
      <c r="V253" s="29" t="str">
        <f t="shared" si="14"/>
        <v>Prof. Dr. Murat GÜLTEKİN§1</v>
      </c>
      <c r="W253" s="29">
        <f>IF(U253=1,COUNTIF($U$2:U253,1),"")</f>
        <v>167</v>
      </c>
      <c r="X253" s="29">
        <f t="shared" si="15"/>
        <v>267</v>
      </c>
      <c r="Y253" s="29">
        <f>IF(AND(LEFT($B253,7)="SBA 26/",$D253&lt;&gt;"",$F253&lt;&gt;""),COUNTIFS($D$2:$D253,$D253,$B$2:$B253,"SBA 26/*",$F$2:$F253,"&lt;&gt;"),"")</f>
        <v>14</v>
      </c>
      <c r="Z253" s="29" t="str">
        <f>IF(Y253=1,COUNTIF($Y$2:Y253,1),"")</f>
        <v/>
      </c>
      <c r="AA253" s="29">
        <f>IF(AND(LEFT($B253,7)="SBA 26/",$C253&lt;&gt;"",$F253&lt;&gt;""),COUNTIFS($C$2:$C253,$C253,$B$2:$B253,"SBA 26/*",$F$2:$F253,"&lt;&gt;"),"")</f>
        <v>1</v>
      </c>
      <c r="AB253" s="29">
        <f>IF(AA253=1,COUNTIF($AA$2:AA253,1),"")</f>
        <v>167</v>
      </c>
    </row>
    <row r="254" spans="1:28" ht="78.75" customHeight="1" x14ac:dyDescent="0.2">
      <c r="A254" s="43" t="s">
        <v>1303</v>
      </c>
      <c r="B254" s="43" t="s">
        <v>1304</v>
      </c>
      <c r="C254" s="44" t="s">
        <v>424</v>
      </c>
      <c r="D254" s="44" t="s">
        <v>364</v>
      </c>
      <c r="E254" s="45" t="s">
        <v>1305</v>
      </c>
      <c r="F254" s="45" t="s">
        <v>1306</v>
      </c>
      <c r="G254" s="46" t="s">
        <v>38</v>
      </c>
      <c r="H254" s="48">
        <v>46090</v>
      </c>
      <c r="I254" s="48">
        <v>46098</v>
      </c>
      <c r="J254" s="44" t="s">
        <v>116</v>
      </c>
      <c r="K254" s="44" t="s">
        <v>92</v>
      </c>
      <c r="L254" s="50" t="s">
        <v>77</v>
      </c>
      <c r="M254" s="50"/>
      <c r="N254" s="50"/>
      <c r="O254" s="49"/>
      <c r="P254" s="50" t="str">
        <f t="shared" si="12"/>
        <v>ONAY</v>
      </c>
      <c r="R254" s="51" t="str">
        <f t="shared" si="13"/>
        <v/>
      </c>
      <c r="T254" s="41"/>
      <c r="U254" s="29">
        <f>IF($C254&lt;&gt;"",COUNTIF($C$2:C254,C254),"")</f>
        <v>2</v>
      </c>
      <c r="V254" s="29" t="str">
        <f t="shared" si="14"/>
        <v>Prof. Dr. Fatma Gökçem YILDIZ SARIKAYA§2</v>
      </c>
      <c r="W254" s="29" t="str">
        <f>IF(U254=1,COUNTIF($U$2:U254,1),"")</f>
        <v/>
      </c>
      <c r="X254" s="29" t="str">
        <f t="shared" si="15"/>
        <v/>
      </c>
      <c r="Y254" s="29">
        <f>IF(AND(LEFT($B254,7)="SBA 26/",$D254&lt;&gt;"",$F254&lt;&gt;""),COUNTIFS($D$2:$D254,$D254,$B$2:$B254,"SBA 26/*",$F$2:$F254,"&lt;&gt;"),"")</f>
        <v>9</v>
      </c>
      <c r="Z254" s="29" t="str">
        <f>IF(Y254=1,COUNTIF($Y$2:Y254,1),"")</f>
        <v/>
      </c>
      <c r="AA254" s="29">
        <f>IF(AND(LEFT($B254,7)="SBA 26/",$C254&lt;&gt;"",$F254&lt;&gt;""),COUNTIFS($C$2:$C254,$C254,$B$2:$B254,"SBA 26/*",$F$2:$F254,"&lt;&gt;"),"")</f>
        <v>2</v>
      </c>
      <c r="AB254" s="29" t="str">
        <f>IF(AA254=1,COUNTIF($AA$2:AA254,1),"")</f>
        <v/>
      </c>
    </row>
    <row r="255" spans="1:28" ht="78.75" customHeight="1" x14ac:dyDescent="0.2">
      <c r="A255" s="43" t="s">
        <v>1307</v>
      </c>
      <c r="B255" s="43" t="s">
        <v>1308</v>
      </c>
      <c r="C255" s="44" t="s">
        <v>652</v>
      </c>
      <c r="D255" s="44" t="s">
        <v>364</v>
      </c>
      <c r="E255" s="45" t="s">
        <v>1309</v>
      </c>
      <c r="F255" s="45" t="s">
        <v>1310</v>
      </c>
      <c r="G255" s="46" t="s">
        <v>38</v>
      </c>
      <c r="H255" s="48">
        <v>46090</v>
      </c>
      <c r="I255" s="48">
        <v>46098</v>
      </c>
      <c r="J255" s="44" t="s">
        <v>108</v>
      </c>
      <c r="K255" s="44" t="s">
        <v>116</v>
      </c>
      <c r="L255" s="50" t="s">
        <v>77</v>
      </c>
      <c r="M255" s="50"/>
      <c r="N255" s="50"/>
      <c r="O255" s="49"/>
      <c r="P255" s="50" t="str">
        <f t="shared" si="12"/>
        <v>ONAY</v>
      </c>
      <c r="R255" s="51" t="str">
        <f t="shared" si="13"/>
        <v/>
      </c>
      <c r="T255" s="41"/>
      <c r="U255" s="29">
        <f>IF($C255&lt;&gt;"",COUNTIF($C$2:C255,C255),"")</f>
        <v>3</v>
      </c>
      <c r="V255" s="29" t="str">
        <f t="shared" si="14"/>
        <v>Prof. Dr. Çağrı Mesut TEMUÇİN§3</v>
      </c>
      <c r="W255" s="29" t="str">
        <f>IF(U255=1,COUNTIF($U$2:U255,1),"")</f>
        <v/>
      </c>
      <c r="X255" s="29" t="str">
        <f t="shared" si="15"/>
        <v/>
      </c>
      <c r="Y255" s="29">
        <f>IF(AND(LEFT($B255,7)="SBA 26/",$D255&lt;&gt;"",$F255&lt;&gt;""),COUNTIFS($D$2:$D255,$D255,$B$2:$B255,"SBA 26/*",$F$2:$F255,"&lt;&gt;"),"")</f>
        <v>10</v>
      </c>
      <c r="Z255" s="29" t="str">
        <f>IF(Y255=1,COUNTIF($Y$2:Y255,1),"")</f>
        <v/>
      </c>
      <c r="AA255" s="29">
        <f>IF(AND(LEFT($B255,7)="SBA 26/",$C255&lt;&gt;"",$F255&lt;&gt;""),COUNTIFS($C$2:$C255,$C255,$B$2:$B255,"SBA 26/*",$F$2:$F255,"&lt;&gt;"),"")</f>
        <v>3</v>
      </c>
      <c r="AB255" s="29" t="str">
        <f>IF(AA255=1,COUNTIF($AA$2:AA255,1),"")</f>
        <v/>
      </c>
    </row>
    <row r="256" spans="1:28" ht="78.75" customHeight="1" x14ac:dyDescent="0.2">
      <c r="A256" s="43" t="s">
        <v>1311</v>
      </c>
      <c r="B256" s="43" t="s">
        <v>1312</v>
      </c>
      <c r="C256" s="44" t="s">
        <v>633</v>
      </c>
      <c r="D256" s="44" t="s">
        <v>228</v>
      </c>
      <c r="E256" s="45" t="s">
        <v>1313</v>
      </c>
      <c r="F256" s="45" t="s">
        <v>1314</v>
      </c>
      <c r="G256" s="46" t="s">
        <v>38</v>
      </c>
      <c r="H256" s="48">
        <v>46090</v>
      </c>
      <c r="I256" s="48">
        <v>46098</v>
      </c>
      <c r="J256" s="44" t="s">
        <v>129</v>
      </c>
      <c r="K256" s="44" t="s">
        <v>84</v>
      </c>
      <c r="L256" s="50" t="s">
        <v>77</v>
      </c>
      <c r="M256" s="50"/>
      <c r="N256" s="50"/>
      <c r="O256" s="49"/>
      <c r="P256" s="50" t="str">
        <f t="shared" si="12"/>
        <v>ONAY</v>
      </c>
      <c r="R256" s="51" t="str">
        <f t="shared" si="13"/>
        <v/>
      </c>
      <c r="T256" s="41"/>
      <c r="U256" s="29">
        <f>IF($C256&lt;&gt;"",COUNTIF($C$2:C256,C256),"")</f>
        <v>3</v>
      </c>
      <c r="V256" s="29" t="str">
        <f t="shared" si="14"/>
        <v>Doç. Dr. Utku AKGÖR§3</v>
      </c>
      <c r="W256" s="29" t="str">
        <f>IF(U256=1,COUNTIF($U$2:U256,1),"")</f>
        <v/>
      </c>
      <c r="X256" s="29" t="str">
        <f t="shared" si="15"/>
        <v/>
      </c>
      <c r="Y256" s="29">
        <f>IF(AND(LEFT($B256,7)="SBA 26/",$D256&lt;&gt;"",$F256&lt;&gt;""),COUNTIFS($D$2:$D256,$D256,$B$2:$B256,"SBA 26/*",$F$2:$F256,"&lt;&gt;"),"")</f>
        <v>15</v>
      </c>
      <c r="Z256" s="29" t="str">
        <f>IF(Y256=1,COUNTIF($Y$2:Y256,1),"")</f>
        <v/>
      </c>
      <c r="AA256" s="29">
        <f>IF(AND(LEFT($B256,7)="SBA 26/",$C256&lt;&gt;"",$F256&lt;&gt;""),COUNTIFS($C$2:$C256,$C256,$B$2:$B256,"SBA 26/*",$F$2:$F256,"&lt;&gt;"),"")</f>
        <v>3</v>
      </c>
      <c r="AB256" s="29" t="str">
        <f>IF(AA256=1,COUNTIF($AA$2:AA256,1),"")</f>
        <v/>
      </c>
    </row>
    <row r="257" spans="1:28" ht="78.75" customHeight="1" x14ac:dyDescent="0.2">
      <c r="A257" s="43" t="s">
        <v>1315</v>
      </c>
      <c r="B257" s="43" t="s">
        <v>1316</v>
      </c>
      <c r="C257" s="44" t="s">
        <v>396</v>
      </c>
      <c r="D257" s="44" t="s">
        <v>397</v>
      </c>
      <c r="E257" s="45" t="s">
        <v>1317</v>
      </c>
      <c r="F257" s="45" t="s">
        <v>1318</v>
      </c>
      <c r="G257" s="46" t="s">
        <v>41</v>
      </c>
      <c r="H257" s="48">
        <v>46090</v>
      </c>
      <c r="I257" s="48">
        <v>46098</v>
      </c>
      <c r="J257" s="44" t="s">
        <v>75</v>
      </c>
      <c r="K257" s="44" t="s">
        <v>84</v>
      </c>
      <c r="L257" s="50" t="s">
        <v>101</v>
      </c>
      <c r="M257" s="50" t="s">
        <v>77</v>
      </c>
      <c r="N257" s="50"/>
      <c r="O257" s="49"/>
      <c r="P257" s="50" t="str">
        <f t="shared" si="12"/>
        <v>ONAY</v>
      </c>
      <c r="Q257" s="28" t="s">
        <v>75</v>
      </c>
      <c r="R257" s="51" t="str">
        <f t="shared" si="13"/>
        <v/>
      </c>
      <c r="T257" s="41"/>
      <c r="U257" s="29">
        <f>IF($C257&lt;&gt;"",COUNTIF($C$2:C257,C257),"")</f>
        <v>4</v>
      </c>
      <c r="V257" s="29" t="str">
        <f t="shared" si="14"/>
        <v>Prof. Dr. Salih Kutay DEMİRKAN§4</v>
      </c>
      <c r="W257" s="29" t="str">
        <f>IF(U257=1,COUNTIF($U$2:U257,1),"")</f>
        <v/>
      </c>
      <c r="X257" s="29" t="str">
        <f t="shared" si="15"/>
        <v/>
      </c>
      <c r="Y257" s="29">
        <f>IF(AND(LEFT($B257,7)="SBA 26/",$D257&lt;&gt;"",$F257&lt;&gt;""),COUNTIFS($D$2:$D257,$D257,$B$2:$B257,"SBA 26/*",$F$2:$F257,"&lt;&gt;"),"")</f>
        <v>10</v>
      </c>
      <c r="Z257" s="29" t="str">
        <f>IF(Y257=1,COUNTIF($Y$2:Y257,1),"")</f>
        <v/>
      </c>
      <c r="AA257" s="29">
        <f>IF(AND(LEFT($B257,7)="SBA 26/",$C257&lt;&gt;"",$F257&lt;&gt;""),COUNTIFS($C$2:$C257,$C257,$B$2:$B257,"SBA 26/*",$F$2:$F257,"&lt;&gt;"),"")</f>
        <v>4</v>
      </c>
      <c r="AB257" s="29" t="str">
        <f>IF(AA257=1,COUNTIF($AA$2:AA257,1),"")</f>
        <v/>
      </c>
    </row>
    <row r="258" spans="1:28" ht="63" customHeight="1" x14ac:dyDescent="0.2">
      <c r="A258" s="43" t="s">
        <v>1319</v>
      </c>
      <c r="B258" s="43" t="s">
        <v>1320</v>
      </c>
      <c r="C258" s="44" t="s">
        <v>1321</v>
      </c>
      <c r="D258" s="44" t="s">
        <v>215</v>
      </c>
      <c r="E258" s="45" t="s">
        <v>1322</v>
      </c>
      <c r="F258" s="45" t="s">
        <v>1323</v>
      </c>
      <c r="G258" s="46" t="s">
        <v>38</v>
      </c>
      <c r="H258" s="48">
        <v>46090</v>
      </c>
      <c r="I258" s="48">
        <v>46098</v>
      </c>
      <c r="J258" s="44" t="s">
        <v>123</v>
      </c>
      <c r="K258" s="44" t="s">
        <v>76</v>
      </c>
      <c r="L258" s="50" t="s">
        <v>101</v>
      </c>
      <c r="M258" s="50" t="s">
        <v>400</v>
      </c>
      <c r="N258" s="50"/>
      <c r="O258" s="49"/>
      <c r="P258" s="50" t="str">
        <f t="shared" ref="P258:P321" si="16">IF(O258&lt;&gt;"",O258, IF(N258&lt;&gt;"",N258, IF(M258&lt;&gt;"",M258, L258)))</f>
        <v>GERİ ÇEKİLDİ</v>
      </c>
      <c r="R258" s="51" t="str">
        <f t="shared" ref="R258:R321" si="17">IF(AND($I258&lt;&gt;"",$I258&gt;=DATE(2026,6,23),COUNTIFS($C:$C,$C258,$I:$I,$I258)&gt;2),"⚠ "&amp;COUNTIFS($C:$C,$C258,$I:$I,$I258)&amp;" BAŞVURU!","")</f>
        <v/>
      </c>
      <c r="T258" s="41"/>
      <c r="U258" s="29">
        <f>IF($C258&lt;&gt;"",COUNTIF($C$2:C258,C258),"")</f>
        <v>1</v>
      </c>
      <c r="V258" s="29" t="str">
        <f t="shared" ref="V258:V321" si="18">IF($C258&lt;&gt;"",C258&amp;"§"&amp;U258,"")</f>
        <v>Dr. Öğr. Üyesi Selen ADİLOĞLU§1</v>
      </c>
      <c r="W258" s="29">
        <f>IF(U258=1,COUNTIF($U$2:U258,1),"")</f>
        <v>168</v>
      </c>
      <c r="X258" s="29">
        <f t="shared" ref="X258:X321" si="19">IF(U258=1,SUMPRODUCT(($U$2:$U$1799=1)*($C$2:$C$1799&lt;C258))+1,"")</f>
        <v>157</v>
      </c>
      <c r="Y258" s="29">
        <f>IF(AND(LEFT($B258,7)="SBA 26/",$D258&lt;&gt;"",$F258&lt;&gt;""),COUNTIFS($D$2:$D258,$D258,$B$2:$B258,"SBA 26/*",$F$2:$F258,"&lt;&gt;"),"")</f>
        <v>4</v>
      </c>
      <c r="Z258" s="29" t="str">
        <f>IF(Y258=1,COUNTIF($Y$2:Y258,1),"")</f>
        <v/>
      </c>
      <c r="AA258" s="29">
        <f>IF(AND(LEFT($B258,7)="SBA 26/",$C258&lt;&gt;"",$F258&lt;&gt;""),COUNTIFS($C$2:$C258,$C258,$B$2:$B258,"SBA 26/*",$F$2:$F258,"&lt;&gt;"),"")</f>
        <v>1</v>
      </c>
      <c r="AB258" s="29">
        <f>IF(AA258=1,COUNTIF($AA$2:AA258,1),"")</f>
        <v>168</v>
      </c>
    </row>
    <row r="259" spans="1:28" ht="80.25" customHeight="1" x14ac:dyDescent="0.2">
      <c r="A259" s="43" t="s">
        <v>1324</v>
      </c>
      <c r="B259" s="43" t="s">
        <v>1325</v>
      </c>
      <c r="C259" s="44" t="s">
        <v>1321</v>
      </c>
      <c r="D259" s="44" t="s">
        <v>215</v>
      </c>
      <c r="E259" s="45" t="s">
        <v>1322</v>
      </c>
      <c r="F259" s="45" t="s">
        <v>1326</v>
      </c>
      <c r="G259" s="46" t="s">
        <v>38</v>
      </c>
      <c r="H259" s="48">
        <v>46090</v>
      </c>
      <c r="I259" s="48">
        <v>46098</v>
      </c>
      <c r="J259" s="44" t="s">
        <v>123</v>
      </c>
      <c r="K259" s="44" t="s">
        <v>99</v>
      </c>
      <c r="L259" s="50" t="s">
        <v>101</v>
      </c>
      <c r="M259" s="50" t="s">
        <v>77</v>
      </c>
      <c r="N259" s="50"/>
      <c r="O259" s="49"/>
      <c r="P259" s="50" t="str">
        <f t="shared" si="16"/>
        <v>ONAY</v>
      </c>
      <c r="Q259" s="28" t="s">
        <v>123</v>
      </c>
      <c r="R259" s="51" t="str">
        <f t="shared" si="17"/>
        <v/>
      </c>
      <c r="T259" s="41"/>
      <c r="U259" s="29">
        <f>IF($C259&lt;&gt;"",COUNTIF($C$2:C259,C259),"")</f>
        <v>2</v>
      </c>
      <c r="V259" s="29" t="str">
        <f t="shared" si="18"/>
        <v>Dr. Öğr. Üyesi Selen ADİLOĞLU§2</v>
      </c>
      <c r="W259" s="29" t="str">
        <f>IF(U259=1,COUNTIF($U$2:U259,1),"")</f>
        <v/>
      </c>
      <c r="X259" s="29" t="str">
        <f t="shared" si="19"/>
        <v/>
      </c>
      <c r="Y259" s="29">
        <f>IF(AND(LEFT($B259,7)="SBA 26/",$D259&lt;&gt;"",$F259&lt;&gt;""),COUNTIFS($D$2:$D259,$D259,$B$2:$B259,"SBA 26/*",$F$2:$F259,"&lt;&gt;"),"")</f>
        <v>5</v>
      </c>
      <c r="Z259" s="29" t="str">
        <f>IF(Y259=1,COUNTIF($Y$2:Y259,1),"")</f>
        <v/>
      </c>
      <c r="AA259" s="29">
        <f>IF(AND(LEFT($B259,7)="SBA 26/",$C259&lt;&gt;"",$F259&lt;&gt;""),COUNTIFS($C$2:$C259,$C259,$B$2:$B259,"SBA 26/*",$F$2:$F259,"&lt;&gt;"),"")</f>
        <v>2</v>
      </c>
      <c r="AB259" s="29" t="str">
        <f>IF(AA259=1,COUNTIF($AA$2:AA259,1),"")</f>
        <v/>
      </c>
    </row>
    <row r="260" spans="1:28" ht="78.75" customHeight="1" x14ac:dyDescent="0.2">
      <c r="A260" s="43" t="s">
        <v>1327</v>
      </c>
      <c r="B260" s="43" t="s">
        <v>1328</v>
      </c>
      <c r="C260" s="44" t="s">
        <v>1329</v>
      </c>
      <c r="D260" s="44" t="s">
        <v>222</v>
      </c>
      <c r="E260" s="45" t="s">
        <v>1330</v>
      </c>
      <c r="F260" s="45" t="s">
        <v>1331</v>
      </c>
      <c r="G260" s="46" t="s">
        <v>38</v>
      </c>
      <c r="H260" s="48">
        <v>46090</v>
      </c>
      <c r="I260" s="48">
        <v>46098</v>
      </c>
      <c r="J260" s="44" t="s">
        <v>76</v>
      </c>
      <c r="K260" s="44" t="s">
        <v>100</v>
      </c>
      <c r="L260" s="50" t="s">
        <v>77</v>
      </c>
      <c r="M260" s="50"/>
      <c r="N260" s="50"/>
      <c r="O260" s="49"/>
      <c r="P260" s="50" t="str">
        <f t="shared" si="16"/>
        <v>ONAY</v>
      </c>
      <c r="R260" s="51" t="str">
        <f t="shared" si="17"/>
        <v/>
      </c>
      <c r="T260" s="41"/>
      <c r="U260" s="29">
        <f>IF($C260&lt;&gt;"",COUNTIF($C$2:C260,C260),"")</f>
        <v>1</v>
      </c>
      <c r="V260" s="29" t="str">
        <f t="shared" si="18"/>
        <v>Prof. Dr. Bülent Enis ŞEKEREL§1</v>
      </c>
      <c r="W260" s="29">
        <f>IF(U260=1,COUNTIF($U$2:U260,1),"")</f>
        <v>169</v>
      </c>
      <c r="X260" s="29">
        <f t="shared" si="19"/>
        <v>204</v>
      </c>
      <c r="Y260" s="29">
        <f>IF(AND(LEFT($B260,7)="SBA 26/",$D260&lt;&gt;"",$F260&lt;&gt;""),COUNTIFS($D$2:$D260,$D260,$B$2:$B260,"SBA 26/*",$F$2:$F260,"&lt;&gt;"),"")</f>
        <v>33</v>
      </c>
      <c r="Z260" s="29" t="str">
        <f>IF(Y260=1,COUNTIF($Y$2:Y260,1),"")</f>
        <v/>
      </c>
      <c r="AA260" s="29">
        <f>IF(AND(LEFT($B260,7)="SBA 26/",$C260&lt;&gt;"",$F260&lt;&gt;""),COUNTIFS($C$2:$C260,$C260,$B$2:$B260,"SBA 26/*",$F$2:$F260,"&lt;&gt;"),"")</f>
        <v>1</v>
      </c>
      <c r="AB260" s="29">
        <f>IF(AA260=1,COUNTIF($AA$2:AA260,1),"")</f>
        <v>169</v>
      </c>
    </row>
    <row r="261" spans="1:28" ht="94.5" customHeight="1" x14ac:dyDescent="0.2">
      <c r="A261" s="43" t="s">
        <v>1332</v>
      </c>
      <c r="B261" s="43" t="s">
        <v>1333</v>
      </c>
      <c r="C261" s="44" t="s">
        <v>221</v>
      </c>
      <c r="D261" s="44" t="s">
        <v>222</v>
      </c>
      <c r="E261" s="45" t="s">
        <v>1334</v>
      </c>
      <c r="F261" s="45" t="s">
        <v>1335</v>
      </c>
      <c r="G261" s="46" t="s">
        <v>38</v>
      </c>
      <c r="H261" s="48">
        <v>46090</v>
      </c>
      <c r="I261" s="48">
        <v>46098</v>
      </c>
      <c r="J261" s="44" t="s">
        <v>75</v>
      </c>
      <c r="K261" s="44" t="s">
        <v>91</v>
      </c>
      <c r="L261" s="50" t="s">
        <v>101</v>
      </c>
      <c r="M261" s="50" t="s">
        <v>101</v>
      </c>
      <c r="N261" s="50" t="s">
        <v>77</v>
      </c>
      <c r="O261" s="49"/>
      <c r="P261" s="50" t="str">
        <f t="shared" si="16"/>
        <v>ONAY</v>
      </c>
      <c r="Q261" s="28" t="s">
        <v>75</v>
      </c>
      <c r="R261" s="51" t="str">
        <f t="shared" si="17"/>
        <v/>
      </c>
      <c r="T261" s="41"/>
      <c r="U261" s="29">
        <f>IF($C261&lt;&gt;"",COUNTIF($C$2:C261,C261),"")</f>
        <v>2</v>
      </c>
      <c r="V261" s="29" t="str">
        <f t="shared" si="18"/>
        <v>Prof. Dr. Seza ÖZEN§2</v>
      </c>
      <c r="W261" s="29" t="str">
        <f>IF(U261=1,COUNTIF($U$2:U261,1),"")</f>
        <v/>
      </c>
      <c r="X261" s="29" t="str">
        <f t="shared" si="19"/>
        <v/>
      </c>
      <c r="Y261" s="29">
        <f>IF(AND(LEFT($B261,7)="SBA 26/",$D261&lt;&gt;"",$F261&lt;&gt;""),COUNTIFS($D$2:$D261,$D261,$B$2:$B261,"SBA 26/*",$F$2:$F261,"&lt;&gt;"),"")</f>
        <v>34</v>
      </c>
      <c r="Z261" s="29" t="str">
        <f>IF(Y261=1,COUNTIF($Y$2:Y261,1),"")</f>
        <v/>
      </c>
      <c r="AA261" s="29">
        <f>IF(AND(LEFT($B261,7)="SBA 26/",$C261&lt;&gt;"",$F261&lt;&gt;""),COUNTIFS($C$2:$C261,$C261,$B$2:$B261,"SBA 26/*",$F$2:$F261,"&lt;&gt;"),"")</f>
        <v>2</v>
      </c>
      <c r="AB261" s="29" t="str">
        <f>IF(AA261=1,COUNTIF($AA$2:AA261,1),"")</f>
        <v/>
      </c>
    </row>
    <row r="262" spans="1:28" ht="96" customHeight="1" x14ac:dyDescent="0.2">
      <c r="A262" s="43" t="s">
        <v>1336</v>
      </c>
      <c r="B262" s="43" t="s">
        <v>1337</v>
      </c>
      <c r="C262" s="44" t="s">
        <v>1338</v>
      </c>
      <c r="D262" s="44" t="s">
        <v>222</v>
      </c>
      <c r="E262" s="45" t="s">
        <v>1339</v>
      </c>
      <c r="F262" s="45" t="s">
        <v>1340</v>
      </c>
      <c r="G262" s="46" t="s">
        <v>38</v>
      </c>
      <c r="H262" s="48">
        <v>46090</v>
      </c>
      <c r="I262" s="48">
        <v>46098</v>
      </c>
      <c r="J262" s="44" t="s">
        <v>100</v>
      </c>
      <c r="K262" s="44" t="s">
        <v>116</v>
      </c>
      <c r="L262" s="50" t="s">
        <v>77</v>
      </c>
      <c r="M262" s="50"/>
      <c r="N262" s="50"/>
      <c r="O262" s="49"/>
      <c r="P262" s="50" t="str">
        <f t="shared" si="16"/>
        <v>ONAY</v>
      </c>
      <c r="R262" s="51" t="str">
        <f t="shared" si="17"/>
        <v/>
      </c>
      <c r="T262" s="41"/>
      <c r="U262" s="29">
        <f>IF($C262&lt;&gt;"",COUNTIF($C$2:C262,C262),"")</f>
        <v>1</v>
      </c>
      <c r="V262" s="29" t="str">
        <f t="shared" si="18"/>
        <v>Doç. Dr. Leman AKCAN YILDIZ§1</v>
      </c>
      <c r="W262" s="29">
        <f>IF(U262=1,COUNTIF($U$2:U262,1),"")</f>
        <v>170</v>
      </c>
      <c r="X262" s="29">
        <f t="shared" si="19"/>
        <v>74</v>
      </c>
      <c r="Y262" s="29">
        <f>IF(AND(LEFT($B262,7)="SBA 26/",$D262&lt;&gt;"",$F262&lt;&gt;""),COUNTIFS($D$2:$D262,$D262,$B$2:$B262,"SBA 26/*",$F$2:$F262,"&lt;&gt;"),"")</f>
        <v>35</v>
      </c>
      <c r="Z262" s="29" t="str">
        <f>IF(Y262=1,COUNTIF($Y$2:Y262,1),"")</f>
        <v/>
      </c>
      <c r="AA262" s="29">
        <f>IF(AND(LEFT($B262,7)="SBA 26/",$C262&lt;&gt;"",$F262&lt;&gt;""),COUNTIFS($C$2:$C262,$C262,$B$2:$B262,"SBA 26/*",$F$2:$F262,"&lt;&gt;"),"")</f>
        <v>1</v>
      </c>
      <c r="AB262" s="29">
        <f>IF(AA262=1,COUNTIF($AA$2:AA262,1),"")</f>
        <v>170</v>
      </c>
    </row>
    <row r="263" spans="1:28" ht="95.25" customHeight="1" x14ac:dyDescent="0.2">
      <c r="A263" s="43" t="s">
        <v>1341</v>
      </c>
      <c r="B263" s="43" t="s">
        <v>1342</v>
      </c>
      <c r="C263" s="44" t="s">
        <v>1343</v>
      </c>
      <c r="D263" s="44" t="s">
        <v>1344</v>
      </c>
      <c r="E263" s="45" t="s">
        <v>1345</v>
      </c>
      <c r="F263" s="45" t="s">
        <v>1346</v>
      </c>
      <c r="G263" s="46" t="s">
        <v>39</v>
      </c>
      <c r="H263" s="48">
        <v>46090</v>
      </c>
      <c r="I263" s="48">
        <v>46098</v>
      </c>
      <c r="J263" s="44" t="s">
        <v>108</v>
      </c>
      <c r="K263" s="44" t="s">
        <v>129</v>
      </c>
      <c r="L263" s="50" t="s">
        <v>77</v>
      </c>
      <c r="M263" s="50"/>
      <c r="N263" s="50"/>
      <c r="O263" s="49"/>
      <c r="P263" s="50" t="str">
        <f t="shared" si="16"/>
        <v>ONAY</v>
      </c>
      <c r="R263" s="51" t="str">
        <f t="shared" si="17"/>
        <v/>
      </c>
      <c r="T263" s="41"/>
      <c r="U263" s="29">
        <f>IF($C263&lt;&gt;"",COUNTIF($C$2:C263,C263),"")</f>
        <v>1</v>
      </c>
      <c r="V263" s="29" t="str">
        <f t="shared" si="18"/>
        <v>Prof. Dr. Ali Rıza TÜMER§1</v>
      </c>
      <c r="W263" s="29">
        <f>IF(U263=1,COUNTIF($U$2:U263,1),"")</f>
        <v>171</v>
      </c>
      <c r="X263" s="29">
        <f t="shared" si="19"/>
        <v>185</v>
      </c>
      <c r="Y263" s="29">
        <f>IF(AND(LEFT($B263,7)="SBA 26/",$D263&lt;&gt;"",$F263&lt;&gt;""),COUNTIFS($D$2:$D263,$D263,$B$2:$B263,"SBA 26/*",$F$2:$F263,"&lt;&gt;"),"")</f>
        <v>1</v>
      </c>
      <c r="Z263" s="29">
        <f>IF(Y263=1,COUNTIF($Y$2:Y263,1),"")</f>
        <v>58</v>
      </c>
      <c r="AA263" s="29">
        <f>IF(AND(LEFT($B263,7)="SBA 26/",$C263&lt;&gt;"",$F263&lt;&gt;""),COUNTIFS($C$2:$C263,$C263,$B$2:$B263,"SBA 26/*",$F$2:$F263,"&lt;&gt;"),"")</f>
        <v>1</v>
      </c>
      <c r="AB263" s="29">
        <f>IF(AA263=1,COUNTIF($AA$2:AA263,1),"")</f>
        <v>171</v>
      </c>
    </row>
    <row r="264" spans="1:28" ht="238.5" customHeight="1" x14ac:dyDescent="0.2">
      <c r="A264" s="43" t="s">
        <v>1347</v>
      </c>
      <c r="B264" s="43" t="s">
        <v>1348</v>
      </c>
      <c r="C264" s="44" t="s">
        <v>209</v>
      </c>
      <c r="D264" s="44" t="s">
        <v>133</v>
      </c>
      <c r="E264" s="45" t="s">
        <v>1349</v>
      </c>
      <c r="F264" s="45" t="s">
        <v>1350</v>
      </c>
      <c r="G264" s="46" t="s">
        <v>38</v>
      </c>
      <c r="H264" s="48">
        <v>46090</v>
      </c>
      <c r="I264" s="48">
        <v>46098</v>
      </c>
      <c r="J264" s="44" t="s">
        <v>99</v>
      </c>
      <c r="K264" s="44" t="s">
        <v>92</v>
      </c>
      <c r="L264" s="50" t="s">
        <v>77</v>
      </c>
      <c r="M264" s="50"/>
      <c r="N264" s="50"/>
      <c r="O264" s="49"/>
      <c r="P264" s="50" t="str">
        <f t="shared" si="16"/>
        <v>ONAY</v>
      </c>
      <c r="R264" s="51" t="str">
        <f t="shared" si="17"/>
        <v/>
      </c>
      <c r="T264" s="41"/>
      <c r="U264" s="29">
        <f>IF($C264&lt;&gt;"",COUNTIF($C$2:C264,C264),"")</f>
        <v>2</v>
      </c>
      <c r="V264" s="29" t="str">
        <f t="shared" si="18"/>
        <v>Doç. Dr. Dilek ÜNAL§2</v>
      </c>
      <c r="W264" s="29" t="str">
        <f>IF(U264=1,COUNTIF($U$2:U264,1),"")</f>
        <v/>
      </c>
      <c r="X264" s="29" t="str">
        <f t="shared" si="19"/>
        <v/>
      </c>
      <c r="Y264" s="29">
        <f>IF(AND(LEFT($B264,7)="SBA 26/",$D264&lt;&gt;"",$F264&lt;&gt;""),COUNTIFS($D$2:$D264,$D264,$B$2:$B264,"SBA 26/*",$F$2:$F264,"&lt;&gt;"),"")</f>
        <v>6</v>
      </c>
      <c r="Z264" s="29" t="str">
        <f>IF(Y264=1,COUNTIF($Y$2:Y264,1),"")</f>
        <v/>
      </c>
      <c r="AA264" s="29">
        <f>IF(AND(LEFT($B264,7)="SBA 26/",$C264&lt;&gt;"",$F264&lt;&gt;""),COUNTIFS($C$2:$C264,$C264,$B$2:$B264,"SBA 26/*",$F$2:$F264,"&lt;&gt;"),"")</f>
        <v>2</v>
      </c>
      <c r="AB264" s="29" t="str">
        <f>IF(AA264=1,COUNTIF($AA$2:AA264,1),"")</f>
        <v/>
      </c>
    </row>
    <row r="265" spans="1:28" ht="63" customHeight="1" x14ac:dyDescent="0.2">
      <c r="A265" s="43" t="s">
        <v>1351</v>
      </c>
      <c r="B265" s="43" t="s">
        <v>1352</v>
      </c>
      <c r="C265" s="44" t="s">
        <v>1353</v>
      </c>
      <c r="D265" s="44" t="s">
        <v>113</v>
      </c>
      <c r="E265" s="45" t="s">
        <v>1354</v>
      </c>
      <c r="F265" s="45" t="s">
        <v>1355</v>
      </c>
      <c r="G265" s="46" t="s">
        <v>38</v>
      </c>
      <c r="H265" s="48">
        <v>46090</v>
      </c>
      <c r="I265" s="48">
        <v>46098</v>
      </c>
      <c r="J265" s="44" t="s">
        <v>123</v>
      </c>
      <c r="K265" s="44" t="s">
        <v>84</v>
      </c>
      <c r="L265" s="50" t="s">
        <v>101</v>
      </c>
      <c r="M265" s="50" t="s">
        <v>77</v>
      </c>
      <c r="N265" s="50"/>
      <c r="O265" s="49"/>
      <c r="P265" s="50" t="str">
        <f t="shared" si="16"/>
        <v>ONAY</v>
      </c>
      <c r="Q265" s="28" t="s">
        <v>84</v>
      </c>
      <c r="R265" s="51" t="str">
        <f t="shared" si="17"/>
        <v/>
      </c>
      <c r="T265" s="41"/>
      <c r="U265" s="29">
        <f>IF($C265&lt;&gt;"",COUNTIF($C$2:C265,C265),"")</f>
        <v>1</v>
      </c>
      <c r="V265" s="29" t="str">
        <f t="shared" si="18"/>
        <v>Prof. Dr. Burcu Balam DOĞU§1</v>
      </c>
      <c r="W265" s="29">
        <f>IF(U265=1,COUNTIF($U$2:U265,1),"")</f>
        <v>172</v>
      </c>
      <c r="X265" s="29">
        <f t="shared" si="19"/>
        <v>201</v>
      </c>
      <c r="Y265" s="29">
        <f>IF(AND(LEFT($B265,7)="SBA 26/",$D265&lt;&gt;"",$F265&lt;&gt;""),COUNTIFS($D$2:$D265,$D265,$B$2:$B265,"SBA 26/*",$F$2:$F265,"&lt;&gt;"),"")</f>
        <v>34</v>
      </c>
      <c r="Z265" s="29" t="str">
        <f>IF(Y265=1,COUNTIF($Y$2:Y265,1),"")</f>
        <v/>
      </c>
      <c r="AA265" s="29">
        <f>IF(AND(LEFT($B265,7)="SBA 26/",$C265&lt;&gt;"",$F265&lt;&gt;""),COUNTIFS($C$2:$C265,$C265,$B$2:$B265,"SBA 26/*",$F$2:$F265,"&lt;&gt;"),"")</f>
        <v>1</v>
      </c>
      <c r="AB265" s="29">
        <f>IF(AA265=1,COUNTIF($AA$2:AA265,1),"")</f>
        <v>172</v>
      </c>
    </row>
    <row r="266" spans="1:28" ht="63" customHeight="1" x14ac:dyDescent="0.2">
      <c r="A266" s="43" t="s">
        <v>1356</v>
      </c>
      <c r="B266" s="43" t="s">
        <v>1357</v>
      </c>
      <c r="C266" s="44" t="s">
        <v>1353</v>
      </c>
      <c r="D266" s="44" t="s">
        <v>113</v>
      </c>
      <c r="E266" s="45" t="s">
        <v>1354</v>
      </c>
      <c r="F266" s="45" t="s">
        <v>1358</v>
      </c>
      <c r="G266" s="46" t="s">
        <v>38</v>
      </c>
      <c r="H266" s="48">
        <v>46090</v>
      </c>
      <c r="I266" s="48">
        <v>46098</v>
      </c>
      <c r="J266" s="44" t="s">
        <v>123</v>
      </c>
      <c r="K266" s="44" t="s">
        <v>84</v>
      </c>
      <c r="L266" s="50" t="s">
        <v>101</v>
      </c>
      <c r="M266" s="50" t="s">
        <v>77</v>
      </c>
      <c r="N266" s="50"/>
      <c r="O266" s="49"/>
      <c r="P266" s="50" t="str">
        <f t="shared" si="16"/>
        <v>ONAY</v>
      </c>
      <c r="Q266" s="28" t="s">
        <v>84</v>
      </c>
      <c r="R266" s="51" t="str">
        <f t="shared" si="17"/>
        <v/>
      </c>
      <c r="T266" s="41"/>
      <c r="U266" s="29">
        <f>IF($C266&lt;&gt;"",COUNTIF($C$2:C266,C266),"")</f>
        <v>2</v>
      </c>
      <c r="V266" s="29" t="str">
        <f t="shared" si="18"/>
        <v>Prof. Dr. Burcu Balam DOĞU§2</v>
      </c>
      <c r="W266" s="29" t="str">
        <f>IF(U266=1,COUNTIF($U$2:U266,1),"")</f>
        <v/>
      </c>
      <c r="X266" s="29" t="str">
        <f t="shared" si="19"/>
        <v/>
      </c>
      <c r="Y266" s="29">
        <f>IF(AND(LEFT($B266,7)="SBA 26/",$D266&lt;&gt;"",$F266&lt;&gt;""),COUNTIFS($D$2:$D266,$D266,$B$2:$B266,"SBA 26/*",$F$2:$F266,"&lt;&gt;"),"")</f>
        <v>35</v>
      </c>
      <c r="Z266" s="29" t="str">
        <f>IF(Y266=1,COUNTIF($Y$2:Y266,1),"")</f>
        <v/>
      </c>
      <c r="AA266" s="29">
        <f>IF(AND(LEFT($B266,7)="SBA 26/",$C266&lt;&gt;"",$F266&lt;&gt;""),COUNTIFS($C$2:$C266,$C266,$B$2:$B266,"SBA 26/*",$F$2:$F266,"&lt;&gt;"),"")</f>
        <v>2</v>
      </c>
      <c r="AB266" s="29" t="str">
        <f>IF(AA266=1,COUNTIF($AA$2:AA266,1),"")</f>
        <v/>
      </c>
    </row>
    <row r="267" spans="1:28" ht="63" customHeight="1" x14ac:dyDescent="0.2">
      <c r="A267" s="43" t="s">
        <v>1359</v>
      </c>
      <c r="B267" s="43" t="s">
        <v>1360</v>
      </c>
      <c r="C267" s="44" t="s">
        <v>202</v>
      </c>
      <c r="D267" s="44" t="s">
        <v>203</v>
      </c>
      <c r="E267" s="45" t="s">
        <v>1361</v>
      </c>
      <c r="F267" s="45" t="s">
        <v>1362</v>
      </c>
      <c r="G267" s="46" t="s">
        <v>41</v>
      </c>
      <c r="H267" s="48">
        <v>46090</v>
      </c>
      <c r="I267" s="48">
        <v>46098</v>
      </c>
      <c r="J267" s="44" t="s">
        <v>99</v>
      </c>
      <c r="K267" s="44" t="s">
        <v>100</v>
      </c>
      <c r="L267" s="50" t="s">
        <v>101</v>
      </c>
      <c r="M267" s="50" t="s">
        <v>77</v>
      </c>
      <c r="N267" s="50"/>
      <c r="O267" s="49"/>
      <c r="P267" s="50" t="str">
        <f t="shared" si="16"/>
        <v>ONAY</v>
      </c>
      <c r="Q267" s="28" t="s">
        <v>100</v>
      </c>
      <c r="R267" s="51" t="str">
        <f t="shared" si="17"/>
        <v/>
      </c>
      <c r="T267" s="41"/>
      <c r="U267" s="29">
        <f>IF($C267&lt;&gt;"",COUNTIF($C$2:C267,C267),"")</f>
        <v>3</v>
      </c>
      <c r="V267" s="29" t="str">
        <f t="shared" si="18"/>
        <v>Prof. Dr. Oğuz IŞIK§3</v>
      </c>
      <c r="W267" s="29" t="str">
        <f>IF(U267=1,COUNTIF($U$2:U267,1),"")</f>
        <v/>
      </c>
      <c r="X267" s="29" t="str">
        <f t="shared" si="19"/>
        <v/>
      </c>
      <c r="Y267" s="29">
        <f>IF(AND(LEFT($B267,7)="SBA 26/",$D267&lt;&gt;"",$F267&lt;&gt;""),COUNTIFS($D$2:$D267,$D267,$B$2:$B267,"SBA 26/*",$F$2:$F267,"&lt;&gt;"),"")</f>
        <v>4</v>
      </c>
      <c r="Z267" s="29" t="str">
        <f>IF(Y267=1,COUNTIF($Y$2:Y267,1),"")</f>
        <v/>
      </c>
      <c r="AA267" s="29">
        <f>IF(AND(LEFT($B267,7)="SBA 26/",$C267&lt;&gt;"",$F267&lt;&gt;""),COUNTIFS($C$2:$C267,$C267,$B$2:$B267,"SBA 26/*",$F$2:$F267,"&lt;&gt;"),"")</f>
        <v>3</v>
      </c>
      <c r="AB267" s="29" t="str">
        <f>IF(AA267=1,COUNTIF($AA$2:AA267,1),"")</f>
        <v/>
      </c>
    </row>
    <row r="268" spans="1:28" ht="78.75" customHeight="1" x14ac:dyDescent="0.2">
      <c r="A268" s="43" t="s">
        <v>1363</v>
      </c>
      <c r="B268" s="43" t="s">
        <v>1364</v>
      </c>
      <c r="C268" s="44" t="s">
        <v>1365</v>
      </c>
      <c r="D268" s="44" t="s">
        <v>539</v>
      </c>
      <c r="E268" s="45" t="s">
        <v>1366</v>
      </c>
      <c r="F268" s="45" t="s">
        <v>1367</v>
      </c>
      <c r="G268" s="46" t="s">
        <v>39</v>
      </c>
      <c r="H268" s="48">
        <v>46090</v>
      </c>
      <c r="I268" s="48">
        <v>46098</v>
      </c>
      <c r="J268" s="44" t="s">
        <v>123</v>
      </c>
      <c r="K268" s="44" t="s">
        <v>116</v>
      </c>
      <c r="L268" s="50" t="s">
        <v>101</v>
      </c>
      <c r="M268" s="50" t="s">
        <v>77</v>
      </c>
      <c r="N268" s="50"/>
      <c r="O268" s="49"/>
      <c r="P268" s="50" t="str">
        <f t="shared" si="16"/>
        <v>ONAY</v>
      </c>
      <c r="Q268" s="28" t="s">
        <v>123</v>
      </c>
      <c r="R268" s="51" t="str">
        <f t="shared" si="17"/>
        <v/>
      </c>
      <c r="T268" s="41"/>
      <c r="U268" s="29">
        <f>IF($C268&lt;&gt;"",COUNTIF($C$2:C268,C268),"")</f>
        <v>1</v>
      </c>
      <c r="V268" s="29" t="str">
        <f t="shared" si="18"/>
        <v>Doç. Dr. Emel Tuğba ATAMAN DURUEL§1</v>
      </c>
      <c r="W268" s="29">
        <f>IF(U268=1,COUNTIF($U$2:U268,1),"")</f>
        <v>173</v>
      </c>
      <c r="X268" s="29">
        <f t="shared" si="19"/>
        <v>45</v>
      </c>
      <c r="Y268" s="29">
        <f>IF(AND(LEFT($B268,7)="SBA 26/",$D268&lt;&gt;"",$F268&lt;&gt;""),COUNTIFS($D$2:$D268,$D268,$B$2:$B268,"SBA 26/*",$F$2:$F268,"&lt;&gt;"),"")</f>
        <v>4</v>
      </c>
      <c r="Z268" s="29" t="str">
        <f>IF(Y268=1,COUNTIF($Y$2:Y268,1),"")</f>
        <v/>
      </c>
      <c r="AA268" s="29">
        <f>IF(AND(LEFT($B268,7)="SBA 26/",$C268&lt;&gt;"",$F268&lt;&gt;""),COUNTIFS($C$2:$C268,$C268,$B$2:$B268,"SBA 26/*",$F$2:$F268,"&lt;&gt;"),"")</f>
        <v>1</v>
      </c>
      <c r="AB268" s="29">
        <f>IF(AA268=1,COUNTIF($AA$2:AA268,1),"")</f>
        <v>173</v>
      </c>
    </row>
    <row r="269" spans="1:28" ht="63" customHeight="1" x14ac:dyDescent="0.2">
      <c r="A269" s="43" t="s">
        <v>1368</v>
      </c>
      <c r="B269" s="43" t="s">
        <v>1369</v>
      </c>
      <c r="C269" s="44" t="s">
        <v>1238</v>
      </c>
      <c r="D269" s="44" t="s">
        <v>414</v>
      </c>
      <c r="E269" s="45" t="s">
        <v>1370</v>
      </c>
      <c r="F269" s="45" t="s">
        <v>1371</v>
      </c>
      <c r="G269" s="46" t="s">
        <v>39</v>
      </c>
      <c r="H269" s="48">
        <v>46090</v>
      </c>
      <c r="I269" s="48">
        <v>46098</v>
      </c>
      <c r="J269" s="44" t="s">
        <v>123</v>
      </c>
      <c r="K269" s="44" t="s">
        <v>116</v>
      </c>
      <c r="L269" s="50" t="s">
        <v>77</v>
      </c>
      <c r="M269" s="50"/>
      <c r="N269" s="50"/>
      <c r="O269" s="49"/>
      <c r="P269" s="50" t="str">
        <f t="shared" si="16"/>
        <v>ONAY</v>
      </c>
      <c r="R269" s="51" t="str">
        <f t="shared" si="17"/>
        <v/>
      </c>
      <c r="T269" s="41"/>
      <c r="U269" s="29">
        <f>IF($C269&lt;&gt;"",COUNTIF($C$2:C269,C269),"")</f>
        <v>2</v>
      </c>
      <c r="V269" s="29" t="str">
        <f t="shared" si="18"/>
        <v>Prof. Dr. Güliz AKTAŞ§2</v>
      </c>
      <c r="W269" s="29" t="str">
        <f>IF(U269=1,COUNTIF($U$2:U269,1),"")</f>
        <v/>
      </c>
      <c r="X269" s="29" t="str">
        <f t="shared" si="19"/>
        <v/>
      </c>
      <c r="Y269" s="29">
        <f>IF(AND(LEFT($B269,7)="SBA 26/",$D269&lt;&gt;"",$F269&lt;&gt;""),COUNTIFS($D$2:$D269,$D269,$B$2:$B269,"SBA 26/*",$F$2:$F269,"&lt;&gt;"),"")</f>
        <v>4</v>
      </c>
      <c r="Z269" s="29" t="str">
        <f>IF(Y269=1,COUNTIF($Y$2:Y269,1),"")</f>
        <v/>
      </c>
      <c r="AA269" s="29">
        <f>IF(AND(LEFT($B269,7)="SBA 26/",$C269&lt;&gt;"",$F269&lt;&gt;""),COUNTIFS($C$2:$C269,$C269,$B$2:$B269,"SBA 26/*",$F$2:$F269,"&lt;&gt;"),"")</f>
        <v>2</v>
      </c>
      <c r="AB269" s="29" t="str">
        <f>IF(AA269=1,COUNTIF($AA$2:AA269,1),"")</f>
        <v/>
      </c>
    </row>
    <row r="270" spans="1:28" ht="78.75" customHeight="1" x14ac:dyDescent="0.2">
      <c r="A270" s="43" t="s">
        <v>1372</v>
      </c>
      <c r="B270" s="43" t="s">
        <v>1373</v>
      </c>
      <c r="C270" s="44" t="s">
        <v>1374</v>
      </c>
      <c r="D270" s="44" t="s">
        <v>222</v>
      </c>
      <c r="E270" s="45" t="s">
        <v>1375</v>
      </c>
      <c r="F270" s="45" t="s">
        <v>1376</v>
      </c>
      <c r="G270" s="46" t="s">
        <v>38</v>
      </c>
      <c r="H270" s="48">
        <v>46090</v>
      </c>
      <c r="I270" s="48">
        <v>46098</v>
      </c>
      <c r="J270" s="44" t="s">
        <v>108</v>
      </c>
      <c r="K270" s="44" t="s">
        <v>76</v>
      </c>
      <c r="L270" s="50" t="s">
        <v>77</v>
      </c>
      <c r="M270" s="50"/>
      <c r="N270" s="50"/>
      <c r="O270" s="49"/>
      <c r="P270" s="50" t="str">
        <f t="shared" si="16"/>
        <v>ONAY</v>
      </c>
      <c r="R270" s="51" t="str">
        <f t="shared" si="17"/>
        <v/>
      </c>
      <c r="T270" s="41"/>
      <c r="U270" s="29">
        <f>IF($C270&lt;&gt;"",COUNTIF($C$2:C270,C270),"")</f>
        <v>1</v>
      </c>
      <c r="V270" s="29" t="str">
        <f t="shared" si="18"/>
        <v>Doç. Dr. Hayriye HIZARCIOĞLU GÜLŞEN§1</v>
      </c>
      <c r="W270" s="29">
        <f>IF(U270=1,COUNTIF($U$2:U270,1),"")</f>
        <v>174</v>
      </c>
      <c r="X270" s="29">
        <f t="shared" si="19"/>
        <v>63</v>
      </c>
      <c r="Y270" s="29">
        <f>IF(AND(LEFT($B270,7)="SBA 26/",$D270&lt;&gt;"",$F270&lt;&gt;""),COUNTIFS($D$2:$D270,$D270,$B$2:$B270,"SBA 26/*",$F$2:$F270,"&lt;&gt;"),"")</f>
        <v>36</v>
      </c>
      <c r="Z270" s="29" t="str">
        <f>IF(Y270=1,COUNTIF($Y$2:Y270,1),"")</f>
        <v/>
      </c>
      <c r="AA270" s="29">
        <f>IF(AND(LEFT($B270,7)="SBA 26/",$C270&lt;&gt;"",$F270&lt;&gt;""),COUNTIFS($C$2:$C270,$C270,$B$2:$B270,"SBA 26/*",$F$2:$F270,"&lt;&gt;"),"")</f>
        <v>1</v>
      </c>
      <c r="AB270" s="29">
        <f>IF(AA270=1,COUNTIF($AA$2:AA270,1),"")</f>
        <v>174</v>
      </c>
    </row>
    <row r="271" spans="1:28" ht="78.75" customHeight="1" x14ac:dyDescent="0.2">
      <c r="A271" s="43" t="s">
        <v>1377</v>
      </c>
      <c r="B271" s="43" t="s">
        <v>1378</v>
      </c>
      <c r="C271" s="44" t="s">
        <v>1379</v>
      </c>
      <c r="D271" s="44" t="s">
        <v>222</v>
      </c>
      <c r="E271" s="45" t="s">
        <v>1380</v>
      </c>
      <c r="F271" s="45" t="s">
        <v>1381</v>
      </c>
      <c r="G271" s="46" t="s">
        <v>38</v>
      </c>
      <c r="H271" s="48">
        <v>46090</v>
      </c>
      <c r="I271" s="48">
        <v>46098</v>
      </c>
      <c r="J271" s="44" t="s">
        <v>75</v>
      </c>
      <c r="K271" s="44" t="s">
        <v>129</v>
      </c>
      <c r="L271" s="50" t="s">
        <v>77</v>
      </c>
      <c r="M271" s="50"/>
      <c r="N271" s="50"/>
      <c r="O271" s="49"/>
      <c r="P271" s="50" t="str">
        <f t="shared" si="16"/>
        <v>ONAY</v>
      </c>
      <c r="R271" s="51" t="str">
        <f t="shared" si="17"/>
        <v/>
      </c>
      <c r="T271" s="41"/>
      <c r="U271" s="29">
        <f>IF($C271&lt;&gt;"",COUNTIF($C$2:C271,C271),"")</f>
        <v>1</v>
      </c>
      <c r="V271" s="29" t="str">
        <f t="shared" si="18"/>
        <v>Dr. Öğr. Üyesi Gizem ÜREL DEMİR§1</v>
      </c>
      <c r="W271" s="29">
        <f>IF(U271=1,COUNTIF($U$2:U271,1),"")</f>
        <v>175</v>
      </c>
      <c r="X271" s="29">
        <f t="shared" si="19"/>
        <v>133</v>
      </c>
      <c r="Y271" s="29">
        <f>IF(AND(LEFT($B271,7)="SBA 26/",$D271&lt;&gt;"",$F271&lt;&gt;""),COUNTIFS($D$2:$D271,$D271,$B$2:$B271,"SBA 26/*",$F$2:$F271,"&lt;&gt;"),"")</f>
        <v>37</v>
      </c>
      <c r="Z271" s="29" t="str">
        <f>IF(Y271=1,COUNTIF($Y$2:Y271,1),"")</f>
        <v/>
      </c>
      <c r="AA271" s="29">
        <f>IF(AND(LEFT($B271,7)="SBA 26/",$C271&lt;&gt;"",$F271&lt;&gt;""),COUNTIFS($C$2:$C271,$C271,$B$2:$B271,"SBA 26/*",$F$2:$F271,"&lt;&gt;"),"")</f>
        <v>1</v>
      </c>
      <c r="AB271" s="29">
        <f>IF(AA271=1,COUNTIF($AA$2:AA271,1),"")</f>
        <v>175</v>
      </c>
    </row>
    <row r="272" spans="1:28" ht="110.25" customHeight="1" x14ac:dyDescent="0.2">
      <c r="A272" s="43" t="s">
        <v>1382</v>
      </c>
      <c r="B272" s="43" t="s">
        <v>1383</v>
      </c>
      <c r="C272" s="44" t="s">
        <v>1379</v>
      </c>
      <c r="D272" s="44" t="s">
        <v>222</v>
      </c>
      <c r="E272" s="45" t="s">
        <v>1384</v>
      </c>
      <c r="F272" s="45" t="s">
        <v>1385</v>
      </c>
      <c r="G272" s="46" t="s">
        <v>38</v>
      </c>
      <c r="H272" s="48">
        <v>46090</v>
      </c>
      <c r="I272" s="48">
        <v>46098</v>
      </c>
      <c r="J272" s="44" t="s">
        <v>75</v>
      </c>
      <c r="K272" s="44" t="s">
        <v>108</v>
      </c>
      <c r="L272" s="50" t="s">
        <v>77</v>
      </c>
      <c r="M272" s="50"/>
      <c r="N272" s="50"/>
      <c r="O272" s="49"/>
      <c r="P272" s="50" t="str">
        <f t="shared" si="16"/>
        <v>ONAY</v>
      </c>
      <c r="R272" s="51" t="str">
        <f t="shared" si="17"/>
        <v/>
      </c>
      <c r="T272" s="41"/>
      <c r="U272" s="29">
        <f>IF($C272&lt;&gt;"",COUNTIF($C$2:C272,C272),"")</f>
        <v>2</v>
      </c>
      <c r="V272" s="29" t="str">
        <f t="shared" si="18"/>
        <v>Dr. Öğr. Üyesi Gizem ÜREL DEMİR§2</v>
      </c>
      <c r="W272" s="29" t="str">
        <f>IF(U272=1,COUNTIF($U$2:U272,1),"")</f>
        <v/>
      </c>
      <c r="X272" s="29" t="str">
        <f t="shared" si="19"/>
        <v/>
      </c>
      <c r="Y272" s="29">
        <f>IF(AND(LEFT($B272,7)="SBA 26/",$D272&lt;&gt;"",$F272&lt;&gt;""),COUNTIFS($D$2:$D272,$D272,$B$2:$B272,"SBA 26/*",$F$2:$F272,"&lt;&gt;"),"")</f>
        <v>38</v>
      </c>
      <c r="Z272" s="29" t="str">
        <f>IF(Y272=1,COUNTIF($Y$2:Y272,1),"")</f>
        <v/>
      </c>
      <c r="AA272" s="29">
        <f>IF(AND(LEFT($B272,7)="SBA 26/",$C272&lt;&gt;"",$F272&lt;&gt;""),COUNTIFS($C$2:$C272,$C272,$B$2:$B272,"SBA 26/*",$F$2:$F272,"&lt;&gt;"),"")</f>
        <v>2</v>
      </c>
      <c r="AB272" s="29" t="str">
        <f>IF(AA272=1,COUNTIF($AA$2:AA272,1),"")</f>
        <v/>
      </c>
    </row>
    <row r="273" spans="1:28" ht="82.5" customHeight="1" x14ac:dyDescent="0.2">
      <c r="A273" s="43" t="s">
        <v>1386</v>
      </c>
      <c r="B273" s="43" t="s">
        <v>1387</v>
      </c>
      <c r="C273" s="44" t="s">
        <v>285</v>
      </c>
      <c r="D273" s="44" t="s">
        <v>222</v>
      </c>
      <c r="E273" s="45" t="s">
        <v>1388</v>
      </c>
      <c r="F273" s="45" t="s">
        <v>1389</v>
      </c>
      <c r="G273" s="46" t="s">
        <v>38</v>
      </c>
      <c r="H273" s="48">
        <v>46090</v>
      </c>
      <c r="I273" s="48">
        <v>46098</v>
      </c>
      <c r="J273" s="44" t="s">
        <v>76</v>
      </c>
      <c r="K273" s="44" t="s">
        <v>92</v>
      </c>
      <c r="L273" s="50" t="s">
        <v>77</v>
      </c>
      <c r="M273" s="50"/>
      <c r="N273" s="50"/>
      <c r="O273" s="49"/>
      <c r="P273" s="50" t="str">
        <f t="shared" si="16"/>
        <v>ONAY</v>
      </c>
      <c r="R273" s="51" t="str">
        <f t="shared" si="17"/>
        <v/>
      </c>
      <c r="T273" s="41"/>
      <c r="U273" s="29">
        <f>IF($C273&lt;&gt;"",COUNTIF($C$2:C273,C273),"")</f>
        <v>6</v>
      </c>
      <c r="V273" s="29" t="str">
        <f t="shared" si="18"/>
        <v>Prof. Dr. Yasemin ÖZSÜREKCİ§6</v>
      </c>
      <c r="W273" s="29" t="str">
        <f>IF(U273=1,COUNTIF($U$2:U273,1),"")</f>
        <v/>
      </c>
      <c r="X273" s="29" t="str">
        <f t="shared" si="19"/>
        <v/>
      </c>
      <c r="Y273" s="29">
        <f>IF(AND(LEFT($B273,7)="SBA 26/",$D273&lt;&gt;"",$F273&lt;&gt;""),COUNTIFS($D$2:$D273,$D273,$B$2:$B273,"SBA 26/*",$F$2:$F273,"&lt;&gt;"),"")</f>
        <v>39</v>
      </c>
      <c r="Z273" s="29" t="str">
        <f>IF(Y273=1,COUNTIF($Y$2:Y273,1),"")</f>
        <v/>
      </c>
      <c r="AA273" s="29">
        <f>IF(AND(LEFT($B273,7)="SBA 26/",$C273&lt;&gt;"",$F273&lt;&gt;""),COUNTIFS($C$2:$C273,$C273,$B$2:$B273,"SBA 26/*",$F$2:$F273,"&lt;&gt;"),"")</f>
        <v>6</v>
      </c>
      <c r="AB273" s="29" t="str">
        <f>IF(AA273=1,COUNTIF($AA$2:AA273,1),"")</f>
        <v/>
      </c>
    </row>
    <row r="274" spans="1:28" ht="63" customHeight="1" x14ac:dyDescent="0.2">
      <c r="A274" s="43" t="s">
        <v>1390</v>
      </c>
      <c r="B274" s="43" t="s">
        <v>1391</v>
      </c>
      <c r="C274" s="44" t="s">
        <v>1353</v>
      </c>
      <c r="D274" s="44" t="s">
        <v>113</v>
      </c>
      <c r="E274" s="45" t="s">
        <v>1392</v>
      </c>
      <c r="F274" s="45" t="s">
        <v>1393</v>
      </c>
      <c r="G274" s="46" t="s">
        <v>38</v>
      </c>
      <c r="H274" s="48">
        <v>46094</v>
      </c>
      <c r="I274" s="48">
        <v>46112</v>
      </c>
      <c r="J274" s="44" t="s">
        <v>116</v>
      </c>
      <c r="K274" s="44" t="s">
        <v>84</v>
      </c>
      <c r="L274" s="50" t="s">
        <v>101</v>
      </c>
      <c r="M274" s="50" t="s">
        <v>77</v>
      </c>
      <c r="N274" s="50"/>
      <c r="O274" s="49"/>
      <c r="P274" s="50" t="str">
        <f t="shared" si="16"/>
        <v>ONAY</v>
      </c>
      <c r="Q274" s="28" t="s">
        <v>84</v>
      </c>
      <c r="R274" s="51" t="str">
        <f t="shared" si="17"/>
        <v/>
      </c>
      <c r="T274" s="41"/>
      <c r="U274" s="29">
        <f>IF($C274&lt;&gt;"",COUNTIF($C$2:C274,C274),"")</f>
        <v>3</v>
      </c>
      <c r="V274" s="29" t="str">
        <f t="shared" si="18"/>
        <v>Prof. Dr. Burcu Balam DOĞU§3</v>
      </c>
      <c r="W274" s="29" t="str">
        <f>IF(U274=1,COUNTIF($U$2:U274,1),"")</f>
        <v/>
      </c>
      <c r="X274" s="29" t="str">
        <f t="shared" si="19"/>
        <v/>
      </c>
      <c r="Y274" s="29">
        <f>IF(AND(LEFT($B274,7)="SBA 26/",$D274&lt;&gt;"",$F274&lt;&gt;""),COUNTIFS($D$2:$D274,$D274,$B$2:$B274,"SBA 26/*",$F$2:$F274,"&lt;&gt;"),"")</f>
        <v>36</v>
      </c>
      <c r="Z274" s="29" t="str">
        <f>IF(Y274=1,COUNTIF($Y$2:Y274,1),"")</f>
        <v/>
      </c>
      <c r="AA274" s="29">
        <f>IF(AND(LEFT($B274,7)="SBA 26/",$C274&lt;&gt;"",$F274&lt;&gt;""),COUNTIFS($C$2:$C274,$C274,$B$2:$B274,"SBA 26/*",$F$2:$F274,"&lt;&gt;"),"")</f>
        <v>3</v>
      </c>
      <c r="AB274" s="29" t="str">
        <f>IF(AA274=1,COUNTIF($AA$2:AA274,1),"")</f>
        <v/>
      </c>
    </row>
    <row r="275" spans="1:28" ht="78.75" customHeight="1" x14ac:dyDescent="0.2">
      <c r="A275" s="43" t="s">
        <v>1394</v>
      </c>
      <c r="B275" s="43" t="s">
        <v>1395</v>
      </c>
      <c r="C275" s="44" t="s">
        <v>76</v>
      </c>
      <c r="D275" s="44" t="s">
        <v>222</v>
      </c>
      <c r="E275" s="45" t="s">
        <v>1396</v>
      </c>
      <c r="F275" s="45" t="s">
        <v>1397</v>
      </c>
      <c r="G275" s="46" t="s">
        <v>38</v>
      </c>
      <c r="H275" s="48">
        <v>46094</v>
      </c>
      <c r="I275" s="48">
        <v>46112</v>
      </c>
      <c r="J275" s="44" t="s">
        <v>91</v>
      </c>
      <c r="K275" s="44" t="s">
        <v>99</v>
      </c>
      <c r="L275" s="50" t="s">
        <v>101</v>
      </c>
      <c r="M275" s="50" t="s">
        <v>101</v>
      </c>
      <c r="N275" s="50" t="s">
        <v>77</v>
      </c>
      <c r="O275" s="49"/>
      <c r="P275" s="50" t="str">
        <f t="shared" si="16"/>
        <v>ONAY</v>
      </c>
      <c r="Q275" s="28" t="s">
        <v>91</v>
      </c>
      <c r="R275" s="51" t="str">
        <f t="shared" si="17"/>
        <v/>
      </c>
      <c r="T275" s="41"/>
      <c r="U275" s="29">
        <f>IF($C275&lt;&gt;"",COUNTIF($C$2:C275,C275),"")</f>
        <v>3</v>
      </c>
      <c r="V275" s="29" t="str">
        <f t="shared" si="18"/>
        <v>Doç. Dr. Kübra AYKAÇ§3</v>
      </c>
      <c r="W275" s="29" t="str">
        <f>IF(U275=1,COUNTIF($U$2:U275,1),"")</f>
        <v/>
      </c>
      <c r="X275" s="29" t="str">
        <f t="shared" si="19"/>
        <v/>
      </c>
      <c r="Y275" s="29">
        <f>IF(AND(LEFT($B275,7)="SBA 26/",$D275&lt;&gt;"",$F275&lt;&gt;""),COUNTIFS($D$2:$D275,$D275,$B$2:$B275,"SBA 26/*",$F$2:$F275,"&lt;&gt;"),"")</f>
        <v>40</v>
      </c>
      <c r="Z275" s="29" t="str">
        <f>IF(Y275=1,COUNTIF($Y$2:Y275,1),"")</f>
        <v/>
      </c>
      <c r="AA275" s="29">
        <f>IF(AND(LEFT($B275,7)="SBA 26/",$C275&lt;&gt;"",$F275&lt;&gt;""),COUNTIFS($C$2:$C275,$C275,$B$2:$B275,"SBA 26/*",$F$2:$F275,"&lt;&gt;"),"")</f>
        <v>3</v>
      </c>
      <c r="AB275" s="29" t="str">
        <f>IF(AA275=1,COUNTIF($AA$2:AA275,1),"")</f>
        <v/>
      </c>
    </row>
    <row r="276" spans="1:28" ht="96" customHeight="1" x14ac:dyDescent="0.2">
      <c r="A276" s="43" t="s">
        <v>1398</v>
      </c>
      <c r="B276" s="43" t="s">
        <v>1399</v>
      </c>
      <c r="C276" s="44" t="s">
        <v>358</v>
      </c>
      <c r="D276" s="44" t="s">
        <v>228</v>
      </c>
      <c r="E276" s="45" t="s">
        <v>1400</v>
      </c>
      <c r="F276" s="45" t="s">
        <v>1401</v>
      </c>
      <c r="G276" s="46" t="s">
        <v>38</v>
      </c>
      <c r="H276" s="48">
        <v>46094</v>
      </c>
      <c r="I276" s="48">
        <v>46112</v>
      </c>
      <c r="J276" s="44" t="s">
        <v>91</v>
      </c>
      <c r="K276" s="44" t="s">
        <v>84</v>
      </c>
      <c r="L276" s="50" t="s">
        <v>101</v>
      </c>
      <c r="M276" s="50" t="s">
        <v>77</v>
      </c>
      <c r="N276" s="50"/>
      <c r="O276" s="49"/>
      <c r="P276" s="50" t="str">
        <f t="shared" si="16"/>
        <v>ONAY</v>
      </c>
      <c r="Q276" s="28" t="s">
        <v>91</v>
      </c>
      <c r="R276" s="51" t="str">
        <f t="shared" si="17"/>
        <v/>
      </c>
      <c r="T276" s="41"/>
      <c r="U276" s="29">
        <f>IF($C276&lt;&gt;"",COUNTIF($C$2:C276,C276),"")</f>
        <v>2</v>
      </c>
      <c r="V276" s="29" t="str">
        <f t="shared" si="18"/>
        <v>Doç. Dr. Erdem FADILOĞLU§2</v>
      </c>
      <c r="W276" s="29" t="str">
        <f>IF(U276=1,COUNTIF($U$2:U276,1),"")</f>
        <v/>
      </c>
      <c r="X276" s="29" t="str">
        <f t="shared" si="19"/>
        <v/>
      </c>
      <c r="Y276" s="29">
        <f>IF(AND(LEFT($B276,7)="SBA 26/",$D276&lt;&gt;"",$F276&lt;&gt;""),COUNTIFS($D$2:$D276,$D276,$B$2:$B276,"SBA 26/*",$F$2:$F276,"&lt;&gt;"),"")</f>
        <v>16</v>
      </c>
      <c r="Z276" s="29" t="str">
        <f>IF(Y276=1,COUNTIF($Y$2:Y276,1),"")</f>
        <v/>
      </c>
      <c r="AA276" s="29">
        <f>IF(AND(LEFT($B276,7)="SBA 26/",$C276&lt;&gt;"",$F276&lt;&gt;""),COUNTIFS($C$2:$C276,$C276,$B$2:$B276,"SBA 26/*",$F$2:$F276,"&lt;&gt;"),"")</f>
        <v>2</v>
      </c>
      <c r="AB276" s="29" t="str">
        <f>IF(AA276=1,COUNTIF($AA$2:AA276,1),"")</f>
        <v/>
      </c>
    </row>
    <row r="277" spans="1:28" ht="63" customHeight="1" x14ac:dyDescent="0.2">
      <c r="A277" s="43" t="s">
        <v>1402</v>
      </c>
      <c r="B277" s="43" t="s">
        <v>1403</v>
      </c>
      <c r="C277" s="44" t="s">
        <v>1404</v>
      </c>
      <c r="D277" s="44" t="s">
        <v>150</v>
      </c>
      <c r="E277" s="45" t="s">
        <v>1405</v>
      </c>
      <c r="F277" s="45" t="s">
        <v>1406</v>
      </c>
      <c r="G277" s="46" t="s">
        <v>39</v>
      </c>
      <c r="H277" s="48">
        <v>46094</v>
      </c>
      <c r="I277" s="48">
        <v>46112</v>
      </c>
      <c r="J277" s="44" t="s">
        <v>76</v>
      </c>
      <c r="K277" s="44" t="s">
        <v>92</v>
      </c>
      <c r="L277" s="50" t="s">
        <v>153</v>
      </c>
      <c r="M277" s="50"/>
      <c r="N277" s="50"/>
      <c r="O277" s="49"/>
      <c r="P277" s="50" t="str">
        <f t="shared" si="16"/>
        <v>KAPSAM DIŞI</v>
      </c>
      <c r="R277" s="51" t="str">
        <f t="shared" si="17"/>
        <v/>
      </c>
      <c r="T277" s="41"/>
      <c r="U277" s="29">
        <f>IF($C277&lt;&gt;"",COUNTIF($C$2:C277,C277),"")</f>
        <v>1</v>
      </c>
      <c r="V277" s="29" t="str">
        <f t="shared" si="18"/>
        <v>Dr. Öğr. Üyesi Sefa Burak ÇAM§1</v>
      </c>
      <c r="W277" s="29">
        <f>IF(U277=1,COUNTIF($U$2:U277,1),"")</f>
        <v>176</v>
      </c>
      <c r="X277" s="29">
        <f t="shared" si="19"/>
        <v>155</v>
      </c>
      <c r="Y277" s="29">
        <f>IF(AND(LEFT($B277,7)="SBA 26/",$D277&lt;&gt;"",$F277&lt;&gt;""),COUNTIFS($D$2:$D277,$D277,$B$2:$B277,"SBA 26/*",$F$2:$F277,"&lt;&gt;"),"")</f>
        <v>3</v>
      </c>
      <c r="Z277" s="29" t="str">
        <f>IF(Y277=1,COUNTIF($Y$2:Y277,1),"")</f>
        <v/>
      </c>
      <c r="AA277" s="29">
        <f>IF(AND(LEFT($B277,7)="SBA 26/",$C277&lt;&gt;"",$F277&lt;&gt;""),COUNTIFS($C$2:$C277,$C277,$B$2:$B277,"SBA 26/*",$F$2:$F277,"&lt;&gt;"),"")</f>
        <v>1</v>
      </c>
      <c r="AB277" s="29">
        <f>IF(AA277=1,COUNTIF($AA$2:AA277,1),"")</f>
        <v>176</v>
      </c>
    </row>
    <row r="278" spans="1:28" ht="78.75" customHeight="1" x14ac:dyDescent="0.2">
      <c r="A278" s="43" t="s">
        <v>1407</v>
      </c>
      <c r="B278" s="43" t="s">
        <v>1408</v>
      </c>
      <c r="C278" s="44" t="s">
        <v>1409</v>
      </c>
      <c r="D278" s="44" t="s">
        <v>88</v>
      </c>
      <c r="E278" s="45" t="s">
        <v>1410</v>
      </c>
      <c r="F278" s="45" t="s">
        <v>1411</v>
      </c>
      <c r="G278" s="46" t="s">
        <v>38</v>
      </c>
      <c r="H278" s="48">
        <v>46094</v>
      </c>
      <c r="I278" s="48">
        <v>46112</v>
      </c>
      <c r="J278" s="44" t="s">
        <v>92</v>
      </c>
      <c r="K278" s="44" t="s">
        <v>109</v>
      </c>
      <c r="L278" s="50" t="s">
        <v>101</v>
      </c>
      <c r="M278" s="50" t="s">
        <v>77</v>
      </c>
      <c r="N278" s="50"/>
      <c r="O278" s="49"/>
      <c r="P278" s="50" t="str">
        <f t="shared" si="16"/>
        <v>ONAY</v>
      </c>
      <c r="Q278" s="28" t="s">
        <v>109</v>
      </c>
      <c r="R278" s="51" t="str">
        <f t="shared" si="17"/>
        <v/>
      </c>
      <c r="T278" s="41"/>
      <c r="U278" s="29">
        <f>IF($C278&lt;&gt;"",COUNTIF($C$2:C278,C278),"")</f>
        <v>1</v>
      </c>
      <c r="V278" s="29" t="str">
        <f t="shared" si="18"/>
        <v>Doç. Dr. Fatma Gonca ELDEM§1</v>
      </c>
      <c r="W278" s="29">
        <f>IF(U278=1,COUNTIF($U$2:U278,1),"")</f>
        <v>177</v>
      </c>
      <c r="X278" s="29">
        <f t="shared" si="19"/>
        <v>52</v>
      </c>
      <c r="Y278" s="29">
        <f>IF(AND(LEFT($B278,7)="SBA 26/",$D278&lt;&gt;"",$F278&lt;&gt;""),COUNTIFS($D$2:$D278,$D278,$B$2:$B278,"SBA 26/*",$F$2:$F278,"&lt;&gt;"),"")</f>
        <v>12</v>
      </c>
      <c r="Z278" s="29" t="str">
        <f>IF(Y278=1,COUNTIF($Y$2:Y278,1),"")</f>
        <v/>
      </c>
      <c r="AA278" s="29">
        <f>IF(AND(LEFT($B278,7)="SBA 26/",$C278&lt;&gt;"",$F278&lt;&gt;""),COUNTIFS($C$2:$C278,$C278,$B$2:$B278,"SBA 26/*",$F$2:$F278,"&lt;&gt;"),"")</f>
        <v>1</v>
      </c>
      <c r="AB278" s="29">
        <f>IF(AA278=1,COUNTIF($AA$2:AA278,1),"")</f>
        <v>177</v>
      </c>
    </row>
    <row r="279" spans="1:28" ht="78.75" customHeight="1" x14ac:dyDescent="0.2">
      <c r="A279" s="43" t="s">
        <v>1412</v>
      </c>
      <c r="B279" s="43" t="s">
        <v>1413</v>
      </c>
      <c r="C279" s="44" t="s">
        <v>1414</v>
      </c>
      <c r="D279" s="44" t="s">
        <v>222</v>
      </c>
      <c r="E279" s="45" t="s">
        <v>1415</v>
      </c>
      <c r="F279" s="45" t="s">
        <v>1416</v>
      </c>
      <c r="G279" s="46" t="s">
        <v>38</v>
      </c>
      <c r="H279" s="48">
        <v>46094</v>
      </c>
      <c r="I279" s="48">
        <v>46112</v>
      </c>
      <c r="J279" s="44" t="s">
        <v>76</v>
      </c>
      <c r="K279" s="44" t="s">
        <v>84</v>
      </c>
      <c r="L279" s="50" t="s">
        <v>77</v>
      </c>
      <c r="M279" s="50"/>
      <c r="N279" s="50"/>
      <c r="O279" s="49"/>
      <c r="P279" s="50" t="str">
        <f t="shared" si="16"/>
        <v>ONAY</v>
      </c>
      <c r="R279" s="51" t="str">
        <f t="shared" si="17"/>
        <v/>
      </c>
      <c r="T279" s="41"/>
      <c r="U279" s="29">
        <f>IF($C279&lt;&gt;"",COUNTIF($C$2:C279,C279),"")</f>
        <v>1</v>
      </c>
      <c r="V279" s="29" t="str">
        <f t="shared" si="18"/>
        <v>Prof. Dr. İnci Nur SALTIK§1</v>
      </c>
      <c r="W279" s="29">
        <f>IF(U279=1,COUNTIF($U$2:U279,1),"")</f>
        <v>178</v>
      </c>
      <c r="X279" s="29">
        <f t="shared" si="19"/>
        <v>247</v>
      </c>
      <c r="Y279" s="29">
        <f>IF(AND(LEFT($B279,7)="SBA 26/",$D279&lt;&gt;"",$F279&lt;&gt;""),COUNTIFS($D$2:$D279,$D279,$B$2:$B279,"SBA 26/*",$F$2:$F279,"&lt;&gt;"),"")</f>
        <v>41</v>
      </c>
      <c r="Z279" s="29" t="str">
        <f>IF(Y279=1,COUNTIF($Y$2:Y279,1),"")</f>
        <v/>
      </c>
      <c r="AA279" s="29">
        <f>IF(AND(LEFT($B279,7)="SBA 26/",$C279&lt;&gt;"",$F279&lt;&gt;""),COUNTIFS($C$2:$C279,$C279,$B$2:$B279,"SBA 26/*",$F$2:$F279,"&lt;&gt;"),"")</f>
        <v>1</v>
      </c>
      <c r="AB279" s="29">
        <f>IF(AA279=1,COUNTIF($AA$2:AA279,1),"")</f>
        <v>178</v>
      </c>
    </row>
    <row r="280" spans="1:28" ht="94.5" customHeight="1" x14ac:dyDescent="0.2">
      <c r="A280" s="43" t="s">
        <v>1417</v>
      </c>
      <c r="B280" s="43" t="s">
        <v>1418</v>
      </c>
      <c r="C280" s="44" t="s">
        <v>296</v>
      </c>
      <c r="D280" s="44" t="s">
        <v>297</v>
      </c>
      <c r="E280" s="45" t="s">
        <v>1419</v>
      </c>
      <c r="F280" s="45" t="s">
        <v>1420</v>
      </c>
      <c r="G280" s="46" t="s">
        <v>38</v>
      </c>
      <c r="H280" s="48">
        <v>46094</v>
      </c>
      <c r="I280" s="48">
        <v>46112</v>
      </c>
      <c r="J280" s="44" t="s">
        <v>123</v>
      </c>
      <c r="K280" s="44" t="s">
        <v>99</v>
      </c>
      <c r="L280" s="50" t="s">
        <v>218</v>
      </c>
      <c r="M280" s="50"/>
      <c r="N280" s="50"/>
      <c r="O280" s="49"/>
      <c r="P280" s="50" t="str">
        <f t="shared" si="16"/>
        <v>KAEK</v>
      </c>
      <c r="R280" s="51" t="str">
        <f t="shared" si="17"/>
        <v/>
      </c>
      <c r="T280" s="41"/>
      <c r="U280" s="29">
        <f>IF($C280&lt;&gt;"",COUNTIF($C$2:C280,C280),"")</f>
        <v>2</v>
      </c>
      <c r="V280" s="29" t="str">
        <f t="shared" si="18"/>
        <v>Doç. Dr. Hande GÖRÜCÜ COŞKUNER§2</v>
      </c>
      <c r="W280" s="29" t="str">
        <f>IF(U280=1,COUNTIF($U$2:U280,1),"")</f>
        <v/>
      </c>
      <c r="X280" s="29" t="str">
        <f t="shared" si="19"/>
        <v/>
      </c>
      <c r="Y280" s="29">
        <f>IF(AND(LEFT($B280,7)="SBA 26/",$D280&lt;&gt;"",$F280&lt;&gt;""),COUNTIFS($D$2:$D280,$D280,$B$2:$B280,"SBA 26/*",$F$2:$F280,"&lt;&gt;"),"")</f>
        <v>6</v>
      </c>
      <c r="Z280" s="29" t="str">
        <f>IF(Y280=1,COUNTIF($Y$2:Y280,1),"")</f>
        <v/>
      </c>
      <c r="AA280" s="29">
        <f>IF(AND(LEFT($B280,7)="SBA 26/",$C280&lt;&gt;"",$F280&lt;&gt;""),COUNTIFS($C$2:$C280,$C280,$B$2:$B280,"SBA 26/*",$F$2:$F280,"&lt;&gt;"),"")</f>
        <v>2</v>
      </c>
      <c r="AB280" s="29" t="str">
        <f>IF(AA280=1,COUNTIF($AA$2:AA280,1),"")</f>
        <v/>
      </c>
    </row>
    <row r="281" spans="1:28" ht="78.75" customHeight="1" x14ac:dyDescent="0.2">
      <c r="A281" s="43" t="s">
        <v>1421</v>
      </c>
      <c r="B281" s="43" t="s">
        <v>1422</v>
      </c>
      <c r="C281" s="44" t="s">
        <v>1092</v>
      </c>
      <c r="D281" s="44" t="s">
        <v>203</v>
      </c>
      <c r="E281" s="45" t="s">
        <v>1423</v>
      </c>
      <c r="F281" s="45" t="s">
        <v>1424</v>
      </c>
      <c r="G281" s="46" t="s">
        <v>41</v>
      </c>
      <c r="H281" s="48">
        <v>46094</v>
      </c>
      <c r="I281" s="48">
        <v>46112</v>
      </c>
      <c r="J281" s="44" t="s">
        <v>99</v>
      </c>
      <c r="K281" s="44" t="s">
        <v>100</v>
      </c>
      <c r="L281" s="50" t="s">
        <v>101</v>
      </c>
      <c r="M281" s="50" t="s">
        <v>77</v>
      </c>
      <c r="N281" s="50"/>
      <c r="O281" s="49"/>
      <c r="P281" s="50" t="str">
        <f t="shared" si="16"/>
        <v>ONAY</v>
      </c>
      <c r="Q281" s="28" t="s">
        <v>99</v>
      </c>
      <c r="R281" s="51" t="str">
        <f t="shared" si="17"/>
        <v/>
      </c>
      <c r="T281" s="41"/>
      <c r="U281" s="29">
        <f>IF($C281&lt;&gt;"",COUNTIF($C$2:C281,C281),"")</f>
        <v>2</v>
      </c>
      <c r="V281" s="29" t="str">
        <f t="shared" si="18"/>
        <v>Prof. Dr. Özgür UĞURLUOĞLU§2</v>
      </c>
      <c r="W281" s="29" t="str">
        <f>IF(U281=1,COUNTIF($U$2:U281,1),"")</f>
        <v/>
      </c>
      <c r="X281" s="29" t="str">
        <f t="shared" si="19"/>
        <v/>
      </c>
      <c r="Y281" s="29">
        <f>IF(AND(LEFT($B281,7)="SBA 26/",$D281&lt;&gt;"",$F281&lt;&gt;""),COUNTIFS($D$2:$D281,$D281,$B$2:$B281,"SBA 26/*",$F$2:$F281,"&lt;&gt;"),"")</f>
        <v>5</v>
      </c>
      <c r="Z281" s="29" t="str">
        <f>IF(Y281=1,COUNTIF($Y$2:Y281,1),"")</f>
        <v/>
      </c>
      <c r="AA281" s="29">
        <f>IF(AND(LEFT($B281,7)="SBA 26/",$C281&lt;&gt;"",$F281&lt;&gt;""),COUNTIFS($C$2:$C281,$C281,$B$2:$B281,"SBA 26/*",$F$2:$F281,"&lt;&gt;"),"")</f>
        <v>2</v>
      </c>
      <c r="AB281" s="29" t="str">
        <f>IF(AA281=1,COUNTIF($AA$2:AA281,1),"")</f>
        <v/>
      </c>
    </row>
    <row r="282" spans="1:28" ht="47.25" customHeight="1" x14ac:dyDescent="0.2">
      <c r="A282" s="43" t="s">
        <v>1425</v>
      </c>
      <c r="B282" s="43" t="s">
        <v>1426</v>
      </c>
      <c r="C282" s="44" t="s">
        <v>1427</v>
      </c>
      <c r="D282" s="44" t="s">
        <v>966</v>
      </c>
      <c r="E282" s="45" t="s">
        <v>1428</v>
      </c>
      <c r="F282" s="45" t="s">
        <v>1429</v>
      </c>
      <c r="G282" s="46" t="s">
        <v>39</v>
      </c>
      <c r="H282" s="48">
        <v>46094</v>
      </c>
      <c r="I282" s="48">
        <v>46112</v>
      </c>
      <c r="J282" s="44" t="s">
        <v>123</v>
      </c>
      <c r="K282" s="44" t="s">
        <v>84</v>
      </c>
      <c r="L282" s="50" t="s">
        <v>101</v>
      </c>
      <c r="M282" s="50" t="s">
        <v>77</v>
      </c>
      <c r="N282" s="50"/>
      <c r="O282" s="49"/>
      <c r="P282" s="50" t="str">
        <f t="shared" si="16"/>
        <v>ONAY</v>
      </c>
      <c r="Q282" s="28" t="s">
        <v>84</v>
      </c>
      <c r="R282" s="51" t="str">
        <f t="shared" si="17"/>
        <v/>
      </c>
      <c r="T282" s="41"/>
      <c r="U282" s="29">
        <f>IF($C282&lt;&gt;"",COUNTIF($C$2:C282,C282),"")</f>
        <v>1</v>
      </c>
      <c r="V282" s="29" t="str">
        <f t="shared" si="18"/>
        <v>Doç. Dr. Hilal AKSOY§1</v>
      </c>
      <c r="W282" s="29">
        <f>IF(U282=1,COUNTIF($U$2:U282,1),"")</f>
        <v>179</v>
      </c>
      <c r="X282" s="29">
        <f t="shared" si="19"/>
        <v>64</v>
      </c>
      <c r="Y282" s="29">
        <f>IF(AND(LEFT($B282,7)="SBA 26/",$D282&lt;&gt;"",$F282&lt;&gt;""),COUNTIFS($D$2:$D282,$D282,$B$2:$B282,"SBA 26/*",$F$2:$F282,"&lt;&gt;"),"")</f>
        <v>3</v>
      </c>
      <c r="Z282" s="29" t="str">
        <f>IF(Y282=1,COUNTIF($Y$2:Y282,1),"")</f>
        <v/>
      </c>
      <c r="AA282" s="29">
        <f>IF(AND(LEFT($B282,7)="SBA 26/",$C282&lt;&gt;"",$F282&lt;&gt;""),COUNTIFS($C$2:$C282,$C282,$B$2:$B282,"SBA 26/*",$F$2:$F282,"&lt;&gt;"),"")</f>
        <v>1</v>
      </c>
      <c r="AB282" s="29">
        <f>IF(AA282=1,COUNTIF($AA$2:AA282,1),"")</f>
        <v>179</v>
      </c>
    </row>
    <row r="283" spans="1:28" ht="47.25" customHeight="1" x14ac:dyDescent="0.2">
      <c r="A283" s="43" t="s">
        <v>1430</v>
      </c>
      <c r="B283" s="43" t="s">
        <v>1431</v>
      </c>
      <c r="C283" s="44" t="s">
        <v>1432</v>
      </c>
      <c r="D283" s="44" t="s">
        <v>113</v>
      </c>
      <c r="E283" s="45" t="s">
        <v>1433</v>
      </c>
      <c r="F283" s="45" t="s">
        <v>1434</v>
      </c>
      <c r="G283" s="46" t="s">
        <v>39</v>
      </c>
      <c r="H283" s="48">
        <v>46097</v>
      </c>
      <c r="I283" s="48">
        <v>46112</v>
      </c>
      <c r="J283" s="44" t="s">
        <v>100</v>
      </c>
      <c r="K283" s="44" t="s">
        <v>109</v>
      </c>
      <c r="L283" s="50" t="s">
        <v>101</v>
      </c>
      <c r="M283" s="50" t="s">
        <v>77</v>
      </c>
      <c r="N283" s="50"/>
      <c r="O283" s="49"/>
      <c r="P283" s="50" t="str">
        <f t="shared" si="16"/>
        <v>ONAY</v>
      </c>
      <c r="Q283" s="28" t="s">
        <v>109</v>
      </c>
      <c r="R283" s="51" t="str">
        <f t="shared" si="17"/>
        <v/>
      </c>
      <c r="T283" s="41"/>
      <c r="U283" s="29">
        <f>IF($C283&lt;&gt;"",COUNTIF($C$2:C283,C283),"")</f>
        <v>1</v>
      </c>
      <c r="V283" s="29" t="str">
        <f t="shared" si="18"/>
        <v>Prof. Dr. Taylan KAV§1</v>
      </c>
      <c r="W283" s="29">
        <f>IF(U283=1,COUNTIF($U$2:U283,1),"")</f>
        <v>180</v>
      </c>
      <c r="X283" s="29">
        <f t="shared" si="19"/>
        <v>322</v>
      </c>
      <c r="Y283" s="29">
        <f>IF(AND(LEFT($B283,7)="SBA 26/",$D283&lt;&gt;"",$F283&lt;&gt;""),COUNTIFS($D$2:$D283,$D283,$B$2:$B283,"SBA 26/*",$F$2:$F283,"&lt;&gt;"),"")</f>
        <v>37</v>
      </c>
      <c r="Z283" s="29" t="str">
        <f>IF(Y283=1,COUNTIF($Y$2:Y283,1),"")</f>
        <v/>
      </c>
      <c r="AA283" s="29">
        <f>IF(AND(LEFT($B283,7)="SBA 26/",$C283&lt;&gt;"",$F283&lt;&gt;""),COUNTIFS($C$2:$C283,$C283,$B$2:$B283,"SBA 26/*",$F$2:$F283,"&lt;&gt;"),"")</f>
        <v>1</v>
      </c>
      <c r="AB283" s="29">
        <f>IF(AA283=1,COUNTIF($AA$2:AA283,1),"")</f>
        <v>180</v>
      </c>
    </row>
    <row r="284" spans="1:28" ht="78.75" customHeight="1" x14ac:dyDescent="0.2">
      <c r="A284" s="43" t="s">
        <v>1435</v>
      </c>
      <c r="B284" s="43" t="s">
        <v>1436</v>
      </c>
      <c r="C284" s="44" t="s">
        <v>175</v>
      </c>
      <c r="D284" s="44" t="s">
        <v>169</v>
      </c>
      <c r="E284" s="45" t="s">
        <v>1437</v>
      </c>
      <c r="F284" s="45" t="s">
        <v>1438</v>
      </c>
      <c r="G284" s="46" t="s">
        <v>38</v>
      </c>
      <c r="H284" s="48">
        <v>46097</v>
      </c>
      <c r="I284" s="48">
        <v>46112</v>
      </c>
      <c r="J284" s="44" t="s">
        <v>75</v>
      </c>
      <c r="K284" s="44" t="s">
        <v>76</v>
      </c>
      <c r="L284" s="50" t="s">
        <v>77</v>
      </c>
      <c r="M284" s="50"/>
      <c r="N284" s="50"/>
      <c r="O284" s="49"/>
      <c r="P284" s="50" t="str">
        <f t="shared" si="16"/>
        <v>ONAY</v>
      </c>
      <c r="R284" s="51" t="str">
        <f t="shared" si="17"/>
        <v/>
      </c>
      <c r="T284" s="41"/>
      <c r="U284" s="29">
        <f>IF($C284&lt;&gt;"",COUNTIF($C$2:C284,C284),"")</f>
        <v>2</v>
      </c>
      <c r="V284" s="29" t="str">
        <f t="shared" si="18"/>
        <v>Prof. Dr. Gül KARAKAYA§2</v>
      </c>
      <c r="W284" s="29" t="str">
        <f>IF(U284=1,COUNTIF($U$2:U284,1),"")</f>
        <v/>
      </c>
      <c r="X284" s="29" t="str">
        <f t="shared" si="19"/>
        <v/>
      </c>
      <c r="Y284" s="29">
        <f>IF(AND(LEFT($B284,7)="SBA 26/",$D284&lt;&gt;"",$F284&lt;&gt;""),COUNTIFS($D$2:$D284,$D284,$B$2:$B284,"SBA 26/*",$F$2:$F284,"&lt;&gt;"),"")</f>
        <v>11</v>
      </c>
      <c r="Z284" s="29" t="str">
        <f>IF(Y284=1,COUNTIF($Y$2:Y284,1),"")</f>
        <v/>
      </c>
      <c r="AA284" s="29">
        <f>IF(AND(LEFT($B284,7)="SBA 26/",$C284&lt;&gt;"",$F284&lt;&gt;""),COUNTIFS($C$2:$C284,$C284,$B$2:$B284,"SBA 26/*",$F$2:$F284,"&lt;&gt;"),"")</f>
        <v>2</v>
      </c>
      <c r="AB284" s="29" t="str">
        <f>IF(AA284=1,COUNTIF($AA$2:AA284,1),"")</f>
        <v/>
      </c>
    </row>
    <row r="285" spans="1:28" ht="63" customHeight="1" x14ac:dyDescent="0.2">
      <c r="A285" s="43" t="s">
        <v>1439</v>
      </c>
      <c r="B285" s="43" t="s">
        <v>1440</v>
      </c>
      <c r="C285" s="44" t="s">
        <v>1441</v>
      </c>
      <c r="D285" s="44" t="s">
        <v>228</v>
      </c>
      <c r="E285" s="45" t="s">
        <v>1442</v>
      </c>
      <c r="F285" s="45" t="s">
        <v>1443</v>
      </c>
      <c r="G285" s="46" t="s">
        <v>38</v>
      </c>
      <c r="H285" s="48">
        <v>46097</v>
      </c>
      <c r="I285" s="48">
        <v>46112</v>
      </c>
      <c r="J285" s="44" t="s">
        <v>75</v>
      </c>
      <c r="K285" s="44" t="s">
        <v>123</v>
      </c>
      <c r="L285" s="50" t="s">
        <v>172</v>
      </c>
      <c r="M285" s="50" t="s">
        <v>77</v>
      </c>
      <c r="N285" s="50"/>
      <c r="O285" s="49"/>
      <c r="P285" s="50" t="str">
        <f t="shared" si="16"/>
        <v>ONAY</v>
      </c>
      <c r="R285" s="51" t="str">
        <f t="shared" si="17"/>
        <v/>
      </c>
      <c r="T285" s="41"/>
      <c r="U285" s="29">
        <f>IF($C285&lt;&gt;"",COUNTIF($C$2:C285,C285),"")</f>
        <v>1</v>
      </c>
      <c r="V285" s="29" t="str">
        <f t="shared" si="18"/>
        <v>Prof. Dr. Zafer Selçuk TUNCER§1</v>
      </c>
      <c r="W285" s="29">
        <f>IF(U285=1,COUNTIF($U$2:U285,1),"")</f>
        <v>181</v>
      </c>
      <c r="X285" s="29">
        <f t="shared" si="19"/>
        <v>337</v>
      </c>
      <c r="Y285" s="29">
        <f>IF(AND(LEFT($B285,7)="SBA 26/",$D285&lt;&gt;"",$F285&lt;&gt;""),COUNTIFS($D$2:$D285,$D285,$B$2:$B285,"SBA 26/*",$F$2:$F285,"&lt;&gt;"),"")</f>
        <v>17</v>
      </c>
      <c r="Z285" s="29" t="str">
        <f>IF(Y285=1,COUNTIF($Y$2:Y285,1),"")</f>
        <v/>
      </c>
      <c r="AA285" s="29">
        <f>IF(AND(LEFT($B285,7)="SBA 26/",$C285&lt;&gt;"",$F285&lt;&gt;""),COUNTIFS($C$2:$C285,$C285,$B$2:$B285,"SBA 26/*",$F$2:$F285,"&lt;&gt;"),"")</f>
        <v>1</v>
      </c>
      <c r="AB285" s="29">
        <f>IF(AA285=1,COUNTIF($AA$2:AA285,1),"")</f>
        <v>181</v>
      </c>
    </row>
    <row r="286" spans="1:28" ht="47.25" customHeight="1" x14ac:dyDescent="0.2">
      <c r="A286" s="43" t="s">
        <v>1444</v>
      </c>
      <c r="B286" s="43" t="s">
        <v>1445</v>
      </c>
      <c r="C286" s="44" t="s">
        <v>489</v>
      </c>
      <c r="D286" s="44" t="s">
        <v>297</v>
      </c>
      <c r="E286" s="45" t="s">
        <v>1446</v>
      </c>
      <c r="F286" s="45" t="s">
        <v>1447</v>
      </c>
      <c r="G286" s="46" t="s">
        <v>38</v>
      </c>
      <c r="H286" s="48">
        <v>46097</v>
      </c>
      <c r="I286" s="48">
        <v>46112</v>
      </c>
      <c r="J286" s="44" t="s">
        <v>123</v>
      </c>
      <c r="K286" s="44" t="s">
        <v>99</v>
      </c>
      <c r="L286" s="50" t="s">
        <v>77</v>
      </c>
      <c r="M286" s="50"/>
      <c r="N286" s="50"/>
      <c r="O286" s="49"/>
      <c r="P286" s="50" t="str">
        <f t="shared" si="16"/>
        <v>ONAY</v>
      </c>
      <c r="R286" s="51" t="str">
        <f t="shared" si="17"/>
        <v/>
      </c>
      <c r="T286" s="41"/>
      <c r="U286" s="29">
        <f>IF($C286&lt;&gt;"",COUNTIF($C$2:C286,C286),"")</f>
        <v>3</v>
      </c>
      <c r="V286" s="29" t="str">
        <f t="shared" si="18"/>
        <v>Doç. Dr. Ezgi ATİK§3</v>
      </c>
      <c r="W286" s="29" t="str">
        <f>IF(U286=1,COUNTIF($U$2:U286,1),"")</f>
        <v/>
      </c>
      <c r="X286" s="29" t="str">
        <f t="shared" si="19"/>
        <v/>
      </c>
      <c r="Y286" s="29">
        <f>IF(AND(LEFT($B286,7)="SBA 26/",$D286&lt;&gt;"",$F286&lt;&gt;""),COUNTIFS($D$2:$D286,$D286,$B$2:$B286,"SBA 26/*",$F$2:$F286,"&lt;&gt;"),"")</f>
        <v>7</v>
      </c>
      <c r="Z286" s="29" t="str">
        <f>IF(Y286=1,COUNTIF($Y$2:Y286,1),"")</f>
        <v/>
      </c>
      <c r="AA286" s="29">
        <f>IF(AND(LEFT($B286,7)="SBA 26/",$C286&lt;&gt;"",$F286&lt;&gt;""),COUNTIFS($C$2:$C286,$C286,$B$2:$B286,"SBA 26/*",$F$2:$F286,"&lt;&gt;"),"")</f>
        <v>3</v>
      </c>
      <c r="AB286" s="29" t="str">
        <f>IF(AA286=1,COUNTIF($AA$2:AA286,1),"")</f>
        <v/>
      </c>
    </row>
    <row r="287" spans="1:28" ht="78.75" customHeight="1" x14ac:dyDescent="0.2">
      <c r="A287" s="43" t="s">
        <v>1448</v>
      </c>
      <c r="B287" s="43" t="s">
        <v>1449</v>
      </c>
      <c r="C287" s="44" t="s">
        <v>175</v>
      </c>
      <c r="D287" s="44" t="s">
        <v>169</v>
      </c>
      <c r="E287" s="45" t="s">
        <v>1450</v>
      </c>
      <c r="F287" s="45" t="s">
        <v>1451</v>
      </c>
      <c r="G287" s="46" t="s">
        <v>38</v>
      </c>
      <c r="H287" s="48">
        <v>46097</v>
      </c>
      <c r="I287" s="48">
        <v>46112</v>
      </c>
      <c r="J287" s="44" t="s">
        <v>75</v>
      </c>
      <c r="K287" s="44" t="s">
        <v>76</v>
      </c>
      <c r="L287" s="50" t="s">
        <v>77</v>
      </c>
      <c r="M287" s="50"/>
      <c r="N287" s="50"/>
      <c r="O287" s="49"/>
      <c r="P287" s="50" t="str">
        <f t="shared" si="16"/>
        <v>ONAY</v>
      </c>
      <c r="R287" s="51" t="str">
        <f t="shared" si="17"/>
        <v/>
      </c>
      <c r="T287" s="41"/>
      <c r="U287" s="29">
        <f>IF($C287&lt;&gt;"",COUNTIF($C$2:C287,C287),"")</f>
        <v>3</v>
      </c>
      <c r="V287" s="29" t="str">
        <f t="shared" si="18"/>
        <v>Prof. Dr. Gül KARAKAYA§3</v>
      </c>
      <c r="W287" s="29" t="str">
        <f>IF(U287=1,COUNTIF($U$2:U287,1),"")</f>
        <v/>
      </c>
      <c r="X287" s="29" t="str">
        <f t="shared" si="19"/>
        <v/>
      </c>
      <c r="Y287" s="29">
        <f>IF(AND(LEFT($B287,7)="SBA 26/",$D287&lt;&gt;"",$F287&lt;&gt;""),COUNTIFS($D$2:$D287,$D287,$B$2:$B287,"SBA 26/*",$F$2:$F287,"&lt;&gt;"),"")</f>
        <v>12</v>
      </c>
      <c r="Z287" s="29" t="str">
        <f>IF(Y287=1,COUNTIF($Y$2:Y287,1),"")</f>
        <v/>
      </c>
      <c r="AA287" s="29">
        <f>IF(AND(LEFT($B287,7)="SBA 26/",$C287&lt;&gt;"",$F287&lt;&gt;""),COUNTIFS($C$2:$C287,$C287,$B$2:$B287,"SBA 26/*",$F$2:$F287,"&lt;&gt;"),"")</f>
        <v>3</v>
      </c>
      <c r="AB287" s="29" t="str">
        <f>IF(AA287=1,COUNTIF($AA$2:AA287,1),"")</f>
        <v/>
      </c>
    </row>
    <row r="288" spans="1:28" ht="129.75" customHeight="1" x14ac:dyDescent="0.2">
      <c r="A288" s="43" t="s">
        <v>1452</v>
      </c>
      <c r="B288" s="43" t="s">
        <v>1453</v>
      </c>
      <c r="C288" s="44" t="s">
        <v>1454</v>
      </c>
      <c r="D288" s="44" t="s">
        <v>222</v>
      </c>
      <c r="E288" s="45" t="s">
        <v>1455</v>
      </c>
      <c r="F288" s="45" t="s">
        <v>1456</v>
      </c>
      <c r="G288" s="46" t="s">
        <v>38</v>
      </c>
      <c r="H288" s="48">
        <v>46097</v>
      </c>
      <c r="I288" s="48">
        <v>46112</v>
      </c>
      <c r="J288" s="44" t="s">
        <v>109</v>
      </c>
      <c r="K288" s="44" t="s">
        <v>100</v>
      </c>
      <c r="L288" s="50" t="s">
        <v>101</v>
      </c>
      <c r="M288" s="50" t="s">
        <v>77</v>
      </c>
      <c r="N288" s="50"/>
      <c r="O288" s="49"/>
      <c r="P288" s="50" t="str">
        <f t="shared" si="16"/>
        <v>ONAY</v>
      </c>
      <c r="Q288" s="28" t="s">
        <v>109</v>
      </c>
      <c r="R288" s="51" t="str">
        <f t="shared" si="17"/>
        <v/>
      </c>
      <c r="T288" s="41"/>
      <c r="U288" s="29">
        <f>IF($C288&lt;&gt;"",COUNTIF($C$2:C288,C288),"")</f>
        <v>1</v>
      </c>
      <c r="V288" s="29" t="str">
        <f t="shared" si="18"/>
        <v>Prof. Dr. Fatma Visal OKUR§1</v>
      </c>
      <c r="W288" s="29">
        <f>IF(U288=1,COUNTIF($U$2:U288,1),"")</f>
        <v>182</v>
      </c>
      <c r="X288" s="29">
        <f t="shared" si="19"/>
        <v>225</v>
      </c>
      <c r="Y288" s="29">
        <f>IF(AND(LEFT($B288,7)="SBA 26/",$D288&lt;&gt;"",$F288&lt;&gt;""),COUNTIFS($D$2:$D288,$D288,$B$2:$B288,"SBA 26/*",$F$2:$F288,"&lt;&gt;"),"")</f>
        <v>42</v>
      </c>
      <c r="Z288" s="29" t="str">
        <f>IF(Y288=1,COUNTIF($Y$2:Y288,1),"")</f>
        <v/>
      </c>
      <c r="AA288" s="29">
        <f>IF(AND(LEFT($B288,7)="SBA 26/",$C288&lt;&gt;"",$F288&lt;&gt;""),COUNTIFS($C$2:$C288,$C288,$B$2:$B288,"SBA 26/*",$F$2:$F288,"&lt;&gt;"),"")</f>
        <v>1</v>
      </c>
      <c r="AB288" s="29">
        <f>IF(AA288=1,COUNTIF($AA$2:AA288,1),"")</f>
        <v>182</v>
      </c>
    </row>
    <row r="289" spans="1:28" ht="63" customHeight="1" x14ac:dyDescent="0.2">
      <c r="A289" s="43" t="s">
        <v>1457</v>
      </c>
      <c r="B289" s="43" t="s">
        <v>1458</v>
      </c>
      <c r="C289" s="44" t="s">
        <v>1207</v>
      </c>
      <c r="D289" s="44" t="s">
        <v>222</v>
      </c>
      <c r="E289" s="45" t="s">
        <v>1459</v>
      </c>
      <c r="F289" s="45" t="s">
        <v>1460</v>
      </c>
      <c r="G289" s="46" t="s">
        <v>38</v>
      </c>
      <c r="H289" s="48">
        <v>46097</v>
      </c>
      <c r="I289" s="48">
        <v>46112</v>
      </c>
      <c r="J289" s="44" t="s">
        <v>92</v>
      </c>
      <c r="K289" s="44" t="s">
        <v>84</v>
      </c>
      <c r="L289" s="50" t="s">
        <v>77</v>
      </c>
      <c r="M289" s="50"/>
      <c r="N289" s="50"/>
      <c r="O289" s="49"/>
      <c r="P289" s="50" t="str">
        <f t="shared" si="16"/>
        <v>ONAY</v>
      </c>
      <c r="R289" s="51" t="str">
        <f t="shared" si="17"/>
        <v/>
      </c>
      <c r="T289" s="41"/>
      <c r="U289" s="29">
        <f>IF($C289&lt;&gt;"",COUNTIF($C$2:C289,C289),"")</f>
        <v>2</v>
      </c>
      <c r="V289" s="29" t="str">
        <f t="shared" si="18"/>
        <v>Prof. Dr. Özlem TEKŞAM§2</v>
      </c>
      <c r="W289" s="29" t="str">
        <f>IF(U289=1,COUNTIF($U$2:U289,1),"")</f>
        <v/>
      </c>
      <c r="X289" s="29" t="str">
        <f t="shared" si="19"/>
        <v/>
      </c>
      <c r="Y289" s="29">
        <f>IF(AND(LEFT($B289,7)="SBA 26/",$D289&lt;&gt;"",$F289&lt;&gt;""),COUNTIFS($D$2:$D289,$D289,$B$2:$B289,"SBA 26/*",$F$2:$F289,"&lt;&gt;"),"")</f>
        <v>43</v>
      </c>
      <c r="Z289" s="29" t="str">
        <f>IF(Y289=1,COUNTIF($Y$2:Y289,1),"")</f>
        <v/>
      </c>
      <c r="AA289" s="29">
        <f>IF(AND(LEFT($B289,7)="SBA 26/",$C289&lt;&gt;"",$F289&lt;&gt;""),COUNTIFS($C$2:$C289,$C289,$B$2:$B289,"SBA 26/*",$F$2:$F289,"&lt;&gt;"),"")</f>
        <v>2</v>
      </c>
      <c r="AB289" s="29" t="str">
        <f>IF(AA289=1,COUNTIF($AA$2:AA289,1),"")</f>
        <v/>
      </c>
    </row>
    <row r="290" spans="1:28" ht="63" customHeight="1" x14ac:dyDescent="0.2">
      <c r="A290" s="43" t="s">
        <v>1461</v>
      </c>
      <c r="B290" s="43" t="s">
        <v>1462</v>
      </c>
      <c r="C290" s="44" t="s">
        <v>548</v>
      </c>
      <c r="D290" s="44" t="s">
        <v>193</v>
      </c>
      <c r="E290" s="45" t="s">
        <v>1463</v>
      </c>
      <c r="F290" s="45" t="s">
        <v>1464</v>
      </c>
      <c r="G290" s="46" t="s">
        <v>38</v>
      </c>
      <c r="H290" s="48">
        <v>46097</v>
      </c>
      <c r="I290" s="48">
        <v>46112</v>
      </c>
      <c r="J290" s="44" t="s">
        <v>91</v>
      </c>
      <c r="K290" s="44" t="s">
        <v>116</v>
      </c>
      <c r="L290" s="50" t="s">
        <v>77</v>
      </c>
      <c r="M290" s="50"/>
      <c r="N290" s="50"/>
      <c r="O290" s="49"/>
      <c r="P290" s="50" t="str">
        <f t="shared" si="16"/>
        <v>ONAY</v>
      </c>
      <c r="R290" s="51" t="str">
        <f t="shared" si="17"/>
        <v/>
      </c>
      <c r="T290" s="41"/>
      <c r="U290" s="29">
        <f>IF($C290&lt;&gt;"",COUNTIF($C$2:C290,C290),"")</f>
        <v>3</v>
      </c>
      <c r="V290" s="29" t="str">
        <f t="shared" si="18"/>
        <v>Doç. Dr. İrem KOÇ§3</v>
      </c>
      <c r="W290" s="29" t="str">
        <f>IF(U290=1,COUNTIF($U$2:U290,1),"")</f>
        <v/>
      </c>
      <c r="X290" s="29" t="str">
        <f t="shared" si="19"/>
        <v/>
      </c>
      <c r="Y290" s="29">
        <f>IF(AND(LEFT($B290,7)="SBA 26/",$D290&lt;&gt;"",$F290&lt;&gt;""),COUNTIFS($D$2:$D290,$D290,$B$2:$B290,"SBA 26/*",$F$2:$F290,"&lt;&gt;"),"")</f>
        <v>7</v>
      </c>
      <c r="Z290" s="29" t="str">
        <f>IF(Y290=1,COUNTIF($Y$2:Y290,1),"")</f>
        <v/>
      </c>
      <c r="AA290" s="29">
        <f>IF(AND(LEFT($B290,7)="SBA 26/",$C290&lt;&gt;"",$F290&lt;&gt;""),COUNTIFS($C$2:$C290,$C290,$B$2:$B290,"SBA 26/*",$F$2:$F290,"&lt;&gt;"),"")</f>
        <v>3</v>
      </c>
      <c r="AB290" s="29" t="str">
        <f>IF(AA290=1,COUNTIF($AA$2:AA290,1),"")</f>
        <v/>
      </c>
    </row>
    <row r="291" spans="1:28" ht="78.75" customHeight="1" x14ac:dyDescent="0.2">
      <c r="A291" s="43" t="s">
        <v>1465</v>
      </c>
      <c r="B291" s="43" t="s">
        <v>1466</v>
      </c>
      <c r="C291" s="44" t="s">
        <v>770</v>
      </c>
      <c r="D291" s="44" t="s">
        <v>1467</v>
      </c>
      <c r="E291" s="45" t="s">
        <v>1468</v>
      </c>
      <c r="F291" s="45" t="s">
        <v>1469</v>
      </c>
      <c r="G291" s="46" t="s">
        <v>39</v>
      </c>
      <c r="H291" s="48">
        <v>46097</v>
      </c>
      <c r="I291" s="48">
        <v>46112</v>
      </c>
      <c r="J291" s="44" t="s">
        <v>75</v>
      </c>
      <c r="K291" s="44" t="s">
        <v>91</v>
      </c>
      <c r="L291" s="50" t="s">
        <v>77</v>
      </c>
      <c r="M291" s="50"/>
      <c r="N291" s="50"/>
      <c r="O291" s="49"/>
      <c r="P291" s="50" t="str">
        <f t="shared" si="16"/>
        <v>ONAY</v>
      </c>
      <c r="R291" s="51" t="str">
        <f t="shared" si="17"/>
        <v/>
      </c>
      <c r="T291" s="41"/>
      <c r="U291" s="29">
        <f>IF($C291&lt;&gt;"",COUNTIF($C$2:C291,C291),"")</f>
        <v>2</v>
      </c>
      <c r="V291" s="29" t="str">
        <f t="shared" si="18"/>
        <v>Dr. Öğr. Üyesi Arda ÇETİNKAYA§2</v>
      </c>
      <c r="W291" s="29" t="str">
        <f>IF(U291=1,COUNTIF($U$2:U291,1),"")</f>
        <v/>
      </c>
      <c r="X291" s="29" t="str">
        <f t="shared" si="19"/>
        <v/>
      </c>
      <c r="Y291" s="29">
        <f>IF(AND(LEFT($B291,7)="SBA 26/",$D291&lt;&gt;"",$F291&lt;&gt;""),COUNTIFS($D$2:$D291,$D291,$B$2:$B291,"SBA 26/*",$F$2:$F291,"&lt;&gt;"),"")</f>
        <v>1</v>
      </c>
      <c r="Z291" s="29">
        <f>IF(Y291=1,COUNTIF($Y$2:Y291,1),"")</f>
        <v>59</v>
      </c>
      <c r="AA291" s="29">
        <f>IF(AND(LEFT($B291,7)="SBA 26/",$C291&lt;&gt;"",$F291&lt;&gt;""),COUNTIFS($C$2:$C291,$C291,$B$2:$B291,"SBA 26/*",$F$2:$F291,"&lt;&gt;"),"")</f>
        <v>2</v>
      </c>
      <c r="AB291" s="29" t="str">
        <f>IF(AA291=1,COUNTIF($AA$2:AA291,1),"")</f>
        <v/>
      </c>
    </row>
    <row r="292" spans="1:28" ht="63" customHeight="1" x14ac:dyDescent="0.2">
      <c r="A292" s="43" t="s">
        <v>1470</v>
      </c>
      <c r="B292" s="43" t="s">
        <v>1471</v>
      </c>
      <c r="C292" s="44" t="s">
        <v>1472</v>
      </c>
      <c r="D292" s="44" t="s">
        <v>270</v>
      </c>
      <c r="E292" s="45" t="s">
        <v>1473</v>
      </c>
      <c r="F292" s="45" t="s">
        <v>1474</v>
      </c>
      <c r="G292" s="46" t="s">
        <v>38</v>
      </c>
      <c r="H292" s="48">
        <v>46097</v>
      </c>
      <c r="I292" s="48">
        <v>46112</v>
      </c>
      <c r="J292" s="44" t="s">
        <v>92</v>
      </c>
      <c r="K292" s="44" t="s">
        <v>116</v>
      </c>
      <c r="L292" s="50" t="s">
        <v>101</v>
      </c>
      <c r="M292" s="50" t="s">
        <v>77</v>
      </c>
      <c r="N292" s="50"/>
      <c r="O292" s="49"/>
      <c r="P292" s="50" t="str">
        <f t="shared" si="16"/>
        <v>ONAY</v>
      </c>
      <c r="Q292" s="28" t="s">
        <v>116</v>
      </c>
      <c r="R292" s="51" t="str">
        <f t="shared" si="17"/>
        <v/>
      </c>
      <c r="T292" s="41"/>
      <c r="U292" s="29">
        <f>IF($C292&lt;&gt;"",COUNTIF($C$2:C292,C292),"")</f>
        <v>1</v>
      </c>
      <c r="V292" s="29" t="str">
        <f t="shared" si="18"/>
        <v>Arş. Gör. Dr. Tuğçe TAŞKINDERE ABBASOĞLU§1</v>
      </c>
      <c r="W292" s="29">
        <f>IF(U292=1,COUNTIF($U$2:U292,1),"")</f>
        <v>183</v>
      </c>
      <c r="X292" s="29">
        <f t="shared" si="19"/>
        <v>12</v>
      </c>
      <c r="Y292" s="29">
        <f>IF(AND(LEFT($B292,7)="SBA 26/",$D292&lt;&gt;"",$F292&lt;&gt;""),COUNTIFS($D$2:$D292,$D292,$B$2:$B292,"SBA 26/*",$F$2:$F292,"&lt;&gt;"),"")</f>
        <v>7</v>
      </c>
      <c r="Z292" s="29" t="str">
        <f>IF(Y292=1,COUNTIF($Y$2:Y292,1),"")</f>
        <v/>
      </c>
      <c r="AA292" s="29">
        <f>IF(AND(LEFT($B292,7)="SBA 26/",$C292&lt;&gt;"",$F292&lt;&gt;""),COUNTIFS($C$2:$C292,$C292,$B$2:$B292,"SBA 26/*",$F$2:$F292,"&lt;&gt;"),"")</f>
        <v>1</v>
      </c>
      <c r="AB292" s="29">
        <f>IF(AA292=1,COUNTIF($AA$2:AA292,1),"")</f>
        <v>183</v>
      </c>
    </row>
    <row r="293" spans="1:28" ht="78.75" customHeight="1" x14ac:dyDescent="0.2">
      <c r="A293" s="43" t="s">
        <v>1475</v>
      </c>
      <c r="B293" s="43" t="s">
        <v>1476</v>
      </c>
      <c r="C293" s="44" t="s">
        <v>1477</v>
      </c>
      <c r="D293" s="44" t="s">
        <v>120</v>
      </c>
      <c r="E293" s="45" t="s">
        <v>1478</v>
      </c>
      <c r="F293" s="45" t="s">
        <v>1479</v>
      </c>
      <c r="G293" s="46" t="s">
        <v>38</v>
      </c>
      <c r="H293" s="48">
        <v>46097</v>
      </c>
      <c r="I293" s="48">
        <v>46112</v>
      </c>
      <c r="J293" s="44" t="s">
        <v>123</v>
      </c>
      <c r="K293" s="44" t="s">
        <v>116</v>
      </c>
      <c r="L293" s="50" t="s">
        <v>77</v>
      </c>
      <c r="M293" s="50"/>
      <c r="N293" s="50"/>
      <c r="O293" s="49"/>
      <c r="P293" s="50" t="str">
        <f t="shared" si="16"/>
        <v>ONAY</v>
      </c>
      <c r="R293" s="51" t="str">
        <f t="shared" si="17"/>
        <v/>
      </c>
      <c r="T293" s="41"/>
      <c r="U293" s="29">
        <f>IF($C293&lt;&gt;"",COUNTIF($C$2:C293,C293),"")</f>
        <v>1</v>
      </c>
      <c r="V293" s="29" t="str">
        <f t="shared" si="18"/>
        <v>Prof. Dr. Emel UZUNOĞLU ÖZYÜREK§1</v>
      </c>
      <c r="W293" s="29">
        <f>IF(U293=1,COUNTIF($U$2:U293,1),"")</f>
        <v>184</v>
      </c>
      <c r="X293" s="29">
        <f t="shared" si="19"/>
        <v>217</v>
      </c>
      <c r="Y293" s="29">
        <f>IF(AND(LEFT($B293,7)="SBA 26/",$D293&lt;&gt;"",$F293&lt;&gt;""),COUNTIFS($D$2:$D293,$D293,$B$2:$B293,"SBA 26/*",$F$2:$F293,"&lt;&gt;"),"")</f>
        <v>3</v>
      </c>
      <c r="Z293" s="29" t="str">
        <f>IF(Y293=1,COUNTIF($Y$2:Y293,1),"")</f>
        <v/>
      </c>
      <c r="AA293" s="29">
        <f>IF(AND(LEFT($B293,7)="SBA 26/",$C293&lt;&gt;"",$F293&lt;&gt;""),COUNTIFS($C$2:$C293,$C293,$B$2:$B293,"SBA 26/*",$F$2:$F293,"&lt;&gt;"),"")</f>
        <v>1</v>
      </c>
      <c r="AB293" s="29">
        <f>IF(AA293=1,COUNTIF($AA$2:AA293,1),"")</f>
        <v>184</v>
      </c>
    </row>
    <row r="294" spans="1:28" ht="63" customHeight="1" x14ac:dyDescent="0.2">
      <c r="A294" s="43" t="s">
        <v>1480</v>
      </c>
      <c r="B294" s="43" t="s">
        <v>1481</v>
      </c>
      <c r="C294" s="44" t="s">
        <v>1482</v>
      </c>
      <c r="D294" s="44" t="s">
        <v>133</v>
      </c>
      <c r="E294" s="45" t="s">
        <v>1483</v>
      </c>
      <c r="F294" s="45" t="s">
        <v>1484</v>
      </c>
      <c r="G294" s="46" t="s">
        <v>39</v>
      </c>
      <c r="H294" s="48">
        <v>46097</v>
      </c>
      <c r="I294" s="48">
        <v>46112</v>
      </c>
      <c r="J294" s="44" t="s">
        <v>100</v>
      </c>
      <c r="K294" s="44" t="s">
        <v>116</v>
      </c>
      <c r="L294" s="50" t="s">
        <v>101</v>
      </c>
      <c r="M294" s="50" t="s">
        <v>77</v>
      </c>
      <c r="N294" s="50"/>
      <c r="O294" s="49"/>
      <c r="P294" s="50" t="str">
        <f t="shared" si="16"/>
        <v>ONAY</v>
      </c>
      <c r="Q294" s="28" t="s">
        <v>100</v>
      </c>
      <c r="R294" s="51" t="str">
        <f t="shared" si="17"/>
        <v/>
      </c>
      <c r="T294" s="41"/>
      <c r="U294" s="29">
        <f>IF($C294&lt;&gt;"",COUNTIF($C$2:C294,C294),"")</f>
        <v>1</v>
      </c>
      <c r="V294" s="29" t="str">
        <f t="shared" si="18"/>
        <v>Prof. Dr. Devrim AKDEMİR§1</v>
      </c>
      <c r="W294" s="29">
        <f>IF(U294=1,COUNTIF($U$2:U294,1),"")</f>
        <v>185</v>
      </c>
      <c r="X294" s="29">
        <f t="shared" si="19"/>
        <v>210</v>
      </c>
      <c r="Y294" s="29">
        <f>IF(AND(LEFT($B294,7)="SBA 26/",$D294&lt;&gt;"",$F294&lt;&gt;""),COUNTIFS($D$2:$D294,$D294,$B$2:$B294,"SBA 26/*",$F$2:$F294,"&lt;&gt;"),"")</f>
        <v>7</v>
      </c>
      <c r="Z294" s="29" t="str">
        <f>IF(Y294=1,COUNTIF($Y$2:Y294,1),"")</f>
        <v/>
      </c>
      <c r="AA294" s="29">
        <f>IF(AND(LEFT($B294,7)="SBA 26/",$C294&lt;&gt;"",$F294&lt;&gt;""),COUNTIFS($C$2:$C294,$C294,$B$2:$B294,"SBA 26/*",$F$2:$F294,"&lt;&gt;"),"")</f>
        <v>1</v>
      </c>
      <c r="AB294" s="29">
        <f>IF(AA294=1,COUNTIF($AA$2:AA294,1),"")</f>
        <v>185</v>
      </c>
    </row>
    <row r="295" spans="1:28" ht="63" customHeight="1" x14ac:dyDescent="0.2">
      <c r="A295" s="43" t="s">
        <v>1485</v>
      </c>
      <c r="B295" s="43" t="s">
        <v>1486</v>
      </c>
      <c r="C295" s="44" t="s">
        <v>1487</v>
      </c>
      <c r="D295" s="44" t="s">
        <v>228</v>
      </c>
      <c r="E295" s="45" t="s">
        <v>1488</v>
      </c>
      <c r="F295" s="45" t="s">
        <v>1489</v>
      </c>
      <c r="G295" s="46" t="s">
        <v>39</v>
      </c>
      <c r="H295" s="48">
        <v>46097</v>
      </c>
      <c r="I295" s="48">
        <v>46112</v>
      </c>
      <c r="J295" s="44" t="s">
        <v>109</v>
      </c>
      <c r="K295" s="44" t="s">
        <v>91</v>
      </c>
      <c r="L295" s="50" t="s">
        <v>77</v>
      </c>
      <c r="M295" s="50"/>
      <c r="N295" s="50"/>
      <c r="O295" s="49"/>
      <c r="P295" s="50" t="str">
        <f t="shared" si="16"/>
        <v>ONAY</v>
      </c>
      <c r="R295" s="51" t="str">
        <f t="shared" si="17"/>
        <v/>
      </c>
      <c r="T295" s="41"/>
      <c r="U295" s="29">
        <f>IF($C295&lt;&gt;"",COUNTIF($C$2:C295,C295),"")</f>
        <v>1</v>
      </c>
      <c r="V295" s="29" t="str">
        <f t="shared" si="18"/>
        <v>Dr. Öğr. Üyesi Onur İNCE§1</v>
      </c>
      <c r="W295" s="29">
        <f>IF(U295=1,COUNTIF($U$2:U295,1),"")</f>
        <v>186</v>
      </c>
      <c r="X295" s="29">
        <f t="shared" si="19"/>
        <v>152</v>
      </c>
      <c r="Y295" s="29">
        <f>IF(AND(LEFT($B295,7)="SBA 26/",$D295&lt;&gt;"",$F295&lt;&gt;""),COUNTIFS($D$2:$D295,$D295,$B$2:$B295,"SBA 26/*",$F$2:$F295,"&lt;&gt;"),"")</f>
        <v>18</v>
      </c>
      <c r="Z295" s="29" t="str">
        <f>IF(Y295=1,COUNTIF($Y$2:Y295,1),"")</f>
        <v/>
      </c>
      <c r="AA295" s="29">
        <f>IF(AND(LEFT($B295,7)="SBA 26/",$C295&lt;&gt;"",$F295&lt;&gt;""),COUNTIFS($C$2:$C295,$C295,$B$2:$B295,"SBA 26/*",$F$2:$F295,"&lt;&gt;"),"")</f>
        <v>1</v>
      </c>
      <c r="AB295" s="29">
        <f>IF(AA295=1,COUNTIF($AA$2:AA295,1),"")</f>
        <v>186</v>
      </c>
    </row>
    <row r="296" spans="1:28" ht="94.5" customHeight="1" x14ac:dyDescent="0.2">
      <c r="A296" s="43" t="s">
        <v>1490</v>
      </c>
      <c r="B296" s="43" t="s">
        <v>1491</v>
      </c>
      <c r="C296" s="44" t="s">
        <v>1492</v>
      </c>
      <c r="D296" s="44" t="s">
        <v>1493</v>
      </c>
      <c r="E296" s="45" t="s">
        <v>1494</v>
      </c>
      <c r="F296" s="45" t="s">
        <v>1495</v>
      </c>
      <c r="G296" s="46" t="s">
        <v>39</v>
      </c>
      <c r="H296" s="48">
        <v>46097</v>
      </c>
      <c r="I296" s="48">
        <v>46112</v>
      </c>
      <c r="J296" s="44" t="s">
        <v>116</v>
      </c>
      <c r="K296" s="44" t="s">
        <v>84</v>
      </c>
      <c r="L296" s="50" t="s">
        <v>101</v>
      </c>
      <c r="M296" s="50" t="s">
        <v>77</v>
      </c>
      <c r="N296" s="50"/>
      <c r="O296" s="49"/>
      <c r="P296" s="50" t="str">
        <f t="shared" si="16"/>
        <v>ONAY</v>
      </c>
      <c r="Q296" s="28" t="s">
        <v>116</v>
      </c>
      <c r="R296" s="51" t="str">
        <f t="shared" si="17"/>
        <v/>
      </c>
      <c r="T296" s="41"/>
      <c r="U296" s="29">
        <f>IF($C296&lt;&gt;"",COUNTIF($C$2:C296,C296),"")</f>
        <v>1</v>
      </c>
      <c r="V296" s="29" t="str">
        <f t="shared" si="18"/>
        <v>Öğr. Gör. Dr. Berrin BABAOĞLU§1</v>
      </c>
      <c r="W296" s="29">
        <f>IF(U296=1,COUNTIF($U$2:U296,1),"")</f>
        <v>187</v>
      </c>
      <c r="X296" s="29">
        <f t="shared" si="19"/>
        <v>170</v>
      </c>
      <c r="Y296" s="29">
        <f>IF(AND(LEFT($B296,7)="SBA 26/",$D296&lt;&gt;"",$F296&lt;&gt;""),COUNTIFS($D$2:$D296,$D296,$B$2:$B296,"SBA 26/*",$F$2:$F296,"&lt;&gt;"),"")</f>
        <v>1</v>
      </c>
      <c r="Z296" s="29">
        <f>IF(Y296=1,COUNTIF($Y$2:Y296,1),"")</f>
        <v>60</v>
      </c>
      <c r="AA296" s="29">
        <f>IF(AND(LEFT($B296,7)="SBA 26/",$C296&lt;&gt;"",$F296&lt;&gt;""),COUNTIFS($C$2:$C296,$C296,$B$2:$B296,"SBA 26/*",$F$2:$F296,"&lt;&gt;"),"")</f>
        <v>1</v>
      </c>
      <c r="AB296" s="29">
        <f>IF(AA296=1,COUNTIF($AA$2:AA296,1),"")</f>
        <v>187</v>
      </c>
    </row>
    <row r="297" spans="1:28" ht="63" customHeight="1" x14ac:dyDescent="0.2">
      <c r="A297" s="43" t="s">
        <v>1496</v>
      </c>
      <c r="B297" s="43" t="s">
        <v>1497</v>
      </c>
      <c r="C297" s="44" t="s">
        <v>1498</v>
      </c>
      <c r="D297" s="44" t="s">
        <v>113</v>
      </c>
      <c r="E297" s="45" t="s">
        <v>1499</v>
      </c>
      <c r="F297" s="45" t="s">
        <v>1500</v>
      </c>
      <c r="G297" s="46" t="s">
        <v>38</v>
      </c>
      <c r="H297" s="48">
        <v>46097</v>
      </c>
      <c r="I297" s="48">
        <v>46112</v>
      </c>
      <c r="J297" s="44" t="s">
        <v>75</v>
      </c>
      <c r="K297" s="44" t="s">
        <v>109</v>
      </c>
      <c r="L297" s="50" t="s">
        <v>101</v>
      </c>
      <c r="M297" s="50" t="s">
        <v>77</v>
      </c>
      <c r="N297" s="50"/>
      <c r="O297" s="49"/>
      <c r="P297" s="50" t="str">
        <f t="shared" si="16"/>
        <v>ONAY</v>
      </c>
      <c r="Q297" s="28" t="s">
        <v>109</v>
      </c>
      <c r="R297" s="51" t="str">
        <f t="shared" si="17"/>
        <v/>
      </c>
      <c r="T297" s="41"/>
      <c r="U297" s="29">
        <f>IF($C297&lt;&gt;"",COUNTIF($C$2:C297,C297),"")</f>
        <v>1</v>
      </c>
      <c r="V297" s="29" t="str">
        <f t="shared" si="18"/>
        <v>Prof. Dr. Hakan GÖKER§1</v>
      </c>
      <c r="W297" s="29">
        <f>IF(U297=1,COUNTIF($U$2:U297,1),"")</f>
        <v>188</v>
      </c>
      <c r="X297" s="29">
        <f t="shared" si="19"/>
        <v>236</v>
      </c>
      <c r="Y297" s="29">
        <f>IF(AND(LEFT($B297,7)="SBA 26/",$D297&lt;&gt;"",$F297&lt;&gt;""),COUNTIFS($D$2:$D297,$D297,$B$2:$B297,"SBA 26/*",$F$2:$F297,"&lt;&gt;"),"")</f>
        <v>38</v>
      </c>
      <c r="Z297" s="29" t="str">
        <f>IF(Y297=1,COUNTIF($Y$2:Y297,1),"")</f>
        <v/>
      </c>
      <c r="AA297" s="29">
        <f>IF(AND(LEFT($B297,7)="SBA 26/",$C297&lt;&gt;"",$F297&lt;&gt;""),COUNTIFS($C$2:$C297,$C297,$B$2:$B297,"SBA 26/*",$F$2:$F297,"&lt;&gt;"),"")</f>
        <v>1</v>
      </c>
      <c r="AB297" s="29">
        <f>IF(AA297=1,COUNTIF($AA$2:AA297,1),"")</f>
        <v>188</v>
      </c>
    </row>
    <row r="298" spans="1:28" ht="110.25" customHeight="1" x14ac:dyDescent="0.2">
      <c r="A298" s="43" t="s">
        <v>1501</v>
      </c>
      <c r="B298" s="43" t="s">
        <v>1502</v>
      </c>
      <c r="C298" s="44" t="s">
        <v>1503</v>
      </c>
      <c r="D298" s="44" t="s">
        <v>222</v>
      </c>
      <c r="E298" s="45" t="s">
        <v>1504</v>
      </c>
      <c r="F298" s="45" t="s">
        <v>1505</v>
      </c>
      <c r="G298" s="46" t="s">
        <v>39</v>
      </c>
      <c r="H298" s="48">
        <v>46097</v>
      </c>
      <c r="I298" s="48">
        <v>46112</v>
      </c>
      <c r="J298" s="44" t="s">
        <v>123</v>
      </c>
      <c r="K298" s="44" t="s">
        <v>76</v>
      </c>
      <c r="L298" s="50" t="s">
        <v>77</v>
      </c>
      <c r="M298" s="50"/>
      <c r="N298" s="50"/>
      <c r="O298" s="49"/>
      <c r="P298" s="50" t="str">
        <f t="shared" si="16"/>
        <v>ONAY</v>
      </c>
      <c r="R298" s="51" t="str">
        <f t="shared" si="17"/>
        <v/>
      </c>
      <c r="T298" s="41"/>
      <c r="U298" s="29">
        <f>IF($C298&lt;&gt;"",COUNTIF($C$2:C298,C298),"")</f>
        <v>1</v>
      </c>
      <c r="V298" s="29" t="str">
        <f t="shared" si="18"/>
        <v>Prof. Dr. Sinem AKGÜL§1</v>
      </c>
      <c r="W298" s="29">
        <f>IF(U298=1,COUNTIF($U$2:U298,1),"")</f>
        <v>189</v>
      </c>
      <c r="X298" s="29">
        <f t="shared" si="19"/>
        <v>314</v>
      </c>
      <c r="Y298" s="29">
        <f>IF(AND(LEFT($B298,7)="SBA 26/",$D298&lt;&gt;"",$F298&lt;&gt;""),COUNTIFS($D$2:$D298,$D298,$B$2:$B298,"SBA 26/*",$F$2:$F298,"&lt;&gt;"),"")</f>
        <v>44</v>
      </c>
      <c r="Z298" s="29" t="str">
        <f>IF(Y298=1,COUNTIF($Y$2:Y298,1),"")</f>
        <v/>
      </c>
      <c r="AA298" s="29">
        <f>IF(AND(LEFT($B298,7)="SBA 26/",$C298&lt;&gt;"",$F298&lt;&gt;""),COUNTIFS($C$2:$C298,$C298,$B$2:$B298,"SBA 26/*",$F$2:$F298,"&lt;&gt;"),"")</f>
        <v>1</v>
      </c>
      <c r="AB298" s="29">
        <f>IF(AA298=1,COUNTIF($AA$2:AA298,1),"")</f>
        <v>189</v>
      </c>
    </row>
    <row r="299" spans="1:28" ht="94.5" customHeight="1" x14ac:dyDescent="0.2">
      <c r="A299" s="43" t="s">
        <v>1506</v>
      </c>
      <c r="B299" s="43" t="s">
        <v>1507</v>
      </c>
      <c r="C299" s="44" t="s">
        <v>1329</v>
      </c>
      <c r="D299" s="44" t="s">
        <v>222</v>
      </c>
      <c r="E299" s="45" t="s">
        <v>1508</v>
      </c>
      <c r="F299" s="45" t="s">
        <v>1509</v>
      </c>
      <c r="G299" s="46" t="s">
        <v>38</v>
      </c>
      <c r="H299" s="48">
        <v>46097</v>
      </c>
      <c r="I299" s="48">
        <v>46112</v>
      </c>
      <c r="J299" s="44" t="s">
        <v>76</v>
      </c>
      <c r="K299" s="44" t="s">
        <v>99</v>
      </c>
      <c r="L299" s="50" t="s">
        <v>77</v>
      </c>
      <c r="M299" s="50"/>
      <c r="N299" s="50"/>
      <c r="O299" s="49"/>
      <c r="P299" s="50" t="str">
        <f t="shared" si="16"/>
        <v>ONAY</v>
      </c>
      <c r="R299" s="51" t="str">
        <f t="shared" si="17"/>
        <v/>
      </c>
      <c r="T299" s="41"/>
      <c r="U299" s="29">
        <f>IF($C299&lt;&gt;"",COUNTIF($C$2:C299,C299),"")</f>
        <v>2</v>
      </c>
      <c r="V299" s="29" t="str">
        <f t="shared" si="18"/>
        <v>Prof. Dr. Bülent Enis ŞEKEREL§2</v>
      </c>
      <c r="W299" s="29" t="str">
        <f>IF(U299=1,COUNTIF($U$2:U299,1),"")</f>
        <v/>
      </c>
      <c r="X299" s="29" t="str">
        <f t="shared" si="19"/>
        <v/>
      </c>
      <c r="Y299" s="29">
        <f>IF(AND(LEFT($B299,7)="SBA 26/",$D299&lt;&gt;"",$F299&lt;&gt;""),COUNTIFS($D$2:$D299,$D299,$B$2:$B299,"SBA 26/*",$F$2:$F299,"&lt;&gt;"),"")</f>
        <v>45</v>
      </c>
      <c r="Z299" s="29" t="str">
        <f>IF(Y299=1,COUNTIF($Y$2:Y299,1),"")</f>
        <v/>
      </c>
      <c r="AA299" s="29">
        <f>IF(AND(LEFT($B299,7)="SBA 26/",$C299&lt;&gt;"",$F299&lt;&gt;""),COUNTIFS($C$2:$C299,$C299,$B$2:$B299,"SBA 26/*",$F$2:$F299,"&lt;&gt;"),"")</f>
        <v>2</v>
      </c>
      <c r="AB299" s="29" t="str">
        <f>IF(AA299=1,COUNTIF($AA$2:AA299,1),"")</f>
        <v/>
      </c>
    </row>
    <row r="300" spans="1:28" ht="63" customHeight="1" x14ac:dyDescent="0.2">
      <c r="A300" s="43" t="s">
        <v>1510</v>
      </c>
      <c r="B300" s="43" t="s">
        <v>1511</v>
      </c>
      <c r="C300" s="44" t="s">
        <v>1106</v>
      </c>
      <c r="D300" s="44" t="s">
        <v>966</v>
      </c>
      <c r="E300" s="45" t="s">
        <v>1512</v>
      </c>
      <c r="F300" s="45" t="s">
        <v>1513</v>
      </c>
      <c r="G300" s="46" t="s">
        <v>39</v>
      </c>
      <c r="H300" s="48">
        <v>46097</v>
      </c>
      <c r="I300" s="48">
        <v>46112</v>
      </c>
      <c r="J300" s="44" t="s">
        <v>116</v>
      </c>
      <c r="K300" s="44" t="s">
        <v>84</v>
      </c>
      <c r="L300" s="50" t="s">
        <v>77</v>
      </c>
      <c r="M300" s="50"/>
      <c r="N300" s="50"/>
      <c r="O300" s="49"/>
      <c r="P300" s="50" t="str">
        <f t="shared" si="16"/>
        <v>ONAY</v>
      </c>
      <c r="R300" s="51" t="str">
        <f t="shared" si="17"/>
        <v/>
      </c>
      <c r="T300" s="41"/>
      <c r="U300" s="29">
        <f>IF($C300&lt;&gt;"",COUNTIF($C$2:C300,C300),"")</f>
        <v>2</v>
      </c>
      <c r="V300" s="29" t="str">
        <f t="shared" si="18"/>
        <v>Doç. Dr. Duygu AYHAN BAŞER§2</v>
      </c>
      <c r="W300" s="29" t="str">
        <f>IF(U300=1,COUNTIF($U$2:U300,1),"")</f>
        <v/>
      </c>
      <c r="X300" s="29" t="str">
        <f t="shared" si="19"/>
        <v/>
      </c>
      <c r="Y300" s="29">
        <f>IF(AND(LEFT($B300,7)="SBA 26/",$D300&lt;&gt;"",$F300&lt;&gt;""),COUNTIFS($D$2:$D300,$D300,$B$2:$B300,"SBA 26/*",$F$2:$F300,"&lt;&gt;"),"")</f>
        <v>4</v>
      </c>
      <c r="Z300" s="29" t="str">
        <f>IF(Y300=1,COUNTIF($Y$2:Y300,1),"")</f>
        <v/>
      </c>
      <c r="AA300" s="29">
        <f>IF(AND(LEFT($B300,7)="SBA 26/",$C300&lt;&gt;"",$F300&lt;&gt;""),COUNTIFS($C$2:$C300,$C300,$B$2:$B300,"SBA 26/*",$F$2:$F300,"&lt;&gt;"),"")</f>
        <v>2</v>
      </c>
      <c r="AB300" s="29" t="str">
        <f>IF(AA300=1,COUNTIF($AA$2:AA300,1),"")</f>
        <v/>
      </c>
    </row>
    <row r="301" spans="1:28" ht="63" customHeight="1" x14ac:dyDescent="0.2">
      <c r="A301" s="43" t="s">
        <v>1514</v>
      </c>
      <c r="B301" s="43" t="s">
        <v>1515</v>
      </c>
      <c r="C301" s="44" t="s">
        <v>112</v>
      </c>
      <c r="D301" s="44" t="s">
        <v>113</v>
      </c>
      <c r="E301" s="45" t="s">
        <v>1516</v>
      </c>
      <c r="F301" s="45" t="s">
        <v>1517</v>
      </c>
      <c r="G301" s="46" t="s">
        <v>38</v>
      </c>
      <c r="H301" s="48">
        <v>46097</v>
      </c>
      <c r="I301" s="48">
        <v>46112</v>
      </c>
      <c r="J301" s="44" t="s">
        <v>109</v>
      </c>
      <c r="K301" s="44" t="s">
        <v>92</v>
      </c>
      <c r="L301" s="50" t="s">
        <v>101</v>
      </c>
      <c r="M301" s="50" t="s">
        <v>77</v>
      </c>
      <c r="N301" s="50"/>
      <c r="O301" s="49"/>
      <c r="P301" s="50" t="str">
        <f t="shared" si="16"/>
        <v>ONAY</v>
      </c>
      <c r="Q301" s="28" t="s">
        <v>109</v>
      </c>
      <c r="R301" s="51" t="str">
        <f t="shared" si="17"/>
        <v/>
      </c>
      <c r="T301" s="41"/>
      <c r="U301" s="29">
        <f>IF($C301&lt;&gt;"",COUNTIF($C$2:C301,C301),"")</f>
        <v>10</v>
      </c>
      <c r="V301" s="29" t="str">
        <f t="shared" si="18"/>
        <v>Prof. Dr. Meltem Gülhan HALİL§10</v>
      </c>
      <c r="W301" s="29" t="str">
        <f>IF(U301=1,COUNTIF($U$2:U301,1),"")</f>
        <v/>
      </c>
      <c r="X301" s="29" t="str">
        <f t="shared" si="19"/>
        <v/>
      </c>
      <c r="Y301" s="29">
        <f>IF(AND(LEFT($B301,7)="SBA 26/",$D301&lt;&gt;"",$F301&lt;&gt;""),COUNTIFS($D$2:$D301,$D301,$B$2:$B301,"SBA 26/*",$F$2:$F301,"&lt;&gt;"),"")</f>
        <v>39</v>
      </c>
      <c r="Z301" s="29" t="str">
        <f>IF(Y301=1,COUNTIF($Y$2:Y301,1),"")</f>
        <v/>
      </c>
      <c r="AA301" s="29">
        <f>IF(AND(LEFT($B301,7)="SBA 26/",$C301&lt;&gt;"",$F301&lt;&gt;""),COUNTIFS($C$2:$C301,$C301,$B$2:$B301,"SBA 26/*",$F$2:$F301,"&lt;&gt;"),"")</f>
        <v>10</v>
      </c>
      <c r="AB301" s="29" t="str">
        <f>IF(AA301=1,COUNTIF($AA$2:AA301,1),"")</f>
        <v/>
      </c>
    </row>
    <row r="302" spans="1:28" ht="78.75" customHeight="1" x14ac:dyDescent="0.2">
      <c r="A302" s="43" t="s">
        <v>1518</v>
      </c>
      <c r="B302" s="43" t="s">
        <v>1519</v>
      </c>
      <c r="C302" s="44" t="s">
        <v>1414</v>
      </c>
      <c r="D302" s="44" t="s">
        <v>222</v>
      </c>
      <c r="E302" s="45" t="s">
        <v>1520</v>
      </c>
      <c r="F302" s="45" t="s">
        <v>1521</v>
      </c>
      <c r="G302" s="46" t="s">
        <v>38</v>
      </c>
      <c r="H302" s="48">
        <v>46098</v>
      </c>
      <c r="I302" s="48">
        <v>46112</v>
      </c>
      <c r="J302" s="44" t="s">
        <v>99</v>
      </c>
      <c r="K302" s="44" t="s">
        <v>75</v>
      </c>
      <c r="L302" s="50" t="s">
        <v>101</v>
      </c>
      <c r="M302" s="50" t="s">
        <v>77</v>
      </c>
      <c r="N302" s="50"/>
      <c r="O302" s="49"/>
      <c r="P302" s="50" t="str">
        <f t="shared" si="16"/>
        <v>ONAY</v>
      </c>
      <c r="Q302" s="28" t="s">
        <v>75</v>
      </c>
      <c r="R302" s="51" t="str">
        <f t="shared" si="17"/>
        <v/>
      </c>
      <c r="T302" s="41"/>
      <c r="U302" s="29">
        <f>IF($C302&lt;&gt;"",COUNTIF($C$2:C302,C302),"")</f>
        <v>2</v>
      </c>
      <c r="V302" s="29" t="str">
        <f t="shared" si="18"/>
        <v>Prof. Dr. İnci Nur SALTIK§2</v>
      </c>
      <c r="W302" s="29" t="str">
        <f>IF(U302=1,COUNTIF($U$2:U302,1),"")</f>
        <v/>
      </c>
      <c r="X302" s="29" t="str">
        <f t="shared" si="19"/>
        <v/>
      </c>
      <c r="Y302" s="29">
        <f>IF(AND(LEFT($B302,7)="SBA 26/",$D302&lt;&gt;"",$F302&lt;&gt;""),COUNTIFS($D$2:$D302,$D302,$B$2:$B302,"SBA 26/*",$F$2:$F302,"&lt;&gt;"),"")</f>
        <v>46</v>
      </c>
      <c r="Z302" s="29" t="str">
        <f>IF(Y302=1,COUNTIF($Y$2:Y302,1),"")</f>
        <v/>
      </c>
      <c r="AA302" s="29">
        <f>IF(AND(LEFT($B302,7)="SBA 26/",$C302&lt;&gt;"",$F302&lt;&gt;""),COUNTIFS($C$2:$C302,$C302,$B$2:$B302,"SBA 26/*",$F$2:$F302,"&lt;&gt;"),"")</f>
        <v>2</v>
      </c>
      <c r="AB302" s="29" t="str">
        <f>IF(AA302=1,COUNTIF($AA$2:AA302,1),"")</f>
        <v/>
      </c>
    </row>
    <row r="303" spans="1:28" ht="78.75" customHeight="1" x14ac:dyDescent="0.2">
      <c r="A303" s="43" t="s">
        <v>1522</v>
      </c>
      <c r="B303" s="43" t="s">
        <v>1523</v>
      </c>
      <c r="C303" s="44" t="s">
        <v>1300</v>
      </c>
      <c r="D303" s="44" t="s">
        <v>228</v>
      </c>
      <c r="E303" s="45" t="s">
        <v>1524</v>
      </c>
      <c r="F303" s="45" t="s">
        <v>1525</v>
      </c>
      <c r="G303" s="46" t="s">
        <v>38</v>
      </c>
      <c r="H303" s="48">
        <v>46098</v>
      </c>
      <c r="I303" s="48">
        <v>46112</v>
      </c>
      <c r="J303" s="44" t="s">
        <v>75</v>
      </c>
      <c r="K303" s="44" t="s">
        <v>100</v>
      </c>
      <c r="L303" s="50" t="s">
        <v>77</v>
      </c>
      <c r="M303" s="50"/>
      <c r="N303" s="50"/>
      <c r="O303" s="49"/>
      <c r="P303" s="50" t="str">
        <f t="shared" si="16"/>
        <v>ONAY</v>
      </c>
      <c r="R303" s="51" t="str">
        <f t="shared" si="17"/>
        <v/>
      </c>
      <c r="T303" s="41"/>
      <c r="U303" s="29">
        <f>IF($C303&lt;&gt;"",COUNTIF($C$2:C303,C303),"")</f>
        <v>2</v>
      </c>
      <c r="V303" s="29" t="str">
        <f t="shared" si="18"/>
        <v>Prof. Dr. Murat GÜLTEKİN§2</v>
      </c>
      <c r="W303" s="29" t="str">
        <f>IF(U303=1,COUNTIF($U$2:U303,1),"")</f>
        <v/>
      </c>
      <c r="X303" s="29" t="str">
        <f t="shared" si="19"/>
        <v/>
      </c>
      <c r="Y303" s="29">
        <f>IF(AND(LEFT($B303,7)="SBA 26/",$D303&lt;&gt;"",$F303&lt;&gt;""),COUNTIFS($D$2:$D303,$D303,$B$2:$B303,"SBA 26/*",$F$2:$F303,"&lt;&gt;"),"")</f>
        <v>19</v>
      </c>
      <c r="Z303" s="29" t="str">
        <f>IF(Y303=1,COUNTIF($Y$2:Y303,1),"")</f>
        <v/>
      </c>
      <c r="AA303" s="29">
        <f>IF(AND(LEFT($B303,7)="SBA 26/",$C303&lt;&gt;"",$F303&lt;&gt;""),COUNTIFS($C$2:$C303,$C303,$B$2:$B303,"SBA 26/*",$F$2:$F303,"&lt;&gt;"),"")</f>
        <v>2</v>
      </c>
      <c r="AB303" s="29" t="str">
        <f>IF(AA303=1,COUNTIF($AA$2:AA303,1),"")</f>
        <v/>
      </c>
    </row>
    <row r="304" spans="1:28" ht="63" customHeight="1" x14ac:dyDescent="0.2">
      <c r="A304" s="43" t="s">
        <v>1526</v>
      </c>
      <c r="B304" s="43" t="s">
        <v>1527</v>
      </c>
      <c r="C304" s="44" t="s">
        <v>1528</v>
      </c>
      <c r="D304" s="44" t="s">
        <v>234</v>
      </c>
      <c r="E304" s="45" t="s">
        <v>1529</v>
      </c>
      <c r="F304" s="45" t="s">
        <v>1530</v>
      </c>
      <c r="G304" s="46" t="s">
        <v>38</v>
      </c>
      <c r="H304" s="48">
        <v>46098</v>
      </c>
      <c r="I304" s="48">
        <v>46112</v>
      </c>
      <c r="J304" s="44" t="s">
        <v>92</v>
      </c>
      <c r="K304" s="44" t="s">
        <v>123</v>
      </c>
      <c r="L304" s="50" t="s">
        <v>77</v>
      </c>
      <c r="M304" s="50"/>
      <c r="N304" s="50"/>
      <c r="O304" s="49"/>
      <c r="P304" s="50" t="str">
        <f t="shared" si="16"/>
        <v>ONAY</v>
      </c>
      <c r="R304" s="51" t="str">
        <f t="shared" si="17"/>
        <v/>
      </c>
      <c r="T304" s="41"/>
      <c r="U304" s="29">
        <f>IF($C304&lt;&gt;"",COUNTIF($C$2:C304,C304),"")</f>
        <v>1</v>
      </c>
      <c r="V304" s="29" t="str">
        <f t="shared" si="18"/>
        <v>Doç. Dr. Cem ÇÖTELİ§1</v>
      </c>
      <c r="W304" s="29">
        <f>IF(U304=1,COUNTIF($U$2:U304,1),"")</f>
        <v>190</v>
      </c>
      <c r="X304" s="29">
        <f t="shared" si="19"/>
        <v>31</v>
      </c>
      <c r="Y304" s="29">
        <f>IF(AND(LEFT($B304,7)="SBA 26/",$D304&lt;&gt;"",$F304&lt;&gt;""),COUNTIFS($D$2:$D304,$D304,$B$2:$B304,"SBA 26/*",$F$2:$F304,"&lt;&gt;"),"")</f>
        <v>6</v>
      </c>
      <c r="Z304" s="29" t="str">
        <f>IF(Y304=1,COUNTIF($Y$2:Y304,1),"")</f>
        <v/>
      </c>
      <c r="AA304" s="29">
        <f>IF(AND(LEFT($B304,7)="SBA 26/",$C304&lt;&gt;"",$F304&lt;&gt;""),COUNTIFS($C$2:$C304,$C304,$B$2:$B304,"SBA 26/*",$F$2:$F304,"&lt;&gt;"),"")</f>
        <v>1</v>
      </c>
      <c r="AB304" s="29">
        <f>IF(AA304=1,COUNTIF($AA$2:AA304,1),"")</f>
        <v>190</v>
      </c>
    </row>
    <row r="305" spans="1:28" ht="78.75" customHeight="1" x14ac:dyDescent="0.2">
      <c r="A305" s="43" t="s">
        <v>1531</v>
      </c>
      <c r="B305" s="43" t="s">
        <v>1532</v>
      </c>
      <c r="C305" s="44" t="s">
        <v>1533</v>
      </c>
      <c r="D305" s="44" t="s">
        <v>113</v>
      </c>
      <c r="E305" s="45" t="s">
        <v>1534</v>
      </c>
      <c r="F305" s="45" t="s">
        <v>1535</v>
      </c>
      <c r="G305" s="46" t="s">
        <v>38</v>
      </c>
      <c r="H305" s="48">
        <v>46098</v>
      </c>
      <c r="I305" s="48">
        <v>46112</v>
      </c>
      <c r="J305" s="44" t="s">
        <v>91</v>
      </c>
      <c r="K305" s="44" t="s">
        <v>116</v>
      </c>
      <c r="L305" s="50" t="s">
        <v>101</v>
      </c>
      <c r="M305" s="50" t="s">
        <v>77</v>
      </c>
      <c r="N305" s="50"/>
      <c r="O305" s="49"/>
      <c r="P305" s="50" t="str">
        <f t="shared" si="16"/>
        <v>ONAY</v>
      </c>
      <c r="Q305" s="28" t="s">
        <v>91</v>
      </c>
      <c r="R305" s="51" t="str">
        <f t="shared" si="17"/>
        <v/>
      </c>
      <c r="T305" s="41"/>
      <c r="U305" s="29">
        <f>IF($C305&lt;&gt;"",COUNTIF($C$2:C305,C305),"")</f>
        <v>1</v>
      </c>
      <c r="V305" s="29" t="str">
        <f t="shared" si="18"/>
        <v>Doç. Dr. Oğuz Abdullah UYAROĞLU§1</v>
      </c>
      <c r="W305" s="29">
        <f>IF(U305=1,COUNTIF($U$2:U305,1),"")</f>
        <v>191</v>
      </c>
      <c r="X305" s="29">
        <f t="shared" si="19"/>
        <v>88</v>
      </c>
      <c r="Y305" s="29">
        <f>IF(AND(LEFT($B305,7)="SBA 26/",$D305&lt;&gt;"",$F305&lt;&gt;""),COUNTIFS($D$2:$D305,$D305,$B$2:$B305,"SBA 26/*",$F$2:$F305,"&lt;&gt;"),"")</f>
        <v>40</v>
      </c>
      <c r="Z305" s="29" t="str">
        <f>IF(Y305=1,COUNTIF($Y$2:Y305,1),"")</f>
        <v/>
      </c>
      <c r="AA305" s="29">
        <f>IF(AND(LEFT($B305,7)="SBA 26/",$C305&lt;&gt;"",$F305&lt;&gt;""),COUNTIFS($C$2:$C305,$C305,$B$2:$B305,"SBA 26/*",$F$2:$F305,"&lt;&gt;"),"")</f>
        <v>1</v>
      </c>
      <c r="AB305" s="29">
        <f>IF(AA305=1,COUNTIF($AA$2:AA305,1),"")</f>
        <v>191</v>
      </c>
    </row>
    <row r="306" spans="1:28" ht="78.75" customHeight="1" x14ac:dyDescent="0.2">
      <c r="A306" s="43" t="s">
        <v>1536</v>
      </c>
      <c r="B306" s="43" t="s">
        <v>1537</v>
      </c>
      <c r="C306" s="44" t="s">
        <v>1538</v>
      </c>
      <c r="D306" s="44" t="s">
        <v>280</v>
      </c>
      <c r="E306" s="45" t="s">
        <v>1539</v>
      </c>
      <c r="F306" s="45" t="s">
        <v>1540</v>
      </c>
      <c r="G306" s="46" t="s">
        <v>39</v>
      </c>
      <c r="H306" s="48">
        <v>46098</v>
      </c>
      <c r="I306" s="48">
        <v>46112</v>
      </c>
      <c r="J306" s="44" t="s">
        <v>92</v>
      </c>
      <c r="K306" s="44" t="s">
        <v>76</v>
      </c>
      <c r="L306" s="50" t="s">
        <v>77</v>
      </c>
      <c r="M306" s="50"/>
      <c r="N306" s="50"/>
      <c r="O306" s="49"/>
      <c r="P306" s="50" t="str">
        <f t="shared" si="16"/>
        <v>ONAY</v>
      </c>
      <c r="R306" s="51" t="str">
        <f t="shared" si="17"/>
        <v/>
      </c>
      <c r="T306" s="41"/>
      <c r="U306" s="29">
        <f>IF($C306&lt;&gt;"",COUNTIF($C$2:C306,C306),"")</f>
        <v>1</v>
      </c>
      <c r="V306" s="29" t="str">
        <f t="shared" si="18"/>
        <v>Prof. Dr. Bilge VOLKAN SALANCI§1</v>
      </c>
      <c r="W306" s="29">
        <f>IF(U306=1,COUNTIF($U$2:U306,1),"")</f>
        <v>192</v>
      </c>
      <c r="X306" s="29">
        <f t="shared" si="19"/>
        <v>199</v>
      </c>
      <c r="Y306" s="29">
        <f>IF(AND(LEFT($B306,7)="SBA 26/",$D306&lt;&gt;"",$F306&lt;&gt;""),COUNTIFS($D$2:$D306,$D306,$B$2:$B306,"SBA 26/*",$F$2:$F306,"&lt;&gt;"),"")</f>
        <v>5</v>
      </c>
      <c r="Z306" s="29" t="str">
        <f>IF(Y306=1,COUNTIF($Y$2:Y306,1),"")</f>
        <v/>
      </c>
      <c r="AA306" s="29">
        <f>IF(AND(LEFT($B306,7)="SBA 26/",$C306&lt;&gt;"",$F306&lt;&gt;""),COUNTIFS($C$2:$C306,$C306,$B$2:$B306,"SBA 26/*",$F$2:$F306,"&lt;&gt;"),"")</f>
        <v>1</v>
      </c>
      <c r="AB306" s="29">
        <f>IF(AA306=1,COUNTIF($AA$2:AA306,1),"")</f>
        <v>192</v>
      </c>
    </row>
    <row r="307" spans="1:28" ht="81" customHeight="1" x14ac:dyDescent="0.2">
      <c r="A307" s="43" t="s">
        <v>1541</v>
      </c>
      <c r="B307" s="43" t="s">
        <v>1542</v>
      </c>
      <c r="C307" s="44" t="s">
        <v>671</v>
      </c>
      <c r="D307" s="44" t="s">
        <v>347</v>
      </c>
      <c r="E307" s="45" t="s">
        <v>1543</v>
      </c>
      <c r="F307" s="45" t="s">
        <v>1544</v>
      </c>
      <c r="G307" s="46" t="s">
        <v>38</v>
      </c>
      <c r="H307" s="48">
        <v>46098</v>
      </c>
      <c r="I307" s="48">
        <v>46112</v>
      </c>
      <c r="J307" s="44" t="s">
        <v>91</v>
      </c>
      <c r="K307" s="44" t="s">
        <v>109</v>
      </c>
      <c r="L307" s="50" t="s">
        <v>172</v>
      </c>
      <c r="M307" s="50"/>
      <c r="N307" s="50"/>
      <c r="O307" s="49"/>
      <c r="P307" s="50" t="str">
        <f t="shared" si="16"/>
        <v>RET</v>
      </c>
      <c r="R307" s="51" t="str">
        <f t="shared" si="17"/>
        <v/>
      </c>
      <c r="T307" s="41"/>
      <c r="U307" s="29">
        <f>IF($C307&lt;&gt;"",COUNTIF($C$2:C307,C307),"")</f>
        <v>2</v>
      </c>
      <c r="V307" s="29" t="str">
        <f t="shared" si="18"/>
        <v>Prof. Dr. Alp ÇETİN§2</v>
      </c>
      <c r="W307" s="29" t="str">
        <f>IF(U307=1,COUNTIF($U$2:U307,1),"")</f>
        <v/>
      </c>
      <c r="X307" s="29" t="str">
        <f t="shared" si="19"/>
        <v/>
      </c>
      <c r="Y307" s="29">
        <f>IF(AND(LEFT($B307,7)="SBA 26/",$D307&lt;&gt;"",$F307&lt;&gt;""),COUNTIFS($D$2:$D307,$D307,$B$2:$B307,"SBA 26/*",$F$2:$F307,"&lt;&gt;"),"")</f>
        <v>3</v>
      </c>
      <c r="Z307" s="29" t="str">
        <f>IF(Y307=1,COUNTIF($Y$2:Y307,1),"")</f>
        <v/>
      </c>
      <c r="AA307" s="29">
        <f>IF(AND(LEFT($B307,7)="SBA 26/",$C307&lt;&gt;"",$F307&lt;&gt;""),COUNTIFS($C$2:$C307,$C307,$B$2:$B307,"SBA 26/*",$F$2:$F307,"&lt;&gt;"),"")</f>
        <v>2</v>
      </c>
      <c r="AB307" s="29" t="str">
        <f>IF(AA307=1,COUNTIF($AA$2:AA307,1),"")</f>
        <v/>
      </c>
    </row>
    <row r="308" spans="1:28" ht="81" customHeight="1" x14ac:dyDescent="0.2">
      <c r="A308" s="43" t="s">
        <v>1545</v>
      </c>
      <c r="B308" s="43" t="s">
        <v>1546</v>
      </c>
      <c r="C308" s="44" t="s">
        <v>671</v>
      </c>
      <c r="D308" s="44" t="s">
        <v>347</v>
      </c>
      <c r="E308" s="45" t="s">
        <v>1543</v>
      </c>
      <c r="F308" s="45" t="s">
        <v>1547</v>
      </c>
      <c r="G308" s="46" t="s">
        <v>38</v>
      </c>
      <c r="H308" s="48">
        <v>46098</v>
      </c>
      <c r="I308" s="48">
        <v>46112</v>
      </c>
      <c r="J308" s="44" t="s">
        <v>91</v>
      </c>
      <c r="K308" s="44" t="s">
        <v>109</v>
      </c>
      <c r="L308" s="50" t="s">
        <v>172</v>
      </c>
      <c r="M308" s="50"/>
      <c r="N308" s="50"/>
      <c r="O308" s="49"/>
      <c r="P308" s="50" t="str">
        <f t="shared" si="16"/>
        <v>RET</v>
      </c>
      <c r="R308" s="51" t="str">
        <f t="shared" si="17"/>
        <v/>
      </c>
      <c r="T308" s="41"/>
      <c r="U308" s="29">
        <f>IF($C308&lt;&gt;"",COUNTIF($C$2:C308,C308),"")</f>
        <v>3</v>
      </c>
      <c r="V308" s="29" t="str">
        <f t="shared" si="18"/>
        <v>Prof. Dr. Alp ÇETİN§3</v>
      </c>
      <c r="W308" s="29" t="str">
        <f>IF(U308=1,COUNTIF($U$2:U308,1),"")</f>
        <v/>
      </c>
      <c r="X308" s="29" t="str">
        <f t="shared" si="19"/>
        <v/>
      </c>
      <c r="Y308" s="29">
        <f>IF(AND(LEFT($B308,7)="SBA 26/",$D308&lt;&gt;"",$F308&lt;&gt;""),COUNTIFS($D$2:$D308,$D308,$B$2:$B308,"SBA 26/*",$F$2:$F308,"&lt;&gt;"),"")</f>
        <v>4</v>
      </c>
      <c r="Z308" s="29" t="str">
        <f>IF(Y308=1,COUNTIF($Y$2:Y308,1),"")</f>
        <v/>
      </c>
      <c r="AA308" s="29">
        <f>IF(AND(LEFT($B308,7)="SBA 26/",$C308&lt;&gt;"",$F308&lt;&gt;""),COUNTIFS($C$2:$C308,$C308,$B$2:$B308,"SBA 26/*",$F$2:$F308,"&lt;&gt;"),"")</f>
        <v>3</v>
      </c>
      <c r="AB308" s="29" t="str">
        <f>IF(AA308=1,COUNTIF($AA$2:AA308,1),"")</f>
        <v/>
      </c>
    </row>
    <row r="309" spans="1:28" ht="63" customHeight="1" x14ac:dyDescent="0.2">
      <c r="A309" s="43" t="s">
        <v>1548</v>
      </c>
      <c r="B309" s="43" t="s">
        <v>1549</v>
      </c>
      <c r="C309" s="44" t="s">
        <v>1550</v>
      </c>
      <c r="D309" s="44" t="s">
        <v>991</v>
      </c>
      <c r="E309" s="45" t="s">
        <v>1551</v>
      </c>
      <c r="F309" s="45" t="s">
        <v>1552</v>
      </c>
      <c r="G309" s="46" t="s">
        <v>38</v>
      </c>
      <c r="H309" s="48">
        <v>46099</v>
      </c>
      <c r="I309" s="48">
        <v>46112</v>
      </c>
      <c r="J309" s="44" t="s">
        <v>123</v>
      </c>
      <c r="K309" s="44" t="s">
        <v>92</v>
      </c>
      <c r="L309" s="50" t="s">
        <v>101</v>
      </c>
      <c r="M309" s="50" t="s">
        <v>206</v>
      </c>
      <c r="N309" s="50"/>
      <c r="O309" s="49"/>
      <c r="P309" s="50" t="str">
        <f t="shared" si="16"/>
        <v>GÖRÜŞ</v>
      </c>
      <c r="R309" s="51" t="str">
        <f t="shared" si="17"/>
        <v/>
      </c>
      <c r="T309" s="41"/>
      <c r="U309" s="29">
        <f>IF($C309&lt;&gt;"",COUNTIF($C$2:C309,C309),"")</f>
        <v>1</v>
      </c>
      <c r="V309" s="29" t="str">
        <f t="shared" si="18"/>
        <v>Prof. Dr. Filiz YALÇIN§1</v>
      </c>
      <c r="W309" s="29">
        <f>IF(U309=1,COUNTIF($U$2:U309,1),"")</f>
        <v>193</v>
      </c>
      <c r="X309" s="29">
        <f t="shared" si="19"/>
        <v>227</v>
      </c>
      <c r="Y309" s="29">
        <f>IF(AND(LEFT($B309,7)="SBA 26/",$D309&lt;&gt;"",$F309&lt;&gt;""),COUNTIFS($D$2:$D309,$D309,$B$2:$B309,"SBA 26/*",$F$2:$F309,"&lt;&gt;"),"")</f>
        <v>2</v>
      </c>
      <c r="Z309" s="29" t="str">
        <f>IF(Y309=1,COUNTIF($Y$2:Y309,1),"")</f>
        <v/>
      </c>
      <c r="AA309" s="29">
        <f>IF(AND(LEFT($B309,7)="SBA 26/",$C309&lt;&gt;"",$F309&lt;&gt;""),COUNTIFS($C$2:$C309,$C309,$B$2:$B309,"SBA 26/*",$F$2:$F309,"&lt;&gt;"),"")</f>
        <v>1</v>
      </c>
      <c r="AB309" s="29">
        <f>IF(AA309=1,COUNTIF($AA$2:AA309,1),"")</f>
        <v>193</v>
      </c>
    </row>
    <row r="310" spans="1:28" ht="63" customHeight="1" x14ac:dyDescent="0.2">
      <c r="A310" s="43" t="s">
        <v>1553</v>
      </c>
      <c r="B310" s="43" t="s">
        <v>1554</v>
      </c>
      <c r="C310" s="44" t="s">
        <v>1432</v>
      </c>
      <c r="D310" s="44" t="s">
        <v>113</v>
      </c>
      <c r="E310" s="45" t="s">
        <v>1555</v>
      </c>
      <c r="F310" s="45" t="s">
        <v>1556</v>
      </c>
      <c r="G310" s="46" t="s">
        <v>38</v>
      </c>
      <c r="H310" s="48">
        <v>46099</v>
      </c>
      <c r="I310" s="48">
        <v>46112</v>
      </c>
      <c r="J310" s="44" t="s">
        <v>99</v>
      </c>
      <c r="K310" s="44" t="s">
        <v>100</v>
      </c>
      <c r="L310" s="50" t="s">
        <v>77</v>
      </c>
      <c r="M310" s="50"/>
      <c r="N310" s="50"/>
      <c r="O310" s="49"/>
      <c r="P310" s="50" t="str">
        <f t="shared" si="16"/>
        <v>ONAY</v>
      </c>
      <c r="R310" s="51" t="str">
        <f t="shared" si="17"/>
        <v/>
      </c>
      <c r="T310" s="41"/>
      <c r="U310" s="29">
        <f>IF($C310&lt;&gt;"",COUNTIF($C$2:C310,C310),"")</f>
        <v>2</v>
      </c>
      <c r="V310" s="29" t="str">
        <f t="shared" si="18"/>
        <v>Prof. Dr. Taylan KAV§2</v>
      </c>
      <c r="W310" s="29" t="str">
        <f>IF(U310=1,COUNTIF($U$2:U310,1),"")</f>
        <v/>
      </c>
      <c r="X310" s="29" t="str">
        <f t="shared" si="19"/>
        <v/>
      </c>
      <c r="Y310" s="29">
        <f>IF(AND(LEFT($B310,7)="SBA 26/",$D310&lt;&gt;"",$F310&lt;&gt;""),COUNTIFS($D$2:$D310,$D310,$B$2:$B310,"SBA 26/*",$F$2:$F310,"&lt;&gt;"),"")</f>
        <v>41</v>
      </c>
      <c r="Z310" s="29" t="str">
        <f>IF(Y310=1,COUNTIF($Y$2:Y310,1),"")</f>
        <v/>
      </c>
      <c r="AA310" s="29">
        <f>IF(AND(LEFT($B310,7)="SBA 26/",$C310&lt;&gt;"",$F310&lt;&gt;""),COUNTIFS($C$2:$C310,$C310,$B$2:$B310,"SBA 26/*",$F$2:$F310,"&lt;&gt;"),"")</f>
        <v>2</v>
      </c>
      <c r="AB310" s="29" t="str">
        <f>IF(AA310=1,COUNTIF($AA$2:AA310,1),"")</f>
        <v/>
      </c>
    </row>
    <row r="311" spans="1:28" ht="78.75" customHeight="1" x14ac:dyDescent="0.2">
      <c r="A311" s="43" t="s">
        <v>1557</v>
      </c>
      <c r="B311" s="43" t="s">
        <v>1558</v>
      </c>
      <c r="C311" s="44" t="s">
        <v>1432</v>
      </c>
      <c r="D311" s="44" t="s">
        <v>113</v>
      </c>
      <c r="E311" s="45" t="s">
        <v>1559</v>
      </c>
      <c r="F311" s="45" t="s">
        <v>1560</v>
      </c>
      <c r="G311" s="46" t="s">
        <v>38</v>
      </c>
      <c r="H311" s="48">
        <v>46099</v>
      </c>
      <c r="I311" s="48">
        <v>46112</v>
      </c>
      <c r="J311" s="44" t="s">
        <v>99</v>
      </c>
      <c r="K311" s="44" t="s">
        <v>100</v>
      </c>
      <c r="L311" s="50" t="s">
        <v>77</v>
      </c>
      <c r="M311" s="50"/>
      <c r="N311" s="50"/>
      <c r="O311" s="49"/>
      <c r="P311" s="50" t="str">
        <f t="shared" si="16"/>
        <v>ONAY</v>
      </c>
      <c r="R311" s="51" t="str">
        <f t="shared" si="17"/>
        <v/>
      </c>
      <c r="T311" s="41"/>
      <c r="U311" s="29">
        <f>IF($C311&lt;&gt;"",COUNTIF($C$2:C311,C311),"")</f>
        <v>3</v>
      </c>
      <c r="V311" s="29" t="str">
        <f t="shared" si="18"/>
        <v>Prof. Dr. Taylan KAV§3</v>
      </c>
      <c r="W311" s="29" t="str">
        <f>IF(U311=1,COUNTIF($U$2:U311,1),"")</f>
        <v/>
      </c>
      <c r="X311" s="29" t="str">
        <f t="shared" si="19"/>
        <v/>
      </c>
      <c r="Y311" s="29">
        <f>IF(AND(LEFT($B311,7)="SBA 26/",$D311&lt;&gt;"",$F311&lt;&gt;""),COUNTIFS($D$2:$D311,$D311,$B$2:$B311,"SBA 26/*",$F$2:$F311,"&lt;&gt;"),"")</f>
        <v>42</v>
      </c>
      <c r="Z311" s="29" t="str">
        <f>IF(Y311=1,COUNTIF($Y$2:Y311,1),"")</f>
        <v/>
      </c>
      <c r="AA311" s="29">
        <f>IF(AND(LEFT($B311,7)="SBA 26/",$C311&lt;&gt;"",$F311&lt;&gt;""),COUNTIFS($C$2:$C311,$C311,$B$2:$B311,"SBA 26/*",$F$2:$F311,"&lt;&gt;"),"")</f>
        <v>3</v>
      </c>
      <c r="AB311" s="29" t="str">
        <f>IF(AA311=1,COUNTIF($AA$2:AA311,1),"")</f>
        <v/>
      </c>
    </row>
    <row r="312" spans="1:28" ht="66" customHeight="1" x14ac:dyDescent="0.2">
      <c r="A312" s="43" t="s">
        <v>1561</v>
      </c>
      <c r="B312" s="43" t="s">
        <v>1562</v>
      </c>
      <c r="C312" s="44" t="s">
        <v>1563</v>
      </c>
      <c r="D312" s="44" t="s">
        <v>325</v>
      </c>
      <c r="E312" s="45" t="s">
        <v>1564</v>
      </c>
      <c r="F312" s="45" t="s">
        <v>1565</v>
      </c>
      <c r="G312" s="46" t="s">
        <v>38</v>
      </c>
      <c r="H312" s="48">
        <v>46099</v>
      </c>
      <c r="I312" s="48">
        <v>46112</v>
      </c>
      <c r="J312" s="44" t="s">
        <v>100</v>
      </c>
      <c r="K312" s="44" t="s">
        <v>84</v>
      </c>
      <c r="L312" s="50" t="s">
        <v>77</v>
      </c>
      <c r="M312" s="50"/>
      <c r="N312" s="50"/>
      <c r="O312" s="49"/>
      <c r="P312" s="50" t="str">
        <f t="shared" si="16"/>
        <v>ONAY</v>
      </c>
      <c r="R312" s="51" t="str">
        <f t="shared" si="17"/>
        <v/>
      </c>
      <c r="T312" s="41"/>
      <c r="U312" s="29">
        <f>IF($C312&lt;&gt;"",COUNTIF($C$2:C312,C312),"")</f>
        <v>1</v>
      </c>
      <c r="V312" s="29" t="str">
        <f t="shared" si="18"/>
        <v>Prof. Dr. Cavit Işık YAVUZ§1</v>
      </c>
      <c r="W312" s="29">
        <f>IF(U312=1,COUNTIF($U$2:U312,1),"")</f>
        <v>194</v>
      </c>
      <c r="X312" s="29">
        <f t="shared" si="19"/>
        <v>205</v>
      </c>
      <c r="Y312" s="29">
        <f>IF(AND(LEFT($B312,7)="SBA 26/",$D312&lt;&gt;"",$F312&lt;&gt;""),COUNTIFS($D$2:$D312,$D312,$B$2:$B312,"SBA 26/*",$F$2:$F312,"&lt;&gt;"),"")</f>
        <v>3</v>
      </c>
      <c r="Z312" s="29" t="str">
        <f>IF(Y312=1,COUNTIF($Y$2:Y312,1),"")</f>
        <v/>
      </c>
      <c r="AA312" s="29">
        <f>IF(AND(LEFT($B312,7)="SBA 26/",$C312&lt;&gt;"",$F312&lt;&gt;""),COUNTIFS($C$2:$C312,$C312,$B$2:$B312,"SBA 26/*",$F$2:$F312,"&lt;&gt;"),"")</f>
        <v>1</v>
      </c>
      <c r="AB312" s="29">
        <f>IF(AA312=1,COUNTIF($AA$2:AA312,1),"")</f>
        <v>194</v>
      </c>
    </row>
    <row r="313" spans="1:28" ht="63" customHeight="1" x14ac:dyDescent="0.2">
      <c r="A313" s="43" t="s">
        <v>1566</v>
      </c>
      <c r="B313" s="43" t="s">
        <v>1567</v>
      </c>
      <c r="C313" s="44" t="s">
        <v>1568</v>
      </c>
      <c r="D313" s="44" t="s">
        <v>1073</v>
      </c>
      <c r="E313" s="45" t="s">
        <v>1569</v>
      </c>
      <c r="F313" s="57" t="s">
        <v>1570</v>
      </c>
      <c r="G313" s="46" t="s">
        <v>40</v>
      </c>
      <c r="H313" s="48">
        <v>46099</v>
      </c>
      <c r="I313" s="48">
        <v>46112</v>
      </c>
      <c r="J313" s="44" t="s">
        <v>75</v>
      </c>
      <c r="K313" s="44" t="s">
        <v>76</v>
      </c>
      <c r="L313" s="50" t="s">
        <v>101</v>
      </c>
      <c r="M313" s="50" t="s">
        <v>206</v>
      </c>
      <c r="N313" s="50" t="s">
        <v>101</v>
      </c>
      <c r="O313" s="49" t="s">
        <v>77</v>
      </c>
      <c r="P313" s="50" t="str">
        <f t="shared" si="16"/>
        <v>ONAY</v>
      </c>
      <c r="Q313" s="28" t="s">
        <v>109</v>
      </c>
      <c r="R313" s="51" t="str">
        <f t="shared" si="17"/>
        <v/>
      </c>
      <c r="T313" s="41"/>
      <c r="U313" s="29">
        <f>IF($C313&lt;&gt;"",COUNTIF($C$2:C313,C313),"")</f>
        <v>1</v>
      </c>
      <c r="V313" s="29" t="str">
        <f t="shared" si="18"/>
        <v>Dr. Öğr. Üyesi Burçe ATAÇ MOGOL§1</v>
      </c>
      <c r="W313" s="29">
        <f>IF(U313=1,COUNTIF($U$2:U313,1),"")</f>
        <v>195</v>
      </c>
      <c r="X313" s="29">
        <f t="shared" si="19"/>
        <v>122</v>
      </c>
      <c r="Y313" s="29">
        <f>IF(AND(LEFT($B313,7)="SBA 26/",$D313&lt;&gt;"",$F313&lt;&gt;""),COUNTIFS($D$2:$D313,$D313,$B$2:$B313,"SBA 26/*",$F$2:$F313,"&lt;&gt;"),"")</f>
        <v>2</v>
      </c>
      <c r="Z313" s="29" t="str">
        <f>IF(Y313=1,COUNTIF($Y$2:Y313,1),"")</f>
        <v/>
      </c>
      <c r="AA313" s="29">
        <f>IF(AND(LEFT($B313,7)="SBA 26/",$C313&lt;&gt;"",$F313&lt;&gt;""),COUNTIFS($C$2:$C313,$C313,$B$2:$B313,"SBA 26/*",$F$2:$F313,"&lt;&gt;"),"")</f>
        <v>1</v>
      </c>
      <c r="AB313" s="29">
        <f>IF(AA313=1,COUNTIF($AA$2:AA313,1),"")</f>
        <v>195</v>
      </c>
    </row>
    <row r="314" spans="1:28" ht="94.5" customHeight="1" x14ac:dyDescent="0.2">
      <c r="A314" s="43" t="s">
        <v>1571</v>
      </c>
      <c r="B314" s="43" t="s">
        <v>1572</v>
      </c>
      <c r="C314" s="44" t="s">
        <v>1432</v>
      </c>
      <c r="D314" s="44" t="s">
        <v>113</v>
      </c>
      <c r="E314" s="45" t="s">
        <v>1573</v>
      </c>
      <c r="F314" s="45" t="s">
        <v>1574</v>
      </c>
      <c r="G314" s="46" t="s">
        <v>38</v>
      </c>
      <c r="H314" s="48">
        <v>46107</v>
      </c>
      <c r="I314" s="48">
        <v>46126</v>
      </c>
      <c r="J314" s="44" t="s">
        <v>116</v>
      </c>
      <c r="K314" s="44" t="s">
        <v>84</v>
      </c>
      <c r="L314" s="50" t="s">
        <v>101</v>
      </c>
      <c r="M314" s="50" t="s">
        <v>77</v>
      </c>
      <c r="N314" s="50"/>
      <c r="O314" s="49"/>
      <c r="P314" s="50" t="str">
        <f t="shared" si="16"/>
        <v>ONAY</v>
      </c>
      <c r="Q314" s="28" t="s">
        <v>84</v>
      </c>
      <c r="R314" s="51" t="str">
        <f t="shared" si="17"/>
        <v/>
      </c>
      <c r="T314" s="41"/>
      <c r="U314" s="29">
        <f>IF($C314&lt;&gt;"",COUNTIF($C$2:C314,C314),"")</f>
        <v>4</v>
      </c>
      <c r="V314" s="29" t="str">
        <f t="shared" si="18"/>
        <v>Prof. Dr. Taylan KAV§4</v>
      </c>
      <c r="W314" s="29" t="str">
        <f>IF(U314=1,COUNTIF($U$2:U314,1),"")</f>
        <v/>
      </c>
      <c r="X314" s="29" t="str">
        <f t="shared" si="19"/>
        <v/>
      </c>
      <c r="Y314" s="29">
        <f>IF(AND(LEFT($B314,7)="SBA 26/",$D314&lt;&gt;"",$F314&lt;&gt;""),COUNTIFS($D$2:$D314,$D314,$B$2:$B314,"SBA 26/*",$F$2:$F314,"&lt;&gt;"),"")</f>
        <v>43</v>
      </c>
      <c r="Z314" s="29" t="str">
        <f>IF(Y314=1,COUNTIF($Y$2:Y314,1),"")</f>
        <v/>
      </c>
      <c r="AA314" s="29">
        <f>IF(AND(LEFT($B314,7)="SBA 26/",$C314&lt;&gt;"",$F314&lt;&gt;""),COUNTIFS($C$2:$C314,$C314,$B$2:$B314,"SBA 26/*",$F$2:$F314,"&lt;&gt;"),"")</f>
        <v>4</v>
      </c>
      <c r="AB314" s="29" t="str">
        <f>IF(AA314=1,COUNTIF($AA$2:AA314,1),"")</f>
        <v/>
      </c>
    </row>
    <row r="315" spans="1:28" ht="78.75" customHeight="1" x14ac:dyDescent="0.2">
      <c r="A315" s="43" t="s">
        <v>1575</v>
      </c>
      <c r="B315" s="43" t="s">
        <v>1576</v>
      </c>
      <c r="C315" s="44" t="s">
        <v>1432</v>
      </c>
      <c r="D315" s="44" t="s">
        <v>113</v>
      </c>
      <c r="E315" s="45" t="s">
        <v>1577</v>
      </c>
      <c r="F315" s="45" t="s">
        <v>1578</v>
      </c>
      <c r="G315" s="46" t="s">
        <v>38</v>
      </c>
      <c r="H315" s="48">
        <v>46107</v>
      </c>
      <c r="I315" s="48">
        <v>46126</v>
      </c>
      <c r="J315" s="44" t="s">
        <v>116</v>
      </c>
      <c r="K315" s="44" t="s">
        <v>84</v>
      </c>
      <c r="L315" s="50" t="s">
        <v>101</v>
      </c>
      <c r="M315" s="50" t="s">
        <v>77</v>
      </c>
      <c r="N315" s="50"/>
      <c r="O315" s="49"/>
      <c r="P315" s="50" t="str">
        <f t="shared" si="16"/>
        <v>ONAY</v>
      </c>
      <c r="Q315" s="28" t="s">
        <v>116</v>
      </c>
      <c r="R315" s="51" t="str">
        <f t="shared" si="17"/>
        <v/>
      </c>
      <c r="T315" s="41"/>
      <c r="U315" s="29">
        <f>IF($C315&lt;&gt;"",COUNTIF($C$2:C315,C315),"")</f>
        <v>5</v>
      </c>
      <c r="V315" s="29" t="str">
        <f t="shared" si="18"/>
        <v>Prof. Dr. Taylan KAV§5</v>
      </c>
      <c r="W315" s="29" t="str">
        <f>IF(U315=1,COUNTIF($U$2:U315,1),"")</f>
        <v/>
      </c>
      <c r="X315" s="29" t="str">
        <f t="shared" si="19"/>
        <v/>
      </c>
      <c r="Y315" s="29">
        <f>IF(AND(LEFT($B315,7)="SBA 26/",$D315&lt;&gt;"",$F315&lt;&gt;""),COUNTIFS($D$2:$D315,$D315,$B$2:$B315,"SBA 26/*",$F$2:$F315,"&lt;&gt;"),"")</f>
        <v>44</v>
      </c>
      <c r="Z315" s="29" t="str">
        <f>IF(Y315=1,COUNTIF($Y$2:Y315,1),"")</f>
        <v/>
      </c>
      <c r="AA315" s="29">
        <f>IF(AND(LEFT($B315,7)="SBA 26/",$C315&lt;&gt;"",$F315&lt;&gt;""),COUNTIFS($C$2:$C315,$C315,$B$2:$B315,"SBA 26/*",$F$2:$F315,"&lt;&gt;"),"")</f>
        <v>5</v>
      </c>
      <c r="AB315" s="29" t="str">
        <f>IF(AA315=1,COUNTIF($AA$2:AA315,1),"")</f>
        <v/>
      </c>
    </row>
    <row r="316" spans="1:28" ht="78.75" customHeight="1" x14ac:dyDescent="0.2">
      <c r="A316" s="43" t="s">
        <v>1579</v>
      </c>
      <c r="B316" s="43" t="s">
        <v>1580</v>
      </c>
      <c r="C316" s="44" t="s">
        <v>1197</v>
      </c>
      <c r="D316" s="44" t="s">
        <v>364</v>
      </c>
      <c r="E316" s="45" t="s">
        <v>1581</v>
      </c>
      <c r="F316" s="45" t="s">
        <v>1582</v>
      </c>
      <c r="G316" s="46" t="s">
        <v>39</v>
      </c>
      <c r="H316" s="48">
        <v>46107</v>
      </c>
      <c r="I316" s="48">
        <v>46126</v>
      </c>
      <c r="J316" s="44" t="s">
        <v>108</v>
      </c>
      <c r="K316" s="44" t="s">
        <v>129</v>
      </c>
      <c r="L316" s="50" t="s">
        <v>77</v>
      </c>
      <c r="M316" s="50"/>
      <c r="N316" s="50"/>
      <c r="O316" s="49"/>
      <c r="P316" s="50" t="str">
        <f t="shared" si="16"/>
        <v>ONAY</v>
      </c>
      <c r="R316" s="51" t="str">
        <f t="shared" si="17"/>
        <v/>
      </c>
      <c r="T316" s="41"/>
      <c r="U316" s="29">
        <f>IF($C316&lt;&gt;"",COUNTIF($C$2:C316,C316),"")</f>
        <v>3</v>
      </c>
      <c r="V316" s="29" t="str">
        <f t="shared" si="18"/>
        <v>Prof. Dr. Fadime İrsel TEZER FİLİK§3</v>
      </c>
      <c r="W316" s="29" t="str">
        <f>IF(U316=1,COUNTIF($U$2:U316,1),"")</f>
        <v/>
      </c>
      <c r="X316" s="29" t="str">
        <f t="shared" si="19"/>
        <v/>
      </c>
      <c r="Y316" s="29">
        <f>IF(AND(LEFT($B316,7)="SBA 26/",$D316&lt;&gt;"",$F316&lt;&gt;""),COUNTIFS($D$2:$D316,$D316,$B$2:$B316,"SBA 26/*",$F$2:$F316,"&lt;&gt;"),"")</f>
        <v>11</v>
      </c>
      <c r="Z316" s="29" t="str">
        <f>IF(Y316=1,COUNTIF($Y$2:Y316,1),"")</f>
        <v/>
      </c>
      <c r="AA316" s="29">
        <f>IF(AND(LEFT($B316,7)="SBA 26/",$C316&lt;&gt;"",$F316&lt;&gt;""),COUNTIFS($C$2:$C316,$C316,$B$2:$B316,"SBA 26/*",$F$2:$F316,"&lt;&gt;"),"")</f>
        <v>3</v>
      </c>
      <c r="AB316" s="29" t="str">
        <f>IF(AA316=1,COUNTIF($AA$2:AA316,1),"")</f>
        <v/>
      </c>
    </row>
    <row r="317" spans="1:28" ht="63" customHeight="1" x14ac:dyDescent="0.2">
      <c r="A317" s="43" t="s">
        <v>1583</v>
      </c>
      <c r="B317" s="43" t="s">
        <v>1584</v>
      </c>
      <c r="C317" s="44" t="s">
        <v>1585</v>
      </c>
      <c r="D317" s="44" t="s">
        <v>113</v>
      </c>
      <c r="E317" s="45" t="s">
        <v>1586</v>
      </c>
      <c r="F317" s="45" t="s">
        <v>1587</v>
      </c>
      <c r="G317" s="46" t="s">
        <v>38</v>
      </c>
      <c r="H317" s="48">
        <v>46107</v>
      </c>
      <c r="I317" s="48">
        <v>46126</v>
      </c>
      <c r="J317" s="44" t="s">
        <v>75</v>
      </c>
      <c r="K317" s="44" t="s">
        <v>129</v>
      </c>
      <c r="L317" s="50" t="s">
        <v>206</v>
      </c>
      <c r="M317" s="50" t="s">
        <v>101</v>
      </c>
      <c r="N317" s="50" t="s">
        <v>77</v>
      </c>
      <c r="O317" s="49"/>
      <c r="P317" s="50" t="str">
        <f t="shared" si="16"/>
        <v>ONAY</v>
      </c>
      <c r="Q317" s="28" t="s">
        <v>91</v>
      </c>
      <c r="R317" s="51" t="str">
        <f t="shared" si="17"/>
        <v/>
      </c>
      <c r="T317" s="41"/>
      <c r="U317" s="29">
        <f>IF($C317&lt;&gt;"",COUNTIF($C$2:C317,C317),"")</f>
        <v>1</v>
      </c>
      <c r="V317" s="29" t="str">
        <f t="shared" si="18"/>
        <v>Doç. Dr. Cafer BALCI§1</v>
      </c>
      <c r="W317" s="29">
        <f>IF(U317=1,COUNTIF($U$2:U317,1),"")</f>
        <v>196</v>
      </c>
      <c r="X317" s="29">
        <f t="shared" si="19"/>
        <v>29</v>
      </c>
      <c r="Y317" s="29">
        <f>IF(AND(LEFT($B317,7)="SBA 26/",$D317&lt;&gt;"",$F317&lt;&gt;""),COUNTIFS($D$2:$D317,$D317,$B$2:$B317,"SBA 26/*",$F$2:$F317,"&lt;&gt;"),"")</f>
        <v>45</v>
      </c>
      <c r="Z317" s="29" t="str">
        <f>IF(Y317=1,COUNTIF($Y$2:Y317,1),"")</f>
        <v/>
      </c>
      <c r="AA317" s="29">
        <f>IF(AND(LEFT($B317,7)="SBA 26/",$C317&lt;&gt;"",$F317&lt;&gt;""),COUNTIFS($C$2:$C317,$C317,$B$2:$B317,"SBA 26/*",$F$2:$F317,"&lt;&gt;"),"")</f>
        <v>1</v>
      </c>
      <c r="AB317" s="29">
        <f>IF(AA317=1,COUNTIF($AA$2:AA317,1),"")</f>
        <v>196</v>
      </c>
    </row>
    <row r="318" spans="1:28" ht="78.75" customHeight="1" x14ac:dyDescent="0.2">
      <c r="A318" s="43" t="s">
        <v>1588</v>
      </c>
      <c r="B318" s="43" t="s">
        <v>1589</v>
      </c>
      <c r="C318" s="44" t="s">
        <v>1590</v>
      </c>
      <c r="D318" s="44" t="s">
        <v>341</v>
      </c>
      <c r="E318" s="45" t="s">
        <v>1591</v>
      </c>
      <c r="F318" s="45" t="s">
        <v>1592</v>
      </c>
      <c r="G318" s="46" t="s">
        <v>38</v>
      </c>
      <c r="H318" s="48">
        <v>46107</v>
      </c>
      <c r="I318" s="48">
        <v>46126</v>
      </c>
      <c r="J318" s="44" t="s">
        <v>109</v>
      </c>
      <c r="K318" s="44" t="s">
        <v>123</v>
      </c>
      <c r="L318" s="50" t="s">
        <v>77</v>
      </c>
      <c r="M318" s="50"/>
      <c r="N318" s="50"/>
      <c r="O318" s="49"/>
      <c r="P318" s="50" t="str">
        <f t="shared" si="16"/>
        <v>ONAY</v>
      </c>
      <c r="R318" s="51" t="str">
        <f t="shared" si="17"/>
        <v/>
      </c>
      <c r="T318" s="41"/>
      <c r="U318" s="29">
        <f>IF($C318&lt;&gt;"",COUNTIF($C$2:C318,C318),"")</f>
        <v>1</v>
      </c>
      <c r="V318" s="29" t="str">
        <f t="shared" si="18"/>
        <v>Prof. Dr. Sibel DOĞAN GÜNAYDIN§1</v>
      </c>
      <c r="W318" s="29">
        <f>IF(U318=1,COUNTIF($U$2:U318,1),"")</f>
        <v>197</v>
      </c>
      <c r="X318" s="29">
        <f t="shared" si="19"/>
        <v>312</v>
      </c>
      <c r="Y318" s="29">
        <f>IF(AND(LEFT($B318,7)="SBA 26/",$D318&lt;&gt;"",$F318&lt;&gt;""),COUNTIFS($D$2:$D318,$D318,$B$2:$B318,"SBA 26/*",$F$2:$F318,"&lt;&gt;"),"")</f>
        <v>8</v>
      </c>
      <c r="Z318" s="29" t="str">
        <f>IF(Y318=1,COUNTIF($Y$2:Y318,1),"")</f>
        <v/>
      </c>
      <c r="AA318" s="29">
        <f>IF(AND(LEFT($B318,7)="SBA 26/",$C318&lt;&gt;"",$F318&lt;&gt;""),COUNTIFS($C$2:$C318,$C318,$B$2:$B318,"SBA 26/*",$F$2:$F318,"&lt;&gt;"),"")</f>
        <v>1</v>
      </c>
      <c r="AB318" s="29">
        <f>IF(AA318=1,COUNTIF($AA$2:AA318,1),"")</f>
        <v>197</v>
      </c>
    </row>
    <row r="319" spans="1:28" ht="78.75" customHeight="1" x14ac:dyDescent="0.2">
      <c r="A319" s="43" t="s">
        <v>1593</v>
      </c>
      <c r="B319" s="43" t="s">
        <v>1594</v>
      </c>
      <c r="C319" s="44" t="s">
        <v>1595</v>
      </c>
      <c r="D319" s="44" t="s">
        <v>1596</v>
      </c>
      <c r="E319" s="45" t="s">
        <v>1597</v>
      </c>
      <c r="F319" s="45" t="s">
        <v>1598</v>
      </c>
      <c r="G319" s="46" t="s">
        <v>39</v>
      </c>
      <c r="H319" s="48">
        <v>46107</v>
      </c>
      <c r="I319" s="48">
        <v>46126</v>
      </c>
      <c r="J319" s="44" t="s">
        <v>123</v>
      </c>
      <c r="K319" s="44" t="s">
        <v>76</v>
      </c>
      <c r="L319" s="50" t="s">
        <v>77</v>
      </c>
      <c r="M319" s="50"/>
      <c r="N319" s="50"/>
      <c r="O319" s="49"/>
      <c r="P319" s="50" t="str">
        <f t="shared" si="16"/>
        <v>ONAY</v>
      </c>
      <c r="R319" s="51" t="str">
        <f t="shared" si="17"/>
        <v/>
      </c>
      <c r="T319" s="41"/>
      <c r="U319" s="29">
        <f>IF($C319&lt;&gt;"",COUNTIF($C$2:C319,C319),"")</f>
        <v>1</v>
      </c>
      <c r="V319" s="29" t="str">
        <f t="shared" si="18"/>
        <v>Doç. Dr. Cansu ÖZŞİN ÖZLER§1</v>
      </c>
      <c r="W319" s="29">
        <f>IF(U319=1,COUNTIF($U$2:U319,1),"")</f>
        <v>198</v>
      </c>
      <c r="X319" s="29">
        <f t="shared" si="19"/>
        <v>30</v>
      </c>
      <c r="Y319" s="29">
        <f>IF(AND(LEFT($B319,7)="SBA 26/",$D319&lt;&gt;"",$F319&lt;&gt;""),COUNTIFS($D$2:$D319,$D319,$B$2:$B319,"SBA 26/*",$F$2:$F319,"&lt;&gt;"),"")</f>
        <v>1</v>
      </c>
      <c r="Z319" s="29">
        <f>IF(Y319=1,COUNTIF($Y$2:Y319,1),"")</f>
        <v>61</v>
      </c>
      <c r="AA319" s="29">
        <f>IF(AND(LEFT($B319,7)="SBA 26/",$C319&lt;&gt;"",$F319&lt;&gt;""),COUNTIFS($C$2:$C319,$C319,$B$2:$B319,"SBA 26/*",$F$2:$F319,"&lt;&gt;"),"")</f>
        <v>1</v>
      </c>
      <c r="AB319" s="29">
        <f>IF(AA319=1,COUNTIF($AA$2:AA319,1),"")</f>
        <v>198</v>
      </c>
    </row>
    <row r="320" spans="1:28" ht="78.75" customHeight="1" x14ac:dyDescent="0.2">
      <c r="A320" s="43" t="s">
        <v>1599</v>
      </c>
      <c r="B320" s="43" t="s">
        <v>1600</v>
      </c>
      <c r="C320" s="44" t="s">
        <v>633</v>
      </c>
      <c r="D320" s="44" t="s">
        <v>228</v>
      </c>
      <c r="E320" s="45" t="s">
        <v>1601</v>
      </c>
      <c r="F320" s="45" t="s">
        <v>1602</v>
      </c>
      <c r="G320" s="46" t="s">
        <v>38</v>
      </c>
      <c r="H320" s="48">
        <v>46107</v>
      </c>
      <c r="I320" s="48">
        <v>46126</v>
      </c>
      <c r="J320" s="44" t="s">
        <v>99</v>
      </c>
      <c r="K320" s="44" t="s">
        <v>100</v>
      </c>
      <c r="L320" s="50" t="s">
        <v>172</v>
      </c>
      <c r="M320" s="50"/>
      <c r="N320" s="50"/>
      <c r="O320" s="49"/>
      <c r="P320" s="50" t="str">
        <f t="shared" si="16"/>
        <v>RET</v>
      </c>
      <c r="R320" s="51" t="str">
        <f t="shared" si="17"/>
        <v/>
      </c>
      <c r="T320" s="41"/>
      <c r="U320" s="29">
        <f>IF($C320&lt;&gt;"",COUNTIF($C$2:C320,C320),"")</f>
        <v>4</v>
      </c>
      <c r="V320" s="29" t="str">
        <f t="shared" si="18"/>
        <v>Doç. Dr. Utku AKGÖR§4</v>
      </c>
      <c r="W320" s="29" t="str">
        <f>IF(U320=1,COUNTIF($U$2:U320,1),"")</f>
        <v/>
      </c>
      <c r="X320" s="29" t="str">
        <f t="shared" si="19"/>
        <v/>
      </c>
      <c r="Y320" s="29">
        <f>IF(AND(LEFT($B320,7)="SBA 26/",$D320&lt;&gt;"",$F320&lt;&gt;""),COUNTIFS($D$2:$D320,$D320,$B$2:$B320,"SBA 26/*",$F$2:$F320,"&lt;&gt;"),"")</f>
        <v>20</v>
      </c>
      <c r="Z320" s="29" t="str">
        <f>IF(Y320=1,COUNTIF($Y$2:Y320,1),"")</f>
        <v/>
      </c>
      <c r="AA320" s="29">
        <f>IF(AND(LEFT($B320,7)="SBA 26/",$C320&lt;&gt;"",$F320&lt;&gt;""),COUNTIFS($C$2:$C320,$C320,$B$2:$B320,"SBA 26/*",$F$2:$F320,"&lt;&gt;"),"")</f>
        <v>4</v>
      </c>
      <c r="AB320" s="29" t="str">
        <f>IF(AA320=1,COUNTIF($AA$2:AA320,1),"")</f>
        <v/>
      </c>
    </row>
    <row r="321" spans="1:28" ht="110.25" customHeight="1" x14ac:dyDescent="0.2">
      <c r="A321" s="43" t="s">
        <v>1603</v>
      </c>
      <c r="B321" s="43" t="s">
        <v>1604</v>
      </c>
      <c r="C321" s="44" t="s">
        <v>424</v>
      </c>
      <c r="D321" s="44" t="s">
        <v>364</v>
      </c>
      <c r="E321" s="45" t="s">
        <v>1605</v>
      </c>
      <c r="F321" s="45" t="s">
        <v>1606</v>
      </c>
      <c r="G321" s="46" t="s">
        <v>38</v>
      </c>
      <c r="H321" s="48">
        <v>46107</v>
      </c>
      <c r="I321" s="48">
        <v>46126</v>
      </c>
      <c r="J321" s="44" t="s">
        <v>108</v>
      </c>
      <c r="K321" s="44" t="s">
        <v>92</v>
      </c>
      <c r="L321" s="50" t="s">
        <v>77</v>
      </c>
      <c r="M321" s="50"/>
      <c r="N321" s="50"/>
      <c r="O321" s="49"/>
      <c r="P321" s="50" t="str">
        <f t="shared" si="16"/>
        <v>ONAY</v>
      </c>
      <c r="R321" s="51" t="str">
        <f t="shared" si="17"/>
        <v/>
      </c>
      <c r="T321" s="41"/>
      <c r="U321" s="29">
        <f>IF($C321&lt;&gt;"",COUNTIF($C$2:C321,C321),"")</f>
        <v>3</v>
      </c>
      <c r="V321" s="29" t="str">
        <f t="shared" si="18"/>
        <v>Prof. Dr. Fatma Gökçem YILDIZ SARIKAYA§3</v>
      </c>
      <c r="W321" s="29" t="str">
        <f>IF(U321=1,COUNTIF($U$2:U321,1),"")</f>
        <v/>
      </c>
      <c r="X321" s="29" t="str">
        <f t="shared" si="19"/>
        <v/>
      </c>
      <c r="Y321" s="29">
        <f>IF(AND(LEFT($B321,7)="SBA 26/",$D321&lt;&gt;"",$F321&lt;&gt;""),COUNTIFS($D$2:$D321,$D321,$B$2:$B321,"SBA 26/*",$F$2:$F321,"&lt;&gt;"),"")</f>
        <v>12</v>
      </c>
      <c r="Z321" s="29" t="str">
        <f>IF(Y321=1,COUNTIF($Y$2:Y321,1),"")</f>
        <v/>
      </c>
      <c r="AA321" s="29">
        <f>IF(AND(LEFT($B321,7)="SBA 26/",$C321&lt;&gt;"",$F321&lt;&gt;""),COUNTIFS($C$2:$C321,$C321,$B$2:$B321,"SBA 26/*",$F$2:$F321,"&lt;&gt;"),"")</f>
        <v>3</v>
      </c>
      <c r="AB321" s="29" t="str">
        <f>IF(AA321=1,COUNTIF($AA$2:AA321,1),"")</f>
        <v/>
      </c>
    </row>
    <row r="322" spans="1:28" ht="110.25" customHeight="1" x14ac:dyDescent="0.2">
      <c r="A322" s="43" t="s">
        <v>1607</v>
      </c>
      <c r="B322" s="43" t="s">
        <v>1608</v>
      </c>
      <c r="C322" s="44" t="s">
        <v>227</v>
      </c>
      <c r="D322" s="44" t="s">
        <v>228</v>
      </c>
      <c r="E322" s="45" t="s">
        <v>1609</v>
      </c>
      <c r="F322" s="45" t="s">
        <v>1610</v>
      </c>
      <c r="G322" s="46" t="s">
        <v>38</v>
      </c>
      <c r="H322" s="48">
        <v>46107</v>
      </c>
      <c r="I322" s="48">
        <v>46126</v>
      </c>
      <c r="J322" s="44" t="s">
        <v>91</v>
      </c>
      <c r="K322" s="44" t="s">
        <v>92</v>
      </c>
      <c r="L322" s="50" t="s">
        <v>77</v>
      </c>
      <c r="M322" s="50"/>
      <c r="N322" s="50"/>
      <c r="O322" s="49"/>
      <c r="P322" s="50" t="str">
        <f t="shared" ref="P322:P385" si="20">IF(O322&lt;&gt;"",O322, IF(N322&lt;&gt;"",N322, IF(M322&lt;&gt;"",M322, L322)))</f>
        <v>ONAY</v>
      </c>
      <c r="R322" s="51" t="str">
        <f t="shared" ref="R322:R385" si="21">IF(AND($I322&lt;&gt;"",$I322&gt;=DATE(2026,6,23),COUNTIFS($C:$C,$C322,$I:$I,$I322)&gt;2),"⚠ "&amp;COUNTIFS($C:$C,$C322,$I:$I,$I322)&amp;" BAŞVURU!","")</f>
        <v/>
      </c>
      <c r="T322" s="41"/>
      <c r="U322" s="29">
        <f>IF($C322&lt;&gt;"",COUNTIF($C$2:C322,C322),"")</f>
        <v>7</v>
      </c>
      <c r="V322" s="29" t="str">
        <f t="shared" ref="V322:V385" si="22">IF($C322&lt;&gt;"",C322&amp;"§"&amp;U322,"")</f>
        <v>Dr. Öğr. Üyesi Gonca ÖZTEN DERE§7</v>
      </c>
      <c r="W322" s="29" t="str">
        <f>IF(U322=1,COUNTIF($U$2:U322,1),"")</f>
        <v/>
      </c>
      <c r="X322" s="29" t="str">
        <f t="shared" ref="X322:X385" si="23">IF(U322=1,SUMPRODUCT(($U$2:$U$1799=1)*($C$2:$C$1799&lt;C322))+1,"")</f>
        <v/>
      </c>
      <c r="Y322" s="29">
        <f>IF(AND(LEFT($B322,7)="SBA 26/",$D322&lt;&gt;"",$F322&lt;&gt;""),COUNTIFS($D$2:$D322,$D322,$B$2:$B322,"SBA 26/*",$F$2:$F322,"&lt;&gt;"),"")</f>
        <v>21</v>
      </c>
      <c r="Z322" s="29" t="str">
        <f>IF(Y322=1,COUNTIF($Y$2:Y322,1),"")</f>
        <v/>
      </c>
      <c r="AA322" s="29">
        <f>IF(AND(LEFT($B322,7)="SBA 26/",$C322&lt;&gt;"",$F322&lt;&gt;""),COUNTIFS($C$2:$C322,$C322,$B$2:$B322,"SBA 26/*",$F$2:$F322,"&lt;&gt;"),"")</f>
        <v>7</v>
      </c>
      <c r="AB322" s="29" t="str">
        <f>IF(AA322=1,COUNTIF($AA$2:AA322,1),"")</f>
        <v/>
      </c>
    </row>
    <row r="323" spans="1:28" ht="78.75" customHeight="1" x14ac:dyDescent="0.2">
      <c r="A323" s="43" t="s">
        <v>1611</v>
      </c>
      <c r="B323" s="43" t="s">
        <v>1612</v>
      </c>
      <c r="C323" s="44" t="s">
        <v>752</v>
      </c>
      <c r="D323" s="44" t="s">
        <v>113</v>
      </c>
      <c r="E323" s="45" t="s">
        <v>1613</v>
      </c>
      <c r="F323" s="45" t="s">
        <v>1614</v>
      </c>
      <c r="G323" s="46" t="s">
        <v>38</v>
      </c>
      <c r="H323" s="48">
        <v>46107</v>
      </c>
      <c r="I323" s="48">
        <v>46126</v>
      </c>
      <c r="J323" s="44" t="s">
        <v>99</v>
      </c>
      <c r="K323" s="44" t="s">
        <v>109</v>
      </c>
      <c r="L323" s="50" t="s">
        <v>77</v>
      </c>
      <c r="M323" s="50"/>
      <c r="N323" s="50"/>
      <c r="O323" s="49"/>
      <c r="P323" s="50" t="str">
        <f t="shared" si="20"/>
        <v>ONAY</v>
      </c>
      <c r="R323" s="51" t="str">
        <f t="shared" si="21"/>
        <v/>
      </c>
      <c r="T323" s="41"/>
      <c r="U323" s="29">
        <f>IF($C323&lt;&gt;"",COUNTIF($C$2:C323,C323),"")</f>
        <v>2</v>
      </c>
      <c r="V323" s="29" t="str">
        <f t="shared" si="22"/>
        <v>Prof. Dr. Yahya BÜYÜKAŞIK§2</v>
      </c>
      <c r="W323" s="29" t="str">
        <f>IF(U323=1,COUNTIF($U$2:U323,1),"")</f>
        <v/>
      </c>
      <c r="X323" s="29" t="str">
        <f t="shared" si="23"/>
        <v/>
      </c>
      <c r="Y323" s="29">
        <f>IF(AND(LEFT($B323,7)="SBA 26/",$D323&lt;&gt;"",$F323&lt;&gt;""),COUNTIFS($D$2:$D323,$D323,$B$2:$B323,"SBA 26/*",$F$2:$F323,"&lt;&gt;"),"")</f>
        <v>46</v>
      </c>
      <c r="Z323" s="29" t="str">
        <f>IF(Y323=1,COUNTIF($Y$2:Y323,1),"")</f>
        <v/>
      </c>
      <c r="AA323" s="29">
        <f>IF(AND(LEFT($B323,7)="SBA 26/",$C323&lt;&gt;"",$F323&lt;&gt;""),COUNTIFS($C$2:$C323,$C323,$B$2:$B323,"SBA 26/*",$F$2:$F323,"&lt;&gt;"),"")</f>
        <v>2</v>
      </c>
      <c r="AB323" s="29" t="str">
        <f>IF(AA323=1,COUNTIF($AA$2:AA323,1),"")</f>
        <v/>
      </c>
    </row>
    <row r="324" spans="1:28" ht="63" customHeight="1" x14ac:dyDescent="0.2">
      <c r="A324" s="43" t="s">
        <v>1615</v>
      </c>
      <c r="B324" s="43" t="s">
        <v>1616</v>
      </c>
      <c r="C324" s="44" t="s">
        <v>1106</v>
      </c>
      <c r="D324" s="44" t="s">
        <v>966</v>
      </c>
      <c r="E324" s="45" t="s">
        <v>1617</v>
      </c>
      <c r="F324" s="45" t="s">
        <v>1618</v>
      </c>
      <c r="G324" s="46" t="s">
        <v>38</v>
      </c>
      <c r="H324" s="48">
        <v>46107</v>
      </c>
      <c r="I324" s="48">
        <v>46126</v>
      </c>
      <c r="J324" s="44" t="s">
        <v>109</v>
      </c>
      <c r="K324" s="44" t="s">
        <v>76</v>
      </c>
      <c r="L324" s="50" t="s">
        <v>101</v>
      </c>
      <c r="M324" s="50"/>
      <c r="N324" s="50"/>
      <c r="O324" s="49"/>
      <c r="P324" s="50" t="str">
        <f t="shared" si="20"/>
        <v>DÜZELTME</v>
      </c>
      <c r="R324" s="51" t="str">
        <f t="shared" si="21"/>
        <v/>
      </c>
      <c r="T324" s="41"/>
      <c r="U324" s="29">
        <f>IF($C324&lt;&gt;"",COUNTIF($C$2:C324,C324),"")</f>
        <v>3</v>
      </c>
      <c r="V324" s="29" t="str">
        <f t="shared" si="22"/>
        <v>Doç. Dr. Duygu AYHAN BAŞER§3</v>
      </c>
      <c r="W324" s="29" t="str">
        <f>IF(U324=1,COUNTIF($U$2:U324,1),"")</f>
        <v/>
      </c>
      <c r="X324" s="29" t="str">
        <f t="shared" si="23"/>
        <v/>
      </c>
      <c r="Y324" s="29">
        <f>IF(AND(LEFT($B324,7)="SBA 26/",$D324&lt;&gt;"",$F324&lt;&gt;""),COUNTIFS($D$2:$D324,$D324,$B$2:$B324,"SBA 26/*",$F$2:$F324,"&lt;&gt;"),"")</f>
        <v>5</v>
      </c>
      <c r="Z324" s="29" t="str">
        <f>IF(Y324=1,COUNTIF($Y$2:Y324,1),"")</f>
        <v/>
      </c>
      <c r="AA324" s="29">
        <f>IF(AND(LEFT($B324,7)="SBA 26/",$C324&lt;&gt;"",$F324&lt;&gt;""),COUNTIFS($C$2:$C324,$C324,$B$2:$B324,"SBA 26/*",$F$2:$F324,"&lt;&gt;"),"")</f>
        <v>3</v>
      </c>
      <c r="AB324" s="29" t="str">
        <f>IF(AA324=1,COUNTIF($AA$2:AA324,1),"")</f>
        <v/>
      </c>
    </row>
    <row r="325" spans="1:28" ht="47.25" customHeight="1" x14ac:dyDescent="0.2">
      <c r="A325" s="43" t="s">
        <v>1619</v>
      </c>
      <c r="B325" s="43" t="s">
        <v>1620</v>
      </c>
      <c r="C325" s="44" t="s">
        <v>1585</v>
      </c>
      <c r="D325" s="44" t="s">
        <v>113</v>
      </c>
      <c r="E325" s="45" t="s">
        <v>1621</v>
      </c>
      <c r="F325" s="45" t="s">
        <v>1622</v>
      </c>
      <c r="G325" s="46" t="s">
        <v>38</v>
      </c>
      <c r="H325" s="48">
        <v>46107</v>
      </c>
      <c r="I325" s="48">
        <v>46126</v>
      </c>
      <c r="J325" s="44" t="s">
        <v>100</v>
      </c>
      <c r="K325" s="44" t="s">
        <v>91</v>
      </c>
      <c r="L325" s="50" t="s">
        <v>77</v>
      </c>
      <c r="M325" s="50"/>
      <c r="N325" s="50"/>
      <c r="O325" s="49"/>
      <c r="P325" s="50" t="str">
        <f t="shared" si="20"/>
        <v>ONAY</v>
      </c>
      <c r="R325" s="51" t="str">
        <f t="shared" si="21"/>
        <v/>
      </c>
      <c r="T325" s="41"/>
      <c r="U325" s="29">
        <f>IF($C325&lt;&gt;"",COUNTIF($C$2:C325,C325),"")</f>
        <v>2</v>
      </c>
      <c r="V325" s="29" t="str">
        <f t="shared" si="22"/>
        <v>Doç. Dr. Cafer BALCI§2</v>
      </c>
      <c r="W325" s="29" t="str">
        <f>IF(U325=1,COUNTIF($U$2:U325,1),"")</f>
        <v/>
      </c>
      <c r="X325" s="29" t="str">
        <f t="shared" si="23"/>
        <v/>
      </c>
      <c r="Y325" s="29">
        <f>IF(AND(LEFT($B325,7)="SBA 26/",$D325&lt;&gt;"",$F325&lt;&gt;""),COUNTIFS($D$2:$D325,$D325,$B$2:$B325,"SBA 26/*",$F$2:$F325,"&lt;&gt;"),"")</f>
        <v>47</v>
      </c>
      <c r="Z325" s="29" t="str">
        <f>IF(Y325=1,COUNTIF($Y$2:Y325,1),"")</f>
        <v/>
      </c>
      <c r="AA325" s="29">
        <f>IF(AND(LEFT($B325,7)="SBA 26/",$C325&lt;&gt;"",$F325&lt;&gt;""),COUNTIFS($C$2:$C325,$C325,$B$2:$B325,"SBA 26/*",$F$2:$F325,"&lt;&gt;"),"")</f>
        <v>2</v>
      </c>
      <c r="AB325" s="29" t="str">
        <f>IF(AA325=1,COUNTIF($AA$2:AA325,1),"")</f>
        <v/>
      </c>
    </row>
    <row r="326" spans="1:28" ht="47.25" customHeight="1" x14ac:dyDescent="0.2">
      <c r="A326" s="43" t="s">
        <v>1623</v>
      </c>
      <c r="B326" s="43" t="s">
        <v>1624</v>
      </c>
      <c r="C326" s="44" t="s">
        <v>1625</v>
      </c>
      <c r="D326" s="44" t="s">
        <v>270</v>
      </c>
      <c r="E326" s="45" t="s">
        <v>1626</v>
      </c>
      <c r="F326" s="45" t="s">
        <v>1627</v>
      </c>
      <c r="G326" s="46" t="s">
        <v>38</v>
      </c>
      <c r="H326" s="48">
        <v>46107</v>
      </c>
      <c r="I326" s="48">
        <v>46126</v>
      </c>
      <c r="J326" s="44" t="s">
        <v>99</v>
      </c>
      <c r="K326" s="44" t="s">
        <v>84</v>
      </c>
      <c r="L326" s="50" t="s">
        <v>77</v>
      </c>
      <c r="M326" s="50"/>
      <c r="N326" s="50"/>
      <c r="O326" s="49"/>
      <c r="P326" s="50" t="str">
        <f t="shared" si="20"/>
        <v>ONAY</v>
      </c>
      <c r="R326" s="51" t="str">
        <f t="shared" si="21"/>
        <v/>
      </c>
      <c r="T326" s="41"/>
      <c r="U326" s="29">
        <f>IF($C326&lt;&gt;"",COUNTIF($C$2:C326,C326),"")</f>
        <v>1</v>
      </c>
      <c r="V326" s="29" t="str">
        <f t="shared" si="22"/>
        <v>Öğr. Gör. Dr. Tuğçe TAŞKINDERE ABBASOĞLU§1</v>
      </c>
      <c r="W326" s="29">
        <f>IF(U326=1,COUNTIF($U$2:U326,1),"")</f>
        <v>199</v>
      </c>
      <c r="X326" s="29">
        <f t="shared" si="23"/>
        <v>177</v>
      </c>
      <c r="Y326" s="29">
        <f>IF(AND(LEFT($B326,7)="SBA 26/",$D326&lt;&gt;"",$F326&lt;&gt;""),COUNTIFS($D$2:$D326,$D326,$B$2:$B326,"SBA 26/*",$F$2:$F326,"&lt;&gt;"),"")</f>
        <v>8</v>
      </c>
      <c r="Z326" s="29" t="str">
        <f>IF(Y326=1,COUNTIF($Y$2:Y326,1),"")</f>
        <v/>
      </c>
      <c r="AA326" s="29">
        <f>IF(AND(LEFT($B326,7)="SBA 26/",$C326&lt;&gt;"",$F326&lt;&gt;""),COUNTIFS($C$2:$C326,$C326,$B$2:$B326,"SBA 26/*",$F$2:$F326,"&lt;&gt;"),"")</f>
        <v>1</v>
      </c>
      <c r="AB326" s="29">
        <f>IF(AA326=1,COUNTIF($AA$2:AA326,1),"")</f>
        <v>199</v>
      </c>
    </row>
    <row r="327" spans="1:28" ht="63" customHeight="1" x14ac:dyDescent="0.2">
      <c r="A327" s="43" t="s">
        <v>1628</v>
      </c>
      <c r="B327" s="43" t="s">
        <v>1629</v>
      </c>
      <c r="C327" s="44" t="s">
        <v>390</v>
      </c>
      <c r="D327" s="44" t="s">
        <v>391</v>
      </c>
      <c r="E327" s="45" t="s">
        <v>1630</v>
      </c>
      <c r="F327" s="45" t="s">
        <v>1631</v>
      </c>
      <c r="G327" s="46" t="s">
        <v>38</v>
      </c>
      <c r="H327" s="48">
        <v>46107</v>
      </c>
      <c r="I327" s="48">
        <v>46126</v>
      </c>
      <c r="J327" s="44" t="s">
        <v>91</v>
      </c>
      <c r="K327" s="44" t="s">
        <v>99</v>
      </c>
      <c r="L327" s="50" t="s">
        <v>101</v>
      </c>
      <c r="M327" s="50"/>
      <c r="N327" s="50"/>
      <c r="O327" s="49"/>
      <c r="P327" s="50" t="str">
        <f t="shared" si="20"/>
        <v>DÜZELTME</v>
      </c>
      <c r="R327" s="51" t="str">
        <f t="shared" si="21"/>
        <v/>
      </c>
      <c r="T327" s="41"/>
      <c r="U327" s="29">
        <f>IF($C327&lt;&gt;"",COUNTIF($C$2:C327,C327),"")</f>
        <v>8</v>
      </c>
      <c r="V327" s="29" t="str">
        <f t="shared" si="22"/>
        <v>Prof. Dr. Mehmet AYVAZ§8</v>
      </c>
      <c r="W327" s="29" t="str">
        <f>IF(U327=1,COUNTIF($U$2:U327,1),"")</f>
        <v/>
      </c>
      <c r="X327" s="29" t="str">
        <f t="shared" si="23"/>
        <v/>
      </c>
      <c r="Y327" s="29">
        <f>IF(AND(LEFT($B327,7)="SBA 26/",$D327&lt;&gt;"",$F327&lt;&gt;""),COUNTIFS($D$2:$D327,$D327,$B$2:$B327,"SBA 26/*",$F$2:$F327,"&lt;&gt;"),"")</f>
        <v>13</v>
      </c>
      <c r="Z327" s="29" t="str">
        <f>IF(Y327=1,COUNTIF($Y$2:Y327,1),"")</f>
        <v/>
      </c>
      <c r="AA327" s="29">
        <f>IF(AND(LEFT($B327,7)="SBA 26/",$C327&lt;&gt;"",$F327&lt;&gt;""),COUNTIFS($C$2:$C327,$C327,$B$2:$B327,"SBA 26/*",$F$2:$F327,"&lt;&gt;"),"")</f>
        <v>8</v>
      </c>
      <c r="AB327" s="29" t="str">
        <f>IF(AA327=1,COUNTIF($AA$2:AA327,1),"")</f>
        <v/>
      </c>
    </row>
    <row r="328" spans="1:28" ht="80.25" customHeight="1" x14ac:dyDescent="0.2">
      <c r="A328" s="43" t="s">
        <v>1632</v>
      </c>
      <c r="B328" s="43" t="s">
        <v>1633</v>
      </c>
      <c r="C328" s="44" t="s">
        <v>285</v>
      </c>
      <c r="D328" s="44" t="s">
        <v>222</v>
      </c>
      <c r="E328" s="45" t="s">
        <v>1634</v>
      </c>
      <c r="F328" s="45" t="s">
        <v>1635</v>
      </c>
      <c r="G328" s="46" t="s">
        <v>38</v>
      </c>
      <c r="H328" s="48">
        <v>46107</v>
      </c>
      <c r="I328" s="48">
        <v>46126</v>
      </c>
      <c r="J328" s="44" t="s">
        <v>76</v>
      </c>
      <c r="K328" s="44" t="s">
        <v>100</v>
      </c>
      <c r="L328" s="50" t="s">
        <v>77</v>
      </c>
      <c r="M328" s="50"/>
      <c r="N328" s="50"/>
      <c r="O328" s="49"/>
      <c r="P328" s="50" t="str">
        <f t="shared" si="20"/>
        <v>ONAY</v>
      </c>
      <c r="R328" s="51" t="str">
        <f t="shared" si="21"/>
        <v/>
      </c>
      <c r="T328" s="41"/>
      <c r="U328" s="29">
        <f>IF($C328&lt;&gt;"",COUNTIF($C$2:C328,C328),"")</f>
        <v>7</v>
      </c>
      <c r="V328" s="29" t="str">
        <f t="shared" si="22"/>
        <v>Prof. Dr. Yasemin ÖZSÜREKCİ§7</v>
      </c>
      <c r="W328" s="29" t="str">
        <f>IF(U328=1,COUNTIF($U$2:U328,1),"")</f>
        <v/>
      </c>
      <c r="X328" s="29" t="str">
        <f t="shared" si="23"/>
        <v/>
      </c>
      <c r="Y328" s="29">
        <f>IF(AND(LEFT($B328,7)="SBA 26/",$D328&lt;&gt;"",$F328&lt;&gt;""),COUNTIFS($D$2:$D328,$D328,$B$2:$B328,"SBA 26/*",$F$2:$F328,"&lt;&gt;"),"")</f>
        <v>47</v>
      </c>
      <c r="Z328" s="29" t="str">
        <f>IF(Y328=1,COUNTIF($Y$2:Y328,1),"")</f>
        <v/>
      </c>
      <c r="AA328" s="29">
        <f>IF(AND(LEFT($B328,7)="SBA 26/",$C328&lt;&gt;"",$F328&lt;&gt;""),COUNTIFS($C$2:$C328,$C328,$B$2:$B328,"SBA 26/*",$F$2:$F328,"&lt;&gt;"),"")</f>
        <v>7</v>
      </c>
      <c r="AB328" s="29" t="str">
        <f>IF(AA328=1,COUNTIF($AA$2:AA328,1),"")</f>
        <v/>
      </c>
    </row>
    <row r="329" spans="1:28" ht="63" customHeight="1" x14ac:dyDescent="0.2">
      <c r="A329" s="43" t="s">
        <v>1636</v>
      </c>
      <c r="B329" s="43" t="s">
        <v>1637</v>
      </c>
      <c r="C329" s="44" t="s">
        <v>1638</v>
      </c>
      <c r="D329" s="44" t="s">
        <v>88</v>
      </c>
      <c r="E329" s="45" t="s">
        <v>1639</v>
      </c>
      <c r="F329" s="45" t="s">
        <v>1640</v>
      </c>
      <c r="G329" s="46" t="s">
        <v>38</v>
      </c>
      <c r="H329" s="48">
        <v>46108</v>
      </c>
      <c r="I329" s="48">
        <v>46126</v>
      </c>
      <c r="J329" s="44" t="s">
        <v>92</v>
      </c>
      <c r="K329" s="44" t="s">
        <v>75</v>
      </c>
      <c r="L329" s="50" t="s">
        <v>77</v>
      </c>
      <c r="M329" s="50"/>
      <c r="N329" s="50"/>
      <c r="O329" s="49"/>
      <c r="P329" s="50" t="str">
        <f t="shared" si="20"/>
        <v>ONAY</v>
      </c>
      <c r="R329" s="51" t="str">
        <f t="shared" si="21"/>
        <v/>
      </c>
      <c r="T329" s="41"/>
      <c r="U329" s="29">
        <f>IF($C329&lt;&gt;"",COUNTIF($C$2:C329,C329),"")</f>
        <v>1</v>
      </c>
      <c r="V329" s="29" t="str">
        <f t="shared" si="22"/>
        <v>Dr. Öğr. Üyesi Selin ARDALI DÜZGÜN§1</v>
      </c>
      <c r="W329" s="29">
        <f>IF(U329=1,COUNTIF($U$2:U329,1),"")</f>
        <v>200</v>
      </c>
      <c r="X329" s="29">
        <f t="shared" si="23"/>
        <v>158</v>
      </c>
      <c r="Y329" s="29">
        <f>IF(AND(LEFT($B329,7)="SBA 26/",$D329&lt;&gt;"",$F329&lt;&gt;""),COUNTIFS($D$2:$D329,$D329,$B$2:$B329,"SBA 26/*",$F$2:$F329,"&lt;&gt;"),"")</f>
        <v>13</v>
      </c>
      <c r="Z329" s="29" t="str">
        <f>IF(Y329=1,COUNTIF($Y$2:Y329,1),"")</f>
        <v/>
      </c>
      <c r="AA329" s="29">
        <f>IF(AND(LEFT($B329,7)="SBA 26/",$C329&lt;&gt;"",$F329&lt;&gt;""),COUNTIFS($C$2:$C329,$C329,$B$2:$B329,"SBA 26/*",$F$2:$F329,"&lt;&gt;"),"")</f>
        <v>1</v>
      </c>
      <c r="AB329" s="29">
        <f>IF(AA329=1,COUNTIF($AA$2:AA329,1),"")</f>
        <v>200</v>
      </c>
    </row>
    <row r="330" spans="1:28" ht="63" customHeight="1" x14ac:dyDescent="0.2">
      <c r="A330" s="43" t="s">
        <v>1641</v>
      </c>
      <c r="B330" s="43" t="s">
        <v>1642</v>
      </c>
      <c r="C330" s="44" t="s">
        <v>1052</v>
      </c>
      <c r="D330" s="44" t="s">
        <v>113</v>
      </c>
      <c r="E330" s="45" t="s">
        <v>1643</v>
      </c>
      <c r="F330" s="45" t="s">
        <v>1644</v>
      </c>
      <c r="G330" s="46" t="s">
        <v>38</v>
      </c>
      <c r="H330" s="48">
        <v>46108</v>
      </c>
      <c r="I330" s="48">
        <v>46126</v>
      </c>
      <c r="J330" s="44" t="s">
        <v>116</v>
      </c>
      <c r="K330" s="44" t="s">
        <v>129</v>
      </c>
      <c r="L330" s="50" t="s">
        <v>77</v>
      </c>
      <c r="M330" s="50"/>
      <c r="N330" s="50"/>
      <c r="O330" s="49"/>
      <c r="P330" s="50" t="str">
        <f t="shared" si="20"/>
        <v>ONAY</v>
      </c>
      <c r="R330" s="51" t="str">
        <f t="shared" si="21"/>
        <v/>
      </c>
      <c r="T330" s="41"/>
      <c r="U330" s="29">
        <f>IF($C330&lt;&gt;"",COUNTIF($C$2:C330,C330),"")</f>
        <v>4</v>
      </c>
      <c r="V330" s="29" t="str">
        <f t="shared" si="22"/>
        <v>Prof. Dr. Mustafa CANKURTARAN§4</v>
      </c>
      <c r="W330" s="29" t="str">
        <f>IF(U330=1,COUNTIF($U$2:U330,1),"")</f>
        <v/>
      </c>
      <c r="X330" s="29" t="str">
        <f t="shared" si="23"/>
        <v/>
      </c>
      <c r="Y330" s="29">
        <f>IF(AND(LEFT($B330,7)="SBA 26/",$D330&lt;&gt;"",$F330&lt;&gt;""),COUNTIFS($D$2:$D330,$D330,$B$2:$B330,"SBA 26/*",$F$2:$F330,"&lt;&gt;"),"")</f>
        <v>48</v>
      </c>
      <c r="Z330" s="29" t="str">
        <f>IF(Y330=1,COUNTIF($Y$2:Y330,1),"")</f>
        <v/>
      </c>
      <c r="AA330" s="29">
        <f>IF(AND(LEFT($B330,7)="SBA 26/",$C330&lt;&gt;"",$F330&lt;&gt;""),COUNTIFS($C$2:$C330,$C330,$B$2:$B330,"SBA 26/*",$F$2:$F330,"&lt;&gt;"),"")</f>
        <v>4</v>
      </c>
      <c r="AB330" s="29" t="str">
        <f>IF(AA330=1,COUNTIF($AA$2:AA330,1),"")</f>
        <v/>
      </c>
    </row>
    <row r="331" spans="1:28" ht="111" customHeight="1" x14ac:dyDescent="0.2">
      <c r="A331" s="43" t="s">
        <v>1645</v>
      </c>
      <c r="B331" s="43" t="s">
        <v>1646</v>
      </c>
      <c r="C331" s="44" t="s">
        <v>1300</v>
      </c>
      <c r="D331" s="44" t="s">
        <v>228</v>
      </c>
      <c r="E331" s="45" t="s">
        <v>1647</v>
      </c>
      <c r="F331" s="45" t="s">
        <v>1648</v>
      </c>
      <c r="G331" s="46" t="s">
        <v>38</v>
      </c>
      <c r="H331" s="48">
        <v>46108</v>
      </c>
      <c r="I331" s="48">
        <v>46126</v>
      </c>
      <c r="J331" s="44" t="s">
        <v>123</v>
      </c>
      <c r="K331" s="44" t="s">
        <v>84</v>
      </c>
      <c r="L331" s="50" t="s">
        <v>206</v>
      </c>
      <c r="M331" s="50" t="s">
        <v>101</v>
      </c>
      <c r="N331" s="50" t="s">
        <v>101</v>
      </c>
      <c r="O331" s="49" t="s">
        <v>77</v>
      </c>
      <c r="P331" s="50" t="str">
        <f t="shared" si="20"/>
        <v>ONAY</v>
      </c>
      <c r="Q331" s="28" t="s">
        <v>75</v>
      </c>
      <c r="R331" s="51" t="str">
        <f t="shared" si="21"/>
        <v/>
      </c>
      <c r="T331" s="41"/>
      <c r="U331" s="29">
        <f>IF($C331&lt;&gt;"",COUNTIF($C$2:C331,C331),"")</f>
        <v>3</v>
      </c>
      <c r="V331" s="29" t="str">
        <f t="shared" si="22"/>
        <v>Prof. Dr. Murat GÜLTEKİN§3</v>
      </c>
      <c r="W331" s="29" t="str">
        <f>IF(U331=1,COUNTIF($U$2:U331,1),"")</f>
        <v/>
      </c>
      <c r="X331" s="29" t="str">
        <f t="shared" si="23"/>
        <v/>
      </c>
      <c r="Y331" s="29">
        <f>IF(AND(LEFT($B331,7)="SBA 26/",$D331&lt;&gt;"",$F331&lt;&gt;""),COUNTIFS($D$2:$D331,$D331,$B$2:$B331,"SBA 26/*",$F$2:$F331,"&lt;&gt;"),"")</f>
        <v>22</v>
      </c>
      <c r="Z331" s="29" t="str">
        <f>IF(Y331=1,COUNTIF($Y$2:Y331,1),"")</f>
        <v/>
      </c>
      <c r="AA331" s="29">
        <f>IF(AND(LEFT($B331,7)="SBA 26/",$C331&lt;&gt;"",$F331&lt;&gt;""),COUNTIFS($C$2:$C331,$C331,$B$2:$B331,"SBA 26/*",$F$2:$F331,"&lt;&gt;"),"")</f>
        <v>3</v>
      </c>
      <c r="AB331" s="29" t="str">
        <f>IF(AA331=1,COUNTIF($AA$2:AA331,1),"")</f>
        <v/>
      </c>
    </row>
    <row r="332" spans="1:28" ht="78.75" customHeight="1" x14ac:dyDescent="0.2">
      <c r="A332" s="43" t="s">
        <v>1649</v>
      </c>
      <c r="B332" s="43" t="s">
        <v>1650</v>
      </c>
      <c r="C332" s="44" t="s">
        <v>132</v>
      </c>
      <c r="D332" s="44" t="s">
        <v>133</v>
      </c>
      <c r="E332" s="45" t="s">
        <v>1651</v>
      </c>
      <c r="F332" s="45" t="s">
        <v>1652</v>
      </c>
      <c r="G332" s="46" t="s">
        <v>38</v>
      </c>
      <c r="H332" s="48">
        <v>46108</v>
      </c>
      <c r="I332" s="48">
        <v>46126</v>
      </c>
      <c r="J332" s="44" t="s">
        <v>75</v>
      </c>
      <c r="K332" s="44" t="s">
        <v>100</v>
      </c>
      <c r="L332" s="50" t="s">
        <v>77</v>
      </c>
      <c r="M332" s="50"/>
      <c r="N332" s="50"/>
      <c r="O332" s="49"/>
      <c r="P332" s="50" t="str">
        <f t="shared" si="20"/>
        <v>ONAY</v>
      </c>
      <c r="R332" s="51" t="str">
        <f t="shared" si="21"/>
        <v/>
      </c>
      <c r="T332" s="41"/>
      <c r="U332" s="29">
        <f>IF($C332&lt;&gt;"",COUNTIF($C$2:C332,C332),"")</f>
        <v>2</v>
      </c>
      <c r="V332" s="29" t="str">
        <f t="shared" si="22"/>
        <v>Öğr. Gör. Dr. Buket KILIÇ§2</v>
      </c>
      <c r="W332" s="29" t="str">
        <f>IF(U332=1,COUNTIF($U$2:U332,1),"")</f>
        <v/>
      </c>
      <c r="X332" s="29" t="str">
        <f t="shared" si="23"/>
        <v/>
      </c>
      <c r="Y332" s="29">
        <f>IF(AND(LEFT($B332,7)="SBA 26/",$D332&lt;&gt;"",$F332&lt;&gt;""),COUNTIFS($D$2:$D332,$D332,$B$2:$B332,"SBA 26/*",$F$2:$F332,"&lt;&gt;"),"")</f>
        <v>8</v>
      </c>
      <c r="Z332" s="29" t="str">
        <f>IF(Y332=1,COUNTIF($Y$2:Y332,1),"")</f>
        <v/>
      </c>
      <c r="AA332" s="29">
        <f>IF(AND(LEFT($B332,7)="SBA 26/",$C332&lt;&gt;"",$F332&lt;&gt;""),COUNTIFS($C$2:$C332,$C332,$B$2:$B332,"SBA 26/*",$F$2:$F332,"&lt;&gt;"),"")</f>
        <v>2</v>
      </c>
      <c r="AB332" s="29" t="str">
        <f>IF(AA332=1,COUNTIF($AA$2:AA332,1),"")</f>
        <v/>
      </c>
    </row>
    <row r="333" spans="1:28" ht="63" customHeight="1" x14ac:dyDescent="0.2">
      <c r="A333" s="43" t="s">
        <v>1653</v>
      </c>
      <c r="B333" s="43" t="s">
        <v>1654</v>
      </c>
      <c r="C333" s="44" t="s">
        <v>95</v>
      </c>
      <c r="D333" s="54" t="s">
        <v>96</v>
      </c>
      <c r="E333" s="45" t="s">
        <v>1655</v>
      </c>
      <c r="F333" s="45" t="s">
        <v>1656</v>
      </c>
      <c r="G333" s="46" t="s">
        <v>40</v>
      </c>
      <c r="H333" s="48">
        <v>46108</v>
      </c>
      <c r="I333" s="48">
        <v>46126</v>
      </c>
      <c r="J333" s="44" t="s">
        <v>99</v>
      </c>
      <c r="K333" s="44" t="s">
        <v>76</v>
      </c>
      <c r="L333" s="50" t="s">
        <v>172</v>
      </c>
      <c r="M333" s="50"/>
      <c r="N333" s="50"/>
      <c r="O333" s="49"/>
      <c r="P333" s="50" t="str">
        <f t="shared" si="20"/>
        <v>RET</v>
      </c>
      <c r="R333" s="51" t="str">
        <f t="shared" si="21"/>
        <v/>
      </c>
      <c r="T333" s="41"/>
      <c r="U333" s="29">
        <f>IF($C333&lt;&gt;"",COUNTIF($C$2:C333,C333),"")</f>
        <v>2</v>
      </c>
      <c r="V333" s="29" t="str">
        <f t="shared" si="22"/>
        <v>Prof. Dr. Bayram ŞAHİN§2</v>
      </c>
      <c r="W333" s="29" t="str">
        <f>IF(U333=1,COUNTIF($U$2:U333,1),"")</f>
        <v/>
      </c>
      <c r="X333" s="29" t="str">
        <f t="shared" si="23"/>
        <v/>
      </c>
      <c r="Y333" s="29">
        <f>IF(AND(LEFT($B333,7)="SBA 26/",$D333&lt;&gt;"",$F333&lt;&gt;""),COUNTIFS($D$2:$D333,$D333,$B$2:$B333,"SBA 26/*",$F$2:$F333,"&lt;&gt;"),"")</f>
        <v>2</v>
      </c>
      <c r="Z333" s="29" t="str">
        <f>IF(Y333=1,COUNTIF($Y$2:Y333,1),"")</f>
        <v/>
      </c>
      <c r="AA333" s="29">
        <f>IF(AND(LEFT($B333,7)="SBA 26/",$C333&lt;&gt;"",$F333&lt;&gt;""),COUNTIFS($C$2:$C333,$C333,$B$2:$B333,"SBA 26/*",$F$2:$F333,"&lt;&gt;"),"")</f>
        <v>2</v>
      </c>
      <c r="AB333" s="29" t="str">
        <f>IF(AA333=1,COUNTIF($AA$2:AA333,1),"")</f>
        <v/>
      </c>
    </row>
    <row r="334" spans="1:28" ht="141.75" customHeight="1" x14ac:dyDescent="0.2">
      <c r="A334" s="43" t="s">
        <v>1657</v>
      </c>
      <c r="B334" s="43" t="s">
        <v>1658</v>
      </c>
      <c r="C334" s="44" t="s">
        <v>1659</v>
      </c>
      <c r="D334" s="44" t="s">
        <v>364</v>
      </c>
      <c r="E334" s="45" t="s">
        <v>1660</v>
      </c>
      <c r="F334" s="45" t="s">
        <v>1661</v>
      </c>
      <c r="G334" s="46" t="s">
        <v>39</v>
      </c>
      <c r="H334" s="48">
        <v>46108</v>
      </c>
      <c r="I334" s="48">
        <v>46126</v>
      </c>
      <c r="J334" s="44" t="s">
        <v>129</v>
      </c>
      <c r="K334" s="44" t="s">
        <v>108</v>
      </c>
      <c r="L334" s="50" t="s">
        <v>101</v>
      </c>
      <c r="M334" s="50" t="s">
        <v>77</v>
      </c>
      <c r="N334" s="50"/>
      <c r="O334" s="49"/>
      <c r="P334" s="50" t="str">
        <f t="shared" si="20"/>
        <v>ONAY</v>
      </c>
      <c r="Q334" s="28" t="s">
        <v>129</v>
      </c>
      <c r="R334" s="51" t="str">
        <f t="shared" si="21"/>
        <v/>
      </c>
      <c r="T334" s="41"/>
      <c r="U334" s="29">
        <f>IF($C334&lt;&gt;"",COUNTIF($C$2:C334,C334),"")</f>
        <v>1</v>
      </c>
      <c r="V334" s="29" t="str">
        <f t="shared" si="22"/>
        <v>Prof. Dr. Meryem Aslı TUNCER§1</v>
      </c>
      <c r="W334" s="29">
        <f>IF(U334=1,COUNTIF($U$2:U334,1),"")</f>
        <v>201</v>
      </c>
      <c r="X334" s="29">
        <f t="shared" si="23"/>
        <v>265</v>
      </c>
      <c r="Y334" s="29">
        <f>IF(AND(LEFT($B334,7)="SBA 26/",$D334&lt;&gt;"",$F334&lt;&gt;""),COUNTIFS($D$2:$D334,$D334,$B$2:$B334,"SBA 26/*",$F$2:$F334,"&lt;&gt;"),"")</f>
        <v>13</v>
      </c>
      <c r="Z334" s="29" t="str">
        <f>IF(Y334=1,COUNTIF($Y$2:Y334,1),"")</f>
        <v/>
      </c>
      <c r="AA334" s="29">
        <f>IF(AND(LEFT($B334,7)="SBA 26/",$C334&lt;&gt;"",$F334&lt;&gt;""),COUNTIFS($C$2:$C334,$C334,$B$2:$B334,"SBA 26/*",$F$2:$F334,"&lt;&gt;"),"")</f>
        <v>1</v>
      </c>
      <c r="AB334" s="29">
        <f>IF(AA334=1,COUNTIF($AA$2:AA334,1),"")</f>
        <v>201</v>
      </c>
    </row>
    <row r="335" spans="1:28" ht="94.5" customHeight="1" x14ac:dyDescent="0.2">
      <c r="A335" s="43" t="s">
        <v>1662</v>
      </c>
      <c r="B335" s="43" t="s">
        <v>1663</v>
      </c>
      <c r="C335" s="44" t="s">
        <v>1664</v>
      </c>
      <c r="D335" s="44" t="s">
        <v>1665</v>
      </c>
      <c r="E335" s="45" t="s">
        <v>1666</v>
      </c>
      <c r="F335" s="45" t="s">
        <v>1667</v>
      </c>
      <c r="G335" s="46" t="s">
        <v>39</v>
      </c>
      <c r="H335" s="48">
        <v>46108</v>
      </c>
      <c r="I335" s="48">
        <v>46126</v>
      </c>
      <c r="J335" s="44" t="s">
        <v>109</v>
      </c>
      <c r="K335" s="44" t="s">
        <v>91</v>
      </c>
      <c r="L335" s="50" t="s">
        <v>172</v>
      </c>
      <c r="M335" s="50"/>
      <c r="N335" s="50"/>
      <c r="O335" s="49"/>
      <c r="P335" s="50" t="str">
        <f t="shared" si="20"/>
        <v>RET</v>
      </c>
      <c r="R335" s="51" t="str">
        <f t="shared" si="21"/>
        <v/>
      </c>
      <c r="T335" s="41"/>
      <c r="U335" s="29">
        <f>IF($C335&lt;&gt;"",COUNTIF($C$2:C335,C335),"")</f>
        <v>1</v>
      </c>
      <c r="V335" s="29" t="str">
        <f t="shared" si="22"/>
        <v>Doç. Dr. Oytun PORTAKAL AKÇİN§1</v>
      </c>
      <c r="W335" s="29">
        <f>IF(U335=1,COUNTIF($U$2:U335,1),"")</f>
        <v>202</v>
      </c>
      <c r="X335" s="29">
        <f t="shared" si="23"/>
        <v>89</v>
      </c>
      <c r="Y335" s="29">
        <f>IF(AND(LEFT($B335,7)="SBA 26/",$D335&lt;&gt;"",$F335&lt;&gt;""),COUNTIFS($D$2:$D335,$D335,$B$2:$B335,"SBA 26/*",$F$2:$F335,"&lt;&gt;"),"")</f>
        <v>1</v>
      </c>
      <c r="Z335" s="29">
        <f>IF(Y335=1,COUNTIF($Y$2:Y335,1),"")</f>
        <v>62</v>
      </c>
      <c r="AA335" s="29">
        <f>IF(AND(LEFT($B335,7)="SBA 26/",$C335&lt;&gt;"",$F335&lt;&gt;""),COUNTIFS($C$2:$C335,$C335,$B$2:$B335,"SBA 26/*",$F$2:$F335,"&lt;&gt;"),"")</f>
        <v>1</v>
      </c>
      <c r="AB335" s="29">
        <f>IF(AA335=1,COUNTIF($AA$2:AA335,1),"")</f>
        <v>202</v>
      </c>
    </row>
    <row r="336" spans="1:28" ht="94.5" customHeight="1" x14ac:dyDescent="0.2">
      <c r="A336" s="43" t="s">
        <v>1668</v>
      </c>
      <c r="B336" s="43" t="s">
        <v>1669</v>
      </c>
      <c r="C336" s="44" t="s">
        <v>248</v>
      </c>
      <c r="D336" s="44" t="s">
        <v>234</v>
      </c>
      <c r="E336" s="45" t="s">
        <v>1670</v>
      </c>
      <c r="F336" s="45" t="s">
        <v>1671</v>
      </c>
      <c r="G336" s="46" t="s">
        <v>39</v>
      </c>
      <c r="H336" s="48">
        <v>46108</v>
      </c>
      <c r="I336" s="48">
        <v>46126</v>
      </c>
      <c r="J336" s="44" t="s">
        <v>92</v>
      </c>
      <c r="K336" s="44" t="s">
        <v>129</v>
      </c>
      <c r="L336" s="50" t="s">
        <v>77</v>
      </c>
      <c r="M336" s="50"/>
      <c r="N336" s="50"/>
      <c r="O336" s="49"/>
      <c r="P336" s="50" t="str">
        <f t="shared" si="20"/>
        <v>ONAY</v>
      </c>
      <c r="R336" s="51" t="str">
        <f t="shared" si="21"/>
        <v/>
      </c>
      <c r="T336" s="41"/>
      <c r="U336" s="29">
        <f>IF($C336&lt;&gt;"",COUNTIF($C$2:C336,C336),"")</f>
        <v>2</v>
      </c>
      <c r="V336" s="29" t="str">
        <f t="shared" si="22"/>
        <v>Prof. Dr. Kudret AYTEMİR§2</v>
      </c>
      <c r="W336" s="29" t="str">
        <f>IF(U336=1,COUNTIF($U$2:U336,1),"")</f>
        <v/>
      </c>
      <c r="X336" s="29" t="str">
        <f t="shared" si="23"/>
        <v/>
      </c>
      <c r="Y336" s="29">
        <f>IF(AND(LEFT($B336,7)="SBA 26/",$D336&lt;&gt;"",$F336&lt;&gt;""),COUNTIFS($D$2:$D336,$D336,$B$2:$B336,"SBA 26/*",$F$2:$F336,"&lt;&gt;"),"")</f>
        <v>7</v>
      </c>
      <c r="Z336" s="29" t="str">
        <f>IF(Y336=1,COUNTIF($Y$2:Y336,1),"")</f>
        <v/>
      </c>
      <c r="AA336" s="29">
        <f>IF(AND(LEFT($B336,7)="SBA 26/",$C336&lt;&gt;"",$F336&lt;&gt;""),COUNTIFS($C$2:$C336,$C336,$B$2:$B336,"SBA 26/*",$F$2:$F336,"&lt;&gt;"),"")</f>
        <v>2</v>
      </c>
      <c r="AB336" s="29" t="str">
        <f>IF(AA336=1,COUNTIF($AA$2:AA336,1),"")</f>
        <v/>
      </c>
    </row>
    <row r="337" spans="1:28" ht="63" customHeight="1" x14ac:dyDescent="0.2">
      <c r="A337" s="43" t="s">
        <v>1672</v>
      </c>
      <c r="B337" s="43" t="s">
        <v>1673</v>
      </c>
      <c r="C337" s="44" t="s">
        <v>1674</v>
      </c>
      <c r="D337" s="44" t="s">
        <v>539</v>
      </c>
      <c r="E337" s="45" t="s">
        <v>1675</v>
      </c>
      <c r="F337" s="45" t="s">
        <v>1676</v>
      </c>
      <c r="G337" s="46" t="s">
        <v>38</v>
      </c>
      <c r="H337" s="48">
        <v>46108</v>
      </c>
      <c r="I337" s="48">
        <v>46126</v>
      </c>
      <c r="J337" s="44" t="s">
        <v>123</v>
      </c>
      <c r="K337" s="44" t="s">
        <v>100</v>
      </c>
      <c r="L337" s="50" t="s">
        <v>77</v>
      </c>
      <c r="M337" s="50"/>
      <c r="N337" s="50"/>
      <c r="O337" s="49"/>
      <c r="P337" s="50" t="str">
        <f t="shared" si="20"/>
        <v>ONAY</v>
      </c>
      <c r="R337" s="51" t="str">
        <f t="shared" si="21"/>
        <v/>
      </c>
      <c r="T337" s="41"/>
      <c r="U337" s="29">
        <f>IF($C337&lt;&gt;"",COUNTIF($C$2:C337,C337),"")</f>
        <v>1</v>
      </c>
      <c r="V337" s="29" t="str">
        <f t="shared" si="22"/>
        <v>Prof. Dr. Hüseyin Gencay KEÇELİ§1</v>
      </c>
      <c r="W337" s="29">
        <f>IF(U337=1,COUNTIF($U$2:U337,1),"")</f>
        <v>203</v>
      </c>
      <c r="X337" s="29">
        <f t="shared" si="23"/>
        <v>245</v>
      </c>
      <c r="Y337" s="29">
        <f>IF(AND(LEFT($B337,7)="SBA 26/",$D337&lt;&gt;"",$F337&lt;&gt;""),COUNTIFS($D$2:$D337,$D337,$B$2:$B337,"SBA 26/*",$F$2:$F337,"&lt;&gt;"),"")</f>
        <v>5</v>
      </c>
      <c r="Z337" s="29" t="str">
        <f>IF(Y337=1,COUNTIF($Y$2:Y337,1),"")</f>
        <v/>
      </c>
      <c r="AA337" s="29">
        <f>IF(AND(LEFT($B337,7)="SBA 26/",$C337&lt;&gt;"",$F337&lt;&gt;""),COUNTIFS($C$2:$C337,$C337,$B$2:$B337,"SBA 26/*",$F$2:$F337,"&lt;&gt;"),"")</f>
        <v>1</v>
      </c>
      <c r="AB337" s="29">
        <f>IF(AA337=1,COUNTIF($AA$2:AA337,1),"")</f>
        <v>203</v>
      </c>
    </row>
    <row r="338" spans="1:28" ht="63" customHeight="1" x14ac:dyDescent="0.2">
      <c r="A338" s="43" t="s">
        <v>1677</v>
      </c>
      <c r="B338" s="43" t="s">
        <v>1678</v>
      </c>
      <c r="C338" s="44" t="s">
        <v>1679</v>
      </c>
      <c r="D338" s="44" t="s">
        <v>584</v>
      </c>
      <c r="E338" s="45" t="s">
        <v>1680</v>
      </c>
      <c r="F338" s="45" t="s">
        <v>1681</v>
      </c>
      <c r="G338" s="46" t="s">
        <v>38</v>
      </c>
      <c r="H338" s="48">
        <v>46108</v>
      </c>
      <c r="I338" s="48">
        <v>46126</v>
      </c>
      <c r="J338" s="44" t="s">
        <v>100</v>
      </c>
      <c r="K338" s="44" t="s">
        <v>99</v>
      </c>
      <c r="L338" s="50" t="s">
        <v>101</v>
      </c>
      <c r="M338" s="50" t="s">
        <v>77</v>
      </c>
      <c r="N338" s="50"/>
      <c r="O338" s="49"/>
      <c r="P338" s="50" t="str">
        <f t="shared" si="20"/>
        <v>ONAY</v>
      </c>
      <c r="Q338" s="28" t="s">
        <v>100</v>
      </c>
      <c r="R338" s="51" t="str">
        <f t="shared" si="21"/>
        <v/>
      </c>
      <c r="T338" s="41"/>
      <c r="U338" s="29">
        <f>IF($C338&lt;&gt;"",COUNTIF($C$2:C338,C338),"")</f>
        <v>1</v>
      </c>
      <c r="V338" s="29" t="str">
        <f t="shared" si="22"/>
        <v>Prof. Dr. Kasım KARATAŞ§1</v>
      </c>
      <c r="W338" s="29">
        <f>IF(U338=1,COUNTIF($U$2:U338,1),"")</f>
        <v>204</v>
      </c>
      <c r="X338" s="29">
        <f t="shared" si="23"/>
        <v>250</v>
      </c>
      <c r="Y338" s="29">
        <f>IF(AND(LEFT($B338,7)="SBA 26/",$D338&lt;&gt;"",$F338&lt;&gt;""),COUNTIFS($D$2:$D338,$D338,$B$2:$B338,"SBA 26/*",$F$2:$F338,"&lt;&gt;"),"")</f>
        <v>4</v>
      </c>
      <c r="Z338" s="29" t="str">
        <f>IF(Y338=1,COUNTIF($Y$2:Y338,1),"")</f>
        <v/>
      </c>
      <c r="AA338" s="29">
        <f>IF(AND(LEFT($B338,7)="SBA 26/",$C338&lt;&gt;"",$F338&lt;&gt;""),COUNTIFS($C$2:$C338,$C338,$B$2:$B338,"SBA 26/*",$F$2:$F338,"&lt;&gt;"),"")</f>
        <v>1</v>
      </c>
      <c r="AB338" s="29">
        <f>IF(AA338=1,COUNTIF($AA$2:AA338,1),"")</f>
        <v>204</v>
      </c>
    </row>
    <row r="339" spans="1:28" ht="63" customHeight="1" x14ac:dyDescent="0.2">
      <c r="A339" s="43" t="s">
        <v>1682</v>
      </c>
      <c r="B339" s="43" t="s">
        <v>1683</v>
      </c>
      <c r="C339" s="44" t="s">
        <v>1684</v>
      </c>
      <c r="D339" s="44" t="s">
        <v>430</v>
      </c>
      <c r="E339" s="45" t="s">
        <v>1685</v>
      </c>
      <c r="F339" s="45" t="s">
        <v>1686</v>
      </c>
      <c r="G339" s="46" t="s">
        <v>38</v>
      </c>
      <c r="H339" s="48">
        <v>46108</v>
      </c>
      <c r="I339" s="48">
        <v>46126</v>
      </c>
      <c r="J339" s="44" t="s">
        <v>108</v>
      </c>
      <c r="K339" s="44" t="s">
        <v>84</v>
      </c>
      <c r="L339" s="50" t="s">
        <v>101</v>
      </c>
      <c r="M339" s="50" t="s">
        <v>101</v>
      </c>
      <c r="N339" s="50" t="s">
        <v>77</v>
      </c>
      <c r="O339" s="49"/>
      <c r="P339" s="50" t="str">
        <f t="shared" si="20"/>
        <v>ONAY</v>
      </c>
      <c r="Q339" s="28" t="s">
        <v>108</v>
      </c>
      <c r="R339" s="51" t="str">
        <f t="shared" si="21"/>
        <v/>
      </c>
      <c r="T339" s="41"/>
      <c r="U339" s="29">
        <f>IF($C339&lt;&gt;"",COUNTIF($C$2:C339,C339),"")</f>
        <v>1</v>
      </c>
      <c r="V339" s="29" t="str">
        <f t="shared" si="22"/>
        <v>Dr. Öğr. Üyesi Hayri Can ÖZDEN§1</v>
      </c>
      <c r="W339" s="29">
        <f>IF(U339=1,COUNTIF($U$2:U339,1),"")</f>
        <v>205</v>
      </c>
      <c r="X339" s="29">
        <f t="shared" si="23"/>
        <v>141</v>
      </c>
      <c r="Y339" s="29">
        <f>IF(AND(LEFT($B339,7)="SBA 26/",$D339&lt;&gt;"",$F339&lt;&gt;""),COUNTIFS($D$2:$D339,$D339,$B$2:$B339,"SBA 26/*",$F$2:$F339,"&lt;&gt;"),"")</f>
        <v>4</v>
      </c>
      <c r="Z339" s="29" t="str">
        <f>IF(Y339=1,COUNTIF($Y$2:Y339,1),"")</f>
        <v/>
      </c>
      <c r="AA339" s="29">
        <f>IF(AND(LEFT($B339,7)="SBA 26/",$C339&lt;&gt;"",$F339&lt;&gt;""),COUNTIFS($C$2:$C339,$C339,$B$2:$B339,"SBA 26/*",$F$2:$F339,"&lt;&gt;"),"")</f>
        <v>1</v>
      </c>
      <c r="AB339" s="29">
        <f>IF(AA339=1,COUNTIF($AA$2:AA339,1),"")</f>
        <v>205</v>
      </c>
    </row>
    <row r="340" spans="1:28" ht="78.75" customHeight="1" x14ac:dyDescent="0.2">
      <c r="A340" s="43" t="s">
        <v>1687</v>
      </c>
      <c r="B340" s="43" t="s">
        <v>1688</v>
      </c>
      <c r="C340" s="44" t="s">
        <v>1684</v>
      </c>
      <c r="D340" s="44" t="s">
        <v>430</v>
      </c>
      <c r="E340" s="45" t="s">
        <v>1689</v>
      </c>
      <c r="F340" s="45" t="s">
        <v>1690</v>
      </c>
      <c r="G340" s="46" t="s">
        <v>38</v>
      </c>
      <c r="H340" s="48">
        <v>46108</v>
      </c>
      <c r="I340" s="48">
        <v>46126</v>
      </c>
      <c r="J340" s="44" t="s">
        <v>109</v>
      </c>
      <c r="K340" s="44" t="s">
        <v>108</v>
      </c>
      <c r="L340" s="50" t="s">
        <v>101</v>
      </c>
      <c r="M340" s="50" t="s">
        <v>77</v>
      </c>
      <c r="N340" s="50"/>
      <c r="O340" s="49"/>
      <c r="P340" s="50" t="str">
        <f t="shared" si="20"/>
        <v>ONAY</v>
      </c>
      <c r="Q340" s="28" t="s">
        <v>109</v>
      </c>
      <c r="R340" s="51" t="str">
        <f t="shared" si="21"/>
        <v/>
      </c>
      <c r="T340" s="41"/>
      <c r="U340" s="29">
        <f>IF($C340&lt;&gt;"",COUNTIF($C$2:C340,C340),"")</f>
        <v>2</v>
      </c>
      <c r="V340" s="29" t="str">
        <f t="shared" si="22"/>
        <v>Dr. Öğr. Üyesi Hayri Can ÖZDEN§2</v>
      </c>
      <c r="W340" s="29" t="str">
        <f>IF(U340=1,COUNTIF($U$2:U340,1),"")</f>
        <v/>
      </c>
      <c r="X340" s="29" t="str">
        <f t="shared" si="23"/>
        <v/>
      </c>
      <c r="Y340" s="29">
        <f>IF(AND(LEFT($B340,7)="SBA 26/",$D340&lt;&gt;"",$F340&lt;&gt;""),COUNTIFS($D$2:$D340,$D340,$B$2:$B340,"SBA 26/*",$F$2:$F340,"&lt;&gt;"),"")</f>
        <v>5</v>
      </c>
      <c r="Z340" s="29" t="str">
        <f>IF(Y340=1,COUNTIF($Y$2:Y340,1),"")</f>
        <v/>
      </c>
      <c r="AA340" s="29">
        <f>IF(AND(LEFT($B340,7)="SBA 26/",$C340&lt;&gt;"",$F340&lt;&gt;""),COUNTIFS($C$2:$C340,$C340,$B$2:$B340,"SBA 26/*",$F$2:$F340,"&lt;&gt;"),"")</f>
        <v>2</v>
      </c>
      <c r="AB340" s="29" t="str">
        <f>IF(AA340=1,COUNTIF($AA$2:AA340,1),"")</f>
        <v/>
      </c>
    </row>
    <row r="341" spans="1:28" ht="63" customHeight="1" x14ac:dyDescent="0.2">
      <c r="A341" s="43" t="s">
        <v>1691</v>
      </c>
      <c r="B341" s="43" t="s">
        <v>1692</v>
      </c>
      <c r="C341" s="44" t="s">
        <v>1693</v>
      </c>
      <c r="D341" s="44" t="s">
        <v>1493</v>
      </c>
      <c r="E341" s="45" t="s">
        <v>1694</v>
      </c>
      <c r="F341" s="45" t="s">
        <v>1695</v>
      </c>
      <c r="G341" s="46" t="s">
        <v>38</v>
      </c>
      <c r="H341" s="48">
        <v>46108</v>
      </c>
      <c r="I341" s="48">
        <v>46126</v>
      </c>
      <c r="J341" s="44" t="s">
        <v>129</v>
      </c>
      <c r="K341" s="44" t="s">
        <v>76</v>
      </c>
      <c r="L341" s="50" t="s">
        <v>77</v>
      </c>
      <c r="M341" s="50"/>
      <c r="N341" s="50"/>
      <c r="O341" s="49"/>
      <c r="P341" s="50" t="str">
        <f t="shared" si="20"/>
        <v>ONAY</v>
      </c>
      <c r="R341" s="51" t="str">
        <f t="shared" si="21"/>
        <v/>
      </c>
      <c r="T341" s="41"/>
      <c r="U341" s="29">
        <f>IF($C341&lt;&gt;"",COUNTIF($C$2:C341,C341),"")</f>
        <v>1</v>
      </c>
      <c r="V341" s="29" t="str">
        <f t="shared" si="22"/>
        <v>Dr. Öğr. Üyesi Ece ÖZOĞUL§1</v>
      </c>
      <c r="W341" s="29">
        <f>IF(U341=1,COUNTIF($U$2:U341,1),"")</f>
        <v>206</v>
      </c>
      <c r="X341" s="29">
        <f t="shared" si="23"/>
        <v>125</v>
      </c>
      <c r="Y341" s="29">
        <f>IF(AND(LEFT($B341,7)="SBA 26/",$D341&lt;&gt;"",$F341&lt;&gt;""),COUNTIFS($D$2:$D341,$D341,$B$2:$B341,"SBA 26/*",$F$2:$F341,"&lt;&gt;"),"")</f>
        <v>2</v>
      </c>
      <c r="Z341" s="29" t="str">
        <f>IF(Y341=1,COUNTIF($Y$2:Y341,1),"")</f>
        <v/>
      </c>
      <c r="AA341" s="29">
        <f>IF(AND(LEFT($B341,7)="SBA 26/",$C341&lt;&gt;"",$F341&lt;&gt;""),COUNTIFS($C$2:$C341,$C341,$B$2:$B341,"SBA 26/*",$F$2:$F341,"&lt;&gt;"),"")</f>
        <v>1</v>
      </c>
      <c r="AB341" s="29">
        <f>IF(AA341=1,COUNTIF($AA$2:AA341,1),"")</f>
        <v>206</v>
      </c>
    </row>
    <row r="342" spans="1:28" ht="94.5" customHeight="1" x14ac:dyDescent="0.2">
      <c r="A342" s="43" t="s">
        <v>1696</v>
      </c>
      <c r="B342" s="43" t="s">
        <v>1697</v>
      </c>
      <c r="C342" s="44" t="s">
        <v>1698</v>
      </c>
      <c r="D342" s="44" t="s">
        <v>1143</v>
      </c>
      <c r="E342" s="45" t="s">
        <v>1699</v>
      </c>
      <c r="F342" s="45" t="s">
        <v>1700</v>
      </c>
      <c r="G342" s="46" t="s">
        <v>38</v>
      </c>
      <c r="H342" s="48">
        <v>46108</v>
      </c>
      <c r="I342" s="48">
        <v>46126</v>
      </c>
      <c r="J342" s="44" t="s">
        <v>91</v>
      </c>
      <c r="K342" s="44" t="s">
        <v>116</v>
      </c>
      <c r="L342" s="50" t="s">
        <v>218</v>
      </c>
      <c r="M342" s="50"/>
      <c r="N342" s="50"/>
      <c r="O342" s="49"/>
      <c r="P342" s="50" t="str">
        <f t="shared" si="20"/>
        <v>KAEK</v>
      </c>
      <c r="R342" s="51" t="str">
        <f t="shared" si="21"/>
        <v/>
      </c>
      <c r="T342" s="41"/>
      <c r="U342" s="29">
        <f>IF($C342&lt;&gt;"",COUNTIF($C$2:C342,C342),"")</f>
        <v>1</v>
      </c>
      <c r="V342" s="29" t="str">
        <f t="shared" si="22"/>
        <v>Doç. Dr. Galip Gencay ÜSTÜN§1</v>
      </c>
      <c r="W342" s="29">
        <f>IF(U342=1,COUNTIF($U$2:U342,1),"")</f>
        <v>207</v>
      </c>
      <c r="X342" s="29">
        <f t="shared" si="23"/>
        <v>54</v>
      </c>
      <c r="Y342" s="29">
        <f>IF(AND(LEFT($B342,7)="SBA 26/",$D342&lt;&gt;"",$F342&lt;&gt;""),COUNTIFS($D$2:$D342,$D342,$B$2:$B342,"SBA 26/*",$F$2:$F342,"&lt;&gt;"),"")</f>
        <v>2</v>
      </c>
      <c r="Z342" s="29" t="str">
        <f>IF(Y342=1,COUNTIF($Y$2:Y342,1),"")</f>
        <v/>
      </c>
      <c r="AA342" s="29">
        <f>IF(AND(LEFT($B342,7)="SBA 26/",$C342&lt;&gt;"",$F342&lt;&gt;""),COUNTIFS($C$2:$C342,$C342,$B$2:$B342,"SBA 26/*",$F$2:$F342,"&lt;&gt;"),"")</f>
        <v>1</v>
      </c>
      <c r="AB342" s="29">
        <f>IF(AA342=1,COUNTIF($AA$2:AA342,1),"")</f>
        <v>207</v>
      </c>
    </row>
    <row r="343" spans="1:28" ht="63" customHeight="1" x14ac:dyDescent="0.2">
      <c r="A343" s="43" t="s">
        <v>1701</v>
      </c>
      <c r="B343" s="43" t="s">
        <v>1702</v>
      </c>
      <c r="C343" s="44" t="s">
        <v>1703</v>
      </c>
      <c r="D343" s="44" t="s">
        <v>662</v>
      </c>
      <c r="E343" s="45" t="s">
        <v>1704</v>
      </c>
      <c r="F343" s="45" t="s">
        <v>1705</v>
      </c>
      <c r="G343" s="46" t="s">
        <v>38</v>
      </c>
      <c r="H343" s="48">
        <v>46108</v>
      </c>
      <c r="I343" s="48">
        <v>46126</v>
      </c>
      <c r="J343" s="44" t="s">
        <v>116</v>
      </c>
      <c r="K343" s="44" t="s">
        <v>92</v>
      </c>
      <c r="L343" s="50" t="s">
        <v>77</v>
      </c>
      <c r="M343" s="50"/>
      <c r="N343" s="50"/>
      <c r="O343" s="49"/>
      <c r="P343" s="50" t="str">
        <f t="shared" si="20"/>
        <v>ONAY</v>
      </c>
      <c r="R343" s="51" t="str">
        <f t="shared" si="21"/>
        <v/>
      </c>
      <c r="T343" s="41"/>
      <c r="U343" s="29">
        <f>IF($C343&lt;&gt;"",COUNTIF($C$2:C343,C343),"")</f>
        <v>1</v>
      </c>
      <c r="V343" s="29" t="str">
        <f t="shared" si="22"/>
        <v>Dr. Öğr. Üyesi Evrim ÜNVER§1</v>
      </c>
      <c r="W343" s="29">
        <f>IF(U343=1,COUNTIF($U$2:U343,1),"")</f>
        <v>208</v>
      </c>
      <c r="X343" s="29">
        <f t="shared" si="23"/>
        <v>129</v>
      </c>
      <c r="Y343" s="29">
        <f>IF(AND(LEFT($B343,7)="SBA 26/",$D343&lt;&gt;"",$F343&lt;&gt;""),COUNTIFS($D$2:$D343,$D343,$B$2:$B343,"SBA 26/*",$F$2:$F343,"&lt;&gt;"),"")</f>
        <v>3</v>
      </c>
      <c r="Z343" s="29" t="str">
        <f>IF(Y343=1,COUNTIF($Y$2:Y343,1),"")</f>
        <v/>
      </c>
      <c r="AA343" s="29">
        <f>IF(AND(LEFT($B343,7)="SBA 26/",$C343&lt;&gt;"",$F343&lt;&gt;""),COUNTIFS($C$2:$C343,$C343,$B$2:$B343,"SBA 26/*",$F$2:$F343,"&lt;&gt;"),"")</f>
        <v>1</v>
      </c>
      <c r="AB343" s="29">
        <f>IF(AA343=1,COUNTIF($AA$2:AA343,1),"")</f>
        <v>208</v>
      </c>
    </row>
    <row r="344" spans="1:28" ht="96" customHeight="1" x14ac:dyDescent="0.2">
      <c r="A344" s="43" t="s">
        <v>1706</v>
      </c>
      <c r="B344" s="43" t="s">
        <v>1707</v>
      </c>
      <c r="C344" s="44" t="s">
        <v>1708</v>
      </c>
      <c r="D344" s="44" t="s">
        <v>113</v>
      </c>
      <c r="E344" s="45" t="s">
        <v>1709</v>
      </c>
      <c r="F344" s="45" t="s">
        <v>1710</v>
      </c>
      <c r="G344" s="46" t="s">
        <v>38</v>
      </c>
      <c r="H344" s="48">
        <v>46108</v>
      </c>
      <c r="I344" s="48">
        <v>46126</v>
      </c>
      <c r="J344" s="44" t="s">
        <v>91</v>
      </c>
      <c r="K344" s="44" t="s">
        <v>92</v>
      </c>
      <c r="L344" s="50" t="s">
        <v>101</v>
      </c>
      <c r="M344" s="50" t="s">
        <v>77</v>
      </c>
      <c r="N344" s="50"/>
      <c r="O344" s="49"/>
      <c r="P344" s="50" t="str">
        <f t="shared" si="20"/>
        <v>ONAY</v>
      </c>
      <c r="Q344" s="28" t="s">
        <v>92</v>
      </c>
      <c r="R344" s="51" t="str">
        <f t="shared" si="21"/>
        <v/>
      </c>
      <c r="T344" s="41"/>
      <c r="U344" s="29">
        <f>IF($C344&lt;&gt;"",COUNTIF($C$2:C344,C344),"")</f>
        <v>1</v>
      </c>
      <c r="V344" s="29" t="str">
        <f t="shared" si="22"/>
        <v>Doç. Dr. Cem ŞİMŞEK§1</v>
      </c>
      <c r="W344" s="29">
        <f>IF(U344=1,COUNTIF($U$2:U344,1),"")</f>
        <v>209</v>
      </c>
      <c r="X344" s="29">
        <f t="shared" si="23"/>
        <v>32</v>
      </c>
      <c r="Y344" s="29">
        <f>IF(AND(LEFT($B344,7)="SBA 26/",$D344&lt;&gt;"",$F344&lt;&gt;""),COUNTIFS($D$2:$D344,$D344,$B$2:$B344,"SBA 26/*",$F$2:$F344,"&lt;&gt;"),"")</f>
        <v>49</v>
      </c>
      <c r="Z344" s="29" t="str">
        <f>IF(Y344=1,COUNTIF($Y$2:Y344,1),"")</f>
        <v/>
      </c>
      <c r="AA344" s="29">
        <f>IF(AND(LEFT($B344,7)="SBA 26/",$C344&lt;&gt;"",$F344&lt;&gt;""),COUNTIFS($C$2:$C344,$C344,$B$2:$B344,"SBA 26/*",$F$2:$F344,"&lt;&gt;"),"")</f>
        <v>1</v>
      </c>
      <c r="AB344" s="29">
        <f>IF(AA344=1,COUNTIF($AA$2:AA344,1),"")</f>
        <v>209</v>
      </c>
    </row>
    <row r="345" spans="1:28" ht="63" customHeight="1" x14ac:dyDescent="0.2">
      <c r="A345" s="43" t="s">
        <v>1711</v>
      </c>
      <c r="B345" s="43" t="s">
        <v>1712</v>
      </c>
      <c r="C345" s="44" t="s">
        <v>1353</v>
      </c>
      <c r="D345" s="44" t="s">
        <v>113</v>
      </c>
      <c r="E345" s="45" t="s">
        <v>1713</v>
      </c>
      <c r="F345" s="45" t="s">
        <v>1714</v>
      </c>
      <c r="G345" s="46" t="s">
        <v>38</v>
      </c>
      <c r="H345" s="48">
        <v>46108</v>
      </c>
      <c r="I345" s="48">
        <v>46126</v>
      </c>
      <c r="J345" s="44" t="s">
        <v>84</v>
      </c>
      <c r="K345" s="44" t="s">
        <v>76</v>
      </c>
      <c r="L345" s="50" t="s">
        <v>77</v>
      </c>
      <c r="M345" s="50"/>
      <c r="N345" s="50"/>
      <c r="O345" s="49"/>
      <c r="P345" s="50" t="str">
        <f t="shared" si="20"/>
        <v>ONAY</v>
      </c>
      <c r="R345" s="51" t="str">
        <f t="shared" si="21"/>
        <v/>
      </c>
      <c r="T345" s="41"/>
      <c r="U345" s="29">
        <f>IF($C345&lt;&gt;"",COUNTIF($C$2:C345,C345),"")</f>
        <v>4</v>
      </c>
      <c r="V345" s="29" t="str">
        <f t="shared" si="22"/>
        <v>Prof. Dr. Burcu Balam DOĞU§4</v>
      </c>
      <c r="W345" s="29" t="str">
        <f>IF(U345=1,COUNTIF($U$2:U345,1),"")</f>
        <v/>
      </c>
      <c r="X345" s="29" t="str">
        <f t="shared" si="23"/>
        <v/>
      </c>
      <c r="Y345" s="29">
        <f>IF(AND(LEFT($B345,7)="SBA 26/",$D345&lt;&gt;"",$F345&lt;&gt;""),COUNTIFS($D$2:$D345,$D345,$B$2:$B345,"SBA 26/*",$F$2:$F345,"&lt;&gt;"),"")</f>
        <v>50</v>
      </c>
      <c r="Z345" s="29" t="str">
        <f>IF(Y345=1,COUNTIF($Y$2:Y345,1),"")</f>
        <v/>
      </c>
      <c r="AA345" s="29">
        <f>IF(AND(LEFT($B345,7)="SBA 26/",$C345&lt;&gt;"",$F345&lt;&gt;""),COUNTIFS($C$2:$C345,$C345,$B$2:$B345,"SBA 26/*",$F$2:$F345,"&lt;&gt;"),"")</f>
        <v>4</v>
      </c>
      <c r="AB345" s="29" t="str">
        <f>IF(AA345=1,COUNTIF($AA$2:AA345,1),"")</f>
        <v/>
      </c>
    </row>
    <row r="346" spans="1:28" ht="79.5" customHeight="1" x14ac:dyDescent="0.2">
      <c r="A346" s="43" t="s">
        <v>1715</v>
      </c>
      <c r="B346" s="43" t="s">
        <v>1716</v>
      </c>
      <c r="C346" s="44" t="s">
        <v>1693</v>
      </c>
      <c r="D346" s="44" t="s">
        <v>1493</v>
      </c>
      <c r="E346" s="45" t="s">
        <v>1717</v>
      </c>
      <c r="F346" s="45" t="s">
        <v>1718</v>
      </c>
      <c r="G346" s="46" t="s">
        <v>38</v>
      </c>
      <c r="H346" s="48">
        <v>46108</v>
      </c>
      <c r="I346" s="48">
        <v>46126</v>
      </c>
      <c r="J346" s="44" t="s">
        <v>116</v>
      </c>
      <c r="K346" s="44" t="s">
        <v>129</v>
      </c>
      <c r="L346" s="50" t="s">
        <v>77</v>
      </c>
      <c r="M346" s="50"/>
      <c r="N346" s="50"/>
      <c r="O346" s="49"/>
      <c r="P346" s="50" t="str">
        <f t="shared" si="20"/>
        <v>ONAY</v>
      </c>
      <c r="R346" s="51" t="str">
        <f t="shared" si="21"/>
        <v/>
      </c>
      <c r="T346" s="41"/>
      <c r="U346" s="29">
        <f>IF($C346&lt;&gt;"",COUNTIF($C$2:C346,C346),"")</f>
        <v>2</v>
      </c>
      <c r="V346" s="29" t="str">
        <f t="shared" si="22"/>
        <v>Dr. Öğr. Üyesi Ece ÖZOĞUL§2</v>
      </c>
      <c r="W346" s="29" t="str">
        <f>IF(U346=1,COUNTIF($U$2:U346,1),"")</f>
        <v/>
      </c>
      <c r="X346" s="29" t="str">
        <f t="shared" si="23"/>
        <v/>
      </c>
      <c r="Y346" s="29">
        <f>IF(AND(LEFT($B346,7)="SBA 26/",$D346&lt;&gt;"",$F346&lt;&gt;""),COUNTIFS($D$2:$D346,$D346,$B$2:$B346,"SBA 26/*",$F$2:$F346,"&lt;&gt;"),"")</f>
        <v>3</v>
      </c>
      <c r="Z346" s="29" t="str">
        <f>IF(Y346=1,COUNTIF($Y$2:Y346,1),"")</f>
        <v/>
      </c>
      <c r="AA346" s="29">
        <f>IF(AND(LEFT($B346,7)="SBA 26/",$C346&lt;&gt;"",$F346&lt;&gt;""),COUNTIFS($C$2:$C346,$C346,$B$2:$B346,"SBA 26/*",$F$2:$F346,"&lt;&gt;"),"")</f>
        <v>2</v>
      </c>
      <c r="AB346" s="29" t="str">
        <f>IF(AA346=1,COUNTIF($AA$2:AA346,1),"")</f>
        <v/>
      </c>
    </row>
    <row r="347" spans="1:28" ht="110.25" customHeight="1" x14ac:dyDescent="0.2">
      <c r="A347" s="43" t="s">
        <v>1719</v>
      </c>
      <c r="B347" s="43" t="s">
        <v>1720</v>
      </c>
      <c r="C347" s="44" t="s">
        <v>175</v>
      </c>
      <c r="D347" s="44" t="s">
        <v>169</v>
      </c>
      <c r="E347" s="45" t="s">
        <v>1721</v>
      </c>
      <c r="F347" s="45" t="s">
        <v>1722</v>
      </c>
      <c r="G347" s="46" t="s">
        <v>38</v>
      </c>
      <c r="H347" s="48">
        <v>46112</v>
      </c>
      <c r="I347" s="48">
        <v>46126</v>
      </c>
      <c r="J347" s="44" t="s">
        <v>91</v>
      </c>
      <c r="K347" s="44" t="s">
        <v>99</v>
      </c>
      <c r="L347" s="50" t="s">
        <v>101</v>
      </c>
      <c r="M347" s="50"/>
      <c r="N347" s="50"/>
      <c r="O347" s="49"/>
      <c r="P347" s="50" t="str">
        <f t="shared" si="20"/>
        <v>DÜZELTME</v>
      </c>
      <c r="R347" s="51" t="str">
        <f t="shared" si="21"/>
        <v/>
      </c>
      <c r="T347" s="41"/>
      <c r="U347" s="29">
        <f>IF($C347&lt;&gt;"",COUNTIF($C$2:C347,C347),"")</f>
        <v>4</v>
      </c>
      <c r="V347" s="29" t="str">
        <f t="shared" si="22"/>
        <v>Prof. Dr. Gül KARAKAYA§4</v>
      </c>
      <c r="W347" s="29" t="str">
        <f>IF(U347=1,COUNTIF($U$2:U347,1),"")</f>
        <v/>
      </c>
      <c r="X347" s="29" t="str">
        <f t="shared" si="23"/>
        <v/>
      </c>
      <c r="Y347" s="29">
        <f>IF(AND(LEFT($B347,7)="SBA 26/",$D347&lt;&gt;"",$F347&lt;&gt;""),COUNTIFS($D$2:$D347,$D347,$B$2:$B347,"SBA 26/*",$F$2:$F347,"&lt;&gt;"),"")</f>
        <v>13</v>
      </c>
      <c r="Z347" s="29" t="str">
        <f>IF(Y347=1,COUNTIF($Y$2:Y347,1),"")</f>
        <v/>
      </c>
      <c r="AA347" s="29">
        <f>IF(AND(LEFT($B347,7)="SBA 26/",$C347&lt;&gt;"",$F347&lt;&gt;""),COUNTIFS($C$2:$C347,$C347,$B$2:$B347,"SBA 26/*",$F$2:$F347,"&lt;&gt;"),"")</f>
        <v>4</v>
      </c>
      <c r="AB347" s="29" t="str">
        <f>IF(AA347=1,COUNTIF($AA$2:AA347,1),"")</f>
        <v/>
      </c>
    </row>
    <row r="348" spans="1:28" ht="111.75" customHeight="1" x14ac:dyDescent="0.2">
      <c r="A348" s="43" t="s">
        <v>1723</v>
      </c>
      <c r="B348" s="43" t="s">
        <v>1724</v>
      </c>
      <c r="C348" s="44" t="s">
        <v>1106</v>
      </c>
      <c r="D348" s="44" t="s">
        <v>966</v>
      </c>
      <c r="E348" s="45" t="s">
        <v>1725</v>
      </c>
      <c r="F348" s="45" t="s">
        <v>1726</v>
      </c>
      <c r="G348" s="46" t="s">
        <v>38</v>
      </c>
      <c r="H348" s="48">
        <v>46112</v>
      </c>
      <c r="I348" s="48">
        <v>46126</v>
      </c>
      <c r="J348" s="44" t="s">
        <v>109</v>
      </c>
      <c r="K348" s="44" t="s">
        <v>84</v>
      </c>
      <c r="L348" s="50" t="s">
        <v>172</v>
      </c>
      <c r="M348" s="50"/>
      <c r="N348" s="50"/>
      <c r="O348" s="49"/>
      <c r="P348" s="50" t="str">
        <f t="shared" si="20"/>
        <v>RET</v>
      </c>
      <c r="R348" s="51" t="str">
        <f t="shared" si="21"/>
        <v/>
      </c>
      <c r="T348" s="41"/>
      <c r="U348" s="29">
        <f>IF($C348&lt;&gt;"",COUNTIF($C$2:C348,C348),"")</f>
        <v>4</v>
      </c>
      <c r="V348" s="29" t="str">
        <f t="shared" si="22"/>
        <v>Doç. Dr. Duygu AYHAN BAŞER§4</v>
      </c>
      <c r="W348" s="29" t="str">
        <f>IF(U348=1,COUNTIF($U$2:U348,1),"")</f>
        <v/>
      </c>
      <c r="X348" s="29" t="str">
        <f t="shared" si="23"/>
        <v/>
      </c>
      <c r="Y348" s="29">
        <f>IF(AND(LEFT($B348,7)="SBA 26/",$D348&lt;&gt;"",$F348&lt;&gt;""),COUNTIFS($D$2:$D348,$D348,$B$2:$B348,"SBA 26/*",$F$2:$F348,"&lt;&gt;"),"")</f>
        <v>6</v>
      </c>
      <c r="Z348" s="29" t="str">
        <f>IF(Y348=1,COUNTIF($Y$2:Y348,1),"")</f>
        <v/>
      </c>
      <c r="AA348" s="29">
        <f>IF(AND(LEFT($B348,7)="SBA 26/",$C348&lt;&gt;"",$F348&lt;&gt;""),COUNTIFS($C$2:$C348,$C348,$B$2:$B348,"SBA 26/*",$F$2:$F348,"&lt;&gt;"),"")</f>
        <v>4</v>
      </c>
      <c r="AB348" s="29" t="str">
        <f>IF(AA348=1,COUNTIF($AA$2:AA348,1),"")</f>
        <v/>
      </c>
    </row>
    <row r="349" spans="1:28" ht="63" customHeight="1" x14ac:dyDescent="0.2">
      <c r="A349" s="43" t="s">
        <v>1727</v>
      </c>
      <c r="B349" s="43" t="s">
        <v>1728</v>
      </c>
      <c r="C349" s="44" t="s">
        <v>112</v>
      </c>
      <c r="D349" s="44" t="s">
        <v>113</v>
      </c>
      <c r="E349" s="45" t="s">
        <v>1729</v>
      </c>
      <c r="F349" s="45" t="s">
        <v>1730</v>
      </c>
      <c r="G349" s="46" t="s">
        <v>38</v>
      </c>
      <c r="H349" s="48">
        <v>46112</v>
      </c>
      <c r="I349" s="48">
        <v>46126</v>
      </c>
      <c r="J349" s="44" t="s">
        <v>75</v>
      </c>
      <c r="K349" s="44" t="s">
        <v>116</v>
      </c>
      <c r="L349" s="50" t="s">
        <v>101</v>
      </c>
      <c r="M349" s="50" t="s">
        <v>77</v>
      </c>
      <c r="N349" s="50"/>
      <c r="O349" s="49"/>
      <c r="P349" s="50" t="str">
        <f t="shared" si="20"/>
        <v>ONAY</v>
      </c>
      <c r="Q349" s="28" t="s">
        <v>75</v>
      </c>
      <c r="R349" s="51" t="str">
        <f t="shared" si="21"/>
        <v/>
      </c>
      <c r="T349" s="41"/>
      <c r="U349" s="29">
        <f>IF($C349&lt;&gt;"",COUNTIF($C$2:C349,C349),"")</f>
        <v>11</v>
      </c>
      <c r="V349" s="29" t="str">
        <f t="shared" si="22"/>
        <v>Prof. Dr. Meltem Gülhan HALİL§11</v>
      </c>
      <c r="W349" s="29" t="str">
        <f>IF(U349=1,COUNTIF($U$2:U349,1),"")</f>
        <v/>
      </c>
      <c r="X349" s="29" t="str">
        <f t="shared" si="23"/>
        <v/>
      </c>
      <c r="Y349" s="29">
        <f>IF(AND(LEFT($B349,7)="SBA 26/",$D349&lt;&gt;"",$F349&lt;&gt;""),COUNTIFS($D$2:$D349,$D349,$B$2:$B349,"SBA 26/*",$F$2:$F349,"&lt;&gt;"),"")</f>
        <v>51</v>
      </c>
      <c r="Z349" s="29" t="str">
        <f>IF(Y349=1,COUNTIF($Y$2:Y349,1),"")</f>
        <v/>
      </c>
      <c r="AA349" s="29">
        <f>IF(AND(LEFT($B349,7)="SBA 26/",$C349&lt;&gt;"",$F349&lt;&gt;""),COUNTIFS($C$2:$C349,$C349,$B$2:$B349,"SBA 26/*",$F$2:$F349,"&lt;&gt;"),"")</f>
        <v>11</v>
      </c>
      <c r="AB349" s="29" t="str">
        <f>IF(AA349=1,COUNTIF($AA$2:AA349,1),"")</f>
        <v/>
      </c>
    </row>
    <row r="350" spans="1:28" ht="79.5" customHeight="1" x14ac:dyDescent="0.2">
      <c r="A350" s="43" t="s">
        <v>1731</v>
      </c>
      <c r="B350" s="43" t="s">
        <v>1732</v>
      </c>
      <c r="C350" s="44" t="s">
        <v>1733</v>
      </c>
      <c r="D350" s="44" t="s">
        <v>193</v>
      </c>
      <c r="E350" s="45" t="s">
        <v>1734</v>
      </c>
      <c r="F350" s="45" t="s">
        <v>1735</v>
      </c>
      <c r="G350" s="46" t="s">
        <v>38</v>
      </c>
      <c r="H350" s="48">
        <v>46112</v>
      </c>
      <c r="I350" s="48">
        <v>46126</v>
      </c>
      <c r="J350" s="44" t="s">
        <v>123</v>
      </c>
      <c r="K350" s="44" t="s">
        <v>92</v>
      </c>
      <c r="L350" s="50" t="s">
        <v>77</v>
      </c>
      <c r="M350" s="50"/>
      <c r="N350" s="50"/>
      <c r="O350" s="49"/>
      <c r="P350" s="50" t="str">
        <f t="shared" si="20"/>
        <v>ONAY</v>
      </c>
      <c r="R350" s="51" t="str">
        <f t="shared" si="21"/>
        <v/>
      </c>
      <c r="T350" s="41"/>
      <c r="U350" s="29">
        <f>IF($C350&lt;&gt;"",COUNTIF($C$2:C350,C350),"")</f>
        <v>1</v>
      </c>
      <c r="V350" s="29" t="str">
        <f t="shared" si="22"/>
        <v>Doç. Dr. Özlem DİKMETAŞ SANDIKÇI§1</v>
      </c>
      <c r="W350" s="29">
        <f>IF(U350=1,COUNTIF($U$2:U350,1),"")</f>
        <v>210</v>
      </c>
      <c r="X350" s="29">
        <f t="shared" si="23"/>
        <v>90</v>
      </c>
      <c r="Y350" s="29">
        <f>IF(AND(LEFT($B350,7)="SBA 26/",$D350&lt;&gt;"",$F350&lt;&gt;""),COUNTIFS($D$2:$D350,$D350,$B$2:$B350,"SBA 26/*",$F$2:$F350,"&lt;&gt;"),"")</f>
        <v>8</v>
      </c>
      <c r="Z350" s="29" t="str">
        <f>IF(Y350=1,COUNTIF($Y$2:Y350,1),"")</f>
        <v/>
      </c>
      <c r="AA350" s="29">
        <f>IF(AND(LEFT($B350,7)="SBA 26/",$C350&lt;&gt;"",$F350&lt;&gt;""),COUNTIFS($C$2:$C350,$C350,$B$2:$B350,"SBA 26/*",$F$2:$F350,"&lt;&gt;"),"")</f>
        <v>1</v>
      </c>
      <c r="AB350" s="29">
        <f>IF(AA350=1,COUNTIF($AA$2:AA350,1),"")</f>
        <v>210</v>
      </c>
    </row>
    <row r="351" spans="1:28" ht="63" customHeight="1" x14ac:dyDescent="0.2">
      <c r="A351" s="43" t="s">
        <v>1736</v>
      </c>
      <c r="B351" s="43" t="s">
        <v>1737</v>
      </c>
      <c r="C351" s="44" t="s">
        <v>533</v>
      </c>
      <c r="D351" s="44" t="s">
        <v>113</v>
      </c>
      <c r="E351" s="45" t="s">
        <v>1738</v>
      </c>
      <c r="F351" s="45" t="s">
        <v>1739</v>
      </c>
      <c r="G351" s="46" t="s">
        <v>38</v>
      </c>
      <c r="H351" s="48">
        <v>46112</v>
      </c>
      <c r="I351" s="48">
        <v>46126</v>
      </c>
      <c r="J351" s="44" t="s">
        <v>76</v>
      </c>
      <c r="K351" s="44" t="s">
        <v>109</v>
      </c>
      <c r="L351" s="50" t="s">
        <v>77</v>
      </c>
      <c r="M351" s="50"/>
      <c r="N351" s="50"/>
      <c r="O351" s="49"/>
      <c r="P351" s="50" t="str">
        <f t="shared" si="20"/>
        <v>ONAY</v>
      </c>
      <c r="R351" s="51" t="str">
        <f t="shared" si="21"/>
        <v/>
      </c>
      <c r="T351" s="41"/>
      <c r="U351" s="29">
        <f>IF($C351&lt;&gt;"",COUNTIF($C$2:C351,C351),"")</f>
        <v>2</v>
      </c>
      <c r="V351" s="29" t="str">
        <f t="shared" si="22"/>
        <v>Prof. Dr. Salih AKSU§2</v>
      </c>
      <c r="W351" s="29" t="str">
        <f>IF(U351=1,COUNTIF($U$2:U351,1),"")</f>
        <v/>
      </c>
      <c r="X351" s="29" t="str">
        <f t="shared" si="23"/>
        <v/>
      </c>
      <c r="Y351" s="29">
        <f>IF(AND(LEFT($B351,7)="SBA 26/",$D351&lt;&gt;"",$F351&lt;&gt;""),COUNTIFS($D$2:$D351,$D351,$B$2:$B351,"SBA 26/*",$F$2:$F351,"&lt;&gt;"),"")</f>
        <v>52</v>
      </c>
      <c r="Z351" s="29" t="str">
        <f>IF(Y351=1,COUNTIF($Y$2:Y351,1),"")</f>
        <v/>
      </c>
      <c r="AA351" s="29">
        <f>IF(AND(LEFT($B351,7)="SBA 26/",$C351&lt;&gt;"",$F351&lt;&gt;""),COUNTIFS($C$2:$C351,$C351,$B$2:$B351,"SBA 26/*",$F$2:$F351,"&lt;&gt;"),"")</f>
        <v>2</v>
      </c>
      <c r="AB351" s="29" t="str">
        <f>IF(AA351=1,COUNTIF($AA$2:AA351,1),"")</f>
        <v/>
      </c>
    </row>
    <row r="352" spans="1:28" ht="63" customHeight="1" x14ac:dyDescent="0.2">
      <c r="A352" s="43" t="s">
        <v>1740</v>
      </c>
      <c r="B352" s="43" t="s">
        <v>1741</v>
      </c>
      <c r="C352" s="44" t="s">
        <v>734</v>
      </c>
      <c r="D352" s="44" t="s">
        <v>222</v>
      </c>
      <c r="E352" s="45" t="s">
        <v>1742</v>
      </c>
      <c r="F352" s="45" t="s">
        <v>1743</v>
      </c>
      <c r="G352" s="46" t="s">
        <v>38</v>
      </c>
      <c r="H352" s="48">
        <v>46112</v>
      </c>
      <c r="I352" s="48">
        <v>46126</v>
      </c>
      <c r="J352" s="44" t="s">
        <v>100</v>
      </c>
      <c r="K352" s="44" t="s">
        <v>123</v>
      </c>
      <c r="L352" s="50" t="s">
        <v>101</v>
      </c>
      <c r="M352" s="50" t="s">
        <v>77</v>
      </c>
      <c r="N352" s="50"/>
      <c r="O352" s="49"/>
      <c r="P352" s="50" t="str">
        <f t="shared" si="20"/>
        <v>ONAY</v>
      </c>
      <c r="Q352" s="28" t="s">
        <v>100</v>
      </c>
      <c r="R352" s="51" t="str">
        <f t="shared" si="21"/>
        <v/>
      </c>
      <c r="T352" s="41"/>
      <c r="U352" s="29">
        <f>IF($C352&lt;&gt;"",COUNTIF($C$2:C352,C352),"")</f>
        <v>2</v>
      </c>
      <c r="V352" s="29" t="str">
        <f t="shared" si="22"/>
        <v>Dr. Öğr. Üyesi Ayşe METE YEŞİL§2</v>
      </c>
      <c r="W352" s="29" t="str">
        <f>IF(U352=1,COUNTIF($U$2:U352,1),"")</f>
        <v/>
      </c>
      <c r="X352" s="29" t="str">
        <f t="shared" si="23"/>
        <v/>
      </c>
      <c r="Y352" s="29">
        <f>IF(AND(LEFT($B352,7)="SBA 26/",$D352&lt;&gt;"",$F352&lt;&gt;""),COUNTIFS($D$2:$D352,$D352,$B$2:$B352,"SBA 26/*",$F$2:$F352,"&lt;&gt;"),"")</f>
        <v>48</v>
      </c>
      <c r="Z352" s="29" t="str">
        <f>IF(Y352=1,COUNTIF($Y$2:Y352,1),"")</f>
        <v/>
      </c>
      <c r="AA352" s="29">
        <f>IF(AND(LEFT($B352,7)="SBA 26/",$C352&lt;&gt;"",$F352&lt;&gt;""),COUNTIFS($C$2:$C352,$C352,$B$2:$B352,"SBA 26/*",$F$2:$F352,"&lt;&gt;"),"")</f>
        <v>2</v>
      </c>
      <c r="AB352" s="29" t="str">
        <f>IF(AA352=1,COUNTIF($AA$2:AA352,1),"")</f>
        <v/>
      </c>
    </row>
    <row r="353" spans="1:28" ht="141.75" customHeight="1" x14ac:dyDescent="0.2">
      <c r="A353" s="43" t="s">
        <v>1744</v>
      </c>
      <c r="B353" s="43" t="s">
        <v>1745</v>
      </c>
      <c r="C353" s="44" t="s">
        <v>379</v>
      </c>
      <c r="D353" s="44" t="s">
        <v>222</v>
      </c>
      <c r="E353" s="45" t="s">
        <v>1746</v>
      </c>
      <c r="F353" s="45" t="s">
        <v>1747</v>
      </c>
      <c r="G353" s="46" t="s">
        <v>38</v>
      </c>
      <c r="H353" s="48">
        <v>46112</v>
      </c>
      <c r="I353" s="48">
        <v>46126</v>
      </c>
      <c r="J353" s="44" t="s">
        <v>75</v>
      </c>
      <c r="K353" s="44" t="s">
        <v>123</v>
      </c>
      <c r="L353" s="50" t="s">
        <v>101</v>
      </c>
      <c r="M353" s="50" t="s">
        <v>77</v>
      </c>
      <c r="N353" s="50"/>
      <c r="O353" s="49"/>
      <c r="P353" s="50" t="str">
        <f t="shared" si="20"/>
        <v>ONAY</v>
      </c>
      <c r="Q353" s="28" t="s">
        <v>75</v>
      </c>
      <c r="R353" s="51" t="str">
        <f t="shared" si="21"/>
        <v/>
      </c>
      <c r="T353" s="41"/>
      <c r="U353" s="29">
        <f>IF($C353&lt;&gt;"",COUNTIF($C$2:C353,C353),"")</f>
        <v>4</v>
      </c>
      <c r="V353" s="29" t="str">
        <f t="shared" si="22"/>
        <v>Prof. Dr. Deniz ÇAĞDAŞ AYVAZ§4</v>
      </c>
      <c r="W353" s="29" t="str">
        <f>IF(U353=1,COUNTIF($U$2:U353,1),"")</f>
        <v/>
      </c>
      <c r="X353" s="29" t="str">
        <f t="shared" si="23"/>
        <v/>
      </c>
      <c r="Y353" s="29">
        <f>IF(AND(LEFT($B353,7)="SBA 26/",$D353&lt;&gt;"",$F353&lt;&gt;""),COUNTIFS($D$2:$D353,$D353,$B$2:$B353,"SBA 26/*",$F$2:$F353,"&lt;&gt;"),"")</f>
        <v>49</v>
      </c>
      <c r="Z353" s="29" t="str">
        <f>IF(Y353=1,COUNTIF($Y$2:Y353,1),"")</f>
        <v/>
      </c>
      <c r="AA353" s="29">
        <f>IF(AND(LEFT($B353,7)="SBA 26/",$C353&lt;&gt;"",$F353&lt;&gt;""),COUNTIFS($C$2:$C353,$C353,$B$2:$B353,"SBA 26/*",$F$2:$F353,"&lt;&gt;"),"")</f>
        <v>4</v>
      </c>
      <c r="AB353" s="29" t="str">
        <f>IF(AA353=1,COUNTIF($AA$2:AA353,1),"")</f>
        <v/>
      </c>
    </row>
    <row r="354" spans="1:28" ht="63" customHeight="1" x14ac:dyDescent="0.2">
      <c r="A354" s="43" t="s">
        <v>1748</v>
      </c>
      <c r="B354" s="43" t="s">
        <v>1749</v>
      </c>
      <c r="C354" s="44" t="s">
        <v>1585</v>
      </c>
      <c r="D354" s="44" t="s">
        <v>113</v>
      </c>
      <c r="E354" s="45" t="s">
        <v>1621</v>
      </c>
      <c r="F354" s="45" t="s">
        <v>1750</v>
      </c>
      <c r="G354" s="46" t="s">
        <v>38</v>
      </c>
      <c r="H354" s="48">
        <v>46118</v>
      </c>
      <c r="I354" s="48">
        <v>46140</v>
      </c>
      <c r="J354" s="44" t="s">
        <v>116</v>
      </c>
      <c r="K354" s="44" t="s">
        <v>84</v>
      </c>
      <c r="L354" s="50" t="s">
        <v>77</v>
      </c>
      <c r="M354" s="50"/>
      <c r="N354" s="50"/>
      <c r="O354" s="49"/>
      <c r="P354" s="50" t="str">
        <f t="shared" si="20"/>
        <v>ONAY</v>
      </c>
      <c r="R354" s="51" t="str">
        <f t="shared" si="21"/>
        <v/>
      </c>
      <c r="T354" s="41"/>
      <c r="U354" s="29">
        <f>IF($C354&lt;&gt;"",COUNTIF($C$2:C354,C354),"")</f>
        <v>3</v>
      </c>
      <c r="V354" s="29" t="str">
        <f t="shared" si="22"/>
        <v>Doç. Dr. Cafer BALCI§3</v>
      </c>
      <c r="W354" s="29" t="str">
        <f>IF(U354=1,COUNTIF($U$2:U354,1),"")</f>
        <v/>
      </c>
      <c r="X354" s="29" t="str">
        <f t="shared" si="23"/>
        <v/>
      </c>
      <c r="Y354" s="29">
        <f>IF(AND(LEFT($B354,7)="SBA 26/",$D354&lt;&gt;"",$F354&lt;&gt;""),COUNTIFS($D$2:$D354,$D354,$B$2:$B354,"SBA 26/*",$F$2:$F354,"&lt;&gt;"),"")</f>
        <v>53</v>
      </c>
      <c r="Z354" s="29" t="str">
        <f>IF(Y354=1,COUNTIF($Y$2:Y354,1),"")</f>
        <v/>
      </c>
      <c r="AA354" s="29">
        <f>IF(AND(LEFT($B354,7)="SBA 26/",$C354&lt;&gt;"",$F354&lt;&gt;""),COUNTIFS($C$2:$C354,$C354,$B$2:$B354,"SBA 26/*",$F$2:$F354,"&lt;&gt;"),"")</f>
        <v>3</v>
      </c>
      <c r="AB354" s="29" t="str">
        <f>IF(AA354=1,COUNTIF($AA$2:AA354,1),"")</f>
        <v/>
      </c>
    </row>
    <row r="355" spans="1:28" ht="94.5" customHeight="1" x14ac:dyDescent="0.2">
      <c r="A355" s="43" t="s">
        <v>1751</v>
      </c>
      <c r="B355" s="43" t="s">
        <v>1752</v>
      </c>
      <c r="C355" s="44" t="s">
        <v>1106</v>
      </c>
      <c r="D355" s="44" t="s">
        <v>966</v>
      </c>
      <c r="E355" s="45" t="s">
        <v>1753</v>
      </c>
      <c r="F355" s="45" t="s">
        <v>1754</v>
      </c>
      <c r="G355" s="46" t="s">
        <v>38</v>
      </c>
      <c r="H355" s="48">
        <v>46118</v>
      </c>
      <c r="I355" s="48">
        <v>46140</v>
      </c>
      <c r="J355" s="44" t="s">
        <v>109</v>
      </c>
      <c r="K355" s="44" t="s">
        <v>123</v>
      </c>
      <c r="L355" s="50" t="s">
        <v>172</v>
      </c>
      <c r="M355" s="50"/>
      <c r="N355" s="50"/>
      <c r="O355" s="49"/>
      <c r="P355" s="50" t="str">
        <f t="shared" si="20"/>
        <v>RET</v>
      </c>
      <c r="R355" s="51" t="str">
        <f t="shared" si="21"/>
        <v/>
      </c>
      <c r="T355" s="41"/>
      <c r="U355" s="29">
        <f>IF($C355&lt;&gt;"",COUNTIF($C$2:C355,C355),"")</f>
        <v>5</v>
      </c>
      <c r="V355" s="29" t="str">
        <f t="shared" si="22"/>
        <v>Doç. Dr. Duygu AYHAN BAŞER§5</v>
      </c>
      <c r="W355" s="29" t="str">
        <f>IF(U355=1,COUNTIF($U$2:U355,1),"")</f>
        <v/>
      </c>
      <c r="X355" s="29" t="str">
        <f t="shared" si="23"/>
        <v/>
      </c>
      <c r="Y355" s="29">
        <f>IF(AND(LEFT($B355,7)="SBA 26/",$D355&lt;&gt;"",$F355&lt;&gt;""),COUNTIFS($D$2:$D355,$D355,$B$2:$B355,"SBA 26/*",$F$2:$F355,"&lt;&gt;"),"")</f>
        <v>7</v>
      </c>
      <c r="Z355" s="29" t="str">
        <f>IF(Y355=1,COUNTIF($Y$2:Y355,1),"")</f>
        <v/>
      </c>
      <c r="AA355" s="29">
        <f>IF(AND(LEFT($B355,7)="SBA 26/",$C355&lt;&gt;"",$F355&lt;&gt;""),COUNTIFS($C$2:$C355,$C355,$B$2:$B355,"SBA 26/*",$F$2:$F355,"&lt;&gt;"),"")</f>
        <v>5</v>
      </c>
      <c r="AB355" s="29" t="str">
        <f>IF(AA355=1,COUNTIF($AA$2:AA355,1),"")</f>
        <v/>
      </c>
    </row>
    <row r="356" spans="1:28" ht="98.25" customHeight="1" x14ac:dyDescent="0.2">
      <c r="A356" s="43" t="s">
        <v>1755</v>
      </c>
      <c r="B356" s="43" t="s">
        <v>1756</v>
      </c>
      <c r="C356" s="44" t="s">
        <v>1757</v>
      </c>
      <c r="D356" s="44" t="s">
        <v>1143</v>
      </c>
      <c r="E356" s="45" t="s">
        <v>1758</v>
      </c>
      <c r="F356" s="45" t="s">
        <v>1759</v>
      </c>
      <c r="G356" s="46" t="s">
        <v>38</v>
      </c>
      <c r="H356" s="48">
        <v>46118</v>
      </c>
      <c r="I356" s="48">
        <v>46140</v>
      </c>
      <c r="J356" s="44" t="s">
        <v>91</v>
      </c>
      <c r="K356" s="44" t="s">
        <v>100</v>
      </c>
      <c r="L356" s="50" t="s">
        <v>77</v>
      </c>
      <c r="M356" s="50"/>
      <c r="N356" s="50"/>
      <c r="O356" s="49"/>
      <c r="P356" s="50" t="str">
        <f t="shared" si="20"/>
        <v>ONAY</v>
      </c>
      <c r="R356" s="51" t="str">
        <f t="shared" si="21"/>
        <v/>
      </c>
      <c r="T356" s="41"/>
      <c r="U356" s="29">
        <f>IF($C356&lt;&gt;"",COUNTIF($C$2:C356,C356),"")</f>
        <v>1</v>
      </c>
      <c r="V356" s="29" t="str">
        <f t="shared" si="22"/>
        <v>Prof. Dr. Hakan UZUN§1</v>
      </c>
      <c r="W356" s="29">
        <f>IF(U356=1,COUNTIF($U$2:U356,1),"")</f>
        <v>211</v>
      </c>
      <c r="X356" s="29">
        <f t="shared" si="23"/>
        <v>238</v>
      </c>
      <c r="Y356" s="29">
        <f>IF(AND(LEFT($B356,7)="SBA 26/",$D356&lt;&gt;"",$F356&lt;&gt;""),COUNTIFS($D$2:$D356,$D356,$B$2:$B356,"SBA 26/*",$F$2:$F356,"&lt;&gt;"),"")</f>
        <v>3</v>
      </c>
      <c r="Z356" s="29" t="str">
        <f>IF(Y356=1,COUNTIF($Y$2:Y356,1),"")</f>
        <v/>
      </c>
      <c r="AA356" s="29">
        <f>IF(AND(LEFT($B356,7)="SBA 26/",$C356&lt;&gt;"",$F356&lt;&gt;""),COUNTIFS($C$2:$C356,$C356,$B$2:$B356,"SBA 26/*",$F$2:$F356,"&lt;&gt;"),"")</f>
        <v>1</v>
      </c>
      <c r="AB356" s="29">
        <f>IF(AA356=1,COUNTIF($AA$2:AA356,1),"")</f>
        <v>211</v>
      </c>
    </row>
    <row r="357" spans="1:28" ht="78.75" customHeight="1" x14ac:dyDescent="0.2">
      <c r="A357" s="43" t="s">
        <v>1760</v>
      </c>
      <c r="B357" s="43" t="s">
        <v>1761</v>
      </c>
      <c r="C357" s="54" t="s">
        <v>1762</v>
      </c>
      <c r="D357" s="54" t="s">
        <v>819</v>
      </c>
      <c r="E357" s="45" t="s">
        <v>1763</v>
      </c>
      <c r="F357" s="45" t="s">
        <v>1764</v>
      </c>
      <c r="G357" s="46" t="s">
        <v>38</v>
      </c>
      <c r="H357" s="48">
        <v>46118</v>
      </c>
      <c r="I357" s="48">
        <v>46140</v>
      </c>
      <c r="J357" s="44" t="s">
        <v>100</v>
      </c>
      <c r="K357" s="44" t="s">
        <v>99</v>
      </c>
      <c r="L357" s="50" t="s">
        <v>101</v>
      </c>
      <c r="M357" s="50" t="s">
        <v>77</v>
      </c>
      <c r="N357" s="50"/>
      <c r="O357" s="49"/>
      <c r="P357" s="50" t="str">
        <f t="shared" si="20"/>
        <v>ONAY</v>
      </c>
      <c r="Q357" s="28" t="s">
        <v>100</v>
      </c>
      <c r="R357" s="51" t="str">
        <f t="shared" si="21"/>
        <v/>
      </c>
      <c r="T357" s="41"/>
      <c r="U357" s="29">
        <f>IF($C357&lt;&gt;"",COUNTIF($C$2:C357,C357),"")</f>
        <v>1</v>
      </c>
      <c r="V357" s="58" t="str">
        <f t="shared" si="22"/>
        <v>Prof. Dr. Gülten GÜVENÇ
Doç. Dr. Gölşah KÖK§1</v>
      </c>
      <c r="W357" s="29">
        <f>IF(U357=1,COUNTIF($U$2:U357,1),"")</f>
        <v>212</v>
      </c>
      <c r="X357" s="29">
        <f t="shared" si="23"/>
        <v>235</v>
      </c>
      <c r="Y357" s="29">
        <f>IF(AND(LEFT($B357,7)="SBA 26/",$D357&lt;&gt;"",$F357&lt;&gt;""),COUNTIFS($D$2:$D357,$D357,$B$2:$B357,"SBA 26/*",$F$2:$F357,"&lt;&gt;"),"")</f>
        <v>2</v>
      </c>
      <c r="Z357" s="29" t="str">
        <f>IF(Y357=1,COUNTIF($Y$2:Y357,1),"")</f>
        <v/>
      </c>
      <c r="AA357" s="29">
        <f>IF(AND(LEFT($B357,7)="SBA 26/",$C357&lt;&gt;"",$F357&lt;&gt;""),COUNTIFS($C$2:$C357,$C357,$B$2:$B357,"SBA 26/*",$F$2:$F357,"&lt;&gt;"),"")</f>
        <v>1</v>
      </c>
      <c r="AB357" s="29">
        <f>IF(AA357=1,COUNTIF($AA$2:AA357,1),"")</f>
        <v>212</v>
      </c>
    </row>
    <row r="358" spans="1:28" ht="78.75" customHeight="1" x14ac:dyDescent="0.2">
      <c r="A358" s="43" t="s">
        <v>1765</v>
      </c>
      <c r="B358" s="43" t="s">
        <v>1766</v>
      </c>
      <c r="C358" s="44" t="s">
        <v>1207</v>
      </c>
      <c r="D358" s="44" t="s">
        <v>222</v>
      </c>
      <c r="E358" s="45" t="s">
        <v>1767</v>
      </c>
      <c r="F358" s="45" t="s">
        <v>1768</v>
      </c>
      <c r="G358" s="46" t="s">
        <v>38</v>
      </c>
      <c r="H358" s="48">
        <v>46118</v>
      </c>
      <c r="I358" s="48">
        <v>46140</v>
      </c>
      <c r="J358" s="44" t="s">
        <v>116</v>
      </c>
      <c r="K358" s="44" t="s">
        <v>129</v>
      </c>
      <c r="L358" s="50" t="s">
        <v>77</v>
      </c>
      <c r="M358" s="50"/>
      <c r="N358" s="50"/>
      <c r="O358" s="49"/>
      <c r="P358" s="50" t="str">
        <f t="shared" si="20"/>
        <v>ONAY</v>
      </c>
      <c r="R358" s="51" t="str">
        <f t="shared" si="21"/>
        <v/>
      </c>
      <c r="T358" s="41"/>
      <c r="U358" s="29">
        <f>IF($C358&lt;&gt;"",COUNTIF($C$2:C358,C358),"")</f>
        <v>3</v>
      </c>
      <c r="V358" s="29" t="str">
        <f t="shared" si="22"/>
        <v>Prof. Dr. Özlem TEKŞAM§3</v>
      </c>
      <c r="W358" s="29" t="str">
        <f>IF(U358=1,COUNTIF($U$2:U358,1),"")</f>
        <v/>
      </c>
      <c r="X358" s="29" t="str">
        <f t="shared" si="23"/>
        <v/>
      </c>
      <c r="Y358" s="29">
        <f>IF(AND(LEFT($B358,7)="SBA 26/",$D358&lt;&gt;"",$F358&lt;&gt;""),COUNTIFS($D$2:$D358,$D358,$B$2:$B358,"SBA 26/*",$F$2:$F358,"&lt;&gt;"),"")</f>
        <v>50</v>
      </c>
      <c r="Z358" s="29" t="str">
        <f>IF(Y358=1,COUNTIF($Y$2:Y358,1),"")</f>
        <v/>
      </c>
      <c r="AA358" s="29">
        <f>IF(AND(LEFT($B358,7)="SBA 26/",$C358&lt;&gt;"",$F358&lt;&gt;""),COUNTIFS($C$2:$C358,$C358,$B$2:$B358,"SBA 26/*",$F$2:$F358,"&lt;&gt;"),"")</f>
        <v>3</v>
      </c>
      <c r="AB358" s="29" t="str">
        <f>IF(AA358=1,COUNTIF($AA$2:AA358,1),"")</f>
        <v/>
      </c>
    </row>
    <row r="359" spans="1:28" ht="63" customHeight="1" x14ac:dyDescent="0.2">
      <c r="A359" s="43" t="s">
        <v>1769</v>
      </c>
      <c r="B359" s="43" t="s">
        <v>1770</v>
      </c>
      <c r="C359" s="44" t="s">
        <v>384</v>
      </c>
      <c r="D359" s="44" t="s">
        <v>385</v>
      </c>
      <c r="E359" s="45" t="s">
        <v>1771</v>
      </c>
      <c r="F359" s="45" t="s">
        <v>1772</v>
      </c>
      <c r="G359" s="46" t="s">
        <v>38</v>
      </c>
      <c r="H359" s="48">
        <v>46118</v>
      </c>
      <c r="I359" s="48">
        <v>46140</v>
      </c>
      <c r="J359" s="44" t="s">
        <v>75</v>
      </c>
      <c r="K359" s="44" t="s">
        <v>123</v>
      </c>
      <c r="L359" s="50" t="s">
        <v>101</v>
      </c>
      <c r="M359" s="50" t="s">
        <v>77</v>
      </c>
      <c r="N359" s="50"/>
      <c r="O359" s="49"/>
      <c r="P359" s="50" t="str">
        <f t="shared" si="20"/>
        <v>ONAY</v>
      </c>
      <c r="R359" s="51" t="str">
        <f t="shared" si="21"/>
        <v/>
      </c>
      <c r="T359" s="41"/>
      <c r="U359" s="29">
        <f>IF($C359&lt;&gt;"",COUNTIF($C$2:C359,C359),"")</f>
        <v>4</v>
      </c>
      <c r="V359" s="29" t="str">
        <f t="shared" si="22"/>
        <v>Prof. Dr. Tutku SOYER§4</v>
      </c>
      <c r="W359" s="29" t="str">
        <f>IF(U359=1,COUNTIF($U$2:U359,1),"")</f>
        <v/>
      </c>
      <c r="X359" s="29" t="str">
        <f t="shared" si="23"/>
        <v/>
      </c>
      <c r="Y359" s="29">
        <f>IF(AND(LEFT($B359,7)="SBA 26/",$D359&lt;&gt;"",$F359&lt;&gt;""),COUNTIFS($D$2:$D359,$D359,$B$2:$B359,"SBA 26/*",$F$2:$F359,"&lt;&gt;"),"")</f>
        <v>7</v>
      </c>
      <c r="Z359" s="29" t="str">
        <f>IF(Y359=1,COUNTIF($Y$2:Y359,1),"")</f>
        <v/>
      </c>
      <c r="AA359" s="29">
        <f>IF(AND(LEFT($B359,7)="SBA 26/",$C359&lt;&gt;"",$F359&lt;&gt;""),COUNTIFS($C$2:$C359,$C359,$B$2:$B359,"SBA 26/*",$F$2:$F359,"&lt;&gt;"),"")</f>
        <v>4</v>
      </c>
      <c r="AB359" s="29" t="str">
        <f>IF(AA359=1,COUNTIF($AA$2:AA359,1),"")</f>
        <v/>
      </c>
    </row>
    <row r="360" spans="1:28" ht="63" customHeight="1" x14ac:dyDescent="0.2">
      <c r="A360" s="43" t="s">
        <v>1773</v>
      </c>
      <c r="B360" s="43" t="s">
        <v>1774</v>
      </c>
      <c r="C360" s="44" t="s">
        <v>209</v>
      </c>
      <c r="D360" s="44" t="s">
        <v>133</v>
      </c>
      <c r="E360" s="45" t="s">
        <v>1775</v>
      </c>
      <c r="F360" s="45" t="s">
        <v>1776</v>
      </c>
      <c r="G360" s="46" t="s">
        <v>39</v>
      </c>
      <c r="H360" s="48">
        <v>46118</v>
      </c>
      <c r="I360" s="48">
        <v>46140</v>
      </c>
      <c r="J360" s="44" t="s">
        <v>108</v>
      </c>
      <c r="K360" s="44" t="s">
        <v>92</v>
      </c>
      <c r="L360" s="50" t="s">
        <v>101</v>
      </c>
      <c r="M360" s="50" t="s">
        <v>77</v>
      </c>
      <c r="N360" s="50"/>
      <c r="O360" s="49"/>
      <c r="P360" s="50" t="str">
        <f t="shared" si="20"/>
        <v>ONAY</v>
      </c>
      <c r="Q360" s="28" t="s">
        <v>108</v>
      </c>
      <c r="R360" s="51" t="str">
        <f t="shared" si="21"/>
        <v/>
      </c>
      <c r="T360" s="41"/>
      <c r="U360" s="29">
        <f>IF($C360&lt;&gt;"",COUNTIF($C$2:C360,C360),"")</f>
        <v>3</v>
      </c>
      <c r="V360" s="29" t="str">
        <f t="shared" si="22"/>
        <v>Doç. Dr. Dilek ÜNAL§3</v>
      </c>
      <c r="W360" s="29" t="str">
        <f>IF(U360=1,COUNTIF($U$2:U360,1),"")</f>
        <v/>
      </c>
      <c r="X360" s="29" t="str">
        <f t="shared" si="23"/>
        <v/>
      </c>
      <c r="Y360" s="29">
        <f>IF(AND(LEFT($B360,7)="SBA 26/",$D360&lt;&gt;"",$F360&lt;&gt;""),COUNTIFS($D$2:$D360,$D360,$B$2:$B360,"SBA 26/*",$F$2:$F360,"&lt;&gt;"),"")</f>
        <v>9</v>
      </c>
      <c r="Z360" s="29" t="str">
        <f>IF(Y360=1,COUNTIF($Y$2:Y360,1),"")</f>
        <v/>
      </c>
      <c r="AA360" s="29">
        <f>IF(AND(LEFT($B360,7)="SBA 26/",$C360&lt;&gt;"",$F360&lt;&gt;""),COUNTIFS($C$2:$C360,$C360,$B$2:$B360,"SBA 26/*",$F$2:$F360,"&lt;&gt;"),"")</f>
        <v>3</v>
      </c>
      <c r="AB360" s="29" t="str">
        <f>IF(AA360=1,COUNTIF($AA$2:AA360,1),"")</f>
        <v/>
      </c>
    </row>
    <row r="361" spans="1:28" ht="78.75" customHeight="1" x14ac:dyDescent="0.2">
      <c r="A361" s="43" t="s">
        <v>1777</v>
      </c>
      <c r="B361" s="43" t="s">
        <v>1778</v>
      </c>
      <c r="C361" s="44" t="s">
        <v>548</v>
      </c>
      <c r="D361" s="44" t="s">
        <v>193</v>
      </c>
      <c r="E361" s="45" t="s">
        <v>1779</v>
      </c>
      <c r="F361" s="45" t="s">
        <v>1780</v>
      </c>
      <c r="G361" s="46" t="s">
        <v>38</v>
      </c>
      <c r="H361" s="48">
        <v>46118</v>
      </c>
      <c r="I361" s="48">
        <v>46140</v>
      </c>
      <c r="J361" s="44" t="s">
        <v>91</v>
      </c>
      <c r="K361" s="44" t="s">
        <v>99</v>
      </c>
      <c r="L361" s="50" t="s">
        <v>101</v>
      </c>
      <c r="M361" s="50" t="s">
        <v>77</v>
      </c>
      <c r="N361" s="50"/>
      <c r="O361" s="49"/>
      <c r="P361" s="50" t="str">
        <f t="shared" si="20"/>
        <v>ONAY</v>
      </c>
      <c r="Q361" s="28" t="s">
        <v>91</v>
      </c>
      <c r="R361" s="51" t="str">
        <f t="shared" si="21"/>
        <v/>
      </c>
      <c r="T361" s="41"/>
      <c r="U361" s="29">
        <f>IF($C361&lt;&gt;"",COUNTIF($C$2:C361,C361),"")</f>
        <v>4</v>
      </c>
      <c r="V361" s="29" t="str">
        <f t="shared" si="22"/>
        <v>Doç. Dr. İrem KOÇ§4</v>
      </c>
      <c r="W361" s="29" t="str">
        <f>IF(U361=1,COUNTIF($U$2:U361,1),"")</f>
        <v/>
      </c>
      <c r="X361" s="29" t="str">
        <f t="shared" si="23"/>
        <v/>
      </c>
      <c r="Y361" s="29">
        <f>IF(AND(LEFT($B361,7)="SBA 26/",$D361&lt;&gt;"",$F361&lt;&gt;""),COUNTIFS($D$2:$D361,$D361,$B$2:$B361,"SBA 26/*",$F$2:$F361,"&lt;&gt;"),"")</f>
        <v>9</v>
      </c>
      <c r="Z361" s="29" t="str">
        <f>IF(Y361=1,COUNTIF($Y$2:Y361,1),"")</f>
        <v/>
      </c>
      <c r="AA361" s="29">
        <f>IF(AND(LEFT($B361,7)="SBA 26/",$C361&lt;&gt;"",$F361&lt;&gt;""),COUNTIFS($C$2:$C361,$C361,$B$2:$B361,"SBA 26/*",$F$2:$F361,"&lt;&gt;"),"")</f>
        <v>4</v>
      </c>
      <c r="AB361" s="29" t="str">
        <f>IF(AA361=1,COUNTIF($AA$2:AA361,1),"")</f>
        <v/>
      </c>
    </row>
    <row r="362" spans="1:28" ht="47.25" customHeight="1" x14ac:dyDescent="0.2">
      <c r="A362" s="43" t="s">
        <v>1781</v>
      </c>
      <c r="B362" s="43" t="s">
        <v>1782</v>
      </c>
      <c r="C362" s="44" t="s">
        <v>1353</v>
      </c>
      <c r="D362" s="44" t="s">
        <v>113</v>
      </c>
      <c r="E362" s="45" t="s">
        <v>1783</v>
      </c>
      <c r="F362" s="45" t="s">
        <v>1784</v>
      </c>
      <c r="G362" s="46" t="s">
        <v>38</v>
      </c>
      <c r="H362" s="48">
        <v>46119</v>
      </c>
      <c r="I362" s="48">
        <v>46140</v>
      </c>
      <c r="J362" s="44" t="s">
        <v>99</v>
      </c>
      <c r="K362" s="44" t="s">
        <v>84</v>
      </c>
      <c r="L362" s="50" t="s">
        <v>77</v>
      </c>
      <c r="M362" s="50"/>
      <c r="N362" s="50"/>
      <c r="O362" s="49"/>
      <c r="P362" s="50" t="str">
        <f t="shared" si="20"/>
        <v>ONAY</v>
      </c>
      <c r="R362" s="51" t="str">
        <f t="shared" si="21"/>
        <v/>
      </c>
      <c r="T362" s="41"/>
      <c r="U362" s="29">
        <f>IF($C362&lt;&gt;"",COUNTIF($C$2:C362,C362),"")</f>
        <v>5</v>
      </c>
      <c r="V362" s="29" t="str">
        <f t="shared" si="22"/>
        <v>Prof. Dr. Burcu Balam DOĞU§5</v>
      </c>
      <c r="W362" s="29" t="str">
        <f>IF(U362=1,COUNTIF($U$2:U362,1),"")</f>
        <v/>
      </c>
      <c r="X362" s="29" t="str">
        <f t="shared" si="23"/>
        <v/>
      </c>
      <c r="Y362" s="29">
        <f>IF(AND(LEFT($B362,7)="SBA 26/",$D362&lt;&gt;"",$F362&lt;&gt;""),COUNTIFS($D$2:$D362,$D362,$B$2:$B362,"SBA 26/*",$F$2:$F362,"&lt;&gt;"),"")</f>
        <v>54</v>
      </c>
      <c r="Z362" s="29" t="str">
        <f>IF(Y362=1,COUNTIF($Y$2:Y362,1),"")</f>
        <v/>
      </c>
      <c r="AA362" s="29">
        <f>IF(AND(LEFT($B362,7)="SBA 26/",$C362&lt;&gt;"",$F362&lt;&gt;""),COUNTIFS($C$2:$C362,$C362,$B$2:$B362,"SBA 26/*",$F$2:$F362,"&lt;&gt;"),"")</f>
        <v>5</v>
      </c>
      <c r="AB362" s="29" t="str">
        <f>IF(AA362=1,COUNTIF($AA$2:AA362,1),"")</f>
        <v/>
      </c>
    </row>
    <row r="363" spans="1:28" ht="81" customHeight="1" x14ac:dyDescent="0.2">
      <c r="A363" s="43" t="s">
        <v>1785</v>
      </c>
      <c r="B363" s="43" t="s">
        <v>1786</v>
      </c>
      <c r="C363" s="44" t="s">
        <v>285</v>
      </c>
      <c r="D363" s="44" t="s">
        <v>222</v>
      </c>
      <c r="E363" s="45" t="s">
        <v>1787</v>
      </c>
      <c r="F363" s="45" t="s">
        <v>1788</v>
      </c>
      <c r="G363" s="46" t="s">
        <v>38</v>
      </c>
      <c r="H363" s="48">
        <v>46119</v>
      </c>
      <c r="I363" s="48">
        <v>46140</v>
      </c>
      <c r="J363" s="44" t="s">
        <v>109</v>
      </c>
      <c r="K363" s="44" t="s">
        <v>116</v>
      </c>
      <c r="L363" s="50" t="s">
        <v>206</v>
      </c>
      <c r="M363" s="50" t="s">
        <v>172</v>
      </c>
      <c r="N363" s="50"/>
      <c r="O363" s="49"/>
      <c r="P363" s="50" t="str">
        <f t="shared" si="20"/>
        <v>RET</v>
      </c>
      <c r="R363" s="51" t="str">
        <f t="shared" si="21"/>
        <v/>
      </c>
      <c r="T363" s="41"/>
      <c r="U363" s="29">
        <f>IF($C363&lt;&gt;"",COUNTIF($C$2:C363,C363),"")</f>
        <v>8</v>
      </c>
      <c r="V363" s="29" t="str">
        <f t="shared" si="22"/>
        <v>Prof. Dr. Yasemin ÖZSÜREKCİ§8</v>
      </c>
      <c r="W363" s="29" t="str">
        <f>IF(U363=1,COUNTIF($U$2:U363,1),"")</f>
        <v/>
      </c>
      <c r="X363" s="29" t="str">
        <f t="shared" si="23"/>
        <v/>
      </c>
      <c r="Y363" s="29">
        <f>IF(AND(LEFT($B363,7)="SBA 26/",$D363&lt;&gt;"",$F363&lt;&gt;""),COUNTIFS($D$2:$D363,$D363,$B$2:$B363,"SBA 26/*",$F$2:$F363,"&lt;&gt;"),"")</f>
        <v>51</v>
      </c>
      <c r="Z363" s="29" t="str">
        <f>IF(Y363=1,COUNTIF($Y$2:Y363,1),"")</f>
        <v/>
      </c>
      <c r="AA363" s="29">
        <f>IF(AND(LEFT($B363,7)="SBA 26/",$C363&lt;&gt;"",$F363&lt;&gt;""),COUNTIFS($C$2:$C363,$C363,$B$2:$B363,"SBA 26/*",$F$2:$F363,"&lt;&gt;"),"")</f>
        <v>8</v>
      </c>
      <c r="AB363" s="29" t="str">
        <f>IF(AA363=1,COUNTIF($AA$2:AA363,1),"")</f>
        <v/>
      </c>
    </row>
    <row r="364" spans="1:28" ht="78.75" customHeight="1" x14ac:dyDescent="0.2">
      <c r="A364" s="43" t="s">
        <v>1789</v>
      </c>
      <c r="B364" s="43" t="s">
        <v>1790</v>
      </c>
      <c r="C364" s="44" t="s">
        <v>1791</v>
      </c>
      <c r="D364" s="44" t="s">
        <v>222</v>
      </c>
      <c r="E364" s="45" t="s">
        <v>1792</v>
      </c>
      <c r="F364" s="45" t="s">
        <v>1793</v>
      </c>
      <c r="G364" s="46" t="s">
        <v>39</v>
      </c>
      <c r="H364" s="48">
        <v>46119</v>
      </c>
      <c r="I364" s="48">
        <v>46140</v>
      </c>
      <c r="J364" s="44" t="s">
        <v>129</v>
      </c>
      <c r="K364" s="44" t="s">
        <v>75</v>
      </c>
      <c r="L364" s="50" t="s">
        <v>77</v>
      </c>
      <c r="M364" s="50"/>
      <c r="N364" s="50"/>
      <c r="O364" s="49"/>
      <c r="P364" s="50" t="str">
        <f t="shared" si="20"/>
        <v>ONAY</v>
      </c>
      <c r="R364" s="51" t="str">
        <f t="shared" si="21"/>
        <v/>
      </c>
      <c r="T364" s="41"/>
      <c r="U364" s="29">
        <f>IF($C364&lt;&gt;"",COUNTIF($C$2:C364,C364),"")</f>
        <v>1</v>
      </c>
      <c r="V364" s="29" t="str">
        <f t="shared" si="22"/>
        <v>Prof. Dr. Ebru AYPAR§1</v>
      </c>
      <c r="W364" s="29">
        <f>IF(U364=1,COUNTIF($U$2:U364,1),"")</f>
        <v>213</v>
      </c>
      <c r="X364" s="29">
        <f t="shared" si="23"/>
        <v>213</v>
      </c>
      <c r="Y364" s="29">
        <f>IF(AND(LEFT($B364,7)="SBA 26/",$D364&lt;&gt;"",$F364&lt;&gt;""),COUNTIFS($D$2:$D364,$D364,$B$2:$B364,"SBA 26/*",$F$2:$F364,"&lt;&gt;"),"")</f>
        <v>52</v>
      </c>
      <c r="Z364" s="29" t="str">
        <f>IF(Y364=1,COUNTIF($Y$2:Y364,1),"")</f>
        <v/>
      </c>
      <c r="AA364" s="29">
        <f>IF(AND(LEFT($B364,7)="SBA 26/",$C364&lt;&gt;"",$F364&lt;&gt;""),COUNTIFS($C$2:$C364,$C364,$B$2:$B364,"SBA 26/*",$F$2:$F364,"&lt;&gt;"),"")</f>
        <v>1</v>
      </c>
      <c r="AB364" s="29">
        <f>IF(AA364=1,COUNTIF($AA$2:AA364,1),"")</f>
        <v>213</v>
      </c>
    </row>
    <row r="365" spans="1:28" ht="47.25" customHeight="1" x14ac:dyDescent="0.2">
      <c r="A365" s="43" t="s">
        <v>1794</v>
      </c>
      <c r="B365" s="43" t="s">
        <v>1795</v>
      </c>
      <c r="C365" s="44" t="s">
        <v>1796</v>
      </c>
      <c r="D365" s="44" t="s">
        <v>113</v>
      </c>
      <c r="E365" s="45" t="s">
        <v>1797</v>
      </c>
      <c r="F365" s="45" t="s">
        <v>1798</v>
      </c>
      <c r="G365" s="46" t="s">
        <v>38</v>
      </c>
      <c r="H365" s="48">
        <v>46119</v>
      </c>
      <c r="I365" s="48">
        <v>46140</v>
      </c>
      <c r="J365" s="44" t="s">
        <v>100</v>
      </c>
      <c r="K365" s="44" t="s">
        <v>84</v>
      </c>
      <c r="L365" s="50" t="s">
        <v>77</v>
      </c>
      <c r="M365" s="50"/>
      <c r="N365" s="50"/>
      <c r="O365" s="49"/>
      <c r="P365" s="50" t="str">
        <f t="shared" si="20"/>
        <v>ONAY</v>
      </c>
      <c r="R365" s="51" t="str">
        <f t="shared" si="21"/>
        <v/>
      </c>
      <c r="T365" s="41"/>
      <c r="U365" s="29">
        <f>IF($C365&lt;&gt;"",COUNTIF($C$2:C365,C365),"")</f>
        <v>1</v>
      </c>
      <c r="V365" s="29" t="str">
        <f t="shared" si="22"/>
        <v>Prof. Dr. Umut KALYONCU§1</v>
      </c>
      <c r="W365" s="29">
        <f>IF(U365=1,COUNTIF($U$2:U365,1),"")</f>
        <v>214</v>
      </c>
      <c r="X365" s="29">
        <f t="shared" si="23"/>
        <v>326</v>
      </c>
      <c r="Y365" s="29">
        <f>IF(AND(LEFT($B365,7)="SBA 26/",$D365&lt;&gt;"",$F365&lt;&gt;""),COUNTIFS($D$2:$D365,$D365,$B$2:$B365,"SBA 26/*",$F$2:$F365,"&lt;&gt;"),"")</f>
        <v>55</v>
      </c>
      <c r="Z365" s="29" t="str">
        <f>IF(Y365=1,COUNTIF($Y$2:Y365,1),"")</f>
        <v/>
      </c>
      <c r="AA365" s="29">
        <f>IF(AND(LEFT($B365,7)="SBA 26/",$C365&lt;&gt;"",$F365&lt;&gt;""),COUNTIFS($C$2:$C365,$C365,$B$2:$B365,"SBA 26/*",$F$2:$F365,"&lt;&gt;"),"")</f>
        <v>1</v>
      </c>
      <c r="AB365" s="29">
        <f>IF(AA365=1,COUNTIF($AA$2:AA365,1),"")</f>
        <v>214</v>
      </c>
    </row>
    <row r="366" spans="1:28" ht="47.25" customHeight="1" x14ac:dyDescent="0.2">
      <c r="A366" s="43" t="s">
        <v>1799</v>
      </c>
      <c r="B366" s="43" t="s">
        <v>1800</v>
      </c>
      <c r="C366" s="44" t="s">
        <v>1796</v>
      </c>
      <c r="D366" s="44" t="s">
        <v>113</v>
      </c>
      <c r="E366" s="45" t="s">
        <v>1797</v>
      </c>
      <c r="F366" s="45" t="s">
        <v>1801</v>
      </c>
      <c r="G366" s="46" t="s">
        <v>38</v>
      </c>
      <c r="H366" s="48">
        <v>46119</v>
      </c>
      <c r="I366" s="48">
        <v>46140</v>
      </c>
      <c r="J366" s="44" t="s">
        <v>99</v>
      </c>
      <c r="K366" s="44" t="s">
        <v>129</v>
      </c>
      <c r="L366" s="50" t="s">
        <v>172</v>
      </c>
      <c r="M366" s="50"/>
      <c r="N366" s="50"/>
      <c r="O366" s="49"/>
      <c r="P366" s="50" t="str">
        <f t="shared" si="20"/>
        <v>RET</v>
      </c>
      <c r="R366" s="51" t="str">
        <f t="shared" si="21"/>
        <v/>
      </c>
      <c r="T366" s="41"/>
      <c r="U366" s="29">
        <f>IF($C366&lt;&gt;"",COUNTIF($C$2:C366,C366),"")</f>
        <v>2</v>
      </c>
      <c r="V366" s="29" t="str">
        <f t="shared" si="22"/>
        <v>Prof. Dr. Umut KALYONCU§2</v>
      </c>
      <c r="W366" s="29" t="str">
        <f>IF(U366=1,COUNTIF($U$2:U366,1),"")</f>
        <v/>
      </c>
      <c r="X366" s="29" t="str">
        <f t="shared" si="23"/>
        <v/>
      </c>
      <c r="Y366" s="29">
        <f>IF(AND(LEFT($B366,7)="SBA 26/",$D366&lt;&gt;"",$F366&lt;&gt;""),COUNTIFS($D$2:$D366,$D366,$B$2:$B366,"SBA 26/*",$F$2:$F366,"&lt;&gt;"),"")</f>
        <v>56</v>
      </c>
      <c r="Z366" s="29" t="str">
        <f>IF(Y366=1,COUNTIF($Y$2:Y366,1),"")</f>
        <v/>
      </c>
      <c r="AA366" s="29">
        <f>IF(AND(LEFT($B366,7)="SBA 26/",$C366&lt;&gt;"",$F366&lt;&gt;""),COUNTIFS($C$2:$C366,$C366,$B$2:$B366,"SBA 26/*",$F$2:$F366,"&lt;&gt;"),"")</f>
        <v>2</v>
      </c>
      <c r="AB366" s="29" t="str">
        <f>IF(AA366=1,COUNTIF($AA$2:AA366,1),"")</f>
        <v/>
      </c>
    </row>
    <row r="367" spans="1:28" ht="63" customHeight="1" x14ac:dyDescent="0.2">
      <c r="A367" s="43" t="s">
        <v>1802</v>
      </c>
      <c r="B367" s="43" t="s">
        <v>1803</v>
      </c>
      <c r="C367" s="44" t="s">
        <v>957</v>
      </c>
      <c r="D367" s="44" t="s">
        <v>404</v>
      </c>
      <c r="E367" s="45" t="s">
        <v>1804</v>
      </c>
      <c r="F367" s="45" t="s">
        <v>1805</v>
      </c>
      <c r="G367" s="46" t="s">
        <v>38</v>
      </c>
      <c r="H367" s="48">
        <v>46119</v>
      </c>
      <c r="I367" s="48">
        <v>46140</v>
      </c>
      <c r="J367" s="44" t="s">
        <v>91</v>
      </c>
      <c r="K367" s="44" t="s">
        <v>123</v>
      </c>
      <c r="L367" s="50" t="s">
        <v>77</v>
      </c>
      <c r="M367" s="50"/>
      <c r="N367" s="50"/>
      <c r="O367" s="49"/>
      <c r="P367" s="50" t="str">
        <f t="shared" si="20"/>
        <v>ONAY</v>
      </c>
      <c r="R367" s="51" t="str">
        <f t="shared" si="21"/>
        <v/>
      </c>
      <c r="T367" s="41"/>
      <c r="U367" s="29">
        <f>IF($C367&lt;&gt;"",COUNTIF($C$2:C367,C367),"")</f>
        <v>3</v>
      </c>
      <c r="V367" s="29" t="str">
        <f t="shared" si="22"/>
        <v>Doç. Dr. Mesut ALTAN§3</v>
      </c>
      <c r="W367" s="29" t="str">
        <f>IF(U367=1,COUNTIF($U$2:U367,1),"")</f>
        <v/>
      </c>
      <c r="X367" s="29" t="str">
        <f t="shared" si="23"/>
        <v/>
      </c>
      <c r="Y367" s="29">
        <f>IF(AND(LEFT($B367,7)="SBA 26/",$D367&lt;&gt;"",$F367&lt;&gt;""),COUNTIFS($D$2:$D367,$D367,$B$2:$B367,"SBA 26/*",$F$2:$F367,"&lt;&gt;"),"")</f>
        <v>5</v>
      </c>
      <c r="Z367" s="29" t="str">
        <f>IF(Y367=1,COUNTIF($Y$2:Y367,1),"")</f>
        <v/>
      </c>
      <c r="AA367" s="29">
        <f>IF(AND(LEFT($B367,7)="SBA 26/",$C367&lt;&gt;"",$F367&lt;&gt;""),COUNTIFS($C$2:$C367,$C367,$B$2:$B367,"SBA 26/*",$F$2:$F367,"&lt;&gt;"),"")</f>
        <v>3</v>
      </c>
      <c r="AB367" s="29" t="str">
        <f>IF(AA367=1,COUNTIF($AA$2:AA367,1),"")</f>
        <v/>
      </c>
    </row>
    <row r="368" spans="1:28" ht="66" customHeight="1" x14ac:dyDescent="0.2">
      <c r="A368" s="43" t="s">
        <v>1806</v>
      </c>
      <c r="B368" s="43" t="s">
        <v>1807</v>
      </c>
      <c r="C368" s="44" t="s">
        <v>1808</v>
      </c>
      <c r="D368" s="44" t="s">
        <v>1038</v>
      </c>
      <c r="E368" s="45" t="s">
        <v>1809</v>
      </c>
      <c r="F368" s="45" t="s">
        <v>1810</v>
      </c>
      <c r="G368" s="46" t="s">
        <v>41</v>
      </c>
      <c r="H368" s="48">
        <v>46119</v>
      </c>
      <c r="I368" s="48">
        <v>46140</v>
      </c>
      <c r="J368" s="44" t="s">
        <v>75</v>
      </c>
      <c r="K368" s="44" t="s">
        <v>92</v>
      </c>
      <c r="L368" s="50" t="s">
        <v>77</v>
      </c>
      <c r="M368" s="50"/>
      <c r="N368" s="50"/>
      <c r="O368" s="49"/>
      <c r="P368" s="50" t="str">
        <f t="shared" si="20"/>
        <v>ONAY</v>
      </c>
      <c r="R368" s="51" t="str">
        <f t="shared" si="21"/>
        <v/>
      </c>
      <c r="T368" s="41"/>
      <c r="U368" s="29">
        <f>IF($C368&lt;&gt;"",COUNTIF($C$2:C368,C368),"")</f>
        <v>1</v>
      </c>
      <c r="V368" s="29" t="str">
        <f t="shared" si="22"/>
        <v>Prof. Dr. Erdem KARABULUT§1</v>
      </c>
      <c r="W368" s="29">
        <f>IF(U368=1,COUNTIF($U$2:U368,1),"")</f>
        <v>215</v>
      </c>
      <c r="X368" s="29">
        <f t="shared" si="23"/>
        <v>219</v>
      </c>
      <c r="Y368" s="29">
        <f>IF(AND(LEFT($B368,7)="SBA 26/",$D368&lt;&gt;"",$F368&lt;&gt;""),COUNTIFS($D$2:$D368,$D368,$B$2:$B368,"SBA 26/*",$F$2:$F368,"&lt;&gt;"),"")</f>
        <v>2</v>
      </c>
      <c r="Z368" s="29" t="str">
        <f>IF(Y368=1,COUNTIF($Y$2:Y368,1),"")</f>
        <v/>
      </c>
      <c r="AA368" s="29">
        <f>IF(AND(LEFT($B368,7)="SBA 26/",$C368&lt;&gt;"",$F368&lt;&gt;""),COUNTIFS($C$2:$C368,$C368,$B$2:$B368,"SBA 26/*",$F$2:$F368,"&lt;&gt;"),"")</f>
        <v>1</v>
      </c>
      <c r="AB368" s="29">
        <f>IF(AA368=1,COUNTIF($AA$2:AA368,1),"")</f>
        <v>215</v>
      </c>
    </row>
    <row r="369" spans="1:28" ht="63" customHeight="1" x14ac:dyDescent="0.2">
      <c r="A369" s="43" t="s">
        <v>1811</v>
      </c>
      <c r="B369" s="43" t="s">
        <v>1812</v>
      </c>
      <c r="C369" s="44" t="s">
        <v>379</v>
      </c>
      <c r="D369" s="44" t="s">
        <v>222</v>
      </c>
      <c r="E369" s="45" t="s">
        <v>1813</v>
      </c>
      <c r="F369" s="45" t="s">
        <v>1814</v>
      </c>
      <c r="G369" s="46" t="s">
        <v>38</v>
      </c>
      <c r="H369" s="48">
        <v>46119</v>
      </c>
      <c r="I369" s="48">
        <v>46140</v>
      </c>
      <c r="J369" s="44" t="s">
        <v>109</v>
      </c>
      <c r="K369" s="44" t="s">
        <v>84</v>
      </c>
      <c r="L369" s="50" t="s">
        <v>101</v>
      </c>
      <c r="M369" s="50" t="s">
        <v>77</v>
      </c>
      <c r="N369" s="50"/>
      <c r="O369" s="49"/>
      <c r="P369" s="50" t="str">
        <f t="shared" si="20"/>
        <v>ONAY</v>
      </c>
      <c r="Q369" s="28" t="s">
        <v>109</v>
      </c>
      <c r="R369" s="51" t="str">
        <f t="shared" si="21"/>
        <v/>
      </c>
      <c r="T369" s="41"/>
      <c r="U369" s="29">
        <f>IF($C369&lt;&gt;"",COUNTIF($C$2:C369,C369),"")</f>
        <v>5</v>
      </c>
      <c r="V369" s="29" t="str">
        <f t="shared" si="22"/>
        <v>Prof. Dr. Deniz ÇAĞDAŞ AYVAZ§5</v>
      </c>
      <c r="W369" s="29" t="str">
        <f>IF(U369=1,COUNTIF($U$2:U369,1),"")</f>
        <v/>
      </c>
      <c r="X369" s="29" t="str">
        <f t="shared" si="23"/>
        <v/>
      </c>
      <c r="Y369" s="29">
        <f>IF(AND(LEFT($B369,7)="SBA 26/",$D369&lt;&gt;"",$F369&lt;&gt;""),COUNTIFS($D$2:$D369,$D369,$B$2:$B369,"SBA 26/*",$F$2:$F369,"&lt;&gt;"),"")</f>
        <v>53</v>
      </c>
      <c r="Z369" s="29" t="str">
        <f>IF(Y369=1,COUNTIF($Y$2:Y369,1),"")</f>
        <v/>
      </c>
      <c r="AA369" s="29">
        <f>IF(AND(LEFT($B369,7)="SBA 26/",$C369&lt;&gt;"",$F369&lt;&gt;""),COUNTIFS($C$2:$C369,$C369,$B$2:$B369,"SBA 26/*",$F$2:$F369,"&lt;&gt;"),"")</f>
        <v>5</v>
      </c>
      <c r="AB369" s="29" t="str">
        <f>IF(AA369=1,COUNTIF($AA$2:AA369,1),"")</f>
        <v/>
      </c>
    </row>
    <row r="370" spans="1:28" ht="78.75" customHeight="1" x14ac:dyDescent="0.2">
      <c r="A370" s="43" t="s">
        <v>1815</v>
      </c>
      <c r="B370" s="43" t="s">
        <v>1816</v>
      </c>
      <c r="C370" s="44" t="s">
        <v>578</v>
      </c>
      <c r="D370" s="44" t="s">
        <v>113</v>
      </c>
      <c r="E370" s="45" t="s">
        <v>1817</v>
      </c>
      <c r="F370" s="45" t="s">
        <v>1818</v>
      </c>
      <c r="G370" s="46" t="s">
        <v>38</v>
      </c>
      <c r="H370" s="48">
        <v>46119</v>
      </c>
      <c r="I370" s="48">
        <v>46140</v>
      </c>
      <c r="J370" s="44" t="s">
        <v>108</v>
      </c>
      <c r="K370" s="44" t="s">
        <v>123</v>
      </c>
      <c r="L370" s="50" t="s">
        <v>77</v>
      </c>
      <c r="M370" s="50"/>
      <c r="N370" s="50"/>
      <c r="O370" s="49"/>
      <c r="P370" s="50" t="str">
        <f t="shared" si="20"/>
        <v>ONAY</v>
      </c>
      <c r="R370" s="51" t="str">
        <f t="shared" si="21"/>
        <v/>
      </c>
      <c r="T370" s="41"/>
      <c r="U370" s="29">
        <f>IF($C370&lt;&gt;"",COUNTIF($C$2:C370,C370),"")</f>
        <v>3</v>
      </c>
      <c r="V370" s="29" t="str">
        <f t="shared" si="22"/>
        <v>Prof. Dr. Ayşe Tomris ERBAŞ§3</v>
      </c>
      <c r="W370" s="29" t="str">
        <f>IF(U370=1,COUNTIF($U$2:U370,1),"")</f>
        <v/>
      </c>
      <c r="X370" s="29" t="str">
        <f t="shared" si="23"/>
        <v/>
      </c>
      <c r="Y370" s="29">
        <f>IF(AND(LEFT($B370,7)="SBA 26/",$D370&lt;&gt;"",$F370&lt;&gt;""),COUNTIFS($D$2:$D370,$D370,$B$2:$B370,"SBA 26/*",$F$2:$F370,"&lt;&gt;"),"")</f>
        <v>57</v>
      </c>
      <c r="Z370" s="29" t="str">
        <f>IF(Y370=1,COUNTIF($Y$2:Y370,1),"")</f>
        <v/>
      </c>
      <c r="AA370" s="29">
        <f>IF(AND(LEFT($B370,7)="SBA 26/",$C370&lt;&gt;"",$F370&lt;&gt;""),COUNTIFS($C$2:$C370,$C370,$B$2:$B370,"SBA 26/*",$F$2:$F370,"&lt;&gt;"),"")</f>
        <v>3</v>
      </c>
      <c r="AB370" s="29" t="str">
        <f>IF(AA370=1,COUNTIF($AA$2:AA370,1),"")</f>
        <v/>
      </c>
    </row>
    <row r="371" spans="1:28" ht="63" customHeight="1" x14ac:dyDescent="0.2">
      <c r="A371" s="43" t="s">
        <v>1819</v>
      </c>
      <c r="B371" s="43" t="s">
        <v>1820</v>
      </c>
      <c r="C371" s="44" t="s">
        <v>1821</v>
      </c>
      <c r="D371" s="44" t="s">
        <v>1822</v>
      </c>
      <c r="E371" s="45" t="s">
        <v>1823</v>
      </c>
      <c r="F371" s="45" t="s">
        <v>1824</v>
      </c>
      <c r="G371" s="46" t="s">
        <v>38</v>
      </c>
      <c r="H371" s="48">
        <v>46119</v>
      </c>
      <c r="I371" s="48">
        <v>46140</v>
      </c>
      <c r="J371" s="44" t="s">
        <v>91</v>
      </c>
      <c r="K371" s="44" t="s">
        <v>92</v>
      </c>
      <c r="L371" s="50" t="s">
        <v>77</v>
      </c>
      <c r="M371" s="50"/>
      <c r="N371" s="50"/>
      <c r="O371" s="49"/>
      <c r="P371" s="50" t="str">
        <f t="shared" si="20"/>
        <v>ONAY</v>
      </c>
      <c r="R371" s="51" t="str">
        <f t="shared" si="21"/>
        <v/>
      </c>
      <c r="T371" s="41"/>
      <c r="U371" s="29">
        <f>IF($C371&lt;&gt;"",COUNTIF($C$2:C371,C371),"")</f>
        <v>1</v>
      </c>
      <c r="V371" s="29" t="str">
        <f t="shared" si="22"/>
        <v>Doç. Dr. Nezih AKKAPULU§1</v>
      </c>
      <c r="W371" s="29">
        <f>IF(U371=1,COUNTIF($U$2:U371,1),"")</f>
        <v>216</v>
      </c>
      <c r="X371" s="29">
        <f t="shared" si="23"/>
        <v>85</v>
      </c>
      <c r="Y371" s="29">
        <f>IF(AND(LEFT($B371,7)="SBA 26/",$D371&lt;&gt;"",$F371&lt;&gt;""),COUNTIFS($D$2:$D371,$D371,$B$2:$B371,"SBA 26/*",$F$2:$F371,"&lt;&gt;"),"")</f>
        <v>1</v>
      </c>
      <c r="Z371" s="29">
        <f>IF(Y371=1,COUNTIF($Y$2:Y371,1),"")</f>
        <v>63</v>
      </c>
      <c r="AA371" s="29">
        <f>IF(AND(LEFT($B371,7)="SBA 26/",$C371&lt;&gt;"",$F371&lt;&gt;""),COUNTIFS($C$2:$C371,$C371,$B$2:$B371,"SBA 26/*",$F$2:$F371,"&lt;&gt;"),"")</f>
        <v>1</v>
      </c>
      <c r="AB371" s="29">
        <f>IF(AA371=1,COUNTIF($AA$2:AA371,1),"")</f>
        <v>216</v>
      </c>
    </row>
    <row r="372" spans="1:28" ht="63" customHeight="1" x14ac:dyDescent="0.2">
      <c r="A372" s="43" t="s">
        <v>1825</v>
      </c>
      <c r="B372" s="43" t="s">
        <v>1826</v>
      </c>
      <c r="C372" s="44" t="s">
        <v>324</v>
      </c>
      <c r="D372" s="44" t="s">
        <v>325</v>
      </c>
      <c r="E372" s="45" t="s">
        <v>1827</v>
      </c>
      <c r="F372" s="45" t="s">
        <v>1828</v>
      </c>
      <c r="G372" s="46" t="s">
        <v>39</v>
      </c>
      <c r="H372" s="48">
        <v>46119</v>
      </c>
      <c r="I372" s="48">
        <v>46140</v>
      </c>
      <c r="J372" s="44" t="s">
        <v>108</v>
      </c>
      <c r="K372" s="44" t="s">
        <v>116</v>
      </c>
      <c r="L372" s="50" t="s">
        <v>77</v>
      </c>
      <c r="M372" s="50"/>
      <c r="N372" s="50"/>
      <c r="O372" s="49"/>
      <c r="P372" s="50" t="str">
        <f t="shared" si="20"/>
        <v>ONAY</v>
      </c>
      <c r="R372" s="51" t="str">
        <f t="shared" si="21"/>
        <v/>
      </c>
      <c r="T372" s="41"/>
      <c r="U372" s="29">
        <f>IF($C372&lt;&gt;"",COUNTIF($C$2:C372,C372),"")</f>
        <v>2</v>
      </c>
      <c r="V372" s="29" t="str">
        <f t="shared" si="22"/>
        <v>Prof. Dr. Dilek ASLAN§2</v>
      </c>
      <c r="W372" s="29" t="str">
        <f>IF(U372=1,COUNTIF($U$2:U372,1),"")</f>
        <v/>
      </c>
      <c r="X372" s="29" t="str">
        <f t="shared" si="23"/>
        <v/>
      </c>
      <c r="Y372" s="29">
        <f>IF(AND(LEFT($B372,7)="SBA 26/",$D372&lt;&gt;"",$F372&lt;&gt;""),COUNTIFS($D$2:$D372,$D372,$B$2:$B372,"SBA 26/*",$F$2:$F372,"&lt;&gt;"),"")</f>
        <v>4</v>
      </c>
      <c r="Z372" s="29" t="str">
        <f>IF(Y372=1,COUNTIF($Y$2:Y372,1),"")</f>
        <v/>
      </c>
      <c r="AA372" s="29">
        <f>IF(AND(LEFT($B372,7)="SBA 26/",$C372&lt;&gt;"",$F372&lt;&gt;""),COUNTIFS($C$2:$C372,$C372,$B$2:$B372,"SBA 26/*",$F$2:$F372,"&lt;&gt;"),"")</f>
        <v>2</v>
      </c>
      <c r="AB372" s="29" t="str">
        <f>IF(AA372=1,COUNTIF($AA$2:AA372,1),"")</f>
        <v/>
      </c>
    </row>
    <row r="373" spans="1:28" ht="78.75" customHeight="1" x14ac:dyDescent="0.2">
      <c r="A373" s="43" t="s">
        <v>1829</v>
      </c>
      <c r="B373" s="43" t="s">
        <v>1830</v>
      </c>
      <c r="C373" s="44" t="s">
        <v>192</v>
      </c>
      <c r="D373" s="44" t="s">
        <v>193</v>
      </c>
      <c r="E373" s="45" t="s">
        <v>1831</v>
      </c>
      <c r="F373" s="45" t="s">
        <v>1832</v>
      </c>
      <c r="G373" s="46" t="s">
        <v>38</v>
      </c>
      <c r="H373" s="48">
        <v>46119</v>
      </c>
      <c r="I373" s="48">
        <v>46140</v>
      </c>
      <c r="J373" s="44" t="s">
        <v>91</v>
      </c>
      <c r="K373" s="44" t="s">
        <v>100</v>
      </c>
      <c r="L373" s="50"/>
      <c r="M373" s="50"/>
      <c r="N373" s="50"/>
      <c r="O373" s="49"/>
      <c r="P373" s="50">
        <f t="shared" si="20"/>
        <v>0</v>
      </c>
      <c r="R373" s="51" t="str">
        <f t="shared" si="21"/>
        <v/>
      </c>
      <c r="T373" s="41"/>
      <c r="U373" s="29">
        <f>IF($C373&lt;&gt;"",COUNTIF($C$2:C373,C373),"")</f>
        <v>5</v>
      </c>
      <c r="V373" s="29" t="str">
        <f t="shared" si="22"/>
        <v>Dr. Öğr. Üyesi Figen BEZCİ AYGÜN§5</v>
      </c>
      <c r="W373" s="29" t="str">
        <f>IF(U373=1,COUNTIF($U$2:U373,1),"")</f>
        <v/>
      </c>
      <c r="X373" s="29" t="str">
        <f t="shared" si="23"/>
        <v/>
      </c>
      <c r="Y373" s="29">
        <f>IF(AND(LEFT($B373,7)="SBA 26/",$D373&lt;&gt;"",$F373&lt;&gt;""),COUNTIFS($D$2:$D373,$D373,$B$2:$B373,"SBA 26/*",$F$2:$F373,"&lt;&gt;"),"")</f>
        <v>10</v>
      </c>
      <c r="Z373" s="29" t="str">
        <f>IF(Y373=1,COUNTIF($Y$2:Y373,1),"")</f>
        <v/>
      </c>
      <c r="AA373" s="29">
        <f>IF(AND(LEFT($B373,7)="SBA 26/",$C373&lt;&gt;"",$F373&lt;&gt;""),COUNTIFS($C$2:$C373,$C373,$B$2:$B373,"SBA 26/*",$F$2:$F373,"&lt;&gt;"),"")</f>
        <v>5</v>
      </c>
      <c r="AB373" s="29" t="str">
        <f>IF(AA373=1,COUNTIF($AA$2:AA373,1),"")</f>
        <v/>
      </c>
    </row>
    <row r="374" spans="1:28" ht="78.75" customHeight="1" x14ac:dyDescent="0.2">
      <c r="A374" s="43" t="s">
        <v>1833</v>
      </c>
      <c r="B374" s="43" t="s">
        <v>1834</v>
      </c>
      <c r="C374" s="44" t="s">
        <v>1835</v>
      </c>
      <c r="D374" s="44" t="s">
        <v>88</v>
      </c>
      <c r="E374" s="45" t="s">
        <v>1836</v>
      </c>
      <c r="F374" s="45" t="s">
        <v>1837</v>
      </c>
      <c r="G374" s="46" t="s">
        <v>39</v>
      </c>
      <c r="H374" s="48">
        <v>46119</v>
      </c>
      <c r="I374" s="48">
        <v>46140</v>
      </c>
      <c r="J374" s="44" t="s">
        <v>92</v>
      </c>
      <c r="K374" s="44" t="s">
        <v>108</v>
      </c>
      <c r="L374" s="50" t="s">
        <v>101</v>
      </c>
      <c r="M374" s="50" t="s">
        <v>77</v>
      </c>
      <c r="N374" s="50"/>
      <c r="O374" s="49"/>
      <c r="P374" s="50" t="str">
        <f t="shared" si="20"/>
        <v>ONAY</v>
      </c>
      <c r="Q374" s="28" t="s">
        <v>108</v>
      </c>
      <c r="R374" s="51" t="str">
        <f t="shared" si="21"/>
        <v/>
      </c>
      <c r="T374" s="41"/>
      <c r="U374" s="29">
        <f>IF($C374&lt;&gt;"",COUNTIF($C$2:C374,C374),"")</f>
        <v>1</v>
      </c>
      <c r="V374" s="29" t="str">
        <f t="shared" si="22"/>
        <v>Prof. Dr. Gökçen ÇOBAN ÇİFÇİ§1</v>
      </c>
      <c r="W374" s="29">
        <f>IF(U374=1,COUNTIF($U$2:U374,1),"")</f>
        <v>217</v>
      </c>
      <c r="X374" s="29">
        <f t="shared" si="23"/>
        <v>228</v>
      </c>
      <c r="Y374" s="29">
        <f>IF(AND(LEFT($B374,7)="SBA 26/",$D374&lt;&gt;"",$F374&lt;&gt;""),COUNTIFS($D$2:$D374,$D374,$B$2:$B374,"SBA 26/*",$F$2:$F374,"&lt;&gt;"),"")</f>
        <v>14</v>
      </c>
      <c r="Z374" s="29" t="str">
        <f>IF(Y374=1,COUNTIF($Y$2:Y374,1),"")</f>
        <v/>
      </c>
      <c r="AA374" s="29">
        <f>IF(AND(LEFT($B374,7)="SBA 26/",$C374&lt;&gt;"",$F374&lt;&gt;""),COUNTIFS($C$2:$C374,$C374,$B$2:$B374,"SBA 26/*",$F$2:$F374,"&lt;&gt;"),"")</f>
        <v>1</v>
      </c>
      <c r="AB374" s="29">
        <f>IF(AA374=1,COUNTIF($AA$2:AA374,1),"")</f>
        <v>217</v>
      </c>
    </row>
    <row r="375" spans="1:28" ht="63" customHeight="1" x14ac:dyDescent="0.2">
      <c r="A375" s="43" t="s">
        <v>1838</v>
      </c>
      <c r="B375" s="43" t="s">
        <v>1839</v>
      </c>
      <c r="C375" s="44" t="s">
        <v>1207</v>
      </c>
      <c r="D375" s="44" t="s">
        <v>222</v>
      </c>
      <c r="E375" s="45" t="s">
        <v>1840</v>
      </c>
      <c r="F375" s="45" t="s">
        <v>1841</v>
      </c>
      <c r="G375" s="46" t="s">
        <v>39</v>
      </c>
      <c r="H375" s="48">
        <v>46119</v>
      </c>
      <c r="I375" s="48">
        <v>46140</v>
      </c>
      <c r="J375" s="44" t="s">
        <v>75</v>
      </c>
      <c r="K375" s="44" t="s">
        <v>99</v>
      </c>
      <c r="L375" s="50" t="s">
        <v>77</v>
      </c>
      <c r="M375" s="50"/>
      <c r="N375" s="50"/>
      <c r="O375" s="49"/>
      <c r="P375" s="50" t="str">
        <f t="shared" si="20"/>
        <v>ONAY</v>
      </c>
      <c r="R375" s="51" t="str">
        <f t="shared" si="21"/>
        <v/>
      </c>
      <c r="T375" s="41"/>
      <c r="U375" s="29">
        <f>IF($C375&lt;&gt;"",COUNTIF($C$2:C375,C375),"")</f>
        <v>4</v>
      </c>
      <c r="V375" s="29" t="str">
        <f t="shared" si="22"/>
        <v>Prof. Dr. Özlem TEKŞAM§4</v>
      </c>
      <c r="W375" s="29" t="str">
        <f>IF(U375=1,COUNTIF($U$2:U375,1),"")</f>
        <v/>
      </c>
      <c r="X375" s="29" t="str">
        <f t="shared" si="23"/>
        <v/>
      </c>
      <c r="Y375" s="29">
        <f>IF(AND(LEFT($B375,7)="SBA 26/",$D375&lt;&gt;"",$F375&lt;&gt;""),COUNTIFS($D$2:$D375,$D375,$B$2:$B375,"SBA 26/*",$F$2:$F375,"&lt;&gt;"),"")</f>
        <v>54</v>
      </c>
      <c r="Z375" s="29" t="str">
        <f>IF(Y375=1,COUNTIF($Y$2:Y375,1),"")</f>
        <v/>
      </c>
      <c r="AA375" s="29">
        <f>IF(AND(LEFT($B375,7)="SBA 26/",$C375&lt;&gt;"",$F375&lt;&gt;""),COUNTIFS($C$2:$C375,$C375,$B$2:$B375,"SBA 26/*",$F$2:$F375,"&lt;&gt;"),"")</f>
        <v>4</v>
      </c>
      <c r="AB375" s="29" t="str">
        <f>IF(AA375=1,COUNTIF($AA$2:AA375,1),"")</f>
        <v/>
      </c>
    </row>
    <row r="376" spans="1:28" ht="78.75" customHeight="1" x14ac:dyDescent="0.2">
      <c r="A376" s="43" t="s">
        <v>1842</v>
      </c>
      <c r="B376" s="43" t="s">
        <v>1843</v>
      </c>
      <c r="C376" s="44" t="s">
        <v>1844</v>
      </c>
      <c r="D376" s="44" t="s">
        <v>133</v>
      </c>
      <c r="E376" s="45" t="s">
        <v>1845</v>
      </c>
      <c r="F376" s="45" t="s">
        <v>1846</v>
      </c>
      <c r="G376" s="46" t="s">
        <v>38</v>
      </c>
      <c r="H376" s="48">
        <v>46119</v>
      </c>
      <c r="I376" s="48">
        <v>46140</v>
      </c>
      <c r="J376" s="44" t="s">
        <v>108</v>
      </c>
      <c r="K376" s="44" t="s">
        <v>129</v>
      </c>
      <c r="L376" s="50" t="s">
        <v>77</v>
      </c>
      <c r="M376" s="50"/>
      <c r="N376" s="50"/>
      <c r="O376" s="49"/>
      <c r="P376" s="50" t="str">
        <f t="shared" si="20"/>
        <v>ONAY</v>
      </c>
      <c r="R376" s="51" t="str">
        <f t="shared" si="21"/>
        <v/>
      </c>
      <c r="T376" s="41"/>
      <c r="U376" s="29">
        <f>IF($C376&lt;&gt;"",COUNTIF($C$2:C376,C376),"")</f>
        <v>1</v>
      </c>
      <c r="V376" s="29" t="str">
        <f t="shared" si="22"/>
        <v>Dr. Öğr. Gör. Buket KILIÇ§1</v>
      </c>
      <c r="W376" s="29">
        <f>IF(U376=1,COUNTIF($U$2:U376,1),"")</f>
        <v>218</v>
      </c>
      <c r="X376" s="29">
        <f t="shared" si="23"/>
        <v>107</v>
      </c>
      <c r="Y376" s="29">
        <f>IF(AND(LEFT($B376,7)="SBA 26/",$D376&lt;&gt;"",$F376&lt;&gt;""),COUNTIFS($D$2:$D376,$D376,$B$2:$B376,"SBA 26/*",$F$2:$F376,"&lt;&gt;"),"")</f>
        <v>10</v>
      </c>
      <c r="Z376" s="29" t="str">
        <f>IF(Y376=1,COUNTIF($Y$2:Y376,1),"")</f>
        <v/>
      </c>
      <c r="AA376" s="29">
        <f>IF(AND(LEFT($B376,7)="SBA 26/",$C376&lt;&gt;"",$F376&lt;&gt;""),COUNTIFS($C$2:$C376,$C376,$B$2:$B376,"SBA 26/*",$F$2:$F376,"&lt;&gt;"),"")</f>
        <v>1</v>
      </c>
      <c r="AB376" s="29">
        <f>IF(AA376=1,COUNTIF($AA$2:AA376,1),"")</f>
        <v>218</v>
      </c>
    </row>
    <row r="377" spans="1:28" ht="63" customHeight="1" x14ac:dyDescent="0.2">
      <c r="A377" s="43" t="s">
        <v>1847</v>
      </c>
      <c r="B377" s="43" t="s">
        <v>1848</v>
      </c>
      <c r="C377" s="44" t="s">
        <v>192</v>
      </c>
      <c r="D377" s="44" t="s">
        <v>193</v>
      </c>
      <c r="E377" s="45" t="s">
        <v>1849</v>
      </c>
      <c r="F377" s="45" t="s">
        <v>1850</v>
      </c>
      <c r="G377" s="46" t="s">
        <v>38</v>
      </c>
      <c r="H377" s="48">
        <v>46119</v>
      </c>
      <c r="I377" s="48">
        <v>46140</v>
      </c>
      <c r="J377" s="44" t="s">
        <v>91</v>
      </c>
      <c r="K377" s="44" t="s">
        <v>100</v>
      </c>
      <c r="L377" s="50"/>
      <c r="M377" s="50"/>
      <c r="N377" s="50"/>
      <c r="O377" s="49"/>
      <c r="P377" s="50">
        <f t="shared" si="20"/>
        <v>0</v>
      </c>
      <c r="R377" s="51" t="str">
        <f t="shared" si="21"/>
        <v/>
      </c>
      <c r="T377" s="41"/>
      <c r="U377" s="29">
        <f>IF($C377&lt;&gt;"",COUNTIF($C$2:C377,C377),"")</f>
        <v>6</v>
      </c>
      <c r="V377" s="29" t="str">
        <f t="shared" si="22"/>
        <v>Dr. Öğr. Üyesi Figen BEZCİ AYGÜN§6</v>
      </c>
      <c r="W377" s="29" t="str">
        <f>IF(U377=1,COUNTIF($U$2:U377,1),"")</f>
        <v/>
      </c>
      <c r="X377" s="29" t="str">
        <f t="shared" si="23"/>
        <v/>
      </c>
      <c r="Y377" s="29">
        <f>IF(AND(LEFT($B377,7)="SBA 26/",$D377&lt;&gt;"",$F377&lt;&gt;""),COUNTIFS($D$2:$D377,$D377,$B$2:$B377,"SBA 26/*",$F$2:$F377,"&lt;&gt;"),"")</f>
        <v>11</v>
      </c>
      <c r="Z377" s="29" t="str">
        <f>IF(Y377=1,COUNTIF($Y$2:Y377,1),"")</f>
        <v/>
      </c>
      <c r="AA377" s="29">
        <f>IF(AND(LEFT($B377,7)="SBA 26/",$C377&lt;&gt;"",$F377&lt;&gt;""),COUNTIFS($C$2:$C377,$C377,$B$2:$B377,"SBA 26/*",$F$2:$F377,"&lt;&gt;"),"")</f>
        <v>6</v>
      </c>
      <c r="AB377" s="29" t="str">
        <f>IF(AA377=1,COUNTIF($AA$2:AA377,1),"")</f>
        <v/>
      </c>
    </row>
    <row r="378" spans="1:28" ht="94.5" customHeight="1" x14ac:dyDescent="0.2">
      <c r="A378" s="43" t="s">
        <v>1851</v>
      </c>
      <c r="B378" s="43" t="s">
        <v>1852</v>
      </c>
      <c r="C378" s="44" t="s">
        <v>302</v>
      </c>
      <c r="D378" s="44" t="s">
        <v>222</v>
      </c>
      <c r="E378" s="45" t="s">
        <v>1853</v>
      </c>
      <c r="F378" s="45" t="s">
        <v>1854</v>
      </c>
      <c r="G378" s="46" t="s">
        <v>38</v>
      </c>
      <c r="H378" s="48">
        <v>46119</v>
      </c>
      <c r="I378" s="48">
        <v>46140</v>
      </c>
      <c r="J378" s="44" t="s">
        <v>116</v>
      </c>
      <c r="K378" s="44" t="s">
        <v>109</v>
      </c>
      <c r="L378" s="50" t="s">
        <v>101</v>
      </c>
      <c r="M378" s="50"/>
      <c r="N378" s="50"/>
      <c r="O378" s="49"/>
      <c r="P378" s="50" t="str">
        <f t="shared" si="20"/>
        <v>DÜZELTME</v>
      </c>
      <c r="R378" s="51" t="str">
        <f t="shared" si="21"/>
        <v/>
      </c>
      <c r="T378" s="41"/>
      <c r="U378" s="29">
        <f>IF($C378&lt;&gt;"",COUNTIF($C$2:C378,C378),"")</f>
        <v>2</v>
      </c>
      <c r="V378" s="29" t="str">
        <f t="shared" si="22"/>
        <v>Doç. Dr. Saliha ESENBOĞA§2</v>
      </c>
      <c r="W378" s="29" t="str">
        <f>IF(U378=1,COUNTIF($U$2:U378,1),"")</f>
        <v/>
      </c>
      <c r="X378" s="29" t="str">
        <f t="shared" si="23"/>
        <v/>
      </c>
      <c r="Y378" s="29">
        <f>IF(AND(LEFT($B378,7)="SBA 26/",$D378&lt;&gt;"",$F378&lt;&gt;""),COUNTIFS($D$2:$D378,$D378,$B$2:$B378,"SBA 26/*",$F$2:$F378,"&lt;&gt;"),"")</f>
        <v>55</v>
      </c>
      <c r="Z378" s="29" t="str">
        <f>IF(Y378=1,COUNTIF($Y$2:Y378,1),"")</f>
        <v/>
      </c>
      <c r="AA378" s="29">
        <f>IF(AND(LEFT($B378,7)="SBA 26/",$C378&lt;&gt;"",$F378&lt;&gt;""),COUNTIFS($C$2:$C378,$C378,$B$2:$B378,"SBA 26/*",$F$2:$F378,"&lt;&gt;"),"")</f>
        <v>2</v>
      </c>
      <c r="AB378" s="29" t="str">
        <f>IF(AA378=1,COUNTIF($AA$2:AA378,1),"")</f>
        <v/>
      </c>
    </row>
    <row r="379" spans="1:28" ht="63" customHeight="1" x14ac:dyDescent="0.2">
      <c r="A379" s="43" t="s">
        <v>1855</v>
      </c>
      <c r="B379" s="43" t="s">
        <v>1856</v>
      </c>
      <c r="C379" s="44" t="s">
        <v>633</v>
      </c>
      <c r="D379" s="44" t="s">
        <v>228</v>
      </c>
      <c r="E379" s="45" t="s">
        <v>1857</v>
      </c>
      <c r="F379" s="45" t="s">
        <v>1858</v>
      </c>
      <c r="G379" s="46" t="s">
        <v>38</v>
      </c>
      <c r="H379" s="48">
        <v>46119</v>
      </c>
      <c r="I379" s="48">
        <v>46140</v>
      </c>
      <c r="J379" s="44" t="s">
        <v>84</v>
      </c>
      <c r="K379" s="44" t="s">
        <v>129</v>
      </c>
      <c r="L379" s="50" t="s">
        <v>77</v>
      </c>
      <c r="M379" s="50"/>
      <c r="N379" s="50"/>
      <c r="O379" s="49"/>
      <c r="P379" s="50" t="str">
        <f t="shared" si="20"/>
        <v>ONAY</v>
      </c>
      <c r="R379" s="51" t="str">
        <f t="shared" si="21"/>
        <v/>
      </c>
      <c r="T379" s="41"/>
      <c r="U379" s="29">
        <f>IF($C379&lt;&gt;"",COUNTIF($C$2:C379,C379),"")</f>
        <v>5</v>
      </c>
      <c r="V379" s="29" t="str">
        <f t="shared" si="22"/>
        <v>Doç. Dr. Utku AKGÖR§5</v>
      </c>
      <c r="W379" s="29" t="str">
        <f>IF(U379=1,COUNTIF($U$2:U379,1),"")</f>
        <v/>
      </c>
      <c r="X379" s="29" t="str">
        <f t="shared" si="23"/>
        <v/>
      </c>
      <c r="Y379" s="29">
        <f>IF(AND(LEFT($B379,7)="SBA 26/",$D379&lt;&gt;"",$F379&lt;&gt;""),COUNTIFS($D$2:$D379,$D379,$B$2:$B379,"SBA 26/*",$F$2:$F379,"&lt;&gt;"),"")</f>
        <v>23</v>
      </c>
      <c r="Z379" s="29" t="str">
        <f>IF(Y379=1,COUNTIF($Y$2:Y379,1),"")</f>
        <v/>
      </c>
      <c r="AA379" s="29">
        <f>IF(AND(LEFT($B379,7)="SBA 26/",$C379&lt;&gt;"",$F379&lt;&gt;""),COUNTIFS($C$2:$C379,$C379,$B$2:$B379,"SBA 26/*",$F$2:$F379,"&lt;&gt;"),"")</f>
        <v>5</v>
      </c>
      <c r="AB379" s="29" t="str">
        <f>IF(AA379=1,COUNTIF($AA$2:AA379,1),"")</f>
        <v/>
      </c>
    </row>
    <row r="380" spans="1:28" ht="63" customHeight="1" x14ac:dyDescent="0.2">
      <c r="A380" s="43" t="s">
        <v>1859</v>
      </c>
      <c r="B380" s="43" t="s">
        <v>1860</v>
      </c>
      <c r="C380" s="44" t="s">
        <v>243</v>
      </c>
      <c r="D380" s="44" t="s">
        <v>113</v>
      </c>
      <c r="E380" s="45" t="s">
        <v>1861</v>
      </c>
      <c r="F380" s="45" t="s">
        <v>1862</v>
      </c>
      <c r="G380" s="46" t="s">
        <v>38</v>
      </c>
      <c r="H380" s="48">
        <v>46120</v>
      </c>
      <c r="I380" s="48">
        <v>46140</v>
      </c>
      <c r="J380" s="44" t="s">
        <v>109</v>
      </c>
      <c r="K380" s="44" t="s">
        <v>99</v>
      </c>
      <c r="L380" s="50" t="s">
        <v>206</v>
      </c>
      <c r="M380" s="50" t="s">
        <v>101</v>
      </c>
      <c r="N380" s="50" t="s">
        <v>77</v>
      </c>
      <c r="O380" s="49"/>
      <c r="P380" s="50" t="str">
        <f t="shared" si="20"/>
        <v>ONAY</v>
      </c>
      <c r="Q380" s="28" t="s">
        <v>109</v>
      </c>
      <c r="R380" s="51" t="str">
        <f t="shared" si="21"/>
        <v/>
      </c>
      <c r="T380" s="41"/>
      <c r="U380" s="29">
        <f>IF($C380&lt;&gt;"",COUNTIF($C$2:C380,C380),"")</f>
        <v>3</v>
      </c>
      <c r="V380" s="29" t="str">
        <f t="shared" si="22"/>
        <v>Doç. Dr. Levent KILIÇ§3</v>
      </c>
      <c r="W380" s="29" t="str">
        <f>IF(U380=1,COUNTIF($U$2:U380,1),"")</f>
        <v/>
      </c>
      <c r="X380" s="29" t="str">
        <f t="shared" si="23"/>
        <v/>
      </c>
      <c r="Y380" s="29">
        <f>IF(AND(LEFT($B380,7)="SBA 26/",$D380&lt;&gt;"",$F380&lt;&gt;""),COUNTIFS($D$2:$D380,$D380,$B$2:$B380,"SBA 26/*",$F$2:$F380,"&lt;&gt;"),"")</f>
        <v>58</v>
      </c>
      <c r="Z380" s="29" t="str">
        <f>IF(Y380=1,COUNTIF($Y$2:Y380,1),"")</f>
        <v/>
      </c>
      <c r="AA380" s="29">
        <f>IF(AND(LEFT($B380,7)="SBA 26/",$C380&lt;&gt;"",$F380&lt;&gt;""),COUNTIFS($C$2:$C380,$C380,$B$2:$B380,"SBA 26/*",$F$2:$F380,"&lt;&gt;"),"")</f>
        <v>3</v>
      </c>
      <c r="AB380" s="29" t="str">
        <f>IF(AA380=1,COUNTIF($AA$2:AA380,1),"")</f>
        <v/>
      </c>
    </row>
    <row r="381" spans="1:28" ht="78.75" customHeight="1" x14ac:dyDescent="0.2">
      <c r="A381" s="43" t="s">
        <v>1863</v>
      </c>
      <c r="B381" s="43" t="s">
        <v>1864</v>
      </c>
      <c r="C381" s="44" t="s">
        <v>1865</v>
      </c>
      <c r="D381" s="44" t="s">
        <v>1168</v>
      </c>
      <c r="E381" s="45" t="s">
        <v>1866</v>
      </c>
      <c r="F381" s="45" t="s">
        <v>1867</v>
      </c>
      <c r="G381" s="46" t="s">
        <v>38</v>
      </c>
      <c r="H381" s="48">
        <v>46120</v>
      </c>
      <c r="I381" s="48">
        <v>46140</v>
      </c>
      <c r="J381" s="44" t="s">
        <v>75</v>
      </c>
      <c r="K381" s="44" t="s">
        <v>116</v>
      </c>
      <c r="L381" s="50" t="s">
        <v>77</v>
      </c>
      <c r="M381" s="50"/>
      <c r="N381" s="50"/>
      <c r="O381" s="49"/>
      <c r="P381" s="50" t="str">
        <f t="shared" si="20"/>
        <v>ONAY</v>
      </c>
      <c r="R381" s="51" t="str">
        <f t="shared" si="21"/>
        <v/>
      </c>
      <c r="T381" s="41"/>
      <c r="U381" s="29">
        <f>IF($C381&lt;&gt;"",COUNTIF($C$2:C381,C381),"")</f>
        <v>1</v>
      </c>
      <c r="V381" s="29" t="str">
        <f t="shared" si="22"/>
        <v>Prof. Dr. Ömrüm UZUN§1</v>
      </c>
      <c r="W381" s="29">
        <f>IF(U381=1,COUNTIF($U$2:U381,1),"")</f>
        <v>219</v>
      </c>
      <c r="X381" s="29">
        <f t="shared" si="23"/>
        <v>286</v>
      </c>
      <c r="Y381" s="29">
        <f>IF(AND(LEFT($B381,7)="SBA 26/",$D381&lt;&gt;"",$F381&lt;&gt;""),COUNTIFS($D$2:$D381,$D381,$B$2:$B381,"SBA 26/*",$F$2:$F381,"&lt;&gt;"),"")</f>
        <v>2</v>
      </c>
      <c r="Z381" s="29" t="str">
        <f>IF(Y381=1,COUNTIF($Y$2:Y381,1),"")</f>
        <v/>
      </c>
      <c r="AA381" s="29">
        <f>IF(AND(LEFT($B381,7)="SBA 26/",$C381&lt;&gt;"",$F381&lt;&gt;""),COUNTIFS($C$2:$C381,$C381,$B$2:$B381,"SBA 26/*",$F$2:$F381,"&lt;&gt;"),"")</f>
        <v>1</v>
      </c>
      <c r="AB381" s="29">
        <f>IF(AA381=1,COUNTIF($AA$2:AA381,1),"")</f>
        <v>219</v>
      </c>
    </row>
    <row r="382" spans="1:28" ht="63" customHeight="1" x14ac:dyDescent="0.2">
      <c r="A382" s="43" t="s">
        <v>1868</v>
      </c>
      <c r="B382" s="43" t="s">
        <v>1869</v>
      </c>
      <c r="C382" s="44" t="s">
        <v>1427</v>
      </c>
      <c r="D382" s="44" t="s">
        <v>966</v>
      </c>
      <c r="E382" s="45" t="s">
        <v>1870</v>
      </c>
      <c r="F382" s="45" t="s">
        <v>1871</v>
      </c>
      <c r="G382" s="46" t="s">
        <v>39</v>
      </c>
      <c r="H382" s="48">
        <v>46121</v>
      </c>
      <c r="I382" s="48">
        <v>46140</v>
      </c>
      <c r="J382" s="44" t="s">
        <v>109</v>
      </c>
      <c r="K382" s="44" t="s">
        <v>100</v>
      </c>
      <c r="L382" s="50" t="s">
        <v>206</v>
      </c>
      <c r="M382" s="50" t="s">
        <v>101</v>
      </c>
      <c r="N382" s="50" t="s">
        <v>101</v>
      </c>
      <c r="O382" s="49" t="s">
        <v>77</v>
      </c>
      <c r="P382" s="50" t="str">
        <f t="shared" si="20"/>
        <v>ONAY</v>
      </c>
      <c r="Q382" s="28" t="s">
        <v>109</v>
      </c>
      <c r="R382" s="51" t="str">
        <f t="shared" si="21"/>
        <v/>
      </c>
      <c r="T382" s="41"/>
      <c r="U382" s="29">
        <f>IF($C382&lt;&gt;"",COUNTIF($C$2:C382,C382),"")</f>
        <v>2</v>
      </c>
      <c r="V382" s="29" t="str">
        <f t="shared" si="22"/>
        <v>Doç. Dr. Hilal AKSOY§2</v>
      </c>
      <c r="W382" s="29" t="str">
        <f>IF(U382=1,COUNTIF($U$2:U382,1),"")</f>
        <v/>
      </c>
      <c r="X382" s="29" t="str">
        <f t="shared" si="23"/>
        <v/>
      </c>
      <c r="Y382" s="29">
        <f>IF(AND(LEFT($B382,7)="SBA 26/",$D382&lt;&gt;"",$F382&lt;&gt;""),COUNTIFS($D$2:$D382,$D382,$B$2:$B382,"SBA 26/*",$F$2:$F382,"&lt;&gt;"),"")</f>
        <v>8</v>
      </c>
      <c r="Z382" s="29" t="str">
        <f>IF(Y382=1,COUNTIF($Y$2:Y382,1),"")</f>
        <v/>
      </c>
      <c r="AA382" s="29">
        <f>IF(AND(LEFT($B382,7)="SBA 26/",$C382&lt;&gt;"",$F382&lt;&gt;""),COUNTIFS($C$2:$C382,$C382,$B$2:$B382,"SBA 26/*",$F$2:$F382,"&lt;&gt;"),"")</f>
        <v>2</v>
      </c>
      <c r="AB382" s="29" t="str">
        <f>IF(AA382=1,COUNTIF($AA$2:AA382,1),"")</f>
        <v/>
      </c>
    </row>
    <row r="383" spans="1:28" ht="63" customHeight="1" x14ac:dyDescent="0.2">
      <c r="A383" s="43" t="s">
        <v>1872</v>
      </c>
      <c r="B383" s="43" t="s">
        <v>1873</v>
      </c>
      <c r="C383" s="44" t="s">
        <v>1874</v>
      </c>
      <c r="D383" s="44" t="s">
        <v>484</v>
      </c>
      <c r="E383" s="45" t="s">
        <v>1875</v>
      </c>
      <c r="F383" s="45" t="s">
        <v>1876</v>
      </c>
      <c r="G383" s="46" t="s">
        <v>39</v>
      </c>
      <c r="H383" s="48">
        <v>46121</v>
      </c>
      <c r="I383" s="48">
        <v>46140</v>
      </c>
      <c r="J383" s="44" t="s">
        <v>123</v>
      </c>
      <c r="K383" s="44" t="s">
        <v>84</v>
      </c>
      <c r="L383" s="50" t="s">
        <v>77</v>
      </c>
      <c r="M383" s="50"/>
      <c r="N383" s="50"/>
      <c r="O383" s="49"/>
      <c r="P383" s="50" t="str">
        <f t="shared" si="20"/>
        <v>ONAY</v>
      </c>
      <c r="R383" s="51" t="str">
        <f t="shared" si="21"/>
        <v/>
      </c>
      <c r="T383" s="41"/>
      <c r="U383" s="29">
        <f>IF($C383&lt;&gt;"",COUNTIF($C$2:C383,C383),"")</f>
        <v>1</v>
      </c>
      <c r="V383" s="29" t="str">
        <f t="shared" si="22"/>
        <v>Doç. Dr. Nagihan KOÇ§1</v>
      </c>
      <c r="W383" s="29">
        <f>IF(U383=1,COUNTIF($U$2:U383,1),"")</f>
        <v>220</v>
      </c>
      <c r="X383" s="29">
        <f t="shared" si="23"/>
        <v>83</v>
      </c>
      <c r="Y383" s="29">
        <f>IF(AND(LEFT($B383,7)="SBA 26/",$D383&lt;&gt;"",$F383&lt;&gt;""),COUNTIFS($D$2:$D383,$D383,$B$2:$B383,"SBA 26/*",$F$2:$F383,"&lt;&gt;"),"")</f>
        <v>4</v>
      </c>
      <c r="Z383" s="29" t="str">
        <f>IF(Y383=1,COUNTIF($Y$2:Y383,1),"")</f>
        <v/>
      </c>
      <c r="AA383" s="29">
        <f>IF(AND(LEFT($B383,7)="SBA 26/",$C383&lt;&gt;"",$F383&lt;&gt;""),COUNTIFS($C$2:$C383,$C383,$B$2:$B383,"SBA 26/*",$F$2:$F383,"&lt;&gt;"),"")</f>
        <v>1</v>
      </c>
      <c r="AB383" s="29">
        <f>IF(AA383=1,COUNTIF($AA$2:AA383,1),"")</f>
        <v>220</v>
      </c>
    </row>
    <row r="384" spans="1:28" ht="78.75" customHeight="1" x14ac:dyDescent="0.2">
      <c r="A384" s="43" t="s">
        <v>1877</v>
      </c>
      <c r="B384" s="43" t="s">
        <v>1878</v>
      </c>
      <c r="C384" s="44" t="s">
        <v>1432</v>
      </c>
      <c r="D384" s="44" t="s">
        <v>113</v>
      </c>
      <c r="E384" s="45" t="s">
        <v>1879</v>
      </c>
      <c r="F384" s="45" t="s">
        <v>1880</v>
      </c>
      <c r="G384" s="46" t="s">
        <v>38</v>
      </c>
      <c r="H384" s="48">
        <v>46121</v>
      </c>
      <c r="I384" s="48">
        <v>46140</v>
      </c>
      <c r="J384" s="44" t="s">
        <v>116</v>
      </c>
      <c r="K384" s="44" t="s">
        <v>92</v>
      </c>
      <c r="L384" s="50" t="s">
        <v>77</v>
      </c>
      <c r="M384" s="50"/>
      <c r="N384" s="50"/>
      <c r="O384" s="49"/>
      <c r="P384" s="50" t="str">
        <f t="shared" si="20"/>
        <v>ONAY</v>
      </c>
      <c r="R384" s="51" t="str">
        <f t="shared" si="21"/>
        <v/>
      </c>
      <c r="T384" s="41"/>
      <c r="U384" s="29">
        <f>IF($C384&lt;&gt;"",COUNTIF($C$2:C384,C384),"")</f>
        <v>6</v>
      </c>
      <c r="V384" s="29" t="str">
        <f t="shared" si="22"/>
        <v>Prof. Dr. Taylan KAV§6</v>
      </c>
      <c r="W384" s="29" t="str">
        <f>IF(U384=1,COUNTIF($U$2:U384,1),"")</f>
        <v/>
      </c>
      <c r="X384" s="29" t="str">
        <f t="shared" si="23"/>
        <v/>
      </c>
      <c r="Y384" s="29">
        <f>IF(AND(LEFT($B384,7)="SBA 26/",$D384&lt;&gt;"",$F384&lt;&gt;""),COUNTIFS($D$2:$D384,$D384,$B$2:$B384,"SBA 26/*",$F$2:$F384,"&lt;&gt;"),"")</f>
        <v>59</v>
      </c>
      <c r="Z384" s="29" t="str">
        <f>IF(Y384=1,COUNTIF($Y$2:Y384,1),"")</f>
        <v/>
      </c>
      <c r="AA384" s="29">
        <f>IF(AND(LEFT($B384,7)="SBA 26/",$C384&lt;&gt;"",$F384&lt;&gt;""),COUNTIFS($C$2:$C384,$C384,$B$2:$B384,"SBA 26/*",$F$2:$F384,"&lt;&gt;"),"")</f>
        <v>6</v>
      </c>
      <c r="AB384" s="29" t="str">
        <f>IF(AA384=1,COUNTIF($AA$2:AA384,1),"")</f>
        <v/>
      </c>
    </row>
    <row r="385" spans="1:28" ht="80.25" customHeight="1" x14ac:dyDescent="0.2">
      <c r="A385" s="43" t="s">
        <v>1881</v>
      </c>
      <c r="B385" s="43" t="s">
        <v>1882</v>
      </c>
      <c r="C385" s="44" t="s">
        <v>1708</v>
      </c>
      <c r="D385" s="44" t="s">
        <v>113</v>
      </c>
      <c r="E385" s="45" t="s">
        <v>1883</v>
      </c>
      <c r="F385" s="45" t="s">
        <v>1884</v>
      </c>
      <c r="G385" s="46" t="s">
        <v>38</v>
      </c>
      <c r="H385" s="48">
        <v>46121</v>
      </c>
      <c r="I385" s="48">
        <v>46140</v>
      </c>
      <c r="J385" s="44" t="s">
        <v>129</v>
      </c>
      <c r="K385" s="44" t="s">
        <v>75</v>
      </c>
      <c r="L385" s="50" t="s">
        <v>101</v>
      </c>
      <c r="M385" s="50" t="s">
        <v>101</v>
      </c>
      <c r="N385" s="50"/>
      <c r="O385" s="49"/>
      <c r="P385" s="50" t="str">
        <f t="shared" si="20"/>
        <v>DÜZELTME</v>
      </c>
      <c r="R385" s="51" t="str">
        <f t="shared" si="21"/>
        <v/>
      </c>
      <c r="T385" s="41"/>
      <c r="U385" s="29">
        <f>IF($C385&lt;&gt;"",COUNTIF($C$2:C385,C385),"")</f>
        <v>2</v>
      </c>
      <c r="V385" s="29" t="str">
        <f t="shared" si="22"/>
        <v>Doç. Dr. Cem ŞİMŞEK§2</v>
      </c>
      <c r="W385" s="29" t="str">
        <f>IF(U385=1,COUNTIF($U$2:U385,1),"")</f>
        <v/>
      </c>
      <c r="X385" s="29" t="str">
        <f t="shared" si="23"/>
        <v/>
      </c>
      <c r="Y385" s="29">
        <f>IF(AND(LEFT($B385,7)="SBA 26/",$D385&lt;&gt;"",$F385&lt;&gt;""),COUNTIFS($D$2:$D385,$D385,$B$2:$B385,"SBA 26/*",$F$2:$F385,"&lt;&gt;"),"")</f>
        <v>60</v>
      </c>
      <c r="Z385" s="29" t="str">
        <f>IF(Y385=1,COUNTIF($Y$2:Y385,1),"")</f>
        <v/>
      </c>
      <c r="AA385" s="29">
        <f>IF(AND(LEFT($B385,7)="SBA 26/",$C385&lt;&gt;"",$F385&lt;&gt;""),COUNTIFS($C$2:$C385,$C385,$B$2:$B385,"SBA 26/*",$F$2:$F385,"&lt;&gt;"),"")</f>
        <v>2</v>
      </c>
      <c r="AB385" s="29" t="str">
        <f>IF(AA385=1,COUNTIF($AA$2:AA385,1),"")</f>
        <v/>
      </c>
    </row>
    <row r="386" spans="1:28" ht="63" customHeight="1" x14ac:dyDescent="0.2">
      <c r="A386" s="43" t="s">
        <v>1885</v>
      </c>
      <c r="B386" s="43" t="s">
        <v>1886</v>
      </c>
      <c r="C386" s="44" t="s">
        <v>519</v>
      </c>
      <c r="D386" s="44" t="s">
        <v>364</v>
      </c>
      <c r="E386" s="45" t="s">
        <v>1887</v>
      </c>
      <c r="F386" s="45" t="s">
        <v>1888</v>
      </c>
      <c r="G386" s="46" t="s">
        <v>38</v>
      </c>
      <c r="H386" s="48">
        <v>46121</v>
      </c>
      <c r="I386" s="48">
        <v>46140</v>
      </c>
      <c r="J386" s="44" t="s">
        <v>108</v>
      </c>
      <c r="K386" s="44" t="s">
        <v>129</v>
      </c>
      <c r="L386" s="50" t="s">
        <v>77</v>
      </c>
      <c r="M386" s="50"/>
      <c r="N386" s="50"/>
      <c r="O386" s="49"/>
      <c r="P386" s="50" t="str">
        <f t="shared" ref="P386:P449" si="24">IF(O386&lt;&gt;"",O386, IF(N386&lt;&gt;"",N386, IF(M386&lt;&gt;"",M386, L386)))</f>
        <v>ONAY</v>
      </c>
      <c r="R386" s="51" t="str">
        <f t="shared" ref="R386:R449" si="25">IF(AND($I386&lt;&gt;"",$I386&gt;=DATE(2026,6,23),COUNTIFS($C:$C,$C386,$I:$I,$I386)&gt;2),"⚠ "&amp;COUNTIFS($C:$C,$C386,$I:$I,$I386)&amp;" BAŞVURU!","")</f>
        <v/>
      </c>
      <c r="T386" s="41"/>
      <c r="U386" s="29">
        <f>IF($C386&lt;&gt;"",COUNTIF($C$2:C386,C386),"")</f>
        <v>3</v>
      </c>
      <c r="V386" s="29" t="str">
        <f t="shared" ref="V386:V449" si="26">IF($C386&lt;&gt;"",C386&amp;"§"&amp;U386,"")</f>
        <v>Prof. Dr. Neşe DERİCİOĞLU§3</v>
      </c>
      <c r="W386" s="29" t="str">
        <f>IF(U386=1,COUNTIF($U$2:U386,1),"")</f>
        <v/>
      </c>
      <c r="X386" s="29" t="str">
        <f t="shared" ref="X386:X449" si="27">IF(U386=1,SUMPRODUCT(($U$2:$U$1799=1)*($C$2:$C$1799&lt;C386))+1,"")</f>
        <v/>
      </c>
      <c r="Y386" s="29">
        <f>IF(AND(LEFT($B386,7)="SBA 26/",$D386&lt;&gt;"",$F386&lt;&gt;""),COUNTIFS($D$2:$D386,$D386,$B$2:$B386,"SBA 26/*",$F$2:$F386,"&lt;&gt;"),"")</f>
        <v>14</v>
      </c>
      <c r="Z386" s="29" t="str">
        <f>IF(Y386=1,COUNTIF($Y$2:Y386,1),"")</f>
        <v/>
      </c>
      <c r="AA386" s="29">
        <f>IF(AND(LEFT($B386,7)="SBA 26/",$C386&lt;&gt;"",$F386&lt;&gt;""),COUNTIFS($C$2:$C386,$C386,$B$2:$B386,"SBA 26/*",$F$2:$F386,"&lt;&gt;"),"")</f>
        <v>3</v>
      </c>
      <c r="AB386" s="29" t="str">
        <f>IF(AA386=1,COUNTIF($AA$2:AA386,1),"")</f>
        <v/>
      </c>
    </row>
    <row r="387" spans="1:28" ht="63" customHeight="1" x14ac:dyDescent="0.2">
      <c r="A387" s="43" t="s">
        <v>1889</v>
      </c>
      <c r="B387" s="43" t="s">
        <v>1890</v>
      </c>
      <c r="C387" s="44" t="s">
        <v>324</v>
      </c>
      <c r="D387" s="44" t="s">
        <v>325</v>
      </c>
      <c r="E387" s="45" t="s">
        <v>1891</v>
      </c>
      <c r="F387" s="45" t="s">
        <v>1892</v>
      </c>
      <c r="G387" s="46" t="s">
        <v>39</v>
      </c>
      <c r="H387" s="48">
        <v>46122</v>
      </c>
      <c r="I387" s="48">
        <v>46140</v>
      </c>
      <c r="J387" s="44" t="s">
        <v>99</v>
      </c>
      <c r="K387" s="44" t="s">
        <v>123</v>
      </c>
      <c r="L387" s="50" t="s">
        <v>77</v>
      </c>
      <c r="M387" s="50"/>
      <c r="N387" s="50"/>
      <c r="O387" s="49"/>
      <c r="P387" s="50" t="str">
        <f t="shared" si="24"/>
        <v>ONAY</v>
      </c>
      <c r="R387" s="51" t="str">
        <f t="shared" si="25"/>
        <v/>
      </c>
      <c r="T387" s="41"/>
      <c r="U387" s="29">
        <f>IF($C387&lt;&gt;"",COUNTIF($C$2:C387,C387),"")</f>
        <v>3</v>
      </c>
      <c r="V387" s="29" t="str">
        <f t="shared" si="26"/>
        <v>Prof. Dr. Dilek ASLAN§3</v>
      </c>
      <c r="W387" s="29" t="str">
        <f>IF(U387=1,COUNTIF($U$2:U387,1),"")</f>
        <v/>
      </c>
      <c r="X387" s="29" t="str">
        <f t="shared" si="27"/>
        <v/>
      </c>
      <c r="Y387" s="29">
        <f>IF(AND(LEFT($B387,7)="SBA 26/",$D387&lt;&gt;"",$F387&lt;&gt;""),COUNTIFS($D$2:$D387,$D387,$B$2:$B387,"SBA 26/*",$F$2:$F387,"&lt;&gt;"),"")</f>
        <v>5</v>
      </c>
      <c r="Z387" s="29" t="str">
        <f>IF(Y387=1,COUNTIF($Y$2:Y387,1),"")</f>
        <v/>
      </c>
      <c r="AA387" s="29">
        <f>IF(AND(LEFT($B387,7)="SBA 26/",$C387&lt;&gt;"",$F387&lt;&gt;""),COUNTIFS($C$2:$C387,$C387,$B$2:$B387,"SBA 26/*",$F$2:$F387,"&lt;&gt;"),"")</f>
        <v>3</v>
      </c>
      <c r="AB387" s="29" t="str">
        <f>IF(AA387=1,COUNTIF($AA$2:AA387,1),"")</f>
        <v/>
      </c>
    </row>
    <row r="388" spans="1:28" ht="94.5" customHeight="1" x14ac:dyDescent="0.2">
      <c r="A388" s="43" t="s">
        <v>1893</v>
      </c>
      <c r="B388" s="43" t="s">
        <v>1894</v>
      </c>
      <c r="C388" s="44" t="s">
        <v>1895</v>
      </c>
      <c r="D388" s="44" t="s">
        <v>1896</v>
      </c>
      <c r="E388" s="45" t="s">
        <v>1897</v>
      </c>
      <c r="F388" s="45" t="s">
        <v>1898</v>
      </c>
      <c r="G388" s="46" t="s">
        <v>40</v>
      </c>
      <c r="H388" s="48">
        <v>46125</v>
      </c>
      <c r="I388" s="48">
        <v>46140</v>
      </c>
      <c r="J388" s="44" t="s">
        <v>116</v>
      </c>
      <c r="K388" s="44" t="s">
        <v>84</v>
      </c>
      <c r="L388" s="50" t="s">
        <v>101</v>
      </c>
      <c r="M388" s="50" t="s">
        <v>77</v>
      </c>
      <c r="N388" s="50"/>
      <c r="O388" s="49"/>
      <c r="P388" s="50" t="str">
        <f t="shared" si="24"/>
        <v>ONAY</v>
      </c>
      <c r="Q388" s="28" t="s">
        <v>84</v>
      </c>
      <c r="R388" s="51" t="str">
        <f t="shared" si="25"/>
        <v/>
      </c>
      <c r="T388" s="41"/>
      <c r="U388" s="29">
        <f>IF($C388&lt;&gt;"",COUNTIF($C$2:C388,C388),"")</f>
        <v>1</v>
      </c>
      <c r="V388" s="29" t="str">
        <f t="shared" si="26"/>
        <v>Dr. Öğr. Üyesi Süleyman BULUT§1</v>
      </c>
      <c r="W388" s="29">
        <f>IF(U388=1,COUNTIF($U$2:U388,1),"")</f>
        <v>221</v>
      </c>
      <c r="X388" s="29">
        <f t="shared" si="27"/>
        <v>162</v>
      </c>
      <c r="Y388" s="29">
        <f>IF(AND(LEFT($B388,7)="SBA 26/",$D388&lt;&gt;"",$F388&lt;&gt;""),COUNTIFS($D$2:$D388,$D388,$B$2:$B388,"SBA 26/*",$F$2:$F388,"&lt;&gt;"),"")</f>
        <v>1</v>
      </c>
      <c r="Z388" s="29">
        <f>IF(Y388=1,COUNTIF($Y$2:Y388,1),"")</f>
        <v>64</v>
      </c>
      <c r="AA388" s="29">
        <f>IF(AND(LEFT($B388,7)="SBA 26/",$C388&lt;&gt;"",$F388&lt;&gt;""),COUNTIFS($C$2:$C388,$C388,$B$2:$B388,"SBA 26/*",$F$2:$F388,"&lt;&gt;"),"")</f>
        <v>1</v>
      </c>
      <c r="AB388" s="29">
        <f>IF(AA388=1,COUNTIF($AA$2:AA388,1),"")</f>
        <v>221</v>
      </c>
    </row>
    <row r="389" spans="1:28" ht="78.75" customHeight="1" x14ac:dyDescent="0.2">
      <c r="A389" s="43" t="s">
        <v>1899</v>
      </c>
      <c r="B389" s="43" t="s">
        <v>1900</v>
      </c>
      <c r="C389" s="44" t="s">
        <v>1247</v>
      </c>
      <c r="D389" s="44" t="s">
        <v>222</v>
      </c>
      <c r="E389" s="45" t="s">
        <v>1901</v>
      </c>
      <c r="F389" s="45" t="s">
        <v>1902</v>
      </c>
      <c r="G389" s="46" t="s">
        <v>38</v>
      </c>
      <c r="H389" s="48">
        <v>46125</v>
      </c>
      <c r="I389" s="48">
        <v>46140</v>
      </c>
      <c r="J389" s="44" t="s">
        <v>91</v>
      </c>
      <c r="K389" s="44" t="s">
        <v>123</v>
      </c>
      <c r="L389" s="50" t="s">
        <v>77</v>
      </c>
      <c r="M389" s="50"/>
      <c r="N389" s="50"/>
      <c r="O389" s="49"/>
      <c r="P389" s="50" t="str">
        <f t="shared" si="24"/>
        <v>ONAY</v>
      </c>
      <c r="R389" s="51" t="str">
        <f t="shared" si="25"/>
        <v/>
      </c>
      <c r="T389" s="41"/>
      <c r="U389" s="29">
        <f>IF($C389&lt;&gt;"",COUNTIF($C$2:C389,C389),"")</f>
        <v>2</v>
      </c>
      <c r="V389" s="29" t="str">
        <f t="shared" si="26"/>
        <v>Prof. Dr. Şule ÜNAL CANGÜL§2</v>
      </c>
      <c r="W389" s="29" t="str">
        <f>IF(U389=1,COUNTIF($U$2:U389,1),"")</f>
        <v/>
      </c>
      <c r="X389" s="29" t="str">
        <f t="shared" si="27"/>
        <v/>
      </c>
      <c r="Y389" s="29">
        <f>IF(AND(LEFT($B389,7)="SBA 26/",$D389&lt;&gt;"",$F389&lt;&gt;""),COUNTIFS($D$2:$D389,$D389,$B$2:$B389,"SBA 26/*",$F$2:$F389,"&lt;&gt;"),"")</f>
        <v>56</v>
      </c>
      <c r="Z389" s="29" t="str">
        <f>IF(Y389=1,COUNTIF($Y$2:Y389,1),"")</f>
        <v/>
      </c>
      <c r="AA389" s="29">
        <f>IF(AND(LEFT($B389,7)="SBA 26/",$C389&lt;&gt;"",$F389&lt;&gt;""),COUNTIFS($C$2:$C389,$C389,$B$2:$B389,"SBA 26/*",$F$2:$F389,"&lt;&gt;"),"")</f>
        <v>2</v>
      </c>
      <c r="AB389" s="29" t="str">
        <f>IF(AA389=1,COUNTIF($AA$2:AA389,1),"")</f>
        <v/>
      </c>
    </row>
    <row r="390" spans="1:28" ht="78.75" customHeight="1" x14ac:dyDescent="0.2">
      <c r="A390" s="43" t="s">
        <v>1903</v>
      </c>
      <c r="B390" s="43" t="s">
        <v>1904</v>
      </c>
      <c r="C390" s="44" t="s">
        <v>1247</v>
      </c>
      <c r="D390" s="44" t="s">
        <v>222</v>
      </c>
      <c r="E390" s="45" t="s">
        <v>1905</v>
      </c>
      <c r="F390" s="45" t="s">
        <v>1906</v>
      </c>
      <c r="G390" s="46" t="s">
        <v>38</v>
      </c>
      <c r="H390" s="48">
        <v>46125</v>
      </c>
      <c r="I390" s="48">
        <v>46140</v>
      </c>
      <c r="J390" s="44" t="s">
        <v>91</v>
      </c>
      <c r="K390" s="44" t="s">
        <v>123</v>
      </c>
      <c r="L390" s="50" t="s">
        <v>101</v>
      </c>
      <c r="M390" s="50" t="s">
        <v>77</v>
      </c>
      <c r="N390" s="50"/>
      <c r="O390" s="49"/>
      <c r="P390" s="50" t="str">
        <f t="shared" si="24"/>
        <v>ONAY</v>
      </c>
      <c r="Q390" s="28" t="s">
        <v>123</v>
      </c>
      <c r="R390" s="51" t="str">
        <f t="shared" si="25"/>
        <v/>
      </c>
      <c r="T390" s="41"/>
      <c r="U390" s="29">
        <f>IF($C390&lt;&gt;"",COUNTIF($C$2:C390,C390),"")</f>
        <v>3</v>
      </c>
      <c r="V390" s="29" t="str">
        <f t="shared" si="26"/>
        <v>Prof. Dr. Şule ÜNAL CANGÜL§3</v>
      </c>
      <c r="W390" s="29" t="str">
        <f>IF(U390=1,COUNTIF($U$2:U390,1),"")</f>
        <v/>
      </c>
      <c r="X390" s="29" t="str">
        <f t="shared" si="27"/>
        <v/>
      </c>
      <c r="Y390" s="29">
        <f>IF(AND(LEFT($B390,7)="SBA 26/",$D390&lt;&gt;"",$F390&lt;&gt;""),COUNTIFS($D$2:$D390,$D390,$B$2:$B390,"SBA 26/*",$F$2:$F390,"&lt;&gt;"),"")</f>
        <v>57</v>
      </c>
      <c r="Z390" s="29" t="str">
        <f>IF(Y390=1,COUNTIF($Y$2:Y390,1),"")</f>
        <v/>
      </c>
      <c r="AA390" s="29">
        <f>IF(AND(LEFT($B390,7)="SBA 26/",$C390&lt;&gt;"",$F390&lt;&gt;""),COUNTIFS($C$2:$C390,$C390,$B$2:$B390,"SBA 26/*",$F$2:$F390,"&lt;&gt;"),"")</f>
        <v>3</v>
      </c>
      <c r="AB390" s="29" t="str">
        <f>IF(AA390=1,COUNTIF($AA$2:AA390,1),"")</f>
        <v/>
      </c>
    </row>
    <row r="391" spans="1:28" ht="96" customHeight="1" x14ac:dyDescent="0.2">
      <c r="A391" s="43" t="s">
        <v>1907</v>
      </c>
      <c r="B391" s="43" t="s">
        <v>1908</v>
      </c>
      <c r="C391" s="44" t="s">
        <v>1590</v>
      </c>
      <c r="D391" s="44" t="s">
        <v>341</v>
      </c>
      <c r="E391" s="45" t="s">
        <v>1909</v>
      </c>
      <c r="F391" s="45" t="s">
        <v>1910</v>
      </c>
      <c r="G391" s="46" t="s">
        <v>39</v>
      </c>
      <c r="H391" s="48">
        <v>46125</v>
      </c>
      <c r="I391" s="48">
        <v>46140</v>
      </c>
      <c r="J391" s="44" t="s">
        <v>129</v>
      </c>
      <c r="K391" s="44" t="s">
        <v>84</v>
      </c>
      <c r="L391" s="50" t="s">
        <v>101</v>
      </c>
      <c r="M391" s="50" t="s">
        <v>77</v>
      </c>
      <c r="N391" s="50"/>
      <c r="O391" s="49"/>
      <c r="P391" s="50" t="str">
        <f t="shared" si="24"/>
        <v>ONAY</v>
      </c>
      <c r="Q391" s="28" t="s">
        <v>84</v>
      </c>
      <c r="R391" s="51" t="str">
        <f t="shared" si="25"/>
        <v/>
      </c>
      <c r="T391" s="41"/>
      <c r="U391" s="29">
        <f>IF($C391&lt;&gt;"",COUNTIF($C$2:C391,C391),"")</f>
        <v>2</v>
      </c>
      <c r="V391" s="29" t="str">
        <f t="shared" si="26"/>
        <v>Prof. Dr. Sibel DOĞAN GÜNAYDIN§2</v>
      </c>
      <c r="W391" s="29" t="str">
        <f>IF(U391=1,COUNTIF($U$2:U391,1),"")</f>
        <v/>
      </c>
      <c r="X391" s="29" t="str">
        <f t="shared" si="27"/>
        <v/>
      </c>
      <c r="Y391" s="29">
        <f>IF(AND(LEFT($B391,7)="SBA 26/",$D391&lt;&gt;"",$F391&lt;&gt;""),COUNTIFS($D$2:$D391,$D391,$B$2:$B391,"SBA 26/*",$F$2:$F391,"&lt;&gt;"),"")</f>
        <v>9</v>
      </c>
      <c r="Z391" s="29" t="str">
        <f>IF(Y391=1,COUNTIF($Y$2:Y391,1),"")</f>
        <v/>
      </c>
      <c r="AA391" s="29">
        <f>IF(AND(LEFT($B391,7)="SBA 26/",$C391&lt;&gt;"",$F391&lt;&gt;""),COUNTIFS($C$2:$C391,$C391,$B$2:$B391,"SBA 26/*",$F$2:$F391,"&lt;&gt;"),"")</f>
        <v>2</v>
      </c>
      <c r="AB391" s="29" t="str">
        <f>IF(AA391=1,COUNTIF($AA$2:AA391,1),"")</f>
        <v/>
      </c>
    </row>
    <row r="392" spans="1:28" ht="63" customHeight="1" x14ac:dyDescent="0.2">
      <c r="A392" s="43" t="s">
        <v>1911</v>
      </c>
      <c r="B392" s="43" t="s">
        <v>1912</v>
      </c>
      <c r="C392" s="44" t="s">
        <v>260</v>
      </c>
      <c r="D392" s="44" t="s">
        <v>169</v>
      </c>
      <c r="E392" s="45" t="s">
        <v>1913</v>
      </c>
      <c r="F392" s="45" t="s">
        <v>1914</v>
      </c>
      <c r="G392" s="46" t="s">
        <v>38</v>
      </c>
      <c r="H392" s="48">
        <v>46126</v>
      </c>
      <c r="I392" s="48">
        <v>46140</v>
      </c>
      <c r="J392" s="44" t="s">
        <v>75</v>
      </c>
      <c r="K392" s="44" t="s">
        <v>100</v>
      </c>
      <c r="L392" s="50" t="s">
        <v>77</v>
      </c>
      <c r="M392" s="50"/>
      <c r="N392" s="50"/>
      <c r="O392" s="49"/>
      <c r="P392" s="50" t="str">
        <f t="shared" si="24"/>
        <v>ONAY</v>
      </c>
      <c r="R392" s="51" t="str">
        <f t="shared" si="25"/>
        <v/>
      </c>
      <c r="T392" s="41"/>
      <c r="U392" s="29">
        <f>IF($C392&lt;&gt;"",COUNTIF($C$2:C392,C392),"")</f>
        <v>3</v>
      </c>
      <c r="V392" s="29" t="str">
        <f t="shared" si="26"/>
        <v>Prof. Dr. Ebru DAMADOĞLU§3</v>
      </c>
      <c r="W392" s="29" t="str">
        <f>IF(U392=1,COUNTIF($U$2:U392,1),"")</f>
        <v/>
      </c>
      <c r="X392" s="29" t="str">
        <f t="shared" si="27"/>
        <v/>
      </c>
      <c r="Y392" s="29">
        <f>IF(AND(LEFT($B392,7)="SBA 26/",$D392&lt;&gt;"",$F392&lt;&gt;""),COUNTIFS($D$2:$D392,$D392,$B$2:$B392,"SBA 26/*",$F$2:$F392,"&lt;&gt;"),"")</f>
        <v>14</v>
      </c>
      <c r="Z392" s="29" t="str">
        <f>IF(Y392=1,COUNTIF($Y$2:Y392,1),"")</f>
        <v/>
      </c>
      <c r="AA392" s="29">
        <f>IF(AND(LEFT($B392,7)="SBA 26/",$C392&lt;&gt;"",$F392&lt;&gt;""),COUNTIFS($C$2:$C392,$C392,$B$2:$B392,"SBA 26/*",$F$2:$F392,"&lt;&gt;"),"")</f>
        <v>3</v>
      </c>
      <c r="AB392" s="29" t="str">
        <f>IF(AA392=1,COUNTIF($AA$2:AA392,1),"")</f>
        <v/>
      </c>
    </row>
    <row r="393" spans="1:28" ht="63" customHeight="1" x14ac:dyDescent="0.2">
      <c r="A393" s="43" t="s">
        <v>1915</v>
      </c>
      <c r="B393" s="43" t="s">
        <v>1916</v>
      </c>
      <c r="C393" s="44" t="s">
        <v>800</v>
      </c>
      <c r="D393" s="44" t="s">
        <v>397</v>
      </c>
      <c r="E393" s="45" t="s">
        <v>1917</v>
      </c>
      <c r="F393" s="45" t="s">
        <v>1918</v>
      </c>
      <c r="G393" s="46" t="s">
        <v>38</v>
      </c>
      <c r="H393" s="48">
        <v>46127</v>
      </c>
      <c r="I393" s="48">
        <v>46140</v>
      </c>
      <c r="J393" s="44" t="s">
        <v>109</v>
      </c>
      <c r="K393" s="44" t="s">
        <v>92</v>
      </c>
      <c r="L393" s="50" t="s">
        <v>101</v>
      </c>
      <c r="M393" s="50" t="s">
        <v>77</v>
      </c>
      <c r="N393" s="50"/>
      <c r="O393" s="49"/>
      <c r="P393" s="50" t="str">
        <f t="shared" si="24"/>
        <v>ONAY</v>
      </c>
      <c r="Q393" s="28" t="s">
        <v>109</v>
      </c>
      <c r="R393" s="51" t="str">
        <f t="shared" si="25"/>
        <v/>
      </c>
      <c r="T393" s="41"/>
      <c r="U393" s="29">
        <f>IF($C393&lt;&gt;"",COUNTIF($C$2:C393,C393),"")</f>
        <v>2</v>
      </c>
      <c r="V393" s="29" t="str">
        <f t="shared" si="26"/>
        <v>Dr. Öğr. Üyesi Emre KARA§2</v>
      </c>
      <c r="W393" s="29" t="str">
        <f>IF(U393=1,COUNTIF($U$2:U393,1),"")</f>
        <v/>
      </c>
      <c r="X393" s="29" t="str">
        <f t="shared" si="27"/>
        <v/>
      </c>
      <c r="Y393" s="29">
        <f>IF(AND(LEFT($B393,7)="SBA 26/",$D393&lt;&gt;"",$F393&lt;&gt;""),COUNTIFS($D$2:$D393,$D393,$B$2:$B393,"SBA 26/*",$F$2:$F393,"&lt;&gt;"),"")</f>
        <v>11</v>
      </c>
      <c r="Z393" s="29" t="str">
        <f>IF(Y393=1,COUNTIF($Y$2:Y393,1),"")</f>
        <v/>
      </c>
      <c r="AA393" s="29">
        <f>IF(AND(LEFT($B393,7)="SBA 26/",$C393&lt;&gt;"",$F393&lt;&gt;""),COUNTIFS($C$2:$C393,$C393,$B$2:$B393,"SBA 26/*",$F$2:$F393,"&lt;&gt;"),"")</f>
        <v>2</v>
      </c>
      <c r="AB393" s="29" t="str">
        <f>IF(AA393=1,COUNTIF($AA$2:AA393,1),"")</f>
        <v/>
      </c>
    </row>
    <row r="394" spans="1:28" ht="47.25" customHeight="1" x14ac:dyDescent="0.2">
      <c r="A394" s="43" t="s">
        <v>1919</v>
      </c>
      <c r="B394" s="43" t="s">
        <v>1920</v>
      </c>
      <c r="C394" s="44" t="s">
        <v>1921</v>
      </c>
      <c r="D394" s="44" t="s">
        <v>88</v>
      </c>
      <c r="E394" s="45" t="s">
        <v>1922</v>
      </c>
      <c r="F394" s="45" t="s">
        <v>1923</v>
      </c>
      <c r="G394" s="46" t="s">
        <v>38</v>
      </c>
      <c r="H394" s="48">
        <v>46127</v>
      </c>
      <c r="I394" s="48">
        <v>46140</v>
      </c>
      <c r="J394" s="44" t="s">
        <v>92</v>
      </c>
      <c r="K394" s="44" t="s">
        <v>100</v>
      </c>
      <c r="L394" s="50" t="s">
        <v>77</v>
      </c>
      <c r="M394" s="50"/>
      <c r="N394" s="50"/>
      <c r="O394" s="49"/>
      <c r="P394" s="50" t="str">
        <f t="shared" si="24"/>
        <v>ONAY</v>
      </c>
      <c r="R394" s="51" t="str">
        <f t="shared" si="25"/>
        <v/>
      </c>
      <c r="T394" s="41"/>
      <c r="U394" s="29">
        <f>IF($C394&lt;&gt;"",COUNTIF($C$2:C394,C394),"")</f>
        <v>1</v>
      </c>
      <c r="V394" s="29" t="str">
        <f t="shared" si="26"/>
        <v>Dr. Öğr. Üyesi Ahmet Gürkan ERDEMİR§1</v>
      </c>
      <c r="W394" s="29">
        <f>IF(U394=1,COUNTIF($U$2:U394,1),"")</f>
        <v>222</v>
      </c>
      <c r="X394" s="29">
        <f t="shared" si="27"/>
        <v>109</v>
      </c>
      <c r="Y394" s="29">
        <f>IF(AND(LEFT($B394,7)="SBA 26/",$D394&lt;&gt;"",$F394&lt;&gt;""),COUNTIFS($D$2:$D394,$D394,$B$2:$B394,"SBA 26/*",$F$2:$F394,"&lt;&gt;"),"")</f>
        <v>15</v>
      </c>
      <c r="Z394" s="29" t="str">
        <f>IF(Y394=1,COUNTIF($Y$2:Y394,1),"")</f>
        <v/>
      </c>
      <c r="AA394" s="29">
        <f>IF(AND(LEFT($B394,7)="SBA 26/",$C394&lt;&gt;"",$F394&lt;&gt;""),COUNTIFS($C$2:$C394,$C394,$B$2:$B394,"SBA 26/*",$F$2:$F394,"&lt;&gt;"),"")</f>
        <v>1</v>
      </c>
      <c r="AB394" s="29">
        <f>IF(AA394=1,COUNTIF($AA$2:AA394,1),"")</f>
        <v>222</v>
      </c>
    </row>
    <row r="395" spans="1:28" ht="63" customHeight="1" x14ac:dyDescent="0.2">
      <c r="A395" s="43" t="s">
        <v>1924</v>
      </c>
      <c r="B395" s="43" t="s">
        <v>1925</v>
      </c>
      <c r="C395" s="44" t="s">
        <v>1926</v>
      </c>
      <c r="D395" s="44" t="s">
        <v>88</v>
      </c>
      <c r="E395" s="45" t="s">
        <v>1927</v>
      </c>
      <c r="F395" s="45" t="s">
        <v>1928</v>
      </c>
      <c r="G395" s="46" t="s">
        <v>38</v>
      </c>
      <c r="H395" s="48">
        <v>46127</v>
      </c>
      <c r="I395" s="48">
        <v>46140</v>
      </c>
      <c r="J395" s="44" t="s">
        <v>92</v>
      </c>
      <c r="K395" s="44" t="s">
        <v>129</v>
      </c>
      <c r="L395" s="50" t="s">
        <v>77</v>
      </c>
      <c r="M395" s="50"/>
      <c r="N395" s="50"/>
      <c r="O395" s="49"/>
      <c r="P395" s="50" t="str">
        <f t="shared" si="24"/>
        <v>ONAY</v>
      </c>
      <c r="R395" s="51" t="str">
        <f t="shared" si="25"/>
        <v/>
      </c>
      <c r="T395" s="41"/>
      <c r="U395" s="29">
        <f>IF($C395&lt;&gt;"",COUNTIF($C$2:C395,C395),"")</f>
        <v>1</v>
      </c>
      <c r="V395" s="29" t="str">
        <f t="shared" si="26"/>
        <v>Doç. Dr. Rahşan GÖÇMEN§1</v>
      </c>
      <c r="W395" s="29">
        <f>IF(U395=1,COUNTIF($U$2:U395,1),"")</f>
        <v>223</v>
      </c>
      <c r="X395" s="29">
        <f t="shared" si="27"/>
        <v>91</v>
      </c>
      <c r="Y395" s="29">
        <f>IF(AND(LEFT($B395,7)="SBA 26/",$D395&lt;&gt;"",$F395&lt;&gt;""),COUNTIFS($D$2:$D395,$D395,$B$2:$B395,"SBA 26/*",$F$2:$F395,"&lt;&gt;"),"")</f>
        <v>16</v>
      </c>
      <c r="Z395" s="29" t="str">
        <f>IF(Y395=1,COUNTIF($Y$2:Y395,1),"")</f>
        <v/>
      </c>
      <c r="AA395" s="29">
        <f>IF(AND(LEFT($B395,7)="SBA 26/",$C395&lt;&gt;"",$F395&lt;&gt;""),COUNTIFS($C$2:$C395,$C395,$B$2:$B395,"SBA 26/*",$F$2:$F395,"&lt;&gt;"),"")</f>
        <v>1</v>
      </c>
      <c r="AB395" s="29">
        <f>IF(AA395=1,COUNTIF($AA$2:AA395,1),"")</f>
        <v>223</v>
      </c>
    </row>
    <row r="396" spans="1:28" ht="63" customHeight="1" x14ac:dyDescent="0.2">
      <c r="A396" s="43" t="s">
        <v>1929</v>
      </c>
      <c r="B396" s="43" t="s">
        <v>1930</v>
      </c>
      <c r="C396" s="44" t="s">
        <v>100</v>
      </c>
      <c r="D396" s="44" t="s">
        <v>133</v>
      </c>
      <c r="E396" s="45" t="s">
        <v>1931</v>
      </c>
      <c r="F396" s="45" t="s">
        <v>1932</v>
      </c>
      <c r="G396" s="46" t="s">
        <v>39</v>
      </c>
      <c r="H396" s="48">
        <v>46127</v>
      </c>
      <c r="I396" s="48">
        <v>46140</v>
      </c>
      <c r="J396" s="44" t="s">
        <v>108</v>
      </c>
      <c r="K396" s="44" t="s">
        <v>99</v>
      </c>
      <c r="L396" s="50" t="s">
        <v>77</v>
      </c>
      <c r="M396" s="50"/>
      <c r="N396" s="50"/>
      <c r="O396" s="49"/>
      <c r="P396" s="50" t="str">
        <f t="shared" si="24"/>
        <v>ONAY</v>
      </c>
      <c r="R396" s="51" t="str">
        <f t="shared" si="25"/>
        <v/>
      </c>
      <c r="T396" s="41"/>
      <c r="U396" s="29">
        <f>IF($C396&lt;&gt;"",COUNTIF($C$2:C396,C396),"")</f>
        <v>2</v>
      </c>
      <c r="V396" s="29" t="str">
        <f t="shared" si="26"/>
        <v>Doç. Dr. Burcu ERSÖZ ALAN§2</v>
      </c>
      <c r="W396" s="29" t="str">
        <f>IF(U396=1,COUNTIF($U$2:U396,1),"")</f>
        <v/>
      </c>
      <c r="X396" s="29" t="str">
        <f t="shared" si="27"/>
        <v/>
      </c>
      <c r="Y396" s="29">
        <f>IF(AND(LEFT($B396,7)="SBA 26/",$D396&lt;&gt;"",$F396&lt;&gt;""),COUNTIFS($D$2:$D396,$D396,$B$2:$B396,"SBA 26/*",$F$2:$F396,"&lt;&gt;"),"")</f>
        <v>11</v>
      </c>
      <c r="Z396" s="29" t="str">
        <f>IF(Y396=1,COUNTIF($Y$2:Y396,1),"")</f>
        <v/>
      </c>
      <c r="AA396" s="29">
        <f>IF(AND(LEFT($B396,7)="SBA 26/",$C396&lt;&gt;"",$F396&lt;&gt;""),COUNTIFS($C$2:$C396,$C396,$B$2:$B396,"SBA 26/*",$F$2:$F396,"&lt;&gt;"),"")</f>
        <v>2</v>
      </c>
      <c r="AB396" s="29" t="str">
        <f>IF(AA396=1,COUNTIF($AA$2:AA396,1),"")</f>
        <v/>
      </c>
    </row>
    <row r="397" spans="1:28" ht="79.5" customHeight="1" x14ac:dyDescent="0.2">
      <c r="A397" s="43" t="s">
        <v>1933</v>
      </c>
      <c r="B397" s="43" t="s">
        <v>1934</v>
      </c>
      <c r="C397" s="44" t="s">
        <v>1052</v>
      </c>
      <c r="D397" s="44" t="s">
        <v>113</v>
      </c>
      <c r="E397" s="45" t="s">
        <v>1643</v>
      </c>
      <c r="F397" s="45" t="s">
        <v>1935</v>
      </c>
      <c r="G397" s="46" t="s">
        <v>38</v>
      </c>
      <c r="H397" s="48">
        <v>46127</v>
      </c>
      <c r="I397" s="48">
        <v>46140</v>
      </c>
      <c r="J397" s="44" t="s">
        <v>91</v>
      </c>
      <c r="K397" s="44" t="s">
        <v>116</v>
      </c>
      <c r="L397" s="50" t="s">
        <v>101</v>
      </c>
      <c r="M397" s="50" t="s">
        <v>77</v>
      </c>
      <c r="N397" s="50"/>
      <c r="O397" s="49"/>
      <c r="P397" s="50" t="str">
        <f t="shared" si="24"/>
        <v>ONAY</v>
      </c>
      <c r="Q397" s="28" t="s">
        <v>116</v>
      </c>
      <c r="R397" s="51" t="str">
        <f t="shared" si="25"/>
        <v/>
      </c>
      <c r="T397" s="41"/>
      <c r="U397" s="29">
        <f>IF($C397&lt;&gt;"",COUNTIF($C$2:C397,C397),"")</f>
        <v>5</v>
      </c>
      <c r="V397" s="29" t="str">
        <f t="shared" si="26"/>
        <v>Prof. Dr. Mustafa CANKURTARAN§5</v>
      </c>
      <c r="W397" s="29" t="str">
        <f>IF(U397=1,COUNTIF($U$2:U397,1),"")</f>
        <v/>
      </c>
      <c r="X397" s="29" t="str">
        <f t="shared" si="27"/>
        <v/>
      </c>
      <c r="Y397" s="29">
        <f>IF(AND(LEFT($B397,7)="SBA 26/",$D397&lt;&gt;"",$F397&lt;&gt;""),COUNTIFS($D$2:$D397,$D397,$B$2:$B397,"SBA 26/*",$F$2:$F397,"&lt;&gt;"),"")</f>
        <v>61</v>
      </c>
      <c r="Z397" s="29" t="str">
        <f>IF(Y397=1,COUNTIF($Y$2:Y397,1),"")</f>
        <v/>
      </c>
      <c r="AA397" s="29">
        <f>IF(AND(LEFT($B397,7)="SBA 26/",$C397&lt;&gt;"",$F397&lt;&gt;""),COUNTIFS($C$2:$C397,$C397,$B$2:$B397,"SBA 26/*",$F$2:$F397,"&lt;&gt;"),"")</f>
        <v>5</v>
      </c>
      <c r="AB397" s="29" t="str">
        <f>IF(AA397=1,COUNTIF($AA$2:AA397,1),"")</f>
        <v/>
      </c>
    </row>
    <row r="398" spans="1:28" ht="94.5" customHeight="1" x14ac:dyDescent="0.2">
      <c r="A398" s="43" t="s">
        <v>1936</v>
      </c>
      <c r="B398" s="43" t="s">
        <v>1937</v>
      </c>
      <c r="C398" s="44" t="s">
        <v>1938</v>
      </c>
      <c r="D398" s="44" t="s">
        <v>150</v>
      </c>
      <c r="E398" s="45" t="s">
        <v>1939</v>
      </c>
      <c r="F398" s="45" t="s">
        <v>1940</v>
      </c>
      <c r="G398" s="46" t="s">
        <v>39</v>
      </c>
      <c r="H398" s="48">
        <v>46127</v>
      </c>
      <c r="I398" s="48">
        <v>46140</v>
      </c>
      <c r="J398" s="44" t="s">
        <v>109</v>
      </c>
      <c r="K398" s="44" t="s">
        <v>84</v>
      </c>
      <c r="L398" s="50" t="s">
        <v>101</v>
      </c>
      <c r="M398" s="50" t="s">
        <v>77</v>
      </c>
      <c r="N398" s="50"/>
      <c r="O398" s="49"/>
      <c r="P398" s="50" t="str">
        <f t="shared" si="24"/>
        <v>ONAY</v>
      </c>
      <c r="Q398" s="28" t="s">
        <v>109</v>
      </c>
      <c r="R398" s="51" t="str">
        <f t="shared" si="25"/>
        <v/>
      </c>
      <c r="T398" s="41"/>
      <c r="U398" s="29">
        <f>IF($C398&lt;&gt;"",COUNTIF($C$2:C398,C398),"")</f>
        <v>1</v>
      </c>
      <c r="V398" s="29" t="str">
        <f t="shared" si="26"/>
        <v>Prof. Dr. Pergin ATİLLA§1</v>
      </c>
      <c r="W398" s="29">
        <f>IF(U398=1,COUNTIF($U$2:U398,1),"")</f>
        <v>224</v>
      </c>
      <c r="X398" s="29">
        <f t="shared" si="27"/>
        <v>294</v>
      </c>
      <c r="Y398" s="29">
        <f>IF(AND(LEFT($B398,7)="SBA 26/",$D398&lt;&gt;"",$F398&lt;&gt;""),COUNTIFS($D$2:$D398,$D398,$B$2:$B398,"SBA 26/*",$F$2:$F398,"&lt;&gt;"),"")</f>
        <v>4</v>
      </c>
      <c r="Z398" s="29" t="str">
        <f>IF(Y398=1,COUNTIF($Y$2:Y398,1),"")</f>
        <v/>
      </c>
      <c r="AA398" s="29">
        <f>IF(AND(LEFT($B398,7)="SBA 26/",$C398&lt;&gt;"",$F398&lt;&gt;""),COUNTIFS($C$2:$C398,$C398,$B$2:$B398,"SBA 26/*",$F$2:$F398,"&lt;&gt;"),"")</f>
        <v>1</v>
      </c>
      <c r="AB398" s="29">
        <f>IF(AA398=1,COUNTIF($AA$2:AA398,1),"")</f>
        <v>224</v>
      </c>
    </row>
    <row r="399" spans="1:28" ht="78.75" customHeight="1" x14ac:dyDescent="0.2">
      <c r="A399" s="43" t="s">
        <v>1941</v>
      </c>
      <c r="B399" s="43" t="s">
        <v>1942</v>
      </c>
      <c r="C399" s="44" t="s">
        <v>1943</v>
      </c>
      <c r="D399" s="44" t="s">
        <v>1944</v>
      </c>
      <c r="E399" s="45" t="s">
        <v>1945</v>
      </c>
      <c r="F399" s="45" t="s">
        <v>1946</v>
      </c>
      <c r="G399" s="46" t="s">
        <v>41</v>
      </c>
      <c r="H399" s="48">
        <v>46127</v>
      </c>
      <c r="I399" s="48">
        <v>46140</v>
      </c>
      <c r="J399" s="44" t="s">
        <v>92</v>
      </c>
      <c r="K399" s="44" t="s">
        <v>100</v>
      </c>
      <c r="L399" s="50" t="s">
        <v>77</v>
      </c>
      <c r="M399" s="50"/>
      <c r="N399" s="50"/>
      <c r="O399" s="49"/>
      <c r="P399" s="50" t="str">
        <f t="shared" si="24"/>
        <v>ONAY</v>
      </c>
      <c r="R399" s="51" t="str">
        <f t="shared" si="25"/>
        <v/>
      </c>
      <c r="T399" s="41"/>
      <c r="U399" s="29">
        <f>IF($C399&lt;&gt;"",COUNTIF($C$2:C399,C399),"")</f>
        <v>1</v>
      </c>
      <c r="V399" s="29" t="str">
        <f t="shared" si="26"/>
        <v>Prof. Dr. Abdullah Ruhi SOYLU§1</v>
      </c>
      <c r="W399" s="29">
        <f>IF(U399=1,COUNTIF($U$2:U399,1),"")</f>
        <v>225</v>
      </c>
      <c r="X399" s="29">
        <f t="shared" si="27"/>
        <v>179</v>
      </c>
      <c r="Y399" s="29">
        <f>IF(AND(LEFT($B399,7)="SBA 26/",$D399&lt;&gt;"",$F399&lt;&gt;""),COUNTIFS($D$2:$D399,$D399,$B$2:$B399,"SBA 26/*",$F$2:$F399,"&lt;&gt;"),"")</f>
        <v>1</v>
      </c>
      <c r="Z399" s="29">
        <f>IF(Y399=1,COUNTIF($Y$2:Y399,1),"")</f>
        <v>65</v>
      </c>
      <c r="AA399" s="29">
        <f>IF(AND(LEFT($B399,7)="SBA 26/",$C399&lt;&gt;"",$F399&lt;&gt;""),COUNTIFS($C$2:$C399,$C399,$B$2:$B399,"SBA 26/*",$F$2:$F399,"&lt;&gt;"),"")</f>
        <v>1</v>
      </c>
      <c r="AB399" s="29">
        <f>IF(AA399=1,COUNTIF($AA$2:AA399,1),"")</f>
        <v>225</v>
      </c>
    </row>
    <row r="400" spans="1:28" ht="63" customHeight="1" x14ac:dyDescent="0.2">
      <c r="A400" s="43" t="s">
        <v>1947</v>
      </c>
      <c r="B400" s="43" t="s">
        <v>1948</v>
      </c>
      <c r="C400" s="44" t="s">
        <v>1949</v>
      </c>
      <c r="D400" s="44" t="s">
        <v>120</v>
      </c>
      <c r="E400" s="45" t="s">
        <v>1950</v>
      </c>
      <c r="F400" s="45" t="s">
        <v>1951</v>
      </c>
      <c r="G400" s="46" t="s">
        <v>38</v>
      </c>
      <c r="H400" s="48">
        <v>46127</v>
      </c>
      <c r="I400" s="48">
        <v>46140</v>
      </c>
      <c r="J400" s="44" t="s">
        <v>123</v>
      </c>
      <c r="K400" s="44" t="s">
        <v>99</v>
      </c>
      <c r="L400" s="50" t="s">
        <v>77</v>
      </c>
      <c r="M400" s="50"/>
      <c r="N400" s="50"/>
      <c r="O400" s="49"/>
      <c r="P400" s="50" t="str">
        <f t="shared" si="24"/>
        <v>ONAY</v>
      </c>
      <c r="R400" s="51" t="str">
        <f t="shared" si="25"/>
        <v/>
      </c>
      <c r="T400" s="41"/>
      <c r="U400" s="29">
        <f>IF($C400&lt;&gt;"",COUNTIF($C$2:C400,C400),"")</f>
        <v>1</v>
      </c>
      <c r="V400" s="29" t="str">
        <f t="shared" si="26"/>
        <v>Doç. Dr. Eda Ezgi ASLANTAŞ§1</v>
      </c>
      <c r="W400" s="29">
        <f>IF(U400=1,COUNTIF($U$2:U400,1),"")</f>
        <v>226</v>
      </c>
      <c r="X400" s="29">
        <f t="shared" si="27"/>
        <v>40</v>
      </c>
      <c r="Y400" s="29">
        <f>IF(AND(LEFT($B400,7)="SBA 26/",$D400&lt;&gt;"",$F400&lt;&gt;""),COUNTIFS($D$2:$D400,$D400,$B$2:$B400,"SBA 26/*",$F$2:$F400,"&lt;&gt;"),"")</f>
        <v>4</v>
      </c>
      <c r="Z400" s="29" t="str">
        <f>IF(Y400=1,COUNTIF($Y$2:Y400,1),"")</f>
        <v/>
      </c>
      <c r="AA400" s="29">
        <f>IF(AND(LEFT($B400,7)="SBA 26/",$C400&lt;&gt;"",$F400&lt;&gt;""),COUNTIFS($C$2:$C400,$C400,$B$2:$B400,"SBA 26/*",$F$2:$F400,"&lt;&gt;"),"")</f>
        <v>1</v>
      </c>
      <c r="AB400" s="29">
        <f>IF(AA400=1,COUNTIF($AA$2:AA400,1),"")</f>
        <v>226</v>
      </c>
    </row>
    <row r="401" spans="1:28" ht="126" customHeight="1" x14ac:dyDescent="0.2">
      <c r="A401" s="43" t="s">
        <v>1952</v>
      </c>
      <c r="B401" s="43" t="s">
        <v>1953</v>
      </c>
      <c r="C401" s="44" t="s">
        <v>724</v>
      </c>
      <c r="D401" s="44" t="s">
        <v>725</v>
      </c>
      <c r="E401" s="45" t="s">
        <v>1954</v>
      </c>
      <c r="F401" s="45" t="s">
        <v>1955</v>
      </c>
      <c r="G401" s="46" t="s">
        <v>38</v>
      </c>
      <c r="H401" s="48">
        <v>46128</v>
      </c>
      <c r="I401" s="48">
        <v>46140</v>
      </c>
      <c r="J401" s="44" t="s">
        <v>109</v>
      </c>
      <c r="K401" s="44" t="s">
        <v>75</v>
      </c>
      <c r="L401" s="50" t="s">
        <v>101</v>
      </c>
      <c r="M401" s="50"/>
      <c r="N401" s="50"/>
      <c r="O401" s="49"/>
      <c r="P401" s="50" t="str">
        <f t="shared" si="24"/>
        <v>DÜZELTME</v>
      </c>
      <c r="R401" s="51" t="str">
        <f t="shared" si="25"/>
        <v/>
      </c>
      <c r="T401" s="41"/>
      <c r="U401" s="29">
        <f>IF($C401&lt;&gt;"",COUNTIF($C$2:C401,C401),"")</f>
        <v>2</v>
      </c>
      <c r="V401" s="29" t="str">
        <f t="shared" si="26"/>
        <v>Doç. Dr. Ceren ÖZKUL KOÇAK§2</v>
      </c>
      <c r="W401" s="29" t="str">
        <f>IF(U401=1,COUNTIF($U$2:U401,1),"")</f>
        <v/>
      </c>
      <c r="X401" s="29" t="str">
        <f t="shared" si="27"/>
        <v/>
      </c>
      <c r="Y401" s="29">
        <f>IF(AND(LEFT($B401,7)="SBA 26/",$D401&lt;&gt;"",$F401&lt;&gt;""),COUNTIFS($D$2:$D401,$D401,$B$2:$B401,"SBA 26/*",$F$2:$F401,"&lt;&gt;"),"")</f>
        <v>2</v>
      </c>
      <c r="Z401" s="29" t="str">
        <f>IF(Y401=1,COUNTIF($Y$2:Y401,1),"")</f>
        <v/>
      </c>
      <c r="AA401" s="29">
        <f>IF(AND(LEFT($B401,7)="SBA 26/",$C401&lt;&gt;"",$F401&lt;&gt;""),COUNTIFS($C$2:$C401,$C401,$B$2:$B401,"SBA 26/*",$F$2:$F401,"&lt;&gt;"),"")</f>
        <v>2</v>
      </c>
      <c r="AB401" s="29" t="str">
        <f>IF(AA401=1,COUNTIF($AA$2:AA401,1),"")</f>
        <v/>
      </c>
    </row>
    <row r="402" spans="1:28" ht="78.75" customHeight="1" x14ac:dyDescent="0.2">
      <c r="A402" s="43" t="s">
        <v>1956</v>
      </c>
      <c r="B402" s="43" t="s">
        <v>1957</v>
      </c>
      <c r="C402" s="44" t="s">
        <v>1796</v>
      </c>
      <c r="D402" s="44" t="s">
        <v>113</v>
      </c>
      <c r="E402" s="45" t="s">
        <v>1958</v>
      </c>
      <c r="F402" s="45" t="s">
        <v>1959</v>
      </c>
      <c r="G402" s="46" t="s">
        <v>38</v>
      </c>
      <c r="H402" s="48">
        <v>46134</v>
      </c>
      <c r="I402" s="48">
        <v>46154</v>
      </c>
      <c r="J402" s="44" t="s">
        <v>129</v>
      </c>
      <c r="K402" s="44" t="s">
        <v>109</v>
      </c>
      <c r="L402" s="50" t="s">
        <v>77</v>
      </c>
      <c r="M402" s="50"/>
      <c r="N402" s="50"/>
      <c r="O402" s="49"/>
      <c r="P402" s="50" t="str">
        <f t="shared" si="24"/>
        <v>ONAY</v>
      </c>
      <c r="R402" s="51" t="str">
        <f t="shared" si="25"/>
        <v/>
      </c>
      <c r="T402" s="41"/>
      <c r="U402" s="29">
        <f>IF($C402&lt;&gt;"",COUNTIF($C$2:C402,C402),"")</f>
        <v>3</v>
      </c>
      <c r="V402" s="29" t="str">
        <f t="shared" si="26"/>
        <v>Prof. Dr. Umut KALYONCU§3</v>
      </c>
      <c r="W402" s="29" t="str">
        <f>IF(U402=1,COUNTIF($U$2:U402,1),"")</f>
        <v/>
      </c>
      <c r="X402" s="29" t="str">
        <f t="shared" si="27"/>
        <v/>
      </c>
      <c r="Y402" s="29">
        <f>IF(AND(LEFT($B402,7)="SBA 26/",$D402&lt;&gt;"",$F402&lt;&gt;""),COUNTIFS($D$2:$D402,$D402,$B$2:$B402,"SBA 26/*",$F$2:$F402,"&lt;&gt;"),"")</f>
        <v>62</v>
      </c>
      <c r="Z402" s="29" t="str">
        <f>IF(Y402=1,COUNTIF($Y$2:Y402,1),"")</f>
        <v/>
      </c>
      <c r="AA402" s="29">
        <f>IF(AND(LEFT($B402,7)="SBA 26/",$C402&lt;&gt;"",$F402&lt;&gt;""),COUNTIFS($C$2:$C402,$C402,$B$2:$B402,"SBA 26/*",$F$2:$F402,"&lt;&gt;"),"")</f>
        <v>3</v>
      </c>
      <c r="AB402" s="29" t="str">
        <f>IF(AA402=1,COUNTIF($AA$2:AA402,1),"")</f>
        <v/>
      </c>
    </row>
    <row r="403" spans="1:28" ht="63" customHeight="1" x14ac:dyDescent="0.2">
      <c r="A403" s="43" t="s">
        <v>1960</v>
      </c>
      <c r="B403" s="43" t="s">
        <v>1961</v>
      </c>
      <c r="C403" s="44" t="s">
        <v>192</v>
      </c>
      <c r="D403" s="44" t="s">
        <v>193</v>
      </c>
      <c r="E403" s="45" t="s">
        <v>840</v>
      </c>
      <c r="F403" s="45" t="s">
        <v>1962</v>
      </c>
      <c r="G403" s="46" t="s">
        <v>38</v>
      </c>
      <c r="H403" s="48">
        <v>46134</v>
      </c>
      <c r="I403" s="48">
        <v>46154</v>
      </c>
      <c r="J403" s="44" t="s">
        <v>91</v>
      </c>
      <c r="K403" s="44" t="s">
        <v>84</v>
      </c>
      <c r="L403" s="50"/>
      <c r="M403" s="50"/>
      <c r="N403" s="50"/>
      <c r="O403" s="49"/>
      <c r="P403" s="50">
        <f t="shared" si="24"/>
        <v>0</v>
      </c>
      <c r="R403" s="51" t="str">
        <f t="shared" si="25"/>
        <v/>
      </c>
      <c r="T403" s="41"/>
      <c r="U403" s="29">
        <f>IF($C403&lt;&gt;"",COUNTIF($C$2:C403,C403),"")</f>
        <v>7</v>
      </c>
      <c r="V403" s="29" t="str">
        <f t="shared" si="26"/>
        <v>Dr. Öğr. Üyesi Figen BEZCİ AYGÜN§7</v>
      </c>
      <c r="W403" s="29" t="str">
        <f>IF(U403=1,COUNTIF($U$2:U403,1),"")</f>
        <v/>
      </c>
      <c r="X403" s="29" t="str">
        <f t="shared" si="27"/>
        <v/>
      </c>
      <c r="Y403" s="29">
        <f>IF(AND(LEFT($B403,7)="SBA 26/",$D403&lt;&gt;"",$F403&lt;&gt;""),COUNTIFS($D$2:$D403,$D403,$B$2:$B403,"SBA 26/*",$F$2:$F403,"&lt;&gt;"),"")</f>
        <v>12</v>
      </c>
      <c r="Z403" s="29" t="str">
        <f>IF(Y403=1,COUNTIF($Y$2:Y403,1),"")</f>
        <v/>
      </c>
      <c r="AA403" s="29">
        <f>IF(AND(LEFT($B403,7)="SBA 26/",$C403&lt;&gt;"",$F403&lt;&gt;""),COUNTIFS($C$2:$C403,$C403,$B$2:$B403,"SBA 26/*",$F$2:$F403,"&lt;&gt;"),"")</f>
        <v>7</v>
      </c>
      <c r="AB403" s="29" t="str">
        <f>IF(AA403=1,COUNTIF($AA$2:AA403,1),"")</f>
        <v/>
      </c>
    </row>
    <row r="404" spans="1:28" ht="78.75" customHeight="1" x14ac:dyDescent="0.2">
      <c r="A404" s="43" t="s">
        <v>1963</v>
      </c>
      <c r="B404" s="43" t="s">
        <v>1964</v>
      </c>
      <c r="C404" s="44" t="s">
        <v>1965</v>
      </c>
      <c r="D404" s="44" t="s">
        <v>414</v>
      </c>
      <c r="E404" s="45" t="s">
        <v>1966</v>
      </c>
      <c r="F404" s="45" t="s">
        <v>1967</v>
      </c>
      <c r="G404" s="46" t="s">
        <v>38</v>
      </c>
      <c r="H404" s="48">
        <v>46134</v>
      </c>
      <c r="I404" s="48">
        <v>46154</v>
      </c>
      <c r="J404" s="44" t="s">
        <v>123</v>
      </c>
      <c r="K404" s="44" t="s">
        <v>116</v>
      </c>
      <c r="L404" s="50" t="s">
        <v>77</v>
      </c>
      <c r="M404" s="50"/>
      <c r="N404" s="50"/>
      <c r="O404" s="49"/>
      <c r="P404" s="50" t="str">
        <f t="shared" si="24"/>
        <v>ONAY</v>
      </c>
      <c r="R404" s="51" t="str">
        <f t="shared" si="25"/>
        <v/>
      </c>
      <c r="T404" s="41"/>
      <c r="U404" s="29">
        <f>IF($C404&lt;&gt;"",COUNTIF($C$2:C404,C404),"")</f>
        <v>1</v>
      </c>
      <c r="V404" s="29" t="str">
        <f t="shared" si="26"/>
        <v>Öğr. Gör. Dt. Diler DENİZ§1</v>
      </c>
      <c r="W404" s="29">
        <f>IF(U404=1,COUNTIF($U$2:U404,1),"")</f>
        <v>227</v>
      </c>
      <c r="X404" s="29">
        <f t="shared" si="27"/>
        <v>178</v>
      </c>
      <c r="Y404" s="29">
        <f>IF(AND(LEFT($B404,7)="SBA 26/",$D404&lt;&gt;"",$F404&lt;&gt;""),COUNTIFS($D$2:$D404,$D404,$B$2:$B404,"SBA 26/*",$F$2:$F404,"&lt;&gt;"),"")</f>
        <v>5</v>
      </c>
      <c r="Z404" s="29" t="str">
        <f>IF(Y404=1,COUNTIF($Y$2:Y404,1),"")</f>
        <v/>
      </c>
      <c r="AA404" s="29">
        <f>IF(AND(LEFT($B404,7)="SBA 26/",$C404&lt;&gt;"",$F404&lt;&gt;""),COUNTIFS($C$2:$C404,$C404,$B$2:$B404,"SBA 26/*",$F$2:$F404,"&lt;&gt;"),"")</f>
        <v>1</v>
      </c>
      <c r="AB404" s="29">
        <f>IF(AA404=1,COUNTIF($AA$2:AA404,1),"")</f>
        <v>227</v>
      </c>
    </row>
    <row r="405" spans="1:28" ht="78.75" customHeight="1" x14ac:dyDescent="0.2">
      <c r="A405" s="43" t="s">
        <v>1968</v>
      </c>
      <c r="B405" s="43" t="s">
        <v>1969</v>
      </c>
      <c r="C405" s="44" t="s">
        <v>1970</v>
      </c>
      <c r="D405" s="44" t="s">
        <v>1665</v>
      </c>
      <c r="E405" s="45" t="s">
        <v>1971</v>
      </c>
      <c r="F405" s="45" t="s">
        <v>1972</v>
      </c>
      <c r="G405" s="46" t="s">
        <v>39</v>
      </c>
      <c r="H405" s="48">
        <v>46134</v>
      </c>
      <c r="I405" s="48">
        <v>46154</v>
      </c>
      <c r="J405" s="44" t="s">
        <v>75</v>
      </c>
      <c r="K405" s="44" t="s">
        <v>92</v>
      </c>
      <c r="L405" s="50" t="s">
        <v>101</v>
      </c>
      <c r="M405" s="50" t="s">
        <v>77</v>
      </c>
      <c r="N405" s="50"/>
      <c r="O405" s="49"/>
      <c r="P405" s="50" t="str">
        <f t="shared" si="24"/>
        <v>ONAY</v>
      </c>
      <c r="Q405" s="28" t="s">
        <v>75</v>
      </c>
      <c r="R405" s="51" t="str">
        <f t="shared" si="25"/>
        <v/>
      </c>
      <c r="T405" s="41"/>
      <c r="U405" s="29">
        <f>IF($C405&lt;&gt;"",COUNTIF($C$2:C405,C405),"")</f>
        <v>1</v>
      </c>
      <c r="V405" s="29" t="str">
        <f t="shared" si="26"/>
        <v>Prof. Dr. İncilay LAY§1</v>
      </c>
      <c r="W405" s="29">
        <f>IF(U405=1,COUNTIF($U$2:U405,1),"")</f>
        <v>228</v>
      </c>
      <c r="X405" s="29">
        <f t="shared" si="27"/>
        <v>248</v>
      </c>
      <c r="Y405" s="29">
        <f>IF(AND(LEFT($B405,7)="SBA 26/",$D405&lt;&gt;"",$F405&lt;&gt;""),COUNTIFS($D$2:$D405,$D405,$B$2:$B405,"SBA 26/*",$F$2:$F405,"&lt;&gt;"),"")</f>
        <v>2</v>
      </c>
      <c r="Z405" s="29" t="str">
        <f>IF(Y405=1,COUNTIF($Y$2:Y405,1),"")</f>
        <v/>
      </c>
      <c r="AA405" s="29">
        <f>IF(AND(LEFT($B405,7)="SBA 26/",$C405&lt;&gt;"",$F405&lt;&gt;""),COUNTIFS($C$2:$C405,$C405,$B$2:$B405,"SBA 26/*",$F$2:$F405,"&lt;&gt;"),"")</f>
        <v>1</v>
      </c>
      <c r="AB405" s="29">
        <f>IF(AA405=1,COUNTIF($AA$2:AA405,1),"")</f>
        <v>228</v>
      </c>
    </row>
    <row r="406" spans="1:28" ht="78.75" customHeight="1" x14ac:dyDescent="0.2">
      <c r="A406" s="43" t="s">
        <v>1973</v>
      </c>
      <c r="B406" s="43" t="s">
        <v>1974</v>
      </c>
      <c r="C406" s="44" t="s">
        <v>1975</v>
      </c>
      <c r="D406" s="44" t="s">
        <v>133</v>
      </c>
      <c r="E406" s="45" t="s">
        <v>1976</v>
      </c>
      <c r="F406" s="45" t="s">
        <v>1977</v>
      </c>
      <c r="G406" s="46" t="s">
        <v>38</v>
      </c>
      <c r="H406" s="48">
        <v>46134</v>
      </c>
      <c r="I406" s="48">
        <v>46154</v>
      </c>
      <c r="J406" s="44" t="s">
        <v>100</v>
      </c>
      <c r="K406" s="44" t="s">
        <v>99</v>
      </c>
      <c r="L406" s="50" t="s">
        <v>77</v>
      </c>
      <c r="M406" s="50"/>
      <c r="N406" s="50"/>
      <c r="O406" s="49"/>
      <c r="P406" s="50" t="str">
        <f t="shared" si="24"/>
        <v>ONAY</v>
      </c>
      <c r="R406" s="51" t="str">
        <f t="shared" si="25"/>
        <v/>
      </c>
      <c r="T406" s="41"/>
      <c r="U406" s="29">
        <f>IF($C406&lt;&gt;"",COUNTIF($C$2:C406,C406),"")</f>
        <v>1</v>
      </c>
      <c r="V406" s="29" t="str">
        <f t="shared" si="26"/>
        <v>Doç. Dr. Şükran Gülin EVİNÇ§1</v>
      </c>
      <c r="W406" s="29">
        <f>IF(U406=1,COUNTIF($U$2:U406,1),"")</f>
        <v>229</v>
      </c>
      <c r="X406" s="29">
        <f t="shared" si="27"/>
        <v>99</v>
      </c>
      <c r="Y406" s="29">
        <f>IF(AND(LEFT($B406,7)="SBA 26/",$D406&lt;&gt;"",$F406&lt;&gt;""),COUNTIFS($D$2:$D406,$D406,$B$2:$B406,"SBA 26/*",$F$2:$F406,"&lt;&gt;"),"")</f>
        <v>12</v>
      </c>
      <c r="Z406" s="29" t="str">
        <f>IF(Y406=1,COUNTIF($Y$2:Y406,1),"")</f>
        <v/>
      </c>
      <c r="AA406" s="29">
        <f>IF(AND(LEFT($B406,7)="SBA 26/",$C406&lt;&gt;"",$F406&lt;&gt;""),COUNTIFS($C$2:$C406,$C406,$B$2:$B406,"SBA 26/*",$F$2:$F406,"&lt;&gt;"),"")</f>
        <v>1</v>
      </c>
      <c r="AB406" s="29">
        <f>IF(AA406=1,COUNTIF($AA$2:AA406,1),"")</f>
        <v>229</v>
      </c>
    </row>
    <row r="407" spans="1:28" ht="78.75" customHeight="1" x14ac:dyDescent="0.2">
      <c r="A407" s="43" t="s">
        <v>1978</v>
      </c>
      <c r="B407" s="43" t="s">
        <v>1979</v>
      </c>
      <c r="C407" s="44" t="s">
        <v>144</v>
      </c>
      <c r="D407" s="44" t="s">
        <v>113</v>
      </c>
      <c r="E407" s="45" t="s">
        <v>1980</v>
      </c>
      <c r="F407" s="45" t="s">
        <v>1981</v>
      </c>
      <c r="G407" s="46" t="s">
        <v>38</v>
      </c>
      <c r="H407" s="48">
        <v>46134</v>
      </c>
      <c r="I407" s="48">
        <v>46154</v>
      </c>
      <c r="J407" s="44" t="s">
        <v>76</v>
      </c>
      <c r="K407" s="44" t="s">
        <v>116</v>
      </c>
      <c r="L407" s="50" t="s">
        <v>77</v>
      </c>
      <c r="M407" s="50"/>
      <c r="N407" s="50"/>
      <c r="O407" s="49"/>
      <c r="P407" s="50" t="str">
        <f t="shared" si="24"/>
        <v>ONAY</v>
      </c>
      <c r="R407" s="51" t="str">
        <f t="shared" si="25"/>
        <v/>
      </c>
      <c r="T407" s="41"/>
      <c r="U407" s="29">
        <f>IF($C407&lt;&gt;"",COUNTIF($C$2:C407,C407),"")</f>
        <v>2</v>
      </c>
      <c r="V407" s="29" t="str">
        <f t="shared" si="26"/>
        <v>Prof. Dr. Ömer KARADAĞ§2</v>
      </c>
      <c r="W407" s="29" t="str">
        <f>IF(U407=1,COUNTIF($U$2:U407,1),"")</f>
        <v/>
      </c>
      <c r="X407" s="29" t="str">
        <f t="shared" si="27"/>
        <v/>
      </c>
      <c r="Y407" s="29">
        <f>IF(AND(LEFT($B407,7)="SBA 26/",$D407&lt;&gt;"",$F407&lt;&gt;""),COUNTIFS($D$2:$D407,$D407,$B$2:$B407,"SBA 26/*",$F$2:$F407,"&lt;&gt;"),"")</f>
        <v>63</v>
      </c>
      <c r="Z407" s="29" t="str">
        <f>IF(Y407=1,COUNTIF($Y$2:Y407,1),"")</f>
        <v/>
      </c>
      <c r="AA407" s="29">
        <f>IF(AND(LEFT($B407,7)="SBA 26/",$C407&lt;&gt;"",$F407&lt;&gt;""),COUNTIFS($C$2:$C407,$C407,$B$2:$B407,"SBA 26/*",$F$2:$F407,"&lt;&gt;"),"")</f>
        <v>2</v>
      </c>
      <c r="AB407" s="29" t="str">
        <f>IF(AA407=1,COUNTIF($AA$2:AA407,1),"")</f>
        <v/>
      </c>
    </row>
    <row r="408" spans="1:28" ht="78.75" customHeight="1" x14ac:dyDescent="0.2">
      <c r="A408" s="43" t="s">
        <v>1982</v>
      </c>
      <c r="B408" s="43" t="s">
        <v>1983</v>
      </c>
      <c r="C408" s="44" t="s">
        <v>1092</v>
      </c>
      <c r="D408" s="44" t="s">
        <v>203</v>
      </c>
      <c r="E408" s="45" t="s">
        <v>1984</v>
      </c>
      <c r="F408" s="45" t="s">
        <v>1985</v>
      </c>
      <c r="G408" s="46" t="s">
        <v>41</v>
      </c>
      <c r="H408" s="48">
        <v>46134</v>
      </c>
      <c r="I408" s="48">
        <v>46154</v>
      </c>
      <c r="J408" s="44" t="s">
        <v>76</v>
      </c>
      <c r="K408" s="44" t="s">
        <v>92</v>
      </c>
      <c r="L408" s="50" t="s">
        <v>77</v>
      </c>
      <c r="M408" s="50"/>
      <c r="N408" s="50"/>
      <c r="O408" s="49"/>
      <c r="P408" s="50" t="str">
        <f t="shared" si="24"/>
        <v>ONAY</v>
      </c>
      <c r="R408" s="51" t="str">
        <f t="shared" si="25"/>
        <v/>
      </c>
      <c r="T408" s="41"/>
      <c r="U408" s="29">
        <f>IF($C408&lt;&gt;"",COUNTIF($C$2:C408,C408),"")</f>
        <v>3</v>
      </c>
      <c r="V408" s="29" t="str">
        <f t="shared" si="26"/>
        <v>Prof. Dr. Özgür UĞURLUOĞLU§3</v>
      </c>
      <c r="W408" s="29" t="str">
        <f>IF(U408=1,COUNTIF($U$2:U408,1),"")</f>
        <v/>
      </c>
      <c r="X408" s="29" t="str">
        <f t="shared" si="27"/>
        <v/>
      </c>
      <c r="Y408" s="29">
        <f>IF(AND(LEFT($B408,7)="SBA 26/",$D408&lt;&gt;"",$F408&lt;&gt;""),COUNTIFS($D$2:$D408,$D408,$B$2:$B408,"SBA 26/*",$F$2:$F408,"&lt;&gt;"),"")</f>
        <v>6</v>
      </c>
      <c r="Z408" s="29" t="str">
        <f>IF(Y408=1,COUNTIF($Y$2:Y408,1),"")</f>
        <v/>
      </c>
      <c r="AA408" s="29">
        <f>IF(AND(LEFT($B408,7)="SBA 26/",$C408&lt;&gt;"",$F408&lt;&gt;""),COUNTIFS($C$2:$C408,$C408,$B$2:$B408,"SBA 26/*",$F$2:$F408,"&lt;&gt;"),"")</f>
        <v>3</v>
      </c>
      <c r="AB408" s="29" t="str">
        <f>IF(AA408=1,COUNTIF($AA$2:AA408,1),"")</f>
        <v/>
      </c>
    </row>
    <row r="409" spans="1:28" ht="63.75" customHeight="1" x14ac:dyDescent="0.2">
      <c r="A409" s="43" t="s">
        <v>1986</v>
      </c>
      <c r="B409" s="43" t="s">
        <v>1987</v>
      </c>
      <c r="C409" s="44" t="s">
        <v>1353</v>
      </c>
      <c r="D409" s="44" t="s">
        <v>113</v>
      </c>
      <c r="E409" s="45" t="s">
        <v>1988</v>
      </c>
      <c r="F409" s="45" t="s">
        <v>1989</v>
      </c>
      <c r="G409" s="46" t="s">
        <v>38</v>
      </c>
      <c r="H409" s="48">
        <v>46134</v>
      </c>
      <c r="I409" s="48">
        <v>46154</v>
      </c>
      <c r="J409" s="44" t="s">
        <v>91</v>
      </c>
      <c r="K409" s="44" t="s">
        <v>129</v>
      </c>
      <c r="L409" s="50" t="s">
        <v>101</v>
      </c>
      <c r="M409" s="50"/>
      <c r="N409" s="50"/>
      <c r="O409" s="49"/>
      <c r="P409" s="50" t="str">
        <f t="shared" si="24"/>
        <v>DÜZELTME</v>
      </c>
      <c r="R409" s="51" t="str">
        <f t="shared" si="25"/>
        <v/>
      </c>
      <c r="T409" s="41"/>
      <c r="U409" s="29">
        <f>IF($C409&lt;&gt;"",COUNTIF($C$2:C409,C409),"")</f>
        <v>6</v>
      </c>
      <c r="V409" s="29" t="str">
        <f t="shared" si="26"/>
        <v>Prof. Dr. Burcu Balam DOĞU§6</v>
      </c>
      <c r="W409" s="29" t="str">
        <f>IF(U409=1,COUNTIF($U$2:U409,1),"")</f>
        <v/>
      </c>
      <c r="X409" s="29" t="str">
        <f t="shared" si="27"/>
        <v/>
      </c>
      <c r="Y409" s="29">
        <f>IF(AND(LEFT($B409,7)="SBA 26/",$D409&lt;&gt;"",$F409&lt;&gt;""),COUNTIFS($D$2:$D409,$D409,$B$2:$B409,"SBA 26/*",$F$2:$F409,"&lt;&gt;"),"")</f>
        <v>64</v>
      </c>
      <c r="Z409" s="29" t="str">
        <f>IF(Y409=1,COUNTIF($Y$2:Y409,1),"")</f>
        <v/>
      </c>
      <c r="AA409" s="29">
        <f>IF(AND(LEFT($B409,7)="SBA 26/",$C409&lt;&gt;"",$F409&lt;&gt;""),COUNTIFS($C$2:$C409,$C409,$B$2:$B409,"SBA 26/*",$F$2:$F409,"&lt;&gt;"),"")</f>
        <v>6</v>
      </c>
      <c r="AB409" s="29" t="str">
        <f>IF(AA409=1,COUNTIF($AA$2:AA409,1),"")</f>
        <v/>
      </c>
    </row>
    <row r="410" spans="1:28" ht="78.75" customHeight="1" x14ac:dyDescent="0.2">
      <c r="A410" s="43" t="s">
        <v>1990</v>
      </c>
      <c r="B410" s="43" t="s">
        <v>1991</v>
      </c>
      <c r="C410" s="44" t="s">
        <v>112</v>
      </c>
      <c r="D410" s="44" t="s">
        <v>113</v>
      </c>
      <c r="E410" s="45" t="s">
        <v>1992</v>
      </c>
      <c r="F410" s="45" t="s">
        <v>1993</v>
      </c>
      <c r="G410" s="46" t="s">
        <v>38</v>
      </c>
      <c r="H410" s="48">
        <v>46134</v>
      </c>
      <c r="I410" s="48">
        <v>46154</v>
      </c>
      <c r="J410" s="44" t="s">
        <v>109</v>
      </c>
      <c r="K410" s="44" t="s">
        <v>116</v>
      </c>
      <c r="L410" s="50" t="s">
        <v>77</v>
      </c>
      <c r="M410" s="50"/>
      <c r="N410" s="50"/>
      <c r="O410" s="49"/>
      <c r="P410" s="50" t="str">
        <f t="shared" si="24"/>
        <v>ONAY</v>
      </c>
      <c r="R410" s="51" t="str">
        <f t="shared" si="25"/>
        <v/>
      </c>
      <c r="T410" s="41"/>
      <c r="U410" s="29">
        <f>IF($C410&lt;&gt;"",COUNTIF($C$2:C410,C410),"")</f>
        <v>12</v>
      </c>
      <c r="V410" s="29" t="str">
        <f t="shared" si="26"/>
        <v>Prof. Dr. Meltem Gülhan HALİL§12</v>
      </c>
      <c r="W410" s="29" t="str">
        <f>IF(U410=1,COUNTIF($U$2:U410,1),"")</f>
        <v/>
      </c>
      <c r="X410" s="29" t="str">
        <f t="shared" si="27"/>
        <v/>
      </c>
      <c r="Y410" s="29">
        <f>IF(AND(LEFT($B410,7)="SBA 26/",$D410&lt;&gt;"",$F410&lt;&gt;""),COUNTIFS($D$2:$D410,$D410,$B$2:$B410,"SBA 26/*",$F$2:$F410,"&lt;&gt;"),"")</f>
        <v>65</v>
      </c>
      <c r="Z410" s="29" t="str">
        <f>IF(Y410=1,COUNTIF($Y$2:Y410,1),"")</f>
        <v/>
      </c>
      <c r="AA410" s="29">
        <f>IF(AND(LEFT($B410,7)="SBA 26/",$C410&lt;&gt;"",$F410&lt;&gt;""),COUNTIFS($C$2:$C410,$C410,$B$2:$B410,"SBA 26/*",$F$2:$F410,"&lt;&gt;"),"")</f>
        <v>12</v>
      </c>
      <c r="AB410" s="29" t="str">
        <f>IF(AA410=1,COUNTIF($AA$2:AA410,1),"")</f>
        <v/>
      </c>
    </row>
    <row r="411" spans="1:28" ht="63" customHeight="1" x14ac:dyDescent="0.2">
      <c r="A411" s="43" t="s">
        <v>1994</v>
      </c>
      <c r="B411" s="43" t="s">
        <v>1995</v>
      </c>
      <c r="C411" s="44" t="s">
        <v>524</v>
      </c>
      <c r="D411" s="44" t="s">
        <v>113</v>
      </c>
      <c r="E411" s="45" t="s">
        <v>1996</v>
      </c>
      <c r="F411" s="45" t="s">
        <v>1997</v>
      </c>
      <c r="G411" s="46" t="s">
        <v>38</v>
      </c>
      <c r="H411" s="48">
        <v>46134</v>
      </c>
      <c r="I411" s="48">
        <v>46154</v>
      </c>
      <c r="J411" s="44" t="s">
        <v>84</v>
      </c>
      <c r="K411" s="44" t="s">
        <v>123</v>
      </c>
      <c r="L411" s="50" t="s">
        <v>77</v>
      </c>
      <c r="M411" s="50"/>
      <c r="N411" s="50"/>
      <c r="O411" s="49"/>
      <c r="P411" s="50" t="str">
        <f t="shared" si="24"/>
        <v>ONAY</v>
      </c>
      <c r="R411" s="51" t="str">
        <f t="shared" si="25"/>
        <v/>
      </c>
      <c r="T411" s="41"/>
      <c r="U411" s="29">
        <f>IF($C411&lt;&gt;"",COUNTIF($C$2:C411,C411),"")</f>
        <v>4</v>
      </c>
      <c r="V411" s="29" t="str">
        <f t="shared" si="26"/>
        <v>Doç. Dr. Mert EŞME§4</v>
      </c>
      <c r="W411" s="29" t="str">
        <f>IF(U411=1,COUNTIF($U$2:U411,1),"")</f>
        <v/>
      </c>
      <c r="X411" s="29" t="str">
        <f t="shared" si="27"/>
        <v/>
      </c>
      <c r="Y411" s="29">
        <f>IF(AND(LEFT($B411,7)="SBA 26/",$D411&lt;&gt;"",$F411&lt;&gt;""),COUNTIFS($D$2:$D411,$D411,$B$2:$B411,"SBA 26/*",$F$2:$F411,"&lt;&gt;"),"")</f>
        <v>66</v>
      </c>
      <c r="Z411" s="29" t="str">
        <f>IF(Y411=1,COUNTIF($Y$2:Y411,1),"")</f>
        <v/>
      </c>
      <c r="AA411" s="29">
        <f>IF(AND(LEFT($B411,7)="SBA 26/",$C411&lt;&gt;"",$F411&lt;&gt;""),COUNTIFS($C$2:$C411,$C411,$B$2:$B411,"SBA 26/*",$F$2:$F411,"&lt;&gt;"),"")</f>
        <v>4</v>
      </c>
      <c r="AB411" s="29" t="str">
        <f>IF(AA411=1,COUNTIF($AA$2:AA411,1),"")</f>
        <v/>
      </c>
    </row>
    <row r="412" spans="1:28" ht="78.75" customHeight="1" x14ac:dyDescent="0.2">
      <c r="A412" s="43" t="s">
        <v>1998</v>
      </c>
      <c r="B412" s="43" t="s">
        <v>1999</v>
      </c>
      <c r="C412" s="44" t="s">
        <v>2000</v>
      </c>
      <c r="D412" s="44" t="s">
        <v>1596</v>
      </c>
      <c r="E412" s="45" t="s">
        <v>2001</v>
      </c>
      <c r="F412" s="45" t="s">
        <v>2002</v>
      </c>
      <c r="G412" s="46" t="s">
        <v>38</v>
      </c>
      <c r="H412" s="48">
        <v>46134</v>
      </c>
      <c r="I412" s="48">
        <v>46154</v>
      </c>
      <c r="J412" s="44" t="s">
        <v>123</v>
      </c>
      <c r="K412" s="44" t="s">
        <v>99</v>
      </c>
      <c r="L412" s="50" t="s">
        <v>77</v>
      </c>
      <c r="M412" s="50"/>
      <c r="N412" s="50"/>
      <c r="O412" s="49"/>
      <c r="P412" s="50" t="str">
        <f t="shared" si="24"/>
        <v>ONAY</v>
      </c>
      <c r="R412" s="51" t="str">
        <f t="shared" si="25"/>
        <v/>
      </c>
      <c r="T412" s="41"/>
      <c r="U412" s="29">
        <f>IF($C412&lt;&gt;"",COUNTIF($C$2:C412,C412),"")</f>
        <v>1</v>
      </c>
      <c r="V412" s="29" t="str">
        <f t="shared" si="26"/>
        <v>Prof. Dr. Melek Dilek TURGUT§1</v>
      </c>
      <c r="W412" s="29">
        <f>IF(U412=1,COUNTIF($U$2:U412,1),"")</f>
        <v>230</v>
      </c>
      <c r="X412" s="29">
        <f t="shared" si="27"/>
        <v>261</v>
      </c>
      <c r="Y412" s="29">
        <f>IF(AND(LEFT($B412,7)="SBA 26/",$D412&lt;&gt;"",$F412&lt;&gt;""),COUNTIFS($D$2:$D412,$D412,$B$2:$B412,"SBA 26/*",$F$2:$F412,"&lt;&gt;"),"")</f>
        <v>2</v>
      </c>
      <c r="Z412" s="29" t="str">
        <f>IF(Y412=1,COUNTIF($Y$2:Y412,1),"")</f>
        <v/>
      </c>
      <c r="AA412" s="29">
        <f>IF(AND(LEFT($B412,7)="SBA 26/",$C412&lt;&gt;"",$F412&lt;&gt;""),COUNTIFS($C$2:$C412,$C412,$B$2:$B412,"SBA 26/*",$F$2:$F412,"&lt;&gt;"),"")</f>
        <v>1</v>
      </c>
      <c r="AB412" s="29">
        <f>IF(AA412=1,COUNTIF($AA$2:AA412,1),"")</f>
        <v>230</v>
      </c>
    </row>
    <row r="413" spans="1:28" ht="94.5" customHeight="1" x14ac:dyDescent="0.2">
      <c r="A413" s="43" t="s">
        <v>2003</v>
      </c>
      <c r="B413" s="43" t="s">
        <v>2004</v>
      </c>
      <c r="C413" s="44" t="s">
        <v>1161</v>
      </c>
      <c r="D413" s="44" t="s">
        <v>1162</v>
      </c>
      <c r="E413" s="45" t="s">
        <v>2005</v>
      </c>
      <c r="F413" s="45" t="s">
        <v>2006</v>
      </c>
      <c r="G413" s="46" t="s">
        <v>38</v>
      </c>
      <c r="H413" s="48">
        <v>46134</v>
      </c>
      <c r="I413" s="48">
        <v>46154</v>
      </c>
      <c r="J413" s="44" t="s">
        <v>123</v>
      </c>
      <c r="K413" s="44" t="s">
        <v>76</v>
      </c>
      <c r="L413" s="50" t="s">
        <v>77</v>
      </c>
      <c r="M413" s="50"/>
      <c r="N413" s="50"/>
      <c r="O413" s="49"/>
      <c r="P413" s="50" t="str">
        <f t="shared" si="24"/>
        <v>ONAY</v>
      </c>
      <c r="R413" s="51" t="str">
        <f t="shared" si="25"/>
        <v/>
      </c>
      <c r="T413" s="41"/>
      <c r="U413" s="29">
        <f>IF($C413&lt;&gt;"",COUNTIF($C$2:C413,C413),"")</f>
        <v>2</v>
      </c>
      <c r="V413" s="29" t="str">
        <f t="shared" si="26"/>
        <v>Prof. Dr. Betül ÇELEBİ SALTIK§2</v>
      </c>
      <c r="W413" s="29" t="str">
        <f>IF(U413=1,COUNTIF($U$2:U413,1),"")</f>
        <v/>
      </c>
      <c r="X413" s="29" t="str">
        <f t="shared" si="27"/>
        <v/>
      </c>
      <c r="Y413" s="29">
        <f>IF(AND(LEFT($B413,7)="SBA 26/",$D413&lt;&gt;"",$F413&lt;&gt;""),COUNTIFS($D$2:$D413,$D413,$B$2:$B413,"SBA 26/*",$F$2:$F413,"&lt;&gt;"),"")</f>
        <v>2</v>
      </c>
      <c r="Z413" s="29" t="str">
        <f>IF(Y413=1,COUNTIF($Y$2:Y413,1),"")</f>
        <v/>
      </c>
      <c r="AA413" s="29">
        <f>IF(AND(LEFT($B413,7)="SBA 26/",$C413&lt;&gt;"",$F413&lt;&gt;""),COUNTIFS($C$2:$C413,$C413,$B$2:$B413,"SBA 26/*",$F$2:$F413,"&lt;&gt;"),"")</f>
        <v>2</v>
      </c>
      <c r="AB413" s="29" t="str">
        <f>IF(AA413=1,COUNTIF($AA$2:AA413,1),"")</f>
        <v/>
      </c>
    </row>
    <row r="414" spans="1:28" ht="78.75" customHeight="1" x14ac:dyDescent="0.2">
      <c r="A414" s="43" t="s">
        <v>2007</v>
      </c>
      <c r="B414" s="43" t="s">
        <v>2008</v>
      </c>
      <c r="C414" s="44" t="s">
        <v>144</v>
      </c>
      <c r="D414" s="44" t="s">
        <v>113</v>
      </c>
      <c r="E414" s="45" t="s">
        <v>2009</v>
      </c>
      <c r="F414" s="45" t="s">
        <v>2010</v>
      </c>
      <c r="G414" s="46" t="s">
        <v>38</v>
      </c>
      <c r="H414" s="48">
        <v>46134</v>
      </c>
      <c r="I414" s="48">
        <v>46154</v>
      </c>
      <c r="J414" s="44" t="s">
        <v>99</v>
      </c>
      <c r="K414" s="44" t="s">
        <v>84</v>
      </c>
      <c r="L414" s="50" t="s">
        <v>77</v>
      </c>
      <c r="M414" s="50"/>
      <c r="N414" s="50"/>
      <c r="O414" s="49"/>
      <c r="P414" s="50" t="str">
        <f t="shared" si="24"/>
        <v>ONAY</v>
      </c>
      <c r="R414" s="51" t="str">
        <f t="shared" si="25"/>
        <v/>
      </c>
      <c r="T414" s="41"/>
      <c r="U414" s="29">
        <f>IF($C414&lt;&gt;"",COUNTIF($C$2:C414,C414),"")</f>
        <v>3</v>
      </c>
      <c r="V414" s="29" t="str">
        <f t="shared" si="26"/>
        <v>Prof. Dr. Ömer KARADAĞ§3</v>
      </c>
      <c r="W414" s="29" t="str">
        <f>IF(U414=1,COUNTIF($U$2:U414,1),"")</f>
        <v/>
      </c>
      <c r="X414" s="29" t="str">
        <f t="shared" si="27"/>
        <v/>
      </c>
      <c r="Y414" s="29">
        <f>IF(AND(LEFT($B414,7)="SBA 26/",$D414&lt;&gt;"",$F414&lt;&gt;""),COUNTIFS($D$2:$D414,$D414,$B$2:$B414,"SBA 26/*",$F$2:$F414,"&lt;&gt;"),"")</f>
        <v>67</v>
      </c>
      <c r="Z414" s="29" t="str">
        <f>IF(Y414=1,COUNTIF($Y$2:Y414,1),"")</f>
        <v/>
      </c>
      <c r="AA414" s="29">
        <f>IF(AND(LEFT($B414,7)="SBA 26/",$C414&lt;&gt;"",$F414&lt;&gt;""),COUNTIFS($C$2:$C414,$C414,$B$2:$B414,"SBA 26/*",$F$2:$F414,"&lt;&gt;"),"")</f>
        <v>3</v>
      </c>
      <c r="AB414" s="29" t="str">
        <f>IF(AA414=1,COUNTIF($AA$2:AA414,1),"")</f>
        <v/>
      </c>
    </row>
    <row r="415" spans="1:28" ht="78.75" customHeight="1" x14ac:dyDescent="0.2">
      <c r="A415" s="43" t="s">
        <v>2011</v>
      </c>
      <c r="B415" s="43" t="s">
        <v>2012</v>
      </c>
      <c r="C415" s="44" t="s">
        <v>2013</v>
      </c>
      <c r="D415" s="44" t="s">
        <v>385</v>
      </c>
      <c r="E415" s="45" t="s">
        <v>2014</v>
      </c>
      <c r="F415" s="45" t="s">
        <v>2015</v>
      </c>
      <c r="G415" s="46" t="s">
        <v>38</v>
      </c>
      <c r="H415" s="48">
        <v>46134</v>
      </c>
      <c r="I415" s="48">
        <v>46154</v>
      </c>
      <c r="J415" s="44" t="s">
        <v>109</v>
      </c>
      <c r="K415" s="44" t="s">
        <v>129</v>
      </c>
      <c r="L415" s="50" t="s">
        <v>77</v>
      </c>
      <c r="M415" s="50"/>
      <c r="N415" s="50"/>
      <c r="O415" s="49"/>
      <c r="P415" s="50" t="str">
        <f t="shared" si="24"/>
        <v>ONAY</v>
      </c>
      <c r="R415" s="51" t="str">
        <f t="shared" si="25"/>
        <v/>
      </c>
      <c r="T415" s="41"/>
      <c r="U415" s="29">
        <f>IF($C415&lt;&gt;"",COUNTIF($C$2:C415,C415),"")</f>
        <v>1</v>
      </c>
      <c r="V415" s="29" t="str">
        <f t="shared" si="26"/>
        <v>Doç. Dr. Burak ARDIÇLI§1</v>
      </c>
      <c r="W415" s="29">
        <f>IF(U415=1,COUNTIF($U$2:U415,1),"")</f>
        <v>231</v>
      </c>
      <c r="X415" s="29">
        <f t="shared" si="27"/>
        <v>26</v>
      </c>
      <c r="Y415" s="29">
        <f>IF(AND(LEFT($B415,7)="SBA 26/",$D415&lt;&gt;"",$F415&lt;&gt;""),COUNTIFS($D$2:$D415,$D415,$B$2:$B415,"SBA 26/*",$F$2:$F415,"&lt;&gt;"),"")</f>
        <v>8</v>
      </c>
      <c r="Z415" s="29" t="str">
        <f>IF(Y415=1,COUNTIF($Y$2:Y415,1),"")</f>
        <v/>
      </c>
      <c r="AA415" s="29">
        <f>IF(AND(LEFT($B415,7)="SBA 26/",$C415&lt;&gt;"",$F415&lt;&gt;""),COUNTIFS($C$2:$C415,$C415,$B$2:$B415,"SBA 26/*",$F$2:$F415,"&lt;&gt;"),"")</f>
        <v>1</v>
      </c>
      <c r="AB415" s="29">
        <f>IF(AA415=1,COUNTIF($AA$2:AA415,1),"")</f>
        <v>231</v>
      </c>
    </row>
    <row r="416" spans="1:28" ht="63" customHeight="1" x14ac:dyDescent="0.2">
      <c r="A416" s="43" t="s">
        <v>2016</v>
      </c>
      <c r="B416" s="43" t="s">
        <v>2017</v>
      </c>
      <c r="C416" s="44" t="s">
        <v>2018</v>
      </c>
      <c r="D416" s="44" t="s">
        <v>222</v>
      </c>
      <c r="E416" s="45" t="s">
        <v>2019</v>
      </c>
      <c r="F416" s="45" t="s">
        <v>2020</v>
      </c>
      <c r="G416" s="46" t="s">
        <v>39</v>
      </c>
      <c r="H416" s="48">
        <v>46134</v>
      </c>
      <c r="I416" s="48">
        <v>46154</v>
      </c>
      <c r="J416" s="44" t="s">
        <v>76</v>
      </c>
      <c r="K416" s="44" t="s">
        <v>100</v>
      </c>
      <c r="L416" s="50" t="s">
        <v>77</v>
      </c>
      <c r="M416" s="50"/>
      <c r="N416" s="50"/>
      <c r="O416" s="49"/>
      <c r="P416" s="50" t="str">
        <f t="shared" si="24"/>
        <v>ONAY</v>
      </c>
      <c r="R416" s="51" t="str">
        <f t="shared" si="25"/>
        <v/>
      </c>
      <c r="T416" s="41"/>
      <c r="U416" s="29">
        <f>IF($C416&lt;&gt;"",COUNTIF($C$2:C416,C416),"")</f>
        <v>1</v>
      </c>
      <c r="V416" s="29" t="str">
        <f t="shared" si="26"/>
        <v>Prof. Dr. Şevkiye Selin AYTAÇ EYÜPOĞLU§1</v>
      </c>
      <c r="W416" s="29">
        <f>IF(U416=1,COUNTIF($U$2:U416,1),"")</f>
        <v>232</v>
      </c>
      <c r="X416" s="29">
        <f t="shared" si="27"/>
        <v>317</v>
      </c>
      <c r="Y416" s="29">
        <f>IF(AND(LEFT($B416,7)="SBA 26/",$D416&lt;&gt;"",$F416&lt;&gt;""),COUNTIFS($D$2:$D416,$D416,$B$2:$B416,"SBA 26/*",$F$2:$F416,"&lt;&gt;"),"")</f>
        <v>58</v>
      </c>
      <c r="Z416" s="29" t="str">
        <f>IF(Y416=1,COUNTIF($Y$2:Y416,1),"")</f>
        <v/>
      </c>
      <c r="AA416" s="29">
        <f>IF(AND(LEFT($B416,7)="SBA 26/",$C416&lt;&gt;"",$F416&lt;&gt;""),COUNTIFS($C$2:$C416,$C416,$B$2:$B416,"SBA 26/*",$F$2:$F416,"&lt;&gt;"),"")</f>
        <v>1</v>
      </c>
      <c r="AB416" s="29">
        <f>IF(AA416=1,COUNTIF($AA$2:AA416,1),"")</f>
        <v>232</v>
      </c>
    </row>
    <row r="417" spans="1:28" ht="93" customHeight="1" x14ac:dyDescent="0.2">
      <c r="A417" s="43" t="s">
        <v>2021</v>
      </c>
      <c r="B417" s="43" t="s">
        <v>2022</v>
      </c>
      <c r="C417" s="44" t="s">
        <v>396</v>
      </c>
      <c r="D417" s="44" t="s">
        <v>397</v>
      </c>
      <c r="E417" s="45" t="s">
        <v>2023</v>
      </c>
      <c r="F417" s="45" t="s">
        <v>2024</v>
      </c>
      <c r="G417" s="46" t="s">
        <v>41</v>
      </c>
      <c r="H417" s="48">
        <v>46134</v>
      </c>
      <c r="I417" s="48">
        <v>46154</v>
      </c>
      <c r="J417" s="44" t="s">
        <v>84</v>
      </c>
      <c r="K417" s="44" t="s">
        <v>92</v>
      </c>
      <c r="L417" s="50" t="s">
        <v>206</v>
      </c>
      <c r="M417" s="50" t="s">
        <v>101</v>
      </c>
      <c r="N417" s="50"/>
      <c r="O417" s="49"/>
      <c r="P417" s="50" t="str">
        <f t="shared" si="24"/>
        <v>DÜZELTME</v>
      </c>
      <c r="R417" s="51" t="str">
        <f t="shared" si="25"/>
        <v/>
      </c>
      <c r="T417" s="41"/>
      <c r="U417" s="29">
        <f>IF($C417&lt;&gt;"",COUNTIF($C$2:C417,C417),"")</f>
        <v>5</v>
      </c>
      <c r="V417" s="29" t="str">
        <f t="shared" si="26"/>
        <v>Prof. Dr. Salih Kutay DEMİRKAN§5</v>
      </c>
      <c r="W417" s="29" t="str">
        <f>IF(U417=1,COUNTIF($U$2:U417,1),"")</f>
        <v/>
      </c>
      <c r="X417" s="29" t="str">
        <f t="shared" si="27"/>
        <v/>
      </c>
      <c r="Y417" s="29">
        <f>IF(AND(LEFT($B417,7)="SBA 26/",$D417&lt;&gt;"",$F417&lt;&gt;""),COUNTIFS($D$2:$D417,$D417,$B$2:$B417,"SBA 26/*",$F$2:$F417,"&lt;&gt;"),"")</f>
        <v>12</v>
      </c>
      <c r="Z417" s="29" t="str">
        <f>IF(Y417=1,COUNTIF($Y$2:Y417,1),"")</f>
        <v/>
      </c>
      <c r="AA417" s="29">
        <f>IF(AND(LEFT($B417,7)="SBA 26/",$C417&lt;&gt;"",$F417&lt;&gt;""),COUNTIFS($C$2:$C417,$C417,$B$2:$B417,"SBA 26/*",$F$2:$F417,"&lt;&gt;"),"")</f>
        <v>5</v>
      </c>
      <c r="AB417" s="29" t="str">
        <f>IF(AA417=1,COUNTIF($AA$2:AA417,1),"")</f>
        <v/>
      </c>
    </row>
    <row r="418" spans="1:28" ht="63" customHeight="1" x14ac:dyDescent="0.2">
      <c r="A418" s="43" t="s">
        <v>2025</v>
      </c>
      <c r="B418" s="43" t="s">
        <v>2026</v>
      </c>
      <c r="C418" s="44" t="s">
        <v>403</v>
      </c>
      <c r="D418" s="44" t="s">
        <v>404</v>
      </c>
      <c r="E418" s="45" t="s">
        <v>2027</v>
      </c>
      <c r="F418" s="45" t="s">
        <v>2028</v>
      </c>
      <c r="G418" s="46" t="s">
        <v>38</v>
      </c>
      <c r="H418" s="48">
        <v>46134</v>
      </c>
      <c r="I418" s="48">
        <v>46154</v>
      </c>
      <c r="J418" s="44" t="s">
        <v>92</v>
      </c>
      <c r="K418" s="44" t="s">
        <v>76</v>
      </c>
      <c r="L418" s="50" t="s">
        <v>77</v>
      </c>
      <c r="M418" s="50"/>
      <c r="N418" s="50"/>
      <c r="O418" s="49"/>
      <c r="P418" s="50" t="str">
        <f t="shared" si="24"/>
        <v>ONAY</v>
      </c>
      <c r="R418" s="51" t="str">
        <f t="shared" si="25"/>
        <v/>
      </c>
      <c r="T418" s="41"/>
      <c r="U418" s="29">
        <f>IF($C418&lt;&gt;"",COUNTIF($C$2:C418,C418),"")</f>
        <v>2</v>
      </c>
      <c r="V418" s="29" t="str">
        <f t="shared" si="26"/>
        <v>Prof. Dr. Hasan Serkan DOĞAN§2</v>
      </c>
      <c r="W418" s="29" t="str">
        <f>IF(U418=1,COUNTIF($U$2:U418,1),"")</f>
        <v/>
      </c>
      <c r="X418" s="29" t="str">
        <f t="shared" si="27"/>
        <v/>
      </c>
      <c r="Y418" s="29">
        <f>IF(AND(LEFT($B418,7)="SBA 26/",$D418&lt;&gt;"",$F418&lt;&gt;""),COUNTIFS($D$2:$D418,$D418,$B$2:$B418,"SBA 26/*",$F$2:$F418,"&lt;&gt;"),"")</f>
        <v>6</v>
      </c>
      <c r="Z418" s="29" t="str">
        <f>IF(Y418=1,COUNTIF($Y$2:Y418,1),"")</f>
        <v/>
      </c>
      <c r="AA418" s="29">
        <f>IF(AND(LEFT($B418,7)="SBA 26/",$C418&lt;&gt;"",$F418&lt;&gt;""),COUNTIFS($C$2:$C418,$C418,$B$2:$B418,"SBA 26/*",$F$2:$F418,"&lt;&gt;"),"")</f>
        <v>2</v>
      </c>
      <c r="AB418" s="29" t="str">
        <f>IF(AA418=1,COUNTIF($AA$2:AA418,1),"")</f>
        <v/>
      </c>
    </row>
    <row r="419" spans="1:28" ht="63" customHeight="1" x14ac:dyDescent="0.2">
      <c r="A419" s="43" t="s">
        <v>2029</v>
      </c>
      <c r="B419" s="43" t="s">
        <v>2030</v>
      </c>
      <c r="C419" s="44" t="s">
        <v>192</v>
      </c>
      <c r="D419" s="44" t="s">
        <v>193</v>
      </c>
      <c r="E419" s="45" t="s">
        <v>2031</v>
      </c>
      <c r="F419" s="45" t="s">
        <v>2032</v>
      </c>
      <c r="G419" s="46" t="s">
        <v>38</v>
      </c>
      <c r="H419" s="48">
        <v>46134</v>
      </c>
      <c r="I419" s="48">
        <v>46154</v>
      </c>
      <c r="J419" s="44" t="s">
        <v>91</v>
      </c>
      <c r="K419" s="44" t="s">
        <v>99</v>
      </c>
      <c r="L419" s="50"/>
      <c r="M419" s="50"/>
      <c r="N419" s="50"/>
      <c r="O419" s="49"/>
      <c r="P419" s="50">
        <f t="shared" si="24"/>
        <v>0</v>
      </c>
      <c r="R419" s="51" t="str">
        <f t="shared" si="25"/>
        <v/>
      </c>
      <c r="T419" s="41"/>
      <c r="U419" s="29">
        <f>IF($C419&lt;&gt;"",COUNTIF($C$2:C419,C419),"")</f>
        <v>8</v>
      </c>
      <c r="V419" s="29" t="str">
        <f t="shared" si="26"/>
        <v>Dr. Öğr. Üyesi Figen BEZCİ AYGÜN§8</v>
      </c>
      <c r="W419" s="29" t="str">
        <f>IF(U419=1,COUNTIF($U$2:U419,1),"")</f>
        <v/>
      </c>
      <c r="X419" s="29" t="str">
        <f t="shared" si="27"/>
        <v/>
      </c>
      <c r="Y419" s="29">
        <f>IF(AND(LEFT($B419,7)="SBA 26/",$D419&lt;&gt;"",$F419&lt;&gt;""),COUNTIFS($D$2:$D419,$D419,$B$2:$B419,"SBA 26/*",$F$2:$F419,"&lt;&gt;"),"")</f>
        <v>13</v>
      </c>
      <c r="Z419" s="29" t="str">
        <f>IF(Y419=1,COUNTIF($Y$2:Y419,1),"")</f>
        <v/>
      </c>
      <c r="AA419" s="29">
        <f>IF(AND(LEFT($B419,7)="SBA 26/",$C419&lt;&gt;"",$F419&lt;&gt;""),COUNTIFS($C$2:$C419,$C419,$B$2:$B419,"SBA 26/*",$F$2:$F419,"&lt;&gt;"),"")</f>
        <v>8</v>
      </c>
      <c r="AB419" s="29" t="str">
        <f>IF(AA419=1,COUNTIF($AA$2:AA419,1),"")</f>
        <v/>
      </c>
    </row>
    <row r="420" spans="1:28" ht="78.75" customHeight="1" x14ac:dyDescent="0.2">
      <c r="A420" s="43" t="s">
        <v>2033</v>
      </c>
      <c r="B420" s="43" t="s">
        <v>2034</v>
      </c>
      <c r="C420" s="44" t="s">
        <v>424</v>
      </c>
      <c r="D420" s="44" t="s">
        <v>364</v>
      </c>
      <c r="E420" s="45" t="s">
        <v>2035</v>
      </c>
      <c r="F420" s="45" t="s">
        <v>2036</v>
      </c>
      <c r="G420" s="46" t="s">
        <v>38</v>
      </c>
      <c r="H420" s="48">
        <v>46136</v>
      </c>
      <c r="I420" s="48">
        <v>46154</v>
      </c>
      <c r="J420" s="44" t="s">
        <v>108</v>
      </c>
      <c r="K420" s="44" t="s">
        <v>100</v>
      </c>
      <c r="L420" s="50" t="s">
        <v>206</v>
      </c>
      <c r="M420" s="50" t="s">
        <v>77</v>
      </c>
      <c r="N420" s="50"/>
      <c r="O420" s="49"/>
      <c r="P420" s="50" t="str">
        <f t="shared" si="24"/>
        <v>ONAY</v>
      </c>
      <c r="R420" s="51" t="str">
        <f t="shared" si="25"/>
        <v/>
      </c>
      <c r="T420" s="41"/>
      <c r="U420" s="29">
        <f>IF($C420&lt;&gt;"",COUNTIF($C$2:C420,C420),"")</f>
        <v>4</v>
      </c>
      <c r="V420" s="29" t="str">
        <f t="shared" si="26"/>
        <v>Prof. Dr. Fatma Gökçem YILDIZ SARIKAYA§4</v>
      </c>
      <c r="W420" s="29" t="str">
        <f>IF(U420=1,COUNTIF($U$2:U420,1),"")</f>
        <v/>
      </c>
      <c r="X420" s="29" t="str">
        <f t="shared" si="27"/>
        <v/>
      </c>
      <c r="Y420" s="29">
        <f>IF(AND(LEFT($B420,7)="SBA 26/",$D420&lt;&gt;"",$F420&lt;&gt;""),COUNTIFS($D$2:$D420,$D420,$B$2:$B420,"SBA 26/*",$F$2:$F420,"&lt;&gt;"),"")</f>
        <v>15</v>
      </c>
      <c r="Z420" s="29" t="str">
        <f>IF(Y420=1,COUNTIF($Y$2:Y420,1),"")</f>
        <v/>
      </c>
      <c r="AA420" s="29">
        <f>IF(AND(LEFT($B420,7)="SBA 26/",$C420&lt;&gt;"",$F420&lt;&gt;""),COUNTIFS($C$2:$C420,$C420,$B$2:$B420,"SBA 26/*",$F$2:$F420,"&lt;&gt;"),"")</f>
        <v>4</v>
      </c>
      <c r="AB420" s="29" t="str">
        <f>IF(AA420=1,COUNTIF($AA$2:AA420,1),"")</f>
        <v/>
      </c>
    </row>
    <row r="421" spans="1:28" ht="94.5" customHeight="1" x14ac:dyDescent="0.2">
      <c r="A421" s="43" t="s">
        <v>2037</v>
      </c>
      <c r="B421" s="43" t="s">
        <v>2038</v>
      </c>
      <c r="C421" s="44" t="s">
        <v>2039</v>
      </c>
      <c r="D421" s="44" t="s">
        <v>222</v>
      </c>
      <c r="E421" s="45" t="s">
        <v>2040</v>
      </c>
      <c r="F421" s="45" t="s">
        <v>2041</v>
      </c>
      <c r="G421" s="46" t="s">
        <v>38</v>
      </c>
      <c r="H421" s="48">
        <v>46136</v>
      </c>
      <c r="I421" s="48">
        <v>46154</v>
      </c>
      <c r="J421" s="44" t="s">
        <v>76</v>
      </c>
      <c r="K421" s="44" t="s">
        <v>109</v>
      </c>
      <c r="L421" s="50" t="s">
        <v>77</v>
      </c>
      <c r="M421" s="50"/>
      <c r="N421" s="50"/>
      <c r="O421" s="49"/>
      <c r="P421" s="50" t="str">
        <f t="shared" si="24"/>
        <v>ONAY</v>
      </c>
      <c r="R421" s="51" t="str">
        <f t="shared" si="25"/>
        <v/>
      </c>
      <c r="T421" s="41"/>
      <c r="U421" s="29">
        <f>IF($C421&lt;&gt;"",COUNTIF($C$2:C421,C421),"")</f>
        <v>1</v>
      </c>
      <c r="V421" s="29" t="str">
        <f t="shared" si="26"/>
        <v>Prof. Dr. Elmas Ebru YALÇIN§1</v>
      </c>
      <c r="W421" s="29">
        <f>IF(U421=1,COUNTIF($U$2:U421,1),"")</f>
        <v>233</v>
      </c>
      <c r="X421" s="29">
        <f t="shared" si="27"/>
        <v>216</v>
      </c>
      <c r="Y421" s="29">
        <f>IF(AND(LEFT($B421,7)="SBA 26/",$D421&lt;&gt;"",$F421&lt;&gt;""),COUNTIFS($D$2:$D421,$D421,$B$2:$B421,"SBA 26/*",$F$2:$F421,"&lt;&gt;"),"")</f>
        <v>59</v>
      </c>
      <c r="Z421" s="29" t="str">
        <f>IF(Y421=1,COUNTIF($Y$2:Y421,1),"")</f>
        <v/>
      </c>
      <c r="AA421" s="29">
        <f>IF(AND(LEFT($B421,7)="SBA 26/",$C421&lt;&gt;"",$F421&lt;&gt;""),COUNTIFS($C$2:$C421,$C421,$B$2:$B421,"SBA 26/*",$F$2:$F421,"&lt;&gt;"),"")</f>
        <v>1</v>
      </c>
      <c r="AB421" s="29">
        <f>IF(AA421=1,COUNTIF($AA$2:AA421,1),"")</f>
        <v>233</v>
      </c>
    </row>
    <row r="422" spans="1:28" ht="63" customHeight="1" x14ac:dyDescent="0.2">
      <c r="A422" s="43" t="s">
        <v>2042</v>
      </c>
      <c r="B422" s="43" t="s">
        <v>2043</v>
      </c>
      <c r="C422" s="44" t="s">
        <v>1228</v>
      </c>
      <c r="D422" s="44" t="s">
        <v>391</v>
      </c>
      <c r="E422" s="45" t="s">
        <v>2044</v>
      </c>
      <c r="F422" s="45" t="s">
        <v>2045</v>
      </c>
      <c r="G422" s="46" t="s">
        <v>38</v>
      </c>
      <c r="H422" s="48">
        <v>46136</v>
      </c>
      <c r="I422" s="48">
        <v>46154</v>
      </c>
      <c r="J422" s="44" t="s">
        <v>109</v>
      </c>
      <c r="K422" s="44" t="s">
        <v>129</v>
      </c>
      <c r="L422" s="50" t="s">
        <v>77</v>
      </c>
      <c r="M422" s="50"/>
      <c r="N422" s="50"/>
      <c r="O422" s="49"/>
      <c r="P422" s="50" t="str">
        <f t="shared" si="24"/>
        <v>ONAY</v>
      </c>
      <c r="R422" s="51" t="str">
        <f t="shared" si="25"/>
        <v/>
      </c>
      <c r="T422" s="41"/>
      <c r="U422" s="29">
        <f>IF($C422&lt;&gt;"",COUNTIF($C$2:C422,C422),"")</f>
        <v>2</v>
      </c>
      <c r="V422" s="29" t="str">
        <f t="shared" si="26"/>
        <v>Dr. Öğr. Üyesi Gökhan AYIK§2</v>
      </c>
      <c r="W422" s="29" t="str">
        <f>IF(U422=1,COUNTIF($U$2:U422,1),"")</f>
        <v/>
      </c>
      <c r="X422" s="29" t="str">
        <f t="shared" si="27"/>
        <v/>
      </c>
      <c r="Y422" s="29">
        <f>IF(AND(LEFT($B422,7)="SBA 26/",$D422&lt;&gt;"",$F422&lt;&gt;""),COUNTIFS($D$2:$D422,$D422,$B$2:$B422,"SBA 26/*",$F$2:$F422,"&lt;&gt;"),"")</f>
        <v>14</v>
      </c>
      <c r="Z422" s="29" t="str">
        <f>IF(Y422=1,COUNTIF($Y$2:Y422,1),"")</f>
        <v/>
      </c>
      <c r="AA422" s="29">
        <f>IF(AND(LEFT($B422,7)="SBA 26/",$C422&lt;&gt;"",$F422&lt;&gt;""),COUNTIFS($C$2:$C422,$C422,$B$2:$B422,"SBA 26/*",$F$2:$F422,"&lt;&gt;"),"")</f>
        <v>2</v>
      </c>
      <c r="AB422" s="29" t="str">
        <f>IF(AA422=1,COUNTIF($AA$2:AA422,1),"")</f>
        <v/>
      </c>
    </row>
    <row r="423" spans="1:28" ht="78.75" customHeight="1" x14ac:dyDescent="0.2">
      <c r="A423" s="43" t="s">
        <v>2046</v>
      </c>
      <c r="B423" s="43" t="s">
        <v>2047</v>
      </c>
      <c r="C423" s="44" t="s">
        <v>285</v>
      </c>
      <c r="D423" s="44" t="s">
        <v>222</v>
      </c>
      <c r="E423" s="45" t="s">
        <v>2048</v>
      </c>
      <c r="F423" s="45" t="s">
        <v>2049</v>
      </c>
      <c r="G423" s="46" t="s">
        <v>38</v>
      </c>
      <c r="H423" s="48">
        <v>46139</v>
      </c>
      <c r="I423" s="48">
        <v>46154</v>
      </c>
      <c r="J423" s="44" t="s">
        <v>109</v>
      </c>
      <c r="K423" s="44" t="s">
        <v>76</v>
      </c>
      <c r="L423" s="50" t="s">
        <v>101</v>
      </c>
      <c r="M423" s="50"/>
      <c r="N423" s="50"/>
      <c r="O423" s="49"/>
      <c r="P423" s="50" t="str">
        <f t="shared" si="24"/>
        <v>DÜZELTME</v>
      </c>
      <c r="R423" s="51" t="str">
        <f t="shared" si="25"/>
        <v/>
      </c>
      <c r="T423" s="41"/>
      <c r="U423" s="29">
        <f>IF($C423&lt;&gt;"",COUNTIF($C$2:C423,C423),"")</f>
        <v>9</v>
      </c>
      <c r="V423" s="29" t="str">
        <f t="shared" si="26"/>
        <v>Prof. Dr. Yasemin ÖZSÜREKCİ§9</v>
      </c>
      <c r="W423" s="29" t="str">
        <f>IF(U423=1,COUNTIF($U$2:U423,1),"")</f>
        <v/>
      </c>
      <c r="X423" s="29" t="str">
        <f t="shared" si="27"/>
        <v/>
      </c>
      <c r="Y423" s="29">
        <f>IF(AND(LEFT($B423,7)="SBA 26/",$D423&lt;&gt;"",$F423&lt;&gt;""),COUNTIFS($D$2:$D423,$D423,$B$2:$B423,"SBA 26/*",$F$2:$F423,"&lt;&gt;"),"")</f>
        <v>60</v>
      </c>
      <c r="Z423" s="29" t="str">
        <f>IF(Y423=1,COUNTIF($Y$2:Y423,1),"")</f>
        <v/>
      </c>
      <c r="AA423" s="29">
        <f>IF(AND(LEFT($B423,7)="SBA 26/",$C423&lt;&gt;"",$F423&lt;&gt;""),COUNTIFS($C$2:$C423,$C423,$B$2:$B423,"SBA 26/*",$F$2:$F423,"&lt;&gt;"),"")</f>
        <v>9</v>
      </c>
      <c r="AB423" s="29" t="str">
        <f>IF(AA423=1,COUNTIF($AA$2:AA423,1),"")</f>
        <v/>
      </c>
    </row>
    <row r="424" spans="1:28" ht="78.75" customHeight="1" x14ac:dyDescent="0.2">
      <c r="A424" s="43" t="s">
        <v>2050</v>
      </c>
      <c r="B424" s="43" t="s">
        <v>2051</v>
      </c>
      <c r="C424" s="44" t="s">
        <v>2052</v>
      </c>
      <c r="D424" s="44" t="s">
        <v>222</v>
      </c>
      <c r="E424" s="45" t="s">
        <v>2053</v>
      </c>
      <c r="F424" s="45" t="s">
        <v>2054</v>
      </c>
      <c r="G424" s="46" t="s">
        <v>38</v>
      </c>
      <c r="H424" s="48">
        <v>46139</v>
      </c>
      <c r="I424" s="48">
        <v>46154</v>
      </c>
      <c r="J424" s="44" t="s">
        <v>116</v>
      </c>
      <c r="K424" s="44" t="s">
        <v>129</v>
      </c>
      <c r="L424" s="50" t="s">
        <v>101</v>
      </c>
      <c r="M424" s="50" t="s">
        <v>77</v>
      </c>
      <c r="N424" s="50"/>
      <c r="O424" s="49"/>
      <c r="P424" s="50" t="str">
        <f t="shared" si="24"/>
        <v>ONAY</v>
      </c>
      <c r="Q424" s="28" t="s">
        <v>129</v>
      </c>
      <c r="R424" s="51" t="str">
        <f t="shared" si="25"/>
        <v/>
      </c>
      <c r="T424" s="41"/>
      <c r="U424" s="29">
        <f>IF($C424&lt;&gt;"",COUNTIF($C$2:C424,C424),"")</f>
        <v>1</v>
      </c>
      <c r="V424" s="29" t="str">
        <f t="shared" si="26"/>
        <v>Doç. Dr. Kısmet ÇIKI§1</v>
      </c>
      <c r="W424" s="29">
        <f>IF(U424=1,COUNTIF($U$2:U424,1),"")</f>
        <v>234</v>
      </c>
      <c r="X424" s="29">
        <f t="shared" si="27"/>
        <v>72</v>
      </c>
      <c r="Y424" s="29">
        <f>IF(AND(LEFT($B424,7)="SBA 26/",$D424&lt;&gt;"",$F424&lt;&gt;""),COUNTIFS($D$2:$D424,$D424,$B$2:$B424,"SBA 26/*",$F$2:$F424,"&lt;&gt;"),"")</f>
        <v>61</v>
      </c>
      <c r="Z424" s="29" t="str">
        <f>IF(Y424=1,COUNTIF($Y$2:Y424,1),"")</f>
        <v/>
      </c>
      <c r="AA424" s="29">
        <f>IF(AND(LEFT($B424,7)="SBA 26/",$C424&lt;&gt;"",$F424&lt;&gt;""),COUNTIFS($C$2:$C424,$C424,$B$2:$B424,"SBA 26/*",$F$2:$F424,"&lt;&gt;"),"")</f>
        <v>1</v>
      </c>
      <c r="AB424" s="29">
        <f>IF(AA424=1,COUNTIF($AA$2:AA424,1),"")</f>
        <v>234</v>
      </c>
    </row>
    <row r="425" spans="1:28" ht="94.5" customHeight="1" x14ac:dyDescent="0.2">
      <c r="A425" s="43" t="s">
        <v>2055</v>
      </c>
      <c r="B425" s="43" t="s">
        <v>2056</v>
      </c>
      <c r="C425" s="44" t="s">
        <v>795</v>
      </c>
      <c r="D425" s="44" t="s">
        <v>222</v>
      </c>
      <c r="E425" s="45" t="s">
        <v>2057</v>
      </c>
      <c r="F425" s="45" t="s">
        <v>2058</v>
      </c>
      <c r="G425" s="46" t="s">
        <v>38</v>
      </c>
      <c r="H425" s="48">
        <v>46139</v>
      </c>
      <c r="I425" s="48">
        <v>46154</v>
      </c>
      <c r="J425" s="44" t="s">
        <v>116</v>
      </c>
      <c r="K425" s="44" t="s">
        <v>76</v>
      </c>
      <c r="L425" s="50" t="s">
        <v>77</v>
      </c>
      <c r="M425" s="50"/>
      <c r="N425" s="50"/>
      <c r="O425" s="49"/>
      <c r="P425" s="50" t="str">
        <f t="shared" si="24"/>
        <v>ONAY</v>
      </c>
      <c r="R425" s="51" t="str">
        <f t="shared" si="25"/>
        <v/>
      </c>
      <c r="T425" s="41"/>
      <c r="U425" s="29">
        <f>IF($C425&lt;&gt;"",COUNTIF($C$2:C425,C425),"")</f>
        <v>2</v>
      </c>
      <c r="V425" s="29" t="str">
        <f t="shared" si="26"/>
        <v>Prof. Dr. Deniz DOĞRU ERSÖZ§2</v>
      </c>
      <c r="W425" s="29" t="str">
        <f>IF(U425=1,COUNTIF($U$2:U425,1),"")</f>
        <v/>
      </c>
      <c r="X425" s="29" t="str">
        <f t="shared" si="27"/>
        <v/>
      </c>
      <c r="Y425" s="29">
        <f>IF(AND(LEFT($B425,7)="SBA 26/",$D425&lt;&gt;"",$F425&lt;&gt;""),COUNTIFS($D$2:$D425,$D425,$B$2:$B425,"SBA 26/*",$F$2:$F425,"&lt;&gt;"),"")</f>
        <v>62</v>
      </c>
      <c r="Z425" s="29" t="str">
        <f>IF(Y425=1,COUNTIF($Y$2:Y425,1),"")</f>
        <v/>
      </c>
      <c r="AA425" s="29">
        <f>IF(AND(LEFT($B425,7)="SBA 26/",$C425&lt;&gt;"",$F425&lt;&gt;""),COUNTIFS($C$2:$C425,$C425,$B$2:$B425,"SBA 26/*",$F$2:$F425,"&lt;&gt;"),"")</f>
        <v>2</v>
      </c>
      <c r="AB425" s="29" t="str">
        <f>IF(AA425=1,COUNTIF($AA$2:AA425,1),"")</f>
        <v/>
      </c>
    </row>
    <row r="426" spans="1:28" ht="64.5" customHeight="1" x14ac:dyDescent="0.2">
      <c r="A426" s="43" t="s">
        <v>2059</v>
      </c>
      <c r="B426" s="43" t="s">
        <v>2060</v>
      </c>
      <c r="C426" s="44" t="s">
        <v>2061</v>
      </c>
      <c r="D426" s="44" t="s">
        <v>1493</v>
      </c>
      <c r="E426" s="45" t="s">
        <v>2062</v>
      </c>
      <c r="F426" s="45" t="s">
        <v>2063</v>
      </c>
      <c r="G426" s="46" t="s">
        <v>38</v>
      </c>
      <c r="H426" s="48">
        <v>46139</v>
      </c>
      <c r="I426" s="48">
        <v>46154</v>
      </c>
      <c r="J426" s="44" t="s">
        <v>92</v>
      </c>
      <c r="K426" s="44" t="s">
        <v>84</v>
      </c>
      <c r="L426" s="50" t="s">
        <v>77</v>
      </c>
      <c r="M426" s="50"/>
      <c r="N426" s="50"/>
      <c r="O426" s="49"/>
      <c r="P426" s="50" t="str">
        <f t="shared" si="24"/>
        <v>ONAY</v>
      </c>
      <c r="R426" s="51" t="str">
        <f t="shared" si="25"/>
        <v/>
      </c>
      <c r="T426" s="41"/>
      <c r="U426" s="29">
        <f>IF($C426&lt;&gt;"",COUNTIF($C$2:C426,C426),"")</f>
        <v>1</v>
      </c>
      <c r="V426" s="29" t="str">
        <f t="shared" si="26"/>
        <v>Prof. Dr. Alp USUBÜTÜN§1</v>
      </c>
      <c r="W426" s="29">
        <f>IF(U426=1,COUNTIF($U$2:U426,1),"")</f>
        <v>235</v>
      </c>
      <c r="X426" s="29">
        <f t="shared" si="27"/>
        <v>187</v>
      </c>
      <c r="Y426" s="29">
        <f>IF(AND(LEFT($B426,7)="SBA 26/",$D426&lt;&gt;"",$F426&lt;&gt;""),COUNTIFS($D$2:$D426,$D426,$B$2:$B426,"SBA 26/*",$F$2:$F426,"&lt;&gt;"),"")</f>
        <v>4</v>
      </c>
      <c r="Z426" s="29" t="str">
        <f>IF(Y426=1,COUNTIF($Y$2:Y426,1),"")</f>
        <v/>
      </c>
      <c r="AA426" s="29">
        <f>IF(AND(LEFT($B426,7)="SBA 26/",$C426&lt;&gt;"",$F426&lt;&gt;""),COUNTIFS($C$2:$C426,$C426,$B$2:$B426,"SBA 26/*",$F$2:$F426,"&lt;&gt;"),"")</f>
        <v>1</v>
      </c>
      <c r="AB426" s="29">
        <f>IF(AA426=1,COUNTIF($AA$2:AA426,1),"")</f>
        <v>235</v>
      </c>
    </row>
    <row r="427" spans="1:28" ht="75" customHeight="1" x14ac:dyDescent="0.2">
      <c r="A427" s="43" t="s">
        <v>2064</v>
      </c>
      <c r="B427" s="43" t="s">
        <v>2065</v>
      </c>
      <c r="C427" s="44" t="s">
        <v>1247</v>
      </c>
      <c r="D427" s="44" t="s">
        <v>222</v>
      </c>
      <c r="E427" s="45" t="s">
        <v>2066</v>
      </c>
      <c r="F427" s="45" t="s">
        <v>2067</v>
      </c>
      <c r="G427" s="46" t="s">
        <v>38</v>
      </c>
      <c r="H427" s="48">
        <v>46139</v>
      </c>
      <c r="I427" s="48">
        <v>46154</v>
      </c>
      <c r="J427" s="44" t="s">
        <v>75</v>
      </c>
      <c r="K427" s="44" t="s">
        <v>100</v>
      </c>
      <c r="L427" s="50" t="s">
        <v>77</v>
      </c>
      <c r="M427" s="50"/>
      <c r="N427" s="50"/>
      <c r="O427" s="49"/>
      <c r="P427" s="50" t="str">
        <f t="shared" si="24"/>
        <v>ONAY</v>
      </c>
      <c r="R427" s="51" t="str">
        <f t="shared" si="25"/>
        <v/>
      </c>
      <c r="T427" s="41"/>
      <c r="U427" s="29">
        <f>IF($C427&lt;&gt;"",COUNTIF($C$2:C427,C427),"")</f>
        <v>4</v>
      </c>
      <c r="V427" s="29" t="str">
        <f t="shared" si="26"/>
        <v>Prof. Dr. Şule ÜNAL CANGÜL§4</v>
      </c>
      <c r="W427" s="29" t="str">
        <f>IF(U427=1,COUNTIF($U$2:U427,1),"")</f>
        <v/>
      </c>
      <c r="X427" s="29" t="str">
        <f t="shared" si="27"/>
        <v/>
      </c>
      <c r="Y427" s="29">
        <f>IF(AND(LEFT($B427,7)="SBA 26/",$D427&lt;&gt;"",$F427&lt;&gt;""),COUNTIFS($D$2:$D427,$D427,$B$2:$B427,"SBA 26/*",$F$2:$F427,"&lt;&gt;"),"")</f>
        <v>63</v>
      </c>
      <c r="Z427" s="29" t="str">
        <f>IF(Y427=1,COUNTIF($Y$2:Y427,1),"")</f>
        <v/>
      </c>
      <c r="AA427" s="29">
        <f>IF(AND(LEFT($B427,7)="SBA 26/",$C427&lt;&gt;"",$F427&lt;&gt;""),COUNTIFS($C$2:$C427,$C427,$B$2:$B427,"SBA 26/*",$F$2:$F427,"&lt;&gt;"),"")</f>
        <v>4</v>
      </c>
      <c r="AB427" s="29" t="str">
        <f>IF(AA427=1,COUNTIF($AA$2:AA427,1),"")</f>
        <v/>
      </c>
    </row>
    <row r="428" spans="1:28" ht="63" customHeight="1" x14ac:dyDescent="0.2">
      <c r="A428" s="43" t="s">
        <v>2068</v>
      </c>
      <c r="B428" s="43" t="s">
        <v>2069</v>
      </c>
      <c r="C428" s="44" t="s">
        <v>1585</v>
      </c>
      <c r="D428" s="44" t="s">
        <v>113</v>
      </c>
      <c r="E428" s="45" t="s">
        <v>2070</v>
      </c>
      <c r="F428" s="45" t="s">
        <v>2071</v>
      </c>
      <c r="G428" s="46" t="s">
        <v>38</v>
      </c>
      <c r="H428" s="48">
        <v>46139</v>
      </c>
      <c r="I428" s="48">
        <v>46154</v>
      </c>
      <c r="J428" s="44" t="s">
        <v>91</v>
      </c>
      <c r="K428" s="44" t="s">
        <v>129</v>
      </c>
      <c r="L428" s="50" t="s">
        <v>101</v>
      </c>
      <c r="M428" s="50" t="s">
        <v>77</v>
      </c>
      <c r="N428" s="50"/>
      <c r="O428" s="49"/>
      <c r="P428" s="50" t="str">
        <f t="shared" si="24"/>
        <v>ONAY</v>
      </c>
      <c r="Q428" s="28" t="s">
        <v>129</v>
      </c>
      <c r="R428" s="51" t="str">
        <f t="shared" si="25"/>
        <v/>
      </c>
      <c r="T428" s="41"/>
      <c r="U428" s="29">
        <f>IF($C428&lt;&gt;"",COUNTIF($C$2:C428,C428),"")</f>
        <v>4</v>
      </c>
      <c r="V428" s="29" t="str">
        <f t="shared" si="26"/>
        <v>Doç. Dr. Cafer BALCI§4</v>
      </c>
      <c r="W428" s="29" t="str">
        <f>IF(U428=1,COUNTIF($U$2:U428,1),"")</f>
        <v/>
      </c>
      <c r="X428" s="29" t="str">
        <f t="shared" si="27"/>
        <v/>
      </c>
      <c r="Y428" s="29">
        <f>IF(AND(LEFT($B428,7)="SBA 26/",$D428&lt;&gt;"",$F428&lt;&gt;""),COUNTIFS($D$2:$D428,$D428,$B$2:$B428,"SBA 26/*",$F$2:$F428,"&lt;&gt;"),"")</f>
        <v>68</v>
      </c>
      <c r="Z428" s="29" t="str">
        <f>IF(Y428=1,COUNTIF($Y$2:Y428,1),"")</f>
        <v/>
      </c>
      <c r="AA428" s="29">
        <f>IF(AND(LEFT($B428,7)="SBA 26/",$C428&lt;&gt;"",$F428&lt;&gt;""),COUNTIFS($C$2:$C428,$C428,$B$2:$B428,"SBA 26/*",$F$2:$F428,"&lt;&gt;"),"")</f>
        <v>4</v>
      </c>
      <c r="AB428" s="29" t="str">
        <f>IF(AA428=1,COUNTIF($AA$2:AA428,1),"")</f>
        <v/>
      </c>
    </row>
    <row r="429" spans="1:28" ht="78.75" customHeight="1" x14ac:dyDescent="0.2">
      <c r="A429" s="43" t="s">
        <v>2072</v>
      </c>
      <c r="B429" s="43" t="s">
        <v>2073</v>
      </c>
      <c r="C429" s="44" t="s">
        <v>1009</v>
      </c>
      <c r="D429" s="44" t="s">
        <v>222</v>
      </c>
      <c r="E429" s="45" t="s">
        <v>2074</v>
      </c>
      <c r="F429" s="45" t="s">
        <v>2075</v>
      </c>
      <c r="G429" s="46" t="s">
        <v>38</v>
      </c>
      <c r="H429" s="48">
        <v>46140</v>
      </c>
      <c r="I429" s="48">
        <v>46154</v>
      </c>
      <c r="J429" s="44" t="s">
        <v>108</v>
      </c>
      <c r="K429" s="44" t="s">
        <v>123</v>
      </c>
      <c r="L429" s="50" t="s">
        <v>101</v>
      </c>
      <c r="M429" s="50" t="s">
        <v>77</v>
      </c>
      <c r="N429" s="50"/>
      <c r="O429" s="49"/>
      <c r="P429" s="50" t="str">
        <f t="shared" si="24"/>
        <v>ONAY</v>
      </c>
      <c r="Q429" s="28" t="s">
        <v>108</v>
      </c>
      <c r="R429" s="51" t="str">
        <f t="shared" si="25"/>
        <v/>
      </c>
      <c r="T429" s="41"/>
      <c r="U429" s="29">
        <f>IF($C429&lt;&gt;"",COUNTIF($C$2:C429,C429),"")</f>
        <v>2</v>
      </c>
      <c r="V429" s="29" t="str">
        <f t="shared" si="26"/>
        <v>Doç. Dr. Tekin AKSU§2</v>
      </c>
      <c r="W429" s="29" t="str">
        <f>IF(U429=1,COUNTIF($U$2:U429,1),"")</f>
        <v/>
      </c>
      <c r="X429" s="29" t="str">
        <f t="shared" si="27"/>
        <v/>
      </c>
      <c r="Y429" s="29">
        <f>IF(AND(LEFT($B429,7)="SBA 26/",$D429&lt;&gt;"",$F429&lt;&gt;""),COUNTIFS($D$2:$D429,$D429,$B$2:$B429,"SBA 26/*",$F$2:$F429,"&lt;&gt;"),"")</f>
        <v>64</v>
      </c>
      <c r="Z429" s="29" t="str">
        <f>IF(Y429=1,COUNTIF($Y$2:Y429,1),"")</f>
        <v/>
      </c>
      <c r="AA429" s="29">
        <f>IF(AND(LEFT($B429,7)="SBA 26/",$C429&lt;&gt;"",$F429&lt;&gt;""),COUNTIFS($C$2:$C429,$C429,$B$2:$B429,"SBA 26/*",$F$2:$F429,"&lt;&gt;"),"")</f>
        <v>2</v>
      </c>
      <c r="AB429" s="29" t="str">
        <f>IF(AA429=1,COUNTIF($AA$2:AA429,1),"")</f>
        <v/>
      </c>
    </row>
    <row r="430" spans="1:28" ht="63" customHeight="1" x14ac:dyDescent="0.2">
      <c r="A430" s="43" t="s">
        <v>2076</v>
      </c>
      <c r="B430" s="43" t="s">
        <v>2077</v>
      </c>
      <c r="C430" s="44" t="s">
        <v>2078</v>
      </c>
      <c r="D430" s="44" t="s">
        <v>113</v>
      </c>
      <c r="E430" s="45" t="s">
        <v>2079</v>
      </c>
      <c r="F430" s="45" t="s">
        <v>2080</v>
      </c>
      <c r="G430" s="46" t="s">
        <v>38</v>
      </c>
      <c r="H430" s="48">
        <v>46140</v>
      </c>
      <c r="I430" s="48">
        <v>46154</v>
      </c>
      <c r="J430" s="44" t="s">
        <v>109</v>
      </c>
      <c r="K430" s="44" t="s">
        <v>84</v>
      </c>
      <c r="L430" s="50" t="s">
        <v>101</v>
      </c>
      <c r="M430" s="50" t="s">
        <v>77</v>
      </c>
      <c r="N430" s="50"/>
      <c r="O430" s="49"/>
      <c r="P430" s="50" t="str">
        <f t="shared" si="24"/>
        <v>ONAY</v>
      </c>
      <c r="Q430" s="28" t="s">
        <v>109</v>
      </c>
      <c r="R430" s="51" t="str">
        <f t="shared" si="25"/>
        <v/>
      </c>
      <c r="T430" s="41"/>
      <c r="U430" s="29">
        <f>IF($C430&lt;&gt;"",COUNTIF($C$2:C430,C430),"")</f>
        <v>1</v>
      </c>
      <c r="V430" s="29" t="str">
        <f t="shared" si="26"/>
        <v>Prof. Dr. Ümit Yavuz MALKAN§1</v>
      </c>
      <c r="W430" s="29">
        <f>IF(U430=1,COUNTIF($U$2:U430,1),"")</f>
        <v>236</v>
      </c>
      <c r="X430" s="29">
        <f t="shared" si="27"/>
        <v>331</v>
      </c>
      <c r="Y430" s="29">
        <f>IF(AND(LEFT($B430,7)="SBA 26/",$D430&lt;&gt;"",$F430&lt;&gt;""),COUNTIFS($D$2:$D430,$D430,$B$2:$B430,"SBA 26/*",$F$2:$F430,"&lt;&gt;"),"")</f>
        <v>69</v>
      </c>
      <c r="Z430" s="29" t="str">
        <f>IF(Y430=1,COUNTIF($Y$2:Y430,1),"")</f>
        <v/>
      </c>
      <c r="AA430" s="29">
        <f>IF(AND(LEFT($B430,7)="SBA 26/",$C430&lt;&gt;"",$F430&lt;&gt;""),COUNTIFS($C$2:$C430,$C430,$B$2:$B430,"SBA 26/*",$F$2:$F430,"&lt;&gt;"),"")</f>
        <v>1</v>
      </c>
      <c r="AB430" s="29">
        <f>IF(AA430=1,COUNTIF($AA$2:AA430,1),"")</f>
        <v>236</v>
      </c>
    </row>
    <row r="431" spans="1:28" ht="63" customHeight="1" x14ac:dyDescent="0.2">
      <c r="A431" s="43" t="s">
        <v>2081</v>
      </c>
      <c r="B431" s="43" t="s">
        <v>2082</v>
      </c>
      <c r="C431" s="44" t="s">
        <v>2078</v>
      </c>
      <c r="D431" s="44" t="s">
        <v>113</v>
      </c>
      <c r="E431" s="45" t="s">
        <v>2079</v>
      </c>
      <c r="F431" s="45" t="s">
        <v>2083</v>
      </c>
      <c r="G431" s="46" t="s">
        <v>38</v>
      </c>
      <c r="H431" s="48">
        <v>46140</v>
      </c>
      <c r="I431" s="48">
        <v>46154</v>
      </c>
      <c r="J431" s="44" t="s">
        <v>109</v>
      </c>
      <c r="K431" s="44" t="s">
        <v>84</v>
      </c>
      <c r="L431" s="50" t="s">
        <v>77</v>
      </c>
      <c r="M431" s="50"/>
      <c r="N431" s="50"/>
      <c r="O431" s="49"/>
      <c r="P431" s="50" t="str">
        <f t="shared" si="24"/>
        <v>ONAY</v>
      </c>
      <c r="R431" s="51" t="str">
        <f t="shared" si="25"/>
        <v/>
      </c>
      <c r="T431" s="41"/>
      <c r="U431" s="29">
        <f>IF($C431&lt;&gt;"",COUNTIF($C$2:C431,C431),"")</f>
        <v>2</v>
      </c>
      <c r="V431" s="29" t="str">
        <f t="shared" si="26"/>
        <v>Prof. Dr. Ümit Yavuz MALKAN§2</v>
      </c>
      <c r="W431" s="29" t="str">
        <f>IF(U431=1,COUNTIF($U$2:U431,1),"")</f>
        <v/>
      </c>
      <c r="X431" s="29" t="str">
        <f t="shared" si="27"/>
        <v/>
      </c>
      <c r="Y431" s="29">
        <f>IF(AND(LEFT($B431,7)="SBA 26/",$D431&lt;&gt;"",$F431&lt;&gt;""),COUNTIFS($D$2:$D431,$D431,$B$2:$B431,"SBA 26/*",$F$2:$F431,"&lt;&gt;"),"")</f>
        <v>70</v>
      </c>
      <c r="Z431" s="29" t="str">
        <f>IF(Y431=1,COUNTIF($Y$2:Y431,1),"")</f>
        <v/>
      </c>
      <c r="AA431" s="29">
        <f>IF(AND(LEFT($B431,7)="SBA 26/",$C431&lt;&gt;"",$F431&lt;&gt;""),COUNTIFS($C$2:$C431,$C431,$B$2:$B431,"SBA 26/*",$F$2:$F431,"&lt;&gt;"),"")</f>
        <v>2</v>
      </c>
      <c r="AB431" s="29" t="str">
        <f>IF(AA431=1,COUNTIF($AA$2:AA431,1),"")</f>
        <v/>
      </c>
    </row>
    <row r="432" spans="1:28" ht="63" customHeight="1" x14ac:dyDescent="0.2">
      <c r="A432" s="43" t="s">
        <v>2084</v>
      </c>
      <c r="B432" s="43" t="s">
        <v>2085</v>
      </c>
      <c r="C432" s="44" t="s">
        <v>2086</v>
      </c>
      <c r="D432" s="44" t="s">
        <v>222</v>
      </c>
      <c r="E432" s="45" t="s">
        <v>2087</v>
      </c>
      <c r="F432" s="45" t="s">
        <v>2088</v>
      </c>
      <c r="G432" s="46" t="s">
        <v>39</v>
      </c>
      <c r="H432" s="48">
        <v>46140</v>
      </c>
      <c r="I432" s="48">
        <v>46154</v>
      </c>
      <c r="J432" s="44" t="s">
        <v>91</v>
      </c>
      <c r="K432" s="44" t="s">
        <v>100</v>
      </c>
      <c r="L432" s="50" t="s">
        <v>77</v>
      </c>
      <c r="M432" s="50"/>
      <c r="N432" s="50"/>
      <c r="O432" s="49"/>
      <c r="P432" s="50" t="str">
        <f t="shared" si="24"/>
        <v>ONAY</v>
      </c>
      <c r="R432" s="51" t="str">
        <f t="shared" si="25"/>
        <v/>
      </c>
      <c r="T432" s="41"/>
      <c r="U432" s="29">
        <f>IF($C432&lt;&gt;"",COUNTIF($C$2:C432,C432),"")</f>
        <v>1</v>
      </c>
      <c r="V432" s="29" t="str">
        <f t="shared" si="26"/>
        <v>Doç. Dr. Eda Didem KURT ŞÜKÜR§1</v>
      </c>
      <c r="W432" s="29">
        <f>IF(U432=1,COUNTIF($U$2:U432,1),"")</f>
        <v>237</v>
      </c>
      <c r="X432" s="29">
        <f t="shared" si="27"/>
        <v>39</v>
      </c>
      <c r="Y432" s="29">
        <f>IF(AND(LEFT($B432,7)="SBA 26/",$D432&lt;&gt;"",$F432&lt;&gt;""),COUNTIFS($D$2:$D432,$D432,$B$2:$B432,"SBA 26/*",$F$2:$F432,"&lt;&gt;"),"")</f>
        <v>65</v>
      </c>
      <c r="Z432" s="29" t="str">
        <f>IF(Y432=1,COUNTIF($Y$2:Y432,1),"")</f>
        <v/>
      </c>
      <c r="AA432" s="29">
        <f>IF(AND(LEFT($B432,7)="SBA 26/",$C432&lt;&gt;"",$F432&lt;&gt;""),COUNTIFS($C$2:$C432,$C432,$B$2:$B432,"SBA 26/*",$F$2:$F432,"&lt;&gt;"),"")</f>
        <v>1</v>
      </c>
      <c r="AB432" s="29">
        <f>IF(AA432=1,COUNTIF($AA$2:AA432,1),"")</f>
        <v>237</v>
      </c>
    </row>
    <row r="433" spans="1:28" ht="63" customHeight="1" x14ac:dyDescent="0.2">
      <c r="A433" s="43" t="s">
        <v>2089</v>
      </c>
      <c r="B433" s="43" t="s">
        <v>2090</v>
      </c>
      <c r="C433" s="44" t="s">
        <v>123</v>
      </c>
      <c r="D433" s="44" t="s">
        <v>120</v>
      </c>
      <c r="E433" s="45" t="s">
        <v>2091</v>
      </c>
      <c r="F433" s="45" t="s">
        <v>2092</v>
      </c>
      <c r="G433" s="46" t="s">
        <v>38</v>
      </c>
      <c r="H433" s="48">
        <v>46140</v>
      </c>
      <c r="I433" s="48">
        <v>46154</v>
      </c>
      <c r="J433" s="44" t="s">
        <v>116</v>
      </c>
      <c r="K433" s="44" t="s">
        <v>91</v>
      </c>
      <c r="L433" s="50" t="s">
        <v>77</v>
      </c>
      <c r="M433" s="50"/>
      <c r="N433" s="50"/>
      <c r="O433" s="49"/>
      <c r="P433" s="50" t="str">
        <f t="shared" si="24"/>
        <v>ONAY</v>
      </c>
      <c r="R433" s="51" t="str">
        <f t="shared" si="25"/>
        <v/>
      </c>
      <c r="T433" s="41"/>
      <c r="U433" s="29">
        <f>IF($C433&lt;&gt;"",COUNTIF($C$2:C433,C433),"")</f>
        <v>1</v>
      </c>
      <c r="V433" s="29" t="str">
        <f t="shared" si="26"/>
        <v>Prof. Dr. M. Özgür UYANIK§1</v>
      </c>
      <c r="W433" s="29">
        <f>IF(U433=1,COUNTIF($U$2:U433,1),"")</f>
        <v>238</v>
      </c>
      <c r="X433" s="29">
        <f t="shared" si="27"/>
        <v>257</v>
      </c>
      <c r="Y433" s="29">
        <f>IF(AND(LEFT($B433,7)="SBA 26/",$D433&lt;&gt;"",$F433&lt;&gt;""),COUNTIFS($D$2:$D433,$D433,$B$2:$B433,"SBA 26/*",$F$2:$F433,"&lt;&gt;"),"")</f>
        <v>5</v>
      </c>
      <c r="Z433" s="29" t="str">
        <f>IF(Y433=1,COUNTIF($Y$2:Y433,1),"")</f>
        <v/>
      </c>
      <c r="AA433" s="29">
        <f>IF(AND(LEFT($B433,7)="SBA 26/",$C433&lt;&gt;"",$F433&lt;&gt;""),COUNTIFS($C$2:$C433,$C433,$B$2:$B433,"SBA 26/*",$F$2:$F433,"&lt;&gt;"),"")</f>
        <v>1</v>
      </c>
      <c r="AB433" s="29">
        <f>IF(AA433=1,COUNTIF($AA$2:AA433,1),"")</f>
        <v>238</v>
      </c>
    </row>
    <row r="434" spans="1:28" ht="78.75" customHeight="1" x14ac:dyDescent="0.2">
      <c r="A434" s="43" t="s">
        <v>2093</v>
      </c>
      <c r="B434" s="43" t="s">
        <v>2094</v>
      </c>
      <c r="C434" s="44" t="s">
        <v>2095</v>
      </c>
      <c r="D434" s="44" t="s">
        <v>341</v>
      </c>
      <c r="E434" s="45" t="s">
        <v>2096</v>
      </c>
      <c r="F434" s="45" t="s">
        <v>2097</v>
      </c>
      <c r="G434" s="46" t="s">
        <v>38</v>
      </c>
      <c r="H434" s="48">
        <v>46140</v>
      </c>
      <c r="I434" s="48">
        <v>46154</v>
      </c>
      <c r="J434" s="44" t="s">
        <v>92</v>
      </c>
      <c r="K434" s="44" t="s">
        <v>99</v>
      </c>
      <c r="L434" s="50" t="s">
        <v>77</v>
      </c>
      <c r="M434" s="50"/>
      <c r="N434" s="50"/>
      <c r="O434" s="49"/>
      <c r="P434" s="50" t="str">
        <f t="shared" si="24"/>
        <v>ONAY</v>
      </c>
      <c r="R434" s="51" t="str">
        <f t="shared" si="25"/>
        <v/>
      </c>
      <c r="T434" s="41"/>
      <c r="U434" s="29">
        <f>IF($C434&lt;&gt;"",COUNTIF($C$2:C434,C434),"")</f>
        <v>1</v>
      </c>
      <c r="V434" s="29" t="str">
        <f t="shared" si="26"/>
        <v>Dr. Öğr. Üyesi Leyla HUSEYNOVA TERZİ§1</v>
      </c>
      <c r="W434" s="29">
        <f>IF(U434=1,COUNTIF($U$2:U434,1),"")</f>
        <v>239</v>
      </c>
      <c r="X434" s="29">
        <f t="shared" si="27"/>
        <v>144</v>
      </c>
      <c r="Y434" s="29">
        <f>IF(AND(LEFT($B434,7)="SBA 26/",$D434&lt;&gt;"",$F434&lt;&gt;""),COUNTIFS($D$2:$D434,$D434,$B$2:$B434,"SBA 26/*",$F$2:$F434,"&lt;&gt;"),"")</f>
        <v>10</v>
      </c>
      <c r="Z434" s="29" t="str">
        <f>IF(Y434=1,COUNTIF($Y$2:Y434,1),"")</f>
        <v/>
      </c>
      <c r="AA434" s="29">
        <f>IF(AND(LEFT($B434,7)="SBA 26/",$C434&lt;&gt;"",$F434&lt;&gt;""),COUNTIFS($C$2:$C434,$C434,$B$2:$B434,"SBA 26/*",$F$2:$F434,"&lt;&gt;"),"")</f>
        <v>1</v>
      </c>
      <c r="AB434" s="29">
        <f>IF(AA434=1,COUNTIF($AA$2:AA434,1),"")</f>
        <v>239</v>
      </c>
    </row>
    <row r="435" spans="1:28" ht="78.75" customHeight="1" x14ac:dyDescent="0.2">
      <c r="A435" s="43" t="s">
        <v>2098</v>
      </c>
      <c r="B435" s="43" t="s">
        <v>2099</v>
      </c>
      <c r="C435" s="44" t="s">
        <v>2100</v>
      </c>
      <c r="D435" s="44" t="s">
        <v>203</v>
      </c>
      <c r="E435" s="45" t="s">
        <v>2101</v>
      </c>
      <c r="F435" s="45" t="s">
        <v>2102</v>
      </c>
      <c r="G435" s="46" t="s">
        <v>38</v>
      </c>
      <c r="H435" s="48">
        <v>46141</v>
      </c>
      <c r="I435" s="48">
        <v>46154</v>
      </c>
      <c r="J435" s="44" t="s">
        <v>75</v>
      </c>
      <c r="K435" s="44" t="s">
        <v>99</v>
      </c>
      <c r="L435" s="50" t="s">
        <v>101</v>
      </c>
      <c r="M435" s="50" t="s">
        <v>77</v>
      </c>
      <c r="N435" s="50"/>
      <c r="O435" s="49"/>
      <c r="P435" s="50" t="str">
        <f t="shared" si="24"/>
        <v>ONAY</v>
      </c>
      <c r="Q435" s="28" t="s">
        <v>75</v>
      </c>
      <c r="R435" s="51" t="str">
        <f t="shared" si="25"/>
        <v/>
      </c>
      <c r="T435" s="41"/>
      <c r="U435" s="29">
        <f>IF($C435&lt;&gt;"",COUNTIF($C$2:C435,C435),"")</f>
        <v>1</v>
      </c>
      <c r="V435" s="29" t="str">
        <f t="shared" si="26"/>
        <v>Prof. Dr. Tarık TUNCAY§1</v>
      </c>
      <c r="W435" s="29">
        <f>IF(U435=1,COUNTIF($U$2:U435,1),"")</f>
        <v>240</v>
      </c>
      <c r="X435" s="29">
        <f t="shared" si="27"/>
        <v>321</v>
      </c>
      <c r="Y435" s="29">
        <f>IF(AND(LEFT($B435,7)="SBA 26/",$D435&lt;&gt;"",$F435&lt;&gt;""),COUNTIFS($D$2:$D435,$D435,$B$2:$B435,"SBA 26/*",$F$2:$F435,"&lt;&gt;"),"")</f>
        <v>7</v>
      </c>
      <c r="Z435" s="29" t="str">
        <f>IF(Y435=1,COUNTIF($Y$2:Y435,1),"")</f>
        <v/>
      </c>
      <c r="AA435" s="29">
        <f>IF(AND(LEFT($B435,7)="SBA 26/",$C435&lt;&gt;"",$F435&lt;&gt;""),COUNTIFS($C$2:$C435,$C435,$B$2:$B435,"SBA 26/*",$F$2:$F435,"&lt;&gt;"),"")</f>
        <v>1</v>
      </c>
      <c r="AB435" s="29">
        <f>IF(AA435=1,COUNTIF($AA$2:AA435,1),"")</f>
        <v>240</v>
      </c>
    </row>
    <row r="436" spans="1:28" ht="63" customHeight="1" x14ac:dyDescent="0.2">
      <c r="A436" s="43" t="s">
        <v>2103</v>
      </c>
      <c r="B436" s="43" t="s">
        <v>2104</v>
      </c>
      <c r="C436" s="44" t="s">
        <v>2105</v>
      </c>
      <c r="D436" s="44" t="s">
        <v>222</v>
      </c>
      <c r="E436" s="45" t="s">
        <v>2106</v>
      </c>
      <c r="F436" s="45" t="s">
        <v>2107</v>
      </c>
      <c r="G436" s="46" t="s">
        <v>38</v>
      </c>
      <c r="H436" s="48">
        <v>46141</v>
      </c>
      <c r="I436" s="48">
        <v>46154</v>
      </c>
      <c r="J436" s="44" t="s">
        <v>108</v>
      </c>
      <c r="K436" s="44" t="s">
        <v>100</v>
      </c>
      <c r="L436" s="50" t="s">
        <v>153</v>
      </c>
      <c r="M436" s="50"/>
      <c r="N436" s="50"/>
      <c r="O436" s="49"/>
      <c r="P436" s="50" t="str">
        <f t="shared" si="24"/>
        <v>KAPSAM DIŞI</v>
      </c>
      <c r="R436" s="51" t="str">
        <f t="shared" si="25"/>
        <v/>
      </c>
      <c r="T436" s="41"/>
      <c r="U436" s="29">
        <f>IF($C436&lt;&gt;"",COUNTIF($C$2:C436,C436),"")</f>
        <v>1</v>
      </c>
      <c r="V436" s="29" t="str">
        <f t="shared" si="26"/>
        <v>Arş. Gör. Dr. Şeyma KAHRAMAN§1</v>
      </c>
      <c r="W436" s="29">
        <f>IF(U436=1,COUNTIF($U$2:U436,1),"")</f>
        <v>241</v>
      </c>
      <c r="X436" s="29">
        <f t="shared" si="27"/>
        <v>10</v>
      </c>
      <c r="Y436" s="29">
        <f>IF(AND(LEFT($B436,7)="SBA 26/",$D436&lt;&gt;"",$F436&lt;&gt;""),COUNTIFS($D$2:$D436,$D436,$B$2:$B436,"SBA 26/*",$F$2:$F436,"&lt;&gt;"),"")</f>
        <v>66</v>
      </c>
      <c r="Z436" s="29" t="str">
        <f>IF(Y436=1,COUNTIF($Y$2:Y436,1),"")</f>
        <v/>
      </c>
      <c r="AA436" s="29">
        <f>IF(AND(LEFT($B436,7)="SBA 26/",$C436&lt;&gt;"",$F436&lt;&gt;""),COUNTIFS($C$2:$C436,$C436,$B$2:$B436,"SBA 26/*",$F$2:$F436,"&lt;&gt;"),"")</f>
        <v>1</v>
      </c>
      <c r="AB436" s="29">
        <f>IF(AA436=1,COUNTIF($AA$2:AA436,1),"")</f>
        <v>241</v>
      </c>
    </row>
    <row r="437" spans="1:28" ht="64.5" customHeight="1" x14ac:dyDescent="0.2">
      <c r="A437" s="43" t="s">
        <v>2108</v>
      </c>
      <c r="B437" s="43" t="s">
        <v>2109</v>
      </c>
      <c r="C437" s="44" t="s">
        <v>1353</v>
      </c>
      <c r="D437" s="44" t="s">
        <v>113</v>
      </c>
      <c r="E437" s="45" t="s">
        <v>2110</v>
      </c>
      <c r="F437" s="45" t="s">
        <v>2111</v>
      </c>
      <c r="G437" s="46" t="s">
        <v>38</v>
      </c>
      <c r="H437" s="48">
        <v>46141</v>
      </c>
      <c r="I437" s="48">
        <v>46154</v>
      </c>
      <c r="J437" s="44" t="s">
        <v>129</v>
      </c>
      <c r="K437" s="44" t="s">
        <v>116</v>
      </c>
      <c r="L437" s="50" t="s">
        <v>101</v>
      </c>
      <c r="M437" s="50" t="s">
        <v>206</v>
      </c>
      <c r="N437" s="50"/>
      <c r="O437" s="49"/>
      <c r="P437" s="50" t="str">
        <f t="shared" si="24"/>
        <v>GÖRÜŞ</v>
      </c>
      <c r="R437" s="51" t="str">
        <f t="shared" si="25"/>
        <v/>
      </c>
      <c r="T437" s="41"/>
      <c r="U437" s="29">
        <f>IF($C437&lt;&gt;"",COUNTIF($C$2:C437,C437),"")</f>
        <v>7</v>
      </c>
      <c r="V437" s="29" t="str">
        <f t="shared" si="26"/>
        <v>Prof. Dr. Burcu Balam DOĞU§7</v>
      </c>
      <c r="W437" s="29" t="str">
        <f>IF(U437=1,COUNTIF($U$2:U437,1),"")</f>
        <v/>
      </c>
      <c r="X437" s="29" t="str">
        <f t="shared" si="27"/>
        <v/>
      </c>
      <c r="Y437" s="29">
        <f>IF(AND(LEFT($B437,7)="SBA 26/",$D437&lt;&gt;"",$F437&lt;&gt;""),COUNTIFS($D$2:$D437,$D437,$B$2:$B437,"SBA 26/*",$F$2:$F437,"&lt;&gt;"),"")</f>
        <v>71</v>
      </c>
      <c r="Z437" s="29" t="str">
        <f>IF(Y437=1,COUNTIF($Y$2:Y437,1),"")</f>
        <v/>
      </c>
      <c r="AA437" s="29">
        <f>IF(AND(LEFT($B437,7)="SBA 26/",$C437&lt;&gt;"",$F437&lt;&gt;""),COUNTIFS($C$2:$C437,$C437,$B$2:$B437,"SBA 26/*",$F$2:$F437,"&lt;&gt;"),"")</f>
        <v>7</v>
      </c>
      <c r="AB437" s="29" t="str">
        <f>IF(AA437=1,COUNTIF($AA$2:AA437,1),"")</f>
        <v/>
      </c>
    </row>
    <row r="438" spans="1:28" ht="47.25" customHeight="1" x14ac:dyDescent="0.2">
      <c r="A438" s="43" t="s">
        <v>2112</v>
      </c>
      <c r="B438" s="43" t="s">
        <v>2113</v>
      </c>
      <c r="C438" s="44" t="s">
        <v>519</v>
      </c>
      <c r="D438" s="44" t="s">
        <v>364</v>
      </c>
      <c r="E438" s="45" t="s">
        <v>2114</v>
      </c>
      <c r="F438" s="45" t="s">
        <v>2115</v>
      </c>
      <c r="G438" s="46" t="s">
        <v>38</v>
      </c>
      <c r="H438" s="48">
        <v>46141</v>
      </c>
      <c r="I438" s="48">
        <v>46154</v>
      </c>
      <c r="J438" s="44" t="s">
        <v>108</v>
      </c>
      <c r="K438" s="44" t="s">
        <v>92</v>
      </c>
      <c r="L438" s="50" t="s">
        <v>77</v>
      </c>
      <c r="M438" s="50"/>
      <c r="N438" s="50"/>
      <c r="O438" s="49"/>
      <c r="P438" s="50" t="str">
        <f t="shared" si="24"/>
        <v>ONAY</v>
      </c>
      <c r="R438" s="51" t="str">
        <f t="shared" si="25"/>
        <v/>
      </c>
      <c r="T438" s="41"/>
      <c r="U438" s="29">
        <f>IF($C438&lt;&gt;"",COUNTIF($C$2:C438,C438),"")</f>
        <v>4</v>
      </c>
      <c r="V438" s="29" t="str">
        <f t="shared" si="26"/>
        <v>Prof. Dr. Neşe DERİCİOĞLU§4</v>
      </c>
      <c r="W438" s="29" t="str">
        <f>IF(U438=1,COUNTIF($U$2:U438,1),"")</f>
        <v/>
      </c>
      <c r="X438" s="29" t="str">
        <f t="shared" si="27"/>
        <v/>
      </c>
      <c r="Y438" s="29">
        <f>IF(AND(LEFT($B438,7)="SBA 26/",$D438&lt;&gt;"",$F438&lt;&gt;""),COUNTIFS($D$2:$D438,$D438,$B$2:$B438,"SBA 26/*",$F$2:$F438,"&lt;&gt;"),"")</f>
        <v>16</v>
      </c>
      <c r="Z438" s="29" t="str">
        <f>IF(Y438=1,COUNTIF($Y$2:Y438,1),"")</f>
        <v/>
      </c>
      <c r="AA438" s="29">
        <f>IF(AND(LEFT($B438,7)="SBA 26/",$C438&lt;&gt;"",$F438&lt;&gt;""),COUNTIFS($C$2:$C438,$C438,$B$2:$B438,"SBA 26/*",$F$2:$F438,"&lt;&gt;"),"")</f>
        <v>4</v>
      </c>
      <c r="AB438" s="29" t="str">
        <f>IF(AA438=1,COUNTIF($AA$2:AA438,1),"")</f>
        <v/>
      </c>
    </row>
    <row r="439" spans="1:28" ht="78.75" customHeight="1" x14ac:dyDescent="0.2">
      <c r="A439" s="43" t="s">
        <v>2116</v>
      </c>
      <c r="B439" s="43" t="s">
        <v>2117</v>
      </c>
      <c r="C439" s="44" t="s">
        <v>1379</v>
      </c>
      <c r="D439" s="44" t="s">
        <v>222</v>
      </c>
      <c r="E439" s="45" t="s">
        <v>2118</v>
      </c>
      <c r="F439" s="45" t="s">
        <v>2119</v>
      </c>
      <c r="G439" s="46" t="s">
        <v>38</v>
      </c>
      <c r="H439" s="48">
        <v>46142</v>
      </c>
      <c r="I439" s="48">
        <v>46154</v>
      </c>
      <c r="J439" s="44" t="s">
        <v>75</v>
      </c>
      <c r="K439" s="44" t="s">
        <v>116</v>
      </c>
      <c r="L439" s="50" t="s">
        <v>77</v>
      </c>
      <c r="M439" s="50"/>
      <c r="N439" s="50"/>
      <c r="O439" s="49"/>
      <c r="P439" s="50" t="str">
        <f t="shared" si="24"/>
        <v>ONAY</v>
      </c>
      <c r="R439" s="51" t="str">
        <f t="shared" si="25"/>
        <v/>
      </c>
      <c r="T439" s="41"/>
      <c r="U439" s="29">
        <f>IF($C439&lt;&gt;"",COUNTIF($C$2:C439,C439),"")</f>
        <v>3</v>
      </c>
      <c r="V439" s="29" t="str">
        <f t="shared" si="26"/>
        <v>Dr. Öğr. Üyesi Gizem ÜREL DEMİR§3</v>
      </c>
      <c r="W439" s="29" t="str">
        <f>IF(U439=1,COUNTIF($U$2:U439,1),"")</f>
        <v/>
      </c>
      <c r="X439" s="29" t="str">
        <f t="shared" si="27"/>
        <v/>
      </c>
      <c r="Y439" s="29">
        <f>IF(AND(LEFT($B439,7)="SBA 26/",$D439&lt;&gt;"",$F439&lt;&gt;""),COUNTIFS($D$2:$D439,$D439,$B$2:$B439,"SBA 26/*",$F$2:$F439,"&lt;&gt;"),"")</f>
        <v>67</v>
      </c>
      <c r="Z439" s="29" t="str">
        <f>IF(Y439=1,COUNTIF($Y$2:Y439,1),"")</f>
        <v/>
      </c>
      <c r="AA439" s="29">
        <f>IF(AND(LEFT($B439,7)="SBA 26/",$C439&lt;&gt;"",$F439&lt;&gt;""),COUNTIFS($C$2:$C439,$C439,$B$2:$B439,"SBA 26/*",$F$2:$F439,"&lt;&gt;"),"")</f>
        <v>3</v>
      </c>
      <c r="AB439" s="29" t="str">
        <f>IF(AA439=1,COUNTIF($AA$2:AA439,1),"")</f>
        <v/>
      </c>
    </row>
    <row r="440" spans="1:28" ht="78.75" customHeight="1" x14ac:dyDescent="0.2">
      <c r="A440" s="43" t="s">
        <v>2120</v>
      </c>
      <c r="B440" s="43" t="s">
        <v>2121</v>
      </c>
      <c r="C440" s="44" t="s">
        <v>1698</v>
      </c>
      <c r="D440" s="44" t="s">
        <v>1143</v>
      </c>
      <c r="E440" s="45" t="s">
        <v>2122</v>
      </c>
      <c r="F440" s="45" t="s">
        <v>2123</v>
      </c>
      <c r="G440" s="46" t="s">
        <v>38</v>
      </c>
      <c r="H440" s="48">
        <v>46142</v>
      </c>
      <c r="I440" s="48">
        <v>46154</v>
      </c>
      <c r="J440" s="44" t="s">
        <v>91</v>
      </c>
      <c r="K440" s="44" t="s">
        <v>84</v>
      </c>
      <c r="L440" s="50" t="s">
        <v>77</v>
      </c>
      <c r="M440" s="50"/>
      <c r="N440" s="50"/>
      <c r="O440" s="49"/>
      <c r="P440" s="50" t="str">
        <f t="shared" si="24"/>
        <v>ONAY</v>
      </c>
      <c r="R440" s="51" t="str">
        <f t="shared" si="25"/>
        <v/>
      </c>
      <c r="T440" s="41"/>
      <c r="U440" s="29">
        <f>IF($C440&lt;&gt;"",COUNTIF($C$2:C440,C440),"")</f>
        <v>2</v>
      </c>
      <c r="V440" s="29" t="str">
        <f t="shared" si="26"/>
        <v>Doç. Dr. Galip Gencay ÜSTÜN§2</v>
      </c>
      <c r="W440" s="29" t="str">
        <f>IF(U440=1,COUNTIF($U$2:U440,1),"")</f>
        <v/>
      </c>
      <c r="X440" s="29" t="str">
        <f t="shared" si="27"/>
        <v/>
      </c>
      <c r="Y440" s="29">
        <f>IF(AND(LEFT($B440,7)="SBA 26/",$D440&lt;&gt;"",$F440&lt;&gt;""),COUNTIFS($D$2:$D440,$D440,$B$2:$B440,"SBA 26/*",$F$2:$F440,"&lt;&gt;"),"")</f>
        <v>4</v>
      </c>
      <c r="Z440" s="29" t="str">
        <f>IF(Y440=1,COUNTIF($Y$2:Y440,1),"")</f>
        <v/>
      </c>
      <c r="AA440" s="29">
        <f>IF(AND(LEFT($B440,7)="SBA 26/",$C440&lt;&gt;"",$F440&lt;&gt;""),COUNTIFS($C$2:$C440,$C440,$B$2:$B440,"SBA 26/*",$F$2:$F440,"&lt;&gt;"),"")</f>
        <v>2</v>
      </c>
      <c r="AB440" s="29" t="str">
        <f>IF(AA440=1,COUNTIF($AA$2:AA440,1),"")</f>
        <v/>
      </c>
    </row>
    <row r="441" spans="1:28" ht="63" customHeight="1" x14ac:dyDescent="0.2">
      <c r="A441" s="43" t="s">
        <v>2124</v>
      </c>
      <c r="B441" s="43" t="s">
        <v>2125</v>
      </c>
      <c r="C441" s="44" t="s">
        <v>2126</v>
      </c>
      <c r="D441" s="44" t="s">
        <v>2127</v>
      </c>
      <c r="E441" s="45" t="s">
        <v>2128</v>
      </c>
      <c r="F441" s="45" t="s">
        <v>2129</v>
      </c>
      <c r="G441" s="46" t="s">
        <v>41</v>
      </c>
      <c r="H441" s="48">
        <v>46146</v>
      </c>
      <c r="I441" s="48">
        <v>46154</v>
      </c>
      <c r="J441" s="44" t="s">
        <v>108</v>
      </c>
      <c r="K441" s="44" t="s">
        <v>100</v>
      </c>
      <c r="L441" s="50" t="s">
        <v>77</v>
      </c>
      <c r="M441" s="50"/>
      <c r="N441" s="50"/>
      <c r="O441" s="49"/>
      <c r="P441" s="50" t="str">
        <f t="shared" si="24"/>
        <v>ONAY</v>
      </c>
      <c r="R441" s="51" t="str">
        <f t="shared" si="25"/>
        <v/>
      </c>
      <c r="T441" s="41"/>
      <c r="U441" s="29">
        <f>IF($C441&lt;&gt;"",COUNTIF($C$2:C441,C441),"")</f>
        <v>1</v>
      </c>
      <c r="V441" s="29" t="str">
        <f t="shared" si="26"/>
        <v>Doç. Dr. Ayşe Bikem KARGI§1</v>
      </c>
      <c r="W441" s="29">
        <f>IF(U441=1,COUNTIF($U$2:U441,1),"")</f>
        <v>242</v>
      </c>
      <c r="X441" s="29">
        <f t="shared" si="27"/>
        <v>20</v>
      </c>
      <c r="Y441" s="29">
        <f>IF(AND(LEFT($B441,7)="SBA 26/",$D441&lt;&gt;"",$F441&lt;&gt;""),COUNTIFS($D$2:$D441,$D441,$B$2:$B441,"SBA 26/*",$F$2:$F441,"&lt;&gt;"),"")</f>
        <v>1</v>
      </c>
      <c r="Z441" s="29">
        <f>IF(Y441=1,COUNTIF($Y$2:Y441,1),"")</f>
        <v>66</v>
      </c>
      <c r="AA441" s="29">
        <f>IF(AND(LEFT($B441,7)="SBA 26/",$C441&lt;&gt;"",$F441&lt;&gt;""),COUNTIFS($C$2:$C441,$C441,$B$2:$B441,"SBA 26/*",$F$2:$F441,"&lt;&gt;"),"")</f>
        <v>1</v>
      </c>
      <c r="AB441" s="29">
        <f>IF(AA441=1,COUNTIF($AA$2:AA441,1),"")</f>
        <v>242</v>
      </c>
    </row>
    <row r="442" spans="1:28" ht="78.75" customHeight="1" x14ac:dyDescent="0.2">
      <c r="A442" s="43" t="s">
        <v>2130</v>
      </c>
      <c r="B442" s="43" t="s">
        <v>2131</v>
      </c>
      <c r="C442" s="44" t="s">
        <v>2132</v>
      </c>
      <c r="D442" s="44" t="s">
        <v>222</v>
      </c>
      <c r="E442" s="45" t="s">
        <v>2133</v>
      </c>
      <c r="F442" s="45" t="s">
        <v>2134</v>
      </c>
      <c r="G442" s="46" t="s">
        <v>38</v>
      </c>
      <c r="H442" s="48">
        <v>46146</v>
      </c>
      <c r="I442" s="48">
        <v>46154</v>
      </c>
      <c r="J442" s="44" t="s">
        <v>75</v>
      </c>
      <c r="K442" s="44" t="s">
        <v>123</v>
      </c>
      <c r="L442" s="50" t="s">
        <v>77</v>
      </c>
      <c r="M442" s="50"/>
      <c r="N442" s="50"/>
      <c r="O442" s="49"/>
      <c r="P442" s="50" t="str">
        <f t="shared" si="24"/>
        <v>ONAY</v>
      </c>
      <c r="R442" s="51" t="str">
        <f t="shared" si="25"/>
        <v/>
      </c>
      <c r="T442" s="41"/>
      <c r="U442" s="29">
        <f>IF($C442&lt;&gt;"",COUNTIF($C$2:C442,C442),"")</f>
        <v>1</v>
      </c>
      <c r="V442" s="29" t="str">
        <f t="shared" si="26"/>
        <v>Prof. Dr. Pelin Özlem ŞİMŞEK KİPER§1</v>
      </c>
      <c r="W442" s="29">
        <f>IF(U442=1,COUNTIF($U$2:U442,1),"")</f>
        <v>243</v>
      </c>
      <c r="X442" s="29">
        <f t="shared" si="27"/>
        <v>293</v>
      </c>
      <c r="Y442" s="29">
        <f>IF(AND(LEFT($B442,7)="SBA 26/",$D442&lt;&gt;"",$F442&lt;&gt;""),COUNTIFS($D$2:$D442,$D442,$B$2:$B442,"SBA 26/*",$F$2:$F442,"&lt;&gt;"),"")</f>
        <v>68</v>
      </c>
      <c r="Z442" s="29" t="str">
        <f>IF(Y442=1,COUNTIF($Y$2:Y442,1),"")</f>
        <v/>
      </c>
      <c r="AA442" s="29">
        <f>IF(AND(LEFT($B442,7)="SBA 26/",$C442&lt;&gt;"",$F442&lt;&gt;""),COUNTIFS($C$2:$C442,$C442,$B$2:$B442,"SBA 26/*",$F$2:$F442,"&lt;&gt;"),"")</f>
        <v>1</v>
      </c>
      <c r="AB442" s="29">
        <f>IF(AA442=1,COUNTIF($AA$2:AA442,1),"")</f>
        <v>243</v>
      </c>
    </row>
    <row r="443" spans="1:28" ht="63" customHeight="1" x14ac:dyDescent="0.2">
      <c r="A443" s="43" t="s">
        <v>2135</v>
      </c>
      <c r="B443" s="43" t="s">
        <v>2136</v>
      </c>
      <c r="C443" s="44" t="s">
        <v>112</v>
      </c>
      <c r="D443" s="44" t="s">
        <v>113</v>
      </c>
      <c r="E443" s="45" t="s">
        <v>1182</v>
      </c>
      <c r="F443" s="45" t="s">
        <v>2137</v>
      </c>
      <c r="G443" s="46" t="s">
        <v>38</v>
      </c>
      <c r="H443" s="48">
        <v>46146</v>
      </c>
      <c r="I443" s="48">
        <v>46154</v>
      </c>
      <c r="J443" s="44" t="s">
        <v>75</v>
      </c>
      <c r="K443" s="44" t="s">
        <v>129</v>
      </c>
      <c r="L443" s="50" t="s">
        <v>77</v>
      </c>
      <c r="M443" s="50"/>
      <c r="N443" s="50"/>
      <c r="O443" s="49"/>
      <c r="P443" s="50" t="str">
        <f t="shared" si="24"/>
        <v>ONAY</v>
      </c>
      <c r="R443" s="51" t="str">
        <f t="shared" si="25"/>
        <v/>
      </c>
      <c r="T443" s="41"/>
      <c r="U443" s="29">
        <f>IF($C443&lt;&gt;"",COUNTIF($C$2:C443,C443),"")</f>
        <v>13</v>
      </c>
      <c r="V443" s="29" t="str">
        <f t="shared" si="26"/>
        <v>Prof. Dr. Meltem Gülhan HALİL§13</v>
      </c>
      <c r="W443" s="29" t="str">
        <f>IF(U443=1,COUNTIF($U$2:U443,1),"")</f>
        <v/>
      </c>
      <c r="X443" s="29" t="str">
        <f t="shared" si="27"/>
        <v/>
      </c>
      <c r="Y443" s="29">
        <f>IF(AND(LEFT($B443,7)="SBA 26/",$D443&lt;&gt;"",$F443&lt;&gt;""),COUNTIFS($D$2:$D443,$D443,$B$2:$B443,"SBA 26/*",$F$2:$F443,"&lt;&gt;"),"")</f>
        <v>72</v>
      </c>
      <c r="Z443" s="29" t="str">
        <f>IF(Y443=1,COUNTIF($Y$2:Y443,1),"")</f>
        <v/>
      </c>
      <c r="AA443" s="29">
        <f>IF(AND(LEFT($B443,7)="SBA 26/",$C443&lt;&gt;"",$F443&lt;&gt;""),COUNTIFS($C$2:$C443,$C443,$B$2:$B443,"SBA 26/*",$F$2:$F443,"&lt;&gt;"),"")</f>
        <v>13</v>
      </c>
      <c r="AB443" s="29" t="str">
        <f>IF(AA443=1,COUNTIF($AA$2:AA443,1),"")</f>
        <v/>
      </c>
    </row>
    <row r="444" spans="1:28" ht="80.25" customHeight="1" x14ac:dyDescent="0.2">
      <c r="A444" s="43" t="s">
        <v>2138</v>
      </c>
      <c r="B444" s="43" t="s">
        <v>2139</v>
      </c>
      <c r="C444" s="44" t="s">
        <v>652</v>
      </c>
      <c r="D444" s="44" t="s">
        <v>364</v>
      </c>
      <c r="E444" s="45" t="s">
        <v>2140</v>
      </c>
      <c r="F444" s="45" t="s">
        <v>2141</v>
      </c>
      <c r="G444" s="46" t="s">
        <v>38</v>
      </c>
      <c r="H444" s="48">
        <v>46146</v>
      </c>
      <c r="I444" s="48">
        <v>46154</v>
      </c>
      <c r="J444" s="44" t="s">
        <v>108</v>
      </c>
      <c r="K444" s="44" t="s">
        <v>92</v>
      </c>
      <c r="L444" s="50" t="s">
        <v>77</v>
      </c>
      <c r="M444" s="50"/>
      <c r="N444" s="50"/>
      <c r="O444" s="49"/>
      <c r="P444" s="50" t="str">
        <f t="shared" si="24"/>
        <v>ONAY</v>
      </c>
      <c r="R444" s="51" t="str">
        <f t="shared" si="25"/>
        <v/>
      </c>
      <c r="T444" s="41"/>
      <c r="U444" s="29">
        <f>IF($C444&lt;&gt;"",COUNTIF($C$2:C444,C444),"")</f>
        <v>4</v>
      </c>
      <c r="V444" s="29" t="str">
        <f t="shared" si="26"/>
        <v>Prof. Dr. Çağrı Mesut TEMUÇİN§4</v>
      </c>
      <c r="W444" s="29" t="str">
        <f>IF(U444=1,COUNTIF($U$2:U444,1),"")</f>
        <v/>
      </c>
      <c r="X444" s="29" t="str">
        <f t="shared" si="27"/>
        <v/>
      </c>
      <c r="Y444" s="29">
        <f>IF(AND(LEFT($B444,7)="SBA 26/",$D444&lt;&gt;"",$F444&lt;&gt;""),COUNTIFS($D$2:$D444,$D444,$B$2:$B444,"SBA 26/*",$F$2:$F444,"&lt;&gt;"),"")</f>
        <v>17</v>
      </c>
      <c r="Z444" s="29" t="str">
        <f>IF(Y444=1,COUNTIF($Y$2:Y444,1),"")</f>
        <v/>
      </c>
      <c r="AA444" s="29">
        <f>IF(AND(LEFT($B444,7)="SBA 26/",$C444&lt;&gt;"",$F444&lt;&gt;""),COUNTIFS($C$2:$C444,$C444,$B$2:$B444,"SBA 26/*",$F$2:$F444,"&lt;&gt;"),"")</f>
        <v>4</v>
      </c>
      <c r="AB444" s="29" t="str">
        <f>IF(AA444=1,COUNTIF($AA$2:AA444,1),"")</f>
        <v/>
      </c>
    </row>
    <row r="445" spans="1:28" ht="78.75" customHeight="1" x14ac:dyDescent="0.2">
      <c r="A445" s="43" t="s">
        <v>2142</v>
      </c>
      <c r="B445" s="43" t="s">
        <v>2143</v>
      </c>
      <c r="C445" s="44" t="s">
        <v>2144</v>
      </c>
      <c r="D445" s="44" t="s">
        <v>1168</v>
      </c>
      <c r="E445" s="45" t="s">
        <v>2145</v>
      </c>
      <c r="F445" s="45" t="s">
        <v>2146</v>
      </c>
      <c r="G445" s="46" t="s">
        <v>38</v>
      </c>
      <c r="H445" s="48">
        <v>46146</v>
      </c>
      <c r="I445" s="48">
        <v>46154</v>
      </c>
      <c r="J445" s="44" t="s">
        <v>99</v>
      </c>
      <c r="K445" s="44" t="s">
        <v>76</v>
      </c>
      <c r="L445" s="50" t="s">
        <v>77</v>
      </c>
      <c r="M445" s="50"/>
      <c r="N445" s="50"/>
      <c r="O445" s="49"/>
      <c r="P445" s="50" t="str">
        <f t="shared" si="24"/>
        <v>ONAY</v>
      </c>
      <c r="R445" s="51" t="str">
        <f t="shared" si="25"/>
        <v/>
      </c>
      <c r="T445" s="41"/>
      <c r="U445" s="29">
        <f>IF($C445&lt;&gt;"",COUNTIF($C$2:C445,C445),"")</f>
        <v>1</v>
      </c>
      <c r="V445" s="29" t="str">
        <f t="shared" si="26"/>
        <v>Doç. Dr. Gülçin TELLİ DİZMAN§1</v>
      </c>
      <c r="W445" s="29">
        <f>IF(U445=1,COUNTIF($U$2:U445,1),"")</f>
        <v>244</v>
      </c>
      <c r="X445" s="29">
        <f t="shared" si="27"/>
        <v>59</v>
      </c>
      <c r="Y445" s="29">
        <f>IF(AND(LEFT($B445,7)="SBA 26/",$D445&lt;&gt;"",$F445&lt;&gt;""),COUNTIFS($D$2:$D445,$D445,$B$2:$B445,"SBA 26/*",$F$2:$F445,"&lt;&gt;"),"")</f>
        <v>3</v>
      </c>
      <c r="Z445" s="29" t="str">
        <f>IF(Y445=1,COUNTIF($Y$2:Y445,1),"")</f>
        <v/>
      </c>
      <c r="AA445" s="29">
        <f>IF(AND(LEFT($B445,7)="SBA 26/",$C445&lt;&gt;"",$F445&lt;&gt;""),COUNTIFS($C$2:$C445,$C445,$B$2:$B445,"SBA 26/*",$F$2:$F445,"&lt;&gt;"),"")</f>
        <v>1</v>
      </c>
      <c r="AB445" s="29">
        <f>IF(AA445=1,COUNTIF($AA$2:AA445,1),"")</f>
        <v>244</v>
      </c>
    </row>
    <row r="446" spans="1:28" ht="63" customHeight="1" x14ac:dyDescent="0.2">
      <c r="A446" s="43" t="s">
        <v>2147</v>
      </c>
      <c r="B446" s="43" t="s">
        <v>2148</v>
      </c>
      <c r="C446" s="44" t="s">
        <v>1949</v>
      </c>
      <c r="D446" s="44" t="s">
        <v>120</v>
      </c>
      <c r="E446" s="45" t="s">
        <v>2149</v>
      </c>
      <c r="F446" s="45" t="s">
        <v>2150</v>
      </c>
      <c r="G446" s="46" t="s">
        <v>38</v>
      </c>
      <c r="H446" s="48">
        <v>46146</v>
      </c>
      <c r="I446" s="48">
        <v>46154</v>
      </c>
      <c r="J446" s="44" t="s">
        <v>123</v>
      </c>
      <c r="K446" s="44" t="s">
        <v>116</v>
      </c>
      <c r="L446" s="50" t="s">
        <v>77</v>
      </c>
      <c r="M446" s="50"/>
      <c r="N446" s="50"/>
      <c r="O446" s="49"/>
      <c r="P446" s="50" t="str">
        <f t="shared" si="24"/>
        <v>ONAY</v>
      </c>
      <c r="R446" s="51" t="str">
        <f t="shared" si="25"/>
        <v/>
      </c>
      <c r="T446" s="41"/>
      <c r="U446" s="29">
        <f>IF($C446&lt;&gt;"",COUNTIF($C$2:C446,C446),"")</f>
        <v>2</v>
      </c>
      <c r="V446" s="29" t="str">
        <f t="shared" si="26"/>
        <v>Doç. Dr. Eda Ezgi ASLANTAŞ§2</v>
      </c>
      <c r="W446" s="29" t="str">
        <f>IF(U446=1,COUNTIF($U$2:U446,1),"")</f>
        <v/>
      </c>
      <c r="X446" s="29" t="str">
        <f t="shared" si="27"/>
        <v/>
      </c>
      <c r="Y446" s="29">
        <f>IF(AND(LEFT($B446,7)="SBA 26/",$D446&lt;&gt;"",$F446&lt;&gt;""),COUNTIFS($D$2:$D446,$D446,$B$2:$B446,"SBA 26/*",$F$2:$F446,"&lt;&gt;"),"")</f>
        <v>6</v>
      </c>
      <c r="Z446" s="29" t="str">
        <f>IF(Y446=1,COUNTIF($Y$2:Y446,1),"")</f>
        <v/>
      </c>
      <c r="AA446" s="29">
        <f>IF(AND(LEFT($B446,7)="SBA 26/",$C446&lt;&gt;"",$F446&lt;&gt;""),COUNTIFS($C$2:$C446,$C446,$B$2:$B446,"SBA 26/*",$F$2:$F446,"&lt;&gt;"),"")</f>
        <v>2</v>
      </c>
      <c r="AB446" s="29" t="str">
        <f>IF(AA446=1,COUNTIF($AA$2:AA446,1),"")</f>
        <v/>
      </c>
    </row>
    <row r="447" spans="1:28" ht="47.25" customHeight="1" x14ac:dyDescent="0.2">
      <c r="A447" s="43" t="s">
        <v>2151</v>
      </c>
      <c r="B447" s="43" t="s">
        <v>2152</v>
      </c>
      <c r="C447" s="44" t="s">
        <v>509</v>
      </c>
      <c r="D447" s="44" t="s">
        <v>222</v>
      </c>
      <c r="E447" s="45" t="s">
        <v>2153</v>
      </c>
      <c r="F447" s="45" t="s">
        <v>2154</v>
      </c>
      <c r="G447" s="46" t="s">
        <v>38</v>
      </c>
      <c r="H447" s="48">
        <v>46146</v>
      </c>
      <c r="I447" s="48">
        <v>46154</v>
      </c>
      <c r="J447" s="44" t="s">
        <v>109</v>
      </c>
      <c r="K447" s="44" t="s">
        <v>123</v>
      </c>
      <c r="L447" s="50" t="s">
        <v>101</v>
      </c>
      <c r="M447" s="50"/>
      <c r="N447" s="50"/>
      <c r="O447" s="49"/>
      <c r="P447" s="50" t="str">
        <f t="shared" si="24"/>
        <v>DÜZELTME</v>
      </c>
      <c r="R447" s="51" t="str">
        <f t="shared" si="25"/>
        <v/>
      </c>
      <c r="T447" s="41"/>
      <c r="U447" s="29">
        <f>IF($C447&lt;&gt;"",COUNTIF($C$2:C447,C447),"")</f>
        <v>2</v>
      </c>
      <c r="V447" s="29" t="str">
        <f t="shared" si="26"/>
        <v>Doç. Dr. Erdal SAĞ§2</v>
      </c>
      <c r="W447" s="29" t="str">
        <f>IF(U447=1,COUNTIF($U$2:U447,1),"")</f>
        <v/>
      </c>
      <c r="X447" s="29" t="str">
        <f t="shared" si="27"/>
        <v/>
      </c>
      <c r="Y447" s="29">
        <f>IF(AND(LEFT($B447,7)="SBA 26/",$D447&lt;&gt;"",$F447&lt;&gt;""),COUNTIFS($D$2:$D447,$D447,$B$2:$B447,"SBA 26/*",$F$2:$F447,"&lt;&gt;"),"")</f>
        <v>69</v>
      </c>
      <c r="Z447" s="29" t="str">
        <f>IF(Y447=1,COUNTIF($Y$2:Y447,1),"")</f>
        <v/>
      </c>
      <c r="AA447" s="29">
        <f>IF(AND(LEFT($B447,7)="SBA 26/",$C447&lt;&gt;"",$F447&lt;&gt;""),COUNTIFS($C$2:$C447,$C447,$B$2:$B447,"SBA 26/*",$F$2:$F447,"&lt;&gt;"),"")</f>
        <v>2</v>
      </c>
      <c r="AB447" s="29" t="str">
        <f>IF(AA447=1,COUNTIF($AA$2:AA447,1),"")</f>
        <v/>
      </c>
    </row>
    <row r="448" spans="1:28" ht="46.5" customHeight="1" x14ac:dyDescent="0.2">
      <c r="A448" s="43" t="s">
        <v>2155</v>
      </c>
      <c r="B448" s="43" t="s">
        <v>2156</v>
      </c>
      <c r="C448" s="44" t="s">
        <v>524</v>
      </c>
      <c r="D448" s="44" t="s">
        <v>113</v>
      </c>
      <c r="E448" s="45" t="s">
        <v>2157</v>
      </c>
      <c r="F448" s="45" t="s">
        <v>2158</v>
      </c>
      <c r="G448" s="46" t="s">
        <v>38</v>
      </c>
      <c r="H448" s="48">
        <v>46146</v>
      </c>
      <c r="I448" s="48">
        <v>46154</v>
      </c>
      <c r="J448" s="44" t="s">
        <v>108</v>
      </c>
      <c r="K448" s="44" t="s">
        <v>84</v>
      </c>
      <c r="L448" s="50" t="s">
        <v>206</v>
      </c>
      <c r="M448" s="50" t="s">
        <v>218</v>
      </c>
      <c r="N448" s="50"/>
      <c r="O448" s="49"/>
      <c r="P448" s="50" t="str">
        <f t="shared" si="24"/>
        <v>KAEK</v>
      </c>
      <c r="R448" s="51" t="str">
        <f t="shared" si="25"/>
        <v/>
      </c>
      <c r="T448" s="41"/>
      <c r="U448" s="29">
        <f>IF($C448&lt;&gt;"",COUNTIF($C$2:C448,C448),"")</f>
        <v>5</v>
      </c>
      <c r="V448" s="29" t="str">
        <f t="shared" si="26"/>
        <v>Doç. Dr. Mert EŞME§5</v>
      </c>
      <c r="W448" s="29" t="str">
        <f>IF(U448=1,COUNTIF($U$2:U448,1),"")</f>
        <v/>
      </c>
      <c r="X448" s="29" t="str">
        <f t="shared" si="27"/>
        <v/>
      </c>
      <c r="Y448" s="29">
        <f>IF(AND(LEFT($B448,7)="SBA 26/",$D448&lt;&gt;"",$F448&lt;&gt;""),COUNTIFS($D$2:$D448,$D448,$B$2:$B448,"SBA 26/*",$F$2:$F448,"&lt;&gt;"),"")</f>
        <v>73</v>
      </c>
      <c r="Z448" s="29" t="str">
        <f>IF(Y448=1,COUNTIF($Y$2:Y448,1),"")</f>
        <v/>
      </c>
      <c r="AA448" s="29">
        <f>IF(AND(LEFT($B448,7)="SBA 26/",$C448&lt;&gt;"",$F448&lt;&gt;""),COUNTIFS($C$2:$C448,$C448,$B$2:$B448,"SBA 26/*",$F$2:$F448,"&lt;&gt;"),"")</f>
        <v>5</v>
      </c>
      <c r="AB448" s="29" t="str">
        <f>IF(AA448=1,COUNTIF($AA$2:AA448,1),"")</f>
        <v/>
      </c>
    </row>
    <row r="449" spans="1:28" ht="78.75" customHeight="1" x14ac:dyDescent="0.2">
      <c r="A449" s="43" t="s">
        <v>2159</v>
      </c>
      <c r="B449" s="43" t="s">
        <v>2160</v>
      </c>
      <c r="C449" s="44" t="s">
        <v>2161</v>
      </c>
      <c r="D449" s="44" t="s">
        <v>215</v>
      </c>
      <c r="E449" s="45" t="s">
        <v>2162</v>
      </c>
      <c r="F449" s="45" t="s">
        <v>2163</v>
      </c>
      <c r="G449" s="46" t="s">
        <v>38</v>
      </c>
      <c r="H449" s="48">
        <v>46146</v>
      </c>
      <c r="I449" s="48">
        <v>46154</v>
      </c>
      <c r="J449" s="44" t="s">
        <v>123</v>
      </c>
      <c r="K449" s="44" t="s">
        <v>129</v>
      </c>
      <c r="L449" s="50" t="s">
        <v>77</v>
      </c>
      <c r="M449" s="50"/>
      <c r="N449" s="50"/>
      <c r="O449" s="49"/>
      <c r="P449" s="50" t="str">
        <f t="shared" si="24"/>
        <v>ONAY</v>
      </c>
      <c r="R449" s="51" t="str">
        <f t="shared" si="25"/>
        <v/>
      </c>
      <c r="T449" s="41"/>
      <c r="U449" s="29">
        <f>IF($C449&lt;&gt;"",COUNTIF($C$2:C449,C449),"")</f>
        <v>1</v>
      </c>
      <c r="V449" s="29" t="str">
        <f t="shared" si="26"/>
        <v>Prof. Dr. Alper AKTAŞ§1</v>
      </c>
      <c r="W449" s="29">
        <f>IF(U449=1,COUNTIF($U$2:U449,1),"")</f>
        <v>245</v>
      </c>
      <c r="X449" s="29">
        <f t="shared" si="27"/>
        <v>188</v>
      </c>
      <c r="Y449" s="29">
        <f>IF(AND(LEFT($B449,7)="SBA 26/",$D449&lt;&gt;"",$F449&lt;&gt;""),COUNTIFS($D$2:$D449,$D449,$B$2:$B449,"SBA 26/*",$F$2:$F449,"&lt;&gt;"),"")</f>
        <v>6</v>
      </c>
      <c r="Z449" s="29" t="str">
        <f>IF(Y449=1,COUNTIF($Y$2:Y449,1),"")</f>
        <v/>
      </c>
      <c r="AA449" s="29">
        <f>IF(AND(LEFT($B449,7)="SBA 26/",$C449&lt;&gt;"",$F449&lt;&gt;""),COUNTIFS($C$2:$C449,$C449,$B$2:$B449,"SBA 26/*",$F$2:$F449,"&lt;&gt;"),"")</f>
        <v>1</v>
      </c>
      <c r="AB449" s="29">
        <f>IF(AA449=1,COUNTIF($AA$2:AA449,1),"")</f>
        <v>245</v>
      </c>
    </row>
    <row r="450" spans="1:28" ht="78.75" customHeight="1" x14ac:dyDescent="0.2">
      <c r="A450" s="43" t="s">
        <v>2164</v>
      </c>
      <c r="B450" s="43" t="s">
        <v>2165</v>
      </c>
      <c r="C450" s="44" t="s">
        <v>1427</v>
      </c>
      <c r="D450" s="44" t="s">
        <v>966</v>
      </c>
      <c r="E450" s="45" t="s">
        <v>2166</v>
      </c>
      <c r="F450" s="45" t="s">
        <v>2167</v>
      </c>
      <c r="G450" s="46" t="s">
        <v>38</v>
      </c>
      <c r="H450" s="48">
        <v>46146</v>
      </c>
      <c r="I450" s="48">
        <v>46154</v>
      </c>
      <c r="J450" s="44" t="s">
        <v>108</v>
      </c>
      <c r="K450" s="44" t="s">
        <v>100</v>
      </c>
      <c r="L450" s="50" t="s">
        <v>101</v>
      </c>
      <c r="M450" s="50" t="s">
        <v>101</v>
      </c>
      <c r="N450" s="50" t="s">
        <v>77</v>
      </c>
      <c r="O450" s="49"/>
      <c r="P450" s="50" t="str">
        <f t="shared" ref="P450:P513" si="28">IF(O450&lt;&gt;"",O450, IF(N450&lt;&gt;"",N450, IF(M450&lt;&gt;"",M450, L450)))</f>
        <v>ONAY</v>
      </c>
      <c r="R450" s="51" t="str">
        <f t="shared" ref="R450:R513" si="29">IF(AND($I450&lt;&gt;"",$I450&gt;=DATE(2026,6,23),COUNTIFS($C:$C,$C450,$I:$I,$I450)&gt;2),"⚠ "&amp;COUNTIFS($C:$C,$C450,$I:$I,$I450)&amp;" BAŞVURU!","")</f>
        <v/>
      </c>
      <c r="T450" s="41"/>
      <c r="U450" s="29">
        <f>IF($C450&lt;&gt;"",COUNTIF($C$2:C450,C450),"")</f>
        <v>3</v>
      </c>
      <c r="V450" s="29" t="str">
        <f t="shared" ref="V450:V513" si="30">IF($C450&lt;&gt;"",C450&amp;"§"&amp;U450,"")</f>
        <v>Doç. Dr. Hilal AKSOY§3</v>
      </c>
      <c r="W450" s="29" t="str">
        <f>IF(U450=1,COUNTIF($U$2:U450,1),"")</f>
        <v/>
      </c>
      <c r="X450" s="29" t="str">
        <f t="shared" ref="X450:X513" si="31">IF(U450=1,SUMPRODUCT(($U$2:$U$1799=1)*($C$2:$C$1799&lt;C450))+1,"")</f>
        <v/>
      </c>
      <c r="Y450" s="29">
        <f>IF(AND(LEFT($B450,7)="SBA 26/",$D450&lt;&gt;"",$F450&lt;&gt;""),COUNTIFS($D$2:$D450,$D450,$B$2:$B450,"SBA 26/*",$F$2:$F450,"&lt;&gt;"),"")</f>
        <v>9</v>
      </c>
      <c r="Z450" s="29" t="str">
        <f>IF(Y450=1,COUNTIF($Y$2:Y450,1),"")</f>
        <v/>
      </c>
      <c r="AA450" s="29">
        <f>IF(AND(LEFT($B450,7)="SBA 26/",$C450&lt;&gt;"",$F450&lt;&gt;""),COUNTIFS($C$2:$C450,$C450,$B$2:$B450,"SBA 26/*",$F$2:$F450,"&lt;&gt;"),"")</f>
        <v>3</v>
      </c>
      <c r="AB450" s="29" t="str">
        <f>IF(AA450=1,COUNTIF($AA$2:AA450,1),"")</f>
        <v/>
      </c>
    </row>
    <row r="451" spans="1:28" ht="110.25" customHeight="1" x14ac:dyDescent="0.2">
      <c r="A451" s="43" t="s">
        <v>2168</v>
      </c>
      <c r="B451" s="43" t="s">
        <v>2169</v>
      </c>
      <c r="C451" s="44" t="s">
        <v>209</v>
      </c>
      <c r="D451" s="44" t="s">
        <v>133</v>
      </c>
      <c r="E451" s="45" t="s">
        <v>2170</v>
      </c>
      <c r="F451" s="45" t="s">
        <v>2171</v>
      </c>
      <c r="G451" s="46" t="s">
        <v>38</v>
      </c>
      <c r="H451" s="48">
        <v>46146</v>
      </c>
      <c r="I451" s="48">
        <v>46154</v>
      </c>
      <c r="J451" s="44" t="s">
        <v>100</v>
      </c>
      <c r="K451" s="44" t="s">
        <v>91</v>
      </c>
      <c r="L451" s="50" t="s">
        <v>101</v>
      </c>
      <c r="M451" s="50" t="s">
        <v>77</v>
      </c>
      <c r="N451" s="50"/>
      <c r="O451" s="49"/>
      <c r="P451" s="50" t="str">
        <f t="shared" si="28"/>
        <v>ONAY</v>
      </c>
      <c r="Q451" s="28" t="s">
        <v>91</v>
      </c>
      <c r="R451" s="51" t="str">
        <f t="shared" si="29"/>
        <v/>
      </c>
      <c r="T451" s="41"/>
      <c r="U451" s="29">
        <f>IF($C451&lt;&gt;"",COUNTIF($C$2:C451,C451),"")</f>
        <v>4</v>
      </c>
      <c r="V451" s="29" t="str">
        <f t="shared" si="30"/>
        <v>Doç. Dr. Dilek ÜNAL§4</v>
      </c>
      <c r="W451" s="29" t="str">
        <f>IF(U451=1,COUNTIF($U$2:U451,1),"")</f>
        <v/>
      </c>
      <c r="X451" s="29" t="str">
        <f t="shared" si="31"/>
        <v/>
      </c>
      <c r="Y451" s="29">
        <f>IF(AND(LEFT($B451,7)="SBA 26/",$D451&lt;&gt;"",$F451&lt;&gt;""),COUNTIFS($D$2:$D451,$D451,$B$2:$B451,"SBA 26/*",$F$2:$F451,"&lt;&gt;"),"")</f>
        <v>13</v>
      </c>
      <c r="Z451" s="29" t="str">
        <f>IF(Y451=1,COUNTIF($Y$2:Y451,1),"")</f>
        <v/>
      </c>
      <c r="AA451" s="29">
        <f>IF(AND(LEFT($B451,7)="SBA 26/",$C451&lt;&gt;"",$F451&lt;&gt;""),COUNTIFS($C$2:$C451,$C451,$B$2:$B451,"SBA 26/*",$F$2:$F451,"&lt;&gt;"),"")</f>
        <v>4</v>
      </c>
      <c r="AB451" s="29" t="str">
        <f>IF(AA451=1,COUNTIF($AA$2:AA451,1),"")</f>
        <v/>
      </c>
    </row>
    <row r="452" spans="1:28" ht="63" customHeight="1" x14ac:dyDescent="0.2">
      <c r="A452" s="43" t="s">
        <v>2172</v>
      </c>
      <c r="B452" s="43" t="s">
        <v>2173</v>
      </c>
      <c r="C452" s="44" t="s">
        <v>2174</v>
      </c>
      <c r="D452" s="44" t="s">
        <v>157</v>
      </c>
      <c r="E452" s="45" t="s">
        <v>2175</v>
      </c>
      <c r="F452" s="45" t="s">
        <v>2176</v>
      </c>
      <c r="G452" s="46" t="s">
        <v>38</v>
      </c>
      <c r="H452" s="48">
        <v>46146</v>
      </c>
      <c r="I452" s="48">
        <v>46154</v>
      </c>
      <c r="J452" s="44" t="s">
        <v>91</v>
      </c>
      <c r="K452" s="44" t="s">
        <v>92</v>
      </c>
      <c r="L452" s="50" t="s">
        <v>77</v>
      </c>
      <c r="M452" s="50"/>
      <c r="N452" s="50"/>
      <c r="O452" s="49"/>
      <c r="P452" s="50" t="str">
        <f t="shared" si="28"/>
        <v>ONAY</v>
      </c>
      <c r="R452" s="51" t="str">
        <f t="shared" si="29"/>
        <v/>
      </c>
      <c r="T452" s="41"/>
      <c r="U452" s="29">
        <f>IF($C452&lt;&gt;"",COUNTIF($C$2:C452,C452),"")</f>
        <v>1</v>
      </c>
      <c r="V452" s="29" t="str">
        <f t="shared" si="30"/>
        <v>Doç. Dr. Barış SEZER§1</v>
      </c>
      <c r="W452" s="29">
        <f>IF(U452=1,COUNTIF($U$2:U452,1),"")</f>
        <v>246</v>
      </c>
      <c r="X452" s="29">
        <f t="shared" si="31"/>
        <v>21</v>
      </c>
      <c r="Y452" s="29">
        <f>IF(AND(LEFT($B452,7)="SBA 26/",$D452&lt;&gt;"",$F452&lt;&gt;""),COUNTIFS($D$2:$D452,$D452,$B$2:$B452,"SBA 26/*",$F$2:$F452,"&lt;&gt;"),"")</f>
        <v>2</v>
      </c>
      <c r="Z452" s="29" t="str">
        <f>IF(Y452=1,COUNTIF($Y$2:Y452,1),"")</f>
        <v/>
      </c>
      <c r="AA452" s="29">
        <f>IF(AND(LEFT($B452,7)="SBA 26/",$C452&lt;&gt;"",$F452&lt;&gt;""),COUNTIFS($C$2:$C452,$C452,$B$2:$B452,"SBA 26/*",$F$2:$F452,"&lt;&gt;"),"")</f>
        <v>1</v>
      </c>
      <c r="AB452" s="29">
        <f>IF(AA452=1,COUNTIF($AA$2:AA452,1),"")</f>
        <v>246</v>
      </c>
    </row>
    <row r="453" spans="1:28" ht="94.5" customHeight="1" x14ac:dyDescent="0.2">
      <c r="A453" s="43" t="s">
        <v>2177</v>
      </c>
      <c r="B453" s="43" t="s">
        <v>2178</v>
      </c>
      <c r="C453" s="44" t="s">
        <v>109</v>
      </c>
      <c r="D453" s="44" t="s">
        <v>2179</v>
      </c>
      <c r="E453" s="45" t="s">
        <v>2180</v>
      </c>
      <c r="F453" s="45" t="s">
        <v>2181</v>
      </c>
      <c r="G453" s="46" t="s">
        <v>39</v>
      </c>
      <c r="H453" s="48">
        <v>46146</v>
      </c>
      <c r="I453" s="48">
        <v>46154</v>
      </c>
      <c r="J453" s="44" t="s">
        <v>75</v>
      </c>
      <c r="K453" s="44" t="s">
        <v>99</v>
      </c>
      <c r="L453" s="50" t="s">
        <v>77</v>
      </c>
      <c r="M453" s="50"/>
      <c r="N453" s="50"/>
      <c r="O453" s="49"/>
      <c r="P453" s="50" t="str">
        <f t="shared" si="28"/>
        <v>ONAY</v>
      </c>
      <c r="R453" s="51" t="str">
        <f t="shared" si="29"/>
        <v/>
      </c>
      <c r="T453" s="41"/>
      <c r="U453" s="29">
        <f>IF($C453&lt;&gt;"",COUNTIF($C$2:C453,C453),"")</f>
        <v>1</v>
      </c>
      <c r="V453" s="29" t="str">
        <f t="shared" si="30"/>
        <v>Prof. Dr. Melih Önder BABAOĞLU§1</v>
      </c>
      <c r="W453" s="29">
        <f>IF(U453=1,COUNTIF($U$2:U453,1),"")</f>
        <v>247</v>
      </c>
      <c r="X453" s="29">
        <f t="shared" si="31"/>
        <v>262</v>
      </c>
      <c r="Y453" s="29">
        <f>IF(AND(LEFT($B453,7)="SBA 26/",$D453&lt;&gt;"",$F453&lt;&gt;""),COUNTIFS($D$2:$D453,$D453,$B$2:$B453,"SBA 26/*",$F$2:$F453,"&lt;&gt;"),"")</f>
        <v>1</v>
      </c>
      <c r="Z453" s="29">
        <f>IF(Y453=1,COUNTIF($Y$2:Y453,1),"")</f>
        <v>67</v>
      </c>
      <c r="AA453" s="29">
        <f>IF(AND(LEFT($B453,7)="SBA 26/",$C453&lt;&gt;"",$F453&lt;&gt;""),COUNTIFS($C$2:$C453,$C453,$B$2:$B453,"SBA 26/*",$F$2:$F453,"&lt;&gt;"),"")</f>
        <v>1</v>
      </c>
      <c r="AB453" s="29">
        <f>IF(AA453=1,COUNTIF($AA$2:AA453,1),"")</f>
        <v>247</v>
      </c>
    </row>
    <row r="454" spans="1:28" ht="63" customHeight="1" x14ac:dyDescent="0.2">
      <c r="A454" s="43" t="s">
        <v>2182</v>
      </c>
      <c r="B454" s="43" t="s">
        <v>2183</v>
      </c>
      <c r="C454" s="44" t="s">
        <v>2078</v>
      </c>
      <c r="D454" s="44" t="s">
        <v>113</v>
      </c>
      <c r="E454" s="45" t="s">
        <v>2079</v>
      </c>
      <c r="F454" s="45" t="s">
        <v>2184</v>
      </c>
      <c r="G454" s="46" t="s">
        <v>38</v>
      </c>
      <c r="H454" s="48">
        <v>46154</v>
      </c>
      <c r="I454" s="48">
        <v>46175</v>
      </c>
      <c r="J454" s="44" t="s">
        <v>116</v>
      </c>
      <c r="K454" s="44" t="s">
        <v>84</v>
      </c>
      <c r="L454" s="50" t="s">
        <v>77</v>
      </c>
      <c r="M454" s="50"/>
      <c r="N454" s="50"/>
      <c r="O454" s="49"/>
      <c r="P454" s="50" t="str">
        <f t="shared" si="28"/>
        <v>ONAY</v>
      </c>
      <c r="R454" s="51" t="str">
        <f t="shared" si="29"/>
        <v/>
      </c>
      <c r="T454" s="41"/>
      <c r="U454" s="29">
        <f>IF($C454&lt;&gt;"",COUNTIF($C$2:C454,C454),"")</f>
        <v>3</v>
      </c>
      <c r="V454" s="29" t="str">
        <f t="shared" si="30"/>
        <v>Prof. Dr. Ümit Yavuz MALKAN§3</v>
      </c>
      <c r="W454" s="29" t="str">
        <f>IF(U454=1,COUNTIF($U$2:U454,1),"")</f>
        <v/>
      </c>
      <c r="X454" s="29" t="str">
        <f t="shared" si="31"/>
        <v/>
      </c>
      <c r="Y454" s="29">
        <f>IF(AND(LEFT($B454,7)="SBA 26/",$D454&lt;&gt;"",$F454&lt;&gt;""),COUNTIFS($D$2:$D454,$D454,$B$2:$B454,"SBA 26/*",$F$2:$F454,"&lt;&gt;"),"")</f>
        <v>74</v>
      </c>
      <c r="Z454" s="29" t="str">
        <f>IF(Y454=1,COUNTIF($Y$2:Y454,1),"")</f>
        <v/>
      </c>
      <c r="AA454" s="29">
        <f>IF(AND(LEFT($B454,7)="SBA 26/",$C454&lt;&gt;"",$F454&lt;&gt;""),COUNTIFS($C$2:$C454,$C454,$B$2:$B454,"SBA 26/*",$F$2:$F454,"&lt;&gt;"),"")</f>
        <v>3</v>
      </c>
      <c r="AB454" s="29" t="str">
        <f>IF(AA454=1,COUNTIF($AA$2:AA454,1),"")</f>
        <v/>
      </c>
    </row>
    <row r="455" spans="1:28" ht="63" customHeight="1" x14ac:dyDescent="0.2">
      <c r="A455" s="43" t="s">
        <v>2185</v>
      </c>
      <c r="B455" s="43" t="s">
        <v>2186</v>
      </c>
      <c r="C455" s="44" t="s">
        <v>2078</v>
      </c>
      <c r="D455" s="44" t="s">
        <v>113</v>
      </c>
      <c r="E455" s="45" t="s">
        <v>2079</v>
      </c>
      <c r="F455" s="45" t="s">
        <v>2187</v>
      </c>
      <c r="G455" s="46" t="s">
        <v>38</v>
      </c>
      <c r="H455" s="48">
        <v>46154</v>
      </c>
      <c r="I455" s="48">
        <v>46175</v>
      </c>
      <c r="J455" s="44" t="s">
        <v>129</v>
      </c>
      <c r="K455" s="44" t="s">
        <v>84</v>
      </c>
      <c r="L455" s="50" t="s">
        <v>77</v>
      </c>
      <c r="M455" s="50"/>
      <c r="N455" s="50"/>
      <c r="O455" s="49"/>
      <c r="P455" s="50" t="str">
        <f t="shared" si="28"/>
        <v>ONAY</v>
      </c>
      <c r="R455" s="51" t="str">
        <f t="shared" si="29"/>
        <v/>
      </c>
      <c r="T455" s="41"/>
      <c r="U455" s="29">
        <f>IF($C455&lt;&gt;"",COUNTIF($C$2:C455,C455),"")</f>
        <v>4</v>
      </c>
      <c r="V455" s="29" t="str">
        <f t="shared" si="30"/>
        <v>Prof. Dr. Ümit Yavuz MALKAN§4</v>
      </c>
      <c r="W455" s="29" t="str">
        <f>IF(U455=1,COUNTIF($U$2:U455,1),"")</f>
        <v/>
      </c>
      <c r="X455" s="29" t="str">
        <f t="shared" si="31"/>
        <v/>
      </c>
      <c r="Y455" s="29">
        <f>IF(AND(LEFT($B455,7)="SBA 26/",$D455&lt;&gt;"",$F455&lt;&gt;""),COUNTIFS($D$2:$D455,$D455,$B$2:$B455,"SBA 26/*",$F$2:$F455,"&lt;&gt;"),"")</f>
        <v>75</v>
      </c>
      <c r="Z455" s="29" t="str">
        <f>IF(Y455=1,COUNTIF($Y$2:Y455,1),"")</f>
        <v/>
      </c>
      <c r="AA455" s="29">
        <f>IF(AND(LEFT($B455,7)="SBA 26/",$C455&lt;&gt;"",$F455&lt;&gt;""),COUNTIFS($C$2:$C455,$C455,$B$2:$B455,"SBA 26/*",$F$2:$F455,"&lt;&gt;"),"")</f>
        <v>4</v>
      </c>
      <c r="AB455" s="29" t="str">
        <f>IF(AA455=1,COUNTIF($AA$2:AA455,1),"")</f>
        <v/>
      </c>
    </row>
    <row r="456" spans="1:28" ht="78.75" customHeight="1" x14ac:dyDescent="0.2">
      <c r="A456" s="43" t="s">
        <v>2188</v>
      </c>
      <c r="B456" s="43" t="s">
        <v>2189</v>
      </c>
      <c r="C456" s="44" t="s">
        <v>2190</v>
      </c>
      <c r="D456" s="44" t="s">
        <v>291</v>
      </c>
      <c r="E456" s="45" t="s">
        <v>2191</v>
      </c>
      <c r="F456" s="45" t="s">
        <v>2192</v>
      </c>
      <c r="G456" s="46" t="s">
        <v>38</v>
      </c>
      <c r="H456" s="48">
        <v>46154</v>
      </c>
      <c r="I456" s="48">
        <v>46175</v>
      </c>
      <c r="J456" s="44" t="s">
        <v>75</v>
      </c>
      <c r="K456" s="44" t="s">
        <v>116</v>
      </c>
      <c r="L456" s="50" t="s">
        <v>77</v>
      </c>
      <c r="M456" s="50"/>
      <c r="N456" s="50"/>
      <c r="O456" s="49"/>
      <c r="P456" s="50" t="str">
        <f t="shared" si="28"/>
        <v>ONAY</v>
      </c>
      <c r="R456" s="51" t="str">
        <f t="shared" si="29"/>
        <v/>
      </c>
      <c r="T456" s="41"/>
      <c r="U456" s="29">
        <f>IF($C456&lt;&gt;"",COUNTIF($C$2:C456,C456),"")</f>
        <v>1</v>
      </c>
      <c r="V456" s="29" t="str">
        <f t="shared" si="30"/>
        <v>Dr. Öğr. Üyesi Oğuzhan KATAR§1</v>
      </c>
      <c r="W456" s="29">
        <f>IF(U456=1,COUNTIF($U$2:U456,1),"")</f>
        <v>248</v>
      </c>
      <c r="X456" s="29">
        <f t="shared" si="31"/>
        <v>151</v>
      </c>
      <c r="Y456" s="29">
        <f>IF(AND(LEFT($B456,7)="SBA 26/",$D456&lt;&gt;"",$F456&lt;&gt;""),COUNTIFS($D$2:$D456,$D456,$B$2:$B456,"SBA 26/*",$F$2:$F456,"&lt;&gt;"),"")</f>
        <v>8</v>
      </c>
      <c r="Z456" s="29" t="str">
        <f>IF(Y456=1,COUNTIF($Y$2:Y456,1),"")</f>
        <v/>
      </c>
      <c r="AA456" s="29">
        <f>IF(AND(LEFT($B456,7)="SBA 26/",$C456&lt;&gt;"",$F456&lt;&gt;""),COUNTIFS($C$2:$C456,$C456,$B$2:$B456,"SBA 26/*",$F$2:$F456,"&lt;&gt;"),"")</f>
        <v>1</v>
      </c>
      <c r="AB456" s="29">
        <f>IF(AA456=1,COUNTIF($AA$2:AA456,1),"")</f>
        <v>248</v>
      </c>
    </row>
    <row r="457" spans="1:28" ht="63" customHeight="1" x14ac:dyDescent="0.2">
      <c r="A457" s="43" t="s">
        <v>2193</v>
      </c>
      <c r="B457" s="43" t="s">
        <v>2194</v>
      </c>
      <c r="C457" s="44" t="s">
        <v>519</v>
      </c>
      <c r="D457" s="44" t="s">
        <v>364</v>
      </c>
      <c r="E457" s="45" t="s">
        <v>2195</v>
      </c>
      <c r="F457" s="45" t="s">
        <v>2196</v>
      </c>
      <c r="G457" s="46" t="s">
        <v>38</v>
      </c>
      <c r="H457" s="48">
        <v>46154</v>
      </c>
      <c r="I457" s="48">
        <v>46175</v>
      </c>
      <c r="J457" s="44" t="s">
        <v>108</v>
      </c>
      <c r="K457" s="44" t="s">
        <v>99</v>
      </c>
      <c r="L457" s="50" t="s">
        <v>77</v>
      </c>
      <c r="M457" s="50"/>
      <c r="N457" s="50"/>
      <c r="O457" s="49"/>
      <c r="P457" s="50" t="str">
        <f t="shared" si="28"/>
        <v>ONAY</v>
      </c>
      <c r="R457" s="51" t="str">
        <f t="shared" si="29"/>
        <v/>
      </c>
      <c r="T457" s="41"/>
      <c r="U457" s="29">
        <f>IF($C457&lt;&gt;"",COUNTIF($C$2:C457,C457),"")</f>
        <v>5</v>
      </c>
      <c r="V457" s="29" t="str">
        <f t="shared" si="30"/>
        <v>Prof. Dr. Neşe DERİCİOĞLU§5</v>
      </c>
      <c r="W457" s="29" t="str">
        <f>IF(U457=1,COUNTIF($U$2:U457,1),"")</f>
        <v/>
      </c>
      <c r="X457" s="29" t="str">
        <f t="shared" si="31"/>
        <v/>
      </c>
      <c r="Y457" s="29">
        <f>IF(AND(LEFT($B457,7)="SBA 26/",$D457&lt;&gt;"",$F457&lt;&gt;""),COUNTIFS($D$2:$D457,$D457,$B$2:$B457,"SBA 26/*",$F$2:$F457,"&lt;&gt;"),"")</f>
        <v>18</v>
      </c>
      <c r="Z457" s="29" t="str">
        <f>IF(Y457=1,COUNTIF($Y$2:Y457,1),"")</f>
        <v/>
      </c>
      <c r="AA457" s="29">
        <f>IF(AND(LEFT($B457,7)="SBA 26/",$C457&lt;&gt;"",$F457&lt;&gt;""),COUNTIFS($C$2:$C457,$C457,$B$2:$B457,"SBA 26/*",$F$2:$F457,"&lt;&gt;"),"")</f>
        <v>5</v>
      </c>
      <c r="AB457" s="29" t="str">
        <f>IF(AA457=1,COUNTIF($AA$2:AA457,1),"")</f>
        <v/>
      </c>
    </row>
    <row r="458" spans="1:28" ht="47.25" customHeight="1" x14ac:dyDescent="0.2">
      <c r="A458" s="43" t="s">
        <v>2197</v>
      </c>
      <c r="B458" s="43" t="s">
        <v>2198</v>
      </c>
      <c r="C458" s="44" t="s">
        <v>524</v>
      </c>
      <c r="D458" s="44" t="s">
        <v>113</v>
      </c>
      <c r="E458" s="45" t="s">
        <v>2157</v>
      </c>
      <c r="F458" s="45" t="s">
        <v>2199</v>
      </c>
      <c r="G458" s="46" t="s">
        <v>38</v>
      </c>
      <c r="H458" s="48">
        <v>46154</v>
      </c>
      <c r="I458" s="48">
        <v>46175</v>
      </c>
      <c r="J458" s="44" t="s">
        <v>109</v>
      </c>
      <c r="K458" s="44" t="s">
        <v>123</v>
      </c>
      <c r="L458" s="50" t="s">
        <v>77</v>
      </c>
      <c r="M458" s="50"/>
      <c r="N458" s="50"/>
      <c r="O458" s="49"/>
      <c r="P458" s="50" t="str">
        <f t="shared" si="28"/>
        <v>ONAY</v>
      </c>
      <c r="R458" s="51" t="str">
        <f t="shared" si="29"/>
        <v/>
      </c>
      <c r="T458" s="41"/>
      <c r="U458" s="29">
        <f>IF($C458&lt;&gt;"",COUNTIF($C$2:C458,C458),"")</f>
        <v>6</v>
      </c>
      <c r="V458" s="29" t="str">
        <f t="shared" si="30"/>
        <v>Doç. Dr. Mert EŞME§6</v>
      </c>
      <c r="W458" s="29" t="str">
        <f>IF(U458=1,COUNTIF($U$2:U458,1),"")</f>
        <v/>
      </c>
      <c r="X458" s="29" t="str">
        <f t="shared" si="31"/>
        <v/>
      </c>
      <c r="Y458" s="29">
        <f>IF(AND(LEFT($B458,7)="SBA 26/",$D458&lt;&gt;"",$F458&lt;&gt;""),COUNTIFS($D$2:$D458,$D458,$B$2:$B458,"SBA 26/*",$F$2:$F458,"&lt;&gt;"),"")</f>
        <v>76</v>
      </c>
      <c r="Z458" s="29" t="str">
        <f>IF(Y458=1,COUNTIF($Y$2:Y458,1),"")</f>
        <v/>
      </c>
      <c r="AA458" s="29">
        <f>IF(AND(LEFT($B458,7)="SBA 26/",$C458&lt;&gt;"",$F458&lt;&gt;""),COUNTIFS($C$2:$C458,$C458,$B$2:$B458,"SBA 26/*",$F$2:$F458,"&lt;&gt;"),"")</f>
        <v>6</v>
      </c>
      <c r="AB458" s="29" t="str">
        <f>IF(AA458=1,COUNTIF($AA$2:AA458,1),"")</f>
        <v/>
      </c>
    </row>
    <row r="459" spans="1:28" ht="47.25" customHeight="1" x14ac:dyDescent="0.2">
      <c r="A459" s="43" t="s">
        <v>2200</v>
      </c>
      <c r="B459" s="43" t="s">
        <v>2201</v>
      </c>
      <c r="C459" s="44" t="s">
        <v>2202</v>
      </c>
      <c r="D459" s="44" t="s">
        <v>234</v>
      </c>
      <c r="E459" s="45" t="s">
        <v>2203</v>
      </c>
      <c r="F459" s="45" t="s">
        <v>2204</v>
      </c>
      <c r="G459" s="46" t="s">
        <v>38</v>
      </c>
      <c r="H459" s="48">
        <v>46154</v>
      </c>
      <c r="I459" s="48">
        <v>46175</v>
      </c>
      <c r="J459" s="44" t="s">
        <v>92</v>
      </c>
      <c r="K459" s="44" t="s">
        <v>100</v>
      </c>
      <c r="L459" s="50" t="s">
        <v>101</v>
      </c>
      <c r="M459" s="50" t="s">
        <v>101</v>
      </c>
      <c r="N459" s="50" t="s">
        <v>77</v>
      </c>
      <c r="O459" s="49"/>
      <c r="P459" s="50" t="str">
        <f t="shared" si="28"/>
        <v>ONAY</v>
      </c>
      <c r="Q459" s="28" t="s">
        <v>92</v>
      </c>
      <c r="R459" s="51" t="str">
        <f t="shared" si="29"/>
        <v/>
      </c>
      <c r="T459" s="41"/>
      <c r="U459" s="29">
        <f>IF($C459&lt;&gt;"",COUNTIF($C$2:C459,C459),"")</f>
        <v>1</v>
      </c>
      <c r="V459" s="29" t="str">
        <f t="shared" si="30"/>
        <v>Doç. Dr. Ahmet KIVRAK§1</v>
      </c>
      <c r="W459" s="29">
        <f>IF(U459=1,COUNTIF($U$2:U459,1),"")</f>
        <v>249</v>
      </c>
      <c r="X459" s="29">
        <f t="shared" si="31"/>
        <v>16</v>
      </c>
      <c r="Y459" s="29">
        <f>IF(AND(LEFT($B459,7)="SBA 26/",$D459&lt;&gt;"",$F459&lt;&gt;""),COUNTIFS($D$2:$D459,$D459,$B$2:$B459,"SBA 26/*",$F$2:$F459,"&lt;&gt;"),"")</f>
        <v>8</v>
      </c>
      <c r="Z459" s="29" t="str">
        <f>IF(Y459=1,COUNTIF($Y$2:Y459,1),"")</f>
        <v/>
      </c>
      <c r="AA459" s="29">
        <f>IF(AND(LEFT($B459,7)="SBA 26/",$C459&lt;&gt;"",$F459&lt;&gt;""),COUNTIFS($C$2:$C459,$C459,$B$2:$B459,"SBA 26/*",$F$2:$F459,"&lt;&gt;"),"")</f>
        <v>1</v>
      </c>
      <c r="AB459" s="29">
        <f>IF(AA459=1,COUNTIF($AA$2:AA459,1),"")</f>
        <v>249</v>
      </c>
    </row>
    <row r="460" spans="1:28" ht="78.75" customHeight="1" x14ac:dyDescent="0.2">
      <c r="A460" s="43" t="s">
        <v>2205</v>
      </c>
      <c r="B460" s="43" t="s">
        <v>2206</v>
      </c>
      <c r="C460" s="44" t="s">
        <v>1590</v>
      </c>
      <c r="D460" s="44" t="s">
        <v>341</v>
      </c>
      <c r="E460" s="45" t="s">
        <v>2207</v>
      </c>
      <c r="F460" s="45" t="s">
        <v>2208</v>
      </c>
      <c r="G460" s="46" t="s">
        <v>38</v>
      </c>
      <c r="H460" s="48">
        <v>46154</v>
      </c>
      <c r="I460" s="48">
        <v>46175</v>
      </c>
      <c r="J460" s="44" t="s">
        <v>109</v>
      </c>
      <c r="K460" s="44" t="s">
        <v>116</v>
      </c>
      <c r="L460" s="50" t="s">
        <v>101</v>
      </c>
      <c r="M460" s="50" t="s">
        <v>77</v>
      </c>
      <c r="N460" s="50"/>
      <c r="O460" s="49"/>
      <c r="P460" s="50" t="str">
        <f t="shared" si="28"/>
        <v>ONAY</v>
      </c>
      <c r="Q460" s="28" t="s">
        <v>109</v>
      </c>
      <c r="R460" s="51" t="str">
        <f t="shared" si="29"/>
        <v/>
      </c>
      <c r="T460" s="41"/>
      <c r="U460" s="29">
        <f>IF($C460&lt;&gt;"",COUNTIF($C$2:C460,C460),"")</f>
        <v>3</v>
      </c>
      <c r="V460" s="29" t="str">
        <f t="shared" si="30"/>
        <v>Prof. Dr. Sibel DOĞAN GÜNAYDIN§3</v>
      </c>
      <c r="W460" s="29" t="str">
        <f>IF(U460=1,COUNTIF($U$2:U460,1),"")</f>
        <v/>
      </c>
      <c r="X460" s="29" t="str">
        <f t="shared" si="31"/>
        <v/>
      </c>
      <c r="Y460" s="29">
        <f>IF(AND(LEFT($B460,7)="SBA 26/",$D460&lt;&gt;"",$F460&lt;&gt;""),COUNTIFS($D$2:$D460,$D460,$B$2:$B460,"SBA 26/*",$F$2:$F460,"&lt;&gt;"),"")</f>
        <v>11</v>
      </c>
      <c r="Z460" s="29" t="str">
        <f>IF(Y460=1,COUNTIF($Y$2:Y460,1),"")</f>
        <v/>
      </c>
      <c r="AA460" s="29">
        <f>IF(AND(LEFT($B460,7)="SBA 26/",$C460&lt;&gt;"",$F460&lt;&gt;""),COUNTIFS($C$2:$C460,$C460,$B$2:$B460,"SBA 26/*",$F$2:$F460,"&lt;&gt;"),"")</f>
        <v>3</v>
      </c>
      <c r="AB460" s="29" t="str">
        <f>IF(AA460=1,COUNTIF($AA$2:AA460,1),"")</f>
        <v/>
      </c>
    </row>
    <row r="461" spans="1:28" ht="67.5" customHeight="1" x14ac:dyDescent="0.2">
      <c r="A461" s="43" t="s">
        <v>2209</v>
      </c>
      <c r="B461" s="43" t="s">
        <v>2210</v>
      </c>
      <c r="C461" s="44" t="s">
        <v>1043</v>
      </c>
      <c r="D461" s="44" t="s">
        <v>88</v>
      </c>
      <c r="E461" s="45" t="s">
        <v>2211</v>
      </c>
      <c r="F461" s="45" t="s">
        <v>2212</v>
      </c>
      <c r="G461" s="46" t="s">
        <v>38</v>
      </c>
      <c r="H461" s="48">
        <v>46154</v>
      </c>
      <c r="I461" s="48">
        <v>46175</v>
      </c>
      <c r="J461" s="44" t="s">
        <v>92</v>
      </c>
      <c r="K461" s="44" t="s">
        <v>123</v>
      </c>
      <c r="L461" s="50" t="s">
        <v>77</v>
      </c>
      <c r="M461" s="50"/>
      <c r="N461" s="50"/>
      <c r="O461" s="49"/>
      <c r="P461" s="50" t="str">
        <f t="shared" si="28"/>
        <v>ONAY</v>
      </c>
      <c r="R461" s="51" t="str">
        <f t="shared" si="29"/>
        <v/>
      </c>
      <c r="T461" s="41"/>
      <c r="U461" s="29">
        <f>IF($C461&lt;&gt;"",COUNTIF($C$2:C461,C461),"")</f>
        <v>3</v>
      </c>
      <c r="V461" s="29" t="str">
        <f t="shared" si="30"/>
        <v>Dr. Öğr. Üyesi Aycan UYSAL§3</v>
      </c>
      <c r="W461" s="29" t="str">
        <f>IF(U461=1,COUNTIF($U$2:U461,1),"")</f>
        <v/>
      </c>
      <c r="X461" s="29" t="str">
        <f t="shared" si="31"/>
        <v/>
      </c>
      <c r="Y461" s="29">
        <f>IF(AND(LEFT($B461,7)="SBA 26/",$D461&lt;&gt;"",$F461&lt;&gt;""),COUNTIFS($D$2:$D461,$D461,$B$2:$B461,"SBA 26/*",$F$2:$F461,"&lt;&gt;"),"")</f>
        <v>17</v>
      </c>
      <c r="Z461" s="29" t="str">
        <f>IF(Y461=1,COUNTIF($Y$2:Y461,1),"")</f>
        <v/>
      </c>
      <c r="AA461" s="29">
        <f>IF(AND(LEFT($B461,7)="SBA 26/",$C461&lt;&gt;"",$F461&lt;&gt;""),COUNTIFS($C$2:$C461,$C461,$B$2:$B461,"SBA 26/*",$F$2:$F461,"&lt;&gt;"),"")</f>
        <v>3</v>
      </c>
      <c r="AB461" s="29" t="str">
        <f>IF(AA461=1,COUNTIF($AA$2:AA461,1),"")</f>
        <v/>
      </c>
    </row>
    <row r="462" spans="1:28" ht="63" customHeight="1" x14ac:dyDescent="0.2">
      <c r="A462" s="43" t="s">
        <v>2213</v>
      </c>
      <c r="B462" s="43" t="s">
        <v>2214</v>
      </c>
      <c r="C462" s="44" t="s">
        <v>2215</v>
      </c>
      <c r="D462" s="44" t="s">
        <v>2216</v>
      </c>
      <c r="E462" s="45" t="s">
        <v>2217</v>
      </c>
      <c r="F462" s="45" t="s">
        <v>2218</v>
      </c>
      <c r="G462" s="46" t="s">
        <v>38</v>
      </c>
      <c r="H462" s="48">
        <v>46154</v>
      </c>
      <c r="I462" s="48">
        <v>46175</v>
      </c>
      <c r="J462" s="44" t="s">
        <v>75</v>
      </c>
      <c r="K462" s="44" t="s">
        <v>84</v>
      </c>
      <c r="L462" s="50" t="s">
        <v>206</v>
      </c>
      <c r="M462" s="50" t="s">
        <v>101</v>
      </c>
      <c r="N462" s="50" t="s">
        <v>77</v>
      </c>
      <c r="O462" s="49"/>
      <c r="P462" s="50" t="str">
        <f t="shared" si="28"/>
        <v>ONAY</v>
      </c>
      <c r="Q462" s="28" t="s">
        <v>75</v>
      </c>
      <c r="R462" s="51" t="str">
        <f t="shared" si="29"/>
        <v/>
      </c>
      <c r="T462" s="41"/>
      <c r="U462" s="29">
        <f>IF($C462&lt;&gt;"",COUNTIF($C$2:C462,C462),"")</f>
        <v>1</v>
      </c>
      <c r="V462" s="29" t="str">
        <f t="shared" si="30"/>
        <v>Arş. Gör. Dr. Ozan KAPLAN§1</v>
      </c>
      <c r="W462" s="29">
        <f>IF(U462=1,COUNTIF($U$2:U462,1),"")</f>
        <v>250</v>
      </c>
      <c r="X462" s="29">
        <f t="shared" si="31"/>
        <v>7</v>
      </c>
      <c r="Y462" s="29">
        <f>IF(AND(LEFT($B462,7)="SBA 26/",$D462&lt;&gt;"",$F462&lt;&gt;""),COUNTIFS($D$2:$D462,$D462,$B$2:$B462,"SBA 26/*",$F$2:$F462,"&lt;&gt;"),"")</f>
        <v>1</v>
      </c>
      <c r="Z462" s="29">
        <f>IF(Y462=1,COUNTIF($Y$2:Y462,1),"")</f>
        <v>68</v>
      </c>
      <c r="AA462" s="29">
        <f>IF(AND(LEFT($B462,7)="SBA 26/",$C462&lt;&gt;"",$F462&lt;&gt;""),COUNTIFS($C$2:$C462,$C462,$B$2:$B462,"SBA 26/*",$F$2:$F462,"&lt;&gt;"),"")</f>
        <v>1</v>
      </c>
      <c r="AB462" s="29">
        <f>IF(AA462=1,COUNTIF($AA$2:AA462,1),"")</f>
        <v>250</v>
      </c>
    </row>
    <row r="463" spans="1:28" ht="94.5" customHeight="1" x14ac:dyDescent="0.2">
      <c r="A463" s="43" t="s">
        <v>2219</v>
      </c>
      <c r="B463" s="43" t="s">
        <v>2220</v>
      </c>
      <c r="C463" s="44" t="s">
        <v>2221</v>
      </c>
      <c r="D463" s="44" t="s">
        <v>430</v>
      </c>
      <c r="E463" s="45" t="s">
        <v>2222</v>
      </c>
      <c r="F463" s="45" t="s">
        <v>2223</v>
      </c>
      <c r="G463" s="46" t="s">
        <v>38</v>
      </c>
      <c r="H463" s="48">
        <v>46154</v>
      </c>
      <c r="I463" s="48">
        <v>46175</v>
      </c>
      <c r="J463" s="44" t="s">
        <v>109</v>
      </c>
      <c r="K463" s="44" t="s">
        <v>100</v>
      </c>
      <c r="L463" s="50" t="s">
        <v>77</v>
      </c>
      <c r="M463" s="50"/>
      <c r="N463" s="50"/>
      <c r="O463" s="49"/>
      <c r="P463" s="50" t="str">
        <f t="shared" si="28"/>
        <v>ONAY</v>
      </c>
      <c r="R463" s="51" t="str">
        <f t="shared" si="29"/>
        <v/>
      </c>
      <c r="T463" s="41"/>
      <c r="U463" s="29">
        <f>IF($C463&lt;&gt;"",COUNTIF($C$2:C463,C463),"")</f>
        <v>1</v>
      </c>
      <c r="V463" s="29" t="str">
        <f t="shared" si="30"/>
        <v>Dr. Öğr. Üyesi Emre MUTLU§1</v>
      </c>
      <c r="W463" s="29">
        <f>IF(U463=1,COUNTIF($U$2:U463,1),"")</f>
        <v>251</v>
      </c>
      <c r="X463" s="29">
        <f t="shared" si="31"/>
        <v>127</v>
      </c>
      <c r="Y463" s="29">
        <f>IF(AND(LEFT($B463,7)="SBA 26/",$D463&lt;&gt;"",$F463&lt;&gt;""),COUNTIFS($D$2:$D463,$D463,$B$2:$B463,"SBA 26/*",$F$2:$F463,"&lt;&gt;"),"")</f>
        <v>6</v>
      </c>
      <c r="Z463" s="29" t="str">
        <f>IF(Y463=1,COUNTIF($Y$2:Y463,1),"")</f>
        <v/>
      </c>
      <c r="AA463" s="29">
        <f>IF(AND(LEFT($B463,7)="SBA 26/",$C463&lt;&gt;"",$F463&lt;&gt;""),COUNTIFS($C$2:$C463,$C463,$B$2:$B463,"SBA 26/*",$F$2:$F463,"&lt;&gt;"),"")</f>
        <v>1</v>
      </c>
      <c r="AB463" s="29">
        <f>IF(AA463=1,COUNTIF($AA$2:AA463,1),"")</f>
        <v>251</v>
      </c>
    </row>
    <row r="464" spans="1:28" ht="110.25" customHeight="1" x14ac:dyDescent="0.2">
      <c r="A464" s="43" t="s">
        <v>2224</v>
      </c>
      <c r="B464" s="43" t="s">
        <v>2225</v>
      </c>
      <c r="C464" s="44" t="s">
        <v>2226</v>
      </c>
      <c r="D464" s="44" t="s">
        <v>150</v>
      </c>
      <c r="E464" s="45" t="s">
        <v>2227</v>
      </c>
      <c r="F464" s="45" t="s">
        <v>2228</v>
      </c>
      <c r="G464" s="46" t="s">
        <v>39</v>
      </c>
      <c r="H464" s="48">
        <v>46154</v>
      </c>
      <c r="I464" s="48">
        <v>46175</v>
      </c>
      <c r="J464" s="44" t="s">
        <v>108</v>
      </c>
      <c r="K464" s="44" t="s">
        <v>99</v>
      </c>
      <c r="L464" s="50" t="s">
        <v>101</v>
      </c>
      <c r="M464" s="50" t="s">
        <v>77</v>
      </c>
      <c r="N464" s="50"/>
      <c r="O464" s="49"/>
      <c r="P464" s="50" t="str">
        <f t="shared" si="28"/>
        <v>ONAY</v>
      </c>
      <c r="Q464" s="28" t="s">
        <v>99</v>
      </c>
      <c r="R464" s="51" t="str">
        <f t="shared" si="29"/>
        <v/>
      </c>
      <c r="T464" s="41"/>
      <c r="U464" s="29">
        <f>IF($C464&lt;&gt;"",COUNTIF($C$2:C464,C464),"")</f>
        <v>1</v>
      </c>
      <c r="V464" s="29" t="str">
        <f t="shared" si="30"/>
        <v>Prof. Dr. Lale KARAKOÇ SÖKMENSÜER§1</v>
      </c>
      <c r="W464" s="29">
        <f>IF(U464=1,COUNTIF($U$2:U464,1),"")</f>
        <v>252</v>
      </c>
      <c r="X464" s="29">
        <f t="shared" si="31"/>
        <v>253</v>
      </c>
      <c r="Y464" s="29">
        <f>IF(AND(LEFT($B464,7)="SBA 26/",$D464&lt;&gt;"",$F464&lt;&gt;""),COUNTIFS($D$2:$D464,$D464,$B$2:$B464,"SBA 26/*",$F$2:$F464,"&lt;&gt;"),"")</f>
        <v>5</v>
      </c>
      <c r="Z464" s="29" t="str">
        <f>IF(Y464=1,COUNTIF($Y$2:Y464,1),"")</f>
        <v/>
      </c>
      <c r="AA464" s="29">
        <f>IF(AND(LEFT($B464,7)="SBA 26/",$C464&lt;&gt;"",$F464&lt;&gt;""),COUNTIFS($C$2:$C464,$C464,$B$2:$B464,"SBA 26/*",$F$2:$F464,"&lt;&gt;"),"")</f>
        <v>1</v>
      </c>
      <c r="AB464" s="29">
        <f>IF(AA464=1,COUNTIF($AA$2:AA464,1),"")</f>
        <v>252</v>
      </c>
    </row>
    <row r="465" spans="1:28" ht="80.25" customHeight="1" x14ac:dyDescent="0.2">
      <c r="A465" s="43" t="s">
        <v>2229</v>
      </c>
      <c r="B465" s="43" t="s">
        <v>2230</v>
      </c>
      <c r="C465" s="44" t="s">
        <v>2231</v>
      </c>
      <c r="D465" s="44" t="s">
        <v>484</v>
      </c>
      <c r="E465" s="45" t="s">
        <v>2232</v>
      </c>
      <c r="F465" s="45" t="s">
        <v>2233</v>
      </c>
      <c r="G465" s="46" t="s">
        <v>38</v>
      </c>
      <c r="H465" s="48">
        <v>46154</v>
      </c>
      <c r="I465" s="48">
        <v>46175</v>
      </c>
      <c r="J465" s="44" t="s">
        <v>123</v>
      </c>
      <c r="K465" s="44" t="s">
        <v>92</v>
      </c>
      <c r="L465" s="50" t="s">
        <v>101</v>
      </c>
      <c r="M465" s="50" t="s">
        <v>77</v>
      </c>
      <c r="N465" s="50"/>
      <c r="O465" s="49"/>
      <c r="P465" s="50" t="str">
        <f t="shared" si="28"/>
        <v>ONAY</v>
      </c>
      <c r="Q465" s="28" t="s">
        <v>123</v>
      </c>
      <c r="R465" s="51" t="str">
        <f t="shared" si="29"/>
        <v/>
      </c>
      <c r="T465" s="41"/>
      <c r="U465" s="29">
        <f>IF($C465&lt;&gt;"",COUNTIF($C$2:C465,C465),"")</f>
        <v>1</v>
      </c>
      <c r="V465" s="29" t="str">
        <f t="shared" si="30"/>
        <v>Prof. Dr. Şevket Murat ÖZBEK§1</v>
      </c>
      <c r="W465" s="29">
        <f>IF(U465=1,COUNTIF($U$2:U465,1),"")</f>
        <v>253</v>
      </c>
      <c r="X465" s="29">
        <f t="shared" si="31"/>
        <v>316</v>
      </c>
      <c r="Y465" s="29">
        <f>IF(AND(LEFT($B465,7)="SBA 26/",$D465&lt;&gt;"",$F465&lt;&gt;""),COUNTIFS($D$2:$D465,$D465,$B$2:$B465,"SBA 26/*",$F$2:$F465,"&lt;&gt;"),"")</f>
        <v>5</v>
      </c>
      <c r="Z465" s="29" t="str">
        <f>IF(Y465=1,COUNTIF($Y$2:Y465,1),"")</f>
        <v/>
      </c>
      <c r="AA465" s="29">
        <f>IF(AND(LEFT($B465,7)="SBA 26/",$C465&lt;&gt;"",$F465&lt;&gt;""),COUNTIFS($C$2:$C465,$C465,$B$2:$B465,"SBA 26/*",$F$2:$F465,"&lt;&gt;"),"")</f>
        <v>1</v>
      </c>
      <c r="AB465" s="29">
        <f>IF(AA465=1,COUNTIF($AA$2:AA465,1),"")</f>
        <v>253</v>
      </c>
    </row>
    <row r="466" spans="1:28" ht="96" customHeight="1" x14ac:dyDescent="0.2">
      <c r="A466" s="43" t="s">
        <v>2234</v>
      </c>
      <c r="B466" s="43" t="s">
        <v>2235</v>
      </c>
      <c r="C466" s="44" t="s">
        <v>2236</v>
      </c>
      <c r="D466" s="44" t="s">
        <v>2237</v>
      </c>
      <c r="E466" s="45" t="s">
        <v>2238</v>
      </c>
      <c r="F466" s="45" t="s">
        <v>2239</v>
      </c>
      <c r="G466" s="46" t="s">
        <v>40</v>
      </c>
      <c r="H466" s="48">
        <v>46154</v>
      </c>
      <c r="I466" s="48">
        <v>46175</v>
      </c>
      <c r="J466" s="44" t="s">
        <v>109</v>
      </c>
      <c r="K466" s="44" t="s">
        <v>75</v>
      </c>
      <c r="L466" s="50" t="s">
        <v>101</v>
      </c>
      <c r="M466" s="50"/>
      <c r="N466" s="50"/>
      <c r="O466" s="49"/>
      <c r="P466" s="50" t="str">
        <f t="shared" si="28"/>
        <v>DÜZELTME</v>
      </c>
      <c r="R466" s="51" t="str">
        <f t="shared" si="29"/>
        <v/>
      </c>
      <c r="T466" s="41"/>
      <c r="U466" s="29">
        <f>IF($C466&lt;&gt;"",COUNTIF($C$2:C466,C466),"")</f>
        <v>1</v>
      </c>
      <c r="V466" s="29" t="str">
        <f t="shared" si="30"/>
        <v>Dr. Öğr. Üyesi Neslihan TAŞ§1</v>
      </c>
      <c r="W466" s="29">
        <f>IF(U466=1,COUNTIF($U$2:U466,1),"")</f>
        <v>254</v>
      </c>
      <c r="X466" s="29">
        <f t="shared" si="31"/>
        <v>149</v>
      </c>
      <c r="Y466" s="29">
        <f>IF(AND(LEFT($B466,7)="SBA 26/",$D466&lt;&gt;"",$F466&lt;&gt;""),COUNTIFS($D$2:$D466,$D466,$B$2:$B466,"SBA 26/*",$F$2:$F466,"&lt;&gt;"),"")</f>
        <v>1</v>
      </c>
      <c r="Z466" s="29">
        <f>IF(Y466=1,COUNTIF($Y$2:Y466,1),"")</f>
        <v>69</v>
      </c>
      <c r="AA466" s="29">
        <f>IF(AND(LEFT($B466,7)="SBA 26/",$C466&lt;&gt;"",$F466&lt;&gt;""),COUNTIFS($C$2:$C466,$C466,$B$2:$B466,"SBA 26/*",$F$2:$F466,"&lt;&gt;"),"")</f>
        <v>1</v>
      </c>
      <c r="AB466" s="29">
        <f>IF(AA466=1,COUNTIF($AA$2:AA466,1),"")</f>
        <v>254</v>
      </c>
    </row>
    <row r="467" spans="1:28" ht="78.75" customHeight="1" x14ac:dyDescent="0.2">
      <c r="A467" s="43" t="s">
        <v>2240</v>
      </c>
      <c r="B467" s="43" t="s">
        <v>2241</v>
      </c>
      <c r="C467" s="44" t="s">
        <v>1538</v>
      </c>
      <c r="D467" s="44" t="s">
        <v>280</v>
      </c>
      <c r="E467" s="45" t="s">
        <v>2242</v>
      </c>
      <c r="F467" s="45" t="s">
        <v>2243</v>
      </c>
      <c r="G467" s="46" t="s">
        <v>38</v>
      </c>
      <c r="H467" s="48">
        <v>46154</v>
      </c>
      <c r="I467" s="48">
        <v>46175</v>
      </c>
      <c r="J467" s="44" t="s">
        <v>108</v>
      </c>
      <c r="K467" s="44" t="s">
        <v>92</v>
      </c>
      <c r="L467" s="50" t="s">
        <v>77</v>
      </c>
      <c r="M467" s="50"/>
      <c r="N467" s="50"/>
      <c r="O467" s="49"/>
      <c r="P467" s="50" t="str">
        <f t="shared" si="28"/>
        <v>ONAY</v>
      </c>
      <c r="R467" s="51" t="str">
        <f t="shared" si="29"/>
        <v/>
      </c>
      <c r="T467" s="41"/>
      <c r="U467" s="29">
        <f>IF($C467&lt;&gt;"",COUNTIF($C$2:C467,C467),"")</f>
        <v>2</v>
      </c>
      <c r="V467" s="29" t="str">
        <f t="shared" si="30"/>
        <v>Prof. Dr. Bilge VOLKAN SALANCI§2</v>
      </c>
      <c r="W467" s="29" t="str">
        <f>IF(U467=1,COUNTIF($U$2:U467,1),"")</f>
        <v/>
      </c>
      <c r="X467" s="29" t="str">
        <f t="shared" si="31"/>
        <v/>
      </c>
      <c r="Y467" s="29">
        <f>IF(AND(LEFT($B467,7)="SBA 26/",$D467&lt;&gt;"",$F467&lt;&gt;""),COUNTIFS($D$2:$D467,$D467,$B$2:$B467,"SBA 26/*",$F$2:$F467,"&lt;&gt;"),"")</f>
        <v>6</v>
      </c>
      <c r="Z467" s="29" t="str">
        <f>IF(Y467=1,COUNTIF($Y$2:Y467,1),"")</f>
        <v/>
      </c>
      <c r="AA467" s="29">
        <f>IF(AND(LEFT($B467,7)="SBA 26/",$C467&lt;&gt;"",$F467&lt;&gt;""),COUNTIFS($C$2:$C467,$C467,$B$2:$B467,"SBA 26/*",$F$2:$F467,"&lt;&gt;"),"")</f>
        <v>2</v>
      </c>
      <c r="AB467" s="29" t="str">
        <f>IF(AA467=1,COUNTIF($AA$2:AA467,1),"")</f>
        <v/>
      </c>
    </row>
    <row r="468" spans="1:28" ht="78.75" customHeight="1" x14ac:dyDescent="0.2">
      <c r="A468" s="43" t="s">
        <v>2244</v>
      </c>
      <c r="B468" s="43" t="s">
        <v>2245</v>
      </c>
      <c r="C468" s="44" t="s">
        <v>2246</v>
      </c>
      <c r="D468" s="44" t="s">
        <v>504</v>
      </c>
      <c r="E468" s="45" t="s">
        <v>2247</v>
      </c>
      <c r="F468" s="45" t="s">
        <v>2248</v>
      </c>
      <c r="G468" s="46" t="s">
        <v>38</v>
      </c>
      <c r="H468" s="48">
        <v>46154</v>
      </c>
      <c r="I468" s="48">
        <v>46175</v>
      </c>
      <c r="J468" s="44" t="s">
        <v>99</v>
      </c>
      <c r="K468" s="44" t="s">
        <v>129</v>
      </c>
      <c r="L468" s="50" t="s">
        <v>206</v>
      </c>
      <c r="M468" s="50" t="s">
        <v>101</v>
      </c>
      <c r="N468" s="50" t="s">
        <v>77</v>
      </c>
      <c r="O468" s="49"/>
      <c r="P468" s="50" t="str">
        <f t="shared" si="28"/>
        <v>ONAY</v>
      </c>
      <c r="Q468" s="28" t="s">
        <v>75</v>
      </c>
      <c r="R468" s="51" t="str">
        <f t="shared" si="29"/>
        <v/>
      </c>
      <c r="T468" s="41"/>
      <c r="U468" s="29">
        <f>IF($C468&lt;&gt;"",COUNTIF($C$2:C468,C468),"")</f>
        <v>1</v>
      </c>
      <c r="V468" s="29" t="str">
        <f t="shared" si="30"/>
        <v>Prof. Dr. Ülfet Pınar ERKEKOĞLU§1</v>
      </c>
      <c r="W468" s="29">
        <f>IF(U468=1,COUNTIF($U$2:U468,1),"")</f>
        <v>255</v>
      </c>
      <c r="X468" s="29">
        <f t="shared" si="31"/>
        <v>328</v>
      </c>
      <c r="Y468" s="29">
        <f>IF(AND(LEFT($B468,7)="SBA 26/",$D468&lt;&gt;"",$F468&lt;&gt;""),COUNTIFS($D$2:$D468,$D468,$B$2:$B468,"SBA 26/*",$F$2:$F468,"&lt;&gt;"),"")</f>
        <v>2</v>
      </c>
      <c r="Z468" s="29" t="str">
        <f>IF(Y468=1,COUNTIF($Y$2:Y468,1),"")</f>
        <v/>
      </c>
      <c r="AA468" s="29">
        <f>IF(AND(LEFT($B468,7)="SBA 26/",$C468&lt;&gt;"",$F468&lt;&gt;""),COUNTIFS($C$2:$C468,$C468,$B$2:$B468,"SBA 26/*",$F$2:$F468,"&lt;&gt;"),"")</f>
        <v>1</v>
      </c>
      <c r="AB468" s="29">
        <f>IF(AA468=1,COUNTIF($AA$2:AA468,1),"")</f>
        <v>255</v>
      </c>
    </row>
    <row r="469" spans="1:28" ht="63" customHeight="1" x14ac:dyDescent="0.2">
      <c r="A469" s="43" t="s">
        <v>2249</v>
      </c>
      <c r="B469" s="43" t="s">
        <v>2250</v>
      </c>
      <c r="C469" s="44" t="s">
        <v>1585</v>
      </c>
      <c r="D469" s="44" t="s">
        <v>113</v>
      </c>
      <c r="E469" s="45" t="s">
        <v>1586</v>
      </c>
      <c r="F469" s="45" t="s">
        <v>2251</v>
      </c>
      <c r="G469" s="46" t="s">
        <v>38</v>
      </c>
      <c r="H469" s="48">
        <v>46154</v>
      </c>
      <c r="I469" s="48">
        <v>46175</v>
      </c>
      <c r="J469" s="44" t="s">
        <v>116</v>
      </c>
      <c r="K469" s="44" t="s">
        <v>129</v>
      </c>
      <c r="L469" s="50" t="s">
        <v>101</v>
      </c>
      <c r="M469" s="50" t="s">
        <v>77</v>
      </c>
      <c r="O469" s="49"/>
      <c r="P469" s="50" t="str">
        <f t="shared" si="28"/>
        <v>ONAY</v>
      </c>
      <c r="Q469" s="28" t="s">
        <v>129</v>
      </c>
      <c r="R469" s="51" t="str">
        <f t="shared" si="29"/>
        <v/>
      </c>
      <c r="T469" s="41"/>
      <c r="U469" s="29">
        <f>IF($C469&lt;&gt;"",COUNTIF($C$2:C469,C469),"")</f>
        <v>5</v>
      </c>
      <c r="V469" s="29" t="str">
        <f t="shared" si="30"/>
        <v>Doç. Dr. Cafer BALCI§5</v>
      </c>
      <c r="W469" s="29" t="str">
        <f>IF(U469=1,COUNTIF($U$2:U469,1),"")</f>
        <v/>
      </c>
      <c r="X469" s="29" t="str">
        <f t="shared" si="31"/>
        <v/>
      </c>
      <c r="Y469" s="29">
        <f>IF(AND(LEFT($B469,7)="SBA 26/",$D469&lt;&gt;"",$F469&lt;&gt;""),COUNTIFS($D$2:$D469,$D469,$B$2:$B469,"SBA 26/*",$F$2:$F469,"&lt;&gt;"),"")</f>
        <v>77</v>
      </c>
      <c r="Z469" s="29" t="str">
        <f>IF(Y469=1,COUNTIF($Y$2:Y469,1),"")</f>
        <v/>
      </c>
      <c r="AA469" s="29">
        <f>IF(AND(LEFT($B469,7)="SBA 26/",$C469&lt;&gt;"",$F469&lt;&gt;""),COUNTIFS($C$2:$C469,$C469,$B$2:$B469,"SBA 26/*",$F$2:$F469,"&lt;&gt;"),"")</f>
        <v>5</v>
      </c>
      <c r="AB469" s="29" t="str">
        <f>IF(AA469=1,COUNTIF($AA$2:AA469,1),"")</f>
        <v/>
      </c>
    </row>
    <row r="470" spans="1:28" ht="47.25" customHeight="1" x14ac:dyDescent="0.2">
      <c r="A470" s="43" t="s">
        <v>2252</v>
      </c>
      <c r="B470" s="43" t="s">
        <v>2253</v>
      </c>
      <c r="C470" s="44" t="s">
        <v>112</v>
      </c>
      <c r="D470" s="44" t="s">
        <v>113</v>
      </c>
      <c r="E470" s="45" t="s">
        <v>2254</v>
      </c>
      <c r="F470" s="45" t="s">
        <v>2255</v>
      </c>
      <c r="G470" s="46" t="s">
        <v>38</v>
      </c>
      <c r="H470" s="48">
        <v>46154</v>
      </c>
      <c r="I470" s="48">
        <v>46175</v>
      </c>
      <c r="J470" s="44" t="s">
        <v>75</v>
      </c>
      <c r="K470" s="44" t="s">
        <v>108</v>
      </c>
      <c r="L470" s="50" t="s">
        <v>172</v>
      </c>
      <c r="M470" s="50" t="s">
        <v>77</v>
      </c>
      <c r="N470" s="50"/>
      <c r="O470" s="49"/>
      <c r="P470" s="50" t="str">
        <f t="shared" si="28"/>
        <v>ONAY</v>
      </c>
      <c r="R470" s="51" t="str">
        <f t="shared" si="29"/>
        <v/>
      </c>
      <c r="T470" s="41"/>
      <c r="U470" s="29">
        <f>IF($C470&lt;&gt;"",COUNTIF($C$2:C470,C470),"")</f>
        <v>14</v>
      </c>
      <c r="V470" s="29" t="str">
        <f t="shared" si="30"/>
        <v>Prof. Dr. Meltem Gülhan HALİL§14</v>
      </c>
      <c r="W470" s="29" t="str">
        <f>IF(U470=1,COUNTIF($U$2:U470,1),"")</f>
        <v/>
      </c>
      <c r="X470" s="29" t="str">
        <f t="shared" si="31"/>
        <v/>
      </c>
      <c r="Y470" s="29">
        <f>IF(AND(LEFT($B470,7)="SBA 26/",$D470&lt;&gt;"",$F470&lt;&gt;""),COUNTIFS($D$2:$D470,$D470,$B$2:$B470,"SBA 26/*",$F$2:$F470,"&lt;&gt;"),"")</f>
        <v>78</v>
      </c>
      <c r="Z470" s="29" t="str">
        <f>IF(Y470=1,COUNTIF($Y$2:Y470,1),"")</f>
        <v/>
      </c>
      <c r="AA470" s="29">
        <f>IF(AND(LEFT($B470,7)="SBA 26/",$C470&lt;&gt;"",$F470&lt;&gt;""),COUNTIFS($C$2:$C470,$C470,$B$2:$B470,"SBA 26/*",$F$2:$F470,"&lt;&gt;"),"")</f>
        <v>14</v>
      </c>
      <c r="AB470" s="29" t="str">
        <f>IF(AA470=1,COUNTIF($AA$2:AA470,1),"")</f>
        <v/>
      </c>
    </row>
    <row r="471" spans="1:28" ht="63" customHeight="1" x14ac:dyDescent="0.2">
      <c r="A471" s="43" t="s">
        <v>2256</v>
      </c>
      <c r="B471" s="43" t="s">
        <v>2257</v>
      </c>
      <c r="C471" s="44" t="s">
        <v>2258</v>
      </c>
      <c r="D471" s="44" t="s">
        <v>181</v>
      </c>
      <c r="E471" s="45" t="s">
        <v>2259</v>
      </c>
      <c r="F471" s="45" t="s">
        <v>2260</v>
      </c>
      <c r="G471" s="46" t="s">
        <v>39</v>
      </c>
      <c r="H471" s="48">
        <v>46154</v>
      </c>
      <c r="I471" s="48">
        <v>46175</v>
      </c>
      <c r="J471" s="44" t="s">
        <v>109</v>
      </c>
      <c r="K471" s="44" t="s">
        <v>123</v>
      </c>
      <c r="L471" s="50" t="s">
        <v>77</v>
      </c>
      <c r="M471" s="50"/>
      <c r="N471" s="50"/>
      <c r="O471" s="49"/>
      <c r="P471" s="50" t="str">
        <f t="shared" si="28"/>
        <v>ONAY</v>
      </c>
      <c r="R471" s="51" t="str">
        <f t="shared" si="29"/>
        <v/>
      </c>
      <c r="T471" s="41"/>
      <c r="U471" s="29">
        <f>IF($C471&lt;&gt;"",COUNTIF($C$2:C471,C471),"")</f>
        <v>1</v>
      </c>
      <c r="V471" s="29" t="str">
        <f t="shared" si="30"/>
        <v>Prof. Dr. Filiz ÜZÜMCÜGİL§1</v>
      </c>
      <c r="W471" s="29">
        <f>IF(U471=1,COUNTIF($U$2:U471,1),"")</f>
        <v>256</v>
      </c>
      <c r="X471" s="29">
        <f t="shared" si="31"/>
        <v>226</v>
      </c>
      <c r="Y471" s="29">
        <f>IF(AND(LEFT($B471,7)="SBA 26/",$D471&lt;&gt;"",$F471&lt;&gt;""),COUNTIFS($D$2:$D471,$D471,$B$2:$B471,"SBA 26/*",$F$2:$F471,"&lt;&gt;"),"")</f>
        <v>6</v>
      </c>
      <c r="Z471" s="29" t="str">
        <f>IF(Y471=1,COUNTIF($Y$2:Y471,1),"")</f>
        <v/>
      </c>
      <c r="AA471" s="29">
        <f>IF(AND(LEFT($B471,7)="SBA 26/",$C471&lt;&gt;"",$F471&lt;&gt;""),COUNTIFS($C$2:$C471,$C471,$B$2:$B471,"SBA 26/*",$F$2:$F471,"&lt;&gt;"),"")</f>
        <v>1</v>
      </c>
      <c r="AB471" s="29">
        <f>IF(AA471=1,COUNTIF($AA$2:AA471,1),"")</f>
        <v>256</v>
      </c>
    </row>
    <row r="472" spans="1:28" ht="63" customHeight="1" x14ac:dyDescent="0.2">
      <c r="A472" s="43" t="s">
        <v>2261</v>
      </c>
      <c r="B472" s="43" t="s">
        <v>2262</v>
      </c>
      <c r="C472" s="44" t="s">
        <v>2263</v>
      </c>
      <c r="D472" s="44" t="s">
        <v>391</v>
      </c>
      <c r="E472" s="45" t="s">
        <v>2264</v>
      </c>
      <c r="F472" s="45" t="s">
        <v>2265</v>
      </c>
      <c r="G472" s="46" t="s">
        <v>38</v>
      </c>
      <c r="H472" s="48">
        <v>46154</v>
      </c>
      <c r="I472" s="48">
        <v>46175</v>
      </c>
      <c r="J472" s="44" t="s">
        <v>100</v>
      </c>
      <c r="K472" s="44" t="s">
        <v>84</v>
      </c>
      <c r="L472" s="50" t="s">
        <v>77</v>
      </c>
      <c r="M472" s="50"/>
      <c r="N472" s="50"/>
      <c r="O472" s="49"/>
      <c r="P472" s="50" t="str">
        <f t="shared" si="28"/>
        <v>ONAY</v>
      </c>
      <c r="R472" s="51" t="str">
        <f t="shared" si="29"/>
        <v/>
      </c>
      <c r="T472" s="41"/>
      <c r="U472" s="29">
        <f>IF($C472&lt;&gt;"",COUNTIF($C$2:C472,C472),"")</f>
        <v>1</v>
      </c>
      <c r="V472" s="29" t="str">
        <f t="shared" si="30"/>
        <v>Prof. Dr. Ömür ÇAĞLAR§1</v>
      </c>
      <c r="W472" s="29">
        <f>IF(U472=1,COUNTIF($U$2:U472,1),"")</f>
        <v>257</v>
      </c>
      <c r="X472" s="29">
        <f t="shared" si="31"/>
        <v>287</v>
      </c>
      <c r="Y472" s="29">
        <f>IF(AND(LEFT($B472,7)="SBA 26/",$D472&lt;&gt;"",$F472&lt;&gt;""),COUNTIFS($D$2:$D472,$D472,$B$2:$B472,"SBA 26/*",$F$2:$F472,"&lt;&gt;"),"")</f>
        <v>15</v>
      </c>
      <c r="Z472" s="29" t="str">
        <f>IF(Y472=1,COUNTIF($Y$2:Y472,1),"")</f>
        <v/>
      </c>
      <c r="AA472" s="29">
        <f>IF(AND(LEFT($B472,7)="SBA 26/",$C472&lt;&gt;"",$F472&lt;&gt;""),COUNTIFS($C$2:$C472,$C472,$B$2:$B472,"SBA 26/*",$F$2:$F472,"&lt;&gt;"),"")</f>
        <v>1</v>
      </c>
      <c r="AB472" s="29">
        <f>IF(AA472=1,COUNTIF($AA$2:AA472,1),"")</f>
        <v>257</v>
      </c>
    </row>
    <row r="473" spans="1:28" ht="63" customHeight="1" x14ac:dyDescent="0.2">
      <c r="A473" s="43" t="s">
        <v>2266</v>
      </c>
      <c r="B473" s="43" t="s">
        <v>2267</v>
      </c>
      <c r="C473" s="44" t="s">
        <v>2268</v>
      </c>
      <c r="D473" s="44" t="s">
        <v>2269</v>
      </c>
      <c r="E473" s="45" t="s">
        <v>2270</v>
      </c>
      <c r="F473" s="45" t="s">
        <v>2271</v>
      </c>
      <c r="G473" s="46" t="s">
        <v>41</v>
      </c>
      <c r="H473" s="48">
        <v>46154</v>
      </c>
      <c r="I473" s="48">
        <v>46175</v>
      </c>
      <c r="J473" s="44" t="s">
        <v>99</v>
      </c>
      <c r="K473" s="44" t="s">
        <v>100</v>
      </c>
      <c r="L473" s="50" t="s">
        <v>77</v>
      </c>
      <c r="M473" s="50"/>
      <c r="N473" s="50"/>
      <c r="O473" s="49"/>
      <c r="P473" s="50" t="str">
        <f t="shared" si="28"/>
        <v>ONAY</v>
      </c>
      <c r="R473" s="51" t="str">
        <f t="shared" si="29"/>
        <v/>
      </c>
      <c r="T473" s="41"/>
      <c r="U473" s="29">
        <f>IF($C473&lt;&gt;"",COUNTIF($C$2:C473,C473),"")</f>
        <v>1</v>
      </c>
      <c r="V473" s="29" t="str">
        <f t="shared" si="30"/>
        <v>Doç. Dr. Songül ÇINAROĞLU§1</v>
      </c>
      <c r="W473" s="29">
        <f>IF(U473=1,COUNTIF($U$2:U473,1),"")</f>
        <v>258</v>
      </c>
      <c r="X473" s="29">
        <f t="shared" si="31"/>
        <v>96</v>
      </c>
      <c r="Y473" s="29">
        <f>IF(AND(LEFT($B473,7)="SBA 26/",$D473&lt;&gt;"",$F473&lt;&gt;""),COUNTIFS($D$2:$D473,$D473,$B$2:$B473,"SBA 26/*",$F$2:$F473,"&lt;&gt;"),"")</f>
        <v>1</v>
      </c>
      <c r="Z473" s="29">
        <f>IF(Y473=1,COUNTIF($Y$2:Y473,1),"")</f>
        <v>70</v>
      </c>
      <c r="AA473" s="29">
        <f>IF(AND(LEFT($B473,7)="SBA 26/",$C473&lt;&gt;"",$F473&lt;&gt;""),COUNTIFS($C$2:$C473,$C473,$B$2:$B473,"SBA 26/*",$F$2:$F473,"&lt;&gt;"),"")</f>
        <v>1</v>
      </c>
      <c r="AB473" s="29">
        <f>IF(AA473=1,COUNTIF($AA$2:AA473,1),"")</f>
        <v>258</v>
      </c>
    </row>
    <row r="474" spans="1:28" ht="78.75" customHeight="1" x14ac:dyDescent="0.2">
      <c r="A474" s="43" t="s">
        <v>2272</v>
      </c>
      <c r="B474" s="43" t="s">
        <v>2273</v>
      </c>
      <c r="C474" s="44" t="s">
        <v>2274</v>
      </c>
      <c r="D474" s="44" t="s">
        <v>181</v>
      </c>
      <c r="E474" s="45" t="s">
        <v>2275</v>
      </c>
      <c r="F474" s="45" t="s">
        <v>2276</v>
      </c>
      <c r="G474" s="46" t="s">
        <v>38</v>
      </c>
      <c r="H474" s="48">
        <v>46154</v>
      </c>
      <c r="I474" s="48">
        <v>46175</v>
      </c>
      <c r="J474" s="44" t="s">
        <v>92</v>
      </c>
      <c r="K474" s="44" t="s">
        <v>116</v>
      </c>
      <c r="L474" s="50" t="s">
        <v>101</v>
      </c>
      <c r="M474" s="50"/>
      <c r="N474" s="50"/>
      <c r="O474" s="49"/>
      <c r="P474" s="50" t="str">
        <f t="shared" si="28"/>
        <v>DÜZELTME</v>
      </c>
      <c r="R474" s="51" t="str">
        <f t="shared" si="29"/>
        <v/>
      </c>
      <c r="T474" s="41"/>
      <c r="U474" s="29">
        <f>IF($C474&lt;&gt;"",COUNTIF($C$2:C474,C474),"")</f>
        <v>1</v>
      </c>
      <c r="V474" s="29" t="str">
        <f t="shared" si="30"/>
        <v>Dr. Öğr. Üyesi Sehend DEBBAĞ§1</v>
      </c>
      <c r="W474" s="29">
        <f>IF(U474=1,COUNTIF($U$2:U474,1),"")</f>
        <v>259</v>
      </c>
      <c r="X474" s="29">
        <f t="shared" si="31"/>
        <v>156</v>
      </c>
      <c r="Y474" s="29">
        <f>IF(AND(LEFT($B474,7)="SBA 26/",$D474&lt;&gt;"",$F474&lt;&gt;""),COUNTIFS($D$2:$D474,$D474,$B$2:$B474,"SBA 26/*",$F$2:$F474,"&lt;&gt;"),"")</f>
        <v>7</v>
      </c>
      <c r="Z474" s="29" t="str">
        <f>IF(Y474=1,COUNTIF($Y$2:Y474,1),"")</f>
        <v/>
      </c>
      <c r="AA474" s="29">
        <f>IF(AND(LEFT($B474,7)="SBA 26/",$C474&lt;&gt;"",$F474&lt;&gt;""),COUNTIFS($C$2:$C474,$C474,$B$2:$B474,"SBA 26/*",$F$2:$F474,"&lt;&gt;"),"")</f>
        <v>1</v>
      </c>
      <c r="AB474" s="29">
        <f>IF(AA474=1,COUNTIF($AA$2:AA474,1),"")</f>
        <v>259</v>
      </c>
    </row>
    <row r="475" spans="1:28" ht="110.25" customHeight="1" x14ac:dyDescent="0.2">
      <c r="A475" s="43" t="s">
        <v>2277</v>
      </c>
      <c r="B475" s="43" t="s">
        <v>2278</v>
      </c>
      <c r="C475" s="44" t="s">
        <v>2279</v>
      </c>
      <c r="D475" s="44" t="s">
        <v>539</v>
      </c>
      <c r="E475" s="45" t="s">
        <v>2280</v>
      </c>
      <c r="F475" s="45" t="s">
        <v>2281</v>
      </c>
      <c r="G475" s="46" t="s">
        <v>39</v>
      </c>
      <c r="H475" s="48">
        <v>46154</v>
      </c>
      <c r="I475" s="48">
        <v>46175</v>
      </c>
      <c r="J475" s="44" t="s">
        <v>123</v>
      </c>
      <c r="K475" s="44" t="s">
        <v>84</v>
      </c>
      <c r="L475" s="50" t="s">
        <v>101</v>
      </c>
      <c r="M475" s="50" t="s">
        <v>77</v>
      </c>
      <c r="N475" s="50"/>
      <c r="O475" s="49"/>
      <c r="P475" s="50" t="str">
        <f t="shared" si="28"/>
        <v>ONAY</v>
      </c>
      <c r="Q475" s="28" t="s">
        <v>1281</v>
      </c>
      <c r="R475" s="51" t="str">
        <f t="shared" si="29"/>
        <v/>
      </c>
      <c r="T475" s="41"/>
      <c r="U475" s="29">
        <f>IF($C475&lt;&gt;"",COUNTIF($C$2:C475,C475),"")</f>
        <v>1</v>
      </c>
      <c r="V475" s="29" t="str">
        <f t="shared" si="30"/>
        <v>Dr. Öğr. Üyesi Yağmur Deniz YILDIRIM§1</v>
      </c>
      <c r="W475" s="29">
        <f>IF(U475=1,COUNTIF($U$2:U475,1),"")</f>
        <v>260</v>
      </c>
      <c r="X475" s="29">
        <f t="shared" si="31"/>
        <v>163</v>
      </c>
      <c r="Y475" s="29">
        <f>IF(AND(LEFT($B475,7)="SBA 26/",$D475&lt;&gt;"",$F475&lt;&gt;""),COUNTIFS($D$2:$D475,$D475,$B$2:$B475,"SBA 26/*",$F$2:$F475,"&lt;&gt;"),"")</f>
        <v>6</v>
      </c>
      <c r="Z475" s="29" t="str">
        <f>IF(Y475=1,COUNTIF($Y$2:Y475,1),"")</f>
        <v/>
      </c>
      <c r="AA475" s="29">
        <f>IF(AND(LEFT($B475,7)="SBA 26/",$C475&lt;&gt;"",$F475&lt;&gt;""),COUNTIFS($C$2:$C475,$C475,$B$2:$B475,"SBA 26/*",$F$2:$F475,"&lt;&gt;"),"")</f>
        <v>1</v>
      </c>
      <c r="AB475" s="29">
        <f>IF(AA475=1,COUNTIF($AA$2:AA475,1),"")</f>
        <v>260</v>
      </c>
    </row>
    <row r="476" spans="1:28" ht="63" customHeight="1" x14ac:dyDescent="0.2">
      <c r="A476" s="43" t="s">
        <v>2282</v>
      </c>
      <c r="B476" s="43" t="s">
        <v>2283</v>
      </c>
      <c r="C476" s="44" t="s">
        <v>2284</v>
      </c>
      <c r="D476" s="44" t="s">
        <v>391</v>
      </c>
      <c r="E476" s="45" t="s">
        <v>2285</v>
      </c>
      <c r="F476" s="45" t="s">
        <v>2286</v>
      </c>
      <c r="G476" s="46" t="s">
        <v>38</v>
      </c>
      <c r="H476" s="48">
        <v>46154</v>
      </c>
      <c r="I476" s="48">
        <v>46175</v>
      </c>
      <c r="J476" s="44" t="s">
        <v>92</v>
      </c>
      <c r="K476" s="44" t="s">
        <v>99</v>
      </c>
      <c r="L476" s="50" t="s">
        <v>101</v>
      </c>
      <c r="M476" s="50" t="s">
        <v>77</v>
      </c>
      <c r="N476" s="50"/>
      <c r="O476" s="49"/>
      <c r="P476" s="50" t="str">
        <f t="shared" si="28"/>
        <v>ONAY</v>
      </c>
      <c r="Q476" s="28" t="s">
        <v>92</v>
      </c>
      <c r="R476" s="51" t="str">
        <f t="shared" si="29"/>
        <v/>
      </c>
      <c r="T476" s="41"/>
      <c r="U476" s="29">
        <f>IF($C476&lt;&gt;"",COUNTIF($C$2:C476,C476),"")</f>
        <v>1</v>
      </c>
      <c r="V476" s="29" t="str">
        <f t="shared" si="30"/>
        <v>Prof. Dr. Bülent ATİLLA§1</v>
      </c>
      <c r="W476" s="29">
        <f>IF(U476=1,COUNTIF($U$2:U476,1),"")</f>
        <v>261</v>
      </c>
      <c r="X476" s="29">
        <f t="shared" si="31"/>
        <v>203</v>
      </c>
      <c r="Y476" s="29">
        <f>IF(AND(LEFT($B476,7)="SBA 26/",$D476&lt;&gt;"",$F476&lt;&gt;""),COUNTIFS($D$2:$D476,$D476,$B$2:$B476,"SBA 26/*",$F$2:$F476,"&lt;&gt;"),"")</f>
        <v>16</v>
      </c>
      <c r="Z476" s="29" t="str">
        <f>IF(Y476=1,COUNTIF($Y$2:Y476,1),"")</f>
        <v/>
      </c>
      <c r="AA476" s="29">
        <f>IF(AND(LEFT($B476,7)="SBA 26/",$C476&lt;&gt;"",$F476&lt;&gt;""),COUNTIFS($C$2:$C476,$C476,$B$2:$B476,"SBA 26/*",$F$2:$F476,"&lt;&gt;"),"")</f>
        <v>1</v>
      </c>
      <c r="AB476" s="29">
        <f>IF(AA476=1,COUNTIF($AA$2:AA476,1),"")</f>
        <v>261</v>
      </c>
    </row>
    <row r="477" spans="1:28" ht="47.25" customHeight="1" x14ac:dyDescent="0.2">
      <c r="A477" s="43" t="s">
        <v>2287</v>
      </c>
      <c r="B477" s="43" t="s">
        <v>2288</v>
      </c>
      <c r="C477" s="44" t="s">
        <v>2202</v>
      </c>
      <c r="D477" s="44" t="s">
        <v>234</v>
      </c>
      <c r="E477" s="45" t="s">
        <v>2203</v>
      </c>
      <c r="F477" s="45" t="s">
        <v>2289</v>
      </c>
      <c r="G477" s="46" t="s">
        <v>38</v>
      </c>
      <c r="H477" s="48">
        <v>46154</v>
      </c>
      <c r="I477" s="48">
        <v>46175</v>
      </c>
      <c r="J477" s="44" t="s">
        <v>100</v>
      </c>
      <c r="K477" s="44" t="s">
        <v>129</v>
      </c>
      <c r="L477" s="50" t="s">
        <v>77</v>
      </c>
      <c r="M477" s="50"/>
      <c r="N477" s="50"/>
      <c r="O477" s="49"/>
      <c r="P477" s="50" t="str">
        <f t="shared" si="28"/>
        <v>ONAY</v>
      </c>
      <c r="R477" s="51" t="str">
        <f t="shared" si="29"/>
        <v/>
      </c>
      <c r="T477" s="41"/>
      <c r="U477" s="29">
        <f>IF($C477&lt;&gt;"",COUNTIF($C$2:C477,C477),"")</f>
        <v>2</v>
      </c>
      <c r="V477" s="29" t="str">
        <f t="shared" si="30"/>
        <v>Doç. Dr. Ahmet KIVRAK§2</v>
      </c>
      <c r="W477" s="29" t="str">
        <f>IF(U477=1,COUNTIF($U$2:U477,1),"")</f>
        <v/>
      </c>
      <c r="X477" s="29" t="str">
        <f t="shared" si="31"/>
        <v/>
      </c>
      <c r="Y477" s="29">
        <f>IF(AND(LEFT($B477,7)="SBA 26/",$D477&lt;&gt;"",$F477&lt;&gt;""),COUNTIFS($D$2:$D477,$D477,$B$2:$B477,"SBA 26/*",$F$2:$F477,"&lt;&gt;"),"")</f>
        <v>9</v>
      </c>
      <c r="Z477" s="29" t="str">
        <f>IF(Y477=1,COUNTIF($Y$2:Y477,1),"")</f>
        <v/>
      </c>
      <c r="AA477" s="29">
        <f>IF(AND(LEFT($B477,7)="SBA 26/",$C477&lt;&gt;"",$F477&lt;&gt;""),COUNTIFS($C$2:$C477,$C477,$B$2:$B477,"SBA 26/*",$F$2:$F477,"&lt;&gt;"),"")</f>
        <v>2</v>
      </c>
      <c r="AB477" s="29" t="str">
        <f>IF(AA477=1,COUNTIF($AA$2:AA477,1),"")</f>
        <v/>
      </c>
    </row>
    <row r="478" spans="1:28" ht="110.25" customHeight="1" x14ac:dyDescent="0.2">
      <c r="A478" s="43" t="s">
        <v>2290</v>
      </c>
      <c r="B478" s="43" t="s">
        <v>2291</v>
      </c>
      <c r="C478" s="44" t="s">
        <v>1503</v>
      </c>
      <c r="D478" s="44" t="s">
        <v>222</v>
      </c>
      <c r="E478" s="45" t="s">
        <v>2292</v>
      </c>
      <c r="F478" s="45" t="s">
        <v>2293</v>
      </c>
      <c r="G478" s="46" t="s">
        <v>38</v>
      </c>
      <c r="H478" s="48">
        <v>46154</v>
      </c>
      <c r="I478" s="48">
        <v>46175</v>
      </c>
      <c r="J478" s="44" t="s">
        <v>108</v>
      </c>
      <c r="K478" s="44" t="s">
        <v>116</v>
      </c>
      <c r="L478" s="50" t="s">
        <v>101</v>
      </c>
      <c r="M478" s="50" t="s">
        <v>77</v>
      </c>
      <c r="N478" s="50"/>
      <c r="O478" s="49"/>
      <c r="P478" s="50" t="str">
        <f t="shared" si="28"/>
        <v>ONAY</v>
      </c>
      <c r="Q478" s="28" t="s">
        <v>108</v>
      </c>
      <c r="R478" s="51" t="str">
        <f t="shared" si="29"/>
        <v/>
      </c>
      <c r="T478" s="41"/>
      <c r="U478" s="29">
        <f>IF($C478&lt;&gt;"",COUNTIF($C$2:C478,C478),"")</f>
        <v>2</v>
      </c>
      <c r="V478" s="29" t="str">
        <f t="shared" si="30"/>
        <v>Prof. Dr. Sinem AKGÜL§2</v>
      </c>
      <c r="W478" s="29" t="str">
        <f>IF(U478=1,COUNTIF($U$2:U478,1),"")</f>
        <v/>
      </c>
      <c r="X478" s="29" t="str">
        <f t="shared" si="31"/>
        <v/>
      </c>
      <c r="Y478" s="29">
        <f>IF(AND(LEFT($B478,7)="SBA 26/",$D478&lt;&gt;"",$F478&lt;&gt;""),COUNTIFS($D$2:$D478,$D478,$B$2:$B478,"SBA 26/*",$F$2:$F478,"&lt;&gt;"),"")</f>
        <v>70</v>
      </c>
      <c r="Z478" s="29" t="str">
        <f>IF(Y478=1,COUNTIF($Y$2:Y478,1),"")</f>
        <v/>
      </c>
      <c r="AA478" s="29">
        <f>IF(AND(LEFT($B478,7)="SBA 26/",$C478&lt;&gt;"",$F478&lt;&gt;""),COUNTIFS($C$2:$C478,$C478,$B$2:$B478,"SBA 26/*",$F$2:$F478,"&lt;&gt;"),"")</f>
        <v>2</v>
      </c>
      <c r="AB478" s="29" t="str">
        <f>IF(AA478=1,COUNTIF($AA$2:AA478,1),"")</f>
        <v/>
      </c>
    </row>
    <row r="479" spans="1:28" ht="63" customHeight="1" x14ac:dyDescent="0.2">
      <c r="A479" s="43" t="s">
        <v>2294</v>
      </c>
      <c r="B479" s="43" t="s">
        <v>2295</v>
      </c>
      <c r="C479" s="44" t="s">
        <v>2296</v>
      </c>
      <c r="D479" s="44" t="s">
        <v>222</v>
      </c>
      <c r="E479" s="45" t="s">
        <v>2297</v>
      </c>
      <c r="F479" s="45" t="s">
        <v>2298</v>
      </c>
      <c r="G479" s="46" t="s">
        <v>38</v>
      </c>
      <c r="H479" s="48">
        <v>46154</v>
      </c>
      <c r="I479" s="48">
        <v>46175</v>
      </c>
      <c r="J479" s="44" t="s">
        <v>109</v>
      </c>
      <c r="K479" s="44" t="s">
        <v>100</v>
      </c>
      <c r="L479" s="50" t="s">
        <v>77</v>
      </c>
      <c r="M479" s="50"/>
      <c r="N479" s="50"/>
      <c r="O479" s="49"/>
      <c r="P479" s="50" t="str">
        <f t="shared" si="28"/>
        <v>ONAY</v>
      </c>
      <c r="R479" s="51" t="str">
        <f t="shared" si="29"/>
        <v/>
      </c>
      <c r="T479" s="41"/>
      <c r="U479" s="29">
        <f>IF($C479&lt;&gt;"",COUNTIF($C$2:C479,C479),"")</f>
        <v>1</v>
      </c>
      <c r="V479" s="29" t="str">
        <f t="shared" si="30"/>
        <v>Dr. Öğr. Üyesi Nur Berna ÇELİK ERTAŞ§1</v>
      </c>
      <c r="W479" s="29">
        <f>IF(U479=1,COUNTIF($U$2:U479,1),"")</f>
        <v>262</v>
      </c>
      <c r="X479" s="29">
        <f t="shared" si="31"/>
        <v>150</v>
      </c>
      <c r="Y479" s="29">
        <f>IF(AND(LEFT($B479,7)="SBA 26/",$D479&lt;&gt;"",$F479&lt;&gt;""),COUNTIFS($D$2:$D479,$D479,$B$2:$B479,"SBA 26/*",$F$2:$F479,"&lt;&gt;"),"")</f>
        <v>71</v>
      </c>
      <c r="Z479" s="29" t="str">
        <f>IF(Y479=1,COUNTIF($Y$2:Y479,1),"")</f>
        <v/>
      </c>
      <c r="AA479" s="29">
        <f>IF(AND(LEFT($B479,7)="SBA 26/",$C479&lt;&gt;"",$F479&lt;&gt;""),COUNTIFS($C$2:$C479,$C479,$B$2:$B479,"SBA 26/*",$F$2:$F479,"&lt;&gt;"),"")</f>
        <v>1</v>
      </c>
      <c r="AB479" s="29">
        <f>IF(AA479=1,COUNTIF($AA$2:AA479,1),"")</f>
        <v>262</v>
      </c>
    </row>
    <row r="480" spans="1:28" ht="78.75" customHeight="1" x14ac:dyDescent="0.2">
      <c r="A480" s="43" t="s">
        <v>2299</v>
      </c>
      <c r="B480" s="43" t="s">
        <v>2300</v>
      </c>
      <c r="C480" s="44" t="s">
        <v>744</v>
      </c>
      <c r="D480" s="44" t="s">
        <v>291</v>
      </c>
      <c r="E480" s="45" t="s">
        <v>2301</v>
      </c>
      <c r="F480" s="45" t="s">
        <v>2302</v>
      </c>
      <c r="G480" s="46" t="s">
        <v>38</v>
      </c>
      <c r="H480" s="48">
        <v>46154</v>
      </c>
      <c r="I480" s="48">
        <v>46175</v>
      </c>
      <c r="J480" s="44" t="s">
        <v>123</v>
      </c>
      <c r="K480" s="44" t="s">
        <v>75</v>
      </c>
      <c r="L480" s="50" t="s">
        <v>172</v>
      </c>
      <c r="M480" s="50"/>
      <c r="N480" s="50"/>
      <c r="O480" s="49"/>
      <c r="P480" s="50" t="str">
        <f t="shared" si="28"/>
        <v>RET</v>
      </c>
      <c r="R480" s="51" t="str">
        <f t="shared" si="29"/>
        <v/>
      </c>
      <c r="T480" s="41"/>
      <c r="U480" s="29">
        <f>IF($C480&lt;&gt;"",COUNTIF($C$2:C480,C480),"")</f>
        <v>2</v>
      </c>
      <c r="V480" s="29" t="str">
        <f t="shared" si="30"/>
        <v>Prof. Dr. Serdar ÖZER§2</v>
      </c>
      <c r="W480" s="29" t="str">
        <f>IF(U480=1,COUNTIF($U$2:U480,1),"")</f>
        <v/>
      </c>
      <c r="X480" s="29" t="str">
        <f t="shared" si="31"/>
        <v/>
      </c>
      <c r="Y480" s="29">
        <f>IF(AND(LEFT($B480,7)="SBA 26/",$D480&lt;&gt;"",$F480&lt;&gt;""),COUNTIFS($D$2:$D480,$D480,$B$2:$B480,"SBA 26/*",$F$2:$F480,"&lt;&gt;"),"")</f>
        <v>9</v>
      </c>
      <c r="Z480" s="29" t="str">
        <f>IF(Y480=1,COUNTIF($Y$2:Y480,1),"")</f>
        <v/>
      </c>
      <c r="AA480" s="29">
        <f>IF(AND(LEFT($B480,7)="SBA 26/",$C480&lt;&gt;"",$F480&lt;&gt;""),COUNTIFS($C$2:$C480,$C480,$B$2:$B480,"SBA 26/*",$F$2:$F480,"&lt;&gt;"),"")</f>
        <v>2</v>
      </c>
      <c r="AB480" s="29" t="str">
        <f>IF(AA480=1,COUNTIF($AA$2:AA480,1),"")</f>
        <v/>
      </c>
    </row>
    <row r="481" spans="1:28" ht="81" customHeight="1" x14ac:dyDescent="0.2">
      <c r="A481" s="43" t="s">
        <v>2303</v>
      </c>
      <c r="B481" s="43" t="s">
        <v>2304</v>
      </c>
      <c r="C481" s="44" t="s">
        <v>1664</v>
      </c>
      <c r="D481" s="44" t="s">
        <v>1665</v>
      </c>
      <c r="E481" s="45" t="s">
        <v>2305</v>
      </c>
      <c r="F481" s="45" t="s">
        <v>2306</v>
      </c>
      <c r="G481" s="46" t="s">
        <v>38</v>
      </c>
      <c r="H481" s="48">
        <v>46154</v>
      </c>
      <c r="I481" s="48">
        <v>46175</v>
      </c>
      <c r="J481" s="44" t="s">
        <v>75</v>
      </c>
      <c r="K481" s="44" t="s">
        <v>129</v>
      </c>
      <c r="L481" s="50" t="s">
        <v>101</v>
      </c>
      <c r="M481" s="50" t="s">
        <v>77</v>
      </c>
      <c r="N481" s="50"/>
      <c r="O481" s="49"/>
      <c r="P481" s="50" t="str">
        <f t="shared" si="28"/>
        <v>ONAY</v>
      </c>
      <c r="Q481" s="28" t="s">
        <v>75</v>
      </c>
      <c r="R481" s="51" t="str">
        <f t="shared" si="29"/>
        <v/>
      </c>
      <c r="T481" s="41"/>
      <c r="U481" s="29">
        <f>IF($C481&lt;&gt;"",COUNTIF($C$2:C481,C481),"")</f>
        <v>2</v>
      </c>
      <c r="V481" s="29" t="str">
        <f t="shared" si="30"/>
        <v>Doç. Dr. Oytun PORTAKAL AKÇİN§2</v>
      </c>
      <c r="W481" s="29" t="str">
        <f>IF(U481=1,COUNTIF($U$2:U481,1),"")</f>
        <v/>
      </c>
      <c r="X481" s="29" t="str">
        <f t="shared" si="31"/>
        <v/>
      </c>
      <c r="Y481" s="29">
        <f>IF(AND(LEFT($B481,7)="SBA 26/",$D481&lt;&gt;"",$F481&lt;&gt;""),COUNTIFS($D$2:$D481,$D481,$B$2:$B481,"SBA 26/*",$F$2:$F481,"&lt;&gt;"),"")</f>
        <v>3</v>
      </c>
      <c r="Z481" s="29" t="str">
        <f>IF(Y481=1,COUNTIF($Y$2:Y481,1),"")</f>
        <v/>
      </c>
      <c r="AA481" s="29">
        <f>IF(AND(LEFT($B481,7)="SBA 26/",$C481&lt;&gt;"",$F481&lt;&gt;""),COUNTIFS($C$2:$C481,$C481,$B$2:$B481,"SBA 26/*",$F$2:$F481,"&lt;&gt;"),"")</f>
        <v>2</v>
      </c>
      <c r="AB481" s="29" t="str">
        <f>IF(AA481=1,COUNTIF($AA$2:AA481,1),"")</f>
        <v/>
      </c>
    </row>
    <row r="482" spans="1:28" ht="110.25" customHeight="1" x14ac:dyDescent="0.2">
      <c r="A482" s="43" t="s">
        <v>2307</v>
      </c>
      <c r="B482" s="43" t="s">
        <v>2308</v>
      </c>
      <c r="C482" s="44" t="s">
        <v>2309</v>
      </c>
      <c r="D482" s="44" t="s">
        <v>169</v>
      </c>
      <c r="E482" s="45" t="s">
        <v>2310</v>
      </c>
      <c r="F482" s="45" t="s">
        <v>2311</v>
      </c>
      <c r="G482" s="46" t="s">
        <v>39</v>
      </c>
      <c r="H482" s="48">
        <v>46155</v>
      </c>
      <c r="I482" s="48">
        <v>46175</v>
      </c>
      <c r="J482" s="44" t="s">
        <v>99</v>
      </c>
      <c r="K482" s="44" t="s">
        <v>108</v>
      </c>
      <c r="L482" s="50" t="s">
        <v>77</v>
      </c>
      <c r="M482" s="50"/>
      <c r="N482" s="50"/>
      <c r="O482" s="49"/>
      <c r="P482" s="50" t="str">
        <f t="shared" si="28"/>
        <v>ONAY</v>
      </c>
      <c r="R482" s="51" t="str">
        <f t="shared" si="29"/>
        <v/>
      </c>
      <c r="T482" s="41"/>
      <c r="U482" s="29">
        <f>IF($C482&lt;&gt;"",COUNTIF($C$2:C482,C482),"")</f>
        <v>1</v>
      </c>
      <c r="V482" s="29" t="str">
        <f t="shared" si="30"/>
        <v>Dr. Öğr. Üyesi Aslı ALKAN§1</v>
      </c>
      <c r="W482" s="29">
        <f>IF(U482=1,COUNTIF($U$2:U482,1),"")</f>
        <v>263</v>
      </c>
      <c r="X482" s="29">
        <f t="shared" si="31"/>
        <v>112</v>
      </c>
      <c r="Y482" s="29">
        <f>IF(AND(LEFT($B482,7)="SBA 26/",$D482&lt;&gt;"",$F482&lt;&gt;""),COUNTIFS($D$2:$D482,$D482,$B$2:$B482,"SBA 26/*",$F$2:$F482,"&lt;&gt;"),"")</f>
        <v>15</v>
      </c>
      <c r="Z482" s="29" t="str">
        <f>IF(Y482=1,COUNTIF($Y$2:Y482,1),"")</f>
        <v/>
      </c>
      <c r="AA482" s="29">
        <f>IF(AND(LEFT($B482,7)="SBA 26/",$C482&lt;&gt;"",$F482&lt;&gt;""),COUNTIFS($C$2:$C482,$C482,$B$2:$B482,"SBA 26/*",$F$2:$F482,"&lt;&gt;"),"")</f>
        <v>1</v>
      </c>
      <c r="AB482" s="29">
        <f>IF(AA482=1,COUNTIF($AA$2:AA482,1),"")</f>
        <v>263</v>
      </c>
    </row>
    <row r="483" spans="1:28" ht="78.75" customHeight="1" x14ac:dyDescent="0.2">
      <c r="A483" s="43" t="s">
        <v>2312</v>
      </c>
      <c r="B483" s="43" t="s">
        <v>2313</v>
      </c>
      <c r="C483" s="44" t="s">
        <v>2314</v>
      </c>
      <c r="D483" s="44" t="s">
        <v>222</v>
      </c>
      <c r="E483" s="45" t="s">
        <v>2315</v>
      </c>
      <c r="F483" s="45" t="s">
        <v>2316</v>
      </c>
      <c r="G483" s="46" t="s">
        <v>39</v>
      </c>
      <c r="H483" s="48">
        <v>46155</v>
      </c>
      <c r="I483" s="48">
        <v>46175</v>
      </c>
      <c r="J483" s="44" t="s">
        <v>75</v>
      </c>
      <c r="K483" s="44" t="s">
        <v>84</v>
      </c>
      <c r="L483" s="50" t="s">
        <v>77</v>
      </c>
      <c r="M483" s="50"/>
      <c r="N483" s="50"/>
      <c r="O483" s="49"/>
      <c r="P483" s="50" t="str">
        <f t="shared" si="28"/>
        <v>ONAY</v>
      </c>
      <c r="R483" s="51" t="str">
        <f t="shared" si="29"/>
        <v/>
      </c>
      <c r="T483" s="41"/>
      <c r="U483" s="29">
        <f>IF($C483&lt;&gt;"",COUNTIF($C$2:C483,C483),"")</f>
        <v>1</v>
      </c>
      <c r="V483" s="29" t="str">
        <f t="shared" si="30"/>
        <v>Prof. Dr. Gülen Eda ÜTİNE§1</v>
      </c>
      <c r="W483" s="29">
        <f>IF(U483=1,COUNTIF($U$2:U483,1),"")</f>
        <v>264</v>
      </c>
      <c r="X483" s="29">
        <f t="shared" si="31"/>
        <v>232</v>
      </c>
      <c r="Y483" s="29">
        <f>IF(AND(LEFT($B483,7)="SBA 26/",$D483&lt;&gt;"",$F483&lt;&gt;""),COUNTIFS($D$2:$D483,$D483,$B$2:$B483,"SBA 26/*",$F$2:$F483,"&lt;&gt;"),"")</f>
        <v>72</v>
      </c>
      <c r="Z483" s="29" t="str">
        <f>IF(Y483=1,COUNTIF($Y$2:Y483,1),"")</f>
        <v/>
      </c>
      <c r="AA483" s="29">
        <f>IF(AND(LEFT($B483,7)="SBA 26/",$C483&lt;&gt;"",$F483&lt;&gt;""),COUNTIFS($C$2:$C483,$C483,$B$2:$B483,"SBA 26/*",$F$2:$F483,"&lt;&gt;"),"")</f>
        <v>1</v>
      </c>
      <c r="AB483" s="29">
        <f>IF(AA483=1,COUNTIF($AA$2:AA483,1),"")</f>
        <v>264</v>
      </c>
    </row>
    <row r="484" spans="1:28" ht="78.75" customHeight="1" x14ac:dyDescent="0.2">
      <c r="A484" s="43" t="s">
        <v>2317</v>
      </c>
      <c r="B484" s="43" t="s">
        <v>2318</v>
      </c>
      <c r="C484" s="44" t="s">
        <v>2319</v>
      </c>
      <c r="D484" s="44" t="s">
        <v>113</v>
      </c>
      <c r="E484" s="45" t="s">
        <v>2320</v>
      </c>
      <c r="F484" s="45" t="s">
        <v>2321</v>
      </c>
      <c r="G484" s="46" t="s">
        <v>39</v>
      </c>
      <c r="H484" s="48">
        <v>46155</v>
      </c>
      <c r="I484" s="48">
        <v>46175</v>
      </c>
      <c r="J484" s="44" t="s">
        <v>109</v>
      </c>
      <c r="K484" s="44" t="s">
        <v>129</v>
      </c>
      <c r="L484" s="50" t="s">
        <v>77</v>
      </c>
      <c r="M484" s="50"/>
      <c r="N484" s="50"/>
      <c r="O484" s="49"/>
      <c r="P484" s="50" t="str">
        <f t="shared" si="28"/>
        <v>ONAY</v>
      </c>
      <c r="R484" s="51" t="str">
        <f t="shared" si="29"/>
        <v/>
      </c>
      <c r="T484" s="41"/>
      <c r="U484" s="29">
        <f>IF($C484&lt;&gt;"",COUNTIF($C$2:C484,C484),"")</f>
        <v>1</v>
      </c>
      <c r="V484" s="29" t="str">
        <f t="shared" si="30"/>
        <v>Doç. Dr. Muhammed Bahaddin DURAK§1</v>
      </c>
      <c r="W484" s="29">
        <f>IF(U484=1,COUNTIF($U$2:U484,1),"")</f>
        <v>265</v>
      </c>
      <c r="X484" s="29">
        <f t="shared" si="31"/>
        <v>80</v>
      </c>
      <c r="Y484" s="29">
        <f>IF(AND(LEFT($B484,7)="SBA 26/",$D484&lt;&gt;"",$F484&lt;&gt;""),COUNTIFS($D$2:$D484,$D484,$B$2:$B484,"SBA 26/*",$F$2:$F484,"&lt;&gt;"),"")</f>
        <v>79</v>
      </c>
      <c r="Z484" s="29" t="str">
        <f>IF(Y484=1,COUNTIF($Y$2:Y484,1),"")</f>
        <v/>
      </c>
      <c r="AA484" s="29">
        <f>IF(AND(LEFT($B484,7)="SBA 26/",$C484&lt;&gt;"",$F484&lt;&gt;""),COUNTIFS($C$2:$C484,$C484,$B$2:$B484,"SBA 26/*",$F$2:$F484,"&lt;&gt;"),"")</f>
        <v>1</v>
      </c>
      <c r="AB484" s="29">
        <f>IF(AA484=1,COUNTIF($AA$2:AA484,1),"")</f>
        <v>265</v>
      </c>
    </row>
    <row r="485" spans="1:28" ht="63" customHeight="1" x14ac:dyDescent="0.2">
      <c r="A485" s="43" t="s">
        <v>2322</v>
      </c>
      <c r="B485" s="43" t="s">
        <v>2323</v>
      </c>
      <c r="C485" s="44" t="s">
        <v>1528</v>
      </c>
      <c r="D485" s="44" t="s">
        <v>234</v>
      </c>
      <c r="E485" s="45" t="s">
        <v>2324</v>
      </c>
      <c r="F485" s="45" t="s">
        <v>2325</v>
      </c>
      <c r="G485" s="46" t="s">
        <v>38</v>
      </c>
      <c r="H485" s="48">
        <v>46155</v>
      </c>
      <c r="I485" s="48">
        <v>46175</v>
      </c>
      <c r="J485" s="44" t="s">
        <v>116</v>
      </c>
      <c r="K485" s="44" t="s">
        <v>92</v>
      </c>
      <c r="L485" s="50" t="s">
        <v>77</v>
      </c>
      <c r="M485" s="50"/>
      <c r="N485" s="50"/>
      <c r="O485" s="49"/>
      <c r="P485" s="50" t="str">
        <f t="shared" si="28"/>
        <v>ONAY</v>
      </c>
      <c r="R485" s="51" t="str">
        <f t="shared" si="29"/>
        <v/>
      </c>
      <c r="T485" s="41"/>
      <c r="U485" s="29">
        <f>IF($C485&lt;&gt;"",COUNTIF($C$2:C485,C485),"")</f>
        <v>2</v>
      </c>
      <c r="V485" s="29" t="str">
        <f t="shared" si="30"/>
        <v>Doç. Dr. Cem ÇÖTELİ§2</v>
      </c>
      <c r="W485" s="29" t="str">
        <f>IF(U485=1,COUNTIF($U$2:U485,1),"")</f>
        <v/>
      </c>
      <c r="X485" s="29" t="str">
        <f t="shared" si="31"/>
        <v/>
      </c>
      <c r="Y485" s="29">
        <f>IF(AND(LEFT($B485,7)="SBA 26/",$D485&lt;&gt;"",$F485&lt;&gt;""),COUNTIFS($D$2:$D485,$D485,$B$2:$B485,"SBA 26/*",$F$2:$F485,"&lt;&gt;"),"")</f>
        <v>10</v>
      </c>
      <c r="Z485" s="29" t="str">
        <f>IF(Y485=1,COUNTIF($Y$2:Y485,1),"")</f>
        <v/>
      </c>
      <c r="AA485" s="29">
        <f>IF(AND(LEFT($B485,7)="SBA 26/",$C485&lt;&gt;"",$F485&lt;&gt;""),COUNTIFS($C$2:$C485,$C485,$B$2:$B485,"SBA 26/*",$F$2:$F485,"&lt;&gt;"),"")</f>
        <v>2</v>
      </c>
      <c r="AB485" s="29" t="str">
        <f>IF(AA485=1,COUNTIF($AA$2:AA485,1),"")</f>
        <v/>
      </c>
    </row>
    <row r="486" spans="1:28" ht="63" customHeight="1" x14ac:dyDescent="0.2">
      <c r="A486" s="43" t="s">
        <v>2326</v>
      </c>
      <c r="B486" s="43" t="s">
        <v>2327</v>
      </c>
      <c r="C486" s="44" t="s">
        <v>1528</v>
      </c>
      <c r="D486" s="44" t="s">
        <v>234</v>
      </c>
      <c r="E486" s="45" t="s">
        <v>2324</v>
      </c>
      <c r="F486" s="45" t="s">
        <v>2328</v>
      </c>
      <c r="G486" s="46" t="s">
        <v>38</v>
      </c>
      <c r="H486" s="48">
        <v>46155</v>
      </c>
      <c r="I486" s="48">
        <v>46175</v>
      </c>
      <c r="J486" s="44" t="s">
        <v>116</v>
      </c>
      <c r="K486" s="44" t="s">
        <v>92</v>
      </c>
      <c r="L486" s="50" t="s">
        <v>101</v>
      </c>
      <c r="M486" s="50"/>
      <c r="N486" s="50"/>
      <c r="O486" s="49"/>
      <c r="P486" s="50" t="str">
        <f t="shared" si="28"/>
        <v>DÜZELTME</v>
      </c>
      <c r="R486" s="51" t="str">
        <f t="shared" si="29"/>
        <v/>
      </c>
      <c r="T486" s="41"/>
      <c r="U486" s="29">
        <f>IF($C486&lt;&gt;"",COUNTIF($C$2:C486,C486),"")</f>
        <v>3</v>
      </c>
      <c r="V486" s="29" t="str">
        <f t="shared" si="30"/>
        <v>Doç. Dr. Cem ÇÖTELİ§3</v>
      </c>
      <c r="W486" s="29" t="str">
        <f>IF(U486=1,COUNTIF($U$2:U486,1),"")</f>
        <v/>
      </c>
      <c r="X486" s="29" t="str">
        <f t="shared" si="31"/>
        <v/>
      </c>
      <c r="Y486" s="29">
        <f>IF(AND(LEFT($B486,7)="SBA 26/",$D486&lt;&gt;"",$F486&lt;&gt;""),COUNTIFS($D$2:$D486,$D486,$B$2:$B486,"SBA 26/*",$F$2:$F486,"&lt;&gt;"),"")</f>
        <v>11</v>
      </c>
      <c r="Z486" s="29" t="str">
        <f>IF(Y486=1,COUNTIF($Y$2:Y486,1),"")</f>
        <v/>
      </c>
      <c r="AA486" s="29">
        <f>IF(AND(LEFT($B486,7)="SBA 26/",$C486&lt;&gt;"",$F486&lt;&gt;""),COUNTIFS($C$2:$C486,$C486,$B$2:$B486,"SBA 26/*",$F$2:$F486,"&lt;&gt;"),"")</f>
        <v>3</v>
      </c>
      <c r="AB486" s="29" t="str">
        <f>IF(AA486=1,COUNTIF($AA$2:AA486,1),"")</f>
        <v/>
      </c>
    </row>
    <row r="487" spans="1:28" ht="78.75" customHeight="1" x14ac:dyDescent="0.2">
      <c r="A487" s="43" t="s">
        <v>2329</v>
      </c>
      <c r="B487" s="43" t="s">
        <v>2330</v>
      </c>
      <c r="C487" s="44" t="s">
        <v>2331</v>
      </c>
      <c r="D487" s="44" t="s">
        <v>113</v>
      </c>
      <c r="E487" s="45" t="s">
        <v>2332</v>
      </c>
      <c r="F487" s="45" t="s">
        <v>2333</v>
      </c>
      <c r="G487" s="46" t="s">
        <v>38</v>
      </c>
      <c r="H487" s="48">
        <v>46156</v>
      </c>
      <c r="I487" s="48">
        <v>46175</v>
      </c>
      <c r="J487" s="44" t="s">
        <v>108</v>
      </c>
      <c r="K487" s="44" t="s">
        <v>129</v>
      </c>
      <c r="L487" s="50" t="s">
        <v>101</v>
      </c>
      <c r="M487" s="50" t="s">
        <v>77</v>
      </c>
      <c r="N487" s="50"/>
      <c r="O487" s="49"/>
      <c r="P487" s="50" t="str">
        <f t="shared" si="28"/>
        <v>ONAY</v>
      </c>
      <c r="Q487" s="28" t="s">
        <v>75</v>
      </c>
      <c r="R487" s="51" t="str">
        <f t="shared" si="29"/>
        <v/>
      </c>
      <c r="T487" s="41"/>
      <c r="U487" s="29">
        <f>IF($C487&lt;&gt;"",COUNTIF($C$2:C487,C487),"")</f>
        <v>1</v>
      </c>
      <c r="V487" s="29" t="str">
        <f t="shared" si="30"/>
        <v>Prof. Dr. Okan Bülent YILDIZ§1</v>
      </c>
      <c r="W487" s="29">
        <f>IF(U487=1,COUNTIF($U$2:U487,1),"")</f>
        <v>266</v>
      </c>
      <c r="X487" s="29">
        <f t="shared" si="31"/>
        <v>280</v>
      </c>
      <c r="Y487" s="29">
        <f>IF(AND(LEFT($B487,7)="SBA 26/",$D487&lt;&gt;"",$F487&lt;&gt;""),COUNTIFS($D$2:$D487,$D487,$B$2:$B487,"SBA 26/*",$F$2:$F487,"&lt;&gt;"),"")</f>
        <v>80</v>
      </c>
      <c r="Z487" s="29" t="str">
        <f>IF(Y487=1,COUNTIF($Y$2:Y487,1),"")</f>
        <v/>
      </c>
      <c r="AA487" s="29">
        <f>IF(AND(LEFT($B487,7)="SBA 26/",$C487&lt;&gt;"",$F487&lt;&gt;""),COUNTIFS($C$2:$C487,$C487,$B$2:$B487,"SBA 26/*",$F$2:$F487,"&lt;&gt;"),"")</f>
        <v>1</v>
      </c>
      <c r="AB487" s="29">
        <f>IF(AA487=1,COUNTIF($AA$2:AA487,1),"")</f>
        <v>266</v>
      </c>
    </row>
    <row r="488" spans="1:28" ht="78.75" customHeight="1" x14ac:dyDescent="0.2">
      <c r="A488" s="43" t="s">
        <v>2334</v>
      </c>
      <c r="B488" s="43" t="s">
        <v>2335</v>
      </c>
      <c r="C488" s="44" t="s">
        <v>2331</v>
      </c>
      <c r="D488" s="44" t="s">
        <v>113</v>
      </c>
      <c r="E488" s="45" t="s">
        <v>2332</v>
      </c>
      <c r="F488" s="45" t="s">
        <v>2336</v>
      </c>
      <c r="G488" s="46" t="s">
        <v>38</v>
      </c>
      <c r="H488" s="48">
        <v>46156</v>
      </c>
      <c r="I488" s="48">
        <v>46175</v>
      </c>
      <c r="J488" s="44" t="s">
        <v>108</v>
      </c>
      <c r="K488" s="44" t="s">
        <v>129</v>
      </c>
      <c r="L488" s="50" t="s">
        <v>101</v>
      </c>
      <c r="M488" s="50" t="s">
        <v>77</v>
      </c>
      <c r="N488" s="50"/>
      <c r="O488" s="49"/>
      <c r="P488" s="50" t="str">
        <f t="shared" si="28"/>
        <v>ONAY</v>
      </c>
      <c r="Q488" s="28" t="s">
        <v>75</v>
      </c>
      <c r="R488" s="51" t="str">
        <f t="shared" si="29"/>
        <v/>
      </c>
      <c r="T488" s="41"/>
      <c r="U488" s="29">
        <f>IF($C488&lt;&gt;"",COUNTIF($C$2:C488,C488),"")</f>
        <v>2</v>
      </c>
      <c r="V488" s="29" t="str">
        <f t="shared" si="30"/>
        <v>Prof. Dr. Okan Bülent YILDIZ§2</v>
      </c>
      <c r="W488" s="29" t="str">
        <f>IF(U488=1,COUNTIF($U$2:U488,1),"")</f>
        <v/>
      </c>
      <c r="X488" s="29" t="str">
        <f t="shared" si="31"/>
        <v/>
      </c>
      <c r="Y488" s="29">
        <f>IF(AND(LEFT($B488,7)="SBA 26/",$D488&lt;&gt;"",$F488&lt;&gt;""),COUNTIFS($D$2:$D488,$D488,$B$2:$B488,"SBA 26/*",$F$2:$F488,"&lt;&gt;"),"")</f>
        <v>81</v>
      </c>
      <c r="Z488" s="29" t="str">
        <f>IF(Y488=1,COUNTIF($Y$2:Y488,1),"")</f>
        <v/>
      </c>
      <c r="AA488" s="29">
        <f>IF(AND(LEFT($B488,7)="SBA 26/",$C488&lt;&gt;"",$F488&lt;&gt;""),COUNTIFS($C$2:$C488,$C488,$B$2:$B488,"SBA 26/*",$F$2:$F488,"&lt;&gt;"),"")</f>
        <v>2</v>
      </c>
      <c r="AB488" s="29" t="str">
        <f>IF(AA488=1,COUNTIF($AA$2:AA488,1),"")</f>
        <v/>
      </c>
    </row>
    <row r="489" spans="1:28" ht="63" customHeight="1" x14ac:dyDescent="0.2">
      <c r="A489" s="43" t="s">
        <v>2337</v>
      </c>
      <c r="B489" s="43" t="s">
        <v>2338</v>
      </c>
      <c r="C489" s="44" t="s">
        <v>633</v>
      </c>
      <c r="D489" s="44" t="s">
        <v>228</v>
      </c>
      <c r="E489" s="45" t="s">
        <v>2339</v>
      </c>
      <c r="F489" s="45" t="s">
        <v>2340</v>
      </c>
      <c r="G489" s="46" t="s">
        <v>39</v>
      </c>
      <c r="H489" s="48">
        <v>46156</v>
      </c>
      <c r="I489" s="48">
        <v>46175</v>
      </c>
      <c r="J489" s="44" t="s">
        <v>84</v>
      </c>
      <c r="K489" s="44" t="s">
        <v>99</v>
      </c>
      <c r="L489" s="50" t="s">
        <v>101</v>
      </c>
      <c r="M489" s="50" t="s">
        <v>77</v>
      </c>
      <c r="N489" s="50"/>
      <c r="O489" s="49"/>
      <c r="P489" s="50" t="str">
        <f t="shared" si="28"/>
        <v>ONAY</v>
      </c>
      <c r="Q489" s="28" t="s">
        <v>84</v>
      </c>
      <c r="R489" s="51" t="str">
        <f t="shared" si="29"/>
        <v/>
      </c>
      <c r="T489" s="41"/>
      <c r="U489" s="29">
        <f>IF($C489&lt;&gt;"",COUNTIF($C$2:C489,C489),"")</f>
        <v>6</v>
      </c>
      <c r="V489" s="29" t="str">
        <f t="shared" si="30"/>
        <v>Doç. Dr. Utku AKGÖR§6</v>
      </c>
      <c r="W489" s="29" t="str">
        <f>IF(U489=1,COUNTIF($U$2:U489,1),"")</f>
        <v/>
      </c>
      <c r="X489" s="29" t="str">
        <f t="shared" si="31"/>
        <v/>
      </c>
      <c r="Y489" s="29">
        <f>IF(AND(LEFT($B489,7)="SBA 26/",$D489&lt;&gt;"",$F489&lt;&gt;""),COUNTIFS($D$2:$D489,$D489,$B$2:$B489,"SBA 26/*",$F$2:$F489,"&lt;&gt;"),"")</f>
        <v>24</v>
      </c>
      <c r="Z489" s="29" t="str">
        <f>IF(Y489=1,COUNTIF($Y$2:Y489,1),"")</f>
        <v/>
      </c>
      <c r="AA489" s="29">
        <f>IF(AND(LEFT($B489,7)="SBA 26/",$C489&lt;&gt;"",$F489&lt;&gt;""),COUNTIFS($C$2:$C489,$C489,$B$2:$B489,"SBA 26/*",$F$2:$F489,"&lt;&gt;"),"")</f>
        <v>6</v>
      </c>
      <c r="AB489" s="29" t="str">
        <f>IF(AA489=1,COUNTIF($AA$2:AA489,1),"")</f>
        <v/>
      </c>
    </row>
    <row r="490" spans="1:28" ht="63" customHeight="1" x14ac:dyDescent="0.2">
      <c r="A490" s="43" t="s">
        <v>2341</v>
      </c>
      <c r="B490" s="43" t="s">
        <v>2342</v>
      </c>
      <c r="C490" s="44" t="s">
        <v>2343</v>
      </c>
      <c r="D490" s="44" t="s">
        <v>385</v>
      </c>
      <c r="E490" s="45" t="s">
        <v>2344</v>
      </c>
      <c r="F490" s="45" t="s">
        <v>2345</v>
      </c>
      <c r="G490" s="46" t="s">
        <v>38</v>
      </c>
      <c r="H490" s="48">
        <v>46156</v>
      </c>
      <c r="I490" s="48">
        <v>46175</v>
      </c>
      <c r="J490" s="44" t="s">
        <v>99</v>
      </c>
      <c r="K490" s="44" t="s">
        <v>100</v>
      </c>
      <c r="L490" s="50" t="s">
        <v>77</v>
      </c>
      <c r="M490" s="50"/>
      <c r="N490" s="50"/>
      <c r="O490" s="49"/>
      <c r="P490" s="50" t="str">
        <f t="shared" si="28"/>
        <v>ONAY</v>
      </c>
      <c r="R490" s="51" t="str">
        <f t="shared" si="29"/>
        <v/>
      </c>
      <c r="T490" s="41"/>
      <c r="U490" s="29">
        <f>IF($C490&lt;&gt;"",COUNTIF($C$2:C490,C490),"")</f>
        <v>1</v>
      </c>
      <c r="V490" s="29" t="str">
        <f t="shared" si="30"/>
        <v>Prof. Dr. Saniye EKİNCİ§1</v>
      </c>
      <c r="W490" s="29">
        <f>IF(U490=1,COUNTIF($U$2:U490,1),"")</f>
        <v>267</v>
      </c>
      <c r="X490" s="29">
        <f t="shared" si="31"/>
        <v>301</v>
      </c>
      <c r="Y490" s="29">
        <f>IF(AND(LEFT($B490,7)="SBA 26/",$D490&lt;&gt;"",$F490&lt;&gt;""),COUNTIFS($D$2:$D490,$D490,$B$2:$B490,"SBA 26/*",$F$2:$F490,"&lt;&gt;"),"")</f>
        <v>9</v>
      </c>
      <c r="Z490" s="29" t="str">
        <f>IF(Y490=1,COUNTIF($Y$2:Y490,1),"")</f>
        <v/>
      </c>
      <c r="AA490" s="29">
        <f>IF(AND(LEFT($B490,7)="SBA 26/",$C490&lt;&gt;"",$F490&lt;&gt;""),COUNTIFS($C$2:$C490,$C490,$B$2:$B490,"SBA 26/*",$F$2:$F490,"&lt;&gt;"),"")</f>
        <v>1</v>
      </c>
      <c r="AB490" s="29">
        <f>IF(AA490=1,COUNTIF($AA$2:AA490,1),"")</f>
        <v>267</v>
      </c>
    </row>
    <row r="491" spans="1:28" ht="63" customHeight="1" x14ac:dyDescent="0.2">
      <c r="A491" s="43" t="s">
        <v>2346</v>
      </c>
      <c r="B491" s="43" t="s">
        <v>2347</v>
      </c>
      <c r="C491" s="44" t="s">
        <v>2348</v>
      </c>
      <c r="D491" s="44" t="s">
        <v>113</v>
      </c>
      <c r="E491" s="45" t="s">
        <v>2349</v>
      </c>
      <c r="F491" s="45" t="s">
        <v>2350</v>
      </c>
      <c r="G491" s="46" t="s">
        <v>38</v>
      </c>
      <c r="H491" s="48">
        <v>46157</v>
      </c>
      <c r="I491" s="48">
        <v>46175</v>
      </c>
      <c r="J491" s="44" t="s">
        <v>123</v>
      </c>
      <c r="K491" s="44" t="s">
        <v>84</v>
      </c>
      <c r="L491" s="50" t="s">
        <v>77</v>
      </c>
      <c r="M491" s="50"/>
      <c r="N491" s="50"/>
      <c r="O491" s="49"/>
      <c r="P491" s="50" t="str">
        <f t="shared" si="28"/>
        <v>ONAY</v>
      </c>
      <c r="R491" s="51" t="str">
        <f t="shared" si="29"/>
        <v/>
      </c>
      <c r="T491" s="41"/>
      <c r="U491" s="29">
        <f>IF($C491&lt;&gt;"",COUNTIF($C$2:C491,C491),"")</f>
        <v>1</v>
      </c>
      <c r="V491" s="29" t="str">
        <f t="shared" si="30"/>
        <v>Prof. Dr. Gülay SAİN GÜVEN§1</v>
      </c>
      <c r="W491" s="29">
        <f>IF(U491=1,COUNTIF($U$2:U491,1),"")</f>
        <v>268</v>
      </c>
      <c r="X491" s="29">
        <f t="shared" si="31"/>
        <v>231</v>
      </c>
      <c r="Y491" s="29">
        <f>IF(AND(LEFT($B491,7)="SBA 26/",$D491&lt;&gt;"",$F491&lt;&gt;""),COUNTIFS($D$2:$D491,$D491,$B$2:$B491,"SBA 26/*",$F$2:$F491,"&lt;&gt;"),"")</f>
        <v>82</v>
      </c>
      <c r="Z491" s="29" t="str">
        <f>IF(Y491=1,COUNTIF($Y$2:Y491,1),"")</f>
        <v/>
      </c>
      <c r="AA491" s="29">
        <f>IF(AND(LEFT($B491,7)="SBA 26/",$C491&lt;&gt;"",$F491&lt;&gt;""),COUNTIFS($C$2:$C491,$C491,$B$2:$B491,"SBA 26/*",$F$2:$F491,"&lt;&gt;"),"")</f>
        <v>1</v>
      </c>
      <c r="AB491" s="29">
        <f>IF(AA491=1,COUNTIF($AA$2:AA491,1),"")</f>
        <v>268</v>
      </c>
    </row>
    <row r="492" spans="1:28" ht="63" customHeight="1" x14ac:dyDescent="0.2">
      <c r="A492" s="43" t="s">
        <v>2351</v>
      </c>
      <c r="B492" s="43" t="s">
        <v>2352</v>
      </c>
      <c r="C492" s="44" t="s">
        <v>514</v>
      </c>
      <c r="D492" s="44" t="s">
        <v>291</v>
      </c>
      <c r="E492" s="45" t="s">
        <v>2353</v>
      </c>
      <c r="F492" s="45" t="s">
        <v>2354</v>
      </c>
      <c r="G492" s="46" t="s">
        <v>38</v>
      </c>
      <c r="H492" s="48">
        <v>46157</v>
      </c>
      <c r="I492" s="48">
        <v>46175</v>
      </c>
      <c r="J492" s="44" t="s">
        <v>100</v>
      </c>
      <c r="K492" s="44" t="s">
        <v>109</v>
      </c>
      <c r="L492" s="50" t="s">
        <v>77</v>
      </c>
      <c r="M492" s="50"/>
      <c r="N492" s="50"/>
      <c r="O492" s="49"/>
      <c r="P492" s="50" t="str">
        <f t="shared" si="28"/>
        <v>ONAY</v>
      </c>
      <c r="R492" s="51" t="str">
        <f t="shared" si="29"/>
        <v/>
      </c>
      <c r="T492" s="41"/>
      <c r="U492" s="29">
        <f>IF($C492&lt;&gt;"",COUNTIF($C$2:C492,C492),"")</f>
        <v>2</v>
      </c>
      <c r="V492" s="29" t="str">
        <f t="shared" si="30"/>
        <v>Prof. Dr. Taner YILMAZ§2</v>
      </c>
      <c r="W492" s="29" t="str">
        <f>IF(U492=1,COUNTIF($U$2:U492,1),"")</f>
        <v/>
      </c>
      <c r="X492" s="29" t="str">
        <f t="shared" si="31"/>
        <v/>
      </c>
      <c r="Y492" s="29">
        <f>IF(AND(LEFT($B492,7)="SBA 26/",$D492&lt;&gt;"",$F492&lt;&gt;""),COUNTIFS($D$2:$D492,$D492,$B$2:$B492,"SBA 26/*",$F$2:$F492,"&lt;&gt;"),"")</f>
        <v>10</v>
      </c>
      <c r="Z492" s="29" t="str">
        <f>IF(Y492=1,COUNTIF($Y$2:Y492,1),"")</f>
        <v/>
      </c>
      <c r="AA492" s="29">
        <f>IF(AND(LEFT($B492,7)="SBA 26/",$C492&lt;&gt;"",$F492&lt;&gt;""),COUNTIFS($C$2:$C492,$C492,$B$2:$B492,"SBA 26/*",$F$2:$F492,"&lt;&gt;"),"")</f>
        <v>2</v>
      </c>
      <c r="AB492" s="29" t="str">
        <f>IF(AA492=1,COUNTIF($AA$2:AA492,1),"")</f>
        <v/>
      </c>
    </row>
    <row r="493" spans="1:28" ht="78.75" customHeight="1" x14ac:dyDescent="0.2">
      <c r="A493" s="43" t="s">
        <v>2355</v>
      </c>
      <c r="B493" s="43" t="s">
        <v>2356</v>
      </c>
      <c r="C493" s="44" t="s">
        <v>633</v>
      </c>
      <c r="D493" s="44" t="s">
        <v>228</v>
      </c>
      <c r="E493" s="45" t="s">
        <v>2357</v>
      </c>
      <c r="F493" s="45" t="s">
        <v>2358</v>
      </c>
      <c r="G493" s="46" t="s">
        <v>38</v>
      </c>
      <c r="H493" s="48">
        <v>46157</v>
      </c>
      <c r="I493" s="48">
        <v>46175</v>
      </c>
      <c r="J493" s="44" t="s">
        <v>123</v>
      </c>
      <c r="K493" s="44" t="s">
        <v>75</v>
      </c>
      <c r="L493" s="50" t="s">
        <v>77</v>
      </c>
      <c r="M493" s="50"/>
      <c r="N493" s="50"/>
      <c r="O493" s="49"/>
      <c r="P493" s="50" t="str">
        <f t="shared" si="28"/>
        <v>ONAY</v>
      </c>
      <c r="R493" s="51" t="str">
        <f t="shared" si="29"/>
        <v/>
      </c>
      <c r="T493" s="41"/>
      <c r="U493" s="29">
        <f>IF($C493&lt;&gt;"",COUNTIF($C$2:C493,C493),"")</f>
        <v>7</v>
      </c>
      <c r="V493" s="29" t="str">
        <f t="shared" si="30"/>
        <v>Doç. Dr. Utku AKGÖR§7</v>
      </c>
      <c r="W493" s="29" t="str">
        <f>IF(U493=1,COUNTIF($U$2:U493,1),"")</f>
        <v/>
      </c>
      <c r="X493" s="29" t="str">
        <f t="shared" si="31"/>
        <v/>
      </c>
      <c r="Y493" s="29">
        <f>IF(AND(LEFT($B493,7)="SBA 26/",$D493&lt;&gt;"",$F493&lt;&gt;""),COUNTIFS($D$2:$D493,$D493,$B$2:$B493,"SBA 26/*",$F$2:$F493,"&lt;&gt;"),"")</f>
        <v>25</v>
      </c>
      <c r="Z493" s="29" t="str">
        <f>IF(Y493=1,COUNTIF($Y$2:Y493,1),"")</f>
        <v/>
      </c>
      <c r="AA493" s="29">
        <f>IF(AND(LEFT($B493,7)="SBA 26/",$C493&lt;&gt;"",$F493&lt;&gt;""),COUNTIFS($C$2:$C493,$C493,$B$2:$B493,"SBA 26/*",$F$2:$F493,"&lt;&gt;"),"")</f>
        <v>7</v>
      </c>
      <c r="AB493" s="29" t="str">
        <f>IF(AA493=1,COUNTIF($AA$2:AA493,1),"")</f>
        <v/>
      </c>
    </row>
    <row r="494" spans="1:28" ht="47.25" customHeight="1" x14ac:dyDescent="0.2">
      <c r="A494" s="43" t="s">
        <v>2359</v>
      </c>
      <c r="B494" s="43" t="s">
        <v>2360</v>
      </c>
      <c r="C494" s="44" t="s">
        <v>1427</v>
      </c>
      <c r="D494" s="44" t="s">
        <v>966</v>
      </c>
      <c r="E494" s="45" t="s">
        <v>2361</v>
      </c>
      <c r="F494" s="45" t="s">
        <v>2362</v>
      </c>
      <c r="G494" s="46" t="s">
        <v>39</v>
      </c>
      <c r="H494" s="48">
        <v>46176</v>
      </c>
      <c r="I494" s="48">
        <v>46196</v>
      </c>
      <c r="J494" s="44" t="s">
        <v>84</v>
      </c>
      <c r="K494" s="44" t="s">
        <v>116</v>
      </c>
      <c r="L494" s="50" t="s">
        <v>77</v>
      </c>
      <c r="M494" s="50"/>
      <c r="N494" s="50"/>
      <c r="O494" s="49"/>
      <c r="P494" s="50" t="str">
        <f t="shared" si="28"/>
        <v>ONAY</v>
      </c>
      <c r="R494" s="51" t="str">
        <f t="shared" si="29"/>
        <v/>
      </c>
      <c r="T494" s="41"/>
      <c r="U494" s="29">
        <f>IF($C494&lt;&gt;"",COUNTIF($C$2:C494,C494),"")</f>
        <v>4</v>
      </c>
      <c r="V494" s="29" t="str">
        <f t="shared" si="30"/>
        <v>Doç. Dr. Hilal AKSOY§4</v>
      </c>
      <c r="W494" s="29" t="str">
        <f>IF(U494=1,COUNTIF($U$2:U494,1),"")</f>
        <v/>
      </c>
      <c r="X494" s="29" t="str">
        <f t="shared" si="31"/>
        <v/>
      </c>
      <c r="Y494" s="29">
        <f>IF(AND(LEFT($B494,7)="SBA 26/",$D494&lt;&gt;"",$F494&lt;&gt;""),COUNTIFS($D$2:$D494,$D494,$B$2:$B494,"SBA 26/*",$F$2:$F494,"&lt;&gt;"),"")</f>
        <v>10</v>
      </c>
      <c r="Z494" s="29" t="str">
        <f>IF(Y494=1,COUNTIF($Y$2:Y494,1),"")</f>
        <v/>
      </c>
      <c r="AA494" s="29">
        <f>IF(AND(LEFT($B494,7)="SBA 26/",$C494&lt;&gt;"",$F494&lt;&gt;""),COUNTIFS($C$2:$C494,$C494,$B$2:$B494,"SBA 26/*",$F$2:$F494,"&lt;&gt;"),"")</f>
        <v>4</v>
      </c>
      <c r="AB494" s="29" t="str">
        <f>IF(AA494=1,COUNTIF($AA$2:AA494,1),"")</f>
        <v/>
      </c>
    </row>
    <row r="495" spans="1:28" ht="63" customHeight="1" x14ac:dyDescent="0.2">
      <c r="A495" s="43" t="s">
        <v>2363</v>
      </c>
      <c r="B495" s="43" t="s">
        <v>2364</v>
      </c>
      <c r="C495" s="44" t="s">
        <v>489</v>
      </c>
      <c r="D495" s="44" t="s">
        <v>297</v>
      </c>
      <c r="E495" s="45" t="s">
        <v>2365</v>
      </c>
      <c r="F495" s="45" t="s">
        <v>2366</v>
      </c>
      <c r="G495" s="46" t="s">
        <v>38</v>
      </c>
      <c r="H495" s="48">
        <v>46176</v>
      </c>
      <c r="I495" s="48">
        <v>46196</v>
      </c>
      <c r="J495" s="44" t="s">
        <v>123</v>
      </c>
      <c r="K495" s="44" t="s">
        <v>116</v>
      </c>
      <c r="L495" s="50" t="s">
        <v>77</v>
      </c>
      <c r="M495" s="50"/>
      <c r="N495" s="50"/>
      <c r="O495" s="49"/>
      <c r="P495" s="50" t="str">
        <f t="shared" si="28"/>
        <v>ONAY</v>
      </c>
      <c r="R495" s="51" t="str">
        <f t="shared" si="29"/>
        <v/>
      </c>
      <c r="T495" s="41"/>
      <c r="U495" s="29">
        <f>IF($C495&lt;&gt;"",COUNTIF($C$2:C495,C495),"")</f>
        <v>4</v>
      </c>
      <c r="V495" s="29" t="str">
        <f t="shared" si="30"/>
        <v>Doç. Dr. Ezgi ATİK§4</v>
      </c>
      <c r="W495" s="29" t="str">
        <f>IF(U495=1,COUNTIF($U$2:U495,1),"")</f>
        <v/>
      </c>
      <c r="X495" s="29" t="str">
        <f t="shared" si="31"/>
        <v/>
      </c>
      <c r="Y495" s="29">
        <f>IF(AND(LEFT($B495,7)="SBA 26/",$D495&lt;&gt;"",$F495&lt;&gt;""),COUNTIFS($D$2:$D495,$D495,$B$2:$B495,"SBA 26/*",$F$2:$F495,"&lt;&gt;"),"")</f>
        <v>8</v>
      </c>
      <c r="Z495" s="29" t="str">
        <f>IF(Y495=1,COUNTIF($Y$2:Y495,1),"")</f>
        <v/>
      </c>
      <c r="AA495" s="29">
        <f>IF(AND(LEFT($B495,7)="SBA 26/",$C495&lt;&gt;"",$F495&lt;&gt;""),COUNTIFS($C$2:$C495,$C495,$B$2:$B495,"SBA 26/*",$F$2:$F495,"&lt;&gt;"),"")</f>
        <v>4</v>
      </c>
      <c r="AB495" s="29" t="str">
        <f>IF(AA495=1,COUNTIF($AA$2:AA495,1),"")</f>
        <v/>
      </c>
    </row>
    <row r="496" spans="1:28" ht="63" customHeight="1" x14ac:dyDescent="0.2">
      <c r="A496" s="43" t="s">
        <v>2367</v>
      </c>
      <c r="B496" s="43" t="s">
        <v>2368</v>
      </c>
      <c r="C496" s="44" t="s">
        <v>2369</v>
      </c>
      <c r="D496" s="44" t="s">
        <v>291</v>
      </c>
      <c r="E496" s="45" t="s">
        <v>2370</v>
      </c>
      <c r="F496" s="45" t="s">
        <v>2371</v>
      </c>
      <c r="G496" s="46" t="s">
        <v>38</v>
      </c>
      <c r="H496" s="48">
        <v>46176</v>
      </c>
      <c r="I496" s="48">
        <v>46196</v>
      </c>
      <c r="J496" s="44" t="s">
        <v>75</v>
      </c>
      <c r="K496" s="44" t="s">
        <v>100</v>
      </c>
      <c r="L496" s="50" t="s">
        <v>77</v>
      </c>
      <c r="M496" s="50"/>
      <c r="N496" s="50"/>
      <c r="O496" s="49"/>
      <c r="P496" s="50" t="str">
        <f t="shared" si="28"/>
        <v>ONAY</v>
      </c>
      <c r="R496" s="51" t="str">
        <f t="shared" si="29"/>
        <v/>
      </c>
      <c r="T496" s="41"/>
      <c r="U496" s="29">
        <f>IF($C496&lt;&gt;"",COUNTIF($C$2:C496,C496),"")</f>
        <v>1</v>
      </c>
      <c r="V496" s="29" t="str">
        <f t="shared" si="30"/>
        <v>Prof. Dr. Levent SENNAROĞLU§1</v>
      </c>
      <c r="W496" s="29">
        <f>IF(U496=1,COUNTIF($U$2:U496,1),"")</f>
        <v>269</v>
      </c>
      <c r="X496" s="29">
        <f t="shared" si="31"/>
        <v>255</v>
      </c>
      <c r="Y496" s="29">
        <f>IF(AND(LEFT($B496,7)="SBA 26/",$D496&lt;&gt;"",$F496&lt;&gt;""),COUNTIFS($D$2:$D496,$D496,$B$2:$B496,"SBA 26/*",$F$2:$F496,"&lt;&gt;"),"")</f>
        <v>11</v>
      </c>
      <c r="Z496" s="29" t="str">
        <f>IF(Y496=1,COUNTIF($Y$2:Y496,1),"")</f>
        <v/>
      </c>
      <c r="AA496" s="29">
        <f>IF(AND(LEFT($B496,7)="SBA 26/",$C496&lt;&gt;"",$F496&lt;&gt;""),COUNTIFS($C$2:$C496,$C496,$B$2:$B496,"SBA 26/*",$F$2:$F496,"&lt;&gt;"),"")</f>
        <v>1</v>
      </c>
      <c r="AB496" s="29">
        <f>IF(AA496=1,COUNTIF($AA$2:AA496,1),"")</f>
        <v>269</v>
      </c>
    </row>
    <row r="497" spans="1:28" ht="63" customHeight="1" x14ac:dyDescent="0.2">
      <c r="A497" s="43" t="s">
        <v>2372</v>
      </c>
      <c r="B497" s="43" t="s">
        <v>2373</v>
      </c>
      <c r="C497" s="44" t="s">
        <v>1338</v>
      </c>
      <c r="D497" s="44" t="s">
        <v>222</v>
      </c>
      <c r="E497" s="45" t="s">
        <v>2374</v>
      </c>
      <c r="F497" s="45" t="s">
        <v>2375</v>
      </c>
      <c r="G497" s="46" t="s">
        <v>38</v>
      </c>
      <c r="H497" s="48">
        <v>46177</v>
      </c>
      <c r="I497" s="48">
        <v>46196</v>
      </c>
      <c r="J497" s="44" t="s">
        <v>76</v>
      </c>
      <c r="K497" s="44" t="s">
        <v>116</v>
      </c>
      <c r="L497" s="50" t="s">
        <v>77</v>
      </c>
      <c r="M497" s="50"/>
      <c r="N497" s="50"/>
      <c r="O497" s="49"/>
      <c r="P497" s="50" t="str">
        <f t="shared" si="28"/>
        <v>ONAY</v>
      </c>
      <c r="R497" s="51" t="str">
        <f t="shared" si="29"/>
        <v/>
      </c>
      <c r="T497" s="41"/>
      <c r="U497" s="29">
        <f>IF($C497&lt;&gt;"",COUNTIF($C$2:C497,C497),"")</f>
        <v>2</v>
      </c>
      <c r="V497" s="29" t="str">
        <f t="shared" si="30"/>
        <v>Doç. Dr. Leman AKCAN YILDIZ§2</v>
      </c>
      <c r="W497" s="29" t="str">
        <f>IF(U497=1,COUNTIF($U$2:U497,1),"")</f>
        <v/>
      </c>
      <c r="X497" s="29" t="str">
        <f t="shared" si="31"/>
        <v/>
      </c>
      <c r="Y497" s="29">
        <f>IF(AND(LEFT($B497,7)="SBA 26/",$D497&lt;&gt;"",$F497&lt;&gt;""),COUNTIFS($D$2:$D497,$D497,$B$2:$B497,"SBA 26/*",$F$2:$F497,"&lt;&gt;"),"")</f>
        <v>73</v>
      </c>
      <c r="Z497" s="29" t="str">
        <f>IF(Y497=1,COUNTIF($Y$2:Y497,1),"")</f>
        <v/>
      </c>
      <c r="AA497" s="29">
        <f>IF(AND(LEFT($B497,7)="SBA 26/",$C497&lt;&gt;"",$F497&lt;&gt;""),COUNTIFS($C$2:$C497,$C497,$B$2:$B497,"SBA 26/*",$F$2:$F497,"&lt;&gt;"),"")</f>
        <v>2</v>
      </c>
      <c r="AB497" s="29" t="str">
        <f>IF(AA497=1,COUNTIF($AA$2:AA497,1),"")</f>
        <v/>
      </c>
    </row>
    <row r="498" spans="1:28" ht="78.75" customHeight="1" x14ac:dyDescent="0.2">
      <c r="A498" s="43" t="s">
        <v>2376</v>
      </c>
      <c r="B498" s="43" t="s">
        <v>2377</v>
      </c>
      <c r="C498" s="44" t="s">
        <v>379</v>
      </c>
      <c r="D498" s="44" t="s">
        <v>222</v>
      </c>
      <c r="E498" s="45" t="s">
        <v>2378</v>
      </c>
      <c r="F498" s="45" t="s">
        <v>2379</v>
      </c>
      <c r="G498" s="46" t="s">
        <v>38</v>
      </c>
      <c r="H498" s="48">
        <v>46177</v>
      </c>
      <c r="I498" s="48">
        <v>46196</v>
      </c>
      <c r="J498" s="44" t="s">
        <v>76</v>
      </c>
      <c r="K498" s="44" t="s">
        <v>92</v>
      </c>
      <c r="L498" s="50" t="s">
        <v>77</v>
      </c>
      <c r="M498" s="50"/>
      <c r="N498" s="50"/>
      <c r="O498" s="49"/>
      <c r="P498" s="50" t="str">
        <f t="shared" si="28"/>
        <v>ONAY</v>
      </c>
      <c r="R498" s="51" t="str">
        <f t="shared" si="29"/>
        <v/>
      </c>
      <c r="T498" s="41"/>
      <c r="U498" s="29">
        <f>IF($C498&lt;&gt;"",COUNTIF($C$2:C498,C498),"")</f>
        <v>6</v>
      </c>
      <c r="V498" s="29" t="str">
        <f t="shared" si="30"/>
        <v>Prof. Dr. Deniz ÇAĞDAŞ AYVAZ§6</v>
      </c>
      <c r="W498" s="29" t="str">
        <f>IF(U498=1,COUNTIF($U$2:U498,1),"")</f>
        <v/>
      </c>
      <c r="X498" s="29" t="str">
        <f t="shared" si="31"/>
        <v/>
      </c>
      <c r="Y498" s="29">
        <f>IF(AND(LEFT($B498,7)="SBA 26/",$D498&lt;&gt;"",$F498&lt;&gt;""),COUNTIFS($D$2:$D498,$D498,$B$2:$B498,"SBA 26/*",$F$2:$F498,"&lt;&gt;"),"")</f>
        <v>74</v>
      </c>
      <c r="Z498" s="29" t="str">
        <f>IF(Y498=1,COUNTIF($Y$2:Y498,1),"")</f>
        <v/>
      </c>
      <c r="AA498" s="29">
        <f>IF(AND(LEFT($B498,7)="SBA 26/",$C498&lt;&gt;"",$F498&lt;&gt;""),COUNTIFS($C$2:$C498,$C498,$B$2:$B498,"SBA 26/*",$F$2:$F498,"&lt;&gt;"),"")</f>
        <v>6</v>
      </c>
      <c r="AB498" s="29" t="str">
        <f>IF(AA498=1,COUNTIF($AA$2:AA498,1),"")</f>
        <v/>
      </c>
    </row>
    <row r="499" spans="1:28" ht="63" customHeight="1" x14ac:dyDescent="0.2">
      <c r="A499" s="43" t="s">
        <v>2380</v>
      </c>
      <c r="B499" s="43" t="s">
        <v>2381</v>
      </c>
      <c r="C499" s="44" t="s">
        <v>524</v>
      </c>
      <c r="D499" s="44" t="s">
        <v>113</v>
      </c>
      <c r="E499" s="45" t="s">
        <v>1996</v>
      </c>
      <c r="F499" s="45" t="s">
        <v>2382</v>
      </c>
      <c r="G499" s="46" t="s">
        <v>38</v>
      </c>
      <c r="H499" s="48">
        <v>46177</v>
      </c>
      <c r="I499" s="48">
        <v>46196</v>
      </c>
      <c r="J499" s="44" t="s">
        <v>75</v>
      </c>
      <c r="K499" s="44" t="s">
        <v>129</v>
      </c>
      <c r="L499" s="50" t="s">
        <v>101</v>
      </c>
      <c r="M499" s="50"/>
      <c r="N499" s="50"/>
      <c r="O499" s="49"/>
      <c r="P499" s="50" t="str">
        <f t="shared" si="28"/>
        <v>DÜZELTME</v>
      </c>
      <c r="R499" s="51" t="str">
        <f t="shared" si="29"/>
        <v/>
      </c>
      <c r="T499" s="41"/>
      <c r="U499" s="29">
        <f>IF($C499&lt;&gt;"",COUNTIF($C$2:C499,C499),"")</f>
        <v>7</v>
      </c>
      <c r="V499" s="29" t="str">
        <f t="shared" si="30"/>
        <v>Doç. Dr. Mert EŞME§7</v>
      </c>
      <c r="W499" s="29" t="str">
        <f>IF(U499=1,COUNTIF($U$2:U499,1),"")</f>
        <v/>
      </c>
      <c r="X499" s="29" t="str">
        <f t="shared" si="31"/>
        <v/>
      </c>
      <c r="Y499" s="29">
        <f>IF(AND(LEFT($B499,7)="SBA 26/",$D499&lt;&gt;"",$F499&lt;&gt;""),COUNTIFS($D$2:$D499,$D499,$B$2:$B499,"SBA 26/*",$F$2:$F499,"&lt;&gt;"),"")</f>
        <v>83</v>
      </c>
      <c r="Z499" s="29" t="str">
        <f>IF(Y499=1,COUNTIF($Y$2:Y499,1),"")</f>
        <v/>
      </c>
      <c r="AA499" s="29">
        <f>IF(AND(LEFT($B499,7)="SBA 26/",$C499&lt;&gt;"",$F499&lt;&gt;""),COUNTIFS($C$2:$C499,$C499,$B$2:$B499,"SBA 26/*",$F$2:$F499,"&lt;&gt;"),"")</f>
        <v>7</v>
      </c>
      <c r="AB499" s="29" t="str">
        <f>IF(AA499=1,COUNTIF($AA$2:AA499,1),"")</f>
        <v/>
      </c>
    </row>
    <row r="500" spans="1:28" ht="65.25" customHeight="1" x14ac:dyDescent="0.2">
      <c r="A500" s="43" t="s">
        <v>2383</v>
      </c>
      <c r="B500" s="43" t="s">
        <v>2384</v>
      </c>
      <c r="C500" s="44" t="s">
        <v>548</v>
      </c>
      <c r="D500" s="44" t="s">
        <v>193</v>
      </c>
      <c r="E500" s="45" t="s">
        <v>2385</v>
      </c>
      <c r="F500" s="45" t="s">
        <v>2386</v>
      </c>
      <c r="G500" s="46" t="s">
        <v>38</v>
      </c>
      <c r="H500" s="48">
        <v>46177</v>
      </c>
      <c r="I500" s="48">
        <v>46196</v>
      </c>
      <c r="J500" s="44" t="s">
        <v>92</v>
      </c>
      <c r="K500" s="44" t="s">
        <v>84</v>
      </c>
      <c r="L500" s="50" t="s">
        <v>77</v>
      </c>
      <c r="M500" s="50"/>
      <c r="N500" s="50"/>
      <c r="O500" s="49"/>
      <c r="P500" s="50" t="str">
        <f t="shared" si="28"/>
        <v>ONAY</v>
      </c>
      <c r="R500" s="51" t="str">
        <f t="shared" si="29"/>
        <v/>
      </c>
      <c r="T500" s="41"/>
      <c r="U500" s="29">
        <f>IF($C500&lt;&gt;"",COUNTIF($C$2:C500,C500),"")</f>
        <v>5</v>
      </c>
      <c r="V500" s="29" t="str">
        <f t="shared" si="30"/>
        <v>Doç. Dr. İrem KOÇ§5</v>
      </c>
      <c r="W500" s="29" t="str">
        <f>IF(U500=1,COUNTIF($U$2:U500,1),"")</f>
        <v/>
      </c>
      <c r="X500" s="29" t="str">
        <f t="shared" si="31"/>
        <v/>
      </c>
      <c r="Y500" s="29">
        <f>IF(AND(LEFT($B500,7)="SBA 26/",$D500&lt;&gt;"",$F500&lt;&gt;""),COUNTIFS($D$2:$D500,$D500,$B$2:$B500,"SBA 26/*",$F$2:$F500,"&lt;&gt;"),"")</f>
        <v>14</v>
      </c>
      <c r="Z500" s="29" t="str">
        <f>IF(Y500=1,COUNTIF($Y$2:Y500,1),"")</f>
        <v/>
      </c>
      <c r="AA500" s="29">
        <f>IF(AND(LEFT($B500,7)="SBA 26/",$C500&lt;&gt;"",$F500&lt;&gt;""),COUNTIFS($C$2:$C500,$C500,$B$2:$B500,"SBA 26/*",$F$2:$F500,"&lt;&gt;"),"")</f>
        <v>5</v>
      </c>
      <c r="AB500" s="29" t="str">
        <f>IF(AA500=1,COUNTIF($AA$2:AA500,1),"")</f>
        <v/>
      </c>
    </row>
    <row r="501" spans="1:28" ht="78.75" customHeight="1" x14ac:dyDescent="0.2">
      <c r="A501" s="43" t="s">
        <v>2387</v>
      </c>
      <c r="B501" s="43" t="s">
        <v>2388</v>
      </c>
      <c r="C501" s="44" t="s">
        <v>233</v>
      </c>
      <c r="D501" s="44" t="s">
        <v>234</v>
      </c>
      <c r="E501" s="45" t="s">
        <v>2389</v>
      </c>
      <c r="F501" s="45" t="s">
        <v>2390</v>
      </c>
      <c r="G501" s="46" t="s">
        <v>39</v>
      </c>
      <c r="H501" s="48">
        <v>46177</v>
      </c>
      <c r="I501" s="48">
        <v>46196</v>
      </c>
      <c r="J501" s="44" t="s">
        <v>91</v>
      </c>
      <c r="K501" s="44" t="s">
        <v>92</v>
      </c>
      <c r="L501" s="50" t="s">
        <v>77</v>
      </c>
      <c r="M501" s="50"/>
      <c r="N501" s="50"/>
      <c r="O501" s="49"/>
      <c r="P501" s="50" t="str">
        <f t="shared" si="28"/>
        <v>ONAY</v>
      </c>
      <c r="R501" s="51" t="str">
        <f t="shared" si="29"/>
        <v/>
      </c>
      <c r="T501" s="41"/>
      <c r="U501" s="29">
        <f>IF($C501&lt;&gt;"",COUNTIF($C$2:C501,C501),"")</f>
        <v>2</v>
      </c>
      <c r="V501" s="29" t="str">
        <f t="shared" si="30"/>
        <v>Prof. Dr. Hikmet YORGUN§2</v>
      </c>
      <c r="W501" s="29" t="str">
        <f>IF(U501=1,COUNTIF($U$2:U501,1),"")</f>
        <v/>
      </c>
      <c r="X501" s="29" t="str">
        <f t="shared" si="31"/>
        <v/>
      </c>
      <c r="Y501" s="29">
        <f>IF(AND(LEFT($B501,7)="SBA 26/",$D501&lt;&gt;"",$F501&lt;&gt;""),COUNTIFS($D$2:$D501,$D501,$B$2:$B501,"SBA 26/*",$F$2:$F501,"&lt;&gt;"),"")</f>
        <v>12</v>
      </c>
      <c r="Z501" s="29" t="str">
        <f>IF(Y501=1,COUNTIF($Y$2:Y501,1),"")</f>
        <v/>
      </c>
      <c r="AA501" s="29">
        <f>IF(AND(LEFT($B501,7)="SBA 26/",$C501&lt;&gt;"",$F501&lt;&gt;""),COUNTIFS($C$2:$C501,$C501,$B$2:$B501,"SBA 26/*",$F$2:$F501,"&lt;&gt;"),"")</f>
        <v>2</v>
      </c>
      <c r="AB501" s="29" t="str">
        <f>IF(AA501=1,COUNTIF($AA$2:AA501,1),"")</f>
        <v/>
      </c>
    </row>
    <row r="502" spans="1:28" ht="63" customHeight="1" x14ac:dyDescent="0.2">
      <c r="A502" s="43" t="s">
        <v>2391</v>
      </c>
      <c r="B502" s="43" t="s">
        <v>2392</v>
      </c>
      <c r="C502" s="44" t="s">
        <v>2202</v>
      </c>
      <c r="D502" s="44" t="s">
        <v>234</v>
      </c>
      <c r="E502" s="45" t="s">
        <v>2393</v>
      </c>
      <c r="F502" s="45" t="s">
        <v>2394</v>
      </c>
      <c r="G502" s="46" t="s">
        <v>38</v>
      </c>
      <c r="H502" s="48">
        <v>46177</v>
      </c>
      <c r="I502" s="48">
        <v>46196</v>
      </c>
      <c r="J502" s="44" t="s">
        <v>91</v>
      </c>
      <c r="K502" s="44" t="s">
        <v>129</v>
      </c>
      <c r="L502" s="50" t="s">
        <v>77</v>
      </c>
      <c r="M502" s="50"/>
      <c r="N502" s="50"/>
      <c r="O502" s="49"/>
      <c r="P502" s="50" t="str">
        <f t="shared" si="28"/>
        <v>ONAY</v>
      </c>
      <c r="R502" s="51" t="str">
        <f t="shared" si="29"/>
        <v/>
      </c>
      <c r="T502" s="41"/>
      <c r="U502" s="29">
        <f>IF($C502&lt;&gt;"",COUNTIF($C$2:C502,C502),"")</f>
        <v>3</v>
      </c>
      <c r="V502" s="29" t="str">
        <f t="shared" si="30"/>
        <v>Doç. Dr. Ahmet KIVRAK§3</v>
      </c>
      <c r="W502" s="29" t="str">
        <f>IF(U502=1,COUNTIF($U$2:U502,1),"")</f>
        <v/>
      </c>
      <c r="X502" s="29" t="str">
        <f t="shared" si="31"/>
        <v/>
      </c>
      <c r="Y502" s="29">
        <f>IF(AND(LEFT($B502,7)="SBA 26/",$D502&lt;&gt;"",$F502&lt;&gt;""),COUNTIFS($D$2:$D502,$D502,$B$2:$B502,"SBA 26/*",$F$2:$F502,"&lt;&gt;"),"")</f>
        <v>13</v>
      </c>
      <c r="Z502" s="29" t="str">
        <f>IF(Y502=1,COUNTIF($Y$2:Y502,1),"")</f>
        <v/>
      </c>
      <c r="AA502" s="29">
        <f>IF(AND(LEFT($B502,7)="SBA 26/",$C502&lt;&gt;"",$F502&lt;&gt;""),COUNTIFS($C$2:$C502,$C502,$B$2:$B502,"SBA 26/*",$F$2:$F502,"&lt;&gt;"),"")</f>
        <v>3</v>
      </c>
      <c r="AB502" s="29" t="str">
        <f>IF(AA502=1,COUNTIF($AA$2:AA502,1),"")</f>
        <v/>
      </c>
    </row>
    <row r="503" spans="1:28" ht="82.5" customHeight="1" x14ac:dyDescent="0.2">
      <c r="A503" s="43" t="s">
        <v>2395</v>
      </c>
      <c r="B503" s="43" t="s">
        <v>2396</v>
      </c>
      <c r="C503" s="44" t="s">
        <v>1300</v>
      </c>
      <c r="D503" s="44" t="s">
        <v>228</v>
      </c>
      <c r="E503" s="45" t="s">
        <v>2397</v>
      </c>
      <c r="F503" s="45" t="s">
        <v>2398</v>
      </c>
      <c r="G503" s="46" t="s">
        <v>38</v>
      </c>
      <c r="H503" s="48">
        <v>46177</v>
      </c>
      <c r="I503" s="48">
        <v>46196</v>
      </c>
      <c r="J503" s="44" t="s">
        <v>75</v>
      </c>
      <c r="K503" s="44" t="s">
        <v>84</v>
      </c>
      <c r="L503" s="50" t="s">
        <v>218</v>
      </c>
      <c r="M503" s="50"/>
      <c r="N503" s="50"/>
      <c r="O503" s="49"/>
      <c r="P503" s="50" t="str">
        <f t="shared" si="28"/>
        <v>KAEK</v>
      </c>
      <c r="R503" s="51" t="str">
        <f t="shared" si="29"/>
        <v/>
      </c>
      <c r="T503" s="41"/>
      <c r="U503" s="29">
        <f>IF($C503&lt;&gt;"",COUNTIF($C$2:C503,C503),"")</f>
        <v>4</v>
      </c>
      <c r="V503" s="29" t="str">
        <f t="shared" si="30"/>
        <v>Prof. Dr. Murat GÜLTEKİN§4</v>
      </c>
      <c r="W503" s="29" t="str">
        <f>IF(U503=1,COUNTIF($U$2:U503,1),"")</f>
        <v/>
      </c>
      <c r="X503" s="29" t="str">
        <f t="shared" si="31"/>
        <v/>
      </c>
      <c r="Y503" s="29">
        <f>IF(AND(LEFT($B503,7)="SBA 26/",$D503&lt;&gt;"",$F503&lt;&gt;""),COUNTIFS($D$2:$D503,$D503,$B$2:$B503,"SBA 26/*",$F$2:$F503,"&lt;&gt;"),"")</f>
        <v>26</v>
      </c>
      <c r="Z503" s="29" t="str">
        <f>IF(Y503=1,COUNTIF($Y$2:Y503,1),"")</f>
        <v/>
      </c>
      <c r="AA503" s="29">
        <f>IF(AND(LEFT($B503,7)="SBA 26/",$C503&lt;&gt;"",$F503&lt;&gt;""),COUNTIFS($C$2:$C503,$C503,$B$2:$B503,"SBA 26/*",$F$2:$F503,"&lt;&gt;"),"")</f>
        <v>4</v>
      </c>
      <c r="AB503" s="29" t="str">
        <f>IF(AA503=1,COUNTIF($AA$2:AA503,1),"")</f>
        <v/>
      </c>
    </row>
    <row r="504" spans="1:28" ht="63" customHeight="1" x14ac:dyDescent="0.2">
      <c r="A504" s="43" t="s">
        <v>2399</v>
      </c>
      <c r="B504" s="43" t="s">
        <v>2400</v>
      </c>
      <c r="C504" s="44" t="s">
        <v>1300</v>
      </c>
      <c r="D504" s="44" t="s">
        <v>228</v>
      </c>
      <c r="E504" s="45" t="s">
        <v>2397</v>
      </c>
      <c r="F504" s="45" t="s">
        <v>2401</v>
      </c>
      <c r="G504" s="46" t="s">
        <v>38</v>
      </c>
      <c r="H504" s="48">
        <v>46177</v>
      </c>
      <c r="I504" s="48">
        <v>46196</v>
      </c>
      <c r="J504" s="44" t="s">
        <v>75</v>
      </c>
      <c r="K504" s="44" t="s">
        <v>84</v>
      </c>
      <c r="L504" s="50" t="s">
        <v>218</v>
      </c>
      <c r="M504" s="50"/>
      <c r="N504" s="50"/>
      <c r="O504" s="49"/>
      <c r="P504" s="50" t="str">
        <f t="shared" si="28"/>
        <v>KAEK</v>
      </c>
      <c r="R504" s="51" t="str">
        <f t="shared" si="29"/>
        <v/>
      </c>
      <c r="T504" s="41"/>
      <c r="U504" s="29">
        <f>IF($C504&lt;&gt;"",COUNTIF($C$2:C504,C504),"")</f>
        <v>5</v>
      </c>
      <c r="V504" s="29" t="str">
        <f t="shared" si="30"/>
        <v>Prof. Dr. Murat GÜLTEKİN§5</v>
      </c>
      <c r="W504" s="29" t="str">
        <f>IF(U504=1,COUNTIF($U$2:U504,1),"")</f>
        <v/>
      </c>
      <c r="X504" s="29" t="str">
        <f t="shared" si="31"/>
        <v/>
      </c>
      <c r="Y504" s="29">
        <f>IF(AND(LEFT($B504,7)="SBA 26/",$D504&lt;&gt;"",$F504&lt;&gt;""),COUNTIFS($D$2:$D504,$D504,$B$2:$B504,"SBA 26/*",$F$2:$F504,"&lt;&gt;"),"")</f>
        <v>27</v>
      </c>
      <c r="Z504" s="29" t="str">
        <f>IF(Y504=1,COUNTIF($Y$2:Y504,1),"")</f>
        <v/>
      </c>
      <c r="AA504" s="29">
        <f>IF(AND(LEFT($B504,7)="SBA 26/",$C504&lt;&gt;"",$F504&lt;&gt;""),COUNTIFS($C$2:$C504,$C504,$B$2:$B504,"SBA 26/*",$F$2:$F504,"&lt;&gt;"),"")</f>
        <v>5</v>
      </c>
      <c r="AB504" s="29" t="str">
        <f>IF(AA504=1,COUNTIF($AA$2:AA504,1),"")</f>
        <v/>
      </c>
    </row>
    <row r="505" spans="1:28" ht="63" customHeight="1" x14ac:dyDescent="0.2">
      <c r="A505" s="43" t="s">
        <v>2402</v>
      </c>
      <c r="B505" s="43" t="s">
        <v>2403</v>
      </c>
      <c r="C505" s="44" t="s">
        <v>2404</v>
      </c>
      <c r="D505" s="44" t="s">
        <v>113</v>
      </c>
      <c r="E505" s="45" t="s">
        <v>2405</v>
      </c>
      <c r="F505" s="45" t="s">
        <v>2406</v>
      </c>
      <c r="G505" s="46" t="s">
        <v>38</v>
      </c>
      <c r="H505" s="48">
        <v>46177</v>
      </c>
      <c r="I505" s="48">
        <v>46196</v>
      </c>
      <c r="J505" s="44" t="s">
        <v>123</v>
      </c>
      <c r="K505" s="44" t="s">
        <v>129</v>
      </c>
      <c r="L505" s="50" t="s">
        <v>77</v>
      </c>
      <c r="M505" s="50"/>
      <c r="N505" s="50"/>
      <c r="O505" s="49"/>
      <c r="P505" s="50" t="str">
        <f t="shared" si="28"/>
        <v>ONAY</v>
      </c>
      <c r="R505" s="51" t="str">
        <f t="shared" si="29"/>
        <v/>
      </c>
      <c r="T505" s="41"/>
      <c r="U505" s="29">
        <f>IF($C505&lt;&gt;"",COUNTIF($C$2:C505,C505),"")</f>
        <v>1</v>
      </c>
      <c r="V505" s="29" t="str">
        <f t="shared" si="30"/>
        <v>Prof. Dr. Uğur ÜNLÜTÜRK§1</v>
      </c>
      <c r="W505" s="29">
        <f>IF(U505=1,COUNTIF($U$2:U505,1),"")</f>
        <v>270</v>
      </c>
      <c r="X505" s="29">
        <f t="shared" si="31"/>
        <v>325</v>
      </c>
      <c r="Y505" s="29">
        <f>IF(AND(LEFT($B505,7)="SBA 26/",$D505&lt;&gt;"",$F505&lt;&gt;""),COUNTIFS($D$2:$D505,$D505,$B$2:$B505,"SBA 26/*",$F$2:$F505,"&lt;&gt;"),"")</f>
        <v>84</v>
      </c>
      <c r="Z505" s="29" t="str">
        <f>IF(Y505=1,COUNTIF($Y$2:Y505,1),"")</f>
        <v/>
      </c>
      <c r="AA505" s="29">
        <f>IF(AND(LEFT($B505,7)="SBA 26/",$C505&lt;&gt;"",$F505&lt;&gt;""),COUNTIFS($C$2:$C505,$C505,$B$2:$B505,"SBA 26/*",$F$2:$F505,"&lt;&gt;"),"")</f>
        <v>1</v>
      </c>
      <c r="AB505" s="29">
        <f>IF(AA505=1,COUNTIF($AA$2:AA505,1),"")</f>
        <v>270</v>
      </c>
    </row>
    <row r="506" spans="1:28" ht="78.75" customHeight="1" x14ac:dyDescent="0.2">
      <c r="A506" s="43" t="s">
        <v>2407</v>
      </c>
      <c r="B506" s="43" t="s">
        <v>2408</v>
      </c>
      <c r="C506" s="44" t="s">
        <v>227</v>
      </c>
      <c r="D506" s="44" t="s">
        <v>228</v>
      </c>
      <c r="E506" s="45" t="s">
        <v>2409</v>
      </c>
      <c r="F506" s="45" t="s">
        <v>2410</v>
      </c>
      <c r="G506" s="46" t="s">
        <v>38</v>
      </c>
      <c r="H506" s="48">
        <v>46177</v>
      </c>
      <c r="I506" s="48">
        <v>46196</v>
      </c>
      <c r="J506" s="44" t="s">
        <v>116</v>
      </c>
      <c r="K506" s="44" t="s">
        <v>76</v>
      </c>
      <c r="L506" s="50" t="s">
        <v>77</v>
      </c>
      <c r="M506" s="50"/>
      <c r="N506" s="50"/>
      <c r="O506" s="49"/>
      <c r="P506" s="50" t="str">
        <f t="shared" si="28"/>
        <v>ONAY</v>
      </c>
      <c r="R506" s="51" t="str">
        <f t="shared" si="29"/>
        <v/>
      </c>
      <c r="T506" s="41"/>
      <c r="U506" s="29">
        <f>IF($C506&lt;&gt;"",COUNTIF($C$2:C506,C506),"")</f>
        <v>8</v>
      </c>
      <c r="V506" s="29" t="str">
        <f t="shared" si="30"/>
        <v>Dr. Öğr. Üyesi Gonca ÖZTEN DERE§8</v>
      </c>
      <c r="W506" s="29" t="str">
        <f>IF(U506=1,COUNTIF($U$2:U506,1),"")</f>
        <v/>
      </c>
      <c r="X506" s="29" t="str">
        <f t="shared" si="31"/>
        <v/>
      </c>
      <c r="Y506" s="29">
        <f>IF(AND(LEFT($B506,7)="SBA 26/",$D506&lt;&gt;"",$F506&lt;&gt;""),COUNTIFS($D$2:$D506,$D506,$B$2:$B506,"SBA 26/*",$F$2:$F506,"&lt;&gt;"),"")</f>
        <v>28</v>
      </c>
      <c r="Z506" s="29" t="str">
        <f>IF(Y506=1,COUNTIF($Y$2:Y506,1),"")</f>
        <v/>
      </c>
      <c r="AA506" s="29">
        <f>IF(AND(LEFT($B506,7)="SBA 26/",$C506&lt;&gt;"",$F506&lt;&gt;""),COUNTIFS($C$2:$C506,$C506,$B$2:$B506,"SBA 26/*",$F$2:$F506,"&lt;&gt;"),"")</f>
        <v>8</v>
      </c>
      <c r="AB506" s="29" t="str">
        <f>IF(AA506=1,COUNTIF($AA$2:AA506,1),"")</f>
        <v/>
      </c>
    </row>
    <row r="507" spans="1:28" ht="78.75" customHeight="1" x14ac:dyDescent="0.2">
      <c r="A507" s="43" t="s">
        <v>2411</v>
      </c>
      <c r="B507" s="43" t="s">
        <v>2412</v>
      </c>
      <c r="C507" s="44" t="s">
        <v>2413</v>
      </c>
      <c r="D507" s="44" t="s">
        <v>222</v>
      </c>
      <c r="E507" s="45" t="s">
        <v>2414</v>
      </c>
      <c r="F507" s="45" t="s">
        <v>2415</v>
      </c>
      <c r="G507" s="46" t="s">
        <v>38</v>
      </c>
      <c r="H507" s="48">
        <v>46177</v>
      </c>
      <c r="I507" s="48">
        <v>46196</v>
      </c>
      <c r="J507" s="44" t="s">
        <v>108</v>
      </c>
      <c r="K507" s="44" t="s">
        <v>100</v>
      </c>
      <c r="L507" s="50" t="s">
        <v>101</v>
      </c>
      <c r="M507" s="50"/>
      <c r="N507" s="50"/>
      <c r="O507" s="49"/>
      <c r="P507" s="50" t="str">
        <f t="shared" si="28"/>
        <v>DÜZELTME</v>
      </c>
      <c r="R507" s="51" t="str">
        <f t="shared" si="29"/>
        <v/>
      </c>
      <c r="T507" s="41"/>
      <c r="U507" s="29">
        <f>IF($C507&lt;&gt;"",COUNTIF($C$2:C507,C507),"")</f>
        <v>1</v>
      </c>
      <c r="V507" s="29" t="str">
        <f t="shared" si="30"/>
        <v>Doç. Dr. Melis PEHLİVANTÜRK KIZILKAN§1</v>
      </c>
      <c r="W507" s="29">
        <f>IF(U507=1,COUNTIF($U$2:U507,1),"")</f>
        <v>271</v>
      </c>
      <c r="X507" s="29">
        <f t="shared" si="31"/>
        <v>77</v>
      </c>
      <c r="Y507" s="29">
        <f>IF(AND(LEFT($B507,7)="SBA 26/",$D507&lt;&gt;"",$F507&lt;&gt;""),COUNTIFS($D$2:$D507,$D507,$B$2:$B507,"SBA 26/*",$F$2:$F507,"&lt;&gt;"),"")</f>
        <v>75</v>
      </c>
      <c r="Z507" s="29" t="str">
        <f>IF(Y507=1,COUNTIF($Y$2:Y507,1),"")</f>
        <v/>
      </c>
      <c r="AA507" s="29">
        <f>IF(AND(LEFT($B507,7)="SBA 26/",$C507&lt;&gt;"",$F507&lt;&gt;""),COUNTIFS($C$2:$C507,$C507,$B$2:$B507,"SBA 26/*",$F$2:$F507,"&lt;&gt;"),"")</f>
        <v>1</v>
      </c>
      <c r="AB507" s="29">
        <f>IF(AA507=1,COUNTIF($AA$2:AA507,1),"")</f>
        <v>271</v>
      </c>
    </row>
    <row r="508" spans="1:28" ht="63" customHeight="1" x14ac:dyDescent="0.2">
      <c r="A508" s="43" t="s">
        <v>2416</v>
      </c>
      <c r="B508" s="43" t="s">
        <v>2417</v>
      </c>
      <c r="C508" s="44" t="s">
        <v>2418</v>
      </c>
      <c r="D508" s="44" t="s">
        <v>139</v>
      </c>
      <c r="E508" s="45" t="s">
        <v>2419</v>
      </c>
      <c r="F508" s="45" t="s">
        <v>2420</v>
      </c>
      <c r="G508" s="46" t="s">
        <v>38</v>
      </c>
      <c r="H508" s="48">
        <v>46177</v>
      </c>
      <c r="I508" s="48">
        <v>46196</v>
      </c>
      <c r="J508" s="44" t="s">
        <v>75</v>
      </c>
      <c r="K508" s="44" t="s">
        <v>109</v>
      </c>
      <c r="L508" s="50" t="s">
        <v>77</v>
      </c>
      <c r="M508" s="50"/>
      <c r="N508" s="50"/>
      <c r="O508" s="49"/>
      <c r="P508" s="50" t="str">
        <f t="shared" si="28"/>
        <v>ONAY</v>
      </c>
      <c r="R508" s="51" t="str">
        <f t="shared" si="29"/>
        <v/>
      </c>
      <c r="T508" s="41"/>
      <c r="U508" s="29">
        <f>IF($C508&lt;&gt;"",COUNTIF($C$2:C508,C508),"")</f>
        <v>1</v>
      </c>
      <c r="V508" s="29" t="str">
        <f t="shared" si="30"/>
        <v>Prof. Dr. Banu SANCAK§1</v>
      </c>
      <c r="W508" s="29">
        <f>IF(U508=1,COUNTIF($U$2:U508,1),"")</f>
        <v>272</v>
      </c>
      <c r="X508" s="29">
        <f t="shared" si="31"/>
        <v>196</v>
      </c>
      <c r="Y508" s="29">
        <f>IF(AND(LEFT($B508,7)="SBA 26/",$D508&lt;&gt;"",$F508&lt;&gt;""),COUNTIFS($D$2:$D508,$D508,$B$2:$B508,"SBA 26/*",$F$2:$F508,"&lt;&gt;"),"")</f>
        <v>2</v>
      </c>
      <c r="Z508" s="29" t="str">
        <f>IF(Y508=1,COUNTIF($Y$2:Y508,1),"")</f>
        <v/>
      </c>
      <c r="AA508" s="29">
        <f>IF(AND(LEFT($B508,7)="SBA 26/",$C508&lt;&gt;"",$F508&lt;&gt;""),COUNTIFS($C$2:$C508,$C508,$B$2:$B508,"SBA 26/*",$F$2:$F508,"&lt;&gt;"),"")</f>
        <v>1</v>
      </c>
      <c r="AB508" s="29">
        <f>IF(AA508=1,COUNTIF($AA$2:AA508,1),"")</f>
        <v>272</v>
      </c>
    </row>
    <row r="509" spans="1:28" ht="112.5" customHeight="1" x14ac:dyDescent="0.2">
      <c r="A509" s="43" t="s">
        <v>2421</v>
      </c>
      <c r="B509" s="43" t="s">
        <v>2422</v>
      </c>
      <c r="C509" s="44" t="s">
        <v>1528</v>
      </c>
      <c r="D509" s="44" t="s">
        <v>234</v>
      </c>
      <c r="E509" s="45" t="s">
        <v>2423</v>
      </c>
      <c r="F509" s="45" t="s">
        <v>2424</v>
      </c>
      <c r="G509" s="46" t="s">
        <v>38</v>
      </c>
      <c r="H509" s="48">
        <v>46177</v>
      </c>
      <c r="I509" s="48">
        <v>46196</v>
      </c>
      <c r="J509" s="44" t="s">
        <v>91</v>
      </c>
      <c r="K509" s="44" t="s">
        <v>92</v>
      </c>
      <c r="L509" s="50" t="s">
        <v>218</v>
      </c>
      <c r="M509" s="50"/>
      <c r="N509" s="50"/>
      <c r="O509" s="49"/>
      <c r="P509" s="50" t="str">
        <f t="shared" si="28"/>
        <v>KAEK</v>
      </c>
      <c r="R509" s="51" t="str">
        <f t="shared" si="29"/>
        <v/>
      </c>
      <c r="T509" s="41"/>
      <c r="U509" s="29">
        <f>IF($C509&lt;&gt;"",COUNTIF($C$2:C509,C509),"")</f>
        <v>4</v>
      </c>
      <c r="V509" s="29" t="str">
        <f t="shared" si="30"/>
        <v>Doç. Dr. Cem ÇÖTELİ§4</v>
      </c>
      <c r="W509" s="29" t="str">
        <f>IF(U509=1,COUNTIF($U$2:U509,1),"")</f>
        <v/>
      </c>
      <c r="X509" s="29" t="str">
        <f t="shared" si="31"/>
        <v/>
      </c>
      <c r="Y509" s="29">
        <f>IF(AND(LEFT($B509,7)="SBA 26/",$D509&lt;&gt;"",$F509&lt;&gt;""),COUNTIFS($D$2:$D509,$D509,$B$2:$B509,"SBA 26/*",$F$2:$F509,"&lt;&gt;"),"")</f>
        <v>14</v>
      </c>
      <c r="Z509" s="29" t="str">
        <f>IF(Y509=1,COUNTIF($Y$2:Y509,1),"")</f>
        <v/>
      </c>
      <c r="AA509" s="29">
        <f>IF(AND(LEFT($B509,7)="SBA 26/",$C509&lt;&gt;"",$F509&lt;&gt;""),COUNTIFS($C$2:$C509,$C509,$B$2:$B509,"SBA 26/*",$F$2:$F509,"&lt;&gt;"),"")</f>
        <v>4</v>
      </c>
      <c r="AB509" s="29" t="str">
        <f>IF(AA509=1,COUNTIF($AA$2:AA509,1),"")</f>
        <v/>
      </c>
    </row>
    <row r="510" spans="1:28" ht="78.75" customHeight="1" x14ac:dyDescent="0.2">
      <c r="A510" s="43" t="s">
        <v>2425</v>
      </c>
      <c r="B510" s="43" t="s">
        <v>2426</v>
      </c>
      <c r="C510" s="44" t="s">
        <v>2427</v>
      </c>
      <c r="D510" s="54" t="s">
        <v>2428</v>
      </c>
      <c r="E510" s="45" t="s">
        <v>2429</v>
      </c>
      <c r="F510" s="45" t="s">
        <v>2430</v>
      </c>
      <c r="G510" s="46" t="s">
        <v>40</v>
      </c>
      <c r="H510" s="48">
        <v>46177</v>
      </c>
      <c r="I510" s="48">
        <v>46196</v>
      </c>
      <c r="J510" s="44" t="s">
        <v>75</v>
      </c>
      <c r="K510" s="44" t="s">
        <v>76</v>
      </c>
      <c r="L510" s="50" t="s">
        <v>218</v>
      </c>
      <c r="M510" s="50"/>
      <c r="N510" s="50"/>
      <c r="O510" s="49"/>
      <c r="P510" s="50" t="str">
        <f t="shared" si="28"/>
        <v>KAEK</v>
      </c>
      <c r="R510" s="51" t="str">
        <f t="shared" si="29"/>
        <v/>
      </c>
      <c r="T510" s="41"/>
      <c r="U510" s="29">
        <f>IF($C510&lt;&gt;"",COUNTIF($C$2:C510,C510),"")</f>
        <v>1</v>
      </c>
      <c r="V510" s="29" t="str">
        <f t="shared" si="30"/>
        <v>Doç. Dr. Eylem TOPBAŞ§1</v>
      </c>
      <c r="W510" s="29">
        <f>IF(U510=1,COUNTIF($U$2:U510,1),"")</f>
        <v>273</v>
      </c>
      <c r="X510" s="29">
        <f t="shared" si="31"/>
        <v>49</v>
      </c>
      <c r="Y510" s="29">
        <f>IF(AND(LEFT($B510,7)="SBA 26/",$D510&lt;&gt;"",$F510&lt;&gt;""),COUNTIFS($D$2:$D510,$D510,$B$2:$B510,"SBA 26/*",$F$2:$F510,"&lt;&gt;"),"")</f>
        <v>1</v>
      </c>
      <c r="Z510" s="29">
        <f>IF(Y510=1,COUNTIF($Y$2:Y510,1),"")</f>
        <v>71</v>
      </c>
      <c r="AA510" s="29">
        <f>IF(AND(LEFT($B510,7)="SBA 26/",$C510&lt;&gt;"",$F510&lt;&gt;""),COUNTIFS($C$2:$C510,$C510,$B$2:$B510,"SBA 26/*",$F$2:$F510,"&lt;&gt;"),"")</f>
        <v>1</v>
      </c>
      <c r="AB510" s="29">
        <f>IF(AA510=1,COUNTIF($AA$2:AA510,1),"")</f>
        <v>273</v>
      </c>
    </row>
    <row r="511" spans="1:28" ht="127.5" customHeight="1" x14ac:dyDescent="0.2">
      <c r="A511" s="43" t="s">
        <v>2431</v>
      </c>
      <c r="B511" s="43" t="s">
        <v>2432</v>
      </c>
      <c r="C511" s="44" t="s">
        <v>795</v>
      </c>
      <c r="D511" s="44" t="s">
        <v>222</v>
      </c>
      <c r="E511" s="45" t="s">
        <v>2433</v>
      </c>
      <c r="F511" s="45" t="s">
        <v>2434</v>
      </c>
      <c r="G511" s="46" t="s">
        <v>38</v>
      </c>
      <c r="H511" s="48">
        <v>46177</v>
      </c>
      <c r="I511" s="48">
        <v>46196</v>
      </c>
      <c r="J511" s="44" t="s">
        <v>109</v>
      </c>
      <c r="K511" s="44" t="s">
        <v>116</v>
      </c>
      <c r="L511" s="50" t="s">
        <v>218</v>
      </c>
      <c r="M511" s="50"/>
      <c r="N511" s="50"/>
      <c r="O511" s="49"/>
      <c r="P511" s="50" t="str">
        <f t="shared" si="28"/>
        <v>KAEK</v>
      </c>
      <c r="R511" s="51" t="str">
        <f t="shared" si="29"/>
        <v/>
      </c>
      <c r="T511" s="41"/>
      <c r="U511" s="29">
        <f>IF($C511&lt;&gt;"",COUNTIF($C$2:C511,C511),"")</f>
        <v>3</v>
      </c>
      <c r="V511" s="29" t="str">
        <f t="shared" si="30"/>
        <v>Prof. Dr. Deniz DOĞRU ERSÖZ§3</v>
      </c>
      <c r="W511" s="29" t="str">
        <f>IF(U511=1,COUNTIF($U$2:U511,1),"")</f>
        <v/>
      </c>
      <c r="X511" s="29" t="str">
        <f t="shared" si="31"/>
        <v/>
      </c>
      <c r="Y511" s="29">
        <f>IF(AND(LEFT($B511,7)="SBA 26/",$D511&lt;&gt;"",$F511&lt;&gt;""),COUNTIFS($D$2:$D511,$D511,$B$2:$B511,"SBA 26/*",$F$2:$F511,"&lt;&gt;"),"")</f>
        <v>76</v>
      </c>
      <c r="Z511" s="29" t="str">
        <f>IF(Y511=1,COUNTIF($Y$2:Y511,1),"")</f>
        <v/>
      </c>
      <c r="AA511" s="29">
        <f>IF(AND(LEFT($B511,7)="SBA 26/",$C511&lt;&gt;"",$F511&lt;&gt;""),COUNTIFS($C$2:$C511,$C511,$B$2:$B511,"SBA 26/*",$F$2:$F511,"&lt;&gt;"),"")</f>
        <v>3</v>
      </c>
      <c r="AB511" s="29" t="str">
        <f>IF(AA511=1,COUNTIF($AA$2:AA511,1),"")</f>
        <v/>
      </c>
    </row>
    <row r="512" spans="1:28" ht="94.5" customHeight="1" x14ac:dyDescent="0.2">
      <c r="A512" s="43" t="s">
        <v>2435</v>
      </c>
      <c r="B512" s="43" t="s">
        <v>2436</v>
      </c>
      <c r="C512" s="44" t="s">
        <v>2413</v>
      </c>
      <c r="D512" s="44" t="s">
        <v>222</v>
      </c>
      <c r="E512" s="45" t="s">
        <v>2437</v>
      </c>
      <c r="F512" s="45" t="s">
        <v>2438</v>
      </c>
      <c r="G512" s="46" t="s">
        <v>41</v>
      </c>
      <c r="H512" s="48">
        <v>46177</v>
      </c>
      <c r="I512" s="48">
        <v>46196</v>
      </c>
      <c r="J512" s="44" t="s">
        <v>100</v>
      </c>
      <c r="K512" s="44" t="s">
        <v>76</v>
      </c>
      <c r="L512" s="50" t="s">
        <v>101</v>
      </c>
      <c r="M512" s="50"/>
      <c r="N512" s="50"/>
      <c r="O512" s="49"/>
      <c r="P512" s="50" t="str">
        <f t="shared" si="28"/>
        <v>DÜZELTME</v>
      </c>
      <c r="R512" s="51" t="str">
        <f t="shared" si="29"/>
        <v/>
      </c>
      <c r="T512" s="41"/>
      <c r="U512" s="29">
        <f>IF($C512&lt;&gt;"",COUNTIF($C$2:C512,C512),"")</f>
        <v>2</v>
      </c>
      <c r="V512" s="29" t="str">
        <f t="shared" si="30"/>
        <v>Doç. Dr. Melis PEHLİVANTÜRK KIZILKAN§2</v>
      </c>
      <c r="W512" s="29" t="str">
        <f>IF(U512=1,COUNTIF($U$2:U512,1),"")</f>
        <v/>
      </c>
      <c r="X512" s="29" t="str">
        <f t="shared" si="31"/>
        <v/>
      </c>
      <c r="Y512" s="29">
        <f>IF(AND(LEFT($B512,7)="SBA 26/",$D512&lt;&gt;"",$F512&lt;&gt;""),COUNTIFS($D$2:$D512,$D512,$B$2:$B512,"SBA 26/*",$F$2:$F512,"&lt;&gt;"),"")</f>
        <v>77</v>
      </c>
      <c r="Z512" s="29" t="str">
        <f>IF(Y512=1,COUNTIF($Y$2:Y512,1),"")</f>
        <v/>
      </c>
      <c r="AA512" s="29">
        <f>IF(AND(LEFT($B512,7)="SBA 26/",$C512&lt;&gt;"",$F512&lt;&gt;""),COUNTIFS($C$2:$C512,$C512,$B$2:$B512,"SBA 26/*",$F$2:$F512,"&lt;&gt;"),"")</f>
        <v>2</v>
      </c>
      <c r="AB512" s="29" t="str">
        <f>IF(AA512=1,COUNTIF($AA$2:AA512,1),"")</f>
        <v/>
      </c>
    </row>
    <row r="513" spans="1:28" ht="78.75" customHeight="1" x14ac:dyDescent="0.2">
      <c r="A513" s="43" t="s">
        <v>2439</v>
      </c>
      <c r="B513" s="43" t="s">
        <v>2440</v>
      </c>
      <c r="C513" s="44" t="s">
        <v>2441</v>
      </c>
      <c r="D513" s="44" t="s">
        <v>297</v>
      </c>
      <c r="E513" s="45" t="s">
        <v>2442</v>
      </c>
      <c r="F513" s="45" t="s">
        <v>2443</v>
      </c>
      <c r="G513" s="46" t="s">
        <v>38</v>
      </c>
      <c r="H513" s="48">
        <v>46177</v>
      </c>
      <c r="I513" s="48">
        <v>46196</v>
      </c>
      <c r="J513" s="44" t="s">
        <v>123</v>
      </c>
      <c r="K513" s="44" t="s">
        <v>129</v>
      </c>
      <c r="L513" s="50" t="s">
        <v>77</v>
      </c>
      <c r="M513" s="50"/>
      <c r="N513" s="50"/>
      <c r="O513" s="49"/>
      <c r="P513" s="50" t="str">
        <f t="shared" si="28"/>
        <v>ONAY</v>
      </c>
      <c r="R513" s="51" t="str">
        <f t="shared" si="29"/>
        <v/>
      </c>
      <c r="T513" s="41"/>
      <c r="U513" s="29">
        <f>IF($C513&lt;&gt;"",COUNTIF($C$2:C513,C513),"")</f>
        <v>1</v>
      </c>
      <c r="V513" s="29" t="str">
        <f t="shared" si="30"/>
        <v>Dr. Öğr. Üyesi Cenk Ahmet AKCAN§1</v>
      </c>
      <c r="W513" s="29">
        <f>IF(U513=1,COUNTIF($U$2:U513,1),"")</f>
        <v>274</v>
      </c>
      <c r="X513" s="29">
        <f t="shared" si="31"/>
        <v>124</v>
      </c>
      <c r="Y513" s="29">
        <f>IF(AND(LEFT($B513,7)="SBA 26/",$D513&lt;&gt;"",$F513&lt;&gt;""),COUNTIFS($D$2:$D513,$D513,$B$2:$B513,"SBA 26/*",$F$2:$F513,"&lt;&gt;"),"")</f>
        <v>9</v>
      </c>
      <c r="Z513" s="29" t="str">
        <f>IF(Y513=1,COUNTIF($Y$2:Y513,1),"")</f>
        <v/>
      </c>
      <c r="AA513" s="29">
        <f>IF(AND(LEFT($B513,7)="SBA 26/",$C513&lt;&gt;"",$F513&lt;&gt;""),COUNTIFS($C$2:$C513,$C513,$B$2:$B513,"SBA 26/*",$F$2:$F513,"&lt;&gt;"),"")</f>
        <v>1</v>
      </c>
      <c r="AB513" s="29">
        <f>IF(AA513=1,COUNTIF($AA$2:AA513,1),"")</f>
        <v>274</v>
      </c>
    </row>
    <row r="514" spans="1:28" ht="63" customHeight="1" x14ac:dyDescent="0.2">
      <c r="A514" s="43" t="s">
        <v>2444</v>
      </c>
      <c r="B514" s="43" t="s">
        <v>2445</v>
      </c>
      <c r="C514" s="44" t="s">
        <v>1052</v>
      </c>
      <c r="D514" s="44" t="s">
        <v>113</v>
      </c>
      <c r="E514" s="45" t="s">
        <v>1053</v>
      </c>
      <c r="F514" s="45" t="s">
        <v>2446</v>
      </c>
      <c r="G514" s="46" t="s">
        <v>38</v>
      </c>
      <c r="H514" s="48">
        <v>46177</v>
      </c>
      <c r="I514" s="48">
        <v>46196</v>
      </c>
      <c r="J514" s="44" t="s">
        <v>109</v>
      </c>
      <c r="K514" s="44" t="s">
        <v>84</v>
      </c>
      <c r="L514" s="50" t="s">
        <v>153</v>
      </c>
      <c r="M514" s="50"/>
      <c r="N514" s="50"/>
      <c r="O514" s="49"/>
      <c r="P514" s="50" t="str">
        <f t="shared" ref="P514:P577" si="32">IF(O514&lt;&gt;"",O514, IF(N514&lt;&gt;"",N514, IF(M514&lt;&gt;"",M514, L514)))</f>
        <v>KAPSAM DIŞI</v>
      </c>
      <c r="R514" s="51" t="str">
        <f t="shared" ref="R514:R577" si="33">IF(AND($I514&lt;&gt;"",$I514&gt;=DATE(2026,6,23),COUNTIFS($C:$C,$C514,$I:$I,$I514)&gt;2),"⚠ "&amp;COUNTIFS($C:$C,$C514,$I:$I,$I514)&amp;" BAŞVURU!","")</f>
        <v/>
      </c>
      <c r="T514" s="41"/>
      <c r="U514" s="29">
        <f>IF($C514&lt;&gt;"",COUNTIF($C$2:C514,C514),"")</f>
        <v>6</v>
      </c>
      <c r="V514" s="29" t="str">
        <f t="shared" ref="V514:V577" si="34">IF($C514&lt;&gt;"",C514&amp;"§"&amp;U514,"")</f>
        <v>Prof. Dr. Mustafa CANKURTARAN§6</v>
      </c>
      <c r="W514" s="29" t="str">
        <f>IF(U514=1,COUNTIF($U$2:U514,1),"")</f>
        <v/>
      </c>
      <c r="X514" s="29" t="str">
        <f t="shared" ref="X514:X577" si="35">IF(U514=1,SUMPRODUCT(($U$2:$U$1799=1)*($C$2:$C$1799&lt;C514))+1,"")</f>
        <v/>
      </c>
      <c r="Y514" s="29">
        <f>IF(AND(LEFT($B514,7)="SBA 26/",$D514&lt;&gt;"",$F514&lt;&gt;""),COUNTIFS($D$2:$D514,$D514,$B$2:$B514,"SBA 26/*",$F$2:$F514,"&lt;&gt;"),"")</f>
        <v>85</v>
      </c>
      <c r="Z514" s="29" t="str">
        <f>IF(Y514=1,COUNTIF($Y$2:Y514,1),"")</f>
        <v/>
      </c>
      <c r="AA514" s="29">
        <f>IF(AND(LEFT($B514,7)="SBA 26/",$C514&lt;&gt;"",$F514&lt;&gt;""),COUNTIFS($C$2:$C514,$C514,$B$2:$B514,"SBA 26/*",$F$2:$F514,"&lt;&gt;"),"")</f>
        <v>6</v>
      </c>
      <c r="AB514" s="29" t="str">
        <f>IF(AA514=1,COUNTIF($AA$2:AA514,1),"")</f>
        <v/>
      </c>
    </row>
    <row r="515" spans="1:28" ht="63" customHeight="1" x14ac:dyDescent="0.2">
      <c r="A515" s="43" t="s">
        <v>2447</v>
      </c>
      <c r="B515" s="43" t="s">
        <v>2448</v>
      </c>
      <c r="C515" s="44" t="s">
        <v>1052</v>
      </c>
      <c r="D515" s="44" t="s">
        <v>113</v>
      </c>
      <c r="E515" s="45" t="s">
        <v>1053</v>
      </c>
      <c r="F515" s="45" t="s">
        <v>2449</v>
      </c>
      <c r="G515" s="46" t="s">
        <v>38</v>
      </c>
      <c r="H515" s="48">
        <v>46177</v>
      </c>
      <c r="I515" s="48">
        <v>46196</v>
      </c>
      <c r="J515" s="44" t="s">
        <v>109</v>
      </c>
      <c r="K515" s="44" t="s">
        <v>84</v>
      </c>
      <c r="L515" s="50" t="s">
        <v>153</v>
      </c>
      <c r="M515" s="50"/>
      <c r="N515" s="50"/>
      <c r="O515" s="49"/>
      <c r="P515" s="50" t="str">
        <f t="shared" si="32"/>
        <v>KAPSAM DIŞI</v>
      </c>
      <c r="R515" s="51" t="str">
        <f t="shared" si="33"/>
        <v/>
      </c>
      <c r="T515" s="41"/>
      <c r="U515" s="29">
        <f>IF($C515&lt;&gt;"",COUNTIF($C$2:C515,C515),"")</f>
        <v>7</v>
      </c>
      <c r="V515" s="29" t="str">
        <f t="shared" si="34"/>
        <v>Prof. Dr. Mustafa CANKURTARAN§7</v>
      </c>
      <c r="W515" s="29" t="str">
        <f>IF(U515=1,COUNTIF($U$2:U515,1),"")</f>
        <v/>
      </c>
      <c r="X515" s="29" t="str">
        <f t="shared" si="35"/>
        <v/>
      </c>
      <c r="Y515" s="29">
        <f>IF(AND(LEFT($B515,7)="SBA 26/",$D515&lt;&gt;"",$F515&lt;&gt;""),COUNTIFS($D$2:$D515,$D515,$B$2:$B515,"SBA 26/*",$F$2:$F515,"&lt;&gt;"),"")</f>
        <v>86</v>
      </c>
      <c r="Z515" s="29" t="str">
        <f>IF(Y515=1,COUNTIF($Y$2:Y515,1),"")</f>
        <v/>
      </c>
      <c r="AA515" s="29">
        <f>IF(AND(LEFT($B515,7)="SBA 26/",$C515&lt;&gt;"",$F515&lt;&gt;""),COUNTIFS($C$2:$C515,$C515,$B$2:$B515,"SBA 26/*",$F$2:$F515,"&lt;&gt;"),"")</f>
        <v>7</v>
      </c>
      <c r="AB515" s="29" t="str">
        <f>IF(AA515=1,COUNTIF($AA$2:AA515,1),"")</f>
        <v/>
      </c>
    </row>
    <row r="516" spans="1:28" ht="126" customHeight="1" x14ac:dyDescent="0.2">
      <c r="A516" s="43" t="s">
        <v>2450</v>
      </c>
      <c r="B516" s="43" t="s">
        <v>2451</v>
      </c>
      <c r="C516" s="44" t="s">
        <v>2452</v>
      </c>
      <c r="D516" s="44" t="s">
        <v>193</v>
      </c>
      <c r="E516" s="45" t="s">
        <v>2453</v>
      </c>
      <c r="F516" s="45" t="s">
        <v>2454</v>
      </c>
      <c r="G516" s="46" t="s">
        <v>38</v>
      </c>
      <c r="H516" s="48">
        <v>46177</v>
      </c>
      <c r="I516" s="48">
        <v>46196</v>
      </c>
      <c r="J516" s="44" t="s">
        <v>129</v>
      </c>
      <c r="K516" s="44" t="s">
        <v>108</v>
      </c>
      <c r="L516" s="50" t="s">
        <v>218</v>
      </c>
      <c r="M516" s="50"/>
      <c r="N516" s="50"/>
      <c r="O516" s="49"/>
      <c r="P516" s="50" t="str">
        <f t="shared" si="32"/>
        <v>KAEK</v>
      </c>
      <c r="R516" s="51" t="str">
        <f t="shared" si="33"/>
        <v/>
      </c>
      <c r="T516" s="41"/>
      <c r="U516" s="29">
        <f>IF($C516&lt;&gt;"",COUNTIF($C$2:C516,C516),"")</f>
        <v>1</v>
      </c>
      <c r="V516" s="29" t="str">
        <f t="shared" si="34"/>
        <v>Prof. Dr. Hande TAYLAN ŞEKEROĞLU§1</v>
      </c>
      <c r="W516" s="29">
        <f>IF(U516=1,COUNTIF($U$2:U516,1),"")</f>
        <v>275</v>
      </c>
      <c r="X516" s="29">
        <f t="shared" si="35"/>
        <v>239</v>
      </c>
      <c r="Y516" s="29">
        <f>IF(AND(LEFT($B516,7)="SBA 26/",$D516&lt;&gt;"",$F516&lt;&gt;""),COUNTIFS($D$2:$D516,$D516,$B$2:$B516,"SBA 26/*",$F$2:$F516,"&lt;&gt;"),"")</f>
        <v>15</v>
      </c>
      <c r="Z516" s="29" t="str">
        <f>IF(Y516=1,COUNTIF($Y$2:Y516,1),"")</f>
        <v/>
      </c>
      <c r="AA516" s="29">
        <f>IF(AND(LEFT($B516,7)="SBA 26/",$C516&lt;&gt;"",$F516&lt;&gt;""),COUNTIFS($C$2:$C516,$C516,$B$2:$B516,"SBA 26/*",$F$2:$F516,"&lt;&gt;"),"")</f>
        <v>1</v>
      </c>
      <c r="AB516" s="29">
        <f>IF(AA516=1,COUNTIF($AA$2:AA516,1),"")</f>
        <v>275</v>
      </c>
    </row>
    <row r="517" spans="1:28" ht="78.75" customHeight="1" x14ac:dyDescent="0.2">
      <c r="A517" s="43" t="s">
        <v>2455</v>
      </c>
      <c r="B517" s="43" t="s">
        <v>2456</v>
      </c>
      <c r="C517" s="44" t="s">
        <v>112</v>
      </c>
      <c r="D517" s="44" t="s">
        <v>113</v>
      </c>
      <c r="E517" s="45" t="s">
        <v>2457</v>
      </c>
      <c r="F517" s="45" t="s">
        <v>2458</v>
      </c>
      <c r="G517" s="46" t="s">
        <v>38</v>
      </c>
      <c r="H517" s="48">
        <v>46177</v>
      </c>
      <c r="I517" s="48">
        <v>46196</v>
      </c>
      <c r="J517" s="44" t="s">
        <v>91</v>
      </c>
      <c r="K517" s="44" t="s">
        <v>92</v>
      </c>
      <c r="L517" s="50" t="s">
        <v>172</v>
      </c>
      <c r="M517" s="50"/>
      <c r="N517" s="50"/>
      <c r="O517" s="49"/>
      <c r="P517" s="50" t="str">
        <f t="shared" si="32"/>
        <v>RET</v>
      </c>
      <c r="R517" s="51" t="str">
        <f t="shared" si="33"/>
        <v/>
      </c>
      <c r="T517" s="41"/>
      <c r="U517" s="29">
        <f>IF($C517&lt;&gt;"",COUNTIF($C$2:C517,C517),"")</f>
        <v>15</v>
      </c>
      <c r="V517" s="29" t="str">
        <f t="shared" si="34"/>
        <v>Prof. Dr. Meltem Gülhan HALİL§15</v>
      </c>
      <c r="W517" s="29" t="str">
        <f>IF(U517=1,COUNTIF($U$2:U517,1),"")</f>
        <v/>
      </c>
      <c r="X517" s="29" t="str">
        <f t="shared" si="35"/>
        <v/>
      </c>
      <c r="Y517" s="29">
        <f>IF(AND(LEFT($B517,7)="SBA 26/",$D517&lt;&gt;"",$F517&lt;&gt;""),COUNTIFS($D$2:$D517,$D517,$B$2:$B517,"SBA 26/*",$F$2:$F517,"&lt;&gt;"),"")</f>
        <v>87</v>
      </c>
      <c r="Z517" s="29" t="str">
        <f>IF(Y517=1,COUNTIF($Y$2:Y517,1),"")</f>
        <v/>
      </c>
      <c r="AA517" s="29">
        <f>IF(AND(LEFT($B517,7)="SBA 26/",$C517&lt;&gt;"",$F517&lt;&gt;""),COUNTIFS($C$2:$C517,$C517,$B$2:$B517,"SBA 26/*",$F$2:$F517,"&lt;&gt;"),"")</f>
        <v>15</v>
      </c>
      <c r="AB517" s="29" t="str">
        <f>IF(AA517=1,COUNTIF($AA$2:AA517,1),"")</f>
        <v/>
      </c>
    </row>
    <row r="518" spans="1:28" ht="63" customHeight="1" x14ac:dyDescent="0.2">
      <c r="A518" s="43" t="s">
        <v>2459</v>
      </c>
      <c r="B518" s="43" t="s">
        <v>2460</v>
      </c>
      <c r="C518" s="44" t="s">
        <v>2461</v>
      </c>
      <c r="D518" s="44" t="s">
        <v>385</v>
      </c>
      <c r="E518" s="45" t="s">
        <v>2462</v>
      </c>
      <c r="F518" s="45" t="s">
        <v>2463</v>
      </c>
      <c r="G518" s="46" t="s">
        <v>38</v>
      </c>
      <c r="H518" s="48">
        <v>46177</v>
      </c>
      <c r="I518" s="48">
        <v>46196</v>
      </c>
      <c r="J518" s="44" t="s">
        <v>76</v>
      </c>
      <c r="K518" s="44" t="s">
        <v>116</v>
      </c>
      <c r="L518" s="50" t="s">
        <v>101</v>
      </c>
      <c r="M518" s="50" t="s">
        <v>77</v>
      </c>
      <c r="N518" s="50"/>
      <c r="O518" s="49"/>
      <c r="P518" s="50" t="str">
        <f t="shared" si="32"/>
        <v>ONAY</v>
      </c>
      <c r="Q518" s="28" t="s">
        <v>76</v>
      </c>
      <c r="R518" s="51" t="str">
        <f t="shared" si="33"/>
        <v/>
      </c>
      <c r="T518" s="41"/>
      <c r="U518" s="29">
        <f>IF($C518&lt;&gt;"",COUNTIF($C$2:C518,C518),"")</f>
        <v>1</v>
      </c>
      <c r="V518" s="29" t="str">
        <f t="shared" si="34"/>
        <v>Dr. Öğr. Üyesi Bekir ERDEVE§1</v>
      </c>
      <c r="W518" s="29">
        <f>IF(U518=1,COUNTIF($U$2:U518,1),"")</f>
        <v>276</v>
      </c>
      <c r="X518" s="29">
        <f t="shared" si="35"/>
        <v>119</v>
      </c>
      <c r="Y518" s="29">
        <f>IF(AND(LEFT($B518,7)="SBA 26/",$D518&lt;&gt;"",$F518&lt;&gt;""),COUNTIFS($D$2:$D518,$D518,$B$2:$B518,"SBA 26/*",$F$2:$F518,"&lt;&gt;"),"")</f>
        <v>10</v>
      </c>
      <c r="Z518" s="29" t="str">
        <f>IF(Y518=1,COUNTIF($Y$2:Y518,1),"")</f>
        <v/>
      </c>
      <c r="AA518" s="29">
        <f>IF(AND(LEFT($B518,7)="SBA 26/",$C518&lt;&gt;"",$F518&lt;&gt;""),COUNTIFS($C$2:$C518,$C518,$B$2:$B518,"SBA 26/*",$F$2:$F518,"&lt;&gt;"),"")</f>
        <v>1</v>
      </c>
      <c r="AB518" s="29">
        <f>IF(AA518=1,COUNTIF($AA$2:AA518,1),"")</f>
        <v>276</v>
      </c>
    </row>
    <row r="519" spans="1:28" ht="97.5" customHeight="1" x14ac:dyDescent="0.2">
      <c r="A519" s="43" t="s">
        <v>2464</v>
      </c>
      <c r="B519" s="43" t="s">
        <v>2465</v>
      </c>
      <c r="C519" s="44" t="s">
        <v>1498</v>
      </c>
      <c r="D519" s="44" t="s">
        <v>113</v>
      </c>
      <c r="E519" s="45" t="s">
        <v>2466</v>
      </c>
      <c r="F519" s="45" t="s">
        <v>2467</v>
      </c>
      <c r="G519" s="46" t="s">
        <v>38</v>
      </c>
      <c r="H519" s="48">
        <v>46177</v>
      </c>
      <c r="I519" s="48">
        <v>46196</v>
      </c>
      <c r="J519" s="44" t="s">
        <v>109</v>
      </c>
      <c r="K519" s="44" t="s">
        <v>129</v>
      </c>
      <c r="L519" s="50" t="s">
        <v>101</v>
      </c>
      <c r="M519" s="50" t="s">
        <v>77</v>
      </c>
      <c r="N519" s="50"/>
      <c r="O519" s="49"/>
      <c r="P519" s="50" t="str">
        <f t="shared" si="32"/>
        <v>ONAY</v>
      </c>
      <c r="Q519" s="28" t="s">
        <v>109</v>
      </c>
      <c r="R519" s="51" t="str">
        <f t="shared" si="33"/>
        <v/>
      </c>
      <c r="T519" s="41"/>
      <c r="U519" s="29">
        <f>IF($C519&lt;&gt;"",COUNTIF($C$2:C519,C519),"")</f>
        <v>2</v>
      </c>
      <c r="V519" s="29" t="str">
        <f t="shared" si="34"/>
        <v>Prof. Dr. Hakan GÖKER§2</v>
      </c>
      <c r="W519" s="29" t="str">
        <f>IF(U519=1,COUNTIF($U$2:U519,1),"")</f>
        <v/>
      </c>
      <c r="X519" s="29" t="str">
        <f t="shared" si="35"/>
        <v/>
      </c>
      <c r="Y519" s="29">
        <f>IF(AND(LEFT($B519,7)="SBA 26/",$D519&lt;&gt;"",$F519&lt;&gt;""),COUNTIFS($D$2:$D519,$D519,$B$2:$B519,"SBA 26/*",$F$2:$F519,"&lt;&gt;"),"")</f>
        <v>88</v>
      </c>
      <c r="Z519" s="29" t="str">
        <f>IF(Y519=1,COUNTIF($Y$2:Y519,1),"")</f>
        <v/>
      </c>
      <c r="AA519" s="29">
        <f>IF(AND(LEFT($B519,7)="SBA 26/",$C519&lt;&gt;"",$F519&lt;&gt;""),COUNTIFS($C$2:$C519,$C519,$B$2:$B519,"SBA 26/*",$F$2:$F519,"&lt;&gt;"),"")</f>
        <v>2</v>
      </c>
      <c r="AB519" s="29" t="str">
        <f>IF(AA519=1,COUNTIF($AA$2:AA519,1),"")</f>
        <v/>
      </c>
    </row>
    <row r="520" spans="1:28" ht="94.5" customHeight="1" x14ac:dyDescent="0.2">
      <c r="A520" s="43" t="s">
        <v>2468</v>
      </c>
      <c r="B520" s="43" t="s">
        <v>2469</v>
      </c>
      <c r="C520" s="44" t="s">
        <v>2470</v>
      </c>
      <c r="D520" s="44" t="s">
        <v>2471</v>
      </c>
      <c r="E520" s="45" t="s">
        <v>2472</v>
      </c>
      <c r="F520" s="45" t="s">
        <v>2473</v>
      </c>
      <c r="G520" s="46" t="s">
        <v>38</v>
      </c>
      <c r="H520" s="48">
        <v>46177</v>
      </c>
      <c r="I520" s="48">
        <v>46196</v>
      </c>
      <c r="J520" s="44" t="s">
        <v>108</v>
      </c>
      <c r="K520" s="44" t="s">
        <v>91</v>
      </c>
      <c r="L520" s="50" t="s">
        <v>101</v>
      </c>
      <c r="M520" s="50"/>
      <c r="N520" s="50"/>
      <c r="O520" s="49"/>
      <c r="P520" s="50" t="str">
        <f t="shared" si="32"/>
        <v>DÜZELTME</v>
      </c>
      <c r="R520" s="51" t="str">
        <f t="shared" si="33"/>
        <v/>
      </c>
      <c r="T520" s="41"/>
      <c r="U520" s="29">
        <f>IF($C520&lt;&gt;"",COUNTIF($C$2:C520,C520),"")</f>
        <v>1</v>
      </c>
      <c r="V520" s="29" t="str">
        <f t="shared" si="34"/>
        <v>Doç. Dr. Şahin HANALİOĞLU§1</v>
      </c>
      <c r="W520" s="29">
        <f>IF(U520=1,COUNTIF($U$2:U520,1),"")</f>
        <v>277</v>
      </c>
      <c r="X520" s="29">
        <f t="shared" si="35"/>
        <v>98</v>
      </c>
      <c r="Y520" s="29">
        <f>IF(AND(LEFT($B520,7)="SBA 26/",$D520&lt;&gt;"",$F520&lt;&gt;""),COUNTIFS($D$2:$D520,$D520,$B$2:$B520,"SBA 26/*",$F$2:$F520,"&lt;&gt;"),"")</f>
        <v>1</v>
      </c>
      <c r="Z520" s="29">
        <f>IF(Y520=1,COUNTIF($Y$2:Y520,1),"")</f>
        <v>72</v>
      </c>
      <c r="AA520" s="29">
        <f>IF(AND(LEFT($B520,7)="SBA 26/",$C520&lt;&gt;"",$F520&lt;&gt;""),COUNTIFS($C$2:$C520,$C520,$B$2:$B520,"SBA 26/*",$F$2:$F520,"&lt;&gt;"),"")</f>
        <v>1</v>
      </c>
      <c r="AB520" s="29">
        <f>IF(AA520=1,COUNTIF($AA$2:AA520,1),"")</f>
        <v>277</v>
      </c>
    </row>
    <row r="521" spans="1:28" ht="47.25" customHeight="1" x14ac:dyDescent="0.2">
      <c r="A521" s="43" t="s">
        <v>2474</v>
      </c>
      <c r="B521" s="43" t="s">
        <v>2475</v>
      </c>
      <c r="C521" s="44" t="s">
        <v>2202</v>
      </c>
      <c r="D521" s="44" t="s">
        <v>234</v>
      </c>
      <c r="E521" s="45" t="s">
        <v>2203</v>
      </c>
      <c r="F521" s="45" t="s">
        <v>2476</v>
      </c>
      <c r="G521" s="46" t="s">
        <v>38</v>
      </c>
      <c r="H521" s="48">
        <v>46178</v>
      </c>
      <c r="I521" s="48">
        <v>46196</v>
      </c>
      <c r="J521" s="44" t="s">
        <v>123</v>
      </c>
      <c r="K521" s="44" t="s">
        <v>100</v>
      </c>
      <c r="L521" s="50" t="s">
        <v>77</v>
      </c>
      <c r="M521" s="50"/>
      <c r="N521" s="50"/>
      <c r="O521" s="49"/>
      <c r="P521" s="50" t="str">
        <f t="shared" si="32"/>
        <v>ONAY</v>
      </c>
      <c r="R521" s="51" t="str">
        <f t="shared" si="33"/>
        <v/>
      </c>
      <c r="T521" s="41"/>
      <c r="U521" s="29">
        <f>IF($C521&lt;&gt;"",COUNTIF($C$2:C521,C521),"")</f>
        <v>4</v>
      </c>
      <c r="V521" s="29" t="str">
        <f t="shared" si="34"/>
        <v>Doç. Dr. Ahmet KIVRAK§4</v>
      </c>
      <c r="W521" s="29" t="str">
        <f>IF(U521=1,COUNTIF($U$2:U521,1),"")</f>
        <v/>
      </c>
      <c r="X521" s="29" t="str">
        <f t="shared" si="35"/>
        <v/>
      </c>
      <c r="Y521" s="29">
        <f>IF(AND(LEFT($B521,7)="SBA 26/",$D521&lt;&gt;"",$F521&lt;&gt;""),COUNTIFS($D$2:$D521,$D521,$B$2:$B521,"SBA 26/*",$F$2:$F521,"&lt;&gt;"),"")</f>
        <v>15</v>
      </c>
      <c r="Z521" s="29" t="str">
        <f>IF(Y521=1,COUNTIF($Y$2:Y521,1),"")</f>
        <v/>
      </c>
      <c r="AA521" s="29">
        <f>IF(AND(LEFT($B521,7)="SBA 26/",$C521&lt;&gt;"",$F521&lt;&gt;""),COUNTIFS($C$2:$C521,$C521,$B$2:$B521,"SBA 26/*",$F$2:$F521,"&lt;&gt;"),"")</f>
        <v>4</v>
      </c>
      <c r="AB521" s="29" t="str">
        <f>IF(AA521=1,COUNTIF($AA$2:AA521,1),"")</f>
        <v/>
      </c>
    </row>
    <row r="522" spans="1:28" ht="63" customHeight="1" x14ac:dyDescent="0.2">
      <c r="A522" s="43" t="s">
        <v>2477</v>
      </c>
      <c r="B522" s="43" t="s">
        <v>2478</v>
      </c>
      <c r="C522" s="44" t="s">
        <v>384</v>
      </c>
      <c r="D522" s="44" t="s">
        <v>385</v>
      </c>
      <c r="E522" s="45" t="s">
        <v>2479</v>
      </c>
      <c r="F522" s="45" t="s">
        <v>2480</v>
      </c>
      <c r="G522" s="46" t="s">
        <v>38</v>
      </c>
      <c r="H522" s="48">
        <v>46178</v>
      </c>
      <c r="I522" s="48">
        <v>46196</v>
      </c>
      <c r="J522" s="44" t="s">
        <v>92</v>
      </c>
      <c r="K522" s="44" t="s">
        <v>123</v>
      </c>
      <c r="L522" s="50" t="s">
        <v>77</v>
      </c>
      <c r="M522" s="50"/>
      <c r="N522" s="50"/>
      <c r="O522" s="49"/>
      <c r="P522" s="50" t="str">
        <f t="shared" si="32"/>
        <v>ONAY</v>
      </c>
      <c r="R522" s="51" t="str">
        <f t="shared" si="33"/>
        <v/>
      </c>
      <c r="T522" s="41"/>
      <c r="U522" s="29">
        <f>IF($C522&lt;&gt;"",COUNTIF($C$2:C522,C522),"")</f>
        <v>5</v>
      </c>
      <c r="V522" s="29" t="str">
        <f t="shared" si="34"/>
        <v>Prof. Dr. Tutku SOYER§5</v>
      </c>
      <c r="W522" s="29" t="str">
        <f>IF(U522=1,COUNTIF($U$2:U522,1),"")</f>
        <v/>
      </c>
      <c r="X522" s="29" t="str">
        <f t="shared" si="35"/>
        <v/>
      </c>
      <c r="Y522" s="29">
        <f>IF(AND(LEFT($B522,7)="SBA 26/",$D522&lt;&gt;"",$F522&lt;&gt;""),COUNTIFS($D$2:$D522,$D522,$B$2:$B522,"SBA 26/*",$F$2:$F522,"&lt;&gt;"),"")</f>
        <v>11</v>
      </c>
      <c r="Z522" s="29" t="str">
        <f>IF(Y522=1,COUNTIF($Y$2:Y522,1),"")</f>
        <v/>
      </c>
      <c r="AA522" s="29">
        <f>IF(AND(LEFT($B522,7)="SBA 26/",$C522&lt;&gt;"",$F522&lt;&gt;""),COUNTIFS($C$2:$C522,$C522,$B$2:$B522,"SBA 26/*",$F$2:$F522,"&lt;&gt;"),"")</f>
        <v>5</v>
      </c>
      <c r="AB522" s="29" t="str">
        <f>IF(AA522=1,COUNTIF($AA$2:AA522,1),"")</f>
        <v/>
      </c>
    </row>
    <row r="523" spans="1:28" ht="63" customHeight="1" x14ac:dyDescent="0.2">
      <c r="A523" s="43" t="s">
        <v>2481</v>
      </c>
      <c r="B523" s="43" t="s">
        <v>2482</v>
      </c>
      <c r="C523" s="44" t="s">
        <v>1585</v>
      </c>
      <c r="D523" s="44" t="s">
        <v>113</v>
      </c>
      <c r="E523" s="45" t="s">
        <v>2483</v>
      </c>
      <c r="F523" s="45" t="s">
        <v>2484</v>
      </c>
      <c r="G523" s="46" t="s">
        <v>38</v>
      </c>
      <c r="H523" s="48">
        <v>46178</v>
      </c>
      <c r="I523" s="48">
        <v>46196</v>
      </c>
      <c r="J523" s="44" t="s">
        <v>129</v>
      </c>
      <c r="K523" s="44" t="s">
        <v>123</v>
      </c>
      <c r="L523" s="50" t="s">
        <v>101</v>
      </c>
      <c r="M523" s="50" t="s">
        <v>77</v>
      </c>
      <c r="N523" s="50"/>
      <c r="O523" s="49"/>
      <c r="P523" s="50" t="str">
        <f t="shared" si="32"/>
        <v>ONAY</v>
      </c>
      <c r="Q523" s="28" t="s">
        <v>129</v>
      </c>
      <c r="R523" s="51" t="str">
        <f t="shared" si="33"/>
        <v/>
      </c>
      <c r="T523" s="41"/>
      <c r="U523" s="29">
        <f>IF($C523&lt;&gt;"",COUNTIF($C$2:C523,C523),"")</f>
        <v>6</v>
      </c>
      <c r="V523" s="29" t="str">
        <f t="shared" si="34"/>
        <v>Doç. Dr. Cafer BALCI§6</v>
      </c>
      <c r="W523" s="29" t="str">
        <f>IF(U523=1,COUNTIF($U$2:U523,1),"")</f>
        <v/>
      </c>
      <c r="X523" s="29" t="str">
        <f t="shared" si="35"/>
        <v/>
      </c>
      <c r="Y523" s="29">
        <f>IF(AND(LEFT($B523,7)="SBA 26/",$D523&lt;&gt;"",$F523&lt;&gt;""),COUNTIFS($D$2:$D523,$D523,$B$2:$B523,"SBA 26/*",$F$2:$F523,"&lt;&gt;"),"")</f>
        <v>89</v>
      </c>
      <c r="Z523" s="29" t="str">
        <f>IF(Y523=1,COUNTIF($Y$2:Y523,1),"")</f>
        <v/>
      </c>
      <c r="AA523" s="29">
        <f>IF(AND(LEFT($B523,7)="SBA 26/",$C523&lt;&gt;"",$F523&lt;&gt;""),COUNTIFS($C$2:$C523,$C523,$B$2:$B523,"SBA 26/*",$F$2:$F523,"&lt;&gt;"),"")</f>
        <v>6</v>
      </c>
      <c r="AB523" s="29" t="str">
        <f>IF(AA523=1,COUNTIF($AA$2:AA523,1),"")</f>
        <v/>
      </c>
    </row>
    <row r="524" spans="1:28" ht="94.5" customHeight="1" x14ac:dyDescent="0.2">
      <c r="A524" s="43" t="s">
        <v>2485</v>
      </c>
      <c r="B524" s="43" t="s">
        <v>2486</v>
      </c>
      <c r="C524" s="44" t="s">
        <v>384</v>
      </c>
      <c r="D524" s="44" t="s">
        <v>385</v>
      </c>
      <c r="E524" s="45" t="s">
        <v>2487</v>
      </c>
      <c r="F524" s="45" t="s">
        <v>2488</v>
      </c>
      <c r="G524" s="46" t="s">
        <v>39</v>
      </c>
      <c r="H524" s="48">
        <v>46178</v>
      </c>
      <c r="I524" s="48">
        <v>46196</v>
      </c>
      <c r="J524" s="44" t="s">
        <v>108</v>
      </c>
      <c r="K524" s="44" t="s">
        <v>84</v>
      </c>
      <c r="L524" s="50" t="s">
        <v>77</v>
      </c>
      <c r="M524" s="50"/>
      <c r="N524" s="50"/>
      <c r="O524" s="49"/>
      <c r="P524" s="50" t="str">
        <f t="shared" si="32"/>
        <v>ONAY</v>
      </c>
      <c r="R524" s="51" t="str">
        <f t="shared" si="33"/>
        <v/>
      </c>
      <c r="T524" s="41"/>
      <c r="U524" s="29">
        <f>IF($C524&lt;&gt;"",COUNTIF($C$2:C524,C524),"")</f>
        <v>6</v>
      </c>
      <c r="V524" s="29" t="str">
        <f t="shared" si="34"/>
        <v>Prof. Dr. Tutku SOYER§6</v>
      </c>
      <c r="W524" s="29" t="str">
        <f>IF(U524=1,COUNTIF($U$2:U524,1),"")</f>
        <v/>
      </c>
      <c r="X524" s="29" t="str">
        <f t="shared" si="35"/>
        <v/>
      </c>
      <c r="Y524" s="29">
        <f>IF(AND(LEFT($B524,7)="SBA 26/",$D524&lt;&gt;"",$F524&lt;&gt;""),COUNTIFS($D$2:$D524,$D524,$B$2:$B524,"SBA 26/*",$F$2:$F524,"&lt;&gt;"),"")</f>
        <v>12</v>
      </c>
      <c r="Z524" s="29" t="str">
        <f>IF(Y524=1,COUNTIF($Y$2:Y524,1),"")</f>
        <v/>
      </c>
      <c r="AA524" s="29">
        <f>IF(AND(LEFT($B524,7)="SBA 26/",$C524&lt;&gt;"",$F524&lt;&gt;""),COUNTIFS($C$2:$C524,$C524,$B$2:$B524,"SBA 26/*",$F$2:$F524,"&lt;&gt;"),"")</f>
        <v>6</v>
      </c>
      <c r="AB524" s="29" t="str">
        <f>IF(AA524=1,COUNTIF($AA$2:AA524,1),"")</f>
        <v/>
      </c>
    </row>
    <row r="525" spans="1:28" ht="129" customHeight="1" x14ac:dyDescent="0.2">
      <c r="A525" s="43" t="s">
        <v>2489</v>
      </c>
      <c r="B525" s="43" t="s">
        <v>2490</v>
      </c>
      <c r="C525" s="44" t="s">
        <v>1528</v>
      </c>
      <c r="D525" s="44" t="s">
        <v>234</v>
      </c>
      <c r="E525" s="45" t="s">
        <v>2491</v>
      </c>
      <c r="F525" s="45" t="s">
        <v>2492</v>
      </c>
      <c r="G525" s="46" t="s">
        <v>38</v>
      </c>
      <c r="H525" s="48">
        <v>46178</v>
      </c>
      <c r="I525" s="48">
        <v>46196</v>
      </c>
      <c r="J525" s="44" t="s">
        <v>92</v>
      </c>
      <c r="K525" s="44" t="s">
        <v>108</v>
      </c>
      <c r="L525" s="50" t="s">
        <v>218</v>
      </c>
      <c r="M525" s="50"/>
      <c r="N525" s="50"/>
      <c r="O525" s="49"/>
      <c r="P525" s="50" t="str">
        <f t="shared" si="32"/>
        <v>KAEK</v>
      </c>
      <c r="R525" s="51" t="str">
        <f t="shared" si="33"/>
        <v/>
      </c>
      <c r="T525" s="41"/>
      <c r="U525" s="29">
        <f>IF($C525&lt;&gt;"",COUNTIF($C$2:C525,C525),"")</f>
        <v>5</v>
      </c>
      <c r="V525" s="29" t="str">
        <f t="shared" si="34"/>
        <v>Doç. Dr. Cem ÇÖTELİ§5</v>
      </c>
      <c r="W525" s="29" t="str">
        <f>IF(U525=1,COUNTIF($U$2:U525,1),"")</f>
        <v/>
      </c>
      <c r="X525" s="29" t="str">
        <f t="shared" si="35"/>
        <v/>
      </c>
      <c r="Y525" s="29">
        <f>IF(AND(LEFT($B525,7)="SBA 26/",$D525&lt;&gt;"",$F525&lt;&gt;""),COUNTIFS($D$2:$D525,$D525,$B$2:$B525,"SBA 26/*",$F$2:$F525,"&lt;&gt;"),"")</f>
        <v>16</v>
      </c>
      <c r="Z525" s="29" t="str">
        <f>IF(Y525=1,COUNTIF($Y$2:Y525,1),"")</f>
        <v/>
      </c>
      <c r="AA525" s="29">
        <f>IF(AND(LEFT($B525,7)="SBA 26/",$C525&lt;&gt;"",$F525&lt;&gt;""),COUNTIFS($C$2:$C525,$C525,$B$2:$B525,"SBA 26/*",$F$2:$F525,"&lt;&gt;"),"")</f>
        <v>5</v>
      </c>
      <c r="AB525" s="29" t="str">
        <f>IF(AA525=1,COUNTIF($AA$2:AA525,1),"")</f>
        <v/>
      </c>
    </row>
    <row r="526" spans="1:28" ht="63" customHeight="1" x14ac:dyDescent="0.2">
      <c r="A526" s="43" t="s">
        <v>2493</v>
      </c>
      <c r="B526" s="43" t="s">
        <v>2494</v>
      </c>
      <c r="C526" s="44" t="s">
        <v>524</v>
      </c>
      <c r="D526" s="44" t="s">
        <v>113</v>
      </c>
      <c r="E526" s="45" t="s">
        <v>2495</v>
      </c>
      <c r="F526" s="45" t="s">
        <v>2496</v>
      </c>
      <c r="G526" s="46" t="s">
        <v>38</v>
      </c>
      <c r="H526" s="48">
        <v>46178</v>
      </c>
      <c r="I526" s="48">
        <v>46196</v>
      </c>
      <c r="J526" s="44" t="s">
        <v>109</v>
      </c>
      <c r="K526" s="44" t="s">
        <v>100</v>
      </c>
      <c r="L526" s="50" t="s">
        <v>77</v>
      </c>
      <c r="M526" s="50"/>
      <c r="N526" s="50"/>
      <c r="O526" s="49"/>
      <c r="P526" s="50" t="str">
        <f t="shared" si="32"/>
        <v>ONAY</v>
      </c>
      <c r="R526" s="51" t="str">
        <f t="shared" si="33"/>
        <v/>
      </c>
      <c r="T526" s="41"/>
      <c r="U526" s="29">
        <f>IF($C526&lt;&gt;"",COUNTIF($C$2:C526,C526),"")</f>
        <v>8</v>
      </c>
      <c r="V526" s="29" t="str">
        <f t="shared" si="34"/>
        <v>Doç. Dr. Mert EŞME§8</v>
      </c>
      <c r="W526" s="29" t="str">
        <f>IF(U526=1,COUNTIF($U$2:U526,1),"")</f>
        <v/>
      </c>
      <c r="X526" s="29" t="str">
        <f t="shared" si="35"/>
        <v/>
      </c>
      <c r="Y526" s="29">
        <f>IF(AND(LEFT($B526,7)="SBA 26/",$D526&lt;&gt;"",$F526&lt;&gt;""),COUNTIFS($D$2:$D526,$D526,$B$2:$B526,"SBA 26/*",$F$2:$F526,"&lt;&gt;"),"")</f>
        <v>90</v>
      </c>
      <c r="Z526" s="29" t="str">
        <f>IF(Y526=1,COUNTIF($Y$2:Y526,1),"")</f>
        <v/>
      </c>
      <c r="AA526" s="29">
        <f>IF(AND(LEFT($B526,7)="SBA 26/",$C526&lt;&gt;"",$F526&lt;&gt;""),COUNTIFS($C$2:$C526,$C526,$B$2:$B526,"SBA 26/*",$F$2:$F526,"&lt;&gt;"),"")</f>
        <v>8</v>
      </c>
      <c r="AB526" s="29" t="str">
        <f>IF(AA526=1,COUNTIF($AA$2:AA526,1),"")</f>
        <v/>
      </c>
    </row>
    <row r="527" spans="1:28" ht="78.75" customHeight="1" x14ac:dyDescent="0.2">
      <c r="A527" s="43" t="s">
        <v>2497</v>
      </c>
      <c r="B527" s="43" t="s">
        <v>2498</v>
      </c>
      <c r="C527" s="44" t="s">
        <v>2499</v>
      </c>
      <c r="D527" s="44" t="s">
        <v>2471</v>
      </c>
      <c r="E527" s="45" t="s">
        <v>2500</v>
      </c>
      <c r="F527" s="45" t="s">
        <v>2501</v>
      </c>
      <c r="G527" s="46" t="s">
        <v>40</v>
      </c>
      <c r="H527" s="48">
        <v>46178</v>
      </c>
      <c r="I527" s="48">
        <v>46196</v>
      </c>
      <c r="J527" s="44" t="s">
        <v>108</v>
      </c>
      <c r="K527" s="44" t="s">
        <v>91</v>
      </c>
      <c r="L527" s="50" t="s">
        <v>77</v>
      </c>
      <c r="M527" s="50"/>
      <c r="N527" s="50"/>
      <c r="O527" s="49"/>
      <c r="P527" s="50" t="str">
        <f t="shared" si="32"/>
        <v>ONAY</v>
      </c>
      <c r="R527" s="51" t="str">
        <f t="shared" si="33"/>
        <v/>
      </c>
      <c r="T527" s="41"/>
      <c r="U527" s="29">
        <f>IF($C527&lt;&gt;"",COUNTIF($C$2:C527,C527),"")</f>
        <v>1</v>
      </c>
      <c r="V527" s="29" t="str">
        <f t="shared" si="34"/>
        <v>Prof. Dr. Mustafa BERKER§1</v>
      </c>
      <c r="W527" s="29">
        <f>IF(U527=1,COUNTIF($U$2:U527,1),"")</f>
        <v>278</v>
      </c>
      <c r="X527" s="29">
        <f t="shared" si="35"/>
        <v>270</v>
      </c>
      <c r="Y527" s="29">
        <f>IF(AND(LEFT($B527,7)="SBA 26/",$D527&lt;&gt;"",$F527&lt;&gt;""),COUNTIFS($D$2:$D527,$D527,$B$2:$B527,"SBA 26/*",$F$2:$F527,"&lt;&gt;"),"")</f>
        <v>2</v>
      </c>
      <c r="Z527" s="29" t="str">
        <f>IF(Y527=1,COUNTIF($Y$2:Y527,1),"")</f>
        <v/>
      </c>
      <c r="AA527" s="29">
        <f>IF(AND(LEFT($B527,7)="SBA 26/",$C527&lt;&gt;"",$F527&lt;&gt;""),COUNTIFS($C$2:$C527,$C527,$B$2:$B527,"SBA 26/*",$F$2:$F527,"&lt;&gt;"),"")</f>
        <v>1</v>
      </c>
      <c r="AB527" s="29">
        <f>IF(AA527=1,COUNTIF($AA$2:AA527,1),"")</f>
        <v>278</v>
      </c>
    </row>
    <row r="528" spans="1:28" ht="63" customHeight="1" x14ac:dyDescent="0.2">
      <c r="A528" s="43" t="s">
        <v>2502</v>
      </c>
      <c r="B528" s="43" t="s">
        <v>2503</v>
      </c>
      <c r="C528" s="44" t="s">
        <v>2504</v>
      </c>
      <c r="D528" s="44" t="s">
        <v>2505</v>
      </c>
      <c r="E528" s="45" t="s">
        <v>2506</v>
      </c>
      <c r="F528" s="45" t="s">
        <v>2507</v>
      </c>
      <c r="G528" s="46" t="s">
        <v>40</v>
      </c>
      <c r="H528" s="48">
        <v>46178</v>
      </c>
      <c r="I528" s="48">
        <v>46196</v>
      </c>
      <c r="J528" s="44" t="s">
        <v>75</v>
      </c>
      <c r="K528" s="44" t="s">
        <v>116</v>
      </c>
      <c r="L528" s="50" t="s">
        <v>101</v>
      </c>
      <c r="M528" s="50" t="s">
        <v>77</v>
      </c>
      <c r="N528" s="50"/>
      <c r="O528" s="49"/>
      <c r="P528" s="50" t="str">
        <f t="shared" si="32"/>
        <v>ONAY</v>
      </c>
      <c r="Q528" s="28" t="s">
        <v>75</v>
      </c>
      <c r="R528" s="51" t="str">
        <f t="shared" si="33"/>
        <v/>
      </c>
      <c r="T528" s="41"/>
      <c r="U528" s="29">
        <f>IF($C528&lt;&gt;"",COUNTIF($C$2:C528,C528),"")</f>
        <v>1</v>
      </c>
      <c r="V528" s="29" t="str">
        <f t="shared" si="34"/>
        <v>Doç. Dr. Evren SERTALP§1</v>
      </c>
      <c r="W528" s="29">
        <f>IF(U528=1,COUNTIF($U$2:U528,1),"")</f>
        <v>279</v>
      </c>
      <c r="X528" s="29">
        <f t="shared" si="35"/>
        <v>48</v>
      </c>
      <c r="Y528" s="29">
        <f>IF(AND(LEFT($B528,7)="SBA 26/",$D528&lt;&gt;"",$F528&lt;&gt;""),COUNTIFS($D$2:$D528,$D528,$B$2:$B528,"SBA 26/*",$F$2:$F528,"&lt;&gt;"),"")</f>
        <v>1</v>
      </c>
      <c r="Z528" s="29">
        <f>IF(Y528=1,COUNTIF($Y$2:Y528,1),"")</f>
        <v>73</v>
      </c>
      <c r="AA528" s="29">
        <f>IF(AND(LEFT($B528,7)="SBA 26/",$C528&lt;&gt;"",$F528&lt;&gt;""),COUNTIFS($C$2:$C528,$C528,$B$2:$B528,"SBA 26/*",$F$2:$F528,"&lt;&gt;"),"")</f>
        <v>1</v>
      </c>
      <c r="AB528" s="29">
        <f>IF(AA528=1,COUNTIF($AA$2:AA528,1),"")</f>
        <v>279</v>
      </c>
    </row>
    <row r="529" spans="1:28" ht="63" customHeight="1" x14ac:dyDescent="0.2">
      <c r="A529" s="43" t="s">
        <v>2508</v>
      </c>
      <c r="B529" s="43" t="s">
        <v>2509</v>
      </c>
      <c r="C529" s="44" t="s">
        <v>2510</v>
      </c>
      <c r="D529" s="44" t="s">
        <v>113</v>
      </c>
      <c r="E529" s="45" t="s">
        <v>2511</v>
      </c>
      <c r="F529" s="45" t="s">
        <v>2512</v>
      </c>
      <c r="G529" s="46" t="s">
        <v>38</v>
      </c>
      <c r="H529" s="48">
        <v>46178</v>
      </c>
      <c r="I529" s="48">
        <v>46196</v>
      </c>
      <c r="J529" s="44" t="s">
        <v>91</v>
      </c>
      <c r="K529" s="44" t="s">
        <v>108</v>
      </c>
      <c r="L529" s="50" t="s">
        <v>101</v>
      </c>
      <c r="M529" s="50"/>
      <c r="N529" s="50"/>
      <c r="O529" s="49"/>
      <c r="P529" s="50" t="str">
        <f t="shared" si="32"/>
        <v>DÜZELTME</v>
      </c>
      <c r="R529" s="51" t="str">
        <f t="shared" si="33"/>
        <v/>
      </c>
      <c r="T529" s="41"/>
      <c r="U529" s="29">
        <f>IF($C529&lt;&gt;"",COUNTIF($C$2:C529,C529),"")</f>
        <v>1</v>
      </c>
      <c r="V529" s="29" t="str">
        <f t="shared" si="34"/>
        <v>Prof. Dr. Ömer Alper GÜRLEK§1</v>
      </c>
      <c r="W529" s="29">
        <f>IF(U529=1,COUNTIF($U$2:U529,1),"")</f>
        <v>280</v>
      </c>
      <c r="X529" s="29">
        <f t="shared" si="35"/>
        <v>283</v>
      </c>
      <c r="Y529" s="29">
        <f>IF(AND(LEFT($B529,7)="SBA 26/",$D529&lt;&gt;"",$F529&lt;&gt;""),COUNTIFS($D$2:$D529,$D529,$B$2:$B529,"SBA 26/*",$F$2:$F529,"&lt;&gt;"),"")</f>
        <v>91</v>
      </c>
      <c r="Z529" s="29" t="str">
        <f>IF(Y529=1,COUNTIF($Y$2:Y529,1),"")</f>
        <v/>
      </c>
      <c r="AA529" s="29">
        <f>IF(AND(LEFT($B529,7)="SBA 26/",$C529&lt;&gt;"",$F529&lt;&gt;""),COUNTIFS($C$2:$C529,$C529,$B$2:$B529,"SBA 26/*",$F$2:$F529,"&lt;&gt;"),"")</f>
        <v>1</v>
      </c>
      <c r="AB529" s="29">
        <f>IF(AA529=1,COUNTIF($AA$2:AA529,1),"")</f>
        <v>280</v>
      </c>
    </row>
    <row r="530" spans="1:28" ht="63" customHeight="1" x14ac:dyDescent="0.2">
      <c r="A530" s="43" t="s">
        <v>2513</v>
      </c>
      <c r="B530" s="43" t="s">
        <v>2514</v>
      </c>
      <c r="C530" s="44" t="s">
        <v>2515</v>
      </c>
      <c r="D530" s="44" t="s">
        <v>484</v>
      </c>
      <c r="E530" s="45" t="s">
        <v>2516</v>
      </c>
      <c r="F530" s="45" t="s">
        <v>2517</v>
      </c>
      <c r="G530" s="46" t="s">
        <v>39</v>
      </c>
      <c r="H530" s="48">
        <v>46178</v>
      </c>
      <c r="I530" s="48">
        <v>46196</v>
      </c>
      <c r="J530" s="44" t="s">
        <v>123</v>
      </c>
      <c r="K530" s="44" t="s">
        <v>76</v>
      </c>
      <c r="L530" s="50" t="s">
        <v>77</v>
      </c>
      <c r="M530" s="50"/>
      <c r="N530" s="50"/>
      <c r="O530" s="49"/>
      <c r="P530" s="50" t="str">
        <f t="shared" si="32"/>
        <v>ONAY</v>
      </c>
      <c r="R530" s="51" t="str">
        <f t="shared" si="33"/>
        <v/>
      </c>
      <c r="T530" s="41"/>
      <c r="U530" s="29">
        <f>IF($C530&lt;&gt;"",COUNTIF($C$2:C530,C530),"")</f>
        <v>1</v>
      </c>
      <c r="V530" s="29" t="str">
        <f t="shared" si="34"/>
        <v>Doç. Dr. Nursel AKKAYA§1</v>
      </c>
      <c r="W530" s="29">
        <f>IF(U530=1,COUNTIF($U$2:U530,1),"")</f>
        <v>281</v>
      </c>
      <c r="X530" s="29">
        <f t="shared" si="35"/>
        <v>86</v>
      </c>
      <c r="Y530" s="29">
        <f>IF(AND(LEFT($B530,7)="SBA 26/",$D530&lt;&gt;"",$F530&lt;&gt;""),COUNTIFS($D$2:$D530,$D530,$B$2:$B530,"SBA 26/*",$F$2:$F530,"&lt;&gt;"),"")</f>
        <v>6</v>
      </c>
      <c r="Z530" s="29" t="str">
        <f>IF(Y530=1,COUNTIF($Y$2:Y530,1),"")</f>
        <v/>
      </c>
      <c r="AA530" s="29">
        <f>IF(AND(LEFT($B530,7)="SBA 26/",$C530&lt;&gt;"",$F530&lt;&gt;""),COUNTIFS($C$2:$C530,$C530,$B$2:$B530,"SBA 26/*",$F$2:$F530,"&lt;&gt;"),"")</f>
        <v>1</v>
      </c>
      <c r="AB530" s="29">
        <f>IF(AA530=1,COUNTIF($AA$2:AA530,1),"")</f>
        <v>281</v>
      </c>
    </row>
    <row r="531" spans="1:28" ht="63" customHeight="1" x14ac:dyDescent="0.2">
      <c r="A531" s="43" t="s">
        <v>2518</v>
      </c>
      <c r="B531" s="43" t="s">
        <v>2519</v>
      </c>
      <c r="C531" s="44" t="s">
        <v>853</v>
      </c>
      <c r="D531" s="44" t="s">
        <v>584</v>
      </c>
      <c r="E531" s="45" t="s">
        <v>2520</v>
      </c>
      <c r="F531" s="45" t="s">
        <v>2521</v>
      </c>
      <c r="G531" s="46" t="s">
        <v>41</v>
      </c>
      <c r="H531" s="48">
        <v>46178</v>
      </c>
      <c r="I531" s="48">
        <v>46196</v>
      </c>
      <c r="J531" s="44" t="s">
        <v>100</v>
      </c>
      <c r="K531" s="44" t="s">
        <v>116</v>
      </c>
      <c r="L531" s="50" t="s">
        <v>77</v>
      </c>
      <c r="M531" s="50"/>
      <c r="N531" s="50"/>
      <c r="O531" s="49"/>
      <c r="P531" s="50" t="str">
        <f t="shared" si="32"/>
        <v>ONAY</v>
      </c>
      <c r="R531" s="51" t="str">
        <f t="shared" si="33"/>
        <v/>
      </c>
      <c r="T531" s="41"/>
      <c r="U531" s="29">
        <f>IF($C531&lt;&gt;"",COUNTIF($C$2:C531,C531),"")</f>
        <v>2</v>
      </c>
      <c r="V531" s="29" t="str">
        <f t="shared" si="34"/>
        <v>Doç. Dr. Burcu HATİBOĞLU§2</v>
      </c>
      <c r="W531" s="29" t="str">
        <f>IF(U531=1,COUNTIF($U$2:U531,1),"")</f>
        <v/>
      </c>
      <c r="X531" s="29" t="str">
        <f t="shared" si="35"/>
        <v/>
      </c>
      <c r="Y531" s="29">
        <f>IF(AND(LEFT($B531,7)="SBA 26/",$D531&lt;&gt;"",$F531&lt;&gt;""),COUNTIFS($D$2:$D531,$D531,$B$2:$B531,"SBA 26/*",$F$2:$F531,"&lt;&gt;"),"")</f>
        <v>5</v>
      </c>
      <c r="Z531" s="29" t="str">
        <f>IF(Y531=1,COUNTIF($Y$2:Y531,1),"")</f>
        <v/>
      </c>
      <c r="AA531" s="29">
        <f>IF(AND(LEFT($B531,7)="SBA 26/",$C531&lt;&gt;"",$F531&lt;&gt;""),COUNTIFS($C$2:$C531,$C531,$B$2:$B531,"SBA 26/*",$F$2:$F531,"&lt;&gt;"),"")</f>
        <v>2</v>
      </c>
      <c r="AB531" s="29" t="str">
        <f>IF(AA531=1,COUNTIF($AA$2:AA531,1),"")</f>
        <v/>
      </c>
    </row>
    <row r="532" spans="1:28" ht="78.75" customHeight="1" x14ac:dyDescent="0.2">
      <c r="A532" s="43" t="s">
        <v>2522</v>
      </c>
      <c r="B532" s="43" t="s">
        <v>2523</v>
      </c>
      <c r="C532" s="44" t="s">
        <v>2524</v>
      </c>
      <c r="D532" s="44" t="s">
        <v>133</v>
      </c>
      <c r="E532" s="45" t="s">
        <v>2525</v>
      </c>
      <c r="F532" s="45" t="s">
        <v>2526</v>
      </c>
      <c r="G532" s="46" t="s">
        <v>38</v>
      </c>
      <c r="H532" s="48">
        <v>46178</v>
      </c>
      <c r="I532" s="48">
        <v>46196</v>
      </c>
      <c r="J532" s="44" t="s">
        <v>108</v>
      </c>
      <c r="K532" s="44" t="s">
        <v>100</v>
      </c>
      <c r="L532" s="50" t="s">
        <v>77</v>
      </c>
      <c r="M532" s="50"/>
      <c r="N532" s="50"/>
      <c r="O532" s="49"/>
      <c r="P532" s="50" t="str">
        <f t="shared" si="32"/>
        <v>ONAY</v>
      </c>
      <c r="R532" s="51" t="str">
        <f t="shared" si="33"/>
        <v/>
      </c>
      <c r="T532" s="41"/>
      <c r="U532" s="29">
        <f>IF($C532&lt;&gt;"",COUNTIF($C$2:C532,C532),"")</f>
        <v>1</v>
      </c>
      <c r="V532" s="29" t="str">
        <f t="shared" si="34"/>
        <v>Öğr. Gör. Dr. Kemal SARUHAN§1</v>
      </c>
      <c r="W532" s="29">
        <f>IF(U532=1,COUNTIF($U$2:U532,1),"")</f>
        <v>282</v>
      </c>
      <c r="X532" s="29">
        <f t="shared" si="35"/>
        <v>175</v>
      </c>
      <c r="Y532" s="29">
        <f>IF(AND(LEFT($B532,7)="SBA 26/",$D532&lt;&gt;"",$F532&lt;&gt;""),COUNTIFS($D$2:$D532,$D532,$B$2:$B532,"SBA 26/*",$F$2:$F532,"&lt;&gt;"),"")</f>
        <v>14</v>
      </c>
      <c r="Z532" s="29" t="str">
        <f>IF(Y532=1,COUNTIF($Y$2:Y532,1),"")</f>
        <v/>
      </c>
      <c r="AA532" s="29">
        <f>IF(AND(LEFT($B532,7)="SBA 26/",$C532&lt;&gt;"",$F532&lt;&gt;""),COUNTIFS($C$2:$C532,$C532,$B$2:$B532,"SBA 26/*",$F$2:$F532,"&lt;&gt;"),"")</f>
        <v>1</v>
      </c>
      <c r="AB532" s="29">
        <f>IF(AA532=1,COUNTIF($AA$2:AA532,1),"")</f>
        <v>282</v>
      </c>
    </row>
    <row r="533" spans="1:28" ht="94.5" customHeight="1" x14ac:dyDescent="0.2">
      <c r="A533" s="43" t="s">
        <v>2527</v>
      </c>
      <c r="B533" s="43" t="s">
        <v>2528</v>
      </c>
      <c r="C533" s="44" t="s">
        <v>1674</v>
      </c>
      <c r="D533" s="44" t="s">
        <v>539</v>
      </c>
      <c r="E533" s="45" t="s">
        <v>2529</v>
      </c>
      <c r="F533" s="45" t="s">
        <v>2530</v>
      </c>
      <c r="G533" s="46" t="s">
        <v>39</v>
      </c>
      <c r="H533" s="48">
        <v>46178</v>
      </c>
      <c r="I533" s="48">
        <v>46196</v>
      </c>
      <c r="J533" s="44" t="s">
        <v>123</v>
      </c>
      <c r="K533" s="44" t="s">
        <v>75</v>
      </c>
      <c r="L533" s="50" t="s">
        <v>101</v>
      </c>
      <c r="M533" s="50"/>
      <c r="N533" s="50"/>
      <c r="O533" s="49"/>
      <c r="P533" s="50" t="str">
        <f t="shared" si="32"/>
        <v>DÜZELTME</v>
      </c>
      <c r="R533" s="51" t="str">
        <f t="shared" si="33"/>
        <v/>
      </c>
      <c r="T533" s="41"/>
      <c r="U533" s="29">
        <f>IF($C533&lt;&gt;"",COUNTIF($C$2:C533,C533),"")</f>
        <v>2</v>
      </c>
      <c r="V533" s="29" t="str">
        <f t="shared" si="34"/>
        <v>Prof. Dr. Hüseyin Gencay KEÇELİ§2</v>
      </c>
      <c r="W533" s="29" t="str">
        <f>IF(U533=1,COUNTIF($U$2:U533,1),"")</f>
        <v/>
      </c>
      <c r="X533" s="29" t="str">
        <f t="shared" si="35"/>
        <v/>
      </c>
      <c r="Y533" s="29">
        <f>IF(AND(LEFT($B533,7)="SBA 26/",$D533&lt;&gt;"",$F533&lt;&gt;""),COUNTIFS($D$2:$D533,$D533,$B$2:$B533,"SBA 26/*",$F$2:$F533,"&lt;&gt;"),"")</f>
        <v>7</v>
      </c>
      <c r="Z533" s="29" t="str">
        <f>IF(Y533=1,COUNTIF($Y$2:Y533,1),"")</f>
        <v/>
      </c>
      <c r="AA533" s="29">
        <f>IF(AND(LEFT($B533,7)="SBA 26/",$C533&lt;&gt;"",$F533&lt;&gt;""),COUNTIFS($C$2:$C533,$C533,$B$2:$B533,"SBA 26/*",$F$2:$F533,"&lt;&gt;"),"")</f>
        <v>2</v>
      </c>
      <c r="AB533" s="29" t="str">
        <f>IF(AA533=1,COUNTIF($AA$2:AA533,1),"")</f>
        <v/>
      </c>
    </row>
    <row r="534" spans="1:28" ht="47.25" customHeight="1" x14ac:dyDescent="0.2">
      <c r="A534" s="43" t="s">
        <v>2531</v>
      </c>
      <c r="B534" s="43" t="s">
        <v>2532</v>
      </c>
      <c r="C534" s="44" t="s">
        <v>248</v>
      </c>
      <c r="D534" s="44" t="s">
        <v>234</v>
      </c>
      <c r="E534" s="45" t="s">
        <v>2533</v>
      </c>
      <c r="F534" s="45" t="s">
        <v>2534</v>
      </c>
      <c r="G534" s="46" t="s">
        <v>38</v>
      </c>
      <c r="H534" s="48">
        <v>46178</v>
      </c>
      <c r="I534" s="48">
        <v>46196</v>
      </c>
      <c r="J534" s="44" t="s">
        <v>109</v>
      </c>
      <c r="K534" s="44" t="s">
        <v>92</v>
      </c>
      <c r="L534" s="50" t="s">
        <v>218</v>
      </c>
      <c r="M534" s="50"/>
      <c r="N534" s="50"/>
      <c r="O534" s="49"/>
      <c r="P534" s="50" t="str">
        <f t="shared" si="32"/>
        <v>KAEK</v>
      </c>
      <c r="R534" s="51" t="str">
        <f t="shared" si="33"/>
        <v/>
      </c>
      <c r="T534" s="41"/>
      <c r="U534" s="29">
        <f>IF($C534&lt;&gt;"",COUNTIF($C$2:C534,C534),"")</f>
        <v>3</v>
      </c>
      <c r="V534" s="29" t="str">
        <f t="shared" si="34"/>
        <v>Prof. Dr. Kudret AYTEMİR§3</v>
      </c>
      <c r="W534" s="29" t="str">
        <f>IF(U534=1,COUNTIF($U$2:U534,1),"")</f>
        <v/>
      </c>
      <c r="X534" s="29" t="str">
        <f t="shared" si="35"/>
        <v/>
      </c>
      <c r="Y534" s="29">
        <f>IF(AND(LEFT($B534,7)="SBA 26/",$D534&lt;&gt;"",$F534&lt;&gt;""),COUNTIFS($D$2:$D534,$D534,$B$2:$B534,"SBA 26/*",$F$2:$F534,"&lt;&gt;"),"")</f>
        <v>17</v>
      </c>
      <c r="Z534" s="29" t="str">
        <f>IF(Y534=1,COUNTIF($Y$2:Y534,1),"")</f>
        <v/>
      </c>
      <c r="AA534" s="29">
        <f>IF(AND(LEFT($B534,7)="SBA 26/",$C534&lt;&gt;"",$F534&lt;&gt;""),COUNTIFS($C$2:$C534,$C534,$B$2:$B534,"SBA 26/*",$F$2:$F534,"&lt;&gt;"),"")</f>
        <v>3</v>
      </c>
      <c r="AB534" s="29" t="str">
        <f>IF(AA534=1,COUNTIF($AA$2:AA534,1),"")</f>
        <v/>
      </c>
    </row>
    <row r="535" spans="1:28" ht="96" customHeight="1" x14ac:dyDescent="0.2">
      <c r="A535" s="43" t="s">
        <v>2535</v>
      </c>
      <c r="B535" s="43" t="s">
        <v>2536</v>
      </c>
      <c r="C535" s="44" t="s">
        <v>2537</v>
      </c>
      <c r="D535" s="44" t="s">
        <v>222</v>
      </c>
      <c r="E535" s="45" t="s">
        <v>2538</v>
      </c>
      <c r="F535" s="45" t="s">
        <v>2539</v>
      </c>
      <c r="G535" s="46" t="s">
        <v>38</v>
      </c>
      <c r="H535" s="48">
        <v>46178</v>
      </c>
      <c r="I535" s="48">
        <v>46196</v>
      </c>
      <c r="J535" s="44" t="s">
        <v>100</v>
      </c>
      <c r="K535" s="44" t="s">
        <v>76</v>
      </c>
      <c r="L535" s="50" t="s">
        <v>77</v>
      </c>
      <c r="M535" s="50"/>
      <c r="N535" s="50"/>
      <c r="O535" s="49"/>
      <c r="P535" s="50" t="str">
        <f t="shared" si="32"/>
        <v>ONAY</v>
      </c>
      <c r="R535" s="51" t="str">
        <f t="shared" si="33"/>
        <v/>
      </c>
      <c r="T535" s="41"/>
      <c r="U535" s="29">
        <f>IF($C535&lt;&gt;"",COUNTIF($C$2:C535,C535),"")</f>
        <v>1</v>
      </c>
      <c r="V535" s="29" t="str">
        <f t="shared" si="34"/>
        <v>Arş. Gör. Dr. Eymen YILMAZ§1</v>
      </c>
      <c r="W535" s="29">
        <f>IF(U535=1,COUNTIF($U$2:U535,1),"")</f>
        <v>283</v>
      </c>
      <c r="X535" s="29">
        <f t="shared" si="35"/>
        <v>2</v>
      </c>
      <c r="Y535" s="29">
        <f>IF(AND(LEFT($B535,7)="SBA 26/",$D535&lt;&gt;"",$F535&lt;&gt;""),COUNTIFS($D$2:$D535,$D535,$B$2:$B535,"SBA 26/*",$F$2:$F535,"&lt;&gt;"),"")</f>
        <v>78</v>
      </c>
      <c r="Z535" s="29" t="str">
        <f>IF(Y535=1,COUNTIF($Y$2:Y535,1),"")</f>
        <v/>
      </c>
      <c r="AA535" s="29">
        <f>IF(AND(LEFT($B535,7)="SBA 26/",$C535&lt;&gt;"",$F535&lt;&gt;""),COUNTIFS($C$2:$C535,$C535,$B$2:$B535,"SBA 26/*",$F$2:$F535,"&lt;&gt;"),"")</f>
        <v>1</v>
      </c>
      <c r="AB535" s="29">
        <f>IF(AA535=1,COUNTIF($AA$2:AA535,1),"")</f>
        <v>283</v>
      </c>
    </row>
    <row r="536" spans="1:28" ht="78.75" customHeight="1" x14ac:dyDescent="0.2">
      <c r="A536" s="43" t="s">
        <v>2540</v>
      </c>
      <c r="B536" s="43" t="s">
        <v>2541</v>
      </c>
      <c r="C536" s="44" t="s">
        <v>2274</v>
      </c>
      <c r="D536" s="44" t="s">
        <v>181</v>
      </c>
      <c r="E536" s="45" t="s">
        <v>2542</v>
      </c>
      <c r="F536" s="45" t="s">
        <v>2543</v>
      </c>
      <c r="G536" s="46" t="s">
        <v>38</v>
      </c>
      <c r="H536" s="48">
        <v>46178</v>
      </c>
      <c r="I536" s="48">
        <v>46196</v>
      </c>
      <c r="J536" s="44" t="s">
        <v>91</v>
      </c>
      <c r="K536" s="44" t="s">
        <v>109</v>
      </c>
      <c r="L536" s="50" t="s">
        <v>101</v>
      </c>
      <c r="M536" s="50" t="s">
        <v>77</v>
      </c>
      <c r="N536" s="50"/>
      <c r="O536" s="49"/>
      <c r="P536" s="50" t="str">
        <f t="shared" si="32"/>
        <v>ONAY</v>
      </c>
      <c r="Q536" s="28" t="s">
        <v>109</v>
      </c>
      <c r="R536" s="51" t="str">
        <f t="shared" si="33"/>
        <v/>
      </c>
      <c r="T536" s="41"/>
      <c r="U536" s="29">
        <f>IF($C536&lt;&gt;"",COUNTIF($C$2:C536,C536),"")</f>
        <v>2</v>
      </c>
      <c r="V536" s="29" t="str">
        <f t="shared" si="34"/>
        <v>Dr. Öğr. Üyesi Sehend DEBBAĞ§2</v>
      </c>
      <c r="W536" s="29" t="str">
        <f>IF(U536=1,COUNTIF($U$2:U536,1),"")</f>
        <v/>
      </c>
      <c r="X536" s="29" t="str">
        <f t="shared" si="35"/>
        <v/>
      </c>
      <c r="Y536" s="29">
        <f>IF(AND(LEFT($B536,7)="SBA 26/",$D536&lt;&gt;"",$F536&lt;&gt;""),COUNTIFS($D$2:$D536,$D536,$B$2:$B536,"SBA 26/*",$F$2:$F536,"&lt;&gt;"),"")</f>
        <v>8</v>
      </c>
      <c r="Z536" s="29" t="str">
        <f>IF(Y536=1,COUNTIF($Y$2:Y536,1),"")</f>
        <v/>
      </c>
      <c r="AA536" s="29">
        <f>IF(AND(LEFT($B536,7)="SBA 26/",$C536&lt;&gt;"",$F536&lt;&gt;""),COUNTIFS($C$2:$C536,$C536,$B$2:$B536,"SBA 26/*",$F$2:$F536,"&lt;&gt;"),"")</f>
        <v>2</v>
      </c>
      <c r="AB536" s="29" t="str">
        <f>IF(AA536=1,COUNTIF($AA$2:AA536,1),"")</f>
        <v/>
      </c>
    </row>
    <row r="537" spans="1:28" ht="81" customHeight="1" x14ac:dyDescent="0.2">
      <c r="A537" s="43" t="s">
        <v>2544</v>
      </c>
      <c r="B537" s="43" t="s">
        <v>2545</v>
      </c>
      <c r="C537" s="44" t="s">
        <v>671</v>
      </c>
      <c r="D537" s="44" t="s">
        <v>347</v>
      </c>
      <c r="E537" s="45" t="s">
        <v>2546</v>
      </c>
      <c r="F537" s="45" t="s">
        <v>2547</v>
      </c>
      <c r="G537" s="46" t="s">
        <v>38</v>
      </c>
      <c r="H537" s="48">
        <v>46178</v>
      </c>
      <c r="I537" s="48">
        <v>46196</v>
      </c>
      <c r="J537" s="44" t="s">
        <v>129</v>
      </c>
      <c r="K537" s="44" t="s">
        <v>84</v>
      </c>
      <c r="L537" s="50" t="s">
        <v>77</v>
      </c>
      <c r="M537" s="50"/>
      <c r="N537" s="50"/>
      <c r="O537" s="49"/>
      <c r="P537" s="50" t="str">
        <f t="shared" si="32"/>
        <v>ONAY</v>
      </c>
      <c r="R537" s="51" t="str">
        <f t="shared" si="33"/>
        <v/>
      </c>
      <c r="T537" s="41"/>
      <c r="U537" s="29">
        <f>IF($C537&lt;&gt;"",COUNTIF($C$2:C537,C537),"")</f>
        <v>4</v>
      </c>
      <c r="V537" s="29" t="str">
        <f t="shared" si="34"/>
        <v>Prof. Dr. Alp ÇETİN§4</v>
      </c>
      <c r="W537" s="29" t="str">
        <f>IF(U537=1,COUNTIF($U$2:U537,1),"")</f>
        <v/>
      </c>
      <c r="X537" s="29" t="str">
        <f t="shared" si="35"/>
        <v/>
      </c>
      <c r="Y537" s="29">
        <f>IF(AND(LEFT($B537,7)="SBA 26/",$D537&lt;&gt;"",$F537&lt;&gt;""),COUNTIFS($D$2:$D537,$D537,$B$2:$B537,"SBA 26/*",$F$2:$F537,"&lt;&gt;"),"")</f>
        <v>5</v>
      </c>
      <c r="Z537" s="29" t="str">
        <f>IF(Y537=1,COUNTIF($Y$2:Y537,1),"")</f>
        <v/>
      </c>
      <c r="AA537" s="29">
        <f>IF(AND(LEFT($B537,7)="SBA 26/",$C537&lt;&gt;"",$F537&lt;&gt;""),COUNTIFS($C$2:$C537,$C537,$B$2:$B537,"SBA 26/*",$F$2:$F537,"&lt;&gt;"),"")</f>
        <v>4</v>
      </c>
      <c r="AB537" s="29" t="str">
        <f>IF(AA537=1,COUNTIF($AA$2:AA537,1),"")</f>
        <v/>
      </c>
    </row>
    <row r="538" spans="1:28" ht="63" customHeight="1" x14ac:dyDescent="0.2">
      <c r="A538" s="43" t="s">
        <v>2548</v>
      </c>
      <c r="B538" s="43" t="s">
        <v>2549</v>
      </c>
      <c r="C538" s="44" t="s">
        <v>2550</v>
      </c>
      <c r="D538" s="44" t="s">
        <v>270</v>
      </c>
      <c r="E538" s="45" t="s">
        <v>2551</v>
      </c>
      <c r="F538" s="45" t="s">
        <v>2552</v>
      </c>
      <c r="G538" s="46" t="s">
        <v>38</v>
      </c>
      <c r="H538" s="48">
        <v>46178</v>
      </c>
      <c r="I538" s="48">
        <v>46196</v>
      </c>
      <c r="J538" s="44" t="s">
        <v>92</v>
      </c>
      <c r="K538" s="44" t="s">
        <v>116</v>
      </c>
      <c r="L538" s="50" t="s">
        <v>77</v>
      </c>
      <c r="M538" s="50"/>
      <c r="N538" s="50"/>
      <c r="O538" s="49"/>
      <c r="P538" s="50" t="str">
        <f t="shared" si="32"/>
        <v>ONAY</v>
      </c>
      <c r="R538" s="51" t="str">
        <f t="shared" si="33"/>
        <v/>
      </c>
      <c r="T538" s="41"/>
      <c r="U538" s="29">
        <f>IF($C538&lt;&gt;"",COUNTIF($C$2:C538,C538),"")</f>
        <v>1</v>
      </c>
      <c r="V538" s="29" t="str">
        <f t="shared" si="34"/>
        <v>Dr. Öğr. Gör. Tuğçe TAŞKINDERE ABBASOĞLU§1</v>
      </c>
      <c r="W538" s="29">
        <f>IF(U538=1,COUNTIF($U$2:U538,1),"")</f>
        <v>284</v>
      </c>
      <c r="X538" s="29">
        <f t="shared" si="35"/>
        <v>108</v>
      </c>
      <c r="Y538" s="29">
        <f>IF(AND(LEFT($B538,7)="SBA 26/",$D538&lt;&gt;"",$F538&lt;&gt;""),COUNTIFS($D$2:$D538,$D538,$B$2:$B538,"SBA 26/*",$F$2:$F538,"&lt;&gt;"),"")</f>
        <v>9</v>
      </c>
      <c r="Z538" s="29" t="str">
        <f>IF(Y538=1,COUNTIF($Y$2:Y538,1),"")</f>
        <v/>
      </c>
      <c r="AA538" s="29">
        <f>IF(AND(LEFT($B538,7)="SBA 26/",$C538&lt;&gt;"",$F538&lt;&gt;""),COUNTIFS($C$2:$C538,$C538,$B$2:$B538,"SBA 26/*",$F$2:$F538,"&lt;&gt;"),"")</f>
        <v>1</v>
      </c>
      <c r="AB538" s="29">
        <f>IF(AA538=1,COUNTIF($AA$2:AA538,1),"")</f>
        <v>284</v>
      </c>
    </row>
    <row r="539" spans="1:28" ht="47.25" customHeight="1" x14ac:dyDescent="0.2">
      <c r="A539" s="43" t="s">
        <v>2553</v>
      </c>
      <c r="B539" s="43" t="s">
        <v>2554</v>
      </c>
      <c r="C539" s="44" t="s">
        <v>2555</v>
      </c>
      <c r="D539" s="44" t="s">
        <v>2556</v>
      </c>
      <c r="E539" s="45" t="s">
        <v>2557</v>
      </c>
      <c r="F539" s="45" t="s">
        <v>2558</v>
      </c>
      <c r="G539" s="46" t="s">
        <v>38</v>
      </c>
      <c r="H539" s="48">
        <v>46186</v>
      </c>
      <c r="I539" s="48">
        <v>46196</v>
      </c>
      <c r="J539" s="44" t="s">
        <v>75</v>
      </c>
      <c r="K539" s="44" t="s">
        <v>91</v>
      </c>
      <c r="L539" s="50" t="s">
        <v>153</v>
      </c>
      <c r="M539" s="50"/>
      <c r="N539" s="50"/>
      <c r="O539" s="49"/>
      <c r="P539" s="50" t="str">
        <f t="shared" si="32"/>
        <v>KAPSAM DIŞI</v>
      </c>
      <c r="R539" s="51" t="str">
        <f t="shared" si="33"/>
        <v/>
      </c>
      <c r="T539" s="41"/>
      <c r="U539" s="29">
        <f>IF($C539&lt;&gt;"",COUNTIF($C$2:C539,C539),"")</f>
        <v>1</v>
      </c>
      <c r="V539" s="29" t="str">
        <f t="shared" si="34"/>
        <v>Prof. Dr. Lokman UZUN§1</v>
      </c>
      <c r="W539" s="29">
        <f>IF(U539=1,COUNTIF($U$2:U539,1),"")</f>
        <v>285</v>
      </c>
      <c r="X539" s="29">
        <f t="shared" si="35"/>
        <v>256</v>
      </c>
      <c r="Y539" s="29">
        <f>IF(AND(LEFT($B539,7)="SBA 26/",$D539&lt;&gt;"",$F539&lt;&gt;""),COUNTIFS($D$2:$D539,$D539,$B$2:$B539,"SBA 26/*",$F$2:$F539,"&lt;&gt;"),"")</f>
        <v>1</v>
      </c>
      <c r="Z539" s="29">
        <f>IF(Y539=1,COUNTIF($Y$2:Y539,1),"")</f>
        <v>74</v>
      </c>
      <c r="AA539" s="29">
        <f>IF(AND(LEFT($B539,7)="SBA 26/",$C539&lt;&gt;"",$F539&lt;&gt;""),COUNTIFS($C$2:$C539,$C539,$B$2:$B539,"SBA 26/*",$F$2:$F539,"&lt;&gt;"),"")</f>
        <v>1</v>
      </c>
      <c r="AB539" s="29">
        <f>IF(AA539=1,COUNTIF($AA$2:AA539,1),"")</f>
        <v>285</v>
      </c>
    </row>
    <row r="540" spans="1:28" ht="93.75" customHeight="1" x14ac:dyDescent="0.2">
      <c r="A540" s="43" t="s">
        <v>2559</v>
      </c>
      <c r="B540" s="43" t="s">
        <v>2560</v>
      </c>
      <c r="C540" s="44" t="s">
        <v>358</v>
      </c>
      <c r="D540" s="44" t="s">
        <v>228</v>
      </c>
      <c r="E540" s="45" t="s">
        <v>2561</v>
      </c>
      <c r="F540" s="45" t="s">
        <v>2562</v>
      </c>
      <c r="G540" s="46" t="s">
        <v>39</v>
      </c>
      <c r="H540" s="48">
        <v>46191</v>
      </c>
      <c r="I540" s="48">
        <v>46217</v>
      </c>
      <c r="J540" s="44" t="s">
        <v>91</v>
      </c>
      <c r="K540" s="44" t="s">
        <v>100</v>
      </c>
      <c r="L540" s="50" t="s">
        <v>101</v>
      </c>
      <c r="M540" s="50"/>
      <c r="N540" s="50"/>
      <c r="O540" s="49"/>
      <c r="P540" s="50" t="str">
        <f t="shared" si="32"/>
        <v>DÜZELTME</v>
      </c>
      <c r="R540" s="51" t="str">
        <f t="shared" si="33"/>
        <v/>
      </c>
      <c r="T540" s="41"/>
      <c r="U540" s="29">
        <f>IF($C540&lt;&gt;"",COUNTIF($C$2:C540,C540),"")</f>
        <v>3</v>
      </c>
      <c r="V540" s="29" t="str">
        <f t="shared" si="34"/>
        <v>Doç. Dr. Erdem FADILOĞLU§3</v>
      </c>
      <c r="W540" s="29" t="str">
        <f>IF(U540=1,COUNTIF($U$2:U540,1),"")</f>
        <v/>
      </c>
      <c r="X540" s="29" t="str">
        <f t="shared" si="35"/>
        <v/>
      </c>
      <c r="Y540" s="29">
        <f>IF(AND(LEFT($B540,7)="SBA 26/",$D540&lt;&gt;"",$F540&lt;&gt;""),COUNTIFS($D$2:$D540,$D540,$B$2:$B540,"SBA 26/*",$F$2:$F540,"&lt;&gt;"),"")</f>
        <v>29</v>
      </c>
      <c r="Z540" s="29" t="str">
        <f>IF(Y540=1,COUNTIF($Y$2:Y540,1),"")</f>
        <v/>
      </c>
      <c r="AA540" s="29">
        <f>IF(AND(LEFT($B540,7)="SBA 26/",$C540&lt;&gt;"",$F540&lt;&gt;""),COUNTIFS($C$2:$C540,$C540,$B$2:$B540,"SBA 26/*",$F$2:$F540,"&lt;&gt;"),"")</f>
        <v>3</v>
      </c>
      <c r="AB540" s="29" t="str">
        <f>IF(AA540=1,COUNTIF($AA$2:AA540,1),"")</f>
        <v/>
      </c>
    </row>
    <row r="541" spans="1:28" ht="64.5" customHeight="1" x14ac:dyDescent="0.2">
      <c r="A541" s="43" t="s">
        <v>2563</v>
      </c>
      <c r="B541" s="43" t="s">
        <v>2564</v>
      </c>
      <c r="C541" s="44" t="s">
        <v>524</v>
      </c>
      <c r="D541" s="44" t="s">
        <v>113</v>
      </c>
      <c r="E541" s="45" t="s">
        <v>2565</v>
      </c>
      <c r="F541" s="45" t="s">
        <v>2566</v>
      </c>
      <c r="G541" s="46" t="s">
        <v>38</v>
      </c>
      <c r="H541" s="48">
        <v>46191</v>
      </c>
      <c r="I541" s="48">
        <v>46217</v>
      </c>
      <c r="J541" s="44" t="s">
        <v>109</v>
      </c>
      <c r="K541" s="44" t="s">
        <v>84</v>
      </c>
      <c r="L541" s="50" t="s">
        <v>153</v>
      </c>
      <c r="M541" s="50"/>
      <c r="N541" s="50"/>
      <c r="O541" s="49"/>
      <c r="P541" s="50" t="str">
        <f t="shared" si="32"/>
        <v>KAPSAM DIŞI</v>
      </c>
      <c r="R541" s="51" t="str">
        <f t="shared" si="33"/>
        <v/>
      </c>
      <c r="T541" s="41"/>
      <c r="U541" s="29">
        <f>IF($C541&lt;&gt;"",COUNTIF($C$2:C541,C541),"")</f>
        <v>9</v>
      </c>
      <c r="V541" s="29" t="str">
        <f t="shared" si="34"/>
        <v>Doç. Dr. Mert EŞME§9</v>
      </c>
      <c r="W541" s="29" t="str">
        <f>IF(U541=1,COUNTIF($U$2:U541,1),"")</f>
        <v/>
      </c>
      <c r="X541" s="29" t="str">
        <f t="shared" si="35"/>
        <v/>
      </c>
      <c r="Y541" s="29">
        <f>IF(AND(LEFT($B541,7)="SBA 26/",$D541&lt;&gt;"",$F541&lt;&gt;""),COUNTIFS($D$2:$D541,$D541,$B$2:$B541,"SBA 26/*",$F$2:$F541,"&lt;&gt;"),"")</f>
        <v>92</v>
      </c>
      <c r="Z541" s="29" t="str">
        <f>IF(Y541=1,COUNTIF($Y$2:Y541,1),"")</f>
        <v/>
      </c>
      <c r="AA541" s="29">
        <f>IF(AND(LEFT($B541,7)="SBA 26/",$C541&lt;&gt;"",$F541&lt;&gt;""),COUNTIFS($C$2:$C541,$C541,$B$2:$B541,"SBA 26/*",$F$2:$F541,"&lt;&gt;"),"")</f>
        <v>9</v>
      </c>
      <c r="AB541" s="29" t="str">
        <f>IF(AA541=1,COUNTIF($AA$2:AA541,1),"")</f>
        <v/>
      </c>
    </row>
    <row r="542" spans="1:28" ht="63" customHeight="1" x14ac:dyDescent="0.2">
      <c r="A542" s="43" t="s">
        <v>2567</v>
      </c>
      <c r="B542" s="43" t="s">
        <v>2568</v>
      </c>
      <c r="C542" s="44" t="s">
        <v>524</v>
      </c>
      <c r="D542" s="44" t="s">
        <v>113</v>
      </c>
      <c r="E542" s="45" t="s">
        <v>2565</v>
      </c>
      <c r="F542" s="45" t="s">
        <v>2569</v>
      </c>
      <c r="G542" s="46" t="s">
        <v>38</v>
      </c>
      <c r="H542" s="48">
        <v>46191</v>
      </c>
      <c r="I542" s="48">
        <v>46217</v>
      </c>
      <c r="J542" s="44" t="s">
        <v>99</v>
      </c>
      <c r="K542" s="44" t="s">
        <v>84</v>
      </c>
      <c r="L542" s="50" t="s">
        <v>77</v>
      </c>
      <c r="M542" s="50"/>
      <c r="N542" s="50"/>
      <c r="O542" s="49"/>
      <c r="P542" s="50" t="str">
        <f t="shared" si="32"/>
        <v>ONAY</v>
      </c>
      <c r="R542" s="51" t="str">
        <f t="shared" si="33"/>
        <v/>
      </c>
      <c r="T542" s="41"/>
      <c r="U542" s="29">
        <f>IF($C542&lt;&gt;"",COUNTIF($C$2:C542,C542),"")</f>
        <v>10</v>
      </c>
      <c r="V542" s="29" t="str">
        <f t="shared" si="34"/>
        <v>Doç. Dr. Mert EŞME§10</v>
      </c>
      <c r="W542" s="29" t="str">
        <f>IF(U542=1,COUNTIF($U$2:U542,1),"")</f>
        <v/>
      </c>
      <c r="X542" s="29" t="str">
        <f t="shared" si="35"/>
        <v/>
      </c>
      <c r="Y542" s="29">
        <f>IF(AND(LEFT($B542,7)="SBA 26/",$D542&lt;&gt;"",$F542&lt;&gt;""),COUNTIFS($D$2:$D542,$D542,$B$2:$B542,"SBA 26/*",$F$2:$F542,"&lt;&gt;"),"")</f>
        <v>93</v>
      </c>
      <c r="Z542" s="29" t="str">
        <f>IF(Y542=1,COUNTIF($Y$2:Y542,1),"")</f>
        <v/>
      </c>
      <c r="AA542" s="29">
        <f>IF(AND(LEFT($B542,7)="SBA 26/",$C542&lt;&gt;"",$F542&lt;&gt;""),COUNTIFS($C$2:$C542,$C542,$B$2:$B542,"SBA 26/*",$F$2:$F542,"&lt;&gt;"),"")</f>
        <v>10</v>
      </c>
      <c r="AB542" s="29" t="str">
        <f>IF(AA542=1,COUNTIF($AA$2:AA542,1),"")</f>
        <v/>
      </c>
    </row>
    <row r="543" spans="1:28" ht="78.75" customHeight="1" x14ac:dyDescent="0.2">
      <c r="A543" s="43" t="s">
        <v>2570</v>
      </c>
      <c r="B543" s="43" t="s">
        <v>2571</v>
      </c>
      <c r="C543" s="44" t="s">
        <v>711</v>
      </c>
      <c r="D543" s="44" t="s">
        <v>113</v>
      </c>
      <c r="E543" s="45" t="s">
        <v>2572</v>
      </c>
      <c r="F543" s="45" t="s">
        <v>2573</v>
      </c>
      <c r="G543" s="46" t="s">
        <v>38</v>
      </c>
      <c r="H543" s="48">
        <v>46191</v>
      </c>
      <c r="I543" s="48">
        <v>46217</v>
      </c>
      <c r="J543" s="44" t="s">
        <v>99</v>
      </c>
      <c r="K543" s="44" t="s">
        <v>76</v>
      </c>
      <c r="L543" s="50" t="s">
        <v>77</v>
      </c>
      <c r="M543" s="50"/>
      <c r="N543" s="50"/>
      <c r="O543" s="49"/>
      <c r="P543" s="50" t="str">
        <f t="shared" si="32"/>
        <v>ONAY</v>
      </c>
      <c r="R543" s="51" t="str">
        <f t="shared" si="33"/>
        <v/>
      </c>
      <c r="T543" s="41"/>
      <c r="U543" s="29">
        <f>IF($C543&lt;&gt;"",COUNTIF($C$2:C543,C543),"")</f>
        <v>5</v>
      </c>
      <c r="V543" s="29" t="str">
        <f t="shared" si="34"/>
        <v>Doç. Dr. Süleyman Nahit ŞENDUR§5</v>
      </c>
      <c r="W543" s="29" t="str">
        <f>IF(U543=1,COUNTIF($U$2:U543,1),"")</f>
        <v/>
      </c>
      <c r="X543" s="29" t="str">
        <f t="shared" si="35"/>
        <v/>
      </c>
      <c r="Y543" s="29">
        <f>IF(AND(LEFT($B543,7)="SBA 26/",$D543&lt;&gt;"",$F543&lt;&gt;""),COUNTIFS($D$2:$D543,$D543,$B$2:$B543,"SBA 26/*",$F$2:$F543,"&lt;&gt;"),"")</f>
        <v>94</v>
      </c>
      <c r="Z543" s="29" t="str">
        <f>IF(Y543=1,COUNTIF($Y$2:Y543,1),"")</f>
        <v/>
      </c>
      <c r="AA543" s="29">
        <f>IF(AND(LEFT($B543,7)="SBA 26/",$C543&lt;&gt;"",$F543&lt;&gt;""),COUNTIFS($C$2:$C543,$C543,$B$2:$B543,"SBA 26/*",$F$2:$F543,"&lt;&gt;"),"")</f>
        <v>5</v>
      </c>
      <c r="AB543" s="29" t="str">
        <f>IF(AA543=1,COUNTIF($AA$2:AA543,1),"")</f>
        <v/>
      </c>
    </row>
    <row r="544" spans="1:28" ht="94.5" customHeight="1" x14ac:dyDescent="0.2">
      <c r="A544" s="43" t="s">
        <v>2574</v>
      </c>
      <c r="B544" s="43" t="s">
        <v>2575</v>
      </c>
      <c r="C544" s="44" t="s">
        <v>379</v>
      </c>
      <c r="D544" s="44" t="s">
        <v>222</v>
      </c>
      <c r="E544" s="45" t="s">
        <v>2576</v>
      </c>
      <c r="F544" s="45" t="s">
        <v>2577</v>
      </c>
      <c r="G544" s="46" t="s">
        <v>38</v>
      </c>
      <c r="H544" s="48">
        <v>46191</v>
      </c>
      <c r="I544" s="48">
        <v>46217</v>
      </c>
      <c r="J544" s="44" t="s">
        <v>123</v>
      </c>
      <c r="K544" s="44" t="s">
        <v>116</v>
      </c>
      <c r="L544" s="50" t="s">
        <v>77</v>
      </c>
      <c r="M544" s="50"/>
      <c r="N544" s="50"/>
      <c r="O544" s="49"/>
      <c r="P544" s="50" t="str">
        <f t="shared" si="32"/>
        <v>ONAY</v>
      </c>
      <c r="R544" s="51" t="str">
        <f t="shared" si="33"/>
        <v/>
      </c>
      <c r="T544" s="41"/>
      <c r="U544" s="29">
        <f>IF($C544&lt;&gt;"",COUNTIF($C$2:C544,C544),"")</f>
        <v>7</v>
      </c>
      <c r="V544" s="29" t="str">
        <f t="shared" si="34"/>
        <v>Prof. Dr. Deniz ÇAĞDAŞ AYVAZ§7</v>
      </c>
      <c r="W544" s="29" t="str">
        <f>IF(U544=1,COUNTIF($U$2:U544,1),"")</f>
        <v/>
      </c>
      <c r="X544" s="29" t="str">
        <f t="shared" si="35"/>
        <v/>
      </c>
      <c r="Y544" s="29">
        <f>IF(AND(LEFT($B544,7)="SBA 26/",$D544&lt;&gt;"",$F544&lt;&gt;""),COUNTIFS($D$2:$D544,$D544,$B$2:$B544,"SBA 26/*",$F$2:$F544,"&lt;&gt;"),"")</f>
        <v>79</v>
      </c>
      <c r="Z544" s="29" t="str">
        <f>IF(Y544=1,COUNTIF($Y$2:Y544,1),"")</f>
        <v/>
      </c>
      <c r="AA544" s="29">
        <f>IF(AND(LEFT($B544,7)="SBA 26/",$C544&lt;&gt;"",$F544&lt;&gt;""),COUNTIFS($C$2:$C544,$C544,$B$2:$B544,"SBA 26/*",$F$2:$F544,"&lt;&gt;"),"")</f>
        <v>7</v>
      </c>
      <c r="AB544" s="29" t="str">
        <f>IF(AA544=1,COUNTIF($AA$2:AA544,1),"")</f>
        <v/>
      </c>
    </row>
    <row r="545" spans="1:28" ht="126" customHeight="1" x14ac:dyDescent="0.2">
      <c r="A545" s="43" t="s">
        <v>2578</v>
      </c>
      <c r="B545" s="43" t="s">
        <v>2579</v>
      </c>
      <c r="C545" s="44" t="s">
        <v>795</v>
      </c>
      <c r="D545" s="44" t="s">
        <v>222</v>
      </c>
      <c r="E545" s="45" t="s">
        <v>2580</v>
      </c>
      <c r="F545" s="45" t="s">
        <v>2581</v>
      </c>
      <c r="G545" s="46" t="s">
        <v>38</v>
      </c>
      <c r="H545" s="48">
        <v>46191</v>
      </c>
      <c r="I545" s="48">
        <v>46217</v>
      </c>
      <c r="J545" s="44" t="s">
        <v>91</v>
      </c>
      <c r="K545" s="44" t="s">
        <v>76</v>
      </c>
      <c r="L545" s="50" t="s">
        <v>218</v>
      </c>
      <c r="M545" s="50"/>
      <c r="N545" s="50"/>
      <c r="O545" s="49"/>
      <c r="P545" s="50" t="str">
        <f t="shared" si="32"/>
        <v>KAEK</v>
      </c>
      <c r="R545" s="51" t="str">
        <f t="shared" si="33"/>
        <v/>
      </c>
      <c r="T545" s="41"/>
      <c r="U545" s="29">
        <f>IF($C545&lt;&gt;"",COUNTIF($C$2:C545,C545),"")</f>
        <v>4</v>
      </c>
      <c r="V545" s="29" t="str">
        <f t="shared" si="34"/>
        <v>Prof. Dr. Deniz DOĞRU ERSÖZ§4</v>
      </c>
      <c r="W545" s="29" t="str">
        <f>IF(U545=1,COUNTIF($U$2:U545,1),"")</f>
        <v/>
      </c>
      <c r="X545" s="29" t="str">
        <f t="shared" si="35"/>
        <v/>
      </c>
      <c r="Y545" s="29">
        <f>IF(AND(LEFT($B545,7)="SBA 26/",$D545&lt;&gt;"",$F545&lt;&gt;""),COUNTIFS($D$2:$D545,$D545,$B$2:$B545,"SBA 26/*",$F$2:$F545,"&lt;&gt;"),"")</f>
        <v>80</v>
      </c>
      <c r="Z545" s="29" t="str">
        <f>IF(Y545=1,COUNTIF($Y$2:Y545,1),"")</f>
        <v/>
      </c>
      <c r="AA545" s="29">
        <f>IF(AND(LEFT($B545,7)="SBA 26/",$C545&lt;&gt;"",$F545&lt;&gt;""),COUNTIFS($C$2:$C545,$C545,$B$2:$B545,"SBA 26/*",$F$2:$F545,"&lt;&gt;"),"")</f>
        <v>4</v>
      </c>
      <c r="AB545" s="29" t="str">
        <f>IF(AA545=1,COUNTIF($AA$2:AA545,1),"")</f>
        <v/>
      </c>
    </row>
    <row r="546" spans="1:28" ht="63" customHeight="1" x14ac:dyDescent="0.2">
      <c r="A546" s="43" t="s">
        <v>2582</v>
      </c>
      <c r="B546" s="43" t="s">
        <v>2583</v>
      </c>
      <c r="C546" s="44" t="s">
        <v>358</v>
      </c>
      <c r="D546" s="44" t="s">
        <v>228</v>
      </c>
      <c r="E546" s="45" t="s">
        <v>2584</v>
      </c>
      <c r="F546" s="45" t="s">
        <v>2585</v>
      </c>
      <c r="G546" s="46" t="s">
        <v>38</v>
      </c>
      <c r="H546" s="48">
        <v>46191</v>
      </c>
      <c r="I546" s="48">
        <v>46217</v>
      </c>
      <c r="J546" s="44" t="s">
        <v>75</v>
      </c>
      <c r="K546" s="44" t="s">
        <v>116</v>
      </c>
      <c r="L546" s="50" t="s">
        <v>77</v>
      </c>
      <c r="M546" s="50"/>
      <c r="N546" s="50"/>
      <c r="O546" s="49"/>
      <c r="P546" s="50" t="str">
        <f t="shared" si="32"/>
        <v>ONAY</v>
      </c>
      <c r="R546" s="51" t="str">
        <f t="shared" si="33"/>
        <v/>
      </c>
      <c r="T546" s="41"/>
      <c r="U546" s="29">
        <f>IF($C546&lt;&gt;"",COUNTIF($C$2:C546,C546),"")</f>
        <v>4</v>
      </c>
      <c r="V546" s="29" t="str">
        <f t="shared" si="34"/>
        <v>Doç. Dr. Erdem FADILOĞLU§4</v>
      </c>
      <c r="W546" s="29" t="str">
        <f>IF(U546=1,COUNTIF($U$2:U546,1),"")</f>
        <v/>
      </c>
      <c r="X546" s="29" t="str">
        <f t="shared" si="35"/>
        <v/>
      </c>
      <c r="Y546" s="29">
        <f>IF(AND(LEFT($B546,7)="SBA 26/",$D546&lt;&gt;"",$F546&lt;&gt;""),COUNTIFS($D$2:$D546,$D546,$B$2:$B546,"SBA 26/*",$F$2:$F546,"&lt;&gt;"),"")</f>
        <v>30</v>
      </c>
      <c r="Z546" s="29" t="str">
        <f>IF(Y546=1,COUNTIF($Y$2:Y546,1),"")</f>
        <v/>
      </c>
      <c r="AA546" s="29">
        <f>IF(AND(LEFT($B546,7)="SBA 26/",$C546&lt;&gt;"",$F546&lt;&gt;""),COUNTIFS($C$2:$C546,$C546,$B$2:$B546,"SBA 26/*",$F$2:$F546,"&lt;&gt;"),"")</f>
        <v>4</v>
      </c>
      <c r="AB546" s="29" t="str">
        <f>IF(AA546=1,COUNTIF($AA$2:AA546,1),"")</f>
        <v/>
      </c>
    </row>
    <row r="547" spans="1:28" ht="94.5" customHeight="1" x14ac:dyDescent="0.2">
      <c r="A547" s="43" t="s">
        <v>2586</v>
      </c>
      <c r="B547" s="43" t="s">
        <v>2587</v>
      </c>
      <c r="C547" s="44" t="s">
        <v>2588</v>
      </c>
      <c r="D547" s="44" t="s">
        <v>222</v>
      </c>
      <c r="E547" s="45" t="s">
        <v>2589</v>
      </c>
      <c r="F547" s="45" t="s">
        <v>2590</v>
      </c>
      <c r="G547" s="46" t="s">
        <v>38</v>
      </c>
      <c r="H547" s="48">
        <v>46191</v>
      </c>
      <c r="I547" s="48">
        <v>46217</v>
      </c>
      <c r="J547" s="44" t="s">
        <v>92</v>
      </c>
      <c r="K547" s="44" t="s">
        <v>100</v>
      </c>
      <c r="L547" s="50" t="s">
        <v>101</v>
      </c>
      <c r="M547" s="50" t="s">
        <v>77</v>
      </c>
      <c r="N547" s="50"/>
      <c r="O547" s="49"/>
      <c r="P547" s="50" t="str">
        <f t="shared" si="32"/>
        <v>ONAY</v>
      </c>
      <c r="Q547" s="28" t="s">
        <v>92</v>
      </c>
      <c r="R547" s="51" t="str">
        <f t="shared" si="33"/>
        <v/>
      </c>
      <c r="T547" s="41"/>
      <c r="U547" s="29">
        <f>IF($C547&lt;&gt;"",COUNTIF($C$2:C547,C547),"")</f>
        <v>1</v>
      </c>
      <c r="V547" s="29" t="str">
        <f t="shared" si="34"/>
        <v>Doç. Dr. Melike OCAK§1</v>
      </c>
      <c r="W547" s="29">
        <f>IF(U547=1,COUNTIF($U$2:U547,1),"")</f>
        <v>286</v>
      </c>
      <c r="X547" s="29">
        <f t="shared" si="35"/>
        <v>76</v>
      </c>
      <c r="Y547" s="29">
        <f>IF(AND(LEFT($B547,7)="SBA 26/",$D547&lt;&gt;"",$F547&lt;&gt;""),COUNTIFS($D$2:$D547,$D547,$B$2:$B547,"SBA 26/*",$F$2:$F547,"&lt;&gt;"),"")</f>
        <v>81</v>
      </c>
      <c r="Z547" s="29" t="str">
        <f>IF(Y547=1,COUNTIF($Y$2:Y547,1),"")</f>
        <v/>
      </c>
      <c r="AA547" s="29">
        <f>IF(AND(LEFT($B547,7)="SBA 26/",$C547&lt;&gt;"",$F547&lt;&gt;""),COUNTIFS($C$2:$C547,$C547,$B$2:$B547,"SBA 26/*",$F$2:$F547,"&lt;&gt;"),"")</f>
        <v>1</v>
      </c>
      <c r="AB547" s="29">
        <f>IF(AA547=1,COUNTIF($AA$2:AA547,1),"")</f>
        <v>286</v>
      </c>
    </row>
    <row r="548" spans="1:28" ht="94.5" customHeight="1" x14ac:dyDescent="0.2">
      <c r="A548" s="43" t="s">
        <v>2591</v>
      </c>
      <c r="B548" s="43" t="s">
        <v>2592</v>
      </c>
      <c r="C548" s="44" t="s">
        <v>2588</v>
      </c>
      <c r="D548" s="44" t="s">
        <v>222</v>
      </c>
      <c r="E548" s="45" t="s">
        <v>2589</v>
      </c>
      <c r="F548" s="45" t="s">
        <v>2593</v>
      </c>
      <c r="G548" s="46" t="s">
        <v>38</v>
      </c>
      <c r="H548" s="48">
        <v>46191</v>
      </c>
      <c r="I548" s="48">
        <v>46217</v>
      </c>
      <c r="J548" s="44" t="s">
        <v>75</v>
      </c>
      <c r="K548" s="44" t="s">
        <v>76</v>
      </c>
      <c r="L548" s="50" t="s">
        <v>77</v>
      </c>
      <c r="M548" s="50"/>
      <c r="N548" s="50"/>
      <c r="O548" s="49"/>
      <c r="P548" s="50" t="str">
        <f t="shared" si="32"/>
        <v>ONAY</v>
      </c>
      <c r="R548" s="51" t="str">
        <f t="shared" si="33"/>
        <v/>
      </c>
      <c r="T548" s="41"/>
      <c r="U548" s="29">
        <f>IF($C548&lt;&gt;"",COUNTIF($C$2:C548,C548),"")</f>
        <v>2</v>
      </c>
      <c r="V548" s="29" t="str">
        <f t="shared" si="34"/>
        <v>Doç. Dr. Melike OCAK§2</v>
      </c>
      <c r="W548" s="29" t="str">
        <f>IF(U548=1,COUNTIF($U$2:U548,1),"")</f>
        <v/>
      </c>
      <c r="X548" s="29" t="str">
        <f t="shared" si="35"/>
        <v/>
      </c>
      <c r="Y548" s="29">
        <f>IF(AND(LEFT($B548,7)="SBA 26/",$D548&lt;&gt;"",$F548&lt;&gt;""),COUNTIFS($D$2:$D548,$D548,$B$2:$B548,"SBA 26/*",$F$2:$F548,"&lt;&gt;"),"")</f>
        <v>82</v>
      </c>
      <c r="Z548" s="29" t="str">
        <f>IF(Y548=1,COUNTIF($Y$2:Y548,1),"")</f>
        <v/>
      </c>
      <c r="AA548" s="29">
        <f>IF(AND(LEFT($B548,7)="SBA 26/",$C548&lt;&gt;"",$F548&lt;&gt;""),COUNTIFS($C$2:$C548,$C548,$B$2:$B548,"SBA 26/*",$F$2:$F548,"&lt;&gt;"),"")</f>
        <v>2</v>
      </c>
      <c r="AB548" s="29" t="str">
        <f>IF(AA548=1,COUNTIF($AA$2:AA548,1),"")</f>
        <v/>
      </c>
    </row>
    <row r="549" spans="1:28" ht="78.75" customHeight="1" x14ac:dyDescent="0.2">
      <c r="A549" s="43" t="s">
        <v>2594</v>
      </c>
      <c r="B549" s="43" t="s">
        <v>2595</v>
      </c>
      <c r="C549" s="44" t="s">
        <v>2596</v>
      </c>
      <c r="D549" s="44" t="s">
        <v>222</v>
      </c>
      <c r="E549" s="45" t="s">
        <v>2597</v>
      </c>
      <c r="F549" s="45" t="s">
        <v>2598</v>
      </c>
      <c r="G549" s="46" t="s">
        <v>38</v>
      </c>
      <c r="H549" s="48">
        <v>46191</v>
      </c>
      <c r="I549" s="48">
        <v>46217</v>
      </c>
      <c r="J549" s="44" t="s">
        <v>75</v>
      </c>
      <c r="K549" s="44" t="s">
        <v>84</v>
      </c>
      <c r="L549" s="50" t="s">
        <v>77</v>
      </c>
      <c r="M549" s="50"/>
      <c r="N549" s="50"/>
      <c r="O549" s="49"/>
      <c r="P549" s="50" t="str">
        <f t="shared" si="32"/>
        <v>ONAY</v>
      </c>
      <c r="R549" s="51" t="str">
        <f t="shared" si="33"/>
        <v/>
      </c>
      <c r="T549" s="41"/>
      <c r="U549" s="29">
        <f>IF($C549&lt;&gt;"",COUNTIF($C$2:C549,C549),"")</f>
        <v>1</v>
      </c>
      <c r="V549" s="29" t="str">
        <f t="shared" si="34"/>
        <v>Arş. Gör. Dr. Pınar YAVUZ TAZE§1</v>
      </c>
      <c r="W549" s="29">
        <f>IF(U549=1,COUNTIF($U$2:U549,1),"")</f>
        <v>287</v>
      </c>
      <c r="X549" s="29">
        <f t="shared" si="35"/>
        <v>8</v>
      </c>
      <c r="Y549" s="29">
        <f>IF(AND(LEFT($B549,7)="SBA 26/",$D549&lt;&gt;"",$F549&lt;&gt;""),COUNTIFS($D$2:$D549,$D549,$B$2:$B549,"SBA 26/*",$F$2:$F549,"&lt;&gt;"),"")</f>
        <v>83</v>
      </c>
      <c r="Z549" s="29" t="str">
        <f>IF(Y549=1,COUNTIF($Y$2:Y549,1),"")</f>
        <v/>
      </c>
      <c r="AA549" s="29">
        <f>IF(AND(LEFT($B549,7)="SBA 26/",$C549&lt;&gt;"",$F549&lt;&gt;""),COUNTIFS($C$2:$C549,$C549,$B$2:$B549,"SBA 26/*",$F$2:$F549,"&lt;&gt;"),"")</f>
        <v>1</v>
      </c>
      <c r="AB549" s="29">
        <f>IF(AA549=1,COUNTIF($AA$2:AA549,1),"")</f>
        <v>287</v>
      </c>
    </row>
    <row r="550" spans="1:28" ht="94.5" customHeight="1" x14ac:dyDescent="0.2">
      <c r="A550" s="43" t="s">
        <v>2599</v>
      </c>
      <c r="B550" s="43" t="s">
        <v>2600</v>
      </c>
      <c r="C550" s="44" t="s">
        <v>1757</v>
      </c>
      <c r="D550" s="44" t="s">
        <v>1143</v>
      </c>
      <c r="E550" s="45" t="s">
        <v>2601</v>
      </c>
      <c r="F550" s="45" t="s">
        <v>2602</v>
      </c>
      <c r="G550" s="46" t="s">
        <v>38</v>
      </c>
      <c r="H550" s="48">
        <v>46191</v>
      </c>
      <c r="I550" s="48">
        <v>46217</v>
      </c>
      <c r="J550" s="44" t="s">
        <v>91</v>
      </c>
      <c r="K550" s="44" t="s">
        <v>99</v>
      </c>
      <c r="L550" s="50" t="s">
        <v>101</v>
      </c>
      <c r="M550" s="50"/>
      <c r="N550" s="50"/>
      <c r="O550" s="49"/>
      <c r="P550" s="50" t="str">
        <f t="shared" si="32"/>
        <v>DÜZELTME</v>
      </c>
      <c r="R550" s="51" t="str">
        <f t="shared" si="33"/>
        <v/>
      </c>
      <c r="T550" s="41"/>
      <c r="U550" s="29">
        <f>IF($C550&lt;&gt;"",COUNTIF($C$2:C550,C550),"")</f>
        <v>2</v>
      </c>
      <c r="V550" s="29" t="str">
        <f t="shared" si="34"/>
        <v>Prof. Dr. Hakan UZUN§2</v>
      </c>
      <c r="W550" s="29" t="str">
        <f>IF(U550=1,COUNTIF($U$2:U550,1),"")</f>
        <v/>
      </c>
      <c r="X550" s="29" t="str">
        <f t="shared" si="35"/>
        <v/>
      </c>
      <c r="Y550" s="29">
        <f>IF(AND(LEFT($B550,7)="SBA 26/",$D550&lt;&gt;"",$F550&lt;&gt;""),COUNTIFS($D$2:$D550,$D550,$B$2:$B550,"SBA 26/*",$F$2:$F550,"&lt;&gt;"),"")</f>
        <v>5</v>
      </c>
      <c r="Z550" s="29" t="str">
        <f>IF(Y550=1,COUNTIF($Y$2:Y550,1),"")</f>
        <v/>
      </c>
      <c r="AA550" s="29">
        <f>IF(AND(LEFT($B550,7)="SBA 26/",$C550&lt;&gt;"",$F550&lt;&gt;""),COUNTIFS($C$2:$C550,$C550,$B$2:$B550,"SBA 26/*",$F$2:$F550,"&lt;&gt;"),"")</f>
        <v>2</v>
      </c>
      <c r="AB550" s="29" t="str">
        <f>IF(AA550=1,COUNTIF($AA$2:AA550,1),"")</f>
        <v/>
      </c>
    </row>
    <row r="551" spans="1:28" ht="63" customHeight="1" x14ac:dyDescent="0.2">
      <c r="A551" s="43" t="s">
        <v>2603</v>
      </c>
      <c r="B551" s="43" t="s">
        <v>2604</v>
      </c>
      <c r="C551" s="44" t="s">
        <v>2605</v>
      </c>
      <c r="D551" s="44" t="s">
        <v>347</v>
      </c>
      <c r="E551" s="45" t="s">
        <v>2606</v>
      </c>
      <c r="F551" s="45" t="s">
        <v>2607</v>
      </c>
      <c r="G551" s="46" t="s">
        <v>39</v>
      </c>
      <c r="H551" s="48">
        <v>46284</v>
      </c>
      <c r="I551" s="48">
        <v>46217</v>
      </c>
      <c r="J551" s="44" t="s">
        <v>91</v>
      </c>
      <c r="K551" s="44" t="s">
        <v>92</v>
      </c>
      <c r="L551" s="50" t="s">
        <v>101</v>
      </c>
      <c r="M551" s="50"/>
      <c r="N551" s="50"/>
      <c r="O551" s="49"/>
      <c r="P551" s="50" t="str">
        <f t="shared" si="32"/>
        <v>DÜZELTME</v>
      </c>
      <c r="R551" s="51" t="str">
        <f t="shared" si="33"/>
        <v/>
      </c>
      <c r="T551" s="41"/>
      <c r="U551" s="29">
        <f>IF($C551&lt;&gt;"",COUNTIF($C$2:C551,C551),"")</f>
        <v>1</v>
      </c>
      <c r="V551" s="29" t="str">
        <f t="shared" si="34"/>
        <v>Prof. Dr. Levent ÖZÇAKAR§1</v>
      </c>
      <c r="W551" s="29">
        <f>IF(U551=1,COUNTIF($U$2:U551,1),"")</f>
        <v>288</v>
      </c>
      <c r="X551" s="29">
        <f t="shared" si="35"/>
        <v>254</v>
      </c>
      <c r="Y551" s="29">
        <f>IF(AND(LEFT($B551,7)="SBA 26/",$D551&lt;&gt;"",$F551&lt;&gt;""),COUNTIFS($D$2:$D551,$D551,$B$2:$B551,"SBA 26/*",$F$2:$F551,"&lt;&gt;"),"")</f>
        <v>6</v>
      </c>
      <c r="Z551" s="29" t="str">
        <f>IF(Y551=1,COUNTIF($Y$2:Y551,1),"")</f>
        <v/>
      </c>
      <c r="AA551" s="29">
        <f>IF(AND(LEFT($B551,7)="SBA 26/",$C551&lt;&gt;"",$F551&lt;&gt;""),COUNTIFS($C$2:$C551,$C551,$B$2:$B551,"SBA 26/*",$F$2:$F551,"&lt;&gt;"),"")</f>
        <v>1</v>
      </c>
      <c r="AB551" s="29">
        <f>IF(AA551=1,COUNTIF($AA$2:AA551,1),"")</f>
        <v>288</v>
      </c>
    </row>
    <row r="552" spans="1:28" ht="63" customHeight="1" x14ac:dyDescent="0.2">
      <c r="A552" s="43" t="s">
        <v>2608</v>
      </c>
      <c r="B552" s="43" t="s">
        <v>2609</v>
      </c>
      <c r="C552" s="44" t="s">
        <v>1693</v>
      </c>
      <c r="D552" s="44" t="s">
        <v>1493</v>
      </c>
      <c r="E552" s="45" t="s">
        <v>2610</v>
      </c>
      <c r="F552" s="45" t="s">
        <v>2611</v>
      </c>
      <c r="G552" s="46" t="s">
        <v>38</v>
      </c>
      <c r="H552" s="48">
        <v>46284</v>
      </c>
      <c r="I552" s="48">
        <v>46217</v>
      </c>
      <c r="J552" s="44" t="s">
        <v>116</v>
      </c>
      <c r="K552" s="44" t="s">
        <v>92</v>
      </c>
      <c r="L552" s="50" t="s">
        <v>101</v>
      </c>
      <c r="M552" s="50"/>
      <c r="N552" s="50"/>
      <c r="O552" s="49"/>
      <c r="P552" s="50" t="str">
        <f t="shared" si="32"/>
        <v>DÜZELTME</v>
      </c>
      <c r="R552" s="51" t="str">
        <f t="shared" si="33"/>
        <v/>
      </c>
      <c r="T552" s="41"/>
      <c r="U552" s="29">
        <f>IF($C552&lt;&gt;"",COUNTIF($C$2:C552,C552),"")</f>
        <v>3</v>
      </c>
      <c r="V552" s="29" t="str">
        <f t="shared" si="34"/>
        <v>Dr. Öğr. Üyesi Ece ÖZOĞUL§3</v>
      </c>
      <c r="W552" s="29" t="str">
        <f>IF(U552=1,COUNTIF($U$2:U552,1),"")</f>
        <v/>
      </c>
      <c r="X552" s="29" t="str">
        <f t="shared" si="35"/>
        <v/>
      </c>
      <c r="Y552" s="29">
        <f>IF(AND(LEFT($B552,7)="SBA 26/",$D552&lt;&gt;"",$F552&lt;&gt;""),COUNTIFS($D$2:$D552,$D552,$B$2:$B552,"SBA 26/*",$F$2:$F552,"&lt;&gt;"),"")</f>
        <v>5</v>
      </c>
      <c r="Z552" s="29" t="str">
        <f>IF(Y552=1,COUNTIF($Y$2:Y552,1),"")</f>
        <v/>
      </c>
      <c r="AA552" s="29">
        <f>IF(AND(LEFT($B552,7)="SBA 26/",$C552&lt;&gt;"",$F552&lt;&gt;""),COUNTIFS($C$2:$C552,$C552,$B$2:$B552,"SBA 26/*",$F$2:$F552,"&lt;&gt;"),"")</f>
        <v>3</v>
      </c>
      <c r="AB552" s="29" t="str">
        <f>IF(AA552=1,COUNTIF($AA$2:AA552,1),"")</f>
        <v/>
      </c>
    </row>
    <row r="553" spans="1:28" ht="47.25" customHeight="1" x14ac:dyDescent="0.2">
      <c r="A553" s="43" t="s">
        <v>2612</v>
      </c>
      <c r="B553" s="43" t="s">
        <v>2613</v>
      </c>
      <c r="C553" s="44" t="s">
        <v>519</v>
      </c>
      <c r="D553" s="44" t="s">
        <v>364</v>
      </c>
      <c r="E553" s="45" t="s">
        <v>2614</v>
      </c>
      <c r="F553" s="45" t="s">
        <v>2615</v>
      </c>
      <c r="G553" s="46" t="s">
        <v>38</v>
      </c>
      <c r="H553" s="48">
        <v>46284</v>
      </c>
      <c r="I553" s="48">
        <v>46217</v>
      </c>
      <c r="J553" s="44" t="s">
        <v>92</v>
      </c>
      <c r="K553" s="44" t="s">
        <v>100</v>
      </c>
      <c r="L553" s="50" t="s">
        <v>77</v>
      </c>
      <c r="M553" s="50"/>
      <c r="N553" s="50"/>
      <c r="O553" s="49"/>
      <c r="P553" s="50" t="str">
        <f t="shared" si="32"/>
        <v>ONAY</v>
      </c>
      <c r="R553" s="51" t="str">
        <f t="shared" si="33"/>
        <v/>
      </c>
      <c r="T553" s="41"/>
      <c r="U553" s="29">
        <f>IF($C553&lt;&gt;"",COUNTIF($C$2:C553,C553),"")</f>
        <v>6</v>
      </c>
      <c r="V553" s="29" t="str">
        <f t="shared" si="34"/>
        <v>Prof. Dr. Neşe DERİCİOĞLU§6</v>
      </c>
      <c r="W553" s="29" t="str">
        <f>IF(U553=1,COUNTIF($U$2:U553,1),"")</f>
        <v/>
      </c>
      <c r="X553" s="29" t="str">
        <f t="shared" si="35"/>
        <v/>
      </c>
      <c r="Y553" s="29">
        <f>IF(AND(LEFT($B553,7)="SBA 26/",$D553&lt;&gt;"",$F553&lt;&gt;""),COUNTIFS($D$2:$D553,$D553,$B$2:$B553,"SBA 26/*",$F$2:$F553,"&lt;&gt;"),"")</f>
        <v>19</v>
      </c>
      <c r="Z553" s="29" t="str">
        <f>IF(Y553=1,COUNTIF($Y$2:Y553,1),"")</f>
        <v/>
      </c>
      <c r="AA553" s="29">
        <f>IF(AND(LEFT($B553,7)="SBA 26/",$C553&lt;&gt;"",$F553&lt;&gt;""),COUNTIFS($C$2:$C553,$C553,$B$2:$B553,"SBA 26/*",$F$2:$F553,"&lt;&gt;"),"")</f>
        <v>6</v>
      </c>
      <c r="AB553" s="29" t="str">
        <f>IF(AA553=1,COUNTIF($AA$2:AA553,1),"")</f>
        <v/>
      </c>
    </row>
    <row r="554" spans="1:28" ht="63" customHeight="1" x14ac:dyDescent="0.2">
      <c r="A554" s="43" t="s">
        <v>2616</v>
      </c>
      <c r="B554" s="43" t="s">
        <v>2617</v>
      </c>
      <c r="C554" s="44" t="s">
        <v>1693</v>
      </c>
      <c r="D554" s="44" t="s">
        <v>1493</v>
      </c>
      <c r="E554" s="45" t="s">
        <v>2618</v>
      </c>
      <c r="F554" s="45" t="s">
        <v>2619</v>
      </c>
      <c r="G554" s="46" t="s">
        <v>38</v>
      </c>
      <c r="H554" s="48">
        <v>46284</v>
      </c>
      <c r="I554" s="48">
        <v>46217</v>
      </c>
      <c r="J554" s="44" t="s">
        <v>84</v>
      </c>
      <c r="K554" s="44" t="s">
        <v>76</v>
      </c>
      <c r="L554" s="50" t="s">
        <v>77</v>
      </c>
      <c r="M554" s="50"/>
      <c r="N554" s="50"/>
      <c r="O554" s="49"/>
      <c r="P554" s="50" t="str">
        <f t="shared" si="32"/>
        <v>ONAY</v>
      </c>
      <c r="R554" s="51" t="str">
        <f t="shared" si="33"/>
        <v/>
      </c>
      <c r="T554" s="41"/>
      <c r="U554" s="29">
        <f>IF($C554&lt;&gt;"",COUNTIF($C$2:C554,C554),"")</f>
        <v>4</v>
      </c>
      <c r="V554" s="29" t="str">
        <f t="shared" si="34"/>
        <v>Dr. Öğr. Üyesi Ece ÖZOĞUL§4</v>
      </c>
      <c r="W554" s="29" t="str">
        <f>IF(U554=1,COUNTIF($U$2:U554,1),"")</f>
        <v/>
      </c>
      <c r="X554" s="29" t="str">
        <f t="shared" si="35"/>
        <v/>
      </c>
      <c r="Y554" s="29">
        <f>IF(AND(LEFT($B554,7)="SBA 26/",$D554&lt;&gt;"",$F554&lt;&gt;""),COUNTIFS($D$2:$D554,$D554,$B$2:$B554,"SBA 26/*",$F$2:$F554,"&lt;&gt;"),"")</f>
        <v>6</v>
      </c>
      <c r="Z554" s="29" t="str">
        <f>IF(Y554=1,COUNTIF($Y$2:Y554,1),"")</f>
        <v/>
      </c>
      <c r="AA554" s="29">
        <f>IF(AND(LEFT($B554,7)="SBA 26/",$C554&lt;&gt;"",$F554&lt;&gt;""),COUNTIFS($C$2:$C554,$C554,$B$2:$B554,"SBA 26/*",$F$2:$F554,"&lt;&gt;"),"")</f>
        <v>4</v>
      </c>
      <c r="AB554" s="29" t="str">
        <f>IF(AA554=1,COUNTIF($AA$2:AA554,1),"")</f>
        <v/>
      </c>
    </row>
    <row r="555" spans="1:28" ht="95.25" customHeight="1" x14ac:dyDescent="0.2">
      <c r="A555" s="43" t="s">
        <v>2620</v>
      </c>
      <c r="B555" s="43" t="s">
        <v>2621</v>
      </c>
      <c r="C555" s="44" t="s">
        <v>112</v>
      </c>
      <c r="D555" s="44" t="s">
        <v>113</v>
      </c>
      <c r="E555" s="45" t="s">
        <v>2622</v>
      </c>
      <c r="F555" s="45" t="s">
        <v>2623</v>
      </c>
      <c r="G555" s="46" t="s">
        <v>38</v>
      </c>
      <c r="H555" s="48">
        <v>46284</v>
      </c>
      <c r="I555" s="48">
        <v>46217</v>
      </c>
      <c r="J555" s="44" t="s">
        <v>91</v>
      </c>
      <c r="K555" s="44" t="s">
        <v>116</v>
      </c>
      <c r="L555" s="50" t="s">
        <v>77</v>
      </c>
      <c r="M555" s="50"/>
      <c r="N555" s="50"/>
      <c r="O555" s="49"/>
      <c r="P555" s="50" t="str">
        <f t="shared" si="32"/>
        <v>ONAY</v>
      </c>
      <c r="R555" s="51" t="str">
        <f t="shared" si="33"/>
        <v/>
      </c>
      <c r="T555" s="41"/>
      <c r="U555" s="29">
        <f>IF($C555&lt;&gt;"",COUNTIF($C$2:C555,C555),"")</f>
        <v>16</v>
      </c>
      <c r="V555" s="29" t="str">
        <f t="shared" si="34"/>
        <v>Prof. Dr. Meltem Gülhan HALİL§16</v>
      </c>
      <c r="W555" s="29" t="str">
        <f>IF(U555=1,COUNTIF($U$2:U555,1),"")</f>
        <v/>
      </c>
      <c r="X555" s="29" t="str">
        <f t="shared" si="35"/>
        <v/>
      </c>
      <c r="Y555" s="29">
        <f>IF(AND(LEFT($B555,7)="SBA 26/",$D555&lt;&gt;"",$F555&lt;&gt;""),COUNTIFS($D$2:$D555,$D555,$B$2:$B555,"SBA 26/*",$F$2:$F555,"&lt;&gt;"),"")</f>
        <v>95</v>
      </c>
      <c r="Z555" s="29" t="str">
        <f>IF(Y555=1,COUNTIF($Y$2:Y555,1),"")</f>
        <v/>
      </c>
      <c r="AA555" s="29">
        <f>IF(AND(LEFT($B555,7)="SBA 26/",$C555&lt;&gt;"",$F555&lt;&gt;""),COUNTIFS($C$2:$C555,$C555,$B$2:$B555,"SBA 26/*",$F$2:$F555,"&lt;&gt;"),"")</f>
        <v>16</v>
      </c>
      <c r="AB555" s="29" t="str">
        <f>IF(AA555=1,COUNTIF($AA$2:AA555,1),"")</f>
        <v/>
      </c>
    </row>
    <row r="556" spans="1:28" ht="94.5" customHeight="1" x14ac:dyDescent="0.2">
      <c r="A556" s="43" t="s">
        <v>2624</v>
      </c>
      <c r="B556" s="43" t="s">
        <v>2625</v>
      </c>
      <c r="C556" s="44" t="s">
        <v>1343</v>
      </c>
      <c r="D556" s="44" t="s">
        <v>1344</v>
      </c>
      <c r="E556" s="45" t="s">
        <v>2626</v>
      </c>
      <c r="F556" s="45" t="s">
        <v>2627</v>
      </c>
      <c r="G556" s="46" t="s">
        <v>38</v>
      </c>
      <c r="H556" s="48">
        <v>46284</v>
      </c>
      <c r="I556" s="48">
        <v>46217</v>
      </c>
      <c r="J556" s="44" t="s">
        <v>116</v>
      </c>
      <c r="K556" s="44" t="s">
        <v>99</v>
      </c>
      <c r="L556" s="50" t="s">
        <v>77</v>
      </c>
      <c r="M556" s="50"/>
      <c r="N556" s="50"/>
      <c r="O556" s="49"/>
      <c r="P556" s="50" t="str">
        <f t="shared" si="32"/>
        <v>ONAY</v>
      </c>
      <c r="R556" s="51" t="str">
        <f t="shared" si="33"/>
        <v/>
      </c>
      <c r="T556" s="41"/>
      <c r="U556" s="29">
        <f>IF($C556&lt;&gt;"",COUNTIF($C$2:C556,C556),"")</f>
        <v>2</v>
      </c>
      <c r="V556" s="29" t="str">
        <f t="shared" si="34"/>
        <v>Prof. Dr. Ali Rıza TÜMER§2</v>
      </c>
      <c r="W556" s="29" t="str">
        <f>IF(U556=1,COUNTIF($U$2:U556,1),"")</f>
        <v/>
      </c>
      <c r="X556" s="29" t="str">
        <f t="shared" si="35"/>
        <v/>
      </c>
      <c r="Y556" s="29">
        <f>IF(AND(LEFT($B556,7)="SBA 26/",$D556&lt;&gt;"",$F556&lt;&gt;""),COUNTIFS($D$2:$D556,$D556,$B$2:$B556,"SBA 26/*",$F$2:$F556,"&lt;&gt;"),"")</f>
        <v>2</v>
      </c>
      <c r="Z556" s="29" t="str">
        <f>IF(Y556=1,COUNTIF($Y$2:Y556,1),"")</f>
        <v/>
      </c>
      <c r="AA556" s="29">
        <f>IF(AND(LEFT($B556,7)="SBA 26/",$C556&lt;&gt;"",$F556&lt;&gt;""),COUNTIFS($C$2:$C556,$C556,$B$2:$B556,"SBA 26/*",$F$2:$F556,"&lt;&gt;"),"")</f>
        <v>2</v>
      </c>
      <c r="AB556" s="29" t="str">
        <f>IF(AA556=1,COUNTIF($AA$2:AA556,1),"")</f>
        <v/>
      </c>
    </row>
    <row r="557" spans="1:28" ht="63" customHeight="1" x14ac:dyDescent="0.2">
      <c r="A557" s="43" t="s">
        <v>2628</v>
      </c>
      <c r="B557" s="43" t="s">
        <v>2629</v>
      </c>
      <c r="C557" s="44" t="s">
        <v>2258</v>
      </c>
      <c r="D557" s="44" t="s">
        <v>181</v>
      </c>
      <c r="E557" s="45" t="s">
        <v>2630</v>
      </c>
      <c r="F557" s="45" t="s">
        <v>2631</v>
      </c>
      <c r="G557" s="46" t="s">
        <v>39</v>
      </c>
      <c r="H557" s="48">
        <v>46284</v>
      </c>
      <c r="I557" s="48">
        <v>46217</v>
      </c>
      <c r="J557" s="44" t="s">
        <v>109</v>
      </c>
      <c r="K557" s="44" t="s">
        <v>100</v>
      </c>
      <c r="L557" s="50" t="s">
        <v>77</v>
      </c>
      <c r="M557" s="50"/>
      <c r="N557" s="50"/>
      <c r="O557" s="49"/>
      <c r="P557" s="50" t="str">
        <f t="shared" si="32"/>
        <v>ONAY</v>
      </c>
      <c r="R557" s="51" t="str">
        <f t="shared" si="33"/>
        <v/>
      </c>
      <c r="T557" s="41"/>
      <c r="U557" s="29">
        <f>IF($C557&lt;&gt;"",COUNTIF($C$2:C557,C557),"")</f>
        <v>2</v>
      </c>
      <c r="V557" s="29" t="str">
        <f t="shared" si="34"/>
        <v>Prof. Dr. Filiz ÜZÜMCÜGİL§2</v>
      </c>
      <c r="W557" s="29" t="str">
        <f>IF(U557=1,COUNTIF($U$2:U557,1),"")</f>
        <v/>
      </c>
      <c r="X557" s="29" t="str">
        <f t="shared" si="35"/>
        <v/>
      </c>
      <c r="Y557" s="29">
        <f>IF(AND(LEFT($B557,7)="SBA 26/",$D557&lt;&gt;"",$F557&lt;&gt;""),COUNTIFS($D$2:$D557,$D557,$B$2:$B557,"SBA 26/*",$F$2:$F557,"&lt;&gt;"),"")</f>
        <v>9</v>
      </c>
      <c r="Z557" s="29" t="str">
        <f>IF(Y557=1,COUNTIF($Y$2:Y557,1),"")</f>
        <v/>
      </c>
      <c r="AA557" s="29">
        <f>IF(AND(LEFT($B557,7)="SBA 26/",$C557&lt;&gt;"",$F557&lt;&gt;""),COUNTIFS($C$2:$C557,$C557,$B$2:$B557,"SBA 26/*",$F$2:$F557,"&lt;&gt;"),"")</f>
        <v>2</v>
      </c>
      <c r="AB557" s="29" t="str">
        <f>IF(AA557=1,COUNTIF($AA$2:AA557,1),"")</f>
        <v/>
      </c>
    </row>
    <row r="558" spans="1:28" ht="78.75" customHeight="1" x14ac:dyDescent="0.2">
      <c r="A558" s="43" t="s">
        <v>2632</v>
      </c>
      <c r="B558" s="43" t="s">
        <v>2633</v>
      </c>
      <c r="C558" s="44" t="s">
        <v>2634</v>
      </c>
      <c r="D558" s="44" t="s">
        <v>88</v>
      </c>
      <c r="E558" s="45" t="s">
        <v>2635</v>
      </c>
      <c r="F558" s="45" t="s">
        <v>2636</v>
      </c>
      <c r="G558" s="46" t="s">
        <v>38</v>
      </c>
      <c r="H558" s="48">
        <v>46284</v>
      </c>
      <c r="I558" s="48">
        <v>46217</v>
      </c>
      <c r="J558" s="44" t="s">
        <v>92</v>
      </c>
      <c r="K558" s="44" t="s">
        <v>76</v>
      </c>
      <c r="L558" s="50" t="s">
        <v>101</v>
      </c>
      <c r="M558" s="50" t="s">
        <v>77</v>
      </c>
      <c r="N558" s="50"/>
      <c r="O558" s="49"/>
      <c r="P558" s="50" t="str">
        <f t="shared" si="32"/>
        <v>ONAY</v>
      </c>
      <c r="Q558" s="28" t="s">
        <v>92</v>
      </c>
      <c r="R558" s="51" t="str">
        <f t="shared" si="33"/>
        <v/>
      </c>
      <c r="T558" s="41"/>
      <c r="U558" s="29">
        <f>IF($C558&lt;&gt;"",COUNTIF($C$2:C558,C558),"")</f>
        <v>1</v>
      </c>
      <c r="V558" s="29" t="str">
        <f t="shared" si="34"/>
        <v>Doç. Dr. Elif Günay BULUT§1</v>
      </c>
      <c r="W558" s="29">
        <f>IF(U558=1,COUNTIF($U$2:U558,1),"")</f>
        <v>289</v>
      </c>
      <c r="X558" s="29">
        <f t="shared" si="35"/>
        <v>42</v>
      </c>
      <c r="Y558" s="29">
        <f>IF(AND(LEFT($B558,7)="SBA 26/",$D558&lt;&gt;"",$F558&lt;&gt;""),COUNTIFS($D$2:$D558,$D558,$B$2:$B558,"SBA 26/*",$F$2:$F558,"&lt;&gt;"),"")</f>
        <v>18</v>
      </c>
      <c r="Z558" s="29" t="str">
        <f>IF(Y558=1,COUNTIF($Y$2:Y558,1),"")</f>
        <v/>
      </c>
      <c r="AA558" s="29">
        <f>IF(AND(LEFT($B558,7)="SBA 26/",$C558&lt;&gt;"",$F558&lt;&gt;""),COUNTIFS($C$2:$C558,$C558,$B$2:$B558,"SBA 26/*",$F$2:$F558,"&lt;&gt;"),"")</f>
        <v>1</v>
      </c>
      <c r="AB558" s="29">
        <f>IF(AA558=1,COUNTIF($AA$2:AA558,1),"")</f>
        <v>289</v>
      </c>
    </row>
    <row r="559" spans="1:28" ht="110.25" customHeight="1" x14ac:dyDescent="0.2">
      <c r="A559" s="43" t="s">
        <v>2637</v>
      </c>
      <c r="B559" s="43" t="s">
        <v>2638</v>
      </c>
      <c r="C559" s="44" t="s">
        <v>1659</v>
      </c>
      <c r="D559" s="44" t="s">
        <v>364</v>
      </c>
      <c r="E559" s="45" t="s">
        <v>2639</v>
      </c>
      <c r="F559" s="45" t="s">
        <v>2640</v>
      </c>
      <c r="G559" s="46" t="s">
        <v>39</v>
      </c>
      <c r="H559" s="48">
        <v>46284</v>
      </c>
      <c r="I559" s="48">
        <v>46217</v>
      </c>
      <c r="J559" s="44" t="s">
        <v>75</v>
      </c>
      <c r="K559" s="44" t="s">
        <v>123</v>
      </c>
      <c r="L559" s="50" t="s">
        <v>77</v>
      </c>
      <c r="M559" s="50"/>
      <c r="N559" s="50"/>
      <c r="O559" s="49"/>
      <c r="P559" s="50" t="str">
        <f t="shared" si="32"/>
        <v>ONAY</v>
      </c>
      <c r="R559" s="51" t="str">
        <f t="shared" si="33"/>
        <v/>
      </c>
      <c r="T559" s="41"/>
      <c r="U559" s="29">
        <f>IF($C559&lt;&gt;"",COUNTIF($C$2:C559,C559),"")</f>
        <v>2</v>
      </c>
      <c r="V559" s="29" t="str">
        <f t="shared" si="34"/>
        <v>Prof. Dr. Meryem Aslı TUNCER§2</v>
      </c>
      <c r="W559" s="29" t="str">
        <f>IF(U559=1,COUNTIF($U$2:U559,1),"")</f>
        <v/>
      </c>
      <c r="X559" s="29" t="str">
        <f t="shared" si="35"/>
        <v/>
      </c>
      <c r="Y559" s="29">
        <f>IF(AND(LEFT($B559,7)="SBA 26/",$D559&lt;&gt;"",$F559&lt;&gt;""),COUNTIFS($D$2:$D559,$D559,$B$2:$B559,"SBA 26/*",$F$2:$F559,"&lt;&gt;"),"")</f>
        <v>20</v>
      </c>
      <c r="Z559" s="29" t="str">
        <f>IF(Y559=1,COUNTIF($Y$2:Y559,1),"")</f>
        <v/>
      </c>
      <c r="AA559" s="29">
        <f>IF(AND(LEFT($B559,7)="SBA 26/",$C559&lt;&gt;"",$F559&lt;&gt;""),COUNTIFS($C$2:$C559,$C559,$B$2:$B559,"SBA 26/*",$F$2:$F559,"&lt;&gt;"),"")</f>
        <v>2</v>
      </c>
      <c r="AB559" s="29" t="str">
        <f>IF(AA559=1,COUNTIF($AA$2:AA559,1),"")</f>
        <v/>
      </c>
    </row>
    <row r="560" spans="1:28" ht="63" customHeight="1" x14ac:dyDescent="0.2">
      <c r="A560" s="43" t="s">
        <v>2641</v>
      </c>
      <c r="B560" s="43" t="s">
        <v>2642</v>
      </c>
      <c r="C560" s="44" t="s">
        <v>1247</v>
      </c>
      <c r="D560" s="44" t="s">
        <v>222</v>
      </c>
      <c r="E560" s="45" t="s">
        <v>2643</v>
      </c>
      <c r="F560" s="45" t="s">
        <v>2644</v>
      </c>
      <c r="G560" s="46" t="s">
        <v>38</v>
      </c>
      <c r="H560" s="48">
        <v>46284</v>
      </c>
      <c r="I560" s="48">
        <v>46217</v>
      </c>
      <c r="J560" s="44" t="s">
        <v>75</v>
      </c>
      <c r="K560" s="44" t="s">
        <v>123</v>
      </c>
      <c r="L560" s="50" t="s">
        <v>101</v>
      </c>
      <c r="M560" s="50"/>
      <c r="N560" s="50"/>
      <c r="O560" s="49"/>
      <c r="P560" s="50" t="str">
        <f t="shared" si="32"/>
        <v>DÜZELTME</v>
      </c>
      <c r="R560" s="51" t="str">
        <f t="shared" si="33"/>
        <v/>
      </c>
      <c r="T560" s="41"/>
      <c r="U560" s="29">
        <f>IF($C560&lt;&gt;"",COUNTIF($C$2:C560,C560),"")</f>
        <v>5</v>
      </c>
      <c r="V560" s="29" t="str">
        <f t="shared" si="34"/>
        <v>Prof. Dr. Şule ÜNAL CANGÜL§5</v>
      </c>
      <c r="W560" s="29" t="str">
        <f>IF(U560=1,COUNTIF($U$2:U560,1),"")</f>
        <v/>
      </c>
      <c r="X560" s="29" t="str">
        <f t="shared" si="35"/>
        <v/>
      </c>
      <c r="Y560" s="29">
        <f>IF(AND(LEFT($B560,7)="SBA 26/",$D560&lt;&gt;"",$F560&lt;&gt;""),COUNTIFS($D$2:$D560,$D560,$B$2:$B560,"SBA 26/*",$F$2:$F560,"&lt;&gt;"),"")</f>
        <v>84</v>
      </c>
      <c r="Z560" s="29" t="str">
        <f>IF(Y560=1,COUNTIF($Y$2:Y560,1),"")</f>
        <v/>
      </c>
      <c r="AA560" s="29">
        <f>IF(AND(LEFT($B560,7)="SBA 26/",$C560&lt;&gt;"",$F560&lt;&gt;""),COUNTIFS($C$2:$C560,$C560,$B$2:$B560,"SBA 26/*",$F$2:$F560,"&lt;&gt;"),"")</f>
        <v>5</v>
      </c>
      <c r="AB560" s="29" t="str">
        <f>IF(AA560=1,COUNTIF($AA$2:AA560,1),"")</f>
        <v/>
      </c>
    </row>
    <row r="561" spans="1:28" ht="63" customHeight="1" x14ac:dyDescent="0.2">
      <c r="A561" s="43" t="s">
        <v>2645</v>
      </c>
      <c r="B561" s="43" t="s">
        <v>2646</v>
      </c>
      <c r="C561" s="44" t="s">
        <v>952</v>
      </c>
      <c r="D561" s="44" t="s">
        <v>404</v>
      </c>
      <c r="E561" s="45" t="s">
        <v>2647</v>
      </c>
      <c r="F561" s="45" t="s">
        <v>2648</v>
      </c>
      <c r="G561" s="46" t="s">
        <v>38</v>
      </c>
      <c r="H561" s="48">
        <v>46284</v>
      </c>
      <c r="I561" s="48">
        <v>46217</v>
      </c>
      <c r="J561" s="44" t="s">
        <v>109</v>
      </c>
      <c r="K561" s="44" t="s">
        <v>84</v>
      </c>
      <c r="L561" s="50" t="s">
        <v>101</v>
      </c>
      <c r="M561" s="50" t="s">
        <v>77</v>
      </c>
      <c r="N561" s="50"/>
      <c r="O561" s="49"/>
      <c r="P561" s="50" t="str">
        <f t="shared" si="32"/>
        <v>ONAY</v>
      </c>
      <c r="Q561" s="28" t="s">
        <v>109</v>
      </c>
      <c r="R561" s="51" t="str">
        <f t="shared" si="33"/>
        <v/>
      </c>
      <c r="T561" s="41"/>
      <c r="U561" s="29">
        <f>IF($C561&lt;&gt;"",COUNTIF($C$2:C561,C561),"")</f>
        <v>2</v>
      </c>
      <c r="V561" s="29" t="str">
        <f t="shared" si="34"/>
        <v>Prof. Dr. Serdar TEKGÜL§2</v>
      </c>
      <c r="W561" s="29" t="str">
        <f>IF(U561=1,COUNTIF($U$2:U561,1),"")</f>
        <v/>
      </c>
      <c r="X561" s="29" t="str">
        <f t="shared" si="35"/>
        <v/>
      </c>
      <c r="Y561" s="29">
        <f>IF(AND(LEFT($B561,7)="SBA 26/",$D561&lt;&gt;"",$F561&lt;&gt;""),COUNTIFS($D$2:$D561,$D561,$B$2:$B561,"SBA 26/*",$F$2:$F561,"&lt;&gt;"),"")</f>
        <v>7</v>
      </c>
      <c r="Z561" s="29" t="str">
        <f>IF(Y561=1,COUNTIF($Y$2:Y561,1),"")</f>
        <v/>
      </c>
      <c r="AA561" s="29">
        <f>IF(AND(LEFT($B561,7)="SBA 26/",$C561&lt;&gt;"",$F561&lt;&gt;""),COUNTIFS($C$2:$C561,$C561,$B$2:$B561,"SBA 26/*",$F$2:$F561,"&lt;&gt;"),"")</f>
        <v>2</v>
      </c>
      <c r="AB561" s="29" t="str">
        <f>IF(AA561=1,COUNTIF($AA$2:AA561,1),"")</f>
        <v/>
      </c>
    </row>
    <row r="562" spans="1:28" ht="63" customHeight="1" x14ac:dyDescent="0.2">
      <c r="A562" s="43" t="s">
        <v>2649</v>
      </c>
      <c r="B562" s="43" t="s">
        <v>2650</v>
      </c>
      <c r="C562" s="44" t="s">
        <v>76</v>
      </c>
      <c r="D562" s="44" t="s">
        <v>222</v>
      </c>
      <c r="E562" s="45" t="s">
        <v>2651</v>
      </c>
      <c r="F562" s="45" t="s">
        <v>2652</v>
      </c>
      <c r="G562" s="46" t="s">
        <v>38</v>
      </c>
      <c r="H562" s="48">
        <v>46284</v>
      </c>
      <c r="I562" s="48">
        <v>46217</v>
      </c>
      <c r="J562" s="44" t="s">
        <v>100</v>
      </c>
      <c r="K562" s="44" t="s">
        <v>75</v>
      </c>
      <c r="L562" s="50" t="s">
        <v>101</v>
      </c>
      <c r="M562" s="50" t="s">
        <v>77</v>
      </c>
      <c r="N562" s="50"/>
      <c r="O562" s="49"/>
      <c r="P562" s="50" t="str">
        <f t="shared" si="32"/>
        <v>ONAY</v>
      </c>
      <c r="Q562" s="28" t="s">
        <v>75</v>
      </c>
      <c r="R562" s="51" t="str">
        <f t="shared" si="33"/>
        <v/>
      </c>
      <c r="T562" s="41"/>
      <c r="U562" s="29">
        <f>IF($C562&lt;&gt;"",COUNTIF($C$2:C562,C562),"")</f>
        <v>4</v>
      </c>
      <c r="V562" s="29" t="str">
        <f t="shared" si="34"/>
        <v>Doç. Dr. Kübra AYKAÇ§4</v>
      </c>
      <c r="W562" s="29" t="str">
        <f>IF(U562=1,COUNTIF($U$2:U562,1),"")</f>
        <v/>
      </c>
      <c r="X562" s="29" t="str">
        <f t="shared" si="35"/>
        <v/>
      </c>
      <c r="Y562" s="29">
        <f>IF(AND(LEFT($B562,7)="SBA 26/",$D562&lt;&gt;"",$F562&lt;&gt;""),COUNTIFS($D$2:$D562,$D562,$B$2:$B562,"SBA 26/*",$F$2:$F562,"&lt;&gt;"),"")</f>
        <v>85</v>
      </c>
      <c r="Z562" s="29" t="str">
        <f>IF(Y562=1,COUNTIF($Y$2:Y562,1),"")</f>
        <v/>
      </c>
      <c r="AA562" s="29">
        <f>IF(AND(LEFT($B562,7)="SBA 26/",$C562&lt;&gt;"",$F562&lt;&gt;""),COUNTIFS($C$2:$C562,$C562,$B$2:$B562,"SBA 26/*",$F$2:$F562,"&lt;&gt;"),"")</f>
        <v>4</v>
      </c>
      <c r="AB562" s="29" t="str">
        <f>IF(AA562=1,COUNTIF($AA$2:AA562,1),"")</f>
        <v/>
      </c>
    </row>
    <row r="563" spans="1:28" ht="94.5" customHeight="1" x14ac:dyDescent="0.2">
      <c r="A563" s="43" t="s">
        <v>2653</v>
      </c>
      <c r="B563" s="43" t="s">
        <v>2654</v>
      </c>
      <c r="C563" s="44" t="s">
        <v>2655</v>
      </c>
      <c r="D563" s="44" t="s">
        <v>120</v>
      </c>
      <c r="E563" s="45" t="s">
        <v>2656</v>
      </c>
      <c r="F563" s="45" t="s">
        <v>2657</v>
      </c>
      <c r="G563" s="46" t="s">
        <v>39</v>
      </c>
      <c r="H563" s="48">
        <v>46284</v>
      </c>
      <c r="I563" s="48">
        <v>46217</v>
      </c>
      <c r="J563" s="44" t="s">
        <v>123</v>
      </c>
      <c r="K563" s="44" t="s">
        <v>99</v>
      </c>
      <c r="L563" s="50" t="s">
        <v>172</v>
      </c>
      <c r="M563" s="50"/>
      <c r="N563" s="50"/>
      <c r="O563" s="49"/>
      <c r="P563" s="50" t="str">
        <f t="shared" si="32"/>
        <v>RET</v>
      </c>
      <c r="R563" s="51" t="str">
        <f t="shared" si="33"/>
        <v/>
      </c>
      <c r="T563" s="41"/>
      <c r="U563" s="29">
        <f>IF($C563&lt;&gt;"",COUNTIF($C$2:C563,C563),"")</f>
        <v>1</v>
      </c>
      <c r="V563" s="29" t="str">
        <f t="shared" si="34"/>
        <v>Prof. Dr. Ahmet SERPER§1</v>
      </c>
      <c r="W563" s="29">
        <f>IF(U563=1,COUNTIF($U$2:U563,1),"")</f>
        <v>290</v>
      </c>
      <c r="X563" s="29">
        <f t="shared" si="35"/>
        <v>180</v>
      </c>
      <c r="Y563" s="29">
        <f>IF(AND(LEFT($B563,7)="SBA 26/",$D563&lt;&gt;"",$F563&lt;&gt;""),COUNTIFS($D$2:$D563,$D563,$B$2:$B563,"SBA 26/*",$F$2:$F563,"&lt;&gt;"),"")</f>
        <v>7</v>
      </c>
      <c r="Z563" s="29" t="str">
        <f>IF(Y563=1,COUNTIF($Y$2:Y563,1),"")</f>
        <v/>
      </c>
      <c r="AA563" s="29">
        <f>IF(AND(LEFT($B563,7)="SBA 26/",$C563&lt;&gt;"",$F563&lt;&gt;""),COUNTIFS($C$2:$C563,$C563,$B$2:$B563,"SBA 26/*",$F$2:$F563,"&lt;&gt;"),"")</f>
        <v>1</v>
      </c>
      <c r="AB563" s="29">
        <f>IF(AA563=1,COUNTIF($AA$2:AA563,1),"")</f>
        <v>290</v>
      </c>
    </row>
    <row r="564" spans="1:28" ht="63" customHeight="1" x14ac:dyDescent="0.2">
      <c r="A564" s="43" t="s">
        <v>2658</v>
      </c>
      <c r="B564" s="43" t="s">
        <v>2659</v>
      </c>
      <c r="C564" s="44" t="s">
        <v>2660</v>
      </c>
      <c r="D564" s="44" t="s">
        <v>2661</v>
      </c>
      <c r="E564" s="45" t="s">
        <v>2662</v>
      </c>
      <c r="F564" s="45" t="s">
        <v>2663</v>
      </c>
      <c r="G564" s="46" t="s">
        <v>38</v>
      </c>
      <c r="H564" s="48">
        <v>46284</v>
      </c>
      <c r="I564" s="48">
        <v>46217</v>
      </c>
      <c r="J564" s="44" t="s">
        <v>75</v>
      </c>
      <c r="K564" s="44" t="s">
        <v>91</v>
      </c>
      <c r="L564" s="50" t="s">
        <v>101</v>
      </c>
      <c r="M564" s="50" t="s">
        <v>77</v>
      </c>
      <c r="N564" s="50"/>
      <c r="O564" s="49"/>
      <c r="P564" s="50" t="str">
        <f t="shared" si="32"/>
        <v>ONAY</v>
      </c>
      <c r="Q564" s="28" t="s">
        <v>75</v>
      </c>
      <c r="R564" s="51" t="str">
        <f t="shared" si="33"/>
        <v/>
      </c>
      <c r="T564" s="41"/>
      <c r="U564" s="29">
        <f>IF($C564&lt;&gt;"",COUNTIF($C$2:C564,C564),"")</f>
        <v>1</v>
      </c>
      <c r="V564" s="29" t="str">
        <f t="shared" si="34"/>
        <v>Doç. Dr. İsmail UYANIK§1</v>
      </c>
      <c r="W564" s="29">
        <f>IF(U564=1,COUNTIF($U$2:U564,1),"")</f>
        <v>291</v>
      </c>
      <c r="X564" s="29">
        <f t="shared" si="35"/>
        <v>69</v>
      </c>
      <c r="Y564" s="29">
        <f>IF(AND(LEFT($B564,7)="SBA 26/",$D564&lt;&gt;"",$F564&lt;&gt;""),COUNTIFS($D$2:$D564,$D564,$B$2:$B564,"SBA 26/*",$F$2:$F564,"&lt;&gt;"),"")</f>
        <v>1</v>
      </c>
      <c r="Z564" s="29">
        <f>IF(Y564=1,COUNTIF($Y$2:Y564,1),"")</f>
        <v>75</v>
      </c>
      <c r="AA564" s="29">
        <f>IF(AND(LEFT($B564,7)="SBA 26/",$C564&lt;&gt;"",$F564&lt;&gt;""),COUNTIFS($C$2:$C564,$C564,$B$2:$B564,"SBA 26/*",$F$2:$F564,"&lt;&gt;"),"")</f>
        <v>1</v>
      </c>
      <c r="AB564" s="29">
        <f>IF(AA564=1,COUNTIF($AA$2:AA564,1),"")</f>
        <v>291</v>
      </c>
    </row>
    <row r="565" spans="1:28" ht="63" customHeight="1" x14ac:dyDescent="0.2">
      <c r="A565" s="43" t="s">
        <v>2664</v>
      </c>
      <c r="B565" s="43" t="s">
        <v>2665</v>
      </c>
      <c r="C565" s="44" t="s">
        <v>126</v>
      </c>
      <c r="D565" s="44" t="s">
        <v>113</v>
      </c>
      <c r="E565" s="45" t="s">
        <v>2666</v>
      </c>
      <c r="F565" s="45" t="s">
        <v>2667</v>
      </c>
      <c r="G565" s="46" t="s">
        <v>38</v>
      </c>
      <c r="H565" s="48">
        <v>46284</v>
      </c>
      <c r="I565" s="48">
        <v>46217</v>
      </c>
      <c r="J565" s="44" t="s">
        <v>99</v>
      </c>
      <c r="K565" s="44" t="s">
        <v>116</v>
      </c>
      <c r="L565" s="50" t="s">
        <v>77</v>
      </c>
      <c r="M565" s="50"/>
      <c r="N565" s="50"/>
      <c r="O565" s="49"/>
      <c r="P565" s="50" t="str">
        <f t="shared" si="32"/>
        <v>ONAY</v>
      </c>
      <c r="R565" s="51" t="str">
        <f t="shared" si="33"/>
        <v/>
      </c>
      <c r="T565" s="41"/>
      <c r="U565" s="29">
        <f>IF($C565&lt;&gt;"",COUNTIF($C$2:C565,C565),"")</f>
        <v>2</v>
      </c>
      <c r="V565" s="29" t="str">
        <f t="shared" si="34"/>
        <v>Doç. Dr. Nursel ÇALIK BAŞARAN§2</v>
      </c>
      <c r="W565" s="29" t="str">
        <f>IF(U565=1,COUNTIF($U$2:U565,1),"")</f>
        <v/>
      </c>
      <c r="X565" s="29" t="str">
        <f t="shared" si="35"/>
        <v/>
      </c>
      <c r="Y565" s="29">
        <f>IF(AND(LEFT($B565,7)="SBA 26/",$D565&lt;&gt;"",$F565&lt;&gt;""),COUNTIFS($D$2:$D565,$D565,$B$2:$B565,"SBA 26/*",$F$2:$F565,"&lt;&gt;"),"")</f>
        <v>96</v>
      </c>
      <c r="Z565" s="29" t="str">
        <f>IF(Y565=1,COUNTIF($Y$2:Y565,1),"")</f>
        <v/>
      </c>
      <c r="AA565" s="29">
        <f>IF(AND(LEFT($B565,7)="SBA 26/",$C565&lt;&gt;"",$F565&lt;&gt;""),COUNTIFS($C$2:$C565,$C565,$B$2:$B565,"SBA 26/*",$F$2:$F565,"&lt;&gt;"),"")</f>
        <v>2</v>
      </c>
      <c r="AB565" s="29" t="str">
        <f>IF(AA565=1,COUNTIF($AA$2:AA565,1),"")</f>
        <v/>
      </c>
    </row>
    <row r="566" spans="1:28" ht="63" customHeight="1" x14ac:dyDescent="0.2">
      <c r="A566" s="43" t="s">
        <v>2668</v>
      </c>
      <c r="B566" s="43" t="s">
        <v>2669</v>
      </c>
      <c r="C566" s="44" t="s">
        <v>221</v>
      </c>
      <c r="D566" s="44" t="s">
        <v>222</v>
      </c>
      <c r="E566" s="45" t="s">
        <v>2670</v>
      </c>
      <c r="F566" s="45" t="s">
        <v>2671</v>
      </c>
      <c r="G566" s="46" t="s">
        <v>38</v>
      </c>
      <c r="H566" s="48">
        <v>46284</v>
      </c>
      <c r="I566" s="48">
        <v>46217</v>
      </c>
      <c r="J566" s="44" t="s">
        <v>109</v>
      </c>
      <c r="K566" s="44" t="s">
        <v>76</v>
      </c>
      <c r="L566" s="50" t="s">
        <v>101</v>
      </c>
      <c r="M566" s="50"/>
      <c r="N566" s="50"/>
      <c r="O566" s="49"/>
      <c r="P566" s="50" t="str">
        <f t="shared" si="32"/>
        <v>DÜZELTME</v>
      </c>
      <c r="R566" s="51" t="str">
        <f t="shared" si="33"/>
        <v/>
      </c>
      <c r="T566" s="41"/>
      <c r="U566" s="29">
        <f>IF($C566&lt;&gt;"",COUNTIF($C$2:C566,C566),"")</f>
        <v>3</v>
      </c>
      <c r="V566" s="29" t="str">
        <f t="shared" si="34"/>
        <v>Prof. Dr. Seza ÖZEN§3</v>
      </c>
      <c r="W566" s="29" t="str">
        <f>IF(U566=1,COUNTIF($U$2:U566,1),"")</f>
        <v/>
      </c>
      <c r="X566" s="29" t="str">
        <f t="shared" si="35"/>
        <v/>
      </c>
      <c r="Y566" s="29">
        <f>IF(AND(LEFT($B566,7)="SBA 26/",$D566&lt;&gt;"",$F566&lt;&gt;""),COUNTIFS($D$2:$D566,$D566,$B$2:$B566,"SBA 26/*",$F$2:$F566,"&lt;&gt;"),"")</f>
        <v>86</v>
      </c>
      <c r="Z566" s="29" t="str">
        <f>IF(Y566=1,COUNTIF($Y$2:Y566,1),"")</f>
        <v/>
      </c>
      <c r="AA566" s="29">
        <f>IF(AND(LEFT($B566,7)="SBA 26/",$C566&lt;&gt;"",$F566&lt;&gt;""),COUNTIFS($C$2:$C566,$C566,$B$2:$B566,"SBA 26/*",$F$2:$F566,"&lt;&gt;"),"")</f>
        <v>3</v>
      </c>
      <c r="AB566" s="29" t="str">
        <f>IF(AA566=1,COUNTIF($AA$2:AA566,1),"")</f>
        <v/>
      </c>
    </row>
    <row r="567" spans="1:28" ht="78.75" customHeight="1" x14ac:dyDescent="0.2">
      <c r="A567" s="43" t="s">
        <v>2672</v>
      </c>
      <c r="B567" s="43" t="s">
        <v>2673</v>
      </c>
      <c r="C567" s="44" t="s">
        <v>2674</v>
      </c>
      <c r="D567" s="44" t="s">
        <v>222</v>
      </c>
      <c r="E567" s="45" t="s">
        <v>2675</v>
      </c>
      <c r="F567" s="45" t="s">
        <v>2676</v>
      </c>
      <c r="G567" s="46" t="s">
        <v>38</v>
      </c>
      <c r="H567" s="48">
        <v>46284</v>
      </c>
      <c r="I567" s="48">
        <v>46217</v>
      </c>
      <c r="J567" s="44" t="s">
        <v>84</v>
      </c>
      <c r="K567" s="44" t="s">
        <v>91</v>
      </c>
      <c r="L567" s="50" t="s">
        <v>101</v>
      </c>
      <c r="M567" s="50" t="s">
        <v>77</v>
      </c>
      <c r="N567" s="50"/>
      <c r="O567" s="49"/>
      <c r="P567" s="50" t="str">
        <f t="shared" si="32"/>
        <v>ONAY</v>
      </c>
      <c r="Q567" s="28" t="s">
        <v>84</v>
      </c>
      <c r="R567" s="51" t="str">
        <f t="shared" si="33"/>
        <v/>
      </c>
      <c r="T567" s="41"/>
      <c r="U567" s="29">
        <f>IF($C567&lt;&gt;"",COUNTIF($C$2:C567,C567),"")</f>
        <v>1</v>
      </c>
      <c r="V567" s="29" t="str">
        <f t="shared" si="34"/>
        <v>Prof. Dr. Selin AYTAÇ EYÜPOĞLU§1</v>
      </c>
      <c r="W567" s="29">
        <f>IF(U567=1,COUNTIF($U$2:U567,1),"")</f>
        <v>292</v>
      </c>
      <c r="X567" s="29">
        <f t="shared" si="35"/>
        <v>304</v>
      </c>
      <c r="Y567" s="29">
        <f>IF(AND(LEFT($B567,7)="SBA 26/",$D567&lt;&gt;"",$F567&lt;&gt;""),COUNTIFS($D$2:$D567,$D567,$B$2:$B567,"SBA 26/*",$F$2:$F567,"&lt;&gt;"),"")</f>
        <v>87</v>
      </c>
      <c r="Z567" s="29" t="str">
        <f>IF(Y567=1,COUNTIF($Y$2:Y567,1),"")</f>
        <v/>
      </c>
      <c r="AA567" s="29">
        <f>IF(AND(LEFT($B567,7)="SBA 26/",$C567&lt;&gt;"",$F567&lt;&gt;""),COUNTIFS($C$2:$C567,$C567,$B$2:$B567,"SBA 26/*",$F$2:$F567,"&lt;&gt;"),"")</f>
        <v>1</v>
      </c>
      <c r="AB567" s="29">
        <f>IF(AA567=1,COUNTIF($AA$2:AA567,1),"")</f>
        <v>292</v>
      </c>
    </row>
    <row r="568" spans="1:28" ht="110.25" customHeight="1" x14ac:dyDescent="0.2">
      <c r="A568" s="43" t="s">
        <v>2677</v>
      </c>
      <c r="B568" s="43" t="s">
        <v>2678</v>
      </c>
      <c r="C568" s="44" t="s">
        <v>809</v>
      </c>
      <c r="D568" s="44" t="s">
        <v>222</v>
      </c>
      <c r="E568" s="45" t="s">
        <v>2679</v>
      </c>
      <c r="F568" s="45" t="s">
        <v>2680</v>
      </c>
      <c r="G568" s="46" t="s">
        <v>38</v>
      </c>
      <c r="H568" s="48">
        <v>46284</v>
      </c>
      <c r="I568" s="48">
        <v>46217</v>
      </c>
      <c r="J568" s="44" t="s">
        <v>75</v>
      </c>
      <c r="K568" s="44" t="s">
        <v>92</v>
      </c>
      <c r="L568" s="50" t="s">
        <v>101</v>
      </c>
      <c r="M568" s="50"/>
      <c r="N568" s="50"/>
      <c r="O568" s="49"/>
      <c r="P568" s="50" t="str">
        <f t="shared" si="32"/>
        <v>DÜZELTME</v>
      </c>
      <c r="R568" s="51" t="str">
        <f t="shared" si="33"/>
        <v/>
      </c>
      <c r="T568" s="41"/>
      <c r="U568" s="29">
        <f>IF($C568&lt;&gt;"",COUNTIF($C$2:C568,C568),"")</f>
        <v>2</v>
      </c>
      <c r="V568" s="29" t="str">
        <f t="shared" si="34"/>
        <v>Prof. Dr. Nagehan EMİRALİOĞLU ORDUKAYA§2</v>
      </c>
      <c r="W568" s="29" t="str">
        <f>IF(U568=1,COUNTIF($U$2:U568,1),"")</f>
        <v/>
      </c>
      <c r="X568" s="29" t="str">
        <f t="shared" si="35"/>
        <v/>
      </c>
      <c r="Y568" s="29">
        <f>IF(AND(LEFT($B568,7)="SBA 26/",$D568&lt;&gt;"",$F568&lt;&gt;""),COUNTIFS($D$2:$D568,$D568,$B$2:$B568,"SBA 26/*",$F$2:$F568,"&lt;&gt;"),"")</f>
        <v>88</v>
      </c>
      <c r="Z568" s="29" t="str">
        <f>IF(Y568=1,COUNTIF($Y$2:Y568,1),"")</f>
        <v/>
      </c>
      <c r="AA568" s="29">
        <f>IF(AND(LEFT($B568,7)="SBA 26/",$C568&lt;&gt;"",$F568&lt;&gt;""),COUNTIFS($C$2:$C568,$C568,$B$2:$B568,"SBA 26/*",$F$2:$F568,"&lt;&gt;"),"")</f>
        <v>2</v>
      </c>
      <c r="AB568" s="29" t="str">
        <f>IF(AA568=1,COUNTIF($AA$2:AA568,1),"")</f>
        <v/>
      </c>
    </row>
    <row r="569" spans="1:28" ht="78.75" customHeight="1" x14ac:dyDescent="0.2">
      <c r="A569" s="43" t="s">
        <v>2681</v>
      </c>
      <c r="B569" s="43" t="s">
        <v>2682</v>
      </c>
      <c r="C569" s="44" t="s">
        <v>800</v>
      </c>
      <c r="D569" s="44" t="s">
        <v>397</v>
      </c>
      <c r="E569" s="45" t="s">
        <v>2683</v>
      </c>
      <c r="F569" s="45" t="s">
        <v>2684</v>
      </c>
      <c r="G569" s="46" t="s">
        <v>40</v>
      </c>
      <c r="H569" s="48">
        <v>46195</v>
      </c>
      <c r="I569" s="48">
        <v>46217</v>
      </c>
      <c r="J569" s="44" t="s">
        <v>109</v>
      </c>
      <c r="K569" s="44" t="s">
        <v>84</v>
      </c>
      <c r="L569" s="50" t="s">
        <v>101</v>
      </c>
      <c r="M569" s="50" t="s">
        <v>77</v>
      </c>
      <c r="N569" s="50"/>
      <c r="O569" s="49"/>
      <c r="P569" s="50" t="str">
        <f t="shared" si="32"/>
        <v>ONAY</v>
      </c>
      <c r="Q569" s="28" t="s">
        <v>84</v>
      </c>
      <c r="R569" s="51" t="str">
        <f t="shared" si="33"/>
        <v/>
      </c>
      <c r="T569" s="41"/>
      <c r="U569" s="29">
        <f>IF($C569&lt;&gt;"",COUNTIF($C$2:C569,C569),"")</f>
        <v>3</v>
      </c>
      <c r="V569" s="29" t="str">
        <f t="shared" si="34"/>
        <v>Dr. Öğr. Üyesi Emre KARA§3</v>
      </c>
      <c r="W569" s="29" t="str">
        <f>IF(U569=1,COUNTIF($U$2:U569,1),"")</f>
        <v/>
      </c>
      <c r="X569" s="29" t="str">
        <f t="shared" si="35"/>
        <v/>
      </c>
      <c r="Y569" s="29">
        <f>IF(AND(LEFT($B569,7)="SBA 26/",$D569&lt;&gt;"",$F569&lt;&gt;""),COUNTIFS($D$2:$D569,$D569,$B$2:$B569,"SBA 26/*",$F$2:$F569,"&lt;&gt;"),"")</f>
        <v>13</v>
      </c>
      <c r="Z569" s="29" t="str">
        <f>IF(Y569=1,COUNTIF($Y$2:Y569,1),"")</f>
        <v/>
      </c>
      <c r="AA569" s="29">
        <f>IF(AND(LEFT($B569,7)="SBA 26/",$C569&lt;&gt;"",$F569&lt;&gt;""),COUNTIFS($C$2:$C569,$C569,$B$2:$B569,"SBA 26/*",$F$2:$F569,"&lt;&gt;"),"")</f>
        <v>3</v>
      </c>
      <c r="AB569" s="29" t="str">
        <f>IF(AA569=1,COUNTIF($AA$2:AA569,1),"")</f>
        <v/>
      </c>
    </row>
    <row r="570" spans="1:28" ht="63" customHeight="1" x14ac:dyDescent="0.2">
      <c r="A570" s="43" t="s">
        <v>2685</v>
      </c>
      <c r="B570" s="43" t="s">
        <v>2686</v>
      </c>
      <c r="C570" s="44" t="s">
        <v>2674</v>
      </c>
      <c r="D570" s="44" t="s">
        <v>222</v>
      </c>
      <c r="E570" s="45" t="s">
        <v>2687</v>
      </c>
      <c r="F570" s="45" t="s">
        <v>2688</v>
      </c>
      <c r="G570" s="46" t="s">
        <v>38</v>
      </c>
      <c r="H570" s="48">
        <v>46195</v>
      </c>
      <c r="I570" s="48">
        <v>46217</v>
      </c>
      <c r="J570" s="44" t="s">
        <v>123</v>
      </c>
      <c r="K570" s="44" t="s">
        <v>100</v>
      </c>
      <c r="L570" s="50" t="s">
        <v>77</v>
      </c>
      <c r="M570" s="50"/>
      <c r="N570" s="50"/>
      <c r="O570" s="49"/>
      <c r="P570" s="50" t="str">
        <f t="shared" si="32"/>
        <v>ONAY</v>
      </c>
      <c r="R570" s="51" t="str">
        <f t="shared" si="33"/>
        <v/>
      </c>
      <c r="T570" s="41"/>
      <c r="U570" s="29">
        <f>IF($C570&lt;&gt;"",COUNTIF($C$2:C570,C570),"")</f>
        <v>2</v>
      </c>
      <c r="V570" s="29" t="str">
        <f t="shared" si="34"/>
        <v>Prof. Dr. Selin AYTAÇ EYÜPOĞLU§2</v>
      </c>
      <c r="W570" s="29" t="str">
        <f>IF(U570=1,COUNTIF($U$2:U570,1),"")</f>
        <v/>
      </c>
      <c r="X570" s="29" t="str">
        <f t="shared" si="35"/>
        <v/>
      </c>
      <c r="Y570" s="29">
        <f>IF(AND(LEFT($B570,7)="SBA 26/",$D570&lt;&gt;"",$F570&lt;&gt;""),COUNTIFS($D$2:$D570,$D570,$B$2:$B570,"SBA 26/*",$F$2:$F570,"&lt;&gt;"),"")</f>
        <v>89</v>
      </c>
      <c r="Z570" s="29" t="str">
        <f>IF(Y570=1,COUNTIF($Y$2:Y570,1),"")</f>
        <v/>
      </c>
      <c r="AA570" s="29">
        <f>IF(AND(LEFT($B570,7)="SBA 26/",$C570&lt;&gt;"",$F570&lt;&gt;""),COUNTIFS($C$2:$C570,$C570,$B$2:$B570,"SBA 26/*",$F$2:$F570,"&lt;&gt;"),"")</f>
        <v>2</v>
      </c>
      <c r="AB570" s="29" t="str">
        <f>IF(AA570=1,COUNTIF($AA$2:AA570,1),"")</f>
        <v/>
      </c>
    </row>
    <row r="571" spans="1:28" ht="78.75" customHeight="1" x14ac:dyDescent="0.2">
      <c r="A571" s="43" t="s">
        <v>2689</v>
      </c>
      <c r="B571" s="43" t="s">
        <v>2690</v>
      </c>
      <c r="C571" s="44" t="s">
        <v>2691</v>
      </c>
      <c r="D571" s="44" t="s">
        <v>222</v>
      </c>
      <c r="E571" s="45" t="s">
        <v>2692</v>
      </c>
      <c r="F571" s="45" t="s">
        <v>2693</v>
      </c>
      <c r="G571" s="46" t="s">
        <v>38</v>
      </c>
      <c r="H571" s="48">
        <v>46195</v>
      </c>
      <c r="I571" s="48">
        <v>46217</v>
      </c>
      <c r="J571" s="44" t="s">
        <v>123</v>
      </c>
      <c r="K571" s="44" t="s">
        <v>100</v>
      </c>
      <c r="L571" s="50" t="s">
        <v>77</v>
      </c>
      <c r="M571" s="50"/>
      <c r="N571" s="50"/>
      <c r="O571" s="49"/>
      <c r="P571" s="50" t="str">
        <f t="shared" si="32"/>
        <v>ONAY</v>
      </c>
      <c r="R571" s="51" t="str">
        <f t="shared" si="33"/>
        <v/>
      </c>
      <c r="T571" s="41"/>
      <c r="U571" s="29">
        <f>IF($C571&lt;&gt;"",COUNTIF($C$2:C571,C571),"")</f>
        <v>1</v>
      </c>
      <c r="V571" s="29" t="str">
        <f t="shared" si="34"/>
        <v>Prof. Dr. B. Barış KUŞKONMAZ§1</v>
      </c>
      <c r="W571" s="29">
        <f>IF(U571=1,COUNTIF($U$2:U571,1),"")</f>
        <v>293</v>
      </c>
      <c r="X571" s="29">
        <f t="shared" si="35"/>
        <v>193</v>
      </c>
      <c r="Y571" s="29">
        <f>IF(AND(LEFT($B571,7)="SBA 26/",$D571&lt;&gt;"",$F571&lt;&gt;""),COUNTIFS($D$2:$D571,$D571,$B$2:$B571,"SBA 26/*",$F$2:$F571,"&lt;&gt;"),"")</f>
        <v>90</v>
      </c>
      <c r="Z571" s="29" t="str">
        <f>IF(Y571=1,COUNTIF($Y$2:Y571,1),"")</f>
        <v/>
      </c>
      <c r="AA571" s="29">
        <f>IF(AND(LEFT($B571,7)="SBA 26/",$C571&lt;&gt;"",$F571&lt;&gt;""),COUNTIFS($C$2:$C571,$C571,$B$2:$B571,"SBA 26/*",$F$2:$F571,"&lt;&gt;"),"")</f>
        <v>1</v>
      </c>
      <c r="AB571" s="29">
        <f>IF(AA571=1,COUNTIF($AA$2:AA571,1),"")</f>
        <v>293</v>
      </c>
    </row>
    <row r="572" spans="1:28" ht="63" customHeight="1" x14ac:dyDescent="0.2">
      <c r="A572" s="43" t="s">
        <v>2694</v>
      </c>
      <c r="B572" s="43" t="s">
        <v>2695</v>
      </c>
      <c r="C572" s="44" t="s">
        <v>1528</v>
      </c>
      <c r="D572" s="44" t="s">
        <v>234</v>
      </c>
      <c r="E572" s="45" t="s">
        <v>2696</v>
      </c>
      <c r="F572" s="45" t="s">
        <v>2697</v>
      </c>
      <c r="G572" s="46" t="s">
        <v>38</v>
      </c>
      <c r="H572" s="48">
        <v>46195</v>
      </c>
      <c r="I572" s="48">
        <v>46217</v>
      </c>
      <c r="J572" s="44" t="s">
        <v>91</v>
      </c>
      <c r="K572" s="44" t="s">
        <v>92</v>
      </c>
      <c r="L572" s="50" t="s">
        <v>101</v>
      </c>
      <c r="M572" s="50"/>
      <c r="N572" s="50"/>
      <c r="O572" s="49"/>
      <c r="P572" s="50" t="str">
        <f t="shared" si="32"/>
        <v>DÜZELTME</v>
      </c>
      <c r="R572" s="51" t="str">
        <f t="shared" si="33"/>
        <v/>
      </c>
      <c r="T572" s="41"/>
      <c r="U572" s="29">
        <f>IF($C572&lt;&gt;"",COUNTIF($C$2:C572,C572),"")</f>
        <v>6</v>
      </c>
      <c r="V572" s="29" t="str">
        <f t="shared" si="34"/>
        <v>Doç. Dr. Cem ÇÖTELİ§6</v>
      </c>
      <c r="W572" s="29" t="str">
        <f>IF(U572=1,COUNTIF($U$2:U572,1),"")</f>
        <v/>
      </c>
      <c r="X572" s="29" t="str">
        <f t="shared" si="35"/>
        <v/>
      </c>
      <c r="Y572" s="29">
        <f>IF(AND(LEFT($B572,7)="SBA 26/",$D572&lt;&gt;"",$F572&lt;&gt;""),COUNTIFS($D$2:$D572,$D572,$B$2:$B572,"SBA 26/*",$F$2:$F572,"&lt;&gt;"),"")</f>
        <v>18</v>
      </c>
      <c r="Z572" s="29" t="str">
        <f>IF(Y572=1,COUNTIF($Y$2:Y572,1),"")</f>
        <v/>
      </c>
      <c r="AA572" s="29">
        <f>IF(AND(LEFT($B572,7)="SBA 26/",$C572&lt;&gt;"",$F572&lt;&gt;""),COUNTIFS($C$2:$C572,$C572,$B$2:$B572,"SBA 26/*",$F$2:$F572,"&lt;&gt;"),"")</f>
        <v>6</v>
      </c>
      <c r="AB572" s="29" t="str">
        <f>IF(AA572=1,COUNTIF($AA$2:AA572,1),"")</f>
        <v/>
      </c>
    </row>
    <row r="573" spans="1:28" ht="79.5" customHeight="1" x14ac:dyDescent="0.2">
      <c r="A573" s="43" t="s">
        <v>2698</v>
      </c>
      <c r="B573" s="43" t="s">
        <v>2699</v>
      </c>
      <c r="C573" s="44" t="s">
        <v>396</v>
      </c>
      <c r="D573" s="44" t="s">
        <v>397</v>
      </c>
      <c r="E573" s="45" t="s">
        <v>2700</v>
      </c>
      <c r="F573" s="45" t="s">
        <v>2701</v>
      </c>
      <c r="G573" s="46" t="s">
        <v>38</v>
      </c>
      <c r="H573" s="48">
        <v>46195</v>
      </c>
      <c r="I573" s="48">
        <v>46217</v>
      </c>
      <c r="J573" s="44" t="s">
        <v>109</v>
      </c>
      <c r="K573" s="44" t="s">
        <v>76</v>
      </c>
      <c r="L573" s="50" t="s">
        <v>77</v>
      </c>
      <c r="M573" s="50"/>
      <c r="N573" s="50"/>
      <c r="O573" s="49"/>
      <c r="P573" s="50" t="str">
        <f t="shared" si="32"/>
        <v>ONAY</v>
      </c>
      <c r="R573" s="51" t="str">
        <f t="shared" si="33"/>
        <v/>
      </c>
      <c r="T573" s="41"/>
      <c r="U573" s="29">
        <f>IF($C573&lt;&gt;"",COUNTIF($C$2:C573,C573),"")</f>
        <v>6</v>
      </c>
      <c r="V573" s="29" t="str">
        <f t="shared" si="34"/>
        <v>Prof. Dr. Salih Kutay DEMİRKAN§6</v>
      </c>
      <c r="W573" s="29" t="str">
        <f>IF(U573=1,COUNTIF($U$2:U573,1),"")</f>
        <v/>
      </c>
      <c r="X573" s="29" t="str">
        <f t="shared" si="35"/>
        <v/>
      </c>
      <c r="Y573" s="29">
        <f>IF(AND(LEFT($B573,7)="SBA 26/",$D573&lt;&gt;"",$F573&lt;&gt;""),COUNTIFS($D$2:$D573,$D573,$B$2:$B573,"SBA 26/*",$F$2:$F573,"&lt;&gt;"),"")</f>
        <v>14</v>
      </c>
      <c r="Z573" s="29" t="str">
        <f>IF(Y573=1,COUNTIF($Y$2:Y573,1),"")</f>
        <v/>
      </c>
      <c r="AA573" s="29">
        <f>IF(AND(LEFT($B573,7)="SBA 26/",$C573&lt;&gt;"",$F573&lt;&gt;""),COUNTIFS($C$2:$C573,$C573,$B$2:$B573,"SBA 26/*",$F$2:$F573,"&lt;&gt;"),"")</f>
        <v>6</v>
      </c>
      <c r="AB573" s="29" t="str">
        <f>IF(AA573=1,COUNTIF($AA$2:AA573,1),"")</f>
        <v/>
      </c>
    </row>
    <row r="574" spans="1:28" ht="94.5" customHeight="1" x14ac:dyDescent="0.2">
      <c r="A574" s="43" t="s">
        <v>2702</v>
      </c>
      <c r="B574" s="43" t="s">
        <v>2703</v>
      </c>
      <c r="C574" s="44" t="s">
        <v>1374</v>
      </c>
      <c r="D574" s="44" t="s">
        <v>222</v>
      </c>
      <c r="E574" s="45" t="s">
        <v>2704</v>
      </c>
      <c r="F574" s="45" t="s">
        <v>2705</v>
      </c>
      <c r="G574" s="46" t="s">
        <v>38</v>
      </c>
      <c r="H574" s="48">
        <v>46195</v>
      </c>
      <c r="I574" s="48">
        <v>46217</v>
      </c>
      <c r="J574" s="44" t="s">
        <v>91</v>
      </c>
      <c r="K574" s="44" t="s">
        <v>109</v>
      </c>
      <c r="L574" s="50" t="s">
        <v>77</v>
      </c>
      <c r="M574" s="50"/>
      <c r="N574" s="50"/>
      <c r="O574" s="49"/>
      <c r="P574" s="50" t="str">
        <f t="shared" si="32"/>
        <v>ONAY</v>
      </c>
      <c r="R574" s="51" t="str">
        <f t="shared" si="33"/>
        <v/>
      </c>
      <c r="T574" s="41"/>
      <c r="U574" s="29">
        <f>IF($C574&lt;&gt;"",COUNTIF($C$2:C574,C574),"")</f>
        <v>2</v>
      </c>
      <c r="V574" s="29" t="str">
        <f t="shared" si="34"/>
        <v>Doç. Dr. Hayriye HIZARCIOĞLU GÜLŞEN§2</v>
      </c>
      <c r="W574" s="29" t="str">
        <f>IF(U574=1,COUNTIF($U$2:U574,1),"")</f>
        <v/>
      </c>
      <c r="X574" s="29" t="str">
        <f t="shared" si="35"/>
        <v/>
      </c>
      <c r="Y574" s="29">
        <f>IF(AND(LEFT($B574,7)="SBA 26/",$D574&lt;&gt;"",$F574&lt;&gt;""),COUNTIFS($D$2:$D574,$D574,$B$2:$B574,"SBA 26/*",$F$2:$F574,"&lt;&gt;"),"")</f>
        <v>91</v>
      </c>
      <c r="Z574" s="29" t="str">
        <f>IF(Y574=1,COUNTIF($Y$2:Y574,1),"")</f>
        <v/>
      </c>
      <c r="AA574" s="29">
        <f>IF(AND(LEFT($B574,7)="SBA 26/",$C574&lt;&gt;"",$F574&lt;&gt;""),COUNTIFS($C$2:$C574,$C574,$B$2:$B574,"SBA 26/*",$F$2:$F574,"&lt;&gt;"),"")</f>
        <v>2</v>
      </c>
      <c r="AB574" s="29" t="str">
        <f>IF(AA574=1,COUNTIF($AA$2:AA574,1),"")</f>
        <v/>
      </c>
    </row>
    <row r="575" spans="1:28" ht="78.75" customHeight="1" x14ac:dyDescent="0.2">
      <c r="A575" s="43" t="s">
        <v>2706</v>
      </c>
      <c r="B575" s="43" t="s">
        <v>2707</v>
      </c>
      <c r="C575" s="44" t="s">
        <v>2708</v>
      </c>
      <c r="D575" s="44" t="s">
        <v>222</v>
      </c>
      <c r="E575" s="45" t="s">
        <v>2709</v>
      </c>
      <c r="F575" s="45" t="s">
        <v>2710</v>
      </c>
      <c r="G575" s="46" t="s">
        <v>38</v>
      </c>
      <c r="H575" s="48">
        <v>46195</v>
      </c>
      <c r="I575" s="48">
        <v>46217</v>
      </c>
      <c r="J575" s="44" t="s">
        <v>99</v>
      </c>
      <c r="K575" s="44" t="s">
        <v>116</v>
      </c>
      <c r="L575" s="50" t="s">
        <v>77</v>
      </c>
      <c r="M575" s="50"/>
      <c r="N575" s="50"/>
      <c r="O575" s="49"/>
      <c r="P575" s="50" t="str">
        <f t="shared" si="32"/>
        <v>ONAY</v>
      </c>
      <c r="R575" s="51" t="str">
        <f t="shared" si="33"/>
        <v/>
      </c>
      <c r="T575" s="41"/>
      <c r="U575" s="29">
        <f>IF($C575&lt;&gt;"",COUNTIF($C$2:C575,C575),"")</f>
        <v>1</v>
      </c>
      <c r="V575" s="29" t="str">
        <f t="shared" si="34"/>
        <v>Prof. Dr. Yelda BİLGİNER§1</v>
      </c>
      <c r="W575" s="29">
        <f>IF(U575=1,COUNTIF($U$2:U575,1),"")</f>
        <v>294</v>
      </c>
      <c r="X575" s="29">
        <f t="shared" si="35"/>
        <v>336</v>
      </c>
      <c r="Y575" s="29">
        <f>IF(AND(LEFT($B575,7)="SBA 26/",$D575&lt;&gt;"",$F575&lt;&gt;""),COUNTIFS($D$2:$D575,$D575,$B$2:$B575,"SBA 26/*",$F$2:$F575,"&lt;&gt;"),"")</f>
        <v>92</v>
      </c>
      <c r="Z575" s="29" t="str">
        <f>IF(Y575=1,COUNTIF($Y$2:Y575,1),"")</f>
        <v/>
      </c>
      <c r="AA575" s="29">
        <f>IF(AND(LEFT($B575,7)="SBA 26/",$C575&lt;&gt;"",$F575&lt;&gt;""),COUNTIFS($C$2:$C575,$C575,$B$2:$B575,"SBA 26/*",$F$2:$F575,"&lt;&gt;"),"")</f>
        <v>1</v>
      </c>
      <c r="AB575" s="29">
        <f>IF(AA575=1,COUNTIF($AA$2:AA575,1),"")</f>
        <v>294</v>
      </c>
    </row>
    <row r="576" spans="1:28" ht="63" customHeight="1" x14ac:dyDescent="0.2">
      <c r="A576" s="43" t="s">
        <v>2711</v>
      </c>
      <c r="B576" s="43" t="s">
        <v>2712</v>
      </c>
      <c r="C576" s="44" t="s">
        <v>1432</v>
      </c>
      <c r="D576" s="44" t="s">
        <v>113</v>
      </c>
      <c r="E576" s="45" t="s">
        <v>2713</v>
      </c>
      <c r="F576" s="45" t="s">
        <v>2714</v>
      </c>
      <c r="G576" s="46" t="s">
        <v>38</v>
      </c>
      <c r="H576" s="48">
        <v>46195</v>
      </c>
      <c r="I576" s="48">
        <v>46217</v>
      </c>
      <c r="J576" s="44" t="s">
        <v>109</v>
      </c>
      <c r="K576" s="44" t="s">
        <v>76</v>
      </c>
      <c r="L576" s="50" t="s">
        <v>101</v>
      </c>
      <c r="M576" s="50"/>
      <c r="N576" s="50"/>
      <c r="O576" s="49"/>
      <c r="P576" s="50" t="str">
        <f t="shared" si="32"/>
        <v>DÜZELTME</v>
      </c>
      <c r="R576" s="51" t="str">
        <f t="shared" si="33"/>
        <v/>
      </c>
      <c r="T576" s="41"/>
      <c r="U576" s="29">
        <f>IF($C576&lt;&gt;"",COUNTIF($C$2:C576,C576),"")</f>
        <v>7</v>
      </c>
      <c r="V576" s="29" t="str">
        <f t="shared" si="34"/>
        <v>Prof. Dr. Taylan KAV§7</v>
      </c>
      <c r="W576" s="29" t="str">
        <f>IF(U576=1,COUNTIF($U$2:U576,1),"")</f>
        <v/>
      </c>
      <c r="X576" s="29" t="str">
        <f t="shared" si="35"/>
        <v/>
      </c>
      <c r="Y576" s="29">
        <f>IF(AND(LEFT($B576,7)="SBA 26/",$D576&lt;&gt;"",$F576&lt;&gt;""),COUNTIFS($D$2:$D576,$D576,$B$2:$B576,"SBA 26/*",$F$2:$F576,"&lt;&gt;"),"")</f>
        <v>97</v>
      </c>
      <c r="Z576" s="29" t="str">
        <f>IF(Y576=1,COUNTIF($Y$2:Y576,1),"")</f>
        <v/>
      </c>
      <c r="AA576" s="29">
        <f>IF(AND(LEFT($B576,7)="SBA 26/",$C576&lt;&gt;"",$F576&lt;&gt;""),COUNTIFS($C$2:$C576,$C576,$B$2:$B576,"SBA 26/*",$F$2:$F576,"&lt;&gt;"),"")</f>
        <v>7</v>
      </c>
      <c r="AB576" s="29" t="str">
        <f>IF(AA576=1,COUNTIF($AA$2:AA576,1),"")</f>
        <v/>
      </c>
    </row>
    <row r="577" spans="1:28" ht="78.75" customHeight="1" x14ac:dyDescent="0.2">
      <c r="A577" s="43" t="s">
        <v>2715</v>
      </c>
      <c r="B577" s="43" t="s">
        <v>2716</v>
      </c>
      <c r="C577" s="44" t="s">
        <v>711</v>
      </c>
      <c r="D577" s="44" t="s">
        <v>113</v>
      </c>
      <c r="E577" s="45" t="s">
        <v>2717</v>
      </c>
      <c r="F577" s="45" t="s">
        <v>2718</v>
      </c>
      <c r="G577" s="46" t="s">
        <v>39</v>
      </c>
      <c r="H577" s="48">
        <v>46195</v>
      </c>
      <c r="I577" s="48">
        <v>46217</v>
      </c>
      <c r="J577" s="44" t="s">
        <v>84</v>
      </c>
      <c r="K577" s="44" t="s">
        <v>100</v>
      </c>
      <c r="L577" s="50" t="s">
        <v>77</v>
      </c>
      <c r="M577" s="50"/>
      <c r="N577" s="50"/>
      <c r="O577" s="49"/>
      <c r="P577" s="50" t="str">
        <f t="shared" si="32"/>
        <v>ONAY</v>
      </c>
      <c r="R577" s="51" t="str">
        <f t="shared" si="33"/>
        <v/>
      </c>
      <c r="T577" s="41"/>
      <c r="U577" s="29">
        <f>IF($C577&lt;&gt;"",COUNTIF($C$2:C577,C577),"")</f>
        <v>6</v>
      </c>
      <c r="V577" s="29" t="str">
        <f t="shared" si="34"/>
        <v>Doç. Dr. Süleyman Nahit ŞENDUR§6</v>
      </c>
      <c r="W577" s="29" t="str">
        <f>IF(U577=1,COUNTIF($U$2:U577,1),"")</f>
        <v/>
      </c>
      <c r="X577" s="29" t="str">
        <f t="shared" si="35"/>
        <v/>
      </c>
      <c r="Y577" s="29">
        <f>IF(AND(LEFT($B577,7)="SBA 26/",$D577&lt;&gt;"",$F577&lt;&gt;""),COUNTIFS($D$2:$D577,$D577,$B$2:$B577,"SBA 26/*",$F$2:$F577,"&lt;&gt;"),"")</f>
        <v>98</v>
      </c>
      <c r="Z577" s="29" t="str">
        <f>IF(Y577=1,COUNTIF($Y$2:Y577,1),"")</f>
        <v/>
      </c>
      <c r="AA577" s="29">
        <f>IF(AND(LEFT($B577,7)="SBA 26/",$C577&lt;&gt;"",$F577&lt;&gt;""),COUNTIFS($C$2:$C577,$C577,$B$2:$B577,"SBA 26/*",$F$2:$F577,"&lt;&gt;"),"")</f>
        <v>6</v>
      </c>
      <c r="AB577" s="29" t="str">
        <f>IF(AA577=1,COUNTIF($AA$2:AA577,1),"")</f>
        <v/>
      </c>
    </row>
    <row r="578" spans="1:28" ht="63" customHeight="1" x14ac:dyDescent="0.2">
      <c r="A578" s="43" t="s">
        <v>2719</v>
      </c>
      <c r="B578" s="43" t="s">
        <v>2720</v>
      </c>
      <c r="C578" s="44" t="s">
        <v>2721</v>
      </c>
      <c r="D578" s="44" t="s">
        <v>892</v>
      </c>
      <c r="E578" s="45" t="s">
        <v>2722</v>
      </c>
      <c r="F578" s="45" t="s">
        <v>2723</v>
      </c>
      <c r="G578" s="46" t="s">
        <v>38</v>
      </c>
      <c r="H578" s="48">
        <v>46195</v>
      </c>
      <c r="I578" s="48">
        <v>46217</v>
      </c>
      <c r="J578" s="44" t="s">
        <v>109</v>
      </c>
      <c r="K578" s="44" t="s">
        <v>92</v>
      </c>
      <c r="L578" s="50" t="s">
        <v>101</v>
      </c>
      <c r="M578" s="50"/>
      <c r="N578" s="50"/>
      <c r="O578" s="49"/>
      <c r="P578" s="50" t="str">
        <f t="shared" ref="P578:P641" si="36">IF(O578&lt;&gt;"",O578, IF(N578&lt;&gt;"",N578, IF(M578&lt;&gt;"",M578, L578)))</f>
        <v>DÜZELTME</v>
      </c>
      <c r="R578" s="51" t="str">
        <f t="shared" ref="R578:R641" si="37">IF(AND($I578&lt;&gt;"",$I578&gt;=DATE(2026,6,23),COUNTIFS($C:$C,$C578,$I:$I,$I578)&gt;2),"⚠ "&amp;COUNTIFS($C:$C,$C578,$I:$I,$I578)&amp;" BAŞVURU!","")</f>
        <v/>
      </c>
      <c r="T578" s="41"/>
      <c r="U578" s="29">
        <f>IF($C578&lt;&gt;"",COUNTIF($C$2:C578,C578),"")</f>
        <v>1</v>
      </c>
      <c r="V578" s="29" t="str">
        <f t="shared" ref="V578:V641" si="38">IF($C578&lt;&gt;"",C578&amp;"§"&amp;U578,"")</f>
        <v>Dr. Öğr. Üyesi Aslı Şan DAĞLI GÜL§1</v>
      </c>
      <c r="W578" s="29">
        <f>IF(U578=1,COUNTIF($U$2:U578,1),"")</f>
        <v>295</v>
      </c>
      <c r="X578" s="29">
        <f t="shared" ref="X578:X641" si="39">IF(U578=1,SUMPRODUCT(($U$2:$U$1799=1)*($C$2:$C$1799&lt;C578))+1,"")</f>
        <v>113</v>
      </c>
      <c r="Y578" s="29">
        <f>IF(AND(LEFT($B578,7)="SBA 26/",$D578&lt;&gt;"",$F578&lt;&gt;""),COUNTIFS($D$2:$D578,$D578,$B$2:$B578,"SBA 26/*",$F$2:$F578,"&lt;&gt;"),"")</f>
        <v>2</v>
      </c>
      <c r="Z578" s="29" t="str">
        <f>IF(Y578=1,COUNTIF($Y$2:Y578,1),"")</f>
        <v/>
      </c>
      <c r="AA578" s="29">
        <f>IF(AND(LEFT($B578,7)="SBA 26/",$C578&lt;&gt;"",$F578&lt;&gt;""),COUNTIFS($C$2:$C578,$C578,$B$2:$B578,"SBA 26/*",$F$2:$F578,"&lt;&gt;"),"")</f>
        <v>1</v>
      </c>
      <c r="AB578" s="29">
        <f>IF(AA578=1,COUNTIF($AA$2:AA578,1),"")</f>
        <v>295</v>
      </c>
    </row>
    <row r="579" spans="1:28" ht="78.75" customHeight="1" x14ac:dyDescent="0.2">
      <c r="A579" s="43" t="s">
        <v>2724</v>
      </c>
      <c r="B579" s="43" t="s">
        <v>2725</v>
      </c>
      <c r="C579" s="44" t="s">
        <v>1374</v>
      </c>
      <c r="D579" s="44" t="s">
        <v>222</v>
      </c>
      <c r="E579" s="45" t="s">
        <v>2726</v>
      </c>
      <c r="F579" s="45" t="s">
        <v>2727</v>
      </c>
      <c r="G579" s="46" t="s">
        <v>38</v>
      </c>
      <c r="H579" s="48">
        <v>46191</v>
      </c>
      <c r="I579" s="48">
        <v>46217</v>
      </c>
      <c r="J579" s="44" t="s">
        <v>99</v>
      </c>
      <c r="K579" s="44" t="s">
        <v>116</v>
      </c>
      <c r="L579" s="50" t="s">
        <v>77</v>
      </c>
      <c r="M579" s="50"/>
      <c r="N579" s="50"/>
      <c r="O579" s="49"/>
      <c r="P579" s="50" t="str">
        <f t="shared" si="36"/>
        <v>ONAY</v>
      </c>
      <c r="R579" s="51" t="str">
        <f t="shared" si="37"/>
        <v/>
      </c>
      <c r="T579" s="41"/>
      <c r="U579" s="29">
        <f>IF($C579&lt;&gt;"",COUNTIF($C$2:C579,C579),"")</f>
        <v>3</v>
      </c>
      <c r="V579" s="29" t="str">
        <f t="shared" si="38"/>
        <v>Doç. Dr. Hayriye HIZARCIOĞLU GÜLŞEN§3</v>
      </c>
      <c r="W579" s="29" t="str">
        <f>IF(U579=1,COUNTIF($U$2:U579,1),"")</f>
        <v/>
      </c>
      <c r="X579" s="29" t="str">
        <f t="shared" si="39"/>
        <v/>
      </c>
      <c r="Y579" s="29">
        <f>IF(AND(LEFT($B579,7)="SBA 26/",$D579&lt;&gt;"",$F579&lt;&gt;""),COUNTIFS($D$2:$D579,$D579,$B$2:$B579,"SBA 26/*",$F$2:$F579,"&lt;&gt;"),"")</f>
        <v>93</v>
      </c>
      <c r="Z579" s="29" t="str">
        <f>IF(Y579=1,COUNTIF($Y$2:Y579,1),"")</f>
        <v/>
      </c>
      <c r="AA579" s="29">
        <f>IF(AND(LEFT($B579,7)="SBA 26/",$C579&lt;&gt;"",$F579&lt;&gt;""),COUNTIFS($C$2:$C579,$C579,$B$2:$B579,"SBA 26/*",$F$2:$F579,"&lt;&gt;"),"")</f>
        <v>3</v>
      </c>
      <c r="AB579" s="29" t="str">
        <f>IF(AA579=1,COUNTIF($AA$2:AA579,1),"")</f>
        <v/>
      </c>
    </row>
    <row r="580" spans="1:28" ht="94.5" customHeight="1" x14ac:dyDescent="0.2">
      <c r="A580" s="43" t="s">
        <v>2728</v>
      </c>
      <c r="B580" s="43" t="s">
        <v>2729</v>
      </c>
      <c r="C580" s="44" t="s">
        <v>1659</v>
      </c>
      <c r="D580" s="44" t="s">
        <v>364</v>
      </c>
      <c r="E580" s="45" t="s">
        <v>2730</v>
      </c>
      <c r="F580" s="45" t="s">
        <v>2731</v>
      </c>
      <c r="G580" s="46" t="s">
        <v>38</v>
      </c>
      <c r="H580" s="48">
        <v>46196</v>
      </c>
      <c r="I580" s="48">
        <v>46217</v>
      </c>
      <c r="J580" s="44" t="s">
        <v>92</v>
      </c>
      <c r="K580" s="44" t="s">
        <v>100</v>
      </c>
      <c r="L580" s="50" t="s">
        <v>77</v>
      </c>
      <c r="M580" s="50"/>
      <c r="N580" s="50"/>
      <c r="O580" s="49"/>
      <c r="P580" s="50" t="str">
        <f t="shared" si="36"/>
        <v>ONAY</v>
      </c>
      <c r="R580" s="51" t="str">
        <f t="shared" si="37"/>
        <v/>
      </c>
      <c r="T580" s="41"/>
      <c r="U580" s="29">
        <f>IF($C580&lt;&gt;"",COUNTIF($C$2:C580,C580),"")</f>
        <v>3</v>
      </c>
      <c r="V580" s="29" t="str">
        <f t="shared" si="38"/>
        <v>Prof. Dr. Meryem Aslı TUNCER§3</v>
      </c>
      <c r="W580" s="29" t="str">
        <f>IF(U580=1,COUNTIF($U$2:U580,1),"")</f>
        <v/>
      </c>
      <c r="X580" s="29" t="str">
        <f t="shared" si="39"/>
        <v/>
      </c>
      <c r="Y580" s="29">
        <f>IF(AND(LEFT($B580,7)="SBA 26/",$D580&lt;&gt;"",$F580&lt;&gt;""),COUNTIFS($D$2:$D580,$D580,$B$2:$B580,"SBA 26/*",$F$2:$F580,"&lt;&gt;"),"")</f>
        <v>21</v>
      </c>
      <c r="Z580" s="29" t="str">
        <f>IF(Y580=1,COUNTIF($Y$2:Y580,1),"")</f>
        <v/>
      </c>
      <c r="AA580" s="29">
        <f>IF(AND(LEFT($B580,7)="SBA 26/",$C580&lt;&gt;"",$F580&lt;&gt;""),COUNTIFS($C$2:$C580,$C580,$B$2:$B580,"SBA 26/*",$F$2:$F580,"&lt;&gt;"),"")</f>
        <v>3</v>
      </c>
      <c r="AB580" s="29" t="str">
        <f>IF(AA580=1,COUNTIF($AA$2:AA580,1),"")</f>
        <v/>
      </c>
    </row>
    <row r="581" spans="1:28" ht="96" customHeight="1" x14ac:dyDescent="0.2">
      <c r="A581" s="43" t="s">
        <v>2732</v>
      </c>
      <c r="B581" s="43" t="s">
        <v>2733</v>
      </c>
      <c r="C581" s="44" t="s">
        <v>1043</v>
      </c>
      <c r="D581" s="44" t="s">
        <v>88</v>
      </c>
      <c r="E581" s="45" t="s">
        <v>2734</v>
      </c>
      <c r="F581" s="45" t="s">
        <v>2735</v>
      </c>
      <c r="G581" s="46" t="s">
        <v>39</v>
      </c>
      <c r="H581" s="48">
        <v>46196</v>
      </c>
      <c r="I581" s="48">
        <v>46217</v>
      </c>
      <c r="J581" s="44" t="s">
        <v>92</v>
      </c>
      <c r="K581" s="44" t="s">
        <v>76</v>
      </c>
      <c r="L581" s="50" t="s">
        <v>77</v>
      </c>
      <c r="M581" s="50"/>
      <c r="N581" s="50"/>
      <c r="O581" s="49"/>
      <c r="P581" s="50" t="str">
        <f t="shared" si="36"/>
        <v>ONAY</v>
      </c>
      <c r="R581" s="51" t="str">
        <f t="shared" si="37"/>
        <v/>
      </c>
      <c r="T581" s="41"/>
      <c r="U581" s="29">
        <f>IF($C581&lt;&gt;"",COUNTIF($C$2:C581,C581),"")</f>
        <v>4</v>
      </c>
      <c r="V581" s="29" t="str">
        <f t="shared" si="38"/>
        <v>Dr. Öğr. Üyesi Aycan UYSAL§4</v>
      </c>
      <c r="W581" s="29" t="str">
        <f>IF(U581=1,COUNTIF($U$2:U581,1),"")</f>
        <v/>
      </c>
      <c r="X581" s="29" t="str">
        <f t="shared" si="39"/>
        <v/>
      </c>
      <c r="Y581" s="29">
        <f>IF(AND(LEFT($B581,7)="SBA 26/",$D581&lt;&gt;"",$F581&lt;&gt;""),COUNTIFS($D$2:$D581,$D581,$B$2:$B581,"SBA 26/*",$F$2:$F581,"&lt;&gt;"),"")</f>
        <v>19</v>
      </c>
      <c r="Z581" s="29" t="str">
        <f>IF(Y581=1,COUNTIF($Y$2:Y581,1),"")</f>
        <v/>
      </c>
      <c r="AA581" s="29">
        <f>IF(AND(LEFT($B581,7)="SBA 26/",$C581&lt;&gt;"",$F581&lt;&gt;""),COUNTIFS($C$2:$C581,$C581,$B$2:$B581,"SBA 26/*",$F$2:$F581,"&lt;&gt;"),"")</f>
        <v>4</v>
      </c>
      <c r="AB581" s="29" t="str">
        <f>IF(AA581=1,COUNTIF($AA$2:AA581,1),"")</f>
        <v/>
      </c>
    </row>
    <row r="582" spans="1:28" ht="78.75" customHeight="1" x14ac:dyDescent="0.2">
      <c r="A582" s="43" t="s">
        <v>2736</v>
      </c>
      <c r="B582" s="43" t="s">
        <v>2737</v>
      </c>
      <c r="C582" s="44" t="s">
        <v>1321</v>
      </c>
      <c r="D582" s="44" t="s">
        <v>215</v>
      </c>
      <c r="E582" s="45" t="s">
        <v>2738</v>
      </c>
      <c r="F582" s="45" t="s">
        <v>2739</v>
      </c>
      <c r="G582" s="46" t="s">
        <v>38</v>
      </c>
      <c r="H582" s="48">
        <v>46196</v>
      </c>
      <c r="I582" s="48">
        <v>46217</v>
      </c>
      <c r="J582" s="44" t="s">
        <v>123</v>
      </c>
      <c r="K582" s="44" t="s">
        <v>84</v>
      </c>
      <c r="L582" s="50" t="s">
        <v>77</v>
      </c>
      <c r="M582" s="50"/>
      <c r="N582" s="50"/>
      <c r="O582" s="49"/>
      <c r="P582" s="50" t="str">
        <f t="shared" si="36"/>
        <v>ONAY</v>
      </c>
      <c r="R582" s="51" t="str">
        <f t="shared" si="37"/>
        <v/>
      </c>
      <c r="T582" s="41"/>
      <c r="U582" s="29">
        <f>IF($C582&lt;&gt;"",COUNTIF($C$2:C582,C582),"")</f>
        <v>3</v>
      </c>
      <c r="V582" s="29" t="str">
        <f t="shared" si="38"/>
        <v>Dr. Öğr. Üyesi Selen ADİLOĞLU§3</v>
      </c>
      <c r="W582" s="29" t="str">
        <f>IF(U582=1,COUNTIF($U$2:U582,1),"")</f>
        <v/>
      </c>
      <c r="X582" s="29" t="str">
        <f t="shared" si="39"/>
        <v/>
      </c>
      <c r="Y582" s="29">
        <f>IF(AND(LEFT($B582,7)="SBA 26/",$D582&lt;&gt;"",$F582&lt;&gt;""),COUNTIFS($D$2:$D582,$D582,$B$2:$B582,"SBA 26/*",$F$2:$F582,"&lt;&gt;"),"")</f>
        <v>7</v>
      </c>
      <c r="Z582" s="29" t="str">
        <f>IF(Y582=1,COUNTIF($Y$2:Y582,1),"")</f>
        <v/>
      </c>
      <c r="AA582" s="29">
        <f>IF(AND(LEFT($B582,7)="SBA 26/",$C582&lt;&gt;"",$F582&lt;&gt;""),COUNTIFS($C$2:$C582,$C582,$B$2:$B582,"SBA 26/*",$F$2:$F582,"&lt;&gt;"),"")</f>
        <v>3</v>
      </c>
      <c r="AB582" s="29" t="str">
        <f>IF(AA582=1,COUNTIF($AA$2:AA582,1),"")</f>
        <v/>
      </c>
    </row>
    <row r="583" spans="1:28" ht="94.5" customHeight="1" x14ac:dyDescent="0.2">
      <c r="A583" s="43" t="s">
        <v>2740</v>
      </c>
      <c r="B583" s="43" t="s">
        <v>2741</v>
      </c>
      <c r="C583" s="44" t="s">
        <v>2144</v>
      </c>
      <c r="D583" s="44" t="s">
        <v>1168</v>
      </c>
      <c r="E583" s="45" t="s">
        <v>2742</v>
      </c>
      <c r="F583" s="45" t="s">
        <v>2743</v>
      </c>
      <c r="G583" s="46" t="s">
        <v>39</v>
      </c>
      <c r="H583" s="48">
        <v>46196</v>
      </c>
      <c r="I583" s="48">
        <v>46217</v>
      </c>
      <c r="J583" s="44" t="s">
        <v>91</v>
      </c>
      <c r="K583" s="44" t="s">
        <v>99</v>
      </c>
      <c r="L583" s="50" t="s">
        <v>77</v>
      </c>
      <c r="M583" s="50"/>
      <c r="N583" s="50"/>
      <c r="O583" s="49"/>
      <c r="P583" s="50" t="str">
        <f t="shared" si="36"/>
        <v>ONAY</v>
      </c>
      <c r="R583" s="51" t="str">
        <f t="shared" si="37"/>
        <v/>
      </c>
      <c r="T583" s="41"/>
      <c r="U583" s="29">
        <f>IF($C583&lt;&gt;"",COUNTIF($C$2:C583,C583),"")</f>
        <v>2</v>
      </c>
      <c r="V583" s="29" t="str">
        <f t="shared" si="38"/>
        <v>Doç. Dr. Gülçin TELLİ DİZMAN§2</v>
      </c>
      <c r="W583" s="29" t="str">
        <f>IF(U583=1,COUNTIF($U$2:U583,1),"")</f>
        <v/>
      </c>
      <c r="X583" s="29" t="str">
        <f t="shared" si="39"/>
        <v/>
      </c>
      <c r="Y583" s="29">
        <f>IF(AND(LEFT($B583,7)="SBA 26/",$D583&lt;&gt;"",$F583&lt;&gt;""),COUNTIFS($D$2:$D583,$D583,$B$2:$B583,"SBA 26/*",$F$2:$F583,"&lt;&gt;"),"")</f>
        <v>4</v>
      </c>
      <c r="Z583" s="29" t="str">
        <f>IF(Y583=1,COUNTIF($Y$2:Y583,1),"")</f>
        <v/>
      </c>
      <c r="AA583" s="29">
        <f>IF(AND(LEFT($B583,7)="SBA 26/",$C583&lt;&gt;"",$F583&lt;&gt;""),COUNTIFS($C$2:$C583,$C583,$B$2:$B583,"SBA 26/*",$F$2:$F583,"&lt;&gt;"),"")</f>
        <v>2</v>
      </c>
      <c r="AB583" s="29" t="str">
        <f>IF(AA583=1,COUNTIF($AA$2:AA583,1),"")</f>
        <v/>
      </c>
    </row>
    <row r="584" spans="1:28" ht="47.25" customHeight="1" x14ac:dyDescent="0.2">
      <c r="A584" s="43" t="s">
        <v>2744</v>
      </c>
      <c r="B584" s="43" t="s">
        <v>2745</v>
      </c>
      <c r="C584" s="44" t="s">
        <v>413</v>
      </c>
      <c r="D584" s="44" t="s">
        <v>414</v>
      </c>
      <c r="E584" s="45" t="s">
        <v>2746</v>
      </c>
      <c r="F584" s="45" t="s">
        <v>2747</v>
      </c>
      <c r="G584" s="46" t="s">
        <v>38</v>
      </c>
      <c r="H584" s="48">
        <v>46196</v>
      </c>
      <c r="I584" s="48">
        <v>46217</v>
      </c>
      <c r="J584" s="44" t="s">
        <v>123</v>
      </c>
      <c r="K584" s="44" t="s">
        <v>116</v>
      </c>
      <c r="L584" s="50" t="s">
        <v>77</v>
      </c>
      <c r="M584" s="50"/>
      <c r="N584" s="50"/>
      <c r="O584" s="49"/>
      <c r="P584" s="50" t="str">
        <f t="shared" si="36"/>
        <v>ONAY</v>
      </c>
      <c r="R584" s="51" t="str">
        <f t="shared" si="37"/>
        <v/>
      </c>
      <c r="T584" s="41"/>
      <c r="U584" s="29">
        <f>IF($C584&lt;&gt;"",COUNTIF($C$2:C584,C584),"")</f>
        <v>2</v>
      </c>
      <c r="V584" s="29" t="str">
        <f t="shared" si="38"/>
        <v>Prof. Dr. Kıvanç AKÇA§2</v>
      </c>
      <c r="W584" s="29" t="str">
        <f>IF(U584=1,COUNTIF($U$2:U584,1),"")</f>
        <v/>
      </c>
      <c r="X584" s="29" t="str">
        <f t="shared" si="39"/>
        <v/>
      </c>
      <c r="Y584" s="29">
        <f>IF(AND(LEFT($B584,7)="SBA 26/",$D584&lt;&gt;"",$F584&lt;&gt;""),COUNTIFS($D$2:$D584,$D584,$B$2:$B584,"SBA 26/*",$F$2:$F584,"&lt;&gt;"),"")</f>
        <v>6</v>
      </c>
      <c r="Z584" s="29" t="str">
        <f>IF(Y584=1,COUNTIF($Y$2:Y584,1),"")</f>
        <v/>
      </c>
      <c r="AA584" s="29">
        <f>IF(AND(LEFT($B584,7)="SBA 26/",$C584&lt;&gt;"",$F584&lt;&gt;""),COUNTIFS($C$2:$C584,$C584,$B$2:$B584,"SBA 26/*",$F$2:$F584,"&lt;&gt;"),"")</f>
        <v>2</v>
      </c>
      <c r="AB584" s="29" t="str">
        <f>IF(AA584=1,COUNTIF($AA$2:AA584,1),"")</f>
        <v/>
      </c>
    </row>
    <row r="585" spans="1:28" ht="111.75" customHeight="1" x14ac:dyDescent="0.2">
      <c r="A585" s="43" t="s">
        <v>2748</v>
      </c>
      <c r="B585" s="43" t="s">
        <v>2749</v>
      </c>
      <c r="C585" s="44" t="s">
        <v>2750</v>
      </c>
      <c r="D585" s="44" t="s">
        <v>1162</v>
      </c>
      <c r="E585" s="45" t="s">
        <v>2751</v>
      </c>
      <c r="F585" s="45" t="s">
        <v>2752</v>
      </c>
      <c r="G585" s="46" t="s">
        <v>40</v>
      </c>
      <c r="H585" s="48">
        <v>46196</v>
      </c>
      <c r="I585" s="48">
        <v>46217</v>
      </c>
      <c r="J585" s="44" t="s">
        <v>75</v>
      </c>
      <c r="K585" s="44" t="s">
        <v>76</v>
      </c>
      <c r="L585" s="50" t="s">
        <v>77</v>
      </c>
      <c r="M585" s="50"/>
      <c r="N585" s="50"/>
      <c r="O585" s="49"/>
      <c r="P585" s="50" t="str">
        <f t="shared" si="36"/>
        <v>ONAY</v>
      </c>
      <c r="R585" s="51" t="str">
        <f t="shared" si="37"/>
        <v/>
      </c>
      <c r="T585" s="41"/>
      <c r="U585" s="29">
        <f>IF($C585&lt;&gt;"",COUNTIF($C$2:C585,C585),"")</f>
        <v>1</v>
      </c>
      <c r="V585" s="29" t="str">
        <f t="shared" si="38"/>
        <v>Doç. Dr. Fatima AERTS KAYA§1</v>
      </c>
      <c r="W585" s="29">
        <f>IF(U585=1,COUNTIF($U$2:U585,1),"")</f>
        <v>296</v>
      </c>
      <c r="X585" s="29">
        <f t="shared" si="39"/>
        <v>51</v>
      </c>
      <c r="Y585" s="29">
        <f>IF(AND(LEFT($B585,7)="SBA 26/",$D585&lt;&gt;"",$F585&lt;&gt;""),COUNTIFS($D$2:$D585,$D585,$B$2:$B585,"SBA 26/*",$F$2:$F585,"&lt;&gt;"),"")</f>
        <v>3</v>
      </c>
      <c r="Z585" s="29" t="str">
        <f>IF(Y585=1,COUNTIF($Y$2:Y585,1),"")</f>
        <v/>
      </c>
      <c r="AA585" s="29">
        <f>IF(AND(LEFT($B585,7)="SBA 26/",$C585&lt;&gt;"",$F585&lt;&gt;""),COUNTIFS($C$2:$C585,$C585,$B$2:$B585,"SBA 26/*",$F$2:$F585,"&lt;&gt;"),"")</f>
        <v>1</v>
      </c>
      <c r="AB585" s="29">
        <f>IF(AA585=1,COUNTIF($AA$2:AA585,1),"")</f>
        <v>296</v>
      </c>
    </row>
    <row r="586" spans="1:28" ht="94.5" customHeight="1" x14ac:dyDescent="0.2">
      <c r="A586" s="43" t="s">
        <v>2753</v>
      </c>
      <c r="B586" s="43" t="s">
        <v>2754</v>
      </c>
      <c r="C586" s="44" t="s">
        <v>396</v>
      </c>
      <c r="D586" s="44" t="s">
        <v>397</v>
      </c>
      <c r="E586" s="45" t="s">
        <v>2755</v>
      </c>
      <c r="F586" s="45" t="s">
        <v>2756</v>
      </c>
      <c r="G586" s="46" t="s">
        <v>39</v>
      </c>
      <c r="H586" s="48">
        <v>46196</v>
      </c>
      <c r="I586" s="48">
        <v>46217</v>
      </c>
      <c r="J586" s="44" t="s">
        <v>109</v>
      </c>
      <c r="K586" s="44" t="s">
        <v>84</v>
      </c>
      <c r="L586" s="50" t="s">
        <v>77</v>
      </c>
      <c r="M586" s="50"/>
      <c r="N586" s="50"/>
      <c r="O586" s="49"/>
      <c r="P586" s="50" t="str">
        <f t="shared" si="36"/>
        <v>ONAY</v>
      </c>
      <c r="R586" s="51" t="str">
        <f t="shared" si="37"/>
        <v/>
      </c>
      <c r="T586" s="41"/>
      <c r="U586" s="29">
        <f>IF($C586&lt;&gt;"",COUNTIF($C$2:C586,C586),"")</f>
        <v>7</v>
      </c>
      <c r="V586" s="29" t="str">
        <f t="shared" si="38"/>
        <v>Prof. Dr. Salih Kutay DEMİRKAN§7</v>
      </c>
      <c r="W586" s="29" t="str">
        <f>IF(U586=1,COUNTIF($U$2:U586,1),"")</f>
        <v/>
      </c>
      <c r="X586" s="29" t="str">
        <f t="shared" si="39"/>
        <v/>
      </c>
      <c r="Y586" s="29">
        <f>IF(AND(LEFT($B586,7)="SBA 26/",$D586&lt;&gt;"",$F586&lt;&gt;""),COUNTIFS($D$2:$D586,$D586,$B$2:$B586,"SBA 26/*",$F$2:$F586,"&lt;&gt;"),"")</f>
        <v>15</v>
      </c>
      <c r="Z586" s="29" t="str">
        <f>IF(Y586=1,COUNTIF($Y$2:Y586,1),"")</f>
        <v/>
      </c>
      <c r="AA586" s="29">
        <f>IF(AND(LEFT($B586,7)="SBA 26/",$C586&lt;&gt;"",$F586&lt;&gt;""),COUNTIFS($C$2:$C586,$C586,$B$2:$B586,"SBA 26/*",$F$2:$F586,"&lt;&gt;"),"")</f>
        <v>7</v>
      </c>
      <c r="AB586" s="29" t="str">
        <f>IF(AA586=1,COUNTIF($AA$2:AA586,1),"")</f>
        <v/>
      </c>
    </row>
    <row r="587" spans="1:28" ht="63" customHeight="1" x14ac:dyDescent="0.2">
      <c r="A587" s="43" t="s">
        <v>2757</v>
      </c>
      <c r="B587" s="59" t="s">
        <v>2758</v>
      </c>
      <c r="C587" s="50" t="s">
        <v>243</v>
      </c>
      <c r="D587" s="50" t="s">
        <v>113</v>
      </c>
      <c r="E587" s="60" t="s">
        <v>2759</v>
      </c>
      <c r="F587" s="60" t="s">
        <v>2760</v>
      </c>
      <c r="G587" s="61" t="s">
        <v>38</v>
      </c>
      <c r="H587" s="62">
        <v>46197</v>
      </c>
      <c r="I587" s="62">
        <v>46217</v>
      </c>
      <c r="J587" s="44" t="s">
        <v>123</v>
      </c>
      <c r="K587" s="44" t="s">
        <v>100</v>
      </c>
      <c r="L587" s="50" t="s">
        <v>77</v>
      </c>
      <c r="M587" s="50"/>
      <c r="N587" s="50"/>
      <c r="O587" s="49"/>
      <c r="P587" s="50" t="str">
        <f t="shared" si="36"/>
        <v>ONAY</v>
      </c>
      <c r="R587" s="51" t="str">
        <f t="shared" si="37"/>
        <v/>
      </c>
      <c r="T587" s="41"/>
      <c r="U587" s="29">
        <f>IF($C587&lt;&gt;"",COUNTIF($C$2:C587,C587),"")</f>
        <v>4</v>
      </c>
      <c r="V587" s="29" t="str">
        <f t="shared" si="38"/>
        <v>Doç. Dr. Levent KILIÇ§4</v>
      </c>
      <c r="W587" s="29" t="str">
        <f>IF(U587=1,COUNTIF($U$2:U587,1),"")</f>
        <v/>
      </c>
      <c r="X587" s="29" t="str">
        <f t="shared" si="39"/>
        <v/>
      </c>
      <c r="Y587" s="29">
        <f>IF(AND(LEFT($B587,7)="SBA 26/",$D587&lt;&gt;"",$F587&lt;&gt;""),COUNTIFS($D$2:$D587,$D587,$B$2:$B587,"SBA 26/*",$F$2:$F587,"&lt;&gt;"),"")</f>
        <v>99</v>
      </c>
      <c r="Z587" s="29" t="str">
        <f>IF(Y587=1,COUNTIF($Y$2:Y587,1),"")</f>
        <v/>
      </c>
      <c r="AA587" s="29">
        <f>IF(AND(LEFT($B587,7)="SBA 26/",$C587&lt;&gt;"",$F587&lt;&gt;""),COUNTIFS($C$2:$C587,$C587,$B$2:$B587,"SBA 26/*",$F$2:$F587,"&lt;&gt;"),"")</f>
        <v>4</v>
      </c>
      <c r="AB587" s="29" t="str">
        <f>IF(AA587=1,COUNTIF($AA$2:AA587,1),"")</f>
        <v/>
      </c>
    </row>
    <row r="588" spans="1:28" ht="78.75" customHeight="1" x14ac:dyDescent="0.2">
      <c r="A588" s="43" t="s">
        <v>2761</v>
      </c>
      <c r="B588" s="43" t="s">
        <v>2762</v>
      </c>
      <c r="C588" s="44" t="s">
        <v>965</v>
      </c>
      <c r="D588" s="44" t="s">
        <v>966</v>
      </c>
      <c r="E588" s="45" t="s">
        <v>2763</v>
      </c>
      <c r="F588" s="45" t="s">
        <v>2764</v>
      </c>
      <c r="G588" s="46" t="s">
        <v>38</v>
      </c>
      <c r="H588" s="48">
        <v>46197</v>
      </c>
      <c r="I588" s="48">
        <v>46217</v>
      </c>
      <c r="J588" s="44" t="s">
        <v>91</v>
      </c>
      <c r="K588" s="44" t="s">
        <v>116</v>
      </c>
      <c r="L588" s="50" t="s">
        <v>101</v>
      </c>
      <c r="M588" s="50" t="s">
        <v>77</v>
      </c>
      <c r="N588" s="50"/>
      <c r="O588" s="49"/>
      <c r="P588" s="50" t="str">
        <f t="shared" si="36"/>
        <v>ONAY</v>
      </c>
      <c r="Q588" s="28" t="s">
        <v>91</v>
      </c>
      <c r="R588" s="51" t="str">
        <f t="shared" si="37"/>
        <v/>
      </c>
      <c r="T588" s="41"/>
      <c r="U588" s="29">
        <f>IF($C588&lt;&gt;"",COUNTIF($C$2:C588,C588),"")</f>
        <v>2</v>
      </c>
      <c r="V588" s="29" t="str">
        <f t="shared" si="38"/>
        <v>Doç. Dr. İzzet FİDANCI§2</v>
      </c>
      <c r="W588" s="29" t="str">
        <f>IF(U588=1,COUNTIF($U$2:U588,1),"")</f>
        <v/>
      </c>
      <c r="X588" s="29" t="str">
        <f t="shared" si="39"/>
        <v/>
      </c>
      <c r="Y588" s="29">
        <f>IF(AND(LEFT($B588,7)="SBA 26/",$D588&lt;&gt;"",$F588&lt;&gt;""),COUNTIFS($D$2:$D588,$D588,$B$2:$B588,"SBA 26/*",$F$2:$F588,"&lt;&gt;"),"")</f>
        <v>11</v>
      </c>
      <c r="Z588" s="29" t="str">
        <f>IF(Y588=1,COUNTIF($Y$2:Y588,1),"")</f>
        <v/>
      </c>
      <c r="AA588" s="29">
        <f>IF(AND(LEFT($B588,7)="SBA 26/",$C588&lt;&gt;"",$F588&lt;&gt;""),COUNTIFS($C$2:$C588,$C588,$B$2:$B588,"SBA 26/*",$F$2:$F588,"&lt;&gt;"),"")</f>
        <v>2</v>
      </c>
      <c r="AB588" s="29" t="str">
        <f>IF(AA588=1,COUNTIF($AA$2:AA588,1),"")</f>
        <v/>
      </c>
    </row>
    <row r="589" spans="1:28" ht="94.5" customHeight="1" x14ac:dyDescent="0.2">
      <c r="A589" s="43" t="s">
        <v>2765</v>
      </c>
      <c r="B589" s="43" t="s">
        <v>2766</v>
      </c>
      <c r="C589" s="44" t="s">
        <v>2750</v>
      </c>
      <c r="D589" s="44" t="s">
        <v>1162</v>
      </c>
      <c r="E589" s="45" t="s">
        <v>2767</v>
      </c>
      <c r="F589" s="45" t="s">
        <v>2768</v>
      </c>
      <c r="G589" s="46" t="s">
        <v>40</v>
      </c>
      <c r="H589" s="48">
        <v>46197</v>
      </c>
      <c r="I589" s="48">
        <v>46217</v>
      </c>
      <c r="J589" s="44" t="s">
        <v>75</v>
      </c>
      <c r="K589" s="44" t="s">
        <v>99</v>
      </c>
      <c r="L589" s="50" t="s">
        <v>77</v>
      </c>
      <c r="M589" s="50"/>
      <c r="N589" s="50"/>
      <c r="O589" s="49"/>
      <c r="P589" s="50" t="str">
        <f t="shared" si="36"/>
        <v>ONAY</v>
      </c>
      <c r="R589" s="51" t="str">
        <f t="shared" si="37"/>
        <v/>
      </c>
      <c r="T589" s="41"/>
      <c r="U589" s="29">
        <f>IF($C589&lt;&gt;"",COUNTIF($C$2:C589,C589),"")</f>
        <v>2</v>
      </c>
      <c r="V589" s="29" t="str">
        <f t="shared" si="38"/>
        <v>Doç. Dr. Fatima AERTS KAYA§2</v>
      </c>
      <c r="W589" s="29" t="str">
        <f>IF(U589=1,COUNTIF($U$2:U589,1),"")</f>
        <v/>
      </c>
      <c r="X589" s="29" t="str">
        <f t="shared" si="39"/>
        <v/>
      </c>
      <c r="Y589" s="29">
        <f>IF(AND(LEFT($B589,7)="SBA 26/",$D589&lt;&gt;"",$F589&lt;&gt;""),COUNTIFS($D$2:$D589,$D589,$B$2:$B589,"SBA 26/*",$F$2:$F589,"&lt;&gt;"),"")</f>
        <v>4</v>
      </c>
      <c r="Z589" s="29" t="str">
        <f>IF(Y589=1,COUNTIF($Y$2:Y589,1),"")</f>
        <v/>
      </c>
      <c r="AA589" s="29">
        <f>IF(AND(LEFT($B589,7)="SBA 26/",$C589&lt;&gt;"",$F589&lt;&gt;""),COUNTIFS($C$2:$C589,$C589,$B$2:$B589,"SBA 26/*",$F$2:$F589,"&lt;&gt;"),"")</f>
        <v>2</v>
      </c>
      <c r="AB589" s="29" t="str">
        <f>IF(AA589=1,COUNTIF($AA$2:AA589,1),"")</f>
        <v/>
      </c>
    </row>
    <row r="590" spans="1:28" ht="63" customHeight="1" x14ac:dyDescent="0.2">
      <c r="A590" s="43" t="s">
        <v>2769</v>
      </c>
      <c r="B590" s="43" t="s">
        <v>2770</v>
      </c>
      <c r="C590" s="44" t="s">
        <v>2674</v>
      </c>
      <c r="D590" s="44" t="s">
        <v>222</v>
      </c>
      <c r="E590" s="45" t="s">
        <v>2687</v>
      </c>
      <c r="F590" s="45" t="s">
        <v>2771</v>
      </c>
      <c r="G590" s="46" t="s">
        <v>38</v>
      </c>
      <c r="H590" s="48">
        <v>46216</v>
      </c>
      <c r="I590" s="48">
        <v>46224</v>
      </c>
      <c r="J590" s="44" t="s">
        <v>76</v>
      </c>
      <c r="K590" s="44" t="s">
        <v>84</v>
      </c>
      <c r="L590" s="50" t="s">
        <v>77</v>
      </c>
      <c r="M590" s="50"/>
      <c r="N590" s="50"/>
      <c r="O590" s="49"/>
      <c r="P590" s="50" t="str">
        <f t="shared" si="36"/>
        <v>ONAY</v>
      </c>
      <c r="R590" s="51" t="str">
        <f t="shared" si="37"/>
        <v/>
      </c>
      <c r="T590" s="41"/>
      <c r="U590" s="29">
        <f>IF($C590&lt;&gt;"",COUNTIF($C$2:C590,C590),"")</f>
        <v>3</v>
      </c>
      <c r="V590" s="29" t="str">
        <f t="shared" si="38"/>
        <v>Prof. Dr. Selin AYTAÇ EYÜPOĞLU§3</v>
      </c>
      <c r="W590" s="29" t="str">
        <f>IF(U590=1,COUNTIF($U$2:U590,1),"")</f>
        <v/>
      </c>
      <c r="X590" s="29" t="str">
        <f t="shared" si="39"/>
        <v/>
      </c>
      <c r="Y590" s="29">
        <f>IF(AND(LEFT($B590,7)="SBA 26/",$D590&lt;&gt;"",$F590&lt;&gt;""),COUNTIFS($D$2:$D590,$D590,$B$2:$B590,"SBA 26/*",$F$2:$F590,"&lt;&gt;"),"")</f>
        <v>94</v>
      </c>
      <c r="Z590" s="29" t="str">
        <f>IF(Y590=1,COUNTIF($Y$2:Y590,1),"")</f>
        <v/>
      </c>
      <c r="AA590" s="29">
        <f>IF(AND(LEFT($B590,7)="SBA 26/",$C590&lt;&gt;"",$F590&lt;&gt;""),COUNTIFS($C$2:$C590,$C590,$B$2:$B590,"SBA 26/*",$F$2:$F590,"&lt;&gt;"),"")</f>
        <v>3</v>
      </c>
      <c r="AB590" s="29" t="str">
        <f>IF(AA590=1,COUNTIF($AA$2:AA590,1),"")</f>
        <v/>
      </c>
    </row>
    <row r="591" spans="1:28" ht="63" customHeight="1" x14ac:dyDescent="0.2">
      <c r="A591" s="43" t="s">
        <v>2772</v>
      </c>
      <c r="B591" s="43" t="s">
        <v>2773</v>
      </c>
      <c r="C591" s="44" t="s">
        <v>2774</v>
      </c>
      <c r="D591" s="44" t="s">
        <v>222</v>
      </c>
      <c r="E591" s="45" t="s">
        <v>2775</v>
      </c>
      <c r="F591" s="45" t="s">
        <v>2776</v>
      </c>
      <c r="G591" s="46" t="s">
        <v>38</v>
      </c>
      <c r="H591" s="48">
        <v>46216</v>
      </c>
      <c r="I591" s="48">
        <v>46224</v>
      </c>
      <c r="J591" s="44" t="s">
        <v>92</v>
      </c>
      <c r="K591" s="44" t="s">
        <v>100</v>
      </c>
      <c r="L591" s="50" t="s">
        <v>77</v>
      </c>
      <c r="M591" s="50"/>
      <c r="N591" s="50"/>
      <c r="O591" s="49"/>
      <c r="P591" s="50" t="str">
        <f t="shared" si="36"/>
        <v>ONAY</v>
      </c>
      <c r="R591" s="51" t="str">
        <f t="shared" si="37"/>
        <v/>
      </c>
      <c r="T591" s="41"/>
      <c r="U591" s="29">
        <f>IF($C591&lt;&gt;"",COUNTIF($C$2:C591,C591),"")</f>
        <v>1</v>
      </c>
      <c r="V591" s="29" t="str">
        <f t="shared" si="38"/>
        <v>Prof. Dr. İlker ERTUĞRUL§1</v>
      </c>
      <c r="W591" s="29">
        <f>IF(U591=1,COUNTIF($U$2:U591,1),"")</f>
        <v>297</v>
      </c>
      <c r="X591" s="29">
        <f t="shared" si="39"/>
        <v>246</v>
      </c>
      <c r="Y591" s="29">
        <f>IF(AND(LEFT($B591,7)="SBA 26/",$D591&lt;&gt;"",$F591&lt;&gt;""),COUNTIFS($D$2:$D591,$D591,$B$2:$B591,"SBA 26/*",$F$2:$F591,"&lt;&gt;"),"")</f>
        <v>95</v>
      </c>
      <c r="Z591" s="29" t="str">
        <f>IF(Y591=1,COUNTIF($Y$2:Y591,1),"")</f>
        <v/>
      </c>
      <c r="AA591" s="29">
        <f>IF(AND(LEFT($B591,7)="SBA 26/",$C591&lt;&gt;"",$F591&lt;&gt;""),COUNTIFS($C$2:$C591,$C591,$B$2:$B591,"SBA 26/*",$F$2:$F591,"&lt;&gt;"),"")</f>
        <v>1</v>
      </c>
      <c r="AB591" s="29">
        <f>IF(AA591=1,COUNTIF($AA$2:AA591,1),"")</f>
        <v>297</v>
      </c>
    </row>
    <row r="592" spans="1:28" ht="78.75" customHeight="1" x14ac:dyDescent="0.2">
      <c r="A592" s="43" t="s">
        <v>2777</v>
      </c>
      <c r="B592" s="43" t="s">
        <v>2778</v>
      </c>
      <c r="C592" s="44" t="s">
        <v>1321</v>
      </c>
      <c r="D592" s="44" t="s">
        <v>215</v>
      </c>
      <c r="E592" s="45" t="s">
        <v>2779</v>
      </c>
      <c r="F592" s="45" t="s">
        <v>2780</v>
      </c>
      <c r="G592" s="46" t="s">
        <v>38</v>
      </c>
      <c r="H592" s="48">
        <v>46216</v>
      </c>
      <c r="I592" s="48">
        <v>46224</v>
      </c>
      <c r="J592" s="44" t="s">
        <v>91</v>
      </c>
      <c r="K592" s="44" t="s">
        <v>123</v>
      </c>
      <c r="L592" s="50" t="s">
        <v>101</v>
      </c>
      <c r="M592" s="50"/>
      <c r="N592" s="50"/>
      <c r="O592" s="49"/>
      <c r="P592" s="50" t="str">
        <f t="shared" si="36"/>
        <v>DÜZELTME</v>
      </c>
      <c r="R592" s="51" t="str">
        <f t="shared" si="37"/>
        <v/>
      </c>
      <c r="T592" s="41"/>
      <c r="U592" s="29">
        <f>IF($C592&lt;&gt;"",COUNTIF($C$2:C592,C592),"")</f>
        <v>4</v>
      </c>
      <c r="V592" s="29" t="str">
        <f t="shared" si="38"/>
        <v>Dr. Öğr. Üyesi Selen ADİLOĞLU§4</v>
      </c>
      <c r="W592" s="29" t="str">
        <f>IF(U592=1,COUNTIF($U$2:U592,1),"")</f>
        <v/>
      </c>
      <c r="X592" s="29" t="str">
        <f t="shared" si="39"/>
        <v/>
      </c>
      <c r="Y592" s="29">
        <f>IF(AND(LEFT($B592,7)="SBA 26/",$D592&lt;&gt;"",$F592&lt;&gt;""),COUNTIFS($D$2:$D592,$D592,$B$2:$B592,"SBA 26/*",$F$2:$F592,"&lt;&gt;"),"")</f>
        <v>8</v>
      </c>
      <c r="Z592" s="29" t="str">
        <f>IF(Y592=1,COUNTIF($Y$2:Y592,1),"")</f>
        <v/>
      </c>
      <c r="AA592" s="29">
        <f>IF(AND(LEFT($B592,7)="SBA 26/",$C592&lt;&gt;"",$F592&lt;&gt;""),COUNTIFS($C$2:$C592,$C592,$B$2:$B592,"SBA 26/*",$F$2:$F592,"&lt;&gt;"),"")</f>
        <v>4</v>
      </c>
      <c r="AB592" s="29" t="str">
        <f>IF(AA592=1,COUNTIF($AA$2:AA592,1),"")</f>
        <v/>
      </c>
    </row>
    <row r="593" spans="1:28" ht="78.75" customHeight="1" x14ac:dyDescent="0.2">
      <c r="A593" s="43" t="s">
        <v>2781</v>
      </c>
      <c r="B593" s="43" t="s">
        <v>2782</v>
      </c>
      <c r="C593" s="44" t="s">
        <v>2783</v>
      </c>
      <c r="D593" s="44" t="s">
        <v>991</v>
      </c>
      <c r="E593" s="45" t="s">
        <v>2784</v>
      </c>
      <c r="F593" s="45" t="s">
        <v>2785</v>
      </c>
      <c r="G593" s="46" t="s">
        <v>38</v>
      </c>
      <c r="H593" s="48">
        <v>46216</v>
      </c>
      <c r="I593" s="48">
        <v>46224</v>
      </c>
      <c r="J593" s="44" t="s">
        <v>123</v>
      </c>
      <c r="K593" s="44" t="s">
        <v>116</v>
      </c>
      <c r="L593" s="50" t="s">
        <v>77</v>
      </c>
      <c r="M593" s="50"/>
      <c r="N593" s="50"/>
      <c r="O593" s="49"/>
      <c r="P593" s="50" t="str">
        <f t="shared" si="36"/>
        <v>ONAY</v>
      </c>
      <c r="R593" s="51" t="str">
        <f t="shared" si="37"/>
        <v/>
      </c>
      <c r="T593" s="41"/>
      <c r="U593" s="29">
        <f>IF($C593&lt;&gt;"",COUNTIF($C$2:C593,C593),"")</f>
        <v>1</v>
      </c>
      <c r="V593" s="29" t="str">
        <f t="shared" si="38"/>
        <v>Prof. Dr. Uzay KOÇ VURAL§1</v>
      </c>
      <c r="W593" s="29">
        <f>IF(U593=1,COUNTIF($U$2:U593,1),"")</f>
        <v>298</v>
      </c>
      <c r="X593" s="29">
        <f t="shared" si="39"/>
        <v>327</v>
      </c>
      <c r="Y593" s="29">
        <f>IF(AND(LEFT($B593,7)="SBA 26/",$D593&lt;&gt;"",$F593&lt;&gt;""),COUNTIFS($D$2:$D593,$D593,$B$2:$B593,"SBA 26/*",$F$2:$F593,"&lt;&gt;"),"")</f>
        <v>3</v>
      </c>
      <c r="Z593" s="29" t="str">
        <f>IF(Y593=1,COUNTIF($Y$2:Y593,1),"")</f>
        <v/>
      </c>
      <c r="AA593" s="29">
        <f>IF(AND(LEFT($B593,7)="SBA 26/",$C593&lt;&gt;"",$F593&lt;&gt;""),COUNTIFS($C$2:$C593,$C593,$B$2:$B593,"SBA 26/*",$F$2:$F593,"&lt;&gt;"),"")</f>
        <v>1</v>
      </c>
      <c r="AB593" s="29">
        <f>IF(AA593=1,COUNTIF($AA$2:AA593,1),"")</f>
        <v>298</v>
      </c>
    </row>
    <row r="594" spans="1:28" ht="94.5" customHeight="1" x14ac:dyDescent="0.2">
      <c r="A594" s="43" t="s">
        <v>2786</v>
      </c>
      <c r="B594" s="43" t="s">
        <v>2787</v>
      </c>
      <c r="C594" s="44" t="s">
        <v>1528</v>
      </c>
      <c r="D594" s="44" t="s">
        <v>234</v>
      </c>
      <c r="E594" s="45" t="s">
        <v>2788</v>
      </c>
      <c r="F594" s="45" t="s">
        <v>2789</v>
      </c>
      <c r="G594" s="46" t="s">
        <v>38</v>
      </c>
      <c r="H594" s="48">
        <v>46216</v>
      </c>
      <c r="I594" s="48">
        <v>46224</v>
      </c>
      <c r="J594" s="44" t="s">
        <v>91</v>
      </c>
      <c r="K594" s="44" t="s">
        <v>129</v>
      </c>
      <c r="L594" s="50" t="s">
        <v>77</v>
      </c>
      <c r="M594" s="50"/>
      <c r="N594" s="50"/>
      <c r="O594" s="49"/>
      <c r="P594" s="50" t="str">
        <f t="shared" si="36"/>
        <v>ONAY</v>
      </c>
      <c r="R594" s="51" t="str">
        <f t="shared" si="37"/>
        <v/>
      </c>
      <c r="T594" s="41"/>
      <c r="U594" s="29">
        <f>IF($C594&lt;&gt;"",COUNTIF($C$2:C594,C594),"")</f>
        <v>7</v>
      </c>
      <c r="V594" s="29" t="str">
        <f t="shared" si="38"/>
        <v>Doç. Dr. Cem ÇÖTELİ§7</v>
      </c>
      <c r="W594" s="29" t="str">
        <f>IF(U594=1,COUNTIF($U$2:U594,1),"")</f>
        <v/>
      </c>
      <c r="X594" s="29" t="str">
        <f t="shared" si="39"/>
        <v/>
      </c>
      <c r="Y594" s="29">
        <f>IF(AND(LEFT($B594,7)="SBA 26/",$D594&lt;&gt;"",$F594&lt;&gt;""),COUNTIFS($D$2:$D594,$D594,$B$2:$B594,"SBA 26/*",$F$2:$F594,"&lt;&gt;"),"")</f>
        <v>19</v>
      </c>
      <c r="Z594" s="29" t="str">
        <f>IF(Y594=1,COUNTIF($Y$2:Y594,1),"")</f>
        <v/>
      </c>
      <c r="AA594" s="29">
        <f>IF(AND(LEFT($B594,7)="SBA 26/",$C594&lt;&gt;"",$F594&lt;&gt;""),COUNTIFS($C$2:$C594,$C594,$B$2:$B594,"SBA 26/*",$F$2:$F594,"&lt;&gt;"),"")</f>
        <v>7</v>
      </c>
      <c r="AB594" s="29" t="str">
        <f>IF(AA594=1,COUNTIF($AA$2:AA594,1),"")</f>
        <v/>
      </c>
    </row>
    <row r="595" spans="1:28" ht="78.75" customHeight="1" x14ac:dyDescent="0.2">
      <c r="A595" s="43" t="s">
        <v>2790</v>
      </c>
      <c r="B595" s="43" t="s">
        <v>2791</v>
      </c>
      <c r="C595" s="44" t="s">
        <v>2404</v>
      </c>
      <c r="D595" s="44" t="s">
        <v>113</v>
      </c>
      <c r="E595" s="45" t="s">
        <v>2792</v>
      </c>
      <c r="F595" s="45" t="s">
        <v>2793</v>
      </c>
      <c r="G595" s="46" t="s">
        <v>38</v>
      </c>
      <c r="H595" s="48">
        <v>46216</v>
      </c>
      <c r="I595" s="48">
        <v>46224</v>
      </c>
      <c r="J595" s="44" t="s">
        <v>109</v>
      </c>
      <c r="K595" s="44" t="s">
        <v>99</v>
      </c>
      <c r="L595" s="50" t="s">
        <v>101</v>
      </c>
      <c r="M595" s="50"/>
      <c r="N595" s="50"/>
      <c r="O595" s="49"/>
      <c r="P595" s="50" t="str">
        <f t="shared" si="36"/>
        <v>DÜZELTME</v>
      </c>
      <c r="R595" s="51" t="str">
        <f t="shared" si="37"/>
        <v/>
      </c>
      <c r="T595" s="41"/>
      <c r="U595" s="29">
        <f>IF($C595&lt;&gt;"",COUNTIF($C$2:C595,C595),"")</f>
        <v>2</v>
      </c>
      <c r="V595" s="29" t="str">
        <f t="shared" si="38"/>
        <v>Prof. Dr. Uğur ÜNLÜTÜRK§2</v>
      </c>
      <c r="W595" s="29" t="str">
        <f>IF(U595=1,COUNTIF($U$2:U595,1),"")</f>
        <v/>
      </c>
      <c r="X595" s="29" t="str">
        <f t="shared" si="39"/>
        <v/>
      </c>
      <c r="Y595" s="29">
        <f>IF(AND(LEFT($B595,7)="SBA 26/",$D595&lt;&gt;"",$F595&lt;&gt;""),COUNTIFS($D$2:$D595,$D595,$B$2:$B595,"SBA 26/*",$F$2:$F595,"&lt;&gt;"),"")</f>
        <v>100</v>
      </c>
      <c r="Z595" s="29" t="str">
        <f>IF(Y595=1,COUNTIF($Y$2:Y595,1),"")</f>
        <v/>
      </c>
      <c r="AA595" s="29">
        <f>IF(AND(LEFT($B595,7)="SBA 26/",$C595&lt;&gt;"",$F595&lt;&gt;""),COUNTIFS($C$2:$C595,$C595,$B$2:$B595,"SBA 26/*",$F$2:$F595,"&lt;&gt;"),"")</f>
        <v>2</v>
      </c>
      <c r="AB595" s="29" t="str">
        <f>IF(AA595=1,COUNTIF($AA$2:AA595,1),"")</f>
        <v/>
      </c>
    </row>
    <row r="596" spans="1:28" ht="94.5" customHeight="1" x14ac:dyDescent="0.2">
      <c r="A596" s="43" t="s">
        <v>2794</v>
      </c>
      <c r="B596" s="43" t="s">
        <v>2795</v>
      </c>
      <c r="C596" s="44" t="s">
        <v>175</v>
      </c>
      <c r="D596" s="44" t="s">
        <v>169</v>
      </c>
      <c r="E596" s="45" t="s">
        <v>2796</v>
      </c>
      <c r="F596" s="45" t="s">
        <v>2797</v>
      </c>
      <c r="G596" s="46" t="s">
        <v>38</v>
      </c>
      <c r="H596" s="48">
        <v>46216</v>
      </c>
      <c r="I596" s="48">
        <v>46224</v>
      </c>
      <c r="J596" s="44" t="s">
        <v>100</v>
      </c>
      <c r="K596" s="44" t="s">
        <v>129</v>
      </c>
      <c r="L596" s="50" t="s">
        <v>77</v>
      </c>
      <c r="M596" s="50"/>
      <c r="N596" s="50"/>
      <c r="O596" s="49"/>
      <c r="P596" s="50" t="str">
        <f t="shared" si="36"/>
        <v>ONAY</v>
      </c>
      <c r="R596" s="51" t="str">
        <f t="shared" si="37"/>
        <v/>
      </c>
      <c r="T596" s="41"/>
      <c r="U596" s="29">
        <f>IF($C596&lt;&gt;"",COUNTIF($C$2:C596,C596),"")</f>
        <v>5</v>
      </c>
      <c r="V596" s="29" t="str">
        <f t="shared" si="38"/>
        <v>Prof. Dr. Gül KARAKAYA§5</v>
      </c>
      <c r="W596" s="29" t="str">
        <f>IF(U596=1,COUNTIF($U$2:U596,1),"")</f>
        <v/>
      </c>
      <c r="X596" s="29" t="str">
        <f t="shared" si="39"/>
        <v/>
      </c>
      <c r="Y596" s="29">
        <f>IF(AND(LEFT($B596,7)="SBA 26/",$D596&lt;&gt;"",$F596&lt;&gt;""),COUNTIFS($D$2:$D596,$D596,$B$2:$B596,"SBA 26/*",$F$2:$F596,"&lt;&gt;"),"")</f>
        <v>16</v>
      </c>
      <c r="Z596" s="29" t="str">
        <f>IF(Y596=1,COUNTIF($Y$2:Y596,1),"")</f>
        <v/>
      </c>
      <c r="AA596" s="29">
        <f>IF(AND(LEFT($B596,7)="SBA 26/",$C596&lt;&gt;"",$F596&lt;&gt;""),COUNTIFS($C$2:$C596,$C596,$B$2:$B596,"SBA 26/*",$F$2:$F596,"&lt;&gt;"),"")</f>
        <v>5</v>
      </c>
      <c r="AB596" s="29" t="str">
        <f>IF(AA596=1,COUNTIF($AA$2:AA596,1),"")</f>
        <v/>
      </c>
    </row>
    <row r="597" spans="1:28" ht="63" customHeight="1" x14ac:dyDescent="0.2">
      <c r="A597" s="43" t="s">
        <v>2798</v>
      </c>
      <c r="B597" s="43" t="s">
        <v>2799</v>
      </c>
      <c r="C597" s="44" t="s">
        <v>2800</v>
      </c>
      <c r="D597" s="44" t="s">
        <v>584</v>
      </c>
      <c r="E597" s="45" t="s">
        <v>2801</v>
      </c>
      <c r="F597" s="45" t="s">
        <v>2802</v>
      </c>
      <c r="G597" s="46" t="s">
        <v>41</v>
      </c>
      <c r="H597" s="48">
        <v>46216</v>
      </c>
      <c r="I597" s="48">
        <v>46224</v>
      </c>
      <c r="J597" s="44" t="s">
        <v>75</v>
      </c>
      <c r="K597" s="44" t="s">
        <v>91</v>
      </c>
      <c r="L597" s="50" t="s">
        <v>101</v>
      </c>
      <c r="M597" s="50"/>
      <c r="N597" s="50"/>
      <c r="O597" s="49"/>
      <c r="P597" s="50" t="str">
        <f t="shared" si="36"/>
        <v>DÜZELTME</v>
      </c>
      <c r="R597" s="51" t="str">
        <f t="shared" si="37"/>
        <v/>
      </c>
      <c r="T597" s="41"/>
      <c r="U597" s="29">
        <f>IF($C597&lt;&gt;"",COUNTIF($C$2:C597,C597),"")</f>
        <v>1</v>
      </c>
      <c r="V597" s="29" t="str">
        <f t="shared" si="38"/>
        <v>Prof. Dr. Reyhan ATASÜ TOPÇUOĞLU§1</v>
      </c>
      <c r="W597" s="29">
        <f>IF(U597=1,COUNTIF($U$2:U597,1),"")</f>
        <v>299</v>
      </c>
      <c r="X597" s="29">
        <f t="shared" si="39"/>
        <v>296</v>
      </c>
      <c r="Y597" s="29">
        <f>IF(AND(LEFT($B597,7)="SBA 26/",$D597&lt;&gt;"",$F597&lt;&gt;""),COUNTIFS($D$2:$D597,$D597,$B$2:$B597,"SBA 26/*",$F$2:$F597,"&lt;&gt;"),"")</f>
        <v>6</v>
      </c>
      <c r="Z597" s="29" t="str">
        <f>IF(Y597=1,COUNTIF($Y$2:Y597,1),"")</f>
        <v/>
      </c>
      <c r="AA597" s="29">
        <f>IF(AND(LEFT($B597,7)="SBA 26/",$C597&lt;&gt;"",$F597&lt;&gt;""),COUNTIFS($C$2:$C597,$C597,$B$2:$B597,"SBA 26/*",$F$2:$F597,"&lt;&gt;"),"")</f>
        <v>1</v>
      </c>
      <c r="AB597" s="29">
        <f>IF(AA597=1,COUNTIF($AA$2:AA597,1),"")</f>
        <v>299</v>
      </c>
    </row>
    <row r="598" spans="1:28" ht="78.75" customHeight="1" x14ac:dyDescent="0.2">
      <c r="A598" s="43" t="s">
        <v>2803</v>
      </c>
      <c r="B598" s="43" t="s">
        <v>2804</v>
      </c>
      <c r="C598" s="44" t="s">
        <v>489</v>
      </c>
      <c r="D598" s="44" t="s">
        <v>297</v>
      </c>
      <c r="E598" s="45" t="s">
        <v>2805</v>
      </c>
      <c r="F598" s="45" t="s">
        <v>2806</v>
      </c>
      <c r="G598" s="46" t="s">
        <v>38</v>
      </c>
      <c r="H598" s="48">
        <v>46216</v>
      </c>
      <c r="I598" s="48">
        <v>46224</v>
      </c>
      <c r="J598" s="44" t="s">
        <v>123</v>
      </c>
      <c r="K598" s="44" t="s">
        <v>84</v>
      </c>
      <c r="L598" s="50" t="s">
        <v>77</v>
      </c>
      <c r="M598" s="50"/>
      <c r="N598" s="50"/>
      <c r="O598" s="49"/>
      <c r="P598" s="50" t="str">
        <f t="shared" si="36"/>
        <v>ONAY</v>
      </c>
      <c r="R598" s="51" t="str">
        <f t="shared" si="37"/>
        <v/>
      </c>
      <c r="T598" s="41"/>
      <c r="U598" s="29">
        <f>IF($C598&lt;&gt;"",COUNTIF($C$2:C598,C598),"")</f>
        <v>5</v>
      </c>
      <c r="V598" s="29" t="str">
        <f t="shared" si="38"/>
        <v>Doç. Dr. Ezgi ATİK§5</v>
      </c>
      <c r="W598" s="29" t="str">
        <f>IF(U598=1,COUNTIF($U$2:U598,1),"")</f>
        <v/>
      </c>
      <c r="X598" s="29" t="str">
        <f t="shared" si="39"/>
        <v/>
      </c>
      <c r="Y598" s="29">
        <f>IF(AND(LEFT($B598,7)="SBA 26/",$D598&lt;&gt;"",$F598&lt;&gt;""),COUNTIFS($D$2:$D598,$D598,$B$2:$B598,"SBA 26/*",$F$2:$F598,"&lt;&gt;"),"")</f>
        <v>10</v>
      </c>
      <c r="Z598" s="29" t="str">
        <f>IF(Y598=1,COUNTIF($Y$2:Y598,1),"")</f>
        <v/>
      </c>
      <c r="AA598" s="29">
        <f>IF(AND(LEFT($B598,7)="SBA 26/",$C598&lt;&gt;"",$F598&lt;&gt;""),COUNTIFS($C$2:$C598,$C598,$B$2:$B598,"SBA 26/*",$F$2:$F598,"&lt;&gt;"),"")</f>
        <v>5</v>
      </c>
      <c r="AB598" s="29" t="str">
        <f>IF(AA598=1,COUNTIF($AA$2:AA598,1),"")</f>
        <v/>
      </c>
    </row>
    <row r="599" spans="1:28" ht="65.25" customHeight="1" x14ac:dyDescent="0.2">
      <c r="A599" s="43" t="s">
        <v>2807</v>
      </c>
      <c r="B599" s="43" t="s">
        <v>2808</v>
      </c>
      <c r="C599" s="44" t="s">
        <v>2174</v>
      </c>
      <c r="D599" s="44" t="s">
        <v>157</v>
      </c>
      <c r="E599" s="45" t="s">
        <v>2809</v>
      </c>
      <c r="F599" s="45" t="s">
        <v>2810</v>
      </c>
      <c r="G599" s="46" t="s">
        <v>41</v>
      </c>
      <c r="H599" s="48">
        <v>46216</v>
      </c>
      <c r="I599" s="48">
        <v>46224</v>
      </c>
      <c r="J599" s="44" t="s">
        <v>91</v>
      </c>
      <c r="K599" s="44" t="s">
        <v>99</v>
      </c>
      <c r="L599" s="50" t="s">
        <v>77</v>
      </c>
      <c r="M599" s="50"/>
      <c r="N599" s="50"/>
      <c r="O599" s="49"/>
      <c r="P599" s="50" t="str">
        <f t="shared" si="36"/>
        <v>ONAY</v>
      </c>
      <c r="R599" s="51" t="str">
        <f t="shared" si="37"/>
        <v/>
      </c>
      <c r="T599" s="41"/>
      <c r="U599" s="29">
        <f>IF($C599&lt;&gt;"",COUNTIF($C$2:C599,C599),"")</f>
        <v>2</v>
      </c>
      <c r="V599" s="29" t="str">
        <f t="shared" si="38"/>
        <v>Doç. Dr. Barış SEZER§2</v>
      </c>
      <c r="W599" s="29" t="str">
        <f>IF(U599=1,COUNTIF($U$2:U599,1),"")</f>
        <v/>
      </c>
      <c r="X599" s="29" t="str">
        <f t="shared" si="39"/>
        <v/>
      </c>
      <c r="Y599" s="29">
        <f>IF(AND(LEFT($B599,7)="SBA 26/",$D599&lt;&gt;"",$F599&lt;&gt;""),COUNTIFS($D$2:$D599,$D599,$B$2:$B599,"SBA 26/*",$F$2:$F599,"&lt;&gt;"),"")</f>
        <v>3</v>
      </c>
      <c r="Z599" s="29" t="str">
        <f>IF(Y599=1,COUNTIF($Y$2:Y599,1),"")</f>
        <v/>
      </c>
      <c r="AA599" s="29">
        <f>IF(AND(LEFT($B599,7)="SBA 26/",$C599&lt;&gt;"",$F599&lt;&gt;""),COUNTIFS($C$2:$C599,$C599,$B$2:$B599,"SBA 26/*",$F$2:$F599,"&lt;&gt;"),"")</f>
        <v>2</v>
      </c>
      <c r="AB599" s="29" t="str">
        <f>IF(AA599=1,COUNTIF($AA$2:AA599,1),"")</f>
        <v/>
      </c>
    </row>
    <row r="600" spans="1:28" ht="63" customHeight="1" x14ac:dyDescent="0.2">
      <c r="A600" s="43" t="s">
        <v>2811</v>
      </c>
      <c r="B600" s="43" t="s">
        <v>2812</v>
      </c>
      <c r="C600" s="44" t="s">
        <v>2813</v>
      </c>
      <c r="D600" s="44" t="s">
        <v>193</v>
      </c>
      <c r="E600" s="45" t="s">
        <v>2814</v>
      </c>
      <c r="F600" s="45" t="s">
        <v>2815</v>
      </c>
      <c r="G600" s="46" t="s">
        <v>38</v>
      </c>
      <c r="H600" s="48">
        <v>46216</v>
      </c>
      <c r="I600" s="48">
        <v>46224</v>
      </c>
      <c r="J600" s="44" t="s">
        <v>109</v>
      </c>
      <c r="K600" s="44" t="s">
        <v>76</v>
      </c>
      <c r="L600" s="50" t="s">
        <v>172</v>
      </c>
      <c r="M600" s="50"/>
      <c r="N600" s="50"/>
      <c r="O600" s="49"/>
      <c r="P600" s="50" t="str">
        <f t="shared" si="36"/>
        <v>RET</v>
      </c>
      <c r="R600" s="51" t="str">
        <f t="shared" si="37"/>
        <v/>
      </c>
      <c r="T600" s="41"/>
      <c r="U600" s="29">
        <f>IF($C600&lt;&gt;"",COUNTIF($C$2:C600,C600),"")</f>
        <v>1</v>
      </c>
      <c r="V600" s="29" t="str">
        <f t="shared" si="38"/>
        <v>Dr. Öğr. Üyesi Yavuz Kemal ARIBAŞ§1</v>
      </c>
      <c r="W600" s="29">
        <f>IF(U600=1,COUNTIF($U$2:U600,1),"")</f>
        <v>300</v>
      </c>
      <c r="X600" s="29">
        <f t="shared" si="39"/>
        <v>165</v>
      </c>
      <c r="Y600" s="29">
        <f>IF(AND(LEFT($B600,7)="SBA 26/",$D600&lt;&gt;"",$F600&lt;&gt;""),COUNTIFS($D$2:$D600,$D600,$B$2:$B600,"SBA 26/*",$F$2:$F600,"&lt;&gt;"),"")</f>
        <v>16</v>
      </c>
      <c r="Z600" s="29" t="str">
        <f>IF(Y600=1,COUNTIF($Y$2:Y600,1),"")</f>
        <v/>
      </c>
      <c r="AA600" s="29">
        <f>IF(AND(LEFT($B600,7)="SBA 26/",$C600&lt;&gt;"",$F600&lt;&gt;""),COUNTIFS($C$2:$C600,$C600,$B$2:$B600,"SBA 26/*",$F$2:$F600,"&lt;&gt;"),"")</f>
        <v>1</v>
      </c>
      <c r="AB600" s="29">
        <f>IF(AA600=1,COUNTIF($AA$2:AA600,1),"")</f>
        <v>300</v>
      </c>
    </row>
    <row r="601" spans="1:28" ht="63" customHeight="1" x14ac:dyDescent="0.2">
      <c r="A601" s="43" t="s">
        <v>2816</v>
      </c>
      <c r="B601" s="43" t="s">
        <v>2817</v>
      </c>
      <c r="C601" s="44" t="s">
        <v>2818</v>
      </c>
      <c r="D601" s="44" t="s">
        <v>215</v>
      </c>
      <c r="E601" s="45" t="s">
        <v>2819</v>
      </c>
      <c r="F601" s="45" t="s">
        <v>2820</v>
      </c>
      <c r="G601" s="46" t="s">
        <v>38</v>
      </c>
      <c r="H601" s="48">
        <v>46216</v>
      </c>
      <c r="I601" s="48">
        <v>46224</v>
      </c>
      <c r="J601" s="44" t="s">
        <v>123</v>
      </c>
      <c r="K601" s="44" t="s">
        <v>116</v>
      </c>
      <c r="L601" s="50" t="s">
        <v>77</v>
      </c>
      <c r="M601" s="50"/>
      <c r="N601" s="50"/>
      <c r="O601" s="49"/>
      <c r="P601" s="50" t="str">
        <f t="shared" si="36"/>
        <v>ONAY</v>
      </c>
      <c r="R601" s="51" t="str">
        <f t="shared" si="37"/>
        <v/>
      </c>
      <c r="T601" s="41"/>
      <c r="U601" s="29">
        <f>IF($C601&lt;&gt;"",COUNTIF($C$2:C601,C601),"")</f>
        <v>1</v>
      </c>
      <c r="V601" s="29" t="str">
        <f t="shared" si="38"/>
        <v>Dr. Öğr. Üyesi Aydın Onur GERÇEK§1</v>
      </c>
      <c r="W601" s="29">
        <f>IF(U601=1,COUNTIF($U$2:U601,1),"")</f>
        <v>301</v>
      </c>
      <c r="X601" s="29">
        <f t="shared" si="39"/>
        <v>116</v>
      </c>
      <c r="Y601" s="29">
        <f>IF(AND(LEFT($B601,7)="SBA 26/",$D601&lt;&gt;"",$F601&lt;&gt;""),COUNTIFS($D$2:$D601,$D601,$B$2:$B601,"SBA 26/*",$F$2:$F601,"&lt;&gt;"),"")</f>
        <v>9</v>
      </c>
      <c r="Z601" s="29" t="str">
        <f>IF(Y601=1,COUNTIF($Y$2:Y601,1),"")</f>
        <v/>
      </c>
      <c r="AA601" s="29">
        <f>IF(AND(LEFT($B601,7)="SBA 26/",$C601&lt;&gt;"",$F601&lt;&gt;""),COUNTIFS($C$2:$C601,$C601,$B$2:$B601,"SBA 26/*",$F$2:$F601,"&lt;&gt;"),"")</f>
        <v>1</v>
      </c>
      <c r="AB601" s="29">
        <f>IF(AA601=1,COUNTIF($AA$2:AA601,1),"")</f>
        <v>301</v>
      </c>
    </row>
    <row r="602" spans="1:28" ht="63" customHeight="1" x14ac:dyDescent="0.2">
      <c r="A602" s="43" t="s">
        <v>2821</v>
      </c>
      <c r="B602" s="43" t="s">
        <v>2822</v>
      </c>
      <c r="C602" s="44" t="s">
        <v>2823</v>
      </c>
      <c r="D602" s="44" t="s">
        <v>2824</v>
      </c>
      <c r="E602" s="45" t="s">
        <v>2825</v>
      </c>
      <c r="F602" s="45" t="s">
        <v>2826</v>
      </c>
      <c r="G602" s="46" t="s">
        <v>41</v>
      </c>
      <c r="H602" s="48">
        <v>46216</v>
      </c>
      <c r="I602" s="48">
        <v>46224</v>
      </c>
      <c r="J602" s="44" t="s">
        <v>108</v>
      </c>
      <c r="K602" s="44" t="s">
        <v>75</v>
      </c>
      <c r="L602" s="50" t="s">
        <v>101</v>
      </c>
      <c r="M602" s="50"/>
      <c r="N602" s="50"/>
      <c r="O602" s="49"/>
      <c r="P602" s="50" t="str">
        <f t="shared" si="36"/>
        <v>DÜZELTME</v>
      </c>
      <c r="R602" s="51" t="str">
        <f t="shared" si="37"/>
        <v/>
      </c>
      <c r="T602" s="41"/>
      <c r="U602" s="29">
        <f>IF($C602&lt;&gt;"",COUNTIF($C$2:C602,C602),"")</f>
        <v>1</v>
      </c>
      <c r="V602" s="29" t="str">
        <f t="shared" si="38"/>
        <v>Prof. Dr. Selis ÖNEL KAYRAN§1</v>
      </c>
      <c r="W602" s="29">
        <f>IF(U602=1,COUNTIF($U$2:U602,1),"")</f>
        <v>302</v>
      </c>
      <c r="X602" s="29">
        <f t="shared" si="39"/>
        <v>305</v>
      </c>
      <c r="Y602" s="29">
        <f>IF(AND(LEFT($B602,7)="SBA 26/",$D602&lt;&gt;"",$F602&lt;&gt;""),COUNTIFS($D$2:$D602,$D602,$B$2:$B602,"SBA 26/*",$F$2:$F602,"&lt;&gt;"),"")</f>
        <v>1</v>
      </c>
      <c r="Z602" s="29">
        <f>IF(Y602=1,COUNTIF($Y$2:Y602,1),"")</f>
        <v>76</v>
      </c>
      <c r="AA602" s="29">
        <f>IF(AND(LEFT($B602,7)="SBA 26/",$C602&lt;&gt;"",$F602&lt;&gt;""),COUNTIFS($C$2:$C602,$C602,$B$2:$B602,"SBA 26/*",$F$2:$F602,"&lt;&gt;"),"")</f>
        <v>1</v>
      </c>
      <c r="AB602" s="29">
        <f>IF(AA602=1,COUNTIF($AA$2:AA602,1),"")</f>
        <v>302</v>
      </c>
    </row>
    <row r="603" spans="1:28" ht="110.25" customHeight="1" x14ac:dyDescent="0.2">
      <c r="A603" s="43" t="s">
        <v>2827</v>
      </c>
      <c r="B603" s="43" t="s">
        <v>2828</v>
      </c>
      <c r="C603" s="44" t="s">
        <v>2829</v>
      </c>
      <c r="D603" s="44" t="s">
        <v>222</v>
      </c>
      <c r="E603" s="45" t="s">
        <v>2830</v>
      </c>
      <c r="F603" s="45" t="s">
        <v>2831</v>
      </c>
      <c r="G603" s="46" t="s">
        <v>38</v>
      </c>
      <c r="H603" s="48">
        <v>46216</v>
      </c>
      <c r="I603" s="48">
        <v>46224</v>
      </c>
      <c r="J603" s="44" t="s">
        <v>108</v>
      </c>
      <c r="K603" s="44" t="s">
        <v>100</v>
      </c>
      <c r="L603" s="50" t="s">
        <v>77</v>
      </c>
      <c r="M603" s="50"/>
      <c r="N603" s="50"/>
      <c r="O603" s="49"/>
      <c r="P603" s="50" t="str">
        <f t="shared" si="36"/>
        <v>ONAY</v>
      </c>
      <c r="R603" s="51" t="str">
        <f t="shared" si="37"/>
        <v/>
      </c>
      <c r="T603" s="41"/>
      <c r="U603" s="29">
        <f>IF($C603&lt;&gt;"",COUNTIF($C$2:C603,C603),"")</f>
        <v>1</v>
      </c>
      <c r="V603" s="29" t="str">
        <f t="shared" si="38"/>
        <v>Doç. Dr. Ülkühan ÖZTOPRAK§1</v>
      </c>
      <c r="W603" s="29">
        <f>IF(U603=1,COUNTIF($U$2:U603,1),"")</f>
        <v>303</v>
      </c>
      <c r="X603" s="29">
        <f t="shared" si="39"/>
        <v>103</v>
      </c>
      <c r="Y603" s="29">
        <f>IF(AND(LEFT($B603,7)="SBA 26/",$D603&lt;&gt;"",$F603&lt;&gt;""),COUNTIFS($D$2:$D603,$D603,$B$2:$B603,"SBA 26/*",$F$2:$F603,"&lt;&gt;"),"")</f>
        <v>96</v>
      </c>
      <c r="Z603" s="29" t="str">
        <f>IF(Y603=1,COUNTIF($Y$2:Y603,1),"")</f>
        <v/>
      </c>
      <c r="AA603" s="29">
        <f>IF(AND(LEFT($B603,7)="SBA 26/",$C603&lt;&gt;"",$F603&lt;&gt;""),COUNTIFS($C$2:$C603,$C603,$B$2:$B603,"SBA 26/*",$F$2:$F603,"&lt;&gt;"),"")</f>
        <v>1</v>
      </c>
      <c r="AB603" s="29">
        <f>IF(AA603=1,COUNTIF($AA$2:AA603,1),"")</f>
        <v>303</v>
      </c>
    </row>
    <row r="604" spans="1:28" ht="78.75" customHeight="1" x14ac:dyDescent="0.2">
      <c r="A604" s="43" t="s">
        <v>2832</v>
      </c>
      <c r="B604" s="43" t="s">
        <v>2833</v>
      </c>
      <c r="C604" s="44" t="s">
        <v>2537</v>
      </c>
      <c r="D604" s="44" t="s">
        <v>222</v>
      </c>
      <c r="E604" s="45" t="s">
        <v>2834</v>
      </c>
      <c r="F604" s="45" t="s">
        <v>2835</v>
      </c>
      <c r="G604" s="46" t="s">
        <v>38</v>
      </c>
      <c r="H604" s="48">
        <v>46216</v>
      </c>
      <c r="I604" s="48">
        <v>46224</v>
      </c>
      <c r="J604" s="44" t="s">
        <v>100</v>
      </c>
      <c r="K604" s="44" t="s">
        <v>99</v>
      </c>
      <c r="L604" s="50" t="s">
        <v>77</v>
      </c>
      <c r="M604" s="50"/>
      <c r="N604" s="50"/>
      <c r="O604" s="49"/>
      <c r="P604" s="50" t="str">
        <f t="shared" si="36"/>
        <v>ONAY</v>
      </c>
      <c r="R604" s="51" t="str">
        <f t="shared" si="37"/>
        <v/>
      </c>
      <c r="T604" s="41"/>
      <c r="U604" s="29">
        <f>IF($C604&lt;&gt;"",COUNTIF($C$2:C604,C604),"")</f>
        <v>2</v>
      </c>
      <c r="V604" s="29" t="str">
        <f t="shared" si="38"/>
        <v>Arş. Gör. Dr. Eymen YILMAZ§2</v>
      </c>
      <c r="W604" s="29" t="str">
        <f>IF(U604=1,COUNTIF($U$2:U604,1),"")</f>
        <v/>
      </c>
      <c r="X604" s="29" t="str">
        <f t="shared" si="39"/>
        <v/>
      </c>
      <c r="Y604" s="29">
        <f>IF(AND(LEFT($B604,7)="SBA 26/",$D604&lt;&gt;"",$F604&lt;&gt;""),COUNTIFS($D$2:$D604,$D604,$B$2:$B604,"SBA 26/*",$F$2:$F604,"&lt;&gt;"),"")</f>
        <v>97</v>
      </c>
      <c r="Z604" s="29" t="str">
        <f>IF(Y604=1,COUNTIF($Y$2:Y604,1),"")</f>
        <v/>
      </c>
      <c r="AA604" s="29">
        <f>IF(AND(LEFT($B604,7)="SBA 26/",$C604&lt;&gt;"",$F604&lt;&gt;""),COUNTIFS($C$2:$C604,$C604,$B$2:$B604,"SBA 26/*",$F$2:$F604,"&lt;&gt;"),"")</f>
        <v>2</v>
      </c>
      <c r="AB604" s="29" t="str">
        <f>IF(AA604=1,COUNTIF($AA$2:AA604,1),"")</f>
        <v/>
      </c>
    </row>
    <row r="605" spans="1:28" ht="78.75" customHeight="1" x14ac:dyDescent="0.2">
      <c r="A605" s="43" t="s">
        <v>2836</v>
      </c>
      <c r="B605" s="43" t="s">
        <v>2837</v>
      </c>
      <c r="C605" s="44" t="s">
        <v>116</v>
      </c>
      <c r="D605" s="44" t="s">
        <v>662</v>
      </c>
      <c r="E605" s="45" t="s">
        <v>2838</v>
      </c>
      <c r="F605" s="45" t="s">
        <v>2839</v>
      </c>
      <c r="G605" s="46" t="s">
        <v>40</v>
      </c>
      <c r="H605" s="48">
        <v>46216</v>
      </c>
      <c r="I605" s="48">
        <v>46224</v>
      </c>
      <c r="J605" s="44" t="s">
        <v>99</v>
      </c>
      <c r="K605" s="44" t="s">
        <v>92</v>
      </c>
      <c r="L605" s="50" t="s">
        <v>77</v>
      </c>
      <c r="M605" s="50"/>
      <c r="N605" s="50"/>
      <c r="O605" s="49"/>
      <c r="P605" s="50" t="str">
        <f t="shared" si="36"/>
        <v>ONAY</v>
      </c>
      <c r="R605" s="51" t="str">
        <f t="shared" si="37"/>
        <v/>
      </c>
      <c r="T605" s="41"/>
      <c r="U605" s="29">
        <f>IF($C605&lt;&gt;"",COUNTIF($C$2:C605,C605),"")</f>
        <v>3</v>
      </c>
      <c r="V605" s="29" t="str">
        <f t="shared" si="38"/>
        <v>Prof. Dr. Ayşe KİN İŞLER§3</v>
      </c>
      <c r="W605" s="29" t="str">
        <f>IF(U605=1,COUNTIF($U$2:U605,1),"")</f>
        <v/>
      </c>
      <c r="X605" s="29" t="str">
        <f t="shared" si="39"/>
        <v/>
      </c>
      <c r="Y605" s="29">
        <f>IF(AND(LEFT($B605,7)="SBA 26/",$D605&lt;&gt;"",$F605&lt;&gt;""),COUNTIFS($D$2:$D605,$D605,$B$2:$B605,"SBA 26/*",$F$2:$F605,"&lt;&gt;"),"")</f>
        <v>4</v>
      </c>
      <c r="Z605" s="29" t="str">
        <f>IF(Y605=1,COUNTIF($Y$2:Y605,1),"")</f>
        <v/>
      </c>
      <c r="AA605" s="29">
        <f>IF(AND(LEFT($B605,7)="SBA 26/",$C605&lt;&gt;"",$F605&lt;&gt;""),COUNTIFS($C$2:$C605,$C605,$B$2:$B605,"SBA 26/*",$F$2:$F605,"&lt;&gt;"),"")</f>
        <v>3</v>
      </c>
      <c r="AB605" s="29" t="str">
        <f>IF(AA605=1,COUNTIF($AA$2:AA605,1),"")</f>
        <v/>
      </c>
    </row>
    <row r="606" spans="1:28" ht="78.75" customHeight="1" x14ac:dyDescent="0.2">
      <c r="A606" s="43" t="s">
        <v>2840</v>
      </c>
      <c r="B606" s="43" t="s">
        <v>2841</v>
      </c>
      <c r="C606" s="44" t="s">
        <v>116</v>
      </c>
      <c r="D606" s="44" t="s">
        <v>662</v>
      </c>
      <c r="E606" s="45" t="s">
        <v>2842</v>
      </c>
      <c r="F606" s="45" t="s">
        <v>2843</v>
      </c>
      <c r="G606" s="46" t="s">
        <v>40</v>
      </c>
      <c r="H606" s="48">
        <v>46216</v>
      </c>
      <c r="I606" s="48">
        <v>46224</v>
      </c>
      <c r="J606" s="44" t="s">
        <v>99</v>
      </c>
      <c r="K606" s="44" t="s">
        <v>92</v>
      </c>
      <c r="L606" s="50" t="s">
        <v>77</v>
      </c>
      <c r="M606" s="50"/>
      <c r="N606" s="50"/>
      <c r="O606" s="49"/>
      <c r="P606" s="50" t="str">
        <f t="shared" si="36"/>
        <v>ONAY</v>
      </c>
      <c r="R606" s="51" t="str">
        <f t="shared" si="37"/>
        <v/>
      </c>
      <c r="T606" s="41"/>
      <c r="U606" s="29">
        <f>IF($C606&lt;&gt;"",COUNTIF($C$2:C606,C606),"")</f>
        <v>4</v>
      </c>
      <c r="V606" s="29" t="str">
        <f t="shared" si="38"/>
        <v>Prof. Dr. Ayşe KİN İŞLER§4</v>
      </c>
      <c r="W606" s="29" t="str">
        <f>IF(U606=1,COUNTIF($U$2:U606,1),"")</f>
        <v/>
      </c>
      <c r="X606" s="29" t="str">
        <f t="shared" si="39"/>
        <v/>
      </c>
      <c r="Y606" s="29">
        <f>IF(AND(LEFT($B606,7)="SBA 26/",$D606&lt;&gt;"",$F606&lt;&gt;""),COUNTIFS($D$2:$D606,$D606,$B$2:$B606,"SBA 26/*",$F$2:$F606,"&lt;&gt;"),"")</f>
        <v>5</v>
      </c>
      <c r="Z606" s="29" t="str">
        <f>IF(Y606=1,COUNTIF($Y$2:Y606,1),"")</f>
        <v/>
      </c>
      <c r="AA606" s="29">
        <f>IF(AND(LEFT($B606,7)="SBA 26/",$C606&lt;&gt;"",$F606&lt;&gt;""),COUNTIFS($C$2:$C606,$C606,$B$2:$B606,"SBA 26/*",$F$2:$F606,"&lt;&gt;"),"")</f>
        <v>4</v>
      </c>
      <c r="AB606" s="29" t="str">
        <f>IF(AA606=1,COUNTIF($AA$2:AA606,1),"")</f>
        <v/>
      </c>
    </row>
    <row r="607" spans="1:28" ht="63" customHeight="1" x14ac:dyDescent="0.2">
      <c r="A607" s="43" t="s">
        <v>2844</v>
      </c>
      <c r="B607" s="43" t="s">
        <v>2845</v>
      </c>
      <c r="C607" s="44" t="s">
        <v>439</v>
      </c>
      <c r="D607" s="44" t="s">
        <v>187</v>
      </c>
      <c r="E607" s="45" t="s">
        <v>2846</v>
      </c>
      <c r="F607" s="45" t="s">
        <v>2847</v>
      </c>
      <c r="G607" s="46" t="s">
        <v>38</v>
      </c>
      <c r="H607" s="48">
        <v>46216</v>
      </c>
      <c r="I607" s="48">
        <v>46224</v>
      </c>
      <c r="J607" s="44" t="s">
        <v>108</v>
      </c>
      <c r="K607" s="44" t="s">
        <v>129</v>
      </c>
      <c r="L607" s="50" t="s">
        <v>77</v>
      </c>
      <c r="M607" s="50"/>
      <c r="N607" s="50"/>
      <c r="O607" s="49"/>
      <c r="P607" s="50" t="str">
        <f t="shared" si="36"/>
        <v>ONAY</v>
      </c>
      <c r="R607" s="51" t="str">
        <f t="shared" si="37"/>
        <v/>
      </c>
      <c r="T607" s="41"/>
      <c r="U607" s="29">
        <f>IF($C607&lt;&gt;"",COUNTIF($C$2:C607,C607),"")</f>
        <v>3</v>
      </c>
      <c r="V607" s="29" t="str">
        <f t="shared" si="38"/>
        <v>Dr. Öğr. Üyesi Serkan UYSAL§3</v>
      </c>
      <c r="W607" s="29" t="str">
        <f>IF(U607=1,COUNTIF($U$2:U607,1),"")</f>
        <v/>
      </c>
      <c r="X607" s="29" t="str">
        <f t="shared" si="39"/>
        <v/>
      </c>
      <c r="Y607" s="29">
        <f>IF(AND(LEFT($B607,7)="SBA 26/",$D607&lt;&gt;"",$F607&lt;&gt;""),COUNTIFS($D$2:$D607,$D607,$B$2:$B607,"SBA 26/*",$F$2:$F607,"&lt;&gt;"),"")</f>
        <v>4</v>
      </c>
      <c r="Z607" s="29" t="str">
        <f>IF(Y607=1,COUNTIF($Y$2:Y607,1),"")</f>
        <v/>
      </c>
      <c r="AA607" s="29">
        <f>IF(AND(LEFT($B607,7)="SBA 26/",$C607&lt;&gt;"",$F607&lt;&gt;""),COUNTIFS($C$2:$C607,$C607,$B$2:$B607,"SBA 26/*",$F$2:$F607,"&lt;&gt;"),"")</f>
        <v>3</v>
      </c>
      <c r="AB607" s="29" t="str">
        <f>IF(AA607=1,COUNTIF($AA$2:AA607,1),"")</f>
        <v/>
      </c>
    </row>
    <row r="608" spans="1:28" ht="63" customHeight="1" x14ac:dyDescent="0.2">
      <c r="A608" s="43" t="s">
        <v>2848</v>
      </c>
      <c r="B608" s="43" t="s">
        <v>2849</v>
      </c>
      <c r="C608" s="44" t="s">
        <v>439</v>
      </c>
      <c r="D608" s="44" t="s">
        <v>187</v>
      </c>
      <c r="E608" s="45" t="s">
        <v>2846</v>
      </c>
      <c r="F608" s="45" t="s">
        <v>2850</v>
      </c>
      <c r="G608" s="46" t="s">
        <v>38</v>
      </c>
      <c r="H608" s="48">
        <v>46216</v>
      </c>
      <c r="I608" s="48">
        <v>46224</v>
      </c>
      <c r="J608" s="44" t="s">
        <v>91</v>
      </c>
      <c r="K608" s="44" t="s">
        <v>100</v>
      </c>
      <c r="L608" s="50" t="s">
        <v>77</v>
      </c>
      <c r="M608" s="50"/>
      <c r="N608" s="50"/>
      <c r="O608" s="49"/>
      <c r="P608" s="50" t="str">
        <f t="shared" si="36"/>
        <v>ONAY</v>
      </c>
      <c r="R608" s="51" t="str">
        <f t="shared" si="37"/>
        <v/>
      </c>
      <c r="T608" s="41"/>
      <c r="U608" s="29">
        <f>IF($C608&lt;&gt;"",COUNTIF($C$2:C608,C608),"")</f>
        <v>4</v>
      </c>
      <c r="V608" s="29" t="str">
        <f t="shared" si="38"/>
        <v>Dr. Öğr. Üyesi Serkan UYSAL§4</v>
      </c>
      <c r="W608" s="29" t="str">
        <f>IF(U608=1,COUNTIF($U$2:U608,1),"")</f>
        <v/>
      </c>
      <c r="X608" s="29" t="str">
        <f t="shared" si="39"/>
        <v/>
      </c>
      <c r="Y608" s="29">
        <f>IF(AND(LEFT($B608,7)="SBA 26/",$D608&lt;&gt;"",$F608&lt;&gt;""),COUNTIFS($D$2:$D608,$D608,$B$2:$B608,"SBA 26/*",$F$2:$F608,"&lt;&gt;"),"")</f>
        <v>5</v>
      </c>
      <c r="Z608" s="29" t="str">
        <f>IF(Y608=1,COUNTIF($Y$2:Y608,1),"")</f>
        <v/>
      </c>
      <c r="AA608" s="29">
        <f>IF(AND(LEFT($B608,7)="SBA 26/",$C608&lt;&gt;"",$F608&lt;&gt;""),COUNTIFS($C$2:$C608,$C608,$B$2:$B608,"SBA 26/*",$F$2:$F608,"&lt;&gt;"),"")</f>
        <v>4</v>
      </c>
      <c r="AB608" s="29" t="str">
        <f>IF(AA608=1,COUNTIF($AA$2:AA608,1),"")</f>
        <v/>
      </c>
    </row>
    <row r="609" spans="1:28" ht="78.75" customHeight="1" x14ac:dyDescent="0.2">
      <c r="A609" s="43" t="s">
        <v>2851</v>
      </c>
      <c r="B609" s="43" t="s">
        <v>2852</v>
      </c>
      <c r="C609" s="44" t="s">
        <v>697</v>
      </c>
      <c r="D609" s="44" t="s">
        <v>698</v>
      </c>
      <c r="E609" s="45" t="s">
        <v>2853</v>
      </c>
      <c r="F609" s="45" t="s">
        <v>2854</v>
      </c>
      <c r="G609" s="46" t="s">
        <v>40</v>
      </c>
      <c r="H609" s="48">
        <v>46216</v>
      </c>
      <c r="I609" s="48">
        <v>46224</v>
      </c>
      <c r="J609" s="44" t="s">
        <v>75</v>
      </c>
      <c r="K609" s="44" t="s">
        <v>76</v>
      </c>
      <c r="L609" s="50" t="s">
        <v>101</v>
      </c>
      <c r="M609" s="50"/>
      <c r="N609" s="50"/>
      <c r="O609" s="49"/>
      <c r="P609" s="50" t="str">
        <f t="shared" si="36"/>
        <v>DÜZELTME</v>
      </c>
      <c r="R609" s="51" t="str">
        <f t="shared" si="37"/>
        <v/>
      </c>
      <c r="T609" s="41"/>
      <c r="U609" s="29">
        <f>IF($C609&lt;&gt;"",COUNTIF($C$2:C609,C609),"")</f>
        <v>2</v>
      </c>
      <c r="V609" s="29" t="str">
        <f t="shared" si="38"/>
        <v>Prof. Dr. Rıza Köksal ÖZGÜL§2</v>
      </c>
      <c r="W609" s="29" t="str">
        <f>IF(U609=1,COUNTIF($U$2:U609,1),"")</f>
        <v/>
      </c>
      <c r="X609" s="29" t="str">
        <f t="shared" si="39"/>
        <v/>
      </c>
      <c r="Y609" s="29">
        <f>IF(AND(LEFT($B609,7)="SBA 26/",$D609&lt;&gt;"",$F609&lt;&gt;""),COUNTIFS($D$2:$D609,$D609,$B$2:$B609,"SBA 26/*",$F$2:$F609,"&lt;&gt;"),"")</f>
        <v>3</v>
      </c>
      <c r="Z609" s="29" t="str">
        <f>IF(Y609=1,COUNTIF($Y$2:Y609,1),"")</f>
        <v/>
      </c>
      <c r="AA609" s="29">
        <f>IF(AND(LEFT($B609,7)="SBA 26/",$C609&lt;&gt;"",$F609&lt;&gt;""),COUNTIFS($C$2:$C609,$C609,$B$2:$B609,"SBA 26/*",$F$2:$F609,"&lt;&gt;"),"")</f>
        <v>2</v>
      </c>
      <c r="AB609" s="29" t="str">
        <f>IF(AA609=1,COUNTIF($AA$2:AA609,1),"")</f>
        <v/>
      </c>
    </row>
    <row r="610" spans="1:28" ht="78.75" customHeight="1" x14ac:dyDescent="0.2">
      <c r="A610" s="43" t="s">
        <v>2855</v>
      </c>
      <c r="B610" s="43" t="s">
        <v>2856</v>
      </c>
      <c r="C610" s="44" t="s">
        <v>2857</v>
      </c>
      <c r="D610" s="44" t="s">
        <v>222</v>
      </c>
      <c r="E610" s="45" t="s">
        <v>2858</v>
      </c>
      <c r="F610" s="45" t="s">
        <v>2859</v>
      </c>
      <c r="G610" s="46" t="s">
        <v>38</v>
      </c>
      <c r="H610" s="48">
        <v>46217</v>
      </c>
      <c r="I610" s="48">
        <v>46224</v>
      </c>
      <c r="J610" s="44" t="s">
        <v>76</v>
      </c>
      <c r="K610" s="44" t="s">
        <v>116</v>
      </c>
      <c r="L610" s="50" t="s">
        <v>77</v>
      </c>
      <c r="M610" s="50"/>
      <c r="N610" s="50"/>
      <c r="O610" s="49"/>
      <c r="P610" s="50" t="str">
        <f t="shared" si="36"/>
        <v>ONAY</v>
      </c>
      <c r="R610" s="51" t="str">
        <f t="shared" si="37"/>
        <v/>
      </c>
      <c r="T610" s="41"/>
      <c r="U610" s="29">
        <f>IF($C610&lt;&gt;"",COUNTIF($C$2:C610,C610),"")</f>
        <v>1</v>
      </c>
      <c r="V610" s="29" t="str">
        <f t="shared" si="38"/>
        <v>Dr. Öğr. Üyesi Eylem Şerife KALKAN§1</v>
      </c>
      <c r="W610" s="29">
        <f>IF(U610=1,COUNTIF($U$2:U610,1),"")</f>
        <v>304</v>
      </c>
      <c r="X610" s="29">
        <f t="shared" si="39"/>
        <v>130</v>
      </c>
      <c r="Y610" s="29">
        <f>IF(AND(LEFT($B610,7)="SBA 26/",$D610&lt;&gt;"",$F610&lt;&gt;""),COUNTIFS($D$2:$D610,$D610,$B$2:$B610,"SBA 26/*",$F$2:$F610,"&lt;&gt;"),"")</f>
        <v>98</v>
      </c>
      <c r="Z610" s="29" t="str">
        <f>IF(Y610=1,COUNTIF($Y$2:Y610,1),"")</f>
        <v/>
      </c>
      <c r="AA610" s="29">
        <f>IF(AND(LEFT($B610,7)="SBA 26/",$C610&lt;&gt;"",$F610&lt;&gt;""),COUNTIFS($C$2:$C610,$C610,$B$2:$B610,"SBA 26/*",$F$2:$F610,"&lt;&gt;"),"")</f>
        <v>1</v>
      </c>
      <c r="AB610" s="29">
        <f>IF(AA610=1,COUNTIF($AA$2:AA610,1),"")</f>
        <v>304</v>
      </c>
    </row>
    <row r="611" spans="1:28" ht="63" customHeight="1" x14ac:dyDescent="0.2">
      <c r="A611" s="43" t="s">
        <v>2860</v>
      </c>
      <c r="B611" s="43" t="s">
        <v>2861</v>
      </c>
      <c r="C611" s="44" t="s">
        <v>144</v>
      </c>
      <c r="D611" s="44" t="s">
        <v>113</v>
      </c>
      <c r="E611" s="45" t="s">
        <v>2862</v>
      </c>
      <c r="F611" s="45" t="s">
        <v>2863</v>
      </c>
      <c r="G611" s="46" t="s">
        <v>38</v>
      </c>
      <c r="H611" s="48">
        <v>46217</v>
      </c>
      <c r="I611" s="48">
        <v>46224</v>
      </c>
      <c r="J611" s="44" t="s">
        <v>84</v>
      </c>
      <c r="K611" s="44" t="s">
        <v>129</v>
      </c>
      <c r="L611" s="50" t="s">
        <v>101</v>
      </c>
      <c r="M611" s="50"/>
      <c r="N611" s="50"/>
      <c r="O611" s="49"/>
      <c r="P611" s="50" t="str">
        <f t="shared" si="36"/>
        <v>DÜZELTME</v>
      </c>
      <c r="R611" s="51" t="str">
        <f t="shared" si="37"/>
        <v/>
      </c>
      <c r="T611" s="41"/>
      <c r="U611" s="29">
        <f>IF($C611&lt;&gt;"",COUNTIF($C$2:C611,C611),"")</f>
        <v>4</v>
      </c>
      <c r="V611" s="29" t="str">
        <f t="shared" si="38"/>
        <v>Prof. Dr. Ömer KARADAĞ§4</v>
      </c>
      <c r="W611" s="29" t="str">
        <f>IF(U611=1,COUNTIF($U$2:U611,1),"")</f>
        <v/>
      </c>
      <c r="X611" s="29" t="str">
        <f t="shared" si="39"/>
        <v/>
      </c>
      <c r="Y611" s="29">
        <f>IF(AND(LEFT($B611,7)="SBA 26/",$D611&lt;&gt;"",$F611&lt;&gt;""),COUNTIFS($D$2:$D611,$D611,$B$2:$B611,"SBA 26/*",$F$2:$F611,"&lt;&gt;"),"")</f>
        <v>101</v>
      </c>
      <c r="Z611" s="29" t="str">
        <f>IF(Y611=1,COUNTIF($Y$2:Y611,1),"")</f>
        <v/>
      </c>
      <c r="AA611" s="29">
        <f>IF(AND(LEFT($B611,7)="SBA 26/",$C611&lt;&gt;"",$F611&lt;&gt;""),COUNTIFS($C$2:$C611,$C611,$B$2:$B611,"SBA 26/*",$F$2:$F611,"&lt;&gt;"),"")</f>
        <v>4</v>
      </c>
      <c r="AB611" s="29" t="str">
        <f>IF(AA611=1,COUNTIF($AA$2:AA611,1),"")</f>
        <v/>
      </c>
    </row>
    <row r="612" spans="1:28" ht="63" customHeight="1" x14ac:dyDescent="0.2">
      <c r="A612" s="43" t="s">
        <v>2864</v>
      </c>
      <c r="B612" s="43" t="s">
        <v>2865</v>
      </c>
      <c r="C612" s="44" t="s">
        <v>1796</v>
      </c>
      <c r="D612" s="44" t="s">
        <v>113</v>
      </c>
      <c r="E612" s="45" t="s">
        <v>2866</v>
      </c>
      <c r="F612" s="45" t="s">
        <v>2867</v>
      </c>
      <c r="G612" s="46" t="s">
        <v>38</v>
      </c>
      <c r="H612" s="48">
        <v>46217</v>
      </c>
      <c r="I612" s="48">
        <v>46224</v>
      </c>
      <c r="J612" s="44" t="s">
        <v>84</v>
      </c>
      <c r="K612" s="44" t="s">
        <v>129</v>
      </c>
      <c r="L612" s="50" t="s">
        <v>101</v>
      </c>
      <c r="M612" s="50"/>
      <c r="N612" s="50"/>
      <c r="O612" s="49"/>
      <c r="P612" s="50" t="str">
        <f t="shared" si="36"/>
        <v>DÜZELTME</v>
      </c>
      <c r="R612" s="51" t="str">
        <f t="shared" si="37"/>
        <v/>
      </c>
      <c r="T612" s="41"/>
      <c r="U612" s="29">
        <f>IF($C612&lt;&gt;"",COUNTIF($C$2:C612,C612),"")</f>
        <v>4</v>
      </c>
      <c r="V612" s="29" t="str">
        <f t="shared" si="38"/>
        <v>Prof. Dr. Umut KALYONCU§4</v>
      </c>
      <c r="W612" s="29" t="str">
        <f>IF(U612=1,COUNTIF($U$2:U612,1),"")</f>
        <v/>
      </c>
      <c r="X612" s="29" t="str">
        <f t="shared" si="39"/>
        <v/>
      </c>
      <c r="Y612" s="29">
        <f>IF(AND(LEFT($B612,7)="SBA 26/",$D612&lt;&gt;"",$F612&lt;&gt;""),COUNTIFS($D$2:$D612,$D612,$B$2:$B612,"SBA 26/*",$F$2:$F612,"&lt;&gt;"),"")</f>
        <v>102</v>
      </c>
      <c r="Z612" s="29" t="str">
        <f>IF(Y612=1,COUNTIF($Y$2:Y612,1),"")</f>
        <v/>
      </c>
      <c r="AA612" s="29">
        <f>IF(AND(LEFT($B612,7)="SBA 26/",$C612&lt;&gt;"",$F612&lt;&gt;""),COUNTIFS($C$2:$C612,$C612,$B$2:$B612,"SBA 26/*",$F$2:$F612,"&lt;&gt;"),"")</f>
        <v>4</v>
      </c>
      <c r="AB612" s="29" t="str">
        <f>IF(AA612=1,COUNTIF($AA$2:AA612,1),"")</f>
        <v/>
      </c>
    </row>
    <row r="613" spans="1:28" ht="78.75" customHeight="1" x14ac:dyDescent="0.2">
      <c r="A613" s="43" t="s">
        <v>2868</v>
      </c>
      <c r="B613" s="43" t="s">
        <v>2869</v>
      </c>
      <c r="C613" s="44" t="s">
        <v>2870</v>
      </c>
      <c r="D613" s="44" t="s">
        <v>2871</v>
      </c>
      <c r="E613" s="45" t="s">
        <v>2872</v>
      </c>
      <c r="F613" s="45" t="s">
        <v>2873</v>
      </c>
      <c r="G613" s="46" t="s">
        <v>38</v>
      </c>
      <c r="H613" s="48">
        <v>46217</v>
      </c>
      <c r="I613" s="48">
        <v>46224</v>
      </c>
      <c r="J613" s="44" t="s">
        <v>109</v>
      </c>
      <c r="K613" s="44" t="s">
        <v>75</v>
      </c>
      <c r="L613" s="50" t="s">
        <v>153</v>
      </c>
      <c r="M613" s="50"/>
      <c r="N613" s="50"/>
      <c r="O613" s="49"/>
      <c r="P613" s="50" t="str">
        <f t="shared" si="36"/>
        <v>KAPSAM DIŞI</v>
      </c>
      <c r="R613" s="51" t="str">
        <f t="shared" si="37"/>
        <v/>
      </c>
      <c r="T613" s="41"/>
      <c r="U613" s="29">
        <f>IF($C613&lt;&gt;"",COUNTIF($C$2:C613,C613),"")</f>
        <v>1</v>
      </c>
      <c r="V613" s="29" t="str">
        <f t="shared" si="38"/>
        <v>Dr. Öğr. Üyesi Gülden OLGUN§1</v>
      </c>
      <c r="W613" s="29">
        <f>IF(U613=1,COUNTIF($U$2:U613,1),"")</f>
        <v>305</v>
      </c>
      <c r="X613" s="29">
        <f t="shared" si="39"/>
        <v>138</v>
      </c>
      <c r="Y613" s="29">
        <f>IF(AND(LEFT($B613,7)="SBA 26/",$D613&lt;&gt;"",$F613&lt;&gt;""),COUNTIFS($D$2:$D613,$D613,$B$2:$B613,"SBA 26/*",$F$2:$F613,"&lt;&gt;"),"")</f>
        <v>1</v>
      </c>
      <c r="Z613" s="29">
        <f>IF(Y613=1,COUNTIF($Y$2:Y613,1),"")</f>
        <v>77</v>
      </c>
      <c r="AA613" s="29">
        <f>IF(AND(LEFT($B613,7)="SBA 26/",$C613&lt;&gt;"",$F613&lt;&gt;""),COUNTIFS($C$2:$C613,$C613,$B$2:$B613,"SBA 26/*",$F$2:$F613,"&lt;&gt;"),"")</f>
        <v>1</v>
      </c>
      <c r="AB613" s="29">
        <f>IF(AA613=1,COUNTIF($AA$2:AA613,1),"")</f>
        <v>305</v>
      </c>
    </row>
    <row r="614" spans="1:28" ht="78.75" customHeight="1" x14ac:dyDescent="0.2">
      <c r="A614" s="43" t="s">
        <v>2874</v>
      </c>
      <c r="B614" s="43" t="s">
        <v>2875</v>
      </c>
      <c r="C614" s="44" t="s">
        <v>379</v>
      </c>
      <c r="D614" s="44" t="s">
        <v>222</v>
      </c>
      <c r="E614" s="45" t="s">
        <v>2876</v>
      </c>
      <c r="F614" s="45" t="s">
        <v>2877</v>
      </c>
      <c r="G614" s="46" t="s">
        <v>38</v>
      </c>
      <c r="H614" s="48">
        <v>46217</v>
      </c>
      <c r="I614" s="48">
        <v>46224</v>
      </c>
      <c r="J614" s="44" t="s">
        <v>76</v>
      </c>
      <c r="K614" s="44" t="s">
        <v>116</v>
      </c>
      <c r="L614" s="50" t="s">
        <v>77</v>
      </c>
      <c r="M614" s="50"/>
      <c r="N614" s="50"/>
      <c r="O614" s="49"/>
      <c r="P614" s="50" t="str">
        <f t="shared" si="36"/>
        <v>ONAY</v>
      </c>
      <c r="R614" s="51" t="str">
        <f t="shared" si="37"/>
        <v/>
      </c>
      <c r="T614" s="41"/>
      <c r="U614" s="29">
        <f>IF($C614&lt;&gt;"",COUNTIF($C$2:C614,C614),"")</f>
        <v>8</v>
      </c>
      <c r="V614" s="29" t="str">
        <f t="shared" si="38"/>
        <v>Prof. Dr. Deniz ÇAĞDAŞ AYVAZ§8</v>
      </c>
      <c r="W614" s="29" t="str">
        <f>IF(U614=1,COUNTIF($U$2:U614,1),"")</f>
        <v/>
      </c>
      <c r="X614" s="29" t="str">
        <f t="shared" si="39"/>
        <v/>
      </c>
      <c r="Y614" s="29">
        <f>IF(AND(LEFT($B614,7)="SBA 26/",$D614&lt;&gt;"",$F614&lt;&gt;""),COUNTIFS($D$2:$D614,$D614,$B$2:$B614,"SBA 26/*",$F$2:$F614,"&lt;&gt;"),"")</f>
        <v>99</v>
      </c>
      <c r="Z614" s="29" t="str">
        <f>IF(Y614=1,COUNTIF($Y$2:Y614,1),"")</f>
        <v/>
      </c>
      <c r="AA614" s="29">
        <f>IF(AND(LEFT($B614,7)="SBA 26/",$C614&lt;&gt;"",$F614&lt;&gt;""),COUNTIFS($C$2:$C614,$C614,$B$2:$B614,"SBA 26/*",$F$2:$F614,"&lt;&gt;"),"")</f>
        <v>8</v>
      </c>
      <c r="AB614" s="29" t="str">
        <f>IF(AA614=1,COUNTIF($AA$2:AA614,1),"")</f>
        <v/>
      </c>
    </row>
    <row r="615" spans="1:28" ht="63" customHeight="1" x14ac:dyDescent="0.2">
      <c r="A615" s="43" t="s">
        <v>2878</v>
      </c>
      <c r="B615" s="43" t="s">
        <v>2879</v>
      </c>
      <c r="C615" s="44" t="s">
        <v>2880</v>
      </c>
      <c r="D615" s="44" t="s">
        <v>113</v>
      </c>
      <c r="E615" s="45" t="s">
        <v>2881</v>
      </c>
      <c r="F615" s="45" t="s">
        <v>2882</v>
      </c>
      <c r="G615" s="46" t="s">
        <v>38</v>
      </c>
      <c r="H615" s="48">
        <v>46217</v>
      </c>
      <c r="I615" s="48">
        <v>46224</v>
      </c>
      <c r="J615" s="44" t="s">
        <v>129</v>
      </c>
      <c r="K615" s="44" t="s">
        <v>84</v>
      </c>
      <c r="L615" s="50" t="s">
        <v>77</v>
      </c>
      <c r="M615" s="50"/>
      <c r="N615" s="50"/>
      <c r="O615" s="49"/>
      <c r="P615" s="50" t="str">
        <f t="shared" si="36"/>
        <v>ONAY</v>
      </c>
      <c r="R615" s="51" t="str">
        <f t="shared" si="37"/>
        <v/>
      </c>
      <c r="T615" s="41"/>
      <c r="U615" s="29">
        <f>IF($C615&lt;&gt;"",COUNTIF($C$2:C615,C615),"")</f>
        <v>1</v>
      </c>
      <c r="V615" s="29" t="str">
        <f t="shared" si="38"/>
        <v>Arş. Gör. Dr. Kadir İNTAŞ§1</v>
      </c>
      <c r="W615" s="29">
        <f>IF(U615=1,COUNTIF($U$2:U615,1),"")</f>
        <v>306</v>
      </c>
      <c r="X615" s="29">
        <f t="shared" si="39"/>
        <v>5</v>
      </c>
      <c r="Y615" s="29">
        <f>IF(AND(LEFT($B615,7)="SBA 26/",$D615&lt;&gt;"",$F615&lt;&gt;""),COUNTIFS($D$2:$D615,$D615,$B$2:$B615,"SBA 26/*",$F$2:$F615,"&lt;&gt;"),"")</f>
        <v>103</v>
      </c>
      <c r="Z615" s="29" t="str">
        <f>IF(Y615=1,COUNTIF($Y$2:Y615,1),"")</f>
        <v/>
      </c>
      <c r="AA615" s="29">
        <f>IF(AND(LEFT($B615,7)="SBA 26/",$C615&lt;&gt;"",$F615&lt;&gt;""),COUNTIFS($C$2:$C615,$C615,$B$2:$B615,"SBA 26/*",$F$2:$F615,"&lt;&gt;"),"")</f>
        <v>1</v>
      </c>
      <c r="AB615" s="29">
        <f>IF(AA615=1,COUNTIF($AA$2:AA615,1),"")</f>
        <v>306</v>
      </c>
    </row>
    <row r="616" spans="1:28" ht="78.75" customHeight="1" x14ac:dyDescent="0.2">
      <c r="A616" s="43" t="s">
        <v>2883</v>
      </c>
      <c r="B616" s="43" t="s">
        <v>2884</v>
      </c>
      <c r="C616" s="44" t="s">
        <v>2885</v>
      </c>
      <c r="D616" s="44" t="s">
        <v>662</v>
      </c>
      <c r="E616" s="45" t="s">
        <v>2886</v>
      </c>
      <c r="F616" s="45" t="s">
        <v>2887</v>
      </c>
      <c r="G616" s="46" t="s">
        <v>40</v>
      </c>
      <c r="H616" s="48">
        <v>46217</v>
      </c>
      <c r="I616" s="48">
        <v>46224</v>
      </c>
      <c r="J616" s="44" t="s">
        <v>116</v>
      </c>
      <c r="K616" s="44" t="s">
        <v>99</v>
      </c>
      <c r="L616" s="50" t="s">
        <v>77</v>
      </c>
      <c r="M616" s="50"/>
      <c r="N616" s="50"/>
      <c r="O616" s="49"/>
      <c r="P616" s="50" t="str">
        <f t="shared" si="36"/>
        <v>ONAY</v>
      </c>
      <c r="R616" s="51" t="str">
        <f t="shared" si="37"/>
        <v/>
      </c>
      <c r="T616" s="41"/>
      <c r="U616" s="29">
        <f>IF($C616&lt;&gt;"",COUNTIF($C$2:C616,C616),"")</f>
        <v>1</v>
      </c>
      <c r="V616" s="29" t="str">
        <f t="shared" si="38"/>
        <v>Prof. Dr. Şükrü Alpan CİNEMRE§1</v>
      </c>
      <c r="W616" s="29">
        <f>IF(U616=1,COUNTIF($U$2:U616,1),"")</f>
        <v>307</v>
      </c>
      <c r="X616" s="29">
        <f t="shared" si="39"/>
        <v>319</v>
      </c>
      <c r="Y616" s="29">
        <f>IF(AND(LEFT($B616,7)="SBA 26/",$D616&lt;&gt;"",$F616&lt;&gt;""),COUNTIFS($D$2:$D616,$D616,$B$2:$B616,"SBA 26/*",$F$2:$F616,"&lt;&gt;"),"")</f>
        <v>6</v>
      </c>
      <c r="Z616" s="29" t="str">
        <f>IF(Y616=1,COUNTIF($Y$2:Y616,1),"")</f>
        <v/>
      </c>
      <c r="AA616" s="29">
        <f>IF(AND(LEFT($B616,7)="SBA 26/",$C616&lt;&gt;"",$F616&lt;&gt;""),COUNTIFS($C$2:$C616,$C616,$B$2:$B616,"SBA 26/*",$F$2:$F616,"&lt;&gt;"),"")</f>
        <v>1</v>
      </c>
      <c r="AB616" s="29">
        <f>IF(AA616=1,COUNTIF($AA$2:AA616,1),"")</f>
        <v>307</v>
      </c>
    </row>
    <row r="617" spans="1:28" ht="78.75" customHeight="1" x14ac:dyDescent="0.2">
      <c r="A617" s="43" t="s">
        <v>2888</v>
      </c>
      <c r="B617" s="43" t="s">
        <v>2889</v>
      </c>
      <c r="C617" s="44" t="s">
        <v>757</v>
      </c>
      <c r="D617" s="44" t="s">
        <v>397</v>
      </c>
      <c r="E617" s="45" t="s">
        <v>2890</v>
      </c>
      <c r="F617" s="45" t="s">
        <v>2891</v>
      </c>
      <c r="G617" s="46" t="s">
        <v>39</v>
      </c>
      <c r="H617" s="48">
        <v>46217</v>
      </c>
      <c r="I617" s="48">
        <v>46224</v>
      </c>
      <c r="J617" s="44" t="s">
        <v>109</v>
      </c>
      <c r="K617" s="44" t="s">
        <v>100</v>
      </c>
      <c r="L617" s="50" t="s">
        <v>206</v>
      </c>
      <c r="M617" s="50" t="s">
        <v>218</v>
      </c>
      <c r="N617" s="50"/>
      <c r="O617" s="49"/>
      <c r="P617" s="50" t="str">
        <f t="shared" si="36"/>
        <v>KAEK</v>
      </c>
      <c r="R617" s="51" t="str">
        <f t="shared" si="37"/>
        <v/>
      </c>
      <c r="T617" s="41"/>
      <c r="U617" s="29">
        <f>IF($C617&lt;&gt;"",COUNTIF($C$2:C617,C617),"")</f>
        <v>2</v>
      </c>
      <c r="V617" s="29" t="str">
        <f t="shared" si="38"/>
        <v>Prof. Dr. Aygin EKİNCİOĞLU§2</v>
      </c>
      <c r="W617" s="29" t="str">
        <f>IF(U617=1,COUNTIF($U$2:U617,1),"")</f>
        <v/>
      </c>
      <c r="X617" s="29" t="str">
        <f t="shared" si="39"/>
        <v/>
      </c>
      <c r="Y617" s="29">
        <f>IF(AND(LEFT($B617,7)="SBA 26/",$D617&lt;&gt;"",$F617&lt;&gt;""),COUNTIFS($D$2:$D617,$D617,$B$2:$B617,"SBA 26/*",$F$2:$F617,"&lt;&gt;"),"")</f>
        <v>16</v>
      </c>
      <c r="Z617" s="29" t="str">
        <f>IF(Y617=1,COUNTIF($Y$2:Y617,1),"")</f>
        <v/>
      </c>
      <c r="AA617" s="29">
        <f>IF(AND(LEFT($B617,7)="SBA 26/",$C617&lt;&gt;"",$F617&lt;&gt;""),COUNTIFS($C$2:$C617,$C617,$B$2:$B617,"SBA 26/*",$F$2:$F617,"&lt;&gt;"),"")</f>
        <v>2</v>
      </c>
      <c r="AB617" s="29" t="str">
        <f>IF(AA617=1,COUNTIF($AA$2:AA617,1),"")</f>
        <v/>
      </c>
    </row>
    <row r="618" spans="1:28" ht="78.75" customHeight="1" x14ac:dyDescent="0.2">
      <c r="A618" s="43" t="s">
        <v>2892</v>
      </c>
      <c r="B618" s="43" t="s">
        <v>2893</v>
      </c>
      <c r="C618" s="44" t="s">
        <v>396</v>
      </c>
      <c r="D618" s="44" t="s">
        <v>397</v>
      </c>
      <c r="E618" s="45" t="s">
        <v>2894</v>
      </c>
      <c r="F618" s="45" t="s">
        <v>2895</v>
      </c>
      <c r="G618" s="46" t="s">
        <v>39</v>
      </c>
      <c r="H618" s="48">
        <v>46217</v>
      </c>
      <c r="I618" s="48">
        <v>46224</v>
      </c>
      <c r="J618" s="44" t="s">
        <v>109</v>
      </c>
      <c r="K618" s="44" t="s">
        <v>100</v>
      </c>
      <c r="L618" s="50" t="s">
        <v>101</v>
      </c>
      <c r="M618" s="50" t="s">
        <v>77</v>
      </c>
      <c r="N618" s="50"/>
      <c r="O618" s="49"/>
      <c r="P618" s="50" t="str">
        <f t="shared" si="36"/>
        <v>ONAY</v>
      </c>
      <c r="Q618" s="28" t="s">
        <v>109</v>
      </c>
      <c r="R618" s="51" t="str">
        <f t="shared" si="37"/>
        <v/>
      </c>
      <c r="T618" s="41"/>
      <c r="U618" s="29">
        <f>IF($C618&lt;&gt;"",COUNTIF($C$2:C618,C618),"")</f>
        <v>8</v>
      </c>
      <c r="V618" s="29" t="str">
        <f t="shared" si="38"/>
        <v>Prof. Dr. Salih Kutay DEMİRKAN§8</v>
      </c>
      <c r="W618" s="29" t="str">
        <f>IF(U618=1,COUNTIF($U$2:U618,1),"")</f>
        <v/>
      </c>
      <c r="X618" s="29" t="str">
        <f t="shared" si="39"/>
        <v/>
      </c>
      <c r="Y618" s="29">
        <f>IF(AND(LEFT($B618,7)="SBA 26/",$D618&lt;&gt;"",$F618&lt;&gt;""),COUNTIFS($D$2:$D618,$D618,$B$2:$B618,"SBA 26/*",$F$2:$F618,"&lt;&gt;"),"")</f>
        <v>17</v>
      </c>
      <c r="Z618" s="29" t="str">
        <f>IF(Y618=1,COUNTIF($Y$2:Y618,1),"")</f>
        <v/>
      </c>
      <c r="AA618" s="29">
        <f>IF(AND(LEFT($B618,7)="SBA 26/",$C618&lt;&gt;"",$F618&lt;&gt;""),COUNTIFS($C$2:$C618,$C618,$B$2:$B618,"SBA 26/*",$F$2:$F618,"&lt;&gt;"),"")</f>
        <v>8</v>
      </c>
      <c r="AB618" s="29" t="str">
        <f>IF(AA618=1,COUNTIF($AA$2:AA618,1),"")</f>
        <v/>
      </c>
    </row>
    <row r="619" spans="1:28" ht="78.75" customHeight="1" x14ac:dyDescent="0.2">
      <c r="A619" s="43" t="s">
        <v>2896</v>
      </c>
      <c r="B619" s="43" t="s">
        <v>2897</v>
      </c>
      <c r="C619" s="44" t="s">
        <v>2588</v>
      </c>
      <c r="D619" s="44" t="s">
        <v>222</v>
      </c>
      <c r="E619" s="45" t="s">
        <v>2898</v>
      </c>
      <c r="F619" s="45" t="s">
        <v>2899</v>
      </c>
      <c r="G619" s="46" t="s">
        <v>38</v>
      </c>
      <c r="H619" s="48">
        <v>46217</v>
      </c>
      <c r="I619" s="48">
        <v>46224</v>
      </c>
      <c r="J619" s="44" t="s">
        <v>92</v>
      </c>
      <c r="K619" s="44" t="s">
        <v>76</v>
      </c>
      <c r="L619" s="50" t="s">
        <v>77</v>
      </c>
      <c r="M619" s="50"/>
      <c r="N619" s="50"/>
      <c r="O619" s="49"/>
      <c r="P619" s="50" t="str">
        <f t="shared" si="36"/>
        <v>ONAY</v>
      </c>
      <c r="R619" s="51" t="str">
        <f t="shared" si="37"/>
        <v/>
      </c>
      <c r="T619" s="41"/>
      <c r="U619" s="29">
        <f>IF($C619&lt;&gt;"",COUNTIF($C$2:C619,C619),"")</f>
        <v>3</v>
      </c>
      <c r="V619" s="29" t="str">
        <f t="shared" si="38"/>
        <v>Doç. Dr. Melike OCAK§3</v>
      </c>
      <c r="W619" s="29" t="str">
        <f>IF(U619=1,COUNTIF($U$2:U619,1),"")</f>
        <v/>
      </c>
      <c r="X619" s="29" t="str">
        <f t="shared" si="39"/>
        <v/>
      </c>
      <c r="Y619" s="29">
        <f>IF(AND(LEFT($B619,7)="SBA 26/",$D619&lt;&gt;"",$F619&lt;&gt;""),COUNTIFS($D$2:$D619,$D619,$B$2:$B619,"SBA 26/*",$F$2:$F619,"&lt;&gt;"),"")</f>
        <v>100</v>
      </c>
      <c r="Z619" s="29" t="str">
        <f>IF(Y619=1,COUNTIF($Y$2:Y619,1),"")</f>
        <v/>
      </c>
      <c r="AA619" s="29">
        <f>IF(AND(LEFT($B619,7)="SBA 26/",$C619&lt;&gt;"",$F619&lt;&gt;""),COUNTIFS($C$2:$C619,$C619,$B$2:$B619,"SBA 26/*",$F$2:$F619,"&lt;&gt;"),"")</f>
        <v>3</v>
      </c>
      <c r="AB619" s="29" t="str">
        <f>IF(AA619=1,COUNTIF($AA$2:AA619,1),"")</f>
        <v/>
      </c>
    </row>
    <row r="620" spans="1:28" ht="78.75" customHeight="1" x14ac:dyDescent="0.2">
      <c r="A620" s="43" t="s">
        <v>2900</v>
      </c>
      <c r="B620" s="43" t="s">
        <v>2901</v>
      </c>
      <c r="C620" s="44" t="s">
        <v>419</v>
      </c>
      <c r="D620" s="44" t="s">
        <v>397</v>
      </c>
      <c r="E620" s="45" t="s">
        <v>2902</v>
      </c>
      <c r="F620" s="45" t="s">
        <v>2903</v>
      </c>
      <c r="G620" s="46" t="s">
        <v>40</v>
      </c>
      <c r="H620" s="48">
        <v>46217</v>
      </c>
      <c r="I620" s="48">
        <v>46224</v>
      </c>
      <c r="J620" s="44" t="s">
        <v>109</v>
      </c>
      <c r="K620" s="44" t="s">
        <v>84</v>
      </c>
      <c r="L620" s="50" t="s">
        <v>101</v>
      </c>
      <c r="M620" s="50"/>
      <c r="N620" s="50"/>
      <c r="O620" s="49"/>
      <c r="P620" s="50" t="str">
        <f t="shared" si="36"/>
        <v>DÜZELTME</v>
      </c>
      <c r="R620" s="51" t="str">
        <f t="shared" si="37"/>
        <v/>
      </c>
      <c r="T620" s="41"/>
      <c r="U620" s="29">
        <f>IF($C620&lt;&gt;"",COUNTIF($C$2:C620,C620),"")</f>
        <v>5</v>
      </c>
      <c r="V620" s="29" t="str">
        <f t="shared" si="38"/>
        <v>Dr. Öğr. Üyesi Burcu KELLECİ ÇAKIR§5</v>
      </c>
      <c r="W620" s="29" t="str">
        <f>IF(U620=1,COUNTIF($U$2:U620,1),"")</f>
        <v/>
      </c>
      <c r="X620" s="29" t="str">
        <f t="shared" si="39"/>
        <v/>
      </c>
      <c r="Y620" s="29">
        <f>IF(AND(LEFT($B620,7)="SBA 26/",$D620&lt;&gt;"",$F620&lt;&gt;""),COUNTIFS($D$2:$D620,$D620,$B$2:$B620,"SBA 26/*",$F$2:$F620,"&lt;&gt;"),"")</f>
        <v>18</v>
      </c>
      <c r="Z620" s="29" t="str">
        <f>IF(Y620=1,COUNTIF($Y$2:Y620,1),"")</f>
        <v/>
      </c>
      <c r="AA620" s="29">
        <f>IF(AND(LEFT($B620,7)="SBA 26/",$C620&lt;&gt;"",$F620&lt;&gt;""),COUNTIFS($C$2:$C620,$C620,$B$2:$B620,"SBA 26/*",$F$2:$F620,"&lt;&gt;"),"")</f>
        <v>5</v>
      </c>
      <c r="AB620" s="29" t="str">
        <f>IF(AA620=1,COUNTIF($AA$2:AA620,1),"")</f>
        <v/>
      </c>
    </row>
    <row r="621" spans="1:28" ht="78.75" customHeight="1" x14ac:dyDescent="0.2">
      <c r="A621" s="43" t="s">
        <v>2904</v>
      </c>
      <c r="B621" s="43" t="s">
        <v>2905</v>
      </c>
      <c r="C621" s="44" t="s">
        <v>379</v>
      </c>
      <c r="D621" s="44" t="s">
        <v>222</v>
      </c>
      <c r="E621" s="45" t="s">
        <v>2906</v>
      </c>
      <c r="F621" s="45" t="s">
        <v>2907</v>
      </c>
      <c r="G621" s="46" t="s">
        <v>38</v>
      </c>
      <c r="H621" s="48">
        <v>46217</v>
      </c>
      <c r="I621" s="48">
        <v>46224</v>
      </c>
      <c r="J621" s="44" t="s">
        <v>109</v>
      </c>
      <c r="K621" s="44" t="s">
        <v>99</v>
      </c>
      <c r="L621" s="50" t="s">
        <v>77</v>
      </c>
      <c r="M621" s="50"/>
      <c r="N621" s="50"/>
      <c r="O621" s="49"/>
      <c r="P621" s="50" t="str">
        <f t="shared" si="36"/>
        <v>ONAY</v>
      </c>
      <c r="R621" s="51" t="str">
        <f t="shared" si="37"/>
        <v/>
      </c>
      <c r="T621" s="41"/>
      <c r="U621" s="29">
        <f>IF($C621&lt;&gt;"",COUNTIF($C$2:C621,C621),"")</f>
        <v>9</v>
      </c>
      <c r="V621" s="29" t="str">
        <f t="shared" si="38"/>
        <v>Prof. Dr. Deniz ÇAĞDAŞ AYVAZ§9</v>
      </c>
      <c r="W621" s="29" t="str">
        <f>IF(U621=1,COUNTIF($U$2:U621,1),"")</f>
        <v/>
      </c>
      <c r="X621" s="29" t="str">
        <f t="shared" si="39"/>
        <v/>
      </c>
      <c r="Y621" s="29">
        <f>IF(AND(LEFT($B621,7)="SBA 26/",$D621&lt;&gt;"",$F621&lt;&gt;""),COUNTIFS($D$2:$D621,$D621,$B$2:$B621,"SBA 26/*",$F$2:$F621,"&lt;&gt;"),"")</f>
        <v>101</v>
      </c>
      <c r="Z621" s="29" t="str">
        <f>IF(Y621=1,COUNTIF($Y$2:Y621,1),"")</f>
        <v/>
      </c>
      <c r="AA621" s="29">
        <f>IF(AND(LEFT($B621,7)="SBA 26/",$C621&lt;&gt;"",$F621&lt;&gt;""),COUNTIFS($C$2:$C621,$C621,$B$2:$B621,"SBA 26/*",$F$2:$F621,"&lt;&gt;"),"")</f>
        <v>9</v>
      </c>
      <c r="AB621" s="29" t="str">
        <f>IF(AA621=1,COUNTIF($AA$2:AA621,1),"")</f>
        <v/>
      </c>
    </row>
    <row r="622" spans="1:28" ht="78.75" customHeight="1" x14ac:dyDescent="0.2">
      <c r="A622" s="43" t="s">
        <v>2908</v>
      </c>
      <c r="B622" s="43" t="s">
        <v>2909</v>
      </c>
      <c r="C622" s="44" t="s">
        <v>776</v>
      </c>
      <c r="D622" s="44" t="s">
        <v>291</v>
      </c>
      <c r="E622" s="45" t="s">
        <v>2910</v>
      </c>
      <c r="F622" s="45" t="s">
        <v>2911</v>
      </c>
      <c r="G622" s="46" t="s">
        <v>38</v>
      </c>
      <c r="H622" s="48">
        <v>46217</v>
      </c>
      <c r="I622" s="48">
        <v>46224</v>
      </c>
      <c r="J622" s="44" t="s">
        <v>91</v>
      </c>
      <c r="K622" s="44" t="s">
        <v>108</v>
      </c>
      <c r="L622" s="50" t="s">
        <v>101</v>
      </c>
      <c r="M622" s="50" t="s">
        <v>77</v>
      </c>
      <c r="N622" s="50"/>
      <c r="O622" s="49"/>
      <c r="P622" s="50" t="str">
        <f t="shared" si="36"/>
        <v>ONAY</v>
      </c>
      <c r="Q622" s="28" t="s">
        <v>108</v>
      </c>
      <c r="R622" s="51" t="str">
        <f t="shared" si="37"/>
        <v/>
      </c>
      <c r="T622" s="41"/>
      <c r="U622" s="29">
        <f>IF($C622&lt;&gt;"",COUNTIF($C$2:C622,C622),"")</f>
        <v>2</v>
      </c>
      <c r="V622" s="29" t="str">
        <f t="shared" si="38"/>
        <v>Dr. Öğr. Üyesi Ergin EROĞLU§2</v>
      </c>
      <c r="W622" s="29" t="str">
        <f>IF(U622=1,COUNTIF($U$2:U622,1),"")</f>
        <v/>
      </c>
      <c r="X622" s="29" t="str">
        <f t="shared" si="39"/>
        <v/>
      </c>
      <c r="Y622" s="29">
        <f>IF(AND(LEFT($B622,7)="SBA 26/",$D622&lt;&gt;"",$F622&lt;&gt;""),COUNTIFS($D$2:$D622,$D622,$B$2:$B622,"SBA 26/*",$F$2:$F622,"&lt;&gt;"),"")</f>
        <v>12</v>
      </c>
      <c r="Z622" s="29" t="str">
        <f>IF(Y622=1,COUNTIF($Y$2:Y622,1),"")</f>
        <v/>
      </c>
      <c r="AA622" s="29">
        <f>IF(AND(LEFT($B622,7)="SBA 26/",$C622&lt;&gt;"",$F622&lt;&gt;""),COUNTIFS($C$2:$C622,$C622,$B$2:$B622,"SBA 26/*",$F$2:$F622,"&lt;&gt;"),"")</f>
        <v>2</v>
      </c>
      <c r="AB622" s="29" t="str">
        <f>IF(AA622=1,COUNTIF($AA$2:AA622,1),"")</f>
        <v/>
      </c>
    </row>
    <row r="623" spans="1:28" ht="94.5" customHeight="1" x14ac:dyDescent="0.2">
      <c r="A623" s="43" t="s">
        <v>2912</v>
      </c>
      <c r="B623" s="43" t="s">
        <v>2913</v>
      </c>
      <c r="C623" s="44" t="s">
        <v>1260</v>
      </c>
      <c r="D623" s="44" t="s">
        <v>181</v>
      </c>
      <c r="E623" s="45" t="s">
        <v>2914</v>
      </c>
      <c r="F623" s="45" t="s">
        <v>2915</v>
      </c>
      <c r="G623" s="46" t="s">
        <v>38</v>
      </c>
      <c r="H623" s="48">
        <v>46217</v>
      </c>
      <c r="I623" s="48">
        <v>46224</v>
      </c>
      <c r="J623" s="44" t="s">
        <v>129</v>
      </c>
      <c r="K623" s="44" t="s">
        <v>108</v>
      </c>
      <c r="L623" s="50" t="s">
        <v>77</v>
      </c>
      <c r="M623" s="50"/>
      <c r="N623" s="50"/>
      <c r="O623" s="49"/>
      <c r="P623" s="50" t="str">
        <f t="shared" si="36"/>
        <v>ONAY</v>
      </c>
      <c r="R623" s="51" t="str">
        <f t="shared" si="37"/>
        <v/>
      </c>
      <c r="T623" s="41"/>
      <c r="U623" s="29">
        <f>IF($C623&lt;&gt;"",COUNTIF($C$2:C623,C623),"")</f>
        <v>2</v>
      </c>
      <c r="V623" s="29" t="str">
        <f t="shared" si="38"/>
        <v>Prof. Dr. Seda Banu AKINCI§2</v>
      </c>
      <c r="W623" s="29" t="str">
        <f>IF(U623=1,COUNTIF($U$2:U623,1),"")</f>
        <v/>
      </c>
      <c r="X623" s="29" t="str">
        <f t="shared" si="39"/>
        <v/>
      </c>
      <c r="Y623" s="29">
        <f>IF(AND(LEFT($B623,7)="SBA 26/",$D623&lt;&gt;"",$F623&lt;&gt;""),COUNTIFS($D$2:$D623,$D623,$B$2:$B623,"SBA 26/*",$F$2:$F623,"&lt;&gt;"),"")</f>
        <v>10</v>
      </c>
      <c r="Z623" s="29" t="str">
        <f>IF(Y623=1,COUNTIF($Y$2:Y623,1),"")</f>
        <v/>
      </c>
      <c r="AA623" s="29">
        <f>IF(AND(LEFT($B623,7)="SBA 26/",$C623&lt;&gt;"",$F623&lt;&gt;""),COUNTIFS($C$2:$C623,$C623,$B$2:$B623,"SBA 26/*",$F$2:$F623,"&lt;&gt;"),"")</f>
        <v>2</v>
      </c>
      <c r="AB623" s="29" t="str">
        <f>IF(AA623=1,COUNTIF($AA$2:AA623,1),"")</f>
        <v/>
      </c>
    </row>
    <row r="624" spans="1:28" ht="78.75" customHeight="1" x14ac:dyDescent="0.2">
      <c r="A624" s="43" t="s">
        <v>2916</v>
      </c>
      <c r="B624" s="43" t="s">
        <v>2917</v>
      </c>
      <c r="C624" s="44" t="s">
        <v>2918</v>
      </c>
      <c r="D624" s="44" t="s">
        <v>88</v>
      </c>
      <c r="E624" s="45" t="s">
        <v>2919</v>
      </c>
      <c r="F624" s="45" t="s">
        <v>2920</v>
      </c>
      <c r="G624" s="46" t="s">
        <v>38</v>
      </c>
      <c r="H624" s="48">
        <v>46217</v>
      </c>
      <c r="I624" s="48">
        <v>46224</v>
      </c>
      <c r="J624" s="44" t="s">
        <v>75</v>
      </c>
      <c r="K624" s="44" t="s">
        <v>92</v>
      </c>
      <c r="L624" s="50" t="s">
        <v>101</v>
      </c>
      <c r="M624" s="50" t="s">
        <v>77</v>
      </c>
      <c r="N624" s="50"/>
      <c r="O624" s="49"/>
      <c r="P624" s="50" t="str">
        <f t="shared" si="36"/>
        <v>ONAY</v>
      </c>
      <c r="Q624" s="28" t="s">
        <v>75</v>
      </c>
      <c r="R624" s="51" t="str">
        <f t="shared" si="37"/>
        <v/>
      </c>
      <c r="T624" s="41"/>
      <c r="U624" s="29">
        <f>IF($C624&lt;&gt;"",COUNTIF($C$2:C624,C624),"")</f>
        <v>1</v>
      </c>
      <c r="V624" s="29" t="str">
        <f t="shared" si="38"/>
        <v>Doç. Dr. Ferdi ÇAY§1</v>
      </c>
      <c r="W624" s="29">
        <f>IF(U624=1,COUNTIF($U$2:U624,1),"")</f>
        <v>308</v>
      </c>
      <c r="X624" s="29">
        <f t="shared" si="39"/>
        <v>53</v>
      </c>
      <c r="Y624" s="29">
        <f>IF(AND(LEFT($B624,7)="SBA 26/",$D624&lt;&gt;"",$F624&lt;&gt;""),COUNTIFS($D$2:$D624,$D624,$B$2:$B624,"SBA 26/*",$F$2:$F624,"&lt;&gt;"),"")</f>
        <v>20</v>
      </c>
      <c r="Z624" s="29" t="str">
        <f>IF(Y624=1,COUNTIF($Y$2:Y624,1),"")</f>
        <v/>
      </c>
      <c r="AA624" s="29">
        <f>IF(AND(LEFT($B624,7)="SBA 26/",$C624&lt;&gt;"",$F624&lt;&gt;""),COUNTIFS($C$2:$C624,$C624,$B$2:$B624,"SBA 26/*",$F$2:$F624,"&lt;&gt;"),"")</f>
        <v>1</v>
      </c>
      <c r="AB624" s="29">
        <f>IF(AA624=1,COUNTIF($AA$2:AA624,1),"")</f>
        <v>308</v>
      </c>
    </row>
    <row r="625" spans="1:28" ht="63" customHeight="1" x14ac:dyDescent="0.2">
      <c r="A625" s="43" t="s">
        <v>2921</v>
      </c>
      <c r="B625" s="43" t="s">
        <v>2922</v>
      </c>
      <c r="C625" s="44" t="s">
        <v>2923</v>
      </c>
      <c r="D625" s="44" t="s">
        <v>291</v>
      </c>
      <c r="E625" s="45" t="s">
        <v>2924</v>
      </c>
      <c r="F625" s="45" t="s">
        <v>2925</v>
      </c>
      <c r="G625" s="46" t="s">
        <v>38</v>
      </c>
      <c r="H625" s="48">
        <v>46217</v>
      </c>
      <c r="I625" s="48">
        <v>46224</v>
      </c>
      <c r="J625" s="44" t="s">
        <v>91</v>
      </c>
      <c r="K625" s="44" t="s">
        <v>99</v>
      </c>
      <c r="L625" s="50" t="s">
        <v>101</v>
      </c>
      <c r="M625" s="50" t="s">
        <v>77</v>
      </c>
      <c r="N625" s="50"/>
      <c r="O625" s="49"/>
      <c r="P625" s="50" t="str">
        <f t="shared" si="36"/>
        <v>ONAY</v>
      </c>
      <c r="Q625" s="28" t="s">
        <v>99</v>
      </c>
      <c r="R625" s="51" t="str">
        <f t="shared" si="37"/>
        <v/>
      </c>
      <c r="T625" s="41"/>
      <c r="U625" s="29">
        <f>IF($C625&lt;&gt;"",COUNTIF($C$2:C625,C625),"")</f>
        <v>1</v>
      </c>
      <c r="V625" s="29" t="str">
        <f t="shared" si="38"/>
        <v>Doç. Dr. Ahmet Erim PAMUK§1</v>
      </c>
      <c r="W625" s="29">
        <f>IF(U625=1,COUNTIF($U$2:U625,1),"")</f>
        <v>309</v>
      </c>
      <c r="X625" s="29">
        <f t="shared" si="39"/>
        <v>15</v>
      </c>
      <c r="Y625" s="29">
        <f>IF(AND(LEFT($B625,7)="SBA 26/",$D625&lt;&gt;"",$F625&lt;&gt;""),COUNTIFS($D$2:$D625,$D625,$B$2:$B625,"SBA 26/*",$F$2:$F625,"&lt;&gt;"),"")</f>
        <v>13</v>
      </c>
      <c r="Z625" s="29" t="str">
        <f>IF(Y625=1,COUNTIF($Y$2:Y625,1),"")</f>
        <v/>
      </c>
      <c r="AA625" s="29">
        <f>IF(AND(LEFT($B625,7)="SBA 26/",$C625&lt;&gt;"",$F625&lt;&gt;""),COUNTIFS($C$2:$C625,$C625,$B$2:$B625,"SBA 26/*",$F$2:$F625,"&lt;&gt;"),"")</f>
        <v>1</v>
      </c>
      <c r="AB625" s="29">
        <f>IF(AA625=1,COUNTIF($AA$2:AA625,1),"")</f>
        <v>309</v>
      </c>
    </row>
    <row r="626" spans="1:28" ht="80.25" customHeight="1" x14ac:dyDescent="0.2">
      <c r="A626" s="43" t="s">
        <v>2926</v>
      </c>
      <c r="B626" s="43" t="s">
        <v>2927</v>
      </c>
      <c r="C626" s="44" t="s">
        <v>2343</v>
      </c>
      <c r="D626" s="44" t="s">
        <v>385</v>
      </c>
      <c r="E626" s="45" t="s">
        <v>2928</v>
      </c>
      <c r="F626" s="45" t="s">
        <v>2929</v>
      </c>
      <c r="G626" s="46" t="s">
        <v>38</v>
      </c>
      <c r="H626" s="48">
        <v>46217</v>
      </c>
      <c r="I626" s="48">
        <v>46224</v>
      </c>
      <c r="J626" s="44" t="s">
        <v>109</v>
      </c>
      <c r="K626" s="44" t="s">
        <v>76</v>
      </c>
      <c r="L626" s="50" t="s">
        <v>101</v>
      </c>
      <c r="M626" s="50"/>
      <c r="N626" s="50"/>
      <c r="O626" s="49"/>
      <c r="P626" s="50" t="str">
        <f t="shared" si="36"/>
        <v>DÜZELTME</v>
      </c>
      <c r="R626" s="51" t="str">
        <f t="shared" si="37"/>
        <v/>
      </c>
      <c r="T626" s="41"/>
      <c r="U626" s="29">
        <f>IF($C626&lt;&gt;"",COUNTIF($C$2:C626,C626),"")</f>
        <v>2</v>
      </c>
      <c r="V626" s="29" t="str">
        <f t="shared" si="38"/>
        <v>Prof. Dr. Saniye EKİNCİ§2</v>
      </c>
      <c r="W626" s="29" t="str">
        <f>IF(U626=1,COUNTIF($U$2:U626,1),"")</f>
        <v/>
      </c>
      <c r="X626" s="29" t="str">
        <f t="shared" si="39"/>
        <v/>
      </c>
      <c r="Y626" s="29">
        <f>IF(AND(LEFT($B626,7)="SBA 26/",$D626&lt;&gt;"",$F626&lt;&gt;""),COUNTIFS($D$2:$D626,$D626,$B$2:$B626,"SBA 26/*",$F$2:$F626,"&lt;&gt;"),"")</f>
        <v>13</v>
      </c>
      <c r="Z626" s="29" t="str">
        <f>IF(Y626=1,COUNTIF($Y$2:Y626,1),"")</f>
        <v/>
      </c>
      <c r="AA626" s="29">
        <f>IF(AND(LEFT($B626,7)="SBA 26/",$C626&lt;&gt;"",$F626&lt;&gt;""),COUNTIFS($C$2:$C626,$C626,$B$2:$B626,"SBA 26/*",$F$2:$F626,"&lt;&gt;"),"")</f>
        <v>2</v>
      </c>
      <c r="AB626" s="29" t="str">
        <f>IF(AA626=1,COUNTIF($AA$2:AA626,1),"")</f>
        <v/>
      </c>
    </row>
    <row r="627" spans="1:28" ht="78.75" customHeight="1" x14ac:dyDescent="0.2">
      <c r="A627" s="43" t="s">
        <v>2930</v>
      </c>
      <c r="B627" s="43" t="s">
        <v>2931</v>
      </c>
      <c r="C627" s="44" t="s">
        <v>112</v>
      </c>
      <c r="D627" s="44" t="s">
        <v>113</v>
      </c>
      <c r="E627" s="45" t="s">
        <v>2932</v>
      </c>
      <c r="F627" s="45" t="s">
        <v>2933</v>
      </c>
      <c r="G627" s="46" t="s">
        <v>38</v>
      </c>
      <c r="H627" s="48">
        <v>46217</v>
      </c>
      <c r="I627" s="48">
        <v>46224</v>
      </c>
      <c r="J627" s="44" t="s">
        <v>109</v>
      </c>
      <c r="K627" s="44" t="s">
        <v>116</v>
      </c>
      <c r="L627" s="50" t="s">
        <v>101</v>
      </c>
      <c r="M627" s="50" t="s">
        <v>77</v>
      </c>
      <c r="N627" s="50"/>
      <c r="O627" s="49"/>
      <c r="P627" s="50" t="str">
        <f t="shared" si="36"/>
        <v>ONAY</v>
      </c>
      <c r="Q627" s="28" t="s">
        <v>109</v>
      </c>
      <c r="R627" s="51" t="str">
        <f t="shared" si="37"/>
        <v/>
      </c>
      <c r="T627" s="41"/>
      <c r="U627" s="29">
        <f>IF($C627&lt;&gt;"",COUNTIF($C$2:C627,C627),"")</f>
        <v>17</v>
      </c>
      <c r="V627" s="29" t="str">
        <f t="shared" si="38"/>
        <v>Prof. Dr. Meltem Gülhan HALİL§17</v>
      </c>
      <c r="W627" s="29" t="str">
        <f>IF(U627=1,COUNTIF($U$2:U627,1),"")</f>
        <v/>
      </c>
      <c r="X627" s="29" t="str">
        <f t="shared" si="39"/>
        <v/>
      </c>
      <c r="Y627" s="29">
        <f>IF(AND(LEFT($B627,7)="SBA 26/",$D627&lt;&gt;"",$F627&lt;&gt;""),COUNTIFS($D$2:$D627,$D627,$B$2:$B627,"SBA 26/*",$F$2:$F627,"&lt;&gt;"),"")</f>
        <v>104</v>
      </c>
      <c r="Z627" s="29" t="str">
        <f>IF(Y627=1,COUNTIF($Y$2:Y627,1),"")</f>
        <v/>
      </c>
      <c r="AA627" s="29">
        <f>IF(AND(LEFT($B627,7)="SBA 26/",$C627&lt;&gt;"",$F627&lt;&gt;""),COUNTIFS($C$2:$C627,$C627,$B$2:$B627,"SBA 26/*",$F$2:$F627,"&lt;&gt;"),"")</f>
        <v>17</v>
      </c>
      <c r="AB627" s="29" t="str">
        <f>IF(AA627=1,COUNTIF($AA$2:AA627,1),"")</f>
        <v/>
      </c>
    </row>
    <row r="628" spans="1:28" ht="63" customHeight="1" x14ac:dyDescent="0.2">
      <c r="A628" s="43" t="s">
        <v>2934</v>
      </c>
      <c r="B628" s="43" t="s">
        <v>2935</v>
      </c>
      <c r="C628" s="44" t="s">
        <v>2936</v>
      </c>
      <c r="D628" s="44" t="s">
        <v>1896</v>
      </c>
      <c r="E628" s="45" t="s">
        <v>2937</v>
      </c>
      <c r="F628" s="45" t="s">
        <v>2938</v>
      </c>
      <c r="G628" s="46" t="s">
        <v>38</v>
      </c>
      <c r="H628" s="48">
        <v>46217</v>
      </c>
      <c r="I628" s="48">
        <v>46224</v>
      </c>
      <c r="J628" s="44" t="s">
        <v>116</v>
      </c>
      <c r="K628" s="44" t="s">
        <v>84</v>
      </c>
      <c r="L628" s="50" t="s">
        <v>77</v>
      </c>
      <c r="M628" s="50"/>
      <c r="N628" s="50"/>
      <c r="O628" s="49"/>
      <c r="P628" s="50" t="str">
        <f t="shared" si="36"/>
        <v>ONAY</v>
      </c>
      <c r="R628" s="51" t="str">
        <f t="shared" si="37"/>
        <v/>
      </c>
      <c r="T628" s="41"/>
      <c r="U628" s="29">
        <f>IF($C628&lt;&gt;"",COUNTIF($C$2:C628,C628),"")</f>
        <v>1</v>
      </c>
      <c r="V628" s="29" t="str">
        <f t="shared" si="38"/>
        <v>Doç. Dr. Yasemin GÜZEL§1</v>
      </c>
      <c r="W628" s="29">
        <f>IF(U628=1,COUNTIF($U$2:U628,1),"")</f>
        <v>310</v>
      </c>
      <c r="X628" s="29">
        <f t="shared" si="39"/>
        <v>104</v>
      </c>
      <c r="Y628" s="29">
        <f>IF(AND(LEFT($B628,7)="SBA 26/",$D628&lt;&gt;"",$F628&lt;&gt;""),COUNTIFS($D$2:$D628,$D628,$B$2:$B628,"SBA 26/*",$F$2:$F628,"&lt;&gt;"),"")</f>
        <v>2</v>
      </c>
      <c r="Z628" s="29" t="str">
        <f>IF(Y628=1,COUNTIF($Y$2:Y628,1),"")</f>
        <v/>
      </c>
      <c r="AA628" s="29">
        <f>IF(AND(LEFT($B628,7)="SBA 26/",$C628&lt;&gt;"",$F628&lt;&gt;""),COUNTIFS($C$2:$C628,$C628,$B$2:$B628,"SBA 26/*",$F$2:$F628,"&lt;&gt;"),"")</f>
        <v>1</v>
      </c>
      <c r="AB628" s="29">
        <f>IF(AA628=1,COUNTIF($AA$2:AA628,1),"")</f>
        <v>310</v>
      </c>
    </row>
    <row r="629" spans="1:28" ht="63" customHeight="1" x14ac:dyDescent="0.2">
      <c r="A629" s="43" t="s">
        <v>2939</v>
      </c>
      <c r="B629" s="43" t="s">
        <v>2940</v>
      </c>
      <c r="C629" s="44" t="s">
        <v>2941</v>
      </c>
      <c r="D629" s="44" t="s">
        <v>88</v>
      </c>
      <c r="E629" s="45" t="s">
        <v>2942</v>
      </c>
      <c r="F629" s="45" t="s">
        <v>2943</v>
      </c>
      <c r="G629" s="46" t="s">
        <v>38</v>
      </c>
      <c r="H629" s="48">
        <v>46217</v>
      </c>
      <c r="I629" s="48">
        <v>46224</v>
      </c>
      <c r="J629" s="44" t="s">
        <v>91</v>
      </c>
      <c r="K629" s="44" t="s">
        <v>76</v>
      </c>
      <c r="L629" s="50" t="s">
        <v>77</v>
      </c>
      <c r="M629" s="50"/>
      <c r="N629" s="50"/>
      <c r="O629" s="49"/>
      <c r="P629" s="50" t="str">
        <f t="shared" si="36"/>
        <v>ONAY</v>
      </c>
      <c r="R629" s="51" t="str">
        <f t="shared" si="37"/>
        <v/>
      </c>
      <c r="T629" s="41"/>
      <c r="U629" s="29">
        <f>IF($C629&lt;&gt;"",COUNTIF($C$2:C629,C629),"")</f>
        <v>1</v>
      </c>
      <c r="V629" s="29" t="str">
        <f t="shared" si="38"/>
        <v>Dr. Öğr. Üyesi Sinan BALCI§1</v>
      </c>
      <c r="W629" s="29">
        <f>IF(U629=1,COUNTIF($U$2:U629,1),"")</f>
        <v>311</v>
      </c>
      <c r="X629" s="29">
        <f t="shared" si="39"/>
        <v>161</v>
      </c>
      <c r="Y629" s="29">
        <f>IF(AND(LEFT($B629,7)="SBA 26/",$D629&lt;&gt;"",$F629&lt;&gt;""),COUNTIFS($D$2:$D629,$D629,$B$2:$B629,"SBA 26/*",$F$2:$F629,"&lt;&gt;"),"")</f>
        <v>21</v>
      </c>
      <c r="Z629" s="29" t="str">
        <f>IF(Y629=1,COUNTIF($Y$2:Y629,1),"")</f>
        <v/>
      </c>
      <c r="AA629" s="29">
        <f>IF(AND(LEFT($B629,7)="SBA 26/",$C629&lt;&gt;"",$F629&lt;&gt;""),COUNTIFS($C$2:$C629,$C629,$B$2:$B629,"SBA 26/*",$F$2:$F629,"&lt;&gt;"),"")</f>
        <v>1</v>
      </c>
      <c r="AB629" s="29">
        <f>IF(AA629=1,COUNTIF($AA$2:AA629,1),"")</f>
        <v>311</v>
      </c>
    </row>
    <row r="630" spans="1:28" ht="94.5" customHeight="1" x14ac:dyDescent="0.2">
      <c r="A630" s="43" t="s">
        <v>2944</v>
      </c>
      <c r="B630" s="43" t="s">
        <v>2945</v>
      </c>
      <c r="C630" s="44" t="s">
        <v>2946</v>
      </c>
      <c r="D630" s="44" t="s">
        <v>222</v>
      </c>
      <c r="E630" s="45" t="s">
        <v>2947</v>
      </c>
      <c r="F630" s="45" t="s">
        <v>2948</v>
      </c>
      <c r="G630" s="46" t="s">
        <v>38</v>
      </c>
      <c r="H630" s="48">
        <v>46217</v>
      </c>
      <c r="I630" s="48">
        <v>46224</v>
      </c>
      <c r="J630" s="44" t="s">
        <v>100</v>
      </c>
      <c r="K630" s="44" t="s">
        <v>92</v>
      </c>
      <c r="L630" s="50" t="s">
        <v>77</v>
      </c>
      <c r="M630" s="50"/>
      <c r="N630" s="50"/>
      <c r="O630" s="49"/>
      <c r="P630" s="50" t="str">
        <f t="shared" si="36"/>
        <v>ONAY</v>
      </c>
      <c r="R630" s="51" t="str">
        <f t="shared" si="37"/>
        <v/>
      </c>
      <c r="T630" s="41"/>
      <c r="U630" s="29">
        <f>IF($C630&lt;&gt;"",COUNTIF($C$2:C630,C630),"")</f>
        <v>1</v>
      </c>
      <c r="V630" s="29" t="str">
        <f t="shared" si="38"/>
        <v>Arş. Gör. Dr. Oğuzhan SERİN§1</v>
      </c>
      <c r="W630" s="29">
        <f>IF(U630=1,COUNTIF($U$2:U630,1),"")</f>
        <v>312</v>
      </c>
      <c r="X630" s="29">
        <f t="shared" si="39"/>
        <v>6</v>
      </c>
      <c r="Y630" s="29">
        <f>IF(AND(LEFT($B630,7)="SBA 26/",$D630&lt;&gt;"",$F630&lt;&gt;""),COUNTIFS($D$2:$D630,$D630,$B$2:$B630,"SBA 26/*",$F$2:$F630,"&lt;&gt;"),"")</f>
        <v>102</v>
      </c>
      <c r="Z630" s="29" t="str">
        <f>IF(Y630=1,COUNTIF($Y$2:Y630,1),"")</f>
        <v/>
      </c>
      <c r="AA630" s="29">
        <f>IF(AND(LEFT($B630,7)="SBA 26/",$C630&lt;&gt;"",$F630&lt;&gt;""),COUNTIFS($C$2:$C630,$C630,$B$2:$B630,"SBA 26/*",$F$2:$F630,"&lt;&gt;"),"")</f>
        <v>1</v>
      </c>
      <c r="AB630" s="29">
        <f>IF(AA630=1,COUNTIF($AA$2:AA630,1),"")</f>
        <v>312</v>
      </c>
    </row>
    <row r="631" spans="1:28" ht="63" customHeight="1" x14ac:dyDescent="0.2">
      <c r="A631" s="43" t="s">
        <v>2949</v>
      </c>
      <c r="B631" s="43" t="s">
        <v>2950</v>
      </c>
      <c r="C631" s="44" t="s">
        <v>2880</v>
      </c>
      <c r="D631" s="44" t="s">
        <v>113</v>
      </c>
      <c r="E631" s="45" t="s">
        <v>2881</v>
      </c>
      <c r="F631" s="45" t="s">
        <v>2951</v>
      </c>
      <c r="G631" s="46" t="s">
        <v>38</v>
      </c>
      <c r="H631" s="48">
        <v>46217</v>
      </c>
      <c r="I631" s="48">
        <v>46224</v>
      </c>
      <c r="J631" s="44" t="s">
        <v>108</v>
      </c>
      <c r="K631" s="44" t="s">
        <v>123</v>
      </c>
      <c r="L631" s="50" t="s">
        <v>77</v>
      </c>
      <c r="M631" s="50"/>
      <c r="N631" s="50"/>
      <c r="O631" s="49"/>
      <c r="P631" s="50" t="str">
        <f t="shared" si="36"/>
        <v>ONAY</v>
      </c>
      <c r="R631" s="51" t="str">
        <f t="shared" si="37"/>
        <v/>
      </c>
      <c r="T631" s="41"/>
      <c r="U631" s="29">
        <f>IF($C631&lt;&gt;"",COUNTIF($C$2:C631,C631),"")</f>
        <v>2</v>
      </c>
      <c r="V631" s="29" t="str">
        <f t="shared" si="38"/>
        <v>Arş. Gör. Dr. Kadir İNTAŞ§2</v>
      </c>
      <c r="W631" s="29" t="str">
        <f>IF(U631=1,COUNTIF($U$2:U631,1),"")</f>
        <v/>
      </c>
      <c r="X631" s="29" t="str">
        <f t="shared" si="39"/>
        <v/>
      </c>
      <c r="Y631" s="29">
        <f>IF(AND(LEFT($B631,7)="SBA 26/",$D631&lt;&gt;"",$F631&lt;&gt;""),COUNTIFS($D$2:$D631,$D631,$B$2:$B631,"SBA 26/*",$F$2:$F631,"&lt;&gt;"),"")</f>
        <v>105</v>
      </c>
      <c r="Z631" s="29" t="str">
        <f>IF(Y631=1,COUNTIF($Y$2:Y631,1),"")</f>
        <v/>
      </c>
      <c r="AA631" s="29">
        <f>IF(AND(LEFT($B631,7)="SBA 26/",$C631&lt;&gt;"",$F631&lt;&gt;""),COUNTIFS($C$2:$C631,$C631,$B$2:$B631,"SBA 26/*",$F$2:$F631,"&lt;&gt;"),"")</f>
        <v>2</v>
      </c>
      <c r="AB631" s="29" t="str">
        <f>IF(AA631=1,COUNTIF($AA$2:AA631,1),"")</f>
        <v/>
      </c>
    </row>
    <row r="632" spans="1:28" ht="110.25" customHeight="1" x14ac:dyDescent="0.2">
      <c r="A632" s="43" t="s">
        <v>2952</v>
      </c>
      <c r="B632" s="43" t="s">
        <v>2953</v>
      </c>
      <c r="C632" s="44" t="s">
        <v>1503</v>
      </c>
      <c r="D632" s="44" t="s">
        <v>222</v>
      </c>
      <c r="E632" s="45" t="s">
        <v>2954</v>
      </c>
      <c r="F632" s="45" t="s">
        <v>2955</v>
      </c>
      <c r="G632" s="46" t="s">
        <v>38</v>
      </c>
      <c r="H632" s="48">
        <v>46217</v>
      </c>
      <c r="I632" s="48">
        <v>46224</v>
      </c>
      <c r="J632" s="44" t="s">
        <v>100</v>
      </c>
      <c r="K632" s="44" t="s">
        <v>123</v>
      </c>
      <c r="L632" s="50" t="s">
        <v>218</v>
      </c>
      <c r="M632" s="50"/>
      <c r="N632" s="50"/>
      <c r="O632" s="49"/>
      <c r="P632" s="50" t="str">
        <f t="shared" si="36"/>
        <v>KAEK</v>
      </c>
      <c r="R632" s="51" t="str">
        <f t="shared" si="37"/>
        <v/>
      </c>
      <c r="T632" s="41"/>
      <c r="U632" s="29">
        <f>IF($C632&lt;&gt;"",COUNTIF($C$2:C632,C632),"")</f>
        <v>3</v>
      </c>
      <c r="V632" s="29" t="str">
        <f t="shared" si="38"/>
        <v>Prof. Dr. Sinem AKGÜL§3</v>
      </c>
      <c r="W632" s="29" t="str">
        <f>IF(U632=1,COUNTIF($U$2:U632,1),"")</f>
        <v/>
      </c>
      <c r="X632" s="29" t="str">
        <f t="shared" si="39"/>
        <v/>
      </c>
      <c r="Y632" s="29">
        <f>IF(AND(LEFT($B632,7)="SBA 26/",$D632&lt;&gt;"",$F632&lt;&gt;""),COUNTIFS($D$2:$D632,$D632,$B$2:$B632,"SBA 26/*",$F$2:$F632,"&lt;&gt;"),"")</f>
        <v>103</v>
      </c>
      <c r="Z632" s="29" t="str">
        <f>IF(Y632=1,COUNTIF($Y$2:Y632,1),"")</f>
        <v/>
      </c>
      <c r="AA632" s="29">
        <f>IF(AND(LEFT($B632,7)="SBA 26/",$C632&lt;&gt;"",$F632&lt;&gt;""),COUNTIFS($C$2:$C632,$C632,$B$2:$B632,"SBA 26/*",$F$2:$F632,"&lt;&gt;"),"")</f>
        <v>3</v>
      </c>
      <c r="AB632" s="29" t="str">
        <f>IF(AA632=1,COUNTIF($AA$2:AA632,1),"")</f>
        <v/>
      </c>
    </row>
    <row r="633" spans="1:28" ht="78.75" customHeight="1" x14ac:dyDescent="0.2">
      <c r="A633" s="43" t="s">
        <v>2956</v>
      </c>
      <c r="B633" s="43" t="s">
        <v>2957</v>
      </c>
      <c r="C633" s="44" t="s">
        <v>604</v>
      </c>
      <c r="D633" s="44" t="s">
        <v>215</v>
      </c>
      <c r="E633" s="45" t="s">
        <v>2958</v>
      </c>
      <c r="F633" s="45" t="s">
        <v>2959</v>
      </c>
      <c r="G633" s="46" t="s">
        <v>38</v>
      </c>
      <c r="H633" s="48">
        <v>46217</v>
      </c>
      <c r="I633" s="48">
        <v>46224</v>
      </c>
      <c r="J633" s="44" t="s">
        <v>123</v>
      </c>
      <c r="K633" s="44" t="s">
        <v>116</v>
      </c>
      <c r="L633" s="50" t="s">
        <v>77</v>
      </c>
      <c r="M633" s="50"/>
      <c r="N633" s="50"/>
      <c r="O633" s="49"/>
      <c r="P633" s="50" t="str">
        <f t="shared" si="36"/>
        <v>ONAY</v>
      </c>
      <c r="R633" s="51" t="str">
        <f t="shared" si="37"/>
        <v/>
      </c>
      <c r="T633" s="41"/>
      <c r="U633" s="29">
        <f>IF($C633&lt;&gt;"",COUNTIF($C$2:C633,C633),"")</f>
        <v>2</v>
      </c>
      <c r="V633" s="29" t="str">
        <f t="shared" si="38"/>
        <v>Prof. Dr. Hakan Hıfzı TÜZ§2</v>
      </c>
      <c r="W633" s="29" t="str">
        <f>IF(U633=1,COUNTIF($U$2:U633,1),"")</f>
        <v/>
      </c>
      <c r="X633" s="29" t="str">
        <f t="shared" si="39"/>
        <v/>
      </c>
      <c r="Y633" s="29">
        <f>IF(AND(LEFT($B633,7)="SBA 26/",$D633&lt;&gt;"",$F633&lt;&gt;""),COUNTIFS($D$2:$D633,$D633,$B$2:$B633,"SBA 26/*",$F$2:$F633,"&lt;&gt;"),"")</f>
        <v>10</v>
      </c>
      <c r="Z633" s="29" t="str">
        <f>IF(Y633=1,COUNTIF($Y$2:Y633,1),"")</f>
        <v/>
      </c>
      <c r="AA633" s="29">
        <f>IF(AND(LEFT($B633,7)="SBA 26/",$C633&lt;&gt;"",$F633&lt;&gt;""),COUNTIFS($C$2:$C633,$C633,$B$2:$B633,"SBA 26/*",$F$2:$F633,"&lt;&gt;"),"")</f>
        <v>2</v>
      </c>
      <c r="AB633" s="29" t="str">
        <f>IF(AA633=1,COUNTIF($AA$2:AA633,1),"")</f>
        <v/>
      </c>
    </row>
    <row r="634" spans="1:28" ht="94.5" customHeight="1" x14ac:dyDescent="0.2">
      <c r="A634" s="43" t="s">
        <v>2960</v>
      </c>
      <c r="B634" s="43" t="s">
        <v>2961</v>
      </c>
      <c r="C634" s="44" t="s">
        <v>2962</v>
      </c>
      <c r="D634" s="44" t="s">
        <v>120</v>
      </c>
      <c r="E634" s="45" t="s">
        <v>2963</v>
      </c>
      <c r="F634" s="45" t="s">
        <v>2964</v>
      </c>
      <c r="G634" s="46" t="s">
        <v>39</v>
      </c>
      <c r="H634" s="48">
        <v>46217</v>
      </c>
      <c r="I634" s="48">
        <v>46224</v>
      </c>
      <c r="J634" s="44" t="s">
        <v>123</v>
      </c>
      <c r="K634" s="44" t="s">
        <v>99</v>
      </c>
      <c r="L634" s="50" t="s">
        <v>77</v>
      </c>
      <c r="M634" s="50"/>
      <c r="N634" s="50"/>
      <c r="O634" s="49"/>
      <c r="P634" s="50" t="str">
        <f t="shared" si="36"/>
        <v>ONAY</v>
      </c>
      <c r="R634" s="51" t="str">
        <f t="shared" si="37"/>
        <v/>
      </c>
      <c r="T634" s="41"/>
      <c r="U634" s="29">
        <f>IF($C634&lt;&gt;"",COUNTIF($C$2:C634,C634),"")</f>
        <v>1</v>
      </c>
      <c r="V634" s="29" t="str">
        <f t="shared" si="38"/>
        <v>Dr. Öğr. Üyesi Sevinç ASKERBEYLİ ÖRS§1</v>
      </c>
      <c r="W634" s="29">
        <f>IF(U634=1,COUNTIF($U$2:U634,1),"")</f>
        <v>313</v>
      </c>
      <c r="X634" s="29">
        <f t="shared" si="39"/>
        <v>160</v>
      </c>
      <c r="Y634" s="29">
        <f>IF(AND(LEFT($B634,7)="SBA 26/",$D634&lt;&gt;"",$F634&lt;&gt;""),COUNTIFS($D$2:$D634,$D634,$B$2:$B634,"SBA 26/*",$F$2:$F634,"&lt;&gt;"),"")</f>
        <v>8</v>
      </c>
      <c r="Z634" s="29" t="str">
        <f>IF(Y634=1,COUNTIF($Y$2:Y634,1),"")</f>
        <v/>
      </c>
      <c r="AA634" s="29">
        <f>IF(AND(LEFT($B634,7)="SBA 26/",$C634&lt;&gt;"",$F634&lt;&gt;""),COUNTIFS($C$2:$C634,$C634,$B$2:$B634,"SBA 26/*",$F$2:$F634,"&lt;&gt;"),"")</f>
        <v>1</v>
      </c>
      <c r="AB634" s="29">
        <f>IF(AA634=1,COUNTIF($AA$2:AA634,1),"")</f>
        <v>313</v>
      </c>
    </row>
    <row r="635" spans="1:28" ht="63" customHeight="1" x14ac:dyDescent="0.2">
      <c r="A635" s="43" t="s">
        <v>2965</v>
      </c>
      <c r="B635" s="43" t="s">
        <v>2966</v>
      </c>
      <c r="C635" s="44" t="s">
        <v>1432</v>
      </c>
      <c r="D635" s="44" t="s">
        <v>113</v>
      </c>
      <c r="E635" s="45" t="s">
        <v>2967</v>
      </c>
      <c r="F635" s="45" t="s">
        <v>2968</v>
      </c>
      <c r="G635" s="46" t="s">
        <v>38</v>
      </c>
      <c r="H635" s="48">
        <v>46217</v>
      </c>
      <c r="I635" s="48">
        <v>46224</v>
      </c>
      <c r="J635" s="44" t="s">
        <v>108</v>
      </c>
      <c r="K635" s="44" t="s">
        <v>129</v>
      </c>
      <c r="L635" s="50"/>
      <c r="M635" s="50"/>
      <c r="N635" s="50"/>
      <c r="O635" s="49"/>
      <c r="P635" s="50">
        <f t="shared" si="36"/>
        <v>0</v>
      </c>
      <c r="R635" s="51" t="str">
        <f t="shared" si="37"/>
        <v/>
      </c>
      <c r="T635" s="41"/>
      <c r="U635" s="29">
        <f>IF($C635&lt;&gt;"",COUNTIF($C$2:C635,C635),"")</f>
        <v>8</v>
      </c>
      <c r="V635" s="29" t="str">
        <f t="shared" si="38"/>
        <v>Prof. Dr. Taylan KAV§8</v>
      </c>
      <c r="W635" s="29" t="str">
        <f>IF(U635=1,COUNTIF($U$2:U635,1),"")</f>
        <v/>
      </c>
      <c r="X635" s="29" t="str">
        <f t="shared" si="39"/>
        <v/>
      </c>
      <c r="Y635" s="29">
        <f>IF(AND(LEFT($B635,7)="SBA 26/",$D635&lt;&gt;"",$F635&lt;&gt;""),COUNTIFS($D$2:$D635,$D635,$B$2:$B635,"SBA 26/*",$F$2:$F635,"&lt;&gt;"),"")</f>
        <v>106</v>
      </c>
      <c r="Z635" s="29" t="str">
        <f>IF(Y635=1,COUNTIF($Y$2:Y635,1),"")</f>
        <v/>
      </c>
      <c r="AA635" s="29">
        <f>IF(AND(LEFT($B635,7)="SBA 26/",$C635&lt;&gt;"",$F635&lt;&gt;""),COUNTIFS($C$2:$C635,$C635,$B$2:$B635,"SBA 26/*",$F$2:$F635,"&lt;&gt;"),"")</f>
        <v>8</v>
      </c>
      <c r="AB635" s="29" t="str">
        <f>IF(AA635=1,COUNTIF($AA$2:AA635,1),"")</f>
        <v/>
      </c>
    </row>
    <row r="636" spans="1:28" ht="110.25" customHeight="1" x14ac:dyDescent="0.2">
      <c r="A636" s="43" t="s">
        <v>2969</v>
      </c>
      <c r="B636" s="43" t="s">
        <v>2970</v>
      </c>
      <c r="C636" s="44" t="s">
        <v>681</v>
      </c>
      <c r="D636" s="44" t="s">
        <v>113</v>
      </c>
      <c r="E636" s="45" t="s">
        <v>2971</v>
      </c>
      <c r="F636" s="45" t="s">
        <v>2972</v>
      </c>
      <c r="G636" s="46" t="s">
        <v>38</v>
      </c>
      <c r="H636" s="48">
        <v>46217</v>
      </c>
      <c r="I636" s="48">
        <v>46224</v>
      </c>
      <c r="J636" s="44" t="s">
        <v>91</v>
      </c>
      <c r="K636" s="44" t="s">
        <v>92</v>
      </c>
      <c r="L636" s="50" t="s">
        <v>153</v>
      </c>
      <c r="M636" s="50"/>
      <c r="N636" s="50"/>
      <c r="O636" s="49"/>
      <c r="P636" s="50" t="str">
        <f t="shared" si="36"/>
        <v>KAPSAM DIŞI</v>
      </c>
      <c r="R636" s="51" t="str">
        <f t="shared" si="37"/>
        <v/>
      </c>
      <c r="T636" s="41"/>
      <c r="U636" s="29">
        <f>IF($C636&lt;&gt;"",COUNTIF($C$2:C636,C636),"")</f>
        <v>3</v>
      </c>
      <c r="V636" s="29" t="str">
        <f t="shared" si="38"/>
        <v>Prof. Dr. Hatice Yasemin BALABAN§3</v>
      </c>
      <c r="W636" s="29" t="str">
        <f>IF(U636=1,COUNTIF($U$2:U636,1),"")</f>
        <v/>
      </c>
      <c r="X636" s="29" t="str">
        <f t="shared" si="39"/>
        <v/>
      </c>
      <c r="Y636" s="29">
        <f>IF(AND(LEFT($B636,7)="SBA 26/",$D636&lt;&gt;"",$F636&lt;&gt;""),COUNTIFS($D$2:$D636,$D636,$B$2:$B636,"SBA 26/*",$F$2:$F636,"&lt;&gt;"),"")</f>
        <v>107</v>
      </c>
      <c r="Z636" s="29" t="str">
        <f>IF(Y636=1,COUNTIF($Y$2:Y636,1),"")</f>
        <v/>
      </c>
      <c r="AA636" s="29">
        <f>IF(AND(LEFT($B636,7)="SBA 26/",$C636&lt;&gt;"",$F636&lt;&gt;""),COUNTIFS($C$2:$C636,$C636,$B$2:$B636,"SBA 26/*",$F$2:$F636,"&lt;&gt;"),"")</f>
        <v>3</v>
      </c>
      <c r="AB636" s="29" t="str">
        <f>IF(AA636=1,COUNTIF($AA$2:AA636,1),"")</f>
        <v/>
      </c>
    </row>
    <row r="637" spans="1:28" ht="80.25" customHeight="1" x14ac:dyDescent="0.2">
      <c r="A637" s="43" t="s">
        <v>2973</v>
      </c>
      <c r="B637" s="43" t="s">
        <v>2974</v>
      </c>
      <c r="C637" s="44" t="s">
        <v>1432</v>
      </c>
      <c r="D637" s="44" t="s">
        <v>113</v>
      </c>
      <c r="E637" s="45" t="s">
        <v>2975</v>
      </c>
      <c r="F637" s="45" t="s">
        <v>2976</v>
      </c>
      <c r="G637" s="46" t="s">
        <v>38</v>
      </c>
      <c r="H637" s="48">
        <v>46217</v>
      </c>
      <c r="I637" s="48">
        <v>46224</v>
      </c>
      <c r="J637" s="44" t="s">
        <v>84</v>
      </c>
      <c r="K637" s="44" t="s">
        <v>92</v>
      </c>
      <c r="L637" s="50" t="s">
        <v>77</v>
      </c>
      <c r="M637" s="50"/>
      <c r="N637" s="50"/>
      <c r="O637" s="49"/>
      <c r="P637" s="50" t="str">
        <f t="shared" si="36"/>
        <v>ONAY</v>
      </c>
      <c r="R637" s="51" t="str">
        <f t="shared" si="37"/>
        <v/>
      </c>
      <c r="T637" s="41"/>
      <c r="U637" s="29">
        <f>IF($C637&lt;&gt;"",COUNTIF($C$2:C637,C637),"")</f>
        <v>9</v>
      </c>
      <c r="V637" s="29" t="str">
        <f t="shared" si="38"/>
        <v>Prof. Dr. Taylan KAV§9</v>
      </c>
      <c r="W637" s="29" t="str">
        <f>IF(U637=1,COUNTIF($U$2:U637,1),"")</f>
        <v/>
      </c>
      <c r="X637" s="29" t="str">
        <f t="shared" si="39"/>
        <v/>
      </c>
      <c r="Y637" s="29">
        <f>IF(AND(LEFT($B637,7)="SBA 26/",$D637&lt;&gt;"",$F637&lt;&gt;""),COUNTIFS($D$2:$D637,$D637,$B$2:$B637,"SBA 26/*",$F$2:$F637,"&lt;&gt;"),"")</f>
        <v>108</v>
      </c>
      <c r="Z637" s="29" t="str">
        <f>IF(Y637=1,COUNTIF($Y$2:Y637,1),"")</f>
        <v/>
      </c>
      <c r="AA637" s="29">
        <f>IF(AND(LEFT($B637,7)="SBA 26/",$C637&lt;&gt;"",$F637&lt;&gt;""),COUNTIFS($C$2:$C637,$C637,$B$2:$B637,"SBA 26/*",$F$2:$F637,"&lt;&gt;"),"")</f>
        <v>9</v>
      </c>
      <c r="AB637" s="29" t="str">
        <f>IF(AA637=1,COUNTIF($AA$2:AA637,1),"")</f>
        <v/>
      </c>
    </row>
    <row r="638" spans="1:28" ht="78.75" customHeight="1" x14ac:dyDescent="0.2">
      <c r="A638" s="43" t="s">
        <v>2977</v>
      </c>
      <c r="B638" s="43" t="s">
        <v>2978</v>
      </c>
      <c r="C638" s="44" t="s">
        <v>2979</v>
      </c>
      <c r="D638" s="44" t="s">
        <v>88</v>
      </c>
      <c r="E638" s="45" t="s">
        <v>2980</v>
      </c>
      <c r="F638" s="45" t="s">
        <v>2981</v>
      </c>
      <c r="G638" s="46" t="s">
        <v>38</v>
      </c>
      <c r="H638" s="48">
        <v>46217</v>
      </c>
      <c r="I638" s="48">
        <v>46224</v>
      </c>
      <c r="J638" s="44" t="s">
        <v>92</v>
      </c>
      <c r="K638" s="44" t="s">
        <v>108</v>
      </c>
      <c r="L638" s="50" t="s">
        <v>77</v>
      </c>
      <c r="M638" s="50"/>
      <c r="N638" s="50"/>
      <c r="O638" s="49"/>
      <c r="P638" s="50" t="str">
        <f t="shared" si="36"/>
        <v>ONAY</v>
      </c>
      <c r="R638" s="51" t="str">
        <f t="shared" si="37"/>
        <v/>
      </c>
      <c r="T638" s="41"/>
      <c r="U638" s="29">
        <f>IF($C638&lt;&gt;"",COUNTIF($C$2:C638,C638),"")</f>
        <v>1</v>
      </c>
      <c r="V638" s="29" t="str">
        <f t="shared" si="38"/>
        <v>Dr. Öğr. Üyesi Yasin SARIKAYA§1</v>
      </c>
      <c r="W638" s="29">
        <f>IF(U638=1,COUNTIF($U$2:U638,1),"")</f>
        <v>314</v>
      </c>
      <c r="X638" s="29">
        <f t="shared" si="39"/>
        <v>164</v>
      </c>
      <c r="Y638" s="29">
        <f>IF(AND(LEFT($B638,7)="SBA 26/",$D638&lt;&gt;"",$F638&lt;&gt;""),COUNTIFS($D$2:$D638,$D638,$B$2:$B638,"SBA 26/*",$F$2:$F638,"&lt;&gt;"),"")</f>
        <v>22</v>
      </c>
      <c r="Z638" s="29" t="str">
        <f>IF(Y638=1,COUNTIF($Y$2:Y638,1),"")</f>
        <v/>
      </c>
      <c r="AA638" s="29">
        <f>IF(AND(LEFT($B638,7)="SBA 26/",$C638&lt;&gt;"",$F638&lt;&gt;""),COUNTIFS($C$2:$C638,$C638,$B$2:$B638,"SBA 26/*",$F$2:$F638,"&lt;&gt;"),"")</f>
        <v>1</v>
      </c>
      <c r="AB638" s="29">
        <f>IF(AA638=1,COUNTIF($AA$2:AA638,1),"")</f>
        <v>314</v>
      </c>
    </row>
    <row r="639" spans="1:28" ht="94.5" customHeight="1" x14ac:dyDescent="0.2">
      <c r="A639" s="43" t="s">
        <v>2982</v>
      </c>
      <c r="B639" s="43" t="s">
        <v>2983</v>
      </c>
      <c r="C639" s="44" t="s">
        <v>2984</v>
      </c>
      <c r="D639" s="44" t="s">
        <v>222</v>
      </c>
      <c r="E639" s="45" t="s">
        <v>2985</v>
      </c>
      <c r="F639" s="45" t="s">
        <v>2986</v>
      </c>
      <c r="G639" s="46" t="s">
        <v>38</v>
      </c>
      <c r="H639" s="48">
        <v>46217</v>
      </c>
      <c r="I639" s="48">
        <v>46224</v>
      </c>
      <c r="J639" s="44" t="s">
        <v>76</v>
      </c>
      <c r="K639" s="44" t="s">
        <v>84</v>
      </c>
      <c r="L639" s="50" t="s">
        <v>77</v>
      </c>
      <c r="M639" s="50"/>
      <c r="N639" s="50"/>
      <c r="O639" s="49"/>
      <c r="P639" s="50" t="str">
        <f t="shared" si="36"/>
        <v>ONAY</v>
      </c>
      <c r="R639" s="51" t="str">
        <f t="shared" si="37"/>
        <v/>
      </c>
      <c r="T639" s="41"/>
      <c r="U639" s="29">
        <f>IF($C639&lt;&gt;"",COUNTIF($C$2:C639,C639),"")</f>
        <v>1</v>
      </c>
      <c r="V639" s="29" t="str">
        <f t="shared" si="38"/>
        <v>Doç. Dr. Halide Özge BAŞARAN§1</v>
      </c>
      <c r="W639" s="29">
        <f>IF(U639=1,COUNTIF($U$2:U639,1),"")</f>
        <v>315</v>
      </c>
      <c r="X639" s="29">
        <f t="shared" si="39"/>
        <v>61</v>
      </c>
      <c r="Y639" s="29">
        <f>IF(AND(LEFT($B639,7)="SBA 26/",$D639&lt;&gt;"",$F639&lt;&gt;""),COUNTIFS($D$2:$D639,$D639,$B$2:$B639,"SBA 26/*",$F$2:$F639,"&lt;&gt;"),"")</f>
        <v>104</v>
      </c>
      <c r="Z639" s="29" t="str">
        <f>IF(Y639=1,COUNTIF($Y$2:Y639,1),"")</f>
        <v/>
      </c>
      <c r="AA639" s="29">
        <f>IF(AND(LEFT($B639,7)="SBA 26/",$C639&lt;&gt;"",$F639&lt;&gt;""),COUNTIFS($C$2:$C639,$C639,$B$2:$B639,"SBA 26/*",$F$2:$F639,"&lt;&gt;"),"")</f>
        <v>1</v>
      </c>
      <c r="AB639" s="29">
        <f>IF(AA639=1,COUNTIF($AA$2:AA639,1),"")</f>
        <v>315</v>
      </c>
    </row>
    <row r="640" spans="1:28" ht="47.25" customHeight="1" x14ac:dyDescent="0.2">
      <c r="A640" s="43" t="s">
        <v>2987</v>
      </c>
      <c r="B640" s="43" t="s">
        <v>2988</v>
      </c>
      <c r="C640" s="44" t="s">
        <v>2989</v>
      </c>
      <c r="D640" s="44" t="s">
        <v>1944</v>
      </c>
      <c r="E640" s="45" t="s">
        <v>2990</v>
      </c>
      <c r="F640" s="45" t="s">
        <v>2991</v>
      </c>
      <c r="G640" s="46" t="s">
        <v>38</v>
      </c>
      <c r="H640" s="48">
        <v>46217</v>
      </c>
      <c r="I640" s="48">
        <v>46224</v>
      </c>
      <c r="J640" s="44" t="s">
        <v>75</v>
      </c>
      <c r="K640" s="44" t="s">
        <v>108</v>
      </c>
      <c r="L640" s="50" t="s">
        <v>77</v>
      </c>
      <c r="M640" s="50"/>
      <c r="N640" s="50"/>
      <c r="O640" s="49"/>
      <c r="P640" s="50" t="str">
        <f t="shared" si="36"/>
        <v>ONAY</v>
      </c>
      <c r="R640" s="51" t="str">
        <f t="shared" si="37"/>
        <v/>
      </c>
      <c r="T640" s="41"/>
      <c r="U640" s="29">
        <f>IF($C640&lt;&gt;"",COUNTIF($C$2:C640,C640),"")</f>
        <v>1</v>
      </c>
      <c r="V640" s="29" t="str">
        <f t="shared" si="38"/>
        <v>Prof. Dr. Serap AYDIN§1</v>
      </c>
      <c r="W640" s="29">
        <f>IF(U640=1,COUNTIF($U$2:U640,1),"")</f>
        <v>316</v>
      </c>
      <c r="X640" s="29">
        <f t="shared" si="39"/>
        <v>306</v>
      </c>
      <c r="Y640" s="29">
        <f>IF(AND(LEFT($B640,7)="SBA 26/",$D640&lt;&gt;"",$F640&lt;&gt;""),COUNTIFS($D$2:$D640,$D640,$B$2:$B640,"SBA 26/*",$F$2:$F640,"&lt;&gt;"),"")</f>
        <v>2</v>
      </c>
      <c r="Z640" s="29" t="str">
        <f>IF(Y640=1,COUNTIF($Y$2:Y640,1),"")</f>
        <v/>
      </c>
      <c r="AA640" s="29">
        <f>IF(AND(LEFT($B640,7)="SBA 26/",$C640&lt;&gt;"",$F640&lt;&gt;""),COUNTIFS($C$2:$C640,$C640,$B$2:$B640,"SBA 26/*",$F$2:$F640,"&lt;&gt;"),"")</f>
        <v>1</v>
      </c>
      <c r="AB640" s="29">
        <f>IF(AA640=1,COUNTIF($AA$2:AA640,1),"")</f>
        <v>316</v>
      </c>
    </row>
    <row r="641" spans="1:28" ht="94.5" customHeight="1" x14ac:dyDescent="0.2">
      <c r="A641" s="43" t="s">
        <v>2992</v>
      </c>
      <c r="B641" s="43" t="s">
        <v>2993</v>
      </c>
      <c r="C641" s="44" t="s">
        <v>379</v>
      </c>
      <c r="D641" s="44" t="s">
        <v>222</v>
      </c>
      <c r="E641" s="45" t="s">
        <v>2994</v>
      </c>
      <c r="F641" s="45" t="s">
        <v>2995</v>
      </c>
      <c r="G641" s="46" t="s">
        <v>38</v>
      </c>
      <c r="H641" s="48">
        <v>46217</v>
      </c>
      <c r="I641" s="48">
        <v>46231</v>
      </c>
      <c r="J641" s="44" t="s">
        <v>76</v>
      </c>
      <c r="K641" s="44" t="s">
        <v>116</v>
      </c>
      <c r="L641" s="50" t="s">
        <v>77</v>
      </c>
      <c r="M641" s="50"/>
      <c r="N641" s="50"/>
      <c r="O641" s="49"/>
      <c r="P641" s="50" t="str">
        <f t="shared" si="36"/>
        <v>ONAY</v>
      </c>
      <c r="R641" s="51" t="str">
        <f t="shared" si="37"/>
        <v/>
      </c>
      <c r="T641" s="41"/>
      <c r="U641" s="29">
        <f>IF($C641&lt;&gt;"",COUNTIF($C$2:C641,C641),"")</f>
        <v>10</v>
      </c>
      <c r="V641" s="29" t="str">
        <f t="shared" si="38"/>
        <v>Prof. Dr. Deniz ÇAĞDAŞ AYVAZ§10</v>
      </c>
      <c r="W641" s="29" t="str">
        <f>IF(U641=1,COUNTIF($U$2:U641,1),"")</f>
        <v/>
      </c>
      <c r="X641" s="29" t="str">
        <f t="shared" si="39"/>
        <v/>
      </c>
      <c r="Y641" s="29">
        <f>IF(AND(LEFT($B641,7)="SBA 26/",$D641&lt;&gt;"",$F641&lt;&gt;""),COUNTIFS($D$2:$D641,$D641,$B$2:$B641,"SBA 26/*",$F$2:$F641,"&lt;&gt;"),"")</f>
        <v>105</v>
      </c>
      <c r="Z641" s="29" t="str">
        <f>IF(Y641=1,COUNTIF($Y$2:Y641,1),"")</f>
        <v/>
      </c>
      <c r="AA641" s="29">
        <f>IF(AND(LEFT($B641,7)="SBA 26/",$C641&lt;&gt;"",$F641&lt;&gt;""),COUNTIFS($C$2:$C641,$C641,$B$2:$B641,"SBA 26/*",$F$2:$F641,"&lt;&gt;"),"")</f>
        <v>10</v>
      </c>
      <c r="AB641" s="29" t="str">
        <f>IF(AA641=1,COUNTIF($AA$2:AA641,1),"")</f>
        <v/>
      </c>
    </row>
    <row r="642" spans="1:28" ht="78.75" customHeight="1" x14ac:dyDescent="0.2">
      <c r="A642" s="43" t="s">
        <v>2996</v>
      </c>
      <c r="B642" s="43" t="s">
        <v>2997</v>
      </c>
      <c r="C642" s="44" t="s">
        <v>379</v>
      </c>
      <c r="D642" s="44" t="s">
        <v>222</v>
      </c>
      <c r="E642" s="45" t="s">
        <v>2998</v>
      </c>
      <c r="F642" s="45" t="s">
        <v>2999</v>
      </c>
      <c r="G642" s="46" t="s">
        <v>38</v>
      </c>
      <c r="H642" s="48">
        <v>46217</v>
      </c>
      <c r="I642" s="48">
        <v>46231</v>
      </c>
      <c r="J642" s="44" t="s">
        <v>76</v>
      </c>
      <c r="K642" s="44" t="s">
        <v>116</v>
      </c>
      <c r="L642" s="50" t="s">
        <v>77</v>
      </c>
      <c r="M642" s="50"/>
      <c r="N642" s="50"/>
      <c r="O642" s="49"/>
      <c r="P642" s="50" t="str">
        <f t="shared" ref="P642:P705" si="40">IF(O642&lt;&gt;"",O642, IF(N642&lt;&gt;"",N642, IF(M642&lt;&gt;"",M642, L642)))</f>
        <v>ONAY</v>
      </c>
      <c r="R642" s="51" t="str">
        <f t="shared" ref="R642:R705" si="41">IF(AND($I642&lt;&gt;"",$I642&gt;=DATE(2026,6,23),COUNTIFS($C:$C,$C642,$I:$I,$I642)&gt;2),"⚠ "&amp;COUNTIFS($C:$C,$C642,$I:$I,$I642)&amp;" BAŞVURU!","")</f>
        <v/>
      </c>
      <c r="T642" s="41"/>
      <c r="U642" s="29">
        <f>IF($C642&lt;&gt;"",COUNTIF($C$2:C642,C642),"")</f>
        <v>11</v>
      </c>
      <c r="V642" s="29" t="str">
        <f t="shared" ref="V642:V705" si="42">IF($C642&lt;&gt;"",C642&amp;"§"&amp;U642,"")</f>
        <v>Prof. Dr. Deniz ÇAĞDAŞ AYVAZ§11</v>
      </c>
      <c r="W642" s="29" t="str">
        <f>IF(U642=1,COUNTIF($U$2:U642,1),"")</f>
        <v/>
      </c>
      <c r="X642" s="29" t="str">
        <f t="shared" ref="X642:X705" si="43">IF(U642=1,SUMPRODUCT(($U$2:$U$1799=1)*($C$2:$C$1799&lt;C642))+1,"")</f>
        <v/>
      </c>
      <c r="Y642" s="29">
        <f>IF(AND(LEFT($B642,7)="SBA 26/",$D642&lt;&gt;"",$F642&lt;&gt;""),COUNTIFS($D$2:$D642,$D642,$B$2:$B642,"SBA 26/*",$F$2:$F642,"&lt;&gt;"),"")</f>
        <v>106</v>
      </c>
      <c r="Z642" s="29" t="str">
        <f>IF(Y642=1,COUNTIF($Y$2:Y642,1),"")</f>
        <v/>
      </c>
      <c r="AA642" s="29">
        <f>IF(AND(LEFT($B642,7)="SBA 26/",$C642&lt;&gt;"",$F642&lt;&gt;""),COUNTIFS($C$2:$C642,$C642,$B$2:$B642,"SBA 26/*",$F$2:$F642,"&lt;&gt;"),"")</f>
        <v>11</v>
      </c>
      <c r="AB642" s="29" t="str">
        <f>IF(AA642=1,COUNTIF($AA$2:AA642,1),"")</f>
        <v/>
      </c>
    </row>
    <row r="643" spans="1:28" ht="63" customHeight="1" x14ac:dyDescent="0.2">
      <c r="A643" s="43" t="s">
        <v>3000</v>
      </c>
      <c r="B643" s="43" t="s">
        <v>3001</v>
      </c>
      <c r="C643" s="44" t="s">
        <v>1432</v>
      </c>
      <c r="D643" s="44" t="s">
        <v>113</v>
      </c>
      <c r="E643" s="45" t="s">
        <v>3002</v>
      </c>
      <c r="F643" s="45" t="s">
        <v>3003</v>
      </c>
      <c r="G643" s="46" t="s">
        <v>38</v>
      </c>
      <c r="H643" s="48">
        <v>46217</v>
      </c>
      <c r="I643" s="48">
        <v>46231</v>
      </c>
      <c r="J643" s="44" t="s">
        <v>108</v>
      </c>
      <c r="K643" s="44" t="s">
        <v>99</v>
      </c>
      <c r="L643" s="50" t="s">
        <v>77</v>
      </c>
      <c r="M643" s="50"/>
      <c r="N643" s="50"/>
      <c r="O643" s="49"/>
      <c r="P643" s="50" t="str">
        <f t="shared" si="40"/>
        <v>ONAY</v>
      </c>
      <c r="R643" s="51" t="str">
        <f t="shared" si="41"/>
        <v/>
      </c>
      <c r="T643" s="41"/>
      <c r="U643" s="29">
        <f>IF($C643&lt;&gt;"",COUNTIF($C$2:C643,C643),"")</f>
        <v>10</v>
      </c>
      <c r="V643" s="29" t="str">
        <f t="shared" si="42"/>
        <v>Prof. Dr. Taylan KAV§10</v>
      </c>
      <c r="W643" s="29" t="str">
        <f>IF(U643=1,COUNTIF($U$2:U643,1),"")</f>
        <v/>
      </c>
      <c r="X643" s="29" t="str">
        <f t="shared" si="43"/>
        <v/>
      </c>
      <c r="Y643" s="29">
        <f>IF(AND(LEFT($B643,7)="SBA 26/",$D643&lt;&gt;"",$F643&lt;&gt;""),COUNTIFS($D$2:$D643,$D643,$B$2:$B643,"SBA 26/*",$F$2:$F643,"&lt;&gt;"),"")</f>
        <v>109</v>
      </c>
      <c r="Z643" s="29" t="str">
        <f>IF(Y643=1,COUNTIF($Y$2:Y643,1),"")</f>
        <v/>
      </c>
      <c r="AA643" s="29">
        <f>IF(AND(LEFT($B643,7)="SBA 26/",$C643&lt;&gt;"",$F643&lt;&gt;""),COUNTIFS($C$2:$C643,$C643,$B$2:$B643,"SBA 26/*",$F$2:$F643,"&lt;&gt;"),"")</f>
        <v>10</v>
      </c>
      <c r="AB643" s="29" t="str">
        <f>IF(AA643=1,COUNTIF($AA$2:AA643,1),"")</f>
        <v/>
      </c>
    </row>
    <row r="644" spans="1:28" ht="94.5" customHeight="1" x14ac:dyDescent="0.2">
      <c r="A644" s="43" t="s">
        <v>3004</v>
      </c>
      <c r="B644" s="43" t="s">
        <v>3005</v>
      </c>
      <c r="C644" s="44" t="s">
        <v>671</v>
      </c>
      <c r="D644" s="44" t="s">
        <v>347</v>
      </c>
      <c r="E644" s="45" t="s">
        <v>3006</v>
      </c>
      <c r="F644" s="45" t="s">
        <v>3007</v>
      </c>
      <c r="G644" s="46" t="s">
        <v>38</v>
      </c>
      <c r="H644" s="48">
        <v>46217</v>
      </c>
      <c r="I644" s="48">
        <v>46231</v>
      </c>
      <c r="J644" s="44" t="s">
        <v>108</v>
      </c>
      <c r="K644" s="44" t="s">
        <v>100</v>
      </c>
      <c r="L644" s="50"/>
      <c r="M644" s="50"/>
      <c r="N644" s="50"/>
      <c r="O644" s="49"/>
      <c r="P644" s="50">
        <f t="shared" si="40"/>
        <v>0</v>
      </c>
      <c r="R644" s="51" t="str">
        <f t="shared" si="41"/>
        <v/>
      </c>
      <c r="T644" s="41"/>
      <c r="U644" s="29">
        <f>IF($C644&lt;&gt;"",COUNTIF($C$2:C644,C644),"")</f>
        <v>5</v>
      </c>
      <c r="V644" s="29" t="str">
        <f t="shared" si="42"/>
        <v>Prof. Dr. Alp ÇETİN§5</v>
      </c>
      <c r="W644" s="29" t="str">
        <f>IF(U644=1,COUNTIF($U$2:U644,1),"")</f>
        <v/>
      </c>
      <c r="X644" s="29" t="str">
        <f t="shared" si="43"/>
        <v/>
      </c>
      <c r="Y644" s="29">
        <f>IF(AND(LEFT($B644,7)="SBA 26/",$D644&lt;&gt;"",$F644&lt;&gt;""),COUNTIFS($D$2:$D644,$D644,$B$2:$B644,"SBA 26/*",$F$2:$F644,"&lt;&gt;"),"")</f>
        <v>7</v>
      </c>
      <c r="Z644" s="29" t="str">
        <f>IF(Y644=1,COUNTIF($Y$2:Y644,1),"")</f>
        <v/>
      </c>
      <c r="AA644" s="29">
        <f>IF(AND(LEFT($B644,7)="SBA 26/",$C644&lt;&gt;"",$F644&lt;&gt;""),COUNTIFS($C$2:$C644,$C644,$B$2:$B644,"SBA 26/*",$F$2:$F644,"&lt;&gt;"),"")</f>
        <v>5</v>
      </c>
      <c r="AB644" s="29" t="str">
        <f>IF(AA644=1,COUNTIF($AA$2:AA644,1),"")</f>
        <v/>
      </c>
    </row>
    <row r="645" spans="1:28" ht="63" customHeight="1" x14ac:dyDescent="0.2">
      <c r="A645" s="43" t="s">
        <v>3008</v>
      </c>
      <c r="B645" s="43" t="s">
        <v>3009</v>
      </c>
      <c r="C645" s="44" t="s">
        <v>1207</v>
      </c>
      <c r="D645" s="44" t="s">
        <v>222</v>
      </c>
      <c r="E645" s="45" t="s">
        <v>3010</v>
      </c>
      <c r="F645" s="45" t="s">
        <v>3011</v>
      </c>
      <c r="G645" s="46" t="s">
        <v>38</v>
      </c>
      <c r="H645" s="48">
        <v>46217</v>
      </c>
      <c r="I645" s="48">
        <v>46231</v>
      </c>
      <c r="J645" s="44" t="s">
        <v>84</v>
      </c>
      <c r="K645" s="44" t="s">
        <v>92</v>
      </c>
      <c r="L645" s="50" t="s">
        <v>77</v>
      </c>
      <c r="M645" s="50"/>
      <c r="N645" s="50"/>
      <c r="O645" s="49"/>
      <c r="P645" s="50" t="str">
        <f t="shared" si="40"/>
        <v>ONAY</v>
      </c>
      <c r="R645" s="51" t="str">
        <f t="shared" si="41"/>
        <v/>
      </c>
      <c r="T645" s="41"/>
      <c r="U645" s="29">
        <f>IF($C645&lt;&gt;"",COUNTIF($C$2:C645,C645),"")</f>
        <v>5</v>
      </c>
      <c r="V645" s="29" t="str">
        <f t="shared" si="42"/>
        <v>Prof. Dr. Özlem TEKŞAM§5</v>
      </c>
      <c r="W645" s="29" t="str">
        <f>IF(U645=1,COUNTIF($U$2:U645,1),"")</f>
        <v/>
      </c>
      <c r="X645" s="29" t="str">
        <f t="shared" si="43"/>
        <v/>
      </c>
      <c r="Y645" s="29">
        <f>IF(AND(LEFT($B645,7)="SBA 26/",$D645&lt;&gt;"",$F645&lt;&gt;""),COUNTIFS($D$2:$D645,$D645,$B$2:$B645,"SBA 26/*",$F$2:$F645,"&lt;&gt;"),"")</f>
        <v>107</v>
      </c>
      <c r="Z645" s="29" t="str">
        <f>IF(Y645=1,COUNTIF($Y$2:Y645,1),"")</f>
        <v/>
      </c>
      <c r="AA645" s="29">
        <f>IF(AND(LEFT($B645,7)="SBA 26/",$C645&lt;&gt;"",$F645&lt;&gt;""),COUNTIFS($C$2:$C645,$C645,$B$2:$B645,"SBA 26/*",$F$2:$F645,"&lt;&gt;"),"")</f>
        <v>5</v>
      </c>
      <c r="AB645" s="29" t="str">
        <f>IF(AA645=1,COUNTIF($AA$2:AA645,1),"")</f>
        <v/>
      </c>
    </row>
    <row r="646" spans="1:28" ht="63" customHeight="1" x14ac:dyDescent="0.2">
      <c r="A646" s="43" t="s">
        <v>3012</v>
      </c>
      <c r="B646" s="43" t="s">
        <v>3013</v>
      </c>
      <c r="C646" s="44" t="s">
        <v>1207</v>
      </c>
      <c r="D646" s="44" t="s">
        <v>222</v>
      </c>
      <c r="E646" s="45" t="s">
        <v>3014</v>
      </c>
      <c r="F646" s="45" t="s">
        <v>3015</v>
      </c>
      <c r="G646" s="46" t="s">
        <v>39</v>
      </c>
      <c r="H646" s="48">
        <v>46217</v>
      </c>
      <c r="I646" s="48">
        <v>46231</v>
      </c>
      <c r="J646" s="44" t="s">
        <v>84</v>
      </c>
      <c r="K646" s="44" t="s">
        <v>92</v>
      </c>
      <c r="L646" s="50"/>
      <c r="M646" s="50"/>
      <c r="N646" s="50"/>
      <c r="O646" s="49"/>
      <c r="P646" s="50">
        <f t="shared" si="40"/>
        <v>0</v>
      </c>
      <c r="R646" s="51" t="str">
        <f t="shared" si="41"/>
        <v/>
      </c>
      <c r="T646" s="41"/>
      <c r="U646" s="29">
        <f>IF($C646&lt;&gt;"",COUNTIF($C$2:C646,C646),"")</f>
        <v>6</v>
      </c>
      <c r="V646" s="29" t="str">
        <f t="shared" si="42"/>
        <v>Prof. Dr. Özlem TEKŞAM§6</v>
      </c>
      <c r="W646" s="29" t="str">
        <f>IF(U646=1,COUNTIF($U$2:U646,1),"")</f>
        <v/>
      </c>
      <c r="X646" s="29" t="str">
        <f t="shared" si="43"/>
        <v/>
      </c>
      <c r="Y646" s="29">
        <f>IF(AND(LEFT($B646,7)="SBA 26/",$D646&lt;&gt;"",$F646&lt;&gt;""),COUNTIFS($D$2:$D646,$D646,$B$2:$B646,"SBA 26/*",$F$2:$F646,"&lt;&gt;"),"")</f>
        <v>108</v>
      </c>
      <c r="Z646" s="29" t="str">
        <f>IF(Y646=1,COUNTIF($Y$2:Y646,1),"")</f>
        <v/>
      </c>
      <c r="AA646" s="29">
        <f>IF(AND(LEFT($B646,7)="SBA 26/",$C646&lt;&gt;"",$F646&lt;&gt;""),COUNTIFS($C$2:$C646,$C646,$B$2:$B646,"SBA 26/*",$F$2:$F646,"&lt;&gt;"),"")</f>
        <v>6</v>
      </c>
      <c r="AB646" s="29" t="str">
        <f>IF(AA646=1,COUNTIF($AA$2:AA646,1),"")</f>
        <v/>
      </c>
    </row>
    <row r="647" spans="1:28" ht="157.5" customHeight="1" x14ac:dyDescent="0.2">
      <c r="A647" s="43" t="s">
        <v>3016</v>
      </c>
      <c r="B647" s="43" t="s">
        <v>3017</v>
      </c>
      <c r="C647" s="44" t="s">
        <v>3018</v>
      </c>
      <c r="D647" s="44" t="s">
        <v>222</v>
      </c>
      <c r="E647" s="45" t="s">
        <v>3019</v>
      </c>
      <c r="F647" s="45" t="s">
        <v>3020</v>
      </c>
      <c r="G647" s="46" t="s">
        <v>38</v>
      </c>
      <c r="H647" s="48">
        <v>46217</v>
      </c>
      <c r="I647" s="48">
        <v>46231</v>
      </c>
      <c r="J647" s="44" t="s">
        <v>99</v>
      </c>
      <c r="K647" s="44" t="s">
        <v>129</v>
      </c>
      <c r="L647" s="50"/>
      <c r="M647" s="50"/>
      <c r="N647" s="50"/>
      <c r="O647" s="49"/>
      <c r="P647" s="50">
        <f t="shared" si="40"/>
        <v>0</v>
      </c>
      <c r="R647" s="51" t="str">
        <f t="shared" si="41"/>
        <v/>
      </c>
      <c r="T647" s="41"/>
      <c r="U647" s="29">
        <f>IF($C647&lt;&gt;"",COUNTIF($C$2:C647,C647),"")</f>
        <v>1</v>
      </c>
      <c r="V647" s="29" t="str">
        <f t="shared" si="42"/>
        <v>Prof. Dr. Göknur HALİLOĞLU§1</v>
      </c>
      <c r="W647" s="29">
        <f>IF(U647=1,COUNTIF($U$2:U647,1),"")</f>
        <v>317</v>
      </c>
      <c r="X647" s="29">
        <f t="shared" si="43"/>
        <v>229</v>
      </c>
      <c r="Y647" s="29">
        <f>IF(AND(LEFT($B647,7)="SBA 26/",$D647&lt;&gt;"",$F647&lt;&gt;""),COUNTIFS($D$2:$D647,$D647,$B$2:$B647,"SBA 26/*",$F$2:$F647,"&lt;&gt;"),"")</f>
        <v>109</v>
      </c>
      <c r="Z647" s="29" t="str">
        <f>IF(Y647=1,COUNTIF($Y$2:Y647,1),"")</f>
        <v/>
      </c>
      <c r="AA647" s="29">
        <f>IF(AND(LEFT($B647,7)="SBA 26/",$C647&lt;&gt;"",$F647&lt;&gt;""),COUNTIFS($C$2:$C647,$C647,$B$2:$B647,"SBA 26/*",$F$2:$F647,"&lt;&gt;"),"")</f>
        <v>1</v>
      </c>
      <c r="AB647" s="29">
        <f>IF(AA647=1,COUNTIF($AA$2:AA647,1),"")</f>
        <v>317</v>
      </c>
    </row>
    <row r="648" spans="1:28" ht="65.25" customHeight="1" x14ac:dyDescent="0.2">
      <c r="A648" s="43" t="s">
        <v>3021</v>
      </c>
      <c r="B648" s="43" t="s">
        <v>3022</v>
      </c>
      <c r="C648" s="44" t="s">
        <v>91</v>
      </c>
      <c r="D648" s="44" t="s">
        <v>3023</v>
      </c>
      <c r="E648" s="45" t="s">
        <v>3024</v>
      </c>
      <c r="F648" s="45" t="s">
        <v>3025</v>
      </c>
      <c r="G648" s="46" t="s">
        <v>41</v>
      </c>
      <c r="H648" s="48">
        <v>46217</v>
      </c>
      <c r="I648" s="48">
        <v>46231</v>
      </c>
      <c r="J648" s="44" t="s">
        <v>75</v>
      </c>
      <c r="K648" s="44" t="s">
        <v>99</v>
      </c>
      <c r="L648" s="50" t="s">
        <v>77</v>
      </c>
      <c r="M648" s="50"/>
      <c r="N648" s="50"/>
      <c r="O648" s="49"/>
      <c r="P648" s="50" t="str">
        <f t="shared" si="40"/>
        <v>ONAY</v>
      </c>
      <c r="R648" s="51" t="str">
        <f t="shared" si="41"/>
        <v/>
      </c>
      <c r="T648" s="41"/>
      <c r="U648" s="29">
        <f>IF($C648&lt;&gt;"",COUNTIF($C$2:C648,C648),"")</f>
        <v>1</v>
      </c>
      <c r="V648" s="29" t="str">
        <f t="shared" si="42"/>
        <v>Dr. Öğr. Üyesi Müge DEMİR§1</v>
      </c>
      <c r="W648" s="29">
        <f>IF(U648=1,COUNTIF($U$2:U648,1),"")</f>
        <v>318</v>
      </c>
      <c r="X648" s="29">
        <f t="shared" si="43"/>
        <v>148</v>
      </c>
      <c r="Y648" s="29">
        <f>IF(AND(LEFT($B648,7)="SBA 26/",$D648&lt;&gt;"",$F648&lt;&gt;""),COUNTIFS($D$2:$D648,$D648,$B$2:$B648,"SBA 26/*",$F$2:$F648,"&lt;&gt;"),"")</f>
        <v>1</v>
      </c>
      <c r="Z648" s="29">
        <f>IF(Y648=1,COUNTIF($Y$2:Y648,1),"")</f>
        <v>78</v>
      </c>
      <c r="AA648" s="29">
        <f>IF(AND(LEFT($B648,7)="SBA 26/",$C648&lt;&gt;"",$F648&lt;&gt;""),COUNTIFS($C$2:$C648,$C648,$B$2:$B648,"SBA 26/*",$F$2:$F648,"&lt;&gt;"),"")</f>
        <v>1</v>
      </c>
      <c r="AB648" s="29">
        <f>IF(AA648=1,COUNTIF($AA$2:AA648,1),"")</f>
        <v>318</v>
      </c>
    </row>
    <row r="649" spans="1:28" ht="63" customHeight="1" x14ac:dyDescent="0.2">
      <c r="A649" s="43" t="s">
        <v>3026</v>
      </c>
      <c r="B649" s="43" t="s">
        <v>3027</v>
      </c>
      <c r="C649" s="44" t="s">
        <v>1533</v>
      </c>
      <c r="D649" s="44" t="s">
        <v>113</v>
      </c>
      <c r="E649" s="45" t="s">
        <v>3028</v>
      </c>
      <c r="F649" s="45" t="s">
        <v>3029</v>
      </c>
      <c r="G649" s="46" t="s">
        <v>38</v>
      </c>
      <c r="H649" s="48">
        <v>46217</v>
      </c>
      <c r="I649" s="48">
        <v>46231</v>
      </c>
      <c r="J649" s="44" t="s">
        <v>129</v>
      </c>
      <c r="K649" s="44" t="s">
        <v>84</v>
      </c>
      <c r="L649" s="50" t="s">
        <v>77</v>
      </c>
      <c r="M649" s="50"/>
      <c r="N649" s="50"/>
      <c r="O649" s="49"/>
      <c r="P649" s="50" t="str">
        <f t="shared" si="40"/>
        <v>ONAY</v>
      </c>
      <c r="R649" s="51" t="str">
        <f t="shared" si="41"/>
        <v/>
      </c>
      <c r="T649" s="41"/>
      <c r="U649" s="29">
        <f>IF($C649&lt;&gt;"",COUNTIF($C$2:C649,C649),"")</f>
        <v>2</v>
      </c>
      <c r="V649" s="29" t="str">
        <f t="shared" si="42"/>
        <v>Doç. Dr. Oğuz Abdullah UYAROĞLU§2</v>
      </c>
      <c r="W649" s="29" t="str">
        <f>IF(U649=1,COUNTIF($U$2:U649,1),"")</f>
        <v/>
      </c>
      <c r="X649" s="29" t="str">
        <f t="shared" si="43"/>
        <v/>
      </c>
      <c r="Y649" s="29">
        <f>IF(AND(LEFT($B649,7)="SBA 26/",$D649&lt;&gt;"",$F649&lt;&gt;""),COUNTIFS($D$2:$D649,$D649,$B$2:$B649,"SBA 26/*",$F$2:$F649,"&lt;&gt;"),"")</f>
        <v>110</v>
      </c>
      <c r="Z649" s="29" t="str">
        <f>IF(Y649=1,COUNTIF($Y$2:Y649,1),"")</f>
        <v/>
      </c>
      <c r="AA649" s="29">
        <f>IF(AND(LEFT($B649,7)="SBA 26/",$C649&lt;&gt;"",$F649&lt;&gt;""),COUNTIFS($C$2:$C649,$C649,$B$2:$B649,"SBA 26/*",$F$2:$F649,"&lt;&gt;"),"")</f>
        <v>2</v>
      </c>
      <c r="AB649" s="29" t="str">
        <f>IF(AA649=1,COUNTIF($AA$2:AA649,1),"")</f>
        <v/>
      </c>
    </row>
    <row r="650" spans="1:28" ht="64.5" customHeight="1" x14ac:dyDescent="0.2">
      <c r="A650" s="43" t="s">
        <v>3030</v>
      </c>
      <c r="B650" s="43" t="s">
        <v>3031</v>
      </c>
      <c r="C650" s="44" t="s">
        <v>560</v>
      </c>
      <c r="D650" s="44" t="s">
        <v>113</v>
      </c>
      <c r="E650" s="45" t="s">
        <v>3032</v>
      </c>
      <c r="F650" s="45" t="s">
        <v>3033</v>
      </c>
      <c r="G650" s="46" t="s">
        <v>38</v>
      </c>
      <c r="H650" s="48">
        <v>46217</v>
      </c>
      <c r="I650" s="48">
        <v>46231</v>
      </c>
      <c r="J650" s="44" t="s">
        <v>108</v>
      </c>
      <c r="K650" s="44" t="s">
        <v>84</v>
      </c>
      <c r="L650" s="50" t="s">
        <v>77</v>
      </c>
      <c r="M650" s="50"/>
      <c r="N650" s="50"/>
      <c r="O650" s="49"/>
      <c r="P650" s="50" t="str">
        <f t="shared" si="40"/>
        <v>ONAY</v>
      </c>
      <c r="R650" s="51" t="str">
        <f t="shared" si="41"/>
        <v/>
      </c>
      <c r="T650" s="41"/>
      <c r="U650" s="29">
        <f>IF($C650&lt;&gt;"",COUNTIF($C$2:C650,C650),"")</f>
        <v>2</v>
      </c>
      <c r="V650" s="29" t="str">
        <f t="shared" si="42"/>
        <v>Doç. Dr. Hacı Hasan YETER§2</v>
      </c>
      <c r="W650" s="29" t="str">
        <f>IF(U650=1,COUNTIF($U$2:U650,1),"")</f>
        <v/>
      </c>
      <c r="X650" s="29" t="str">
        <f t="shared" si="43"/>
        <v/>
      </c>
      <c r="Y650" s="29">
        <f>IF(AND(LEFT($B650,7)="SBA 26/",$D650&lt;&gt;"",$F650&lt;&gt;""),COUNTIFS($D$2:$D650,$D650,$B$2:$B650,"SBA 26/*",$F$2:$F650,"&lt;&gt;"),"")</f>
        <v>111</v>
      </c>
      <c r="Z650" s="29" t="str">
        <f>IF(Y650=1,COUNTIF($Y$2:Y650,1),"")</f>
        <v/>
      </c>
      <c r="AA650" s="29">
        <f>IF(AND(LEFT($B650,7)="SBA 26/",$C650&lt;&gt;"",$F650&lt;&gt;""),COUNTIFS($C$2:$C650,$C650,$B$2:$B650,"SBA 26/*",$F$2:$F650,"&lt;&gt;"),"")</f>
        <v>2</v>
      </c>
      <c r="AB650" s="29" t="str">
        <f>IF(AA650=1,COUNTIF($AA$2:AA650,1),"")</f>
        <v/>
      </c>
    </row>
    <row r="651" spans="1:28" ht="64.5" customHeight="1" x14ac:dyDescent="0.2">
      <c r="A651" s="43" t="s">
        <v>3034</v>
      </c>
      <c r="B651" s="43" t="s">
        <v>3035</v>
      </c>
      <c r="C651" s="44" t="s">
        <v>560</v>
      </c>
      <c r="D651" s="44" t="s">
        <v>113</v>
      </c>
      <c r="E651" s="45" t="s">
        <v>3032</v>
      </c>
      <c r="F651" s="45" t="s">
        <v>3036</v>
      </c>
      <c r="G651" s="46" t="s">
        <v>38</v>
      </c>
      <c r="H651" s="48">
        <v>46217</v>
      </c>
      <c r="I651" s="48">
        <v>46231</v>
      </c>
      <c r="J651" s="44" t="s">
        <v>84</v>
      </c>
      <c r="K651" s="44" t="s">
        <v>108</v>
      </c>
      <c r="L651" s="50" t="s">
        <v>77</v>
      </c>
      <c r="M651" s="50"/>
      <c r="N651" s="50"/>
      <c r="O651" s="49"/>
      <c r="P651" s="50" t="str">
        <f t="shared" si="40"/>
        <v>ONAY</v>
      </c>
      <c r="R651" s="51" t="str">
        <f t="shared" si="41"/>
        <v/>
      </c>
      <c r="T651" s="41"/>
      <c r="U651" s="29">
        <f>IF($C651&lt;&gt;"",COUNTIF($C$2:C651,C651),"")</f>
        <v>3</v>
      </c>
      <c r="V651" s="29" t="str">
        <f t="shared" si="42"/>
        <v>Doç. Dr. Hacı Hasan YETER§3</v>
      </c>
      <c r="W651" s="29" t="str">
        <f>IF(U651=1,COUNTIF($U$2:U651,1),"")</f>
        <v/>
      </c>
      <c r="X651" s="29" t="str">
        <f t="shared" si="43"/>
        <v/>
      </c>
      <c r="Y651" s="29">
        <f>IF(AND(LEFT($B651,7)="SBA 26/",$D651&lt;&gt;"",$F651&lt;&gt;""),COUNTIFS($D$2:$D651,$D651,$B$2:$B651,"SBA 26/*",$F$2:$F651,"&lt;&gt;"),"")</f>
        <v>112</v>
      </c>
      <c r="Z651" s="29" t="str">
        <f>IF(Y651=1,COUNTIF($Y$2:Y651,1),"")</f>
        <v/>
      </c>
      <c r="AA651" s="29">
        <f>IF(AND(LEFT($B651,7)="SBA 26/",$C651&lt;&gt;"",$F651&lt;&gt;""),COUNTIFS($C$2:$C651,$C651,$B$2:$B651,"SBA 26/*",$F$2:$F651,"&lt;&gt;"),"")</f>
        <v>3</v>
      </c>
      <c r="AB651" s="29" t="str">
        <f>IF(AA651=1,COUNTIF($AA$2:AA651,1),"")</f>
        <v/>
      </c>
    </row>
    <row r="652" spans="1:28" ht="96" customHeight="1" x14ac:dyDescent="0.2">
      <c r="A652" s="43" t="s">
        <v>3037</v>
      </c>
      <c r="B652" s="43" t="s">
        <v>3038</v>
      </c>
      <c r="C652" s="44" t="s">
        <v>2470</v>
      </c>
      <c r="D652" s="44" t="s">
        <v>2471</v>
      </c>
      <c r="E652" s="45" t="s">
        <v>3039</v>
      </c>
      <c r="F652" s="45" t="s">
        <v>3040</v>
      </c>
      <c r="G652" s="46" t="s">
        <v>39</v>
      </c>
      <c r="H652" s="48">
        <v>46219</v>
      </c>
      <c r="I652" s="48">
        <v>46231</v>
      </c>
      <c r="J652" s="44" t="s">
        <v>75</v>
      </c>
      <c r="K652" s="44" t="s">
        <v>76</v>
      </c>
      <c r="L652" s="50" t="s">
        <v>77</v>
      </c>
      <c r="M652" s="50"/>
      <c r="N652" s="50"/>
      <c r="O652" s="49"/>
      <c r="P652" s="50" t="str">
        <f t="shared" si="40"/>
        <v>ONAY</v>
      </c>
      <c r="R652" s="51" t="str">
        <f t="shared" si="41"/>
        <v/>
      </c>
      <c r="T652" s="41"/>
      <c r="U652" s="29">
        <f>IF($C652&lt;&gt;"",COUNTIF($C$2:C652,C652),"")</f>
        <v>2</v>
      </c>
      <c r="V652" s="29" t="str">
        <f t="shared" si="42"/>
        <v>Doç. Dr. Şahin HANALİOĞLU§2</v>
      </c>
      <c r="W652" s="29" t="str">
        <f>IF(U652=1,COUNTIF($U$2:U652,1),"")</f>
        <v/>
      </c>
      <c r="X652" s="29" t="str">
        <f t="shared" si="43"/>
        <v/>
      </c>
      <c r="Y652" s="29">
        <f>IF(AND(LEFT($B652,7)="SBA 26/",$D652&lt;&gt;"",$F652&lt;&gt;""),COUNTIFS($D$2:$D652,$D652,$B$2:$B652,"SBA 26/*",$F$2:$F652,"&lt;&gt;"),"")</f>
        <v>3</v>
      </c>
      <c r="Z652" s="29" t="str">
        <f>IF(Y652=1,COUNTIF($Y$2:Y652,1),"")</f>
        <v/>
      </c>
      <c r="AA652" s="29">
        <f>IF(AND(LEFT($B652,7)="SBA 26/",$C652&lt;&gt;"",$F652&lt;&gt;""),COUNTIFS($C$2:$C652,$C652,$B$2:$B652,"SBA 26/*",$F$2:$F652,"&lt;&gt;"),"")</f>
        <v>2</v>
      </c>
      <c r="AB652" s="29" t="str">
        <f>IF(AA652=1,COUNTIF($AA$2:AA652,1),"")</f>
        <v/>
      </c>
    </row>
    <row r="653" spans="1:28" ht="63" customHeight="1" x14ac:dyDescent="0.2">
      <c r="A653" s="43" t="s">
        <v>3041</v>
      </c>
      <c r="B653" s="43" t="s">
        <v>3042</v>
      </c>
      <c r="C653" s="44" t="s">
        <v>3043</v>
      </c>
      <c r="D653" s="44" t="s">
        <v>113</v>
      </c>
      <c r="E653" s="45" t="s">
        <v>3044</v>
      </c>
      <c r="F653" s="45" t="s">
        <v>3045</v>
      </c>
      <c r="G653" s="46" t="s">
        <v>38</v>
      </c>
      <c r="H653" s="48">
        <v>46220</v>
      </c>
      <c r="I653" s="48">
        <v>46231</v>
      </c>
      <c r="J653" s="44" t="s">
        <v>75</v>
      </c>
      <c r="K653" s="44" t="s">
        <v>92</v>
      </c>
      <c r="L653" s="50"/>
      <c r="M653" s="50"/>
      <c r="N653" s="50"/>
      <c r="O653" s="49"/>
      <c r="P653" s="50">
        <f t="shared" si="40"/>
        <v>0</v>
      </c>
      <c r="R653" s="51" t="str">
        <f t="shared" si="41"/>
        <v/>
      </c>
      <c r="T653" s="41"/>
      <c r="U653" s="29">
        <f>IF($C653&lt;&gt;"",COUNTIF($C$2:C653,C653),"")</f>
        <v>1</v>
      </c>
      <c r="V653" s="29" t="str">
        <f t="shared" si="42"/>
        <v>Prof. Dr. Arzu TOPELİ İSKİT§1</v>
      </c>
      <c r="W653" s="29">
        <f>IF(U653=1,COUNTIF($U$2:U653,1),"")</f>
        <v>319</v>
      </c>
      <c r="X653" s="29">
        <f t="shared" si="43"/>
        <v>189</v>
      </c>
      <c r="Y653" s="29">
        <f>IF(AND(LEFT($B653,7)="SBA 26/",$D653&lt;&gt;"",$F653&lt;&gt;""),COUNTIFS($D$2:$D653,$D653,$B$2:$B653,"SBA 26/*",$F$2:$F653,"&lt;&gt;"),"")</f>
        <v>113</v>
      </c>
      <c r="Z653" s="29" t="str">
        <f>IF(Y653=1,COUNTIF($Y$2:Y653,1),"")</f>
        <v/>
      </c>
      <c r="AA653" s="29">
        <f>IF(AND(LEFT($B653,7)="SBA 26/",$C653&lt;&gt;"",$F653&lt;&gt;""),COUNTIFS($C$2:$C653,$C653,$B$2:$B653,"SBA 26/*",$F$2:$F653,"&lt;&gt;"),"")</f>
        <v>1</v>
      </c>
      <c r="AB653" s="29">
        <f>IF(AA653=1,COUNTIF($AA$2:AA653,1),"")</f>
        <v>319</v>
      </c>
    </row>
    <row r="654" spans="1:28" ht="94.5" customHeight="1" x14ac:dyDescent="0.2">
      <c r="A654" s="43" t="s">
        <v>3046</v>
      </c>
      <c r="B654" s="43" t="s">
        <v>3047</v>
      </c>
      <c r="C654" s="44" t="s">
        <v>3048</v>
      </c>
      <c r="D654" s="44" t="s">
        <v>222</v>
      </c>
      <c r="E654" s="45" t="s">
        <v>3049</v>
      </c>
      <c r="F654" s="45" t="s">
        <v>3050</v>
      </c>
      <c r="G654" s="46" t="s">
        <v>38</v>
      </c>
      <c r="H654" s="48">
        <v>46220</v>
      </c>
      <c r="I654" s="48">
        <v>46231</v>
      </c>
      <c r="J654" s="44" t="s">
        <v>76</v>
      </c>
      <c r="K654" s="44" t="s">
        <v>123</v>
      </c>
      <c r="L654" s="50" t="s">
        <v>77</v>
      </c>
      <c r="M654" s="50"/>
      <c r="N654" s="50"/>
      <c r="O654" s="49"/>
      <c r="P654" s="50" t="str">
        <f t="shared" si="40"/>
        <v>ONAY</v>
      </c>
      <c r="R654" s="51" t="str">
        <f t="shared" si="41"/>
        <v/>
      </c>
      <c r="T654" s="41"/>
      <c r="U654" s="29">
        <f>IF($C654&lt;&gt;"",COUNTIF($C$2:C654,C654),"")</f>
        <v>1</v>
      </c>
      <c r="V654" s="29" t="str">
        <f t="shared" si="42"/>
        <v>Prof. Dr. Ümit Murat ŞAHİNER§1</v>
      </c>
      <c r="W654" s="29">
        <f>IF(U654=1,COUNTIF($U$2:U654,1),"")</f>
        <v>320</v>
      </c>
      <c r="X654" s="29">
        <f t="shared" si="43"/>
        <v>330</v>
      </c>
      <c r="Y654" s="29">
        <f>IF(AND(LEFT($B654,7)="SBA 26/",$D654&lt;&gt;"",$F654&lt;&gt;""),COUNTIFS($D$2:$D654,$D654,$B$2:$B654,"SBA 26/*",$F$2:$F654,"&lt;&gt;"),"")</f>
        <v>110</v>
      </c>
      <c r="Z654" s="29" t="str">
        <f>IF(Y654=1,COUNTIF($Y$2:Y654,1),"")</f>
        <v/>
      </c>
      <c r="AA654" s="29">
        <f>IF(AND(LEFT($B654,7)="SBA 26/",$C654&lt;&gt;"",$F654&lt;&gt;""),COUNTIFS($C$2:$C654,$C654,$B$2:$B654,"SBA 26/*",$F$2:$F654,"&lt;&gt;"),"")</f>
        <v>1</v>
      </c>
      <c r="AB654" s="29">
        <f>IF(AA654=1,COUNTIF($AA$2:AA654,1),"")</f>
        <v>320</v>
      </c>
    </row>
    <row r="655" spans="1:28" ht="63" customHeight="1" x14ac:dyDescent="0.2">
      <c r="A655" s="43" t="s">
        <v>3051</v>
      </c>
      <c r="B655" s="43" t="s">
        <v>3052</v>
      </c>
      <c r="C655" s="44" t="s">
        <v>243</v>
      </c>
      <c r="D655" s="44" t="s">
        <v>113</v>
      </c>
      <c r="E655" s="45" t="s">
        <v>3053</v>
      </c>
      <c r="F655" s="45" t="s">
        <v>3054</v>
      </c>
      <c r="G655" s="46" t="s">
        <v>38</v>
      </c>
      <c r="H655" s="48">
        <v>46220</v>
      </c>
      <c r="I655" s="48">
        <v>46231</v>
      </c>
      <c r="J655" s="44" t="s">
        <v>109</v>
      </c>
      <c r="K655" s="44" t="s">
        <v>100</v>
      </c>
      <c r="L655" s="50"/>
      <c r="M655" s="50"/>
      <c r="N655" s="50"/>
      <c r="O655" s="49"/>
      <c r="P655" s="50">
        <f t="shared" si="40"/>
        <v>0</v>
      </c>
      <c r="R655" s="51" t="str">
        <f t="shared" si="41"/>
        <v/>
      </c>
      <c r="T655" s="41"/>
      <c r="U655" s="29">
        <f>IF($C655&lt;&gt;"",COUNTIF($C$2:C655,C655),"")</f>
        <v>5</v>
      </c>
      <c r="V655" s="29" t="str">
        <f t="shared" si="42"/>
        <v>Doç. Dr. Levent KILIÇ§5</v>
      </c>
      <c r="W655" s="29" t="str">
        <f>IF(U655=1,COUNTIF($U$2:U655,1),"")</f>
        <v/>
      </c>
      <c r="X655" s="29" t="str">
        <f t="shared" si="43"/>
        <v/>
      </c>
      <c r="Y655" s="29">
        <f>IF(AND(LEFT($B655,7)="SBA 26/",$D655&lt;&gt;"",$F655&lt;&gt;""),COUNTIFS($D$2:$D655,$D655,$B$2:$B655,"SBA 26/*",$F$2:$F655,"&lt;&gt;"),"")</f>
        <v>114</v>
      </c>
      <c r="Z655" s="29" t="str">
        <f>IF(Y655=1,COUNTIF($Y$2:Y655,1),"")</f>
        <v/>
      </c>
      <c r="AA655" s="29">
        <f>IF(AND(LEFT($B655,7)="SBA 26/",$C655&lt;&gt;"",$F655&lt;&gt;""),COUNTIFS($C$2:$C655,$C655,$B$2:$B655,"SBA 26/*",$F$2:$F655,"&lt;&gt;"),"")</f>
        <v>5</v>
      </c>
      <c r="AB655" s="29" t="str">
        <f>IF(AA655=1,COUNTIF($AA$2:AA655,1),"")</f>
        <v/>
      </c>
    </row>
    <row r="656" spans="1:28" ht="63" customHeight="1" x14ac:dyDescent="0.2">
      <c r="A656" s="43" t="s">
        <v>3055</v>
      </c>
      <c r="B656" s="43" t="s">
        <v>3056</v>
      </c>
      <c r="C656" s="44" t="s">
        <v>3057</v>
      </c>
      <c r="D656" s="44" t="s">
        <v>113</v>
      </c>
      <c r="E656" s="45" t="s">
        <v>3058</v>
      </c>
      <c r="F656" s="45" t="s">
        <v>3059</v>
      </c>
      <c r="G656" s="46" t="s">
        <v>38</v>
      </c>
      <c r="H656" s="48">
        <v>46220</v>
      </c>
      <c r="I656" s="48">
        <v>46231</v>
      </c>
      <c r="J656" s="44" t="s">
        <v>92</v>
      </c>
      <c r="K656" s="44" t="s">
        <v>129</v>
      </c>
      <c r="L656" s="50"/>
      <c r="M656" s="50"/>
      <c r="N656" s="50"/>
      <c r="O656" s="49"/>
      <c r="P656" s="50">
        <f t="shared" si="40"/>
        <v>0</v>
      </c>
      <c r="R656" s="51" t="str">
        <f t="shared" si="41"/>
        <v/>
      </c>
      <c r="T656" s="41"/>
      <c r="U656" s="29">
        <f>IF($C656&lt;&gt;"",COUNTIF($C$2:C656,C656),"")</f>
        <v>1</v>
      </c>
      <c r="V656" s="29" t="str">
        <f t="shared" si="42"/>
        <v>Prof. Dr. Ali AKDOĞAN§1</v>
      </c>
      <c r="W656" s="29">
        <f>IF(U656=1,COUNTIF($U$2:U656,1),"")</f>
        <v>321</v>
      </c>
      <c r="X656" s="29">
        <f t="shared" si="43"/>
        <v>181</v>
      </c>
      <c r="Y656" s="29">
        <f>IF(AND(LEFT($B656,7)="SBA 26/",$D656&lt;&gt;"",$F656&lt;&gt;""),COUNTIFS($D$2:$D656,$D656,$B$2:$B656,"SBA 26/*",$F$2:$F656,"&lt;&gt;"),"")</f>
        <v>115</v>
      </c>
      <c r="Z656" s="29" t="str">
        <f>IF(Y656=1,COUNTIF($Y$2:Y656,1),"")</f>
        <v/>
      </c>
      <c r="AA656" s="29">
        <f>IF(AND(LEFT($B656,7)="SBA 26/",$C656&lt;&gt;"",$F656&lt;&gt;""),COUNTIFS($C$2:$C656,$C656,$B$2:$B656,"SBA 26/*",$F$2:$F656,"&lt;&gt;"),"")</f>
        <v>1</v>
      </c>
      <c r="AB656" s="29">
        <f>IF(AA656=1,COUNTIF($AA$2:AA656,1),"")</f>
        <v>321</v>
      </c>
    </row>
    <row r="657" spans="1:28" ht="78.75" customHeight="1" x14ac:dyDescent="0.2">
      <c r="A657" s="43" t="s">
        <v>3060</v>
      </c>
      <c r="B657" s="43" t="s">
        <v>3061</v>
      </c>
      <c r="C657" s="44" t="s">
        <v>2231</v>
      </c>
      <c r="D657" s="44" t="s">
        <v>484</v>
      </c>
      <c r="E657" s="45" t="s">
        <v>3062</v>
      </c>
      <c r="F657" s="45" t="s">
        <v>3063</v>
      </c>
      <c r="G657" s="46" t="s">
        <v>39</v>
      </c>
      <c r="H657" s="48">
        <v>46220</v>
      </c>
      <c r="I657" s="48">
        <v>46231</v>
      </c>
      <c r="J657" s="44" t="s">
        <v>92</v>
      </c>
      <c r="K657" s="44" t="s">
        <v>100</v>
      </c>
      <c r="L657" s="50" t="s">
        <v>77</v>
      </c>
      <c r="M657" s="50"/>
      <c r="N657" s="50"/>
      <c r="O657" s="49"/>
      <c r="P657" s="50" t="str">
        <f t="shared" si="40"/>
        <v>ONAY</v>
      </c>
      <c r="R657" s="51" t="str">
        <f t="shared" si="41"/>
        <v/>
      </c>
      <c r="T657" s="41"/>
      <c r="U657" s="29">
        <f>IF($C657&lt;&gt;"",COUNTIF($C$2:C657,C657),"")</f>
        <v>2</v>
      </c>
      <c r="V657" s="29" t="str">
        <f t="shared" si="42"/>
        <v>Prof. Dr. Şevket Murat ÖZBEK§2</v>
      </c>
      <c r="W657" s="29" t="str">
        <f>IF(U657=1,COUNTIF($U$2:U657,1),"")</f>
        <v/>
      </c>
      <c r="X657" s="29" t="str">
        <f t="shared" si="43"/>
        <v/>
      </c>
      <c r="Y657" s="29">
        <f>IF(AND(LEFT($B657,7)="SBA 26/",$D657&lt;&gt;"",$F657&lt;&gt;""),COUNTIFS($D$2:$D657,$D657,$B$2:$B657,"SBA 26/*",$F$2:$F657,"&lt;&gt;"),"")</f>
        <v>7</v>
      </c>
      <c r="Z657" s="29" t="str">
        <f>IF(Y657=1,COUNTIF($Y$2:Y657,1),"")</f>
        <v/>
      </c>
      <c r="AA657" s="29">
        <f>IF(AND(LEFT($B657,7)="SBA 26/",$C657&lt;&gt;"",$F657&lt;&gt;""),COUNTIFS($C$2:$C657,$C657,$B$2:$B657,"SBA 26/*",$F$2:$F657,"&lt;&gt;"),"")</f>
        <v>2</v>
      </c>
      <c r="AB657" s="29" t="str">
        <f>IF(AA657=1,COUNTIF($AA$2:AA657,1),"")</f>
        <v/>
      </c>
    </row>
    <row r="658" spans="1:28" ht="94.5" customHeight="1" x14ac:dyDescent="0.2">
      <c r="A658" s="43" t="s">
        <v>3064</v>
      </c>
      <c r="B658" s="43" t="s">
        <v>3065</v>
      </c>
      <c r="C658" s="44" t="s">
        <v>3066</v>
      </c>
      <c r="D658" s="44" t="s">
        <v>1596</v>
      </c>
      <c r="E658" s="45" t="s">
        <v>3067</v>
      </c>
      <c r="F658" s="45" t="s">
        <v>3068</v>
      </c>
      <c r="G658" s="46" t="s">
        <v>39</v>
      </c>
      <c r="H658" s="48">
        <v>46223</v>
      </c>
      <c r="I658" s="48">
        <v>46231</v>
      </c>
      <c r="J658" s="44" t="s">
        <v>123</v>
      </c>
      <c r="K658" s="44" t="s">
        <v>116</v>
      </c>
      <c r="L658" s="50" t="s">
        <v>77</v>
      </c>
      <c r="M658" s="50"/>
      <c r="N658" s="50"/>
      <c r="O658" s="49"/>
      <c r="P658" s="50" t="str">
        <f t="shared" si="40"/>
        <v>ONAY</v>
      </c>
      <c r="R658" s="51" t="str">
        <f t="shared" si="41"/>
        <v/>
      </c>
      <c r="T658" s="41"/>
      <c r="U658" s="29">
        <f>IF($C658&lt;&gt;"",COUNTIF($C$2:C658,C658),"")</f>
        <v>1</v>
      </c>
      <c r="V658" s="29" t="str">
        <f t="shared" si="42"/>
        <v>Prof. Dr. Meryem UZAMIŞ TEKÇİÇEK§1</v>
      </c>
      <c r="W658" s="29">
        <f>IF(U658=1,COUNTIF($U$2:U658,1),"")</f>
        <v>322</v>
      </c>
      <c r="X658" s="29">
        <f t="shared" si="43"/>
        <v>266</v>
      </c>
      <c r="Y658" s="29">
        <f>IF(AND(LEFT($B658,7)="SBA 26/",$D658&lt;&gt;"",$F658&lt;&gt;""),COUNTIFS($D$2:$D658,$D658,$B$2:$B658,"SBA 26/*",$F$2:$F658,"&lt;&gt;"),"")</f>
        <v>3</v>
      </c>
      <c r="Z658" s="29" t="str">
        <f>IF(Y658=1,COUNTIF($Y$2:Y658,1),"")</f>
        <v/>
      </c>
      <c r="AA658" s="29">
        <f>IF(AND(LEFT($B658,7)="SBA 26/",$C658&lt;&gt;"",$F658&lt;&gt;""),COUNTIFS($C$2:$C658,$C658,$B$2:$B658,"SBA 26/*",$F$2:$F658,"&lt;&gt;"),"")</f>
        <v>1</v>
      </c>
      <c r="AB658" s="29">
        <f>IF(AA658=1,COUNTIF($AA$2:AA658,1),"")</f>
        <v>322</v>
      </c>
    </row>
    <row r="659" spans="1:28" ht="78.75" customHeight="1" x14ac:dyDescent="0.2">
      <c r="A659" s="43" t="s">
        <v>3069</v>
      </c>
      <c r="B659" s="43" t="s">
        <v>3070</v>
      </c>
      <c r="C659" s="44" t="s">
        <v>1063</v>
      </c>
      <c r="D659" s="44" t="s">
        <v>484</v>
      </c>
      <c r="E659" s="45" t="s">
        <v>3071</v>
      </c>
      <c r="F659" s="45" t="s">
        <v>3072</v>
      </c>
      <c r="G659" s="46" t="s">
        <v>39</v>
      </c>
      <c r="H659" s="48">
        <v>46223</v>
      </c>
      <c r="I659" s="48">
        <v>46231</v>
      </c>
      <c r="J659" s="44" t="s">
        <v>123</v>
      </c>
      <c r="K659" s="44" t="s">
        <v>116</v>
      </c>
      <c r="L659" s="50"/>
      <c r="M659" s="50"/>
      <c r="N659" s="50"/>
      <c r="O659" s="49"/>
      <c r="P659" s="50">
        <f t="shared" si="40"/>
        <v>0</v>
      </c>
      <c r="R659" s="51" t="str">
        <f t="shared" si="41"/>
        <v/>
      </c>
      <c r="T659" s="41"/>
      <c r="U659" s="29">
        <f>IF($C659&lt;&gt;"",COUNTIF($C$2:C659,C659),"")</f>
        <v>2</v>
      </c>
      <c r="V659" s="29" t="str">
        <f t="shared" si="42"/>
        <v>Dr. Öğr. Üyesi Hatice BOYACIOĞLU ERDEN§2</v>
      </c>
      <c r="W659" s="29" t="str">
        <f>IF(U659=1,COUNTIF($U$2:U659,1),"")</f>
        <v/>
      </c>
      <c r="X659" s="29" t="str">
        <f t="shared" si="43"/>
        <v/>
      </c>
      <c r="Y659" s="29">
        <f>IF(AND(LEFT($B659,7)="SBA 26/",$D659&lt;&gt;"",$F659&lt;&gt;""),COUNTIFS($D$2:$D659,$D659,$B$2:$B659,"SBA 26/*",$F$2:$F659,"&lt;&gt;"),"")</f>
        <v>8</v>
      </c>
      <c r="Z659" s="29" t="str">
        <f>IF(Y659=1,COUNTIF($Y$2:Y659,1),"")</f>
        <v/>
      </c>
      <c r="AA659" s="29">
        <f>IF(AND(LEFT($B659,7)="SBA 26/",$C659&lt;&gt;"",$F659&lt;&gt;""),COUNTIFS($C$2:$C659,$C659,$B$2:$B659,"SBA 26/*",$F$2:$F659,"&lt;&gt;"),"")</f>
        <v>2</v>
      </c>
      <c r="AB659" s="29" t="str">
        <f>IF(AA659=1,COUNTIF($AA$2:AA659,1),"")</f>
        <v/>
      </c>
    </row>
    <row r="660" spans="1:28" ht="94.5" customHeight="1" x14ac:dyDescent="0.2">
      <c r="A660" s="43" t="s">
        <v>3073</v>
      </c>
      <c r="B660" s="43" t="s">
        <v>3074</v>
      </c>
      <c r="C660" s="44" t="s">
        <v>3075</v>
      </c>
      <c r="D660" s="44" t="s">
        <v>222</v>
      </c>
      <c r="E660" s="45" t="s">
        <v>3076</v>
      </c>
      <c r="F660" s="45" t="s">
        <v>3077</v>
      </c>
      <c r="G660" s="46" t="s">
        <v>38</v>
      </c>
      <c r="H660" s="48">
        <v>46223</v>
      </c>
      <c r="I660" s="48">
        <v>46231</v>
      </c>
      <c r="J660" s="44" t="s">
        <v>99</v>
      </c>
      <c r="K660" s="44" t="s">
        <v>100</v>
      </c>
      <c r="L660" s="50"/>
      <c r="M660" s="50"/>
      <c r="N660" s="50"/>
      <c r="O660" s="49"/>
      <c r="P660" s="50">
        <f t="shared" si="40"/>
        <v>0</v>
      </c>
      <c r="R660" s="51" t="str">
        <f t="shared" si="41"/>
        <v/>
      </c>
      <c r="T660" s="41"/>
      <c r="U660" s="29">
        <f>IF($C660&lt;&gt;"",COUNTIF($C$2:C660,C660),"")</f>
        <v>1</v>
      </c>
      <c r="V660" s="29" t="str">
        <f t="shared" si="42"/>
        <v>Prof. Dr. Özge UYSAL SOYER§1</v>
      </c>
      <c r="W660" s="29">
        <f>IF(U660=1,COUNTIF($U$2:U660,1),"")</f>
        <v>323</v>
      </c>
      <c r="X660" s="29">
        <f t="shared" si="43"/>
        <v>289</v>
      </c>
      <c r="Y660" s="29">
        <f>IF(AND(LEFT($B660,7)="SBA 26/",$D660&lt;&gt;"",$F660&lt;&gt;""),COUNTIFS($D$2:$D660,$D660,$B$2:$B660,"SBA 26/*",$F$2:$F660,"&lt;&gt;"),"")</f>
        <v>111</v>
      </c>
      <c r="Z660" s="29" t="str">
        <f>IF(Y660=1,COUNTIF($Y$2:Y660,1),"")</f>
        <v/>
      </c>
      <c r="AA660" s="29">
        <f>IF(AND(LEFT($B660,7)="SBA 26/",$C660&lt;&gt;"",$F660&lt;&gt;""),COUNTIFS($C$2:$C660,$C660,$B$2:$B660,"SBA 26/*",$F$2:$F660,"&lt;&gt;"),"")</f>
        <v>1</v>
      </c>
      <c r="AB660" s="29">
        <f>IF(AA660=1,COUNTIF($AA$2:AA660,1),"")</f>
        <v>323</v>
      </c>
    </row>
    <row r="661" spans="1:28" ht="111.75" customHeight="1" x14ac:dyDescent="0.2">
      <c r="A661" s="43" t="s">
        <v>3078</v>
      </c>
      <c r="B661" s="43" t="s">
        <v>3079</v>
      </c>
      <c r="C661" s="44" t="s">
        <v>3075</v>
      </c>
      <c r="D661" s="44" t="s">
        <v>222</v>
      </c>
      <c r="E661" s="45" t="s">
        <v>3080</v>
      </c>
      <c r="F661" s="45" t="s">
        <v>3081</v>
      </c>
      <c r="G661" s="46" t="s">
        <v>38</v>
      </c>
      <c r="H661" s="48">
        <v>46223</v>
      </c>
      <c r="I661" s="48">
        <v>46231</v>
      </c>
      <c r="J661" s="44" t="s">
        <v>99</v>
      </c>
      <c r="K661" s="44" t="s">
        <v>100</v>
      </c>
      <c r="L661" s="50" t="s">
        <v>172</v>
      </c>
      <c r="M661" s="50"/>
      <c r="N661" s="50"/>
      <c r="O661" s="49"/>
      <c r="P661" s="50" t="str">
        <f t="shared" si="40"/>
        <v>RET</v>
      </c>
      <c r="R661" s="51" t="str">
        <f t="shared" si="41"/>
        <v/>
      </c>
      <c r="T661" s="41"/>
      <c r="U661" s="29">
        <f>IF($C661&lt;&gt;"",COUNTIF($C$2:C661,C661),"")</f>
        <v>2</v>
      </c>
      <c r="V661" s="29" t="str">
        <f t="shared" si="42"/>
        <v>Prof. Dr. Özge UYSAL SOYER§2</v>
      </c>
      <c r="W661" s="29" t="str">
        <f>IF(U661=1,COUNTIF($U$2:U661,1),"")</f>
        <v/>
      </c>
      <c r="X661" s="29" t="str">
        <f t="shared" si="43"/>
        <v/>
      </c>
      <c r="Y661" s="29">
        <f>IF(AND(LEFT($B661,7)="SBA 26/",$D661&lt;&gt;"",$F661&lt;&gt;""),COUNTIFS($D$2:$D661,$D661,$B$2:$B661,"SBA 26/*",$F$2:$F661,"&lt;&gt;"),"")</f>
        <v>112</v>
      </c>
      <c r="Z661" s="29" t="str">
        <f>IF(Y661=1,COUNTIF($Y$2:Y661,1),"")</f>
        <v/>
      </c>
      <c r="AA661" s="29">
        <f>IF(AND(LEFT($B661,7)="SBA 26/",$C661&lt;&gt;"",$F661&lt;&gt;""),COUNTIFS($C$2:$C661,$C661,$B$2:$B661,"SBA 26/*",$F$2:$F661,"&lt;&gt;"),"")</f>
        <v>2</v>
      </c>
      <c r="AB661" s="29" t="str">
        <f>IF(AA661=1,COUNTIF($AA$2:AA661,1),"")</f>
        <v/>
      </c>
    </row>
    <row r="662" spans="1:28" ht="78.75" customHeight="1" x14ac:dyDescent="0.2">
      <c r="A662" s="43" t="s">
        <v>3082</v>
      </c>
      <c r="B662" s="43" t="s">
        <v>3083</v>
      </c>
      <c r="C662" s="44" t="s">
        <v>162</v>
      </c>
      <c r="D662" s="44" t="s">
        <v>163</v>
      </c>
      <c r="E662" s="45" t="s">
        <v>239</v>
      </c>
      <c r="F662" s="45" t="s">
        <v>3084</v>
      </c>
      <c r="G662" s="46" t="s">
        <v>38</v>
      </c>
      <c r="H662" s="48">
        <v>46223</v>
      </c>
      <c r="I662" s="48">
        <v>46231</v>
      </c>
      <c r="J662" s="44" t="s">
        <v>116</v>
      </c>
      <c r="K662" s="44" t="s">
        <v>129</v>
      </c>
      <c r="L662" s="50" t="s">
        <v>77</v>
      </c>
      <c r="M662" s="50"/>
      <c r="N662" s="50"/>
      <c r="O662" s="49"/>
      <c r="P662" s="50" t="str">
        <f t="shared" si="40"/>
        <v>ONAY</v>
      </c>
      <c r="R662" s="51" t="str">
        <f t="shared" si="41"/>
        <v/>
      </c>
      <c r="T662" s="41"/>
      <c r="U662" s="29">
        <f>IF($C662&lt;&gt;"",COUNTIF($C$2:C662,C662),"")</f>
        <v>3</v>
      </c>
      <c r="V662" s="29" t="str">
        <f t="shared" si="42"/>
        <v>Dr. Öğr. Üyesi Yiğitcan KARANFİL§3</v>
      </c>
      <c r="W662" s="29" t="str">
        <f>IF(U662=1,COUNTIF($U$2:U662,1),"")</f>
        <v/>
      </c>
      <c r="X662" s="29" t="str">
        <f t="shared" si="43"/>
        <v/>
      </c>
      <c r="Y662" s="29">
        <f>IF(AND(LEFT($B662,7)="SBA 26/",$D662&lt;&gt;"",$F662&lt;&gt;""),COUNTIFS($D$2:$D662,$D662,$B$2:$B662,"SBA 26/*",$F$2:$F662,"&lt;&gt;"),"")</f>
        <v>4</v>
      </c>
      <c r="Z662" s="29" t="str">
        <f>IF(Y662=1,COUNTIF($Y$2:Y662,1),"")</f>
        <v/>
      </c>
      <c r="AA662" s="29">
        <f>IF(AND(LEFT($B662,7)="SBA 26/",$C662&lt;&gt;"",$F662&lt;&gt;""),COUNTIFS($C$2:$C662,$C662,$B$2:$B662,"SBA 26/*",$F$2:$F662,"&lt;&gt;"),"")</f>
        <v>3</v>
      </c>
      <c r="AB662" s="29" t="str">
        <f>IF(AA662=1,COUNTIF($AA$2:AA662,1),"")</f>
        <v/>
      </c>
    </row>
    <row r="663" spans="1:28" ht="110.25" customHeight="1" x14ac:dyDescent="0.2">
      <c r="A663" s="43" t="s">
        <v>3085</v>
      </c>
      <c r="B663" s="43" t="s">
        <v>3086</v>
      </c>
      <c r="C663" s="44" t="s">
        <v>681</v>
      </c>
      <c r="D663" s="44" t="s">
        <v>113</v>
      </c>
      <c r="E663" s="45" t="s">
        <v>3087</v>
      </c>
      <c r="F663" s="45" t="s">
        <v>3088</v>
      </c>
      <c r="G663" s="46" t="s">
        <v>38</v>
      </c>
      <c r="H663" s="48">
        <v>46223</v>
      </c>
      <c r="I663" s="48">
        <v>46231</v>
      </c>
      <c r="J663" s="44" t="s">
        <v>129</v>
      </c>
      <c r="K663" s="44" t="s">
        <v>99</v>
      </c>
      <c r="L663" s="50" t="s">
        <v>172</v>
      </c>
      <c r="M663" s="50"/>
      <c r="N663" s="50"/>
      <c r="O663" s="49"/>
      <c r="P663" s="50" t="str">
        <f t="shared" si="40"/>
        <v>RET</v>
      </c>
      <c r="R663" s="51" t="str">
        <f t="shared" si="41"/>
        <v/>
      </c>
      <c r="T663" s="41"/>
      <c r="U663" s="29">
        <f>IF($C663&lt;&gt;"",COUNTIF($C$2:C663,C663),"")</f>
        <v>4</v>
      </c>
      <c r="V663" s="29" t="str">
        <f t="shared" si="42"/>
        <v>Prof. Dr. Hatice Yasemin BALABAN§4</v>
      </c>
      <c r="W663" s="29" t="str">
        <f>IF(U663=1,COUNTIF($U$2:U663,1),"")</f>
        <v/>
      </c>
      <c r="X663" s="29" t="str">
        <f t="shared" si="43"/>
        <v/>
      </c>
      <c r="Y663" s="29">
        <f>IF(AND(LEFT($B663,7)="SBA 26/",$D663&lt;&gt;"",$F663&lt;&gt;""),COUNTIFS($D$2:$D663,$D663,$B$2:$B663,"SBA 26/*",$F$2:$F663,"&lt;&gt;"),"")</f>
        <v>116</v>
      </c>
      <c r="Z663" s="29" t="str">
        <f>IF(Y663=1,COUNTIF($Y$2:Y663,1),"")</f>
        <v/>
      </c>
      <c r="AA663" s="29">
        <f>IF(AND(LEFT($B663,7)="SBA 26/",$C663&lt;&gt;"",$F663&lt;&gt;""),COUNTIFS($C$2:$C663,$C663,$B$2:$B663,"SBA 26/*",$F$2:$F663,"&lt;&gt;"),"")</f>
        <v>4</v>
      </c>
      <c r="AB663" s="29" t="str">
        <f>IF(AA663=1,COUNTIF($AA$2:AA663,1),"")</f>
        <v/>
      </c>
    </row>
    <row r="664" spans="1:28" ht="63" customHeight="1" x14ac:dyDescent="0.2">
      <c r="A664" s="43" t="s">
        <v>3089</v>
      </c>
      <c r="B664" s="43" t="s">
        <v>3090</v>
      </c>
      <c r="C664" s="44" t="s">
        <v>957</v>
      </c>
      <c r="D664" s="44" t="s">
        <v>404</v>
      </c>
      <c r="E664" s="45" t="s">
        <v>3091</v>
      </c>
      <c r="F664" s="45" t="s">
        <v>3092</v>
      </c>
      <c r="G664" s="46" t="s">
        <v>38</v>
      </c>
      <c r="H664" s="48">
        <v>46223</v>
      </c>
      <c r="I664" s="48">
        <v>46231</v>
      </c>
      <c r="J664" s="44" t="s">
        <v>108</v>
      </c>
      <c r="K664" s="44" t="s">
        <v>76</v>
      </c>
      <c r="L664" s="50" t="s">
        <v>77</v>
      </c>
      <c r="M664" s="50"/>
      <c r="N664" s="50"/>
      <c r="O664" s="49"/>
      <c r="P664" s="50" t="str">
        <f t="shared" si="40"/>
        <v>ONAY</v>
      </c>
      <c r="R664" s="51" t="str">
        <f t="shared" si="41"/>
        <v/>
      </c>
      <c r="T664" s="41"/>
      <c r="U664" s="29">
        <f>IF($C664&lt;&gt;"",COUNTIF($C$2:C664,C664),"")</f>
        <v>4</v>
      </c>
      <c r="V664" s="29" t="str">
        <f t="shared" si="42"/>
        <v>Doç. Dr. Mesut ALTAN§4</v>
      </c>
      <c r="W664" s="29" t="str">
        <f>IF(U664=1,COUNTIF($U$2:U664,1),"")</f>
        <v/>
      </c>
      <c r="X664" s="29" t="str">
        <f t="shared" si="43"/>
        <v/>
      </c>
      <c r="Y664" s="29">
        <f>IF(AND(LEFT($B664,7)="SBA 26/",$D664&lt;&gt;"",$F664&lt;&gt;""),COUNTIFS($D$2:$D664,$D664,$B$2:$B664,"SBA 26/*",$F$2:$F664,"&lt;&gt;"),"")</f>
        <v>8</v>
      </c>
      <c r="Z664" s="29" t="str">
        <f>IF(Y664=1,COUNTIF($Y$2:Y664,1),"")</f>
        <v/>
      </c>
      <c r="AA664" s="29">
        <f>IF(AND(LEFT($B664,7)="SBA 26/",$C664&lt;&gt;"",$F664&lt;&gt;""),COUNTIFS($C$2:$C664,$C664,$B$2:$B664,"SBA 26/*",$F$2:$F664,"&lt;&gt;"),"")</f>
        <v>4</v>
      </c>
      <c r="AB664" s="29" t="str">
        <f>IF(AA664=1,COUNTIF($AA$2:AA664,1),"")</f>
        <v/>
      </c>
    </row>
    <row r="665" spans="1:28" ht="110.25" customHeight="1" x14ac:dyDescent="0.2">
      <c r="A665" s="43" t="s">
        <v>3093</v>
      </c>
      <c r="B665" s="43" t="s">
        <v>3094</v>
      </c>
      <c r="C665" s="44" t="s">
        <v>3095</v>
      </c>
      <c r="D665" s="44" t="s">
        <v>222</v>
      </c>
      <c r="E665" s="45" t="s">
        <v>3096</v>
      </c>
      <c r="F665" s="45" t="s">
        <v>3097</v>
      </c>
      <c r="G665" s="46" t="s">
        <v>38</v>
      </c>
      <c r="H665" s="48">
        <v>46224</v>
      </c>
      <c r="I665" s="48">
        <v>46231</v>
      </c>
      <c r="J665" s="44" t="s">
        <v>100</v>
      </c>
      <c r="K665" s="44" t="s">
        <v>76</v>
      </c>
      <c r="L665" s="50" t="s">
        <v>77</v>
      </c>
      <c r="M665" s="50"/>
      <c r="N665" s="50"/>
      <c r="O665" s="49"/>
      <c r="P665" s="50" t="str">
        <f t="shared" si="40"/>
        <v>ONAY</v>
      </c>
      <c r="R665" s="51" t="str">
        <f t="shared" si="41"/>
        <v/>
      </c>
      <c r="T665" s="41"/>
      <c r="U665" s="29">
        <f>IF($C665&lt;&gt;"",COUNTIF($C$2:C665,C665),"")</f>
        <v>1</v>
      </c>
      <c r="V665" s="29" t="str">
        <f t="shared" si="42"/>
        <v>Arş. Gör. Dr. İsmail Çağrı ÖZÜTOK§1</v>
      </c>
      <c r="W665" s="29">
        <f>IF(U665=1,COUNTIF($U$2:U665,1),"")</f>
        <v>324</v>
      </c>
      <c r="X665" s="29">
        <f t="shared" si="43"/>
        <v>3</v>
      </c>
      <c r="Y665" s="29">
        <f>IF(AND(LEFT($B665,7)="SBA 26/",$D665&lt;&gt;"",$F665&lt;&gt;""),COUNTIFS($D$2:$D665,$D665,$B$2:$B665,"SBA 26/*",$F$2:$F665,"&lt;&gt;"),"")</f>
        <v>113</v>
      </c>
      <c r="Z665" s="29" t="str">
        <f>IF(Y665=1,COUNTIF($Y$2:Y665,1),"")</f>
        <v/>
      </c>
      <c r="AA665" s="29">
        <f>IF(AND(LEFT($B665,7)="SBA 26/",$C665&lt;&gt;"",$F665&lt;&gt;""),COUNTIFS($C$2:$C665,$C665,$B$2:$B665,"SBA 26/*",$F$2:$F665,"&lt;&gt;"),"")</f>
        <v>1</v>
      </c>
      <c r="AB665" s="29">
        <f>IF(AA665=1,COUNTIF($AA$2:AA665,1),"")</f>
        <v>324</v>
      </c>
    </row>
    <row r="666" spans="1:28" ht="80.25" customHeight="1" x14ac:dyDescent="0.2">
      <c r="A666" s="43" t="s">
        <v>3098</v>
      </c>
      <c r="B666" s="43" t="s">
        <v>3099</v>
      </c>
      <c r="C666" s="44" t="s">
        <v>3100</v>
      </c>
      <c r="D666" s="44" t="s">
        <v>113</v>
      </c>
      <c r="E666" s="45" t="s">
        <v>3101</v>
      </c>
      <c r="F666" s="45" t="s">
        <v>3102</v>
      </c>
      <c r="G666" s="46" t="s">
        <v>38</v>
      </c>
      <c r="H666" s="48">
        <v>46224</v>
      </c>
      <c r="I666" s="48">
        <v>46231</v>
      </c>
      <c r="J666" s="44" t="s">
        <v>75</v>
      </c>
      <c r="K666" s="44" t="s">
        <v>129</v>
      </c>
      <c r="L666" s="50" t="s">
        <v>77</v>
      </c>
      <c r="M666" s="50"/>
      <c r="N666" s="50"/>
      <c r="O666" s="49"/>
      <c r="P666" s="50" t="str">
        <f t="shared" si="40"/>
        <v>ONAY</v>
      </c>
      <c r="R666" s="51" t="str">
        <f t="shared" si="41"/>
        <v/>
      </c>
      <c r="T666" s="41"/>
      <c r="U666" s="29">
        <f>IF($C666&lt;&gt;"",COUNTIF($C$2:C666,C666),"")</f>
        <v>1</v>
      </c>
      <c r="V666" s="29" t="str">
        <f t="shared" si="42"/>
        <v>Dr. Öğr. Üyesi Bengi ÖZTÜRK§1</v>
      </c>
      <c r="W666" s="29">
        <f>IF(U666=1,COUNTIF($U$2:U666,1),"")</f>
        <v>325</v>
      </c>
      <c r="X666" s="29">
        <f t="shared" si="43"/>
        <v>120</v>
      </c>
      <c r="Y666" s="29">
        <f>IF(AND(LEFT($B666,7)="SBA 26/",$D666&lt;&gt;"",$F666&lt;&gt;""),COUNTIFS($D$2:$D666,$D666,$B$2:$B666,"SBA 26/*",$F$2:$F666,"&lt;&gt;"),"")</f>
        <v>117</v>
      </c>
      <c r="Z666" s="29" t="str">
        <f>IF(Y666=1,COUNTIF($Y$2:Y666,1),"")</f>
        <v/>
      </c>
      <c r="AA666" s="29">
        <f>IF(AND(LEFT($B666,7)="SBA 26/",$C666&lt;&gt;"",$F666&lt;&gt;""),COUNTIFS($C$2:$C666,$C666,$B$2:$B666,"SBA 26/*",$F$2:$F666,"&lt;&gt;"),"")</f>
        <v>1</v>
      </c>
      <c r="AB666" s="29">
        <f>IF(AA666=1,COUNTIF($AA$2:AA666,1),"")</f>
        <v>325</v>
      </c>
    </row>
    <row r="667" spans="1:28" ht="78.75" customHeight="1" x14ac:dyDescent="0.2">
      <c r="A667" s="43" t="s">
        <v>3103</v>
      </c>
      <c r="B667" s="43" t="s">
        <v>3104</v>
      </c>
      <c r="C667" s="44" t="s">
        <v>2369</v>
      </c>
      <c r="D667" s="44" t="s">
        <v>291</v>
      </c>
      <c r="E667" s="45" t="s">
        <v>3105</v>
      </c>
      <c r="F667" s="45" t="s">
        <v>3106</v>
      </c>
      <c r="G667" s="46" t="s">
        <v>38</v>
      </c>
      <c r="H667" s="48">
        <v>46225</v>
      </c>
      <c r="I667" s="48">
        <v>46231</v>
      </c>
      <c r="J667" s="44" t="s">
        <v>75</v>
      </c>
      <c r="K667" s="44" t="s">
        <v>84</v>
      </c>
      <c r="L667" s="50" t="s">
        <v>77</v>
      </c>
      <c r="M667" s="50"/>
      <c r="N667" s="50"/>
      <c r="O667" s="49"/>
      <c r="P667" s="50" t="str">
        <f t="shared" si="40"/>
        <v>ONAY</v>
      </c>
      <c r="R667" s="51" t="str">
        <f t="shared" si="41"/>
        <v/>
      </c>
      <c r="T667" s="41"/>
      <c r="U667" s="29">
        <f>IF($C667&lt;&gt;"",COUNTIF($C$2:C667,C667),"")</f>
        <v>2</v>
      </c>
      <c r="V667" s="29" t="str">
        <f t="shared" si="42"/>
        <v>Prof. Dr. Levent SENNAROĞLU§2</v>
      </c>
      <c r="W667" s="29" t="str">
        <f>IF(U667=1,COUNTIF($U$2:U667,1),"")</f>
        <v/>
      </c>
      <c r="X667" s="29" t="str">
        <f t="shared" si="43"/>
        <v/>
      </c>
      <c r="Y667" s="29">
        <f>IF(AND(LEFT($B667,7)="SBA 26/",$D667&lt;&gt;"",$F667&lt;&gt;""),COUNTIFS($D$2:$D667,$D667,$B$2:$B667,"SBA 26/*",$F$2:$F667,"&lt;&gt;"),"")</f>
        <v>14</v>
      </c>
      <c r="Z667" s="29" t="str">
        <f>IF(Y667=1,COUNTIF($Y$2:Y667,1),"")</f>
        <v/>
      </c>
      <c r="AA667" s="29">
        <f>IF(AND(LEFT($B667,7)="SBA 26/",$C667&lt;&gt;"",$F667&lt;&gt;""),COUNTIFS($C$2:$C667,$C667,$B$2:$B667,"SBA 26/*",$F$2:$F667,"&lt;&gt;"),"")</f>
        <v>2</v>
      </c>
      <c r="AB667" s="29" t="str">
        <f>IF(AA667=1,COUNTIF($AA$2:AA667,1),"")</f>
        <v/>
      </c>
    </row>
    <row r="668" spans="1:28" ht="143.25" customHeight="1" x14ac:dyDescent="0.2">
      <c r="A668" s="43" t="s">
        <v>3107</v>
      </c>
      <c r="B668" s="43" t="s">
        <v>3108</v>
      </c>
      <c r="C668" s="44" t="s">
        <v>3109</v>
      </c>
      <c r="D668" s="44" t="s">
        <v>3110</v>
      </c>
      <c r="E668" s="45" t="s">
        <v>3111</v>
      </c>
      <c r="F668" s="45" t="s">
        <v>3112</v>
      </c>
      <c r="G668" s="46" t="s">
        <v>38</v>
      </c>
      <c r="H668" s="48">
        <v>46225</v>
      </c>
      <c r="I668" s="48">
        <v>46231</v>
      </c>
      <c r="J668" s="44" t="s">
        <v>109</v>
      </c>
      <c r="K668" s="44" t="s">
        <v>92</v>
      </c>
      <c r="L668" s="50"/>
      <c r="M668" s="50"/>
      <c r="N668" s="50"/>
      <c r="O668" s="49"/>
      <c r="P668" s="50">
        <f t="shared" si="40"/>
        <v>0</v>
      </c>
      <c r="R668" s="51" t="str">
        <f t="shared" si="41"/>
        <v/>
      </c>
      <c r="T668" s="41"/>
      <c r="U668" s="29">
        <f>IF($C668&lt;&gt;"",COUNTIF($C$2:C668,C668),"")</f>
        <v>1</v>
      </c>
      <c r="V668" s="29" t="str">
        <f t="shared" si="42"/>
        <v>Prof. Dr. Turgut Emrah BOZKURT§1</v>
      </c>
      <c r="W668" s="29">
        <f>IF(U668=1,COUNTIF($U$2:U668,1),"")</f>
        <v>326</v>
      </c>
      <c r="X668" s="29">
        <f t="shared" si="43"/>
        <v>323</v>
      </c>
      <c r="Y668" s="29">
        <f>IF(AND(LEFT($B668,7)="SBA 26/",$D668&lt;&gt;"",$F668&lt;&gt;""),COUNTIFS($D$2:$D668,$D668,$B$2:$B668,"SBA 26/*",$F$2:$F668,"&lt;&gt;"),"")</f>
        <v>1</v>
      </c>
      <c r="Z668" s="29">
        <f>IF(Y668=1,COUNTIF($Y$2:Y668,1),"")</f>
        <v>79</v>
      </c>
      <c r="AA668" s="29">
        <f>IF(AND(LEFT($B668,7)="SBA 26/",$C668&lt;&gt;"",$F668&lt;&gt;""),COUNTIFS($C$2:$C668,$C668,$B$2:$B668,"SBA 26/*",$F$2:$F668,"&lt;&gt;"),"")</f>
        <v>1</v>
      </c>
      <c r="AB668" s="29">
        <f>IF(AA668=1,COUNTIF($AA$2:AA668,1),"")</f>
        <v>326</v>
      </c>
    </row>
    <row r="669" spans="1:28" ht="63" customHeight="1" x14ac:dyDescent="0.2">
      <c r="A669" s="43" t="s">
        <v>3113</v>
      </c>
      <c r="B669" s="43" t="s">
        <v>3114</v>
      </c>
      <c r="C669" s="44" t="s">
        <v>1498</v>
      </c>
      <c r="D669" s="44" t="s">
        <v>113</v>
      </c>
      <c r="E669" s="45" t="s">
        <v>3115</v>
      </c>
      <c r="F669" s="45" t="s">
        <v>3116</v>
      </c>
      <c r="G669" s="46" t="s">
        <v>38</v>
      </c>
      <c r="H669" s="48">
        <v>46225</v>
      </c>
      <c r="I669" s="48">
        <v>46231</v>
      </c>
      <c r="J669" s="44" t="s">
        <v>75</v>
      </c>
      <c r="K669" s="44" t="s">
        <v>123</v>
      </c>
      <c r="L669" s="50" t="s">
        <v>77</v>
      </c>
      <c r="M669" s="50"/>
      <c r="N669" s="50"/>
      <c r="O669" s="49"/>
      <c r="P669" s="50" t="str">
        <f t="shared" si="40"/>
        <v>ONAY</v>
      </c>
      <c r="R669" s="51" t="str">
        <f t="shared" si="41"/>
        <v/>
      </c>
      <c r="T669" s="41"/>
      <c r="U669" s="29">
        <f>IF($C669&lt;&gt;"",COUNTIF($C$2:C669,C669),"")</f>
        <v>3</v>
      </c>
      <c r="V669" s="29" t="str">
        <f t="shared" si="42"/>
        <v>Prof. Dr. Hakan GÖKER§3</v>
      </c>
      <c r="W669" s="29" t="str">
        <f>IF(U669=1,COUNTIF($U$2:U669,1),"")</f>
        <v/>
      </c>
      <c r="X669" s="29" t="str">
        <f t="shared" si="43"/>
        <v/>
      </c>
      <c r="Y669" s="29">
        <f>IF(AND(LEFT($B669,7)="SBA 26/",$D669&lt;&gt;"",$F669&lt;&gt;""),COUNTIFS($D$2:$D669,$D669,$B$2:$B669,"SBA 26/*",$F$2:$F669,"&lt;&gt;"),"")</f>
        <v>118</v>
      </c>
      <c r="Z669" s="29" t="str">
        <f>IF(Y669=1,COUNTIF($Y$2:Y669,1),"")</f>
        <v/>
      </c>
      <c r="AA669" s="29">
        <f>IF(AND(LEFT($B669,7)="SBA 26/",$C669&lt;&gt;"",$F669&lt;&gt;""),COUNTIFS($C$2:$C669,$C669,$B$2:$B669,"SBA 26/*",$F$2:$F669,"&lt;&gt;"),"")</f>
        <v>3</v>
      </c>
      <c r="AB669" s="29" t="str">
        <f>IF(AA669=1,COUNTIF($AA$2:AA669,1),"")</f>
        <v/>
      </c>
    </row>
    <row r="670" spans="1:28" ht="64.5" customHeight="1" x14ac:dyDescent="0.2">
      <c r="A670" s="43" t="s">
        <v>3117</v>
      </c>
      <c r="B670" s="43" t="s">
        <v>3118</v>
      </c>
      <c r="C670" s="44" t="s">
        <v>1585</v>
      </c>
      <c r="D670" s="44" t="s">
        <v>113</v>
      </c>
      <c r="E670" s="45" t="s">
        <v>3119</v>
      </c>
      <c r="F670" s="45" t="s">
        <v>3120</v>
      </c>
      <c r="G670" s="46" t="s">
        <v>38</v>
      </c>
      <c r="H670" s="48">
        <v>46225</v>
      </c>
      <c r="I670" s="48">
        <v>46231</v>
      </c>
      <c r="J670" s="44" t="s">
        <v>108</v>
      </c>
      <c r="K670" s="44" t="s">
        <v>123</v>
      </c>
      <c r="L670" s="50" t="s">
        <v>77</v>
      </c>
      <c r="M670" s="50"/>
      <c r="N670" s="50"/>
      <c r="O670" s="49"/>
      <c r="P670" s="50" t="str">
        <f t="shared" si="40"/>
        <v>ONAY</v>
      </c>
      <c r="R670" s="51" t="str">
        <f t="shared" si="41"/>
        <v/>
      </c>
      <c r="T670" s="41"/>
      <c r="U670" s="29">
        <f>IF($C670&lt;&gt;"",COUNTIF($C$2:C670,C670),"")</f>
        <v>7</v>
      </c>
      <c r="V670" s="29" t="str">
        <f t="shared" si="42"/>
        <v>Doç. Dr. Cafer BALCI§7</v>
      </c>
      <c r="W670" s="29" t="str">
        <f>IF(U670=1,COUNTIF($U$2:U670,1),"")</f>
        <v/>
      </c>
      <c r="X670" s="29" t="str">
        <f t="shared" si="43"/>
        <v/>
      </c>
      <c r="Y670" s="29">
        <f>IF(AND(LEFT($B670,7)="SBA 26/",$D670&lt;&gt;"",$F670&lt;&gt;""),COUNTIFS($D$2:$D670,$D670,$B$2:$B670,"SBA 26/*",$F$2:$F670,"&lt;&gt;"),"")</f>
        <v>119</v>
      </c>
      <c r="Z670" s="29" t="str">
        <f>IF(Y670=1,COUNTIF($Y$2:Y670,1),"")</f>
        <v/>
      </c>
      <c r="AA670" s="29">
        <f>IF(AND(LEFT($B670,7)="SBA 26/",$C670&lt;&gt;"",$F670&lt;&gt;""),COUNTIFS($C$2:$C670,$C670,$B$2:$B670,"SBA 26/*",$F$2:$F670,"&lt;&gt;"),"")</f>
        <v>7</v>
      </c>
      <c r="AB670" s="29" t="str">
        <f>IF(AA670=1,COUNTIF($AA$2:AA670,1),"")</f>
        <v/>
      </c>
    </row>
    <row r="671" spans="1:28" ht="78.75" customHeight="1" x14ac:dyDescent="0.2">
      <c r="A671" s="43" t="s">
        <v>3121</v>
      </c>
      <c r="B671" s="43" t="s">
        <v>3122</v>
      </c>
      <c r="C671" s="44" t="s">
        <v>3123</v>
      </c>
      <c r="D671" s="44" t="s">
        <v>1143</v>
      </c>
      <c r="E671" s="45" t="s">
        <v>3124</v>
      </c>
      <c r="F671" s="45" t="s">
        <v>3125</v>
      </c>
      <c r="G671" s="46" t="s">
        <v>39</v>
      </c>
      <c r="H671" s="48">
        <v>46225</v>
      </c>
      <c r="I671" s="48">
        <v>46231</v>
      </c>
      <c r="J671" s="44" t="s">
        <v>75</v>
      </c>
      <c r="K671" s="44" t="s">
        <v>116</v>
      </c>
      <c r="L671" s="50" t="s">
        <v>77</v>
      </c>
      <c r="M671" s="50"/>
      <c r="N671" s="50"/>
      <c r="O671" s="49"/>
      <c r="P671" s="50" t="str">
        <f t="shared" si="40"/>
        <v>ONAY</v>
      </c>
      <c r="R671" s="51" t="str">
        <f t="shared" si="41"/>
        <v/>
      </c>
      <c r="T671" s="41"/>
      <c r="U671" s="29">
        <f>IF($C671&lt;&gt;"",COUNTIF($C$2:C671,C671),"")</f>
        <v>1</v>
      </c>
      <c r="V671" s="29" t="str">
        <f t="shared" si="42"/>
        <v>Doç. Dr. Murat KARA§1</v>
      </c>
      <c r="W671" s="29">
        <f>IF(U671=1,COUNTIF($U$2:U671,1),"")</f>
        <v>327</v>
      </c>
      <c r="X671" s="29">
        <f t="shared" si="43"/>
        <v>81</v>
      </c>
      <c r="Y671" s="29">
        <f>IF(AND(LEFT($B671,7)="SBA 26/",$D671&lt;&gt;"",$F671&lt;&gt;""),COUNTIFS($D$2:$D671,$D671,$B$2:$B671,"SBA 26/*",$F$2:$F671,"&lt;&gt;"),"")</f>
        <v>6</v>
      </c>
      <c r="Z671" s="29" t="str">
        <f>IF(Y671=1,COUNTIF($Y$2:Y671,1),"")</f>
        <v/>
      </c>
      <c r="AA671" s="29">
        <f>IF(AND(LEFT($B671,7)="SBA 26/",$C671&lt;&gt;"",$F671&lt;&gt;""),COUNTIFS($C$2:$C671,$C671,$B$2:$B671,"SBA 26/*",$F$2:$F671,"&lt;&gt;"),"")</f>
        <v>1</v>
      </c>
      <c r="AB671" s="29">
        <f>IF(AA671=1,COUNTIF($AA$2:AA671,1),"")</f>
        <v>327</v>
      </c>
    </row>
    <row r="672" spans="1:28" ht="63" customHeight="1" x14ac:dyDescent="0.2">
      <c r="A672" s="43" t="s">
        <v>3126</v>
      </c>
      <c r="B672" s="43" t="s">
        <v>3127</v>
      </c>
      <c r="C672" s="44" t="s">
        <v>3128</v>
      </c>
      <c r="D672" s="44" t="s">
        <v>3129</v>
      </c>
      <c r="E672" s="45" t="s">
        <v>3130</v>
      </c>
      <c r="F672" s="45" t="s">
        <v>3131</v>
      </c>
      <c r="G672" s="46" t="s">
        <v>38</v>
      </c>
      <c r="H672" s="48">
        <v>46226</v>
      </c>
      <c r="I672" s="48">
        <v>46231</v>
      </c>
      <c r="J672" s="44" t="s">
        <v>75</v>
      </c>
      <c r="K672" s="44" t="s">
        <v>123</v>
      </c>
      <c r="L672" s="50"/>
      <c r="M672" s="50"/>
      <c r="N672" s="50"/>
      <c r="O672" s="49"/>
      <c r="P672" s="50">
        <f t="shared" si="40"/>
        <v>0</v>
      </c>
      <c r="R672" s="51" t="str">
        <f t="shared" si="41"/>
        <v/>
      </c>
      <c r="T672" s="41"/>
      <c r="U672" s="29">
        <f>IF($C672&lt;&gt;"",COUNTIF($C$2:C672,C672),"")</f>
        <v>1</v>
      </c>
      <c r="V672" s="29" t="str">
        <f t="shared" si="42"/>
        <v>Prof. Dr. Esra Burcu SAĞLAM§1</v>
      </c>
      <c r="W672" s="29">
        <f>IF(U672=1,COUNTIF($U$2:U672,1),"")</f>
        <v>328</v>
      </c>
      <c r="X672" s="29">
        <f t="shared" si="43"/>
        <v>221</v>
      </c>
      <c r="Y672" s="29">
        <f>IF(AND(LEFT($B672,7)="SBA 26/",$D672&lt;&gt;"",$F672&lt;&gt;""),COUNTIFS($D$2:$D672,$D672,$B$2:$B672,"SBA 26/*",$F$2:$F672,"&lt;&gt;"),"")</f>
        <v>1</v>
      </c>
      <c r="Z672" s="29">
        <f>IF(Y672=1,COUNTIF($Y$2:Y672,1),"")</f>
        <v>80</v>
      </c>
      <c r="AA672" s="29">
        <f>IF(AND(LEFT($B672,7)="SBA 26/",$C672&lt;&gt;"",$F672&lt;&gt;""),COUNTIFS($C$2:$C672,$C672,$B$2:$B672,"SBA 26/*",$F$2:$F672,"&lt;&gt;"),"")</f>
        <v>1</v>
      </c>
      <c r="AB672" s="29">
        <f>IF(AA672=1,COUNTIF($AA$2:AA672,1),"")</f>
        <v>328</v>
      </c>
    </row>
    <row r="673" spans="1:28" ht="126" customHeight="1" x14ac:dyDescent="0.2">
      <c r="A673" s="43" t="s">
        <v>3132</v>
      </c>
      <c r="B673" s="43" t="s">
        <v>3133</v>
      </c>
      <c r="C673" s="44" t="s">
        <v>3134</v>
      </c>
      <c r="D673" s="44" t="s">
        <v>1143</v>
      </c>
      <c r="E673" s="45" t="s">
        <v>3135</v>
      </c>
      <c r="F673" s="45" t="s">
        <v>3136</v>
      </c>
      <c r="G673" s="46" t="s">
        <v>39</v>
      </c>
      <c r="H673" s="48">
        <v>46227</v>
      </c>
      <c r="I673" s="48">
        <v>46231</v>
      </c>
      <c r="J673" s="44" t="s">
        <v>75</v>
      </c>
      <c r="K673" s="44" t="s">
        <v>84</v>
      </c>
      <c r="L673" s="50" t="s">
        <v>77</v>
      </c>
      <c r="M673" s="50"/>
      <c r="N673" s="50"/>
      <c r="O673" s="49"/>
      <c r="P673" s="50" t="str">
        <f t="shared" si="40"/>
        <v>ONAY</v>
      </c>
      <c r="R673" s="51" t="str">
        <f t="shared" si="41"/>
        <v/>
      </c>
      <c r="T673" s="41"/>
      <c r="U673" s="29">
        <f>IF($C673&lt;&gt;"",COUNTIF($C$2:C673,C673),"")</f>
        <v>1</v>
      </c>
      <c r="V673" s="29" t="str">
        <f t="shared" si="42"/>
        <v>Prof. Dr. Münip Gökhan TUNÇBİLEK§1</v>
      </c>
      <c r="W673" s="29">
        <f>IF(U673=1,COUNTIF($U$2:U673,1),"")</f>
        <v>329</v>
      </c>
      <c r="X673" s="29">
        <f t="shared" si="43"/>
        <v>273</v>
      </c>
      <c r="Y673" s="29">
        <f>IF(AND(LEFT($B673,7)="SBA 26/",$D673&lt;&gt;"",$F673&lt;&gt;""),COUNTIFS($D$2:$D673,$D673,$B$2:$B673,"SBA 26/*",$F$2:$F673,"&lt;&gt;"),"")</f>
        <v>7</v>
      </c>
      <c r="Z673" s="29" t="str">
        <f>IF(Y673=1,COUNTIF($Y$2:Y673,1),"")</f>
        <v/>
      </c>
      <c r="AA673" s="29">
        <f>IF(AND(LEFT($B673,7)="SBA 26/",$C673&lt;&gt;"",$F673&lt;&gt;""),COUNTIFS($C$2:$C673,$C673,$B$2:$B673,"SBA 26/*",$F$2:$F673,"&lt;&gt;"),"")</f>
        <v>1</v>
      </c>
      <c r="AB673" s="29">
        <f>IF(AA673=1,COUNTIF($AA$2:AA673,1),"")</f>
        <v>329</v>
      </c>
    </row>
    <row r="674" spans="1:28" ht="96.75" customHeight="1" x14ac:dyDescent="0.2">
      <c r="A674" s="43" t="s">
        <v>3137</v>
      </c>
      <c r="B674" s="43" t="s">
        <v>3138</v>
      </c>
      <c r="C674" s="44" t="s">
        <v>2655</v>
      </c>
      <c r="D674" s="44" t="s">
        <v>120</v>
      </c>
      <c r="E674" s="45" t="s">
        <v>3139</v>
      </c>
      <c r="F674" s="45" t="s">
        <v>2657</v>
      </c>
      <c r="G674" s="46" t="s">
        <v>39</v>
      </c>
      <c r="H674" s="48">
        <v>46231</v>
      </c>
      <c r="I674" s="48">
        <v>46231</v>
      </c>
      <c r="J674" s="44" t="s">
        <v>75</v>
      </c>
      <c r="K674" s="44" t="s">
        <v>123</v>
      </c>
      <c r="L674" s="50" t="s">
        <v>153</v>
      </c>
      <c r="M674" s="50"/>
      <c r="N674" s="50"/>
      <c r="O674" s="49"/>
      <c r="P674" s="50" t="str">
        <f t="shared" si="40"/>
        <v>KAPSAM DIŞI</v>
      </c>
      <c r="Q674" s="28" t="s">
        <v>3140</v>
      </c>
      <c r="R674" s="51" t="str">
        <f t="shared" si="41"/>
        <v/>
      </c>
      <c r="T674" s="41"/>
      <c r="U674" s="29">
        <f>IF($C674&lt;&gt;"",COUNTIF($C$2:C674,C674),"")</f>
        <v>2</v>
      </c>
      <c r="V674" s="29" t="str">
        <f t="shared" si="42"/>
        <v>Prof. Dr. Ahmet SERPER§2</v>
      </c>
      <c r="W674" s="29" t="str">
        <f>IF(U674=1,COUNTIF($U$2:U674,1),"")</f>
        <v/>
      </c>
      <c r="X674" s="29" t="str">
        <f t="shared" si="43"/>
        <v/>
      </c>
      <c r="Y674" s="29">
        <f>IF(AND(LEFT($B674,7)="SBA 26/",$D674&lt;&gt;"",$F674&lt;&gt;""),COUNTIFS($D$2:$D674,$D674,$B$2:$B674,"SBA 26/*",$F$2:$F674,"&lt;&gt;"),"")</f>
        <v>9</v>
      </c>
      <c r="Z674" s="29" t="str">
        <f>IF(Y674=1,COUNTIF($Y$2:Y674,1),"")</f>
        <v/>
      </c>
      <c r="AA674" s="29">
        <f>IF(AND(LEFT($B674,7)="SBA 26/",$C674&lt;&gt;"",$F674&lt;&gt;""),COUNTIFS($C$2:$C674,$C674,$B$2:$B674,"SBA 26/*",$F$2:$F674,"&lt;&gt;"),"")</f>
        <v>2</v>
      </c>
      <c r="AB674" s="29" t="str">
        <f>IF(AA674=1,COUNTIF($AA$2:AA674,1),"")</f>
        <v/>
      </c>
    </row>
    <row r="675" spans="1:28" ht="78.75" customHeight="1" x14ac:dyDescent="0.2">
      <c r="A675" s="43" t="s">
        <v>3141</v>
      </c>
      <c r="B675" s="43" t="s">
        <v>3142</v>
      </c>
      <c r="C675" s="44" t="s">
        <v>379</v>
      </c>
      <c r="D675" s="44" t="s">
        <v>222</v>
      </c>
      <c r="E675" s="45" t="s">
        <v>3143</v>
      </c>
      <c r="F675" s="45" t="s">
        <v>3144</v>
      </c>
      <c r="G675" s="46" t="s">
        <v>38</v>
      </c>
      <c r="H675" s="48">
        <v>46233</v>
      </c>
      <c r="I675" s="48">
        <v>46259</v>
      </c>
      <c r="J675" s="44"/>
      <c r="K675" s="44"/>
      <c r="L675" s="50"/>
      <c r="M675" s="50"/>
      <c r="N675" s="50"/>
      <c r="O675" s="49"/>
      <c r="P675" s="50">
        <f t="shared" si="40"/>
        <v>0</v>
      </c>
      <c r="R675" s="51" t="str">
        <f t="shared" si="41"/>
        <v/>
      </c>
      <c r="T675" s="41"/>
      <c r="U675" s="29">
        <f>IF($C675&lt;&gt;"",COUNTIF($C$2:C675,C675),"")</f>
        <v>12</v>
      </c>
      <c r="V675" s="29" t="str">
        <f t="shared" si="42"/>
        <v>Prof. Dr. Deniz ÇAĞDAŞ AYVAZ§12</v>
      </c>
      <c r="W675" s="29" t="str">
        <f>IF(U675=1,COUNTIF($U$2:U675,1),"")</f>
        <v/>
      </c>
      <c r="X675" s="29" t="str">
        <f t="shared" si="43"/>
        <v/>
      </c>
      <c r="Y675" s="29">
        <f>IF(AND(LEFT($B675,7)="SBA 26/",$D675&lt;&gt;"",$F675&lt;&gt;""),COUNTIFS($D$2:$D675,$D675,$B$2:$B675,"SBA 26/*",$F$2:$F675,"&lt;&gt;"),"")</f>
        <v>114</v>
      </c>
      <c r="Z675" s="29" t="str">
        <f>IF(Y675=1,COUNTIF($Y$2:Y675,1),"")</f>
        <v/>
      </c>
      <c r="AA675" s="29">
        <f>IF(AND(LEFT($B675,7)="SBA 26/",$C675&lt;&gt;"",$F675&lt;&gt;""),COUNTIFS($C$2:$C675,$C675,$B$2:$B675,"SBA 26/*",$F$2:$F675,"&lt;&gt;"),"")</f>
        <v>12</v>
      </c>
      <c r="AB675" s="29" t="str">
        <f>IF(AA675=1,COUNTIF($AA$2:AA675,1),"")</f>
        <v/>
      </c>
    </row>
    <row r="676" spans="1:28" ht="78.75" customHeight="1" x14ac:dyDescent="0.2">
      <c r="A676" s="43" t="s">
        <v>3145</v>
      </c>
      <c r="B676" s="43" t="s">
        <v>3146</v>
      </c>
      <c r="C676" s="44" t="s">
        <v>379</v>
      </c>
      <c r="D676" s="44" t="s">
        <v>222</v>
      </c>
      <c r="E676" s="45" t="s">
        <v>2906</v>
      </c>
      <c r="F676" s="45" t="s">
        <v>3147</v>
      </c>
      <c r="G676" s="46" t="s">
        <v>38</v>
      </c>
      <c r="H676" s="48">
        <v>46233</v>
      </c>
      <c r="I676" s="48">
        <v>46259</v>
      </c>
      <c r="J676" s="44"/>
      <c r="K676" s="44"/>
      <c r="L676" s="50"/>
      <c r="M676" s="50"/>
      <c r="N676" s="50"/>
      <c r="O676" s="49"/>
      <c r="P676" s="50">
        <f t="shared" si="40"/>
        <v>0</v>
      </c>
      <c r="R676" s="51" t="str">
        <f t="shared" si="41"/>
        <v/>
      </c>
      <c r="T676" s="41"/>
      <c r="U676" s="29">
        <f>IF($C676&lt;&gt;"",COUNTIF($C$2:C676,C676),"")</f>
        <v>13</v>
      </c>
      <c r="V676" s="29" t="str">
        <f t="shared" si="42"/>
        <v>Prof. Dr. Deniz ÇAĞDAŞ AYVAZ§13</v>
      </c>
      <c r="W676" s="29" t="str">
        <f>IF(U676=1,COUNTIF($U$2:U676,1),"")</f>
        <v/>
      </c>
      <c r="X676" s="29" t="str">
        <f t="shared" si="43"/>
        <v/>
      </c>
      <c r="Y676" s="29">
        <f>IF(AND(LEFT($B676,7)="SBA 26/",$D676&lt;&gt;"",$F676&lt;&gt;""),COUNTIFS($D$2:$D676,$D676,$B$2:$B676,"SBA 26/*",$F$2:$F676,"&lt;&gt;"),"")</f>
        <v>115</v>
      </c>
      <c r="Z676" s="29" t="str">
        <f>IF(Y676=1,COUNTIF($Y$2:Y676,1),"")</f>
        <v/>
      </c>
      <c r="AA676" s="29">
        <f>IF(AND(LEFT($B676,7)="SBA 26/",$C676&lt;&gt;"",$F676&lt;&gt;""),COUNTIFS($C$2:$C676,$C676,$B$2:$B676,"SBA 26/*",$F$2:$F676,"&lt;&gt;"),"")</f>
        <v>13</v>
      </c>
      <c r="AB676" s="29" t="str">
        <f>IF(AA676=1,COUNTIF($AA$2:AA676,1),"")</f>
        <v/>
      </c>
    </row>
    <row r="677" spans="1:28" ht="110.25" customHeight="1" x14ac:dyDescent="0.2">
      <c r="A677" s="43" t="s">
        <v>3148</v>
      </c>
      <c r="B677" s="43" t="s">
        <v>3149</v>
      </c>
      <c r="C677" s="44" t="s">
        <v>2413</v>
      </c>
      <c r="D677" s="44" t="s">
        <v>222</v>
      </c>
      <c r="E677" s="45" t="s">
        <v>3150</v>
      </c>
      <c r="F677" s="45" t="s">
        <v>3151</v>
      </c>
      <c r="G677" s="46" t="s">
        <v>38</v>
      </c>
      <c r="H677" s="48">
        <v>46233</v>
      </c>
      <c r="I677" s="48">
        <v>46259</v>
      </c>
      <c r="J677" s="44"/>
      <c r="K677" s="44"/>
      <c r="L677" s="50"/>
      <c r="M677" s="50"/>
      <c r="N677" s="50"/>
      <c r="O677" s="49"/>
      <c r="P677" s="50">
        <f t="shared" si="40"/>
        <v>0</v>
      </c>
      <c r="R677" s="51" t="str">
        <f t="shared" si="41"/>
        <v/>
      </c>
      <c r="T677" s="41"/>
      <c r="U677" s="29">
        <f>IF($C677&lt;&gt;"",COUNTIF($C$2:C677,C677),"")</f>
        <v>3</v>
      </c>
      <c r="V677" s="29" t="str">
        <f t="shared" si="42"/>
        <v>Doç. Dr. Melis PEHLİVANTÜRK KIZILKAN§3</v>
      </c>
      <c r="W677" s="29" t="str">
        <f>IF(U677=1,COUNTIF($U$2:U677,1),"")</f>
        <v/>
      </c>
      <c r="X677" s="29" t="str">
        <f t="shared" si="43"/>
        <v/>
      </c>
      <c r="Y677" s="29">
        <f>IF(AND(LEFT($B677,7)="SBA 26/",$D677&lt;&gt;"",$F677&lt;&gt;""),COUNTIFS($D$2:$D677,$D677,$B$2:$B677,"SBA 26/*",$F$2:$F677,"&lt;&gt;"),"")</f>
        <v>116</v>
      </c>
      <c r="Z677" s="29" t="str">
        <f>IF(Y677=1,COUNTIF($Y$2:Y677,1),"")</f>
        <v/>
      </c>
      <c r="AA677" s="29">
        <f>IF(AND(LEFT($B677,7)="SBA 26/",$C677&lt;&gt;"",$F677&lt;&gt;""),COUNTIFS($C$2:$C677,$C677,$B$2:$B677,"SBA 26/*",$F$2:$F677,"&lt;&gt;"),"")</f>
        <v>3</v>
      </c>
      <c r="AB677" s="29" t="str">
        <f>IF(AA677=1,COUNTIF($AA$2:AA677,1),"")</f>
        <v/>
      </c>
    </row>
    <row r="678" spans="1:28" ht="78.75" customHeight="1" x14ac:dyDescent="0.2">
      <c r="A678" s="43" t="s">
        <v>3152</v>
      </c>
      <c r="B678" s="43" t="s">
        <v>3153</v>
      </c>
      <c r="C678" s="44" t="s">
        <v>1009</v>
      </c>
      <c r="D678" s="44" t="s">
        <v>222</v>
      </c>
      <c r="E678" s="45" t="s">
        <v>3154</v>
      </c>
      <c r="F678" s="45" t="s">
        <v>3155</v>
      </c>
      <c r="G678" s="46" t="s">
        <v>38</v>
      </c>
      <c r="H678" s="48">
        <v>46233</v>
      </c>
      <c r="I678" s="48">
        <v>46259</v>
      </c>
      <c r="J678" s="44"/>
      <c r="K678" s="44"/>
      <c r="L678" s="50"/>
      <c r="M678" s="50"/>
      <c r="N678" s="50"/>
      <c r="O678" s="49"/>
      <c r="P678" s="50">
        <f t="shared" si="40"/>
        <v>0</v>
      </c>
      <c r="R678" s="51" t="str">
        <f t="shared" si="41"/>
        <v/>
      </c>
      <c r="T678" s="41"/>
      <c r="U678" s="29">
        <f>IF($C678&lt;&gt;"",COUNTIF($C$2:C678,C678),"")</f>
        <v>3</v>
      </c>
      <c r="V678" s="29" t="str">
        <f t="shared" si="42"/>
        <v>Doç. Dr. Tekin AKSU§3</v>
      </c>
      <c r="W678" s="29" t="str">
        <f>IF(U678=1,COUNTIF($U$2:U678,1),"")</f>
        <v/>
      </c>
      <c r="X678" s="29" t="str">
        <f t="shared" si="43"/>
        <v/>
      </c>
      <c r="Y678" s="29">
        <f>IF(AND(LEFT($B678,7)="SBA 26/",$D678&lt;&gt;"",$F678&lt;&gt;""),COUNTIFS($D$2:$D678,$D678,$B$2:$B678,"SBA 26/*",$F$2:$F678,"&lt;&gt;"),"")</f>
        <v>117</v>
      </c>
      <c r="Z678" s="29" t="str">
        <f>IF(Y678=1,COUNTIF($Y$2:Y678,1),"")</f>
        <v/>
      </c>
      <c r="AA678" s="29">
        <f>IF(AND(LEFT($B678,7)="SBA 26/",$C678&lt;&gt;"",$F678&lt;&gt;""),COUNTIFS($C$2:$C678,$C678,$B$2:$B678,"SBA 26/*",$F$2:$F678,"&lt;&gt;"),"")</f>
        <v>3</v>
      </c>
      <c r="AB678" s="29" t="str">
        <f>IF(AA678=1,COUNTIF($AA$2:AA678,1),"")</f>
        <v/>
      </c>
    </row>
    <row r="679" spans="1:28" ht="63" customHeight="1" x14ac:dyDescent="0.2">
      <c r="A679" s="43" t="s">
        <v>3156</v>
      </c>
      <c r="B679" s="43" t="s">
        <v>3157</v>
      </c>
      <c r="C679" s="44" t="s">
        <v>3158</v>
      </c>
      <c r="D679" s="44" t="s">
        <v>222</v>
      </c>
      <c r="E679" s="45" t="s">
        <v>3159</v>
      </c>
      <c r="F679" s="45" t="s">
        <v>3160</v>
      </c>
      <c r="G679" s="46" t="s">
        <v>38</v>
      </c>
      <c r="H679" s="48">
        <v>46233</v>
      </c>
      <c r="I679" s="48">
        <v>46259</v>
      </c>
      <c r="J679" s="44"/>
      <c r="K679" s="44"/>
      <c r="L679" s="50"/>
      <c r="M679" s="50"/>
      <c r="N679" s="50"/>
      <c r="O679" s="49"/>
      <c r="P679" s="50">
        <f t="shared" si="40"/>
        <v>0</v>
      </c>
      <c r="R679" s="51" t="str">
        <f t="shared" si="41"/>
        <v/>
      </c>
      <c r="T679" s="41"/>
      <c r="U679" s="29">
        <f>IF($C679&lt;&gt;"",COUNTIF($C$2:C679,C679),"")</f>
        <v>1</v>
      </c>
      <c r="V679" s="29" t="str">
        <f t="shared" si="42"/>
        <v>Arş. Gör. Dr. İzzet Türkalp AKBAŞLI§1</v>
      </c>
      <c r="W679" s="29">
        <f>IF(U679=1,COUNTIF($U$2:U679,1),"")</f>
        <v>330</v>
      </c>
      <c r="X679" s="29">
        <f t="shared" si="43"/>
        <v>4</v>
      </c>
      <c r="Y679" s="29">
        <f>IF(AND(LEFT($B679,7)="SBA 26/",$D679&lt;&gt;"",$F679&lt;&gt;""),COUNTIFS($D$2:$D679,$D679,$B$2:$B679,"SBA 26/*",$F$2:$F679,"&lt;&gt;"),"")</f>
        <v>118</v>
      </c>
      <c r="Z679" s="29" t="str">
        <f>IF(Y679=1,COUNTIF($Y$2:Y679,1),"")</f>
        <v/>
      </c>
      <c r="AA679" s="29">
        <f>IF(AND(LEFT($B679,7)="SBA 26/",$C679&lt;&gt;"",$F679&lt;&gt;""),COUNTIFS($C$2:$C679,$C679,$B$2:$B679,"SBA 26/*",$F$2:$F679,"&lt;&gt;"),"")</f>
        <v>1</v>
      </c>
      <c r="AB679" s="29">
        <f>IF(AA679=1,COUNTIF($AA$2:AA679,1),"")</f>
        <v>330</v>
      </c>
    </row>
    <row r="680" spans="1:28" ht="63" customHeight="1" x14ac:dyDescent="0.2">
      <c r="A680" s="43" t="s">
        <v>3161</v>
      </c>
      <c r="B680" s="43" t="s">
        <v>3162</v>
      </c>
      <c r="C680" s="44" t="s">
        <v>358</v>
      </c>
      <c r="D680" s="44" t="s">
        <v>228</v>
      </c>
      <c r="E680" s="45" t="s">
        <v>3163</v>
      </c>
      <c r="F680" s="45" t="s">
        <v>3164</v>
      </c>
      <c r="G680" s="46" t="s">
        <v>38</v>
      </c>
      <c r="H680" s="48">
        <v>46233</v>
      </c>
      <c r="I680" s="48">
        <v>46259</v>
      </c>
      <c r="J680" s="44"/>
      <c r="K680" s="44"/>
      <c r="L680" s="50"/>
      <c r="M680" s="50"/>
      <c r="N680" s="50"/>
      <c r="O680" s="49"/>
      <c r="P680" s="50">
        <f t="shared" si="40"/>
        <v>0</v>
      </c>
      <c r="R680" s="51" t="str">
        <f t="shared" si="41"/>
        <v/>
      </c>
      <c r="T680" s="41"/>
      <c r="U680" s="29">
        <f>IF($C680&lt;&gt;"",COUNTIF($C$2:C680,C680),"")</f>
        <v>5</v>
      </c>
      <c r="V680" s="29" t="str">
        <f t="shared" si="42"/>
        <v>Doç. Dr. Erdem FADILOĞLU§5</v>
      </c>
      <c r="W680" s="29" t="str">
        <f>IF(U680=1,COUNTIF($U$2:U680,1),"")</f>
        <v/>
      </c>
      <c r="X680" s="29" t="str">
        <f t="shared" si="43"/>
        <v/>
      </c>
      <c r="Y680" s="29">
        <f>IF(AND(LEFT($B680,7)="SBA 26/",$D680&lt;&gt;"",$F680&lt;&gt;""),COUNTIFS($D$2:$D680,$D680,$B$2:$B680,"SBA 26/*",$F$2:$F680,"&lt;&gt;"),"")</f>
        <v>31</v>
      </c>
      <c r="Z680" s="29" t="str">
        <f>IF(Y680=1,COUNTIF($Y$2:Y680,1),"")</f>
        <v/>
      </c>
      <c r="AA680" s="29">
        <f>IF(AND(LEFT($B680,7)="SBA 26/",$C680&lt;&gt;"",$F680&lt;&gt;""),COUNTIFS($C$2:$C680,$C680,$B$2:$B680,"SBA 26/*",$F$2:$F680,"&lt;&gt;"),"")</f>
        <v>5</v>
      </c>
      <c r="AB680" s="29" t="str">
        <f>IF(AA680=1,COUNTIF($AA$2:AA680,1),"")</f>
        <v/>
      </c>
    </row>
    <row r="681" spans="1:28" ht="63" customHeight="1" x14ac:dyDescent="0.2">
      <c r="A681" s="43" t="s">
        <v>3165</v>
      </c>
      <c r="B681" s="43" t="s">
        <v>3166</v>
      </c>
      <c r="C681" s="44" t="s">
        <v>3057</v>
      </c>
      <c r="D681" s="44" t="s">
        <v>113</v>
      </c>
      <c r="E681" s="45" t="s">
        <v>3167</v>
      </c>
      <c r="F681" s="45" t="s">
        <v>3168</v>
      </c>
      <c r="G681" s="46" t="s">
        <v>38</v>
      </c>
      <c r="H681" s="48">
        <v>46233</v>
      </c>
      <c r="I681" s="48">
        <v>46259</v>
      </c>
      <c r="J681" s="44"/>
      <c r="K681" s="44"/>
      <c r="L681" s="50"/>
      <c r="M681" s="50"/>
      <c r="N681" s="50"/>
      <c r="O681" s="49"/>
      <c r="P681" s="50">
        <f t="shared" si="40"/>
        <v>0</v>
      </c>
      <c r="R681" s="51" t="str">
        <f t="shared" si="41"/>
        <v/>
      </c>
      <c r="T681" s="41"/>
      <c r="U681" s="29">
        <f>IF($C681&lt;&gt;"",COUNTIF($C$2:C681,C681),"")</f>
        <v>2</v>
      </c>
      <c r="V681" s="29" t="str">
        <f t="shared" si="42"/>
        <v>Prof. Dr. Ali AKDOĞAN§2</v>
      </c>
      <c r="W681" s="29" t="str">
        <f>IF(U681=1,COUNTIF($U$2:U681,1),"")</f>
        <v/>
      </c>
      <c r="X681" s="29" t="str">
        <f t="shared" si="43"/>
        <v/>
      </c>
      <c r="Y681" s="29">
        <f>IF(AND(LEFT($B681,7)="SBA 26/",$D681&lt;&gt;"",$F681&lt;&gt;""),COUNTIFS($D$2:$D681,$D681,$B$2:$B681,"SBA 26/*",$F$2:$F681,"&lt;&gt;"),"")</f>
        <v>120</v>
      </c>
      <c r="Z681" s="29" t="str">
        <f>IF(Y681=1,COUNTIF($Y$2:Y681,1),"")</f>
        <v/>
      </c>
      <c r="AA681" s="29">
        <f>IF(AND(LEFT($B681,7)="SBA 26/",$C681&lt;&gt;"",$F681&lt;&gt;""),COUNTIFS($C$2:$C681,$C681,$B$2:$B681,"SBA 26/*",$F$2:$F681,"&lt;&gt;"),"")</f>
        <v>2</v>
      </c>
      <c r="AB681" s="29" t="str">
        <f>IF(AA681=1,COUNTIF($AA$2:AA681,1),"")</f>
        <v/>
      </c>
    </row>
    <row r="682" spans="1:28" ht="63" customHeight="1" x14ac:dyDescent="0.2">
      <c r="A682" s="43" t="s">
        <v>3169</v>
      </c>
      <c r="B682" s="43" t="s">
        <v>3170</v>
      </c>
      <c r="C682" s="44" t="s">
        <v>87</v>
      </c>
      <c r="D682" s="44" t="s">
        <v>88</v>
      </c>
      <c r="E682" s="45" t="s">
        <v>3171</v>
      </c>
      <c r="F682" s="45" t="s">
        <v>3172</v>
      </c>
      <c r="G682" s="46" t="s">
        <v>38</v>
      </c>
      <c r="H682" s="48">
        <v>46233</v>
      </c>
      <c r="I682" s="48">
        <v>46259</v>
      </c>
      <c r="J682" s="44"/>
      <c r="K682" s="44"/>
      <c r="L682" s="50"/>
      <c r="M682" s="50"/>
      <c r="N682" s="50"/>
      <c r="O682" s="49"/>
      <c r="P682" s="50">
        <f t="shared" si="40"/>
        <v>0</v>
      </c>
      <c r="R682" s="51" t="str">
        <f t="shared" si="41"/>
        <v/>
      </c>
      <c r="T682" s="41"/>
      <c r="U682" s="29">
        <f>IF($C682&lt;&gt;"",COUNTIF($C$2:C682,C682),"")</f>
        <v>4</v>
      </c>
      <c r="V682" s="29" t="str">
        <f t="shared" si="42"/>
        <v>Doç. Dr. Gamze DURHAN§4</v>
      </c>
      <c r="W682" s="29" t="str">
        <f>IF(U682=1,COUNTIF($U$2:U682,1),"")</f>
        <v/>
      </c>
      <c r="X682" s="29" t="str">
        <f t="shared" si="43"/>
        <v/>
      </c>
      <c r="Y682" s="29">
        <f>IF(AND(LEFT($B682,7)="SBA 26/",$D682&lt;&gt;"",$F682&lt;&gt;""),COUNTIFS($D$2:$D682,$D682,$B$2:$B682,"SBA 26/*",$F$2:$F682,"&lt;&gt;"),"")</f>
        <v>23</v>
      </c>
      <c r="Z682" s="29" t="str">
        <f>IF(Y682=1,COUNTIF($Y$2:Y682,1),"")</f>
        <v/>
      </c>
      <c r="AA682" s="29">
        <f>IF(AND(LEFT($B682,7)="SBA 26/",$C682&lt;&gt;"",$F682&lt;&gt;""),COUNTIFS($C$2:$C682,$C682,$B$2:$B682,"SBA 26/*",$F$2:$F682,"&lt;&gt;"),"")</f>
        <v>4</v>
      </c>
      <c r="AB682" s="29" t="str">
        <f>IF(AA682=1,COUNTIF($AA$2:AA682,1),"")</f>
        <v/>
      </c>
    </row>
    <row r="683" spans="1:28" ht="78.75" customHeight="1" x14ac:dyDescent="0.2">
      <c r="A683" s="43" t="s">
        <v>3173</v>
      </c>
      <c r="B683" s="43" t="s">
        <v>3174</v>
      </c>
      <c r="C683" s="44" t="s">
        <v>1796</v>
      </c>
      <c r="D683" s="44" t="s">
        <v>113</v>
      </c>
      <c r="E683" s="45" t="s">
        <v>3175</v>
      </c>
      <c r="F683" s="45" t="s">
        <v>3176</v>
      </c>
      <c r="G683" s="46" t="s">
        <v>39</v>
      </c>
      <c r="H683" s="48">
        <v>46233</v>
      </c>
      <c r="I683" s="48">
        <v>46259</v>
      </c>
      <c r="J683" s="44"/>
      <c r="K683" s="44"/>
      <c r="L683" s="50"/>
      <c r="M683" s="50"/>
      <c r="N683" s="50"/>
      <c r="O683" s="49"/>
      <c r="P683" s="50">
        <f t="shared" si="40"/>
        <v>0</v>
      </c>
      <c r="R683" s="51" t="str">
        <f t="shared" si="41"/>
        <v/>
      </c>
      <c r="T683" s="41"/>
      <c r="U683" s="29">
        <f>IF($C683&lt;&gt;"",COUNTIF($C$2:C683,C683),"")</f>
        <v>5</v>
      </c>
      <c r="V683" s="29" t="str">
        <f t="shared" si="42"/>
        <v>Prof. Dr. Umut KALYONCU§5</v>
      </c>
      <c r="W683" s="29" t="str">
        <f>IF(U683=1,COUNTIF($U$2:U683,1),"")</f>
        <v/>
      </c>
      <c r="X683" s="29" t="str">
        <f t="shared" si="43"/>
        <v/>
      </c>
      <c r="Y683" s="29">
        <f>IF(AND(LEFT($B683,7)="SBA 26/",$D683&lt;&gt;"",$F683&lt;&gt;""),COUNTIFS($D$2:$D683,$D683,$B$2:$B683,"SBA 26/*",$F$2:$F683,"&lt;&gt;"),"")</f>
        <v>121</v>
      </c>
      <c r="Z683" s="29" t="str">
        <f>IF(Y683=1,COUNTIF($Y$2:Y683,1),"")</f>
        <v/>
      </c>
      <c r="AA683" s="29">
        <f>IF(AND(LEFT($B683,7)="SBA 26/",$C683&lt;&gt;"",$F683&lt;&gt;""),COUNTIFS($C$2:$C683,$C683,$B$2:$B683,"SBA 26/*",$F$2:$F683,"&lt;&gt;"),"")</f>
        <v>5</v>
      </c>
      <c r="AB683" s="29" t="str">
        <f>IF(AA683=1,COUNTIF($AA$2:AA683,1),"")</f>
        <v/>
      </c>
    </row>
    <row r="684" spans="1:28" ht="63" customHeight="1" x14ac:dyDescent="0.2">
      <c r="A684" s="43" t="s">
        <v>3177</v>
      </c>
      <c r="B684" s="43" t="s">
        <v>3178</v>
      </c>
      <c r="C684" s="44" t="s">
        <v>781</v>
      </c>
      <c r="D684" s="44" t="s">
        <v>222</v>
      </c>
      <c r="E684" s="45" t="s">
        <v>3179</v>
      </c>
      <c r="F684" s="45" t="s">
        <v>3180</v>
      </c>
      <c r="G684" s="46" t="s">
        <v>38</v>
      </c>
      <c r="H684" s="48">
        <v>46233</v>
      </c>
      <c r="I684" s="48">
        <v>46259</v>
      </c>
      <c r="J684" s="44"/>
      <c r="K684" s="44"/>
      <c r="L684" s="50"/>
      <c r="M684" s="50"/>
      <c r="N684" s="50"/>
      <c r="O684" s="49"/>
      <c r="P684" s="50">
        <f t="shared" si="40"/>
        <v>0</v>
      </c>
      <c r="R684" s="51" t="str">
        <f t="shared" si="41"/>
        <v/>
      </c>
      <c r="T684" s="41"/>
      <c r="U684" s="29">
        <f>IF($C684&lt;&gt;"",COUNTIF($C$2:C684,C684),"")</f>
        <v>2</v>
      </c>
      <c r="V684" s="29" t="str">
        <f t="shared" si="42"/>
        <v>Prof. Dr. Hülya DEMİR§2</v>
      </c>
      <c r="W684" s="29" t="str">
        <f>IF(U684=1,COUNTIF($U$2:U684,1),"")</f>
        <v/>
      </c>
      <c r="X684" s="29" t="str">
        <f t="shared" si="43"/>
        <v/>
      </c>
      <c r="Y684" s="29">
        <f>IF(AND(LEFT($B684,7)="SBA 26/",$D684&lt;&gt;"",$F684&lt;&gt;""),COUNTIFS($D$2:$D684,$D684,$B$2:$B684,"SBA 26/*",$F$2:$F684,"&lt;&gt;"),"")</f>
        <v>119</v>
      </c>
      <c r="Z684" s="29" t="str">
        <f>IF(Y684=1,COUNTIF($Y$2:Y684,1),"")</f>
        <v/>
      </c>
      <c r="AA684" s="29">
        <f>IF(AND(LEFT($B684,7)="SBA 26/",$C684&lt;&gt;"",$F684&lt;&gt;""),COUNTIFS($C$2:$C684,$C684,$B$2:$B684,"SBA 26/*",$F$2:$F684,"&lt;&gt;"),"")</f>
        <v>2</v>
      </c>
      <c r="AB684" s="29" t="str">
        <f>IF(AA684=1,COUNTIF($AA$2:AA684,1),"")</f>
        <v/>
      </c>
    </row>
    <row r="685" spans="1:28" ht="63" customHeight="1" x14ac:dyDescent="0.2">
      <c r="A685" s="43" t="s">
        <v>3181</v>
      </c>
      <c r="B685" s="43" t="s">
        <v>3182</v>
      </c>
      <c r="C685" s="44" t="s">
        <v>781</v>
      </c>
      <c r="D685" s="44" t="s">
        <v>222</v>
      </c>
      <c r="E685" s="45" t="s">
        <v>3183</v>
      </c>
      <c r="F685" s="45" t="s">
        <v>3184</v>
      </c>
      <c r="G685" s="46" t="s">
        <v>38</v>
      </c>
      <c r="H685" s="48">
        <v>46233</v>
      </c>
      <c r="I685" s="48">
        <v>46259</v>
      </c>
      <c r="J685" s="44"/>
      <c r="K685" s="44"/>
      <c r="L685" s="50"/>
      <c r="M685" s="50"/>
      <c r="N685" s="50"/>
      <c r="O685" s="49"/>
      <c r="P685" s="50">
        <f t="shared" si="40"/>
        <v>0</v>
      </c>
      <c r="R685" s="51" t="str">
        <f t="shared" si="41"/>
        <v/>
      </c>
      <c r="T685" s="41"/>
      <c r="U685" s="29">
        <f>IF($C685&lt;&gt;"",COUNTIF($C$2:C685,C685),"")</f>
        <v>3</v>
      </c>
      <c r="V685" s="29" t="str">
        <f t="shared" si="42"/>
        <v>Prof. Dr. Hülya DEMİR§3</v>
      </c>
      <c r="W685" s="29" t="str">
        <f>IF(U685=1,COUNTIF($U$2:U685,1),"")</f>
        <v/>
      </c>
      <c r="X685" s="29" t="str">
        <f t="shared" si="43"/>
        <v/>
      </c>
      <c r="Y685" s="29">
        <f>IF(AND(LEFT($B685,7)="SBA 26/",$D685&lt;&gt;"",$F685&lt;&gt;""),COUNTIFS($D$2:$D685,$D685,$B$2:$B685,"SBA 26/*",$F$2:$F685,"&lt;&gt;"),"")</f>
        <v>120</v>
      </c>
      <c r="Z685" s="29" t="str">
        <f>IF(Y685=1,COUNTIF($Y$2:Y685,1),"")</f>
        <v/>
      </c>
      <c r="AA685" s="29">
        <f>IF(AND(LEFT($B685,7)="SBA 26/",$C685&lt;&gt;"",$F685&lt;&gt;""),COUNTIFS($C$2:$C685,$C685,$B$2:$B685,"SBA 26/*",$F$2:$F685,"&lt;&gt;"),"")</f>
        <v>3</v>
      </c>
      <c r="AB685" s="29" t="str">
        <f>IF(AA685=1,COUNTIF($AA$2:AA685,1),"")</f>
        <v/>
      </c>
    </row>
    <row r="686" spans="1:28" ht="47.25" customHeight="1" x14ac:dyDescent="0.2">
      <c r="A686" s="43" t="s">
        <v>3185</v>
      </c>
      <c r="B686" s="43" t="s">
        <v>3186</v>
      </c>
      <c r="C686" s="44" t="s">
        <v>1585</v>
      </c>
      <c r="D686" s="44" t="s">
        <v>113</v>
      </c>
      <c r="E686" s="45" t="s">
        <v>3187</v>
      </c>
      <c r="F686" s="45" t="s">
        <v>3188</v>
      </c>
      <c r="G686" s="46" t="s">
        <v>38</v>
      </c>
      <c r="H686" s="48">
        <v>46233</v>
      </c>
      <c r="I686" s="48">
        <v>46259</v>
      </c>
      <c r="J686" s="44"/>
      <c r="K686" s="44"/>
      <c r="L686" s="50"/>
      <c r="M686" s="50"/>
      <c r="N686" s="50"/>
      <c r="O686" s="49"/>
      <c r="P686" s="50">
        <f t="shared" si="40"/>
        <v>0</v>
      </c>
      <c r="R686" s="51" t="str">
        <f t="shared" si="41"/>
        <v/>
      </c>
      <c r="T686" s="41"/>
      <c r="U686" s="29">
        <f>IF($C686&lt;&gt;"",COUNTIF($C$2:C686,C686),"")</f>
        <v>8</v>
      </c>
      <c r="V686" s="29" t="str">
        <f t="shared" si="42"/>
        <v>Doç. Dr. Cafer BALCI§8</v>
      </c>
      <c r="W686" s="29" t="str">
        <f>IF(U686=1,COUNTIF($U$2:U686,1),"")</f>
        <v/>
      </c>
      <c r="X686" s="29" t="str">
        <f t="shared" si="43"/>
        <v/>
      </c>
      <c r="Y686" s="29">
        <f>IF(AND(LEFT($B686,7)="SBA 26/",$D686&lt;&gt;"",$F686&lt;&gt;""),COUNTIFS($D$2:$D686,$D686,$B$2:$B686,"SBA 26/*",$F$2:$F686,"&lt;&gt;"),"")</f>
        <v>122</v>
      </c>
      <c r="Z686" s="29" t="str">
        <f>IF(Y686=1,COUNTIF($Y$2:Y686,1),"")</f>
        <v/>
      </c>
      <c r="AA686" s="29">
        <f>IF(AND(LEFT($B686,7)="SBA 26/",$C686&lt;&gt;"",$F686&lt;&gt;""),COUNTIFS($C$2:$C686,$C686,$B$2:$B686,"SBA 26/*",$F$2:$F686,"&lt;&gt;"),"")</f>
        <v>8</v>
      </c>
      <c r="AB686" s="29" t="str">
        <f>IF(AA686=1,COUNTIF($AA$2:AA686,1),"")</f>
        <v/>
      </c>
    </row>
    <row r="687" spans="1:28" ht="47.25" customHeight="1" x14ac:dyDescent="0.2">
      <c r="A687" s="43" t="s">
        <v>3189</v>
      </c>
      <c r="B687" s="43" t="s">
        <v>3190</v>
      </c>
      <c r="C687" s="44" t="s">
        <v>2941</v>
      </c>
      <c r="D687" s="44" t="s">
        <v>88</v>
      </c>
      <c r="E687" s="45" t="s">
        <v>3191</v>
      </c>
      <c r="F687" s="45" t="s">
        <v>3192</v>
      </c>
      <c r="G687" s="46" t="s">
        <v>38</v>
      </c>
      <c r="H687" s="48">
        <v>46233</v>
      </c>
      <c r="I687" s="48">
        <v>46259</v>
      </c>
      <c r="J687" s="44"/>
      <c r="K687" s="44"/>
      <c r="L687" s="50"/>
      <c r="M687" s="50"/>
      <c r="N687" s="50"/>
      <c r="O687" s="49"/>
      <c r="P687" s="50">
        <f t="shared" si="40"/>
        <v>0</v>
      </c>
      <c r="R687" s="51" t="str">
        <f t="shared" si="41"/>
        <v/>
      </c>
      <c r="T687" s="41"/>
      <c r="U687" s="29">
        <f>IF($C687&lt;&gt;"",COUNTIF($C$2:C687,C687),"")</f>
        <v>2</v>
      </c>
      <c r="V687" s="29" t="str">
        <f t="shared" si="42"/>
        <v>Dr. Öğr. Üyesi Sinan BALCI§2</v>
      </c>
      <c r="W687" s="29" t="str">
        <f>IF(U687=1,COUNTIF($U$2:U687,1),"")</f>
        <v/>
      </c>
      <c r="X687" s="29" t="str">
        <f t="shared" si="43"/>
        <v/>
      </c>
      <c r="Y687" s="29">
        <f>IF(AND(LEFT($B687,7)="SBA 26/",$D687&lt;&gt;"",$F687&lt;&gt;""),COUNTIFS($D$2:$D687,$D687,$B$2:$B687,"SBA 26/*",$F$2:$F687,"&lt;&gt;"),"")</f>
        <v>24</v>
      </c>
      <c r="Z687" s="29" t="str">
        <f>IF(Y687=1,COUNTIF($Y$2:Y687,1),"")</f>
        <v/>
      </c>
      <c r="AA687" s="29">
        <f>IF(AND(LEFT($B687,7)="SBA 26/",$C687&lt;&gt;"",$F687&lt;&gt;""),COUNTIFS($C$2:$C687,$C687,$B$2:$B687,"SBA 26/*",$F$2:$F687,"&lt;&gt;"),"")</f>
        <v>2</v>
      </c>
      <c r="AB687" s="29" t="str">
        <f>IF(AA687=1,COUNTIF($AA$2:AA687,1),"")</f>
        <v/>
      </c>
    </row>
    <row r="688" spans="1:28" ht="94.5" customHeight="1" x14ac:dyDescent="0.2">
      <c r="A688" s="43" t="s">
        <v>3193</v>
      </c>
      <c r="B688" s="43" t="s">
        <v>3194</v>
      </c>
      <c r="C688" s="44" t="s">
        <v>3075</v>
      </c>
      <c r="D688" s="44" t="s">
        <v>222</v>
      </c>
      <c r="E688" s="45" t="s">
        <v>3195</v>
      </c>
      <c r="F688" s="45" t="s">
        <v>3196</v>
      </c>
      <c r="G688" s="46" t="s">
        <v>38</v>
      </c>
      <c r="H688" s="48">
        <v>46233</v>
      </c>
      <c r="I688" s="48">
        <v>46259</v>
      </c>
      <c r="J688" s="44"/>
      <c r="K688" s="44"/>
      <c r="L688" s="50"/>
      <c r="M688" s="50"/>
      <c r="N688" s="50"/>
      <c r="O688" s="49"/>
      <c r="P688" s="50">
        <f t="shared" si="40"/>
        <v>0</v>
      </c>
      <c r="R688" s="51" t="str">
        <f t="shared" si="41"/>
        <v/>
      </c>
      <c r="T688" s="41"/>
      <c r="U688" s="29">
        <f>IF($C688&lt;&gt;"",COUNTIF($C$2:C688,C688),"")</f>
        <v>3</v>
      </c>
      <c r="V688" s="29" t="str">
        <f t="shared" si="42"/>
        <v>Prof. Dr. Özge UYSAL SOYER§3</v>
      </c>
      <c r="W688" s="29" t="str">
        <f>IF(U688=1,COUNTIF($U$2:U688,1),"")</f>
        <v/>
      </c>
      <c r="X688" s="29" t="str">
        <f t="shared" si="43"/>
        <v/>
      </c>
      <c r="Y688" s="29">
        <f>IF(AND(LEFT($B688,7)="SBA 26/",$D688&lt;&gt;"",$F688&lt;&gt;""),COUNTIFS($D$2:$D688,$D688,$B$2:$B688,"SBA 26/*",$F$2:$F688,"&lt;&gt;"),"")</f>
        <v>121</v>
      </c>
      <c r="Z688" s="29" t="str">
        <f>IF(Y688=1,COUNTIF($Y$2:Y688,1),"")</f>
        <v/>
      </c>
      <c r="AA688" s="29">
        <f>IF(AND(LEFT($B688,7)="SBA 26/",$C688&lt;&gt;"",$F688&lt;&gt;""),COUNTIFS($C$2:$C688,$C688,$B$2:$B688,"SBA 26/*",$F$2:$F688,"&lt;&gt;"),"")</f>
        <v>3</v>
      </c>
      <c r="AB688" s="29" t="str">
        <f>IF(AA688=1,COUNTIF($AA$2:AA688,1),"")</f>
        <v/>
      </c>
    </row>
    <row r="689" spans="1:28" ht="63" customHeight="1" x14ac:dyDescent="0.2">
      <c r="A689" s="43" t="s">
        <v>3197</v>
      </c>
      <c r="B689" s="43" t="s">
        <v>3198</v>
      </c>
      <c r="C689" s="44" t="s">
        <v>3199</v>
      </c>
      <c r="D689" s="44" t="s">
        <v>291</v>
      </c>
      <c r="E689" s="45" t="s">
        <v>3200</v>
      </c>
      <c r="F689" s="45" t="s">
        <v>3201</v>
      </c>
      <c r="G689" s="46" t="s">
        <v>38</v>
      </c>
      <c r="H689" s="48">
        <v>46233</v>
      </c>
      <c r="I689" s="48">
        <v>46259</v>
      </c>
      <c r="J689" s="44"/>
      <c r="K689" s="44"/>
      <c r="L689" s="50"/>
      <c r="M689" s="50"/>
      <c r="N689" s="50"/>
      <c r="O689" s="49"/>
      <c r="P689" s="50">
        <f t="shared" si="40"/>
        <v>0</v>
      </c>
      <c r="R689" s="51" t="str">
        <f t="shared" si="41"/>
        <v/>
      </c>
      <c r="T689" s="41"/>
      <c r="U689" s="29">
        <f>IF($C689&lt;&gt;"",COUNTIF($C$2:C689,C689),"")</f>
        <v>1</v>
      </c>
      <c r="V689" s="29" t="str">
        <f t="shared" si="42"/>
        <v>Prof. Dr. Oğuz KUŞCU§1</v>
      </c>
      <c r="W689" s="29">
        <f>IF(U689=1,COUNTIF($U$2:U689,1),"")</f>
        <v>331</v>
      </c>
      <c r="X689" s="29">
        <f t="shared" si="43"/>
        <v>279</v>
      </c>
      <c r="Y689" s="29">
        <f>IF(AND(LEFT($B689,7)="SBA 26/",$D689&lt;&gt;"",$F689&lt;&gt;""),COUNTIFS($D$2:$D689,$D689,$B$2:$B689,"SBA 26/*",$F$2:$F689,"&lt;&gt;"),"")</f>
        <v>15</v>
      </c>
      <c r="Z689" s="29" t="str">
        <f>IF(Y689=1,COUNTIF($Y$2:Y689,1),"")</f>
        <v/>
      </c>
      <c r="AA689" s="29">
        <f>IF(AND(LEFT($B689,7)="SBA 26/",$C689&lt;&gt;"",$F689&lt;&gt;""),COUNTIFS($C$2:$C689,$C689,$B$2:$B689,"SBA 26/*",$F$2:$F689,"&lt;&gt;"),"")</f>
        <v>1</v>
      </c>
      <c r="AB689" s="29">
        <f>IF(AA689=1,COUNTIF($AA$2:AA689,1),"")</f>
        <v>331</v>
      </c>
    </row>
    <row r="690" spans="1:28" ht="94.5" customHeight="1" x14ac:dyDescent="0.2">
      <c r="A690" s="43" t="s">
        <v>3202</v>
      </c>
      <c r="B690" s="43" t="s">
        <v>3203</v>
      </c>
      <c r="C690" s="44" t="s">
        <v>3204</v>
      </c>
      <c r="D690" s="44" t="s">
        <v>3205</v>
      </c>
      <c r="E690" s="45" t="s">
        <v>3206</v>
      </c>
      <c r="F690" s="45" t="s">
        <v>3207</v>
      </c>
      <c r="G690" s="46" t="s">
        <v>39</v>
      </c>
      <c r="H690" s="48">
        <v>46233</v>
      </c>
      <c r="I690" s="48">
        <v>46259</v>
      </c>
      <c r="J690" s="44"/>
      <c r="K690" s="44"/>
      <c r="L690" s="50"/>
      <c r="M690" s="50"/>
      <c r="N690" s="50"/>
      <c r="O690" s="49"/>
      <c r="P690" s="50">
        <f t="shared" si="40"/>
        <v>0</v>
      </c>
      <c r="R690" s="51" t="str">
        <f t="shared" si="41"/>
        <v/>
      </c>
      <c r="T690" s="41"/>
      <c r="U690" s="29">
        <f>IF($C690&lt;&gt;"",COUNTIF($C$2:C690,C690),"")</f>
        <v>1</v>
      </c>
      <c r="V690" s="29" t="str">
        <f t="shared" si="42"/>
        <v>Prof. Dr. Sadi KAPLAN§1</v>
      </c>
      <c r="W690" s="29">
        <f>IF(U690=1,COUNTIF($U$2:U690,1),"")</f>
        <v>332</v>
      </c>
      <c r="X690" s="29">
        <f t="shared" si="43"/>
        <v>298</v>
      </c>
      <c r="Y690" s="29">
        <f>IF(AND(LEFT($B690,7)="SBA 26/",$D690&lt;&gt;"",$F690&lt;&gt;""),COUNTIFS($D$2:$D690,$D690,$B$2:$B690,"SBA 26/*",$F$2:$F690,"&lt;&gt;"),"")</f>
        <v>1</v>
      </c>
      <c r="Z690" s="29">
        <f>IF(Y690=1,COUNTIF($Y$2:Y690,1),"")</f>
        <v>81</v>
      </c>
      <c r="AA690" s="29">
        <f>IF(AND(LEFT($B690,7)="SBA 26/",$C690&lt;&gt;"",$F690&lt;&gt;""),COUNTIFS($C$2:$C690,$C690,$B$2:$B690,"SBA 26/*",$F$2:$F690,"&lt;&gt;"),"")</f>
        <v>1</v>
      </c>
      <c r="AB690" s="29">
        <f>IF(AA690=1,COUNTIF($AA$2:AA690,1),"")</f>
        <v>332</v>
      </c>
    </row>
    <row r="691" spans="1:28" ht="63" customHeight="1" x14ac:dyDescent="0.2">
      <c r="A691" s="43" t="s">
        <v>3208</v>
      </c>
      <c r="B691" s="43" t="s">
        <v>3209</v>
      </c>
      <c r="C691" s="44" t="s">
        <v>3210</v>
      </c>
      <c r="D691" s="44" t="s">
        <v>397</v>
      </c>
      <c r="E691" s="45" t="s">
        <v>3211</v>
      </c>
      <c r="F691" s="45" t="s">
        <v>3212</v>
      </c>
      <c r="G691" s="46" t="s">
        <v>38</v>
      </c>
      <c r="H691" s="48">
        <v>46233</v>
      </c>
      <c r="I691" s="48">
        <v>46259</v>
      </c>
      <c r="J691" s="44"/>
      <c r="K691" s="44"/>
      <c r="L691" s="50"/>
      <c r="M691" s="50"/>
      <c r="N691" s="50"/>
      <c r="O691" s="49"/>
      <c r="P691" s="50">
        <f t="shared" si="40"/>
        <v>0</v>
      </c>
      <c r="R691" s="51" t="str">
        <f t="shared" si="41"/>
        <v/>
      </c>
      <c r="T691" s="41"/>
      <c r="U691" s="29">
        <f>IF($C691&lt;&gt;"",COUNTIF($C$2:C691,C691),"")</f>
        <v>1</v>
      </c>
      <c r="V691" s="29" t="str">
        <f t="shared" si="42"/>
        <v>Doç. Dr. Nadir YALÇIN§1</v>
      </c>
      <c r="W691" s="29">
        <f>IF(U691=1,COUNTIF($U$2:U691,1),"")</f>
        <v>333</v>
      </c>
      <c r="X691" s="29">
        <f t="shared" si="43"/>
        <v>82</v>
      </c>
      <c r="Y691" s="29">
        <f>IF(AND(LEFT($B691,7)="SBA 26/",$D691&lt;&gt;"",$F691&lt;&gt;""),COUNTIFS($D$2:$D691,$D691,$B$2:$B691,"SBA 26/*",$F$2:$F691,"&lt;&gt;"),"")</f>
        <v>19</v>
      </c>
      <c r="Z691" s="29" t="str">
        <f>IF(Y691=1,COUNTIF($Y$2:Y691,1),"")</f>
        <v/>
      </c>
      <c r="AA691" s="29">
        <f>IF(AND(LEFT($B691,7)="SBA 26/",$C691&lt;&gt;"",$F691&lt;&gt;""),COUNTIFS($C$2:$C691,$C691,$B$2:$B691,"SBA 26/*",$F$2:$F691,"&lt;&gt;"),"")</f>
        <v>1</v>
      </c>
      <c r="AB691" s="29">
        <f>IF(AA691=1,COUNTIF($AA$2:AA691,1),"")</f>
        <v>333</v>
      </c>
    </row>
    <row r="692" spans="1:28" ht="94.5" customHeight="1" x14ac:dyDescent="0.2">
      <c r="A692" s="43" t="s">
        <v>3213</v>
      </c>
      <c r="B692" s="43" t="s">
        <v>3214</v>
      </c>
      <c r="C692" s="44" t="s">
        <v>3215</v>
      </c>
      <c r="D692" s="44" t="s">
        <v>3205</v>
      </c>
      <c r="E692" s="45" t="s">
        <v>3216</v>
      </c>
      <c r="F692" s="45" t="s">
        <v>3217</v>
      </c>
      <c r="G692" s="46" t="s">
        <v>39</v>
      </c>
      <c r="H692" s="48">
        <v>46233</v>
      </c>
      <c r="I692" s="48">
        <v>46259</v>
      </c>
      <c r="J692" s="44"/>
      <c r="K692" s="44"/>
      <c r="L692" s="50"/>
      <c r="M692" s="50"/>
      <c r="N692" s="50"/>
      <c r="O692" s="49"/>
      <c r="P692" s="50">
        <f t="shared" si="40"/>
        <v>0</v>
      </c>
      <c r="R692" s="51" t="str">
        <f t="shared" si="41"/>
        <v/>
      </c>
      <c r="T692" s="41"/>
      <c r="U692" s="29">
        <f>IF($C692&lt;&gt;"",COUNTIF($C$2:C692,C692),"")</f>
        <v>1</v>
      </c>
      <c r="V692" s="29" t="str">
        <f t="shared" si="42"/>
        <v>Prof. Dr. Mustafa Kerem VURAL§1</v>
      </c>
      <c r="W692" s="29">
        <f>IF(U692=1,COUNTIF($U$2:U692,1),"")</f>
        <v>334</v>
      </c>
      <c r="X692" s="29">
        <f t="shared" si="43"/>
        <v>272</v>
      </c>
      <c r="Y692" s="29">
        <f>IF(AND(LEFT($B692,7)="SBA 26/",$D692&lt;&gt;"",$F692&lt;&gt;""),COUNTIFS($D$2:$D692,$D692,$B$2:$B692,"SBA 26/*",$F$2:$F692,"&lt;&gt;"),"")</f>
        <v>2</v>
      </c>
      <c r="Z692" s="29" t="str">
        <f>IF(Y692=1,COUNTIF($Y$2:Y692,1),"")</f>
        <v/>
      </c>
      <c r="AA692" s="29">
        <f>IF(AND(LEFT($B692,7)="SBA 26/",$C692&lt;&gt;"",$F692&lt;&gt;""),COUNTIFS($C$2:$C692,$C692,$B$2:$B692,"SBA 26/*",$F$2:$F692,"&lt;&gt;"),"")</f>
        <v>1</v>
      </c>
      <c r="AB692" s="29">
        <f>IF(AA692=1,COUNTIF($AA$2:AA692,1),"")</f>
        <v>334</v>
      </c>
    </row>
    <row r="693" spans="1:28" ht="78.75" customHeight="1" x14ac:dyDescent="0.2">
      <c r="A693" s="43" t="s">
        <v>3218</v>
      </c>
      <c r="B693" s="43" t="s">
        <v>3219</v>
      </c>
      <c r="C693" s="44" t="s">
        <v>175</v>
      </c>
      <c r="D693" s="44" t="s">
        <v>169</v>
      </c>
      <c r="E693" s="45" t="s">
        <v>3220</v>
      </c>
      <c r="F693" s="45" t="s">
        <v>3221</v>
      </c>
      <c r="G693" s="46" t="s">
        <v>38</v>
      </c>
      <c r="H693" s="48">
        <v>46233</v>
      </c>
      <c r="I693" s="48">
        <v>46259</v>
      </c>
      <c r="J693" s="44"/>
      <c r="K693" s="44"/>
      <c r="L693" s="50"/>
      <c r="M693" s="50"/>
      <c r="N693" s="50"/>
      <c r="O693" s="49"/>
      <c r="P693" s="50">
        <f t="shared" si="40"/>
        <v>0</v>
      </c>
      <c r="R693" s="51" t="str">
        <f t="shared" si="41"/>
        <v/>
      </c>
      <c r="T693" s="41"/>
      <c r="U693" s="29">
        <f>IF($C693&lt;&gt;"",COUNTIF($C$2:C693,C693),"")</f>
        <v>6</v>
      </c>
      <c r="V693" s="29" t="str">
        <f t="shared" si="42"/>
        <v>Prof. Dr. Gül KARAKAYA§6</v>
      </c>
      <c r="W693" s="29" t="str">
        <f>IF(U693=1,COUNTIF($U$2:U693,1),"")</f>
        <v/>
      </c>
      <c r="X693" s="29" t="str">
        <f t="shared" si="43"/>
        <v/>
      </c>
      <c r="Y693" s="29">
        <f>IF(AND(LEFT($B693,7)="SBA 26/",$D693&lt;&gt;"",$F693&lt;&gt;""),COUNTIFS($D$2:$D693,$D693,$B$2:$B693,"SBA 26/*",$F$2:$F693,"&lt;&gt;"),"")</f>
        <v>17</v>
      </c>
      <c r="Z693" s="29" t="str">
        <f>IF(Y693=1,COUNTIF($Y$2:Y693,1),"")</f>
        <v/>
      </c>
      <c r="AA693" s="29">
        <f>IF(AND(LEFT($B693,7)="SBA 26/",$C693&lt;&gt;"",$F693&lt;&gt;""),COUNTIFS($C$2:$C693,$C693,$B$2:$B693,"SBA 26/*",$F$2:$F693,"&lt;&gt;"),"")</f>
        <v>6</v>
      </c>
      <c r="AB693" s="29" t="str">
        <f>IF(AA693=1,COUNTIF($AA$2:AA693,1),"")</f>
        <v/>
      </c>
    </row>
    <row r="694" spans="1:28" ht="78.75" customHeight="1" x14ac:dyDescent="0.2">
      <c r="A694" s="43" t="s">
        <v>3222</v>
      </c>
      <c r="B694" s="43" t="s">
        <v>3223</v>
      </c>
      <c r="C694" s="44" t="s">
        <v>396</v>
      </c>
      <c r="D694" s="44" t="s">
        <v>397</v>
      </c>
      <c r="E694" s="45" t="s">
        <v>3224</v>
      </c>
      <c r="F694" s="45" t="s">
        <v>3225</v>
      </c>
      <c r="G694" s="46" t="s">
        <v>38</v>
      </c>
      <c r="H694" s="48">
        <v>46233</v>
      </c>
      <c r="I694" s="48">
        <v>46259</v>
      </c>
      <c r="J694" s="44"/>
      <c r="K694" s="44"/>
      <c r="L694" s="50"/>
      <c r="M694" s="50"/>
      <c r="N694" s="50"/>
      <c r="O694" s="49"/>
      <c r="P694" s="50">
        <f t="shared" si="40"/>
        <v>0</v>
      </c>
      <c r="R694" s="51" t="str">
        <f t="shared" si="41"/>
        <v/>
      </c>
      <c r="T694" s="41"/>
      <c r="U694" s="29">
        <f>IF($C694&lt;&gt;"",COUNTIF($C$2:C694,C694),"")</f>
        <v>9</v>
      </c>
      <c r="V694" s="29" t="str">
        <f t="shared" si="42"/>
        <v>Prof. Dr. Salih Kutay DEMİRKAN§9</v>
      </c>
      <c r="W694" s="29" t="str">
        <f>IF(U694=1,COUNTIF($U$2:U694,1),"")</f>
        <v/>
      </c>
      <c r="X694" s="29" t="str">
        <f t="shared" si="43"/>
        <v/>
      </c>
      <c r="Y694" s="29">
        <f>IF(AND(LEFT($B694,7)="SBA 26/",$D694&lt;&gt;"",$F694&lt;&gt;""),COUNTIFS($D$2:$D694,$D694,$B$2:$B694,"SBA 26/*",$F$2:$F694,"&lt;&gt;"),"")</f>
        <v>20</v>
      </c>
      <c r="Z694" s="29" t="str">
        <f>IF(Y694=1,COUNTIF($Y$2:Y694,1),"")</f>
        <v/>
      </c>
      <c r="AA694" s="29">
        <f>IF(AND(LEFT($B694,7)="SBA 26/",$C694&lt;&gt;"",$F694&lt;&gt;""),COUNTIFS($C$2:$C694,$C694,$B$2:$B694,"SBA 26/*",$F$2:$F694,"&lt;&gt;"),"")</f>
        <v>9</v>
      </c>
      <c r="AB694" s="29" t="str">
        <f>IF(AA694=1,COUNTIF($AA$2:AA694,1),"")</f>
        <v/>
      </c>
    </row>
    <row r="695" spans="1:28" ht="63" customHeight="1" x14ac:dyDescent="0.2">
      <c r="A695" s="43" t="s">
        <v>3226</v>
      </c>
      <c r="B695" s="43" t="s">
        <v>3227</v>
      </c>
      <c r="C695" s="44" t="s">
        <v>1052</v>
      </c>
      <c r="D695" s="44" t="s">
        <v>113</v>
      </c>
      <c r="E695" s="45" t="s">
        <v>1643</v>
      </c>
      <c r="F695" s="45" t="s">
        <v>3228</v>
      </c>
      <c r="G695" s="46" t="s">
        <v>38</v>
      </c>
      <c r="H695" s="48">
        <v>46233</v>
      </c>
      <c r="I695" s="48">
        <v>46259</v>
      </c>
      <c r="J695" s="44"/>
      <c r="K695" s="44"/>
      <c r="L695" s="50"/>
      <c r="M695" s="50"/>
      <c r="N695" s="50"/>
      <c r="O695" s="49"/>
      <c r="P695" s="50">
        <f t="shared" si="40"/>
        <v>0</v>
      </c>
      <c r="R695" s="51" t="str">
        <f t="shared" si="41"/>
        <v/>
      </c>
      <c r="T695" s="41"/>
      <c r="U695" s="29">
        <f>IF($C695&lt;&gt;"",COUNTIF($C$2:C695,C695),"")</f>
        <v>8</v>
      </c>
      <c r="V695" s="29" t="str">
        <f t="shared" si="42"/>
        <v>Prof. Dr. Mustafa CANKURTARAN§8</v>
      </c>
      <c r="W695" s="29" t="str">
        <f>IF(U695=1,COUNTIF($U$2:U695,1),"")</f>
        <v/>
      </c>
      <c r="X695" s="29" t="str">
        <f t="shared" si="43"/>
        <v/>
      </c>
      <c r="Y695" s="29">
        <f>IF(AND(LEFT($B695,7)="SBA 26/",$D695&lt;&gt;"",$F695&lt;&gt;""),COUNTIFS($D$2:$D695,$D695,$B$2:$B695,"SBA 26/*",$F$2:$F695,"&lt;&gt;"),"")</f>
        <v>123</v>
      </c>
      <c r="Z695" s="29" t="str">
        <f>IF(Y695=1,COUNTIF($Y$2:Y695,1),"")</f>
        <v/>
      </c>
      <c r="AA695" s="29">
        <f>IF(AND(LEFT($B695,7)="SBA 26/",$C695&lt;&gt;"",$F695&lt;&gt;""),COUNTIFS($C$2:$C695,$C695,$B$2:$B695,"SBA 26/*",$F$2:$F695,"&lt;&gt;"),"")</f>
        <v>8</v>
      </c>
      <c r="AB695" s="29" t="str">
        <f>IF(AA695=1,COUNTIF($AA$2:AA695,1),"")</f>
        <v/>
      </c>
    </row>
    <row r="696" spans="1:28" ht="48.75" customHeight="1" x14ac:dyDescent="0.2">
      <c r="A696" s="43" t="s">
        <v>3229</v>
      </c>
      <c r="B696" s="43" t="s">
        <v>3230</v>
      </c>
      <c r="C696" s="44" t="s">
        <v>403</v>
      </c>
      <c r="D696" s="44" t="s">
        <v>404</v>
      </c>
      <c r="E696" s="45" t="s">
        <v>3231</v>
      </c>
      <c r="F696" s="45" t="s">
        <v>3232</v>
      </c>
      <c r="G696" s="46" t="s">
        <v>39</v>
      </c>
      <c r="H696" s="48">
        <v>46233</v>
      </c>
      <c r="I696" s="48">
        <v>46259</v>
      </c>
      <c r="J696" s="44"/>
      <c r="K696" s="44"/>
      <c r="L696" s="50"/>
      <c r="M696" s="50"/>
      <c r="N696" s="50"/>
      <c r="O696" s="49"/>
      <c r="P696" s="50">
        <f t="shared" si="40"/>
        <v>0</v>
      </c>
      <c r="R696" s="51" t="str">
        <f t="shared" si="41"/>
        <v/>
      </c>
      <c r="T696" s="41"/>
      <c r="U696" s="29">
        <f>IF($C696&lt;&gt;"",COUNTIF($C$2:C696,C696),"")</f>
        <v>3</v>
      </c>
      <c r="V696" s="29" t="str">
        <f t="shared" si="42"/>
        <v>Prof. Dr. Hasan Serkan DOĞAN§3</v>
      </c>
      <c r="W696" s="29" t="str">
        <f>IF(U696=1,COUNTIF($U$2:U696,1),"")</f>
        <v/>
      </c>
      <c r="X696" s="29" t="str">
        <f t="shared" si="43"/>
        <v/>
      </c>
      <c r="Y696" s="29">
        <f>IF(AND(LEFT($B696,7)="SBA 26/",$D696&lt;&gt;"",$F696&lt;&gt;""),COUNTIFS($D$2:$D696,$D696,$B$2:$B696,"SBA 26/*",$F$2:$F696,"&lt;&gt;"),"")</f>
        <v>9</v>
      </c>
      <c r="Z696" s="29" t="str">
        <f>IF(Y696=1,COUNTIF($Y$2:Y696,1),"")</f>
        <v/>
      </c>
      <c r="AA696" s="29">
        <f>IF(AND(LEFT($B696,7)="SBA 26/",$C696&lt;&gt;"",$F696&lt;&gt;""),COUNTIFS($C$2:$C696,$C696,$B$2:$B696,"SBA 26/*",$F$2:$F696,"&lt;&gt;"),"")</f>
        <v>3</v>
      </c>
      <c r="AB696" s="29" t="str">
        <f>IF(AA696=1,COUNTIF($AA$2:AA696,1),"")</f>
        <v/>
      </c>
    </row>
    <row r="697" spans="1:28" ht="78.75" customHeight="1" x14ac:dyDescent="0.2">
      <c r="A697" s="43" t="s">
        <v>3233</v>
      </c>
      <c r="B697" s="43" t="s">
        <v>3234</v>
      </c>
      <c r="C697" s="44" t="s">
        <v>3235</v>
      </c>
      <c r="D697" s="44" t="s">
        <v>222</v>
      </c>
      <c r="E697" s="45" t="s">
        <v>3236</v>
      </c>
      <c r="F697" s="45" t="s">
        <v>3237</v>
      </c>
      <c r="G697" s="46" t="s">
        <v>39</v>
      </c>
      <c r="H697" s="48">
        <v>46233</v>
      </c>
      <c r="I697" s="48">
        <v>46259</v>
      </c>
      <c r="J697" s="44"/>
      <c r="K697" s="44"/>
      <c r="L697" s="50"/>
      <c r="M697" s="50"/>
      <c r="N697" s="50"/>
      <c r="O697" s="49"/>
      <c r="P697" s="50">
        <f t="shared" si="40"/>
        <v>0</v>
      </c>
      <c r="R697" s="51" t="str">
        <f t="shared" si="41"/>
        <v/>
      </c>
      <c r="T697" s="41"/>
      <c r="U697" s="29">
        <f>IF($C697&lt;&gt;"",COUNTIF($C$2:C697,C697),"")</f>
        <v>1</v>
      </c>
      <c r="V697" s="29" t="str">
        <f t="shared" si="42"/>
        <v>Doç. Dr. Elif SOYAK AYTEKİN§1</v>
      </c>
      <c r="W697" s="29">
        <f>IF(U697=1,COUNTIF($U$2:U697,1),"")</f>
        <v>335</v>
      </c>
      <c r="X697" s="29">
        <f t="shared" si="43"/>
        <v>43</v>
      </c>
      <c r="Y697" s="29">
        <f>IF(AND(LEFT($B697,7)="SBA 26/",$D697&lt;&gt;"",$F697&lt;&gt;""),COUNTIFS($D$2:$D697,$D697,$B$2:$B697,"SBA 26/*",$F$2:$F697,"&lt;&gt;"),"")</f>
        <v>122</v>
      </c>
      <c r="Z697" s="29" t="str">
        <f>IF(Y697=1,COUNTIF($Y$2:Y697,1),"")</f>
        <v/>
      </c>
      <c r="AA697" s="29">
        <f>IF(AND(LEFT($B697,7)="SBA 26/",$C697&lt;&gt;"",$F697&lt;&gt;""),COUNTIFS($C$2:$C697,$C697,$B$2:$B697,"SBA 26/*",$F$2:$F697,"&lt;&gt;"),"")</f>
        <v>1</v>
      </c>
      <c r="AB697" s="29">
        <f>IF(AA697=1,COUNTIF($AA$2:AA697,1),"")</f>
        <v>335</v>
      </c>
    </row>
    <row r="698" spans="1:28" ht="63" customHeight="1" x14ac:dyDescent="0.2">
      <c r="A698" s="43" t="s">
        <v>3238</v>
      </c>
      <c r="B698" s="43" t="s">
        <v>3239</v>
      </c>
      <c r="C698" s="44" t="s">
        <v>1432</v>
      </c>
      <c r="D698" s="44" t="s">
        <v>113</v>
      </c>
      <c r="E698" s="45" t="s">
        <v>3240</v>
      </c>
      <c r="F698" s="45" t="s">
        <v>3241</v>
      </c>
      <c r="G698" s="46" t="s">
        <v>38</v>
      </c>
      <c r="H698" s="48">
        <v>46233</v>
      </c>
      <c r="I698" s="48">
        <v>46259</v>
      </c>
      <c r="J698" s="44"/>
      <c r="K698" s="44"/>
      <c r="L698" s="50"/>
      <c r="M698" s="50"/>
      <c r="N698" s="50"/>
      <c r="O698" s="49"/>
      <c r="P698" s="50">
        <f t="shared" si="40"/>
        <v>0</v>
      </c>
      <c r="R698" s="51" t="str">
        <f t="shared" si="41"/>
        <v/>
      </c>
      <c r="T698" s="41"/>
      <c r="U698" s="29">
        <f>IF($C698&lt;&gt;"",COUNTIF($C$2:C698,C698),"")</f>
        <v>11</v>
      </c>
      <c r="V698" s="29" t="str">
        <f t="shared" si="42"/>
        <v>Prof. Dr. Taylan KAV§11</v>
      </c>
      <c r="W698" s="29" t="str">
        <f>IF(U698=1,COUNTIF($U$2:U698,1),"")</f>
        <v/>
      </c>
      <c r="X698" s="29" t="str">
        <f t="shared" si="43"/>
        <v/>
      </c>
      <c r="Y698" s="29">
        <f>IF(AND(LEFT($B698,7)="SBA 26/",$D698&lt;&gt;"",$F698&lt;&gt;""),COUNTIFS($D$2:$D698,$D698,$B$2:$B698,"SBA 26/*",$F$2:$F698,"&lt;&gt;"),"")</f>
        <v>124</v>
      </c>
      <c r="Z698" s="29" t="str">
        <f>IF(Y698=1,COUNTIF($Y$2:Y698,1),"")</f>
        <v/>
      </c>
      <c r="AA698" s="29">
        <f>IF(AND(LEFT($B698,7)="SBA 26/",$C698&lt;&gt;"",$F698&lt;&gt;""),COUNTIFS($C$2:$C698,$C698,$B$2:$B698,"SBA 26/*",$F$2:$F698,"&lt;&gt;"),"")</f>
        <v>11</v>
      </c>
      <c r="AB698" s="29" t="str">
        <f>IF(AA698=1,COUNTIF($AA$2:AA698,1),"")</f>
        <v/>
      </c>
    </row>
    <row r="699" spans="1:28" ht="81.75" customHeight="1" x14ac:dyDescent="0.2">
      <c r="A699" s="43" t="s">
        <v>3242</v>
      </c>
      <c r="B699" s="43" t="s">
        <v>3243</v>
      </c>
      <c r="C699" s="44" t="s">
        <v>3244</v>
      </c>
      <c r="D699" s="54" t="s">
        <v>3245</v>
      </c>
      <c r="E699" s="45" t="s">
        <v>3246</v>
      </c>
      <c r="F699" s="45" t="s">
        <v>3247</v>
      </c>
      <c r="G699" s="46" t="s">
        <v>38</v>
      </c>
      <c r="H699" s="48">
        <v>46233</v>
      </c>
      <c r="I699" s="48">
        <v>46259</v>
      </c>
      <c r="J699" s="44"/>
      <c r="K699" s="44"/>
      <c r="L699" s="50"/>
      <c r="M699" s="50"/>
      <c r="N699" s="50"/>
      <c r="O699" s="49"/>
      <c r="P699" s="50">
        <f t="shared" si="40"/>
        <v>0</v>
      </c>
      <c r="R699" s="51" t="str">
        <f t="shared" si="41"/>
        <v/>
      </c>
      <c r="T699" s="41"/>
      <c r="U699" s="29">
        <f>IF($C699&lt;&gt;"",COUNTIF($C$2:C699,C699),"")</f>
        <v>1</v>
      </c>
      <c r="V699" s="29" t="str">
        <f t="shared" si="42"/>
        <v>Doç. Dr. Gözde HONDUR§1</v>
      </c>
      <c r="W699" s="29">
        <f>IF(U699=1,COUNTIF($U$2:U699,1),"")</f>
        <v>336</v>
      </c>
      <c r="X699" s="29">
        <f t="shared" si="43"/>
        <v>58</v>
      </c>
      <c r="Y699" s="29">
        <f>IF(AND(LEFT($B699,7)="SBA 26/",$D699&lt;&gt;"",$F699&lt;&gt;""),COUNTIFS($D$2:$D699,$D699,$B$2:$B699,"SBA 26/*",$F$2:$F699,"&lt;&gt;"),"")</f>
        <v>1</v>
      </c>
      <c r="Z699" s="29">
        <f>IF(Y699=1,COUNTIF($Y$2:Y699,1),"")</f>
        <v>82</v>
      </c>
      <c r="AA699" s="29">
        <f>IF(AND(LEFT($B699,7)="SBA 26/",$C699&lt;&gt;"",$F699&lt;&gt;""),COUNTIFS($C$2:$C699,$C699,$B$2:$B699,"SBA 26/*",$F$2:$F699,"&lt;&gt;"),"")</f>
        <v>1</v>
      </c>
      <c r="AB699" s="29">
        <f>IF(AA699=1,COUNTIF($AA$2:AA699,1),"")</f>
        <v>336</v>
      </c>
    </row>
    <row r="700" spans="1:28" ht="78.75" x14ac:dyDescent="0.2">
      <c r="A700" s="43" t="s">
        <v>3248</v>
      </c>
      <c r="B700" s="43" t="s">
        <v>3249</v>
      </c>
      <c r="C700" s="44" t="s">
        <v>6062</v>
      </c>
      <c r="D700" s="44" t="s">
        <v>193</v>
      </c>
      <c r="E700" s="45" t="s">
        <v>6060</v>
      </c>
      <c r="F700" s="45" t="s">
        <v>6061</v>
      </c>
      <c r="G700" s="46" t="s">
        <v>39</v>
      </c>
      <c r="H700" s="48">
        <v>46234</v>
      </c>
      <c r="I700" s="48">
        <v>46259</v>
      </c>
      <c r="J700" s="44"/>
      <c r="K700" s="44"/>
      <c r="L700" s="50"/>
      <c r="M700" s="50"/>
      <c r="N700" s="50"/>
      <c r="O700" s="49"/>
      <c r="P700" s="50">
        <f t="shared" si="40"/>
        <v>0</v>
      </c>
      <c r="R700" s="51" t="str">
        <f t="shared" si="41"/>
        <v/>
      </c>
      <c r="T700" s="41"/>
      <c r="U700" s="29">
        <f>IF($C700&lt;&gt;"",COUNTIF($C$2:C700,C700),"")</f>
        <v>1</v>
      </c>
      <c r="V700" s="29" t="str">
        <f t="shared" si="42"/>
        <v>Prof. Dr. Faruk ÖZTÜRK§1</v>
      </c>
      <c r="W700" s="29">
        <f>IF(U700=1,COUNTIF($U$2:U700,1),"")</f>
        <v>337</v>
      </c>
      <c r="X700" s="29">
        <f t="shared" si="43"/>
        <v>223</v>
      </c>
      <c r="Y700" s="29">
        <f>IF(AND(LEFT($B700,7)="SBA 26/",$D700&lt;&gt;"",$F700&lt;&gt;""),COUNTIFS($D$2:$D700,$D700,$B$2:$B700,"SBA 26/*",$F$2:$F700,"&lt;&gt;"),"")</f>
        <v>17</v>
      </c>
      <c r="Z700" s="29" t="str">
        <f>IF(Y700=1,COUNTIF($Y$2:Y700,1),"")</f>
        <v/>
      </c>
      <c r="AA700" s="29">
        <f>IF(AND(LEFT($B700,7)="SBA 26/",$C700&lt;&gt;"",$F700&lt;&gt;""),COUNTIFS($C$2:$C700,$C700,$B$2:$B700,"SBA 26/*",$F$2:$F700,"&lt;&gt;"),"")</f>
        <v>1</v>
      </c>
      <c r="AB700" s="29">
        <f>IF(AA700=1,COUNTIF($AA$2:AA700,1),"")</f>
        <v>337</v>
      </c>
    </row>
    <row r="701" spans="1:28" ht="63" customHeight="1" x14ac:dyDescent="0.2">
      <c r="A701" s="43" t="s">
        <v>3250</v>
      </c>
      <c r="B701" s="43" t="s">
        <v>3251</v>
      </c>
      <c r="C701" s="44" t="s">
        <v>990</v>
      </c>
      <c r="D701" s="44" t="s">
        <v>991</v>
      </c>
      <c r="E701" s="45" t="s">
        <v>6063</v>
      </c>
      <c r="F701" s="45" t="s">
        <v>6064</v>
      </c>
      <c r="G701" s="46" t="s">
        <v>38</v>
      </c>
      <c r="H701" s="48">
        <v>46234</v>
      </c>
      <c r="I701" s="48">
        <v>46259</v>
      </c>
      <c r="J701" s="44"/>
      <c r="K701" s="44"/>
      <c r="L701" s="50"/>
      <c r="M701" s="50"/>
      <c r="N701" s="50"/>
      <c r="O701" s="49"/>
      <c r="P701" s="50">
        <f t="shared" si="40"/>
        <v>0</v>
      </c>
      <c r="R701" s="51" t="str">
        <f t="shared" si="41"/>
        <v/>
      </c>
      <c r="T701" s="41"/>
      <c r="U701" s="29">
        <f>IF($C701&lt;&gt;"",COUNTIF($C$2:C701,C701),"")</f>
        <v>2</v>
      </c>
      <c r="V701" s="29" t="str">
        <f t="shared" si="42"/>
        <v>Dr. Öğr. Üyesi Aybüke USLU TEKCE§2</v>
      </c>
      <c r="W701" s="29" t="str">
        <f>IF(U701=1,COUNTIF($U$2:U701,1),"")</f>
        <v/>
      </c>
      <c r="X701" s="29" t="str">
        <f t="shared" si="43"/>
        <v/>
      </c>
      <c r="Y701" s="29">
        <f>IF(AND(LEFT($B701,7)="SBA 26/",$D701&lt;&gt;"",$F701&lt;&gt;""),COUNTIFS($D$2:$D701,$D701,$B$2:$B701,"SBA 26/*",$F$2:$F701,"&lt;&gt;"),"")</f>
        <v>4</v>
      </c>
      <c r="Z701" s="29" t="str">
        <f>IF(Y701=1,COUNTIF($Y$2:Y701,1),"")</f>
        <v/>
      </c>
      <c r="AA701" s="29">
        <f>IF(AND(LEFT($B701,7)="SBA 26/",$C701&lt;&gt;"",$F701&lt;&gt;""),COUNTIFS($C$2:$C701,$C701,$B$2:$B701,"SBA 26/*",$F$2:$F701,"&lt;&gt;"),"")</f>
        <v>2</v>
      </c>
      <c r="AB701" s="29" t="str">
        <f>IF(AA701=1,COUNTIF($AA$2:AA701,1),"")</f>
        <v/>
      </c>
    </row>
    <row r="702" spans="1:28" ht="15.75" customHeight="1" x14ac:dyDescent="0.2">
      <c r="A702" s="43" t="s">
        <v>3252</v>
      </c>
      <c r="B702" s="43" t="s">
        <v>3253</v>
      </c>
      <c r="C702" s="44"/>
      <c r="D702" s="44"/>
      <c r="E702" s="45"/>
      <c r="F702" s="45"/>
      <c r="G702" s="46"/>
      <c r="H702" s="48"/>
      <c r="I702" s="48"/>
      <c r="J702" s="44"/>
      <c r="K702" s="44"/>
      <c r="L702" s="50"/>
      <c r="M702" s="50"/>
      <c r="N702" s="50"/>
      <c r="O702" s="49"/>
      <c r="P702" s="50">
        <f t="shared" si="40"/>
        <v>0</v>
      </c>
      <c r="R702" s="51" t="str">
        <f t="shared" si="41"/>
        <v/>
      </c>
      <c r="T702" s="41"/>
      <c r="U702" s="29" t="str">
        <f>IF($C702&lt;&gt;"",COUNTIF($C$2:C702,C702),"")</f>
        <v/>
      </c>
      <c r="V702" s="29" t="str">
        <f t="shared" si="42"/>
        <v/>
      </c>
      <c r="W702" s="29" t="str">
        <f>IF(U702=1,COUNTIF($U$2:U702,1),"")</f>
        <v/>
      </c>
      <c r="X702" s="29" t="str">
        <f t="shared" si="43"/>
        <v/>
      </c>
      <c r="Y702" s="29" t="str">
        <f>IF(AND(LEFT($B702,7)="SBA 26/",$D702&lt;&gt;"",$F702&lt;&gt;""),COUNTIFS($D$2:$D702,$D702,$B$2:$B702,"SBA 26/*",$F$2:$F702,"&lt;&gt;"),"")</f>
        <v/>
      </c>
      <c r="Z702" s="29" t="str">
        <f>IF(Y702=1,COUNTIF($Y$2:Y702,1),"")</f>
        <v/>
      </c>
      <c r="AA702" s="29" t="str">
        <f>IF(AND(LEFT($B702,7)="SBA 26/",$C702&lt;&gt;"",$F702&lt;&gt;""),COUNTIFS($C$2:$C702,$C702,$B$2:$B702,"SBA 26/*",$F$2:$F702,"&lt;&gt;"),"")</f>
        <v/>
      </c>
      <c r="AB702" s="29" t="str">
        <f>IF(AA702=1,COUNTIF($AA$2:AA702,1),"")</f>
        <v/>
      </c>
    </row>
    <row r="703" spans="1:28" ht="15.75" customHeight="1" x14ac:dyDescent="0.2">
      <c r="A703" s="43" t="s">
        <v>3254</v>
      </c>
      <c r="B703" s="43" t="s">
        <v>3255</v>
      </c>
      <c r="C703" s="44"/>
      <c r="D703" s="44"/>
      <c r="E703" s="45"/>
      <c r="F703" s="45"/>
      <c r="G703" s="46"/>
      <c r="H703" s="48"/>
      <c r="I703" s="48"/>
      <c r="J703" s="44"/>
      <c r="K703" s="44"/>
      <c r="L703" s="50"/>
      <c r="M703" s="50"/>
      <c r="N703" s="50"/>
      <c r="O703" s="49"/>
      <c r="P703" s="50">
        <f t="shared" si="40"/>
        <v>0</v>
      </c>
      <c r="R703" s="51" t="str">
        <f t="shared" si="41"/>
        <v/>
      </c>
      <c r="T703" s="41"/>
      <c r="U703" s="29" t="str">
        <f>IF($C703&lt;&gt;"",COUNTIF($C$2:C703,C703),"")</f>
        <v/>
      </c>
      <c r="V703" s="29" t="str">
        <f t="shared" si="42"/>
        <v/>
      </c>
      <c r="W703" s="29" t="str">
        <f>IF(U703=1,COUNTIF($U$2:U703,1),"")</f>
        <v/>
      </c>
      <c r="X703" s="29" t="str">
        <f t="shared" si="43"/>
        <v/>
      </c>
      <c r="Y703" s="29" t="str">
        <f>IF(AND(LEFT($B703,7)="SBA 26/",$D703&lt;&gt;"",$F703&lt;&gt;""),COUNTIFS($D$2:$D703,$D703,$B$2:$B703,"SBA 26/*",$F$2:$F703,"&lt;&gt;"),"")</f>
        <v/>
      </c>
      <c r="Z703" s="29" t="str">
        <f>IF(Y703=1,COUNTIF($Y$2:Y703,1),"")</f>
        <v/>
      </c>
      <c r="AA703" s="29" t="str">
        <f>IF(AND(LEFT($B703,7)="SBA 26/",$C703&lt;&gt;"",$F703&lt;&gt;""),COUNTIFS($C$2:$C703,$C703,$B$2:$B703,"SBA 26/*",$F$2:$F703,"&lt;&gt;"),"")</f>
        <v/>
      </c>
      <c r="AB703" s="29" t="str">
        <f>IF(AA703=1,COUNTIF($AA$2:AA703,1),"")</f>
        <v/>
      </c>
    </row>
    <row r="704" spans="1:28" ht="15.75" customHeight="1" x14ac:dyDescent="0.2">
      <c r="A704" s="43" t="s">
        <v>3256</v>
      </c>
      <c r="B704" s="43" t="s">
        <v>3257</v>
      </c>
      <c r="C704" s="44"/>
      <c r="D704" s="44"/>
      <c r="E704" s="45"/>
      <c r="F704" s="45"/>
      <c r="G704" s="46"/>
      <c r="H704" s="48"/>
      <c r="I704" s="48"/>
      <c r="J704" s="44"/>
      <c r="K704" s="44"/>
      <c r="L704" s="50"/>
      <c r="M704" s="50"/>
      <c r="N704" s="50"/>
      <c r="O704" s="49"/>
      <c r="P704" s="50">
        <f t="shared" si="40"/>
        <v>0</v>
      </c>
      <c r="R704" s="51" t="str">
        <f t="shared" si="41"/>
        <v/>
      </c>
      <c r="T704" s="41"/>
      <c r="U704" s="29" t="str">
        <f>IF($C704&lt;&gt;"",COUNTIF($C$2:C704,C704),"")</f>
        <v/>
      </c>
      <c r="V704" s="29" t="str">
        <f t="shared" si="42"/>
        <v/>
      </c>
      <c r="W704" s="29" t="str">
        <f>IF(U704=1,COUNTIF($U$2:U704,1),"")</f>
        <v/>
      </c>
      <c r="X704" s="29" t="str">
        <f t="shared" si="43"/>
        <v/>
      </c>
      <c r="Y704" s="29" t="str">
        <f>IF(AND(LEFT($B704,7)="SBA 26/",$D704&lt;&gt;"",$F704&lt;&gt;""),COUNTIFS($D$2:$D704,$D704,$B$2:$B704,"SBA 26/*",$F$2:$F704,"&lt;&gt;"),"")</f>
        <v/>
      </c>
      <c r="Z704" s="29" t="str">
        <f>IF(Y704=1,COUNTIF($Y$2:Y704,1),"")</f>
        <v/>
      </c>
      <c r="AA704" s="29" t="str">
        <f>IF(AND(LEFT($B704,7)="SBA 26/",$C704&lt;&gt;"",$F704&lt;&gt;""),COUNTIFS($C$2:$C704,$C704,$B$2:$B704,"SBA 26/*",$F$2:$F704,"&lt;&gt;"),"")</f>
        <v/>
      </c>
      <c r="AB704" s="29" t="str">
        <f>IF(AA704=1,COUNTIF($AA$2:AA704,1),"")</f>
        <v/>
      </c>
    </row>
    <row r="705" spans="1:28" ht="15.75" customHeight="1" x14ac:dyDescent="0.2">
      <c r="A705" s="43" t="s">
        <v>3258</v>
      </c>
      <c r="B705" s="43" t="s">
        <v>3259</v>
      </c>
      <c r="C705" s="44"/>
      <c r="D705" s="44"/>
      <c r="E705" s="45"/>
      <c r="F705" s="45"/>
      <c r="G705" s="46"/>
      <c r="H705" s="48"/>
      <c r="I705" s="48"/>
      <c r="J705" s="44"/>
      <c r="K705" s="44"/>
      <c r="L705" s="50"/>
      <c r="M705" s="50"/>
      <c r="N705" s="50"/>
      <c r="O705" s="49"/>
      <c r="P705" s="50">
        <f t="shared" si="40"/>
        <v>0</v>
      </c>
      <c r="R705" s="51" t="str">
        <f t="shared" si="41"/>
        <v/>
      </c>
      <c r="T705" s="41"/>
      <c r="U705" s="29" t="str">
        <f>IF($C705&lt;&gt;"",COUNTIF($C$2:C705,C705),"")</f>
        <v/>
      </c>
      <c r="V705" s="29" t="str">
        <f t="shared" si="42"/>
        <v/>
      </c>
      <c r="W705" s="29" t="str">
        <f>IF(U705=1,COUNTIF($U$2:U705,1),"")</f>
        <v/>
      </c>
      <c r="X705" s="29" t="str">
        <f t="shared" si="43"/>
        <v/>
      </c>
      <c r="Y705" s="29" t="str">
        <f>IF(AND(LEFT($B705,7)="SBA 26/",$D705&lt;&gt;"",$F705&lt;&gt;""),COUNTIFS($D$2:$D705,$D705,$B$2:$B705,"SBA 26/*",$F$2:$F705,"&lt;&gt;"),"")</f>
        <v/>
      </c>
      <c r="Z705" s="29" t="str">
        <f>IF(Y705=1,COUNTIF($Y$2:Y705,1),"")</f>
        <v/>
      </c>
      <c r="AA705" s="29" t="str">
        <f>IF(AND(LEFT($B705,7)="SBA 26/",$C705&lt;&gt;"",$F705&lt;&gt;""),COUNTIFS($C$2:$C705,$C705,$B$2:$B705,"SBA 26/*",$F$2:$F705,"&lt;&gt;"),"")</f>
        <v/>
      </c>
      <c r="AB705" s="29" t="str">
        <f>IF(AA705=1,COUNTIF($AA$2:AA705,1),"")</f>
        <v/>
      </c>
    </row>
    <row r="706" spans="1:28" ht="15.75" customHeight="1" x14ac:dyDescent="0.2">
      <c r="A706" s="43" t="s">
        <v>3260</v>
      </c>
      <c r="B706" s="43" t="s">
        <v>3261</v>
      </c>
      <c r="C706" s="44"/>
      <c r="D706" s="44"/>
      <c r="E706" s="45"/>
      <c r="F706" s="45"/>
      <c r="G706" s="46"/>
      <c r="H706" s="48"/>
      <c r="I706" s="48"/>
      <c r="J706" s="44"/>
      <c r="K706" s="44"/>
      <c r="L706" s="50"/>
      <c r="M706" s="50"/>
      <c r="N706" s="50"/>
      <c r="O706" s="49"/>
      <c r="P706" s="50">
        <f t="shared" ref="P706:P714" si="44">IF(O706&lt;&gt;"",O706, IF(N706&lt;&gt;"",N706, IF(M706&lt;&gt;"",M706, L706)))</f>
        <v>0</v>
      </c>
      <c r="R706" s="51" t="str">
        <f t="shared" ref="R706:R764" si="45">IF(AND($I706&lt;&gt;"",$I706&gt;=DATE(2026,6,23),COUNTIFS($C:$C,$C706,$I:$I,$I706)&gt;2),"⚠ "&amp;COUNTIFS($C:$C,$C706,$I:$I,$I706)&amp;" BAŞVURU!","")</f>
        <v/>
      </c>
      <c r="T706" s="41"/>
      <c r="U706" s="29" t="str">
        <f>IF($C706&lt;&gt;"",COUNTIF($C$2:C706,C706),"")</f>
        <v/>
      </c>
      <c r="V706" s="29" t="str">
        <f t="shared" ref="V706:V769" si="46">IF($C706&lt;&gt;"",C706&amp;"§"&amp;U706,"")</f>
        <v/>
      </c>
      <c r="W706" s="29" t="str">
        <f>IF(U706=1,COUNTIF($U$2:U706,1),"")</f>
        <v/>
      </c>
      <c r="X706" s="29" t="str">
        <f t="shared" ref="X706:X769" si="47">IF(U706=1,SUMPRODUCT(($U$2:$U$1799=1)*($C$2:$C$1799&lt;C706))+1,"")</f>
        <v/>
      </c>
      <c r="Y706" s="29" t="str">
        <f>IF(AND(LEFT($B706,7)="SBA 26/",$D706&lt;&gt;"",$F706&lt;&gt;""),COUNTIFS($D$2:$D706,$D706,$B$2:$B706,"SBA 26/*",$F$2:$F706,"&lt;&gt;"),"")</f>
        <v/>
      </c>
      <c r="Z706" s="29" t="str">
        <f>IF(Y706=1,COUNTIF($Y$2:Y706,1),"")</f>
        <v/>
      </c>
      <c r="AA706" s="29" t="str">
        <f>IF(AND(LEFT($B706,7)="SBA 26/",$C706&lt;&gt;"",$F706&lt;&gt;""),COUNTIFS($C$2:$C706,$C706,$B$2:$B706,"SBA 26/*",$F$2:$F706,"&lt;&gt;"),"")</f>
        <v/>
      </c>
      <c r="AB706" s="29" t="str">
        <f>IF(AA706=1,COUNTIF($AA$2:AA706,1),"")</f>
        <v/>
      </c>
    </row>
    <row r="707" spans="1:28" ht="15.75" customHeight="1" x14ac:dyDescent="0.2">
      <c r="A707" s="43" t="s">
        <v>3262</v>
      </c>
      <c r="B707" s="43" t="s">
        <v>3263</v>
      </c>
      <c r="C707" s="44"/>
      <c r="D707" s="44"/>
      <c r="E707" s="45"/>
      <c r="F707" s="45"/>
      <c r="G707" s="46"/>
      <c r="H707" s="48"/>
      <c r="I707" s="48"/>
      <c r="J707" s="44"/>
      <c r="K707" s="44"/>
      <c r="L707" s="50"/>
      <c r="M707" s="50"/>
      <c r="N707" s="50"/>
      <c r="O707" s="49"/>
      <c r="P707" s="50">
        <f t="shared" si="44"/>
        <v>0</v>
      </c>
      <c r="R707" s="51" t="str">
        <f t="shared" si="45"/>
        <v/>
      </c>
      <c r="T707" s="41"/>
      <c r="U707" s="29" t="str">
        <f>IF($C707&lt;&gt;"",COUNTIF($C$2:C707,C707),"")</f>
        <v/>
      </c>
      <c r="V707" s="29" t="str">
        <f t="shared" si="46"/>
        <v/>
      </c>
      <c r="W707" s="29" t="str">
        <f>IF(U707=1,COUNTIF($U$2:U707,1),"")</f>
        <v/>
      </c>
      <c r="X707" s="29" t="str">
        <f t="shared" si="47"/>
        <v/>
      </c>
      <c r="Y707" s="29" t="str">
        <f>IF(AND(LEFT($B707,7)="SBA 26/",$D707&lt;&gt;"",$F707&lt;&gt;""),COUNTIFS($D$2:$D707,$D707,$B$2:$B707,"SBA 26/*",$F$2:$F707,"&lt;&gt;"),"")</f>
        <v/>
      </c>
      <c r="Z707" s="29" t="str">
        <f>IF(Y707=1,COUNTIF($Y$2:Y707,1),"")</f>
        <v/>
      </c>
      <c r="AA707" s="29" t="str">
        <f>IF(AND(LEFT($B707,7)="SBA 26/",$C707&lt;&gt;"",$F707&lt;&gt;""),COUNTIFS($C$2:$C707,$C707,$B$2:$B707,"SBA 26/*",$F$2:$F707,"&lt;&gt;"),"")</f>
        <v/>
      </c>
      <c r="AB707" s="29" t="str">
        <f>IF(AA707=1,COUNTIF($AA$2:AA707,1),"")</f>
        <v/>
      </c>
    </row>
    <row r="708" spans="1:28" ht="15.75" customHeight="1" x14ac:dyDescent="0.2">
      <c r="A708" s="43" t="s">
        <v>3264</v>
      </c>
      <c r="B708" s="43" t="s">
        <v>3265</v>
      </c>
      <c r="C708" s="44"/>
      <c r="D708" s="44"/>
      <c r="E708" s="45"/>
      <c r="F708" s="45"/>
      <c r="G708" s="46"/>
      <c r="H708" s="48"/>
      <c r="I708" s="48"/>
      <c r="J708" s="44"/>
      <c r="K708" s="44"/>
      <c r="L708" s="50"/>
      <c r="M708" s="50"/>
      <c r="N708" s="50"/>
      <c r="O708" s="49"/>
      <c r="P708" s="50">
        <f t="shared" si="44"/>
        <v>0</v>
      </c>
      <c r="R708" s="51" t="str">
        <f t="shared" si="45"/>
        <v/>
      </c>
      <c r="T708" s="41"/>
      <c r="U708" s="29" t="str">
        <f>IF($C708&lt;&gt;"",COUNTIF($C$2:C708,C708),"")</f>
        <v/>
      </c>
      <c r="V708" s="29" t="str">
        <f t="shared" si="46"/>
        <v/>
      </c>
      <c r="W708" s="29" t="str">
        <f>IF(U708=1,COUNTIF($U$2:U708,1),"")</f>
        <v/>
      </c>
      <c r="X708" s="29" t="str">
        <f t="shared" si="47"/>
        <v/>
      </c>
      <c r="Y708" s="29" t="str">
        <f>IF(AND(LEFT($B708,7)="SBA 26/",$D708&lt;&gt;"",$F708&lt;&gt;""),COUNTIFS($D$2:$D708,$D708,$B$2:$B708,"SBA 26/*",$F$2:$F708,"&lt;&gt;"),"")</f>
        <v/>
      </c>
      <c r="Z708" s="29" t="str">
        <f>IF(Y708=1,COUNTIF($Y$2:Y708,1),"")</f>
        <v/>
      </c>
      <c r="AA708" s="29" t="str">
        <f>IF(AND(LEFT($B708,7)="SBA 26/",$C708&lt;&gt;"",$F708&lt;&gt;""),COUNTIFS($C$2:$C708,$C708,$B$2:$B708,"SBA 26/*",$F$2:$F708,"&lt;&gt;"),"")</f>
        <v/>
      </c>
      <c r="AB708" s="29" t="str">
        <f>IF(AA708=1,COUNTIF($AA$2:AA708,1),"")</f>
        <v/>
      </c>
    </row>
    <row r="709" spans="1:28" ht="15.75" customHeight="1" x14ac:dyDescent="0.2">
      <c r="A709" s="43" t="s">
        <v>3266</v>
      </c>
      <c r="B709" s="43" t="s">
        <v>3267</v>
      </c>
      <c r="C709" s="44"/>
      <c r="D709" s="44"/>
      <c r="E709" s="45"/>
      <c r="F709" s="45"/>
      <c r="G709" s="46"/>
      <c r="H709" s="48"/>
      <c r="I709" s="48"/>
      <c r="J709" s="44"/>
      <c r="K709" s="44"/>
      <c r="L709" s="50"/>
      <c r="M709" s="50"/>
      <c r="N709" s="50"/>
      <c r="O709" s="49"/>
      <c r="P709" s="50">
        <f t="shared" si="44"/>
        <v>0</v>
      </c>
      <c r="R709" s="51" t="str">
        <f t="shared" si="45"/>
        <v/>
      </c>
      <c r="T709" s="41"/>
      <c r="U709" s="29" t="str">
        <f>IF($C709&lt;&gt;"",COUNTIF($C$2:C709,C709),"")</f>
        <v/>
      </c>
      <c r="V709" s="29" t="str">
        <f t="shared" si="46"/>
        <v/>
      </c>
      <c r="W709" s="29" t="str">
        <f>IF(U709=1,COUNTIF($U$2:U709,1),"")</f>
        <v/>
      </c>
      <c r="X709" s="29" t="str">
        <f t="shared" si="47"/>
        <v/>
      </c>
      <c r="Y709" s="29" t="str">
        <f>IF(AND(LEFT($B709,7)="SBA 26/",$D709&lt;&gt;"",$F709&lt;&gt;""),COUNTIFS($D$2:$D709,$D709,$B$2:$B709,"SBA 26/*",$F$2:$F709,"&lt;&gt;"),"")</f>
        <v/>
      </c>
      <c r="Z709" s="29" t="str">
        <f>IF(Y709=1,COUNTIF($Y$2:Y709,1),"")</f>
        <v/>
      </c>
      <c r="AA709" s="29" t="str">
        <f>IF(AND(LEFT($B709,7)="SBA 26/",$C709&lt;&gt;"",$F709&lt;&gt;""),COUNTIFS($C$2:$C709,$C709,$B$2:$B709,"SBA 26/*",$F$2:$F709,"&lt;&gt;"),"")</f>
        <v/>
      </c>
      <c r="AB709" s="29" t="str">
        <f>IF(AA709=1,COUNTIF($AA$2:AA709,1),"")</f>
        <v/>
      </c>
    </row>
    <row r="710" spans="1:28" ht="15.75" customHeight="1" x14ac:dyDescent="0.2">
      <c r="A710" s="43" t="s">
        <v>3268</v>
      </c>
      <c r="B710" s="43" t="s">
        <v>3269</v>
      </c>
      <c r="C710" s="44"/>
      <c r="D710" s="44"/>
      <c r="E710" s="45"/>
      <c r="F710" s="45"/>
      <c r="G710" s="46"/>
      <c r="H710" s="48"/>
      <c r="I710" s="48"/>
      <c r="J710" s="44"/>
      <c r="K710" s="44"/>
      <c r="L710" s="50"/>
      <c r="M710" s="50"/>
      <c r="N710" s="50"/>
      <c r="O710" s="49"/>
      <c r="P710" s="50">
        <f t="shared" si="44"/>
        <v>0</v>
      </c>
      <c r="R710" s="51" t="str">
        <f t="shared" si="45"/>
        <v/>
      </c>
      <c r="T710" s="41"/>
      <c r="U710" s="29" t="str">
        <f>IF($C710&lt;&gt;"",COUNTIF($C$2:C710,C710),"")</f>
        <v/>
      </c>
      <c r="V710" s="29" t="str">
        <f t="shared" si="46"/>
        <v/>
      </c>
      <c r="W710" s="29" t="str">
        <f>IF(U710=1,COUNTIF($U$2:U710,1),"")</f>
        <v/>
      </c>
      <c r="X710" s="29" t="str">
        <f t="shared" si="47"/>
        <v/>
      </c>
      <c r="Y710" s="29" t="str">
        <f>IF(AND(LEFT($B710,7)="SBA 26/",$D710&lt;&gt;"",$F710&lt;&gt;""),COUNTIFS($D$2:$D710,$D710,$B$2:$B710,"SBA 26/*",$F$2:$F710,"&lt;&gt;"),"")</f>
        <v/>
      </c>
      <c r="Z710" s="29" t="str">
        <f>IF(Y710=1,COUNTIF($Y$2:Y710,1),"")</f>
        <v/>
      </c>
      <c r="AA710" s="29" t="str">
        <f>IF(AND(LEFT($B710,7)="SBA 26/",$C710&lt;&gt;"",$F710&lt;&gt;""),COUNTIFS($C$2:$C710,$C710,$B$2:$B710,"SBA 26/*",$F$2:$F710,"&lt;&gt;"),"")</f>
        <v/>
      </c>
      <c r="AB710" s="29" t="str">
        <f>IF(AA710=1,COUNTIF($AA$2:AA710,1),"")</f>
        <v/>
      </c>
    </row>
    <row r="711" spans="1:28" ht="15.75" customHeight="1" x14ac:dyDescent="0.2">
      <c r="A711" s="43" t="s">
        <v>3270</v>
      </c>
      <c r="B711" s="43" t="s">
        <v>3271</v>
      </c>
      <c r="C711" s="44"/>
      <c r="D711" s="44"/>
      <c r="E711" s="45"/>
      <c r="F711" s="45"/>
      <c r="G711" s="46"/>
      <c r="H711" s="48"/>
      <c r="I711" s="48"/>
      <c r="J711" s="44"/>
      <c r="K711" s="44"/>
      <c r="L711" s="50"/>
      <c r="M711" s="50"/>
      <c r="N711" s="50"/>
      <c r="O711" s="49"/>
      <c r="P711" s="50">
        <f t="shared" si="44"/>
        <v>0</v>
      </c>
      <c r="R711" s="51" t="str">
        <f t="shared" si="45"/>
        <v/>
      </c>
      <c r="T711" s="41"/>
      <c r="U711" s="29" t="str">
        <f>IF($C711&lt;&gt;"",COUNTIF($C$2:C711,C711),"")</f>
        <v/>
      </c>
      <c r="V711" s="29" t="str">
        <f t="shared" si="46"/>
        <v/>
      </c>
      <c r="W711" s="29" t="str">
        <f>IF(U711=1,COUNTIF($U$2:U711,1),"")</f>
        <v/>
      </c>
      <c r="X711" s="29" t="str">
        <f t="shared" si="47"/>
        <v/>
      </c>
      <c r="Y711" s="29" t="str">
        <f>IF(AND(LEFT($B711,7)="SBA 26/",$D711&lt;&gt;"",$F711&lt;&gt;""),COUNTIFS($D$2:$D711,$D711,$B$2:$B711,"SBA 26/*",$F$2:$F711,"&lt;&gt;"),"")</f>
        <v/>
      </c>
      <c r="Z711" s="29" t="str">
        <f>IF(Y711=1,COUNTIF($Y$2:Y711,1),"")</f>
        <v/>
      </c>
      <c r="AA711" s="29" t="str">
        <f>IF(AND(LEFT($B711,7)="SBA 26/",$C711&lt;&gt;"",$F711&lt;&gt;""),COUNTIFS($C$2:$C711,$C711,$B$2:$B711,"SBA 26/*",$F$2:$F711,"&lt;&gt;"),"")</f>
        <v/>
      </c>
      <c r="AB711" s="29" t="str">
        <f>IF(AA711=1,COUNTIF($AA$2:AA711,1),"")</f>
        <v/>
      </c>
    </row>
    <row r="712" spans="1:28" ht="15.75" customHeight="1" x14ac:dyDescent="0.2">
      <c r="A712" s="43" t="s">
        <v>3272</v>
      </c>
      <c r="B712" s="43" t="s">
        <v>3273</v>
      </c>
      <c r="C712" s="44"/>
      <c r="D712" s="44"/>
      <c r="E712" s="45"/>
      <c r="F712" s="45"/>
      <c r="G712" s="46"/>
      <c r="H712" s="48"/>
      <c r="I712" s="48"/>
      <c r="J712" s="44"/>
      <c r="K712" s="44"/>
      <c r="L712" s="50"/>
      <c r="M712" s="50"/>
      <c r="N712" s="50"/>
      <c r="O712" s="49"/>
      <c r="P712" s="50">
        <f t="shared" si="44"/>
        <v>0</v>
      </c>
      <c r="R712" s="51" t="str">
        <f t="shared" si="45"/>
        <v/>
      </c>
      <c r="T712" s="41"/>
      <c r="U712" s="29" t="str">
        <f>IF($C712&lt;&gt;"",COUNTIF($C$2:C712,C712),"")</f>
        <v/>
      </c>
      <c r="V712" s="29" t="str">
        <f t="shared" si="46"/>
        <v/>
      </c>
      <c r="W712" s="29" t="str">
        <f>IF(U712=1,COUNTIF($U$2:U712,1),"")</f>
        <v/>
      </c>
      <c r="X712" s="29" t="str">
        <f t="shared" si="47"/>
        <v/>
      </c>
      <c r="Y712" s="29" t="str">
        <f>IF(AND(LEFT($B712,7)="SBA 26/",$D712&lt;&gt;"",$F712&lt;&gt;""),COUNTIFS($D$2:$D712,$D712,$B$2:$B712,"SBA 26/*",$F$2:$F712,"&lt;&gt;"),"")</f>
        <v/>
      </c>
      <c r="Z712" s="29" t="str">
        <f>IF(Y712=1,COUNTIF($Y$2:Y712,1),"")</f>
        <v/>
      </c>
      <c r="AA712" s="29" t="str">
        <f>IF(AND(LEFT($B712,7)="SBA 26/",$C712&lt;&gt;"",$F712&lt;&gt;""),COUNTIFS($C$2:$C712,$C712,$B$2:$B712,"SBA 26/*",$F$2:$F712,"&lt;&gt;"),"")</f>
        <v/>
      </c>
      <c r="AB712" s="29" t="str">
        <f>IF(AA712=1,COUNTIF($AA$2:AA712,1),"")</f>
        <v/>
      </c>
    </row>
    <row r="713" spans="1:28" ht="15.75" customHeight="1" x14ac:dyDescent="0.2">
      <c r="A713" s="43" t="s">
        <v>3274</v>
      </c>
      <c r="B713" s="43" t="s">
        <v>3275</v>
      </c>
      <c r="C713" s="44"/>
      <c r="D713" s="44"/>
      <c r="E713" s="45"/>
      <c r="F713" s="45"/>
      <c r="G713" s="46"/>
      <c r="H713" s="48"/>
      <c r="I713" s="48"/>
      <c r="J713" s="44"/>
      <c r="K713" s="44"/>
      <c r="L713" s="50"/>
      <c r="M713" s="50"/>
      <c r="N713" s="50"/>
      <c r="O713" s="49"/>
      <c r="P713" s="50">
        <f t="shared" si="44"/>
        <v>0</v>
      </c>
      <c r="R713" s="51" t="str">
        <f t="shared" si="45"/>
        <v/>
      </c>
      <c r="T713" s="41"/>
      <c r="U713" s="29" t="str">
        <f>IF($C713&lt;&gt;"",COUNTIF($C$2:C713,C713),"")</f>
        <v/>
      </c>
      <c r="V713" s="29" t="str">
        <f t="shared" si="46"/>
        <v/>
      </c>
      <c r="W713" s="29" t="str">
        <f>IF(U713=1,COUNTIF($U$2:U713,1),"")</f>
        <v/>
      </c>
      <c r="X713" s="29" t="str">
        <f t="shared" si="47"/>
        <v/>
      </c>
      <c r="Y713" s="29" t="str">
        <f>IF(AND(LEFT($B713,7)="SBA 26/",$D713&lt;&gt;"",$F713&lt;&gt;""),COUNTIFS($D$2:$D713,$D713,$B$2:$B713,"SBA 26/*",$F$2:$F713,"&lt;&gt;"),"")</f>
        <v/>
      </c>
      <c r="Z713" s="29" t="str">
        <f>IF(Y713=1,COUNTIF($Y$2:Y713,1),"")</f>
        <v/>
      </c>
      <c r="AA713" s="29" t="str">
        <f>IF(AND(LEFT($B713,7)="SBA 26/",$C713&lt;&gt;"",$F713&lt;&gt;""),COUNTIFS($C$2:$C713,$C713,$B$2:$B713,"SBA 26/*",$F$2:$F713,"&lt;&gt;"),"")</f>
        <v/>
      </c>
      <c r="AB713" s="29" t="str">
        <f>IF(AA713=1,COUNTIF($AA$2:AA713,1),"")</f>
        <v/>
      </c>
    </row>
    <row r="714" spans="1:28" ht="15.75" customHeight="1" x14ac:dyDescent="0.2">
      <c r="A714" s="43" t="s">
        <v>3276</v>
      </c>
      <c r="B714" s="43" t="s">
        <v>3277</v>
      </c>
      <c r="C714" s="44"/>
      <c r="D714" s="44"/>
      <c r="E714" s="45"/>
      <c r="F714" s="45"/>
      <c r="G714" s="46"/>
      <c r="H714" s="48"/>
      <c r="I714" s="48"/>
      <c r="J714" s="44"/>
      <c r="K714" s="44"/>
      <c r="L714" s="50"/>
      <c r="M714" s="50"/>
      <c r="N714" s="50"/>
      <c r="O714" s="49"/>
      <c r="P714" s="50">
        <f t="shared" si="44"/>
        <v>0</v>
      </c>
      <c r="R714" s="51" t="str">
        <f t="shared" si="45"/>
        <v/>
      </c>
      <c r="T714" s="41"/>
      <c r="U714" s="29" t="str">
        <f>IF($C714&lt;&gt;"",COUNTIF($C$2:C714,C714),"")</f>
        <v/>
      </c>
      <c r="V714" s="29" t="str">
        <f t="shared" si="46"/>
        <v/>
      </c>
      <c r="W714" s="29" t="str">
        <f>IF(U714=1,COUNTIF($U$2:U714,1),"")</f>
        <v/>
      </c>
      <c r="X714" s="29" t="str">
        <f t="shared" si="47"/>
        <v/>
      </c>
      <c r="Y714" s="29" t="str">
        <f>IF(AND(LEFT($B714,7)="SBA 26/",$D714&lt;&gt;"",$F714&lt;&gt;""),COUNTIFS($D$2:$D714,$D714,$B$2:$B714,"SBA 26/*",$F$2:$F714,"&lt;&gt;"),"")</f>
        <v/>
      </c>
      <c r="Z714" s="29" t="str">
        <f>IF(Y714=1,COUNTIF($Y$2:Y714,1),"")</f>
        <v/>
      </c>
      <c r="AA714" s="29" t="str">
        <f>IF(AND(LEFT($B714,7)="SBA 26/",$C714&lt;&gt;"",$F714&lt;&gt;""),COUNTIFS($C$2:$C714,$C714,$B$2:$B714,"SBA 26/*",$F$2:$F714,"&lt;&gt;"),"")</f>
        <v/>
      </c>
      <c r="AB714" s="29" t="str">
        <f>IF(AA714=1,COUNTIF($AA$2:AA714,1),"")</f>
        <v/>
      </c>
    </row>
    <row r="715" spans="1:28" ht="15.75" customHeight="1" x14ac:dyDescent="0.2">
      <c r="C715" s="28"/>
      <c r="D715" s="28"/>
      <c r="E715" s="57"/>
      <c r="F715" s="57"/>
      <c r="G715" s="29"/>
      <c r="H715" s="63"/>
      <c r="I715" s="64"/>
      <c r="J715" s="28"/>
      <c r="K715" s="28"/>
      <c r="L715" s="32"/>
      <c r="M715" s="32"/>
      <c r="N715" s="32"/>
      <c r="O715" s="32"/>
      <c r="R715" s="51" t="str">
        <f t="shared" si="45"/>
        <v/>
      </c>
      <c r="T715" s="41"/>
      <c r="U715" s="29" t="str">
        <f>IF($C715&lt;&gt;"",COUNTIF($C$2:C715,C715),"")</f>
        <v/>
      </c>
      <c r="V715" s="29" t="str">
        <f t="shared" si="46"/>
        <v/>
      </c>
      <c r="W715" s="29" t="str">
        <f>IF(U715=1,COUNTIF($U$2:U715,1),"")</f>
        <v/>
      </c>
      <c r="X715" s="29" t="str">
        <f t="shared" si="47"/>
        <v/>
      </c>
      <c r="Y715" s="29" t="str">
        <f>IF(AND(LEFT($B715,7)="SBA 26/",$D715&lt;&gt;"",$F715&lt;&gt;""),COUNTIFS($D$2:$D715,$D715,$B$2:$B715,"SBA 26/*",$F$2:$F715,"&lt;&gt;"),"")</f>
        <v/>
      </c>
      <c r="Z715" s="29" t="str">
        <f>IF(Y715=1,COUNTIF($Y$2:Y715,1),"")</f>
        <v/>
      </c>
      <c r="AA715" s="29" t="str">
        <f>IF(AND(LEFT($B715,7)="SBA 26/",$C715&lt;&gt;"",$F715&lt;&gt;""),COUNTIFS($C$2:$C715,$C715,$B$2:$B715,"SBA 26/*",$F$2:$F715,"&lt;&gt;"),"")</f>
        <v/>
      </c>
      <c r="AB715" s="29" t="str">
        <f>IF(AA715=1,COUNTIF($AA$2:AA715,1),"")</f>
        <v/>
      </c>
    </row>
    <row r="716" spans="1:28" ht="15.75" customHeight="1" x14ac:dyDescent="0.2">
      <c r="C716" s="28"/>
      <c r="D716" s="28"/>
      <c r="E716" s="57"/>
      <c r="F716" s="57"/>
      <c r="G716" s="29"/>
      <c r="H716" s="63"/>
      <c r="I716" s="64"/>
      <c r="K716" s="28"/>
      <c r="L716" s="32"/>
      <c r="M716" s="32"/>
      <c r="N716" s="32"/>
      <c r="O716" s="32"/>
      <c r="R716" s="51" t="str">
        <f t="shared" si="45"/>
        <v/>
      </c>
      <c r="T716" s="41"/>
      <c r="U716" s="29" t="str">
        <f>IF($C716&lt;&gt;"",COUNTIF($C$2:C716,C716),"")</f>
        <v/>
      </c>
      <c r="V716" s="29" t="str">
        <f t="shared" si="46"/>
        <v/>
      </c>
      <c r="W716" s="29" t="str">
        <f>IF(U716=1,COUNTIF($U$2:U716,1),"")</f>
        <v/>
      </c>
      <c r="X716" s="29" t="str">
        <f t="shared" si="47"/>
        <v/>
      </c>
      <c r="Y716" s="29" t="str">
        <f>IF(AND(LEFT($B716,7)="SBA 26/",$D716&lt;&gt;"",$F716&lt;&gt;""),COUNTIFS($D$2:$D716,$D716,$B$2:$B716,"SBA 26/*",$F$2:$F716,"&lt;&gt;"),"")</f>
        <v/>
      </c>
      <c r="Z716" s="29" t="str">
        <f>IF(Y716=1,COUNTIF($Y$2:Y716,1),"")</f>
        <v/>
      </c>
      <c r="AA716" s="29" t="str">
        <f>IF(AND(LEFT($B716,7)="SBA 26/",$C716&lt;&gt;"",$F716&lt;&gt;""),COUNTIFS($C$2:$C716,$C716,$B$2:$B716,"SBA 26/*",$F$2:$F716,"&lt;&gt;"),"")</f>
        <v/>
      </c>
      <c r="AB716" s="29" t="str">
        <f>IF(AA716=1,COUNTIF($AA$2:AA716,1),"")</f>
        <v/>
      </c>
    </row>
    <row r="717" spans="1:28" ht="15.75" customHeight="1" x14ac:dyDescent="0.2">
      <c r="C717" s="28"/>
      <c r="D717" s="28"/>
      <c r="E717" s="57"/>
      <c r="F717" s="57"/>
      <c r="G717" s="29"/>
      <c r="H717" s="63"/>
      <c r="I717" s="64"/>
      <c r="J717" s="28"/>
      <c r="K717" s="28"/>
      <c r="L717" s="32"/>
      <c r="M717" s="32"/>
      <c r="N717" s="32"/>
      <c r="O717" s="32"/>
      <c r="R717" s="51" t="str">
        <f t="shared" si="45"/>
        <v/>
      </c>
      <c r="T717" s="41"/>
      <c r="U717" s="29" t="str">
        <f>IF($C717&lt;&gt;"",COUNTIF($C$2:C717,C717),"")</f>
        <v/>
      </c>
      <c r="V717" s="29" t="str">
        <f t="shared" si="46"/>
        <v/>
      </c>
      <c r="W717" s="29" t="str">
        <f>IF(U717=1,COUNTIF($U$2:U717,1),"")</f>
        <v/>
      </c>
      <c r="X717" s="29" t="str">
        <f t="shared" si="47"/>
        <v/>
      </c>
      <c r="Y717" s="29" t="str">
        <f>IF(AND(LEFT($B717,7)="SBA 26/",$D717&lt;&gt;"",$F717&lt;&gt;""),COUNTIFS($D$2:$D717,$D717,$B$2:$B717,"SBA 26/*",$F$2:$F717,"&lt;&gt;"),"")</f>
        <v/>
      </c>
      <c r="Z717" s="29" t="str">
        <f>IF(Y717=1,COUNTIF($Y$2:Y717,1),"")</f>
        <v/>
      </c>
      <c r="AA717" s="29" t="str">
        <f>IF(AND(LEFT($B717,7)="SBA 26/",$C717&lt;&gt;"",$F717&lt;&gt;""),COUNTIFS($C$2:$C717,$C717,$B$2:$B717,"SBA 26/*",$F$2:$F717,"&lt;&gt;"),"")</f>
        <v/>
      </c>
      <c r="AB717" s="29" t="str">
        <f>IF(AA717=1,COUNTIF($AA$2:AA717,1),"")</f>
        <v/>
      </c>
    </row>
    <row r="718" spans="1:28" ht="15.75" customHeight="1" x14ac:dyDescent="0.2">
      <c r="R718" s="51" t="str">
        <f t="shared" si="45"/>
        <v/>
      </c>
      <c r="T718" s="41"/>
      <c r="U718" s="29" t="str">
        <f>IF($C718&lt;&gt;"",COUNTIF($C$2:C718,C718),"")</f>
        <v/>
      </c>
      <c r="V718" s="29" t="str">
        <f t="shared" si="46"/>
        <v/>
      </c>
      <c r="W718" s="29" t="str">
        <f>IF(U718=1,COUNTIF($U$2:U718,1),"")</f>
        <v/>
      </c>
      <c r="X718" s="29" t="str">
        <f t="shared" si="47"/>
        <v/>
      </c>
      <c r="Y718" s="29" t="str">
        <f>IF(AND(LEFT($B718,7)="SBA 26/",$D718&lt;&gt;"",$F718&lt;&gt;""),COUNTIFS($D$2:$D718,$D718,$B$2:$B718,"SBA 26/*",$F$2:$F718,"&lt;&gt;"),"")</f>
        <v/>
      </c>
      <c r="Z718" s="29" t="str">
        <f>IF(Y718=1,COUNTIF($Y$2:Y718,1),"")</f>
        <v/>
      </c>
      <c r="AA718" s="29" t="str">
        <f>IF(AND(LEFT($B718,7)="SBA 26/",$C718&lt;&gt;"",$F718&lt;&gt;""),COUNTIFS($C$2:$C718,$C718,$B$2:$B718,"SBA 26/*",$F$2:$F718,"&lt;&gt;"),"")</f>
        <v/>
      </c>
      <c r="AB718" s="29" t="str">
        <f>IF(AA718=1,COUNTIF($AA$2:AA718,1),"")</f>
        <v/>
      </c>
    </row>
    <row r="719" spans="1:28" ht="31.5" customHeight="1" x14ac:dyDescent="0.2">
      <c r="F719" s="65" t="s">
        <v>3278</v>
      </c>
      <c r="K719" s="66" t="s">
        <v>77</v>
      </c>
      <c r="L719" s="67">
        <f>COUNTIF(L2:L714,"ONAY")</f>
        <v>371</v>
      </c>
      <c r="M719" s="68">
        <f>COUNTIF(M2:M714,"ONAY")</f>
        <v>150</v>
      </c>
      <c r="N719" s="67">
        <f>COUNTIF(N2:N714,"ONAY")</f>
        <v>21</v>
      </c>
      <c r="O719" s="69">
        <f>COUNTIF(O2:O714,"ONAY")</f>
        <v>3</v>
      </c>
      <c r="P719" s="68">
        <f>COUNTIF(P2:P714,"ONAY")</f>
        <v>545</v>
      </c>
      <c r="R719" s="51" t="str">
        <f t="shared" si="45"/>
        <v/>
      </c>
      <c r="T719" s="41"/>
      <c r="U719" s="29" t="str">
        <f>IF($C719&lt;&gt;"",COUNTIF($C$2:C719,C719),"")</f>
        <v/>
      </c>
      <c r="V719" s="29" t="str">
        <f t="shared" si="46"/>
        <v/>
      </c>
      <c r="W719" s="29" t="str">
        <f>IF(U719=1,COUNTIF($U$2:U719,1),"")</f>
        <v/>
      </c>
      <c r="X719" s="29" t="str">
        <f t="shared" si="47"/>
        <v/>
      </c>
      <c r="Y719" s="29" t="str">
        <f>IF(AND(LEFT($B719,7)="SBA 26/",$D719&lt;&gt;"",$F719&lt;&gt;""),COUNTIFS($D$2:$D719,$D719,$B$2:$B719,"SBA 26/*",$F$2:$F719,"&lt;&gt;"),"")</f>
        <v/>
      </c>
      <c r="Z719" s="29" t="str">
        <f>IF(Y719=1,COUNTIF($Y$2:Y719,1),"")</f>
        <v/>
      </c>
      <c r="AA719" s="29" t="str">
        <f>IF(AND(LEFT($B719,7)="SBA 26/",$C719&lt;&gt;"",$F719&lt;&gt;""),COUNTIFS($C$2:$C719,$C719,$B$2:$B719,"SBA 26/*",$F$2:$F719,"&lt;&gt;"),"")</f>
        <v/>
      </c>
      <c r="AB719" s="29" t="str">
        <f>IF(AA719=1,COUNTIF($AA$2:AA719,1),"")</f>
        <v/>
      </c>
    </row>
    <row r="720" spans="1:28" ht="31.5" customHeight="1" x14ac:dyDescent="0.2">
      <c r="F720" s="65" t="s">
        <v>3279</v>
      </c>
      <c r="K720" s="70" t="s">
        <v>101</v>
      </c>
      <c r="L720" s="71">
        <f>COUNTIF(L2:L714,"DÜZELTME")</f>
        <v>208</v>
      </c>
      <c r="M720" s="72">
        <f>COUNTIF(M2:M714,"DÜZELTME")</f>
        <v>27</v>
      </c>
      <c r="N720" s="71">
        <f>COUNTIF(N2:N714,"DÜZELTME")</f>
        <v>4</v>
      </c>
      <c r="O720" s="72">
        <f>COUNTIF(O2:O714,"DÜZELTME")</f>
        <v>0</v>
      </c>
      <c r="P720" s="73">
        <f>COUNTIF(P2:P714,"DÜZELTME")</f>
        <v>53</v>
      </c>
      <c r="R720" s="51" t="str">
        <f t="shared" si="45"/>
        <v/>
      </c>
      <c r="T720" s="41"/>
      <c r="U720" s="29" t="str">
        <f>IF($C720&lt;&gt;"",COUNTIF($C$2:C720,C720),"")</f>
        <v/>
      </c>
      <c r="V720" s="29" t="str">
        <f t="shared" si="46"/>
        <v/>
      </c>
      <c r="W720" s="29" t="str">
        <f>IF(U720=1,COUNTIF($U$2:U720,1),"")</f>
        <v/>
      </c>
      <c r="X720" s="29" t="str">
        <f t="shared" si="47"/>
        <v/>
      </c>
      <c r="Y720" s="29" t="str">
        <f>IF(AND(LEFT($B720,7)="SBA 26/",$D720&lt;&gt;"",$F720&lt;&gt;""),COUNTIFS($D$2:$D720,$D720,$B$2:$B720,"SBA 26/*",$F$2:$F720,"&lt;&gt;"),"")</f>
        <v/>
      </c>
      <c r="Z720" s="29" t="str">
        <f>IF(Y720=1,COUNTIF($Y$2:Y720,1),"")</f>
        <v/>
      </c>
      <c r="AA720" s="29" t="str">
        <f>IF(AND(LEFT($B720,7)="SBA 26/",$C720&lt;&gt;"",$F720&lt;&gt;""),COUNTIFS($C$2:$C720,$C720,$B$2:$B720,"SBA 26/*",$F$2:$F720,"&lt;&gt;"),"")</f>
        <v/>
      </c>
      <c r="AB720" s="29" t="str">
        <f>IF(AA720=1,COUNTIF($AA$2:AA720,1),"")</f>
        <v/>
      </c>
    </row>
    <row r="721" spans="6:28" ht="47.25" customHeight="1" x14ac:dyDescent="0.2">
      <c r="F721" s="65" t="s">
        <v>3280</v>
      </c>
      <c r="K721" s="74" t="s">
        <v>218</v>
      </c>
      <c r="L721" s="75">
        <f>COUNTIF(L2:L714,"KAEK")</f>
        <v>17</v>
      </c>
      <c r="M721" s="76">
        <f>COUNTIF(M2:M714,"KAEK")</f>
        <v>3</v>
      </c>
      <c r="N721" s="75">
        <f>COUNTIF(N2:N714,"KAEK")</f>
        <v>0</v>
      </c>
      <c r="O721" s="76">
        <f>COUNTIF(O2:O714,"KAEK")</f>
        <v>0</v>
      </c>
      <c r="P721" s="76">
        <f>COUNTIF(P2:P714,"KAEK")</f>
        <v>20</v>
      </c>
      <c r="R721" s="51" t="str">
        <f t="shared" si="45"/>
        <v/>
      </c>
      <c r="T721" s="41"/>
      <c r="U721" s="29" t="str">
        <f>IF($C721&lt;&gt;"",COUNTIF($C$2:C721,C721),"")</f>
        <v/>
      </c>
      <c r="V721" s="29" t="str">
        <f t="shared" si="46"/>
        <v/>
      </c>
      <c r="W721" s="29" t="str">
        <f>IF(U721=1,COUNTIF($U$2:U721,1),"")</f>
        <v/>
      </c>
      <c r="X721" s="29" t="str">
        <f t="shared" si="47"/>
        <v/>
      </c>
      <c r="Y721" s="29" t="str">
        <f>IF(AND(LEFT($B721,7)="SBA 26/",$D721&lt;&gt;"",$F721&lt;&gt;""),COUNTIFS($D$2:$D721,$D721,$B$2:$B721,"SBA 26/*",$F$2:$F721,"&lt;&gt;"),"")</f>
        <v/>
      </c>
      <c r="Z721" s="29" t="str">
        <f>IF(Y721=1,COUNTIF($Y$2:Y721,1),"")</f>
        <v/>
      </c>
      <c r="AA721" s="29" t="str">
        <f>IF(AND(LEFT($B721,7)="SBA 26/",$C721&lt;&gt;"",$F721&lt;&gt;""),COUNTIFS($C$2:$C721,$C721,$B$2:$B721,"SBA 26/*",$F$2:$F721,"&lt;&gt;"),"")</f>
        <v/>
      </c>
      <c r="AB721" s="29" t="str">
        <f>IF(AA721=1,COUNTIF($AA$2:AA721,1),"")</f>
        <v/>
      </c>
    </row>
    <row r="722" spans="6:28" ht="63" customHeight="1" x14ac:dyDescent="0.2">
      <c r="F722" s="65" t="s">
        <v>3281</v>
      </c>
      <c r="K722" s="77" t="s">
        <v>206</v>
      </c>
      <c r="L722" s="78">
        <f>COUNTIF(L2:L714,"GÖRÜŞ")</f>
        <v>25</v>
      </c>
      <c r="M722" s="79">
        <f>COUNTIF(M2:M714,"GÖRÜŞ")</f>
        <v>6</v>
      </c>
      <c r="N722" s="78">
        <f>COUNTIF(N2:N714,"GÖRÜŞ")</f>
        <v>0</v>
      </c>
      <c r="O722" s="79">
        <f>COUNTIF(O2:O714,"GÖRÜŞ")</f>
        <v>0</v>
      </c>
      <c r="P722" s="79">
        <f>COUNTIF(P2:P714,"GÖRÜŞ")</f>
        <v>2</v>
      </c>
      <c r="R722" s="51" t="str">
        <f t="shared" si="45"/>
        <v/>
      </c>
      <c r="T722" s="41"/>
      <c r="U722" s="29" t="str">
        <f>IF($C722&lt;&gt;"",COUNTIF($C$2:C722,C722),"")</f>
        <v/>
      </c>
      <c r="V722" s="29" t="str">
        <f t="shared" si="46"/>
        <v/>
      </c>
      <c r="W722" s="29" t="str">
        <f>IF(U722=1,COUNTIF($U$2:U722,1),"")</f>
        <v/>
      </c>
      <c r="X722" s="29" t="str">
        <f t="shared" si="47"/>
        <v/>
      </c>
      <c r="Y722" s="29" t="str">
        <f>IF(AND(LEFT($B722,7)="SBA 26/",$D722&lt;&gt;"",$F722&lt;&gt;""),COUNTIFS($D$2:$D722,$D722,$B$2:$B722,"SBA 26/*",$F$2:$F722,"&lt;&gt;"),"")</f>
        <v/>
      </c>
      <c r="Z722" s="29" t="str">
        <f>IF(Y722=1,COUNTIF($Y$2:Y722,1),"")</f>
        <v/>
      </c>
      <c r="AA722" s="29" t="str">
        <f>IF(AND(LEFT($B722,7)="SBA 26/",$C722&lt;&gt;"",$F722&lt;&gt;""),COUNTIFS($C$2:$C722,$C722,$B$2:$B722,"SBA 26/*",$F$2:$F722,"&lt;&gt;"),"")</f>
        <v/>
      </c>
      <c r="AB722" s="29" t="str">
        <f>IF(AA722=1,COUNTIF($AA$2:AA722,1),"")</f>
        <v/>
      </c>
    </row>
    <row r="723" spans="6:28" ht="47.25" customHeight="1" x14ac:dyDescent="0.2">
      <c r="F723" s="65" t="s">
        <v>3282</v>
      </c>
      <c r="K723" s="80" t="s">
        <v>153</v>
      </c>
      <c r="L723" s="81">
        <f>COUNTIF(L2:L714,"KAPSAM DIŞI")</f>
        <v>14</v>
      </c>
      <c r="M723" s="82">
        <f>COUNTIF(M2:M714,"KAPSAM DIŞI")</f>
        <v>1</v>
      </c>
      <c r="N723" s="81">
        <f>COUNTIF(N2:N714,"KAPSAM DIŞI")</f>
        <v>0</v>
      </c>
      <c r="O723" s="82">
        <f>COUNTIF(O2:O714,"KAPSAM DIŞI")</f>
        <v>0</v>
      </c>
      <c r="P723" s="82">
        <f>COUNTIF(P2:P714,"KAPSAM DIŞI")</f>
        <v>15</v>
      </c>
      <c r="R723" s="51" t="str">
        <f t="shared" si="45"/>
        <v/>
      </c>
      <c r="T723" s="41"/>
      <c r="U723" s="29" t="str">
        <f>IF($C723&lt;&gt;"",COUNTIF($C$2:C723,C723),"")</f>
        <v/>
      </c>
      <c r="V723" s="29" t="str">
        <f t="shared" si="46"/>
        <v/>
      </c>
      <c r="W723" s="29" t="str">
        <f>IF(U723=1,COUNTIF($U$2:U723,1),"")</f>
        <v/>
      </c>
      <c r="X723" s="29" t="str">
        <f t="shared" si="47"/>
        <v/>
      </c>
      <c r="Y723" s="29" t="str">
        <f>IF(AND(LEFT($B723,7)="SBA 26/",$D723&lt;&gt;"",$F723&lt;&gt;""),COUNTIFS($D$2:$D723,$D723,$B$2:$B723,"SBA 26/*",$F$2:$F723,"&lt;&gt;"),"")</f>
        <v/>
      </c>
      <c r="Z723" s="29" t="str">
        <f>IF(Y723=1,COUNTIF($Y$2:Y723,1),"")</f>
        <v/>
      </c>
      <c r="AA723" s="29" t="str">
        <f>IF(AND(LEFT($B723,7)="SBA 26/",$C723&lt;&gt;"",$F723&lt;&gt;""),COUNTIFS($C$2:$C723,$C723,$B$2:$B723,"SBA 26/*",$F$2:$F723,"&lt;&gt;"),"")</f>
        <v/>
      </c>
      <c r="AB723" s="29" t="str">
        <f>IF(AA723=1,COUNTIF($AA$2:AA723,1),"")</f>
        <v/>
      </c>
    </row>
    <row r="724" spans="6:28" ht="31.5" customHeight="1" x14ac:dyDescent="0.2">
      <c r="F724" s="65" t="s">
        <v>3283</v>
      </c>
      <c r="K724" s="83" t="s">
        <v>172</v>
      </c>
      <c r="L724" s="84">
        <f>COUNTIF(L2:L714,"RET")</f>
        <v>23</v>
      </c>
      <c r="M724" s="85">
        <f>COUNTIF(M2:M714,"RET")</f>
        <v>1</v>
      </c>
      <c r="N724" s="84">
        <f>COUNTIF(N2:N714,"RET")</f>
        <v>0</v>
      </c>
      <c r="O724" s="85">
        <f>COUNTIF(O2:O714,"RET")</f>
        <v>0</v>
      </c>
      <c r="P724" s="85">
        <f>COUNTIF(P2:P714,"RET")</f>
        <v>19</v>
      </c>
      <c r="R724" s="51" t="str">
        <f t="shared" si="45"/>
        <v/>
      </c>
      <c r="T724" s="41"/>
      <c r="U724" s="29" t="str">
        <f>IF($C724&lt;&gt;"",COUNTIF($C$2:C724,C724),"")</f>
        <v/>
      </c>
      <c r="V724" s="29" t="str">
        <f t="shared" si="46"/>
        <v/>
      </c>
      <c r="W724" s="29" t="str">
        <f>IF(U724=1,COUNTIF($U$2:U724,1),"")</f>
        <v/>
      </c>
      <c r="X724" s="29" t="str">
        <f t="shared" si="47"/>
        <v/>
      </c>
      <c r="Y724" s="29" t="str">
        <f>IF(AND(LEFT($B724,7)="SBA 26/",$D724&lt;&gt;"",$F724&lt;&gt;""),COUNTIFS($D$2:$D724,$D724,$B$2:$B724,"SBA 26/*",$F$2:$F724,"&lt;&gt;"),"")</f>
        <v/>
      </c>
      <c r="Z724" s="29" t="str">
        <f>IF(Y724=1,COUNTIF($Y$2:Y724,1),"")</f>
        <v/>
      </c>
      <c r="AA724" s="29" t="str">
        <f>IF(AND(LEFT($B724,7)="SBA 26/",$C724&lt;&gt;"",$F724&lt;&gt;""),COUNTIFS($C$2:$C724,$C724,$B$2:$B724,"SBA 26/*",$F$2:$F724,"&lt;&gt;"),"")</f>
        <v/>
      </c>
      <c r="AB724" s="29" t="str">
        <f>IF(AA724=1,COUNTIF($AA$2:AA724,1),"")</f>
        <v/>
      </c>
    </row>
    <row r="725" spans="6:28" ht="31.5" customHeight="1" x14ac:dyDescent="0.2">
      <c r="F725" s="65" t="s">
        <v>3284</v>
      </c>
      <c r="K725" s="86" t="s">
        <v>400</v>
      </c>
      <c r="L725" s="87">
        <f>COUNTIF(L2:L714,"GERİ ÇEKİLDİ")</f>
        <v>0</v>
      </c>
      <c r="M725" s="88">
        <f>COUNTIF(M2:M714,"GERİ ÇEKİLDİ")</f>
        <v>4</v>
      </c>
      <c r="N725" s="87">
        <f>COUNTIF(N2:N714,"GERİ ÇEKİLDİ")</f>
        <v>0</v>
      </c>
      <c r="O725" s="88">
        <f>COUNTIF(O2:O714,"GERİ ÇEKİLDİ")</f>
        <v>0</v>
      </c>
      <c r="P725" s="88">
        <f>COUNTIF(P2:P714,"GERİ ÇEKİLDİ")</f>
        <v>4</v>
      </c>
      <c r="R725" s="51" t="str">
        <f t="shared" si="45"/>
        <v/>
      </c>
      <c r="T725" s="41"/>
      <c r="U725" s="29" t="str">
        <f>IF($C725&lt;&gt;"",COUNTIF($C$2:C725,C725),"")</f>
        <v/>
      </c>
      <c r="V725" s="29" t="str">
        <f t="shared" si="46"/>
        <v/>
      </c>
      <c r="W725" s="29" t="str">
        <f>IF(U725=1,COUNTIF($U$2:U725,1),"")</f>
        <v/>
      </c>
      <c r="X725" s="29" t="str">
        <f t="shared" si="47"/>
        <v/>
      </c>
      <c r="Y725" s="29" t="str">
        <f>IF(AND(LEFT($B725,7)="SBA 26/",$D725&lt;&gt;"",$F725&lt;&gt;""),COUNTIFS($D$2:$D725,$D725,$B$2:$B725,"SBA 26/*",$F$2:$F725,"&lt;&gt;"),"")</f>
        <v/>
      </c>
      <c r="Z725" s="29" t="str">
        <f>IF(Y725=1,COUNTIF($Y$2:Y725,1),"")</f>
        <v/>
      </c>
      <c r="AA725" s="29" t="str">
        <f>IF(AND(LEFT($B725,7)="SBA 26/",$C725&lt;&gt;"",$F725&lt;&gt;""),COUNTIFS($C$2:$C725,$C725,$B$2:$B725,"SBA 26/*",$F$2:$F725,"&lt;&gt;"),"")</f>
        <v/>
      </c>
      <c r="AB725" s="29" t="str">
        <f>IF(AA725=1,COUNTIF($AA$2:AA725,1),"")</f>
        <v/>
      </c>
    </row>
    <row r="726" spans="6:28" ht="47.25" customHeight="1" x14ac:dyDescent="0.2">
      <c r="F726" s="65" t="s">
        <v>3285</v>
      </c>
      <c r="K726" s="89" t="s">
        <v>4</v>
      </c>
      <c r="L726" s="90">
        <f>SUM(L719:L725)</f>
        <v>658</v>
      </c>
      <c r="M726" s="91">
        <f>SUM(M719:M725)</f>
        <v>192</v>
      </c>
      <c r="N726" s="90">
        <f>SUM(N719:N725)</f>
        <v>25</v>
      </c>
      <c r="O726" s="91">
        <f>SUM(O719:O725)</f>
        <v>3</v>
      </c>
      <c r="P726" s="91">
        <f>SUM(P719:P725)</f>
        <v>658</v>
      </c>
      <c r="R726" s="51" t="str">
        <f t="shared" si="45"/>
        <v/>
      </c>
      <c r="T726" s="41"/>
      <c r="U726" s="29" t="str">
        <f>IF($C726&lt;&gt;"",COUNTIF($C$2:C726,C726),"")</f>
        <v/>
      </c>
      <c r="V726" s="29" t="str">
        <f t="shared" si="46"/>
        <v/>
      </c>
      <c r="W726" s="29" t="str">
        <f>IF(U726=1,COUNTIF($U$2:U726,1),"")</f>
        <v/>
      </c>
      <c r="X726" s="29" t="str">
        <f t="shared" si="47"/>
        <v/>
      </c>
      <c r="Y726" s="29" t="str">
        <f>IF(AND(LEFT($B726,7)="SBA 26/",$D726&lt;&gt;"",$F726&lt;&gt;""),COUNTIFS($D$2:$D726,$D726,$B$2:$B726,"SBA 26/*",$F$2:$F726,"&lt;&gt;"),"")</f>
        <v/>
      </c>
      <c r="Z726" s="29" t="str">
        <f>IF(Y726=1,COUNTIF($Y$2:Y726,1),"")</f>
        <v/>
      </c>
      <c r="AA726" s="29" t="str">
        <f>IF(AND(LEFT($B726,7)="SBA 26/",$C726&lt;&gt;"",$F726&lt;&gt;""),COUNTIFS($C$2:$C726,$C726,$B$2:$B726,"SBA 26/*",$F$2:$F726,"&lt;&gt;"),"")</f>
        <v/>
      </c>
      <c r="AB726" s="29" t="str">
        <f>IF(AA726=1,COUNTIF($AA$2:AA726,1),"")</f>
        <v/>
      </c>
    </row>
    <row r="727" spans="6:28" ht="31.5" customHeight="1" x14ac:dyDescent="0.2">
      <c r="F727" s="65" t="s">
        <v>3286</v>
      </c>
      <c r="R727" s="51" t="str">
        <f t="shared" si="45"/>
        <v/>
      </c>
      <c r="T727" s="41"/>
      <c r="U727" s="29" t="str">
        <f>IF($C727&lt;&gt;"",COUNTIF($C$2:C727,C727),"")</f>
        <v/>
      </c>
      <c r="V727" s="29" t="str">
        <f t="shared" si="46"/>
        <v/>
      </c>
      <c r="W727" s="29" t="str">
        <f>IF(U727=1,COUNTIF($U$2:U727,1),"")</f>
        <v/>
      </c>
      <c r="X727" s="29" t="str">
        <f t="shared" si="47"/>
        <v/>
      </c>
      <c r="Y727" s="29" t="str">
        <f>IF(AND(LEFT($B727,7)="SBA 26/",$D727&lt;&gt;"",$F727&lt;&gt;""),COUNTIFS($D$2:$D727,$D727,$B$2:$B727,"SBA 26/*",$F$2:$F727,"&lt;&gt;"),"")</f>
        <v/>
      </c>
      <c r="Z727" s="29" t="str">
        <f>IF(Y727=1,COUNTIF($Y$2:Y727,1),"")</f>
        <v/>
      </c>
      <c r="AA727" s="29" t="str">
        <f>IF(AND(LEFT($B727,7)="SBA 26/",$C727&lt;&gt;"",$F727&lt;&gt;""),COUNTIFS($C$2:$C727,$C727,$B$2:$B727,"SBA 26/*",$F$2:$F727,"&lt;&gt;"),"")</f>
        <v/>
      </c>
      <c r="AB727" s="29" t="str">
        <f>IF(AA727=1,COUNTIF($AA$2:AA727,1),"")</f>
        <v/>
      </c>
    </row>
    <row r="728" spans="6:28" ht="47.25" customHeight="1" x14ac:dyDescent="0.2">
      <c r="F728" s="65" t="s">
        <v>3287</v>
      </c>
      <c r="R728" s="51" t="str">
        <f t="shared" si="45"/>
        <v/>
      </c>
      <c r="T728" s="41"/>
      <c r="U728" s="29" t="str">
        <f>IF($C728&lt;&gt;"",COUNTIF($C$2:C728,C728),"")</f>
        <v/>
      </c>
      <c r="V728" s="29" t="str">
        <f t="shared" si="46"/>
        <v/>
      </c>
      <c r="W728" s="29" t="str">
        <f>IF(U728=1,COUNTIF($U$2:U728,1),"")</f>
        <v/>
      </c>
      <c r="X728" s="29" t="str">
        <f t="shared" si="47"/>
        <v/>
      </c>
      <c r="Y728" s="29" t="str">
        <f>IF(AND(LEFT($B728,7)="SBA 26/",$D728&lt;&gt;"",$F728&lt;&gt;""),COUNTIFS($D$2:$D728,$D728,$B$2:$B728,"SBA 26/*",$F$2:$F728,"&lt;&gt;"),"")</f>
        <v/>
      </c>
      <c r="Z728" s="29" t="str">
        <f>IF(Y728=1,COUNTIF($Y$2:Y728,1),"")</f>
        <v/>
      </c>
      <c r="AA728" s="29" t="str">
        <f>IF(AND(LEFT($B728,7)="SBA 26/",$C728&lt;&gt;"",$F728&lt;&gt;""),COUNTIFS($C$2:$C728,$C728,$B$2:$B728,"SBA 26/*",$F$2:$F728,"&lt;&gt;"),"")</f>
        <v/>
      </c>
      <c r="AB728" s="29" t="str">
        <f>IF(AA728=1,COUNTIF($AA$2:AA728,1),"")</f>
        <v/>
      </c>
    </row>
    <row r="729" spans="6:28" ht="63" customHeight="1" x14ac:dyDescent="0.2">
      <c r="F729" s="65" t="s">
        <v>3288</v>
      </c>
      <c r="L729" s="28">
        <f>COUNTIF(L2:L714,"")</f>
        <v>55</v>
      </c>
      <c r="R729" s="51" t="str">
        <f t="shared" si="45"/>
        <v/>
      </c>
      <c r="T729" s="41"/>
      <c r="U729" s="29" t="str">
        <f>IF($C729&lt;&gt;"",COUNTIF($C$2:C729,C729),"")</f>
        <v/>
      </c>
      <c r="V729" s="29" t="str">
        <f t="shared" si="46"/>
        <v/>
      </c>
      <c r="W729" s="29" t="str">
        <f>IF(U729=1,COUNTIF($U$2:U729,1),"")</f>
        <v/>
      </c>
      <c r="X729" s="29" t="str">
        <f t="shared" si="47"/>
        <v/>
      </c>
      <c r="Y729" s="29" t="str">
        <f>IF(AND(LEFT($B729,7)="SBA 26/",$D729&lt;&gt;"",$F729&lt;&gt;""),COUNTIFS($D$2:$D729,$D729,$B$2:$B729,"SBA 26/*",$F$2:$F729,"&lt;&gt;"),"")</f>
        <v/>
      </c>
      <c r="Z729" s="29" t="str">
        <f>IF(Y729=1,COUNTIF($Y$2:Y729,1),"")</f>
        <v/>
      </c>
      <c r="AA729" s="29" t="str">
        <f>IF(AND(LEFT($B729,7)="SBA 26/",$C729&lt;&gt;"",$F729&lt;&gt;""),COUNTIFS($C$2:$C729,$C729,$B$2:$B729,"SBA 26/*",$F$2:$F729,"&lt;&gt;"),"")</f>
        <v/>
      </c>
      <c r="AB729" s="29" t="str">
        <f>IF(AA729=1,COUNTIF($AA$2:AA729,1),"")</f>
        <v/>
      </c>
    </row>
    <row r="730" spans="6:28" ht="31.5" customHeight="1" x14ac:dyDescent="0.2">
      <c r="F730" s="65" t="s">
        <v>3289</v>
      </c>
      <c r="R730" s="51" t="str">
        <f t="shared" si="45"/>
        <v/>
      </c>
      <c r="T730" s="41"/>
      <c r="U730" s="29" t="str">
        <f>IF($C730&lt;&gt;"",COUNTIF($C$2:C730,C730),"")</f>
        <v/>
      </c>
      <c r="V730" s="29" t="str">
        <f t="shared" si="46"/>
        <v/>
      </c>
      <c r="W730" s="29" t="str">
        <f>IF(U730=1,COUNTIF($U$2:U730,1),"")</f>
        <v/>
      </c>
      <c r="X730" s="29" t="str">
        <f t="shared" si="47"/>
        <v/>
      </c>
      <c r="Y730" s="29" t="str">
        <f>IF(AND(LEFT($B730,7)="SBA 26/",$D730&lt;&gt;"",$F730&lt;&gt;""),COUNTIFS($D$2:$D730,$D730,$B$2:$B730,"SBA 26/*",$F$2:$F730,"&lt;&gt;"),"")</f>
        <v/>
      </c>
      <c r="Z730" s="29" t="str">
        <f>IF(Y730=1,COUNTIF($Y$2:Y730,1),"")</f>
        <v/>
      </c>
      <c r="AA730" s="29" t="str">
        <f>IF(AND(LEFT($B730,7)="SBA 26/",$C730&lt;&gt;"",$F730&lt;&gt;""),COUNTIFS($C$2:$C730,$C730,$B$2:$B730,"SBA 26/*",$F$2:$F730,"&lt;&gt;"),"")</f>
        <v/>
      </c>
      <c r="AB730" s="29" t="str">
        <f>IF(AA730=1,COUNTIF($AA$2:AA730,1),"")</f>
        <v/>
      </c>
    </row>
    <row r="731" spans="6:28" ht="31.5" customHeight="1" x14ac:dyDescent="0.2">
      <c r="F731" s="65" t="s">
        <v>3290</v>
      </c>
      <c r="L731" s="92" t="s">
        <v>3291</v>
      </c>
      <c r="M731" s="93" t="s">
        <v>3292</v>
      </c>
      <c r="R731" s="51" t="str">
        <f t="shared" si="45"/>
        <v/>
      </c>
      <c r="T731" s="41"/>
      <c r="U731" s="29" t="str">
        <f>IF($C731&lt;&gt;"",COUNTIF($C$2:C731,C731),"")</f>
        <v/>
      </c>
      <c r="V731" s="29" t="str">
        <f t="shared" si="46"/>
        <v/>
      </c>
      <c r="W731" s="29" t="str">
        <f>IF(U731=1,COUNTIF($U$2:U731,1),"")</f>
        <v/>
      </c>
      <c r="X731" s="29" t="str">
        <f t="shared" si="47"/>
        <v/>
      </c>
      <c r="Y731" s="29" t="str">
        <f>IF(AND(LEFT($B731,7)="SBA 26/",$D731&lt;&gt;"",$F731&lt;&gt;""),COUNTIFS($D$2:$D731,$D731,$B$2:$B731,"SBA 26/*",$F$2:$F731,"&lt;&gt;"),"")</f>
        <v/>
      </c>
      <c r="Z731" s="29" t="str">
        <f>IF(Y731=1,COUNTIF($Y$2:Y731,1),"")</f>
        <v/>
      </c>
      <c r="AA731" s="29" t="str">
        <f>IF(AND(LEFT($B731,7)="SBA 26/",$C731&lt;&gt;"",$F731&lt;&gt;""),COUNTIFS($C$2:$C731,$C731,$B$2:$B731,"SBA 26/*",$F$2:$F731,"&lt;&gt;"),"")</f>
        <v/>
      </c>
      <c r="AB731" s="29" t="str">
        <f>IF(AA731=1,COUNTIF($AA$2:AA731,1),"")</f>
        <v/>
      </c>
    </row>
    <row r="732" spans="6:28" ht="31.5" customHeight="1" x14ac:dyDescent="0.2">
      <c r="F732" s="65" t="s">
        <v>3293</v>
      </c>
      <c r="L732" s="94">
        <f>COUNTIFS(I2:I714,"&lt;&gt;",L2:L714,"")</f>
        <v>42</v>
      </c>
      <c r="M732" s="95" t="s">
        <v>3294</v>
      </c>
      <c r="R732" s="51" t="str">
        <f t="shared" si="45"/>
        <v/>
      </c>
      <c r="T732" s="41"/>
      <c r="U732" s="29" t="str">
        <f>IF($C732&lt;&gt;"",COUNTIF($C$2:C732,C732),"")</f>
        <v/>
      </c>
      <c r="V732" s="29" t="str">
        <f t="shared" si="46"/>
        <v/>
      </c>
      <c r="W732" s="29" t="str">
        <f>IF(U732=1,COUNTIF($U$2:U732,1),"")</f>
        <v/>
      </c>
      <c r="X732" s="29" t="str">
        <f t="shared" si="47"/>
        <v/>
      </c>
      <c r="Y732" s="29" t="str">
        <f>IF(AND(LEFT($B732,7)="SBA 26/",$D732&lt;&gt;"",$F732&lt;&gt;""),COUNTIFS($D$2:$D732,$D732,$B$2:$B732,"SBA 26/*",$F$2:$F732,"&lt;&gt;"),"")</f>
        <v/>
      </c>
      <c r="Z732" s="29" t="str">
        <f>IF(Y732=1,COUNTIF($Y$2:Y732,1),"")</f>
        <v/>
      </c>
      <c r="AA732" s="29" t="str">
        <f>IF(AND(LEFT($B732,7)="SBA 26/",$C732&lt;&gt;"",$F732&lt;&gt;""),COUNTIFS($C$2:$C732,$C732,$B$2:$B732,"SBA 26/*",$F$2:$F732,"&lt;&gt;"),"")</f>
        <v/>
      </c>
      <c r="AB732" s="29" t="str">
        <f>IF(AA732=1,COUNTIF($AA$2:AA732,1),"")</f>
        <v/>
      </c>
    </row>
    <row r="733" spans="6:28" ht="18" customHeight="1" x14ac:dyDescent="0.2">
      <c r="F733" s="65" t="s">
        <v>3295</v>
      </c>
      <c r="L733" s="96" t="str">
        <f>IF(AND($I$373&lt;&gt;"",$L$373=""),$B$373&amp;"  →  satır 373","")</f>
        <v>SBA 26/372  →  satır 373</v>
      </c>
      <c r="R733" s="51" t="str">
        <f t="shared" si="45"/>
        <v/>
      </c>
      <c r="T733" s="41"/>
      <c r="U733" s="29" t="str">
        <f>IF($C733&lt;&gt;"",COUNTIF($C$2:C733,C733),"")</f>
        <v/>
      </c>
      <c r="V733" s="29" t="str">
        <f t="shared" si="46"/>
        <v/>
      </c>
      <c r="W733" s="29" t="str">
        <f>IF(U733=1,COUNTIF($U$2:U733,1),"")</f>
        <v/>
      </c>
      <c r="X733" s="29" t="str">
        <f t="shared" si="47"/>
        <v/>
      </c>
      <c r="Y733" s="29" t="str">
        <f>IF(AND(LEFT($B733,7)="SBA 26/",$D733&lt;&gt;"",$F733&lt;&gt;""),COUNTIFS($D$2:$D733,$D733,$B$2:$B733,"SBA 26/*",$F$2:$F733,"&lt;&gt;"),"")</f>
        <v/>
      </c>
      <c r="Z733" s="29" t="str">
        <f>IF(Y733=1,COUNTIF($Y$2:Y733,1),"")</f>
        <v/>
      </c>
      <c r="AA733" s="29" t="str">
        <f>IF(AND(LEFT($B733,7)="SBA 26/",$C733&lt;&gt;"",$F733&lt;&gt;""),COUNTIFS($C$2:$C733,$C733,$B$2:$B733,"SBA 26/*",$F$2:$F733,"&lt;&gt;"),"")</f>
        <v/>
      </c>
      <c r="AB733" s="29" t="str">
        <f>IF(AA733=1,COUNTIF($AA$2:AA733,1),"")</f>
        <v/>
      </c>
    </row>
    <row r="734" spans="6:28" ht="18" customHeight="1" x14ac:dyDescent="0.2">
      <c r="F734" s="65" t="s">
        <v>3296</v>
      </c>
      <c r="L734" s="96" t="str">
        <f>IF(AND($I$377&lt;&gt;"",$L$377=""),$B$377&amp;"  →  satır 377","")</f>
        <v>SBA 26/376  →  satır 377</v>
      </c>
      <c r="R734" s="51" t="str">
        <f t="shared" si="45"/>
        <v/>
      </c>
      <c r="T734" s="41"/>
      <c r="U734" s="29" t="str">
        <f>IF($C734&lt;&gt;"",COUNTIF($C$2:C734,C734),"")</f>
        <v/>
      </c>
      <c r="V734" s="29" t="str">
        <f t="shared" si="46"/>
        <v/>
      </c>
      <c r="W734" s="29" t="str">
        <f>IF(U734=1,COUNTIF($U$2:U734,1),"")</f>
        <v/>
      </c>
      <c r="X734" s="29" t="str">
        <f t="shared" si="47"/>
        <v/>
      </c>
      <c r="Y734" s="29" t="str">
        <f>IF(AND(LEFT($B734,7)="SBA 26/",$D734&lt;&gt;"",$F734&lt;&gt;""),COUNTIFS($D$2:$D734,$D734,$B$2:$B734,"SBA 26/*",$F$2:$F734,"&lt;&gt;"),"")</f>
        <v/>
      </c>
      <c r="Z734" s="29" t="str">
        <f>IF(Y734=1,COUNTIF($Y$2:Y734,1),"")</f>
        <v/>
      </c>
      <c r="AA734" s="29" t="str">
        <f>IF(AND(LEFT($B734,7)="SBA 26/",$C734&lt;&gt;"",$F734&lt;&gt;""),COUNTIFS($C$2:$C734,$C734,$B$2:$B734,"SBA 26/*",$F$2:$F734,"&lt;&gt;"),"")</f>
        <v/>
      </c>
      <c r="AB734" s="29" t="str">
        <f>IF(AA734=1,COUNTIF($AA$2:AA734,1),"")</f>
        <v/>
      </c>
    </row>
    <row r="735" spans="6:28" ht="18" customHeight="1" x14ac:dyDescent="0.2">
      <c r="F735" s="65" t="s">
        <v>3297</v>
      </c>
      <c r="L735" s="96" t="str">
        <f>IF(AND($I$403&lt;&gt;"",$L$403=""),$B$403&amp;"  →  satır 403","")</f>
        <v>SBA 26/402  →  satır 403</v>
      </c>
      <c r="R735" s="51" t="str">
        <f t="shared" si="45"/>
        <v/>
      </c>
      <c r="T735" s="41"/>
      <c r="U735" s="29" t="str">
        <f>IF($C735&lt;&gt;"",COUNTIF($C$2:C735,C735),"")</f>
        <v/>
      </c>
      <c r="V735" s="29" t="str">
        <f t="shared" si="46"/>
        <v/>
      </c>
      <c r="W735" s="29" t="str">
        <f>IF(U735=1,COUNTIF($U$2:U735,1),"")</f>
        <v/>
      </c>
      <c r="X735" s="29" t="str">
        <f t="shared" si="47"/>
        <v/>
      </c>
      <c r="Y735" s="29" t="str">
        <f>IF(AND(LEFT($B735,7)="SBA 26/",$D735&lt;&gt;"",$F735&lt;&gt;""),COUNTIFS($D$2:$D735,$D735,$B$2:$B735,"SBA 26/*",$F$2:$F735,"&lt;&gt;"),"")</f>
        <v/>
      </c>
      <c r="Z735" s="29" t="str">
        <f>IF(Y735=1,COUNTIF($Y$2:Y735,1),"")</f>
        <v/>
      </c>
      <c r="AA735" s="29" t="str">
        <f>IF(AND(LEFT($B735,7)="SBA 26/",$C735&lt;&gt;"",$F735&lt;&gt;""),COUNTIFS($C$2:$C735,$C735,$B$2:$B735,"SBA 26/*",$F$2:$F735,"&lt;&gt;"),"")</f>
        <v/>
      </c>
      <c r="AB735" s="29" t="str">
        <f>IF(AA735=1,COUNTIF($AA$2:AA735,1),"")</f>
        <v/>
      </c>
    </row>
    <row r="736" spans="6:28" ht="18" customHeight="1" x14ac:dyDescent="0.2">
      <c r="F736" s="65" t="s">
        <v>3298</v>
      </c>
      <c r="L736" s="96" t="str">
        <f>IF(AND($I$419&lt;&gt;"",$L$419=""),$B$419&amp;"  →  satır 419","")</f>
        <v>SBA 26/418  →  satır 419</v>
      </c>
      <c r="R736" s="51" t="str">
        <f t="shared" si="45"/>
        <v/>
      </c>
      <c r="T736" s="41"/>
      <c r="U736" s="29" t="str">
        <f>IF($C736&lt;&gt;"",COUNTIF($C$2:C736,C736),"")</f>
        <v/>
      </c>
      <c r="V736" s="29" t="str">
        <f t="shared" si="46"/>
        <v/>
      </c>
      <c r="W736" s="29" t="str">
        <f>IF(U736=1,COUNTIF($U$2:U736,1),"")</f>
        <v/>
      </c>
      <c r="X736" s="29" t="str">
        <f t="shared" si="47"/>
        <v/>
      </c>
      <c r="Y736" s="29" t="str">
        <f>IF(AND(LEFT($B736,7)="SBA 26/",$D736&lt;&gt;"",$F736&lt;&gt;""),COUNTIFS($D$2:$D736,$D736,$B$2:$B736,"SBA 26/*",$F$2:$F736,"&lt;&gt;"),"")</f>
        <v/>
      </c>
      <c r="Z736" s="29" t="str">
        <f>IF(Y736=1,COUNTIF($Y$2:Y736,1),"")</f>
        <v/>
      </c>
      <c r="AA736" s="29" t="str">
        <f>IF(AND(LEFT($B736,7)="SBA 26/",$C736&lt;&gt;"",$F736&lt;&gt;""),COUNTIFS($C$2:$C736,$C736,$B$2:$B736,"SBA 26/*",$F$2:$F736,"&lt;&gt;"),"")</f>
        <v/>
      </c>
      <c r="AB736" s="29" t="str">
        <f>IF(AA736=1,COUNTIF($AA$2:AA736,1),"")</f>
        <v/>
      </c>
    </row>
    <row r="737" spans="6:28" ht="18" customHeight="1" x14ac:dyDescent="0.2">
      <c r="F737" s="65" t="s">
        <v>3299</v>
      </c>
      <c r="L737" s="96" t="str">
        <f>IF(AND($I$635&lt;&gt;"",$L$635=""),$B$635&amp;"  →  satır 635","")</f>
        <v>SBA 26/634  →  satır 635</v>
      </c>
      <c r="R737" s="51" t="str">
        <f t="shared" si="45"/>
        <v/>
      </c>
      <c r="T737" s="41"/>
      <c r="U737" s="29" t="str">
        <f>IF($C737&lt;&gt;"",COUNTIF($C$2:C737,C737),"")</f>
        <v/>
      </c>
      <c r="V737" s="29" t="str">
        <f t="shared" si="46"/>
        <v/>
      </c>
      <c r="W737" s="29" t="str">
        <f>IF(U737=1,COUNTIF($U$2:U737,1),"")</f>
        <v/>
      </c>
      <c r="X737" s="29" t="str">
        <f t="shared" si="47"/>
        <v/>
      </c>
      <c r="Y737" s="29" t="str">
        <f>IF(AND(LEFT($B737,7)="SBA 26/",$D737&lt;&gt;"",$F737&lt;&gt;""),COUNTIFS($D$2:$D737,$D737,$B$2:$B737,"SBA 26/*",$F$2:$F737,"&lt;&gt;"),"")</f>
        <v/>
      </c>
      <c r="Z737" s="29" t="str">
        <f>IF(Y737=1,COUNTIF($Y$2:Y737,1),"")</f>
        <v/>
      </c>
      <c r="AA737" s="29" t="str">
        <f>IF(AND(LEFT($B737,7)="SBA 26/",$C737&lt;&gt;"",$F737&lt;&gt;""),COUNTIFS($C$2:$C737,$C737,$B$2:$B737,"SBA 26/*",$F$2:$F737,"&lt;&gt;"),"")</f>
        <v/>
      </c>
      <c r="AB737" s="29" t="str">
        <f>IF(AA737=1,COUNTIF($AA$2:AA737,1),"")</f>
        <v/>
      </c>
    </row>
    <row r="738" spans="6:28" ht="18" customHeight="1" x14ac:dyDescent="0.2">
      <c r="F738" s="65" t="s">
        <v>3300</v>
      </c>
      <c r="L738" s="96" t="str">
        <f>IF(AND($I$641&lt;&gt;"",$L$641=""),$B$641&amp;"  →  satır 641","")</f>
        <v/>
      </c>
      <c r="R738" s="51" t="str">
        <f t="shared" si="45"/>
        <v/>
      </c>
      <c r="T738" s="41"/>
      <c r="U738" s="29" t="str">
        <f>IF($C738&lt;&gt;"",COUNTIF($C$2:C738,C738),"")</f>
        <v/>
      </c>
      <c r="V738" s="29" t="str">
        <f t="shared" si="46"/>
        <v/>
      </c>
      <c r="W738" s="29" t="str">
        <f>IF(U738=1,COUNTIF($U$2:U738,1),"")</f>
        <v/>
      </c>
      <c r="X738" s="29" t="str">
        <f t="shared" si="47"/>
        <v/>
      </c>
      <c r="Y738" s="29" t="str">
        <f>IF(AND(LEFT($B738,7)="SBA 26/",$D738&lt;&gt;"",$F738&lt;&gt;""),COUNTIFS($D$2:$D738,$D738,$B$2:$B738,"SBA 26/*",$F$2:$F738,"&lt;&gt;"),"")</f>
        <v/>
      </c>
      <c r="Z738" s="29" t="str">
        <f>IF(Y738=1,COUNTIF($Y$2:Y738,1),"")</f>
        <v/>
      </c>
      <c r="AA738" s="29" t="str">
        <f>IF(AND(LEFT($B738,7)="SBA 26/",$C738&lt;&gt;"",$F738&lt;&gt;""),COUNTIFS($C$2:$C738,$C738,$B$2:$B738,"SBA 26/*",$F$2:$F738,"&lt;&gt;"),"")</f>
        <v/>
      </c>
      <c r="AB738" s="29" t="str">
        <f>IF(AA738=1,COUNTIF($AA$2:AA738,1),"")</f>
        <v/>
      </c>
    </row>
    <row r="739" spans="6:28" ht="18" customHeight="1" x14ac:dyDescent="0.2">
      <c r="F739" s="65" t="s">
        <v>3301</v>
      </c>
      <c r="L739" s="96" t="str">
        <f>IF(AND($I$642&lt;&gt;"",$L$642=""),$B$642&amp;"  →  satır 642","")</f>
        <v/>
      </c>
      <c r="R739" s="51" t="str">
        <f t="shared" si="45"/>
        <v/>
      </c>
      <c r="T739" s="41"/>
      <c r="U739" s="29" t="str">
        <f>IF($C739&lt;&gt;"",COUNTIF($C$2:C739,C739),"")</f>
        <v/>
      </c>
      <c r="V739" s="29" t="str">
        <f t="shared" si="46"/>
        <v/>
      </c>
      <c r="W739" s="29" t="str">
        <f>IF(U739=1,COUNTIF($U$2:U739,1),"")</f>
        <v/>
      </c>
      <c r="X739" s="29" t="str">
        <f t="shared" si="47"/>
        <v/>
      </c>
      <c r="Y739" s="29" t="str">
        <f>IF(AND(LEFT($B739,7)="SBA 26/",$D739&lt;&gt;"",$F739&lt;&gt;""),COUNTIFS($D$2:$D739,$D739,$B$2:$B739,"SBA 26/*",$F$2:$F739,"&lt;&gt;"),"")</f>
        <v/>
      </c>
      <c r="Z739" s="29" t="str">
        <f>IF(Y739=1,COUNTIF($Y$2:Y739,1),"")</f>
        <v/>
      </c>
      <c r="AA739" s="29" t="str">
        <f>IF(AND(LEFT($B739,7)="SBA 26/",$C739&lt;&gt;"",$F739&lt;&gt;""),COUNTIFS($C$2:$C739,$C739,$B$2:$B739,"SBA 26/*",$F$2:$F739,"&lt;&gt;"),"")</f>
        <v/>
      </c>
      <c r="AB739" s="29" t="str">
        <f>IF(AA739=1,COUNTIF($AA$2:AA739,1),"")</f>
        <v/>
      </c>
    </row>
    <row r="740" spans="6:28" ht="18" customHeight="1" x14ac:dyDescent="0.2">
      <c r="F740" s="65" t="s">
        <v>3302</v>
      </c>
      <c r="L740" s="96" t="str">
        <f>IF(AND($I$643&lt;&gt;"",$L$643=""),$B$643&amp;"  →  satır 643","")</f>
        <v/>
      </c>
      <c r="R740" s="51" t="str">
        <f t="shared" si="45"/>
        <v/>
      </c>
      <c r="T740" s="41"/>
      <c r="U740" s="29" t="str">
        <f>IF($C740&lt;&gt;"",COUNTIF($C$2:C740,C740),"")</f>
        <v/>
      </c>
      <c r="V740" s="29" t="str">
        <f t="shared" si="46"/>
        <v/>
      </c>
      <c r="W740" s="29" t="str">
        <f>IF(U740=1,COUNTIF($U$2:U740,1),"")</f>
        <v/>
      </c>
      <c r="X740" s="29" t="str">
        <f t="shared" si="47"/>
        <v/>
      </c>
      <c r="Y740" s="29" t="str">
        <f>IF(AND(LEFT($B740,7)="SBA 26/",$D740&lt;&gt;"",$F740&lt;&gt;""),COUNTIFS($D$2:$D740,$D740,$B$2:$B740,"SBA 26/*",$F$2:$F740,"&lt;&gt;"),"")</f>
        <v/>
      </c>
      <c r="Z740" s="29" t="str">
        <f>IF(Y740=1,COUNTIF($Y$2:Y740,1),"")</f>
        <v/>
      </c>
      <c r="AA740" s="29" t="str">
        <f>IF(AND(LEFT($B740,7)="SBA 26/",$C740&lt;&gt;"",$F740&lt;&gt;""),COUNTIFS($C$2:$C740,$C740,$B$2:$B740,"SBA 26/*",$F$2:$F740,"&lt;&gt;"),"")</f>
        <v/>
      </c>
      <c r="AB740" s="29" t="str">
        <f>IF(AA740=1,COUNTIF($AA$2:AA740,1),"")</f>
        <v/>
      </c>
    </row>
    <row r="741" spans="6:28" ht="18" customHeight="1" x14ac:dyDescent="0.2">
      <c r="F741" s="65" t="s">
        <v>3303</v>
      </c>
      <c r="L741" s="96" t="str">
        <f>IF(AND($I$644&lt;&gt;"",$L$644=""),$B$644&amp;"  →  satır 644","")</f>
        <v>SBA 26/643  →  satır 644</v>
      </c>
      <c r="R741" s="51" t="str">
        <f t="shared" si="45"/>
        <v/>
      </c>
      <c r="T741" s="41"/>
      <c r="U741" s="29" t="str">
        <f>IF($C741&lt;&gt;"",COUNTIF($C$2:C741,C741),"")</f>
        <v/>
      </c>
      <c r="V741" s="29" t="str">
        <f t="shared" si="46"/>
        <v/>
      </c>
      <c r="W741" s="29" t="str">
        <f>IF(U741=1,COUNTIF($U$2:U741,1),"")</f>
        <v/>
      </c>
      <c r="X741" s="29" t="str">
        <f t="shared" si="47"/>
        <v/>
      </c>
      <c r="Y741" s="29" t="str">
        <f>IF(AND(LEFT($B741,7)="SBA 26/",$D741&lt;&gt;"",$F741&lt;&gt;""),COUNTIFS($D$2:$D741,$D741,$B$2:$B741,"SBA 26/*",$F$2:$F741,"&lt;&gt;"),"")</f>
        <v/>
      </c>
      <c r="Z741" s="29" t="str">
        <f>IF(Y741=1,COUNTIF($Y$2:Y741,1),"")</f>
        <v/>
      </c>
      <c r="AA741" s="29" t="str">
        <f>IF(AND(LEFT($B741,7)="SBA 26/",$C741&lt;&gt;"",$F741&lt;&gt;""),COUNTIFS($C$2:$C741,$C741,$B$2:$B741,"SBA 26/*",$F$2:$F741,"&lt;&gt;"),"")</f>
        <v/>
      </c>
      <c r="AB741" s="29" t="str">
        <f>IF(AA741=1,COUNTIF($AA$2:AA741,1),"")</f>
        <v/>
      </c>
    </row>
    <row r="742" spans="6:28" ht="18" customHeight="1" x14ac:dyDescent="0.2">
      <c r="F742" s="65" t="s">
        <v>3304</v>
      </c>
      <c r="L742" s="96" t="str">
        <f>IF(AND($I$645&lt;&gt;"",$L$645=""),$B$645&amp;"  →  satır 645","")</f>
        <v/>
      </c>
      <c r="R742" s="51" t="str">
        <f t="shared" si="45"/>
        <v/>
      </c>
      <c r="T742" s="41"/>
      <c r="U742" s="29" t="str">
        <f>IF($C742&lt;&gt;"",COUNTIF($C$2:C742,C742),"")</f>
        <v/>
      </c>
      <c r="V742" s="29" t="str">
        <f t="shared" si="46"/>
        <v/>
      </c>
      <c r="W742" s="29" t="str">
        <f>IF(U742=1,COUNTIF($U$2:U742,1),"")</f>
        <v/>
      </c>
      <c r="X742" s="29" t="str">
        <f t="shared" si="47"/>
        <v/>
      </c>
      <c r="Y742" s="29" t="str">
        <f>IF(AND(LEFT($B742,7)="SBA 26/",$D742&lt;&gt;"",$F742&lt;&gt;""),COUNTIFS($D$2:$D742,$D742,$B$2:$B742,"SBA 26/*",$F$2:$F742,"&lt;&gt;"),"")</f>
        <v/>
      </c>
      <c r="Z742" s="29" t="str">
        <f>IF(Y742=1,COUNTIF($Y$2:Y742,1),"")</f>
        <v/>
      </c>
      <c r="AA742" s="29" t="str">
        <f>IF(AND(LEFT($B742,7)="SBA 26/",$C742&lt;&gt;"",$F742&lt;&gt;""),COUNTIFS($C$2:$C742,$C742,$B$2:$B742,"SBA 26/*",$F$2:$F742,"&lt;&gt;"),"")</f>
        <v/>
      </c>
      <c r="AB742" s="29" t="str">
        <f>IF(AA742=1,COUNTIF($AA$2:AA742,1),"")</f>
        <v/>
      </c>
    </row>
    <row r="743" spans="6:28" ht="18" customHeight="1" x14ac:dyDescent="0.2">
      <c r="F743" s="65" t="s">
        <v>3305</v>
      </c>
      <c r="L743" s="96" t="str">
        <f>IF(AND($I$646&lt;&gt;"",$L$646=""),$B$646&amp;"  →  satır 646","")</f>
        <v>SBA 26/645  →  satır 646</v>
      </c>
      <c r="R743" s="51" t="str">
        <f t="shared" si="45"/>
        <v/>
      </c>
      <c r="T743" s="41"/>
      <c r="U743" s="29" t="str">
        <f>IF($C743&lt;&gt;"",COUNTIF($C$2:C743,C743),"")</f>
        <v/>
      </c>
      <c r="V743" s="29" t="str">
        <f t="shared" si="46"/>
        <v/>
      </c>
      <c r="W743" s="29" t="str">
        <f>IF(U743=1,COUNTIF($U$2:U743,1),"")</f>
        <v/>
      </c>
      <c r="X743" s="29" t="str">
        <f t="shared" si="47"/>
        <v/>
      </c>
      <c r="Y743" s="29" t="str">
        <f>IF(AND(LEFT($B743,7)="SBA 26/",$D743&lt;&gt;"",$F743&lt;&gt;""),COUNTIFS($D$2:$D743,$D743,$B$2:$B743,"SBA 26/*",$F$2:$F743,"&lt;&gt;"),"")</f>
        <v/>
      </c>
      <c r="Z743" s="29" t="str">
        <f>IF(Y743=1,COUNTIF($Y$2:Y743,1),"")</f>
        <v/>
      </c>
      <c r="AA743" s="29" t="str">
        <f>IF(AND(LEFT($B743,7)="SBA 26/",$C743&lt;&gt;"",$F743&lt;&gt;""),COUNTIFS($C$2:$C743,$C743,$B$2:$B743,"SBA 26/*",$F$2:$F743,"&lt;&gt;"),"")</f>
        <v/>
      </c>
      <c r="AB743" s="29" t="str">
        <f>IF(AA743=1,COUNTIF($AA$2:AA743,1),"")</f>
        <v/>
      </c>
    </row>
    <row r="744" spans="6:28" ht="18" customHeight="1" x14ac:dyDescent="0.2">
      <c r="F744" s="65" t="s">
        <v>3306</v>
      </c>
      <c r="L744" s="96" t="str">
        <f>IF(AND($I$647&lt;&gt;"",$L$647=""),$B$647&amp;"  →  satır 647","")</f>
        <v>SBA 26/646  →  satır 647</v>
      </c>
      <c r="R744" s="51" t="str">
        <f t="shared" si="45"/>
        <v/>
      </c>
      <c r="T744" s="41"/>
      <c r="U744" s="29" t="str">
        <f>IF($C744&lt;&gt;"",COUNTIF($C$2:C744,C744),"")</f>
        <v/>
      </c>
      <c r="V744" s="29" t="str">
        <f t="shared" si="46"/>
        <v/>
      </c>
      <c r="W744" s="29" t="str">
        <f>IF(U744=1,COUNTIF($U$2:U744,1),"")</f>
        <v/>
      </c>
      <c r="X744" s="29" t="str">
        <f t="shared" si="47"/>
        <v/>
      </c>
      <c r="Y744" s="29" t="str">
        <f>IF(AND(LEFT($B744,7)="SBA 26/",$D744&lt;&gt;"",$F744&lt;&gt;""),COUNTIFS($D$2:$D744,$D744,$B$2:$B744,"SBA 26/*",$F$2:$F744,"&lt;&gt;"),"")</f>
        <v/>
      </c>
      <c r="Z744" s="29" t="str">
        <f>IF(Y744=1,COUNTIF($Y$2:Y744,1),"")</f>
        <v/>
      </c>
      <c r="AA744" s="29" t="str">
        <f>IF(AND(LEFT($B744,7)="SBA 26/",$C744&lt;&gt;"",$F744&lt;&gt;""),COUNTIFS($C$2:$C744,$C744,$B$2:$B744,"SBA 26/*",$F$2:$F744,"&lt;&gt;"),"")</f>
        <v/>
      </c>
      <c r="AB744" s="29" t="str">
        <f>IF(AA744=1,COUNTIF($AA$2:AA744,1),"")</f>
        <v/>
      </c>
    </row>
    <row r="745" spans="6:28" ht="18" customHeight="1" x14ac:dyDescent="0.2">
      <c r="F745" s="65" t="s">
        <v>3307</v>
      </c>
      <c r="L745" s="96" t="str">
        <f>IF(AND($I$648&lt;&gt;"",$L$648=""),$B$648&amp;"  →  satır 648","")</f>
        <v/>
      </c>
      <c r="R745" s="51" t="str">
        <f t="shared" si="45"/>
        <v/>
      </c>
      <c r="T745" s="41"/>
      <c r="U745" s="29" t="str">
        <f>IF($C745&lt;&gt;"",COUNTIF($C$2:C745,C745),"")</f>
        <v/>
      </c>
      <c r="V745" s="29" t="str">
        <f t="shared" si="46"/>
        <v/>
      </c>
      <c r="W745" s="29" t="str">
        <f>IF(U745=1,COUNTIF($U$2:U745,1),"")</f>
        <v/>
      </c>
      <c r="X745" s="29" t="str">
        <f t="shared" si="47"/>
        <v/>
      </c>
      <c r="Y745" s="29" t="str">
        <f>IF(AND(LEFT($B745,7)="SBA 26/",$D745&lt;&gt;"",$F745&lt;&gt;""),COUNTIFS($D$2:$D745,$D745,$B$2:$B745,"SBA 26/*",$F$2:$F745,"&lt;&gt;"),"")</f>
        <v/>
      </c>
      <c r="Z745" s="29" t="str">
        <f>IF(Y745=1,COUNTIF($Y$2:Y745,1),"")</f>
        <v/>
      </c>
      <c r="AA745" s="29" t="str">
        <f>IF(AND(LEFT($B745,7)="SBA 26/",$C745&lt;&gt;"",$F745&lt;&gt;""),COUNTIFS($C$2:$C745,$C745,$B$2:$B745,"SBA 26/*",$F$2:$F745,"&lt;&gt;"),"")</f>
        <v/>
      </c>
      <c r="AB745" s="29" t="str">
        <f>IF(AA745=1,COUNTIF($AA$2:AA745,1),"")</f>
        <v/>
      </c>
    </row>
    <row r="746" spans="6:28" ht="18" customHeight="1" x14ac:dyDescent="0.2">
      <c r="F746" s="65" t="s">
        <v>3308</v>
      </c>
      <c r="L746" s="96" t="str">
        <f>IF(AND($I$649&lt;&gt;"",$L$649=""),$B$649&amp;"  →  satır 649","")</f>
        <v/>
      </c>
      <c r="R746" s="51" t="str">
        <f t="shared" si="45"/>
        <v/>
      </c>
      <c r="T746" s="41"/>
      <c r="U746" s="29" t="str">
        <f>IF($C746&lt;&gt;"",COUNTIF($C$2:C746,C746),"")</f>
        <v/>
      </c>
      <c r="V746" s="29" t="str">
        <f t="shared" si="46"/>
        <v/>
      </c>
      <c r="W746" s="29" t="str">
        <f>IF(U746=1,COUNTIF($U$2:U746,1),"")</f>
        <v/>
      </c>
      <c r="X746" s="29" t="str">
        <f t="shared" si="47"/>
        <v/>
      </c>
      <c r="Y746" s="29" t="str">
        <f>IF(AND(LEFT($B746,7)="SBA 26/",$D746&lt;&gt;"",$F746&lt;&gt;""),COUNTIFS($D$2:$D746,$D746,$B$2:$B746,"SBA 26/*",$F$2:$F746,"&lt;&gt;"),"")</f>
        <v/>
      </c>
      <c r="Z746" s="29" t="str">
        <f>IF(Y746=1,COUNTIF($Y$2:Y746,1),"")</f>
        <v/>
      </c>
      <c r="AA746" s="29" t="str">
        <f>IF(AND(LEFT($B746,7)="SBA 26/",$C746&lt;&gt;"",$F746&lt;&gt;""),COUNTIFS($C$2:$C746,$C746,$B$2:$B746,"SBA 26/*",$F$2:$F746,"&lt;&gt;"),"")</f>
        <v/>
      </c>
      <c r="AB746" s="29" t="str">
        <f>IF(AA746=1,COUNTIF($AA$2:AA746,1),"")</f>
        <v/>
      </c>
    </row>
    <row r="747" spans="6:28" ht="18" customHeight="1" x14ac:dyDescent="0.2">
      <c r="F747" s="65" t="s">
        <v>3309</v>
      </c>
      <c r="L747" s="96" t="str">
        <f>IF(AND($I$650&lt;&gt;"",$L$650=""),$B$650&amp;"  →  satır 650","")</f>
        <v/>
      </c>
      <c r="R747" s="51" t="str">
        <f t="shared" si="45"/>
        <v/>
      </c>
      <c r="T747" s="41"/>
      <c r="U747" s="29" t="str">
        <f>IF($C747&lt;&gt;"",COUNTIF($C$2:C747,C747),"")</f>
        <v/>
      </c>
      <c r="V747" s="29" t="str">
        <f t="shared" si="46"/>
        <v/>
      </c>
      <c r="W747" s="29" t="str">
        <f>IF(U747=1,COUNTIF($U$2:U747,1),"")</f>
        <v/>
      </c>
      <c r="X747" s="29" t="str">
        <f t="shared" si="47"/>
        <v/>
      </c>
      <c r="Y747" s="29" t="str">
        <f>IF(AND(LEFT($B747,7)="SBA 26/",$D747&lt;&gt;"",$F747&lt;&gt;""),COUNTIFS($D$2:$D747,$D747,$B$2:$B747,"SBA 26/*",$F$2:$F747,"&lt;&gt;"),"")</f>
        <v/>
      </c>
      <c r="Z747" s="29" t="str">
        <f>IF(Y747=1,COUNTIF($Y$2:Y747,1),"")</f>
        <v/>
      </c>
      <c r="AA747" s="29" t="str">
        <f>IF(AND(LEFT($B747,7)="SBA 26/",$C747&lt;&gt;"",$F747&lt;&gt;""),COUNTIFS($C$2:$C747,$C747,$B$2:$B747,"SBA 26/*",$F$2:$F747,"&lt;&gt;"),"")</f>
        <v/>
      </c>
      <c r="AB747" s="29" t="str">
        <f>IF(AA747=1,COUNTIF($AA$2:AA747,1),"")</f>
        <v/>
      </c>
    </row>
    <row r="748" spans="6:28" ht="18" customHeight="1" x14ac:dyDescent="0.2">
      <c r="F748" s="65" t="s">
        <v>3310</v>
      </c>
      <c r="L748" s="96" t="str">
        <f>IF(AND($I$651&lt;&gt;"",$L$651=""),$B$651&amp;"  →  satır 651","")</f>
        <v/>
      </c>
      <c r="R748" s="51" t="str">
        <f t="shared" si="45"/>
        <v/>
      </c>
      <c r="T748" s="41"/>
      <c r="U748" s="29" t="str">
        <f>IF($C748&lt;&gt;"",COUNTIF($C$2:C748,C748),"")</f>
        <v/>
      </c>
      <c r="V748" s="29" t="str">
        <f t="shared" si="46"/>
        <v/>
      </c>
      <c r="W748" s="29" t="str">
        <f>IF(U748=1,COUNTIF($U$2:U748,1),"")</f>
        <v/>
      </c>
      <c r="X748" s="29" t="str">
        <f t="shared" si="47"/>
        <v/>
      </c>
      <c r="Y748" s="29" t="str">
        <f>IF(AND(LEFT($B748,7)="SBA 26/",$D748&lt;&gt;"",$F748&lt;&gt;""),COUNTIFS($D$2:$D748,$D748,$B$2:$B748,"SBA 26/*",$F$2:$F748,"&lt;&gt;"),"")</f>
        <v/>
      </c>
      <c r="Z748" s="29" t="str">
        <f>IF(Y748=1,COUNTIF($Y$2:Y748,1),"")</f>
        <v/>
      </c>
      <c r="AA748" s="29" t="str">
        <f>IF(AND(LEFT($B748,7)="SBA 26/",$C748&lt;&gt;"",$F748&lt;&gt;""),COUNTIFS($C$2:$C748,$C748,$B$2:$B748,"SBA 26/*",$F$2:$F748,"&lt;&gt;"),"")</f>
        <v/>
      </c>
      <c r="AB748" s="29" t="str">
        <f>IF(AA748=1,COUNTIF($AA$2:AA748,1),"")</f>
        <v/>
      </c>
    </row>
    <row r="749" spans="6:28" ht="18" customHeight="1" x14ac:dyDescent="0.2">
      <c r="F749" s="65" t="s">
        <v>3311</v>
      </c>
      <c r="L749" s="96" t="str">
        <f>IF(AND($I$652&lt;&gt;"",$L$652=""),$B$652&amp;"  →  satır 652","")</f>
        <v/>
      </c>
      <c r="R749" s="51" t="str">
        <f t="shared" si="45"/>
        <v/>
      </c>
      <c r="T749" s="41"/>
      <c r="U749" s="29" t="str">
        <f>IF($C749&lt;&gt;"",COUNTIF($C$2:C749,C749),"")</f>
        <v/>
      </c>
      <c r="V749" s="29" t="str">
        <f t="shared" si="46"/>
        <v/>
      </c>
      <c r="W749" s="29" t="str">
        <f>IF(U749=1,COUNTIF($U$2:U749,1),"")</f>
        <v/>
      </c>
      <c r="X749" s="29" t="str">
        <f t="shared" si="47"/>
        <v/>
      </c>
      <c r="Y749" s="29" t="str">
        <f>IF(AND(LEFT($B749,7)="SBA 26/",$D749&lt;&gt;"",$F749&lt;&gt;""),COUNTIFS($D$2:$D749,$D749,$B$2:$B749,"SBA 26/*",$F$2:$F749,"&lt;&gt;"),"")</f>
        <v/>
      </c>
      <c r="Z749" s="29" t="str">
        <f>IF(Y749=1,COUNTIF($Y$2:Y749,1),"")</f>
        <v/>
      </c>
      <c r="AA749" s="29" t="str">
        <f>IF(AND(LEFT($B749,7)="SBA 26/",$C749&lt;&gt;"",$F749&lt;&gt;""),COUNTIFS($C$2:$C749,$C749,$B$2:$B749,"SBA 26/*",$F$2:$F749,"&lt;&gt;"),"")</f>
        <v/>
      </c>
      <c r="AB749" s="29" t="str">
        <f>IF(AA749=1,COUNTIF($AA$2:AA749,1),"")</f>
        <v/>
      </c>
    </row>
    <row r="750" spans="6:28" ht="18" customHeight="1" x14ac:dyDescent="0.2">
      <c r="F750" s="65" t="s">
        <v>3312</v>
      </c>
      <c r="L750" s="96" t="str">
        <f>IF(AND($I$653&lt;&gt;"",$L$653=""),$B$653&amp;"  →  satır 653","")</f>
        <v>SBA 26/652  →  satır 653</v>
      </c>
      <c r="R750" s="51" t="str">
        <f t="shared" si="45"/>
        <v/>
      </c>
      <c r="T750" s="41"/>
      <c r="U750" s="29" t="str">
        <f>IF($C750&lt;&gt;"",COUNTIF($C$2:C750,C750),"")</f>
        <v/>
      </c>
      <c r="V750" s="29" t="str">
        <f t="shared" si="46"/>
        <v/>
      </c>
      <c r="W750" s="29" t="str">
        <f>IF(U750=1,COUNTIF($U$2:U750,1),"")</f>
        <v/>
      </c>
      <c r="X750" s="29" t="str">
        <f t="shared" si="47"/>
        <v/>
      </c>
      <c r="Y750" s="29" t="str">
        <f>IF(AND(LEFT($B750,7)="SBA 26/",$D750&lt;&gt;"",$F750&lt;&gt;""),COUNTIFS($D$2:$D750,$D750,$B$2:$B750,"SBA 26/*",$F$2:$F750,"&lt;&gt;"),"")</f>
        <v/>
      </c>
      <c r="Z750" s="29" t="str">
        <f>IF(Y750=1,COUNTIF($Y$2:Y750,1),"")</f>
        <v/>
      </c>
      <c r="AA750" s="29" t="str">
        <f>IF(AND(LEFT($B750,7)="SBA 26/",$C750&lt;&gt;"",$F750&lt;&gt;""),COUNTIFS($C$2:$C750,$C750,$B$2:$B750,"SBA 26/*",$F$2:$F750,"&lt;&gt;"),"")</f>
        <v/>
      </c>
      <c r="AB750" s="29" t="str">
        <f>IF(AA750=1,COUNTIF($AA$2:AA750,1),"")</f>
        <v/>
      </c>
    </row>
    <row r="751" spans="6:28" ht="18" customHeight="1" x14ac:dyDescent="0.2">
      <c r="F751" s="65" t="s">
        <v>3313</v>
      </c>
      <c r="L751" s="96" t="str">
        <f>IF(AND($I$654&lt;&gt;"",$L$654=""),$B$654&amp;"  →  satır 654","")</f>
        <v/>
      </c>
      <c r="R751" s="51" t="str">
        <f t="shared" si="45"/>
        <v/>
      </c>
      <c r="T751" s="41"/>
      <c r="U751" s="29" t="str">
        <f>IF($C751&lt;&gt;"",COUNTIF($C$2:C751,C751),"")</f>
        <v/>
      </c>
      <c r="V751" s="29" t="str">
        <f t="shared" si="46"/>
        <v/>
      </c>
      <c r="W751" s="29" t="str">
        <f>IF(U751=1,COUNTIF($U$2:U751,1),"")</f>
        <v/>
      </c>
      <c r="X751" s="29" t="str">
        <f t="shared" si="47"/>
        <v/>
      </c>
      <c r="Y751" s="29" t="str">
        <f>IF(AND(LEFT($B751,7)="SBA 26/",$D751&lt;&gt;"",$F751&lt;&gt;""),COUNTIFS($D$2:$D751,$D751,$B$2:$B751,"SBA 26/*",$F$2:$F751,"&lt;&gt;"),"")</f>
        <v/>
      </c>
      <c r="Z751" s="29" t="str">
        <f>IF(Y751=1,COUNTIF($Y$2:Y751,1),"")</f>
        <v/>
      </c>
      <c r="AA751" s="29" t="str">
        <f>IF(AND(LEFT($B751,7)="SBA 26/",$C751&lt;&gt;"",$F751&lt;&gt;""),COUNTIFS($C$2:$C751,$C751,$B$2:$B751,"SBA 26/*",$F$2:$F751,"&lt;&gt;"),"")</f>
        <v/>
      </c>
      <c r="AB751" s="29" t="str">
        <f>IF(AA751=1,COUNTIF($AA$2:AA751,1),"")</f>
        <v/>
      </c>
    </row>
    <row r="752" spans="6:28" ht="18" customHeight="1" x14ac:dyDescent="0.2">
      <c r="F752" s="65" t="s">
        <v>3314</v>
      </c>
      <c r="L752" s="96" t="str">
        <f>IF(AND($I$655&lt;&gt;"",$L$655=""),$B$655&amp;"  →  satır 655","")</f>
        <v>SBA 26/654  →  satır 655</v>
      </c>
      <c r="R752" s="51" t="str">
        <f t="shared" si="45"/>
        <v/>
      </c>
      <c r="T752" s="41"/>
      <c r="U752" s="29" t="str">
        <f>IF($C752&lt;&gt;"",COUNTIF($C$2:C752,C752),"")</f>
        <v/>
      </c>
      <c r="V752" s="29" t="str">
        <f t="shared" si="46"/>
        <v/>
      </c>
      <c r="W752" s="29" t="str">
        <f>IF(U752=1,COUNTIF($U$2:U752,1),"")</f>
        <v/>
      </c>
      <c r="X752" s="29" t="str">
        <f t="shared" si="47"/>
        <v/>
      </c>
      <c r="Y752" s="29" t="str">
        <f>IF(AND(LEFT($B752,7)="SBA 26/",$D752&lt;&gt;"",$F752&lt;&gt;""),COUNTIFS($D$2:$D752,$D752,$B$2:$B752,"SBA 26/*",$F$2:$F752,"&lt;&gt;"),"")</f>
        <v/>
      </c>
      <c r="Z752" s="29" t="str">
        <f>IF(Y752=1,COUNTIF($Y$2:Y752,1),"")</f>
        <v/>
      </c>
      <c r="AA752" s="29" t="str">
        <f>IF(AND(LEFT($B752,7)="SBA 26/",$C752&lt;&gt;"",$F752&lt;&gt;""),COUNTIFS($C$2:$C752,$C752,$B$2:$B752,"SBA 26/*",$F$2:$F752,"&lt;&gt;"),"")</f>
        <v/>
      </c>
      <c r="AB752" s="29" t="str">
        <f>IF(AA752=1,COUNTIF($AA$2:AA752,1),"")</f>
        <v/>
      </c>
    </row>
    <row r="753" spans="6:28" ht="18" customHeight="1" x14ac:dyDescent="0.2">
      <c r="F753" s="65" t="s">
        <v>3315</v>
      </c>
      <c r="L753" s="96" t="str">
        <f>IF(AND($I$656&lt;&gt;"",$L$656=""),$B$656&amp;"  →  satır 656","")</f>
        <v>SBA 26/655  →  satır 656</v>
      </c>
      <c r="R753" s="51" t="str">
        <f t="shared" si="45"/>
        <v/>
      </c>
      <c r="T753" s="41"/>
      <c r="U753" s="29" t="str">
        <f>IF($C753&lt;&gt;"",COUNTIF($C$2:C753,C753),"")</f>
        <v/>
      </c>
      <c r="V753" s="29" t="str">
        <f t="shared" si="46"/>
        <v/>
      </c>
      <c r="W753" s="29" t="str">
        <f>IF(U753=1,COUNTIF($U$2:U753,1),"")</f>
        <v/>
      </c>
      <c r="X753" s="29" t="str">
        <f t="shared" si="47"/>
        <v/>
      </c>
      <c r="Y753" s="29" t="str">
        <f>IF(AND(LEFT($B753,7)="SBA 26/",$D753&lt;&gt;"",$F753&lt;&gt;""),COUNTIFS($D$2:$D753,$D753,$B$2:$B753,"SBA 26/*",$F$2:$F753,"&lt;&gt;"),"")</f>
        <v/>
      </c>
      <c r="Z753" s="29" t="str">
        <f>IF(Y753=1,COUNTIF($Y$2:Y753,1),"")</f>
        <v/>
      </c>
      <c r="AA753" s="29" t="str">
        <f>IF(AND(LEFT($B753,7)="SBA 26/",$C753&lt;&gt;"",$F753&lt;&gt;""),COUNTIFS($C$2:$C753,$C753,$B$2:$B753,"SBA 26/*",$F$2:$F753,"&lt;&gt;"),"")</f>
        <v/>
      </c>
      <c r="AB753" s="29" t="str">
        <f>IF(AA753=1,COUNTIF($AA$2:AA753,1),"")</f>
        <v/>
      </c>
    </row>
    <row r="754" spans="6:28" ht="18" customHeight="1" x14ac:dyDescent="0.2">
      <c r="F754" s="65" t="s">
        <v>3316</v>
      </c>
      <c r="L754" s="96" t="str">
        <f>IF(AND($I$657&lt;&gt;"",$L$657=""),$B$657&amp;"  →  satır 657","")</f>
        <v/>
      </c>
      <c r="R754" s="51" t="str">
        <f t="shared" si="45"/>
        <v/>
      </c>
      <c r="T754" s="41"/>
      <c r="U754" s="29" t="str">
        <f>IF($C754&lt;&gt;"",COUNTIF($C$2:C754,C754),"")</f>
        <v/>
      </c>
      <c r="V754" s="29" t="str">
        <f t="shared" si="46"/>
        <v/>
      </c>
      <c r="W754" s="29" t="str">
        <f>IF(U754=1,COUNTIF($U$2:U754,1),"")</f>
        <v/>
      </c>
      <c r="X754" s="29" t="str">
        <f t="shared" si="47"/>
        <v/>
      </c>
      <c r="Y754" s="29" t="str">
        <f>IF(AND(LEFT($B754,7)="SBA 26/",$D754&lt;&gt;"",$F754&lt;&gt;""),COUNTIFS($D$2:$D754,$D754,$B$2:$B754,"SBA 26/*",$F$2:$F754,"&lt;&gt;"),"")</f>
        <v/>
      </c>
      <c r="Z754" s="29" t="str">
        <f>IF(Y754=1,COUNTIF($Y$2:Y754,1),"")</f>
        <v/>
      </c>
      <c r="AA754" s="29" t="str">
        <f>IF(AND(LEFT($B754,7)="SBA 26/",$C754&lt;&gt;"",$F754&lt;&gt;""),COUNTIFS($C$2:$C754,$C754,$B$2:$B754,"SBA 26/*",$F$2:$F754,"&lt;&gt;"),"")</f>
        <v/>
      </c>
      <c r="AB754" s="29" t="str">
        <f>IF(AA754=1,COUNTIF($AA$2:AA754,1),"")</f>
        <v/>
      </c>
    </row>
    <row r="755" spans="6:28" ht="18" customHeight="1" x14ac:dyDescent="0.2">
      <c r="F755" s="65" t="s">
        <v>3317</v>
      </c>
      <c r="L755" s="96" t="str">
        <f>IF(AND($I$658&lt;&gt;"",$L$658=""),$B$658&amp;"  →  satır 658","")</f>
        <v/>
      </c>
      <c r="R755" s="51" t="str">
        <f t="shared" si="45"/>
        <v/>
      </c>
      <c r="T755" s="41"/>
      <c r="U755" s="29" t="str">
        <f>IF($C755&lt;&gt;"",COUNTIF($C$2:C755,C755),"")</f>
        <v/>
      </c>
      <c r="V755" s="29" t="str">
        <f t="shared" si="46"/>
        <v/>
      </c>
      <c r="W755" s="29" t="str">
        <f>IF(U755=1,COUNTIF($U$2:U755,1),"")</f>
        <v/>
      </c>
      <c r="X755" s="29" t="str">
        <f t="shared" si="47"/>
        <v/>
      </c>
      <c r="Y755" s="29" t="str">
        <f>IF(AND(LEFT($B755,7)="SBA 26/",$D755&lt;&gt;"",$F755&lt;&gt;""),COUNTIFS($D$2:$D755,$D755,$B$2:$B755,"SBA 26/*",$F$2:$F755,"&lt;&gt;"),"")</f>
        <v/>
      </c>
      <c r="Z755" s="29" t="str">
        <f>IF(Y755=1,COUNTIF($Y$2:Y755,1),"")</f>
        <v/>
      </c>
      <c r="AA755" s="29" t="str">
        <f>IF(AND(LEFT($B755,7)="SBA 26/",$C755&lt;&gt;"",$F755&lt;&gt;""),COUNTIFS($C$2:$C755,$C755,$B$2:$B755,"SBA 26/*",$F$2:$F755,"&lt;&gt;"),"")</f>
        <v/>
      </c>
      <c r="AB755" s="29" t="str">
        <f>IF(AA755=1,COUNTIF($AA$2:AA755,1),"")</f>
        <v/>
      </c>
    </row>
    <row r="756" spans="6:28" ht="18" customHeight="1" x14ac:dyDescent="0.2">
      <c r="F756" s="65" t="s">
        <v>3318</v>
      </c>
      <c r="L756" s="96" t="str">
        <f>IF(AND($I$659&lt;&gt;"",$L$659=""),$B$659&amp;"  →  satır 659","")</f>
        <v>SBA 26/658  →  satır 659</v>
      </c>
      <c r="R756" s="51" t="str">
        <f t="shared" si="45"/>
        <v/>
      </c>
      <c r="T756" s="41"/>
      <c r="U756" s="29" t="str">
        <f>IF($C756&lt;&gt;"",COUNTIF($C$2:C756,C756),"")</f>
        <v/>
      </c>
      <c r="V756" s="29" t="str">
        <f t="shared" si="46"/>
        <v/>
      </c>
      <c r="W756" s="29" t="str">
        <f>IF(U756=1,COUNTIF($U$2:U756,1),"")</f>
        <v/>
      </c>
      <c r="X756" s="29" t="str">
        <f t="shared" si="47"/>
        <v/>
      </c>
      <c r="Y756" s="29" t="str">
        <f>IF(AND(LEFT($B756,7)="SBA 26/",$D756&lt;&gt;"",$F756&lt;&gt;""),COUNTIFS($D$2:$D756,$D756,$B$2:$B756,"SBA 26/*",$F$2:$F756,"&lt;&gt;"),"")</f>
        <v/>
      </c>
      <c r="Z756" s="29" t="str">
        <f>IF(Y756=1,COUNTIF($Y$2:Y756,1),"")</f>
        <v/>
      </c>
      <c r="AA756" s="29" t="str">
        <f>IF(AND(LEFT($B756,7)="SBA 26/",$C756&lt;&gt;"",$F756&lt;&gt;""),COUNTIFS($C$2:$C756,$C756,$B$2:$B756,"SBA 26/*",$F$2:$F756,"&lt;&gt;"),"")</f>
        <v/>
      </c>
      <c r="AB756" s="29" t="str">
        <f>IF(AA756=1,COUNTIF($AA$2:AA756,1),"")</f>
        <v/>
      </c>
    </row>
    <row r="757" spans="6:28" ht="18" customHeight="1" x14ac:dyDescent="0.2">
      <c r="F757" s="65" t="s">
        <v>3319</v>
      </c>
      <c r="L757" s="96" t="str">
        <f>IF(AND($I$660&lt;&gt;"",$L$660=""),$B$660&amp;"  →  satır 660","")</f>
        <v>SBA 26/659  →  satır 660</v>
      </c>
      <c r="R757" s="51" t="str">
        <f t="shared" si="45"/>
        <v/>
      </c>
      <c r="T757" s="41"/>
      <c r="U757" s="29" t="str">
        <f>IF($C757&lt;&gt;"",COUNTIF($C$2:C757,C757),"")</f>
        <v/>
      </c>
      <c r="V757" s="29" t="str">
        <f t="shared" si="46"/>
        <v/>
      </c>
      <c r="W757" s="29" t="str">
        <f>IF(U757=1,COUNTIF($U$2:U757,1),"")</f>
        <v/>
      </c>
      <c r="X757" s="29" t="str">
        <f t="shared" si="47"/>
        <v/>
      </c>
      <c r="Y757" s="29" t="str">
        <f>IF(AND(LEFT($B757,7)="SBA 26/",$D757&lt;&gt;"",$F757&lt;&gt;""),COUNTIFS($D$2:$D757,$D757,$B$2:$B757,"SBA 26/*",$F$2:$F757,"&lt;&gt;"),"")</f>
        <v/>
      </c>
      <c r="Z757" s="29" t="str">
        <f>IF(Y757=1,COUNTIF($Y$2:Y757,1),"")</f>
        <v/>
      </c>
      <c r="AA757" s="29" t="str">
        <f>IF(AND(LEFT($B757,7)="SBA 26/",$C757&lt;&gt;"",$F757&lt;&gt;""),COUNTIFS($C$2:$C757,$C757,$B$2:$B757,"SBA 26/*",$F$2:$F757,"&lt;&gt;"),"")</f>
        <v/>
      </c>
      <c r="AB757" s="29" t="str">
        <f>IF(AA757=1,COUNTIF($AA$2:AA757,1),"")</f>
        <v/>
      </c>
    </row>
    <row r="758" spans="6:28" ht="18" customHeight="1" x14ac:dyDescent="0.2">
      <c r="F758" s="65" t="s">
        <v>3320</v>
      </c>
      <c r="L758" s="96" t="str">
        <f>IF(AND($I$661&lt;&gt;"",$L$661=""),$B$661&amp;"  →  satır 661","")</f>
        <v/>
      </c>
      <c r="R758" s="51" t="str">
        <f t="shared" si="45"/>
        <v/>
      </c>
      <c r="T758" s="41"/>
      <c r="U758" s="29" t="str">
        <f>IF($C758&lt;&gt;"",COUNTIF($C$2:C758,C758),"")</f>
        <v/>
      </c>
      <c r="V758" s="29" t="str">
        <f t="shared" si="46"/>
        <v/>
      </c>
      <c r="W758" s="29" t="str">
        <f>IF(U758=1,COUNTIF($U$2:U758,1),"")</f>
        <v/>
      </c>
      <c r="X758" s="29" t="str">
        <f t="shared" si="47"/>
        <v/>
      </c>
      <c r="Y758" s="29" t="str">
        <f>IF(AND(LEFT($B758,7)="SBA 26/",$D758&lt;&gt;"",$F758&lt;&gt;""),COUNTIFS($D$2:$D758,$D758,$B$2:$B758,"SBA 26/*",$F$2:$F758,"&lt;&gt;"),"")</f>
        <v/>
      </c>
      <c r="Z758" s="29" t="str">
        <f>IF(Y758=1,COUNTIF($Y$2:Y758,1),"")</f>
        <v/>
      </c>
      <c r="AA758" s="29" t="str">
        <f>IF(AND(LEFT($B758,7)="SBA 26/",$C758&lt;&gt;"",$F758&lt;&gt;""),COUNTIFS($C$2:$C758,$C758,$B$2:$B758,"SBA 26/*",$F$2:$F758,"&lt;&gt;"),"")</f>
        <v/>
      </c>
      <c r="AB758" s="29" t="str">
        <f>IF(AA758=1,COUNTIF($AA$2:AA758,1),"")</f>
        <v/>
      </c>
    </row>
    <row r="759" spans="6:28" ht="18" customHeight="1" x14ac:dyDescent="0.2">
      <c r="F759" s="65" t="s">
        <v>3321</v>
      </c>
      <c r="L759" s="96" t="str">
        <f>IF(AND($I$662&lt;&gt;"",$L$662=""),$B$662&amp;"  →  satır 662","")</f>
        <v/>
      </c>
      <c r="R759" s="51" t="str">
        <f t="shared" si="45"/>
        <v/>
      </c>
      <c r="T759" s="41"/>
      <c r="U759" s="29" t="str">
        <f>IF($C759&lt;&gt;"",COUNTIF($C$2:C759,C759),"")</f>
        <v/>
      </c>
      <c r="V759" s="29" t="str">
        <f t="shared" si="46"/>
        <v/>
      </c>
      <c r="W759" s="29" t="str">
        <f>IF(U759=1,COUNTIF($U$2:U759,1),"")</f>
        <v/>
      </c>
      <c r="X759" s="29" t="str">
        <f t="shared" si="47"/>
        <v/>
      </c>
      <c r="Y759" s="29" t="str">
        <f>IF(AND(LEFT($B759,7)="SBA 26/",$D759&lt;&gt;"",$F759&lt;&gt;""),COUNTIFS($D$2:$D759,$D759,$B$2:$B759,"SBA 26/*",$F$2:$F759,"&lt;&gt;"),"")</f>
        <v/>
      </c>
      <c r="Z759" s="29" t="str">
        <f>IF(Y759=1,COUNTIF($Y$2:Y759,1),"")</f>
        <v/>
      </c>
      <c r="AA759" s="29" t="str">
        <f>IF(AND(LEFT($B759,7)="SBA 26/",$C759&lt;&gt;"",$F759&lt;&gt;""),COUNTIFS($C$2:$C759,$C759,$B$2:$B759,"SBA 26/*",$F$2:$F759,"&lt;&gt;"),"")</f>
        <v/>
      </c>
      <c r="AB759" s="29" t="str">
        <f>IF(AA759=1,COUNTIF($AA$2:AA759,1),"")</f>
        <v/>
      </c>
    </row>
    <row r="760" spans="6:28" ht="18" customHeight="1" x14ac:dyDescent="0.2">
      <c r="F760" s="65" t="s">
        <v>3322</v>
      </c>
      <c r="L760" s="96" t="str">
        <f>IF(AND($I$663&lt;&gt;"",$L$663=""),$B$663&amp;"  →  satır 663","")</f>
        <v/>
      </c>
      <c r="R760" s="51" t="str">
        <f t="shared" si="45"/>
        <v/>
      </c>
      <c r="T760" s="41"/>
      <c r="U760" s="29" t="str">
        <f>IF($C760&lt;&gt;"",COUNTIF($C$2:C760,C760),"")</f>
        <v/>
      </c>
      <c r="V760" s="29" t="str">
        <f t="shared" si="46"/>
        <v/>
      </c>
      <c r="W760" s="29" t="str">
        <f>IF(U760=1,COUNTIF($U$2:U760,1),"")</f>
        <v/>
      </c>
      <c r="X760" s="29" t="str">
        <f t="shared" si="47"/>
        <v/>
      </c>
      <c r="Y760" s="29" t="str">
        <f>IF(AND(LEFT($B760,7)="SBA 26/",$D760&lt;&gt;"",$F760&lt;&gt;""),COUNTIFS($D$2:$D760,$D760,$B$2:$B760,"SBA 26/*",$F$2:$F760,"&lt;&gt;"),"")</f>
        <v/>
      </c>
      <c r="Z760" s="29" t="str">
        <f>IF(Y760=1,COUNTIF($Y$2:Y760,1),"")</f>
        <v/>
      </c>
      <c r="AA760" s="29" t="str">
        <f>IF(AND(LEFT($B760,7)="SBA 26/",$C760&lt;&gt;"",$F760&lt;&gt;""),COUNTIFS($C$2:$C760,$C760,$B$2:$B760,"SBA 26/*",$F$2:$F760,"&lt;&gt;"),"")</f>
        <v/>
      </c>
      <c r="AB760" s="29" t="str">
        <f>IF(AA760=1,COUNTIF($AA$2:AA760,1),"")</f>
        <v/>
      </c>
    </row>
    <row r="761" spans="6:28" ht="18" customHeight="1" x14ac:dyDescent="0.2">
      <c r="F761" s="65" t="s">
        <v>3323</v>
      </c>
      <c r="L761" s="96" t="str">
        <f>IF(AND($I$664&lt;&gt;"",$L$664=""),$B$664&amp;"  →  satır 664","")</f>
        <v/>
      </c>
      <c r="R761" s="51" t="str">
        <f t="shared" si="45"/>
        <v/>
      </c>
      <c r="T761" s="41"/>
      <c r="U761" s="29" t="str">
        <f>IF($C761&lt;&gt;"",COUNTIF($C$2:C761,C761),"")</f>
        <v/>
      </c>
      <c r="V761" s="29" t="str">
        <f t="shared" si="46"/>
        <v/>
      </c>
      <c r="W761" s="29" t="str">
        <f>IF(U761=1,COUNTIF($U$2:U761,1),"")</f>
        <v/>
      </c>
      <c r="X761" s="29" t="str">
        <f t="shared" si="47"/>
        <v/>
      </c>
      <c r="Y761" s="29" t="str">
        <f>IF(AND(LEFT($B761,7)="SBA 26/",$D761&lt;&gt;"",$F761&lt;&gt;""),COUNTIFS($D$2:$D761,$D761,$B$2:$B761,"SBA 26/*",$F$2:$F761,"&lt;&gt;"),"")</f>
        <v/>
      </c>
      <c r="Z761" s="29" t="str">
        <f>IF(Y761=1,COUNTIF($Y$2:Y761,1),"")</f>
        <v/>
      </c>
      <c r="AA761" s="29" t="str">
        <f>IF(AND(LEFT($B761,7)="SBA 26/",$C761&lt;&gt;"",$F761&lt;&gt;""),COUNTIFS($C$2:$C761,$C761,$B$2:$B761,"SBA 26/*",$F$2:$F761,"&lt;&gt;"),"")</f>
        <v/>
      </c>
      <c r="AB761" s="29" t="str">
        <f>IF(AA761=1,COUNTIF($AA$2:AA761,1),"")</f>
        <v/>
      </c>
    </row>
    <row r="762" spans="6:28" ht="18" customHeight="1" x14ac:dyDescent="0.2">
      <c r="F762" s="65" t="s">
        <v>3324</v>
      </c>
      <c r="L762" s="96" t="str">
        <f>IF(AND($I$665&lt;&gt;"",$L$665=""),$B$665&amp;"  →  satır 665","")</f>
        <v/>
      </c>
      <c r="R762" s="51" t="str">
        <f t="shared" si="45"/>
        <v/>
      </c>
      <c r="T762" s="41"/>
      <c r="U762" s="29" t="str">
        <f>IF($C762&lt;&gt;"",COUNTIF($C$2:C762,C762),"")</f>
        <v/>
      </c>
      <c r="V762" s="29" t="str">
        <f t="shared" si="46"/>
        <v/>
      </c>
      <c r="W762" s="29" t="str">
        <f>IF(U762=1,COUNTIF($U$2:U762,1),"")</f>
        <v/>
      </c>
      <c r="X762" s="29" t="str">
        <f t="shared" si="47"/>
        <v/>
      </c>
      <c r="Y762" s="29" t="str">
        <f>IF(AND(LEFT($B762,7)="SBA 26/",$D762&lt;&gt;"",$F762&lt;&gt;""),COUNTIFS($D$2:$D762,$D762,$B$2:$B762,"SBA 26/*",$F$2:$F762,"&lt;&gt;"),"")</f>
        <v/>
      </c>
      <c r="Z762" s="29" t="str">
        <f>IF(Y762=1,COUNTIF($Y$2:Y762,1),"")</f>
        <v/>
      </c>
      <c r="AA762" s="29" t="str">
        <f>IF(AND(LEFT($B762,7)="SBA 26/",$C762&lt;&gt;"",$F762&lt;&gt;""),COUNTIFS($C$2:$C762,$C762,$B$2:$B762,"SBA 26/*",$F$2:$F762,"&lt;&gt;"),"")</f>
        <v/>
      </c>
      <c r="AB762" s="29" t="str">
        <f>IF(AA762=1,COUNTIF($AA$2:AA762,1),"")</f>
        <v/>
      </c>
    </row>
    <row r="763" spans="6:28" ht="18" customHeight="1" x14ac:dyDescent="0.2">
      <c r="F763" s="65" t="s">
        <v>3325</v>
      </c>
      <c r="L763" s="96" t="str">
        <f>IF(AND($I$666&lt;&gt;"",$L$666=""),$B$666&amp;"  →  satır 666","")</f>
        <v/>
      </c>
      <c r="R763" s="51" t="str">
        <f t="shared" si="45"/>
        <v/>
      </c>
      <c r="T763" s="41"/>
      <c r="U763" s="29" t="str">
        <f>IF($C763&lt;&gt;"",COUNTIF($C$2:C763,C763),"")</f>
        <v/>
      </c>
      <c r="V763" s="29" t="str">
        <f t="shared" si="46"/>
        <v/>
      </c>
      <c r="W763" s="29" t="str">
        <f>IF(U763=1,COUNTIF($U$2:U763,1),"")</f>
        <v/>
      </c>
      <c r="X763" s="29" t="str">
        <f t="shared" si="47"/>
        <v/>
      </c>
      <c r="Y763" s="29" t="str">
        <f>IF(AND(LEFT($B763,7)="SBA 26/",$D763&lt;&gt;"",$F763&lt;&gt;""),COUNTIFS($D$2:$D763,$D763,$B$2:$B763,"SBA 26/*",$F$2:$F763,"&lt;&gt;"),"")</f>
        <v/>
      </c>
      <c r="Z763" s="29" t="str">
        <f>IF(Y763=1,COUNTIF($Y$2:Y763,1),"")</f>
        <v/>
      </c>
      <c r="AA763" s="29" t="str">
        <f>IF(AND(LEFT($B763,7)="SBA 26/",$C763&lt;&gt;"",$F763&lt;&gt;""),COUNTIFS($C$2:$C763,$C763,$B$2:$B763,"SBA 26/*",$F$2:$F763,"&lt;&gt;"),"")</f>
        <v/>
      </c>
      <c r="AB763" s="29" t="str">
        <f>IF(AA763=1,COUNTIF($AA$2:AA763,1),"")</f>
        <v/>
      </c>
    </row>
    <row r="764" spans="6:28" ht="18" customHeight="1" x14ac:dyDescent="0.2">
      <c r="F764" s="65" t="s">
        <v>3326</v>
      </c>
      <c r="L764" s="96" t="str">
        <f>IF(AND($I$667&lt;&gt;"",$L$667=""),$B$667&amp;"  →  satır 667","")</f>
        <v/>
      </c>
      <c r="R764" s="51" t="str">
        <f t="shared" si="45"/>
        <v/>
      </c>
      <c r="T764" s="41"/>
      <c r="U764" s="29" t="str">
        <f>IF($C764&lt;&gt;"",COUNTIF($C$2:C764,C764),"")</f>
        <v/>
      </c>
      <c r="V764" s="29" t="str">
        <f t="shared" si="46"/>
        <v/>
      </c>
      <c r="W764" s="29" t="str">
        <f>IF(U764=1,COUNTIF($U$2:U764,1),"")</f>
        <v/>
      </c>
      <c r="X764" s="29" t="str">
        <f t="shared" si="47"/>
        <v/>
      </c>
      <c r="Y764" s="29" t="str">
        <f>IF(AND(LEFT($B764,7)="SBA 26/",$D764&lt;&gt;"",$F764&lt;&gt;""),COUNTIFS($D$2:$D764,$D764,$B$2:$B764,"SBA 26/*",$F$2:$F764,"&lt;&gt;"),"")</f>
        <v/>
      </c>
      <c r="Z764" s="29" t="str">
        <f>IF(Y764=1,COUNTIF($Y$2:Y764,1),"")</f>
        <v/>
      </c>
      <c r="AA764" s="29" t="str">
        <f>IF(AND(LEFT($B764,7)="SBA 26/",$C764&lt;&gt;"",$F764&lt;&gt;""),COUNTIFS($C$2:$C764,$C764,$B$2:$B764,"SBA 26/*",$F$2:$F764,"&lt;&gt;"),"")</f>
        <v/>
      </c>
      <c r="AB764" s="29" t="str">
        <f>IF(AA764=1,COUNTIF($AA$2:AA764,1),"")</f>
        <v/>
      </c>
    </row>
    <row r="765" spans="6:28" ht="18" customHeight="1" x14ac:dyDescent="0.2">
      <c r="F765" s="65" t="s">
        <v>3327</v>
      </c>
      <c r="L765" s="96" t="str">
        <f>IF(AND($I$668&lt;&gt;"",$L$668=""),$B$668&amp;"  →  satır 668","")</f>
        <v>SBA 26/667  →  satır 668</v>
      </c>
      <c r="T765" s="41"/>
      <c r="U765" s="29" t="str">
        <f>IF($C765&lt;&gt;"",COUNTIF($C$2:C765,C765),"")</f>
        <v/>
      </c>
      <c r="V765" s="29" t="str">
        <f t="shared" si="46"/>
        <v/>
      </c>
      <c r="W765" s="29" t="str">
        <f>IF(U765=1,COUNTIF($U$2:U765,1),"")</f>
        <v/>
      </c>
      <c r="X765" s="29" t="str">
        <f t="shared" si="47"/>
        <v/>
      </c>
      <c r="Y765" s="29" t="str">
        <f>IF(AND(LEFT($B765,7)="SBA 26/",$D765&lt;&gt;"",$F765&lt;&gt;""),COUNTIFS($D$2:$D765,$D765,$B$2:$B765,"SBA 26/*",$F$2:$F765,"&lt;&gt;"),"")</f>
        <v/>
      </c>
      <c r="Z765" s="29" t="str">
        <f>IF(Y765=1,COUNTIF($Y$2:Y765,1),"")</f>
        <v/>
      </c>
      <c r="AA765" s="29" t="str">
        <f>IF(AND(LEFT($B765,7)="SBA 26/",$C765&lt;&gt;"",$F765&lt;&gt;""),COUNTIFS($C$2:$C765,$C765,$B$2:$B765,"SBA 26/*",$F$2:$F765,"&lt;&gt;"),"")</f>
        <v/>
      </c>
      <c r="AB765" s="29" t="str">
        <f>IF(AA765=1,COUNTIF($AA$2:AA765,1),"")</f>
        <v/>
      </c>
    </row>
    <row r="766" spans="6:28" ht="18" customHeight="1" x14ac:dyDescent="0.2">
      <c r="F766" s="65" t="s">
        <v>3328</v>
      </c>
      <c r="L766" s="96" t="str">
        <f>IF(AND($I$669&lt;&gt;"",$L$669=""),$B$669&amp;"  →  satır 669","")</f>
        <v/>
      </c>
      <c r="T766" s="41"/>
      <c r="U766" s="29" t="str">
        <f>IF($C766&lt;&gt;"",COUNTIF($C$2:C766,C766),"")</f>
        <v/>
      </c>
      <c r="V766" s="29" t="str">
        <f t="shared" si="46"/>
        <v/>
      </c>
      <c r="W766" s="29" t="str">
        <f>IF(U766=1,COUNTIF($U$2:U766,1),"")</f>
        <v/>
      </c>
      <c r="X766" s="29" t="str">
        <f t="shared" si="47"/>
        <v/>
      </c>
      <c r="Y766" s="29" t="str">
        <f>IF(AND(LEFT($B766,7)="SBA 26/",$D766&lt;&gt;"",$F766&lt;&gt;""),COUNTIFS($D$2:$D766,$D766,$B$2:$B766,"SBA 26/*",$F$2:$F766,"&lt;&gt;"),"")</f>
        <v/>
      </c>
      <c r="Z766" s="29" t="str">
        <f>IF(Y766=1,COUNTIF($Y$2:Y766,1),"")</f>
        <v/>
      </c>
      <c r="AA766" s="29" t="str">
        <f>IF(AND(LEFT($B766,7)="SBA 26/",$C766&lt;&gt;"",$F766&lt;&gt;""),COUNTIFS($C$2:$C766,$C766,$B$2:$B766,"SBA 26/*",$F$2:$F766,"&lt;&gt;"),"")</f>
        <v/>
      </c>
      <c r="AB766" s="29" t="str">
        <f>IF(AA766=1,COUNTIF($AA$2:AA766,1),"")</f>
        <v/>
      </c>
    </row>
    <row r="767" spans="6:28" ht="18" customHeight="1" x14ac:dyDescent="0.2">
      <c r="F767" s="65" t="s">
        <v>3329</v>
      </c>
      <c r="L767" s="96" t="str">
        <f>IF(AND($I$670&lt;&gt;"",$L$670=""),$B$670&amp;"  →  satır 670","")</f>
        <v/>
      </c>
      <c r="T767" s="41"/>
      <c r="U767" s="29" t="str">
        <f>IF($C767&lt;&gt;"",COUNTIF($C$2:C767,C767),"")</f>
        <v/>
      </c>
      <c r="V767" s="29" t="str">
        <f t="shared" si="46"/>
        <v/>
      </c>
      <c r="W767" s="29" t="str">
        <f>IF(U767=1,COUNTIF($U$2:U767,1),"")</f>
        <v/>
      </c>
      <c r="X767" s="29" t="str">
        <f t="shared" si="47"/>
        <v/>
      </c>
      <c r="Y767" s="29" t="str">
        <f>IF(AND(LEFT($B767,7)="SBA 26/",$D767&lt;&gt;"",$F767&lt;&gt;""),COUNTIFS($D$2:$D767,$D767,$B$2:$B767,"SBA 26/*",$F$2:$F767,"&lt;&gt;"),"")</f>
        <v/>
      </c>
      <c r="Z767" s="29" t="str">
        <f>IF(Y767=1,COUNTIF($Y$2:Y767,1),"")</f>
        <v/>
      </c>
      <c r="AA767" s="29" t="str">
        <f>IF(AND(LEFT($B767,7)="SBA 26/",$C767&lt;&gt;"",$F767&lt;&gt;""),COUNTIFS($C$2:$C767,$C767,$B$2:$B767,"SBA 26/*",$F$2:$F767,"&lt;&gt;"),"")</f>
        <v/>
      </c>
      <c r="AB767" s="29" t="str">
        <f>IF(AA767=1,COUNTIF($AA$2:AA767,1),"")</f>
        <v/>
      </c>
    </row>
    <row r="768" spans="6:28" ht="18" customHeight="1" x14ac:dyDescent="0.2">
      <c r="F768" s="65" t="s">
        <v>3330</v>
      </c>
      <c r="L768" s="96" t="str">
        <f>IF(AND($I$671&lt;&gt;"",$L$671=""),$B$671&amp;"  →  satır 671","")</f>
        <v/>
      </c>
      <c r="T768" s="41"/>
      <c r="U768" s="29" t="str">
        <f>IF($C768&lt;&gt;"",COUNTIF($C$2:C768,C768),"")</f>
        <v/>
      </c>
      <c r="V768" s="29" t="str">
        <f t="shared" si="46"/>
        <v/>
      </c>
      <c r="W768" s="29" t="str">
        <f>IF(U768=1,COUNTIF($U$2:U768,1),"")</f>
        <v/>
      </c>
      <c r="X768" s="29" t="str">
        <f t="shared" si="47"/>
        <v/>
      </c>
      <c r="Y768" s="29" t="str">
        <f>IF(AND(LEFT($B768,7)="SBA 26/",$D768&lt;&gt;"",$F768&lt;&gt;""),COUNTIFS($D$2:$D768,$D768,$B$2:$B768,"SBA 26/*",$F$2:$F768,"&lt;&gt;"),"")</f>
        <v/>
      </c>
      <c r="Z768" s="29" t="str">
        <f>IF(Y768=1,COUNTIF($Y$2:Y768,1),"")</f>
        <v/>
      </c>
      <c r="AA768" s="29" t="str">
        <f>IF(AND(LEFT($B768,7)="SBA 26/",$C768&lt;&gt;"",$F768&lt;&gt;""),COUNTIFS($C$2:$C768,$C768,$B$2:$B768,"SBA 26/*",$F$2:$F768,"&lt;&gt;"),"")</f>
        <v/>
      </c>
      <c r="AB768" s="29" t="str">
        <f>IF(AA768=1,COUNTIF($AA$2:AA768,1),"")</f>
        <v/>
      </c>
    </row>
    <row r="769" spans="6:28" ht="18" customHeight="1" x14ac:dyDescent="0.2">
      <c r="F769" s="65" t="s">
        <v>3331</v>
      </c>
      <c r="L769" s="96" t="str">
        <f>IF(AND($I$672&lt;&gt;"",$L$672=""),$B$672&amp;"  →  satır 672","")</f>
        <v>SBA 26/671  →  satır 672</v>
      </c>
      <c r="T769" s="41"/>
      <c r="U769" s="29" t="str">
        <f>IF($C769&lt;&gt;"",COUNTIF($C$2:C769,C769),"")</f>
        <v/>
      </c>
      <c r="V769" s="29" t="str">
        <f t="shared" si="46"/>
        <v/>
      </c>
      <c r="W769" s="29" t="str">
        <f>IF(U769=1,COUNTIF($U$2:U769,1),"")</f>
        <v/>
      </c>
      <c r="X769" s="29" t="str">
        <f t="shared" si="47"/>
        <v/>
      </c>
      <c r="Y769" s="29" t="str">
        <f>IF(AND(LEFT($B769,7)="SBA 26/",$D769&lt;&gt;"",$F769&lt;&gt;""),COUNTIFS($D$2:$D769,$D769,$B$2:$B769,"SBA 26/*",$F$2:$F769,"&lt;&gt;"),"")</f>
        <v/>
      </c>
      <c r="Z769" s="29" t="str">
        <f>IF(Y769=1,COUNTIF($Y$2:Y769,1),"")</f>
        <v/>
      </c>
      <c r="AA769" s="29" t="str">
        <f>IF(AND(LEFT($B769,7)="SBA 26/",$C769&lt;&gt;"",$F769&lt;&gt;""),COUNTIFS($C$2:$C769,$C769,$B$2:$B769,"SBA 26/*",$F$2:$F769,"&lt;&gt;"),"")</f>
        <v/>
      </c>
      <c r="AB769" s="29" t="str">
        <f>IF(AA769=1,COUNTIF($AA$2:AA769,1),"")</f>
        <v/>
      </c>
    </row>
    <row r="770" spans="6:28" ht="18" customHeight="1" x14ac:dyDescent="0.2">
      <c r="F770" s="65" t="s">
        <v>3332</v>
      </c>
      <c r="L770" s="96" t="str">
        <f>IF(AND($I$673&lt;&gt;"",$L$673=""),$B$673&amp;"  →  satır 673","")</f>
        <v/>
      </c>
      <c r="T770" s="41"/>
      <c r="U770" s="29" t="str">
        <f>IF($C770&lt;&gt;"",COUNTIF($C$2:C770,C770),"")</f>
        <v/>
      </c>
      <c r="V770" s="29" t="str">
        <f t="shared" ref="V770:V833" si="48">IF($C770&lt;&gt;"",C770&amp;"§"&amp;U770,"")</f>
        <v/>
      </c>
      <c r="W770" s="29" t="str">
        <f>IF(U770=1,COUNTIF($U$2:U770,1),"")</f>
        <v/>
      </c>
      <c r="X770" s="29" t="str">
        <f t="shared" ref="X770:X833" si="49">IF(U770=1,SUMPRODUCT(($U$2:$U$1799=1)*($C$2:$C$1799&lt;C770))+1,"")</f>
        <v/>
      </c>
      <c r="Y770" s="29" t="str">
        <f>IF(AND(LEFT($B770,7)="SBA 26/",$D770&lt;&gt;"",$F770&lt;&gt;""),COUNTIFS($D$2:$D770,$D770,$B$2:$B770,"SBA 26/*",$F$2:$F770,"&lt;&gt;"),"")</f>
        <v/>
      </c>
      <c r="Z770" s="29" t="str">
        <f>IF(Y770=1,COUNTIF($Y$2:Y770,1),"")</f>
        <v/>
      </c>
      <c r="AA770" s="29" t="str">
        <f>IF(AND(LEFT($B770,7)="SBA 26/",$C770&lt;&gt;"",$F770&lt;&gt;""),COUNTIFS($C$2:$C770,$C770,$B$2:$B770,"SBA 26/*",$F$2:$F770,"&lt;&gt;"),"")</f>
        <v/>
      </c>
      <c r="AB770" s="29" t="str">
        <f>IF(AA770=1,COUNTIF($AA$2:AA770,1),"")</f>
        <v/>
      </c>
    </row>
    <row r="771" spans="6:28" ht="31.5" customHeight="1" x14ac:dyDescent="0.2">
      <c r="F771" s="65" t="s">
        <v>3333</v>
      </c>
      <c r="T771" s="41"/>
      <c r="U771" s="29" t="str">
        <f>IF($C771&lt;&gt;"",COUNTIF($C$2:C771,C771),"")</f>
        <v/>
      </c>
      <c r="V771" s="29" t="str">
        <f t="shared" si="48"/>
        <v/>
      </c>
      <c r="W771" s="29" t="str">
        <f>IF(U771=1,COUNTIF($U$2:U771,1),"")</f>
        <v/>
      </c>
      <c r="X771" s="29" t="str">
        <f t="shared" si="49"/>
        <v/>
      </c>
      <c r="Y771" s="29" t="str">
        <f>IF(AND(LEFT($B771,7)="SBA 26/",$D771&lt;&gt;"",$F771&lt;&gt;""),COUNTIFS($D$2:$D771,$D771,$B$2:$B771,"SBA 26/*",$F$2:$F771,"&lt;&gt;"),"")</f>
        <v/>
      </c>
      <c r="Z771" s="29" t="str">
        <f>IF(Y771=1,COUNTIF($Y$2:Y771,1),"")</f>
        <v/>
      </c>
      <c r="AA771" s="29" t="str">
        <f>IF(AND(LEFT($B771,7)="SBA 26/",$C771&lt;&gt;"",$F771&lt;&gt;""),COUNTIFS($C$2:$C771,$C771,$B$2:$B771,"SBA 26/*",$F$2:$F771,"&lt;&gt;"),"")</f>
        <v/>
      </c>
      <c r="AB771" s="29" t="str">
        <f>IF(AA771=1,COUNTIF($AA$2:AA771,1),"")</f>
        <v/>
      </c>
    </row>
    <row r="772" spans="6:28" ht="63" customHeight="1" x14ac:dyDescent="0.2">
      <c r="F772" s="65" t="s">
        <v>3334</v>
      </c>
      <c r="T772" s="41"/>
      <c r="U772" s="29" t="str">
        <f>IF($C772&lt;&gt;"",COUNTIF($C$2:C772,C772),"")</f>
        <v/>
      </c>
      <c r="V772" s="29" t="str">
        <f t="shared" si="48"/>
        <v/>
      </c>
      <c r="W772" s="29" t="str">
        <f>IF(U772=1,COUNTIF($U$2:U772,1),"")</f>
        <v/>
      </c>
      <c r="X772" s="29" t="str">
        <f t="shared" si="49"/>
        <v/>
      </c>
      <c r="Y772" s="29" t="str">
        <f>IF(AND(LEFT($B772,7)="SBA 26/",$D772&lt;&gt;"",$F772&lt;&gt;""),COUNTIFS($D$2:$D772,$D772,$B$2:$B772,"SBA 26/*",$F$2:$F772,"&lt;&gt;"),"")</f>
        <v/>
      </c>
      <c r="Z772" s="29" t="str">
        <f>IF(Y772=1,COUNTIF($Y$2:Y772,1),"")</f>
        <v/>
      </c>
      <c r="AA772" s="29" t="str">
        <f>IF(AND(LEFT($B772,7)="SBA 26/",$C772&lt;&gt;"",$F772&lt;&gt;""),COUNTIFS($C$2:$C772,$C772,$B$2:$B772,"SBA 26/*",$F$2:$F772,"&lt;&gt;"),"")</f>
        <v/>
      </c>
      <c r="AB772" s="29" t="str">
        <f>IF(AA772=1,COUNTIF($AA$2:AA772,1),"")</f>
        <v/>
      </c>
    </row>
    <row r="773" spans="6:28" ht="47.25" customHeight="1" x14ac:dyDescent="0.2">
      <c r="F773" s="65" t="s">
        <v>3335</v>
      </c>
      <c r="T773" s="41"/>
      <c r="U773" s="29" t="str">
        <f>IF($C773&lt;&gt;"",COUNTIF($C$2:C773,C773),"")</f>
        <v/>
      </c>
      <c r="V773" s="29" t="str">
        <f t="shared" si="48"/>
        <v/>
      </c>
      <c r="W773" s="29" t="str">
        <f>IF(U773=1,COUNTIF($U$2:U773,1),"")</f>
        <v/>
      </c>
      <c r="X773" s="29" t="str">
        <f t="shared" si="49"/>
        <v/>
      </c>
      <c r="Y773" s="29" t="str">
        <f>IF(AND(LEFT($B773,7)="SBA 26/",$D773&lt;&gt;"",$F773&lt;&gt;""),COUNTIFS($D$2:$D773,$D773,$B$2:$B773,"SBA 26/*",$F$2:$F773,"&lt;&gt;"),"")</f>
        <v/>
      </c>
      <c r="Z773" s="29" t="str">
        <f>IF(Y773=1,COUNTIF($Y$2:Y773,1),"")</f>
        <v/>
      </c>
      <c r="AA773" s="29" t="str">
        <f>IF(AND(LEFT($B773,7)="SBA 26/",$C773&lt;&gt;"",$F773&lt;&gt;""),COUNTIFS($C$2:$C773,$C773,$B$2:$B773,"SBA 26/*",$F$2:$F773,"&lt;&gt;"),"")</f>
        <v/>
      </c>
      <c r="AB773" s="29" t="str">
        <f>IF(AA773=1,COUNTIF($AA$2:AA773,1),"")</f>
        <v/>
      </c>
    </row>
    <row r="774" spans="6:28" ht="47.25" customHeight="1" x14ac:dyDescent="0.2">
      <c r="F774" s="65" t="s">
        <v>3336</v>
      </c>
      <c r="T774" s="41"/>
      <c r="U774" s="29" t="str">
        <f>IF($C774&lt;&gt;"",COUNTIF($C$2:C774,C774),"")</f>
        <v/>
      </c>
      <c r="V774" s="29" t="str">
        <f t="shared" si="48"/>
        <v/>
      </c>
      <c r="W774" s="29" t="str">
        <f>IF(U774=1,COUNTIF($U$2:U774,1),"")</f>
        <v/>
      </c>
      <c r="X774" s="29" t="str">
        <f t="shared" si="49"/>
        <v/>
      </c>
      <c r="Y774" s="29" t="str">
        <f>IF(AND(LEFT($B774,7)="SBA 26/",$D774&lt;&gt;"",$F774&lt;&gt;""),COUNTIFS($D$2:$D774,$D774,$B$2:$B774,"SBA 26/*",$F$2:$F774,"&lt;&gt;"),"")</f>
        <v/>
      </c>
      <c r="Z774" s="29" t="str">
        <f>IF(Y774=1,COUNTIF($Y$2:Y774,1),"")</f>
        <v/>
      </c>
      <c r="AA774" s="29" t="str">
        <f>IF(AND(LEFT($B774,7)="SBA 26/",$C774&lt;&gt;"",$F774&lt;&gt;""),COUNTIFS($C$2:$C774,$C774,$B$2:$B774,"SBA 26/*",$F$2:$F774,"&lt;&gt;"),"")</f>
        <v/>
      </c>
      <c r="AB774" s="29" t="str">
        <f>IF(AA774=1,COUNTIF($AA$2:AA774,1),"")</f>
        <v/>
      </c>
    </row>
    <row r="775" spans="6:28" ht="31.5" customHeight="1" x14ac:dyDescent="0.2">
      <c r="F775" s="65" t="s">
        <v>3337</v>
      </c>
      <c r="T775" s="41"/>
      <c r="U775" s="29" t="str">
        <f>IF($C775&lt;&gt;"",COUNTIF($C$2:C775,C775),"")</f>
        <v/>
      </c>
      <c r="V775" s="29" t="str">
        <f t="shared" si="48"/>
        <v/>
      </c>
      <c r="W775" s="29" t="str">
        <f>IF(U775=1,COUNTIF($U$2:U775,1),"")</f>
        <v/>
      </c>
      <c r="X775" s="29" t="str">
        <f t="shared" si="49"/>
        <v/>
      </c>
      <c r="Y775" s="29" t="str">
        <f>IF(AND(LEFT($B775,7)="SBA 26/",$D775&lt;&gt;"",$F775&lt;&gt;""),COUNTIFS($D$2:$D775,$D775,$B$2:$B775,"SBA 26/*",$F$2:$F775,"&lt;&gt;"),"")</f>
        <v/>
      </c>
      <c r="Z775" s="29" t="str">
        <f>IF(Y775=1,COUNTIF($Y$2:Y775,1),"")</f>
        <v/>
      </c>
      <c r="AA775" s="29" t="str">
        <f>IF(AND(LEFT($B775,7)="SBA 26/",$C775&lt;&gt;"",$F775&lt;&gt;""),COUNTIFS($C$2:$C775,$C775,$B$2:$B775,"SBA 26/*",$F$2:$F775,"&lt;&gt;"),"")</f>
        <v/>
      </c>
      <c r="AB775" s="29" t="str">
        <f>IF(AA775=1,COUNTIF($AA$2:AA775,1),"")</f>
        <v/>
      </c>
    </row>
    <row r="776" spans="6:28" ht="31.5" customHeight="1" x14ac:dyDescent="0.2">
      <c r="F776" s="65" t="s">
        <v>3338</v>
      </c>
      <c r="T776" s="41"/>
      <c r="U776" s="29" t="str">
        <f>IF($C776&lt;&gt;"",COUNTIF($C$2:C776,C776),"")</f>
        <v/>
      </c>
      <c r="V776" s="29" t="str">
        <f t="shared" si="48"/>
        <v/>
      </c>
      <c r="W776" s="29" t="str">
        <f>IF(U776=1,COUNTIF($U$2:U776,1),"")</f>
        <v/>
      </c>
      <c r="X776" s="29" t="str">
        <f t="shared" si="49"/>
        <v/>
      </c>
      <c r="Y776" s="29" t="str">
        <f>IF(AND(LEFT($B776,7)="SBA 26/",$D776&lt;&gt;"",$F776&lt;&gt;""),COUNTIFS($D$2:$D776,$D776,$B$2:$B776,"SBA 26/*",$F$2:$F776,"&lt;&gt;"),"")</f>
        <v/>
      </c>
      <c r="Z776" s="29" t="str">
        <f>IF(Y776=1,COUNTIF($Y$2:Y776,1),"")</f>
        <v/>
      </c>
      <c r="AA776" s="29" t="str">
        <f>IF(AND(LEFT($B776,7)="SBA 26/",$C776&lt;&gt;"",$F776&lt;&gt;""),COUNTIFS($C$2:$C776,$C776,$B$2:$B776,"SBA 26/*",$F$2:$F776,"&lt;&gt;"),"")</f>
        <v/>
      </c>
      <c r="AB776" s="29" t="str">
        <f>IF(AA776=1,COUNTIF($AA$2:AA776,1),"")</f>
        <v/>
      </c>
    </row>
    <row r="777" spans="6:28" ht="47.25" customHeight="1" x14ac:dyDescent="0.2">
      <c r="F777" s="65" t="s">
        <v>3339</v>
      </c>
      <c r="T777" s="41"/>
      <c r="U777" s="29" t="str">
        <f>IF($C777&lt;&gt;"",COUNTIF($C$2:C777,C777),"")</f>
        <v/>
      </c>
      <c r="V777" s="29" t="str">
        <f t="shared" si="48"/>
        <v/>
      </c>
      <c r="W777" s="29" t="str">
        <f>IF(U777=1,COUNTIF($U$2:U777,1),"")</f>
        <v/>
      </c>
      <c r="X777" s="29" t="str">
        <f t="shared" si="49"/>
        <v/>
      </c>
      <c r="Y777" s="29" t="str">
        <f>IF(AND(LEFT($B777,7)="SBA 26/",$D777&lt;&gt;"",$F777&lt;&gt;""),COUNTIFS($D$2:$D777,$D777,$B$2:$B777,"SBA 26/*",$F$2:$F777,"&lt;&gt;"),"")</f>
        <v/>
      </c>
      <c r="Z777" s="29" t="str">
        <f>IF(Y777=1,COUNTIF($Y$2:Y777,1),"")</f>
        <v/>
      </c>
      <c r="AA777" s="29" t="str">
        <f>IF(AND(LEFT($B777,7)="SBA 26/",$C777&lt;&gt;"",$F777&lt;&gt;""),COUNTIFS($C$2:$C777,$C777,$B$2:$B777,"SBA 26/*",$F$2:$F777,"&lt;&gt;"),"")</f>
        <v/>
      </c>
      <c r="AB777" s="29" t="str">
        <f>IF(AA777=1,COUNTIF($AA$2:AA777,1),"")</f>
        <v/>
      </c>
    </row>
    <row r="778" spans="6:28" ht="31.5" customHeight="1" x14ac:dyDescent="0.2">
      <c r="F778" s="65" t="s">
        <v>3340</v>
      </c>
      <c r="T778" s="41"/>
      <c r="U778" s="29" t="str">
        <f>IF($C778&lt;&gt;"",COUNTIF($C$2:C778,C778),"")</f>
        <v/>
      </c>
      <c r="V778" s="29" t="str">
        <f t="shared" si="48"/>
        <v/>
      </c>
      <c r="W778" s="29" t="str">
        <f>IF(U778=1,COUNTIF($U$2:U778,1),"")</f>
        <v/>
      </c>
      <c r="X778" s="29" t="str">
        <f t="shared" si="49"/>
        <v/>
      </c>
      <c r="Y778" s="29" t="str">
        <f>IF(AND(LEFT($B778,7)="SBA 26/",$D778&lt;&gt;"",$F778&lt;&gt;""),COUNTIFS($D$2:$D778,$D778,$B$2:$B778,"SBA 26/*",$F$2:$F778,"&lt;&gt;"),"")</f>
        <v/>
      </c>
      <c r="Z778" s="29" t="str">
        <f>IF(Y778=1,COUNTIF($Y$2:Y778,1),"")</f>
        <v/>
      </c>
      <c r="AA778" s="29" t="str">
        <f>IF(AND(LEFT($B778,7)="SBA 26/",$C778&lt;&gt;"",$F778&lt;&gt;""),COUNTIFS($C$2:$C778,$C778,$B$2:$B778,"SBA 26/*",$F$2:$F778,"&lt;&gt;"),"")</f>
        <v/>
      </c>
      <c r="AB778" s="29" t="str">
        <f>IF(AA778=1,COUNTIF($AA$2:AA778,1),"")</f>
        <v/>
      </c>
    </row>
    <row r="779" spans="6:28" ht="47.25" customHeight="1" x14ac:dyDescent="0.2">
      <c r="F779" s="65" t="s">
        <v>3341</v>
      </c>
      <c r="T779" s="41"/>
      <c r="U779" s="29" t="str">
        <f>IF($C779&lt;&gt;"",COUNTIF($C$2:C779,C779),"")</f>
        <v/>
      </c>
      <c r="V779" s="29" t="str">
        <f t="shared" si="48"/>
        <v/>
      </c>
      <c r="W779" s="29" t="str">
        <f>IF(U779=1,COUNTIF($U$2:U779,1),"")</f>
        <v/>
      </c>
      <c r="X779" s="29" t="str">
        <f t="shared" si="49"/>
        <v/>
      </c>
      <c r="Y779" s="29" t="str">
        <f>IF(AND(LEFT($B779,7)="SBA 26/",$D779&lt;&gt;"",$F779&lt;&gt;""),COUNTIFS($D$2:$D779,$D779,$B$2:$B779,"SBA 26/*",$F$2:$F779,"&lt;&gt;"),"")</f>
        <v/>
      </c>
      <c r="Z779" s="29" t="str">
        <f>IF(Y779=1,COUNTIF($Y$2:Y779,1),"")</f>
        <v/>
      </c>
      <c r="AA779" s="29" t="str">
        <f>IF(AND(LEFT($B779,7)="SBA 26/",$C779&lt;&gt;"",$F779&lt;&gt;""),COUNTIFS($C$2:$C779,$C779,$B$2:$B779,"SBA 26/*",$F$2:$F779,"&lt;&gt;"),"")</f>
        <v/>
      </c>
      <c r="AB779" s="29" t="str">
        <f>IF(AA779=1,COUNTIF($AA$2:AA779,1),"")</f>
        <v/>
      </c>
    </row>
    <row r="780" spans="6:28" ht="63" customHeight="1" x14ac:dyDescent="0.2">
      <c r="F780" s="65" t="s">
        <v>3342</v>
      </c>
      <c r="T780" s="41"/>
      <c r="U780" s="29" t="str">
        <f>IF($C780&lt;&gt;"",COUNTIF($C$2:C780,C780),"")</f>
        <v/>
      </c>
      <c r="V780" s="29" t="str">
        <f t="shared" si="48"/>
        <v/>
      </c>
      <c r="W780" s="29" t="str">
        <f>IF(U780=1,COUNTIF($U$2:U780,1),"")</f>
        <v/>
      </c>
      <c r="X780" s="29" t="str">
        <f t="shared" si="49"/>
        <v/>
      </c>
      <c r="Y780" s="29" t="str">
        <f>IF(AND(LEFT($B780,7)="SBA 26/",$D780&lt;&gt;"",$F780&lt;&gt;""),COUNTIFS($D$2:$D780,$D780,$B$2:$B780,"SBA 26/*",$F$2:$F780,"&lt;&gt;"),"")</f>
        <v/>
      </c>
      <c r="Z780" s="29" t="str">
        <f>IF(Y780=1,COUNTIF($Y$2:Y780,1),"")</f>
        <v/>
      </c>
      <c r="AA780" s="29" t="str">
        <f>IF(AND(LEFT($B780,7)="SBA 26/",$C780&lt;&gt;"",$F780&lt;&gt;""),COUNTIFS($C$2:$C780,$C780,$B$2:$B780,"SBA 26/*",$F$2:$F780,"&lt;&gt;"),"")</f>
        <v/>
      </c>
      <c r="AB780" s="29" t="str">
        <f>IF(AA780=1,COUNTIF($AA$2:AA780,1),"")</f>
        <v/>
      </c>
    </row>
    <row r="781" spans="6:28" ht="31.5" customHeight="1" x14ac:dyDescent="0.2">
      <c r="F781" s="65" t="s">
        <v>3343</v>
      </c>
      <c r="T781" s="41"/>
      <c r="U781" s="29" t="str">
        <f>IF($C781&lt;&gt;"",COUNTIF($C$2:C781,C781),"")</f>
        <v/>
      </c>
      <c r="V781" s="29" t="str">
        <f t="shared" si="48"/>
        <v/>
      </c>
      <c r="W781" s="29" t="str">
        <f>IF(U781=1,COUNTIF($U$2:U781,1),"")</f>
        <v/>
      </c>
      <c r="X781" s="29" t="str">
        <f t="shared" si="49"/>
        <v/>
      </c>
      <c r="Y781" s="29" t="str">
        <f>IF(AND(LEFT($B781,7)="SBA 26/",$D781&lt;&gt;"",$F781&lt;&gt;""),COUNTIFS($D$2:$D781,$D781,$B$2:$B781,"SBA 26/*",$F$2:$F781,"&lt;&gt;"),"")</f>
        <v/>
      </c>
      <c r="Z781" s="29" t="str">
        <f>IF(Y781=1,COUNTIF($Y$2:Y781,1),"")</f>
        <v/>
      </c>
      <c r="AA781" s="29" t="str">
        <f>IF(AND(LEFT($B781,7)="SBA 26/",$C781&lt;&gt;"",$F781&lt;&gt;""),COUNTIFS($C$2:$C781,$C781,$B$2:$B781,"SBA 26/*",$F$2:$F781,"&lt;&gt;"),"")</f>
        <v/>
      </c>
      <c r="AB781" s="29" t="str">
        <f>IF(AA781=1,COUNTIF($AA$2:AA781,1),"")</f>
        <v/>
      </c>
    </row>
    <row r="782" spans="6:28" ht="47.25" customHeight="1" x14ac:dyDescent="0.2">
      <c r="F782" s="65" t="s">
        <v>3344</v>
      </c>
      <c r="T782" s="41"/>
      <c r="U782" s="29" t="str">
        <f>IF($C782&lt;&gt;"",COUNTIF($C$2:C782,C782),"")</f>
        <v/>
      </c>
      <c r="V782" s="29" t="str">
        <f t="shared" si="48"/>
        <v/>
      </c>
      <c r="W782" s="29" t="str">
        <f>IF(U782=1,COUNTIF($U$2:U782,1),"")</f>
        <v/>
      </c>
      <c r="X782" s="29" t="str">
        <f t="shared" si="49"/>
        <v/>
      </c>
      <c r="Y782" s="29" t="str">
        <f>IF(AND(LEFT($B782,7)="SBA 26/",$D782&lt;&gt;"",$F782&lt;&gt;""),COUNTIFS($D$2:$D782,$D782,$B$2:$B782,"SBA 26/*",$F$2:$F782,"&lt;&gt;"),"")</f>
        <v/>
      </c>
      <c r="Z782" s="29" t="str">
        <f>IF(Y782=1,COUNTIF($Y$2:Y782,1),"")</f>
        <v/>
      </c>
      <c r="AA782" s="29" t="str">
        <f>IF(AND(LEFT($B782,7)="SBA 26/",$C782&lt;&gt;"",$F782&lt;&gt;""),COUNTIFS($C$2:$C782,$C782,$B$2:$B782,"SBA 26/*",$F$2:$F782,"&lt;&gt;"),"")</f>
        <v/>
      </c>
      <c r="AB782" s="29" t="str">
        <f>IF(AA782=1,COUNTIF($AA$2:AA782,1),"")</f>
        <v/>
      </c>
    </row>
    <row r="783" spans="6:28" ht="31.5" customHeight="1" x14ac:dyDescent="0.2">
      <c r="F783" s="65" t="s">
        <v>3345</v>
      </c>
      <c r="T783" s="41"/>
      <c r="U783" s="29" t="str">
        <f>IF($C783&lt;&gt;"",COUNTIF($C$2:C783,C783),"")</f>
        <v/>
      </c>
      <c r="V783" s="29" t="str">
        <f t="shared" si="48"/>
        <v/>
      </c>
      <c r="W783" s="29" t="str">
        <f>IF(U783=1,COUNTIF($U$2:U783,1),"")</f>
        <v/>
      </c>
      <c r="X783" s="29" t="str">
        <f t="shared" si="49"/>
        <v/>
      </c>
      <c r="Y783" s="29" t="str">
        <f>IF(AND(LEFT($B783,7)="SBA 26/",$D783&lt;&gt;"",$F783&lt;&gt;""),COUNTIFS($D$2:$D783,$D783,$B$2:$B783,"SBA 26/*",$F$2:$F783,"&lt;&gt;"),"")</f>
        <v/>
      </c>
      <c r="Z783" s="29" t="str">
        <f>IF(Y783=1,COUNTIF($Y$2:Y783,1),"")</f>
        <v/>
      </c>
      <c r="AA783" s="29" t="str">
        <f>IF(AND(LEFT($B783,7)="SBA 26/",$C783&lt;&gt;"",$F783&lt;&gt;""),COUNTIFS($C$2:$C783,$C783,$B$2:$B783,"SBA 26/*",$F$2:$F783,"&lt;&gt;"),"")</f>
        <v/>
      </c>
      <c r="AB783" s="29" t="str">
        <f>IF(AA783=1,COUNTIF($AA$2:AA783,1),"")</f>
        <v/>
      </c>
    </row>
    <row r="784" spans="6:28" ht="31.5" customHeight="1" x14ac:dyDescent="0.2">
      <c r="F784" s="65" t="s">
        <v>3346</v>
      </c>
      <c r="T784" s="41"/>
      <c r="U784" s="29" t="str">
        <f>IF($C784&lt;&gt;"",COUNTIF($C$2:C784,C784),"")</f>
        <v/>
      </c>
      <c r="V784" s="29" t="str">
        <f t="shared" si="48"/>
        <v/>
      </c>
      <c r="W784" s="29" t="str">
        <f>IF(U784=1,COUNTIF($U$2:U784,1),"")</f>
        <v/>
      </c>
      <c r="X784" s="29" t="str">
        <f t="shared" si="49"/>
        <v/>
      </c>
      <c r="Y784" s="29" t="str">
        <f>IF(AND(LEFT($B784,7)="SBA 26/",$D784&lt;&gt;"",$F784&lt;&gt;""),COUNTIFS($D$2:$D784,$D784,$B$2:$B784,"SBA 26/*",$F$2:$F784,"&lt;&gt;"),"")</f>
        <v/>
      </c>
      <c r="Z784" s="29" t="str">
        <f>IF(Y784=1,COUNTIF($Y$2:Y784,1),"")</f>
        <v/>
      </c>
      <c r="AA784" s="29" t="str">
        <f>IF(AND(LEFT($B784,7)="SBA 26/",$C784&lt;&gt;"",$F784&lt;&gt;""),COUNTIFS($C$2:$C784,$C784,$B$2:$B784,"SBA 26/*",$F$2:$F784,"&lt;&gt;"),"")</f>
        <v/>
      </c>
      <c r="AB784" s="29" t="str">
        <f>IF(AA784=1,COUNTIF($AA$2:AA784,1),"")</f>
        <v/>
      </c>
    </row>
    <row r="785" spans="6:28" ht="63" customHeight="1" x14ac:dyDescent="0.2">
      <c r="F785" s="65" t="s">
        <v>3347</v>
      </c>
      <c r="T785" s="41"/>
      <c r="U785" s="29" t="str">
        <f>IF($C785&lt;&gt;"",COUNTIF($C$2:C785,C785),"")</f>
        <v/>
      </c>
      <c r="V785" s="29" t="str">
        <f t="shared" si="48"/>
        <v/>
      </c>
      <c r="W785" s="29" t="str">
        <f>IF(U785=1,COUNTIF($U$2:U785,1),"")</f>
        <v/>
      </c>
      <c r="X785" s="29" t="str">
        <f t="shared" si="49"/>
        <v/>
      </c>
      <c r="Y785" s="29" t="str">
        <f>IF(AND(LEFT($B785,7)="SBA 26/",$D785&lt;&gt;"",$F785&lt;&gt;""),COUNTIFS($D$2:$D785,$D785,$B$2:$B785,"SBA 26/*",$F$2:$F785,"&lt;&gt;"),"")</f>
        <v/>
      </c>
      <c r="Z785" s="29" t="str">
        <f>IF(Y785=1,COUNTIF($Y$2:Y785,1),"")</f>
        <v/>
      </c>
      <c r="AA785" s="29" t="str">
        <f>IF(AND(LEFT($B785,7)="SBA 26/",$C785&lt;&gt;"",$F785&lt;&gt;""),COUNTIFS($C$2:$C785,$C785,$B$2:$B785,"SBA 26/*",$F$2:$F785,"&lt;&gt;"),"")</f>
        <v/>
      </c>
      <c r="AB785" s="29" t="str">
        <f>IF(AA785=1,COUNTIF($AA$2:AA785,1),"")</f>
        <v/>
      </c>
    </row>
    <row r="786" spans="6:28" ht="47.25" customHeight="1" x14ac:dyDescent="0.2">
      <c r="F786" s="65" t="s">
        <v>3348</v>
      </c>
      <c r="T786" s="41"/>
      <c r="U786" s="29" t="str">
        <f>IF($C786&lt;&gt;"",COUNTIF($C$2:C786,C786),"")</f>
        <v/>
      </c>
      <c r="V786" s="29" t="str">
        <f t="shared" si="48"/>
        <v/>
      </c>
      <c r="W786" s="29" t="str">
        <f>IF(U786=1,COUNTIF($U$2:U786,1),"")</f>
        <v/>
      </c>
      <c r="X786" s="29" t="str">
        <f t="shared" si="49"/>
        <v/>
      </c>
      <c r="Y786" s="29" t="str">
        <f>IF(AND(LEFT($B786,7)="SBA 26/",$D786&lt;&gt;"",$F786&lt;&gt;""),COUNTIFS($D$2:$D786,$D786,$B$2:$B786,"SBA 26/*",$F$2:$F786,"&lt;&gt;"),"")</f>
        <v/>
      </c>
      <c r="Z786" s="29" t="str">
        <f>IF(Y786=1,COUNTIF($Y$2:Y786,1),"")</f>
        <v/>
      </c>
      <c r="AA786" s="29" t="str">
        <f>IF(AND(LEFT($B786,7)="SBA 26/",$C786&lt;&gt;"",$F786&lt;&gt;""),COUNTIFS($C$2:$C786,$C786,$B$2:$B786,"SBA 26/*",$F$2:$F786,"&lt;&gt;"),"")</f>
        <v/>
      </c>
      <c r="AB786" s="29" t="str">
        <f>IF(AA786=1,COUNTIF($AA$2:AA786,1),"")</f>
        <v/>
      </c>
    </row>
    <row r="787" spans="6:28" ht="31.5" customHeight="1" x14ac:dyDescent="0.2">
      <c r="F787" s="65" t="s">
        <v>3349</v>
      </c>
      <c r="T787" s="41"/>
      <c r="U787" s="29" t="str">
        <f>IF($C787&lt;&gt;"",COUNTIF($C$2:C787,C787),"")</f>
        <v/>
      </c>
      <c r="V787" s="29" t="str">
        <f t="shared" si="48"/>
        <v/>
      </c>
      <c r="W787" s="29" t="str">
        <f>IF(U787=1,COUNTIF($U$2:U787,1),"")</f>
        <v/>
      </c>
      <c r="X787" s="29" t="str">
        <f t="shared" si="49"/>
        <v/>
      </c>
      <c r="Y787" s="29" t="str">
        <f>IF(AND(LEFT($B787,7)="SBA 26/",$D787&lt;&gt;"",$F787&lt;&gt;""),COUNTIFS($D$2:$D787,$D787,$B$2:$B787,"SBA 26/*",$F$2:$F787,"&lt;&gt;"),"")</f>
        <v/>
      </c>
      <c r="Z787" s="29" t="str">
        <f>IF(Y787=1,COUNTIF($Y$2:Y787,1),"")</f>
        <v/>
      </c>
      <c r="AA787" s="29" t="str">
        <f>IF(AND(LEFT($B787,7)="SBA 26/",$C787&lt;&gt;"",$F787&lt;&gt;""),COUNTIFS($C$2:$C787,$C787,$B$2:$B787,"SBA 26/*",$F$2:$F787,"&lt;&gt;"),"")</f>
        <v/>
      </c>
      <c r="AB787" s="29" t="str">
        <f>IF(AA787=1,COUNTIF($AA$2:AA787,1),"")</f>
        <v/>
      </c>
    </row>
    <row r="788" spans="6:28" ht="31.5" customHeight="1" x14ac:dyDescent="0.2">
      <c r="F788" s="65" t="s">
        <v>3350</v>
      </c>
      <c r="T788" s="41"/>
      <c r="U788" s="29" t="str">
        <f>IF($C788&lt;&gt;"",COUNTIF($C$2:C788,C788),"")</f>
        <v/>
      </c>
      <c r="V788" s="29" t="str">
        <f t="shared" si="48"/>
        <v/>
      </c>
      <c r="W788" s="29" t="str">
        <f>IF(U788=1,COUNTIF($U$2:U788,1),"")</f>
        <v/>
      </c>
      <c r="X788" s="29" t="str">
        <f t="shared" si="49"/>
        <v/>
      </c>
      <c r="Y788" s="29" t="str">
        <f>IF(AND(LEFT($B788,7)="SBA 26/",$D788&lt;&gt;"",$F788&lt;&gt;""),COUNTIFS($D$2:$D788,$D788,$B$2:$B788,"SBA 26/*",$F$2:$F788,"&lt;&gt;"),"")</f>
        <v/>
      </c>
      <c r="Z788" s="29" t="str">
        <f>IF(Y788=1,COUNTIF($Y$2:Y788,1),"")</f>
        <v/>
      </c>
      <c r="AA788" s="29" t="str">
        <f>IF(AND(LEFT($B788,7)="SBA 26/",$C788&lt;&gt;"",$F788&lt;&gt;""),COUNTIFS($C$2:$C788,$C788,$B$2:$B788,"SBA 26/*",$F$2:$F788,"&lt;&gt;"),"")</f>
        <v/>
      </c>
      <c r="AB788" s="29" t="str">
        <f>IF(AA788=1,COUNTIF($AA$2:AA788,1),"")</f>
        <v/>
      </c>
    </row>
    <row r="789" spans="6:28" ht="31.5" customHeight="1" x14ac:dyDescent="0.2">
      <c r="F789" s="65" t="s">
        <v>3351</v>
      </c>
      <c r="T789" s="41"/>
      <c r="U789" s="29" t="str">
        <f>IF($C789&lt;&gt;"",COUNTIF($C$2:C789,C789),"")</f>
        <v/>
      </c>
      <c r="V789" s="29" t="str">
        <f t="shared" si="48"/>
        <v/>
      </c>
      <c r="W789" s="29" t="str">
        <f>IF(U789=1,COUNTIF($U$2:U789,1),"")</f>
        <v/>
      </c>
      <c r="X789" s="29" t="str">
        <f t="shared" si="49"/>
        <v/>
      </c>
      <c r="Y789" s="29" t="str">
        <f>IF(AND(LEFT($B789,7)="SBA 26/",$D789&lt;&gt;"",$F789&lt;&gt;""),COUNTIFS($D$2:$D789,$D789,$B$2:$B789,"SBA 26/*",$F$2:$F789,"&lt;&gt;"),"")</f>
        <v/>
      </c>
      <c r="Z789" s="29" t="str">
        <f>IF(Y789=1,COUNTIF($Y$2:Y789,1),"")</f>
        <v/>
      </c>
      <c r="AA789" s="29" t="str">
        <f>IF(AND(LEFT($B789,7)="SBA 26/",$C789&lt;&gt;"",$F789&lt;&gt;""),COUNTIFS($C$2:$C789,$C789,$B$2:$B789,"SBA 26/*",$F$2:$F789,"&lt;&gt;"),"")</f>
        <v/>
      </c>
      <c r="AB789" s="29" t="str">
        <f>IF(AA789=1,COUNTIF($AA$2:AA789,1),"")</f>
        <v/>
      </c>
    </row>
    <row r="790" spans="6:28" ht="31.5" customHeight="1" x14ac:dyDescent="0.2">
      <c r="F790" s="45" t="s">
        <v>3352</v>
      </c>
      <c r="T790" s="41"/>
      <c r="U790" s="29" t="str">
        <f>IF($C790&lt;&gt;"",COUNTIF($C$2:C790,C790),"")</f>
        <v/>
      </c>
      <c r="V790" s="29" t="str">
        <f t="shared" si="48"/>
        <v/>
      </c>
      <c r="W790" s="29" t="str">
        <f>IF(U790=1,COUNTIF($U$2:U790,1),"")</f>
        <v/>
      </c>
      <c r="X790" s="29" t="str">
        <f t="shared" si="49"/>
        <v/>
      </c>
      <c r="Y790" s="29" t="str">
        <f>IF(AND(LEFT($B790,7)="SBA 26/",$D790&lt;&gt;"",$F790&lt;&gt;""),COUNTIFS($D$2:$D790,$D790,$B$2:$B790,"SBA 26/*",$F$2:$F790,"&lt;&gt;"),"")</f>
        <v/>
      </c>
      <c r="Z790" s="29" t="str">
        <f>IF(Y790=1,COUNTIF($Y$2:Y790,1),"")</f>
        <v/>
      </c>
      <c r="AA790" s="29" t="str">
        <f>IF(AND(LEFT($B790,7)="SBA 26/",$C790&lt;&gt;"",$F790&lt;&gt;""),COUNTIFS($C$2:$C790,$C790,$B$2:$B790,"SBA 26/*",$F$2:$F790,"&lt;&gt;"),"")</f>
        <v/>
      </c>
      <c r="AB790" s="29" t="str">
        <f>IF(AA790=1,COUNTIF($AA$2:AA790,1),"")</f>
        <v/>
      </c>
    </row>
    <row r="791" spans="6:28" ht="63" customHeight="1" x14ac:dyDescent="0.2">
      <c r="F791" s="45" t="s">
        <v>3353</v>
      </c>
      <c r="T791" s="41"/>
      <c r="U791" s="29" t="str">
        <f>IF($C791&lt;&gt;"",COUNTIF($C$2:C791,C791),"")</f>
        <v/>
      </c>
      <c r="V791" s="29" t="str">
        <f t="shared" si="48"/>
        <v/>
      </c>
      <c r="W791" s="29" t="str">
        <f>IF(U791=1,COUNTIF($U$2:U791,1),"")</f>
        <v/>
      </c>
      <c r="X791" s="29" t="str">
        <f t="shared" si="49"/>
        <v/>
      </c>
      <c r="Y791" s="29" t="str">
        <f>IF(AND(LEFT($B791,7)="SBA 26/",$D791&lt;&gt;"",$F791&lt;&gt;""),COUNTIFS($D$2:$D791,$D791,$B$2:$B791,"SBA 26/*",$F$2:$F791,"&lt;&gt;"),"")</f>
        <v/>
      </c>
      <c r="Z791" s="29" t="str">
        <f>IF(Y791=1,COUNTIF($Y$2:Y791,1),"")</f>
        <v/>
      </c>
      <c r="AA791" s="29" t="str">
        <f>IF(AND(LEFT($B791,7)="SBA 26/",$C791&lt;&gt;"",$F791&lt;&gt;""),COUNTIFS($C$2:$C791,$C791,$B$2:$B791,"SBA 26/*",$F$2:$F791,"&lt;&gt;"),"")</f>
        <v/>
      </c>
      <c r="AB791" s="29" t="str">
        <f>IF(AA791=1,COUNTIF($AA$2:AA791,1),"")</f>
        <v/>
      </c>
    </row>
    <row r="792" spans="6:28" ht="63" customHeight="1" x14ac:dyDescent="0.2">
      <c r="F792" s="45" t="s">
        <v>3354</v>
      </c>
      <c r="T792" s="41"/>
      <c r="U792" s="29" t="str">
        <f>IF($C792&lt;&gt;"",COUNTIF($C$2:C792,C792),"")</f>
        <v/>
      </c>
      <c r="V792" s="29" t="str">
        <f t="shared" si="48"/>
        <v/>
      </c>
      <c r="W792" s="29" t="str">
        <f>IF(U792=1,COUNTIF($U$2:U792,1),"")</f>
        <v/>
      </c>
      <c r="X792" s="29" t="str">
        <f t="shared" si="49"/>
        <v/>
      </c>
      <c r="Y792" s="29" t="str">
        <f>IF(AND(LEFT($B792,7)="SBA 26/",$D792&lt;&gt;"",$F792&lt;&gt;""),COUNTIFS($D$2:$D792,$D792,$B$2:$B792,"SBA 26/*",$F$2:$F792,"&lt;&gt;"),"")</f>
        <v/>
      </c>
      <c r="Z792" s="29" t="str">
        <f>IF(Y792=1,COUNTIF($Y$2:Y792,1),"")</f>
        <v/>
      </c>
      <c r="AA792" s="29" t="str">
        <f>IF(AND(LEFT($B792,7)="SBA 26/",$C792&lt;&gt;"",$F792&lt;&gt;""),COUNTIFS($C$2:$C792,$C792,$B$2:$B792,"SBA 26/*",$F$2:$F792,"&lt;&gt;"),"")</f>
        <v/>
      </c>
      <c r="AB792" s="29" t="str">
        <f>IF(AA792=1,COUNTIF($AA$2:AA792,1),"")</f>
        <v/>
      </c>
    </row>
    <row r="793" spans="6:28" ht="31.5" customHeight="1" x14ac:dyDescent="0.2">
      <c r="F793" s="45" t="s">
        <v>3355</v>
      </c>
      <c r="T793" s="41"/>
      <c r="U793" s="29" t="str">
        <f>IF($C793&lt;&gt;"",COUNTIF($C$2:C793,C793),"")</f>
        <v/>
      </c>
      <c r="V793" s="29" t="str">
        <f t="shared" si="48"/>
        <v/>
      </c>
      <c r="W793" s="29" t="str">
        <f>IF(U793=1,COUNTIF($U$2:U793,1),"")</f>
        <v/>
      </c>
      <c r="X793" s="29" t="str">
        <f t="shared" si="49"/>
        <v/>
      </c>
      <c r="Y793" s="29" t="str">
        <f>IF(AND(LEFT($B793,7)="SBA 26/",$D793&lt;&gt;"",$F793&lt;&gt;""),COUNTIFS($D$2:$D793,$D793,$B$2:$B793,"SBA 26/*",$F$2:$F793,"&lt;&gt;"),"")</f>
        <v/>
      </c>
      <c r="Z793" s="29" t="str">
        <f>IF(Y793=1,COUNTIF($Y$2:Y793,1),"")</f>
        <v/>
      </c>
      <c r="AA793" s="29" t="str">
        <f>IF(AND(LEFT($B793,7)="SBA 26/",$C793&lt;&gt;"",$F793&lt;&gt;""),COUNTIFS($C$2:$C793,$C793,$B$2:$B793,"SBA 26/*",$F$2:$F793,"&lt;&gt;"),"")</f>
        <v/>
      </c>
      <c r="AB793" s="29" t="str">
        <f>IF(AA793=1,COUNTIF($AA$2:AA793,1),"")</f>
        <v/>
      </c>
    </row>
    <row r="794" spans="6:28" ht="47.25" customHeight="1" x14ac:dyDescent="0.2">
      <c r="F794" s="45" t="s">
        <v>3356</v>
      </c>
      <c r="T794" s="41"/>
      <c r="U794" s="29" t="str">
        <f>IF($C794&lt;&gt;"",COUNTIF($C$2:C794,C794),"")</f>
        <v/>
      </c>
      <c r="V794" s="29" t="str">
        <f t="shared" si="48"/>
        <v/>
      </c>
      <c r="W794" s="29" t="str">
        <f>IF(U794=1,COUNTIF($U$2:U794,1),"")</f>
        <v/>
      </c>
      <c r="X794" s="29" t="str">
        <f t="shared" si="49"/>
        <v/>
      </c>
      <c r="Y794" s="29" t="str">
        <f>IF(AND(LEFT($B794,7)="SBA 26/",$D794&lt;&gt;"",$F794&lt;&gt;""),COUNTIFS($D$2:$D794,$D794,$B$2:$B794,"SBA 26/*",$F$2:$F794,"&lt;&gt;"),"")</f>
        <v/>
      </c>
      <c r="Z794" s="29" t="str">
        <f>IF(Y794=1,COUNTIF($Y$2:Y794,1),"")</f>
        <v/>
      </c>
      <c r="AA794" s="29" t="str">
        <f>IF(AND(LEFT($B794,7)="SBA 26/",$C794&lt;&gt;"",$F794&lt;&gt;""),COUNTIFS($C$2:$C794,$C794,$B$2:$B794,"SBA 26/*",$F$2:$F794,"&lt;&gt;"),"")</f>
        <v/>
      </c>
      <c r="AB794" s="29" t="str">
        <f>IF(AA794=1,COUNTIF($AA$2:AA794,1),"")</f>
        <v/>
      </c>
    </row>
    <row r="795" spans="6:28" ht="31.5" customHeight="1" x14ac:dyDescent="0.2">
      <c r="F795" s="45" t="s">
        <v>3357</v>
      </c>
      <c r="T795" s="41"/>
      <c r="U795" s="29" t="str">
        <f>IF($C795&lt;&gt;"",COUNTIF($C$2:C795,C795),"")</f>
        <v/>
      </c>
      <c r="V795" s="29" t="str">
        <f t="shared" si="48"/>
        <v/>
      </c>
      <c r="W795" s="29" t="str">
        <f>IF(U795=1,COUNTIF($U$2:U795,1),"")</f>
        <v/>
      </c>
      <c r="X795" s="29" t="str">
        <f t="shared" si="49"/>
        <v/>
      </c>
      <c r="Y795" s="29" t="str">
        <f>IF(AND(LEFT($B795,7)="SBA 26/",$D795&lt;&gt;"",$F795&lt;&gt;""),COUNTIFS($D$2:$D795,$D795,$B$2:$B795,"SBA 26/*",$F$2:$F795,"&lt;&gt;"),"")</f>
        <v/>
      </c>
      <c r="Z795" s="29" t="str">
        <f>IF(Y795=1,COUNTIF($Y$2:Y795,1),"")</f>
        <v/>
      </c>
      <c r="AA795" s="29" t="str">
        <f>IF(AND(LEFT($B795,7)="SBA 26/",$C795&lt;&gt;"",$F795&lt;&gt;""),COUNTIFS($C$2:$C795,$C795,$B$2:$B795,"SBA 26/*",$F$2:$F795,"&lt;&gt;"),"")</f>
        <v/>
      </c>
      <c r="AB795" s="29" t="str">
        <f>IF(AA795=1,COUNTIF($AA$2:AA795,1),"")</f>
        <v/>
      </c>
    </row>
    <row r="796" spans="6:28" ht="31.5" customHeight="1" x14ac:dyDescent="0.2">
      <c r="F796" s="45" t="s">
        <v>3358</v>
      </c>
      <c r="T796" s="41"/>
      <c r="U796" s="29" t="str">
        <f>IF($C796&lt;&gt;"",COUNTIF($C$2:C796,C796),"")</f>
        <v/>
      </c>
      <c r="V796" s="29" t="str">
        <f t="shared" si="48"/>
        <v/>
      </c>
      <c r="W796" s="29" t="str">
        <f>IF(U796=1,COUNTIF($U$2:U796,1),"")</f>
        <v/>
      </c>
      <c r="X796" s="29" t="str">
        <f t="shared" si="49"/>
        <v/>
      </c>
      <c r="Y796" s="29" t="str">
        <f>IF(AND(LEFT($B796,7)="SBA 26/",$D796&lt;&gt;"",$F796&lt;&gt;""),COUNTIFS($D$2:$D796,$D796,$B$2:$B796,"SBA 26/*",$F$2:$F796,"&lt;&gt;"),"")</f>
        <v/>
      </c>
      <c r="Z796" s="29" t="str">
        <f>IF(Y796=1,COUNTIF($Y$2:Y796,1),"")</f>
        <v/>
      </c>
      <c r="AA796" s="29" t="str">
        <f>IF(AND(LEFT($B796,7)="SBA 26/",$C796&lt;&gt;"",$F796&lt;&gt;""),COUNTIFS($C$2:$C796,$C796,$B$2:$B796,"SBA 26/*",$F$2:$F796,"&lt;&gt;"),"")</f>
        <v/>
      </c>
      <c r="AB796" s="29" t="str">
        <f>IF(AA796=1,COUNTIF($AA$2:AA796,1),"")</f>
        <v/>
      </c>
    </row>
    <row r="797" spans="6:28" ht="63" customHeight="1" x14ac:dyDescent="0.2">
      <c r="F797" s="45" t="s">
        <v>3359</v>
      </c>
      <c r="T797" s="41"/>
      <c r="U797" s="29" t="str">
        <f>IF($C797&lt;&gt;"",COUNTIF($C$2:C797,C797),"")</f>
        <v/>
      </c>
      <c r="V797" s="29" t="str">
        <f t="shared" si="48"/>
        <v/>
      </c>
      <c r="W797" s="29" t="str">
        <f>IF(U797=1,COUNTIF($U$2:U797,1),"")</f>
        <v/>
      </c>
      <c r="X797" s="29" t="str">
        <f t="shared" si="49"/>
        <v/>
      </c>
      <c r="Y797" s="29" t="str">
        <f>IF(AND(LEFT($B797,7)="SBA 26/",$D797&lt;&gt;"",$F797&lt;&gt;""),COUNTIFS($D$2:$D797,$D797,$B$2:$B797,"SBA 26/*",$F$2:$F797,"&lt;&gt;"),"")</f>
        <v/>
      </c>
      <c r="Z797" s="29" t="str">
        <f>IF(Y797=1,COUNTIF($Y$2:Y797,1),"")</f>
        <v/>
      </c>
      <c r="AA797" s="29" t="str">
        <f>IF(AND(LEFT($B797,7)="SBA 26/",$C797&lt;&gt;"",$F797&lt;&gt;""),COUNTIFS($C$2:$C797,$C797,$B$2:$B797,"SBA 26/*",$F$2:$F797,"&lt;&gt;"),"")</f>
        <v/>
      </c>
      <c r="AB797" s="29" t="str">
        <f>IF(AA797=1,COUNTIF($AA$2:AA797,1),"")</f>
        <v/>
      </c>
    </row>
    <row r="798" spans="6:28" ht="31.5" customHeight="1" x14ac:dyDescent="0.2">
      <c r="F798" s="45" t="s">
        <v>3360</v>
      </c>
      <c r="T798" s="41"/>
      <c r="U798" s="29" t="str">
        <f>IF($C798&lt;&gt;"",COUNTIF($C$2:C798,C798),"")</f>
        <v/>
      </c>
      <c r="V798" s="29" t="str">
        <f t="shared" si="48"/>
        <v/>
      </c>
      <c r="W798" s="29" t="str">
        <f>IF(U798=1,COUNTIF($U$2:U798,1),"")</f>
        <v/>
      </c>
      <c r="X798" s="29" t="str">
        <f t="shared" si="49"/>
        <v/>
      </c>
      <c r="Y798" s="29" t="str">
        <f>IF(AND(LEFT($B798,7)="SBA 26/",$D798&lt;&gt;"",$F798&lt;&gt;""),COUNTIFS($D$2:$D798,$D798,$B$2:$B798,"SBA 26/*",$F$2:$F798,"&lt;&gt;"),"")</f>
        <v/>
      </c>
      <c r="Z798" s="29" t="str">
        <f>IF(Y798=1,COUNTIF($Y$2:Y798,1),"")</f>
        <v/>
      </c>
      <c r="AA798" s="29" t="str">
        <f>IF(AND(LEFT($B798,7)="SBA 26/",$C798&lt;&gt;"",$F798&lt;&gt;""),COUNTIFS($C$2:$C798,$C798,$B$2:$B798,"SBA 26/*",$F$2:$F798,"&lt;&gt;"),"")</f>
        <v/>
      </c>
      <c r="AB798" s="29" t="str">
        <f>IF(AA798=1,COUNTIF($AA$2:AA798,1),"")</f>
        <v/>
      </c>
    </row>
    <row r="799" spans="6:28" ht="47.25" customHeight="1" x14ac:dyDescent="0.2">
      <c r="F799" s="45" t="s">
        <v>3361</v>
      </c>
      <c r="T799" s="41"/>
      <c r="U799" s="29" t="str">
        <f>IF($C799&lt;&gt;"",COUNTIF($C$2:C799,C799),"")</f>
        <v/>
      </c>
      <c r="V799" s="29" t="str">
        <f t="shared" si="48"/>
        <v/>
      </c>
      <c r="W799" s="29" t="str">
        <f>IF(U799=1,COUNTIF($U$2:U799,1),"")</f>
        <v/>
      </c>
      <c r="X799" s="29" t="str">
        <f t="shared" si="49"/>
        <v/>
      </c>
      <c r="Y799" s="29" t="str">
        <f>IF(AND(LEFT($B799,7)="SBA 26/",$D799&lt;&gt;"",$F799&lt;&gt;""),COUNTIFS($D$2:$D799,$D799,$B$2:$B799,"SBA 26/*",$F$2:$F799,"&lt;&gt;"),"")</f>
        <v/>
      </c>
      <c r="Z799" s="29" t="str">
        <f>IF(Y799=1,COUNTIF($Y$2:Y799,1),"")</f>
        <v/>
      </c>
      <c r="AA799" s="29" t="str">
        <f>IF(AND(LEFT($B799,7)="SBA 26/",$C799&lt;&gt;"",$F799&lt;&gt;""),COUNTIFS($C$2:$C799,$C799,$B$2:$B799,"SBA 26/*",$F$2:$F799,"&lt;&gt;"),"")</f>
        <v/>
      </c>
      <c r="AB799" s="29" t="str">
        <f>IF(AA799=1,COUNTIF($AA$2:AA799,1),"")</f>
        <v/>
      </c>
    </row>
    <row r="800" spans="6:28" ht="47.25" customHeight="1" x14ac:dyDescent="0.2">
      <c r="F800" s="45" t="s">
        <v>3362</v>
      </c>
      <c r="T800" s="41"/>
      <c r="U800" s="29" t="str">
        <f>IF($C800&lt;&gt;"",COUNTIF($C$2:C800,C800),"")</f>
        <v/>
      </c>
      <c r="V800" s="29" t="str">
        <f t="shared" si="48"/>
        <v/>
      </c>
      <c r="W800" s="29" t="str">
        <f>IF(U800=1,COUNTIF($U$2:U800,1),"")</f>
        <v/>
      </c>
      <c r="X800" s="29" t="str">
        <f t="shared" si="49"/>
        <v/>
      </c>
      <c r="Y800" s="29" t="str">
        <f>IF(AND(LEFT($B800,7)="SBA 26/",$D800&lt;&gt;"",$F800&lt;&gt;""),COUNTIFS($D$2:$D800,$D800,$B$2:$B800,"SBA 26/*",$F$2:$F800,"&lt;&gt;"),"")</f>
        <v/>
      </c>
      <c r="Z800" s="29" t="str">
        <f>IF(Y800=1,COUNTIF($Y$2:Y800,1),"")</f>
        <v/>
      </c>
      <c r="AA800" s="29" t="str">
        <f>IF(AND(LEFT($B800,7)="SBA 26/",$C800&lt;&gt;"",$F800&lt;&gt;""),COUNTIFS($C$2:$C800,$C800,$B$2:$B800,"SBA 26/*",$F$2:$F800,"&lt;&gt;"),"")</f>
        <v/>
      </c>
      <c r="AB800" s="29" t="str">
        <f>IF(AA800=1,COUNTIF($AA$2:AA800,1),"")</f>
        <v/>
      </c>
    </row>
    <row r="801" spans="6:28" ht="47.25" customHeight="1" x14ac:dyDescent="0.2">
      <c r="F801" s="45" t="s">
        <v>3363</v>
      </c>
      <c r="T801" s="41"/>
      <c r="U801" s="29" t="str">
        <f>IF($C801&lt;&gt;"",COUNTIF($C$2:C801,C801),"")</f>
        <v/>
      </c>
      <c r="V801" s="29" t="str">
        <f t="shared" si="48"/>
        <v/>
      </c>
      <c r="W801" s="29" t="str">
        <f>IF(U801=1,COUNTIF($U$2:U801,1),"")</f>
        <v/>
      </c>
      <c r="X801" s="29" t="str">
        <f t="shared" si="49"/>
        <v/>
      </c>
      <c r="Y801" s="29" t="str">
        <f>IF(AND(LEFT($B801,7)="SBA 26/",$D801&lt;&gt;"",$F801&lt;&gt;""),COUNTIFS($D$2:$D801,$D801,$B$2:$B801,"SBA 26/*",$F$2:$F801,"&lt;&gt;"),"")</f>
        <v/>
      </c>
      <c r="Z801" s="29" t="str">
        <f>IF(Y801=1,COUNTIF($Y$2:Y801,1),"")</f>
        <v/>
      </c>
      <c r="AA801" s="29" t="str">
        <f>IF(AND(LEFT($B801,7)="SBA 26/",$C801&lt;&gt;"",$F801&lt;&gt;""),COUNTIFS($C$2:$C801,$C801,$B$2:$B801,"SBA 26/*",$F$2:$F801,"&lt;&gt;"),"")</f>
        <v/>
      </c>
      <c r="AB801" s="29" t="str">
        <f>IF(AA801=1,COUNTIF($AA$2:AA801,1),"")</f>
        <v/>
      </c>
    </row>
    <row r="802" spans="6:28" ht="47.25" customHeight="1" x14ac:dyDescent="0.2">
      <c r="F802" s="45" t="s">
        <v>3364</v>
      </c>
      <c r="T802" s="41"/>
      <c r="U802" s="29" t="str">
        <f>IF($C802&lt;&gt;"",COUNTIF($C$2:C802,C802),"")</f>
        <v/>
      </c>
      <c r="V802" s="29" t="str">
        <f t="shared" si="48"/>
        <v/>
      </c>
      <c r="W802" s="29" t="str">
        <f>IF(U802=1,COUNTIF($U$2:U802,1),"")</f>
        <v/>
      </c>
      <c r="X802" s="29" t="str">
        <f t="shared" si="49"/>
        <v/>
      </c>
      <c r="Y802" s="29" t="str">
        <f>IF(AND(LEFT($B802,7)="SBA 26/",$D802&lt;&gt;"",$F802&lt;&gt;""),COUNTIFS($D$2:$D802,$D802,$B$2:$B802,"SBA 26/*",$F$2:$F802,"&lt;&gt;"),"")</f>
        <v/>
      </c>
      <c r="Z802" s="29" t="str">
        <f>IF(Y802=1,COUNTIF($Y$2:Y802,1),"")</f>
        <v/>
      </c>
      <c r="AA802" s="29" t="str">
        <f>IF(AND(LEFT($B802,7)="SBA 26/",$C802&lt;&gt;"",$F802&lt;&gt;""),COUNTIFS($C$2:$C802,$C802,$B$2:$B802,"SBA 26/*",$F$2:$F802,"&lt;&gt;"),"")</f>
        <v/>
      </c>
      <c r="AB802" s="29" t="str">
        <f>IF(AA802=1,COUNTIF($AA$2:AA802,1),"")</f>
        <v/>
      </c>
    </row>
    <row r="803" spans="6:28" ht="31.5" customHeight="1" x14ac:dyDescent="0.2">
      <c r="F803" s="45" t="s">
        <v>3365</v>
      </c>
      <c r="T803" s="41"/>
      <c r="U803" s="29" t="str">
        <f>IF($C803&lt;&gt;"",COUNTIF($C$2:C803,C803),"")</f>
        <v/>
      </c>
      <c r="V803" s="29" t="str">
        <f t="shared" si="48"/>
        <v/>
      </c>
      <c r="W803" s="29" t="str">
        <f>IF(U803=1,COUNTIF($U$2:U803,1),"")</f>
        <v/>
      </c>
      <c r="X803" s="29" t="str">
        <f t="shared" si="49"/>
        <v/>
      </c>
      <c r="Y803" s="29" t="str">
        <f>IF(AND(LEFT($B803,7)="SBA 26/",$D803&lt;&gt;"",$F803&lt;&gt;""),COUNTIFS($D$2:$D803,$D803,$B$2:$B803,"SBA 26/*",$F$2:$F803,"&lt;&gt;"),"")</f>
        <v/>
      </c>
      <c r="Z803" s="29" t="str">
        <f>IF(Y803=1,COUNTIF($Y$2:Y803,1),"")</f>
        <v/>
      </c>
      <c r="AA803" s="29" t="str">
        <f>IF(AND(LEFT($B803,7)="SBA 26/",$C803&lt;&gt;"",$F803&lt;&gt;""),COUNTIFS($C$2:$C803,$C803,$B$2:$B803,"SBA 26/*",$F$2:$F803,"&lt;&gt;"),"")</f>
        <v/>
      </c>
      <c r="AB803" s="29" t="str">
        <f>IF(AA803=1,COUNTIF($AA$2:AA803,1),"")</f>
        <v/>
      </c>
    </row>
    <row r="804" spans="6:28" ht="47.25" customHeight="1" x14ac:dyDescent="0.2">
      <c r="F804" s="45" t="s">
        <v>3366</v>
      </c>
      <c r="T804" s="41"/>
      <c r="U804" s="29" t="str">
        <f>IF($C804&lt;&gt;"",COUNTIF($C$2:C804,C804),"")</f>
        <v/>
      </c>
      <c r="V804" s="29" t="str">
        <f t="shared" si="48"/>
        <v/>
      </c>
      <c r="W804" s="29" t="str">
        <f>IF(U804=1,COUNTIF($U$2:U804,1),"")</f>
        <v/>
      </c>
      <c r="X804" s="29" t="str">
        <f t="shared" si="49"/>
        <v/>
      </c>
      <c r="Y804" s="29" t="str">
        <f>IF(AND(LEFT($B804,7)="SBA 26/",$D804&lt;&gt;"",$F804&lt;&gt;""),COUNTIFS($D$2:$D804,$D804,$B$2:$B804,"SBA 26/*",$F$2:$F804,"&lt;&gt;"),"")</f>
        <v/>
      </c>
      <c r="Z804" s="29" t="str">
        <f>IF(Y804=1,COUNTIF($Y$2:Y804,1),"")</f>
        <v/>
      </c>
      <c r="AA804" s="29" t="str">
        <f>IF(AND(LEFT($B804,7)="SBA 26/",$C804&lt;&gt;"",$F804&lt;&gt;""),COUNTIFS($C$2:$C804,$C804,$B$2:$B804,"SBA 26/*",$F$2:$F804,"&lt;&gt;"),"")</f>
        <v/>
      </c>
      <c r="AB804" s="29" t="str">
        <f>IF(AA804=1,COUNTIF($AA$2:AA804,1),"")</f>
        <v/>
      </c>
    </row>
    <row r="805" spans="6:28" ht="31.5" customHeight="1" x14ac:dyDescent="0.2">
      <c r="F805" s="45" t="s">
        <v>3367</v>
      </c>
      <c r="T805" s="41"/>
      <c r="U805" s="29" t="str">
        <f>IF($C805&lt;&gt;"",COUNTIF($C$2:C805,C805),"")</f>
        <v/>
      </c>
      <c r="V805" s="29" t="str">
        <f t="shared" si="48"/>
        <v/>
      </c>
      <c r="W805" s="29" t="str">
        <f>IF(U805=1,COUNTIF($U$2:U805,1),"")</f>
        <v/>
      </c>
      <c r="X805" s="29" t="str">
        <f t="shared" si="49"/>
        <v/>
      </c>
      <c r="Y805" s="29" t="str">
        <f>IF(AND(LEFT($B805,7)="SBA 26/",$D805&lt;&gt;"",$F805&lt;&gt;""),COUNTIFS($D$2:$D805,$D805,$B$2:$B805,"SBA 26/*",$F$2:$F805,"&lt;&gt;"),"")</f>
        <v/>
      </c>
      <c r="Z805" s="29" t="str">
        <f>IF(Y805=1,COUNTIF($Y$2:Y805,1),"")</f>
        <v/>
      </c>
      <c r="AA805" s="29" t="str">
        <f>IF(AND(LEFT($B805,7)="SBA 26/",$C805&lt;&gt;"",$F805&lt;&gt;""),COUNTIFS($C$2:$C805,$C805,$B$2:$B805,"SBA 26/*",$F$2:$F805,"&lt;&gt;"),"")</f>
        <v/>
      </c>
      <c r="AB805" s="29" t="str">
        <f>IF(AA805=1,COUNTIF($AA$2:AA805,1),"")</f>
        <v/>
      </c>
    </row>
    <row r="806" spans="6:28" ht="47.25" customHeight="1" x14ac:dyDescent="0.2">
      <c r="F806" s="45" t="s">
        <v>3368</v>
      </c>
      <c r="T806" s="41"/>
      <c r="U806" s="29" t="str">
        <f>IF($C806&lt;&gt;"",COUNTIF($C$2:C806,C806),"")</f>
        <v/>
      </c>
      <c r="V806" s="29" t="str">
        <f t="shared" si="48"/>
        <v/>
      </c>
      <c r="W806" s="29" t="str">
        <f>IF(U806=1,COUNTIF($U$2:U806,1),"")</f>
        <v/>
      </c>
      <c r="X806" s="29" t="str">
        <f t="shared" si="49"/>
        <v/>
      </c>
      <c r="Y806" s="29" t="str">
        <f>IF(AND(LEFT($B806,7)="SBA 26/",$D806&lt;&gt;"",$F806&lt;&gt;""),COUNTIFS($D$2:$D806,$D806,$B$2:$B806,"SBA 26/*",$F$2:$F806,"&lt;&gt;"),"")</f>
        <v/>
      </c>
      <c r="Z806" s="29" t="str">
        <f>IF(Y806=1,COUNTIF($Y$2:Y806,1),"")</f>
        <v/>
      </c>
      <c r="AA806" s="29" t="str">
        <f>IF(AND(LEFT($B806,7)="SBA 26/",$C806&lt;&gt;"",$F806&lt;&gt;""),COUNTIFS($C$2:$C806,$C806,$B$2:$B806,"SBA 26/*",$F$2:$F806,"&lt;&gt;"),"")</f>
        <v/>
      </c>
      <c r="AB806" s="29" t="str">
        <f>IF(AA806=1,COUNTIF($AA$2:AA806,1),"")</f>
        <v/>
      </c>
    </row>
    <row r="807" spans="6:28" ht="47.25" customHeight="1" x14ac:dyDescent="0.2">
      <c r="F807" s="45" t="s">
        <v>3369</v>
      </c>
      <c r="T807" s="41"/>
      <c r="U807" s="29" t="str">
        <f>IF($C807&lt;&gt;"",COUNTIF($C$2:C807,C807),"")</f>
        <v/>
      </c>
      <c r="V807" s="29" t="str">
        <f t="shared" si="48"/>
        <v/>
      </c>
      <c r="W807" s="29" t="str">
        <f>IF(U807=1,COUNTIF($U$2:U807,1),"")</f>
        <v/>
      </c>
      <c r="X807" s="29" t="str">
        <f t="shared" si="49"/>
        <v/>
      </c>
      <c r="Y807" s="29" t="str">
        <f>IF(AND(LEFT($B807,7)="SBA 26/",$D807&lt;&gt;"",$F807&lt;&gt;""),COUNTIFS($D$2:$D807,$D807,$B$2:$B807,"SBA 26/*",$F$2:$F807,"&lt;&gt;"),"")</f>
        <v/>
      </c>
      <c r="Z807" s="29" t="str">
        <f>IF(Y807=1,COUNTIF($Y$2:Y807,1),"")</f>
        <v/>
      </c>
      <c r="AA807" s="29" t="str">
        <f>IF(AND(LEFT($B807,7)="SBA 26/",$C807&lt;&gt;"",$F807&lt;&gt;""),COUNTIFS($C$2:$C807,$C807,$B$2:$B807,"SBA 26/*",$F$2:$F807,"&lt;&gt;"),"")</f>
        <v/>
      </c>
      <c r="AB807" s="29" t="str">
        <f>IF(AA807=1,COUNTIF($AA$2:AA807,1),"")</f>
        <v/>
      </c>
    </row>
    <row r="808" spans="6:28" ht="47.25" customHeight="1" x14ac:dyDescent="0.2">
      <c r="F808" s="45" t="s">
        <v>3370</v>
      </c>
      <c r="T808" s="41"/>
      <c r="U808" s="29" t="str">
        <f>IF($C808&lt;&gt;"",COUNTIF($C$2:C808,C808),"")</f>
        <v/>
      </c>
      <c r="V808" s="29" t="str">
        <f t="shared" si="48"/>
        <v/>
      </c>
      <c r="W808" s="29" t="str">
        <f>IF(U808=1,COUNTIF($U$2:U808,1),"")</f>
        <v/>
      </c>
      <c r="X808" s="29" t="str">
        <f t="shared" si="49"/>
        <v/>
      </c>
      <c r="Y808" s="29" t="str">
        <f>IF(AND(LEFT($B808,7)="SBA 26/",$D808&lt;&gt;"",$F808&lt;&gt;""),COUNTIFS($D$2:$D808,$D808,$B$2:$B808,"SBA 26/*",$F$2:$F808,"&lt;&gt;"),"")</f>
        <v/>
      </c>
      <c r="Z808" s="29" t="str">
        <f>IF(Y808=1,COUNTIF($Y$2:Y808,1),"")</f>
        <v/>
      </c>
      <c r="AA808" s="29" t="str">
        <f>IF(AND(LEFT($B808,7)="SBA 26/",$C808&lt;&gt;"",$F808&lt;&gt;""),COUNTIFS($C$2:$C808,$C808,$B$2:$B808,"SBA 26/*",$F$2:$F808,"&lt;&gt;"),"")</f>
        <v/>
      </c>
      <c r="AB808" s="29" t="str">
        <f>IF(AA808=1,COUNTIF($AA$2:AA808,1),"")</f>
        <v/>
      </c>
    </row>
    <row r="809" spans="6:28" ht="47.25" customHeight="1" x14ac:dyDescent="0.2">
      <c r="F809" s="45" t="s">
        <v>3371</v>
      </c>
      <c r="T809" s="41"/>
      <c r="U809" s="29" t="str">
        <f>IF($C809&lt;&gt;"",COUNTIF($C$2:C809,C809),"")</f>
        <v/>
      </c>
      <c r="V809" s="29" t="str">
        <f t="shared" si="48"/>
        <v/>
      </c>
      <c r="W809" s="29" t="str">
        <f>IF(U809=1,COUNTIF($U$2:U809,1),"")</f>
        <v/>
      </c>
      <c r="X809" s="29" t="str">
        <f t="shared" si="49"/>
        <v/>
      </c>
      <c r="Y809" s="29" t="str">
        <f>IF(AND(LEFT($B809,7)="SBA 26/",$D809&lt;&gt;"",$F809&lt;&gt;""),COUNTIFS($D$2:$D809,$D809,$B$2:$B809,"SBA 26/*",$F$2:$F809,"&lt;&gt;"),"")</f>
        <v/>
      </c>
      <c r="Z809" s="29" t="str">
        <f>IF(Y809=1,COUNTIF($Y$2:Y809,1),"")</f>
        <v/>
      </c>
      <c r="AA809" s="29" t="str">
        <f>IF(AND(LEFT($B809,7)="SBA 26/",$C809&lt;&gt;"",$F809&lt;&gt;""),COUNTIFS($C$2:$C809,$C809,$B$2:$B809,"SBA 26/*",$F$2:$F809,"&lt;&gt;"),"")</f>
        <v/>
      </c>
      <c r="AB809" s="29" t="str">
        <f>IF(AA809=1,COUNTIF($AA$2:AA809,1),"")</f>
        <v/>
      </c>
    </row>
    <row r="810" spans="6:28" ht="47.25" customHeight="1" x14ac:dyDescent="0.2">
      <c r="F810" s="45" t="s">
        <v>3372</v>
      </c>
      <c r="T810" s="41"/>
      <c r="U810" s="29" t="str">
        <f>IF($C810&lt;&gt;"",COUNTIF($C$2:C810,C810),"")</f>
        <v/>
      </c>
      <c r="V810" s="29" t="str">
        <f t="shared" si="48"/>
        <v/>
      </c>
      <c r="W810" s="29" t="str">
        <f>IF(U810=1,COUNTIF($U$2:U810,1),"")</f>
        <v/>
      </c>
      <c r="X810" s="29" t="str">
        <f t="shared" si="49"/>
        <v/>
      </c>
      <c r="Y810" s="29" t="str">
        <f>IF(AND(LEFT($B810,7)="SBA 26/",$D810&lt;&gt;"",$F810&lt;&gt;""),COUNTIFS($D$2:$D810,$D810,$B$2:$B810,"SBA 26/*",$F$2:$F810,"&lt;&gt;"),"")</f>
        <v/>
      </c>
      <c r="Z810" s="29" t="str">
        <f>IF(Y810=1,COUNTIF($Y$2:Y810,1),"")</f>
        <v/>
      </c>
      <c r="AA810" s="29" t="str">
        <f>IF(AND(LEFT($B810,7)="SBA 26/",$C810&lt;&gt;"",$F810&lt;&gt;""),COUNTIFS($C$2:$C810,$C810,$B$2:$B810,"SBA 26/*",$F$2:$F810,"&lt;&gt;"),"")</f>
        <v/>
      </c>
      <c r="AB810" s="29" t="str">
        <f>IF(AA810=1,COUNTIF($AA$2:AA810,1),"")</f>
        <v/>
      </c>
    </row>
    <row r="811" spans="6:28" ht="78.75" customHeight="1" x14ac:dyDescent="0.2">
      <c r="F811" s="45" t="s">
        <v>3373</v>
      </c>
      <c r="T811" s="41"/>
      <c r="U811" s="29" t="str">
        <f>IF($C811&lt;&gt;"",COUNTIF($C$2:C811,C811),"")</f>
        <v/>
      </c>
      <c r="V811" s="29" t="str">
        <f t="shared" si="48"/>
        <v/>
      </c>
      <c r="W811" s="29" t="str">
        <f>IF(U811=1,COUNTIF($U$2:U811,1),"")</f>
        <v/>
      </c>
      <c r="X811" s="29" t="str">
        <f t="shared" si="49"/>
        <v/>
      </c>
      <c r="Y811" s="29" t="str">
        <f>IF(AND(LEFT($B811,7)="SBA 26/",$D811&lt;&gt;"",$F811&lt;&gt;""),COUNTIFS($D$2:$D811,$D811,$B$2:$B811,"SBA 26/*",$F$2:$F811,"&lt;&gt;"),"")</f>
        <v/>
      </c>
      <c r="Z811" s="29" t="str">
        <f>IF(Y811=1,COUNTIF($Y$2:Y811,1),"")</f>
        <v/>
      </c>
      <c r="AA811" s="29" t="str">
        <f>IF(AND(LEFT($B811,7)="SBA 26/",$C811&lt;&gt;"",$F811&lt;&gt;""),COUNTIFS($C$2:$C811,$C811,$B$2:$B811,"SBA 26/*",$F$2:$F811,"&lt;&gt;"),"")</f>
        <v/>
      </c>
      <c r="AB811" s="29" t="str">
        <f>IF(AA811=1,COUNTIF($AA$2:AA811,1),"")</f>
        <v/>
      </c>
    </row>
    <row r="812" spans="6:28" ht="78.75" customHeight="1" x14ac:dyDescent="0.2">
      <c r="F812" s="45" t="s">
        <v>3374</v>
      </c>
      <c r="T812" s="41"/>
      <c r="U812" s="29" t="str">
        <f>IF($C812&lt;&gt;"",COUNTIF($C$2:C812,C812),"")</f>
        <v/>
      </c>
      <c r="V812" s="29" t="str">
        <f t="shared" si="48"/>
        <v/>
      </c>
      <c r="W812" s="29" t="str">
        <f>IF(U812=1,COUNTIF($U$2:U812,1),"")</f>
        <v/>
      </c>
      <c r="X812" s="29" t="str">
        <f t="shared" si="49"/>
        <v/>
      </c>
      <c r="Y812" s="29" t="str">
        <f>IF(AND(LEFT($B812,7)="SBA 26/",$D812&lt;&gt;"",$F812&lt;&gt;""),COUNTIFS($D$2:$D812,$D812,$B$2:$B812,"SBA 26/*",$F$2:$F812,"&lt;&gt;"),"")</f>
        <v/>
      </c>
      <c r="Z812" s="29" t="str">
        <f>IF(Y812=1,COUNTIF($Y$2:Y812,1),"")</f>
        <v/>
      </c>
      <c r="AA812" s="29" t="str">
        <f>IF(AND(LEFT($B812,7)="SBA 26/",$C812&lt;&gt;"",$F812&lt;&gt;""),COUNTIFS($C$2:$C812,$C812,$B$2:$B812,"SBA 26/*",$F$2:$F812,"&lt;&gt;"),"")</f>
        <v/>
      </c>
      <c r="AB812" s="29" t="str">
        <f>IF(AA812=1,COUNTIF($AA$2:AA812,1),"")</f>
        <v/>
      </c>
    </row>
    <row r="813" spans="6:28" ht="31.5" customHeight="1" x14ac:dyDescent="0.2">
      <c r="F813" s="45" t="s">
        <v>3375</v>
      </c>
      <c r="T813" s="41"/>
      <c r="U813" s="29" t="str">
        <f>IF($C813&lt;&gt;"",COUNTIF($C$2:C813,C813),"")</f>
        <v/>
      </c>
      <c r="V813" s="29" t="str">
        <f t="shared" si="48"/>
        <v/>
      </c>
      <c r="W813" s="29" t="str">
        <f>IF(U813=1,COUNTIF($U$2:U813,1),"")</f>
        <v/>
      </c>
      <c r="X813" s="29" t="str">
        <f t="shared" si="49"/>
        <v/>
      </c>
      <c r="Y813" s="29" t="str">
        <f>IF(AND(LEFT($B813,7)="SBA 26/",$D813&lt;&gt;"",$F813&lt;&gt;""),COUNTIFS($D$2:$D813,$D813,$B$2:$B813,"SBA 26/*",$F$2:$F813,"&lt;&gt;"),"")</f>
        <v/>
      </c>
      <c r="Z813" s="29" t="str">
        <f>IF(Y813=1,COUNTIF($Y$2:Y813,1),"")</f>
        <v/>
      </c>
      <c r="AA813" s="29" t="str">
        <f>IF(AND(LEFT($B813,7)="SBA 26/",$C813&lt;&gt;"",$F813&lt;&gt;""),COUNTIFS($C$2:$C813,$C813,$B$2:$B813,"SBA 26/*",$F$2:$F813,"&lt;&gt;"),"")</f>
        <v/>
      </c>
      <c r="AB813" s="29" t="str">
        <f>IF(AA813=1,COUNTIF($AA$2:AA813,1),"")</f>
        <v/>
      </c>
    </row>
    <row r="814" spans="6:28" ht="31.5" customHeight="1" x14ac:dyDescent="0.2">
      <c r="F814" s="45" t="s">
        <v>3376</v>
      </c>
      <c r="T814" s="41"/>
      <c r="U814" s="29" t="str">
        <f>IF($C814&lt;&gt;"",COUNTIF($C$2:C814,C814),"")</f>
        <v/>
      </c>
      <c r="V814" s="29" t="str">
        <f t="shared" si="48"/>
        <v/>
      </c>
      <c r="W814" s="29" t="str">
        <f>IF(U814=1,COUNTIF($U$2:U814,1),"")</f>
        <v/>
      </c>
      <c r="X814" s="29" t="str">
        <f t="shared" si="49"/>
        <v/>
      </c>
      <c r="Y814" s="29" t="str">
        <f>IF(AND(LEFT($B814,7)="SBA 26/",$D814&lt;&gt;"",$F814&lt;&gt;""),COUNTIFS($D$2:$D814,$D814,$B$2:$B814,"SBA 26/*",$F$2:$F814,"&lt;&gt;"),"")</f>
        <v/>
      </c>
      <c r="Z814" s="29" t="str">
        <f>IF(Y814=1,COUNTIF($Y$2:Y814,1),"")</f>
        <v/>
      </c>
      <c r="AA814" s="29" t="str">
        <f>IF(AND(LEFT($B814,7)="SBA 26/",$C814&lt;&gt;"",$F814&lt;&gt;""),COUNTIFS($C$2:$C814,$C814,$B$2:$B814,"SBA 26/*",$F$2:$F814,"&lt;&gt;"),"")</f>
        <v/>
      </c>
      <c r="AB814" s="29" t="str">
        <f>IF(AA814=1,COUNTIF($AA$2:AA814,1),"")</f>
        <v/>
      </c>
    </row>
    <row r="815" spans="6:28" ht="63" customHeight="1" x14ac:dyDescent="0.2">
      <c r="F815" s="45" t="s">
        <v>3377</v>
      </c>
      <c r="T815" s="41"/>
      <c r="U815" s="29" t="str">
        <f>IF($C815&lt;&gt;"",COUNTIF($C$2:C815,C815),"")</f>
        <v/>
      </c>
      <c r="V815" s="29" t="str">
        <f t="shared" si="48"/>
        <v/>
      </c>
      <c r="W815" s="29" t="str">
        <f>IF(U815=1,COUNTIF($U$2:U815,1),"")</f>
        <v/>
      </c>
      <c r="X815" s="29" t="str">
        <f t="shared" si="49"/>
        <v/>
      </c>
      <c r="Y815" s="29" t="str">
        <f>IF(AND(LEFT($B815,7)="SBA 26/",$D815&lt;&gt;"",$F815&lt;&gt;""),COUNTIFS($D$2:$D815,$D815,$B$2:$B815,"SBA 26/*",$F$2:$F815,"&lt;&gt;"),"")</f>
        <v/>
      </c>
      <c r="Z815" s="29" t="str">
        <f>IF(Y815=1,COUNTIF($Y$2:Y815,1),"")</f>
        <v/>
      </c>
      <c r="AA815" s="29" t="str">
        <f>IF(AND(LEFT($B815,7)="SBA 26/",$C815&lt;&gt;"",$F815&lt;&gt;""),COUNTIFS($C$2:$C815,$C815,$B$2:$B815,"SBA 26/*",$F$2:$F815,"&lt;&gt;"),"")</f>
        <v/>
      </c>
      <c r="AB815" s="29" t="str">
        <f>IF(AA815=1,COUNTIF($AA$2:AA815,1),"")</f>
        <v/>
      </c>
    </row>
    <row r="816" spans="6:28" ht="31.5" customHeight="1" x14ac:dyDescent="0.2">
      <c r="F816" s="45" t="s">
        <v>3378</v>
      </c>
      <c r="T816" s="41"/>
      <c r="U816" s="29" t="str">
        <f>IF($C816&lt;&gt;"",COUNTIF($C$2:C816,C816),"")</f>
        <v/>
      </c>
      <c r="V816" s="29" t="str">
        <f t="shared" si="48"/>
        <v/>
      </c>
      <c r="W816" s="29" t="str">
        <f>IF(U816=1,COUNTIF($U$2:U816,1),"")</f>
        <v/>
      </c>
      <c r="X816" s="29" t="str">
        <f t="shared" si="49"/>
        <v/>
      </c>
      <c r="Y816" s="29" t="str">
        <f>IF(AND(LEFT($B816,7)="SBA 26/",$D816&lt;&gt;"",$F816&lt;&gt;""),COUNTIFS($D$2:$D816,$D816,$B$2:$B816,"SBA 26/*",$F$2:$F816,"&lt;&gt;"),"")</f>
        <v/>
      </c>
      <c r="Z816" s="29" t="str">
        <f>IF(Y816=1,COUNTIF($Y$2:Y816,1),"")</f>
        <v/>
      </c>
      <c r="AA816" s="29" t="str">
        <f>IF(AND(LEFT($B816,7)="SBA 26/",$C816&lt;&gt;"",$F816&lt;&gt;""),COUNTIFS($C$2:$C816,$C816,$B$2:$B816,"SBA 26/*",$F$2:$F816,"&lt;&gt;"),"")</f>
        <v/>
      </c>
      <c r="AB816" s="29" t="str">
        <f>IF(AA816=1,COUNTIF($AA$2:AA816,1),"")</f>
        <v/>
      </c>
    </row>
    <row r="817" spans="6:28" ht="47.25" customHeight="1" x14ac:dyDescent="0.2">
      <c r="F817" s="45" t="s">
        <v>3379</v>
      </c>
      <c r="T817" s="41"/>
      <c r="U817" s="29" t="str">
        <f>IF($C817&lt;&gt;"",COUNTIF($C$2:C817,C817),"")</f>
        <v/>
      </c>
      <c r="V817" s="29" t="str">
        <f t="shared" si="48"/>
        <v/>
      </c>
      <c r="W817" s="29" t="str">
        <f>IF(U817=1,COUNTIF($U$2:U817,1),"")</f>
        <v/>
      </c>
      <c r="X817" s="29" t="str">
        <f t="shared" si="49"/>
        <v/>
      </c>
      <c r="Y817" s="29" t="str">
        <f>IF(AND(LEFT($B817,7)="SBA 26/",$D817&lt;&gt;"",$F817&lt;&gt;""),COUNTIFS($D$2:$D817,$D817,$B$2:$B817,"SBA 26/*",$F$2:$F817,"&lt;&gt;"),"")</f>
        <v/>
      </c>
      <c r="Z817" s="29" t="str">
        <f>IF(Y817=1,COUNTIF($Y$2:Y817,1),"")</f>
        <v/>
      </c>
      <c r="AA817" s="29" t="str">
        <f>IF(AND(LEFT($B817,7)="SBA 26/",$C817&lt;&gt;"",$F817&lt;&gt;""),COUNTIFS($C$2:$C817,$C817,$B$2:$B817,"SBA 26/*",$F$2:$F817,"&lt;&gt;"),"")</f>
        <v/>
      </c>
      <c r="AB817" s="29" t="str">
        <f>IF(AA817=1,COUNTIF($AA$2:AA817,1),"")</f>
        <v/>
      </c>
    </row>
    <row r="818" spans="6:28" ht="47.25" customHeight="1" x14ac:dyDescent="0.2">
      <c r="F818" s="45" t="s">
        <v>3380</v>
      </c>
      <c r="T818" s="41"/>
      <c r="U818" s="29" t="str">
        <f>IF($C818&lt;&gt;"",COUNTIF($C$2:C818,C818),"")</f>
        <v/>
      </c>
      <c r="V818" s="29" t="str">
        <f t="shared" si="48"/>
        <v/>
      </c>
      <c r="W818" s="29" t="str">
        <f>IF(U818=1,COUNTIF($U$2:U818,1),"")</f>
        <v/>
      </c>
      <c r="X818" s="29" t="str">
        <f t="shared" si="49"/>
        <v/>
      </c>
      <c r="Y818" s="29" t="str">
        <f>IF(AND(LEFT($B818,7)="SBA 26/",$D818&lt;&gt;"",$F818&lt;&gt;""),COUNTIFS($D$2:$D818,$D818,$B$2:$B818,"SBA 26/*",$F$2:$F818,"&lt;&gt;"),"")</f>
        <v/>
      </c>
      <c r="Z818" s="29" t="str">
        <f>IF(Y818=1,COUNTIF($Y$2:Y818,1),"")</f>
        <v/>
      </c>
      <c r="AA818" s="29" t="str">
        <f>IF(AND(LEFT($B818,7)="SBA 26/",$C818&lt;&gt;"",$F818&lt;&gt;""),COUNTIFS($C$2:$C818,$C818,$B$2:$B818,"SBA 26/*",$F$2:$F818,"&lt;&gt;"),"")</f>
        <v/>
      </c>
      <c r="AB818" s="29" t="str">
        <f>IF(AA818=1,COUNTIF($AA$2:AA818,1),"")</f>
        <v/>
      </c>
    </row>
    <row r="819" spans="6:28" ht="63" customHeight="1" x14ac:dyDescent="0.2">
      <c r="F819" s="45" t="s">
        <v>3381</v>
      </c>
      <c r="T819" s="41"/>
      <c r="U819" s="29" t="str">
        <f>IF($C819&lt;&gt;"",COUNTIF($C$2:C819,C819),"")</f>
        <v/>
      </c>
      <c r="V819" s="29" t="str">
        <f t="shared" si="48"/>
        <v/>
      </c>
      <c r="W819" s="29" t="str">
        <f>IF(U819=1,COUNTIF($U$2:U819,1),"")</f>
        <v/>
      </c>
      <c r="X819" s="29" t="str">
        <f t="shared" si="49"/>
        <v/>
      </c>
      <c r="Y819" s="29" t="str">
        <f>IF(AND(LEFT($B819,7)="SBA 26/",$D819&lt;&gt;"",$F819&lt;&gt;""),COUNTIFS($D$2:$D819,$D819,$B$2:$B819,"SBA 26/*",$F$2:$F819,"&lt;&gt;"),"")</f>
        <v/>
      </c>
      <c r="Z819" s="29" t="str">
        <f>IF(Y819=1,COUNTIF($Y$2:Y819,1),"")</f>
        <v/>
      </c>
      <c r="AA819" s="29" t="str">
        <f>IF(AND(LEFT($B819,7)="SBA 26/",$C819&lt;&gt;"",$F819&lt;&gt;""),COUNTIFS($C$2:$C819,$C819,$B$2:$B819,"SBA 26/*",$F$2:$F819,"&lt;&gt;"),"")</f>
        <v/>
      </c>
      <c r="AB819" s="29" t="str">
        <f>IF(AA819=1,COUNTIF($AA$2:AA819,1),"")</f>
        <v/>
      </c>
    </row>
    <row r="820" spans="6:28" ht="31.5" customHeight="1" x14ac:dyDescent="0.2">
      <c r="F820" s="45" t="s">
        <v>3382</v>
      </c>
      <c r="T820" s="41"/>
      <c r="U820" s="29" t="str">
        <f>IF($C820&lt;&gt;"",COUNTIF($C$2:C820,C820),"")</f>
        <v/>
      </c>
      <c r="V820" s="29" t="str">
        <f t="shared" si="48"/>
        <v/>
      </c>
      <c r="W820" s="29" t="str">
        <f>IF(U820=1,COUNTIF($U$2:U820,1),"")</f>
        <v/>
      </c>
      <c r="X820" s="29" t="str">
        <f t="shared" si="49"/>
        <v/>
      </c>
      <c r="Y820" s="29" t="str">
        <f>IF(AND(LEFT($B820,7)="SBA 26/",$D820&lt;&gt;"",$F820&lt;&gt;""),COUNTIFS($D$2:$D820,$D820,$B$2:$B820,"SBA 26/*",$F$2:$F820,"&lt;&gt;"),"")</f>
        <v/>
      </c>
      <c r="Z820" s="29" t="str">
        <f>IF(Y820=1,COUNTIF($Y$2:Y820,1),"")</f>
        <v/>
      </c>
      <c r="AA820" s="29" t="str">
        <f>IF(AND(LEFT($B820,7)="SBA 26/",$C820&lt;&gt;"",$F820&lt;&gt;""),COUNTIFS($C$2:$C820,$C820,$B$2:$B820,"SBA 26/*",$F$2:$F820,"&lt;&gt;"),"")</f>
        <v/>
      </c>
      <c r="AB820" s="29" t="str">
        <f>IF(AA820=1,COUNTIF($AA$2:AA820,1),"")</f>
        <v/>
      </c>
    </row>
    <row r="821" spans="6:28" ht="47.25" customHeight="1" x14ac:dyDescent="0.2">
      <c r="F821" s="45" t="s">
        <v>3383</v>
      </c>
      <c r="T821" s="41"/>
      <c r="U821" s="29" t="str">
        <f>IF($C821&lt;&gt;"",COUNTIF($C$2:C821,C821),"")</f>
        <v/>
      </c>
      <c r="V821" s="29" t="str">
        <f t="shared" si="48"/>
        <v/>
      </c>
      <c r="W821" s="29" t="str">
        <f>IF(U821=1,COUNTIF($U$2:U821,1),"")</f>
        <v/>
      </c>
      <c r="X821" s="29" t="str">
        <f t="shared" si="49"/>
        <v/>
      </c>
      <c r="Y821" s="29" t="str">
        <f>IF(AND(LEFT($B821,7)="SBA 26/",$D821&lt;&gt;"",$F821&lt;&gt;""),COUNTIFS($D$2:$D821,$D821,$B$2:$B821,"SBA 26/*",$F$2:$F821,"&lt;&gt;"),"")</f>
        <v/>
      </c>
      <c r="Z821" s="29" t="str">
        <f>IF(Y821=1,COUNTIF($Y$2:Y821,1),"")</f>
        <v/>
      </c>
      <c r="AA821" s="29" t="str">
        <f>IF(AND(LEFT($B821,7)="SBA 26/",$C821&lt;&gt;"",$F821&lt;&gt;""),COUNTIFS($C$2:$C821,$C821,$B$2:$B821,"SBA 26/*",$F$2:$F821,"&lt;&gt;"),"")</f>
        <v/>
      </c>
      <c r="AB821" s="29" t="str">
        <f>IF(AA821=1,COUNTIF($AA$2:AA821,1),"")</f>
        <v/>
      </c>
    </row>
    <row r="822" spans="6:28" ht="63" customHeight="1" x14ac:dyDescent="0.2">
      <c r="F822" s="45" t="s">
        <v>3384</v>
      </c>
      <c r="T822" s="41"/>
      <c r="U822" s="29" t="str">
        <f>IF($C822&lt;&gt;"",COUNTIF($C$2:C822,C822),"")</f>
        <v/>
      </c>
      <c r="V822" s="29" t="str">
        <f t="shared" si="48"/>
        <v/>
      </c>
      <c r="W822" s="29" t="str">
        <f>IF(U822=1,COUNTIF($U$2:U822,1),"")</f>
        <v/>
      </c>
      <c r="X822" s="29" t="str">
        <f t="shared" si="49"/>
        <v/>
      </c>
      <c r="Y822" s="29" t="str">
        <f>IF(AND(LEFT($B822,7)="SBA 26/",$D822&lt;&gt;"",$F822&lt;&gt;""),COUNTIFS($D$2:$D822,$D822,$B$2:$B822,"SBA 26/*",$F$2:$F822,"&lt;&gt;"),"")</f>
        <v/>
      </c>
      <c r="Z822" s="29" t="str">
        <f>IF(Y822=1,COUNTIF($Y$2:Y822,1),"")</f>
        <v/>
      </c>
      <c r="AA822" s="29" t="str">
        <f>IF(AND(LEFT($B822,7)="SBA 26/",$C822&lt;&gt;"",$F822&lt;&gt;""),COUNTIFS($C$2:$C822,$C822,$B$2:$B822,"SBA 26/*",$F$2:$F822,"&lt;&gt;"),"")</f>
        <v/>
      </c>
      <c r="AB822" s="29" t="str">
        <f>IF(AA822=1,COUNTIF($AA$2:AA822,1),"")</f>
        <v/>
      </c>
    </row>
    <row r="823" spans="6:28" ht="47.25" customHeight="1" x14ac:dyDescent="0.2">
      <c r="F823" s="45" t="s">
        <v>3385</v>
      </c>
      <c r="T823" s="41"/>
      <c r="U823" s="29" t="str">
        <f>IF($C823&lt;&gt;"",COUNTIF($C$2:C823,C823),"")</f>
        <v/>
      </c>
      <c r="V823" s="29" t="str">
        <f t="shared" si="48"/>
        <v/>
      </c>
      <c r="W823" s="29" t="str">
        <f>IF(U823=1,COUNTIF($U$2:U823,1),"")</f>
        <v/>
      </c>
      <c r="X823" s="29" t="str">
        <f t="shared" si="49"/>
        <v/>
      </c>
      <c r="Y823" s="29" t="str">
        <f>IF(AND(LEFT($B823,7)="SBA 26/",$D823&lt;&gt;"",$F823&lt;&gt;""),COUNTIFS($D$2:$D823,$D823,$B$2:$B823,"SBA 26/*",$F$2:$F823,"&lt;&gt;"),"")</f>
        <v/>
      </c>
      <c r="Z823" s="29" t="str">
        <f>IF(Y823=1,COUNTIF($Y$2:Y823,1),"")</f>
        <v/>
      </c>
      <c r="AA823" s="29" t="str">
        <f>IF(AND(LEFT($B823,7)="SBA 26/",$C823&lt;&gt;"",$F823&lt;&gt;""),COUNTIFS($C$2:$C823,$C823,$B$2:$B823,"SBA 26/*",$F$2:$F823,"&lt;&gt;"),"")</f>
        <v/>
      </c>
      <c r="AB823" s="29" t="str">
        <f>IF(AA823=1,COUNTIF($AA$2:AA823,1),"")</f>
        <v/>
      </c>
    </row>
    <row r="824" spans="6:28" ht="47.25" customHeight="1" x14ac:dyDescent="0.2">
      <c r="F824" s="45" t="s">
        <v>3386</v>
      </c>
      <c r="T824" s="41"/>
      <c r="U824" s="29" t="str">
        <f>IF($C824&lt;&gt;"",COUNTIF($C$2:C824,C824),"")</f>
        <v/>
      </c>
      <c r="V824" s="29" t="str">
        <f t="shared" si="48"/>
        <v/>
      </c>
      <c r="W824" s="29" t="str">
        <f>IF(U824=1,COUNTIF($U$2:U824,1),"")</f>
        <v/>
      </c>
      <c r="X824" s="29" t="str">
        <f t="shared" si="49"/>
        <v/>
      </c>
      <c r="Y824" s="29" t="str">
        <f>IF(AND(LEFT($B824,7)="SBA 26/",$D824&lt;&gt;"",$F824&lt;&gt;""),COUNTIFS($D$2:$D824,$D824,$B$2:$B824,"SBA 26/*",$F$2:$F824,"&lt;&gt;"),"")</f>
        <v/>
      </c>
      <c r="Z824" s="29" t="str">
        <f>IF(Y824=1,COUNTIF($Y$2:Y824,1),"")</f>
        <v/>
      </c>
      <c r="AA824" s="29" t="str">
        <f>IF(AND(LEFT($B824,7)="SBA 26/",$C824&lt;&gt;"",$F824&lt;&gt;""),COUNTIFS($C$2:$C824,$C824,$B$2:$B824,"SBA 26/*",$F$2:$F824,"&lt;&gt;"),"")</f>
        <v/>
      </c>
      <c r="AB824" s="29" t="str">
        <f>IF(AA824=1,COUNTIF($AA$2:AA824,1),"")</f>
        <v/>
      </c>
    </row>
    <row r="825" spans="6:28" ht="47.25" customHeight="1" x14ac:dyDescent="0.2">
      <c r="F825" s="45" t="s">
        <v>3387</v>
      </c>
      <c r="T825" s="41"/>
      <c r="U825" s="29" t="str">
        <f>IF($C825&lt;&gt;"",COUNTIF($C$2:C825,C825),"")</f>
        <v/>
      </c>
      <c r="V825" s="29" t="str">
        <f t="shared" si="48"/>
        <v/>
      </c>
      <c r="W825" s="29" t="str">
        <f>IF(U825=1,COUNTIF($U$2:U825,1),"")</f>
        <v/>
      </c>
      <c r="X825" s="29" t="str">
        <f t="shared" si="49"/>
        <v/>
      </c>
      <c r="Y825" s="29" t="str">
        <f>IF(AND(LEFT($B825,7)="SBA 26/",$D825&lt;&gt;"",$F825&lt;&gt;""),COUNTIFS($D$2:$D825,$D825,$B$2:$B825,"SBA 26/*",$F$2:$F825,"&lt;&gt;"),"")</f>
        <v/>
      </c>
      <c r="Z825" s="29" t="str">
        <f>IF(Y825=1,COUNTIF($Y$2:Y825,1),"")</f>
        <v/>
      </c>
      <c r="AA825" s="29" t="str">
        <f>IF(AND(LEFT($B825,7)="SBA 26/",$C825&lt;&gt;"",$F825&lt;&gt;""),COUNTIFS($C$2:$C825,$C825,$B$2:$B825,"SBA 26/*",$F$2:$F825,"&lt;&gt;"),"")</f>
        <v/>
      </c>
      <c r="AB825" s="29" t="str">
        <f>IF(AA825=1,COUNTIF($AA$2:AA825,1),"")</f>
        <v/>
      </c>
    </row>
    <row r="826" spans="6:28" ht="47.25" customHeight="1" x14ac:dyDescent="0.2">
      <c r="F826" s="45" t="s">
        <v>3388</v>
      </c>
      <c r="T826" s="41"/>
      <c r="U826" s="29" t="str">
        <f>IF($C826&lt;&gt;"",COUNTIF($C$2:C826,C826),"")</f>
        <v/>
      </c>
      <c r="V826" s="29" t="str">
        <f t="shared" si="48"/>
        <v/>
      </c>
      <c r="W826" s="29" t="str">
        <f>IF(U826=1,COUNTIF($U$2:U826,1),"")</f>
        <v/>
      </c>
      <c r="X826" s="29" t="str">
        <f t="shared" si="49"/>
        <v/>
      </c>
      <c r="Y826" s="29" t="str">
        <f>IF(AND(LEFT($B826,7)="SBA 26/",$D826&lt;&gt;"",$F826&lt;&gt;""),COUNTIFS($D$2:$D826,$D826,$B$2:$B826,"SBA 26/*",$F$2:$F826,"&lt;&gt;"),"")</f>
        <v/>
      </c>
      <c r="Z826" s="29" t="str">
        <f>IF(Y826=1,COUNTIF($Y$2:Y826,1),"")</f>
        <v/>
      </c>
      <c r="AA826" s="29" t="str">
        <f>IF(AND(LEFT($B826,7)="SBA 26/",$C826&lt;&gt;"",$F826&lt;&gt;""),COUNTIFS($C$2:$C826,$C826,$B$2:$B826,"SBA 26/*",$F$2:$F826,"&lt;&gt;"),"")</f>
        <v/>
      </c>
      <c r="AB826" s="29" t="str">
        <f>IF(AA826=1,COUNTIF($AA$2:AA826,1),"")</f>
        <v/>
      </c>
    </row>
    <row r="827" spans="6:28" ht="47.25" customHeight="1" x14ac:dyDescent="0.2">
      <c r="F827" s="45" t="s">
        <v>3389</v>
      </c>
      <c r="T827" s="41"/>
      <c r="U827" s="29" t="str">
        <f>IF($C827&lt;&gt;"",COUNTIF($C$2:C827,C827),"")</f>
        <v/>
      </c>
      <c r="V827" s="29" t="str">
        <f t="shared" si="48"/>
        <v/>
      </c>
      <c r="W827" s="29" t="str">
        <f>IF(U827=1,COUNTIF($U$2:U827,1),"")</f>
        <v/>
      </c>
      <c r="X827" s="29" t="str">
        <f t="shared" si="49"/>
        <v/>
      </c>
      <c r="Y827" s="29" t="str">
        <f>IF(AND(LEFT($B827,7)="SBA 26/",$D827&lt;&gt;"",$F827&lt;&gt;""),COUNTIFS($D$2:$D827,$D827,$B$2:$B827,"SBA 26/*",$F$2:$F827,"&lt;&gt;"),"")</f>
        <v/>
      </c>
      <c r="Z827" s="29" t="str">
        <f>IF(Y827=1,COUNTIF($Y$2:Y827,1),"")</f>
        <v/>
      </c>
      <c r="AA827" s="29" t="str">
        <f>IF(AND(LEFT($B827,7)="SBA 26/",$C827&lt;&gt;"",$F827&lt;&gt;""),COUNTIFS($C$2:$C827,$C827,$B$2:$B827,"SBA 26/*",$F$2:$F827,"&lt;&gt;"),"")</f>
        <v/>
      </c>
      <c r="AB827" s="29" t="str">
        <f>IF(AA827=1,COUNTIF($AA$2:AA827,1),"")</f>
        <v/>
      </c>
    </row>
    <row r="828" spans="6:28" ht="31.5" customHeight="1" x14ac:dyDescent="0.2">
      <c r="F828" s="45" t="s">
        <v>3390</v>
      </c>
      <c r="T828" s="41"/>
      <c r="U828" s="29" t="str">
        <f>IF($C828&lt;&gt;"",COUNTIF($C$2:C828,C828),"")</f>
        <v/>
      </c>
      <c r="V828" s="29" t="str">
        <f t="shared" si="48"/>
        <v/>
      </c>
      <c r="W828" s="29" t="str">
        <f>IF(U828=1,COUNTIF($U$2:U828,1),"")</f>
        <v/>
      </c>
      <c r="X828" s="29" t="str">
        <f t="shared" si="49"/>
        <v/>
      </c>
      <c r="Y828" s="29" t="str">
        <f>IF(AND(LEFT($B828,7)="SBA 26/",$D828&lt;&gt;"",$F828&lt;&gt;""),COUNTIFS($D$2:$D828,$D828,$B$2:$B828,"SBA 26/*",$F$2:$F828,"&lt;&gt;"),"")</f>
        <v/>
      </c>
      <c r="Z828" s="29" t="str">
        <f>IF(Y828=1,COUNTIF($Y$2:Y828,1),"")</f>
        <v/>
      </c>
      <c r="AA828" s="29" t="str">
        <f>IF(AND(LEFT($B828,7)="SBA 26/",$C828&lt;&gt;"",$F828&lt;&gt;""),COUNTIFS($C$2:$C828,$C828,$B$2:$B828,"SBA 26/*",$F$2:$F828,"&lt;&gt;"),"")</f>
        <v/>
      </c>
      <c r="AB828" s="29" t="str">
        <f>IF(AA828=1,COUNTIF($AA$2:AA828,1),"")</f>
        <v/>
      </c>
    </row>
    <row r="829" spans="6:28" ht="31.5" customHeight="1" x14ac:dyDescent="0.2">
      <c r="F829" s="45" t="s">
        <v>3391</v>
      </c>
      <c r="T829" s="41"/>
      <c r="U829" s="29" t="str">
        <f>IF($C829&lt;&gt;"",COUNTIF($C$2:C829,C829),"")</f>
        <v/>
      </c>
      <c r="V829" s="29" t="str">
        <f t="shared" si="48"/>
        <v/>
      </c>
      <c r="W829" s="29" t="str">
        <f>IF(U829=1,COUNTIF($U$2:U829,1),"")</f>
        <v/>
      </c>
      <c r="X829" s="29" t="str">
        <f t="shared" si="49"/>
        <v/>
      </c>
      <c r="Y829" s="29" t="str">
        <f>IF(AND(LEFT($B829,7)="SBA 26/",$D829&lt;&gt;"",$F829&lt;&gt;""),COUNTIFS($D$2:$D829,$D829,$B$2:$B829,"SBA 26/*",$F$2:$F829,"&lt;&gt;"),"")</f>
        <v/>
      </c>
      <c r="Z829" s="29" t="str">
        <f>IF(Y829=1,COUNTIF($Y$2:Y829,1),"")</f>
        <v/>
      </c>
      <c r="AA829" s="29" t="str">
        <f>IF(AND(LEFT($B829,7)="SBA 26/",$C829&lt;&gt;"",$F829&lt;&gt;""),COUNTIFS($C$2:$C829,$C829,$B$2:$B829,"SBA 26/*",$F$2:$F829,"&lt;&gt;"),"")</f>
        <v/>
      </c>
      <c r="AB829" s="29" t="str">
        <f>IF(AA829=1,COUNTIF($AA$2:AA829,1),"")</f>
        <v/>
      </c>
    </row>
    <row r="830" spans="6:28" ht="63" customHeight="1" x14ac:dyDescent="0.2">
      <c r="F830" s="45" t="s">
        <v>3392</v>
      </c>
      <c r="T830" s="41"/>
      <c r="U830" s="29" t="str">
        <f>IF($C830&lt;&gt;"",COUNTIF($C$2:C830,C830),"")</f>
        <v/>
      </c>
      <c r="V830" s="29" t="str">
        <f t="shared" si="48"/>
        <v/>
      </c>
      <c r="W830" s="29" t="str">
        <f>IF(U830=1,COUNTIF($U$2:U830,1),"")</f>
        <v/>
      </c>
      <c r="X830" s="29" t="str">
        <f t="shared" si="49"/>
        <v/>
      </c>
      <c r="Y830" s="29" t="str">
        <f>IF(AND(LEFT($B830,7)="SBA 26/",$D830&lt;&gt;"",$F830&lt;&gt;""),COUNTIFS($D$2:$D830,$D830,$B$2:$B830,"SBA 26/*",$F$2:$F830,"&lt;&gt;"),"")</f>
        <v/>
      </c>
      <c r="Z830" s="29" t="str">
        <f>IF(Y830=1,COUNTIF($Y$2:Y830,1),"")</f>
        <v/>
      </c>
      <c r="AA830" s="29" t="str">
        <f>IF(AND(LEFT($B830,7)="SBA 26/",$C830&lt;&gt;"",$F830&lt;&gt;""),COUNTIFS($C$2:$C830,$C830,$B$2:$B830,"SBA 26/*",$F$2:$F830,"&lt;&gt;"),"")</f>
        <v/>
      </c>
      <c r="AB830" s="29" t="str">
        <f>IF(AA830=1,COUNTIF($AA$2:AA830,1),"")</f>
        <v/>
      </c>
    </row>
    <row r="831" spans="6:28" ht="47.25" customHeight="1" x14ac:dyDescent="0.2">
      <c r="F831" s="45" t="s">
        <v>3393</v>
      </c>
      <c r="T831" s="41"/>
      <c r="U831" s="29" t="str">
        <f>IF($C831&lt;&gt;"",COUNTIF($C$2:C831,C831),"")</f>
        <v/>
      </c>
      <c r="V831" s="29" t="str">
        <f t="shared" si="48"/>
        <v/>
      </c>
      <c r="W831" s="29" t="str">
        <f>IF(U831=1,COUNTIF($U$2:U831,1),"")</f>
        <v/>
      </c>
      <c r="X831" s="29" t="str">
        <f t="shared" si="49"/>
        <v/>
      </c>
      <c r="Y831" s="29" t="str">
        <f>IF(AND(LEFT($B831,7)="SBA 26/",$D831&lt;&gt;"",$F831&lt;&gt;""),COUNTIFS($D$2:$D831,$D831,$B$2:$B831,"SBA 26/*",$F$2:$F831,"&lt;&gt;"),"")</f>
        <v/>
      </c>
      <c r="Z831" s="29" t="str">
        <f>IF(Y831=1,COUNTIF($Y$2:Y831,1),"")</f>
        <v/>
      </c>
      <c r="AA831" s="29" t="str">
        <f>IF(AND(LEFT($B831,7)="SBA 26/",$C831&lt;&gt;"",$F831&lt;&gt;""),COUNTIFS($C$2:$C831,$C831,$B$2:$B831,"SBA 26/*",$F$2:$F831,"&lt;&gt;"),"")</f>
        <v/>
      </c>
      <c r="AB831" s="29" t="str">
        <f>IF(AA831=1,COUNTIF($AA$2:AA831,1),"")</f>
        <v/>
      </c>
    </row>
    <row r="832" spans="6:28" ht="47.25" customHeight="1" x14ac:dyDescent="0.2">
      <c r="F832" s="45" t="s">
        <v>3394</v>
      </c>
      <c r="T832" s="41"/>
      <c r="U832" s="29" t="str">
        <f>IF($C832&lt;&gt;"",COUNTIF($C$2:C832,C832),"")</f>
        <v/>
      </c>
      <c r="V832" s="29" t="str">
        <f t="shared" si="48"/>
        <v/>
      </c>
      <c r="W832" s="29" t="str">
        <f>IF(U832=1,COUNTIF($U$2:U832,1),"")</f>
        <v/>
      </c>
      <c r="X832" s="29" t="str">
        <f t="shared" si="49"/>
        <v/>
      </c>
      <c r="Y832" s="29" t="str">
        <f>IF(AND(LEFT($B832,7)="SBA 26/",$D832&lt;&gt;"",$F832&lt;&gt;""),COUNTIFS($D$2:$D832,$D832,$B$2:$B832,"SBA 26/*",$F$2:$F832,"&lt;&gt;"),"")</f>
        <v/>
      </c>
      <c r="Z832" s="29" t="str">
        <f>IF(Y832=1,COUNTIF($Y$2:Y832,1),"")</f>
        <v/>
      </c>
      <c r="AA832" s="29" t="str">
        <f>IF(AND(LEFT($B832,7)="SBA 26/",$C832&lt;&gt;"",$F832&lt;&gt;""),COUNTIFS($C$2:$C832,$C832,$B$2:$B832,"SBA 26/*",$F$2:$F832,"&lt;&gt;"),"")</f>
        <v/>
      </c>
      <c r="AB832" s="29" t="str">
        <f>IF(AA832=1,COUNTIF($AA$2:AA832,1),"")</f>
        <v/>
      </c>
    </row>
    <row r="833" spans="6:28" ht="47.25" customHeight="1" x14ac:dyDescent="0.2">
      <c r="F833" s="45" t="s">
        <v>3395</v>
      </c>
      <c r="T833" s="41"/>
      <c r="U833" s="29" t="str">
        <f>IF($C833&lt;&gt;"",COUNTIF($C$2:C833,C833),"")</f>
        <v/>
      </c>
      <c r="V833" s="29" t="str">
        <f t="shared" si="48"/>
        <v/>
      </c>
      <c r="W833" s="29" t="str">
        <f>IF(U833=1,COUNTIF($U$2:U833,1),"")</f>
        <v/>
      </c>
      <c r="X833" s="29" t="str">
        <f t="shared" si="49"/>
        <v/>
      </c>
      <c r="Y833" s="29" t="str">
        <f>IF(AND(LEFT($B833,7)="SBA 26/",$D833&lt;&gt;"",$F833&lt;&gt;""),COUNTIFS($D$2:$D833,$D833,$B$2:$B833,"SBA 26/*",$F$2:$F833,"&lt;&gt;"),"")</f>
        <v/>
      </c>
      <c r="Z833" s="29" t="str">
        <f>IF(Y833=1,COUNTIF($Y$2:Y833,1),"")</f>
        <v/>
      </c>
      <c r="AA833" s="29" t="str">
        <f>IF(AND(LEFT($B833,7)="SBA 26/",$C833&lt;&gt;"",$F833&lt;&gt;""),COUNTIFS($C$2:$C833,$C833,$B$2:$B833,"SBA 26/*",$F$2:$F833,"&lt;&gt;"),"")</f>
        <v/>
      </c>
      <c r="AB833" s="29" t="str">
        <f>IF(AA833=1,COUNTIF($AA$2:AA833,1),"")</f>
        <v/>
      </c>
    </row>
    <row r="834" spans="6:28" ht="63" customHeight="1" x14ac:dyDescent="0.2">
      <c r="F834" s="45" t="s">
        <v>3396</v>
      </c>
      <c r="T834" s="41"/>
      <c r="U834" s="29" t="str">
        <f>IF($C834&lt;&gt;"",COUNTIF($C$2:C834,C834),"")</f>
        <v/>
      </c>
      <c r="V834" s="29" t="str">
        <f t="shared" ref="V834:V897" si="50">IF($C834&lt;&gt;"",C834&amp;"§"&amp;U834,"")</f>
        <v/>
      </c>
      <c r="W834" s="29" t="str">
        <f>IF(U834=1,COUNTIF($U$2:U834,1),"")</f>
        <v/>
      </c>
      <c r="X834" s="29" t="str">
        <f t="shared" ref="X834:X897" si="51">IF(U834=1,SUMPRODUCT(($U$2:$U$1799=1)*($C$2:$C$1799&lt;C834))+1,"")</f>
        <v/>
      </c>
      <c r="Y834" s="29" t="str">
        <f>IF(AND(LEFT($B834,7)="SBA 26/",$D834&lt;&gt;"",$F834&lt;&gt;""),COUNTIFS($D$2:$D834,$D834,$B$2:$B834,"SBA 26/*",$F$2:$F834,"&lt;&gt;"),"")</f>
        <v/>
      </c>
      <c r="Z834" s="29" t="str">
        <f>IF(Y834=1,COUNTIF($Y$2:Y834,1),"")</f>
        <v/>
      </c>
      <c r="AA834" s="29" t="str">
        <f>IF(AND(LEFT($B834,7)="SBA 26/",$C834&lt;&gt;"",$F834&lt;&gt;""),COUNTIFS($C$2:$C834,$C834,$B$2:$B834,"SBA 26/*",$F$2:$F834,"&lt;&gt;"),"")</f>
        <v/>
      </c>
      <c r="AB834" s="29" t="str">
        <f>IF(AA834=1,COUNTIF($AA$2:AA834,1),"")</f>
        <v/>
      </c>
    </row>
    <row r="835" spans="6:28" ht="31.5" customHeight="1" x14ac:dyDescent="0.2">
      <c r="F835" s="45" t="s">
        <v>3397</v>
      </c>
      <c r="T835" s="41"/>
      <c r="U835" s="29" t="str">
        <f>IF($C835&lt;&gt;"",COUNTIF($C$2:C835,C835),"")</f>
        <v/>
      </c>
      <c r="V835" s="29" t="str">
        <f t="shared" si="50"/>
        <v/>
      </c>
      <c r="W835" s="29" t="str">
        <f>IF(U835=1,COUNTIF($U$2:U835,1),"")</f>
        <v/>
      </c>
      <c r="X835" s="29" t="str">
        <f t="shared" si="51"/>
        <v/>
      </c>
      <c r="Y835" s="29" t="str">
        <f>IF(AND(LEFT($B835,7)="SBA 26/",$D835&lt;&gt;"",$F835&lt;&gt;""),COUNTIFS($D$2:$D835,$D835,$B$2:$B835,"SBA 26/*",$F$2:$F835,"&lt;&gt;"),"")</f>
        <v/>
      </c>
      <c r="Z835" s="29" t="str">
        <f>IF(Y835=1,COUNTIF($Y$2:Y835,1),"")</f>
        <v/>
      </c>
      <c r="AA835" s="29" t="str">
        <f>IF(AND(LEFT($B835,7)="SBA 26/",$C835&lt;&gt;"",$F835&lt;&gt;""),COUNTIFS($C$2:$C835,$C835,$B$2:$B835,"SBA 26/*",$F$2:$F835,"&lt;&gt;"),"")</f>
        <v/>
      </c>
      <c r="AB835" s="29" t="str">
        <f>IF(AA835=1,COUNTIF($AA$2:AA835,1),"")</f>
        <v/>
      </c>
    </row>
    <row r="836" spans="6:28" ht="31.5" customHeight="1" x14ac:dyDescent="0.2">
      <c r="F836" s="45" t="s">
        <v>3398</v>
      </c>
      <c r="T836" s="41"/>
      <c r="U836" s="29" t="str">
        <f>IF($C836&lt;&gt;"",COUNTIF($C$2:C836,C836),"")</f>
        <v/>
      </c>
      <c r="V836" s="29" t="str">
        <f t="shared" si="50"/>
        <v/>
      </c>
      <c r="W836" s="29" t="str">
        <f>IF(U836=1,COUNTIF($U$2:U836,1),"")</f>
        <v/>
      </c>
      <c r="X836" s="29" t="str">
        <f t="shared" si="51"/>
        <v/>
      </c>
      <c r="Y836" s="29" t="str">
        <f>IF(AND(LEFT($B836,7)="SBA 26/",$D836&lt;&gt;"",$F836&lt;&gt;""),COUNTIFS($D$2:$D836,$D836,$B$2:$B836,"SBA 26/*",$F$2:$F836,"&lt;&gt;"),"")</f>
        <v/>
      </c>
      <c r="Z836" s="29" t="str">
        <f>IF(Y836=1,COUNTIF($Y$2:Y836,1),"")</f>
        <v/>
      </c>
      <c r="AA836" s="29" t="str">
        <f>IF(AND(LEFT($B836,7)="SBA 26/",$C836&lt;&gt;"",$F836&lt;&gt;""),COUNTIFS($C$2:$C836,$C836,$B$2:$B836,"SBA 26/*",$F$2:$F836,"&lt;&gt;"),"")</f>
        <v/>
      </c>
      <c r="AB836" s="29" t="str">
        <f>IF(AA836=1,COUNTIF($AA$2:AA836,1),"")</f>
        <v/>
      </c>
    </row>
    <row r="837" spans="6:28" ht="63" customHeight="1" x14ac:dyDescent="0.2">
      <c r="F837" s="45" t="s">
        <v>3399</v>
      </c>
      <c r="T837" s="41"/>
      <c r="U837" s="29" t="str">
        <f>IF($C837&lt;&gt;"",COUNTIF($C$2:C837,C837),"")</f>
        <v/>
      </c>
      <c r="V837" s="29" t="str">
        <f t="shared" si="50"/>
        <v/>
      </c>
      <c r="W837" s="29" t="str">
        <f>IF(U837=1,COUNTIF($U$2:U837,1),"")</f>
        <v/>
      </c>
      <c r="X837" s="29" t="str">
        <f t="shared" si="51"/>
        <v/>
      </c>
      <c r="Y837" s="29" t="str">
        <f>IF(AND(LEFT($B837,7)="SBA 26/",$D837&lt;&gt;"",$F837&lt;&gt;""),COUNTIFS($D$2:$D837,$D837,$B$2:$B837,"SBA 26/*",$F$2:$F837,"&lt;&gt;"),"")</f>
        <v/>
      </c>
      <c r="Z837" s="29" t="str">
        <f>IF(Y837=1,COUNTIF($Y$2:Y837,1),"")</f>
        <v/>
      </c>
      <c r="AA837" s="29" t="str">
        <f>IF(AND(LEFT($B837,7)="SBA 26/",$C837&lt;&gt;"",$F837&lt;&gt;""),COUNTIFS($C$2:$C837,$C837,$B$2:$B837,"SBA 26/*",$F$2:$F837,"&lt;&gt;"),"")</f>
        <v/>
      </c>
      <c r="AB837" s="29" t="str">
        <f>IF(AA837=1,COUNTIF($AA$2:AA837,1),"")</f>
        <v/>
      </c>
    </row>
    <row r="838" spans="6:28" ht="47.25" customHeight="1" x14ac:dyDescent="0.2">
      <c r="F838" s="45" t="s">
        <v>3400</v>
      </c>
      <c r="T838" s="41"/>
      <c r="U838" s="29" t="str">
        <f>IF($C838&lt;&gt;"",COUNTIF($C$2:C838,C838),"")</f>
        <v/>
      </c>
      <c r="V838" s="29" t="str">
        <f t="shared" si="50"/>
        <v/>
      </c>
      <c r="W838" s="29" t="str">
        <f>IF(U838=1,COUNTIF($U$2:U838,1),"")</f>
        <v/>
      </c>
      <c r="X838" s="29" t="str">
        <f t="shared" si="51"/>
        <v/>
      </c>
      <c r="Y838" s="29" t="str">
        <f>IF(AND(LEFT($B838,7)="SBA 26/",$D838&lt;&gt;"",$F838&lt;&gt;""),COUNTIFS($D$2:$D838,$D838,$B$2:$B838,"SBA 26/*",$F$2:$F838,"&lt;&gt;"),"")</f>
        <v/>
      </c>
      <c r="Z838" s="29" t="str">
        <f>IF(Y838=1,COUNTIF($Y$2:Y838,1),"")</f>
        <v/>
      </c>
      <c r="AA838" s="29" t="str">
        <f>IF(AND(LEFT($B838,7)="SBA 26/",$C838&lt;&gt;"",$F838&lt;&gt;""),COUNTIFS($C$2:$C838,$C838,$B$2:$B838,"SBA 26/*",$F$2:$F838,"&lt;&gt;"),"")</f>
        <v/>
      </c>
      <c r="AB838" s="29" t="str">
        <f>IF(AA838=1,COUNTIF($AA$2:AA838,1),"")</f>
        <v/>
      </c>
    </row>
    <row r="839" spans="6:28" ht="47.25" customHeight="1" x14ac:dyDescent="0.2">
      <c r="F839" s="45" t="s">
        <v>3401</v>
      </c>
      <c r="T839" s="41"/>
      <c r="U839" s="29" t="str">
        <f>IF($C839&lt;&gt;"",COUNTIF($C$2:C839,C839),"")</f>
        <v/>
      </c>
      <c r="V839" s="29" t="str">
        <f t="shared" si="50"/>
        <v/>
      </c>
      <c r="W839" s="29" t="str">
        <f>IF(U839=1,COUNTIF($U$2:U839,1),"")</f>
        <v/>
      </c>
      <c r="X839" s="29" t="str">
        <f t="shared" si="51"/>
        <v/>
      </c>
      <c r="Y839" s="29" t="str">
        <f>IF(AND(LEFT($B839,7)="SBA 26/",$D839&lt;&gt;"",$F839&lt;&gt;""),COUNTIFS($D$2:$D839,$D839,$B$2:$B839,"SBA 26/*",$F$2:$F839,"&lt;&gt;"),"")</f>
        <v/>
      </c>
      <c r="Z839" s="29" t="str">
        <f>IF(Y839=1,COUNTIF($Y$2:Y839,1),"")</f>
        <v/>
      </c>
      <c r="AA839" s="29" t="str">
        <f>IF(AND(LEFT($B839,7)="SBA 26/",$C839&lt;&gt;"",$F839&lt;&gt;""),COUNTIFS($C$2:$C839,$C839,$B$2:$B839,"SBA 26/*",$F$2:$F839,"&lt;&gt;"),"")</f>
        <v/>
      </c>
      <c r="AB839" s="29" t="str">
        <f>IF(AA839=1,COUNTIF($AA$2:AA839,1),"")</f>
        <v/>
      </c>
    </row>
    <row r="840" spans="6:28" ht="31.5" customHeight="1" x14ac:dyDescent="0.2">
      <c r="F840" s="45" t="s">
        <v>3402</v>
      </c>
      <c r="T840" s="41"/>
      <c r="U840" s="29" t="str">
        <f>IF($C840&lt;&gt;"",COUNTIF($C$2:C840,C840),"")</f>
        <v/>
      </c>
      <c r="V840" s="29" t="str">
        <f t="shared" si="50"/>
        <v/>
      </c>
      <c r="W840" s="29" t="str">
        <f>IF(U840=1,COUNTIF($U$2:U840,1),"")</f>
        <v/>
      </c>
      <c r="X840" s="29" t="str">
        <f t="shared" si="51"/>
        <v/>
      </c>
      <c r="Y840" s="29" t="str">
        <f>IF(AND(LEFT($B840,7)="SBA 26/",$D840&lt;&gt;"",$F840&lt;&gt;""),COUNTIFS($D$2:$D840,$D840,$B$2:$B840,"SBA 26/*",$F$2:$F840,"&lt;&gt;"),"")</f>
        <v/>
      </c>
      <c r="Z840" s="29" t="str">
        <f>IF(Y840=1,COUNTIF($Y$2:Y840,1),"")</f>
        <v/>
      </c>
      <c r="AA840" s="29" t="str">
        <f>IF(AND(LEFT($B840,7)="SBA 26/",$C840&lt;&gt;"",$F840&lt;&gt;""),COUNTIFS($C$2:$C840,$C840,$B$2:$B840,"SBA 26/*",$F$2:$F840,"&lt;&gt;"),"")</f>
        <v/>
      </c>
      <c r="AB840" s="29" t="str">
        <f>IF(AA840=1,COUNTIF($AA$2:AA840,1),"")</f>
        <v/>
      </c>
    </row>
    <row r="841" spans="6:28" ht="63" customHeight="1" x14ac:dyDescent="0.2">
      <c r="F841" s="45" t="s">
        <v>3403</v>
      </c>
      <c r="T841" s="41"/>
      <c r="U841" s="29" t="str">
        <f>IF($C841&lt;&gt;"",COUNTIF($C$2:C841,C841),"")</f>
        <v/>
      </c>
      <c r="V841" s="29" t="str">
        <f t="shared" si="50"/>
        <v/>
      </c>
      <c r="W841" s="29" t="str">
        <f>IF(U841=1,COUNTIF($U$2:U841,1),"")</f>
        <v/>
      </c>
      <c r="X841" s="29" t="str">
        <f t="shared" si="51"/>
        <v/>
      </c>
      <c r="Y841" s="29" t="str">
        <f>IF(AND(LEFT($B841,7)="SBA 26/",$D841&lt;&gt;"",$F841&lt;&gt;""),COUNTIFS($D$2:$D841,$D841,$B$2:$B841,"SBA 26/*",$F$2:$F841,"&lt;&gt;"),"")</f>
        <v/>
      </c>
      <c r="Z841" s="29" t="str">
        <f>IF(Y841=1,COUNTIF($Y$2:Y841,1),"")</f>
        <v/>
      </c>
      <c r="AA841" s="29" t="str">
        <f>IF(AND(LEFT($B841,7)="SBA 26/",$C841&lt;&gt;"",$F841&lt;&gt;""),COUNTIFS($C$2:$C841,$C841,$B$2:$B841,"SBA 26/*",$F$2:$F841,"&lt;&gt;"),"")</f>
        <v/>
      </c>
      <c r="AB841" s="29" t="str">
        <f>IF(AA841=1,COUNTIF($AA$2:AA841,1),"")</f>
        <v/>
      </c>
    </row>
    <row r="842" spans="6:28" ht="78.75" customHeight="1" x14ac:dyDescent="0.2">
      <c r="F842" s="45" t="s">
        <v>3404</v>
      </c>
      <c r="T842" s="41"/>
      <c r="U842" s="29" t="str">
        <f>IF($C842&lt;&gt;"",COUNTIF($C$2:C842,C842),"")</f>
        <v/>
      </c>
      <c r="V842" s="29" t="str">
        <f t="shared" si="50"/>
        <v/>
      </c>
      <c r="W842" s="29" t="str">
        <f>IF(U842=1,COUNTIF($U$2:U842,1),"")</f>
        <v/>
      </c>
      <c r="X842" s="29" t="str">
        <f t="shared" si="51"/>
        <v/>
      </c>
      <c r="Y842" s="29" t="str">
        <f>IF(AND(LEFT($B842,7)="SBA 26/",$D842&lt;&gt;"",$F842&lt;&gt;""),COUNTIFS($D$2:$D842,$D842,$B$2:$B842,"SBA 26/*",$F$2:$F842,"&lt;&gt;"),"")</f>
        <v/>
      </c>
      <c r="Z842" s="29" t="str">
        <f>IF(Y842=1,COUNTIF($Y$2:Y842,1),"")</f>
        <v/>
      </c>
      <c r="AA842" s="29" t="str">
        <f>IF(AND(LEFT($B842,7)="SBA 26/",$C842&lt;&gt;"",$F842&lt;&gt;""),COUNTIFS($C$2:$C842,$C842,$B$2:$B842,"SBA 26/*",$F$2:$F842,"&lt;&gt;"),"")</f>
        <v/>
      </c>
      <c r="AB842" s="29" t="str">
        <f>IF(AA842=1,COUNTIF($AA$2:AA842,1),"")</f>
        <v/>
      </c>
    </row>
    <row r="843" spans="6:28" ht="31.5" customHeight="1" x14ac:dyDescent="0.2">
      <c r="F843" s="45" t="s">
        <v>3405</v>
      </c>
      <c r="T843" s="41"/>
      <c r="U843" s="29" t="str">
        <f>IF($C843&lt;&gt;"",COUNTIF($C$2:C843,C843),"")</f>
        <v/>
      </c>
      <c r="V843" s="29" t="str">
        <f t="shared" si="50"/>
        <v/>
      </c>
      <c r="W843" s="29" t="str">
        <f>IF(U843=1,COUNTIF($U$2:U843,1),"")</f>
        <v/>
      </c>
      <c r="X843" s="29" t="str">
        <f t="shared" si="51"/>
        <v/>
      </c>
      <c r="Y843" s="29" t="str">
        <f>IF(AND(LEFT($B843,7)="SBA 26/",$D843&lt;&gt;"",$F843&lt;&gt;""),COUNTIFS($D$2:$D843,$D843,$B$2:$B843,"SBA 26/*",$F$2:$F843,"&lt;&gt;"),"")</f>
        <v/>
      </c>
      <c r="Z843" s="29" t="str">
        <f>IF(Y843=1,COUNTIF($Y$2:Y843,1),"")</f>
        <v/>
      </c>
      <c r="AA843" s="29" t="str">
        <f>IF(AND(LEFT($B843,7)="SBA 26/",$C843&lt;&gt;"",$F843&lt;&gt;""),COUNTIFS($C$2:$C843,$C843,$B$2:$B843,"SBA 26/*",$F$2:$F843,"&lt;&gt;"),"")</f>
        <v/>
      </c>
      <c r="AB843" s="29" t="str">
        <f>IF(AA843=1,COUNTIF($AA$2:AA843,1),"")</f>
        <v/>
      </c>
    </row>
    <row r="844" spans="6:28" ht="31.5" customHeight="1" x14ac:dyDescent="0.2">
      <c r="F844" s="45" t="s">
        <v>3406</v>
      </c>
      <c r="T844" s="41"/>
      <c r="U844" s="29" t="str">
        <f>IF($C844&lt;&gt;"",COUNTIF($C$2:C844,C844),"")</f>
        <v/>
      </c>
      <c r="V844" s="29" t="str">
        <f t="shared" si="50"/>
        <v/>
      </c>
      <c r="W844" s="29" t="str">
        <f>IF(U844=1,COUNTIF($U$2:U844,1),"")</f>
        <v/>
      </c>
      <c r="X844" s="29" t="str">
        <f t="shared" si="51"/>
        <v/>
      </c>
      <c r="Y844" s="29" t="str">
        <f>IF(AND(LEFT($B844,7)="SBA 26/",$D844&lt;&gt;"",$F844&lt;&gt;""),COUNTIFS($D$2:$D844,$D844,$B$2:$B844,"SBA 26/*",$F$2:$F844,"&lt;&gt;"),"")</f>
        <v/>
      </c>
      <c r="Z844" s="29" t="str">
        <f>IF(Y844=1,COUNTIF($Y$2:Y844,1),"")</f>
        <v/>
      </c>
      <c r="AA844" s="29" t="str">
        <f>IF(AND(LEFT($B844,7)="SBA 26/",$C844&lt;&gt;"",$F844&lt;&gt;""),COUNTIFS($C$2:$C844,$C844,$B$2:$B844,"SBA 26/*",$F$2:$F844,"&lt;&gt;"),"")</f>
        <v/>
      </c>
      <c r="AB844" s="29" t="str">
        <f>IF(AA844=1,COUNTIF($AA$2:AA844,1),"")</f>
        <v/>
      </c>
    </row>
    <row r="845" spans="6:28" ht="31.5" customHeight="1" x14ac:dyDescent="0.2">
      <c r="F845" s="45" t="s">
        <v>3407</v>
      </c>
      <c r="T845" s="41"/>
      <c r="U845" s="29" t="str">
        <f>IF($C845&lt;&gt;"",COUNTIF($C$2:C845,C845),"")</f>
        <v/>
      </c>
      <c r="V845" s="29" t="str">
        <f t="shared" si="50"/>
        <v/>
      </c>
      <c r="W845" s="29" t="str">
        <f>IF(U845=1,COUNTIF($U$2:U845,1),"")</f>
        <v/>
      </c>
      <c r="X845" s="29" t="str">
        <f t="shared" si="51"/>
        <v/>
      </c>
      <c r="Y845" s="29" t="str">
        <f>IF(AND(LEFT($B845,7)="SBA 26/",$D845&lt;&gt;"",$F845&lt;&gt;""),COUNTIFS($D$2:$D845,$D845,$B$2:$B845,"SBA 26/*",$F$2:$F845,"&lt;&gt;"),"")</f>
        <v/>
      </c>
      <c r="Z845" s="29" t="str">
        <f>IF(Y845=1,COUNTIF($Y$2:Y845,1),"")</f>
        <v/>
      </c>
      <c r="AA845" s="29" t="str">
        <f>IF(AND(LEFT($B845,7)="SBA 26/",$C845&lt;&gt;"",$F845&lt;&gt;""),COUNTIFS($C$2:$C845,$C845,$B$2:$B845,"SBA 26/*",$F$2:$F845,"&lt;&gt;"),"")</f>
        <v/>
      </c>
      <c r="AB845" s="29" t="str">
        <f>IF(AA845=1,COUNTIF($AA$2:AA845,1),"")</f>
        <v/>
      </c>
    </row>
    <row r="846" spans="6:28" ht="31.5" customHeight="1" x14ac:dyDescent="0.2">
      <c r="F846" s="45" t="s">
        <v>3408</v>
      </c>
      <c r="T846" s="41"/>
      <c r="U846" s="29" t="str">
        <f>IF($C846&lt;&gt;"",COUNTIF($C$2:C846,C846),"")</f>
        <v/>
      </c>
      <c r="V846" s="29" t="str">
        <f t="shared" si="50"/>
        <v/>
      </c>
      <c r="W846" s="29" t="str">
        <f>IF(U846=1,COUNTIF($U$2:U846,1),"")</f>
        <v/>
      </c>
      <c r="X846" s="29" t="str">
        <f t="shared" si="51"/>
        <v/>
      </c>
      <c r="Y846" s="29" t="str">
        <f>IF(AND(LEFT($B846,7)="SBA 26/",$D846&lt;&gt;"",$F846&lt;&gt;""),COUNTIFS($D$2:$D846,$D846,$B$2:$B846,"SBA 26/*",$F$2:$F846,"&lt;&gt;"),"")</f>
        <v/>
      </c>
      <c r="Z846" s="29" t="str">
        <f>IF(Y846=1,COUNTIF($Y$2:Y846,1),"")</f>
        <v/>
      </c>
      <c r="AA846" s="29" t="str">
        <f>IF(AND(LEFT($B846,7)="SBA 26/",$C846&lt;&gt;"",$F846&lt;&gt;""),COUNTIFS($C$2:$C846,$C846,$B$2:$B846,"SBA 26/*",$F$2:$F846,"&lt;&gt;"),"")</f>
        <v/>
      </c>
      <c r="AB846" s="29" t="str">
        <f>IF(AA846=1,COUNTIF($AA$2:AA846,1),"")</f>
        <v/>
      </c>
    </row>
    <row r="847" spans="6:28" ht="31.5" customHeight="1" x14ac:dyDescent="0.2">
      <c r="F847" s="45" t="s">
        <v>3409</v>
      </c>
      <c r="T847" s="41"/>
      <c r="U847" s="29" t="str">
        <f>IF($C847&lt;&gt;"",COUNTIF($C$2:C847,C847),"")</f>
        <v/>
      </c>
      <c r="V847" s="29" t="str">
        <f t="shared" si="50"/>
        <v/>
      </c>
      <c r="W847" s="29" t="str">
        <f>IF(U847=1,COUNTIF($U$2:U847,1),"")</f>
        <v/>
      </c>
      <c r="X847" s="29" t="str">
        <f t="shared" si="51"/>
        <v/>
      </c>
      <c r="Y847" s="29" t="str">
        <f>IF(AND(LEFT($B847,7)="SBA 26/",$D847&lt;&gt;"",$F847&lt;&gt;""),COUNTIFS($D$2:$D847,$D847,$B$2:$B847,"SBA 26/*",$F$2:$F847,"&lt;&gt;"),"")</f>
        <v/>
      </c>
      <c r="Z847" s="29" t="str">
        <f>IF(Y847=1,COUNTIF($Y$2:Y847,1),"")</f>
        <v/>
      </c>
      <c r="AA847" s="29" t="str">
        <f>IF(AND(LEFT($B847,7)="SBA 26/",$C847&lt;&gt;"",$F847&lt;&gt;""),COUNTIFS($C$2:$C847,$C847,$B$2:$B847,"SBA 26/*",$F$2:$F847,"&lt;&gt;"),"")</f>
        <v/>
      </c>
      <c r="AB847" s="29" t="str">
        <f>IF(AA847=1,COUNTIF($AA$2:AA847,1),"")</f>
        <v/>
      </c>
    </row>
    <row r="848" spans="6:28" ht="31.5" customHeight="1" x14ac:dyDescent="0.2">
      <c r="F848" s="45" t="s">
        <v>3410</v>
      </c>
      <c r="T848" s="41"/>
      <c r="U848" s="29" t="str">
        <f>IF($C848&lt;&gt;"",COUNTIF($C$2:C848,C848),"")</f>
        <v/>
      </c>
      <c r="V848" s="29" t="str">
        <f t="shared" si="50"/>
        <v/>
      </c>
      <c r="W848" s="29" t="str">
        <f>IF(U848=1,COUNTIF($U$2:U848,1),"")</f>
        <v/>
      </c>
      <c r="X848" s="29" t="str">
        <f t="shared" si="51"/>
        <v/>
      </c>
      <c r="Y848" s="29" t="str">
        <f>IF(AND(LEFT($B848,7)="SBA 26/",$D848&lt;&gt;"",$F848&lt;&gt;""),COUNTIFS($D$2:$D848,$D848,$B$2:$B848,"SBA 26/*",$F$2:$F848,"&lt;&gt;"),"")</f>
        <v/>
      </c>
      <c r="Z848" s="29" t="str">
        <f>IF(Y848=1,COUNTIF($Y$2:Y848,1),"")</f>
        <v/>
      </c>
      <c r="AA848" s="29" t="str">
        <f>IF(AND(LEFT($B848,7)="SBA 26/",$C848&lt;&gt;"",$F848&lt;&gt;""),COUNTIFS($C$2:$C848,$C848,$B$2:$B848,"SBA 26/*",$F$2:$F848,"&lt;&gt;"),"")</f>
        <v/>
      </c>
      <c r="AB848" s="29" t="str">
        <f>IF(AA848=1,COUNTIF($AA$2:AA848,1),"")</f>
        <v/>
      </c>
    </row>
    <row r="849" spans="6:28" ht="47.25" customHeight="1" x14ac:dyDescent="0.2">
      <c r="F849" s="45" t="s">
        <v>3411</v>
      </c>
      <c r="T849" s="41"/>
      <c r="U849" s="29" t="str">
        <f>IF($C849&lt;&gt;"",COUNTIF($C$2:C849,C849),"")</f>
        <v/>
      </c>
      <c r="V849" s="29" t="str">
        <f t="shared" si="50"/>
        <v/>
      </c>
      <c r="W849" s="29" t="str">
        <f>IF(U849=1,COUNTIF($U$2:U849,1),"")</f>
        <v/>
      </c>
      <c r="X849" s="29" t="str">
        <f t="shared" si="51"/>
        <v/>
      </c>
      <c r="Y849" s="29" t="str">
        <f>IF(AND(LEFT($B849,7)="SBA 26/",$D849&lt;&gt;"",$F849&lt;&gt;""),COUNTIFS($D$2:$D849,$D849,$B$2:$B849,"SBA 26/*",$F$2:$F849,"&lt;&gt;"),"")</f>
        <v/>
      </c>
      <c r="Z849" s="29" t="str">
        <f>IF(Y849=1,COUNTIF($Y$2:Y849,1),"")</f>
        <v/>
      </c>
      <c r="AA849" s="29" t="str">
        <f>IF(AND(LEFT($B849,7)="SBA 26/",$C849&lt;&gt;"",$F849&lt;&gt;""),COUNTIFS($C$2:$C849,$C849,$B$2:$B849,"SBA 26/*",$F$2:$F849,"&lt;&gt;"),"")</f>
        <v/>
      </c>
      <c r="AB849" s="29" t="str">
        <f>IF(AA849=1,COUNTIF($AA$2:AA849,1),"")</f>
        <v/>
      </c>
    </row>
    <row r="850" spans="6:28" ht="47.25" customHeight="1" x14ac:dyDescent="0.2">
      <c r="F850" s="45" t="s">
        <v>3412</v>
      </c>
      <c r="T850" s="41"/>
      <c r="U850" s="29" t="str">
        <f>IF($C850&lt;&gt;"",COUNTIF($C$2:C850,C850),"")</f>
        <v/>
      </c>
      <c r="V850" s="29" t="str">
        <f t="shared" si="50"/>
        <v/>
      </c>
      <c r="W850" s="29" t="str">
        <f>IF(U850=1,COUNTIF($U$2:U850,1),"")</f>
        <v/>
      </c>
      <c r="X850" s="29" t="str">
        <f t="shared" si="51"/>
        <v/>
      </c>
      <c r="Y850" s="29" t="str">
        <f>IF(AND(LEFT($B850,7)="SBA 26/",$D850&lt;&gt;"",$F850&lt;&gt;""),COUNTIFS($D$2:$D850,$D850,$B$2:$B850,"SBA 26/*",$F$2:$F850,"&lt;&gt;"),"")</f>
        <v/>
      </c>
      <c r="Z850" s="29" t="str">
        <f>IF(Y850=1,COUNTIF($Y$2:Y850,1),"")</f>
        <v/>
      </c>
      <c r="AA850" s="29" t="str">
        <f>IF(AND(LEFT($B850,7)="SBA 26/",$C850&lt;&gt;"",$F850&lt;&gt;""),COUNTIFS($C$2:$C850,$C850,$B$2:$B850,"SBA 26/*",$F$2:$F850,"&lt;&gt;"),"")</f>
        <v/>
      </c>
      <c r="AB850" s="29" t="str">
        <f>IF(AA850=1,COUNTIF($AA$2:AA850,1),"")</f>
        <v/>
      </c>
    </row>
    <row r="851" spans="6:28" ht="47.25" customHeight="1" x14ac:dyDescent="0.2">
      <c r="F851" s="45" t="s">
        <v>3413</v>
      </c>
      <c r="T851" s="41"/>
      <c r="U851" s="29" t="str">
        <f>IF($C851&lt;&gt;"",COUNTIF($C$2:C851,C851),"")</f>
        <v/>
      </c>
      <c r="V851" s="29" t="str">
        <f t="shared" si="50"/>
        <v/>
      </c>
      <c r="W851" s="29" t="str">
        <f>IF(U851=1,COUNTIF($U$2:U851,1),"")</f>
        <v/>
      </c>
      <c r="X851" s="29" t="str">
        <f t="shared" si="51"/>
        <v/>
      </c>
      <c r="Y851" s="29" t="str">
        <f>IF(AND(LEFT($B851,7)="SBA 26/",$D851&lt;&gt;"",$F851&lt;&gt;""),COUNTIFS($D$2:$D851,$D851,$B$2:$B851,"SBA 26/*",$F$2:$F851,"&lt;&gt;"),"")</f>
        <v/>
      </c>
      <c r="Z851" s="29" t="str">
        <f>IF(Y851=1,COUNTIF($Y$2:Y851,1),"")</f>
        <v/>
      </c>
      <c r="AA851" s="29" t="str">
        <f>IF(AND(LEFT($B851,7)="SBA 26/",$C851&lt;&gt;"",$F851&lt;&gt;""),COUNTIFS($C$2:$C851,$C851,$B$2:$B851,"SBA 26/*",$F$2:$F851,"&lt;&gt;"),"")</f>
        <v/>
      </c>
      <c r="AB851" s="29" t="str">
        <f>IF(AA851=1,COUNTIF($AA$2:AA851,1),"")</f>
        <v/>
      </c>
    </row>
    <row r="852" spans="6:28" ht="78.75" customHeight="1" x14ac:dyDescent="0.2">
      <c r="F852" s="45" t="s">
        <v>3414</v>
      </c>
      <c r="T852" s="41"/>
      <c r="U852" s="29" t="str">
        <f>IF($C852&lt;&gt;"",COUNTIF($C$2:C852,C852),"")</f>
        <v/>
      </c>
      <c r="V852" s="29" t="str">
        <f t="shared" si="50"/>
        <v/>
      </c>
      <c r="W852" s="29" t="str">
        <f>IF(U852=1,COUNTIF($U$2:U852,1),"")</f>
        <v/>
      </c>
      <c r="X852" s="29" t="str">
        <f t="shared" si="51"/>
        <v/>
      </c>
      <c r="Y852" s="29" t="str">
        <f>IF(AND(LEFT($B852,7)="SBA 26/",$D852&lt;&gt;"",$F852&lt;&gt;""),COUNTIFS($D$2:$D852,$D852,$B$2:$B852,"SBA 26/*",$F$2:$F852,"&lt;&gt;"),"")</f>
        <v/>
      </c>
      <c r="Z852" s="29" t="str">
        <f>IF(Y852=1,COUNTIF($Y$2:Y852,1),"")</f>
        <v/>
      </c>
      <c r="AA852" s="29" t="str">
        <f>IF(AND(LEFT($B852,7)="SBA 26/",$C852&lt;&gt;"",$F852&lt;&gt;""),COUNTIFS($C$2:$C852,$C852,$B$2:$B852,"SBA 26/*",$F$2:$F852,"&lt;&gt;"),"")</f>
        <v/>
      </c>
      <c r="AB852" s="29" t="str">
        <f>IF(AA852=1,COUNTIF($AA$2:AA852,1),"")</f>
        <v/>
      </c>
    </row>
    <row r="853" spans="6:28" ht="47.25" customHeight="1" x14ac:dyDescent="0.2">
      <c r="F853" s="45" t="s">
        <v>3415</v>
      </c>
      <c r="T853" s="41"/>
      <c r="U853" s="29" t="str">
        <f>IF($C853&lt;&gt;"",COUNTIF($C$2:C853,C853),"")</f>
        <v/>
      </c>
      <c r="V853" s="29" t="str">
        <f t="shared" si="50"/>
        <v/>
      </c>
      <c r="W853" s="29" t="str">
        <f>IF(U853=1,COUNTIF($U$2:U853,1),"")</f>
        <v/>
      </c>
      <c r="X853" s="29" t="str">
        <f t="shared" si="51"/>
        <v/>
      </c>
      <c r="Y853" s="29" t="str">
        <f>IF(AND(LEFT($B853,7)="SBA 26/",$D853&lt;&gt;"",$F853&lt;&gt;""),COUNTIFS($D$2:$D853,$D853,$B$2:$B853,"SBA 26/*",$F$2:$F853,"&lt;&gt;"),"")</f>
        <v/>
      </c>
      <c r="Z853" s="29" t="str">
        <f>IF(Y853=1,COUNTIF($Y$2:Y853,1),"")</f>
        <v/>
      </c>
      <c r="AA853" s="29" t="str">
        <f>IF(AND(LEFT($B853,7)="SBA 26/",$C853&lt;&gt;"",$F853&lt;&gt;""),COUNTIFS($C$2:$C853,$C853,$B$2:$B853,"SBA 26/*",$F$2:$F853,"&lt;&gt;"),"")</f>
        <v/>
      </c>
      <c r="AB853" s="29" t="str">
        <f>IF(AA853=1,COUNTIF($AA$2:AA853,1),"")</f>
        <v/>
      </c>
    </row>
    <row r="854" spans="6:28" ht="47.25" customHeight="1" x14ac:dyDescent="0.2">
      <c r="F854" s="45" t="s">
        <v>3416</v>
      </c>
      <c r="T854" s="41"/>
      <c r="U854" s="29" t="str">
        <f>IF($C854&lt;&gt;"",COUNTIF($C$2:C854,C854),"")</f>
        <v/>
      </c>
      <c r="V854" s="29" t="str">
        <f t="shared" si="50"/>
        <v/>
      </c>
      <c r="W854" s="29" t="str">
        <f>IF(U854=1,COUNTIF($U$2:U854,1),"")</f>
        <v/>
      </c>
      <c r="X854" s="29" t="str">
        <f t="shared" si="51"/>
        <v/>
      </c>
      <c r="Y854" s="29" t="str">
        <f>IF(AND(LEFT($B854,7)="SBA 26/",$D854&lt;&gt;"",$F854&lt;&gt;""),COUNTIFS($D$2:$D854,$D854,$B$2:$B854,"SBA 26/*",$F$2:$F854,"&lt;&gt;"),"")</f>
        <v/>
      </c>
      <c r="Z854" s="29" t="str">
        <f>IF(Y854=1,COUNTIF($Y$2:Y854,1),"")</f>
        <v/>
      </c>
      <c r="AA854" s="29" t="str">
        <f>IF(AND(LEFT($B854,7)="SBA 26/",$C854&lt;&gt;"",$F854&lt;&gt;""),COUNTIFS($C$2:$C854,$C854,$B$2:$B854,"SBA 26/*",$F$2:$F854,"&lt;&gt;"),"")</f>
        <v/>
      </c>
      <c r="AB854" s="29" t="str">
        <f>IF(AA854=1,COUNTIF($AA$2:AA854,1),"")</f>
        <v/>
      </c>
    </row>
    <row r="855" spans="6:28" ht="47.25" customHeight="1" x14ac:dyDescent="0.2">
      <c r="F855" s="45" t="s">
        <v>3417</v>
      </c>
      <c r="T855" s="41"/>
      <c r="U855" s="29" t="str">
        <f>IF($C855&lt;&gt;"",COUNTIF($C$2:C855,C855),"")</f>
        <v/>
      </c>
      <c r="V855" s="29" t="str">
        <f t="shared" si="50"/>
        <v/>
      </c>
      <c r="W855" s="29" t="str">
        <f>IF(U855=1,COUNTIF($U$2:U855,1),"")</f>
        <v/>
      </c>
      <c r="X855" s="29" t="str">
        <f t="shared" si="51"/>
        <v/>
      </c>
      <c r="Y855" s="29" t="str">
        <f>IF(AND(LEFT($B855,7)="SBA 26/",$D855&lt;&gt;"",$F855&lt;&gt;""),COUNTIFS($D$2:$D855,$D855,$B$2:$B855,"SBA 26/*",$F$2:$F855,"&lt;&gt;"),"")</f>
        <v/>
      </c>
      <c r="Z855" s="29" t="str">
        <f>IF(Y855=1,COUNTIF($Y$2:Y855,1),"")</f>
        <v/>
      </c>
      <c r="AA855" s="29" t="str">
        <f>IF(AND(LEFT($B855,7)="SBA 26/",$C855&lt;&gt;"",$F855&lt;&gt;""),COUNTIFS($C$2:$C855,$C855,$B$2:$B855,"SBA 26/*",$F$2:$F855,"&lt;&gt;"),"")</f>
        <v/>
      </c>
      <c r="AB855" s="29" t="str">
        <f>IF(AA855=1,COUNTIF($AA$2:AA855,1),"")</f>
        <v/>
      </c>
    </row>
    <row r="856" spans="6:28" ht="47.25" customHeight="1" x14ac:dyDescent="0.2">
      <c r="F856" s="45" t="s">
        <v>3418</v>
      </c>
      <c r="T856" s="41"/>
      <c r="U856" s="29" t="str">
        <f>IF($C856&lt;&gt;"",COUNTIF($C$2:C856,C856),"")</f>
        <v/>
      </c>
      <c r="V856" s="29" t="str">
        <f t="shared" si="50"/>
        <v/>
      </c>
      <c r="W856" s="29" t="str">
        <f>IF(U856=1,COUNTIF($U$2:U856,1),"")</f>
        <v/>
      </c>
      <c r="X856" s="29" t="str">
        <f t="shared" si="51"/>
        <v/>
      </c>
      <c r="Y856" s="29" t="str">
        <f>IF(AND(LEFT($B856,7)="SBA 26/",$D856&lt;&gt;"",$F856&lt;&gt;""),COUNTIFS($D$2:$D856,$D856,$B$2:$B856,"SBA 26/*",$F$2:$F856,"&lt;&gt;"),"")</f>
        <v/>
      </c>
      <c r="Z856" s="29" t="str">
        <f>IF(Y856=1,COUNTIF($Y$2:Y856,1),"")</f>
        <v/>
      </c>
      <c r="AA856" s="29" t="str">
        <f>IF(AND(LEFT($B856,7)="SBA 26/",$C856&lt;&gt;"",$F856&lt;&gt;""),COUNTIFS($C$2:$C856,$C856,$B$2:$B856,"SBA 26/*",$F$2:$F856,"&lt;&gt;"),"")</f>
        <v/>
      </c>
      <c r="AB856" s="29" t="str">
        <f>IF(AA856=1,COUNTIF($AA$2:AA856,1),"")</f>
        <v/>
      </c>
    </row>
    <row r="857" spans="6:28" ht="31.5" customHeight="1" x14ac:dyDescent="0.2">
      <c r="F857" s="45" t="s">
        <v>3419</v>
      </c>
      <c r="T857" s="41"/>
      <c r="U857" s="29" t="str">
        <f>IF($C857&lt;&gt;"",COUNTIF($C$2:C857,C857),"")</f>
        <v/>
      </c>
      <c r="V857" s="29" t="str">
        <f t="shared" si="50"/>
        <v/>
      </c>
      <c r="W857" s="29" t="str">
        <f>IF(U857=1,COUNTIF($U$2:U857,1),"")</f>
        <v/>
      </c>
      <c r="X857" s="29" t="str">
        <f t="shared" si="51"/>
        <v/>
      </c>
      <c r="Y857" s="29" t="str">
        <f>IF(AND(LEFT($B857,7)="SBA 26/",$D857&lt;&gt;"",$F857&lt;&gt;""),COUNTIFS($D$2:$D857,$D857,$B$2:$B857,"SBA 26/*",$F$2:$F857,"&lt;&gt;"),"")</f>
        <v/>
      </c>
      <c r="Z857" s="29" t="str">
        <f>IF(Y857=1,COUNTIF($Y$2:Y857,1),"")</f>
        <v/>
      </c>
      <c r="AA857" s="29" t="str">
        <f>IF(AND(LEFT($B857,7)="SBA 26/",$C857&lt;&gt;"",$F857&lt;&gt;""),COUNTIFS($C$2:$C857,$C857,$B$2:$B857,"SBA 26/*",$F$2:$F857,"&lt;&gt;"),"")</f>
        <v/>
      </c>
      <c r="AB857" s="29" t="str">
        <f>IF(AA857=1,COUNTIF($AA$2:AA857,1),"")</f>
        <v/>
      </c>
    </row>
    <row r="858" spans="6:28" ht="47.25" customHeight="1" x14ac:dyDescent="0.2">
      <c r="F858" s="45" t="s">
        <v>3420</v>
      </c>
      <c r="T858" s="41"/>
      <c r="U858" s="29" t="str">
        <f>IF($C858&lt;&gt;"",COUNTIF($C$2:C858,C858),"")</f>
        <v/>
      </c>
      <c r="V858" s="29" t="str">
        <f t="shared" si="50"/>
        <v/>
      </c>
      <c r="W858" s="29" t="str">
        <f>IF(U858=1,COUNTIF($U$2:U858,1),"")</f>
        <v/>
      </c>
      <c r="X858" s="29" t="str">
        <f t="shared" si="51"/>
        <v/>
      </c>
      <c r="Y858" s="29" t="str">
        <f>IF(AND(LEFT($B858,7)="SBA 26/",$D858&lt;&gt;"",$F858&lt;&gt;""),COUNTIFS($D$2:$D858,$D858,$B$2:$B858,"SBA 26/*",$F$2:$F858,"&lt;&gt;"),"")</f>
        <v/>
      </c>
      <c r="Z858" s="29" t="str">
        <f>IF(Y858=1,COUNTIF($Y$2:Y858,1),"")</f>
        <v/>
      </c>
      <c r="AA858" s="29" t="str">
        <f>IF(AND(LEFT($B858,7)="SBA 26/",$C858&lt;&gt;"",$F858&lt;&gt;""),COUNTIFS($C$2:$C858,$C858,$B$2:$B858,"SBA 26/*",$F$2:$F858,"&lt;&gt;"),"")</f>
        <v/>
      </c>
      <c r="AB858" s="29" t="str">
        <f>IF(AA858=1,COUNTIF($AA$2:AA858,1),"")</f>
        <v/>
      </c>
    </row>
    <row r="859" spans="6:28" ht="31.5" customHeight="1" x14ac:dyDescent="0.2">
      <c r="F859" s="45" t="s">
        <v>3421</v>
      </c>
      <c r="T859" s="41"/>
      <c r="U859" s="29" t="str">
        <f>IF($C859&lt;&gt;"",COUNTIF($C$2:C859,C859),"")</f>
        <v/>
      </c>
      <c r="V859" s="29" t="str">
        <f t="shared" si="50"/>
        <v/>
      </c>
      <c r="W859" s="29" t="str">
        <f>IF(U859=1,COUNTIF($U$2:U859,1),"")</f>
        <v/>
      </c>
      <c r="X859" s="29" t="str">
        <f t="shared" si="51"/>
        <v/>
      </c>
      <c r="Y859" s="29" t="str">
        <f>IF(AND(LEFT($B859,7)="SBA 26/",$D859&lt;&gt;"",$F859&lt;&gt;""),COUNTIFS($D$2:$D859,$D859,$B$2:$B859,"SBA 26/*",$F$2:$F859,"&lt;&gt;"),"")</f>
        <v/>
      </c>
      <c r="Z859" s="29" t="str">
        <f>IF(Y859=1,COUNTIF($Y$2:Y859,1),"")</f>
        <v/>
      </c>
      <c r="AA859" s="29" t="str">
        <f>IF(AND(LEFT($B859,7)="SBA 26/",$C859&lt;&gt;"",$F859&lt;&gt;""),COUNTIFS($C$2:$C859,$C859,$B$2:$B859,"SBA 26/*",$F$2:$F859,"&lt;&gt;"),"")</f>
        <v/>
      </c>
      <c r="AB859" s="29" t="str">
        <f>IF(AA859=1,COUNTIF($AA$2:AA859,1),"")</f>
        <v/>
      </c>
    </row>
    <row r="860" spans="6:28" ht="110.25" customHeight="1" x14ac:dyDescent="0.2">
      <c r="F860" s="45" t="s">
        <v>3422</v>
      </c>
      <c r="T860" s="41"/>
      <c r="U860" s="29" t="str">
        <f>IF($C860&lt;&gt;"",COUNTIF($C$2:C860,C860),"")</f>
        <v/>
      </c>
      <c r="V860" s="29" t="str">
        <f t="shared" si="50"/>
        <v/>
      </c>
      <c r="W860" s="29" t="str">
        <f>IF(U860=1,COUNTIF($U$2:U860,1),"")</f>
        <v/>
      </c>
      <c r="X860" s="29" t="str">
        <f t="shared" si="51"/>
        <v/>
      </c>
      <c r="Y860" s="29" t="str">
        <f>IF(AND(LEFT($B860,7)="SBA 26/",$D860&lt;&gt;"",$F860&lt;&gt;""),COUNTIFS($D$2:$D860,$D860,$B$2:$B860,"SBA 26/*",$F$2:$F860,"&lt;&gt;"),"")</f>
        <v/>
      </c>
      <c r="Z860" s="29" t="str">
        <f>IF(Y860=1,COUNTIF($Y$2:Y860,1),"")</f>
        <v/>
      </c>
      <c r="AA860" s="29" t="str">
        <f>IF(AND(LEFT($B860,7)="SBA 26/",$C860&lt;&gt;"",$F860&lt;&gt;""),COUNTIFS($C$2:$C860,$C860,$B$2:$B860,"SBA 26/*",$F$2:$F860,"&lt;&gt;"),"")</f>
        <v/>
      </c>
      <c r="AB860" s="29" t="str">
        <f>IF(AA860=1,COUNTIF($AA$2:AA860,1),"")</f>
        <v/>
      </c>
    </row>
    <row r="861" spans="6:28" ht="31.5" customHeight="1" x14ac:dyDescent="0.2">
      <c r="F861" s="45" t="s">
        <v>3423</v>
      </c>
      <c r="T861" s="41"/>
      <c r="U861" s="29" t="str">
        <f>IF($C861&lt;&gt;"",COUNTIF($C$2:C861,C861),"")</f>
        <v/>
      </c>
      <c r="V861" s="29" t="str">
        <f t="shared" si="50"/>
        <v/>
      </c>
      <c r="W861" s="29" t="str">
        <f>IF(U861=1,COUNTIF($U$2:U861,1),"")</f>
        <v/>
      </c>
      <c r="X861" s="29" t="str">
        <f t="shared" si="51"/>
        <v/>
      </c>
      <c r="Y861" s="29" t="str">
        <f>IF(AND(LEFT($B861,7)="SBA 26/",$D861&lt;&gt;"",$F861&lt;&gt;""),COUNTIFS($D$2:$D861,$D861,$B$2:$B861,"SBA 26/*",$F$2:$F861,"&lt;&gt;"),"")</f>
        <v/>
      </c>
      <c r="Z861" s="29" t="str">
        <f>IF(Y861=1,COUNTIF($Y$2:Y861,1),"")</f>
        <v/>
      </c>
      <c r="AA861" s="29" t="str">
        <f>IF(AND(LEFT($B861,7)="SBA 26/",$C861&lt;&gt;"",$F861&lt;&gt;""),COUNTIFS($C$2:$C861,$C861,$B$2:$B861,"SBA 26/*",$F$2:$F861,"&lt;&gt;"),"")</f>
        <v/>
      </c>
      <c r="AB861" s="29" t="str">
        <f>IF(AA861=1,COUNTIF($AA$2:AA861,1),"")</f>
        <v/>
      </c>
    </row>
    <row r="862" spans="6:28" ht="47.25" customHeight="1" x14ac:dyDescent="0.2">
      <c r="F862" s="45" t="s">
        <v>3424</v>
      </c>
      <c r="T862" s="41"/>
      <c r="U862" s="29" t="str">
        <f>IF($C862&lt;&gt;"",COUNTIF($C$2:C862,C862),"")</f>
        <v/>
      </c>
      <c r="V862" s="29" t="str">
        <f t="shared" si="50"/>
        <v/>
      </c>
      <c r="W862" s="29" t="str">
        <f>IF(U862=1,COUNTIF($U$2:U862,1),"")</f>
        <v/>
      </c>
      <c r="X862" s="29" t="str">
        <f t="shared" si="51"/>
        <v/>
      </c>
      <c r="Y862" s="29" t="str">
        <f>IF(AND(LEFT($B862,7)="SBA 26/",$D862&lt;&gt;"",$F862&lt;&gt;""),COUNTIFS($D$2:$D862,$D862,$B$2:$B862,"SBA 26/*",$F$2:$F862,"&lt;&gt;"),"")</f>
        <v/>
      </c>
      <c r="Z862" s="29" t="str">
        <f>IF(Y862=1,COUNTIF($Y$2:Y862,1),"")</f>
        <v/>
      </c>
      <c r="AA862" s="29" t="str">
        <f>IF(AND(LEFT($B862,7)="SBA 26/",$C862&lt;&gt;"",$F862&lt;&gt;""),COUNTIFS($C$2:$C862,$C862,$B$2:$B862,"SBA 26/*",$F$2:$F862,"&lt;&gt;"),"")</f>
        <v/>
      </c>
      <c r="AB862" s="29" t="str">
        <f>IF(AA862=1,COUNTIF($AA$2:AA862,1),"")</f>
        <v/>
      </c>
    </row>
    <row r="863" spans="6:28" ht="31.5" customHeight="1" x14ac:dyDescent="0.2">
      <c r="F863" s="45" t="s">
        <v>3425</v>
      </c>
      <c r="T863" s="41"/>
      <c r="U863" s="29" t="str">
        <f>IF($C863&lt;&gt;"",COUNTIF($C$2:C863,C863),"")</f>
        <v/>
      </c>
      <c r="V863" s="29" t="str">
        <f t="shared" si="50"/>
        <v/>
      </c>
      <c r="W863" s="29" t="str">
        <f>IF(U863=1,COUNTIF($U$2:U863,1),"")</f>
        <v/>
      </c>
      <c r="X863" s="29" t="str">
        <f t="shared" si="51"/>
        <v/>
      </c>
      <c r="Y863" s="29" t="str">
        <f>IF(AND(LEFT($B863,7)="SBA 26/",$D863&lt;&gt;"",$F863&lt;&gt;""),COUNTIFS($D$2:$D863,$D863,$B$2:$B863,"SBA 26/*",$F$2:$F863,"&lt;&gt;"),"")</f>
        <v/>
      </c>
      <c r="Z863" s="29" t="str">
        <f>IF(Y863=1,COUNTIF($Y$2:Y863,1),"")</f>
        <v/>
      </c>
      <c r="AA863" s="29" t="str">
        <f>IF(AND(LEFT($B863,7)="SBA 26/",$C863&lt;&gt;"",$F863&lt;&gt;""),COUNTIFS($C$2:$C863,$C863,$B$2:$B863,"SBA 26/*",$F$2:$F863,"&lt;&gt;"),"")</f>
        <v/>
      </c>
      <c r="AB863" s="29" t="str">
        <f>IF(AA863=1,COUNTIF($AA$2:AA863,1),"")</f>
        <v/>
      </c>
    </row>
    <row r="864" spans="6:28" ht="47.25" customHeight="1" x14ac:dyDescent="0.2">
      <c r="F864" s="45" t="s">
        <v>3426</v>
      </c>
      <c r="T864" s="41"/>
      <c r="U864" s="29" t="str">
        <f>IF($C864&lt;&gt;"",COUNTIF($C$2:C864,C864),"")</f>
        <v/>
      </c>
      <c r="V864" s="29" t="str">
        <f t="shared" si="50"/>
        <v/>
      </c>
      <c r="W864" s="29" t="str">
        <f>IF(U864=1,COUNTIF($U$2:U864,1),"")</f>
        <v/>
      </c>
      <c r="X864" s="29" t="str">
        <f t="shared" si="51"/>
        <v/>
      </c>
      <c r="Y864" s="29" t="str">
        <f>IF(AND(LEFT($B864,7)="SBA 26/",$D864&lt;&gt;"",$F864&lt;&gt;""),COUNTIFS($D$2:$D864,$D864,$B$2:$B864,"SBA 26/*",$F$2:$F864,"&lt;&gt;"),"")</f>
        <v/>
      </c>
      <c r="Z864" s="29" t="str">
        <f>IF(Y864=1,COUNTIF($Y$2:Y864,1),"")</f>
        <v/>
      </c>
      <c r="AA864" s="29" t="str">
        <f>IF(AND(LEFT($B864,7)="SBA 26/",$C864&lt;&gt;"",$F864&lt;&gt;""),COUNTIFS($C$2:$C864,$C864,$B$2:$B864,"SBA 26/*",$F$2:$F864,"&lt;&gt;"),"")</f>
        <v/>
      </c>
      <c r="AB864" s="29" t="str">
        <f>IF(AA864=1,COUNTIF($AA$2:AA864,1),"")</f>
        <v/>
      </c>
    </row>
    <row r="865" spans="6:28" ht="63" customHeight="1" x14ac:dyDescent="0.2">
      <c r="F865" s="45" t="s">
        <v>3427</v>
      </c>
      <c r="T865" s="41"/>
      <c r="U865" s="29" t="str">
        <f>IF($C865&lt;&gt;"",COUNTIF($C$2:C865,C865),"")</f>
        <v/>
      </c>
      <c r="V865" s="29" t="str">
        <f t="shared" si="50"/>
        <v/>
      </c>
      <c r="W865" s="29" t="str">
        <f>IF(U865=1,COUNTIF($U$2:U865,1),"")</f>
        <v/>
      </c>
      <c r="X865" s="29" t="str">
        <f t="shared" si="51"/>
        <v/>
      </c>
      <c r="Y865" s="29" t="str">
        <f>IF(AND(LEFT($B865,7)="SBA 26/",$D865&lt;&gt;"",$F865&lt;&gt;""),COUNTIFS($D$2:$D865,$D865,$B$2:$B865,"SBA 26/*",$F$2:$F865,"&lt;&gt;"),"")</f>
        <v/>
      </c>
      <c r="Z865" s="29" t="str">
        <f>IF(Y865=1,COUNTIF($Y$2:Y865,1),"")</f>
        <v/>
      </c>
      <c r="AA865" s="29" t="str">
        <f>IF(AND(LEFT($B865,7)="SBA 26/",$C865&lt;&gt;"",$F865&lt;&gt;""),COUNTIFS($C$2:$C865,$C865,$B$2:$B865,"SBA 26/*",$F$2:$F865,"&lt;&gt;"),"")</f>
        <v/>
      </c>
      <c r="AB865" s="29" t="str">
        <f>IF(AA865=1,COUNTIF($AA$2:AA865,1),"")</f>
        <v/>
      </c>
    </row>
    <row r="866" spans="6:28" ht="63" customHeight="1" x14ac:dyDescent="0.2">
      <c r="F866" s="45" t="s">
        <v>3428</v>
      </c>
      <c r="T866" s="41"/>
      <c r="U866" s="29" t="str">
        <f>IF($C866&lt;&gt;"",COUNTIF($C$2:C866,C866),"")</f>
        <v/>
      </c>
      <c r="V866" s="29" t="str">
        <f t="shared" si="50"/>
        <v/>
      </c>
      <c r="W866" s="29" t="str">
        <f>IF(U866=1,COUNTIF($U$2:U866,1),"")</f>
        <v/>
      </c>
      <c r="X866" s="29" t="str">
        <f t="shared" si="51"/>
        <v/>
      </c>
      <c r="Y866" s="29" t="str">
        <f>IF(AND(LEFT($B866,7)="SBA 26/",$D866&lt;&gt;"",$F866&lt;&gt;""),COUNTIFS($D$2:$D866,$D866,$B$2:$B866,"SBA 26/*",$F$2:$F866,"&lt;&gt;"),"")</f>
        <v/>
      </c>
      <c r="Z866" s="29" t="str">
        <f>IF(Y866=1,COUNTIF($Y$2:Y866,1),"")</f>
        <v/>
      </c>
      <c r="AA866" s="29" t="str">
        <f>IF(AND(LEFT($B866,7)="SBA 26/",$C866&lt;&gt;"",$F866&lt;&gt;""),COUNTIFS($C$2:$C866,$C866,$B$2:$B866,"SBA 26/*",$F$2:$F866,"&lt;&gt;"),"")</f>
        <v/>
      </c>
      <c r="AB866" s="29" t="str">
        <f>IF(AA866=1,COUNTIF($AA$2:AA866,1),"")</f>
        <v/>
      </c>
    </row>
    <row r="867" spans="6:28" ht="31.5" customHeight="1" x14ac:dyDescent="0.2">
      <c r="F867" s="45" t="s">
        <v>3429</v>
      </c>
      <c r="T867" s="41"/>
      <c r="U867" s="29" t="str">
        <f>IF($C867&lt;&gt;"",COUNTIF($C$2:C867,C867),"")</f>
        <v/>
      </c>
      <c r="V867" s="29" t="str">
        <f t="shared" si="50"/>
        <v/>
      </c>
      <c r="W867" s="29" t="str">
        <f>IF(U867=1,COUNTIF($U$2:U867,1),"")</f>
        <v/>
      </c>
      <c r="X867" s="29" t="str">
        <f t="shared" si="51"/>
        <v/>
      </c>
      <c r="Y867" s="29" t="str">
        <f>IF(AND(LEFT($B867,7)="SBA 26/",$D867&lt;&gt;"",$F867&lt;&gt;""),COUNTIFS($D$2:$D867,$D867,$B$2:$B867,"SBA 26/*",$F$2:$F867,"&lt;&gt;"),"")</f>
        <v/>
      </c>
      <c r="Z867" s="29" t="str">
        <f>IF(Y867=1,COUNTIF($Y$2:Y867,1),"")</f>
        <v/>
      </c>
      <c r="AA867" s="29" t="str">
        <f>IF(AND(LEFT($B867,7)="SBA 26/",$C867&lt;&gt;"",$F867&lt;&gt;""),COUNTIFS($C$2:$C867,$C867,$B$2:$B867,"SBA 26/*",$F$2:$F867,"&lt;&gt;"),"")</f>
        <v/>
      </c>
      <c r="AB867" s="29" t="str">
        <f>IF(AA867=1,COUNTIF($AA$2:AA867,1),"")</f>
        <v/>
      </c>
    </row>
    <row r="868" spans="6:28" ht="47.25" customHeight="1" x14ac:dyDescent="0.2">
      <c r="F868" s="45" t="s">
        <v>3430</v>
      </c>
      <c r="T868" s="41"/>
      <c r="U868" s="29" t="str">
        <f>IF($C868&lt;&gt;"",COUNTIF($C$2:C868,C868),"")</f>
        <v/>
      </c>
      <c r="V868" s="29" t="str">
        <f t="shared" si="50"/>
        <v/>
      </c>
      <c r="W868" s="29" t="str">
        <f>IF(U868=1,COUNTIF($U$2:U868,1),"")</f>
        <v/>
      </c>
      <c r="X868" s="29" t="str">
        <f t="shared" si="51"/>
        <v/>
      </c>
      <c r="Y868" s="29" t="str">
        <f>IF(AND(LEFT($B868,7)="SBA 26/",$D868&lt;&gt;"",$F868&lt;&gt;""),COUNTIFS($D$2:$D868,$D868,$B$2:$B868,"SBA 26/*",$F$2:$F868,"&lt;&gt;"),"")</f>
        <v/>
      </c>
      <c r="Z868" s="29" t="str">
        <f>IF(Y868=1,COUNTIF($Y$2:Y868,1),"")</f>
        <v/>
      </c>
      <c r="AA868" s="29" t="str">
        <f>IF(AND(LEFT($B868,7)="SBA 26/",$C868&lt;&gt;"",$F868&lt;&gt;""),COUNTIFS($C$2:$C868,$C868,$B$2:$B868,"SBA 26/*",$F$2:$F868,"&lt;&gt;"),"")</f>
        <v/>
      </c>
      <c r="AB868" s="29" t="str">
        <f>IF(AA868=1,COUNTIF($AA$2:AA868,1),"")</f>
        <v/>
      </c>
    </row>
    <row r="869" spans="6:28" ht="47.25" customHeight="1" x14ac:dyDescent="0.2">
      <c r="F869" s="45" t="s">
        <v>3431</v>
      </c>
      <c r="T869" s="41"/>
      <c r="U869" s="29" t="str">
        <f>IF($C869&lt;&gt;"",COUNTIF($C$2:C869,C869),"")</f>
        <v/>
      </c>
      <c r="V869" s="29" t="str">
        <f t="shared" si="50"/>
        <v/>
      </c>
      <c r="W869" s="29" t="str">
        <f>IF(U869=1,COUNTIF($U$2:U869,1),"")</f>
        <v/>
      </c>
      <c r="X869" s="29" t="str">
        <f t="shared" si="51"/>
        <v/>
      </c>
      <c r="Y869" s="29" t="str">
        <f>IF(AND(LEFT($B869,7)="SBA 26/",$D869&lt;&gt;"",$F869&lt;&gt;""),COUNTIFS($D$2:$D869,$D869,$B$2:$B869,"SBA 26/*",$F$2:$F869,"&lt;&gt;"),"")</f>
        <v/>
      </c>
      <c r="Z869" s="29" t="str">
        <f>IF(Y869=1,COUNTIF($Y$2:Y869,1),"")</f>
        <v/>
      </c>
      <c r="AA869" s="29" t="str">
        <f>IF(AND(LEFT($B869,7)="SBA 26/",$C869&lt;&gt;"",$F869&lt;&gt;""),COUNTIFS($C$2:$C869,$C869,$B$2:$B869,"SBA 26/*",$F$2:$F869,"&lt;&gt;"),"")</f>
        <v/>
      </c>
      <c r="AB869" s="29" t="str">
        <f>IF(AA869=1,COUNTIF($AA$2:AA869,1),"")</f>
        <v/>
      </c>
    </row>
    <row r="870" spans="6:28" ht="47.25" customHeight="1" x14ac:dyDescent="0.2">
      <c r="F870" s="45" t="s">
        <v>3432</v>
      </c>
      <c r="T870" s="41"/>
      <c r="U870" s="29" t="str">
        <f>IF($C870&lt;&gt;"",COUNTIF($C$2:C870,C870),"")</f>
        <v/>
      </c>
      <c r="V870" s="29" t="str">
        <f t="shared" si="50"/>
        <v/>
      </c>
      <c r="W870" s="29" t="str">
        <f>IF(U870=1,COUNTIF($U$2:U870,1),"")</f>
        <v/>
      </c>
      <c r="X870" s="29" t="str">
        <f t="shared" si="51"/>
        <v/>
      </c>
      <c r="Y870" s="29" t="str">
        <f>IF(AND(LEFT($B870,7)="SBA 26/",$D870&lt;&gt;"",$F870&lt;&gt;""),COUNTIFS($D$2:$D870,$D870,$B$2:$B870,"SBA 26/*",$F$2:$F870,"&lt;&gt;"),"")</f>
        <v/>
      </c>
      <c r="Z870" s="29" t="str">
        <f>IF(Y870=1,COUNTIF($Y$2:Y870,1),"")</f>
        <v/>
      </c>
      <c r="AA870" s="29" t="str">
        <f>IF(AND(LEFT($B870,7)="SBA 26/",$C870&lt;&gt;"",$F870&lt;&gt;""),COUNTIFS($C$2:$C870,$C870,$B$2:$B870,"SBA 26/*",$F$2:$F870,"&lt;&gt;"),"")</f>
        <v/>
      </c>
      <c r="AB870" s="29" t="str">
        <f>IF(AA870=1,COUNTIF($AA$2:AA870,1),"")</f>
        <v/>
      </c>
    </row>
    <row r="871" spans="6:28" ht="47.25" customHeight="1" x14ac:dyDescent="0.2">
      <c r="F871" s="45" t="s">
        <v>3433</v>
      </c>
      <c r="T871" s="41"/>
      <c r="U871" s="29" t="str">
        <f>IF($C871&lt;&gt;"",COUNTIF($C$2:C871,C871),"")</f>
        <v/>
      </c>
      <c r="V871" s="29" t="str">
        <f t="shared" si="50"/>
        <v/>
      </c>
      <c r="W871" s="29" t="str">
        <f>IF(U871=1,COUNTIF($U$2:U871,1),"")</f>
        <v/>
      </c>
      <c r="X871" s="29" t="str">
        <f t="shared" si="51"/>
        <v/>
      </c>
      <c r="Y871" s="29" t="str">
        <f>IF(AND(LEFT($B871,7)="SBA 26/",$D871&lt;&gt;"",$F871&lt;&gt;""),COUNTIFS($D$2:$D871,$D871,$B$2:$B871,"SBA 26/*",$F$2:$F871,"&lt;&gt;"),"")</f>
        <v/>
      </c>
      <c r="Z871" s="29" t="str">
        <f>IF(Y871=1,COUNTIF($Y$2:Y871,1),"")</f>
        <v/>
      </c>
      <c r="AA871" s="29" t="str">
        <f>IF(AND(LEFT($B871,7)="SBA 26/",$C871&lt;&gt;"",$F871&lt;&gt;""),COUNTIFS($C$2:$C871,$C871,$B$2:$B871,"SBA 26/*",$F$2:$F871,"&lt;&gt;"),"")</f>
        <v/>
      </c>
      <c r="AB871" s="29" t="str">
        <f>IF(AA871=1,COUNTIF($AA$2:AA871,1),"")</f>
        <v/>
      </c>
    </row>
    <row r="872" spans="6:28" ht="47.25" customHeight="1" x14ac:dyDescent="0.2">
      <c r="F872" s="45" t="s">
        <v>3434</v>
      </c>
      <c r="T872" s="41"/>
      <c r="U872" s="29" t="str">
        <f>IF($C872&lt;&gt;"",COUNTIF($C$2:C872,C872),"")</f>
        <v/>
      </c>
      <c r="V872" s="29" t="str">
        <f t="shared" si="50"/>
        <v/>
      </c>
      <c r="W872" s="29" t="str">
        <f>IF(U872=1,COUNTIF($U$2:U872,1),"")</f>
        <v/>
      </c>
      <c r="X872" s="29" t="str">
        <f t="shared" si="51"/>
        <v/>
      </c>
      <c r="Y872" s="29" t="str">
        <f>IF(AND(LEFT($B872,7)="SBA 26/",$D872&lt;&gt;"",$F872&lt;&gt;""),COUNTIFS($D$2:$D872,$D872,$B$2:$B872,"SBA 26/*",$F$2:$F872,"&lt;&gt;"),"")</f>
        <v/>
      </c>
      <c r="Z872" s="29" t="str">
        <f>IF(Y872=1,COUNTIF($Y$2:Y872,1),"")</f>
        <v/>
      </c>
      <c r="AA872" s="29" t="str">
        <f>IF(AND(LEFT($B872,7)="SBA 26/",$C872&lt;&gt;"",$F872&lt;&gt;""),COUNTIFS($C$2:$C872,$C872,$B$2:$B872,"SBA 26/*",$F$2:$F872,"&lt;&gt;"),"")</f>
        <v/>
      </c>
      <c r="AB872" s="29" t="str">
        <f>IF(AA872=1,COUNTIF($AA$2:AA872,1),"")</f>
        <v/>
      </c>
    </row>
    <row r="873" spans="6:28" ht="47.25" customHeight="1" x14ac:dyDescent="0.2">
      <c r="F873" s="45" t="s">
        <v>3435</v>
      </c>
      <c r="T873" s="41"/>
      <c r="U873" s="29" t="str">
        <f>IF($C873&lt;&gt;"",COUNTIF($C$2:C873,C873),"")</f>
        <v/>
      </c>
      <c r="V873" s="29" t="str">
        <f t="shared" si="50"/>
        <v/>
      </c>
      <c r="W873" s="29" t="str">
        <f>IF(U873=1,COUNTIF($U$2:U873,1),"")</f>
        <v/>
      </c>
      <c r="X873" s="29" t="str">
        <f t="shared" si="51"/>
        <v/>
      </c>
      <c r="Y873" s="29" t="str">
        <f>IF(AND(LEFT($B873,7)="SBA 26/",$D873&lt;&gt;"",$F873&lt;&gt;""),COUNTIFS($D$2:$D873,$D873,$B$2:$B873,"SBA 26/*",$F$2:$F873,"&lt;&gt;"),"")</f>
        <v/>
      </c>
      <c r="Z873" s="29" t="str">
        <f>IF(Y873=1,COUNTIF($Y$2:Y873,1),"")</f>
        <v/>
      </c>
      <c r="AA873" s="29" t="str">
        <f>IF(AND(LEFT($B873,7)="SBA 26/",$C873&lt;&gt;"",$F873&lt;&gt;""),COUNTIFS($C$2:$C873,$C873,$B$2:$B873,"SBA 26/*",$F$2:$F873,"&lt;&gt;"),"")</f>
        <v/>
      </c>
      <c r="AB873" s="29" t="str">
        <f>IF(AA873=1,COUNTIF($AA$2:AA873,1),"")</f>
        <v/>
      </c>
    </row>
    <row r="874" spans="6:28" ht="63" customHeight="1" x14ac:dyDescent="0.2">
      <c r="F874" s="45" t="s">
        <v>3436</v>
      </c>
      <c r="T874" s="41"/>
      <c r="U874" s="29" t="str">
        <f>IF($C874&lt;&gt;"",COUNTIF($C$2:C874,C874),"")</f>
        <v/>
      </c>
      <c r="V874" s="29" t="str">
        <f t="shared" si="50"/>
        <v/>
      </c>
      <c r="W874" s="29" t="str">
        <f>IF(U874=1,COUNTIF($U$2:U874,1),"")</f>
        <v/>
      </c>
      <c r="X874" s="29" t="str">
        <f t="shared" si="51"/>
        <v/>
      </c>
      <c r="Y874" s="29" t="str">
        <f>IF(AND(LEFT($B874,7)="SBA 26/",$D874&lt;&gt;"",$F874&lt;&gt;""),COUNTIFS($D$2:$D874,$D874,$B$2:$B874,"SBA 26/*",$F$2:$F874,"&lt;&gt;"),"")</f>
        <v/>
      </c>
      <c r="Z874" s="29" t="str">
        <f>IF(Y874=1,COUNTIF($Y$2:Y874,1),"")</f>
        <v/>
      </c>
      <c r="AA874" s="29" t="str">
        <f>IF(AND(LEFT($B874,7)="SBA 26/",$C874&lt;&gt;"",$F874&lt;&gt;""),COUNTIFS($C$2:$C874,$C874,$B$2:$B874,"SBA 26/*",$F$2:$F874,"&lt;&gt;"),"")</f>
        <v/>
      </c>
      <c r="AB874" s="29" t="str">
        <f>IF(AA874=1,COUNTIF($AA$2:AA874,1),"")</f>
        <v/>
      </c>
    </row>
    <row r="875" spans="6:28" ht="63" customHeight="1" x14ac:dyDescent="0.2">
      <c r="F875" s="45" t="s">
        <v>3437</v>
      </c>
      <c r="T875" s="41"/>
      <c r="U875" s="29" t="str">
        <f>IF($C875&lt;&gt;"",COUNTIF($C$2:C875,C875),"")</f>
        <v/>
      </c>
      <c r="V875" s="29" t="str">
        <f t="shared" si="50"/>
        <v/>
      </c>
      <c r="W875" s="29" t="str">
        <f>IF(U875=1,COUNTIF($U$2:U875,1),"")</f>
        <v/>
      </c>
      <c r="X875" s="29" t="str">
        <f t="shared" si="51"/>
        <v/>
      </c>
      <c r="Y875" s="29" t="str">
        <f>IF(AND(LEFT($B875,7)="SBA 26/",$D875&lt;&gt;"",$F875&lt;&gt;""),COUNTIFS($D$2:$D875,$D875,$B$2:$B875,"SBA 26/*",$F$2:$F875,"&lt;&gt;"),"")</f>
        <v/>
      </c>
      <c r="Z875" s="29" t="str">
        <f>IF(Y875=1,COUNTIF($Y$2:Y875,1),"")</f>
        <v/>
      </c>
      <c r="AA875" s="29" t="str">
        <f>IF(AND(LEFT($B875,7)="SBA 26/",$C875&lt;&gt;"",$F875&lt;&gt;""),COUNTIFS($C$2:$C875,$C875,$B$2:$B875,"SBA 26/*",$F$2:$F875,"&lt;&gt;"),"")</f>
        <v/>
      </c>
      <c r="AB875" s="29" t="str">
        <f>IF(AA875=1,COUNTIF($AA$2:AA875,1),"")</f>
        <v/>
      </c>
    </row>
    <row r="876" spans="6:28" ht="78.75" customHeight="1" x14ac:dyDescent="0.2">
      <c r="F876" s="45" t="s">
        <v>3438</v>
      </c>
      <c r="T876" s="41"/>
      <c r="U876" s="29" t="str">
        <f>IF($C876&lt;&gt;"",COUNTIF($C$2:C876,C876),"")</f>
        <v/>
      </c>
      <c r="V876" s="29" t="str">
        <f t="shared" si="50"/>
        <v/>
      </c>
      <c r="W876" s="29" t="str">
        <f>IF(U876=1,COUNTIF($U$2:U876,1),"")</f>
        <v/>
      </c>
      <c r="X876" s="29" t="str">
        <f t="shared" si="51"/>
        <v/>
      </c>
      <c r="Y876" s="29" t="str">
        <f>IF(AND(LEFT($B876,7)="SBA 26/",$D876&lt;&gt;"",$F876&lt;&gt;""),COUNTIFS($D$2:$D876,$D876,$B$2:$B876,"SBA 26/*",$F$2:$F876,"&lt;&gt;"),"")</f>
        <v/>
      </c>
      <c r="Z876" s="29" t="str">
        <f>IF(Y876=1,COUNTIF($Y$2:Y876,1),"")</f>
        <v/>
      </c>
      <c r="AA876" s="29" t="str">
        <f>IF(AND(LEFT($B876,7)="SBA 26/",$C876&lt;&gt;"",$F876&lt;&gt;""),COUNTIFS($C$2:$C876,$C876,$B$2:$B876,"SBA 26/*",$F$2:$F876,"&lt;&gt;"),"")</f>
        <v/>
      </c>
      <c r="AB876" s="29" t="str">
        <f>IF(AA876=1,COUNTIF($AA$2:AA876,1),"")</f>
        <v/>
      </c>
    </row>
    <row r="877" spans="6:28" ht="47.25" customHeight="1" x14ac:dyDescent="0.2">
      <c r="F877" s="45" t="s">
        <v>3439</v>
      </c>
      <c r="T877" s="41"/>
      <c r="U877" s="29" t="str">
        <f>IF($C877&lt;&gt;"",COUNTIF($C$2:C877,C877),"")</f>
        <v/>
      </c>
      <c r="V877" s="29" t="str">
        <f t="shared" si="50"/>
        <v/>
      </c>
      <c r="W877" s="29" t="str">
        <f>IF(U877=1,COUNTIF($U$2:U877,1),"")</f>
        <v/>
      </c>
      <c r="X877" s="29" t="str">
        <f t="shared" si="51"/>
        <v/>
      </c>
      <c r="Y877" s="29" t="str">
        <f>IF(AND(LEFT($B877,7)="SBA 26/",$D877&lt;&gt;"",$F877&lt;&gt;""),COUNTIFS($D$2:$D877,$D877,$B$2:$B877,"SBA 26/*",$F$2:$F877,"&lt;&gt;"),"")</f>
        <v/>
      </c>
      <c r="Z877" s="29" t="str">
        <f>IF(Y877=1,COUNTIF($Y$2:Y877,1),"")</f>
        <v/>
      </c>
      <c r="AA877" s="29" t="str">
        <f>IF(AND(LEFT($B877,7)="SBA 26/",$C877&lt;&gt;"",$F877&lt;&gt;""),COUNTIFS($C$2:$C877,$C877,$B$2:$B877,"SBA 26/*",$F$2:$F877,"&lt;&gt;"),"")</f>
        <v/>
      </c>
      <c r="AB877" s="29" t="str">
        <f>IF(AA877=1,COUNTIF($AA$2:AA877,1),"")</f>
        <v/>
      </c>
    </row>
    <row r="878" spans="6:28" ht="31.5" customHeight="1" x14ac:dyDescent="0.2">
      <c r="F878" s="45" t="s">
        <v>3440</v>
      </c>
      <c r="T878" s="41"/>
      <c r="U878" s="29" t="str">
        <f>IF($C878&lt;&gt;"",COUNTIF($C$2:C878,C878),"")</f>
        <v/>
      </c>
      <c r="V878" s="29" t="str">
        <f t="shared" si="50"/>
        <v/>
      </c>
      <c r="W878" s="29" t="str">
        <f>IF(U878=1,COUNTIF($U$2:U878,1),"")</f>
        <v/>
      </c>
      <c r="X878" s="29" t="str">
        <f t="shared" si="51"/>
        <v/>
      </c>
      <c r="Y878" s="29" t="str">
        <f>IF(AND(LEFT($B878,7)="SBA 26/",$D878&lt;&gt;"",$F878&lt;&gt;""),COUNTIFS($D$2:$D878,$D878,$B$2:$B878,"SBA 26/*",$F$2:$F878,"&lt;&gt;"),"")</f>
        <v/>
      </c>
      <c r="Z878" s="29" t="str">
        <f>IF(Y878=1,COUNTIF($Y$2:Y878,1),"")</f>
        <v/>
      </c>
      <c r="AA878" s="29" t="str">
        <f>IF(AND(LEFT($B878,7)="SBA 26/",$C878&lt;&gt;"",$F878&lt;&gt;""),COUNTIFS($C$2:$C878,$C878,$B$2:$B878,"SBA 26/*",$F$2:$F878,"&lt;&gt;"),"")</f>
        <v/>
      </c>
      <c r="AB878" s="29" t="str">
        <f>IF(AA878=1,COUNTIF($AA$2:AA878,1),"")</f>
        <v/>
      </c>
    </row>
    <row r="879" spans="6:28" ht="31.5" customHeight="1" x14ac:dyDescent="0.2">
      <c r="F879" s="45" t="s">
        <v>3441</v>
      </c>
      <c r="T879" s="41"/>
      <c r="U879" s="29" t="str">
        <f>IF($C879&lt;&gt;"",COUNTIF($C$2:C879,C879),"")</f>
        <v/>
      </c>
      <c r="V879" s="29" t="str">
        <f t="shared" si="50"/>
        <v/>
      </c>
      <c r="W879" s="29" t="str">
        <f>IF(U879=1,COUNTIF($U$2:U879,1),"")</f>
        <v/>
      </c>
      <c r="X879" s="29" t="str">
        <f t="shared" si="51"/>
        <v/>
      </c>
      <c r="Y879" s="29" t="str">
        <f>IF(AND(LEFT($B879,7)="SBA 26/",$D879&lt;&gt;"",$F879&lt;&gt;""),COUNTIFS($D$2:$D879,$D879,$B$2:$B879,"SBA 26/*",$F$2:$F879,"&lt;&gt;"),"")</f>
        <v/>
      </c>
      <c r="Z879" s="29" t="str">
        <f>IF(Y879=1,COUNTIF($Y$2:Y879,1),"")</f>
        <v/>
      </c>
      <c r="AA879" s="29" t="str">
        <f>IF(AND(LEFT($B879,7)="SBA 26/",$C879&lt;&gt;"",$F879&lt;&gt;""),COUNTIFS($C$2:$C879,$C879,$B$2:$B879,"SBA 26/*",$F$2:$F879,"&lt;&gt;"),"")</f>
        <v/>
      </c>
      <c r="AB879" s="29" t="str">
        <f>IF(AA879=1,COUNTIF($AA$2:AA879,1),"")</f>
        <v/>
      </c>
    </row>
    <row r="880" spans="6:28" ht="20.25" customHeight="1" x14ac:dyDescent="0.2">
      <c r="F880" s="45" t="s">
        <v>3442</v>
      </c>
      <c r="T880" s="41"/>
      <c r="U880" s="29" t="str">
        <f>IF($C880&lt;&gt;"",COUNTIF($C$2:C880,C880),"")</f>
        <v/>
      </c>
      <c r="V880" s="29" t="str">
        <f t="shared" si="50"/>
        <v/>
      </c>
      <c r="W880" s="29" t="str">
        <f>IF(U880=1,COUNTIF($U$2:U880,1),"")</f>
        <v/>
      </c>
      <c r="X880" s="29" t="str">
        <f t="shared" si="51"/>
        <v/>
      </c>
      <c r="Y880" s="29" t="str">
        <f>IF(AND(LEFT($B880,7)="SBA 26/",$D880&lt;&gt;"",$F880&lt;&gt;""),COUNTIFS($D$2:$D880,$D880,$B$2:$B880,"SBA 26/*",$F$2:$F880,"&lt;&gt;"),"")</f>
        <v/>
      </c>
      <c r="Z880" s="29" t="str">
        <f>IF(Y880=1,COUNTIF($Y$2:Y880,1),"")</f>
        <v/>
      </c>
      <c r="AA880" s="29" t="str">
        <f>IF(AND(LEFT($B880,7)="SBA 26/",$C880&lt;&gt;"",$F880&lt;&gt;""),COUNTIFS($C$2:$C880,$C880,$B$2:$B880,"SBA 26/*",$F$2:$F880,"&lt;&gt;"),"")</f>
        <v/>
      </c>
      <c r="AB880" s="29" t="str">
        <f>IF(AA880=1,COUNTIF($AA$2:AA880,1),"")</f>
        <v/>
      </c>
    </row>
    <row r="881" spans="6:28" ht="31.5" customHeight="1" x14ac:dyDescent="0.2">
      <c r="F881" s="45" t="s">
        <v>3443</v>
      </c>
      <c r="T881" s="41"/>
      <c r="U881" s="29" t="str">
        <f>IF($C881&lt;&gt;"",COUNTIF($C$2:C881,C881),"")</f>
        <v/>
      </c>
      <c r="V881" s="29" t="str">
        <f t="shared" si="50"/>
        <v/>
      </c>
      <c r="W881" s="29" t="str">
        <f>IF(U881=1,COUNTIF($U$2:U881,1),"")</f>
        <v/>
      </c>
      <c r="X881" s="29" t="str">
        <f t="shared" si="51"/>
        <v/>
      </c>
      <c r="Y881" s="29" t="str">
        <f>IF(AND(LEFT($B881,7)="SBA 26/",$D881&lt;&gt;"",$F881&lt;&gt;""),COUNTIFS($D$2:$D881,$D881,$B$2:$B881,"SBA 26/*",$F$2:$F881,"&lt;&gt;"),"")</f>
        <v/>
      </c>
      <c r="Z881" s="29" t="str">
        <f>IF(Y881=1,COUNTIF($Y$2:Y881,1),"")</f>
        <v/>
      </c>
      <c r="AA881" s="29" t="str">
        <f>IF(AND(LEFT($B881,7)="SBA 26/",$C881&lt;&gt;"",$F881&lt;&gt;""),COUNTIFS($C$2:$C881,$C881,$B$2:$B881,"SBA 26/*",$F$2:$F881,"&lt;&gt;"),"")</f>
        <v/>
      </c>
      <c r="AB881" s="29" t="str">
        <f>IF(AA881=1,COUNTIF($AA$2:AA881,1),"")</f>
        <v/>
      </c>
    </row>
    <row r="882" spans="6:28" ht="47.25" customHeight="1" x14ac:dyDescent="0.2">
      <c r="F882" s="45" t="s">
        <v>3444</v>
      </c>
      <c r="T882" s="41"/>
      <c r="U882" s="29" t="str">
        <f>IF($C882&lt;&gt;"",COUNTIF($C$2:C882,C882),"")</f>
        <v/>
      </c>
      <c r="V882" s="29" t="str">
        <f t="shared" si="50"/>
        <v/>
      </c>
      <c r="W882" s="29" t="str">
        <f>IF(U882=1,COUNTIF($U$2:U882,1),"")</f>
        <v/>
      </c>
      <c r="X882" s="29" t="str">
        <f t="shared" si="51"/>
        <v/>
      </c>
      <c r="Y882" s="29" t="str">
        <f>IF(AND(LEFT($B882,7)="SBA 26/",$D882&lt;&gt;"",$F882&lt;&gt;""),COUNTIFS($D$2:$D882,$D882,$B$2:$B882,"SBA 26/*",$F$2:$F882,"&lt;&gt;"),"")</f>
        <v/>
      </c>
      <c r="Z882" s="29" t="str">
        <f>IF(Y882=1,COUNTIF($Y$2:Y882,1),"")</f>
        <v/>
      </c>
      <c r="AA882" s="29" t="str">
        <f>IF(AND(LEFT($B882,7)="SBA 26/",$C882&lt;&gt;"",$F882&lt;&gt;""),COUNTIFS($C$2:$C882,$C882,$B$2:$B882,"SBA 26/*",$F$2:$F882,"&lt;&gt;"),"")</f>
        <v/>
      </c>
      <c r="AB882" s="29" t="str">
        <f>IF(AA882=1,COUNTIF($AA$2:AA882,1),"")</f>
        <v/>
      </c>
    </row>
    <row r="883" spans="6:28" ht="47.25" customHeight="1" x14ac:dyDescent="0.2">
      <c r="F883" s="45" t="s">
        <v>3445</v>
      </c>
      <c r="T883" s="41"/>
      <c r="U883" s="29" t="str">
        <f>IF($C883&lt;&gt;"",COUNTIF($C$2:C883,C883),"")</f>
        <v/>
      </c>
      <c r="V883" s="29" t="str">
        <f t="shared" si="50"/>
        <v/>
      </c>
      <c r="W883" s="29" t="str">
        <f>IF(U883=1,COUNTIF($U$2:U883,1),"")</f>
        <v/>
      </c>
      <c r="X883" s="29" t="str">
        <f t="shared" si="51"/>
        <v/>
      </c>
      <c r="Y883" s="29" t="str">
        <f>IF(AND(LEFT($B883,7)="SBA 26/",$D883&lt;&gt;"",$F883&lt;&gt;""),COUNTIFS($D$2:$D883,$D883,$B$2:$B883,"SBA 26/*",$F$2:$F883,"&lt;&gt;"),"")</f>
        <v/>
      </c>
      <c r="Z883" s="29" t="str">
        <f>IF(Y883=1,COUNTIF($Y$2:Y883,1),"")</f>
        <v/>
      </c>
      <c r="AA883" s="29" t="str">
        <f>IF(AND(LEFT($B883,7)="SBA 26/",$C883&lt;&gt;"",$F883&lt;&gt;""),COUNTIFS($C$2:$C883,$C883,$B$2:$B883,"SBA 26/*",$F$2:$F883,"&lt;&gt;"),"")</f>
        <v/>
      </c>
      <c r="AB883" s="29" t="str">
        <f>IF(AA883=1,COUNTIF($AA$2:AA883,1),"")</f>
        <v/>
      </c>
    </row>
    <row r="884" spans="6:28" ht="47.25" customHeight="1" x14ac:dyDescent="0.2">
      <c r="F884" s="45" t="s">
        <v>3446</v>
      </c>
      <c r="T884" s="41"/>
      <c r="U884" s="29" t="str">
        <f>IF($C884&lt;&gt;"",COUNTIF($C$2:C884,C884),"")</f>
        <v/>
      </c>
      <c r="V884" s="29" t="str">
        <f t="shared" si="50"/>
        <v/>
      </c>
      <c r="W884" s="29" t="str">
        <f>IF(U884=1,COUNTIF($U$2:U884,1),"")</f>
        <v/>
      </c>
      <c r="X884" s="29" t="str">
        <f t="shared" si="51"/>
        <v/>
      </c>
      <c r="Y884" s="29" t="str">
        <f>IF(AND(LEFT($B884,7)="SBA 26/",$D884&lt;&gt;"",$F884&lt;&gt;""),COUNTIFS($D$2:$D884,$D884,$B$2:$B884,"SBA 26/*",$F$2:$F884,"&lt;&gt;"),"")</f>
        <v/>
      </c>
      <c r="Z884" s="29" t="str">
        <f>IF(Y884=1,COUNTIF($Y$2:Y884,1),"")</f>
        <v/>
      </c>
      <c r="AA884" s="29" t="str">
        <f>IF(AND(LEFT($B884,7)="SBA 26/",$C884&lt;&gt;"",$F884&lt;&gt;""),COUNTIFS($C$2:$C884,$C884,$B$2:$B884,"SBA 26/*",$F$2:$F884,"&lt;&gt;"),"")</f>
        <v/>
      </c>
      <c r="AB884" s="29" t="str">
        <f>IF(AA884=1,COUNTIF($AA$2:AA884,1),"")</f>
        <v/>
      </c>
    </row>
    <row r="885" spans="6:28" ht="47.25" customHeight="1" x14ac:dyDescent="0.2">
      <c r="F885" s="45" t="s">
        <v>3447</v>
      </c>
      <c r="T885" s="41"/>
      <c r="U885" s="29" t="str">
        <f>IF($C885&lt;&gt;"",COUNTIF($C$2:C885,C885),"")</f>
        <v/>
      </c>
      <c r="V885" s="29" t="str">
        <f t="shared" si="50"/>
        <v/>
      </c>
      <c r="W885" s="29" t="str">
        <f>IF(U885=1,COUNTIF($U$2:U885,1),"")</f>
        <v/>
      </c>
      <c r="X885" s="29" t="str">
        <f t="shared" si="51"/>
        <v/>
      </c>
      <c r="Y885" s="29" t="str">
        <f>IF(AND(LEFT($B885,7)="SBA 26/",$D885&lt;&gt;"",$F885&lt;&gt;""),COUNTIFS($D$2:$D885,$D885,$B$2:$B885,"SBA 26/*",$F$2:$F885,"&lt;&gt;"),"")</f>
        <v/>
      </c>
      <c r="Z885" s="29" t="str">
        <f>IF(Y885=1,COUNTIF($Y$2:Y885,1),"")</f>
        <v/>
      </c>
      <c r="AA885" s="29" t="str">
        <f>IF(AND(LEFT($B885,7)="SBA 26/",$C885&lt;&gt;"",$F885&lt;&gt;""),COUNTIFS($C$2:$C885,$C885,$B$2:$B885,"SBA 26/*",$F$2:$F885,"&lt;&gt;"),"")</f>
        <v/>
      </c>
      <c r="AB885" s="29" t="str">
        <f>IF(AA885=1,COUNTIF($AA$2:AA885,1),"")</f>
        <v/>
      </c>
    </row>
    <row r="886" spans="6:28" ht="47.25" customHeight="1" x14ac:dyDescent="0.2">
      <c r="F886" s="45" t="s">
        <v>3448</v>
      </c>
      <c r="T886" s="41"/>
      <c r="U886" s="29" t="str">
        <f>IF($C886&lt;&gt;"",COUNTIF($C$2:C886,C886),"")</f>
        <v/>
      </c>
      <c r="V886" s="29" t="str">
        <f t="shared" si="50"/>
        <v/>
      </c>
      <c r="W886" s="29" t="str">
        <f>IF(U886=1,COUNTIF($U$2:U886,1),"")</f>
        <v/>
      </c>
      <c r="X886" s="29" t="str">
        <f t="shared" si="51"/>
        <v/>
      </c>
      <c r="Y886" s="29" t="str">
        <f>IF(AND(LEFT($B886,7)="SBA 26/",$D886&lt;&gt;"",$F886&lt;&gt;""),COUNTIFS($D$2:$D886,$D886,$B$2:$B886,"SBA 26/*",$F$2:$F886,"&lt;&gt;"),"")</f>
        <v/>
      </c>
      <c r="Z886" s="29" t="str">
        <f>IF(Y886=1,COUNTIF($Y$2:Y886,1),"")</f>
        <v/>
      </c>
      <c r="AA886" s="29" t="str">
        <f>IF(AND(LEFT($B886,7)="SBA 26/",$C886&lt;&gt;"",$F886&lt;&gt;""),COUNTIFS($C$2:$C886,$C886,$B$2:$B886,"SBA 26/*",$F$2:$F886,"&lt;&gt;"),"")</f>
        <v/>
      </c>
      <c r="AB886" s="29" t="str">
        <f>IF(AA886=1,COUNTIF($AA$2:AA886,1),"")</f>
        <v/>
      </c>
    </row>
    <row r="887" spans="6:28" ht="47.25" customHeight="1" x14ac:dyDescent="0.2">
      <c r="F887" s="45" t="s">
        <v>3449</v>
      </c>
      <c r="T887" s="41"/>
      <c r="U887" s="29" t="str">
        <f>IF($C887&lt;&gt;"",COUNTIF($C$2:C887,C887),"")</f>
        <v/>
      </c>
      <c r="V887" s="29" t="str">
        <f t="shared" si="50"/>
        <v/>
      </c>
      <c r="W887" s="29" t="str">
        <f>IF(U887=1,COUNTIF($U$2:U887,1),"")</f>
        <v/>
      </c>
      <c r="X887" s="29" t="str">
        <f t="shared" si="51"/>
        <v/>
      </c>
      <c r="Y887" s="29" t="str">
        <f>IF(AND(LEFT($B887,7)="SBA 26/",$D887&lt;&gt;"",$F887&lt;&gt;""),COUNTIFS($D$2:$D887,$D887,$B$2:$B887,"SBA 26/*",$F$2:$F887,"&lt;&gt;"),"")</f>
        <v/>
      </c>
      <c r="Z887" s="29" t="str">
        <f>IF(Y887=1,COUNTIF($Y$2:Y887,1),"")</f>
        <v/>
      </c>
      <c r="AA887" s="29" t="str">
        <f>IF(AND(LEFT($B887,7)="SBA 26/",$C887&lt;&gt;"",$F887&lt;&gt;""),COUNTIFS($C$2:$C887,$C887,$B$2:$B887,"SBA 26/*",$F$2:$F887,"&lt;&gt;"),"")</f>
        <v/>
      </c>
      <c r="AB887" s="29" t="str">
        <f>IF(AA887=1,COUNTIF($AA$2:AA887,1),"")</f>
        <v/>
      </c>
    </row>
    <row r="888" spans="6:28" ht="31.5" customHeight="1" x14ac:dyDescent="0.2">
      <c r="F888" s="45" t="s">
        <v>3450</v>
      </c>
      <c r="T888" s="41"/>
      <c r="U888" s="29" t="str">
        <f>IF($C888&lt;&gt;"",COUNTIF($C$2:C888,C888),"")</f>
        <v/>
      </c>
      <c r="V888" s="29" t="str">
        <f t="shared" si="50"/>
        <v/>
      </c>
      <c r="W888" s="29" t="str">
        <f>IF(U888=1,COUNTIF($U$2:U888,1),"")</f>
        <v/>
      </c>
      <c r="X888" s="29" t="str">
        <f t="shared" si="51"/>
        <v/>
      </c>
      <c r="Y888" s="29" t="str">
        <f>IF(AND(LEFT($B888,7)="SBA 26/",$D888&lt;&gt;"",$F888&lt;&gt;""),COUNTIFS($D$2:$D888,$D888,$B$2:$B888,"SBA 26/*",$F$2:$F888,"&lt;&gt;"),"")</f>
        <v/>
      </c>
      <c r="Z888" s="29" t="str">
        <f>IF(Y888=1,COUNTIF($Y$2:Y888,1),"")</f>
        <v/>
      </c>
      <c r="AA888" s="29" t="str">
        <f>IF(AND(LEFT($B888,7)="SBA 26/",$C888&lt;&gt;"",$F888&lt;&gt;""),COUNTIFS($C$2:$C888,$C888,$B$2:$B888,"SBA 26/*",$F$2:$F888,"&lt;&gt;"),"")</f>
        <v/>
      </c>
      <c r="AB888" s="29" t="str">
        <f>IF(AA888=1,COUNTIF($AA$2:AA888,1),"")</f>
        <v/>
      </c>
    </row>
    <row r="889" spans="6:28" ht="47.25" customHeight="1" x14ac:dyDescent="0.2">
      <c r="F889" s="45" t="s">
        <v>3451</v>
      </c>
      <c r="T889" s="41"/>
      <c r="U889" s="29" t="str">
        <f>IF($C889&lt;&gt;"",COUNTIF($C$2:C889,C889),"")</f>
        <v/>
      </c>
      <c r="V889" s="29" t="str">
        <f t="shared" si="50"/>
        <v/>
      </c>
      <c r="W889" s="29" t="str">
        <f>IF(U889=1,COUNTIF($U$2:U889,1),"")</f>
        <v/>
      </c>
      <c r="X889" s="29" t="str">
        <f t="shared" si="51"/>
        <v/>
      </c>
      <c r="Y889" s="29" t="str">
        <f>IF(AND(LEFT($B889,7)="SBA 26/",$D889&lt;&gt;"",$F889&lt;&gt;""),COUNTIFS($D$2:$D889,$D889,$B$2:$B889,"SBA 26/*",$F$2:$F889,"&lt;&gt;"),"")</f>
        <v/>
      </c>
      <c r="Z889" s="29" t="str">
        <f>IF(Y889=1,COUNTIF($Y$2:Y889,1),"")</f>
        <v/>
      </c>
      <c r="AA889" s="29" t="str">
        <f>IF(AND(LEFT($B889,7)="SBA 26/",$C889&lt;&gt;"",$F889&lt;&gt;""),COUNTIFS($C$2:$C889,$C889,$B$2:$B889,"SBA 26/*",$F$2:$F889,"&lt;&gt;"),"")</f>
        <v/>
      </c>
      <c r="AB889" s="29" t="str">
        <f>IF(AA889=1,COUNTIF($AA$2:AA889,1),"")</f>
        <v/>
      </c>
    </row>
    <row r="890" spans="6:28" ht="47.25" customHeight="1" x14ac:dyDescent="0.2">
      <c r="F890" s="45" t="s">
        <v>3452</v>
      </c>
      <c r="T890" s="41"/>
      <c r="U890" s="29" t="str">
        <f>IF($C890&lt;&gt;"",COUNTIF($C$2:C890,C890),"")</f>
        <v/>
      </c>
      <c r="V890" s="29" t="str">
        <f t="shared" si="50"/>
        <v/>
      </c>
      <c r="W890" s="29" t="str">
        <f>IF(U890=1,COUNTIF($U$2:U890,1),"")</f>
        <v/>
      </c>
      <c r="X890" s="29" t="str">
        <f t="shared" si="51"/>
        <v/>
      </c>
      <c r="Y890" s="29" t="str">
        <f>IF(AND(LEFT($B890,7)="SBA 26/",$D890&lt;&gt;"",$F890&lt;&gt;""),COUNTIFS($D$2:$D890,$D890,$B$2:$B890,"SBA 26/*",$F$2:$F890,"&lt;&gt;"),"")</f>
        <v/>
      </c>
      <c r="Z890" s="29" t="str">
        <f>IF(Y890=1,COUNTIF($Y$2:Y890,1),"")</f>
        <v/>
      </c>
      <c r="AA890" s="29" t="str">
        <f>IF(AND(LEFT($B890,7)="SBA 26/",$C890&lt;&gt;"",$F890&lt;&gt;""),COUNTIFS($C$2:$C890,$C890,$B$2:$B890,"SBA 26/*",$F$2:$F890,"&lt;&gt;"),"")</f>
        <v/>
      </c>
      <c r="AB890" s="29" t="str">
        <f>IF(AA890=1,COUNTIF($AA$2:AA890,1),"")</f>
        <v/>
      </c>
    </row>
    <row r="891" spans="6:28" ht="47.25" customHeight="1" x14ac:dyDescent="0.2">
      <c r="F891" s="45" t="s">
        <v>3453</v>
      </c>
      <c r="T891" s="41"/>
      <c r="U891" s="29" t="str">
        <f>IF($C891&lt;&gt;"",COUNTIF($C$2:C891,C891),"")</f>
        <v/>
      </c>
      <c r="V891" s="29" t="str">
        <f t="shared" si="50"/>
        <v/>
      </c>
      <c r="W891" s="29" t="str">
        <f>IF(U891=1,COUNTIF($U$2:U891,1),"")</f>
        <v/>
      </c>
      <c r="X891" s="29" t="str">
        <f t="shared" si="51"/>
        <v/>
      </c>
      <c r="Y891" s="29" t="str">
        <f>IF(AND(LEFT($B891,7)="SBA 26/",$D891&lt;&gt;"",$F891&lt;&gt;""),COUNTIFS($D$2:$D891,$D891,$B$2:$B891,"SBA 26/*",$F$2:$F891,"&lt;&gt;"),"")</f>
        <v/>
      </c>
      <c r="Z891" s="29" t="str">
        <f>IF(Y891=1,COUNTIF($Y$2:Y891,1),"")</f>
        <v/>
      </c>
      <c r="AA891" s="29" t="str">
        <f>IF(AND(LEFT($B891,7)="SBA 26/",$C891&lt;&gt;"",$F891&lt;&gt;""),COUNTIFS($C$2:$C891,$C891,$B$2:$B891,"SBA 26/*",$F$2:$F891,"&lt;&gt;"),"")</f>
        <v/>
      </c>
      <c r="AB891" s="29" t="str">
        <f>IF(AA891=1,COUNTIF($AA$2:AA891,1),"")</f>
        <v/>
      </c>
    </row>
    <row r="892" spans="6:28" ht="47.25" customHeight="1" x14ac:dyDescent="0.2">
      <c r="F892" s="45" t="s">
        <v>3454</v>
      </c>
      <c r="T892" s="41"/>
      <c r="U892" s="29" t="str">
        <f>IF($C892&lt;&gt;"",COUNTIF($C$2:C892,C892),"")</f>
        <v/>
      </c>
      <c r="V892" s="29" t="str">
        <f t="shared" si="50"/>
        <v/>
      </c>
      <c r="W892" s="29" t="str">
        <f>IF(U892=1,COUNTIF($U$2:U892,1),"")</f>
        <v/>
      </c>
      <c r="X892" s="29" t="str">
        <f t="shared" si="51"/>
        <v/>
      </c>
      <c r="Y892" s="29" t="str">
        <f>IF(AND(LEFT($B892,7)="SBA 26/",$D892&lt;&gt;"",$F892&lt;&gt;""),COUNTIFS($D$2:$D892,$D892,$B$2:$B892,"SBA 26/*",$F$2:$F892,"&lt;&gt;"),"")</f>
        <v/>
      </c>
      <c r="Z892" s="29" t="str">
        <f>IF(Y892=1,COUNTIF($Y$2:Y892,1),"")</f>
        <v/>
      </c>
      <c r="AA892" s="29" t="str">
        <f>IF(AND(LEFT($B892,7)="SBA 26/",$C892&lt;&gt;"",$F892&lt;&gt;""),COUNTIFS($C$2:$C892,$C892,$B$2:$B892,"SBA 26/*",$F$2:$F892,"&lt;&gt;"),"")</f>
        <v/>
      </c>
      <c r="AB892" s="29" t="str">
        <f>IF(AA892=1,COUNTIF($AA$2:AA892,1),"")</f>
        <v/>
      </c>
    </row>
    <row r="893" spans="6:28" ht="31.5" customHeight="1" x14ac:dyDescent="0.2">
      <c r="F893" s="45" t="s">
        <v>3455</v>
      </c>
      <c r="T893" s="41"/>
      <c r="U893" s="29" t="str">
        <f>IF($C893&lt;&gt;"",COUNTIF($C$2:C893,C893),"")</f>
        <v/>
      </c>
      <c r="V893" s="29" t="str">
        <f t="shared" si="50"/>
        <v/>
      </c>
      <c r="W893" s="29" t="str">
        <f>IF(U893=1,COUNTIF($U$2:U893,1),"")</f>
        <v/>
      </c>
      <c r="X893" s="29" t="str">
        <f t="shared" si="51"/>
        <v/>
      </c>
      <c r="Y893" s="29" t="str">
        <f>IF(AND(LEFT($B893,7)="SBA 26/",$D893&lt;&gt;"",$F893&lt;&gt;""),COUNTIFS($D$2:$D893,$D893,$B$2:$B893,"SBA 26/*",$F$2:$F893,"&lt;&gt;"),"")</f>
        <v/>
      </c>
      <c r="Z893" s="29" t="str">
        <f>IF(Y893=1,COUNTIF($Y$2:Y893,1),"")</f>
        <v/>
      </c>
      <c r="AA893" s="29" t="str">
        <f>IF(AND(LEFT($B893,7)="SBA 26/",$C893&lt;&gt;"",$F893&lt;&gt;""),COUNTIFS($C$2:$C893,$C893,$B$2:$B893,"SBA 26/*",$F$2:$F893,"&lt;&gt;"),"")</f>
        <v/>
      </c>
      <c r="AB893" s="29" t="str">
        <f>IF(AA893=1,COUNTIF($AA$2:AA893,1),"")</f>
        <v/>
      </c>
    </row>
    <row r="894" spans="6:28" ht="31.5" customHeight="1" x14ac:dyDescent="0.2">
      <c r="F894" s="45" t="s">
        <v>3456</v>
      </c>
      <c r="T894" s="41"/>
      <c r="U894" s="29" t="str">
        <f>IF($C894&lt;&gt;"",COUNTIF($C$2:C894,C894),"")</f>
        <v/>
      </c>
      <c r="V894" s="29" t="str">
        <f t="shared" si="50"/>
        <v/>
      </c>
      <c r="W894" s="29" t="str">
        <f>IF(U894=1,COUNTIF($U$2:U894,1),"")</f>
        <v/>
      </c>
      <c r="X894" s="29" t="str">
        <f t="shared" si="51"/>
        <v/>
      </c>
      <c r="Y894" s="29" t="str">
        <f>IF(AND(LEFT($B894,7)="SBA 26/",$D894&lt;&gt;"",$F894&lt;&gt;""),COUNTIFS($D$2:$D894,$D894,$B$2:$B894,"SBA 26/*",$F$2:$F894,"&lt;&gt;"),"")</f>
        <v/>
      </c>
      <c r="Z894" s="29" t="str">
        <f>IF(Y894=1,COUNTIF($Y$2:Y894,1),"")</f>
        <v/>
      </c>
      <c r="AA894" s="29" t="str">
        <f>IF(AND(LEFT($B894,7)="SBA 26/",$C894&lt;&gt;"",$F894&lt;&gt;""),COUNTIFS($C$2:$C894,$C894,$B$2:$B894,"SBA 26/*",$F$2:$F894,"&lt;&gt;"),"")</f>
        <v/>
      </c>
      <c r="AB894" s="29" t="str">
        <f>IF(AA894=1,COUNTIF($AA$2:AA894,1),"")</f>
        <v/>
      </c>
    </row>
    <row r="895" spans="6:28" ht="47.25" customHeight="1" x14ac:dyDescent="0.2">
      <c r="F895" s="45" t="s">
        <v>3457</v>
      </c>
      <c r="T895" s="41"/>
      <c r="U895" s="29" t="str">
        <f>IF($C895&lt;&gt;"",COUNTIF($C$2:C895,C895),"")</f>
        <v/>
      </c>
      <c r="V895" s="29" t="str">
        <f t="shared" si="50"/>
        <v/>
      </c>
      <c r="W895" s="29" t="str">
        <f>IF(U895=1,COUNTIF($U$2:U895,1),"")</f>
        <v/>
      </c>
      <c r="X895" s="29" t="str">
        <f t="shared" si="51"/>
        <v/>
      </c>
      <c r="Y895" s="29" t="str">
        <f>IF(AND(LEFT($B895,7)="SBA 26/",$D895&lt;&gt;"",$F895&lt;&gt;""),COUNTIFS($D$2:$D895,$D895,$B$2:$B895,"SBA 26/*",$F$2:$F895,"&lt;&gt;"),"")</f>
        <v/>
      </c>
      <c r="Z895" s="29" t="str">
        <f>IF(Y895=1,COUNTIF($Y$2:Y895,1),"")</f>
        <v/>
      </c>
      <c r="AA895" s="29" t="str">
        <f>IF(AND(LEFT($B895,7)="SBA 26/",$C895&lt;&gt;"",$F895&lt;&gt;""),COUNTIFS($C$2:$C895,$C895,$B$2:$B895,"SBA 26/*",$F$2:$F895,"&lt;&gt;"),"")</f>
        <v/>
      </c>
      <c r="AB895" s="29" t="str">
        <f>IF(AA895=1,COUNTIF($AA$2:AA895,1),"")</f>
        <v/>
      </c>
    </row>
    <row r="896" spans="6:28" ht="63" customHeight="1" x14ac:dyDescent="0.2">
      <c r="F896" s="45" t="s">
        <v>3458</v>
      </c>
      <c r="T896" s="41"/>
      <c r="U896" s="29" t="str">
        <f>IF($C896&lt;&gt;"",COUNTIF($C$2:C896,C896),"")</f>
        <v/>
      </c>
      <c r="V896" s="29" t="str">
        <f t="shared" si="50"/>
        <v/>
      </c>
      <c r="W896" s="29" t="str">
        <f>IF(U896=1,COUNTIF($U$2:U896,1),"")</f>
        <v/>
      </c>
      <c r="X896" s="29" t="str">
        <f t="shared" si="51"/>
        <v/>
      </c>
      <c r="Y896" s="29" t="str">
        <f>IF(AND(LEFT($B896,7)="SBA 26/",$D896&lt;&gt;"",$F896&lt;&gt;""),COUNTIFS($D$2:$D896,$D896,$B$2:$B896,"SBA 26/*",$F$2:$F896,"&lt;&gt;"),"")</f>
        <v/>
      </c>
      <c r="Z896" s="29" t="str">
        <f>IF(Y896=1,COUNTIF($Y$2:Y896,1),"")</f>
        <v/>
      </c>
      <c r="AA896" s="29" t="str">
        <f>IF(AND(LEFT($B896,7)="SBA 26/",$C896&lt;&gt;"",$F896&lt;&gt;""),COUNTIFS($C$2:$C896,$C896,$B$2:$B896,"SBA 26/*",$F$2:$F896,"&lt;&gt;"),"")</f>
        <v/>
      </c>
      <c r="AB896" s="29" t="str">
        <f>IF(AA896=1,COUNTIF($AA$2:AA896,1),"")</f>
        <v/>
      </c>
    </row>
    <row r="897" spans="6:28" ht="31.5" customHeight="1" x14ac:dyDescent="0.2">
      <c r="F897" s="45" t="s">
        <v>3459</v>
      </c>
      <c r="T897" s="41"/>
      <c r="U897" s="29" t="str">
        <f>IF($C897&lt;&gt;"",COUNTIF($C$2:C897,C897),"")</f>
        <v/>
      </c>
      <c r="V897" s="29" t="str">
        <f t="shared" si="50"/>
        <v/>
      </c>
      <c r="W897" s="29" t="str">
        <f>IF(U897=1,COUNTIF($U$2:U897,1),"")</f>
        <v/>
      </c>
      <c r="X897" s="29" t="str">
        <f t="shared" si="51"/>
        <v/>
      </c>
      <c r="Y897" s="29" t="str">
        <f>IF(AND(LEFT($B897,7)="SBA 26/",$D897&lt;&gt;"",$F897&lt;&gt;""),COUNTIFS($D$2:$D897,$D897,$B$2:$B897,"SBA 26/*",$F$2:$F897,"&lt;&gt;"),"")</f>
        <v/>
      </c>
      <c r="Z897" s="29" t="str">
        <f>IF(Y897=1,COUNTIF($Y$2:Y897,1),"")</f>
        <v/>
      </c>
      <c r="AA897" s="29" t="str">
        <f>IF(AND(LEFT($B897,7)="SBA 26/",$C897&lt;&gt;"",$F897&lt;&gt;""),COUNTIFS($C$2:$C897,$C897,$B$2:$B897,"SBA 26/*",$F$2:$F897,"&lt;&gt;"),"")</f>
        <v/>
      </c>
      <c r="AB897" s="29" t="str">
        <f>IF(AA897=1,COUNTIF($AA$2:AA897,1),"")</f>
        <v/>
      </c>
    </row>
    <row r="898" spans="6:28" ht="31.5" customHeight="1" x14ac:dyDescent="0.2">
      <c r="F898" s="45" t="s">
        <v>3460</v>
      </c>
      <c r="T898" s="41"/>
      <c r="U898" s="29" t="str">
        <f>IF($C898&lt;&gt;"",COUNTIF($C$2:C898,C898),"")</f>
        <v/>
      </c>
      <c r="V898" s="29" t="str">
        <f t="shared" ref="V898:V961" si="52">IF($C898&lt;&gt;"",C898&amp;"§"&amp;U898,"")</f>
        <v/>
      </c>
      <c r="W898" s="29" t="str">
        <f>IF(U898=1,COUNTIF($U$2:U898,1),"")</f>
        <v/>
      </c>
      <c r="X898" s="29" t="str">
        <f t="shared" ref="X898:X961" si="53">IF(U898=1,SUMPRODUCT(($U$2:$U$1799=1)*($C$2:$C$1799&lt;C898))+1,"")</f>
        <v/>
      </c>
      <c r="Y898" s="29" t="str">
        <f>IF(AND(LEFT($B898,7)="SBA 26/",$D898&lt;&gt;"",$F898&lt;&gt;""),COUNTIFS($D$2:$D898,$D898,$B$2:$B898,"SBA 26/*",$F$2:$F898,"&lt;&gt;"),"")</f>
        <v/>
      </c>
      <c r="Z898" s="29" t="str">
        <f>IF(Y898=1,COUNTIF($Y$2:Y898,1),"")</f>
        <v/>
      </c>
      <c r="AA898" s="29" t="str">
        <f>IF(AND(LEFT($B898,7)="SBA 26/",$C898&lt;&gt;"",$F898&lt;&gt;""),COUNTIFS($C$2:$C898,$C898,$B$2:$B898,"SBA 26/*",$F$2:$F898,"&lt;&gt;"),"")</f>
        <v/>
      </c>
      <c r="AB898" s="29" t="str">
        <f>IF(AA898=1,COUNTIF($AA$2:AA898,1),"")</f>
        <v/>
      </c>
    </row>
    <row r="899" spans="6:28" ht="63" customHeight="1" x14ac:dyDescent="0.2">
      <c r="F899" s="45" t="s">
        <v>3461</v>
      </c>
      <c r="T899" s="41"/>
      <c r="U899" s="29" t="str">
        <f>IF($C899&lt;&gt;"",COUNTIF($C$2:C899,C899),"")</f>
        <v/>
      </c>
      <c r="V899" s="29" t="str">
        <f t="shared" si="52"/>
        <v/>
      </c>
      <c r="W899" s="29" t="str">
        <f>IF(U899=1,COUNTIF($U$2:U899,1),"")</f>
        <v/>
      </c>
      <c r="X899" s="29" t="str">
        <f t="shared" si="53"/>
        <v/>
      </c>
      <c r="Y899" s="29" t="str">
        <f>IF(AND(LEFT($B899,7)="SBA 26/",$D899&lt;&gt;"",$F899&lt;&gt;""),COUNTIFS($D$2:$D899,$D899,$B$2:$B899,"SBA 26/*",$F$2:$F899,"&lt;&gt;"),"")</f>
        <v/>
      </c>
      <c r="Z899" s="29" t="str">
        <f>IF(Y899=1,COUNTIF($Y$2:Y899,1),"")</f>
        <v/>
      </c>
      <c r="AA899" s="29" t="str">
        <f>IF(AND(LEFT($B899,7)="SBA 26/",$C899&lt;&gt;"",$F899&lt;&gt;""),COUNTIFS($C$2:$C899,$C899,$B$2:$B899,"SBA 26/*",$F$2:$F899,"&lt;&gt;"),"")</f>
        <v/>
      </c>
      <c r="AB899" s="29" t="str">
        <f>IF(AA899=1,COUNTIF($AA$2:AA899,1),"")</f>
        <v/>
      </c>
    </row>
    <row r="900" spans="6:28" ht="47.25" customHeight="1" x14ac:dyDescent="0.2">
      <c r="F900" s="45" t="s">
        <v>3462</v>
      </c>
      <c r="T900" s="41"/>
      <c r="U900" s="29" t="str">
        <f>IF($C900&lt;&gt;"",COUNTIF($C$2:C900,C900),"")</f>
        <v/>
      </c>
      <c r="V900" s="29" t="str">
        <f t="shared" si="52"/>
        <v/>
      </c>
      <c r="W900" s="29" t="str">
        <f>IF(U900=1,COUNTIF($U$2:U900,1),"")</f>
        <v/>
      </c>
      <c r="X900" s="29" t="str">
        <f t="shared" si="53"/>
        <v/>
      </c>
      <c r="Y900" s="29" t="str">
        <f>IF(AND(LEFT($B900,7)="SBA 26/",$D900&lt;&gt;"",$F900&lt;&gt;""),COUNTIFS($D$2:$D900,$D900,$B$2:$B900,"SBA 26/*",$F$2:$F900,"&lt;&gt;"),"")</f>
        <v/>
      </c>
      <c r="Z900" s="29" t="str">
        <f>IF(Y900=1,COUNTIF($Y$2:Y900,1),"")</f>
        <v/>
      </c>
      <c r="AA900" s="29" t="str">
        <f>IF(AND(LEFT($B900,7)="SBA 26/",$C900&lt;&gt;"",$F900&lt;&gt;""),COUNTIFS($C$2:$C900,$C900,$B$2:$B900,"SBA 26/*",$F$2:$F900,"&lt;&gt;"),"")</f>
        <v/>
      </c>
      <c r="AB900" s="29" t="str">
        <f>IF(AA900=1,COUNTIF($AA$2:AA900,1),"")</f>
        <v/>
      </c>
    </row>
    <row r="901" spans="6:28" ht="31.5" customHeight="1" x14ac:dyDescent="0.2">
      <c r="F901" s="45" t="s">
        <v>3463</v>
      </c>
      <c r="T901" s="41"/>
      <c r="U901" s="29" t="str">
        <f>IF($C901&lt;&gt;"",COUNTIF($C$2:C901,C901),"")</f>
        <v/>
      </c>
      <c r="V901" s="29" t="str">
        <f t="shared" si="52"/>
        <v/>
      </c>
      <c r="W901" s="29" t="str">
        <f>IF(U901=1,COUNTIF($U$2:U901,1),"")</f>
        <v/>
      </c>
      <c r="X901" s="29" t="str">
        <f t="shared" si="53"/>
        <v/>
      </c>
      <c r="Y901" s="29" t="str">
        <f>IF(AND(LEFT($B901,7)="SBA 26/",$D901&lt;&gt;"",$F901&lt;&gt;""),COUNTIFS($D$2:$D901,$D901,$B$2:$B901,"SBA 26/*",$F$2:$F901,"&lt;&gt;"),"")</f>
        <v/>
      </c>
      <c r="Z901" s="29" t="str">
        <f>IF(Y901=1,COUNTIF($Y$2:Y901,1),"")</f>
        <v/>
      </c>
      <c r="AA901" s="29" t="str">
        <f>IF(AND(LEFT($B901,7)="SBA 26/",$C901&lt;&gt;"",$F901&lt;&gt;""),COUNTIFS($C$2:$C901,$C901,$B$2:$B901,"SBA 26/*",$F$2:$F901,"&lt;&gt;"),"")</f>
        <v/>
      </c>
      <c r="AB901" s="29" t="str">
        <f>IF(AA901=1,COUNTIF($AA$2:AA901,1),"")</f>
        <v/>
      </c>
    </row>
    <row r="902" spans="6:28" ht="47.25" customHeight="1" x14ac:dyDescent="0.2">
      <c r="F902" s="45" t="s">
        <v>3464</v>
      </c>
      <c r="T902" s="41"/>
      <c r="U902" s="29" t="str">
        <f>IF($C902&lt;&gt;"",COUNTIF($C$2:C902,C902),"")</f>
        <v/>
      </c>
      <c r="V902" s="29" t="str">
        <f t="shared" si="52"/>
        <v/>
      </c>
      <c r="W902" s="29" t="str">
        <f>IF(U902=1,COUNTIF($U$2:U902,1),"")</f>
        <v/>
      </c>
      <c r="X902" s="29" t="str">
        <f t="shared" si="53"/>
        <v/>
      </c>
      <c r="Y902" s="29" t="str">
        <f>IF(AND(LEFT($B902,7)="SBA 26/",$D902&lt;&gt;"",$F902&lt;&gt;""),COUNTIFS($D$2:$D902,$D902,$B$2:$B902,"SBA 26/*",$F$2:$F902,"&lt;&gt;"),"")</f>
        <v/>
      </c>
      <c r="Z902" s="29" t="str">
        <f>IF(Y902=1,COUNTIF($Y$2:Y902,1),"")</f>
        <v/>
      </c>
      <c r="AA902" s="29" t="str">
        <f>IF(AND(LEFT($B902,7)="SBA 26/",$C902&lt;&gt;"",$F902&lt;&gt;""),COUNTIFS($C$2:$C902,$C902,$B$2:$B902,"SBA 26/*",$F$2:$F902,"&lt;&gt;"),"")</f>
        <v/>
      </c>
      <c r="AB902" s="29" t="str">
        <f>IF(AA902=1,COUNTIF($AA$2:AA902,1),"")</f>
        <v/>
      </c>
    </row>
    <row r="903" spans="6:28" ht="47.25" customHeight="1" x14ac:dyDescent="0.2">
      <c r="F903" s="45" t="s">
        <v>3465</v>
      </c>
      <c r="T903" s="41"/>
      <c r="U903" s="29" t="str">
        <f>IF($C903&lt;&gt;"",COUNTIF($C$2:C903,C903),"")</f>
        <v/>
      </c>
      <c r="V903" s="29" t="str">
        <f t="shared" si="52"/>
        <v/>
      </c>
      <c r="W903" s="29" t="str">
        <f>IF(U903=1,COUNTIF($U$2:U903,1),"")</f>
        <v/>
      </c>
      <c r="X903" s="29" t="str">
        <f t="shared" si="53"/>
        <v/>
      </c>
      <c r="Y903" s="29" t="str">
        <f>IF(AND(LEFT($B903,7)="SBA 26/",$D903&lt;&gt;"",$F903&lt;&gt;""),COUNTIFS($D$2:$D903,$D903,$B$2:$B903,"SBA 26/*",$F$2:$F903,"&lt;&gt;"),"")</f>
        <v/>
      </c>
      <c r="Z903" s="29" t="str">
        <f>IF(Y903=1,COUNTIF($Y$2:Y903,1),"")</f>
        <v/>
      </c>
      <c r="AA903" s="29" t="str">
        <f>IF(AND(LEFT($B903,7)="SBA 26/",$C903&lt;&gt;"",$F903&lt;&gt;""),COUNTIFS($C$2:$C903,$C903,$B$2:$B903,"SBA 26/*",$F$2:$F903,"&lt;&gt;"),"")</f>
        <v/>
      </c>
      <c r="AB903" s="29" t="str">
        <f>IF(AA903=1,COUNTIF($AA$2:AA903,1),"")</f>
        <v/>
      </c>
    </row>
    <row r="904" spans="6:28" ht="31.5" customHeight="1" x14ac:dyDescent="0.2">
      <c r="F904" s="45" t="s">
        <v>3466</v>
      </c>
      <c r="T904" s="41"/>
      <c r="U904" s="29" t="str">
        <f>IF($C904&lt;&gt;"",COUNTIF($C$2:C904,C904),"")</f>
        <v/>
      </c>
      <c r="V904" s="29" t="str">
        <f t="shared" si="52"/>
        <v/>
      </c>
      <c r="W904" s="29" t="str">
        <f>IF(U904=1,COUNTIF($U$2:U904,1),"")</f>
        <v/>
      </c>
      <c r="X904" s="29" t="str">
        <f t="shared" si="53"/>
        <v/>
      </c>
      <c r="Y904" s="29" t="str">
        <f>IF(AND(LEFT($B904,7)="SBA 26/",$D904&lt;&gt;"",$F904&lt;&gt;""),COUNTIFS($D$2:$D904,$D904,$B$2:$B904,"SBA 26/*",$F$2:$F904,"&lt;&gt;"),"")</f>
        <v/>
      </c>
      <c r="Z904" s="29" t="str">
        <f>IF(Y904=1,COUNTIF($Y$2:Y904,1),"")</f>
        <v/>
      </c>
      <c r="AA904" s="29" t="str">
        <f>IF(AND(LEFT($B904,7)="SBA 26/",$C904&lt;&gt;"",$F904&lt;&gt;""),COUNTIFS($C$2:$C904,$C904,$B$2:$B904,"SBA 26/*",$F$2:$F904,"&lt;&gt;"),"")</f>
        <v/>
      </c>
      <c r="AB904" s="29" t="str">
        <f>IF(AA904=1,COUNTIF($AA$2:AA904,1),"")</f>
        <v/>
      </c>
    </row>
    <row r="905" spans="6:28" ht="31.5" customHeight="1" x14ac:dyDescent="0.2">
      <c r="F905" s="45" t="s">
        <v>3467</v>
      </c>
      <c r="T905" s="41"/>
      <c r="U905" s="29" t="str">
        <f>IF($C905&lt;&gt;"",COUNTIF($C$2:C905,C905),"")</f>
        <v/>
      </c>
      <c r="V905" s="29" t="str">
        <f t="shared" si="52"/>
        <v/>
      </c>
      <c r="W905" s="29" t="str">
        <f>IF(U905=1,COUNTIF($U$2:U905,1),"")</f>
        <v/>
      </c>
      <c r="X905" s="29" t="str">
        <f t="shared" si="53"/>
        <v/>
      </c>
      <c r="Y905" s="29" t="str">
        <f>IF(AND(LEFT($B905,7)="SBA 26/",$D905&lt;&gt;"",$F905&lt;&gt;""),COUNTIFS($D$2:$D905,$D905,$B$2:$B905,"SBA 26/*",$F$2:$F905,"&lt;&gt;"),"")</f>
        <v/>
      </c>
      <c r="Z905" s="29" t="str">
        <f>IF(Y905=1,COUNTIF($Y$2:Y905,1),"")</f>
        <v/>
      </c>
      <c r="AA905" s="29" t="str">
        <f>IF(AND(LEFT($B905,7)="SBA 26/",$C905&lt;&gt;"",$F905&lt;&gt;""),COUNTIFS($C$2:$C905,$C905,$B$2:$B905,"SBA 26/*",$F$2:$F905,"&lt;&gt;"),"")</f>
        <v/>
      </c>
      <c r="AB905" s="29" t="str">
        <f>IF(AA905=1,COUNTIF($AA$2:AA905,1),"")</f>
        <v/>
      </c>
    </row>
    <row r="906" spans="6:28" ht="63" customHeight="1" x14ac:dyDescent="0.2">
      <c r="F906" s="45" t="s">
        <v>3468</v>
      </c>
      <c r="T906" s="41"/>
      <c r="U906" s="29" t="str">
        <f>IF($C906&lt;&gt;"",COUNTIF($C$2:C906,C906),"")</f>
        <v/>
      </c>
      <c r="V906" s="29" t="str">
        <f t="shared" si="52"/>
        <v/>
      </c>
      <c r="W906" s="29" t="str">
        <f>IF(U906=1,COUNTIF($U$2:U906,1),"")</f>
        <v/>
      </c>
      <c r="X906" s="29" t="str">
        <f t="shared" si="53"/>
        <v/>
      </c>
      <c r="Y906" s="29" t="str">
        <f>IF(AND(LEFT($B906,7)="SBA 26/",$D906&lt;&gt;"",$F906&lt;&gt;""),COUNTIFS($D$2:$D906,$D906,$B$2:$B906,"SBA 26/*",$F$2:$F906,"&lt;&gt;"),"")</f>
        <v/>
      </c>
      <c r="Z906" s="29" t="str">
        <f>IF(Y906=1,COUNTIF($Y$2:Y906,1),"")</f>
        <v/>
      </c>
      <c r="AA906" s="29" t="str">
        <f>IF(AND(LEFT($B906,7)="SBA 26/",$C906&lt;&gt;"",$F906&lt;&gt;""),COUNTIFS($C$2:$C906,$C906,$B$2:$B906,"SBA 26/*",$F$2:$F906,"&lt;&gt;"),"")</f>
        <v/>
      </c>
      <c r="AB906" s="29" t="str">
        <f>IF(AA906=1,COUNTIF($AA$2:AA906,1),"")</f>
        <v/>
      </c>
    </row>
    <row r="907" spans="6:28" ht="31.5" customHeight="1" x14ac:dyDescent="0.2">
      <c r="F907" s="45" t="s">
        <v>3469</v>
      </c>
      <c r="T907" s="41"/>
      <c r="U907" s="29" t="str">
        <f>IF($C907&lt;&gt;"",COUNTIF($C$2:C907,C907),"")</f>
        <v/>
      </c>
      <c r="V907" s="29" t="str">
        <f t="shared" si="52"/>
        <v/>
      </c>
      <c r="W907" s="29" t="str">
        <f>IF(U907=1,COUNTIF($U$2:U907,1),"")</f>
        <v/>
      </c>
      <c r="X907" s="29" t="str">
        <f t="shared" si="53"/>
        <v/>
      </c>
      <c r="Y907" s="29" t="str">
        <f>IF(AND(LEFT($B907,7)="SBA 26/",$D907&lt;&gt;"",$F907&lt;&gt;""),COUNTIFS($D$2:$D907,$D907,$B$2:$B907,"SBA 26/*",$F$2:$F907,"&lt;&gt;"),"")</f>
        <v/>
      </c>
      <c r="Z907" s="29" t="str">
        <f>IF(Y907=1,COUNTIF($Y$2:Y907,1),"")</f>
        <v/>
      </c>
      <c r="AA907" s="29" t="str">
        <f>IF(AND(LEFT($B907,7)="SBA 26/",$C907&lt;&gt;"",$F907&lt;&gt;""),COUNTIFS($C$2:$C907,$C907,$B$2:$B907,"SBA 26/*",$F$2:$F907,"&lt;&gt;"),"")</f>
        <v/>
      </c>
      <c r="AB907" s="29" t="str">
        <f>IF(AA907=1,COUNTIF($AA$2:AA907,1),"")</f>
        <v/>
      </c>
    </row>
    <row r="908" spans="6:28" ht="47.25" customHeight="1" x14ac:dyDescent="0.2">
      <c r="F908" s="45" t="s">
        <v>3470</v>
      </c>
      <c r="T908" s="41"/>
      <c r="U908" s="29" t="str">
        <f>IF($C908&lt;&gt;"",COUNTIF($C$2:C908,C908),"")</f>
        <v/>
      </c>
      <c r="V908" s="29" t="str">
        <f t="shared" si="52"/>
        <v/>
      </c>
      <c r="W908" s="29" t="str">
        <f>IF(U908=1,COUNTIF($U$2:U908,1),"")</f>
        <v/>
      </c>
      <c r="X908" s="29" t="str">
        <f t="shared" si="53"/>
        <v/>
      </c>
      <c r="Y908" s="29" t="str">
        <f>IF(AND(LEFT($B908,7)="SBA 26/",$D908&lt;&gt;"",$F908&lt;&gt;""),COUNTIFS($D$2:$D908,$D908,$B$2:$B908,"SBA 26/*",$F$2:$F908,"&lt;&gt;"),"")</f>
        <v/>
      </c>
      <c r="Z908" s="29" t="str">
        <f>IF(Y908=1,COUNTIF($Y$2:Y908,1),"")</f>
        <v/>
      </c>
      <c r="AA908" s="29" t="str">
        <f>IF(AND(LEFT($B908,7)="SBA 26/",$C908&lt;&gt;"",$F908&lt;&gt;""),COUNTIFS($C$2:$C908,$C908,$B$2:$B908,"SBA 26/*",$F$2:$F908,"&lt;&gt;"),"")</f>
        <v/>
      </c>
      <c r="AB908" s="29" t="str">
        <f>IF(AA908=1,COUNTIF($AA$2:AA908,1),"")</f>
        <v/>
      </c>
    </row>
    <row r="909" spans="6:28" ht="31.5" customHeight="1" x14ac:dyDescent="0.2">
      <c r="F909" s="45" t="s">
        <v>3471</v>
      </c>
      <c r="T909" s="41"/>
      <c r="U909" s="29" t="str">
        <f>IF($C909&lt;&gt;"",COUNTIF($C$2:C909,C909),"")</f>
        <v/>
      </c>
      <c r="V909" s="29" t="str">
        <f t="shared" si="52"/>
        <v/>
      </c>
      <c r="W909" s="29" t="str">
        <f>IF(U909=1,COUNTIF($U$2:U909,1),"")</f>
        <v/>
      </c>
      <c r="X909" s="29" t="str">
        <f t="shared" si="53"/>
        <v/>
      </c>
      <c r="Y909" s="29" t="str">
        <f>IF(AND(LEFT($B909,7)="SBA 26/",$D909&lt;&gt;"",$F909&lt;&gt;""),COUNTIFS($D$2:$D909,$D909,$B$2:$B909,"SBA 26/*",$F$2:$F909,"&lt;&gt;"),"")</f>
        <v/>
      </c>
      <c r="Z909" s="29" t="str">
        <f>IF(Y909=1,COUNTIF($Y$2:Y909,1),"")</f>
        <v/>
      </c>
      <c r="AA909" s="29" t="str">
        <f>IF(AND(LEFT($B909,7)="SBA 26/",$C909&lt;&gt;"",$F909&lt;&gt;""),COUNTIFS($C$2:$C909,$C909,$B$2:$B909,"SBA 26/*",$F$2:$F909,"&lt;&gt;"),"")</f>
        <v/>
      </c>
      <c r="AB909" s="29" t="str">
        <f>IF(AA909=1,COUNTIF($AA$2:AA909,1),"")</f>
        <v/>
      </c>
    </row>
    <row r="910" spans="6:28" ht="63" customHeight="1" x14ac:dyDescent="0.2">
      <c r="F910" s="45" t="s">
        <v>3472</v>
      </c>
      <c r="T910" s="41"/>
      <c r="U910" s="29" t="str">
        <f>IF($C910&lt;&gt;"",COUNTIF($C$2:C910,C910),"")</f>
        <v/>
      </c>
      <c r="V910" s="29" t="str">
        <f t="shared" si="52"/>
        <v/>
      </c>
      <c r="W910" s="29" t="str">
        <f>IF(U910=1,COUNTIF($U$2:U910,1),"")</f>
        <v/>
      </c>
      <c r="X910" s="29" t="str">
        <f t="shared" si="53"/>
        <v/>
      </c>
      <c r="Y910" s="29" t="str">
        <f>IF(AND(LEFT($B910,7)="SBA 26/",$D910&lt;&gt;"",$F910&lt;&gt;""),COUNTIFS($D$2:$D910,$D910,$B$2:$B910,"SBA 26/*",$F$2:$F910,"&lt;&gt;"),"")</f>
        <v/>
      </c>
      <c r="Z910" s="29" t="str">
        <f>IF(Y910=1,COUNTIF($Y$2:Y910,1),"")</f>
        <v/>
      </c>
      <c r="AA910" s="29" t="str">
        <f>IF(AND(LEFT($B910,7)="SBA 26/",$C910&lt;&gt;"",$F910&lt;&gt;""),COUNTIFS($C$2:$C910,$C910,$B$2:$B910,"SBA 26/*",$F$2:$F910,"&lt;&gt;"),"")</f>
        <v/>
      </c>
      <c r="AB910" s="29" t="str">
        <f>IF(AA910=1,COUNTIF($AA$2:AA910,1),"")</f>
        <v/>
      </c>
    </row>
    <row r="911" spans="6:28" ht="78.75" customHeight="1" x14ac:dyDescent="0.2">
      <c r="F911" s="45" t="s">
        <v>3473</v>
      </c>
      <c r="T911" s="41"/>
      <c r="U911" s="29" t="str">
        <f>IF($C911&lt;&gt;"",COUNTIF($C$2:C911,C911),"")</f>
        <v/>
      </c>
      <c r="V911" s="29" t="str">
        <f t="shared" si="52"/>
        <v/>
      </c>
      <c r="W911" s="29" t="str">
        <f>IF(U911=1,COUNTIF($U$2:U911,1),"")</f>
        <v/>
      </c>
      <c r="X911" s="29" t="str">
        <f t="shared" si="53"/>
        <v/>
      </c>
      <c r="Y911" s="29" t="str">
        <f>IF(AND(LEFT($B911,7)="SBA 26/",$D911&lt;&gt;"",$F911&lt;&gt;""),COUNTIFS($D$2:$D911,$D911,$B$2:$B911,"SBA 26/*",$F$2:$F911,"&lt;&gt;"),"")</f>
        <v/>
      </c>
      <c r="Z911" s="29" t="str">
        <f>IF(Y911=1,COUNTIF($Y$2:Y911,1),"")</f>
        <v/>
      </c>
      <c r="AA911" s="29" t="str">
        <f>IF(AND(LEFT($B911,7)="SBA 26/",$C911&lt;&gt;"",$F911&lt;&gt;""),COUNTIFS($C$2:$C911,$C911,$B$2:$B911,"SBA 26/*",$F$2:$F911,"&lt;&gt;"),"")</f>
        <v/>
      </c>
      <c r="AB911" s="29" t="str">
        <f>IF(AA911=1,COUNTIF($AA$2:AA911,1),"")</f>
        <v/>
      </c>
    </row>
    <row r="912" spans="6:28" ht="31.5" customHeight="1" x14ac:dyDescent="0.2">
      <c r="F912" s="45" t="s">
        <v>3474</v>
      </c>
      <c r="T912" s="41"/>
      <c r="U912" s="29" t="str">
        <f>IF($C912&lt;&gt;"",COUNTIF($C$2:C912,C912),"")</f>
        <v/>
      </c>
      <c r="V912" s="29" t="str">
        <f t="shared" si="52"/>
        <v/>
      </c>
      <c r="W912" s="29" t="str">
        <f>IF(U912=1,COUNTIF($U$2:U912,1),"")</f>
        <v/>
      </c>
      <c r="X912" s="29" t="str">
        <f t="shared" si="53"/>
        <v/>
      </c>
      <c r="Y912" s="29" t="str">
        <f>IF(AND(LEFT($B912,7)="SBA 26/",$D912&lt;&gt;"",$F912&lt;&gt;""),COUNTIFS($D$2:$D912,$D912,$B$2:$B912,"SBA 26/*",$F$2:$F912,"&lt;&gt;"),"")</f>
        <v/>
      </c>
      <c r="Z912" s="29" t="str">
        <f>IF(Y912=1,COUNTIF($Y$2:Y912,1),"")</f>
        <v/>
      </c>
      <c r="AA912" s="29" t="str">
        <f>IF(AND(LEFT($B912,7)="SBA 26/",$C912&lt;&gt;"",$F912&lt;&gt;""),COUNTIFS($C$2:$C912,$C912,$B$2:$B912,"SBA 26/*",$F$2:$F912,"&lt;&gt;"),"")</f>
        <v/>
      </c>
      <c r="AB912" s="29" t="str">
        <f>IF(AA912=1,COUNTIF($AA$2:AA912,1),"")</f>
        <v/>
      </c>
    </row>
    <row r="913" spans="6:28" ht="63" customHeight="1" x14ac:dyDescent="0.2">
      <c r="F913" s="45" t="s">
        <v>3475</v>
      </c>
      <c r="T913" s="41"/>
      <c r="U913" s="29" t="str">
        <f>IF($C913&lt;&gt;"",COUNTIF($C$2:C913,C913),"")</f>
        <v/>
      </c>
      <c r="V913" s="29" t="str">
        <f t="shared" si="52"/>
        <v/>
      </c>
      <c r="W913" s="29" t="str">
        <f>IF(U913=1,COUNTIF($U$2:U913,1),"")</f>
        <v/>
      </c>
      <c r="X913" s="29" t="str">
        <f t="shared" si="53"/>
        <v/>
      </c>
      <c r="Y913" s="29" t="str">
        <f>IF(AND(LEFT($B913,7)="SBA 26/",$D913&lt;&gt;"",$F913&lt;&gt;""),COUNTIFS($D$2:$D913,$D913,$B$2:$B913,"SBA 26/*",$F$2:$F913,"&lt;&gt;"),"")</f>
        <v/>
      </c>
      <c r="Z913" s="29" t="str">
        <f>IF(Y913=1,COUNTIF($Y$2:Y913,1),"")</f>
        <v/>
      </c>
      <c r="AA913" s="29" t="str">
        <f>IF(AND(LEFT($B913,7)="SBA 26/",$C913&lt;&gt;"",$F913&lt;&gt;""),COUNTIFS($C$2:$C913,$C913,$B$2:$B913,"SBA 26/*",$F$2:$F913,"&lt;&gt;"),"")</f>
        <v/>
      </c>
      <c r="AB913" s="29" t="str">
        <f>IF(AA913=1,COUNTIF($AA$2:AA913,1),"")</f>
        <v/>
      </c>
    </row>
    <row r="914" spans="6:28" ht="47.25" customHeight="1" x14ac:dyDescent="0.2">
      <c r="F914" s="45" t="s">
        <v>3476</v>
      </c>
      <c r="T914" s="41"/>
      <c r="U914" s="29" t="str">
        <f>IF($C914&lt;&gt;"",COUNTIF($C$2:C914,C914),"")</f>
        <v/>
      </c>
      <c r="V914" s="29" t="str">
        <f t="shared" si="52"/>
        <v/>
      </c>
      <c r="W914" s="29" t="str">
        <f>IF(U914=1,COUNTIF($U$2:U914,1),"")</f>
        <v/>
      </c>
      <c r="X914" s="29" t="str">
        <f t="shared" si="53"/>
        <v/>
      </c>
      <c r="Y914" s="29" t="str">
        <f>IF(AND(LEFT($B914,7)="SBA 26/",$D914&lt;&gt;"",$F914&lt;&gt;""),COUNTIFS($D$2:$D914,$D914,$B$2:$B914,"SBA 26/*",$F$2:$F914,"&lt;&gt;"),"")</f>
        <v/>
      </c>
      <c r="Z914" s="29" t="str">
        <f>IF(Y914=1,COUNTIF($Y$2:Y914,1),"")</f>
        <v/>
      </c>
      <c r="AA914" s="29" t="str">
        <f>IF(AND(LEFT($B914,7)="SBA 26/",$C914&lt;&gt;"",$F914&lt;&gt;""),COUNTIFS($C$2:$C914,$C914,$B$2:$B914,"SBA 26/*",$F$2:$F914,"&lt;&gt;"),"")</f>
        <v/>
      </c>
      <c r="AB914" s="29" t="str">
        <f>IF(AA914=1,COUNTIF($AA$2:AA914,1),"")</f>
        <v/>
      </c>
    </row>
    <row r="915" spans="6:28" ht="47.25" customHeight="1" x14ac:dyDescent="0.2">
      <c r="F915" s="45" t="s">
        <v>3477</v>
      </c>
      <c r="T915" s="41"/>
      <c r="U915" s="29" t="str">
        <f>IF($C915&lt;&gt;"",COUNTIF($C$2:C915,C915),"")</f>
        <v/>
      </c>
      <c r="V915" s="29" t="str">
        <f t="shared" si="52"/>
        <v/>
      </c>
      <c r="W915" s="29" t="str">
        <f>IF(U915=1,COUNTIF($U$2:U915,1),"")</f>
        <v/>
      </c>
      <c r="X915" s="29" t="str">
        <f t="shared" si="53"/>
        <v/>
      </c>
      <c r="Y915" s="29" t="str">
        <f>IF(AND(LEFT($B915,7)="SBA 26/",$D915&lt;&gt;"",$F915&lt;&gt;""),COUNTIFS($D$2:$D915,$D915,$B$2:$B915,"SBA 26/*",$F$2:$F915,"&lt;&gt;"),"")</f>
        <v/>
      </c>
      <c r="Z915" s="29" t="str">
        <f>IF(Y915=1,COUNTIF($Y$2:Y915,1),"")</f>
        <v/>
      </c>
      <c r="AA915" s="29" t="str">
        <f>IF(AND(LEFT($B915,7)="SBA 26/",$C915&lt;&gt;"",$F915&lt;&gt;""),COUNTIFS($C$2:$C915,$C915,$B$2:$B915,"SBA 26/*",$F$2:$F915,"&lt;&gt;"),"")</f>
        <v/>
      </c>
      <c r="AB915" s="29" t="str">
        <f>IF(AA915=1,COUNTIF($AA$2:AA915,1),"")</f>
        <v/>
      </c>
    </row>
    <row r="916" spans="6:28" ht="31.5" customHeight="1" x14ac:dyDescent="0.2">
      <c r="F916" s="45" t="s">
        <v>3478</v>
      </c>
      <c r="T916" s="41"/>
      <c r="U916" s="29" t="str">
        <f>IF($C916&lt;&gt;"",COUNTIF($C$2:C916,C916),"")</f>
        <v/>
      </c>
      <c r="V916" s="29" t="str">
        <f t="shared" si="52"/>
        <v/>
      </c>
      <c r="W916" s="29" t="str">
        <f>IF(U916=1,COUNTIF($U$2:U916,1),"")</f>
        <v/>
      </c>
      <c r="X916" s="29" t="str">
        <f t="shared" si="53"/>
        <v/>
      </c>
      <c r="Y916" s="29" t="str">
        <f>IF(AND(LEFT($B916,7)="SBA 26/",$D916&lt;&gt;"",$F916&lt;&gt;""),COUNTIFS($D$2:$D916,$D916,$B$2:$B916,"SBA 26/*",$F$2:$F916,"&lt;&gt;"),"")</f>
        <v/>
      </c>
      <c r="Z916" s="29" t="str">
        <f>IF(Y916=1,COUNTIF($Y$2:Y916,1),"")</f>
        <v/>
      </c>
      <c r="AA916" s="29" t="str">
        <f>IF(AND(LEFT($B916,7)="SBA 26/",$C916&lt;&gt;"",$F916&lt;&gt;""),COUNTIFS($C$2:$C916,$C916,$B$2:$B916,"SBA 26/*",$F$2:$F916,"&lt;&gt;"),"")</f>
        <v/>
      </c>
      <c r="AB916" s="29" t="str">
        <f>IF(AA916=1,COUNTIF($AA$2:AA916,1),"")</f>
        <v/>
      </c>
    </row>
    <row r="917" spans="6:28" ht="31.5" customHeight="1" x14ac:dyDescent="0.2">
      <c r="F917" s="45" t="s">
        <v>3479</v>
      </c>
      <c r="T917" s="41"/>
      <c r="U917" s="29" t="str">
        <f>IF($C917&lt;&gt;"",COUNTIF($C$2:C917,C917),"")</f>
        <v/>
      </c>
      <c r="V917" s="29" t="str">
        <f t="shared" si="52"/>
        <v/>
      </c>
      <c r="W917" s="29" t="str">
        <f>IF(U917=1,COUNTIF($U$2:U917,1),"")</f>
        <v/>
      </c>
      <c r="X917" s="29" t="str">
        <f t="shared" si="53"/>
        <v/>
      </c>
      <c r="Y917" s="29" t="str">
        <f>IF(AND(LEFT($B917,7)="SBA 26/",$D917&lt;&gt;"",$F917&lt;&gt;""),COUNTIFS($D$2:$D917,$D917,$B$2:$B917,"SBA 26/*",$F$2:$F917,"&lt;&gt;"),"")</f>
        <v/>
      </c>
      <c r="Z917" s="29" t="str">
        <f>IF(Y917=1,COUNTIF($Y$2:Y917,1),"")</f>
        <v/>
      </c>
      <c r="AA917" s="29" t="str">
        <f>IF(AND(LEFT($B917,7)="SBA 26/",$C917&lt;&gt;"",$F917&lt;&gt;""),COUNTIFS($C$2:$C917,$C917,$B$2:$B917,"SBA 26/*",$F$2:$F917,"&lt;&gt;"),"")</f>
        <v/>
      </c>
      <c r="AB917" s="29" t="str">
        <f>IF(AA917=1,COUNTIF($AA$2:AA917,1),"")</f>
        <v/>
      </c>
    </row>
    <row r="918" spans="6:28" ht="31.5" customHeight="1" x14ac:dyDescent="0.2">
      <c r="F918" s="45" t="s">
        <v>3480</v>
      </c>
      <c r="T918" s="41"/>
      <c r="U918" s="29" t="str">
        <f>IF($C918&lt;&gt;"",COUNTIF($C$2:C918,C918),"")</f>
        <v/>
      </c>
      <c r="V918" s="29" t="str">
        <f t="shared" si="52"/>
        <v/>
      </c>
      <c r="W918" s="29" t="str">
        <f>IF(U918=1,COUNTIF($U$2:U918,1),"")</f>
        <v/>
      </c>
      <c r="X918" s="29" t="str">
        <f t="shared" si="53"/>
        <v/>
      </c>
      <c r="Y918" s="29" t="str">
        <f>IF(AND(LEFT($B918,7)="SBA 26/",$D918&lt;&gt;"",$F918&lt;&gt;""),COUNTIFS($D$2:$D918,$D918,$B$2:$B918,"SBA 26/*",$F$2:$F918,"&lt;&gt;"),"")</f>
        <v/>
      </c>
      <c r="Z918" s="29" t="str">
        <f>IF(Y918=1,COUNTIF($Y$2:Y918,1),"")</f>
        <v/>
      </c>
      <c r="AA918" s="29" t="str">
        <f>IF(AND(LEFT($B918,7)="SBA 26/",$C918&lt;&gt;"",$F918&lt;&gt;""),COUNTIFS($C$2:$C918,$C918,$B$2:$B918,"SBA 26/*",$F$2:$F918,"&lt;&gt;"),"")</f>
        <v/>
      </c>
      <c r="AB918" s="29" t="str">
        <f>IF(AA918=1,COUNTIF($AA$2:AA918,1),"")</f>
        <v/>
      </c>
    </row>
    <row r="919" spans="6:28" ht="31.5" customHeight="1" x14ac:dyDescent="0.2">
      <c r="F919" s="45" t="s">
        <v>3481</v>
      </c>
      <c r="T919" s="41"/>
      <c r="U919" s="29" t="str">
        <f>IF($C919&lt;&gt;"",COUNTIF($C$2:C919,C919),"")</f>
        <v/>
      </c>
      <c r="V919" s="29" t="str">
        <f t="shared" si="52"/>
        <v/>
      </c>
      <c r="W919" s="29" t="str">
        <f>IF(U919=1,COUNTIF($U$2:U919,1),"")</f>
        <v/>
      </c>
      <c r="X919" s="29" t="str">
        <f t="shared" si="53"/>
        <v/>
      </c>
      <c r="Y919" s="29" t="str">
        <f>IF(AND(LEFT($B919,7)="SBA 26/",$D919&lt;&gt;"",$F919&lt;&gt;""),COUNTIFS($D$2:$D919,$D919,$B$2:$B919,"SBA 26/*",$F$2:$F919,"&lt;&gt;"),"")</f>
        <v/>
      </c>
      <c r="Z919" s="29" t="str">
        <f>IF(Y919=1,COUNTIF($Y$2:Y919,1),"")</f>
        <v/>
      </c>
      <c r="AA919" s="29" t="str">
        <f>IF(AND(LEFT($B919,7)="SBA 26/",$C919&lt;&gt;"",$F919&lt;&gt;""),COUNTIFS($C$2:$C919,$C919,$B$2:$B919,"SBA 26/*",$F$2:$F919,"&lt;&gt;"),"")</f>
        <v/>
      </c>
      <c r="AB919" s="29" t="str">
        <f>IF(AA919=1,COUNTIF($AA$2:AA919,1),"")</f>
        <v/>
      </c>
    </row>
    <row r="920" spans="6:28" ht="47.25" customHeight="1" x14ac:dyDescent="0.2">
      <c r="F920" s="45" t="s">
        <v>3482</v>
      </c>
      <c r="T920" s="41"/>
      <c r="U920" s="29" t="str">
        <f>IF($C920&lt;&gt;"",COUNTIF($C$2:C920,C920),"")</f>
        <v/>
      </c>
      <c r="V920" s="29" t="str">
        <f t="shared" si="52"/>
        <v/>
      </c>
      <c r="W920" s="29" t="str">
        <f>IF(U920=1,COUNTIF($U$2:U920,1),"")</f>
        <v/>
      </c>
      <c r="X920" s="29" t="str">
        <f t="shared" si="53"/>
        <v/>
      </c>
      <c r="Y920" s="29" t="str">
        <f>IF(AND(LEFT($B920,7)="SBA 26/",$D920&lt;&gt;"",$F920&lt;&gt;""),COUNTIFS($D$2:$D920,$D920,$B$2:$B920,"SBA 26/*",$F$2:$F920,"&lt;&gt;"),"")</f>
        <v/>
      </c>
      <c r="Z920" s="29" t="str">
        <f>IF(Y920=1,COUNTIF($Y$2:Y920,1),"")</f>
        <v/>
      </c>
      <c r="AA920" s="29" t="str">
        <f>IF(AND(LEFT($B920,7)="SBA 26/",$C920&lt;&gt;"",$F920&lt;&gt;""),COUNTIFS($C$2:$C920,$C920,$B$2:$B920,"SBA 26/*",$F$2:$F920,"&lt;&gt;"),"")</f>
        <v/>
      </c>
      <c r="AB920" s="29" t="str">
        <f>IF(AA920=1,COUNTIF($AA$2:AA920,1),"")</f>
        <v/>
      </c>
    </row>
    <row r="921" spans="6:28" ht="47.25" customHeight="1" x14ac:dyDescent="0.2">
      <c r="F921" s="45" t="s">
        <v>3483</v>
      </c>
      <c r="T921" s="41"/>
      <c r="U921" s="29" t="str">
        <f>IF($C921&lt;&gt;"",COUNTIF($C$2:C921,C921),"")</f>
        <v/>
      </c>
      <c r="V921" s="29" t="str">
        <f t="shared" si="52"/>
        <v/>
      </c>
      <c r="W921" s="29" t="str">
        <f>IF(U921=1,COUNTIF($U$2:U921,1),"")</f>
        <v/>
      </c>
      <c r="X921" s="29" t="str">
        <f t="shared" si="53"/>
        <v/>
      </c>
      <c r="Y921" s="29" t="str">
        <f>IF(AND(LEFT($B921,7)="SBA 26/",$D921&lt;&gt;"",$F921&lt;&gt;""),COUNTIFS($D$2:$D921,$D921,$B$2:$B921,"SBA 26/*",$F$2:$F921,"&lt;&gt;"),"")</f>
        <v/>
      </c>
      <c r="Z921" s="29" t="str">
        <f>IF(Y921=1,COUNTIF($Y$2:Y921,1),"")</f>
        <v/>
      </c>
      <c r="AA921" s="29" t="str">
        <f>IF(AND(LEFT($B921,7)="SBA 26/",$C921&lt;&gt;"",$F921&lt;&gt;""),COUNTIFS($C$2:$C921,$C921,$B$2:$B921,"SBA 26/*",$F$2:$F921,"&lt;&gt;"),"")</f>
        <v/>
      </c>
      <c r="AB921" s="29" t="str">
        <f>IF(AA921=1,COUNTIF($AA$2:AA921,1),"")</f>
        <v/>
      </c>
    </row>
    <row r="922" spans="6:28" ht="63" customHeight="1" x14ac:dyDescent="0.2">
      <c r="F922" s="45" t="s">
        <v>3484</v>
      </c>
      <c r="T922" s="41"/>
      <c r="U922" s="29" t="str">
        <f>IF($C922&lt;&gt;"",COUNTIF($C$2:C922,C922),"")</f>
        <v/>
      </c>
      <c r="V922" s="29" t="str">
        <f t="shared" si="52"/>
        <v/>
      </c>
      <c r="W922" s="29" t="str">
        <f>IF(U922=1,COUNTIF($U$2:U922,1),"")</f>
        <v/>
      </c>
      <c r="X922" s="29" t="str">
        <f t="shared" si="53"/>
        <v/>
      </c>
      <c r="Y922" s="29" t="str">
        <f>IF(AND(LEFT($B922,7)="SBA 26/",$D922&lt;&gt;"",$F922&lt;&gt;""),COUNTIFS($D$2:$D922,$D922,$B$2:$B922,"SBA 26/*",$F$2:$F922,"&lt;&gt;"),"")</f>
        <v/>
      </c>
      <c r="Z922" s="29" t="str">
        <f>IF(Y922=1,COUNTIF($Y$2:Y922,1),"")</f>
        <v/>
      </c>
      <c r="AA922" s="29" t="str">
        <f>IF(AND(LEFT($B922,7)="SBA 26/",$C922&lt;&gt;"",$F922&lt;&gt;""),COUNTIFS($C$2:$C922,$C922,$B$2:$B922,"SBA 26/*",$F$2:$F922,"&lt;&gt;"),"")</f>
        <v/>
      </c>
      <c r="AB922" s="29" t="str">
        <f>IF(AA922=1,COUNTIF($AA$2:AA922,1),"")</f>
        <v/>
      </c>
    </row>
    <row r="923" spans="6:28" ht="63" customHeight="1" x14ac:dyDescent="0.2">
      <c r="F923" s="45" t="s">
        <v>3485</v>
      </c>
      <c r="T923" s="41"/>
      <c r="U923" s="29" t="str">
        <f>IF($C923&lt;&gt;"",COUNTIF($C$2:C923,C923),"")</f>
        <v/>
      </c>
      <c r="V923" s="29" t="str">
        <f t="shared" si="52"/>
        <v/>
      </c>
      <c r="W923" s="29" t="str">
        <f>IF(U923=1,COUNTIF($U$2:U923,1),"")</f>
        <v/>
      </c>
      <c r="X923" s="29" t="str">
        <f t="shared" si="53"/>
        <v/>
      </c>
      <c r="Y923" s="29" t="str">
        <f>IF(AND(LEFT($B923,7)="SBA 26/",$D923&lt;&gt;"",$F923&lt;&gt;""),COUNTIFS($D$2:$D923,$D923,$B$2:$B923,"SBA 26/*",$F$2:$F923,"&lt;&gt;"),"")</f>
        <v/>
      </c>
      <c r="Z923" s="29" t="str">
        <f>IF(Y923=1,COUNTIF($Y$2:Y923,1),"")</f>
        <v/>
      </c>
      <c r="AA923" s="29" t="str">
        <f>IF(AND(LEFT($B923,7)="SBA 26/",$C923&lt;&gt;"",$F923&lt;&gt;""),COUNTIFS($C$2:$C923,$C923,$B$2:$B923,"SBA 26/*",$F$2:$F923,"&lt;&gt;"),"")</f>
        <v/>
      </c>
      <c r="AB923" s="29" t="str">
        <f>IF(AA923=1,COUNTIF($AA$2:AA923,1),"")</f>
        <v/>
      </c>
    </row>
    <row r="924" spans="6:28" ht="31.5" customHeight="1" x14ac:dyDescent="0.2">
      <c r="F924" s="45" t="s">
        <v>3486</v>
      </c>
      <c r="T924" s="41"/>
      <c r="U924" s="29" t="str">
        <f>IF($C924&lt;&gt;"",COUNTIF($C$2:C924,C924),"")</f>
        <v/>
      </c>
      <c r="V924" s="29" t="str">
        <f t="shared" si="52"/>
        <v/>
      </c>
      <c r="W924" s="29" t="str">
        <f>IF(U924=1,COUNTIF($U$2:U924,1),"")</f>
        <v/>
      </c>
      <c r="X924" s="29" t="str">
        <f t="shared" si="53"/>
        <v/>
      </c>
      <c r="Y924" s="29" t="str">
        <f>IF(AND(LEFT($B924,7)="SBA 26/",$D924&lt;&gt;"",$F924&lt;&gt;""),COUNTIFS($D$2:$D924,$D924,$B$2:$B924,"SBA 26/*",$F$2:$F924,"&lt;&gt;"),"")</f>
        <v/>
      </c>
      <c r="Z924" s="29" t="str">
        <f>IF(Y924=1,COUNTIF($Y$2:Y924,1),"")</f>
        <v/>
      </c>
      <c r="AA924" s="29" t="str">
        <f>IF(AND(LEFT($B924,7)="SBA 26/",$C924&lt;&gt;"",$F924&lt;&gt;""),COUNTIFS($C$2:$C924,$C924,$B$2:$B924,"SBA 26/*",$F$2:$F924,"&lt;&gt;"),"")</f>
        <v/>
      </c>
      <c r="AB924" s="29" t="str">
        <f>IF(AA924=1,COUNTIF($AA$2:AA924,1),"")</f>
        <v/>
      </c>
    </row>
    <row r="925" spans="6:28" ht="31.5" customHeight="1" x14ac:dyDescent="0.2">
      <c r="F925" s="45" t="s">
        <v>3487</v>
      </c>
      <c r="T925" s="41"/>
      <c r="U925" s="29" t="str">
        <f>IF($C925&lt;&gt;"",COUNTIF($C$2:C925,C925),"")</f>
        <v/>
      </c>
      <c r="V925" s="29" t="str">
        <f t="shared" si="52"/>
        <v/>
      </c>
      <c r="W925" s="29" t="str">
        <f>IF(U925=1,COUNTIF($U$2:U925,1),"")</f>
        <v/>
      </c>
      <c r="X925" s="29" t="str">
        <f t="shared" si="53"/>
        <v/>
      </c>
      <c r="Y925" s="29" t="str">
        <f>IF(AND(LEFT($B925,7)="SBA 26/",$D925&lt;&gt;"",$F925&lt;&gt;""),COUNTIFS($D$2:$D925,$D925,$B$2:$B925,"SBA 26/*",$F$2:$F925,"&lt;&gt;"),"")</f>
        <v/>
      </c>
      <c r="Z925" s="29" t="str">
        <f>IF(Y925=1,COUNTIF($Y$2:Y925,1),"")</f>
        <v/>
      </c>
      <c r="AA925" s="29" t="str">
        <f>IF(AND(LEFT($B925,7)="SBA 26/",$C925&lt;&gt;"",$F925&lt;&gt;""),COUNTIFS($C$2:$C925,$C925,$B$2:$B925,"SBA 26/*",$F$2:$F925,"&lt;&gt;"),"")</f>
        <v/>
      </c>
      <c r="AB925" s="29" t="str">
        <f>IF(AA925=1,COUNTIF($AA$2:AA925,1),"")</f>
        <v/>
      </c>
    </row>
    <row r="926" spans="6:28" ht="47.25" customHeight="1" x14ac:dyDescent="0.2">
      <c r="F926" s="45" t="s">
        <v>3488</v>
      </c>
      <c r="T926" s="41"/>
      <c r="U926" s="29" t="str">
        <f>IF($C926&lt;&gt;"",COUNTIF($C$2:C926,C926),"")</f>
        <v/>
      </c>
      <c r="V926" s="29" t="str">
        <f t="shared" si="52"/>
        <v/>
      </c>
      <c r="W926" s="29" t="str">
        <f>IF(U926=1,COUNTIF($U$2:U926,1),"")</f>
        <v/>
      </c>
      <c r="X926" s="29" t="str">
        <f t="shared" si="53"/>
        <v/>
      </c>
      <c r="Y926" s="29" t="str">
        <f>IF(AND(LEFT($B926,7)="SBA 26/",$D926&lt;&gt;"",$F926&lt;&gt;""),COUNTIFS($D$2:$D926,$D926,$B$2:$B926,"SBA 26/*",$F$2:$F926,"&lt;&gt;"),"")</f>
        <v/>
      </c>
      <c r="Z926" s="29" t="str">
        <f>IF(Y926=1,COUNTIF($Y$2:Y926,1),"")</f>
        <v/>
      </c>
      <c r="AA926" s="29" t="str">
        <f>IF(AND(LEFT($B926,7)="SBA 26/",$C926&lt;&gt;"",$F926&lt;&gt;""),COUNTIFS($C$2:$C926,$C926,$B$2:$B926,"SBA 26/*",$F$2:$F926,"&lt;&gt;"),"")</f>
        <v/>
      </c>
      <c r="AB926" s="29" t="str">
        <f>IF(AA926=1,COUNTIF($AA$2:AA926,1),"")</f>
        <v/>
      </c>
    </row>
    <row r="927" spans="6:28" ht="31.5" customHeight="1" x14ac:dyDescent="0.2">
      <c r="F927" s="45" t="s">
        <v>3489</v>
      </c>
      <c r="T927" s="41"/>
      <c r="U927" s="29" t="str">
        <f>IF($C927&lt;&gt;"",COUNTIF($C$2:C927,C927),"")</f>
        <v/>
      </c>
      <c r="V927" s="29" t="str">
        <f t="shared" si="52"/>
        <v/>
      </c>
      <c r="W927" s="29" t="str">
        <f>IF(U927=1,COUNTIF($U$2:U927,1),"")</f>
        <v/>
      </c>
      <c r="X927" s="29" t="str">
        <f t="shared" si="53"/>
        <v/>
      </c>
      <c r="Y927" s="29" t="str">
        <f>IF(AND(LEFT($B927,7)="SBA 26/",$D927&lt;&gt;"",$F927&lt;&gt;""),COUNTIFS($D$2:$D927,$D927,$B$2:$B927,"SBA 26/*",$F$2:$F927,"&lt;&gt;"),"")</f>
        <v/>
      </c>
      <c r="Z927" s="29" t="str">
        <f>IF(Y927=1,COUNTIF($Y$2:Y927,1),"")</f>
        <v/>
      </c>
      <c r="AA927" s="29" t="str">
        <f>IF(AND(LEFT($B927,7)="SBA 26/",$C927&lt;&gt;"",$F927&lt;&gt;""),COUNTIFS($C$2:$C927,$C927,$B$2:$B927,"SBA 26/*",$F$2:$F927,"&lt;&gt;"),"")</f>
        <v/>
      </c>
      <c r="AB927" s="29" t="str">
        <f>IF(AA927=1,COUNTIF($AA$2:AA927,1),"")</f>
        <v/>
      </c>
    </row>
    <row r="928" spans="6:28" ht="31.5" customHeight="1" x14ac:dyDescent="0.2">
      <c r="F928" s="45" t="s">
        <v>3490</v>
      </c>
      <c r="T928" s="41"/>
      <c r="U928" s="29" t="str">
        <f>IF($C928&lt;&gt;"",COUNTIF($C$2:C928,C928),"")</f>
        <v/>
      </c>
      <c r="V928" s="29" t="str">
        <f t="shared" si="52"/>
        <v/>
      </c>
      <c r="W928" s="29" t="str">
        <f>IF(U928=1,COUNTIF($U$2:U928,1),"")</f>
        <v/>
      </c>
      <c r="X928" s="29" t="str">
        <f t="shared" si="53"/>
        <v/>
      </c>
      <c r="Y928" s="29" t="str">
        <f>IF(AND(LEFT($B928,7)="SBA 26/",$D928&lt;&gt;"",$F928&lt;&gt;""),COUNTIFS($D$2:$D928,$D928,$B$2:$B928,"SBA 26/*",$F$2:$F928,"&lt;&gt;"),"")</f>
        <v/>
      </c>
      <c r="Z928" s="29" t="str">
        <f>IF(Y928=1,COUNTIF($Y$2:Y928,1),"")</f>
        <v/>
      </c>
      <c r="AA928" s="29" t="str">
        <f>IF(AND(LEFT($B928,7)="SBA 26/",$C928&lt;&gt;"",$F928&lt;&gt;""),COUNTIFS($C$2:$C928,$C928,$B$2:$B928,"SBA 26/*",$F$2:$F928,"&lt;&gt;"),"")</f>
        <v/>
      </c>
      <c r="AB928" s="29" t="str">
        <f>IF(AA928=1,COUNTIF($AA$2:AA928,1),"")</f>
        <v/>
      </c>
    </row>
    <row r="929" spans="6:28" ht="63" customHeight="1" x14ac:dyDescent="0.2">
      <c r="F929" s="45" t="s">
        <v>3491</v>
      </c>
      <c r="T929" s="41"/>
      <c r="U929" s="29" t="str">
        <f>IF($C929&lt;&gt;"",COUNTIF($C$2:C929,C929),"")</f>
        <v/>
      </c>
      <c r="V929" s="29" t="str">
        <f t="shared" si="52"/>
        <v/>
      </c>
      <c r="W929" s="29" t="str">
        <f>IF(U929=1,COUNTIF($U$2:U929,1),"")</f>
        <v/>
      </c>
      <c r="X929" s="29" t="str">
        <f t="shared" si="53"/>
        <v/>
      </c>
      <c r="Y929" s="29" t="str">
        <f>IF(AND(LEFT($B929,7)="SBA 26/",$D929&lt;&gt;"",$F929&lt;&gt;""),COUNTIFS($D$2:$D929,$D929,$B$2:$B929,"SBA 26/*",$F$2:$F929,"&lt;&gt;"),"")</f>
        <v/>
      </c>
      <c r="Z929" s="29" t="str">
        <f>IF(Y929=1,COUNTIF($Y$2:Y929,1),"")</f>
        <v/>
      </c>
      <c r="AA929" s="29" t="str">
        <f>IF(AND(LEFT($B929,7)="SBA 26/",$C929&lt;&gt;"",$F929&lt;&gt;""),COUNTIFS($C$2:$C929,$C929,$B$2:$B929,"SBA 26/*",$F$2:$F929,"&lt;&gt;"),"")</f>
        <v/>
      </c>
      <c r="AB929" s="29" t="str">
        <f>IF(AA929=1,COUNTIF($AA$2:AA929,1),"")</f>
        <v/>
      </c>
    </row>
    <row r="930" spans="6:28" ht="31.5" customHeight="1" x14ac:dyDescent="0.2">
      <c r="F930" s="45" t="s">
        <v>3492</v>
      </c>
      <c r="T930" s="41"/>
      <c r="U930" s="29" t="str">
        <f>IF($C930&lt;&gt;"",COUNTIF($C$2:C930,C930),"")</f>
        <v/>
      </c>
      <c r="V930" s="29" t="str">
        <f t="shared" si="52"/>
        <v/>
      </c>
      <c r="W930" s="29" t="str">
        <f>IF(U930=1,COUNTIF($U$2:U930,1),"")</f>
        <v/>
      </c>
      <c r="X930" s="29" t="str">
        <f t="shared" si="53"/>
        <v/>
      </c>
      <c r="Y930" s="29" t="str">
        <f>IF(AND(LEFT($B930,7)="SBA 26/",$D930&lt;&gt;"",$F930&lt;&gt;""),COUNTIFS($D$2:$D930,$D930,$B$2:$B930,"SBA 26/*",$F$2:$F930,"&lt;&gt;"),"")</f>
        <v/>
      </c>
      <c r="Z930" s="29" t="str">
        <f>IF(Y930=1,COUNTIF($Y$2:Y930,1),"")</f>
        <v/>
      </c>
      <c r="AA930" s="29" t="str">
        <f>IF(AND(LEFT($B930,7)="SBA 26/",$C930&lt;&gt;"",$F930&lt;&gt;""),COUNTIFS($C$2:$C930,$C930,$B$2:$B930,"SBA 26/*",$F$2:$F930,"&lt;&gt;"),"")</f>
        <v/>
      </c>
      <c r="AB930" s="29" t="str">
        <f>IF(AA930=1,COUNTIF($AA$2:AA930,1),"")</f>
        <v/>
      </c>
    </row>
    <row r="931" spans="6:28" ht="47.25" customHeight="1" x14ac:dyDescent="0.2">
      <c r="F931" s="45" t="s">
        <v>3493</v>
      </c>
      <c r="T931" s="41"/>
      <c r="U931" s="29" t="str">
        <f>IF($C931&lt;&gt;"",COUNTIF($C$2:C931,C931),"")</f>
        <v/>
      </c>
      <c r="V931" s="29" t="str">
        <f t="shared" si="52"/>
        <v/>
      </c>
      <c r="W931" s="29" t="str">
        <f>IF(U931=1,COUNTIF($U$2:U931,1),"")</f>
        <v/>
      </c>
      <c r="X931" s="29" t="str">
        <f t="shared" si="53"/>
        <v/>
      </c>
      <c r="Y931" s="29" t="str">
        <f>IF(AND(LEFT($B931,7)="SBA 26/",$D931&lt;&gt;"",$F931&lt;&gt;""),COUNTIFS($D$2:$D931,$D931,$B$2:$B931,"SBA 26/*",$F$2:$F931,"&lt;&gt;"),"")</f>
        <v/>
      </c>
      <c r="Z931" s="29" t="str">
        <f>IF(Y931=1,COUNTIF($Y$2:Y931,1),"")</f>
        <v/>
      </c>
      <c r="AA931" s="29" t="str">
        <f>IF(AND(LEFT($B931,7)="SBA 26/",$C931&lt;&gt;"",$F931&lt;&gt;""),COUNTIFS($C$2:$C931,$C931,$B$2:$B931,"SBA 26/*",$F$2:$F931,"&lt;&gt;"),"")</f>
        <v/>
      </c>
      <c r="AB931" s="29" t="str">
        <f>IF(AA931=1,COUNTIF($AA$2:AA931,1),"")</f>
        <v/>
      </c>
    </row>
    <row r="932" spans="6:28" ht="47.25" customHeight="1" x14ac:dyDescent="0.2">
      <c r="F932" s="45" t="s">
        <v>3494</v>
      </c>
      <c r="T932" s="41"/>
      <c r="U932" s="29" t="str">
        <f>IF($C932&lt;&gt;"",COUNTIF($C$2:C932,C932),"")</f>
        <v/>
      </c>
      <c r="V932" s="29" t="str">
        <f t="shared" si="52"/>
        <v/>
      </c>
      <c r="W932" s="29" t="str">
        <f>IF(U932=1,COUNTIF($U$2:U932,1),"")</f>
        <v/>
      </c>
      <c r="X932" s="29" t="str">
        <f t="shared" si="53"/>
        <v/>
      </c>
      <c r="Y932" s="29" t="str">
        <f>IF(AND(LEFT($B932,7)="SBA 26/",$D932&lt;&gt;"",$F932&lt;&gt;""),COUNTIFS($D$2:$D932,$D932,$B$2:$B932,"SBA 26/*",$F$2:$F932,"&lt;&gt;"),"")</f>
        <v/>
      </c>
      <c r="Z932" s="29" t="str">
        <f>IF(Y932=1,COUNTIF($Y$2:Y932,1),"")</f>
        <v/>
      </c>
      <c r="AA932" s="29" t="str">
        <f>IF(AND(LEFT($B932,7)="SBA 26/",$C932&lt;&gt;"",$F932&lt;&gt;""),COUNTIFS($C$2:$C932,$C932,$B$2:$B932,"SBA 26/*",$F$2:$F932,"&lt;&gt;"),"")</f>
        <v/>
      </c>
      <c r="AB932" s="29" t="str">
        <f>IF(AA932=1,COUNTIF($AA$2:AA932,1),"")</f>
        <v/>
      </c>
    </row>
    <row r="933" spans="6:28" ht="47.25" customHeight="1" x14ac:dyDescent="0.2">
      <c r="F933" s="45" t="s">
        <v>3495</v>
      </c>
      <c r="T933" s="41"/>
      <c r="U933" s="29" t="str">
        <f>IF($C933&lt;&gt;"",COUNTIF($C$2:C933,C933),"")</f>
        <v/>
      </c>
      <c r="V933" s="29" t="str">
        <f t="shared" si="52"/>
        <v/>
      </c>
      <c r="W933" s="29" t="str">
        <f>IF(U933=1,COUNTIF($U$2:U933,1),"")</f>
        <v/>
      </c>
      <c r="X933" s="29" t="str">
        <f t="shared" si="53"/>
        <v/>
      </c>
      <c r="Y933" s="29" t="str">
        <f>IF(AND(LEFT($B933,7)="SBA 26/",$D933&lt;&gt;"",$F933&lt;&gt;""),COUNTIFS($D$2:$D933,$D933,$B$2:$B933,"SBA 26/*",$F$2:$F933,"&lt;&gt;"),"")</f>
        <v/>
      </c>
      <c r="Z933" s="29" t="str">
        <f>IF(Y933=1,COUNTIF($Y$2:Y933,1),"")</f>
        <v/>
      </c>
      <c r="AA933" s="29" t="str">
        <f>IF(AND(LEFT($B933,7)="SBA 26/",$C933&lt;&gt;"",$F933&lt;&gt;""),COUNTIFS($C$2:$C933,$C933,$B$2:$B933,"SBA 26/*",$F$2:$F933,"&lt;&gt;"),"")</f>
        <v/>
      </c>
      <c r="AB933" s="29" t="str">
        <f>IF(AA933=1,COUNTIF($AA$2:AA933,1),"")</f>
        <v/>
      </c>
    </row>
    <row r="934" spans="6:28" ht="47.25" customHeight="1" x14ac:dyDescent="0.2">
      <c r="F934" s="45" t="s">
        <v>3496</v>
      </c>
      <c r="T934" s="41"/>
      <c r="U934" s="29" t="str">
        <f>IF($C934&lt;&gt;"",COUNTIF($C$2:C934,C934),"")</f>
        <v/>
      </c>
      <c r="V934" s="29" t="str">
        <f t="shared" si="52"/>
        <v/>
      </c>
      <c r="W934" s="29" t="str">
        <f>IF(U934=1,COUNTIF($U$2:U934,1),"")</f>
        <v/>
      </c>
      <c r="X934" s="29" t="str">
        <f t="shared" si="53"/>
        <v/>
      </c>
      <c r="Y934" s="29" t="str">
        <f>IF(AND(LEFT($B934,7)="SBA 26/",$D934&lt;&gt;"",$F934&lt;&gt;""),COUNTIFS($D$2:$D934,$D934,$B$2:$B934,"SBA 26/*",$F$2:$F934,"&lt;&gt;"),"")</f>
        <v/>
      </c>
      <c r="Z934" s="29" t="str">
        <f>IF(Y934=1,COUNTIF($Y$2:Y934,1),"")</f>
        <v/>
      </c>
      <c r="AA934" s="29" t="str">
        <f>IF(AND(LEFT($B934,7)="SBA 26/",$C934&lt;&gt;"",$F934&lt;&gt;""),COUNTIFS($C$2:$C934,$C934,$B$2:$B934,"SBA 26/*",$F$2:$F934,"&lt;&gt;"),"")</f>
        <v/>
      </c>
      <c r="AB934" s="29" t="str">
        <f>IF(AA934=1,COUNTIF($AA$2:AA934,1),"")</f>
        <v/>
      </c>
    </row>
    <row r="935" spans="6:28" ht="47.25" customHeight="1" x14ac:dyDescent="0.2">
      <c r="F935" s="45" t="s">
        <v>3497</v>
      </c>
      <c r="T935" s="41"/>
      <c r="U935" s="29" t="str">
        <f>IF($C935&lt;&gt;"",COUNTIF($C$2:C935,C935),"")</f>
        <v/>
      </c>
      <c r="V935" s="29" t="str">
        <f t="shared" si="52"/>
        <v/>
      </c>
      <c r="W935" s="29" t="str">
        <f>IF(U935=1,COUNTIF($U$2:U935,1),"")</f>
        <v/>
      </c>
      <c r="X935" s="29" t="str">
        <f t="shared" si="53"/>
        <v/>
      </c>
      <c r="Y935" s="29" t="str">
        <f>IF(AND(LEFT($B935,7)="SBA 26/",$D935&lt;&gt;"",$F935&lt;&gt;""),COUNTIFS($D$2:$D935,$D935,$B$2:$B935,"SBA 26/*",$F$2:$F935,"&lt;&gt;"),"")</f>
        <v/>
      </c>
      <c r="Z935" s="29" t="str">
        <f>IF(Y935=1,COUNTIF($Y$2:Y935,1),"")</f>
        <v/>
      </c>
      <c r="AA935" s="29" t="str">
        <f>IF(AND(LEFT($B935,7)="SBA 26/",$C935&lt;&gt;"",$F935&lt;&gt;""),COUNTIFS($C$2:$C935,$C935,$B$2:$B935,"SBA 26/*",$F$2:$F935,"&lt;&gt;"),"")</f>
        <v/>
      </c>
      <c r="AB935" s="29" t="str">
        <f>IF(AA935=1,COUNTIF($AA$2:AA935,1),"")</f>
        <v/>
      </c>
    </row>
    <row r="936" spans="6:28" ht="47.25" customHeight="1" x14ac:dyDescent="0.2">
      <c r="F936" s="45" t="s">
        <v>3498</v>
      </c>
      <c r="T936" s="41"/>
      <c r="U936" s="29" t="str">
        <f>IF($C936&lt;&gt;"",COUNTIF($C$2:C936,C936),"")</f>
        <v/>
      </c>
      <c r="V936" s="29" t="str">
        <f t="shared" si="52"/>
        <v/>
      </c>
      <c r="W936" s="29" t="str">
        <f>IF(U936=1,COUNTIF($U$2:U936,1),"")</f>
        <v/>
      </c>
      <c r="X936" s="29" t="str">
        <f t="shared" si="53"/>
        <v/>
      </c>
      <c r="Y936" s="29" t="str">
        <f>IF(AND(LEFT($B936,7)="SBA 26/",$D936&lt;&gt;"",$F936&lt;&gt;""),COUNTIFS($D$2:$D936,$D936,$B$2:$B936,"SBA 26/*",$F$2:$F936,"&lt;&gt;"),"")</f>
        <v/>
      </c>
      <c r="Z936" s="29" t="str">
        <f>IF(Y936=1,COUNTIF($Y$2:Y936,1),"")</f>
        <v/>
      </c>
      <c r="AA936" s="29" t="str">
        <f>IF(AND(LEFT($B936,7)="SBA 26/",$C936&lt;&gt;"",$F936&lt;&gt;""),COUNTIFS($C$2:$C936,$C936,$B$2:$B936,"SBA 26/*",$F$2:$F936,"&lt;&gt;"),"")</f>
        <v/>
      </c>
      <c r="AB936" s="29" t="str">
        <f>IF(AA936=1,COUNTIF($AA$2:AA936,1),"")</f>
        <v/>
      </c>
    </row>
    <row r="937" spans="6:28" ht="47.25" customHeight="1" x14ac:dyDescent="0.2">
      <c r="F937" s="45" t="s">
        <v>3499</v>
      </c>
      <c r="T937" s="41"/>
      <c r="U937" s="29" t="str">
        <f>IF($C937&lt;&gt;"",COUNTIF($C$2:C937,C937),"")</f>
        <v/>
      </c>
      <c r="V937" s="29" t="str">
        <f t="shared" si="52"/>
        <v/>
      </c>
      <c r="W937" s="29" t="str">
        <f>IF(U937=1,COUNTIF($U$2:U937,1),"")</f>
        <v/>
      </c>
      <c r="X937" s="29" t="str">
        <f t="shared" si="53"/>
        <v/>
      </c>
      <c r="Y937" s="29" t="str">
        <f>IF(AND(LEFT($B937,7)="SBA 26/",$D937&lt;&gt;"",$F937&lt;&gt;""),COUNTIFS($D$2:$D937,$D937,$B$2:$B937,"SBA 26/*",$F$2:$F937,"&lt;&gt;"),"")</f>
        <v/>
      </c>
      <c r="Z937" s="29" t="str">
        <f>IF(Y937=1,COUNTIF($Y$2:Y937,1),"")</f>
        <v/>
      </c>
      <c r="AA937" s="29" t="str">
        <f>IF(AND(LEFT($B937,7)="SBA 26/",$C937&lt;&gt;"",$F937&lt;&gt;""),COUNTIFS($C$2:$C937,$C937,$B$2:$B937,"SBA 26/*",$F$2:$F937,"&lt;&gt;"),"")</f>
        <v/>
      </c>
      <c r="AB937" s="29" t="str">
        <f>IF(AA937=1,COUNTIF($AA$2:AA937,1),"")</f>
        <v/>
      </c>
    </row>
    <row r="938" spans="6:28" ht="63" customHeight="1" x14ac:dyDescent="0.2">
      <c r="F938" s="45" t="s">
        <v>3500</v>
      </c>
      <c r="T938" s="41"/>
      <c r="U938" s="29" t="str">
        <f>IF($C938&lt;&gt;"",COUNTIF($C$2:C938,C938),"")</f>
        <v/>
      </c>
      <c r="V938" s="29" t="str">
        <f t="shared" si="52"/>
        <v/>
      </c>
      <c r="W938" s="29" t="str">
        <f>IF(U938=1,COUNTIF($U$2:U938,1),"")</f>
        <v/>
      </c>
      <c r="X938" s="29" t="str">
        <f t="shared" si="53"/>
        <v/>
      </c>
      <c r="Y938" s="29" t="str">
        <f>IF(AND(LEFT($B938,7)="SBA 26/",$D938&lt;&gt;"",$F938&lt;&gt;""),COUNTIFS($D$2:$D938,$D938,$B$2:$B938,"SBA 26/*",$F$2:$F938,"&lt;&gt;"),"")</f>
        <v/>
      </c>
      <c r="Z938" s="29" t="str">
        <f>IF(Y938=1,COUNTIF($Y$2:Y938,1),"")</f>
        <v/>
      </c>
      <c r="AA938" s="29" t="str">
        <f>IF(AND(LEFT($B938,7)="SBA 26/",$C938&lt;&gt;"",$F938&lt;&gt;""),COUNTIFS($C$2:$C938,$C938,$B$2:$B938,"SBA 26/*",$F$2:$F938,"&lt;&gt;"),"")</f>
        <v/>
      </c>
      <c r="AB938" s="29" t="str">
        <f>IF(AA938=1,COUNTIF($AA$2:AA938,1),"")</f>
        <v/>
      </c>
    </row>
    <row r="939" spans="6:28" ht="47.25" customHeight="1" x14ac:dyDescent="0.2">
      <c r="F939" s="45" t="s">
        <v>3501</v>
      </c>
      <c r="T939" s="41"/>
      <c r="U939" s="29" t="str">
        <f>IF($C939&lt;&gt;"",COUNTIF($C$2:C939,C939),"")</f>
        <v/>
      </c>
      <c r="V939" s="29" t="str">
        <f t="shared" si="52"/>
        <v/>
      </c>
      <c r="W939" s="29" t="str">
        <f>IF(U939=1,COUNTIF($U$2:U939,1),"")</f>
        <v/>
      </c>
      <c r="X939" s="29" t="str">
        <f t="shared" si="53"/>
        <v/>
      </c>
      <c r="Y939" s="29" t="str">
        <f>IF(AND(LEFT($B939,7)="SBA 26/",$D939&lt;&gt;"",$F939&lt;&gt;""),COUNTIFS($D$2:$D939,$D939,$B$2:$B939,"SBA 26/*",$F$2:$F939,"&lt;&gt;"),"")</f>
        <v/>
      </c>
      <c r="Z939" s="29" t="str">
        <f>IF(Y939=1,COUNTIF($Y$2:Y939,1),"")</f>
        <v/>
      </c>
      <c r="AA939" s="29" t="str">
        <f>IF(AND(LEFT($B939,7)="SBA 26/",$C939&lt;&gt;"",$F939&lt;&gt;""),COUNTIFS($C$2:$C939,$C939,$B$2:$B939,"SBA 26/*",$F$2:$F939,"&lt;&gt;"),"")</f>
        <v/>
      </c>
      <c r="AB939" s="29" t="str">
        <f>IF(AA939=1,COUNTIF($AA$2:AA939,1),"")</f>
        <v/>
      </c>
    </row>
    <row r="940" spans="6:28" ht="47.25" customHeight="1" x14ac:dyDescent="0.2">
      <c r="F940" s="45" t="s">
        <v>3502</v>
      </c>
      <c r="T940" s="41"/>
      <c r="U940" s="29" t="str">
        <f>IF($C940&lt;&gt;"",COUNTIF($C$2:C940,C940),"")</f>
        <v/>
      </c>
      <c r="V940" s="29" t="str">
        <f t="shared" si="52"/>
        <v/>
      </c>
      <c r="W940" s="29" t="str">
        <f>IF(U940=1,COUNTIF($U$2:U940,1),"")</f>
        <v/>
      </c>
      <c r="X940" s="29" t="str">
        <f t="shared" si="53"/>
        <v/>
      </c>
      <c r="Y940" s="29" t="str">
        <f>IF(AND(LEFT($B940,7)="SBA 26/",$D940&lt;&gt;"",$F940&lt;&gt;""),COUNTIFS($D$2:$D940,$D940,$B$2:$B940,"SBA 26/*",$F$2:$F940,"&lt;&gt;"),"")</f>
        <v/>
      </c>
      <c r="Z940" s="29" t="str">
        <f>IF(Y940=1,COUNTIF($Y$2:Y940,1),"")</f>
        <v/>
      </c>
      <c r="AA940" s="29" t="str">
        <f>IF(AND(LEFT($B940,7)="SBA 26/",$C940&lt;&gt;"",$F940&lt;&gt;""),COUNTIFS($C$2:$C940,$C940,$B$2:$B940,"SBA 26/*",$F$2:$F940,"&lt;&gt;"),"")</f>
        <v/>
      </c>
      <c r="AB940" s="29" t="str">
        <f>IF(AA940=1,COUNTIF($AA$2:AA940,1),"")</f>
        <v/>
      </c>
    </row>
    <row r="941" spans="6:28" ht="31.5" customHeight="1" x14ac:dyDescent="0.2">
      <c r="F941" s="45" t="s">
        <v>3503</v>
      </c>
      <c r="T941" s="41"/>
      <c r="U941" s="29" t="str">
        <f>IF($C941&lt;&gt;"",COUNTIF($C$2:C941,C941),"")</f>
        <v/>
      </c>
      <c r="V941" s="29" t="str">
        <f t="shared" si="52"/>
        <v/>
      </c>
      <c r="W941" s="29" t="str">
        <f>IF(U941=1,COUNTIF($U$2:U941,1),"")</f>
        <v/>
      </c>
      <c r="X941" s="29" t="str">
        <f t="shared" si="53"/>
        <v/>
      </c>
      <c r="Y941" s="29" t="str">
        <f>IF(AND(LEFT($B941,7)="SBA 26/",$D941&lt;&gt;"",$F941&lt;&gt;""),COUNTIFS($D$2:$D941,$D941,$B$2:$B941,"SBA 26/*",$F$2:$F941,"&lt;&gt;"),"")</f>
        <v/>
      </c>
      <c r="Z941" s="29" t="str">
        <f>IF(Y941=1,COUNTIF($Y$2:Y941,1),"")</f>
        <v/>
      </c>
      <c r="AA941" s="29" t="str">
        <f>IF(AND(LEFT($B941,7)="SBA 26/",$C941&lt;&gt;"",$F941&lt;&gt;""),COUNTIFS($C$2:$C941,$C941,$B$2:$B941,"SBA 26/*",$F$2:$F941,"&lt;&gt;"),"")</f>
        <v/>
      </c>
      <c r="AB941" s="29" t="str">
        <f>IF(AA941=1,COUNTIF($AA$2:AA941,1),"")</f>
        <v/>
      </c>
    </row>
    <row r="942" spans="6:28" ht="31.5" customHeight="1" x14ac:dyDescent="0.2">
      <c r="F942" s="45" t="s">
        <v>3504</v>
      </c>
      <c r="T942" s="41"/>
      <c r="U942" s="29" t="str">
        <f>IF($C942&lt;&gt;"",COUNTIF($C$2:C942,C942),"")</f>
        <v/>
      </c>
      <c r="V942" s="29" t="str">
        <f t="shared" si="52"/>
        <v/>
      </c>
      <c r="W942" s="29" t="str">
        <f>IF(U942=1,COUNTIF($U$2:U942,1),"")</f>
        <v/>
      </c>
      <c r="X942" s="29" t="str">
        <f t="shared" si="53"/>
        <v/>
      </c>
      <c r="Y942" s="29" t="str">
        <f>IF(AND(LEFT($B942,7)="SBA 26/",$D942&lt;&gt;"",$F942&lt;&gt;""),COUNTIFS($D$2:$D942,$D942,$B$2:$B942,"SBA 26/*",$F$2:$F942,"&lt;&gt;"),"")</f>
        <v/>
      </c>
      <c r="Z942" s="29" t="str">
        <f>IF(Y942=1,COUNTIF($Y$2:Y942,1),"")</f>
        <v/>
      </c>
      <c r="AA942" s="29" t="str">
        <f>IF(AND(LEFT($B942,7)="SBA 26/",$C942&lt;&gt;"",$F942&lt;&gt;""),COUNTIFS($C$2:$C942,$C942,$B$2:$B942,"SBA 26/*",$F$2:$F942,"&lt;&gt;"),"")</f>
        <v/>
      </c>
      <c r="AB942" s="29" t="str">
        <f>IF(AA942=1,COUNTIF($AA$2:AA942,1),"")</f>
        <v/>
      </c>
    </row>
    <row r="943" spans="6:28" ht="47.25" customHeight="1" x14ac:dyDescent="0.2">
      <c r="F943" s="45" t="s">
        <v>3505</v>
      </c>
      <c r="T943" s="41"/>
      <c r="U943" s="29" t="str">
        <f>IF($C943&lt;&gt;"",COUNTIF($C$2:C943,C943),"")</f>
        <v/>
      </c>
      <c r="V943" s="29" t="str">
        <f t="shared" si="52"/>
        <v/>
      </c>
      <c r="W943" s="29" t="str">
        <f>IF(U943=1,COUNTIF($U$2:U943,1),"")</f>
        <v/>
      </c>
      <c r="X943" s="29" t="str">
        <f t="shared" si="53"/>
        <v/>
      </c>
      <c r="Y943" s="29" t="str">
        <f>IF(AND(LEFT($B943,7)="SBA 26/",$D943&lt;&gt;"",$F943&lt;&gt;""),COUNTIFS($D$2:$D943,$D943,$B$2:$B943,"SBA 26/*",$F$2:$F943,"&lt;&gt;"),"")</f>
        <v/>
      </c>
      <c r="Z943" s="29" t="str">
        <f>IF(Y943=1,COUNTIF($Y$2:Y943,1),"")</f>
        <v/>
      </c>
      <c r="AA943" s="29" t="str">
        <f>IF(AND(LEFT($B943,7)="SBA 26/",$C943&lt;&gt;"",$F943&lt;&gt;""),COUNTIFS($C$2:$C943,$C943,$B$2:$B943,"SBA 26/*",$F$2:$F943,"&lt;&gt;"),"")</f>
        <v/>
      </c>
      <c r="AB943" s="29" t="str">
        <f>IF(AA943=1,COUNTIF($AA$2:AA943,1),"")</f>
        <v/>
      </c>
    </row>
    <row r="944" spans="6:28" ht="47.25" customHeight="1" x14ac:dyDescent="0.2">
      <c r="F944" s="45" t="s">
        <v>3506</v>
      </c>
      <c r="T944" s="41"/>
      <c r="U944" s="29" t="str">
        <f>IF($C944&lt;&gt;"",COUNTIF($C$2:C944,C944),"")</f>
        <v/>
      </c>
      <c r="V944" s="29" t="str">
        <f t="shared" si="52"/>
        <v/>
      </c>
      <c r="W944" s="29" t="str">
        <f>IF(U944=1,COUNTIF($U$2:U944,1),"")</f>
        <v/>
      </c>
      <c r="X944" s="29" t="str">
        <f t="shared" si="53"/>
        <v/>
      </c>
      <c r="Y944" s="29" t="str">
        <f>IF(AND(LEFT($B944,7)="SBA 26/",$D944&lt;&gt;"",$F944&lt;&gt;""),COUNTIFS($D$2:$D944,$D944,$B$2:$B944,"SBA 26/*",$F$2:$F944,"&lt;&gt;"),"")</f>
        <v/>
      </c>
      <c r="Z944" s="29" t="str">
        <f>IF(Y944=1,COUNTIF($Y$2:Y944,1),"")</f>
        <v/>
      </c>
      <c r="AA944" s="29" t="str">
        <f>IF(AND(LEFT($B944,7)="SBA 26/",$C944&lt;&gt;"",$F944&lt;&gt;""),COUNTIFS($C$2:$C944,$C944,$B$2:$B944,"SBA 26/*",$F$2:$F944,"&lt;&gt;"),"")</f>
        <v/>
      </c>
      <c r="AB944" s="29" t="str">
        <f>IF(AA944=1,COUNTIF($AA$2:AA944,1),"")</f>
        <v/>
      </c>
    </row>
    <row r="945" spans="6:28" ht="31.5" customHeight="1" x14ac:dyDescent="0.2">
      <c r="F945" s="45" t="s">
        <v>3507</v>
      </c>
      <c r="T945" s="41"/>
      <c r="U945" s="29" t="str">
        <f>IF($C945&lt;&gt;"",COUNTIF($C$2:C945,C945),"")</f>
        <v/>
      </c>
      <c r="V945" s="29" t="str">
        <f t="shared" si="52"/>
        <v/>
      </c>
      <c r="W945" s="29" t="str">
        <f>IF(U945=1,COUNTIF($U$2:U945,1),"")</f>
        <v/>
      </c>
      <c r="X945" s="29" t="str">
        <f t="shared" si="53"/>
        <v/>
      </c>
      <c r="Y945" s="29" t="str">
        <f>IF(AND(LEFT($B945,7)="SBA 26/",$D945&lt;&gt;"",$F945&lt;&gt;""),COUNTIFS($D$2:$D945,$D945,$B$2:$B945,"SBA 26/*",$F$2:$F945,"&lt;&gt;"),"")</f>
        <v/>
      </c>
      <c r="Z945" s="29" t="str">
        <f>IF(Y945=1,COUNTIF($Y$2:Y945,1),"")</f>
        <v/>
      </c>
      <c r="AA945" s="29" t="str">
        <f>IF(AND(LEFT($B945,7)="SBA 26/",$C945&lt;&gt;"",$F945&lt;&gt;""),COUNTIFS($C$2:$C945,$C945,$B$2:$B945,"SBA 26/*",$F$2:$F945,"&lt;&gt;"),"")</f>
        <v/>
      </c>
      <c r="AB945" s="29" t="str">
        <f>IF(AA945=1,COUNTIF($AA$2:AA945,1),"")</f>
        <v/>
      </c>
    </row>
    <row r="946" spans="6:28" ht="31.5" customHeight="1" x14ac:dyDescent="0.2">
      <c r="F946" s="45" t="s">
        <v>3508</v>
      </c>
      <c r="T946" s="41"/>
      <c r="U946" s="29" t="str">
        <f>IF($C946&lt;&gt;"",COUNTIF($C$2:C946,C946),"")</f>
        <v/>
      </c>
      <c r="V946" s="29" t="str">
        <f t="shared" si="52"/>
        <v/>
      </c>
      <c r="W946" s="29" t="str">
        <f>IF(U946=1,COUNTIF($U$2:U946,1),"")</f>
        <v/>
      </c>
      <c r="X946" s="29" t="str">
        <f t="shared" si="53"/>
        <v/>
      </c>
      <c r="Y946" s="29" t="str">
        <f>IF(AND(LEFT($B946,7)="SBA 26/",$D946&lt;&gt;"",$F946&lt;&gt;""),COUNTIFS($D$2:$D946,$D946,$B$2:$B946,"SBA 26/*",$F$2:$F946,"&lt;&gt;"),"")</f>
        <v/>
      </c>
      <c r="Z946" s="29" t="str">
        <f>IF(Y946=1,COUNTIF($Y$2:Y946,1),"")</f>
        <v/>
      </c>
      <c r="AA946" s="29" t="str">
        <f>IF(AND(LEFT($B946,7)="SBA 26/",$C946&lt;&gt;"",$F946&lt;&gt;""),COUNTIFS($C$2:$C946,$C946,$B$2:$B946,"SBA 26/*",$F$2:$F946,"&lt;&gt;"),"")</f>
        <v/>
      </c>
      <c r="AB946" s="29" t="str">
        <f>IF(AA946=1,COUNTIF($AA$2:AA946,1),"")</f>
        <v/>
      </c>
    </row>
    <row r="947" spans="6:28" ht="31.5" customHeight="1" x14ac:dyDescent="0.2">
      <c r="F947" s="45" t="s">
        <v>3509</v>
      </c>
      <c r="T947" s="41"/>
      <c r="U947" s="29" t="str">
        <f>IF($C947&lt;&gt;"",COUNTIF($C$2:C947,C947),"")</f>
        <v/>
      </c>
      <c r="V947" s="29" t="str">
        <f t="shared" si="52"/>
        <v/>
      </c>
      <c r="W947" s="29" t="str">
        <f>IF(U947=1,COUNTIF($U$2:U947,1),"")</f>
        <v/>
      </c>
      <c r="X947" s="29" t="str">
        <f t="shared" si="53"/>
        <v/>
      </c>
      <c r="Y947" s="29" t="str">
        <f>IF(AND(LEFT($B947,7)="SBA 26/",$D947&lt;&gt;"",$F947&lt;&gt;""),COUNTIFS($D$2:$D947,$D947,$B$2:$B947,"SBA 26/*",$F$2:$F947,"&lt;&gt;"),"")</f>
        <v/>
      </c>
      <c r="Z947" s="29" t="str">
        <f>IF(Y947=1,COUNTIF($Y$2:Y947,1),"")</f>
        <v/>
      </c>
      <c r="AA947" s="29" t="str">
        <f>IF(AND(LEFT($B947,7)="SBA 26/",$C947&lt;&gt;"",$F947&lt;&gt;""),COUNTIFS($C$2:$C947,$C947,$B$2:$B947,"SBA 26/*",$F$2:$F947,"&lt;&gt;"),"")</f>
        <v/>
      </c>
      <c r="AB947" s="29" t="str">
        <f>IF(AA947=1,COUNTIF($AA$2:AA947,1),"")</f>
        <v/>
      </c>
    </row>
    <row r="948" spans="6:28" ht="31.5" customHeight="1" x14ac:dyDescent="0.2">
      <c r="F948" s="45" t="s">
        <v>3510</v>
      </c>
      <c r="T948" s="41"/>
      <c r="U948" s="29" t="str">
        <f>IF($C948&lt;&gt;"",COUNTIF($C$2:C948,C948),"")</f>
        <v/>
      </c>
      <c r="V948" s="29" t="str">
        <f t="shared" si="52"/>
        <v/>
      </c>
      <c r="W948" s="29" t="str">
        <f>IF(U948=1,COUNTIF($U$2:U948,1),"")</f>
        <v/>
      </c>
      <c r="X948" s="29" t="str">
        <f t="shared" si="53"/>
        <v/>
      </c>
      <c r="Y948" s="29" t="str">
        <f>IF(AND(LEFT($B948,7)="SBA 26/",$D948&lt;&gt;"",$F948&lt;&gt;""),COUNTIFS($D$2:$D948,$D948,$B$2:$B948,"SBA 26/*",$F$2:$F948,"&lt;&gt;"),"")</f>
        <v/>
      </c>
      <c r="Z948" s="29" t="str">
        <f>IF(Y948=1,COUNTIF($Y$2:Y948,1),"")</f>
        <v/>
      </c>
      <c r="AA948" s="29" t="str">
        <f>IF(AND(LEFT($B948,7)="SBA 26/",$C948&lt;&gt;"",$F948&lt;&gt;""),COUNTIFS($C$2:$C948,$C948,$B$2:$B948,"SBA 26/*",$F$2:$F948,"&lt;&gt;"),"")</f>
        <v/>
      </c>
      <c r="AB948" s="29" t="str">
        <f>IF(AA948=1,COUNTIF($AA$2:AA948,1),"")</f>
        <v/>
      </c>
    </row>
    <row r="949" spans="6:28" ht="31.5" customHeight="1" x14ac:dyDescent="0.2">
      <c r="F949" s="45" t="s">
        <v>3511</v>
      </c>
      <c r="T949" s="41"/>
      <c r="U949" s="29" t="str">
        <f>IF($C949&lt;&gt;"",COUNTIF($C$2:C949,C949),"")</f>
        <v/>
      </c>
      <c r="V949" s="29" t="str">
        <f t="shared" si="52"/>
        <v/>
      </c>
      <c r="W949" s="29" t="str">
        <f>IF(U949=1,COUNTIF($U$2:U949,1),"")</f>
        <v/>
      </c>
      <c r="X949" s="29" t="str">
        <f t="shared" si="53"/>
        <v/>
      </c>
      <c r="Y949" s="29" t="str">
        <f>IF(AND(LEFT($B949,7)="SBA 26/",$D949&lt;&gt;"",$F949&lt;&gt;""),COUNTIFS($D$2:$D949,$D949,$B$2:$B949,"SBA 26/*",$F$2:$F949,"&lt;&gt;"),"")</f>
        <v/>
      </c>
      <c r="Z949" s="29" t="str">
        <f>IF(Y949=1,COUNTIF($Y$2:Y949,1),"")</f>
        <v/>
      </c>
      <c r="AA949" s="29" t="str">
        <f>IF(AND(LEFT($B949,7)="SBA 26/",$C949&lt;&gt;"",$F949&lt;&gt;""),COUNTIFS($C$2:$C949,$C949,$B$2:$B949,"SBA 26/*",$F$2:$F949,"&lt;&gt;"),"")</f>
        <v/>
      </c>
      <c r="AB949" s="29" t="str">
        <f>IF(AA949=1,COUNTIF($AA$2:AA949,1),"")</f>
        <v/>
      </c>
    </row>
    <row r="950" spans="6:28" ht="63" customHeight="1" x14ac:dyDescent="0.2">
      <c r="F950" s="45" t="s">
        <v>3512</v>
      </c>
      <c r="T950" s="41"/>
      <c r="U950" s="29" t="str">
        <f>IF($C950&lt;&gt;"",COUNTIF($C$2:C950,C950),"")</f>
        <v/>
      </c>
      <c r="V950" s="29" t="str">
        <f t="shared" si="52"/>
        <v/>
      </c>
      <c r="W950" s="29" t="str">
        <f>IF(U950=1,COUNTIF($U$2:U950,1),"")</f>
        <v/>
      </c>
      <c r="X950" s="29" t="str">
        <f t="shared" si="53"/>
        <v/>
      </c>
      <c r="Y950" s="29" t="str">
        <f>IF(AND(LEFT($B950,7)="SBA 26/",$D950&lt;&gt;"",$F950&lt;&gt;""),COUNTIFS($D$2:$D950,$D950,$B$2:$B950,"SBA 26/*",$F$2:$F950,"&lt;&gt;"),"")</f>
        <v/>
      </c>
      <c r="Z950" s="29" t="str">
        <f>IF(Y950=1,COUNTIF($Y$2:Y950,1),"")</f>
        <v/>
      </c>
      <c r="AA950" s="29" t="str">
        <f>IF(AND(LEFT($B950,7)="SBA 26/",$C950&lt;&gt;"",$F950&lt;&gt;""),COUNTIFS($C$2:$C950,$C950,$B$2:$B950,"SBA 26/*",$F$2:$F950,"&lt;&gt;"),"")</f>
        <v/>
      </c>
      <c r="AB950" s="29" t="str">
        <f>IF(AA950=1,COUNTIF($AA$2:AA950,1),"")</f>
        <v/>
      </c>
    </row>
    <row r="951" spans="6:28" ht="31.5" customHeight="1" x14ac:dyDescent="0.2">
      <c r="F951" s="45" t="s">
        <v>3513</v>
      </c>
      <c r="T951" s="41"/>
      <c r="U951" s="29" t="str">
        <f>IF($C951&lt;&gt;"",COUNTIF($C$2:C951,C951),"")</f>
        <v/>
      </c>
      <c r="V951" s="29" t="str">
        <f t="shared" si="52"/>
        <v/>
      </c>
      <c r="W951" s="29" t="str">
        <f>IF(U951=1,COUNTIF($U$2:U951,1),"")</f>
        <v/>
      </c>
      <c r="X951" s="29" t="str">
        <f t="shared" si="53"/>
        <v/>
      </c>
      <c r="Y951" s="29" t="str">
        <f>IF(AND(LEFT($B951,7)="SBA 26/",$D951&lt;&gt;"",$F951&lt;&gt;""),COUNTIFS($D$2:$D951,$D951,$B$2:$B951,"SBA 26/*",$F$2:$F951,"&lt;&gt;"),"")</f>
        <v/>
      </c>
      <c r="Z951" s="29" t="str">
        <f>IF(Y951=1,COUNTIF($Y$2:Y951,1),"")</f>
        <v/>
      </c>
      <c r="AA951" s="29" t="str">
        <f>IF(AND(LEFT($B951,7)="SBA 26/",$C951&lt;&gt;"",$F951&lt;&gt;""),COUNTIFS($C$2:$C951,$C951,$B$2:$B951,"SBA 26/*",$F$2:$F951,"&lt;&gt;"),"")</f>
        <v/>
      </c>
      <c r="AB951" s="29" t="str">
        <f>IF(AA951=1,COUNTIF($AA$2:AA951,1),"")</f>
        <v/>
      </c>
    </row>
    <row r="952" spans="6:28" ht="47.25" customHeight="1" x14ac:dyDescent="0.2">
      <c r="F952" s="45" t="s">
        <v>3514</v>
      </c>
      <c r="T952" s="41"/>
      <c r="U952" s="29" t="str">
        <f>IF($C952&lt;&gt;"",COUNTIF($C$2:C952,C952),"")</f>
        <v/>
      </c>
      <c r="V952" s="29" t="str">
        <f t="shared" si="52"/>
        <v/>
      </c>
      <c r="W952" s="29" t="str">
        <f>IF(U952=1,COUNTIF($U$2:U952,1),"")</f>
        <v/>
      </c>
      <c r="X952" s="29" t="str">
        <f t="shared" si="53"/>
        <v/>
      </c>
      <c r="Y952" s="29" t="str">
        <f>IF(AND(LEFT($B952,7)="SBA 26/",$D952&lt;&gt;"",$F952&lt;&gt;""),COUNTIFS($D$2:$D952,$D952,$B$2:$B952,"SBA 26/*",$F$2:$F952,"&lt;&gt;"),"")</f>
        <v/>
      </c>
      <c r="Z952" s="29" t="str">
        <f>IF(Y952=1,COUNTIF($Y$2:Y952,1),"")</f>
        <v/>
      </c>
      <c r="AA952" s="29" t="str">
        <f>IF(AND(LEFT($B952,7)="SBA 26/",$C952&lt;&gt;"",$F952&lt;&gt;""),COUNTIFS($C$2:$C952,$C952,$B$2:$B952,"SBA 26/*",$F$2:$F952,"&lt;&gt;"),"")</f>
        <v/>
      </c>
      <c r="AB952" s="29" t="str">
        <f>IF(AA952=1,COUNTIF($AA$2:AA952,1),"")</f>
        <v/>
      </c>
    </row>
    <row r="953" spans="6:28" ht="47.25" customHeight="1" x14ac:dyDescent="0.2">
      <c r="F953" s="45" t="s">
        <v>3515</v>
      </c>
      <c r="T953" s="41"/>
      <c r="U953" s="29" t="str">
        <f>IF($C953&lt;&gt;"",COUNTIF($C$2:C953,C953),"")</f>
        <v/>
      </c>
      <c r="V953" s="29" t="str">
        <f t="shared" si="52"/>
        <v/>
      </c>
      <c r="W953" s="29" t="str">
        <f>IF(U953=1,COUNTIF($U$2:U953,1),"")</f>
        <v/>
      </c>
      <c r="X953" s="29" t="str">
        <f t="shared" si="53"/>
        <v/>
      </c>
      <c r="Y953" s="29" t="str">
        <f>IF(AND(LEFT($B953,7)="SBA 26/",$D953&lt;&gt;"",$F953&lt;&gt;""),COUNTIFS($D$2:$D953,$D953,$B$2:$B953,"SBA 26/*",$F$2:$F953,"&lt;&gt;"),"")</f>
        <v/>
      </c>
      <c r="Z953" s="29" t="str">
        <f>IF(Y953=1,COUNTIF($Y$2:Y953,1),"")</f>
        <v/>
      </c>
      <c r="AA953" s="29" t="str">
        <f>IF(AND(LEFT($B953,7)="SBA 26/",$C953&lt;&gt;"",$F953&lt;&gt;""),COUNTIFS($C$2:$C953,$C953,$B$2:$B953,"SBA 26/*",$F$2:$F953,"&lt;&gt;"),"")</f>
        <v/>
      </c>
      <c r="AB953" s="29" t="str">
        <f>IF(AA953=1,COUNTIF($AA$2:AA953,1),"")</f>
        <v/>
      </c>
    </row>
    <row r="954" spans="6:28" ht="47.25" customHeight="1" x14ac:dyDescent="0.2">
      <c r="F954" s="45" t="s">
        <v>3516</v>
      </c>
      <c r="T954" s="41"/>
      <c r="U954" s="29" t="str">
        <f>IF($C954&lt;&gt;"",COUNTIF($C$2:C954,C954),"")</f>
        <v/>
      </c>
      <c r="V954" s="29" t="str">
        <f t="shared" si="52"/>
        <v/>
      </c>
      <c r="W954" s="29" t="str">
        <f>IF(U954=1,COUNTIF($U$2:U954,1),"")</f>
        <v/>
      </c>
      <c r="X954" s="29" t="str">
        <f t="shared" si="53"/>
        <v/>
      </c>
      <c r="Y954" s="29" t="str">
        <f>IF(AND(LEFT($B954,7)="SBA 26/",$D954&lt;&gt;"",$F954&lt;&gt;""),COUNTIFS($D$2:$D954,$D954,$B$2:$B954,"SBA 26/*",$F$2:$F954,"&lt;&gt;"),"")</f>
        <v/>
      </c>
      <c r="Z954" s="29" t="str">
        <f>IF(Y954=1,COUNTIF($Y$2:Y954,1),"")</f>
        <v/>
      </c>
      <c r="AA954" s="29" t="str">
        <f>IF(AND(LEFT($B954,7)="SBA 26/",$C954&lt;&gt;"",$F954&lt;&gt;""),COUNTIFS($C$2:$C954,$C954,$B$2:$B954,"SBA 26/*",$F$2:$F954,"&lt;&gt;"),"")</f>
        <v/>
      </c>
      <c r="AB954" s="29" t="str">
        <f>IF(AA954=1,COUNTIF($AA$2:AA954,1),"")</f>
        <v/>
      </c>
    </row>
    <row r="955" spans="6:28" ht="47.25" customHeight="1" x14ac:dyDescent="0.2">
      <c r="F955" s="45" t="s">
        <v>3517</v>
      </c>
      <c r="T955" s="41"/>
      <c r="U955" s="29" t="str">
        <f>IF($C955&lt;&gt;"",COUNTIF($C$2:C955,C955),"")</f>
        <v/>
      </c>
      <c r="V955" s="29" t="str">
        <f t="shared" si="52"/>
        <v/>
      </c>
      <c r="W955" s="29" t="str">
        <f>IF(U955=1,COUNTIF($U$2:U955,1),"")</f>
        <v/>
      </c>
      <c r="X955" s="29" t="str">
        <f t="shared" si="53"/>
        <v/>
      </c>
      <c r="Y955" s="29" t="str">
        <f>IF(AND(LEFT($B955,7)="SBA 26/",$D955&lt;&gt;"",$F955&lt;&gt;""),COUNTIFS($D$2:$D955,$D955,$B$2:$B955,"SBA 26/*",$F$2:$F955,"&lt;&gt;"),"")</f>
        <v/>
      </c>
      <c r="Z955" s="29" t="str">
        <f>IF(Y955=1,COUNTIF($Y$2:Y955,1),"")</f>
        <v/>
      </c>
      <c r="AA955" s="29" t="str">
        <f>IF(AND(LEFT($B955,7)="SBA 26/",$C955&lt;&gt;"",$F955&lt;&gt;""),COUNTIFS($C$2:$C955,$C955,$B$2:$B955,"SBA 26/*",$F$2:$F955,"&lt;&gt;"),"")</f>
        <v/>
      </c>
      <c r="AB955" s="29" t="str">
        <f>IF(AA955=1,COUNTIF($AA$2:AA955,1),"")</f>
        <v/>
      </c>
    </row>
    <row r="956" spans="6:28" ht="47.25" customHeight="1" x14ac:dyDescent="0.2">
      <c r="F956" s="45" t="s">
        <v>3518</v>
      </c>
      <c r="T956" s="41"/>
      <c r="U956" s="29" t="str">
        <f>IF($C956&lt;&gt;"",COUNTIF($C$2:C956,C956),"")</f>
        <v/>
      </c>
      <c r="V956" s="29" t="str">
        <f t="shared" si="52"/>
        <v/>
      </c>
      <c r="W956" s="29" t="str">
        <f>IF(U956=1,COUNTIF($U$2:U956,1),"")</f>
        <v/>
      </c>
      <c r="X956" s="29" t="str">
        <f t="shared" si="53"/>
        <v/>
      </c>
      <c r="Y956" s="29" t="str">
        <f>IF(AND(LEFT($B956,7)="SBA 26/",$D956&lt;&gt;"",$F956&lt;&gt;""),COUNTIFS($D$2:$D956,$D956,$B$2:$B956,"SBA 26/*",$F$2:$F956,"&lt;&gt;"),"")</f>
        <v/>
      </c>
      <c r="Z956" s="29" t="str">
        <f>IF(Y956=1,COUNTIF($Y$2:Y956,1),"")</f>
        <v/>
      </c>
      <c r="AA956" s="29" t="str">
        <f>IF(AND(LEFT($B956,7)="SBA 26/",$C956&lt;&gt;"",$F956&lt;&gt;""),COUNTIFS($C$2:$C956,$C956,$B$2:$B956,"SBA 26/*",$F$2:$F956,"&lt;&gt;"),"")</f>
        <v/>
      </c>
      <c r="AB956" s="29" t="str">
        <f>IF(AA956=1,COUNTIF($AA$2:AA956,1),"")</f>
        <v/>
      </c>
    </row>
    <row r="957" spans="6:28" ht="47.25" customHeight="1" x14ac:dyDescent="0.2">
      <c r="F957" s="45" t="s">
        <v>3519</v>
      </c>
      <c r="T957" s="41"/>
      <c r="U957" s="29" t="str">
        <f>IF($C957&lt;&gt;"",COUNTIF($C$2:C957,C957),"")</f>
        <v/>
      </c>
      <c r="V957" s="29" t="str">
        <f t="shared" si="52"/>
        <v/>
      </c>
      <c r="W957" s="29" t="str">
        <f>IF(U957=1,COUNTIF($U$2:U957,1),"")</f>
        <v/>
      </c>
      <c r="X957" s="29" t="str">
        <f t="shared" si="53"/>
        <v/>
      </c>
      <c r="Y957" s="29" t="str">
        <f>IF(AND(LEFT($B957,7)="SBA 26/",$D957&lt;&gt;"",$F957&lt;&gt;""),COUNTIFS($D$2:$D957,$D957,$B$2:$B957,"SBA 26/*",$F$2:$F957,"&lt;&gt;"),"")</f>
        <v/>
      </c>
      <c r="Z957" s="29" t="str">
        <f>IF(Y957=1,COUNTIF($Y$2:Y957,1),"")</f>
        <v/>
      </c>
      <c r="AA957" s="29" t="str">
        <f>IF(AND(LEFT($B957,7)="SBA 26/",$C957&lt;&gt;"",$F957&lt;&gt;""),COUNTIFS($C$2:$C957,$C957,$B$2:$B957,"SBA 26/*",$F$2:$F957,"&lt;&gt;"),"")</f>
        <v/>
      </c>
      <c r="AB957" s="29" t="str">
        <f>IF(AA957=1,COUNTIF($AA$2:AA957,1),"")</f>
        <v/>
      </c>
    </row>
    <row r="958" spans="6:28" ht="47.25" customHeight="1" x14ac:dyDescent="0.2">
      <c r="F958" s="45" t="s">
        <v>3520</v>
      </c>
      <c r="T958" s="41"/>
      <c r="U958" s="29" t="str">
        <f>IF($C958&lt;&gt;"",COUNTIF($C$2:C958,C958),"")</f>
        <v/>
      </c>
      <c r="V958" s="29" t="str">
        <f t="shared" si="52"/>
        <v/>
      </c>
      <c r="W958" s="29" t="str">
        <f>IF(U958=1,COUNTIF($U$2:U958,1),"")</f>
        <v/>
      </c>
      <c r="X958" s="29" t="str">
        <f t="shared" si="53"/>
        <v/>
      </c>
      <c r="Y958" s="29" t="str">
        <f>IF(AND(LEFT($B958,7)="SBA 26/",$D958&lt;&gt;"",$F958&lt;&gt;""),COUNTIFS($D$2:$D958,$D958,$B$2:$B958,"SBA 26/*",$F$2:$F958,"&lt;&gt;"),"")</f>
        <v/>
      </c>
      <c r="Z958" s="29" t="str">
        <f>IF(Y958=1,COUNTIF($Y$2:Y958,1),"")</f>
        <v/>
      </c>
      <c r="AA958" s="29" t="str">
        <f>IF(AND(LEFT($B958,7)="SBA 26/",$C958&lt;&gt;"",$F958&lt;&gt;""),COUNTIFS($C$2:$C958,$C958,$B$2:$B958,"SBA 26/*",$F$2:$F958,"&lt;&gt;"),"")</f>
        <v/>
      </c>
      <c r="AB958" s="29" t="str">
        <f>IF(AA958=1,COUNTIF($AA$2:AA958,1),"")</f>
        <v/>
      </c>
    </row>
    <row r="959" spans="6:28" ht="31.5" customHeight="1" x14ac:dyDescent="0.2">
      <c r="F959" s="45" t="s">
        <v>3521</v>
      </c>
      <c r="T959" s="41"/>
      <c r="U959" s="29" t="str">
        <f>IF($C959&lt;&gt;"",COUNTIF($C$2:C959,C959),"")</f>
        <v/>
      </c>
      <c r="V959" s="29" t="str">
        <f t="shared" si="52"/>
        <v/>
      </c>
      <c r="W959" s="29" t="str">
        <f>IF(U959=1,COUNTIF($U$2:U959,1),"")</f>
        <v/>
      </c>
      <c r="X959" s="29" t="str">
        <f t="shared" si="53"/>
        <v/>
      </c>
      <c r="Y959" s="29" t="str">
        <f>IF(AND(LEFT($B959,7)="SBA 26/",$D959&lt;&gt;"",$F959&lt;&gt;""),COUNTIFS($D$2:$D959,$D959,$B$2:$B959,"SBA 26/*",$F$2:$F959,"&lt;&gt;"),"")</f>
        <v/>
      </c>
      <c r="Z959" s="29" t="str">
        <f>IF(Y959=1,COUNTIF($Y$2:Y959,1),"")</f>
        <v/>
      </c>
      <c r="AA959" s="29" t="str">
        <f>IF(AND(LEFT($B959,7)="SBA 26/",$C959&lt;&gt;"",$F959&lt;&gt;""),COUNTIFS($C$2:$C959,$C959,$B$2:$B959,"SBA 26/*",$F$2:$F959,"&lt;&gt;"),"")</f>
        <v/>
      </c>
      <c r="AB959" s="29" t="str">
        <f>IF(AA959=1,COUNTIF($AA$2:AA959,1),"")</f>
        <v/>
      </c>
    </row>
    <row r="960" spans="6:28" ht="31.5" customHeight="1" x14ac:dyDescent="0.2">
      <c r="F960" s="45" t="s">
        <v>3522</v>
      </c>
      <c r="T960" s="41"/>
      <c r="U960" s="29" t="str">
        <f>IF($C960&lt;&gt;"",COUNTIF($C$2:C960,C960),"")</f>
        <v/>
      </c>
      <c r="V960" s="29" t="str">
        <f t="shared" si="52"/>
        <v/>
      </c>
      <c r="W960" s="29" t="str">
        <f>IF(U960=1,COUNTIF($U$2:U960,1),"")</f>
        <v/>
      </c>
      <c r="X960" s="29" t="str">
        <f t="shared" si="53"/>
        <v/>
      </c>
      <c r="Y960" s="29" t="str">
        <f>IF(AND(LEFT($B960,7)="SBA 26/",$D960&lt;&gt;"",$F960&lt;&gt;""),COUNTIFS($D$2:$D960,$D960,$B$2:$B960,"SBA 26/*",$F$2:$F960,"&lt;&gt;"),"")</f>
        <v/>
      </c>
      <c r="Z960" s="29" t="str">
        <f>IF(Y960=1,COUNTIF($Y$2:Y960,1),"")</f>
        <v/>
      </c>
      <c r="AA960" s="29" t="str">
        <f>IF(AND(LEFT($B960,7)="SBA 26/",$C960&lt;&gt;"",$F960&lt;&gt;""),COUNTIFS($C$2:$C960,$C960,$B$2:$B960,"SBA 26/*",$F$2:$F960,"&lt;&gt;"),"")</f>
        <v/>
      </c>
      <c r="AB960" s="29" t="str">
        <f>IF(AA960=1,COUNTIF($AA$2:AA960,1),"")</f>
        <v/>
      </c>
    </row>
    <row r="961" spans="6:28" ht="47.25" customHeight="1" x14ac:dyDescent="0.2">
      <c r="F961" s="45" t="s">
        <v>3523</v>
      </c>
      <c r="T961" s="41"/>
      <c r="U961" s="29" t="str">
        <f>IF($C961&lt;&gt;"",COUNTIF($C$2:C961,C961),"")</f>
        <v/>
      </c>
      <c r="V961" s="29" t="str">
        <f t="shared" si="52"/>
        <v/>
      </c>
      <c r="W961" s="29" t="str">
        <f>IF(U961=1,COUNTIF($U$2:U961,1),"")</f>
        <v/>
      </c>
      <c r="X961" s="29" t="str">
        <f t="shared" si="53"/>
        <v/>
      </c>
      <c r="Y961" s="29" t="str">
        <f>IF(AND(LEFT($B961,7)="SBA 26/",$D961&lt;&gt;"",$F961&lt;&gt;""),COUNTIFS($D$2:$D961,$D961,$B$2:$B961,"SBA 26/*",$F$2:$F961,"&lt;&gt;"),"")</f>
        <v/>
      </c>
      <c r="Z961" s="29" t="str">
        <f>IF(Y961=1,COUNTIF($Y$2:Y961,1),"")</f>
        <v/>
      </c>
      <c r="AA961" s="29" t="str">
        <f>IF(AND(LEFT($B961,7)="SBA 26/",$C961&lt;&gt;"",$F961&lt;&gt;""),COUNTIFS($C$2:$C961,$C961,$B$2:$B961,"SBA 26/*",$F$2:$F961,"&lt;&gt;"),"")</f>
        <v/>
      </c>
      <c r="AB961" s="29" t="str">
        <f>IF(AA961=1,COUNTIF($AA$2:AA961,1),"")</f>
        <v/>
      </c>
    </row>
    <row r="962" spans="6:28" ht="31.5" customHeight="1" x14ac:dyDescent="0.2">
      <c r="F962" s="45" t="s">
        <v>3524</v>
      </c>
      <c r="T962" s="41"/>
      <c r="U962" s="29" t="str">
        <f>IF($C962&lt;&gt;"",COUNTIF($C$2:C962,C962),"")</f>
        <v/>
      </c>
      <c r="V962" s="29" t="str">
        <f t="shared" ref="V962:V1025" si="54">IF($C962&lt;&gt;"",C962&amp;"§"&amp;U962,"")</f>
        <v/>
      </c>
      <c r="W962" s="29" t="str">
        <f>IF(U962=1,COUNTIF($U$2:U962,1),"")</f>
        <v/>
      </c>
      <c r="X962" s="29" t="str">
        <f t="shared" ref="X962:X1025" si="55">IF(U962=1,SUMPRODUCT(($U$2:$U$1799=1)*($C$2:$C$1799&lt;C962))+1,"")</f>
        <v/>
      </c>
      <c r="Y962" s="29" t="str">
        <f>IF(AND(LEFT($B962,7)="SBA 26/",$D962&lt;&gt;"",$F962&lt;&gt;""),COUNTIFS($D$2:$D962,$D962,$B$2:$B962,"SBA 26/*",$F$2:$F962,"&lt;&gt;"),"")</f>
        <v/>
      </c>
      <c r="Z962" s="29" t="str">
        <f>IF(Y962=1,COUNTIF($Y$2:Y962,1),"")</f>
        <v/>
      </c>
      <c r="AA962" s="29" t="str">
        <f>IF(AND(LEFT($B962,7)="SBA 26/",$C962&lt;&gt;"",$F962&lt;&gt;""),COUNTIFS($C$2:$C962,$C962,$B$2:$B962,"SBA 26/*",$F$2:$F962,"&lt;&gt;"),"")</f>
        <v/>
      </c>
      <c r="AB962" s="29" t="str">
        <f>IF(AA962=1,COUNTIF($AA$2:AA962,1),"")</f>
        <v/>
      </c>
    </row>
    <row r="963" spans="6:28" ht="47.25" customHeight="1" x14ac:dyDescent="0.2">
      <c r="F963" s="45" t="s">
        <v>3525</v>
      </c>
      <c r="T963" s="41"/>
      <c r="U963" s="29" t="str">
        <f>IF($C963&lt;&gt;"",COUNTIF($C$2:C963,C963),"")</f>
        <v/>
      </c>
      <c r="V963" s="29" t="str">
        <f t="shared" si="54"/>
        <v/>
      </c>
      <c r="W963" s="29" t="str">
        <f>IF(U963=1,COUNTIF($U$2:U963,1),"")</f>
        <v/>
      </c>
      <c r="X963" s="29" t="str">
        <f t="shared" si="55"/>
        <v/>
      </c>
      <c r="Y963" s="29" t="str">
        <f>IF(AND(LEFT($B963,7)="SBA 26/",$D963&lt;&gt;"",$F963&lt;&gt;""),COUNTIFS($D$2:$D963,$D963,$B$2:$B963,"SBA 26/*",$F$2:$F963,"&lt;&gt;"),"")</f>
        <v/>
      </c>
      <c r="Z963" s="29" t="str">
        <f>IF(Y963=1,COUNTIF($Y$2:Y963,1),"")</f>
        <v/>
      </c>
      <c r="AA963" s="29" t="str">
        <f>IF(AND(LEFT($B963,7)="SBA 26/",$C963&lt;&gt;"",$F963&lt;&gt;""),COUNTIFS($C$2:$C963,$C963,$B$2:$B963,"SBA 26/*",$F$2:$F963,"&lt;&gt;"),"")</f>
        <v/>
      </c>
      <c r="AB963" s="29" t="str">
        <f>IF(AA963=1,COUNTIF($AA$2:AA963,1),"")</f>
        <v/>
      </c>
    </row>
    <row r="964" spans="6:28" ht="47.25" customHeight="1" x14ac:dyDescent="0.2">
      <c r="F964" s="45" t="s">
        <v>3526</v>
      </c>
      <c r="T964" s="41"/>
      <c r="U964" s="29" t="str">
        <f>IF($C964&lt;&gt;"",COUNTIF($C$2:C964,C964),"")</f>
        <v/>
      </c>
      <c r="V964" s="29" t="str">
        <f t="shared" si="54"/>
        <v/>
      </c>
      <c r="W964" s="29" t="str">
        <f>IF(U964=1,COUNTIF($U$2:U964,1),"")</f>
        <v/>
      </c>
      <c r="X964" s="29" t="str">
        <f t="shared" si="55"/>
        <v/>
      </c>
      <c r="Y964" s="29" t="str">
        <f>IF(AND(LEFT($B964,7)="SBA 26/",$D964&lt;&gt;"",$F964&lt;&gt;""),COUNTIFS($D$2:$D964,$D964,$B$2:$B964,"SBA 26/*",$F$2:$F964,"&lt;&gt;"),"")</f>
        <v/>
      </c>
      <c r="Z964" s="29" t="str">
        <f>IF(Y964=1,COUNTIF($Y$2:Y964,1),"")</f>
        <v/>
      </c>
      <c r="AA964" s="29" t="str">
        <f>IF(AND(LEFT($B964,7)="SBA 26/",$C964&lt;&gt;"",$F964&lt;&gt;""),COUNTIFS($C$2:$C964,$C964,$B$2:$B964,"SBA 26/*",$F$2:$F964,"&lt;&gt;"),"")</f>
        <v/>
      </c>
      <c r="AB964" s="29" t="str">
        <f>IF(AA964=1,COUNTIF($AA$2:AA964,1),"")</f>
        <v/>
      </c>
    </row>
    <row r="965" spans="6:28" ht="31.5" customHeight="1" x14ac:dyDescent="0.2">
      <c r="F965" s="45" t="s">
        <v>3527</v>
      </c>
      <c r="T965" s="41"/>
      <c r="U965" s="29" t="str">
        <f>IF($C965&lt;&gt;"",COUNTIF($C$2:C965,C965),"")</f>
        <v/>
      </c>
      <c r="V965" s="29" t="str">
        <f t="shared" si="54"/>
        <v/>
      </c>
      <c r="W965" s="29" t="str">
        <f>IF(U965=1,COUNTIF($U$2:U965,1),"")</f>
        <v/>
      </c>
      <c r="X965" s="29" t="str">
        <f t="shared" si="55"/>
        <v/>
      </c>
      <c r="Y965" s="29" t="str">
        <f>IF(AND(LEFT($B965,7)="SBA 26/",$D965&lt;&gt;"",$F965&lt;&gt;""),COUNTIFS($D$2:$D965,$D965,$B$2:$B965,"SBA 26/*",$F$2:$F965,"&lt;&gt;"),"")</f>
        <v/>
      </c>
      <c r="Z965" s="29" t="str">
        <f>IF(Y965=1,COUNTIF($Y$2:Y965,1),"")</f>
        <v/>
      </c>
      <c r="AA965" s="29" t="str">
        <f>IF(AND(LEFT($B965,7)="SBA 26/",$C965&lt;&gt;"",$F965&lt;&gt;""),COUNTIFS($C$2:$C965,$C965,$B$2:$B965,"SBA 26/*",$F$2:$F965,"&lt;&gt;"),"")</f>
        <v/>
      </c>
      <c r="AB965" s="29" t="str">
        <f>IF(AA965=1,COUNTIF($AA$2:AA965,1),"")</f>
        <v/>
      </c>
    </row>
    <row r="966" spans="6:28" ht="47.25" customHeight="1" x14ac:dyDescent="0.2">
      <c r="F966" s="45" t="s">
        <v>3528</v>
      </c>
      <c r="T966" s="41"/>
      <c r="U966" s="29" t="str">
        <f>IF($C966&lt;&gt;"",COUNTIF($C$2:C966,C966),"")</f>
        <v/>
      </c>
      <c r="V966" s="29" t="str">
        <f t="shared" si="54"/>
        <v/>
      </c>
      <c r="W966" s="29" t="str">
        <f>IF(U966=1,COUNTIF($U$2:U966,1),"")</f>
        <v/>
      </c>
      <c r="X966" s="29" t="str">
        <f t="shared" si="55"/>
        <v/>
      </c>
      <c r="Y966" s="29" t="str">
        <f>IF(AND(LEFT($B966,7)="SBA 26/",$D966&lt;&gt;"",$F966&lt;&gt;""),COUNTIFS($D$2:$D966,$D966,$B$2:$B966,"SBA 26/*",$F$2:$F966,"&lt;&gt;"),"")</f>
        <v/>
      </c>
      <c r="Z966" s="29" t="str">
        <f>IF(Y966=1,COUNTIF($Y$2:Y966,1),"")</f>
        <v/>
      </c>
      <c r="AA966" s="29" t="str">
        <f>IF(AND(LEFT($B966,7)="SBA 26/",$C966&lt;&gt;"",$F966&lt;&gt;""),COUNTIFS($C$2:$C966,$C966,$B$2:$B966,"SBA 26/*",$F$2:$F966,"&lt;&gt;"),"")</f>
        <v/>
      </c>
      <c r="AB966" s="29" t="str">
        <f>IF(AA966=1,COUNTIF($AA$2:AA966,1),"")</f>
        <v/>
      </c>
    </row>
    <row r="967" spans="6:28" ht="31.5" customHeight="1" x14ac:dyDescent="0.2">
      <c r="F967" s="45" t="s">
        <v>3529</v>
      </c>
      <c r="T967" s="41"/>
      <c r="U967" s="29" t="str">
        <f>IF($C967&lt;&gt;"",COUNTIF($C$2:C967,C967),"")</f>
        <v/>
      </c>
      <c r="V967" s="29" t="str">
        <f t="shared" si="54"/>
        <v/>
      </c>
      <c r="W967" s="29" t="str">
        <f>IF(U967=1,COUNTIF($U$2:U967,1),"")</f>
        <v/>
      </c>
      <c r="X967" s="29" t="str">
        <f t="shared" si="55"/>
        <v/>
      </c>
      <c r="Y967" s="29" t="str">
        <f>IF(AND(LEFT($B967,7)="SBA 26/",$D967&lt;&gt;"",$F967&lt;&gt;""),COUNTIFS($D$2:$D967,$D967,$B$2:$B967,"SBA 26/*",$F$2:$F967,"&lt;&gt;"),"")</f>
        <v/>
      </c>
      <c r="Z967" s="29" t="str">
        <f>IF(Y967=1,COUNTIF($Y$2:Y967,1),"")</f>
        <v/>
      </c>
      <c r="AA967" s="29" t="str">
        <f>IF(AND(LEFT($B967,7)="SBA 26/",$C967&lt;&gt;"",$F967&lt;&gt;""),COUNTIFS($C$2:$C967,$C967,$B$2:$B967,"SBA 26/*",$F$2:$F967,"&lt;&gt;"),"")</f>
        <v/>
      </c>
      <c r="AB967" s="29" t="str">
        <f>IF(AA967=1,COUNTIF($AA$2:AA967,1),"")</f>
        <v/>
      </c>
    </row>
    <row r="968" spans="6:28" ht="47.25" customHeight="1" x14ac:dyDescent="0.2">
      <c r="F968" s="45" t="s">
        <v>3530</v>
      </c>
      <c r="T968" s="41"/>
      <c r="U968" s="29" t="str">
        <f>IF($C968&lt;&gt;"",COUNTIF($C$2:C968,C968),"")</f>
        <v/>
      </c>
      <c r="V968" s="29" t="str">
        <f t="shared" si="54"/>
        <v/>
      </c>
      <c r="W968" s="29" t="str">
        <f>IF(U968=1,COUNTIF($U$2:U968,1),"")</f>
        <v/>
      </c>
      <c r="X968" s="29" t="str">
        <f t="shared" si="55"/>
        <v/>
      </c>
      <c r="Y968" s="29" t="str">
        <f>IF(AND(LEFT($B968,7)="SBA 26/",$D968&lt;&gt;"",$F968&lt;&gt;""),COUNTIFS($D$2:$D968,$D968,$B$2:$B968,"SBA 26/*",$F$2:$F968,"&lt;&gt;"),"")</f>
        <v/>
      </c>
      <c r="Z968" s="29" t="str">
        <f>IF(Y968=1,COUNTIF($Y$2:Y968,1),"")</f>
        <v/>
      </c>
      <c r="AA968" s="29" t="str">
        <f>IF(AND(LEFT($B968,7)="SBA 26/",$C968&lt;&gt;"",$F968&lt;&gt;""),COUNTIFS($C$2:$C968,$C968,$B$2:$B968,"SBA 26/*",$F$2:$F968,"&lt;&gt;"),"")</f>
        <v/>
      </c>
      <c r="AB968" s="29" t="str">
        <f>IF(AA968=1,COUNTIF($AA$2:AA968,1),"")</f>
        <v/>
      </c>
    </row>
    <row r="969" spans="6:28" ht="31.5" customHeight="1" x14ac:dyDescent="0.2">
      <c r="F969" s="45" t="s">
        <v>3531</v>
      </c>
      <c r="T969" s="41"/>
      <c r="U969" s="29" t="str">
        <f>IF($C969&lt;&gt;"",COUNTIF($C$2:C969,C969),"")</f>
        <v/>
      </c>
      <c r="V969" s="29" t="str">
        <f t="shared" si="54"/>
        <v/>
      </c>
      <c r="W969" s="29" t="str">
        <f>IF(U969=1,COUNTIF($U$2:U969,1),"")</f>
        <v/>
      </c>
      <c r="X969" s="29" t="str">
        <f t="shared" si="55"/>
        <v/>
      </c>
      <c r="Y969" s="29" t="str">
        <f>IF(AND(LEFT($B969,7)="SBA 26/",$D969&lt;&gt;"",$F969&lt;&gt;""),COUNTIFS($D$2:$D969,$D969,$B$2:$B969,"SBA 26/*",$F$2:$F969,"&lt;&gt;"),"")</f>
        <v/>
      </c>
      <c r="Z969" s="29" t="str">
        <f>IF(Y969=1,COUNTIF($Y$2:Y969,1),"")</f>
        <v/>
      </c>
      <c r="AA969" s="29" t="str">
        <f>IF(AND(LEFT($B969,7)="SBA 26/",$C969&lt;&gt;"",$F969&lt;&gt;""),COUNTIFS($C$2:$C969,$C969,$B$2:$B969,"SBA 26/*",$F$2:$F969,"&lt;&gt;"),"")</f>
        <v/>
      </c>
      <c r="AB969" s="29" t="str">
        <f>IF(AA969=1,COUNTIF($AA$2:AA969,1),"")</f>
        <v/>
      </c>
    </row>
    <row r="970" spans="6:28" ht="31.5" customHeight="1" x14ac:dyDescent="0.2">
      <c r="F970" s="45" t="s">
        <v>3532</v>
      </c>
      <c r="T970" s="41"/>
      <c r="U970" s="29" t="str">
        <f>IF($C970&lt;&gt;"",COUNTIF($C$2:C970,C970),"")</f>
        <v/>
      </c>
      <c r="V970" s="29" t="str">
        <f t="shared" si="54"/>
        <v/>
      </c>
      <c r="W970" s="29" t="str">
        <f>IF(U970=1,COUNTIF($U$2:U970,1),"")</f>
        <v/>
      </c>
      <c r="X970" s="29" t="str">
        <f t="shared" si="55"/>
        <v/>
      </c>
      <c r="Y970" s="29" t="str">
        <f>IF(AND(LEFT($B970,7)="SBA 26/",$D970&lt;&gt;"",$F970&lt;&gt;""),COUNTIFS($D$2:$D970,$D970,$B$2:$B970,"SBA 26/*",$F$2:$F970,"&lt;&gt;"),"")</f>
        <v/>
      </c>
      <c r="Z970" s="29" t="str">
        <f>IF(Y970=1,COUNTIF($Y$2:Y970,1),"")</f>
        <v/>
      </c>
      <c r="AA970" s="29" t="str">
        <f>IF(AND(LEFT($B970,7)="SBA 26/",$C970&lt;&gt;"",$F970&lt;&gt;""),COUNTIFS($C$2:$C970,$C970,$B$2:$B970,"SBA 26/*",$F$2:$F970,"&lt;&gt;"),"")</f>
        <v/>
      </c>
      <c r="AB970" s="29" t="str">
        <f>IF(AA970=1,COUNTIF($AA$2:AA970,1),"")</f>
        <v/>
      </c>
    </row>
    <row r="971" spans="6:28" ht="31.5" customHeight="1" x14ac:dyDescent="0.2">
      <c r="F971" s="45" t="s">
        <v>3533</v>
      </c>
      <c r="T971" s="41"/>
      <c r="U971" s="29" t="str">
        <f>IF($C971&lt;&gt;"",COUNTIF($C$2:C971,C971),"")</f>
        <v/>
      </c>
      <c r="V971" s="29" t="str">
        <f t="shared" si="54"/>
        <v/>
      </c>
      <c r="W971" s="29" t="str">
        <f>IF(U971=1,COUNTIF($U$2:U971,1),"")</f>
        <v/>
      </c>
      <c r="X971" s="29" t="str">
        <f t="shared" si="55"/>
        <v/>
      </c>
      <c r="Y971" s="29" t="str">
        <f>IF(AND(LEFT($B971,7)="SBA 26/",$D971&lt;&gt;"",$F971&lt;&gt;""),COUNTIFS($D$2:$D971,$D971,$B$2:$B971,"SBA 26/*",$F$2:$F971,"&lt;&gt;"),"")</f>
        <v/>
      </c>
      <c r="Z971" s="29" t="str">
        <f>IF(Y971=1,COUNTIF($Y$2:Y971,1),"")</f>
        <v/>
      </c>
      <c r="AA971" s="29" t="str">
        <f>IF(AND(LEFT($B971,7)="SBA 26/",$C971&lt;&gt;"",$F971&lt;&gt;""),COUNTIFS($C$2:$C971,$C971,$B$2:$B971,"SBA 26/*",$F$2:$F971,"&lt;&gt;"),"")</f>
        <v/>
      </c>
      <c r="AB971" s="29" t="str">
        <f>IF(AA971=1,COUNTIF($AA$2:AA971,1),"")</f>
        <v/>
      </c>
    </row>
    <row r="972" spans="6:28" ht="63" customHeight="1" x14ac:dyDescent="0.2">
      <c r="F972" s="45" t="s">
        <v>3534</v>
      </c>
      <c r="T972" s="41"/>
      <c r="U972" s="29" t="str">
        <f>IF($C972&lt;&gt;"",COUNTIF($C$2:C972,C972),"")</f>
        <v/>
      </c>
      <c r="V972" s="29" t="str">
        <f t="shared" si="54"/>
        <v/>
      </c>
      <c r="W972" s="29" t="str">
        <f>IF(U972=1,COUNTIF($U$2:U972,1),"")</f>
        <v/>
      </c>
      <c r="X972" s="29" t="str">
        <f t="shared" si="55"/>
        <v/>
      </c>
      <c r="Y972" s="29" t="str">
        <f>IF(AND(LEFT($B972,7)="SBA 26/",$D972&lt;&gt;"",$F972&lt;&gt;""),COUNTIFS($D$2:$D972,$D972,$B$2:$B972,"SBA 26/*",$F$2:$F972,"&lt;&gt;"),"")</f>
        <v/>
      </c>
      <c r="Z972" s="29" t="str">
        <f>IF(Y972=1,COUNTIF($Y$2:Y972,1),"")</f>
        <v/>
      </c>
      <c r="AA972" s="29" t="str">
        <f>IF(AND(LEFT($B972,7)="SBA 26/",$C972&lt;&gt;"",$F972&lt;&gt;""),COUNTIFS($C$2:$C972,$C972,$B$2:$B972,"SBA 26/*",$F$2:$F972,"&lt;&gt;"),"")</f>
        <v/>
      </c>
      <c r="AB972" s="29" t="str">
        <f>IF(AA972=1,COUNTIF($AA$2:AA972,1),"")</f>
        <v/>
      </c>
    </row>
    <row r="973" spans="6:28" ht="31.5" customHeight="1" x14ac:dyDescent="0.2">
      <c r="F973" s="45" t="s">
        <v>3535</v>
      </c>
      <c r="T973" s="41"/>
      <c r="U973" s="29" t="str">
        <f>IF($C973&lt;&gt;"",COUNTIF($C$2:C973,C973),"")</f>
        <v/>
      </c>
      <c r="V973" s="29" t="str">
        <f t="shared" si="54"/>
        <v/>
      </c>
      <c r="W973" s="29" t="str">
        <f>IF(U973=1,COUNTIF($U$2:U973,1),"")</f>
        <v/>
      </c>
      <c r="X973" s="29" t="str">
        <f t="shared" si="55"/>
        <v/>
      </c>
      <c r="Y973" s="29" t="str">
        <f>IF(AND(LEFT($B973,7)="SBA 26/",$D973&lt;&gt;"",$F973&lt;&gt;""),COUNTIFS($D$2:$D973,$D973,$B$2:$B973,"SBA 26/*",$F$2:$F973,"&lt;&gt;"),"")</f>
        <v/>
      </c>
      <c r="Z973" s="29" t="str">
        <f>IF(Y973=1,COUNTIF($Y$2:Y973,1),"")</f>
        <v/>
      </c>
      <c r="AA973" s="29" t="str">
        <f>IF(AND(LEFT($B973,7)="SBA 26/",$C973&lt;&gt;"",$F973&lt;&gt;""),COUNTIFS($C$2:$C973,$C973,$B$2:$B973,"SBA 26/*",$F$2:$F973,"&lt;&gt;"),"")</f>
        <v/>
      </c>
      <c r="AB973" s="29" t="str">
        <f>IF(AA973=1,COUNTIF($AA$2:AA973,1),"")</f>
        <v/>
      </c>
    </row>
    <row r="974" spans="6:28" ht="31.5" customHeight="1" x14ac:dyDescent="0.2">
      <c r="F974" s="45" t="s">
        <v>3536</v>
      </c>
      <c r="T974" s="41"/>
      <c r="U974" s="29" t="str">
        <f>IF($C974&lt;&gt;"",COUNTIF($C$2:C974,C974),"")</f>
        <v/>
      </c>
      <c r="V974" s="29" t="str">
        <f t="shared" si="54"/>
        <v/>
      </c>
      <c r="W974" s="29" t="str">
        <f>IF(U974=1,COUNTIF($U$2:U974,1),"")</f>
        <v/>
      </c>
      <c r="X974" s="29" t="str">
        <f t="shared" si="55"/>
        <v/>
      </c>
      <c r="Y974" s="29" t="str">
        <f>IF(AND(LEFT($B974,7)="SBA 26/",$D974&lt;&gt;"",$F974&lt;&gt;""),COUNTIFS($D$2:$D974,$D974,$B$2:$B974,"SBA 26/*",$F$2:$F974,"&lt;&gt;"),"")</f>
        <v/>
      </c>
      <c r="Z974" s="29" t="str">
        <f>IF(Y974=1,COUNTIF($Y$2:Y974,1),"")</f>
        <v/>
      </c>
      <c r="AA974" s="29" t="str">
        <f>IF(AND(LEFT($B974,7)="SBA 26/",$C974&lt;&gt;"",$F974&lt;&gt;""),COUNTIFS($C$2:$C974,$C974,$B$2:$B974,"SBA 26/*",$F$2:$F974,"&lt;&gt;"),"")</f>
        <v/>
      </c>
      <c r="AB974" s="29" t="str">
        <f>IF(AA974=1,COUNTIF($AA$2:AA974,1),"")</f>
        <v/>
      </c>
    </row>
    <row r="975" spans="6:28" ht="47.25" customHeight="1" x14ac:dyDescent="0.2">
      <c r="F975" s="45" t="s">
        <v>3537</v>
      </c>
      <c r="T975" s="41"/>
      <c r="U975" s="29" t="str">
        <f>IF($C975&lt;&gt;"",COUNTIF($C$2:C975,C975),"")</f>
        <v/>
      </c>
      <c r="V975" s="29" t="str">
        <f t="shared" si="54"/>
        <v/>
      </c>
      <c r="W975" s="29" t="str">
        <f>IF(U975=1,COUNTIF($U$2:U975,1),"")</f>
        <v/>
      </c>
      <c r="X975" s="29" t="str">
        <f t="shared" si="55"/>
        <v/>
      </c>
      <c r="Y975" s="29" t="str">
        <f>IF(AND(LEFT($B975,7)="SBA 26/",$D975&lt;&gt;"",$F975&lt;&gt;""),COUNTIFS($D$2:$D975,$D975,$B$2:$B975,"SBA 26/*",$F$2:$F975,"&lt;&gt;"),"")</f>
        <v/>
      </c>
      <c r="Z975" s="29" t="str">
        <f>IF(Y975=1,COUNTIF($Y$2:Y975,1),"")</f>
        <v/>
      </c>
      <c r="AA975" s="29" t="str">
        <f>IF(AND(LEFT($B975,7)="SBA 26/",$C975&lt;&gt;"",$F975&lt;&gt;""),COUNTIFS($C$2:$C975,$C975,$B$2:$B975,"SBA 26/*",$F$2:$F975,"&lt;&gt;"),"")</f>
        <v/>
      </c>
      <c r="AB975" s="29" t="str">
        <f>IF(AA975=1,COUNTIF($AA$2:AA975,1),"")</f>
        <v/>
      </c>
    </row>
    <row r="976" spans="6:28" ht="31.5" customHeight="1" x14ac:dyDescent="0.2">
      <c r="F976" s="45" t="s">
        <v>3538</v>
      </c>
      <c r="T976" s="41"/>
      <c r="U976" s="29" t="str">
        <f>IF($C976&lt;&gt;"",COUNTIF($C$2:C976,C976),"")</f>
        <v/>
      </c>
      <c r="V976" s="29" t="str">
        <f t="shared" si="54"/>
        <v/>
      </c>
      <c r="W976" s="29" t="str">
        <f>IF(U976=1,COUNTIF($U$2:U976,1),"")</f>
        <v/>
      </c>
      <c r="X976" s="29" t="str">
        <f t="shared" si="55"/>
        <v/>
      </c>
      <c r="Y976" s="29" t="str">
        <f>IF(AND(LEFT($B976,7)="SBA 26/",$D976&lt;&gt;"",$F976&lt;&gt;""),COUNTIFS($D$2:$D976,$D976,$B$2:$B976,"SBA 26/*",$F$2:$F976,"&lt;&gt;"),"")</f>
        <v/>
      </c>
      <c r="Z976" s="29" t="str">
        <f>IF(Y976=1,COUNTIF($Y$2:Y976,1),"")</f>
        <v/>
      </c>
      <c r="AA976" s="29" t="str">
        <f>IF(AND(LEFT($B976,7)="SBA 26/",$C976&lt;&gt;"",$F976&lt;&gt;""),COUNTIFS($C$2:$C976,$C976,$B$2:$B976,"SBA 26/*",$F$2:$F976,"&lt;&gt;"),"")</f>
        <v/>
      </c>
      <c r="AB976" s="29" t="str">
        <f>IF(AA976=1,COUNTIF($AA$2:AA976,1),"")</f>
        <v/>
      </c>
    </row>
    <row r="977" spans="6:28" ht="31.5" customHeight="1" x14ac:dyDescent="0.2">
      <c r="F977" s="45" t="s">
        <v>3539</v>
      </c>
      <c r="T977" s="41"/>
      <c r="U977" s="29" t="str">
        <f>IF($C977&lt;&gt;"",COUNTIF($C$2:C977,C977),"")</f>
        <v/>
      </c>
      <c r="V977" s="29" t="str">
        <f t="shared" si="54"/>
        <v/>
      </c>
      <c r="W977" s="29" t="str">
        <f>IF(U977=1,COUNTIF($U$2:U977,1),"")</f>
        <v/>
      </c>
      <c r="X977" s="29" t="str">
        <f t="shared" si="55"/>
        <v/>
      </c>
      <c r="Y977" s="29" t="str">
        <f>IF(AND(LEFT($B977,7)="SBA 26/",$D977&lt;&gt;"",$F977&lt;&gt;""),COUNTIFS($D$2:$D977,$D977,$B$2:$B977,"SBA 26/*",$F$2:$F977,"&lt;&gt;"),"")</f>
        <v/>
      </c>
      <c r="Z977" s="29" t="str">
        <f>IF(Y977=1,COUNTIF($Y$2:Y977,1),"")</f>
        <v/>
      </c>
      <c r="AA977" s="29" t="str">
        <f>IF(AND(LEFT($B977,7)="SBA 26/",$C977&lt;&gt;"",$F977&lt;&gt;""),COUNTIFS($C$2:$C977,$C977,$B$2:$B977,"SBA 26/*",$F$2:$F977,"&lt;&gt;"),"")</f>
        <v/>
      </c>
      <c r="AB977" s="29" t="str">
        <f>IF(AA977=1,COUNTIF($AA$2:AA977,1),"")</f>
        <v/>
      </c>
    </row>
    <row r="978" spans="6:28" ht="31.5" customHeight="1" x14ac:dyDescent="0.2">
      <c r="F978" s="45" t="s">
        <v>3540</v>
      </c>
      <c r="T978" s="41"/>
      <c r="U978" s="29" t="str">
        <f>IF($C978&lt;&gt;"",COUNTIF($C$2:C978,C978),"")</f>
        <v/>
      </c>
      <c r="V978" s="29" t="str">
        <f t="shared" si="54"/>
        <v/>
      </c>
      <c r="W978" s="29" t="str">
        <f>IF(U978=1,COUNTIF($U$2:U978,1),"")</f>
        <v/>
      </c>
      <c r="X978" s="29" t="str">
        <f t="shared" si="55"/>
        <v/>
      </c>
      <c r="Y978" s="29" t="str">
        <f>IF(AND(LEFT($B978,7)="SBA 26/",$D978&lt;&gt;"",$F978&lt;&gt;""),COUNTIFS($D$2:$D978,$D978,$B$2:$B978,"SBA 26/*",$F$2:$F978,"&lt;&gt;"),"")</f>
        <v/>
      </c>
      <c r="Z978" s="29" t="str">
        <f>IF(Y978=1,COUNTIF($Y$2:Y978,1),"")</f>
        <v/>
      </c>
      <c r="AA978" s="29" t="str">
        <f>IF(AND(LEFT($B978,7)="SBA 26/",$C978&lt;&gt;"",$F978&lt;&gt;""),COUNTIFS($C$2:$C978,$C978,$B$2:$B978,"SBA 26/*",$F$2:$F978,"&lt;&gt;"),"")</f>
        <v/>
      </c>
      <c r="AB978" s="29" t="str">
        <f>IF(AA978=1,COUNTIF($AA$2:AA978,1),"")</f>
        <v/>
      </c>
    </row>
    <row r="979" spans="6:28" ht="47.25" customHeight="1" x14ac:dyDescent="0.2">
      <c r="F979" s="45" t="s">
        <v>3541</v>
      </c>
      <c r="T979" s="41"/>
      <c r="U979" s="29" t="str">
        <f>IF($C979&lt;&gt;"",COUNTIF($C$2:C979,C979),"")</f>
        <v/>
      </c>
      <c r="V979" s="29" t="str">
        <f t="shared" si="54"/>
        <v/>
      </c>
      <c r="W979" s="29" t="str">
        <f>IF(U979=1,COUNTIF($U$2:U979,1),"")</f>
        <v/>
      </c>
      <c r="X979" s="29" t="str">
        <f t="shared" si="55"/>
        <v/>
      </c>
      <c r="Y979" s="29" t="str">
        <f>IF(AND(LEFT($B979,7)="SBA 26/",$D979&lt;&gt;"",$F979&lt;&gt;""),COUNTIFS($D$2:$D979,$D979,$B$2:$B979,"SBA 26/*",$F$2:$F979,"&lt;&gt;"),"")</f>
        <v/>
      </c>
      <c r="Z979" s="29" t="str">
        <f>IF(Y979=1,COUNTIF($Y$2:Y979,1),"")</f>
        <v/>
      </c>
      <c r="AA979" s="29" t="str">
        <f>IF(AND(LEFT($B979,7)="SBA 26/",$C979&lt;&gt;"",$F979&lt;&gt;""),COUNTIFS($C$2:$C979,$C979,$B$2:$B979,"SBA 26/*",$F$2:$F979,"&lt;&gt;"),"")</f>
        <v/>
      </c>
      <c r="AB979" s="29" t="str">
        <f>IF(AA979=1,COUNTIF($AA$2:AA979,1),"")</f>
        <v/>
      </c>
    </row>
    <row r="980" spans="6:28" ht="47.25" customHeight="1" x14ac:dyDescent="0.2">
      <c r="F980" s="45" t="s">
        <v>3542</v>
      </c>
      <c r="T980" s="41"/>
      <c r="U980" s="29" t="str">
        <f>IF($C980&lt;&gt;"",COUNTIF($C$2:C980,C980),"")</f>
        <v/>
      </c>
      <c r="V980" s="29" t="str">
        <f t="shared" si="54"/>
        <v/>
      </c>
      <c r="W980" s="29" t="str">
        <f>IF(U980=1,COUNTIF($U$2:U980,1),"")</f>
        <v/>
      </c>
      <c r="X980" s="29" t="str">
        <f t="shared" si="55"/>
        <v/>
      </c>
      <c r="Y980" s="29" t="str">
        <f>IF(AND(LEFT($B980,7)="SBA 26/",$D980&lt;&gt;"",$F980&lt;&gt;""),COUNTIFS($D$2:$D980,$D980,$B$2:$B980,"SBA 26/*",$F$2:$F980,"&lt;&gt;"),"")</f>
        <v/>
      </c>
      <c r="Z980" s="29" t="str">
        <f>IF(Y980=1,COUNTIF($Y$2:Y980,1),"")</f>
        <v/>
      </c>
      <c r="AA980" s="29" t="str">
        <f>IF(AND(LEFT($B980,7)="SBA 26/",$C980&lt;&gt;"",$F980&lt;&gt;""),COUNTIFS($C$2:$C980,$C980,$B$2:$B980,"SBA 26/*",$F$2:$F980,"&lt;&gt;"),"")</f>
        <v/>
      </c>
      <c r="AB980" s="29" t="str">
        <f>IF(AA980=1,COUNTIF($AA$2:AA980,1),"")</f>
        <v/>
      </c>
    </row>
    <row r="981" spans="6:28" ht="47.25" customHeight="1" x14ac:dyDescent="0.2">
      <c r="F981" s="45" t="s">
        <v>3543</v>
      </c>
      <c r="T981" s="41"/>
      <c r="U981" s="29" t="str">
        <f>IF($C981&lt;&gt;"",COUNTIF($C$2:C981,C981),"")</f>
        <v/>
      </c>
      <c r="V981" s="29" t="str">
        <f t="shared" si="54"/>
        <v/>
      </c>
      <c r="W981" s="29" t="str">
        <f>IF(U981=1,COUNTIF($U$2:U981,1),"")</f>
        <v/>
      </c>
      <c r="X981" s="29" t="str">
        <f t="shared" si="55"/>
        <v/>
      </c>
      <c r="Y981" s="29" t="str">
        <f>IF(AND(LEFT($B981,7)="SBA 26/",$D981&lt;&gt;"",$F981&lt;&gt;""),COUNTIFS($D$2:$D981,$D981,$B$2:$B981,"SBA 26/*",$F$2:$F981,"&lt;&gt;"),"")</f>
        <v/>
      </c>
      <c r="Z981" s="29" t="str">
        <f>IF(Y981=1,COUNTIF($Y$2:Y981,1),"")</f>
        <v/>
      </c>
      <c r="AA981" s="29" t="str">
        <f>IF(AND(LEFT($B981,7)="SBA 26/",$C981&lt;&gt;"",$F981&lt;&gt;""),COUNTIFS($C$2:$C981,$C981,$B$2:$B981,"SBA 26/*",$F$2:$F981,"&lt;&gt;"),"")</f>
        <v/>
      </c>
      <c r="AB981" s="29" t="str">
        <f>IF(AA981=1,COUNTIF($AA$2:AA981,1),"")</f>
        <v/>
      </c>
    </row>
    <row r="982" spans="6:28" ht="78.75" customHeight="1" x14ac:dyDescent="0.2">
      <c r="F982" s="45" t="s">
        <v>3544</v>
      </c>
      <c r="T982" s="41"/>
      <c r="U982" s="29" t="str">
        <f>IF($C982&lt;&gt;"",COUNTIF($C$2:C982,C982),"")</f>
        <v/>
      </c>
      <c r="V982" s="29" t="str">
        <f t="shared" si="54"/>
        <v/>
      </c>
      <c r="W982" s="29" t="str">
        <f>IF(U982=1,COUNTIF($U$2:U982,1),"")</f>
        <v/>
      </c>
      <c r="X982" s="29" t="str">
        <f t="shared" si="55"/>
        <v/>
      </c>
      <c r="Y982" s="29" t="str">
        <f>IF(AND(LEFT($B982,7)="SBA 26/",$D982&lt;&gt;"",$F982&lt;&gt;""),COUNTIFS($D$2:$D982,$D982,$B$2:$B982,"SBA 26/*",$F$2:$F982,"&lt;&gt;"),"")</f>
        <v/>
      </c>
      <c r="Z982" s="29" t="str">
        <f>IF(Y982=1,COUNTIF($Y$2:Y982,1),"")</f>
        <v/>
      </c>
      <c r="AA982" s="29" t="str">
        <f>IF(AND(LEFT($B982,7)="SBA 26/",$C982&lt;&gt;"",$F982&lt;&gt;""),COUNTIFS($C$2:$C982,$C982,$B$2:$B982,"SBA 26/*",$F$2:$F982,"&lt;&gt;"),"")</f>
        <v/>
      </c>
      <c r="AB982" s="29" t="str">
        <f>IF(AA982=1,COUNTIF($AA$2:AA982,1),"")</f>
        <v/>
      </c>
    </row>
    <row r="983" spans="6:28" ht="31.5" customHeight="1" x14ac:dyDescent="0.2">
      <c r="F983" s="45" t="s">
        <v>3545</v>
      </c>
      <c r="T983" s="41"/>
      <c r="U983" s="29" t="str">
        <f>IF($C983&lt;&gt;"",COUNTIF($C$2:C983,C983),"")</f>
        <v/>
      </c>
      <c r="V983" s="29" t="str">
        <f t="shared" si="54"/>
        <v/>
      </c>
      <c r="W983" s="29" t="str">
        <f>IF(U983=1,COUNTIF($U$2:U983,1),"")</f>
        <v/>
      </c>
      <c r="X983" s="29" t="str">
        <f t="shared" si="55"/>
        <v/>
      </c>
      <c r="Y983" s="29" t="str">
        <f>IF(AND(LEFT($B983,7)="SBA 26/",$D983&lt;&gt;"",$F983&lt;&gt;""),COUNTIFS($D$2:$D983,$D983,$B$2:$B983,"SBA 26/*",$F$2:$F983,"&lt;&gt;"),"")</f>
        <v/>
      </c>
      <c r="Z983" s="29" t="str">
        <f>IF(Y983=1,COUNTIF($Y$2:Y983,1),"")</f>
        <v/>
      </c>
      <c r="AA983" s="29" t="str">
        <f>IF(AND(LEFT($B983,7)="SBA 26/",$C983&lt;&gt;"",$F983&lt;&gt;""),COUNTIFS($C$2:$C983,$C983,$B$2:$B983,"SBA 26/*",$F$2:$F983,"&lt;&gt;"),"")</f>
        <v/>
      </c>
      <c r="AB983" s="29" t="str">
        <f>IF(AA983=1,COUNTIF($AA$2:AA983,1),"")</f>
        <v/>
      </c>
    </row>
    <row r="984" spans="6:28" ht="47.25" customHeight="1" x14ac:dyDescent="0.2">
      <c r="F984" s="45" t="s">
        <v>3546</v>
      </c>
      <c r="T984" s="41"/>
      <c r="U984" s="29" t="str">
        <f>IF($C984&lt;&gt;"",COUNTIF($C$2:C984,C984),"")</f>
        <v/>
      </c>
      <c r="V984" s="29" t="str">
        <f t="shared" si="54"/>
        <v/>
      </c>
      <c r="W984" s="29" t="str">
        <f>IF(U984=1,COUNTIF($U$2:U984,1),"")</f>
        <v/>
      </c>
      <c r="X984" s="29" t="str">
        <f t="shared" si="55"/>
        <v/>
      </c>
      <c r="Y984" s="29" t="str">
        <f>IF(AND(LEFT($B984,7)="SBA 26/",$D984&lt;&gt;"",$F984&lt;&gt;""),COUNTIFS($D$2:$D984,$D984,$B$2:$B984,"SBA 26/*",$F$2:$F984,"&lt;&gt;"),"")</f>
        <v/>
      </c>
      <c r="Z984" s="29" t="str">
        <f>IF(Y984=1,COUNTIF($Y$2:Y984,1),"")</f>
        <v/>
      </c>
      <c r="AA984" s="29" t="str">
        <f>IF(AND(LEFT($B984,7)="SBA 26/",$C984&lt;&gt;"",$F984&lt;&gt;""),COUNTIFS($C$2:$C984,$C984,$B$2:$B984,"SBA 26/*",$F$2:$F984,"&lt;&gt;"),"")</f>
        <v/>
      </c>
      <c r="AB984" s="29" t="str">
        <f>IF(AA984=1,COUNTIF($AA$2:AA984,1),"")</f>
        <v/>
      </c>
    </row>
    <row r="985" spans="6:28" ht="63" customHeight="1" x14ac:dyDescent="0.2">
      <c r="F985" s="45" t="s">
        <v>3547</v>
      </c>
      <c r="T985" s="41"/>
      <c r="U985" s="29" t="str">
        <f>IF($C985&lt;&gt;"",COUNTIF($C$2:C985,C985),"")</f>
        <v/>
      </c>
      <c r="V985" s="29" t="str">
        <f t="shared" si="54"/>
        <v/>
      </c>
      <c r="W985" s="29" t="str">
        <f>IF(U985=1,COUNTIF($U$2:U985,1),"")</f>
        <v/>
      </c>
      <c r="X985" s="29" t="str">
        <f t="shared" si="55"/>
        <v/>
      </c>
      <c r="Y985" s="29" t="str">
        <f>IF(AND(LEFT($B985,7)="SBA 26/",$D985&lt;&gt;"",$F985&lt;&gt;""),COUNTIFS($D$2:$D985,$D985,$B$2:$B985,"SBA 26/*",$F$2:$F985,"&lt;&gt;"),"")</f>
        <v/>
      </c>
      <c r="Z985" s="29" t="str">
        <f>IF(Y985=1,COUNTIF($Y$2:Y985,1),"")</f>
        <v/>
      </c>
      <c r="AA985" s="29" t="str">
        <f>IF(AND(LEFT($B985,7)="SBA 26/",$C985&lt;&gt;"",$F985&lt;&gt;""),COUNTIFS($C$2:$C985,$C985,$B$2:$B985,"SBA 26/*",$F$2:$F985,"&lt;&gt;"),"")</f>
        <v/>
      </c>
      <c r="AB985" s="29" t="str">
        <f>IF(AA985=1,COUNTIF($AA$2:AA985,1),"")</f>
        <v/>
      </c>
    </row>
    <row r="986" spans="6:28" ht="47.25" customHeight="1" x14ac:dyDescent="0.2">
      <c r="F986" s="45" t="s">
        <v>3548</v>
      </c>
      <c r="T986" s="41"/>
      <c r="U986" s="29" t="str">
        <f>IF($C986&lt;&gt;"",COUNTIF($C$2:C986,C986),"")</f>
        <v/>
      </c>
      <c r="V986" s="29" t="str">
        <f t="shared" si="54"/>
        <v/>
      </c>
      <c r="W986" s="29" t="str">
        <f>IF(U986=1,COUNTIF($U$2:U986,1),"")</f>
        <v/>
      </c>
      <c r="X986" s="29" t="str">
        <f t="shared" si="55"/>
        <v/>
      </c>
      <c r="Y986" s="29" t="str">
        <f>IF(AND(LEFT($B986,7)="SBA 26/",$D986&lt;&gt;"",$F986&lt;&gt;""),COUNTIFS($D$2:$D986,$D986,$B$2:$B986,"SBA 26/*",$F$2:$F986,"&lt;&gt;"),"")</f>
        <v/>
      </c>
      <c r="Z986" s="29" t="str">
        <f>IF(Y986=1,COUNTIF($Y$2:Y986,1),"")</f>
        <v/>
      </c>
      <c r="AA986" s="29" t="str">
        <f>IF(AND(LEFT($B986,7)="SBA 26/",$C986&lt;&gt;"",$F986&lt;&gt;""),COUNTIFS($C$2:$C986,$C986,$B$2:$B986,"SBA 26/*",$F$2:$F986,"&lt;&gt;"),"")</f>
        <v/>
      </c>
      <c r="AB986" s="29" t="str">
        <f>IF(AA986=1,COUNTIF($AA$2:AA986,1),"")</f>
        <v/>
      </c>
    </row>
    <row r="987" spans="6:28" ht="47.25" customHeight="1" x14ac:dyDescent="0.2">
      <c r="F987" s="45" t="s">
        <v>3549</v>
      </c>
      <c r="T987" s="41"/>
      <c r="U987" s="29" t="str">
        <f>IF($C987&lt;&gt;"",COUNTIF($C$2:C987,C987),"")</f>
        <v/>
      </c>
      <c r="V987" s="29" t="str">
        <f t="shared" si="54"/>
        <v/>
      </c>
      <c r="W987" s="29" t="str">
        <f>IF(U987=1,COUNTIF($U$2:U987,1),"")</f>
        <v/>
      </c>
      <c r="X987" s="29" t="str">
        <f t="shared" si="55"/>
        <v/>
      </c>
      <c r="Y987" s="29" t="str">
        <f>IF(AND(LEFT($B987,7)="SBA 26/",$D987&lt;&gt;"",$F987&lt;&gt;""),COUNTIFS($D$2:$D987,$D987,$B$2:$B987,"SBA 26/*",$F$2:$F987,"&lt;&gt;"),"")</f>
        <v/>
      </c>
      <c r="Z987" s="29" t="str">
        <f>IF(Y987=1,COUNTIF($Y$2:Y987,1),"")</f>
        <v/>
      </c>
      <c r="AA987" s="29" t="str">
        <f>IF(AND(LEFT($B987,7)="SBA 26/",$C987&lt;&gt;"",$F987&lt;&gt;""),COUNTIFS($C$2:$C987,$C987,$B$2:$B987,"SBA 26/*",$F$2:$F987,"&lt;&gt;"),"")</f>
        <v/>
      </c>
      <c r="AB987" s="29" t="str">
        <f>IF(AA987=1,COUNTIF($AA$2:AA987,1),"")</f>
        <v/>
      </c>
    </row>
    <row r="988" spans="6:28" ht="63" customHeight="1" x14ac:dyDescent="0.2">
      <c r="F988" s="45" t="s">
        <v>3550</v>
      </c>
      <c r="T988" s="41"/>
      <c r="U988" s="29" t="str">
        <f>IF($C988&lt;&gt;"",COUNTIF($C$2:C988,C988),"")</f>
        <v/>
      </c>
      <c r="V988" s="29" t="str">
        <f t="shared" si="54"/>
        <v/>
      </c>
      <c r="W988" s="29" t="str">
        <f>IF(U988=1,COUNTIF($U$2:U988,1),"")</f>
        <v/>
      </c>
      <c r="X988" s="29" t="str">
        <f t="shared" si="55"/>
        <v/>
      </c>
      <c r="Y988" s="29" t="str">
        <f>IF(AND(LEFT($B988,7)="SBA 26/",$D988&lt;&gt;"",$F988&lt;&gt;""),COUNTIFS($D$2:$D988,$D988,$B$2:$B988,"SBA 26/*",$F$2:$F988,"&lt;&gt;"),"")</f>
        <v/>
      </c>
      <c r="Z988" s="29" t="str">
        <f>IF(Y988=1,COUNTIF($Y$2:Y988,1),"")</f>
        <v/>
      </c>
      <c r="AA988" s="29" t="str">
        <f>IF(AND(LEFT($B988,7)="SBA 26/",$C988&lt;&gt;"",$F988&lt;&gt;""),COUNTIFS($C$2:$C988,$C988,$B$2:$B988,"SBA 26/*",$F$2:$F988,"&lt;&gt;"),"")</f>
        <v/>
      </c>
      <c r="AB988" s="29" t="str">
        <f>IF(AA988=1,COUNTIF($AA$2:AA988,1),"")</f>
        <v/>
      </c>
    </row>
    <row r="989" spans="6:28" ht="47.25" customHeight="1" x14ac:dyDescent="0.2">
      <c r="F989" s="45" t="s">
        <v>3551</v>
      </c>
      <c r="T989" s="41"/>
      <c r="U989" s="29" t="str">
        <f>IF($C989&lt;&gt;"",COUNTIF($C$2:C989,C989),"")</f>
        <v/>
      </c>
      <c r="V989" s="29" t="str">
        <f t="shared" si="54"/>
        <v/>
      </c>
      <c r="W989" s="29" t="str">
        <f>IF(U989=1,COUNTIF($U$2:U989,1),"")</f>
        <v/>
      </c>
      <c r="X989" s="29" t="str">
        <f t="shared" si="55"/>
        <v/>
      </c>
      <c r="Y989" s="29" t="str">
        <f>IF(AND(LEFT($B989,7)="SBA 26/",$D989&lt;&gt;"",$F989&lt;&gt;""),COUNTIFS($D$2:$D989,$D989,$B$2:$B989,"SBA 26/*",$F$2:$F989,"&lt;&gt;"),"")</f>
        <v/>
      </c>
      <c r="Z989" s="29" t="str">
        <f>IF(Y989=1,COUNTIF($Y$2:Y989,1),"")</f>
        <v/>
      </c>
      <c r="AA989" s="29" t="str">
        <f>IF(AND(LEFT($B989,7)="SBA 26/",$C989&lt;&gt;"",$F989&lt;&gt;""),COUNTIFS($C$2:$C989,$C989,$B$2:$B989,"SBA 26/*",$F$2:$F989,"&lt;&gt;"),"")</f>
        <v/>
      </c>
      <c r="AB989" s="29" t="str">
        <f>IF(AA989=1,COUNTIF($AA$2:AA989,1),"")</f>
        <v/>
      </c>
    </row>
    <row r="990" spans="6:28" ht="31.5" customHeight="1" x14ac:dyDescent="0.2">
      <c r="F990" s="45" t="s">
        <v>3552</v>
      </c>
      <c r="T990" s="41"/>
      <c r="U990" s="29" t="str">
        <f>IF($C990&lt;&gt;"",COUNTIF($C$2:C990,C990),"")</f>
        <v/>
      </c>
      <c r="V990" s="29" t="str">
        <f t="shared" si="54"/>
        <v/>
      </c>
      <c r="W990" s="29" t="str">
        <f>IF(U990=1,COUNTIF($U$2:U990,1),"")</f>
        <v/>
      </c>
      <c r="X990" s="29" t="str">
        <f t="shared" si="55"/>
        <v/>
      </c>
      <c r="Y990" s="29" t="str">
        <f>IF(AND(LEFT($B990,7)="SBA 26/",$D990&lt;&gt;"",$F990&lt;&gt;""),COUNTIFS($D$2:$D990,$D990,$B$2:$B990,"SBA 26/*",$F$2:$F990,"&lt;&gt;"),"")</f>
        <v/>
      </c>
      <c r="Z990" s="29" t="str">
        <f>IF(Y990=1,COUNTIF($Y$2:Y990,1),"")</f>
        <v/>
      </c>
      <c r="AA990" s="29" t="str">
        <f>IF(AND(LEFT($B990,7)="SBA 26/",$C990&lt;&gt;"",$F990&lt;&gt;""),COUNTIFS($C$2:$C990,$C990,$B$2:$B990,"SBA 26/*",$F$2:$F990,"&lt;&gt;"),"")</f>
        <v/>
      </c>
      <c r="AB990" s="29" t="str">
        <f>IF(AA990=1,COUNTIF($AA$2:AA990,1),"")</f>
        <v/>
      </c>
    </row>
    <row r="991" spans="6:28" ht="47.25" customHeight="1" x14ac:dyDescent="0.2">
      <c r="F991" s="45" t="s">
        <v>3553</v>
      </c>
      <c r="T991" s="41"/>
      <c r="U991" s="29" t="str">
        <f>IF($C991&lt;&gt;"",COUNTIF($C$2:C991,C991),"")</f>
        <v/>
      </c>
      <c r="V991" s="29" t="str">
        <f t="shared" si="54"/>
        <v/>
      </c>
      <c r="W991" s="29" t="str">
        <f>IF(U991=1,COUNTIF($U$2:U991,1),"")</f>
        <v/>
      </c>
      <c r="X991" s="29" t="str">
        <f t="shared" si="55"/>
        <v/>
      </c>
      <c r="Y991" s="29" t="str">
        <f>IF(AND(LEFT($B991,7)="SBA 26/",$D991&lt;&gt;"",$F991&lt;&gt;""),COUNTIFS($D$2:$D991,$D991,$B$2:$B991,"SBA 26/*",$F$2:$F991,"&lt;&gt;"),"")</f>
        <v/>
      </c>
      <c r="Z991" s="29" t="str">
        <f>IF(Y991=1,COUNTIF($Y$2:Y991,1),"")</f>
        <v/>
      </c>
      <c r="AA991" s="29" t="str">
        <f>IF(AND(LEFT($B991,7)="SBA 26/",$C991&lt;&gt;"",$F991&lt;&gt;""),COUNTIFS($C$2:$C991,$C991,$B$2:$B991,"SBA 26/*",$F$2:$F991,"&lt;&gt;"),"")</f>
        <v/>
      </c>
      <c r="AB991" s="29" t="str">
        <f>IF(AA991=1,COUNTIF($AA$2:AA991,1),"")</f>
        <v/>
      </c>
    </row>
    <row r="992" spans="6:28" ht="78.75" customHeight="1" x14ac:dyDescent="0.2">
      <c r="F992" s="45" t="s">
        <v>3554</v>
      </c>
      <c r="T992" s="41"/>
      <c r="U992" s="29" t="str">
        <f>IF($C992&lt;&gt;"",COUNTIF($C$2:C992,C992),"")</f>
        <v/>
      </c>
      <c r="V992" s="29" t="str">
        <f t="shared" si="54"/>
        <v/>
      </c>
      <c r="W992" s="29" t="str">
        <f>IF(U992=1,COUNTIF($U$2:U992,1),"")</f>
        <v/>
      </c>
      <c r="X992" s="29" t="str">
        <f t="shared" si="55"/>
        <v/>
      </c>
      <c r="Y992" s="29" t="str">
        <f>IF(AND(LEFT($B992,7)="SBA 26/",$D992&lt;&gt;"",$F992&lt;&gt;""),COUNTIFS($D$2:$D992,$D992,$B$2:$B992,"SBA 26/*",$F$2:$F992,"&lt;&gt;"),"")</f>
        <v/>
      </c>
      <c r="Z992" s="29" t="str">
        <f>IF(Y992=1,COUNTIF($Y$2:Y992,1),"")</f>
        <v/>
      </c>
      <c r="AA992" s="29" t="str">
        <f>IF(AND(LEFT($B992,7)="SBA 26/",$C992&lt;&gt;"",$F992&lt;&gt;""),COUNTIFS($C$2:$C992,$C992,$B$2:$B992,"SBA 26/*",$F$2:$F992,"&lt;&gt;"),"")</f>
        <v/>
      </c>
      <c r="AB992" s="29" t="str">
        <f>IF(AA992=1,COUNTIF($AA$2:AA992,1),"")</f>
        <v/>
      </c>
    </row>
    <row r="993" spans="6:28" ht="47.25" customHeight="1" x14ac:dyDescent="0.2">
      <c r="F993" s="45" t="s">
        <v>3555</v>
      </c>
      <c r="T993" s="41"/>
      <c r="U993" s="29" t="str">
        <f>IF($C993&lt;&gt;"",COUNTIF($C$2:C993,C993),"")</f>
        <v/>
      </c>
      <c r="V993" s="29" t="str">
        <f t="shared" si="54"/>
        <v/>
      </c>
      <c r="W993" s="29" t="str">
        <f>IF(U993=1,COUNTIF($U$2:U993,1),"")</f>
        <v/>
      </c>
      <c r="X993" s="29" t="str">
        <f t="shared" si="55"/>
        <v/>
      </c>
      <c r="Y993" s="29" t="str">
        <f>IF(AND(LEFT($B993,7)="SBA 26/",$D993&lt;&gt;"",$F993&lt;&gt;""),COUNTIFS($D$2:$D993,$D993,$B$2:$B993,"SBA 26/*",$F$2:$F993,"&lt;&gt;"),"")</f>
        <v/>
      </c>
      <c r="Z993" s="29" t="str">
        <f>IF(Y993=1,COUNTIF($Y$2:Y993,1),"")</f>
        <v/>
      </c>
      <c r="AA993" s="29" t="str">
        <f>IF(AND(LEFT($B993,7)="SBA 26/",$C993&lt;&gt;"",$F993&lt;&gt;""),COUNTIFS($C$2:$C993,$C993,$B$2:$B993,"SBA 26/*",$F$2:$F993,"&lt;&gt;"),"")</f>
        <v/>
      </c>
      <c r="AB993" s="29" t="str">
        <f>IF(AA993=1,COUNTIF($AA$2:AA993,1),"")</f>
        <v/>
      </c>
    </row>
    <row r="994" spans="6:28" ht="47.25" customHeight="1" x14ac:dyDescent="0.2">
      <c r="F994" s="45" t="s">
        <v>3556</v>
      </c>
      <c r="T994" s="41"/>
      <c r="U994" s="29" t="str">
        <f>IF($C994&lt;&gt;"",COUNTIF($C$2:C994,C994),"")</f>
        <v/>
      </c>
      <c r="V994" s="29" t="str">
        <f t="shared" si="54"/>
        <v/>
      </c>
      <c r="W994" s="29" t="str">
        <f>IF(U994=1,COUNTIF($U$2:U994,1),"")</f>
        <v/>
      </c>
      <c r="X994" s="29" t="str">
        <f t="shared" si="55"/>
        <v/>
      </c>
      <c r="Y994" s="29" t="str">
        <f>IF(AND(LEFT($B994,7)="SBA 26/",$D994&lt;&gt;"",$F994&lt;&gt;""),COUNTIFS($D$2:$D994,$D994,$B$2:$B994,"SBA 26/*",$F$2:$F994,"&lt;&gt;"),"")</f>
        <v/>
      </c>
      <c r="Z994" s="29" t="str">
        <f>IF(Y994=1,COUNTIF($Y$2:Y994,1),"")</f>
        <v/>
      </c>
      <c r="AA994" s="29" t="str">
        <f>IF(AND(LEFT($B994,7)="SBA 26/",$C994&lt;&gt;"",$F994&lt;&gt;""),COUNTIFS($C$2:$C994,$C994,$B$2:$B994,"SBA 26/*",$F$2:$F994,"&lt;&gt;"),"")</f>
        <v/>
      </c>
      <c r="AB994" s="29" t="str">
        <f>IF(AA994=1,COUNTIF($AA$2:AA994,1),"")</f>
        <v/>
      </c>
    </row>
    <row r="995" spans="6:28" ht="47.25" customHeight="1" x14ac:dyDescent="0.2">
      <c r="F995" s="45" t="s">
        <v>3557</v>
      </c>
      <c r="T995" s="41"/>
      <c r="U995" s="29" t="str">
        <f>IF($C995&lt;&gt;"",COUNTIF($C$2:C995,C995),"")</f>
        <v/>
      </c>
      <c r="V995" s="29" t="str">
        <f t="shared" si="54"/>
        <v/>
      </c>
      <c r="W995" s="29" t="str">
        <f>IF(U995=1,COUNTIF($U$2:U995,1),"")</f>
        <v/>
      </c>
      <c r="X995" s="29" t="str">
        <f t="shared" si="55"/>
        <v/>
      </c>
      <c r="Y995" s="29" t="str">
        <f>IF(AND(LEFT($B995,7)="SBA 26/",$D995&lt;&gt;"",$F995&lt;&gt;""),COUNTIFS($D$2:$D995,$D995,$B$2:$B995,"SBA 26/*",$F$2:$F995,"&lt;&gt;"),"")</f>
        <v/>
      </c>
      <c r="Z995" s="29" t="str">
        <f>IF(Y995=1,COUNTIF($Y$2:Y995,1),"")</f>
        <v/>
      </c>
      <c r="AA995" s="29" t="str">
        <f>IF(AND(LEFT($B995,7)="SBA 26/",$C995&lt;&gt;"",$F995&lt;&gt;""),COUNTIFS($C$2:$C995,$C995,$B$2:$B995,"SBA 26/*",$F$2:$F995,"&lt;&gt;"),"")</f>
        <v/>
      </c>
      <c r="AB995" s="29" t="str">
        <f>IF(AA995=1,COUNTIF($AA$2:AA995,1),"")</f>
        <v/>
      </c>
    </row>
    <row r="996" spans="6:28" ht="31.5" customHeight="1" x14ac:dyDescent="0.2">
      <c r="F996" s="45" t="s">
        <v>3558</v>
      </c>
      <c r="T996" s="41"/>
      <c r="U996" s="29" t="str">
        <f>IF($C996&lt;&gt;"",COUNTIF($C$2:C996,C996),"")</f>
        <v/>
      </c>
      <c r="V996" s="29" t="str">
        <f t="shared" si="54"/>
        <v/>
      </c>
      <c r="W996" s="29" t="str">
        <f>IF(U996=1,COUNTIF($U$2:U996,1),"")</f>
        <v/>
      </c>
      <c r="X996" s="29" t="str">
        <f t="shared" si="55"/>
        <v/>
      </c>
      <c r="Y996" s="29" t="str">
        <f>IF(AND(LEFT($B996,7)="SBA 26/",$D996&lt;&gt;"",$F996&lt;&gt;""),COUNTIFS($D$2:$D996,$D996,$B$2:$B996,"SBA 26/*",$F$2:$F996,"&lt;&gt;"),"")</f>
        <v/>
      </c>
      <c r="Z996" s="29" t="str">
        <f>IF(Y996=1,COUNTIF($Y$2:Y996,1),"")</f>
        <v/>
      </c>
      <c r="AA996" s="29" t="str">
        <f>IF(AND(LEFT($B996,7)="SBA 26/",$C996&lt;&gt;"",$F996&lt;&gt;""),COUNTIFS($C$2:$C996,$C996,$B$2:$B996,"SBA 26/*",$F$2:$F996,"&lt;&gt;"),"")</f>
        <v/>
      </c>
      <c r="AB996" s="29" t="str">
        <f>IF(AA996=1,COUNTIF($AA$2:AA996,1),"")</f>
        <v/>
      </c>
    </row>
    <row r="997" spans="6:28" ht="63" customHeight="1" x14ac:dyDescent="0.2">
      <c r="F997" s="45" t="s">
        <v>3559</v>
      </c>
      <c r="T997" s="41"/>
      <c r="U997" s="29" t="str">
        <f>IF($C997&lt;&gt;"",COUNTIF($C$2:C997,C997),"")</f>
        <v/>
      </c>
      <c r="V997" s="29" t="str">
        <f t="shared" si="54"/>
        <v/>
      </c>
      <c r="W997" s="29" t="str">
        <f>IF(U997=1,COUNTIF($U$2:U997,1),"")</f>
        <v/>
      </c>
      <c r="X997" s="29" t="str">
        <f t="shared" si="55"/>
        <v/>
      </c>
      <c r="Y997" s="29" t="str">
        <f>IF(AND(LEFT($B997,7)="SBA 26/",$D997&lt;&gt;"",$F997&lt;&gt;""),COUNTIFS($D$2:$D997,$D997,$B$2:$B997,"SBA 26/*",$F$2:$F997,"&lt;&gt;"),"")</f>
        <v/>
      </c>
      <c r="Z997" s="29" t="str">
        <f>IF(Y997=1,COUNTIF($Y$2:Y997,1),"")</f>
        <v/>
      </c>
      <c r="AA997" s="29" t="str">
        <f>IF(AND(LEFT($B997,7)="SBA 26/",$C997&lt;&gt;"",$F997&lt;&gt;""),COUNTIFS($C$2:$C997,$C997,$B$2:$B997,"SBA 26/*",$F$2:$F997,"&lt;&gt;"),"")</f>
        <v/>
      </c>
      <c r="AB997" s="29" t="str">
        <f>IF(AA997=1,COUNTIF($AA$2:AA997,1),"")</f>
        <v/>
      </c>
    </row>
    <row r="998" spans="6:28" ht="47.25" customHeight="1" x14ac:dyDescent="0.2">
      <c r="F998" s="45" t="s">
        <v>3560</v>
      </c>
      <c r="T998" s="41"/>
      <c r="U998" s="29" t="str">
        <f>IF($C998&lt;&gt;"",COUNTIF($C$2:C998,C998),"")</f>
        <v/>
      </c>
      <c r="V998" s="29" t="str">
        <f t="shared" si="54"/>
        <v/>
      </c>
      <c r="W998" s="29" t="str">
        <f>IF(U998=1,COUNTIF($U$2:U998,1),"")</f>
        <v/>
      </c>
      <c r="X998" s="29" t="str">
        <f t="shared" si="55"/>
        <v/>
      </c>
      <c r="Y998" s="29" t="str">
        <f>IF(AND(LEFT($B998,7)="SBA 26/",$D998&lt;&gt;"",$F998&lt;&gt;""),COUNTIFS($D$2:$D998,$D998,$B$2:$B998,"SBA 26/*",$F$2:$F998,"&lt;&gt;"),"")</f>
        <v/>
      </c>
      <c r="Z998" s="29" t="str">
        <f>IF(Y998=1,COUNTIF($Y$2:Y998,1),"")</f>
        <v/>
      </c>
      <c r="AA998" s="29" t="str">
        <f>IF(AND(LEFT($B998,7)="SBA 26/",$C998&lt;&gt;"",$F998&lt;&gt;""),COUNTIFS($C$2:$C998,$C998,$B$2:$B998,"SBA 26/*",$F$2:$F998,"&lt;&gt;"),"")</f>
        <v/>
      </c>
      <c r="AB998" s="29" t="str">
        <f>IF(AA998=1,COUNTIF($AA$2:AA998,1),"")</f>
        <v/>
      </c>
    </row>
    <row r="999" spans="6:28" ht="47.25" customHeight="1" x14ac:dyDescent="0.2">
      <c r="F999" s="45" t="s">
        <v>3561</v>
      </c>
      <c r="T999" s="41"/>
      <c r="U999" s="29" t="str">
        <f>IF($C999&lt;&gt;"",COUNTIF($C$2:C999,C999),"")</f>
        <v/>
      </c>
      <c r="V999" s="29" t="str">
        <f t="shared" si="54"/>
        <v/>
      </c>
      <c r="W999" s="29" t="str">
        <f>IF(U999=1,COUNTIF($U$2:U999,1),"")</f>
        <v/>
      </c>
      <c r="X999" s="29" t="str">
        <f t="shared" si="55"/>
        <v/>
      </c>
      <c r="Y999" s="29" t="str">
        <f>IF(AND(LEFT($B999,7)="SBA 26/",$D999&lt;&gt;"",$F999&lt;&gt;""),COUNTIFS($D$2:$D999,$D999,$B$2:$B999,"SBA 26/*",$F$2:$F999,"&lt;&gt;"),"")</f>
        <v/>
      </c>
      <c r="Z999" s="29" t="str">
        <f>IF(Y999=1,COUNTIF($Y$2:Y999,1),"")</f>
        <v/>
      </c>
      <c r="AA999" s="29" t="str">
        <f>IF(AND(LEFT($B999,7)="SBA 26/",$C999&lt;&gt;"",$F999&lt;&gt;""),COUNTIFS($C$2:$C999,$C999,$B$2:$B999,"SBA 26/*",$F$2:$F999,"&lt;&gt;"),"")</f>
        <v/>
      </c>
      <c r="AB999" s="29" t="str">
        <f>IF(AA999=1,COUNTIF($AA$2:AA999,1),"")</f>
        <v/>
      </c>
    </row>
    <row r="1000" spans="6:28" ht="47.25" customHeight="1" x14ac:dyDescent="0.2">
      <c r="F1000" s="45" t="s">
        <v>3562</v>
      </c>
      <c r="T1000" s="41"/>
      <c r="U1000" s="29" t="str">
        <f>IF($C1000&lt;&gt;"",COUNTIF($C$2:C1000,C1000),"")</f>
        <v/>
      </c>
      <c r="V1000" s="29" t="str">
        <f t="shared" si="54"/>
        <v/>
      </c>
      <c r="W1000" s="29" t="str">
        <f>IF(U1000=1,COUNTIF($U$2:U1000,1),"")</f>
        <v/>
      </c>
      <c r="X1000" s="29" t="str">
        <f t="shared" si="55"/>
        <v/>
      </c>
      <c r="Y1000" s="29" t="str">
        <f>IF(AND(LEFT($B1000,7)="SBA 26/",$D1000&lt;&gt;"",$F1000&lt;&gt;""),COUNTIFS($D$2:$D1000,$D1000,$B$2:$B1000,"SBA 26/*",$F$2:$F1000,"&lt;&gt;"),"")</f>
        <v/>
      </c>
      <c r="Z1000" s="29" t="str">
        <f>IF(Y1000=1,COUNTIF($Y$2:Y1000,1),"")</f>
        <v/>
      </c>
      <c r="AA1000" s="29" t="str">
        <f>IF(AND(LEFT($B1000,7)="SBA 26/",$C1000&lt;&gt;"",$F1000&lt;&gt;""),COUNTIFS($C$2:$C1000,$C1000,$B$2:$B1000,"SBA 26/*",$F$2:$F1000,"&lt;&gt;"),"")</f>
        <v/>
      </c>
      <c r="AB1000" s="29" t="str">
        <f>IF(AA1000=1,COUNTIF($AA$2:AA1000,1),"")</f>
        <v/>
      </c>
    </row>
    <row r="1001" spans="6:28" ht="47.25" customHeight="1" x14ac:dyDescent="0.2">
      <c r="F1001" s="45" t="s">
        <v>3563</v>
      </c>
      <c r="T1001" s="41"/>
      <c r="U1001" s="29" t="str">
        <f>IF($C1001&lt;&gt;"",COUNTIF($C$2:C1001,C1001),"")</f>
        <v/>
      </c>
      <c r="V1001" s="29" t="str">
        <f t="shared" si="54"/>
        <v/>
      </c>
      <c r="W1001" s="29" t="str">
        <f>IF(U1001=1,COUNTIF($U$2:U1001,1),"")</f>
        <v/>
      </c>
      <c r="X1001" s="29" t="str">
        <f t="shared" si="55"/>
        <v/>
      </c>
      <c r="Y1001" s="29" t="str">
        <f>IF(AND(LEFT($B1001,7)="SBA 26/",$D1001&lt;&gt;"",$F1001&lt;&gt;""),COUNTIFS($D$2:$D1001,$D1001,$B$2:$B1001,"SBA 26/*",$F$2:$F1001,"&lt;&gt;"),"")</f>
        <v/>
      </c>
      <c r="Z1001" s="29" t="str">
        <f>IF(Y1001=1,COUNTIF($Y$2:Y1001,1),"")</f>
        <v/>
      </c>
      <c r="AA1001" s="29" t="str">
        <f>IF(AND(LEFT($B1001,7)="SBA 26/",$C1001&lt;&gt;"",$F1001&lt;&gt;""),COUNTIFS($C$2:$C1001,$C1001,$B$2:$B1001,"SBA 26/*",$F$2:$F1001,"&lt;&gt;"),"")</f>
        <v/>
      </c>
      <c r="AB1001" s="29" t="str">
        <f>IF(AA1001=1,COUNTIF($AA$2:AA1001,1),"")</f>
        <v/>
      </c>
    </row>
    <row r="1002" spans="6:28" ht="31.5" customHeight="1" x14ac:dyDescent="0.2">
      <c r="F1002" s="45" t="s">
        <v>3564</v>
      </c>
      <c r="T1002" s="41"/>
      <c r="U1002" s="29" t="str">
        <f>IF($C1002&lt;&gt;"",COUNTIF($C$2:C1002,C1002),"")</f>
        <v/>
      </c>
      <c r="V1002" s="29" t="str">
        <f t="shared" si="54"/>
        <v/>
      </c>
      <c r="W1002" s="29" t="str">
        <f>IF(U1002=1,COUNTIF($U$2:U1002,1),"")</f>
        <v/>
      </c>
      <c r="X1002" s="29" t="str">
        <f t="shared" si="55"/>
        <v/>
      </c>
      <c r="Y1002" s="29" t="str">
        <f>IF(AND(LEFT($B1002,7)="SBA 26/",$D1002&lt;&gt;"",$F1002&lt;&gt;""),COUNTIFS($D$2:$D1002,$D1002,$B$2:$B1002,"SBA 26/*",$F$2:$F1002,"&lt;&gt;"),"")</f>
        <v/>
      </c>
      <c r="Z1002" s="29" t="str">
        <f>IF(Y1002=1,COUNTIF($Y$2:Y1002,1),"")</f>
        <v/>
      </c>
      <c r="AA1002" s="29" t="str">
        <f>IF(AND(LEFT($B1002,7)="SBA 26/",$C1002&lt;&gt;"",$F1002&lt;&gt;""),COUNTIFS($C$2:$C1002,$C1002,$B$2:$B1002,"SBA 26/*",$F$2:$F1002,"&lt;&gt;"),"")</f>
        <v/>
      </c>
      <c r="AB1002" s="29" t="str">
        <f>IF(AA1002=1,COUNTIF($AA$2:AA1002,1),"")</f>
        <v/>
      </c>
    </row>
    <row r="1003" spans="6:28" ht="31.5" customHeight="1" x14ac:dyDescent="0.2">
      <c r="F1003" s="45" t="s">
        <v>3565</v>
      </c>
      <c r="T1003" s="41"/>
      <c r="U1003" s="29" t="str">
        <f>IF($C1003&lt;&gt;"",COUNTIF($C$2:C1003,C1003),"")</f>
        <v/>
      </c>
      <c r="V1003" s="29" t="str">
        <f t="shared" si="54"/>
        <v/>
      </c>
      <c r="W1003" s="29" t="str">
        <f>IF(U1003=1,COUNTIF($U$2:U1003,1),"")</f>
        <v/>
      </c>
      <c r="X1003" s="29" t="str">
        <f t="shared" si="55"/>
        <v/>
      </c>
      <c r="Y1003" s="29" t="str">
        <f>IF(AND(LEFT($B1003,7)="SBA 26/",$D1003&lt;&gt;"",$F1003&lt;&gt;""),COUNTIFS($D$2:$D1003,$D1003,$B$2:$B1003,"SBA 26/*",$F$2:$F1003,"&lt;&gt;"),"")</f>
        <v/>
      </c>
      <c r="Z1003" s="29" t="str">
        <f>IF(Y1003=1,COUNTIF($Y$2:Y1003,1),"")</f>
        <v/>
      </c>
      <c r="AA1003" s="29" t="str">
        <f>IF(AND(LEFT($B1003,7)="SBA 26/",$C1003&lt;&gt;"",$F1003&lt;&gt;""),COUNTIFS($C$2:$C1003,$C1003,$B$2:$B1003,"SBA 26/*",$F$2:$F1003,"&lt;&gt;"),"")</f>
        <v/>
      </c>
      <c r="AB1003" s="29" t="str">
        <f>IF(AA1003=1,COUNTIF($AA$2:AA1003,1),"")</f>
        <v/>
      </c>
    </row>
    <row r="1004" spans="6:28" ht="31.5" customHeight="1" x14ac:dyDescent="0.2">
      <c r="F1004" s="45" t="s">
        <v>3566</v>
      </c>
      <c r="T1004" s="41"/>
      <c r="U1004" s="29" t="str">
        <f>IF($C1004&lt;&gt;"",COUNTIF($C$2:C1004,C1004),"")</f>
        <v/>
      </c>
      <c r="V1004" s="29" t="str">
        <f t="shared" si="54"/>
        <v/>
      </c>
      <c r="W1004" s="29" t="str">
        <f>IF(U1004=1,COUNTIF($U$2:U1004,1),"")</f>
        <v/>
      </c>
      <c r="X1004" s="29" t="str">
        <f t="shared" si="55"/>
        <v/>
      </c>
      <c r="Y1004" s="29" t="str">
        <f>IF(AND(LEFT($B1004,7)="SBA 26/",$D1004&lt;&gt;"",$F1004&lt;&gt;""),COUNTIFS($D$2:$D1004,$D1004,$B$2:$B1004,"SBA 26/*",$F$2:$F1004,"&lt;&gt;"),"")</f>
        <v/>
      </c>
      <c r="Z1004" s="29" t="str">
        <f>IF(Y1004=1,COUNTIF($Y$2:Y1004,1),"")</f>
        <v/>
      </c>
      <c r="AA1004" s="29" t="str">
        <f>IF(AND(LEFT($B1004,7)="SBA 26/",$C1004&lt;&gt;"",$F1004&lt;&gt;""),COUNTIFS($C$2:$C1004,$C1004,$B$2:$B1004,"SBA 26/*",$F$2:$F1004,"&lt;&gt;"),"")</f>
        <v/>
      </c>
      <c r="AB1004" s="29" t="str">
        <f>IF(AA1004=1,COUNTIF($AA$2:AA1004,1),"")</f>
        <v/>
      </c>
    </row>
    <row r="1005" spans="6:28" ht="31.5" customHeight="1" x14ac:dyDescent="0.2">
      <c r="F1005" s="45" t="s">
        <v>3567</v>
      </c>
      <c r="T1005" s="41"/>
      <c r="U1005" s="29" t="str">
        <f>IF($C1005&lt;&gt;"",COUNTIF($C$2:C1005,C1005),"")</f>
        <v/>
      </c>
      <c r="V1005" s="29" t="str">
        <f t="shared" si="54"/>
        <v/>
      </c>
      <c r="W1005" s="29" t="str">
        <f>IF(U1005=1,COUNTIF($U$2:U1005,1),"")</f>
        <v/>
      </c>
      <c r="X1005" s="29" t="str">
        <f t="shared" si="55"/>
        <v/>
      </c>
      <c r="Y1005" s="29" t="str">
        <f>IF(AND(LEFT($B1005,7)="SBA 26/",$D1005&lt;&gt;"",$F1005&lt;&gt;""),COUNTIFS($D$2:$D1005,$D1005,$B$2:$B1005,"SBA 26/*",$F$2:$F1005,"&lt;&gt;"),"")</f>
        <v/>
      </c>
      <c r="Z1005" s="29" t="str">
        <f>IF(Y1005=1,COUNTIF($Y$2:Y1005,1),"")</f>
        <v/>
      </c>
      <c r="AA1005" s="29" t="str">
        <f>IF(AND(LEFT($B1005,7)="SBA 26/",$C1005&lt;&gt;"",$F1005&lt;&gt;""),COUNTIFS($C$2:$C1005,$C1005,$B$2:$B1005,"SBA 26/*",$F$2:$F1005,"&lt;&gt;"),"")</f>
        <v/>
      </c>
      <c r="AB1005" s="29" t="str">
        <f>IF(AA1005=1,COUNTIF($AA$2:AA1005,1),"")</f>
        <v/>
      </c>
    </row>
    <row r="1006" spans="6:28" ht="31.5" customHeight="1" x14ac:dyDescent="0.2">
      <c r="F1006" s="45" t="s">
        <v>3568</v>
      </c>
      <c r="T1006" s="41"/>
      <c r="U1006" s="29" t="str">
        <f>IF($C1006&lt;&gt;"",COUNTIF($C$2:C1006,C1006),"")</f>
        <v/>
      </c>
      <c r="V1006" s="29" t="str">
        <f t="shared" si="54"/>
        <v/>
      </c>
      <c r="W1006" s="29" t="str">
        <f>IF(U1006=1,COUNTIF($U$2:U1006,1),"")</f>
        <v/>
      </c>
      <c r="X1006" s="29" t="str">
        <f t="shared" si="55"/>
        <v/>
      </c>
      <c r="Y1006" s="29" t="str">
        <f>IF(AND(LEFT($B1006,7)="SBA 26/",$D1006&lt;&gt;"",$F1006&lt;&gt;""),COUNTIFS($D$2:$D1006,$D1006,$B$2:$B1006,"SBA 26/*",$F$2:$F1006,"&lt;&gt;"),"")</f>
        <v/>
      </c>
      <c r="Z1006" s="29" t="str">
        <f>IF(Y1006=1,COUNTIF($Y$2:Y1006,1),"")</f>
        <v/>
      </c>
      <c r="AA1006" s="29" t="str">
        <f>IF(AND(LEFT($B1006,7)="SBA 26/",$C1006&lt;&gt;"",$F1006&lt;&gt;""),COUNTIFS($C$2:$C1006,$C1006,$B$2:$B1006,"SBA 26/*",$F$2:$F1006,"&lt;&gt;"),"")</f>
        <v/>
      </c>
      <c r="AB1006" s="29" t="str">
        <f>IF(AA1006=1,COUNTIF($AA$2:AA1006,1),"")</f>
        <v/>
      </c>
    </row>
    <row r="1007" spans="6:28" ht="31.5" customHeight="1" x14ac:dyDescent="0.2">
      <c r="F1007" s="45" t="s">
        <v>3569</v>
      </c>
      <c r="T1007" s="41"/>
      <c r="U1007" s="29" t="str">
        <f>IF($C1007&lt;&gt;"",COUNTIF($C$2:C1007,C1007),"")</f>
        <v/>
      </c>
      <c r="V1007" s="29" t="str">
        <f t="shared" si="54"/>
        <v/>
      </c>
      <c r="W1007" s="29" t="str">
        <f>IF(U1007=1,COUNTIF($U$2:U1007,1),"")</f>
        <v/>
      </c>
      <c r="X1007" s="29" t="str">
        <f t="shared" si="55"/>
        <v/>
      </c>
      <c r="Y1007" s="29" t="str">
        <f>IF(AND(LEFT($B1007,7)="SBA 26/",$D1007&lt;&gt;"",$F1007&lt;&gt;""),COUNTIFS($D$2:$D1007,$D1007,$B$2:$B1007,"SBA 26/*",$F$2:$F1007,"&lt;&gt;"),"")</f>
        <v/>
      </c>
      <c r="Z1007" s="29" t="str">
        <f>IF(Y1007=1,COUNTIF($Y$2:Y1007,1),"")</f>
        <v/>
      </c>
      <c r="AA1007" s="29" t="str">
        <f>IF(AND(LEFT($B1007,7)="SBA 26/",$C1007&lt;&gt;"",$F1007&lt;&gt;""),COUNTIFS($C$2:$C1007,$C1007,$B$2:$B1007,"SBA 26/*",$F$2:$F1007,"&lt;&gt;"),"")</f>
        <v/>
      </c>
      <c r="AB1007" s="29" t="str">
        <f>IF(AA1007=1,COUNTIF($AA$2:AA1007,1),"")</f>
        <v/>
      </c>
    </row>
    <row r="1008" spans="6:28" ht="47.25" customHeight="1" x14ac:dyDescent="0.2">
      <c r="F1008" s="45" t="s">
        <v>3570</v>
      </c>
      <c r="T1008" s="41"/>
      <c r="U1008" s="29" t="str">
        <f>IF($C1008&lt;&gt;"",COUNTIF($C$2:C1008,C1008),"")</f>
        <v/>
      </c>
      <c r="V1008" s="29" t="str">
        <f t="shared" si="54"/>
        <v/>
      </c>
      <c r="W1008" s="29" t="str">
        <f>IF(U1008=1,COUNTIF($U$2:U1008,1),"")</f>
        <v/>
      </c>
      <c r="X1008" s="29" t="str">
        <f t="shared" si="55"/>
        <v/>
      </c>
      <c r="Y1008" s="29" t="str">
        <f>IF(AND(LEFT($B1008,7)="SBA 26/",$D1008&lt;&gt;"",$F1008&lt;&gt;""),COUNTIFS($D$2:$D1008,$D1008,$B$2:$B1008,"SBA 26/*",$F$2:$F1008,"&lt;&gt;"),"")</f>
        <v/>
      </c>
      <c r="Z1008" s="29" t="str">
        <f>IF(Y1008=1,COUNTIF($Y$2:Y1008,1),"")</f>
        <v/>
      </c>
      <c r="AA1008" s="29" t="str">
        <f>IF(AND(LEFT($B1008,7)="SBA 26/",$C1008&lt;&gt;"",$F1008&lt;&gt;""),COUNTIFS($C$2:$C1008,$C1008,$B$2:$B1008,"SBA 26/*",$F$2:$F1008,"&lt;&gt;"),"")</f>
        <v/>
      </c>
      <c r="AB1008" s="29" t="str">
        <f>IF(AA1008=1,COUNTIF($AA$2:AA1008,1),"")</f>
        <v/>
      </c>
    </row>
    <row r="1009" spans="6:28" ht="31.5" customHeight="1" x14ac:dyDescent="0.2">
      <c r="F1009" s="45" t="s">
        <v>3571</v>
      </c>
      <c r="T1009" s="41"/>
      <c r="U1009" s="29" t="str">
        <f>IF($C1009&lt;&gt;"",COUNTIF($C$2:C1009,C1009),"")</f>
        <v/>
      </c>
      <c r="V1009" s="29" t="str">
        <f t="shared" si="54"/>
        <v/>
      </c>
      <c r="W1009" s="29" t="str">
        <f>IF(U1009=1,COUNTIF($U$2:U1009,1),"")</f>
        <v/>
      </c>
      <c r="X1009" s="29" t="str">
        <f t="shared" si="55"/>
        <v/>
      </c>
      <c r="Y1009" s="29" t="str">
        <f>IF(AND(LEFT($B1009,7)="SBA 26/",$D1009&lt;&gt;"",$F1009&lt;&gt;""),COUNTIFS($D$2:$D1009,$D1009,$B$2:$B1009,"SBA 26/*",$F$2:$F1009,"&lt;&gt;"),"")</f>
        <v/>
      </c>
      <c r="Z1009" s="29" t="str">
        <f>IF(Y1009=1,COUNTIF($Y$2:Y1009,1),"")</f>
        <v/>
      </c>
      <c r="AA1009" s="29" t="str">
        <f>IF(AND(LEFT($B1009,7)="SBA 26/",$C1009&lt;&gt;"",$F1009&lt;&gt;""),COUNTIFS($C$2:$C1009,$C1009,$B$2:$B1009,"SBA 26/*",$F$2:$F1009,"&lt;&gt;"),"")</f>
        <v/>
      </c>
      <c r="AB1009" s="29" t="str">
        <f>IF(AA1009=1,COUNTIF($AA$2:AA1009,1),"")</f>
        <v/>
      </c>
    </row>
    <row r="1010" spans="6:28" ht="31.5" customHeight="1" x14ac:dyDescent="0.2">
      <c r="F1010" s="45" t="s">
        <v>3572</v>
      </c>
      <c r="T1010" s="41"/>
      <c r="U1010" s="29" t="str">
        <f>IF($C1010&lt;&gt;"",COUNTIF($C$2:C1010,C1010),"")</f>
        <v/>
      </c>
      <c r="V1010" s="29" t="str">
        <f t="shared" si="54"/>
        <v/>
      </c>
      <c r="W1010" s="29" t="str">
        <f>IF(U1010=1,COUNTIF($U$2:U1010,1),"")</f>
        <v/>
      </c>
      <c r="X1010" s="29" t="str">
        <f t="shared" si="55"/>
        <v/>
      </c>
      <c r="Y1010" s="29" t="str">
        <f>IF(AND(LEFT($B1010,7)="SBA 26/",$D1010&lt;&gt;"",$F1010&lt;&gt;""),COUNTIFS($D$2:$D1010,$D1010,$B$2:$B1010,"SBA 26/*",$F$2:$F1010,"&lt;&gt;"),"")</f>
        <v/>
      </c>
      <c r="Z1010" s="29" t="str">
        <f>IF(Y1010=1,COUNTIF($Y$2:Y1010,1),"")</f>
        <v/>
      </c>
      <c r="AA1010" s="29" t="str">
        <f>IF(AND(LEFT($B1010,7)="SBA 26/",$C1010&lt;&gt;"",$F1010&lt;&gt;""),COUNTIFS($C$2:$C1010,$C1010,$B$2:$B1010,"SBA 26/*",$F$2:$F1010,"&lt;&gt;"),"")</f>
        <v/>
      </c>
      <c r="AB1010" s="29" t="str">
        <f>IF(AA1010=1,COUNTIF($AA$2:AA1010,1),"")</f>
        <v/>
      </c>
    </row>
    <row r="1011" spans="6:28" ht="31.5" customHeight="1" x14ac:dyDescent="0.2">
      <c r="F1011" s="45" t="s">
        <v>3573</v>
      </c>
      <c r="T1011" s="41"/>
      <c r="U1011" s="29" t="str">
        <f>IF($C1011&lt;&gt;"",COUNTIF($C$2:C1011,C1011),"")</f>
        <v/>
      </c>
      <c r="V1011" s="29" t="str">
        <f t="shared" si="54"/>
        <v/>
      </c>
      <c r="W1011" s="29" t="str">
        <f>IF(U1011=1,COUNTIF($U$2:U1011,1),"")</f>
        <v/>
      </c>
      <c r="X1011" s="29" t="str">
        <f t="shared" si="55"/>
        <v/>
      </c>
      <c r="Y1011" s="29" t="str">
        <f>IF(AND(LEFT($B1011,7)="SBA 26/",$D1011&lt;&gt;"",$F1011&lt;&gt;""),COUNTIFS($D$2:$D1011,$D1011,$B$2:$B1011,"SBA 26/*",$F$2:$F1011,"&lt;&gt;"),"")</f>
        <v/>
      </c>
      <c r="Z1011" s="29" t="str">
        <f>IF(Y1011=1,COUNTIF($Y$2:Y1011,1),"")</f>
        <v/>
      </c>
      <c r="AA1011" s="29" t="str">
        <f>IF(AND(LEFT($B1011,7)="SBA 26/",$C1011&lt;&gt;"",$F1011&lt;&gt;""),COUNTIFS($C$2:$C1011,$C1011,$B$2:$B1011,"SBA 26/*",$F$2:$F1011,"&lt;&gt;"),"")</f>
        <v/>
      </c>
      <c r="AB1011" s="29" t="str">
        <f>IF(AA1011=1,COUNTIF($AA$2:AA1011,1),"")</f>
        <v/>
      </c>
    </row>
    <row r="1012" spans="6:28" ht="63" customHeight="1" x14ac:dyDescent="0.2">
      <c r="F1012" s="45" t="s">
        <v>3574</v>
      </c>
      <c r="T1012" s="41"/>
      <c r="U1012" s="29" t="str">
        <f>IF($C1012&lt;&gt;"",COUNTIF($C$2:C1012,C1012),"")</f>
        <v/>
      </c>
      <c r="V1012" s="29" t="str">
        <f t="shared" si="54"/>
        <v/>
      </c>
      <c r="W1012" s="29" t="str">
        <f>IF(U1012=1,COUNTIF($U$2:U1012,1),"")</f>
        <v/>
      </c>
      <c r="X1012" s="29" t="str">
        <f t="shared" si="55"/>
        <v/>
      </c>
      <c r="Y1012" s="29" t="str">
        <f>IF(AND(LEFT($B1012,7)="SBA 26/",$D1012&lt;&gt;"",$F1012&lt;&gt;""),COUNTIFS($D$2:$D1012,$D1012,$B$2:$B1012,"SBA 26/*",$F$2:$F1012,"&lt;&gt;"),"")</f>
        <v/>
      </c>
      <c r="Z1012" s="29" t="str">
        <f>IF(Y1012=1,COUNTIF($Y$2:Y1012,1),"")</f>
        <v/>
      </c>
      <c r="AA1012" s="29" t="str">
        <f>IF(AND(LEFT($B1012,7)="SBA 26/",$C1012&lt;&gt;"",$F1012&lt;&gt;""),COUNTIFS($C$2:$C1012,$C1012,$B$2:$B1012,"SBA 26/*",$F$2:$F1012,"&lt;&gt;"),"")</f>
        <v/>
      </c>
      <c r="AB1012" s="29" t="str">
        <f>IF(AA1012=1,COUNTIF($AA$2:AA1012,1),"")</f>
        <v/>
      </c>
    </row>
    <row r="1013" spans="6:28" ht="31.5" customHeight="1" x14ac:dyDescent="0.2">
      <c r="F1013" s="45" t="s">
        <v>3575</v>
      </c>
      <c r="T1013" s="41"/>
      <c r="U1013" s="29" t="str">
        <f>IF($C1013&lt;&gt;"",COUNTIF($C$2:C1013,C1013),"")</f>
        <v/>
      </c>
      <c r="V1013" s="29" t="str">
        <f t="shared" si="54"/>
        <v/>
      </c>
      <c r="W1013" s="29" t="str">
        <f>IF(U1013=1,COUNTIF($U$2:U1013,1),"")</f>
        <v/>
      </c>
      <c r="X1013" s="29" t="str">
        <f t="shared" si="55"/>
        <v/>
      </c>
      <c r="Y1013" s="29" t="str">
        <f>IF(AND(LEFT($B1013,7)="SBA 26/",$D1013&lt;&gt;"",$F1013&lt;&gt;""),COUNTIFS($D$2:$D1013,$D1013,$B$2:$B1013,"SBA 26/*",$F$2:$F1013,"&lt;&gt;"),"")</f>
        <v/>
      </c>
      <c r="Z1013" s="29" t="str">
        <f>IF(Y1013=1,COUNTIF($Y$2:Y1013,1),"")</f>
        <v/>
      </c>
      <c r="AA1013" s="29" t="str">
        <f>IF(AND(LEFT($B1013,7)="SBA 26/",$C1013&lt;&gt;"",$F1013&lt;&gt;""),COUNTIFS($C$2:$C1013,$C1013,$B$2:$B1013,"SBA 26/*",$F$2:$F1013,"&lt;&gt;"),"")</f>
        <v/>
      </c>
      <c r="AB1013" s="29" t="str">
        <f>IF(AA1013=1,COUNTIF($AA$2:AA1013,1),"")</f>
        <v/>
      </c>
    </row>
    <row r="1014" spans="6:28" ht="63" customHeight="1" x14ac:dyDescent="0.2">
      <c r="F1014" s="45" t="s">
        <v>3576</v>
      </c>
      <c r="T1014" s="41"/>
      <c r="U1014" s="29" t="str">
        <f>IF($C1014&lt;&gt;"",COUNTIF($C$2:C1014,C1014),"")</f>
        <v/>
      </c>
      <c r="V1014" s="29" t="str">
        <f t="shared" si="54"/>
        <v/>
      </c>
      <c r="W1014" s="29" t="str">
        <f>IF(U1014=1,COUNTIF($U$2:U1014,1),"")</f>
        <v/>
      </c>
      <c r="X1014" s="29" t="str">
        <f t="shared" si="55"/>
        <v/>
      </c>
      <c r="Y1014" s="29" t="str">
        <f>IF(AND(LEFT($B1014,7)="SBA 26/",$D1014&lt;&gt;"",$F1014&lt;&gt;""),COUNTIFS($D$2:$D1014,$D1014,$B$2:$B1014,"SBA 26/*",$F$2:$F1014,"&lt;&gt;"),"")</f>
        <v/>
      </c>
      <c r="Z1014" s="29" t="str">
        <f>IF(Y1014=1,COUNTIF($Y$2:Y1014,1),"")</f>
        <v/>
      </c>
      <c r="AA1014" s="29" t="str">
        <f>IF(AND(LEFT($B1014,7)="SBA 26/",$C1014&lt;&gt;"",$F1014&lt;&gt;""),COUNTIFS($C$2:$C1014,$C1014,$B$2:$B1014,"SBA 26/*",$F$2:$F1014,"&lt;&gt;"),"")</f>
        <v/>
      </c>
      <c r="AB1014" s="29" t="str">
        <f>IF(AA1014=1,COUNTIF($AA$2:AA1014,1),"")</f>
        <v/>
      </c>
    </row>
    <row r="1015" spans="6:28" ht="47.25" customHeight="1" x14ac:dyDescent="0.2">
      <c r="F1015" s="45" t="s">
        <v>3577</v>
      </c>
      <c r="T1015" s="41"/>
      <c r="U1015" s="29" t="str">
        <f>IF($C1015&lt;&gt;"",COUNTIF($C$2:C1015,C1015),"")</f>
        <v/>
      </c>
      <c r="V1015" s="29" t="str">
        <f t="shared" si="54"/>
        <v/>
      </c>
      <c r="W1015" s="29" t="str">
        <f>IF(U1015=1,COUNTIF($U$2:U1015,1),"")</f>
        <v/>
      </c>
      <c r="X1015" s="29" t="str">
        <f t="shared" si="55"/>
        <v/>
      </c>
      <c r="Y1015" s="29" t="str">
        <f>IF(AND(LEFT($B1015,7)="SBA 26/",$D1015&lt;&gt;"",$F1015&lt;&gt;""),COUNTIFS($D$2:$D1015,$D1015,$B$2:$B1015,"SBA 26/*",$F$2:$F1015,"&lt;&gt;"),"")</f>
        <v/>
      </c>
      <c r="Z1015" s="29" t="str">
        <f>IF(Y1015=1,COUNTIF($Y$2:Y1015,1),"")</f>
        <v/>
      </c>
      <c r="AA1015" s="29" t="str">
        <f>IF(AND(LEFT($B1015,7)="SBA 26/",$C1015&lt;&gt;"",$F1015&lt;&gt;""),COUNTIFS($C$2:$C1015,$C1015,$B$2:$B1015,"SBA 26/*",$F$2:$F1015,"&lt;&gt;"),"")</f>
        <v/>
      </c>
      <c r="AB1015" s="29" t="str">
        <f>IF(AA1015=1,COUNTIF($AA$2:AA1015,1),"")</f>
        <v/>
      </c>
    </row>
    <row r="1016" spans="6:28" ht="63" customHeight="1" x14ac:dyDescent="0.2">
      <c r="F1016" s="45" t="s">
        <v>3578</v>
      </c>
      <c r="T1016" s="41"/>
      <c r="U1016" s="29" t="str">
        <f>IF($C1016&lt;&gt;"",COUNTIF($C$2:C1016,C1016),"")</f>
        <v/>
      </c>
      <c r="V1016" s="29" t="str">
        <f t="shared" si="54"/>
        <v/>
      </c>
      <c r="W1016" s="29" t="str">
        <f>IF(U1016=1,COUNTIF($U$2:U1016,1),"")</f>
        <v/>
      </c>
      <c r="X1016" s="29" t="str">
        <f t="shared" si="55"/>
        <v/>
      </c>
      <c r="Y1016" s="29" t="str">
        <f>IF(AND(LEFT($B1016,7)="SBA 26/",$D1016&lt;&gt;"",$F1016&lt;&gt;""),COUNTIFS($D$2:$D1016,$D1016,$B$2:$B1016,"SBA 26/*",$F$2:$F1016,"&lt;&gt;"),"")</f>
        <v/>
      </c>
      <c r="Z1016" s="29" t="str">
        <f>IF(Y1016=1,COUNTIF($Y$2:Y1016,1),"")</f>
        <v/>
      </c>
      <c r="AA1016" s="29" t="str">
        <f>IF(AND(LEFT($B1016,7)="SBA 26/",$C1016&lt;&gt;"",$F1016&lt;&gt;""),COUNTIFS($C$2:$C1016,$C1016,$B$2:$B1016,"SBA 26/*",$F$2:$F1016,"&lt;&gt;"),"")</f>
        <v/>
      </c>
      <c r="AB1016" s="29" t="str">
        <f>IF(AA1016=1,COUNTIF($AA$2:AA1016,1),"")</f>
        <v/>
      </c>
    </row>
    <row r="1017" spans="6:28" ht="31.5" customHeight="1" x14ac:dyDescent="0.2">
      <c r="F1017" s="45" t="s">
        <v>3579</v>
      </c>
      <c r="T1017" s="41"/>
      <c r="U1017" s="29" t="str">
        <f>IF($C1017&lt;&gt;"",COUNTIF($C$2:C1017,C1017),"")</f>
        <v/>
      </c>
      <c r="V1017" s="29" t="str">
        <f t="shared" si="54"/>
        <v/>
      </c>
      <c r="W1017" s="29" t="str">
        <f>IF(U1017=1,COUNTIF($U$2:U1017,1),"")</f>
        <v/>
      </c>
      <c r="X1017" s="29" t="str">
        <f t="shared" si="55"/>
        <v/>
      </c>
      <c r="Y1017" s="29" t="str">
        <f>IF(AND(LEFT($B1017,7)="SBA 26/",$D1017&lt;&gt;"",$F1017&lt;&gt;""),COUNTIFS($D$2:$D1017,$D1017,$B$2:$B1017,"SBA 26/*",$F$2:$F1017,"&lt;&gt;"),"")</f>
        <v/>
      </c>
      <c r="Z1017" s="29" t="str">
        <f>IF(Y1017=1,COUNTIF($Y$2:Y1017,1),"")</f>
        <v/>
      </c>
      <c r="AA1017" s="29" t="str">
        <f>IF(AND(LEFT($B1017,7)="SBA 26/",$C1017&lt;&gt;"",$F1017&lt;&gt;""),COUNTIFS($C$2:$C1017,$C1017,$B$2:$B1017,"SBA 26/*",$F$2:$F1017,"&lt;&gt;"),"")</f>
        <v/>
      </c>
      <c r="AB1017" s="29" t="str">
        <f>IF(AA1017=1,COUNTIF($AA$2:AA1017,1),"")</f>
        <v/>
      </c>
    </row>
    <row r="1018" spans="6:28" ht="63" customHeight="1" x14ac:dyDescent="0.2">
      <c r="F1018" s="45" t="s">
        <v>3580</v>
      </c>
      <c r="T1018" s="41"/>
      <c r="U1018" s="29" t="str">
        <f>IF($C1018&lt;&gt;"",COUNTIF($C$2:C1018,C1018),"")</f>
        <v/>
      </c>
      <c r="V1018" s="29" t="str">
        <f t="shared" si="54"/>
        <v/>
      </c>
      <c r="W1018" s="29" t="str">
        <f>IF(U1018=1,COUNTIF($U$2:U1018,1),"")</f>
        <v/>
      </c>
      <c r="X1018" s="29" t="str">
        <f t="shared" si="55"/>
        <v/>
      </c>
      <c r="Y1018" s="29" t="str">
        <f>IF(AND(LEFT($B1018,7)="SBA 26/",$D1018&lt;&gt;"",$F1018&lt;&gt;""),COUNTIFS($D$2:$D1018,$D1018,$B$2:$B1018,"SBA 26/*",$F$2:$F1018,"&lt;&gt;"),"")</f>
        <v/>
      </c>
      <c r="Z1018" s="29" t="str">
        <f>IF(Y1018=1,COUNTIF($Y$2:Y1018,1),"")</f>
        <v/>
      </c>
      <c r="AA1018" s="29" t="str">
        <f>IF(AND(LEFT($B1018,7)="SBA 26/",$C1018&lt;&gt;"",$F1018&lt;&gt;""),COUNTIFS($C$2:$C1018,$C1018,$B$2:$B1018,"SBA 26/*",$F$2:$F1018,"&lt;&gt;"),"")</f>
        <v/>
      </c>
      <c r="AB1018" s="29" t="str">
        <f>IF(AA1018=1,COUNTIF($AA$2:AA1018,1),"")</f>
        <v/>
      </c>
    </row>
    <row r="1019" spans="6:28" ht="63" customHeight="1" x14ac:dyDescent="0.2">
      <c r="F1019" s="45" t="s">
        <v>3581</v>
      </c>
      <c r="T1019" s="41"/>
      <c r="U1019" s="29" t="str">
        <f>IF($C1019&lt;&gt;"",COUNTIF($C$2:C1019,C1019),"")</f>
        <v/>
      </c>
      <c r="V1019" s="29" t="str">
        <f t="shared" si="54"/>
        <v/>
      </c>
      <c r="W1019" s="29" t="str">
        <f>IF(U1019=1,COUNTIF($U$2:U1019,1),"")</f>
        <v/>
      </c>
      <c r="X1019" s="29" t="str">
        <f t="shared" si="55"/>
        <v/>
      </c>
      <c r="Y1019" s="29" t="str">
        <f>IF(AND(LEFT($B1019,7)="SBA 26/",$D1019&lt;&gt;"",$F1019&lt;&gt;""),COUNTIFS($D$2:$D1019,$D1019,$B$2:$B1019,"SBA 26/*",$F$2:$F1019,"&lt;&gt;"),"")</f>
        <v/>
      </c>
      <c r="Z1019" s="29" t="str">
        <f>IF(Y1019=1,COUNTIF($Y$2:Y1019,1),"")</f>
        <v/>
      </c>
      <c r="AA1019" s="29" t="str">
        <f>IF(AND(LEFT($B1019,7)="SBA 26/",$C1019&lt;&gt;"",$F1019&lt;&gt;""),COUNTIFS($C$2:$C1019,$C1019,$B$2:$B1019,"SBA 26/*",$F$2:$F1019,"&lt;&gt;"),"")</f>
        <v/>
      </c>
      <c r="AB1019" s="29" t="str">
        <f>IF(AA1019=1,COUNTIF($AA$2:AA1019,1),"")</f>
        <v/>
      </c>
    </row>
    <row r="1020" spans="6:28" ht="31.5" customHeight="1" x14ac:dyDescent="0.2">
      <c r="F1020" s="45" t="s">
        <v>3582</v>
      </c>
      <c r="T1020" s="41"/>
      <c r="U1020" s="29" t="str">
        <f>IF($C1020&lt;&gt;"",COUNTIF($C$2:C1020,C1020),"")</f>
        <v/>
      </c>
      <c r="V1020" s="29" t="str">
        <f t="shared" si="54"/>
        <v/>
      </c>
      <c r="W1020" s="29" t="str">
        <f>IF(U1020=1,COUNTIF($U$2:U1020,1),"")</f>
        <v/>
      </c>
      <c r="X1020" s="29" t="str">
        <f t="shared" si="55"/>
        <v/>
      </c>
      <c r="Y1020" s="29" t="str">
        <f>IF(AND(LEFT($B1020,7)="SBA 26/",$D1020&lt;&gt;"",$F1020&lt;&gt;""),COUNTIFS($D$2:$D1020,$D1020,$B$2:$B1020,"SBA 26/*",$F$2:$F1020,"&lt;&gt;"),"")</f>
        <v/>
      </c>
      <c r="Z1020" s="29" t="str">
        <f>IF(Y1020=1,COUNTIF($Y$2:Y1020,1),"")</f>
        <v/>
      </c>
      <c r="AA1020" s="29" t="str">
        <f>IF(AND(LEFT($B1020,7)="SBA 26/",$C1020&lt;&gt;"",$F1020&lt;&gt;""),COUNTIFS($C$2:$C1020,$C1020,$B$2:$B1020,"SBA 26/*",$F$2:$F1020,"&lt;&gt;"),"")</f>
        <v/>
      </c>
      <c r="AB1020" s="29" t="str">
        <f>IF(AA1020=1,COUNTIF($AA$2:AA1020,1),"")</f>
        <v/>
      </c>
    </row>
    <row r="1021" spans="6:28" ht="31.5" customHeight="1" x14ac:dyDescent="0.2">
      <c r="F1021" s="45" t="s">
        <v>3583</v>
      </c>
      <c r="T1021" s="41"/>
      <c r="U1021" s="29" t="str">
        <f>IF($C1021&lt;&gt;"",COUNTIF($C$2:C1021,C1021),"")</f>
        <v/>
      </c>
      <c r="V1021" s="29" t="str">
        <f t="shared" si="54"/>
        <v/>
      </c>
      <c r="W1021" s="29" t="str">
        <f>IF(U1021=1,COUNTIF($U$2:U1021,1),"")</f>
        <v/>
      </c>
      <c r="X1021" s="29" t="str">
        <f t="shared" si="55"/>
        <v/>
      </c>
      <c r="Y1021" s="29" t="str">
        <f>IF(AND(LEFT($B1021,7)="SBA 26/",$D1021&lt;&gt;"",$F1021&lt;&gt;""),COUNTIFS($D$2:$D1021,$D1021,$B$2:$B1021,"SBA 26/*",$F$2:$F1021,"&lt;&gt;"),"")</f>
        <v/>
      </c>
      <c r="Z1021" s="29" t="str">
        <f>IF(Y1021=1,COUNTIF($Y$2:Y1021,1),"")</f>
        <v/>
      </c>
      <c r="AA1021" s="29" t="str">
        <f>IF(AND(LEFT($B1021,7)="SBA 26/",$C1021&lt;&gt;"",$F1021&lt;&gt;""),COUNTIFS($C$2:$C1021,$C1021,$B$2:$B1021,"SBA 26/*",$F$2:$F1021,"&lt;&gt;"),"")</f>
        <v/>
      </c>
      <c r="AB1021" s="29" t="str">
        <f>IF(AA1021=1,COUNTIF($AA$2:AA1021,1),"")</f>
        <v/>
      </c>
    </row>
    <row r="1022" spans="6:28" ht="31.5" customHeight="1" x14ac:dyDescent="0.2">
      <c r="F1022" s="45" t="s">
        <v>3584</v>
      </c>
      <c r="T1022" s="41"/>
      <c r="U1022" s="29" t="str">
        <f>IF($C1022&lt;&gt;"",COUNTIF($C$2:C1022,C1022),"")</f>
        <v/>
      </c>
      <c r="V1022" s="29" t="str">
        <f t="shared" si="54"/>
        <v/>
      </c>
      <c r="W1022" s="29" t="str">
        <f>IF(U1022=1,COUNTIF($U$2:U1022,1),"")</f>
        <v/>
      </c>
      <c r="X1022" s="29" t="str">
        <f t="shared" si="55"/>
        <v/>
      </c>
      <c r="Y1022" s="29" t="str">
        <f>IF(AND(LEFT($B1022,7)="SBA 26/",$D1022&lt;&gt;"",$F1022&lt;&gt;""),COUNTIFS($D$2:$D1022,$D1022,$B$2:$B1022,"SBA 26/*",$F$2:$F1022,"&lt;&gt;"),"")</f>
        <v/>
      </c>
      <c r="Z1022" s="29" t="str">
        <f>IF(Y1022=1,COUNTIF($Y$2:Y1022,1),"")</f>
        <v/>
      </c>
      <c r="AA1022" s="29" t="str">
        <f>IF(AND(LEFT($B1022,7)="SBA 26/",$C1022&lt;&gt;"",$F1022&lt;&gt;""),COUNTIFS($C$2:$C1022,$C1022,$B$2:$B1022,"SBA 26/*",$F$2:$F1022,"&lt;&gt;"),"")</f>
        <v/>
      </c>
      <c r="AB1022" s="29" t="str">
        <f>IF(AA1022=1,COUNTIF($AA$2:AA1022,1),"")</f>
        <v/>
      </c>
    </row>
    <row r="1023" spans="6:28" ht="47.25" customHeight="1" x14ac:dyDescent="0.2">
      <c r="F1023" s="45" t="s">
        <v>3585</v>
      </c>
      <c r="T1023" s="41"/>
      <c r="U1023" s="29" t="str">
        <f>IF($C1023&lt;&gt;"",COUNTIF($C$2:C1023,C1023),"")</f>
        <v/>
      </c>
      <c r="V1023" s="29" t="str">
        <f t="shared" si="54"/>
        <v/>
      </c>
      <c r="W1023" s="29" t="str">
        <f>IF(U1023=1,COUNTIF($U$2:U1023,1),"")</f>
        <v/>
      </c>
      <c r="X1023" s="29" t="str">
        <f t="shared" si="55"/>
        <v/>
      </c>
      <c r="Y1023" s="29" t="str">
        <f>IF(AND(LEFT($B1023,7)="SBA 26/",$D1023&lt;&gt;"",$F1023&lt;&gt;""),COUNTIFS($D$2:$D1023,$D1023,$B$2:$B1023,"SBA 26/*",$F$2:$F1023,"&lt;&gt;"),"")</f>
        <v/>
      </c>
      <c r="Z1023" s="29" t="str">
        <f>IF(Y1023=1,COUNTIF($Y$2:Y1023,1),"")</f>
        <v/>
      </c>
      <c r="AA1023" s="29" t="str">
        <f>IF(AND(LEFT($B1023,7)="SBA 26/",$C1023&lt;&gt;"",$F1023&lt;&gt;""),COUNTIFS($C$2:$C1023,$C1023,$B$2:$B1023,"SBA 26/*",$F$2:$F1023,"&lt;&gt;"),"")</f>
        <v/>
      </c>
      <c r="AB1023" s="29" t="str">
        <f>IF(AA1023=1,COUNTIF($AA$2:AA1023,1),"")</f>
        <v/>
      </c>
    </row>
    <row r="1024" spans="6:28" ht="31.5" customHeight="1" x14ac:dyDescent="0.2">
      <c r="F1024" s="45" t="s">
        <v>3586</v>
      </c>
      <c r="T1024" s="41"/>
      <c r="U1024" s="29" t="str">
        <f>IF($C1024&lt;&gt;"",COUNTIF($C$2:C1024,C1024),"")</f>
        <v/>
      </c>
      <c r="V1024" s="29" t="str">
        <f t="shared" si="54"/>
        <v/>
      </c>
      <c r="W1024" s="29" t="str">
        <f>IF(U1024=1,COUNTIF($U$2:U1024,1),"")</f>
        <v/>
      </c>
      <c r="X1024" s="29" t="str">
        <f t="shared" si="55"/>
        <v/>
      </c>
      <c r="Y1024" s="29" t="str">
        <f>IF(AND(LEFT($B1024,7)="SBA 26/",$D1024&lt;&gt;"",$F1024&lt;&gt;""),COUNTIFS($D$2:$D1024,$D1024,$B$2:$B1024,"SBA 26/*",$F$2:$F1024,"&lt;&gt;"),"")</f>
        <v/>
      </c>
      <c r="Z1024" s="29" t="str">
        <f>IF(Y1024=1,COUNTIF($Y$2:Y1024,1),"")</f>
        <v/>
      </c>
      <c r="AA1024" s="29" t="str">
        <f>IF(AND(LEFT($B1024,7)="SBA 26/",$C1024&lt;&gt;"",$F1024&lt;&gt;""),COUNTIFS($C$2:$C1024,$C1024,$B$2:$B1024,"SBA 26/*",$F$2:$F1024,"&lt;&gt;"),"")</f>
        <v/>
      </c>
      <c r="AB1024" s="29" t="str">
        <f>IF(AA1024=1,COUNTIF($AA$2:AA1024,1),"")</f>
        <v/>
      </c>
    </row>
    <row r="1025" spans="6:28" ht="31.5" customHeight="1" x14ac:dyDescent="0.2">
      <c r="F1025" s="45" t="s">
        <v>3587</v>
      </c>
      <c r="T1025" s="41"/>
      <c r="U1025" s="29" t="str">
        <f>IF($C1025&lt;&gt;"",COUNTIF($C$2:C1025,C1025),"")</f>
        <v/>
      </c>
      <c r="V1025" s="29" t="str">
        <f t="shared" si="54"/>
        <v/>
      </c>
      <c r="W1025" s="29" t="str">
        <f>IF(U1025=1,COUNTIF($U$2:U1025,1),"")</f>
        <v/>
      </c>
      <c r="X1025" s="29" t="str">
        <f t="shared" si="55"/>
        <v/>
      </c>
      <c r="Y1025" s="29" t="str">
        <f>IF(AND(LEFT($B1025,7)="SBA 26/",$D1025&lt;&gt;"",$F1025&lt;&gt;""),COUNTIFS($D$2:$D1025,$D1025,$B$2:$B1025,"SBA 26/*",$F$2:$F1025,"&lt;&gt;"),"")</f>
        <v/>
      </c>
      <c r="Z1025" s="29" t="str">
        <f>IF(Y1025=1,COUNTIF($Y$2:Y1025,1),"")</f>
        <v/>
      </c>
      <c r="AA1025" s="29" t="str">
        <f>IF(AND(LEFT($B1025,7)="SBA 26/",$C1025&lt;&gt;"",$F1025&lt;&gt;""),COUNTIFS($C$2:$C1025,$C1025,$B$2:$B1025,"SBA 26/*",$F$2:$F1025,"&lt;&gt;"),"")</f>
        <v/>
      </c>
      <c r="AB1025" s="29" t="str">
        <f>IF(AA1025=1,COUNTIF($AA$2:AA1025,1),"")</f>
        <v/>
      </c>
    </row>
    <row r="1026" spans="6:28" ht="31.5" customHeight="1" x14ac:dyDescent="0.2">
      <c r="F1026" s="45" t="s">
        <v>3588</v>
      </c>
      <c r="T1026" s="41"/>
      <c r="U1026" s="29" t="str">
        <f>IF($C1026&lt;&gt;"",COUNTIF($C$2:C1026,C1026),"")</f>
        <v/>
      </c>
      <c r="V1026" s="29" t="str">
        <f t="shared" ref="V1026:V1089" si="56">IF($C1026&lt;&gt;"",C1026&amp;"§"&amp;U1026,"")</f>
        <v/>
      </c>
      <c r="W1026" s="29" t="str">
        <f>IF(U1026=1,COUNTIF($U$2:U1026,1),"")</f>
        <v/>
      </c>
      <c r="X1026" s="29" t="str">
        <f t="shared" ref="X1026:X1089" si="57">IF(U1026=1,SUMPRODUCT(($U$2:$U$1799=1)*($C$2:$C$1799&lt;C1026))+1,"")</f>
        <v/>
      </c>
      <c r="Y1026" s="29" t="str">
        <f>IF(AND(LEFT($B1026,7)="SBA 26/",$D1026&lt;&gt;"",$F1026&lt;&gt;""),COUNTIFS($D$2:$D1026,$D1026,$B$2:$B1026,"SBA 26/*",$F$2:$F1026,"&lt;&gt;"),"")</f>
        <v/>
      </c>
      <c r="Z1026" s="29" t="str">
        <f>IF(Y1026=1,COUNTIF($Y$2:Y1026,1),"")</f>
        <v/>
      </c>
      <c r="AA1026" s="29" t="str">
        <f>IF(AND(LEFT($B1026,7)="SBA 26/",$C1026&lt;&gt;"",$F1026&lt;&gt;""),COUNTIFS($C$2:$C1026,$C1026,$B$2:$B1026,"SBA 26/*",$F$2:$F1026,"&lt;&gt;"),"")</f>
        <v/>
      </c>
      <c r="AB1026" s="29" t="str">
        <f>IF(AA1026=1,COUNTIF($AA$2:AA1026,1),"")</f>
        <v/>
      </c>
    </row>
    <row r="1027" spans="6:28" ht="31.5" customHeight="1" x14ac:dyDescent="0.2">
      <c r="F1027" s="45" t="s">
        <v>3589</v>
      </c>
      <c r="T1027" s="41"/>
      <c r="U1027" s="29" t="str">
        <f>IF($C1027&lt;&gt;"",COUNTIF($C$2:C1027,C1027),"")</f>
        <v/>
      </c>
      <c r="V1027" s="29" t="str">
        <f t="shared" si="56"/>
        <v/>
      </c>
      <c r="W1027" s="29" t="str">
        <f>IF(U1027=1,COUNTIF($U$2:U1027,1),"")</f>
        <v/>
      </c>
      <c r="X1027" s="29" t="str">
        <f t="shared" si="57"/>
        <v/>
      </c>
      <c r="Y1027" s="29" t="str">
        <f>IF(AND(LEFT($B1027,7)="SBA 26/",$D1027&lt;&gt;"",$F1027&lt;&gt;""),COUNTIFS($D$2:$D1027,$D1027,$B$2:$B1027,"SBA 26/*",$F$2:$F1027,"&lt;&gt;"),"")</f>
        <v/>
      </c>
      <c r="Z1027" s="29" t="str">
        <f>IF(Y1027=1,COUNTIF($Y$2:Y1027,1),"")</f>
        <v/>
      </c>
      <c r="AA1027" s="29" t="str">
        <f>IF(AND(LEFT($B1027,7)="SBA 26/",$C1027&lt;&gt;"",$F1027&lt;&gt;""),COUNTIFS($C$2:$C1027,$C1027,$B$2:$B1027,"SBA 26/*",$F$2:$F1027,"&lt;&gt;"),"")</f>
        <v/>
      </c>
      <c r="AB1027" s="29" t="str">
        <f>IF(AA1027=1,COUNTIF($AA$2:AA1027,1),"")</f>
        <v/>
      </c>
    </row>
    <row r="1028" spans="6:28" ht="47.25" customHeight="1" x14ac:dyDescent="0.2">
      <c r="F1028" s="45" t="s">
        <v>3590</v>
      </c>
      <c r="T1028" s="41"/>
      <c r="U1028" s="29" t="str">
        <f>IF($C1028&lt;&gt;"",COUNTIF($C$2:C1028,C1028),"")</f>
        <v/>
      </c>
      <c r="V1028" s="29" t="str">
        <f t="shared" si="56"/>
        <v/>
      </c>
      <c r="W1028" s="29" t="str">
        <f>IF(U1028=1,COUNTIF($U$2:U1028,1),"")</f>
        <v/>
      </c>
      <c r="X1028" s="29" t="str">
        <f t="shared" si="57"/>
        <v/>
      </c>
      <c r="Y1028" s="29" t="str">
        <f>IF(AND(LEFT($B1028,7)="SBA 26/",$D1028&lt;&gt;"",$F1028&lt;&gt;""),COUNTIFS($D$2:$D1028,$D1028,$B$2:$B1028,"SBA 26/*",$F$2:$F1028,"&lt;&gt;"),"")</f>
        <v/>
      </c>
      <c r="Z1028" s="29" t="str">
        <f>IF(Y1028=1,COUNTIF($Y$2:Y1028,1),"")</f>
        <v/>
      </c>
      <c r="AA1028" s="29" t="str">
        <f>IF(AND(LEFT($B1028,7)="SBA 26/",$C1028&lt;&gt;"",$F1028&lt;&gt;""),COUNTIFS($C$2:$C1028,$C1028,$B$2:$B1028,"SBA 26/*",$F$2:$F1028,"&lt;&gt;"),"")</f>
        <v/>
      </c>
      <c r="AB1028" s="29" t="str">
        <f>IF(AA1028=1,COUNTIF($AA$2:AA1028,1),"")</f>
        <v/>
      </c>
    </row>
    <row r="1029" spans="6:28" ht="63" customHeight="1" x14ac:dyDescent="0.2">
      <c r="F1029" s="45" t="s">
        <v>3591</v>
      </c>
      <c r="T1029" s="41"/>
      <c r="U1029" s="29" t="str">
        <f>IF($C1029&lt;&gt;"",COUNTIF($C$2:C1029,C1029),"")</f>
        <v/>
      </c>
      <c r="V1029" s="29" t="str">
        <f t="shared" si="56"/>
        <v/>
      </c>
      <c r="W1029" s="29" t="str">
        <f>IF(U1029=1,COUNTIF($U$2:U1029,1),"")</f>
        <v/>
      </c>
      <c r="X1029" s="29" t="str">
        <f t="shared" si="57"/>
        <v/>
      </c>
      <c r="Y1029" s="29" t="str">
        <f>IF(AND(LEFT($B1029,7)="SBA 26/",$D1029&lt;&gt;"",$F1029&lt;&gt;""),COUNTIFS($D$2:$D1029,$D1029,$B$2:$B1029,"SBA 26/*",$F$2:$F1029,"&lt;&gt;"),"")</f>
        <v/>
      </c>
      <c r="Z1029" s="29" t="str">
        <f>IF(Y1029=1,COUNTIF($Y$2:Y1029,1),"")</f>
        <v/>
      </c>
      <c r="AA1029" s="29" t="str">
        <f>IF(AND(LEFT($B1029,7)="SBA 26/",$C1029&lt;&gt;"",$F1029&lt;&gt;""),COUNTIFS($C$2:$C1029,$C1029,$B$2:$B1029,"SBA 26/*",$F$2:$F1029,"&lt;&gt;"),"")</f>
        <v/>
      </c>
      <c r="AB1029" s="29" t="str">
        <f>IF(AA1029=1,COUNTIF($AA$2:AA1029,1),"")</f>
        <v/>
      </c>
    </row>
    <row r="1030" spans="6:28" ht="63" customHeight="1" x14ac:dyDescent="0.2">
      <c r="F1030" s="45" t="s">
        <v>3592</v>
      </c>
      <c r="T1030" s="41"/>
      <c r="U1030" s="29" t="str">
        <f>IF($C1030&lt;&gt;"",COUNTIF($C$2:C1030,C1030),"")</f>
        <v/>
      </c>
      <c r="V1030" s="29" t="str">
        <f t="shared" si="56"/>
        <v/>
      </c>
      <c r="W1030" s="29" t="str">
        <f>IF(U1030=1,COUNTIF($U$2:U1030,1),"")</f>
        <v/>
      </c>
      <c r="X1030" s="29" t="str">
        <f t="shared" si="57"/>
        <v/>
      </c>
      <c r="Y1030" s="29" t="str">
        <f>IF(AND(LEFT($B1030,7)="SBA 26/",$D1030&lt;&gt;"",$F1030&lt;&gt;""),COUNTIFS($D$2:$D1030,$D1030,$B$2:$B1030,"SBA 26/*",$F$2:$F1030,"&lt;&gt;"),"")</f>
        <v/>
      </c>
      <c r="Z1030" s="29" t="str">
        <f>IF(Y1030=1,COUNTIF($Y$2:Y1030,1),"")</f>
        <v/>
      </c>
      <c r="AA1030" s="29" t="str">
        <f>IF(AND(LEFT($B1030,7)="SBA 26/",$C1030&lt;&gt;"",$F1030&lt;&gt;""),COUNTIFS($C$2:$C1030,$C1030,$B$2:$B1030,"SBA 26/*",$F$2:$F1030,"&lt;&gt;"),"")</f>
        <v/>
      </c>
      <c r="AB1030" s="29" t="str">
        <f>IF(AA1030=1,COUNTIF($AA$2:AA1030,1),"")</f>
        <v/>
      </c>
    </row>
    <row r="1031" spans="6:28" ht="47.25" customHeight="1" x14ac:dyDescent="0.2">
      <c r="F1031" s="45" t="s">
        <v>3593</v>
      </c>
      <c r="T1031" s="41"/>
      <c r="U1031" s="29" t="str">
        <f>IF($C1031&lt;&gt;"",COUNTIF($C$2:C1031,C1031),"")</f>
        <v/>
      </c>
      <c r="V1031" s="29" t="str">
        <f t="shared" si="56"/>
        <v/>
      </c>
      <c r="W1031" s="29" t="str">
        <f>IF(U1031=1,COUNTIF($U$2:U1031,1),"")</f>
        <v/>
      </c>
      <c r="X1031" s="29" t="str">
        <f t="shared" si="57"/>
        <v/>
      </c>
      <c r="Y1031" s="29" t="str">
        <f>IF(AND(LEFT($B1031,7)="SBA 26/",$D1031&lt;&gt;"",$F1031&lt;&gt;""),COUNTIFS($D$2:$D1031,$D1031,$B$2:$B1031,"SBA 26/*",$F$2:$F1031,"&lt;&gt;"),"")</f>
        <v/>
      </c>
      <c r="Z1031" s="29" t="str">
        <f>IF(Y1031=1,COUNTIF($Y$2:Y1031,1),"")</f>
        <v/>
      </c>
      <c r="AA1031" s="29" t="str">
        <f>IF(AND(LEFT($B1031,7)="SBA 26/",$C1031&lt;&gt;"",$F1031&lt;&gt;""),COUNTIFS($C$2:$C1031,$C1031,$B$2:$B1031,"SBA 26/*",$F$2:$F1031,"&lt;&gt;"),"")</f>
        <v/>
      </c>
      <c r="AB1031" s="29" t="str">
        <f>IF(AA1031=1,COUNTIF($AA$2:AA1031,1),"")</f>
        <v/>
      </c>
    </row>
    <row r="1032" spans="6:28" ht="47.25" customHeight="1" x14ac:dyDescent="0.2">
      <c r="F1032" s="45" t="s">
        <v>3594</v>
      </c>
      <c r="T1032" s="41"/>
      <c r="U1032" s="29" t="str">
        <f>IF($C1032&lt;&gt;"",COUNTIF($C$2:C1032,C1032),"")</f>
        <v/>
      </c>
      <c r="V1032" s="29" t="str">
        <f t="shared" si="56"/>
        <v/>
      </c>
      <c r="W1032" s="29" t="str">
        <f>IF(U1032=1,COUNTIF($U$2:U1032,1),"")</f>
        <v/>
      </c>
      <c r="X1032" s="29" t="str">
        <f t="shared" si="57"/>
        <v/>
      </c>
      <c r="Y1032" s="29" t="str">
        <f>IF(AND(LEFT($B1032,7)="SBA 26/",$D1032&lt;&gt;"",$F1032&lt;&gt;""),COUNTIFS($D$2:$D1032,$D1032,$B$2:$B1032,"SBA 26/*",$F$2:$F1032,"&lt;&gt;"),"")</f>
        <v/>
      </c>
      <c r="Z1032" s="29" t="str">
        <f>IF(Y1032=1,COUNTIF($Y$2:Y1032,1),"")</f>
        <v/>
      </c>
      <c r="AA1032" s="29" t="str">
        <f>IF(AND(LEFT($B1032,7)="SBA 26/",$C1032&lt;&gt;"",$F1032&lt;&gt;""),COUNTIFS($C$2:$C1032,$C1032,$B$2:$B1032,"SBA 26/*",$F$2:$F1032,"&lt;&gt;"),"")</f>
        <v/>
      </c>
      <c r="AB1032" s="29" t="str">
        <f>IF(AA1032=1,COUNTIF($AA$2:AA1032,1),"")</f>
        <v/>
      </c>
    </row>
    <row r="1033" spans="6:28" ht="47.25" customHeight="1" x14ac:dyDescent="0.2">
      <c r="F1033" s="45" t="s">
        <v>3595</v>
      </c>
      <c r="T1033" s="41"/>
      <c r="U1033" s="29" t="str">
        <f>IF($C1033&lt;&gt;"",COUNTIF($C$2:C1033,C1033),"")</f>
        <v/>
      </c>
      <c r="V1033" s="29" t="str">
        <f t="shared" si="56"/>
        <v/>
      </c>
      <c r="W1033" s="29" t="str">
        <f>IF(U1033=1,COUNTIF($U$2:U1033,1),"")</f>
        <v/>
      </c>
      <c r="X1033" s="29" t="str">
        <f t="shared" si="57"/>
        <v/>
      </c>
      <c r="Y1033" s="29" t="str">
        <f>IF(AND(LEFT($B1033,7)="SBA 26/",$D1033&lt;&gt;"",$F1033&lt;&gt;""),COUNTIFS($D$2:$D1033,$D1033,$B$2:$B1033,"SBA 26/*",$F$2:$F1033,"&lt;&gt;"),"")</f>
        <v/>
      </c>
      <c r="Z1033" s="29" t="str">
        <f>IF(Y1033=1,COUNTIF($Y$2:Y1033,1),"")</f>
        <v/>
      </c>
      <c r="AA1033" s="29" t="str">
        <f>IF(AND(LEFT($B1033,7)="SBA 26/",$C1033&lt;&gt;"",$F1033&lt;&gt;""),COUNTIFS($C$2:$C1033,$C1033,$B$2:$B1033,"SBA 26/*",$F$2:$F1033,"&lt;&gt;"),"")</f>
        <v/>
      </c>
      <c r="AB1033" s="29" t="str">
        <f>IF(AA1033=1,COUNTIF($AA$2:AA1033,1),"")</f>
        <v/>
      </c>
    </row>
    <row r="1034" spans="6:28" ht="31.5" customHeight="1" x14ac:dyDescent="0.2">
      <c r="F1034" s="45" t="s">
        <v>3596</v>
      </c>
      <c r="T1034" s="41"/>
      <c r="U1034" s="29" t="str">
        <f>IF($C1034&lt;&gt;"",COUNTIF($C$2:C1034,C1034),"")</f>
        <v/>
      </c>
      <c r="V1034" s="29" t="str">
        <f t="shared" si="56"/>
        <v/>
      </c>
      <c r="W1034" s="29" t="str">
        <f>IF(U1034=1,COUNTIF($U$2:U1034,1),"")</f>
        <v/>
      </c>
      <c r="X1034" s="29" t="str">
        <f t="shared" si="57"/>
        <v/>
      </c>
      <c r="Y1034" s="29" t="str">
        <f>IF(AND(LEFT($B1034,7)="SBA 26/",$D1034&lt;&gt;"",$F1034&lt;&gt;""),COUNTIFS($D$2:$D1034,$D1034,$B$2:$B1034,"SBA 26/*",$F$2:$F1034,"&lt;&gt;"),"")</f>
        <v/>
      </c>
      <c r="Z1034" s="29" t="str">
        <f>IF(Y1034=1,COUNTIF($Y$2:Y1034,1),"")</f>
        <v/>
      </c>
      <c r="AA1034" s="29" t="str">
        <f>IF(AND(LEFT($B1034,7)="SBA 26/",$C1034&lt;&gt;"",$F1034&lt;&gt;""),COUNTIFS($C$2:$C1034,$C1034,$B$2:$B1034,"SBA 26/*",$F$2:$F1034,"&lt;&gt;"),"")</f>
        <v/>
      </c>
      <c r="AB1034" s="29" t="str">
        <f>IF(AA1034=1,COUNTIF($AA$2:AA1034,1),"")</f>
        <v/>
      </c>
    </row>
    <row r="1035" spans="6:28" ht="47.25" customHeight="1" x14ac:dyDescent="0.2">
      <c r="F1035" s="45" t="s">
        <v>3597</v>
      </c>
      <c r="T1035" s="41"/>
      <c r="U1035" s="29" t="str">
        <f>IF($C1035&lt;&gt;"",COUNTIF($C$2:C1035,C1035),"")</f>
        <v/>
      </c>
      <c r="V1035" s="29" t="str">
        <f t="shared" si="56"/>
        <v/>
      </c>
      <c r="W1035" s="29" t="str">
        <f>IF(U1035=1,COUNTIF($U$2:U1035,1),"")</f>
        <v/>
      </c>
      <c r="X1035" s="29" t="str">
        <f t="shared" si="57"/>
        <v/>
      </c>
      <c r="Y1035" s="29" t="str">
        <f>IF(AND(LEFT($B1035,7)="SBA 26/",$D1035&lt;&gt;"",$F1035&lt;&gt;""),COUNTIFS($D$2:$D1035,$D1035,$B$2:$B1035,"SBA 26/*",$F$2:$F1035,"&lt;&gt;"),"")</f>
        <v/>
      </c>
      <c r="Z1035" s="29" t="str">
        <f>IF(Y1035=1,COUNTIF($Y$2:Y1035,1),"")</f>
        <v/>
      </c>
      <c r="AA1035" s="29" t="str">
        <f>IF(AND(LEFT($B1035,7)="SBA 26/",$C1035&lt;&gt;"",$F1035&lt;&gt;""),COUNTIFS($C$2:$C1035,$C1035,$B$2:$B1035,"SBA 26/*",$F$2:$F1035,"&lt;&gt;"),"")</f>
        <v/>
      </c>
      <c r="AB1035" s="29" t="str">
        <f>IF(AA1035=1,COUNTIF($AA$2:AA1035,1),"")</f>
        <v/>
      </c>
    </row>
    <row r="1036" spans="6:28" ht="31.5" customHeight="1" x14ac:dyDescent="0.2">
      <c r="F1036" s="45" t="s">
        <v>3598</v>
      </c>
      <c r="T1036" s="41"/>
      <c r="U1036" s="29" t="str">
        <f>IF($C1036&lt;&gt;"",COUNTIF($C$2:C1036,C1036),"")</f>
        <v/>
      </c>
      <c r="V1036" s="29" t="str">
        <f t="shared" si="56"/>
        <v/>
      </c>
      <c r="W1036" s="29" t="str">
        <f>IF(U1036=1,COUNTIF($U$2:U1036,1),"")</f>
        <v/>
      </c>
      <c r="X1036" s="29" t="str">
        <f t="shared" si="57"/>
        <v/>
      </c>
      <c r="Y1036" s="29" t="str">
        <f>IF(AND(LEFT($B1036,7)="SBA 26/",$D1036&lt;&gt;"",$F1036&lt;&gt;""),COUNTIFS($D$2:$D1036,$D1036,$B$2:$B1036,"SBA 26/*",$F$2:$F1036,"&lt;&gt;"),"")</f>
        <v/>
      </c>
      <c r="Z1036" s="29" t="str">
        <f>IF(Y1036=1,COUNTIF($Y$2:Y1036,1),"")</f>
        <v/>
      </c>
      <c r="AA1036" s="29" t="str">
        <f>IF(AND(LEFT($B1036,7)="SBA 26/",$C1036&lt;&gt;"",$F1036&lt;&gt;""),COUNTIFS($C$2:$C1036,$C1036,$B$2:$B1036,"SBA 26/*",$F$2:$F1036,"&lt;&gt;"),"")</f>
        <v/>
      </c>
      <c r="AB1036" s="29" t="str">
        <f>IF(AA1036=1,COUNTIF($AA$2:AA1036,1),"")</f>
        <v/>
      </c>
    </row>
    <row r="1037" spans="6:28" ht="47.25" customHeight="1" x14ac:dyDescent="0.2">
      <c r="F1037" s="45" t="s">
        <v>3599</v>
      </c>
      <c r="T1037" s="41"/>
      <c r="U1037" s="29" t="str">
        <f>IF($C1037&lt;&gt;"",COUNTIF($C$2:C1037,C1037),"")</f>
        <v/>
      </c>
      <c r="V1037" s="29" t="str">
        <f t="shared" si="56"/>
        <v/>
      </c>
      <c r="W1037" s="29" t="str">
        <f>IF(U1037=1,COUNTIF($U$2:U1037,1),"")</f>
        <v/>
      </c>
      <c r="X1037" s="29" t="str">
        <f t="shared" si="57"/>
        <v/>
      </c>
      <c r="Y1037" s="29" t="str">
        <f>IF(AND(LEFT($B1037,7)="SBA 26/",$D1037&lt;&gt;"",$F1037&lt;&gt;""),COUNTIFS($D$2:$D1037,$D1037,$B$2:$B1037,"SBA 26/*",$F$2:$F1037,"&lt;&gt;"),"")</f>
        <v/>
      </c>
      <c r="Z1037" s="29" t="str">
        <f>IF(Y1037=1,COUNTIF($Y$2:Y1037,1),"")</f>
        <v/>
      </c>
      <c r="AA1037" s="29" t="str">
        <f>IF(AND(LEFT($B1037,7)="SBA 26/",$C1037&lt;&gt;"",$F1037&lt;&gt;""),COUNTIFS($C$2:$C1037,$C1037,$B$2:$B1037,"SBA 26/*",$F$2:$F1037,"&lt;&gt;"),"")</f>
        <v/>
      </c>
      <c r="AB1037" s="29" t="str">
        <f>IF(AA1037=1,COUNTIF($AA$2:AA1037,1),"")</f>
        <v/>
      </c>
    </row>
    <row r="1038" spans="6:28" ht="31.5" customHeight="1" x14ac:dyDescent="0.2">
      <c r="F1038" s="45" t="s">
        <v>3600</v>
      </c>
      <c r="T1038" s="41"/>
      <c r="U1038" s="29" t="str">
        <f>IF($C1038&lt;&gt;"",COUNTIF($C$2:C1038,C1038),"")</f>
        <v/>
      </c>
      <c r="V1038" s="29" t="str">
        <f t="shared" si="56"/>
        <v/>
      </c>
      <c r="W1038" s="29" t="str">
        <f>IF(U1038=1,COUNTIF($U$2:U1038,1),"")</f>
        <v/>
      </c>
      <c r="X1038" s="29" t="str">
        <f t="shared" si="57"/>
        <v/>
      </c>
      <c r="Y1038" s="29" t="str">
        <f>IF(AND(LEFT($B1038,7)="SBA 26/",$D1038&lt;&gt;"",$F1038&lt;&gt;""),COUNTIFS($D$2:$D1038,$D1038,$B$2:$B1038,"SBA 26/*",$F$2:$F1038,"&lt;&gt;"),"")</f>
        <v/>
      </c>
      <c r="Z1038" s="29" t="str">
        <f>IF(Y1038=1,COUNTIF($Y$2:Y1038,1),"")</f>
        <v/>
      </c>
      <c r="AA1038" s="29" t="str">
        <f>IF(AND(LEFT($B1038,7)="SBA 26/",$C1038&lt;&gt;"",$F1038&lt;&gt;""),COUNTIFS($C$2:$C1038,$C1038,$B$2:$B1038,"SBA 26/*",$F$2:$F1038,"&lt;&gt;"),"")</f>
        <v/>
      </c>
      <c r="AB1038" s="29" t="str">
        <f>IF(AA1038=1,COUNTIF($AA$2:AA1038,1),"")</f>
        <v/>
      </c>
    </row>
    <row r="1039" spans="6:28" ht="31.5" customHeight="1" x14ac:dyDescent="0.2">
      <c r="F1039" s="45" t="s">
        <v>3601</v>
      </c>
      <c r="T1039" s="41"/>
      <c r="U1039" s="29" t="str">
        <f>IF($C1039&lt;&gt;"",COUNTIF($C$2:C1039,C1039),"")</f>
        <v/>
      </c>
      <c r="V1039" s="29" t="str">
        <f t="shared" si="56"/>
        <v/>
      </c>
      <c r="W1039" s="29" t="str">
        <f>IF(U1039=1,COUNTIF($U$2:U1039,1),"")</f>
        <v/>
      </c>
      <c r="X1039" s="29" t="str">
        <f t="shared" si="57"/>
        <v/>
      </c>
      <c r="Y1039" s="29" t="str">
        <f>IF(AND(LEFT($B1039,7)="SBA 26/",$D1039&lt;&gt;"",$F1039&lt;&gt;""),COUNTIFS($D$2:$D1039,$D1039,$B$2:$B1039,"SBA 26/*",$F$2:$F1039,"&lt;&gt;"),"")</f>
        <v/>
      </c>
      <c r="Z1039" s="29" t="str">
        <f>IF(Y1039=1,COUNTIF($Y$2:Y1039,1),"")</f>
        <v/>
      </c>
      <c r="AA1039" s="29" t="str">
        <f>IF(AND(LEFT($B1039,7)="SBA 26/",$C1039&lt;&gt;"",$F1039&lt;&gt;""),COUNTIFS($C$2:$C1039,$C1039,$B$2:$B1039,"SBA 26/*",$F$2:$F1039,"&lt;&gt;"),"")</f>
        <v/>
      </c>
      <c r="AB1039" s="29" t="str">
        <f>IF(AA1039=1,COUNTIF($AA$2:AA1039,1),"")</f>
        <v/>
      </c>
    </row>
    <row r="1040" spans="6:28" ht="94.5" customHeight="1" x14ac:dyDescent="0.2">
      <c r="F1040" s="45" t="s">
        <v>3602</v>
      </c>
      <c r="T1040" s="41"/>
      <c r="U1040" s="29" t="str">
        <f>IF($C1040&lt;&gt;"",COUNTIF($C$2:C1040,C1040),"")</f>
        <v/>
      </c>
      <c r="V1040" s="29" t="str">
        <f t="shared" si="56"/>
        <v/>
      </c>
      <c r="W1040" s="29" t="str">
        <f>IF(U1040=1,COUNTIF($U$2:U1040,1),"")</f>
        <v/>
      </c>
      <c r="X1040" s="29" t="str">
        <f t="shared" si="57"/>
        <v/>
      </c>
      <c r="Y1040" s="29" t="str">
        <f>IF(AND(LEFT($B1040,7)="SBA 26/",$D1040&lt;&gt;"",$F1040&lt;&gt;""),COUNTIFS($D$2:$D1040,$D1040,$B$2:$B1040,"SBA 26/*",$F$2:$F1040,"&lt;&gt;"),"")</f>
        <v/>
      </c>
      <c r="Z1040" s="29" t="str">
        <f>IF(Y1040=1,COUNTIF($Y$2:Y1040,1),"")</f>
        <v/>
      </c>
      <c r="AA1040" s="29" t="str">
        <f>IF(AND(LEFT($B1040,7)="SBA 26/",$C1040&lt;&gt;"",$F1040&lt;&gt;""),COUNTIFS($C$2:$C1040,$C1040,$B$2:$B1040,"SBA 26/*",$F$2:$F1040,"&lt;&gt;"),"")</f>
        <v/>
      </c>
      <c r="AB1040" s="29" t="str">
        <f>IF(AA1040=1,COUNTIF($AA$2:AA1040,1),"")</f>
        <v/>
      </c>
    </row>
    <row r="1041" spans="6:28" ht="31.5" customHeight="1" x14ac:dyDescent="0.2">
      <c r="F1041" s="45" t="s">
        <v>3603</v>
      </c>
      <c r="T1041" s="41"/>
      <c r="U1041" s="29" t="str">
        <f>IF($C1041&lt;&gt;"",COUNTIF($C$2:C1041,C1041),"")</f>
        <v/>
      </c>
      <c r="V1041" s="29" t="str">
        <f t="shared" si="56"/>
        <v/>
      </c>
      <c r="W1041" s="29" t="str">
        <f>IF(U1041=1,COUNTIF($U$2:U1041,1),"")</f>
        <v/>
      </c>
      <c r="X1041" s="29" t="str">
        <f t="shared" si="57"/>
        <v/>
      </c>
      <c r="Y1041" s="29" t="str">
        <f>IF(AND(LEFT($B1041,7)="SBA 26/",$D1041&lt;&gt;"",$F1041&lt;&gt;""),COUNTIFS($D$2:$D1041,$D1041,$B$2:$B1041,"SBA 26/*",$F$2:$F1041,"&lt;&gt;"),"")</f>
        <v/>
      </c>
      <c r="Z1041" s="29" t="str">
        <f>IF(Y1041=1,COUNTIF($Y$2:Y1041,1),"")</f>
        <v/>
      </c>
      <c r="AA1041" s="29" t="str">
        <f>IF(AND(LEFT($B1041,7)="SBA 26/",$C1041&lt;&gt;"",$F1041&lt;&gt;""),COUNTIFS($C$2:$C1041,$C1041,$B$2:$B1041,"SBA 26/*",$F$2:$F1041,"&lt;&gt;"),"")</f>
        <v/>
      </c>
      <c r="AB1041" s="29" t="str">
        <f>IF(AA1041=1,COUNTIF($AA$2:AA1041,1),"")</f>
        <v/>
      </c>
    </row>
    <row r="1042" spans="6:28" ht="47.25" customHeight="1" x14ac:dyDescent="0.2">
      <c r="F1042" s="45" t="s">
        <v>3604</v>
      </c>
      <c r="T1042" s="41"/>
      <c r="U1042" s="29" t="str">
        <f>IF($C1042&lt;&gt;"",COUNTIF($C$2:C1042,C1042),"")</f>
        <v/>
      </c>
      <c r="V1042" s="29" t="str">
        <f t="shared" si="56"/>
        <v/>
      </c>
      <c r="W1042" s="29" t="str">
        <f>IF(U1042=1,COUNTIF($U$2:U1042,1),"")</f>
        <v/>
      </c>
      <c r="X1042" s="29" t="str">
        <f t="shared" si="57"/>
        <v/>
      </c>
      <c r="Y1042" s="29" t="str">
        <f>IF(AND(LEFT($B1042,7)="SBA 26/",$D1042&lt;&gt;"",$F1042&lt;&gt;""),COUNTIFS($D$2:$D1042,$D1042,$B$2:$B1042,"SBA 26/*",$F$2:$F1042,"&lt;&gt;"),"")</f>
        <v/>
      </c>
      <c r="Z1042" s="29" t="str">
        <f>IF(Y1042=1,COUNTIF($Y$2:Y1042,1),"")</f>
        <v/>
      </c>
      <c r="AA1042" s="29" t="str">
        <f>IF(AND(LEFT($B1042,7)="SBA 26/",$C1042&lt;&gt;"",$F1042&lt;&gt;""),COUNTIFS($C$2:$C1042,$C1042,$B$2:$B1042,"SBA 26/*",$F$2:$F1042,"&lt;&gt;"),"")</f>
        <v/>
      </c>
      <c r="AB1042" s="29" t="str">
        <f>IF(AA1042=1,COUNTIF($AA$2:AA1042,1),"")</f>
        <v/>
      </c>
    </row>
    <row r="1043" spans="6:28" ht="47.25" customHeight="1" x14ac:dyDescent="0.2">
      <c r="F1043" s="45" t="s">
        <v>3605</v>
      </c>
      <c r="T1043" s="41"/>
      <c r="U1043" s="29" t="str">
        <f>IF($C1043&lt;&gt;"",COUNTIF($C$2:C1043,C1043),"")</f>
        <v/>
      </c>
      <c r="V1043" s="29" t="str">
        <f t="shared" si="56"/>
        <v/>
      </c>
      <c r="W1043" s="29" t="str">
        <f>IF(U1043=1,COUNTIF($U$2:U1043,1),"")</f>
        <v/>
      </c>
      <c r="X1043" s="29" t="str">
        <f t="shared" si="57"/>
        <v/>
      </c>
      <c r="Y1043" s="29" t="str">
        <f>IF(AND(LEFT($B1043,7)="SBA 26/",$D1043&lt;&gt;"",$F1043&lt;&gt;""),COUNTIFS($D$2:$D1043,$D1043,$B$2:$B1043,"SBA 26/*",$F$2:$F1043,"&lt;&gt;"),"")</f>
        <v/>
      </c>
      <c r="Z1043" s="29" t="str">
        <f>IF(Y1043=1,COUNTIF($Y$2:Y1043,1),"")</f>
        <v/>
      </c>
      <c r="AA1043" s="29" t="str">
        <f>IF(AND(LEFT($B1043,7)="SBA 26/",$C1043&lt;&gt;"",$F1043&lt;&gt;""),COUNTIFS($C$2:$C1043,$C1043,$B$2:$B1043,"SBA 26/*",$F$2:$F1043,"&lt;&gt;"),"")</f>
        <v/>
      </c>
      <c r="AB1043" s="29" t="str">
        <f>IF(AA1043=1,COUNTIF($AA$2:AA1043,1),"")</f>
        <v/>
      </c>
    </row>
    <row r="1044" spans="6:28" ht="31.5" customHeight="1" x14ac:dyDescent="0.2">
      <c r="F1044" s="45" t="s">
        <v>3606</v>
      </c>
      <c r="T1044" s="41"/>
      <c r="U1044" s="29" t="str">
        <f>IF($C1044&lt;&gt;"",COUNTIF($C$2:C1044,C1044),"")</f>
        <v/>
      </c>
      <c r="V1044" s="29" t="str">
        <f t="shared" si="56"/>
        <v/>
      </c>
      <c r="W1044" s="29" t="str">
        <f>IF(U1044=1,COUNTIF($U$2:U1044,1),"")</f>
        <v/>
      </c>
      <c r="X1044" s="29" t="str">
        <f t="shared" si="57"/>
        <v/>
      </c>
      <c r="Y1044" s="29" t="str">
        <f>IF(AND(LEFT($B1044,7)="SBA 26/",$D1044&lt;&gt;"",$F1044&lt;&gt;""),COUNTIFS($D$2:$D1044,$D1044,$B$2:$B1044,"SBA 26/*",$F$2:$F1044,"&lt;&gt;"),"")</f>
        <v/>
      </c>
      <c r="Z1044" s="29" t="str">
        <f>IF(Y1044=1,COUNTIF($Y$2:Y1044,1),"")</f>
        <v/>
      </c>
      <c r="AA1044" s="29" t="str">
        <f>IF(AND(LEFT($B1044,7)="SBA 26/",$C1044&lt;&gt;"",$F1044&lt;&gt;""),COUNTIFS($C$2:$C1044,$C1044,$B$2:$B1044,"SBA 26/*",$F$2:$F1044,"&lt;&gt;"),"")</f>
        <v/>
      </c>
      <c r="AB1044" s="29" t="str">
        <f>IF(AA1044=1,COUNTIF($AA$2:AA1044,1),"")</f>
        <v/>
      </c>
    </row>
    <row r="1045" spans="6:28" ht="63" customHeight="1" x14ac:dyDescent="0.2">
      <c r="F1045" s="45" t="s">
        <v>3607</v>
      </c>
      <c r="T1045" s="41"/>
      <c r="U1045" s="29" t="str">
        <f>IF($C1045&lt;&gt;"",COUNTIF($C$2:C1045,C1045),"")</f>
        <v/>
      </c>
      <c r="V1045" s="29" t="str">
        <f t="shared" si="56"/>
        <v/>
      </c>
      <c r="W1045" s="29" t="str">
        <f>IF(U1045=1,COUNTIF($U$2:U1045,1),"")</f>
        <v/>
      </c>
      <c r="X1045" s="29" t="str">
        <f t="shared" si="57"/>
        <v/>
      </c>
      <c r="Y1045" s="29" t="str">
        <f>IF(AND(LEFT($B1045,7)="SBA 26/",$D1045&lt;&gt;"",$F1045&lt;&gt;""),COUNTIFS($D$2:$D1045,$D1045,$B$2:$B1045,"SBA 26/*",$F$2:$F1045,"&lt;&gt;"),"")</f>
        <v/>
      </c>
      <c r="Z1045" s="29" t="str">
        <f>IF(Y1045=1,COUNTIF($Y$2:Y1045,1),"")</f>
        <v/>
      </c>
      <c r="AA1045" s="29" t="str">
        <f>IF(AND(LEFT($B1045,7)="SBA 26/",$C1045&lt;&gt;"",$F1045&lt;&gt;""),COUNTIFS($C$2:$C1045,$C1045,$B$2:$B1045,"SBA 26/*",$F$2:$F1045,"&lt;&gt;"),"")</f>
        <v/>
      </c>
      <c r="AB1045" s="29" t="str">
        <f>IF(AA1045=1,COUNTIF($AA$2:AA1045,1),"")</f>
        <v/>
      </c>
    </row>
    <row r="1046" spans="6:28" ht="31.5" customHeight="1" x14ac:dyDescent="0.2">
      <c r="F1046" s="45" t="s">
        <v>3608</v>
      </c>
      <c r="T1046" s="41"/>
      <c r="U1046" s="29" t="str">
        <f>IF($C1046&lt;&gt;"",COUNTIF($C$2:C1046,C1046),"")</f>
        <v/>
      </c>
      <c r="V1046" s="29" t="str">
        <f t="shared" si="56"/>
        <v/>
      </c>
      <c r="W1046" s="29" t="str">
        <f>IF(U1046=1,COUNTIF($U$2:U1046,1),"")</f>
        <v/>
      </c>
      <c r="X1046" s="29" t="str">
        <f t="shared" si="57"/>
        <v/>
      </c>
      <c r="Y1046" s="29" t="str">
        <f>IF(AND(LEFT($B1046,7)="SBA 26/",$D1046&lt;&gt;"",$F1046&lt;&gt;""),COUNTIFS($D$2:$D1046,$D1046,$B$2:$B1046,"SBA 26/*",$F$2:$F1046,"&lt;&gt;"),"")</f>
        <v/>
      </c>
      <c r="Z1046" s="29" t="str">
        <f>IF(Y1046=1,COUNTIF($Y$2:Y1046,1),"")</f>
        <v/>
      </c>
      <c r="AA1046" s="29" t="str">
        <f>IF(AND(LEFT($B1046,7)="SBA 26/",$C1046&lt;&gt;"",$F1046&lt;&gt;""),COUNTIFS($C$2:$C1046,$C1046,$B$2:$B1046,"SBA 26/*",$F$2:$F1046,"&lt;&gt;"),"")</f>
        <v/>
      </c>
      <c r="AB1046" s="29" t="str">
        <f>IF(AA1046=1,COUNTIF($AA$2:AA1046,1),"")</f>
        <v/>
      </c>
    </row>
    <row r="1047" spans="6:28" ht="47.25" customHeight="1" x14ac:dyDescent="0.2">
      <c r="F1047" s="45" t="s">
        <v>3609</v>
      </c>
      <c r="T1047" s="41"/>
      <c r="U1047" s="29" t="str">
        <f>IF($C1047&lt;&gt;"",COUNTIF($C$2:C1047,C1047),"")</f>
        <v/>
      </c>
      <c r="V1047" s="29" t="str">
        <f t="shared" si="56"/>
        <v/>
      </c>
      <c r="W1047" s="29" t="str">
        <f>IF(U1047=1,COUNTIF($U$2:U1047,1),"")</f>
        <v/>
      </c>
      <c r="X1047" s="29" t="str">
        <f t="shared" si="57"/>
        <v/>
      </c>
      <c r="Y1047" s="29" t="str">
        <f>IF(AND(LEFT($B1047,7)="SBA 26/",$D1047&lt;&gt;"",$F1047&lt;&gt;""),COUNTIFS($D$2:$D1047,$D1047,$B$2:$B1047,"SBA 26/*",$F$2:$F1047,"&lt;&gt;"),"")</f>
        <v/>
      </c>
      <c r="Z1047" s="29" t="str">
        <f>IF(Y1047=1,COUNTIF($Y$2:Y1047,1),"")</f>
        <v/>
      </c>
      <c r="AA1047" s="29" t="str">
        <f>IF(AND(LEFT($B1047,7)="SBA 26/",$C1047&lt;&gt;"",$F1047&lt;&gt;""),COUNTIFS($C$2:$C1047,$C1047,$B$2:$B1047,"SBA 26/*",$F$2:$F1047,"&lt;&gt;"),"")</f>
        <v/>
      </c>
      <c r="AB1047" s="29" t="str">
        <f>IF(AA1047=1,COUNTIF($AA$2:AA1047,1),"")</f>
        <v/>
      </c>
    </row>
    <row r="1048" spans="6:28" ht="31.5" customHeight="1" x14ac:dyDescent="0.2">
      <c r="F1048" s="45" t="s">
        <v>3610</v>
      </c>
      <c r="T1048" s="41"/>
      <c r="U1048" s="29" t="str">
        <f>IF($C1048&lt;&gt;"",COUNTIF($C$2:C1048,C1048),"")</f>
        <v/>
      </c>
      <c r="V1048" s="29" t="str">
        <f t="shared" si="56"/>
        <v/>
      </c>
      <c r="W1048" s="29" t="str">
        <f>IF(U1048=1,COUNTIF($U$2:U1048,1),"")</f>
        <v/>
      </c>
      <c r="X1048" s="29" t="str">
        <f t="shared" si="57"/>
        <v/>
      </c>
      <c r="Y1048" s="29" t="str">
        <f>IF(AND(LEFT($B1048,7)="SBA 26/",$D1048&lt;&gt;"",$F1048&lt;&gt;""),COUNTIFS($D$2:$D1048,$D1048,$B$2:$B1048,"SBA 26/*",$F$2:$F1048,"&lt;&gt;"),"")</f>
        <v/>
      </c>
      <c r="Z1048" s="29" t="str">
        <f>IF(Y1048=1,COUNTIF($Y$2:Y1048,1),"")</f>
        <v/>
      </c>
      <c r="AA1048" s="29" t="str">
        <f>IF(AND(LEFT($B1048,7)="SBA 26/",$C1048&lt;&gt;"",$F1048&lt;&gt;""),COUNTIFS($C$2:$C1048,$C1048,$B$2:$B1048,"SBA 26/*",$F$2:$F1048,"&lt;&gt;"),"")</f>
        <v/>
      </c>
      <c r="AB1048" s="29" t="str">
        <f>IF(AA1048=1,COUNTIF($AA$2:AA1048,1),"")</f>
        <v/>
      </c>
    </row>
    <row r="1049" spans="6:28" ht="31.5" customHeight="1" x14ac:dyDescent="0.2">
      <c r="F1049" s="45" t="s">
        <v>3611</v>
      </c>
      <c r="T1049" s="41"/>
      <c r="U1049" s="29" t="str">
        <f>IF($C1049&lt;&gt;"",COUNTIF($C$2:C1049,C1049),"")</f>
        <v/>
      </c>
      <c r="V1049" s="29" t="str">
        <f t="shared" si="56"/>
        <v/>
      </c>
      <c r="W1049" s="29" t="str">
        <f>IF(U1049=1,COUNTIF($U$2:U1049,1),"")</f>
        <v/>
      </c>
      <c r="X1049" s="29" t="str">
        <f t="shared" si="57"/>
        <v/>
      </c>
      <c r="Y1049" s="29" t="str">
        <f>IF(AND(LEFT($B1049,7)="SBA 26/",$D1049&lt;&gt;"",$F1049&lt;&gt;""),COUNTIFS($D$2:$D1049,$D1049,$B$2:$B1049,"SBA 26/*",$F$2:$F1049,"&lt;&gt;"),"")</f>
        <v/>
      </c>
      <c r="Z1049" s="29" t="str">
        <f>IF(Y1049=1,COUNTIF($Y$2:Y1049,1),"")</f>
        <v/>
      </c>
      <c r="AA1049" s="29" t="str">
        <f>IF(AND(LEFT($B1049,7)="SBA 26/",$C1049&lt;&gt;"",$F1049&lt;&gt;""),COUNTIFS($C$2:$C1049,$C1049,$B$2:$B1049,"SBA 26/*",$F$2:$F1049,"&lt;&gt;"),"")</f>
        <v/>
      </c>
      <c r="AB1049" s="29" t="str">
        <f>IF(AA1049=1,COUNTIF($AA$2:AA1049,1),"")</f>
        <v/>
      </c>
    </row>
    <row r="1050" spans="6:28" ht="47.25" customHeight="1" x14ac:dyDescent="0.2">
      <c r="F1050" s="45" t="s">
        <v>3612</v>
      </c>
      <c r="T1050" s="41"/>
      <c r="U1050" s="29" t="str">
        <f>IF($C1050&lt;&gt;"",COUNTIF($C$2:C1050,C1050),"")</f>
        <v/>
      </c>
      <c r="V1050" s="29" t="str">
        <f t="shared" si="56"/>
        <v/>
      </c>
      <c r="W1050" s="29" t="str">
        <f>IF(U1050=1,COUNTIF($U$2:U1050,1),"")</f>
        <v/>
      </c>
      <c r="X1050" s="29" t="str">
        <f t="shared" si="57"/>
        <v/>
      </c>
      <c r="Y1050" s="29" t="str">
        <f>IF(AND(LEFT($B1050,7)="SBA 26/",$D1050&lt;&gt;"",$F1050&lt;&gt;""),COUNTIFS($D$2:$D1050,$D1050,$B$2:$B1050,"SBA 26/*",$F$2:$F1050,"&lt;&gt;"),"")</f>
        <v/>
      </c>
      <c r="Z1050" s="29" t="str">
        <f>IF(Y1050=1,COUNTIF($Y$2:Y1050,1),"")</f>
        <v/>
      </c>
      <c r="AA1050" s="29" t="str">
        <f>IF(AND(LEFT($B1050,7)="SBA 26/",$C1050&lt;&gt;"",$F1050&lt;&gt;""),COUNTIFS($C$2:$C1050,$C1050,$B$2:$B1050,"SBA 26/*",$F$2:$F1050,"&lt;&gt;"),"")</f>
        <v/>
      </c>
      <c r="AB1050" s="29" t="str">
        <f>IF(AA1050=1,COUNTIF($AA$2:AA1050,1),"")</f>
        <v/>
      </c>
    </row>
    <row r="1051" spans="6:28" ht="47.25" customHeight="1" x14ac:dyDescent="0.2">
      <c r="F1051" s="45" t="s">
        <v>3613</v>
      </c>
      <c r="T1051" s="41"/>
      <c r="U1051" s="29" t="str">
        <f>IF($C1051&lt;&gt;"",COUNTIF($C$2:C1051,C1051),"")</f>
        <v/>
      </c>
      <c r="V1051" s="29" t="str">
        <f t="shared" si="56"/>
        <v/>
      </c>
      <c r="W1051" s="29" t="str">
        <f>IF(U1051=1,COUNTIF($U$2:U1051,1),"")</f>
        <v/>
      </c>
      <c r="X1051" s="29" t="str">
        <f t="shared" si="57"/>
        <v/>
      </c>
      <c r="Y1051" s="29" t="str">
        <f>IF(AND(LEFT($B1051,7)="SBA 26/",$D1051&lt;&gt;"",$F1051&lt;&gt;""),COUNTIFS($D$2:$D1051,$D1051,$B$2:$B1051,"SBA 26/*",$F$2:$F1051,"&lt;&gt;"),"")</f>
        <v/>
      </c>
      <c r="Z1051" s="29" t="str">
        <f>IF(Y1051=1,COUNTIF($Y$2:Y1051,1),"")</f>
        <v/>
      </c>
      <c r="AA1051" s="29" t="str">
        <f>IF(AND(LEFT($B1051,7)="SBA 26/",$C1051&lt;&gt;"",$F1051&lt;&gt;""),COUNTIFS($C$2:$C1051,$C1051,$B$2:$B1051,"SBA 26/*",$F$2:$F1051,"&lt;&gt;"),"")</f>
        <v/>
      </c>
      <c r="AB1051" s="29" t="str">
        <f>IF(AA1051=1,COUNTIF($AA$2:AA1051,1),"")</f>
        <v/>
      </c>
    </row>
    <row r="1052" spans="6:28" ht="47.25" customHeight="1" x14ac:dyDescent="0.2">
      <c r="F1052" s="45" t="s">
        <v>3614</v>
      </c>
      <c r="T1052" s="41"/>
      <c r="U1052" s="29" t="str">
        <f>IF($C1052&lt;&gt;"",COUNTIF($C$2:C1052,C1052),"")</f>
        <v/>
      </c>
      <c r="V1052" s="29" t="str">
        <f t="shared" si="56"/>
        <v/>
      </c>
      <c r="W1052" s="29" t="str">
        <f>IF(U1052=1,COUNTIF($U$2:U1052,1),"")</f>
        <v/>
      </c>
      <c r="X1052" s="29" t="str">
        <f t="shared" si="57"/>
        <v/>
      </c>
      <c r="Y1052" s="29" t="str">
        <f>IF(AND(LEFT($B1052,7)="SBA 26/",$D1052&lt;&gt;"",$F1052&lt;&gt;""),COUNTIFS($D$2:$D1052,$D1052,$B$2:$B1052,"SBA 26/*",$F$2:$F1052,"&lt;&gt;"),"")</f>
        <v/>
      </c>
      <c r="Z1052" s="29" t="str">
        <f>IF(Y1052=1,COUNTIF($Y$2:Y1052,1),"")</f>
        <v/>
      </c>
      <c r="AA1052" s="29" t="str">
        <f>IF(AND(LEFT($B1052,7)="SBA 26/",$C1052&lt;&gt;"",$F1052&lt;&gt;""),COUNTIFS($C$2:$C1052,$C1052,$B$2:$B1052,"SBA 26/*",$F$2:$F1052,"&lt;&gt;"),"")</f>
        <v/>
      </c>
      <c r="AB1052" s="29" t="str">
        <f>IF(AA1052=1,COUNTIF($AA$2:AA1052,1),"")</f>
        <v/>
      </c>
    </row>
    <row r="1053" spans="6:28" ht="47.25" customHeight="1" x14ac:dyDescent="0.2">
      <c r="F1053" s="45" t="s">
        <v>3615</v>
      </c>
      <c r="T1053" s="41"/>
      <c r="U1053" s="29" t="str">
        <f>IF($C1053&lt;&gt;"",COUNTIF($C$2:C1053,C1053),"")</f>
        <v/>
      </c>
      <c r="V1053" s="29" t="str">
        <f t="shared" si="56"/>
        <v/>
      </c>
      <c r="W1053" s="29" t="str">
        <f>IF(U1053=1,COUNTIF($U$2:U1053,1),"")</f>
        <v/>
      </c>
      <c r="X1053" s="29" t="str">
        <f t="shared" si="57"/>
        <v/>
      </c>
      <c r="Y1053" s="29" t="str">
        <f>IF(AND(LEFT($B1053,7)="SBA 26/",$D1053&lt;&gt;"",$F1053&lt;&gt;""),COUNTIFS($D$2:$D1053,$D1053,$B$2:$B1053,"SBA 26/*",$F$2:$F1053,"&lt;&gt;"),"")</f>
        <v/>
      </c>
      <c r="Z1053" s="29" t="str">
        <f>IF(Y1053=1,COUNTIF($Y$2:Y1053,1),"")</f>
        <v/>
      </c>
      <c r="AA1053" s="29" t="str">
        <f>IF(AND(LEFT($B1053,7)="SBA 26/",$C1053&lt;&gt;"",$F1053&lt;&gt;""),COUNTIFS($C$2:$C1053,$C1053,$B$2:$B1053,"SBA 26/*",$F$2:$F1053,"&lt;&gt;"),"")</f>
        <v/>
      </c>
      <c r="AB1053" s="29" t="str">
        <f>IF(AA1053=1,COUNTIF($AA$2:AA1053,1),"")</f>
        <v/>
      </c>
    </row>
    <row r="1054" spans="6:28" ht="47.25" customHeight="1" x14ac:dyDescent="0.2">
      <c r="F1054" s="45" t="s">
        <v>3616</v>
      </c>
      <c r="T1054" s="41"/>
      <c r="U1054" s="29" t="str">
        <f>IF($C1054&lt;&gt;"",COUNTIF($C$2:C1054,C1054),"")</f>
        <v/>
      </c>
      <c r="V1054" s="29" t="str">
        <f t="shared" si="56"/>
        <v/>
      </c>
      <c r="W1054" s="29" t="str">
        <f>IF(U1054=1,COUNTIF($U$2:U1054,1),"")</f>
        <v/>
      </c>
      <c r="X1054" s="29" t="str">
        <f t="shared" si="57"/>
        <v/>
      </c>
      <c r="Y1054" s="29" t="str">
        <f>IF(AND(LEFT($B1054,7)="SBA 26/",$D1054&lt;&gt;"",$F1054&lt;&gt;""),COUNTIFS($D$2:$D1054,$D1054,$B$2:$B1054,"SBA 26/*",$F$2:$F1054,"&lt;&gt;"),"")</f>
        <v/>
      </c>
      <c r="Z1054" s="29" t="str">
        <f>IF(Y1054=1,COUNTIF($Y$2:Y1054,1),"")</f>
        <v/>
      </c>
      <c r="AA1054" s="29" t="str">
        <f>IF(AND(LEFT($B1054,7)="SBA 26/",$C1054&lt;&gt;"",$F1054&lt;&gt;""),COUNTIFS($C$2:$C1054,$C1054,$B$2:$B1054,"SBA 26/*",$F$2:$F1054,"&lt;&gt;"),"")</f>
        <v/>
      </c>
      <c r="AB1054" s="29" t="str">
        <f>IF(AA1054=1,COUNTIF($AA$2:AA1054,1),"")</f>
        <v/>
      </c>
    </row>
    <row r="1055" spans="6:28" ht="31.5" customHeight="1" x14ac:dyDescent="0.2">
      <c r="F1055" s="45" t="s">
        <v>3617</v>
      </c>
      <c r="T1055" s="41"/>
      <c r="U1055" s="29" t="str">
        <f>IF($C1055&lt;&gt;"",COUNTIF($C$2:C1055,C1055),"")</f>
        <v/>
      </c>
      <c r="V1055" s="29" t="str">
        <f t="shared" si="56"/>
        <v/>
      </c>
      <c r="W1055" s="29" t="str">
        <f>IF(U1055=1,COUNTIF($U$2:U1055,1),"")</f>
        <v/>
      </c>
      <c r="X1055" s="29" t="str">
        <f t="shared" si="57"/>
        <v/>
      </c>
      <c r="Y1055" s="29" t="str">
        <f>IF(AND(LEFT($B1055,7)="SBA 26/",$D1055&lt;&gt;"",$F1055&lt;&gt;""),COUNTIFS($D$2:$D1055,$D1055,$B$2:$B1055,"SBA 26/*",$F$2:$F1055,"&lt;&gt;"),"")</f>
        <v/>
      </c>
      <c r="Z1055" s="29" t="str">
        <f>IF(Y1055=1,COUNTIF($Y$2:Y1055,1),"")</f>
        <v/>
      </c>
      <c r="AA1055" s="29" t="str">
        <f>IF(AND(LEFT($B1055,7)="SBA 26/",$C1055&lt;&gt;"",$F1055&lt;&gt;""),COUNTIFS($C$2:$C1055,$C1055,$B$2:$B1055,"SBA 26/*",$F$2:$F1055,"&lt;&gt;"),"")</f>
        <v/>
      </c>
      <c r="AB1055" s="29" t="str">
        <f>IF(AA1055=1,COUNTIF($AA$2:AA1055,1),"")</f>
        <v/>
      </c>
    </row>
    <row r="1056" spans="6:28" ht="47.25" customHeight="1" x14ac:dyDescent="0.2">
      <c r="F1056" s="45" t="s">
        <v>3618</v>
      </c>
      <c r="T1056" s="41"/>
      <c r="U1056" s="29" t="str">
        <f>IF($C1056&lt;&gt;"",COUNTIF($C$2:C1056,C1056),"")</f>
        <v/>
      </c>
      <c r="V1056" s="29" t="str">
        <f t="shared" si="56"/>
        <v/>
      </c>
      <c r="W1056" s="29" t="str">
        <f>IF(U1056=1,COUNTIF($U$2:U1056,1),"")</f>
        <v/>
      </c>
      <c r="X1056" s="29" t="str">
        <f t="shared" si="57"/>
        <v/>
      </c>
      <c r="Y1056" s="29" t="str">
        <f>IF(AND(LEFT($B1056,7)="SBA 26/",$D1056&lt;&gt;"",$F1056&lt;&gt;""),COUNTIFS($D$2:$D1056,$D1056,$B$2:$B1056,"SBA 26/*",$F$2:$F1056,"&lt;&gt;"),"")</f>
        <v/>
      </c>
      <c r="Z1056" s="29" t="str">
        <f>IF(Y1056=1,COUNTIF($Y$2:Y1056,1),"")</f>
        <v/>
      </c>
      <c r="AA1056" s="29" t="str">
        <f>IF(AND(LEFT($B1056,7)="SBA 26/",$C1056&lt;&gt;"",$F1056&lt;&gt;""),COUNTIFS($C$2:$C1056,$C1056,$B$2:$B1056,"SBA 26/*",$F$2:$F1056,"&lt;&gt;"),"")</f>
        <v/>
      </c>
      <c r="AB1056" s="29" t="str">
        <f>IF(AA1056=1,COUNTIF($AA$2:AA1056,1),"")</f>
        <v/>
      </c>
    </row>
    <row r="1057" spans="6:28" ht="47.25" customHeight="1" x14ac:dyDescent="0.2">
      <c r="F1057" s="45" t="s">
        <v>3619</v>
      </c>
      <c r="T1057" s="41"/>
      <c r="U1057" s="29" t="str">
        <f>IF($C1057&lt;&gt;"",COUNTIF($C$2:C1057,C1057),"")</f>
        <v/>
      </c>
      <c r="V1057" s="29" t="str">
        <f t="shared" si="56"/>
        <v/>
      </c>
      <c r="W1057" s="29" t="str">
        <f>IF(U1057=1,COUNTIF($U$2:U1057,1),"")</f>
        <v/>
      </c>
      <c r="X1057" s="29" t="str">
        <f t="shared" si="57"/>
        <v/>
      </c>
      <c r="Y1057" s="29" t="str">
        <f>IF(AND(LEFT($B1057,7)="SBA 26/",$D1057&lt;&gt;"",$F1057&lt;&gt;""),COUNTIFS($D$2:$D1057,$D1057,$B$2:$B1057,"SBA 26/*",$F$2:$F1057,"&lt;&gt;"),"")</f>
        <v/>
      </c>
      <c r="Z1057" s="29" t="str">
        <f>IF(Y1057=1,COUNTIF($Y$2:Y1057,1),"")</f>
        <v/>
      </c>
      <c r="AA1057" s="29" t="str">
        <f>IF(AND(LEFT($B1057,7)="SBA 26/",$C1057&lt;&gt;"",$F1057&lt;&gt;""),COUNTIFS($C$2:$C1057,$C1057,$B$2:$B1057,"SBA 26/*",$F$2:$F1057,"&lt;&gt;"),"")</f>
        <v/>
      </c>
      <c r="AB1057" s="29" t="str">
        <f>IF(AA1057=1,COUNTIF($AA$2:AA1057,1),"")</f>
        <v/>
      </c>
    </row>
    <row r="1058" spans="6:28" ht="31.5" customHeight="1" x14ac:dyDescent="0.2">
      <c r="F1058" s="45" t="s">
        <v>3620</v>
      </c>
      <c r="T1058" s="41"/>
      <c r="U1058" s="29" t="str">
        <f>IF($C1058&lt;&gt;"",COUNTIF($C$2:C1058,C1058),"")</f>
        <v/>
      </c>
      <c r="V1058" s="29" t="str">
        <f t="shared" si="56"/>
        <v/>
      </c>
      <c r="W1058" s="29" t="str">
        <f>IF(U1058=1,COUNTIF($U$2:U1058,1),"")</f>
        <v/>
      </c>
      <c r="X1058" s="29" t="str">
        <f t="shared" si="57"/>
        <v/>
      </c>
      <c r="Y1058" s="29" t="str">
        <f>IF(AND(LEFT($B1058,7)="SBA 26/",$D1058&lt;&gt;"",$F1058&lt;&gt;""),COUNTIFS($D$2:$D1058,$D1058,$B$2:$B1058,"SBA 26/*",$F$2:$F1058,"&lt;&gt;"),"")</f>
        <v/>
      </c>
      <c r="Z1058" s="29" t="str">
        <f>IF(Y1058=1,COUNTIF($Y$2:Y1058,1),"")</f>
        <v/>
      </c>
      <c r="AA1058" s="29" t="str">
        <f>IF(AND(LEFT($B1058,7)="SBA 26/",$C1058&lt;&gt;"",$F1058&lt;&gt;""),COUNTIFS($C$2:$C1058,$C1058,$B$2:$B1058,"SBA 26/*",$F$2:$F1058,"&lt;&gt;"),"")</f>
        <v/>
      </c>
      <c r="AB1058" s="29" t="str">
        <f>IF(AA1058=1,COUNTIF($AA$2:AA1058,1),"")</f>
        <v/>
      </c>
    </row>
    <row r="1059" spans="6:28" ht="31.5" customHeight="1" x14ac:dyDescent="0.2">
      <c r="F1059" s="45" t="s">
        <v>3621</v>
      </c>
      <c r="T1059" s="41"/>
      <c r="U1059" s="29" t="str">
        <f>IF($C1059&lt;&gt;"",COUNTIF($C$2:C1059,C1059),"")</f>
        <v/>
      </c>
      <c r="V1059" s="29" t="str">
        <f t="shared" si="56"/>
        <v/>
      </c>
      <c r="W1059" s="29" t="str">
        <f>IF(U1059=1,COUNTIF($U$2:U1059,1),"")</f>
        <v/>
      </c>
      <c r="X1059" s="29" t="str">
        <f t="shared" si="57"/>
        <v/>
      </c>
      <c r="Y1059" s="29" t="str">
        <f>IF(AND(LEFT($B1059,7)="SBA 26/",$D1059&lt;&gt;"",$F1059&lt;&gt;""),COUNTIFS($D$2:$D1059,$D1059,$B$2:$B1059,"SBA 26/*",$F$2:$F1059,"&lt;&gt;"),"")</f>
        <v/>
      </c>
      <c r="Z1059" s="29" t="str">
        <f>IF(Y1059=1,COUNTIF($Y$2:Y1059,1),"")</f>
        <v/>
      </c>
      <c r="AA1059" s="29" t="str">
        <f>IF(AND(LEFT($B1059,7)="SBA 26/",$C1059&lt;&gt;"",$F1059&lt;&gt;""),COUNTIFS($C$2:$C1059,$C1059,$B$2:$B1059,"SBA 26/*",$F$2:$F1059,"&lt;&gt;"),"")</f>
        <v/>
      </c>
      <c r="AB1059" s="29" t="str">
        <f>IF(AA1059=1,COUNTIF($AA$2:AA1059,1),"")</f>
        <v/>
      </c>
    </row>
    <row r="1060" spans="6:28" ht="31.5" customHeight="1" x14ac:dyDescent="0.2">
      <c r="F1060" s="45" t="s">
        <v>3622</v>
      </c>
      <c r="T1060" s="41"/>
      <c r="U1060" s="29" t="str">
        <f>IF($C1060&lt;&gt;"",COUNTIF($C$2:C1060,C1060),"")</f>
        <v/>
      </c>
      <c r="V1060" s="29" t="str">
        <f t="shared" si="56"/>
        <v/>
      </c>
      <c r="W1060" s="29" t="str">
        <f>IF(U1060=1,COUNTIF($U$2:U1060,1),"")</f>
        <v/>
      </c>
      <c r="X1060" s="29" t="str">
        <f t="shared" si="57"/>
        <v/>
      </c>
      <c r="Y1060" s="29" t="str">
        <f>IF(AND(LEFT($B1060,7)="SBA 26/",$D1060&lt;&gt;"",$F1060&lt;&gt;""),COUNTIFS($D$2:$D1060,$D1060,$B$2:$B1060,"SBA 26/*",$F$2:$F1060,"&lt;&gt;"),"")</f>
        <v/>
      </c>
      <c r="Z1060" s="29" t="str">
        <f>IF(Y1060=1,COUNTIF($Y$2:Y1060,1),"")</f>
        <v/>
      </c>
      <c r="AA1060" s="29" t="str">
        <f>IF(AND(LEFT($B1060,7)="SBA 26/",$C1060&lt;&gt;"",$F1060&lt;&gt;""),COUNTIFS($C$2:$C1060,$C1060,$B$2:$B1060,"SBA 26/*",$F$2:$F1060,"&lt;&gt;"),"")</f>
        <v/>
      </c>
      <c r="AB1060" s="29" t="str">
        <f>IF(AA1060=1,COUNTIF($AA$2:AA1060,1),"")</f>
        <v/>
      </c>
    </row>
    <row r="1061" spans="6:28" ht="47.25" customHeight="1" x14ac:dyDescent="0.2">
      <c r="F1061" s="45" t="s">
        <v>3623</v>
      </c>
      <c r="T1061" s="41"/>
      <c r="U1061" s="29" t="str">
        <f>IF($C1061&lt;&gt;"",COUNTIF($C$2:C1061,C1061),"")</f>
        <v/>
      </c>
      <c r="V1061" s="29" t="str">
        <f t="shared" si="56"/>
        <v/>
      </c>
      <c r="W1061" s="29" t="str">
        <f>IF(U1061=1,COUNTIF($U$2:U1061,1),"")</f>
        <v/>
      </c>
      <c r="X1061" s="29" t="str">
        <f t="shared" si="57"/>
        <v/>
      </c>
      <c r="Y1061" s="29" t="str">
        <f>IF(AND(LEFT($B1061,7)="SBA 26/",$D1061&lt;&gt;"",$F1061&lt;&gt;""),COUNTIFS($D$2:$D1061,$D1061,$B$2:$B1061,"SBA 26/*",$F$2:$F1061,"&lt;&gt;"),"")</f>
        <v/>
      </c>
      <c r="Z1061" s="29" t="str">
        <f>IF(Y1061=1,COUNTIF($Y$2:Y1061,1),"")</f>
        <v/>
      </c>
      <c r="AA1061" s="29" t="str">
        <f>IF(AND(LEFT($B1061,7)="SBA 26/",$C1061&lt;&gt;"",$F1061&lt;&gt;""),COUNTIFS($C$2:$C1061,$C1061,$B$2:$B1061,"SBA 26/*",$F$2:$F1061,"&lt;&gt;"),"")</f>
        <v/>
      </c>
      <c r="AB1061" s="29" t="str">
        <f>IF(AA1061=1,COUNTIF($AA$2:AA1061,1),"")</f>
        <v/>
      </c>
    </row>
    <row r="1062" spans="6:28" ht="31.5" customHeight="1" x14ac:dyDescent="0.2">
      <c r="F1062" s="45" t="s">
        <v>3624</v>
      </c>
      <c r="T1062" s="41"/>
      <c r="U1062" s="29" t="str">
        <f>IF($C1062&lt;&gt;"",COUNTIF($C$2:C1062,C1062),"")</f>
        <v/>
      </c>
      <c r="V1062" s="29" t="str">
        <f t="shared" si="56"/>
        <v/>
      </c>
      <c r="W1062" s="29" t="str">
        <f>IF(U1062=1,COUNTIF($U$2:U1062,1),"")</f>
        <v/>
      </c>
      <c r="X1062" s="29" t="str">
        <f t="shared" si="57"/>
        <v/>
      </c>
      <c r="Y1062" s="29" t="str">
        <f>IF(AND(LEFT($B1062,7)="SBA 26/",$D1062&lt;&gt;"",$F1062&lt;&gt;""),COUNTIFS($D$2:$D1062,$D1062,$B$2:$B1062,"SBA 26/*",$F$2:$F1062,"&lt;&gt;"),"")</f>
        <v/>
      </c>
      <c r="Z1062" s="29" t="str">
        <f>IF(Y1062=1,COUNTIF($Y$2:Y1062,1),"")</f>
        <v/>
      </c>
      <c r="AA1062" s="29" t="str">
        <f>IF(AND(LEFT($B1062,7)="SBA 26/",$C1062&lt;&gt;"",$F1062&lt;&gt;""),COUNTIFS($C$2:$C1062,$C1062,$B$2:$B1062,"SBA 26/*",$F$2:$F1062,"&lt;&gt;"),"")</f>
        <v/>
      </c>
      <c r="AB1062" s="29" t="str">
        <f>IF(AA1062=1,COUNTIF($AA$2:AA1062,1),"")</f>
        <v/>
      </c>
    </row>
    <row r="1063" spans="6:28" ht="31.5" customHeight="1" x14ac:dyDescent="0.2">
      <c r="F1063" s="45" t="s">
        <v>3625</v>
      </c>
      <c r="T1063" s="41"/>
      <c r="U1063" s="29" t="str">
        <f>IF($C1063&lt;&gt;"",COUNTIF($C$2:C1063,C1063),"")</f>
        <v/>
      </c>
      <c r="V1063" s="29" t="str">
        <f t="shared" si="56"/>
        <v/>
      </c>
      <c r="W1063" s="29" t="str">
        <f>IF(U1063=1,COUNTIF($U$2:U1063,1),"")</f>
        <v/>
      </c>
      <c r="X1063" s="29" t="str">
        <f t="shared" si="57"/>
        <v/>
      </c>
      <c r="Y1063" s="29" t="str">
        <f>IF(AND(LEFT($B1063,7)="SBA 26/",$D1063&lt;&gt;"",$F1063&lt;&gt;""),COUNTIFS($D$2:$D1063,$D1063,$B$2:$B1063,"SBA 26/*",$F$2:$F1063,"&lt;&gt;"),"")</f>
        <v/>
      </c>
      <c r="Z1063" s="29" t="str">
        <f>IF(Y1063=1,COUNTIF($Y$2:Y1063,1),"")</f>
        <v/>
      </c>
      <c r="AA1063" s="29" t="str">
        <f>IF(AND(LEFT($B1063,7)="SBA 26/",$C1063&lt;&gt;"",$F1063&lt;&gt;""),COUNTIFS($C$2:$C1063,$C1063,$B$2:$B1063,"SBA 26/*",$F$2:$F1063,"&lt;&gt;"),"")</f>
        <v/>
      </c>
      <c r="AB1063" s="29" t="str">
        <f>IF(AA1063=1,COUNTIF($AA$2:AA1063,1),"")</f>
        <v/>
      </c>
    </row>
    <row r="1064" spans="6:28" ht="63" customHeight="1" x14ac:dyDescent="0.2">
      <c r="F1064" s="45" t="s">
        <v>3626</v>
      </c>
      <c r="T1064" s="41"/>
      <c r="U1064" s="29" t="str">
        <f>IF($C1064&lt;&gt;"",COUNTIF($C$2:C1064,C1064),"")</f>
        <v/>
      </c>
      <c r="V1064" s="29" t="str">
        <f t="shared" si="56"/>
        <v/>
      </c>
      <c r="W1064" s="29" t="str">
        <f>IF(U1064=1,COUNTIF($U$2:U1064,1),"")</f>
        <v/>
      </c>
      <c r="X1064" s="29" t="str">
        <f t="shared" si="57"/>
        <v/>
      </c>
      <c r="Y1064" s="29" t="str">
        <f>IF(AND(LEFT($B1064,7)="SBA 26/",$D1064&lt;&gt;"",$F1064&lt;&gt;""),COUNTIFS($D$2:$D1064,$D1064,$B$2:$B1064,"SBA 26/*",$F$2:$F1064,"&lt;&gt;"),"")</f>
        <v/>
      </c>
      <c r="Z1064" s="29" t="str">
        <f>IF(Y1064=1,COUNTIF($Y$2:Y1064,1),"")</f>
        <v/>
      </c>
      <c r="AA1064" s="29" t="str">
        <f>IF(AND(LEFT($B1064,7)="SBA 26/",$C1064&lt;&gt;"",$F1064&lt;&gt;""),COUNTIFS($C$2:$C1064,$C1064,$B$2:$B1064,"SBA 26/*",$F$2:$F1064,"&lt;&gt;"),"")</f>
        <v/>
      </c>
      <c r="AB1064" s="29" t="str">
        <f>IF(AA1064=1,COUNTIF($AA$2:AA1064,1),"")</f>
        <v/>
      </c>
    </row>
    <row r="1065" spans="6:28" ht="47.25" customHeight="1" x14ac:dyDescent="0.2">
      <c r="F1065" s="45" t="s">
        <v>3627</v>
      </c>
      <c r="T1065" s="41"/>
      <c r="U1065" s="29" t="str">
        <f>IF($C1065&lt;&gt;"",COUNTIF($C$2:C1065,C1065),"")</f>
        <v/>
      </c>
      <c r="V1065" s="29" t="str">
        <f t="shared" si="56"/>
        <v/>
      </c>
      <c r="W1065" s="29" t="str">
        <f>IF(U1065=1,COUNTIF($U$2:U1065,1),"")</f>
        <v/>
      </c>
      <c r="X1065" s="29" t="str">
        <f t="shared" si="57"/>
        <v/>
      </c>
      <c r="Y1065" s="29" t="str">
        <f>IF(AND(LEFT($B1065,7)="SBA 26/",$D1065&lt;&gt;"",$F1065&lt;&gt;""),COUNTIFS($D$2:$D1065,$D1065,$B$2:$B1065,"SBA 26/*",$F$2:$F1065,"&lt;&gt;"),"")</f>
        <v/>
      </c>
      <c r="Z1065" s="29" t="str">
        <f>IF(Y1065=1,COUNTIF($Y$2:Y1065,1),"")</f>
        <v/>
      </c>
      <c r="AA1065" s="29" t="str">
        <f>IF(AND(LEFT($B1065,7)="SBA 26/",$C1065&lt;&gt;"",$F1065&lt;&gt;""),COUNTIFS($C$2:$C1065,$C1065,$B$2:$B1065,"SBA 26/*",$F$2:$F1065,"&lt;&gt;"),"")</f>
        <v/>
      </c>
      <c r="AB1065" s="29" t="str">
        <f>IF(AA1065=1,COUNTIF($AA$2:AA1065,1),"")</f>
        <v/>
      </c>
    </row>
    <row r="1066" spans="6:28" ht="47.25" customHeight="1" x14ac:dyDescent="0.2">
      <c r="F1066" s="45" t="s">
        <v>3628</v>
      </c>
      <c r="T1066" s="41"/>
      <c r="U1066" s="29" t="str">
        <f>IF($C1066&lt;&gt;"",COUNTIF($C$2:C1066,C1066),"")</f>
        <v/>
      </c>
      <c r="V1066" s="29" t="str">
        <f t="shared" si="56"/>
        <v/>
      </c>
      <c r="W1066" s="29" t="str">
        <f>IF(U1066=1,COUNTIF($U$2:U1066,1),"")</f>
        <v/>
      </c>
      <c r="X1066" s="29" t="str">
        <f t="shared" si="57"/>
        <v/>
      </c>
      <c r="Y1066" s="29" t="str">
        <f>IF(AND(LEFT($B1066,7)="SBA 26/",$D1066&lt;&gt;"",$F1066&lt;&gt;""),COUNTIFS($D$2:$D1066,$D1066,$B$2:$B1066,"SBA 26/*",$F$2:$F1066,"&lt;&gt;"),"")</f>
        <v/>
      </c>
      <c r="Z1066" s="29" t="str">
        <f>IF(Y1066=1,COUNTIF($Y$2:Y1066,1),"")</f>
        <v/>
      </c>
      <c r="AA1066" s="29" t="str">
        <f>IF(AND(LEFT($B1066,7)="SBA 26/",$C1066&lt;&gt;"",$F1066&lt;&gt;""),COUNTIFS($C$2:$C1066,$C1066,$B$2:$B1066,"SBA 26/*",$F$2:$F1066,"&lt;&gt;"),"")</f>
        <v/>
      </c>
      <c r="AB1066" s="29" t="str">
        <f>IF(AA1066=1,COUNTIF($AA$2:AA1066,1),"")</f>
        <v/>
      </c>
    </row>
    <row r="1067" spans="6:28" ht="47.25" customHeight="1" x14ac:dyDescent="0.2">
      <c r="F1067" s="45" t="s">
        <v>3629</v>
      </c>
      <c r="T1067" s="41"/>
      <c r="U1067" s="29" t="str">
        <f>IF($C1067&lt;&gt;"",COUNTIF($C$2:C1067,C1067),"")</f>
        <v/>
      </c>
      <c r="V1067" s="29" t="str">
        <f t="shared" si="56"/>
        <v/>
      </c>
      <c r="W1067" s="29" t="str">
        <f>IF(U1067=1,COUNTIF($U$2:U1067,1),"")</f>
        <v/>
      </c>
      <c r="X1067" s="29" t="str">
        <f t="shared" si="57"/>
        <v/>
      </c>
      <c r="Y1067" s="29" t="str">
        <f>IF(AND(LEFT($B1067,7)="SBA 26/",$D1067&lt;&gt;"",$F1067&lt;&gt;""),COUNTIFS($D$2:$D1067,$D1067,$B$2:$B1067,"SBA 26/*",$F$2:$F1067,"&lt;&gt;"),"")</f>
        <v/>
      </c>
      <c r="Z1067" s="29" t="str">
        <f>IF(Y1067=1,COUNTIF($Y$2:Y1067,1),"")</f>
        <v/>
      </c>
      <c r="AA1067" s="29" t="str">
        <f>IF(AND(LEFT($B1067,7)="SBA 26/",$C1067&lt;&gt;"",$F1067&lt;&gt;""),COUNTIFS($C$2:$C1067,$C1067,$B$2:$B1067,"SBA 26/*",$F$2:$F1067,"&lt;&gt;"),"")</f>
        <v/>
      </c>
      <c r="AB1067" s="29" t="str">
        <f>IF(AA1067=1,COUNTIF($AA$2:AA1067,1),"")</f>
        <v/>
      </c>
    </row>
    <row r="1068" spans="6:28" ht="47.25" customHeight="1" x14ac:dyDescent="0.2">
      <c r="F1068" s="45" t="s">
        <v>3630</v>
      </c>
      <c r="T1068" s="41"/>
      <c r="U1068" s="29" t="str">
        <f>IF($C1068&lt;&gt;"",COUNTIF($C$2:C1068,C1068),"")</f>
        <v/>
      </c>
      <c r="V1068" s="29" t="str">
        <f t="shared" si="56"/>
        <v/>
      </c>
      <c r="W1068" s="29" t="str">
        <f>IF(U1068=1,COUNTIF($U$2:U1068,1),"")</f>
        <v/>
      </c>
      <c r="X1068" s="29" t="str">
        <f t="shared" si="57"/>
        <v/>
      </c>
      <c r="Y1068" s="29" t="str">
        <f>IF(AND(LEFT($B1068,7)="SBA 26/",$D1068&lt;&gt;"",$F1068&lt;&gt;""),COUNTIFS($D$2:$D1068,$D1068,$B$2:$B1068,"SBA 26/*",$F$2:$F1068,"&lt;&gt;"),"")</f>
        <v/>
      </c>
      <c r="Z1068" s="29" t="str">
        <f>IF(Y1068=1,COUNTIF($Y$2:Y1068,1),"")</f>
        <v/>
      </c>
      <c r="AA1068" s="29" t="str">
        <f>IF(AND(LEFT($B1068,7)="SBA 26/",$C1068&lt;&gt;"",$F1068&lt;&gt;""),COUNTIFS($C$2:$C1068,$C1068,$B$2:$B1068,"SBA 26/*",$F$2:$F1068,"&lt;&gt;"),"")</f>
        <v/>
      </c>
      <c r="AB1068" s="29" t="str">
        <f>IF(AA1068=1,COUNTIF($AA$2:AA1068,1),"")</f>
        <v/>
      </c>
    </row>
    <row r="1069" spans="6:28" ht="63" customHeight="1" x14ac:dyDescent="0.2">
      <c r="F1069" s="45" t="s">
        <v>3631</v>
      </c>
      <c r="T1069" s="41"/>
      <c r="U1069" s="29" t="str">
        <f>IF($C1069&lt;&gt;"",COUNTIF($C$2:C1069,C1069),"")</f>
        <v/>
      </c>
      <c r="V1069" s="29" t="str">
        <f t="shared" si="56"/>
        <v/>
      </c>
      <c r="W1069" s="29" t="str">
        <f>IF(U1069=1,COUNTIF($U$2:U1069,1),"")</f>
        <v/>
      </c>
      <c r="X1069" s="29" t="str">
        <f t="shared" si="57"/>
        <v/>
      </c>
      <c r="Y1069" s="29" t="str">
        <f>IF(AND(LEFT($B1069,7)="SBA 26/",$D1069&lt;&gt;"",$F1069&lt;&gt;""),COUNTIFS($D$2:$D1069,$D1069,$B$2:$B1069,"SBA 26/*",$F$2:$F1069,"&lt;&gt;"),"")</f>
        <v/>
      </c>
      <c r="Z1069" s="29" t="str">
        <f>IF(Y1069=1,COUNTIF($Y$2:Y1069,1),"")</f>
        <v/>
      </c>
      <c r="AA1069" s="29" t="str">
        <f>IF(AND(LEFT($B1069,7)="SBA 26/",$C1069&lt;&gt;"",$F1069&lt;&gt;""),COUNTIFS($C$2:$C1069,$C1069,$B$2:$B1069,"SBA 26/*",$F$2:$F1069,"&lt;&gt;"),"")</f>
        <v/>
      </c>
      <c r="AB1069" s="29" t="str">
        <f>IF(AA1069=1,COUNTIF($AA$2:AA1069,1),"")</f>
        <v/>
      </c>
    </row>
    <row r="1070" spans="6:28" ht="63" customHeight="1" x14ac:dyDescent="0.2">
      <c r="F1070" s="45" t="s">
        <v>3632</v>
      </c>
      <c r="T1070" s="41"/>
      <c r="U1070" s="29" t="str">
        <f>IF($C1070&lt;&gt;"",COUNTIF($C$2:C1070,C1070),"")</f>
        <v/>
      </c>
      <c r="V1070" s="29" t="str">
        <f t="shared" si="56"/>
        <v/>
      </c>
      <c r="W1070" s="29" t="str">
        <f>IF(U1070=1,COUNTIF($U$2:U1070,1),"")</f>
        <v/>
      </c>
      <c r="X1070" s="29" t="str">
        <f t="shared" si="57"/>
        <v/>
      </c>
      <c r="Y1070" s="29" t="str">
        <f>IF(AND(LEFT($B1070,7)="SBA 26/",$D1070&lt;&gt;"",$F1070&lt;&gt;""),COUNTIFS($D$2:$D1070,$D1070,$B$2:$B1070,"SBA 26/*",$F$2:$F1070,"&lt;&gt;"),"")</f>
        <v/>
      </c>
      <c r="Z1070" s="29" t="str">
        <f>IF(Y1070=1,COUNTIF($Y$2:Y1070,1),"")</f>
        <v/>
      </c>
      <c r="AA1070" s="29" t="str">
        <f>IF(AND(LEFT($B1070,7)="SBA 26/",$C1070&lt;&gt;"",$F1070&lt;&gt;""),COUNTIFS($C$2:$C1070,$C1070,$B$2:$B1070,"SBA 26/*",$F$2:$F1070,"&lt;&gt;"),"")</f>
        <v/>
      </c>
      <c r="AB1070" s="29" t="str">
        <f>IF(AA1070=1,COUNTIF($AA$2:AA1070,1),"")</f>
        <v/>
      </c>
    </row>
    <row r="1071" spans="6:28" ht="47.25" customHeight="1" x14ac:dyDescent="0.2">
      <c r="F1071" s="45" t="s">
        <v>3633</v>
      </c>
      <c r="T1071" s="41"/>
      <c r="U1071" s="29" t="str">
        <f>IF($C1071&lt;&gt;"",COUNTIF($C$2:C1071,C1071),"")</f>
        <v/>
      </c>
      <c r="V1071" s="29" t="str">
        <f t="shared" si="56"/>
        <v/>
      </c>
      <c r="W1071" s="29" t="str">
        <f>IF(U1071=1,COUNTIF($U$2:U1071,1),"")</f>
        <v/>
      </c>
      <c r="X1071" s="29" t="str">
        <f t="shared" si="57"/>
        <v/>
      </c>
      <c r="Y1071" s="29" t="str">
        <f>IF(AND(LEFT($B1071,7)="SBA 26/",$D1071&lt;&gt;"",$F1071&lt;&gt;""),COUNTIFS($D$2:$D1071,$D1071,$B$2:$B1071,"SBA 26/*",$F$2:$F1071,"&lt;&gt;"),"")</f>
        <v/>
      </c>
      <c r="Z1071" s="29" t="str">
        <f>IF(Y1071=1,COUNTIF($Y$2:Y1071,1),"")</f>
        <v/>
      </c>
      <c r="AA1071" s="29" t="str">
        <f>IF(AND(LEFT($B1071,7)="SBA 26/",$C1071&lt;&gt;"",$F1071&lt;&gt;""),COUNTIFS($C$2:$C1071,$C1071,$B$2:$B1071,"SBA 26/*",$F$2:$F1071,"&lt;&gt;"),"")</f>
        <v/>
      </c>
      <c r="AB1071" s="29" t="str">
        <f>IF(AA1071=1,COUNTIF($AA$2:AA1071,1),"")</f>
        <v/>
      </c>
    </row>
    <row r="1072" spans="6:28" ht="63" customHeight="1" x14ac:dyDescent="0.2">
      <c r="F1072" s="45" t="s">
        <v>3634</v>
      </c>
      <c r="T1072" s="41"/>
      <c r="U1072" s="29" t="str">
        <f>IF($C1072&lt;&gt;"",COUNTIF($C$2:C1072,C1072),"")</f>
        <v/>
      </c>
      <c r="V1072" s="29" t="str">
        <f t="shared" si="56"/>
        <v/>
      </c>
      <c r="W1072" s="29" t="str">
        <f>IF(U1072=1,COUNTIF($U$2:U1072,1),"")</f>
        <v/>
      </c>
      <c r="X1072" s="29" t="str">
        <f t="shared" si="57"/>
        <v/>
      </c>
      <c r="Y1072" s="29" t="str">
        <f>IF(AND(LEFT($B1072,7)="SBA 26/",$D1072&lt;&gt;"",$F1072&lt;&gt;""),COUNTIFS($D$2:$D1072,$D1072,$B$2:$B1072,"SBA 26/*",$F$2:$F1072,"&lt;&gt;"),"")</f>
        <v/>
      </c>
      <c r="Z1072" s="29" t="str">
        <f>IF(Y1072=1,COUNTIF($Y$2:Y1072,1),"")</f>
        <v/>
      </c>
      <c r="AA1072" s="29" t="str">
        <f>IF(AND(LEFT($B1072,7)="SBA 26/",$C1072&lt;&gt;"",$F1072&lt;&gt;""),COUNTIFS($C$2:$C1072,$C1072,$B$2:$B1072,"SBA 26/*",$F$2:$F1072,"&lt;&gt;"),"")</f>
        <v/>
      </c>
      <c r="AB1072" s="29" t="str">
        <f>IF(AA1072=1,COUNTIF($AA$2:AA1072,1),"")</f>
        <v/>
      </c>
    </row>
    <row r="1073" spans="6:28" ht="78.75" customHeight="1" x14ac:dyDescent="0.2">
      <c r="F1073" s="45" t="s">
        <v>3635</v>
      </c>
      <c r="T1073" s="41"/>
      <c r="U1073" s="29" t="str">
        <f>IF($C1073&lt;&gt;"",COUNTIF($C$2:C1073,C1073),"")</f>
        <v/>
      </c>
      <c r="V1073" s="29" t="str">
        <f t="shared" si="56"/>
        <v/>
      </c>
      <c r="W1073" s="29" t="str">
        <f>IF(U1073=1,COUNTIF($U$2:U1073,1),"")</f>
        <v/>
      </c>
      <c r="X1073" s="29" t="str">
        <f t="shared" si="57"/>
        <v/>
      </c>
      <c r="Y1073" s="29" t="str">
        <f>IF(AND(LEFT($B1073,7)="SBA 26/",$D1073&lt;&gt;"",$F1073&lt;&gt;""),COUNTIFS($D$2:$D1073,$D1073,$B$2:$B1073,"SBA 26/*",$F$2:$F1073,"&lt;&gt;"),"")</f>
        <v/>
      </c>
      <c r="Z1073" s="29" t="str">
        <f>IF(Y1073=1,COUNTIF($Y$2:Y1073,1),"")</f>
        <v/>
      </c>
      <c r="AA1073" s="29" t="str">
        <f>IF(AND(LEFT($B1073,7)="SBA 26/",$C1073&lt;&gt;"",$F1073&lt;&gt;""),COUNTIFS($C$2:$C1073,$C1073,$B$2:$B1073,"SBA 26/*",$F$2:$F1073,"&lt;&gt;"),"")</f>
        <v/>
      </c>
      <c r="AB1073" s="29" t="str">
        <f>IF(AA1073=1,COUNTIF($AA$2:AA1073,1),"")</f>
        <v/>
      </c>
    </row>
    <row r="1074" spans="6:28" ht="31.5" customHeight="1" x14ac:dyDescent="0.2">
      <c r="F1074" s="45" t="s">
        <v>3636</v>
      </c>
      <c r="T1074" s="41"/>
      <c r="U1074" s="29" t="str">
        <f>IF($C1074&lt;&gt;"",COUNTIF($C$2:C1074,C1074),"")</f>
        <v/>
      </c>
      <c r="V1074" s="29" t="str">
        <f t="shared" si="56"/>
        <v/>
      </c>
      <c r="W1074" s="29" t="str">
        <f>IF(U1074=1,COUNTIF($U$2:U1074,1),"")</f>
        <v/>
      </c>
      <c r="X1074" s="29" t="str">
        <f t="shared" si="57"/>
        <v/>
      </c>
      <c r="Y1074" s="29" t="str">
        <f>IF(AND(LEFT($B1074,7)="SBA 26/",$D1074&lt;&gt;"",$F1074&lt;&gt;""),COUNTIFS($D$2:$D1074,$D1074,$B$2:$B1074,"SBA 26/*",$F$2:$F1074,"&lt;&gt;"),"")</f>
        <v/>
      </c>
      <c r="Z1074" s="29" t="str">
        <f>IF(Y1074=1,COUNTIF($Y$2:Y1074,1),"")</f>
        <v/>
      </c>
      <c r="AA1074" s="29" t="str">
        <f>IF(AND(LEFT($B1074,7)="SBA 26/",$C1074&lt;&gt;"",$F1074&lt;&gt;""),COUNTIFS($C$2:$C1074,$C1074,$B$2:$B1074,"SBA 26/*",$F$2:$F1074,"&lt;&gt;"),"")</f>
        <v/>
      </c>
      <c r="AB1074" s="29" t="str">
        <f>IF(AA1074=1,COUNTIF($AA$2:AA1074,1),"")</f>
        <v/>
      </c>
    </row>
    <row r="1075" spans="6:28" ht="78.75" customHeight="1" x14ac:dyDescent="0.2">
      <c r="F1075" s="45" t="s">
        <v>3637</v>
      </c>
      <c r="T1075" s="41"/>
      <c r="U1075" s="29" t="str">
        <f>IF($C1075&lt;&gt;"",COUNTIF($C$2:C1075,C1075),"")</f>
        <v/>
      </c>
      <c r="V1075" s="29" t="str">
        <f t="shared" si="56"/>
        <v/>
      </c>
      <c r="W1075" s="29" t="str">
        <f>IF(U1075=1,COUNTIF($U$2:U1075,1),"")</f>
        <v/>
      </c>
      <c r="X1075" s="29" t="str">
        <f t="shared" si="57"/>
        <v/>
      </c>
      <c r="Y1075" s="29" t="str">
        <f>IF(AND(LEFT($B1075,7)="SBA 26/",$D1075&lt;&gt;"",$F1075&lt;&gt;""),COUNTIFS($D$2:$D1075,$D1075,$B$2:$B1075,"SBA 26/*",$F$2:$F1075,"&lt;&gt;"),"")</f>
        <v/>
      </c>
      <c r="Z1075" s="29" t="str">
        <f>IF(Y1075=1,COUNTIF($Y$2:Y1075,1),"")</f>
        <v/>
      </c>
      <c r="AA1075" s="29" t="str">
        <f>IF(AND(LEFT($B1075,7)="SBA 26/",$C1075&lt;&gt;"",$F1075&lt;&gt;""),COUNTIFS($C$2:$C1075,$C1075,$B$2:$B1075,"SBA 26/*",$F$2:$F1075,"&lt;&gt;"),"")</f>
        <v/>
      </c>
      <c r="AB1075" s="29" t="str">
        <f>IF(AA1075=1,COUNTIF($AA$2:AA1075,1),"")</f>
        <v/>
      </c>
    </row>
    <row r="1076" spans="6:28" ht="47.25" customHeight="1" x14ac:dyDescent="0.2">
      <c r="F1076" s="45" t="s">
        <v>3638</v>
      </c>
      <c r="T1076" s="41"/>
      <c r="U1076" s="29" t="str">
        <f>IF($C1076&lt;&gt;"",COUNTIF($C$2:C1076,C1076),"")</f>
        <v/>
      </c>
      <c r="V1076" s="29" t="str">
        <f t="shared" si="56"/>
        <v/>
      </c>
      <c r="W1076" s="29" t="str">
        <f>IF(U1076=1,COUNTIF($U$2:U1076,1),"")</f>
        <v/>
      </c>
      <c r="X1076" s="29" t="str">
        <f t="shared" si="57"/>
        <v/>
      </c>
      <c r="Y1076" s="29" t="str">
        <f>IF(AND(LEFT($B1076,7)="SBA 26/",$D1076&lt;&gt;"",$F1076&lt;&gt;""),COUNTIFS($D$2:$D1076,$D1076,$B$2:$B1076,"SBA 26/*",$F$2:$F1076,"&lt;&gt;"),"")</f>
        <v/>
      </c>
      <c r="Z1076" s="29" t="str">
        <f>IF(Y1076=1,COUNTIF($Y$2:Y1076,1),"")</f>
        <v/>
      </c>
      <c r="AA1076" s="29" t="str">
        <f>IF(AND(LEFT($B1076,7)="SBA 26/",$C1076&lt;&gt;"",$F1076&lt;&gt;""),COUNTIFS($C$2:$C1076,$C1076,$B$2:$B1076,"SBA 26/*",$F$2:$F1076,"&lt;&gt;"),"")</f>
        <v/>
      </c>
      <c r="AB1076" s="29" t="str">
        <f>IF(AA1076=1,COUNTIF($AA$2:AA1076,1),"")</f>
        <v/>
      </c>
    </row>
    <row r="1077" spans="6:28" ht="31.5" customHeight="1" x14ac:dyDescent="0.2">
      <c r="F1077" s="45" t="s">
        <v>3639</v>
      </c>
      <c r="T1077" s="41"/>
      <c r="U1077" s="29" t="str">
        <f>IF($C1077&lt;&gt;"",COUNTIF($C$2:C1077,C1077),"")</f>
        <v/>
      </c>
      <c r="V1077" s="29" t="str">
        <f t="shared" si="56"/>
        <v/>
      </c>
      <c r="W1077" s="29" t="str">
        <f>IF(U1077=1,COUNTIF($U$2:U1077,1),"")</f>
        <v/>
      </c>
      <c r="X1077" s="29" t="str">
        <f t="shared" si="57"/>
        <v/>
      </c>
      <c r="Y1077" s="29" t="str">
        <f>IF(AND(LEFT($B1077,7)="SBA 26/",$D1077&lt;&gt;"",$F1077&lt;&gt;""),COUNTIFS($D$2:$D1077,$D1077,$B$2:$B1077,"SBA 26/*",$F$2:$F1077,"&lt;&gt;"),"")</f>
        <v/>
      </c>
      <c r="Z1077" s="29" t="str">
        <f>IF(Y1077=1,COUNTIF($Y$2:Y1077,1),"")</f>
        <v/>
      </c>
      <c r="AA1077" s="29" t="str">
        <f>IF(AND(LEFT($B1077,7)="SBA 26/",$C1077&lt;&gt;"",$F1077&lt;&gt;""),COUNTIFS($C$2:$C1077,$C1077,$B$2:$B1077,"SBA 26/*",$F$2:$F1077,"&lt;&gt;"),"")</f>
        <v/>
      </c>
      <c r="AB1077" s="29" t="str">
        <f>IF(AA1077=1,COUNTIF($AA$2:AA1077,1),"")</f>
        <v/>
      </c>
    </row>
    <row r="1078" spans="6:28" ht="78.75" customHeight="1" x14ac:dyDescent="0.2">
      <c r="F1078" s="45" t="s">
        <v>3640</v>
      </c>
      <c r="T1078" s="41"/>
      <c r="U1078" s="29" t="str">
        <f>IF($C1078&lt;&gt;"",COUNTIF($C$2:C1078,C1078),"")</f>
        <v/>
      </c>
      <c r="V1078" s="29" t="str">
        <f t="shared" si="56"/>
        <v/>
      </c>
      <c r="W1078" s="29" t="str">
        <f>IF(U1078=1,COUNTIF($U$2:U1078,1),"")</f>
        <v/>
      </c>
      <c r="X1078" s="29" t="str">
        <f t="shared" si="57"/>
        <v/>
      </c>
      <c r="Y1078" s="29" t="str">
        <f>IF(AND(LEFT($B1078,7)="SBA 26/",$D1078&lt;&gt;"",$F1078&lt;&gt;""),COUNTIFS($D$2:$D1078,$D1078,$B$2:$B1078,"SBA 26/*",$F$2:$F1078,"&lt;&gt;"),"")</f>
        <v/>
      </c>
      <c r="Z1078" s="29" t="str">
        <f>IF(Y1078=1,COUNTIF($Y$2:Y1078,1),"")</f>
        <v/>
      </c>
      <c r="AA1078" s="29" t="str">
        <f>IF(AND(LEFT($B1078,7)="SBA 26/",$C1078&lt;&gt;"",$F1078&lt;&gt;""),COUNTIFS($C$2:$C1078,$C1078,$B$2:$B1078,"SBA 26/*",$F$2:$F1078,"&lt;&gt;"),"")</f>
        <v/>
      </c>
      <c r="AB1078" s="29" t="str">
        <f>IF(AA1078=1,COUNTIF($AA$2:AA1078,1),"")</f>
        <v/>
      </c>
    </row>
    <row r="1079" spans="6:28" ht="31.5" customHeight="1" x14ac:dyDescent="0.2">
      <c r="F1079" s="45" t="s">
        <v>3641</v>
      </c>
      <c r="T1079" s="41"/>
      <c r="U1079" s="29" t="str">
        <f>IF($C1079&lt;&gt;"",COUNTIF($C$2:C1079,C1079),"")</f>
        <v/>
      </c>
      <c r="V1079" s="29" t="str">
        <f t="shared" si="56"/>
        <v/>
      </c>
      <c r="W1079" s="29" t="str">
        <f>IF(U1079=1,COUNTIF($U$2:U1079,1),"")</f>
        <v/>
      </c>
      <c r="X1079" s="29" t="str">
        <f t="shared" si="57"/>
        <v/>
      </c>
      <c r="Y1079" s="29" t="str">
        <f>IF(AND(LEFT($B1079,7)="SBA 26/",$D1079&lt;&gt;"",$F1079&lt;&gt;""),COUNTIFS($D$2:$D1079,$D1079,$B$2:$B1079,"SBA 26/*",$F$2:$F1079,"&lt;&gt;"),"")</f>
        <v/>
      </c>
      <c r="Z1079" s="29" t="str">
        <f>IF(Y1079=1,COUNTIF($Y$2:Y1079,1),"")</f>
        <v/>
      </c>
      <c r="AA1079" s="29" t="str">
        <f>IF(AND(LEFT($B1079,7)="SBA 26/",$C1079&lt;&gt;"",$F1079&lt;&gt;""),COUNTIFS($C$2:$C1079,$C1079,$B$2:$B1079,"SBA 26/*",$F$2:$F1079,"&lt;&gt;"),"")</f>
        <v/>
      </c>
      <c r="AB1079" s="29" t="str">
        <f>IF(AA1079=1,COUNTIF($AA$2:AA1079,1),"")</f>
        <v/>
      </c>
    </row>
    <row r="1080" spans="6:28" ht="47.25" customHeight="1" x14ac:dyDescent="0.2">
      <c r="F1080" s="45" t="s">
        <v>3642</v>
      </c>
      <c r="T1080" s="41"/>
      <c r="U1080" s="29" t="str">
        <f>IF($C1080&lt;&gt;"",COUNTIF($C$2:C1080,C1080),"")</f>
        <v/>
      </c>
      <c r="V1080" s="29" t="str">
        <f t="shared" si="56"/>
        <v/>
      </c>
      <c r="W1080" s="29" t="str">
        <f>IF(U1080=1,COUNTIF($U$2:U1080,1),"")</f>
        <v/>
      </c>
      <c r="X1080" s="29" t="str">
        <f t="shared" si="57"/>
        <v/>
      </c>
      <c r="Y1080" s="29" t="str">
        <f>IF(AND(LEFT($B1080,7)="SBA 26/",$D1080&lt;&gt;"",$F1080&lt;&gt;""),COUNTIFS($D$2:$D1080,$D1080,$B$2:$B1080,"SBA 26/*",$F$2:$F1080,"&lt;&gt;"),"")</f>
        <v/>
      </c>
      <c r="Z1080" s="29" t="str">
        <f>IF(Y1080=1,COUNTIF($Y$2:Y1080,1),"")</f>
        <v/>
      </c>
      <c r="AA1080" s="29" t="str">
        <f>IF(AND(LEFT($B1080,7)="SBA 26/",$C1080&lt;&gt;"",$F1080&lt;&gt;""),COUNTIFS($C$2:$C1080,$C1080,$B$2:$B1080,"SBA 26/*",$F$2:$F1080,"&lt;&gt;"),"")</f>
        <v/>
      </c>
      <c r="AB1080" s="29" t="str">
        <f>IF(AA1080=1,COUNTIF($AA$2:AA1080,1),"")</f>
        <v/>
      </c>
    </row>
    <row r="1081" spans="6:28" ht="31.5" customHeight="1" x14ac:dyDescent="0.2">
      <c r="F1081" s="45" t="s">
        <v>3643</v>
      </c>
      <c r="T1081" s="41"/>
      <c r="U1081" s="29" t="str">
        <f>IF($C1081&lt;&gt;"",COUNTIF($C$2:C1081,C1081),"")</f>
        <v/>
      </c>
      <c r="V1081" s="29" t="str">
        <f t="shared" si="56"/>
        <v/>
      </c>
      <c r="W1081" s="29" t="str">
        <f>IF(U1081=1,COUNTIF($U$2:U1081,1),"")</f>
        <v/>
      </c>
      <c r="X1081" s="29" t="str">
        <f t="shared" si="57"/>
        <v/>
      </c>
      <c r="Y1081" s="29" t="str">
        <f>IF(AND(LEFT($B1081,7)="SBA 26/",$D1081&lt;&gt;"",$F1081&lt;&gt;""),COUNTIFS($D$2:$D1081,$D1081,$B$2:$B1081,"SBA 26/*",$F$2:$F1081,"&lt;&gt;"),"")</f>
        <v/>
      </c>
      <c r="Z1081" s="29" t="str">
        <f>IF(Y1081=1,COUNTIF($Y$2:Y1081,1),"")</f>
        <v/>
      </c>
      <c r="AA1081" s="29" t="str">
        <f>IF(AND(LEFT($B1081,7)="SBA 26/",$C1081&lt;&gt;"",$F1081&lt;&gt;""),COUNTIFS($C$2:$C1081,$C1081,$B$2:$B1081,"SBA 26/*",$F$2:$F1081,"&lt;&gt;"),"")</f>
        <v/>
      </c>
      <c r="AB1081" s="29" t="str">
        <f>IF(AA1081=1,COUNTIF($AA$2:AA1081,1),"")</f>
        <v/>
      </c>
    </row>
    <row r="1082" spans="6:28" ht="63" customHeight="1" x14ac:dyDescent="0.2">
      <c r="F1082" s="45" t="s">
        <v>3644</v>
      </c>
      <c r="T1082" s="41"/>
      <c r="U1082" s="29" t="str">
        <f>IF($C1082&lt;&gt;"",COUNTIF($C$2:C1082,C1082),"")</f>
        <v/>
      </c>
      <c r="V1082" s="29" t="str">
        <f t="shared" si="56"/>
        <v/>
      </c>
      <c r="W1082" s="29" t="str">
        <f>IF(U1082=1,COUNTIF($U$2:U1082,1),"")</f>
        <v/>
      </c>
      <c r="X1082" s="29" t="str">
        <f t="shared" si="57"/>
        <v/>
      </c>
      <c r="Y1082" s="29" t="str">
        <f>IF(AND(LEFT($B1082,7)="SBA 26/",$D1082&lt;&gt;"",$F1082&lt;&gt;""),COUNTIFS($D$2:$D1082,$D1082,$B$2:$B1082,"SBA 26/*",$F$2:$F1082,"&lt;&gt;"),"")</f>
        <v/>
      </c>
      <c r="Z1082" s="29" t="str">
        <f>IF(Y1082=1,COUNTIF($Y$2:Y1082,1),"")</f>
        <v/>
      </c>
      <c r="AA1082" s="29" t="str">
        <f>IF(AND(LEFT($B1082,7)="SBA 26/",$C1082&lt;&gt;"",$F1082&lt;&gt;""),COUNTIFS($C$2:$C1082,$C1082,$B$2:$B1082,"SBA 26/*",$F$2:$F1082,"&lt;&gt;"),"")</f>
        <v/>
      </c>
      <c r="AB1082" s="29" t="str">
        <f>IF(AA1082=1,COUNTIF($AA$2:AA1082,1),"")</f>
        <v/>
      </c>
    </row>
    <row r="1083" spans="6:28" ht="78.75" customHeight="1" x14ac:dyDescent="0.2">
      <c r="F1083" s="45" t="s">
        <v>3645</v>
      </c>
      <c r="T1083" s="41"/>
      <c r="U1083" s="29" t="str">
        <f>IF($C1083&lt;&gt;"",COUNTIF($C$2:C1083,C1083),"")</f>
        <v/>
      </c>
      <c r="V1083" s="29" t="str">
        <f t="shared" si="56"/>
        <v/>
      </c>
      <c r="W1083" s="29" t="str">
        <f>IF(U1083=1,COUNTIF($U$2:U1083,1),"")</f>
        <v/>
      </c>
      <c r="X1083" s="29" t="str">
        <f t="shared" si="57"/>
        <v/>
      </c>
      <c r="Y1083" s="29" t="str">
        <f>IF(AND(LEFT($B1083,7)="SBA 26/",$D1083&lt;&gt;"",$F1083&lt;&gt;""),COUNTIFS($D$2:$D1083,$D1083,$B$2:$B1083,"SBA 26/*",$F$2:$F1083,"&lt;&gt;"),"")</f>
        <v/>
      </c>
      <c r="Z1083" s="29" t="str">
        <f>IF(Y1083=1,COUNTIF($Y$2:Y1083,1),"")</f>
        <v/>
      </c>
      <c r="AA1083" s="29" t="str">
        <f>IF(AND(LEFT($B1083,7)="SBA 26/",$C1083&lt;&gt;"",$F1083&lt;&gt;""),COUNTIFS($C$2:$C1083,$C1083,$B$2:$B1083,"SBA 26/*",$F$2:$F1083,"&lt;&gt;"),"")</f>
        <v/>
      </c>
      <c r="AB1083" s="29" t="str">
        <f>IF(AA1083=1,COUNTIF($AA$2:AA1083,1),"")</f>
        <v/>
      </c>
    </row>
    <row r="1084" spans="6:28" ht="63" customHeight="1" x14ac:dyDescent="0.2">
      <c r="F1084" s="45" t="s">
        <v>3646</v>
      </c>
      <c r="T1084" s="41"/>
      <c r="U1084" s="29" t="str">
        <f>IF($C1084&lt;&gt;"",COUNTIF($C$2:C1084,C1084),"")</f>
        <v/>
      </c>
      <c r="V1084" s="29" t="str">
        <f t="shared" si="56"/>
        <v/>
      </c>
      <c r="W1084" s="29" t="str">
        <f>IF(U1084=1,COUNTIF($U$2:U1084,1),"")</f>
        <v/>
      </c>
      <c r="X1084" s="29" t="str">
        <f t="shared" si="57"/>
        <v/>
      </c>
      <c r="Y1084" s="29" t="str">
        <f>IF(AND(LEFT($B1084,7)="SBA 26/",$D1084&lt;&gt;"",$F1084&lt;&gt;""),COUNTIFS($D$2:$D1084,$D1084,$B$2:$B1084,"SBA 26/*",$F$2:$F1084,"&lt;&gt;"),"")</f>
        <v/>
      </c>
      <c r="Z1084" s="29" t="str">
        <f>IF(Y1084=1,COUNTIF($Y$2:Y1084,1),"")</f>
        <v/>
      </c>
      <c r="AA1084" s="29" t="str">
        <f>IF(AND(LEFT($B1084,7)="SBA 26/",$C1084&lt;&gt;"",$F1084&lt;&gt;""),COUNTIFS($C$2:$C1084,$C1084,$B$2:$B1084,"SBA 26/*",$F$2:$F1084,"&lt;&gt;"),"")</f>
        <v/>
      </c>
      <c r="AB1084" s="29" t="str">
        <f>IF(AA1084=1,COUNTIF($AA$2:AA1084,1),"")</f>
        <v/>
      </c>
    </row>
    <row r="1085" spans="6:28" ht="31.5" customHeight="1" x14ac:dyDescent="0.2">
      <c r="F1085" s="45" t="s">
        <v>3647</v>
      </c>
      <c r="T1085" s="41"/>
      <c r="U1085" s="29" t="str">
        <f>IF($C1085&lt;&gt;"",COUNTIF($C$2:C1085,C1085),"")</f>
        <v/>
      </c>
      <c r="V1085" s="29" t="str">
        <f t="shared" si="56"/>
        <v/>
      </c>
      <c r="W1085" s="29" t="str">
        <f>IF(U1085=1,COUNTIF($U$2:U1085,1),"")</f>
        <v/>
      </c>
      <c r="X1085" s="29" t="str">
        <f t="shared" si="57"/>
        <v/>
      </c>
      <c r="Y1085" s="29" t="str">
        <f>IF(AND(LEFT($B1085,7)="SBA 26/",$D1085&lt;&gt;"",$F1085&lt;&gt;""),COUNTIFS($D$2:$D1085,$D1085,$B$2:$B1085,"SBA 26/*",$F$2:$F1085,"&lt;&gt;"),"")</f>
        <v/>
      </c>
      <c r="Z1085" s="29" t="str">
        <f>IF(Y1085=1,COUNTIF($Y$2:Y1085,1),"")</f>
        <v/>
      </c>
      <c r="AA1085" s="29" t="str">
        <f>IF(AND(LEFT($B1085,7)="SBA 26/",$C1085&lt;&gt;"",$F1085&lt;&gt;""),COUNTIFS($C$2:$C1085,$C1085,$B$2:$B1085,"SBA 26/*",$F$2:$F1085,"&lt;&gt;"),"")</f>
        <v/>
      </c>
      <c r="AB1085" s="29" t="str">
        <f>IF(AA1085=1,COUNTIF($AA$2:AA1085,1),"")</f>
        <v/>
      </c>
    </row>
    <row r="1086" spans="6:28" ht="31.5" customHeight="1" x14ac:dyDescent="0.2">
      <c r="F1086" s="45" t="s">
        <v>3648</v>
      </c>
      <c r="T1086" s="41"/>
      <c r="U1086" s="29" t="str">
        <f>IF($C1086&lt;&gt;"",COUNTIF($C$2:C1086,C1086),"")</f>
        <v/>
      </c>
      <c r="V1086" s="29" t="str">
        <f t="shared" si="56"/>
        <v/>
      </c>
      <c r="W1086" s="29" t="str">
        <f>IF(U1086=1,COUNTIF($U$2:U1086,1),"")</f>
        <v/>
      </c>
      <c r="X1086" s="29" t="str">
        <f t="shared" si="57"/>
        <v/>
      </c>
      <c r="Y1086" s="29" t="str">
        <f>IF(AND(LEFT($B1086,7)="SBA 26/",$D1086&lt;&gt;"",$F1086&lt;&gt;""),COUNTIFS($D$2:$D1086,$D1086,$B$2:$B1086,"SBA 26/*",$F$2:$F1086,"&lt;&gt;"),"")</f>
        <v/>
      </c>
      <c r="Z1086" s="29" t="str">
        <f>IF(Y1086=1,COUNTIF($Y$2:Y1086,1),"")</f>
        <v/>
      </c>
      <c r="AA1086" s="29" t="str">
        <f>IF(AND(LEFT($B1086,7)="SBA 26/",$C1086&lt;&gt;"",$F1086&lt;&gt;""),COUNTIFS($C$2:$C1086,$C1086,$B$2:$B1086,"SBA 26/*",$F$2:$F1086,"&lt;&gt;"),"")</f>
        <v/>
      </c>
      <c r="AB1086" s="29" t="str">
        <f>IF(AA1086=1,COUNTIF($AA$2:AA1086,1),"")</f>
        <v/>
      </c>
    </row>
    <row r="1087" spans="6:28" ht="31.5" customHeight="1" x14ac:dyDescent="0.2">
      <c r="F1087" s="45" t="s">
        <v>3649</v>
      </c>
      <c r="T1087" s="41"/>
      <c r="U1087" s="29" t="str">
        <f>IF($C1087&lt;&gt;"",COUNTIF($C$2:C1087,C1087),"")</f>
        <v/>
      </c>
      <c r="V1087" s="29" t="str">
        <f t="shared" si="56"/>
        <v/>
      </c>
      <c r="W1087" s="29" t="str">
        <f>IF(U1087=1,COUNTIF($U$2:U1087,1),"")</f>
        <v/>
      </c>
      <c r="X1087" s="29" t="str">
        <f t="shared" si="57"/>
        <v/>
      </c>
      <c r="Y1087" s="29" t="str">
        <f>IF(AND(LEFT($B1087,7)="SBA 26/",$D1087&lt;&gt;"",$F1087&lt;&gt;""),COUNTIFS($D$2:$D1087,$D1087,$B$2:$B1087,"SBA 26/*",$F$2:$F1087,"&lt;&gt;"),"")</f>
        <v/>
      </c>
      <c r="Z1087" s="29" t="str">
        <f>IF(Y1087=1,COUNTIF($Y$2:Y1087,1),"")</f>
        <v/>
      </c>
      <c r="AA1087" s="29" t="str">
        <f>IF(AND(LEFT($B1087,7)="SBA 26/",$C1087&lt;&gt;"",$F1087&lt;&gt;""),COUNTIFS($C$2:$C1087,$C1087,$B$2:$B1087,"SBA 26/*",$F$2:$F1087,"&lt;&gt;"),"")</f>
        <v/>
      </c>
      <c r="AB1087" s="29" t="str">
        <f>IF(AA1087=1,COUNTIF($AA$2:AA1087,1),"")</f>
        <v/>
      </c>
    </row>
    <row r="1088" spans="6:28" ht="47.25" customHeight="1" x14ac:dyDescent="0.2">
      <c r="F1088" s="45" t="s">
        <v>3650</v>
      </c>
      <c r="T1088" s="41"/>
      <c r="U1088" s="29" t="str">
        <f>IF($C1088&lt;&gt;"",COUNTIF($C$2:C1088,C1088),"")</f>
        <v/>
      </c>
      <c r="V1088" s="29" t="str">
        <f t="shared" si="56"/>
        <v/>
      </c>
      <c r="W1088" s="29" t="str">
        <f>IF(U1088=1,COUNTIF($U$2:U1088,1),"")</f>
        <v/>
      </c>
      <c r="X1088" s="29" t="str">
        <f t="shared" si="57"/>
        <v/>
      </c>
      <c r="Y1088" s="29" t="str">
        <f>IF(AND(LEFT($B1088,7)="SBA 26/",$D1088&lt;&gt;"",$F1088&lt;&gt;""),COUNTIFS($D$2:$D1088,$D1088,$B$2:$B1088,"SBA 26/*",$F$2:$F1088,"&lt;&gt;"),"")</f>
        <v/>
      </c>
      <c r="Z1088" s="29" t="str">
        <f>IF(Y1088=1,COUNTIF($Y$2:Y1088,1),"")</f>
        <v/>
      </c>
      <c r="AA1088" s="29" t="str">
        <f>IF(AND(LEFT($B1088,7)="SBA 26/",$C1088&lt;&gt;"",$F1088&lt;&gt;""),COUNTIFS($C$2:$C1088,$C1088,$B$2:$B1088,"SBA 26/*",$F$2:$F1088,"&lt;&gt;"),"")</f>
        <v/>
      </c>
      <c r="AB1088" s="29" t="str">
        <f>IF(AA1088=1,COUNTIF($AA$2:AA1088,1),"")</f>
        <v/>
      </c>
    </row>
    <row r="1089" spans="6:28" ht="47.25" customHeight="1" x14ac:dyDescent="0.2">
      <c r="F1089" s="45" t="s">
        <v>3651</v>
      </c>
      <c r="T1089" s="41"/>
      <c r="U1089" s="29" t="str">
        <f>IF($C1089&lt;&gt;"",COUNTIF($C$2:C1089,C1089),"")</f>
        <v/>
      </c>
      <c r="V1089" s="29" t="str">
        <f t="shared" si="56"/>
        <v/>
      </c>
      <c r="W1089" s="29" t="str">
        <f>IF(U1089=1,COUNTIF($U$2:U1089,1),"")</f>
        <v/>
      </c>
      <c r="X1089" s="29" t="str">
        <f t="shared" si="57"/>
        <v/>
      </c>
      <c r="Y1089" s="29" t="str">
        <f>IF(AND(LEFT($B1089,7)="SBA 26/",$D1089&lt;&gt;"",$F1089&lt;&gt;""),COUNTIFS($D$2:$D1089,$D1089,$B$2:$B1089,"SBA 26/*",$F$2:$F1089,"&lt;&gt;"),"")</f>
        <v/>
      </c>
      <c r="Z1089" s="29" t="str">
        <f>IF(Y1089=1,COUNTIF($Y$2:Y1089,1),"")</f>
        <v/>
      </c>
      <c r="AA1089" s="29" t="str">
        <f>IF(AND(LEFT($B1089,7)="SBA 26/",$C1089&lt;&gt;"",$F1089&lt;&gt;""),COUNTIFS($C$2:$C1089,$C1089,$B$2:$B1089,"SBA 26/*",$F$2:$F1089,"&lt;&gt;"),"")</f>
        <v/>
      </c>
      <c r="AB1089" s="29" t="str">
        <f>IF(AA1089=1,COUNTIF($AA$2:AA1089,1),"")</f>
        <v/>
      </c>
    </row>
    <row r="1090" spans="6:28" ht="31.5" customHeight="1" x14ac:dyDescent="0.2">
      <c r="F1090" s="45" t="s">
        <v>3652</v>
      </c>
      <c r="T1090" s="41"/>
      <c r="U1090" s="29" t="str">
        <f>IF($C1090&lt;&gt;"",COUNTIF($C$2:C1090,C1090),"")</f>
        <v/>
      </c>
      <c r="V1090" s="29" t="str">
        <f t="shared" ref="V1090:V1153" si="58">IF($C1090&lt;&gt;"",C1090&amp;"§"&amp;U1090,"")</f>
        <v/>
      </c>
      <c r="W1090" s="29" t="str">
        <f>IF(U1090=1,COUNTIF($U$2:U1090,1),"")</f>
        <v/>
      </c>
      <c r="X1090" s="29" t="str">
        <f t="shared" ref="X1090:X1153" si="59">IF(U1090=1,SUMPRODUCT(($U$2:$U$1799=1)*($C$2:$C$1799&lt;C1090))+1,"")</f>
        <v/>
      </c>
      <c r="Y1090" s="29" t="str">
        <f>IF(AND(LEFT($B1090,7)="SBA 26/",$D1090&lt;&gt;"",$F1090&lt;&gt;""),COUNTIFS($D$2:$D1090,$D1090,$B$2:$B1090,"SBA 26/*",$F$2:$F1090,"&lt;&gt;"),"")</f>
        <v/>
      </c>
      <c r="Z1090" s="29" t="str">
        <f>IF(Y1090=1,COUNTIF($Y$2:Y1090,1),"")</f>
        <v/>
      </c>
      <c r="AA1090" s="29" t="str">
        <f>IF(AND(LEFT($B1090,7)="SBA 26/",$C1090&lt;&gt;"",$F1090&lt;&gt;""),COUNTIFS($C$2:$C1090,$C1090,$B$2:$B1090,"SBA 26/*",$F$2:$F1090,"&lt;&gt;"),"")</f>
        <v/>
      </c>
      <c r="AB1090" s="29" t="str">
        <f>IF(AA1090=1,COUNTIF($AA$2:AA1090,1),"")</f>
        <v/>
      </c>
    </row>
    <row r="1091" spans="6:28" ht="31.5" customHeight="1" x14ac:dyDescent="0.2">
      <c r="F1091" s="45" t="s">
        <v>3653</v>
      </c>
      <c r="T1091" s="41"/>
      <c r="U1091" s="29" t="str">
        <f>IF($C1091&lt;&gt;"",COUNTIF($C$2:C1091,C1091),"")</f>
        <v/>
      </c>
      <c r="V1091" s="29" t="str">
        <f t="shared" si="58"/>
        <v/>
      </c>
      <c r="W1091" s="29" t="str">
        <f>IF(U1091=1,COUNTIF($U$2:U1091,1),"")</f>
        <v/>
      </c>
      <c r="X1091" s="29" t="str">
        <f t="shared" si="59"/>
        <v/>
      </c>
      <c r="Y1091" s="29" t="str">
        <f>IF(AND(LEFT($B1091,7)="SBA 26/",$D1091&lt;&gt;"",$F1091&lt;&gt;""),COUNTIFS($D$2:$D1091,$D1091,$B$2:$B1091,"SBA 26/*",$F$2:$F1091,"&lt;&gt;"),"")</f>
        <v/>
      </c>
      <c r="Z1091" s="29" t="str">
        <f>IF(Y1091=1,COUNTIF($Y$2:Y1091,1),"")</f>
        <v/>
      </c>
      <c r="AA1091" s="29" t="str">
        <f>IF(AND(LEFT($B1091,7)="SBA 26/",$C1091&lt;&gt;"",$F1091&lt;&gt;""),COUNTIFS($C$2:$C1091,$C1091,$B$2:$B1091,"SBA 26/*",$F$2:$F1091,"&lt;&gt;"),"")</f>
        <v/>
      </c>
      <c r="AB1091" s="29" t="str">
        <f>IF(AA1091=1,COUNTIF($AA$2:AA1091,1),"")</f>
        <v/>
      </c>
    </row>
    <row r="1092" spans="6:28" ht="30.75" customHeight="1" x14ac:dyDescent="0.2">
      <c r="F1092" s="45" t="s">
        <v>3654</v>
      </c>
      <c r="T1092" s="41"/>
      <c r="U1092" s="29" t="str">
        <f>IF($C1092&lt;&gt;"",COUNTIF($C$2:C1092,C1092),"")</f>
        <v/>
      </c>
      <c r="V1092" s="29" t="str">
        <f t="shared" si="58"/>
        <v/>
      </c>
      <c r="W1092" s="29" t="str">
        <f>IF(U1092=1,COUNTIF($U$2:U1092,1),"")</f>
        <v/>
      </c>
      <c r="X1092" s="29" t="str">
        <f t="shared" si="59"/>
        <v/>
      </c>
      <c r="Y1092" s="29" t="str">
        <f>IF(AND(LEFT($B1092,7)="SBA 26/",$D1092&lt;&gt;"",$F1092&lt;&gt;""),COUNTIFS($D$2:$D1092,$D1092,$B$2:$B1092,"SBA 26/*",$F$2:$F1092,"&lt;&gt;"),"")</f>
        <v/>
      </c>
      <c r="Z1092" s="29" t="str">
        <f>IF(Y1092=1,COUNTIF($Y$2:Y1092,1),"")</f>
        <v/>
      </c>
      <c r="AA1092" s="29" t="str">
        <f>IF(AND(LEFT($B1092,7)="SBA 26/",$C1092&lt;&gt;"",$F1092&lt;&gt;""),COUNTIFS($C$2:$C1092,$C1092,$B$2:$B1092,"SBA 26/*",$F$2:$F1092,"&lt;&gt;"),"")</f>
        <v/>
      </c>
      <c r="AB1092" s="29" t="str">
        <f>IF(AA1092=1,COUNTIF($AA$2:AA1092,1),"")</f>
        <v/>
      </c>
    </row>
    <row r="1093" spans="6:28" ht="31.5" customHeight="1" x14ac:dyDescent="0.2">
      <c r="F1093" s="45" t="s">
        <v>3655</v>
      </c>
      <c r="T1093" s="41"/>
      <c r="U1093" s="29" t="str">
        <f>IF($C1093&lt;&gt;"",COUNTIF($C$2:C1093,C1093),"")</f>
        <v/>
      </c>
      <c r="V1093" s="29" t="str">
        <f t="shared" si="58"/>
        <v/>
      </c>
      <c r="W1093" s="29" t="str">
        <f>IF(U1093=1,COUNTIF($U$2:U1093,1),"")</f>
        <v/>
      </c>
      <c r="X1093" s="29" t="str">
        <f t="shared" si="59"/>
        <v/>
      </c>
      <c r="Y1093" s="29" t="str">
        <f>IF(AND(LEFT($B1093,7)="SBA 26/",$D1093&lt;&gt;"",$F1093&lt;&gt;""),COUNTIFS($D$2:$D1093,$D1093,$B$2:$B1093,"SBA 26/*",$F$2:$F1093,"&lt;&gt;"),"")</f>
        <v/>
      </c>
      <c r="Z1093" s="29" t="str">
        <f>IF(Y1093=1,COUNTIF($Y$2:Y1093,1),"")</f>
        <v/>
      </c>
      <c r="AA1093" s="29" t="str">
        <f>IF(AND(LEFT($B1093,7)="SBA 26/",$C1093&lt;&gt;"",$F1093&lt;&gt;""),COUNTIFS($C$2:$C1093,$C1093,$B$2:$B1093,"SBA 26/*",$F$2:$F1093,"&lt;&gt;"),"")</f>
        <v/>
      </c>
      <c r="AB1093" s="29" t="str">
        <f>IF(AA1093=1,COUNTIF($AA$2:AA1093,1),"")</f>
        <v/>
      </c>
    </row>
    <row r="1094" spans="6:28" ht="31.5" customHeight="1" x14ac:dyDescent="0.2">
      <c r="F1094" s="45" t="s">
        <v>3656</v>
      </c>
      <c r="T1094" s="41"/>
      <c r="U1094" s="29" t="str">
        <f>IF($C1094&lt;&gt;"",COUNTIF($C$2:C1094,C1094),"")</f>
        <v/>
      </c>
      <c r="V1094" s="29" t="str">
        <f t="shared" si="58"/>
        <v/>
      </c>
      <c r="W1094" s="29" t="str">
        <f>IF(U1094=1,COUNTIF($U$2:U1094,1),"")</f>
        <v/>
      </c>
      <c r="X1094" s="29" t="str">
        <f t="shared" si="59"/>
        <v/>
      </c>
      <c r="Y1094" s="29" t="str">
        <f>IF(AND(LEFT($B1094,7)="SBA 26/",$D1094&lt;&gt;"",$F1094&lt;&gt;""),COUNTIFS($D$2:$D1094,$D1094,$B$2:$B1094,"SBA 26/*",$F$2:$F1094,"&lt;&gt;"),"")</f>
        <v/>
      </c>
      <c r="Z1094" s="29" t="str">
        <f>IF(Y1094=1,COUNTIF($Y$2:Y1094,1),"")</f>
        <v/>
      </c>
      <c r="AA1094" s="29" t="str">
        <f>IF(AND(LEFT($B1094,7)="SBA 26/",$C1094&lt;&gt;"",$F1094&lt;&gt;""),COUNTIFS($C$2:$C1094,$C1094,$B$2:$B1094,"SBA 26/*",$F$2:$F1094,"&lt;&gt;"),"")</f>
        <v/>
      </c>
      <c r="AB1094" s="29" t="str">
        <f>IF(AA1094=1,COUNTIF($AA$2:AA1094,1),"")</f>
        <v/>
      </c>
    </row>
    <row r="1095" spans="6:28" ht="31.5" customHeight="1" x14ac:dyDescent="0.2">
      <c r="F1095" s="45" t="s">
        <v>3657</v>
      </c>
      <c r="T1095" s="41"/>
      <c r="U1095" s="29" t="str">
        <f>IF($C1095&lt;&gt;"",COUNTIF($C$2:C1095,C1095),"")</f>
        <v/>
      </c>
      <c r="V1095" s="29" t="str">
        <f t="shared" si="58"/>
        <v/>
      </c>
      <c r="W1095" s="29" t="str">
        <f>IF(U1095=1,COUNTIF($U$2:U1095,1),"")</f>
        <v/>
      </c>
      <c r="X1095" s="29" t="str">
        <f t="shared" si="59"/>
        <v/>
      </c>
      <c r="Y1095" s="29" t="str">
        <f>IF(AND(LEFT($B1095,7)="SBA 26/",$D1095&lt;&gt;"",$F1095&lt;&gt;""),COUNTIFS($D$2:$D1095,$D1095,$B$2:$B1095,"SBA 26/*",$F$2:$F1095,"&lt;&gt;"),"")</f>
        <v/>
      </c>
      <c r="Z1095" s="29" t="str">
        <f>IF(Y1095=1,COUNTIF($Y$2:Y1095,1),"")</f>
        <v/>
      </c>
      <c r="AA1095" s="29" t="str">
        <f>IF(AND(LEFT($B1095,7)="SBA 26/",$C1095&lt;&gt;"",$F1095&lt;&gt;""),COUNTIFS($C$2:$C1095,$C1095,$B$2:$B1095,"SBA 26/*",$F$2:$F1095,"&lt;&gt;"),"")</f>
        <v/>
      </c>
      <c r="AB1095" s="29" t="str">
        <f>IF(AA1095=1,COUNTIF($AA$2:AA1095,1),"")</f>
        <v/>
      </c>
    </row>
    <row r="1096" spans="6:28" ht="63" customHeight="1" x14ac:dyDescent="0.2">
      <c r="F1096" s="45" t="s">
        <v>3658</v>
      </c>
      <c r="T1096" s="41"/>
      <c r="U1096" s="29" t="str">
        <f>IF($C1096&lt;&gt;"",COUNTIF($C$2:C1096,C1096),"")</f>
        <v/>
      </c>
      <c r="V1096" s="29" t="str">
        <f t="shared" si="58"/>
        <v/>
      </c>
      <c r="W1096" s="29" t="str">
        <f>IF(U1096=1,COUNTIF($U$2:U1096,1),"")</f>
        <v/>
      </c>
      <c r="X1096" s="29" t="str">
        <f t="shared" si="59"/>
        <v/>
      </c>
      <c r="Y1096" s="29" t="str">
        <f>IF(AND(LEFT($B1096,7)="SBA 26/",$D1096&lt;&gt;"",$F1096&lt;&gt;""),COUNTIFS($D$2:$D1096,$D1096,$B$2:$B1096,"SBA 26/*",$F$2:$F1096,"&lt;&gt;"),"")</f>
        <v/>
      </c>
      <c r="Z1096" s="29" t="str">
        <f>IF(Y1096=1,COUNTIF($Y$2:Y1096,1),"")</f>
        <v/>
      </c>
      <c r="AA1096" s="29" t="str">
        <f>IF(AND(LEFT($B1096,7)="SBA 26/",$C1096&lt;&gt;"",$F1096&lt;&gt;""),COUNTIFS($C$2:$C1096,$C1096,$B$2:$B1096,"SBA 26/*",$F$2:$F1096,"&lt;&gt;"),"")</f>
        <v/>
      </c>
      <c r="AB1096" s="29" t="str">
        <f>IF(AA1096=1,COUNTIF($AA$2:AA1096,1),"")</f>
        <v/>
      </c>
    </row>
    <row r="1097" spans="6:28" ht="47.25" customHeight="1" x14ac:dyDescent="0.2">
      <c r="F1097" s="45" t="s">
        <v>3659</v>
      </c>
      <c r="T1097" s="41"/>
      <c r="U1097" s="29" t="str">
        <f>IF($C1097&lt;&gt;"",COUNTIF($C$2:C1097,C1097),"")</f>
        <v/>
      </c>
      <c r="V1097" s="29" t="str">
        <f t="shared" si="58"/>
        <v/>
      </c>
      <c r="W1097" s="29" t="str">
        <f>IF(U1097=1,COUNTIF($U$2:U1097,1),"")</f>
        <v/>
      </c>
      <c r="X1097" s="29" t="str">
        <f t="shared" si="59"/>
        <v/>
      </c>
      <c r="Y1097" s="29" t="str">
        <f>IF(AND(LEFT($B1097,7)="SBA 26/",$D1097&lt;&gt;"",$F1097&lt;&gt;""),COUNTIFS($D$2:$D1097,$D1097,$B$2:$B1097,"SBA 26/*",$F$2:$F1097,"&lt;&gt;"),"")</f>
        <v/>
      </c>
      <c r="Z1097" s="29" t="str">
        <f>IF(Y1097=1,COUNTIF($Y$2:Y1097,1),"")</f>
        <v/>
      </c>
      <c r="AA1097" s="29" t="str">
        <f>IF(AND(LEFT($B1097,7)="SBA 26/",$C1097&lt;&gt;"",$F1097&lt;&gt;""),COUNTIFS($C$2:$C1097,$C1097,$B$2:$B1097,"SBA 26/*",$F$2:$F1097,"&lt;&gt;"),"")</f>
        <v/>
      </c>
      <c r="AB1097" s="29" t="str">
        <f>IF(AA1097=1,COUNTIF($AA$2:AA1097,1),"")</f>
        <v/>
      </c>
    </row>
    <row r="1098" spans="6:28" ht="47.25" customHeight="1" x14ac:dyDescent="0.2">
      <c r="F1098" s="45" t="s">
        <v>3660</v>
      </c>
      <c r="T1098" s="41"/>
      <c r="U1098" s="29" t="str">
        <f>IF($C1098&lt;&gt;"",COUNTIF($C$2:C1098,C1098),"")</f>
        <v/>
      </c>
      <c r="V1098" s="29" t="str">
        <f t="shared" si="58"/>
        <v/>
      </c>
      <c r="W1098" s="29" t="str">
        <f>IF(U1098=1,COUNTIF($U$2:U1098,1),"")</f>
        <v/>
      </c>
      <c r="X1098" s="29" t="str">
        <f t="shared" si="59"/>
        <v/>
      </c>
      <c r="Y1098" s="29" t="str">
        <f>IF(AND(LEFT($B1098,7)="SBA 26/",$D1098&lt;&gt;"",$F1098&lt;&gt;""),COUNTIFS($D$2:$D1098,$D1098,$B$2:$B1098,"SBA 26/*",$F$2:$F1098,"&lt;&gt;"),"")</f>
        <v/>
      </c>
      <c r="Z1098" s="29" t="str">
        <f>IF(Y1098=1,COUNTIF($Y$2:Y1098,1),"")</f>
        <v/>
      </c>
      <c r="AA1098" s="29" t="str">
        <f>IF(AND(LEFT($B1098,7)="SBA 26/",$C1098&lt;&gt;"",$F1098&lt;&gt;""),COUNTIFS($C$2:$C1098,$C1098,$B$2:$B1098,"SBA 26/*",$F$2:$F1098,"&lt;&gt;"),"")</f>
        <v/>
      </c>
      <c r="AB1098" s="29" t="str">
        <f>IF(AA1098=1,COUNTIF($AA$2:AA1098,1),"")</f>
        <v/>
      </c>
    </row>
    <row r="1099" spans="6:28" ht="31.5" customHeight="1" x14ac:dyDescent="0.2">
      <c r="F1099" s="45" t="s">
        <v>3661</v>
      </c>
      <c r="T1099" s="41"/>
      <c r="U1099" s="29" t="str">
        <f>IF($C1099&lt;&gt;"",COUNTIF($C$2:C1099,C1099),"")</f>
        <v/>
      </c>
      <c r="V1099" s="29" t="str">
        <f t="shared" si="58"/>
        <v/>
      </c>
      <c r="W1099" s="29" t="str">
        <f>IF(U1099=1,COUNTIF($U$2:U1099,1),"")</f>
        <v/>
      </c>
      <c r="X1099" s="29" t="str">
        <f t="shared" si="59"/>
        <v/>
      </c>
      <c r="Y1099" s="29" t="str">
        <f>IF(AND(LEFT($B1099,7)="SBA 26/",$D1099&lt;&gt;"",$F1099&lt;&gt;""),COUNTIFS($D$2:$D1099,$D1099,$B$2:$B1099,"SBA 26/*",$F$2:$F1099,"&lt;&gt;"),"")</f>
        <v/>
      </c>
      <c r="Z1099" s="29" t="str">
        <f>IF(Y1099=1,COUNTIF($Y$2:Y1099,1),"")</f>
        <v/>
      </c>
      <c r="AA1099" s="29" t="str">
        <f>IF(AND(LEFT($B1099,7)="SBA 26/",$C1099&lt;&gt;"",$F1099&lt;&gt;""),COUNTIFS($C$2:$C1099,$C1099,$B$2:$B1099,"SBA 26/*",$F$2:$F1099,"&lt;&gt;"),"")</f>
        <v/>
      </c>
      <c r="AB1099" s="29" t="str">
        <f>IF(AA1099=1,COUNTIF($AA$2:AA1099,1),"")</f>
        <v/>
      </c>
    </row>
    <row r="1100" spans="6:28" ht="31.5" customHeight="1" x14ac:dyDescent="0.2">
      <c r="F1100" s="45" t="s">
        <v>3662</v>
      </c>
      <c r="T1100" s="41"/>
      <c r="U1100" s="29" t="str">
        <f>IF($C1100&lt;&gt;"",COUNTIF($C$2:C1100,C1100),"")</f>
        <v/>
      </c>
      <c r="V1100" s="29" t="str">
        <f t="shared" si="58"/>
        <v/>
      </c>
      <c r="W1100" s="29" t="str">
        <f>IF(U1100=1,COUNTIF($U$2:U1100,1),"")</f>
        <v/>
      </c>
      <c r="X1100" s="29" t="str">
        <f t="shared" si="59"/>
        <v/>
      </c>
      <c r="Y1100" s="29" t="str">
        <f>IF(AND(LEFT($B1100,7)="SBA 26/",$D1100&lt;&gt;"",$F1100&lt;&gt;""),COUNTIFS($D$2:$D1100,$D1100,$B$2:$B1100,"SBA 26/*",$F$2:$F1100,"&lt;&gt;"),"")</f>
        <v/>
      </c>
      <c r="Z1100" s="29" t="str">
        <f>IF(Y1100=1,COUNTIF($Y$2:Y1100,1),"")</f>
        <v/>
      </c>
      <c r="AA1100" s="29" t="str">
        <f>IF(AND(LEFT($B1100,7)="SBA 26/",$C1100&lt;&gt;"",$F1100&lt;&gt;""),COUNTIFS($C$2:$C1100,$C1100,$B$2:$B1100,"SBA 26/*",$F$2:$F1100,"&lt;&gt;"),"")</f>
        <v/>
      </c>
      <c r="AB1100" s="29" t="str">
        <f>IF(AA1100=1,COUNTIF($AA$2:AA1100,1),"")</f>
        <v/>
      </c>
    </row>
    <row r="1101" spans="6:28" ht="31.5" customHeight="1" x14ac:dyDescent="0.2">
      <c r="F1101" s="45" t="s">
        <v>3663</v>
      </c>
      <c r="T1101" s="41"/>
      <c r="U1101" s="29" t="str">
        <f>IF($C1101&lt;&gt;"",COUNTIF($C$2:C1101,C1101),"")</f>
        <v/>
      </c>
      <c r="V1101" s="29" t="str">
        <f t="shared" si="58"/>
        <v/>
      </c>
      <c r="W1101" s="29" t="str">
        <f>IF(U1101=1,COUNTIF($U$2:U1101,1),"")</f>
        <v/>
      </c>
      <c r="X1101" s="29" t="str">
        <f t="shared" si="59"/>
        <v/>
      </c>
      <c r="Y1101" s="29" t="str">
        <f>IF(AND(LEFT($B1101,7)="SBA 26/",$D1101&lt;&gt;"",$F1101&lt;&gt;""),COUNTIFS($D$2:$D1101,$D1101,$B$2:$B1101,"SBA 26/*",$F$2:$F1101,"&lt;&gt;"),"")</f>
        <v/>
      </c>
      <c r="Z1101" s="29" t="str">
        <f>IF(Y1101=1,COUNTIF($Y$2:Y1101,1),"")</f>
        <v/>
      </c>
      <c r="AA1101" s="29" t="str">
        <f>IF(AND(LEFT($B1101,7)="SBA 26/",$C1101&lt;&gt;"",$F1101&lt;&gt;""),COUNTIFS($C$2:$C1101,$C1101,$B$2:$B1101,"SBA 26/*",$F$2:$F1101,"&lt;&gt;"),"")</f>
        <v/>
      </c>
      <c r="AB1101" s="29" t="str">
        <f>IF(AA1101=1,COUNTIF($AA$2:AA1101,1),"")</f>
        <v/>
      </c>
    </row>
    <row r="1102" spans="6:28" ht="47.25" customHeight="1" x14ac:dyDescent="0.2">
      <c r="F1102" s="45" t="s">
        <v>3664</v>
      </c>
      <c r="T1102" s="41"/>
      <c r="U1102" s="29" t="str">
        <f>IF($C1102&lt;&gt;"",COUNTIF($C$2:C1102,C1102),"")</f>
        <v/>
      </c>
      <c r="V1102" s="29" t="str">
        <f t="shared" si="58"/>
        <v/>
      </c>
      <c r="W1102" s="29" t="str">
        <f>IF(U1102=1,COUNTIF($U$2:U1102,1),"")</f>
        <v/>
      </c>
      <c r="X1102" s="29" t="str">
        <f t="shared" si="59"/>
        <v/>
      </c>
      <c r="Y1102" s="29" t="str">
        <f>IF(AND(LEFT($B1102,7)="SBA 26/",$D1102&lt;&gt;"",$F1102&lt;&gt;""),COUNTIFS($D$2:$D1102,$D1102,$B$2:$B1102,"SBA 26/*",$F$2:$F1102,"&lt;&gt;"),"")</f>
        <v/>
      </c>
      <c r="Z1102" s="29" t="str">
        <f>IF(Y1102=1,COUNTIF($Y$2:Y1102,1),"")</f>
        <v/>
      </c>
      <c r="AA1102" s="29" t="str">
        <f>IF(AND(LEFT($B1102,7)="SBA 26/",$C1102&lt;&gt;"",$F1102&lt;&gt;""),COUNTIFS($C$2:$C1102,$C1102,$B$2:$B1102,"SBA 26/*",$F$2:$F1102,"&lt;&gt;"),"")</f>
        <v/>
      </c>
      <c r="AB1102" s="29" t="str">
        <f>IF(AA1102=1,COUNTIF($AA$2:AA1102,1),"")</f>
        <v/>
      </c>
    </row>
    <row r="1103" spans="6:28" ht="47.25" customHeight="1" x14ac:dyDescent="0.2">
      <c r="F1103" s="45" t="s">
        <v>3665</v>
      </c>
      <c r="T1103" s="41"/>
      <c r="U1103" s="29" t="str">
        <f>IF($C1103&lt;&gt;"",COUNTIF($C$2:C1103,C1103),"")</f>
        <v/>
      </c>
      <c r="V1103" s="29" t="str">
        <f t="shared" si="58"/>
        <v/>
      </c>
      <c r="W1103" s="29" t="str">
        <f>IF(U1103=1,COUNTIF($U$2:U1103,1),"")</f>
        <v/>
      </c>
      <c r="X1103" s="29" t="str">
        <f t="shared" si="59"/>
        <v/>
      </c>
      <c r="Y1103" s="29" t="str">
        <f>IF(AND(LEFT($B1103,7)="SBA 26/",$D1103&lt;&gt;"",$F1103&lt;&gt;""),COUNTIFS($D$2:$D1103,$D1103,$B$2:$B1103,"SBA 26/*",$F$2:$F1103,"&lt;&gt;"),"")</f>
        <v/>
      </c>
      <c r="Z1103" s="29" t="str">
        <f>IF(Y1103=1,COUNTIF($Y$2:Y1103,1),"")</f>
        <v/>
      </c>
      <c r="AA1103" s="29" t="str">
        <f>IF(AND(LEFT($B1103,7)="SBA 26/",$C1103&lt;&gt;"",$F1103&lt;&gt;""),COUNTIFS($C$2:$C1103,$C1103,$B$2:$B1103,"SBA 26/*",$F$2:$F1103,"&lt;&gt;"),"")</f>
        <v/>
      </c>
      <c r="AB1103" s="29" t="str">
        <f>IF(AA1103=1,COUNTIF($AA$2:AA1103,1),"")</f>
        <v/>
      </c>
    </row>
    <row r="1104" spans="6:28" ht="31.5" customHeight="1" x14ac:dyDescent="0.2">
      <c r="F1104" s="45" t="s">
        <v>3666</v>
      </c>
      <c r="T1104" s="41"/>
      <c r="U1104" s="29" t="str">
        <f>IF($C1104&lt;&gt;"",COUNTIF($C$2:C1104,C1104),"")</f>
        <v/>
      </c>
      <c r="V1104" s="29" t="str">
        <f t="shared" si="58"/>
        <v/>
      </c>
      <c r="W1104" s="29" t="str">
        <f>IF(U1104=1,COUNTIF($U$2:U1104,1),"")</f>
        <v/>
      </c>
      <c r="X1104" s="29" t="str">
        <f t="shared" si="59"/>
        <v/>
      </c>
      <c r="Y1104" s="29" t="str">
        <f>IF(AND(LEFT($B1104,7)="SBA 26/",$D1104&lt;&gt;"",$F1104&lt;&gt;""),COUNTIFS($D$2:$D1104,$D1104,$B$2:$B1104,"SBA 26/*",$F$2:$F1104,"&lt;&gt;"),"")</f>
        <v/>
      </c>
      <c r="Z1104" s="29" t="str">
        <f>IF(Y1104=1,COUNTIF($Y$2:Y1104,1),"")</f>
        <v/>
      </c>
      <c r="AA1104" s="29" t="str">
        <f>IF(AND(LEFT($B1104,7)="SBA 26/",$C1104&lt;&gt;"",$F1104&lt;&gt;""),COUNTIFS($C$2:$C1104,$C1104,$B$2:$B1104,"SBA 26/*",$F$2:$F1104,"&lt;&gt;"),"")</f>
        <v/>
      </c>
      <c r="AB1104" s="29" t="str">
        <f>IF(AA1104=1,COUNTIF($AA$2:AA1104,1),"")</f>
        <v/>
      </c>
    </row>
    <row r="1105" spans="6:28" ht="47.25" customHeight="1" x14ac:dyDescent="0.2">
      <c r="F1105" s="45" t="s">
        <v>3667</v>
      </c>
      <c r="T1105" s="41"/>
      <c r="U1105" s="29" t="str">
        <f>IF($C1105&lt;&gt;"",COUNTIF($C$2:C1105,C1105),"")</f>
        <v/>
      </c>
      <c r="V1105" s="29" t="str">
        <f t="shared" si="58"/>
        <v/>
      </c>
      <c r="W1105" s="29" t="str">
        <f>IF(U1105=1,COUNTIF($U$2:U1105,1),"")</f>
        <v/>
      </c>
      <c r="X1105" s="29" t="str">
        <f t="shared" si="59"/>
        <v/>
      </c>
      <c r="Y1105" s="29" t="str">
        <f>IF(AND(LEFT($B1105,7)="SBA 26/",$D1105&lt;&gt;"",$F1105&lt;&gt;""),COUNTIFS($D$2:$D1105,$D1105,$B$2:$B1105,"SBA 26/*",$F$2:$F1105,"&lt;&gt;"),"")</f>
        <v/>
      </c>
      <c r="Z1105" s="29" t="str">
        <f>IF(Y1105=1,COUNTIF($Y$2:Y1105,1),"")</f>
        <v/>
      </c>
      <c r="AA1105" s="29" t="str">
        <f>IF(AND(LEFT($B1105,7)="SBA 26/",$C1105&lt;&gt;"",$F1105&lt;&gt;""),COUNTIFS($C$2:$C1105,$C1105,$B$2:$B1105,"SBA 26/*",$F$2:$F1105,"&lt;&gt;"),"")</f>
        <v/>
      </c>
      <c r="AB1105" s="29" t="str">
        <f>IF(AA1105=1,COUNTIF($AA$2:AA1105,1),"")</f>
        <v/>
      </c>
    </row>
    <row r="1106" spans="6:28" ht="31.5" customHeight="1" x14ac:dyDescent="0.2">
      <c r="F1106" s="45" t="s">
        <v>3668</v>
      </c>
      <c r="T1106" s="41"/>
      <c r="U1106" s="29" t="str">
        <f>IF($C1106&lt;&gt;"",COUNTIF($C$2:C1106,C1106),"")</f>
        <v/>
      </c>
      <c r="V1106" s="29" t="str">
        <f t="shared" si="58"/>
        <v/>
      </c>
      <c r="W1106" s="29" t="str">
        <f>IF(U1106=1,COUNTIF($U$2:U1106,1),"")</f>
        <v/>
      </c>
      <c r="X1106" s="29" t="str">
        <f t="shared" si="59"/>
        <v/>
      </c>
      <c r="Y1106" s="29" t="str">
        <f>IF(AND(LEFT($B1106,7)="SBA 26/",$D1106&lt;&gt;"",$F1106&lt;&gt;""),COUNTIFS($D$2:$D1106,$D1106,$B$2:$B1106,"SBA 26/*",$F$2:$F1106,"&lt;&gt;"),"")</f>
        <v/>
      </c>
      <c r="Z1106" s="29" t="str">
        <f>IF(Y1106=1,COUNTIF($Y$2:Y1106,1),"")</f>
        <v/>
      </c>
      <c r="AA1106" s="29" t="str">
        <f>IF(AND(LEFT($B1106,7)="SBA 26/",$C1106&lt;&gt;"",$F1106&lt;&gt;""),COUNTIFS($C$2:$C1106,$C1106,$B$2:$B1106,"SBA 26/*",$F$2:$F1106,"&lt;&gt;"),"")</f>
        <v/>
      </c>
      <c r="AB1106" s="29" t="str">
        <f>IF(AA1106=1,COUNTIF($AA$2:AA1106,1),"")</f>
        <v/>
      </c>
    </row>
    <row r="1107" spans="6:28" ht="47.25" customHeight="1" x14ac:dyDescent="0.2">
      <c r="F1107" s="45" t="s">
        <v>3669</v>
      </c>
      <c r="T1107" s="41"/>
      <c r="U1107" s="29" t="str">
        <f>IF($C1107&lt;&gt;"",COUNTIF($C$2:C1107,C1107),"")</f>
        <v/>
      </c>
      <c r="V1107" s="29" t="str">
        <f t="shared" si="58"/>
        <v/>
      </c>
      <c r="W1107" s="29" t="str">
        <f>IF(U1107=1,COUNTIF($U$2:U1107,1),"")</f>
        <v/>
      </c>
      <c r="X1107" s="29" t="str">
        <f t="shared" si="59"/>
        <v/>
      </c>
      <c r="Y1107" s="29" t="str">
        <f>IF(AND(LEFT($B1107,7)="SBA 26/",$D1107&lt;&gt;"",$F1107&lt;&gt;""),COUNTIFS($D$2:$D1107,$D1107,$B$2:$B1107,"SBA 26/*",$F$2:$F1107,"&lt;&gt;"),"")</f>
        <v/>
      </c>
      <c r="Z1107" s="29" t="str">
        <f>IF(Y1107=1,COUNTIF($Y$2:Y1107,1),"")</f>
        <v/>
      </c>
      <c r="AA1107" s="29" t="str">
        <f>IF(AND(LEFT($B1107,7)="SBA 26/",$C1107&lt;&gt;"",$F1107&lt;&gt;""),COUNTIFS($C$2:$C1107,$C1107,$B$2:$B1107,"SBA 26/*",$F$2:$F1107,"&lt;&gt;"),"")</f>
        <v/>
      </c>
      <c r="AB1107" s="29" t="str">
        <f>IF(AA1107=1,COUNTIF($AA$2:AA1107,1),"")</f>
        <v/>
      </c>
    </row>
    <row r="1108" spans="6:28" ht="31.5" customHeight="1" x14ac:dyDescent="0.2">
      <c r="F1108" s="45" t="s">
        <v>3670</v>
      </c>
      <c r="T1108" s="41"/>
      <c r="U1108" s="29" t="str">
        <f>IF($C1108&lt;&gt;"",COUNTIF($C$2:C1108,C1108),"")</f>
        <v/>
      </c>
      <c r="V1108" s="29" t="str">
        <f t="shared" si="58"/>
        <v/>
      </c>
      <c r="W1108" s="29" t="str">
        <f>IF(U1108=1,COUNTIF($U$2:U1108,1),"")</f>
        <v/>
      </c>
      <c r="X1108" s="29" t="str">
        <f t="shared" si="59"/>
        <v/>
      </c>
      <c r="Y1108" s="29" t="str">
        <f>IF(AND(LEFT($B1108,7)="SBA 26/",$D1108&lt;&gt;"",$F1108&lt;&gt;""),COUNTIFS($D$2:$D1108,$D1108,$B$2:$B1108,"SBA 26/*",$F$2:$F1108,"&lt;&gt;"),"")</f>
        <v/>
      </c>
      <c r="Z1108" s="29" t="str">
        <f>IF(Y1108=1,COUNTIF($Y$2:Y1108,1),"")</f>
        <v/>
      </c>
      <c r="AA1108" s="29" t="str">
        <f>IF(AND(LEFT($B1108,7)="SBA 26/",$C1108&lt;&gt;"",$F1108&lt;&gt;""),COUNTIFS($C$2:$C1108,$C1108,$B$2:$B1108,"SBA 26/*",$F$2:$F1108,"&lt;&gt;"),"")</f>
        <v/>
      </c>
      <c r="AB1108" s="29" t="str">
        <f>IF(AA1108=1,COUNTIF($AA$2:AA1108,1),"")</f>
        <v/>
      </c>
    </row>
    <row r="1109" spans="6:28" ht="63" customHeight="1" x14ac:dyDescent="0.2">
      <c r="F1109" s="45" t="s">
        <v>3671</v>
      </c>
      <c r="T1109" s="41"/>
      <c r="U1109" s="29" t="str">
        <f>IF($C1109&lt;&gt;"",COUNTIF($C$2:C1109,C1109),"")</f>
        <v/>
      </c>
      <c r="V1109" s="29" t="str">
        <f t="shared" si="58"/>
        <v/>
      </c>
      <c r="W1109" s="29" t="str">
        <f>IF(U1109=1,COUNTIF($U$2:U1109,1),"")</f>
        <v/>
      </c>
      <c r="X1109" s="29" t="str">
        <f t="shared" si="59"/>
        <v/>
      </c>
      <c r="Y1109" s="29" t="str">
        <f>IF(AND(LEFT($B1109,7)="SBA 26/",$D1109&lt;&gt;"",$F1109&lt;&gt;""),COUNTIFS($D$2:$D1109,$D1109,$B$2:$B1109,"SBA 26/*",$F$2:$F1109,"&lt;&gt;"),"")</f>
        <v/>
      </c>
      <c r="Z1109" s="29" t="str">
        <f>IF(Y1109=1,COUNTIF($Y$2:Y1109,1),"")</f>
        <v/>
      </c>
      <c r="AA1109" s="29" t="str">
        <f>IF(AND(LEFT($B1109,7)="SBA 26/",$C1109&lt;&gt;"",$F1109&lt;&gt;""),COUNTIFS($C$2:$C1109,$C1109,$B$2:$B1109,"SBA 26/*",$F$2:$F1109,"&lt;&gt;"),"")</f>
        <v/>
      </c>
      <c r="AB1109" s="29" t="str">
        <f>IF(AA1109=1,COUNTIF($AA$2:AA1109,1),"")</f>
        <v/>
      </c>
    </row>
    <row r="1110" spans="6:28" ht="47.25" customHeight="1" x14ac:dyDescent="0.2">
      <c r="F1110" s="45" t="s">
        <v>3672</v>
      </c>
      <c r="T1110" s="41"/>
      <c r="U1110" s="29" t="str">
        <f>IF($C1110&lt;&gt;"",COUNTIF($C$2:C1110,C1110),"")</f>
        <v/>
      </c>
      <c r="V1110" s="29" t="str">
        <f t="shared" si="58"/>
        <v/>
      </c>
      <c r="W1110" s="29" t="str">
        <f>IF(U1110=1,COUNTIF($U$2:U1110,1),"")</f>
        <v/>
      </c>
      <c r="X1110" s="29" t="str">
        <f t="shared" si="59"/>
        <v/>
      </c>
      <c r="Y1110" s="29" t="str">
        <f>IF(AND(LEFT($B1110,7)="SBA 26/",$D1110&lt;&gt;"",$F1110&lt;&gt;""),COUNTIFS($D$2:$D1110,$D1110,$B$2:$B1110,"SBA 26/*",$F$2:$F1110,"&lt;&gt;"),"")</f>
        <v/>
      </c>
      <c r="Z1110" s="29" t="str">
        <f>IF(Y1110=1,COUNTIF($Y$2:Y1110,1),"")</f>
        <v/>
      </c>
      <c r="AA1110" s="29" t="str">
        <f>IF(AND(LEFT($B1110,7)="SBA 26/",$C1110&lt;&gt;"",$F1110&lt;&gt;""),COUNTIFS($C$2:$C1110,$C1110,$B$2:$B1110,"SBA 26/*",$F$2:$F1110,"&lt;&gt;"),"")</f>
        <v/>
      </c>
      <c r="AB1110" s="29" t="str">
        <f>IF(AA1110=1,COUNTIF($AA$2:AA1110,1),"")</f>
        <v/>
      </c>
    </row>
    <row r="1111" spans="6:28" ht="47.25" customHeight="1" x14ac:dyDescent="0.2">
      <c r="F1111" s="45" t="s">
        <v>3673</v>
      </c>
      <c r="T1111" s="41"/>
      <c r="U1111" s="29" t="str">
        <f>IF($C1111&lt;&gt;"",COUNTIF($C$2:C1111,C1111),"")</f>
        <v/>
      </c>
      <c r="V1111" s="29" t="str">
        <f t="shared" si="58"/>
        <v/>
      </c>
      <c r="W1111" s="29" t="str">
        <f>IF(U1111=1,COUNTIF($U$2:U1111,1),"")</f>
        <v/>
      </c>
      <c r="X1111" s="29" t="str">
        <f t="shared" si="59"/>
        <v/>
      </c>
      <c r="Y1111" s="29" t="str">
        <f>IF(AND(LEFT($B1111,7)="SBA 26/",$D1111&lt;&gt;"",$F1111&lt;&gt;""),COUNTIFS($D$2:$D1111,$D1111,$B$2:$B1111,"SBA 26/*",$F$2:$F1111,"&lt;&gt;"),"")</f>
        <v/>
      </c>
      <c r="Z1111" s="29" t="str">
        <f>IF(Y1111=1,COUNTIF($Y$2:Y1111,1),"")</f>
        <v/>
      </c>
      <c r="AA1111" s="29" t="str">
        <f>IF(AND(LEFT($B1111,7)="SBA 26/",$C1111&lt;&gt;"",$F1111&lt;&gt;""),COUNTIFS($C$2:$C1111,$C1111,$B$2:$B1111,"SBA 26/*",$F$2:$F1111,"&lt;&gt;"),"")</f>
        <v/>
      </c>
      <c r="AB1111" s="29" t="str">
        <f>IF(AA1111=1,COUNTIF($AA$2:AA1111,1),"")</f>
        <v/>
      </c>
    </row>
    <row r="1112" spans="6:28" ht="31.5" customHeight="1" x14ac:dyDescent="0.2">
      <c r="F1112" s="45" t="s">
        <v>3674</v>
      </c>
      <c r="T1112" s="41"/>
      <c r="U1112" s="29" t="str">
        <f>IF($C1112&lt;&gt;"",COUNTIF($C$2:C1112,C1112),"")</f>
        <v/>
      </c>
      <c r="V1112" s="29" t="str">
        <f t="shared" si="58"/>
        <v/>
      </c>
      <c r="W1112" s="29" t="str">
        <f>IF(U1112=1,COUNTIF($U$2:U1112,1),"")</f>
        <v/>
      </c>
      <c r="X1112" s="29" t="str">
        <f t="shared" si="59"/>
        <v/>
      </c>
      <c r="Y1112" s="29" t="str">
        <f>IF(AND(LEFT($B1112,7)="SBA 26/",$D1112&lt;&gt;"",$F1112&lt;&gt;""),COUNTIFS($D$2:$D1112,$D1112,$B$2:$B1112,"SBA 26/*",$F$2:$F1112,"&lt;&gt;"),"")</f>
        <v/>
      </c>
      <c r="Z1112" s="29" t="str">
        <f>IF(Y1112=1,COUNTIF($Y$2:Y1112,1),"")</f>
        <v/>
      </c>
      <c r="AA1112" s="29" t="str">
        <f>IF(AND(LEFT($B1112,7)="SBA 26/",$C1112&lt;&gt;"",$F1112&lt;&gt;""),COUNTIFS($C$2:$C1112,$C1112,$B$2:$B1112,"SBA 26/*",$F$2:$F1112,"&lt;&gt;"),"")</f>
        <v/>
      </c>
      <c r="AB1112" s="29" t="str">
        <f>IF(AA1112=1,COUNTIF($AA$2:AA1112,1),"")</f>
        <v/>
      </c>
    </row>
    <row r="1113" spans="6:28" ht="47.25" customHeight="1" x14ac:dyDescent="0.2">
      <c r="F1113" s="45" t="s">
        <v>3675</v>
      </c>
      <c r="T1113" s="41"/>
      <c r="U1113" s="29" t="str">
        <f>IF($C1113&lt;&gt;"",COUNTIF($C$2:C1113,C1113),"")</f>
        <v/>
      </c>
      <c r="V1113" s="29" t="str">
        <f t="shared" si="58"/>
        <v/>
      </c>
      <c r="W1113" s="29" t="str">
        <f>IF(U1113=1,COUNTIF($U$2:U1113,1),"")</f>
        <v/>
      </c>
      <c r="X1113" s="29" t="str">
        <f t="shared" si="59"/>
        <v/>
      </c>
      <c r="Y1113" s="29" t="str">
        <f>IF(AND(LEFT($B1113,7)="SBA 26/",$D1113&lt;&gt;"",$F1113&lt;&gt;""),COUNTIFS($D$2:$D1113,$D1113,$B$2:$B1113,"SBA 26/*",$F$2:$F1113,"&lt;&gt;"),"")</f>
        <v/>
      </c>
      <c r="Z1113" s="29" t="str">
        <f>IF(Y1113=1,COUNTIF($Y$2:Y1113,1),"")</f>
        <v/>
      </c>
      <c r="AA1113" s="29" t="str">
        <f>IF(AND(LEFT($B1113,7)="SBA 26/",$C1113&lt;&gt;"",$F1113&lt;&gt;""),COUNTIFS($C$2:$C1113,$C1113,$B$2:$B1113,"SBA 26/*",$F$2:$F1113,"&lt;&gt;"),"")</f>
        <v/>
      </c>
      <c r="AB1113" s="29" t="str">
        <f>IF(AA1113=1,COUNTIF($AA$2:AA1113,1),"")</f>
        <v/>
      </c>
    </row>
    <row r="1114" spans="6:28" ht="31.5" customHeight="1" x14ac:dyDescent="0.2">
      <c r="F1114" s="45" t="s">
        <v>3676</v>
      </c>
      <c r="T1114" s="41"/>
      <c r="U1114" s="29" t="str">
        <f>IF($C1114&lt;&gt;"",COUNTIF($C$2:C1114,C1114),"")</f>
        <v/>
      </c>
      <c r="V1114" s="29" t="str">
        <f t="shared" si="58"/>
        <v/>
      </c>
      <c r="W1114" s="29" t="str">
        <f>IF(U1114=1,COUNTIF($U$2:U1114,1),"")</f>
        <v/>
      </c>
      <c r="X1114" s="29" t="str">
        <f t="shared" si="59"/>
        <v/>
      </c>
      <c r="Y1114" s="29" t="str">
        <f>IF(AND(LEFT($B1114,7)="SBA 26/",$D1114&lt;&gt;"",$F1114&lt;&gt;""),COUNTIFS($D$2:$D1114,$D1114,$B$2:$B1114,"SBA 26/*",$F$2:$F1114,"&lt;&gt;"),"")</f>
        <v/>
      </c>
      <c r="Z1114" s="29" t="str">
        <f>IF(Y1114=1,COUNTIF($Y$2:Y1114,1),"")</f>
        <v/>
      </c>
      <c r="AA1114" s="29" t="str">
        <f>IF(AND(LEFT($B1114,7)="SBA 26/",$C1114&lt;&gt;"",$F1114&lt;&gt;""),COUNTIFS($C$2:$C1114,$C1114,$B$2:$B1114,"SBA 26/*",$F$2:$F1114,"&lt;&gt;"),"")</f>
        <v/>
      </c>
      <c r="AB1114" s="29" t="str">
        <f>IF(AA1114=1,COUNTIF($AA$2:AA1114,1),"")</f>
        <v/>
      </c>
    </row>
    <row r="1115" spans="6:28" ht="63" customHeight="1" x14ac:dyDescent="0.2">
      <c r="F1115" s="45" t="s">
        <v>3677</v>
      </c>
      <c r="T1115" s="41"/>
      <c r="U1115" s="29" t="str">
        <f>IF($C1115&lt;&gt;"",COUNTIF($C$2:C1115,C1115),"")</f>
        <v/>
      </c>
      <c r="V1115" s="29" t="str">
        <f t="shared" si="58"/>
        <v/>
      </c>
      <c r="W1115" s="29" t="str">
        <f>IF(U1115=1,COUNTIF($U$2:U1115,1),"")</f>
        <v/>
      </c>
      <c r="X1115" s="29" t="str">
        <f t="shared" si="59"/>
        <v/>
      </c>
      <c r="Y1115" s="29" t="str">
        <f>IF(AND(LEFT($B1115,7)="SBA 26/",$D1115&lt;&gt;"",$F1115&lt;&gt;""),COUNTIFS($D$2:$D1115,$D1115,$B$2:$B1115,"SBA 26/*",$F$2:$F1115,"&lt;&gt;"),"")</f>
        <v/>
      </c>
      <c r="Z1115" s="29" t="str">
        <f>IF(Y1115=1,COUNTIF($Y$2:Y1115,1),"")</f>
        <v/>
      </c>
      <c r="AA1115" s="29" t="str">
        <f>IF(AND(LEFT($B1115,7)="SBA 26/",$C1115&lt;&gt;"",$F1115&lt;&gt;""),COUNTIFS($C$2:$C1115,$C1115,$B$2:$B1115,"SBA 26/*",$F$2:$F1115,"&lt;&gt;"),"")</f>
        <v/>
      </c>
      <c r="AB1115" s="29" t="str">
        <f>IF(AA1115=1,COUNTIF($AA$2:AA1115,1),"")</f>
        <v/>
      </c>
    </row>
    <row r="1116" spans="6:28" ht="63" customHeight="1" x14ac:dyDescent="0.2">
      <c r="F1116" s="45" t="s">
        <v>3678</v>
      </c>
      <c r="T1116" s="41"/>
      <c r="U1116" s="29" t="str">
        <f>IF($C1116&lt;&gt;"",COUNTIF($C$2:C1116,C1116),"")</f>
        <v/>
      </c>
      <c r="V1116" s="29" t="str">
        <f t="shared" si="58"/>
        <v/>
      </c>
      <c r="W1116" s="29" t="str">
        <f>IF(U1116=1,COUNTIF($U$2:U1116,1),"")</f>
        <v/>
      </c>
      <c r="X1116" s="29" t="str">
        <f t="shared" si="59"/>
        <v/>
      </c>
      <c r="Y1116" s="29" t="str">
        <f>IF(AND(LEFT($B1116,7)="SBA 26/",$D1116&lt;&gt;"",$F1116&lt;&gt;""),COUNTIFS($D$2:$D1116,$D1116,$B$2:$B1116,"SBA 26/*",$F$2:$F1116,"&lt;&gt;"),"")</f>
        <v/>
      </c>
      <c r="Z1116" s="29" t="str">
        <f>IF(Y1116=1,COUNTIF($Y$2:Y1116,1),"")</f>
        <v/>
      </c>
      <c r="AA1116" s="29" t="str">
        <f>IF(AND(LEFT($B1116,7)="SBA 26/",$C1116&lt;&gt;"",$F1116&lt;&gt;""),COUNTIFS($C$2:$C1116,$C1116,$B$2:$B1116,"SBA 26/*",$F$2:$F1116,"&lt;&gt;"),"")</f>
        <v/>
      </c>
      <c r="AB1116" s="29" t="str">
        <f>IF(AA1116=1,COUNTIF($AA$2:AA1116,1),"")</f>
        <v/>
      </c>
    </row>
    <row r="1117" spans="6:28" ht="47.25" customHeight="1" x14ac:dyDescent="0.2">
      <c r="F1117" s="45" t="s">
        <v>3679</v>
      </c>
      <c r="T1117" s="41"/>
      <c r="U1117" s="29" t="str">
        <f>IF($C1117&lt;&gt;"",COUNTIF($C$2:C1117,C1117),"")</f>
        <v/>
      </c>
      <c r="V1117" s="29" t="str">
        <f t="shared" si="58"/>
        <v/>
      </c>
      <c r="W1117" s="29" t="str">
        <f>IF(U1117=1,COUNTIF($U$2:U1117,1),"")</f>
        <v/>
      </c>
      <c r="X1117" s="29" t="str">
        <f t="shared" si="59"/>
        <v/>
      </c>
      <c r="Y1117" s="29" t="str">
        <f>IF(AND(LEFT($B1117,7)="SBA 26/",$D1117&lt;&gt;"",$F1117&lt;&gt;""),COUNTIFS($D$2:$D1117,$D1117,$B$2:$B1117,"SBA 26/*",$F$2:$F1117,"&lt;&gt;"),"")</f>
        <v/>
      </c>
      <c r="Z1117" s="29" t="str">
        <f>IF(Y1117=1,COUNTIF($Y$2:Y1117,1),"")</f>
        <v/>
      </c>
      <c r="AA1117" s="29" t="str">
        <f>IF(AND(LEFT($B1117,7)="SBA 26/",$C1117&lt;&gt;"",$F1117&lt;&gt;""),COUNTIFS($C$2:$C1117,$C1117,$B$2:$B1117,"SBA 26/*",$F$2:$F1117,"&lt;&gt;"),"")</f>
        <v/>
      </c>
      <c r="AB1117" s="29" t="str">
        <f>IF(AA1117=1,COUNTIF($AA$2:AA1117,1),"")</f>
        <v/>
      </c>
    </row>
    <row r="1118" spans="6:28" ht="31.5" customHeight="1" x14ac:dyDescent="0.2">
      <c r="F1118" s="45" t="s">
        <v>3680</v>
      </c>
      <c r="T1118" s="41"/>
      <c r="U1118" s="29" t="str">
        <f>IF($C1118&lt;&gt;"",COUNTIF($C$2:C1118,C1118),"")</f>
        <v/>
      </c>
      <c r="V1118" s="29" t="str">
        <f t="shared" si="58"/>
        <v/>
      </c>
      <c r="W1118" s="29" t="str">
        <f>IF(U1118=1,COUNTIF($U$2:U1118,1),"")</f>
        <v/>
      </c>
      <c r="X1118" s="29" t="str">
        <f t="shared" si="59"/>
        <v/>
      </c>
      <c r="Y1118" s="29" t="str">
        <f>IF(AND(LEFT($B1118,7)="SBA 26/",$D1118&lt;&gt;"",$F1118&lt;&gt;""),COUNTIFS($D$2:$D1118,$D1118,$B$2:$B1118,"SBA 26/*",$F$2:$F1118,"&lt;&gt;"),"")</f>
        <v/>
      </c>
      <c r="Z1118" s="29" t="str">
        <f>IF(Y1118=1,COUNTIF($Y$2:Y1118,1),"")</f>
        <v/>
      </c>
      <c r="AA1118" s="29" t="str">
        <f>IF(AND(LEFT($B1118,7)="SBA 26/",$C1118&lt;&gt;"",$F1118&lt;&gt;""),COUNTIFS($C$2:$C1118,$C1118,$B$2:$B1118,"SBA 26/*",$F$2:$F1118,"&lt;&gt;"),"")</f>
        <v/>
      </c>
      <c r="AB1118" s="29" t="str">
        <f>IF(AA1118=1,COUNTIF($AA$2:AA1118,1),"")</f>
        <v/>
      </c>
    </row>
    <row r="1119" spans="6:28" ht="47.25" customHeight="1" x14ac:dyDescent="0.2">
      <c r="F1119" s="45" t="s">
        <v>3681</v>
      </c>
      <c r="T1119" s="41"/>
      <c r="U1119" s="29" t="str">
        <f>IF($C1119&lt;&gt;"",COUNTIF($C$2:C1119,C1119),"")</f>
        <v/>
      </c>
      <c r="V1119" s="29" t="str">
        <f t="shared" si="58"/>
        <v/>
      </c>
      <c r="W1119" s="29" t="str">
        <f>IF(U1119=1,COUNTIF($U$2:U1119,1),"")</f>
        <v/>
      </c>
      <c r="X1119" s="29" t="str">
        <f t="shared" si="59"/>
        <v/>
      </c>
      <c r="Y1119" s="29" t="str">
        <f>IF(AND(LEFT($B1119,7)="SBA 26/",$D1119&lt;&gt;"",$F1119&lt;&gt;""),COUNTIFS($D$2:$D1119,$D1119,$B$2:$B1119,"SBA 26/*",$F$2:$F1119,"&lt;&gt;"),"")</f>
        <v/>
      </c>
      <c r="Z1119" s="29" t="str">
        <f>IF(Y1119=1,COUNTIF($Y$2:Y1119,1),"")</f>
        <v/>
      </c>
      <c r="AA1119" s="29" t="str">
        <f>IF(AND(LEFT($B1119,7)="SBA 26/",$C1119&lt;&gt;"",$F1119&lt;&gt;""),COUNTIFS($C$2:$C1119,$C1119,$B$2:$B1119,"SBA 26/*",$F$2:$F1119,"&lt;&gt;"),"")</f>
        <v/>
      </c>
      <c r="AB1119" s="29" t="str">
        <f>IF(AA1119=1,COUNTIF($AA$2:AA1119,1),"")</f>
        <v/>
      </c>
    </row>
    <row r="1120" spans="6:28" ht="47.25" customHeight="1" x14ac:dyDescent="0.2">
      <c r="F1120" s="45" t="s">
        <v>3682</v>
      </c>
      <c r="T1120" s="41"/>
      <c r="U1120" s="29" t="str">
        <f>IF($C1120&lt;&gt;"",COUNTIF($C$2:C1120,C1120),"")</f>
        <v/>
      </c>
      <c r="V1120" s="29" t="str">
        <f t="shared" si="58"/>
        <v/>
      </c>
      <c r="W1120" s="29" t="str">
        <f>IF(U1120=1,COUNTIF($U$2:U1120,1),"")</f>
        <v/>
      </c>
      <c r="X1120" s="29" t="str">
        <f t="shared" si="59"/>
        <v/>
      </c>
      <c r="Y1120" s="29" t="str">
        <f>IF(AND(LEFT($B1120,7)="SBA 26/",$D1120&lt;&gt;"",$F1120&lt;&gt;""),COUNTIFS($D$2:$D1120,$D1120,$B$2:$B1120,"SBA 26/*",$F$2:$F1120,"&lt;&gt;"),"")</f>
        <v/>
      </c>
      <c r="Z1120" s="29" t="str">
        <f>IF(Y1120=1,COUNTIF($Y$2:Y1120,1),"")</f>
        <v/>
      </c>
      <c r="AA1120" s="29" t="str">
        <f>IF(AND(LEFT($B1120,7)="SBA 26/",$C1120&lt;&gt;"",$F1120&lt;&gt;""),COUNTIFS($C$2:$C1120,$C1120,$B$2:$B1120,"SBA 26/*",$F$2:$F1120,"&lt;&gt;"),"")</f>
        <v/>
      </c>
      <c r="AB1120" s="29" t="str">
        <f>IF(AA1120=1,COUNTIF($AA$2:AA1120,1),"")</f>
        <v/>
      </c>
    </row>
    <row r="1121" spans="6:28" ht="63" customHeight="1" x14ac:dyDescent="0.2">
      <c r="F1121" s="45" t="s">
        <v>3683</v>
      </c>
      <c r="T1121" s="41"/>
      <c r="U1121" s="29" t="str">
        <f>IF($C1121&lt;&gt;"",COUNTIF($C$2:C1121,C1121),"")</f>
        <v/>
      </c>
      <c r="V1121" s="29" t="str">
        <f t="shared" si="58"/>
        <v/>
      </c>
      <c r="W1121" s="29" t="str">
        <f>IF(U1121=1,COUNTIF($U$2:U1121,1),"")</f>
        <v/>
      </c>
      <c r="X1121" s="29" t="str">
        <f t="shared" si="59"/>
        <v/>
      </c>
      <c r="Y1121" s="29" t="str">
        <f>IF(AND(LEFT($B1121,7)="SBA 26/",$D1121&lt;&gt;"",$F1121&lt;&gt;""),COUNTIFS($D$2:$D1121,$D1121,$B$2:$B1121,"SBA 26/*",$F$2:$F1121,"&lt;&gt;"),"")</f>
        <v/>
      </c>
      <c r="Z1121" s="29" t="str">
        <f>IF(Y1121=1,COUNTIF($Y$2:Y1121,1),"")</f>
        <v/>
      </c>
      <c r="AA1121" s="29" t="str">
        <f>IF(AND(LEFT($B1121,7)="SBA 26/",$C1121&lt;&gt;"",$F1121&lt;&gt;""),COUNTIFS($C$2:$C1121,$C1121,$B$2:$B1121,"SBA 26/*",$F$2:$F1121,"&lt;&gt;"),"")</f>
        <v/>
      </c>
      <c r="AB1121" s="29" t="str">
        <f>IF(AA1121=1,COUNTIF($AA$2:AA1121,1),"")</f>
        <v/>
      </c>
    </row>
    <row r="1122" spans="6:28" ht="47.25" customHeight="1" x14ac:dyDescent="0.2">
      <c r="F1122" s="45" t="s">
        <v>3684</v>
      </c>
      <c r="T1122" s="41"/>
      <c r="U1122" s="29" t="str">
        <f>IF($C1122&lt;&gt;"",COUNTIF($C$2:C1122,C1122),"")</f>
        <v/>
      </c>
      <c r="V1122" s="29" t="str">
        <f t="shared" si="58"/>
        <v/>
      </c>
      <c r="W1122" s="29" t="str">
        <f>IF(U1122=1,COUNTIF($U$2:U1122,1),"")</f>
        <v/>
      </c>
      <c r="X1122" s="29" t="str">
        <f t="shared" si="59"/>
        <v/>
      </c>
      <c r="Y1122" s="29" t="str">
        <f>IF(AND(LEFT($B1122,7)="SBA 26/",$D1122&lt;&gt;"",$F1122&lt;&gt;""),COUNTIFS($D$2:$D1122,$D1122,$B$2:$B1122,"SBA 26/*",$F$2:$F1122,"&lt;&gt;"),"")</f>
        <v/>
      </c>
      <c r="Z1122" s="29" t="str">
        <f>IF(Y1122=1,COUNTIF($Y$2:Y1122,1),"")</f>
        <v/>
      </c>
      <c r="AA1122" s="29" t="str">
        <f>IF(AND(LEFT($B1122,7)="SBA 26/",$C1122&lt;&gt;"",$F1122&lt;&gt;""),COUNTIFS($C$2:$C1122,$C1122,$B$2:$B1122,"SBA 26/*",$F$2:$F1122,"&lt;&gt;"),"")</f>
        <v/>
      </c>
      <c r="AB1122" s="29" t="str">
        <f>IF(AA1122=1,COUNTIF($AA$2:AA1122,1),"")</f>
        <v/>
      </c>
    </row>
    <row r="1123" spans="6:28" ht="31.5" customHeight="1" x14ac:dyDescent="0.2">
      <c r="F1123" s="45" t="s">
        <v>3685</v>
      </c>
      <c r="T1123" s="41"/>
      <c r="U1123" s="29" t="str">
        <f>IF($C1123&lt;&gt;"",COUNTIF($C$2:C1123,C1123),"")</f>
        <v/>
      </c>
      <c r="V1123" s="29" t="str">
        <f t="shared" si="58"/>
        <v/>
      </c>
      <c r="W1123" s="29" t="str">
        <f>IF(U1123=1,COUNTIF($U$2:U1123,1),"")</f>
        <v/>
      </c>
      <c r="X1123" s="29" t="str">
        <f t="shared" si="59"/>
        <v/>
      </c>
      <c r="Y1123" s="29" t="str">
        <f>IF(AND(LEFT($B1123,7)="SBA 26/",$D1123&lt;&gt;"",$F1123&lt;&gt;""),COUNTIFS($D$2:$D1123,$D1123,$B$2:$B1123,"SBA 26/*",$F$2:$F1123,"&lt;&gt;"),"")</f>
        <v/>
      </c>
      <c r="Z1123" s="29" t="str">
        <f>IF(Y1123=1,COUNTIF($Y$2:Y1123,1),"")</f>
        <v/>
      </c>
      <c r="AA1123" s="29" t="str">
        <f>IF(AND(LEFT($B1123,7)="SBA 26/",$C1123&lt;&gt;"",$F1123&lt;&gt;""),COUNTIFS($C$2:$C1123,$C1123,$B$2:$B1123,"SBA 26/*",$F$2:$F1123,"&lt;&gt;"),"")</f>
        <v/>
      </c>
      <c r="AB1123" s="29" t="str">
        <f>IF(AA1123=1,COUNTIF($AA$2:AA1123,1),"")</f>
        <v/>
      </c>
    </row>
    <row r="1124" spans="6:28" ht="47.25" customHeight="1" x14ac:dyDescent="0.2">
      <c r="F1124" s="45" t="s">
        <v>3686</v>
      </c>
      <c r="T1124" s="41"/>
      <c r="U1124" s="29" t="str">
        <f>IF($C1124&lt;&gt;"",COUNTIF($C$2:C1124,C1124),"")</f>
        <v/>
      </c>
      <c r="V1124" s="29" t="str">
        <f t="shared" si="58"/>
        <v/>
      </c>
      <c r="W1124" s="29" t="str">
        <f>IF(U1124=1,COUNTIF($U$2:U1124,1),"")</f>
        <v/>
      </c>
      <c r="X1124" s="29" t="str">
        <f t="shared" si="59"/>
        <v/>
      </c>
      <c r="Y1124" s="29" t="str">
        <f>IF(AND(LEFT($B1124,7)="SBA 26/",$D1124&lt;&gt;"",$F1124&lt;&gt;""),COUNTIFS($D$2:$D1124,$D1124,$B$2:$B1124,"SBA 26/*",$F$2:$F1124,"&lt;&gt;"),"")</f>
        <v/>
      </c>
      <c r="Z1124" s="29" t="str">
        <f>IF(Y1124=1,COUNTIF($Y$2:Y1124,1),"")</f>
        <v/>
      </c>
      <c r="AA1124" s="29" t="str">
        <f>IF(AND(LEFT($B1124,7)="SBA 26/",$C1124&lt;&gt;"",$F1124&lt;&gt;""),COUNTIFS($C$2:$C1124,$C1124,$B$2:$B1124,"SBA 26/*",$F$2:$F1124,"&lt;&gt;"),"")</f>
        <v/>
      </c>
      <c r="AB1124" s="29" t="str">
        <f>IF(AA1124=1,COUNTIF($AA$2:AA1124,1),"")</f>
        <v/>
      </c>
    </row>
    <row r="1125" spans="6:28" ht="47.25" customHeight="1" x14ac:dyDescent="0.2">
      <c r="F1125" s="45" t="s">
        <v>3687</v>
      </c>
      <c r="T1125" s="41"/>
      <c r="U1125" s="29" t="str">
        <f>IF($C1125&lt;&gt;"",COUNTIF($C$2:C1125,C1125),"")</f>
        <v/>
      </c>
      <c r="V1125" s="29" t="str">
        <f t="shared" si="58"/>
        <v/>
      </c>
      <c r="W1125" s="29" t="str">
        <f>IF(U1125=1,COUNTIF($U$2:U1125,1),"")</f>
        <v/>
      </c>
      <c r="X1125" s="29" t="str">
        <f t="shared" si="59"/>
        <v/>
      </c>
      <c r="Y1125" s="29" t="str">
        <f>IF(AND(LEFT($B1125,7)="SBA 26/",$D1125&lt;&gt;"",$F1125&lt;&gt;""),COUNTIFS($D$2:$D1125,$D1125,$B$2:$B1125,"SBA 26/*",$F$2:$F1125,"&lt;&gt;"),"")</f>
        <v/>
      </c>
      <c r="Z1125" s="29" t="str">
        <f>IF(Y1125=1,COUNTIF($Y$2:Y1125,1),"")</f>
        <v/>
      </c>
      <c r="AA1125" s="29" t="str">
        <f>IF(AND(LEFT($B1125,7)="SBA 26/",$C1125&lt;&gt;"",$F1125&lt;&gt;""),COUNTIFS($C$2:$C1125,$C1125,$B$2:$B1125,"SBA 26/*",$F$2:$F1125,"&lt;&gt;"),"")</f>
        <v/>
      </c>
      <c r="AB1125" s="29" t="str">
        <f>IF(AA1125=1,COUNTIF($AA$2:AA1125,1),"")</f>
        <v/>
      </c>
    </row>
    <row r="1126" spans="6:28" ht="31.5" customHeight="1" x14ac:dyDescent="0.2">
      <c r="F1126" s="45" t="s">
        <v>3688</v>
      </c>
      <c r="T1126" s="41"/>
      <c r="U1126" s="29" t="str">
        <f>IF($C1126&lt;&gt;"",COUNTIF($C$2:C1126,C1126),"")</f>
        <v/>
      </c>
      <c r="V1126" s="29" t="str">
        <f t="shared" si="58"/>
        <v/>
      </c>
      <c r="W1126" s="29" t="str">
        <f>IF(U1126=1,COUNTIF($U$2:U1126,1),"")</f>
        <v/>
      </c>
      <c r="X1126" s="29" t="str">
        <f t="shared" si="59"/>
        <v/>
      </c>
      <c r="Y1126" s="29" t="str">
        <f>IF(AND(LEFT($B1126,7)="SBA 26/",$D1126&lt;&gt;"",$F1126&lt;&gt;""),COUNTIFS($D$2:$D1126,$D1126,$B$2:$B1126,"SBA 26/*",$F$2:$F1126,"&lt;&gt;"),"")</f>
        <v/>
      </c>
      <c r="Z1126" s="29" t="str">
        <f>IF(Y1126=1,COUNTIF($Y$2:Y1126,1),"")</f>
        <v/>
      </c>
      <c r="AA1126" s="29" t="str">
        <f>IF(AND(LEFT($B1126,7)="SBA 26/",$C1126&lt;&gt;"",$F1126&lt;&gt;""),COUNTIFS($C$2:$C1126,$C1126,$B$2:$B1126,"SBA 26/*",$F$2:$F1126,"&lt;&gt;"),"")</f>
        <v/>
      </c>
      <c r="AB1126" s="29" t="str">
        <f>IF(AA1126=1,COUNTIF($AA$2:AA1126,1),"")</f>
        <v/>
      </c>
    </row>
    <row r="1127" spans="6:28" ht="63" customHeight="1" x14ac:dyDescent="0.2">
      <c r="F1127" s="45" t="s">
        <v>3689</v>
      </c>
      <c r="T1127" s="41"/>
      <c r="U1127" s="29" t="str">
        <f>IF($C1127&lt;&gt;"",COUNTIF($C$2:C1127,C1127),"")</f>
        <v/>
      </c>
      <c r="V1127" s="29" t="str">
        <f t="shared" si="58"/>
        <v/>
      </c>
      <c r="W1127" s="29" t="str">
        <f>IF(U1127=1,COUNTIF($U$2:U1127,1),"")</f>
        <v/>
      </c>
      <c r="X1127" s="29" t="str">
        <f t="shared" si="59"/>
        <v/>
      </c>
      <c r="Y1127" s="29" t="str">
        <f>IF(AND(LEFT($B1127,7)="SBA 26/",$D1127&lt;&gt;"",$F1127&lt;&gt;""),COUNTIFS($D$2:$D1127,$D1127,$B$2:$B1127,"SBA 26/*",$F$2:$F1127,"&lt;&gt;"),"")</f>
        <v/>
      </c>
      <c r="Z1127" s="29" t="str">
        <f>IF(Y1127=1,COUNTIF($Y$2:Y1127,1),"")</f>
        <v/>
      </c>
      <c r="AA1127" s="29" t="str">
        <f>IF(AND(LEFT($B1127,7)="SBA 26/",$C1127&lt;&gt;"",$F1127&lt;&gt;""),COUNTIFS($C$2:$C1127,$C1127,$B$2:$B1127,"SBA 26/*",$F$2:$F1127,"&lt;&gt;"),"")</f>
        <v/>
      </c>
      <c r="AB1127" s="29" t="str">
        <f>IF(AA1127=1,COUNTIF($AA$2:AA1127,1),"")</f>
        <v/>
      </c>
    </row>
    <row r="1128" spans="6:28" ht="47.25" customHeight="1" x14ac:dyDescent="0.2">
      <c r="F1128" s="45" t="s">
        <v>3690</v>
      </c>
      <c r="T1128" s="41"/>
      <c r="U1128" s="29" t="str">
        <f>IF($C1128&lt;&gt;"",COUNTIF($C$2:C1128,C1128),"")</f>
        <v/>
      </c>
      <c r="V1128" s="29" t="str">
        <f t="shared" si="58"/>
        <v/>
      </c>
      <c r="W1128" s="29" t="str">
        <f>IF(U1128=1,COUNTIF($U$2:U1128,1),"")</f>
        <v/>
      </c>
      <c r="X1128" s="29" t="str">
        <f t="shared" si="59"/>
        <v/>
      </c>
      <c r="Y1128" s="29" t="str">
        <f>IF(AND(LEFT($B1128,7)="SBA 26/",$D1128&lt;&gt;"",$F1128&lt;&gt;""),COUNTIFS($D$2:$D1128,$D1128,$B$2:$B1128,"SBA 26/*",$F$2:$F1128,"&lt;&gt;"),"")</f>
        <v/>
      </c>
      <c r="Z1128" s="29" t="str">
        <f>IF(Y1128=1,COUNTIF($Y$2:Y1128,1),"")</f>
        <v/>
      </c>
      <c r="AA1128" s="29" t="str">
        <f>IF(AND(LEFT($B1128,7)="SBA 26/",$C1128&lt;&gt;"",$F1128&lt;&gt;""),COUNTIFS($C$2:$C1128,$C1128,$B$2:$B1128,"SBA 26/*",$F$2:$F1128,"&lt;&gt;"),"")</f>
        <v/>
      </c>
      <c r="AB1128" s="29" t="str">
        <f>IF(AA1128=1,COUNTIF($AA$2:AA1128,1),"")</f>
        <v/>
      </c>
    </row>
    <row r="1129" spans="6:28" ht="47.25" customHeight="1" x14ac:dyDescent="0.2">
      <c r="F1129" s="45" t="s">
        <v>3691</v>
      </c>
      <c r="T1129" s="41"/>
      <c r="U1129" s="29" t="str">
        <f>IF($C1129&lt;&gt;"",COUNTIF($C$2:C1129,C1129),"")</f>
        <v/>
      </c>
      <c r="V1129" s="29" t="str">
        <f t="shared" si="58"/>
        <v/>
      </c>
      <c r="W1129" s="29" t="str">
        <f>IF(U1129=1,COUNTIF($U$2:U1129,1),"")</f>
        <v/>
      </c>
      <c r="X1129" s="29" t="str">
        <f t="shared" si="59"/>
        <v/>
      </c>
      <c r="Y1129" s="29" t="str">
        <f>IF(AND(LEFT($B1129,7)="SBA 26/",$D1129&lt;&gt;"",$F1129&lt;&gt;""),COUNTIFS($D$2:$D1129,$D1129,$B$2:$B1129,"SBA 26/*",$F$2:$F1129,"&lt;&gt;"),"")</f>
        <v/>
      </c>
      <c r="Z1129" s="29" t="str">
        <f>IF(Y1129=1,COUNTIF($Y$2:Y1129,1),"")</f>
        <v/>
      </c>
      <c r="AA1129" s="29" t="str">
        <f>IF(AND(LEFT($B1129,7)="SBA 26/",$C1129&lt;&gt;"",$F1129&lt;&gt;""),COUNTIFS($C$2:$C1129,$C1129,$B$2:$B1129,"SBA 26/*",$F$2:$F1129,"&lt;&gt;"),"")</f>
        <v/>
      </c>
      <c r="AB1129" s="29" t="str">
        <f>IF(AA1129=1,COUNTIF($AA$2:AA1129,1),"")</f>
        <v/>
      </c>
    </row>
    <row r="1130" spans="6:28" ht="47.25" customHeight="1" x14ac:dyDescent="0.2">
      <c r="F1130" s="45" t="s">
        <v>3692</v>
      </c>
      <c r="T1130" s="41"/>
      <c r="U1130" s="29" t="str">
        <f>IF($C1130&lt;&gt;"",COUNTIF($C$2:C1130,C1130),"")</f>
        <v/>
      </c>
      <c r="V1130" s="29" t="str">
        <f t="shared" si="58"/>
        <v/>
      </c>
      <c r="W1130" s="29" t="str">
        <f>IF(U1130=1,COUNTIF($U$2:U1130,1),"")</f>
        <v/>
      </c>
      <c r="X1130" s="29" t="str">
        <f t="shared" si="59"/>
        <v/>
      </c>
      <c r="Y1130" s="29" t="str">
        <f>IF(AND(LEFT($B1130,7)="SBA 26/",$D1130&lt;&gt;"",$F1130&lt;&gt;""),COUNTIFS($D$2:$D1130,$D1130,$B$2:$B1130,"SBA 26/*",$F$2:$F1130,"&lt;&gt;"),"")</f>
        <v/>
      </c>
      <c r="Z1130" s="29" t="str">
        <f>IF(Y1130=1,COUNTIF($Y$2:Y1130,1),"")</f>
        <v/>
      </c>
      <c r="AA1130" s="29" t="str">
        <f>IF(AND(LEFT($B1130,7)="SBA 26/",$C1130&lt;&gt;"",$F1130&lt;&gt;""),COUNTIFS($C$2:$C1130,$C1130,$B$2:$B1130,"SBA 26/*",$F$2:$F1130,"&lt;&gt;"),"")</f>
        <v/>
      </c>
      <c r="AB1130" s="29" t="str">
        <f>IF(AA1130=1,COUNTIF($AA$2:AA1130,1),"")</f>
        <v/>
      </c>
    </row>
    <row r="1131" spans="6:28" ht="31.5" customHeight="1" x14ac:dyDescent="0.2">
      <c r="F1131" s="45" t="s">
        <v>3693</v>
      </c>
      <c r="T1131" s="41"/>
      <c r="U1131" s="29" t="str">
        <f>IF($C1131&lt;&gt;"",COUNTIF($C$2:C1131,C1131),"")</f>
        <v/>
      </c>
      <c r="V1131" s="29" t="str">
        <f t="shared" si="58"/>
        <v/>
      </c>
      <c r="W1131" s="29" t="str">
        <f>IF(U1131=1,COUNTIF($U$2:U1131,1),"")</f>
        <v/>
      </c>
      <c r="X1131" s="29" t="str">
        <f t="shared" si="59"/>
        <v/>
      </c>
      <c r="Y1131" s="29" t="str">
        <f>IF(AND(LEFT($B1131,7)="SBA 26/",$D1131&lt;&gt;"",$F1131&lt;&gt;""),COUNTIFS($D$2:$D1131,$D1131,$B$2:$B1131,"SBA 26/*",$F$2:$F1131,"&lt;&gt;"),"")</f>
        <v/>
      </c>
      <c r="Z1131" s="29" t="str">
        <f>IF(Y1131=1,COUNTIF($Y$2:Y1131,1),"")</f>
        <v/>
      </c>
      <c r="AA1131" s="29" t="str">
        <f>IF(AND(LEFT($B1131,7)="SBA 26/",$C1131&lt;&gt;"",$F1131&lt;&gt;""),COUNTIFS($C$2:$C1131,$C1131,$B$2:$B1131,"SBA 26/*",$F$2:$F1131,"&lt;&gt;"),"")</f>
        <v/>
      </c>
      <c r="AB1131" s="29" t="str">
        <f>IF(AA1131=1,COUNTIF($AA$2:AA1131,1),"")</f>
        <v/>
      </c>
    </row>
    <row r="1132" spans="6:28" ht="47.25" customHeight="1" x14ac:dyDescent="0.2">
      <c r="F1132" s="45" t="s">
        <v>3694</v>
      </c>
      <c r="T1132" s="41"/>
      <c r="U1132" s="29" t="str">
        <f>IF($C1132&lt;&gt;"",COUNTIF($C$2:C1132,C1132),"")</f>
        <v/>
      </c>
      <c r="V1132" s="29" t="str">
        <f t="shared" si="58"/>
        <v/>
      </c>
      <c r="W1132" s="29" t="str">
        <f>IF(U1132=1,COUNTIF($U$2:U1132,1),"")</f>
        <v/>
      </c>
      <c r="X1132" s="29" t="str">
        <f t="shared" si="59"/>
        <v/>
      </c>
      <c r="Y1132" s="29" t="str">
        <f>IF(AND(LEFT($B1132,7)="SBA 26/",$D1132&lt;&gt;"",$F1132&lt;&gt;""),COUNTIFS($D$2:$D1132,$D1132,$B$2:$B1132,"SBA 26/*",$F$2:$F1132,"&lt;&gt;"),"")</f>
        <v/>
      </c>
      <c r="Z1132" s="29" t="str">
        <f>IF(Y1132=1,COUNTIF($Y$2:Y1132,1),"")</f>
        <v/>
      </c>
      <c r="AA1132" s="29" t="str">
        <f>IF(AND(LEFT($B1132,7)="SBA 26/",$C1132&lt;&gt;"",$F1132&lt;&gt;""),COUNTIFS($C$2:$C1132,$C1132,$B$2:$B1132,"SBA 26/*",$F$2:$F1132,"&lt;&gt;"),"")</f>
        <v/>
      </c>
      <c r="AB1132" s="29" t="str">
        <f>IF(AA1132=1,COUNTIF($AA$2:AA1132,1),"")</f>
        <v/>
      </c>
    </row>
    <row r="1133" spans="6:28" ht="31.5" customHeight="1" x14ac:dyDescent="0.2">
      <c r="F1133" s="45" t="s">
        <v>3695</v>
      </c>
      <c r="T1133" s="41"/>
      <c r="U1133" s="29" t="str">
        <f>IF($C1133&lt;&gt;"",COUNTIF($C$2:C1133,C1133),"")</f>
        <v/>
      </c>
      <c r="V1133" s="29" t="str">
        <f t="shared" si="58"/>
        <v/>
      </c>
      <c r="W1133" s="29" t="str">
        <f>IF(U1133=1,COUNTIF($U$2:U1133,1),"")</f>
        <v/>
      </c>
      <c r="X1133" s="29" t="str">
        <f t="shared" si="59"/>
        <v/>
      </c>
      <c r="Y1133" s="29" t="str">
        <f>IF(AND(LEFT($B1133,7)="SBA 26/",$D1133&lt;&gt;"",$F1133&lt;&gt;""),COUNTIFS($D$2:$D1133,$D1133,$B$2:$B1133,"SBA 26/*",$F$2:$F1133,"&lt;&gt;"),"")</f>
        <v/>
      </c>
      <c r="Z1133" s="29" t="str">
        <f>IF(Y1133=1,COUNTIF($Y$2:Y1133,1),"")</f>
        <v/>
      </c>
      <c r="AA1133" s="29" t="str">
        <f>IF(AND(LEFT($B1133,7)="SBA 26/",$C1133&lt;&gt;"",$F1133&lt;&gt;""),COUNTIFS($C$2:$C1133,$C1133,$B$2:$B1133,"SBA 26/*",$F$2:$F1133,"&lt;&gt;"),"")</f>
        <v/>
      </c>
      <c r="AB1133" s="29" t="str">
        <f>IF(AA1133=1,COUNTIF($AA$2:AA1133,1),"")</f>
        <v/>
      </c>
    </row>
    <row r="1134" spans="6:28" ht="31.5" customHeight="1" x14ac:dyDescent="0.2">
      <c r="F1134" s="45" t="s">
        <v>3696</v>
      </c>
      <c r="T1134" s="41"/>
      <c r="U1134" s="29" t="str">
        <f>IF($C1134&lt;&gt;"",COUNTIF($C$2:C1134,C1134),"")</f>
        <v/>
      </c>
      <c r="V1134" s="29" t="str">
        <f t="shared" si="58"/>
        <v/>
      </c>
      <c r="W1134" s="29" t="str">
        <f>IF(U1134=1,COUNTIF($U$2:U1134,1),"")</f>
        <v/>
      </c>
      <c r="X1134" s="29" t="str">
        <f t="shared" si="59"/>
        <v/>
      </c>
      <c r="Y1134" s="29" t="str">
        <f>IF(AND(LEFT($B1134,7)="SBA 26/",$D1134&lt;&gt;"",$F1134&lt;&gt;""),COUNTIFS($D$2:$D1134,$D1134,$B$2:$B1134,"SBA 26/*",$F$2:$F1134,"&lt;&gt;"),"")</f>
        <v/>
      </c>
      <c r="Z1134" s="29" t="str">
        <f>IF(Y1134=1,COUNTIF($Y$2:Y1134,1),"")</f>
        <v/>
      </c>
      <c r="AA1134" s="29" t="str">
        <f>IF(AND(LEFT($B1134,7)="SBA 26/",$C1134&lt;&gt;"",$F1134&lt;&gt;""),COUNTIFS($C$2:$C1134,$C1134,$B$2:$B1134,"SBA 26/*",$F$2:$F1134,"&lt;&gt;"),"")</f>
        <v/>
      </c>
      <c r="AB1134" s="29" t="str">
        <f>IF(AA1134=1,COUNTIF($AA$2:AA1134,1),"")</f>
        <v/>
      </c>
    </row>
    <row r="1135" spans="6:28" ht="47.25" customHeight="1" x14ac:dyDescent="0.2">
      <c r="F1135" s="45" t="s">
        <v>3697</v>
      </c>
      <c r="T1135" s="41"/>
      <c r="U1135" s="29" t="str">
        <f>IF($C1135&lt;&gt;"",COUNTIF($C$2:C1135,C1135),"")</f>
        <v/>
      </c>
      <c r="V1135" s="29" t="str">
        <f t="shared" si="58"/>
        <v/>
      </c>
      <c r="W1135" s="29" t="str">
        <f>IF(U1135=1,COUNTIF($U$2:U1135,1),"")</f>
        <v/>
      </c>
      <c r="X1135" s="29" t="str">
        <f t="shared" si="59"/>
        <v/>
      </c>
      <c r="Y1135" s="29" t="str">
        <f>IF(AND(LEFT($B1135,7)="SBA 26/",$D1135&lt;&gt;"",$F1135&lt;&gt;""),COUNTIFS($D$2:$D1135,$D1135,$B$2:$B1135,"SBA 26/*",$F$2:$F1135,"&lt;&gt;"),"")</f>
        <v/>
      </c>
      <c r="Z1135" s="29" t="str">
        <f>IF(Y1135=1,COUNTIF($Y$2:Y1135,1),"")</f>
        <v/>
      </c>
      <c r="AA1135" s="29" t="str">
        <f>IF(AND(LEFT($B1135,7)="SBA 26/",$C1135&lt;&gt;"",$F1135&lt;&gt;""),COUNTIFS($C$2:$C1135,$C1135,$B$2:$B1135,"SBA 26/*",$F$2:$F1135,"&lt;&gt;"),"")</f>
        <v/>
      </c>
      <c r="AB1135" s="29" t="str">
        <f>IF(AA1135=1,COUNTIF($AA$2:AA1135,1),"")</f>
        <v/>
      </c>
    </row>
    <row r="1136" spans="6:28" ht="63" customHeight="1" x14ac:dyDescent="0.2">
      <c r="F1136" s="45" t="s">
        <v>3698</v>
      </c>
      <c r="T1136" s="41"/>
      <c r="U1136" s="29" t="str">
        <f>IF($C1136&lt;&gt;"",COUNTIF($C$2:C1136,C1136),"")</f>
        <v/>
      </c>
      <c r="V1136" s="29" t="str">
        <f t="shared" si="58"/>
        <v/>
      </c>
      <c r="W1136" s="29" t="str">
        <f>IF(U1136=1,COUNTIF($U$2:U1136,1),"")</f>
        <v/>
      </c>
      <c r="X1136" s="29" t="str">
        <f t="shared" si="59"/>
        <v/>
      </c>
      <c r="Y1136" s="29" t="str">
        <f>IF(AND(LEFT($B1136,7)="SBA 26/",$D1136&lt;&gt;"",$F1136&lt;&gt;""),COUNTIFS($D$2:$D1136,$D1136,$B$2:$B1136,"SBA 26/*",$F$2:$F1136,"&lt;&gt;"),"")</f>
        <v/>
      </c>
      <c r="Z1136" s="29" t="str">
        <f>IF(Y1136=1,COUNTIF($Y$2:Y1136,1),"")</f>
        <v/>
      </c>
      <c r="AA1136" s="29" t="str">
        <f>IF(AND(LEFT($B1136,7)="SBA 26/",$C1136&lt;&gt;"",$F1136&lt;&gt;""),COUNTIFS($C$2:$C1136,$C1136,$B$2:$B1136,"SBA 26/*",$F$2:$F1136,"&lt;&gt;"),"")</f>
        <v/>
      </c>
      <c r="AB1136" s="29" t="str">
        <f>IF(AA1136=1,COUNTIF($AA$2:AA1136,1),"")</f>
        <v/>
      </c>
    </row>
    <row r="1137" spans="6:28" ht="47.25" customHeight="1" x14ac:dyDescent="0.2">
      <c r="F1137" s="45" t="s">
        <v>3699</v>
      </c>
      <c r="T1137" s="41"/>
      <c r="U1137" s="29" t="str">
        <f>IF($C1137&lt;&gt;"",COUNTIF($C$2:C1137,C1137),"")</f>
        <v/>
      </c>
      <c r="V1137" s="29" t="str">
        <f t="shared" si="58"/>
        <v/>
      </c>
      <c r="W1137" s="29" t="str">
        <f>IF(U1137=1,COUNTIF($U$2:U1137,1),"")</f>
        <v/>
      </c>
      <c r="X1137" s="29" t="str">
        <f t="shared" si="59"/>
        <v/>
      </c>
      <c r="Y1137" s="29" t="str">
        <f>IF(AND(LEFT($B1137,7)="SBA 26/",$D1137&lt;&gt;"",$F1137&lt;&gt;""),COUNTIFS($D$2:$D1137,$D1137,$B$2:$B1137,"SBA 26/*",$F$2:$F1137,"&lt;&gt;"),"")</f>
        <v/>
      </c>
      <c r="Z1137" s="29" t="str">
        <f>IF(Y1137=1,COUNTIF($Y$2:Y1137,1),"")</f>
        <v/>
      </c>
      <c r="AA1137" s="29" t="str">
        <f>IF(AND(LEFT($B1137,7)="SBA 26/",$C1137&lt;&gt;"",$F1137&lt;&gt;""),COUNTIFS($C$2:$C1137,$C1137,$B$2:$B1137,"SBA 26/*",$F$2:$F1137,"&lt;&gt;"),"")</f>
        <v/>
      </c>
      <c r="AB1137" s="29" t="str">
        <f>IF(AA1137=1,COUNTIF($AA$2:AA1137,1),"")</f>
        <v/>
      </c>
    </row>
    <row r="1138" spans="6:28" ht="63" customHeight="1" x14ac:dyDescent="0.2">
      <c r="F1138" s="45" t="s">
        <v>3700</v>
      </c>
      <c r="T1138" s="41"/>
      <c r="U1138" s="29" t="str">
        <f>IF($C1138&lt;&gt;"",COUNTIF($C$2:C1138,C1138),"")</f>
        <v/>
      </c>
      <c r="V1138" s="29" t="str">
        <f t="shared" si="58"/>
        <v/>
      </c>
      <c r="W1138" s="29" t="str">
        <f>IF(U1138=1,COUNTIF($U$2:U1138,1),"")</f>
        <v/>
      </c>
      <c r="X1138" s="29" t="str">
        <f t="shared" si="59"/>
        <v/>
      </c>
      <c r="Y1138" s="29" t="str">
        <f>IF(AND(LEFT($B1138,7)="SBA 26/",$D1138&lt;&gt;"",$F1138&lt;&gt;""),COUNTIFS($D$2:$D1138,$D1138,$B$2:$B1138,"SBA 26/*",$F$2:$F1138,"&lt;&gt;"),"")</f>
        <v/>
      </c>
      <c r="Z1138" s="29" t="str">
        <f>IF(Y1138=1,COUNTIF($Y$2:Y1138,1),"")</f>
        <v/>
      </c>
      <c r="AA1138" s="29" t="str">
        <f>IF(AND(LEFT($B1138,7)="SBA 26/",$C1138&lt;&gt;"",$F1138&lt;&gt;""),COUNTIFS($C$2:$C1138,$C1138,$B$2:$B1138,"SBA 26/*",$F$2:$F1138,"&lt;&gt;"),"")</f>
        <v/>
      </c>
      <c r="AB1138" s="29" t="str">
        <f>IF(AA1138=1,COUNTIF($AA$2:AA1138,1),"")</f>
        <v/>
      </c>
    </row>
    <row r="1139" spans="6:28" ht="47.25" customHeight="1" x14ac:dyDescent="0.2">
      <c r="F1139" s="45" t="s">
        <v>3701</v>
      </c>
      <c r="T1139" s="41"/>
      <c r="U1139" s="29" t="str">
        <f>IF($C1139&lt;&gt;"",COUNTIF($C$2:C1139,C1139),"")</f>
        <v/>
      </c>
      <c r="V1139" s="29" t="str">
        <f t="shared" si="58"/>
        <v/>
      </c>
      <c r="W1139" s="29" t="str">
        <f>IF(U1139=1,COUNTIF($U$2:U1139,1),"")</f>
        <v/>
      </c>
      <c r="X1139" s="29" t="str">
        <f t="shared" si="59"/>
        <v/>
      </c>
      <c r="Y1139" s="29" t="str">
        <f>IF(AND(LEFT($B1139,7)="SBA 26/",$D1139&lt;&gt;"",$F1139&lt;&gt;""),COUNTIFS($D$2:$D1139,$D1139,$B$2:$B1139,"SBA 26/*",$F$2:$F1139,"&lt;&gt;"),"")</f>
        <v/>
      </c>
      <c r="Z1139" s="29" t="str">
        <f>IF(Y1139=1,COUNTIF($Y$2:Y1139,1),"")</f>
        <v/>
      </c>
      <c r="AA1139" s="29" t="str">
        <f>IF(AND(LEFT($B1139,7)="SBA 26/",$C1139&lt;&gt;"",$F1139&lt;&gt;""),COUNTIFS($C$2:$C1139,$C1139,$B$2:$B1139,"SBA 26/*",$F$2:$F1139,"&lt;&gt;"),"")</f>
        <v/>
      </c>
      <c r="AB1139" s="29" t="str">
        <f>IF(AA1139=1,COUNTIF($AA$2:AA1139,1),"")</f>
        <v/>
      </c>
    </row>
    <row r="1140" spans="6:28" ht="47.25" customHeight="1" x14ac:dyDescent="0.2">
      <c r="F1140" s="45" t="s">
        <v>3702</v>
      </c>
      <c r="T1140" s="41"/>
      <c r="U1140" s="29" t="str">
        <f>IF($C1140&lt;&gt;"",COUNTIF($C$2:C1140,C1140),"")</f>
        <v/>
      </c>
      <c r="V1140" s="29" t="str">
        <f t="shared" si="58"/>
        <v/>
      </c>
      <c r="W1140" s="29" t="str">
        <f>IF(U1140=1,COUNTIF($U$2:U1140,1),"")</f>
        <v/>
      </c>
      <c r="X1140" s="29" t="str">
        <f t="shared" si="59"/>
        <v/>
      </c>
      <c r="Y1140" s="29" t="str">
        <f>IF(AND(LEFT($B1140,7)="SBA 26/",$D1140&lt;&gt;"",$F1140&lt;&gt;""),COUNTIFS($D$2:$D1140,$D1140,$B$2:$B1140,"SBA 26/*",$F$2:$F1140,"&lt;&gt;"),"")</f>
        <v/>
      </c>
      <c r="Z1140" s="29" t="str">
        <f>IF(Y1140=1,COUNTIF($Y$2:Y1140,1),"")</f>
        <v/>
      </c>
      <c r="AA1140" s="29" t="str">
        <f>IF(AND(LEFT($B1140,7)="SBA 26/",$C1140&lt;&gt;"",$F1140&lt;&gt;""),COUNTIFS($C$2:$C1140,$C1140,$B$2:$B1140,"SBA 26/*",$F$2:$F1140,"&lt;&gt;"),"")</f>
        <v/>
      </c>
      <c r="AB1140" s="29" t="str">
        <f>IF(AA1140=1,COUNTIF($AA$2:AA1140,1),"")</f>
        <v/>
      </c>
    </row>
    <row r="1141" spans="6:28" ht="31.5" customHeight="1" x14ac:dyDescent="0.2">
      <c r="F1141" s="45" t="s">
        <v>3703</v>
      </c>
      <c r="T1141" s="41"/>
      <c r="U1141" s="29" t="str">
        <f>IF($C1141&lt;&gt;"",COUNTIF($C$2:C1141,C1141),"")</f>
        <v/>
      </c>
      <c r="V1141" s="29" t="str">
        <f t="shared" si="58"/>
        <v/>
      </c>
      <c r="W1141" s="29" t="str">
        <f>IF(U1141=1,COUNTIF($U$2:U1141,1),"")</f>
        <v/>
      </c>
      <c r="X1141" s="29" t="str">
        <f t="shared" si="59"/>
        <v/>
      </c>
      <c r="Y1141" s="29" t="str">
        <f>IF(AND(LEFT($B1141,7)="SBA 26/",$D1141&lt;&gt;"",$F1141&lt;&gt;""),COUNTIFS($D$2:$D1141,$D1141,$B$2:$B1141,"SBA 26/*",$F$2:$F1141,"&lt;&gt;"),"")</f>
        <v/>
      </c>
      <c r="Z1141" s="29" t="str">
        <f>IF(Y1141=1,COUNTIF($Y$2:Y1141,1),"")</f>
        <v/>
      </c>
      <c r="AA1141" s="29" t="str">
        <f>IF(AND(LEFT($B1141,7)="SBA 26/",$C1141&lt;&gt;"",$F1141&lt;&gt;""),COUNTIFS($C$2:$C1141,$C1141,$B$2:$B1141,"SBA 26/*",$F$2:$F1141,"&lt;&gt;"),"")</f>
        <v/>
      </c>
      <c r="AB1141" s="29" t="str">
        <f>IF(AA1141=1,COUNTIF($AA$2:AA1141,1),"")</f>
        <v/>
      </c>
    </row>
    <row r="1142" spans="6:28" ht="63" customHeight="1" x14ac:dyDescent="0.2">
      <c r="F1142" s="45" t="s">
        <v>3704</v>
      </c>
      <c r="T1142" s="41"/>
      <c r="U1142" s="29" t="str">
        <f>IF($C1142&lt;&gt;"",COUNTIF($C$2:C1142,C1142),"")</f>
        <v/>
      </c>
      <c r="V1142" s="29" t="str">
        <f t="shared" si="58"/>
        <v/>
      </c>
      <c r="W1142" s="29" t="str">
        <f>IF(U1142=1,COUNTIF($U$2:U1142,1),"")</f>
        <v/>
      </c>
      <c r="X1142" s="29" t="str">
        <f t="shared" si="59"/>
        <v/>
      </c>
      <c r="Y1142" s="29" t="str">
        <f>IF(AND(LEFT($B1142,7)="SBA 26/",$D1142&lt;&gt;"",$F1142&lt;&gt;""),COUNTIFS($D$2:$D1142,$D1142,$B$2:$B1142,"SBA 26/*",$F$2:$F1142,"&lt;&gt;"),"")</f>
        <v/>
      </c>
      <c r="Z1142" s="29" t="str">
        <f>IF(Y1142=1,COUNTIF($Y$2:Y1142,1),"")</f>
        <v/>
      </c>
      <c r="AA1142" s="29" t="str">
        <f>IF(AND(LEFT($B1142,7)="SBA 26/",$C1142&lt;&gt;"",$F1142&lt;&gt;""),COUNTIFS($C$2:$C1142,$C1142,$B$2:$B1142,"SBA 26/*",$F$2:$F1142,"&lt;&gt;"),"")</f>
        <v/>
      </c>
      <c r="AB1142" s="29" t="str">
        <f>IF(AA1142=1,COUNTIF($AA$2:AA1142,1),"")</f>
        <v/>
      </c>
    </row>
    <row r="1143" spans="6:28" ht="31.5" customHeight="1" x14ac:dyDescent="0.2">
      <c r="F1143" s="45" t="s">
        <v>3705</v>
      </c>
      <c r="T1143" s="41"/>
      <c r="U1143" s="29" t="str">
        <f>IF($C1143&lt;&gt;"",COUNTIF($C$2:C1143,C1143),"")</f>
        <v/>
      </c>
      <c r="V1143" s="29" t="str">
        <f t="shared" si="58"/>
        <v/>
      </c>
      <c r="W1143" s="29" t="str">
        <f>IF(U1143=1,COUNTIF($U$2:U1143,1),"")</f>
        <v/>
      </c>
      <c r="X1143" s="29" t="str">
        <f t="shared" si="59"/>
        <v/>
      </c>
      <c r="Y1143" s="29" t="str">
        <f>IF(AND(LEFT($B1143,7)="SBA 26/",$D1143&lt;&gt;"",$F1143&lt;&gt;""),COUNTIFS($D$2:$D1143,$D1143,$B$2:$B1143,"SBA 26/*",$F$2:$F1143,"&lt;&gt;"),"")</f>
        <v/>
      </c>
      <c r="Z1143" s="29" t="str">
        <f>IF(Y1143=1,COUNTIF($Y$2:Y1143,1),"")</f>
        <v/>
      </c>
      <c r="AA1143" s="29" t="str">
        <f>IF(AND(LEFT($B1143,7)="SBA 26/",$C1143&lt;&gt;"",$F1143&lt;&gt;""),COUNTIFS($C$2:$C1143,$C1143,$B$2:$B1143,"SBA 26/*",$F$2:$F1143,"&lt;&gt;"),"")</f>
        <v/>
      </c>
      <c r="AB1143" s="29" t="str">
        <f>IF(AA1143=1,COUNTIF($AA$2:AA1143,1),"")</f>
        <v/>
      </c>
    </row>
    <row r="1144" spans="6:28" ht="63" customHeight="1" x14ac:dyDescent="0.2">
      <c r="F1144" s="45" t="s">
        <v>3706</v>
      </c>
      <c r="T1144" s="41"/>
      <c r="U1144" s="29" t="str">
        <f>IF($C1144&lt;&gt;"",COUNTIF($C$2:C1144,C1144),"")</f>
        <v/>
      </c>
      <c r="V1144" s="29" t="str">
        <f t="shared" si="58"/>
        <v/>
      </c>
      <c r="W1144" s="29" t="str">
        <f>IF(U1144=1,COUNTIF($U$2:U1144,1),"")</f>
        <v/>
      </c>
      <c r="X1144" s="29" t="str">
        <f t="shared" si="59"/>
        <v/>
      </c>
      <c r="Y1144" s="29" t="str">
        <f>IF(AND(LEFT($B1144,7)="SBA 26/",$D1144&lt;&gt;"",$F1144&lt;&gt;""),COUNTIFS($D$2:$D1144,$D1144,$B$2:$B1144,"SBA 26/*",$F$2:$F1144,"&lt;&gt;"),"")</f>
        <v/>
      </c>
      <c r="Z1144" s="29" t="str">
        <f>IF(Y1144=1,COUNTIF($Y$2:Y1144,1),"")</f>
        <v/>
      </c>
      <c r="AA1144" s="29" t="str">
        <f>IF(AND(LEFT($B1144,7)="SBA 26/",$C1144&lt;&gt;"",$F1144&lt;&gt;""),COUNTIFS($C$2:$C1144,$C1144,$B$2:$B1144,"SBA 26/*",$F$2:$F1144,"&lt;&gt;"),"")</f>
        <v/>
      </c>
      <c r="AB1144" s="29" t="str">
        <f>IF(AA1144=1,COUNTIF($AA$2:AA1144,1),"")</f>
        <v/>
      </c>
    </row>
    <row r="1145" spans="6:28" ht="47.25" customHeight="1" x14ac:dyDescent="0.2">
      <c r="F1145" s="45" t="s">
        <v>3707</v>
      </c>
      <c r="T1145" s="41"/>
      <c r="U1145" s="29" t="str">
        <f>IF($C1145&lt;&gt;"",COUNTIF($C$2:C1145,C1145),"")</f>
        <v/>
      </c>
      <c r="V1145" s="29" t="str">
        <f t="shared" si="58"/>
        <v/>
      </c>
      <c r="W1145" s="29" t="str">
        <f>IF(U1145=1,COUNTIF($U$2:U1145,1),"")</f>
        <v/>
      </c>
      <c r="X1145" s="29" t="str">
        <f t="shared" si="59"/>
        <v/>
      </c>
      <c r="Y1145" s="29" t="str">
        <f>IF(AND(LEFT($B1145,7)="SBA 26/",$D1145&lt;&gt;"",$F1145&lt;&gt;""),COUNTIFS($D$2:$D1145,$D1145,$B$2:$B1145,"SBA 26/*",$F$2:$F1145,"&lt;&gt;"),"")</f>
        <v/>
      </c>
      <c r="Z1145" s="29" t="str">
        <f>IF(Y1145=1,COUNTIF($Y$2:Y1145,1),"")</f>
        <v/>
      </c>
      <c r="AA1145" s="29" t="str">
        <f>IF(AND(LEFT($B1145,7)="SBA 26/",$C1145&lt;&gt;"",$F1145&lt;&gt;""),COUNTIFS($C$2:$C1145,$C1145,$B$2:$B1145,"SBA 26/*",$F$2:$F1145,"&lt;&gt;"),"")</f>
        <v/>
      </c>
      <c r="AB1145" s="29" t="str">
        <f>IF(AA1145=1,COUNTIF($AA$2:AA1145,1),"")</f>
        <v/>
      </c>
    </row>
    <row r="1146" spans="6:28" ht="47.25" customHeight="1" x14ac:dyDescent="0.2">
      <c r="F1146" s="45" t="s">
        <v>3708</v>
      </c>
      <c r="T1146" s="41"/>
      <c r="U1146" s="29" t="str">
        <f>IF($C1146&lt;&gt;"",COUNTIF($C$2:C1146,C1146),"")</f>
        <v/>
      </c>
      <c r="V1146" s="29" t="str">
        <f t="shared" si="58"/>
        <v/>
      </c>
      <c r="W1146" s="29" t="str">
        <f>IF(U1146=1,COUNTIF($U$2:U1146,1),"")</f>
        <v/>
      </c>
      <c r="X1146" s="29" t="str">
        <f t="shared" si="59"/>
        <v/>
      </c>
      <c r="Y1146" s="29" t="str">
        <f>IF(AND(LEFT($B1146,7)="SBA 26/",$D1146&lt;&gt;"",$F1146&lt;&gt;""),COUNTIFS($D$2:$D1146,$D1146,$B$2:$B1146,"SBA 26/*",$F$2:$F1146,"&lt;&gt;"),"")</f>
        <v/>
      </c>
      <c r="Z1146" s="29" t="str">
        <f>IF(Y1146=1,COUNTIF($Y$2:Y1146,1),"")</f>
        <v/>
      </c>
      <c r="AA1146" s="29" t="str">
        <f>IF(AND(LEFT($B1146,7)="SBA 26/",$C1146&lt;&gt;"",$F1146&lt;&gt;""),COUNTIFS($C$2:$C1146,$C1146,$B$2:$B1146,"SBA 26/*",$F$2:$F1146,"&lt;&gt;"),"")</f>
        <v/>
      </c>
      <c r="AB1146" s="29" t="str">
        <f>IF(AA1146=1,COUNTIF($AA$2:AA1146,1),"")</f>
        <v/>
      </c>
    </row>
    <row r="1147" spans="6:28" ht="47.25" customHeight="1" x14ac:dyDescent="0.2">
      <c r="F1147" s="45" t="s">
        <v>3709</v>
      </c>
      <c r="T1147" s="41"/>
      <c r="U1147" s="29" t="str">
        <f>IF($C1147&lt;&gt;"",COUNTIF($C$2:C1147,C1147),"")</f>
        <v/>
      </c>
      <c r="V1147" s="29" t="str">
        <f t="shared" si="58"/>
        <v/>
      </c>
      <c r="W1147" s="29" t="str">
        <f>IF(U1147=1,COUNTIF($U$2:U1147,1),"")</f>
        <v/>
      </c>
      <c r="X1147" s="29" t="str">
        <f t="shared" si="59"/>
        <v/>
      </c>
      <c r="Y1147" s="29" t="str">
        <f>IF(AND(LEFT($B1147,7)="SBA 26/",$D1147&lt;&gt;"",$F1147&lt;&gt;""),COUNTIFS($D$2:$D1147,$D1147,$B$2:$B1147,"SBA 26/*",$F$2:$F1147,"&lt;&gt;"),"")</f>
        <v/>
      </c>
      <c r="Z1147" s="29" t="str">
        <f>IF(Y1147=1,COUNTIF($Y$2:Y1147,1),"")</f>
        <v/>
      </c>
      <c r="AA1147" s="29" t="str">
        <f>IF(AND(LEFT($B1147,7)="SBA 26/",$C1147&lt;&gt;"",$F1147&lt;&gt;""),COUNTIFS($C$2:$C1147,$C1147,$B$2:$B1147,"SBA 26/*",$F$2:$F1147,"&lt;&gt;"),"")</f>
        <v/>
      </c>
      <c r="AB1147" s="29" t="str">
        <f>IF(AA1147=1,COUNTIF($AA$2:AA1147,1),"")</f>
        <v/>
      </c>
    </row>
    <row r="1148" spans="6:28" ht="47.25" customHeight="1" x14ac:dyDescent="0.2">
      <c r="F1148" s="45" t="s">
        <v>3710</v>
      </c>
      <c r="T1148" s="41"/>
      <c r="U1148" s="29" t="str">
        <f>IF($C1148&lt;&gt;"",COUNTIF($C$2:C1148,C1148),"")</f>
        <v/>
      </c>
      <c r="V1148" s="29" t="str">
        <f t="shared" si="58"/>
        <v/>
      </c>
      <c r="W1148" s="29" t="str">
        <f>IF(U1148=1,COUNTIF($U$2:U1148,1),"")</f>
        <v/>
      </c>
      <c r="X1148" s="29" t="str">
        <f t="shared" si="59"/>
        <v/>
      </c>
      <c r="Y1148" s="29" t="str">
        <f>IF(AND(LEFT($B1148,7)="SBA 26/",$D1148&lt;&gt;"",$F1148&lt;&gt;""),COUNTIFS($D$2:$D1148,$D1148,$B$2:$B1148,"SBA 26/*",$F$2:$F1148,"&lt;&gt;"),"")</f>
        <v/>
      </c>
      <c r="Z1148" s="29" t="str">
        <f>IF(Y1148=1,COUNTIF($Y$2:Y1148,1),"")</f>
        <v/>
      </c>
      <c r="AA1148" s="29" t="str">
        <f>IF(AND(LEFT($B1148,7)="SBA 26/",$C1148&lt;&gt;"",$F1148&lt;&gt;""),COUNTIFS($C$2:$C1148,$C1148,$B$2:$B1148,"SBA 26/*",$F$2:$F1148,"&lt;&gt;"),"")</f>
        <v/>
      </c>
      <c r="AB1148" s="29" t="str">
        <f>IF(AA1148=1,COUNTIF($AA$2:AA1148,1),"")</f>
        <v/>
      </c>
    </row>
    <row r="1149" spans="6:28" ht="47.25" customHeight="1" x14ac:dyDescent="0.2">
      <c r="F1149" s="45" t="s">
        <v>3711</v>
      </c>
      <c r="T1149" s="41"/>
      <c r="U1149" s="29" t="str">
        <f>IF($C1149&lt;&gt;"",COUNTIF($C$2:C1149,C1149),"")</f>
        <v/>
      </c>
      <c r="V1149" s="29" t="str">
        <f t="shared" si="58"/>
        <v/>
      </c>
      <c r="W1149" s="29" t="str">
        <f>IF(U1149=1,COUNTIF($U$2:U1149,1),"")</f>
        <v/>
      </c>
      <c r="X1149" s="29" t="str">
        <f t="shared" si="59"/>
        <v/>
      </c>
      <c r="Y1149" s="29" t="str">
        <f>IF(AND(LEFT($B1149,7)="SBA 26/",$D1149&lt;&gt;"",$F1149&lt;&gt;""),COUNTIFS($D$2:$D1149,$D1149,$B$2:$B1149,"SBA 26/*",$F$2:$F1149,"&lt;&gt;"),"")</f>
        <v/>
      </c>
      <c r="Z1149" s="29" t="str">
        <f>IF(Y1149=1,COUNTIF($Y$2:Y1149,1),"")</f>
        <v/>
      </c>
      <c r="AA1149" s="29" t="str">
        <f>IF(AND(LEFT($B1149,7)="SBA 26/",$C1149&lt;&gt;"",$F1149&lt;&gt;""),COUNTIFS($C$2:$C1149,$C1149,$B$2:$B1149,"SBA 26/*",$F$2:$F1149,"&lt;&gt;"),"")</f>
        <v/>
      </c>
      <c r="AB1149" s="29" t="str">
        <f>IF(AA1149=1,COUNTIF($AA$2:AA1149,1),"")</f>
        <v/>
      </c>
    </row>
    <row r="1150" spans="6:28" ht="47.25" customHeight="1" x14ac:dyDescent="0.2">
      <c r="F1150" s="45" t="s">
        <v>3712</v>
      </c>
      <c r="T1150" s="41"/>
      <c r="U1150" s="29" t="str">
        <f>IF($C1150&lt;&gt;"",COUNTIF($C$2:C1150,C1150),"")</f>
        <v/>
      </c>
      <c r="V1150" s="29" t="str">
        <f t="shared" si="58"/>
        <v/>
      </c>
      <c r="W1150" s="29" t="str">
        <f>IF(U1150=1,COUNTIF($U$2:U1150,1),"")</f>
        <v/>
      </c>
      <c r="X1150" s="29" t="str">
        <f t="shared" si="59"/>
        <v/>
      </c>
      <c r="Y1150" s="29" t="str">
        <f>IF(AND(LEFT($B1150,7)="SBA 26/",$D1150&lt;&gt;"",$F1150&lt;&gt;""),COUNTIFS($D$2:$D1150,$D1150,$B$2:$B1150,"SBA 26/*",$F$2:$F1150,"&lt;&gt;"),"")</f>
        <v/>
      </c>
      <c r="Z1150" s="29" t="str">
        <f>IF(Y1150=1,COUNTIF($Y$2:Y1150,1),"")</f>
        <v/>
      </c>
      <c r="AA1150" s="29" t="str">
        <f>IF(AND(LEFT($B1150,7)="SBA 26/",$C1150&lt;&gt;"",$F1150&lt;&gt;""),COUNTIFS($C$2:$C1150,$C1150,$B$2:$B1150,"SBA 26/*",$F$2:$F1150,"&lt;&gt;"),"")</f>
        <v/>
      </c>
      <c r="AB1150" s="29" t="str">
        <f>IF(AA1150=1,COUNTIF($AA$2:AA1150,1),"")</f>
        <v/>
      </c>
    </row>
    <row r="1151" spans="6:28" ht="47.25" customHeight="1" x14ac:dyDescent="0.2">
      <c r="F1151" s="45" t="s">
        <v>3713</v>
      </c>
      <c r="T1151" s="41"/>
      <c r="U1151" s="29" t="str">
        <f>IF($C1151&lt;&gt;"",COUNTIF($C$2:C1151,C1151),"")</f>
        <v/>
      </c>
      <c r="V1151" s="29" t="str">
        <f t="shared" si="58"/>
        <v/>
      </c>
      <c r="W1151" s="29" t="str">
        <f>IF(U1151=1,COUNTIF($U$2:U1151,1),"")</f>
        <v/>
      </c>
      <c r="X1151" s="29" t="str">
        <f t="shared" si="59"/>
        <v/>
      </c>
      <c r="Y1151" s="29" t="str">
        <f>IF(AND(LEFT($B1151,7)="SBA 26/",$D1151&lt;&gt;"",$F1151&lt;&gt;""),COUNTIFS($D$2:$D1151,$D1151,$B$2:$B1151,"SBA 26/*",$F$2:$F1151,"&lt;&gt;"),"")</f>
        <v/>
      </c>
      <c r="Z1151" s="29" t="str">
        <f>IF(Y1151=1,COUNTIF($Y$2:Y1151,1),"")</f>
        <v/>
      </c>
      <c r="AA1151" s="29" t="str">
        <f>IF(AND(LEFT($B1151,7)="SBA 26/",$C1151&lt;&gt;"",$F1151&lt;&gt;""),COUNTIFS($C$2:$C1151,$C1151,$B$2:$B1151,"SBA 26/*",$F$2:$F1151,"&lt;&gt;"),"")</f>
        <v/>
      </c>
      <c r="AB1151" s="29" t="str">
        <f>IF(AA1151=1,COUNTIF($AA$2:AA1151,1),"")</f>
        <v/>
      </c>
    </row>
    <row r="1152" spans="6:28" ht="31.5" customHeight="1" x14ac:dyDescent="0.2">
      <c r="F1152" s="45" t="s">
        <v>3714</v>
      </c>
      <c r="T1152" s="41"/>
      <c r="U1152" s="29" t="str">
        <f>IF($C1152&lt;&gt;"",COUNTIF($C$2:C1152,C1152),"")</f>
        <v/>
      </c>
      <c r="V1152" s="29" t="str">
        <f t="shared" si="58"/>
        <v/>
      </c>
      <c r="W1152" s="29" t="str">
        <f>IF(U1152=1,COUNTIF($U$2:U1152,1),"")</f>
        <v/>
      </c>
      <c r="X1152" s="29" t="str">
        <f t="shared" si="59"/>
        <v/>
      </c>
      <c r="Y1152" s="29" t="str">
        <f>IF(AND(LEFT($B1152,7)="SBA 26/",$D1152&lt;&gt;"",$F1152&lt;&gt;""),COUNTIFS($D$2:$D1152,$D1152,$B$2:$B1152,"SBA 26/*",$F$2:$F1152,"&lt;&gt;"),"")</f>
        <v/>
      </c>
      <c r="Z1152" s="29" t="str">
        <f>IF(Y1152=1,COUNTIF($Y$2:Y1152,1),"")</f>
        <v/>
      </c>
      <c r="AA1152" s="29" t="str">
        <f>IF(AND(LEFT($B1152,7)="SBA 26/",$C1152&lt;&gt;"",$F1152&lt;&gt;""),COUNTIFS($C$2:$C1152,$C1152,$B$2:$B1152,"SBA 26/*",$F$2:$F1152,"&lt;&gt;"),"")</f>
        <v/>
      </c>
      <c r="AB1152" s="29" t="str">
        <f>IF(AA1152=1,COUNTIF($AA$2:AA1152,1),"")</f>
        <v/>
      </c>
    </row>
    <row r="1153" spans="6:28" ht="63" customHeight="1" x14ac:dyDescent="0.2">
      <c r="F1153" s="45" t="s">
        <v>3715</v>
      </c>
      <c r="T1153" s="41"/>
      <c r="U1153" s="29" t="str">
        <f>IF($C1153&lt;&gt;"",COUNTIF($C$2:C1153,C1153),"")</f>
        <v/>
      </c>
      <c r="V1153" s="29" t="str">
        <f t="shared" si="58"/>
        <v/>
      </c>
      <c r="W1153" s="29" t="str">
        <f>IF(U1153=1,COUNTIF($U$2:U1153,1),"")</f>
        <v/>
      </c>
      <c r="X1153" s="29" t="str">
        <f t="shared" si="59"/>
        <v/>
      </c>
      <c r="Y1153" s="29" t="str">
        <f>IF(AND(LEFT($B1153,7)="SBA 26/",$D1153&lt;&gt;"",$F1153&lt;&gt;""),COUNTIFS($D$2:$D1153,$D1153,$B$2:$B1153,"SBA 26/*",$F$2:$F1153,"&lt;&gt;"),"")</f>
        <v/>
      </c>
      <c r="Z1153" s="29" t="str">
        <f>IF(Y1153=1,COUNTIF($Y$2:Y1153,1),"")</f>
        <v/>
      </c>
      <c r="AA1153" s="29" t="str">
        <f>IF(AND(LEFT($B1153,7)="SBA 26/",$C1153&lt;&gt;"",$F1153&lt;&gt;""),COUNTIFS($C$2:$C1153,$C1153,$B$2:$B1153,"SBA 26/*",$F$2:$F1153,"&lt;&gt;"),"")</f>
        <v/>
      </c>
      <c r="AB1153" s="29" t="str">
        <f>IF(AA1153=1,COUNTIF($AA$2:AA1153,1),"")</f>
        <v/>
      </c>
    </row>
    <row r="1154" spans="6:28" ht="63" customHeight="1" x14ac:dyDescent="0.2">
      <c r="F1154" s="45" t="s">
        <v>3716</v>
      </c>
      <c r="T1154" s="41"/>
      <c r="U1154" s="29" t="str">
        <f>IF($C1154&lt;&gt;"",COUNTIF($C$2:C1154,C1154),"")</f>
        <v/>
      </c>
      <c r="V1154" s="29" t="str">
        <f t="shared" ref="V1154:V1217" si="60">IF($C1154&lt;&gt;"",C1154&amp;"§"&amp;U1154,"")</f>
        <v/>
      </c>
      <c r="W1154" s="29" t="str">
        <f>IF(U1154=1,COUNTIF($U$2:U1154,1),"")</f>
        <v/>
      </c>
      <c r="X1154" s="29" t="str">
        <f t="shared" ref="X1154:X1217" si="61">IF(U1154=1,SUMPRODUCT(($U$2:$U$1799=1)*($C$2:$C$1799&lt;C1154))+1,"")</f>
        <v/>
      </c>
      <c r="Y1154" s="29" t="str">
        <f>IF(AND(LEFT($B1154,7)="SBA 26/",$D1154&lt;&gt;"",$F1154&lt;&gt;""),COUNTIFS($D$2:$D1154,$D1154,$B$2:$B1154,"SBA 26/*",$F$2:$F1154,"&lt;&gt;"),"")</f>
        <v/>
      </c>
      <c r="Z1154" s="29" t="str">
        <f>IF(Y1154=1,COUNTIF($Y$2:Y1154,1),"")</f>
        <v/>
      </c>
      <c r="AA1154" s="29" t="str">
        <f>IF(AND(LEFT($B1154,7)="SBA 26/",$C1154&lt;&gt;"",$F1154&lt;&gt;""),COUNTIFS($C$2:$C1154,$C1154,$B$2:$B1154,"SBA 26/*",$F$2:$F1154,"&lt;&gt;"),"")</f>
        <v/>
      </c>
      <c r="AB1154" s="29" t="str">
        <f>IF(AA1154=1,COUNTIF($AA$2:AA1154,1),"")</f>
        <v/>
      </c>
    </row>
    <row r="1155" spans="6:28" ht="63" customHeight="1" x14ac:dyDescent="0.2">
      <c r="F1155" s="45" t="s">
        <v>3717</v>
      </c>
      <c r="T1155" s="41"/>
      <c r="U1155" s="29" t="str">
        <f>IF($C1155&lt;&gt;"",COUNTIF($C$2:C1155,C1155),"")</f>
        <v/>
      </c>
      <c r="V1155" s="29" t="str">
        <f t="shared" si="60"/>
        <v/>
      </c>
      <c r="W1155" s="29" t="str">
        <f>IF(U1155=1,COUNTIF($U$2:U1155,1),"")</f>
        <v/>
      </c>
      <c r="X1155" s="29" t="str">
        <f t="shared" si="61"/>
        <v/>
      </c>
      <c r="Y1155" s="29" t="str">
        <f>IF(AND(LEFT($B1155,7)="SBA 26/",$D1155&lt;&gt;"",$F1155&lt;&gt;""),COUNTIFS($D$2:$D1155,$D1155,$B$2:$B1155,"SBA 26/*",$F$2:$F1155,"&lt;&gt;"),"")</f>
        <v/>
      </c>
      <c r="Z1155" s="29" t="str">
        <f>IF(Y1155=1,COUNTIF($Y$2:Y1155,1),"")</f>
        <v/>
      </c>
      <c r="AA1155" s="29" t="str">
        <f>IF(AND(LEFT($B1155,7)="SBA 26/",$C1155&lt;&gt;"",$F1155&lt;&gt;""),COUNTIFS($C$2:$C1155,$C1155,$B$2:$B1155,"SBA 26/*",$F$2:$F1155,"&lt;&gt;"),"")</f>
        <v/>
      </c>
      <c r="AB1155" s="29" t="str">
        <f>IF(AA1155=1,COUNTIF($AA$2:AA1155,1),"")</f>
        <v/>
      </c>
    </row>
    <row r="1156" spans="6:28" ht="47.25" customHeight="1" x14ac:dyDescent="0.2">
      <c r="F1156" s="45" t="s">
        <v>3718</v>
      </c>
      <c r="T1156" s="41"/>
      <c r="U1156" s="29" t="str">
        <f>IF($C1156&lt;&gt;"",COUNTIF($C$2:C1156,C1156),"")</f>
        <v/>
      </c>
      <c r="V1156" s="29" t="str">
        <f t="shared" si="60"/>
        <v/>
      </c>
      <c r="W1156" s="29" t="str">
        <f>IF(U1156=1,COUNTIF($U$2:U1156,1),"")</f>
        <v/>
      </c>
      <c r="X1156" s="29" t="str">
        <f t="shared" si="61"/>
        <v/>
      </c>
      <c r="Y1156" s="29" t="str">
        <f>IF(AND(LEFT($B1156,7)="SBA 26/",$D1156&lt;&gt;"",$F1156&lt;&gt;""),COUNTIFS($D$2:$D1156,$D1156,$B$2:$B1156,"SBA 26/*",$F$2:$F1156,"&lt;&gt;"),"")</f>
        <v/>
      </c>
      <c r="Z1156" s="29" t="str">
        <f>IF(Y1156=1,COUNTIF($Y$2:Y1156,1),"")</f>
        <v/>
      </c>
      <c r="AA1156" s="29" t="str">
        <f>IF(AND(LEFT($B1156,7)="SBA 26/",$C1156&lt;&gt;"",$F1156&lt;&gt;""),COUNTIFS($C$2:$C1156,$C1156,$B$2:$B1156,"SBA 26/*",$F$2:$F1156,"&lt;&gt;"),"")</f>
        <v/>
      </c>
      <c r="AB1156" s="29" t="str">
        <f>IF(AA1156=1,COUNTIF($AA$2:AA1156,1),"")</f>
        <v/>
      </c>
    </row>
    <row r="1157" spans="6:28" ht="31.5" customHeight="1" x14ac:dyDescent="0.2">
      <c r="F1157" s="45" t="s">
        <v>3719</v>
      </c>
      <c r="T1157" s="41"/>
      <c r="U1157" s="29" t="str">
        <f>IF($C1157&lt;&gt;"",COUNTIF($C$2:C1157,C1157),"")</f>
        <v/>
      </c>
      <c r="V1157" s="29" t="str">
        <f t="shared" si="60"/>
        <v/>
      </c>
      <c r="W1157" s="29" t="str">
        <f>IF(U1157=1,COUNTIF($U$2:U1157,1),"")</f>
        <v/>
      </c>
      <c r="X1157" s="29" t="str">
        <f t="shared" si="61"/>
        <v/>
      </c>
      <c r="Y1157" s="29" t="str">
        <f>IF(AND(LEFT($B1157,7)="SBA 26/",$D1157&lt;&gt;"",$F1157&lt;&gt;""),COUNTIFS($D$2:$D1157,$D1157,$B$2:$B1157,"SBA 26/*",$F$2:$F1157,"&lt;&gt;"),"")</f>
        <v/>
      </c>
      <c r="Z1157" s="29" t="str">
        <f>IF(Y1157=1,COUNTIF($Y$2:Y1157,1),"")</f>
        <v/>
      </c>
      <c r="AA1157" s="29" t="str">
        <f>IF(AND(LEFT($B1157,7)="SBA 26/",$C1157&lt;&gt;"",$F1157&lt;&gt;""),COUNTIFS($C$2:$C1157,$C1157,$B$2:$B1157,"SBA 26/*",$F$2:$F1157,"&lt;&gt;"),"")</f>
        <v/>
      </c>
      <c r="AB1157" s="29" t="str">
        <f>IF(AA1157=1,COUNTIF($AA$2:AA1157,1),"")</f>
        <v/>
      </c>
    </row>
    <row r="1158" spans="6:28" ht="47.25" customHeight="1" x14ac:dyDescent="0.2">
      <c r="F1158" s="45" t="s">
        <v>3720</v>
      </c>
      <c r="T1158" s="41"/>
      <c r="U1158" s="29" t="str">
        <f>IF($C1158&lt;&gt;"",COUNTIF($C$2:C1158,C1158),"")</f>
        <v/>
      </c>
      <c r="V1158" s="29" t="str">
        <f t="shared" si="60"/>
        <v/>
      </c>
      <c r="W1158" s="29" t="str">
        <f>IF(U1158=1,COUNTIF($U$2:U1158,1),"")</f>
        <v/>
      </c>
      <c r="X1158" s="29" t="str">
        <f t="shared" si="61"/>
        <v/>
      </c>
      <c r="Y1158" s="29" t="str">
        <f>IF(AND(LEFT($B1158,7)="SBA 26/",$D1158&lt;&gt;"",$F1158&lt;&gt;""),COUNTIFS($D$2:$D1158,$D1158,$B$2:$B1158,"SBA 26/*",$F$2:$F1158,"&lt;&gt;"),"")</f>
        <v/>
      </c>
      <c r="Z1158" s="29" t="str">
        <f>IF(Y1158=1,COUNTIF($Y$2:Y1158,1),"")</f>
        <v/>
      </c>
      <c r="AA1158" s="29" t="str">
        <f>IF(AND(LEFT($B1158,7)="SBA 26/",$C1158&lt;&gt;"",$F1158&lt;&gt;""),COUNTIFS($C$2:$C1158,$C1158,$B$2:$B1158,"SBA 26/*",$F$2:$F1158,"&lt;&gt;"),"")</f>
        <v/>
      </c>
      <c r="AB1158" s="29" t="str">
        <f>IF(AA1158=1,COUNTIF($AA$2:AA1158,1),"")</f>
        <v/>
      </c>
    </row>
    <row r="1159" spans="6:28" ht="47.25" customHeight="1" x14ac:dyDescent="0.2">
      <c r="F1159" s="45" t="s">
        <v>3721</v>
      </c>
      <c r="T1159" s="41"/>
      <c r="U1159" s="29" t="str">
        <f>IF($C1159&lt;&gt;"",COUNTIF($C$2:C1159,C1159),"")</f>
        <v/>
      </c>
      <c r="V1159" s="29" t="str">
        <f t="shared" si="60"/>
        <v/>
      </c>
      <c r="W1159" s="29" t="str">
        <f>IF(U1159=1,COUNTIF($U$2:U1159,1),"")</f>
        <v/>
      </c>
      <c r="X1159" s="29" t="str">
        <f t="shared" si="61"/>
        <v/>
      </c>
      <c r="Y1159" s="29" t="str">
        <f>IF(AND(LEFT($B1159,7)="SBA 26/",$D1159&lt;&gt;"",$F1159&lt;&gt;""),COUNTIFS($D$2:$D1159,$D1159,$B$2:$B1159,"SBA 26/*",$F$2:$F1159,"&lt;&gt;"),"")</f>
        <v/>
      </c>
      <c r="Z1159" s="29" t="str">
        <f>IF(Y1159=1,COUNTIF($Y$2:Y1159,1),"")</f>
        <v/>
      </c>
      <c r="AA1159" s="29" t="str">
        <f>IF(AND(LEFT($B1159,7)="SBA 26/",$C1159&lt;&gt;"",$F1159&lt;&gt;""),COUNTIFS($C$2:$C1159,$C1159,$B$2:$B1159,"SBA 26/*",$F$2:$F1159,"&lt;&gt;"),"")</f>
        <v/>
      </c>
      <c r="AB1159" s="29" t="str">
        <f>IF(AA1159=1,COUNTIF($AA$2:AA1159,1),"")</f>
        <v/>
      </c>
    </row>
    <row r="1160" spans="6:28" ht="31.5" customHeight="1" x14ac:dyDescent="0.2">
      <c r="F1160" s="45" t="s">
        <v>3722</v>
      </c>
      <c r="T1160" s="41"/>
      <c r="U1160" s="29" t="str">
        <f>IF($C1160&lt;&gt;"",COUNTIF($C$2:C1160,C1160),"")</f>
        <v/>
      </c>
      <c r="V1160" s="29" t="str">
        <f t="shared" si="60"/>
        <v/>
      </c>
      <c r="W1160" s="29" t="str">
        <f>IF(U1160=1,COUNTIF($U$2:U1160,1),"")</f>
        <v/>
      </c>
      <c r="X1160" s="29" t="str">
        <f t="shared" si="61"/>
        <v/>
      </c>
      <c r="Y1160" s="29" t="str">
        <f>IF(AND(LEFT($B1160,7)="SBA 26/",$D1160&lt;&gt;"",$F1160&lt;&gt;""),COUNTIFS($D$2:$D1160,$D1160,$B$2:$B1160,"SBA 26/*",$F$2:$F1160,"&lt;&gt;"),"")</f>
        <v/>
      </c>
      <c r="Z1160" s="29" t="str">
        <f>IF(Y1160=1,COUNTIF($Y$2:Y1160,1),"")</f>
        <v/>
      </c>
      <c r="AA1160" s="29" t="str">
        <f>IF(AND(LEFT($B1160,7)="SBA 26/",$C1160&lt;&gt;"",$F1160&lt;&gt;""),COUNTIFS($C$2:$C1160,$C1160,$B$2:$B1160,"SBA 26/*",$F$2:$F1160,"&lt;&gt;"),"")</f>
        <v/>
      </c>
      <c r="AB1160" s="29" t="str">
        <f>IF(AA1160=1,COUNTIF($AA$2:AA1160,1),"")</f>
        <v/>
      </c>
    </row>
    <row r="1161" spans="6:28" ht="94.5" customHeight="1" x14ac:dyDescent="0.2">
      <c r="F1161" s="45" t="s">
        <v>3723</v>
      </c>
      <c r="T1161" s="41"/>
      <c r="U1161" s="29" t="str">
        <f>IF($C1161&lt;&gt;"",COUNTIF($C$2:C1161,C1161),"")</f>
        <v/>
      </c>
      <c r="V1161" s="29" t="str">
        <f t="shared" si="60"/>
        <v/>
      </c>
      <c r="W1161" s="29" t="str">
        <f>IF(U1161=1,COUNTIF($U$2:U1161,1),"")</f>
        <v/>
      </c>
      <c r="X1161" s="29" t="str">
        <f t="shared" si="61"/>
        <v/>
      </c>
      <c r="Y1161" s="29" t="str">
        <f>IF(AND(LEFT($B1161,7)="SBA 26/",$D1161&lt;&gt;"",$F1161&lt;&gt;""),COUNTIFS($D$2:$D1161,$D1161,$B$2:$B1161,"SBA 26/*",$F$2:$F1161,"&lt;&gt;"),"")</f>
        <v/>
      </c>
      <c r="Z1161" s="29" t="str">
        <f>IF(Y1161=1,COUNTIF($Y$2:Y1161,1),"")</f>
        <v/>
      </c>
      <c r="AA1161" s="29" t="str">
        <f>IF(AND(LEFT($B1161,7)="SBA 26/",$C1161&lt;&gt;"",$F1161&lt;&gt;""),COUNTIFS($C$2:$C1161,$C1161,$B$2:$B1161,"SBA 26/*",$F$2:$F1161,"&lt;&gt;"),"")</f>
        <v/>
      </c>
      <c r="AB1161" s="29" t="str">
        <f>IF(AA1161=1,COUNTIF($AA$2:AA1161,1),"")</f>
        <v/>
      </c>
    </row>
    <row r="1162" spans="6:28" ht="31.5" customHeight="1" x14ac:dyDescent="0.2">
      <c r="F1162" s="45" t="s">
        <v>3724</v>
      </c>
      <c r="T1162" s="41"/>
      <c r="U1162" s="29" t="str">
        <f>IF($C1162&lt;&gt;"",COUNTIF($C$2:C1162,C1162),"")</f>
        <v/>
      </c>
      <c r="V1162" s="29" t="str">
        <f t="shared" si="60"/>
        <v/>
      </c>
      <c r="W1162" s="29" t="str">
        <f>IF(U1162=1,COUNTIF($U$2:U1162,1),"")</f>
        <v/>
      </c>
      <c r="X1162" s="29" t="str">
        <f t="shared" si="61"/>
        <v/>
      </c>
      <c r="Y1162" s="29" t="str">
        <f>IF(AND(LEFT($B1162,7)="SBA 26/",$D1162&lt;&gt;"",$F1162&lt;&gt;""),COUNTIFS($D$2:$D1162,$D1162,$B$2:$B1162,"SBA 26/*",$F$2:$F1162,"&lt;&gt;"),"")</f>
        <v/>
      </c>
      <c r="Z1162" s="29" t="str">
        <f>IF(Y1162=1,COUNTIF($Y$2:Y1162,1),"")</f>
        <v/>
      </c>
      <c r="AA1162" s="29" t="str">
        <f>IF(AND(LEFT($B1162,7)="SBA 26/",$C1162&lt;&gt;"",$F1162&lt;&gt;""),COUNTIFS($C$2:$C1162,$C1162,$B$2:$B1162,"SBA 26/*",$F$2:$F1162,"&lt;&gt;"),"")</f>
        <v/>
      </c>
      <c r="AB1162" s="29" t="str">
        <f>IF(AA1162=1,COUNTIF($AA$2:AA1162,1),"")</f>
        <v/>
      </c>
    </row>
    <row r="1163" spans="6:28" ht="31.5" customHeight="1" x14ac:dyDescent="0.2">
      <c r="F1163" s="45" t="s">
        <v>3725</v>
      </c>
      <c r="T1163" s="41"/>
      <c r="U1163" s="29" t="str">
        <f>IF($C1163&lt;&gt;"",COUNTIF($C$2:C1163,C1163),"")</f>
        <v/>
      </c>
      <c r="V1163" s="29" t="str">
        <f t="shared" si="60"/>
        <v/>
      </c>
      <c r="W1163" s="29" t="str">
        <f>IF(U1163=1,COUNTIF($U$2:U1163,1),"")</f>
        <v/>
      </c>
      <c r="X1163" s="29" t="str">
        <f t="shared" si="61"/>
        <v/>
      </c>
      <c r="Y1163" s="29" t="str">
        <f>IF(AND(LEFT($B1163,7)="SBA 26/",$D1163&lt;&gt;"",$F1163&lt;&gt;""),COUNTIFS($D$2:$D1163,$D1163,$B$2:$B1163,"SBA 26/*",$F$2:$F1163,"&lt;&gt;"),"")</f>
        <v/>
      </c>
      <c r="Z1163" s="29" t="str">
        <f>IF(Y1163=1,COUNTIF($Y$2:Y1163,1),"")</f>
        <v/>
      </c>
      <c r="AA1163" s="29" t="str">
        <f>IF(AND(LEFT($B1163,7)="SBA 26/",$C1163&lt;&gt;"",$F1163&lt;&gt;""),COUNTIFS($C$2:$C1163,$C1163,$B$2:$B1163,"SBA 26/*",$F$2:$F1163,"&lt;&gt;"),"")</f>
        <v/>
      </c>
      <c r="AB1163" s="29" t="str">
        <f>IF(AA1163=1,COUNTIF($AA$2:AA1163,1),"")</f>
        <v/>
      </c>
    </row>
    <row r="1164" spans="6:28" ht="20.25" customHeight="1" x14ac:dyDescent="0.2">
      <c r="F1164" s="45" t="s">
        <v>3726</v>
      </c>
      <c r="T1164" s="41"/>
      <c r="U1164" s="29" t="str">
        <f>IF($C1164&lt;&gt;"",COUNTIF($C$2:C1164,C1164),"")</f>
        <v/>
      </c>
      <c r="V1164" s="29" t="str">
        <f t="shared" si="60"/>
        <v/>
      </c>
      <c r="W1164" s="29" t="str">
        <f>IF(U1164=1,COUNTIF($U$2:U1164,1),"")</f>
        <v/>
      </c>
      <c r="X1164" s="29" t="str">
        <f t="shared" si="61"/>
        <v/>
      </c>
      <c r="Y1164" s="29" t="str">
        <f>IF(AND(LEFT($B1164,7)="SBA 26/",$D1164&lt;&gt;"",$F1164&lt;&gt;""),COUNTIFS($D$2:$D1164,$D1164,$B$2:$B1164,"SBA 26/*",$F$2:$F1164,"&lt;&gt;"),"")</f>
        <v/>
      </c>
      <c r="Z1164" s="29" t="str">
        <f>IF(Y1164=1,COUNTIF($Y$2:Y1164,1),"")</f>
        <v/>
      </c>
      <c r="AA1164" s="29" t="str">
        <f>IF(AND(LEFT($B1164,7)="SBA 26/",$C1164&lt;&gt;"",$F1164&lt;&gt;""),COUNTIFS($C$2:$C1164,$C1164,$B$2:$B1164,"SBA 26/*",$F$2:$F1164,"&lt;&gt;"),"")</f>
        <v/>
      </c>
      <c r="AB1164" s="29" t="str">
        <f>IF(AA1164=1,COUNTIF($AA$2:AA1164,1),"")</f>
        <v/>
      </c>
    </row>
    <row r="1165" spans="6:28" ht="47.25" customHeight="1" x14ac:dyDescent="0.2">
      <c r="F1165" s="45" t="s">
        <v>3727</v>
      </c>
      <c r="T1165" s="41"/>
      <c r="U1165" s="29" t="str">
        <f>IF($C1165&lt;&gt;"",COUNTIF($C$2:C1165,C1165),"")</f>
        <v/>
      </c>
      <c r="V1165" s="29" t="str">
        <f t="shared" si="60"/>
        <v/>
      </c>
      <c r="W1165" s="29" t="str">
        <f>IF(U1165=1,COUNTIF($U$2:U1165,1),"")</f>
        <v/>
      </c>
      <c r="X1165" s="29" t="str">
        <f t="shared" si="61"/>
        <v/>
      </c>
      <c r="Y1165" s="29" t="str">
        <f>IF(AND(LEFT($B1165,7)="SBA 26/",$D1165&lt;&gt;"",$F1165&lt;&gt;""),COUNTIFS($D$2:$D1165,$D1165,$B$2:$B1165,"SBA 26/*",$F$2:$F1165,"&lt;&gt;"),"")</f>
        <v/>
      </c>
      <c r="Z1165" s="29" t="str">
        <f>IF(Y1165=1,COUNTIF($Y$2:Y1165,1),"")</f>
        <v/>
      </c>
      <c r="AA1165" s="29" t="str">
        <f>IF(AND(LEFT($B1165,7)="SBA 26/",$C1165&lt;&gt;"",$F1165&lt;&gt;""),COUNTIFS($C$2:$C1165,$C1165,$B$2:$B1165,"SBA 26/*",$F$2:$F1165,"&lt;&gt;"),"")</f>
        <v/>
      </c>
      <c r="AB1165" s="29" t="str">
        <f>IF(AA1165=1,COUNTIF($AA$2:AA1165,1),"")</f>
        <v/>
      </c>
    </row>
    <row r="1166" spans="6:28" ht="31.5" customHeight="1" x14ac:dyDescent="0.2">
      <c r="F1166" s="45" t="s">
        <v>3728</v>
      </c>
      <c r="T1166" s="41"/>
      <c r="U1166" s="29" t="str">
        <f>IF($C1166&lt;&gt;"",COUNTIF($C$2:C1166,C1166),"")</f>
        <v/>
      </c>
      <c r="V1166" s="29" t="str">
        <f t="shared" si="60"/>
        <v/>
      </c>
      <c r="W1166" s="29" t="str">
        <f>IF(U1166=1,COUNTIF($U$2:U1166,1),"")</f>
        <v/>
      </c>
      <c r="X1166" s="29" t="str">
        <f t="shared" si="61"/>
        <v/>
      </c>
      <c r="Y1166" s="29" t="str">
        <f>IF(AND(LEFT($B1166,7)="SBA 26/",$D1166&lt;&gt;"",$F1166&lt;&gt;""),COUNTIFS($D$2:$D1166,$D1166,$B$2:$B1166,"SBA 26/*",$F$2:$F1166,"&lt;&gt;"),"")</f>
        <v/>
      </c>
      <c r="Z1166" s="29" t="str">
        <f>IF(Y1166=1,COUNTIF($Y$2:Y1166,1),"")</f>
        <v/>
      </c>
      <c r="AA1166" s="29" t="str">
        <f>IF(AND(LEFT($B1166,7)="SBA 26/",$C1166&lt;&gt;"",$F1166&lt;&gt;""),COUNTIFS($C$2:$C1166,$C1166,$B$2:$B1166,"SBA 26/*",$F$2:$F1166,"&lt;&gt;"),"")</f>
        <v/>
      </c>
      <c r="AB1166" s="29" t="str">
        <f>IF(AA1166=1,COUNTIF($AA$2:AA1166,1),"")</f>
        <v/>
      </c>
    </row>
    <row r="1167" spans="6:28" ht="47.25" customHeight="1" x14ac:dyDescent="0.2">
      <c r="F1167" s="45" t="s">
        <v>3729</v>
      </c>
      <c r="T1167" s="41"/>
      <c r="U1167" s="29" t="str">
        <f>IF($C1167&lt;&gt;"",COUNTIF($C$2:C1167,C1167),"")</f>
        <v/>
      </c>
      <c r="V1167" s="29" t="str">
        <f t="shared" si="60"/>
        <v/>
      </c>
      <c r="W1167" s="29" t="str">
        <f>IF(U1167=1,COUNTIF($U$2:U1167,1),"")</f>
        <v/>
      </c>
      <c r="X1167" s="29" t="str">
        <f t="shared" si="61"/>
        <v/>
      </c>
      <c r="Y1167" s="29" t="str">
        <f>IF(AND(LEFT($B1167,7)="SBA 26/",$D1167&lt;&gt;"",$F1167&lt;&gt;""),COUNTIFS($D$2:$D1167,$D1167,$B$2:$B1167,"SBA 26/*",$F$2:$F1167,"&lt;&gt;"),"")</f>
        <v/>
      </c>
      <c r="Z1167" s="29" t="str">
        <f>IF(Y1167=1,COUNTIF($Y$2:Y1167,1),"")</f>
        <v/>
      </c>
      <c r="AA1167" s="29" t="str">
        <f>IF(AND(LEFT($B1167,7)="SBA 26/",$C1167&lt;&gt;"",$F1167&lt;&gt;""),COUNTIFS($C$2:$C1167,$C1167,$B$2:$B1167,"SBA 26/*",$F$2:$F1167,"&lt;&gt;"),"")</f>
        <v/>
      </c>
      <c r="AB1167" s="29" t="str">
        <f>IF(AA1167=1,COUNTIF($AA$2:AA1167,1),"")</f>
        <v/>
      </c>
    </row>
    <row r="1168" spans="6:28" ht="47.25" customHeight="1" x14ac:dyDescent="0.2">
      <c r="F1168" s="45" t="s">
        <v>3730</v>
      </c>
      <c r="T1168" s="41"/>
      <c r="U1168" s="29" t="str">
        <f>IF($C1168&lt;&gt;"",COUNTIF($C$2:C1168,C1168),"")</f>
        <v/>
      </c>
      <c r="V1168" s="29" t="str">
        <f t="shared" si="60"/>
        <v/>
      </c>
      <c r="W1168" s="29" t="str">
        <f>IF(U1168=1,COUNTIF($U$2:U1168,1),"")</f>
        <v/>
      </c>
      <c r="X1168" s="29" t="str">
        <f t="shared" si="61"/>
        <v/>
      </c>
      <c r="Y1168" s="29" t="str">
        <f>IF(AND(LEFT($B1168,7)="SBA 26/",$D1168&lt;&gt;"",$F1168&lt;&gt;""),COUNTIFS($D$2:$D1168,$D1168,$B$2:$B1168,"SBA 26/*",$F$2:$F1168,"&lt;&gt;"),"")</f>
        <v/>
      </c>
      <c r="Z1168" s="29" t="str">
        <f>IF(Y1168=1,COUNTIF($Y$2:Y1168,1),"")</f>
        <v/>
      </c>
      <c r="AA1168" s="29" t="str">
        <f>IF(AND(LEFT($B1168,7)="SBA 26/",$C1168&lt;&gt;"",$F1168&lt;&gt;""),COUNTIFS($C$2:$C1168,$C1168,$B$2:$B1168,"SBA 26/*",$F$2:$F1168,"&lt;&gt;"),"")</f>
        <v/>
      </c>
      <c r="AB1168" s="29" t="str">
        <f>IF(AA1168=1,COUNTIF($AA$2:AA1168,1),"")</f>
        <v/>
      </c>
    </row>
    <row r="1169" spans="6:28" ht="47.25" customHeight="1" x14ac:dyDescent="0.2">
      <c r="F1169" s="45" t="s">
        <v>3731</v>
      </c>
      <c r="T1169" s="41"/>
      <c r="U1169" s="29" t="str">
        <f>IF($C1169&lt;&gt;"",COUNTIF($C$2:C1169,C1169),"")</f>
        <v/>
      </c>
      <c r="V1169" s="29" t="str">
        <f t="shared" si="60"/>
        <v/>
      </c>
      <c r="W1169" s="29" t="str">
        <f>IF(U1169=1,COUNTIF($U$2:U1169,1),"")</f>
        <v/>
      </c>
      <c r="X1169" s="29" t="str">
        <f t="shared" si="61"/>
        <v/>
      </c>
      <c r="Y1169" s="29" t="str">
        <f>IF(AND(LEFT($B1169,7)="SBA 26/",$D1169&lt;&gt;"",$F1169&lt;&gt;""),COUNTIFS($D$2:$D1169,$D1169,$B$2:$B1169,"SBA 26/*",$F$2:$F1169,"&lt;&gt;"),"")</f>
        <v/>
      </c>
      <c r="Z1169" s="29" t="str">
        <f>IF(Y1169=1,COUNTIF($Y$2:Y1169,1),"")</f>
        <v/>
      </c>
      <c r="AA1169" s="29" t="str">
        <f>IF(AND(LEFT($B1169,7)="SBA 26/",$C1169&lt;&gt;"",$F1169&lt;&gt;""),COUNTIFS($C$2:$C1169,$C1169,$B$2:$B1169,"SBA 26/*",$F$2:$F1169,"&lt;&gt;"),"")</f>
        <v/>
      </c>
      <c r="AB1169" s="29" t="str">
        <f>IF(AA1169=1,COUNTIF($AA$2:AA1169,1),"")</f>
        <v/>
      </c>
    </row>
    <row r="1170" spans="6:28" ht="47.25" customHeight="1" x14ac:dyDescent="0.2">
      <c r="F1170" s="45" t="s">
        <v>3732</v>
      </c>
      <c r="T1170" s="41"/>
      <c r="U1170" s="29" t="str">
        <f>IF($C1170&lt;&gt;"",COUNTIF($C$2:C1170,C1170),"")</f>
        <v/>
      </c>
      <c r="V1170" s="29" t="str">
        <f t="shared" si="60"/>
        <v/>
      </c>
      <c r="W1170" s="29" t="str">
        <f>IF(U1170=1,COUNTIF($U$2:U1170,1),"")</f>
        <v/>
      </c>
      <c r="X1170" s="29" t="str">
        <f t="shared" si="61"/>
        <v/>
      </c>
      <c r="Y1170" s="29" t="str">
        <f>IF(AND(LEFT($B1170,7)="SBA 26/",$D1170&lt;&gt;"",$F1170&lt;&gt;""),COUNTIFS($D$2:$D1170,$D1170,$B$2:$B1170,"SBA 26/*",$F$2:$F1170,"&lt;&gt;"),"")</f>
        <v/>
      </c>
      <c r="Z1170" s="29" t="str">
        <f>IF(Y1170=1,COUNTIF($Y$2:Y1170,1),"")</f>
        <v/>
      </c>
      <c r="AA1170" s="29" t="str">
        <f>IF(AND(LEFT($B1170,7)="SBA 26/",$C1170&lt;&gt;"",$F1170&lt;&gt;""),COUNTIFS($C$2:$C1170,$C1170,$B$2:$B1170,"SBA 26/*",$F$2:$F1170,"&lt;&gt;"),"")</f>
        <v/>
      </c>
      <c r="AB1170" s="29" t="str">
        <f>IF(AA1170=1,COUNTIF($AA$2:AA1170,1),"")</f>
        <v/>
      </c>
    </row>
    <row r="1171" spans="6:28" ht="47.25" customHeight="1" x14ac:dyDescent="0.2">
      <c r="F1171" s="45" t="s">
        <v>3733</v>
      </c>
      <c r="T1171" s="41"/>
      <c r="U1171" s="29" t="str">
        <f>IF($C1171&lt;&gt;"",COUNTIF($C$2:C1171,C1171),"")</f>
        <v/>
      </c>
      <c r="V1171" s="29" t="str">
        <f t="shared" si="60"/>
        <v/>
      </c>
      <c r="W1171" s="29" t="str">
        <f>IF(U1171=1,COUNTIF($U$2:U1171,1),"")</f>
        <v/>
      </c>
      <c r="X1171" s="29" t="str">
        <f t="shared" si="61"/>
        <v/>
      </c>
      <c r="Y1171" s="29" t="str">
        <f>IF(AND(LEFT($B1171,7)="SBA 26/",$D1171&lt;&gt;"",$F1171&lt;&gt;""),COUNTIFS($D$2:$D1171,$D1171,$B$2:$B1171,"SBA 26/*",$F$2:$F1171,"&lt;&gt;"),"")</f>
        <v/>
      </c>
      <c r="Z1171" s="29" t="str">
        <f>IF(Y1171=1,COUNTIF($Y$2:Y1171,1),"")</f>
        <v/>
      </c>
      <c r="AA1171" s="29" t="str">
        <f>IF(AND(LEFT($B1171,7)="SBA 26/",$C1171&lt;&gt;"",$F1171&lt;&gt;""),COUNTIFS($C$2:$C1171,$C1171,$B$2:$B1171,"SBA 26/*",$F$2:$F1171,"&lt;&gt;"),"")</f>
        <v/>
      </c>
      <c r="AB1171" s="29" t="str">
        <f>IF(AA1171=1,COUNTIF($AA$2:AA1171,1),"")</f>
        <v/>
      </c>
    </row>
    <row r="1172" spans="6:28" ht="47.25" customHeight="1" x14ac:dyDescent="0.2">
      <c r="F1172" s="45" t="s">
        <v>3734</v>
      </c>
      <c r="T1172" s="41"/>
      <c r="U1172" s="29" t="str">
        <f>IF($C1172&lt;&gt;"",COUNTIF($C$2:C1172,C1172),"")</f>
        <v/>
      </c>
      <c r="V1172" s="29" t="str">
        <f t="shared" si="60"/>
        <v/>
      </c>
      <c r="W1172" s="29" t="str">
        <f>IF(U1172=1,COUNTIF($U$2:U1172,1),"")</f>
        <v/>
      </c>
      <c r="X1172" s="29" t="str">
        <f t="shared" si="61"/>
        <v/>
      </c>
      <c r="Y1172" s="29" t="str">
        <f>IF(AND(LEFT($B1172,7)="SBA 26/",$D1172&lt;&gt;"",$F1172&lt;&gt;""),COUNTIFS($D$2:$D1172,$D1172,$B$2:$B1172,"SBA 26/*",$F$2:$F1172,"&lt;&gt;"),"")</f>
        <v/>
      </c>
      <c r="Z1172" s="29" t="str">
        <f>IF(Y1172=1,COUNTIF($Y$2:Y1172,1),"")</f>
        <v/>
      </c>
      <c r="AA1172" s="29" t="str">
        <f>IF(AND(LEFT($B1172,7)="SBA 26/",$C1172&lt;&gt;"",$F1172&lt;&gt;""),COUNTIFS($C$2:$C1172,$C1172,$B$2:$B1172,"SBA 26/*",$F$2:$F1172,"&lt;&gt;"),"")</f>
        <v/>
      </c>
      <c r="AB1172" s="29" t="str">
        <f>IF(AA1172=1,COUNTIF($AA$2:AA1172,1),"")</f>
        <v/>
      </c>
    </row>
    <row r="1173" spans="6:28" ht="63" customHeight="1" x14ac:dyDescent="0.2">
      <c r="F1173" s="45" t="s">
        <v>3735</v>
      </c>
      <c r="T1173" s="41"/>
      <c r="U1173" s="29" t="str">
        <f>IF($C1173&lt;&gt;"",COUNTIF($C$2:C1173,C1173),"")</f>
        <v/>
      </c>
      <c r="V1173" s="29" t="str">
        <f t="shared" si="60"/>
        <v/>
      </c>
      <c r="W1173" s="29" t="str">
        <f>IF(U1173=1,COUNTIF($U$2:U1173,1),"")</f>
        <v/>
      </c>
      <c r="X1173" s="29" t="str">
        <f t="shared" si="61"/>
        <v/>
      </c>
      <c r="Y1173" s="29" t="str">
        <f>IF(AND(LEFT($B1173,7)="SBA 26/",$D1173&lt;&gt;"",$F1173&lt;&gt;""),COUNTIFS($D$2:$D1173,$D1173,$B$2:$B1173,"SBA 26/*",$F$2:$F1173,"&lt;&gt;"),"")</f>
        <v/>
      </c>
      <c r="Z1173" s="29" t="str">
        <f>IF(Y1173=1,COUNTIF($Y$2:Y1173,1),"")</f>
        <v/>
      </c>
      <c r="AA1173" s="29" t="str">
        <f>IF(AND(LEFT($B1173,7)="SBA 26/",$C1173&lt;&gt;"",$F1173&lt;&gt;""),COUNTIFS($C$2:$C1173,$C1173,$B$2:$B1173,"SBA 26/*",$F$2:$F1173,"&lt;&gt;"),"")</f>
        <v/>
      </c>
      <c r="AB1173" s="29" t="str">
        <f>IF(AA1173=1,COUNTIF($AA$2:AA1173,1),"")</f>
        <v/>
      </c>
    </row>
    <row r="1174" spans="6:28" ht="47.25" customHeight="1" x14ac:dyDescent="0.2">
      <c r="F1174" s="45" t="s">
        <v>3736</v>
      </c>
      <c r="T1174" s="41"/>
      <c r="U1174" s="29" t="str">
        <f>IF($C1174&lt;&gt;"",COUNTIF($C$2:C1174,C1174),"")</f>
        <v/>
      </c>
      <c r="V1174" s="29" t="str">
        <f t="shared" si="60"/>
        <v/>
      </c>
      <c r="W1174" s="29" t="str">
        <f>IF(U1174=1,COUNTIF($U$2:U1174,1),"")</f>
        <v/>
      </c>
      <c r="X1174" s="29" t="str">
        <f t="shared" si="61"/>
        <v/>
      </c>
      <c r="Y1174" s="29" t="str">
        <f>IF(AND(LEFT($B1174,7)="SBA 26/",$D1174&lt;&gt;"",$F1174&lt;&gt;""),COUNTIFS($D$2:$D1174,$D1174,$B$2:$B1174,"SBA 26/*",$F$2:$F1174,"&lt;&gt;"),"")</f>
        <v/>
      </c>
      <c r="Z1174" s="29" t="str">
        <f>IF(Y1174=1,COUNTIF($Y$2:Y1174,1),"")</f>
        <v/>
      </c>
      <c r="AA1174" s="29" t="str">
        <f>IF(AND(LEFT($B1174,7)="SBA 26/",$C1174&lt;&gt;"",$F1174&lt;&gt;""),COUNTIFS($C$2:$C1174,$C1174,$B$2:$B1174,"SBA 26/*",$F$2:$F1174,"&lt;&gt;"),"")</f>
        <v/>
      </c>
      <c r="AB1174" s="29" t="str">
        <f>IF(AA1174=1,COUNTIF($AA$2:AA1174,1),"")</f>
        <v/>
      </c>
    </row>
    <row r="1175" spans="6:28" ht="47.25" customHeight="1" x14ac:dyDescent="0.2">
      <c r="F1175" s="45" t="s">
        <v>3737</v>
      </c>
      <c r="T1175" s="41"/>
      <c r="U1175" s="29" t="str">
        <f>IF($C1175&lt;&gt;"",COUNTIF($C$2:C1175,C1175),"")</f>
        <v/>
      </c>
      <c r="V1175" s="29" t="str">
        <f t="shared" si="60"/>
        <v/>
      </c>
      <c r="W1175" s="29" t="str">
        <f>IF(U1175=1,COUNTIF($U$2:U1175,1),"")</f>
        <v/>
      </c>
      <c r="X1175" s="29" t="str">
        <f t="shared" si="61"/>
        <v/>
      </c>
      <c r="Y1175" s="29" t="str">
        <f>IF(AND(LEFT($B1175,7)="SBA 26/",$D1175&lt;&gt;"",$F1175&lt;&gt;""),COUNTIFS($D$2:$D1175,$D1175,$B$2:$B1175,"SBA 26/*",$F$2:$F1175,"&lt;&gt;"),"")</f>
        <v/>
      </c>
      <c r="Z1175" s="29" t="str">
        <f>IF(Y1175=1,COUNTIF($Y$2:Y1175,1),"")</f>
        <v/>
      </c>
      <c r="AA1175" s="29" t="str">
        <f>IF(AND(LEFT($B1175,7)="SBA 26/",$C1175&lt;&gt;"",$F1175&lt;&gt;""),COUNTIFS($C$2:$C1175,$C1175,$B$2:$B1175,"SBA 26/*",$F$2:$F1175,"&lt;&gt;"),"")</f>
        <v/>
      </c>
      <c r="AB1175" s="29" t="str">
        <f>IF(AA1175=1,COUNTIF($AA$2:AA1175,1),"")</f>
        <v/>
      </c>
    </row>
    <row r="1176" spans="6:28" ht="31.5" customHeight="1" x14ac:dyDescent="0.2">
      <c r="F1176" s="45" t="s">
        <v>3738</v>
      </c>
      <c r="T1176" s="41"/>
      <c r="U1176" s="29" t="str">
        <f>IF($C1176&lt;&gt;"",COUNTIF($C$2:C1176,C1176),"")</f>
        <v/>
      </c>
      <c r="V1176" s="29" t="str">
        <f t="shared" si="60"/>
        <v/>
      </c>
      <c r="W1176" s="29" t="str">
        <f>IF(U1176=1,COUNTIF($U$2:U1176,1),"")</f>
        <v/>
      </c>
      <c r="X1176" s="29" t="str">
        <f t="shared" si="61"/>
        <v/>
      </c>
      <c r="Y1176" s="29" t="str">
        <f>IF(AND(LEFT($B1176,7)="SBA 26/",$D1176&lt;&gt;"",$F1176&lt;&gt;""),COUNTIFS($D$2:$D1176,$D1176,$B$2:$B1176,"SBA 26/*",$F$2:$F1176,"&lt;&gt;"),"")</f>
        <v/>
      </c>
      <c r="Z1176" s="29" t="str">
        <f>IF(Y1176=1,COUNTIF($Y$2:Y1176,1),"")</f>
        <v/>
      </c>
      <c r="AA1176" s="29" t="str">
        <f>IF(AND(LEFT($B1176,7)="SBA 26/",$C1176&lt;&gt;"",$F1176&lt;&gt;""),COUNTIFS($C$2:$C1176,$C1176,$B$2:$B1176,"SBA 26/*",$F$2:$F1176,"&lt;&gt;"),"")</f>
        <v/>
      </c>
      <c r="AB1176" s="29" t="str">
        <f>IF(AA1176=1,COUNTIF($AA$2:AA1176,1),"")</f>
        <v/>
      </c>
    </row>
    <row r="1177" spans="6:28" ht="63" customHeight="1" x14ac:dyDescent="0.2">
      <c r="F1177" s="45" t="s">
        <v>3739</v>
      </c>
      <c r="T1177" s="41"/>
      <c r="U1177" s="29" t="str">
        <f>IF($C1177&lt;&gt;"",COUNTIF($C$2:C1177,C1177),"")</f>
        <v/>
      </c>
      <c r="V1177" s="29" t="str">
        <f t="shared" si="60"/>
        <v/>
      </c>
      <c r="W1177" s="29" t="str">
        <f>IF(U1177=1,COUNTIF($U$2:U1177,1),"")</f>
        <v/>
      </c>
      <c r="X1177" s="29" t="str">
        <f t="shared" si="61"/>
        <v/>
      </c>
      <c r="Y1177" s="29" t="str">
        <f>IF(AND(LEFT($B1177,7)="SBA 26/",$D1177&lt;&gt;"",$F1177&lt;&gt;""),COUNTIFS($D$2:$D1177,$D1177,$B$2:$B1177,"SBA 26/*",$F$2:$F1177,"&lt;&gt;"),"")</f>
        <v/>
      </c>
      <c r="Z1177" s="29" t="str">
        <f>IF(Y1177=1,COUNTIF($Y$2:Y1177,1),"")</f>
        <v/>
      </c>
      <c r="AA1177" s="29" t="str">
        <f>IF(AND(LEFT($B1177,7)="SBA 26/",$C1177&lt;&gt;"",$F1177&lt;&gt;""),COUNTIFS($C$2:$C1177,$C1177,$B$2:$B1177,"SBA 26/*",$F$2:$F1177,"&lt;&gt;"),"")</f>
        <v/>
      </c>
      <c r="AB1177" s="29" t="str">
        <f>IF(AA1177=1,COUNTIF($AA$2:AA1177,1),"")</f>
        <v/>
      </c>
    </row>
    <row r="1178" spans="6:28" ht="47.25" customHeight="1" x14ac:dyDescent="0.2">
      <c r="F1178" s="45" t="s">
        <v>3740</v>
      </c>
      <c r="T1178" s="41"/>
      <c r="U1178" s="29" t="str">
        <f>IF($C1178&lt;&gt;"",COUNTIF($C$2:C1178,C1178),"")</f>
        <v/>
      </c>
      <c r="V1178" s="29" t="str">
        <f t="shared" si="60"/>
        <v/>
      </c>
      <c r="W1178" s="29" t="str">
        <f>IF(U1178=1,COUNTIF($U$2:U1178,1),"")</f>
        <v/>
      </c>
      <c r="X1178" s="29" t="str">
        <f t="shared" si="61"/>
        <v/>
      </c>
      <c r="Y1178" s="29" t="str">
        <f>IF(AND(LEFT($B1178,7)="SBA 26/",$D1178&lt;&gt;"",$F1178&lt;&gt;""),COUNTIFS($D$2:$D1178,$D1178,$B$2:$B1178,"SBA 26/*",$F$2:$F1178,"&lt;&gt;"),"")</f>
        <v/>
      </c>
      <c r="Z1178" s="29" t="str">
        <f>IF(Y1178=1,COUNTIF($Y$2:Y1178,1),"")</f>
        <v/>
      </c>
      <c r="AA1178" s="29" t="str">
        <f>IF(AND(LEFT($B1178,7)="SBA 26/",$C1178&lt;&gt;"",$F1178&lt;&gt;""),COUNTIFS($C$2:$C1178,$C1178,$B$2:$B1178,"SBA 26/*",$F$2:$F1178,"&lt;&gt;"),"")</f>
        <v/>
      </c>
      <c r="AB1178" s="29" t="str">
        <f>IF(AA1178=1,COUNTIF($AA$2:AA1178,1),"")</f>
        <v/>
      </c>
    </row>
    <row r="1179" spans="6:28" ht="47.25" customHeight="1" x14ac:dyDescent="0.2">
      <c r="F1179" s="45" t="s">
        <v>3741</v>
      </c>
      <c r="T1179" s="41"/>
      <c r="U1179" s="29" t="str">
        <f>IF($C1179&lt;&gt;"",COUNTIF($C$2:C1179,C1179),"")</f>
        <v/>
      </c>
      <c r="V1179" s="29" t="str">
        <f t="shared" si="60"/>
        <v/>
      </c>
      <c r="W1179" s="29" t="str">
        <f>IF(U1179=1,COUNTIF($U$2:U1179,1),"")</f>
        <v/>
      </c>
      <c r="X1179" s="29" t="str">
        <f t="shared" si="61"/>
        <v/>
      </c>
      <c r="Y1179" s="29" t="str">
        <f>IF(AND(LEFT($B1179,7)="SBA 26/",$D1179&lt;&gt;"",$F1179&lt;&gt;""),COUNTIFS($D$2:$D1179,$D1179,$B$2:$B1179,"SBA 26/*",$F$2:$F1179,"&lt;&gt;"),"")</f>
        <v/>
      </c>
      <c r="Z1179" s="29" t="str">
        <f>IF(Y1179=1,COUNTIF($Y$2:Y1179,1),"")</f>
        <v/>
      </c>
      <c r="AA1179" s="29" t="str">
        <f>IF(AND(LEFT($B1179,7)="SBA 26/",$C1179&lt;&gt;"",$F1179&lt;&gt;""),COUNTIFS($C$2:$C1179,$C1179,$B$2:$B1179,"SBA 26/*",$F$2:$F1179,"&lt;&gt;"),"")</f>
        <v/>
      </c>
      <c r="AB1179" s="29" t="str">
        <f>IF(AA1179=1,COUNTIF($AA$2:AA1179,1),"")</f>
        <v/>
      </c>
    </row>
    <row r="1180" spans="6:28" ht="47.25" customHeight="1" x14ac:dyDescent="0.2">
      <c r="F1180" s="45" t="s">
        <v>3742</v>
      </c>
      <c r="T1180" s="41"/>
      <c r="U1180" s="29" t="str">
        <f>IF($C1180&lt;&gt;"",COUNTIF($C$2:C1180,C1180),"")</f>
        <v/>
      </c>
      <c r="V1180" s="29" t="str">
        <f t="shared" si="60"/>
        <v/>
      </c>
      <c r="W1180" s="29" t="str">
        <f>IF(U1180=1,COUNTIF($U$2:U1180,1),"")</f>
        <v/>
      </c>
      <c r="X1180" s="29" t="str">
        <f t="shared" si="61"/>
        <v/>
      </c>
      <c r="Y1180" s="29" t="str">
        <f>IF(AND(LEFT($B1180,7)="SBA 26/",$D1180&lt;&gt;"",$F1180&lt;&gt;""),COUNTIFS($D$2:$D1180,$D1180,$B$2:$B1180,"SBA 26/*",$F$2:$F1180,"&lt;&gt;"),"")</f>
        <v/>
      </c>
      <c r="Z1180" s="29" t="str">
        <f>IF(Y1180=1,COUNTIF($Y$2:Y1180,1),"")</f>
        <v/>
      </c>
      <c r="AA1180" s="29" t="str">
        <f>IF(AND(LEFT($B1180,7)="SBA 26/",$C1180&lt;&gt;"",$F1180&lt;&gt;""),COUNTIFS($C$2:$C1180,$C1180,$B$2:$B1180,"SBA 26/*",$F$2:$F1180,"&lt;&gt;"),"")</f>
        <v/>
      </c>
      <c r="AB1180" s="29" t="str">
        <f>IF(AA1180=1,COUNTIF($AA$2:AA1180,1),"")</f>
        <v/>
      </c>
    </row>
    <row r="1181" spans="6:28" ht="31.5" customHeight="1" x14ac:dyDescent="0.2">
      <c r="F1181" s="45" t="s">
        <v>3743</v>
      </c>
      <c r="T1181" s="41"/>
      <c r="U1181" s="29" t="str">
        <f>IF($C1181&lt;&gt;"",COUNTIF($C$2:C1181,C1181),"")</f>
        <v/>
      </c>
      <c r="V1181" s="29" t="str">
        <f t="shared" si="60"/>
        <v/>
      </c>
      <c r="W1181" s="29" t="str">
        <f>IF(U1181=1,COUNTIF($U$2:U1181,1),"")</f>
        <v/>
      </c>
      <c r="X1181" s="29" t="str">
        <f t="shared" si="61"/>
        <v/>
      </c>
      <c r="Y1181" s="29" t="str">
        <f>IF(AND(LEFT($B1181,7)="SBA 26/",$D1181&lt;&gt;"",$F1181&lt;&gt;""),COUNTIFS($D$2:$D1181,$D1181,$B$2:$B1181,"SBA 26/*",$F$2:$F1181,"&lt;&gt;"),"")</f>
        <v/>
      </c>
      <c r="Z1181" s="29" t="str">
        <f>IF(Y1181=1,COUNTIF($Y$2:Y1181,1),"")</f>
        <v/>
      </c>
      <c r="AA1181" s="29" t="str">
        <f>IF(AND(LEFT($B1181,7)="SBA 26/",$C1181&lt;&gt;"",$F1181&lt;&gt;""),COUNTIFS($C$2:$C1181,$C1181,$B$2:$B1181,"SBA 26/*",$F$2:$F1181,"&lt;&gt;"),"")</f>
        <v/>
      </c>
      <c r="AB1181" s="29" t="str">
        <f>IF(AA1181=1,COUNTIF($AA$2:AA1181,1),"")</f>
        <v/>
      </c>
    </row>
    <row r="1182" spans="6:28" ht="47.25" customHeight="1" x14ac:dyDescent="0.2">
      <c r="F1182" s="45" t="s">
        <v>3744</v>
      </c>
      <c r="T1182" s="41"/>
      <c r="U1182" s="29" t="str">
        <f>IF($C1182&lt;&gt;"",COUNTIF($C$2:C1182,C1182),"")</f>
        <v/>
      </c>
      <c r="V1182" s="29" t="str">
        <f t="shared" si="60"/>
        <v/>
      </c>
      <c r="W1182" s="29" t="str">
        <f>IF(U1182=1,COUNTIF($U$2:U1182,1),"")</f>
        <v/>
      </c>
      <c r="X1182" s="29" t="str">
        <f t="shared" si="61"/>
        <v/>
      </c>
      <c r="Y1182" s="29" t="str">
        <f>IF(AND(LEFT($B1182,7)="SBA 26/",$D1182&lt;&gt;"",$F1182&lt;&gt;""),COUNTIFS($D$2:$D1182,$D1182,$B$2:$B1182,"SBA 26/*",$F$2:$F1182,"&lt;&gt;"),"")</f>
        <v/>
      </c>
      <c r="Z1182" s="29" t="str">
        <f>IF(Y1182=1,COUNTIF($Y$2:Y1182,1),"")</f>
        <v/>
      </c>
      <c r="AA1182" s="29" t="str">
        <f>IF(AND(LEFT($B1182,7)="SBA 26/",$C1182&lt;&gt;"",$F1182&lt;&gt;""),COUNTIFS($C$2:$C1182,$C1182,$B$2:$B1182,"SBA 26/*",$F$2:$F1182,"&lt;&gt;"),"")</f>
        <v/>
      </c>
      <c r="AB1182" s="29" t="str">
        <f>IF(AA1182=1,COUNTIF($AA$2:AA1182,1),"")</f>
        <v/>
      </c>
    </row>
    <row r="1183" spans="6:28" ht="31.5" customHeight="1" x14ac:dyDescent="0.2">
      <c r="F1183" s="45" t="s">
        <v>3745</v>
      </c>
      <c r="T1183" s="41"/>
      <c r="U1183" s="29" t="str">
        <f>IF($C1183&lt;&gt;"",COUNTIF($C$2:C1183,C1183),"")</f>
        <v/>
      </c>
      <c r="V1183" s="29" t="str">
        <f t="shared" si="60"/>
        <v/>
      </c>
      <c r="W1183" s="29" t="str">
        <f>IF(U1183=1,COUNTIF($U$2:U1183,1),"")</f>
        <v/>
      </c>
      <c r="X1183" s="29" t="str">
        <f t="shared" si="61"/>
        <v/>
      </c>
      <c r="Y1183" s="29" t="str">
        <f>IF(AND(LEFT($B1183,7)="SBA 26/",$D1183&lt;&gt;"",$F1183&lt;&gt;""),COUNTIFS($D$2:$D1183,$D1183,$B$2:$B1183,"SBA 26/*",$F$2:$F1183,"&lt;&gt;"),"")</f>
        <v/>
      </c>
      <c r="Z1183" s="29" t="str">
        <f>IF(Y1183=1,COUNTIF($Y$2:Y1183,1),"")</f>
        <v/>
      </c>
      <c r="AA1183" s="29" t="str">
        <f>IF(AND(LEFT($B1183,7)="SBA 26/",$C1183&lt;&gt;"",$F1183&lt;&gt;""),COUNTIFS($C$2:$C1183,$C1183,$B$2:$B1183,"SBA 26/*",$F$2:$F1183,"&lt;&gt;"),"")</f>
        <v/>
      </c>
      <c r="AB1183" s="29" t="str">
        <f>IF(AA1183=1,COUNTIF($AA$2:AA1183,1),"")</f>
        <v/>
      </c>
    </row>
    <row r="1184" spans="6:28" ht="31.5" customHeight="1" x14ac:dyDescent="0.2">
      <c r="F1184" s="45" t="s">
        <v>3746</v>
      </c>
      <c r="T1184" s="41"/>
      <c r="U1184" s="29" t="str">
        <f>IF($C1184&lt;&gt;"",COUNTIF($C$2:C1184,C1184),"")</f>
        <v/>
      </c>
      <c r="V1184" s="29" t="str">
        <f t="shared" si="60"/>
        <v/>
      </c>
      <c r="W1184" s="29" t="str">
        <f>IF(U1184=1,COUNTIF($U$2:U1184,1),"")</f>
        <v/>
      </c>
      <c r="X1184" s="29" t="str">
        <f t="shared" si="61"/>
        <v/>
      </c>
      <c r="Y1184" s="29" t="str">
        <f>IF(AND(LEFT($B1184,7)="SBA 26/",$D1184&lt;&gt;"",$F1184&lt;&gt;""),COUNTIFS($D$2:$D1184,$D1184,$B$2:$B1184,"SBA 26/*",$F$2:$F1184,"&lt;&gt;"),"")</f>
        <v/>
      </c>
      <c r="Z1184" s="29" t="str">
        <f>IF(Y1184=1,COUNTIF($Y$2:Y1184,1),"")</f>
        <v/>
      </c>
      <c r="AA1184" s="29" t="str">
        <f>IF(AND(LEFT($B1184,7)="SBA 26/",$C1184&lt;&gt;"",$F1184&lt;&gt;""),COUNTIFS($C$2:$C1184,$C1184,$B$2:$B1184,"SBA 26/*",$F$2:$F1184,"&lt;&gt;"),"")</f>
        <v/>
      </c>
      <c r="AB1184" s="29" t="str">
        <f>IF(AA1184=1,COUNTIF($AA$2:AA1184,1),"")</f>
        <v/>
      </c>
    </row>
    <row r="1185" spans="6:28" ht="31.5" customHeight="1" x14ac:dyDescent="0.2">
      <c r="F1185" s="45" t="s">
        <v>3747</v>
      </c>
      <c r="T1185" s="41"/>
      <c r="U1185" s="29" t="str">
        <f>IF($C1185&lt;&gt;"",COUNTIF($C$2:C1185,C1185),"")</f>
        <v/>
      </c>
      <c r="V1185" s="29" t="str">
        <f t="shared" si="60"/>
        <v/>
      </c>
      <c r="W1185" s="29" t="str">
        <f>IF(U1185=1,COUNTIF($U$2:U1185,1),"")</f>
        <v/>
      </c>
      <c r="X1185" s="29" t="str">
        <f t="shared" si="61"/>
        <v/>
      </c>
      <c r="Y1185" s="29" t="str">
        <f>IF(AND(LEFT($B1185,7)="SBA 26/",$D1185&lt;&gt;"",$F1185&lt;&gt;""),COUNTIFS($D$2:$D1185,$D1185,$B$2:$B1185,"SBA 26/*",$F$2:$F1185,"&lt;&gt;"),"")</f>
        <v/>
      </c>
      <c r="Z1185" s="29" t="str">
        <f>IF(Y1185=1,COUNTIF($Y$2:Y1185,1),"")</f>
        <v/>
      </c>
      <c r="AA1185" s="29" t="str">
        <f>IF(AND(LEFT($B1185,7)="SBA 26/",$C1185&lt;&gt;"",$F1185&lt;&gt;""),COUNTIFS($C$2:$C1185,$C1185,$B$2:$B1185,"SBA 26/*",$F$2:$F1185,"&lt;&gt;"),"")</f>
        <v/>
      </c>
      <c r="AB1185" s="29" t="str">
        <f>IF(AA1185=1,COUNTIF($AA$2:AA1185,1),"")</f>
        <v/>
      </c>
    </row>
    <row r="1186" spans="6:28" ht="31.5" customHeight="1" x14ac:dyDescent="0.2">
      <c r="F1186" s="45" t="s">
        <v>3748</v>
      </c>
      <c r="T1186" s="41"/>
      <c r="U1186" s="29" t="str">
        <f>IF($C1186&lt;&gt;"",COUNTIF($C$2:C1186,C1186),"")</f>
        <v/>
      </c>
      <c r="V1186" s="29" t="str">
        <f t="shared" si="60"/>
        <v/>
      </c>
      <c r="W1186" s="29" t="str">
        <f>IF(U1186=1,COUNTIF($U$2:U1186,1),"")</f>
        <v/>
      </c>
      <c r="X1186" s="29" t="str">
        <f t="shared" si="61"/>
        <v/>
      </c>
      <c r="Y1186" s="29" t="str">
        <f>IF(AND(LEFT($B1186,7)="SBA 26/",$D1186&lt;&gt;"",$F1186&lt;&gt;""),COUNTIFS($D$2:$D1186,$D1186,$B$2:$B1186,"SBA 26/*",$F$2:$F1186,"&lt;&gt;"),"")</f>
        <v/>
      </c>
      <c r="Z1186" s="29" t="str">
        <f>IF(Y1186=1,COUNTIF($Y$2:Y1186,1),"")</f>
        <v/>
      </c>
      <c r="AA1186" s="29" t="str">
        <f>IF(AND(LEFT($B1186,7)="SBA 26/",$C1186&lt;&gt;"",$F1186&lt;&gt;""),COUNTIFS($C$2:$C1186,$C1186,$B$2:$B1186,"SBA 26/*",$F$2:$F1186,"&lt;&gt;"),"")</f>
        <v/>
      </c>
      <c r="AB1186" s="29" t="str">
        <f>IF(AA1186=1,COUNTIF($AA$2:AA1186,1),"")</f>
        <v/>
      </c>
    </row>
    <row r="1187" spans="6:28" ht="47.25" customHeight="1" x14ac:dyDescent="0.2">
      <c r="F1187" s="45" t="s">
        <v>3749</v>
      </c>
      <c r="T1187" s="41"/>
      <c r="U1187" s="29" t="str">
        <f>IF($C1187&lt;&gt;"",COUNTIF($C$2:C1187,C1187),"")</f>
        <v/>
      </c>
      <c r="V1187" s="29" t="str">
        <f t="shared" si="60"/>
        <v/>
      </c>
      <c r="W1187" s="29" t="str">
        <f>IF(U1187=1,COUNTIF($U$2:U1187,1),"")</f>
        <v/>
      </c>
      <c r="X1187" s="29" t="str">
        <f t="shared" si="61"/>
        <v/>
      </c>
      <c r="Y1187" s="29" t="str">
        <f>IF(AND(LEFT($B1187,7)="SBA 26/",$D1187&lt;&gt;"",$F1187&lt;&gt;""),COUNTIFS($D$2:$D1187,$D1187,$B$2:$B1187,"SBA 26/*",$F$2:$F1187,"&lt;&gt;"),"")</f>
        <v/>
      </c>
      <c r="Z1187" s="29" t="str">
        <f>IF(Y1187=1,COUNTIF($Y$2:Y1187,1),"")</f>
        <v/>
      </c>
      <c r="AA1187" s="29" t="str">
        <f>IF(AND(LEFT($B1187,7)="SBA 26/",$C1187&lt;&gt;"",$F1187&lt;&gt;""),COUNTIFS($C$2:$C1187,$C1187,$B$2:$B1187,"SBA 26/*",$F$2:$F1187,"&lt;&gt;"),"")</f>
        <v/>
      </c>
      <c r="AB1187" s="29" t="str">
        <f>IF(AA1187=1,COUNTIF($AA$2:AA1187,1),"")</f>
        <v/>
      </c>
    </row>
    <row r="1188" spans="6:28" ht="47.25" customHeight="1" x14ac:dyDescent="0.2">
      <c r="F1188" s="45" t="s">
        <v>3750</v>
      </c>
      <c r="T1188" s="41"/>
      <c r="U1188" s="29" t="str">
        <f>IF($C1188&lt;&gt;"",COUNTIF($C$2:C1188,C1188),"")</f>
        <v/>
      </c>
      <c r="V1188" s="29" t="str">
        <f t="shared" si="60"/>
        <v/>
      </c>
      <c r="W1188" s="29" t="str">
        <f>IF(U1188=1,COUNTIF($U$2:U1188,1),"")</f>
        <v/>
      </c>
      <c r="X1188" s="29" t="str">
        <f t="shared" si="61"/>
        <v/>
      </c>
      <c r="Y1188" s="29" t="str">
        <f>IF(AND(LEFT($B1188,7)="SBA 26/",$D1188&lt;&gt;"",$F1188&lt;&gt;""),COUNTIFS($D$2:$D1188,$D1188,$B$2:$B1188,"SBA 26/*",$F$2:$F1188,"&lt;&gt;"),"")</f>
        <v/>
      </c>
      <c r="Z1188" s="29" t="str">
        <f>IF(Y1188=1,COUNTIF($Y$2:Y1188,1),"")</f>
        <v/>
      </c>
      <c r="AA1188" s="29" t="str">
        <f>IF(AND(LEFT($B1188,7)="SBA 26/",$C1188&lt;&gt;"",$F1188&lt;&gt;""),COUNTIFS($C$2:$C1188,$C1188,$B$2:$B1188,"SBA 26/*",$F$2:$F1188,"&lt;&gt;"),"")</f>
        <v/>
      </c>
      <c r="AB1188" s="29" t="str">
        <f>IF(AA1188=1,COUNTIF($AA$2:AA1188,1),"")</f>
        <v/>
      </c>
    </row>
    <row r="1189" spans="6:28" ht="63" customHeight="1" x14ac:dyDescent="0.2">
      <c r="F1189" s="45" t="s">
        <v>3751</v>
      </c>
      <c r="T1189" s="41"/>
      <c r="U1189" s="29" t="str">
        <f>IF($C1189&lt;&gt;"",COUNTIF($C$2:C1189,C1189),"")</f>
        <v/>
      </c>
      <c r="V1189" s="29" t="str">
        <f t="shared" si="60"/>
        <v/>
      </c>
      <c r="W1189" s="29" t="str">
        <f>IF(U1189=1,COUNTIF($U$2:U1189,1),"")</f>
        <v/>
      </c>
      <c r="X1189" s="29" t="str">
        <f t="shared" si="61"/>
        <v/>
      </c>
      <c r="Y1189" s="29" t="str">
        <f>IF(AND(LEFT($B1189,7)="SBA 26/",$D1189&lt;&gt;"",$F1189&lt;&gt;""),COUNTIFS($D$2:$D1189,$D1189,$B$2:$B1189,"SBA 26/*",$F$2:$F1189,"&lt;&gt;"),"")</f>
        <v/>
      </c>
      <c r="Z1189" s="29" t="str">
        <f>IF(Y1189=1,COUNTIF($Y$2:Y1189,1),"")</f>
        <v/>
      </c>
      <c r="AA1189" s="29" t="str">
        <f>IF(AND(LEFT($B1189,7)="SBA 26/",$C1189&lt;&gt;"",$F1189&lt;&gt;""),COUNTIFS($C$2:$C1189,$C1189,$B$2:$B1189,"SBA 26/*",$F$2:$F1189,"&lt;&gt;"),"")</f>
        <v/>
      </c>
      <c r="AB1189" s="29" t="str">
        <f>IF(AA1189=1,COUNTIF($AA$2:AA1189,1),"")</f>
        <v/>
      </c>
    </row>
    <row r="1190" spans="6:28" ht="63" customHeight="1" x14ac:dyDescent="0.2">
      <c r="F1190" s="45" t="s">
        <v>3752</v>
      </c>
      <c r="T1190" s="41"/>
      <c r="U1190" s="29" t="str">
        <f>IF($C1190&lt;&gt;"",COUNTIF($C$2:C1190,C1190),"")</f>
        <v/>
      </c>
      <c r="V1190" s="29" t="str">
        <f t="shared" si="60"/>
        <v/>
      </c>
      <c r="W1190" s="29" t="str">
        <f>IF(U1190=1,COUNTIF($U$2:U1190,1),"")</f>
        <v/>
      </c>
      <c r="X1190" s="29" t="str">
        <f t="shared" si="61"/>
        <v/>
      </c>
      <c r="Y1190" s="29" t="str">
        <f>IF(AND(LEFT($B1190,7)="SBA 26/",$D1190&lt;&gt;"",$F1190&lt;&gt;""),COUNTIFS($D$2:$D1190,$D1190,$B$2:$B1190,"SBA 26/*",$F$2:$F1190,"&lt;&gt;"),"")</f>
        <v/>
      </c>
      <c r="Z1190" s="29" t="str">
        <f>IF(Y1190=1,COUNTIF($Y$2:Y1190,1),"")</f>
        <v/>
      </c>
      <c r="AA1190" s="29" t="str">
        <f>IF(AND(LEFT($B1190,7)="SBA 26/",$C1190&lt;&gt;"",$F1190&lt;&gt;""),COUNTIFS($C$2:$C1190,$C1190,$B$2:$B1190,"SBA 26/*",$F$2:$F1190,"&lt;&gt;"),"")</f>
        <v/>
      </c>
      <c r="AB1190" s="29" t="str">
        <f>IF(AA1190=1,COUNTIF($AA$2:AA1190,1),"")</f>
        <v/>
      </c>
    </row>
    <row r="1191" spans="6:28" ht="31.5" customHeight="1" x14ac:dyDescent="0.2">
      <c r="F1191" s="45" t="s">
        <v>3753</v>
      </c>
      <c r="T1191" s="41"/>
      <c r="U1191" s="29" t="str">
        <f>IF($C1191&lt;&gt;"",COUNTIF($C$2:C1191,C1191),"")</f>
        <v/>
      </c>
      <c r="V1191" s="29" t="str">
        <f t="shared" si="60"/>
        <v/>
      </c>
      <c r="W1191" s="29" t="str">
        <f>IF(U1191=1,COUNTIF($U$2:U1191,1),"")</f>
        <v/>
      </c>
      <c r="X1191" s="29" t="str">
        <f t="shared" si="61"/>
        <v/>
      </c>
      <c r="Y1191" s="29" t="str">
        <f>IF(AND(LEFT($B1191,7)="SBA 26/",$D1191&lt;&gt;"",$F1191&lt;&gt;""),COUNTIFS($D$2:$D1191,$D1191,$B$2:$B1191,"SBA 26/*",$F$2:$F1191,"&lt;&gt;"),"")</f>
        <v/>
      </c>
      <c r="Z1191" s="29" t="str">
        <f>IF(Y1191=1,COUNTIF($Y$2:Y1191,1),"")</f>
        <v/>
      </c>
      <c r="AA1191" s="29" t="str">
        <f>IF(AND(LEFT($B1191,7)="SBA 26/",$C1191&lt;&gt;"",$F1191&lt;&gt;""),COUNTIFS($C$2:$C1191,$C1191,$B$2:$B1191,"SBA 26/*",$F$2:$F1191,"&lt;&gt;"),"")</f>
        <v/>
      </c>
      <c r="AB1191" s="29" t="str">
        <f>IF(AA1191=1,COUNTIF($AA$2:AA1191,1),"")</f>
        <v/>
      </c>
    </row>
    <row r="1192" spans="6:28" ht="31.5" customHeight="1" x14ac:dyDescent="0.2">
      <c r="F1192" s="45" t="s">
        <v>3754</v>
      </c>
      <c r="T1192" s="41"/>
      <c r="U1192" s="29" t="str">
        <f>IF($C1192&lt;&gt;"",COUNTIF($C$2:C1192,C1192),"")</f>
        <v/>
      </c>
      <c r="V1192" s="29" t="str">
        <f t="shared" si="60"/>
        <v/>
      </c>
      <c r="W1192" s="29" t="str">
        <f>IF(U1192=1,COUNTIF($U$2:U1192,1),"")</f>
        <v/>
      </c>
      <c r="X1192" s="29" t="str">
        <f t="shared" si="61"/>
        <v/>
      </c>
      <c r="Y1192" s="29" t="str">
        <f>IF(AND(LEFT($B1192,7)="SBA 26/",$D1192&lt;&gt;"",$F1192&lt;&gt;""),COUNTIFS($D$2:$D1192,$D1192,$B$2:$B1192,"SBA 26/*",$F$2:$F1192,"&lt;&gt;"),"")</f>
        <v/>
      </c>
      <c r="Z1192" s="29" t="str">
        <f>IF(Y1192=1,COUNTIF($Y$2:Y1192,1),"")</f>
        <v/>
      </c>
      <c r="AA1192" s="29" t="str">
        <f>IF(AND(LEFT($B1192,7)="SBA 26/",$C1192&lt;&gt;"",$F1192&lt;&gt;""),COUNTIFS($C$2:$C1192,$C1192,$B$2:$B1192,"SBA 26/*",$F$2:$F1192,"&lt;&gt;"),"")</f>
        <v/>
      </c>
      <c r="AB1192" s="29" t="str">
        <f>IF(AA1192=1,COUNTIF($AA$2:AA1192,1),"")</f>
        <v/>
      </c>
    </row>
    <row r="1193" spans="6:28" ht="31.5" customHeight="1" x14ac:dyDescent="0.2">
      <c r="F1193" s="45" t="s">
        <v>3755</v>
      </c>
      <c r="T1193" s="41"/>
      <c r="U1193" s="29" t="str">
        <f>IF($C1193&lt;&gt;"",COUNTIF($C$2:C1193,C1193),"")</f>
        <v/>
      </c>
      <c r="V1193" s="29" t="str">
        <f t="shared" si="60"/>
        <v/>
      </c>
      <c r="W1193" s="29" t="str">
        <f>IF(U1193=1,COUNTIF($U$2:U1193,1),"")</f>
        <v/>
      </c>
      <c r="X1193" s="29" t="str">
        <f t="shared" si="61"/>
        <v/>
      </c>
      <c r="Y1193" s="29" t="str">
        <f>IF(AND(LEFT($B1193,7)="SBA 26/",$D1193&lt;&gt;"",$F1193&lt;&gt;""),COUNTIFS($D$2:$D1193,$D1193,$B$2:$B1193,"SBA 26/*",$F$2:$F1193,"&lt;&gt;"),"")</f>
        <v/>
      </c>
      <c r="Z1193" s="29" t="str">
        <f>IF(Y1193=1,COUNTIF($Y$2:Y1193,1),"")</f>
        <v/>
      </c>
      <c r="AA1193" s="29" t="str">
        <f>IF(AND(LEFT($B1193,7)="SBA 26/",$C1193&lt;&gt;"",$F1193&lt;&gt;""),COUNTIFS($C$2:$C1193,$C1193,$B$2:$B1193,"SBA 26/*",$F$2:$F1193,"&lt;&gt;"),"")</f>
        <v/>
      </c>
      <c r="AB1193" s="29" t="str">
        <f>IF(AA1193=1,COUNTIF($AA$2:AA1193,1),"")</f>
        <v/>
      </c>
    </row>
    <row r="1194" spans="6:28" ht="31.5" customHeight="1" x14ac:dyDescent="0.2">
      <c r="F1194" s="45" t="s">
        <v>3756</v>
      </c>
      <c r="T1194" s="41"/>
      <c r="U1194" s="29" t="str">
        <f>IF($C1194&lt;&gt;"",COUNTIF($C$2:C1194,C1194),"")</f>
        <v/>
      </c>
      <c r="V1194" s="29" t="str">
        <f t="shared" si="60"/>
        <v/>
      </c>
      <c r="W1194" s="29" t="str">
        <f>IF(U1194=1,COUNTIF($U$2:U1194,1),"")</f>
        <v/>
      </c>
      <c r="X1194" s="29" t="str">
        <f t="shared" si="61"/>
        <v/>
      </c>
      <c r="Y1194" s="29" t="str">
        <f>IF(AND(LEFT($B1194,7)="SBA 26/",$D1194&lt;&gt;"",$F1194&lt;&gt;""),COUNTIFS($D$2:$D1194,$D1194,$B$2:$B1194,"SBA 26/*",$F$2:$F1194,"&lt;&gt;"),"")</f>
        <v/>
      </c>
      <c r="Z1194" s="29" t="str">
        <f>IF(Y1194=1,COUNTIF($Y$2:Y1194,1),"")</f>
        <v/>
      </c>
      <c r="AA1194" s="29" t="str">
        <f>IF(AND(LEFT($B1194,7)="SBA 26/",$C1194&lt;&gt;"",$F1194&lt;&gt;""),COUNTIFS($C$2:$C1194,$C1194,$B$2:$B1194,"SBA 26/*",$F$2:$F1194,"&lt;&gt;"),"")</f>
        <v/>
      </c>
      <c r="AB1194" s="29" t="str">
        <f>IF(AA1194=1,COUNTIF($AA$2:AA1194,1),"")</f>
        <v/>
      </c>
    </row>
    <row r="1195" spans="6:28" ht="63" customHeight="1" x14ac:dyDescent="0.2">
      <c r="F1195" s="45" t="s">
        <v>3757</v>
      </c>
      <c r="T1195" s="41"/>
      <c r="U1195" s="29" t="str">
        <f>IF($C1195&lt;&gt;"",COUNTIF($C$2:C1195,C1195),"")</f>
        <v/>
      </c>
      <c r="V1195" s="29" t="str">
        <f t="shared" si="60"/>
        <v/>
      </c>
      <c r="W1195" s="29" t="str">
        <f>IF(U1195=1,COUNTIF($U$2:U1195,1),"")</f>
        <v/>
      </c>
      <c r="X1195" s="29" t="str">
        <f t="shared" si="61"/>
        <v/>
      </c>
      <c r="Y1195" s="29" t="str">
        <f>IF(AND(LEFT($B1195,7)="SBA 26/",$D1195&lt;&gt;"",$F1195&lt;&gt;""),COUNTIFS($D$2:$D1195,$D1195,$B$2:$B1195,"SBA 26/*",$F$2:$F1195,"&lt;&gt;"),"")</f>
        <v/>
      </c>
      <c r="Z1195" s="29" t="str">
        <f>IF(Y1195=1,COUNTIF($Y$2:Y1195,1),"")</f>
        <v/>
      </c>
      <c r="AA1195" s="29" t="str">
        <f>IF(AND(LEFT($B1195,7)="SBA 26/",$C1195&lt;&gt;"",$F1195&lt;&gt;""),COUNTIFS($C$2:$C1195,$C1195,$B$2:$B1195,"SBA 26/*",$F$2:$F1195,"&lt;&gt;"),"")</f>
        <v/>
      </c>
      <c r="AB1195" s="29" t="str">
        <f>IF(AA1195=1,COUNTIF($AA$2:AA1195,1),"")</f>
        <v/>
      </c>
    </row>
    <row r="1196" spans="6:28" ht="31.5" customHeight="1" x14ac:dyDescent="0.2">
      <c r="F1196" s="45" t="s">
        <v>3758</v>
      </c>
      <c r="T1196" s="41"/>
      <c r="U1196" s="29" t="str">
        <f>IF($C1196&lt;&gt;"",COUNTIF($C$2:C1196,C1196),"")</f>
        <v/>
      </c>
      <c r="V1196" s="29" t="str">
        <f t="shared" si="60"/>
        <v/>
      </c>
      <c r="W1196" s="29" t="str">
        <f>IF(U1196=1,COUNTIF($U$2:U1196,1),"")</f>
        <v/>
      </c>
      <c r="X1196" s="29" t="str">
        <f t="shared" si="61"/>
        <v/>
      </c>
      <c r="Y1196" s="29" t="str">
        <f>IF(AND(LEFT($B1196,7)="SBA 26/",$D1196&lt;&gt;"",$F1196&lt;&gt;""),COUNTIFS($D$2:$D1196,$D1196,$B$2:$B1196,"SBA 26/*",$F$2:$F1196,"&lt;&gt;"),"")</f>
        <v/>
      </c>
      <c r="Z1196" s="29" t="str">
        <f>IF(Y1196=1,COUNTIF($Y$2:Y1196,1),"")</f>
        <v/>
      </c>
      <c r="AA1196" s="29" t="str">
        <f>IF(AND(LEFT($B1196,7)="SBA 26/",$C1196&lt;&gt;"",$F1196&lt;&gt;""),COUNTIFS($C$2:$C1196,$C1196,$B$2:$B1196,"SBA 26/*",$F$2:$F1196,"&lt;&gt;"),"")</f>
        <v/>
      </c>
      <c r="AB1196" s="29" t="str">
        <f>IF(AA1196=1,COUNTIF($AA$2:AA1196,1),"")</f>
        <v/>
      </c>
    </row>
    <row r="1197" spans="6:28" ht="31.5" customHeight="1" x14ac:dyDescent="0.2">
      <c r="F1197" s="45" t="s">
        <v>3759</v>
      </c>
      <c r="T1197" s="41"/>
      <c r="U1197" s="29" t="str">
        <f>IF($C1197&lt;&gt;"",COUNTIF($C$2:C1197,C1197),"")</f>
        <v/>
      </c>
      <c r="V1197" s="29" t="str">
        <f t="shared" si="60"/>
        <v/>
      </c>
      <c r="W1197" s="29" t="str">
        <f>IF(U1197=1,COUNTIF($U$2:U1197,1),"")</f>
        <v/>
      </c>
      <c r="X1197" s="29" t="str">
        <f t="shared" si="61"/>
        <v/>
      </c>
      <c r="Y1197" s="29" t="str">
        <f>IF(AND(LEFT($B1197,7)="SBA 26/",$D1197&lt;&gt;"",$F1197&lt;&gt;""),COUNTIFS($D$2:$D1197,$D1197,$B$2:$B1197,"SBA 26/*",$F$2:$F1197,"&lt;&gt;"),"")</f>
        <v/>
      </c>
      <c r="Z1197" s="29" t="str">
        <f>IF(Y1197=1,COUNTIF($Y$2:Y1197,1),"")</f>
        <v/>
      </c>
      <c r="AA1197" s="29" t="str">
        <f>IF(AND(LEFT($B1197,7)="SBA 26/",$C1197&lt;&gt;"",$F1197&lt;&gt;""),COUNTIFS($C$2:$C1197,$C1197,$B$2:$B1197,"SBA 26/*",$F$2:$F1197,"&lt;&gt;"),"")</f>
        <v/>
      </c>
      <c r="AB1197" s="29" t="str">
        <f>IF(AA1197=1,COUNTIF($AA$2:AA1197,1),"")</f>
        <v/>
      </c>
    </row>
    <row r="1198" spans="6:28" ht="47.25" customHeight="1" x14ac:dyDescent="0.2">
      <c r="F1198" s="45" t="s">
        <v>3760</v>
      </c>
      <c r="T1198" s="41"/>
      <c r="U1198" s="29" t="str">
        <f>IF($C1198&lt;&gt;"",COUNTIF($C$2:C1198,C1198),"")</f>
        <v/>
      </c>
      <c r="V1198" s="29" t="str">
        <f t="shared" si="60"/>
        <v/>
      </c>
      <c r="W1198" s="29" t="str">
        <f>IF(U1198=1,COUNTIF($U$2:U1198,1),"")</f>
        <v/>
      </c>
      <c r="X1198" s="29" t="str">
        <f t="shared" si="61"/>
        <v/>
      </c>
      <c r="Y1198" s="29" t="str">
        <f>IF(AND(LEFT($B1198,7)="SBA 26/",$D1198&lt;&gt;"",$F1198&lt;&gt;""),COUNTIFS($D$2:$D1198,$D1198,$B$2:$B1198,"SBA 26/*",$F$2:$F1198,"&lt;&gt;"),"")</f>
        <v/>
      </c>
      <c r="Z1198" s="29" t="str">
        <f>IF(Y1198=1,COUNTIF($Y$2:Y1198,1),"")</f>
        <v/>
      </c>
      <c r="AA1198" s="29" t="str">
        <f>IF(AND(LEFT($B1198,7)="SBA 26/",$C1198&lt;&gt;"",$F1198&lt;&gt;""),COUNTIFS($C$2:$C1198,$C1198,$B$2:$B1198,"SBA 26/*",$F$2:$F1198,"&lt;&gt;"),"")</f>
        <v/>
      </c>
      <c r="AB1198" s="29" t="str">
        <f>IF(AA1198=1,COUNTIF($AA$2:AA1198,1),"")</f>
        <v/>
      </c>
    </row>
    <row r="1199" spans="6:28" ht="47.25" customHeight="1" x14ac:dyDescent="0.2">
      <c r="F1199" s="45" t="s">
        <v>3761</v>
      </c>
      <c r="T1199" s="41"/>
      <c r="U1199" s="29" t="str">
        <f>IF($C1199&lt;&gt;"",COUNTIF($C$2:C1199,C1199),"")</f>
        <v/>
      </c>
      <c r="V1199" s="29" t="str">
        <f t="shared" si="60"/>
        <v/>
      </c>
      <c r="W1199" s="29" t="str">
        <f>IF(U1199=1,COUNTIF($U$2:U1199,1),"")</f>
        <v/>
      </c>
      <c r="X1199" s="29" t="str">
        <f t="shared" si="61"/>
        <v/>
      </c>
      <c r="Y1199" s="29" t="str">
        <f>IF(AND(LEFT($B1199,7)="SBA 26/",$D1199&lt;&gt;"",$F1199&lt;&gt;""),COUNTIFS($D$2:$D1199,$D1199,$B$2:$B1199,"SBA 26/*",$F$2:$F1199,"&lt;&gt;"),"")</f>
        <v/>
      </c>
      <c r="Z1199" s="29" t="str">
        <f>IF(Y1199=1,COUNTIF($Y$2:Y1199,1),"")</f>
        <v/>
      </c>
      <c r="AA1199" s="29" t="str">
        <f>IF(AND(LEFT($B1199,7)="SBA 26/",$C1199&lt;&gt;"",$F1199&lt;&gt;""),COUNTIFS($C$2:$C1199,$C1199,$B$2:$B1199,"SBA 26/*",$F$2:$F1199,"&lt;&gt;"),"")</f>
        <v/>
      </c>
      <c r="AB1199" s="29" t="str">
        <f>IF(AA1199=1,COUNTIF($AA$2:AA1199,1),"")</f>
        <v/>
      </c>
    </row>
    <row r="1200" spans="6:28" ht="47.25" customHeight="1" x14ac:dyDescent="0.2">
      <c r="F1200" s="45" t="s">
        <v>3762</v>
      </c>
      <c r="T1200" s="41"/>
      <c r="U1200" s="29" t="str">
        <f>IF($C1200&lt;&gt;"",COUNTIF($C$2:C1200,C1200),"")</f>
        <v/>
      </c>
      <c r="V1200" s="29" t="str">
        <f t="shared" si="60"/>
        <v/>
      </c>
      <c r="W1200" s="29" t="str">
        <f>IF(U1200=1,COUNTIF($U$2:U1200,1),"")</f>
        <v/>
      </c>
      <c r="X1200" s="29" t="str">
        <f t="shared" si="61"/>
        <v/>
      </c>
      <c r="Y1200" s="29" t="str">
        <f>IF(AND(LEFT($B1200,7)="SBA 26/",$D1200&lt;&gt;"",$F1200&lt;&gt;""),COUNTIFS($D$2:$D1200,$D1200,$B$2:$B1200,"SBA 26/*",$F$2:$F1200,"&lt;&gt;"),"")</f>
        <v/>
      </c>
      <c r="Z1200" s="29" t="str">
        <f>IF(Y1200=1,COUNTIF($Y$2:Y1200,1),"")</f>
        <v/>
      </c>
      <c r="AA1200" s="29" t="str">
        <f>IF(AND(LEFT($B1200,7)="SBA 26/",$C1200&lt;&gt;"",$F1200&lt;&gt;""),COUNTIFS($C$2:$C1200,$C1200,$B$2:$B1200,"SBA 26/*",$F$2:$F1200,"&lt;&gt;"),"")</f>
        <v/>
      </c>
      <c r="AB1200" s="29" t="str">
        <f>IF(AA1200=1,COUNTIF($AA$2:AA1200,1),"")</f>
        <v/>
      </c>
    </row>
    <row r="1201" spans="6:28" ht="31.5" customHeight="1" x14ac:dyDescent="0.2">
      <c r="F1201" s="45" t="s">
        <v>3763</v>
      </c>
      <c r="T1201" s="41"/>
      <c r="U1201" s="29" t="str">
        <f>IF($C1201&lt;&gt;"",COUNTIF($C$2:C1201,C1201),"")</f>
        <v/>
      </c>
      <c r="V1201" s="29" t="str">
        <f t="shared" si="60"/>
        <v/>
      </c>
      <c r="W1201" s="29" t="str">
        <f>IF(U1201=1,COUNTIF($U$2:U1201,1),"")</f>
        <v/>
      </c>
      <c r="X1201" s="29" t="str">
        <f t="shared" si="61"/>
        <v/>
      </c>
      <c r="Y1201" s="29" t="str">
        <f>IF(AND(LEFT($B1201,7)="SBA 26/",$D1201&lt;&gt;"",$F1201&lt;&gt;""),COUNTIFS($D$2:$D1201,$D1201,$B$2:$B1201,"SBA 26/*",$F$2:$F1201,"&lt;&gt;"),"")</f>
        <v/>
      </c>
      <c r="Z1201" s="29" t="str">
        <f>IF(Y1201=1,COUNTIF($Y$2:Y1201,1),"")</f>
        <v/>
      </c>
      <c r="AA1201" s="29" t="str">
        <f>IF(AND(LEFT($B1201,7)="SBA 26/",$C1201&lt;&gt;"",$F1201&lt;&gt;""),COUNTIFS($C$2:$C1201,$C1201,$B$2:$B1201,"SBA 26/*",$F$2:$F1201,"&lt;&gt;"),"")</f>
        <v/>
      </c>
      <c r="AB1201" s="29" t="str">
        <f>IF(AA1201=1,COUNTIF($AA$2:AA1201,1),"")</f>
        <v/>
      </c>
    </row>
    <row r="1202" spans="6:28" ht="63" customHeight="1" x14ac:dyDescent="0.2">
      <c r="F1202" s="45" t="s">
        <v>3764</v>
      </c>
      <c r="T1202" s="41"/>
      <c r="U1202" s="29" t="str">
        <f>IF($C1202&lt;&gt;"",COUNTIF($C$2:C1202,C1202),"")</f>
        <v/>
      </c>
      <c r="V1202" s="29" t="str">
        <f t="shared" si="60"/>
        <v/>
      </c>
      <c r="W1202" s="29" t="str">
        <f>IF(U1202=1,COUNTIF($U$2:U1202,1),"")</f>
        <v/>
      </c>
      <c r="X1202" s="29" t="str">
        <f t="shared" si="61"/>
        <v/>
      </c>
      <c r="Y1202" s="29" t="str">
        <f>IF(AND(LEFT($B1202,7)="SBA 26/",$D1202&lt;&gt;"",$F1202&lt;&gt;""),COUNTIFS($D$2:$D1202,$D1202,$B$2:$B1202,"SBA 26/*",$F$2:$F1202,"&lt;&gt;"),"")</f>
        <v/>
      </c>
      <c r="Z1202" s="29" t="str">
        <f>IF(Y1202=1,COUNTIF($Y$2:Y1202,1),"")</f>
        <v/>
      </c>
      <c r="AA1202" s="29" t="str">
        <f>IF(AND(LEFT($B1202,7)="SBA 26/",$C1202&lt;&gt;"",$F1202&lt;&gt;""),COUNTIFS($C$2:$C1202,$C1202,$B$2:$B1202,"SBA 26/*",$F$2:$F1202,"&lt;&gt;"),"")</f>
        <v/>
      </c>
      <c r="AB1202" s="29" t="str">
        <f>IF(AA1202=1,COUNTIF($AA$2:AA1202,1),"")</f>
        <v/>
      </c>
    </row>
    <row r="1203" spans="6:28" ht="31.5" customHeight="1" x14ac:dyDescent="0.2">
      <c r="F1203" s="45" t="s">
        <v>3765</v>
      </c>
      <c r="T1203" s="41"/>
      <c r="U1203" s="29" t="str">
        <f>IF($C1203&lt;&gt;"",COUNTIF($C$2:C1203,C1203),"")</f>
        <v/>
      </c>
      <c r="V1203" s="29" t="str">
        <f t="shared" si="60"/>
        <v/>
      </c>
      <c r="W1203" s="29" t="str">
        <f>IF(U1203=1,COUNTIF($U$2:U1203,1),"")</f>
        <v/>
      </c>
      <c r="X1203" s="29" t="str">
        <f t="shared" si="61"/>
        <v/>
      </c>
      <c r="Y1203" s="29" t="str">
        <f>IF(AND(LEFT($B1203,7)="SBA 26/",$D1203&lt;&gt;"",$F1203&lt;&gt;""),COUNTIFS($D$2:$D1203,$D1203,$B$2:$B1203,"SBA 26/*",$F$2:$F1203,"&lt;&gt;"),"")</f>
        <v/>
      </c>
      <c r="Z1203" s="29" t="str">
        <f>IF(Y1203=1,COUNTIF($Y$2:Y1203,1),"")</f>
        <v/>
      </c>
      <c r="AA1203" s="29" t="str">
        <f>IF(AND(LEFT($B1203,7)="SBA 26/",$C1203&lt;&gt;"",$F1203&lt;&gt;""),COUNTIFS($C$2:$C1203,$C1203,$B$2:$B1203,"SBA 26/*",$F$2:$F1203,"&lt;&gt;"),"")</f>
        <v/>
      </c>
      <c r="AB1203" s="29" t="str">
        <f>IF(AA1203=1,COUNTIF($AA$2:AA1203,1),"")</f>
        <v/>
      </c>
    </row>
    <row r="1204" spans="6:28" ht="63" customHeight="1" x14ac:dyDescent="0.2">
      <c r="F1204" s="45" t="s">
        <v>3766</v>
      </c>
      <c r="T1204" s="41"/>
      <c r="U1204" s="29" t="str">
        <f>IF($C1204&lt;&gt;"",COUNTIF($C$2:C1204,C1204),"")</f>
        <v/>
      </c>
      <c r="V1204" s="29" t="str">
        <f t="shared" si="60"/>
        <v/>
      </c>
      <c r="W1204" s="29" t="str">
        <f>IF(U1204=1,COUNTIF($U$2:U1204,1),"")</f>
        <v/>
      </c>
      <c r="X1204" s="29" t="str">
        <f t="shared" si="61"/>
        <v/>
      </c>
      <c r="Y1204" s="29" t="str">
        <f>IF(AND(LEFT($B1204,7)="SBA 26/",$D1204&lt;&gt;"",$F1204&lt;&gt;""),COUNTIFS($D$2:$D1204,$D1204,$B$2:$B1204,"SBA 26/*",$F$2:$F1204,"&lt;&gt;"),"")</f>
        <v/>
      </c>
      <c r="Z1204" s="29" t="str">
        <f>IF(Y1204=1,COUNTIF($Y$2:Y1204,1),"")</f>
        <v/>
      </c>
      <c r="AA1204" s="29" t="str">
        <f>IF(AND(LEFT($B1204,7)="SBA 26/",$C1204&lt;&gt;"",$F1204&lt;&gt;""),COUNTIFS($C$2:$C1204,$C1204,$B$2:$B1204,"SBA 26/*",$F$2:$F1204,"&lt;&gt;"),"")</f>
        <v/>
      </c>
      <c r="AB1204" s="29" t="str">
        <f>IF(AA1204=1,COUNTIF($AA$2:AA1204,1),"")</f>
        <v/>
      </c>
    </row>
    <row r="1205" spans="6:28" ht="47.25" customHeight="1" x14ac:dyDescent="0.2">
      <c r="F1205" s="45" t="s">
        <v>3767</v>
      </c>
      <c r="T1205" s="41"/>
      <c r="U1205" s="29" t="str">
        <f>IF($C1205&lt;&gt;"",COUNTIF($C$2:C1205,C1205),"")</f>
        <v/>
      </c>
      <c r="V1205" s="29" t="str">
        <f t="shared" si="60"/>
        <v/>
      </c>
      <c r="W1205" s="29" t="str">
        <f>IF(U1205=1,COUNTIF($U$2:U1205,1),"")</f>
        <v/>
      </c>
      <c r="X1205" s="29" t="str">
        <f t="shared" si="61"/>
        <v/>
      </c>
      <c r="Y1205" s="29" t="str">
        <f>IF(AND(LEFT($B1205,7)="SBA 26/",$D1205&lt;&gt;"",$F1205&lt;&gt;""),COUNTIFS($D$2:$D1205,$D1205,$B$2:$B1205,"SBA 26/*",$F$2:$F1205,"&lt;&gt;"),"")</f>
        <v/>
      </c>
      <c r="Z1205" s="29" t="str">
        <f>IF(Y1205=1,COUNTIF($Y$2:Y1205,1),"")</f>
        <v/>
      </c>
      <c r="AA1205" s="29" t="str">
        <f>IF(AND(LEFT($B1205,7)="SBA 26/",$C1205&lt;&gt;"",$F1205&lt;&gt;""),COUNTIFS($C$2:$C1205,$C1205,$B$2:$B1205,"SBA 26/*",$F$2:$F1205,"&lt;&gt;"),"")</f>
        <v/>
      </c>
      <c r="AB1205" s="29" t="str">
        <f>IF(AA1205=1,COUNTIF($AA$2:AA1205,1),"")</f>
        <v/>
      </c>
    </row>
    <row r="1206" spans="6:28" ht="63" customHeight="1" x14ac:dyDescent="0.2">
      <c r="F1206" s="45" t="s">
        <v>3768</v>
      </c>
      <c r="T1206" s="41"/>
      <c r="U1206" s="29" t="str">
        <f>IF($C1206&lt;&gt;"",COUNTIF($C$2:C1206,C1206),"")</f>
        <v/>
      </c>
      <c r="V1206" s="29" t="str">
        <f t="shared" si="60"/>
        <v/>
      </c>
      <c r="W1206" s="29" t="str">
        <f>IF(U1206=1,COUNTIF($U$2:U1206,1),"")</f>
        <v/>
      </c>
      <c r="X1206" s="29" t="str">
        <f t="shared" si="61"/>
        <v/>
      </c>
      <c r="Y1206" s="29" t="str">
        <f>IF(AND(LEFT($B1206,7)="SBA 26/",$D1206&lt;&gt;"",$F1206&lt;&gt;""),COUNTIFS($D$2:$D1206,$D1206,$B$2:$B1206,"SBA 26/*",$F$2:$F1206,"&lt;&gt;"),"")</f>
        <v/>
      </c>
      <c r="Z1206" s="29" t="str">
        <f>IF(Y1206=1,COUNTIF($Y$2:Y1206,1),"")</f>
        <v/>
      </c>
      <c r="AA1206" s="29" t="str">
        <f>IF(AND(LEFT($B1206,7)="SBA 26/",$C1206&lt;&gt;"",$F1206&lt;&gt;""),COUNTIFS($C$2:$C1206,$C1206,$B$2:$B1206,"SBA 26/*",$F$2:$F1206,"&lt;&gt;"),"")</f>
        <v/>
      </c>
      <c r="AB1206" s="29" t="str">
        <f>IF(AA1206=1,COUNTIF($AA$2:AA1206,1),"")</f>
        <v/>
      </c>
    </row>
    <row r="1207" spans="6:28" ht="31.5" customHeight="1" x14ac:dyDescent="0.2">
      <c r="F1207" s="45" t="s">
        <v>3769</v>
      </c>
      <c r="T1207" s="41"/>
      <c r="U1207" s="29" t="str">
        <f>IF($C1207&lt;&gt;"",COUNTIF($C$2:C1207,C1207),"")</f>
        <v/>
      </c>
      <c r="V1207" s="29" t="str">
        <f t="shared" si="60"/>
        <v/>
      </c>
      <c r="W1207" s="29" t="str">
        <f>IF(U1207=1,COUNTIF($U$2:U1207,1),"")</f>
        <v/>
      </c>
      <c r="X1207" s="29" t="str">
        <f t="shared" si="61"/>
        <v/>
      </c>
      <c r="Y1207" s="29" t="str">
        <f>IF(AND(LEFT($B1207,7)="SBA 26/",$D1207&lt;&gt;"",$F1207&lt;&gt;""),COUNTIFS($D$2:$D1207,$D1207,$B$2:$B1207,"SBA 26/*",$F$2:$F1207,"&lt;&gt;"),"")</f>
        <v/>
      </c>
      <c r="Z1207" s="29" t="str">
        <f>IF(Y1207=1,COUNTIF($Y$2:Y1207,1),"")</f>
        <v/>
      </c>
      <c r="AA1207" s="29" t="str">
        <f>IF(AND(LEFT($B1207,7)="SBA 26/",$C1207&lt;&gt;"",$F1207&lt;&gt;""),COUNTIFS($C$2:$C1207,$C1207,$B$2:$B1207,"SBA 26/*",$F$2:$F1207,"&lt;&gt;"),"")</f>
        <v/>
      </c>
      <c r="AB1207" s="29" t="str">
        <f>IF(AA1207=1,COUNTIF($AA$2:AA1207,1),"")</f>
        <v/>
      </c>
    </row>
    <row r="1208" spans="6:28" ht="47.25" customHeight="1" x14ac:dyDescent="0.2">
      <c r="F1208" s="45" t="s">
        <v>3770</v>
      </c>
      <c r="T1208" s="41"/>
      <c r="U1208" s="29" t="str">
        <f>IF($C1208&lt;&gt;"",COUNTIF($C$2:C1208,C1208),"")</f>
        <v/>
      </c>
      <c r="V1208" s="29" t="str">
        <f t="shared" si="60"/>
        <v/>
      </c>
      <c r="W1208" s="29" t="str">
        <f>IF(U1208=1,COUNTIF($U$2:U1208,1),"")</f>
        <v/>
      </c>
      <c r="X1208" s="29" t="str">
        <f t="shared" si="61"/>
        <v/>
      </c>
      <c r="Y1208" s="29" t="str">
        <f>IF(AND(LEFT($B1208,7)="SBA 26/",$D1208&lt;&gt;"",$F1208&lt;&gt;""),COUNTIFS($D$2:$D1208,$D1208,$B$2:$B1208,"SBA 26/*",$F$2:$F1208,"&lt;&gt;"),"")</f>
        <v/>
      </c>
      <c r="Z1208" s="29" t="str">
        <f>IF(Y1208=1,COUNTIF($Y$2:Y1208,1),"")</f>
        <v/>
      </c>
      <c r="AA1208" s="29" t="str">
        <f>IF(AND(LEFT($B1208,7)="SBA 26/",$C1208&lt;&gt;"",$F1208&lt;&gt;""),COUNTIFS($C$2:$C1208,$C1208,$B$2:$B1208,"SBA 26/*",$F$2:$F1208,"&lt;&gt;"),"")</f>
        <v/>
      </c>
      <c r="AB1208" s="29" t="str">
        <f>IF(AA1208=1,COUNTIF($AA$2:AA1208,1),"")</f>
        <v/>
      </c>
    </row>
    <row r="1209" spans="6:28" ht="47.25" customHeight="1" x14ac:dyDescent="0.2">
      <c r="F1209" s="45" t="s">
        <v>3771</v>
      </c>
      <c r="T1209" s="41"/>
      <c r="U1209" s="29" t="str">
        <f>IF($C1209&lt;&gt;"",COUNTIF($C$2:C1209,C1209),"")</f>
        <v/>
      </c>
      <c r="V1209" s="29" t="str">
        <f t="shared" si="60"/>
        <v/>
      </c>
      <c r="W1209" s="29" t="str">
        <f>IF(U1209=1,COUNTIF($U$2:U1209,1),"")</f>
        <v/>
      </c>
      <c r="X1209" s="29" t="str">
        <f t="shared" si="61"/>
        <v/>
      </c>
      <c r="Y1209" s="29" t="str">
        <f>IF(AND(LEFT($B1209,7)="SBA 26/",$D1209&lt;&gt;"",$F1209&lt;&gt;""),COUNTIFS($D$2:$D1209,$D1209,$B$2:$B1209,"SBA 26/*",$F$2:$F1209,"&lt;&gt;"),"")</f>
        <v/>
      </c>
      <c r="Z1209" s="29" t="str">
        <f>IF(Y1209=1,COUNTIF($Y$2:Y1209,1),"")</f>
        <v/>
      </c>
      <c r="AA1209" s="29" t="str">
        <f>IF(AND(LEFT($B1209,7)="SBA 26/",$C1209&lt;&gt;"",$F1209&lt;&gt;""),COUNTIFS($C$2:$C1209,$C1209,$B$2:$B1209,"SBA 26/*",$F$2:$F1209,"&lt;&gt;"),"")</f>
        <v/>
      </c>
      <c r="AB1209" s="29" t="str">
        <f>IF(AA1209=1,COUNTIF($AA$2:AA1209,1),"")</f>
        <v/>
      </c>
    </row>
    <row r="1210" spans="6:28" ht="47.25" customHeight="1" x14ac:dyDescent="0.2">
      <c r="F1210" s="45" t="s">
        <v>3772</v>
      </c>
      <c r="T1210" s="41"/>
      <c r="U1210" s="29" t="str">
        <f>IF($C1210&lt;&gt;"",COUNTIF($C$2:C1210,C1210),"")</f>
        <v/>
      </c>
      <c r="V1210" s="29" t="str">
        <f t="shared" si="60"/>
        <v/>
      </c>
      <c r="W1210" s="29" t="str">
        <f>IF(U1210=1,COUNTIF($U$2:U1210,1),"")</f>
        <v/>
      </c>
      <c r="X1210" s="29" t="str">
        <f t="shared" si="61"/>
        <v/>
      </c>
      <c r="Y1210" s="29" t="str">
        <f>IF(AND(LEFT($B1210,7)="SBA 26/",$D1210&lt;&gt;"",$F1210&lt;&gt;""),COUNTIFS($D$2:$D1210,$D1210,$B$2:$B1210,"SBA 26/*",$F$2:$F1210,"&lt;&gt;"),"")</f>
        <v/>
      </c>
      <c r="Z1210" s="29" t="str">
        <f>IF(Y1210=1,COUNTIF($Y$2:Y1210,1),"")</f>
        <v/>
      </c>
      <c r="AA1210" s="29" t="str">
        <f>IF(AND(LEFT($B1210,7)="SBA 26/",$C1210&lt;&gt;"",$F1210&lt;&gt;""),COUNTIFS($C$2:$C1210,$C1210,$B$2:$B1210,"SBA 26/*",$F$2:$F1210,"&lt;&gt;"),"")</f>
        <v/>
      </c>
      <c r="AB1210" s="29" t="str">
        <f>IF(AA1210=1,COUNTIF($AA$2:AA1210,1),"")</f>
        <v/>
      </c>
    </row>
    <row r="1211" spans="6:28" ht="31.5" customHeight="1" x14ac:dyDescent="0.2">
      <c r="F1211" s="45" t="s">
        <v>3773</v>
      </c>
      <c r="T1211" s="41"/>
      <c r="U1211" s="29" t="str">
        <f>IF($C1211&lt;&gt;"",COUNTIF($C$2:C1211,C1211),"")</f>
        <v/>
      </c>
      <c r="V1211" s="29" t="str">
        <f t="shared" si="60"/>
        <v/>
      </c>
      <c r="W1211" s="29" t="str">
        <f>IF(U1211=1,COUNTIF($U$2:U1211,1),"")</f>
        <v/>
      </c>
      <c r="X1211" s="29" t="str">
        <f t="shared" si="61"/>
        <v/>
      </c>
      <c r="Y1211" s="29" t="str">
        <f>IF(AND(LEFT($B1211,7)="SBA 26/",$D1211&lt;&gt;"",$F1211&lt;&gt;""),COUNTIFS($D$2:$D1211,$D1211,$B$2:$B1211,"SBA 26/*",$F$2:$F1211,"&lt;&gt;"),"")</f>
        <v/>
      </c>
      <c r="Z1211" s="29" t="str">
        <f>IF(Y1211=1,COUNTIF($Y$2:Y1211,1),"")</f>
        <v/>
      </c>
      <c r="AA1211" s="29" t="str">
        <f>IF(AND(LEFT($B1211,7)="SBA 26/",$C1211&lt;&gt;"",$F1211&lt;&gt;""),COUNTIFS($C$2:$C1211,$C1211,$B$2:$B1211,"SBA 26/*",$F$2:$F1211,"&lt;&gt;"),"")</f>
        <v/>
      </c>
      <c r="AB1211" s="29" t="str">
        <f>IF(AA1211=1,COUNTIF($AA$2:AA1211,1),"")</f>
        <v/>
      </c>
    </row>
    <row r="1212" spans="6:28" ht="31.5" customHeight="1" x14ac:dyDescent="0.2">
      <c r="F1212" s="45" t="s">
        <v>3774</v>
      </c>
      <c r="T1212" s="41"/>
      <c r="U1212" s="29" t="str">
        <f>IF($C1212&lt;&gt;"",COUNTIF($C$2:C1212,C1212),"")</f>
        <v/>
      </c>
      <c r="V1212" s="29" t="str">
        <f t="shared" si="60"/>
        <v/>
      </c>
      <c r="W1212" s="29" t="str">
        <f>IF(U1212=1,COUNTIF($U$2:U1212,1),"")</f>
        <v/>
      </c>
      <c r="X1212" s="29" t="str">
        <f t="shared" si="61"/>
        <v/>
      </c>
      <c r="Y1212" s="29" t="str">
        <f>IF(AND(LEFT($B1212,7)="SBA 26/",$D1212&lt;&gt;"",$F1212&lt;&gt;""),COUNTIFS($D$2:$D1212,$D1212,$B$2:$B1212,"SBA 26/*",$F$2:$F1212,"&lt;&gt;"),"")</f>
        <v/>
      </c>
      <c r="Z1212" s="29" t="str">
        <f>IF(Y1212=1,COUNTIF($Y$2:Y1212,1),"")</f>
        <v/>
      </c>
      <c r="AA1212" s="29" t="str">
        <f>IF(AND(LEFT($B1212,7)="SBA 26/",$C1212&lt;&gt;"",$F1212&lt;&gt;""),COUNTIFS($C$2:$C1212,$C1212,$B$2:$B1212,"SBA 26/*",$F$2:$F1212,"&lt;&gt;"),"")</f>
        <v/>
      </c>
      <c r="AB1212" s="29" t="str">
        <f>IF(AA1212=1,COUNTIF($AA$2:AA1212,1),"")</f>
        <v/>
      </c>
    </row>
    <row r="1213" spans="6:28" ht="47.25" customHeight="1" x14ac:dyDescent="0.2">
      <c r="F1213" s="45" t="s">
        <v>3775</v>
      </c>
      <c r="T1213" s="41"/>
      <c r="U1213" s="29" t="str">
        <f>IF($C1213&lt;&gt;"",COUNTIF($C$2:C1213,C1213),"")</f>
        <v/>
      </c>
      <c r="V1213" s="29" t="str">
        <f t="shared" si="60"/>
        <v/>
      </c>
      <c r="W1213" s="29" t="str">
        <f>IF(U1213=1,COUNTIF($U$2:U1213,1),"")</f>
        <v/>
      </c>
      <c r="X1213" s="29" t="str">
        <f t="shared" si="61"/>
        <v/>
      </c>
      <c r="Y1213" s="29" t="str">
        <f>IF(AND(LEFT($B1213,7)="SBA 26/",$D1213&lt;&gt;"",$F1213&lt;&gt;""),COUNTIFS($D$2:$D1213,$D1213,$B$2:$B1213,"SBA 26/*",$F$2:$F1213,"&lt;&gt;"),"")</f>
        <v/>
      </c>
      <c r="Z1213" s="29" t="str">
        <f>IF(Y1213=1,COUNTIF($Y$2:Y1213,1),"")</f>
        <v/>
      </c>
      <c r="AA1213" s="29" t="str">
        <f>IF(AND(LEFT($B1213,7)="SBA 26/",$C1213&lt;&gt;"",$F1213&lt;&gt;""),COUNTIFS($C$2:$C1213,$C1213,$B$2:$B1213,"SBA 26/*",$F$2:$F1213,"&lt;&gt;"),"")</f>
        <v/>
      </c>
      <c r="AB1213" s="29" t="str">
        <f>IF(AA1213=1,COUNTIF($AA$2:AA1213,1),"")</f>
        <v/>
      </c>
    </row>
    <row r="1214" spans="6:28" ht="47.25" customHeight="1" x14ac:dyDescent="0.2">
      <c r="F1214" s="45" t="s">
        <v>3776</v>
      </c>
      <c r="T1214" s="41"/>
      <c r="U1214" s="29" t="str">
        <f>IF($C1214&lt;&gt;"",COUNTIF($C$2:C1214,C1214),"")</f>
        <v/>
      </c>
      <c r="V1214" s="29" t="str">
        <f t="shared" si="60"/>
        <v/>
      </c>
      <c r="W1214" s="29" t="str">
        <f>IF(U1214=1,COUNTIF($U$2:U1214,1),"")</f>
        <v/>
      </c>
      <c r="X1214" s="29" t="str">
        <f t="shared" si="61"/>
        <v/>
      </c>
      <c r="Y1214" s="29" t="str">
        <f>IF(AND(LEFT($B1214,7)="SBA 26/",$D1214&lt;&gt;"",$F1214&lt;&gt;""),COUNTIFS($D$2:$D1214,$D1214,$B$2:$B1214,"SBA 26/*",$F$2:$F1214,"&lt;&gt;"),"")</f>
        <v/>
      </c>
      <c r="Z1214" s="29" t="str">
        <f>IF(Y1214=1,COUNTIF($Y$2:Y1214,1),"")</f>
        <v/>
      </c>
      <c r="AA1214" s="29" t="str">
        <f>IF(AND(LEFT($B1214,7)="SBA 26/",$C1214&lt;&gt;"",$F1214&lt;&gt;""),COUNTIFS($C$2:$C1214,$C1214,$B$2:$B1214,"SBA 26/*",$F$2:$F1214,"&lt;&gt;"),"")</f>
        <v/>
      </c>
      <c r="AB1214" s="29" t="str">
        <f>IF(AA1214=1,COUNTIF($AA$2:AA1214,1),"")</f>
        <v/>
      </c>
    </row>
    <row r="1215" spans="6:28" ht="47.25" customHeight="1" x14ac:dyDescent="0.2">
      <c r="F1215" s="45" t="s">
        <v>3777</v>
      </c>
      <c r="T1215" s="41"/>
      <c r="U1215" s="29" t="str">
        <f>IF($C1215&lt;&gt;"",COUNTIF($C$2:C1215,C1215),"")</f>
        <v/>
      </c>
      <c r="V1215" s="29" t="str">
        <f t="shared" si="60"/>
        <v/>
      </c>
      <c r="W1215" s="29" t="str">
        <f>IF(U1215=1,COUNTIF($U$2:U1215,1),"")</f>
        <v/>
      </c>
      <c r="X1215" s="29" t="str">
        <f t="shared" si="61"/>
        <v/>
      </c>
      <c r="Y1215" s="29" t="str">
        <f>IF(AND(LEFT($B1215,7)="SBA 26/",$D1215&lt;&gt;"",$F1215&lt;&gt;""),COUNTIFS($D$2:$D1215,$D1215,$B$2:$B1215,"SBA 26/*",$F$2:$F1215,"&lt;&gt;"),"")</f>
        <v/>
      </c>
      <c r="Z1215" s="29" t="str">
        <f>IF(Y1215=1,COUNTIF($Y$2:Y1215,1),"")</f>
        <v/>
      </c>
      <c r="AA1215" s="29" t="str">
        <f>IF(AND(LEFT($B1215,7)="SBA 26/",$C1215&lt;&gt;"",$F1215&lt;&gt;""),COUNTIFS($C$2:$C1215,$C1215,$B$2:$B1215,"SBA 26/*",$F$2:$F1215,"&lt;&gt;"),"")</f>
        <v/>
      </c>
      <c r="AB1215" s="29" t="str">
        <f>IF(AA1215=1,COUNTIF($AA$2:AA1215,1),"")</f>
        <v/>
      </c>
    </row>
    <row r="1216" spans="6:28" ht="47.25" customHeight="1" x14ac:dyDescent="0.2">
      <c r="F1216" s="45" t="s">
        <v>3778</v>
      </c>
      <c r="T1216" s="41"/>
      <c r="U1216" s="29" t="str">
        <f>IF($C1216&lt;&gt;"",COUNTIF($C$2:C1216,C1216),"")</f>
        <v/>
      </c>
      <c r="V1216" s="29" t="str">
        <f t="shared" si="60"/>
        <v/>
      </c>
      <c r="W1216" s="29" t="str">
        <f>IF(U1216=1,COUNTIF($U$2:U1216,1),"")</f>
        <v/>
      </c>
      <c r="X1216" s="29" t="str">
        <f t="shared" si="61"/>
        <v/>
      </c>
      <c r="Y1216" s="29" t="str">
        <f>IF(AND(LEFT($B1216,7)="SBA 26/",$D1216&lt;&gt;"",$F1216&lt;&gt;""),COUNTIFS($D$2:$D1216,$D1216,$B$2:$B1216,"SBA 26/*",$F$2:$F1216,"&lt;&gt;"),"")</f>
        <v/>
      </c>
      <c r="Z1216" s="29" t="str">
        <f>IF(Y1216=1,COUNTIF($Y$2:Y1216,1),"")</f>
        <v/>
      </c>
      <c r="AA1216" s="29" t="str">
        <f>IF(AND(LEFT($B1216,7)="SBA 26/",$C1216&lt;&gt;"",$F1216&lt;&gt;""),COUNTIFS($C$2:$C1216,$C1216,$B$2:$B1216,"SBA 26/*",$F$2:$F1216,"&lt;&gt;"),"")</f>
        <v/>
      </c>
      <c r="AB1216" s="29" t="str">
        <f>IF(AA1216=1,COUNTIF($AA$2:AA1216,1),"")</f>
        <v/>
      </c>
    </row>
    <row r="1217" spans="6:28" ht="31.5" customHeight="1" x14ac:dyDescent="0.2">
      <c r="F1217" s="45" t="s">
        <v>3779</v>
      </c>
      <c r="T1217" s="41"/>
      <c r="U1217" s="29" t="str">
        <f>IF($C1217&lt;&gt;"",COUNTIF($C$2:C1217,C1217),"")</f>
        <v/>
      </c>
      <c r="V1217" s="29" t="str">
        <f t="shared" si="60"/>
        <v/>
      </c>
      <c r="W1217" s="29" t="str">
        <f>IF(U1217=1,COUNTIF($U$2:U1217,1),"")</f>
        <v/>
      </c>
      <c r="X1217" s="29" t="str">
        <f t="shared" si="61"/>
        <v/>
      </c>
      <c r="Y1217" s="29" t="str">
        <f>IF(AND(LEFT($B1217,7)="SBA 26/",$D1217&lt;&gt;"",$F1217&lt;&gt;""),COUNTIFS($D$2:$D1217,$D1217,$B$2:$B1217,"SBA 26/*",$F$2:$F1217,"&lt;&gt;"),"")</f>
        <v/>
      </c>
      <c r="Z1217" s="29" t="str">
        <f>IF(Y1217=1,COUNTIF($Y$2:Y1217,1),"")</f>
        <v/>
      </c>
      <c r="AA1217" s="29" t="str">
        <f>IF(AND(LEFT($B1217,7)="SBA 26/",$C1217&lt;&gt;"",$F1217&lt;&gt;""),COUNTIFS($C$2:$C1217,$C1217,$B$2:$B1217,"SBA 26/*",$F$2:$F1217,"&lt;&gt;"),"")</f>
        <v/>
      </c>
      <c r="AB1217" s="29" t="str">
        <f>IF(AA1217=1,COUNTIF($AA$2:AA1217,1),"")</f>
        <v/>
      </c>
    </row>
    <row r="1218" spans="6:28" ht="63" customHeight="1" x14ac:dyDescent="0.2">
      <c r="F1218" s="45" t="s">
        <v>3780</v>
      </c>
      <c r="T1218" s="41"/>
      <c r="U1218" s="29" t="str">
        <f>IF($C1218&lt;&gt;"",COUNTIF($C$2:C1218,C1218),"")</f>
        <v/>
      </c>
      <c r="V1218" s="29" t="str">
        <f t="shared" ref="V1218:V1281" si="62">IF($C1218&lt;&gt;"",C1218&amp;"§"&amp;U1218,"")</f>
        <v/>
      </c>
      <c r="W1218" s="29" t="str">
        <f>IF(U1218=1,COUNTIF($U$2:U1218,1),"")</f>
        <v/>
      </c>
      <c r="X1218" s="29" t="str">
        <f t="shared" ref="X1218:X1281" si="63">IF(U1218=1,SUMPRODUCT(($U$2:$U$1799=1)*($C$2:$C$1799&lt;C1218))+1,"")</f>
        <v/>
      </c>
      <c r="Y1218" s="29" t="str">
        <f>IF(AND(LEFT($B1218,7)="SBA 26/",$D1218&lt;&gt;"",$F1218&lt;&gt;""),COUNTIFS($D$2:$D1218,$D1218,$B$2:$B1218,"SBA 26/*",$F$2:$F1218,"&lt;&gt;"),"")</f>
        <v/>
      </c>
      <c r="Z1218" s="29" t="str">
        <f>IF(Y1218=1,COUNTIF($Y$2:Y1218,1),"")</f>
        <v/>
      </c>
      <c r="AA1218" s="29" t="str">
        <f>IF(AND(LEFT($B1218,7)="SBA 26/",$C1218&lt;&gt;"",$F1218&lt;&gt;""),COUNTIFS($C$2:$C1218,$C1218,$B$2:$B1218,"SBA 26/*",$F$2:$F1218,"&lt;&gt;"),"")</f>
        <v/>
      </c>
      <c r="AB1218" s="29" t="str">
        <f>IF(AA1218=1,COUNTIF($AA$2:AA1218,1),"")</f>
        <v/>
      </c>
    </row>
    <row r="1219" spans="6:28" ht="31.5" customHeight="1" x14ac:dyDescent="0.2">
      <c r="F1219" s="45" t="s">
        <v>3781</v>
      </c>
      <c r="T1219" s="41"/>
      <c r="U1219" s="29" t="str">
        <f>IF($C1219&lt;&gt;"",COUNTIF($C$2:C1219,C1219),"")</f>
        <v/>
      </c>
      <c r="V1219" s="29" t="str">
        <f t="shared" si="62"/>
        <v/>
      </c>
      <c r="W1219" s="29" t="str">
        <f>IF(U1219=1,COUNTIF($U$2:U1219,1),"")</f>
        <v/>
      </c>
      <c r="X1219" s="29" t="str">
        <f t="shared" si="63"/>
        <v/>
      </c>
      <c r="Y1219" s="29" t="str">
        <f>IF(AND(LEFT($B1219,7)="SBA 26/",$D1219&lt;&gt;"",$F1219&lt;&gt;""),COUNTIFS($D$2:$D1219,$D1219,$B$2:$B1219,"SBA 26/*",$F$2:$F1219,"&lt;&gt;"),"")</f>
        <v/>
      </c>
      <c r="Z1219" s="29" t="str">
        <f>IF(Y1219=1,COUNTIF($Y$2:Y1219,1),"")</f>
        <v/>
      </c>
      <c r="AA1219" s="29" t="str">
        <f>IF(AND(LEFT($B1219,7)="SBA 26/",$C1219&lt;&gt;"",$F1219&lt;&gt;""),COUNTIFS($C$2:$C1219,$C1219,$B$2:$B1219,"SBA 26/*",$F$2:$F1219,"&lt;&gt;"),"")</f>
        <v/>
      </c>
      <c r="AB1219" s="29" t="str">
        <f>IF(AA1219=1,COUNTIF($AA$2:AA1219,1),"")</f>
        <v/>
      </c>
    </row>
    <row r="1220" spans="6:28" ht="78.75" customHeight="1" x14ac:dyDescent="0.2">
      <c r="F1220" s="45" t="s">
        <v>3782</v>
      </c>
      <c r="T1220" s="41"/>
      <c r="U1220" s="29" t="str">
        <f>IF($C1220&lt;&gt;"",COUNTIF($C$2:C1220,C1220),"")</f>
        <v/>
      </c>
      <c r="V1220" s="29" t="str">
        <f t="shared" si="62"/>
        <v/>
      </c>
      <c r="W1220" s="29" t="str">
        <f>IF(U1220=1,COUNTIF($U$2:U1220,1),"")</f>
        <v/>
      </c>
      <c r="X1220" s="29" t="str">
        <f t="shared" si="63"/>
        <v/>
      </c>
      <c r="Y1220" s="29" t="str">
        <f>IF(AND(LEFT($B1220,7)="SBA 26/",$D1220&lt;&gt;"",$F1220&lt;&gt;""),COUNTIFS($D$2:$D1220,$D1220,$B$2:$B1220,"SBA 26/*",$F$2:$F1220,"&lt;&gt;"),"")</f>
        <v/>
      </c>
      <c r="Z1220" s="29" t="str">
        <f>IF(Y1220=1,COUNTIF($Y$2:Y1220,1),"")</f>
        <v/>
      </c>
      <c r="AA1220" s="29" t="str">
        <f>IF(AND(LEFT($B1220,7)="SBA 26/",$C1220&lt;&gt;"",$F1220&lt;&gt;""),COUNTIFS($C$2:$C1220,$C1220,$B$2:$B1220,"SBA 26/*",$F$2:$F1220,"&lt;&gt;"),"")</f>
        <v/>
      </c>
      <c r="AB1220" s="29" t="str">
        <f>IF(AA1220=1,COUNTIF($AA$2:AA1220,1),"")</f>
        <v/>
      </c>
    </row>
    <row r="1221" spans="6:28" ht="31.5" customHeight="1" x14ac:dyDescent="0.2">
      <c r="F1221" s="45" t="s">
        <v>3783</v>
      </c>
      <c r="T1221" s="41"/>
      <c r="U1221" s="29" t="str">
        <f>IF($C1221&lt;&gt;"",COUNTIF($C$2:C1221,C1221),"")</f>
        <v/>
      </c>
      <c r="V1221" s="29" t="str">
        <f t="shared" si="62"/>
        <v/>
      </c>
      <c r="W1221" s="29" t="str">
        <f>IF(U1221=1,COUNTIF($U$2:U1221,1),"")</f>
        <v/>
      </c>
      <c r="X1221" s="29" t="str">
        <f t="shared" si="63"/>
        <v/>
      </c>
      <c r="Y1221" s="29" t="str">
        <f>IF(AND(LEFT($B1221,7)="SBA 26/",$D1221&lt;&gt;"",$F1221&lt;&gt;""),COUNTIFS($D$2:$D1221,$D1221,$B$2:$B1221,"SBA 26/*",$F$2:$F1221,"&lt;&gt;"),"")</f>
        <v/>
      </c>
      <c r="Z1221" s="29" t="str">
        <f>IF(Y1221=1,COUNTIF($Y$2:Y1221,1),"")</f>
        <v/>
      </c>
      <c r="AA1221" s="29" t="str">
        <f>IF(AND(LEFT($B1221,7)="SBA 26/",$C1221&lt;&gt;"",$F1221&lt;&gt;""),COUNTIFS($C$2:$C1221,$C1221,$B$2:$B1221,"SBA 26/*",$F$2:$F1221,"&lt;&gt;"),"")</f>
        <v/>
      </c>
      <c r="AB1221" s="29" t="str">
        <f>IF(AA1221=1,COUNTIF($AA$2:AA1221,1),"")</f>
        <v/>
      </c>
    </row>
    <row r="1222" spans="6:28" ht="47.25" customHeight="1" x14ac:dyDescent="0.2">
      <c r="F1222" s="45" t="s">
        <v>3784</v>
      </c>
      <c r="T1222" s="41"/>
      <c r="U1222" s="29" t="str">
        <f>IF($C1222&lt;&gt;"",COUNTIF($C$2:C1222,C1222),"")</f>
        <v/>
      </c>
      <c r="V1222" s="29" t="str">
        <f t="shared" si="62"/>
        <v/>
      </c>
      <c r="W1222" s="29" t="str">
        <f>IF(U1222=1,COUNTIF($U$2:U1222,1),"")</f>
        <v/>
      </c>
      <c r="X1222" s="29" t="str">
        <f t="shared" si="63"/>
        <v/>
      </c>
      <c r="Y1222" s="29" t="str">
        <f>IF(AND(LEFT($B1222,7)="SBA 26/",$D1222&lt;&gt;"",$F1222&lt;&gt;""),COUNTIFS($D$2:$D1222,$D1222,$B$2:$B1222,"SBA 26/*",$F$2:$F1222,"&lt;&gt;"),"")</f>
        <v/>
      </c>
      <c r="Z1222" s="29" t="str">
        <f>IF(Y1222=1,COUNTIF($Y$2:Y1222,1),"")</f>
        <v/>
      </c>
      <c r="AA1222" s="29" t="str">
        <f>IF(AND(LEFT($B1222,7)="SBA 26/",$C1222&lt;&gt;"",$F1222&lt;&gt;""),COUNTIFS($C$2:$C1222,$C1222,$B$2:$B1222,"SBA 26/*",$F$2:$F1222,"&lt;&gt;"),"")</f>
        <v/>
      </c>
      <c r="AB1222" s="29" t="str">
        <f>IF(AA1222=1,COUNTIF($AA$2:AA1222,1),"")</f>
        <v/>
      </c>
    </row>
    <row r="1223" spans="6:28" ht="31.5" customHeight="1" x14ac:dyDescent="0.2">
      <c r="F1223" s="45" t="s">
        <v>3785</v>
      </c>
      <c r="T1223" s="41"/>
      <c r="U1223" s="29" t="str">
        <f>IF($C1223&lt;&gt;"",COUNTIF($C$2:C1223,C1223),"")</f>
        <v/>
      </c>
      <c r="V1223" s="29" t="str">
        <f t="shared" si="62"/>
        <v/>
      </c>
      <c r="W1223" s="29" t="str">
        <f>IF(U1223=1,COUNTIF($U$2:U1223,1),"")</f>
        <v/>
      </c>
      <c r="X1223" s="29" t="str">
        <f t="shared" si="63"/>
        <v/>
      </c>
      <c r="Y1223" s="29" t="str">
        <f>IF(AND(LEFT($B1223,7)="SBA 26/",$D1223&lt;&gt;"",$F1223&lt;&gt;""),COUNTIFS($D$2:$D1223,$D1223,$B$2:$B1223,"SBA 26/*",$F$2:$F1223,"&lt;&gt;"),"")</f>
        <v/>
      </c>
      <c r="Z1223" s="29" t="str">
        <f>IF(Y1223=1,COUNTIF($Y$2:Y1223,1),"")</f>
        <v/>
      </c>
      <c r="AA1223" s="29" t="str">
        <f>IF(AND(LEFT($B1223,7)="SBA 26/",$C1223&lt;&gt;"",$F1223&lt;&gt;""),COUNTIFS($C$2:$C1223,$C1223,$B$2:$B1223,"SBA 26/*",$F$2:$F1223,"&lt;&gt;"),"")</f>
        <v/>
      </c>
      <c r="AB1223" s="29" t="str">
        <f>IF(AA1223=1,COUNTIF($AA$2:AA1223,1),"")</f>
        <v/>
      </c>
    </row>
    <row r="1224" spans="6:28" ht="63" customHeight="1" x14ac:dyDescent="0.2">
      <c r="F1224" s="45" t="s">
        <v>3786</v>
      </c>
      <c r="T1224" s="41"/>
      <c r="U1224" s="29" t="str">
        <f>IF($C1224&lt;&gt;"",COUNTIF($C$2:C1224,C1224),"")</f>
        <v/>
      </c>
      <c r="V1224" s="29" t="str">
        <f t="shared" si="62"/>
        <v/>
      </c>
      <c r="W1224" s="29" t="str">
        <f>IF(U1224=1,COUNTIF($U$2:U1224,1),"")</f>
        <v/>
      </c>
      <c r="X1224" s="29" t="str">
        <f t="shared" si="63"/>
        <v/>
      </c>
      <c r="Y1224" s="29" t="str">
        <f>IF(AND(LEFT($B1224,7)="SBA 26/",$D1224&lt;&gt;"",$F1224&lt;&gt;""),COUNTIFS($D$2:$D1224,$D1224,$B$2:$B1224,"SBA 26/*",$F$2:$F1224,"&lt;&gt;"),"")</f>
        <v/>
      </c>
      <c r="Z1224" s="29" t="str">
        <f>IF(Y1224=1,COUNTIF($Y$2:Y1224,1),"")</f>
        <v/>
      </c>
      <c r="AA1224" s="29" t="str">
        <f>IF(AND(LEFT($B1224,7)="SBA 26/",$C1224&lt;&gt;"",$F1224&lt;&gt;""),COUNTIFS($C$2:$C1224,$C1224,$B$2:$B1224,"SBA 26/*",$F$2:$F1224,"&lt;&gt;"),"")</f>
        <v/>
      </c>
      <c r="AB1224" s="29" t="str">
        <f>IF(AA1224=1,COUNTIF($AA$2:AA1224,1),"")</f>
        <v/>
      </c>
    </row>
    <row r="1225" spans="6:28" ht="31.5" customHeight="1" x14ac:dyDescent="0.2">
      <c r="F1225" s="45" t="s">
        <v>3787</v>
      </c>
      <c r="T1225" s="41"/>
      <c r="U1225" s="29" t="str">
        <f>IF($C1225&lt;&gt;"",COUNTIF($C$2:C1225,C1225),"")</f>
        <v/>
      </c>
      <c r="V1225" s="29" t="str">
        <f t="shared" si="62"/>
        <v/>
      </c>
      <c r="W1225" s="29" t="str">
        <f>IF(U1225=1,COUNTIF($U$2:U1225,1),"")</f>
        <v/>
      </c>
      <c r="X1225" s="29" t="str">
        <f t="shared" si="63"/>
        <v/>
      </c>
      <c r="Y1225" s="29" t="str">
        <f>IF(AND(LEFT($B1225,7)="SBA 26/",$D1225&lt;&gt;"",$F1225&lt;&gt;""),COUNTIFS($D$2:$D1225,$D1225,$B$2:$B1225,"SBA 26/*",$F$2:$F1225,"&lt;&gt;"),"")</f>
        <v/>
      </c>
      <c r="Z1225" s="29" t="str">
        <f>IF(Y1225=1,COUNTIF($Y$2:Y1225,1),"")</f>
        <v/>
      </c>
      <c r="AA1225" s="29" t="str">
        <f>IF(AND(LEFT($B1225,7)="SBA 26/",$C1225&lt;&gt;"",$F1225&lt;&gt;""),COUNTIFS($C$2:$C1225,$C1225,$B$2:$B1225,"SBA 26/*",$F$2:$F1225,"&lt;&gt;"),"")</f>
        <v/>
      </c>
      <c r="AB1225" s="29" t="str">
        <f>IF(AA1225=1,COUNTIF($AA$2:AA1225,1),"")</f>
        <v/>
      </c>
    </row>
    <row r="1226" spans="6:28" ht="47.25" customHeight="1" x14ac:dyDescent="0.2">
      <c r="F1226" s="45" t="s">
        <v>3788</v>
      </c>
      <c r="T1226" s="41"/>
      <c r="U1226" s="29" t="str">
        <f>IF($C1226&lt;&gt;"",COUNTIF($C$2:C1226,C1226),"")</f>
        <v/>
      </c>
      <c r="V1226" s="29" t="str">
        <f t="shared" si="62"/>
        <v/>
      </c>
      <c r="W1226" s="29" t="str">
        <f>IF(U1226=1,COUNTIF($U$2:U1226,1),"")</f>
        <v/>
      </c>
      <c r="X1226" s="29" t="str">
        <f t="shared" si="63"/>
        <v/>
      </c>
      <c r="Y1226" s="29" t="str">
        <f>IF(AND(LEFT($B1226,7)="SBA 26/",$D1226&lt;&gt;"",$F1226&lt;&gt;""),COUNTIFS($D$2:$D1226,$D1226,$B$2:$B1226,"SBA 26/*",$F$2:$F1226,"&lt;&gt;"),"")</f>
        <v/>
      </c>
      <c r="Z1226" s="29" t="str">
        <f>IF(Y1226=1,COUNTIF($Y$2:Y1226,1),"")</f>
        <v/>
      </c>
      <c r="AA1226" s="29" t="str">
        <f>IF(AND(LEFT($B1226,7)="SBA 26/",$C1226&lt;&gt;"",$F1226&lt;&gt;""),COUNTIFS($C$2:$C1226,$C1226,$B$2:$B1226,"SBA 26/*",$F$2:$F1226,"&lt;&gt;"),"")</f>
        <v/>
      </c>
      <c r="AB1226" s="29" t="str">
        <f>IF(AA1226=1,COUNTIF($AA$2:AA1226,1),"")</f>
        <v/>
      </c>
    </row>
    <row r="1227" spans="6:28" ht="63" customHeight="1" x14ac:dyDescent="0.2">
      <c r="F1227" s="45" t="s">
        <v>3789</v>
      </c>
      <c r="T1227" s="41"/>
      <c r="U1227" s="29" t="str">
        <f>IF($C1227&lt;&gt;"",COUNTIF($C$2:C1227,C1227),"")</f>
        <v/>
      </c>
      <c r="V1227" s="29" t="str">
        <f t="shared" si="62"/>
        <v/>
      </c>
      <c r="W1227" s="29" t="str">
        <f>IF(U1227=1,COUNTIF($U$2:U1227,1),"")</f>
        <v/>
      </c>
      <c r="X1227" s="29" t="str">
        <f t="shared" si="63"/>
        <v/>
      </c>
      <c r="Y1227" s="29" t="str">
        <f>IF(AND(LEFT($B1227,7)="SBA 26/",$D1227&lt;&gt;"",$F1227&lt;&gt;""),COUNTIFS($D$2:$D1227,$D1227,$B$2:$B1227,"SBA 26/*",$F$2:$F1227,"&lt;&gt;"),"")</f>
        <v/>
      </c>
      <c r="Z1227" s="29" t="str">
        <f>IF(Y1227=1,COUNTIF($Y$2:Y1227,1),"")</f>
        <v/>
      </c>
      <c r="AA1227" s="29" t="str">
        <f>IF(AND(LEFT($B1227,7)="SBA 26/",$C1227&lt;&gt;"",$F1227&lt;&gt;""),COUNTIFS($C$2:$C1227,$C1227,$B$2:$B1227,"SBA 26/*",$F$2:$F1227,"&lt;&gt;"),"")</f>
        <v/>
      </c>
      <c r="AB1227" s="29" t="str">
        <f>IF(AA1227=1,COUNTIF($AA$2:AA1227,1),"")</f>
        <v/>
      </c>
    </row>
    <row r="1228" spans="6:28" ht="47.25" customHeight="1" x14ac:dyDescent="0.2">
      <c r="F1228" s="45" t="s">
        <v>3790</v>
      </c>
      <c r="T1228" s="41"/>
      <c r="U1228" s="29" t="str">
        <f>IF($C1228&lt;&gt;"",COUNTIF($C$2:C1228,C1228),"")</f>
        <v/>
      </c>
      <c r="V1228" s="29" t="str">
        <f t="shared" si="62"/>
        <v/>
      </c>
      <c r="W1228" s="29" t="str">
        <f>IF(U1228=1,COUNTIF($U$2:U1228,1),"")</f>
        <v/>
      </c>
      <c r="X1228" s="29" t="str">
        <f t="shared" si="63"/>
        <v/>
      </c>
      <c r="Y1228" s="29" t="str">
        <f>IF(AND(LEFT($B1228,7)="SBA 26/",$D1228&lt;&gt;"",$F1228&lt;&gt;""),COUNTIFS($D$2:$D1228,$D1228,$B$2:$B1228,"SBA 26/*",$F$2:$F1228,"&lt;&gt;"),"")</f>
        <v/>
      </c>
      <c r="Z1228" s="29" t="str">
        <f>IF(Y1228=1,COUNTIF($Y$2:Y1228,1),"")</f>
        <v/>
      </c>
      <c r="AA1228" s="29" t="str">
        <f>IF(AND(LEFT($B1228,7)="SBA 26/",$C1228&lt;&gt;"",$F1228&lt;&gt;""),COUNTIFS($C$2:$C1228,$C1228,$B$2:$B1228,"SBA 26/*",$F$2:$F1228,"&lt;&gt;"),"")</f>
        <v/>
      </c>
      <c r="AB1228" s="29" t="str">
        <f>IF(AA1228=1,COUNTIF($AA$2:AA1228,1),"")</f>
        <v/>
      </c>
    </row>
    <row r="1229" spans="6:28" ht="78.75" customHeight="1" x14ac:dyDescent="0.2">
      <c r="F1229" s="45" t="s">
        <v>3791</v>
      </c>
      <c r="T1229" s="41"/>
      <c r="U1229" s="29" t="str">
        <f>IF($C1229&lt;&gt;"",COUNTIF($C$2:C1229,C1229),"")</f>
        <v/>
      </c>
      <c r="V1229" s="29" t="str">
        <f t="shared" si="62"/>
        <v/>
      </c>
      <c r="W1229" s="29" t="str">
        <f>IF(U1229=1,COUNTIF($U$2:U1229,1),"")</f>
        <v/>
      </c>
      <c r="X1229" s="29" t="str">
        <f t="shared" si="63"/>
        <v/>
      </c>
      <c r="Y1229" s="29" t="str">
        <f>IF(AND(LEFT($B1229,7)="SBA 26/",$D1229&lt;&gt;"",$F1229&lt;&gt;""),COUNTIFS($D$2:$D1229,$D1229,$B$2:$B1229,"SBA 26/*",$F$2:$F1229,"&lt;&gt;"),"")</f>
        <v/>
      </c>
      <c r="Z1229" s="29" t="str">
        <f>IF(Y1229=1,COUNTIF($Y$2:Y1229,1),"")</f>
        <v/>
      </c>
      <c r="AA1229" s="29" t="str">
        <f>IF(AND(LEFT($B1229,7)="SBA 26/",$C1229&lt;&gt;"",$F1229&lt;&gt;""),COUNTIFS($C$2:$C1229,$C1229,$B$2:$B1229,"SBA 26/*",$F$2:$F1229,"&lt;&gt;"),"")</f>
        <v/>
      </c>
      <c r="AB1229" s="29" t="str">
        <f>IF(AA1229=1,COUNTIF($AA$2:AA1229,1),"")</f>
        <v/>
      </c>
    </row>
    <row r="1230" spans="6:28" ht="63" customHeight="1" x14ac:dyDescent="0.2">
      <c r="F1230" s="45" t="s">
        <v>3792</v>
      </c>
      <c r="T1230" s="41"/>
      <c r="U1230" s="29" t="str">
        <f>IF($C1230&lt;&gt;"",COUNTIF($C$2:C1230,C1230),"")</f>
        <v/>
      </c>
      <c r="V1230" s="29" t="str">
        <f t="shared" si="62"/>
        <v/>
      </c>
      <c r="W1230" s="29" t="str">
        <f>IF(U1230=1,COUNTIF($U$2:U1230,1),"")</f>
        <v/>
      </c>
      <c r="X1230" s="29" t="str">
        <f t="shared" si="63"/>
        <v/>
      </c>
      <c r="Y1230" s="29" t="str">
        <f>IF(AND(LEFT($B1230,7)="SBA 26/",$D1230&lt;&gt;"",$F1230&lt;&gt;""),COUNTIFS($D$2:$D1230,$D1230,$B$2:$B1230,"SBA 26/*",$F$2:$F1230,"&lt;&gt;"),"")</f>
        <v/>
      </c>
      <c r="Z1230" s="29" t="str">
        <f>IF(Y1230=1,COUNTIF($Y$2:Y1230,1),"")</f>
        <v/>
      </c>
      <c r="AA1230" s="29" t="str">
        <f>IF(AND(LEFT($B1230,7)="SBA 26/",$C1230&lt;&gt;"",$F1230&lt;&gt;""),COUNTIFS($C$2:$C1230,$C1230,$B$2:$B1230,"SBA 26/*",$F$2:$F1230,"&lt;&gt;"),"")</f>
        <v/>
      </c>
      <c r="AB1230" s="29" t="str">
        <f>IF(AA1230=1,COUNTIF($AA$2:AA1230,1),"")</f>
        <v/>
      </c>
    </row>
    <row r="1231" spans="6:28" ht="63" customHeight="1" x14ac:dyDescent="0.2">
      <c r="F1231" s="45" t="s">
        <v>3793</v>
      </c>
      <c r="T1231" s="41"/>
      <c r="U1231" s="29" t="str">
        <f>IF($C1231&lt;&gt;"",COUNTIF($C$2:C1231,C1231),"")</f>
        <v/>
      </c>
      <c r="V1231" s="29" t="str">
        <f t="shared" si="62"/>
        <v/>
      </c>
      <c r="W1231" s="29" t="str">
        <f>IF(U1231=1,COUNTIF($U$2:U1231,1),"")</f>
        <v/>
      </c>
      <c r="X1231" s="29" t="str">
        <f t="shared" si="63"/>
        <v/>
      </c>
      <c r="Y1231" s="29" t="str">
        <f>IF(AND(LEFT($B1231,7)="SBA 26/",$D1231&lt;&gt;"",$F1231&lt;&gt;""),COUNTIFS($D$2:$D1231,$D1231,$B$2:$B1231,"SBA 26/*",$F$2:$F1231,"&lt;&gt;"),"")</f>
        <v/>
      </c>
      <c r="Z1231" s="29" t="str">
        <f>IF(Y1231=1,COUNTIF($Y$2:Y1231,1),"")</f>
        <v/>
      </c>
      <c r="AA1231" s="29" t="str">
        <f>IF(AND(LEFT($B1231,7)="SBA 26/",$C1231&lt;&gt;"",$F1231&lt;&gt;""),COUNTIFS($C$2:$C1231,$C1231,$B$2:$B1231,"SBA 26/*",$F$2:$F1231,"&lt;&gt;"),"")</f>
        <v/>
      </c>
      <c r="AB1231" s="29" t="str">
        <f>IF(AA1231=1,COUNTIF($AA$2:AA1231,1),"")</f>
        <v/>
      </c>
    </row>
    <row r="1232" spans="6:28" ht="31.5" customHeight="1" x14ac:dyDescent="0.2">
      <c r="F1232" s="45" t="s">
        <v>3794</v>
      </c>
      <c r="T1232" s="41"/>
      <c r="U1232" s="29" t="str">
        <f>IF($C1232&lt;&gt;"",COUNTIF($C$2:C1232,C1232),"")</f>
        <v/>
      </c>
      <c r="V1232" s="29" t="str">
        <f t="shared" si="62"/>
        <v/>
      </c>
      <c r="W1232" s="29" t="str">
        <f>IF(U1232=1,COUNTIF($U$2:U1232,1),"")</f>
        <v/>
      </c>
      <c r="X1232" s="29" t="str">
        <f t="shared" si="63"/>
        <v/>
      </c>
      <c r="Y1232" s="29" t="str">
        <f>IF(AND(LEFT($B1232,7)="SBA 26/",$D1232&lt;&gt;"",$F1232&lt;&gt;""),COUNTIFS($D$2:$D1232,$D1232,$B$2:$B1232,"SBA 26/*",$F$2:$F1232,"&lt;&gt;"),"")</f>
        <v/>
      </c>
      <c r="Z1232" s="29" t="str">
        <f>IF(Y1232=1,COUNTIF($Y$2:Y1232,1),"")</f>
        <v/>
      </c>
      <c r="AA1232" s="29" t="str">
        <f>IF(AND(LEFT($B1232,7)="SBA 26/",$C1232&lt;&gt;"",$F1232&lt;&gt;""),COUNTIFS($C$2:$C1232,$C1232,$B$2:$B1232,"SBA 26/*",$F$2:$F1232,"&lt;&gt;"),"")</f>
        <v/>
      </c>
      <c r="AB1232" s="29" t="str">
        <f>IF(AA1232=1,COUNTIF($AA$2:AA1232,1),"")</f>
        <v/>
      </c>
    </row>
    <row r="1233" spans="6:28" ht="31.5" customHeight="1" x14ac:dyDescent="0.2">
      <c r="F1233" s="45" t="s">
        <v>3795</v>
      </c>
      <c r="T1233" s="41"/>
      <c r="U1233" s="29" t="str">
        <f>IF($C1233&lt;&gt;"",COUNTIF($C$2:C1233,C1233),"")</f>
        <v/>
      </c>
      <c r="V1233" s="29" t="str">
        <f t="shared" si="62"/>
        <v/>
      </c>
      <c r="W1233" s="29" t="str">
        <f>IF(U1233=1,COUNTIF($U$2:U1233,1),"")</f>
        <v/>
      </c>
      <c r="X1233" s="29" t="str">
        <f t="shared" si="63"/>
        <v/>
      </c>
      <c r="Y1233" s="29" t="str">
        <f>IF(AND(LEFT($B1233,7)="SBA 26/",$D1233&lt;&gt;"",$F1233&lt;&gt;""),COUNTIFS($D$2:$D1233,$D1233,$B$2:$B1233,"SBA 26/*",$F$2:$F1233,"&lt;&gt;"),"")</f>
        <v/>
      </c>
      <c r="Z1233" s="29" t="str">
        <f>IF(Y1233=1,COUNTIF($Y$2:Y1233,1),"")</f>
        <v/>
      </c>
      <c r="AA1233" s="29" t="str">
        <f>IF(AND(LEFT($B1233,7)="SBA 26/",$C1233&lt;&gt;"",$F1233&lt;&gt;""),COUNTIFS($C$2:$C1233,$C1233,$B$2:$B1233,"SBA 26/*",$F$2:$F1233,"&lt;&gt;"),"")</f>
        <v/>
      </c>
      <c r="AB1233" s="29" t="str">
        <f>IF(AA1233=1,COUNTIF($AA$2:AA1233,1),"")</f>
        <v/>
      </c>
    </row>
    <row r="1234" spans="6:28" ht="31.5" customHeight="1" x14ac:dyDescent="0.2">
      <c r="F1234" s="45" t="s">
        <v>3796</v>
      </c>
      <c r="T1234" s="41"/>
      <c r="U1234" s="29" t="str">
        <f>IF($C1234&lt;&gt;"",COUNTIF($C$2:C1234,C1234),"")</f>
        <v/>
      </c>
      <c r="V1234" s="29" t="str">
        <f t="shared" si="62"/>
        <v/>
      </c>
      <c r="W1234" s="29" t="str">
        <f>IF(U1234=1,COUNTIF($U$2:U1234,1),"")</f>
        <v/>
      </c>
      <c r="X1234" s="29" t="str">
        <f t="shared" si="63"/>
        <v/>
      </c>
      <c r="Y1234" s="29" t="str">
        <f>IF(AND(LEFT($B1234,7)="SBA 26/",$D1234&lt;&gt;"",$F1234&lt;&gt;""),COUNTIFS($D$2:$D1234,$D1234,$B$2:$B1234,"SBA 26/*",$F$2:$F1234,"&lt;&gt;"),"")</f>
        <v/>
      </c>
      <c r="Z1234" s="29" t="str">
        <f>IF(Y1234=1,COUNTIF($Y$2:Y1234,1),"")</f>
        <v/>
      </c>
      <c r="AA1234" s="29" t="str">
        <f>IF(AND(LEFT($B1234,7)="SBA 26/",$C1234&lt;&gt;"",$F1234&lt;&gt;""),COUNTIFS($C$2:$C1234,$C1234,$B$2:$B1234,"SBA 26/*",$F$2:$F1234,"&lt;&gt;"),"")</f>
        <v/>
      </c>
      <c r="AB1234" s="29" t="str">
        <f>IF(AA1234=1,COUNTIF($AA$2:AA1234,1),"")</f>
        <v/>
      </c>
    </row>
    <row r="1235" spans="6:28" ht="31.5" customHeight="1" x14ac:dyDescent="0.2">
      <c r="F1235" s="45" t="s">
        <v>3797</v>
      </c>
      <c r="T1235" s="41"/>
      <c r="U1235" s="29" t="str">
        <f>IF($C1235&lt;&gt;"",COUNTIF($C$2:C1235,C1235),"")</f>
        <v/>
      </c>
      <c r="V1235" s="29" t="str">
        <f t="shared" si="62"/>
        <v/>
      </c>
      <c r="W1235" s="29" t="str">
        <f>IF(U1235=1,COUNTIF($U$2:U1235,1),"")</f>
        <v/>
      </c>
      <c r="X1235" s="29" t="str">
        <f t="shared" si="63"/>
        <v/>
      </c>
      <c r="Y1235" s="29" t="str">
        <f>IF(AND(LEFT($B1235,7)="SBA 26/",$D1235&lt;&gt;"",$F1235&lt;&gt;""),COUNTIFS($D$2:$D1235,$D1235,$B$2:$B1235,"SBA 26/*",$F$2:$F1235,"&lt;&gt;"),"")</f>
        <v/>
      </c>
      <c r="Z1235" s="29" t="str">
        <f>IF(Y1235=1,COUNTIF($Y$2:Y1235,1),"")</f>
        <v/>
      </c>
      <c r="AA1235" s="29" t="str">
        <f>IF(AND(LEFT($B1235,7)="SBA 26/",$C1235&lt;&gt;"",$F1235&lt;&gt;""),COUNTIFS($C$2:$C1235,$C1235,$B$2:$B1235,"SBA 26/*",$F$2:$F1235,"&lt;&gt;"),"")</f>
        <v/>
      </c>
      <c r="AB1235" s="29" t="str">
        <f>IF(AA1235=1,COUNTIF($AA$2:AA1235,1),"")</f>
        <v/>
      </c>
    </row>
    <row r="1236" spans="6:28" ht="47.25" customHeight="1" x14ac:dyDescent="0.2">
      <c r="F1236" s="45" t="s">
        <v>3798</v>
      </c>
      <c r="T1236" s="41"/>
      <c r="U1236" s="29" t="str">
        <f>IF($C1236&lt;&gt;"",COUNTIF($C$2:C1236,C1236),"")</f>
        <v/>
      </c>
      <c r="V1236" s="29" t="str">
        <f t="shared" si="62"/>
        <v/>
      </c>
      <c r="W1236" s="29" t="str">
        <f>IF(U1236=1,COUNTIF($U$2:U1236,1),"")</f>
        <v/>
      </c>
      <c r="X1236" s="29" t="str">
        <f t="shared" si="63"/>
        <v/>
      </c>
      <c r="Y1236" s="29" t="str">
        <f>IF(AND(LEFT($B1236,7)="SBA 26/",$D1236&lt;&gt;"",$F1236&lt;&gt;""),COUNTIFS($D$2:$D1236,$D1236,$B$2:$B1236,"SBA 26/*",$F$2:$F1236,"&lt;&gt;"),"")</f>
        <v/>
      </c>
      <c r="Z1236" s="29" t="str">
        <f>IF(Y1236=1,COUNTIF($Y$2:Y1236,1),"")</f>
        <v/>
      </c>
      <c r="AA1236" s="29" t="str">
        <f>IF(AND(LEFT($B1236,7)="SBA 26/",$C1236&lt;&gt;"",$F1236&lt;&gt;""),COUNTIFS($C$2:$C1236,$C1236,$B$2:$B1236,"SBA 26/*",$F$2:$F1236,"&lt;&gt;"),"")</f>
        <v/>
      </c>
      <c r="AB1236" s="29" t="str">
        <f>IF(AA1236=1,COUNTIF($AA$2:AA1236,1),"")</f>
        <v/>
      </c>
    </row>
    <row r="1237" spans="6:28" ht="31.5" customHeight="1" x14ac:dyDescent="0.2">
      <c r="F1237" s="45" t="s">
        <v>3799</v>
      </c>
      <c r="T1237" s="41"/>
      <c r="U1237" s="29" t="str">
        <f>IF($C1237&lt;&gt;"",COUNTIF($C$2:C1237,C1237),"")</f>
        <v/>
      </c>
      <c r="V1237" s="29" t="str">
        <f t="shared" si="62"/>
        <v/>
      </c>
      <c r="W1237" s="29" t="str">
        <f>IF(U1237=1,COUNTIF($U$2:U1237,1),"")</f>
        <v/>
      </c>
      <c r="X1237" s="29" t="str">
        <f t="shared" si="63"/>
        <v/>
      </c>
      <c r="Y1237" s="29" t="str">
        <f>IF(AND(LEFT($B1237,7)="SBA 26/",$D1237&lt;&gt;"",$F1237&lt;&gt;""),COUNTIFS($D$2:$D1237,$D1237,$B$2:$B1237,"SBA 26/*",$F$2:$F1237,"&lt;&gt;"),"")</f>
        <v/>
      </c>
      <c r="Z1237" s="29" t="str">
        <f>IF(Y1237=1,COUNTIF($Y$2:Y1237,1),"")</f>
        <v/>
      </c>
      <c r="AA1237" s="29" t="str">
        <f>IF(AND(LEFT($B1237,7)="SBA 26/",$C1237&lt;&gt;"",$F1237&lt;&gt;""),COUNTIFS($C$2:$C1237,$C1237,$B$2:$B1237,"SBA 26/*",$F$2:$F1237,"&lt;&gt;"),"")</f>
        <v/>
      </c>
      <c r="AB1237" s="29" t="str">
        <f>IF(AA1237=1,COUNTIF($AA$2:AA1237,1),"")</f>
        <v/>
      </c>
    </row>
    <row r="1238" spans="6:28" ht="47.25" customHeight="1" x14ac:dyDescent="0.2">
      <c r="F1238" s="45" t="s">
        <v>3800</v>
      </c>
      <c r="T1238" s="41"/>
      <c r="U1238" s="29" t="str">
        <f>IF($C1238&lt;&gt;"",COUNTIF($C$2:C1238,C1238),"")</f>
        <v/>
      </c>
      <c r="V1238" s="29" t="str">
        <f t="shared" si="62"/>
        <v/>
      </c>
      <c r="W1238" s="29" t="str">
        <f>IF(U1238=1,COUNTIF($U$2:U1238,1),"")</f>
        <v/>
      </c>
      <c r="X1238" s="29" t="str">
        <f t="shared" si="63"/>
        <v/>
      </c>
      <c r="Y1238" s="29" t="str">
        <f>IF(AND(LEFT($B1238,7)="SBA 26/",$D1238&lt;&gt;"",$F1238&lt;&gt;""),COUNTIFS($D$2:$D1238,$D1238,$B$2:$B1238,"SBA 26/*",$F$2:$F1238,"&lt;&gt;"),"")</f>
        <v/>
      </c>
      <c r="Z1238" s="29" t="str">
        <f>IF(Y1238=1,COUNTIF($Y$2:Y1238,1),"")</f>
        <v/>
      </c>
      <c r="AA1238" s="29" t="str">
        <f>IF(AND(LEFT($B1238,7)="SBA 26/",$C1238&lt;&gt;"",$F1238&lt;&gt;""),COUNTIFS($C$2:$C1238,$C1238,$B$2:$B1238,"SBA 26/*",$F$2:$F1238,"&lt;&gt;"),"")</f>
        <v/>
      </c>
      <c r="AB1238" s="29" t="str">
        <f>IF(AA1238=1,COUNTIF($AA$2:AA1238,1),"")</f>
        <v/>
      </c>
    </row>
    <row r="1239" spans="6:28" ht="31.5" customHeight="1" x14ac:dyDescent="0.2">
      <c r="F1239" s="45" t="s">
        <v>3801</v>
      </c>
      <c r="T1239" s="41"/>
      <c r="U1239" s="29" t="str">
        <f>IF($C1239&lt;&gt;"",COUNTIF($C$2:C1239,C1239),"")</f>
        <v/>
      </c>
      <c r="V1239" s="29" t="str">
        <f t="shared" si="62"/>
        <v/>
      </c>
      <c r="W1239" s="29" t="str">
        <f>IF(U1239=1,COUNTIF($U$2:U1239,1),"")</f>
        <v/>
      </c>
      <c r="X1239" s="29" t="str">
        <f t="shared" si="63"/>
        <v/>
      </c>
      <c r="Y1239" s="29" t="str">
        <f>IF(AND(LEFT($B1239,7)="SBA 26/",$D1239&lt;&gt;"",$F1239&lt;&gt;""),COUNTIFS($D$2:$D1239,$D1239,$B$2:$B1239,"SBA 26/*",$F$2:$F1239,"&lt;&gt;"),"")</f>
        <v/>
      </c>
      <c r="Z1239" s="29" t="str">
        <f>IF(Y1239=1,COUNTIF($Y$2:Y1239,1),"")</f>
        <v/>
      </c>
      <c r="AA1239" s="29" t="str">
        <f>IF(AND(LEFT($B1239,7)="SBA 26/",$C1239&lt;&gt;"",$F1239&lt;&gt;""),COUNTIFS($C$2:$C1239,$C1239,$B$2:$B1239,"SBA 26/*",$F$2:$F1239,"&lt;&gt;"),"")</f>
        <v/>
      </c>
      <c r="AB1239" s="29" t="str">
        <f>IF(AA1239=1,COUNTIF($AA$2:AA1239,1),"")</f>
        <v/>
      </c>
    </row>
    <row r="1240" spans="6:28" ht="47.25" customHeight="1" x14ac:dyDescent="0.2">
      <c r="F1240" s="45" t="s">
        <v>3802</v>
      </c>
      <c r="T1240" s="41"/>
      <c r="U1240" s="29" t="str">
        <f>IF($C1240&lt;&gt;"",COUNTIF($C$2:C1240,C1240),"")</f>
        <v/>
      </c>
      <c r="V1240" s="29" t="str">
        <f t="shared" si="62"/>
        <v/>
      </c>
      <c r="W1240" s="29" t="str">
        <f>IF(U1240=1,COUNTIF($U$2:U1240,1),"")</f>
        <v/>
      </c>
      <c r="X1240" s="29" t="str">
        <f t="shared" si="63"/>
        <v/>
      </c>
      <c r="Y1240" s="29" t="str">
        <f>IF(AND(LEFT($B1240,7)="SBA 26/",$D1240&lt;&gt;"",$F1240&lt;&gt;""),COUNTIFS($D$2:$D1240,$D1240,$B$2:$B1240,"SBA 26/*",$F$2:$F1240,"&lt;&gt;"),"")</f>
        <v/>
      </c>
      <c r="Z1240" s="29" t="str">
        <f>IF(Y1240=1,COUNTIF($Y$2:Y1240,1),"")</f>
        <v/>
      </c>
      <c r="AA1240" s="29" t="str">
        <f>IF(AND(LEFT($B1240,7)="SBA 26/",$C1240&lt;&gt;"",$F1240&lt;&gt;""),COUNTIFS($C$2:$C1240,$C1240,$B$2:$B1240,"SBA 26/*",$F$2:$F1240,"&lt;&gt;"),"")</f>
        <v/>
      </c>
      <c r="AB1240" s="29" t="str">
        <f>IF(AA1240=1,COUNTIF($AA$2:AA1240,1),"")</f>
        <v/>
      </c>
    </row>
    <row r="1241" spans="6:28" ht="31.5" customHeight="1" x14ac:dyDescent="0.2">
      <c r="F1241" s="45" t="s">
        <v>3803</v>
      </c>
      <c r="T1241" s="41"/>
      <c r="U1241" s="29" t="str">
        <f>IF($C1241&lt;&gt;"",COUNTIF($C$2:C1241,C1241),"")</f>
        <v/>
      </c>
      <c r="V1241" s="29" t="str">
        <f t="shared" si="62"/>
        <v/>
      </c>
      <c r="W1241" s="29" t="str">
        <f>IF(U1241=1,COUNTIF($U$2:U1241,1),"")</f>
        <v/>
      </c>
      <c r="X1241" s="29" t="str">
        <f t="shared" si="63"/>
        <v/>
      </c>
      <c r="Y1241" s="29" t="str">
        <f>IF(AND(LEFT($B1241,7)="SBA 26/",$D1241&lt;&gt;"",$F1241&lt;&gt;""),COUNTIFS($D$2:$D1241,$D1241,$B$2:$B1241,"SBA 26/*",$F$2:$F1241,"&lt;&gt;"),"")</f>
        <v/>
      </c>
      <c r="Z1241" s="29" t="str">
        <f>IF(Y1241=1,COUNTIF($Y$2:Y1241,1),"")</f>
        <v/>
      </c>
      <c r="AA1241" s="29" t="str">
        <f>IF(AND(LEFT($B1241,7)="SBA 26/",$C1241&lt;&gt;"",$F1241&lt;&gt;""),COUNTIFS($C$2:$C1241,$C1241,$B$2:$B1241,"SBA 26/*",$F$2:$F1241,"&lt;&gt;"),"")</f>
        <v/>
      </c>
      <c r="AB1241" s="29" t="str">
        <f>IF(AA1241=1,COUNTIF($AA$2:AA1241,1),"")</f>
        <v/>
      </c>
    </row>
    <row r="1242" spans="6:28" ht="47.25" customHeight="1" x14ac:dyDescent="0.2">
      <c r="F1242" s="45" t="s">
        <v>3804</v>
      </c>
      <c r="T1242" s="41"/>
      <c r="U1242" s="29" t="str">
        <f>IF($C1242&lt;&gt;"",COUNTIF($C$2:C1242,C1242),"")</f>
        <v/>
      </c>
      <c r="V1242" s="29" t="str">
        <f t="shared" si="62"/>
        <v/>
      </c>
      <c r="W1242" s="29" t="str">
        <f>IF(U1242=1,COUNTIF($U$2:U1242,1),"")</f>
        <v/>
      </c>
      <c r="X1242" s="29" t="str">
        <f t="shared" si="63"/>
        <v/>
      </c>
      <c r="Y1242" s="29" t="str">
        <f>IF(AND(LEFT($B1242,7)="SBA 26/",$D1242&lt;&gt;"",$F1242&lt;&gt;""),COUNTIFS($D$2:$D1242,$D1242,$B$2:$B1242,"SBA 26/*",$F$2:$F1242,"&lt;&gt;"),"")</f>
        <v/>
      </c>
      <c r="Z1242" s="29" t="str">
        <f>IF(Y1242=1,COUNTIF($Y$2:Y1242,1),"")</f>
        <v/>
      </c>
      <c r="AA1242" s="29" t="str">
        <f>IF(AND(LEFT($B1242,7)="SBA 26/",$C1242&lt;&gt;"",$F1242&lt;&gt;""),COUNTIFS($C$2:$C1242,$C1242,$B$2:$B1242,"SBA 26/*",$F$2:$F1242,"&lt;&gt;"),"")</f>
        <v/>
      </c>
      <c r="AB1242" s="29" t="str">
        <f>IF(AA1242=1,COUNTIF($AA$2:AA1242,1),"")</f>
        <v/>
      </c>
    </row>
    <row r="1243" spans="6:28" ht="31.5" customHeight="1" x14ac:dyDescent="0.2">
      <c r="F1243" s="45" t="s">
        <v>3805</v>
      </c>
      <c r="T1243" s="41"/>
      <c r="U1243" s="29" t="str">
        <f>IF($C1243&lt;&gt;"",COUNTIF($C$2:C1243,C1243),"")</f>
        <v/>
      </c>
      <c r="V1243" s="29" t="str">
        <f t="shared" si="62"/>
        <v/>
      </c>
      <c r="W1243" s="29" t="str">
        <f>IF(U1243=1,COUNTIF($U$2:U1243,1),"")</f>
        <v/>
      </c>
      <c r="X1243" s="29" t="str">
        <f t="shared" si="63"/>
        <v/>
      </c>
      <c r="Y1243" s="29" t="str">
        <f>IF(AND(LEFT($B1243,7)="SBA 26/",$D1243&lt;&gt;"",$F1243&lt;&gt;""),COUNTIFS($D$2:$D1243,$D1243,$B$2:$B1243,"SBA 26/*",$F$2:$F1243,"&lt;&gt;"),"")</f>
        <v/>
      </c>
      <c r="Z1243" s="29" t="str">
        <f>IF(Y1243=1,COUNTIF($Y$2:Y1243,1),"")</f>
        <v/>
      </c>
      <c r="AA1243" s="29" t="str">
        <f>IF(AND(LEFT($B1243,7)="SBA 26/",$C1243&lt;&gt;"",$F1243&lt;&gt;""),COUNTIFS($C$2:$C1243,$C1243,$B$2:$B1243,"SBA 26/*",$F$2:$F1243,"&lt;&gt;"),"")</f>
        <v/>
      </c>
      <c r="AB1243" s="29" t="str">
        <f>IF(AA1243=1,COUNTIF($AA$2:AA1243,1),"")</f>
        <v/>
      </c>
    </row>
    <row r="1244" spans="6:28" ht="47.25" customHeight="1" x14ac:dyDescent="0.2">
      <c r="F1244" s="45" t="s">
        <v>3806</v>
      </c>
      <c r="T1244" s="41"/>
      <c r="U1244" s="29" t="str">
        <f>IF($C1244&lt;&gt;"",COUNTIF($C$2:C1244,C1244),"")</f>
        <v/>
      </c>
      <c r="V1244" s="29" t="str">
        <f t="shared" si="62"/>
        <v/>
      </c>
      <c r="W1244" s="29" t="str">
        <f>IF(U1244=1,COUNTIF($U$2:U1244,1),"")</f>
        <v/>
      </c>
      <c r="X1244" s="29" t="str">
        <f t="shared" si="63"/>
        <v/>
      </c>
      <c r="Y1244" s="29" t="str">
        <f>IF(AND(LEFT($B1244,7)="SBA 26/",$D1244&lt;&gt;"",$F1244&lt;&gt;""),COUNTIFS($D$2:$D1244,$D1244,$B$2:$B1244,"SBA 26/*",$F$2:$F1244,"&lt;&gt;"),"")</f>
        <v/>
      </c>
      <c r="Z1244" s="29" t="str">
        <f>IF(Y1244=1,COUNTIF($Y$2:Y1244,1),"")</f>
        <v/>
      </c>
      <c r="AA1244" s="29" t="str">
        <f>IF(AND(LEFT($B1244,7)="SBA 26/",$C1244&lt;&gt;"",$F1244&lt;&gt;""),COUNTIFS($C$2:$C1244,$C1244,$B$2:$B1244,"SBA 26/*",$F$2:$F1244,"&lt;&gt;"),"")</f>
        <v/>
      </c>
      <c r="AB1244" s="29" t="str">
        <f>IF(AA1244=1,COUNTIF($AA$2:AA1244,1),"")</f>
        <v/>
      </c>
    </row>
    <row r="1245" spans="6:28" ht="47.25" customHeight="1" x14ac:dyDescent="0.2">
      <c r="F1245" s="45" t="s">
        <v>3807</v>
      </c>
      <c r="T1245" s="41"/>
      <c r="U1245" s="29" t="str">
        <f>IF($C1245&lt;&gt;"",COUNTIF($C$2:C1245,C1245),"")</f>
        <v/>
      </c>
      <c r="V1245" s="29" t="str">
        <f t="shared" si="62"/>
        <v/>
      </c>
      <c r="W1245" s="29" t="str">
        <f>IF(U1245=1,COUNTIF($U$2:U1245,1),"")</f>
        <v/>
      </c>
      <c r="X1245" s="29" t="str">
        <f t="shared" si="63"/>
        <v/>
      </c>
      <c r="Y1245" s="29" t="str">
        <f>IF(AND(LEFT($B1245,7)="SBA 26/",$D1245&lt;&gt;"",$F1245&lt;&gt;""),COUNTIFS($D$2:$D1245,$D1245,$B$2:$B1245,"SBA 26/*",$F$2:$F1245,"&lt;&gt;"),"")</f>
        <v/>
      </c>
      <c r="Z1245" s="29" t="str">
        <f>IF(Y1245=1,COUNTIF($Y$2:Y1245,1),"")</f>
        <v/>
      </c>
      <c r="AA1245" s="29" t="str">
        <f>IF(AND(LEFT($B1245,7)="SBA 26/",$C1245&lt;&gt;"",$F1245&lt;&gt;""),COUNTIFS($C$2:$C1245,$C1245,$B$2:$B1245,"SBA 26/*",$F$2:$F1245,"&lt;&gt;"),"")</f>
        <v/>
      </c>
      <c r="AB1245" s="29" t="str">
        <f>IF(AA1245=1,COUNTIF($AA$2:AA1245,1),"")</f>
        <v/>
      </c>
    </row>
    <row r="1246" spans="6:28" ht="47.25" customHeight="1" x14ac:dyDescent="0.2">
      <c r="F1246" s="45" t="s">
        <v>3808</v>
      </c>
      <c r="T1246" s="41"/>
      <c r="U1246" s="29" t="str">
        <f>IF($C1246&lt;&gt;"",COUNTIF($C$2:C1246,C1246),"")</f>
        <v/>
      </c>
      <c r="V1246" s="29" t="str">
        <f t="shared" si="62"/>
        <v/>
      </c>
      <c r="W1246" s="29" t="str">
        <f>IF(U1246=1,COUNTIF($U$2:U1246,1),"")</f>
        <v/>
      </c>
      <c r="X1246" s="29" t="str">
        <f t="shared" si="63"/>
        <v/>
      </c>
      <c r="Y1246" s="29" t="str">
        <f>IF(AND(LEFT($B1246,7)="SBA 26/",$D1246&lt;&gt;"",$F1246&lt;&gt;""),COUNTIFS($D$2:$D1246,$D1246,$B$2:$B1246,"SBA 26/*",$F$2:$F1246,"&lt;&gt;"),"")</f>
        <v/>
      </c>
      <c r="Z1246" s="29" t="str">
        <f>IF(Y1246=1,COUNTIF($Y$2:Y1246,1),"")</f>
        <v/>
      </c>
      <c r="AA1246" s="29" t="str">
        <f>IF(AND(LEFT($B1246,7)="SBA 26/",$C1246&lt;&gt;"",$F1246&lt;&gt;""),COUNTIFS($C$2:$C1246,$C1246,$B$2:$B1246,"SBA 26/*",$F$2:$F1246,"&lt;&gt;"),"")</f>
        <v/>
      </c>
      <c r="AB1246" s="29" t="str">
        <f>IF(AA1246=1,COUNTIF($AA$2:AA1246,1),"")</f>
        <v/>
      </c>
    </row>
    <row r="1247" spans="6:28" ht="47.25" customHeight="1" x14ac:dyDescent="0.2">
      <c r="F1247" s="45" t="s">
        <v>3809</v>
      </c>
      <c r="T1247" s="41"/>
      <c r="U1247" s="29" t="str">
        <f>IF($C1247&lt;&gt;"",COUNTIF($C$2:C1247,C1247),"")</f>
        <v/>
      </c>
      <c r="V1247" s="29" t="str">
        <f t="shared" si="62"/>
        <v/>
      </c>
      <c r="W1247" s="29" t="str">
        <f>IF(U1247=1,COUNTIF($U$2:U1247,1),"")</f>
        <v/>
      </c>
      <c r="X1247" s="29" t="str">
        <f t="shared" si="63"/>
        <v/>
      </c>
      <c r="Y1247" s="29" t="str">
        <f>IF(AND(LEFT($B1247,7)="SBA 26/",$D1247&lt;&gt;"",$F1247&lt;&gt;""),COUNTIFS($D$2:$D1247,$D1247,$B$2:$B1247,"SBA 26/*",$F$2:$F1247,"&lt;&gt;"),"")</f>
        <v/>
      </c>
      <c r="Z1247" s="29" t="str">
        <f>IF(Y1247=1,COUNTIF($Y$2:Y1247,1),"")</f>
        <v/>
      </c>
      <c r="AA1247" s="29" t="str">
        <f>IF(AND(LEFT($B1247,7)="SBA 26/",$C1247&lt;&gt;"",$F1247&lt;&gt;""),COUNTIFS($C$2:$C1247,$C1247,$B$2:$B1247,"SBA 26/*",$F$2:$F1247,"&lt;&gt;"),"")</f>
        <v/>
      </c>
      <c r="AB1247" s="29" t="str">
        <f>IF(AA1247=1,COUNTIF($AA$2:AA1247,1),"")</f>
        <v/>
      </c>
    </row>
    <row r="1248" spans="6:28" ht="47.25" customHeight="1" x14ac:dyDescent="0.2">
      <c r="F1248" s="45" t="s">
        <v>3810</v>
      </c>
      <c r="T1248" s="41"/>
      <c r="U1248" s="29" t="str">
        <f>IF($C1248&lt;&gt;"",COUNTIF($C$2:C1248,C1248),"")</f>
        <v/>
      </c>
      <c r="V1248" s="29" t="str">
        <f t="shared" si="62"/>
        <v/>
      </c>
      <c r="W1248" s="29" t="str">
        <f>IF(U1248=1,COUNTIF($U$2:U1248,1),"")</f>
        <v/>
      </c>
      <c r="X1248" s="29" t="str">
        <f t="shared" si="63"/>
        <v/>
      </c>
      <c r="Y1248" s="29" t="str">
        <f>IF(AND(LEFT($B1248,7)="SBA 26/",$D1248&lt;&gt;"",$F1248&lt;&gt;""),COUNTIFS($D$2:$D1248,$D1248,$B$2:$B1248,"SBA 26/*",$F$2:$F1248,"&lt;&gt;"),"")</f>
        <v/>
      </c>
      <c r="Z1248" s="29" t="str">
        <f>IF(Y1248=1,COUNTIF($Y$2:Y1248,1),"")</f>
        <v/>
      </c>
      <c r="AA1248" s="29" t="str">
        <f>IF(AND(LEFT($B1248,7)="SBA 26/",$C1248&lt;&gt;"",$F1248&lt;&gt;""),COUNTIFS($C$2:$C1248,$C1248,$B$2:$B1248,"SBA 26/*",$F$2:$F1248,"&lt;&gt;"),"")</f>
        <v/>
      </c>
      <c r="AB1248" s="29" t="str">
        <f>IF(AA1248=1,COUNTIF($AA$2:AA1248,1),"")</f>
        <v/>
      </c>
    </row>
    <row r="1249" spans="6:28" ht="63" customHeight="1" x14ac:dyDescent="0.2">
      <c r="F1249" s="45" t="s">
        <v>3811</v>
      </c>
      <c r="T1249" s="41"/>
      <c r="U1249" s="29" t="str">
        <f>IF($C1249&lt;&gt;"",COUNTIF($C$2:C1249,C1249),"")</f>
        <v/>
      </c>
      <c r="V1249" s="29" t="str">
        <f t="shared" si="62"/>
        <v/>
      </c>
      <c r="W1249" s="29" t="str">
        <f>IF(U1249=1,COUNTIF($U$2:U1249,1),"")</f>
        <v/>
      </c>
      <c r="X1249" s="29" t="str">
        <f t="shared" si="63"/>
        <v/>
      </c>
      <c r="Y1249" s="29" t="str">
        <f>IF(AND(LEFT($B1249,7)="SBA 26/",$D1249&lt;&gt;"",$F1249&lt;&gt;""),COUNTIFS($D$2:$D1249,$D1249,$B$2:$B1249,"SBA 26/*",$F$2:$F1249,"&lt;&gt;"),"")</f>
        <v/>
      </c>
      <c r="Z1249" s="29" t="str">
        <f>IF(Y1249=1,COUNTIF($Y$2:Y1249,1),"")</f>
        <v/>
      </c>
      <c r="AA1249" s="29" t="str">
        <f>IF(AND(LEFT($B1249,7)="SBA 26/",$C1249&lt;&gt;"",$F1249&lt;&gt;""),COUNTIFS($C$2:$C1249,$C1249,$B$2:$B1249,"SBA 26/*",$F$2:$F1249,"&lt;&gt;"),"")</f>
        <v/>
      </c>
      <c r="AB1249" s="29" t="str">
        <f>IF(AA1249=1,COUNTIF($AA$2:AA1249,1),"")</f>
        <v/>
      </c>
    </row>
    <row r="1250" spans="6:28" ht="47.25" customHeight="1" x14ac:dyDescent="0.2">
      <c r="F1250" s="45" t="s">
        <v>3812</v>
      </c>
      <c r="T1250" s="41"/>
      <c r="U1250" s="29" t="str">
        <f>IF($C1250&lt;&gt;"",COUNTIF($C$2:C1250,C1250),"")</f>
        <v/>
      </c>
      <c r="V1250" s="29" t="str">
        <f t="shared" si="62"/>
        <v/>
      </c>
      <c r="W1250" s="29" t="str">
        <f>IF(U1250=1,COUNTIF($U$2:U1250,1),"")</f>
        <v/>
      </c>
      <c r="X1250" s="29" t="str">
        <f t="shared" si="63"/>
        <v/>
      </c>
      <c r="Y1250" s="29" t="str">
        <f>IF(AND(LEFT($B1250,7)="SBA 26/",$D1250&lt;&gt;"",$F1250&lt;&gt;""),COUNTIFS($D$2:$D1250,$D1250,$B$2:$B1250,"SBA 26/*",$F$2:$F1250,"&lt;&gt;"),"")</f>
        <v/>
      </c>
      <c r="Z1250" s="29" t="str">
        <f>IF(Y1250=1,COUNTIF($Y$2:Y1250,1),"")</f>
        <v/>
      </c>
      <c r="AA1250" s="29" t="str">
        <f>IF(AND(LEFT($B1250,7)="SBA 26/",$C1250&lt;&gt;"",$F1250&lt;&gt;""),COUNTIFS($C$2:$C1250,$C1250,$B$2:$B1250,"SBA 26/*",$F$2:$F1250,"&lt;&gt;"),"")</f>
        <v/>
      </c>
      <c r="AB1250" s="29" t="str">
        <f>IF(AA1250=1,COUNTIF($AA$2:AA1250,1),"")</f>
        <v/>
      </c>
    </row>
    <row r="1251" spans="6:28" ht="47.25" customHeight="1" x14ac:dyDescent="0.2">
      <c r="F1251" s="45" t="s">
        <v>3813</v>
      </c>
      <c r="T1251" s="41"/>
      <c r="U1251" s="29" t="str">
        <f>IF($C1251&lt;&gt;"",COUNTIF($C$2:C1251,C1251),"")</f>
        <v/>
      </c>
      <c r="V1251" s="29" t="str">
        <f t="shared" si="62"/>
        <v/>
      </c>
      <c r="W1251" s="29" t="str">
        <f>IF(U1251=1,COUNTIF($U$2:U1251,1),"")</f>
        <v/>
      </c>
      <c r="X1251" s="29" t="str">
        <f t="shared" si="63"/>
        <v/>
      </c>
      <c r="Y1251" s="29" t="str">
        <f>IF(AND(LEFT($B1251,7)="SBA 26/",$D1251&lt;&gt;"",$F1251&lt;&gt;""),COUNTIFS($D$2:$D1251,$D1251,$B$2:$B1251,"SBA 26/*",$F$2:$F1251,"&lt;&gt;"),"")</f>
        <v/>
      </c>
      <c r="Z1251" s="29" t="str">
        <f>IF(Y1251=1,COUNTIF($Y$2:Y1251,1),"")</f>
        <v/>
      </c>
      <c r="AA1251" s="29" t="str">
        <f>IF(AND(LEFT($B1251,7)="SBA 26/",$C1251&lt;&gt;"",$F1251&lt;&gt;""),COUNTIFS($C$2:$C1251,$C1251,$B$2:$B1251,"SBA 26/*",$F$2:$F1251,"&lt;&gt;"),"")</f>
        <v/>
      </c>
      <c r="AB1251" s="29" t="str">
        <f>IF(AA1251=1,COUNTIF($AA$2:AA1251,1),"")</f>
        <v/>
      </c>
    </row>
    <row r="1252" spans="6:28" ht="31.5" customHeight="1" x14ac:dyDescent="0.2">
      <c r="F1252" s="45" t="s">
        <v>3814</v>
      </c>
      <c r="T1252" s="41"/>
      <c r="U1252" s="29" t="str">
        <f>IF($C1252&lt;&gt;"",COUNTIF($C$2:C1252,C1252),"")</f>
        <v/>
      </c>
      <c r="V1252" s="29" t="str">
        <f t="shared" si="62"/>
        <v/>
      </c>
      <c r="W1252" s="29" t="str">
        <f>IF(U1252=1,COUNTIF($U$2:U1252,1),"")</f>
        <v/>
      </c>
      <c r="X1252" s="29" t="str">
        <f t="shared" si="63"/>
        <v/>
      </c>
      <c r="Y1252" s="29" t="str">
        <f>IF(AND(LEFT($B1252,7)="SBA 26/",$D1252&lt;&gt;"",$F1252&lt;&gt;""),COUNTIFS($D$2:$D1252,$D1252,$B$2:$B1252,"SBA 26/*",$F$2:$F1252,"&lt;&gt;"),"")</f>
        <v/>
      </c>
      <c r="Z1252" s="29" t="str">
        <f>IF(Y1252=1,COUNTIF($Y$2:Y1252,1),"")</f>
        <v/>
      </c>
      <c r="AA1252" s="29" t="str">
        <f>IF(AND(LEFT($B1252,7)="SBA 26/",$C1252&lt;&gt;"",$F1252&lt;&gt;""),COUNTIFS($C$2:$C1252,$C1252,$B$2:$B1252,"SBA 26/*",$F$2:$F1252,"&lt;&gt;"),"")</f>
        <v/>
      </c>
      <c r="AB1252" s="29" t="str">
        <f>IF(AA1252=1,COUNTIF($AA$2:AA1252,1),"")</f>
        <v/>
      </c>
    </row>
    <row r="1253" spans="6:28" ht="31.5" customHeight="1" x14ac:dyDescent="0.2">
      <c r="F1253" s="45" t="s">
        <v>3815</v>
      </c>
      <c r="T1253" s="41"/>
      <c r="U1253" s="29" t="str">
        <f>IF($C1253&lt;&gt;"",COUNTIF($C$2:C1253,C1253),"")</f>
        <v/>
      </c>
      <c r="V1253" s="29" t="str">
        <f t="shared" si="62"/>
        <v/>
      </c>
      <c r="W1253" s="29" t="str">
        <f>IF(U1253=1,COUNTIF($U$2:U1253,1),"")</f>
        <v/>
      </c>
      <c r="X1253" s="29" t="str">
        <f t="shared" si="63"/>
        <v/>
      </c>
      <c r="Y1253" s="29" t="str">
        <f>IF(AND(LEFT($B1253,7)="SBA 26/",$D1253&lt;&gt;"",$F1253&lt;&gt;""),COUNTIFS($D$2:$D1253,$D1253,$B$2:$B1253,"SBA 26/*",$F$2:$F1253,"&lt;&gt;"),"")</f>
        <v/>
      </c>
      <c r="Z1253" s="29" t="str">
        <f>IF(Y1253=1,COUNTIF($Y$2:Y1253,1),"")</f>
        <v/>
      </c>
      <c r="AA1253" s="29" t="str">
        <f>IF(AND(LEFT($B1253,7)="SBA 26/",$C1253&lt;&gt;"",$F1253&lt;&gt;""),COUNTIFS($C$2:$C1253,$C1253,$B$2:$B1253,"SBA 26/*",$F$2:$F1253,"&lt;&gt;"),"")</f>
        <v/>
      </c>
      <c r="AB1253" s="29" t="str">
        <f>IF(AA1253=1,COUNTIF($AA$2:AA1253,1),"")</f>
        <v/>
      </c>
    </row>
    <row r="1254" spans="6:28" ht="31.5" customHeight="1" x14ac:dyDescent="0.2">
      <c r="F1254" s="45" t="s">
        <v>3816</v>
      </c>
      <c r="T1254" s="41"/>
      <c r="U1254" s="29" t="str">
        <f>IF($C1254&lt;&gt;"",COUNTIF($C$2:C1254,C1254),"")</f>
        <v/>
      </c>
      <c r="V1254" s="29" t="str">
        <f t="shared" si="62"/>
        <v/>
      </c>
      <c r="W1254" s="29" t="str">
        <f>IF(U1254=1,COUNTIF($U$2:U1254,1),"")</f>
        <v/>
      </c>
      <c r="X1254" s="29" t="str">
        <f t="shared" si="63"/>
        <v/>
      </c>
      <c r="Y1254" s="29" t="str">
        <f>IF(AND(LEFT($B1254,7)="SBA 26/",$D1254&lt;&gt;"",$F1254&lt;&gt;""),COUNTIFS($D$2:$D1254,$D1254,$B$2:$B1254,"SBA 26/*",$F$2:$F1254,"&lt;&gt;"),"")</f>
        <v/>
      </c>
      <c r="Z1254" s="29" t="str">
        <f>IF(Y1254=1,COUNTIF($Y$2:Y1254,1),"")</f>
        <v/>
      </c>
      <c r="AA1254" s="29" t="str">
        <f>IF(AND(LEFT($B1254,7)="SBA 26/",$C1254&lt;&gt;"",$F1254&lt;&gt;""),COUNTIFS($C$2:$C1254,$C1254,$B$2:$B1254,"SBA 26/*",$F$2:$F1254,"&lt;&gt;"),"")</f>
        <v/>
      </c>
      <c r="AB1254" s="29" t="str">
        <f>IF(AA1254=1,COUNTIF($AA$2:AA1254,1),"")</f>
        <v/>
      </c>
    </row>
    <row r="1255" spans="6:28" ht="47.25" customHeight="1" x14ac:dyDescent="0.2">
      <c r="F1255" s="45" t="s">
        <v>3817</v>
      </c>
      <c r="T1255" s="41"/>
      <c r="U1255" s="29" t="str">
        <f>IF($C1255&lt;&gt;"",COUNTIF($C$2:C1255,C1255),"")</f>
        <v/>
      </c>
      <c r="V1255" s="29" t="str">
        <f t="shared" si="62"/>
        <v/>
      </c>
      <c r="W1255" s="29" t="str">
        <f>IF(U1255=1,COUNTIF($U$2:U1255,1),"")</f>
        <v/>
      </c>
      <c r="X1255" s="29" t="str">
        <f t="shared" si="63"/>
        <v/>
      </c>
      <c r="Y1255" s="29" t="str">
        <f>IF(AND(LEFT($B1255,7)="SBA 26/",$D1255&lt;&gt;"",$F1255&lt;&gt;""),COUNTIFS($D$2:$D1255,$D1255,$B$2:$B1255,"SBA 26/*",$F$2:$F1255,"&lt;&gt;"),"")</f>
        <v/>
      </c>
      <c r="Z1255" s="29" t="str">
        <f>IF(Y1255=1,COUNTIF($Y$2:Y1255,1),"")</f>
        <v/>
      </c>
      <c r="AA1255" s="29" t="str">
        <f>IF(AND(LEFT($B1255,7)="SBA 26/",$C1255&lt;&gt;"",$F1255&lt;&gt;""),COUNTIFS($C$2:$C1255,$C1255,$B$2:$B1255,"SBA 26/*",$F$2:$F1255,"&lt;&gt;"),"")</f>
        <v/>
      </c>
      <c r="AB1255" s="29" t="str">
        <f>IF(AA1255=1,COUNTIF($AA$2:AA1255,1),"")</f>
        <v/>
      </c>
    </row>
    <row r="1256" spans="6:28" ht="47.25" customHeight="1" x14ac:dyDescent="0.2">
      <c r="F1256" s="45" t="s">
        <v>3818</v>
      </c>
      <c r="T1256" s="41"/>
      <c r="U1256" s="29" t="str">
        <f>IF($C1256&lt;&gt;"",COUNTIF($C$2:C1256,C1256),"")</f>
        <v/>
      </c>
      <c r="V1256" s="29" t="str">
        <f t="shared" si="62"/>
        <v/>
      </c>
      <c r="W1256" s="29" t="str">
        <f>IF(U1256=1,COUNTIF($U$2:U1256,1),"")</f>
        <v/>
      </c>
      <c r="X1256" s="29" t="str">
        <f t="shared" si="63"/>
        <v/>
      </c>
      <c r="Y1256" s="29" t="str">
        <f>IF(AND(LEFT($B1256,7)="SBA 26/",$D1256&lt;&gt;"",$F1256&lt;&gt;""),COUNTIFS($D$2:$D1256,$D1256,$B$2:$B1256,"SBA 26/*",$F$2:$F1256,"&lt;&gt;"),"")</f>
        <v/>
      </c>
      <c r="Z1256" s="29" t="str">
        <f>IF(Y1256=1,COUNTIF($Y$2:Y1256,1),"")</f>
        <v/>
      </c>
      <c r="AA1256" s="29" t="str">
        <f>IF(AND(LEFT($B1256,7)="SBA 26/",$C1256&lt;&gt;"",$F1256&lt;&gt;""),COUNTIFS($C$2:$C1256,$C1256,$B$2:$B1256,"SBA 26/*",$F$2:$F1256,"&lt;&gt;"),"")</f>
        <v/>
      </c>
      <c r="AB1256" s="29" t="str">
        <f>IF(AA1256=1,COUNTIF($AA$2:AA1256,1),"")</f>
        <v/>
      </c>
    </row>
    <row r="1257" spans="6:28" ht="47.25" customHeight="1" x14ac:dyDescent="0.2">
      <c r="F1257" s="45" t="s">
        <v>3819</v>
      </c>
      <c r="T1257" s="41"/>
      <c r="U1257" s="29" t="str">
        <f>IF($C1257&lt;&gt;"",COUNTIF($C$2:C1257,C1257),"")</f>
        <v/>
      </c>
      <c r="V1257" s="29" t="str">
        <f t="shared" si="62"/>
        <v/>
      </c>
      <c r="W1257" s="29" t="str">
        <f>IF(U1257=1,COUNTIF($U$2:U1257,1),"")</f>
        <v/>
      </c>
      <c r="X1257" s="29" t="str">
        <f t="shared" si="63"/>
        <v/>
      </c>
      <c r="Y1257" s="29" t="str">
        <f>IF(AND(LEFT($B1257,7)="SBA 26/",$D1257&lt;&gt;"",$F1257&lt;&gt;""),COUNTIFS($D$2:$D1257,$D1257,$B$2:$B1257,"SBA 26/*",$F$2:$F1257,"&lt;&gt;"),"")</f>
        <v/>
      </c>
      <c r="Z1257" s="29" t="str">
        <f>IF(Y1257=1,COUNTIF($Y$2:Y1257,1),"")</f>
        <v/>
      </c>
      <c r="AA1257" s="29" t="str">
        <f>IF(AND(LEFT($B1257,7)="SBA 26/",$C1257&lt;&gt;"",$F1257&lt;&gt;""),COUNTIFS($C$2:$C1257,$C1257,$B$2:$B1257,"SBA 26/*",$F$2:$F1257,"&lt;&gt;"),"")</f>
        <v/>
      </c>
      <c r="AB1257" s="29" t="str">
        <f>IF(AA1257=1,COUNTIF($AA$2:AA1257,1),"")</f>
        <v/>
      </c>
    </row>
    <row r="1258" spans="6:28" ht="63" customHeight="1" x14ac:dyDescent="0.2">
      <c r="F1258" s="45" t="s">
        <v>3820</v>
      </c>
      <c r="T1258" s="41"/>
      <c r="U1258" s="29" t="str">
        <f>IF($C1258&lt;&gt;"",COUNTIF($C$2:C1258,C1258),"")</f>
        <v/>
      </c>
      <c r="V1258" s="29" t="str">
        <f t="shared" si="62"/>
        <v/>
      </c>
      <c r="W1258" s="29" t="str">
        <f>IF(U1258=1,COUNTIF($U$2:U1258,1),"")</f>
        <v/>
      </c>
      <c r="X1258" s="29" t="str">
        <f t="shared" si="63"/>
        <v/>
      </c>
      <c r="Y1258" s="29" t="str">
        <f>IF(AND(LEFT($B1258,7)="SBA 26/",$D1258&lt;&gt;"",$F1258&lt;&gt;""),COUNTIFS($D$2:$D1258,$D1258,$B$2:$B1258,"SBA 26/*",$F$2:$F1258,"&lt;&gt;"),"")</f>
        <v/>
      </c>
      <c r="Z1258" s="29" t="str">
        <f>IF(Y1258=1,COUNTIF($Y$2:Y1258,1),"")</f>
        <v/>
      </c>
      <c r="AA1258" s="29" t="str">
        <f>IF(AND(LEFT($B1258,7)="SBA 26/",$C1258&lt;&gt;"",$F1258&lt;&gt;""),COUNTIFS($C$2:$C1258,$C1258,$B$2:$B1258,"SBA 26/*",$F$2:$F1258,"&lt;&gt;"),"")</f>
        <v/>
      </c>
      <c r="AB1258" s="29" t="str">
        <f>IF(AA1258=1,COUNTIF($AA$2:AA1258,1),"")</f>
        <v/>
      </c>
    </row>
    <row r="1259" spans="6:28" ht="47.25" customHeight="1" x14ac:dyDescent="0.2">
      <c r="F1259" s="45" t="s">
        <v>3821</v>
      </c>
      <c r="T1259" s="41"/>
      <c r="U1259" s="29" t="str">
        <f>IF($C1259&lt;&gt;"",COUNTIF($C$2:C1259,C1259),"")</f>
        <v/>
      </c>
      <c r="V1259" s="29" t="str">
        <f t="shared" si="62"/>
        <v/>
      </c>
      <c r="W1259" s="29" t="str">
        <f>IF(U1259=1,COUNTIF($U$2:U1259,1),"")</f>
        <v/>
      </c>
      <c r="X1259" s="29" t="str">
        <f t="shared" si="63"/>
        <v/>
      </c>
      <c r="Y1259" s="29" t="str">
        <f>IF(AND(LEFT($B1259,7)="SBA 26/",$D1259&lt;&gt;"",$F1259&lt;&gt;""),COUNTIFS($D$2:$D1259,$D1259,$B$2:$B1259,"SBA 26/*",$F$2:$F1259,"&lt;&gt;"),"")</f>
        <v/>
      </c>
      <c r="Z1259" s="29" t="str">
        <f>IF(Y1259=1,COUNTIF($Y$2:Y1259,1),"")</f>
        <v/>
      </c>
      <c r="AA1259" s="29" t="str">
        <f>IF(AND(LEFT($B1259,7)="SBA 26/",$C1259&lt;&gt;"",$F1259&lt;&gt;""),COUNTIFS($C$2:$C1259,$C1259,$B$2:$B1259,"SBA 26/*",$F$2:$F1259,"&lt;&gt;"),"")</f>
        <v/>
      </c>
      <c r="AB1259" s="29" t="str">
        <f>IF(AA1259=1,COUNTIF($AA$2:AA1259,1),"")</f>
        <v/>
      </c>
    </row>
    <row r="1260" spans="6:28" ht="31.5" customHeight="1" x14ac:dyDescent="0.2">
      <c r="F1260" s="45" t="s">
        <v>3822</v>
      </c>
      <c r="T1260" s="41"/>
      <c r="U1260" s="29" t="str">
        <f>IF($C1260&lt;&gt;"",COUNTIF($C$2:C1260,C1260),"")</f>
        <v/>
      </c>
      <c r="V1260" s="29" t="str">
        <f t="shared" si="62"/>
        <v/>
      </c>
      <c r="W1260" s="29" t="str">
        <f>IF(U1260=1,COUNTIF($U$2:U1260,1),"")</f>
        <v/>
      </c>
      <c r="X1260" s="29" t="str">
        <f t="shared" si="63"/>
        <v/>
      </c>
      <c r="Y1260" s="29" t="str">
        <f>IF(AND(LEFT($B1260,7)="SBA 26/",$D1260&lt;&gt;"",$F1260&lt;&gt;""),COUNTIFS($D$2:$D1260,$D1260,$B$2:$B1260,"SBA 26/*",$F$2:$F1260,"&lt;&gt;"),"")</f>
        <v/>
      </c>
      <c r="Z1260" s="29" t="str">
        <f>IF(Y1260=1,COUNTIF($Y$2:Y1260,1),"")</f>
        <v/>
      </c>
      <c r="AA1260" s="29" t="str">
        <f>IF(AND(LEFT($B1260,7)="SBA 26/",$C1260&lt;&gt;"",$F1260&lt;&gt;""),COUNTIFS($C$2:$C1260,$C1260,$B$2:$B1260,"SBA 26/*",$F$2:$F1260,"&lt;&gt;"),"")</f>
        <v/>
      </c>
      <c r="AB1260" s="29" t="str">
        <f>IF(AA1260=1,COUNTIF($AA$2:AA1260,1),"")</f>
        <v/>
      </c>
    </row>
    <row r="1261" spans="6:28" ht="63" customHeight="1" x14ac:dyDescent="0.2">
      <c r="F1261" s="45" t="s">
        <v>3823</v>
      </c>
      <c r="T1261" s="41"/>
      <c r="U1261" s="29" t="str">
        <f>IF($C1261&lt;&gt;"",COUNTIF($C$2:C1261,C1261),"")</f>
        <v/>
      </c>
      <c r="V1261" s="29" t="str">
        <f t="shared" si="62"/>
        <v/>
      </c>
      <c r="W1261" s="29" t="str">
        <f>IF(U1261=1,COUNTIF($U$2:U1261,1),"")</f>
        <v/>
      </c>
      <c r="X1261" s="29" t="str">
        <f t="shared" si="63"/>
        <v/>
      </c>
      <c r="Y1261" s="29" t="str">
        <f>IF(AND(LEFT($B1261,7)="SBA 26/",$D1261&lt;&gt;"",$F1261&lt;&gt;""),COUNTIFS($D$2:$D1261,$D1261,$B$2:$B1261,"SBA 26/*",$F$2:$F1261,"&lt;&gt;"),"")</f>
        <v/>
      </c>
      <c r="Z1261" s="29" t="str">
        <f>IF(Y1261=1,COUNTIF($Y$2:Y1261,1),"")</f>
        <v/>
      </c>
      <c r="AA1261" s="29" t="str">
        <f>IF(AND(LEFT($B1261,7)="SBA 26/",$C1261&lt;&gt;"",$F1261&lt;&gt;""),COUNTIFS($C$2:$C1261,$C1261,$B$2:$B1261,"SBA 26/*",$F$2:$F1261,"&lt;&gt;"),"")</f>
        <v/>
      </c>
      <c r="AB1261" s="29" t="str">
        <f>IF(AA1261=1,COUNTIF($AA$2:AA1261,1),"")</f>
        <v/>
      </c>
    </row>
    <row r="1262" spans="6:28" ht="31.5" customHeight="1" x14ac:dyDescent="0.2">
      <c r="F1262" s="45" t="s">
        <v>3824</v>
      </c>
      <c r="T1262" s="41"/>
      <c r="U1262" s="29" t="str">
        <f>IF($C1262&lt;&gt;"",COUNTIF($C$2:C1262,C1262),"")</f>
        <v/>
      </c>
      <c r="V1262" s="29" t="str">
        <f t="shared" si="62"/>
        <v/>
      </c>
      <c r="W1262" s="29" t="str">
        <f>IF(U1262=1,COUNTIF($U$2:U1262,1),"")</f>
        <v/>
      </c>
      <c r="X1262" s="29" t="str">
        <f t="shared" si="63"/>
        <v/>
      </c>
      <c r="Y1262" s="29" t="str">
        <f>IF(AND(LEFT($B1262,7)="SBA 26/",$D1262&lt;&gt;"",$F1262&lt;&gt;""),COUNTIFS($D$2:$D1262,$D1262,$B$2:$B1262,"SBA 26/*",$F$2:$F1262,"&lt;&gt;"),"")</f>
        <v/>
      </c>
      <c r="Z1262" s="29" t="str">
        <f>IF(Y1262=1,COUNTIF($Y$2:Y1262,1),"")</f>
        <v/>
      </c>
      <c r="AA1262" s="29" t="str">
        <f>IF(AND(LEFT($B1262,7)="SBA 26/",$C1262&lt;&gt;"",$F1262&lt;&gt;""),COUNTIFS($C$2:$C1262,$C1262,$B$2:$B1262,"SBA 26/*",$F$2:$F1262,"&lt;&gt;"),"")</f>
        <v/>
      </c>
      <c r="AB1262" s="29" t="str">
        <f>IF(AA1262=1,COUNTIF($AA$2:AA1262,1),"")</f>
        <v/>
      </c>
    </row>
    <row r="1263" spans="6:28" ht="47.25" customHeight="1" x14ac:dyDescent="0.2">
      <c r="F1263" s="45" t="s">
        <v>3825</v>
      </c>
      <c r="T1263" s="41"/>
      <c r="U1263" s="29" t="str">
        <f>IF($C1263&lt;&gt;"",COUNTIF($C$2:C1263,C1263),"")</f>
        <v/>
      </c>
      <c r="V1263" s="29" t="str">
        <f t="shared" si="62"/>
        <v/>
      </c>
      <c r="W1263" s="29" t="str">
        <f>IF(U1263=1,COUNTIF($U$2:U1263,1),"")</f>
        <v/>
      </c>
      <c r="X1263" s="29" t="str">
        <f t="shared" si="63"/>
        <v/>
      </c>
      <c r="Y1263" s="29" t="str">
        <f>IF(AND(LEFT($B1263,7)="SBA 26/",$D1263&lt;&gt;"",$F1263&lt;&gt;""),COUNTIFS($D$2:$D1263,$D1263,$B$2:$B1263,"SBA 26/*",$F$2:$F1263,"&lt;&gt;"),"")</f>
        <v/>
      </c>
      <c r="Z1263" s="29" t="str">
        <f>IF(Y1263=1,COUNTIF($Y$2:Y1263,1),"")</f>
        <v/>
      </c>
      <c r="AA1263" s="29" t="str">
        <f>IF(AND(LEFT($B1263,7)="SBA 26/",$C1263&lt;&gt;"",$F1263&lt;&gt;""),COUNTIFS($C$2:$C1263,$C1263,$B$2:$B1263,"SBA 26/*",$F$2:$F1263,"&lt;&gt;"),"")</f>
        <v/>
      </c>
      <c r="AB1263" s="29" t="str">
        <f>IF(AA1263=1,COUNTIF($AA$2:AA1263,1),"")</f>
        <v/>
      </c>
    </row>
    <row r="1264" spans="6:28" ht="47.25" customHeight="1" x14ac:dyDescent="0.2">
      <c r="F1264" s="45" t="s">
        <v>3826</v>
      </c>
      <c r="T1264" s="41"/>
      <c r="U1264" s="29" t="str">
        <f>IF($C1264&lt;&gt;"",COUNTIF($C$2:C1264,C1264),"")</f>
        <v/>
      </c>
      <c r="V1264" s="29" t="str">
        <f t="shared" si="62"/>
        <v/>
      </c>
      <c r="W1264" s="29" t="str">
        <f>IF(U1264=1,COUNTIF($U$2:U1264,1),"")</f>
        <v/>
      </c>
      <c r="X1264" s="29" t="str">
        <f t="shared" si="63"/>
        <v/>
      </c>
      <c r="Y1264" s="29" t="str">
        <f>IF(AND(LEFT($B1264,7)="SBA 26/",$D1264&lt;&gt;"",$F1264&lt;&gt;""),COUNTIFS($D$2:$D1264,$D1264,$B$2:$B1264,"SBA 26/*",$F$2:$F1264,"&lt;&gt;"),"")</f>
        <v/>
      </c>
      <c r="Z1264" s="29" t="str">
        <f>IF(Y1264=1,COUNTIF($Y$2:Y1264,1),"")</f>
        <v/>
      </c>
      <c r="AA1264" s="29" t="str">
        <f>IF(AND(LEFT($B1264,7)="SBA 26/",$C1264&lt;&gt;"",$F1264&lt;&gt;""),COUNTIFS($C$2:$C1264,$C1264,$B$2:$B1264,"SBA 26/*",$F$2:$F1264,"&lt;&gt;"),"")</f>
        <v/>
      </c>
      <c r="AB1264" s="29" t="str">
        <f>IF(AA1264=1,COUNTIF($AA$2:AA1264,1),"")</f>
        <v/>
      </c>
    </row>
    <row r="1265" spans="6:28" ht="47.25" customHeight="1" x14ac:dyDescent="0.2">
      <c r="F1265" s="45" t="s">
        <v>3827</v>
      </c>
      <c r="T1265" s="41"/>
      <c r="U1265" s="29" t="str">
        <f>IF($C1265&lt;&gt;"",COUNTIF($C$2:C1265,C1265),"")</f>
        <v/>
      </c>
      <c r="V1265" s="29" t="str">
        <f t="shared" si="62"/>
        <v/>
      </c>
      <c r="W1265" s="29" t="str">
        <f>IF(U1265=1,COUNTIF($U$2:U1265,1),"")</f>
        <v/>
      </c>
      <c r="X1265" s="29" t="str">
        <f t="shared" si="63"/>
        <v/>
      </c>
      <c r="Y1265" s="29" t="str">
        <f>IF(AND(LEFT($B1265,7)="SBA 26/",$D1265&lt;&gt;"",$F1265&lt;&gt;""),COUNTIFS($D$2:$D1265,$D1265,$B$2:$B1265,"SBA 26/*",$F$2:$F1265,"&lt;&gt;"),"")</f>
        <v/>
      </c>
      <c r="Z1265" s="29" t="str">
        <f>IF(Y1265=1,COUNTIF($Y$2:Y1265,1),"")</f>
        <v/>
      </c>
      <c r="AA1265" s="29" t="str">
        <f>IF(AND(LEFT($B1265,7)="SBA 26/",$C1265&lt;&gt;"",$F1265&lt;&gt;""),COUNTIFS($C$2:$C1265,$C1265,$B$2:$B1265,"SBA 26/*",$F$2:$F1265,"&lt;&gt;"),"")</f>
        <v/>
      </c>
      <c r="AB1265" s="29" t="str">
        <f>IF(AA1265=1,COUNTIF($AA$2:AA1265,1),"")</f>
        <v/>
      </c>
    </row>
    <row r="1266" spans="6:28" ht="47.25" customHeight="1" x14ac:dyDescent="0.2">
      <c r="F1266" s="45" t="s">
        <v>3828</v>
      </c>
      <c r="T1266" s="41"/>
      <c r="U1266" s="29" t="str">
        <f>IF($C1266&lt;&gt;"",COUNTIF($C$2:C1266,C1266),"")</f>
        <v/>
      </c>
      <c r="V1266" s="29" t="str">
        <f t="shared" si="62"/>
        <v/>
      </c>
      <c r="W1266" s="29" t="str">
        <f>IF(U1266=1,COUNTIF($U$2:U1266,1),"")</f>
        <v/>
      </c>
      <c r="X1266" s="29" t="str">
        <f t="shared" si="63"/>
        <v/>
      </c>
      <c r="Y1266" s="29" t="str">
        <f>IF(AND(LEFT($B1266,7)="SBA 26/",$D1266&lt;&gt;"",$F1266&lt;&gt;""),COUNTIFS($D$2:$D1266,$D1266,$B$2:$B1266,"SBA 26/*",$F$2:$F1266,"&lt;&gt;"),"")</f>
        <v/>
      </c>
      <c r="Z1266" s="29" t="str">
        <f>IF(Y1266=1,COUNTIF($Y$2:Y1266,1),"")</f>
        <v/>
      </c>
      <c r="AA1266" s="29" t="str">
        <f>IF(AND(LEFT($B1266,7)="SBA 26/",$C1266&lt;&gt;"",$F1266&lt;&gt;""),COUNTIFS($C$2:$C1266,$C1266,$B$2:$B1266,"SBA 26/*",$F$2:$F1266,"&lt;&gt;"),"")</f>
        <v/>
      </c>
      <c r="AB1266" s="29" t="str">
        <f>IF(AA1266=1,COUNTIF($AA$2:AA1266,1),"")</f>
        <v/>
      </c>
    </row>
    <row r="1267" spans="6:28" ht="47.25" customHeight="1" x14ac:dyDescent="0.2">
      <c r="F1267" s="45" t="s">
        <v>3829</v>
      </c>
      <c r="T1267" s="41"/>
      <c r="U1267" s="29" t="str">
        <f>IF($C1267&lt;&gt;"",COUNTIF($C$2:C1267,C1267),"")</f>
        <v/>
      </c>
      <c r="V1267" s="29" t="str">
        <f t="shared" si="62"/>
        <v/>
      </c>
      <c r="W1267" s="29" t="str">
        <f>IF(U1267=1,COUNTIF($U$2:U1267,1),"")</f>
        <v/>
      </c>
      <c r="X1267" s="29" t="str">
        <f t="shared" si="63"/>
        <v/>
      </c>
      <c r="Y1267" s="29" t="str">
        <f>IF(AND(LEFT($B1267,7)="SBA 26/",$D1267&lt;&gt;"",$F1267&lt;&gt;""),COUNTIFS($D$2:$D1267,$D1267,$B$2:$B1267,"SBA 26/*",$F$2:$F1267,"&lt;&gt;"),"")</f>
        <v/>
      </c>
      <c r="Z1267" s="29" t="str">
        <f>IF(Y1267=1,COUNTIF($Y$2:Y1267,1),"")</f>
        <v/>
      </c>
      <c r="AA1267" s="29" t="str">
        <f>IF(AND(LEFT($B1267,7)="SBA 26/",$C1267&lt;&gt;"",$F1267&lt;&gt;""),COUNTIFS($C$2:$C1267,$C1267,$B$2:$B1267,"SBA 26/*",$F$2:$F1267,"&lt;&gt;"),"")</f>
        <v/>
      </c>
      <c r="AB1267" s="29" t="str">
        <f>IF(AA1267=1,COUNTIF($AA$2:AA1267,1),"")</f>
        <v/>
      </c>
    </row>
    <row r="1268" spans="6:28" ht="63" customHeight="1" x14ac:dyDescent="0.2">
      <c r="F1268" s="45" t="s">
        <v>3830</v>
      </c>
      <c r="T1268" s="41"/>
      <c r="U1268" s="29" t="str">
        <f>IF($C1268&lt;&gt;"",COUNTIF($C$2:C1268,C1268),"")</f>
        <v/>
      </c>
      <c r="V1268" s="29" t="str">
        <f t="shared" si="62"/>
        <v/>
      </c>
      <c r="W1268" s="29" t="str">
        <f>IF(U1268=1,COUNTIF($U$2:U1268,1),"")</f>
        <v/>
      </c>
      <c r="X1268" s="29" t="str">
        <f t="shared" si="63"/>
        <v/>
      </c>
      <c r="Y1268" s="29" t="str">
        <f>IF(AND(LEFT($B1268,7)="SBA 26/",$D1268&lt;&gt;"",$F1268&lt;&gt;""),COUNTIFS($D$2:$D1268,$D1268,$B$2:$B1268,"SBA 26/*",$F$2:$F1268,"&lt;&gt;"),"")</f>
        <v/>
      </c>
      <c r="Z1268" s="29" t="str">
        <f>IF(Y1268=1,COUNTIF($Y$2:Y1268,1),"")</f>
        <v/>
      </c>
      <c r="AA1268" s="29" t="str">
        <f>IF(AND(LEFT($B1268,7)="SBA 26/",$C1268&lt;&gt;"",$F1268&lt;&gt;""),COUNTIFS($C$2:$C1268,$C1268,$B$2:$B1268,"SBA 26/*",$F$2:$F1268,"&lt;&gt;"),"")</f>
        <v/>
      </c>
      <c r="AB1268" s="29" t="str">
        <f>IF(AA1268=1,COUNTIF($AA$2:AA1268,1),"")</f>
        <v/>
      </c>
    </row>
    <row r="1269" spans="6:28" ht="78.75" customHeight="1" x14ac:dyDescent="0.2">
      <c r="F1269" s="45" t="s">
        <v>3831</v>
      </c>
      <c r="T1269" s="41"/>
      <c r="U1269" s="29" t="str">
        <f>IF($C1269&lt;&gt;"",COUNTIF($C$2:C1269,C1269),"")</f>
        <v/>
      </c>
      <c r="V1269" s="29" t="str">
        <f t="shared" si="62"/>
        <v/>
      </c>
      <c r="W1269" s="29" t="str">
        <f>IF(U1269=1,COUNTIF($U$2:U1269,1),"")</f>
        <v/>
      </c>
      <c r="X1269" s="29" t="str">
        <f t="shared" si="63"/>
        <v/>
      </c>
      <c r="Y1269" s="29" t="str">
        <f>IF(AND(LEFT($B1269,7)="SBA 26/",$D1269&lt;&gt;"",$F1269&lt;&gt;""),COUNTIFS($D$2:$D1269,$D1269,$B$2:$B1269,"SBA 26/*",$F$2:$F1269,"&lt;&gt;"),"")</f>
        <v/>
      </c>
      <c r="Z1269" s="29" t="str">
        <f>IF(Y1269=1,COUNTIF($Y$2:Y1269,1),"")</f>
        <v/>
      </c>
      <c r="AA1269" s="29" t="str">
        <f>IF(AND(LEFT($B1269,7)="SBA 26/",$C1269&lt;&gt;"",$F1269&lt;&gt;""),COUNTIFS($C$2:$C1269,$C1269,$B$2:$B1269,"SBA 26/*",$F$2:$F1269,"&lt;&gt;"),"")</f>
        <v/>
      </c>
      <c r="AB1269" s="29" t="str">
        <f>IF(AA1269=1,COUNTIF($AA$2:AA1269,1),"")</f>
        <v/>
      </c>
    </row>
    <row r="1270" spans="6:28" ht="63" customHeight="1" x14ac:dyDescent="0.2">
      <c r="F1270" s="45" t="s">
        <v>3832</v>
      </c>
      <c r="T1270" s="41"/>
      <c r="U1270" s="29" t="str">
        <f>IF($C1270&lt;&gt;"",COUNTIF($C$2:C1270,C1270),"")</f>
        <v/>
      </c>
      <c r="V1270" s="29" t="str">
        <f t="shared" si="62"/>
        <v/>
      </c>
      <c r="W1270" s="29" t="str">
        <f>IF(U1270=1,COUNTIF($U$2:U1270,1),"")</f>
        <v/>
      </c>
      <c r="X1270" s="29" t="str">
        <f t="shared" si="63"/>
        <v/>
      </c>
      <c r="Y1270" s="29" t="str">
        <f>IF(AND(LEFT($B1270,7)="SBA 26/",$D1270&lt;&gt;"",$F1270&lt;&gt;""),COUNTIFS($D$2:$D1270,$D1270,$B$2:$B1270,"SBA 26/*",$F$2:$F1270,"&lt;&gt;"),"")</f>
        <v/>
      </c>
      <c r="Z1270" s="29" t="str">
        <f>IF(Y1270=1,COUNTIF($Y$2:Y1270,1),"")</f>
        <v/>
      </c>
      <c r="AA1270" s="29" t="str">
        <f>IF(AND(LEFT($B1270,7)="SBA 26/",$C1270&lt;&gt;"",$F1270&lt;&gt;""),COUNTIFS($C$2:$C1270,$C1270,$B$2:$B1270,"SBA 26/*",$F$2:$F1270,"&lt;&gt;"),"")</f>
        <v/>
      </c>
      <c r="AB1270" s="29" t="str">
        <f>IF(AA1270=1,COUNTIF($AA$2:AA1270,1),"")</f>
        <v/>
      </c>
    </row>
    <row r="1271" spans="6:28" ht="47.25" customHeight="1" x14ac:dyDescent="0.2">
      <c r="F1271" s="45" t="s">
        <v>3729</v>
      </c>
      <c r="T1271" s="41"/>
      <c r="U1271" s="29" t="str">
        <f>IF($C1271&lt;&gt;"",COUNTIF($C$2:C1271,C1271),"")</f>
        <v/>
      </c>
      <c r="V1271" s="29" t="str">
        <f t="shared" si="62"/>
        <v/>
      </c>
      <c r="W1271" s="29" t="str">
        <f>IF(U1271=1,COUNTIF($U$2:U1271,1),"")</f>
        <v/>
      </c>
      <c r="X1271" s="29" t="str">
        <f t="shared" si="63"/>
        <v/>
      </c>
      <c r="Y1271" s="29" t="str">
        <f>IF(AND(LEFT($B1271,7)="SBA 26/",$D1271&lt;&gt;"",$F1271&lt;&gt;""),COUNTIFS($D$2:$D1271,$D1271,$B$2:$B1271,"SBA 26/*",$F$2:$F1271,"&lt;&gt;"),"")</f>
        <v/>
      </c>
      <c r="Z1271" s="29" t="str">
        <f>IF(Y1271=1,COUNTIF($Y$2:Y1271,1),"")</f>
        <v/>
      </c>
      <c r="AA1271" s="29" t="str">
        <f>IF(AND(LEFT($B1271,7)="SBA 26/",$C1271&lt;&gt;"",$F1271&lt;&gt;""),COUNTIFS($C$2:$C1271,$C1271,$B$2:$B1271,"SBA 26/*",$F$2:$F1271,"&lt;&gt;"),"")</f>
        <v/>
      </c>
      <c r="AB1271" s="29" t="str">
        <f>IF(AA1271=1,COUNTIF($AA$2:AA1271,1),"")</f>
        <v/>
      </c>
    </row>
    <row r="1272" spans="6:28" ht="47.25" customHeight="1" x14ac:dyDescent="0.2">
      <c r="F1272" s="45" t="s">
        <v>3833</v>
      </c>
      <c r="T1272" s="41"/>
      <c r="U1272" s="29" t="str">
        <f>IF($C1272&lt;&gt;"",COUNTIF($C$2:C1272,C1272),"")</f>
        <v/>
      </c>
      <c r="V1272" s="29" t="str">
        <f t="shared" si="62"/>
        <v/>
      </c>
      <c r="W1272" s="29" t="str">
        <f>IF(U1272=1,COUNTIF($U$2:U1272,1),"")</f>
        <v/>
      </c>
      <c r="X1272" s="29" t="str">
        <f t="shared" si="63"/>
        <v/>
      </c>
      <c r="Y1272" s="29" t="str">
        <f>IF(AND(LEFT($B1272,7)="SBA 26/",$D1272&lt;&gt;"",$F1272&lt;&gt;""),COUNTIFS($D$2:$D1272,$D1272,$B$2:$B1272,"SBA 26/*",$F$2:$F1272,"&lt;&gt;"),"")</f>
        <v/>
      </c>
      <c r="Z1272" s="29" t="str">
        <f>IF(Y1272=1,COUNTIF($Y$2:Y1272,1),"")</f>
        <v/>
      </c>
      <c r="AA1272" s="29" t="str">
        <f>IF(AND(LEFT($B1272,7)="SBA 26/",$C1272&lt;&gt;"",$F1272&lt;&gt;""),COUNTIFS($C$2:$C1272,$C1272,$B$2:$B1272,"SBA 26/*",$F$2:$F1272,"&lt;&gt;"),"")</f>
        <v/>
      </c>
      <c r="AB1272" s="29" t="str">
        <f>IF(AA1272=1,COUNTIF($AA$2:AA1272,1),"")</f>
        <v/>
      </c>
    </row>
    <row r="1273" spans="6:28" ht="63" customHeight="1" x14ac:dyDescent="0.2">
      <c r="F1273" s="45" t="s">
        <v>3834</v>
      </c>
      <c r="T1273" s="41"/>
      <c r="U1273" s="29" t="str">
        <f>IF($C1273&lt;&gt;"",COUNTIF($C$2:C1273,C1273),"")</f>
        <v/>
      </c>
      <c r="V1273" s="29" t="str">
        <f t="shared" si="62"/>
        <v/>
      </c>
      <c r="W1273" s="29" t="str">
        <f>IF(U1273=1,COUNTIF($U$2:U1273,1),"")</f>
        <v/>
      </c>
      <c r="X1273" s="29" t="str">
        <f t="shared" si="63"/>
        <v/>
      </c>
      <c r="Y1273" s="29" t="str">
        <f>IF(AND(LEFT($B1273,7)="SBA 26/",$D1273&lt;&gt;"",$F1273&lt;&gt;""),COUNTIFS($D$2:$D1273,$D1273,$B$2:$B1273,"SBA 26/*",$F$2:$F1273,"&lt;&gt;"),"")</f>
        <v/>
      </c>
      <c r="Z1273" s="29" t="str">
        <f>IF(Y1273=1,COUNTIF($Y$2:Y1273,1),"")</f>
        <v/>
      </c>
      <c r="AA1273" s="29" t="str">
        <f>IF(AND(LEFT($B1273,7)="SBA 26/",$C1273&lt;&gt;"",$F1273&lt;&gt;""),COUNTIFS($C$2:$C1273,$C1273,$B$2:$B1273,"SBA 26/*",$F$2:$F1273,"&lt;&gt;"),"")</f>
        <v/>
      </c>
      <c r="AB1273" s="29" t="str">
        <f>IF(AA1273=1,COUNTIF($AA$2:AA1273,1),"")</f>
        <v/>
      </c>
    </row>
    <row r="1274" spans="6:28" ht="63" customHeight="1" x14ac:dyDescent="0.2">
      <c r="F1274" s="45" t="s">
        <v>3835</v>
      </c>
      <c r="T1274" s="41"/>
      <c r="U1274" s="29" t="str">
        <f>IF($C1274&lt;&gt;"",COUNTIF($C$2:C1274,C1274),"")</f>
        <v/>
      </c>
      <c r="V1274" s="29" t="str">
        <f t="shared" si="62"/>
        <v/>
      </c>
      <c r="W1274" s="29" t="str">
        <f>IF(U1274=1,COUNTIF($U$2:U1274,1),"")</f>
        <v/>
      </c>
      <c r="X1274" s="29" t="str">
        <f t="shared" si="63"/>
        <v/>
      </c>
      <c r="Y1274" s="29" t="str">
        <f>IF(AND(LEFT($B1274,7)="SBA 26/",$D1274&lt;&gt;"",$F1274&lt;&gt;""),COUNTIFS($D$2:$D1274,$D1274,$B$2:$B1274,"SBA 26/*",$F$2:$F1274,"&lt;&gt;"),"")</f>
        <v/>
      </c>
      <c r="Z1274" s="29" t="str">
        <f>IF(Y1274=1,COUNTIF($Y$2:Y1274,1),"")</f>
        <v/>
      </c>
      <c r="AA1274" s="29" t="str">
        <f>IF(AND(LEFT($B1274,7)="SBA 26/",$C1274&lt;&gt;"",$F1274&lt;&gt;""),COUNTIFS($C$2:$C1274,$C1274,$B$2:$B1274,"SBA 26/*",$F$2:$F1274,"&lt;&gt;"),"")</f>
        <v/>
      </c>
      <c r="AB1274" s="29" t="str">
        <f>IF(AA1274=1,COUNTIF($AA$2:AA1274,1),"")</f>
        <v/>
      </c>
    </row>
    <row r="1275" spans="6:28" ht="63" customHeight="1" x14ac:dyDescent="0.2">
      <c r="F1275" s="45" t="s">
        <v>3836</v>
      </c>
      <c r="T1275" s="41"/>
      <c r="U1275" s="29" t="str">
        <f>IF($C1275&lt;&gt;"",COUNTIF($C$2:C1275,C1275),"")</f>
        <v/>
      </c>
      <c r="V1275" s="29" t="str">
        <f t="shared" si="62"/>
        <v/>
      </c>
      <c r="W1275" s="29" t="str">
        <f>IF(U1275=1,COUNTIF($U$2:U1275,1),"")</f>
        <v/>
      </c>
      <c r="X1275" s="29" t="str">
        <f t="shared" si="63"/>
        <v/>
      </c>
      <c r="Y1275" s="29" t="str">
        <f>IF(AND(LEFT($B1275,7)="SBA 26/",$D1275&lt;&gt;"",$F1275&lt;&gt;""),COUNTIFS($D$2:$D1275,$D1275,$B$2:$B1275,"SBA 26/*",$F$2:$F1275,"&lt;&gt;"),"")</f>
        <v/>
      </c>
      <c r="Z1275" s="29" t="str">
        <f>IF(Y1275=1,COUNTIF($Y$2:Y1275,1),"")</f>
        <v/>
      </c>
      <c r="AA1275" s="29" t="str">
        <f>IF(AND(LEFT($B1275,7)="SBA 26/",$C1275&lt;&gt;"",$F1275&lt;&gt;""),COUNTIFS($C$2:$C1275,$C1275,$B$2:$B1275,"SBA 26/*",$F$2:$F1275,"&lt;&gt;"),"")</f>
        <v/>
      </c>
      <c r="AB1275" s="29" t="str">
        <f>IF(AA1275=1,COUNTIF($AA$2:AA1275,1),"")</f>
        <v/>
      </c>
    </row>
    <row r="1276" spans="6:28" ht="78.75" customHeight="1" x14ac:dyDescent="0.2">
      <c r="F1276" s="45" t="s">
        <v>3837</v>
      </c>
      <c r="T1276" s="41"/>
      <c r="U1276" s="29" t="str">
        <f>IF($C1276&lt;&gt;"",COUNTIF($C$2:C1276,C1276),"")</f>
        <v/>
      </c>
      <c r="V1276" s="29" t="str">
        <f t="shared" si="62"/>
        <v/>
      </c>
      <c r="W1276" s="29" t="str">
        <f>IF(U1276=1,COUNTIF($U$2:U1276,1),"")</f>
        <v/>
      </c>
      <c r="X1276" s="29" t="str">
        <f t="shared" si="63"/>
        <v/>
      </c>
      <c r="Y1276" s="29" t="str">
        <f>IF(AND(LEFT($B1276,7)="SBA 26/",$D1276&lt;&gt;"",$F1276&lt;&gt;""),COUNTIFS($D$2:$D1276,$D1276,$B$2:$B1276,"SBA 26/*",$F$2:$F1276,"&lt;&gt;"),"")</f>
        <v/>
      </c>
      <c r="Z1276" s="29" t="str">
        <f>IF(Y1276=1,COUNTIF($Y$2:Y1276,1),"")</f>
        <v/>
      </c>
      <c r="AA1276" s="29" t="str">
        <f>IF(AND(LEFT($B1276,7)="SBA 26/",$C1276&lt;&gt;"",$F1276&lt;&gt;""),COUNTIFS($C$2:$C1276,$C1276,$B$2:$B1276,"SBA 26/*",$F$2:$F1276,"&lt;&gt;"),"")</f>
        <v/>
      </c>
      <c r="AB1276" s="29" t="str">
        <f>IF(AA1276=1,COUNTIF($AA$2:AA1276,1),"")</f>
        <v/>
      </c>
    </row>
    <row r="1277" spans="6:28" ht="31.5" customHeight="1" x14ac:dyDescent="0.2">
      <c r="F1277" s="45" t="s">
        <v>3838</v>
      </c>
      <c r="T1277" s="41"/>
      <c r="U1277" s="29" t="str">
        <f>IF($C1277&lt;&gt;"",COUNTIF($C$2:C1277,C1277),"")</f>
        <v/>
      </c>
      <c r="V1277" s="29" t="str">
        <f t="shared" si="62"/>
        <v/>
      </c>
      <c r="W1277" s="29" t="str">
        <f>IF(U1277=1,COUNTIF($U$2:U1277,1),"")</f>
        <v/>
      </c>
      <c r="X1277" s="29" t="str">
        <f t="shared" si="63"/>
        <v/>
      </c>
      <c r="Y1277" s="29" t="str">
        <f>IF(AND(LEFT($B1277,7)="SBA 26/",$D1277&lt;&gt;"",$F1277&lt;&gt;""),COUNTIFS($D$2:$D1277,$D1277,$B$2:$B1277,"SBA 26/*",$F$2:$F1277,"&lt;&gt;"),"")</f>
        <v/>
      </c>
      <c r="Z1277" s="29" t="str">
        <f>IF(Y1277=1,COUNTIF($Y$2:Y1277,1),"")</f>
        <v/>
      </c>
      <c r="AA1277" s="29" t="str">
        <f>IF(AND(LEFT($B1277,7)="SBA 26/",$C1277&lt;&gt;"",$F1277&lt;&gt;""),COUNTIFS($C$2:$C1277,$C1277,$B$2:$B1277,"SBA 26/*",$F$2:$F1277,"&lt;&gt;"),"")</f>
        <v/>
      </c>
      <c r="AB1277" s="29" t="str">
        <f>IF(AA1277=1,COUNTIF($AA$2:AA1277,1),"")</f>
        <v/>
      </c>
    </row>
    <row r="1278" spans="6:28" ht="47.25" customHeight="1" x14ac:dyDescent="0.2">
      <c r="F1278" s="45" t="s">
        <v>3839</v>
      </c>
      <c r="T1278" s="41"/>
      <c r="U1278" s="29" t="str">
        <f>IF($C1278&lt;&gt;"",COUNTIF($C$2:C1278,C1278),"")</f>
        <v/>
      </c>
      <c r="V1278" s="29" t="str">
        <f t="shared" si="62"/>
        <v/>
      </c>
      <c r="W1278" s="29" t="str">
        <f>IF(U1278=1,COUNTIF($U$2:U1278,1),"")</f>
        <v/>
      </c>
      <c r="X1278" s="29" t="str">
        <f t="shared" si="63"/>
        <v/>
      </c>
      <c r="Y1278" s="29" t="str">
        <f>IF(AND(LEFT($B1278,7)="SBA 26/",$D1278&lt;&gt;"",$F1278&lt;&gt;""),COUNTIFS($D$2:$D1278,$D1278,$B$2:$B1278,"SBA 26/*",$F$2:$F1278,"&lt;&gt;"),"")</f>
        <v/>
      </c>
      <c r="Z1278" s="29" t="str">
        <f>IF(Y1278=1,COUNTIF($Y$2:Y1278,1),"")</f>
        <v/>
      </c>
      <c r="AA1278" s="29" t="str">
        <f>IF(AND(LEFT($B1278,7)="SBA 26/",$C1278&lt;&gt;"",$F1278&lt;&gt;""),COUNTIFS($C$2:$C1278,$C1278,$B$2:$B1278,"SBA 26/*",$F$2:$F1278,"&lt;&gt;"),"")</f>
        <v/>
      </c>
      <c r="AB1278" s="29" t="str">
        <f>IF(AA1278=1,COUNTIF($AA$2:AA1278,1),"")</f>
        <v/>
      </c>
    </row>
    <row r="1279" spans="6:28" ht="31.5" customHeight="1" x14ac:dyDescent="0.2">
      <c r="F1279" s="45" t="s">
        <v>3840</v>
      </c>
      <c r="T1279" s="41"/>
      <c r="U1279" s="29" t="str">
        <f>IF($C1279&lt;&gt;"",COUNTIF($C$2:C1279,C1279),"")</f>
        <v/>
      </c>
      <c r="V1279" s="29" t="str">
        <f t="shared" si="62"/>
        <v/>
      </c>
      <c r="W1279" s="29" t="str">
        <f>IF(U1279=1,COUNTIF($U$2:U1279,1),"")</f>
        <v/>
      </c>
      <c r="X1279" s="29" t="str">
        <f t="shared" si="63"/>
        <v/>
      </c>
      <c r="Y1279" s="29" t="str">
        <f>IF(AND(LEFT($B1279,7)="SBA 26/",$D1279&lt;&gt;"",$F1279&lt;&gt;""),COUNTIFS($D$2:$D1279,$D1279,$B$2:$B1279,"SBA 26/*",$F$2:$F1279,"&lt;&gt;"),"")</f>
        <v/>
      </c>
      <c r="Z1279" s="29" t="str">
        <f>IF(Y1279=1,COUNTIF($Y$2:Y1279,1),"")</f>
        <v/>
      </c>
      <c r="AA1279" s="29" t="str">
        <f>IF(AND(LEFT($B1279,7)="SBA 26/",$C1279&lt;&gt;"",$F1279&lt;&gt;""),COUNTIFS($C$2:$C1279,$C1279,$B$2:$B1279,"SBA 26/*",$F$2:$F1279,"&lt;&gt;"),"")</f>
        <v/>
      </c>
      <c r="AB1279" s="29" t="str">
        <f>IF(AA1279=1,COUNTIF($AA$2:AA1279,1),"")</f>
        <v/>
      </c>
    </row>
    <row r="1280" spans="6:28" ht="47.25" customHeight="1" x14ac:dyDescent="0.2">
      <c r="F1280" s="45" t="s">
        <v>3841</v>
      </c>
      <c r="T1280" s="41"/>
      <c r="U1280" s="29" t="str">
        <f>IF($C1280&lt;&gt;"",COUNTIF($C$2:C1280,C1280),"")</f>
        <v/>
      </c>
      <c r="V1280" s="29" t="str">
        <f t="shared" si="62"/>
        <v/>
      </c>
      <c r="W1280" s="29" t="str">
        <f>IF(U1280=1,COUNTIF($U$2:U1280,1),"")</f>
        <v/>
      </c>
      <c r="X1280" s="29" t="str">
        <f t="shared" si="63"/>
        <v/>
      </c>
      <c r="Y1280" s="29" t="str">
        <f>IF(AND(LEFT($B1280,7)="SBA 26/",$D1280&lt;&gt;"",$F1280&lt;&gt;""),COUNTIFS($D$2:$D1280,$D1280,$B$2:$B1280,"SBA 26/*",$F$2:$F1280,"&lt;&gt;"),"")</f>
        <v/>
      </c>
      <c r="Z1280" s="29" t="str">
        <f>IF(Y1280=1,COUNTIF($Y$2:Y1280,1),"")</f>
        <v/>
      </c>
      <c r="AA1280" s="29" t="str">
        <f>IF(AND(LEFT($B1280,7)="SBA 26/",$C1280&lt;&gt;"",$F1280&lt;&gt;""),COUNTIFS($C$2:$C1280,$C1280,$B$2:$B1280,"SBA 26/*",$F$2:$F1280,"&lt;&gt;"),"")</f>
        <v/>
      </c>
      <c r="AB1280" s="29" t="str">
        <f>IF(AA1280=1,COUNTIF($AA$2:AA1280,1),"")</f>
        <v/>
      </c>
    </row>
    <row r="1281" spans="6:28" ht="31.5" customHeight="1" x14ac:dyDescent="0.2">
      <c r="F1281" s="45" t="s">
        <v>3842</v>
      </c>
      <c r="T1281" s="41"/>
      <c r="U1281" s="29" t="str">
        <f>IF($C1281&lt;&gt;"",COUNTIF($C$2:C1281,C1281),"")</f>
        <v/>
      </c>
      <c r="V1281" s="29" t="str">
        <f t="shared" si="62"/>
        <v/>
      </c>
      <c r="W1281" s="29" t="str">
        <f>IF(U1281=1,COUNTIF($U$2:U1281,1),"")</f>
        <v/>
      </c>
      <c r="X1281" s="29" t="str">
        <f t="shared" si="63"/>
        <v/>
      </c>
      <c r="Y1281" s="29" t="str">
        <f>IF(AND(LEFT($B1281,7)="SBA 26/",$D1281&lt;&gt;"",$F1281&lt;&gt;""),COUNTIFS($D$2:$D1281,$D1281,$B$2:$B1281,"SBA 26/*",$F$2:$F1281,"&lt;&gt;"),"")</f>
        <v/>
      </c>
      <c r="Z1281" s="29" t="str">
        <f>IF(Y1281=1,COUNTIF($Y$2:Y1281,1),"")</f>
        <v/>
      </c>
      <c r="AA1281" s="29" t="str">
        <f>IF(AND(LEFT($B1281,7)="SBA 26/",$C1281&lt;&gt;"",$F1281&lt;&gt;""),COUNTIFS($C$2:$C1281,$C1281,$B$2:$B1281,"SBA 26/*",$F$2:$F1281,"&lt;&gt;"),"")</f>
        <v/>
      </c>
      <c r="AB1281" s="29" t="str">
        <f>IF(AA1281=1,COUNTIF($AA$2:AA1281,1),"")</f>
        <v/>
      </c>
    </row>
    <row r="1282" spans="6:28" ht="31.5" customHeight="1" x14ac:dyDescent="0.2">
      <c r="F1282" s="45" t="s">
        <v>3843</v>
      </c>
      <c r="T1282" s="41"/>
      <c r="U1282" s="29" t="str">
        <f>IF($C1282&lt;&gt;"",COUNTIF($C$2:C1282,C1282),"")</f>
        <v/>
      </c>
      <c r="V1282" s="29" t="str">
        <f t="shared" ref="V1282:V1345" si="64">IF($C1282&lt;&gt;"",C1282&amp;"§"&amp;U1282,"")</f>
        <v/>
      </c>
      <c r="W1282" s="29" t="str">
        <f>IF(U1282=1,COUNTIF($U$2:U1282,1),"")</f>
        <v/>
      </c>
      <c r="X1282" s="29" t="str">
        <f t="shared" ref="X1282:X1345" si="65">IF(U1282=1,SUMPRODUCT(($U$2:$U$1799=1)*($C$2:$C$1799&lt;C1282))+1,"")</f>
        <v/>
      </c>
      <c r="Y1282" s="29" t="str">
        <f>IF(AND(LEFT($B1282,7)="SBA 26/",$D1282&lt;&gt;"",$F1282&lt;&gt;""),COUNTIFS($D$2:$D1282,$D1282,$B$2:$B1282,"SBA 26/*",$F$2:$F1282,"&lt;&gt;"),"")</f>
        <v/>
      </c>
      <c r="Z1282" s="29" t="str">
        <f>IF(Y1282=1,COUNTIF($Y$2:Y1282,1),"")</f>
        <v/>
      </c>
      <c r="AA1282" s="29" t="str">
        <f>IF(AND(LEFT($B1282,7)="SBA 26/",$C1282&lt;&gt;"",$F1282&lt;&gt;""),COUNTIFS($C$2:$C1282,$C1282,$B$2:$B1282,"SBA 26/*",$F$2:$F1282,"&lt;&gt;"),"")</f>
        <v/>
      </c>
      <c r="AB1282" s="29" t="str">
        <f>IF(AA1282=1,COUNTIF($AA$2:AA1282,1),"")</f>
        <v/>
      </c>
    </row>
    <row r="1283" spans="6:28" ht="31.5" customHeight="1" x14ac:dyDescent="0.2">
      <c r="F1283" s="45" t="s">
        <v>3844</v>
      </c>
      <c r="T1283" s="41"/>
      <c r="U1283" s="29" t="str">
        <f>IF($C1283&lt;&gt;"",COUNTIF($C$2:C1283,C1283),"")</f>
        <v/>
      </c>
      <c r="V1283" s="29" t="str">
        <f t="shared" si="64"/>
        <v/>
      </c>
      <c r="W1283" s="29" t="str">
        <f>IF(U1283=1,COUNTIF($U$2:U1283,1),"")</f>
        <v/>
      </c>
      <c r="X1283" s="29" t="str">
        <f t="shared" si="65"/>
        <v/>
      </c>
      <c r="Y1283" s="29" t="str">
        <f>IF(AND(LEFT($B1283,7)="SBA 26/",$D1283&lt;&gt;"",$F1283&lt;&gt;""),COUNTIFS($D$2:$D1283,$D1283,$B$2:$B1283,"SBA 26/*",$F$2:$F1283,"&lt;&gt;"),"")</f>
        <v/>
      </c>
      <c r="Z1283" s="29" t="str">
        <f>IF(Y1283=1,COUNTIF($Y$2:Y1283,1),"")</f>
        <v/>
      </c>
      <c r="AA1283" s="29" t="str">
        <f>IF(AND(LEFT($B1283,7)="SBA 26/",$C1283&lt;&gt;"",$F1283&lt;&gt;""),COUNTIFS($C$2:$C1283,$C1283,$B$2:$B1283,"SBA 26/*",$F$2:$F1283,"&lt;&gt;"),"")</f>
        <v/>
      </c>
      <c r="AB1283" s="29" t="str">
        <f>IF(AA1283=1,COUNTIF($AA$2:AA1283,1),"")</f>
        <v/>
      </c>
    </row>
    <row r="1284" spans="6:28" ht="31.5" customHeight="1" x14ac:dyDescent="0.2">
      <c r="F1284" s="45" t="s">
        <v>3845</v>
      </c>
      <c r="T1284" s="41"/>
      <c r="U1284" s="29" t="str">
        <f>IF($C1284&lt;&gt;"",COUNTIF($C$2:C1284,C1284),"")</f>
        <v/>
      </c>
      <c r="V1284" s="29" t="str">
        <f t="shared" si="64"/>
        <v/>
      </c>
      <c r="W1284" s="29" t="str">
        <f>IF(U1284=1,COUNTIF($U$2:U1284,1),"")</f>
        <v/>
      </c>
      <c r="X1284" s="29" t="str">
        <f t="shared" si="65"/>
        <v/>
      </c>
      <c r="Y1284" s="29" t="str">
        <f>IF(AND(LEFT($B1284,7)="SBA 26/",$D1284&lt;&gt;"",$F1284&lt;&gt;""),COUNTIFS($D$2:$D1284,$D1284,$B$2:$B1284,"SBA 26/*",$F$2:$F1284,"&lt;&gt;"),"")</f>
        <v/>
      </c>
      <c r="Z1284" s="29" t="str">
        <f>IF(Y1284=1,COUNTIF($Y$2:Y1284,1),"")</f>
        <v/>
      </c>
      <c r="AA1284" s="29" t="str">
        <f>IF(AND(LEFT($B1284,7)="SBA 26/",$C1284&lt;&gt;"",$F1284&lt;&gt;""),COUNTIFS($C$2:$C1284,$C1284,$B$2:$B1284,"SBA 26/*",$F$2:$F1284,"&lt;&gt;"),"")</f>
        <v/>
      </c>
      <c r="AB1284" s="29" t="str">
        <f>IF(AA1284=1,COUNTIF($AA$2:AA1284,1),"")</f>
        <v/>
      </c>
    </row>
    <row r="1285" spans="6:28" ht="47.25" customHeight="1" x14ac:dyDescent="0.2">
      <c r="F1285" s="45" t="s">
        <v>3846</v>
      </c>
      <c r="T1285" s="41"/>
      <c r="U1285" s="29" t="str">
        <f>IF($C1285&lt;&gt;"",COUNTIF($C$2:C1285,C1285),"")</f>
        <v/>
      </c>
      <c r="V1285" s="29" t="str">
        <f t="shared" si="64"/>
        <v/>
      </c>
      <c r="W1285" s="29" t="str">
        <f>IF(U1285=1,COUNTIF($U$2:U1285,1),"")</f>
        <v/>
      </c>
      <c r="X1285" s="29" t="str">
        <f t="shared" si="65"/>
        <v/>
      </c>
      <c r="Y1285" s="29" t="str">
        <f>IF(AND(LEFT($B1285,7)="SBA 26/",$D1285&lt;&gt;"",$F1285&lt;&gt;""),COUNTIFS($D$2:$D1285,$D1285,$B$2:$B1285,"SBA 26/*",$F$2:$F1285,"&lt;&gt;"),"")</f>
        <v/>
      </c>
      <c r="Z1285" s="29" t="str">
        <f>IF(Y1285=1,COUNTIF($Y$2:Y1285,1),"")</f>
        <v/>
      </c>
      <c r="AA1285" s="29" t="str">
        <f>IF(AND(LEFT($B1285,7)="SBA 26/",$C1285&lt;&gt;"",$F1285&lt;&gt;""),COUNTIFS($C$2:$C1285,$C1285,$B$2:$B1285,"SBA 26/*",$F$2:$F1285,"&lt;&gt;"),"")</f>
        <v/>
      </c>
      <c r="AB1285" s="29" t="str">
        <f>IF(AA1285=1,COUNTIF($AA$2:AA1285,1),"")</f>
        <v/>
      </c>
    </row>
    <row r="1286" spans="6:28" ht="31.5" customHeight="1" x14ac:dyDescent="0.2">
      <c r="F1286" s="45" t="s">
        <v>3847</v>
      </c>
      <c r="T1286" s="41"/>
      <c r="U1286" s="29" t="str">
        <f>IF($C1286&lt;&gt;"",COUNTIF($C$2:C1286,C1286),"")</f>
        <v/>
      </c>
      <c r="V1286" s="29" t="str">
        <f t="shared" si="64"/>
        <v/>
      </c>
      <c r="W1286" s="29" t="str">
        <f>IF(U1286=1,COUNTIF($U$2:U1286,1),"")</f>
        <v/>
      </c>
      <c r="X1286" s="29" t="str">
        <f t="shared" si="65"/>
        <v/>
      </c>
      <c r="Y1286" s="29" t="str">
        <f>IF(AND(LEFT($B1286,7)="SBA 26/",$D1286&lt;&gt;"",$F1286&lt;&gt;""),COUNTIFS($D$2:$D1286,$D1286,$B$2:$B1286,"SBA 26/*",$F$2:$F1286,"&lt;&gt;"),"")</f>
        <v/>
      </c>
      <c r="Z1286" s="29" t="str">
        <f>IF(Y1286=1,COUNTIF($Y$2:Y1286,1),"")</f>
        <v/>
      </c>
      <c r="AA1286" s="29" t="str">
        <f>IF(AND(LEFT($B1286,7)="SBA 26/",$C1286&lt;&gt;"",$F1286&lt;&gt;""),COUNTIFS($C$2:$C1286,$C1286,$B$2:$B1286,"SBA 26/*",$F$2:$F1286,"&lt;&gt;"),"")</f>
        <v/>
      </c>
      <c r="AB1286" s="29" t="str">
        <f>IF(AA1286=1,COUNTIF($AA$2:AA1286,1),"")</f>
        <v/>
      </c>
    </row>
    <row r="1287" spans="6:28" ht="31.5" customHeight="1" x14ac:dyDescent="0.2">
      <c r="F1287" s="45" t="s">
        <v>3848</v>
      </c>
      <c r="T1287" s="41"/>
      <c r="U1287" s="29" t="str">
        <f>IF($C1287&lt;&gt;"",COUNTIF($C$2:C1287,C1287),"")</f>
        <v/>
      </c>
      <c r="V1287" s="29" t="str">
        <f t="shared" si="64"/>
        <v/>
      </c>
      <c r="W1287" s="29" t="str">
        <f>IF(U1287=1,COUNTIF($U$2:U1287,1),"")</f>
        <v/>
      </c>
      <c r="X1287" s="29" t="str">
        <f t="shared" si="65"/>
        <v/>
      </c>
      <c r="Y1287" s="29" t="str">
        <f>IF(AND(LEFT($B1287,7)="SBA 26/",$D1287&lt;&gt;"",$F1287&lt;&gt;""),COUNTIFS($D$2:$D1287,$D1287,$B$2:$B1287,"SBA 26/*",$F$2:$F1287,"&lt;&gt;"),"")</f>
        <v/>
      </c>
      <c r="Z1287" s="29" t="str">
        <f>IF(Y1287=1,COUNTIF($Y$2:Y1287,1),"")</f>
        <v/>
      </c>
      <c r="AA1287" s="29" t="str">
        <f>IF(AND(LEFT($B1287,7)="SBA 26/",$C1287&lt;&gt;"",$F1287&lt;&gt;""),COUNTIFS($C$2:$C1287,$C1287,$B$2:$B1287,"SBA 26/*",$F$2:$F1287,"&lt;&gt;"),"")</f>
        <v/>
      </c>
      <c r="AB1287" s="29" t="str">
        <f>IF(AA1287=1,COUNTIF($AA$2:AA1287,1),"")</f>
        <v/>
      </c>
    </row>
    <row r="1288" spans="6:28" ht="47.25" customHeight="1" x14ac:dyDescent="0.2">
      <c r="F1288" s="45" t="s">
        <v>3849</v>
      </c>
      <c r="T1288" s="41"/>
      <c r="U1288" s="29" t="str">
        <f>IF($C1288&lt;&gt;"",COUNTIF($C$2:C1288,C1288),"")</f>
        <v/>
      </c>
      <c r="V1288" s="29" t="str">
        <f t="shared" si="64"/>
        <v/>
      </c>
      <c r="W1288" s="29" t="str">
        <f>IF(U1288=1,COUNTIF($U$2:U1288,1),"")</f>
        <v/>
      </c>
      <c r="X1288" s="29" t="str">
        <f t="shared" si="65"/>
        <v/>
      </c>
      <c r="Y1288" s="29" t="str">
        <f>IF(AND(LEFT($B1288,7)="SBA 26/",$D1288&lt;&gt;"",$F1288&lt;&gt;""),COUNTIFS($D$2:$D1288,$D1288,$B$2:$B1288,"SBA 26/*",$F$2:$F1288,"&lt;&gt;"),"")</f>
        <v/>
      </c>
      <c r="Z1288" s="29" t="str">
        <f>IF(Y1288=1,COUNTIF($Y$2:Y1288,1),"")</f>
        <v/>
      </c>
      <c r="AA1288" s="29" t="str">
        <f>IF(AND(LEFT($B1288,7)="SBA 26/",$C1288&lt;&gt;"",$F1288&lt;&gt;""),COUNTIFS($C$2:$C1288,$C1288,$B$2:$B1288,"SBA 26/*",$F$2:$F1288,"&lt;&gt;"),"")</f>
        <v/>
      </c>
      <c r="AB1288" s="29" t="str">
        <f>IF(AA1288=1,COUNTIF($AA$2:AA1288,1),"")</f>
        <v/>
      </c>
    </row>
    <row r="1289" spans="6:28" ht="47.25" customHeight="1" x14ac:dyDescent="0.2">
      <c r="F1289" s="45" t="s">
        <v>3850</v>
      </c>
      <c r="T1289" s="41"/>
      <c r="U1289" s="29" t="str">
        <f>IF($C1289&lt;&gt;"",COUNTIF($C$2:C1289,C1289),"")</f>
        <v/>
      </c>
      <c r="V1289" s="29" t="str">
        <f t="shared" si="64"/>
        <v/>
      </c>
      <c r="W1289" s="29" t="str">
        <f>IF(U1289=1,COUNTIF($U$2:U1289,1),"")</f>
        <v/>
      </c>
      <c r="X1289" s="29" t="str">
        <f t="shared" si="65"/>
        <v/>
      </c>
      <c r="Y1289" s="29" t="str">
        <f>IF(AND(LEFT($B1289,7)="SBA 26/",$D1289&lt;&gt;"",$F1289&lt;&gt;""),COUNTIFS($D$2:$D1289,$D1289,$B$2:$B1289,"SBA 26/*",$F$2:$F1289,"&lt;&gt;"),"")</f>
        <v/>
      </c>
      <c r="Z1289" s="29" t="str">
        <f>IF(Y1289=1,COUNTIF($Y$2:Y1289,1),"")</f>
        <v/>
      </c>
      <c r="AA1289" s="29" t="str">
        <f>IF(AND(LEFT($B1289,7)="SBA 26/",$C1289&lt;&gt;"",$F1289&lt;&gt;""),COUNTIFS($C$2:$C1289,$C1289,$B$2:$B1289,"SBA 26/*",$F$2:$F1289,"&lt;&gt;"),"")</f>
        <v/>
      </c>
      <c r="AB1289" s="29" t="str">
        <f>IF(AA1289=1,COUNTIF($AA$2:AA1289,1),"")</f>
        <v/>
      </c>
    </row>
    <row r="1290" spans="6:28" ht="31.5" customHeight="1" x14ac:dyDescent="0.2">
      <c r="F1290" s="45" t="s">
        <v>3851</v>
      </c>
      <c r="T1290" s="41"/>
      <c r="U1290" s="29" t="str">
        <f>IF($C1290&lt;&gt;"",COUNTIF($C$2:C1290,C1290),"")</f>
        <v/>
      </c>
      <c r="V1290" s="29" t="str">
        <f t="shared" si="64"/>
        <v/>
      </c>
      <c r="W1290" s="29" t="str">
        <f>IF(U1290=1,COUNTIF($U$2:U1290,1),"")</f>
        <v/>
      </c>
      <c r="X1290" s="29" t="str">
        <f t="shared" si="65"/>
        <v/>
      </c>
      <c r="Y1290" s="29" t="str">
        <f>IF(AND(LEFT($B1290,7)="SBA 26/",$D1290&lt;&gt;"",$F1290&lt;&gt;""),COUNTIFS($D$2:$D1290,$D1290,$B$2:$B1290,"SBA 26/*",$F$2:$F1290,"&lt;&gt;"),"")</f>
        <v/>
      </c>
      <c r="Z1290" s="29" t="str">
        <f>IF(Y1290=1,COUNTIF($Y$2:Y1290,1),"")</f>
        <v/>
      </c>
      <c r="AA1290" s="29" t="str">
        <f>IF(AND(LEFT($B1290,7)="SBA 26/",$C1290&lt;&gt;"",$F1290&lt;&gt;""),COUNTIFS($C$2:$C1290,$C1290,$B$2:$B1290,"SBA 26/*",$F$2:$F1290,"&lt;&gt;"),"")</f>
        <v/>
      </c>
      <c r="AB1290" s="29" t="str">
        <f>IF(AA1290=1,COUNTIF($AA$2:AA1290,1),"")</f>
        <v/>
      </c>
    </row>
    <row r="1291" spans="6:28" ht="63" customHeight="1" x14ac:dyDescent="0.2">
      <c r="F1291" s="45" t="s">
        <v>3852</v>
      </c>
      <c r="T1291" s="41"/>
      <c r="U1291" s="29" t="str">
        <f>IF($C1291&lt;&gt;"",COUNTIF($C$2:C1291,C1291),"")</f>
        <v/>
      </c>
      <c r="V1291" s="29" t="str">
        <f t="shared" si="64"/>
        <v/>
      </c>
      <c r="W1291" s="29" t="str">
        <f>IF(U1291=1,COUNTIF($U$2:U1291,1),"")</f>
        <v/>
      </c>
      <c r="X1291" s="29" t="str">
        <f t="shared" si="65"/>
        <v/>
      </c>
      <c r="Y1291" s="29" t="str">
        <f>IF(AND(LEFT($B1291,7)="SBA 26/",$D1291&lt;&gt;"",$F1291&lt;&gt;""),COUNTIFS($D$2:$D1291,$D1291,$B$2:$B1291,"SBA 26/*",$F$2:$F1291,"&lt;&gt;"),"")</f>
        <v/>
      </c>
      <c r="Z1291" s="29" t="str">
        <f>IF(Y1291=1,COUNTIF($Y$2:Y1291,1),"")</f>
        <v/>
      </c>
      <c r="AA1291" s="29" t="str">
        <f>IF(AND(LEFT($B1291,7)="SBA 26/",$C1291&lt;&gt;"",$F1291&lt;&gt;""),COUNTIFS($C$2:$C1291,$C1291,$B$2:$B1291,"SBA 26/*",$F$2:$F1291,"&lt;&gt;"),"")</f>
        <v/>
      </c>
      <c r="AB1291" s="29" t="str">
        <f>IF(AA1291=1,COUNTIF($AA$2:AA1291,1),"")</f>
        <v/>
      </c>
    </row>
    <row r="1292" spans="6:28" ht="47.25" customHeight="1" x14ac:dyDescent="0.2">
      <c r="F1292" s="45" t="s">
        <v>3853</v>
      </c>
      <c r="T1292" s="41"/>
      <c r="U1292" s="29" t="str">
        <f>IF($C1292&lt;&gt;"",COUNTIF($C$2:C1292,C1292),"")</f>
        <v/>
      </c>
      <c r="V1292" s="29" t="str">
        <f t="shared" si="64"/>
        <v/>
      </c>
      <c r="W1292" s="29" t="str">
        <f>IF(U1292=1,COUNTIF($U$2:U1292,1),"")</f>
        <v/>
      </c>
      <c r="X1292" s="29" t="str">
        <f t="shared" si="65"/>
        <v/>
      </c>
      <c r="Y1292" s="29" t="str">
        <f>IF(AND(LEFT($B1292,7)="SBA 26/",$D1292&lt;&gt;"",$F1292&lt;&gt;""),COUNTIFS($D$2:$D1292,$D1292,$B$2:$B1292,"SBA 26/*",$F$2:$F1292,"&lt;&gt;"),"")</f>
        <v/>
      </c>
      <c r="Z1292" s="29" t="str">
        <f>IF(Y1292=1,COUNTIF($Y$2:Y1292,1),"")</f>
        <v/>
      </c>
      <c r="AA1292" s="29" t="str">
        <f>IF(AND(LEFT($B1292,7)="SBA 26/",$C1292&lt;&gt;"",$F1292&lt;&gt;""),COUNTIFS($C$2:$C1292,$C1292,$B$2:$B1292,"SBA 26/*",$F$2:$F1292,"&lt;&gt;"),"")</f>
        <v/>
      </c>
      <c r="AB1292" s="29" t="str">
        <f>IF(AA1292=1,COUNTIF($AA$2:AA1292,1),"")</f>
        <v/>
      </c>
    </row>
    <row r="1293" spans="6:28" ht="47.25" customHeight="1" x14ac:dyDescent="0.2">
      <c r="F1293" s="45" t="s">
        <v>3854</v>
      </c>
      <c r="T1293" s="41"/>
      <c r="U1293" s="29" t="str">
        <f>IF($C1293&lt;&gt;"",COUNTIF($C$2:C1293,C1293),"")</f>
        <v/>
      </c>
      <c r="V1293" s="29" t="str">
        <f t="shared" si="64"/>
        <v/>
      </c>
      <c r="W1293" s="29" t="str">
        <f>IF(U1293=1,COUNTIF($U$2:U1293,1),"")</f>
        <v/>
      </c>
      <c r="X1293" s="29" t="str">
        <f t="shared" si="65"/>
        <v/>
      </c>
      <c r="Y1293" s="29" t="str">
        <f>IF(AND(LEFT($B1293,7)="SBA 26/",$D1293&lt;&gt;"",$F1293&lt;&gt;""),COUNTIFS($D$2:$D1293,$D1293,$B$2:$B1293,"SBA 26/*",$F$2:$F1293,"&lt;&gt;"),"")</f>
        <v/>
      </c>
      <c r="Z1293" s="29" t="str">
        <f>IF(Y1293=1,COUNTIF($Y$2:Y1293,1),"")</f>
        <v/>
      </c>
      <c r="AA1293" s="29" t="str">
        <f>IF(AND(LEFT($B1293,7)="SBA 26/",$C1293&lt;&gt;"",$F1293&lt;&gt;""),COUNTIFS($C$2:$C1293,$C1293,$B$2:$B1293,"SBA 26/*",$F$2:$F1293,"&lt;&gt;"),"")</f>
        <v/>
      </c>
      <c r="AB1293" s="29" t="str">
        <f>IF(AA1293=1,COUNTIF($AA$2:AA1293,1),"")</f>
        <v/>
      </c>
    </row>
    <row r="1294" spans="6:28" ht="63" customHeight="1" x14ac:dyDescent="0.2">
      <c r="F1294" s="45" t="s">
        <v>3855</v>
      </c>
      <c r="T1294" s="41"/>
      <c r="U1294" s="29" t="str">
        <f>IF($C1294&lt;&gt;"",COUNTIF($C$2:C1294,C1294),"")</f>
        <v/>
      </c>
      <c r="V1294" s="29" t="str">
        <f t="shared" si="64"/>
        <v/>
      </c>
      <c r="W1294" s="29" t="str">
        <f>IF(U1294=1,COUNTIF($U$2:U1294,1),"")</f>
        <v/>
      </c>
      <c r="X1294" s="29" t="str">
        <f t="shared" si="65"/>
        <v/>
      </c>
      <c r="Y1294" s="29" t="str">
        <f>IF(AND(LEFT($B1294,7)="SBA 26/",$D1294&lt;&gt;"",$F1294&lt;&gt;""),COUNTIFS($D$2:$D1294,$D1294,$B$2:$B1294,"SBA 26/*",$F$2:$F1294,"&lt;&gt;"),"")</f>
        <v/>
      </c>
      <c r="Z1294" s="29" t="str">
        <f>IF(Y1294=1,COUNTIF($Y$2:Y1294,1),"")</f>
        <v/>
      </c>
      <c r="AA1294" s="29" t="str">
        <f>IF(AND(LEFT($B1294,7)="SBA 26/",$C1294&lt;&gt;"",$F1294&lt;&gt;""),COUNTIFS($C$2:$C1294,$C1294,$B$2:$B1294,"SBA 26/*",$F$2:$F1294,"&lt;&gt;"),"")</f>
        <v/>
      </c>
      <c r="AB1294" s="29" t="str">
        <f>IF(AA1294=1,COUNTIF($AA$2:AA1294,1),"")</f>
        <v/>
      </c>
    </row>
    <row r="1295" spans="6:28" ht="94.5" customHeight="1" x14ac:dyDescent="0.2">
      <c r="F1295" s="45" t="s">
        <v>3856</v>
      </c>
      <c r="T1295" s="41"/>
      <c r="U1295" s="29" t="str">
        <f>IF($C1295&lt;&gt;"",COUNTIF($C$2:C1295,C1295),"")</f>
        <v/>
      </c>
      <c r="V1295" s="29" t="str">
        <f t="shared" si="64"/>
        <v/>
      </c>
      <c r="W1295" s="29" t="str">
        <f>IF(U1295=1,COUNTIF($U$2:U1295,1),"")</f>
        <v/>
      </c>
      <c r="X1295" s="29" t="str">
        <f t="shared" si="65"/>
        <v/>
      </c>
      <c r="Y1295" s="29" t="str">
        <f>IF(AND(LEFT($B1295,7)="SBA 26/",$D1295&lt;&gt;"",$F1295&lt;&gt;""),COUNTIFS($D$2:$D1295,$D1295,$B$2:$B1295,"SBA 26/*",$F$2:$F1295,"&lt;&gt;"),"")</f>
        <v/>
      </c>
      <c r="Z1295" s="29" t="str">
        <f>IF(Y1295=1,COUNTIF($Y$2:Y1295,1),"")</f>
        <v/>
      </c>
      <c r="AA1295" s="29" t="str">
        <f>IF(AND(LEFT($B1295,7)="SBA 26/",$C1295&lt;&gt;"",$F1295&lt;&gt;""),COUNTIFS($C$2:$C1295,$C1295,$B$2:$B1295,"SBA 26/*",$F$2:$F1295,"&lt;&gt;"),"")</f>
        <v/>
      </c>
      <c r="AB1295" s="29" t="str">
        <f>IF(AA1295=1,COUNTIF($AA$2:AA1295,1),"")</f>
        <v/>
      </c>
    </row>
    <row r="1296" spans="6:28" ht="110.25" customHeight="1" x14ac:dyDescent="0.2">
      <c r="F1296" s="45" t="s">
        <v>3857</v>
      </c>
      <c r="T1296" s="41"/>
      <c r="U1296" s="29" t="str">
        <f>IF($C1296&lt;&gt;"",COUNTIF($C$2:C1296,C1296),"")</f>
        <v/>
      </c>
      <c r="V1296" s="29" t="str">
        <f t="shared" si="64"/>
        <v/>
      </c>
      <c r="W1296" s="29" t="str">
        <f>IF(U1296=1,COUNTIF($U$2:U1296,1),"")</f>
        <v/>
      </c>
      <c r="X1296" s="29" t="str">
        <f t="shared" si="65"/>
        <v/>
      </c>
      <c r="Y1296" s="29" t="str">
        <f>IF(AND(LEFT($B1296,7)="SBA 26/",$D1296&lt;&gt;"",$F1296&lt;&gt;""),COUNTIFS($D$2:$D1296,$D1296,$B$2:$B1296,"SBA 26/*",$F$2:$F1296,"&lt;&gt;"),"")</f>
        <v/>
      </c>
      <c r="Z1296" s="29" t="str">
        <f>IF(Y1296=1,COUNTIF($Y$2:Y1296,1),"")</f>
        <v/>
      </c>
      <c r="AA1296" s="29" t="str">
        <f>IF(AND(LEFT($B1296,7)="SBA 26/",$C1296&lt;&gt;"",$F1296&lt;&gt;""),COUNTIFS($C$2:$C1296,$C1296,$B$2:$B1296,"SBA 26/*",$F$2:$F1296,"&lt;&gt;"),"")</f>
        <v/>
      </c>
      <c r="AB1296" s="29" t="str">
        <f>IF(AA1296=1,COUNTIF($AA$2:AA1296,1),"")</f>
        <v/>
      </c>
    </row>
    <row r="1297" spans="6:28" ht="47.25" customHeight="1" x14ac:dyDescent="0.2">
      <c r="F1297" s="45" t="s">
        <v>3858</v>
      </c>
      <c r="T1297" s="41"/>
      <c r="U1297" s="29" t="str">
        <f>IF($C1297&lt;&gt;"",COUNTIF($C$2:C1297,C1297),"")</f>
        <v/>
      </c>
      <c r="V1297" s="29" t="str">
        <f t="shared" si="64"/>
        <v/>
      </c>
      <c r="W1297" s="29" t="str">
        <f>IF(U1297=1,COUNTIF($U$2:U1297,1),"")</f>
        <v/>
      </c>
      <c r="X1297" s="29" t="str">
        <f t="shared" si="65"/>
        <v/>
      </c>
      <c r="Y1297" s="29" t="str">
        <f>IF(AND(LEFT($B1297,7)="SBA 26/",$D1297&lt;&gt;"",$F1297&lt;&gt;""),COUNTIFS($D$2:$D1297,$D1297,$B$2:$B1297,"SBA 26/*",$F$2:$F1297,"&lt;&gt;"),"")</f>
        <v/>
      </c>
      <c r="Z1297" s="29" t="str">
        <f>IF(Y1297=1,COUNTIF($Y$2:Y1297,1),"")</f>
        <v/>
      </c>
      <c r="AA1297" s="29" t="str">
        <f>IF(AND(LEFT($B1297,7)="SBA 26/",$C1297&lt;&gt;"",$F1297&lt;&gt;""),COUNTIFS($C$2:$C1297,$C1297,$B$2:$B1297,"SBA 26/*",$F$2:$F1297,"&lt;&gt;"),"")</f>
        <v/>
      </c>
      <c r="AB1297" s="29" t="str">
        <f>IF(AA1297=1,COUNTIF($AA$2:AA1297,1),"")</f>
        <v/>
      </c>
    </row>
    <row r="1298" spans="6:28" ht="63" customHeight="1" x14ac:dyDescent="0.2">
      <c r="F1298" s="45" t="s">
        <v>3859</v>
      </c>
      <c r="T1298" s="41"/>
      <c r="U1298" s="29" t="str">
        <f>IF($C1298&lt;&gt;"",COUNTIF($C$2:C1298,C1298),"")</f>
        <v/>
      </c>
      <c r="V1298" s="29" t="str">
        <f t="shared" si="64"/>
        <v/>
      </c>
      <c r="W1298" s="29" t="str">
        <f>IF(U1298=1,COUNTIF($U$2:U1298,1),"")</f>
        <v/>
      </c>
      <c r="X1298" s="29" t="str">
        <f t="shared" si="65"/>
        <v/>
      </c>
      <c r="Y1298" s="29" t="str">
        <f>IF(AND(LEFT($B1298,7)="SBA 26/",$D1298&lt;&gt;"",$F1298&lt;&gt;""),COUNTIFS($D$2:$D1298,$D1298,$B$2:$B1298,"SBA 26/*",$F$2:$F1298,"&lt;&gt;"),"")</f>
        <v/>
      </c>
      <c r="Z1298" s="29" t="str">
        <f>IF(Y1298=1,COUNTIF($Y$2:Y1298,1),"")</f>
        <v/>
      </c>
      <c r="AA1298" s="29" t="str">
        <f>IF(AND(LEFT($B1298,7)="SBA 26/",$C1298&lt;&gt;"",$F1298&lt;&gt;""),COUNTIFS($C$2:$C1298,$C1298,$B$2:$B1298,"SBA 26/*",$F$2:$F1298,"&lt;&gt;"),"")</f>
        <v/>
      </c>
      <c r="AB1298" s="29" t="str">
        <f>IF(AA1298=1,COUNTIF($AA$2:AA1298,1),"")</f>
        <v/>
      </c>
    </row>
    <row r="1299" spans="6:28" ht="31.5" customHeight="1" x14ac:dyDescent="0.2">
      <c r="F1299" s="45" t="s">
        <v>3860</v>
      </c>
      <c r="T1299" s="41"/>
      <c r="U1299" s="29" t="str">
        <f>IF($C1299&lt;&gt;"",COUNTIF($C$2:C1299,C1299),"")</f>
        <v/>
      </c>
      <c r="V1299" s="29" t="str">
        <f t="shared" si="64"/>
        <v/>
      </c>
      <c r="W1299" s="29" t="str">
        <f>IF(U1299=1,COUNTIF($U$2:U1299,1),"")</f>
        <v/>
      </c>
      <c r="X1299" s="29" t="str">
        <f t="shared" si="65"/>
        <v/>
      </c>
      <c r="Y1299" s="29" t="str">
        <f>IF(AND(LEFT($B1299,7)="SBA 26/",$D1299&lt;&gt;"",$F1299&lt;&gt;""),COUNTIFS($D$2:$D1299,$D1299,$B$2:$B1299,"SBA 26/*",$F$2:$F1299,"&lt;&gt;"),"")</f>
        <v/>
      </c>
      <c r="Z1299" s="29" t="str">
        <f>IF(Y1299=1,COUNTIF($Y$2:Y1299,1),"")</f>
        <v/>
      </c>
      <c r="AA1299" s="29" t="str">
        <f>IF(AND(LEFT($B1299,7)="SBA 26/",$C1299&lt;&gt;"",$F1299&lt;&gt;""),COUNTIFS($C$2:$C1299,$C1299,$B$2:$B1299,"SBA 26/*",$F$2:$F1299,"&lt;&gt;"),"")</f>
        <v/>
      </c>
      <c r="AB1299" s="29" t="str">
        <f>IF(AA1299=1,COUNTIF($AA$2:AA1299,1),"")</f>
        <v/>
      </c>
    </row>
    <row r="1300" spans="6:28" ht="47.25" customHeight="1" x14ac:dyDescent="0.2">
      <c r="F1300" s="45" t="s">
        <v>3861</v>
      </c>
      <c r="T1300" s="41"/>
      <c r="U1300" s="29" t="str">
        <f>IF($C1300&lt;&gt;"",COUNTIF($C$2:C1300,C1300),"")</f>
        <v/>
      </c>
      <c r="V1300" s="29" t="str">
        <f t="shared" si="64"/>
        <v/>
      </c>
      <c r="W1300" s="29" t="str">
        <f>IF(U1300=1,COUNTIF($U$2:U1300,1),"")</f>
        <v/>
      </c>
      <c r="X1300" s="29" t="str">
        <f t="shared" si="65"/>
        <v/>
      </c>
      <c r="Y1300" s="29" t="str">
        <f>IF(AND(LEFT($B1300,7)="SBA 26/",$D1300&lt;&gt;"",$F1300&lt;&gt;""),COUNTIFS($D$2:$D1300,$D1300,$B$2:$B1300,"SBA 26/*",$F$2:$F1300,"&lt;&gt;"),"")</f>
        <v/>
      </c>
      <c r="Z1300" s="29" t="str">
        <f>IF(Y1300=1,COUNTIF($Y$2:Y1300,1),"")</f>
        <v/>
      </c>
      <c r="AA1300" s="29" t="str">
        <f>IF(AND(LEFT($B1300,7)="SBA 26/",$C1300&lt;&gt;"",$F1300&lt;&gt;""),COUNTIFS($C$2:$C1300,$C1300,$B$2:$B1300,"SBA 26/*",$F$2:$F1300,"&lt;&gt;"),"")</f>
        <v/>
      </c>
      <c r="AB1300" s="29" t="str">
        <f>IF(AA1300=1,COUNTIF($AA$2:AA1300,1),"")</f>
        <v/>
      </c>
    </row>
    <row r="1301" spans="6:28" ht="47.25" customHeight="1" x14ac:dyDescent="0.2">
      <c r="F1301" s="45" t="s">
        <v>3862</v>
      </c>
      <c r="T1301" s="41"/>
      <c r="U1301" s="29" t="str">
        <f>IF($C1301&lt;&gt;"",COUNTIF($C$2:C1301,C1301),"")</f>
        <v/>
      </c>
      <c r="V1301" s="29" t="str">
        <f t="shared" si="64"/>
        <v/>
      </c>
      <c r="W1301" s="29" t="str">
        <f>IF(U1301=1,COUNTIF($U$2:U1301,1),"")</f>
        <v/>
      </c>
      <c r="X1301" s="29" t="str">
        <f t="shared" si="65"/>
        <v/>
      </c>
      <c r="Y1301" s="29" t="str">
        <f>IF(AND(LEFT($B1301,7)="SBA 26/",$D1301&lt;&gt;"",$F1301&lt;&gt;""),COUNTIFS($D$2:$D1301,$D1301,$B$2:$B1301,"SBA 26/*",$F$2:$F1301,"&lt;&gt;"),"")</f>
        <v/>
      </c>
      <c r="Z1301" s="29" t="str">
        <f>IF(Y1301=1,COUNTIF($Y$2:Y1301,1),"")</f>
        <v/>
      </c>
      <c r="AA1301" s="29" t="str">
        <f>IF(AND(LEFT($B1301,7)="SBA 26/",$C1301&lt;&gt;"",$F1301&lt;&gt;""),COUNTIFS($C$2:$C1301,$C1301,$B$2:$B1301,"SBA 26/*",$F$2:$F1301,"&lt;&gt;"),"")</f>
        <v/>
      </c>
      <c r="AB1301" s="29" t="str">
        <f>IF(AA1301=1,COUNTIF($AA$2:AA1301,1),"")</f>
        <v/>
      </c>
    </row>
    <row r="1302" spans="6:28" ht="47.25" customHeight="1" x14ac:dyDescent="0.2">
      <c r="F1302" s="45" t="s">
        <v>3863</v>
      </c>
      <c r="T1302" s="41"/>
      <c r="U1302" s="29" t="str">
        <f>IF($C1302&lt;&gt;"",COUNTIF($C$2:C1302,C1302),"")</f>
        <v/>
      </c>
      <c r="V1302" s="29" t="str">
        <f t="shared" si="64"/>
        <v/>
      </c>
      <c r="W1302" s="29" t="str">
        <f>IF(U1302=1,COUNTIF($U$2:U1302,1),"")</f>
        <v/>
      </c>
      <c r="X1302" s="29" t="str">
        <f t="shared" si="65"/>
        <v/>
      </c>
      <c r="Y1302" s="29" t="str">
        <f>IF(AND(LEFT($B1302,7)="SBA 26/",$D1302&lt;&gt;"",$F1302&lt;&gt;""),COUNTIFS($D$2:$D1302,$D1302,$B$2:$B1302,"SBA 26/*",$F$2:$F1302,"&lt;&gt;"),"")</f>
        <v/>
      </c>
      <c r="Z1302" s="29" t="str">
        <f>IF(Y1302=1,COUNTIF($Y$2:Y1302,1),"")</f>
        <v/>
      </c>
      <c r="AA1302" s="29" t="str">
        <f>IF(AND(LEFT($B1302,7)="SBA 26/",$C1302&lt;&gt;"",$F1302&lt;&gt;""),COUNTIFS($C$2:$C1302,$C1302,$B$2:$B1302,"SBA 26/*",$F$2:$F1302,"&lt;&gt;"),"")</f>
        <v/>
      </c>
      <c r="AB1302" s="29" t="str">
        <f>IF(AA1302=1,COUNTIF($AA$2:AA1302,1),"")</f>
        <v/>
      </c>
    </row>
    <row r="1303" spans="6:28" ht="63" customHeight="1" x14ac:dyDescent="0.2">
      <c r="F1303" s="45" t="s">
        <v>3864</v>
      </c>
      <c r="T1303" s="41"/>
      <c r="U1303" s="29" t="str">
        <f>IF($C1303&lt;&gt;"",COUNTIF($C$2:C1303,C1303),"")</f>
        <v/>
      </c>
      <c r="V1303" s="29" t="str">
        <f t="shared" si="64"/>
        <v/>
      </c>
      <c r="W1303" s="29" t="str">
        <f>IF(U1303=1,COUNTIF($U$2:U1303,1),"")</f>
        <v/>
      </c>
      <c r="X1303" s="29" t="str">
        <f t="shared" si="65"/>
        <v/>
      </c>
      <c r="Y1303" s="29" t="str">
        <f>IF(AND(LEFT($B1303,7)="SBA 26/",$D1303&lt;&gt;"",$F1303&lt;&gt;""),COUNTIFS($D$2:$D1303,$D1303,$B$2:$B1303,"SBA 26/*",$F$2:$F1303,"&lt;&gt;"),"")</f>
        <v/>
      </c>
      <c r="Z1303" s="29" t="str">
        <f>IF(Y1303=1,COUNTIF($Y$2:Y1303,1),"")</f>
        <v/>
      </c>
      <c r="AA1303" s="29" t="str">
        <f>IF(AND(LEFT($B1303,7)="SBA 26/",$C1303&lt;&gt;"",$F1303&lt;&gt;""),COUNTIFS($C$2:$C1303,$C1303,$B$2:$B1303,"SBA 26/*",$F$2:$F1303,"&lt;&gt;"),"")</f>
        <v/>
      </c>
      <c r="AB1303" s="29" t="str">
        <f>IF(AA1303=1,COUNTIF($AA$2:AA1303,1),"")</f>
        <v/>
      </c>
    </row>
    <row r="1304" spans="6:28" ht="63" customHeight="1" x14ac:dyDescent="0.2">
      <c r="F1304" s="45" t="s">
        <v>3865</v>
      </c>
      <c r="T1304" s="41"/>
      <c r="U1304" s="29" t="str">
        <f>IF($C1304&lt;&gt;"",COUNTIF($C$2:C1304,C1304),"")</f>
        <v/>
      </c>
      <c r="V1304" s="29" t="str">
        <f t="shared" si="64"/>
        <v/>
      </c>
      <c r="W1304" s="29" t="str">
        <f>IF(U1304=1,COUNTIF($U$2:U1304,1),"")</f>
        <v/>
      </c>
      <c r="X1304" s="29" t="str">
        <f t="shared" si="65"/>
        <v/>
      </c>
      <c r="Y1304" s="29" t="str">
        <f>IF(AND(LEFT($B1304,7)="SBA 26/",$D1304&lt;&gt;"",$F1304&lt;&gt;""),COUNTIFS($D$2:$D1304,$D1304,$B$2:$B1304,"SBA 26/*",$F$2:$F1304,"&lt;&gt;"),"")</f>
        <v/>
      </c>
      <c r="Z1304" s="29" t="str">
        <f>IF(Y1304=1,COUNTIF($Y$2:Y1304,1),"")</f>
        <v/>
      </c>
      <c r="AA1304" s="29" t="str">
        <f>IF(AND(LEFT($B1304,7)="SBA 26/",$C1304&lt;&gt;"",$F1304&lt;&gt;""),COUNTIFS($C$2:$C1304,$C1304,$B$2:$B1304,"SBA 26/*",$F$2:$F1304,"&lt;&gt;"),"")</f>
        <v/>
      </c>
      <c r="AB1304" s="29" t="str">
        <f>IF(AA1304=1,COUNTIF($AA$2:AA1304,1),"")</f>
        <v/>
      </c>
    </row>
    <row r="1305" spans="6:28" ht="31.5" customHeight="1" x14ac:dyDescent="0.2">
      <c r="F1305" s="45" t="s">
        <v>3866</v>
      </c>
      <c r="T1305" s="41"/>
      <c r="U1305" s="29" t="str">
        <f>IF($C1305&lt;&gt;"",COUNTIF($C$2:C1305,C1305),"")</f>
        <v/>
      </c>
      <c r="V1305" s="29" t="str">
        <f t="shared" si="64"/>
        <v/>
      </c>
      <c r="W1305" s="29" t="str">
        <f>IF(U1305=1,COUNTIF($U$2:U1305,1),"")</f>
        <v/>
      </c>
      <c r="X1305" s="29" t="str">
        <f t="shared" si="65"/>
        <v/>
      </c>
      <c r="Y1305" s="29" t="str">
        <f>IF(AND(LEFT($B1305,7)="SBA 26/",$D1305&lt;&gt;"",$F1305&lt;&gt;""),COUNTIFS($D$2:$D1305,$D1305,$B$2:$B1305,"SBA 26/*",$F$2:$F1305,"&lt;&gt;"),"")</f>
        <v/>
      </c>
      <c r="Z1305" s="29" t="str">
        <f>IF(Y1305=1,COUNTIF($Y$2:Y1305,1),"")</f>
        <v/>
      </c>
      <c r="AA1305" s="29" t="str">
        <f>IF(AND(LEFT($B1305,7)="SBA 26/",$C1305&lt;&gt;"",$F1305&lt;&gt;""),COUNTIFS($C$2:$C1305,$C1305,$B$2:$B1305,"SBA 26/*",$F$2:$F1305,"&lt;&gt;"),"")</f>
        <v/>
      </c>
      <c r="AB1305" s="29" t="str">
        <f>IF(AA1305=1,COUNTIF($AA$2:AA1305,1),"")</f>
        <v/>
      </c>
    </row>
    <row r="1306" spans="6:28" ht="63" customHeight="1" x14ac:dyDescent="0.2">
      <c r="F1306" s="45" t="s">
        <v>3867</v>
      </c>
      <c r="T1306" s="41"/>
      <c r="U1306" s="29" t="str">
        <f>IF($C1306&lt;&gt;"",COUNTIF($C$2:C1306,C1306),"")</f>
        <v/>
      </c>
      <c r="V1306" s="29" t="str">
        <f t="shared" si="64"/>
        <v/>
      </c>
      <c r="W1306" s="29" t="str">
        <f>IF(U1306=1,COUNTIF($U$2:U1306,1),"")</f>
        <v/>
      </c>
      <c r="X1306" s="29" t="str">
        <f t="shared" si="65"/>
        <v/>
      </c>
      <c r="Y1306" s="29" t="str">
        <f>IF(AND(LEFT($B1306,7)="SBA 26/",$D1306&lt;&gt;"",$F1306&lt;&gt;""),COUNTIFS($D$2:$D1306,$D1306,$B$2:$B1306,"SBA 26/*",$F$2:$F1306,"&lt;&gt;"),"")</f>
        <v/>
      </c>
      <c r="Z1306" s="29" t="str">
        <f>IF(Y1306=1,COUNTIF($Y$2:Y1306,1),"")</f>
        <v/>
      </c>
      <c r="AA1306" s="29" t="str">
        <f>IF(AND(LEFT($B1306,7)="SBA 26/",$C1306&lt;&gt;"",$F1306&lt;&gt;""),COUNTIFS($C$2:$C1306,$C1306,$B$2:$B1306,"SBA 26/*",$F$2:$F1306,"&lt;&gt;"),"")</f>
        <v/>
      </c>
      <c r="AB1306" s="29" t="str">
        <f>IF(AA1306=1,COUNTIF($AA$2:AA1306,1),"")</f>
        <v/>
      </c>
    </row>
    <row r="1307" spans="6:28" ht="47.25" customHeight="1" x14ac:dyDescent="0.2">
      <c r="F1307" s="45" t="s">
        <v>3868</v>
      </c>
      <c r="T1307" s="41"/>
      <c r="U1307" s="29" t="str">
        <f>IF($C1307&lt;&gt;"",COUNTIF($C$2:C1307,C1307),"")</f>
        <v/>
      </c>
      <c r="V1307" s="29" t="str">
        <f t="shared" si="64"/>
        <v/>
      </c>
      <c r="W1307" s="29" t="str">
        <f>IF(U1307=1,COUNTIF($U$2:U1307,1),"")</f>
        <v/>
      </c>
      <c r="X1307" s="29" t="str">
        <f t="shared" si="65"/>
        <v/>
      </c>
      <c r="Y1307" s="29" t="str">
        <f>IF(AND(LEFT($B1307,7)="SBA 26/",$D1307&lt;&gt;"",$F1307&lt;&gt;""),COUNTIFS($D$2:$D1307,$D1307,$B$2:$B1307,"SBA 26/*",$F$2:$F1307,"&lt;&gt;"),"")</f>
        <v/>
      </c>
      <c r="Z1307" s="29" t="str">
        <f>IF(Y1307=1,COUNTIF($Y$2:Y1307,1),"")</f>
        <v/>
      </c>
      <c r="AA1307" s="29" t="str">
        <f>IF(AND(LEFT($B1307,7)="SBA 26/",$C1307&lt;&gt;"",$F1307&lt;&gt;""),COUNTIFS($C$2:$C1307,$C1307,$B$2:$B1307,"SBA 26/*",$F$2:$F1307,"&lt;&gt;"),"")</f>
        <v/>
      </c>
      <c r="AB1307" s="29" t="str">
        <f>IF(AA1307=1,COUNTIF($AA$2:AA1307,1),"")</f>
        <v/>
      </c>
    </row>
    <row r="1308" spans="6:28" ht="31.5" customHeight="1" x14ac:dyDescent="0.2">
      <c r="F1308" s="45" t="s">
        <v>3869</v>
      </c>
      <c r="T1308" s="41"/>
      <c r="U1308" s="29" t="str">
        <f>IF($C1308&lt;&gt;"",COUNTIF($C$2:C1308,C1308),"")</f>
        <v/>
      </c>
      <c r="V1308" s="29" t="str">
        <f t="shared" si="64"/>
        <v/>
      </c>
      <c r="W1308" s="29" t="str">
        <f>IF(U1308=1,COUNTIF($U$2:U1308,1),"")</f>
        <v/>
      </c>
      <c r="X1308" s="29" t="str">
        <f t="shared" si="65"/>
        <v/>
      </c>
      <c r="Y1308" s="29" t="str">
        <f>IF(AND(LEFT($B1308,7)="SBA 26/",$D1308&lt;&gt;"",$F1308&lt;&gt;""),COUNTIFS($D$2:$D1308,$D1308,$B$2:$B1308,"SBA 26/*",$F$2:$F1308,"&lt;&gt;"),"")</f>
        <v/>
      </c>
      <c r="Z1308" s="29" t="str">
        <f>IF(Y1308=1,COUNTIF($Y$2:Y1308,1),"")</f>
        <v/>
      </c>
      <c r="AA1308" s="29" t="str">
        <f>IF(AND(LEFT($B1308,7)="SBA 26/",$C1308&lt;&gt;"",$F1308&lt;&gt;""),COUNTIFS($C$2:$C1308,$C1308,$B$2:$B1308,"SBA 26/*",$F$2:$F1308,"&lt;&gt;"),"")</f>
        <v/>
      </c>
      <c r="AB1308" s="29" t="str">
        <f>IF(AA1308=1,COUNTIF($AA$2:AA1308,1),"")</f>
        <v/>
      </c>
    </row>
    <row r="1309" spans="6:28" ht="47.25" customHeight="1" x14ac:dyDescent="0.2">
      <c r="F1309" s="45" t="s">
        <v>3870</v>
      </c>
      <c r="T1309" s="41"/>
      <c r="U1309" s="29" t="str">
        <f>IF($C1309&lt;&gt;"",COUNTIF($C$2:C1309,C1309),"")</f>
        <v/>
      </c>
      <c r="V1309" s="29" t="str">
        <f t="shared" si="64"/>
        <v/>
      </c>
      <c r="W1309" s="29" t="str">
        <f>IF(U1309=1,COUNTIF($U$2:U1309,1),"")</f>
        <v/>
      </c>
      <c r="X1309" s="29" t="str">
        <f t="shared" si="65"/>
        <v/>
      </c>
      <c r="Y1309" s="29" t="str">
        <f>IF(AND(LEFT($B1309,7)="SBA 26/",$D1309&lt;&gt;"",$F1309&lt;&gt;""),COUNTIFS($D$2:$D1309,$D1309,$B$2:$B1309,"SBA 26/*",$F$2:$F1309,"&lt;&gt;"),"")</f>
        <v/>
      </c>
      <c r="Z1309" s="29" t="str">
        <f>IF(Y1309=1,COUNTIF($Y$2:Y1309,1),"")</f>
        <v/>
      </c>
      <c r="AA1309" s="29" t="str">
        <f>IF(AND(LEFT($B1309,7)="SBA 26/",$C1309&lt;&gt;"",$F1309&lt;&gt;""),COUNTIFS($C$2:$C1309,$C1309,$B$2:$B1309,"SBA 26/*",$F$2:$F1309,"&lt;&gt;"),"")</f>
        <v/>
      </c>
      <c r="AB1309" s="29" t="str">
        <f>IF(AA1309=1,COUNTIF($AA$2:AA1309,1),"")</f>
        <v/>
      </c>
    </row>
    <row r="1310" spans="6:28" ht="47.25" customHeight="1" x14ac:dyDescent="0.2">
      <c r="F1310" s="45" t="s">
        <v>3871</v>
      </c>
      <c r="T1310" s="41"/>
      <c r="U1310" s="29" t="str">
        <f>IF($C1310&lt;&gt;"",COUNTIF($C$2:C1310,C1310),"")</f>
        <v/>
      </c>
      <c r="V1310" s="29" t="str">
        <f t="shared" si="64"/>
        <v/>
      </c>
      <c r="W1310" s="29" t="str">
        <f>IF(U1310=1,COUNTIF($U$2:U1310,1),"")</f>
        <v/>
      </c>
      <c r="X1310" s="29" t="str">
        <f t="shared" si="65"/>
        <v/>
      </c>
      <c r="Y1310" s="29" t="str">
        <f>IF(AND(LEFT($B1310,7)="SBA 26/",$D1310&lt;&gt;"",$F1310&lt;&gt;""),COUNTIFS($D$2:$D1310,$D1310,$B$2:$B1310,"SBA 26/*",$F$2:$F1310,"&lt;&gt;"),"")</f>
        <v/>
      </c>
      <c r="Z1310" s="29" t="str">
        <f>IF(Y1310=1,COUNTIF($Y$2:Y1310,1),"")</f>
        <v/>
      </c>
      <c r="AA1310" s="29" t="str">
        <f>IF(AND(LEFT($B1310,7)="SBA 26/",$C1310&lt;&gt;"",$F1310&lt;&gt;""),COUNTIFS($C$2:$C1310,$C1310,$B$2:$B1310,"SBA 26/*",$F$2:$F1310,"&lt;&gt;"),"")</f>
        <v/>
      </c>
      <c r="AB1310" s="29" t="str">
        <f>IF(AA1310=1,COUNTIF($AA$2:AA1310,1),"")</f>
        <v/>
      </c>
    </row>
    <row r="1311" spans="6:28" ht="47.25" customHeight="1" x14ac:dyDescent="0.2">
      <c r="F1311" s="45" t="s">
        <v>3872</v>
      </c>
      <c r="T1311" s="41"/>
      <c r="U1311" s="29" t="str">
        <f>IF($C1311&lt;&gt;"",COUNTIF($C$2:C1311,C1311),"")</f>
        <v/>
      </c>
      <c r="V1311" s="29" t="str">
        <f t="shared" si="64"/>
        <v/>
      </c>
      <c r="W1311" s="29" t="str">
        <f>IF(U1311=1,COUNTIF($U$2:U1311,1),"")</f>
        <v/>
      </c>
      <c r="X1311" s="29" t="str">
        <f t="shared" si="65"/>
        <v/>
      </c>
      <c r="Y1311" s="29" t="str">
        <f>IF(AND(LEFT($B1311,7)="SBA 26/",$D1311&lt;&gt;"",$F1311&lt;&gt;""),COUNTIFS($D$2:$D1311,$D1311,$B$2:$B1311,"SBA 26/*",$F$2:$F1311,"&lt;&gt;"),"")</f>
        <v/>
      </c>
      <c r="Z1311" s="29" t="str">
        <f>IF(Y1311=1,COUNTIF($Y$2:Y1311,1),"")</f>
        <v/>
      </c>
      <c r="AA1311" s="29" t="str">
        <f>IF(AND(LEFT($B1311,7)="SBA 26/",$C1311&lt;&gt;"",$F1311&lt;&gt;""),COUNTIFS($C$2:$C1311,$C1311,$B$2:$B1311,"SBA 26/*",$F$2:$F1311,"&lt;&gt;"),"")</f>
        <v/>
      </c>
      <c r="AB1311" s="29" t="str">
        <f>IF(AA1311=1,COUNTIF($AA$2:AA1311,1),"")</f>
        <v/>
      </c>
    </row>
    <row r="1312" spans="6:28" ht="47.25" customHeight="1" x14ac:dyDescent="0.2">
      <c r="F1312" s="45" t="s">
        <v>3873</v>
      </c>
      <c r="T1312" s="41"/>
      <c r="U1312" s="29" t="str">
        <f>IF($C1312&lt;&gt;"",COUNTIF($C$2:C1312,C1312),"")</f>
        <v/>
      </c>
      <c r="V1312" s="29" t="str">
        <f t="shared" si="64"/>
        <v/>
      </c>
      <c r="W1312" s="29" t="str">
        <f>IF(U1312=1,COUNTIF($U$2:U1312,1),"")</f>
        <v/>
      </c>
      <c r="X1312" s="29" t="str">
        <f t="shared" si="65"/>
        <v/>
      </c>
      <c r="Y1312" s="29" t="str">
        <f>IF(AND(LEFT($B1312,7)="SBA 26/",$D1312&lt;&gt;"",$F1312&lt;&gt;""),COUNTIFS($D$2:$D1312,$D1312,$B$2:$B1312,"SBA 26/*",$F$2:$F1312,"&lt;&gt;"),"")</f>
        <v/>
      </c>
      <c r="Z1312" s="29" t="str">
        <f>IF(Y1312=1,COUNTIF($Y$2:Y1312,1),"")</f>
        <v/>
      </c>
      <c r="AA1312" s="29" t="str">
        <f>IF(AND(LEFT($B1312,7)="SBA 26/",$C1312&lt;&gt;"",$F1312&lt;&gt;""),COUNTIFS($C$2:$C1312,$C1312,$B$2:$B1312,"SBA 26/*",$F$2:$F1312,"&lt;&gt;"),"")</f>
        <v/>
      </c>
      <c r="AB1312" s="29" t="str">
        <f>IF(AA1312=1,COUNTIF($AA$2:AA1312,1),"")</f>
        <v/>
      </c>
    </row>
    <row r="1313" spans="6:28" ht="31.5" customHeight="1" x14ac:dyDescent="0.2">
      <c r="F1313" s="45" t="s">
        <v>3874</v>
      </c>
      <c r="T1313" s="41"/>
      <c r="U1313" s="29" t="str">
        <f>IF($C1313&lt;&gt;"",COUNTIF($C$2:C1313,C1313),"")</f>
        <v/>
      </c>
      <c r="V1313" s="29" t="str">
        <f t="shared" si="64"/>
        <v/>
      </c>
      <c r="W1313" s="29" t="str">
        <f>IF(U1313=1,COUNTIF($U$2:U1313,1),"")</f>
        <v/>
      </c>
      <c r="X1313" s="29" t="str">
        <f t="shared" si="65"/>
        <v/>
      </c>
      <c r="Y1313" s="29" t="str">
        <f>IF(AND(LEFT($B1313,7)="SBA 26/",$D1313&lt;&gt;"",$F1313&lt;&gt;""),COUNTIFS($D$2:$D1313,$D1313,$B$2:$B1313,"SBA 26/*",$F$2:$F1313,"&lt;&gt;"),"")</f>
        <v/>
      </c>
      <c r="Z1313" s="29" t="str">
        <f>IF(Y1313=1,COUNTIF($Y$2:Y1313,1),"")</f>
        <v/>
      </c>
      <c r="AA1313" s="29" t="str">
        <f>IF(AND(LEFT($B1313,7)="SBA 26/",$C1313&lt;&gt;"",$F1313&lt;&gt;""),COUNTIFS($C$2:$C1313,$C1313,$B$2:$B1313,"SBA 26/*",$F$2:$F1313,"&lt;&gt;"),"")</f>
        <v/>
      </c>
      <c r="AB1313" s="29" t="str">
        <f>IF(AA1313=1,COUNTIF($AA$2:AA1313,1),"")</f>
        <v/>
      </c>
    </row>
    <row r="1314" spans="6:28" ht="63" customHeight="1" x14ac:dyDescent="0.2">
      <c r="F1314" s="45" t="s">
        <v>3875</v>
      </c>
      <c r="T1314" s="41"/>
      <c r="U1314" s="29" t="str">
        <f>IF($C1314&lt;&gt;"",COUNTIF($C$2:C1314,C1314),"")</f>
        <v/>
      </c>
      <c r="V1314" s="29" t="str">
        <f t="shared" si="64"/>
        <v/>
      </c>
      <c r="W1314" s="29" t="str">
        <f>IF(U1314=1,COUNTIF($U$2:U1314,1),"")</f>
        <v/>
      </c>
      <c r="X1314" s="29" t="str">
        <f t="shared" si="65"/>
        <v/>
      </c>
      <c r="Y1314" s="29" t="str">
        <f>IF(AND(LEFT($B1314,7)="SBA 26/",$D1314&lt;&gt;"",$F1314&lt;&gt;""),COUNTIFS($D$2:$D1314,$D1314,$B$2:$B1314,"SBA 26/*",$F$2:$F1314,"&lt;&gt;"),"")</f>
        <v/>
      </c>
      <c r="Z1314" s="29" t="str">
        <f>IF(Y1314=1,COUNTIF($Y$2:Y1314,1),"")</f>
        <v/>
      </c>
      <c r="AA1314" s="29" t="str">
        <f>IF(AND(LEFT($B1314,7)="SBA 26/",$C1314&lt;&gt;"",$F1314&lt;&gt;""),COUNTIFS($C$2:$C1314,$C1314,$B$2:$B1314,"SBA 26/*",$F$2:$F1314,"&lt;&gt;"),"")</f>
        <v/>
      </c>
      <c r="AB1314" s="29" t="str">
        <f>IF(AA1314=1,COUNTIF($AA$2:AA1314,1),"")</f>
        <v/>
      </c>
    </row>
    <row r="1315" spans="6:28" ht="31.5" customHeight="1" x14ac:dyDescent="0.2">
      <c r="F1315" s="45" t="s">
        <v>3876</v>
      </c>
      <c r="T1315" s="41"/>
      <c r="U1315" s="29" t="str">
        <f>IF($C1315&lt;&gt;"",COUNTIF($C$2:C1315,C1315),"")</f>
        <v/>
      </c>
      <c r="V1315" s="29" t="str">
        <f t="shared" si="64"/>
        <v/>
      </c>
      <c r="W1315" s="29" t="str">
        <f>IF(U1315=1,COUNTIF($U$2:U1315,1),"")</f>
        <v/>
      </c>
      <c r="X1315" s="29" t="str">
        <f t="shared" si="65"/>
        <v/>
      </c>
      <c r="Y1315" s="29" t="str">
        <f>IF(AND(LEFT($B1315,7)="SBA 26/",$D1315&lt;&gt;"",$F1315&lt;&gt;""),COUNTIFS($D$2:$D1315,$D1315,$B$2:$B1315,"SBA 26/*",$F$2:$F1315,"&lt;&gt;"),"")</f>
        <v/>
      </c>
      <c r="Z1315" s="29" t="str">
        <f>IF(Y1315=1,COUNTIF($Y$2:Y1315,1),"")</f>
        <v/>
      </c>
      <c r="AA1315" s="29" t="str">
        <f>IF(AND(LEFT($B1315,7)="SBA 26/",$C1315&lt;&gt;"",$F1315&lt;&gt;""),COUNTIFS($C$2:$C1315,$C1315,$B$2:$B1315,"SBA 26/*",$F$2:$F1315,"&lt;&gt;"),"")</f>
        <v/>
      </c>
      <c r="AB1315" s="29" t="str">
        <f>IF(AA1315=1,COUNTIF($AA$2:AA1315,1),"")</f>
        <v/>
      </c>
    </row>
    <row r="1316" spans="6:28" ht="63" customHeight="1" x14ac:dyDescent="0.2">
      <c r="F1316" s="45" t="s">
        <v>3877</v>
      </c>
      <c r="T1316" s="41"/>
      <c r="U1316" s="29" t="str">
        <f>IF($C1316&lt;&gt;"",COUNTIF($C$2:C1316,C1316),"")</f>
        <v/>
      </c>
      <c r="V1316" s="29" t="str">
        <f t="shared" si="64"/>
        <v/>
      </c>
      <c r="W1316" s="29" t="str">
        <f>IF(U1316=1,COUNTIF($U$2:U1316,1),"")</f>
        <v/>
      </c>
      <c r="X1316" s="29" t="str">
        <f t="shared" si="65"/>
        <v/>
      </c>
      <c r="Y1316" s="29" t="str">
        <f>IF(AND(LEFT($B1316,7)="SBA 26/",$D1316&lt;&gt;"",$F1316&lt;&gt;""),COUNTIFS($D$2:$D1316,$D1316,$B$2:$B1316,"SBA 26/*",$F$2:$F1316,"&lt;&gt;"),"")</f>
        <v/>
      </c>
      <c r="Z1316" s="29" t="str">
        <f>IF(Y1316=1,COUNTIF($Y$2:Y1316,1),"")</f>
        <v/>
      </c>
      <c r="AA1316" s="29" t="str">
        <f>IF(AND(LEFT($B1316,7)="SBA 26/",$C1316&lt;&gt;"",$F1316&lt;&gt;""),COUNTIFS($C$2:$C1316,$C1316,$B$2:$B1316,"SBA 26/*",$F$2:$F1316,"&lt;&gt;"),"")</f>
        <v/>
      </c>
      <c r="AB1316" s="29" t="str">
        <f>IF(AA1316=1,COUNTIF($AA$2:AA1316,1),"")</f>
        <v/>
      </c>
    </row>
    <row r="1317" spans="6:28" ht="31.5" customHeight="1" x14ac:dyDescent="0.2">
      <c r="F1317" s="45" t="s">
        <v>3878</v>
      </c>
      <c r="T1317" s="41"/>
      <c r="U1317" s="29" t="str">
        <f>IF($C1317&lt;&gt;"",COUNTIF($C$2:C1317,C1317),"")</f>
        <v/>
      </c>
      <c r="V1317" s="29" t="str">
        <f t="shared" si="64"/>
        <v/>
      </c>
      <c r="W1317" s="29" t="str">
        <f>IF(U1317=1,COUNTIF($U$2:U1317,1),"")</f>
        <v/>
      </c>
      <c r="X1317" s="29" t="str">
        <f t="shared" si="65"/>
        <v/>
      </c>
      <c r="Y1317" s="29" t="str">
        <f>IF(AND(LEFT($B1317,7)="SBA 26/",$D1317&lt;&gt;"",$F1317&lt;&gt;""),COUNTIFS($D$2:$D1317,$D1317,$B$2:$B1317,"SBA 26/*",$F$2:$F1317,"&lt;&gt;"),"")</f>
        <v/>
      </c>
      <c r="Z1317" s="29" t="str">
        <f>IF(Y1317=1,COUNTIF($Y$2:Y1317,1),"")</f>
        <v/>
      </c>
      <c r="AA1317" s="29" t="str">
        <f>IF(AND(LEFT($B1317,7)="SBA 26/",$C1317&lt;&gt;"",$F1317&lt;&gt;""),COUNTIFS($C$2:$C1317,$C1317,$B$2:$B1317,"SBA 26/*",$F$2:$F1317,"&lt;&gt;"),"")</f>
        <v/>
      </c>
      <c r="AB1317" s="29" t="str">
        <f>IF(AA1317=1,COUNTIF($AA$2:AA1317,1),"")</f>
        <v/>
      </c>
    </row>
    <row r="1318" spans="6:28" ht="31.5" customHeight="1" x14ac:dyDescent="0.2">
      <c r="F1318" s="45" t="s">
        <v>3879</v>
      </c>
      <c r="T1318" s="41"/>
      <c r="U1318" s="29" t="str">
        <f>IF($C1318&lt;&gt;"",COUNTIF($C$2:C1318,C1318),"")</f>
        <v/>
      </c>
      <c r="V1318" s="29" t="str">
        <f t="shared" si="64"/>
        <v/>
      </c>
      <c r="W1318" s="29" t="str">
        <f>IF(U1318=1,COUNTIF($U$2:U1318,1),"")</f>
        <v/>
      </c>
      <c r="X1318" s="29" t="str">
        <f t="shared" si="65"/>
        <v/>
      </c>
      <c r="Y1318" s="29" t="str">
        <f>IF(AND(LEFT($B1318,7)="SBA 26/",$D1318&lt;&gt;"",$F1318&lt;&gt;""),COUNTIFS($D$2:$D1318,$D1318,$B$2:$B1318,"SBA 26/*",$F$2:$F1318,"&lt;&gt;"),"")</f>
        <v/>
      </c>
      <c r="Z1318" s="29" t="str">
        <f>IF(Y1318=1,COUNTIF($Y$2:Y1318,1),"")</f>
        <v/>
      </c>
      <c r="AA1318" s="29" t="str">
        <f>IF(AND(LEFT($B1318,7)="SBA 26/",$C1318&lt;&gt;"",$F1318&lt;&gt;""),COUNTIFS($C$2:$C1318,$C1318,$B$2:$B1318,"SBA 26/*",$F$2:$F1318,"&lt;&gt;"),"")</f>
        <v/>
      </c>
      <c r="AB1318" s="29" t="str">
        <f>IF(AA1318=1,COUNTIF($AA$2:AA1318,1),"")</f>
        <v/>
      </c>
    </row>
    <row r="1319" spans="6:28" ht="47.25" customHeight="1" x14ac:dyDescent="0.2">
      <c r="F1319" s="45" t="s">
        <v>3880</v>
      </c>
      <c r="T1319" s="41"/>
      <c r="U1319" s="29" t="str">
        <f>IF($C1319&lt;&gt;"",COUNTIF($C$2:C1319,C1319),"")</f>
        <v/>
      </c>
      <c r="V1319" s="29" t="str">
        <f t="shared" si="64"/>
        <v/>
      </c>
      <c r="W1319" s="29" t="str">
        <f>IF(U1319=1,COUNTIF($U$2:U1319,1),"")</f>
        <v/>
      </c>
      <c r="X1319" s="29" t="str">
        <f t="shared" si="65"/>
        <v/>
      </c>
      <c r="Y1319" s="29" t="str">
        <f>IF(AND(LEFT($B1319,7)="SBA 26/",$D1319&lt;&gt;"",$F1319&lt;&gt;""),COUNTIFS($D$2:$D1319,$D1319,$B$2:$B1319,"SBA 26/*",$F$2:$F1319,"&lt;&gt;"),"")</f>
        <v/>
      </c>
      <c r="Z1319" s="29" t="str">
        <f>IF(Y1319=1,COUNTIF($Y$2:Y1319,1),"")</f>
        <v/>
      </c>
      <c r="AA1319" s="29" t="str">
        <f>IF(AND(LEFT($B1319,7)="SBA 26/",$C1319&lt;&gt;"",$F1319&lt;&gt;""),COUNTIFS($C$2:$C1319,$C1319,$B$2:$B1319,"SBA 26/*",$F$2:$F1319,"&lt;&gt;"),"")</f>
        <v/>
      </c>
      <c r="AB1319" s="29" t="str">
        <f>IF(AA1319=1,COUNTIF($AA$2:AA1319,1),"")</f>
        <v/>
      </c>
    </row>
    <row r="1320" spans="6:28" ht="31.5" customHeight="1" x14ac:dyDescent="0.2">
      <c r="F1320" s="45" t="s">
        <v>3881</v>
      </c>
      <c r="T1320" s="41"/>
      <c r="U1320" s="29" t="str">
        <f>IF($C1320&lt;&gt;"",COUNTIF($C$2:C1320,C1320),"")</f>
        <v/>
      </c>
      <c r="V1320" s="29" t="str">
        <f t="shared" si="64"/>
        <v/>
      </c>
      <c r="W1320" s="29" t="str">
        <f>IF(U1320=1,COUNTIF($U$2:U1320,1),"")</f>
        <v/>
      </c>
      <c r="X1320" s="29" t="str">
        <f t="shared" si="65"/>
        <v/>
      </c>
      <c r="Y1320" s="29" t="str">
        <f>IF(AND(LEFT($B1320,7)="SBA 26/",$D1320&lt;&gt;"",$F1320&lt;&gt;""),COUNTIFS($D$2:$D1320,$D1320,$B$2:$B1320,"SBA 26/*",$F$2:$F1320,"&lt;&gt;"),"")</f>
        <v/>
      </c>
      <c r="Z1320" s="29" t="str">
        <f>IF(Y1320=1,COUNTIF($Y$2:Y1320,1),"")</f>
        <v/>
      </c>
      <c r="AA1320" s="29" t="str">
        <f>IF(AND(LEFT($B1320,7)="SBA 26/",$C1320&lt;&gt;"",$F1320&lt;&gt;""),COUNTIFS($C$2:$C1320,$C1320,$B$2:$B1320,"SBA 26/*",$F$2:$F1320,"&lt;&gt;"),"")</f>
        <v/>
      </c>
      <c r="AB1320" s="29" t="str">
        <f>IF(AA1320=1,COUNTIF($AA$2:AA1320,1),"")</f>
        <v/>
      </c>
    </row>
    <row r="1321" spans="6:28" ht="31.5" customHeight="1" x14ac:dyDescent="0.2">
      <c r="F1321" s="45" t="s">
        <v>3882</v>
      </c>
      <c r="T1321" s="41"/>
      <c r="U1321" s="29" t="str">
        <f>IF($C1321&lt;&gt;"",COUNTIF($C$2:C1321,C1321),"")</f>
        <v/>
      </c>
      <c r="V1321" s="29" t="str">
        <f t="shared" si="64"/>
        <v/>
      </c>
      <c r="W1321" s="29" t="str">
        <f>IF(U1321=1,COUNTIF($U$2:U1321,1),"")</f>
        <v/>
      </c>
      <c r="X1321" s="29" t="str">
        <f t="shared" si="65"/>
        <v/>
      </c>
      <c r="Y1321" s="29" t="str">
        <f>IF(AND(LEFT($B1321,7)="SBA 26/",$D1321&lt;&gt;"",$F1321&lt;&gt;""),COUNTIFS($D$2:$D1321,$D1321,$B$2:$B1321,"SBA 26/*",$F$2:$F1321,"&lt;&gt;"),"")</f>
        <v/>
      </c>
      <c r="Z1321" s="29" t="str">
        <f>IF(Y1321=1,COUNTIF($Y$2:Y1321,1),"")</f>
        <v/>
      </c>
      <c r="AA1321" s="29" t="str">
        <f>IF(AND(LEFT($B1321,7)="SBA 26/",$C1321&lt;&gt;"",$F1321&lt;&gt;""),COUNTIFS($C$2:$C1321,$C1321,$B$2:$B1321,"SBA 26/*",$F$2:$F1321,"&lt;&gt;"),"")</f>
        <v/>
      </c>
      <c r="AB1321" s="29" t="str">
        <f>IF(AA1321=1,COUNTIF($AA$2:AA1321,1),"")</f>
        <v/>
      </c>
    </row>
    <row r="1322" spans="6:28" ht="31.5" customHeight="1" x14ac:dyDescent="0.2">
      <c r="F1322" s="45" t="s">
        <v>3883</v>
      </c>
      <c r="T1322" s="41"/>
      <c r="U1322" s="29" t="str">
        <f>IF($C1322&lt;&gt;"",COUNTIF($C$2:C1322,C1322),"")</f>
        <v/>
      </c>
      <c r="V1322" s="29" t="str">
        <f t="shared" si="64"/>
        <v/>
      </c>
      <c r="W1322" s="29" t="str">
        <f>IF(U1322=1,COUNTIF($U$2:U1322,1),"")</f>
        <v/>
      </c>
      <c r="X1322" s="29" t="str">
        <f t="shared" si="65"/>
        <v/>
      </c>
      <c r="Y1322" s="29" t="str">
        <f>IF(AND(LEFT($B1322,7)="SBA 26/",$D1322&lt;&gt;"",$F1322&lt;&gt;""),COUNTIFS($D$2:$D1322,$D1322,$B$2:$B1322,"SBA 26/*",$F$2:$F1322,"&lt;&gt;"),"")</f>
        <v/>
      </c>
      <c r="Z1322" s="29" t="str">
        <f>IF(Y1322=1,COUNTIF($Y$2:Y1322,1),"")</f>
        <v/>
      </c>
      <c r="AA1322" s="29" t="str">
        <f>IF(AND(LEFT($B1322,7)="SBA 26/",$C1322&lt;&gt;"",$F1322&lt;&gt;""),COUNTIFS($C$2:$C1322,$C1322,$B$2:$B1322,"SBA 26/*",$F$2:$F1322,"&lt;&gt;"),"")</f>
        <v/>
      </c>
      <c r="AB1322" s="29" t="str">
        <f>IF(AA1322=1,COUNTIF($AA$2:AA1322,1),"")</f>
        <v/>
      </c>
    </row>
    <row r="1323" spans="6:28" ht="31.5" customHeight="1" x14ac:dyDescent="0.2">
      <c r="F1323" s="45" t="s">
        <v>3884</v>
      </c>
      <c r="T1323" s="41"/>
      <c r="U1323" s="29" t="str">
        <f>IF($C1323&lt;&gt;"",COUNTIF($C$2:C1323,C1323),"")</f>
        <v/>
      </c>
      <c r="V1323" s="29" t="str">
        <f t="shared" si="64"/>
        <v/>
      </c>
      <c r="W1323" s="29" t="str">
        <f>IF(U1323=1,COUNTIF($U$2:U1323,1),"")</f>
        <v/>
      </c>
      <c r="X1323" s="29" t="str">
        <f t="shared" si="65"/>
        <v/>
      </c>
      <c r="Y1323" s="29" t="str">
        <f>IF(AND(LEFT($B1323,7)="SBA 26/",$D1323&lt;&gt;"",$F1323&lt;&gt;""),COUNTIFS($D$2:$D1323,$D1323,$B$2:$B1323,"SBA 26/*",$F$2:$F1323,"&lt;&gt;"),"")</f>
        <v/>
      </c>
      <c r="Z1323" s="29" t="str">
        <f>IF(Y1323=1,COUNTIF($Y$2:Y1323,1),"")</f>
        <v/>
      </c>
      <c r="AA1323" s="29" t="str">
        <f>IF(AND(LEFT($B1323,7)="SBA 26/",$C1323&lt;&gt;"",$F1323&lt;&gt;""),COUNTIFS($C$2:$C1323,$C1323,$B$2:$B1323,"SBA 26/*",$F$2:$F1323,"&lt;&gt;"),"")</f>
        <v/>
      </c>
      <c r="AB1323" s="29" t="str">
        <f>IF(AA1323=1,COUNTIF($AA$2:AA1323,1),"")</f>
        <v/>
      </c>
    </row>
    <row r="1324" spans="6:28" ht="31.5" customHeight="1" x14ac:dyDescent="0.2">
      <c r="F1324" s="45" t="s">
        <v>3885</v>
      </c>
      <c r="T1324" s="41"/>
      <c r="U1324" s="29" t="str">
        <f>IF($C1324&lt;&gt;"",COUNTIF($C$2:C1324,C1324),"")</f>
        <v/>
      </c>
      <c r="V1324" s="29" t="str">
        <f t="shared" si="64"/>
        <v/>
      </c>
      <c r="W1324" s="29" t="str">
        <f>IF(U1324=1,COUNTIF($U$2:U1324,1),"")</f>
        <v/>
      </c>
      <c r="X1324" s="29" t="str">
        <f t="shared" si="65"/>
        <v/>
      </c>
      <c r="Y1324" s="29" t="str">
        <f>IF(AND(LEFT($B1324,7)="SBA 26/",$D1324&lt;&gt;"",$F1324&lt;&gt;""),COUNTIFS($D$2:$D1324,$D1324,$B$2:$B1324,"SBA 26/*",$F$2:$F1324,"&lt;&gt;"),"")</f>
        <v/>
      </c>
      <c r="Z1324" s="29" t="str">
        <f>IF(Y1324=1,COUNTIF($Y$2:Y1324,1),"")</f>
        <v/>
      </c>
      <c r="AA1324" s="29" t="str">
        <f>IF(AND(LEFT($B1324,7)="SBA 26/",$C1324&lt;&gt;"",$F1324&lt;&gt;""),COUNTIFS($C$2:$C1324,$C1324,$B$2:$B1324,"SBA 26/*",$F$2:$F1324,"&lt;&gt;"),"")</f>
        <v/>
      </c>
      <c r="AB1324" s="29" t="str">
        <f>IF(AA1324=1,COUNTIF($AA$2:AA1324,1),"")</f>
        <v/>
      </c>
    </row>
    <row r="1325" spans="6:28" ht="47.25" customHeight="1" x14ac:dyDescent="0.2">
      <c r="F1325" s="45" t="s">
        <v>3886</v>
      </c>
      <c r="T1325" s="41"/>
      <c r="U1325" s="29" t="str">
        <f>IF($C1325&lt;&gt;"",COUNTIF($C$2:C1325,C1325),"")</f>
        <v/>
      </c>
      <c r="V1325" s="29" t="str">
        <f t="shared" si="64"/>
        <v/>
      </c>
      <c r="W1325" s="29" t="str">
        <f>IF(U1325=1,COUNTIF($U$2:U1325,1),"")</f>
        <v/>
      </c>
      <c r="X1325" s="29" t="str">
        <f t="shared" si="65"/>
        <v/>
      </c>
      <c r="Y1325" s="29" t="str">
        <f>IF(AND(LEFT($B1325,7)="SBA 26/",$D1325&lt;&gt;"",$F1325&lt;&gt;""),COUNTIFS($D$2:$D1325,$D1325,$B$2:$B1325,"SBA 26/*",$F$2:$F1325,"&lt;&gt;"),"")</f>
        <v/>
      </c>
      <c r="Z1325" s="29" t="str">
        <f>IF(Y1325=1,COUNTIF($Y$2:Y1325,1),"")</f>
        <v/>
      </c>
      <c r="AA1325" s="29" t="str">
        <f>IF(AND(LEFT($B1325,7)="SBA 26/",$C1325&lt;&gt;"",$F1325&lt;&gt;""),COUNTIFS($C$2:$C1325,$C1325,$B$2:$B1325,"SBA 26/*",$F$2:$F1325,"&lt;&gt;"),"")</f>
        <v/>
      </c>
      <c r="AB1325" s="29" t="str">
        <f>IF(AA1325=1,COUNTIF($AA$2:AA1325,1),"")</f>
        <v/>
      </c>
    </row>
    <row r="1326" spans="6:28" ht="31.5" customHeight="1" x14ac:dyDescent="0.2">
      <c r="F1326" s="45" t="s">
        <v>3887</v>
      </c>
      <c r="T1326" s="41"/>
      <c r="U1326" s="29" t="str">
        <f>IF($C1326&lt;&gt;"",COUNTIF($C$2:C1326,C1326),"")</f>
        <v/>
      </c>
      <c r="V1326" s="29" t="str">
        <f t="shared" si="64"/>
        <v/>
      </c>
      <c r="W1326" s="29" t="str">
        <f>IF(U1326=1,COUNTIF($U$2:U1326,1),"")</f>
        <v/>
      </c>
      <c r="X1326" s="29" t="str">
        <f t="shared" si="65"/>
        <v/>
      </c>
      <c r="Y1326" s="29" t="str">
        <f>IF(AND(LEFT($B1326,7)="SBA 26/",$D1326&lt;&gt;"",$F1326&lt;&gt;""),COUNTIFS($D$2:$D1326,$D1326,$B$2:$B1326,"SBA 26/*",$F$2:$F1326,"&lt;&gt;"),"")</f>
        <v/>
      </c>
      <c r="Z1326" s="29" t="str">
        <f>IF(Y1326=1,COUNTIF($Y$2:Y1326,1),"")</f>
        <v/>
      </c>
      <c r="AA1326" s="29" t="str">
        <f>IF(AND(LEFT($B1326,7)="SBA 26/",$C1326&lt;&gt;"",$F1326&lt;&gt;""),COUNTIFS($C$2:$C1326,$C1326,$B$2:$B1326,"SBA 26/*",$F$2:$F1326,"&lt;&gt;"),"")</f>
        <v/>
      </c>
      <c r="AB1326" s="29" t="str">
        <f>IF(AA1326=1,COUNTIF($AA$2:AA1326,1),"")</f>
        <v/>
      </c>
    </row>
    <row r="1327" spans="6:28" ht="47.25" customHeight="1" x14ac:dyDescent="0.2">
      <c r="F1327" s="45" t="s">
        <v>3888</v>
      </c>
      <c r="T1327" s="41"/>
      <c r="U1327" s="29" t="str">
        <f>IF($C1327&lt;&gt;"",COUNTIF($C$2:C1327,C1327),"")</f>
        <v/>
      </c>
      <c r="V1327" s="29" t="str">
        <f t="shared" si="64"/>
        <v/>
      </c>
      <c r="W1327" s="29" t="str">
        <f>IF(U1327=1,COUNTIF($U$2:U1327,1),"")</f>
        <v/>
      </c>
      <c r="X1327" s="29" t="str">
        <f t="shared" si="65"/>
        <v/>
      </c>
      <c r="Y1327" s="29" t="str">
        <f>IF(AND(LEFT($B1327,7)="SBA 26/",$D1327&lt;&gt;"",$F1327&lt;&gt;""),COUNTIFS($D$2:$D1327,$D1327,$B$2:$B1327,"SBA 26/*",$F$2:$F1327,"&lt;&gt;"),"")</f>
        <v/>
      </c>
      <c r="Z1327" s="29" t="str">
        <f>IF(Y1327=1,COUNTIF($Y$2:Y1327,1),"")</f>
        <v/>
      </c>
      <c r="AA1327" s="29" t="str">
        <f>IF(AND(LEFT($B1327,7)="SBA 26/",$C1327&lt;&gt;"",$F1327&lt;&gt;""),COUNTIFS($C$2:$C1327,$C1327,$B$2:$B1327,"SBA 26/*",$F$2:$F1327,"&lt;&gt;"),"")</f>
        <v/>
      </c>
      <c r="AB1327" s="29" t="str">
        <f>IF(AA1327=1,COUNTIF($AA$2:AA1327,1),"")</f>
        <v/>
      </c>
    </row>
    <row r="1328" spans="6:28" ht="31.5" customHeight="1" x14ac:dyDescent="0.2">
      <c r="F1328" s="45" t="s">
        <v>3889</v>
      </c>
      <c r="T1328" s="41"/>
      <c r="U1328" s="29" t="str">
        <f>IF($C1328&lt;&gt;"",COUNTIF($C$2:C1328,C1328),"")</f>
        <v/>
      </c>
      <c r="V1328" s="29" t="str">
        <f t="shared" si="64"/>
        <v/>
      </c>
      <c r="W1328" s="29" t="str">
        <f>IF(U1328=1,COUNTIF($U$2:U1328,1),"")</f>
        <v/>
      </c>
      <c r="X1328" s="29" t="str">
        <f t="shared" si="65"/>
        <v/>
      </c>
      <c r="Y1328" s="29" t="str">
        <f>IF(AND(LEFT($B1328,7)="SBA 26/",$D1328&lt;&gt;"",$F1328&lt;&gt;""),COUNTIFS($D$2:$D1328,$D1328,$B$2:$B1328,"SBA 26/*",$F$2:$F1328,"&lt;&gt;"),"")</f>
        <v/>
      </c>
      <c r="Z1328" s="29" t="str">
        <f>IF(Y1328=1,COUNTIF($Y$2:Y1328,1),"")</f>
        <v/>
      </c>
      <c r="AA1328" s="29" t="str">
        <f>IF(AND(LEFT($B1328,7)="SBA 26/",$C1328&lt;&gt;"",$F1328&lt;&gt;""),COUNTIFS($C$2:$C1328,$C1328,$B$2:$B1328,"SBA 26/*",$F$2:$F1328,"&lt;&gt;"),"")</f>
        <v/>
      </c>
      <c r="AB1328" s="29" t="str">
        <f>IF(AA1328=1,COUNTIF($AA$2:AA1328,1),"")</f>
        <v/>
      </c>
    </row>
    <row r="1329" spans="6:28" ht="47.25" customHeight="1" x14ac:dyDescent="0.2">
      <c r="F1329" s="45" t="s">
        <v>3890</v>
      </c>
      <c r="T1329" s="41"/>
      <c r="U1329" s="29" t="str">
        <f>IF($C1329&lt;&gt;"",COUNTIF($C$2:C1329,C1329),"")</f>
        <v/>
      </c>
      <c r="V1329" s="29" t="str">
        <f t="shared" si="64"/>
        <v/>
      </c>
      <c r="W1329" s="29" t="str">
        <f>IF(U1329=1,COUNTIF($U$2:U1329,1),"")</f>
        <v/>
      </c>
      <c r="X1329" s="29" t="str">
        <f t="shared" si="65"/>
        <v/>
      </c>
      <c r="Y1329" s="29" t="str">
        <f>IF(AND(LEFT($B1329,7)="SBA 26/",$D1329&lt;&gt;"",$F1329&lt;&gt;""),COUNTIFS($D$2:$D1329,$D1329,$B$2:$B1329,"SBA 26/*",$F$2:$F1329,"&lt;&gt;"),"")</f>
        <v/>
      </c>
      <c r="Z1329" s="29" t="str">
        <f>IF(Y1329=1,COUNTIF($Y$2:Y1329,1),"")</f>
        <v/>
      </c>
      <c r="AA1329" s="29" t="str">
        <f>IF(AND(LEFT($B1329,7)="SBA 26/",$C1329&lt;&gt;"",$F1329&lt;&gt;""),COUNTIFS($C$2:$C1329,$C1329,$B$2:$B1329,"SBA 26/*",$F$2:$F1329,"&lt;&gt;"),"")</f>
        <v/>
      </c>
      <c r="AB1329" s="29" t="str">
        <f>IF(AA1329=1,COUNTIF($AA$2:AA1329,1),"")</f>
        <v/>
      </c>
    </row>
    <row r="1330" spans="6:28" ht="47.25" customHeight="1" x14ac:dyDescent="0.2">
      <c r="F1330" s="45" t="s">
        <v>3891</v>
      </c>
      <c r="T1330" s="41"/>
      <c r="U1330" s="29" t="str">
        <f>IF($C1330&lt;&gt;"",COUNTIF($C$2:C1330,C1330),"")</f>
        <v/>
      </c>
      <c r="V1330" s="29" t="str">
        <f t="shared" si="64"/>
        <v/>
      </c>
      <c r="W1330" s="29" t="str">
        <f>IF(U1330=1,COUNTIF($U$2:U1330,1),"")</f>
        <v/>
      </c>
      <c r="X1330" s="29" t="str">
        <f t="shared" si="65"/>
        <v/>
      </c>
      <c r="Y1330" s="29" t="str">
        <f>IF(AND(LEFT($B1330,7)="SBA 26/",$D1330&lt;&gt;"",$F1330&lt;&gt;""),COUNTIFS($D$2:$D1330,$D1330,$B$2:$B1330,"SBA 26/*",$F$2:$F1330,"&lt;&gt;"),"")</f>
        <v/>
      </c>
      <c r="Z1330" s="29" t="str">
        <f>IF(Y1330=1,COUNTIF($Y$2:Y1330,1),"")</f>
        <v/>
      </c>
      <c r="AA1330" s="29" t="str">
        <f>IF(AND(LEFT($B1330,7)="SBA 26/",$C1330&lt;&gt;"",$F1330&lt;&gt;""),COUNTIFS($C$2:$C1330,$C1330,$B$2:$B1330,"SBA 26/*",$F$2:$F1330,"&lt;&gt;"),"")</f>
        <v/>
      </c>
      <c r="AB1330" s="29" t="str">
        <f>IF(AA1330=1,COUNTIF($AA$2:AA1330,1),"")</f>
        <v/>
      </c>
    </row>
    <row r="1331" spans="6:28" ht="47.25" customHeight="1" x14ac:dyDescent="0.2">
      <c r="F1331" s="45" t="s">
        <v>3892</v>
      </c>
      <c r="T1331" s="41"/>
      <c r="U1331" s="29" t="str">
        <f>IF($C1331&lt;&gt;"",COUNTIF($C$2:C1331,C1331),"")</f>
        <v/>
      </c>
      <c r="V1331" s="29" t="str">
        <f t="shared" si="64"/>
        <v/>
      </c>
      <c r="W1331" s="29" t="str">
        <f>IF(U1331=1,COUNTIF($U$2:U1331,1),"")</f>
        <v/>
      </c>
      <c r="X1331" s="29" t="str">
        <f t="shared" si="65"/>
        <v/>
      </c>
      <c r="Y1331" s="29" t="str">
        <f>IF(AND(LEFT($B1331,7)="SBA 26/",$D1331&lt;&gt;"",$F1331&lt;&gt;""),COUNTIFS($D$2:$D1331,$D1331,$B$2:$B1331,"SBA 26/*",$F$2:$F1331,"&lt;&gt;"),"")</f>
        <v/>
      </c>
      <c r="Z1331" s="29" t="str">
        <f>IF(Y1331=1,COUNTIF($Y$2:Y1331,1),"")</f>
        <v/>
      </c>
      <c r="AA1331" s="29" t="str">
        <f>IF(AND(LEFT($B1331,7)="SBA 26/",$C1331&lt;&gt;"",$F1331&lt;&gt;""),COUNTIFS($C$2:$C1331,$C1331,$B$2:$B1331,"SBA 26/*",$F$2:$F1331,"&lt;&gt;"),"")</f>
        <v/>
      </c>
      <c r="AB1331" s="29" t="str">
        <f>IF(AA1331=1,COUNTIF($AA$2:AA1331,1),"")</f>
        <v/>
      </c>
    </row>
    <row r="1332" spans="6:28" ht="31.5" customHeight="1" x14ac:dyDescent="0.2">
      <c r="F1332" s="45" t="s">
        <v>3893</v>
      </c>
      <c r="T1332" s="41"/>
      <c r="U1332" s="29" t="str">
        <f>IF($C1332&lt;&gt;"",COUNTIF($C$2:C1332,C1332),"")</f>
        <v/>
      </c>
      <c r="V1332" s="29" t="str">
        <f t="shared" si="64"/>
        <v/>
      </c>
      <c r="W1332" s="29" t="str">
        <f>IF(U1332=1,COUNTIF($U$2:U1332,1),"")</f>
        <v/>
      </c>
      <c r="X1332" s="29" t="str">
        <f t="shared" si="65"/>
        <v/>
      </c>
      <c r="Y1332" s="29" t="str">
        <f>IF(AND(LEFT($B1332,7)="SBA 26/",$D1332&lt;&gt;"",$F1332&lt;&gt;""),COUNTIFS($D$2:$D1332,$D1332,$B$2:$B1332,"SBA 26/*",$F$2:$F1332,"&lt;&gt;"),"")</f>
        <v/>
      </c>
      <c r="Z1332" s="29" t="str">
        <f>IF(Y1332=1,COUNTIF($Y$2:Y1332,1),"")</f>
        <v/>
      </c>
      <c r="AA1332" s="29" t="str">
        <f>IF(AND(LEFT($B1332,7)="SBA 26/",$C1332&lt;&gt;"",$F1332&lt;&gt;""),COUNTIFS($C$2:$C1332,$C1332,$B$2:$B1332,"SBA 26/*",$F$2:$F1332,"&lt;&gt;"),"")</f>
        <v/>
      </c>
      <c r="AB1332" s="29" t="str">
        <f>IF(AA1332=1,COUNTIF($AA$2:AA1332,1),"")</f>
        <v/>
      </c>
    </row>
    <row r="1333" spans="6:28" ht="31.5" customHeight="1" x14ac:dyDescent="0.2">
      <c r="F1333" s="45" t="s">
        <v>3894</v>
      </c>
      <c r="T1333" s="41"/>
      <c r="U1333" s="29" t="str">
        <f>IF($C1333&lt;&gt;"",COUNTIF($C$2:C1333,C1333),"")</f>
        <v/>
      </c>
      <c r="V1333" s="29" t="str">
        <f t="shared" si="64"/>
        <v/>
      </c>
      <c r="W1333" s="29" t="str">
        <f>IF(U1333=1,COUNTIF($U$2:U1333,1),"")</f>
        <v/>
      </c>
      <c r="X1333" s="29" t="str">
        <f t="shared" si="65"/>
        <v/>
      </c>
      <c r="Y1333" s="29" t="str">
        <f>IF(AND(LEFT($B1333,7)="SBA 26/",$D1333&lt;&gt;"",$F1333&lt;&gt;""),COUNTIFS($D$2:$D1333,$D1333,$B$2:$B1333,"SBA 26/*",$F$2:$F1333,"&lt;&gt;"),"")</f>
        <v/>
      </c>
      <c r="Z1333" s="29" t="str">
        <f>IF(Y1333=1,COUNTIF($Y$2:Y1333,1),"")</f>
        <v/>
      </c>
      <c r="AA1333" s="29" t="str">
        <f>IF(AND(LEFT($B1333,7)="SBA 26/",$C1333&lt;&gt;"",$F1333&lt;&gt;""),COUNTIFS($C$2:$C1333,$C1333,$B$2:$B1333,"SBA 26/*",$F$2:$F1333,"&lt;&gt;"),"")</f>
        <v/>
      </c>
      <c r="AB1333" s="29" t="str">
        <f>IF(AA1333=1,COUNTIF($AA$2:AA1333,1),"")</f>
        <v/>
      </c>
    </row>
    <row r="1334" spans="6:28" ht="47.25" customHeight="1" x14ac:dyDescent="0.2">
      <c r="F1334" s="45" t="s">
        <v>3895</v>
      </c>
      <c r="T1334" s="41"/>
      <c r="U1334" s="29" t="str">
        <f>IF($C1334&lt;&gt;"",COUNTIF($C$2:C1334,C1334),"")</f>
        <v/>
      </c>
      <c r="V1334" s="29" t="str">
        <f t="shared" si="64"/>
        <v/>
      </c>
      <c r="W1334" s="29" t="str">
        <f>IF(U1334=1,COUNTIF($U$2:U1334,1),"")</f>
        <v/>
      </c>
      <c r="X1334" s="29" t="str">
        <f t="shared" si="65"/>
        <v/>
      </c>
      <c r="Y1334" s="29" t="str">
        <f>IF(AND(LEFT($B1334,7)="SBA 26/",$D1334&lt;&gt;"",$F1334&lt;&gt;""),COUNTIFS($D$2:$D1334,$D1334,$B$2:$B1334,"SBA 26/*",$F$2:$F1334,"&lt;&gt;"),"")</f>
        <v/>
      </c>
      <c r="Z1334" s="29" t="str">
        <f>IF(Y1334=1,COUNTIF($Y$2:Y1334,1),"")</f>
        <v/>
      </c>
      <c r="AA1334" s="29" t="str">
        <f>IF(AND(LEFT($B1334,7)="SBA 26/",$C1334&lt;&gt;"",$F1334&lt;&gt;""),COUNTIFS($C$2:$C1334,$C1334,$B$2:$B1334,"SBA 26/*",$F$2:$F1334,"&lt;&gt;"),"")</f>
        <v/>
      </c>
      <c r="AB1334" s="29" t="str">
        <f>IF(AA1334=1,COUNTIF($AA$2:AA1334,1),"")</f>
        <v/>
      </c>
    </row>
    <row r="1335" spans="6:28" ht="31.5" customHeight="1" x14ac:dyDescent="0.2">
      <c r="F1335" s="45" t="s">
        <v>3896</v>
      </c>
      <c r="T1335" s="41"/>
      <c r="U1335" s="29" t="str">
        <f>IF($C1335&lt;&gt;"",COUNTIF($C$2:C1335,C1335),"")</f>
        <v/>
      </c>
      <c r="V1335" s="29" t="str">
        <f t="shared" si="64"/>
        <v/>
      </c>
      <c r="W1335" s="29" t="str">
        <f>IF(U1335=1,COUNTIF($U$2:U1335,1),"")</f>
        <v/>
      </c>
      <c r="X1335" s="29" t="str">
        <f t="shared" si="65"/>
        <v/>
      </c>
      <c r="Y1335" s="29" t="str">
        <f>IF(AND(LEFT($B1335,7)="SBA 26/",$D1335&lt;&gt;"",$F1335&lt;&gt;""),COUNTIFS($D$2:$D1335,$D1335,$B$2:$B1335,"SBA 26/*",$F$2:$F1335,"&lt;&gt;"),"")</f>
        <v/>
      </c>
      <c r="Z1335" s="29" t="str">
        <f>IF(Y1335=1,COUNTIF($Y$2:Y1335,1),"")</f>
        <v/>
      </c>
      <c r="AA1335" s="29" t="str">
        <f>IF(AND(LEFT($B1335,7)="SBA 26/",$C1335&lt;&gt;"",$F1335&lt;&gt;""),COUNTIFS($C$2:$C1335,$C1335,$B$2:$B1335,"SBA 26/*",$F$2:$F1335,"&lt;&gt;"),"")</f>
        <v/>
      </c>
      <c r="AB1335" s="29" t="str">
        <f>IF(AA1335=1,COUNTIF($AA$2:AA1335,1),"")</f>
        <v/>
      </c>
    </row>
    <row r="1336" spans="6:28" ht="31.5" customHeight="1" x14ac:dyDescent="0.2">
      <c r="F1336" s="45" t="s">
        <v>3897</v>
      </c>
      <c r="T1336" s="41"/>
      <c r="U1336" s="29" t="str">
        <f>IF($C1336&lt;&gt;"",COUNTIF($C$2:C1336,C1336),"")</f>
        <v/>
      </c>
      <c r="V1336" s="29" t="str">
        <f t="shared" si="64"/>
        <v/>
      </c>
      <c r="W1336" s="29" t="str">
        <f>IF(U1336=1,COUNTIF($U$2:U1336,1),"")</f>
        <v/>
      </c>
      <c r="X1336" s="29" t="str">
        <f t="shared" si="65"/>
        <v/>
      </c>
      <c r="Y1336" s="29" t="str">
        <f>IF(AND(LEFT($B1336,7)="SBA 26/",$D1336&lt;&gt;"",$F1336&lt;&gt;""),COUNTIFS($D$2:$D1336,$D1336,$B$2:$B1336,"SBA 26/*",$F$2:$F1336,"&lt;&gt;"),"")</f>
        <v/>
      </c>
      <c r="Z1336" s="29" t="str">
        <f>IF(Y1336=1,COUNTIF($Y$2:Y1336,1),"")</f>
        <v/>
      </c>
      <c r="AA1336" s="29" t="str">
        <f>IF(AND(LEFT($B1336,7)="SBA 26/",$C1336&lt;&gt;"",$F1336&lt;&gt;""),COUNTIFS($C$2:$C1336,$C1336,$B$2:$B1336,"SBA 26/*",$F$2:$F1336,"&lt;&gt;"),"")</f>
        <v/>
      </c>
      <c r="AB1336" s="29" t="str">
        <f>IF(AA1336=1,COUNTIF($AA$2:AA1336,1),"")</f>
        <v/>
      </c>
    </row>
    <row r="1337" spans="6:28" ht="78.75" customHeight="1" x14ac:dyDescent="0.2">
      <c r="F1337" s="45" t="s">
        <v>3898</v>
      </c>
      <c r="T1337" s="41"/>
      <c r="U1337" s="29" t="str">
        <f>IF($C1337&lt;&gt;"",COUNTIF($C$2:C1337,C1337),"")</f>
        <v/>
      </c>
      <c r="V1337" s="29" t="str">
        <f t="shared" si="64"/>
        <v/>
      </c>
      <c r="W1337" s="29" t="str">
        <f>IF(U1337=1,COUNTIF($U$2:U1337,1),"")</f>
        <v/>
      </c>
      <c r="X1337" s="29" t="str">
        <f t="shared" si="65"/>
        <v/>
      </c>
      <c r="Y1337" s="29" t="str">
        <f>IF(AND(LEFT($B1337,7)="SBA 26/",$D1337&lt;&gt;"",$F1337&lt;&gt;""),COUNTIFS($D$2:$D1337,$D1337,$B$2:$B1337,"SBA 26/*",$F$2:$F1337,"&lt;&gt;"),"")</f>
        <v/>
      </c>
      <c r="Z1337" s="29" t="str">
        <f>IF(Y1337=1,COUNTIF($Y$2:Y1337,1),"")</f>
        <v/>
      </c>
      <c r="AA1337" s="29" t="str">
        <f>IF(AND(LEFT($B1337,7)="SBA 26/",$C1337&lt;&gt;"",$F1337&lt;&gt;""),COUNTIFS($C$2:$C1337,$C1337,$B$2:$B1337,"SBA 26/*",$F$2:$F1337,"&lt;&gt;"),"")</f>
        <v/>
      </c>
      <c r="AB1337" s="29" t="str">
        <f>IF(AA1337=1,COUNTIF($AA$2:AA1337,1),"")</f>
        <v/>
      </c>
    </row>
    <row r="1338" spans="6:28" ht="47.25" customHeight="1" x14ac:dyDescent="0.2">
      <c r="F1338" s="45" t="s">
        <v>3899</v>
      </c>
      <c r="T1338" s="41"/>
      <c r="U1338" s="29" t="str">
        <f>IF($C1338&lt;&gt;"",COUNTIF($C$2:C1338,C1338),"")</f>
        <v/>
      </c>
      <c r="V1338" s="29" t="str">
        <f t="shared" si="64"/>
        <v/>
      </c>
      <c r="W1338" s="29" t="str">
        <f>IF(U1338=1,COUNTIF($U$2:U1338,1),"")</f>
        <v/>
      </c>
      <c r="X1338" s="29" t="str">
        <f t="shared" si="65"/>
        <v/>
      </c>
      <c r="Y1338" s="29" t="str">
        <f>IF(AND(LEFT($B1338,7)="SBA 26/",$D1338&lt;&gt;"",$F1338&lt;&gt;""),COUNTIFS($D$2:$D1338,$D1338,$B$2:$B1338,"SBA 26/*",$F$2:$F1338,"&lt;&gt;"),"")</f>
        <v/>
      </c>
      <c r="Z1338" s="29" t="str">
        <f>IF(Y1338=1,COUNTIF($Y$2:Y1338,1),"")</f>
        <v/>
      </c>
      <c r="AA1338" s="29" t="str">
        <f>IF(AND(LEFT($B1338,7)="SBA 26/",$C1338&lt;&gt;"",$F1338&lt;&gt;""),COUNTIFS($C$2:$C1338,$C1338,$B$2:$B1338,"SBA 26/*",$F$2:$F1338,"&lt;&gt;"),"")</f>
        <v/>
      </c>
      <c r="AB1338" s="29" t="str">
        <f>IF(AA1338=1,COUNTIF($AA$2:AA1338,1),"")</f>
        <v/>
      </c>
    </row>
    <row r="1339" spans="6:28" ht="47.25" customHeight="1" x14ac:dyDescent="0.2">
      <c r="F1339" s="45" t="s">
        <v>3900</v>
      </c>
      <c r="T1339" s="41"/>
      <c r="U1339" s="29" t="str">
        <f>IF($C1339&lt;&gt;"",COUNTIF($C$2:C1339,C1339),"")</f>
        <v/>
      </c>
      <c r="V1339" s="29" t="str">
        <f t="shared" si="64"/>
        <v/>
      </c>
      <c r="W1339" s="29" t="str">
        <f>IF(U1339=1,COUNTIF($U$2:U1339,1),"")</f>
        <v/>
      </c>
      <c r="X1339" s="29" t="str">
        <f t="shared" si="65"/>
        <v/>
      </c>
      <c r="Y1339" s="29" t="str">
        <f>IF(AND(LEFT($B1339,7)="SBA 26/",$D1339&lt;&gt;"",$F1339&lt;&gt;""),COUNTIFS($D$2:$D1339,$D1339,$B$2:$B1339,"SBA 26/*",$F$2:$F1339,"&lt;&gt;"),"")</f>
        <v/>
      </c>
      <c r="Z1339" s="29" t="str">
        <f>IF(Y1339=1,COUNTIF($Y$2:Y1339,1),"")</f>
        <v/>
      </c>
      <c r="AA1339" s="29" t="str">
        <f>IF(AND(LEFT($B1339,7)="SBA 26/",$C1339&lt;&gt;"",$F1339&lt;&gt;""),COUNTIFS($C$2:$C1339,$C1339,$B$2:$B1339,"SBA 26/*",$F$2:$F1339,"&lt;&gt;"),"")</f>
        <v/>
      </c>
      <c r="AB1339" s="29" t="str">
        <f>IF(AA1339=1,COUNTIF($AA$2:AA1339,1),"")</f>
        <v/>
      </c>
    </row>
    <row r="1340" spans="6:28" ht="31.5" customHeight="1" x14ac:dyDescent="0.2">
      <c r="F1340" s="45" t="s">
        <v>3901</v>
      </c>
      <c r="T1340" s="41"/>
      <c r="U1340" s="29" t="str">
        <f>IF($C1340&lt;&gt;"",COUNTIF($C$2:C1340,C1340),"")</f>
        <v/>
      </c>
      <c r="V1340" s="29" t="str">
        <f t="shared" si="64"/>
        <v/>
      </c>
      <c r="W1340" s="29" t="str">
        <f>IF(U1340=1,COUNTIF($U$2:U1340,1),"")</f>
        <v/>
      </c>
      <c r="X1340" s="29" t="str">
        <f t="shared" si="65"/>
        <v/>
      </c>
      <c r="Y1340" s="29" t="str">
        <f>IF(AND(LEFT($B1340,7)="SBA 26/",$D1340&lt;&gt;"",$F1340&lt;&gt;""),COUNTIFS($D$2:$D1340,$D1340,$B$2:$B1340,"SBA 26/*",$F$2:$F1340,"&lt;&gt;"),"")</f>
        <v/>
      </c>
      <c r="Z1340" s="29" t="str">
        <f>IF(Y1340=1,COUNTIF($Y$2:Y1340,1),"")</f>
        <v/>
      </c>
      <c r="AA1340" s="29" t="str">
        <f>IF(AND(LEFT($B1340,7)="SBA 26/",$C1340&lt;&gt;"",$F1340&lt;&gt;""),COUNTIFS($C$2:$C1340,$C1340,$B$2:$B1340,"SBA 26/*",$F$2:$F1340,"&lt;&gt;"),"")</f>
        <v/>
      </c>
      <c r="AB1340" s="29" t="str">
        <f>IF(AA1340=1,COUNTIF($AA$2:AA1340,1),"")</f>
        <v/>
      </c>
    </row>
    <row r="1341" spans="6:28" ht="63" customHeight="1" x14ac:dyDescent="0.2">
      <c r="F1341" s="45" t="s">
        <v>3902</v>
      </c>
      <c r="T1341" s="41"/>
      <c r="U1341" s="29" t="str">
        <f>IF($C1341&lt;&gt;"",COUNTIF($C$2:C1341,C1341),"")</f>
        <v/>
      </c>
      <c r="V1341" s="29" t="str">
        <f t="shared" si="64"/>
        <v/>
      </c>
      <c r="W1341" s="29" t="str">
        <f>IF(U1341=1,COUNTIF($U$2:U1341,1),"")</f>
        <v/>
      </c>
      <c r="X1341" s="29" t="str">
        <f t="shared" si="65"/>
        <v/>
      </c>
      <c r="Y1341" s="29" t="str">
        <f>IF(AND(LEFT($B1341,7)="SBA 26/",$D1341&lt;&gt;"",$F1341&lt;&gt;""),COUNTIFS($D$2:$D1341,$D1341,$B$2:$B1341,"SBA 26/*",$F$2:$F1341,"&lt;&gt;"),"")</f>
        <v/>
      </c>
      <c r="Z1341" s="29" t="str">
        <f>IF(Y1341=1,COUNTIF($Y$2:Y1341,1),"")</f>
        <v/>
      </c>
      <c r="AA1341" s="29" t="str">
        <f>IF(AND(LEFT($B1341,7)="SBA 26/",$C1341&lt;&gt;"",$F1341&lt;&gt;""),COUNTIFS($C$2:$C1341,$C1341,$B$2:$B1341,"SBA 26/*",$F$2:$F1341,"&lt;&gt;"),"")</f>
        <v/>
      </c>
      <c r="AB1341" s="29" t="str">
        <f>IF(AA1341=1,COUNTIF($AA$2:AA1341,1),"")</f>
        <v/>
      </c>
    </row>
    <row r="1342" spans="6:28" ht="47.25" customHeight="1" x14ac:dyDescent="0.2">
      <c r="F1342" s="45" t="s">
        <v>3903</v>
      </c>
      <c r="T1342" s="41"/>
      <c r="U1342" s="29" t="str">
        <f>IF($C1342&lt;&gt;"",COUNTIF($C$2:C1342,C1342),"")</f>
        <v/>
      </c>
      <c r="V1342" s="29" t="str">
        <f t="shared" si="64"/>
        <v/>
      </c>
      <c r="W1342" s="29" t="str">
        <f>IF(U1342=1,COUNTIF($U$2:U1342,1),"")</f>
        <v/>
      </c>
      <c r="X1342" s="29" t="str">
        <f t="shared" si="65"/>
        <v/>
      </c>
      <c r="Y1342" s="29" t="str">
        <f>IF(AND(LEFT($B1342,7)="SBA 26/",$D1342&lt;&gt;"",$F1342&lt;&gt;""),COUNTIFS($D$2:$D1342,$D1342,$B$2:$B1342,"SBA 26/*",$F$2:$F1342,"&lt;&gt;"),"")</f>
        <v/>
      </c>
      <c r="Z1342" s="29" t="str">
        <f>IF(Y1342=1,COUNTIF($Y$2:Y1342,1),"")</f>
        <v/>
      </c>
      <c r="AA1342" s="29" t="str">
        <f>IF(AND(LEFT($B1342,7)="SBA 26/",$C1342&lt;&gt;"",$F1342&lt;&gt;""),COUNTIFS($C$2:$C1342,$C1342,$B$2:$B1342,"SBA 26/*",$F$2:$F1342,"&lt;&gt;"),"")</f>
        <v/>
      </c>
      <c r="AB1342" s="29" t="str">
        <f>IF(AA1342=1,COUNTIF($AA$2:AA1342,1),"")</f>
        <v/>
      </c>
    </row>
    <row r="1343" spans="6:28" ht="47.25" customHeight="1" x14ac:dyDescent="0.2">
      <c r="F1343" s="45" t="s">
        <v>3904</v>
      </c>
      <c r="T1343" s="41"/>
      <c r="U1343" s="29" t="str">
        <f>IF($C1343&lt;&gt;"",COUNTIF($C$2:C1343,C1343),"")</f>
        <v/>
      </c>
      <c r="V1343" s="29" t="str">
        <f t="shared" si="64"/>
        <v/>
      </c>
      <c r="W1343" s="29" t="str">
        <f>IF(U1343=1,COUNTIF($U$2:U1343,1),"")</f>
        <v/>
      </c>
      <c r="X1343" s="29" t="str">
        <f t="shared" si="65"/>
        <v/>
      </c>
      <c r="Y1343" s="29" t="str">
        <f>IF(AND(LEFT($B1343,7)="SBA 26/",$D1343&lt;&gt;"",$F1343&lt;&gt;""),COUNTIFS($D$2:$D1343,$D1343,$B$2:$B1343,"SBA 26/*",$F$2:$F1343,"&lt;&gt;"),"")</f>
        <v/>
      </c>
      <c r="Z1343" s="29" t="str">
        <f>IF(Y1343=1,COUNTIF($Y$2:Y1343,1),"")</f>
        <v/>
      </c>
      <c r="AA1343" s="29" t="str">
        <f>IF(AND(LEFT($B1343,7)="SBA 26/",$C1343&lt;&gt;"",$F1343&lt;&gt;""),COUNTIFS($C$2:$C1343,$C1343,$B$2:$B1343,"SBA 26/*",$F$2:$F1343,"&lt;&gt;"),"")</f>
        <v/>
      </c>
      <c r="AB1343" s="29" t="str">
        <f>IF(AA1343=1,COUNTIF($AA$2:AA1343,1),"")</f>
        <v/>
      </c>
    </row>
    <row r="1344" spans="6:28" ht="47.25" customHeight="1" x14ac:dyDescent="0.2">
      <c r="F1344" s="45" t="s">
        <v>3905</v>
      </c>
      <c r="T1344" s="41"/>
      <c r="U1344" s="29" t="str">
        <f>IF($C1344&lt;&gt;"",COUNTIF($C$2:C1344,C1344),"")</f>
        <v/>
      </c>
      <c r="V1344" s="29" t="str">
        <f t="shared" si="64"/>
        <v/>
      </c>
      <c r="W1344" s="29" t="str">
        <f>IF(U1344=1,COUNTIF($U$2:U1344,1),"")</f>
        <v/>
      </c>
      <c r="X1344" s="29" t="str">
        <f t="shared" si="65"/>
        <v/>
      </c>
      <c r="Y1344" s="29" t="str">
        <f>IF(AND(LEFT($B1344,7)="SBA 26/",$D1344&lt;&gt;"",$F1344&lt;&gt;""),COUNTIFS($D$2:$D1344,$D1344,$B$2:$B1344,"SBA 26/*",$F$2:$F1344,"&lt;&gt;"),"")</f>
        <v/>
      </c>
      <c r="Z1344" s="29" t="str">
        <f>IF(Y1344=1,COUNTIF($Y$2:Y1344,1),"")</f>
        <v/>
      </c>
      <c r="AA1344" s="29" t="str">
        <f>IF(AND(LEFT($B1344,7)="SBA 26/",$C1344&lt;&gt;"",$F1344&lt;&gt;""),COUNTIFS($C$2:$C1344,$C1344,$B$2:$B1344,"SBA 26/*",$F$2:$F1344,"&lt;&gt;"),"")</f>
        <v/>
      </c>
      <c r="AB1344" s="29" t="str">
        <f>IF(AA1344=1,COUNTIF($AA$2:AA1344,1),"")</f>
        <v/>
      </c>
    </row>
    <row r="1345" spans="6:28" ht="31.5" customHeight="1" x14ac:dyDescent="0.2">
      <c r="F1345" s="45" t="s">
        <v>3906</v>
      </c>
      <c r="T1345" s="41"/>
      <c r="U1345" s="29" t="str">
        <f>IF($C1345&lt;&gt;"",COUNTIF($C$2:C1345,C1345),"")</f>
        <v/>
      </c>
      <c r="V1345" s="29" t="str">
        <f t="shared" si="64"/>
        <v/>
      </c>
      <c r="W1345" s="29" t="str">
        <f>IF(U1345=1,COUNTIF($U$2:U1345,1),"")</f>
        <v/>
      </c>
      <c r="X1345" s="29" t="str">
        <f t="shared" si="65"/>
        <v/>
      </c>
      <c r="Y1345" s="29" t="str">
        <f>IF(AND(LEFT($B1345,7)="SBA 26/",$D1345&lt;&gt;"",$F1345&lt;&gt;""),COUNTIFS($D$2:$D1345,$D1345,$B$2:$B1345,"SBA 26/*",$F$2:$F1345,"&lt;&gt;"),"")</f>
        <v/>
      </c>
      <c r="Z1345" s="29" t="str">
        <f>IF(Y1345=1,COUNTIF($Y$2:Y1345,1),"")</f>
        <v/>
      </c>
      <c r="AA1345" s="29" t="str">
        <f>IF(AND(LEFT($B1345,7)="SBA 26/",$C1345&lt;&gt;"",$F1345&lt;&gt;""),COUNTIFS($C$2:$C1345,$C1345,$B$2:$B1345,"SBA 26/*",$F$2:$F1345,"&lt;&gt;"),"")</f>
        <v/>
      </c>
      <c r="AB1345" s="29" t="str">
        <f>IF(AA1345=1,COUNTIF($AA$2:AA1345,1),"")</f>
        <v/>
      </c>
    </row>
    <row r="1346" spans="6:28" ht="31.5" customHeight="1" x14ac:dyDescent="0.2">
      <c r="F1346" s="45" t="s">
        <v>3907</v>
      </c>
      <c r="T1346" s="41"/>
      <c r="U1346" s="29" t="str">
        <f>IF($C1346&lt;&gt;"",COUNTIF($C$2:C1346,C1346),"")</f>
        <v/>
      </c>
      <c r="V1346" s="29" t="str">
        <f t="shared" ref="V1346:V1409" si="66">IF($C1346&lt;&gt;"",C1346&amp;"§"&amp;U1346,"")</f>
        <v/>
      </c>
      <c r="W1346" s="29" t="str">
        <f>IF(U1346=1,COUNTIF($U$2:U1346,1),"")</f>
        <v/>
      </c>
      <c r="X1346" s="29" t="str">
        <f t="shared" ref="X1346:X1409" si="67">IF(U1346=1,SUMPRODUCT(($U$2:$U$1799=1)*($C$2:$C$1799&lt;C1346))+1,"")</f>
        <v/>
      </c>
      <c r="Y1346" s="29" t="str">
        <f>IF(AND(LEFT($B1346,7)="SBA 26/",$D1346&lt;&gt;"",$F1346&lt;&gt;""),COUNTIFS($D$2:$D1346,$D1346,$B$2:$B1346,"SBA 26/*",$F$2:$F1346,"&lt;&gt;"),"")</f>
        <v/>
      </c>
      <c r="Z1346" s="29" t="str">
        <f>IF(Y1346=1,COUNTIF($Y$2:Y1346,1),"")</f>
        <v/>
      </c>
      <c r="AA1346" s="29" t="str">
        <f>IF(AND(LEFT($B1346,7)="SBA 26/",$C1346&lt;&gt;"",$F1346&lt;&gt;""),COUNTIFS($C$2:$C1346,$C1346,$B$2:$B1346,"SBA 26/*",$F$2:$F1346,"&lt;&gt;"),"")</f>
        <v/>
      </c>
      <c r="AB1346" s="29" t="str">
        <f>IF(AA1346=1,COUNTIF($AA$2:AA1346,1),"")</f>
        <v/>
      </c>
    </row>
    <row r="1347" spans="6:28" ht="47.25" customHeight="1" x14ac:dyDescent="0.2">
      <c r="F1347" s="45" t="s">
        <v>3908</v>
      </c>
      <c r="T1347" s="41"/>
      <c r="U1347" s="29" t="str">
        <f>IF($C1347&lt;&gt;"",COUNTIF($C$2:C1347,C1347),"")</f>
        <v/>
      </c>
      <c r="V1347" s="29" t="str">
        <f t="shared" si="66"/>
        <v/>
      </c>
      <c r="W1347" s="29" t="str">
        <f>IF(U1347=1,COUNTIF($U$2:U1347,1),"")</f>
        <v/>
      </c>
      <c r="X1347" s="29" t="str">
        <f t="shared" si="67"/>
        <v/>
      </c>
      <c r="Y1347" s="29" t="str">
        <f>IF(AND(LEFT($B1347,7)="SBA 26/",$D1347&lt;&gt;"",$F1347&lt;&gt;""),COUNTIFS($D$2:$D1347,$D1347,$B$2:$B1347,"SBA 26/*",$F$2:$F1347,"&lt;&gt;"),"")</f>
        <v/>
      </c>
      <c r="Z1347" s="29" t="str">
        <f>IF(Y1347=1,COUNTIF($Y$2:Y1347,1),"")</f>
        <v/>
      </c>
      <c r="AA1347" s="29" t="str">
        <f>IF(AND(LEFT($B1347,7)="SBA 26/",$C1347&lt;&gt;"",$F1347&lt;&gt;""),COUNTIFS($C$2:$C1347,$C1347,$B$2:$B1347,"SBA 26/*",$F$2:$F1347,"&lt;&gt;"),"")</f>
        <v/>
      </c>
      <c r="AB1347" s="29" t="str">
        <f>IF(AA1347=1,COUNTIF($AA$2:AA1347,1),"")</f>
        <v/>
      </c>
    </row>
    <row r="1348" spans="6:28" ht="47.25" customHeight="1" x14ac:dyDescent="0.2">
      <c r="F1348" s="45" t="s">
        <v>3909</v>
      </c>
      <c r="T1348" s="41"/>
      <c r="U1348" s="29" t="str">
        <f>IF($C1348&lt;&gt;"",COUNTIF($C$2:C1348,C1348),"")</f>
        <v/>
      </c>
      <c r="V1348" s="29" t="str">
        <f t="shared" si="66"/>
        <v/>
      </c>
      <c r="W1348" s="29" t="str">
        <f>IF(U1348=1,COUNTIF($U$2:U1348,1),"")</f>
        <v/>
      </c>
      <c r="X1348" s="29" t="str">
        <f t="shared" si="67"/>
        <v/>
      </c>
      <c r="Y1348" s="29" t="str">
        <f>IF(AND(LEFT($B1348,7)="SBA 26/",$D1348&lt;&gt;"",$F1348&lt;&gt;""),COUNTIFS($D$2:$D1348,$D1348,$B$2:$B1348,"SBA 26/*",$F$2:$F1348,"&lt;&gt;"),"")</f>
        <v/>
      </c>
      <c r="Z1348" s="29" t="str">
        <f>IF(Y1348=1,COUNTIF($Y$2:Y1348,1),"")</f>
        <v/>
      </c>
      <c r="AA1348" s="29" t="str">
        <f>IF(AND(LEFT($B1348,7)="SBA 26/",$C1348&lt;&gt;"",$F1348&lt;&gt;""),COUNTIFS($C$2:$C1348,$C1348,$B$2:$B1348,"SBA 26/*",$F$2:$F1348,"&lt;&gt;"),"")</f>
        <v/>
      </c>
      <c r="AB1348" s="29" t="str">
        <f>IF(AA1348=1,COUNTIF($AA$2:AA1348,1),"")</f>
        <v/>
      </c>
    </row>
    <row r="1349" spans="6:28" ht="63" customHeight="1" x14ac:dyDescent="0.2">
      <c r="F1349" s="45" t="s">
        <v>3910</v>
      </c>
      <c r="T1349" s="41"/>
      <c r="U1349" s="29" t="str">
        <f>IF($C1349&lt;&gt;"",COUNTIF($C$2:C1349,C1349),"")</f>
        <v/>
      </c>
      <c r="V1349" s="29" t="str">
        <f t="shared" si="66"/>
        <v/>
      </c>
      <c r="W1349" s="29" t="str">
        <f>IF(U1349=1,COUNTIF($U$2:U1349,1),"")</f>
        <v/>
      </c>
      <c r="X1349" s="29" t="str">
        <f t="shared" si="67"/>
        <v/>
      </c>
      <c r="Y1349" s="29" t="str">
        <f>IF(AND(LEFT($B1349,7)="SBA 26/",$D1349&lt;&gt;"",$F1349&lt;&gt;""),COUNTIFS($D$2:$D1349,$D1349,$B$2:$B1349,"SBA 26/*",$F$2:$F1349,"&lt;&gt;"),"")</f>
        <v/>
      </c>
      <c r="Z1349" s="29" t="str">
        <f>IF(Y1349=1,COUNTIF($Y$2:Y1349,1),"")</f>
        <v/>
      </c>
      <c r="AA1349" s="29" t="str">
        <f>IF(AND(LEFT($B1349,7)="SBA 26/",$C1349&lt;&gt;"",$F1349&lt;&gt;""),COUNTIFS($C$2:$C1349,$C1349,$B$2:$B1349,"SBA 26/*",$F$2:$F1349,"&lt;&gt;"),"")</f>
        <v/>
      </c>
      <c r="AB1349" s="29" t="str">
        <f>IF(AA1349=1,COUNTIF($AA$2:AA1349,1),"")</f>
        <v/>
      </c>
    </row>
    <row r="1350" spans="6:28" ht="47.25" customHeight="1" x14ac:dyDescent="0.2">
      <c r="F1350" s="45" t="s">
        <v>3911</v>
      </c>
      <c r="T1350" s="41"/>
      <c r="U1350" s="29" t="str">
        <f>IF($C1350&lt;&gt;"",COUNTIF($C$2:C1350,C1350),"")</f>
        <v/>
      </c>
      <c r="V1350" s="29" t="str">
        <f t="shared" si="66"/>
        <v/>
      </c>
      <c r="W1350" s="29" t="str">
        <f>IF(U1350=1,COUNTIF($U$2:U1350,1),"")</f>
        <v/>
      </c>
      <c r="X1350" s="29" t="str">
        <f t="shared" si="67"/>
        <v/>
      </c>
      <c r="Y1350" s="29" t="str">
        <f>IF(AND(LEFT($B1350,7)="SBA 26/",$D1350&lt;&gt;"",$F1350&lt;&gt;""),COUNTIFS($D$2:$D1350,$D1350,$B$2:$B1350,"SBA 26/*",$F$2:$F1350,"&lt;&gt;"),"")</f>
        <v/>
      </c>
      <c r="Z1350" s="29" t="str">
        <f>IF(Y1350=1,COUNTIF($Y$2:Y1350,1),"")</f>
        <v/>
      </c>
      <c r="AA1350" s="29" t="str">
        <f>IF(AND(LEFT($B1350,7)="SBA 26/",$C1350&lt;&gt;"",$F1350&lt;&gt;""),COUNTIFS($C$2:$C1350,$C1350,$B$2:$B1350,"SBA 26/*",$F$2:$F1350,"&lt;&gt;"),"")</f>
        <v/>
      </c>
      <c r="AB1350" s="29" t="str">
        <f>IF(AA1350=1,COUNTIF($AA$2:AA1350,1),"")</f>
        <v/>
      </c>
    </row>
    <row r="1351" spans="6:28" ht="63" customHeight="1" x14ac:dyDescent="0.2">
      <c r="F1351" s="45" t="s">
        <v>3912</v>
      </c>
      <c r="T1351" s="41"/>
      <c r="U1351" s="29" t="str">
        <f>IF($C1351&lt;&gt;"",COUNTIF($C$2:C1351,C1351),"")</f>
        <v/>
      </c>
      <c r="V1351" s="29" t="str">
        <f t="shared" si="66"/>
        <v/>
      </c>
      <c r="W1351" s="29" t="str">
        <f>IF(U1351=1,COUNTIF($U$2:U1351,1),"")</f>
        <v/>
      </c>
      <c r="X1351" s="29" t="str">
        <f t="shared" si="67"/>
        <v/>
      </c>
      <c r="Y1351" s="29" t="str">
        <f>IF(AND(LEFT($B1351,7)="SBA 26/",$D1351&lt;&gt;"",$F1351&lt;&gt;""),COUNTIFS($D$2:$D1351,$D1351,$B$2:$B1351,"SBA 26/*",$F$2:$F1351,"&lt;&gt;"),"")</f>
        <v/>
      </c>
      <c r="Z1351" s="29" t="str">
        <f>IF(Y1351=1,COUNTIF($Y$2:Y1351,1),"")</f>
        <v/>
      </c>
      <c r="AA1351" s="29" t="str">
        <f>IF(AND(LEFT($B1351,7)="SBA 26/",$C1351&lt;&gt;"",$F1351&lt;&gt;""),COUNTIFS($C$2:$C1351,$C1351,$B$2:$B1351,"SBA 26/*",$F$2:$F1351,"&lt;&gt;"),"")</f>
        <v/>
      </c>
      <c r="AB1351" s="29" t="str">
        <f>IF(AA1351=1,COUNTIF($AA$2:AA1351,1),"")</f>
        <v/>
      </c>
    </row>
    <row r="1352" spans="6:28" ht="31.5" customHeight="1" x14ac:dyDescent="0.2">
      <c r="F1352" s="45" t="s">
        <v>3913</v>
      </c>
      <c r="T1352" s="41"/>
      <c r="U1352" s="29" t="str">
        <f>IF($C1352&lt;&gt;"",COUNTIF($C$2:C1352,C1352),"")</f>
        <v/>
      </c>
      <c r="V1352" s="29" t="str">
        <f t="shared" si="66"/>
        <v/>
      </c>
      <c r="W1352" s="29" t="str">
        <f>IF(U1352=1,COUNTIF($U$2:U1352,1),"")</f>
        <v/>
      </c>
      <c r="X1352" s="29" t="str">
        <f t="shared" si="67"/>
        <v/>
      </c>
      <c r="Y1352" s="29" t="str">
        <f>IF(AND(LEFT($B1352,7)="SBA 26/",$D1352&lt;&gt;"",$F1352&lt;&gt;""),COUNTIFS($D$2:$D1352,$D1352,$B$2:$B1352,"SBA 26/*",$F$2:$F1352,"&lt;&gt;"),"")</f>
        <v/>
      </c>
      <c r="Z1352" s="29" t="str">
        <f>IF(Y1352=1,COUNTIF($Y$2:Y1352,1),"")</f>
        <v/>
      </c>
      <c r="AA1352" s="29" t="str">
        <f>IF(AND(LEFT($B1352,7)="SBA 26/",$C1352&lt;&gt;"",$F1352&lt;&gt;""),COUNTIFS($C$2:$C1352,$C1352,$B$2:$B1352,"SBA 26/*",$F$2:$F1352,"&lt;&gt;"),"")</f>
        <v/>
      </c>
      <c r="AB1352" s="29" t="str">
        <f>IF(AA1352=1,COUNTIF($AA$2:AA1352,1),"")</f>
        <v/>
      </c>
    </row>
    <row r="1353" spans="6:28" ht="31.5" customHeight="1" x14ac:dyDescent="0.2">
      <c r="F1353" s="45" t="s">
        <v>3914</v>
      </c>
      <c r="T1353" s="41"/>
      <c r="U1353" s="29" t="str">
        <f>IF($C1353&lt;&gt;"",COUNTIF($C$2:C1353,C1353),"")</f>
        <v/>
      </c>
      <c r="V1353" s="29" t="str">
        <f t="shared" si="66"/>
        <v/>
      </c>
      <c r="W1353" s="29" t="str">
        <f>IF(U1353=1,COUNTIF($U$2:U1353,1),"")</f>
        <v/>
      </c>
      <c r="X1353" s="29" t="str">
        <f t="shared" si="67"/>
        <v/>
      </c>
      <c r="Y1353" s="29" t="str">
        <f>IF(AND(LEFT($B1353,7)="SBA 26/",$D1353&lt;&gt;"",$F1353&lt;&gt;""),COUNTIFS($D$2:$D1353,$D1353,$B$2:$B1353,"SBA 26/*",$F$2:$F1353,"&lt;&gt;"),"")</f>
        <v/>
      </c>
      <c r="Z1353" s="29" t="str">
        <f>IF(Y1353=1,COUNTIF($Y$2:Y1353,1),"")</f>
        <v/>
      </c>
      <c r="AA1353" s="29" t="str">
        <f>IF(AND(LEFT($B1353,7)="SBA 26/",$C1353&lt;&gt;"",$F1353&lt;&gt;""),COUNTIFS($C$2:$C1353,$C1353,$B$2:$B1353,"SBA 26/*",$F$2:$F1353,"&lt;&gt;"),"")</f>
        <v/>
      </c>
      <c r="AB1353" s="29" t="str">
        <f>IF(AA1353=1,COUNTIF($AA$2:AA1353,1),"")</f>
        <v/>
      </c>
    </row>
    <row r="1354" spans="6:28" ht="31.5" customHeight="1" x14ac:dyDescent="0.2">
      <c r="F1354" s="45" t="s">
        <v>3915</v>
      </c>
      <c r="T1354" s="41"/>
      <c r="U1354" s="29" t="str">
        <f>IF($C1354&lt;&gt;"",COUNTIF($C$2:C1354,C1354),"")</f>
        <v/>
      </c>
      <c r="V1354" s="29" t="str">
        <f t="shared" si="66"/>
        <v/>
      </c>
      <c r="W1354" s="29" t="str">
        <f>IF(U1354=1,COUNTIF($U$2:U1354,1),"")</f>
        <v/>
      </c>
      <c r="X1354" s="29" t="str">
        <f t="shared" si="67"/>
        <v/>
      </c>
      <c r="Y1354" s="29" t="str">
        <f>IF(AND(LEFT($B1354,7)="SBA 26/",$D1354&lt;&gt;"",$F1354&lt;&gt;""),COUNTIFS($D$2:$D1354,$D1354,$B$2:$B1354,"SBA 26/*",$F$2:$F1354,"&lt;&gt;"),"")</f>
        <v/>
      </c>
      <c r="Z1354" s="29" t="str">
        <f>IF(Y1354=1,COUNTIF($Y$2:Y1354,1),"")</f>
        <v/>
      </c>
      <c r="AA1354" s="29" t="str">
        <f>IF(AND(LEFT($B1354,7)="SBA 26/",$C1354&lt;&gt;"",$F1354&lt;&gt;""),COUNTIFS($C$2:$C1354,$C1354,$B$2:$B1354,"SBA 26/*",$F$2:$F1354,"&lt;&gt;"),"")</f>
        <v/>
      </c>
      <c r="AB1354" s="29" t="str">
        <f>IF(AA1354=1,COUNTIF($AA$2:AA1354,1),"")</f>
        <v/>
      </c>
    </row>
    <row r="1355" spans="6:28" ht="63" customHeight="1" x14ac:dyDescent="0.2">
      <c r="F1355" s="45" t="s">
        <v>3916</v>
      </c>
      <c r="T1355" s="41"/>
      <c r="U1355" s="29" t="str">
        <f>IF($C1355&lt;&gt;"",COUNTIF($C$2:C1355,C1355),"")</f>
        <v/>
      </c>
      <c r="V1355" s="29" t="str">
        <f t="shared" si="66"/>
        <v/>
      </c>
      <c r="W1355" s="29" t="str">
        <f>IF(U1355=1,COUNTIF($U$2:U1355,1),"")</f>
        <v/>
      </c>
      <c r="X1355" s="29" t="str">
        <f t="shared" si="67"/>
        <v/>
      </c>
      <c r="Y1355" s="29" t="str">
        <f>IF(AND(LEFT($B1355,7)="SBA 26/",$D1355&lt;&gt;"",$F1355&lt;&gt;""),COUNTIFS($D$2:$D1355,$D1355,$B$2:$B1355,"SBA 26/*",$F$2:$F1355,"&lt;&gt;"),"")</f>
        <v/>
      </c>
      <c r="Z1355" s="29" t="str">
        <f>IF(Y1355=1,COUNTIF($Y$2:Y1355,1),"")</f>
        <v/>
      </c>
      <c r="AA1355" s="29" t="str">
        <f>IF(AND(LEFT($B1355,7)="SBA 26/",$C1355&lt;&gt;"",$F1355&lt;&gt;""),COUNTIFS($C$2:$C1355,$C1355,$B$2:$B1355,"SBA 26/*",$F$2:$F1355,"&lt;&gt;"),"")</f>
        <v/>
      </c>
      <c r="AB1355" s="29" t="str">
        <f>IF(AA1355=1,COUNTIF($AA$2:AA1355,1),"")</f>
        <v/>
      </c>
    </row>
    <row r="1356" spans="6:28" ht="31.5" customHeight="1" x14ac:dyDescent="0.2">
      <c r="F1356" s="45" t="s">
        <v>3917</v>
      </c>
      <c r="T1356" s="41"/>
      <c r="U1356" s="29" t="str">
        <f>IF($C1356&lt;&gt;"",COUNTIF($C$2:C1356,C1356),"")</f>
        <v/>
      </c>
      <c r="V1356" s="29" t="str">
        <f t="shared" si="66"/>
        <v/>
      </c>
      <c r="W1356" s="29" t="str">
        <f>IF(U1356=1,COUNTIF($U$2:U1356,1),"")</f>
        <v/>
      </c>
      <c r="X1356" s="29" t="str">
        <f t="shared" si="67"/>
        <v/>
      </c>
      <c r="Y1356" s="29" t="str">
        <f>IF(AND(LEFT($B1356,7)="SBA 26/",$D1356&lt;&gt;"",$F1356&lt;&gt;""),COUNTIFS($D$2:$D1356,$D1356,$B$2:$B1356,"SBA 26/*",$F$2:$F1356,"&lt;&gt;"),"")</f>
        <v/>
      </c>
      <c r="Z1356" s="29" t="str">
        <f>IF(Y1356=1,COUNTIF($Y$2:Y1356,1),"")</f>
        <v/>
      </c>
      <c r="AA1356" s="29" t="str">
        <f>IF(AND(LEFT($B1356,7)="SBA 26/",$C1356&lt;&gt;"",$F1356&lt;&gt;""),COUNTIFS($C$2:$C1356,$C1356,$B$2:$B1356,"SBA 26/*",$F$2:$F1356,"&lt;&gt;"),"")</f>
        <v/>
      </c>
      <c r="AB1356" s="29" t="str">
        <f>IF(AA1356=1,COUNTIF($AA$2:AA1356,1),"")</f>
        <v/>
      </c>
    </row>
    <row r="1357" spans="6:28" ht="63" customHeight="1" x14ac:dyDescent="0.2">
      <c r="F1357" s="45" t="s">
        <v>3918</v>
      </c>
      <c r="T1357" s="41"/>
      <c r="U1357" s="29" t="str">
        <f>IF($C1357&lt;&gt;"",COUNTIF($C$2:C1357,C1357),"")</f>
        <v/>
      </c>
      <c r="V1357" s="29" t="str">
        <f t="shared" si="66"/>
        <v/>
      </c>
      <c r="W1357" s="29" t="str">
        <f>IF(U1357=1,COUNTIF($U$2:U1357,1),"")</f>
        <v/>
      </c>
      <c r="X1357" s="29" t="str">
        <f t="shared" si="67"/>
        <v/>
      </c>
      <c r="Y1357" s="29" t="str">
        <f>IF(AND(LEFT($B1357,7)="SBA 26/",$D1357&lt;&gt;"",$F1357&lt;&gt;""),COUNTIFS($D$2:$D1357,$D1357,$B$2:$B1357,"SBA 26/*",$F$2:$F1357,"&lt;&gt;"),"")</f>
        <v/>
      </c>
      <c r="Z1357" s="29" t="str">
        <f>IF(Y1357=1,COUNTIF($Y$2:Y1357,1),"")</f>
        <v/>
      </c>
      <c r="AA1357" s="29" t="str">
        <f>IF(AND(LEFT($B1357,7)="SBA 26/",$C1357&lt;&gt;"",$F1357&lt;&gt;""),COUNTIFS($C$2:$C1357,$C1357,$B$2:$B1357,"SBA 26/*",$F$2:$F1357,"&lt;&gt;"),"")</f>
        <v/>
      </c>
      <c r="AB1357" s="29" t="str">
        <f>IF(AA1357=1,COUNTIF($AA$2:AA1357,1),"")</f>
        <v/>
      </c>
    </row>
    <row r="1358" spans="6:28" ht="47.25" customHeight="1" x14ac:dyDescent="0.2">
      <c r="F1358" s="45" t="s">
        <v>3919</v>
      </c>
      <c r="T1358" s="41"/>
      <c r="U1358" s="29" t="str">
        <f>IF($C1358&lt;&gt;"",COUNTIF($C$2:C1358,C1358),"")</f>
        <v/>
      </c>
      <c r="V1358" s="29" t="str">
        <f t="shared" si="66"/>
        <v/>
      </c>
      <c r="W1358" s="29" t="str">
        <f>IF(U1358=1,COUNTIF($U$2:U1358,1),"")</f>
        <v/>
      </c>
      <c r="X1358" s="29" t="str">
        <f t="shared" si="67"/>
        <v/>
      </c>
      <c r="Y1358" s="29" t="str">
        <f>IF(AND(LEFT($B1358,7)="SBA 26/",$D1358&lt;&gt;"",$F1358&lt;&gt;""),COUNTIFS($D$2:$D1358,$D1358,$B$2:$B1358,"SBA 26/*",$F$2:$F1358,"&lt;&gt;"),"")</f>
        <v/>
      </c>
      <c r="Z1358" s="29" t="str">
        <f>IF(Y1358=1,COUNTIF($Y$2:Y1358,1),"")</f>
        <v/>
      </c>
      <c r="AA1358" s="29" t="str">
        <f>IF(AND(LEFT($B1358,7)="SBA 26/",$C1358&lt;&gt;"",$F1358&lt;&gt;""),COUNTIFS($C$2:$C1358,$C1358,$B$2:$B1358,"SBA 26/*",$F$2:$F1358,"&lt;&gt;"),"")</f>
        <v/>
      </c>
      <c r="AB1358" s="29" t="str">
        <f>IF(AA1358=1,COUNTIF($AA$2:AA1358,1),"")</f>
        <v/>
      </c>
    </row>
    <row r="1359" spans="6:28" ht="47.25" customHeight="1" x14ac:dyDescent="0.2">
      <c r="F1359" s="45" t="s">
        <v>3920</v>
      </c>
      <c r="T1359" s="41"/>
      <c r="U1359" s="29" t="str">
        <f>IF($C1359&lt;&gt;"",COUNTIF($C$2:C1359,C1359),"")</f>
        <v/>
      </c>
      <c r="V1359" s="29" t="str">
        <f t="shared" si="66"/>
        <v/>
      </c>
      <c r="W1359" s="29" t="str">
        <f>IF(U1359=1,COUNTIF($U$2:U1359,1),"")</f>
        <v/>
      </c>
      <c r="X1359" s="29" t="str">
        <f t="shared" si="67"/>
        <v/>
      </c>
      <c r="Y1359" s="29" t="str">
        <f>IF(AND(LEFT($B1359,7)="SBA 26/",$D1359&lt;&gt;"",$F1359&lt;&gt;""),COUNTIFS($D$2:$D1359,$D1359,$B$2:$B1359,"SBA 26/*",$F$2:$F1359,"&lt;&gt;"),"")</f>
        <v/>
      </c>
      <c r="Z1359" s="29" t="str">
        <f>IF(Y1359=1,COUNTIF($Y$2:Y1359,1),"")</f>
        <v/>
      </c>
      <c r="AA1359" s="29" t="str">
        <f>IF(AND(LEFT($B1359,7)="SBA 26/",$C1359&lt;&gt;"",$F1359&lt;&gt;""),COUNTIFS($C$2:$C1359,$C1359,$B$2:$B1359,"SBA 26/*",$F$2:$F1359,"&lt;&gt;"),"")</f>
        <v/>
      </c>
      <c r="AB1359" s="29" t="str">
        <f>IF(AA1359=1,COUNTIF($AA$2:AA1359,1),"")</f>
        <v/>
      </c>
    </row>
    <row r="1360" spans="6:28" ht="47.25" customHeight="1" x14ac:dyDescent="0.2">
      <c r="F1360" s="45" t="s">
        <v>3921</v>
      </c>
      <c r="T1360" s="41"/>
      <c r="U1360" s="29" t="str">
        <f>IF($C1360&lt;&gt;"",COUNTIF($C$2:C1360,C1360),"")</f>
        <v/>
      </c>
      <c r="V1360" s="29" t="str">
        <f t="shared" si="66"/>
        <v/>
      </c>
      <c r="W1360" s="29" t="str">
        <f>IF(U1360=1,COUNTIF($U$2:U1360,1),"")</f>
        <v/>
      </c>
      <c r="X1360" s="29" t="str">
        <f t="shared" si="67"/>
        <v/>
      </c>
      <c r="Y1360" s="29" t="str">
        <f>IF(AND(LEFT($B1360,7)="SBA 26/",$D1360&lt;&gt;"",$F1360&lt;&gt;""),COUNTIFS($D$2:$D1360,$D1360,$B$2:$B1360,"SBA 26/*",$F$2:$F1360,"&lt;&gt;"),"")</f>
        <v/>
      </c>
      <c r="Z1360" s="29" t="str">
        <f>IF(Y1360=1,COUNTIF($Y$2:Y1360,1),"")</f>
        <v/>
      </c>
      <c r="AA1360" s="29" t="str">
        <f>IF(AND(LEFT($B1360,7)="SBA 26/",$C1360&lt;&gt;"",$F1360&lt;&gt;""),COUNTIFS($C$2:$C1360,$C1360,$B$2:$B1360,"SBA 26/*",$F$2:$F1360,"&lt;&gt;"),"")</f>
        <v/>
      </c>
      <c r="AB1360" s="29" t="str">
        <f>IF(AA1360=1,COUNTIF($AA$2:AA1360,1),"")</f>
        <v/>
      </c>
    </row>
    <row r="1361" spans="6:28" ht="47.25" customHeight="1" x14ac:dyDescent="0.2">
      <c r="F1361" s="45" t="s">
        <v>3922</v>
      </c>
      <c r="T1361" s="41"/>
      <c r="U1361" s="29" t="str">
        <f>IF($C1361&lt;&gt;"",COUNTIF($C$2:C1361,C1361),"")</f>
        <v/>
      </c>
      <c r="V1361" s="29" t="str">
        <f t="shared" si="66"/>
        <v/>
      </c>
      <c r="W1361" s="29" t="str">
        <f>IF(U1361=1,COUNTIF($U$2:U1361,1),"")</f>
        <v/>
      </c>
      <c r="X1361" s="29" t="str">
        <f t="shared" si="67"/>
        <v/>
      </c>
      <c r="Y1361" s="29" t="str">
        <f>IF(AND(LEFT($B1361,7)="SBA 26/",$D1361&lt;&gt;"",$F1361&lt;&gt;""),COUNTIFS($D$2:$D1361,$D1361,$B$2:$B1361,"SBA 26/*",$F$2:$F1361,"&lt;&gt;"),"")</f>
        <v/>
      </c>
      <c r="Z1361" s="29" t="str">
        <f>IF(Y1361=1,COUNTIF($Y$2:Y1361,1),"")</f>
        <v/>
      </c>
      <c r="AA1361" s="29" t="str">
        <f>IF(AND(LEFT($B1361,7)="SBA 26/",$C1361&lt;&gt;"",$F1361&lt;&gt;""),COUNTIFS($C$2:$C1361,$C1361,$B$2:$B1361,"SBA 26/*",$F$2:$F1361,"&lt;&gt;"),"")</f>
        <v/>
      </c>
      <c r="AB1361" s="29" t="str">
        <f>IF(AA1361=1,COUNTIF($AA$2:AA1361,1),"")</f>
        <v/>
      </c>
    </row>
    <row r="1362" spans="6:28" ht="63" customHeight="1" x14ac:dyDescent="0.2">
      <c r="F1362" s="45" t="s">
        <v>3923</v>
      </c>
      <c r="T1362" s="41"/>
      <c r="U1362" s="29" t="str">
        <f>IF($C1362&lt;&gt;"",COUNTIF($C$2:C1362,C1362),"")</f>
        <v/>
      </c>
      <c r="V1362" s="29" t="str">
        <f t="shared" si="66"/>
        <v/>
      </c>
      <c r="W1362" s="29" t="str">
        <f>IF(U1362=1,COUNTIF($U$2:U1362,1),"")</f>
        <v/>
      </c>
      <c r="X1362" s="29" t="str">
        <f t="shared" si="67"/>
        <v/>
      </c>
      <c r="Y1362" s="29" t="str">
        <f>IF(AND(LEFT($B1362,7)="SBA 26/",$D1362&lt;&gt;"",$F1362&lt;&gt;""),COUNTIFS($D$2:$D1362,$D1362,$B$2:$B1362,"SBA 26/*",$F$2:$F1362,"&lt;&gt;"),"")</f>
        <v/>
      </c>
      <c r="Z1362" s="29" t="str">
        <f>IF(Y1362=1,COUNTIF($Y$2:Y1362,1),"")</f>
        <v/>
      </c>
      <c r="AA1362" s="29" t="str">
        <f>IF(AND(LEFT($B1362,7)="SBA 26/",$C1362&lt;&gt;"",$F1362&lt;&gt;""),COUNTIFS($C$2:$C1362,$C1362,$B$2:$B1362,"SBA 26/*",$F$2:$F1362,"&lt;&gt;"),"")</f>
        <v/>
      </c>
      <c r="AB1362" s="29" t="str">
        <f>IF(AA1362=1,COUNTIF($AA$2:AA1362,1),"")</f>
        <v/>
      </c>
    </row>
    <row r="1363" spans="6:28" ht="94.5" customHeight="1" x14ac:dyDescent="0.2">
      <c r="F1363" s="45" t="s">
        <v>3924</v>
      </c>
      <c r="T1363" s="41"/>
      <c r="U1363" s="29" t="str">
        <f>IF($C1363&lt;&gt;"",COUNTIF($C$2:C1363,C1363),"")</f>
        <v/>
      </c>
      <c r="V1363" s="29" t="str">
        <f t="shared" si="66"/>
        <v/>
      </c>
      <c r="W1363" s="29" t="str">
        <f>IF(U1363=1,COUNTIF($U$2:U1363,1),"")</f>
        <v/>
      </c>
      <c r="X1363" s="29" t="str">
        <f t="shared" si="67"/>
        <v/>
      </c>
      <c r="Y1363" s="29" t="str">
        <f>IF(AND(LEFT($B1363,7)="SBA 26/",$D1363&lt;&gt;"",$F1363&lt;&gt;""),COUNTIFS($D$2:$D1363,$D1363,$B$2:$B1363,"SBA 26/*",$F$2:$F1363,"&lt;&gt;"),"")</f>
        <v/>
      </c>
      <c r="Z1363" s="29" t="str">
        <f>IF(Y1363=1,COUNTIF($Y$2:Y1363,1),"")</f>
        <v/>
      </c>
      <c r="AA1363" s="29" t="str">
        <f>IF(AND(LEFT($B1363,7)="SBA 26/",$C1363&lt;&gt;"",$F1363&lt;&gt;""),COUNTIFS($C$2:$C1363,$C1363,$B$2:$B1363,"SBA 26/*",$F$2:$F1363,"&lt;&gt;"),"")</f>
        <v/>
      </c>
      <c r="AB1363" s="29" t="str">
        <f>IF(AA1363=1,COUNTIF($AA$2:AA1363,1),"")</f>
        <v/>
      </c>
    </row>
    <row r="1364" spans="6:28" ht="47.25" customHeight="1" x14ac:dyDescent="0.2">
      <c r="F1364" s="45" t="s">
        <v>3925</v>
      </c>
      <c r="T1364" s="41"/>
      <c r="U1364" s="29" t="str">
        <f>IF($C1364&lt;&gt;"",COUNTIF($C$2:C1364,C1364),"")</f>
        <v/>
      </c>
      <c r="V1364" s="29" t="str">
        <f t="shared" si="66"/>
        <v/>
      </c>
      <c r="W1364" s="29" t="str">
        <f>IF(U1364=1,COUNTIF($U$2:U1364,1),"")</f>
        <v/>
      </c>
      <c r="X1364" s="29" t="str">
        <f t="shared" si="67"/>
        <v/>
      </c>
      <c r="Y1364" s="29" t="str">
        <f>IF(AND(LEFT($B1364,7)="SBA 26/",$D1364&lt;&gt;"",$F1364&lt;&gt;""),COUNTIFS($D$2:$D1364,$D1364,$B$2:$B1364,"SBA 26/*",$F$2:$F1364,"&lt;&gt;"),"")</f>
        <v/>
      </c>
      <c r="Z1364" s="29" t="str">
        <f>IF(Y1364=1,COUNTIF($Y$2:Y1364,1),"")</f>
        <v/>
      </c>
      <c r="AA1364" s="29" t="str">
        <f>IF(AND(LEFT($B1364,7)="SBA 26/",$C1364&lt;&gt;"",$F1364&lt;&gt;""),COUNTIFS($C$2:$C1364,$C1364,$B$2:$B1364,"SBA 26/*",$F$2:$F1364,"&lt;&gt;"),"")</f>
        <v/>
      </c>
      <c r="AB1364" s="29" t="str">
        <f>IF(AA1364=1,COUNTIF($AA$2:AA1364,1),"")</f>
        <v/>
      </c>
    </row>
    <row r="1365" spans="6:28" ht="63" customHeight="1" x14ac:dyDescent="0.2">
      <c r="F1365" s="45" t="s">
        <v>3926</v>
      </c>
      <c r="T1365" s="41"/>
      <c r="U1365" s="29" t="str">
        <f>IF($C1365&lt;&gt;"",COUNTIF($C$2:C1365,C1365),"")</f>
        <v/>
      </c>
      <c r="V1365" s="29" t="str">
        <f t="shared" si="66"/>
        <v/>
      </c>
      <c r="W1365" s="29" t="str">
        <f>IF(U1365=1,COUNTIF($U$2:U1365,1),"")</f>
        <v/>
      </c>
      <c r="X1365" s="29" t="str">
        <f t="shared" si="67"/>
        <v/>
      </c>
      <c r="Y1365" s="29" t="str">
        <f>IF(AND(LEFT($B1365,7)="SBA 26/",$D1365&lt;&gt;"",$F1365&lt;&gt;""),COUNTIFS($D$2:$D1365,$D1365,$B$2:$B1365,"SBA 26/*",$F$2:$F1365,"&lt;&gt;"),"")</f>
        <v/>
      </c>
      <c r="Z1365" s="29" t="str">
        <f>IF(Y1365=1,COUNTIF($Y$2:Y1365,1),"")</f>
        <v/>
      </c>
      <c r="AA1365" s="29" t="str">
        <f>IF(AND(LEFT($B1365,7)="SBA 26/",$C1365&lt;&gt;"",$F1365&lt;&gt;""),COUNTIFS($C$2:$C1365,$C1365,$B$2:$B1365,"SBA 26/*",$F$2:$F1365,"&lt;&gt;"),"")</f>
        <v/>
      </c>
      <c r="AB1365" s="29" t="str">
        <f>IF(AA1365=1,COUNTIF($AA$2:AA1365,1),"")</f>
        <v/>
      </c>
    </row>
    <row r="1366" spans="6:28" ht="20.25" customHeight="1" x14ac:dyDescent="0.2">
      <c r="F1366" s="45" t="s">
        <v>3927</v>
      </c>
      <c r="T1366" s="41"/>
      <c r="U1366" s="29" t="str">
        <f>IF($C1366&lt;&gt;"",COUNTIF($C$2:C1366,C1366),"")</f>
        <v/>
      </c>
      <c r="V1366" s="29" t="str">
        <f t="shared" si="66"/>
        <v/>
      </c>
      <c r="W1366" s="29" t="str">
        <f>IF(U1366=1,COUNTIF($U$2:U1366,1),"")</f>
        <v/>
      </c>
      <c r="X1366" s="29" t="str">
        <f t="shared" si="67"/>
        <v/>
      </c>
      <c r="Y1366" s="29" t="str">
        <f>IF(AND(LEFT($B1366,7)="SBA 26/",$D1366&lt;&gt;"",$F1366&lt;&gt;""),COUNTIFS($D$2:$D1366,$D1366,$B$2:$B1366,"SBA 26/*",$F$2:$F1366,"&lt;&gt;"),"")</f>
        <v/>
      </c>
      <c r="Z1366" s="29" t="str">
        <f>IF(Y1366=1,COUNTIF($Y$2:Y1366,1),"")</f>
        <v/>
      </c>
      <c r="AA1366" s="29" t="str">
        <f>IF(AND(LEFT($B1366,7)="SBA 26/",$C1366&lt;&gt;"",$F1366&lt;&gt;""),COUNTIFS($C$2:$C1366,$C1366,$B$2:$B1366,"SBA 26/*",$F$2:$F1366,"&lt;&gt;"),"")</f>
        <v/>
      </c>
      <c r="AB1366" s="29" t="str">
        <f>IF(AA1366=1,COUNTIF($AA$2:AA1366,1),"")</f>
        <v/>
      </c>
    </row>
    <row r="1367" spans="6:28" ht="47.25" customHeight="1" x14ac:dyDescent="0.2">
      <c r="F1367" s="45" t="s">
        <v>3928</v>
      </c>
      <c r="T1367" s="41"/>
      <c r="U1367" s="29" t="str">
        <f>IF($C1367&lt;&gt;"",COUNTIF($C$2:C1367,C1367),"")</f>
        <v/>
      </c>
      <c r="V1367" s="29" t="str">
        <f t="shared" si="66"/>
        <v/>
      </c>
      <c r="W1367" s="29" t="str">
        <f>IF(U1367=1,COUNTIF($U$2:U1367,1),"")</f>
        <v/>
      </c>
      <c r="X1367" s="29" t="str">
        <f t="shared" si="67"/>
        <v/>
      </c>
      <c r="Y1367" s="29" t="str">
        <f>IF(AND(LEFT($B1367,7)="SBA 26/",$D1367&lt;&gt;"",$F1367&lt;&gt;""),COUNTIFS($D$2:$D1367,$D1367,$B$2:$B1367,"SBA 26/*",$F$2:$F1367,"&lt;&gt;"),"")</f>
        <v/>
      </c>
      <c r="Z1367" s="29" t="str">
        <f>IF(Y1367=1,COUNTIF($Y$2:Y1367,1),"")</f>
        <v/>
      </c>
      <c r="AA1367" s="29" t="str">
        <f>IF(AND(LEFT($B1367,7)="SBA 26/",$C1367&lt;&gt;"",$F1367&lt;&gt;""),COUNTIFS($C$2:$C1367,$C1367,$B$2:$B1367,"SBA 26/*",$F$2:$F1367,"&lt;&gt;"),"")</f>
        <v/>
      </c>
      <c r="AB1367" s="29" t="str">
        <f>IF(AA1367=1,COUNTIF($AA$2:AA1367,1),"")</f>
        <v/>
      </c>
    </row>
    <row r="1368" spans="6:28" ht="47.25" customHeight="1" x14ac:dyDescent="0.2">
      <c r="F1368" s="45" t="s">
        <v>3929</v>
      </c>
      <c r="T1368" s="41"/>
      <c r="U1368" s="29" t="str">
        <f>IF($C1368&lt;&gt;"",COUNTIF($C$2:C1368,C1368),"")</f>
        <v/>
      </c>
      <c r="V1368" s="29" t="str">
        <f t="shared" si="66"/>
        <v/>
      </c>
      <c r="W1368" s="29" t="str">
        <f>IF(U1368=1,COUNTIF($U$2:U1368,1),"")</f>
        <v/>
      </c>
      <c r="X1368" s="29" t="str">
        <f t="shared" si="67"/>
        <v/>
      </c>
      <c r="Y1368" s="29" t="str">
        <f>IF(AND(LEFT($B1368,7)="SBA 26/",$D1368&lt;&gt;"",$F1368&lt;&gt;""),COUNTIFS($D$2:$D1368,$D1368,$B$2:$B1368,"SBA 26/*",$F$2:$F1368,"&lt;&gt;"),"")</f>
        <v/>
      </c>
      <c r="Z1368" s="29" t="str">
        <f>IF(Y1368=1,COUNTIF($Y$2:Y1368,1),"")</f>
        <v/>
      </c>
      <c r="AA1368" s="29" t="str">
        <f>IF(AND(LEFT($B1368,7)="SBA 26/",$C1368&lt;&gt;"",$F1368&lt;&gt;""),COUNTIFS($C$2:$C1368,$C1368,$B$2:$B1368,"SBA 26/*",$F$2:$F1368,"&lt;&gt;"),"")</f>
        <v/>
      </c>
      <c r="AB1368" s="29" t="str">
        <f>IF(AA1368=1,COUNTIF($AA$2:AA1368,1),"")</f>
        <v/>
      </c>
    </row>
    <row r="1369" spans="6:28" ht="47.25" customHeight="1" x14ac:dyDescent="0.2">
      <c r="F1369" s="45" t="s">
        <v>3930</v>
      </c>
      <c r="T1369" s="41"/>
      <c r="U1369" s="29" t="str">
        <f>IF($C1369&lt;&gt;"",COUNTIF($C$2:C1369,C1369),"")</f>
        <v/>
      </c>
      <c r="V1369" s="29" t="str">
        <f t="shared" si="66"/>
        <v/>
      </c>
      <c r="W1369" s="29" t="str">
        <f>IF(U1369=1,COUNTIF($U$2:U1369,1),"")</f>
        <v/>
      </c>
      <c r="X1369" s="29" t="str">
        <f t="shared" si="67"/>
        <v/>
      </c>
      <c r="Y1369" s="29" t="str">
        <f>IF(AND(LEFT($B1369,7)="SBA 26/",$D1369&lt;&gt;"",$F1369&lt;&gt;""),COUNTIFS($D$2:$D1369,$D1369,$B$2:$B1369,"SBA 26/*",$F$2:$F1369,"&lt;&gt;"),"")</f>
        <v/>
      </c>
      <c r="Z1369" s="29" t="str">
        <f>IF(Y1369=1,COUNTIF($Y$2:Y1369,1),"")</f>
        <v/>
      </c>
      <c r="AA1369" s="29" t="str">
        <f>IF(AND(LEFT($B1369,7)="SBA 26/",$C1369&lt;&gt;"",$F1369&lt;&gt;""),COUNTIFS($C$2:$C1369,$C1369,$B$2:$B1369,"SBA 26/*",$F$2:$F1369,"&lt;&gt;"),"")</f>
        <v/>
      </c>
      <c r="AB1369" s="29" t="str">
        <f>IF(AA1369=1,COUNTIF($AA$2:AA1369,1),"")</f>
        <v/>
      </c>
    </row>
    <row r="1370" spans="6:28" ht="63" customHeight="1" x14ac:dyDescent="0.2">
      <c r="F1370" s="45" t="s">
        <v>3931</v>
      </c>
      <c r="T1370" s="41"/>
      <c r="U1370" s="29" t="str">
        <f>IF($C1370&lt;&gt;"",COUNTIF($C$2:C1370,C1370),"")</f>
        <v/>
      </c>
      <c r="V1370" s="29" t="str">
        <f t="shared" si="66"/>
        <v/>
      </c>
      <c r="W1370" s="29" t="str">
        <f>IF(U1370=1,COUNTIF($U$2:U1370,1),"")</f>
        <v/>
      </c>
      <c r="X1370" s="29" t="str">
        <f t="shared" si="67"/>
        <v/>
      </c>
      <c r="Y1370" s="29" t="str">
        <f>IF(AND(LEFT($B1370,7)="SBA 26/",$D1370&lt;&gt;"",$F1370&lt;&gt;""),COUNTIFS($D$2:$D1370,$D1370,$B$2:$B1370,"SBA 26/*",$F$2:$F1370,"&lt;&gt;"),"")</f>
        <v/>
      </c>
      <c r="Z1370" s="29" t="str">
        <f>IF(Y1370=1,COUNTIF($Y$2:Y1370,1),"")</f>
        <v/>
      </c>
      <c r="AA1370" s="29" t="str">
        <f>IF(AND(LEFT($B1370,7)="SBA 26/",$C1370&lt;&gt;"",$F1370&lt;&gt;""),COUNTIFS($C$2:$C1370,$C1370,$B$2:$B1370,"SBA 26/*",$F$2:$F1370,"&lt;&gt;"),"")</f>
        <v/>
      </c>
      <c r="AB1370" s="29" t="str">
        <f>IF(AA1370=1,COUNTIF($AA$2:AA1370,1),"")</f>
        <v/>
      </c>
    </row>
    <row r="1371" spans="6:28" ht="63" customHeight="1" x14ac:dyDescent="0.2">
      <c r="F1371" s="45" t="s">
        <v>3932</v>
      </c>
      <c r="T1371" s="41"/>
      <c r="U1371" s="29" t="str">
        <f>IF($C1371&lt;&gt;"",COUNTIF($C$2:C1371,C1371),"")</f>
        <v/>
      </c>
      <c r="V1371" s="29" t="str">
        <f t="shared" si="66"/>
        <v/>
      </c>
      <c r="W1371" s="29" t="str">
        <f>IF(U1371=1,COUNTIF($U$2:U1371,1),"")</f>
        <v/>
      </c>
      <c r="X1371" s="29" t="str">
        <f t="shared" si="67"/>
        <v/>
      </c>
      <c r="Y1371" s="29" t="str">
        <f>IF(AND(LEFT($B1371,7)="SBA 26/",$D1371&lt;&gt;"",$F1371&lt;&gt;""),COUNTIFS($D$2:$D1371,$D1371,$B$2:$B1371,"SBA 26/*",$F$2:$F1371,"&lt;&gt;"),"")</f>
        <v/>
      </c>
      <c r="Z1371" s="29" t="str">
        <f>IF(Y1371=1,COUNTIF($Y$2:Y1371,1),"")</f>
        <v/>
      </c>
      <c r="AA1371" s="29" t="str">
        <f>IF(AND(LEFT($B1371,7)="SBA 26/",$C1371&lt;&gt;"",$F1371&lt;&gt;""),COUNTIFS($C$2:$C1371,$C1371,$B$2:$B1371,"SBA 26/*",$F$2:$F1371,"&lt;&gt;"),"")</f>
        <v/>
      </c>
      <c r="AB1371" s="29" t="str">
        <f>IF(AA1371=1,COUNTIF($AA$2:AA1371,1),"")</f>
        <v/>
      </c>
    </row>
    <row r="1372" spans="6:28" ht="47.25" customHeight="1" x14ac:dyDescent="0.2">
      <c r="F1372" s="45" t="s">
        <v>3933</v>
      </c>
      <c r="T1372" s="41"/>
      <c r="U1372" s="29" t="str">
        <f>IF($C1372&lt;&gt;"",COUNTIF($C$2:C1372,C1372),"")</f>
        <v/>
      </c>
      <c r="V1372" s="29" t="str">
        <f t="shared" si="66"/>
        <v/>
      </c>
      <c r="W1372" s="29" t="str">
        <f>IF(U1372=1,COUNTIF($U$2:U1372,1),"")</f>
        <v/>
      </c>
      <c r="X1372" s="29" t="str">
        <f t="shared" si="67"/>
        <v/>
      </c>
      <c r="Y1372" s="29" t="str">
        <f>IF(AND(LEFT($B1372,7)="SBA 26/",$D1372&lt;&gt;"",$F1372&lt;&gt;""),COUNTIFS($D$2:$D1372,$D1372,$B$2:$B1372,"SBA 26/*",$F$2:$F1372,"&lt;&gt;"),"")</f>
        <v/>
      </c>
      <c r="Z1372" s="29" t="str">
        <f>IF(Y1372=1,COUNTIF($Y$2:Y1372,1),"")</f>
        <v/>
      </c>
      <c r="AA1372" s="29" t="str">
        <f>IF(AND(LEFT($B1372,7)="SBA 26/",$C1372&lt;&gt;"",$F1372&lt;&gt;""),COUNTIFS($C$2:$C1372,$C1372,$B$2:$B1372,"SBA 26/*",$F$2:$F1372,"&lt;&gt;"),"")</f>
        <v/>
      </c>
      <c r="AB1372" s="29" t="str">
        <f>IF(AA1372=1,COUNTIF($AA$2:AA1372,1),"")</f>
        <v/>
      </c>
    </row>
    <row r="1373" spans="6:28" ht="47.25" customHeight="1" x14ac:dyDescent="0.2">
      <c r="F1373" s="45" t="s">
        <v>3934</v>
      </c>
      <c r="T1373" s="41"/>
      <c r="U1373" s="29" t="str">
        <f>IF($C1373&lt;&gt;"",COUNTIF($C$2:C1373,C1373),"")</f>
        <v/>
      </c>
      <c r="V1373" s="29" t="str">
        <f t="shared" si="66"/>
        <v/>
      </c>
      <c r="W1373" s="29" t="str">
        <f>IF(U1373=1,COUNTIF($U$2:U1373,1),"")</f>
        <v/>
      </c>
      <c r="X1373" s="29" t="str">
        <f t="shared" si="67"/>
        <v/>
      </c>
      <c r="Y1373" s="29" t="str">
        <f>IF(AND(LEFT($B1373,7)="SBA 26/",$D1373&lt;&gt;"",$F1373&lt;&gt;""),COUNTIFS($D$2:$D1373,$D1373,$B$2:$B1373,"SBA 26/*",$F$2:$F1373,"&lt;&gt;"),"")</f>
        <v/>
      </c>
      <c r="Z1373" s="29" t="str">
        <f>IF(Y1373=1,COUNTIF($Y$2:Y1373,1),"")</f>
        <v/>
      </c>
      <c r="AA1373" s="29" t="str">
        <f>IF(AND(LEFT($B1373,7)="SBA 26/",$C1373&lt;&gt;"",$F1373&lt;&gt;""),COUNTIFS($C$2:$C1373,$C1373,$B$2:$B1373,"SBA 26/*",$F$2:$F1373,"&lt;&gt;"),"")</f>
        <v/>
      </c>
      <c r="AB1373" s="29" t="str">
        <f>IF(AA1373=1,COUNTIF($AA$2:AA1373,1),"")</f>
        <v/>
      </c>
    </row>
    <row r="1374" spans="6:28" ht="31.5" customHeight="1" x14ac:dyDescent="0.2">
      <c r="F1374" s="45" t="s">
        <v>3935</v>
      </c>
      <c r="T1374" s="41"/>
      <c r="U1374" s="29" t="str">
        <f>IF($C1374&lt;&gt;"",COUNTIF($C$2:C1374,C1374),"")</f>
        <v/>
      </c>
      <c r="V1374" s="29" t="str">
        <f t="shared" si="66"/>
        <v/>
      </c>
      <c r="W1374" s="29" t="str">
        <f>IF(U1374=1,COUNTIF($U$2:U1374,1),"")</f>
        <v/>
      </c>
      <c r="X1374" s="29" t="str">
        <f t="shared" si="67"/>
        <v/>
      </c>
      <c r="Y1374" s="29" t="str">
        <f>IF(AND(LEFT($B1374,7)="SBA 26/",$D1374&lt;&gt;"",$F1374&lt;&gt;""),COUNTIFS($D$2:$D1374,$D1374,$B$2:$B1374,"SBA 26/*",$F$2:$F1374,"&lt;&gt;"),"")</f>
        <v/>
      </c>
      <c r="Z1374" s="29" t="str">
        <f>IF(Y1374=1,COUNTIF($Y$2:Y1374,1),"")</f>
        <v/>
      </c>
      <c r="AA1374" s="29" t="str">
        <f>IF(AND(LEFT($B1374,7)="SBA 26/",$C1374&lt;&gt;"",$F1374&lt;&gt;""),COUNTIFS($C$2:$C1374,$C1374,$B$2:$B1374,"SBA 26/*",$F$2:$F1374,"&lt;&gt;"),"")</f>
        <v/>
      </c>
      <c r="AB1374" s="29" t="str">
        <f>IF(AA1374=1,COUNTIF($AA$2:AA1374,1),"")</f>
        <v/>
      </c>
    </row>
    <row r="1375" spans="6:28" ht="47.25" customHeight="1" x14ac:dyDescent="0.2">
      <c r="F1375" s="45" t="s">
        <v>3936</v>
      </c>
      <c r="T1375" s="41"/>
      <c r="U1375" s="29" t="str">
        <f>IF($C1375&lt;&gt;"",COUNTIF($C$2:C1375,C1375),"")</f>
        <v/>
      </c>
      <c r="V1375" s="29" t="str">
        <f t="shared" si="66"/>
        <v/>
      </c>
      <c r="W1375" s="29" t="str">
        <f>IF(U1375=1,COUNTIF($U$2:U1375,1),"")</f>
        <v/>
      </c>
      <c r="X1375" s="29" t="str">
        <f t="shared" si="67"/>
        <v/>
      </c>
      <c r="Y1375" s="29" t="str">
        <f>IF(AND(LEFT($B1375,7)="SBA 26/",$D1375&lt;&gt;"",$F1375&lt;&gt;""),COUNTIFS($D$2:$D1375,$D1375,$B$2:$B1375,"SBA 26/*",$F$2:$F1375,"&lt;&gt;"),"")</f>
        <v/>
      </c>
      <c r="Z1375" s="29" t="str">
        <f>IF(Y1375=1,COUNTIF($Y$2:Y1375,1),"")</f>
        <v/>
      </c>
      <c r="AA1375" s="29" t="str">
        <f>IF(AND(LEFT($B1375,7)="SBA 26/",$C1375&lt;&gt;"",$F1375&lt;&gt;""),COUNTIFS($C$2:$C1375,$C1375,$B$2:$B1375,"SBA 26/*",$F$2:$F1375,"&lt;&gt;"),"")</f>
        <v/>
      </c>
      <c r="AB1375" s="29" t="str">
        <f>IF(AA1375=1,COUNTIF($AA$2:AA1375,1),"")</f>
        <v/>
      </c>
    </row>
    <row r="1376" spans="6:28" ht="63" customHeight="1" x14ac:dyDescent="0.2">
      <c r="F1376" s="45" t="s">
        <v>3937</v>
      </c>
      <c r="T1376" s="41"/>
      <c r="U1376" s="29" t="str">
        <f>IF($C1376&lt;&gt;"",COUNTIF($C$2:C1376,C1376),"")</f>
        <v/>
      </c>
      <c r="V1376" s="29" t="str">
        <f t="shared" si="66"/>
        <v/>
      </c>
      <c r="W1376" s="29" t="str">
        <f>IF(U1376=1,COUNTIF($U$2:U1376,1),"")</f>
        <v/>
      </c>
      <c r="X1376" s="29" t="str">
        <f t="shared" si="67"/>
        <v/>
      </c>
      <c r="Y1376" s="29" t="str">
        <f>IF(AND(LEFT($B1376,7)="SBA 26/",$D1376&lt;&gt;"",$F1376&lt;&gt;""),COUNTIFS($D$2:$D1376,$D1376,$B$2:$B1376,"SBA 26/*",$F$2:$F1376,"&lt;&gt;"),"")</f>
        <v/>
      </c>
      <c r="Z1376" s="29" t="str">
        <f>IF(Y1376=1,COUNTIF($Y$2:Y1376,1),"")</f>
        <v/>
      </c>
      <c r="AA1376" s="29" t="str">
        <f>IF(AND(LEFT($B1376,7)="SBA 26/",$C1376&lt;&gt;"",$F1376&lt;&gt;""),COUNTIFS($C$2:$C1376,$C1376,$B$2:$B1376,"SBA 26/*",$F$2:$F1376,"&lt;&gt;"),"")</f>
        <v/>
      </c>
      <c r="AB1376" s="29" t="str">
        <f>IF(AA1376=1,COUNTIF($AA$2:AA1376,1),"")</f>
        <v/>
      </c>
    </row>
    <row r="1377" spans="6:28" ht="47.25" customHeight="1" x14ac:dyDescent="0.2">
      <c r="F1377" s="45" t="s">
        <v>3938</v>
      </c>
      <c r="T1377" s="41"/>
      <c r="U1377" s="29" t="str">
        <f>IF($C1377&lt;&gt;"",COUNTIF($C$2:C1377,C1377),"")</f>
        <v/>
      </c>
      <c r="V1377" s="29" t="str">
        <f t="shared" si="66"/>
        <v/>
      </c>
      <c r="W1377" s="29" t="str">
        <f>IF(U1377=1,COUNTIF($U$2:U1377,1),"")</f>
        <v/>
      </c>
      <c r="X1377" s="29" t="str">
        <f t="shared" si="67"/>
        <v/>
      </c>
      <c r="Y1377" s="29" t="str">
        <f>IF(AND(LEFT($B1377,7)="SBA 26/",$D1377&lt;&gt;"",$F1377&lt;&gt;""),COUNTIFS($D$2:$D1377,$D1377,$B$2:$B1377,"SBA 26/*",$F$2:$F1377,"&lt;&gt;"),"")</f>
        <v/>
      </c>
      <c r="Z1377" s="29" t="str">
        <f>IF(Y1377=1,COUNTIF($Y$2:Y1377,1),"")</f>
        <v/>
      </c>
      <c r="AA1377" s="29" t="str">
        <f>IF(AND(LEFT($B1377,7)="SBA 26/",$C1377&lt;&gt;"",$F1377&lt;&gt;""),COUNTIFS($C$2:$C1377,$C1377,$B$2:$B1377,"SBA 26/*",$F$2:$F1377,"&lt;&gt;"),"")</f>
        <v/>
      </c>
      <c r="AB1377" s="29" t="str">
        <f>IF(AA1377=1,COUNTIF($AA$2:AA1377,1),"")</f>
        <v/>
      </c>
    </row>
    <row r="1378" spans="6:28" ht="31.5" customHeight="1" x14ac:dyDescent="0.2">
      <c r="F1378" s="45" t="s">
        <v>3939</v>
      </c>
      <c r="T1378" s="41"/>
      <c r="U1378" s="29" t="str">
        <f>IF($C1378&lt;&gt;"",COUNTIF($C$2:C1378,C1378),"")</f>
        <v/>
      </c>
      <c r="V1378" s="29" t="str">
        <f t="shared" si="66"/>
        <v/>
      </c>
      <c r="W1378" s="29" t="str">
        <f>IF(U1378=1,COUNTIF($U$2:U1378,1),"")</f>
        <v/>
      </c>
      <c r="X1378" s="29" t="str">
        <f t="shared" si="67"/>
        <v/>
      </c>
      <c r="Y1378" s="29" t="str">
        <f>IF(AND(LEFT($B1378,7)="SBA 26/",$D1378&lt;&gt;"",$F1378&lt;&gt;""),COUNTIFS($D$2:$D1378,$D1378,$B$2:$B1378,"SBA 26/*",$F$2:$F1378,"&lt;&gt;"),"")</f>
        <v/>
      </c>
      <c r="Z1378" s="29" t="str">
        <f>IF(Y1378=1,COUNTIF($Y$2:Y1378,1),"")</f>
        <v/>
      </c>
      <c r="AA1378" s="29" t="str">
        <f>IF(AND(LEFT($B1378,7)="SBA 26/",$C1378&lt;&gt;"",$F1378&lt;&gt;""),COUNTIFS($C$2:$C1378,$C1378,$B$2:$B1378,"SBA 26/*",$F$2:$F1378,"&lt;&gt;"),"")</f>
        <v/>
      </c>
      <c r="AB1378" s="29" t="str">
        <f>IF(AA1378=1,COUNTIF($AA$2:AA1378,1),"")</f>
        <v/>
      </c>
    </row>
    <row r="1379" spans="6:28" ht="47.25" customHeight="1" x14ac:dyDescent="0.2">
      <c r="F1379" s="45" t="s">
        <v>3940</v>
      </c>
      <c r="T1379" s="41"/>
      <c r="U1379" s="29" t="str">
        <f>IF($C1379&lt;&gt;"",COUNTIF($C$2:C1379,C1379),"")</f>
        <v/>
      </c>
      <c r="V1379" s="29" t="str">
        <f t="shared" si="66"/>
        <v/>
      </c>
      <c r="W1379" s="29" t="str">
        <f>IF(U1379=1,COUNTIF($U$2:U1379,1),"")</f>
        <v/>
      </c>
      <c r="X1379" s="29" t="str">
        <f t="shared" si="67"/>
        <v/>
      </c>
      <c r="Y1379" s="29" t="str">
        <f>IF(AND(LEFT($B1379,7)="SBA 26/",$D1379&lt;&gt;"",$F1379&lt;&gt;""),COUNTIFS($D$2:$D1379,$D1379,$B$2:$B1379,"SBA 26/*",$F$2:$F1379,"&lt;&gt;"),"")</f>
        <v/>
      </c>
      <c r="Z1379" s="29" t="str">
        <f>IF(Y1379=1,COUNTIF($Y$2:Y1379,1),"")</f>
        <v/>
      </c>
      <c r="AA1379" s="29" t="str">
        <f>IF(AND(LEFT($B1379,7)="SBA 26/",$C1379&lt;&gt;"",$F1379&lt;&gt;""),COUNTIFS($C$2:$C1379,$C1379,$B$2:$B1379,"SBA 26/*",$F$2:$F1379,"&lt;&gt;"),"")</f>
        <v/>
      </c>
      <c r="AB1379" s="29" t="str">
        <f>IF(AA1379=1,COUNTIF($AA$2:AA1379,1),"")</f>
        <v/>
      </c>
    </row>
    <row r="1380" spans="6:28" ht="31.5" customHeight="1" x14ac:dyDescent="0.2">
      <c r="F1380" s="45" t="s">
        <v>3941</v>
      </c>
      <c r="T1380" s="41"/>
      <c r="U1380" s="29" t="str">
        <f>IF($C1380&lt;&gt;"",COUNTIF($C$2:C1380,C1380),"")</f>
        <v/>
      </c>
      <c r="V1380" s="29" t="str">
        <f t="shared" si="66"/>
        <v/>
      </c>
      <c r="W1380" s="29" t="str">
        <f>IF(U1380=1,COUNTIF($U$2:U1380,1),"")</f>
        <v/>
      </c>
      <c r="X1380" s="29" t="str">
        <f t="shared" si="67"/>
        <v/>
      </c>
      <c r="Y1380" s="29" t="str">
        <f>IF(AND(LEFT($B1380,7)="SBA 26/",$D1380&lt;&gt;"",$F1380&lt;&gt;""),COUNTIFS($D$2:$D1380,$D1380,$B$2:$B1380,"SBA 26/*",$F$2:$F1380,"&lt;&gt;"),"")</f>
        <v/>
      </c>
      <c r="Z1380" s="29" t="str">
        <f>IF(Y1380=1,COUNTIF($Y$2:Y1380,1),"")</f>
        <v/>
      </c>
      <c r="AA1380" s="29" t="str">
        <f>IF(AND(LEFT($B1380,7)="SBA 26/",$C1380&lt;&gt;"",$F1380&lt;&gt;""),COUNTIFS($C$2:$C1380,$C1380,$B$2:$B1380,"SBA 26/*",$F$2:$F1380,"&lt;&gt;"),"")</f>
        <v/>
      </c>
      <c r="AB1380" s="29" t="str">
        <f>IF(AA1380=1,COUNTIF($AA$2:AA1380,1),"")</f>
        <v/>
      </c>
    </row>
    <row r="1381" spans="6:28" ht="31.5" customHeight="1" x14ac:dyDescent="0.2">
      <c r="F1381" s="45" t="s">
        <v>3942</v>
      </c>
      <c r="T1381" s="41"/>
      <c r="U1381" s="29" t="str">
        <f>IF($C1381&lt;&gt;"",COUNTIF($C$2:C1381,C1381),"")</f>
        <v/>
      </c>
      <c r="V1381" s="29" t="str">
        <f t="shared" si="66"/>
        <v/>
      </c>
      <c r="W1381" s="29" t="str">
        <f>IF(U1381=1,COUNTIF($U$2:U1381,1),"")</f>
        <v/>
      </c>
      <c r="X1381" s="29" t="str">
        <f t="shared" si="67"/>
        <v/>
      </c>
      <c r="Y1381" s="29" t="str">
        <f>IF(AND(LEFT($B1381,7)="SBA 26/",$D1381&lt;&gt;"",$F1381&lt;&gt;""),COUNTIFS($D$2:$D1381,$D1381,$B$2:$B1381,"SBA 26/*",$F$2:$F1381,"&lt;&gt;"),"")</f>
        <v/>
      </c>
      <c r="Z1381" s="29" t="str">
        <f>IF(Y1381=1,COUNTIF($Y$2:Y1381,1),"")</f>
        <v/>
      </c>
      <c r="AA1381" s="29" t="str">
        <f>IF(AND(LEFT($B1381,7)="SBA 26/",$C1381&lt;&gt;"",$F1381&lt;&gt;""),COUNTIFS($C$2:$C1381,$C1381,$B$2:$B1381,"SBA 26/*",$F$2:$F1381,"&lt;&gt;"),"")</f>
        <v/>
      </c>
      <c r="AB1381" s="29" t="str">
        <f>IF(AA1381=1,COUNTIF($AA$2:AA1381,1),"")</f>
        <v/>
      </c>
    </row>
    <row r="1382" spans="6:28" ht="47.25" customHeight="1" x14ac:dyDescent="0.2">
      <c r="F1382" s="45" t="s">
        <v>3943</v>
      </c>
      <c r="T1382" s="41"/>
      <c r="U1382" s="29" t="str">
        <f>IF($C1382&lt;&gt;"",COUNTIF($C$2:C1382,C1382),"")</f>
        <v/>
      </c>
      <c r="V1382" s="29" t="str">
        <f t="shared" si="66"/>
        <v/>
      </c>
      <c r="W1382" s="29" t="str">
        <f>IF(U1382=1,COUNTIF($U$2:U1382,1),"")</f>
        <v/>
      </c>
      <c r="X1382" s="29" t="str">
        <f t="shared" si="67"/>
        <v/>
      </c>
      <c r="Y1382" s="29" t="str">
        <f>IF(AND(LEFT($B1382,7)="SBA 26/",$D1382&lt;&gt;"",$F1382&lt;&gt;""),COUNTIFS($D$2:$D1382,$D1382,$B$2:$B1382,"SBA 26/*",$F$2:$F1382,"&lt;&gt;"),"")</f>
        <v/>
      </c>
      <c r="Z1382" s="29" t="str">
        <f>IF(Y1382=1,COUNTIF($Y$2:Y1382,1),"")</f>
        <v/>
      </c>
      <c r="AA1382" s="29" t="str">
        <f>IF(AND(LEFT($B1382,7)="SBA 26/",$C1382&lt;&gt;"",$F1382&lt;&gt;""),COUNTIFS($C$2:$C1382,$C1382,$B$2:$B1382,"SBA 26/*",$F$2:$F1382,"&lt;&gt;"),"")</f>
        <v/>
      </c>
      <c r="AB1382" s="29" t="str">
        <f>IF(AA1382=1,COUNTIF($AA$2:AA1382,1),"")</f>
        <v/>
      </c>
    </row>
    <row r="1383" spans="6:28" ht="31.5" customHeight="1" x14ac:dyDescent="0.2">
      <c r="F1383" s="45" t="s">
        <v>3944</v>
      </c>
      <c r="T1383" s="41"/>
      <c r="U1383" s="29" t="str">
        <f>IF($C1383&lt;&gt;"",COUNTIF($C$2:C1383,C1383),"")</f>
        <v/>
      </c>
      <c r="V1383" s="29" t="str">
        <f t="shared" si="66"/>
        <v/>
      </c>
      <c r="W1383" s="29" t="str">
        <f>IF(U1383=1,COUNTIF($U$2:U1383,1),"")</f>
        <v/>
      </c>
      <c r="X1383" s="29" t="str">
        <f t="shared" si="67"/>
        <v/>
      </c>
      <c r="Y1383" s="29" t="str">
        <f>IF(AND(LEFT($B1383,7)="SBA 26/",$D1383&lt;&gt;"",$F1383&lt;&gt;""),COUNTIFS($D$2:$D1383,$D1383,$B$2:$B1383,"SBA 26/*",$F$2:$F1383,"&lt;&gt;"),"")</f>
        <v/>
      </c>
      <c r="Z1383" s="29" t="str">
        <f>IF(Y1383=1,COUNTIF($Y$2:Y1383,1),"")</f>
        <v/>
      </c>
      <c r="AA1383" s="29" t="str">
        <f>IF(AND(LEFT($B1383,7)="SBA 26/",$C1383&lt;&gt;"",$F1383&lt;&gt;""),COUNTIFS($C$2:$C1383,$C1383,$B$2:$B1383,"SBA 26/*",$F$2:$F1383,"&lt;&gt;"),"")</f>
        <v/>
      </c>
      <c r="AB1383" s="29" t="str">
        <f>IF(AA1383=1,COUNTIF($AA$2:AA1383,1),"")</f>
        <v/>
      </c>
    </row>
    <row r="1384" spans="6:28" ht="47.25" customHeight="1" x14ac:dyDescent="0.2">
      <c r="F1384" s="45" t="s">
        <v>3945</v>
      </c>
      <c r="T1384" s="41"/>
      <c r="U1384" s="29" t="str">
        <f>IF($C1384&lt;&gt;"",COUNTIF($C$2:C1384,C1384),"")</f>
        <v/>
      </c>
      <c r="V1384" s="29" t="str">
        <f t="shared" si="66"/>
        <v/>
      </c>
      <c r="W1384" s="29" t="str">
        <f>IF(U1384=1,COUNTIF($U$2:U1384,1),"")</f>
        <v/>
      </c>
      <c r="X1384" s="29" t="str">
        <f t="shared" si="67"/>
        <v/>
      </c>
      <c r="Y1384" s="29" t="str">
        <f>IF(AND(LEFT($B1384,7)="SBA 26/",$D1384&lt;&gt;"",$F1384&lt;&gt;""),COUNTIFS($D$2:$D1384,$D1384,$B$2:$B1384,"SBA 26/*",$F$2:$F1384,"&lt;&gt;"),"")</f>
        <v/>
      </c>
      <c r="Z1384" s="29" t="str">
        <f>IF(Y1384=1,COUNTIF($Y$2:Y1384,1),"")</f>
        <v/>
      </c>
      <c r="AA1384" s="29" t="str">
        <f>IF(AND(LEFT($B1384,7)="SBA 26/",$C1384&lt;&gt;"",$F1384&lt;&gt;""),COUNTIFS($C$2:$C1384,$C1384,$B$2:$B1384,"SBA 26/*",$F$2:$F1384,"&lt;&gt;"),"")</f>
        <v/>
      </c>
      <c r="AB1384" s="29" t="str">
        <f>IF(AA1384=1,COUNTIF($AA$2:AA1384,1),"")</f>
        <v/>
      </c>
    </row>
    <row r="1385" spans="6:28" ht="47.25" customHeight="1" x14ac:dyDescent="0.2">
      <c r="F1385" s="45" t="s">
        <v>3946</v>
      </c>
      <c r="T1385" s="41"/>
      <c r="U1385" s="29" t="str">
        <f>IF($C1385&lt;&gt;"",COUNTIF($C$2:C1385,C1385),"")</f>
        <v/>
      </c>
      <c r="V1385" s="29" t="str">
        <f t="shared" si="66"/>
        <v/>
      </c>
      <c r="W1385" s="29" t="str">
        <f>IF(U1385=1,COUNTIF($U$2:U1385,1),"")</f>
        <v/>
      </c>
      <c r="X1385" s="29" t="str">
        <f t="shared" si="67"/>
        <v/>
      </c>
      <c r="Y1385" s="29" t="str">
        <f>IF(AND(LEFT($B1385,7)="SBA 26/",$D1385&lt;&gt;"",$F1385&lt;&gt;""),COUNTIFS($D$2:$D1385,$D1385,$B$2:$B1385,"SBA 26/*",$F$2:$F1385,"&lt;&gt;"),"")</f>
        <v/>
      </c>
      <c r="Z1385" s="29" t="str">
        <f>IF(Y1385=1,COUNTIF($Y$2:Y1385,1),"")</f>
        <v/>
      </c>
      <c r="AA1385" s="29" t="str">
        <f>IF(AND(LEFT($B1385,7)="SBA 26/",$C1385&lt;&gt;"",$F1385&lt;&gt;""),COUNTIFS($C$2:$C1385,$C1385,$B$2:$B1385,"SBA 26/*",$F$2:$F1385,"&lt;&gt;"),"")</f>
        <v/>
      </c>
      <c r="AB1385" s="29" t="str">
        <f>IF(AA1385=1,COUNTIF($AA$2:AA1385,1),"")</f>
        <v/>
      </c>
    </row>
    <row r="1386" spans="6:28" ht="63" customHeight="1" x14ac:dyDescent="0.2">
      <c r="F1386" s="45" t="s">
        <v>3947</v>
      </c>
      <c r="T1386" s="41"/>
      <c r="U1386" s="29" t="str">
        <f>IF($C1386&lt;&gt;"",COUNTIF($C$2:C1386,C1386),"")</f>
        <v/>
      </c>
      <c r="V1386" s="29" t="str">
        <f t="shared" si="66"/>
        <v/>
      </c>
      <c r="W1386" s="29" t="str">
        <f>IF(U1386=1,COUNTIF($U$2:U1386,1),"")</f>
        <v/>
      </c>
      <c r="X1386" s="29" t="str">
        <f t="shared" si="67"/>
        <v/>
      </c>
      <c r="Y1386" s="29" t="str">
        <f>IF(AND(LEFT($B1386,7)="SBA 26/",$D1386&lt;&gt;"",$F1386&lt;&gt;""),COUNTIFS($D$2:$D1386,$D1386,$B$2:$B1386,"SBA 26/*",$F$2:$F1386,"&lt;&gt;"),"")</f>
        <v/>
      </c>
      <c r="Z1386" s="29" t="str">
        <f>IF(Y1386=1,COUNTIF($Y$2:Y1386,1),"")</f>
        <v/>
      </c>
      <c r="AA1386" s="29" t="str">
        <f>IF(AND(LEFT($B1386,7)="SBA 26/",$C1386&lt;&gt;"",$F1386&lt;&gt;""),COUNTIFS($C$2:$C1386,$C1386,$B$2:$B1386,"SBA 26/*",$F$2:$F1386,"&lt;&gt;"),"")</f>
        <v/>
      </c>
      <c r="AB1386" s="29" t="str">
        <f>IF(AA1386=1,COUNTIF($AA$2:AA1386,1),"")</f>
        <v/>
      </c>
    </row>
    <row r="1387" spans="6:28" ht="31.5" customHeight="1" x14ac:dyDescent="0.2">
      <c r="F1387" s="45" t="s">
        <v>3948</v>
      </c>
      <c r="T1387" s="41"/>
      <c r="U1387" s="29" t="str">
        <f>IF($C1387&lt;&gt;"",COUNTIF($C$2:C1387,C1387),"")</f>
        <v/>
      </c>
      <c r="V1387" s="29" t="str">
        <f t="shared" si="66"/>
        <v/>
      </c>
      <c r="W1387" s="29" t="str">
        <f>IF(U1387=1,COUNTIF($U$2:U1387,1),"")</f>
        <v/>
      </c>
      <c r="X1387" s="29" t="str">
        <f t="shared" si="67"/>
        <v/>
      </c>
      <c r="Y1387" s="29" t="str">
        <f>IF(AND(LEFT($B1387,7)="SBA 26/",$D1387&lt;&gt;"",$F1387&lt;&gt;""),COUNTIFS($D$2:$D1387,$D1387,$B$2:$B1387,"SBA 26/*",$F$2:$F1387,"&lt;&gt;"),"")</f>
        <v/>
      </c>
      <c r="Z1387" s="29" t="str">
        <f>IF(Y1387=1,COUNTIF($Y$2:Y1387,1),"")</f>
        <v/>
      </c>
      <c r="AA1387" s="29" t="str">
        <f>IF(AND(LEFT($B1387,7)="SBA 26/",$C1387&lt;&gt;"",$F1387&lt;&gt;""),COUNTIFS($C$2:$C1387,$C1387,$B$2:$B1387,"SBA 26/*",$F$2:$F1387,"&lt;&gt;"),"")</f>
        <v/>
      </c>
      <c r="AB1387" s="29" t="str">
        <f>IF(AA1387=1,COUNTIF($AA$2:AA1387,1),"")</f>
        <v/>
      </c>
    </row>
    <row r="1388" spans="6:28" ht="31.5" customHeight="1" x14ac:dyDescent="0.2">
      <c r="F1388" s="45" t="s">
        <v>3949</v>
      </c>
      <c r="T1388" s="41"/>
      <c r="U1388" s="29" t="str">
        <f>IF($C1388&lt;&gt;"",COUNTIF($C$2:C1388,C1388),"")</f>
        <v/>
      </c>
      <c r="V1388" s="29" t="str">
        <f t="shared" si="66"/>
        <v/>
      </c>
      <c r="W1388" s="29" t="str">
        <f>IF(U1388=1,COUNTIF($U$2:U1388,1),"")</f>
        <v/>
      </c>
      <c r="X1388" s="29" t="str">
        <f t="shared" si="67"/>
        <v/>
      </c>
      <c r="Y1388" s="29" t="str">
        <f>IF(AND(LEFT($B1388,7)="SBA 26/",$D1388&lt;&gt;"",$F1388&lt;&gt;""),COUNTIFS($D$2:$D1388,$D1388,$B$2:$B1388,"SBA 26/*",$F$2:$F1388,"&lt;&gt;"),"")</f>
        <v/>
      </c>
      <c r="Z1388" s="29" t="str">
        <f>IF(Y1388=1,COUNTIF($Y$2:Y1388,1),"")</f>
        <v/>
      </c>
      <c r="AA1388" s="29" t="str">
        <f>IF(AND(LEFT($B1388,7)="SBA 26/",$C1388&lt;&gt;"",$F1388&lt;&gt;""),COUNTIFS($C$2:$C1388,$C1388,$B$2:$B1388,"SBA 26/*",$F$2:$F1388,"&lt;&gt;"),"")</f>
        <v/>
      </c>
      <c r="AB1388" s="29" t="str">
        <f>IF(AA1388=1,COUNTIF($AA$2:AA1388,1),"")</f>
        <v/>
      </c>
    </row>
    <row r="1389" spans="6:28" ht="31.5" customHeight="1" x14ac:dyDescent="0.2">
      <c r="F1389" s="45" t="s">
        <v>3950</v>
      </c>
      <c r="T1389" s="41"/>
      <c r="U1389" s="29" t="str">
        <f>IF($C1389&lt;&gt;"",COUNTIF($C$2:C1389,C1389),"")</f>
        <v/>
      </c>
      <c r="V1389" s="29" t="str">
        <f t="shared" si="66"/>
        <v/>
      </c>
      <c r="W1389" s="29" t="str">
        <f>IF(U1389=1,COUNTIF($U$2:U1389,1),"")</f>
        <v/>
      </c>
      <c r="X1389" s="29" t="str">
        <f t="shared" si="67"/>
        <v/>
      </c>
      <c r="Y1389" s="29" t="str">
        <f>IF(AND(LEFT($B1389,7)="SBA 26/",$D1389&lt;&gt;"",$F1389&lt;&gt;""),COUNTIFS($D$2:$D1389,$D1389,$B$2:$B1389,"SBA 26/*",$F$2:$F1389,"&lt;&gt;"),"")</f>
        <v/>
      </c>
      <c r="Z1389" s="29" t="str">
        <f>IF(Y1389=1,COUNTIF($Y$2:Y1389,1),"")</f>
        <v/>
      </c>
      <c r="AA1389" s="29" t="str">
        <f>IF(AND(LEFT($B1389,7)="SBA 26/",$C1389&lt;&gt;"",$F1389&lt;&gt;""),COUNTIFS($C$2:$C1389,$C1389,$B$2:$B1389,"SBA 26/*",$F$2:$F1389,"&lt;&gt;"),"")</f>
        <v/>
      </c>
      <c r="AB1389" s="29" t="str">
        <f>IF(AA1389=1,COUNTIF($AA$2:AA1389,1),"")</f>
        <v/>
      </c>
    </row>
    <row r="1390" spans="6:28" ht="63" customHeight="1" x14ac:dyDescent="0.2">
      <c r="F1390" s="45" t="s">
        <v>3951</v>
      </c>
      <c r="T1390" s="41"/>
      <c r="U1390" s="29" t="str">
        <f>IF($C1390&lt;&gt;"",COUNTIF($C$2:C1390,C1390),"")</f>
        <v/>
      </c>
      <c r="V1390" s="29" t="str">
        <f t="shared" si="66"/>
        <v/>
      </c>
      <c r="W1390" s="29" t="str">
        <f>IF(U1390=1,COUNTIF($U$2:U1390,1),"")</f>
        <v/>
      </c>
      <c r="X1390" s="29" t="str">
        <f t="shared" si="67"/>
        <v/>
      </c>
      <c r="Y1390" s="29" t="str">
        <f>IF(AND(LEFT($B1390,7)="SBA 26/",$D1390&lt;&gt;"",$F1390&lt;&gt;""),COUNTIFS($D$2:$D1390,$D1390,$B$2:$B1390,"SBA 26/*",$F$2:$F1390,"&lt;&gt;"),"")</f>
        <v/>
      </c>
      <c r="Z1390" s="29" t="str">
        <f>IF(Y1390=1,COUNTIF($Y$2:Y1390,1),"")</f>
        <v/>
      </c>
      <c r="AA1390" s="29" t="str">
        <f>IF(AND(LEFT($B1390,7)="SBA 26/",$C1390&lt;&gt;"",$F1390&lt;&gt;""),COUNTIFS($C$2:$C1390,$C1390,$B$2:$B1390,"SBA 26/*",$F$2:$F1390,"&lt;&gt;"),"")</f>
        <v/>
      </c>
      <c r="AB1390" s="29" t="str">
        <f>IF(AA1390=1,COUNTIF($AA$2:AA1390,1),"")</f>
        <v/>
      </c>
    </row>
    <row r="1391" spans="6:28" ht="47.25" customHeight="1" x14ac:dyDescent="0.2">
      <c r="F1391" s="45" t="s">
        <v>3952</v>
      </c>
      <c r="T1391" s="41"/>
      <c r="U1391" s="29" t="str">
        <f>IF($C1391&lt;&gt;"",COUNTIF($C$2:C1391,C1391),"")</f>
        <v/>
      </c>
      <c r="V1391" s="29" t="str">
        <f t="shared" si="66"/>
        <v/>
      </c>
      <c r="W1391" s="29" t="str">
        <f>IF(U1391=1,COUNTIF($U$2:U1391,1),"")</f>
        <v/>
      </c>
      <c r="X1391" s="29" t="str">
        <f t="shared" si="67"/>
        <v/>
      </c>
      <c r="Y1391" s="29" t="str">
        <f>IF(AND(LEFT($B1391,7)="SBA 26/",$D1391&lt;&gt;"",$F1391&lt;&gt;""),COUNTIFS($D$2:$D1391,$D1391,$B$2:$B1391,"SBA 26/*",$F$2:$F1391,"&lt;&gt;"),"")</f>
        <v/>
      </c>
      <c r="Z1391" s="29" t="str">
        <f>IF(Y1391=1,COUNTIF($Y$2:Y1391,1),"")</f>
        <v/>
      </c>
      <c r="AA1391" s="29" t="str">
        <f>IF(AND(LEFT($B1391,7)="SBA 26/",$C1391&lt;&gt;"",$F1391&lt;&gt;""),COUNTIFS($C$2:$C1391,$C1391,$B$2:$B1391,"SBA 26/*",$F$2:$F1391,"&lt;&gt;"),"")</f>
        <v/>
      </c>
      <c r="AB1391" s="29" t="str">
        <f>IF(AA1391=1,COUNTIF($AA$2:AA1391,1),"")</f>
        <v/>
      </c>
    </row>
    <row r="1392" spans="6:28" ht="63" customHeight="1" x14ac:dyDescent="0.2">
      <c r="F1392" s="45" t="s">
        <v>3953</v>
      </c>
      <c r="T1392" s="41"/>
      <c r="U1392" s="29" t="str">
        <f>IF($C1392&lt;&gt;"",COUNTIF($C$2:C1392,C1392),"")</f>
        <v/>
      </c>
      <c r="V1392" s="29" t="str">
        <f t="shared" si="66"/>
        <v/>
      </c>
      <c r="W1392" s="29" t="str">
        <f>IF(U1392=1,COUNTIF($U$2:U1392,1),"")</f>
        <v/>
      </c>
      <c r="X1392" s="29" t="str">
        <f t="shared" si="67"/>
        <v/>
      </c>
      <c r="Y1392" s="29" t="str">
        <f>IF(AND(LEFT($B1392,7)="SBA 26/",$D1392&lt;&gt;"",$F1392&lt;&gt;""),COUNTIFS($D$2:$D1392,$D1392,$B$2:$B1392,"SBA 26/*",$F$2:$F1392,"&lt;&gt;"),"")</f>
        <v/>
      </c>
      <c r="Z1392" s="29" t="str">
        <f>IF(Y1392=1,COUNTIF($Y$2:Y1392,1),"")</f>
        <v/>
      </c>
      <c r="AA1392" s="29" t="str">
        <f>IF(AND(LEFT($B1392,7)="SBA 26/",$C1392&lt;&gt;"",$F1392&lt;&gt;""),COUNTIFS($C$2:$C1392,$C1392,$B$2:$B1392,"SBA 26/*",$F$2:$F1392,"&lt;&gt;"),"")</f>
        <v/>
      </c>
      <c r="AB1392" s="29" t="str">
        <f>IF(AA1392=1,COUNTIF($AA$2:AA1392,1),"")</f>
        <v/>
      </c>
    </row>
    <row r="1393" spans="6:28" ht="63" customHeight="1" x14ac:dyDescent="0.2">
      <c r="F1393" s="45" t="s">
        <v>3954</v>
      </c>
      <c r="T1393" s="41"/>
      <c r="U1393" s="29" t="str">
        <f>IF($C1393&lt;&gt;"",COUNTIF($C$2:C1393,C1393),"")</f>
        <v/>
      </c>
      <c r="V1393" s="29" t="str">
        <f t="shared" si="66"/>
        <v/>
      </c>
      <c r="W1393" s="29" t="str">
        <f>IF(U1393=1,COUNTIF($U$2:U1393,1),"")</f>
        <v/>
      </c>
      <c r="X1393" s="29" t="str">
        <f t="shared" si="67"/>
        <v/>
      </c>
      <c r="Y1393" s="29" t="str">
        <f>IF(AND(LEFT($B1393,7)="SBA 26/",$D1393&lt;&gt;"",$F1393&lt;&gt;""),COUNTIFS($D$2:$D1393,$D1393,$B$2:$B1393,"SBA 26/*",$F$2:$F1393,"&lt;&gt;"),"")</f>
        <v/>
      </c>
      <c r="Z1393" s="29" t="str">
        <f>IF(Y1393=1,COUNTIF($Y$2:Y1393,1),"")</f>
        <v/>
      </c>
      <c r="AA1393" s="29" t="str">
        <f>IF(AND(LEFT($B1393,7)="SBA 26/",$C1393&lt;&gt;"",$F1393&lt;&gt;""),COUNTIFS($C$2:$C1393,$C1393,$B$2:$B1393,"SBA 26/*",$F$2:$F1393,"&lt;&gt;"),"")</f>
        <v/>
      </c>
      <c r="AB1393" s="29" t="str">
        <f>IF(AA1393=1,COUNTIF($AA$2:AA1393,1),"")</f>
        <v/>
      </c>
    </row>
    <row r="1394" spans="6:28" ht="47.25" customHeight="1" x14ac:dyDescent="0.2">
      <c r="F1394" s="45" t="s">
        <v>3955</v>
      </c>
      <c r="T1394" s="41"/>
      <c r="U1394" s="29" t="str">
        <f>IF($C1394&lt;&gt;"",COUNTIF($C$2:C1394,C1394),"")</f>
        <v/>
      </c>
      <c r="V1394" s="29" t="str">
        <f t="shared" si="66"/>
        <v/>
      </c>
      <c r="W1394" s="29" t="str">
        <f>IF(U1394=1,COUNTIF($U$2:U1394,1),"")</f>
        <v/>
      </c>
      <c r="X1394" s="29" t="str">
        <f t="shared" si="67"/>
        <v/>
      </c>
      <c r="Y1394" s="29" t="str">
        <f>IF(AND(LEFT($B1394,7)="SBA 26/",$D1394&lt;&gt;"",$F1394&lt;&gt;""),COUNTIFS($D$2:$D1394,$D1394,$B$2:$B1394,"SBA 26/*",$F$2:$F1394,"&lt;&gt;"),"")</f>
        <v/>
      </c>
      <c r="Z1394" s="29" t="str">
        <f>IF(Y1394=1,COUNTIF($Y$2:Y1394,1),"")</f>
        <v/>
      </c>
      <c r="AA1394" s="29" t="str">
        <f>IF(AND(LEFT($B1394,7)="SBA 26/",$C1394&lt;&gt;"",$F1394&lt;&gt;""),COUNTIFS($C$2:$C1394,$C1394,$B$2:$B1394,"SBA 26/*",$F$2:$F1394,"&lt;&gt;"),"")</f>
        <v/>
      </c>
      <c r="AB1394" s="29" t="str">
        <f>IF(AA1394=1,COUNTIF($AA$2:AA1394,1),"")</f>
        <v/>
      </c>
    </row>
    <row r="1395" spans="6:28" ht="31.5" customHeight="1" x14ac:dyDescent="0.2">
      <c r="F1395" s="45" t="s">
        <v>3956</v>
      </c>
      <c r="T1395" s="41"/>
      <c r="U1395" s="29" t="str">
        <f>IF($C1395&lt;&gt;"",COUNTIF($C$2:C1395,C1395),"")</f>
        <v/>
      </c>
      <c r="V1395" s="29" t="str">
        <f t="shared" si="66"/>
        <v/>
      </c>
      <c r="W1395" s="29" t="str">
        <f>IF(U1395=1,COUNTIF($U$2:U1395,1),"")</f>
        <v/>
      </c>
      <c r="X1395" s="29" t="str">
        <f t="shared" si="67"/>
        <v/>
      </c>
      <c r="Y1395" s="29" t="str">
        <f>IF(AND(LEFT($B1395,7)="SBA 26/",$D1395&lt;&gt;"",$F1395&lt;&gt;""),COUNTIFS($D$2:$D1395,$D1395,$B$2:$B1395,"SBA 26/*",$F$2:$F1395,"&lt;&gt;"),"")</f>
        <v/>
      </c>
      <c r="Z1395" s="29" t="str">
        <f>IF(Y1395=1,COUNTIF($Y$2:Y1395,1),"")</f>
        <v/>
      </c>
      <c r="AA1395" s="29" t="str">
        <f>IF(AND(LEFT($B1395,7)="SBA 26/",$C1395&lt;&gt;"",$F1395&lt;&gt;""),COUNTIFS($C$2:$C1395,$C1395,$B$2:$B1395,"SBA 26/*",$F$2:$F1395,"&lt;&gt;"),"")</f>
        <v/>
      </c>
      <c r="AB1395" s="29" t="str">
        <f>IF(AA1395=1,COUNTIF($AA$2:AA1395,1),"")</f>
        <v/>
      </c>
    </row>
    <row r="1396" spans="6:28" ht="31.5" customHeight="1" x14ac:dyDescent="0.2">
      <c r="F1396" s="45" t="s">
        <v>3957</v>
      </c>
      <c r="T1396" s="41"/>
      <c r="U1396" s="29" t="str">
        <f>IF($C1396&lt;&gt;"",COUNTIF($C$2:C1396,C1396),"")</f>
        <v/>
      </c>
      <c r="V1396" s="29" t="str">
        <f t="shared" si="66"/>
        <v/>
      </c>
      <c r="W1396" s="29" t="str">
        <f>IF(U1396=1,COUNTIF($U$2:U1396,1),"")</f>
        <v/>
      </c>
      <c r="X1396" s="29" t="str">
        <f t="shared" si="67"/>
        <v/>
      </c>
      <c r="Y1396" s="29" t="str">
        <f>IF(AND(LEFT($B1396,7)="SBA 26/",$D1396&lt;&gt;"",$F1396&lt;&gt;""),COUNTIFS($D$2:$D1396,$D1396,$B$2:$B1396,"SBA 26/*",$F$2:$F1396,"&lt;&gt;"),"")</f>
        <v/>
      </c>
      <c r="Z1396" s="29" t="str">
        <f>IF(Y1396=1,COUNTIF($Y$2:Y1396,1),"")</f>
        <v/>
      </c>
      <c r="AA1396" s="29" t="str">
        <f>IF(AND(LEFT($B1396,7)="SBA 26/",$C1396&lt;&gt;"",$F1396&lt;&gt;""),COUNTIFS($C$2:$C1396,$C1396,$B$2:$B1396,"SBA 26/*",$F$2:$F1396,"&lt;&gt;"),"")</f>
        <v/>
      </c>
      <c r="AB1396" s="29" t="str">
        <f>IF(AA1396=1,COUNTIF($AA$2:AA1396,1),"")</f>
        <v/>
      </c>
    </row>
    <row r="1397" spans="6:28" ht="47.25" customHeight="1" x14ac:dyDescent="0.2">
      <c r="F1397" s="45" t="s">
        <v>3958</v>
      </c>
      <c r="T1397" s="41"/>
      <c r="U1397" s="29" t="str">
        <f>IF($C1397&lt;&gt;"",COUNTIF($C$2:C1397,C1397),"")</f>
        <v/>
      </c>
      <c r="V1397" s="29" t="str">
        <f t="shared" si="66"/>
        <v/>
      </c>
      <c r="W1397" s="29" t="str">
        <f>IF(U1397=1,COUNTIF($U$2:U1397,1),"")</f>
        <v/>
      </c>
      <c r="X1397" s="29" t="str">
        <f t="shared" si="67"/>
        <v/>
      </c>
      <c r="Y1397" s="29" t="str">
        <f>IF(AND(LEFT($B1397,7)="SBA 26/",$D1397&lt;&gt;"",$F1397&lt;&gt;""),COUNTIFS($D$2:$D1397,$D1397,$B$2:$B1397,"SBA 26/*",$F$2:$F1397,"&lt;&gt;"),"")</f>
        <v/>
      </c>
      <c r="Z1397" s="29" t="str">
        <f>IF(Y1397=1,COUNTIF($Y$2:Y1397,1),"")</f>
        <v/>
      </c>
      <c r="AA1397" s="29" t="str">
        <f>IF(AND(LEFT($B1397,7)="SBA 26/",$C1397&lt;&gt;"",$F1397&lt;&gt;""),COUNTIFS($C$2:$C1397,$C1397,$B$2:$B1397,"SBA 26/*",$F$2:$F1397,"&lt;&gt;"),"")</f>
        <v/>
      </c>
      <c r="AB1397" s="29" t="str">
        <f>IF(AA1397=1,COUNTIF($AA$2:AA1397,1),"")</f>
        <v/>
      </c>
    </row>
    <row r="1398" spans="6:28" ht="31.5" customHeight="1" x14ac:dyDescent="0.2">
      <c r="F1398" s="45" t="s">
        <v>3959</v>
      </c>
      <c r="T1398" s="41"/>
      <c r="U1398" s="29" t="str">
        <f>IF($C1398&lt;&gt;"",COUNTIF($C$2:C1398,C1398),"")</f>
        <v/>
      </c>
      <c r="V1398" s="29" t="str">
        <f t="shared" si="66"/>
        <v/>
      </c>
      <c r="W1398" s="29" t="str">
        <f>IF(U1398=1,COUNTIF($U$2:U1398,1),"")</f>
        <v/>
      </c>
      <c r="X1398" s="29" t="str">
        <f t="shared" si="67"/>
        <v/>
      </c>
      <c r="Y1398" s="29" t="str">
        <f>IF(AND(LEFT($B1398,7)="SBA 26/",$D1398&lt;&gt;"",$F1398&lt;&gt;""),COUNTIFS($D$2:$D1398,$D1398,$B$2:$B1398,"SBA 26/*",$F$2:$F1398,"&lt;&gt;"),"")</f>
        <v/>
      </c>
      <c r="Z1398" s="29" t="str">
        <f>IF(Y1398=1,COUNTIF($Y$2:Y1398,1),"")</f>
        <v/>
      </c>
      <c r="AA1398" s="29" t="str">
        <f>IF(AND(LEFT($B1398,7)="SBA 26/",$C1398&lt;&gt;"",$F1398&lt;&gt;""),COUNTIFS($C$2:$C1398,$C1398,$B$2:$B1398,"SBA 26/*",$F$2:$F1398,"&lt;&gt;"),"")</f>
        <v/>
      </c>
      <c r="AB1398" s="29" t="str">
        <f>IF(AA1398=1,COUNTIF($AA$2:AA1398,1),"")</f>
        <v/>
      </c>
    </row>
    <row r="1399" spans="6:28" ht="47.25" customHeight="1" x14ac:dyDescent="0.2">
      <c r="F1399" s="45" t="s">
        <v>3960</v>
      </c>
      <c r="T1399" s="41"/>
      <c r="U1399" s="29" t="str">
        <f>IF($C1399&lt;&gt;"",COUNTIF($C$2:C1399,C1399),"")</f>
        <v/>
      </c>
      <c r="V1399" s="29" t="str">
        <f t="shared" si="66"/>
        <v/>
      </c>
      <c r="W1399" s="29" t="str">
        <f>IF(U1399=1,COUNTIF($U$2:U1399,1),"")</f>
        <v/>
      </c>
      <c r="X1399" s="29" t="str">
        <f t="shared" si="67"/>
        <v/>
      </c>
      <c r="Y1399" s="29" t="str">
        <f>IF(AND(LEFT($B1399,7)="SBA 26/",$D1399&lt;&gt;"",$F1399&lt;&gt;""),COUNTIFS($D$2:$D1399,$D1399,$B$2:$B1399,"SBA 26/*",$F$2:$F1399,"&lt;&gt;"),"")</f>
        <v/>
      </c>
      <c r="Z1399" s="29" t="str">
        <f>IF(Y1399=1,COUNTIF($Y$2:Y1399,1),"")</f>
        <v/>
      </c>
      <c r="AA1399" s="29" t="str">
        <f>IF(AND(LEFT($B1399,7)="SBA 26/",$C1399&lt;&gt;"",$F1399&lt;&gt;""),COUNTIFS($C$2:$C1399,$C1399,$B$2:$B1399,"SBA 26/*",$F$2:$F1399,"&lt;&gt;"),"")</f>
        <v/>
      </c>
      <c r="AB1399" s="29" t="str">
        <f>IF(AA1399=1,COUNTIF($AA$2:AA1399,1),"")</f>
        <v/>
      </c>
    </row>
    <row r="1400" spans="6:28" ht="31.5" customHeight="1" x14ac:dyDescent="0.2">
      <c r="F1400" s="45" t="s">
        <v>3961</v>
      </c>
      <c r="T1400" s="41"/>
      <c r="U1400" s="29" t="str">
        <f>IF($C1400&lt;&gt;"",COUNTIF($C$2:C1400,C1400),"")</f>
        <v/>
      </c>
      <c r="V1400" s="29" t="str">
        <f t="shared" si="66"/>
        <v/>
      </c>
      <c r="W1400" s="29" t="str">
        <f>IF(U1400=1,COUNTIF($U$2:U1400,1),"")</f>
        <v/>
      </c>
      <c r="X1400" s="29" t="str">
        <f t="shared" si="67"/>
        <v/>
      </c>
      <c r="Y1400" s="29" t="str">
        <f>IF(AND(LEFT($B1400,7)="SBA 26/",$D1400&lt;&gt;"",$F1400&lt;&gt;""),COUNTIFS($D$2:$D1400,$D1400,$B$2:$B1400,"SBA 26/*",$F$2:$F1400,"&lt;&gt;"),"")</f>
        <v/>
      </c>
      <c r="Z1400" s="29" t="str">
        <f>IF(Y1400=1,COUNTIF($Y$2:Y1400,1),"")</f>
        <v/>
      </c>
      <c r="AA1400" s="29" t="str">
        <f>IF(AND(LEFT($B1400,7)="SBA 26/",$C1400&lt;&gt;"",$F1400&lt;&gt;""),COUNTIFS($C$2:$C1400,$C1400,$B$2:$B1400,"SBA 26/*",$F$2:$F1400,"&lt;&gt;"),"")</f>
        <v/>
      </c>
      <c r="AB1400" s="29" t="str">
        <f>IF(AA1400=1,COUNTIF($AA$2:AA1400,1),"")</f>
        <v/>
      </c>
    </row>
    <row r="1401" spans="6:28" ht="31.5" customHeight="1" x14ac:dyDescent="0.2">
      <c r="F1401" s="45" t="s">
        <v>3962</v>
      </c>
      <c r="T1401" s="41"/>
      <c r="U1401" s="29" t="str">
        <f>IF($C1401&lt;&gt;"",COUNTIF($C$2:C1401,C1401),"")</f>
        <v/>
      </c>
      <c r="V1401" s="29" t="str">
        <f t="shared" si="66"/>
        <v/>
      </c>
      <c r="W1401" s="29" t="str">
        <f>IF(U1401=1,COUNTIF($U$2:U1401,1),"")</f>
        <v/>
      </c>
      <c r="X1401" s="29" t="str">
        <f t="shared" si="67"/>
        <v/>
      </c>
      <c r="Y1401" s="29" t="str">
        <f>IF(AND(LEFT($B1401,7)="SBA 26/",$D1401&lt;&gt;"",$F1401&lt;&gt;""),COUNTIFS($D$2:$D1401,$D1401,$B$2:$B1401,"SBA 26/*",$F$2:$F1401,"&lt;&gt;"),"")</f>
        <v/>
      </c>
      <c r="Z1401" s="29" t="str">
        <f>IF(Y1401=1,COUNTIF($Y$2:Y1401,1),"")</f>
        <v/>
      </c>
      <c r="AA1401" s="29" t="str">
        <f>IF(AND(LEFT($B1401,7)="SBA 26/",$C1401&lt;&gt;"",$F1401&lt;&gt;""),COUNTIFS($C$2:$C1401,$C1401,$B$2:$B1401,"SBA 26/*",$F$2:$F1401,"&lt;&gt;"),"")</f>
        <v/>
      </c>
      <c r="AB1401" s="29" t="str">
        <f>IF(AA1401=1,COUNTIF($AA$2:AA1401,1),"")</f>
        <v/>
      </c>
    </row>
    <row r="1402" spans="6:28" ht="31.5" customHeight="1" x14ac:dyDescent="0.2">
      <c r="F1402" s="45" t="s">
        <v>3963</v>
      </c>
      <c r="T1402" s="41"/>
      <c r="U1402" s="29" t="str">
        <f>IF($C1402&lt;&gt;"",COUNTIF($C$2:C1402,C1402),"")</f>
        <v/>
      </c>
      <c r="V1402" s="29" t="str">
        <f t="shared" si="66"/>
        <v/>
      </c>
      <c r="W1402" s="29" t="str">
        <f>IF(U1402=1,COUNTIF($U$2:U1402,1),"")</f>
        <v/>
      </c>
      <c r="X1402" s="29" t="str">
        <f t="shared" si="67"/>
        <v/>
      </c>
      <c r="Y1402" s="29" t="str">
        <f>IF(AND(LEFT($B1402,7)="SBA 26/",$D1402&lt;&gt;"",$F1402&lt;&gt;""),COUNTIFS($D$2:$D1402,$D1402,$B$2:$B1402,"SBA 26/*",$F$2:$F1402,"&lt;&gt;"),"")</f>
        <v/>
      </c>
      <c r="Z1402" s="29" t="str">
        <f>IF(Y1402=1,COUNTIF($Y$2:Y1402,1),"")</f>
        <v/>
      </c>
      <c r="AA1402" s="29" t="str">
        <f>IF(AND(LEFT($B1402,7)="SBA 26/",$C1402&lt;&gt;"",$F1402&lt;&gt;""),COUNTIFS($C$2:$C1402,$C1402,$B$2:$B1402,"SBA 26/*",$F$2:$F1402,"&lt;&gt;"),"")</f>
        <v/>
      </c>
      <c r="AB1402" s="29" t="str">
        <f>IF(AA1402=1,COUNTIF($AA$2:AA1402,1),"")</f>
        <v/>
      </c>
    </row>
    <row r="1403" spans="6:28" ht="31.5" customHeight="1" x14ac:dyDescent="0.2">
      <c r="F1403" s="45" t="s">
        <v>3964</v>
      </c>
      <c r="T1403" s="41"/>
      <c r="U1403" s="29" t="str">
        <f>IF($C1403&lt;&gt;"",COUNTIF($C$2:C1403,C1403),"")</f>
        <v/>
      </c>
      <c r="V1403" s="29" t="str">
        <f t="shared" si="66"/>
        <v/>
      </c>
      <c r="W1403" s="29" t="str">
        <f>IF(U1403=1,COUNTIF($U$2:U1403,1),"")</f>
        <v/>
      </c>
      <c r="X1403" s="29" t="str">
        <f t="shared" si="67"/>
        <v/>
      </c>
      <c r="Y1403" s="29" t="str">
        <f>IF(AND(LEFT($B1403,7)="SBA 26/",$D1403&lt;&gt;"",$F1403&lt;&gt;""),COUNTIFS($D$2:$D1403,$D1403,$B$2:$B1403,"SBA 26/*",$F$2:$F1403,"&lt;&gt;"),"")</f>
        <v/>
      </c>
      <c r="Z1403" s="29" t="str">
        <f>IF(Y1403=1,COUNTIF($Y$2:Y1403,1),"")</f>
        <v/>
      </c>
      <c r="AA1403" s="29" t="str">
        <f>IF(AND(LEFT($B1403,7)="SBA 26/",$C1403&lt;&gt;"",$F1403&lt;&gt;""),COUNTIFS($C$2:$C1403,$C1403,$B$2:$B1403,"SBA 26/*",$F$2:$F1403,"&lt;&gt;"),"")</f>
        <v/>
      </c>
      <c r="AB1403" s="29" t="str">
        <f>IF(AA1403=1,COUNTIF($AA$2:AA1403,1),"")</f>
        <v/>
      </c>
    </row>
    <row r="1404" spans="6:28" ht="31.5" customHeight="1" x14ac:dyDescent="0.2">
      <c r="F1404" s="45" t="s">
        <v>3965</v>
      </c>
      <c r="T1404" s="41"/>
      <c r="U1404" s="29" t="str">
        <f>IF($C1404&lt;&gt;"",COUNTIF($C$2:C1404,C1404),"")</f>
        <v/>
      </c>
      <c r="V1404" s="29" t="str">
        <f t="shared" si="66"/>
        <v/>
      </c>
      <c r="W1404" s="29" t="str">
        <f>IF(U1404=1,COUNTIF($U$2:U1404,1),"")</f>
        <v/>
      </c>
      <c r="X1404" s="29" t="str">
        <f t="shared" si="67"/>
        <v/>
      </c>
      <c r="Y1404" s="29" t="str">
        <f>IF(AND(LEFT($B1404,7)="SBA 26/",$D1404&lt;&gt;"",$F1404&lt;&gt;""),COUNTIFS($D$2:$D1404,$D1404,$B$2:$B1404,"SBA 26/*",$F$2:$F1404,"&lt;&gt;"),"")</f>
        <v/>
      </c>
      <c r="Z1404" s="29" t="str">
        <f>IF(Y1404=1,COUNTIF($Y$2:Y1404,1),"")</f>
        <v/>
      </c>
      <c r="AA1404" s="29" t="str">
        <f>IF(AND(LEFT($B1404,7)="SBA 26/",$C1404&lt;&gt;"",$F1404&lt;&gt;""),COUNTIFS($C$2:$C1404,$C1404,$B$2:$B1404,"SBA 26/*",$F$2:$F1404,"&lt;&gt;"),"")</f>
        <v/>
      </c>
      <c r="AB1404" s="29" t="str">
        <f>IF(AA1404=1,COUNTIF($AA$2:AA1404,1),"")</f>
        <v/>
      </c>
    </row>
    <row r="1405" spans="6:28" ht="47.25" customHeight="1" x14ac:dyDescent="0.2">
      <c r="F1405" s="45" t="s">
        <v>3966</v>
      </c>
      <c r="T1405" s="41"/>
      <c r="U1405" s="29" t="str">
        <f>IF($C1405&lt;&gt;"",COUNTIF($C$2:C1405,C1405),"")</f>
        <v/>
      </c>
      <c r="V1405" s="29" t="str">
        <f t="shared" si="66"/>
        <v/>
      </c>
      <c r="W1405" s="29" t="str">
        <f>IF(U1405=1,COUNTIF($U$2:U1405,1),"")</f>
        <v/>
      </c>
      <c r="X1405" s="29" t="str">
        <f t="shared" si="67"/>
        <v/>
      </c>
      <c r="Y1405" s="29" t="str">
        <f>IF(AND(LEFT($B1405,7)="SBA 26/",$D1405&lt;&gt;"",$F1405&lt;&gt;""),COUNTIFS($D$2:$D1405,$D1405,$B$2:$B1405,"SBA 26/*",$F$2:$F1405,"&lt;&gt;"),"")</f>
        <v/>
      </c>
      <c r="Z1405" s="29" t="str">
        <f>IF(Y1405=1,COUNTIF($Y$2:Y1405,1),"")</f>
        <v/>
      </c>
      <c r="AA1405" s="29" t="str">
        <f>IF(AND(LEFT($B1405,7)="SBA 26/",$C1405&lt;&gt;"",$F1405&lt;&gt;""),COUNTIFS($C$2:$C1405,$C1405,$B$2:$B1405,"SBA 26/*",$F$2:$F1405,"&lt;&gt;"),"")</f>
        <v/>
      </c>
      <c r="AB1405" s="29" t="str">
        <f>IF(AA1405=1,COUNTIF($AA$2:AA1405,1),"")</f>
        <v/>
      </c>
    </row>
    <row r="1406" spans="6:28" ht="47.25" customHeight="1" x14ac:dyDescent="0.2">
      <c r="F1406" s="45" t="s">
        <v>3967</v>
      </c>
      <c r="T1406" s="41"/>
      <c r="U1406" s="29" t="str">
        <f>IF($C1406&lt;&gt;"",COUNTIF($C$2:C1406,C1406),"")</f>
        <v/>
      </c>
      <c r="V1406" s="29" t="str">
        <f t="shared" si="66"/>
        <v/>
      </c>
      <c r="W1406" s="29" t="str">
        <f>IF(U1406=1,COUNTIF($U$2:U1406,1),"")</f>
        <v/>
      </c>
      <c r="X1406" s="29" t="str">
        <f t="shared" si="67"/>
        <v/>
      </c>
      <c r="Y1406" s="29" t="str">
        <f>IF(AND(LEFT($B1406,7)="SBA 26/",$D1406&lt;&gt;"",$F1406&lt;&gt;""),COUNTIFS($D$2:$D1406,$D1406,$B$2:$B1406,"SBA 26/*",$F$2:$F1406,"&lt;&gt;"),"")</f>
        <v/>
      </c>
      <c r="Z1406" s="29" t="str">
        <f>IF(Y1406=1,COUNTIF($Y$2:Y1406,1),"")</f>
        <v/>
      </c>
      <c r="AA1406" s="29" t="str">
        <f>IF(AND(LEFT($B1406,7)="SBA 26/",$C1406&lt;&gt;"",$F1406&lt;&gt;""),COUNTIFS($C$2:$C1406,$C1406,$B$2:$B1406,"SBA 26/*",$F$2:$F1406,"&lt;&gt;"),"")</f>
        <v/>
      </c>
      <c r="AB1406" s="29" t="str">
        <f>IF(AA1406=1,COUNTIF($AA$2:AA1406,1),"")</f>
        <v/>
      </c>
    </row>
    <row r="1407" spans="6:28" ht="47.25" customHeight="1" x14ac:dyDescent="0.2">
      <c r="F1407" s="45" t="s">
        <v>3968</v>
      </c>
      <c r="T1407" s="41"/>
      <c r="U1407" s="29" t="str">
        <f>IF($C1407&lt;&gt;"",COUNTIF($C$2:C1407,C1407),"")</f>
        <v/>
      </c>
      <c r="V1407" s="29" t="str">
        <f t="shared" si="66"/>
        <v/>
      </c>
      <c r="W1407" s="29" t="str">
        <f>IF(U1407=1,COUNTIF($U$2:U1407,1),"")</f>
        <v/>
      </c>
      <c r="X1407" s="29" t="str">
        <f t="shared" si="67"/>
        <v/>
      </c>
      <c r="Y1407" s="29" t="str">
        <f>IF(AND(LEFT($B1407,7)="SBA 26/",$D1407&lt;&gt;"",$F1407&lt;&gt;""),COUNTIFS($D$2:$D1407,$D1407,$B$2:$B1407,"SBA 26/*",$F$2:$F1407,"&lt;&gt;"),"")</f>
        <v/>
      </c>
      <c r="Z1407" s="29" t="str">
        <f>IF(Y1407=1,COUNTIF($Y$2:Y1407,1),"")</f>
        <v/>
      </c>
      <c r="AA1407" s="29" t="str">
        <f>IF(AND(LEFT($B1407,7)="SBA 26/",$C1407&lt;&gt;"",$F1407&lt;&gt;""),COUNTIFS($C$2:$C1407,$C1407,$B$2:$B1407,"SBA 26/*",$F$2:$F1407,"&lt;&gt;"),"")</f>
        <v/>
      </c>
      <c r="AB1407" s="29" t="str">
        <f>IF(AA1407=1,COUNTIF($AA$2:AA1407,1),"")</f>
        <v/>
      </c>
    </row>
    <row r="1408" spans="6:28" ht="63" customHeight="1" x14ac:dyDescent="0.2">
      <c r="F1408" s="45" t="s">
        <v>3969</v>
      </c>
      <c r="T1408" s="41"/>
      <c r="U1408" s="29" t="str">
        <f>IF($C1408&lt;&gt;"",COUNTIF($C$2:C1408,C1408),"")</f>
        <v/>
      </c>
      <c r="V1408" s="29" t="str">
        <f t="shared" si="66"/>
        <v/>
      </c>
      <c r="W1408" s="29" t="str">
        <f>IF(U1408=1,COUNTIF($U$2:U1408,1),"")</f>
        <v/>
      </c>
      <c r="X1408" s="29" t="str">
        <f t="shared" si="67"/>
        <v/>
      </c>
      <c r="Y1408" s="29" t="str">
        <f>IF(AND(LEFT($B1408,7)="SBA 26/",$D1408&lt;&gt;"",$F1408&lt;&gt;""),COUNTIFS($D$2:$D1408,$D1408,$B$2:$B1408,"SBA 26/*",$F$2:$F1408,"&lt;&gt;"),"")</f>
        <v/>
      </c>
      <c r="Z1408" s="29" t="str">
        <f>IF(Y1408=1,COUNTIF($Y$2:Y1408,1),"")</f>
        <v/>
      </c>
      <c r="AA1408" s="29" t="str">
        <f>IF(AND(LEFT($B1408,7)="SBA 26/",$C1408&lt;&gt;"",$F1408&lt;&gt;""),COUNTIFS($C$2:$C1408,$C1408,$B$2:$B1408,"SBA 26/*",$F$2:$F1408,"&lt;&gt;"),"")</f>
        <v/>
      </c>
      <c r="AB1408" s="29" t="str">
        <f>IF(AA1408=1,COUNTIF($AA$2:AA1408,1),"")</f>
        <v/>
      </c>
    </row>
    <row r="1409" spans="6:28" ht="47.25" customHeight="1" x14ac:dyDescent="0.2">
      <c r="F1409" s="45" t="s">
        <v>3970</v>
      </c>
      <c r="T1409" s="41"/>
      <c r="U1409" s="29" t="str">
        <f>IF($C1409&lt;&gt;"",COUNTIF($C$2:C1409,C1409),"")</f>
        <v/>
      </c>
      <c r="V1409" s="29" t="str">
        <f t="shared" si="66"/>
        <v/>
      </c>
      <c r="W1409" s="29" t="str">
        <f>IF(U1409=1,COUNTIF($U$2:U1409,1),"")</f>
        <v/>
      </c>
      <c r="X1409" s="29" t="str">
        <f t="shared" si="67"/>
        <v/>
      </c>
      <c r="Y1409" s="29" t="str">
        <f>IF(AND(LEFT($B1409,7)="SBA 26/",$D1409&lt;&gt;"",$F1409&lt;&gt;""),COUNTIFS($D$2:$D1409,$D1409,$B$2:$B1409,"SBA 26/*",$F$2:$F1409,"&lt;&gt;"),"")</f>
        <v/>
      </c>
      <c r="Z1409" s="29" t="str">
        <f>IF(Y1409=1,COUNTIF($Y$2:Y1409,1),"")</f>
        <v/>
      </c>
      <c r="AA1409" s="29" t="str">
        <f>IF(AND(LEFT($B1409,7)="SBA 26/",$C1409&lt;&gt;"",$F1409&lt;&gt;""),COUNTIFS($C$2:$C1409,$C1409,$B$2:$B1409,"SBA 26/*",$F$2:$F1409,"&lt;&gt;"),"")</f>
        <v/>
      </c>
      <c r="AB1409" s="29" t="str">
        <f>IF(AA1409=1,COUNTIF($AA$2:AA1409,1),"")</f>
        <v/>
      </c>
    </row>
    <row r="1410" spans="6:28" ht="47.25" customHeight="1" x14ac:dyDescent="0.2">
      <c r="F1410" s="45" t="s">
        <v>3971</v>
      </c>
      <c r="T1410" s="41"/>
      <c r="U1410" s="29" t="str">
        <f>IF($C1410&lt;&gt;"",COUNTIF($C$2:C1410,C1410),"")</f>
        <v/>
      </c>
      <c r="V1410" s="29" t="str">
        <f t="shared" ref="V1410:V1473" si="68">IF($C1410&lt;&gt;"",C1410&amp;"§"&amp;U1410,"")</f>
        <v/>
      </c>
      <c r="W1410" s="29" t="str">
        <f>IF(U1410=1,COUNTIF($U$2:U1410,1),"")</f>
        <v/>
      </c>
      <c r="X1410" s="29" t="str">
        <f t="shared" ref="X1410:X1473" si="69">IF(U1410=1,SUMPRODUCT(($U$2:$U$1799=1)*($C$2:$C$1799&lt;C1410))+1,"")</f>
        <v/>
      </c>
      <c r="Y1410" s="29" t="str">
        <f>IF(AND(LEFT($B1410,7)="SBA 26/",$D1410&lt;&gt;"",$F1410&lt;&gt;""),COUNTIFS($D$2:$D1410,$D1410,$B$2:$B1410,"SBA 26/*",$F$2:$F1410,"&lt;&gt;"),"")</f>
        <v/>
      </c>
      <c r="Z1410" s="29" t="str">
        <f>IF(Y1410=1,COUNTIF($Y$2:Y1410,1),"")</f>
        <v/>
      </c>
      <c r="AA1410" s="29" t="str">
        <f>IF(AND(LEFT($B1410,7)="SBA 26/",$C1410&lt;&gt;"",$F1410&lt;&gt;""),COUNTIFS($C$2:$C1410,$C1410,$B$2:$B1410,"SBA 26/*",$F$2:$F1410,"&lt;&gt;"),"")</f>
        <v/>
      </c>
      <c r="AB1410" s="29" t="str">
        <f>IF(AA1410=1,COUNTIF($AA$2:AA1410,1),"")</f>
        <v/>
      </c>
    </row>
    <row r="1411" spans="6:28" ht="63" customHeight="1" x14ac:dyDescent="0.2">
      <c r="F1411" s="45" t="s">
        <v>3972</v>
      </c>
      <c r="T1411" s="41"/>
      <c r="U1411" s="29" t="str">
        <f>IF($C1411&lt;&gt;"",COUNTIF($C$2:C1411,C1411),"")</f>
        <v/>
      </c>
      <c r="V1411" s="29" t="str">
        <f t="shared" si="68"/>
        <v/>
      </c>
      <c r="W1411" s="29" t="str">
        <f>IF(U1411=1,COUNTIF($U$2:U1411,1),"")</f>
        <v/>
      </c>
      <c r="X1411" s="29" t="str">
        <f t="shared" si="69"/>
        <v/>
      </c>
      <c r="Y1411" s="29" t="str">
        <f>IF(AND(LEFT($B1411,7)="SBA 26/",$D1411&lt;&gt;"",$F1411&lt;&gt;""),COUNTIFS($D$2:$D1411,$D1411,$B$2:$B1411,"SBA 26/*",$F$2:$F1411,"&lt;&gt;"),"")</f>
        <v/>
      </c>
      <c r="Z1411" s="29" t="str">
        <f>IF(Y1411=1,COUNTIF($Y$2:Y1411,1),"")</f>
        <v/>
      </c>
      <c r="AA1411" s="29" t="str">
        <f>IF(AND(LEFT($B1411,7)="SBA 26/",$C1411&lt;&gt;"",$F1411&lt;&gt;""),COUNTIFS($C$2:$C1411,$C1411,$B$2:$B1411,"SBA 26/*",$F$2:$F1411,"&lt;&gt;"),"")</f>
        <v/>
      </c>
      <c r="AB1411" s="29" t="str">
        <f>IF(AA1411=1,COUNTIF($AA$2:AA1411,1),"")</f>
        <v/>
      </c>
    </row>
    <row r="1412" spans="6:28" ht="47.25" customHeight="1" x14ac:dyDescent="0.2">
      <c r="F1412" s="45" t="s">
        <v>3973</v>
      </c>
      <c r="T1412" s="41"/>
      <c r="U1412" s="29" t="str">
        <f>IF($C1412&lt;&gt;"",COUNTIF($C$2:C1412,C1412),"")</f>
        <v/>
      </c>
      <c r="V1412" s="29" t="str">
        <f t="shared" si="68"/>
        <v/>
      </c>
      <c r="W1412" s="29" t="str">
        <f>IF(U1412=1,COUNTIF($U$2:U1412,1),"")</f>
        <v/>
      </c>
      <c r="X1412" s="29" t="str">
        <f t="shared" si="69"/>
        <v/>
      </c>
      <c r="Y1412" s="29" t="str">
        <f>IF(AND(LEFT($B1412,7)="SBA 26/",$D1412&lt;&gt;"",$F1412&lt;&gt;""),COUNTIFS($D$2:$D1412,$D1412,$B$2:$B1412,"SBA 26/*",$F$2:$F1412,"&lt;&gt;"),"")</f>
        <v/>
      </c>
      <c r="Z1412" s="29" t="str">
        <f>IF(Y1412=1,COUNTIF($Y$2:Y1412,1),"")</f>
        <v/>
      </c>
      <c r="AA1412" s="29" t="str">
        <f>IF(AND(LEFT($B1412,7)="SBA 26/",$C1412&lt;&gt;"",$F1412&lt;&gt;""),COUNTIFS($C$2:$C1412,$C1412,$B$2:$B1412,"SBA 26/*",$F$2:$F1412,"&lt;&gt;"),"")</f>
        <v/>
      </c>
      <c r="AB1412" s="29" t="str">
        <f>IF(AA1412=1,COUNTIF($AA$2:AA1412,1),"")</f>
        <v/>
      </c>
    </row>
    <row r="1413" spans="6:28" ht="47.25" customHeight="1" x14ac:dyDescent="0.2">
      <c r="F1413" s="45" t="s">
        <v>3974</v>
      </c>
      <c r="T1413" s="41"/>
      <c r="U1413" s="29" t="str">
        <f>IF($C1413&lt;&gt;"",COUNTIF($C$2:C1413,C1413),"")</f>
        <v/>
      </c>
      <c r="V1413" s="29" t="str">
        <f t="shared" si="68"/>
        <v/>
      </c>
      <c r="W1413" s="29" t="str">
        <f>IF(U1413=1,COUNTIF($U$2:U1413,1),"")</f>
        <v/>
      </c>
      <c r="X1413" s="29" t="str">
        <f t="shared" si="69"/>
        <v/>
      </c>
      <c r="Y1413" s="29" t="str">
        <f>IF(AND(LEFT($B1413,7)="SBA 26/",$D1413&lt;&gt;"",$F1413&lt;&gt;""),COUNTIFS($D$2:$D1413,$D1413,$B$2:$B1413,"SBA 26/*",$F$2:$F1413,"&lt;&gt;"),"")</f>
        <v/>
      </c>
      <c r="Z1413" s="29" t="str">
        <f>IF(Y1413=1,COUNTIF($Y$2:Y1413,1),"")</f>
        <v/>
      </c>
      <c r="AA1413" s="29" t="str">
        <f>IF(AND(LEFT($B1413,7)="SBA 26/",$C1413&lt;&gt;"",$F1413&lt;&gt;""),COUNTIFS($C$2:$C1413,$C1413,$B$2:$B1413,"SBA 26/*",$F$2:$F1413,"&lt;&gt;"),"")</f>
        <v/>
      </c>
      <c r="AB1413" s="29" t="str">
        <f>IF(AA1413=1,COUNTIF($AA$2:AA1413,1),"")</f>
        <v/>
      </c>
    </row>
    <row r="1414" spans="6:28" ht="63" customHeight="1" x14ac:dyDescent="0.2">
      <c r="F1414" s="45" t="s">
        <v>3975</v>
      </c>
      <c r="T1414" s="41"/>
      <c r="U1414" s="29" t="str">
        <f>IF($C1414&lt;&gt;"",COUNTIF($C$2:C1414,C1414),"")</f>
        <v/>
      </c>
      <c r="V1414" s="29" t="str">
        <f t="shared" si="68"/>
        <v/>
      </c>
      <c r="W1414" s="29" t="str">
        <f>IF(U1414=1,COUNTIF($U$2:U1414,1),"")</f>
        <v/>
      </c>
      <c r="X1414" s="29" t="str">
        <f t="shared" si="69"/>
        <v/>
      </c>
      <c r="Y1414" s="29" t="str">
        <f>IF(AND(LEFT($B1414,7)="SBA 26/",$D1414&lt;&gt;"",$F1414&lt;&gt;""),COUNTIFS($D$2:$D1414,$D1414,$B$2:$B1414,"SBA 26/*",$F$2:$F1414,"&lt;&gt;"),"")</f>
        <v/>
      </c>
      <c r="Z1414" s="29" t="str">
        <f>IF(Y1414=1,COUNTIF($Y$2:Y1414,1),"")</f>
        <v/>
      </c>
      <c r="AA1414" s="29" t="str">
        <f>IF(AND(LEFT($B1414,7)="SBA 26/",$C1414&lt;&gt;"",$F1414&lt;&gt;""),COUNTIFS($C$2:$C1414,$C1414,$B$2:$B1414,"SBA 26/*",$F$2:$F1414,"&lt;&gt;"),"")</f>
        <v/>
      </c>
      <c r="AB1414" s="29" t="str">
        <f>IF(AA1414=1,COUNTIF($AA$2:AA1414,1),"")</f>
        <v/>
      </c>
    </row>
    <row r="1415" spans="6:28" ht="63" customHeight="1" x14ac:dyDescent="0.2">
      <c r="F1415" s="45" t="s">
        <v>3976</v>
      </c>
      <c r="T1415" s="41"/>
      <c r="U1415" s="29" t="str">
        <f>IF($C1415&lt;&gt;"",COUNTIF($C$2:C1415,C1415),"")</f>
        <v/>
      </c>
      <c r="V1415" s="29" t="str">
        <f t="shared" si="68"/>
        <v/>
      </c>
      <c r="W1415" s="29" t="str">
        <f>IF(U1415=1,COUNTIF($U$2:U1415,1),"")</f>
        <v/>
      </c>
      <c r="X1415" s="29" t="str">
        <f t="shared" si="69"/>
        <v/>
      </c>
      <c r="Y1415" s="29" t="str">
        <f>IF(AND(LEFT($B1415,7)="SBA 26/",$D1415&lt;&gt;"",$F1415&lt;&gt;""),COUNTIFS($D$2:$D1415,$D1415,$B$2:$B1415,"SBA 26/*",$F$2:$F1415,"&lt;&gt;"),"")</f>
        <v/>
      </c>
      <c r="Z1415" s="29" t="str">
        <f>IF(Y1415=1,COUNTIF($Y$2:Y1415,1),"")</f>
        <v/>
      </c>
      <c r="AA1415" s="29" t="str">
        <f>IF(AND(LEFT($B1415,7)="SBA 26/",$C1415&lt;&gt;"",$F1415&lt;&gt;""),COUNTIFS($C$2:$C1415,$C1415,$B$2:$B1415,"SBA 26/*",$F$2:$F1415,"&lt;&gt;"),"")</f>
        <v/>
      </c>
      <c r="AB1415" s="29" t="str">
        <f>IF(AA1415=1,COUNTIF($AA$2:AA1415,1),"")</f>
        <v/>
      </c>
    </row>
    <row r="1416" spans="6:28" ht="47.25" customHeight="1" x14ac:dyDescent="0.2">
      <c r="F1416" s="45" t="s">
        <v>3977</v>
      </c>
      <c r="T1416" s="41"/>
      <c r="U1416" s="29" t="str">
        <f>IF($C1416&lt;&gt;"",COUNTIF($C$2:C1416,C1416),"")</f>
        <v/>
      </c>
      <c r="V1416" s="29" t="str">
        <f t="shared" si="68"/>
        <v/>
      </c>
      <c r="W1416" s="29" t="str">
        <f>IF(U1416=1,COUNTIF($U$2:U1416,1),"")</f>
        <v/>
      </c>
      <c r="X1416" s="29" t="str">
        <f t="shared" si="69"/>
        <v/>
      </c>
      <c r="Y1416" s="29" t="str">
        <f>IF(AND(LEFT($B1416,7)="SBA 26/",$D1416&lt;&gt;"",$F1416&lt;&gt;""),COUNTIFS($D$2:$D1416,$D1416,$B$2:$B1416,"SBA 26/*",$F$2:$F1416,"&lt;&gt;"),"")</f>
        <v/>
      </c>
      <c r="Z1416" s="29" t="str">
        <f>IF(Y1416=1,COUNTIF($Y$2:Y1416,1),"")</f>
        <v/>
      </c>
      <c r="AA1416" s="29" t="str">
        <f>IF(AND(LEFT($B1416,7)="SBA 26/",$C1416&lt;&gt;"",$F1416&lt;&gt;""),COUNTIFS($C$2:$C1416,$C1416,$B$2:$B1416,"SBA 26/*",$F$2:$F1416,"&lt;&gt;"),"")</f>
        <v/>
      </c>
      <c r="AB1416" s="29" t="str">
        <f>IF(AA1416=1,COUNTIF($AA$2:AA1416,1),"")</f>
        <v/>
      </c>
    </row>
    <row r="1417" spans="6:28" ht="47.25" customHeight="1" x14ac:dyDescent="0.2">
      <c r="F1417" s="45" t="s">
        <v>3978</v>
      </c>
      <c r="T1417" s="41"/>
      <c r="U1417" s="29" t="str">
        <f>IF($C1417&lt;&gt;"",COUNTIF($C$2:C1417,C1417),"")</f>
        <v/>
      </c>
      <c r="V1417" s="29" t="str">
        <f t="shared" si="68"/>
        <v/>
      </c>
      <c r="W1417" s="29" t="str">
        <f>IF(U1417=1,COUNTIF($U$2:U1417,1),"")</f>
        <v/>
      </c>
      <c r="X1417" s="29" t="str">
        <f t="shared" si="69"/>
        <v/>
      </c>
      <c r="Y1417" s="29" t="str">
        <f>IF(AND(LEFT($B1417,7)="SBA 26/",$D1417&lt;&gt;"",$F1417&lt;&gt;""),COUNTIFS($D$2:$D1417,$D1417,$B$2:$B1417,"SBA 26/*",$F$2:$F1417,"&lt;&gt;"),"")</f>
        <v/>
      </c>
      <c r="Z1417" s="29" t="str">
        <f>IF(Y1417=1,COUNTIF($Y$2:Y1417,1),"")</f>
        <v/>
      </c>
      <c r="AA1417" s="29" t="str">
        <f>IF(AND(LEFT($B1417,7)="SBA 26/",$C1417&lt;&gt;"",$F1417&lt;&gt;""),COUNTIFS($C$2:$C1417,$C1417,$B$2:$B1417,"SBA 26/*",$F$2:$F1417,"&lt;&gt;"),"")</f>
        <v/>
      </c>
      <c r="AB1417" s="29" t="str">
        <f>IF(AA1417=1,COUNTIF($AA$2:AA1417,1),"")</f>
        <v/>
      </c>
    </row>
    <row r="1418" spans="6:28" ht="31.5" customHeight="1" x14ac:dyDescent="0.2">
      <c r="F1418" s="45" t="s">
        <v>3979</v>
      </c>
      <c r="T1418" s="41"/>
      <c r="U1418" s="29" t="str">
        <f>IF($C1418&lt;&gt;"",COUNTIF($C$2:C1418,C1418),"")</f>
        <v/>
      </c>
      <c r="V1418" s="29" t="str">
        <f t="shared" si="68"/>
        <v/>
      </c>
      <c r="W1418" s="29" t="str">
        <f>IF(U1418=1,COUNTIF($U$2:U1418,1),"")</f>
        <v/>
      </c>
      <c r="X1418" s="29" t="str">
        <f t="shared" si="69"/>
        <v/>
      </c>
      <c r="Y1418" s="29" t="str">
        <f>IF(AND(LEFT($B1418,7)="SBA 26/",$D1418&lt;&gt;"",$F1418&lt;&gt;""),COUNTIFS($D$2:$D1418,$D1418,$B$2:$B1418,"SBA 26/*",$F$2:$F1418,"&lt;&gt;"),"")</f>
        <v/>
      </c>
      <c r="Z1418" s="29" t="str">
        <f>IF(Y1418=1,COUNTIF($Y$2:Y1418,1),"")</f>
        <v/>
      </c>
      <c r="AA1418" s="29" t="str">
        <f>IF(AND(LEFT($B1418,7)="SBA 26/",$C1418&lt;&gt;"",$F1418&lt;&gt;""),COUNTIFS($C$2:$C1418,$C1418,$B$2:$B1418,"SBA 26/*",$F$2:$F1418,"&lt;&gt;"),"")</f>
        <v/>
      </c>
      <c r="AB1418" s="29" t="str">
        <f>IF(AA1418=1,COUNTIF($AA$2:AA1418,1),"")</f>
        <v/>
      </c>
    </row>
    <row r="1419" spans="6:28" ht="47.25" customHeight="1" x14ac:dyDescent="0.2">
      <c r="F1419" s="45" t="s">
        <v>3980</v>
      </c>
      <c r="T1419" s="41"/>
      <c r="U1419" s="29" t="str">
        <f>IF($C1419&lt;&gt;"",COUNTIF($C$2:C1419,C1419),"")</f>
        <v/>
      </c>
      <c r="V1419" s="29" t="str">
        <f t="shared" si="68"/>
        <v/>
      </c>
      <c r="W1419" s="29" t="str">
        <f>IF(U1419=1,COUNTIF($U$2:U1419,1),"")</f>
        <v/>
      </c>
      <c r="X1419" s="29" t="str">
        <f t="shared" si="69"/>
        <v/>
      </c>
      <c r="Y1419" s="29" t="str">
        <f>IF(AND(LEFT($B1419,7)="SBA 26/",$D1419&lt;&gt;"",$F1419&lt;&gt;""),COUNTIFS($D$2:$D1419,$D1419,$B$2:$B1419,"SBA 26/*",$F$2:$F1419,"&lt;&gt;"),"")</f>
        <v/>
      </c>
      <c r="Z1419" s="29" t="str">
        <f>IF(Y1419=1,COUNTIF($Y$2:Y1419,1),"")</f>
        <v/>
      </c>
      <c r="AA1419" s="29" t="str">
        <f>IF(AND(LEFT($B1419,7)="SBA 26/",$C1419&lt;&gt;"",$F1419&lt;&gt;""),COUNTIFS($C$2:$C1419,$C1419,$B$2:$B1419,"SBA 26/*",$F$2:$F1419,"&lt;&gt;"),"")</f>
        <v/>
      </c>
      <c r="AB1419" s="29" t="str">
        <f>IF(AA1419=1,COUNTIF($AA$2:AA1419,1),"")</f>
        <v/>
      </c>
    </row>
    <row r="1420" spans="6:28" ht="63" customHeight="1" x14ac:dyDescent="0.2">
      <c r="F1420" s="45" t="s">
        <v>3981</v>
      </c>
      <c r="T1420" s="41"/>
      <c r="U1420" s="29" t="str">
        <f>IF($C1420&lt;&gt;"",COUNTIF($C$2:C1420,C1420),"")</f>
        <v/>
      </c>
      <c r="V1420" s="29" t="str">
        <f t="shared" si="68"/>
        <v/>
      </c>
      <c r="W1420" s="29" t="str">
        <f>IF(U1420=1,COUNTIF($U$2:U1420,1),"")</f>
        <v/>
      </c>
      <c r="X1420" s="29" t="str">
        <f t="shared" si="69"/>
        <v/>
      </c>
      <c r="Y1420" s="29" t="str">
        <f>IF(AND(LEFT($B1420,7)="SBA 26/",$D1420&lt;&gt;"",$F1420&lt;&gt;""),COUNTIFS($D$2:$D1420,$D1420,$B$2:$B1420,"SBA 26/*",$F$2:$F1420,"&lt;&gt;"),"")</f>
        <v/>
      </c>
      <c r="Z1420" s="29" t="str">
        <f>IF(Y1420=1,COUNTIF($Y$2:Y1420,1),"")</f>
        <v/>
      </c>
      <c r="AA1420" s="29" t="str">
        <f>IF(AND(LEFT($B1420,7)="SBA 26/",$C1420&lt;&gt;"",$F1420&lt;&gt;""),COUNTIFS($C$2:$C1420,$C1420,$B$2:$B1420,"SBA 26/*",$F$2:$F1420,"&lt;&gt;"),"")</f>
        <v/>
      </c>
      <c r="AB1420" s="29" t="str">
        <f>IF(AA1420=1,COUNTIF($AA$2:AA1420,1),"")</f>
        <v/>
      </c>
    </row>
    <row r="1421" spans="6:28" ht="31.5" customHeight="1" x14ac:dyDescent="0.2">
      <c r="F1421" s="45" t="s">
        <v>3982</v>
      </c>
      <c r="T1421" s="41"/>
      <c r="U1421" s="29" t="str">
        <f>IF($C1421&lt;&gt;"",COUNTIF($C$2:C1421,C1421),"")</f>
        <v/>
      </c>
      <c r="V1421" s="29" t="str">
        <f t="shared" si="68"/>
        <v/>
      </c>
      <c r="W1421" s="29" t="str">
        <f>IF(U1421=1,COUNTIF($U$2:U1421,1),"")</f>
        <v/>
      </c>
      <c r="X1421" s="29" t="str">
        <f t="shared" si="69"/>
        <v/>
      </c>
      <c r="Y1421" s="29" t="str">
        <f>IF(AND(LEFT($B1421,7)="SBA 26/",$D1421&lt;&gt;"",$F1421&lt;&gt;""),COUNTIFS($D$2:$D1421,$D1421,$B$2:$B1421,"SBA 26/*",$F$2:$F1421,"&lt;&gt;"),"")</f>
        <v/>
      </c>
      <c r="Z1421" s="29" t="str">
        <f>IF(Y1421=1,COUNTIF($Y$2:Y1421,1),"")</f>
        <v/>
      </c>
      <c r="AA1421" s="29" t="str">
        <f>IF(AND(LEFT($B1421,7)="SBA 26/",$C1421&lt;&gt;"",$F1421&lt;&gt;""),COUNTIFS($C$2:$C1421,$C1421,$B$2:$B1421,"SBA 26/*",$F$2:$F1421,"&lt;&gt;"),"")</f>
        <v/>
      </c>
      <c r="AB1421" s="29" t="str">
        <f>IF(AA1421=1,COUNTIF($AA$2:AA1421,1),"")</f>
        <v/>
      </c>
    </row>
    <row r="1422" spans="6:28" ht="31.5" customHeight="1" x14ac:dyDescent="0.2">
      <c r="F1422" s="45" t="s">
        <v>3983</v>
      </c>
      <c r="T1422" s="41"/>
      <c r="U1422" s="29" t="str">
        <f>IF($C1422&lt;&gt;"",COUNTIF($C$2:C1422,C1422),"")</f>
        <v/>
      </c>
      <c r="V1422" s="29" t="str">
        <f t="shared" si="68"/>
        <v/>
      </c>
      <c r="W1422" s="29" t="str">
        <f>IF(U1422=1,COUNTIF($U$2:U1422,1),"")</f>
        <v/>
      </c>
      <c r="X1422" s="29" t="str">
        <f t="shared" si="69"/>
        <v/>
      </c>
      <c r="Y1422" s="29" t="str">
        <f>IF(AND(LEFT($B1422,7)="SBA 26/",$D1422&lt;&gt;"",$F1422&lt;&gt;""),COUNTIFS($D$2:$D1422,$D1422,$B$2:$B1422,"SBA 26/*",$F$2:$F1422,"&lt;&gt;"),"")</f>
        <v/>
      </c>
      <c r="Z1422" s="29" t="str">
        <f>IF(Y1422=1,COUNTIF($Y$2:Y1422,1),"")</f>
        <v/>
      </c>
      <c r="AA1422" s="29" t="str">
        <f>IF(AND(LEFT($B1422,7)="SBA 26/",$C1422&lt;&gt;"",$F1422&lt;&gt;""),COUNTIFS($C$2:$C1422,$C1422,$B$2:$B1422,"SBA 26/*",$F$2:$F1422,"&lt;&gt;"),"")</f>
        <v/>
      </c>
      <c r="AB1422" s="29" t="str">
        <f>IF(AA1422=1,COUNTIF($AA$2:AA1422,1),"")</f>
        <v/>
      </c>
    </row>
    <row r="1423" spans="6:28" ht="63" customHeight="1" x14ac:dyDescent="0.2">
      <c r="F1423" s="45" t="s">
        <v>3984</v>
      </c>
      <c r="T1423" s="41"/>
      <c r="U1423" s="29" t="str">
        <f>IF($C1423&lt;&gt;"",COUNTIF($C$2:C1423,C1423),"")</f>
        <v/>
      </c>
      <c r="V1423" s="29" t="str">
        <f t="shared" si="68"/>
        <v/>
      </c>
      <c r="W1423" s="29" t="str">
        <f>IF(U1423=1,COUNTIF($U$2:U1423,1),"")</f>
        <v/>
      </c>
      <c r="X1423" s="29" t="str">
        <f t="shared" si="69"/>
        <v/>
      </c>
      <c r="Y1423" s="29" t="str">
        <f>IF(AND(LEFT($B1423,7)="SBA 26/",$D1423&lt;&gt;"",$F1423&lt;&gt;""),COUNTIFS($D$2:$D1423,$D1423,$B$2:$B1423,"SBA 26/*",$F$2:$F1423,"&lt;&gt;"),"")</f>
        <v/>
      </c>
      <c r="Z1423" s="29" t="str">
        <f>IF(Y1423=1,COUNTIF($Y$2:Y1423,1),"")</f>
        <v/>
      </c>
      <c r="AA1423" s="29" t="str">
        <f>IF(AND(LEFT($B1423,7)="SBA 26/",$C1423&lt;&gt;"",$F1423&lt;&gt;""),COUNTIFS($C$2:$C1423,$C1423,$B$2:$B1423,"SBA 26/*",$F$2:$F1423,"&lt;&gt;"),"")</f>
        <v/>
      </c>
      <c r="AB1423" s="29" t="str">
        <f>IF(AA1423=1,COUNTIF($AA$2:AA1423,1),"")</f>
        <v/>
      </c>
    </row>
    <row r="1424" spans="6:28" ht="31.5" customHeight="1" x14ac:dyDescent="0.2">
      <c r="F1424" s="45" t="s">
        <v>3985</v>
      </c>
      <c r="T1424" s="41"/>
      <c r="U1424" s="29" t="str">
        <f>IF($C1424&lt;&gt;"",COUNTIF($C$2:C1424,C1424),"")</f>
        <v/>
      </c>
      <c r="V1424" s="29" t="str">
        <f t="shared" si="68"/>
        <v/>
      </c>
      <c r="W1424" s="29" t="str">
        <f>IF(U1424=1,COUNTIF($U$2:U1424,1),"")</f>
        <v/>
      </c>
      <c r="X1424" s="29" t="str">
        <f t="shared" si="69"/>
        <v/>
      </c>
      <c r="Y1424" s="29" t="str">
        <f>IF(AND(LEFT($B1424,7)="SBA 26/",$D1424&lt;&gt;"",$F1424&lt;&gt;""),COUNTIFS($D$2:$D1424,$D1424,$B$2:$B1424,"SBA 26/*",$F$2:$F1424,"&lt;&gt;"),"")</f>
        <v/>
      </c>
      <c r="Z1424" s="29" t="str">
        <f>IF(Y1424=1,COUNTIF($Y$2:Y1424,1),"")</f>
        <v/>
      </c>
      <c r="AA1424" s="29" t="str">
        <f>IF(AND(LEFT($B1424,7)="SBA 26/",$C1424&lt;&gt;"",$F1424&lt;&gt;""),COUNTIFS($C$2:$C1424,$C1424,$B$2:$B1424,"SBA 26/*",$F$2:$F1424,"&lt;&gt;"),"")</f>
        <v/>
      </c>
      <c r="AB1424" s="29" t="str">
        <f>IF(AA1424=1,COUNTIF($AA$2:AA1424,1),"")</f>
        <v/>
      </c>
    </row>
    <row r="1425" spans="6:28" ht="63" customHeight="1" x14ac:dyDescent="0.2">
      <c r="F1425" s="45" t="s">
        <v>3986</v>
      </c>
      <c r="T1425" s="41"/>
      <c r="U1425" s="29" t="str">
        <f>IF($C1425&lt;&gt;"",COUNTIF($C$2:C1425,C1425),"")</f>
        <v/>
      </c>
      <c r="V1425" s="29" t="str">
        <f t="shared" si="68"/>
        <v/>
      </c>
      <c r="W1425" s="29" t="str">
        <f>IF(U1425=1,COUNTIF($U$2:U1425,1),"")</f>
        <v/>
      </c>
      <c r="X1425" s="29" t="str">
        <f t="shared" si="69"/>
        <v/>
      </c>
      <c r="Y1425" s="29" t="str">
        <f>IF(AND(LEFT($B1425,7)="SBA 26/",$D1425&lt;&gt;"",$F1425&lt;&gt;""),COUNTIFS($D$2:$D1425,$D1425,$B$2:$B1425,"SBA 26/*",$F$2:$F1425,"&lt;&gt;"),"")</f>
        <v/>
      </c>
      <c r="Z1425" s="29" t="str">
        <f>IF(Y1425=1,COUNTIF($Y$2:Y1425,1),"")</f>
        <v/>
      </c>
      <c r="AA1425" s="29" t="str">
        <f>IF(AND(LEFT($B1425,7)="SBA 26/",$C1425&lt;&gt;"",$F1425&lt;&gt;""),COUNTIFS($C$2:$C1425,$C1425,$B$2:$B1425,"SBA 26/*",$F$2:$F1425,"&lt;&gt;"),"")</f>
        <v/>
      </c>
      <c r="AB1425" s="29" t="str">
        <f>IF(AA1425=1,COUNTIF($AA$2:AA1425,1),"")</f>
        <v/>
      </c>
    </row>
    <row r="1426" spans="6:28" ht="47.25" customHeight="1" x14ac:dyDescent="0.2">
      <c r="F1426" s="45" t="s">
        <v>3987</v>
      </c>
      <c r="T1426" s="41"/>
      <c r="U1426" s="29" t="str">
        <f>IF($C1426&lt;&gt;"",COUNTIF($C$2:C1426,C1426),"")</f>
        <v/>
      </c>
      <c r="V1426" s="29" t="str">
        <f t="shared" si="68"/>
        <v/>
      </c>
      <c r="W1426" s="29" t="str">
        <f>IF(U1426=1,COUNTIF($U$2:U1426,1),"")</f>
        <v/>
      </c>
      <c r="X1426" s="29" t="str">
        <f t="shared" si="69"/>
        <v/>
      </c>
      <c r="Y1426" s="29" t="str">
        <f>IF(AND(LEFT($B1426,7)="SBA 26/",$D1426&lt;&gt;"",$F1426&lt;&gt;""),COUNTIFS($D$2:$D1426,$D1426,$B$2:$B1426,"SBA 26/*",$F$2:$F1426,"&lt;&gt;"),"")</f>
        <v/>
      </c>
      <c r="Z1426" s="29" t="str">
        <f>IF(Y1426=1,COUNTIF($Y$2:Y1426,1),"")</f>
        <v/>
      </c>
      <c r="AA1426" s="29" t="str">
        <f>IF(AND(LEFT($B1426,7)="SBA 26/",$C1426&lt;&gt;"",$F1426&lt;&gt;""),COUNTIFS($C$2:$C1426,$C1426,$B$2:$B1426,"SBA 26/*",$F$2:$F1426,"&lt;&gt;"),"")</f>
        <v/>
      </c>
      <c r="AB1426" s="29" t="str">
        <f>IF(AA1426=1,COUNTIF($AA$2:AA1426,1),"")</f>
        <v/>
      </c>
    </row>
    <row r="1427" spans="6:28" ht="31.5" customHeight="1" x14ac:dyDescent="0.2">
      <c r="F1427" s="45" t="s">
        <v>3988</v>
      </c>
      <c r="T1427" s="41"/>
      <c r="U1427" s="29" t="str">
        <f>IF($C1427&lt;&gt;"",COUNTIF($C$2:C1427,C1427),"")</f>
        <v/>
      </c>
      <c r="V1427" s="29" t="str">
        <f t="shared" si="68"/>
        <v/>
      </c>
      <c r="W1427" s="29" t="str">
        <f>IF(U1427=1,COUNTIF($U$2:U1427,1),"")</f>
        <v/>
      </c>
      <c r="X1427" s="29" t="str">
        <f t="shared" si="69"/>
        <v/>
      </c>
      <c r="Y1427" s="29" t="str">
        <f>IF(AND(LEFT($B1427,7)="SBA 26/",$D1427&lt;&gt;"",$F1427&lt;&gt;""),COUNTIFS($D$2:$D1427,$D1427,$B$2:$B1427,"SBA 26/*",$F$2:$F1427,"&lt;&gt;"),"")</f>
        <v/>
      </c>
      <c r="Z1427" s="29" t="str">
        <f>IF(Y1427=1,COUNTIF($Y$2:Y1427,1),"")</f>
        <v/>
      </c>
      <c r="AA1427" s="29" t="str">
        <f>IF(AND(LEFT($B1427,7)="SBA 26/",$C1427&lt;&gt;"",$F1427&lt;&gt;""),COUNTIFS($C$2:$C1427,$C1427,$B$2:$B1427,"SBA 26/*",$F$2:$F1427,"&lt;&gt;"),"")</f>
        <v/>
      </c>
      <c r="AB1427" s="29" t="str">
        <f>IF(AA1427=1,COUNTIF($AA$2:AA1427,1),"")</f>
        <v/>
      </c>
    </row>
    <row r="1428" spans="6:28" ht="63" customHeight="1" x14ac:dyDescent="0.2">
      <c r="F1428" s="45" t="s">
        <v>3989</v>
      </c>
      <c r="T1428" s="41"/>
      <c r="U1428" s="29" t="str">
        <f>IF($C1428&lt;&gt;"",COUNTIF($C$2:C1428,C1428),"")</f>
        <v/>
      </c>
      <c r="V1428" s="29" t="str">
        <f t="shared" si="68"/>
        <v/>
      </c>
      <c r="W1428" s="29" t="str">
        <f>IF(U1428=1,COUNTIF($U$2:U1428,1),"")</f>
        <v/>
      </c>
      <c r="X1428" s="29" t="str">
        <f t="shared" si="69"/>
        <v/>
      </c>
      <c r="Y1428" s="29" t="str">
        <f>IF(AND(LEFT($B1428,7)="SBA 26/",$D1428&lt;&gt;"",$F1428&lt;&gt;""),COUNTIFS($D$2:$D1428,$D1428,$B$2:$B1428,"SBA 26/*",$F$2:$F1428,"&lt;&gt;"),"")</f>
        <v/>
      </c>
      <c r="Z1428" s="29" t="str">
        <f>IF(Y1428=1,COUNTIF($Y$2:Y1428,1),"")</f>
        <v/>
      </c>
      <c r="AA1428" s="29" t="str">
        <f>IF(AND(LEFT($B1428,7)="SBA 26/",$C1428&lt;&gt;"",$F1428&lt;&gt;""),COUNTIFS($C$2:$C1428,$C1428,$B$2:$B1428,"SBA 26/*",$F$2:$F1428,"&lt;&gt;"),"")</f>
        <v/>
      </c>
      <c r="AB1428" s="29" t="str">
        <f>IF(AA1428=1,COUNTIF($AA$2:AA1428,1),"")</f>
        <v/>
      </c>
    </row>
    <row r="1429" spans="6:28" ht="47.25" customHeight="1" x14ac:dyDescent="0.2">
      <c r="F1429" s="45" t="s">
        <v>3990</v>
      </c>
      <c r="T1429" s="41"/>
      <c r="U1429" s="29" t="str">
        <f>IF($C1429&lt;&gt;"",COUNTIF($C$2:C1429,C1429),"")</f>
        <v/>
      </c>
      <c r="V1429" s="29" t="str">
        <f t="shared" si="68"/>
        <v/>
      </c>
      <c r="W1429" s="29" t="str">
        <f>IF(U1429=1,COUNTIF($U$2:U1429,1),"")</f>
        <v/>
      </c>
      <c r="X1429" s="29" t="str">
        <f t="shared" si="69"/>
        <v/>
      </c>
      <c r="Y1429" s="29" t="str">
        <f>IF(AND(LEFT($B1429,7)="SBA 26/",$D1429&lt;&gt;"",$F1429&lt;&gt;""),COUNTIFS($D$2:$D1429,$D1429,$B$2:$B1429,"SBA 26/*",$F$2:$F1429,"&lt;&gt;"),"")</f>
        <v/>
      </c>
      <c r="Z1429" s="29" t="str">
        <f>IF(Y1429=1,COUNTIF($Y$2:Y1429,1),"")</f>
        <v/>
      </c>
      <c r="AA1429" s="29" t="str">
        <f>IF(AND(LEFT($B1429,7)="SBA 26/",$C1429&lt;&gt;"",$F1429&lt;&gt;""),COUNTIFS($C$2:$C1429,$C1429,$B$2:$B1429,"SBA 26/*",$F$2:$F1429,"&lt;&gt;"),"")</f>
        <v/>
      </c>
      <c r="AB1429" s="29" t="str">
        <f>IF(AA1429=1,COUNTIF($AA$2:AA1429,1),"")</f>
        <v/>
      </c>
    </row>
    <row r="1430" spans="6:28" ht="31.5" customHeight="1" x14ac:dyDescent="0.2">
      <c r="F1430" s="45" t="s">
        <v>3991</v>
      </c>
      <c r="T1430" s="41"/>
      <c r="U1430" s="29" t="str">
        <f>IF($C1430&lt;&gt;"",COUNTIF($C$2:C1430,C1430),"")</f>
        <v/>
      </c>
      <c r="V1430" s="29" t="str">
        <f t="shared" si="68"/>
        <v/>
      </c>
      <c r="W1430" s="29" t="str">
        <f>IF(U1430=1,COUNTIF($U$2:U1430,1),"")</f>
        <v/>
      </c>
      <c r="X1430" s="29" t="str">
        <f t="shared" si="69"/>
        <v/>
      </c>
      <c r="Y1430" s="29" t="str">
        <f>IF(AND(LEFT($B1430,7)="SBA 26/",$D1430&lt;&gt;"",$F1430&lt;&gt;""),COUNTIFS($D$2:$D1430,$D1430,$B$2:$B1430,"SBA 26/*",$F$2:$F1430,"&lt;&gt;"),"")</f>
        <v/>
      </c>
      <c r="Z1430" s="29" t="str">
        <f>IF(Y1430=1,COUNTIF($Y$2:Y1430,1),"")</f>
        <v/>
      </c>
      <c r="AA1430" s="29" t="str">
        <f>IF(AND(LEFT($B1430,7)="SBA 26/",$C1430&lt;&gt;"",$F1430&lt;&gt;""),COUNTIFS($C$2:$C1430,$C1430,$B$2:$B1430,"SBA 26/*",$F$2:$F1430,"&lt;&gt;"),"")</f>
        <v/>
      </c>
      <c r="AB1430" s="29" t="str">
        <f>IF(AA1430=1,COUNTIF($AA$2:AA1430,1),"")</f>
        <v/>
      </c>
    </row>
    <row r="1431" spans="6:28" ht="47.25" customHeight="1" x14ac:dyDescent="0.2">
      <c r="F1431" s="45" t="s">
        <v>3992</v>
      </c>
      <c r="T1431" s="41"/>
      <c r="U1431" s="29" t="str">
        <f>IF($C1431&lt;&gt;"",COUNTIF($C$2:C1431,C1431),"")</f>
        <v/>
      </c>
      <c r="V1431" s="29" t="str">
        <f t="shared" si="68"/>
        <v/>
      </c>
      <c r="W1431" s="29" t="str">
        <f>IF(U1431=1,COUNTIF($U$2:U1431,1),"")</f>
        <v/>
      </c>
      <c r="X1431" s="29" t="str">
        <f t="shared" si="69"/>
        <v/>
      </c>
      <c r="Y1431" s="29" t="str">
        <f>IF(AND(LEFT($B1431,7)="SBA 26/",$D1431&lt;&gt;"",$F1431&lt;&gt;""),COUNTIFS($D$2:$D1431,$D1431,$B$2:$B1431,"SBA 26/*",$F$2:$F1431,"&lt;&gt;"),"")</f>
        <v/>
      </c>
      <c r="Z1431" s="29" t="str">
        <f>IF(Y1431=1,COUNTIF($Y$2:Y1431,1),"")</f>
        <v/>
      </c>
      <c r="AA1431" s="29" t="str">
        <f>IF(AND(LEFT($B1431,7)="SBA 26/",$C1431&lt;&gt;"",$F1431&lt;&gt;""),COUNTIFS($C$2:$C1431,$C1431,$B$2:$B1431,"SBA 26/*",$F$2:$F1431,"&lt;&gt;"),"")</f>
        <v/>
      </c>
      <c r="AB1431" s="29" t="str">
        <f>IF(AA1431=1,COUNTIF($AA$2:AA1431,1),"")</f>
        <v/>
      </c>
    </row>
    <row r="1432" spans="6:28" ht="31.5" customHeight="1" x14ac:dyDescent="0.2">
      <c r="F1432" s="45" t="s">
        <v>3993</v>
      </c>
      <c r="T1432" s="41"/>
      <c r="U1432" s="29" t="str">
        <f>IF($C1432&lt;&gt;"",COUNTIF($C$2:C1432,C1432),"")</f>
        <v/>
      </c>
      <c r="V1432" s="29" t="str">
        <f t="shared" si="68"/>
        <v/>
      </c>
      <c r="W1432" s="29" t="str">
        <f>IF(U1432=1,COUNTIF($U$2:U1432,1),"")</f>
        <v/>
      </c>
      <c r="X1432" s="29" t="str">
        <f t="shared" si="69"/>
        <v/>
      </c>
      <c r="Y1432" s="29" t="str">
        <f>IF(AND(LEFT($B1432,7)="SBA 26/",$D1432&lt;&gt;"",$F1432&lt;&gt;""),COUNTIFS($D$2:$D1432,$D1432,$B$2:$B1432,"SBA 26/*",$F$2:$F1432,"&lt;&gt;"),"")</f>
        <v/>
      </c>
      <c r="Z1432" s="29" t="str">
        <f>IF(Y1432=1,COUNTIF($Y$2:Y1432,1),"")</f>
        <v/>
      </c>
      <c r="AA1432" s="29" t="str">
        <f>IF(AND(LEFT($B1432,7)="SBA 26/",$C1432&lt;&gt;"",$F1432&lt;&gt;""),COUNTIFS($C$2:$C1432,$C1432,$B$2:$B1432,"SBA 26/*",$F$2:$F1432,"&lt;&gt;"),"")</f>
        <v/>
      </c>
      <c r="AB1432" s="29" t="str">
        <f>IF(AA1432=1,COUNTIF($AA$2:AA1432,1),"")</f>
        <v/>
      </c>
    </row>
    <row r="1433" spans="6:28" ht="78.75" customHeight="1" x14ac:dyDescent="0.2">
      <c r="F1433" s="45" t="s">
        <v>3994</v>
      </c>
      <c r="T1433" s="41"/>
      <c r="U1433" s="29" t="str">
        <f>IF($C1433&lt;&gt;"",COUNTIF($C$2:C1433,C1433),"")</f>
        <v/>
      </c>
      <c r="V1433" s="29" t="str">
        <f t="shared" si="68"/>
        <v/>
      </c>
      <c r="W1433" s="29" t="str">
        <f>IF(U1433=1,COUNTIF($U$2:U1433,1),"")</f>
        <v/>
      </c>
      <c r="X1433" s="29" t="str">
        <f t="shared" si="69"/>
        <v/>
      </c>
      <c r="Y1433" s="29" t="str">
        <f>IF(AND(LEFT($B1433,7)="SBA 26/",$D1433&lt;&gt;"",$F1433&lt;&gt;""),COUNTIFS($D$2:$D1433,$D1433,$B$2:$B1433,"SBA 26/*",$F$2:$F1433,"&lt;&gt;"),"")</f>
        <v/>
      </c>
      <c r="Z1433" s="29" t="str">
        <f>IF(Y1433=1,COUNTIF($Y$2:Y1433,1),"")</f>
        <v/>
      </c>
      <c r="AA1433" s="29" t="str">
        <f>IF(AND(LEFT($B1433,7)="SBA 26/",$C1433&lt;&gt;"",$F1433&lt;&gt;""),COUNTIFS($C$2:$C1433,$C1433,$B$2:$B1433,"SBA 26/*",$F$2:$F1433,"&lt;&gt;"),"")</f>
        <v/>
      </c>
      <c r="AB1433" s="29" t="str">
        <f>IF(AA1433=1,COUNTIF($AA$2:AA1433,1),"")</f>
        <v/>
      </c>
    </row>
    <row r="1434" spans="6:28" ht="47.25" customHeight="1" x14ac:dyDescent="0.2">
      <c r="F1434" s="45" t="s">
        <v>3995</v>
      </c>
      <c r="T1434" s="41"/>
      <c r="U1434" s="29" t="str">
        <f>IF($C1434&lt;&gt;"",COUNTIF($C$2:C1434,C1434),"")</f>
        <v/>
      </c>
      <c r="V1434" s="29" t="str">
        <f t="shared" si="68"/>
        <v/>
      </c>
      <c r="W1434" s="29" t="str">
        <f>IF(U1434=1,COUNTIF($U$2:U1434,1),"")</f>
        <v/>
      </c>
      <c r="X1434" s="29" t="str">
        <f t="shared" si="69"/>
        <v/>
      </c>
      <c r="Y1434" s="29" t="str">
        <f>IF(AND(LEFT($B1434,7)="SBA 26/",$D1434&lt;&gt;"",$F1434&lt;&gt;""),COUNTIFS($D$2:$D1434,$D1434,$B$2:$B1434,"SBA 26/*",$F$2:$F1434,"&lt;&gt;"),"")</f>
        <v/>
      </c>
      <c r="Z1434" s="29" t="str">
        <f>IF(Y1434=1,COUNTIF($Y$2:Y1434,1),"")</f>
        <v/>
      </c>
      <c r="AA1434" s="29" t="str">
        <f>IF(AND(LEFT($B1434,7)="SBA 26/",$C1434&lt;&gt;"",$F1434&lt;&gt;""),COUNTIFS($C$2:$C1434,$C1434,$B$2:$B1434,"SBA 26/*",$F$2:$F1434,"&lt;&gt;"),"")</f>
        <v/>
      </c>
      <c r="AB1434" s="29" t="str">
        <f>IF(AA1434=1,COUNTIF($AA$2:AA1434,1),"")</f>
        <v/>
      </c>
    </row>
    <row r="1435" spans="6:28" ht="31.5" customHeight="1" x14ac:dyDescent="0.2">
      <c r="F1435" s="45" t="s">
        <v>3996</v>
      </c>
      <c r="T1435" s="41"/>
      <c r="U1435" s="29" t="str">
        <f>IF($C1435&lt;&gt;"",COUNTIF($C$2:C1435,C1435),"")</f>
        <v/>
      </c>
      <c r="V1435" s="29" t="str">
        <f t="shared" si="68"/>
        <v/>
      </c>
      <c r="W1435" s="29" t="str">
        <f>IF(U1435=1,COUNTIF($U$2:U1435,1),"")</f>
        <v/>
      </c>
      <c r="X1435" s="29" t="str">
        <f t="shared" si="69"/>
        <v/>
      </c>
      <c r="Y1435" s="29" t="str">
        <f>IF(AND(LEFT($B1435,7)="SBA 26/",$D1435&lt;&gt;"",$F1435&lt;&gt;""),COUNTIFS($D$2:$D1435,$D1435,$B$2:$B1435,"SBA 26/*",$F$2:$F1435,"&lt;&gt;"),"")</f>
        <v/>
      </c>
      <c r="Z1435" s="29" t="str">
        <f>IF(Y1435=1,COUNTIF($Y$2:Y1435,1),"")</f>
        <v/>
      </c>
      <c r="AA1435" s="29" t="str">
        <f>IF(AND(LEFT($B1435,7)="SBA 26/",$C1435&lt;&gt;"",$F1435&lt;&gt;""),COUNTIFS($C$2:$C1435,$C1435,$B$2:$B1435,"SBA 26/*",$F$2:$F1435,"&lt;&gt;"),"")</f>
        <v/>
      </c>
      <c r="AB1435" s="29" t="str">
        <f>IF(AA1435=1,COUNTIF($AA$2:AA1435,1),"")</f>
        <v/>
      </c>
    </row>
    <row r="1436" spans="6:28" ht="31.5" customHeight="1" x14ac:dyDescent="0.2">
      <c r="F1436" s="45" t="s">
        <v>3997</v>
      </c>
      <c r="T1436" s="41"/>
      <c r="U1436" s="29" t="str">
        <f>IF($C1436&lt;&gt;"",COUNTIF($C$2:C1436,C1436),"")</f>
        <v/>
      </c>
      <c r="V1436" s="29" t="str">
        <f t="shared" si="68"/>
        <v/>
      </c>
      <c r="W1436" s="29" t="str">
        <f>IF(U1436=1,COUNTIF($U$2:U1436,1),"")</f>
        <v/>
      </c>
      <c r="X1436" s="29" t="str">
        <f t="shared" si="69"/>
        <v/>
      </c>
      <c r="Y1436" s="29" t="str">
        <f>IF(AND(LEFT($B1436,7)="SBA 26/",$D1436&lt;&gt;"",$F1436&lt;&gt;""),COUNTIFS($D$2:$D1436,$D1436,$B$2:$B1436,"SBA 26/*",$F$2:$F1436,"&lt;&gt;"),"")</f>
        <v/>
      </c>
      <c r="Z1436" s="29" t="str">
        <f>IF(Y1436=1,COUNTIF($Y$2:Y1436,1),"")</f>
        <v/>
      </c>
      <c r="AA1436" s="29" t="str">
        <f>IF(AND(LEFT($B1436,7)="SBA 26/",$C1436&lt;&gt;"",$F1436&lt;&gt;""),COUNTIFS($C$2:$C1436,$C1436,$B$2:$B1436,"SBA 26/*",$F$2:$F1436,"&lt;&gt;"),"")</f>
        <v/>
      </c>
      <c r="AB1436" s="29" t="str">
        <f>IF(AA1436=1,COUNTIF($AA$2:AA1436,1),"")</f>
        <v/>
      </c>
    </row>
    <row r="1437" spans="6:28" ht="47.25" customHeight="1" x14ac:dyDescent="0.2">
      <c r="F1437" s="45" t="s">
        <v>3998</v>
      </c>
      <c r="T1437" s="41"/>
      <c r="U1437" s="29" t="str">
        <f>IF($C1437&lt;&gt;"",COUNTIF($C$2:C1437,C1437),"")</f>
        <v/>
      </c>
      <c r="V1437" s="29" t="str">
        <f t="shared" si="68"/>
        <v/>
      </c>
      <c r="W1437" s="29" t="str">
        <f>IF(U1437=1,COUNTIF($U$2:U1437,1),"")</f>
        <v/>
      </c>
      <c r="X1437" s="29" t="str">
        <f t="shared" si="69"/>
        <v/>
      </c>
      <c r="Y1437" s="29" t="str">
        <f>IF(AND(LEFT($B1437,7)="SBA 26/",$D1437&lt;&gt;"",$F1437&lt;&gt;""),COUNTIFS($D$2:$D1437,$D1437,$B$2:$B1437,"SBA 26/*",$F$2:$F1437,"&lt;&gt;"),"")</f>
        <v/>
      </c>
      <c r="Z1437" s="29" t="str">
        <f>IF(Y1437=1,COUNTIF($Y$2:Y1437,1),"")</f>
        <v/>
      </c>
      <c r="AA1437" s="29" t="str">
        <f>IF(AND(LEFT($B1437,7)="SBA 26/",$C1437&lt;&gt;"",$F1437&lt;&gt;""),COUNTIFS($C$2:$C1437,$C1437,$B$2:$B1437,"SBA 26/*",$F$2:$F1437,"&lt;&gt;"),"")</f>
        <v/>
      </c>
      <c r="AB1437" s="29" t="str">
        <f>IF(AA1437=1,COUNTIF($AA$2:AA1437,1),"")</f>
        <v/>
      </c>
    </row>
    <row r="1438" spans="6:28" ht="63" customHeight="1" x14ac:dyDescent="0.2">
      <c r="F1438" s="45" t="s">
        <v>3999</v>
      </c>
      <c r="T1438" s="41"/>
      <c r="U1438" s="29" t="str">
        <f>IF($C1438&lt;&gt;"",COUNTIF($C$2:C1438,C1438),"")</f>
        <v/>
      </c>
      <c r="V1438" s="29" t="str">
        <f t="shared" si="68"/>
        <v/>
      </c>
      <c r="W1438" s="29" t="str">
        <f>IF(U1438=1,COUNTIF($U$2:U1438,1),"")</f>
        <v/>
      </c>
      <c r="X1438" s="29" t="str">
        <f t="shared" si="69"/>
        <v/>
      </c>
      <c r="Y1438" s="29" t="str">
        <f>IF(AND(LEFT($B1438,7)="SBA 26/",$D1438&lt;&gt;"",$F1438&lt;&gt;""),COUNTIFS($D$2:$D1438,$D1438,$B$2:$B1438,"SBA 26/*",$F$2:$F1438,"&lt;&gt;"),"")</f>
        <v/>
      </c>
      <c r="Z1438" s="29" t="str">
        <f>IF(Y1438=1,COUNTIF($Y$2:Y1438,1),"")</f>
        <v/>
      </c>
      <c r="AA1438" s="29" t="str">
        <f>IF(AND(LEFT($B1438,7)="SBA 26/",$C1438&lt;&gt;"",$F1438&lt;&gt;""),COUNTIFS($C$2:$C1438,$C1438,$B$2:$B1438,"SBA 26/*",$F$2:$F1438,"&lt;&gt;"),"")</f>
        <v/>
      </c>
      <c r="AB1438" s="29" t="str">
        <f>IF(AA1438=1,COUNTIF($AA$2:AA1438,1),"")</f>
        <v/>
      </c>
    </row>
    <row r="1439" spans="6:28" ht="47.25" customHeight="1" x14ac:dyDescent="0.2">
      <c r="F1439" s="45" t="s">
        <v>4000</v>
      </c>
      <c r="T1439" s="41"/>
      <c r="U1439" s="29" t="str">
        <f>IF($C1439&lt;&gt;"",COUNTIF($C$2:C1439,C1439),"")</f>
        <v/>
      </c>
      <c r="V1439" s="29" t="str">
        <f t="shared" si="68"/>
        <v/>
      </c>
      <c r="W1439" s="29" t="str">
        <f>IF(U1439=1,COUNTIF($U$2:U1439,1),"")</f>
        <v/>
      </c>
      <c r="X1439" s="29" t="str">
        <f t="shared" si="69"/>
        <v/>
      </c>
      <c r="Y1439" s="29" t="str">
        <f>IF(AND(LEFT($B1439,7)="SBA 26/",$D1439&lt;&gt;"",$F1439&lt;&gt;""),COUNTIFS($D$2:$D1439,$D1439,$B$2:$B1439,"SBA 26/*",$F$2:$F1439,"&lt;&gt;"),"")</f>
        <v/>
      </c>
      <c r="Z1439" s="29" t="str">
        <f>IF(Y1439=1,COUNTIF($Y$2:Y1439,1),"")</f>
        <v/>
      </c>
      <c r="AA1439" s="29" t="str">
        <f>IF(AND(LEFT($B1439,7)="SBA 26/",$C1439&lt;&gt;"",$F1439&lt;&gt;""),COUNTIFS($C$2:$C1439,$C1439,$B$2:$B1439,"SBA 26/*",$F$2:$F1439,"&lt;&gt;"),"")</f>
        <v/>
      </c>
      <c r="AB1439" s="29" t="str">
        <f>IF(AA1439=1,COUNTIF($AA$2:AA1439,1),"")</f>
        <v/>
      </c>
    </row>
    <row r="1440" spans="6:28" ht="47.25" customHeight="1" x14ac:dyDescent="0.2">
      <c r="F1440" s="45" t="s">
        <v>4001</v>
      </c>
      <c r="T1440" s="41"/>
      <c r="U1440" s="29" t="str">
        <f>IF($C1440&lt;&gt;"",COUNTIF($C$2:C1440,C1440),"")</f>
        <v/>
      </c>
      <c r="V1440" s="29" t="str">
        <f t="shared" si="68"/>
        <v/>
      </c>
      <c r="W1440" s="29" t="str">
        <f>IF(U1440=1,COUNTIF($U$2:U1440,1),"")</f>
        <v/>
      </c>
      <c r="X1440" s="29" t="str">
        <f t="shared" si="69"/>
        <v/>
      </c>
      <c r="Y1440" s="29" t="str">
        <f>IF(AND(LEFT($B1440,7)="SBA 26/",$D1440&lt;&gt;"",$F1440&lt;&gt;""),COUNTIFS($D$2:$D1440,$D1440,$B$2:$B1440,"SBA 26/*",$F$2:$F1440,"&lt;&gt;"),"")</f>
        <v/>
      </c>
      <c r="Z1440" s="29" t="str">
        <f>IF(Y1440=1,COUNTIF($Y$2:Y1440,1),"")</f>
        <v/>
      </c>
      <c r="AA1440" s="29" t="str">
        <f>IF(AND(LEFT($B1440,7)="SBA 26/",$C1440&lt;&gt;"",$F1440&lt;&gt;""),COUNTIFS($C$2:$C1440,$C1440,$B$2:$B1440,"SBA 26/*",$F$2:$F1440,"&lt;&gt;"),"")</f>
        <v/>
      </c>
      <c r="AB1440" s="29" t="str">
        <f>IF(AA1440=1,COUNTIF($AA$2:AA1440,1),"")</f>
        <v/>
      </c>
    </row>
    <row r="1441" spans="6:28" ht="47.25" customHeight="1" x14ac:dyDescent="0.2">
      <c r="F1441" s="45" t="s">
        <v>4002</v>
      </c>
      <c r="T1441" s="41"/>
      <c r="U1441" s="29" t="str">
        <f>IF($C1441&lt;&gt;"",COUNTIF($C$2:C1441,C1441),"")</f>
        <v/>
      </c>
      <c r="V1441" s="29" t="str">
        <f t="shared" si="68"/>
        <v/>
      </c>
      <c r="W1441" s="29" t="str">
        <f>IF(U1441=1,COUNTIF($U$2:U1441,1),"")</f>
        <v/>
      </c>
      <c r="X1441" s="29" t="str">
        <f t="shared" si="69"/>
        <v/>
      </c>
      <c r="Y1441" s="29" t="str">
        <f>IF(AND(LEFT($B1441,7)="SBA 26/",$D1441&lt;&gt;"",$F1441&lt;&gt;""),COUNTIFS($D$2:$D1441,$D1441,$B$2:$B1441,"SBA 26/*",$F$2:$F1441,"&lt;&gt;"),"")</f>
        <v/>
      </c>
      <c r="Z1441" s="29" t="str">
        <f>IF(Y1441=1,COUNTIF($Y$2:Y1441,1),"")</f>
        <v/>
      </c>
      <c r="AA1441" s="29" t="str">
        <f>IF(AND(LEFT($B1441,7)="SBA 26/",$C1441&lt;&gt;"",$F1441&lt;&gt;""),COUNTIFS($C$2:$C1441,$C1441,$B$2:$B1441,"SBA 26/*",$F$2:$F1441,"&lt;&gt;"),"")</f>
        <v/>
      </c>
      <c r="AB1441" s="29" t="str">
        <f>IF(AA1441=1,COUNTIF($AA$2:AA1441,1),"")</f>
        <v/>
      </c>
    </row>
    <row r="1442" spans="6:28" ht="47.25" customHeight="1" x14ac:dyDescent="0.2">
      <c r="F1442" s="45" t="s">
        <v>4003</v>
      </c>
      <c r="T1442" s="41"/>
      <c r="U1442" s="29" t="str">
        <f>IF($C1442&lt;&gt;"",COUNTIF($C$2:C1442,C1442),"")</f>
        <v/>
      </c>
      <c r="V1442" s="29" t="str">
        <f t="shared" si="68"/>
        <v/>
      </c>
      <c r="W1442" s="29" t="str">
        <f>IF(U1442=1,COUNTIF($U$2:U1442,1),"")</f>
        <v/>
      </c>
      <c r="X1442" s="29" t="str">
        <f t="shared" si="69"/>
        <v/>
      </c>
      <c r="Y1442" s="29" t="str">
        <f>IF(AND(LEFT($B1442,7)="SBA 26/",$D1442&lt;&gt;"",$F1442&lt;&gt;""),COUNTIFS($D$2:$D1442,$D1442,$B$2:$B1442,"SBA 26/*",$F$2:$F1442,"&lt;&gt;"),"")</f>
        <v/>
      </c>
      <c r="Z1442" s="29" t="str">
        <f>IF(Y1442=1,COUNTIF($Y$2:Y1442,1),"")</f>
        <v/>
      </c>
      <c r="AA1442" s="29" t="str">
        <f>IF(AND(LEFT($B1442,7)="SBA 26/",$C1442&lt;&gt;"",$F1442&lt;&gt;""),COUNTIFS($C$2:$C1442,$C1442,$B$2:$B1442,"SBA 26/*",$F$2:$F1442,"&lt;&gt;"),"")</f>
        <v/>
      </c>
      <c r="AB1442" s="29" t="str">
        <f>IF(AA1442=1,COUNTIF($AA$2:AA1442,1),"")</f>
        <v/>
      </c>
    </row>
    <row r="1443" spans="6:28" ht="47.25" customHeight="1" x14ac:dyDescent="0.2">
      <c r="F1443" s="45" t="s">
        <v>4004</v>
      </c>
      <c r="T1443" s="41"/>
      <c r="U1443" s="29" t="str">
        <f>IF($C1443&lt;&gt;"",COUNTIF($C$2:C1443,C1443),"")</f>
        <v/>
      </c>
      <c r="V1443" s="29" t="str">
        <f t="shared" si="68"/>
        <v/>
      </c>
      <c r="W1443" s="29" t="str">
        <f>IF(U1443=1,COUNTIF($U$2:U1443,1),"")</f>
        <v/>
      </c>
      <c r="X1443" s="29" t="str">
        <f t="shared" si="69"/>
        <v/>
      </c>
      <c r="Y1443" s="29" t="str">
        <f>IF(AND(LEFT($B1443,7)="SBA 26/",$D1443&lt;&gt;"",$F1443&lt;&gt;""),COUNTIFS($D$2:$D1443,$D1443,$B$2:$B1443,"SBA 26/*",$F$2:$F1443,"&lt;&gt;"),"")</f>
        <v/>
      </c>
      <c r="Z1443" s="29" t="str">
        <f>IF(Y1443=1,COUNTIF($Y$2:Y1443,1),"")</f>
        <v/>
      </c>
      <c r="AA1443" s="29" t="str">
        <f>IF(AND(LEFT($B1443,7)="SBA 26/",$C1443&lt;&gt;"",$F1443&lt;&gt;""),COUNTIFS($C$2:$C1443,$C1443,$B$2:$B1443,"SBA 26/*",$F$2:$F1443,"&lt;&gt;"),"")</f>
        <v/>
      </c>
      <c r="AB1443" s="29" t="str">
        <f>IF(AA1443=1,COUNTIF($AA$2:AA1443,1),"")</f>
        <v/>
      </c>
    </row>
    <row r="1444" spans="6:28" ht="63" customHeight="1" x14ac:dyDescent="0.2">
      <c r="F1444" s="45" t="s">
        <v>4005</v>
      </c>
      <c r="T1444" s="41"/>
      <c r="U1444" s="29" t="str">
        <f>IF($C1444&lt;&gt;"",COUNTIF($C$2:C1444,C1444),"")</f>
        <v/>
      </c>
      <c r="V1444" s="29" t="str">
        <f t="shared" si="68"/>
        <v/>
      </c>
      <c r="W1444" s="29" t="str">
        <f>IF(U1444=1,COUNTIF($U$2:U1444,1),"")</f>
        <v/>
      </c>
      <c r="X1444" s="29" t="str">
        <f t="shared" si="69"/>
        <v/>
      </c>
      <c r="Y1444" s="29" t="str">
        <f>IF(AND(LEFT($B1444,7)="SBA 26/",$D1444&lt;&gt;"",$F1444&lt;&gt;""),COUNTIFS($D$2:$D1444,$D1444,$B$2:$B1444,"SBA 26/*",$F$2:$F1444,"&lt;&gt;"),"")</f>
        <v/>
      </c>
      <c r="Z1444" s="29" t="str">
        <f>IF(Y1444=1,COUNTIF($Y$2:Y1444,1),"")</f>
        <v/>
      </c>
      <c r="AA1444" s="29" t="str">
        <f>IF(AND(LEFT($B1444,7)="SBA 26/",$C1444&lt;&gt;"",$F1444&lt;&gt;""),COUNTIFS($C$2:$C1444,$C1444,$B$2:$B1444,"SBA 26/*",$F$2:$F1444,"&lt;&gt;"),"")</f>
        <v/>
      </c>
      <c r="AB1444" s="29" t="str">
        <f>IF(AA1444=1,COUNTIF($AA$2:AA1444,1),"")</f>
        <v/>
      </c>
    </row>
    <row r="1445" spans="6:28" ht="31.5" customHeight="1" x14ac:dyDescent="0.2">
      <c r="F1445" s="45" t="s">
        <v>4006</v>
      </c>
      <c r="T1445" s="41"/>
      <c r="U1445" s="29" t="str">
        <f>IF($C1445&lt;&gt;"",COUNTIF($C$2:C1445,C1445),"")</f>
        <v/>
      </c>
      <c r="V1445" s="29" t="str">
        <f t="shared" si="68"/>
        <v/>
      </c>
      <c r="W1445" s="29" t="str">
        <f>IF(U1445=1,COUNTIF($U$2:U1445,1),"")</f>
        <v/>
      </c>
      <c r="X1445" s="29" t="str">
        <f t="shared" si="69"/>
        <v/>
      </c>
      <c r="Y1445" s="29" t="str">
        <f>IF(AND(LEFT($B1445,7)="SBA 26/",$D1445&lt;&gt;"",$F1445&lt;&gt;""),COUNTIFS($D$2:$D1445,$D1445,$B$2:$B1445,"SBA 26/*",$F$2:$F1445,"&lt;&gt;"),"")</f>
        <v/>
      </c>
      <c r="Z1445" s="29" t="str">
        <f>IF(Y1445=1,COUNTIF($Y$2:Y1445,1),"")</f>
        <v/>
      </c>
      <c r="AA1445" s="29" t="str">
        <f>IF(AND(LEFT($B1445,7)="SBA 26/",$C1445&lt;&gt;"",$F1445&lt;&gt;""),COUNTIFS($C$2:$C1445,$C1445,$B$2:$B1445,"SBA 26/*",$F$2:$F1445,"&lt;&gt;"),"")</f>
        <v/>
      </c>
      <c r="AB1445" s="29" t="str">
        <f>IF(AA1445=1,COUNTIF($AA$2:AA1445,1),"")</f>
        <v/>
      </c>
    </row>
    <row r="1446" spans="6:28" ht="31.5" customHeight="1" x14ac:dyDescent="0.2">
      <c r="F1446" s="45" t="s">
        <v>4007</v>
      </c>
      <c r="T1446" s="41"/>
      <c r="U1446" s="29" t="str">
        <f>IF($C1446&lt;&gt;"",COUNTIF($C$2:C1446,C1446),"")</f>
        <v/>
      </c>
      <c r="V1446" s="29" t="str">
        <f t="shared" si="68"/>
        <v/>
      </c>
      <c r="W1446" s="29" t="str">
        <f>IF(U1446=1,COUNTIF($U$2:U1446,1),"")</f>
        <v/>
      </c>
      <c r="X1446" s="29" t="str">
        <f t="shared" si="69"/>
        <v/>
      </c>
      <c r="Y1446" s="29" t="str">
        <f>IF(AND(LEFT($B1446,7)="SBA 26/",$D1446&lt;&gt;"",$F1446&lt;&gt;""),COUNTIFS($D$2:$D1446,$D1446,$B$2:$B1446,"SBA 26/*",$F$2:$F1446,"&lt;&gt;"),"")</f>
        <v/>
      </c>
      <c r="Z1446" s="29" t="str">
        <f>IF(Y1446=1,COUNTIF($Y$2:Y1446,1),"")</f>
        <v/>
      </c>
      <c r="AA1446" s="29" t="str">
        <f>IF(AND(LEFT($B1446,7)="SBA 26/",$C1446&lt;&gt;"",$F1446&lt;&gt;""),COUNTIFS($C$2:$C1446,$C1446,$B$2:$B1446,"SBA 26/*",$F$2:$F1446,"&lt;&gt;"),"")</f>
        <v/>
      </c>
      <c r="AB1446" s="29" t="str">
        <f>IF(AA1446=1,COUNTIF($AA$2:AA1446,1),"")</f>
        <v/>
      </c>
    </row>
    <row r="1447" spans="6:28" ht="31.5" customHeight="1" x14ac:dyDescent="0.2">
      <c r="F1447" s="45" t="s">
        <v>4008</v>
      </c>
      <c r="T1447" s="41"/>
      <c r="U1447" s="29" t="str">
        <f>IF($C1447&lt;&gt;"",COUNTIF($C$2:C1447,C1447),"")</f>
        <v/>
      </c>
      <c r="V1447" s="29" t="str">
        <f t="shared" si="68"/>
        <v/>
      </c>
      <c r="W1447" s="29" t="str">
        <f>IF(U1447=1,COUNTIF($U$2:U1447,1),"")</f>
        <v/>
      </c>
      <c r="X1447" s="29" t="str">
        <f t="shared" si="69"/>
        <v/>
      </c>
      <c r="Y1447" s="29" t="str">
        <f>IF(AND(LEFT($B1447,7)="SBA 26/",$D1447&lt;&gt;"",$F1447&lt;&gt;""),COUNTIFS($D$2:$D1447,$D1447,$B$2:$B1447,"SBA 26/*",$F$2:$F1447,"&lt;&gt;"),"")</f>
        <v/>
      </c>
      <c r="Z1447" s="29" t="str">
        <f>IF(Y1447=1,COUNTIF($Y$2:Y1447,1),"")</f>
        <v/>
      </c>
      <c r="AA1447" s="29" t="str">
        <f>IF(AND(LEFT($B1447,7)="SBA 26/",$C1447&lt;&gt;"",$F1447&lt;&gt;""),COUNTIFS($C$2:$C1447,$C1447,$B$2:$B1447,"SBA 26/*",$F$2:$F1447,"&lt;&gt;"),"")</f>
        <v/>
      </c>
      <c r="AB1447" s="29" t="str">
        <f>IF(AA1447=1,COUNTIF($AA$2:AA1447,1),"")</f>
        <v/>
      </c>
    </row>
    <row r="1448" spans="6:28" ht="47.25" customHeight="1" x14ac:dyDescent="0.2">
      <c r="F1448" s="45" t="s">
        <v>4009</v>
      </c>
      <c r="T1448" s="41"/>
      <c r="U1448" s="29" t="str">
        <f>IF($C1448&lt;&gt;"",COUNTIF($C$2:C1448,C1448),"")</f>
        <v/>
      </c>
      <c r="V1448" s="29" t="str">
        <f t="shared" si="68"/>
        <v/>
      </c>
      <c r="W1448" s="29" t="str">
        <f>IF(U1448=1,COUNTIF($U$2:U1448,1),"")</f>
        <v/>
      </c>
      <c r="X1448" s="29" t="str">
        <f t="shared" si="69"/>
        <v/>
      </c>
      <c r="Y1448" s="29" t="str">
        <f>IF(AND(LEFT($B1448,7)="SBA 26/",$D1448&lt;&gt;"",$F1448&lt;&gt;""),COUNTIFS($D$2:$D1448,$D1448,$B$2:$B1448,"SBA 26/*",$F$2:$F1448,"&lt;&gt;"),"")</f>
        <v/>
      </c>
      <c r="Z1448" s="29" t="str">
        <f>IF(Y1448=1,COUNTIF($Y$2:Y1448,1),"")</f>
        <v/>
      </c>
      <c r="AA1448" s="29" t="str">
        <f>IF(AND(LEFT($B1448,7)="SBA 26/",$C1448&lt;&gt;"",$F1448&lt;&gt;""),COUNTIFS($C$2:$C1448,$C1448,$B$2:$B1448,"SBA 26/*",$F$2:$F1448,"&lt;&gt;"),"")</f>
        <v/>
      </c>
      <c r="AB1448" s="29" t="str">
        <f>IF(AA1448=1,COUNTIF($AA$2:AA1448,1),"")</f>
        <v/>
      </c>
    </row>
    <row r="1449" spans="6:28" ht="31.5" customHeight="1" x14ac:dyDescent="0.2">
      <c r="F1449" s="45" t="s">
        <v>4010</v>
      </c>
      <c r="T1449" s="41"/>
      <c r="U1449" s="29" t="str">
        <f>IF($C1449&lt;&gt;"",COUNTIF($C$2:C1449,C1449),"")</f>
        <v/>
      </c>
      <c r="V1449" s="29" t="str">
        <f t="shared" si="68"/>
        <v/>
      </c>
      <c r="W1449" s="29" t="str">
        <f>IF(U1449=1,COUNTIF($U$2:U1449,1),"")</f>
        <v/>
      </c>
      <c r="X1449" s="29" t="str">
        <f t="shared" si="69"/>
        <v/>
      </c>
      <c r="Y1449" s="29" t="str">
        <f>IF(AND(LEFT($B1449,7)="SBA 26/",$D1449&lt;&gt;"",$F1449&lt;&gt;""),COUNTIFS($D$2:$D1449,$D1449,$B$2:$B1449,"SBA 26/*",$F$2:$F1449,"&lt;&gt;"),"")</f>
        <v/>
      </c>
      <c r="Z1449" s="29" t="str">
        <f>IF(Y1449=1,COUNTIF($Y$2:Y1449,1),"")</f>
        <v/>
      </c>
      <c r="AA1449" s="29" t="str">
        <f>IF(AND(LEFT($B1449,7)="SBA 26/",$C1449&lt;&gt;"",$F1449&lt;&gt;""),COUNTIFS($C$2:$C1449,$C1449,$B$2:$B1449,"SBA 26/*",$F$2:$F1449,"&lt;&gt;"),"")</f>
        <v/>
      </c>
      <c r="AB1449" s="29" t="str">
        <f>IF(AA1449=1,COUNTIF($AA$2:AA1449,1),"")</f>
        <v/>
      </c>
    </row>
    <row r="1450" spans="6:28" ht="31.5" customHeight="1" x14ac:dyDescent="0.2">
      <c r="F1450" s="45" t="s">
        <v>4011</v>
      </c>
      <c r="T1450" s="41"/>
      <c r="U1450" s="29" t="str">
        <f>IF($C1450&lt;&gt;"",COUNTIF($C$2:C1450,C1450),"")</f>
        <v/>
      </c>
      <c r="V1450" s="29" t="str">
        <f t="shared" si="68"/>
        <v/>
      </c>
      <c r="W1450" s="29" t="str">
        <f>IF(U1450=1,COUNTIF($U$2:U1450,1),"")</f>
        <v/>
      </c>
      <c r="X1450" s="29" t="str">
        <f t="shared" si="69"/>
        <v/>
      </c>
      <c r="Y1450" s="29" t="str">
        <f>IF(AND(LEFT($B1450,7)="SBA 26/",$D1450&lt;&gt;"",$F1450&lt;&gt;""),COUNTIFS($D$2:$D1450,$D1450,$B$2:$B1450,"SBA 26/*",$F$2:$F1450,"&lt;&gt;"),"")</f>
        <v/>
      </c>
      <c r="Z1450" s="29" t="str">
        <f>IF(Y1450=1,COUNTIF($Y$2:Y1450,1),"")</f>
        <v/>
      </c>
      <c r="AA1450" s="29" t="str">
        <f>IF(AND(LEFT($B1450,7)="SBA 26/",$C1450&lt;&gt;"",$F1450&lt;&gt;""),COUNTIFS($C$2:$C1450,$C1450,$B$2:$B1450,"SBA 26/*",$F$2:$F1450,"&lt;&gt;"),"")</f>
        <v/>
      </c>
      <c r="AB1450" s="29" t="str">
        <f>IF(AA1450=1,COUNTIF($AA$2:AA1450,1),"")</f>
        <v/>
      </c>
    </row>
    <row r="1451" spans="6:28" ht="47.25" customHeight="1" x14ac:dyDescent="0.2">
      <c r="F1451" s="45" t="s">
        <v>4012</v>
      </c>
      <c r="T1451" s="41"/>
      <c r="U1451" s="29" t="str">
        <f>IF($C1451&lt;&gt;"",COUNTIF($C$2:C1451,C1451),"")</f>
        <v/>
      </c>
      <c r="V1451" s="29" t="str">
        <f t="shared" si="68"/>
        <v/>
      </c>
      <c r="W1451" s="29" t="str">
        <f>IF(U1451=1,COUNTIF($U$2:U1451,1),"")</f>
        <v/>
      </c>
      <c r="X1451" s="29" t="str">
        <f t="shared" si="69"/>
        <v/>
      </c>
      <c r="Y1451" s="29" t="str">
        <f>IF(AND(LEFT($B1451,7)="SBA 26/",$D1451&lt;&gt;"",$F1451&lt;&gt;""),COUNTIFS($D$2:$D1451,$D1451,$B$2:$B1451,"SBA 26/*",$F$2:$F1451,"&lt;&gt;"),"")</f>
        <v/>
      </c>
      <c r="Z1451" s="29" t="str">
        <f>IF(Y1451=1,COUNTIF($Y$2:Y1451,1),"")</f>
        <v/>
      </c>
      <c r="AA1451" s="29" t="str">
        <f>IF(AND(LEFT($B1451,7)="SBA 26/",$C1451&lt;&gt;"",$F1451&lt;&gt;""),COUNTIFS($C$2:$C1451,$C1451,$B$2:$B1451,"SBA 26/*",$F$2:$F1451,"&lt;&gt;"),"")</f>
        <v/>
      </c>
      <c r="AB1451" s="29" t="str">
        <f>IF(AA1451=1,COUNTIF($AA$2:AA1451,1),"")</f>
        <v/>
      </c>
    </row>
    <row r="1452" spans="6:28" ht="31.5" customHeight="1" x14ac:dyDescent="0.2">
      <c r="F1452" s="45" t="s">
        <v>4013</v>
      </c>
      <c r="T1452" s="41"/>
      <c r="U1452" s="29" t="str">
        <f>IF($C1452&lt;&gt;"",COUNTIF($C$2:C1452,C1452),"")</f>
        <v/>
      </c>
      <c r="V1452" s="29" t="str">
        <f t="shared" si="68"/>
        <v/>
      </c>
      <c r="W1452" s="29" t="str">
        <f>IF(U1452=1,COUNTIF($U$2:U1452,1),"")</f>
        <v/>
      </c>
      <c r="X1452" s="29" t="str">
        <f t="shared" si="69"/>
        <v/>
      </c>
      <c r="Y1452" s="29" t="str">
        <f>IF(AND(LEFT($B1452,7)="SBA 26/",$D1452&lt;&gt;"",$F1452&lt;&gt;""),COUNTIFS($D$2:$D1452,$D1452,$B$2:$B1452,"SBA 26/*",$F$2:$F1452,"&lt;&gt;"),"")</f>
        <v/>
      </c>
      <c r="Z1452" s="29" t="str">
        <f>IF(Y1452=1,COUNTIF($Y$2:Y1452,1),"")</f>
        <v/>
      </c>
      <c r="AA1452" s="29" t="str">
        <f>IF(AND(LEFT($B1452,7)="SBA 26/",$C1452&lt;&gt;"",$F1452&lt;&gt;""),COUNTIFS($C$2:$C1452,$C1452,$B$2:$B1452,"SBA 26/*",$F$2:$F1452,"&lt;&gt;"),"")</f>
        <v/>
      </c>
      <c r="AB1452" s="29" t="str">
        <f>IF(AA1452=1,COUNTIF($AA$2:AA1452,1),"")</f>
        <v/>
      </c>
    </row>
    <row r="1453" spans="6:28" ht="31.5" customHeight="1" x14ac:dyDescent="0.2">
      <c r="F1453" s="45" t="s">
        <v>4014</v>
      </c>
      <c r="T1453" s="41"/>
      <c r="U1453" s="29" t="str">
        <f>IF($C1453&lt;&gt;"",COUNTIF($C$2:C1453,C1453),"")</f>
        <v/>
      </c>
      <c r="V1453" s="29" t="str">
        <f t="shared" si="68"/>
        <v/>
      </c>
      <c r="W1453" s="29" t="str">
        <f>IF(U1453=1,COUNTIF($U$2:U1453,1),"")</f>
        <v/>
      </c>
      <c r="X1453" s="29" t="str">
        <f t="shared" si="69"/>
        <v/>
      </c>
      <c r="Y1453" s="29" t="str">
        <f>IF(AND(LEFT($B1453,7)="SBA 26/",$D1453&lt;&gt;"",$F1453&lt;&gt;""),COUNTIFS($D$2:$D1453,$D1453,$B$2:$B1453,"SBA 26/*",$F$2:$F1453,"&lt;&gt;"),"")</f>
        <v/>
      </c>
      <c r="Z1453" s="29" t="str">
        <f>IF(Y1453=1,COUNTIF($Y$2:Y1453,1),"")</f>
        <v/>
      </c>
      <c r="AA1453" s="29" t="str">
        <f>IF(AND(LEFT($B1453,7)="SBA 26/",$C1453&lt;&gt;"",$F1453&lt;&gt;""),COUNTIFS($C$2:$C1453,$C1453,$B$2:$B1453,"SBA 26/*",$F$2:$F1453,"&lt;&gt;"),"")</f>
        <v/>
      </c>
      <c r="AB1453" s="29" t="str">
        <f>IF(AA1453=1,COUNTIF($AA$2:AA1453,1),"")</f>
        <v/>
      </c>
    </row>
    <row r="1454" spans="6:28" ht="31.5" customHeight="1" x14ac:dyDescent="0.2">
      <c r="F1454" s="45" t="s">
        <v>4015</v>
      </c>
      <c r="T1454" s="41"/>
      <c r="U1454" s="29" t="str">
        <f>IF($C1454&lt;&gt;"",COUNTIF($C$2:C1454,C1454),"")</f>
        <v/>
      </c>
      <c r="V1454" s="29" t="str">
        <f t="shared" si="68"/>
        <v/>
      </c>
      <c r="W1454" s="29" t="str">
        <f>IF(U1454=1,COUNTIF($U$2:U1454,1),"")</f>
        <v/>
      </c>
      <c r="X1454" s="29" t="str">
        <f t="shared" si="69"/>
        <v/>
      </c>
      <c r="Y1454" s="29" t="str">
        <f>IF(AND(LEFT($B1454,7)="SBA 26/",$D1454&lt;&gt;"",$F1454&lt;&gt;""),COUNTIFS($D$2:$D1454,$D1454,$B$2:$B1454,"SBA 26/*",$F$2:$F1454,"&lt;&gt;"),"")</f>
        <v/>
      </c>
      <c r="Z1454" s="29" t="str">
        <f>IF(Y1454=1,COUNTIF($Y$2:Y1454,1),"")</f>
        <v/>
      </c>
      <c r="AA1454" s="29" t="str">
        <f>IF(AND(LEFT($B1454,7)="SBA 26/",$C1454&lt;&gt;"",$F1454&lt;&gt;""),COUNTIFS($C$2:$C1454,$C1454,$B$2:$B1454,"SBA 26/*",$F$2:$F1454,"&lt;&gt;"),"")</f>
        <v/>
      </c>
      <c r="AB1454" s="29" t="str">
        <f>IF(AA1454=1,COUNTIF($AA$2:AA1454,1),"")</f>
        <v/>
      </c>
    </row>
    <row r="1455" spans="6:28" ht="31.5" customHeight="1" x14ac:dyDescent="0.2">
      <c r="F1455" s="45" t="s">
        <v>4016</v>
      </c>
      <c r="T1455" s="41"/>
      <c r="U1455" s="29" t="str">
        <f>IF($C1455&lt;&gt;"",COUNTIF($C$2:C1455,C1455),"")</f>
        <v/>
      </c>
      <c r="V1455" s="29" t="str">
        <f t="shared" si="68"/>
        <v/>
      </c>
      <c r="W1455" s="29" t="str">
        <f>IF(U1455=1,COUNTIF($U$2:U1455,1),"")</f>
        <v/>
      </c>
      <c r="X1455" s="29" t="str">
        <f t="shared" si="69"/>
        <v/>
      </c>
      <c r="Y1455" s="29" t="str">
        <f>IF(AND(LEFT($B1455,7)="SBA 26/",$D1455&lt;&gt;"",$F1455&lt;&gt;""),COUNTIFS($D$2:$D1455,$D1455,$B$2:$B1455,"SBA 26/*",$F$2:$F1455,"&lt;&gt;"),"")</f>
        <v/>
      </c>
      <c r="Z1455" s="29" t="str">
        <f>IF(Y1455=1,COUNTIF($Y$2:Y1455,1),"")</f>
        <v/>
      </c>
      <c r="AA1455" s="29" t="str">
        <f>IF(AND(LEFT($B1455,7)="SBA 26/",$C1455&lt;&gt;"",$F1455&lt;&gt;""),COUNTIFS($C$2:$C1455,$C1455,$B$2:$B1455,"SBA 26/*",$F$2:$F1455,"&lt;&gt;"),"")</f>
        <v/>
      </c>
      <c r="AB1455" s="29" t="str">
        <f>IF(AA1455=1,COUNTIF($AA$2:AA1455,1),"")</f>
        <v/>
      </c>
    </row>
    <row r="1456" spans="6:28" ht="47.25" customHeight="1" x14ac:dyDescent="0.2">
      <c r="F1456" s="45" t="s">
        <v>4017</v>
      </c>
      <c r="T1456" s="41"/>
      <c r="U1456" s="29" t="str">
        <f>IF($C1456&lt;&gt;"",COUNTIF($C$2:C1456,C1456),"")</f>
        <v/>
      </c>
      <c r="V1456" s="29" t="str">
        <f t="shared" si="68"/>
        <v/>
      </c>
      <c r="W1456" s="29" t="str">
        <f>IF(U1456=1,COUNTIF($U$2:U1456,1),"")</f>
        <v/>
      </c>
      <c r="X1456" s="29" t="str">
        <f t="shared" si="69"/>
        <v/>
      </c>
      <c r="Y1456" s="29" t="str">
        <f>IF(AND(LEFT($B1456,7)="SBA 26/",$D1456&lt;&gt;"",$F1456&lt;&gt;""),COUNTIFS($D$2:$D1456,$D1456,$B$2:$B1456,"SBA 26/*",$F$2:$F1456,"&lt;&gt;"),"")</f>
        <v/>
      </c>
      <c r="Z1456" s="29" t="str">
        <f>IF(Y1456=1,COUNTIF($Y$2:Y1456,1),"")</f>
        <v/>
      </c>
      <c r="AA1456" s="29" t="str">
        <f>IF(AND(LEFT($B1456,7)="SBA 26/",$C1456&lt;&gt;"",$F1456&lt;&gt;""),COUNTIFS($C$2:$C1456,$C1456,$B$2:$B1456,"SBA 26/*",$F$2:$F1456,"&lt;&gt;"),"")</f>
        <v/>
      </c>
      <c r="AB1456" s="29" t="str">
        <f>IF(AA1456=1,COUNTIF($AA$2:AA1456,1),"")</f>
        <v/>
      </c>
    </row>
    <row r="1457" spans="6:28" ht="31.5" customHeight="1" x14ac:dyDescent="0.2">
      <c r="F1457" s="45" t="s">
        <v>4018</v>
      </c>
      <c r="T1457" s="41"/>
      <c r="U1457" s="29" t="str">
        <f>IF($C1457&lt;&gt;"",COUNTIF($C$2:C1457,C1457),"")</f>
        <v/>
      </c>
      <c r="V1457" s="29" t="str">
        <f t="shared" si="68"/>
        <v/>
      </c>
      <c r="W1457" s="29" t="str">
        <f>IF(U1457=1,COUNTIF($U$2:U1457,1),"")</f>
        <v/>
      </c>
      <c r="X1457" s="29" t="str">
        <f t="shared" si="69"/>
        <v/>
      </c>
      <c r="Y1457" s="29" t="str">
        <f>IF(AND(LEFT($B1457,7)="SBA 26/",$D1457&lt;&gt;"",$F1457&lt;&gt;""),COUNTIFS($D$2:$D1457,$D1457,$B$2:$B1457,"SBA 26/*",$F$2:$F1457,"&lt;&gt;"),"")</f>
        <v/>
      </c>
      <c r="Z1457" s="29" t="str">
        <f>IF(Y1457=1,COUNTIF($Y$2:Y1457,1),"")</f>
        <v/>
      </c>
      <c r="AA1457" s="29" t="str">
        <f>IF(AND(LEFT($B1457,7)="SBA 26/",$C1457&lt;&gt;"",$F1457&lt;&gt;""),COUNTIFS($C$2:$C1457,$C1457,$B$2:$B1457,"SBA 26/*",$F$2:$F1457,"&lt;&gt;"),"")</f>
        <v/>
      </c>
      <c r="AB1457" s="29" t="str">
        <f>IF(AA1457=1,COUNTIF($AA$2:AA1457,1),"")</f>
        <v/>
      </c>
    </row>
    <row r="1458" spans="6:28" ht="31.5" customHeight="1" x14ac:dyDescent="0.2">
      <c r="F1458" s="45" t="s">
        <v>4019</v>
      </c>
      <c r="T1458" s="41"/>
      <c r="U1458" s="29" t="str">
        <f>IF($C1458&lt;&gt;"",COUNTIF($C$2:C1458,C1458),"")</f>
        <v/>
      </c>
      <c r="V1458" s="29" t="str">
        <f t="shared" si="68"/>
        <v/>
      </c>
      <c r="W1458" s="29" t="str">
        <f>IF(U1458=1,COUNTIF($U$2:U1458,1),"")</f>
        <v/>
      </c>
      <c r="X1458" s="29" t="str">
        <f t="shared" si="69"/>
        <v/>
      </c>
      <c r="Y1458" s="29" t="str">
        <f>IF(AND(LEFT($B1458,7)="SBA 26/",$D1458&lt;&gt;"",$F1458&lt;&gt;""),COUNTIFS($D$2:$D1458,$D1458,$B$2:$B1458,"SBA 26/*",$F$2:$F1458,"&lt;&gt;"),"")</f>
        <v/>
      </c>
      <c r="Z1458" s="29" t="str">
        <f>IF(Y1458=1,COUNTIF($Y$2:Y1458,1),"")</f>
        <v/>
      </c>
      <c r="AA1458" s="29" t="str">
        <f>IF(AND(LEFT($B1458,7)="SBA 26/",$C1458&lt;&gt;"",$F1458&lt;&gt;""),COUNTIFS($C$2:$C1458,$C1458,$B$2:$B1458,"SBA 26/*",$F$2:$F1458,"&lt;&gt;"),"")</f>
        <v/>
      </c>
      <c r="AB1458" s="29" t="str">
        <f>IF(AA1458=1,COUNTIF($AA$2:AA1458,1),"")</f>
        <v/>
      </c>
    </row>
    <row r="1459" spans="6:28" ht="31.5" customHeight="1" x14ac:dyDescent="0.2">
      <c r="F1459" s="45" t="s">
        <v>4020</v>
      </c>
      <c r="T1459" s="41"/>
      <c r="U1459" s="29" t="str">
        <f>IF($C1459&lt;&gt;"",COUNTIF($C$2:C1459,C1459),"")</f>
        <v/>
      </c>
      <c r="V1459" s="29" t="str">
        <f t="shared" si="68"/>
        <v/>
      </c>
      <c r="W1459" s="29" t="str">
        <f>IF(U1459=1,COUNTIF($U$2:U1459,1),"")</f>
        <v/>
      </c>
      <c r="X1459" s="29" t="str">
        <f t="shared" si="69"/>
        <v/>
      </c>
      <c r="Y1459" s="29" t="str">
        <f>IF(AND(LEFT($B1459,7)="SBA 26/",$D1459&lt;&gt;"",$F1459&lt;&gt;""),COUNTIFS($D$2:$D1459,$D1459,$B$2:$B1459,"SBA 26/*",$F$2:$F1459,"&lt;&gt;"),"")</f>
        <v/>
      </c>
      <c r="Z1459" s="29" t="str">
        <f>IF(Y1459=1,COUNTIF($Y$2:Y1459,1),"")</f>
        <v/>
      </c>
      <c r="AA1459" s="29" t="str">
        <f>IF(AND(LEFT($B1459,7)="SBA 26/",$C1459&lt;&gt;"",$F1459&lt;&gt;""),COUNTIFS($C$2:$C1459,$C1459,$B$2:$B1459,"SBA 26/*",$F$2:$F1459,"&lt;&gt;"),"")</f>
        <v/>
      </c>
      <c r="AB1459" s="29" t="str">
        <f>IF(AA1459=1,COUNTIF($AA$2:AA1459,1),"")</f>
        <v/>
      </c>
    </row>
    <row r="1460" spans="6:28" ht="47.25" customHeight="1" x14ac:dyDescent="0.2">
      <c r="F1460" s="45" t="s">
        <v>4021</v>
      </c>
      <c r="T1460" s="41"/>
      <c r="U1460" s="29" t="str">
        <f>IF($C1460&lt;&gt;"",COUNTIF($C$2:C1460,C1460),"")</f>
        <v/>
      </c>
      <c r="V1460" s="29" t="str">
        <f t="shared" si="68"/>
        <v/>
      </c>
      <c r="W1460" s="29" t="str">
        <f>IF(U1460=1,COUNTIF($U$2:U1460,1),"")</f>
        <v/>
      </c>
      <c r="X1460" s="29" t="str">
        <f t="shared" si="69"/>
        <v/>
      </c>
      <c r="Y1460" s="29" t="str">
        <f>IF(AND(LEFT($B1460,7)="SBA 26/",$D1460&lt;&gt;"",$F1460&lt;&gt;""),COUNTIFS($D$2:$D1460,$D1460,$B$2:$B1460,"SBA 26/*",$F$2:$F1460,"&lt;&gt;"),"")</f>
        <v/>
      </c>
      <c r="Z1460" s="29" t="str">
        <f>IF(Y1460=1,COUNTIF($Y$2:Y1460,1),"")</f>
        <v/>
      </c>
      <c r="AA1460" s="29" t="str">
        <f>IF(AND(LEFT($B1460,7)="SBA 26/",$C1460&lt;&gt;"",$F1460&lt;&gt;""),COUNTIFS($C$2:$C1460,$C1460,$B$2:$B1460,"SBA 26/*",$F$2:$F1460,"&lt;&gt;"),"")</f>
        <v/>
      </c>
      <c r="AB1460" s="29" t="str">
        <f>IF(AA1460=1,COUNTIF($AA$2:AA1460,1),"")</f>
        <v/>
      </c>
    </row>
    <row r="1461" spans="6:28" ht="31.5" customHeight="1" x14ac:dyDescent="0.2">
      <c r="F1461" s="45" t="s">
        <v>4022</v>
      </c>
      <c r="T1461" s="41"/>
      <c r="U1461" s="29" t="str">
        <f>IF($C1461&lt;&gt;"",COUNTIF($C$2:C1461,C1461),"")</f>
        <v/>
      </c>
      <c r="V1461" s="29" t="str">
        <f t="shared" si="68"/>
        <v/>
      </c>
      <c r="W1461" s="29" t="str">
        <f>IF(U1461=1,COUNTIF($U$2:U1461,1),"")</f>
        <v/>
      </c>
      <c r="X1461" s="29" t="str">
        <f t="shared" si="69"/>
        <v/>
      </c>
      <c r="Y1461" s="29" t="str">
        <f>IF(AND(LEFT($B1461,7)="SBA 26/",$D1461&lt;&gt;"",$F1461&lt;&gt;""),COUNTIFS($D$2:$D1461,$D1461,$B$2:$B1461,"SBA 26/*",$F$2:$F1461,"&lt;&gt;"),"")</f>
        <v/>
      </c>
      <c r="Z1461" s="29" t="str">
        <f>IF(Y1461=1,COUNTIF($Y$2:Y1461,1),"")</f>
        <v/>
      </c>
      <c r="AA1461" s="29" t="str">
        <f>IF(AND(LEFT($B1461,7)="SBA 26/",$C1461&lt;&gt;"",$F1461&lt;&gt;""),COUNTIFS($C$2:$C1461,$C1461,$B$2:$B1461,"SBA 26/*",$F$2:$F1461,"&lt;&gt;"),"")</f>
        <v/>
      </c>
      <c r="AB1461" s="29" t="str">
        <f>IF(AA1461=1,COUNTIF($AA$2:AA1461,1),"")</f>
        <v/>
      </c>
    </row>
    <row r="1462" spans="6:28" ht="78.75" customHeight="1" x14ac:dyDescent="0.2">
      <c r="F1462" s="45" t="s">
        <v>4023</v>
      </c>
      <c r="T1462" s="41"/>
      <c r="U1462" s="29" t="str">
        <f>IF($C1462&lt;&gt;"",COUNTIF($C$2:C1462,C1462),"")</f>
        <v/>
      </c>
      <c r="V1462" s="29" t="str">
        <f t="shared" si="68"/>
        <v/>
      </c>
      <c r="W1462" s="29" t="str">
        <f>IF(U1462=1,COUNTIF($U$2:U1462,1),"")</f>
        <v/>
      </c>
      <c r="X1462" s="29" t="str">
        <f t="shared" si="69"/>
        <v/>
      </c>
      <c r="Y1462" s="29" t="str">
        <f>IF(AND(LEFT($B1462,7)="SBA 26/",$D1462&lt;&gt;"",$F1462&lt;&gt;""),COUNTIFS($D$2:$D1462,$D1462,$B$2:$B1462,"SBA 26/*",$F$2:$F1462,"&lt;&gt;"),"")</f>
        <v/>
      </c>
      <c r="Z1462" s="29" t="str">
        <f>IF(Y1462=1,COUNTIF($Y$2:Y1462,1),"")</f>
        <v/>
      </c>
      <c r="AA1462" s="29" t="str">
        <f>IF(AND(LEFT($B1462,7)="SBA 26/",$C1462&lt;&gt;"",$F1462&lt;&gt;""),COUNTIFS($C$2:$C1462,$C1462,$B$2:$B1462,"SBA 26/*",$F$2:$F1462,"&lt;&gt;"),"")</f>
        <v/>
      </c>
      <c r="AB1462" s="29" t="str">
        <f>IF(AA1462=1,COUNTIF($AA$2:AA1462,1),"")</f>
        <v/>
      </c>
    </row>
    <row r="1463" spans="6:28" ht="31.5" customHeight="1" x14ac:dyDescent="0.2">
      <c r="F1463" s="45" t="s">
        <v>4024</v>
      </c>
      <c r="T1463" s="41"/>
      <c r="U1463" s="29" t="str">
        <f>IF($C1463&lt;&gt;"",COUNTIF($C$2:C1463,C1463),"")</f>
        <v/>
      </c>
      <c r="V1463" s="29" t="str">
        <f t="shared" si="68"/>
        <v/>
      </c>
      <c r="W1463" s="29" t="str">
        <f>IF(U1463=1,COUNTIF($U$2:U1463,1),"")</f>
        <v/>
      </c>
      <c r="X1463" s="29" t="str">
        <f t="shared" si="69"/>
        <v/>
      </c>
      <c r="Y1463" s="29" t="str">
        <f>IF(AND(LEFT($B1463,7)="SBA 26/",$D1463&lt;&gt;"",$F1463&lt;&gt;""),COUNTIFS($D$2:$D1463,$D1463,$B$2:$B1463,"SBA 26/*",$F$2:$F1463,"&lt;&gt;"),"")</f>
        <v/>
      </c>
      <c r="Z1463" s="29" t="str">
        <f>IF(Y1463=1,COUNTIF($Y$2:Y1463,1),"")</f>
        <v/>
      </c>
      <c r="AA1463" s="29" t="str">
        <f>IF(AND(LEFT($B1463,7)="SBA 26/",$C1463&lt;&gt;"",$F1463&lt;&gt;""),COUNTIFS($C$2:$C1463,$C1463,$B$2:$B1463,"SBA 26/*",$F$2:$F1463,"&lt;&gt;"),"")</f>
        <v/>
      </c>
      <c r="AB1463" s="29" t="str">
        <f>IF(AA1463=1,COUNTIF($AA$2:AA1463,1),"")</f>
        <v/>
      </c>
    </row>
    <row r="1464" spans="6:28" ht="63" customHeight="1" x14ac:dyDescent="0.2">
      <c r="F1464" s="45" t="s">
        <v>4025</v>
      </c>
      <c r="T1464" s="41"/>
      <c r="U1464" s="29" t="str">
        <f>IF($C1464&lt;&gt;"",COUNTIF($C$2:C1464,C1464),"")</f>
        <v/>
      </c>
      <c r="V1464" s="29" t="str">
        <f t="shared" si="68"/>
        <v/>
      </c>
      <c r="W1464" s="29" t="str">
        <f>IF(U1464=1,COUNTIF($U$2:U1464,1),"")</f>
        <v/>
      </c>
      <c r="X1464" s="29" t="str">
        <f t="shared" si="69"/>
        <v/>
      </c>
      <c r="Y1464" s="29" t="str">
        <f>IF(AND(LEFT($B1464,7)="SBA 26/",$D1464&lt;&gt;"",$F1464&lt;&gt;""),COUNTIFS($D$2:$D1464,$D1464,$B$2:$B1464,"SBA 26/*",$F$2:$F1464,"&lt;&gt;"),"")</f>
        <v/>
      </c>
      <c r="Z1464" s="29" t="str">
        <f>IF(Y1464=1,COUNTIF($Y$2:Y1464,1),"")</f>
        <v/>
      </c>
      <c r="AA1464" s="29" t="str">
        <f>IF(AND(LEFT($B1464,7)="SBA 26/",$C1464&lt;&gt;"",$F1464&lt;&gt;""),COUNTIFS($C$2:$C1464,$C1464,$B$2:$B1464,"SBA 26/*",$F$2:$F1464,"&lt;&gt;"),"")</f>
        <v/>
      </c>
      <c r="AB1464" s="29" t="str">
        <f>IF(AA1464=1,COUNTIF($AA$2:AA1464,1),"")</f>
        <v/>
      </c>
    </row>
    <row r="1465" spans="6:28" ht="31.5" customHeight="1" x14ac:dyDescent="0.2">
      <c r="F1465" s="45" t="s">
        <v>4026</v>
      </c>
      <c r="T1465" s="41"/>
      <c r="U1465" s="29" t="str">
        <f>IF($C1465&lt;&gt;"",COUNTIF($C$2:C1465,C1465),"")</f>
        <v/>
      </c>
      <c r="V1465" s="29" t="str">
        <f t="shared" si="68"/>
        <v/>
      </c>
      <c r="W1465" s="29" t="str">
        <f>IF(U1465=1,COUNTIF($U$2:U1465,1),"")</f>
        <v/>
      </c>
      <c r="X1465" s="29" t="str">
        <f t="shared" si="69"/>
        <v/>
      </c>
      <c r="Y1465" s="29" t="str">
        <f>IF(AND(LEFT($B1465,7)="SBA 26/",$D1465&lt;&gt;"",$F1465&lt;&gt;""),COUNTIFS($D$2:$D1465,$D1465,$B$2:$B1465,"SBA 26/*",$F$2:$F1465,"&lt;&gt;"),"")</f>
        <v/>
      </c>
      <c r="Z1465" s="29" t="str">
        <f>IF(Y1465=1,COUNTIF($Y$2:Y1465,1),"")</f>
        <v/>
      </c>
      <c r="AA1465" s="29" t="str">
        <f>IF(AND(LEFT($B1465,7)="SBA 26/",$C1465&lt;&gt;"",$F1465&lt;&gt;""),COUNTIFS($C$2:$C1465,$C1465,$B$2:$B1465,"SBA 26/*",$F$2:$F1465,"&lt;&gt;"),"")</f>
        <v/>
      </c>
      <c r="AB1465" s="29" t="str">
        <f>IF(AA1465=1,COUNTIF($AA$2:AA1465,1),"")</f>
        <v/>
      </c>
    </row>
    <row r="1466" spans="6:28" ht="31.5" customHeight="1" x14ac:dyDescent="0.2">
      <c r="F1466" s="45" t="s">
        <v>4027</v>
      </c>
      <c r="T1466" s="41"/>
      <c r="U1466" s="29" t="str">
        <f>IF($C1466&lt;&gt;"",COUNTIF($C$2:C1466,C1466),"")</f>
        <v/>
      </c>
      <c r="V1466" s="29" t="str">
        <f t="shared" si="68"/>
        <v/>
      </c>
      <c r="W1466" s="29" t="str">
        <f>IF(U1466=1,COUNTIF($U$2:U1466,1),"")</f>
        <v/>
      </c>
      <c r="X1466" s="29" t="str">
        <f t="shared" si="69"/>
        <v/>
      </c>
      <c r="Y1466" s="29" t="str">
        <f>IF(AND(LEFT($B1466,7)="SBA 26/",$D1466&lt;&gt;"",$F1466&lt;&gt;""),COUNTIFS($D$2:$D1466,$D1466,$B$2:$B1466,"SBA 26/*",$F$2:$F1466,"&lt;&gt;"),"")</f>
        <v/>
      </c>
      <c r="Z1466" s="29" t="str">
        <f>IF(Y1466=1,COUNTIF($Y$2:Y1466,1),"")</f>
        <v/>
      </c>
      <c r="AA1466" s="29" t="str">
        <f>IF(AND(LEFT($B1466,7)="SBA 26/",$C1466&lt;&gt;"",$F1466&lt;&gt;""),COUNTIFS($C$2:$C1466,$C1466,$B$2:$B1466,"SBA 26/*",$F$2:$F1466,"&lt;&gt;"),"")</f>
        <v/>
      </c>
      <c r="AB1466" s="29" t="str">
        <f>IF(AA1466=1,COUNTIF($AA$2:AA1466,1),"")</f>
        <v/>
      </c>
    </row>
    <row r="1467" spans="6:28" ht="47.25" customHeight="1" x14ac:dyDescent="0.2">
      <c r="F1467" s="45" t="s">
        <v>4028</v>
      </c>
      <c r="T1467" s="41"/>
      <c r="U1467" s="29" t="str">
        <f>IF($C1467&lt;&gt;"",COUNTIF($C$2:C1467,C1467),"")</f>
        <v/>
      </c>
      <c r="V1467" s="29" t="str">
        <f t="shared" si="68"/>
        <v/>
      </c>
      <c r="W1467" s="29" t="str">
        <f>IF(U1467=1,COUNTIF($U$2:U1467,1),"")</f>
        <v/>
      </c>
      <c r="X1467" s="29" t="str">
        <f t="shared" si="69"/>
        <v/>
      </c>
      <c r="Y1467" s="29" t="str">
        <f>IF(AND(LEFT($B1467,7)="SBA 26/",$D1467&lt;&gt;"",$F1467&lt;&gt;""),COUNTIFS($D$2:$D1467,$D1467,$B$2:$B1467,"SBA 26/*",$F$2:$F1467,"&lt;&gt;"),"")</f>
        <v/>
      </c>
      <c r="Z1467" s="29" t="str">
        <f>IF(Y1467=1,COUNTIF($Y$2:Y1467,1),"")</f>
        <v/>
      </c>
      <c r="AA1467" s="29" t="str">
        <f>IF(AND(LEFT($B1467,7)="SBA 26/",$C1467&lt;&gt;"",$F1467&lt;&gt;""),COUNTIFS($C$2:$C1467,$C1467,$B$2:$B1467,"SBA 26/*",$F$2:$F1467,"&lt;&gt;"),"")</f>
        <v/>
      </c>
      <c r="AB1467" s="29" t="str">
        <f>IF(AA1467=1,COUNTIF($AA$2:AA1467,1),"")</f>
        <v/>
      </c>
    </row>
    <row r="1468" spans="6:28" ht="47.25" customHeight="1" x14ac:dyDescent="0.2">
      <c r="F1468" s="45" t="s">
        <v>4029</v>
      </c>
      <c r="T1468" s="41"/>
      <c r="U1468" s="29" t="str">
        <f>IF($C1468&lt;&gt;"",COUNTIF($C$2:C1468,C1468),"")</f>
        <v/>
      </c>
      <c r="V1468" s="29" t="str">
        <f t="shared" si="68"/>
        <v/>
      </c>
      <c r="W1468" s="29" t="str">
        <f>IF(U1468=1,COUNTIF($U$2:U1468,1),"")</f>
        <v/>
      </c>
      <c r="X1468" s="29" t="str">
        <f t="shared" si="69"/>
        <v/>
      </c>
      <c r="Y1468" s="29" t="str">
        <f>IF(AND(LEFT($B1468,7)="SBA 26/",$D1468&lt;&gt;"",$F1468&lt;&gt;""),COUNTIFS($D$2:$D1468,$D1468,$B$2:$B1468,"SBA 26/*",$F$2:$F1468,"&lt;&gt;"),"")</f>
        <v/>
      </c>
      <c r="Z1468" s="29" t="str">
        <f>IF(Y1468=1,COUNTIF($Y$2:Y1468,1),"")</f>
        <v/>
      </c>
      <c r="AA1468" s="29" t="str">
        <f>IF(AND(LEFT($B1468,7)="SBA 26/",$C1468&lt;&gt;"",$F1468&lt;&gt;""),COUNTIFS($C$2:$C1468,$C1468,$B$2:$B1468,"SBA 26/*",$F$2:$F1468,"&lt;&gt;"),"")</f>
        <v/>
      </c>
      <c r="AB1468" s="29" t="str">
        <f>IF(AA1468=1,COUNTIF($AA$2:AA1468,1),"")</f>
        <v/>
      </c>
    </row>
    <row r="1469" spans="6:28" ht="47.25" customHeight="1" x14ac:dyDescent="0.2">
      <c r="F1469" s="45" t="s">
        <v>4030</v>
      </c>
      <c r="T1469" s="41"/>
      <c r="U1469" s="29" t="str">
        <f>IF($C1469&lt;&gt;"",COUNTIF($C$2:C1469,C1469),"")</f>
        <v/>
      </c>
      <c r="V1469" s="29" t="str">
        <f t="shared" si="68"/>
        <v/>
      </c>
      <c r="W1469" s="29" t="str">
        <f>IF(U1469=1,COUNTIF($U$2:U1469,1),"")</f>
        <v/>
      </c>
      <c r="X1469" s="29" t="str">
        <f t="shared" si="69"/>
        <v/>
      </c>
      <c r="Y1469" s="29" t="str">
        <f>IF(AND(LEFT($B1469,7)="SBA 26/",$D1469&lt;&gt;"",$F1469&lt;&gt;""),COUNTIFS($D$2:$D1469,$D1469,$B$2:$B1469,"SBA 26/*",$F$2:$F1469,"&lt;&gt;"),"")</f>
        <v/>
      </c>
      <c r="Z1469" s="29" t="str">
        <f>IF(Y1469=1,COUNTIF($Y$2:Y1469,1),"")</f>
        <v/>
      </c>
      <c r="AA1469" s="29" t="str">
        <f>IF(AND(LEFT($B1469,7)="SBA 26/",$C1469&lt;&gt;"",$F1469&lt;&gt;""),COUNTIFS($C$2:$C1469,$C1469,$B$2:$B1469,"SBA 26/*",$F$2:$F1469,"&lt;&gt;"),"")</f>
        <v/>
      </c>
      <c r="AB1469" s="29" t="str">
        <f>IF(AA1469=1,COUNTIF($AA$2:AA1469,1),"")</f>
        <v/>
      </c>
    </row>
    <row r="1470" spans="6:28" ht="31.5" customHeight="1" x14ac:dyDescent="0.2">
      <c r="F1470" s="45" t="s">
        <v>4031</v>
      </c>
      <c r="T1470" s="41"/>
      <c r="U1470" s="29" t="str">
        <f>IF($C1470&lt;&gt;"",COUNTIF($C$2:C1470,C1470),"")</f>
        <v/>
      </c>
      <c r="V1470" s="29" t="str">
        <f t="shared" si="68"/>
        <v/>
      </c>
      <c r="W1470" s="29" t="str">
        <f>IF(U1470=1,COUNTIF($U$2:U1470,1),"")</f>
        <v/>
      </c>
      <c r="X1470" s="29" t="str">
        <f t="shared" si="69"/>
        <v/>
      </c>
      <c r="Y1470" s="29" t="str">
        <f>IF(AND(LEFT($B1470,7)="SBA 26/",$D1470&lt;&gt;"",$F1470&lt;&gt;""),COUNTIFS($D$2:$D1470,$D1470,$B$2:$B1470,"SBA 26/*",$F$2:$F1470,"&lt;&gt;"),"")</f>
        <v/>
      </c>
      <c r="Z1470" s="29" t="str">
        <f>IF(Y1470=1,COUNTIF($Y$2:Y1470,1),"")</f>
        <v/>
      </c>
      <c r="AA1470" s="29" t="str">
        <f>IF(AND(LEFT($B1470,7)="SBA 26/",$C1470&lt;&gt;"",$F1470&lt;&gt;""),COUNTIFS($C$2:$C1470,$C1470,$B$2:$B1470,"SBA 26/*",$F$2:$F1470,"&lt;&gt;"),"")</f>
        <v/>
      </c>
      <c r="AB1470" s="29" t="str">
        <f>IF(AA1470=1,COUNTIF($AA$2:AA1470,1),"")</f>
        <v/>
      </c>
    </row>
    <row r="1471" spans="6:28" ht="47.25" customHeight="1" x14ac:dyDescent="0.2">
      <c r="F1471" s="45" t="s">
        <v>4032</v>
      </c>
      <c r="T1471" s="41"/>
      <c r="U1471" s="29" t="str">
        <f>IF($C1471&lt;&gt;"",COUNTIF($C$2:C1471,C1471),"")</f>
        <v/>
      </c>
      <c r="V1471" s="29" t="str">
        <f t="shared" si="68"/>
        <v/>
      </c>
      <c r="W1471" s="29" t="str">
        <f>IF(U1471=1,COUNTIF($U$2:U1471,1),"")</f>
        <v/>
      </c>
      <c r="X1471" s="29" t="str">
        <f t="shared" si="69"/>
        <v/>
      </c>
      <c r="Y1471" s="29" t="str">
        <f>IF(AND(LEFT($B1471,7)="SBA 26/",$D1471&lt;&gt;"",$F1471&lt;&gt;""),COUNTIFS($D$2:$D1471,$D1471,$B$2:$B1471,"SBA 26/*",$F$2:$F1471,"&lt;&gt;"),"")</f>
        <v/>
      </c>
      <c r="Z1471" s="29" t="str">
        <f>IF(Y1471=1,COUNTIF($Y$2:Y1471,1),"")</f>
        <v/>
      </c>
      <c r="AA1471" s="29" t="str">
        <f>IF(AND(LEFT($B1471,7)="SBA 26/",$C1471&lt;&gt;"",$F1471&lt;&gt;""),COUNTIFS($C$2:$C1471,$C1471,$B$2:$B1471,"SBA 26/*",$F$2:$F1471,"&lt;&gt;"),"")</f>
        <v/>
      </c>
      <c r="AB1471" s="29" t="str">
        <f>IF(AA1471=1,COUNTIF($AA$2:AA1471,1),"")</f>
        <v/>
      </c>
    </row>
    <row r="1472" spans="6:28" ht="31.5" customHeight="1" x14ac:dyDescent="0.2">
      <c r="F1472" s="45" t="s">
        <v>4033</v>
      </c>
      <c r="T1472" s="41"/>
      <c r="U1472" s="29" t="str">
        <f>IF($C1472&lt;&gt;"",COUNTIF($C$2:C1472,C1472),"")</f>
        <v/>
      </c>
      <c r="V1472" s="29" t="str">
        <f t="shared" si="68"/>
        <v/>
      </c>
      <c r="W1472" s="29" t="str">
        <f>IF(U1472=1,COUNTIF($U$2:U1472,1),"")</f>
        <v/>
      </c>
      <c r="X1472" s="29" t="str">
        <f t="shared" si="69"/>
        <v/>
      </c>
      <c r="Y1472" s="29" t="str">
        <f>IF(AND(LEFT($B1472,7)="SBA 26/",$D1472&lt;&gt;"",$F1472&lt;&gt;""),COUNTIFS($D$2:$D1472,$D1472,$B$2:$B1472,"SBA 26/*",$F$2:$F1472,"&lt;&gt;"),"")</f>
        <v/>
      </c>
      <c r="Z1472" s="29" t="str">
        <f>IF(Y1472=1,COUNTIF($Y$2:Y1472,1),"")</f>
        <v/>
      </c>
      <c r="AA1472" s="29" t="str">
        <f>IF(AND(LEFT($B1472,7)="SBA 26/",$C1472&lt;&gt;"",$F1472&lt;&gt;""),COUNTIFS($C$2:$C1472,$C1472,$B$2:$B1472,"SBA 26/*",$F$2:$F1472,"&lt;&gt;"),"")</f>
        <v/>
      </c>
      <c r="AB1472" s="29" t="str">
        <f>IF(AA1472=1,COUNTIF($AA$2:AA1472,1),"")</f>
        <v/>
      </c>
    </row>
    <row r="1473" spans="6:28" ht="31.5" customHeight="1" x14ac:dyDescent="0.2">
      <c r="F1473" s="45" t="s">
        <v>4034</v>
      </c>
      <c r="T1473" s="41"/>
      <c r="U1473" s="29" t="str">
        <f>IF($C1473&lt;&gt;"",COUNTIF($C$2:C1473,C1473),"")</f>
        <v/>
      </c>
      <c r="V1473" s="29" t="str">
        <f t="shared" si="68"/>
        <v/>
      </c>
      <c r="W1473" s="29" t="str">
        <f>IF(U1473=1,COUNTIF($U$2:U1473,1),"")</f>
        <v/>
      </c>
      <c r="X1473" s="29" t="str">
        <f t="shared" si="69"/>
        <v/>
      </c>
      <c r="Y1473" s="29" t="str">
        <f>IF(AND(LEFT($B1473,7)="SBA 26/",$D1473&lt;&gt;"",$F1473&lt;&gt;""),COUNTIFS($D$2:$D1473,$D1473,$B$2:$B1473,"SBA 26/*",$F$2:$F1473,"&lt;&gt;"),"")</f>
        <v/>
      </c>
      <c r="Z1473" s="29" t="str">
        <f>IF(Y1473=1,COUNTIF($Y$2:Y1473,1),"")</f>
        <v/>
      </c>
      <c r="AA1473" s="29" t="str">
        <f>IF(AND(LEFT($B1473,7)="SBA 26/",$C1473&lt;&gt;"",$F1473&lt;&gt;""),COUNTIFS($C$2:$C1473,$C1473,$B$2:$B1473,"SBA 26/*",$F$2:$F1473,"&lt;&gt;"),"")</f>
        <v/>
      </c>
      <c r="AB1473" s="29" t="str">
        <f>IF(AA1473=1,COUNTIF($AA$2:AA1473,1),"")</f>
        <v/>
      </c>
    </row>
    <row r="1474" spans="6:28" ht="47.25" customHeight="1" x14ac:dyDescent="0.2">
      <c r="F1474" s="45" t="s">
        <v>4035</v>
      </c>
      <c r="T1474" s="41"/>
      <c r="U1474" s="29" t="str">
        <f>IF($C1474&lt;&gt;"",COUNTIF($C$2:C1474,C1474),"")</f>
        <v/>
      </c>
      <c r="V1474" s="29" t="str">
        <f t="shared" ref="V1474:V1537" si="70">IF($C1474&lt;&gt;"",C1474&amp;"§"&amp;U1474,"")</f>
        <v/>
      </c>
      <c r="W1474" s="29" t="str">
        <f>IF(U1474=1,COUNTIF($U$2:U1474,1),"")</f>
        <v/>
      </c>
      <c r="X1474" s="29" t="str">
        <f t="shared" ref="X1474:X1537" si="71">IF(U1474=1,SUMPRODUCT(($U$2:$U$1799=1)*($C$2:$C$1799&lt;C1474))+1,"")</f>
        <v/>
      </c>
      <c r="Y1474" s="29" t="str">
        <f>IF(AND(LEFT($B1474,7)="SBA 26/",$D1474&lt;&gt;"",$F1474&lt;&gt;""),COUNTIFS($D$2:$D1474,$D1474,$B$2:$B1474,"SBA 26/*",$F$2:$F1474,"&lt;&gt;"),"")</f>
        <v/>
      </c>
      <c r="Z1474" s="29" t="str">
        <f>IF(Y1474=1,COUNTIF($Y$2:Y1474,1),"")</f>
        <v/>
      </c>
      <c r="AA1474" s="29" t="str">
        <f>IF(AND(LEFT($B1474,7)="SBA 26/",$C1474&lt;&gt;"",$F1474&lt;&gt;""),COUNTIFS($C$2:$C1474,$C1474,$B$2:$B1474,"SBA 26/*",$F$2:$F1474,"&lt;&gt;"),"")</f>
        <v/>
      </c>
      <c r="AB1474" s="29" t="str">
        <f>IF(AA1474=1,COUNTIF($AA$2:AA1474,1),"")</f>
        <v/>
      </c>
    </row>
    <row r="1475" spans="6:28" ht="31.5" customHeight="1" x14ac:dyDescent="0.2">
      <c r="F1475" s="45" t="s">
        <v>4036</v>
      </c>
      <c r="T1475" s="41"/>
      <c r="U1475" s="29" t="str">
        <f>IF($C1475&lt;&gt;"",COUNTIF($C$2:C1475,C1475),"")</f>
        <v/>
      </c>
      <c r="V1475" s="29" t="str">
        <f t="shared" si="70"/>
        <v/>
      </c>
      <c r="W1475" s="29" t="str">
        <f>IF(U1475=1,COUNTIF($U$2:U1475,1),"")</f>
        <v/>
      </c>
      <c r="X1475" s="29" t="str">
        <f t="shared" si="71"/>
        <v/>
      </c>
      <c r="Y1475" s="29" t="str">
        <f>IF(AND(LEFT($B1475,7)="SBA 26/",$D1475&lt;&gt;"",$F1475&lt;&gt;""),COUNTIFS($D$2:$D1475,$D1475,$B$2:$B1475,"SBA 26/*",$F$2:$F1475,"&lt;&gt;"),"")</f>
        <v/>
      </c>
      <c r="Z1475" s="29" t="str">
        <f>IF(Y1475=1,COUNTIF($Y$2:Y1475,1),"")</f>
        <v/>
      </c>
      <c r="AA1475" s="29" t="str">
        <f>IF(AND(LEFT($B1475,7)="SBA 26/",$C1475&lt;&gt;"",$F1475&lt;&gt;""),COUNTIFS($C$2:$C1475,$C1475,$B$2:$B1475,"SBA 26/*",$F$2:$F1475,"&lt;&gt;"),"")</f>
        <v/>
      </c>
      <c r="AB1475" s="29" t="str">
        <f>IF(AA1475=1,COUNTIF($AA$2:AA1475,1),"")</f>
        <v/>
      </c>
    </row>
    <row r="1476" spans="6:28" ht="63" customHeight="1" x14ac:dyDescent="0.2">
      <c r="F1476" s="45" t="s">
        <v>4037</v>
      </c>
      <c r="T1476" s="41"/>
      <c r="U1476" s="29" t="str">
        <f>IF($C1476&lt;&gt;"",COUNTIF($C$2:C1476,C1476),"")</f>
        <v/>
      </c>
      <c r="V1476" s="29" t="str">
        <f t="shared" si="70"/>
        <v/>
      </c>
      <c r="W1476" s="29" t="str">
        <f>IF(U1476=1,COUNTIF($U$2:U1476,1),"")</f>
        <v/>
      </c>
      <c r="X1476" s="29" t="str">
        <f t="shared" si="71"/>
        <v/>
      </c>
      <c r="Y1476" s="29" t="str">
        <f>IF(AND(LEFT($B1476,7)="SBA 26/",$D1476&lt;&gt;"",$F1476&lt;&gt;""),COUNTIFS($D$2:$D1476,$D1476,$B$2:$B1476,"SBA 26/*",$F$2:$F1476,"&lt;&gt;"),"")</f>
        <v/>
      </c>
      <c r="Z1476" s="29" t="str">
        <f>IF(Y1476=1,COUNTIF($Y$2:Y1476,1),"")</f>
        <v/>
      </c>
      <c r="AA1476" s="29" t="str">
        <f>IF(AND(LEFT($B1476,7)="SBA 26/",$C1476&lt;&gt;"",$F1476&lt;&gt;""),COUNTIFS($C$2:$C1476,$C1476,$B$2:$B1476,"SBA 26/*",$F$2:$F1476,"&lt;&gt;"),"")</f>
        <v/>
      </c>
      <c r="AB1476" s="29" t="str">
        <f>IF(AA1476=1,COUNTIF($AA$2:AA1476,1),"")</f>
        <v/>
      </c>
    </row>
    <row r="1477" spans="6:28" ht="47.25" customHeight="1" x14ac:dyDescent="0.2">
      <c r="F1477" s="45" t="s">
        <v>4038</v>
      </c>
      <c r="T1477" s="41"/>
      <c r="U1477" s="29" t="str">
        <f>IF($C1477&lt;&gt;"",COUNTIF($C$2:C1477,C1477),"")</f>
        <v/>
      </c>
      <c r="V1477" s="29" t="str">
        <f t="shared" si="70"/>
        <v/>
      </c>
      <c r="W1477" s="29" t="str">
        <f>IF(U1477=1,COUNTIF($U$2:U1477,1),"")</f>
        <v/>
      </c>
      <c r="X1477" s="29" t="str">
        <f t="shared" si="71"/>
        <v/>
      </c>
      <c r="Y1477" s="29" t="str">
        <f>IF(AND(LEFT($B1477,7)="SBA 26/",$D1477&lt;&gt;"",$F1477&lt;&gt;""),COUNTIFS($D$2:$D1477,$D1477,$B$2:$B1477,"SBA 26/*",$F$2:$F1477,"&lt;&gt;"),"")</f>
        <v/>
      </c>
      <c r="Z1477" s="29" t="str">
        <f>IF(Y1477=1,COUNTIF($Y$2:Y1477,1),"")</f>
        <v/>
      </c>
      <c r="AA1477" s="29" t="str">
        <f>IF(AND(LEFT($B1477,7)="SBA 26/",$C1477&lt;&gt;"",$F1477&lt;&gt;""),COUNTIFS($C$2:$C1477,$C1477,$B$2:$B1477,"SBA 26/*",$F$2:$F1477,"&lt;&gt;"),"")</f>
        <v/>
      </c>
      <c r="AB1477" s="29" t="str">
        <f>IF(AA1477=1,COUNTIF($AA$2:AA1477,1),"")</f>
        <v/>
      </c>
    </row>
    <row r="1478" spans="6:28" ht="47.25" customHeight="1" x14ac:dyDescent="0.2">
      <c r="F1478" s="45" t="s">
        <v>4039</v>
      </c>
      <c r="T1478" s="41"/>
      <c r="U1478" s="29" t="str">
        <f>IF($C1478&lt;&gt;"",COUNTIF($C$2:C1478,C1478),"")</f>
        <v/>
      </c>
      <c r="V1478" s="29" t="str">
        <f t="shared" si="70"/>
        <v/>
      </c>
      <c r="W1478" s="29" t="str">
        <f>IF(U1478=1,COUNTIF($U$2:U1478,1),"")</f>
        <v/>
      </c>
      <c r="X1478" s="29" t="str">
        <f t="shared" si="71"/>
        <v/>
      </c>
      <c r="Y1478" s="29" t="str">
        <f>IF(AND(LEFT($B1478,7)="SBA 26/",$D1478&lt;&gt;"",$F1478&lt;&gt;""),COUNTIFS($D$2:$D1478,$D1478,$B$2:$B1478,"SBA 26/*",$F$2:$F1478,"&lt;&gt;"),"")</f>
        <v/>
      </c>
      <c r="Z1478" s="29" t="str">
        <f>IF(Y1478=1,COUNTIF($Y$2:Y1478,1),"")</f>
        <v/>
      </c>
      <c r="AA1478" s="29" t="str">
        <f>IF(AND(LEFT($B1478,7)="SBA 26/",$C1478&lt;&gt;"",$F1478&lt;&gt;""),COUNTIFS($C$2:$C1478,$C1478,$B$2:$B1478,"SBA 26/*",$F$2:$F1478,"&lt;&gt;"),"")</f>
        <v/>
      </c>
      <c r="AB1478" s="29" t="str">
        <f>IF(AA1478=1,COUNTIF($AA$2:AA1478,1),"")</f>
        <v/>
      </c>
    </row>
    <row r="1479" spans="6:28" ht="47.25" customHeight="1" x14ac:dyDescent="0.2">
      <c r="F1479" s="45" t="s">
        <v>4040</v>
      </c>
      <c r="T1479" s="41"/>
      <c r="U1479" s="29" t="str">
        <f>IF($C1479&lt;&gt;"",COUNTIF($C$2:C1479,C1479),"")</f>
        <v/>
      </c>
      <c r="V1479" s="29" t="str">
        <f t="shared" si="70"/>
        <v/>
      </c>
      <c r="W1479" s="29" t="str">
        <f>IF(U1479=1,COUNTIF($U$2:U1479,1),"")</f>
        <v/>
      </c>
      <c r="X1479" s="29" t="str">
        <f t="shared" si="71"/>
        <v/>
      </c>
      <c r="Y1479" s="29" t="str">
        <f>IF(AND(LEFT($B1479,7)="SBA 26/",$D1479&lt;&gt;"",$F1479&lt;&gt;""),COUNTIFS($D$2:$D1479,$D1479,$B$2:$B1479,"SBA 26/*",$F$2:$F1479,"&lt;&gt;"),"")</f>
        <v/>
      </c>
      <c r="Z1479" s="29" t="str">
        <f>IF(Y1479=1,COUNTIF($Y$2:Y1479,1),"")</f>
        <v/>
      </c>
      <c r="AA1479" s="29" t="str">
        <f>IF(AND(LEFT($B1479,7)="SBA 26/",$C1479&lt;&gt;"",$F1479&lt;&gt;""),COUNTIFS($C$2:$C1479,$C1479,$B$2:$B1479,"SBA 26/*",$F$2:$F1479,"&lt;&gt;"),"")</f>
        <v/>
      </c>
      <c r="AB1479" s="29" t="str">
        <f>IF(AA1479=1,COUNTIF($AA$2:AA1479,1),"")</f>
        <v/>
      </c>
    </row>
    <row r="1480" spans="6:28" ht="31.5" customHeight="1" x14ac:dyDescent="0.2">
      <c r="F1480" s="45" t="s">
        <v>4041</v>
      </c>
      <c r="T1480" s="41"/>
      <c r="U1480" s="29" t="str">
        <f>IF($C1480&lt;&gt;"",COUNTIF($C$2:C1480,C1480),"")</f>
        <v/>
      </c>
      <c r="V1480" s="29" t="str">
        <f t="shared" si="70"/>
        <v/>
      </c>
      <c r="W1480" s="29" t="str">
        <f>IF(U1480=1,COUNTIF($U$2:U1480,1),"")</f>
        <v/>
      </c>
      <c r="X1480" s="29" t="str">
        <f t="shared" si="71"/>
        <v/>
      </c>
      <c r="Y1480" s="29" t="str">
        <f>IF(AND(LEFT($B1480,7)="SBA 26/",$D1480&lt;&gt;"",$F1480&lt;&gt;""),COUNTIFS($D$2:$D1480,$D1480,$B$2:$B1480,"SBA 26/*",$F$2:$F1480,"&lt;&gt;"),"")</f>
        <v/>
      </c>
      <c r="Z1480" s="29" t="str">
        <f>IF(Y1480=1,COUNTIF($Y$2:Y1480,1),"")</f>
        <v/>
      </c>
      <c r="AA1480" s="29" t="str">
        <f>IF(AND(LEFT($B1480,7)="SBA 26/",$C1480&lt;&gt;"",$F1480&lt;&gt;""),COUNTIFS($C$2:$C1480,$C1480,$B$2:$B1480,"SBA 26/*",$F$2:$F1480,"&lt;&gt;"),"")</f>
        <v/>
      </c>
      <c r="AB1480" s="29" t="str">
        <f>IF(AA1480=1,COUNTIF($AA$2:AA1480,1),"")</f>
        <v/>
      </c>
    </row>
    <row r="1481" spans="6:28" ht="47.25" customHeight="1" x14ac:dyDescent="0.2">
      <c r="F1481" s="45" t="s">
        <v>4042</v>
      </c>
      <c r="T1481" s="41"/>
      <c r="U1481" s="29" t="str">
        <f>IF($C1481&lt;&gt;"",COUNTIF($C$2:C1481,C1481),"")</f>
        <v/>
      </c>
      <c r="V1481" s="29" t="str">
        <f t="shared" si="70"/>
        <v/>
      </c>
      <c r="W1481" s="29" t="str">
        <f>IF(U1481=1,COUNTIF($U$2:U1481,1),"")</f>
        <v/>
      </c>
      <c r="X1481" s="29" t="str">
        <f t="shared" si="71"/>
        <v/>
      </c>
      <c r="Y1481" s="29" t="str">
        <f>IF(AND(LEFT($B1481,7)="SBA 26/",$D1481&lt;&gt;"",$F1481&lt;&gt;""),COUNTIFS($D$2:$D1481,$D1481,$B$2:$B1481,"SBA 26/*",$F$2:$F1481,"&lt;&gt;"),"")</f>
        <v/>
      </c>
      <c r="Z1481" s="29" t="str">
        <f>IF(Y1481=1,COUNTIF($Y$2:Y1481,1),"")</f>
        <v/>
      </c>
      <c r="AA1481" s="29" t="str">
        <f>IF(AND(LEFT($B1481,7)="SBA 26/",$C1481&lt;&gt;"",$F1481&lt;&gt;""),COUNTIFS($C$2:$C1481,$C1481,$B$2:$B1481,"SBA 26/*",$F$2:$F1481,"&lt;&gt;"),"")</f>
        <v/>
      </c>
      <c r="AB1481" s="29" t="str">
        <f>IF(AA1481=1,COUNTIF($AA$2:AA1481,1),"")</f>
        <v/>
      </c>
    </row>
    <row r="1482" spans="6:28" ht="31.5" customHeight="1" x14ac:dyDescent="0.2">
      <c r="F1482" s="45" t="s">
        <v>4043</v>
      </c>
      <c r="T1482" s="41"/>
      <c r="U1482" s="29" t="str">
        <f>IF($C1482&lt;&gt;"",COUNTIF($C$2:C1482,C1482),"")</f>
        <v/>
      </c>
      <c r="V1482" s="29" t="str">
        <f t="shared" si="70"/>
        <v/>
      </c>
      <c r="W1482" s="29" t="str">
        <f>IF(U1482=1,COUNTIF($U$2:U1482,1),"")</f>
        <v/>
      </c>
      <c r="X1482" s="29" t="str">
        <f t="shared" si="71"/>
        <v/>
      </c>
      <c r="Y1482" s="29" t="str">
        <f>IF(AND(LEFT($B1482,7)="SBA 26/",$D1482&lt;&gt;"",$F1482&lt;&gt;""),COUNTIFS($D$2:$D1482,$D1482,$B$2:$B1482,"SBA 26/*",$F$2:$F1482,"&lt;&gt;"),"")</f>
        <v/>
      </c>
      <c r="Z1482" s="29" t="str">
        <f>IF(Y1482=1,COUNTIF($Y$2:Y1482,1),"")</f>
        <v/>
      </c>
      <c r="AA1482" s="29" t="str">
        <f>IF(AND(LEFT($B1482,7)="SBA 26/",$C1482&lt;&gt;"",$F1482&lt;&gt;""),COUNTIFS($C$2:$C1482,$C1482,$B$2:$B1482,"SBA 26/*",$F$2:$F1482,"&lt;&gt;"),"")</f>
        <v/>
      </c>
      <c r="AB1482" s="29" t="str">
        <f>IF(AA1482=1,COUNTIF($AA$2:AA1482,1),"")</f>
        <v/>
      </c>
    </row>
    <row r="1483" spans="6:28" ht="31.5" customHeight="1" x14ac:dyDescent="0.2">
      <c r="F1483" s="45" t="s">
        <v>4044</v>
      </c>
      <c r="T1483" s="41"/>
      <c r="U1483" s="29" t="str">
        <f>IF($C1483&lt;&gt;"",COUNTIF($C$2:C1483,C1483),"")</f>
        <v/>
      </c>
      <c r="V1483" s="29" t="str">
        <f t="shared" si="70"/>
        <v/>
      </c>
      <c r="W1483" s="29" t="str">
        <f>IF(U1483=1,COUNTIF($U$2:U1483,1),"")</f>
        <v/>
      </c>
      <c r="X1483" s="29" t="str">
        <f t="shared" si="71"/>
        <v/>
      </c>
      <c r="Y1483" s="29" t="str">
        <f>IF(AND(LEFT($B1483,7)="SBA 26/",$D1483&lt;&gt;"",$F1483&lt;&gt;""),COUNTIFS($D$2:$D1483,$D1483,$B$2:$B1483,"SBA 26/*",$F$2:$F1483,"&lt;&gt;"),"")</f>
        <v/>
      </c>
      <c r="Z1483" s="29" t="str">
        <f>IF(Y1483=1,COUNTIF($Y$2:Y1483,1),"")</f>
        <v/>
      </c>
      <c r="AA1483" s="29" t="str">
        <f>IF(AND(LEFT($B1483,7)="SBA 26/",$C1483&lt;&gt;"",$F1483&lt;&gt;""),COUNTIFS($C$2:$C1483,$C1483,$B$2:$B1483,"SBA 26/*",$F$2:$F1483,"&lt;&gt;"),"")</f>
        <v/>
      </c>
      <c r="AB1483" s="29" t="str">
        <f>IF(AA1483=1,COUNTIF($AA$2:AA1483,1),"")</f>
        <v/>
      </c>
    </row>
    <row r="1484" spans="6:28" ht="47.25" customHeight="1" x14ac:dyDescent="0.2">
      <c r="F1484" s="45" t="s">
        <v>4045</v>
      </c>
      <c r="T1484" s="41"/>
      <c r="U1484" s="29" t="str">
        <f>IF($C1484&lt;&gt;"",COUNTIF($C$2:C1484,C1484),"")</f>
        <v/>
      </c>
      <c r="V1484" s="29" t="str">
        <f t="shared" si="70"/>
        <v/>
      </c>
      <c r="W1484" s="29" t="str">
        <f>IF(U1484=1,COUNTIF($U$2:U1484,1),"")</f>
        <v/>
      </c>
      <c r="X1484" s="29" t="str">
        <f t="shared" si="71"/>
        <v/>
      </c>
      <c r="Y1484" s="29" t="str">
        <f>IF(AND(LEFT($B1484,7)="SBA 26/",$D1484&lt;&gt;"",$F1484&lt;&gt;""),COUNTIFS($D$2:$D1484,$D1484,$B$2:$B1484,"SBA 26/*",$F$2:$F1484,"&lt;&gt;"),"")</f>
        <v/>
      </c>
      <c r="Z1484" s="29" t="str">
        <f>IF(Y1484=1,COUNTIF($Y$2:Y1484,1),"")</f>
        <v/>
      </c>
      <c r="AA1484" s="29" t="str">
        <f>IF(AND(LEFT($B1484,7)="SBA 26/",$C1484&lt;&gt;"",$F1484&lt;&gt;""),COUNTIFS($C$2:$C1484,$C1484,$B$2:$B1484,"SBA 26/*",$F$2:$F1484,"&lt;&gt;"),"")</f>
        <v/>
      </c>
      <c r="AB1484" s="29" t="str">
        <f>IF(AA1484=1,COUNTIF($AA$2:AA1484,1),"")</f>
        <v/>
      </c>
    </row>
    <row r="1485" spans="6:28" ht="31.5" customHeight="1" x14ac:dyDescent="0.2">
      <c r="F1485" s="45" t="s">
        <v>4046</v>
      </c>
      <c r="T1485" s="41"/>
      <c r="U1485" s="29" t="str">
        <f>IF($C1485&lt;&gt;"",COUNTIF($C$2:C1485,C1485),"")</f>
        <v/>
      </c>
      <c r="V1485" s="29" t="str">
        <f t="shared" si="70"/>
        <v/>
      </c>
      <c r="W1485" s="29" t="str">
        <f>IF(U1485=1,COUNTIF($U$2:U1485,1),"")</f>
        <v/>
      </c>
      <c r="X1485" s="29" t="str">
        <f t="shared" si="71"/>
        <v/>
      </c>
      <c r="Y1485" s="29" t="str">
        <f>IF(AND(LEFT($B1485,7)="SBA 26/",$D1485&lt;&gt;"",$F1485&lt;&gt;""),COUNTIFS($D$2:$D1485,$D1485,$B$2:$B1485,"SBA 26/*",$F$2:$F1485,"&lt;&gt;"),"")</f>
        <v/>
      </c>
      <c r="Z1485" s="29" t="str">
        <f>IF(Y1485=1,COUNTIF($Y$2:Y1485,1),"")</f>
        <v/>
      </c>
      <c r="AA1485" s="29" t="str">
        <f>IF(AND(LEFT($B1485,7)="SBA 26/",$C1485&lt;&gt;"",$F1485&lt;&gt;""),COUNTIFS($C$2:$C1485,$C1485,$B$2:$B1485,"SBA 26/*",$F$2:$F1485,"&lt;&gt;"),"")</f>
        <v/>
      </c>
      <c r="AB1485" s="29" t="str">
        <f>IF(AA1485=1,COUNTIF($AA$2:AA1485,1),"")</f>
        <v/>
      </c>
    </row>
    <row r="1486" spans="6:28" ht="47.25" customHeight="1" x14ac:dyDescent="0.2">
      <c r="F1486" s="45" t="s">
        <v>4047</v>
      </c>
      <c r="T1486" s="41"/>
      <c r="U1486" s="29" t="str">
        <f>IF($C1486&lt;&gt;"",COUNTIF($C$2:C1486,C1486),"")</f>
        <v/>
      </c>
      <c r="V1486" s="29" t="str">
        <f t="shared" si="70"/>
        <v/>
      </c>
      <c r="W1486" s="29" t="str">
        <f>IF(U1486=1,COUNTIF($U$2:U1486,1),"")</f>
        <v/>
      </c>
      <c r="X1486" s="29" t="str">
        <f t="shared" si="71"/>
        <v/>
      </c>
      <c r="Y1486" s="29" t="str">
        <f>IF(AND(LEFT($B1486,7)="SBA 26/",$D1486&lt;&gt;"",$F1486&lt;&gt;""),COUNTIFS($D$2:$D1486,$D1486,$B$2:$B1486,"SBA 26/*",$F$2:$F1486,"&lt;&gt;"),"")</f>
        <v/>
      </c>
      <c r="Z1486" s="29" t="str">
        <f>IF(Y1486=1,COUNTIF($Y$2:Y1486,1),"")</f>
        <v/>
      </c>
      <c r="AA1486" s="29" t="str">
        <f>IF(AND(LEFT($B1486,7)="SBA 26/",$C1486&lt;&gt;"",$F1486&lt;&gt;""),COUNTIFS($C$2:$C1486,$C1486,$B$2:$B1486,"SBA 26/*",$F$2:$F1486,"&lt;&gt;"),"")</f>
        <v/>
      </c>
      <c r="AB1486" s="29" t="str">
        <f>IF(AA1486=1,COUNTIF($AA$2:AA1486,1),"")</f>
        <v/>
      </c>
    </row>
    <row r="1487" spans="6:28" ht="47.25" customHeight="1" x14ac:dyDescent="0.2">
      <c r="F1487" s="45" t="s">
        <v>4048</v>
      </c>
      <c r="T1487" s="41"/>
      <c r="U1487" s="29" t="str">
        <f>IF($C1487&lt;&gt;"",COUNTIF($C$2:C1487,C1487),"")</f>
        <v/>
      </c>
      <c r="V1487" s="29" t="str">
        <f t="shared" si="70"/>
        <v/>
      </c>
      <c r="W1487" s="29" t="str">
        <f>IF(U1487=1,COUNTIF($U$2:U1487,1),"")</f>
        <v/>
      </c>
      <c r="X1487" s="29" t="str">
        <f t="shared" si="71"/>
        <v/>
      </c>
      <c r="Y1487" s="29" t="str">
        <f>IF(AND(LEFT($B1487,7)="SBA 26/",$D1487&lt;&gt;"",$F1487&lt;&gt;""),COUNTIFS($D$2:$D1487,$D1487,$B$2:$B1487,"SBA 26/*",$F$2:$F1487,"&lt;&gt;"),"")</f>
        <v/>
      </c>
      <c r="Z1487" s="29" t="str">
        <f>IF(Y1487=1,COUNTIF($Y$2:Y1487,1),"")</f>
        <v/>
      </c>
      <c r="AA1487" s="29" t="str">
        <f>IF(AND(LEFT($B1487,7)="SBA 26/",$C1487&lt;&gt;"",$F1487&lt;&gt;""),COUNTIFS($C$2:$C1487,$C1487,$B$2:$B1487,"SBA 26/*",$F$2:$F1487,"&lt;&gt;"),"")</f>
        <v/>
      </c>
      <c r="AB1487" s="29" t="str">
        <f>IF(AA1487=1,COUNTIF($AA$2:AA1487,1),"")</f>
        <v/>
      </c>
    </row>
    <row r="1488" spans="6:28" ht="31.5" customHeight="1" x14ac:dyDescent="0.2">
      <c r="F1488" s="45" t="s">
        <v>4049</v>
      </c>
      <c r="T1488" s="41"/>
      <c r="U1488" s="29" t="str">
        <f>IF($C1488&lt;&gt;"",COUNTIF($C$2:C1488,C1488),"")</f>
        <v/>
      </c>
      <c r="V1488" s="29" t="str">
        <f t="shared" si="70"/>
        <v/>
      </c>
      <c r="W1488" s="29" t="str">
        <f>IF(U1488=1,COUNTIF($U$2:U1488,1),"")</f>
        <v/>
      </c>
      <c r="X1488" s="29" t="str">
        <f t="shared" si="71"/>
        <v/>
      </c>
      <c r="Y1488" s="29" t="str">
        <f>IF(AND(LEFT($B1488,7)="SBA 26/",$D1488&lt;&gt;"",$F1488&lt;&gt;""),COUNTIFS($D$2:$D1488,$D1488,$B$2:$B1488,"SBA 26/*",$F$2:$F1488,"&lt;&gt;"),"")</f>
        <v/>
      </c>
      <c r="Z1488" s="29" t="str">
        <f>IF(Y1488=1,COUNTIF($Y$2:Y1488,1),"")</f>
        <v/>
      </c>
      <c r="AA1488" s="29" t="str">
        <f>IF(AND(LEFT($B1488,7)="SBA 26/",$C1488&lt;&gt;"",$F1488&lt;&gt;""),COUNTIFS($C$2:$C1488,$C1488,$B$2:$B1488,"SBA 26/*",$F$2:$F1488,"&lt;&gt;"),"")</f>
        <v/>
      </c>
      <c r="AB1488" s="29" t="str">
        <f>IF(AA1488=1,COUNTIF($AA$2:AA1488,1),"")</f>
        <v/>
      </c>
    </row>
    <row r="1489" spans="6:28" ht="63" customHeight="1" x14ac:dyDescent="0.2">
      <c r="F1489" s="45" t="s">
        <v>4050</v>
      </c>
      <c r="T1489" s="41"/>
      <c r="U1489" s="29" t="str">
        <f>IF($C1489&lt;&gt;"",COUNTIF($C$2:C1489,C1489),"")</f>
        <v/>
      </c>
      <c r="V1489" s="29" t="str">
        <f t="shared" si="70"/>
        <v/>
      </c>
      <c r="W1489" s="29" t="str">
        <f>IF(U1489=1,COUNTIF($U$2:U1489,1),"")</f>
        <v/>
      </c>
      <c r="X1489" s="29" t="str">
        <f t="shared" si="71"/>
        <v/>
      </c>
      <c r="Y1489" s="29" t="str">
        <f>IF(AND(LEFT($B1489,7)="SBA 26/",$D1489&lt;&gt;"",$F1489&lt;&gt;""),COUNTIFS($D$2:$D1489,$D1489,$B$2:$B1489,"SBA 26/*",$F$2:$F1489,"&lt;&gt;"),"")</f>
        <v/>
      </c>
      <c r="Z1489" s="29" t="str">
        <f>IF(Y1489=1,COUNTIF($Y$2:Y1489,1),"")</f>
        <v/>
      </c>
      <c r="AA1489" s="29" t="str">
        <f>IF(AND(LEFT($B1489,7)="SBA 26/",$C1489&lt;&gt;"",$F1489&lt;&gt;""),COUNTIFS($C$2:$C1489,$C1489,$B$2:$B1489,"SBA 26/*",$F$2:$F1489,"&lt;&gt;"),"")</f>
        <v/>
      </c>
      <c r="AB1489" s="29" t="str">
        <f>IF(AA1489=1,COUNTIF($AA$2:AA1489,1),"")</f>
        <v/>
      </c>
    </row>
    <row r="1490" spans="6:28" ht="47.25" customHeight="1" x14ac:dyDescent="0.2">
      <c r="F1490" s="45" t="s">
        <v>4051</v>
      </c>
      <c r="T1490" s="41"/>
      <c r="U1490" s="29" t="str">
        <f>IF($C1490&lt;&gt;"",COUNTIF($C$2:C1490,C1490),"")</f>
        <v/>
      </c>
      <c r="V1490" s="29" t="str">
        <f t="shared" si="70"/>
        <v/>
      </c>
      <c r="W1490" s="29" t="str">
        <f>IF(U1490=1,COUNTIF($U$2:U1490,1),"")</f>
        <v/>
      </c>
      <c r="X1490" s="29" t="str">
        <f t="shared" si="71"/>
        <v/>
      </c>
      <c r="Y1490" s="29" t="str">
        <f>IF(AND(LEFT($B1490,7)="SBA 26/",$D1490&lt;&gt;"",$F1490&lt;&gt;""),COUNTIFS($D$2:$D1490,$D1490,$B$2:$B1490,"SBA 26/*",$F$2:$F1490,"&lt;&gt;"),"")</f>
        <v/>
      </c>
      <c r="Z1490" s="29" t="str">
        <f>IF(Y1490=1,COUNTIF($Y$2:Y1490,1),"")</f>
        <v/>
      </c>
      <c r="AA1490" s="29" t="str">
        <f>IF(AND(LEFT($B1490,7)="SBA 26/",$C1490&lt;&gt;"",$F1490&lt;&gt;""),COUNTIFS($C$2:$C1490,$C1490,$B$2:$B1490,"SBA 26/*",$F$2:$F1490,"&lt;&gt;"),"")</f>
        <v/>
      </c>
      <c r="AB1490" s="29" t="str">
        <f>IF(AA1490=1,COUNTIF($AA$2:AA1490,1),"")</f>
        <v/>
      </c>
    </row>
    <row r="1491" spans="6:28" ht="31.5" customHeight="1" x14ac:dyDescent="0.2">
      <c r="F1491" s="45" t="s">
        <v>4052</v>
      </c>
      <c r="T1491" s="41"/>
      <c r="U1491" s="29" t="str">
        <f>IF($C1491&lt;&gt;"",COUNTIF($C$2:C1491,C1491),"")</f>
        <v/>
      </c>
      <c r="V1491" s="29" t="str">
        <f t="shared" si="70"/>
        <v/>
      </c>
      <c r="W1491" s="29" t="str">
        <f>IF(U1491=1,COUNTIF($U$2:U1491,1),"")</f>
        <v/>
      </c>
      <c r="X1491" s="29" t="str">
        <f t="shared" si="71"/>
        <v/>
      </c>
      <c r="Y1491" s="29" t="str">
        <f>IF(AND(LEFT($B1491,7)="SBA 26/",$D1491&lt;&gt;"",$F1491&lt;&gt;""),COUNTIFS($D$2:$D1491,$D1491,$B$2:$B1491,"SBA 26/*",$F$2:$F1491,"&lt;&gt;"),"")</f>
        <v/>
      </c>
      <c r="Z1491" s="29" t="str">
        <f>IF(Y1491=1,COUNTIF($Y$2:Y1491,1),"")</f>
        <v/>
      </c>
      <c r="AA1491" s="29" t="str">
        <f>IF(AND(LEFT($B1491,7)="SBA 26/",$C1491&lt;&gt;"",$F1491&lt;&gt;""),COUNTIFS($C$2:$C1491,$C1491,$B$2:$B1491,"SBA 26/*",$F$2:$F1491,"&lt;&gt;"),"")</f>
        <v/>
      </c>
      <c r="AB1491" s="29" t="str">
        <f>IF(AA1491=1,COUNTIF($AA$2:AA1491,1),"")</f>
        <v/>
      </c>
    </row>
    <row r="1492" spans="6:28" ht="47.25" customHeight="1" x14ac:dyDescent="0.2">
      <c r="F1492" s="45" t="s">
        <v>4053</v>
      </c>
      <c r="T1492" s="41"/>
      <c r="U1492" s="29" t="str">
        <f>IF($C1492&lt;&gt;"",COUNTIF($C$2:C1492,C1492),"")</f>
        <v/>
      </c>
      <c r="V1492" s="29" t="str">
        <f t="shared" si="70"/>
        <v/>
      </c>
      <c r="W1492" s="29" t="str">
        <f>IF(U1492=1,COUNTIF($U$2:U1492,1),"")</f>
        <v/>
      </c>
      <c r="X1492" s="29" t="str">
        <f t="shared" si="71"/>
        <v/>
      </c>
      <c r="Y1492" s="29" t="str">
        <f>IF(AND(LEFT($B1492,7)="SBA 26/",$D1492&lt;&gt;"",$F1492&lt;&gt;""),COUNTIFS($D$2:$D1492,$D1492,$B$2:$B1492,"SBA 26/*",$F$2:$F1492,"&lt;&gt;"),"")</f>
        <v/>
      </c>
      <c r="Z1492" s="29" t="str">
        <f>IF(Y1492=1,COUNTIF($Y$2:Y1492,1),"")</f>
        <v/>
      </c>
      <c r="AA1492" s="29" t="str">
        <f>IF(AND(LEFT($B1492,7)="SBA 26/",$C1492&lt;&gt;"",$F1492&lt;&gt;""),COUNTIFS($C$2:$C1492,$C1492,$B$2:$B1492,"SBA 26/*",$F$2:$F1492,"&lt;&gt;"),"")</f>
        <v/>
      </c>
      <c r="AB1492" s="29" t="str">
        <f>IF(AA1492=1,COUNTIF($AA$2:AA1492,1),"")</f>
        <v/>
      </c>
    </row>
    <row r="1493" spans="6:28" ht="47.25" customHeight="1" x14ac:dyDescent="0.2">
      <c r="F1493" s="45" t="s">
        <v>4054</v>
      </c>
      <c r="T1493" s="41"/>
      <c r="U1493" s="29" t="str">
        <f>IF($C1493&lt;&gt;"",COUNTIF($C$2:C1493,C1493),"")</f>
        <v/>
      </c>
      <c r="V1493" s="29" t="str">
        <f t="shared" si="70"/>
        <v/>
      </c>
      <c r="W1493" s="29" t="str">
        <f>IF(U1493=1,COUNTIF($U$2:U1493,1),"")</f>
        <v/>
      </c>
      <c r="X1493" s="29" t="str">
        <f t="shared" si="71"/>
        <v/>
      </c>
      <c r="Y1493" s="29" t="str">
        <f>IF(AND(LEFT($B1493,7)="SBA 26/",$D1493&lt;&gt;"",$F1493&lt;&gt;""),COUNTIFS($D$2:$D1493,$D1493,$B$2:$B1493,"SBA 26/*",$F$2:$F1493,"&lt;&gt;"),"")</f>
        <v/>
      </c>
      <c r="Z1493" s="29" t="str">
        <f>IF(Y1493=1,COUNTIF($Y$2:Y1493,1),"")</f>
        <v/>
      </c>
      <c r="AA1493" s="29" t="str">
        <f>IF(AND(LEFT($B1493,7)="SBA 26/",$C1493&lt;&gt;"",$F1493&lt;&gt;""),COUNTIFS($C$2:$C1493,$C1493,$B$2:$B1493,"SBA 26/*",$F$2:$F1493,"&lt;&gt;"),"")</f>
        <v/>
      </c>
      <c r="AB1493" s="29" t="str">
        <f>IF(AA1493=1,COUNTIF($AA$2:AA1493,1),"")</f>
        <v/>
      </c>
    </row>
    <row r="1494" spans="6:28" ht="47.25" customHeight="1" x14ac:dyDescent="0.2">
      <c r="F1494" s="45" t="s">
        <v>4055</v>
      </c>
      <c r="T1494" s="41"/>
      <c r="U1494" s="29" t="str">
        <f>IF($C1494&lt;&gt;"",COUNTIF($C$2:C1494,C1494),"")</f>
        <v/>
      </c>
      <c r="V1494" s="29" t="str">
        <f t="shared" si="70"/>
        <v/>
      </c>
      <c r="W1494" s="29" t="str">
        <f>IF(U1494=1,COUNTIF($U$2:U1494,1),"")</f>
        <v/>
      </c>
      <c r="X1494" s="29" t="str">
        <f t="shared" si="71"/>
        <v/>
      </c>
      <c r="Y1494" s="29" t="str">
        <f>IF(AND(LEFT($B1494,7)="SBA 26/",$D1494&lt;&gt;"",$F1494&lt;&gt;""),COUNTIFS($D$2:$D1494,$D1494,$B$2:$B1494,"SBA 26/*",$F$2:$F1494,"&lt;&gt;"),"")</f>
        <v/>
      </c>
      <c r="Z1494" s="29" t="str">
        <f>IF(Y1494=1,COUNTIF($Y$2:Y1494,1),"")</f>
        <v/>
      </c>
      <c r="AA1494" s="29" t="str">
        <f>IF(AND(LEFT($B1494,7)="SBA 26/",$C1494&lt;&gt;"",$F1494&lt;&gt;""),COUNTIFS($C$2:$C1494,$C1494,$B$2:$B1494,"SBA 26/*",$F$2:$F1494,"&lt;&gt;"),"")</f>
        <v/>
      </c>
      <c r="AB1494" s="29" t="str">
        <f>IF(AA1494=1,COUNTIF($AA$2:AA1494,1),"")</f>
        <v/>
      </c>
    </row>
    <row r="1495" spans="6:28" ht="63" customHeight="1" x14ac:dyDescent="0.2">
      <c r="F1495" s="45" t="s">
        <v>4056</v>
      </c>
      <c r="T1495" s="41"/>
      <c r="U1495" s="29" t="str">
        <f>IF($C1495&lt;&gt;"",COUNTIF($C$2:C1495,C1495),"")</f>
        <v/>
      </c>
      <c r="V1495" s="29" t="str">
        <f t="shared" si="70"/>
        <v/>
      </c>
      <c r="W1495" s="29" t="str">
        <f>IF(U1495=1,COUNTIF($U$2:U1495,1),"")</f>
        <v/>
      </c>
      <c r="X1495" s="29" t="str">
        <f t="shared" si="71"/>
        <v/>
      </c>
      <c r="Y1495" s="29" t="str">
        <f>IF(AND(LEFT($B1495,7)="SBA 26/",$D1495&lt;&gt;"",$F1495&lt;&gt;""),COUNTIFS($D$2:$D1495,$D1495,$B$2:$B1495,"SBA 26/*",$F$2:$F1495,"&lt;&gt;"),"")</f>
        <v/>
      </c>
      <c r="Z1495" s="29" t="str">
        <f>IF(Y1495=1,COUNTIF($Y$2:Y1495,1),"")</f>
        <v/>
      </c>
      <c r="AA1495" s="29" t="str">
        <f>IF(AND(LEFT($B1495,7)="SBA 26/",$C1495&lt;&gt;"",$F1495&lt;&gt;""),COUNTIFS($C$2:$C1495,$C1495,$B$2:$B1495,"SBA 26/*",$F$2:$F1495,"&lt;&gt;"),"")</f>
        <v/>
      </c>
      <c r="AB1495" s="29" t="str">
        <f>IF(AA1495=1,COUNTIF($AA$2:AA1495,1),"")</f>
        <v/>
      </c>
    </row>
    <row r="1496" spans="6:28" ht="63" customHeight="1" x14ac:dyDescent="0.2">
      <c r="F1496" s="45" t="s">
        <v>4057</v>
      </c>
      <c r="T1496" s="41"/>
      <c r="U1496" s="29" t="str">
        <f>IF($C1496&lt;&gt;"",COUNTIF($C$2:C1496,C1496),"")</f>
        <v/>
      </c>
      <c r="V1496" s="29" t="str">
        <f t="shared" si="70"/>
        <v/>
      </c>
      <c r="W1496" s="29" t="str">
        <f>IF(U1496=1,COUNTIF($U$2:U1496,1),"")</f>
        <v/>
      </c>
      <c r="X1496" s="29" t="str">
        <f t="shared" si="71"/>
        <v/>
      </c>
      <c r="Y1496" s="29" t="str">
        <f>IF(AND(LEFT($B1496,7)="SBA 26/",$D1496&lt;&gt;"",$F1496&lt;&gt;""),COUNTIFS($D$2:$D1496,$D1496,$B$2:$B1496,"SBA 26/*",$F$2:$F1496,"&lt;&gt;"),"")</f>
        <v/>
      </c>
      <c r="Z1496" s="29" t="str">
        <f>IF(Y1496=1,COUNTIF($Y$2:Y1496,1),"")</f>
        <v/>
      </c>
      <c r="AA1496" s="29" t="str">
        <f>IF(AND(LEFT($B1496,7)="SBA 26/",$C1496&lt;&gt;"",$F1496&lt;&gt;""),COUNTIFS($C$2:$C1496,$C1496,$B$2:$B1496,"SBA 26/*",$F$2:$F1496,"&lt;&gt;"),"")</f>
        <v/>
      </c>
      <c r="AB1496" s="29" t="str">
        <f>IF(AA1496=1,COUNTIF($AA$2:AA1496,1),"")</f>
        <v/>
      </c>
    </row>
    <row r="1497" spans="6:28" ht="31.5" customHeight="1" x14ac:dyDescent="0.2">
      <c r="F1497" s="45" t="s">
        <v>4058</v>
      </c>
      <c r="T1497" s="41"/>
      <c r="U1497" s="29" t="str">
        <f>IF($C1497&lt;&gt;"",COUNTIF($C$2:C1497,C1497),"")</f>
        <v/>
      </c>
      <c r="V1497" s="29" t="str">
        <f t="shared" si="70"/>
        <v/>
      </c>
      <c r="W1497" s="29" t="str">
        <f>IF(U1497=1,COUNTIF($U$2:U1497,1),"")</f>
        <v/>
      </c>
      <c r="X1497" s="29" t="str">
        <f t="shared" si="71"/>
        <v/>
      </c>
      <c r="Y1497" s="29" t="str">
        <f>IF(AND(LEFT($B1497,7)="SBA 26/",$D1497&lt;&gt;"",$F1497&lt;&gt;""),COUNTIFS($D$2:$D1497,$D1497,$B$2:$B1497,"SBA 26/*",$F$2:$F1497,"&lt;&gt;"),"")</f>
        <v/>
      </c>
      <c r="Z1497" s="29" t="str">
        <f>IF(Y1497=1,COUNTIF($Y$2:Y1497,1),"")</f>
        <v/>
      </c>
      <c r="AA1497" s="29" t="str">
        <f>IF(AND(LEFT($B1497,7)="SBA 26/",$C1497&lt;&gt;"",$F1497&lt;&gt;""),COUNTIFS($C$2:$C1497,$C1497,$B$2:$B1497,"SBA 26/*",$F$2:$F1497,"&lt;&gt;"),"")</f>
        <v/>
      </c>
      <c r="AB1497" s="29" t="str">
        <f>IF(AA1497=1,COUNTIF($AA$2:AA1497,1),"")</f>
        <v/>
      </c>
    </row>
    <row r="1498" spans="6:28" ht="31.5" customHeight="1" x14ac:dyDescent="0.2">
      <c r="F1498" s="45" t="s">
        <v>4059</v>
      </c>
      <c r="T1498" s="41"/>
      <c r="U1498" s="29" t="str">
        <f>IF($C1498&lt;&gt;"",COUNTIF($C$2:C1498,C1498),"")</f>
        <v/>
      </c>
      <c r="V1498" s="29" t="str">
        <f t="shared" si="70"/>
        <v/>
      </c>
      <c r="W1498" s="29" t="str">
        <f>IF(U1498=1,COUNTIF($U$2:U1498,1),"")</f>
        <v/>
      </c>
      <c r="X1498" s="29" t="str">
        <f t="shared" si="71"/>
        <v/>
      </c>
      <c r="Y1498" s="29" t="str">
        <f>IF(AND(LEFT($B1498,7)="SBA 26/",$D1498&lt;&gt;"",$F1498&lt;&gt;""),COUNTIFS($D$2:$D1498,$D1498,$B$2:$B1498,"SBA 26/*",$F$2:$F1498,"&lt;&gt;"),"")</f>
        <v/>
      </c>
      <c r="Z1498" s="29" t="str">
        <f>IF(Y1498=1,COUNTIF($Y$2:Y1498,1),"")</f>
        <v/>
      </c>
      <c r="AA1498" s="29" t="str">
        <f>IF(AND(LEFT($B1498,7)="SBA 26/",$C1498&lt;&gt;"",$F1498&lt;&gt;""),COUNTIFS($C$2:$C1498,$C1498,$B$2:$B1498,"SBA 26/*",$F$2:$F1498,"&lt;&gt;"),"")</f>
        <v/>
      </c>
      <c r="AB1498" s="29" t="str">
        <f>IF(AA1498=1,COUNTIF($AA$2:AA1498,1),"")</f>
        <v/>
      </c>
    </row>
    <row r="1499" spans="6:28" ht="47.25" customHeight="1" x14ac:dyDescent="0.2">
      <c r="F1499" s="45" t="s">
        <v>4060</v>
      </c>
      <c r="T1499" s="41"/>
      <c r="U1499" s="29" t="str">
        <f>IF($C1499&lt;&gt;"",COUNTIF($C$2:C1499,C1499),"")</f>
        <v/>
      </c>
      <c r="V1499" s="29" t="str">
        <f t="shared" si="70"/>
        <v/>
      </c>
      <c r="W1499" s="29" t="str">
        <f>IF(U1499=1,COUNTIF($U$2:U1499,1),"")</f>
        <v/>
      </c>
      <c r="X1499" s="29" t="str">
        <f t="shared" si="71"/>
        <v/>
      </c>
      <c r="Y1499" s="29" t="str">
        <f>IF(AND(LEFT($B1499,7)="SBA 26/",$D1499&lt;&gt;"",$F1499&lt;&gt;""),COUNTIFS($D$2:$D1499,$D1499,$B$2:$B1499,"SBA 26/*",$F$2:$F1499,"&lt;&gt;"),"")</f>
        <v/>
      </c>
      <c r="Z1499" s="29" t="str">
        <f>IF(Y1499=1,COUNTIF($Y$2:Y1499,1),"")</f>
        <v/>
      </c>
      <c r="AA1499" s="29" t="str">
        <f>IF(AND(LEFT($B1499,7)="SBA 26/",$C1499&lt;&gt;"",$F1499&lt;&gt;""),COUNTIFS($C$2:$C1499,$C1499,$B$2:$B1499,"SBA 26/*",$F$2:$F1499,"&lt;&gt;"),"")</f>
        <v/>
      </c>
      <c r="AB1499" s="29" t="str">
        <f>IF(AA1499=1,COUNTIF($AA$2:AA1499,1),"")</f>
        <v/>
      </c>
    </row>
    <row r="1500" spans="6:28" ht="47.25" customHeight="1" x14ac:dyDescent="0.2">
      <c r="F1500" s="45" t="s">
        <v>4061</v>
      </c>
      <c r="T1500" s="41"/>
      <c r="U1500" s="29" t="str">
        <f>IF($C1500&lt;&gt;"",COUNTIF($C$2:C1500,C1500),"")</f>
        <v/>
      </c>
      <c r="V1500" s="29" t="str">
        <f t="shared" si="70"/>
        <v/>
      </c>
      <c r="W1500" s="29" t="str">
        <f>IF(U1500=1,COUNTIF($U$2:U1500,1),"")</f>
        <v/>
      </c>
      <c r="X1500" s="29" t="str">
        <f t="shared" si="71"/>
        <v/>
      </c>
      <c r="Y1500" s="29" t="str">
        <f>IF(AND(LEFT($B1500,7)="SBA 26/",$D1500&lt;&gt;"",$F1500&lt;&gt;""),COUNTIFS($D$2:$D1500,$D1500,$B$2:$B1500,"SBA 26/*",$F$2:$F1500,"&lt;&gt;"),"")</f>
        <v/>
      </c>
      <c r="Z1500" s="29" t="str">
        <f>IF(Y1500=1,COUNTIF($Y$2:Y1500,1),"")</f>
        <v/>
      </c>
      <c r="AA1500" s="29" t="str">
        <f>IF(AND(LEFT($B1500,7)="SBA 26/",$C1500&lt;&gt;"",$F1500&lt;&gt;""),COUNTIFS($C$2:$C1500,$C1500,$B$2:$B1500,"SBA 26/*",$F$2:$F1500,"&lt;&gt;"),"")</f>
        <v/>
      </c>
      <c r="AB1500" s="29" t="str">
        <f>IF(AA1500=1,COUNTIF($AA$2:AA1500,1),"")</f>
        <v/>
      </c>
    </row>
    <row r="1501" spans="6:28" ht="31.5" customHeight="1" x14ac:dyDescent="0.2">
      <c r="F1501" s="45" t="s">
        <v>4062</v>
      </c>
      <c r="T1501" s="41"/>
      <c r="U1501" s="29" t="str">
        <f>IF($C1501&lt;&gt;"",COUNTIF($C$2:C1501,C1501),"")</f>
        <v/>
      </c>
      <c r="V1501" s="29" t="str">
        <f t="shared" si="70"/>
        <v/>
      </c>
      <c r="W1501" s="29" t="str">
        <f>IF(U1501=1,COUNTIF($U$2:U1501,1),"")</f>
        <v/>
      </c>
      <c r="X1501" s="29" t="str">
        <f t="shared" si="71"/>
        <v/>
      </c>
      <c r="Y1501" s="29" t="str">
        <f>IF(AND(LEFT($B1501,7)="SBA 26/",$D1501&lt;&gt;"",$F1501&lt;&gt;""),COUNTIFS($D$2:$D1501,$D1501,$B$2:$B1501,"SBA 26/*",$F$2:$F1501,"&lt;&gt;"),"")</f>
        <v/>
      </c>
      <c r="Z1501" s="29" t="str">
        <f>IF(Y1501=1,COUNTIF($Y$2:Y1501,1),"")</f>
        <v/>
      </c>
      <c r="AA1501" s="29" t="str">
        <f>IF(AND(LEFT($B1501,7)="SBA 26/",$C1501&lt;&gt;"",$F1501&lt;&gt;""),COUNTIFS($C$2:$C1501,$C1501,$B$2:$B1501,"SBA 26/*",$F$2:$F1501,"&lt;&gt;"),"")</f>
        <v/>
      </c>
      <c r="AB1501" s="29" t="str">
        <f>IF(AA1501=1,COUNTIF($AA$2:AA1501,1),"")</f>
        <v/>
      </c>
    </row>
    <row r="1502" spans="6:28" ht="47.25" customHeight="1" x14ac:dyDescent="0.2">
      <c r="F1502" s="45" t="s">
        <v>4063</v>
      </c>
      <c r="T1502" s="41"/>
      <c r="U1502" s="29" t="str">
        <f>IF($C1502&lt;&gt;"",COUNTIF($C$2:C1502,C1502),"")</f>
        <v/>
      </c>
      <c r="V1502" s="29" t="str">
        <f t="shared" si="70"/>
        <v/>
      </c>
      <c r="W1502" s="29" t="str">
        <f>IF(U1502=1,COUNTIF($U$2:U1502,1),"")</f>
        <v/>
      </c>
      <c r="X1502" s="29" t="str">
        <f t="shared" si="71"/>
        <v/>
      </c>
      <c r="Y1502" s="29" t="str">
        <f>IF(AND(LEFT($B1502,7)="SBA 26/",$D1502&lt;&gt;"",$F1502&lt;&gt;""),COUNTIFS($D$2:$D1502,$D1502,$B$2:$B1502,"SBA 26/*",$F$2:$F1502,"&lt;&gt;"),"")</f>
        <v/>
      </c>
      <c r="Z1502" s="29" t="str">
        <f>IF(Y1502=1,COUNTIF($Y$2:Y1502,1),"")</f>
        <v/>
      </c>
      <c r="AA1502" s="29" t="str">
        <f>IF(AND(LEFT($B1502,7)="SBA 26/",$C1502&lt;&gt;"",$F1502&lt;&gt;""),COUNTIFS($C$2:$C1502,$C1502,$B$2:$B1502,"SBA 26/*",$F$2:$F1502,"&lt;&gt;"),"")</f>
        <v/>
      </c>
      <c r="AB1502" s="29" t="str">
        <f>IF(AA1502=1,COUNTIF($AA$2:AA1502,1),"")</f>
        <v/>
      </c>
    </row>
    <row r="1503" spans="6:28" ht="31.5" customHeight="1" x14ac:dyDescent="0.2">
      <c r="F1503" s="45" t="s">
        <v>4064</v>
      </c>
      <c r="T1503" s="41"/>
      <c r="U1503" s="29" t="str">
        <f>IF($C1503&lt;&gt;"",COUNTIF($C$2:C1503,C1503),"")</f>
        <v/>
      </c>
      <c r="V1503" s="29" t="str">
        <f t="shared" si="70"/>
        <v/>
      </c>
      <c r="W1503" s="29" t="str">
        <f>IF(U1503=1,COUNTIF($U$2:U1503,1),"")</f>
        <v/>
      </c>
      <c r="X1503" s="29" t="str">
        <f t="shared" si="71"/>
        <v/>
      </c>
      <c r="Y1503" s="29" t="str">
        <f>IF(AND(LEFT($B1503,7)="SBA 26/",$D1503&lt;&gt;"",$F1503&lt;&gt;""),COUNTIFS($D$2:$D1503,$D1503,$B$2:$B1503,"SBA 26/*",$F$2:$F1503,"&lt;&gt;"),"")</f>
        <v/>
      </c>
      <c r="Z1503" s="29" t="str">
        <f>IF(Y1503=1,COUNTIF($Y$2:Y1503,1),"")</f>
        <v/>
      </c>
      <c r="AA1503" s="29" t="str">
        <f>IF(AND(LEFT($B1503,7)="SBA 26/",$C1503&lt;&gt;"",$F1503&lt;&gt;""),COUNTIFS($C$2:$C1503,$C1503,$B$2:$B1503,"SBA 26/*",$F$2:$F1503,"&lt;&gt;"),"")</f>
        <v/>
      </c>
      <c r="AB1503" s="29" t="str">
        <f>IF(AA1503=1,COUNTIF($AA$2:AA1503,1),"")</f>
        <v/>
      </c>
    </row>
    <row r="1504" spans="6:28" ht="47.25" customHeight="1" x14ac:dyDescent="0.2">
      <c r="F1504" s="45" t="s">
        <v>4065</v>
      </c>
      <c r="T1504" s="41"/>
      <c r="U1504" s="29" t="str">
        <f>IF($C1504&lt;&gt;"",COUNTIF($C$2:C1504,C1504),"")</f>
        <v/>
      </c>
      <c r="V1504" s="29" t="str">
        <f t="shared" si="70"/>
        <v/>
      </c>
      <c r="W1504" s="29" t="str">
        <f>IF(U1504=1,COUNTIF($U$2:U1504,1),"")</f>
        <v/>
      </c>
      <c r="X1504" s="29" t="str">
        <f t="shared" si="71"/>
        <v/>
      </c>
      <c r="Y1504" s="29" t="str">
        <f>IF(AND(LEFT($B1504,7)="SBA 26/",$D1504&lt;&gt;"",$F1504&lt;&gt;""),COUNTIFS($D$2:$D1504,$D1504,$B$2:$B1504,"SBA 26/*",$F$2:$F1504,"&lt;&gt;"),"")</f>
        <v/>
      </c>
      <c r="Z1504" s="29" t="str">
        <f>IF(Y1504=1,COUNTIF($Y$2:Y1504,1),"")</f>
        <v/>
      </c>
      <c r="AA1504" s="29" t="str">
        <f>IF(AND(LEFT($B1504,7)="SBA 26/",$C1504&lt;&gt;"",$F1504&lt;&gt;""),COUNTIFS($C$2:$C1504,$C1504,$B$2:$B1504,"SBA 26/*",$F$2:$F1504,"&lt;&gt;"),"")</f>
        <v/>
      </c>
      <c r="AB1504" s="29" t="str">
        <f>IF(AA1504=1,COUNTIF($AA$2:AA1504,1),"")</f>
        <v/>
      </c>
    </row>
    <row r="1505" spans="6:28" ht="47.25" customHeight="1" x14ac:dyDescent="0.2">
      <c r="F1505" s="45" t="s">
        <v>4066</v>
      </c>
      <c r="T1505" s="41"/>
      <c r="U1505" s="29" t="str">
        <f>IF($C1505&lt;&gt;"",COUNTIF($C$2:C1505,C1505),"")</f>
        <v/>
      </c>
      <c r="V1505" s="29" t="str">
        <f t="shared" si="70"/>
        <v/>
      </c>
      <c r="W1505" s="29" t="str">
        <f>IF(U1505=1,COUNTIF($U$2:U1505,1),"")</f>
        <v/>
      </c>
      <c r="X1505" s="29" t="str">
        <f t="shared" si="71"/>
        <v/>
      </c>
      <c r="Y1505" s="29" t="str">
        <f>IF(AND(LEFT($B1505,7)="SBA 26/",$D1505&lt;&gt;"",$F1505&lt;&gt;""),COUNTIFS($D$2:$D1505,$D1505,$B$2:$B1505,"SBA 26/*",$F$2:$F1505,"&lt;&gt;"),"")</f>
        <v/>
      </c>
      <c r="Z1505" s="29" t="str">
        <f>IF(Y1505=1,COUNTIF($Y$2:Y1505,1),"")</f>
        <v/>
      </c>
      <c r="AA1505" s="29" t="str">
        <f>IF(AND(LEFT($B1505,7)="SBA 26/",$C1505&lt;&gt;"",$F1505&lt;&gt;""),COUNTIFS($C$2:$C1505,$C1505,$B$2:$B1505,"SBA 26/*",$F$2:$F1505,"&lt;&gt;"),"")</f>
        <v/>
      </c>
      <c r="AB1505" s="29" t="str">
        <f>IF(AA1505=1,COUNTIF($AA$2:AA1505,1),"")</f>
        <v/>
      </c>
    </row>
    <row r="1506" spans="6:28" ht="47.25" customHeight="1" x14ac:dyDescent="0.2">
      <c r="F1506" s="45" t="s">
        <v>4067</v>
      </c>
      <c r="T1506" s="41"/>
      <c r="U1506" s="29" t="str">
        <f>IF($C1506&lt;&gt;"",COUNTIF($C$2:C1506,C1506),"")</f>
        <v/>
      </c>
      <c r="V1506" s="29" t="str">
        <f t="shared" si="70"/>
        <v/>
      </c>
      <c r="W1506" s="29" t="str">
        <f>IF(U1506=1,COUNTIF($U$2:U1506,1),"")</f>
        <v/>
      </c>
      <c r="X1506" s="29" t="str">
        <f t="shared" si="71"/>
        <v/>
      </c>
      <c r="Y1506" s="29" t="str">
        <f>IF(AND(LEFT($B1506,7)="SBA 26/",$D1506&lt;&gt;"",$F1506&lt;&gt;""),COUNTIFS($D$2:$D1506,$D1506,$B$2:$B1506,"SBA 26/*",$F$2:$F1506,"&lt;&gt;"),"")</f>
        <v/>
      </c>
      <c r="Z1506" s="29" t="str">
        <f>IF(Y1506=1,COUNTIF($Y$2:Y1506,1),"")</f>
        <v/>
      </c>
      <c r="AA1506" s="29" t="str">
        <f>IF(AND(LEFT($B1506,7)="SBA 26/",$C1506&lt;&gt;"",$F1506&lt;&gt;""),COUNTIFS($C$2:$C1506,$C1506,$B$2:$B1506,"SBA 26/*",$F$2:$F1506,"&lt;&gt;"),"")</f>
        <v/>
      </c>
      <c r="AB1506" s="29" t="str">
        <f>IF(AA1506=1,COUNTIF($AA$2:AA1506,1),"")</f>
        <v/>
      </c>
    </row>
    <row r="1507" spans="6:28" ht="31.5" customHeight="1" x14ac:dyDescent="0.2">
      <c r="F1507" s="45" t="s">
        <v>4068</v>
      </c>
      <c r="T1507" s="41"/>
      <c r="U1507" s="29" t="str">
        <f>IF($C1507&lt;&gt;"",COUNTIF($C$2:C1507,C1507),"")</f>
        <v/>
      </c>
      <c r="V1507" s="29" t="str">
        <f t="shared" si="70"/>
        <v/>
      </c>
      <c r="W1507" s="29" t="str">
        <f>IF(U1507=1,COUNTIF($U$2:U1507,1),"")</f>
        <v/>
      </c>
      <c r="X1507" s="29" t="str">
        <f t="shared" si="71"/>
        <v/>
      </c>
      <c r="Y1507" s="29" t="str">
        <f>IF(AND(LEFT($B1507,7)="SBA 26/",$D1507&lt;&gt;"",$F1507&lt;&gt;""),COUNTIFS($D$2:$D1507,$D1507,$B$2:$B1507,"SBA 26/*",$F$2:$F1507,"&lt;&gt;"),"")</f>
        <v/>
      </c>
      <c r="Z1507" s="29" t="str">
        <f>IF(Y1507=1,COUNTIF($Y$2:Y1507,1),"")</f>
        <v/>
      </c>
      <c r="AA1507" s="29" t="str">
        <f>IF(AND(LEFT($B1507,7)="SBA 26/",$C1507&lt;&gt;"",$F1507&lt;&gt;""),COUNTIFS($C$2:$C1507,$C1507,$B$2:$B1507,"SBA 26/*",$F$2:$F1507,"&lt;&gt;"),"")</f>
        <v/>
      </c>
      <c r="AB1507" s="29" t="str">
        <f>IF(AA1507=1,COUNTIF($AA$2:AA1507,1),"")</f>
        <v/>
      </c>
    </row>
    <row r="1508" spans="6:28" ht="47.25" customHeight="1" x14ac:dyDescent="0.2">
      <c r="F1508" s="45" t="s">
        <v>4069</v>
      </c>
      <c r="T1508" s="41"/>
      <c r="U1508" s="29" t="str">
        <f>IF($C1508&lt;&gt;"",COUNTIF($C$2:C1508,C1508),"")</f>
        <v/>
      </c>
      <c r="V1508" s="29" t="str">
        <f t="shared" si="70"/>
        <v/>
      </c>
      <c r="W1508" s="29" t="str">
        <f>IF(U1508=1,COUNTIF($U$2:U1508,1),"")</f>
        <v/>
      </c>
      <c r="X1508" s="29" t="str">
        <f t="shared" si="71"/>
        <v/>
      </c>
      <c r="Y1508" s="29" t="str">
        <f>IF(AND(LEFT($B1508,7)="SBA 26/",$D1508&lt;&gt;"",$F1508&lt;&gt;""),COUNTIFS($D$2:$D1508,$D1508,$B$2:$B1508,"SBA 26/*",$F$2:$F1508,"&lt;&gt;"),"")</f>
        <v/>
      </c>
      <c r="Z1508" s="29" t="str">
        <f>IF(Y1508=1,COUNTIF($Y$2:Y1508,1),"")</f>
        <v/>
      </c>
      <c r="AA1508" s="29" t="str">
        <f>IF(AND(LEFT($B1508,7)="SBA 26/",$C1508&lt;&gt;"",$F1508&lt;&gt;""),COUNTIFS($C$2:$C1508,$C1508,$B$2:$B1508,"SBA 26/*",$F$2:$F1508,"&lt;&gt;"),"")</f>
        <v/>
      </c>
      <c r="AB1508" s="29" t="str">
        <f>IF(AA1508=1,COUNTIF($AA$2:AA1508,1),"")</f>
        <v/>
      </c>
    </row>
    <row r="1509" spans="6:28" ht="31.5" customHeight="1" x14ac:dyDescent="0.2">
      <c r="F1509" s="45" t="s">
        <v>4070</v>
      </c>
      <c r="T1509" s="41"/>
      <c r="U1509" s="29" t="str">
        <f>IF($C1509&lt;&gt;"",COUNTIF($C$2:C1509,C1509),"")</f>
        <v/>
      </c>
      <c r="V1509" s="29" t="str">
        <f t="shared" si="70"/>
        <v/>
      </c>
      <c r="W1509" s="29" t="str">
        <f>IF(U1509=1,COUNTIF($U$2:U1509,1),"")</f>
        <v/>
      </c>
      <c r="X1509" s="29" t="str">
        <f t="shared" si="71"/>
        <v/>
      </c>
      <c r="Y1509" s="29" t="str">
        <f>IF(AND(LEFT($B1509,7)="SBA 26/",$D1509&lt;&gt;"",$F1509&lt;&gt;""),COUNTIFS($D$2:$D1509,$D1509,$B$2:$B1509,"SBA 26/*",$F$2:$F1509,"&lt;&gt;"),"")</f>
        <v/>
      </c>
      <c r="Z1509" s="29" t="str">
        <f>IF(Y1509=1,COUNTIF($Y$2:Y1509,1),"")</f>
        <v/>
      </c>
      <c r="AA1509" s="29" t="str">
        <f>IF(AND(LEFT($B1509,7)="SBA 26/",$C1509&lt;&gt;"",$F1509&lt;&gt;""),COUNTIFS($C$2:$C1509,$C1509,$B$2:$B1509,"SBA 26/*",$F$2:$F1509,"&lt;&gt;"),"")</f>
        <v/>
      </c>
      <c r="AB1509" s="29" t="str">
        <f>IF(AA1509=1,COUNTIF($AA$2:AA1509,1),"")</f>
        <v/>
      </c>
    </row>
    <row r="1510" spans="6:28" ht="47.25" customHeight="1" x14ac:dyDescent="0.2">
      <c r="F1510" s="45" t="s">
        <v>4071</v>
      </c>
      <c r="T1510" s="41"/>
      <c r="U1510" s="29" t="str">
        <f>IF($C1510&lt;&gt;"",COUNTIF($C$2:C1510,C1510),"")</f>
        <v/>
      </c>
      <c r="V1510" s="29" t="str">
        <f t="shared" si="70"/>
        <v/>
      </c>
      <c r="W1510" s="29" t="str">
        <f>IF(U1510=1,COUNTIF($U$2:U1510,1),"")</f>
        <v/>
      </c>
      <c r="X1510" s="29" t="str">
        <f t="shared" si="71"/>
        <v/>
      </c>
      <c r="Y1510" s="29" t="str">
        <f>IF(AND(LEFT($B1510,7)="SBA 26/",$D1510&lt;&gt;"",$F1510&lt;&gt;""),COUNTIFS($D$2:$D1510,$D1510,$B$2:$B1510,"SBA 26/*",$F$2:$F1510,"&lt;&gt;"),"")</f>
        <v/>
      </c>
      <c r="Z1510" s="29" t="str">
        <f>IF(Y1510=1,COUNTIF($Y$2:Y1510,1),"")</f>
        <v/>
      </c>
      <c r="AA1510" s="29" t="str">
        <f>IF(AND(LEFT($B1510,7)="SBA 26/",$C1510&lt;&gt;"",$F1510&lt;&gt;""),COUNTIFS($C$2:$C1510,$C1510,$B$2:$B1510,"SBA 26/*",$F$2:$F1510,"&lt;&gt;"),"")</f>
        <v/>
      </c>
      <c r="AB1510" s="29" t="str">
        <f>IF(AA1510=1,COUNTIF($AA$2:AA1510,1),"")</f>
        <v/>
      </c>
    </row>
    <row r="1511" spans="6:28" ht="47.25" customHeight="1" x14ac:dyDescent="0.2">
      <c r="F1511" s="45" t="s">
        <v>4072</v>
      </c>
      <c r="T1511" s="41"/>
      <c r="U1511" s="29" t="str">
        <f>IF($C1511&lt;&gt;"",COUNTIF($C$2:C1511,C1511),"")</f>
        <v/>
      </c>
      <c r="V1511" s="29" t="str">
        <f t="shared" si="70"/>
        <v/>
      </c>
      <c r="W1511" s="29" t="str">
        <f>IF(U1511=1,COUNTIF($U$2:U1511,1),"")</f>
        <v/>
      </c>
      <c r="X1511" s="29" t="str">
        <f t="shared" si="71"/>
        <v/>
      </c>
      <c r="Y1511" s="29" t="str">
        <f>IF(AND(LEFT($B1511,7)="SBA 26/",$D1511&lt;&gt;"",$F1511&lt;&gt;""),COUNTIFS($D$2:$D1511,$D1511,$B$2:$B1511,"SBA 26/*",$F$2:$F1511,"&lt;&gt;"),"")</f>
        <v/>
      </c>
      <c r="Z1511" s="29" t="str">
        <f>IF(Y1511=1,COUNTIF($Y$2:Y1511,1),"")</f>
        <v/>
      </c>
      <c r="AA1511" s="29" t="str">
        <f>IF(AND(LEFT($B1511,7)="SBA 26/",$C1511&lt;&gt;"",$F1511&lt;&gt;""),COUNTIFS($C$2:$C1511,$C1511,$B$2:$B1511,"SBA 26/*",$F$2:$F1511,"&lt;&gt;"),"")</f>
        <v/>
      </c>
      <c r="AB1511" s="29" t="str">
        <f>IF(AA1511=1,COUNTIF($AA$2:AA1511,1),"")</f>
        <v/>
      </c>
    </row>
    <row r="1512" spans="6:28" ht="63" customHeight="1" x14ac:dyDescent="0.2">
      <c r="F1512" s="45" t="s">
        <v>4073</v>
      </c>
      <c r="T1512" s="41"/>
      <c r="U1512" s="29" t="str">
        <f>IF($C1512&lt;&gt;"",COUNTIF($C$2:C1512,C1512),"")</f>
        <v/>
      </c>
      <c r="V1512" s="29" t="str">
        <f t="shared" si="70"/>
        <v/>
      </c>
      <c r="W1512" s="29" t="str">
        <f>IF(U1512=1,COUNTIF($U$2:U1512,1),"")</f>
        <v/>
      </c>
      <c r="X1512" s="29" t="str">
        <f t="shared" si="71"/>
        <v/>
      </c>
      <c r="Y1512" s="29" t="str">
        <f>IF(AND(LEFT($B1512,7)="SBA 26/",$D1512&lt;&gt;"",$F1512&lt;&gt;""),COUNTIFS($D$2:$D1512,$D1512,$B$2:$B1512,"SBA 26/*",$F$2:$F1512,"&lt;&gt;"),"")</f>
        <v/>
      </c>
      <c r="Z1512" s="29" t="str">
        <f>IF(Y1512=1,COUNTIF($Y$2:Y1512,1),"")</f>
        <v/>
      </c>
      <c r="AA1512" s="29" t="str">
        <f>IF(AND(LEFT($B1512,7)="SBA 26/",$C1512&lt;&gt;"",$F1512&lt;&gt;""),COUNTIFS($C$2:$C1512,$C1512,$B$2:$B1512,"SBA 26/*",$F$2:$F1512,"&lt;&gt;"),"")</f>
        <v/>
      </c>
      <c r="AB1512" s="29" t="str">
        <f>IF(AA1512=1,COUNTIF($AA$2:AA1512,1),"")</f>
        <v/>
      </c>
    </row>
    <row r="1513" spans="6:28" ht="63" customHeight="1" x14ac:dyDescent="0.2">
      <c r="F1513" s="45" t="s">
        <v>4074</v>
      </c>
      <c r="T1513" s="41"/>
      <c r="U1513" s="29" t="str">
        <f>IF($C1513&lt;&gt;"",COUNTIF($C$2:C1513,C1513),"")</f>
        <v/>
      </c>
      <c r="V1513" s="29" t="str">
        <f t="shared" si="70"/>
        <v/>
      </c>
      <c r="W1513" s="29" t="str">
        <f>IF(U1513=1,COUNTIF($U$2:U1513,1),"")</f>
        <v/>
      </c>
      <c r="X1513" s="29" t="str">
        <f t="shared" si="71"/>
        <v/>
      </c>
      <c r="Y1513" s="29" t="str">
        <f>IF(AND(LEFT($B1513,7)="SBA 26/",$D1513&lt;&gt;"",$F1513&lt;&gt;""),COUNTIFS($D$2:$D1513,$D1513,$B$2:$B1513,"SBA 26/*",$F$2:$F1513,"&lt;&gt;"),"")</f>
        <v/>
      </c>
      <c r="Z1513" s="29" t="str">
        <f>IF(Y1513=1,COUNTIF($Y$2:Y1513,1),"")</f>
        <v/>
      </c>
      <c r="AA1513" s="29" t="str">
        <f>IF(AND(LEFT($B1513,7)="SBA 26/",$C1513&lt;&gt;"",$F1513&lt;&gt;""),COUNTIFS($C$2:$C1513,$C1513,$B$2:$B1513,"SBA 26/*",$F$2:$F1513,"&lt;&gt;"),"")</f>
        <v/>
      </c>
      <c r="AB1513" s="29" t="str">
        <f>IF(AA1513=1,COUNTIF($AA$2:AA1513,1),"")</f>
        <v/>
      </c>
    </row>
    <row r="1514" spans="6:28" ht="47.25" customHeight="1" x14ac:dyDescent="0.2">
      <c r="F1514" s="45" t="s">
        <v>4075</v>
      </c>
      <c r="T1514" s="41"/>
      <c r="U1514" s="29" t="str">
        <f>IF($C1514&lt;&gt;"",COUNTIF($C$2:C1514,C1514),"")</f>
        <v/>
      </c>
      <c r="V1514" s="29" t="str">
        <f t="shared" si="70"/>
        <v/>
      </c>
      <c r="W1514" s="29" t="str">
        <f>IF(U1514=1,COUNTIF($U$2:U1514,1),"")</f>
        <v/>
      </c>
      <c r="X1514" s="29" t="str">
        <f t="shared" si="71"/>
        <v/>
      </c>
      <c r="Y1514" s="29" t="str">
        <f>IF(AND(LEFT($B1514,7)="SBA 26/",$D1514&lt;&gt;"",$F1514&lt;&gt;""),COUNTIFS($D$2:$D1514,$D1514,$B$2:$B1514,"SBA 26/*",$F$2:$F1514,"&lt;&gt;"),"")</f>
        <v/>
      </c>
      <c r="Z1514" s="29" t="str">
        <f>IF(Y1514=1,COUNTIF($Y$2:Y1514,1),"")</f>
        <v/>
      </c>
      <c r="AA1514" s="29" t="str">
        <f>IF(AND(LEFT($B1514,7)="SBA 26/",$C1514&lt;&gt;"",$F1514&lt;&gt;""),COUNTIFS($C$2:$C1514,$C1514,$B$2:$B1514,"SBA 26/*",$F$2:$F1514,"&lt;&gt;"),"")</f>
        <v/>
      </c>
      <c r="AB1514" s="29" t="str">
        <f>IF(AA1514=1,COUNTIF($AA$2:AA1514,1),"")</f>
        <v/>
      </c>
    </row>
    <row r="1515" spans="6:28" ht="78.75" customHeight="1" x14ac:dyDescent="0.2">
      <c r="F1515" s="45" t="s">
        <v>4076</v>
      </c>
      <c r="T1515" s="41"/>
      <c r="U1515" s="29" t="str">
        <f>IF($C1515&lt;&gt;"",COUNTIF($C$2:C1515,C1515),"")</f>
        <v/>
      </c>
      <c r="V1515" s="29" t="str">
        <f t="shared" si="70"/>
        <v/>
      </c>
      <c r="W1515" s="29" t="str">
        <f>IF(U1515=1,COUNTIF($U$2:U1515,1),"")</f>
        <v/>
      </c>
      <c r="X1515" s="29" t="str">
        <f t="shared" si="71"/>
        <v/>
      </c>
      <c r="Y1515" s="29" t="str">
        <f>IF(AND(LEFT($B1515,7)="SBA 26/",$D1515&lt;&gt;"",$F1515&lt;&gt;""),COUNTIFS($D$2:$D1515,$D1515,$B$2:$B1515,"SBA 26/*",$F$2:$F1515,"&lt;&gt;"),"")</f>
        <v/>
      </c>
      <c r="Z1515" s="29" t="str">
        <f>IF(Y1515=1,COUNTIF($Y$2:Y1515,1),"")</f>
        <v/>
      </c>
      <c r="AA1515" s="29" t="str">
        <f>IF(AND(LEFT($B1515,7)="SBA 26/",$C1515&lt;&gt;"",$F1515&lt;&gt;""),COUNTIFS($C$2:$C1515,$C1515,$B$2:$B1515,"SBA 26/*",$F$2:$F1515,"&lt;&gt;"),"")</f>
        <v/>
      </c>
      <c r="AB1515" s="29" t="str">
        <f>IF(AA1515=1,COUNTIF($AA$2:AA1515,1),"")</f>
        <v/>
      </c>
    </row>
    <row r="1516" spans="6:28" ht="63" customHeight="1" x14ac:dyDescent="0.2">
      <c r="F1516" s="45" t="s">
        <v>4077</v>
      </c>
      <c r="T1516" s="41"/>
      <c r="U1516" s="29" t="str">
        <f>IF($C1516&lt;&gt;"",COUNTIF($C$2:C1516,C1516),"")</f>
        <v/>
      </c>
      <c r="V1516" s="29" t="str">
        <f t="shared" si="70"/>
        <v/>
      </c>
      <c r="W1516" s="29" t="str">
        <f>IF(U1516=1,COUNTIF($U$2:U1516,1),"")</f>
        <v/>
      </c>
      <c r="X1516" s="29" t="str">
        <f t="shared" si="71"/>
        <v/>
      </c>
      <c r="Y1516" s="29" t="str">
        <f>IF(AND(LEFT($B1516,7)="SBA 26/",$D1516&lt;&gt;"",$F1516&lt;&gt;""),COUNTIFS($D$2:$D1516,$D1516,$B$2:$B1516,"SBA 26/*",$F$2:$F1516,"&lt;&gt;"),"")</f>
        <v/>
      </c>
      <c r="Z1516" s="29" t="str">
        <f>IF(Y1516=1,COUNTIF($Y$2:Y1516,1),"")</f>
        <v/>
      </c>
      <c r="AA1516" s="29" t="str">
        <f>IF(AND(LEFT($B1516,7)="SBA 26/",$C1516&lt;&gt;"",$F1516&lt;&gt;""),COUNTIFS($C$2:$C1516,$C1516,$B$2:$B1516,"SBA 26/*",$F$2:$F1516,"&lt;&gt;"),"")</f>
        <v/>
      </c>
      <c r="AB1516" s="29" t="str">
        <f>IF(AA1516=1,COUNTIF($AA$2:AA1516,1),"")</f>
        <v/>
      </c>
    </row>
    <row r="1517" spans="6:28" ht="31.5" customHeight="1" x14ac:dyDescent="0.2">
      <c r="F1517" s="45" t="s">
        <v>4078</v>
      </c>
      <c r="T1517" s="41"/>
      <c r="U1517" s="29" t="str">
        <f>IF($C1517&lt;&gt;"",COUNTIF($C$2:C1517,C1517),"")</f>
        <v/>
      </c>
      <c r="V1517" s="29" t="str">
        <f t="shared" si="70"/>
        <v/>
      </c>
      <c r="W1517" s="29" t="str">
        <f>IF(U1517=1,COUNTIF($U$2:U1517,1),"")</f>
        <v/>
      </c>
      <c r="X1517" s="29" t="str">
        <f t="shared" si="71"/>
        <v/>
      </c>
      <c r="Y1517" s="29" t="str">
        <f>IF(AND(LEFT($B1517,7)="SBA 26/",$D1517&lt;&gt;"",$F1517&lt;&gt;""),COUNTIFS($D$2:$D1517,$D1517,$B$2:$B1517,"SBA 26/*",$F$2:$F1517,"&lt;&gt;"),"")</f>
        <v/>
      </c>
      <c r="Z1517" s="29" t="str">
        <f>IF(Y1517=1,COUNTIF($Y$2:Y1517,1),"")</f>
        <v/>
      </c>
      <c r="AA1517" s="29" t="str">
        <f>IF(AND(LEFT($B1517,7)="SBA 26/",$C1517&lt;&gt;"",$F1517&lt;&gt;""),COUNTIFS($C$2:$C1517,$C1517,$B$2:$B1517,"SBA 26/*",$F$2:$F1517,"&lt;&gt;"),"")</f>
        <v/>
      </c>
      <c r="AB1517" s="29" t="str">
        <f>IF(AA1517=1,COUNTIF($AA$2:AA1517,1),"")</f>
        <v/>
      </c>
    </row>
    <row r="1518" spans="6:28" ht="31.5" customHeight="1" x14ac:dyDescent="0.2">
      <c r="F1518" s="45" t="s">
        <v>4079</v>
      </c>
      <c r="T1518" s="41"/>
      <c r="U1518" s="29" t="str">
        <f>IF($C1518&lt;&gt;"",COUNTIF($C$2:C1518,C1518),"")</f>
        <v/>
      </c>
      <c r="V1518" s="29" t="str">
        <f t="shared" si="70"/>
        <v/>
      </c>
      <c r="W1518" s="29" t="str">
        <f>IF(U1518=1,COUNTIF($U$2:U1518,1),"")</f>
        <v/>
      </c>
      <c r="X1518" s="29" t="str">
        <f t="shared" si="71"/>
        <v/>
      </c>
      <c r="Y1518" s="29" t="str">
        <f>IF(AND(LEFT($B1518,7)="SBA 26/",$D1518&lt;&gt;"",$F1518&lt;&gt;""),COUNTIFS($D$2:$D1518,$D1518,$B$2:$B1518,"SBA 26/*",$F$2:$F1518,"&lt;&gt;"),"")</f>
        <v/>
      </c>
      <c r="Z1518" s="29" t="str">
        <f>IF(Y1518=1,COUNTIF($Y$2:Y1518,1),"")</f>
        <v/>
      </c>
      <c r="AA1518" s="29" t="str">
        <f>IF(AND(LEFT($B1518,7)="SBA 26/",$C1518&lt;&gt;"",$F1518&lt;&gt;""),COUNTIFS($C$2:$C1518,$C1518,$B$2:$B1518,"SBA 26/*",$F$2:$F1518,"&lt;&gt;"),"")</f>
        <v/>
      </c>
      <c r="AB1518" s="29" t="str">
        <f>IF(AA1518=1,COUNTIF($AA$2:AA1518,1),"")</f>
        <v/>
      </c>
    </row>
    <row r="1519" spans="6:28" ht="47.25" customHeight="1" x14ac:dyDescent="0.2">
      <c r="F1519" s="45" t="s">
        <v>4080</v>
      </c>
      <c r="T1519" s="41"/>
      <c r="U1519" s="29" t="str">
        <f>IF($C1519&lt;&gt;"",COUNTIF($C$2:C1519,C1519),"")</f>
        <v/>
      </c>
      <c r="V1519" s="29" t="str">
        <f t="shared" si="70"/>
        <v/>
      </c>
      <c r="W1519" s="29" t="str">
        <f>IF(U1519=1,COUNTIF($U$2:U1519,1),"")</f>
        <v/>
      </c>
      <c r="X1519" s="29" t="str">
        <f t="shared" si="71"/>
        <v/>
      </c>
      <c r="Y1519" s="29" t="str">
        <f>IF(AND(LEFT($B1519,7)="SBA 26/",$D1519&lt;&gt;"",$F1519&lt;&gt;""),COUNTIFS($D$2:$D1519,$D1519,$B$2:$B1519,"SBA 26/*",$F$2:$F1519,"&lt;&gt;"),"")</f>
        <v/>
      </c>
      <c r="Z1519" s="29" t="str">
        <f>IF(Y1519=1,COUNTIF($Y$2:Y1519,1),"")</f>
        <v/>
      </c>
      <c r="AA1519" s="29" t="str">
        <f>IF(AND(LEFT($B1519,7)="SBA 26/",$C1519&lt;&gt;"",$F1519&lt;&gt;""),COUNTIFS($C$2:$C1519,$C1519,$B$2:$B1519,"SBA 26/*",$F$2:$F1519,"&lt;&gt;"),"")</f>
        <v/>
      </c>
      <c r="AB1519" s="29" t="str">
        <f>IF(AA1519=1,COUNTIF($AA$2:AA1519,1),"")</f>
        <v/>
      </c>
    </row>
    <row r="1520" spans="6:28" ht="31.5" customHeight="1" x14ac:dyDescent="0.2">
      <c r="F1520" s="45" t="s">
        <v>4081</v>
      </c>
      <c r="T1520" s="41"/>
      <c r="U1520" s="29" t="str">
        <f>IF($C1520&lt;&gt;"",COUNTIF($C$2:C1520,C1520),"")</f>
        <v/>
      </c>
      <c r="V1520" s="29" t="str">
        <f t="shared" si="70"/>
        <v/>
      </c>
      <c r="W1520" s="29" t="str">
        <f>IF(U1520=1,COUNTIF($U$2:U1520,1),"")</f>
        <v/>
      </c>
      <c r="X1520" s="29" t="str">
        <f t="shared" si="71"/>
        <v/>
      </c>
      <c r="Y1520" s="29" t="str">
        <f>IF(AND(LEFT($B1520,7)="SBA 26/",$D1520&lt;&gt;"",$F1520&lt;&gt;""),COUNTIFS($D$2:$D1520,$D1520,$B$2:$B1520,"SBA 26/*",$F$2:$F1520,"&lt;&gt;"),"")</f>
        <v/>
      </c>
      <c r="Z1520" s="29" t="str">
        <f>IF(Y1520=1,COUNTIF($Y$2:Y1520,1),"")</f>
        <v/>
      </c>
      <c r="AA1520" s="29" t="str">
        <f>IF(AND(LEFT($B1520,7)="SBA 26/",$C1520&lt;&gt;"",$F1520&lt;&gt;""),COUNTIFS($C$2:$C1520,$C1520,$B$2:$B1520,"SBA 26/*",$F$2:$F1520,"&lt;&gt;"),"")</f>
        <v/>
      </c>
      <c r="AB1520" s="29" t="str">
        <f>IF(AA1520=1,COUNTIF($AA$2:AA1520,1),"")</f>
        <v/>
      </c>
    </row>
    <row r="1521" spans="6:28" ht="47.25" customHeight="1" x14ac:dyDescent="0.2">
      <c r="F1521" s="45" t="s">
        <v>4082</v>
      </c>
      <c r="T1521" s="41"/>
      <c r="U1521" s="29" t="str">
        <f>IF($C1521&lt;&gt;"",COUNTIF($C$2:C1521,C1521),"")</f>
        <v/>
      </c>
      <c r="V1521" s="29" t="str">
        <f t="shared" si="70"/>
        <v/>
      </c>
      <c r="W1521" s="29" t="str">
        <f>IF(U1521=1,COUNTIF($U$2:U1521,1),"")</f>
        <v/>
      </c>
      <c r="X1521" s="29" t="str">
        <f t="shared" si="71"/>
        <v/>
      </c>
      <c r="Y1521" s="29" t="str">
        <f>IF(AND(LEFT($B1521,7)="SBA 26/",$D1521&lt;&gt;"",$F1521&lt;&gt;""),COUNTIFS($D$2:$D1521,$D1521,$B$2:$B1521,"SBA 26/*",$F$2:$F1521,"&lt;&gt;"),"")</f>
        <v/>
      </c>
      <c r="Z1521" s="29" t="str">
        <f>IF(Y1521=1,COUNTIF($Y$2:Y1521,1),"")</f>
        <v/>
      </c>
      <c r="AA1521" s="29" t="str">
        <f>IF(AND(LEFT($B1521,7)="SBA 26/",$C1521&lt;&gt;"",$F1521&lt;&gt;""),COUNTIFS($C$2:$C1521,$C1521,$B$2:$B1521,"SBA 26/*",$F$2:$F1521,"&lt;&gt;"),"")</f>
        <v/>
      </c>
      <c r="AB1521" s="29" t="str">
        <f>IF(AA1521=1,COUNTIF($AA$2:AA1521,1),"")</f>
        <v/>
      </c>
    </row>
    <row r="1522" spans="6:28" ht="47.25" customHeight="1" x14ac:dyDescent="0.2">
      <c r="F1522" s="45" t="s">
        <v>4083</v>
      </c>
      <c r="T1522" s="41"/>
      <c r="U1522" s="29" t="str">
        <f>IF($C1522&lt;&gt;"",COUNTIF($C$2:C1522,C1522),"")</f>
        <v/>
      </c>
      <c r="V1522" s="29" t="str">
        <f t="shared" si="70"/>
        <v/>
      </c>
      <c r="W1522" s="29" t="str">
        <f>IF(U1522=1,COUNTIF($U$2:U1522,1),"")</f>
        <v/>
      </c>
      <c r="X1522" s="29" t="str">
        <f t="shared" si="71"/>
        <v/>
      </c>
      <c r="Y1522" s="29" t="str">
        <f>IF(AND(LEFT($B1522,7)="SBA 26/",$D1522&lt;&gt;"",$F1522&lt;&gt;""),COUNTIFS($D$2:$D1522,$D1522,$B$2:$B1522,"SBA 26/*",$F$2:$F1522,"&lt;&gt;"),"")</f>
        <v/>
      </c>
      <c r="Z1522" s="29" t="str">
        <f>IF(Y1522=1,COUNTIF($Y$2:Y1522,1),"")</f>
        <v/>
      </c>
      <c r="AA1522" s="29" t="str">
        <f>IF(AND(LEFT($B1522,7)="SBA 26/",$C1522&lt;&gt;"",$F1522&lt;&gt;""),COUNTIFS($C$2:$C1522,$C1522,$B$2:$B1522,"SBA 26/*",$F$2:$F1522,"&lt;&gt;"),"")</f>
        <v/>
      </c>
      <c r="AB1522" s="29" t="str">
        <f>IF(AA1522=1,COUNTIF($AA$2:AA1522,1),"")</f>
        <v/>
      </c>
    </row>
    <row r="1523" spans="6:28" ht="47.25" customHeight="1" x14ac:dyDescent="0.2">
      <c r="F1523" s="45" t="s">
        <v>4084</v>
      </c>
      <c r="T1523" s="41"/>
      <c r="U1523" s="29" t="str">
        <f>IF($C1523&lt;&gt;"",COUNTIF($C$2:C1523,C1523),"")</f>
        <v/>
      </c>
      <c r="V1523" s="29" t="str">
        <f t="shared" si="70"/>
        <v/>
      </c>
      <c r="W1523" s="29" t="str">
        <f>IF(U1523=1,COUNTIF($U$2:U1523,1),"")</f>
        <v/>
      </c>
      <c r="X1523" s="29" t="str">
        <f t="shared" si="71"/>
        <v/>
      </c>
      <c r="Y1523" s="29" t="str">
        <f>IF(AND(LEFT($B1523,7)="SBA 26/",$D1523&lt;&gt;"",$F1523&lt;&gt;""),COUNTIFS($D$2:$D1523,$D1523,$B$2:$B1523,"SBA 26/*",$F$2:$F1523,"&lt;&gt;"),"")</f>
        <v/>
      </c>
      <c r="Z1523" s="29" t="str">
        <f>IF(Y1523=1,COUNTIF($Y$2:Y1523,1),"")</f>
        <v/>
      </c>
      <c r="AA1523" s="29" t="str">
        <f>IF(AND(LEFT($B1523,7)="SBA 26/",$C1523&lt;&gt;"",$F1523&lt;&gt;""),COUNTIFS($C$2:$C1523,$C1523,$B$2:$B1523,"SBA 26/*",$F$2:$F1523,"&lt;&gt;"),"")</f>
        <v/>
      </c>
      <c r="AB1523" s="29" t="str">
        <f>IF(AA1523=1,COUNTIF($AA$2:AA1523,1),"")</f>
        <v/>
      </c>
    </row>
    <row r="1524" spans="6:28" ht="47.25" customHeight="1" x14ac:dyDescent="0.2">
      <c r="F1524" s="45" t="s">
        <v>4085</v>
      </c>
      <c r="T1524" s="41"/>
      <c r="U1524" s="29" t="str">
        <f>IF($C1524&lt;&gt;"",COUNTIF($C$2:C1524,C1524),"")</f>
        <v/>
      </c>
      <c r="V1524" s="29" t="str">
        <f t="shared" si="70"/>
        <v/>
      </c>
      <c r="W1524" s="29" t="str">
        <f>IF(U1524=1,COUNTIF($U$2:U1524,1),"")</f>
        <v/>
      </c>
      <c r="X1524" s="29" t="str">
        <f t="shared" si="71"/>
        <v/>
      </c>
      <c r="Y1524" s="29" t="str">
        <f>IF(AND(LEFT($B1524,7)="SBA 26/",$D1524&lt;&gt;"",$F1524&lt;&gt;""),COUNTIFS($D$2:$D1524,$D1524,$B$2:$B1524,"SBA 26/*",$F$2:$F1524,"&lt;&gt;"),"")</f>
        <v/>
      </c>
      <c r="Z1524" s="29" t="str">
        <f>IF(Y1524=1,COUNTIF($Y$2:Y1524,1),"")</f>
        <v/>
      </c>
      <c r="AA1524" s="29" t="str">
        <f>IF(AND(LEFT($B1524,7)="SBA 26/",$C1524&lt;&gt;"",$F1524&lt;&gt;""),COUNTIFS($C$2:$C1524,$C1524,$B$2:$B1524,"SBA 26/*",$F$2:$F1524,"&lt;&gt;"),"")</f>
        <v/>
      </c>
      <c r="AB1524" s="29" t="str">
        <f>IF(AA1524=1,COUNTIF($AA$2:AA1524,1),"")</f>
        <v/>
      </c>
    </row>
    <row r="1525" spans="6:28" ht="63" customHeight="1" x14ac:dyDescent="0.2">
      <c r="F1525" s="45" t="s">
        <v>4086</v>
      </c>
      <c r="T1525" s="41"/>
      <c r="U1525" s="29" t="str">
        <f>IF($C1525&lt;&gt;"",COUNTIF($C$2:C1525,C1525),"")</f>
        <v/>
      </c>
      <c r="V1525" s="29" t="str">
        <f t="shared" si="70"/>
        <v/>
      </c>
      <c r="W1525" s="29" t="str">
        <f>IF(U1525=1,COUNTIF($U$2:U1525,1),"")</f>
        <v/>
      </c>
      <c r="X1525" s="29" t="str">
        <f t="shared" si="71"/>
        <v/>
      </c>
      <c r="Y1525" s="29" t="str">
        <f>IF(AND(LEFT($B1525,7)="SBA 26/",$D1525&lt;&gt;"",$F1525&lt;&gt;""),COUNTIFS($D$2:$D1525,$D1525,$B$2:$B1525,"SBA 26/*",$F$2:$F1525,"&lt;&gt;"),"")</f>
        <v/>
      </c>
      <c r="Z1525" s="29" t="str">
        <f>IF(Y1525=1,COUNTIF($Y$2:Y1525,1),"")</f>
        <v/>
      </c>
      <c r="AA1525" s="29" t="str">
        <f>IF(AND(LEFT($B1525,7)="SBA 26/",$C1525&lt;&gt;"",$F1525&lt;&gt;""),COUNTIFS($C$2:$C1525,$C1525,$B$2:$B1525,"SBA 26/*",$F$2:$F1525,"&lt;&gt;"),"")</f>
        <v/>
      </c>
      <c r="AB1525" s="29" t="str">
        <f>IF(AA1525=1,COUNTIF($AA$2:AA1525,1),"")</f>
        <v/>
      </c>
    </row>
    <row r="1526" spans="6:28" ht="47.25" customHeight="1" x14ac:dyDescent="0.2">
      <c r="F1526" s="45" t="s">
        <v>4087</v>
      </c>
      <c r="T1526" s="41"/>
      <c r="U1526" s="29" t="str">
        <f>IF($C1526&lt;&gt;"",COUNTIF($C$2:C1526,C1526),"")</f>
        <v/>
      </c>
      <c r="V1526" s="29" t="str">
        <f t="shared" si="70"/>
        <v/>
      </c>
      <c r="W1526" s="29" t="str">
        <f>IF(U1526=1,COUNTIF($U$2:U1526,1),"")</f>
        <v/>
      </c>
      <c r="X1526" s="29" t="str">
        <f t="shared" si="71"/>
        <v/>
      </c>
      <c r="Y1526" s="29" t="str">
        <f>IF(AND(LEFT($B1526,7)="SBA 26/",$D1526&lt;&gt;"",$F1526&lt;&gt;""),COUNTIFS($D$2:$D1526,$D1526,$B$2:$B1526,"SBA 26/*",$F$2:$F1526,"&lt;&gt;"),"")</f>
        <v/>
      </c>
      <c r="Z1526" s="29" t="str">
        <f>IF(Y1526=1,COUNTIF($Y$2:Y1526,1),"")</f>
        <v/>
      </c>
      <c r="AA1526" s="29" t="str">
        <f>IF(AND(LEFT($B1526,7)="SBA 26/",$C1526&lt;&gt;"",$F1526&lt;&gt;""),COUNTIFS($C$2:$C1526,$C1526,$B$2:$B1526,"SBA 26/*",$F$2:$F1526,"&lt;&gt;"),"")</f>
        <v/>
      </c>
      <c r="AB1526" s="29" t="str">
        <f>IF(AA1526=1,COUNTIF($AA$2:AA1526,1),"")</f>
        <v/>
      </c>
    </row>
    <row r="1527" spans="6:28" ht="47.25" customHeight="1" x14ac:dyDescent="0.2">
      <c r="F1527" s="45" t="s">
        <v>4088</v>
      </c>
      <c r="T1527" s="41"/>
      <c r="U1527" s="29" t="str">
        <f>IF($C1527&lt;&gt;"",COUNTIF($C$2:C1527,C1527),"")</f>
        <v/>
      </c>
      <c r="V1527" s="29" t="str">
        <f t="shared" si="70"/>
        <v/>
      </c>
      <c r="W1527" s="29" t="str">
        <f>IF(U1527=1,COUNTIF($U$2:U1527,1),"")</f>
        <v/>
      </c>
      <c r="X1527" s="29" t="str">
        <f t="shared" si="71"/>
        <v/>
      </c>
      <c r="Y1527" s="29" t="str">
        <f>IF(AND(LEFT($B1527,7)="SBA 26/",$D1527&lt;&gt;"",$F1527&lt;&gt;""),COUNTIFS($D$2:$D1527,$D1527,$B$2:$B1527,"SBA 26/*",$F$2:$F1527,"&lt;&gt;"),"")</f>
        <v/>
      </c>
      <c r="Z1527" s="29" t="str">
        <f>IF(Y1527=1,COUNTIF($Y$2:Y1527,1),"")</f>
        <v/>
      </c>
      <c r="AA1527" s="29" t="str">
        <f>IF(AND(LEFT($B1527,7)="SBA 26/",$C1527&lt;&gt;"",$F1527&lt;&gt;""),COUNTIFS($C$2:$C1527,$C1527,$B$2:$B1527,"SBA 26/*",$F$2:$F1527,"&lt;&gt;"),"")</f>
        <v/>
      </c>
      <c r="AB1527" s="29" t="str">
        <f>IF(AA1527=1,COUNTIF($AA$2:AA1527,1),"")</f>
        <v/>
      </c>
    </row>
    <row r="1528" spans="6:28" ht="47.25" customHeight="1" x14ac:dyDescent="0.2">
      <c r="F1528" s="45" t="s">
        <v>4089</v>
      </c>
      <c r="T1528" s="41"/>
      <c r="U1528" s="29" t="str">
        <f>IF($C1528&lt;&gt;"",COUNTIF($C$2:C1528,C1528),"")</f>
        <v/>
      </c>
      <c r="V1528" s="29" t="str">
        <f t="shared" si="70"/>
        <v/>
      </c>
      <c r="W1528" s="29" t="str">
        <f>IF(U1528=1,COUNTIF($U$2:U1528,1),"")</f>
        <v/>
      </c>
      <c r="X1528" s="29" t="str">
        <f t="shared" si="71"/>
        <v/>
      </c>
      <c r="Y1528" s="29" t="str">
        <f>IF(AND(LEFT($B1528,7)="SBA 26/",$D1528&lt;&gt;"",$F1528&lt;&gt;""),COUNTIFS($D$2:$D1528,$D1528,$B$2:$B1528,"SBA 26/*",$F$2:$F1528,"&lt;&gt;"),"")</f>
        <v/>
      </c>
      <c r="Z1528" s="29" t="str">
        <f>IF(Y1528=1,COUNTIF($Y$2:Y1528,1),"")</f>
        <v/>
      </c>
      <c r="AA1528" s="29" t="str">
        <f>IF(AND(LEFT($B1528,7)="SBA 26/",$C1528&lt;&gt;"",$F1528&lt;&gt;""),COUNTIFS($C$2:$C1528,$C1528,$B$2:$B1528,"SBA 26/*",$F$2:$F1528,"&lt;&gt;"),"")</f>
        <v/>
      </c>
      <c r="AB1528" s="29" t="str">
        <f>IF(AA1528=1,COUNTIF($AA$2:AA1528,1),"")</f>
        <v/>
      </c>
    </row>
    <row r="1529" spans="6:28" ht="47.25" customHeight="1" x14ac:dyDescent="0.2">
      <c r="F1529" s="45" t="s">
        <v>4090</v>
      </c>
      <c r="T1529" s="41"/>
      <c r="U1529" s="29" t="str">
        <f>IF($C1529&lt;&gt;"",COUNTIF($C$2:C1529,C1529),"")</f>
        <v/>
      </c>
      <c r="V1529" s="29" t="str">
        <f t="shared" si="70"/>
        <v/>
      </c>
      <c r="W1529" s="29" t="str">
        <f>IF(U1529=1,COUNTIF($U$2:U1529,1),"")</f>
        <v/>
      </c>
      <c r="X1529" s="29" t="str">
        <f t="shared" si="71"/>
        <v/>
      </c>
      <c r="Y1529" s="29" t="str">
        <f>IF(AND(LEFT($B1529,7)="SBA 26/",$D1529&lt;&gt;"",$F1529&lt;&gt;""),COUNTIFS($D$2:$D1529,$D1529,$B$2:$B1529,"SBA 26/*",$F$2:$F1529,"&lt;&gt;"),"")</f>
        <v/>
      </c>
      <c r="Z1529" s="29" t="str">
        <f>IF(Y1529=1,COUNTIF($Y$2:Y1529,1),"")</f>
        <v/>
      </c>
      <c r="AA1529" s="29" t="str">
        <f>IF(AND(LEFT($B1529,7)="SBA 26/",$C1529&lt;&gt;"",$F1529&lt;&gt;""),COUNTIFS($C$2:$C1529,$C1529,$B$2:$B1529,"SBA 26/*",$F$2:$F1529,"&lt;&gt;"),"")</f>
        <v/>
      </c>
      <c r="AB1529" s="29" t="str">
        <f>IF(AA1529=1,COUNTIF($AA$2:AA1529,1),"")</f>
        <v/>
      </c>
    </row>
    <row r="1530" spans="6:28" ht="47.25" customHeight="1" x14ac:dyDescent="0.2">
      <c r="F1530" s="45" t="s">
        <v>4091</v>
      </c>
      <c r="T1530" s="41"/>
      <c r="U1530" s="29" t="str">
        <f>IF($C1530&lt;&gt;"",COUNTIF($C$2:C1530,C1530),"")</f>
        <v/>
      </c>
      <c r="V1530" s="29" t="str">
        <f t="shared" si="70"/>
        <v/>
      </c>
      <c r="W1530" s="29" t="str">
        <f>IF(U1530=1,COUNTIF($U$2:U1530,1),"")</f>
        <v/>
      </c>
      <c r="X1530" s="29" t="str">
        <f t="shared" si="71"/>
        <v/>
      </c>
      <c r="Y1530" s="29" t="str">
        <f>IF(AND(LEFT($B1530,7)="SBA 26/",$D1530&lt;&gt;"",$F1530&lt;&gt;""),COUNTIFS($D$2:$D1530,$D1530,$B$2:$B1530,"SBA 26/*",$F$2:$F1530,"&lt;&gt;"),"")</f>
        <v/>
      </c>
      <c r="Z1530" s="29" t="str">
        <f>IF(Y1530=1,COUNTIF($Y$2:Y1530,1),"")</f>
        <v/>
      </c>
      <c r="AA1530" s="29" t="str">
        <f>IF(AND(LEFT($B1530,7)="SBA 26/",$C1530&lt;&gt;"",$F1530&lt;&gt;""),COUNTIFS($C$2:$C1530,$C1530,$B$2:$B1530,"SBA 26/*",$F$2:$F1530,"&lt;&gt;"),"")</f>
        <v/>
      </c>
      <c r="AB1530" s="29" t="str">
        <f>IF(AA1530=1,COUNTIF($AA$2:AA1530,1),"")</f>
        <v/>
      </c>
    </row>
    <row r="1531" spans="6:28" ht="63" customHeight="1" x14ac:dyDescent="0.2">
      <c r="F1531" s="45" t="s">
        <v>4092</v>
      </c>
      <c r="T1531" s="41"/>
      <c r="U1531" s="29" t="str">
        <f>IF($C1531&lt;&gt;"",COUNTIF($C$2:C1531,C1531),"")</f>
        <v/>
      </c>
      <c r="V1531" s="29" t="str">
        <f t="shared" si="70"/>
        <v/>
      </c>
      <c r="W1531" s="29" t="str">
        <f>IF(U1531=1,COUNTIF($U$2:U1531,1),"")</f>
        <v/>
      </c>
      <c r="X1531" s="29" t="str">
        <f t="shared" si="71"/>
        <v/>
      </c>
      <c r="Y1531" s="29" t="str">
        <f>IF(AND(LEFT($B1531,7)="SBA 26/",$D1531&lt;&gt;"",$F1531&lt;&gt;""),COUNTIFS($D$2:$D1531,$D1531,$B$2:$B1531,"SBA 26/*",$F$2:$F1531,"&lt;&gt;"),"")</f>
        <v/>
      </c>
      <c r="Z1531" s="29" t="str">
        <f>IF(Y1531=1,COUNTIF($Y$2:Y1531,1),"")</f>
        <v/>
      </c>
      <c r="AA1531" s="29" t="str">
        <f>IF(AND(LEFT($B1531,7)="SBA 26/",$C1531&lt;&gt;"",$F1531&lt;&gt;""),COUNTIFS($C$2:$C1531,$C1531,$B$2:$B1531,"SBA 26/*",$F$2:$F1531,"&lt;&gt;"),"")</f>
        <v/>
      </c>
      <c r="AB1531" s="29" t="str">
        <f>IF(AA1531=1,COUNTIF($AA$2:AA1531,1),"")</f>
        <v/>
      </c>
    </row>
    <row r="1532" spans="6:28" ht="31.5" customHeight="1" x14ac:dyDescent="0.2">
      <c r="F1532" s="45" t="s">
        <v>4093</v>
      </c>
      <c r="T1532" s="41"/>
      <c r="U1532" s="29" t="str">
        <f>IF($C1532&lt;&gt;"",COUNTIF($C$2:C1532,C1532),"")</f>
        <v/>
      </c>
      <c r="V1532" s="29" t="str">
        <f t="shared" si="70"/>
        <v/>
      </c>
      <c r="W1532" s="29" t="str">
        <f>IF(U1532=1,COUNTIF($U$2:U1532,1),"")</f>
        <v/>
      </c>
      <c r="X1532" s="29" t="str">
        <f t="shared" si="71"/>
        <v/>
      </c>
      <c r="Y1532" s="29" t="str">
        <f>IF(AND(LEFT($B1532,7)="SBA 26/",$D1532&lt;&gt;"",$F1532&lt;&gt;""),COUNTIFS($D$2:$D1532,$D1532,$B$2:$B1532,"SBA 26/*",$F$2:$F1532,"&lt;&gt;"),"")</f>
        <v/>
      </c>
      <c r="Z1532" s="29" t="str">
        <f>IF(Y1532=1,COUNTIF($Y$2:Y1532,1),"")</f>
        <v/>
      </c>
      <c r="AA1532" s="29" t="str">
        <f>IF(AND(LEFT($B1532,7)="SBA 26/",$C1532&lt;&gt;"",$F1532&lt;&gt;""),COUNTIFS($C$2:$C1532,$C1532,$B$2:$B1532,"SBA 26/*",$F$2:$F1532,"&lt;&gt;"),"")</f>
        <v/>
      </c>
      <c r="AB1532" s="29" t="str">
        <f>IF(AA1532=1,COUNTIF($AA$2:AA1532,1),"")</f>
        <v/>
      </c>
    </row>
    <row r="1533" spans="6:28" ht="78.75" customHeight="1" x14ac:dyDescent="0.2">
      <c r="F1533" s="45" t="s">
        <v>4094</v>
      </c>
      <c r="T1533" s="41"/>
      <c r="U1533" s="29" t="str">
        <f>IF($C1533&lt;&gt;"",COUNTIF($C$2:C1533,C1533),"")</f>
        <v/>
      </c>
      <c r="V1533" s="29" t="str">
        <f t="shared" si="70"/>
        <v/>
      </c>
      <c r="W1533" s="29" t="str">
        <f>IF(U1533=1,COUNTIF($U$2:U1533,1),"")</f>
        <v/>
      </c>
      <c r="X1533" s="29" t="str">
        <f t="shared" si="71"/>
        <v/>
      </c>
      <c r="Y1533" s="29" t="str">
        <f>IF(AND(LEFT($B1533,7)="SBA 26/",$D1533&lt;&gt;"",$F1533&lt;&gt;""),COUNTIFS($D$2:$D1533,$D1533,$B$2:$B1533,"SBA 26/*",$F$2:$F1533,"&lt;&gt;"),"")</f>
        <v/>
      </c>
      <c r="Z1533" s="29" t="str">
        <f>IF(Y1533=1,COUNTIF($Y$2:Y1533,1),"")</f>
        <v/>
      </c>
      <c r="AA1533" s="29" t="str">
        <f>IF(AND(LEFT($B1533,7)="SBA 26/",$C1533&lt;&gt;"",$F1533&lt;&gt;""),COUNTIFS($C$2:$C1533,$C1533,$B$2:$B1533,"SBA 26/*",$F$2:$F1533,"&lt;&gt;"),"")</f>
        <v/>
      </c>
      <c r="AB1533" s="29" t="str">
        <f>IF(AA1533=1,COUNTIF($AA$2:AA1533,1),"")</f>
        <v/>
      </c>
    </row>
    <row r="1534" spans="6:28" ht="63" customHeight="1" x14ac:dyDescent="0.2">
      <c r="F1534" s="45" t="s">
        <v>4095</v>
      </c>
      <c r="T1534" s="41"/>
      <c r="U1534" s="29" t="str">
        <f>IF($C1534&lt;&gt;"",COUNTIF($C$2:C1534,C1534),"")</f>
        <v/>
      </c>
      <c r="V1534" s="29" t="str">
        <f t="shared" si="70"/>
        <v/>
      </c>
      <c r="W1534" s="29" t="str">
        <f>IF(U1534=1,COUNTIF($U$2:U1534,1),"")</f>
        <v/>
      </c>
      <c r="X1534" s="29" t="str">
        <f t="shared" si="71"/>
        <v/>
      </c>
      <c r="Y1534" s="29" t="str">
        <f>IF(AND(LEFT($B1534,7)="SBA 26/",$D1534&lt;&gt;"",$F1534&lt;&gt;""),COUNTIFS($D$2:$D1534,$D1534,$B$2:$B1534,"SBA 26/*",$F$2:$F1534,"&lt;&gt;"),"")</f>
        <v/>
      </c>
      <c r="Z1534" s="29" t="str">
        <f>IF(Y1534=1,COUNTIF($Y$2:Y1534,1),"")</f>
        <v/>
      </c>
      <c r="AA1534" s="29" t="str">
        <f>IF(AND(LEFT($B1534,7)="SBA 26/",$C1534&lt;&gt;"",$F1534&lt;&gt;""),COUNTIFS($C$2:$C1534,$C1534,$B$2:$B1534,"SBA 26/*",$F$2:$F1534,"&lt;&gt;"),"")</f>
        <v/>
      </c>
      <c r="AB1534" s="29" t="str">
        <f>IF(AA1534=1,COUNTIF($AA$2:AA1534,1),"")</f>
        <v/>
      </c>
    </row>
    <row r="1535" spans="6:28" ht="78.75" customHeight="1" x14ac:dyDescent="0.2">
      <c r="F1535" s="45" t="s">
        <v>4096</v>
      </c>
      <c r="T1535" s="41"/>
      <c r="U1535" s="29" t="str">
        <f>IF($C1535&lt;&gt;"",COUNTIF($C$2:C1535,C1535),"")</f>
        <v/>
      </c>
      <c r="V1535" s="29" t="str">
        <f t="shared" si="70"/>
        <v/>
      </c>
      <c r="W1535" s="29" t="str">
        <f>IF(U1535=1,COUNTIF($U$2:U1535,1),"")</f>
        <v/>
      </c>
      <c r="X1535" s="29" t="str">
        <f t="shared" si="71"/>
        <v/>
      </c>
      <c r="Y1535" s="29" t="str">
        <f>IF(AND(LEFT($B1535,7)="SBA 26/",$D1535&lt;&gt;"",$F1535&lt;&gt;""),COUNTIFS($D$2:$D1535,$D1535,$B$2:$B1535,"SBA 26/*",$F$2:$F1535,"&lt;&gt;"),"")</f>
        <v/>
      </c>
      <c r="Z1535" s="29" t="str">
        <f>IF(Y1535=1,COUNTIF($Y$2:Y1535,1),"")</f>
        <v/>
      </c>
      <c r="AA1535" s="29" t="str">
        <f>IF(AND(LEFT($B1535,7)="SBA 26/",$C1535&lt;&gt;"",$F1535&lt;&gt;""),COUNTIFS($C$2:$C1535,$C1535,$B$2:$B1535,"SBA 26/*",$F$2:$F1535,"&lt;&gt;"),"")</f>
        <v/>
      </c>
      <c r="AB1535" s="29" t="str">
        <f>IF(AA1535=1,COUNTIF($AA$2:AA1535,1),"")</f>
        <v/>
      </c>
    </row>
    <row r="1536" spans="6:28" ht="31.5" customHeight="1" x14ac:dyDescent="0.2">
      <c r="F1536" s="45" t="s">
        <v>4097</v>
      </c>
      <c r="T1536" s="41"/>
      <c r="U1536" s="29" t="str">
        <f>IF($C1536&lt;&gt;"",COUNTIF($C$2:C1536,C1536),"")</f>
        <v/>
      </c>
      <c r="V1536" s="29" t="str">
        <f t="shared" si="70"/>
        <v/>
      </c>
      <c r="W1536" s="29" t="str">
        <f>IF(U1536=1,COUNTIF($U$2:U1536,1),"")</f>
        <v/>
      </c>
      <c r="X1536" s="29" t="str">
        <f t="shared" si="71"/>
        <v/>
      </c>
      <c r="Y1536" s="29" t="str">
        <f>IF(AND(LEFT($B1536,7)="SBA 26/",$D1536&lt;&gt;"",$F1536&lt;&gt;""),COUNTIFS($D$2:$D1536,$D1536,$B$2:$B1536,"SBA 26/*",$F$2:$F1536,"&lt;&gt;"),"")</f>
        <v/>
      </c>
      <c r="Z1536" s="29" t="str">
        <f>IF(Y1536=1,COUNTIF($Y$2:Y1536,1),"")</f>
        <v/>
      </c>
      <c r="AA1536" s="29" t="str">
        <f>IF(AND(LEFT($B1536,7)="SBA 26/",$C1536&lt;&gt;"",$F1536&lt;&gt;""),COUNTIFS($C$2:$C1536,$C1536,$B$2:$B1536,"SBA 26/*",$F$2:$F1536,"&lt;&gt;"),"")</f>
        <v/>
      </c>
      <c r="AB1536" s="29" t="str">
        <f>IF(AA1536=1,COUNTIF($AA$2:AA1536,1),"")</f>
        <v/>
      </c>
    </row>
    <row r="1537" spans="6:28" ht="31.5" customHeight="1" x14ac:dyDescent="0.2">
      <c r="F1537" s="45" t="s">
        <v>4098</v>
      </c>
      <c r="T1537" s="41"/>
      <c r="U1537" s="29" t="str">
        <f>IF($C1537&lt;&gt;"",COUNTIF($C$2:C1537,C1537),"")</f>
        <v/>
      </c>
      <c r="V1537" s="29" t="str">
        <f t="shared" si="70"/>
        <v/>
      </c>
      <c r="W1537" s="29" t="str">
        <f>IF(U1537=1,COUNTIF($U$2:U1537,1),"")</f>
        <v/>
      </c>
      <c r="X1537" s="29" t="str">
        <f t="shared" si="71"/>
        <v/>
      </c>
      <c r="Y1537" s="29" t="str">
        <f>IF(AND(LEFT($B1537,7)="SBA 26/",$D1537&lt;&gt;"",$F1537&lt;&gt;""),COUNTIFS($D$2:$D1537,$D1537,$B$2:$B1537,"SBA 26/*",$F$2:$F1537,"&lt;&gt;"),"")</f>
        <v/>
      </c>
      <c r="Z1537" s="29" t="str">
        <f>IF(Y1537=1,COUNTIF($Y$2:Y1537,1),"")</f>
        <v/>
      </c>
      <c r="AA1537" s="29" t="str">
        <f>IF(AND(LEFT($B1537,7)="SBA 26/",$C1537&lt;&gt;"",$F1537&lt;&gt;""),COUNTIFS($C$2:$C1537,$C1537,$B$2:$B1537,"SBA 26/*",$F$2:$F1537,"&lt;&gt;"),"")</f>
        <v/>
      </c>
      <c r="AB1537" s="29" t="str">
        <f>IF(AA1537=1,COUNTIF($AA$2:AA1537,1),"")</f>
        <v/>
      </c>
    </row>
    <row r="1538" spans="6:28" ht="47.25" customHeight="1" x14ac:dyDescent="0.2">
      <c r="F1538" s="45" t="s">
        <v>4099</v>
      </c>
      <c r="T1538" s="41"/>
      <c r="U1538" s="29" t="str">
        <f>IF($C1538&lt;&gt;"",COUNTIF($C$2:C1538,C1538),"")</f>
        <v/>
      </c>
      <c r="V1538" s="29" t="str">
        <f t="shared" ref="V1538:V1601" si="72">IF($C1538&lt;&gt;"",C1538&amp;"§"&amp;U1538,"")</f>
        <v/>
      </c>
      <c r="W1538" s="29" t="str">
        <f>IF(U1538=1,COUNTIF($U$2:U1538,1),"")</f>
        <v/>
      </c>
      <c r="X1538" s="29" t="str">
        <f t="shared" ref="X1538:X1601" si="73">IF(U1538=1,SUMPRODUCT(($U$2:$U$1799=1)*($C$2:$C$1799&lt;C1538))+1,"")</f>
        <v/>
      </c>
      <c r="Y1538" s="29" t="str">
        <f>IF(AND(LEFT($B1538,7)="SBA 26/",$D1538&lt;&gt;"",$F1538&lt;&gt;""),COUNTIFS($D$2:$D1538,$D1538,$B$2:$B1538,"SBA 26/*",$F$2:$F1538,"&lt;&gt;"),"")</f>
        <v/>
      </c>
      <c r="Z1538" s="29" t="str">
        <f>IF(Y1538=1,COUNTIF($Y$2:Y1538,1),"")</f>
        <v/>
      </c>
      <c r="AA1538" s="29" t="str">
        <f>IF(AND(LEFT($B1538,7)="SBA 26/",$C1538&lt;&gt;"",$F1538&lt;&gt;""),COUNTIFS($C$2:$C1538,$C1538,$B$2:$B1538,"SBA 26/*",$F$2:$F1538,"&lt;&gt;"),"")</f>
        <v/>
      </c>
      <c r="AB1538" s="29" t="str">
        <f>IF(AA1538=1,COUNTIF($AA$2:AA1538,1),"")</f>
        <v/>
      </c>
    </row>
    <row r="1539" spans="6:28" ht="63" customHeight="1" x14ac:dyDescent="0.2">
      <c r="F1539" s="45" t="s">
        <v>4100</v>
      </c>
      <c r="T1539" s="41"/>
      <c r="U1539" s="29" t="str">
        <f>IF($C1539&lt;&gt;"",COUNTIF($C$2:C1539,C1539),"")</f>
        <v/>
      </c>
      <c r="V1539" s="29" t="str">
        <f t="shared" si="72"/>
        <v/>
      </c>
      <c r="W1539" s="29" t="str">
        <f>IF(U1539=1,COUNTIF($U$2:U1539,1),"")</f>
        <v/>
      </c>
      <c r="X1539" s="29" t="str">
        <f t="shared" si="73"/>
        <v/>
      </c>
      <c r="Y1539" s="29" t="str">
        <f>IF(AND(LEFT($B1539,7)="SBA 26/",$D1539&lt;&gt;"",$F1539&lt;&gt;""),COUNTIFS($D$2:$D1539,$D1539,$B$2:$B1539,"SBA 26/*",$F$2:$F1539,"&lt;&gt;"),"")</f>
        <v/>
      </c>
      <c r="Z1539" s="29" t="str">
        <f>IF(Y1539=1,COUNTIF($Y$2:Y1539,1),"")</f>
        <v/>
      </c>
      <c r="AA1539" s="29" t="str">
        <f>IF(AND(LEFT($B1539,7)="SBA 26/",$C1539&lt;&gt;"",$F1539&lt;&gt;""),COUNTIFS($C$2:$C1539,$C1539,$B$2:$B1539,"SBA 26/*",$F$2:$F1539,"&lt;&gt;"),"")</f>
        <v/>
      </c>
      <c r="AB1539" s="29" t="str">
        <f>IF(AA1539=1,COUNTIF($AA$2:AA1539,1),"")</f>
        <v/>
      </c>
    </row>
    <row r="1540" spans="6:28" ht="31.5" customHeight="1" x14ac:dyDescent="0.2">
      <c r="F1540" s="45" t="s">
        <v>4101</v>
      </c>
      <c r="T1540" s="41"/>
      <c r="U1540" s="29" t="str">
        <f>IF($C1540&lt;&gt;"",COUNTIF($C$2:C1540,C1540),"")</f>
        <v/>
      </c>
      <c r="V1540" s="29" t="str">
        <f t="shared" si="72"/>
        <v/>
      </c>
      <c r="W1540" s="29" t="str">
        <f>IF(U1540=1,COUNTIF($U$2:U1540,1),"")</f>
        <v/>
      </c>
      <c r="X1540" s="29" t="str">
        <f t="shared" si="73"/>
        <v/>
      </c>
      <c r="Y1540" s="29" t="str">
        <f>IF(AND(LEFT($B1540,7)="SBA 26/",$D1540&lt;&gt;"",$F1540&lt;&gt;""),COUNTIFS($D$2:$D1540,$D1540,$B$2:$B1540,"SBA 26/*",$F$2:$F1540,"&lt;&gt;"),"")</f>
        <v/>
      </c>
      <c r="Z1540" s="29" t="str">
        <f>IF(Y1540=1,COUNTIF($Y$2:Y1540,1),"")</f>
        <v/>
      </c>
      <c r="AA1540" s="29" t="str">
        <f>IF(AND(LEFT($B1540,7)="SBA 26/",$C1540&lt;&gt;"",$F1540&lt;&gt;""),COUNTIFS($C$2:$C1540,$C1540,$B$2:$B1540,"SBA 26/*",$F$2:$F1540,"&lt;&gt;"),"")</f>
        <v/>
      </c>
      <c r="AB1540" s="29" t="str">
        <f>IF(AA1540=1,COUNTIF($AA$2:AA1540,1),"")</f>
        <v/>
      </c>
    </row>
    <row r="1541" spans="6:28" ht="31.5" customHeight="1" x14ac:dyDescent="0.2">
      <c r="F1541" s="45" t="s">
        <v>4102</v>
      </c>
      <c r="T1541" s="41"/>
      <c r="U1541" s="29" t="str">
        <f>IF($C1541&lt;&gt;"",COUNTIF($C$2:C1541,C1541),"")</f>
        <v/>
      </c>
      <c r="V1541" s="29" t="str">
        <f t="shared" si="72"/>
        <v/>
      </c>
      <c r="W1541" s="29" t="str">
        <f>IF(U1541=1,COUNTIF($U$2:U1541,1),"")</f>
        <v/>
      </c>
      <c r="X1541" s="29" t="str">
        <f t="shared" si="73"/>
        <v/>
      </c>
      <c r="Y1541" s="29" t="str">
        <f>IF(AND(LEFT($B1541,7)="SBA 26/",$D1541&lt;&gt;"",$F1541&lt;&gt;""),COUNTIFS($D$2:$D1541,$D1541,$B$2:$B1541,"SBA 26/*",$F$2:$F1541,"&lt;&gt;"),"")</f>
        <v/>
      </c>
      <c r="Z1541" s="29" t="str">
        <f>IF(Y1541=1,COUNTIF($Y$2:Y1541,1),"")</f>
        <v/>
      </c>
      <c r="AA1541" s="29" t="str">
        <f>IF(AND(LEFT($B1541,7)="SBA 26/",$C1541&lt;&gt;"",$F1541&lt;&gt;""),COUNTIFS($C$2:$C1541,$C1541,$B$2:$B1541,"SBA 26/*",$F$2:$F1541,"&lt;&gt;"),"")</f>
        <v/>
      </c>
      <c r="AB1541" s="29" t="str">
        <f>IF(AA1541=1,COUNTIF($AA$2:AA1541,1),"")</f>
        <v/>
      </c>
    </row>
    <row r="1542" spans="6:28" ht="20.25" customHeight="1" x14ac:dyDescent="0.2">
      <c r="F1542" s="45" t="s">
        <v>4103</v>
      </c>
      <c r="T1542" s="41"/>
      <c r="U1542" s="29" t="str">
        <f>IF($C1542&lt;&gt;"",COUNTIF($C$2:C1542,C1542),"")</f>
        <v/>
      </c>
      <c r="V1542" s="29" t="str">
        <f t="shared" si="72"/>
        <v/>
      </c>
      <c r="W1542" s="29" t="str">
        <f>IF(U1542=1,COUNTIF($U$2:U1542,1),"")</f>
        <v/>
      </c>
      <c r="X1542" s="29" t="str">
        <f t="shared" si="73"/>
        <v/>
      </c>
      <c r="Y1542" s="29" t="str">
        <f>IF(AND(LEFT($B1542,7)="SBA 26/",$D1542&lt;&gt;"",$F1542&lt;&gt;""),COUNTIFS($D$2:$D1542,$D1542,$B$2:$B1542,"SBA 26/*",$F$2:$F1542,"&lt;&gt;"),"")</f>
        <v/>
      </c>
      <c r="Z1542" s="29" t="str">
        <f>IF(Y1542=1,COUNTIF($Y$2:Y1542,1),"")</f>
        <v/>
      </c>
      <c r="AA1542" s="29" t="str">
        <f>IF(AND(LEFT($B1542,7)="SBA 26/",$C1542&lt;&gt;"",$F1542&lt;&gt;""),COUNTIFS($C$2:$C1542,$C1542,$B$2:$B1542,"SBA 26/*",$F$2:$F1542,"&lt;&gt;"),"")</f>
        <v/>
      </c>
      <c r="AB1542" s="29" t="str">
        <f>IF(AA1542=1,COUNTIF($AA$2:AA1542,1),"")</f>
        <v/>
      </c>
    </row>
    <row r="1543" spans="6:28" ht="31.5" customHeight="1" x14ac:dyDescent="0.2">
      <c r="F1543" s="45" t="s">
        <v>4104</v>
      </c>
      <c r="T1543" s="41"/>
      <c r="U1543" s="29" t="str">
        <f>IF($C1543&lt;&gt;"",COUNTIF($C$2:C1543,C1543),"")</f>
        <v/>
      </c>
      <c r="V1543" s="29" t="str">
        <f t="shared" si="72"/>
        <v/>
      </c>
      <c r="W1543" s="29" t="str">
        <f>IF(U1543=1,COUNTIF($U$2:U1543,1),"")</f>
        <v/>
      </c>
      <c r="X1543" s="29" t="str">
        <f t="shared" si="73"/>
        <v/>
      </c>
      <c r="Y1543" s="29" t="str">
        <f>IF(AND(LEFT($B1543,7)="SBA 26/",$D1543&lt;&gt;"",$F1543&lt;&gt;""),COUNTIFS($D$2:$D1543,$D1543,$B$2:$B1543,"SBA 26/*",$F$2:$F1543,"&lt;&gt;"),"")</f>
        <v/>
      </c>
      <c r="Z1543" s="29" t="str">
        <f>IF(Y1543=1,COUNTIF($Y$2:Y1543,1),"")</f>
        <v/>
      </c>
      <c r="AA1543" s="29" t="str">
        <f>IF(AND(LEFT($B1543,7)="SBA 26/",$C1543&lt;&gt;"",$F1543&lt;&gt;""),COUNTIFS($C$2:$C1543,$C1543,$B$2:$B1543,"SBA 26/*",$F$2:$F1543,"&lt;&gt;"),"")</f>
        <v/>
      </c>
      <c r="AB1543" s="29" t="str">
        <f>IF(AA1543=1,COUNTIF($AA$2:AA1543,1),"")</f>
        <v/>
      </c>
    </row>
    <row r="1544" spans="6:28" ht="63" customHeight="1" x14ac:dyDescent="0.2">
      <c r="F1544" s="45" t="s">
        <v>4105</v>
      </c>
      <c r="T1544" s="41"/>
      <c r="U1544" s="29" t="str">
        <f>IF($C1544&lt;&gt;"",COUNTIF($C$2:C1544,C1544),"")</f>
        <v/>
      </c>
      <c r="V1544" s="29" t="str">
        <f t="shared" si="72"/>
        <v/>
      </c>
      <c r="W1544" s="29" t="str">
        <f>IF(U1544=1,COUNTIF($U$2:U1544,1),"")</f>
        <v/>
      </c>
      <c r="X1544" s="29" t="str">
        <f t="shared" si="73"/>
        <v/>
      </c>
      <c r="Y1544" s="29" t="str">
        <f>IF(AND(LEFT($B1544,7)="SBA 26/",$D1544&lt;&gt;"",$F1544&lt;&gt;""),COUNTIFS($D$2:$D1544,$D1544,$B$2:$B1544,"SBA 26/*",$F$2:$F1544,"&lt;&gt;"),"")</f>
        <v/>
      </c>
      <c r="Z1544" s="29" t="str">
        <f>IF(Y1544=1,COUNTIF($Y$2:Y1544,1),"")</f>
        <v/>
      </c>
      <c r="AA1544" s="29" t="str">
        <f>IF(AND(LEFT($B1544,7)="SBA 26/",$C1544&lt;&gt;"",$F1544&lt;&gt;""),COUNTIFS($C$2:$C1544,$C1544,$B$2:$B1544,"SBA 26/*",$F$2:$F1544,"&lt;&gt;"),"")</f>
        <v/>
      </c>
      <c r="AB1544" s="29" t="str">
        <f>IF(AA1544=1,COUNTIF($AA$2:AA1544,1),"")</f>
        <v/>
      </c>
    </row>
    <row r="1545" spans="6:28" ht="78.75" customHeight="1" x14ac:dyDescent="0.2">
      <c r="F1545" s="45" t="s">
        <v>4106</v>
      </c>
      <c r="T1545" s="41"/>
      <c r="U1545" s="29" t="str">
        <f>IF($C1545&lt;&gt;"",COUNTIF($C$2:C1545,C1545),"")</f>
        <v/>
      </c>
      <c r="V1545" s="29" t="str">
        <f t="shared" si="72"/>
        <v/>
      </c>
      <c r="W1545" s="29" t="str">
        <f>IF(U1545=1,COUNTIF($U$2:U1545,1),"")</f>
        <v/>
      </c>
      <c r="X1545" s="29" t="str">
        <f t="shared" si="73"/>
        <v/>
      </c>
      <c r="Y1545" s="29" t="str">
        <f>IF(AND(LEFT($B1545,7)="SBA 26/",$D1545&lt;&gt;"",$F1545&lt;&gt;""),COUNTIFS($D$2:$D1545,$D1545,$B$2:$B1545,"SBA 26/*",$F$2:$F1545,"&lt;&gt;"),"")</f>
        <v/>
      </c>
      <c r="Z1545" s="29" t="str">
        <f>IF(Y1545=1,COUNTIF($Y$2:Y1545,1),"")</f>
        <v/>
      </c>
      <c r="AA1545" s="29" t="str">
        <f>IF(AND(LEFT($B1545,7)="SBA 26/",$C1545&lt;&gt;"",$F1545&lt;&gt;""),COUNTIFS($C$2:$C1545,$C1545,$B$2:$B1545,"SBA 26/*",$F$2:$F1545,"&lt;&gt;"),"")</f>
        <v/>
      </c>
      <c r="AB1545" s="29" t="str">
        <f>IF(AA1545=1,COUNTIF($AA$2:AA1545,1),"")</f>
        <v/>
      </c>
    </row>
    <row r="1546" spans="6:28" ht="47.25" customHeight="1" x14ac:dyDescent="0.2">
      <c r="F1546" s="45" t="s">
        <v>4107</v>
      </c>
      <c r="T1546" s="41"/>
      <c r="U1546" s="29" t="str">
        <f>IF($C1546&lt;&gt;"",COUNTIF($C$2:C1546,C1546),"")</f>
        <v/>
      </c>
      <c r="V1546" s="29" t="str">
        <f t="shared" si="72"/>
        <v/>
      </c>
      <c r="W1546" s="29" t="str">
        <f>IF(U1546=1,COUNTIF($U$2:U1546,1),"")</f>
        <v/>
      </c>
      <c r="X1546" s="29" t="str">
        <f t="shared" si="73"/>
        <v/>
      </c>
      <c r="Y1546" s="29" t="str">
        <f>IF(AND(LEFT($B1546,7)="SBA 26/",$D1546&lt;&gt;"",$F1546&lt;&gt;""),COUNTIFS($D$2:$D1546,$D1546,$B$2:$B1546,"SBA 26/*",$F$2:$F1546,"&lt;&gt;"),"")</f>
        <v/>
      </c>
      <c r="Z1546" s="29" t="str">
        <f>IF(Y1546=1,COUNTIF($Y$2:Y1546,1),"")</f>
        <v/>
      </c>
      <c r="AA1546" s="29" t="str">
        <f>IF(AND(LEFT($B1546,7)="SBA 26/",$C1546&lt;&gt;"",$F1546&lt;&gt;""),COUNTIFS($C$2:$C1546,$C1546,$B$2:$B1546,"SBA 26/*",$F$2:$F1546,"&lt;&gt;"),"")</f>
        <v/>
      </c>
      <c r="AB1546" s="29" t="str">
        <f>IF(AA1546=1,COUNTIF($AA$2:AA1546,1),"")</f>
        <v/>
      </c>
    </row>
    <row r="1547" spans="6:28" ht="31.5" customHeight="1" x14ac:dyDescent="0.2">
      <c r="F1547" s="45" t="s">
        <v>4108</v>
      </c>
      <c r="T1547" s="41"/>
      <c r="U1547" s="29" t="str">
        <f>IF($C1547&lt;&gt;"",COUNTIF($C$2:C1547,C1547),"")</f>
        <v/>
      </c>
      <c r="V1547" s="29" t="str">
        <f t="shared" si="72"/>
        <v/>
      </c>
      <c r="W1547" s="29" t="str">
        <f>IF(U1547=1,COUNTIF($U$2:U1547,1),"")</f>
        <v/>
      </c>
      <c r="X1547" s="29" t="str">
        <f t="shared" si="73"/>
        <v/>
      </c>
      <c r="Y1547" s="29" t="str">
        <f>IF(AND(LEFT($B1547,7)="SBA 26/",$D1547&lt;&gt;"",$F1547&lt;&gt;""),COUNTIFS($D$2:$D1547,$D1547,$B$2:$B1547,"SBA 26/*",$F$2:$F1547,"&lt;&gt;"),"")</f>
        <v/>
      </c>
      <c r="Z1547" s="29" t="str">
        <f>IF(Y1547=1,COUNTIF($Y$2:Y1547,1),"")</f>
        <v/>
      </c>
      <c r="AA1547" s="29" t="str">
        <f>IF(AND(LEFT($B1547,7)="SBA 26/",$C1547&lt;&gt;"",$F1547&lt;&gt;""),COUNTIFS($C$2:$C1547,$C1547,$B$2:$B1547,"SBA 26/*",$F$2:$F1547,"&lt;&gt;"),"")</f>
        <v/>
      </c>
      <c r="AB1547" s="29" t="str">
        <f>IF(AA1547=1,COUNTIF($AA$2:AA1547,1),"")</f>
        <v/>
      </c>
    </row>
    <row r="1548" spans="6:28" ht="63" customHeight="1" x14ac:dyDescent="0.2">
      <c r="F1548" s="45" t="s">
        <v>4109</v>
      </c>
      <c r="T1548" s="41"/>
      <c r="U1548" s="29" t="str">
        <f>IF($C1548&lt;&gt;"",COUNTIF($C$2:C1548,C1548),"")</f>
        <v/>
      </c>
      <c r="V1548" s="29" t="str">
        <f t="shared" si="72"/>
        <v/>
      </c>
      <c r="W1548" s="29" t="str">
        <f>IF(U1548=1,COUNTIF($U$2:U1548,1),"")</f>
        <v/>
      </c>
      <c r="X1548" s="29" t="str">
        <f t="shared" si="73"/>
        <v/>
      </c>
      <c r="Y1548" s="29" t="str">
        <f>IF(AND(LEFT($B1548,7)="SBA 26/",$D1548&lt;&gt;"",$F1548&lt;&gt;""),COUNTIFS($D$2:$D1548,$D1548,$B$2:$B1548,"SBA 26/*",$F$2:$F1548,"&lt;&gt;"),"")</f>
        <v/>
      </c>
      <c r="Z1548" s="29" t="str">
        <f>IF(Y1548=1,COUNTIF($Y$2:Y1548,1),"")</f>
        <v/>
      </c>
      <c r="AA1548" s="29" t="str">
        <f>IF(AND(LEFT($B1548,7)="SBA 26/",$C1548&lt;&gt;"",$F1548&lt;&gt;""),COUNTIFS($C$2:$C1548,$C1548,$B$2:$B1548,"SBA 26/*",$F$2:$F1548,"&lt;&gt;"),"")</f>
        <v/>
      </c>
      <c r="AB1548" s="29" t="str">
        <f>IF(AA1548=1,COUNTIF($AA$2:AA1548,1),"")</f>
        <v/>
      </c>
    </row>
    <row r="1549" spans="6:28" ht="47.25" customHeight="1" x14ac:dyDescent="0.2">
      <c r="F1549" s="45" t="s">
        <v>4110</v>
      </c>
      <c r="T1549" s="41"/>
      <c r="U1549" s="29" t="str">
        <f>IF($C1549&lt;&gt;"",COUNTIF($C$2:C1549,C1549),"")</f>
        <v/>
      </c>
      <c r="V1549" s="29" t="str">
        <f t="shared" si="72"/>
        <v/>
      </c>
      <c r="W1549" s="29" t="str">
        <f>IF(U1549=1,COUNTIF($U$2:U1549,1),"")</f>
        <v/>
      </c>
      <c r="X1549" s="29" t="str">
        <f t="shared" si="73"/>
        <v/>
      </c>
      <c r="Y1549" s="29" t="str">
        <f>IF(AND(LEFT($B1549,7)="SBA 26/",$D1549&lt;&gt;"",$F1549&lt;&gt;""),COUNTIFS($D$2:$D1549,$D1549,$B$2:$B1549,"SBA 26/*",$F$2:$F1549,"&lt;&gt;"),"")</f>
        <v/>
      </c>
      <c r="Z1549" s="29" t="str">
        <f>IF(Y1549=1,COUNTIF($Y$2:Y1549,1),"")</f>
        <v/>
      </c>
      <c r="AA1549" s="29" t="str">
        <f>IF(AND(LEFT($B1549,7)="SBA 26/",$C1549&lt;&gt;"",$F1549&lt;&gt;""),COUNTIFS($C$2:$C1549,$C1549,$B$2:$B1549,"SBA 26/*",$F$2:$F1549,"&lt;&gt;"),"")</f>
        <v/>
      </c>
      <c r="AB1549" s="29" t="str">
        <f>IF(AA1549=1,COUNTIF($AA$2:AA1549,1),"")</f>
        <v/>
      </c>
    </row>
    <row r="1550" spans="6:28" ht="63" customHeight="1" x14ac:dyDescent="0.2">
      <c r="F1550" s="45" t="s">
        <v>4111</v>
      </c>
      <c r="T1550" s="41"/>
      <c r="U1550" s="29" t="str">
        <f>IF($C1550&lt;&gt;"",COUNTIF($C$2:C1550,C1550),"")</f>
        <v/>
      </c>
      <c r="V1550" s="29" t="str">
        <f t="shared" si="72"/>
        <v/>
      </c>
      <c r="W1550" s="29" t="str">
        <f>IF(U1550=1,COUNTIF($U$2:U1550,1),"")</f>
        <v/>
      </c>
      <c r="X1550" s="29" t="str">
        <f t="shared" si="73"/>
        <v/>
      </c>
      <c r="Y1550" s="29" t="str">
        <f>IF(AND(LEFT($B1550,7)="SBA 26/",$D1550&lt;&gt;"",$F1550&lt;&gt;""),COUNTIFS($D$2:$D1550,$D1550,$B$2:$B1550,"SBA 26/*",$F$2:$F1550,"&lt;&gt;"),"")</f>
        <v/>
      </c>
      <c r="Z1550" s="29" t="str">
        <f>IF(Y1550=1,COUNTIF($Y$2:Y1550,1),"")</f>
        <v/>
      </c>
      <c r="AA1550" s="29" t="str">
        <f>IF(AND(LEFT($B1550,7)="SBA 26/",$C1550&lt;&gt;"",$F1550&lt;&gt;""),COUNTIFS($C$2:$C1550,$C1550,$B$2:$B1550,"SBA 26/*",$F$2:$F1550,"&lt;&gt;"),"")</f>
        <v/>
      </c>
      <c r="AB1550" s="29" t="str">
        <f>IF(AA1550=1,COUNTIF($AA$2:AA1550,1),"")</f>
        <v/>
      </c>
    </row>
    <row r="1551" spans="6:28" ht="31.5" customHeight="1" x14ac:dyDescent="0.2">
      <c r="F1551" s="45" t="s">
        <v>4112</v>
      </c>
      <c r="T1551" s="41"/>
      <c r="U1551" s="29" t="str">
        <f>IF($C1551&lt;&gt;"",COUNTIF($C$2:C1551,C1551),"")</f>
        <v/>
      </c>
      <c r="V1551" s="29" t="str">
        <f t="shared" si="72"/>
        <v/>
      </c>
      <c r="W1551" s="29" t="str">
        <f>IF(U1551=1,COUNTIF($U$2:U1551,1),"")</f>
        <v/>
      </c>
      <c r="X1551" s="29" t="str">
        <f t="shared" si="73"/>
        <v/>
      </c>
      <c r="Y1551" s="29" t="str">
        <f>IF(AND(LEFT($B1551,7)="SBA 26/",$D1551&lt;&gt;"",$F1551&lt;&gt;""),COUNTIFS($D$2:$D1551,$D1551,$B$2:$B1551,"SBA 26/*",$F$2:$F1551,"&lt;&gt;"),"")</f>
        <v/>
      </c>
      <c r="Z1551" s="29" t="str">
        <f>IF(Y1551=1,COUNTIF($Y$2:Y1551,1),"")</f>
        <v/>
      </c>
      <c r="AA1551" s="29" t="str">
        <f>IF(AND(LEFT($B1551,7)="SBA 26/",$C1551&lt;&gt;"",$F1551&lt;&gt;""),COUNTIFS($C$2:$C1551,$C1551,$B$2:$B1551,"SBA 26/*",$F$2:$F1551,"&lt;&gt;"),"")</f>
        <v/>
      </c>
      <c r="AB1551" s="29" t="str">
        <f>IF(AA1551=1,COUNTIF($AA$2:AA1551,1),"")</f>
        <v/>
      </c>
    </row>
    <row r="1552" spans="6:28" ht="31.5" customHeight="1" x14ac:dyDescent="0.2">
      <c r="F1552" s="45" t="s">
        <v>4113</v>
      </c>
      <c r="T1552" s="41"/>
      <c r="U1552" s="29" t="str">
        <f>IF($C1552&lt;&gt;"",COUNTIF($C$2:C1552,C1552),"")</f>
        <v/>
      </c>
      <c r="V1552" s="29" t="str">
        <f t="shared" si="72"/>
        <v/>
      </c>
      <c r="W1552" s="29" t="str">
        <f>IF(U1552=1,COUNTIF($U$2:U1552,1),"")</f>
        <v/>
      </c>
      <c r="X1552" s="29" t="str">
        <f t="shared" si="73"/>
        <v/>
      </c>
      <c r="Y1552" s="29" t="str">
        <f>IF(AND(LEFT($B1552,7)="SBA 26/",$D1552&lt;&gt;"",$F1552&lt;&gt;""),COUNTIFS($D$2:$D1552,$D1552,$B$2:$B1552,"SBA 26/*",$F$2:$F1552,"&lt;&gt;"),"")</f>
        <v/>
      </c>
      <c r="Z1552" s="29" t="str">
        <f>IF(Y1552=1,COUNTIF($Y$2:Y1552,1),"")</f>
        <v/>
      </c>
      <c r="AA1552" s="29" t="str">
        <f>IF(AND(LEFT($B1552,7)="SBA 26/",$C1552&lt;&gt;"",$F1552&lt;&gt;""),COUNTIFS($C$2:$C1552,$C1552,$B$2:$B1552,"SBA 26/*",$F$2:$F1552,"&lt;&gt;"),"")</f>
        <v/>
      </c>
      <c r="AB1552" s="29" t="str">
        <f>IF(AA1552=1,COUNTIF($AA$2:AA1552,1),"")</f>
        <v/>
      </c>
    </row>
    <row r="1553" spans="6:28" ht="47.25" customHeight="1" x14ac:dyDescent="0.2">
      <c r="F1553" s="45" t="s">
        <v>4114</v>
      </c>
      <c r="T1553" s="41"/>
      <c r="U1553" s="29" t="str">
        <f>IF($C1553&lt;&gt;"",COUNTIF($C$2:C1553,C1553),"")</f>
        <v/>
      </c>
      <c r="V1553" s="29" t="str">
        <f t="shared" si="72"/>
        <v/>
      </c>
      <c r="W1553" s="29" t="str">
        <f>IF(U1553=1,COUNTIF($U$2:U1553,1),"")</f>
        <v/>
      </c>
      <c r="X1553" s="29" t="str">
        <f t="shared" si="73"/>
        <v/>
      </c>
      <c r="Y1553" s="29" t="str">
        <f>IF(AND(LEFT($B1553,7)="SBA 26/",$D1553&lt;&gt;"",$F1553&lt;&gt;""),COUNTIFS($D$2:$D1553,$D1553,$B$2:$B1553,"SBA 26/*",$F$2:$F1553,"&lt;&gt;"),"")</f>
        <v/>
      </c>
      <c r="Z1553" s="29" t="str">
        <f>IF(Y1553=1,COUNTIF($Y$2:Y1553,1),"")</f>
        <v/>
      </c>
      <c r="AA1553" s="29" t="str">
        <f>IF(AND(LEFT($B1553,7)="SBA 26/",$C1553&lt;&gt;"",$F1553&lt;&gt;""),COUNTIFS($C$2:$C1553,$C1553,$B$2:$B1553,"SBA 26/*",$F$2:$F1553,"&lt;&gt;"),"")</f>
        <v/>
      </c>
      <c r="AB1553" s="29" t="str">
        <f>IF(AA1553=1,COUNTIF($AA$2:AA1553,1),"")</f>
        <v/>
      </c>
    </row>
    <row r="1554" spans="6:28" ht="47.25" customHeight="1" x14ac:dyDescent="0.2">
      <c r="F1554" s="45" t="s">
        <v>4115</v>
      </c>
      <c r="T1554" s="41"/>
      <c r="U1554" s="29" t="str">
        <f>IF($C1554&lt;&gt;"",COUNTIF($C$2:C1554,C1554),"")</f>
        <v/>
      </c>
      <c r="V1554" s="29" t="str">
        <f t="shared" si="72"/>
        <v/>
      </c>
      <c r="W1554" s="29" t="str">
        <f>IF(U1554=1,COUNTIF($U$2:U1554,1),"")</f>
        <v/>
      </c>
      <c r="X1554" s="29" t="str">
        <f t="shared" si="73"/>
        <v/>
      </c>
      <c r="Y1554" s="29" t="str">
        <f>IF(AND(LEFT($B1554,7)="SBA 26/",$D1554&lt;&gt;"",$F1554&lt;&gt;""),COUNTIFS($D$2:$D1554,$D1554,$B$2:$B1554,"SBA 26/*",$F$2:$F1554,"&lt;&gt;"),"")</f>
        <v/>
      </c>
      <c r="Z1554" s="29" t="str">
        <f>IF(Y1554=1,COUNTIF($Y$2:Y1554,1),"")</f>
        <v/>
      </c>
      <c r="AA1554" s="29" t="str">
        <f>IF(AND(LEFT($B1554,7)="SBA 26/",$C1554&lt;&gt;"",$F1554&lt;&gt;""),COUNTIFS($C$2:$C1554,$C1554,$B$2:$B1554,"SBA 26/*",$F$2:$F1554,"&lt;&gt;"),"")</f>
        <v/>
      </c>
      <c r="AB1554" s="29" t="str">
        <f>IF(AA1554=1,COUNTIF($AA$2:AA1554,1),"")</f>
        <v/>
      </c>
    </row>
    <row r="1555" spans="6:28" ht="63" customHeight="1" x14ac:dyDescent="0.2">
      <c r="F1555" s="45" t="s">
        <v>4116</v>
      </c>
      <c r="T1555" s="41"/>
      <c r="U1555" s="29" t="str">
        <f>IF($C1555&lt;&gt;"",COUNTIF($C$2:C1555,C1555),"")</f>
        <v/>
      </c>
      <c r="V1555" s="29" t="str">
        <f t="shared" si="72"/>
        <v/>
      </c>
      <c r="W1555" s="29" t="str">
        <f>IF(U1555=1,COUNTIF($U$2:U1555,1),"")</f>
        <v/>
      </c>
      <c r="X1555" s="29" t="str">
        <f t="shared" si="73"/>
        <v/>
      </c>
      <c r="Y1555" s="29" t="str">
        <f>IF(AND(LEFT($B1555,7)="SBA 26/",$D1555&lt;&gt;"",$F1555&lt;&gt;""),COUNTIFS($D$2:$D1555,$D1555,$B$2:$B1555,"SBA 26/*",$F$2:$F1555,"&lt;&gt;"),"")</f>
        <v/>
      </c>
      <c r="Z1555" s="29" t="str">
        <f>IF(Y1555=1,COUNTIF($Y$2:Y1555,1),"")</f>
        <v/>
      </c>
      <c r="AA1555" s="29" t="str">
        <f>IF(AND(LEFT($B1555,7)="SBA 26/",$C1555&lt;&gt;"",$F1555&lt;&gt;""),COUNTIFS($C$2:$C1555,$C1555,$B$2:$B1555,"SBA 26/*",$F$2:$F1555,"&lt;&gt;"),"")</f>
        <v/>
      </c>
      <c r="AB1555" s="29" t="str">
        <f>IF(AA1555=1,COUNTIF($AA$2:AA1555,1),"")</f>
        <v/>
      </c>
    </row>
    <row r="1556" spans="6:28" ht="31.5" customHeight="1" x14ac:dyDescent="0.2">
      <c r="F1556" s="45" t="s">
        <v>4117</v>
      </c>
      <c r="T1556" s="41"/>
      <c r="U1556" s="29" t="str">
        <f>IF($C1556&lt;&gt;"",COUNTIF($C$2:C1556,C1556),"")</f>
        <v/>
      </c>
      <c r="V1556" s="29" t="str">
        <f t="shared" si="72"/>
        <v/>
      </c>
      <c r="W1556" s="29" t="str">
        <f>IF(U1556=1,COUNTIF($U$2:U1556,1),"")</f>
        <v/>
      </c>
      <c r="X1556" s="29" t="str">
        <f t="shared" si="73"/>
        <v/>
      </c>
      <c r="Y1556" s="29" t="str">
        <f>IF(AND(LEFT($B1556,7)="SBA 26/",$D1556&lt;&gt;"",$F1556&lt;&gt;""),COUNTIFS($D$2:$D1556,$D1556,$B$2:$B1556,"SBA 26/*",$F$2:$F1556,"&lt;&gt;"),"")</f>
        <v/>
      </c>
      <c r="Z1556" s="29" t="str">
        <f>IF(Y1556=1,COUNTIF($Y$2:Y1556,1),"")</f>
        <v/>
      </c>
      <c r="AA1556" s="29" t="str">
        <f>IF(AND(LEFT($B1556,7)="SBA 26/",$C1556&lt;&gt;"",$F1556&lt;&gt;""),COUNTIFS($C$2:$C1556,$C1556,$B$2:$B1556,"SBA 26/*",$F$2:$F1556,"&lt;&gt;"),"")</f>
        <v/>
      </c>
      <c r="AB1556" s="29" t="str">
        <f>IF(AA1556=1,COUNTIF($AA$2:AA1556,1),"")</f>
        <v/>
      </c>
    </row>
    <row r="1557" spans="6:28" ht="47.25" customHeight="1" x14ac:dyDescent="0.2">
      <c r="F1557" s="45" t="s">
        <v>4118</v>
      </c>
      <c r="T1557" s="41"/>
      <c r="U1557" s="29" t="str">
        <f>IF($C1557&lt;&gt;"",COUNTIF($C$2:C1557,C1557),"")</f>
        <v/>
      </c>
      <c r="V1557" s="29" t="str">
        <f t="shared" si="72"/>
        <v/>
      </c>
      <c r="W1557" s="29" t="str">
        <f>IF(U1557=1,COUNTIF($U$2:U1557,1),"")</f>
        <v/>
      </c>
      <c r="X1557" s="29" t="str">
        <f t="shared" si="73"/>
        <v/>
      </c>
      <c r="Y1557" s="29" t="str">
        <f>IF(AND(LEFT($B1557,7)="SBA 26/",$D1557&lt;&gt;"",$F1557&lt;&gt;""),COUNTIFS($D$2:$D1557,$D1557,$B$2:$B1557,"SBA 26/*",$F$2:$F1557,"&lt;&gt;"),"")</f>
        <v/>
      </c>
      <c r="Z1557" s="29" t="str">
        <f>IF(Y1557=1,COUNTIF($Y$2:Y1557,1),"")</f>
        <v/>
      </c>
      <c r="AA1557" s="29" t="str">
        <f>IF(AND(LEFT($B1557,7)="SBA 26/",$C1557&lt;&gt;"",$F1557&lt;&gt;""),COUNTIFS($C$2:$C1557,$C1557,$B$2:$B1557,"SBA 26/*",$F$2:$F1557,"&lt;&gt;"),"")</f>
        <v/>
      </c>
      <c r="AB1557" s="29" t="str">
        <f>IF(AA1557=1,COUNTIF($AA$2:AA1557,1),"")</f>
        <v/>
      </c>
    </row>
    <row r="1558" spans="6:28" ht="31.5" customHeight="1" x14ac:dyDescent="0.2">
      <c r="F1558" s="45" t="s">
        <v>4119</v>
      </c>
      <c r="T1558" s="41"/>
      <c r="U1558" s="29" t="str">
        <f>IF($C1558&lt;&gt;"",COUNTIF($C$2:C1558,C1558),"")</f>
        <v/>
      </c>
      <c r="V1558" s="29" t="str">
        <f t="shared" si="72"/>
        <v/>
      </c>
      <c r="W1558" s="29" t="str">
        <f>IF(U1558=1,COUNTIF($U$2:U1558,1),"")</f>
        <v/>
      </c>
      <c r="X1558" s="29" t="str">
        <f t="shared" si="73"/>
        <v/>
      </c>
      <c r="Y1558" s="29" t="str">
        <f>IF(AND(LEFT($B1558,7)="SBA 26/",$D1558&lt;&gt;"",$F1558&lt;&gt;""),COUNTIFS($D$2:$D1558,$D1558,$B$2:$B1558,"SBA 26/*",$F$2:$F1558,"&lt;&gt;"),"")</f>
        <v/>
      </c>
      <c r="Z1558" s="29" t="str">
        <f>IF(Y1558=1,COUNTIF($Y$2:Y1558,1),"")</f>
        <v/>
      </c>
      <c r="AA1558" s="29" t="str">
        <f>IF(AND(LEFT($B1558,7)="SBA 26/",$C1558&lt;&gt;"",$F1558&lt;&gt;""),COUNTIFS($C$2:$C1558,$C1558,$B$2:$B1558,"SBA 26/*",$F$2:$F1558,"&lt;&gt;"),"")</f>
        <v/>
      </c>
      <c r="AB1558" s="29" t="str">
        <f>IF(AA1558=1,COUNTIF($AA$2:AA1558,1),"")</f>
        <v/>
      </c>
    </row>
    <row r="1559" spans="6:28" ht="63" customHeight="1" x14ac:dyDescent="0.2">
      <c r="F1559" s="45" t="s">
        <v>4120</v>
      </c>
      <c r="T1559" s="41"/>
      <c r="U1559" s="29" t="str">
        <f>IF($C1559&lt;&gt;"",COUNTIF($C$2:C1559,C1559),"")</f>
        <v/>
      </c>
      <c r="V1559" s="29" t="str">
        <f t="shared" si="72"/>
        <v/>
      </c>
      <c r="W1559" s="29" t="str">
        <f>IF(U1559=1,COUNTIF($U$2:U1559,1),"")</f>
        <v/>
      </c>
      <c r="X1559" s="29" t="str">
        <f t="shared" si="73"/>
        <v/>
      </c>
      <c r="Y1559" s="29" t="str">
        <f>IF(AND(LEFT($B1559,7)="SBA 26/",$D1559&lt;&gt;"",$F1559&lt;&gt;""),COUNTIFS($D$2:$D1559,$D1559,$B$2:$B1559,"SBA 26/*",$F$2:$F1559,"&lt;&gt;"),"")</f>
        <v/>
      </c>
      <c r="Z1559" s="29" t="str">
        <f>IF(Y1559=1,COUNTIF($Y$2:Y1559,1),"")</f>
        <v/>
      </c>
      <c r="AA1559" s="29" t="str">
        <f>IF(AND(LEFT($B1559,7)="SBA 26/",$C1559&lt;&gt;"",$F1559&lt;&gt;""),COUNTIFS($C$2:$C1559,$C1559,$B$2:$B1559,"SBA 26/*",$F$2:$F1559,"&lt;&gt;"),"")</f>
        <v/>
      </c>
      <c r="AB1559" s="29" t="str">
        <f>IF(AA1559=1,COUNTIF($AA$2:AA1559,1),"")</f>
        <v/>
      </c>
    </row>
    <row r="1560" spans="6:28" ht="47.25" customHeight="1" x14ac:dyDescent="0.2">
      <c r="F1560" s="45" t="s">
        <v>4121</v>
      </c>
      <c r="T1560" s="41"/>
      <c r="U1560" s="29" t="str">
        <f>IF($C1560&lt;&gt;"",COUNTIF($C$2:C1560,C1560),"")</f>
        <v/>
      </c>
      <c r="V1560" s="29" t="str">
        <f t="shared" si="72"/>
        <v/>
      </c>
      <c r="W1560" s="29" t="str">
        <f>IF(U1560=1,COUNTIF($U$2:U1560,1),"")</f>
        <v/>
      </c>
      <c r="X1560" s="29" t="str">
        <f t="shared" si="73"/>
        <v/>
      </c>
      <c r="Y1560" s="29" t="str">
        <f>IF(AND(LEFT($B1560,7)="SBA 26/",$D1560&lt;&gt;"",$F1560&lt;&gt;""),COUNTIFS($D$2:$D1560,$D1560,$B$2:$B1560,"SBA 26/*",$F$2:$F1560,"&lt;&gt;"),"")</f>
        <v/>
      </c>
      <c r="Z1560" s="29" t="str">
        <f>IF(Y1560=1,COUNTIF($Y$2:Y1560,1),"")</f>
        <v/>
      </c>
      <c r="AA1560" s="29" t="str">
        <f>IF(AND(LEFT($B1560,7)="SBA 26/",$C1560&lt;&gt;"",$F1560&lt;&gt;""),COUNTIFS($C$2:$C1560,$C1560,$B$2:$B1560,"SBA 26/*",$F$2:$F1560,"&lt;&gt;"),"")</f>
        <v/>
      </c>
      <c r="AB1560" s="29" t="str">
        <f>IF(AA1560=1,COUNTIF($AA$2:AA1560,1),"")</f>
        <v/>
      </c>
    </row>
    <row r="1561" spans="6:28" ht="63" customHeight="1" x14ac:dyDescent="0.2">
      <c r="F1561" s="45" t="s">
        <v>4122</v>
      </c>
      <c r="T1561" s="41"/>
      <c r="U1561" s="29" t="str">
        <f>IF($C1561&lt;&gt;"",COUNTIF($C$2:C1561,C1561),"")</f>
        <v/>
      </c>
      <c r="V1561" s="29" t="str">
        <f t="shared" si="72"/>
        <v/>
      </c>
      <c r="W1561" s="29" t="str">
        <f>IF(U1561=1,COUNTIF($U$2:U1561,1),"")</f>
        <v/>
      </c>
      <c r="X1561" s="29" t="str">
        <f t="shared" si="73"/>
        <v/>
      </c>
      <c r="Y1561" s="29" t="str">
        <f>IF(AND(LEFT($B1561,7)="SBA 26/",$D1561&lt;&gt;"",$F1561&lt;&gt;""),COUNTIFS($D$2:$D1561,$D1561,$B$2:$B1561,"SBA 26/*",$F$2:$F1561,"&lt;&gt;"),"")</f>
        <v/>
      </c>
      <c r="Z1561" s="29" t="str">
        <f>IF(Y1561=1,COUNTIF($Y$2:Y1561,1),"")</f>
        <v/>
      </c>
      <c r="AA1561" s="29" t="str">
        <f>IF(AND(LEFT($B1561,7)="SBA 26/",$C1561&lt;&gt;"",$F1561&lt;&gt;""),COUNTIFS($C$2:$C1561,$C1561,$B$2:$B1561,"SBA 26/*",$F$2:$F1561,"&lt;&gt;"),"")</f>
        <v/>
      </c>
      <c r="AB1561" s="29" t="str">
        <f>IF(AA1561=1,COUNTIF($AA$2:AA1561,1),"")</f>
        <v/>
      </c>
    </row>
    <row r="1562" spans="6:28" ht="31.5" customHeight="1" x14ac:dyDescent="0.2">
      <c r="F1562" s="45" t="s">
        <v>4123</v>
      </c>
      <c r="T1562" s="41"/>
      <c r="U1562" s="29" t="str">
        <f>IF($C1562&lt;&gt;"",COUNTIF($C$2:C1562,C1562),"")</f>
        <v/>
      </c>
      <c r="V1562" s="29" t="str">
        <f t="shared" si="72"/>
        <v/>
      </c>
      <c r="W1562" s="29" t="str">
        <f>IF(U1562=1,COUNTIF($U$2:U1562,1),"")</f>
        <v/>
      </c>
      <c r="X1562" s="29" t="str">
        <f t="shared" si="73"/>
        <v/>
      </c>
      <c r="Y1562" s="29" t="str">
        <f>IF(AND(LEFT($B1562,7)="SBA 26/",$D1562&lt;&gt;"",$F1562&lt;&gt;""),COUNTIFS($D$2:$D1562,$D1562,$B$2:$B1562,"SBA 26/*",$F$2:$F1562,"&lt;&gt;"),"")</f>
        <v/>
      </c>
      <c r="Z1562" s="29" t="str">
        <f>IF(Y1562=1,COUNTIF($Y$2:Y1562,1),"")</f>
        <v/>
      </c>
      <c r="AA1562" s="29" t="str">
        <f>IF(AND(LEFT($B1562,7)="SBA 26/",$C1562&lt;&gt;"",$F1562&lt;&gt;""),COUNTIFS($C$2:$C1562,$C1562,$B$2:$B1562,"SBA 26/*",$F$2:$F1562,"&lt;&gt;"),"")</f>
        <v/>
      </c>
      <c r="AB1562" s="29" t="str">
        <f>IF(AA1562=1,COUNTIF($AA$2:AA1562,1),"")</f>
        <v/>
      </c>
    </row>
    <row r="1563" spans="6:28" ht="31.5" customHeight="1" x14ac:dyDescent="0.2">
      <c r="F1563" s="45" t="s">
        <v>4124</v>
      </c>
      <c r="T1563" s="41"/>
      <c r="U1563" s="29" t="str">
        <f>IF($C1563&lt;&gt;"",COUNTIF($C$2:C1563,C1563),"")</f>
        <v/>
      </c>
      <c r="V1563" s="29" t="str">
        <f t="shared" si="72"/>
        <v/>
      </c>
      <c r="W1563" s="29" t="str">
        <f>IF(U1563=1,COUNTIF($U$2:U1563,1),"")</f>
        <v/>
      </c>
      <c r="X1563" s="29" t="str">
        <f t="shared" si="73"/>
        <v/>
      </c>
      <c r="Y1563" s="29" t="str">
        <f>IF(AND(LEFT($B1563,7)="SBA 26/",$D1563&lt;&gt;"",$F1563&lt;&gt;""),COUNTIFS($D$2:$D1563,$D1563,$B$2:$B1563,"SBA 26/*",$F$2:$F1563,"&lt;&gt;"),"")</f>
        <v/>
      </c>
      <c r="Z1563" s="29" t="str">
        <f>IF(Y1563=1,COUNTIF($Y$2:Y1563,1),"")</f>
        <v/>
      </c>
      <c r="AA1563" s="29" t="str">
        <f>IF(AND(LEFT($B1563,7)="SBA 26/",$C1563&lt;&gt;"",$F1563&lt;&gt;""),COUNTIFS($C$2:$C1563,$C1563,$B$2:$B1563,"SBA 26/*",$F$2:$F1563,"&lt;&gt;"),"")</f>
        <v/>
      </c>
      <c r="AB1563" s="29" t="str">
        <f>IF(AA1563=1,COUNTIF($AA$2:AA1563,1),"")</f>
        <v/>
      </c>
    </row>
    <row r="1564" spans="6:28" ht="63" customHeight="1" x14ac:dyDescent="0.2">
      <c r="F1564" s="45" t="s">
        <v>4125</v>
      </c>
      <c r="T1564" s="41"/>
      <c r="U1564" s="29" t="str">
        <f>IF($C1564&lt;&gt;"",COUNTIF($C$2:C1564,C1564),"")</f>
        <v/>
      </c>
      <c r="V1564" s="29" t="str">
        <f t="shared" si="72"/>
        <v/>
      </c>
      <c r="W1564" s="29" t="str">
        <f>IF(U1564=1,COUNTIF($U$2:U1564,1),"")</f>
        <v/>
      </c>
      <c r="X1564" s="29" t="str">
        <f t="shared" si="73"/>
        <v/>
      </c>
      <c r="Y1564" s="29" t="str">
        <f>IF(AND(LEFT($B1564,7)="SBA 26/",$D1564&lt;&gt;"",$F1564&lt;&gt;""),COUNTIFS($D$2:$D1564,$D1564,$B$2:$B1564,"SBA 26/*",$F$2:$F1564,"&lt;&gt;"),"")</f>
        <v/>
      </c>
      <c r="Z1564" s="29" t="str">
        <f>IF(Y1564=1,COUNTIF($Y$2:Y1564,1),"")</f>
        <v/>
      </c>
      <c r="AA1564" s="29" t="str">
        <f>IF(AND(LEFT($B1564,7)="SBA 26/",$C1564&lt;&gt;"",$F1564&lt;&gt;""),COUNTIFS($C$2:$C1564,$C1564,$B$2:$B1564,"SBA 26/*",$F$2:$F1564,"&lt;&gt;"),"")</f>
        <v/>
      </c>
      <c r="AB1564" s="29" t="str">
        <f>IF(AA1564=1,COUNTIF($AA$2:AA1564,1),"")</f>
        <v/>
      </c>
    </row>
    <row r="1565" spans="6:28" ht="31.5" customHeight="1" x14ac:dyDescent="0.2">
      <c r="F1565" s="45" t="s">
        <v>4126</v>
      </c>
      <c r="T1565" s="41"/>
      <c r="U1565" s="29" t="str">
        <f>IF($C1565&lt;&gt;"",COUNTIF($C$2:C1565,C1565),"")</f>
        <v/>
      </c>
      <c r="V1565" s="29" t="str">
        <f t="shared" si="72"/>
        <v/>
      </c>
      <c r="W1565" s="29" t="str">
        <f>IF(U1565=1,COUNTIF($U$2:U1565,1),"")</f>
        <v/>
      </c>
      <c r="X1565" s="29" t="str">
        <f t="shared" si="73"/>
        <v/>
      </c>
      <c r="Y1565" s="29" t="str">
        <f>IF(AND(LEFT($B1565,7)="SBA 26/",$D1565&lt;&gt;"",$F1565&lt;&gt;""),COUNTIFS($D$2:$D1565,$D1565,$B$2:$B1565,"SBA 26/*",$F$2:$F1565,"&lt;&gt;"),"")</f>
        <v/>
      </c>
      <c r="Z1565" s="29" t="str">
        <f>IF(Y1565=1,COUNTIF($Y$2:Y1565,1),"")</f>
        <v/>
      </c>
      <c r="AA1565" s="29" t="str">
        <f>IF(AND(LEFT($B1565,7)="SBA 26/",$C1565&lt;&gt;"",$F1565&lt;&gt;""),COUNTIFS($C$2:$C1565,$C1565,$B$2:$B1565,"SBA 26/*",$F$2:$F1565,"&lt;&gt;"),"")</f>
        <v/>
      </c>
      <c r="AB1565" s="29" t="str">
        <f>IF(AA1565=1,COUNTIF($AA$2:AA1565,1),"")</f>
        <v/>
      </c>
    </row>
    <row r="1566" spans="6:28" ht="47.25" customHeight="1" x14ac:dyDescent="0.2">
      <c r="F1566" s="45" t="s">
        <v>4127</v>
      </c>
      <c r="T1566" s="41"/>
      <c r="U1566" s="29" t="str">
        <f>IF($C1566&lt;&gt;"",COUNTIF($C$2:C1566,C1566),"")</f>
        <v/>
      </c>
      <c r="V1566" s="29" t="str">
        <f t="shared" si="72"/>
        <v/>
      </c>
      <c r="W1566" s="29" t="str">
        <f>IF(U1566=1,COUNTIF($U$2:U1566,1),"")</f>
        <v/>
      </c>
      <c r="X1566" s="29" t="str">
        <f t="shared" si="73"/>
        <v/>
      </c>
      <c r="Y1566" s="29" t="str">
        <f>IF(AND(LEFT($B1566,7)="SBA 26/",$D1566&lt;&gt;"",$F1566&lt;&gt;""),COUNTIFS($D$2:$D1566,$D1566,$B$2:$B1566,"SBA 26/*",$F$2:$F1566,"&lt;&gt;"),"")</f>
        <v/>
      </c>
      <c r="Z1566" s="29" t="str">
        <f>IF(Y1566=1,COUNTIF($Y$2:Y1566,1),"")</f>
        <v/>
      </c>
      <c r="AA1566" s="29" t="str">
        <f>IF(AND(LEFT($B1566,7)="SBA 26/",$C1566&lt;&gt;"",$F1566&lt;&gt;""),COUNTIFS($C$2:$C1566,$C1566,$B$2:$B1566,"SBA 26/*",$F$2:$F1566,"&lt;&gt;"),"")</f>
        <v/>
      </c>
      <c r="AB1566" s="29" t="str">
        <f>IF(AA1566=1,COUNTIF($AA$2:AA1566,1),"")</f>
        <v/>
      </c>
    </row>
    <row r="1567" spans="6:28" ht="31.5" customHeight="1" x14ac:dyDescent="0.2">
      <c r="F1567" s="45" t="s">
        <v>4128</v>
      </c>
      <c r="T1567" s="41"/>
      <c r="U1567" s="29" t="str">
        <f>IF($C1567&lt;&gt;"",COUNTIF($C$2:C1567,C1567),"")</f>
        <v/>
      </c>
      <c r="V1567" s="29" t="str">
        <f t="shared" si="72"/>
        <v/>
      </c>
      <c r="W1567" s="29" t="str">
        <f>IF(U1567=1,COUNTIF($U$2:U1567,1),"")</f>
        <v/>
      </c>
      <c r="X1567" s="29" t="str">
        <f t="shared" si="73"/>
        <v/>
      </c>
      <c r="Y1567" s="29" t="str">
        <f>IF(AND(LEFT($B1567,7)="SBA 26/",$D1567&lt;&gt;"",$F1567&lt;&gt;""),COUNTIFS($D$2:$D1567,$D1567,$B$2:$B1567,"SBA 26/*",$F$2:$F1567,"&lt;&gt;"),"")</f>
        <v/>
      </c>
      <c r="Z1567" s="29" t="str">
        <f>IF(Y1567=1,COUNTIF($Y$2:Y1567,1),"")</f>
        <v/>
      </c>
      <c r="AA1567" s="29" t="str">
        <f>IF(AND(LEFT($B1567,7)="SBA 26/",$C1567&lt;&gt;"",$F1567&lt;&gt;""),COUNTIFS($C$2:$C1567,$C1567,$B$2:$B1567,"SBA 26/*",$F$2:$F1567,"&lt;&gt;"),"")</f>
        <v/>
      </c>
      <c r="AB1567" s="29" t="str">
        <f>IF(AA1567=1,COUNTIF($AA$2:AA1567,1),"")</f>
        <v/>
      </c>
    </row>
    <row r="1568" spans="6:28" ht="31.5" customHeight="1" x14ac:dyDescent="0.2">
      <c r="F1568" s="45" t="s">
        <v>4129</v>
      </c>
      <c r="T1568" s="41"/>
      <c r="U1568" s="29" t="str">
        <f>IF($C1568&lt;&gt;"",COUNTIF($C$2:C1568,C1568),"")</f>
        <v/>
      </c>
      <c r="V1568" s="29" t="str">
        <f t="shared" si="72"/>
        <v/>
      </c>
      <c r="W1568" s="29" t="str">
        <f>IF(U1568=1,COUNTIF($U$2:U1568,1),"")</f>
        <v/>
      </c>
      <c r="X1568" s="29" t="str">
        <f t="shared" si="73"/>
        <v/>
      </c>
      <c r="Y1568" s="29" t="str">
        <f>IF(AND(LEFT($B1568,7)="SBA 26/",$D1568&lt;&gt;"",$F1568&lt;&gt;""),COUNTIFS($D$2:$D1568,$D1568,$B$2:$B1568,"SBA 26/*",$F$2:$F1568,"&lt;&gt;"),"")</f>
        <v/>
      </c>
      <c r="Z1568" s="29" t="str">
        <f>IF(Y1568=1,COUNTIF($Y$2:Y1568,1),"")</f>
        <v/>
      </c>
      <c r="AA1568" s="29" t="str">
        <f>IF(AND(LEFT($B1568,7)="SBA 26/",$C1568&lt;&gt;"",$F1568&lt;&gt;""),COUNTIFS($C$2:$C1568,$C1568,$B$2:$B1568,"SBA 26/*",$F$2:$F1568,"&lt;&gt;"),"")</f>
        <v/>
      </c>
      <c r="AB1568" s="29" t="str">
        <f>IF(AA1568=1,COUNTIF($AA$2:AA1568,1),"")</f>
        <v/>
      </c>
    </row>
    <row r="1569" spans="6:28" ht="47.25" customHeight="1" x14ac:dyDescent="0.2">
      <c r="F1569" s="45" t="s">
        <v>4130</v>
      </c>
      <c r="T1569" s="41"/>
      <c r="U1569" s="29" t="str">
        <f>IF($C1569&lt;&gt;"",COUNTIF($C$2:C1569,C1569),"")</f>
        <v/>
      </c>
      <c r="V1569" s="29" t="str">
        <f t="shared" si="72"/>
        <v/>
      </c>
      <c r="W1569" s="29" t="str">
        <f>IF(U1569=1,COUNTIF($U$2:U1569,1),"")</f>
        <v/>
      </c>
      <c r="X1569" s="29" t="str">
        <f t="shared" si="73"/>
        <v/>
      </c>
      <c r="Y1569" s="29" t="str">
        <f>IF(AND(LEFT($B1569,7)="SBA 26/",$D1569&lt;&gt;"",$F1569&lt;&gt;""),COUNTIFS($D$2:$D1569,$D1569,$B$2:$B1569,"SBA 26/*",$F$2:$F1569,"&lt;&gt;"),"")</f>
        <v/>
      </c>
      <c r="Z1569" s="29" t="str">
        <f>IF(Y1569=1,COUNTIF($Y$2:Y1569,1),"")</f>
        <v/>
      </c>
      <c r="AA1569" s="29" t="str">
        <f>IF(AND(LEFT($B1569,7)="SBA 26/",$C1569&lt;&gt;"",$F1569&lt;&gt;""),COUNTIFS($C$2:$C1569,$C1569,$B$2:$B1569,"SBA 26/*",$F$2:$F1569,"&lt;&gt;"),"")</f>
        <v/>
      </c>
      <c r="AB1569" s="29" t="str">
        <f>IF(AA1569=1,COUNTIF($AA$2:AA1569,1),"")</f>
        <v/>
      </c>
    </row>
    <row r="1570" spans="6:28" ht="31.5" customHeight="1" x14ac:dyDescent="0.2">
      <c r="F1570" s="45" t="s">
        <v>4131</v>
      </c>
      <c r="T1570" s="41"/>
      <c r="U1570" s="29" t="str">
        <f>IF($C1570&lt;&gt;"",COUNTIF($C$2:C1570,C1570),"")</f>
        <v/>
      </c>
      <c r="V1570" s="29" t="str">
        <f t="shared" si="72"/>
        <v/>
      </c>
      <c r="W1570" s="29" t="str">
        <f>IF(U1570=1,COUNTIF($U$2:U1570,1),"")</f>
        <v/>
      </c>
      <c r="X1570" s="29" t="str">
        <f t="shared" si="73"/>
        <v/>
      </c>
      <c r="Y1570" s="29" t="str">
        <f>IF(AND(LEFT($B1570,7)="SBA 26/",$D1570&lt;&gt;"",$F1570&lt;&gt;""),COUNTIFS($D$2:$D1570,$D1570,$B$2:$B1570,"SBA 26/*",$F$2:$F1570,"&lt;&gt;"),"")</f>
        <v/>
      </c>
      <c r="Z1570" s="29" t="str">
        <f>IF(Y1570=1,COUNTIF($Y$2:Y1570,1),"")</f>
        <v/>
      </c>
      <c r="AA1570" s="29" t="str">
        <f>IF(AND(LEFT($B1570,7)="SBA 26/",$C1570&lt;&gt;"",$F1570&lt;&gt;""),COUNTIFS($C$2:$C1570,$C1570,$B$2:$B1570,"SBA 26/*",$F$2:$F1570,"&lt;&gt;"),"")</f>
        <v/>
      </c>
      <c r="AB1570" s="29" t="str">
        <f>IF(AA1570=1,COUNTIF($AA$2:AA1570,1),"")</f>
        <v/>
      </c>
    </row>
    <row r="1571" spans="6:28" ht="63" customHeight="1" x14ac:dyDescent="0.2">
      <c r="F1571" s="45" t="s">
        <v>4132</v>
      </c>
      <c r="T1571" s="41"/>
      <c r="U1571" s="29" t="str">
        <f>IF($C1571&lt;&gt;"",COUNTIF($C$2:C1571,C1571),"")</f>
        <v/>
      </c>
      <c r="V1571" s="29" t="str">
        <f t="shared" si="72"/>
        <v/>
      </c>
      <c r="W1571" s="29" t="str">
        <f>IF(U1571=1,COUNTIF($U$2:U1571,1),"")</f>
        <v/>
      </c>
      <c r="X1571" s="29" t="str">
        <f t="shared" si="73"/>
        <v/>
      </c>
      <c r="Y1571" s="29" t="str">
        <f>IF(AND(LEFT($B1571,7)="SBA 26/",$D1571&lt;&gt;"",$F1571&lt;&gt;""),COUNTIFS($D$2:$D1571,$D1571,$B$2:$B1571,"SBA 26/*",$F$2:$F1571,"&lt;&gt;"),"")</f>
        <v/>
      </c>
      <c r="Z1571" s="29" t="str">
        <f>IF(Y1571=1,COUNTIF($Y$2:Y1571,1),"")</f>
        <v/>
      </c>
      <c r="AA1571" s="29" t="str">
        <f>IF(AND(LEFT($B1571,7)="SBA 26/",$C1571&lt;&gt;"",$F1571&lt;&gt;""),COUNTIFS($C$2:$C1571,$C1571,$B$2:$B1571,"SBA 26/*",$F$2:$F1571,"&lt;&gt;"),"")</f>
        <v/>
      </c>
      <c r="AB1571" s="29" t="str">
        <f>IF(AA1571=1,COUNTIF($AA$2:AA1571,1),"")</f>
        <v/>
      </c>
    </row>
    <row r="1572" spans="6:28" ht="31.5" customHeight="1" x14ac:dyDescent="0.2">
      <c r="F1572" s="45" t="s">
        <v>4133</v>
      </c>
      <c r="T1572" s="41"/>
      <c r="U1572" s="29" t="str">
        <f>IF($C1572&lt;&gt;"",COUNTIF($C$2:C1572,C1572),"")</f>
        <v/>
      </c>
      <c r="V1572" s="29" t="str">
        <f t="shared" si="72"/>
        <v/>
      </c>
      <c r="W1572" s="29" t="str">
        <f>IF(U1572=1,COUNTIF($U$2:U1572,1),"")</f>
        <v/>
      </c>
      <c r="X1572" s="29" t="str">
        <f t="shared" si="73"/>
        <v/>
      </c>
      <c r="Y1572" s="29" t="str">
        <f>IF(AND(LEFT($B1572,7)="SBA 26/",$D1572&lt;&gt;"",$F1572&lt;&gt;""),COUNTIFS($D$2:$D1572,$D1572,$B$2:$B1572,"SBA 26/*",$F$2:$F1572,"&lt;&gt;"),"")</f>
        <v/>
      </c>
      <c r="Z1572" s="29" t="str">
        <f>IF(Y1572=1,COUNTIF($Y$2:Y1572,1),"")</f>
        <v/>
      </c>
      <c r="AA1572" s="29" t="str">
        <f>IF(AND(LEFT($B1572,7)="SBA 26/",$C1572&lt;&gt;"",$F1572&lt;&gt;""),COUNTIFS($C$2:$C1572,$C1572,$B$2:$B1572,"SBA 26/*",$F$2:$F1572,"&lt;&gt;"),"")</f>
        <v/>
      </c>
      <c r="AB1572" s="29" t="str">
        <f>IF(AA1572=1,COUNTIF($AA$2:AA1572,1),"")</f>
        <v/>
      </c>
    </row>
    <row r="1573" spans="6:28" ht="31.5" customHeight="1" x14ac:dyDescent="0.2">
      <c r="F1573" s="45" t="s">
        <v>4134</v>
      </c>
      <c r="T1573" s="41"/>
      <c r="U1573" s="29" t="str">
        <f>IF($C1573&lt;&gt;"",COUNTIF($C$2:C1573,C1573),"")</f>
        <v/>
      </c>
      <c r="V1573" s="29" t="str">
        <f t="shared" si="72"/>
        <v/>
      </c>
      <c r="W1573" s="29" t="str">
        <f>IF(U1573=1,COUNTIF($U$2:U1573,1),"")</f>
        <v/>
      </c>
      <c r="X1573" s="29" t="str">
        <f t="shared" si="73"/>
        <v/>
      </c>
      <c r="Y1573" s="29" t="str">
        <f>IF(AND(LEFT($B1573,7)="SBA 26/",$D1573&lt;&gt;"",$F1573&lt;&gt;""),COUNTIFS($D$2:$D1573,$D1573,$B$2:$B1573,"SBA 26/*",$F$2:$F1573,"&lt;&gt;"),"")</f>
        <v/>
      </c>
      <c r="Z1573" s="29" t="str">
        <f>IF(Y1573=1,COUNTIF($Y$2:Y1573,1),"")</f>
        <v/>
      </c>
      <c r="AA1573" s="29" t="str">
        <f>IF(AND(LEFT($B1573,7)="SBA 26/",$C1573&lt;&gt;"",$F1573&lt;&gt;""),COUNTIFS($C$2:$C1573,$C1573,$B$2:$B1573,"SBA 26/*",$F$2:$F1573,"&lt;&gt;"),"")</f>
        <v/>
      </c>
      <c r="AB1573" s="29" t="str">
        <f>IF(AA1573=1,COUNTIF($AA$2:AA1573,1),"")</f>
        <v/>
      </c>
    </row>
    <row r="1574" spans="6:28" ht="47.25" customHeight="1" x14ac:dyDescent="0.2">
      <c r="F1574" s="45" t="s">
        <v>4135</v>
      </c>
      <c r="T1574" s="41"/>
      <c r="U1574" s="29" t="str">
        <f>IF($C1574&lt;&gt;"",COUNTIF($C$2:C1574,C1574),"")</f>
        <v/>
      </c>
      <c r="V1574" s="29" t="str">
        <f t="shared" si="72"/>
        <v/>
      </c>
      <c r="W1574" s="29" t="str">
        <f>IF(U1574=1,COUNTIF($U$2:U1574,1),"")</f>
        <v/>
      </c>
      <c r="X1574" s="29" t="str">
        <f t="shared" si="73"/>
        <v/>
      </c>
      <c r="Y1574" s="29" t="str">
        <f>IF(AND(LEFT($B1574,7)="SBA 26/",$D1574&lt;&gt;"",$F1574&lt;&gt;""),COUNTIFS($D$2:$D1574,$D1574,$B$2:$B1574,"SBA 26/*",$F$2:$F1574,"&lt;&gt;"),"")</f>
        <v/>
      </c>
      <c r="Z1574" s="29" t="str">
        <f>IF(Y1574=1,COUNTIF($Y$2:Y1574,1),"")</f>
        <v/>
      </c>
      <c r="AA1574" s="29" t="str">
        <f>IF(AND(LEFT($B1574,7)="SBA 26/",$C1574&lt;&gt;"",$F1574&lt;&gt;""),COUNTIFS($C$2:$C1574,$C1574,$B$2:$B1574,"SBA 26/*",$F$2:$F1574,"&lt;&gt;"),"")</f>
        <v/>
      </c>
      <c r="AB1574" s="29" t="str">
        <f>IF(AA1574=1,COUNTIF($AA$2:AA1574,1),"")</f>
        <v/>
      </c>
    </row>
    <row r="1575" spans="6:28" ht="63" customHeight="1" x14ac:dyDescent="0.2">
      <c r="F1575" s="45" t="s">
        <v>4136</v>
      </c>
      <c r="T1575" s="41"/>
      <c r="U1575" s="29" t="str">
        <f>IF($C1575&lt;&gt;"",COUNTIF($C$2:C1575,C1575),"")</f>
        <v/>
      </c>
      <c r="V1575" s="29" t="str">
        <f t="shared" si="72"/>
        <v/>
      </c>
      <c r="W1575" s="29" t="str">
        <f>IF(U1575=1,COUNTIF($U$2:U1575,1),"")</f>
        <v/>
      </c>
      <c r="X1575" s="29" t="str">
        <f t="shared" si="73"/>
        <v/>
      </c>
      <c r="Y1575" s="29" t="str">
        <f>IF(AND(LEFT($B1575,7)="SBA 26/",$D1575&lt;&gt;"",$F1575&lt;&gt;""),COUNTIFS($D$2:$D1575,$D1575,$B$2:$B1575,"SBA 26/*",$F$2:$F1575,"&lt;&gt;"),"")</f>
        <v/>
      </c>
      <c r="Z1575" s="29" t="str">
        <f>IF(Y1575=1,COUNTIF($Y$2:Y1575,1),"")</f>
        <v/>
      </c>
      <c r="AA1575" s="29" t="str">
        <f>IF(AND(LEFT($B1575,7)="SBA 26/",$C1575&lt;&gt;"",$F1575&lt;&gt;""),COUNTIFS($C$2:$C1575,$C1575,$B$2:$B1575,"SBA 26/*",$F$2:$F1575,"&lt;&gt;"),"")</f>
        <v/>
      </c>
      <c r="AB1575" s="29" t="str">
        <f>IF(AA1575=1,COUNTIF($AA$2:AA1575,1),"")</f>
        <v/>
      </c>
    </row>
    <row r="1576" spans="6:28" ht="31.5" customHeight="1" x14ac:dyDescent="0.2">
      <c r="F1576" s="45" t="s">
        <v>4137</v>
      </c>
      <c r="T1576" s="41"/>
      <c r="U1576" s="29" t="str">
        <f>IF($C1576&lt;&gt;"",COUNTIF($C$2:C1576,C1576),"")</f>
        <v/>
      </c>
      <c r="V1576" s="29" t="str">
        <f t="shared" si="72"/>
        <v/>
      </c>
      <c r="W1576" s="29" t="str">
        <f>IF(U1576=1,COUNTIF($U$2:U1576,1),"")</f>
        <v/>
      </c>
      <c r="X1576" s="29" t="str">
        <f t="shared" si="73"/>
        <v/>
      </c>
      <c r="Y1576" s="29" t="str">
        <f>IF(AND(LEFT($B1576,7)="SBA 26/",$D1576&lt;&gt;"",$F1576&lt;&gt;""),COUNTIFS($D$2:$D1576,$D1576,$B$2:$B1576,"SBA 26/*",$F$2:$F1576,"&lt;&gt;"),"")</f>
        <v/>
      </c>
      <c r="Z1576" s="29" t="str">
        <f>IF(Y1576=1,COUNTIF($Y$2:Y1576,1),"")</f>
        <v/>
      </c>
      <c r="AA1576" s="29" t="str">
        <f>IF(AND(LEFT($B1576,7)="SBA 26/",$C1576&lt;&gt;"",$F1576&lt;&gt;""),COUNTIFS($C$2:$C1576,$C1576,$B$2:$B1576,"SBA 26/*",$F$2:$F1576,"&lt;&gt;"),"")</f>
        <v/>
      </c>
      <c r="AB1576" s="29" t="str">
        <f>IF(AA1576=1,COUNTIF($AA$2:AA1576,1),"")</f>
        <v/>
      </c>
    </row>
    <row r="1577" spans="6:28" ht="47.25" customHeight="1" x14ac:dyDescent="0.2">
      <c r="F1577" s="45" t="s">
        <v>4138</v>
      </c>
      <c r="T1577" s="41"/>
      <c r="U1577" s="29" t="str">
        <f>IF($C1577&lt;&gt;"",COUNTIF($C$2:C1577,C1577),"")</f>
        <v/>
      </c>
      <c r="V1577" s="29" t="str">
        <f t="shared" si="72"/>
        <v/>
      </c>
      <c r="W1577" s="29" t="str">
        <f>IF(U1577=1,COUNTIF($U$2:U1577,1),"")</f>
        <v/>
      </c>
      <c r="X1577" s="29" t="str">
        <f t="shared" si="73"/>
        <v/>
      </c>
      <c r="Y1577" s="29" t="str">
        <f>IF(AND(LEFT($B1577,7)="SBA 26/",$D1577&lt;&gt;"",$F1577&lt;&gt;""),COUNTIFS($D$2:$D1577,$D1577,$B$2:$B1577,"SBA 26/*",$F$2:$F1577,"&lt;&gt;"),"")</f>
        <v/>
      </c>
      <c r="Z1577" s="29" t="str">
        <f>IF(Y1577=1,COUNTIF($Y$2:Y1577,1),"")</f>
        <v/>
      </c>
      <c r="AA1577" s="29" t="str">
        <f>IF(AND(LEFT($B1577,7)="SBA 26/",$C1577&lt;&gt;"",$F1577&lt;&gt;""),COUNTIFS($C$2:$C1577,$C1577,$B$2:$B1577,"SBA 26/*",$F$2:$F1577,"&lt;&gt;"),"")</f>
        <v/>
      </c>
      <c r="AB1577" s="29" t="str">
        <f>IF(AA1577=1,COUNTIF($AA$2:AA1577,1),"")</f>
        <v/>
      </c>
    </row>
    <row r="1578" spans="6:28" ht="47.25" customHeight="1" x14ac:dyDescent="0.2">
      <c r="F1578" s="45" t="s">
        <v>4139</v>
      </c>
      <c r="T1578" s="41"/>
      <c r="U1578" s="29" t="str">
        <f>IF($C1578&lt;&gt;"",COUNTIF($C$2:C1578,C1578),"")</f>
        <v/>
      </c>
      <c r="V1578" s="29" t="str">
        <f t="shared" si="72"/>
        <v/>
      </c>
      <c r="W1578" s="29" t="str">
        <f>IF(U1578=1,COUNTIF($U$2:U1578,1),"")</f>
        <v/>
      </c>
      <c r="X1578" s="29" t="str">
        <f t="shared" si="73"/>
        <v/>
      </c>
      <c r="Y1578" s="29" t="str">
        <f>IF(AND(LEFT($B1578,7)="SBA 26/",$D1578&lt;&gt;"",$F1578&lt;&gt;""),COUNTIFS($D$2:$D1578,$D1578,$B$2:$B1578,"SBA 26/*",$F$2:$F1578,"&lt;&gt;"),"")</f>
        <v/>
      </c>
      <c r="Z1578" s="29" t="str">
        <f>IF(Y1578=1,COUNTIF($Y$2:Y1578,1),"")</f>
        <v/>
      </c>
      <c r="AA1578" s="29" t="str">
        <f>IF(AND(LEFT($B1578,7)="SBA 26/",$C1578&lt;&gt;"",$F1578&lt;&gt;""),COUNTIFS($C$2:$C1578,$C1578,$B$2:$B1578,"SBA 26/*",$F$2:$F1578,"&lt;&gt;"),"")</f>
        <v/>
      </c>
      <c r="AB1578" s="29" t="str">
        <f>IF(AA1578=1,COUNTIF($AA$2:AA1578,1),"")</f>
        <v/>
      </c>
    </row>
    <row r="1579" spans="6:28" ht="31.5" customHeight="1" x14ac:dyDescent="0.2">
      <c r="F1579" s="45" t="s">
        <v>4140</v>
      </c>
      <c r="T1579" s="41"/>
      <c r="U1579" s="29" t="str">
        <f>IF($C1579&lt;&gt;"",COUNTIF($C$2:C1579,C1579),"")</f>
        <v/>
      </c>
      <c r="V1579" s="29" t="str">
        <f t="shared" si="72"/>
        <v/>
      </c>
      <c r="W1579" s="29" t="str">
        <f>IF(U1579=1,COUNTIF($U$2:U1579,1),"")</f>
        <v/>
      </c>
      <c r="X1579" s="29" t="str">
        <f t="shared" si="73"/>
        <v/>
      </c>
      <c r="Y1579" s="29" t="str">
        <f>IF(AND(LEFT($B1579,7)="SBA 26/",$D1579&lt;&gt;"",$F1579&lt;&gt;""),COUNTIFS($D$2:$D1579,$D1579,$B$2:$B1579,"SBA 26/*",$F$2:$F1579,"&lt;&gt;"),"")</f>
        <v/>
      </c>
      <c r="Z1579" s="29" t="str">
        <f>IF(Y1579=1,COUNTIF($Y$2:Y1579,1),"")</f>
        <v/>
      </c>
      <c r="AA1579" s="29" t="str">
        <f>IF(AND(LEFT($B1579,7)="SBA 26/",$C1579&lt;&gt;"",$F1579&lt;&gt;""),COUNTIFS($C$2:$C1579,$C1579,$B$2:$B1579,"SBA 26/*",$F$2:$F1579,"&lt;&gt;"),"")</f>
        <v/>
      </c>
      <c r="AB1579" s="29" t="str">
        <f>IF(AA1579=1,COUNTIF($AA$2:AA1579,1),"")</f>
        <v/>
      </c>
    </row>
    <row r="1580" spans="6:28" ht="47.25" customHeight="1" x14ac:dyDescent="0.2">
      <c r="F1580" s="45" t="s">
        <v>4141</v>
      </c>
      <c r="T1580" s="41"/>
      <c r="U1580" s="29" t="str">
        <f>IF($C1580&lt;&gt;"",COUNTIF($C$2:C1580,C1580),"")</f>
        <v/>
      </c>
      <c r="V1580" s="29" t="str">
        <f t="shared" si="72"/>
        <v/>
      </c>
      <c r="W1580" s="29" t="str">
        <f>IF(U1580=1,COUNTIF($U$2:U1580,1),"")</f>
        <v/>
      </c>
      <c r="X1580" s="29" t="str">
        <f t="shared" si="73"/>
        <v/>
      </c>
      <c r="Y1580" s="29" t="str">
        <f>IF(AND(LEFT($B1580,7)="SBA 26/",$D1580&lt;&gt;"",$F1580&lt;&gt;""),COUNTIFS($D$2:$D1580,$D1580,$B$2:$B1580,"SBA 26/*",$F$2:$F1580,"&lt;&gt;"),"")</f>
        <v/>
      </c>
      <c r="Z1580" s="29" t="str">
        <f>IF(Y1580=1,COUNTIF($Y$2:Y1580,1),"")</f>
        <v/>
      </c>
      <c r="AA1580" s="29" t="str">
        <f>IF(AND(LEFT($B1580,7)="SBA 26/",$C1580&lt;&gt;"",$F1580&lt;&gt;""),COUNTIFS($C$2:$C1580,$C1580,$B$2:$B1580,"SBA 26/*",$F$2:$F1580,"&lt;&gt;"),"")</f>
        <v/>
      </c>
      <c r="AB1580" s="29" t="str">
        <f>IF(AA1580=1,COUNTIF($AA$2:AA1580,1),"")</f>
        <v/>
      </c>
    </row>
    <row r="1581" spans="6:28" ht="47.25" customHeight="1" x14ac:dyDescent="0.2">
      <c r="F1581" s="45" t="s">
        <v>4142</v>
      </c>
      <c r="T1581" s="41"/>
      <c r="U1581" s="29" t="str">
        <f>IF($C1581&lt;&gt;"",COUNTIF($C$2:C1581,C1581),"")</f>
        <v/>
      </c>
      <c r="V1581" s="29" t="str">
        <f t="shared" si="72"/>
        <v/>
      </c>
      <c r="W1581" s="29" t="str">
        <f>IF(U1581=1,COUNTIF($U$2:U1581,1),"")</f>
        <v/>
      </c>
      <c r="X1581" s="29" t="str">
        <f t="shared" si="73"/>
        <v/>
      </c>
      <c r="Y1581" s="29" t="str">
        <f>IF(AND(LEFT($B1581,7)="SBA 26/",$D1581&lt;&gt;"",$F1581&lt;&gt;""),COUNTIFS($D$2:$D1581,$D1581,$B$2:$B1581,"SBA 26/*",$F$2:$F1581,"&lt;&gt;"),"")</f>
        <v/>
      </c>
      <c r="Z1581" s="29" t="str">
        <f>IF(Y1581=1,COUNTIF($Y$2:Y1581,1),"")</f>
        <v/>
      </c>
      <c r="AA1581" s="29" t="str">
        <f>IF(AND(LEFT($B1581,7)="SBA 26/",$C1581&lt;&gt;"",$F1581&lt;&gt;""),COUNTIFS($C$2:$C1581,$C1581,$B$2:$B1581,"SBA 26/*",$F$2:$F1581,"&lt;&gt;"),"")</f>
        <v/>
      </c>
      <c r="AB1581" s="29" t="str">
        <f>IF(AA1581=1,COUNTIF($AA$2:AA1581,1),"")</f>
        <v/>
      </c>
    </row>
    <row r="1582" spans="6:28" ht="31.5" customHeight="1" x14ac:dyDescent="0.2">
      <c r="F1582" s="45" t="s">
        <v>4143</v>
      </c>
      <c r="T1582" s="41"/>
      <c r="U1582" s="29" t="str">
        <f>IF($C1582&lt;&gt;"",COUNTIF($C$2:C1582,C1582),"")</f>
        <v/>
      </c>
      <c r="V1582" s="29" t="str">
        <f t="shared" si="72"/>
        <v/>
      </c>
      <c r="W1582" s="29" t="str">
        <f>IF(U1582=1,COUNTIF($U$2:U1582,1),"")</f>
        <v/>
      </c>
      <c r="X1582" s="29" t="str">
        <f t="shared" si="73"/>
        <v/>
      </c>
      <c r="Y1582" s="29" t="str">
        <f>IF(AND(LEFT($B1582,7)="SBA 26/",$D1582&lt;&gt;"",$F1582&lt;&gt;""),COUNTIFS($D$2:$D1582,$D1582,$B$2:$B1582,"SBA 26/*",$F$2:$F1582,"&lt;&gt;"),"")</f>
        <v/>
      </c>
      <c r="Z1582" s="29" t="str">
        <f>IF(Y1582=1,COUNTIF($Y$2:Y1582,1),"")</f>
        <v/>
      </c>
      <c r="AA1582" s="29" t="str">
        <f>IF(AND(LEFT($B1582,7)="SBA 26/",$C1582&lt;&gt;"",$F1582&lt;&gt;""),COUNTIFS($C$2:$C1582,$C1582,$B$2:$B1582,"SBA 26/*",$F$2:$F1582,"&lt;&gt;"),"")</f>
        <v/>
      </c>
      <c r="AB1582" s="29" t="str">
        <f>IF(AA1582=1,COUNTIF($AA$2:AA1582,1),"")</f>
        <v/>
      </c>
    </row>
    <row r="1583" spans="6:28" ht="31.5" customHeight="1" x14ac:dyDescent="0.2">
      <c r="F1583" s="45" t="s">
        <v>4144</v>
      </c>
      <c r="T1583" s="41"/>
      <c r="U1583" s="29" t="str">
        <f>IF($C1583&lt;&gt;"",COUNTIF($C$2:C1583,C1583),"")</f>
        <v/>
      </c>
      <c r="V1583" s="29" t="str">
        <f t="shared" si="72"/>
        <v/>
      </c>
      <c r="W1583" s="29" t="str">
        <f>IF(U1583=1,COUNTIF($U$2:U1583,1),"")</f>
        <v/>
      </c>
      <c r="X1583" s="29" t="str">
        <f t="shared" si="73"/>
        <v/>
      </c>
      <c r="Y1583" s="29" t="str">
        <f>IF(AND(LEFT($B1583,7)="SBA 26/",$D1583&lt;&gt;"",$F1583&lt;&gt;""),COUNTIFS($D$2:$D1583,$D1583,$B$2:$B1583,"SBA 26/*",$F$2:$F1583,"&lt;&gt;"),"")</f>
        <v/>
      </c>
      <c r="Z1583" s="29" t="str">
        <f>IF(Y1583=1,COUNTIF($Y$2:Y1583,1),"")</f>
        <v/>
      </c>
      <c r="AA1583" s="29" t="str">
        <f>IF(AND(LEFT($B1583,7)="SBA 26/",$C1583&lt;&gt;"",$F1583&lt;&gt;""),COUNTIFS($C$2:$C1583,$C1583,$B$2:$B1583,"SBA 26/*",$F$2:$F1583,"&lt;&gt;"),"")</f>
        <v/>
      </c>
      <c r="AB1583" s="29" t="str">
        <f>IF(AA1583=1,COUNTIF($AA$2:AA1583,1),"")</f>
        <v/>
      </c>
    </row>
    <row r="1584" spans="6:28" ht="47.25" customHeight="1" x14ac:dyDescent="0.2">
      <c r="F1584" s="45" t="s">
        <v>4145</v>
      </c>
      <c r="T1584" s="41"/>
      <c r="U1584" s="29" t="str">
        <f>IF($C1584&lt;&gt;"",COUNTIF($C$2:C1584,C1584),"")</f>
        <v/>
      </c>
      <c r="V1584" s="29" t="str">
        <f t="shared" si="72"/>
        <v/>
      </c>
      <c r="W1584" s="29" t="str">
        <f>IF(U1584=1,COUNTIF($U$2:U1584,1),"")</f>
        <v/>
      </c>
      <c r="X1584" s="29" t="str">
        <f t="shared" si="73"/>
        <v/>
      </c>
      <c r="Y1584" s="29" t="str">
        <f>IF(AND(LEFT($B1584,7)="SBA 26/",$D1584&lt;&gt;"",$F1584&lt;&gt;""),COUNTIFS($D$2:$D1584,$D1584,$B$2:$B1584,"SBA 26/*",$F$2:$F1584,"&lt;&gt;"),"")</f>
        <v/>
      </c>
      <c r="Z1584" s="29" t="str">
        <f>IF(Y1584=1,COUNTIF($Y$2:Y1584,1),"")</f>
        <v/>
      </c>
      <c r="AA1584" s="29" t="str">
        <f>IF(AND(LEFT($B1584,7)="SBA 26/",$C1584&lt;&gt;"",$F1584&lt;&gt;""),COUNTIFS($C$2:$C1584,$C1584,$B$2:$B1584,"SBA 26/*",$F$2:$F1584,"&lt;&gt;"),"")</f>
        <v/>
      </c>
      <c r="AB1584" s="29" t="str">
        <f>IF(AA1584=1,COUNTIF($AA$2:AA1584,1),"")</f>
        <v/>
      </c>
    </row>
    <row r="1585" spans="6:28" ht="47.25" customHeight="1" x14ac:dyDescent="0.2">
      <c r="F1585" s="45" t="s">
        <v>4146</v>
      </c>
      <c r="T1585" s="41"/>
      <c r="U1585" s="29" t="str">
        <f>IF($C1585&lt;&gt;"",COUNTIF($C$2:C1585,C1585),"")</f>
        <v/>
      </c>
      <c r="V1585" s="29" t="str">
        <f t="shared" si="72"/>
        <v/>
      </c>
      <c r="W1585" s="29" t="str">
        <f>IF(U1585=1,COUNTIF($U$2:U1585,1),"")</f>
        <v/>
      </c>
      <c r="X1585" s="29" t="str">
        <f t="shared" si="73"/>
        <v/>
      </c>
      <c r="Y1585" s="29" t="str">
        <f>IF(AND(LEFT($B1585,7)="SBA 26/",$D1585&lt;&gt;"",$F1585&lt;&gt;""),COUNTIFS($D$2:$D1585,$D1585,$B$2:$B1585,"SBA 26/*",$F$2:$F1585,"&lt;&gt;"),"")</f>
        <v/>
      </c>
      <c r="Z1585" s="29" t="str">
        <f>IF(Y1585=1,COUNTIF($Y$2:Y1585,1),"")</f>
        <v/>
      </c>
      <c r="AA1585" s="29" t="str">
        <f>IF(AND(LEFT($B1585,7)="SBA 26/",$C1585&lt;&gt;"",$F1585&lt;&gt;""),COUNTIFS($C$2:$C1585,$C1585,$B$2:$B1585,"SBA 26/*",$F$2:$F1585,"&lt;&gt;"),"")</f>
        <v/>
      </c>
      <c r="AB1585" s="29" t="str">
        <f>IF(AA1585=1,COUNTIF($AA$2:AA1585,1),"")</f>
        <v/>
      </c>
    </row>
    <row r="1586" spans="6:28" ht="63" customHeight="1" x14ac:dyDescent="0.2">
      <c r="F1586" s="45" t="s">
        <v>4147</v>
      </c>
      <c r="T1586" s="41"/>
      <c r="U1586" s="29" t="str">
        <f>IF($C1586&lt;&gt;"",COUNTIF($C$2:C1586,C1586),"")</f>
        <v/>
      </c>
      <c r="V1586" s="29" t="str">
        <f t="shared" si="72"/>
        <v/>
      </c>
      <c r="W1586" s="29" t="str">
        <f>IF(U1586=1,COUNTIF($U$2:U1586,1),"")</f>
        <v/>
      </c>
      <c r="X1586" s="29" t="str">
        <f t="shared" si="73"/>
        <v/>
      </c>
      <c r="Y1586" s="29" t="str">
        <f>IF(AND(LEFT($B1586,7)="SBA 26/",$D1586&lt;&gt;"",$F1586&lt;&gt;""),COUNTIFS($D$2:$D1586,$D1586,$B$2:$B1586,"SBA 26/*",$F$2:$F1586,"&lt;&gt;"),"")</f>
        <v/>
      </c>
      <c r="Z1586" s="29" t="str">
        <f>IF(Y1586=1,COUNTIF($Y$2:Y1586,1),"")</f>
        <v/>
      </c>
      <c r="AA1586" s="29" t="str">
        <f>IF(AND(LEFT($B1586,7)="SBA 26/",$C1586&lt;&gt;"",$F1586&lt;&gt;""),COUNTIFS($C$2:$C1586,$C1586,$B$2:$B1586,"SBA 26/*",$F$2:$F1586,"&lt;&gt;"),"")</f>
        <v/>
      </c>
      <c r="AB1586" s="29" t="str">
        <f>IF(AA1586=1,COUNTIF($AA$2:AA1586,1),"")</f>
        <v/>
      </c>
    </row>
    <row r="1587" spans="6:28" ht="47.25" customHeight="1" x14ac:dyDescent="0.2">
      <c r="F1587" s="45" t="s">
        <v>4148</v>
      </c>
      <c r="T1587" s="41"/>
      <c r="U1587" s="29" t="str">
        <f>IF($C1587&lt;&gt;"",COUNTIF($C$2:C1587,C1587),"")</f>
        <v/>
      </c>
      <c r="V1587" s="29" t="str">
        <f t="shared" si="72"/>
        <v/>
      </c>
      <c r="W1587" s="29" t="str">
        <f>IF(U1587=1,COUNTIF($U$2:U1587,1),"")</f>
        <v/>
      </c>
      <c r="X1587" s="29" t="str">
        <f t="shared" si="73"/>
        <v/>
      </c>
      <c r="Y1587" s="29" t="str">
        <f>IF(AND(LEFT($B1587,7)="SBA 26/",$D1587&lt;&gt;"",$F1587&lt;&gt;""),COUNTIFS($D$2:$D1587,$D1587,$B$2:$B1587,"SBA 26/*",$F$2:$F1587,"&lt;&gt;"),"")</f>
        <v/>
      </c>
      <c r="Z1587" s="29" t="str">
        <f>IF(Y1587=1,COUNTIF($Y$2:Y1587,1),"")</f>
        <v/>
      </c>
      <c r="AA1587" s="29" t="str">
        <f>IF(AND(LEFT($B1587,7)="SBA 26/",$C1587&lt;&gt;"",$F1587&lt;&gt;""),COUNTIFS($C$2:$C1587,$C1587,$B$2:$B1587,"SBA 26/*",$F$2:$F1587,"&lt;&gt;"),"")</f>
        <v/>
      </c>
      <c r="AB1587" s="29" t="str">
        <f>IF(AA1587=1,COUNTIF($AA$2:AA1587,1),"")</f>
        <v/>
      </c>
    </row>
    <row r="1588" spans="6:28" ht="31.5" customHeight="1" x14ac:dyDescent="0.2">
      <c r="F1588" s="45" t="s">
        <v>4149</v>
      </c>
      <c r="T1588" s="41"/>
      <c r="U1588" s="29" t="str">
        <f>IF($C1588&lt;&gt;"",COUNTIF($C$2:C1588,C1588),"")</f>
        <v/>
      </c>
      <c r="V1588" s="29" t="str">
        <f t="shared" si="72"/>
        <v/>
      </c>
      <c r="W1588" s="29" t="str">
        <f>IF(U1588=1,COUNTIF($U$2:U1588,1),"")</f>
        <v/>
      </c>
      <c r="X1588" s="29" t="str">
        <f t="shared" si="73"/>
        <v/>
      </c>
      <c r="Y1588" s="29" t="str">
        <f>IF(AND(LEFT($B1588,7)="SBA 26/",$D1588&lt;&gt;"",$F1588&lt;&gt;""),COUNTIFS($D$2:$D1588,$D1588,$B$2:$B1588,"SBA 26/*",$F$2:$F1588,"&lt;&gt;"),"")</f>
        <v/>
      </c>
      <c r="Z1588" s="29" t="str">
        <f>IF(Y1588=1,COUNTIF($Y$2:Y1588,1),"")</f>
        <v/>
      </c>
      <c r="AA1588" s="29" t="str">
        <f>IF(AND(LEFT($B1588,7)="SBA 26/",$C1588&lt;&gt;"",$F1588&lt;&gt;""),COUNTIFS($C$2:$C1588,$C1588,$B$2:$B1588,"SBA 26/*",$F$2:$F1588,"&lt;&gt;"),"")</f>
        <v/>
      </c>
      <c r="AB1588" s="29" t="str">
        <f>IF(AA1588=1,COUNTIF($AA$2:AA1588,1),"")</f>
        <v/>
      </c>
    </row>
    <row r="1589" spans="6:28" ht="31.5" customHeight="1" x14ac:dyDescent="0.2">
      <c r="F1589" s="45" t="s">
        <v>4150</v>
      </c>
      <c r="T1589" s="41"/>
      <c r="U1589" s="29" t="str">
        <f>IF($C1589&lt;&gt;"",COUNTIF($C$2:C1589,C1589),"")</f>
        <v/>
      </c>
      <c r="V1589" s="29" t="str">
        <f t="shared" si="72"/>
        <v/>
      </c>
      <c r="W1589" s="29" t="str">
        <f>IF(U1589=1,COUNTIF($U$2:U1589,1),"")</f>
        <v/>
      </c>
      <c r="X1589" s="29" t="str">
        <f t="shared" si="73"/>
        <v/>
      </c>
      <c r="Y1589" s="29" t="str">
        <f>IF(AND(LEFT($B1589,7)="SBA 26/",$D1589&lt;&gt;"",$F1589&lt;&gt;""),COUNTIFS($D$2:$D1589,$D1589,$B$2:$B1589,"SBA 26/*",$F$2:$F1589,"&lt;&gt;"),"")</f>
        <v/>
      </c>
      <c r="Z1589" s="29" t="str">
        <f>IF(Y1589=1,COUNTIF($Y$2:Y1589,1),"")</f>
        <v/>
      </c>
      <c r="AA1589" s="29" t="str">
        <f>IF(AND(LEFT($B1589,7)="SBA 26/",$C1589&lt;&gt;"",$F1589&lt;&gt;""),COUNTIFS($C$2:$C1589,$C1589,$B$2:$B1589,"SBA 26/*",$F$2:$F1589,"&lt;&gt;"),"")</f>
        <v/>
      </c>
      <c r="AB1589" s="29" t="str">
        <f>IF(AA1589=1,COUNTIF($AA$2:AA1589,1),"")</f>
        <v/>
      </c>
    </row>
    <row r="1590" spans="6:28" ht="31.5" customHeight="1" x14ac:dyDescent="0.2">
      <c r="F1590" s="45" t="s">
        <v>4151</v>
      </c>
      <c r="T1590" s="41"/>
      <c r="U1590" s="29" t="str">
        <f>IF($C1590&lt;&gt;"",COUNTIF($C$2:C1590,C1590),"")</f>
        <v/>
      </c>
      <c r="V1590" s="29" t="str">
        <f t="shared" si="72"/>
        <v/>
      </c>
      <c r="W1590" s="29" t="str">
        <f>IF(U1590=1,COUNTIF($U$2:U1590,1),"")</f>
        <v/>
      </c>
      <c r="X1590" s="29" t="str">
        <f t="shared" si="73"/>
        <v/>
      </c>
      <c r="Y1590" s="29" t="str">
        <f>IF(AND(LEFT($B1590,7)="SBA 26/",$D1590&lt;&gt;"",$F1590&lt;&gt;""),COUNTIFS($D$2:$D1590,$D1590,$B$2:$B1590,"SBA 26/*",$F$2:$F1590,"&lt;&gt;"),"")</f>
        <v/>
      </c>
      <c r="Z1590" s="29" t="str">
        <f>IF(Y1590=1,COUNTIF($Y$2:Y1590,1),"")</f>
        <v/>
      </c>
      <c r="AA1590" s="29" t="str">
        <f>IF(AND(LEFT($B1590,7)="SBA 26/",$C1590&lt;&gt;"",$F1590&lt;&gt;""),COUNTIFS($C$2:$C1590,$C1590,$B$2:$B1590,"SBA 26/*",$F$2:$F1590,"&lt;&gt;"),"")</f>
        <v/>
      </c>
      <c r="AB1590" s="29" t="str">
        <f>IF(AA1590=1,COUNTIF($AA$2:AA1590,1),"")</f>
        <v/>
      </c>
    </row>
    <row r="1591" spans="6:28" ht="31.5" customHeight="1" x14ac:dyDescent="0.2">
      <c r="F1591" s="45" t="s">
        <v>4152</v>
      </c>
      <c r="T1591" s="41"/>
      <c r="U1591" s="29" t="str">
        <f>IF($C1591&lt;&gt;"",COUNTIF($C$2:C1591,C1591),"")</f>
        <v/>
      </c>
      <c r="V1591" s="29" t="str">
        <f t="shared" si="72"/>
        <v/>
      </c>
      <c r="W1591" s="29" t="str">
        <f>IF(U1591=1,COUNTIF($U$2:U1591,1),"")</f>
        <v/>
      </c>
      <c r="X1591" s="29" t="str">
        <f t="shared" si="73"/>
        <v/>
      </c>
      <c r="Y1591" s="29" t="str">
        <f>IF(AND(LEFT($B1591,7)="SBA 26/",$D1591&lt;&gt;"",$F1591&lt;&gt;""),COUNTIFS($D$2:$D1591,$D1591,$B$2:$B1591,"SBA 26/*",$F$2:$F1591,"&lt;&gt;"),"")</f>
        <v/>
      </c>
      <c r="Z1591" s="29" t="str">
        <f>IF(Y1591=1,COUNTIF($Y$2:Y1591,1),"")</f>
        <v/>
      </c>
      <c r="AA1591" s="29" t="str">
        <f>IF(AND(LEFT($B1591,7)="SBA 26/",$C1591&lt;&gt;"",$F1591&lt;&gt;""),COUNTIFS($C$2:$C1591,$C1591,$B$2:$B1591,"SBA 26/*",$F$2:$F1591,"&lt;&gt;"),"")</f>
        <v/>
      </c>
      <c r="AB1591" s="29" t="str">
        <f>IF(AA1591=1,COUNTIF($AA$2:AA1591,1),"")</f>
        <v/>
      </c>
    </row>
    <row r="1592" spans="6:28" ht="47.25" customHeight="1" x14ac:dyDescent="0.2">
      <c r="F1592" s="45" t="s">
        <v>4153</v>
      </c>
      <c r="T1592" s="41"/>
      <c r="U1592" s="29" t="str">
        <f>IF($C1592&lt;&gt;"",COUNTIF($C$2:C1592,C1592),"")</f>
        <v/>
      </c>
      <c r="V1592" s="29" t="str">
        <f t="shared" si="72"/>
        <v/>
      </c>
      <c r="W1592" s="29" t="str">
        <f>IF(U1592=1,COUNTIF($U$2:U1592,1),"")</f>
        <v/>
      </c>
      <c r="X1592" s="29" t="str">
        <f t="shared" si="73"/>
        <v/>
      </c>
      <c r="Y1592" s="29" t="str">
        <f>IF(AND(LEFT($B1592,7)="SBA 26/",$D1592&lt;&gt;"",$F1592&lt;&gt;""),COUNTIFS($D$2:$D1592,$D1592,$B$2:$B1592,"SBA 26/*",$F$2:$F1592,"&lt;&gt;"),"")</f>
        <v/>
      </c>
      <c r="Z1592" s="29" t="str">
        <f>IF(Y1592=1,COUNTIF($Y$2:Y1592,1),"")</f>
        <v/>
      </c>
      <c r="AA1592" s="29" t="str">
        <f>IF(AND(LEFT($B1592,7)="SBA 26/",$C1592&lt;&gt;"",$F1592&lt;&gt;""),COUNTIFS($C$2:$C1592,$C1592,$B$2:$B1592,"SBA 26/*",$F$2:$F1592,"&lt;&gt;"),"")</f>
        <v/>
      </c>
      <c r="AB1592" s="29" t="str">
        <f>IF(AA1592=1,COUNTIF($AA$2:AA1592,1),"")</f>
        <v/>
      </c>
    </row>
    <row r="1593" spans="6:28" ht="31.5" customHeight="1" x14ac:dyDescent="0.2">
      <c r="F1593" s="45" t="s">
        <v>4154</v>
      </c>
      <c r="T1593" s="41"/>
      <c r="U1593" s="29" t="str">
        <f>IF($C1593&lt;&gt;"",COUNTIF($C$2:C1593,C1593),"")</f>
        <v/>
      </c>
      <c r="V1593" s="29" t="str">
        <f t="shared" si="72"/>
        <v/>
      </c>
      <c r="W1593" s="29" t="str">
        <f>IF(U1593=1,COUNTIF($U$2:U1593,1),"")</f>
        <v/>
      </c>
      <c r="X1593" s="29" t="str">
        <f t="shared" si="73"/>
        <v/>
      </c>
      <c r="Y1593" s="29" t="str">
        <f>IF(AND(LEFT($B1593,7)="SBA 26/",$D1593&lt;&gt;"",$F1593&lt;&gt;""),COUNTIFS($D$2:$D1593,$D1593,$B$2:$B1593,"SBA 26/*",$F$2:$F1593,"&lt;&gt;"),"")</f>
        <v/>
      </c>
      <c r="Z1593" s="29" t="str">
        <f>IF(Y1593=1,COUNTIF($Y$2:Y1593,1),"")</f>
        <v/>
      </c>
      <c r="AA1593" s="29" t="str">
        <f>IF(AND(LEFT($B1593,7)="SBA 26/",$C1593&lt;&gt;"",$F1593&lt;&gt;""),COUNTIFS($C$2:$C1593,$C1593,$B$2:$B1593,"SBA 26/*",$F$2:$F1593,"&lt;&gt;"),"")</f>
        <v/>
      </c>
      <c r="AB1593" s="29" t="str">
        <f>IF(AA1593=1,COUNTIF($AA$2:AA1593,1),"")</f>
        <v/>
      </c>
    </row>
    <row r="1594" spans="6:28" ht="47.25" customHeight="1" x14ac:dyDescent="0.2">
      <c r="F1594" s="45" t="s">
        <v>4155</v>
      </c>
      <c r="T1594" s="41"/>
      <c r="U1594" s="29" t="str">
        <f>IF($C1594&lt;&gt;"",COUNTIF($C$2:C1594,C1594),"")</f>
        <v/>
      </c>
      <c r="V1594" s="29" t="str">
        <f t="shared" si="72"/>
        <v/>
      </c>
      <c r="W1594" s="29" t="str">
        <f>IF(U1594=1,COUNTIF($U$2:U1594,1),"")</f>
        <v/>
      </c>
      <c r="X1594" s="29" t="str">
        <f t="shared" si="73"/>
        <v/>
      </c>
      <c r="Y1594" s="29" t="str">
        <f>IF(AND(LEFT($B1594,7)="SBA 26/",$D1594&lt;&gt;"",$F1594&lt;&gt;""),COUNTIFS($D$2:$D1594,$D1594,$B$2:$B1594,"SBA 26/*",$F$2:$F1594,"&lt;&gt;"),"")</f>
        <v/>
      </c>
      <c r="Z1594" s="29" t="str">
        <f>IF(Y1594=1,COUNTIF($Y$2:Y1594,1),"")</f>
        <v/>
      </c>
      <c r="AA1594" s="29" t="str">
        <f>IF(AND(LEFT($B1594,7)="SBA 26/",$C1594&lt;&gt;"",$F1594&lt;&gt;""),COUNTIFS($C$2:$C1594,$C1594,$B$2:$B1594,"SBA 26/*",$F$2:$F1594,"&lt;&gt;"),"")</f>
        <v/>
      </c>
      <c r="AB1594" s="29" t="str">
        <f>IF(AA1594=1,COUNTIF($AA$2:AA1594,1),"")</f>
        <v/>
      </c>
    </row>
    <row r="1595" spans="6:28" ht="31.5" customHeight="1" x14ac:dyDescent="0.2">
      <c r="F1595" s="45" t="s">
        <v>4156</v>
      </c>
      <c r="T1595" s="41"/>
      <c r="U1595" s="29" t="str">
        <f>IF($C1595&lt;&gt;"",COUNTIF($C$2:C1595,C1595),"")</f>
        <v/>
      </c>
      <c r="V1595" s="29" t="str">
        <f t="shared" si="72"/>
        <v/>
      </c>
      <c r="W1595" s="29" t="str">
        <f>IF(U1595=1,COUNTIF($U$2:U1595,1),"")</f>
        <v/>
      </c>
      <c r="X1595" s="29" t="str">
        <f t="shared" si="73"/>
        <v/>
      </c>
      <c r="Y1595" s="29" t="str">
        <f>IF(AND(LEFT($B1595,7)="SBA 26/",$D1595&lt;&gt;"",$F1595&lt;&gt;""),COUNTIFS($D$2:$D1595,$D1595,$B$2:$B1595,"SBA 26/*",$F$2:$F1595,"&lt;&gt;"),"")</f>
        <v/>
      </c>
      <c r="Z1595" s="29" t="str">
        <f>IF(Y1595=1,COUNTIF($Y$2:Y1595,1),"")</f>
        <v/>
      </c>
      <c r="AA1595" s="29" t="str">
        <f>IF(AND(LEFT($B1595,7)="SBA 26/",$C1595&lt;&gt;"",$F1595&lt;&gt;""),COUNTIFS($C$2:$C1595,$C1595,$B$2:$B1595,"SBA 26/*",$F$2:$F1595,"&lt;&gt;"),"")</f>
        <v/>
      </c>
      <c r="AB1595" s="29" t="str">
        <f>IF(AA1595=1,COUNTIF($AA$2:AA1595,1),"")</f>
        <v/>
      </c>
    </row>
    <row r="1596" spans="6:28" ht="47.25" customHeight="1" x14ac:dyDescent="0.2">
      <c r="F1596" s="45" t="s">
        <v>4157</v>
      </c>
      <c r="T1596" s="41"/>
      <c r="U1596" s="29" t="str">
        <f>IF($C1596&lt;&gt;"",COUNTIF($C$2:C1596,C1596),"")</f>
        <v/>
      </c>
      <c r="V1596" s="29" t="str">
        <f t="shared" si="72"/>
        <v/>
      </c>
      <c r="W1596" s="29" t="str">
        <f>IF(U1596=1,COUNTIF($U$2:U1596,1),"")</f>
        <v/>
      </c>
      <c r="X1596" s="29" t="str">
        <f t="shared" si="73"/>
        <v/>
      </c>
      <c r="Y1596" s="29" t="str">
        <f>IF(AND(LEFT($B1596,7)="SBA 26/",$D1596&lt;&gt;"",$F1596&lt;&gt;""),COUNTIFS($D$2:$D1596,$D1596,$B$2:$B1596,"SBA 26/*",$F$2:$F1596,"&lt;&gt;"),"")</f>
        <v/>
      </c>
      <c r="Z1596" s="29" t="str">
        <f>IF(Y1596=1,COUNTIF($Y$2:Y1596,1),"")</f>
        <v/>
      </c>
      <c r="AA1596" s="29" t="str">
        <f>IF(AND(LEFT($B1596,7)="SBA 26/",$C1596&lt;&gt;"",$F1596&lt;&gt;""),COUNTIFS($C$2:$C1596,$C1596,$B$2:$B1596,"SBA 26/*",$F$2:$F1596,"&lt;&gt;"),"")</f>
        <v/>
      </c>
      <c r="AB1596" s="29" t="str">
        <f>IF(AA1596=1,COUNTIF($AA$2:AA1596,1),"")</f>
        <v/>
      </c>
    </row>
    <row r="1597" spans="6:28" ht="63" customHeight="1" x14ac:dyDescent="0.2">
      <c r="F1597" s="45" t="s">
        <v>4158</v>
      </c>
      <c r="T1597" s="41"/>
      <c r="U1597" s="29" t="str">
        <f>IF($C1597&lt;&gt;"",COUNTIF($C$2:C1597,C1597),"")</f>
        <v/>
      </c>
      <c r="V1597" s="29" t="str">
        <f t="shared" si="72"/>
        <v/>
      </c>
      <c r="W1597" s="29" t="str">
        <f>IF(U1597=1,COUNTIF($U$2:U1597,1),"")</f>
        <v/>
      </c>
      <c r="X1597" s="29" t="str">
        <f t="shared" si="73"/>
        <v/>
      </c>
      <c r="Y1597" s="29" t="str">
        <f>IF(AND(LEFT($B1597,7)="SBA 26/",$D1597&lt;&gt;"",$F1597&lt;&gt;""),COUNTIFS($D$2:$D1597,$D1597,$B$2:$B1597,"SBA 26/*",$F$2:$F1597,"&lt;&gt;"),"")</f>
        <v/>
      </c>
      <c r="Z1597" s="29" t="str">
        <f>IF(Y1597=1,COUNTIF($Y$2:Y1597,1),"")</f>
        <v/>
      </c>
      <c r="AA1597" s="29" t="str">
        <f>IF(AND(LEFT($B1597,7)="SBA 26/",$C1597&lt;&gt;"",$F1597&lt;&gt;""),COUNTIFS($C$2:$C1597,$C1597,$B$2:$B1597,"SBA 26/*",$F$2:$F1597,"&lt;&gt;"),"")</f>
        <v/>
      </c>
      <c r="AB1597" s="29" t="str">
        <f>IF(AA1597=1,COUNTIF($AA$2:AA1597,1),"")</f>
        <v/>
      </c>
    </row>
    <row r="1598" spans="6:28" ht="63" customHeight="1" x14ac:dyDescent="0.2">
      <c r="F1598" s="45" t="s">
        <v>4159</v>
      </c>
      <c r="T1598" s="41"/>
      <c r="U1598" s="29" t="str">
        <f>IF($C1598&lt;&gt;"",COUNTIF($C$2:C1598,C1598),"")</f>
        <v/>
      </c>
      <c r="V1598" s="29" t="str">
        <f t="shared" si="72"/>
        <v/>
      </c>
      <c r="W1598" s="29" t="str">
        <f>IF(U1598=1,COUNTIF($U$2:U1598,1),"")</f>
        <v/>
      </c>
      <c r="X1598" s="29" t="str">
        <f t="shared" si="73"/>
        <v/>
      </c>
      <c r="Y1598" s="29" t="str">
        <f>IF(AND(LEFT($B1598,7)="SBA 26/",$D1598&lt;&gt;"",$F1598&lt;&gt;""),COUNTIFS($D$2:$D1598,$D1598,$B$2:$B1598,"SBA 26/*",$F$2:$F1598,"&lt;&gt;"),"")</f>
        <v/>
      </c>
      <c r="Z1598" s="29" t="str">
        <f>IF(Y1598=1,COUNTIF($Y$2:Y1598,1),"")</f>
        <v/>
      </c>
      <c r="AA1598" s="29" t="str">
        <f>IF(AND(LEFT($B1598,7)="SBA 26/",$C1598&lt;&gt;"",$F1598&lt;&gt;""),COUNTIFS($C$2:$C1598,$C1598,$B$2:$B1598,"SBA 26/*",$F$2:$F1598,"&lt;&gt;"),"")</f>
        <v/>
      </c>
      <c r="AB1598" s="29" t="str">
        <f>IF(AA1598=1,COUNTIF($AA$2:AA1598,1),"")</f>
        <v/>
      </c>
    </row>
    <row r="1599" spans="6:28" ht="63" customHeight="1" x14ac:dyDescent="0.2">
      <c r="F1599" s="45" t="s">
        <v>4160</v>
      </c>
      <c r="T1599" s="41"/>
      <c r="U1599" s="29" t="str">
        <f>IF($C1599&lt;&gt;"",COUNTIF($C$2:C1599,C1599),"")</f>
        <v/>
      </c>
      <c r="V1599" s="29" t="str">
        <f t="shared" si="72"/>
        <v/>
      </c>
      <c r="W1599" s="29" t="str">
        <f>IF(U1599=1,COUNTIF($U$2:U1599,1),"")</f>
        <v/>
      </c>
      <c r="X1599" s="29" t="str">
        <f t="shared" si="73"/>
        <v/>
      </c>
      <c r="Y1599" s="29" t="str">
        <f>IF(AND(LEFT($B1599,7)="SBA 26/",$D1599&lt;&gt;"",$F1599&lt;&gt;""),COUNTIFS($D$2:$D1599,$D1599,$B$2:$B1599,"SBA 26/*",$F$2:$F1599,"&lt;&gt;"),"")</f>
        <v/>
      </c>
      <c r="Z1599" s="29" t="str">
        <f>IF(Y1599=1,COUNTIF($Y$2:Y1599,1),"")</f>
        <v/>
      </c>
      <c r="AA1599" s="29" t="str">
        <f>IF(AND(LEFT($B1599,7)="SBA 26/",$C1599&lt;&gt;"",$F1599&lt;&gt;""),COUNTIFS($C$2:$C1599,$C1599,$B$2:$B1599,"SBA 26/*",$F$2:$F1599,"&lt;&gt;"),"")</f>
        <v/>
      </c>
      <c r="AB1599" s="29" t="str">
        <f>IF(AA1599=1,COUNTIF($AA$2:AA1599,1),"")</f>
        <v/>
      </c>
    </row>
    <row r="1600" spans="6:28" ht="63" customHeight="1" x14ac:dyDescent="0.2">
      <c r="F1600" s="45" t="s">
        <v>4161</v>
      </c>
      <c r="T1600" s="41"/>
      <c r="U1600" s="29" t="str">
        <f>IF($C1600&lt;&gt;"",COUNTIF($C$2:C1600,C1600),"")</f>
        <v/>
      </c>
      <c r="V1600" s="29" t="str">
        <f t="shared" si="72"/>
        <v/>
      </c>
      <c r="W1600" s="29" t="str">
        <f>IF(U1600=1,COUNTIF($U$2:U1600,1),"")</f>
        <v/>
      </c>
      <c r="X1600" s="29" t="str">
        <f t="shared" si="73"/>
        <v/>
      </c>
      <c r="Y1600" s="29" t="str">
        <f>IF(AND(LEFT($B1600,7)="SBA 26/",$D1600&lt;&gt;"",$F1600&lt;&gt;""),COUNTIFS($D$2:$D1600,$D1600,$B$2:$B1600,"SBA 26/*",$F$2:$F1600,"&lt;&gt;"),"")</f>
        <v/>
      </c>
      <c r="Z1600" s="29" t="str">
        <f>IF(Y1600=1,COUNTIF($Y$2:Y1600,1),"")</f>
        <v/>
      </c>
      <c r="AA1600" s="29" t="str">
        <f>IF(AND(LEFT($B1600,7)="SBA 26/",$C1600&lt;&gt;"",$F1600&lt;&gt;""),COUNTIFS($C$2:$C1600,$C1600,$B$2:$B1600,"SBA 26/*",$F$2:$F1600,"&lt;&gt;"),"")</f>
        <v/>
      </c>
      <c r="AB1600" s="29" t="str">
        <f>IF(AA1600=1,COUNTIF($AA$2:AA1600,1),"")</f>
        <v/>
      </c>
    </row>
    <row r="1601" spans="6:28" ht="63" customHeight="1" x14ac:dyDescent="0.2">
      <c r="F1601" s="45" t="s">
        <v>4162</v>
      </c>
      <c r="T1601" s="41"/>
      <c r="U1601" s="29" t="str">
        <f>IF($C1601&lt;&gt;"",COUNTIF($C$2:C1601,C1601),"")</f>
        <v/>
      </c>
      <c r="V1601" s="29" t="str">
        <f t="shared" si="72"/>
        <v/>
      </c>
      <c r="W1601" s="29" t="str">
        <f>IF(U1601=1,COUNTIF($U$2:U1601,1),"")</f>
        <v/>
      </c>
      <c r="X1601" s="29" t="str">
        <f t="shared" si="73"/>
        <v/>
      </c>
      <c r="Y1601" s="29" t="str">
        <f>IF(AND(LEFT($B1601,7)="SBA 26/",$D1601&lt;&gt;"",$F1601&lt;&gt;""),COUNTIFS($D$2:$D1601,$D1601,$B$2:$B1601,"SBA 26/*",$F$2:$F1601,"&lt;&gt;"),"")</f>
        <v/>
      </c>
      <c r="Z1601" s="29" t="str">
        <f>IF(Y1601=1,COUNTIF($Y$2:Y1601,1),"")</f>
        <v/>
      </c>
      <c r="AA1601" s="29" t="str">
        <f>IF(AND(LEFT($B1601,7)="SBA 26/",$C1601&lt;&gt;"",$F1601&lt;&gt;""),COUNTIFS($C$2:$C1601,$C1601,$B$2:$B1601,"SBA 26/*",$F$2:$F1601,"&lt;&gt;"),"")</f>
        <v/>
      </c>
      <c r="AB1601" s="29" t="str">
        <f>IF(AA1601=1,COUNTIF($AA$2:AA1601,1),"")</f>
        <v/>
      </c>
    </row>
    <row r="1602" spans="6:28" ht="47.25" customHeight="1" x14ac:dyDescent="0.2">
      <c r="F1602" s="45" t="s">
        <v>4163</v>
      </c>
      <c r="T1602" s="41"/>
      <c r="U1602" s="29" t="str">
        <f>IF($C1602&lt;&gt;"",COUNTIF($C$2:C1602,C1602),"")</f>
        <v/>
      </c>
      <c r="V1602" s="29" t="str">
        <f t="shared" ref="V1602:V1665" si="74">IF($C1602&lt;&gt;"",C1602&amp;"§"&amp;U1602,"")</f>
        <v/>
      </c>
      <c r="W1602" s="29" t="str">
        <f>IF(U1602=1,COUNTIF($U$2:U1602,1),"")</f>
        <v/>
      </c>
      <c r="X1602" s="29" t="str">
        <f t="shared" ref="X1602:X1665" si="75">IF(U1602=1,SUMPRODUCT(($U$2:$U$1799=1)*($C$2:$C$1799&lt;C1602))+1,"")</f>
        <v/>
      </c>
      <c r="Y1602" s="29" t="str">
        <f>IF(AND(LEFT($B1602,7)="SBA 26/",$D1602&lt;&gt;"",$F1602&lt;&gt;""),COUNTIFS($D$2:$D1602,$D1602,$B$2:$B1602,"SBA 26/*",$F$2:$F1602,"&lt;&gt;"),"")</f>
        <v/>
      </c>
      <c r="Z1602" s="29" t="str">
        <f>IF(Y1602=1,COUNTIF($Y$2:Y1602,1),"")</f>
        <v/>
      </c>
      <c r="AA1602" s="29" t="str">
        <f>IF(AND(LEFT($B1602,7)="SBA 26/",$C1602&lt;&gt;"",$F1602&lt;&gt;""),COUNTIFS($C$2:$C1602,$C1602,$B$2:$B1602,"SBA 26/*",$F$2:$F1602,"&lt;&gt;"),"")</f>
        <v/>
      </c>
      <c r="AB1602" s="29" t="str">
        <f>IF(AA1602=1,COUNTIF($AA$2:AA1602,1),"")</f>
        <v/>
      </c>
    </row>
    <row r="1603" spans="6:28" ht="47.25" customHeight="1" x14ac:dyDescent="0.2">
      <c r="F1603" s="45" t="s">
        <v>4164</v>
      </c>
      <c r="T1603" s="41"/>
      <c r="U1603" s="29" t="str">
        <f>IF($C1603&lt;&gt;"",COUNTIF($C$2:C1603,C1603),"")</f>
        <v/>
      </c>
      <c r="V1603" s="29" t="str">
        <f t="shared" si="74"/>
        <v/>
      </c>
      <c r="W1603" s="29" t="str">
        <f>IF(U1603=1,COUNTIF($U$2:U1603,1),"")</f>
        <v/>
      </c>
      <c r="X1603" s="29" t="str">
        <f t="shared" si="75"/>
        <v/>
      </c>
      <c r="Y1603" s="29" t="str">
        <f>IF(AND(LEFT($B1603,7)="SBA 26/",$D1603&lt;&gt;"",$F1603&lt;&gt;""),COUNTIFS($D$2:$D1603,$D1603,$B$2:$B1603,"SBA 26/*",$F$2:$F1603,"&lt;&gt;"),"")</f>
        <v/>
      </c>
      <c r="Z1603" s="29" t="str">
        <f>IF(Y1603=1,COUNTIF($Y$2:Y1603,1),"")</f>
        <v/>
      </c>
      <c r="AA1603" s="29" t="str">
        <f>IF(AND(LEFT($B1603,7)="SBA 26/",$C1603&lt;&gt;"",$F1603&lt;&gt;""),COUNTIFS($C$2:$C1603,$C1603,$B$2:$B1603,"SBA 26/*",$F$2:$F1603,"&lt;&gt;"),"")</f>
        <v/>
      </c>
      <c r="AB1603" s="29" t="str">
        <f>IF(AA1603=1,COUNTIF($AA$2:AA1603,1),"")</f>
        <v/>
      </c>
    </row>
    <row r="1604" spans="6:28" ht="47.25" customHeight="1" x14ac:dyDescent="0.2">
      <c r="F1604" s="45" t="s">
        <v>4165</v>
      </c>
      <c r="T1604" s="41"/>
      <c r="U1604" s="29" t="str">
        <f>IF($C1604&lt;&gt;"",COUNTIF($C$2:C1604,C1604),"")</f>
        <v/>
      </c>
      <c r="V1604" s="29" t="str">
        <f t="shared" si="74"/>
        <v/>
      </c>
      <c r="W1604" s="29" t="str">
        <f>IF(U1604=1,COUNTIF($U$2:U1604,1),"")</f>
        <v/>
      </c>
      <c r="X1604" s="29" t="str">
        <f t="shared" si="75"/>
        <v/>
      </c>
      <c r="Y1604" s="29" t="str">
        <f>IF(AND(LEFT($B1604,7)="SBA 26/",$D1604&lt;&gt;"",$F1604&lt;&gt;""),COUNTIFS($D$2:$D1604,$D1604,$B$2:$B1604,"SBA 26/*",$F$2:$F1604,"&lt;&gt;"),"")</f>
        <v/>
      </c>
      <c r="Z1604" s="29" t="str">
        <f>IF(Y1604=1,COUNTIF($Y$2:Y1604,1),"")</f>
        <v/>
      </c>
      <c r="AA1604" s="29" t="str">
        <f>IF(AND(LEFT($B1604,7)="SBA 26/",$C1604&lt;&gt;"",$F1604&lt;&gt;""),COUNTIFS($C$2:$C1604,$C1604,$B$2:$B1604,"SBA 26/*",$F$2:$F1604,"&lt;&gt;"),"")</f>
        <v/>
      </c>
      <c r="AB1604" s="29" t="str">
        <f>IF(AA1604=1,COUNTIF($AA$2:AA1604,1),"")</f>
        <v/>
      </c>
    </row>
    <row r="1605" spans="6:28" ht="31.5" customHeight="1" x14ac:dyDescent="0.2">
      <c r="F1605" s="45" t="s">
        <v>4166</v>
      </c>
      <c r="T1605" s="41"/>
      <c r="U1605" s="29" t="str">
        <f>IF($C1605&lt;&gt;"",COUNTIF($C$2:C1605,C1605),"")</f>
        <v/>
      </c>
      <c r="V1605" s="29" t="str">
        <f t="shared" si="74"/>
        <v/>
      </c>
      <c r="W1605" s="29" t="str">
        <f>IF(U1605=1,COUNTIF($U$2:U1605,1),"")</f>
        <v/>
      </c>
      <c r="X1605" s="29" t="str">
        <f t="shared" si="75"/>
        <v/>
      </c>
      <c r="Y1605" s="29" t="str">
        <f>IF(AND(LEFT($B1605,7)="SBA 26/",$D1605&lt;&gt;"",$F1605&lt;&gt;""),COUNTIFS($D$2:$D1605,$D1605,$B$2:$B1605,"SBA 26/*",$F$2:$F1605,"&lt;&gt;"),"")</f>
        <v/>
      </c>
      <c r="Z1605" s="29" t="str">
        <f>IF(Y1605=1,COUNTIF($Y$2:Y1605,1),"")</f>
        <v/>
      </c>
      <c r="AA1605" s="29" t="str">
        <f>IF(AND(LEFT($B1605,7)="SBA 26/",$C1605&lt;&gt;"",$F1605&lt;&gt;""),COUNTIFS($C$2:$C1605,$C1605,$B$2:$B1605,"SBA 26/*",$F$2:$F1605,"&lt;&gt;"),"")</f>
        <v/>
      </c>
      <c r="AB1605" s="29" t="str">
        <f>IF(AA1605=1,COUNTIF($AA$2:AA1605,1),"")</f>
        <v/>
      </c>
    </row>
    <row r="1606" spans="6:28" ht="31.5" customHeight="1" x14ac:dyDescent="0.2">
      <c r="F1606" s="45" t="s">
        <v>4167</v>
      </c>
      <c r="T1606" s="41"/>
      <c r="U1606" s="29" t="str">
        <f>IF($C1606&lt;&gt;"",COUNTIF($C$2:C1606,C1606),"")</f>
        <v/>
      </c>
      <c r="V1606" s="29" t="str">
        <f t="shared" si="74"/>
        <v/>
      </c>
      <c r="W1606" s="29" t="str">
        <f>IF(U1606=1,COUNTIF($U$2:U1606,1),"")</f>
        <v/>
      </c>
      <c r="X1606" s="29" t="str">
        <f t="shared" si="75"/>
        <v/>
      </c>
      <c r="Y1606" s="29" t="str">
        <f>IF(AND(LEFT($B1606,7)="SBA 26/",$D1606&lt;&gt;"",$F1606&lt;&gt;""),COUNTIFS($D$2:$D1606,$D1606,$B$2:$B1606,"SBA 26/*",$F$2:$F1606,"&lt;&gt;"),"")</f>
        <v/>
      </c>
      <c r="Z1606" s="29" t="str">
        <f>IF(Y1606=1,COUNTIF($Y$2:Y1606,1),"")</f>
        <v/>
      </c>
      <c r="AA1606" s="29" t="str">
        <f>IF(AND(LEFT($B1606,7)="SBA 26/",$C1606&lt;&gt;"",$F1606&lt;&gt;""),COUNTIFS($C$2:$C1606,$C1606,$B$2:$B1606,"SBA 26/*",$F$2:$F1606,"&lt;&gt;"),"")</f>
        <v/>
      </c>
      <c r="AB1606" s="29" t="str">
        <f>IF(AA1606=1,COUNTIF($AA$2:AA1606,1),"")</f>
        <v/>
      </c>
    </row>
    <row r="1607" spans="6:28" ht="31.5" customHeight="1" x14ac:dyDescent="0.2">
      <c r="F1607" s="45" t="s">
        <v>4168</v>
      </c>
      <c r="T1607" s="41"/>
      <c r="U1607" s="29" t="str">
        <f>IF($C1607&lt;&gt;"",COUNTIF($C$2:C1607,C1607),"")</f>
        <v/>
      </c>
      <c r="V1607" s="29" t="str">
        <f t="shared" si="74"/>
        <v/>
      </c>
      <c r="W1607" s="29" t="str">
        <f>IF(U1607=1,COUNTIF($U$2:U1607,1),"")</f>
        <v/>
      </c>
      <c r="X1607" s="29" t="str">
        <f t="shared" si="75"/>
        <v/>
      </c>
      <c r="Y1607" s="29" t="str">
        <f>IF(AND(LEFT($B1607,7)="SBA 26/",$D1607&lt;&gt;"",$F1607&lt;&gt;""),COUNTIFS($D$2:$D1607,$D1607,$B$2:$B1607,"SBA 26/*",$F$2:$F1607,"&lt;&gt;"),"")</f>
        <v/>
      </c>
      <c r="Z1607" s="29" t="str">
        <f>IF(Y1607=1,COUNTIF($Y$2:Y1607,1),"")</f>
        <v/>
      </c>
      <c r="AA1607" s="29" t="str">
        <f>IF(AND(LEFT($B1607,7)="SBA 26/",$C1607&lt;&gt;"",$F1607&lt;&gt;""),COUNTIFS($C$2:$C1607,$C1607,$B$2:$B1607,"SBA 26/*",$F$2:$F1607,"&lt;&gt;"),"")</f>
        <v/>
      </c>
      <c r="AB1607" s="29" t="str">
        <f>IF(AA1607=1,COUNTIF($AA$2:AA1607,1),"")</f>
        <v/>
      </c>
    </row>
    <row r="1608" spans="6:28" ht="31.5" customHeight="1" x14ac:dyDescent="0.2">
      <c r="F1608" s="45" t="s">
        <v>4169</v>
      </c>
      <c r="T1608" s="41"/>
      <c r="U1608" s="29" t="str">
        <f>IF($C1608&lt;&gt;"",COUNTIF($C$2:C1608,C1608),"")</f>
        <v/>
      </c>
      <c r="V1608" s="29" t="str">
        <f t="shared" si="74"/>
        <v/>
      </c>
      <c r="W1608" s="29" t="str">
        <f>IF(U1608=1,COUNTIF($U$2:U1608,1),"")</f>
        <v/>
      </c>
      <c r="X1608" s="29" t="str">
        <f t="shared" si="75"/>
        <v/>
      </c>
      <c r="Y1608" s="29" t="str">
        <f>IF(AND(LEFT($B1608,7)="SBA 26/",$D1608&lt;&gt;"",$F1608&lt;&gt;""),COUNTIFS($D$2:$D1608,$D1608,$B$2:$B1608,"SBA 26/*",$F$2:$F1608,"&lt;&gt;"),"")</f>
        <v/>
      </c>
      <c r="Z1608" s="29" t="str">
        <f>IF(Y1608=1,COUNTIF($Y$2:Y1608,1),"")</f>
        <v/>
      </c>
      <c r="AA1608" s="29" t="str">
        <f>IF(AND(LEFT($B1608,7)="SBA 26/",$C1608&lt;&gt;"",$F1608&lt;&gt;""),COUNTIFS($C$2:$C1608,$C1608,$B$2:$B1608,"SBA 26/*",$F$2:$F1608,"&lt;&gt;"),"")</f>
        <v/>
      </c>
      <c r="AB1608" s="29" t="str">
        <f>IF(AA1608=1,COUNTIF($AA$2:AA1608,1),"")</f>
        <v/>
      </c>
    </row>
    <row r="1609" spans="6:28" ht="31.5" customHeight="1" x14ac:dyDescent="0.2">
      <c r="F1609" s="45" t="s">
        <v>4170</v>
      </c>
      <c r="T1609" s="41"/>
      <c r="U1609" s="29" t="str">
        <f>IF($C1609&lt;&gt;"",COUNTIF($C$2:C1609,C1609),"")</f>
        <v/>
      </c>
      <c r="V1609" s="29" t="str">
        <f t="shared" si="74"/>
        <v/>
      </c>
      <c r="W1609" s="29" t="str">
        <f>IF(U1609=1,COUNTIF($U$2:U1609,1),"")</f>
        <v/>
      </c>
      <c r="X1609" s="29" t="str">
        <f t="shared" si="75"/>
        <v/>
      </c>
      <c r="Y1609" s="29" t="str">
        <f>IF(AND(LEFT($B1609,7)="SBA 26/",$D1609&lt;&gt;"",$F1609&lt;&gt;""),COUNTIFS($D$2:$D1609,$D1609,$B$2:$B1609,"SBA 26/*",$F$2:$F1609,"&lt;&gt;"),"")</f>
        <v/>
      </c>
      <c r="Z1609" s="29" t="str">
        <f>IF(Y1609=1,COUNTIF($Y$2:Y1609,1),"")</f>
        <v/>
      </c>
      <c r="AA1609" s="29" t="str">
        <f>IF(AND(LEFT($B1609,7)="SBA 26/",$C1609&lt;&gt;"",$F1609&lt;&gt;""),COUNTIFS($C$2:$C1609,$C1609,$B$2:$B1609,"SBA 26/*",$F$2:$F1609,"&lt;&gt;"),"")</f>
        <v/>
      </c>
      <c r="AB1609" s="29" t="str">
        <f>IF(AA1609=1,COUNTIF($AA$2:AA1609,1),"")</f>
        <v/>
      </c>
    </row>
    <row r="1610" spans="6:28" ht="47.25" customHeight="1" x14ac:dyDescent="0.2">
      <c r="F1610" s="45" t="s">
        <v>4171</v>
      </c>
      <c r="T1610" s="41"/>
      <c r="U1610" s="29" t="str">
        <f>IF($C1610&lt;&gt;"",COUNTIF($C$2:C1610,C1610),"")</f>
        <v/>
      </c>
      <c r="V1610" s="29" t="str">
        <f t="shared" si="74"/>
        <v/>
      </c>
      <c r="W1610" s="29" t="str">
        <f>IF(U1610=1,COUNTIF($U$2:U1610,1),"")</f>
        <v/>
      </c>
      <c r="X1610" s="29" t="str">
        <f t="shared" si="75"/>
        <v/>
      </c>
      <c r="Y1610" s="29" t="str">
        <f>IF(AND(LEFT($B1610,7)="SBA 26/",$D1610&lt;&gt;"",$F1610&lt;&gt;""),COUNTIFS($D$2:$D1610,$D1610,$B$2:$B1610,"SBA 26/*",$F$2:$F1610,"&lt;&gt;"),"")</f>
        <v/>
      </c>
      <c r="Z1610" s="29" t="str">
        <f>IF(Y1610=1,COUNTIF($Y$2:Y1610,1),"")</f>
        <v/>
      </c>
      <c r="AA1610" s="29" t="str">
        <f>IF(AND(LEFT($B1610,7)="SBA 26/",$C1610&lt;&gt;"",$F1610&lt;&gt;""),COUNTIFS($C$2:$C1610,$C1610,$B$2:$B1610,"SBA 26/*",$F$2:$F1610,"&lt;&gt;"),"")</f>
        <v/>
      </c>
      <c r="AB1610" s="29" t="str">
        <f>IF(AA1610=1,COUNTIF($AA$2:AA1610,1),"")</f>
        <v/>
      </c>
    </row>
    <row r="1611" spans="6:28" ht="47.25" customHeight="1" x14ac:dyDescent="0.2">
      <c r="F1611" s="45" t="s">
        <v>4172</v>
      </c>
      <c r="T1611" s="41"/>
      <c r="U1611" s="29" t="str">
        <f>IF($C1611&lt;&gt;"",COUNTIF($C$2:C1611,C1611),"")</f>
        <v/>
      </c>
      <c r="V1611" s="29" t="str">
        <f t="shared" si="74"/>
        <v/>
      </c>
      <c r="W1611" s="29" t="str">
        <f>IF(U1611=1,COUNTIF($U$2:U1611,1),"")</f>
        <v/>
      </c>
      <c r="X1611" s="29" t="str">
        <f t="shared" si="75"/>
        <v/>
      </c>
      <c r="Y1611" s="29" t="str">
        <f>IF(AND(LEFT($B1611,7)="SBA 26/",$D1611&lt;&gt;"",$F1611&lt;&gt;""),COUNTIFS($D$2:$D1611,$D1611,$B$2:$B1611,"SBA 26/*",$F$2:$F1611,"&lt;&gt;"),"")</f>
        <v/>
      </c>
      <c r="Z1611" s="29" t="str">
        <f>IF(Y1611=1,COUNTIF($Y$2:Y1611,1),"")</f>
        <v/>
      </c>
      <c r="AA1611" s="29" t="str">
        <f>IF(AND(LEFT($B1611,7)="SBA 26/",$C1611&lt;&gt;"",$F1611&lt;&gt;""),COUNTIFS($C$2:$C1611,$C1611,$B$2:$B1611,"SBA 26/*",$F$2:$F1611,"&lt;&gt;"),"")</f>
        <v/>
      </c>
      <c r="AB1611" s="29" t="str">
        <f>IF(AA1611=1,COUNTIF($AA$2:AA1611,1),"")</f>
        <v/>
      </c>
    </row>
    <row r="1612" spans="6:28" ht="31.5" customHeight="1" x14ac:dyDescent="0.2">
      <c r="F1612" s="45" t="s">
        <v>4173</v>
      </c>
      <c r="T1612" s="41"/>
      <c r="U1612" s="29" t="str">
        <f>IF($C1612&lt;&gt;"",COUNTIF($C$2:C1612,C1612),"")</f>
        <v/>
      </c>
      <c r="V1612" s="29" t="str">
        <f t="shared" si="74"/>
        <v/>
      </c>
      <c r="W1612" s="29" t="str">
        <f>IF(U1612=1,COUNTIF($U$2:U1612,1),"")</f>
        <v/>
      </c>
      <c r="X1612" s="29" t="str">
        <f t="shared" si="75"/>
        <v/>
      </c>
      <c r="Y1612" s="29" t="str">
        <f>IF(AND(LEFT($B1612,7)="SBA 26/",$D1612&lt;&gt;"",$F1612&lt;&gt;""),COUNTIFS($D$2:$D1612,$D1612,$B$2:$B1612,"SBA 26/*",$F$2:$F1612,"&lt;&gt;"),"")</f>
        <v/>
      </c>
      <c r="Z1612" s="29" t="str">
        <f>IF(Y1612=1,COUNTIF($Y$2:Y1612,1),"")</f>
        <v/>
      </c>
      <c r="AA1612" s="29" t="str">
        <f>IF(AND(LEFT($B1612,7)="SBA 26/",$C1612&lt;&gt;"",$F1612&lt;&gt;""),COUNTIFS($C$2:$C1612,$C1612,$B$2:$B1612,"SBA 26/*",$F$2:$F1612,"&lt;&gt;"),"")</f>
        <v/>
      </c>
      <c r="AB1612" s="29" t="str">
        <f>IF(AA1612=1,COUNTIF($AA$2:AA1612,1),"")</f>
        <v/>
      </c>
    </row>
    <row r="1613" spans="6:28" ht="63" customHeight="1" x14ac:dyDescent="0.2">
      <c r="F1613" s="45" t="s">
        <v>4174</v>
      </c>
      <c r="T1613" s="41"/>
      <c r="U1613" s="29" t="str">
        <f>IF($C1613&lt;&gt;"",COUNTIF($C$2:C1613,C1613),"")</f>
        <v/>
      </c>
      <c r="V1613" s="29" t="str">
        <f t="shared" si="74"/>
        <v/>
      </c>
      <c r="W1613" s="29" t="str">
        <f>IF(U1613=1,COUNTIF($U$2:U1613,1),"")</f>
        <v/>
      </c>
      <c r="X1613" s="29" t="str">
        <f t="shared" si="75"/>
        <v/>
      </c>
      <c r="Y1613" s="29" t="str">
        <f>IF(AND(LEFT($B1613,7)="SBA 26/",$D1613&lt;&gt;"",$F1613&lt;&gt;""),COUNTIFS($D$2:$D1613,$D1613,$B$2:$B1613,"SBA 26/*",$F$2:$F1613,"&lt;&gt;"),"")</f>
        <v/>
      </c>
      <c r="Z1613" s="29" t="str">
        <f>IF(Y1613=1,COUNTIF($Y$2:Y1613,1),"")</f>
        <v/>
      </c>
      <c r="AA1613" s="29" t="str">
        <f>IF(AND(LEFT($B1613,7)="SBA 26/",$C1613&lt;&gt;"",$F1613&lt;&gt;""),COUNTIFS($C$2:$C1613,$C1613,$B$2:$B1613,"SBA 26/*",$F$2:$F1613,"&lt;&gt;"),"")</f>
        <v/>
      </c>
      <c r="AB1613" s="29" t="str">
        <f>IF(AA1613=1,COUNTIF($AA$2:AA1613,1),"")</f>
        <v/>
      </c>
    </row>
    <row r="1614" spans="6:28" ht="47.25" customHeight="1" x14ac:dyDescent="0.2">
      <c r="F1614" s="45" t="s">
        <v>4175</v>
      </c>
      <c r="T1614" s="41"/>
      <c r="U1614" s="29" t="str">
        <f>IF($C1614&lt;&gt;"",COUNTIF($C$2:C1614,C1614),"")</f>
        <v/>
      </c>
      <c r="V1614" s="29" t="str">
        <f t="shared" si="74"/>
        <v/>
      </c>
      <c r="W1614" s="29" t="str">
        <f>IF(U1614=1,COUNTIF($U$2:U1614,1),"")</f>
        <v/>
      </c>
      <c r="X1614" s="29" t="str">
        <f t="shared" si="75"/>
        <v/>
      </c>
      <c r="Y1614" s="29" t="str">
        <f>IF(AND(LEFT($B1614,7)="SBA 26/",$D1614&lt;&gt;"",$F1614&lt;&gt;""),COUNTIFS($D$2:$D1614,$D1614,$B$2:$B1614,"SBA 26/*",$F$2:$F1614,"&lt;&gt;"),"")</f>
        <v/>
      </c>
      <c r="Z1614" s="29" t="str">
        <f>IF(Y1614=1,COUNTIF($Y$2:Y1614,1),"")</f>
        <v/>
      </c>
      <c r="AA1614" s="29" t="str">
        <f>IF(AND(LEFT($B1614,7)="SBA 26/",$C1614&lt;&gt;"",$F1614&lt;&gt;""),COUNTIFS($C$2:$C1614,$C1614,$B$2:$B1614,"SBA 26/*",$F$2:$F1614,"&lt;&gt;"),"")</f>
        <v/>
      </c>
      <c r="AB1614" s="29" t="str">
        <f>IF(AA1614=1,COUNTIF($AA$2:AA1614,1),"")</f>
        <v/>
      </c>
    </row>
    <row r="1615" spans="6:28" ht="47.25" customHeight="1" x14ac:dyDescent="0.2">
      <c r="F1615" s="45" t="s">
        <v>4176</v>
      </c>
      <c r="T1615" s="41"/>
      <c r="U1615" s="29" t="str">
        <f>IF($C1615&lt;&gt;"",COUNTIF($C$2:C1615,C1615),"")</f>
        <v/>
      </c>
      <c r="V1615" s="29" t="str">
        <f t="shared" si="74"/>
        <v/>
      </c>
      <c r="W1615" s="29" t="str">
        <f>IF(U1615=1,COUNTIF($U$2:U1615,1),"")</f>
        <v/>
      </c>
      <c r="X1615" s="29" t="str">
        <f t="shared" si="75"/>
        <v/>
      </c>
      <c r="Y1615" s="29" t="str">
        <f>IF(AND(LEFT($B1615,7)="SBA 26/",$D1615&lt;&gt;"",$F1615&lt;&gt;""),COUNTIFS($D$2:$D1615,$D1615,$B$2:$B1615,"SBA 26/*",$F$2:$F1615,"&lt;&gt;"),"")</f>
        <v/>
      </c>
      <c r="Z1615" s="29" t="str">
        <f>IF(Y1615=1,COUNTIF($Y$2:Y1615,1),"")</f>
        <v/>
      </c>
      <c r="AA1615" s="29" t="str">
        <f>IF(AND(LEFT($B1615,7)="SBA 26/",$C1615&lt;&gt;"",$F1615&lt;&gt;""),COUNTIFS($C$2:$C1615,$C1615,$B$2:$B1615,"SBA 26/*",$F$2:$F1615,"&lt;&gt;"),"")</f>
        <v/>
      </c>
      <c r="AB1615" s="29" t="str">
        <f>IF(AA1615=1,COUNTIF($AA$2:AA1615,1),"")</f>
        <v/>
      </c>
    </row>
    <row r="1616" spans="6:28" ht="63" customHeight="1" x14ac:dyDescent="0.2">
      <c r="F1616" s="45" t="s">
        <v>4177</v>
      </c>
      <c r="T1616" s="41"/>
      <c r="U1616" s="29" t="str">
        <f>IF($C1616&lt;&gt;"",COUNTIF($C$2:C1616,C1616),"")</f>
        <v/>
      </c>
      <c r="V1616" s="29" t="str">
        <f t="shared" si="74"/>
        <v/>
      </c>
      <c r="W1616" s="29" t="str">
        <f>IF(U1616=1,COUNTIF($U$2:U1616,1),"")</f>
        <v/>
      </c>
      <c r="X1616" s="29" t="str">
        <f t="shared" si="75"/>
        <v/>
      </c>
      <c r="Y1616" s="29" t="str">
        <f>IF(AND(LEFT($B1616,7)="SBA 26/",$D1616&lt;&gt;"",$F1616&lt;&gt;""),COUNTIFS($D$2:$D1616,$D1616,$B$2:$B1616,"SBA 26/*",$F$2:$F1616,"&lt;&gt;"),"")</f>
        <v/>
      </c>
      <c r="Z1616" s="29" t="str">
        <f>IF(Y1616=1,COUNTIF($Y$2:Y1616,1),"")</f>
        <v/>
      </c>
      <c r="AA1616" s="29" t="str">
        <f>IF(AND(LEFT($B1616,7)="SBA 26/",$C1616&lt;&gt;"",$F1616&lt;&gt;""),COUNTIFS($C$2:$C1616,$C1616,$B$2:$B1616,"SBA 26/*",$F$2:$F1616,"&lt;&gt;"),"")</f>
        <v/>
      </c>
      <c r="AB1616" s="29" t="str">
        <f>IF(AA1616=1,COUNTIF($AA$2:AA1616,1),"")</f>
        <v/>
      </c>
    </row>
    <row r="1617" spans="6:28" ht="47.25" customHeight="1" x14ac:dyDescent="0.2">
      <c r="F1617" s="45" t="s">
        <v>4178</v>
      </c>
      <c r="T1617" s="41"/>
      <c r="U1617" s="29" t="str">
        <f>IF($C1617&lt;&gt;"",COUNTIF($C$2:C1617,C1617),"")</f>
        <v/>
      </c>
      <c r="V1617" s="29" t="str">
        <f t="shared" si="74"/>
        <v/>
      </c>
      <c r="W1617" s="29" t="str">
        <f>IF(U1617=1,COUNTIF($U$2:U1617,1),"")</f>
        <v/>
      </c>
      <c r="X1617" s="29" t="str">
        <f t="shared" si="75"/>
        <v/>
      </c>
      <c r="Y1617" s="29" t="str">
        <f>IF(AND(LEFT($B1617,7)="SBA 26/",$D1617&lt;&gt;"",$F1617&lt;&gt;""),COUNTIFS($D$2:$D1617,$D1617,$B$2:$B1617,"SBA 26/*",$F$2:$F1617,"&lt;&gt;"),"")</f>
        <v/>
      </c>
      <c r="Z1617" s="29" t="str">
        <f>IF(Y1617=1,COUNTIF($Y$2:Y1617,1),"")</f>
        <v/>
      </c>
      <c r="AA1617" s="29" t="str">
        <f>IF(AND(LEFT($B1617,7)="SBA 26/",$C1617&lt;&gt;"",$F1617&lt;&gt;""),COUNTIFS($C$2:$C1617,$C1617,$B$2:$B1617,"SBA 26/*",$F$2:$F1617,"&lt;&gt;"),"")</f>
        <v/>
      </c>
      <c r="AB1617" s="29" t="str">
        <f>IF(AA1617=1,COUNTIF($AA$2:AA1617,1),"")</f>
        <v/>
      </c>
    </row>
    <row r="1618" spans="6:28" ht="47.25" customHeight="1" x14ac:dyDescent="0.2">
      <c r="F1618" s="45" t="s">
        <v>4179</v>
      </c>
      <c r="T1618" s="41"/>
      <c r="U1618" s="29" t="str">
        <f>IF($C1618&lt;&gt;"",COUNTIF($C$2:C1618,C1618),"")</f>
        <v/>
      </c>
      <c r="V1618" s="29" t="str">
        <f t="shared" si="74"/>
        <v/>
      </c>
      <c r="W1618" s="29" t="str">
        <f>IF(U1618=1,COUNTIF($U$2:U1618,1),"")</f>
        <v/>
      </c>
      <c r="X1618" s="29" t="str">
        <f t="shared" si="75"/>
        <v/>
      </c>
      <c r="Y1618" s="29" t="str">
        <f>IF(AND(LEFT($B1618,7)="SBA 26/",$D1618&lt;&gt;"",$F1618&lt;&gt;""),COUNTIFS($D$2:$D1618,$D1618,$B$2:$B1618,"SBA 26/*",$F$2:$F1618,"&lt;&gt;"),"")</f>
        <v/>
      </c>
      <c r="Z1618" s="29" t="str">
        <f>IF(Y1618=1,COUNTIF($Y$2:Y1618,1),"")</f>
        <v/>
      </c>
      <c r="AA1618" s="29" t="str">
        <f>IF(AND(LEFT($B1618,7)="SBA 26/",$C1618&lt;&gt;"",$F1618&lt;&gt;""),COUNTIFS($C$2:$C1618,$C1618,$B$2:$B1618,"SBA 26/*",$F$2:$F1618,"&lt;&gt;"),"")</f>
        <v/>
      </c>
      <c r="AB1618" s="29" t="str">
        <f>IF(AA1618=1,COUNTIF($AA$2:AA1618,1),"")</f>
        <v/>
      </c>
    </row>
    <row r="1619" spans="6:28" ht="31.5" customHeight="1" x14ac:dyDescent="0.2">
      <c r="F1619" s="45" t="s">
        <v>4180</v>
      </c>
      <c r="T1619" s="41"/>
      <c r="U1619" s="29" t="str">
        <f>IF($C1619&lt;&gt;"",COUNTIF($C$2:C1619,C1619),"")</f>
        <v/>
      </c>
      <c r="V1619" s="29" t="str">
        <f t="shared" si="74"/>
        <v/>
      </c>
      <c r="W1619" s="29" t="str">
        <f>IF(U1619=1,COUNTIF($U$2:U1619,1),"")</f>
        <v/>
      </c>
      <c r="X1619" s="29" t="str">
        <f t="shared" si="75"/>
        <v/>
      </c>
      <c r="Y1619" s="29" t="str">
        <f>IF(AND(LEFT($B1619,7)="SBA 26/",$D1619&lt;&gt;"",$F1619&lt;&gt;""),COUNTIFS($D$2:$D1619,$D1619,$B$2:$B1619,"SBA 26/*",$F$2:$F1619,"&lt;&gt;"),"")</f>
        <v/>
      </c>
      <c r="Z1619" s="29" t="str">
        <f>IF(Y1619=1,COUNTIF($Y$2:Y1619,1),"")</f>
        <v/>
      </c>
      <c r="AA1619" s="29" t="str">
        <f>IF(AND(LEFT($B1619,7)="SBA 26/",$C1619&lt;&gt;"",$F1619&lt;&gt;""),COUNTIFS($C$2:$C1619,$C1619,$B$2:$B1619,"SBA 26/*",$F$2:$F1619,"&lt;&gt;"),"")</f>
        <v/>
      </c>
      <c r="AB1619" s="29" t="str">
        <f>IF(AA1619=1,COUNTIF($AA$2:AA1619,1),"")</f>
        <v/>
      </c>
    </row>
    <row r="1620" spans="6:28" ht="63" customHeight="1" x14ac:dyDescent="0.2">
      <c r="F1620" s="45" t="s">
        <v>4181</v>
      </c>
      <c r="T1620" s="41"/>
      <c r="U1620" s="29" t="str">
        <f>IF($C1620&lt;&gt;"",COUNTIF($C$2:C1620,C1620),"")</f>
        <v/>
      </c>
      <c r="V1620" s="29" t="str">
        <f t="shared" si="74"/>
        <v/>
      </c>
      <c r="W1620" s="29" t="str">
        <f>IF(U1620=1,COUNTIF($U$2:U1620,1),"")</f>
        <v/>
      </c>
      <c r="X1620" s="29" t="str">
        <f t="shared" si="75"/>
        <v/>
      </c>
      <c r="Y1620" s="29" t="str">
        <f>IF(AND(LEFT($B1620,7)="SBA 26/",$D1620&lt;&gt;"",$F1620&lt;&gt;""),COUNTIFS($D$2:$D1620,$D1620,$B$2:$B1620,"SBA 26/*",$F$2:$F1620,"&lt;&gt;"),"")</f>
        <v/>
      </c>
      <c r="Z1620" s="29" t="str">
        <f>IF(Y1620=1,COUNTIF($Y$2:Y1620,1),"")</f>
        <v/>
      </c>
      <c r="AA1620" s="29" t="str">
        <f>IF(AND(LEFT($B1620,7)="SBA 26/",$C1620&lt;&gt;"",$F1620&lt;&gt;""),COUNTIFS($C$2:$C1620,$C1620,$B$2:$B1620,"SBA 26/*",$F$2:$F1620,"&lt;&gt;"),"")</f>
        <v/>
      </c>
      <c r="AB1620" s="29" t="str">
        <f>IF(AA1620=1,COUNTIF($AA$2:AA1620,1),"")</f>
        <v/>
      </c>
    </row>
    <row r="1621" spans="6:28" ht="47.25" customHeight="1" x14ac:dyDescent="0.2">
      <c r="F1621" s="45" t="s">
        <v>4182</v>
      </c>
      <c r="T1621" s="41"/>
      <c r="U1621" s="29" t="str">
        <f>IF($C1621&lt;&gt;"",COUNTIF($C$2:C1621,C1621),"")</f>
        <v/>
      </c>
      <c r="V1621" s="29" t="str">
        <f t="shared" si="74"/>
        <v/>
      </c>
      <c r="W1621" s="29" t="str">
        <f>IF(U1621=1,COUNTIF($U$2:U1621,1),"")</f>
        <v/>
      </c>
      <c r="X1621" s="29" t="str">
        <f t="shared" si="75"/>
        <v/>
      </c>
      <c r="Y1621" s="29" t="str">
        <f>IF(AND(LEFT($B1621,7)="SBA 26/",$D1621&lt;&gt;"",$F1621&lt;&gt;""),COUNTIFS($D$2:$D1621,$D1621,$B$2:$B1621,"SBA 26/*",$F$2:$F1621,"&lt;&gt;"),"")</f>
        <v/>
      </c>
      <c r="Z1621" s="29" t="str">
        <f>IF(Y1621=1,COUNTIF($Y$2:Y1621,1),"")</f>
        <v/>
      </c>
      <c r="AA1621" s="29" t="str">
        <f>IF(AND(LEFT($B1621,7)="SBA 26/",$C1621&lt;&gt;"",$F1621&lt;&gt;""),COUNTIFS($C$2:$C1621,$C1621,$B$2:$B1621,"SBA 26/*",$F$2:$F1621,"&lt;&gt;"),"")</f>
        <v/>
      </c>
      <c r="AB1621" s="29" t="str">
        <f>IF(AA1621=1,COUNTIF($AA$2:AA1621,1),"")</f>
        <v/>
      </c>
    </row>
    <row r="1622" spans="6:28" ht="47.25" customHeight="1" x14ac:dyDescent="0.2">
      <c r="F1622" s="45" t="s">
        <v>4183</v>
      </c>
      <c r="T1622" s="41"/>
      <c r="U1622" s="29" t="str">
        <f>IF($C1622&lt;&gt;"",COUNTIF($C$2:C1622,C1622),"")</f>
        <v/>
      </c>
      <c r="V1622" s="29" t="str">
        <f t="shared" si="74"/>
        <v/>
      </c>
      <c r="W1622" s="29" t="str">
        <f>IF(U1622=1,COUNTIF($U$2:U1622,1),"")</f>
        <v/>
      </c>
      <c r="X1622" s="29" t="str">
        <f t="shared" si="75"/>
        <v/>
      </c>
      <c r="Y1622" s="29" t="str">
        <f>IF(AND(LEFT($B1622,7)="SBA 26/",$D1622&lt;&gt;"",$F1622&lt;&gt;""),COUNTIFS($D$2:$D1622,$D1622,$B$2:$B1622,"SBA 26/*",$F$2:$F1622,"&lt;&gt;"),"")</f>
        <v/>
      </c>
      <c r="Z1622" s="29" t="str">
        <f>IF(Y1622=1,COUNTIF($Y$2:Y1622,1),"")</f>
        <v/>
      </c>
      <c r="AA1622" s="29" t="str">
        <f>IF(AND(LEFT($B1622,7)="SBA 26/",$C1622&lt;&gt;"",$F1622&lt;&gt;""),COUNTIFS($C$2:$C1622,$C1622,$B$2:$B1622,"SBA 26/*",$F$2:$F1622,"&lt;&gt;"),"")</f>
        <v/>
      </c>
      <c r="AB1622" s="29" t="str">
        <f>IF(AA1622=1,COUNTIF($AA$2:AA1622,1),"")</f>
        <v/>
      </c>
    </row>
    <row r="1623" spans="6:28" ht="47.25" customHeight="1" x14ac:dyDescent="0.2">
      <c r="F1623" s="45" t="s">
        <v>4184</v>
      </c>
      <c r="T1623" s="41"/>
      <c r="U1623" s="29" t="str">
        <f>IF($C1623&lt;&gt;"",COUNTIF($C$2:C1623,C1623),"")</f>
        <v/>
      </c>
      <c r="V1623" s="29" t="str">
        <f t="shared" si="74"/>
        <v/>
      </c>
      <c r="W1623" s="29" t="str">
        <f>IF(U1623=1,COUNTIF($U$2:U1623,1),"")</f>
        <v/>
      </c>
      <c r="X1623" s="29" t="str">
        <f t="shared" si="75"/>
        <v/>
      </c>
      <c r="Y1623" s="29" t="str">
        <f>IF(AND(LEFT($B1623,7)="SBA 26/",$D1623&lt;&gt;"",$F1623&lt;&gt;""),COUNTIFS($D$2:$D1623,$D1623,$B$2:$B1623,"SBA 26/*",$F$2:$F1623,"&lt;&gt;"),"")</f>
        <v/>
      </c>
      <c r="Z1623" s="29" t="str">
        <f>IF(Y1623=1,COUNTIF($Y$2:Y1623,1),"")</f>
        <v/>
      </c>
      <c r="AA1623" s="29" t="str">
        <f>IF(AND(LEFT($B1623,7)="SBA 26/",$C1623&lt;&gt;"",$F1623&lt;&gt;""),COUNTIFS($C$2:$C1623,$C1623,$B$2:$B1623,"SBA 26/*",$F$2:$F1623,"&lt;&gt;"),"")</f>
        <v/>
      </c>
      <c r="AB1623" s="29" t="str">
        <f>IF(AA1623=1,COUNTIF($AA$2:AA1623,1),"")</f>
        <v/>
      </c>
    </row>
    <row r="1624" spans="6:28" ht="31.5" customHeight="1" x14ac:dyDescent="0.2">
      <c r="F1624" s="45" t="s">
        <v>4185</v>
      </c>
      <c r="T1624" s="41"/>
      <c r="U1624" s="29" t="str">
        <f>IF($C1624&lt;&gt;"",COUNTIF($C$2:C1624,C1624),"")</f>
        <v/>
      </c>
      <c r="V1624" s="29" t="str">
        <f t="shared" si="74"/>
        <v/>
      </c>
      <c r="W1624" s="29" t="str">
        <f>IF(U1624=1,COUNTIF($U$2:U1624,1),"")</f>
        <v/>
      </c>
      <c r="X1624" s="29" t="str">
        <f t="shared" si="75"/>
        <v/>
      </c>
      <c r="Y1624" s="29" t="str">
        <f>IF(AND(LEFT($B1624,7)="SBA 26/",$D1624&lt;&gt;"",$F1624&lt;&gt;""),COUNTIFS($D$2:$D1624,$D1624,$B$2:$B1624,"SBA 26/*",$F$2:$F1624,"&lt;&gt;"),"")</f>
        <v/>
      </c>
      <c r="Z1624" s="29" t="str">
        <f>IF(Y1624=1,COUNTIF($Y$2:Y1624,1),"")</f>
        <v/>
      </c>
      <c r="AA1624" s="29" t="str">
        <f>IF(AND(LEFT($B1624,7)="SBA 26/",$C1624&lt;&gt;"",$F1624&lt;&gt;""),COUNTIFS($C$2:$C1624,$C1624,$B$2:$B1624,"SBA 26/*",$F$2:$F1624,"&lt;&gt;"),"")</f>
        <v/>
      </c>
      <c r="AB1624" s="29" t="str">
        <f>IF(AA1624=1,COUNTIF($AA$2:AA1624,1),"")</f>
        <v/>
      </c>
    </row>
    <row r="1625" spans="6:28" ht="31.5" customHeight="1" x14ac:dyDescent="0.2">
      <c r="F1625" s="45" t="s">
        <v>4186</v>
      </c>
      <c r="T1625" s="41"/>
      <c r="U1625" s="29" t="str">
        <f>IF($C1625&lt;&gt;"",COUNTIF($C$2:C1625,C1625),"")</f>
        <v/>
      </c>
      <c r="V1625" s="29" t="str">
        <f t="shared" si="74"/>
        <v/>
      </c>
      <c r="W1625" s="29" t="str">
        <f>IF(U1625=1,COUNTIF($U$2:U1625,1),"")</f>
        <v/>
      </c>
      <c r="X1625" s="29" t="str">
        <f t="shared" si="75"/>
        <v/>
      </c>
      <c r="Y1625" s="29" t="str">
        <f>IF(AND(LEFT($B1625,7)="SBA 26/",$D1625&lt;&gt;"",$F1625&lt;&gt;""),COUNTIFS($D$2:$D1625,$D1625,$B$2:$B1625,"SBA 26/*",$F$2:$F1625,"&lt;&gt;"),"")</f>
        <v/>
      </c>
      <c r="Z1625" s="29" t="str">
        <f>IF(Y1625=1,COUNTIF($Y$2:Y1625,1),"")</f>
        <v/>
      </c>
      <c r="AA1625" s="29" t="str">
        <f>IF(AND(LEFT($B1625,7)="SBA 26/",$C1625&lt;&gt;"",$F1625&lt;&gt;""),COUNTIFS($C$2:$C1625,$C1625,$B$2:$B1625,"SBA 26/*",$F$2:$F1625,"&lt;&gt;"),"")</f>
        <v/>
      </c>
      <c r="AB1625" s="29" t="str">
        <f>IF(AA1625=1,COUNTIF($AA$2:AA1625,1),"")</f>
        <v/>
      </c>
    </row>
    <row r="1626" spans="6:28" ht="47.25" customHeight="1" x14ac:dyDescent="0.2">
      <c r="F1626" s="45" t="s">
        <v>4187</v>
      </c>
      <c r="T1626" s="41"/>
      <c r="U1626" s="29" t="str">
        <f>IF($C1626&lt;&gt;"",COUNTIF($C$2:C1626,C1626),"")</f>
        <v/>
      </c>
      <c r="V1626" s="29" t="str">
        <f t="shared" si="74"/>
        <v/>
      </c>
      <c r="W1626" s="29" t="str">
        <f>IF(U1626=1,COUNTIF($U$2:U1626,1),"")</f>
        <v/>
      </c>
      <c r="X1626" s="29" t="str">
        <f t="shared" si="75"/>
        <v/>
      </c>
      <c r="Y1626" s="29" t="str">
        <f>IF(AND(LEFT($B1626,7)="SBA 26/",$D1626&lt;&gt;"",$F1626&lt;&gt;""),COUNTIFS($D$2:$D1626,$D1626,$B$2:$B1626,"SBA 26/*",$F$2:$F1626,"&lt;&gt;"),"")</f>
        <v/>
      </c>
      <c r="Z1626" s="29" t="str">
        <f>IF(Y1626=1,COUNTIF($Y$2:Y1626,1),"")</f>
        <v/>
      </c>
      <c r="AA1626" s="29" t="str">
        <f>IF(AND(LEFT($B1626,7)="SBA 26/",$C1626&lt;&gt;"",$F1626&lt;&gt;""),COUNTIFS($C$2:$C1626,$C1626,$B$2:$B1626,"SBA 26/*",$F$2:$F1626,"&lt;&gt;"),"")</f>
        <v/>
      </c>
      <c r="AB1626" s="29" t="str">
        <f>IF(AA1626=1,COUNTIF($AA$2:AA1626,1),"")</f>
        <v/>
      </c>
    </row>
    <row r="1627" spans="6:28" ht="78.75" customHeight="1" x14ac:dyDescent="0.2">
      <c r="F1627" s="45" t="s">
        <v>4188</v>
      </c>
      <c r="T1627" s="41"/>
      <c r="U1627" s="29" t="str">
        <f>IF($C1627&lt;&gt;"",COUNTIF($C$2:C1627,C1627),"")</f>
        <v/>
      </c>
      <c r="V1627" s="29" t="str">
        <f t="shared" si="74"/>
        <v/>
      </c>
      <c r="W1627" s="29" t="str">
        <f>IF(U1627=1,COUNTIF($U$2:U1627,1),"")</f>
        <v/>
      </c>
      <c r="X1627" s="29" t="str">
        <f t="shared" si="75"/>
        <v/>
      </c>
      <c r="Y1627" s="29" t="str">
        <f>IF(AND(LEFT($B1627,7)="SBA 26/",$D1627&lt;&gt;"",$F1627&lt;&gt;""),COUNTIFS($D$2:$D1627,$D1627,$B$2:$B1627,"SBA 26/*",$F$2:$F1627,"&lt;&gt;"),"")</f>
        <v/>
      </c>
      <c r="Z1627" s="29" t="str">
        <f>IF(Y1627=1,COUNTIF($Y$2:Y1627,1),"")</f>
        <v/>
      </c>
      <c r="AA1627" s="29" t="str">
        <f>IF(AND(LEFT($B1627,7)="SBA 26/",$C1627&lt;&gt;"",$F1627&lt;&gt;""),COUNTIFS($C$2:$C1627,$C1627,$B$2:$B1627,"SBA 26/*",$F$2:$F1627,"&lt;&gt;"),"")</f>
        <v/>
      </c>
      <c r="AB1627" s="29" t="str">
        <f>IF(AA1627=1,COUNTIF($AA$2:AA1627,1),"")</f>
        <v/>
      </c>
    </row>
    <row r="1628" spans="6:28" ht="31.5" customHeight="1" x14ac:dyDescent="0.2">
      <c r="F1628" s="45" t="s">
        <v>4189</v>
      </c>
      <c r="T1628" s="41"/>
      <c r="U1628" s="29" t="str">
        <f>IF($C1628&lt;&gt;"",COUNTIF($C$2:C1628,C1628),"")</f>
        <v/>
      </c>
      <c r="V1628" s="29" t="str">
        <f t="shared" si="74"/>
        <v/>
      </c>
      <c r="W1628" s="29" t="str">
        <f>IF(U1628=1,COUNTIF($U$2:U1628,1),"")</f>
        <v/>
      </c>
      <c r="X1628" s="29" t="str">
        <f t="shared" si="75"/>
        <v/>
      </c>
      <c r="Y1628" s="29" t="str">
        <f>IF(AND(LEFT($B1628,7)="SBA 26/",$D1628&lt;&gt;"",$F1628&lt;&gt;""),COUNTIFS($D$2:$D1628,$D1628,$B$2:$B1628,"SBA 26/*",$F$2:$F1628,"&lt;&gt;"),"")</f>
        <v/>
      </c>
      <c r="Z1628" s="29" t="str">
        <f>IF(Y1628=1,COUNTIF($Y$2:Y1628,1),"")</f>
        <v/>
      </c>
      <c r="AA1628" s="29" t="str">
        <f>IF(AND(LEFT($B1628,7)="SBA 26/",$C1628&lt;&gt;"",$F1628&lt;&gt;""),COUNTIFS($C$2:$C1628,$C1628,$B$2:$B1628,"SBA 26/*",$F$2:$F1628,"&lt;&gt;"),"")</f>
        <v/>
      </c>
      <c r="AB1628" s="29" t="str">
        <f>IF(AA1628=1,COUNTIF($AA$2:AA1628,1),"")</f>
        <v/>
      </c>
    </row>
    <row r="1629" spans="6:28" ht="47.25" customHeight="1" x14ac:dyDescent="0.2">
      <c r="F1629" s="45" t="s">
        <v>4190</v>
      </c>
      <c r="T1629" s="41"/>
      <c r="U1629" s="29" t="str">
        <f>IF($C1629&lt;&gt;"",COUNTIF($C$2:C1629,C1629),"")</f>
        <v/>
      </c>
      <c r="V1629" s="29" t="str">
        <f t="shared" si="74"/>
        <v/>
      </c>
      <c r="W1629" s="29" t="str">
        <f>IF(U1629=1,COUNTIF($U$2:U1629,1),"")</f>
        <v/>
      </c>
      <c r="X1629" s="29" t="str">
        <f t="shared" si="75"/>
        <v/>
      </c>
      <c r="Y1629" s="29" t="str">
        <f>IF(AND(LEFT($B1629,7)="SBA 26/",$D1629&lt;&gt;"",$F1629&lt;&gt;""),COUNTIFS($D$2:$D1629,$D1629,$B$2:$B1629,"SBA 26/*",$F$2:$F1629,"&lt;&gt;"),"")</f>
        <v/>
      </c>
      <c r="Z1629" s="29" t="str">
        <f>IF(Y1629=1,COUNTIF($Y$2:Y1629,1),"")</f>
        <v/>
      </c>
      <c r="AA1629" s="29" t="str">
        <f>IF(AND(LEFT($B1629,7)="SBA 26/",$C1629&lt;&gt;"",$F1629&lt;&gt;""),COUNTIFS($C$2:$C1629,$C1629,$B$2:$B1629,"SBA 26/*",$F$2:$F1629,"&lt;&gt;"),"")</f>
        <v/>
      </c>
      <c r="AB1629" s="29" t="str">
        <f>IF(AA1629=1,COUNTIF($AA$2:AA1629,1),"")</f>
        <v/>
      </c>
    </row>
    <row r="1630" spans="6:28" ht="31.5" customHeight="1" x14ac:dyDescent="0.2">
      <c r="F1630" s="45" t="s">
        <v>4191</v>
      </c>
      <c r="T1630" s="41"/>
      <c r="U1630" s="29" t="str">
        <f>IF($C1630&lt;&gt;"",COUNTIF($C$2:C1630,C1630),"")</f>
        <v/>
      </c>
      <c r="V1630" s="29" t="str">
        <f t="shared" si="74"/>
        <v/>
      </c>
      <c r="W1630" s="29" t="str">
        <f>IF(U1630=1,COUNTIF($U$2:U1630,1),"")</f>
        <v/>
      </c>
      <c r="X1630" s="29" t="str">
        <f t="shared" si="75"/>
        <v/>
      </c>
      <c r="Y1630" s="29" t="str">
        <f>IF(AND(LEFT($B1630,7)="SBA 26/",$D1630&lt;&gt;"",$F1630&lt;&gt;""),COUNTIFS($D$2:$D1630,$D1630,$B$2:$B1630,"SBA 26/*",$F$2:$F1630,"&lt;&gt;"),"")</f>
        <v/>
      </c>
      <c r="Z1630" s="29" t="str">
        <f>IF(Y1630=1,COUNTIF($Y$2:Y1630,1),"")</f>
        <v/>
      </c>
      <c r="AA1630" s="29" t="str">
        <f>IF(AND(LEFT($B1630,7)="SBA 26/",$C1630&lt;&gt;"",$F1630&lt;&gt;""),COUNTIFS($C$2:$C1630,$C1630,$B$2:$B1630,"SBA 26/*",$F$2:$F1630,"&lt;&gt;"),"")</f>
        <v/>
      </c>
      <c r="AB1630" s="29" t="str">
        <f>IF(AA1630=1,COUNTIF($AA$2:AA1630,1),"")</f>
        <v/>
      </c>
    </row>
    <row r="1631" spans="6:28" ht="31.5" customHeight="1" x14ac:dyDescent="0.2">
      <c r="F1631" s="45" t="s">
        <v>4192</v>
      </c>
      <c r="T1631" s="41"/>
      <c r="U1631" s="29" t="str">
        <f>IF($C1631&lt;&gt;"",COUNTIF($C$2:C1631,C1631),"")</f>
        <v/>
      </c>
      <c r="V1631" s="29" t="str">
        <f t="shared" si="74"/>
        <v/>
      </c>
      <c r="W1631" s="29" t="str">
        <f>IF(U1631=1,COUNTIF($U$2:U1631,1),"")</f>
        <v/>
      </c>
      <c r="X1631" s="29" t="str">
        <f t="shared" si="75"/>
        <v/>
      </c>
      <c r="Y1631" s="29" t="str">
        <f>IF(AND(LEFT($B1631,7)="SBA 26/",$D1631&lt;&gt;"",$F1631&lt;&gt;""),COUNTIFS($D$2:$D1631,$D1631,$B$2:$B1631,"SBA 26/*",$F$2:$F1631,"&lt;&gt;"),"")</f>
        <v/>
      </c>
      <c r="Z1631" s="29" t="str">
        <f>IF(Y1631=1,COUNTIF($Y$2:Y1631,1),"")</f>
        <v/>
      </c>
      <c r="AA1631" s="29" t="str">
        <f>IF(AND(LEFT($B1631,7)="SBA 26/",$C1631&lt;&gt;"",$F1631&lt;&gt;""),COUNTIFS($C$2:$C1631,$C1631,$B$2:$B1631,"SBA 26/*",$F$2:$F1631,"&lt;&gt;"),"")</f>
        <v/>
      </c>
      <c r="AB1631" s="29" t="str">
        <f>IF(AA1631=1,COUNTIF($AA$2:AA1631,1),"")</f>
        <v/>
      </c>
    </row>
    <row r="1632" spans="6:28" ht="31.5" customHeight="1" x14ac:dyDescent="0.2">
      <c r="F1632" s="45" t="s">
        <v>4193</v>
      </c>
      <c r="T1632" s="41"/>
      <c r="U1632" s="29" t="str">
        <f>IF($C1632&lt;&gt;"",COUNTIF($C$2:C1632,C1632),"")</f>
        <v/>
      </c>
      <c r="V1632" s="29" t="str">
        <f t="shared" si="74"/>
        <v/>
      </c>
      <c r="W1632" s="29" t="str">
        <f>IF(U1632=1,COUNTIF($U$2:U1632,1),"")</f>
        <v/>
      </c>
      <c r="X1632" s="29" t="str">
        <f t="shared" si="75"/>
        <v/>
      </c>
      <c r="Y1632" s="29" t="str">
        <f>IF(AND(LEFT($B1632,7)="SBA 26/",$D1632&lt;&gt;"",$F1632&lt;&gt;""),COUNTIFS($D$2:$D1632,$D1632,$B$2:$B1632,"SBA 26/*",$F$2:$F1632,"&lt;&gt;"),"")</f>
        <v/>
      </c>
      <c r="Z1632" s="29" t="str">
        <f>IF(Y1632=1,COUNTIF($Y$2:Y1632,1),"")</f>
        <v/>
      </c>
      <c r="AA1632" s="29" t="str">
        <f>IF(AND(LEFT($B1632,7)="SBA 26/",$C1632&lt;&gt;"",$F1632&lt;&gt;""),COUNTIFS($C$2:$C1632,$C1632,$B$2:$B1632,"SBA 26/*",$F$2:$F1632,"&lt;&gt;"),"")</f>
        <v/>
      </c>
      <c r="AB1632" s="29" t="str">
        <f>IF(AA1632=1,COUNTIF($AA$2:AA1632,1),"")</f>
        <v/>
      </c>
    </row>
    <row r="1633" spans="6:28" ht="47.25" customHeight="1" x14ac:dyDescent="0.2">
      <c r="F1633" s="45" t="s">
        <v>4194</v>
      </c>
      <c r="T1633" s="41"/>
      <c r="U1633" s="29" t="str">
        <f>IF($C1633&lt;&gt;"",COUNTIF($C$2:C1633,C1633),"")</f>
        <v/>
      </c>
      <c r="V1633" s="29" t="str">
        <f t="shared" si="74"/>
        <v/>
      </c>
      <c r="W1633" s="29" t="str">
        <f>IF(U1633=1,COUNTIF($U$2:U1633,1),"")</f>
        <v/>
      </c>
      <c r="X1633" s="29" t="str">
        <f t="shared" si="75"/>
        <v/>
      </c>
      <c r="Y1633" s="29" t="str">
        <f>IF(AND(LEFT($B1633,7)="SBA 26/",$D1633&lt;&gt;"",$F1633&lt;&gt;""),COUNTIFS($D$2:$D1633,$D1633,$B$2:$B1633,"SBA 26/*",$F$2:$F1633,"&lt;&gt;"),"")</f>
        <v/>
      </c>
      <c r="Z1633" s="29" t="str">
        <f>IF(Y1633=1,COUNTIF($Y$2:Y1633,1),"")</f>
        <v/>
      </c>
      <c r="AA1633" s="29" t="str">
        <f>IF(AND(LEFT($B1633,7)="SBA 26/",$C1633&lt;&gt;"",$F1633&lt;&gt;""),COUNTIFS($C$2:$C1633,$C1633,$B$2:$B1633,"SBA 26/*",$F$2:$F1633,"&lt;&gt;"),"")</f>
        <v/>
      </c>
      <c r="AB1633" s="29" t="str">
        <f>IF(AA1633=1,COUNTIF($AA$2:AA1633,1),"")</f>
        <v/>
      </c>
    </row>
    <row r="1634" spans="6:28" ht="31.5" customHeight="1" x14ac:dyDescent="0.2">
      <c r="F1634" s="45" t="s">
        <v>4195</v>
      </c>
      <c r="T1634" s="41"/>
      <c r="U1634" s="29" t="str">
        <f>IF($C1634&lt;&gt;"",COUNTIF($C$2:C1634,C1634),"")</f>
        <v/>
      </c>
      <c r="V1634" s="29" t="str">
        <f t="shared" si="74"/>
        <v/>
      </c>
      <c r="W1634" s="29" t="str">
        <f>IF(U1634=1,COUNTIF($U$2:U1634,1),"")</f>
        <v/>
      </c>
      <c r="X1634" s="29" t="str">
        <f t="shared" si="75"/>
        <v/>
      </c>
      <c r="Y1634" s="29" t="str">
        <f>IF(AND(LEFT($B1634,7)="SBA 26/",$D1634&lt;&gt;"",$F1634&lt;&gt;""),COUNTIFS($D$2:$D1634,$D1634,$B$2:$B1634,"SBA 26/*",$F$2:$F1634,"&lt;&gt;"),"")</f>
        <v/>
      </c>
      <c r="Z1634" s="29" t="str">
        <f>IF(Y1634=1,COUNTIF($Y$2:Y1634,1),"")</f>
        <v/>
      </c>
      <c r="AA1634" s="29" t="str">
        <f>IF(AND(LEFT($B1634,7)="SBA 26/",$C1634&lt;&gt;"",$F1634&lt;&gt;""),COUNTIFS($C$2:$C1634,$C1634,$B$2:$B1634,"SBA 26/*",$F$2:$F1634,"&lt;&gt;"),"")</f>
        <v/>
      </c>
      <c r="AB1634" s="29" t="str">
        <f>IF(AA1634=1,COUNTIF($AA$2:AA1634,1),"")</f>
        <v/>
      </c>
    </row>
    <row r="1635" spans="6:28" ht="31.5" customHeight="1" x14ac:dyDescent="0.2">
      <c r="F1635" s="45" t="s">
        <v>4196</v>
      </c>
      <c r="T1635" s="41"/>
      <c r="U1635" s="29" t="str">
        <f>IF($C1635&lt;&gt;"",COUNTIF($C$2:C1635,C1635),"")</f>
        <v/>
      </c>
      <c r="V1635" s="29" t="str">
        <f t="shared" si="74"/>
        <v/>
      </c>
      <c r="W1635" s="29" t="str">
        <f>IF(U1635=1,COUNTIF($U$2:U1635,1),"")</f>
        <v/>
      </c>
      <c r="X1635" s="29" t="str">
        <f t="shared" si="75"/>
        <v/>
      </c>
      <c r="Y1635" s="29" t="str">
        <f>IF(AND(LEFT($B1635,7)="SBA 26/",$D1635&lt;&gt;"",$F1635&lt;&gt;""),COUNTIFS($D$2:$D1635,$D1635,$B$2:$B1635,"SBA 26/*",$F$2:$F1635,"&lt;&gt;"),"")</f>
        <v/>
      </c>
      <c r="Z1635" s="29" t="str">
        <f>IF(Y1635=1,COUNTIF($Y$2:Y1635,1),"")</f>
        <v/>
      </c>
      <c r="AA1635" s="29" t="str">
        <f>IF(AND(LEFT($B1635,7)="SBA 26/",$C1635&lt;&gt;"",$F1635&lt;&gt;""),COUNTIFS($C$2:$C1635,$C1635,$B$2:$B1635,"SBA 26/*",$F$2:$F1635,"&lt;&gt;"),"")</f>
        <v/>
      </c>
      <c r="AB1635" s="29" t="str">
        <f>IF(AA1635=1,COUNTIF($AA$2:AA1635,1),"")</f>
        <v/>
      </c>
    </row>
    <row r="1636" spans="6:28" ht="47.25" customHeight="1" x14ac:dyDescent="0.2">
      <c r="F1636" s="45" t="s">
        <v>4197</v>
      </c>
      <c r="T1636" s="41"/>
      <c r="U1636" s="29" t="str">
        <f>IF($C1636&lt;&gt;"",COUNTIF($C$2:C1636,C1636),"")</f>
        <v/>
      </c>
      <c r="V1636" s="29" t="str">
        <f t="shared" si="74"/>
        <v/>
      </c>
      <c r="W1636" s="29" t="str">
        <f>IF(U1636=1,COUNTIF($U$2:U1636,1),"")</f>
        <v/>
      </c>
      <c r="X1636" s="29" t="str">
        <f t="shared" si="75"/>
        <v/>
      </c>
      <c r="Y1636" s="29" t="str">
        <f>IF(AND(LEFT($B1636,7)="SBA 26/",$D1636&lt;&gt;"",$F1636&lt;&gt;""),COUNTIFS($D$2:$D1636,$D1636,$B$2:$B1636,"SBA 26/*",$F$2:$F1636,"&lt;&gt;"),"")</f>
        <v/>
      </c>
      <c r="Z1636" s="29" t="str">
        <f>IF(Y1636=1,COUNTIF($Y$2:Y1636,1),"")</f>
        <v/>
      </c>
      <c r="AA1636" s="29" t="str">
        <f>IF(AND(LEFT($B1636,7)="SBA 26/",$C1636&lt;&gt;"",$F1636&lt;&gt;""),COUNTIFS($C$2:$C1636,$C1636,$B$2:$B1636,"SBA 26/*",$F$2:$F1636,"&lt;&gt;"),"")</f>
        <v/>
      </c>
      <c r="AB1636" s="29" t="str">
        <f>IF(AA1636=1,COUNTIF($AA$2:AA1636,1),"")</f>
        <v/>
      </c>
    </row>
    <row r="1637" spans="6:28" ht="31.5" customHeight="1" x14ac:dyDescent="0.2">
      <c r="F1637" s="45" t="s">
        <v>4198</v>
      </c>
      <c r="T1637" s="41"/>
      <c r="U1637" s="29" t="str">
        <f>IF($C1637&lt;&gt;"",COUNTIF($C$2:C1637,C1637),"")</f>
        <v/>
      </c>
      <c r="V1637" s="29" t="str">
        <f t="shared" si="74"/>
        <v/>
      </c>
      <c r="W1637" s="29" t="str">
        <f>IF(U1637=1,COUNTIF($U$2:U1637,1),"")</f>
        <v/>
      </c>
      <c r="X1637" s="29" t="str">
        <f t="shared" si="75"/>
        <v/>
      </c>
      <c r="Y1637" s="29" t="str">
        <f>IF(AND(LEFT($B1637,7)="SBA 26/",$D1637&lt;&gt;"",$F1637&lt;&gt;""),COUNTIFS($D$2:$D1637,$D1637,$B$2:$B1637,"SBA 26/*",$F$2:$F1637,"&lt;&gt;"),"")</f>
        <v/>
      </c>
      <c r="Z1637" s="29" t="str">
        <f>IF(Y1637=1,COUNTIF($Y$2:Y1637,1),"")</f>
        <v/>
      </c>
      <c r="AA1637" s="29" t="str">
        <f>IF(AND(LEFT($B1637,7)="SBA 26/",$C1637&lt;&gt;"",$F1637&lt;&gt;""),COUNTIFS($C$2:$C1637,$C1637,$B$2:$B1637,"SBA 26/*",$F$2:$F1637,"&lt;&gt;"),"")</f>
        <v/>
      </c>
      <c r="AB1637" s="29" t="str">
        <f>IF(AA1637=1,COUNTIF($AA$2:AA1637,1),"")</f>
        <v/>
      </c>
    </row>
    <row r="1638" spans="6:28" ht="31.5" customHeight="1" x14ac:dyDescent="0.2">
      <c r="F1638" s="45" t="s">
        <v>4199</v>
      </c>
      <c r="T1638" s="41"/>
      <c r="U1638" s="29" t="str">
        <f>IF($C1638&lt;&gt;"",COUNTIF($C$2:C1638,C1638),"")</f>
        <v/>
      </c>
      <c r="V1638" s="29" t="str">
        <f t="shared" si="74"/>
        <v/>
      </c>
      <c r="W1638" s="29" t="str">
        <f>IF(U1638=1,COUNTIF($U$2:U1638,1),"")</f>
        <v/>
      </c>
      <c r="X1638" s="29" t="str">
        <f t="shared" si="75"/>
        <v/>
      </c>
      <c r="Y1638" s="29" t="str">
        <f>IF(AND(LEFT($B1638,7)="SBA 26/",$D1638&lt;&gt;"",$F1638&lt;&gt;""),COUNTIFS($D$2:$D1638,$D1638,$B$2:$B1638,"SBA 26/*",$F$2:$F1638,"&lt;&gt;"),"")</f>
        <v/>
      </c>
      <c r="Z1638" s="29" t="str">
        <f>IF(Y1638=1,COUNTIF($Y$2:Y1638,1),"")</f>
        <v/>
      </c>
      <c r="AA1638" s="29" t="str">
        <f>IF(AND(LEFT($B1638,7)="SBA 26/",$C1638&lt;&gt;"",$F1638&lt;&gt;""),COUNTIFS($C$2:$C1638,$C1638,$B$2:$B1638,"SBA 26/*",$F$2:$F1638,"&lt;&gt;"),"")</f>
        <v/>
      </c>
      <c r="AB1638" s="29" t="str">
        <f>IF(AA1638=1,COUNTIF($AA$2:AA1638,1),"")</f>
        <v/>
      </c>
    </row>
    <row r="1639" spans="6:28" ht="31.5" customHeight="1" x14ac:dyDescent="0.2">
      <c r="F1639" s="45" t="s">
        <v>4200</v>
      </c>
      <c r="T1639" s="41"/>
      <c r="U1639" s="29" t="str">
        <f>IF($C1639&lt;&gt;"",COUNTIF($C$2:C1639,C1639),"")</f>
        <v/>
      </c>
      <c r="V1639" s="29" t="str">
        <f t="shared" si="74"/>
        <v/>
      </c>
      <c r="W1639" s="29" t="str">
        <f>IF(U1639=1,COUNTIF($U$2:U1639,1),"")</f>
        <v/>
      </c>
      <c r="X1639" s="29" t="str">
        <f t="shared" si="75"/>
        <v/>
      </c>
      <c r="Y1639" s="29" t="str">
        <f>IF(AND(LEFT($B1639,7)="SBA 26/",$D1639&lt;&gt;"",$F1639&lt;&gt;""),COUNTIFS($D$2:$D1639,$D1639,$B$2:$B1639,"SBA 26/*",$F$2:$F1639,"&lt;&gt;"),"")</f>
        <v/>
      </c>
      <c r="Z1639" s="29" t="str">
        <f>IF(Y1639=1,COUNTIF($Y$2:Y1639,1),"")</f>
        <v/>
      </c>
      <c r="AA1639" s="29" t="str">
        <f>IF(AND(LEFT($B1639,7)="SBA 26/",$C1639&lt;&gt;"",$F1639&lt;&gt;""),COUNTIFS($C$2:$C1639,$C1639,$B$2:$B1639,"SBA 26/*",$F$2:$F1639,"&lt;&gt;"),"")</f>
        <v/>
      </c>
      <c r="AB1639" s="29" t="str">
        <f>IF(AA1639=1,COUNTIF($AA$2:AA1639,1),"")</f>
        <v/>
      </c>
    </row>
    <row r="1640" spans="6:28" ht="63" customHeight="1" x14ac:dyDescent="0.2">
      <c r="F1640" s="45" t="s">
        <v>4201</v>
      </c>
      <c r="T1640" s="41"/>
      <c r="U1640" s="29" t="str">
        <f>IF($C1640&lt;&gt;"",COUNTIF($C$2:C1640,C1640),"")</f>
        <v/>
      </c>
      <c r="V1640" s="29" t="str">
        <f t="shared" si="74"/>
        <v/>
      </c>
      <c r="W1640" s="29" t="str">
        <f>IF(U1640=1,COUNTIF($U$2:U1640,1),"")</f>
        <v/>
      </c>
      <c r="X1640" s="29" t="str">
        <f t="shared" si="75"/>
        <v/>
      </c>
      <c r="Y1640" s="29" t="str">
        <f>IF(AND(LEFT($B1640,7)="SBA 26/",$D1640&lt;&gt;"",$F1640&lt;&gt;""),COUNTIFS($D$2:$D1640,$D1640,$B$2:$B1640,"SBA 26/*",$F$2:$F1640,"&lt;&gt;"),"")</f>
        <v/>
      </c>
      <c r="Z1640" s="29" t="str">
        <f>IF(Y1640=1,COUNTIF($Y$2:Y1640,1),"")</f>
        <v/>
      </c>
      <c r="AA1640" s="29" t="str">
        <f>IF(AND(LEFT($B1640,7)="SBA 26/",$C1640&lt;&gt;"",$F1640&lt;&gt;""),COUNTIFS($C$2:$C1640,$C1640,$B$2:$B1640,"SBA 26/*",$F$2:$F1640,"&lt;&gt;"),"")</f>
        <v/>
      </c>
      <c r="AB1640" s="29" t="str">
        <f>IF(AA1640=1,COUNTIF($AA$2:AA1640,1),"")</f>
        <v/>
      </c>
    </row>
    <row r="1641" spans="6:28" ht="63" customHeight="1" x14ac:dyDescent="0.2">
      <c r="F1641" s="45" t="s">
        <v>4202</v>
      </c>
      <c r="T1641" s="41"/>
      <c r="U1641" s="29" t="str">
        <f>IF($C1641&lt;&gt;"",COUNTIF($C$2:C1641,C1641),"")</f>
        <v/>
      </c>
      <c r="V1641" s="29" t="str">
        <f t="shared" si="74"/>
        <v/>
      </c>
      <c r="W1641" s="29" t="str">
        <f>IF(U1641=1,COUNTIF($U$2:U1641,1),"")</f>
        <v/>
      </c>
      <c r="X1641" s="29" t="str">
        <f t="shared" si="75"/>
        <v/>
      </c>
      <c r="Y1641" s="29" t="str">
        <f>IF(AND(LEFT($B1641,7)="SBA 26/",$D1641&lt;&gt;"",$F1641&lt;&gt;""),COUNTIFS($D$2:$D1641,$D1641,$B$2:$B1641,"SBA 26/*",$F$2:$F1641,"&lt;&gt;"),"")</f>
        <v/>
      </c>
      <c r="Z1641" s="29" t="str">
        <f>IF(Y1641=1,COUNTIF($Y$2:Y1641,1),"")</f>
        <v/>
      </c>
      <c r="AA1641" s="29" t="str">
        <f>IF(AND(LEFT($B1641,7)="SBA 26/",$C1641&lt;&gt;"",$F1641&lt;&gt;""),COUNTIFS($C$2:$C1641,$C1641,$B$2:$B1641,"SBA 26/*",$F$2:$F1641,"&lt;&gt;"),"")</f>
        <v/>
      </c>
      <c r="AB1641" s="29" t="str">
        <f>IF(AA1641=1,COUNTIF($AA$2:AA1641,1),"")</f>
        <v/>
      </c>
    </row>
    <row r="1642" spans="6:28" ht="47.25" customHeight="1" x14ac:dyDescent="0.2">
      <c r="F1642" s="45" t="s">
        <v>4203</v>
      </c>
      <c r="T1642" s="41"/>
      <c r="U1642" s="29" t="str">
        <f>IF($C1642&lt;&gt;"",COUNTIF($C$2:C1642,C1642),"")</f>
        <v/>
      </c>
      <c r="V1642" s="29" t="str">
        <f t="shared" si="74"/>
        <v/>
      </c>
      <c r="W1642" s="29" t="str">
        <f>IF(U1642=1,COUNTIF($U$2:U1642,1),"")</f>
        <v/>
      </c>
      <c r="X1642" s="29" t="str">
        <f t="shared" si="75"/>
        <v/>
      </c>
      <c r="Y1642" s="29" t="str">
        <f>IF(AND(LEFT($B1642,7)="SBA 26/",$D1642&lt;&gt;"",$F1642&lt;&gt;""),COUNTIFS($D$2:$D1642,$D1642,$B$2:$B1642,"SBA 26/*",$F$2:$F1642,"&lt;&gt;"),"")</f>
        <v/>
      </c>
      <c r="Z1642" s="29" t="str">
        <f>IF(Y1642=1,COUNTIF($Y$2:Y1642,1),"")</f>
        <v/>
      </c>
      <c r="AA1642" s="29" t="str">
        <f>IF(AND(LEFT($B1642,7)="SBA 26/",$C1642&lt;&gt;"",$F1642&lt;&gt;""),COUNTIFS($C$2:$C1642,$C1642,$B$2:$B1642,"SBA 26/*",$F$2:$F1642,"&lt;&gt;"),"")</f>
        <v/>
      </c>
      <c r="AB1642" s="29" t="str">
        <f>IF(AA1642=1,COUNTIF($AA$2:AA1642,1),"")</f>
        <v/>
      </c>
    </row>
    <row r="1643" spans="6:28" ht="47.25" customHeight="1" x14ac:dyDescent="0.2">
      <c r="F1643" s="45" t="s">
        <v>4204</v>
      </c>
      <c r="T1643" s="41"/>
      <c r="U1643" s="29" t="str">
        <f>IF($C1643&lt;&gt;"",COUNTIF($C$2:C1643,C1643),"")</f>
        <v/>
      </c>
      <c r="V1643" s="29" t="str">
        <f t="shared" si="74"/>
        <v/>
      </c>
      <c r="W1643" s="29" t="str">
        <f>IF(U1643=1,COUNTIF($U$2:U1643,1),"")</f>
        <v/>
      </c>
      <c r="X1643" s="29" t="str">
        <f t="shared" si="75"/>
        <v/>
      </c>
      <c r="Y1643" s="29" t="str">
        <f>IF(AND(LEFT($B1643,7)="SBA 26/",$D1643&lt;&gt;"",$F1643&lt;&gt;""),COUNTIFS($D$2:$D1643,$D1643,$B$2:$B1643,"SBA 26/*",$F$2:$F1643,"&lt;&gt;"),"")</f>
        <v/>
      </c>
      <c r="Z1643" s="29" t="str">
        <f>IF(Y1643=1,COUNTIF($Y$2:Y1643,1),"")</f>
        <v/>
      </c>
      <c r="AA1643" s="29" t="str">
        <f>IF(AND(LEFT($B1643,7)="SBA 26/",$C1643&lt;&gt;"",$F1643&lt;&gt;""),COUNTIFS($C$2:$C1643,$C1643,$B$2:$B1643,"SBA 26/*",$F$2:$F1643,"&lt;&gt;"),"")</f>
        <v/>
      </c>
      <c r="AB1643" s="29" t="str">
        <f>IF(AA1643=1,COUNTIF($AA$2:AA1643,1),"")</f>
        <v/>
      </c>
    </row>
    <row r="1644" spans="6:28" ht="47.25" customHeight="1" x14ac:dyDescent="0.2">
      <c r="F1644" s="45" t="s">
        <v>4205</v>
      </c>
      <c r="T1644" s="41"/>
      <c r="U1644" s="29" t="str">
        <f>IF($C1644&lt;&gt;"",COUNTIF($C$2:C1644,C1644),"")</f>
        <v/>
      </c>
      <c r="V1644" s="29" t="str">
        <f t="shared" si="74"/>
        <v/>
      </c>
      <c r="W1644" s="29" t="str">
        <f>IF(U1644=1,COUNTIF($U$2:U1644,1),"")</f>
        <v/>
      </c>
      <c r="X1644" s="29" t="str">
        <f t="shared" si="75"/>
        <v/>
      </c>
      <c r="Y1644" s="29" t="str">
        <f>IF(AND(LEFT($B1644,7)="SBA 26/",$D1644&lt;&gt;"",$F1644&lt;&gt;""),COUNTIFS($D$2:$D1644,$D1644,$B$2:$B1644,"SBA 26/*",$F$2:$F1644,"&lt;&gt;"),"")</f>
        <v/>
      </c>
      <c r="Z1644" s="29" t="str">
        <f>IF(Y1644=1,COUNTIF($Y$2:Y1644,1),"")</f>
        <v/>
      </c>
      <c r="AA1644" s="29" t="str">
        <f>IF(AND(LEFT($B1644,7)="SBA 26/",$C1644&lt;&gt;"",$F1644&lt;&gt;""),COUNTIFS($C$2:$C1644,$C1644,$B$2:$B1644,"SBA 26/*",$F$2:$F1644,"&lt;&gt;"),"")</f>
        <v/>
      </c>
      <c r="AB1644" s="29" t="str">
        <f>IF(AA1644=1,COUNTIF($AA$2:AA1644,1),"")</f>
        <v/>
      </c>
    </row>
    <row r="1645" spans="6:28" ht="47.25" customHeight="1" x14ac:dyDescent="0.2">
      <c r="F1645" s="45" t="s">
        <v>4206</v>
      </c>
      <c r="T1645" s="41"/>
      <c r="U1645" s="29" t="str">
        <f>IF($C1645&lt;&gt;"",COUNTIF($C$2:C1645,C1645),"")</f>
        <v/>
      </c>
      <c r="V1645" s="29" t="str">
        <f t="shared" si="74"/>
        <v/>
      </c>
      <c r="W1645" s="29" t="str">
        <f>IF(U1645=1,COUNTIF($U$2:U1645,1),"")</f>
        <v/>
      </c>
      <c r="X1645" s="29" t="str">
        <f t="shared" si="75"/>
        <v/>
      </c>
      <c r="Y1645" s="29" t="str">
        <f>IF(AND(LEFT($B1645,7)="SBA 26/",$D1645&lt;&gt;"",$F1645&lt;&gt;""),COUNTIFS($D$2:$D1645,$D1645,$B$2:$B1645,"SBA 26/*",$F$2:$F1645,"&lt;&gt;"),"")</f>
        <v/>
      </c>
      <c r="Z1645" s="29" t="str">
        <f>IF(Y1645=1,COUNTIF($Y$2:Y1645,1),"")</f>
        <v/>
      </c>
      <c r="AA1645" s="29" t="str">
        <f>IF(AND(LEFT($B1645,7)="SBA 26/",$C1645&lt;&gt;"",$F1645&lt;&gt;""),COUNTIFS($C$2:$C1645,$C1645,$B$2:$B1645,"SBA 26/*",$F$2:$F1645,"&lt;&gt;"),"")</f>
        <v/>
      </c>
      <c r="AB1645" s="29" t="str">
        <f>IF(AA1645=1,COUNTIF($AA$2:AA1645,1),"")</f>
        <v/>
      </c>
    </row>
    <row r="1646" spans="6:28" ht="31.5" customHeight="1" x14ac:dyDescent="0.2">
      <c r="F1646" s="45" t="s">
        <v>4207</v>
      </c>
      <c r="T1646" s="41"/>
      <c r="U1646" s="29" t="str">
        <f>IF($C1646&lt;&gt;"",COUNTIF($C$2:C1646,C1646),"")</f>
        <v/>
      </c>
      <c r="V1646" s="29" t="str">
        <f t="shared" si="74"/>
        <v/>
      </c>
      <c r="W1646" s="29" t="str">
        <f>IF(U1646=1,COUNTIF($U$2:U1646,1),"")</f>
        <v/>
      </c>
      <c r="X1646" s="29" t="str">
        <f t="shared" si="75"/>
        <v/>
      </c>
      <c r="Y1646" s="29" t="str">
        <f>IF(AND(LEFT($B1646,7)="SBA 26/",$D1646&lt;&gt;"",$F1646&lt;&gt;""),COUNTIFS($D$2:$D1646,$D1646,$B$2:$B1646,"SBA 26/*",$F$2:$F1646,"&lt;&gt;"),"")</f>
        <v/>
      </c>
      <c r="Z1646" s="29" t="str">
        <f>IF(Y1646=1,COUNTIF($Y$2:Y1646,1),"")</f>
        <v/>
      </c>
      <c r="AA1646" s="29" t="str">
        <f>IF(AND(LEFT($B1646,7)="SBA 26/",$C1646&lt;&gt;"",$F1646&lt;&gt;""),COUNTIFS($C$2:$C1646,$C1646,$B$2:$B1646,"SBA 26/*",$F$2:$F1646,"&lt;&gt;"),"")</f>
        <v/>
      </c>
      <c r="AB1646" s="29" t="str">
        <f>IF(AA1646=1,COUNTIF($AA$2:AA1646,1),"")</f>
        <v/>
      </c>
    </row>
    <row r="1647" spans="6:28" ht="63" customHeight="1" x14ac:dyDescent="0.2">
      <c r="F1647" s="45" t="s">
        <v>4208</v>
      </c>
      <c r="T1647" s="41"/>
      <c r="U1647" s="29" t="str">
        <f>IF($C1647&lt;&gt;"",COUNTIF($C$2:C1647,C1647),"")</f>
        <v/>
      </c>
      <c r="V1647" s="29" t="str">
        <f t="shared" si="74"/>
        <v/>
      </c>
      <c r="W1647" s="29" t="str">
        <f>IF(U1647=1,COUNTIF($U$2:U1647,1),"")</f>
        <v/>
      </c>
      <c r="X1647" s="29" t="str">
        <f t="shared" si="75"/>
        <v/>
      </c>
      <c r="Y1647" s="29" t="str">
        <f>IF(AND(LEFT($B1647,7)="SBA 26/",$D1647&lt;&gt;"",$F1647&lt;&gt;""),COUNTIFS($D$2:$D1647,$D1647,$B$2:$B1647,"SBA 26/*",$F$2:$F1647,"&lt;&gt;"),"")</f>
        <v/>
      </c>
      <c r="Z1647" s="29" t="str">
        <f>IF(Y1647=1,COUNTIF($Y$2:Y1647,1),"")</f>
        <v/>
      </c>
      <c r="AA1647" s="29" t="str">
        <f>IF(AND(LEFT($B1647,7)="SBA 26/",$C1647&lt;&gt;"",$F1647&lt;&gt;""),COUNTIFS($C$2:$C1647,$C1647,$B$2:$B1647,"SBA 26/*",$F$2:$F1647,"&lt;&gt;"),"")</f>
        <v/>
      </c>
      <c r="AB1647" s="29" t="str">
        <f>IF(AA1647=1,COUNTIF($AA$2:AA1647,1),"")</f>
        <v/>
      </c>
    </row>
    <row r="1648" spans="6:28" ht="47.25" customHeight="1" x14ac:dyDescent="0.2">
      <c r="F1648" s="45" t="s">
        <v>4209</v>
      </c>
      <c r="T1648" s="41"/>
      <c r="U1648" s="29" t="str">
        <f>IF($C1648&lt;&gt;"",COUNTIF($C$2:C1648,C1648),"")</f>
        <v/>
      </c>
      <c r="V1648" s="29" t="str">
        <f t="shared" si="74"/>
        <v/>
      </c>
      <c r="W1648" s="29" t="str">
        <f>IF(U1648=1,COUNTIF($U$2:U1648,1),"")</f>
        <v/>
      </c>
      <c r="X1648" s="29" t="str">
        <f t="shared" si="75"/>
        <v/>
      </c>
      <c r="Y1648" s="29" t="str">
        <f>IF(AND(LEFT($B1648,7)="SBA 26/",$D1648&lt;&gt;"",$F1648&lt;&gt;""),COUNTIFS($D$2:$D1648,$D1648,$B$2:$B1648,"SBA 26/*",$F$2:$F1648,"&lt;&gt;"),"")</f>
        <v/>
      </c>
      <c r="Z1648" s="29" t="str">
        <f>IF(Y1648=1,COUNTIF($Y$2:Y1648,1),"")</f>
        <v/>
      </c>
      <c r="AA1648" s="29" t="str">
        <f>IF(AND(LEFT($B1648,7)="SBA 26/",$C1648&lt;&gt;"",$F1648&lt;&gt;""),COUNTIFS($C$2:$C1648,$C1648,$B$2:$B1648,"SBA 26/*",$F$2:$F1648,"&lt;&gt;"),"")</f>
        <v/>
      </c>
      <c r="AB1648" s="29" t="str">
        <f>IF(AA1648=1,COUNTIF($AA$2:AA1648,1),"")</f>
        <v/>
      </c>
    </row>
    <row r="1649" spans="6:28" ht="31.5" customHeight="1" x14ac:dyDescent="0.2">
      <c r="F1649" s="45" t="s">
        <v>4210</v>
      </c>
      <c r="T1649" s="41"/>
      <c r="U1649" s="29" t="str">
        <f>IF($C1649&lt;&gt;"",COUNTIF($C$2:C1649,C1649),"")</f>
        <v/>
      </c>
      <c r="V1649" s="29" t="str">
        <f t="shared" si="74"/>
        <v/>
      </c>
      <c r="W1649" s="29" t="str">
        <f>IF(U1649=1,COUNTIF($U$2:U1649,1),"")</f>
        <v/>
      </c>
      <c r="X1649" s="29" t="str">
        <f t="shared" si="75"/>
        <v/>
      </c>
      <c r="Y1649" s="29" t="str">
        <f>IF(AND(LEFT($B1649,7)="SBA 26/",$D1649&lt;&gt;"",$F1649&lt;&gt;""),COUNTIFS($D$2:$D1649,$D1649,$B$2:$B1649,"SBA 26/*",$F$2:$F1649,"&lt;&gt;"),"")</f>
        <v/>
      </c>
      <c r="Z1649" s="29" t="str">
        <f>IF(Y1649=1,COUNTIF($Y$2:Y1649,1),"")</f>
        <v/>
      </c>
      <c r="AA1649" s="29" t="str">
        <f>IF(AND(LEFT($B1649,7)="SBA 26/",$C1649&lt;&gt;"",$F1649&lt;&gt;""),COUNTIFS($C$2:$C1649,$C1649,$B$2:$B1649,"SBA 26/*",$F$2:$F1649,"&lt;&gt;"),"")</f>
        <v/>
      </c>
      <c r="AB1649" s="29" t="str">
        <f>IF(AA1649=1,COUNTIF($AA$2:AA1649,1),"")</f>
        <v/>
      </c>
    </row>
    <row r="1650" spans="6:28" ht="47.25" customHeight="1" x14ac:dyDescent="0.2">
      <c r="F1650" s="45" t="s">
        <v>4211</v>
      </c>
      <c r="T1650" s="41"/>
      <c r="U1650" s="29" t="str">
        <f>IF($C1650&lt;&gt;"",COUNTIF($C$2:C1650,C1650),"")</f>
        <v/>
      </c>
      <c r="V1650" s="29" t="str">
        <f t="shared" si="74"/>
        <v/>
      </c>
      <c r="W1650" s="29" t="str">
        <f>IF(U1650=1,COUNTIF($U$2:U1650,1),"")</f>
        <v/>
      </c>
      <c r="X1650" s="29" t="str">
        <f t="shared" si="75"/>
        <v/>
      </c>
      <c r="Y1650" s="29" t="str">
        <f>IF(AND(LEFT($B1650,7)="SBA 26/",$D1650&lt;&gt;"",$F1650&lt;&gt;""),COUNTIFS($D$2:$D1650,$D1650,$B$2:$B1650,"SBA 26/*",$F$2:$F1650,"&lt;&gt;"),"")</f>
        <v/>
      </c>
      <c r="Z1650" s="29" t="str">
        <f>IF(Y1650=1,COUNTIF($Y$2:Y1650,1),"")</f>
        <v/>
      </c>
      <c r="AA1650" s="29" t="str">
        <f>IF(AND(LEFT($B1650,7)="SBA 26/",$C1650&lt;&gt;"",$F1650&lt;&gt;""),COUNTIFS($C$2:$C1650,$C1650,$B$2:$B1650,"SBA 26/*",$F$2:$F1650,"&lt;&gt;"),"")</f>
        <v/>
      </c>
      <c r="AB1650" s="29" t="str">
        <f>IF(AA1650=1,COUNTIF($AA$2:AA1650,1),"")</f>
        <v/>
      </c>
    </row>
    <row r="1651" spans="6:28" ht="31.5" customHeight="1" x14ac:dyDescent="0.2">
      <c r="F1651" s="45" t="s">
        <v>4212</v>
      </c>
      <c r="T1651" s="41"/>
      <c r="U1651" s="29" t="str">
        <f>IF($C1651&lt;&gt;"",COUNTIF($C$2:C1651,C1651),"")</f>
        <v/>
      </c>
      <c r="V1651" s="29" t="str">
        <f t="shared" si="74"/>
        <v/>
      </c>
      <c r="W1651" s="29" t="str">
        <f>IF(U1651=1,COUNTIF($U$2:U1651,1),"")</f>
        <v/>
      </c>
      <c r="X1651" s="29" t="str">
        <f t="shared" si="75"/>
        <v/>
      </c>
      <c r="Y1651" s="29" t="str">
        <f>IF(AND(LEFT($B1651,7)="SBA 26/",$D1651&lt;&gt;"",$F1651&lt;&gt;""),COUNTIFS($D$2:$D1651,$D1651,$B$2:$B1651,"SBA 26/*",$F$2:$F1651,"&lt;&gt;"),"")</f>
        <v/>
      </c>
      <c r="Z1651" s="29" t="str">
        <f>IF(Y1651=1,COUNTIF($Y$2:Y1651,1),"")</f>
        <v/>
      </c>
      <c r="AA1651" s="29" t="str">
        <f>IF(AND(LEFT($B1651,7)="SBA 26/",$C1651&lt;&gt;"",$F1651&lt;&gt;""),COUNTIFS($C$2:$C1651,$C1651,$B$2:$B1651,"SBA 26/*",$F$2:$F1651,"&lt;&gt;"),"")</f>
        <v/>
      </c>
      <c r="AB1651" s="29" t="str">
        <f>IF(AA1651=1,COUNTIF($AA$2:AA1651,1),"")</f>
        <v/>
      </c>
    </row>
    <row r="1652" spans="6:28" ht="47.25" customHeight="1" x14ac:dyDescent="0.2">
      <c r="F1652" s="45" t="s">
        <v>4213</v>
      </c>
      <c r="T1652" s="41"/>
      <c r="U1652" s="29" t="str">
        <f>IF($C1652&lt;&gt;"",COUNTIF($C$2:C1652,C1652),"")</f>
        <v/>
      </c>
      <c r="V1652" s="29" t="str">
        <f t="shared" si="74"/>
        <v/>
      </c>
      <c r="W1652" s="29" t="str">
        <f>IF(U1652=1,COUNTIF($U$2:U1652,1),"")</f>
        <v/>
      </c>
      <c r="X1652" s="29" t="str">
        <f t="shared" si="75"/>
        <v/>
      </c>
      <c r="Y1652" s="29" t="str">
        <f>IF(AND(LEFT($B1652,7)="SBA 26/",$D1652&lt;&gt;"",$F1652&lt;&gt;""),COUNTIFS($D$2:$D1652,$D1652,$B$2:$B1652,"SBA 26/*",$F$2:$F1652,"&lt;&gt;"),"")</f>
        <v/>
      </c>
      <c r="Z1652" s="29" t="str">
        <f>IF(Y1652=1,COUNTIF($Y$2:Y1652,1),"")</f>
        <v/>
      </c>
      <c r="AA1652" s="29" t="str">
        <f>IF(AND(LEFT($B1652,7)="SBA 26/",$C1652&lt;&gt;"",$F1652&lt;&gt;""),COUNTIFS($C$2:$C1652,$C1652,$B$2:$B1652,"SBA 26/*",$F$2:$F1652,"&lt;&gt;"),"")</f>
        <v/>
      </c>
      <c r="AB1652" s="29" t="str">
        <f>IF(AA1652=1,COUNTIF($AA$2:AA1652,1),"")</f>
        <v/>
      </c>
    </row>
    <row r="1653" spans="6:28" ht="47.25" customHeight="1" x14ac:dyDescent="0.2">
      <c r="F1653" s="45" t="s">
        <v>4214</v>
      </c>
      <c r="T1653" s="41"/>
      <c r="U1653" s="29" t="str">
        <f>IF($C1653&lt;&gt;"",COUNTIF($C$2:C1653,C1653),"")</f>
        <v/>
      </c>
      <c r="V1653" s="29" t="str">
        <f t="shared" si="74"/>
        <v/>
      </c>
      <c r="W1653" s="29" t="str">
        <f>IF(U1653=1,COUNTIF($U$2:U1653,1),"")</f>
        <v/>
      </c>
      <c r="X1653" s="29" t="str">
        <f t="shared" si="75"/>
        <v/>
      </c>
      <c r="Y1653" s="29" t="str">
        <f>IF(AND(LEFT($B1653,7)="SBA 26/",$D1653&lt;&gt;"",$F1653&lt;&gt;""),COUNTIFS($D$2:$D1653,$D1653,$B$2:$B1653,"SBA 26/*",$F$2:$F1653,"&lt;&gt;"),"")</f>
        <v/>
      </c>
      <c r="Z1653" s="29" t="str">
        <f>IF(Y1653=1,COUNTIF($Y$2:Y1653,1),"")</f>
        <v/>
      </c>
      <c r="AA1653" s="29" t="str">
        <f>IF(AND(LEFT($B1653,7)="SBA 26/",$C1653&lt;&gt;"",$F1653&lt;&gt;""),COUNTIFS($C$2:$C1653,$C1653,$B$2:$B1653,"SBA 26/*",$F$2:$F1653,"&lt;&gt;"),"")</f>
        <v/>
      </c>
      <c r="AB1653" s="29" t="str">
        <f>IF(AA1653=1,COUNTIF($AA$2:AA1653,1),"")</f>
        <v/>
      </c>
    </row>
    <row r="1654" spans="6:28" ht="31.5" customHeight="1" x14ac:dyDescent="0.2">
      <c r="F1654" s="45" t="s">
        <v>4215</v>
      </c>
      <c r="T1654" s="41"/>
      <c r="U1654" s="29" t="str">
        <f>IF($C1654&lt;&gt;"",COUNTIF($C$2:C1654,C1654),"")</f>
        <v/>
      </c>
      <c r="V1654" s="29" t="str">
        <f t="shared" si="74"/>
        <v/>
      </c>
      <c r="W1654" s="29" t="str">
        <f>IF(U1654=1,COUNTIF($U$2:U1654,1),"")</f>
        <v/>
      </c>
      <c r="X1654" s="29" t="str">
        <f t="shared" si="75"/>
        <v/>
      </c>
      <c r="Y1654" s="29" t="str">
        <f>IF(AND(LEFT($B1654,7)="SBA 26/",$D1654&lt;&gt;"",$F1654&lt;&gt;""),COUNTIFS($D$2:$D1654,$D1654,$B$2:$B1654,"SBA 26/*",$F$2:$F1654,"&lt;&gt;"),"")</f>
        <v/>
      </c>
      <c r="Z1654" s="29" t="str">
        <f>IF(Y1654=1,COUNTIF($Y$2:Y1654,1),"")</f>
        <v/>
      </c>
      <c r="AA1654" s="29" t="str">
        <f>IF(AND(LEFT($B1654,7)="SBA 26/",$C1654&lt;&gt;"",$F1654&lt;&gt;""),COUNTIFS($C$2:$C1654,$C1654,$B$2:$B1654,"SBA 26/*",$F$2:$F1654,"&lt;&gt;"),"")</f>
        <v/>
      </c>
      <c r="AB1654" s="29" t="str">
        <f>IF(AA1654=1,COUNTIF($AA$2:AA1654,1),"")</f>
        <v/>
      </c>
    </row>
    <row r="1655" spans="6:28" ht="47.25" customHeight="1" x14ac:dyDescent="0.2">
      <c r="F1655" s="45" t="s">
        <v>4216</v>
      </c>
      <c r="T1655" s="41"/>
      <c r="U1655" s="29" t="str">
        <f>IF($C1655&lt;&gt;"",COUNTIF($C$2:C1655,C1655),"")</f>
        <v/>
      </c>
      <c r="V1655" s="29" t="str">
        <f t="shared" si="74"/>
        <v/>
      </c>
      <c r="W1655" s="29" t="str">
        <f>IF(U1655=1,COUNTIF($U$2:U1655,1),"")</f>
        <v/>
      </c>
      <c r="X1655" s="29" t="str">
        <f t="shared" si="75"/>
        <v/>
      </c>
      <c r="Y1655" s="29" t="str">
        <f>IF(AND(LEFT($B1655,7)="SBA 26/",$D1655&lt;&gt;"",$F1655&lt;&gt;""),COUNTIFS($D$2:$D1655,$D1655,$B$2:$B1655,"SBA 26/*",$F$2:$F1655,"&lt;&gt;"),"")</f>
        <v/>
      </c>
      <c r="Z1655" s="29" t="str">
        <f>IF(Y1655=1,COUNTIF($Y$2:Y1655,1),"")</f>
        <v/>
      </c>
      <c r="AA1655" s="29" t="str">
        <f>IF(AND(LEFT($B1655,7)="SBA 26/",$C1655&lt;&gt;"",$F1655&lt;&gt;""),COUNTIFS($C$2:$C1655,$C1655,$B$2:$B1655,"SBA 26/*",$F$2:$F1655,"&lt;&gt;"),"")</f>
        <v/>
      </c>
      <c r="AB1655" s="29" t="str">
        <f>IF(AA1655=1,COUNTIF($AA$2:AA1655,1),"")</f>
        <v/>
      </c>
    </row>
    <row r="1656" spans="6:28" ht="47.25" customHeight="1" x14ac:dyDescent="0.2">
      <c r="F1656" s="45" t="s">
        <v>4217</v>
      </c>
      <c r="T1656" s="41"/>
      <c r="U1656" s="29" t="str">
        <f>IF($C1656&lt;&gt;"",COUNTIF($C$2:C1656,C1656),"")</f>
        <v/>
      </c>
      <c r="V1656" s="29" t="str">
        <f t="shared" si="74"/>
        <v/>
      </c>
      <c r="W1656" s="29" t="str">
        <f>IF(U1656=1,COUNTIF($U$2:U1656,1),"")</f>
        <v/>
      </c>
      <c r="X1656" s="29" t="str">
        <f t="shared" si="75"/>
        <v/>
      </c>
      <c r="Y1656" s="29" t="str">
        <f>IF(AND(LEFT($B1656,7)="SBA 26/",$D1656&lt;&gt;"",$F1656&lt;&gt;""),COUNTIFS($D$2:$D1656,$D1656,$B$2:$B1656,"SBA 26/*",$F$2:$F1656,"&lt;&gt;"),"")</f>
        <v/>
      </c>
      <c r="Z1656" s="29" t="str">
        <f>IF(Y1656=1,COUNTIF($Y$2:Y1656,1),"")</f>
        <v/>
      </c>
      <c r="AA1656" s="29" t="str">
        <f>IF(AND(LEFT($B1656,7)="SBA 26/",$C1656&lt;&gt;"",$F1656&lt;&gt;""),COUNTIFS($C$2:$C1656,$C1656,$B$2:$B1656,"SBA 26/*",$F$2:$F1656,"&lt;&gt;"),"")</f>
        <v/>
      </c>
      <c r="AB1656" s="29" t="str">
        <f>IF(AA1656=1,COUNTIF($AA$2:AA1656,1),"")</f>
        <v/>
      </c>
    </row>
    <row r="1657" spans="6:28" ht="31.5" customHeight="1" x14ac:dyDescent="0.2">
      <c r="F1657" s="45" t="s">
        <v>4218</v>
      </c>
      <c r="T1657" s="41"/>
      <c r="U1657" s="29" t="str">
        <f>IF($C1657&lt;&gt;"",COUNTIF($C$2:C1657,C1657),"")</f>
        <v/>
      </c>
      <c r="V1657" s="29" t="str">
        <f t="shared" si="74"/>
        <v/>
      </c>
      <c r="W1657" s="29" t="str">
        <f>IF(U1657=1,COUNTIF($U$2:U1657,1),"")</f>
        <v/>
      </c>
      <c r="X1657" s="29" t="str">
        <f t="shared" si="75"/>
        <v/>
      </c>
      <c r="Y1657" s="29" t="str">
        <f>IF(AND(LEFT($B1657,7)="SBA 26/",$D1657&lt;&gt;"",$F1657&lt;&gt;""),COUNTIFS($D$2:$D1657,$D1657,$B$2:$B1657,"SBA 26/*",$F$2:$F1657,"&lt;&gt;"),"")</f>
        <v/>
      </c>
      <c r="Z1657" s="29" t="str">
        <f>IF(Y1657=1,COUNTIF($Y$2:Y1657,1),"")</f>
        <v/>
      </c>
      <c r="AA1657" s="29" t="str">
        <f>IF(AND(LEFT($B1657,7)="SBA 26/",$C1657&lt;&gt;"",$F1657&lt;&gt;""),COUNTIFS($C$2:$C1657,$C1657,$B$2:$B1657,"SBA 26/*",$F$2:$F1657,"&lt;&gt;"),"")</f>
        <v/>
      </c>
      <c r="AB1657" s="29" t="str">
        <f>IF(AA1657=1,COUNTIF($AA$2:AA1657,1),"")</f>
        <v/>
      </c>
    </row>
    <row r="1658" spans="6:28" ht="31.5" customHeight="1" x14ac:dyDescent="0.2">
      <c r="F1658" s="45" t="s">
        <v>4219</v>
      </c>
      <c r="T1658" s="41"/>
      <c r="U1658" s="29" t="str">
        <f>IF($C1658&lt;&gt;"",COUNTIF($C$2:C1658,C1658),"")</f>
        <v/>
      </c>
      <c r="V1658" s="29" t="str">
        <f t="shared" si="74"/>
        <v/>
      </c>
      <c r="W1658" s="29" t="str">
        <f>IF(U1658=1,COUNTIF($U$2:U1658,1),"")</f>
        <v/>
      </c>
      <c r="X1658" s="29" t="str">
        <f t="shared" si="75"/>
        <v/>
      </c>
      <c r="Y1658" s="29" t="str">
        <f>IF(AND(LEFT($B1658,7)="SBA 26/",$D1658&lt;&gt;"",$F1658&lt;&gt;""),COUNTIFS($D$2:$D1658,$D1658,$B$2:$B1658,"SBA 26/*",$F$2:$F1658,"&lt;&gt;"),"")</f>
        <v/>
      </c>
      <c r="Z1658" s="29" t="str">
        <f>IF(Y1658=1,COUNTIF($Y$2:Y1658,1),"")</f>
        <v/>
      </c>
      <c r="AA1658" s="29" t="str">
        <f>IF(AND(LEFT($B1658,7)="SBA 26/",$C1658&lt;&gt;"",$F1658&lt;&gt;""),COUNTIFS($C$2:$C1658,$C1658,$B$2:$B1658,"SBA 26/*",$F$2:$F1658,"&lt;&gt;"),"")</f>
        <v/>
      </c>
      <c r="AB1658" s="29" t="str">
        <f>IF(AA1658=1,COUNTIF($AA$2:AA1658,1),"")</f>
        <v/>
      </c>
    </row>
    <row r="1659" spans="6:28" ht="63" customHeight="1" x14ac:dyDescent="0.2">
      <c r="F1659" s="45" t="s">
        <v>4220</v>
      </c>
      <c r="T1659" s="41"/>
      <c r="U1659" s="29" t="str">
        <f>IF($C1659&lt;&gt;"",COUNTIF($C$2:C1659,C1659),"")</f>
        <v/>
      </c>
      <c r="V1659" s="29" t="str">
        <f t="shared" si="74"/>
        <v/>
      </c>
      <c r="W1659" s="29" t="str">
        <f>IF(U1659=1,COUNTIF($U$2:U1659,1),"")</f>
        <v/>
      </c>
      <c r="X1659" s="29" t="str">
        <f t="shared" si="75"/>
        <v/>
      </c>
      <c r="Y1659" s="29" t="str">
        <f>IF(AND(LEFT($B1659,7)="SBA 26/",$D1659&lt;&gt;"",$F1659&lt;&gt;""),COUNTIFS($D$2:$D1659,$D1659,$B$2:$B1659,"SBA 26/*",$F$2:$F1659,"&lt;&gt;"),"")</f>
        <v/>
      </c>
      <c r="Z1659" s="29" t="str">
        <f>IF(Y1659=1,COUNTIF($Y$2:Y1659,1),"")</f>
        <v/>
      </c>
      <c r="AA1659" s="29" t="str">
        <f>IF(AND(LEFT($B1659,7)="SBA 26/",$C1659&lt;&gt;"",$F1659&lt;&gt;""),COUNTIFS($C$2:$C1659,$C1659,$B$2:$B1659,"SBA 26/*",$F$2:$F1659,"&lt;&gt;"),"")</f>
        <v/>
      </c>
      <c r="AB1659" s="29" t="str">
        <f>IF(AA1659=1,COUNTIF($AA$2:AA1659,1),"")</f>
        <v/>
      </c>
    </row>
    <row r="1660" spans="6:28" ht="47.25" customHeight="1" x14ac:dyDescent="0.2">
      <c r="F1660" s="45" t="s">
        <v>4221</v>
      </c>
      <c r="T1660" s="41"/>
      <c r="U1660" s="29" t="str">
        <f>IF($C1660&lt;&gt;"",COUNTIF($C$2:C1660,C1660),"")</f>
        <v/>
      </c>
      <c r="V1660" s="29" t="str">
        <f t="shared" si="74"/>
        <v/>
      </c>
      <c r="W1660" s="29" t="str">
        <f>IF(U1660=1,COUNTIF($U$2:U1660,1),"")</f>
        <v/>
      </c>
      <c r="X1660" s="29" t="str">
        <f t="shared" si="75"/>
        <v/>
      </c>
      <c r="Y1660" s="29" t="str">
        <f>IF(AND(LEFT($B1660,7)="SBA 26/",$D1660&lt;&gt;"",$F1660&lt;&gt;""),COUNTIFS($D$2:$D1660,$D1660,$B$2:$B1660,"SBA 26/*",$F$2:$F1660,"&lt;&gt;"),"")</f>
        <v/>
      </c>
      <c r="Z1660" s="29" t="str">
        <f>IF(Y1660=1,COUNTIF($Y$2:Y1660,1),"")</f>
        <v/>
      </c>
      <c r="AA1660" s="29" t="str">
        <f>IF(AND(LEFT($B1660,7)="SBA 26/",$C1660&lt;&gt;"",$F1660&lt;&gt;""),COUNTIFS($C$2:$C1660,$C1660,$B$2:$B1660,"SBA 26/*",$F$2:$F1660,"&lt;&gt;"),"")</f>
        <v/>
      </c>
      <c r="AB1660" s="29" t="str">
        <f>IF(AA1660=1,COUNTIF($AA$2:AA1660,1),"")</f>
        <v/>
      </c>
    </row>
    <row r="1661" spans="6:28" ht="31.5" customHeight="1" x14ac:dyDescent="0.2">
      <c r="F1661" s="45" t="s">
        <v>4222</v>
      </c>
      <c r="T1661" s="41"/>
      <c r="U1661" s="29" t="str">
        <f>IF($C1661&lt;&gt;"",COUNTIF($C$2:C1661,C1661),"")</f>
        <v/>
      </c>
      <c r="V1661" s="29" t="str">
        <f t="shared" si="74"/>
        <v/>
      </c>
      <c r="W1661" s="29" t="str">
        <f>IF(U1661=1,COUNTIF($U$2:U1661,1),"")</f>
        <v/>
      </c>
      <c r="X1661" s="29" t="str">
        <f t="shared" si="75"/>
        <v/>
      </c>
      <c r="Y1661" s="29" t="str">
        <f>IF(AND(LEFT($B1661,7)="SBA 26/",$D1661&lt;&gt;"",$F1661&lt;&gt;""),COUNTIFS($D$2:$D1661,$D1661,$B$2:$B1661,"SBA 26/*",$F$2:$F1661,"&lt;&gt;"),"")</f>
        <v/>
      </c>
      <c r="Z1661" s="29" t="str">
        <f>IF(Y1661=1,COUNTIF($Y$2:Y1661,1),"")</f>
        <v/>
      </c>
      <c r="AA1661" s="29" t="str">
        <f>IF(AND(LEFT($B1661,7)="SBA 26/",$C1661&lt;&gt;"",$F1661&lt;&gt;""),COUNTIFS($C$2:$C1661,$C1661,$B$2:$B1661,"SBA 26/*",$F$2:$F1661,"&lt;&gt;"),"")</f>
        <v/>
      </c>
      <c r="AB1661" s="29" t="str">
        <f>IF(AA1661=1,COUNTIF($AA$2:AA1661,1),"")</f>
        <v/>
      </c>
    </row>
    <row r="1662" spans="6:28" ht="47.25" customHeight="1" x14ac:dyDescent="0.2">
      <c r="F1662" s="45" t="s">
        <v>4223</v>
      </c>
      <c r="T1662" s="41"/>
      <c r="U1662" s="29" t="str">
        <f>IF($C1662&lt;&gt;"",COUNTIF($C$2:C1662,C1662),"")</f>
        <v/>
      </c>
      <c r="V1662" s="29" t="str">
        <f t="shared" si="74"/>
        <v/>
      </c>
      <c r="W1662" s="29" t="str">
        <f>IF(U1662=1,COUNTIF($U$2:U1662,1),"")</f>
        <v/>
      </c>
      <c r="X1662" s="29" t="str">
        <f t="shared" si="75"/>
        <v/>
      </c>
      <c r="Y1662" s="29" t="str">
        <f>IF(AND(LEFT($B1662,7)="SBA 26/",$D1662&lt;&gt;"",$F1662&lt;&gt;""),COUNTIFS($D$2:$D1662,$D1662,$B$2:$B1662,"SBA 26/*",$F$2:$F1662,"&lt;&gt;"),"")</f>
        <v/>
      </c>
      <c r="Z1662" s="29" t="str">
        <f>IF(Y1662=1,COUNTIF($Y$2:Y1662,1),"")</f>
        <v/>
      </c>
      <c r="AA1662" s="29" t="str">
        <f>IF(AND(LEFT($B1662,7)="SBA 26/",$C1662&lt;&gt;"",$F1662&lt;&gt;""),COUNTIFS($C$2:$C1662,$C1662,$B$2:$B1662,"SBA 26/*",$F$2:$F1662,"&lt;&gt;"),"")</f>
        <v/>
      </c>
      <c r="AB1662" s="29" t="str">
        <f>IF(AA1662=1,COUNTIF($AA$2:AA1662,1),"")</f>
        <v/>
      </c>
    </row>
    <row r="1663" spans="6:28" ht="47.25" customHeight="1" x14ac:dyDescent="0.2">
      <c r="F1663" s="45" t="s">
        <v>4224</v>
      </c>
      <c r="T1663" s="41"/>
      <c r="U1663" s="29" t="str">
        <f>IF($C1663&lt;&gt;"",COUNTIF($C$2:C1663,C1663),"")</f>
        <v/>
      </c>
      <c r="V1663" s="29" t="str">
        <f t="shared" si="74"/>
        <v/>
      </c>
      <c r="W1663" s="29" t="str">
        <f>IF(U1663=1,COUNTIF($U$2:U1663,1),"")</f>
        <v/>
      </c>
      <c r="X1663" s="29" t="str">
        <f t="shared" si="75"/>
        <v/>
      </c>
      <c r="Y1663" s="29" t="str">
        <f>IF(AND(LEFT($B1663,7)="SBA 26/",$D1663&lt;&gt;"",$F1663&lt;&gt;""),COUNTIFS($D$2:$D1663,$D1663,$B$2:$B1663,"SBA 26/*",$F$2:$F1663,"&lt;&gt;"),"")</f>
        <v/>
      </c>
      <c r="Z1663" s="29" t="str">
        <f>IF(Y1663=1,COUNTIF($Y$2:Y1663,1),"")</f>
        <v/>
      </c>
      <c r="AA1663" s="29" t="str">
        <f>IF(AND(LEFT($B1663,7)="SBA 26/",$C1663&lt;&gt;"",$F1663&lt;&gt;""),COUNTIFS($C$2:$C1663,$C1663,$B$2:$B1663,"SBA 26/*",$F$2:$F1663,"&lt;&gt;"),"")</f>
        <v/>
      </c>
      <c r="AB1663" s="29" t="str">
        <f>IF(AA1663=1,COUNTIF($AA$2:AA1663,1),"")</f>
        <v/>
      </c>
    </row>
    <row r="1664" spans="6:28" ht="63" customHeight="1" x14ac:dyDescent="0.2">
      <c r="F1664" s="45" t="s">
        <v>4225</v>
      </c>
      <c r="T1664" s="41"/>
      <c r="U1664" s="29" t="str">
        <f>IF($C1664&lt;&gt;"",COUNTIF($C$2:C1664,C1664),"")</f>
        <v/>
      </c>
      <c r="V1664" s="29" t="str">
        <f t="shared" si="74"/>
        <v/>
      </c>
      <c r="W1664" s="29" t="str">
        <f>IF(U1664=1,COUNTIF($U$2:U1664,1),"")</f>
        <v/>
      </c>
      <c r="X1664" s="29" t="str">
        <f t="shared" si="75"/>
        <v/>
      </c>
      <c r="Y1664" s="29" t="str">
        <f>IF(AND(LEFT($B1664,7)="SBA 26/",$D1664&lt;&gt;"",$F1664&lt;&gt;""),COUNTIFS($D$2:$D1664,$D1664,$B$2:$B1664,"SBA 26/*",$F$2:$F1664,"&lt;&gt;"),"")</f>
        <v/>
      </c>
      <c r="Z1664" s="29" t="str">
        <f>IF(Y1664=1,COUNTIF($Y$2:Y1664,1),"")</f>
        <v/>
      </c>
      <c r="AA1664" s="29" t="str">
        <f>IF(AND(LEFT($B1664,7)="SBA 26/",$C1664&lt;&gt;"",$F1664&lt;&gt;""),COUNTIFS($C$2:$C1664,$C1664,$B$2:$B1664,"SBA 26/*",$F$2:$F1664,"&lt;&gt;"),"")</f>
        <v/>
      </c>
      <c r="AB1664" s="29" t="str">
        <f>IF(AA1664=1,COUNTIF($AA$2:AA1664,1),"")</f>
        <v/>
      </c>
    </row>
    <row r="1665" spans="6:28" ht="31.5" customHeight="1" x14ac:dyDescent="0.2">
      <c r="F1665" s="45" t="s">
        <v>4226</v>
      </c>
      <c r="T1665" s="41"/>
      <c r="U1665" s="29" t="str">
        <f>IF($C1665&lt;&gt;"",COUNTIF($C$2:C1665,C1665),"")</f>
        <v/>
      </c>
      <c r="V1665" s="29" t="str">
        <f t="shared" si="74"/>
        <v/>
      </c>
      <c r="W1665" s="29" t="str">
        <f>IF(U1665=1,COUNTIF($U$2:U1665,1),"")</f>
        <v/>
      </c>
      <c r="X1665" s="29" t="str">
        <f t="shared" si="75"/>
        <v/>
      </c>
      <c r="Y1665" s="29" t="str">
        <f>IF(AND(LEFT($B1665,7)="SBA 26/",$D1665&lt;&gt;"",$F1665&lt;&gt;""),COUNTIFS($D$2:$D1665,$D1665,$B$2:$B1665,"SBA 26/*",$F$2:$F1665,"&lt;&gt;"),"")</f>
        <v/>
      </c>
      <c r="Z1665" s="29" t="str">
        <f>IF(Y1665=1,COUNTIF($Y$2:Y1665,1),"")</f>
        <v/>
      </c>
      <c r="AA1665" s="29" t="str">
        <f>IF(AND(LEFT($B1665,7)="SBA 26/",$C1665&lt;&gt;"",$F1665&lt;&gt;""),COUNTIFS($C$2:$C1665,$C1665,$B$2:$B1665,"SBA 26/*",$F$2:$F1665,"&lt;&gt;"),"")</f>
        <v/>
      </c>
      <c r="AB1665" s="29" t="str">
        <f>IF(AA1665=1,COUNTIF($AA$2:AA1665,1),"")</f>
        <v/>
      </c>
    </row>
    <row r="1666" spans="6:28" ht="31.5" customHeight="1" x14ac:dyDescent="0.2">
      <c r="F1666" s="45" t="s">
        <v>4227</v>
      </c>
      <c r="T1666" s="41"/>
      <c r="U1666" s="29" t="str">
        <f>IF($C1666&lt;&gt;"",COUNTIF($C$2:C1666,C1666),"")</f>
        <v/>
      </c>
      <c r="V1666" s="29" t="str">
        <f t="shared" ref="V1666:V1729" si="76">IF($C1666&lt;&gt;"",C1666&amp;"§"&amp;U1666,"")</f>
        <v/>
      </c>
      <c r="W1666" s="29" t="str">
        <f>IF(U1666=1,COUNTIF($U$2:U1666,1),"")</f>
        <v/>
      </c>
      <c r="X1666" s="29" t="str">
        <f t="shared" ref="X1666:X1729" si="77">IF(U1666=1,SUMPRODUCT(($U$2:$U$1799=1)*($C$2:$C$1799&lt;C1666))+1,"")</f>
        <v/>
      </c>
      <c r="Y1666" s="29" t="str">
        <f>IF(AND(LEFT($B1666,7)="SBA 26/",$D1666&lt;&gt;"",$F1666&lt;&gt;""),COUNTIFS($D$2:$D1666,$D1666,$B$2:$B1666,"SBA 26/*",$F$2:$F1666,"&lt;&gt;"),"")</f>
        <v/>
      </c>
      <c r="Z1666" s="29" t="str">
        <f>IF(Y1666=1,COUNTIF($Y$2:Y1666,1),"")</f>
        <v/>
      </c>
      <c r="AA1666" s="29" t="str">
        <f>IF(AND(LEFT($B1666,7)="SBA 26/",$C1666&lt;&gt;"",$F1666&lt;&gt;""),COUNTIFS($C$2:$C1666,$C1666,$B$2:$B1666,"SBA 26/*",$F$2:$F1666,"&lt;&gt;"),"")</f>
        <v/>
      </c>
      <c r="AB1666" s="29" t="str">
        <f>IF(AA1666=1,COUNTIF($AA$2:AA1666,1),"")</f>
        <v/>
      </c>
    </row>
    <row r="1667" spans="6:28" ht="47.25" customHeight="1" x14ac:dyDescent="0.2">
      <c r="F1667" s="45" t="s">
        <v>4228</v>
      </c>
      <c r="T1667" s="41"/>
      <c r="U1667" s="29" t="str">
        <f>IF($C1667&lt;&gt;"",COUNTIF($C$2:C1667,C1667),"")</f>
        <v/>
      </c>
      <c r="V1667" s="29" t="str">
        <f t="shared" si="76"/>
        <v/>
      </c>
      <c r="W1667" s="29" t="str">
        <f>IF(U1667=1,COUNTIF($U$2:U1667,1),"")</f>
        <v/>
      </c>
      <c r="X1667" s="29" t="str">
        <f t="shared" si="77"/>
        <v/>
      </c>
      <c r="Y1667" s="29" t="str">
        <f>IF(AND(LEFT($B1667,7)="SBA 26/",$D1667&lt;&gt;"",$F1667&lt;&gt;""),COUNTIFS($D$2:$D1667,$D1667,$B$2:$B1667,"SBA 26/*",$F$2:$F1667,"&lt;&gt;"),"")</f>
        <v/>
      </c>
      <c r="Z1667" s="29" t="str">
        <f>IF(Y1667=1,COUNTIF($Y$2:Y1667,1),"")</f>
        <v/>
      </c>
      <c r="AA1667" s="29" t="str">
        <f>IF(AND(LEFT($B1667,7)="SBA 26/",$C1667&lt;&gt;"",$F1667&lt;&gt;""),COUNTIFS($C$2:$C1667,$C1667,$B$2:$B1667,"SBA 26/*",$F$2:$F1667,"&lt;&gt;"),"")</f>
        <v/>
      </c>
      <c r="AB1667" s="29" t="str">
        <f>IF(AA1667=1,COUNTIF($AA$2:AA1667,1),"")</f>
        <v/>
      </c>
    </row>
    <row r="1668" spans="6:28" ht="31.5" customHeight="1" x14ac:dyDescent="0.2">
      <c r="F1668" s="45" t="s">
        <v>4229</v>
      </c>
      <c r="T1668" s="41"/>
      <c r="U1668" s="29" t="str">
        <f>IF($C1668&lt;&gt;"",COUNTIF($C$2:C1668,C1668),"")</f>
        <v/>
      </c>
      <c r="V1668" s="29" t="str">
        <f t="shared" si="76"/>
        <v/>
      </c>
      <c r="W1668" s="29" t="str">
        <f>IF(U1668=1,COUNTIF($U$2:U1668,1),"")</f>
        <v/>
      </c>
      <c r="X1668" s="29" t="str">
        <f t="shared" si="77"/>
        <v/>
      </c>
      <c r="Y1668" s="29" t="str">
        <f>IF(AND(LEFT($B1668,7)="SBA 26/",$D1668&lt;&gt;"",$F1668&lt;&gt;""),COUNTIFS($D$2:$D1668,$D1668,$B$2:$B1668,"SBA 26/*",$F$2:$F1668,"&lt;&gt;"),"")</f>
        <v/>
      </c>
      <c r="Z1668" s="29" t="str">
        <f>IF(Y1668=1,COUNTIF($Y$2:Y1668,1),"")</f>
        <v/>
      </c>
      <c r="AA1668" s="29" t="str">
        <f>IF(AND(LEFT($B1668,7)="SBA 26/",$C1668&lt;&gt;"",$F1668&lt;&gt;""),COUNTIFS($C$2:$C1668,$C1668,$B$2:$B1668,"SBA 26/*",$F$2:$F1668,"&lt;&gt;"),"")</f>
        <v/>
      </c>
      <c r="AB1668" s="29" t="str">
        <f>IF(AA1668=1,COUNTIF($AA$2:AA1668,1),"")</f>
        <v/>
      </c>
    </row>
    <row r="1669" spans="6:28" ht="47.25" customHeight="1" x14ac:dyDescent="0.2">
      <c r="F1669" s="45" t="s">
        <v>4230</v>
      </c>
      <c r="T1669" s="41"/>
      <c r="U1669" s="29" t="str">
        <f>IF($C1669&lt;&gt;"",COUNTIF($C$2:C1669,C1669),"")</f>
        <v/>
      </c>
      <c r="V1669" s="29" t="str">
        <f t="shared" si="76"/>
        <v/>
      </c>
      <c r="W1669" s="29" t="str">
        <f>IF(U1669=1,COUNTIF($U$2:U1669,1),"")</f>
        <v/>
      </c>
      <c r="X1669" s="29" t="str">
        <f t="shared" si="77"/>
        <v/>
      </c>
      <c r="Y1669" s="29" t="str">
        <f>IF(AND(LEFT($B1669,7)="SBA 26/",$D1669&lt;&gt;"",$F1669&lt;&gt;""),COUNTIFS($D$2:$D1669,$D1669,$B$2:$B1669,"SBA 26/*",$F$2:$F1669,"&lt;&gt;"),"")</f>
        <v/>
      </c>
      <c r="Z1669" s="29" t="str">
        <f>IF(Y1669=1,COUNTIF($Y$2:Y1669,1),"")</f>
        <v/>
      </c>
      <c r="AA1669" s="29" t="str">
        <f>IF(AND(LEFT($B1669,7)="SBA 26/",$C1669&lt;&gt;"",$F1669&lt;&gt;""),COUNTIFS($C$2:$C1669,$C1669,$B$2:$B1669,"SBA 26/*",$F$2:$F1669,"&lt;&gt;"),"")</f>
        <v/>
      </c>
      <c r="AB1669" s="29" t="str">
        <f>IF(AA1669=1,COUNTIF($AA$2:AA1669,1),"")</f>
        <v/>
      </c>
    </row>
    <row r="1670" spans="6:28" ht="47.25" customHeight="1" x14ac:dyDescent="0.2">
      <c r="F1670" s="45" t="s">
        <v>4231</v>
      </c>
      <c r="T1670" s="41"/>
      <c r="U1670" s="29" t="str">
        <f>IF($C1670&lt;&gt;"",COUNTIF($C$2:C1670,C1670),"")</f>
        <v/>
      </c>
      <c r="V1670" s="29" t="str">
        <f t="shared" si="76"/>
        <v/>
      </c>
      <c r="W1670" s="29" t="str">
        <f>IF(U1670=1,COUNTIF($U$2:U1670,1),"")</f>
        <v/>
      </c>
      <c r="X1670" s="29" t="str">
        <f t="shared" si="77"/>
        <v/>
      </c>
      <c r="Y1670" s="29" t="str">
        <f>IF(AND(LEFT($B1670,7)="SBA 26/",$D1670&lt;&gt;"",$F1670&lt;&gt;""),COUNTIFS($D$2:$D1670,$D1670,$B$2:$B1670,"SBA 26/*",$F$2:$F1670,"&lt;&gt;"),"")</f>
        <v/>
      </c>
      <c r="Z1670" s="29" t="str">
        <f>IF(Y1670=1,COUNTIF($Y$2:Y1670,1),"")</f>
        <v/>
      </c>
      <c r="AA1670" s="29" t="str">
        <f>IF(AND(LEFT($B1670,7)="SBA 26/",$C1670&lt;&gt;"",$F1670&lt;&gt;""),COUNTIFS($C$2:$C1670,$C1670,$B$2:$B1670,"SBA 26/*",$F$2:$F1670,"&lt;&gt;"),"")</f>
        <v/>
      </c>
      <c r="AB1670" s="29" t="str">
        <f>IF(AA1670=1,COUNTIF($AA$2:AA1670,1),"")</f>
        <v/>
      </c>
    </row>
    <row r="1671" spans="6:28" ht="78.75" customHeight="1" x14ac:dyDescent="0.2">
      <c r="F1671" s="45" t="s">
        <v>4232</v>
      </c>
      <c r="T1671" s="41"/>
      <c r="U1671" s="29" t="str">
        <f>IF($C1671&lt;&gt;"",COUNTIF($C$2:C1671,C1671),"")</f>
        <v/>
      </c>
      <c r="V1671" s="29" t="str">
        <f t="shared" si="76"/>
        <v/>
      </c>
      <c r="W1671" s="29" t="str">
        <f>IF(U1671=1,COUNTIF($U$2:U1671,1),"")</f>
        <v/>
      </c>
      <c r="X1671" s="29" t="str">
        <f t="shared" si="77"/>
        <v/>
      </c>
      <c r="Y1671" s="29" t="str">
        <f>IF(AND(LEFT($B1671,7)="SBA 26/",$D1671&lt;&gt;"",$F1671&lt;&gt;""),COUNTIFS($D$2:$D1671,$D1671,$B$2:$B1671,"SBA 26/*",$F$2:$F1671,"&lt;&gt;"),"")</f>
        <v/>
      </c>
      <c r="Z1671" s="29" t="str">
        <f>IF(Y1671=1,COUNTIF($Y$2:Y1671,1),"")</f>
        <v/>
      </c>
      <c r="AA1671" s="29" t="str">
        <f>IF(AND(LEFT($B1671,7)="SBA 26/",$C1671&lt;&gt;"",$F1671&lt;&gt;""),COUNTIFS($C$2:$C1671,$C1671,$B$2:$B1671,"SBA 26/*",$F$2:$F1671,"&lt;&gt;"),"")</f>
        <v/>
      </c>
      <c r="AB1671" s="29" t="str">
        <f>IF(AA1671=1,COUNTIF($AA$2:AA1671,1),"")</f>
        <v/>
      </c>
    </row>
    <row r="1672" spans="6:28" ht="31.5" customHeight="1" x14ac:dyDescent="0.2">
      <c r="F1672" s="45" t="s">
        <v>4233</v>
      </c>
      <c r="T1672" s="41"/>
      <c r="U1672" s="29" t="str">
        <f>IF($C1672&lt;&gt;"",COUNTIF($C$2:C1672,C1672),"")</f>
        <v/>
      </c>
      <c r="V1672" s="29" t="str">
        <f t="shared" si="76"/>
        <v/>
      </c>
      <c r="W1672" s="29" t="str">
        <f>IF(U1672=1,COUNTIF($U$2:U1672,1),"")</f>
        <v/>
      </c>
      <c r="X1672" s="29" t="str">
        <f t="shared" si="77"/>
        <v/>
      </c>
      <c r="Y1672" s="29" t="str">
        <f>IF(AND(LEFT($B1672,7)="SBA 26/",$D1672&lt;&gt;"",$F1672&lt;&gt;""),COUNTIFS($D$2:$D1672,$D1672,$B$2:$B1672,"SBA 26/*",$F$2:$F1672,"&lt;&gt;"),"")</f>
        <v/>
      </c>
      <c r="Z1672" s="29" t="str">
        <f>IF(Y1672=1,COUNTIF($Y$2:Y1672,1),"")</f>
        <v/>
      </c>
      <c r="AA1672" s="29" t="str">
        <f>IF(AND(LEFT($B1672,7)="SBA 26/",$C1672&lt;&gt;"",$F1672&lt;&gt;""),COUNTIFS($C$2:$C1672,$C1672,$B$2:$B1672,"SBA 26/*",$F$2:$F1672,"&lt;&gt;"),"")</f>
        <v/>
      </c>
      <c r="AB1672" s="29" t="str">
        <f>IF(AA1672=1,COUNTIF($AA$2:AA1672,1),"")</f>
        <v/>
      </c>
    </row>
    <row r="1673" spans="6:28" ht="31.5" customHeight="1" x14ac:dyDescent="0.2">
      <c r="F1673" s="45" t="s">
        <v>4234</v>
      </c>
      <c r="T1673" s="41"/>
      <c r="U1673" s="29" t="str">
        <f>IF($C1673&lt;&gt;"",COUNTIF($C$2:C1673,C1673),"")</f>
        <v/>
      </c>
      <c r="V1673" s="29" t="str">
        <f t="shared" si="76"/>
        <v/>
      </c>
      <c r="W1673" s="29" t="str">
        <f>IF(U1673=1,COUNTIF($U$2:U1673,1),"")</f>
        <v/>
      </c>
      <c r="X1673" s="29" t="str">
        <f t="shared" si="77"/>
        <v/>
      </c>
      <c r="Y1673" s="29" t="str">
        <f>IF(AND(LEFT($B1673,7)="SBA 26/",$D1673&lt;&gt;"",$F1673&lt;&gt;""),COUNTIFS($D$2:$D1673,$D1673,$B$2:$B1673,"SBA 26/*",$F$2:$F1673,"&lt;&gt;"),"")</f>
        <v/>
      </c>
      <c r="Z1673" s="29" t="str">
        <f>IF(Y1673=1,COUNTIF($Y$2:Y1673,1),"")</f>
        <v/>
      </c>
      <c r="AA1673" s="29" t="str">
        <f>IF(AND(LEFT($B1673,7)="SBA 26/",$C1673&lt;&gt;"",$F1673&lt;&gt;""),COUNTIFS($C$2:$C1673,$C1673,$B$2:$B1673,"SBA 26/*",$F$2:$F1673,"&lt;&gt;"),"")</f>
        <v/>
      </c>
      <c r="AB1673" s="29" t="str">
        <f>IF(AA1673=1,COUNTIF($AA$2:AA1673,1),"")</f>
        <v/>
      </c>
    </row>
    <row r="1674" spans="6:28" ht="63" customHeight="1" x14ac:dyDescent="0.2">
      <c r="F1674" s="45" t="s">
        <v>4235</v>
      </c>
      <c r="T1674" s="41"/>
      <c r="U1674" s="29" t="str">
        <f>IF($C1674&lt;&gt;"",COUNTIF($C$2:C1674,C1674),"")</f>
        <v/>
      </c>
      <c r="V1674" s="29" t="str">
        <f t="shared" si="76"/>
        <v/>
      </c>
      <c r="W1674" s="29" t="str">
        <f>IF(U1674=1,COUNTIF($U$2:U1674,1),"")</f>
        <v/>
      </c>
      <c r="X1674" s="29" t="str">
        <f t="shared" si="77"/>
        <v/>
      </c>
      <c r="Y1674" s="29" t="str">
        <f>IF(AND(LEFT($B1674,7)="SBA 26/",$D1674&lt;&gt;"",$F1674&lt;&gt;""),COUNTIFS($D$2:$D1674,$D1674,$B$2:$B1674,"SBA 26/*",$F$2:$F1674,"&lt;&gt;"),"")</f>
        <v/>
      </c>
      <c r="Z1674" s="29" t="str">
        <f>IF(Y1674=1,COUNTIF($Y$2:Y1674,1),"")</f>
        <v/>
      </c>
      <c r="AA1674" s="29" t="str">
        <f>IF(AND(LEFT($B1674,7)="SBA 26/",$C1674&lt;&gt;"",$F1674&lt;&gt;""),COUNTIFS($C$2:$C1674,$C1674,$B$2:$B1674,"SBA 26/*",$F$2:$F1674,"&lt;&gt;"),"")</f>
        <v/>
      </c>
      <c r="AB1674" s="29" t="str">
        <f>IF(AA1674=1,COUNTIF($AA$2:AA1674,1),"")</f>
        <v/>
      </c>
    </row>
    <row r="1675" spans="6:28" ht="31.5" customHeight="1" x14ac:dyDescent="0.2">
      <c r="F1675" s="45" t="s">
        <v>4236</v>
      </c>
      <c r="T1675" s="41"/>
      <c r="U1675" s="29" t="str">
        <f>IF($C1675&lt;&gt;"",COUNTIF($C$2:C1675,C1675),"")</f>
        <v/>
      </c>
      <c r="V1675" s="29" t="str">
        <f t="shared" si="76"/>
        <v/>
      </c>
      <c r="W1675" s="29" t="str">
        <f>IF(U1675=1,COUNTIF($U$2:U1675,1),"")</f>
        <v/>
      </c>
      <c r="X1675" s="29" t="str">
        <f t="shared" si="77"/>
        <v/>
      </c>
      <c r="Y1675" s="29" t="str">
        <f>IF(AND(LEFT($B1675,7)="SBA 26/",$D1675&lt;&gt;"",$F1675&lt;&gt;""),COUNTIFS($D$2:$D1675,$D1675,$B$2:$B1675,"SBA 26/*",$F$2:$F1675,"&lt;&gt;"),"")</f>
        <v/>
      </c>
      <c r="Z1675" s="29" t="str">
        <f>IF(Y1675=1,COUNTIF($Y$2:Y1675,1),"")</f>
        <v/>
      </c>
      <c r="AA1675" s="29" t="str">
        <f>IF(AND(LEFT($B1675,7)="SBA 26/",$C1675&lt;&gt;"",$F1675&lt;&gt;""),COUNTIFS($C$2:$C1675,$C1675,$B$2:$B1675,"SBA 26/*",$F$2:$F1675,"&lt;&gt;"),"")</f>
        <v/>
      </c>
      <c r="AB1675" s="29" t="str">
        <f>IF(AA1675=1,COUNTIF($AA$2:AA1675,1),"")</f>
        <v/>
      </c>
    </row>
    <row r="1676" spans="6:28" ht="31.5" customHeight="1" x14ac:dyDescent="0.2">
      <c r="F1676" s="45" t="s">
        <v>4237</v>
      </c>
      <c r="T1676" s="41"/>
      <c r="U1676" s="29" t="str">
        <f>IF($C1676&lt;&gt;"",COUNTIF($C$2:C1676,C1676),"")</f>
        <v/>
      </c>
      <c r="V1676" s="29" t="str">
        <f t="shared" si="76"/>
        <v/>
      </c>
      <c r="W1676" s="29" t="str">
        <f>IF(U1676=1,COUNTIF($U$2:U1676,1),"")</f>
        <v/>
      </c>
      <c r="X1676" s="29" t="str">
        <f t="shared" si="77"/>
        <v/>
      </c>
      <c r="Y1676" s="29" t="str">
        <f>IF(AND(LEFT($B1676,7)="SBA 26/",$D1676&lt;&gt;"",$F1676&lt;&gt;""),COUNTIFS($D$2:$D1676,$D1676,$B$2:$B1676,"SBA 26/*",$F$2:$F1676,"&lt;&gt;"),"")</f>
        <v/>
      </c>
      <c r="Z1676" s="29" t="str">
        <f>IF(Y1676=1,COUNTIF($Y$2:Y1676,1),"")</f>
        <v/>
      </c>
      <c r="AA1676" s="29" t="str">
        <f>IF(AND(LEFT($B1676,7)="SBA 26/",$C1676&lt;&gt;"",$F1676&lt;&gt;""),COUNTIFS($C$2:$C1676,$C1676,$B$2:$B1676,"SBA 26/*",$F$2:$F1676,"&lt;&gt;"),"")</f>
        <v/>
      </c>
      <c r="AB1676" s="29" t="str">
        <f>IF(AA1676=1,COUNTIF($AA$2:AA1676,1),"")</f>
        <v/>
      </c>
    </row>
    <row r="1677" spans="6:28" ht="31.5" customHeight="1" x14ac:dyDescent="0.2">
      <c r="F1677" s="45" t="s">
        <v>4238</v>
      </c>
      <c r="T1677" s="41"/>
      <c r="U1677" s="29" t="str">
        <f>IF($C1677&lt;&gt;"",COUNTIF($C$2:C1677,C1677),"")</f>
        <v/>
      </c>
      <c r="V1677" s="29" t="str">
        <f t="shared" si="76"/>
        <v/>
      </c>
      <c r="W1677" s="29" t="str">
        <f>IF(U1677=1,COUNTIF($U$2:U1677,1),"")</f>
        <v/>
      </c>
      <c r="X1677" s="29" t="str">
        <f t="shared" si="77"/>
        <v/>
      </c>
      <c r="Y1677" s="29" t="str">
        <f>IF(AND(LEFT($B1677,7)="SBA 26/",$D1677&lt;&gt;"",$F1677&lt;&gt;""),COUNTIFS($D$2:$D1677,$D1677,$B$2:$B1677,"SBA 26/*",$F$2:$F1677,"&lt;&gt;"),"")</f>
        <v/>
      </c>
      <c r="Z1677" s="29" t="str">
        <f>IF(Y1677=1,COUNTIF($Y$2:Y1677,1),"")</f>
        <v/>
      </c>
      <c r="AA1677" s="29" t="str">
        <f>IF(AND(LEFT($B1677,7)="SBA 26/",$C1677&lt;&gt;"",$F1677&lt;&gt;""),COUNTIFS($C$2:$C1677,$C1677,$B$2:$B1677,"SBA 26/*",$F$2:$F1677,"&lt;&gt;"),"")</f>
        <v/>
      </c>
      <c r="AB1677" s="29" t="str">
        <f>IF(AA1677=1,COUNTIF($AA$2:AA1677,1),"")</f>
        <v/>
      </c>
    </row>
    <row r="1678" spans="6:28" ht="47.25" customHeight="1" x14ac:dyDescent="0.2">
      <c r="F1678" s="45" t="s">
        <v>4239</v>
      </c>
      <c r="T1678" s="41"/>
      <c r="U1678" s="29" t="str">
        <f>IF($C1678&lt;&gt;"",COUNTIF($C$2:C1678,C1678),"")</f>
        <v/>
      </c>
      <c r="V1678" s="29" t="str">
        <f t="shared" si="76"/>
        <v/>
      </c>
      <c r="W1678" s="29" t="str">
        <f>IF(U1678=1,COUNTIF($U$2:U1678,1),"")</f>
        <v/>
      </c>
      <c r="X1678" s="29" t="str">
        <f t="shared" si="77"/>
        <v/>
      </c>
      <c r="Y1678" s="29" t="str">
        <f>IF(AND(LEFT($B1678,7)="SBA 26/",$D1678&lt;&gt;"",$F1678&lt;&gt;""),COUNTIFS($D$2:$D1678,$D1678,$B$2:$B1678,"SBA 26/*",$F$2:$F1678,"&lt;&gt;"),"")</f>
        <v/>
      </c>
      <c r="Z1678" s="29" t="str">
        <f>IF(Y1678=1,COUNTIF($Y$2:Y1678,1),"")</f>
        <v/>
      </c>
      <c r="AA1678" s="29" t="str">
        <f>IF(AND(LEFT($B1678,7)="SBA 26/",$C1678&lt;&gt;"",$F1678&lt;&gt;""),COUNTIFS($C$2:$C1678,$C1678,$B$2:$B1678,"SBA 26/*",$F$2:$F1678,"&lt;&gt;"),"")</f>
        <v/>
      </c>
      <c r="AB1678" s="29" t="str">
        <f>IF(AA1678=1,COUNTIF($AA$2:AA1678,1),"")</f>
        <v/>
      </c>
    </row>
    <row r="1679" spans="6:28" ht="47.25" customHeight="1" x14ac:dyDescent="0.2">
      <c r="F1679" s="45" t="s">
        <v>4240</v>
      </c>
      <c r="T1679" s="41"/>
      <c r="U1679" s="29" t="str">
        <f>IF($C1679&lt;&gt;"",COUNTIF($C$2:C1679,C1679),"")</f>
        <v/>
      </c>
      <c r="V1679" s="29" t="str">
        <f t="shared" si="76"/>
        <v/>
      </c>
      <c r="W1679" s="29" t="str">
        <f>IF(U1679=1,COUNTIF($U$2:U1679,1),"")</f>
        <v/>
      </c>
      <c r="X1679" s="29" t="str">
        <f t="shared" si="77"/>
        <v/>
      </c>
      <c r="Y1679" s="29" t="str">
        <f>IF(AND(LEFT($B1679,7)="SBA 26/",$D1679&lt;&gt;"",$F1679&lt;&gt;""),COUNTIFS($D$2:$D1679,$D1679,$B$2:$B1679,"SBA 26/*",$F$2:$F1679,"&lt;&gt;"),"")</f>
        <v/>
      </c>
      <c r="Z1679" s="29" t="str">
        <f>IF(Y1679=1,COUNTIF($Y$2:Y1679,1),"")</f>
        <v/>
      </c>
      <c r="AA1679" s="29" t="str">
        <f>IF(AND(LEFT($B1679,7)="SBA 26/",$C1679&lt;&gt;"",$F1679&lt;&gt;""),COUNTIFS($C$2:$C1679,$C1679,$B$2:$B1679,"SBA 26/*",$F$2:$F1679,"&lt;&gt;"),"")</f>
        <v/>
      </c>
      <c r="AB1679" s="29" t="str">
        <f>IF(AA1679=1,COUNTIF($AA$2:AA1679,1),"")</f>
        <v/>
      </c>
    </row>
    <row r="1680" spans="6:28" ht="31.5" customHeight="1" x14ac:dyDescent="0.2">
      <c r="F1680" s="45" t="s">
        <v>4241</v>
      </c>
      <c r="T1680" s="41"/>
      <c r="U1680" s="29" t="str">
        <f>IF($C1680&lt;&gt;"",COUNTIF($C$2:C1680,C1680),"")</f>
        <v/>
      </c>
      <c r="V1680" s="29" t="str">
        <f t="shared" si="76"/>
        <v/>
      </c>
      <c r="W1680" s="29" t="str">
        <f>IF(U1680=1,COUNTIF($U$2:U1680,1),"")</f>
        <v/>
      </c>
      <c r="X1680" s="29" t="str">
        <f t="shared" si="77"/>
        <v/>
      </c>
      <c r="Y1680" s="29" t="str">
        <f>IF(AND(LEFT($B1680,7)="SBA 26/",$D1680&lt;&gt;"",$F1680&lt;&gt;""),COUNTIFS($D$2:$D1680,$D1680,$B$2:$B1680,"SBA 26/*",$F$2:$F1680,"&lt;&gt;"),"")</f>
        <v/>
      </c>
      <c r="Z1680" s="29" t="str">
        <f>IF(Y1680=1,COUNTIF($Y$2:Y1680,1),"")</f>
        <v/>
      </c>
      <c r="AA1680" s="29" t="str">
        <f>IF(AND(LEFT($B1680,7)="SBA 26/",$C1680&lt;&gt;"",$F1680&lt;&gt;""),COUNTIFS($C$2:$C1680,$C1680,$B$2:$B1680,"SBA 26/*",$F$2:$F1680,"&lt;&gt;"),"")</f>
        <v/>
      </c>
      <c r="AB1680" s="29" t="str">
        <f>IF(AA1680=1,COUNTIF($AA$2:AA1680,1),"")</f>
        <v/>
      </c>
    </row>
    <row r="1681" spans="6:28" ht="63" customHeight="1" x14ac:dyDescent="0.2">
      <c r="F1681" s="45" t="s">
        <v>4242</v>
      </c>
      <c r="T1681" s="41"/>
      <c r="U1681" s="29" t="str">
        <f>IF($C1681&lt;&gt;"",COUNTIF($C$2:C1681,C1681),"")</f>
        <v/>
      </c>
      <c r="V1681" s="29" t="str">
        <f t="shared" si="76"/>
        <v/>
      </c>
      <c r="W1681" s="29" t="str">
        <f>IF(U1681=1,COUNTIF($U$2:U1681,1),"")</f>
        <v/>
      </c>
      <c r="X1681" s="29" t="str">
        <f t="shared" si="77"/>
        <v/>
      </c>
      <c r="Y1681" s="29" t="str">
        <f>IF(AND(LEFT($B1681,7)="SBA 26/",$D1681&lt;&gt;"",$F1681&lt;&gt;""),COUNTIFS($D$2:$D1681,$D1681,$B$2:$B1681,"SBA 26/*",$F$2:$F1681,"&lt;&gt;"),"")</f>
        <v/>
      </c>
      <c r="Z1681" s="29" t="str">
        <f>IF(Y1681=1,COUNTIF($Y$2:Y1681,1),"")</f>
        <v/>
      </c>
      <c r="AA1681" s="29" t="str">
        <f>IF(AND(LEFT($B1681,7)="SBA 26/",$C1681&lt;&gt;"",$F1681&lt;&gt;""),COUNTIFS($C$2:$C1681,$C1681,$B$2:$B1681,"SBA 26/*",$F$2:$F1681,"&lt;&gt;"),"")</f>
        <v/>
      </c>
      <c r="AB1681" s="29" t="str">
        <f>IF(AA1681=1,COUNTIF($AA$2:AA1681,1),"")</f>
        <v/>
      </c>
    </row>
    <row r="1682" spans="6:28" ht="47.25" customHeight="1" x14ac:dyDescent="0.2">
      <c r="F1682" s="45" t="s">
        <v>4243</v>
      </c>
      <c r="T1682" s="41"/>
      <c r="U1682" s="29" t="str">
        <f>IF($C1682&lt;&gt;"",COUNTIF($C$2:C1682,C1682),"")</f>
        <v/>
      </c>
      <c r="V1682" s="29" t="str">
        <f t="shared" si="76"/>
        <v/>
      </c>
      <c r="W1682" s="29" t="str">
        <f>IF(U1682=1,COUNTIF($U$2:U1682,1),"")</f>
        <v/>
      </c>
      <c r="X1682" s="29" t="str">
        <f t="shared" si="77"/>
        <v/>
      </c>
      <c r="Y1682" s="29" t="str">
        <f>IF(AND(LEFT($B1682,7)="SBA 26/",$D1682&lt;&gt;"",$F1682&lt;&gt;""),COUNTIFS($D$2:$D1682,$D1682,$B$2:$B1682,"SBA 26/*",$F$2:$F1682,"&lt;&gt;"),"")</f>
        <v/>
      </c>
      <c r="Z1682" s="29" t="str">
        <f>IF(Y1682=1,COUNTIF($Y$2:Y1682,1),"")</f>
        <v/>
      </c>
      <c r="AA1682" s="29" t="str">
        <f>IF(AND(LEFT($B1682,7)="SBA 26/",$C1682&lt;&gt;"",$F1682&lt;&gt;""),COUNTIFS($C$2:$C1682,$C1682,$B$2:$B1682,"SBA 26/*",$F$2:$F1682,"&lt;&gt;"),"")</f>
        <v/>
      </c>
      <c r="AB1682" s="29" t="str">
        <f>IF(AA1682=1,COUNTIF($AA$2:AA1682,1),"")</f>
        <v/>
      </c>
    </row>
    <row r="1683" spans="6:28" ht="63" customHeight="1" x14ac:dyDescent="0.2">
      <c r="F1683" s="45" t="s">
        <v>4244</v>
      </c>
      <c r="T1683" s="41"/>
      <c r="U1683" s="29" t="str">
        <f>IF($C1683&lt;&gt;"",COUNTIF($C$2:C1683,C1683),"")</f>
        <v/>
      </c>
      <c r="V1683" s="29" t="str">
        <f t="shared" si="76"/>
        <v/>
      </c>
      <c r="W1683" s="29" t="str">
        <f>IF(U1683=1,COUNTIF($U$2:U1683,1),"")</f>
        <v/>
      </c>
      <c r="X1683" s="29" t="str">
        <f t="shared" si="77"/>
        <v/>
      </c>
      <c r="Y1683" s="29" t="str">
        <f>IF(AND(LEFT($B1683,7)="SBA 26/",$D1683&lt;&gt;"",$F1683&lt;&gt;""),COUNTIFS($D$2:$D1683,$D1683,$B$2:$B1683,"SBA 26/*",$F$2:$F1683,"&lt;&gt;"),"")</f>
        <v/>
      </c>
      <c r="Z1683" s="29" t="str">
        <f>IF(Y1683=1,COUNTIF($Y$2:Y1683,1),"")</f>
        <v/>
      </c>
      <c r="AA1683" s="29" t="str">
        <f>IF(AND(LEFT($B1683,7)="SBA 26/",$C1683&lt;&gt;"",$F1683&lt;&gt;""),COUNTIFS($C$2:$C1683,$C1683,$B$2:$B1683,"SBA 26/*",$F$2:$F1683,"&lt;&gt;"),"")</f>
        <v/>
      </c>
      <c r="AB1683" s="29" t="str">
        <f>IF(AA1683=1,COUNTIF($AA$2:AA1683,1),"")</f>
        <v/>
      </c>
    </row>
    <row r="1684" spans="6:28" ht="63" customHeight="1" x14ac:dyDescent="0.2">
      <c r="F1684" s="45" t="s">
        <v>4245</v>
      </c>
      <c r="T1684" s="41"/>
      <c r="U1684" s="29" t="str">
        <f>IF($C1684&lt;&gt;"",COUNTIF($C$2:C1684,C1684),"")</f>
        <v/>
      </c>
      <c r="V1684" s="29" t="str">
        <f t="shared" si="76"/>
        <v/>
      </c>
      <c r="W1684" s="29" t="str">
        <f>IF(U1684=1,COUNTIF($U$2:U1684,1),"")</f>
        <v/>
      </c>
      <c r="X1684" s="29" t="str">
        <f t="shared" si="77"/>
        <v/>
      </c>
      <c r="Y1684" s="29" t="str">
        <f>IF(AND(LEFT($B1684,7)="SBA 26/",$D1684&lt;&gt;"",$F1684&lt;&gt;""),COUNTIFS($D$2:$D1684,$D1684,$B$2:$B1684,"SBA 26/*",$F$2:$F1684,"&lt;&gt;"),"")</f>
        <v/>
      </c>
      <c r="Z1684" s="29" t="str">
        <f>IF(Y1684=1,COUNTIF($Y$2:Y1684,1),"")</f>
        <v/>
      </c>
      <c r="AA1684" s="29" t="str">
        <f>IF(AND(LEFT($B1684,7)="SBA 26/",$C1684&lt;&gt;"",$F1684&lt;&gt;""),COUNTIFS($C$2:$C1684,$C1684,$B$2:$B1684,"SBA 26/*",$F$2:$F1684,"&lt;&gt;"),"")</f>
        <v/>
      </c>
      <c r="AB1684" s="29" t="str">
        <f>IF(AA1684=1,COUNTIF($AA$2:AA1684,1),"")</f>
        <v/>
      </c>
    </row>
    <row r="1685" spans="6:28" ht="47.25" customHeight="1" x14ac:dyDescent="0.2">
      <c r="F1685" s="45" t="s">
        <v>4246</v>
      </c>
      <c r="T1685" s="41"/>
      <c r="U1685" s="29" t="str">
        <f>IF($C1685&lt;&gt;"",COUNTIF($C$2:C1685,C1685),"")</f>
        <v/>
      </c>
      <c r="V1685" s="29" t="str">
        <f t="shared" si="76"/>
        <v/>
      </c>
      <c r="W1685" s="29" t="str">
        <f>IF(U1685=1,COUNTIF($U$2:U1685,1),"")</f>
        <v/>
      </c>
      <c r="X1685" s="29" t="str">
        <f t="shared" si="77"/>
        <v/>
      </c>
      <c r="Y1685" s="29" t="str">
        <f>IF(AND(LEFT($B1685,7)="SBA 26/",$D1685&lt;&gt;"",$F1685&lt;&gt;""),COUNTIFS($D$2:$D1685,$D1685,$B$2:$B1685,"SBA 26/*",$F$2:$F1685,"&lt;&gt;"),"")</f>
        <v/>
      </c>
      <c r="Z1685" s="29" t="str">
        <f>IF(Y1685=1,COUNTIF($Y$2:Y1685,1),"")</f>
        <v/>
      </c>
      <c r="AA1685" s="29" t="str">
        <f>IF(AND(LEFT($B1685,7)="SBA 26/",$C1685&lt;&gt;"",$F1685&lt;&gt;""),COUNTIFS($C$2:$C1685,$C1685,$B$2:$B1685,"SBA 26/*",$F$2:$F1685,"&lt;&gt;"),"")</f>
        <v/>
      </c>
      <c r="AB1685" s="29" t="str">
        <f>IF(AA1685=1,COUNTIF($AA$2:AA1685,1),"")</f>
        <v/>
      </c>
    </row>
    <row r="1686" spans="6:28" ht="31.5" customHeight="1" x14ac:dyDescent="0.2">
      <c r="F1686" s="45" t="s">
        <v>4247</v>
      </c>
      <c r="T1686" s="41"/>
      <c r="U1686" s="29" t="str">
        <f>IF($C1686&lt;&gt;"",COUNTIF($C$2:C1686,C1686),"")</f>
        <v/>
      </c>
      <c r="V1686" s="29" t="str">
        <f t="shared" si="76"/>
        <v/>
      </c>
      <c r="W1686" s="29" t="str">
        <f>IF(U1686=1,COUNTIF($U$2:U1686,1),"")</f>
        <v/>
      </c>
      <c r="X1686" s="29" t="str">
        <f t="shared" si="77"/>
        <v/>
      </c>
      <c r="Y1686" s="29" t="str">
        <f>IF(AND(LEFT($B1686,7)="SBA 26/",$D1686&lt;&gt;"",$F1686&lt;&gt;""),COUNTIFS($D$2:$D1686,$D1686,$B$2:$B1686,"SBA 26/*",$F$2:$F1686,"&lt;&gt;"),"")</f>
        <v/>
      </c>
      <c r="Z1686" s="29" t="str">
        <f>IF(Y1686=1,COUNTIF($Y$2:Y1686,1),"")</f>
        <v/>
      </c>
      <c r="AA1686" s="29" t="str">
        <f>IF(AND(LEFT($B1686,7)="SBA 26/",$C1686&lt;&gt;"",$F1686&lt;&gt;""),COUNTIFS($C$2:$C1686,$C1686,$B$2:$B1686,"SBA 26/*",$F$2:$F1686,"&lt;&gt;"),"")</f>
        <v/>
      </c>
      <c r="AB1686" s="29" t="str">
        <f>IF(AA1686=1,COUNTIF($AA$2:AA1686,1),"")</f>
        <v/>
      </c>
    </row>
    <row r="1687" spans="6:28" ht="63" customHeight="1" x14ac:dyDescent="0.2">
      <c r="F1687" s="45" t="s">
        <v>4248</v>
      </c>
      <c r="T1687" s="41"/>
      <c r="U1687" s="29" t="str">
        <f>IF($C1687&lt;&gt;"",COUNTIF($C$2:C1687,C1687),"")</f>
        <v/>
      </c>
      <c r="V1687" s="29" t="str">
        <f t="shared" si="76"/>
        <v/>
      </c>
      <c r="W1687" s="29" t="str">
        <f>IF(U1687=1,COUNTIF($U$2:U1687,1),"")</f>
        <v/>
      </c>
      <c r="X1687" s="29" t="str">
        <f t="shared" si="77"/>
        <v/>
      </c>
      <c r="Y1687" s="29" t="str">
        <f>IF(AND(LEFT($B1687,7)="SBA 26/",$D1687&lt;&gt;"",$F1687&lt;&gt;""),COUNTIFS($D$2:$D1687,$D1687,$B$2:$B1687,"SBA 26/*",$F$2:$F1687,"&lt;&gt;"),"")</f>
        <v/>
      </c>
      <c r="Z1687" s="29" t="str">
        <f>IF(Y1687=1,COUNTIF($Y$2:Y1687,1),"")</f>
        <v/>
      </c>
      <c r="AA1687" s="29" t="str">
        <f>IF(AND(LEFT($B1687,7)="SBA 26/",$C1687&lt;&gt;"",$F1687&lt;&gt;""),COUNTIFS($C$2:$C1687,$C1687,$B$2:$B1687,"SBA 26/*",$F$2:$F1687,"&lt;&gt;"),"")</f>
        <v/>
      </c>
      <c r="AB1687" s="29" t="str">
        <f>IF(AA1687=1,COUNTIF($AA$2:AA1687,1),"")</f>
        <v/>
      </c>
    </row>
    <row r="1688" spans="6:28" ht="47.25" customHeight="1" x14ac:dyDescent="0.2">
      <c r="F1688" s="45" t="s">
        <v>4249</v>
      </c>
      <c r="T1688" s="41"/>
      <c r="U1688" s="29" t="str">
        <f>IF($C1688&lt;&gt;"",COUNTIF($C$2:C1688,C1688),"")</f>
        <v/>
      </c>
      <c r="V1688" s="29" t="str">
        <f t="shared" si="76"/>
        <v/>
      </c>
      <c r="W1688" s="29" t="str">
        <f>IF(U1688=1,COUNTIF($U$2:U1688,1),"")</f>
        <v/>
      </c>
      <c r="X1688" s="29" t="str">
        <f t="shared" si="77"/>
        <v/>
      </c>
      <c r="Y1688" s="29" t="str">
        <f>IF(AND(LEFT($B1688,7)="SBA 26/",$D1688&lt;&gt;"",$F1688&lt;&gt;""),COUNTIFS($D$2:$D1688,$D1688,$B$2:$B1688,"SBA 26/*",$F$2:$F1688,"&lt;&gt;"),"")</f>
        <v/>
      </c>
      <c r="Z1688" s="29" t="str">
        <f>IF(Y1688=1,COUNTIF($Y$2:Y1688,1),"")</f>
        <v/>
      </c>
      <c r="AA1688" s="29" t="str">
        <f>IF(AND(LEFT($B1688,7)="SBA 26/",$C1688&lt;&gt;"",$F1688&lt;&gt;""),COUNTIFS($C$2:$C1688,$C1688,$B$2:$B1688,"SBA 26/*",$F$2:$F1688,"&lt;&gt;"),"")</f>
        <v/>
      </c>
      <c r="AB1688" s="29" t="str">
        <f>IF(AA1688=1,COUNTIF($AA$2:AA1688,1),"")</f>
        <v/>
      </c>
    </row>
    <row r="1689" spans="6:28" ht="63" customHeight="1" x14ac:dyDescent="0.2">
      <c r="F1689" s="45" t="s">
        <v>4250</v>
      </c>
      <c r="T1689" s="41"/>
      <c r="U1689" s="29" t="str">
        <f>IF($C1689&lt;&gt;"",COUNTIF($C$2:C1689,C1689),"")</f>
        <v/>
      </c>
      <c r="V1689" s="29" t="str">
        <f t="shared" si="76"/>
        <v/>
      </c>
      <c r="W1689" s="29" t="str">
        <f>IF(U1689=1,COUNTIF($U$2:U1689,1),"")</f>
        <v/>
      </c>
      <c r="X1689" s="29" t="str">
        <f t="shared" si="77"/>
        <v/>
      </c>
      <c r="Y1689" s="29" t="str">
        <f>IF(AND(LEFT($B1689,7)="SBA 26/",$D1689&lt;&gt;"",$F1689&lt;&gt;""),COUNTIFS($D$2:$D1689,$D1689,$B$2:$B1689,"SBA 26/*",$F$2:$F1689,"&lt;&gt;"),"")</f>
        <v/>
      </c>
      <c r="Z1689" s="29" t="str">
        <f>IF(Y1689=1,COUNTIF($Y$2:Y1689,1),"")</f>
        <v/>
      </c>
      <c r="AA1689" s="29" t="str">
        <f>IF(AND(LEFT($B1689,7)="SBA 26/",$C1689&lt;&gt;"",$F1689&lt;&gt;""),COUNTIFS($C$2:$C1689,$C1689,$B$2:$B1689,"SBA 26/*",$F$2:$F1689,"&lt;&gt;"),"")</f>
        <v/>
      </c>
      <c r="AB1689" s="29" t="str">
        <f>IF(AA1689=1,COUNTIF($AA$2:AA1689,1),"")</f>
        <v/>
      </c>
    </row>
    <row r="1690" spans="6:28" ht="47.25" customHeight="1" x14ac:dyDescent="0.2">
      <c r="F1690" s="45" t="s">
        <v>4251</v>
      </c>
      <c r="T1690" s="41"/>
      <c r="U1690" s="29" t="str">
        <f>IF($C1690&lt;&gt;"",COUNTIF($C$2:C1690,C1690),"")</f>
        <v/>
      </c>
      <c r="V1690" s="29" t="str">
        <f t="shared" si="76"/>
        <v/>
      </c>
      <c r="W1690" s="29" t="str">
        <f>IF(U1690=1,COUNTIF($U$2:U1690,1),"")</f>
        <v/>
      </c>
      <c r="X1690" s="29" t="str">
        <f t="shared" si="77"/>
        <v/>
      </c>
      <c r="Y1690" s="29" t="str">
        <f>IF(AND(LEFT($B1690,7)="SBA 26/",$D1690&lt;&gt;"",$F1690&lt;&gt;""),COUNTIFS($D$2:$D1690,$D1690,$B$2:$B1690,"SBA 26/*",$F$2:$F1690,"&lt;&gt;"),"")</f>
        <v/>
      </c>
      <c r="Z1690" s="29" t="str">
        <f>IF(Y1690=1,COUNTIF($Y$2:Y1690,1),"")</f>
        <v/>
      </c>
      <c r="AA1690" s="29" t="str">
        <f>IF(AND(LEFT($B1690,7)="SBA 26/",$C1690&lt;&gt;"",$F1690&lt;&gt;""),COUNTIFS($C$2:$C1690,$C1690,$B$2:$B1690,"SBA 26/*",$F$2:$F1690,"&lt;&gt;"),"")</f>
        <v/>
      </c>
      <c r="AB1690" s="29" t="str">
        <f>IF(AA1690=1,COUNTIF($AA$2:AA1690,1),"")</f>
        <v/>
      </c>
    </row>
    <row r="1691" spans="6:28" ht="31.5" customHeight="1" x14ac:dyDescent="0.2">
      <c r="F1691" s="45" t="s">
        <v>4252</v>
      </c>
      <c r="T1691" s="41"/>
      <c r="U1691" s="29" t="str">
        <f>IF($C1691&lt;&gt;"",COUNTIF($C$2:C1691,C1691),"")</f>
        <v/>
      </c>
      <c r="V1691" s="29" t="str">
        <f t="shared" si="76"/>
        <v/>
      </c>
      <c r="W1691" s="29" t="str">
        <f>IF(U1691=1,COUNTIF($U$2:U1691,1),"")</f>
        <v/>
      </c>
      <c r="X1691" s="29" t="str">
        <f t="shared" si="77"/>
        <v/>
      </c>
      <c r="Y1691" s="29" t="str">
        <f>IF(AND(LEFT($B1691,7)="SBA 26/",$D1691&lt;&gt;"",$F1691&lt;&gt;""),COUNTIFS($D$2:$D1691,$D1691,$B$2:$B1691,"SBA 26/*",$F$2:$F1691,"&lt;&gt;"),"")</f>
        <v/>
      </c>
      <c r="Z1691" s="29" t="str">
        <f>IF(Y1691=1,COUNTIF($Y$2:Y1691,1),"")</f>
        <v/>
      </c>
      <c r="AA1691" s="29" t="str">
        <f>IF(AND(LEFT($B1691,7)="SBA 26/",$C1691&lt;&gt;"",$F1691&lt;&gt;""),COUNTIFS($C$2:$C1691,$C1691,$B$2:$B1691,"SBA 26/*",$F$2:$F1691,"&lt;&gt;"),"")</f>
        <v/>
      </c>
      <c r="AB1691" s="29" t="str">
        <f>IF(AA1691=1,COUNTIF($AA$2:AA1691,1),"")</f>
        <v/>
      </c>
    </row>
    <row r="1692" spans="6:28" ht="47.25" customHeight="1" x14ac:dyDescent="0.2">
      <c r="F1692" s="45" t="s">
        <v>4253</v>
      </c>
      <c r="T1692" s="41"/>
      <c r="U1692" s="29" t="str">
        <f>IF($C1692&lt;&gt;"",COUNTIF($C$2:C1692,C1692),"")</f>
        <v/>
      </c>
      <c r="V1692" s="29" t="str">
        <f t="shared" si="76"/>
        <v/>
      </c>
      <c r="W1692" s="29" t="str">
        <f>IF(U1692=1,COUNTIF($U$2:U1692,1),"")</f>
        <v/>
      </c>
      <c r="X1692" s="29" t="str">
        <f t="shared" si="77"/>
        <v/>
      </c>
      <c r="Y1692" s="29" t="str">
        <f>IF(AND(LEFT($B1692,7)="SBA 26/",$D1692&lt;&gt;"",$F1692&lt;&gt;""),COUNTIFS($D$2:$D1692,$D1692,$B$2:$B1692,"SBA 26/*",$F$2:$F1692,"&lt;&gt;"),"")</f>
        <v/>
      </c>
      <c r="Z1692" s="29" t="str">
        <f>IF(Y1692=1,COUNTIF($Y$2:Y1692,1),"")</f>
        <v/>
      </c>
      <c r="AA1692" s="29" t="str">
        <f>IF(AND(LEFT($B1692,7)="SBA 26/",$C1692&lt;&gt;"",$F1692&lt;&gt;""),COUNTIFS($C$2:$C1692,$C1692,$B$2:$B1692,"SBA 26/*",$F$2:$F1692,"&lt;&gt;"),"")</f>
        <v/>
      </c>
      <c r="AB1692" s="29" t="str">
        <f>IF(AA1692=1,COUNTIF($AA$2:AA1692,1),"")</f>
        <v/>
      </c>
    </row>
    <row r="1693" spans="6:28" ht="31.5" customHeight="1" x14ac:dyDescent="0.2">
      <c r="F1693" s="45" t="s">
        <v>4254</v>
      </c>
      <c r="T1693" s="41"/>
      <c r="U1693" s="29" t="str">
        <f>IF($C1693&lt;&gt;"",COUNTIF($C$2:C1693,C1693),"")</f>
        <v/>
      </c>
      <c r="V1693" s="29" t="str">
        <f t="shared" si="76"/>
        <v/>
      </c>
      <c r="W1693" s="29" t="str">
        <f>IF(U1693=1,COUNTIF($U$2:U1693,1),"")</f>
        <v/>
      </c>
      <c r="X1693" s="29" t="str">
        <f t="shared" si="77"/>
        <v/>
      </c>
      <c r="Y1693" s="29" t="str">
        <f>IF(AND(LEFT($B1693,7)="SBA 26/",$D1693&lt;&gt;"",$F1693&lt;&gt;""),COUNTIFS($D$2:$D1693,$D1693,$B$2:$B1693,"SBA 26/*",$F$2:$F1693,"&lt;&gt;"),"")</f>
        <v/>
      </c>
      <c r="Z1693" s="29" t="str">
        <f>IF(Y1693=1,COUNTIF($Y$2:Y1693,1),"")</f>
        <v/>
      </c>
      <c r="AA1693" s="29" t="str">
        <f>IF(AND(LEFT($B1693,7)="SBA 26/",$C1693&lt;&gt;"",$F1693&lt;&gt;""),COUNTIFS($C$2:$C1693,$C1693,$B$2:$B1693,"SBA 26/*",$F$2:$F1693,"&lt;&gt;"),"")</f>
        <v/>
      </c>
      <c r="AB1693" s="29" t="str">
        <f>IF(AA1693=1,COUNTIF($AA$2:AA1693,1),"")</f>
        <v/>
      </c>
    </row>
    <row r="1694" spans="6:28" ht="63" customHeight="1" x14ac:dyDescent="0.2">
      <c r="F1694" s="45" t="s">
        <v>4255</v>
      </c>
      <c r="T1694" s="41"/>
      <c r="U1694" s="29" t="str">
        <f>IF($C1694&lt;&gt;"",COUNTIF($C$2:C1694,C1694),"")</f>
        <v/>
      </c>
      <c r="V1694" s="29" t="str">
        <f t="shared" si="76"/>
        <v/>
      </c>
      <c r="W1694" s="29" t="str">
        <f>IF(U1694=1,COUNTIF($U$2:U1694,1),"")</f>
        <v/>
      </c>
      <c r="X1694" s="29" t="str">
        <f t="shared" si="77"/>
        <v/>
      </c>
      <c r="Y1694" s="29" t="str">
        <f>IF(AND(LEFT($B1694,7)="SBA 26/",$D1694&lt;&gt;"",$F1694&lt;&gt;""),COUNTIFS($D$2:$D1694,$D1694,$B$2:$B1694,"SBA 26/*",$F$2:$F1694,"&lt;&gt;"),"")</f>
        <v/>
      </c>
      <c r="Z1694" s="29" t="str">
        <f>IF(Y1694=1,COUNTIF($Y$2:Y1694,1),"")</f>
        <v/>
      </c>
      <c r="AA1694" s="29" t="str">
        <f>IF(AND(LEFT($B1694,7)="SBA 26/",$C1694&lt;&gt;"",$F1694&lt;&gt;""),COUNTIFS($C$2:$C1694,$C1694,$B$2:$B1694,"SBA 26/*",$F$2:$F1694,"&lt;&gt;"),"")</f>
        <v/>
      </c>
      <c r="AB1694" s="29" t="str">
        <f>IF(AA1694=1,COUNTIF($AA$2:AA1694,1),"")</f>
        <v/>
      </c>
    </row>
    <row r="1695" spans="6:28" ht="47.25" customHeight="1" x14ac:dyDescent="0.2">
      <c r="F1695" s="45" t="s">
        <v>4256</v>
      </c>
      <c r="T1695" s="41"/>
      <c r="U1695" s="29" t="str">
        <f>IF($C1695&lt;&gt;"",COUNTIF($C$2:C1695,C1695),"")</f>
        <v/>
      </c>
      <c r="V1695" s="29" t="str">
        <f t="shared" si="76"/>
        <v/>
      </c>
      <c r="W1695" s="29" t="str">
        <f>IF(U1695=1,COUNTIF($U$2:U1695,1),"")</f>
        <v/>
      </c>
      <c r="X1695" s="29" t="str">
        <f t="shared" si="77"/>
        <v/>
      </c>
      <c r="Y1695" s="29" t="str">
        <f>IF(AND(LEFT($B1695,7)="SBA 26/",$D1695&lt;&gt;"",$F1695&lt;&gt;""),COUNTIFS($D$2:$D1695,$D1695,$B$2:$B1695,"SBA 26/*",$F$2:$F1695,"&lt;&gt;"),"")</f>
        <v/>
      </c>
      <c r="Z1695" s="29" t="str">
        <f>IF(Y1695=1,COUNTIF($Y$2:Y1695,1),"")</f>
        <v/>
      </c>
      <c r="AA1695" s="29" t="str">
        <f>IF(AND(LEFT($B1695,7)="SBA 26/",$C1695&lt;&gt;"",$F1695&lt;&gt;""),COUNTIFS($C$2:$C1695,$C1695,$B$2:$B1695,"SBA 26/*",$F$2:$F1695,"&lt;&gt;"),"")</f>
        <v/>
      </c>
      <c r="AB1695" s="29" t="str">
        <f>IF(AA1695=1,COUNTIF($AA$2:AA1695,1),"")</f>
        <v/>
      </c>
    </row>
    <row r="1696" spans="6:28" ht="31.5" customHeight="1" x14ac:dyDescent="0.2">
      <c r="F1696" s="45" t="s">
        <v>4257</v>
      </c>
      <c r="T1696" s="41"/>
      <c r="U1696" s="29" t="str">
        <f>IF($C1696&lt;&gt;"",COUNTIF($C$2:C1696,C1696),"")</f>
        <v/>
      </c>
      <c r="V1696" s="29" t="str">
        <f t="shared" si="76"/>
        <v/>
      </c>
      <c r="W1696" s="29" t="str">
        <f>IF(U1696=1,COUNTIF($U$2:U1696,1),"")</f>
        <v/>
      </c>
      <c r="X1696" s="29" t="str">
        <f t="shared" si="77"/>
        <v/>
      </c>
      <c r="Y1696" s="29" t="str">
        <f>IF(AND(LEFT($B1696,7)="SBA 26/",$D1696&lt;&gt;"",$F1696&lt;&gt;""),COUNTIFS($D$2:$D1696,$D1696,$B$2:$B1696,"SBA 26/*",$F$2:$F1696,"&lt;&gt;"),"")</f>
        <v/>
      </c>
      <c r="Z1696" s="29" t="str">
        <f>IF(Y1696=1,COUNTIF($Y$2:Y1696,1),"")</f>
        <v/>
      </c>
      <c r="AA1696" s="29" t="str">
        <f>IF(AND(LEFT($B1696,7)="SBA 26/",$C1696&lt;&gt;"",$F1696&lt;&gt;""),COUNTIFS($C$2:$C1696,$C1696,$B$2:$B1696,"SBA 26/*",$F$2:$F1696,"&lt;&gt;"),"")</f>
        <v/>
      </c>
      <c r="AB1696" s="29" t="str">
        <f>IF(AA1696=1,COUNTIF($AA$2:AA1696,1),"")</f>
        <v/>
      </c>
    </row>
    <row r="1697" spans="6:28" ht="47.25" customHeight="1" x14ac:dyDescent="0.2">
      <c r="F1697" s="45" t="s">
        <v>4258</v>
      </c>
      <c r="T1697" s="41"/>
      <c r="U1697" s="29" t="str">
        <f>IF($C1697&lt;&gt;"",COUNTIF($C$2:C1697,C1697),"")</f>
        <v/>
      </c>
      <c r="V1697" s="29" t="str">
        <f t="shared" si="76"/>
        <v/>
      </c>
      <c r="W1697" s="29" t="str">
        <f>IF(U1697=1,COUNTIF($U$2:U1697,1),"")</f>
        <v/>
      </c>
      <c r="X1697" s="29" t="str">
        <f t="shared" si="77"/>
        <v/>
      </c>
      <c r="Y1697" s="29" t="str">
        <f>IF(AND(LEFT($B1697,7)="SBA 26/",$D1697&lt;&gt;"",$F1697&lt;&gt;""),COUNTIFS($D$2:$D1697,$D1697,$B$2:$B1697,"SBA 26/*",$F$2:$F1697,"&lt;&gt;"),"")</f>
        <v/>
      </c>
      <c r="Z1697" s="29" t="str">
        <f>IF(Y1697=1,COUNTIF($Y$2:Y1697,1),"")</f>
        <v/>
      </c>
      <c r="AA1697" s="29" t="str">
        <f>IF(AND(LEFT($B1697,7)="SBA 26/",$C1697&lt;&gt;"",$F1697&lt;&gt;""),COUNTIFS($C$2:$C1697,$C1697,$B$2:$B1697,"SBA 26/*",$F$2:$F1697,"&lt;&gt;"),"")</f>
        <v/>
      </c>
      <c r="AB1697" s="29" t="str">
        <f>IF(AA1697=1,COUNTIF($AA$2:AA1697,1),"")</f>
        <v/>
      </c>
    </row>
    <row r="1698" spans="6:28" ht="31.5" customHeight="1" x14ac:dyDescent="0.2">
      <c r="F1698" s="45" t="s">
        <v>4259</v>
      </c>
      <c r="T1698" s="41"/>
      <c r="U1698" s="29" t="str">
        <f>IF($C1698&lt;&gt;"",COUNTIF($C$2:C1698,C1698),"")</f>
        <v/>
      </c>
      <c r="V1698" s="29" t="str">
        <f t="shared" si="76"/>
        <v/>
      </c>
      <c r="W1698" s="29" t="str">
        <f>IF(U1698=1,COUNTIF($U$2:U1698,1),"")</f>
        <v/>
      </c>
      <c r="X1698" s="29" t="str">
        <f t="shared" si="77"/>
        <v/>
      </c>
      <c r="Y1698" s="29" t="str">
        <f>IF(AND(LEFT($B1698,7)="SBA 26/",$D1698&lt;&gt;"",$F1698&lt;&gt;""),COUNTIFS($D$2:$D1698,$D1698,$B$2:$B1698,"SBA 26/*",$F$2:$F1698,"&lt;&gt;"),"")</f>
        <v/>
      </c>
      <c r="Z1698" s="29" t="str">
        <f>IF(Y1698=1,COUNTIF($Y$2:Y1698,1),"")</f>
        <v/>
      </c>
      <c r="AA1698" s="29" t="str">
        <f>IF(AND(LEFT($B1698,7)="SBA 26/",$C1698&lt;&gt;"",$F1698&lt;&gt;""),COUNTIFS($C$2:$C1698,$C1698,$B$2:$B1698,"SBA 26/*",$F$2:$F1698,"&lt;&gt;"),"")</f>
        <v/>
      </c>
      <c r="AB1698" s="29" t="str">
        <f>IF(AA1698=1,COUNTIF($AA$2:AA1698,1),"")</f>
        <v/>
      </c>
    </row>
    <row r="1699" spans="6:28" ht="47.25" customHeight="1" x14ac:dyDescent="0.2">
      <c r="F1699" s="45" t="s">
        <v>4260</v>
      </c>
      <c r="T1699" s="41"/>
      <c r="U1699" s="29" t="str">
        <f>IF($C1699&lt;&gt;"",COUNTIF($C$2:C1699,C1699),"")</f>
        <v/>
      </c>
      <c r="V1699" s="29" t="str">
        <f t="shared" si="76"/>
        <v/>
      </c>
      <c r="W1699" s="29" t="str">
        <f>IF(U1699=1,COUNTIF($U$2:U1699,1),"")</f>
        <v/>
      </c>
      <c r="X1699" s="29" t="str">
        <f t="shared" si="77"/>
        <v/>
      </c>
      <c r="Y1699" s="29" t="str">
        <f>IF(AND(LEFT($B1699,7)="SBA 26/",$D1699&lt;&gt;"",$F1699&lt;&gt;""),COUNTIFS($D$2:$D1699,$D1699,$B$2:$B1699,"SBA 26/*",$F$2:$F1699,"&lt;&gt;"),"")</f>
        <v/>
      </c>
      <c r="Z1699" s="29" t="str">
        <f>IF(Y1699=1,COUNTIF($Y$2:Y1699,1),"")</f>
        <v/>
      </c>
      <c r="AA1699" s="29" t="str">
        <f>IF(AND(LEFT($B1699,7)="SBA 26/",$C1699&lt;&gt;"",$F1699&lt;&gt;""),COUNTIFS($C$2:$C1699,$C1699,$B$2:$B1699,"SBA 26/*",$F$2:$F1699,"&lt;&gt;"),"")</f>
        <v/>
      </c>
      <c r="AB1699" s="29" t="str">
        <f>IF(AA1699=1,COUNTIF($AA$2:AA1699,1),"")</f>
        <v/>
      </c>
    </row>
    <row r="1700" spans="6:28" ht="47.25" customHeight="1" x14ac:dyDescent="0.2">
      <c r="F1700" s="45" t="s">
        <v>4261</v>
      </c>
      <c r="T1700" s="41"/>
      <c r="U1700" s="29" t="str">
        <f>IF($C1700&lt;&gt;"",COUNTIF($C$2:C1700,C1700),"")</f>
        <v/>
      </c>
      <c r="V1700" s="29" t="str">
        <f t="shared" si="76"/>
        <v/>
      </c>
      <c r="W1700" s="29" t="str">
        <f>IF(U1700=1,COUNTIF($U$2:U1700,1),"")</f>
        <v/>
      </c>
      <c r="X1700" s="29" t="str">
        <f t="shared" si="77"/>
        <v/>
      </c>
      <c r="Y1700" s="29" t="str">
        <f>IF(AND(LEFT($B1700,7)="SBA 26/",$D1700&lt;&gt;"",$F1700&lt;&gt;""),COUNTIFS($D$2:$D1700,$D1700,$B$2:$B1700,"SBA 26/*",$F$2:$F1700,"&lt;&gt;"),"")</f>
        <v/>
      </c>
      <c r="Z1700" s="29" t="str">
        <f>IF(Y1700=1,COUNTIF($Y$2:Y1700,1),"")</f>
        <v/>
      </c>
      <c r="AA1700" s="29" t="str">
        <f>IF(AND(LEFT($B1700,7)="SBA 26/",$C1700&lt;&gt;"",$F1700&lt;&gt;""),COUNTIFS($C$2:$C1700,$C1700,$B$2:$B1700,"SBA 26/*",$F$2:$F1700,"&lt;&gt;"),"")</f>
        <v/>
      </c>
      <c r="AB1700" s="29" t="str">
        <f>IF(AA1700=1,COUNTIF($AA$2:AA1700,1),"")</f>
        <v/>
      </c>
    </row>
    <row r="1701" spans="6:28" ht="63" customHeight="1" x14ac:dyDescent="0.2">
      <c r="F1701" s="45" t="s">
        <v>4262</v>
      </c>
      <c r="T1701" s="41"/>
      <c r="U1701" s="29" t="str">
        <f>IF($C1701&lt;&gt;"",COUNTIF($C$2:C1701,C1701),"")</f>
        <v/>
      </c>
      <c r="V1701" s="29" t="str">
        <f t="shared" si="76"/>
        <v/>
      </c>
      <c r="W1701" s="29" t="str">
        <f>IF(U1701=1,COUNTIF($U$2:U1701,1),"")</f>
        <v/>
      </c>
      <c r="X1701" s="29" t="str">
        <f t="shared" si="77"/>
        <v/>
      </c>
      <c r="Y1701" s="29" t="str">
        <f>IF(AND(LEFT($B1701,7)="SBA 26/",$D1701&lt;&gt;"",$F1701&lt;&gt;""),COUNTIFS($D$2:$D1701,$D1701,$B$2:$B1701,"SBA 26/*",$F$2:$F1701,"&lt;&gt;"),"")</f>
        <v/>
      </c>
      <c r="Z1701" s="29" t="str">
        <f>IF(Y1701=1,COUNTIF($Y$2:Y1701,1),"")</f>
        <v/>
      </c>
      <c r="AA1701" s="29" t="str">
        <f>IF(AND(LEFT($B1701,7)="SBA 26/",$C1701&lt;&gt;"",$F1701&lt;&gt;""),COUNTIFS($C$2:$C1701,$C1701,$B$2:$B1701,"SBA 26/*",$F$2:$F1701,"&lt;&gt;"),"")</f>
        <v/>
      </c>
      <c r="AB1701" s="29" t="str">
        <f>IF(AA1701=1,COUNTIF($AA$2:AA1701,1),"")</f>
        <v/>
      </c>
    </row>
    <row r="1702" spans="6:28" ht="47.25" customHeight="1" x14ac:dyDescent="0.2">
      <c r="F1702" s="45" t="s">
        <v>4263</v>
      </c>
      <c r="T1702" s="41"/>
      <c r="U1702" s="29" t="str">
        <f>IF($C1702&lt;&gt;"",COUNTIF($C$2:C1702,C1702),"")</f>
        <v/>
      </c>
      <c r="V1702" s="29" t="str">
        <f t="shared" si="76"/>
        <v/>
      </c>
      <c r="W1702" s="29" t="str">
        <f>IF(U1702=1,COUNTIF($U$2:U1702,1),"")</f>
        <v/>
      </c>
      <c r="X1702" s="29" t="str">
        <f t="shared" si="77"/>
        <v/>
      </c>
      <c r="Y1702" s="29" t="str">
        <f>IF(AND(LEFT($B1702,7)="SBA 26/",$D1702&lt;&gt;"",$F1702&lt;&gt;""),COUNTIFS($D$2:$D1702,$D1702,$B$2:$B1702,"SBA 26/*",$F$2:$F1702,"&lt;&gt;"),"")</f>
        <v/>
      </c>
      <c r="Z1702" s="29" t="str">
        <f>IF(Y1702=1,COUNTIF($Y$2:Y1702,1),"")</f>
        <v/>
      </c>
      <c r="AA1702" s="29" t="str">
        <f>IF(AND(LEFT($B1702,7)="SBA 26/",$C1702&lt;&gt;"",$F1702&lt;&gt;""),COUNTIFS($C$2:$C1702,$C1702,$B$2:$B1702,"SBA 26/*",$F$2:$F1702,"&lt;&gt;"),"")</f>
        <v/>
      </c>
      <c r="AB1702" s="29" t="str">
        <f>IF(AA1702=1,COUNTIF($AA$2:AA1702,1),"")</f>
        <v/>
      </c>
    </row>
    <row r="1703" spans="6:28" ht="78.75" customHeight="1" x14ac:dyDescent="0.2">
      <c r="F1703" s="45" t="s">
        <v>4264</v>
      </c>
      <c r="T1703" s="41"/>
      <c r="U1703" s="29" t="str">
        <f>IF($C1703&lt;&gt;"",COUNTIF($C$2:C1703,C1703),"")</f>
        <v/>
      </c>
      <c r="V1703" s="29" t="str">
        <f t="shared" si="76"/>
        <v/>
      </c>
      <c r="W1703" s="29" t="str">
        <f>IF(U1703=1,COUNTIF($U$2:U1703,1),"")</f>
        <v/>
      </c>
      <c r="X1703" s="29" t="str">
        <f t="shared" si="77"/>
        <v/>
      </c>
      <c r="Y1703" s="29" t="str">
        <f>IF(AND(LEFT($B1703,7)="SBA 26/",$D1703&lt;&gt;"",$F1703&lt;&gt;""),COUNTIFS($D$2:$D1703,$D1703,$B$2:$B1703,"SBA 26/*",$F$2:$F1703,"&lt;&gt;"),"")</f>
        <v/>
      </c>
      <c r="Z1703" s="29" t="str">
        <f>IF(Y1703=1,COUNTIF($Y$2:Y1703,1),"")</f>
        <v/>
      </c>
      <c r="AA1703" s="29" t="str">
        <f>IF(AND(LEFT($B1703,7)="SBA 26/",$C1703&lt;&gt;"",$F1703&lt;&gt;""),COUNTIFS($C$2:$C1703,$C1703,$B$2:$B1703,"SBA 26/*",$F$2:$F1703,"&lt;&gt;"),"")</f>
        <v/>
      </c>
      <c r="AB1703" s="29" t="str">
        <f>IF(AA1703=1,COUNTIF($AA$2:AA1703,1),"")</f>
        <v/>
      </c>
    </row>
    <row r="1704" spans="6:28" ht="31.5" customHeight="1" x14ac:dyDescent="0.2">
      <c r="F1704" s="45" t="s">
        <v>4265</v>
      </c>
      <c r="T1704" s="41"/>
      <c r="U1704" s="29" t="str">
        <f>IF($C1704&lt;&gt;"",COUNTIF($C$2:C1704,C1704),"")</f>
        <v/>
      </c>
      <c r="V1704" s="29" t="str">
        <f t="shared" si="76"/>
        <v/>
      </c>
      <c r="W1704" s="29" t="str">
        <f>IF(U1704=1,COUNTIF($U$2:U1704,1),"")</f>
        <v/>
      </c>
      <c r="X1704" s="29" t="str">
        <f t="shared" si="77"/>
        <v/>
      </c>
      <c r="Y1704" s="29" t="str">
        <f>IF(AND(LEFT($B1704,7)="SBA 26/",$D1704&lt;&gt;"",$F1704&lt;&gt;""),COUNTIFS($D$2:$D1704,$D1704,$B$2:$B1704,"SBA 26/*",$F$2:$F1704,"&lt;&gt;"),"")</f>
        <v/>
      </c>
      <c r="Z1704" s="29" t="str">
        <f>IF(Y1704=1,COUNTIF($Y$2:Y1704,1),"")</f>
        <v/>
      </c>
      <c r="AA1704" s="29" t="str">
        <f>IF(AND(LEFT($B1704,7)="SBA 26/",$C1704&lt;&gt;"",$F1704&lt;&gt;""),COUNTIFS($C$2:$C1704,$C1704,$B$2:$B1704,"SBA 26/*",$F$2:$F1704,"&lt;&gt;"),"")</f>
        <v/>
      </c>
      <c r="AB1704" s="29" t="str">
        <f>IF(AA1704=1,COUNTIF($AA$2:AA1704,1),"")</f>
        <v/>
      </c>
    </row>
    <row r="1705" spans="6:28" ht="47.25" customHeight="1" x14ac:dyDescent="0.2">
      <c r="F1705" s="45" t="s">
        <v>4266</v>
      </c>
      <c r="T1705" s="41"/>
      <c r="U1705" s="29" t="str">
        <f>IF($C1705&lt;&gt;"",COUNTIF($C$2:C1705,C1705),"")</f>
        <v/>
      </c>
      <c r="V1705" s="29" t="str">
        <f t="shared" si="76"/>
        <v/>
      </c>
      <c r="W1705" s="29" t="str">
        <f>IF(U1705=1,COUNTIF($U$2:U1705,1),"")</f>
        <v/>
      </c>
      <c r="X1705" s="29" t="str">
        <f t="shared" si="77"/>
        <v/>
      </c>
      <c r="Y1705" s="29" t="str">
        <f>IF(AND(LEFT($B1705,7)="SBA 26/",$D1705&lt;&gt;"",$F1705&lt;&gt;""),COUNTIFS($D$2:$D1705,$D1705,$B$2:$B1705,"SBA 26/*",$F$2:$F1705,"&lt;&gt;"),"")</f>
        <v/>
      </c>
      <c r="Z1705" s="29" t="str">
        <f>IF(Y1705=1,COUNTIF($Y$2:Y1705,1),"")</f>
        <v/>
      </c>
      <c r="AA1705" s="29" t="str">
        <f>IF(AND(LEFT($B1705,7)="SBA 26/",$C1705&lt;&gt;"",$F1705&lt;&gt;""),COUNTIFS($C$2:$C1705,$C1705,$B$2:$B1705,"SBA 26/*",$F$2:$F1705,"&lt;&gt;"),"")</f>
        <v/>
      </c>
      <c r="AB1705" s="29" t="str">
        <f>IF(AA1705=1,COUNTIF($AA$2:AA1705,1),"")</f>
        <v/>
      </c>
    </row>
    <row r="1706" spans="6:28" ht="47.25" customHeight="1" x14ac:dyDescent="0.2">
      <c r="F1706" s="45" t="s">
        <v>4267</v>
      </c>
      <c r="T1706" s="41"/>
      <c r="U1706" s="29" t="str">
        <f>IF($C1706&lt;&gt;"",COUNTIF($C$2:C1706,C1706),"")</f>
        <v/>
      </c>
      <c r="V1706" s="29" t="str">
        <f t="shared" si="76"/>
        <v/>
      </c>
      <c r="W1706" s="29" t="str">
        <f>IF(U1706=1,COUNTIF($U$2:U1706,1),"")</f>
        <v/>
      </c>
      <c r="X1706" s="29" t="str">
        <f t="shared" si="77"/>
        <v/>
      </c>
      <c r="Y1706" s="29" t="str">
        <f>IF(AND(LEFT($B1706,7)="SBA 26/",$D1706&lt;&gt;"",$F1706&lt;&gt;""),COUNTIFS($D$2:$D1706,$D1706,$B$2:$B1706,"SBA 26/*",$F$2:$F1706,"&lt;&gt;"),"")</f>
        <v/>
      </c>
      <c r="Z1706" s="29" t="str">
        <f>IF(Y1706=1,COUNTIF($Y$2:Y1706,1),"")</f>
        <v/>
      </c>
      <c r="AA1706" s="29" t="str">
        <f>IF(AND(LEFT($B1706,7)="SBA 26/",$C1706&lt;&gt;"",$F1706&lt;&gt;""),COUNTIFS($C$2:$C1706,$C1706,$B$2:$B1706,"SBA 26/*",$F$2:$F1706,"&lt;&gt;"),"")</f>
        <v/>
      </c>
      <c r="AB1706" s="29" t="str">
        <f>IF(AA1706=1,COUNTIF($AA$2:AA1706,1),"")</f>
        <v/>
      </c>
    </row>
    <row r="1707" spans="6:28" ht="31.5" customHeight="1" x14ac:dyDescent="0.2">
      <c r="F1707" s="45" t="s">
        <v>4268</v>
      </c>
      <c r="T1707" s="41"/>
      <c r="U1707" s="29" t="str">
        <f>IF($C1707&lt;&gt;"",COUNTIF($C$2:C1707,C1707),"")</f>
        <v/>
      </c>
      <c r="V1707" s="29" t="str">
        <f t="shared" si="76"/>
        <v/>
      </c>
      <c r="W1707" s="29" t="str">
        <f>IF(U1707=1,COUNTIF($U$2:U1707,1),"")</f>
        <v/>
      </c>
      <c r="X1707" s="29" t="str">
        <f t="shared" si="77"/>
        <v/>
      </c>
      <c r="Y1707" s="29" t="str">
        <f>IF(AND(LEFT($B1707,7)="SBA 26/",$D1707&lt;&gt;"",$F1707&lt;&gt;""),COUNTIFS($D$2:$D1707,$D1707,$B$2:$B1707,"SBA 26/*",$F$2:$F1707,"&lt;&gt;"),"")</f>
        <v/>
      </c>
      <c r="Z1707" s="29" t="str">
        <f>IF(Y1707=1,COUNTIF($Y$2:Y1707,1),"")</f>
        <v/>
      </c>
      <c r="AA1707" s="29" t="str">
        <f>IF(AND(LEFT($B1707,7)="SBA 26/",$C1707&lt;&gt;"",$F1707&lt;&gt;""),COUNTIFS($C$2:$C1707,$C1707,$B$2:$B1707,"SBA 26/*",$F$2:$F1707,"&lt;&gt;"),"")</f>
        <v/>
      </c>
      <c r="AB1707" s="29" t="str">
        <f>IF(AA1707=1,COUNTIF($AA$2:AA1707,1),"")</f>
        <v/>
      </c>
    </row>
    <row r="1708" spans="6:28" ht="47.25" customHeight="1" x14ac:dyDescent="0.2">
      <c r="F1708" s="45" t="s">
        <v>4269</v>
      </c>
      <c r="T1708" s="41"/>
      <c r="U1708" s="29" t="str">
        <f>IF($C1708&lt;&gt;"",COUNTIF($C$2:C1708,C1708),"")</f>
        <v/>
      </c>
      <c r="V1708" s="29" t="str">
        <f t="shared" si="76"/>
        <v/>
      </c>
      <c r="W1708" s="29" t="str">
        <f>IF(U1708=1,COUNTIF($U$2:U1708,1),"")</f>
        <v/>
      </c>
      <c r="X1708" s="29" t="str">
        <f t="shared" si="77"/>
        <v/>
      </c>
      <c r="Y1708" s="29" t="str">
        <f>IF(AND(LEFT($B1708,7)="SBA 26/",$D1708&lt;&gt;"",$F1708&lt;&gt;""),COUNTIFS($D$2:$D1708,$D1708,$B$2:$B1708,"SBA 26/*",$F$2:$F1708,"&lt;&gt;"),"")</f>
        <v/>
      </c>
      <c r="Z1708" s="29" t="str">
        <f>IF(Y1708=1,COUNTIF($Y$2:Y1708,1),"")</f>
        <v/>
      </c>
      <c r="AA1708" s="29" t="str">
        <f>IF(AND(LEFT($B1708,7)="SBA 26/",$C1708&lt;&gt;"",$F1708&lt;&gt;""),COUNTIFS($C$2:$C1708,$C1708,$B$2:$B1708,"SBA 26/*",$F$2:$F1708,"&lt;&gt;"),"")</f>
        <v/>
      </c>
      <c r="AB1708" s="29" t="str">
        <f>IF(AA1708=1,COUNTIF($AA$2:AA1708,1),"")</f>
        <v/>
      </c>
    </row>
    <row r="1709" spans="6:28" ht="47.25" customHeight="1" x14ac:dyDescent="0.2">
      <c r="F1709" s="45" t="s">
        <v>4270</v>
      </c>
      <c r="T1709" s="41"/>
      <c r="U1709" s="29" t="str">
        <f>IF($C1709&lt;&gt;"",COUNTIF($C$2:C1709,C1709),"")</f>
        <v/>
      </c>
      <c r="V1709" s="29" t="str">
        <f t="shared" si="76"/>
        <v/>
      </c>
      <c r="W1709" s="29" t="str">
        <f>IF(U1709=1,COUNTIF($U$2:U1709,1),"")</f>
        <v/>
      </c>
      <c r="X1709" s="29" t="str">
        <f t="shared" si="77"/>
        <v/>
      </c>
      <c r="Y1709" s="29" t="str">
        <f>IF(AND(LEFT($B1709,7)="SBA 26/",$D1709&lt;&gt;"",$F1709&lt;&gt;""),COUNTIFS($D$2:$D1709,$D1709,$B$2:$B1709,"SBA 26/*",$F$2:$F1709,"&lt;&gt;"),"")</f>
        <v/>
      </c>
      <c r="Z1709" s="29" t="str">
        <f>IF(Y1709=1,COUNTIF($Y$2:Y1709,1),"")</f>
        <v/>
      </c>
      <c r="AA1709" s="29" t="str">
        <f>IF(AND(LEFT($B1709,7)="SBA 26/",$C1709&lt;&gt;"",$F1709&lt;&gt;""),COUNTIFS($C$2:$C1709,$C1709,$B$2:$B1709,"SBA 26/*",$F$2:$F1709,"&lt;&gt;"),"")</f>
        <v/>
      </c>
      <c r="AB1709" s="29" t="str">
        <f>IF(AA1709=1,COUNTIF($AA$2:AA1709,1),"")</f>
        <v/>
      </c>
    </row>
    <row r="1710" spans="6:28" ht="47.25" customHeight="1" x14ac:dyDescent="0.2">
      <c r="F1710" s="45" t="s">
        <v>4271</v>
      </c>
      <c r="T1710" s="41"/>
      <c r="U1710" s="29" t="str">
        <f>IF($C1710&lt;&gt;"",COUNTIF($C$2:C1710,C1710),"")</f>
        <v/>
      </c>
      <c r="V1710" s="29" t="str">
        <f t="shared" si="76"/>
        <v/>
      </c>
      <c r="W1710" s="29" t="str">
        <f>IF(U1710=1,COUNTIF($U$2:U1710,1),"")</f>
        <v/>
      </c>
      <c r="X1710" s="29" t="str">
        <f t="shared" si="77"/>
        <v/>
      </c>
      <c r="Y1710" s="29" t="str">
        <f>IF(AND(LEFT($B1710,7)="SBA 26/",$D1710&lt;&gt;"",$F1710&lt;&gt;""),COUNTIFS($D$2:$D1710,$D1710,$B$2:$B1710,"SBA 26/*",$F$2:$F1710,"&lt;&gt;"),"")</f>
        <v/>
      </c>
      <c r="Z1710" s="29" t="str">
        <f>IF(Y1710=1,COUNTIF($Y$2:Y1710,1),"")</f>
        <v/>
      </c>
      <c r="AA1710" s="29" t="str">
        <f>IF(AND(LEFT($B1710,7)="SBA 26/",$C1710&lt;&gt;"",$F1710&lt;&gt;""),COUNTIFS($C$2:$C1710,$C1710,$B$2:$B1710,"SBA 26/*",$F$2:$F1710,"&lt;&gt;"),"")</f>
        <v/>
      </c>
      <c r="AB1710" s="29" t="str">
        <f>IF(AA1710=1,COUNTIF($AA$2:AA1710,1),"")</f>
        <v/>
      </c>
    </row>
    <row r="1711" spans="6:28" ht="63" customHeight="1" x14ac:dyDescent="0.2">
      <c r="F1711" s="45" t="s">
        <v>4272</v>
      </c>
      <c r="T1711" s="41"/>
      <c r="U1711" s="29" t="str">
        <f>IF($C1711&lt;&gt;"",COUNTIF($C$2:C1711,C1711),"")</f>
        <v/>
      </c>
      <c r="V1711" s="29" t="str">
        <f t="shared" si="76"/>
        <v/>
      </c>
      <c r="W1711" s="29" t="str">
        <f>IF(U1711=1,COUNTIF($U$2:U1711,1),"")</f>
        <v/>
      </c>
      <c r="X1711" s="29" t="str">
        <f t="shared" si="77"/>
        <v/>
      </c>
      <c r="Y1711" s="29" t="str">
        <f>IF(AND(LEFT($B1711,7)="SBA 26/",$D1711&lt;&gt;"",$F1711&lt;&gt;""),COUNTIFS($D$2:$D1711,$D1711,$B$2:$B1711,"SBA 26/*",$F$2:$F1711,"&lt;&gt;"),"")</f>
        <v/>
      </c>
      <c r="Z1711" s="29" t="str">
        <f>IF(Y1711=1,COUNTIF($Y$2:Y1711,1),"")</f>
        <v/>
      </c>
      <c r="AA1711" s="29" t="str">
        <f>IF(AND(LEFT($B1711,7)="SBA 26/",$C1711&lt;&gt;"",$F1711&lt;&gt;""),COUNTIFS($C$2:$C1711,$C1711,$B$2:$B1711,"SBA 26/*",$F$2:$F1711,"&lt;&gt;"),"")</f>
        <v/>
      </c>
      <c r="AB1711" s="29" t="str">
        <f>IF(AA1711=1,COUNTIF($AA$2:AA1711,1),"")</f>
        <v/>
      </c>
    </row>
    <row r="1712" spans="6:28" ht="63" customHeight="1" x14ac:dyDescent="0.2">
      <c r="F1712" s="45" t="s">
        <v>4273</v>
      </c>
      <c r="T1712" s="41"/>
      <c r="U1712" s="29" t="str">
        <f>IF($C1712&lt;&gt;"",COUNTIF($C$2:C1712,C1712),"")</f>
        <v/>
      </c>
      <c r="V1712" s="29" t="str">
        <f t="shared" si="76"/>
        <v/>
      </c>
      <c r="W1712" s="29" t="str">
        <f>IF(U1712=1,COUNTIF($U$2:U1712,1),"")</f>
        <v/>
      </c>
      <c r="X1712" s="29" t="str">
        <f t="shared" si="77"/>
        <v/>
      </c>
      <c r="Y1712" s="29" t="str">
        <f>IF(AND(LEFT($B1712,7)="SBA 26/",$D1712&lt;&gt;"",$F1712&lt;&gt;""),COUNTIFS($D$2:$D1712,$D1712,$B$2:$B1712,"SBA 26/*",$F$2:$F1712,"&lt;&gt;"),"")</f>
        <v/>
      </c>
      <c r="Z1712" s="29" t="str">
        <f>IF(Y1712=1,COUNTIF($Y$2:Y1712,1),"")</f>
        <v/>
      </c>
      <c r="AA1712" s="29" t="str">
        <f>IF(AND(LEFT($B1712,7)="SBA 26/",$C1712&lt;&gt;"",$F1712&lt;&gt;""),COUNTIFS($C$2:$C1712,$C1712,$B$2:$B1712,"SBA 26/*",$F$2:$F1712,"&lt;&gt;"),"")</f>
        <v/>
      </c>
      <c r="AB1712" s="29" t="str">
        <f>IF(AA1712=1,COUNTIF($AA$2:AA1712,1),"")</f>
        <v/>
      </c>
    </row>
    <row r="1713" spans="6:28" ht="47.25" customHeight="1" x14ac:dyDescent="0.2">
      <c r="F1713" s="45" t="s">
        <v>4274</v>
      </c>
      <c r="T1713" s="41"/>
      <c r="U1713" s="29" t="str">
        <f>IF($C1713&lt;&gt;"",COUNTIF($C$2:C1713,C1713),"")</f>
        <v/>
      </c>
      <c r="V1713" s="29" t="str">
        <f t="shared" si="76"/>
        <v/>
      </c>
      <c r="W1713" s="29" t="str">
        <f>IF(U1713=1,COUNTIF($U$2:U1713,1),"")</f>
        <v/>
      </c>
      <c r="X1713" s="29" t="str">
        <f t="shared" si="77"/>
        <v/>
      </c>
      <c r="Y1713" s="29" t="str">
        <f>IF(AND(LEFT($B1713,7)="SBA 26/",$D1713&lt;&gt;"",$F1713&lt;&gt;""),COUNTIFS($D$2:$D1713,$D1713,$B$2:$B1713,"SBA 26/*",$F$2:$F1713,"&lt;&gt;"),"")</f>
        <v/>
      </c>
      <c r="Z1713" s="29" t="str">
        <f>IF(Y1713=1,COUNTIF($Y$2:Y1713,1),"")</f>
        <v/>
      </c>
      <c r="AA1713" s="29" t="str">
        <f>IF(AND(LEFT($B1713,7)="SBA 26/",$C1713&lt;&gt;"",$F1713&lt;&gt;""),COUNTIFS($C$2:$C1713,$C1713,$B$2:$B1713,"SBA 26/*",$F$2:$F1713,"&lt;&gt;"),"")</f>
        <v/>
      </c>
      <c r="AB1713" s="29" t="str">
        <f>IF(AA1713=1,COUNTIF($AA$2:AA1713,1),"")</f>
        <v/>
      </c>
    </row>
    <row r="1714" spans="6:28" ht="47.25" customHeight="1" x14ac:dyDescent="0.2">
      <c r="F1714" s="45" t="s">
        <v>4275</v>
      </c>
      <c r="T1714" s="41"/>
      <c r="U1714" s="29" t="str">
        <f>IF($C1714&lt;&gt;"",COUNTIF($C$2:C1714,C1714),"")</f>
        <v/>
      </c>
      <c r="V1714" s="29" t="str">
        <f t="shared" si="76"/>
        <v/>
      </c>
      <c r="W1714" s="29" t="str">
        <f>IF(U1714=1,COUNTIF($U$2:U1714,1),"")</f>
        <v/>
      </c>
      <c r="X1714" s="29" t="str">
        <f t="shared" si="77"/>
        <v/>
      </c>
      <c r="Y1714" s="29" t="str">
        <f>IF(AND(LEFT($B1714,7)="SBA 26/",$D1714&lt;&gt;"",$F1714&lt;&gt;""),COUNTIFS($D$2:$D1714,$D1714,$B$2:$B1714,"SBA 26/*",$F$2:$F1714,"&lt;&gt;"),"")</f>
        <v/>
      </c>
      <c r="Z1714" s="29" t="str">
        <f>IF(Y1714=1,COUNTIF($Y$2:Y1714,1),"")</f>
        <v/>
      </c>
      <c r="AA1714" s="29" t="str">
        <f>IF(AND(LEFT($B1714,7)="SBA 26/",$C1714&lt;&gt;"",$F1714&lt;&gt;""),COUNTIFS($C$2:$C1714,$C1714,$B$2:$B1714,"SBA 26/*",$F$2:$F1714,"&lt;&gt;"),"")</f>
        <v/>
      </c>
      <c r="AB1714" s="29" t="str">
        <f>IF(AA1714=1,COUNTIF($AA$2:AA1714,1),"")</f>
        <v/>
      </c>
    </row>
    <row r="1715" spans="6:28" ht="47.25" customHeight="1" x14ac:dyDescent="0.2">
      <c r="F1715" s="45" t="s">
        <v>4276</v>
      </c>
      <c r="T1715" s="41"/>
      <c r="U1715" s="29" t="str">
        <f>IF($C1715&lt;&gt;"",COUNTIF($C$2:C1715,C1715),"")</f>
        <v/>
      </c>
      <c r="V1715" s="29" t="str">
        <f t="shared" si="76"/>
        <v/>
      </c>
      <c r="W1715" s="29" t="str">
        <f>IF(U1715=1,COUNTIF($U$2:U1715,1),"")</f>
        <v/>
      </c>
      <c r="X1715" s="29" t="str">
        <f t="shared" si="77"/>
        <v/>
      </c>
      <c r="Y1715" s="29" t="str">
        <f>IF(AND(LEFT($B1715,7)="SBA 26/",$D1715&lt;&gt;"",$F1715&lt;&gt;""),COUNTIFS($D$2:$D1715,$D1715,$B$2:$B1715,"SBA 26/*",$F$2:$F1715,"&lt;&gt;"),"")</f>
        <v/>
      </c>
      <c r="Z1715" s="29" t="str">
        <f>IF(Y1715=1,COUNTIF($Y$2:Y1715,1),"")</f>
        <v/>
      </c>
      <c r="AA1715" s="29" t="str">
        <f>IF(AND(LEFT($B1715,7)="SBA 26/",$C1715&lt;&gt;"",$F1715&lt;&gt;""),COUNTIFS($C$2:$C1715,$C1715,$B$2:$B1715,"SBA 26/*",$F$2:$F1715,"&lt;&gt;"),"")</f>
        <v/>
      </c>
      <c r="AB1715" s="29" t="str">
        <f>IF(AA1715=1,COUNTIF($AA$2:AA1715,1),"")</f>
        <v/>
      </c>
    </row>
    <row r="1716" spans="6:28" ht="31.5" customHeight="1" x14ac:dyDescent="0.2">
      <c r="F1716" s="45" t="s">
        <v>4277</v>
      </c>
      <c r="T1716" s="41"/>
      <c r="U1716" s="29" t="str">
        <f>IF($C1716&lt;&gt;"",COUNTIF($C$2:C1716,C1716),"")</f>
        <v/>
      </c>
      <c r="V1716" s="29" t="str">
        <f t="shared" si="76"/>
        <v/>
      </c>
      <c r="W1716" s="29" t="str">
        <f>IF(U1716=1,COUNTIF($U$2:U1716,1),"")</f>
        <v/>
      </c>
      <c r="X1716" s="29" t="str">
        <f t="shared" si="77"/>
        <v/>
      </c>
      <c r="Y1716" s="29" t="str">
        <f>IF(AND(LEFT($B1716,7)="SBA 26/",$D1716&lt;&gt;"",$F1716&lt;&gt;""),COUNTIFS($D$2:$D1716,$D1716,$B$2:$B1716,"SBA 26/*",$F$2:$F1716,"&lt;&gt;"),"")</f>
        <v/>
      </c>
      <c r="Z1716" s="29" t="str">
        <f>IF(Y1716=1,COUNTIF($Y$2:Y1716,1),"")</f>
        <v/>
      </c>
      <c r="AA1716" s="29" t="str">
        <f>IF(AND(LEFT($B1716,7)="SBA 26/",$C1716&lt;&gt;"",$F1716&lt;&gt;""),COUNTIFS($C$2:$C1716,$C1716,$B$2:$B1716,"SBA 26/*",$F$2:$F1716,"&lt;&gt;"),"")</f>
        <v/>
      </c>
      <c r="AB1716" s="29" t="str">
        <f>IF(AA1716=1,COUNTIF($AA$2:AA1716,1),"")</f>
        <v/>
      </c>
    </row>
    <row r="1717" spans="6:28" ht="31.5" customHeight="1" x14ac:dyDescent="0.2">
      <c r="F1717" s="45" t="s">
        <v>4278</v>
      </c>
      <c r="T1717" s="41"/>
      <c r="U1717" s="29" t="str">
        <f>IF($C1717&lt;&gt;"",COUNTIF($C$2:C1717,C1717),"")</f>
        <v/>
      </c>
      <c r="V1717" s="29" t="str">
        <f t="shared" si="76"/>
        <v/>
      </c>
      <c r="W1717" s="29" t="str">
        <f>IF(U1717=1,COUNTIF($U$2:U1717,1),"")</f>
        <v/>
      </c>
      <c r="X1717" s="29" t="str">
        <f t="shared" si="77"/>
        <v/>
      </c>
      <c r="Y1717" s="29" t="str">
        <f>IF(AND(LEFT($B1717,7)="SBA 26/",$D1717&lt;&gt;"",$F1717&lt;&gt;""),COUNTIFS($D$2:$D1717,$D1717,$B$2:$B1717,"SBA 26/*",$F$2:$F1717,"&lt;&gt;"),"")</f>
        <v/>
      </c>
      <c r="Z1717" s="29" t="str">
        <f>IF(Y1717=1,COUNTIF($Y$2:Y1717,1),"")</f>
        <v/>
      </c>
      <c r="AA1717" s="29" t="str">
        <f>IF(AND(LEFT($B1717,7)="SBA 26/",$C1717&lt;&gt;"",$F1717&lt;&gt;""),COUNTIFS($C$2:$C1717,$C1717,$B$2:$B1717,"SBA 26/*",$F$2:$F1717,"&lt;&gt;"),"")</f>
        <v/>
      </c>
      <c r="AB1717" s="29" t="str">
        <f>IF(AA1717=1,COUNTIF($AA$2:AA1717,1),"")</f>
        <v/>
      </c>
    </row>
    <row r="1718" spans="6:28" ht="31.5" customHeight="1" x14ac:dyDescent="0.2">
      <c r="F1718" s="45" t="s">
        <v>4279</v>
      </c>
      <c r="T1718" s="41"/>
      <c r="U1718" s="29" t="str">
        <f>IF($C1718&lt;&gt;"",COUNTIF($C$2:C1718,C1718),"")</f>
        <v/>
      </c>
      <c r="V1718" s="29" t="str">
        <f t="shared" si="76"/>
        <v/>
      </c>
      <c r="W1718" s="29" t="str">
        <f>IF(U1718=1,COUNTIF($U$2:U1718,1),"")</f>
        <v/>
      </c>
      <c r="X1718" s="29" t="str">
        <f t="shared" si="77"/>
        <v/>
      </c>
      <c r="Y1718" s="29" t="str">
        <f>IF(AND(LEFT($B1718,7)="SBA 26/",$D1718&lt;&gt;"",$F1718&lt;&gt;""),COUNTIFS($D$2:$D1718,$D1718,$B$2:$B1718,"SBA 26/*",$F$2:$F1718,"&lt;&gt;"),"")</f>
        <v/>
      </c>
      <c r="Z1718" s="29" t="str">
        <f>IF(Y1718=1,COUNTIF($Y$2:Y1718,1),"")</f>
        <v/>
      </c>
      <c r="AA1718" s="29" t="str">
        <f>IF(AND(LEFT($B1718,7)="SBA 26/",$C1718&lt;&gt;"",$F1718&lt;&gt;""),COUNTIFS($C$2:$C1718,$C1718,$B$2:$B1718,"SBA 26/*",$F$2:$F1718,"&lt;&gt;"),"")</f>
        <v/>
      </c>
      <c r="AB1718" s="29" t="str">
        <f>IF(AA1718=1,COUNTIF($AA$2:AA1718,1),"")</f>
        <v/>
      </c>
    </row>
    <row r="1719" spans="6:28" ht="47.25" customHeight="1" x14ac:dyDescent="0.2">
      <c r="F1719" s="45" t="s">
        <v>4280</v>
      </c>
      <c r="T1719" s="41"/>
      <c r="U1719" s="29" t="str">
        <f>IF($C1719&lt;&gt;"",COUNTIF($C$2:C1719,C1719),"")</f>
        <v/>
      </c>
      <c r="V1719" s="29" t="str">
        <f t="shared" si="76"/>
        <v/>
      </c>
      <c r="W1719" s="29" t="str">
        <f>IF(U1719=1,COUNTIF($U$2:U1719,1),"")</f>
        <v/>
      </c>
      <c r="X1719" s="29" t="str">
        <f t="shared" si="77"/>
        <v/>
      </c>
      <c r="Y1719" s="29" t="str">
        <f>IF(AND(LEFT($B1719,7)="SBA 26/",$D1719&lt;&gt;"",$F1719&lt;&gt;""),COUNTIFS($D$2:$D1719,$D1719,$B$2:$B1719,"SBA 26/*",$F$2:$F1719,"&lt;&gt;"),"")</f>
        <v/>
      </c>
      <c r="Z1719" s="29" t="str">
        <f>IF(Y1719=1,COUNTIF($Y$2:Y1719,1),"")</f>
        <v/>
      </c>
      <c r="AA1719" s="29" t="str">
        <f>IF(AND(LEFT($B1719,7)="SBA 26/",$C1719&lt;&gt;"",$F1719&lt;&gt;""),COUNTIFS($C$2:$C1719,$C1719,$B$2:$B1719,"SBA 26/*",$F$2:$F1719,"&lt;&gt;"),"")</f>
        <v/>
      </c>
      <c r="AB1719" s="29" t="str">
        <f>IF(AA1719=1,COUNTIF($AA$2:AA1719,1),"")</f>
        <v/>
      </c>
    </row>
    <row r="1720" spans="6:28" ht="31.5" customHeight="1" x14ac:dyDescent="0.2">
      <c r="F1720" s="45" t="s">
        <v>4281</v>
      </c>
      <c r="T1720" s="41"/>
      <c r="U1720" s="29" t="str">
        <f>IF($C1720&lt;&gt;"",COUNTIF($C$2:C1720,C1720),"")</f>
        <v/>
      </c>
      <c r="V1720" s="29" t="str">
        <f t="shared" si="76"/>
        <v/>
      </c>
      <c r="W1720" s="29" t="str">
        <f>IF(U1720=1,COUNTIF($U$2:U1720,1),"")</f>
        <v/>
      </c>
      <c r="X1720" s="29" t="str">
        <f t="shared" si="77"/>
        <v/>
      </c>
      <c r="Y1720" s="29" t="str">
        <f>IF(AND(LEFT($B1720,7)="SBA 26/",$D1720&lt;&gt;"",$F1720&lt;&gt;""),COUNTIFS($D$2:$D1720,$D1720,$B$2:$B1720,"SBA 26/*",$F$2:$F1720,"&lt;&gt;"),"")</f>
        <v/>
      </c>
      <c r="Z1720" s="29" t="str">
        <f>IF(Y1720=1,COUNTIF($Y$2:Y1720,1),"")</f>
        <v/>
      </c>
      <c r="AA1720" s="29" t="str">
        <f>IF(AND(LEFT($B1720,7)="SBA 26/",$C1720&lt;&gt;"",$F1720&lt;&gt;""),COUNTIFS($C$2:$C1720,$C1720,$B$2:$B1720,"SBA 26/*",$F$2:$F1720,"&lt;&gt;"),"")</f>
        <v/>
      </c>
      <c r="AB1720" s="29" t="str">
        <f>IF(AA1720=1,COUNTIF($AA$2:AA1720,1),"")</f>
        <v/>
      </c>
    </row>
    <row r="1721" spans="6:28" ht="31.5" customHeight="1" x14ac:dyDescent="0.2">
      <c r="F1721" s="45" t="s">
        <v>4282</v>
      </c>
      <c r="T1721" s="41"/>
      <c r="U1721" s="29" t="str">
        <f>IF($C1721&lt;&gt;"",COUNTIF($C$2:C1721,C1721),"")</f>
        <v/>
      </c>
      <c r="V1721" s="29" t="str">
        <f t="shared" si="76"/>
        <v/>
      </c>
      <c r="W1721" s="29" t="str">
        <f>IF(U1721=1,COUNTIF($U$2:U1721,1),"")</f>
        <v/>
      </c>
      <c r="X1721" s="29" t="str">
        <f t="shared" si="77"/>
        <v/>
      </c>
      <c r="Y1721" s="29" t="str">
        <f>IF(AND(LEFT($B1721,7)="SBA 26/",$D1721&lt;&gt;"",$F1721&lt;&gt;""),COUNTIFS($D$2:$D1721,$D1721,$B$2:$B1721,"SBA 26/*",$F$2:$F1721,"&lt;&gt;"),"")</f>
        <v/>
      </c>
      <c r="Z1721" s="29" t="str">
        <f>IF(Y1721=1,COUNTIF($Y$2:Y1721,1),"")</f>
        <v/>
      </c>
      <c r="AA1721" s="29" t="str">
        <f>IF(AND(LEFT($B1721,7)="SBA 26/",$C1721&lt;&gt;"",$F1721&lt;&gt;""),COUNTIFS($C$2:$C1721,$C1721,$B$2:$B1721,"SBA 26/*",$F$2:$F1721,"&lt;&gt;"),"")</f>
        <v/>
      </c>
      <c r="AB1721" s="29" t="str">
        <f>IF(AA1721=1,COUNTIF($AA$2:AA1721,1),"")</f>
        <v/>
      </c>
    </row>
    <row r="1722" spans="6:28" ht="63" customHeight="1" x14ac:dyDescent="0.2">
      <c r="F1722" s="45" t="s">
        <v>4283</v>
      </c>
      <c r="T1722" s="41"/>
      <c r="U1722" s="29" t="str">
        <f>IF($C1722&lt;&gt;"",COUNTIF($C$2:C1722,C1722),"")</f>
        <v/>
      </c>
      <c r="V1722" s="29" t="str">
        <f t="shared" si="76"/>
        <v/>
      </c>
      <c r="W1722" s="29" t="str">
        <f>IF(U1722=1,COUNTIF($U$2:U1722,1),"")</f>
        <v/>
      </c>
      <c r="X1722" s="29" t="str">
        <f t="shared" si="77"/>
        <v/>
      </c>
      <c r="Y1722" s="29" t="str">
        <f>IF(AND(LEFT($B1722,7)="SBA 26/",$D1722&lt;&gt;"",$F1722&lt;&gt;""),COUNTIFS($D$2:$D1722,$D1722,$B$2:$B1722,"SBA 26/*",$F$2:$F1722,"&lt;&gt;"),"")</f>
        <v/>
      </c>
      <c r="Z1722" s="29" t="str">
        <f>IF(Y1722=1,COUNTIF($Y$2:Y1722,1),"")</f>
        <v/>
      </c>
      <c r="AA1722" s="29" t="str">
        <f>IF(AND(LEFT($B1722,7)="SBA 26/",$C1722&lt;&gt;"",$F1722&lt;&gt;""),COUNTIFS($C$2:$C1722,$C1722,$B$2:$B1722,"SBA 26/*",$F$2:$F1722,"&lt;&gt;"),"")</f>
        <v/>
      </c>
      <c r="AB1722" s="29" t="str">
        <f>IF(AA1722=1,COUNTIF($AA$2:AA1722,1),"")</f>
        <v/>
      </c>
    </row>
    <row r="1723" spans="6:28" ht="47.25" customHeight="1" x14ac:dyDescent="0.2">
      <c r="F1723" s="45" t="s">
        <v>4284</v>
      </c>
      <c r="T1723" s="41"/>
      <c r="U1723" s="29" t="str">
        <f>IF($C1723&lt;&gt;"",COUNTIF($C$2:C1723,C1723),"")</f>
        <v/>
      </c>
      <c r="V1723" s="29" t="str">
        <f t="shared" si="76"/>
        <v/>
      </c>
      <c r="W1723" s="29" t="str">
        <f>IF(U1723=1,COUNTIF($U$2:U1723,1),"")</f>
        <v/>
      </c>
      <c r="X1723" s="29" t="str">
        <f t="shared" si="77"/>
        <v/>
      </c>
      <c r="Y1723" s="29" t="str">
        <f>IF(AND(LEFT($B1723,7)="SBA 26/",$D1723&lt;&gt;"",$F1723&lt;&gt;""),COUNTIFS($D$2:$D1723,$D1723,$B$2:$B1723,"SBA 26/*",$F$2:$F1723,"&lt;&gt;"),"")</f>
        <v/>
      </c>
      <c r="Z1723" s="29" t="str">
        <f>IF(Y1723=1,COUNTIF($Y$2:Y1723,1),"")</f>
        <v/>
      </c>
      <c r="AA1723" s="29" t="str">
        <f>IF(AND(LEFT($B1723,7)="SBA 26/",$C1723&lt;&gt;"",$F1723&lt;&gt;""),COUNTIFS($C$2:$C1723,$C1723,$B$2:$B1723,"SBA 26/*",$F$2:$F1723,"&lt;&gt;"),"")</f>
        <v/>
      </c>
      <c r="AB1723" s="29" t="str">
        <f>IF(AA1723=1,COUNTIF($AA$2:AA1723,1),"")</f>
        <v/>
      </c>
    </row>
    <row r="1724" spans="6:28" ht="31.5" customHeight="1" x14ac:dyDescent="0.2">
      <c r="F1724" s="45" t="s">
        <v>4285</v>
      </c>
      <c r="T1724" s="41"/>
      <c r="U1724" s="29" t="str">
        <f>IF($C1724&lt;&gt;"",COUNTIF($C$2:C1724,C1724),"")</f>
        <v/>
      </c>
      <c r="V1724" s="29" t="str">
        <f t="shared" si="76"/>
        <v/>
      </c>
      <c r="W1724" s="29" t="str">
        <f>IF(U1724=1,COUNTIF($U$2:U1724,1),"")</f>
        <v/>
      </c>
      <c r="X1724" s="29" t="str">
        <f t="shared" si="77"/>
        <v/>
      </c>
      <c r="Y1724" s="29" t="str">
        <f>IF(AND(LEFT($B1724,7)="SBA 26/",$D1724&lt;&gt;"",$F1724&lt;&gt;""),COUNTIFS($D$2:$D1724,$D1724,$B$2:$B1724,"SBA 26/*",$F$2:$F1724,"&lt;&gt;"),"")</f>
        <v/>
      </c>
      <c r="Z1724" s="29" t="str">
        <f>IF(Y1724=1,COUNTIF($Y$2:Y1724,1),"")</f>
        <v/>
      </c>
      <c r="AA1724" s="29" t="str">
        <f>IF(AND(LEFT($B1724,7)="SBA 26/",$C1724&lt;&gt;"",$F1724&lt;&gt;""),COUNTIFS($C$2:$C1724,$C1724,$B$2:$B1724,"SBA 26/*",$F$2:$F1724,"&lt;&gt;"),"")</f>
        <v/>
      </c>
      <c r="AB1724" s="29" t="str">
        <f>IF(AA1724=1,COUNTIF($AA$2:AA1724,1),"")</f>
        <v/>
      </c>
    </row>
    <row r="1725" spans="6:28" ht="31.5" customHeight="1" x14ac:dyDescent="0.2">
      <c r="F1725" s="45" t="s">
        <v>4286</v>
      </c>
      <c r="T1725" s="41"/>
      <c r="U1725" s="29" t="str">
        <f>IF($C1725&lt;&gt;"",COUNTIF($C$2:C1725,C1725),"")</f>
        <v/>
      </c>
      <c r="V1725" s="29" t="str">
        <f t="shared" si="76"/>
        <v/>
      </c>
      <c r="W1725" s="29" t="str">
        <f>IF(U1725=1,COUNTIF($U$2:U1725,1),"")</f>
        <v/>
      </c>
      <c r="X1725" s="29" t="str">
        <f t="shared" si="77"/>
        <v/>
      </c>
      <c r="Y1725" s="29" t="str">
        <f>IF(AND(LEFT($B1725,7)="SBA 26/",$D1725&lt;&gt;"",$F1725&lt;&gt;""),COUNTIFS($D$2:$D1725,$D1725,$B$2:$B1725,"SBA 26/*",$F$2:$F1725,"&lt;&gt;"),"")</f>
        <v/>
      </c>
      <c r="Z1725" s="29" t="str">
        <f>IF(Y1725=1,COUNTIF($Y$2:Y1725,1),"")</f>
        <v/>
      </c>
      <c r="AA1725" s="29" t="str">
        <f>IF(AND(LEFT($B1725,7)="SBA 26/",$C1725&lt;&gt;"",$F1725&lt;&gt;""),COUNTIFS($C$2:$C1725,$C1725,$B$2:$B1725,"SBA 26/*",$F$2:$F1725,"&lt;&gt;"),"")</f>
        <v/>
      </c>
      <c r="AB1725" s="29" t="str">
        <f>IF(AA1725=1,COUNTIF($AA$2:AA1725,1),"")</f>
        <v/>
      </c>
    </row>
    <row r="1726" spans="6:28" ht="31.5" customHeight="1" x14ac:dyDescent="0.2">
      <c r="F1726" s="45" t="s">
        <v>4287</v>
      </c>
      <c r="T1726" s="41"/>
      <c r="U1726" s="29" t="str">
        <f>IF($C1726&lt;&gt;"",COUNTIF($C$2:C1726,C1726),"")</f>
        <v/>
      </c>
      <c r="V1726" s="29" t="str">
        <f t="shared" si="76"/>
        <v/>
      </c>
      <c r="W1726" s="29" t="str">
        <f>IF(U1726=1,COUNTIF($U$2:U1726,1),"")</f>
        <v/>
      </c>
      <c r="X1726" s="29" t="str">
        <f t="shared" si="77"/>
        <v/>
      </c>
      <c r="Y1726" s="29" t="str">
        <f>IF(AND(LEFT($B1726,7)="SBA 26/",$D1726&lt;&gt;"",$F1726&lt;&gt;""),COUNTIFS($D$2:$D1726,$D1726,$B$2:$B1726,"SBA 26/*",$F$2:$F1726,"&lt;&gt;"),"")</f>
        <v/>
      </c>
      <c r="Z1726" s="29" t="str">
        <f>IF(Y1726=1,COUNTIF($Y$2:Y1726,1),"")</f>
        <v/>
      </c>
      <c r="AA1726" s="29" t="str">
        <f>IF(AND(LEFT($B1726,7)="SBA 26/",$C1726&lt;&gt;"",$F1726&lt;&gt;""),COUNTIFS($C$2:$C1726,$C1726,$B$2:$B1726,"SBA 26/*",$F$2:$F1726,"&lt;&gt;"),"")</f>
        <v/>
      </c>
      <c r="AB1726" s="29" t="str">
        <f>IF(AA1726=1,COUNTIF($AA$2:AA1726,1),"")</f>
        <v/>
      </c>
    </row>
    <row r="1727" spans="6:28" ht="31.5" customHeight="1" x14ac:dyDescent="0.2">
      <c r="F1727" s="45" t="s">
        <v>4288</v>
      </c>
      <c r="T1727" s="41"/>
      <c r="U1727" s="29" t="str">
        <f>IF($C1727&lt;&gt;"",COUNTIF($C$2:C1727,C1727),"")</f>
        <v/>
      </c>
      <c r="V1727" s="29" t="str">
        <f t="shared" si="76"/>
        <v/>
      </c>
      <c r="W1727" s="29" t="str">
        <f>IF(U1727=1,COUNTIF($U$2:U1727,1),"")</f>
        <v/>
      </c>
      <c r="X1727" s="29" t="str">
        <f t="shared" si="77"/>
        <v/>
      </c>
      <c r="Y1727" s="29" t="str">
        <f>IF(AND(LEFT($B1727,7)="SBA 26/",$D1727&lt;&gt;"",$F1727&lt;&gt;""),COUNTIFS($D$2:$D1727,$D1727,$B$2:$B1727,"SBA 26/*",$F$2:$F1727,"&lt;&gt;"),"")</f>
        <v/>
      </c>
      <c r="Z1727" s="29" t="str">
        <f>IF(Y1727=1,COUNTIF($Y$2:Y1727,1),"")</f>
        <v/>
      </c>
      <c r="AA1727" s="29" t="str">
        <f>IF(AND(LEFT($B1727,7)="SBA 26/",$C1727&lt;&gt;"",$F1727&lt;&gt;""),COUNTIFS($C$2:$C1727,$C1727,$B$2:$B1727,"SBA 26/*",$F$2:$F1727,"&lt;&gt;"),"")</f>
        <v/>
      </c>
      <c r="AB1727" s="29" t="str">
        <f>IF(AA1727=1,COUNTIF($AA$2:AA1727,1),"")</f>
        <v/>
      </c>
    </row>
    <row r="1728" spans="6:28" ht="31.5" customHeight="1" x14ac:dyDescent="0.2">
      <c r="F1728" s="45" t="s">
        <v>4289</v>
      </c>
      <c r="T1728" s="41"/>
      <c r="U1728" s="29" t="str">
        <f>IF($C1728&lt;&gt;"",COUNTIF($C$2:C1728,C1728),"")</f>
        <v/>
      </c>
      <c r="V1728" s="29" t="str">
        <f t="shared" si="76"/>
        <v/>
      </c>
      <c r="W1728" s="29" t="str">
        <f>IF(U1728=1,COUNTIF($U$2:U1728,1),"")</f>
        <v/>
      </c>
      <c r="X1728" s="29" t="str">
        <f t="shared" si="77"/>
        <v/>
      </c>
      <c r="Y1728" s="29" t="str">
        <f>IF(AND(LEFT($B1728,7)="SBA 26/",$D1728&lt;&gt;"",$F1728&lt;&gt;""),COUNTIFS($D$2:$D1728,$D1728,$B$2:$B1728,"SBA 26/*",$F$2:$F1728,"&lt;&gt;"),"")</f>
        <v/>
      </c>
      <c r="Z1728" s="29" t="str">
        <f>IF(Y1728=1,COUNTIF($Y$2:Y1728,1),"")</f>
        <v/>
      </c>
      <c r="AA1728" s="29" t="str">
        <f>IF(AND(LEFT($B1728,7)="SBA 26/",$C1728&lt;&gt;"",$F1728&lt;&gt;""),COUNTIFS($C$2:$C1728,$C1728,$B$2:$B1728,"SBA 26/*",$F$2:$F1728,"&lt;&gt;"),"")</f>
        <v/>
      </c>
      <c r="AB1728" s="29" t="str">
        <f>IF(AA1728=1,COUNTIF($AA$2:AA1728,1),"")</f>
        <v/>
      </c>
    </row>
    <row r="1729" spans="6:28" ht="47.25" customHeight="1" x14ac:dyDescent="0.2">
      <c r="F1729" s="45" t="s">
        <v>4290</v>
      </c>
      <c r="T1729" s="41"/>
      <c r="U1729" s="29" t="str">
        <f>IF($C1729&lt;&gt;"",COUNTIF($C$2:C1729,C1729),"")</f>
        <v/>
      </c>
      <c r="V1729" s="29" t="str">
        <f t="shared" si="76"/>
        <v/>
      </c>
      <c r="W1729" s="29" t="str">
        <f>IF(U1729=1,COUNTIF($U$2:U1729,1),"")</f>
        <v/>
      </c>
      <c r="X1729" s="29" t="str">
        <f t="shared" si="77"/>
        <v/>
      </c>
      <c r="Y1729" s="29" t="str">
        <f>IF(AND(LEFT($B1729,7)="SBA 26/",$D1729&lt;&gt;"",$F1729&lt;&gt;""),COUNTIFS($D$2:$D1729,$D1729,$B$2:$B1729,"SBA 26/*",$F$2:$F1729,"&lt;&gt;"),"")</f>
        <v/>
      </c>
      <c r="Z1729" s="29" t="str">
        <f>IF(Y1729=1,COUNTIF($Y$2:Y1729,1),"")</f>
        <v/>
      </c>
      <c r="AA1729" s="29" t="str">
        <f>IF(AND(LEFT($B1729,7)="SBA 26/",$C1729&lt;&gt;"",$F1729&lt;&gt;""),COUNTIFS($C$2:$C1729,$C1729,$B$2:$B1729,"SBA 26/*",$F$2:$F1729,"&lt;&gt;"),"")</f>
        <v/>
      </c>
      <c r="AB1729" s="29" t="str">
        <f>IF(AA1729=1,COUNTIF($AA$2:AA1729,1),"")</f>
        <v/>
      </c>
    </row>
    <row r="1730" spans="6:28" ht="20.25" customHeight="1" x14ac:dyDescent="0.2">
      <c r="F1730" s="45" t="s">
        <v>4291</v>
      </c>
      <c r="T1730" s="41"/>
      <c r="U1730" s="29" t="str">
        <f>IF($C1730&lt;&gt;"",COUNTIF($C$2:C1730,C1730),"")</f>
        <v/>
      </c>
      <c r="V1730" s="29" t="str">
        <f t="shared" ref="V1730:V1793" si="78">IF($C1730&lt;&gt;"",C1730&amp;"§"&amp;U1730,"")</f>
        <v/>
      </c>
      <c r="W1730" s="29" t="str">
        <f>IF(U1730=1,COUNTIF($U$2:U1730,1),"")</f>
        <v/>
      </c>
      <c r="X1730" s="29" t="str">
        <f t="shared" ref="X1730:X1793" si="79">IF(U1730=1,SUMPRODUCT(($U$2:$U$1799=1)*($C$2:$C$1799&lt;C1730))+1,"")</f>
        <v/>
      </c>
      <c r="Y1730" s="29" t="str">
        <f>IF(AND(LEFT($B1730,7)="SBA 26/",$D1730&lt;&gt;"",$F1730&lt;&gt;""),COUNTIFS($D$2:$D1730,$D1730,$B$2:$B1730,"SBA 26/*",$F$2:$F1730,"&lt;&gt;"),"")</f>
        <v/>
      </c>
      <c r="Z1730" s="29" t="str">
        <f>IF(Y1730=1,COUNTIF($Y$2:Y1730,1),"")</f>
        <v/>
      </c>
      <c r="AA1730" s="29" t="str">
        <f>IF(AND(LEFT($B1730,7)="SBA 26/",$C1730&lt;&gt;"",$F1730&lt;&gt;""),COUNTIFS($C$2:$C1730,$C1730,$B$2:$B1730,"SBA 26/*",$F$2:$F1730,"&lt;&gt;"),"")</f>
        <v/>
      </c>
      <c r="AB1730" s="29" t="str">
        <f>IF(AA1730=1,COUNTIF($AA$2:AA1730,1),"")</f>
        <v/>
      </c>
    </row>
    <row r="1731" spans="6:28" ht="47.25" customHeight="1" x14ac:dyDescent="0.2">
      <c r="F1731" s="45" t="s">
        <v>4292</v>
      </c>
      <c r="T1731" s="41"/>
      <c r="U1731" s="29" t="str">
        <f>IF($C1731&lt;&gt;"",COUNTIF($C$2:C1731,C1731),"")</f>
        <v/>
      </c>
      <c r="V1731" s="29" t="str">
        <f t="shared" si="78"/>
        <v/>
      </c>
      <c r="W1731" s="29" t="str">
        <f>IF(U1731=1,COUNTIF($U$2:U1731,1),"")</f>
        <v/>
      </c>
      <c r="X1731" s="29" t="str">
        <f t="shared" si="79"/>
        <v/>
      </c>
      <c r="Y1731" s="29" t="str">
        <f>IF(AND(LEFT($B1731,7)="SBA 26/",$D1731&lt;&gt;"",$F1731&lt;&gt;""),COUNTIFS($D$2:$D1731,$D1731,$B$2:$B1731,"SBA 26/*",$F$2:$F1731,"&lt;&gt;"),"")</f>
        <v/>
      </c>
      <c r="Z1731" s="29" t="str">
        <f>IF(Y1731=1,COUNTIF($Y$2:Y1731,1),"")</f>
        <v/>
      </c>
      <c r="AA1731" s="29" t="str">
        <f>IF(AND(LEFT($B1731,7)="SBA 26/",$C1731&lt;&gt;"",$F1731&lt;&gt;""),COUNTIFS($C$2:$C1731,$C1731,$B$2:$B1731,"SBA 26/*",$F$2:$F1731,"&lt;&gt;"),"")</f>
        <v/>
      </c>
      <c r="AB1731" s="29" t="str">
        <f>IF(AA1731=1,COUNTIF($AA$2:AA1731,1),"")</f>
        <v/>
      </c>
    </row>
    <row r="1732" spans="6:28" ht="47.25" customHeight="1" x14ac:dyDescent="0.2">
      <c r="F1732" s="45" t="s">
        <v>4293</v>
      </c>
      <c r="T1732" s="41"/>
      <c r="U1732" s="29" t="str">
        <f>IF($C1732&lt;&gt;"",COUNTIF($C$2:C1732,C1732),"")</f>
        <v/>
      </c>
      <c r="V1732" s="29" t="str">
        <f t="shared" si="78"/>
        <v/>
      </c>
      <c r="W1732" s="29" t="str">
        <f>IF(U1732=1,COUNTIF($U$2:U1732,1),"")</f>
        <v/>
      </c>
      <c r="X1732" s="29" t="str">
        <f t="shared" si="79"/>
        <v/>
      </c>
      <c r="Y1732" s="29" t="str">
        <f>IF(AND(LEFT($B1732,7)="SBA 26/",$D1732&lt;&gt;"",$F1732&lt;&gt;""),COUNTIFS($D$2:$D1732,$D1732,$B$2:$B1732,"SBA 26/*",$F$2:$F1732,"&lt;&gt;"),"")</f>
        <v/>
      </c>
      <c r="Z1732" s="29" t="str">
        <f>IF(Y1732=1,COUNTIF($Y$2:Y1732,1),"")</f>
        <v/>
      </c>
      <c r="AA1732" s="29" t="str">
        <f>IF(AND(LEFT($B1732,7)="SBA 26/",$C1732&lt;&gt;"",$F1732&lt;&gt;""),COUNTIFS($C$2:$C1732,$C1732,$B$2:$B1732,"SBA 26/*",$F$2:$F1732,"&lt;&gt;"),"")</f>
        <v/>
      </c>
      <c r="AB1732" s="29" t="str">
        <f>IF(AA1732=1,COUNTIF($AA$2:AA1732,1),"")</f>
        <v/>
      </c>
    </row>
    <row r="1733" spans="6:28" ht="31.5" customHeight="1" x14ac:dyDescent="0.2">
      <c r="F1733" s="45" t="s">
        <v>4294</v>
      </c>
      <c r="T1733" s="41"/>
      <c r="U1733" s="29" t="str">
        <f>IF($C1733&lt;&gt;"",COUNTIF($C$2:C1733,C1733),"")</f>
        <v/>
      </c>
      <c r="V1733" s="29" t="str">
        <f t="shared" si="78"/>
        <v/>
      </c>
      <c r="W1733" s="29" t="str">
        <f>IF(U1733=1,COUNTIF($U$2:U1733,1),"")</f>
        <v/>
      </c>
      <c r="X1733" s="29" t="str">
        <f t="shared" si="79"/>
        <v/>
      </c>
      <c r="Y1733" s="29" t="str">
        <f>IF(AND(LEFT($B1733,7)="SBA 26/",$D1733&lt;&gt;"",$F1733&lt;&gt;""),COUNTIFS($D$2:$D1733,$D1733,$B$2:$B1733,"SBA 26/*",$F$2:$F1733,"&lt;&gt;"),"")</f>
        <v/>
      </c>
      <c r="Z1733" s="29" t="str">
        <f>IF(Y1733=1,COUNTIF($Y$2:Y1733,1),"")</f>
        <v/>
      </c>
      <c r="AA1733" s="29" t="str">
        <f>IF(AND(LEFT($B1733,7)="SBA 26/",$C1733&lt;&gt;"",$F1733&lt;&gt;""),COUNTIFS($C$2:$C1733,$C1733,$B$2:$B1733,"SBA 26/*",$F$2:$F1733,"&lt;&gt;"),"")</f>
        <v/>
      </c>
      <c r="AB1733" s="29" t="str">
        <f>IF(AA1733=1,COUNTIF($AA$2:AA1733,1),"")</f>
        <v/>
      </c>
    </row>
    <row r="1734" spans="6:28" ht="47.25" customHeight="1" x14ac:dyDescent="0.2">
      <c r="F1734" s="45" t="s">
        <v>4295</v>
      </c>
      <c r="T1734" s="41"/>
      <c r="U1734" s="29" t="str">
        <f>IF($C1734&lt;&gt;"",COUNTIF($C$2:C1734,C1734),"")</f>
        <v/>
      </c>
      <c r="V1734" s="29" t="str">
        <f t="shared" si="78"/>
        <v/>
      </c>
      <c r="W1734" s="29" t="str">
        <f>IF(U1734=1,COUNTIF($U$2:U1734,1),"")</f>
        <v/>
      </c>
      <c r="X1734" s="29" t="str">
        <f t="shared" si="79"/>
        <v/>
      </c>
      <c r="Y1734" s="29" t="str">
        <f>IF(AND(LEFT($B1734,7)="SBA 26/",$D1734&lt;&gt;"",$F1734&lt;&gt;""),COUNTIFS($D$2:$D1734,$D1734,$B$2:$B1734,"SBA 26/*",$F$2:$F1734,"&lt;&gt;"),"")</f>
        <v/>
      </c>
      <c r="Z1734" s="29" t="str">
        <f>IF(Y1734=1,COUNTIF($Y$2:Y1734,1),"")</f>
        <v/>
      </c>
      <c r="AA1734" s="29" t="str">
        <f>IF(AND(LEFT($B1734,7)="SBA 26/",$C1734&lt;&gt;"",$F1734&lt;&gt;""),COUNTIFS($C$2:$C1734,$C1734,$B$2:$B1734,"SBA 26/*",$F$2:$F1734,"&lt;&gt;"),"")</f>
        <v/>
      </c>
      <c r="AB1734" s="29" t="str">
        <f>IF(AA1734=1,COUNTIF($AA$2:AA1734,1),"")</f>
        <v/>
      </c>
    </row>
    <row r="1735" spans="6:28" ht="47.25" customHeight="1" x14ac:dyDescent="0.2">
      <c r="F1735" s="45" t="s">
        <v>4296</v>
      </c>
      <c r="T1735" s="41"/>
      <c r="U1735" s="29" t="str">
        <f>IF($C1735&lt;&gt;"",COUNTIF($C$2:C1735,C1735),"")</f>
        <v/>
      </c>
      <c r="V1735" s="29" t="str">
        <f t="shared" si="78"/>
        <v/>
      </c>
      <c r="W1735" s="29" t="str">
        <f>IF(U1735=1,COUNTIF($U$2:U1735,1),"")</f>
        <v/>
      </c>
      <c r="X1735" s="29" t="str">
        <f t="shared" si="79"/>
        <v/>
      </c>
      <c r="Y1735" s="29" t="str">
        <f>IF(AND(LEFT($B1735,7)="SBA 26/",$D1735&lt;&gt;"",$F1735&lt;&gt;""),COUNTIFS($D$2:$D1735,$D1735,$B$2:$B1735,"SBA 26/*",$F$2:$F1735,"&lt;&gt;"),"")</f>
        <v/>
      </c>
      <c r="Z1735" s="29" t="str">
        <f>IF(Y1735=1,COUNTIF($Y$2:Y1735,1),"")</f>
        <v/>
      </c>
      <c r="AA1735" s="29" t="str">
        <f>IF(AND(LEFT($B1735,7)="SBA 26/",$C1735&lt;&gt;"",$F1735&lt;&gt;""),COUNTIFS($C$2:$C1735,$C1735,$B$2:$B1735,"SBA 26/*",$F$2:$F1735,"&lt;&gt;"),"")</f>
        <v/>
      </c>
      <c r="AB1735" s="29" t="str">
        <f>IF(AA1735=1,COUNTIF($AA$2:AA1735,1),"")</f>
        <v/>
      </c>
    </row>
    <row r="1736" spans="6:28" ht="63" customHeight="1" x14ac:dyDescent="0.2">
      <c r="F1736" s="45" t="s">
        <v>4297</v>
      </c>
      <c r="T1736" s="41"/>
      <c r="U1736" s="29" t="str">
        <f>IF($C1736&lt;&gt;"",COUNTIF($C$2:C1736,C1736),"")</f>
        <v/>
      </c>
      <c r="V1736" s="29" t="str">
        <f t="shared" si="78"/>
        <v/>
      </c>
      <c r="W1736" s="29" t="str">
        <f>IF(U1736=1,COUNTIF($U$2:U1736,1),"")</f>
        <v/>
      </c>
      <c r="X1736" s="29" t="str">
        <f t="shared" si="79"/>
        <v/>
      </c>
      <c r="Y1736" s="29" t="str">
        <f>IF(AND(LEFT($B1736,7)="SBA 26/",$D1736&lt;&gt;"",$F1736&lt;&gt;""),COUNTIFS($D$2:$D1736,$D1736,$B$2:$B1736,"SBA 26/*",$F$2:$F1736,"&lt;&gt;"),"")</f>
        <v/>
      </c>
      <c r="Z1736" s="29" t="str">
        <f>IF(Y1736=1,COUNTIF($Y$2:Y1736,1),"")</f>
        <v/>
      </c>
      <c r="AA1736" s="29" t="str">
        <f>IF(AND(LEFT($B1736,7)="SBA 26/",$C1736&lt;&gt;"",$F1736&lt;&gt;""),COUNTIFS($C$2:$C1736,$C1736,$B$2:$B1736,"SBA 26/*",$F$2:$F1736,"&lt;&gt;"),"")</f>
        <v/>
      </c>
      <c r="AB1736" s="29" t="str">
        <f>IF(AA1736=1,COUNTIF($AA$2:AA1736,1),"")</f>
        <v/>
      </c>
    </row>
    <row r="1737" spans="6:28" ht="31.5" customHeight="1" x14ac:dyDescent="0.2">
      <c r="F1737" s="45" t="s">
        <v>4298</v>
      </c>
      <c r="T1737" s="41"/>
      <c r="U1737" s="29" t="str">
        <f>IF($C1737&lt;&gt;"",COUNTIF($C$2:C1737,C1737),"")</f>
        <v/>
      </c>
      <c r="V1737" s="29" t="str">
        <f t="shared" si="78"/>
        <v/>
      </c>
      <c r="W1737" s="29" t="str">
        <f>IF(U1737=1,COUNTIF($U$2:U1737,1),"")</f>
        <v/>
      </c>
      <c r="X1737" s="29" t="str">
        <f t="shared" si="79"/>
        <v/>
      </c>
      <c r="Y1737" s="29" t="str">
        <f>IF(AND(LEFT($B1737,7)="SBA 26/",$D1737&lt;&gt;"",$F1737&lt;&gt;""),COUNTIFS($D$2:$D1737,$D1737,$B$2:$B1737,"SBA 26/*",$F$2:$F1737,"&lt;&gt;"),"")</f>
        <v/>
      </c>
      <c r="Z1737" s="29" t="str">
        <f>IF(Y1737=1,COUNTIF($Y$2:Y1737,1),"")</f>
        <v/>
      </c>
      <c r="AA1737" s="29" t="str">
        <f>IF(AND(LEFT($B1737,7)="SBA 26/",$C1737&lt;&gt;"",$F1737&lt;&gt;""),COUNTIFS($C$2:$C1737,$C1737,$B$2:$B1737,"SBA 26/*",$F$2:$F1737,"&lt;&gt;"),"")</f>
        <v/>
      </c>
      <c r="AB1737" s="29" t="str">
        <f>IF(AA1737=1,COUNTIF($AA$2:AA1737,1),"")</f>
        <v/>
      </c>
    </row>
    <row r="1738" spans="6:28" ht="47.25" customHeight="1" x14ac:dyDescent="0.2">
      <c r="F1738" s="45" t="s">
        <v>4299</v>
      </c>
      <c r="T1738" s="41"/>
      <c r="U1738" s="29" t="str">
        <f>IF($C1738&lt;&gt;"",COUNTIF($C$2:C1738,C1738),"")</f>
        <v/>
      </c>
      <c r="V1738" s="29" t="str">
        <f t="shared" si="78"/>
        <v/>
      </c>
      <c r="W1738" s="29" t="str">
        <f>IF(U1738=1,COUNTIF($U$2:U1738,1),"")</f>
        <v/>
      </c>
      <c r="X1738" s="29" t="str">
        <f t="shared" si="79"/>
        <v/>
      </c>
      <c r="Y1738" s="29" t="str">
        <f>IF(AND(LEFT($B1738,7)="SBA 26/",$D1738&lt;&gt;"",$F1738&lt;&gt;""),COUNTIFS($D$2:$D1738,$D1738,$B$2:$B1738,"SBA 26/*",$F$2:$F1738,"&lt;&gt;"),"")</f>
        <v/>
      </c>
      <c r="Z1738" s="29" t="str">
        <f>IF(Y1738=1,COUNTIF($Y$2:Y1738,1),"")</f>
        <v/>
      </c>
      <c r="AA1738" s="29" t="str">
        <f>IF(AND(LEFT($B1738,7)="SBA 26/",$C1738&lt;&gt;"",$F1738&lt;&gt;""),COUNTIFS($C$2:$C1738,$C1738,$B$2:$B1738,"SBA 26/*",$F$2:$F1738,"&lt;&gt;"),"")</f>
        <v/>
      </c>
      <c r="AB1738" s="29" t="str">
        <f>IF(AA1738=1,COUNTIF($AA$2:AA1738,1),"")</f>
        <v/>
      </c>
    </row>
    <row r="1739" spans="6:28" ht="31.5" customHeight="1" x14ac:dyDescent="0.2">
      <c r="F1739" s="45" t="s">
        <v>4300</v>
      </c>
      <c r="T1739" s="41"/>
      <c r="U1739" s="29" t="str">
        <f>IF($C1739&lt;&gt;"",COUNTIF($C$2:C1739,C1739),"")</f>
        <v/>
      </c>
      <c r="V1739" s="29" t="str">
        <f t="shared" si="78"/>
        <v/>
      </c>
      <c r="W1739" s="29" t="str">
        <f>IF(U1739=1,COUNTIF($U$2:U1739,1),"")</f>
        <v/>
      </c>
      <c r="X1739" s="29" t="str">
        <f t="shared" si="79"/>
        <v/>
      </c>
      <c r="Y1739" s="29" t="str">
        <f>IF(AND(LEFT($B1739,7)="SBA 26/",$D1739&lt;&gt;"",$F1739&lt;&gt;""),COUNTIFS($D$2:$D1739,$D1739,$B$2:$B1739,"SBA 26/*",$F$2:$F1739,"&lt;&gt;"),"")</f>
        <v/>
      </c>
      <c r="Z1739" s="29" t="str">
        <f>IF(Y1739=1,COUNTIF($Y$2:Y1739,1),"")</f>
        <v/>
      </c>
      <c r="AA1739" s="29" t="str">
        <f>IF(AND(LEFT($B1739,7)="SBA 26/",$C1739&lt;&gt;"",$F1739&lt;&gt;""),COUNTIFS($C$2:$C1739,$C1739,$B$2:$B1739,"SBA 26/*",$F$2:$F1739,"&lt;&gt;"),"")</f>
        <v/>
      </c>
      <c r="AB1739" s="29" t="str">
        <f>IF(AA1739=1,COUNTIF($AA$2:AA1739,1),"")</f>
        <v/>
      </c>
    </row>
    <row r="1740" spans="6:28" ht="47.25" customHeight="1" x14ac:dyDescent="0.2">
      <c r="F1740" s="45" t="s">
        <v>4301</v>
      </c>
      <c r="T1740" s="41"/>
      <c r="U1740" s="29" t="str">
        <f>IF($C1740&lt;&gt;"",COUNTIF($C$2:C1740,C1740),"")</f>
        <v/>
      </c>
      <c r="V1740" s="29" t="str">
        <f t="shared" si="78"/>
        <v/>
      </c>
      <c r="W1740" s="29" t="str">
        <f>IF(U1740=1,COUNTIF($U$2:U1740,1),"")</f>
        <v/>
      </c>
      <c r="X1740" s="29" t="str">
        <f t="shared" si="79"/>
        <v/>
      </c>
      <c r="Y1740" s="29" t="str">
        <f>IF(AND(LEFT($B1740,7)="SBA 26/",$D1740&lt;&gt;"",$F1740&lt;&gt;""),COUNTIFS($D$2:$D1740,$D1740,$B$2:$B1740,"SBA 26/*",$F$2:$F1740,"&lt;&gt;"),"")</f>
        <v/>
      </c>
      <c r="Z1740" s="29" t="str">
        <f>IF(Y1740=1,COUNTIF($Y$2:Y1740,1),"")</f>
        <v/>
      </c>
      <c r="AA1740" s="29" t="str">
        <f>IF(AND(LEFT($B1740,7)="SBA 26/",$C1740&lt;&gt;"",$F1740&lt;&gt;""),COUNTIFS($C$2:$C1740,$C1740,$B$2:$B1740,"SBA 26/*",$F$2:$F1740,"&lt;&gt;"),"")</f>
        <v/>
      </c>
      <c r="AB1740" s="29" t="str">
        <f>IF(AA1740=1,COUNTIF($AA$2:AA1740,1),"")</f>
        <v/>
      </c>
    </row>
    <row r="1741" spans="6:28" ht="47.25" customHeight="1" x14ac:dyDescent="0.2">
      <c r="F1741" s="45" t="s">
        <v>4302</v>
      </c>
      <c r="T1741" s="41"/>
      <c r="U1741" s="29" t="str">
        <f>IF($C1741&lt;&gt;"",COUNTIF($C$2:C1741,C1741),"")</f>
        <v/>
      </c>
      <c r="V1741" s="29" t="str">
        <f t="shared" si="78"/>
        <v/>
      </c>
      <c r="W1741" s="29" t="str">
        <f>IF(U1741=1,COUNTIF($U$2:U1741,1),"")</f>
        <v/>
      </c>
      <c r="X1741" s="29" t="str">
        <f t="shared" si="79"/>
        <v/>
      </c>
      <c r="Y1741" s="29" t="str">
        <f>IF(AND(LEFT($B1741,7)="SBA 26/",$D1741&lt;&gt;"",$F1741&lt;&gt;""),COUNTIFS($D$2:$D1741,$D1741,$B$2:$B1741,"SBA 26/*",$F$2:$F1741,"&lt;&gt;"),"")</f>
        <v/>
      </c>
      <c r="Z1741" s="29" t="str">
        <f>IF(Y1741=1,COUNTIF($Y$2:Y1741,1),"")</f>
        <v/>
      </c>
      <c r="AA1741" s="29" t="str">
        <f>IF(AND(LEFT($B1741,7)="SBA 26/",$C1741&lt;&gt;"",$F1741&lt;&gt;""),COUNTIFS($C$2:$C1741,$C1741,$B$2:$B1741,"SBA 26/*",$F$2:$F1741,"&lt;&gt;"),"")</f>
        <v/>
      </c>
      <c r="AB1741" s="29" t="str">
        <f>IF(AA1741=1,COUNTIF($AA$2:AA1741,1),"")</f>
        <v/>
      </c>
    </row>
    <row r="1742" spans="6:28" ht="47.25" customHeight="1" x14ac:dyDescent="0.2">
      <c r="F1742" s="45" t="s">
        <v>4303</v>
      </c>
      <c r="T1742" s="41"/>
      <c r="U1742" s="29" t="str">
        <f>IF($C1742&lt;&gt;"",COUNTIF($C$2:C1742,C1742),"")</f>
        <v/>
      </c>
      <c r="V1742" s="29" t="str">
        <f t="shared" si="78"/>
        <v/>
      </c>
      <c r="W1742" s="29" t="str">
        <f>IF(U1742=1,COUNTIF($U$2:U1742,1),"")</f>
        <v/>
      </c>
      <c r="X1742" s="29" t="str">
        <f t="shared" si="79"/>
        <v/>
      </c>
      <c r="Y1742" s="29" t="str">
        <f>IF(AND(LEFT($B1742,7)="SBA 26/",$D1742&lt;&gt;"",$F1742&lt;&gt;""),COUNTIFS($D$2:$D1742,$D1742,$B$2:$B1742,"SBA 26/*",$F$2:$F1742,"&lt;&gt;"),"")</f>
        <v/>
      </c>
      <c r="Z1742" s="29" t="str">
        <f>IF(Y1742=1,COUNTIF($Y$2:Y1742,1),"")</f>
        <v/>
      </c>
      <c r="AA1742" s="29" t="str">
        <f>IF(AND(LEFT($B1742,7)="SBA 26/",$C1742&lt;&gt;"",$F1742&lt;&gt;""),COUNTIFS($C$2:$C1742,$C1742,$B$2:$B1742,"SBA 26/*",$F$2:$F1742,"&lt;&gt;"),"")</f>
        <v/>
      </c>
      <c r="AB1742" s="29" t="str">
        <f>IF(AA1742=1,COUNTIF($AA$2:AA1742,1),"")</f>
        <v/>
      </c>
    </row>
    <row r="1743" spans="6:28" ht="47.25" customHeight="1" x14ac:dyDescent="0.2">
      <c r="F1743" s="45" t="s">
        <v>4304</v>
      </c>
      <c r="T1743" s="41"/>
      <c r="U1743" s="29" t="str">
        <f>IF($C1743&lt;&gt;"",COUNTIF($C$2:C1743,C1743),"")</f>
        <v/>
      </c>
      <c r="V1743" s="29" t="str">
        <f t="shared" si="78"/>
        <v/>
      </c>
      <c r="W1743" s="29" t="str">
        <f>IF(U1743=1,COUNTIF($U$2:U1743,1),"")</f>
        <v/>
      </c>
      <c r="X1743" s="29" t="str">
        <f t="shared" si="79"/>
        <v/>
      </c>
      <c r="Y1743" s="29" t="str">
        <f>IF(AND(LEFT($B1743,7)="SBA 26/",$D1743&lt;&gt;"",$F1743&lt;&gt;""),COUNTIFS($D$2:$D1743,$D1743,$B$2:$B1743,"SBA 26/*",$F$2:$F1743,"&lt;&gt;"),"")</f>
        <v/>
      </c>
      <c r="Z1743" s="29" t="str">
        <f>IF(Y1743=1,COUNTIF($Y$2:Y1743,1),"")</f>
        <v/>
      </c>
      <c r="AA1743" s="29" t="str">
        <f>IF(AND(LEFT($B1743,7)="SBA 26/",$C1743&lt;&gt;"",$F1743&lt;&gt;""),COUNTIFS($C$2:$C1743,$C1743,$B$2:$B1743,"SBA 26/*",$F$2:$F1743,"&lt;&gt;"),"")</f>
        <v/>
      </c>
      <c r="AB1743" s="29" t="str">
        <f>IF(AA1743=1,COUNTIF($AA$2:AA1743,1),"")</f>
        <v/>
      </c>
    </row>
    <row r="1744" spans="6:28" ht="63" customHeight="1" x14ac:dyDescent="0.2">
      <c r="F1744" s="45" t="s">
        <v>4305</v>
      </c>
      <c r="T1744" s="41"/>
      <c r="U1744" s="29" t="str">
        <f>IF($C1744&lt;&gt;"",COUNTIF($C$2:C1744,C1744),"")</f>
        <v/>
      </c>
      <c r="V1744" s="29" t="str">
        <f t="shared" si="78"/>
        <v/>
      </c>
      <c r="W1744" s="29" t="str">
        <f>IF(U1744=1,COUNTIF($U$2:U1744,1),"")</f>
        <v/>
      </c>
      <c r="X1744" s="29" t="str">
        <f t="shared" si="79"/>
        <v/>
      </c>
      <c r="Y1744" s="29" t="str">
        <f>IF(AND(LEFT($B1744,7)="SBA 26/",$D1744&lt;&gt;"",$F1744&lt;&gt;""),COUNTIFS($D$2:$D1744,$D1744,$B$2:$B1744,"SBA 26/*",$F$2:$F1744,"&lt;&gt;"),"")</f>
        <v/>
      </c>
      <c r="Z1744" s="29" t="str">
        <f>IF(Y1744=1,COUNTIF($Y$2:Y1744,1),"")</f>
        <v/>
      </c>
      <c r="AA1744" s="29" t="str">
        <f>IF(AND(LEFT($B1744,7)="SBA 26/",$C1744&lt;&gt;"",$F1744&lt;&gt;""),COUNTIFS($C$2:$C1744,$C1744,$B$2:$B1744,"SBA 26/*",$F$2:$F1744,"&lt;&gt;"),"")</f>
        <v/>
      </c>
      <c r="AB1744" s="29" t="str">
        <f>IF(AA1744=1,COUNTIF($AA$2:AA1744,1),"")</f>
        <v/>
      </c>
    </row>
    <row r="1745" spans="6:28" ht="47.25" customHeight="1" x14ac:dyDescent="0.2">
      <c r="F1745" s="45" t="s">
        <v>4306</v>
      </c>
      <c r="T1745" s="41"/>
      <c r="U1745" s="29" t="str">
        <f>IF($C1745&lt;&gt;"",COUNTIF($C$2:C1745,C1745),"")</f>
        <v/>
      </c>
      <c r="V1745" s="29" t="str">
        <f t="shared" si="78"/>
        <v/>
      </c>
      <c r="W1745" s="29" t="str">
        <f>IF(U1745=1,COUNTIF($U$2:U1745,1),"")</f>
        <v/>
      </c>
      <c r="X1745" s="29" t="str">
        <f t="shared" si="79"/>
        <v/>
      </c>
      <c r="Y1745" s="29" t="str">
        <f>IF(AND(LEFT($B1745,7)="SBA 26/",$D1745&lt;&gt;"",$F1745&lt;&gt;""),COUNTIFS($D$2:$D1745,$D1745,$B$2:$B1745,"SBA 26/*",$F$2:$F1745,"&lt;&gt;"),"")</f>
        <v/>
      </c>
      <c r="Z1745" s="29" t="str">
        <f>IF(Y1745=1,COUNTIF($Y$2:Y1745,1),"")</f>
        <v/>
      </c>
      <c r="AA1745" s="29" t="str">
        <f>IF(AND(LEFT($B1745,7)="SBA 26/",$C1745&lt;&gt;"",$F1745&lt;&gt;""),COUNTIFS($C$2:$C1745,$C1745,$B$2:$B1745,"SBA 26/*",$F$2:$F1745,"&lt;&gt;"),"")</f>
        <v/>
      </c>
      <c r="AB1745" s="29" t="str">
        <f>IF(AA1745=1,COUNTIF($AA$2:AA1745,1),"")</f>
        <v/>
      </c>
    </row>
    <row r="1746" spans="6:28" ht="47.25" customHeight="1" x14ac:dyDescent="0.2">
      <c r="F1746" s="45" t="s">
        <v>4307</v>
      </c>
      <c r="T1746" s="41"/>
      <c r="U1746" s="29" t="str">
        <f>IF($C1746&lt;&gt;"",COUNTIF($C$2:C1746,C1746),"")</f>
        <v/>
      </c>
      <c r="V1746" s="29" t="str">
        <f t="shared" si="78"/>
        <v/>
      </c>
      <c r="W1746" s="29" t="str">
        <f>IF(U1746=1,COUNTIF($U$2:U1746,1),"")</f>
        <v/>
      </c>
      <c r="X1746" s="29" t="str">
        <f t="shared" si="79"/>
        <v/>
      </c>
      <c r="Y1746" s="29" t="str">
        <f>IF(AND(LEFT($B1746,7)="SBA 26/",$D1746&lt;&gt;"",$F1746&lt;&gt;""),COUNTIFS($D$2:$D1746,$D1746,$B$2:$B1746,"SBA 26/*",$F$2:$F1746,"&lt;&gt;"),"")</f>
        <v/>
      </c>
      <c r="Z1746" s="29" t="str">
        <f>IF(Y1746=1,COUNTIF($Y$2:Y1746,1),"")</f>
        <v/>
      </c>
      <c r="AA1746" s="29" t="str">
        <f>IF(AND(LEFT($B1746,7)="SBA 26/",$C1746&lt;&gt;"",$F1746&lt;&gt;""),COUNTIFS($C$2:$C1746,$C1746,$B$2:$B1746,"SBA 26/*",$F$2:$F1746,"&lt;&gt;"),"")</f>
        <v/>
      </c>
      <c r="AB1746" s="29" t="str">
        <f>IF(AA1746=1,COUNTIF($AA$2:AA1746,1),"")</f>
        <v/>
      </c>
    </row>
    <row r="1747" spans="6:28" ht="47.25" customHeight="1" x14ac:dyDescent="0.2">
      <c r="F1747" s="45" t="s">
        <v>4308</v>
      </c>
      <c r="T1747" s="41"/>
      <c r="U1747" s="29" t="str">
        <f>IF($C1747&lt;&gt;"",COUNTIF($C$2:C1747,C1747),"")</f>
        <v/>
      </c>
      <c r="V1747" s="29" t="str">
        <f t="shared" si="78"/>
        <v/>
      </c>
      <c r="W1747" s="29" t="str">
        <f>IF(U1747=1,COUNTIF($U$2:U1747,1),"")</f>
        <v/>
      </c>
      <c r="X1747" s="29" t="str">
        <f t="shared" si="79"/>
        <v/>
      </c>
      <c r="Y1747" s="29" t="str">
        <f>IF(AND(LEFT($B1747,7)="SBA 26/",$D1747&lt;&gt;"",$F1747&lt;&gt;""),COUNTIFS($D$2:$D1747,$D1747,$B$2:$B1747,"SBA 26/*",$F$2:$F1747,"&lt;&gt;"),"")</f>
        <v/>
      </c>
      <c r="Z1747" s="29" t="str">
        <f>IF(Y1747=1,COUNTIF($Y$2:Y1747,1),"")</f>
        <v/>
      </c>
      <c r="AA1747" s="29" t="str">
        <f>IF(AND(LEFT($B1747,7)="SBA 26/",$C1747&lt;&gt;"",$F1747&lt;&gt;""),COUNTIFS($C$2:$C1747,$C1747,$B$2:$B1747,"SBA 26/*",$F$2:$F1747,"&lt;&gt;"),"")</f>
        <v/>
      </c>
      <c r="AB1747" s="29" t="str">
        <f>IF(AA1747=1,COUNTIF($AA$2:AA1747,1),"")</f>
        <v/>
      </c>
    </row>
    <row r="1748" spans="6:28" ht="63" customHeight="1" x14ac:dyDescent="0.2">
      <c r="F1748" s="45" t="s">
        <v>4309</v>
      </c>
      <c r="T1748" s="41"/>
      <c r="U1748" s="29" t="str">
        <f>IF($C1748&lt;&gt;"",COUNTIF($C$2:C1748,C1748),"")</f>
        <v/>
      </c>
      <c r="V1748" s="29" t="str">
        <f t="shared" si="78"/>
        <v/>
      </c>
      <c r="W1748" s="29" t="str">
        <f>IF(U1748=1,COUNTIF($U$2:U1748,1),"")</f>
        <v/>
      </c>
      <c r="X1748" s="29" t="str">
        <f t="shared" si="79"/>
        <v/>
      </c>
      <c r="Y1748" s="29" t="str">
        <f>IF(AND(LEFT($B1748,7)="SBA 26/",$D1748&lt;&gt;"",$F1748&lt;&gt;""),COUNTIFS($D$2:$D1748,$D1748,$B$2:$B1748,"SBA 26/*",$F$2:$F1748,"&lt;&gt;"),"")</f>
        <v/>
      </c>
      <c r="Z1748" s="29" t="str">
        <f>IF(Y1748=1,COUNTIF($Y$2:Y1748,1),"")</f>
        <v/>
      </c>
      <c r="AA1748" s="29" t="str">
        <f>IF(AND(LEFT($B1748,7)="SBA 26/",$C1748&lt;&gt;"",$F1748&lt;&gt;""),COUNTIFS($C$2:$C1748,$C1748,$B$2:$B1748,"SBA 26/*",$F$2:$F1748,"&lt;&gt;"),"")</f>
        <v/>
      </c>
      <c r="AB1748" s="29" t="str">
        <f>IF(AA1748=1,COUNTIF($AA$2:AA1748,1),"")</f>
        <v/>
      </c>
    </row>
    <row r="1749" spans="6:28" ht="47.25" customHeight="1" x14ac:dyDescent="0.2">
      <c r="F1749" s="45" t="s">
        <v>4310</v>
      </c>
      <c r="T1749" s="41"/>
      <c r="U1749" s="29" t="str">
        <f>IF($C1749&lt;&gt;"",COUNTIF($C$2:C1749,C1749),"")</f>
        <v/>
      </c>
      <c r="V1749" s="29" t="str">
        <f t="shared" si="78"/>
        <v/>
      </c>
      <c r="W1749" s="29" t="str">
        <f>IF(U1749=1,COUNTIF($U$2:U1749,1),"")</f>
        <v/>
      </c>
      <c r="X1749" s="29" t="str">
        <f t="shared" si="79"/>
        <v/>
      </c>
      <c r="Y1749" s="29" t="str">
        <f>IF(AND(LEFT($B1749,7)="SBA 26/",$D1749&lt;&gt;"",$F1749&lt;&gt;""),COUNTIFS($D$2:$D1749,$D1749,$B$2:$B1749,"SBA 26/*",$F$2:$F1749,"&lt;&gt;"),"")</f>
        <v/>
      </c>
      <c r="Z1749" s="29" t="str">
        <f>IF(Y1749=1,COUNTIF($Y$2:Y1749,1),"")</f>
        <v/>
      </c>
      <c r="AA1749" s="29" t="str">
        <f>IF(AND(LEFT($B1749,7)="SBA 26/",$C1749&lt;&gt;"",$F1749&lt;&gt;""),COUNTIFS($C$2:$C1749,$C1749,$B$2:$B1749,"SBA 26/*",$F$2:$F1749,"&lt;&gt;"),"")</f>
        <v/>
      </c>
      <c r="AB1749" s="29" t="str">
        <f>IF(AA1749=1,COUNTIF($AA$2:AA1749,1),"")</f>
        <v/>
      </c>
    </row>
    <row r="1750" spans="6:28" ht="31.5" customHeight="1" x14ac:dyDescent="0.2">
      <c r="F1750" s="45" t="s">
        <v>4311</v>
      </c>
      <c r="T1750" s="41"/>
      <c r="U1750" s="29" t="str">
        <f>IF($C1750&lt;&gt;"",COUNTIF($C$2:C1750,C1750),"")</f>
        <v/>
      </c>
      <c r="V1750" s="29" t="str">
        <f t="shared" si="78"/>
        <v/>
      </c>
      <c r="W1750" s="29" t="str">
        <f>IF(U1750=1,COUNTIF($U$2:U1750,1),"")</f>
        <v/>
      </c>
      <c r="X1750" s="29" t="str">
        <f t="shared" si="79"/>
        <v/>
      </c>
      <c r="Y1750" s="29" t="str">
        <f>IF(AND(LEFT($B1750,7)="SBA 26/",$D1750&lt;&gt;"",$F1750&lt;&gt;""),COUNTIFS($D$2:$D1750,$D1750,$B$2:$B1750,"SBA 26/*",$F$2:$F1750,"&lt;&gt;"),"")</f>
        <v/>
      </c>
      <c r="Z1750" s="29" t="str">
        <f>IF(Y1750=1,COUNTIF($Y$2:Y1750,1),"")</f>
        <v/>
      </c>
      <c r="AA1750" s="29" t="str">
        <f>IF(AND(LEFT($B1750,7)="SBA 26/",$C1750&lt;&gt;"",$F1750&lt;&gt;""),COUNTIFS($C$2:$C1750,$C1750,$B$2:$B1750,"SBA 26/*",$F$2:$F1750,"&lt;&gt;"),"")</f>
        <v/>
      </c>
      <c r="AB1750" s="29" t="str">
        <f>IF(AA1750=1,COUNTIF($AA$2:AA1750,1),"")</f>
        <v/>
      </c>
    </row>
    <row r="1751" spans="6:28" ht="31.5" customHeight="1" x14ac:dyDescent="0.2">
      <c r="F1751" s="45" t="s">
        <v>4312</v>
      </c>
      <c r="T1751" s="41"/>
      <c r="U1751" s="29" t="str">
        <f>IF($C1751&lt;&gt;"",COUNTIF($C$2:C1751,C1751),"")</f>
        <v/>
      </c>
      <c r="V1751" s="29" t="str">
        <f t="shared" si="78"/>
        <v/>
      </c>
      <c r="W1751" s="29" t="str">
        <f>IF(U1751=1,COUNTIF($U$2:U1751,1),"")</f>
        <v/>
      </c>
      <c r="X1751" s="29" t="str">
        <f t="shared" si="79"/>
        <v/>
      </c>
      <c r="Y1751" s="29" t="str">
        <f>IF(AND(LEFT($B1751,7)="SBA 26/",$D1751&lt;&gt;"",$F1751&lt;&gt;""),COUNTIFS($D$2:$D1751,$D1751,$B$2:$B1751,"SBA 26/*",$F$2:$F1751,"&lt;&gt;"),"")</f>
        <v/>
      </c>
      <c r="Z1751" s="29" t="str">
        <f>IF(Y1751=1,COUNTIF($Y$2:Y1751,1),"")</f>
        <v/>
      </c>
      <c r="AA1751" s="29" t="str">
        <f>IF(AND(LEFT($B1751,7)="SBA 26/",$C1751&lt;&gt;"",$F1751&lt;&gt;""),COUNTIFS($C$2:$C1751,$C1751,$B$2:$B1751,"SBA 26/*",$F$2:$F1751,"&lt;&gt;"),"")</f>
        <v/>
      </c>
      <c r="AB1751" s="29" t="str">
        <f>IF(AA1751=1,COUNTIF($AA$2:AA1751,1),"")</f>
        <v/>
      </c>
    </row>
    <row r="1752" spans="6:28" ht="47.25" customHeight="1" x14ac:dyDescent="0.2">
      <c r="F1752" s="45" t="s">
        <v>4313</v>
      </c>
      <c r="T1752" s="41"/>
      <c r="U1752" s="29" t="str">
        <f>IF($C1752&lt;&gt;"",COUNTIF($C$2:C1752,C1752),"")</f>
        <v/>
      </c>
      <c r="V1752" s="29" t="str">
        <f t="shared" si="78"/>
        <v/>
      </c>
      <c r="W1752" s="29" t="str">
        <f>IF(U1752=1,COUNTIF($U$2:U1752,1),"")</f>
        <v/>
      </c>
      <c r="X1752" s="29" t="str">
        <f t="shared" si="79"/>
        <v/>
      </c>
      <c r="Y1752" s="29" t="str">
        <f>IF(AND(LEFT($B1752,7)="SBA 26/",$D1752&lt;&gt;"",$F1752&lt;&gt;""),COUNTIFS($D$2:$D1752,$D1752,$B$2:$B1752,"SBA 26/*",$F$2:$F1752,"&lt;&gt;"),"")</f>
        <v/>
      </c>
      <c r="Z1752" s="29" t="str">
        <f>IF(Y1752=1,COUNTIF($Y$2:Y1752,1),"")</f>
        <v/>
      </c>
      <c r="AA1752" s="29" t="str">
        <f>IF(AND(LEFT($B1752,7)="SBA 26/",$C1752&lt;&gt;"",$F1752&lt;&gt;""),COUNTIFS($C$2:$C1752,$C1752,$B$2:$B1752,"SBA 26/*",$F$2:$F1752,"&lt;&gt;"),"")</f>
        <v/>
      </c>
      <c r="AB1752" s="29" t="str">
        <f>IF(AA1752=1,COUNTIF($AA$2:AA1752,1),"")</f>
        <v/>
      </c>
    </row>
    <row r="1753" spans="6:28" ht="47.25" customHeight="1" x14ac:dyDescent="0.2">
      <c r="F1753" s="45" t="s">
        <v>4314</v>
      </c>
      <c r="T1753" s="41"/>
      <c r="U1753" s="29" t="str">
        <f>IF($C1753&lt;&gt;"",COUNTIF($C$2:C1753,C1753),"")</f>
        <v/>
      </c>
      <c r="V1753" s="29" t="str">
        <f t="shared" si="78"/>
        <v/>
      </c>
      <c r="W1753" s="29" t="str">
        <f>IF(U1753=1,COUNTIF($U$2:U1753,1),"")</f>
        <v/>
      </c>
      <c r="X1753" s="29" t="str">
        <f t="shared" si="79"/>
        <v/>
      </c>
      <c r="Y1753" s="29" t="str">
        <f>IF(AND(LEFT($B1753,7)="SBA 26/",$D1753&lt;&gt;"",$F1753&lt;&gt;""),COUNTIFS($D$2:$D1753,$D1753,$B$2:$B1753,"SBA 26/*",$F$2:$F1753,"&lt;&gt;"),"")</f>
        <v/>
      </c>
      <c r="Z1753" s="29" t="str">
        <f>IF(Y1753=1,COUNTIF($Y$2:Y1753,1),"")</f>
        <v/>
      </c>
      <c r="AA1753" s="29" t="str">
        <f>IF(AND(LEFT($B1753,7)="SBA 26/",$C1753&lt;&gt;"",$F1753&lt;&gt;""),COUNTIFS($C$2:$C1753,$C1753,$B$2:$B1753,"SBA 26/*",$F$2:$F1753,"&lt;&gt;"),"")</f>
        <v/>
      </c>
      <c r="AB1753" s="29" t="str">
        <f>IF(AA1753=1,COUNTIF($AA$2:AA1753,1),"")</f>
        <v/>
      </c>
    </row>
    <row r="1754" spans="6:28" ht="63" customHeight="1" x14ac:dyDescent="0.2">
      <c r="F1754" s="45" t="s">
        <v>4315</v>
      </c>
      <c r="T1754" s="41"/>
      <c r="U1754" s="29" t="str">
        <f>IF($C1754&lt;&gt;"",COUNTIF($C$2:C1754,C1754),"")</f>
        <v/>
      </c>
      <c r="V1754" s="29" t="str">
        <f t="shared" si="78"/>
        <v/>
      </c>
      <c r="W1754" s="29" t="str">
        <f>IF(U1754=1,COUNTIF($U$2:U1754,1),"")</f>
        <v/>
      </c>
      <c r="X1754" s="29" t="str">
        <f t="shared" si="79"/>
        <v/>
      </c>
      <c r="Y1754" s="29" t="str">
        <f>IF(AND(LEFT($B1754,7)="SBA 26/",$D1754&lt;&gt;"",$F1754&lt;&gt;""),COUNTIFS($D$2:$D1754,$D1754,$B$2:$B1754,"SBA 26/*",$F$2:$F1754,"&lt;&gt;"),"")</f>
        <v/>
      </c>
      <c r="Z1754" s="29" t="str">
        <f>IF(Y1754=1,COUNTIF($Y$2:Y1754,1),"")</f>
        <v/>
      </c>
      <c r="AA1754" s="29" t="str">
        <f>IF(AND(LEFT($B1754,7)="SBA 26/",$C1754&lt;&gt;"",$F1754&lt;&gt;""),COUNTIFS($C$2:$C1754,$C1754,$B$2:$B1754,"SBA 26/*",$F$2:$F1754,"&lt;&gt;"),"")</f>
        <v/>
      </c>
      <c r="AB1754" s="29" t="str">
        <f>IF(AA1754=1,COUNTIF($AA$2:AA1754,1),"")</f>
        <v/>
      </c>
    </row>
    <row r="1755" spans="6:28" ht="31.5" customHeight="1" x14ac:dyDescent="0.2">
      <c r="F1755" s="45" t="s">
        <v>4316</v>
      </c>
      <c r="T1755" s="41"/>
      <c r="U1755" s="29" t="str">
        <f>IF($C1755&lt;&gt;"",COUNTIF($C$2:C1755,C1755),"")</f>
        <v/>
      </c>
      <c r="V1755" s="29" t="str">
        <f t="shared" si="78"/>
        <v/>
      </c>
      <c r="W1755" s="29" t="str">
        <f>IF(U1755=1,COUNTIF($U$2:U1755,1),"")</f>
        <v/>
      </c>
      <c r="X1755" s="29" t="str">
        <f t="shared" si="79"/>
        <v/>
      </c>
      <c r="Y1755" s="29" t="str">
        <f>IF(AND(LEFT($B1755,7)="SBA 26/",$D1755&lt;&gt;"",$F1755&lt;&gt;""),COUNTIFS($D$2:$D1755,$D1755,$B$2:$B1755,"SBA 26/*",$F$2:$F1755,"&lt;&gt;"),"")</f>
        <v/>
      </c>
      <c r="Z1755" s="29" t="str">
        <f>IF(Y1755=1,COUNTIF($Y$2:Y1755,1),"")</f>
        <v/>
      </c>
      <c r="AA1755" s="29" t="str">
        <f>IF(AND(LEFT($B1755,7)="SBA 26/",$C1755&lt;&gt;"",$F1755&lt;&gt;""),COUNTIFS($C$2:$C1755,$C1755,$B$2:$B1755,"SBA 26/*",$F$2:$F1755,"&lt;&gt;"),"")</f>
        <v/>
      </c>
      <c r="AB1755" s="29" t="str">
        <f>IF(AA1755=1,COUNTIF($AA$2:AA1755,1),"")</f>
        <v/>
      </c>
    </row>
    <row r="1756" spans="6:28" ht="47.25" customHeight="1" x14ac:dyDescent="0.2">
      <c r="F1756" s="45" t="s">
        <v>4317</v>
      </c>
      <c r="T1756" s="41"/>
      <c r="U1756" s="29" t="str">
        <f>IF($C1756&lt;&gt;"",COUNTIF($C$2:C1756,C1756),"")</f>
        <v/>
      </c>
      <c r="V1756" s="29" t="str">
        <f t="shared" si="78"/>
        <v/>
      </c>
      <c r="W1756" s="29" t="str">
        <f>IF(U1756=1,COUNTIF($U$2:U1756,1),"")</f>
        <v/>
      </c>
      <c r="X1756" s="29" t="str">
        <f t="shared" si="79"/>
        <v/>
      </c>
      <c r="Y1756" s="29" t="str">
        <f>IF(AND(LEFT($B1756,7)="SBA 26/",$D1756&lt;&gt;"",$F1756&lt;&gt;""),COUNTIFS($D$2:$D1756,$D1756,$B$2:$B1756,"SBA 26/*",$F$2:$F1756,"&lt;&gt;"),"")</f>
        <v/>
      </c>
      <c r="Z1756" s="29" t="str">
        <f>IF(Y1756=1,COUNTIF($Y$2:Y1756,1),"")</f>
        <v/>
      </c>
      <c r="AA1756" s="29" t="str">
        <f>IF(AND(LEFT($B1756,7)="SBA 26/",$C1756&lt;&gt;"",$F1756&lt;&gt;""),COUNTIFS($C$2:$C1756,$C1756,$B$2:$B1756,"SBA 26/*",$F$2:$F1756,"&lt;&gt;"),"")</f>
        <v/>
      </c>
      <c r="AB1756" s="29" t="str">
        <f>IF(AA1756=1,COUNTIF($AA$2:AA1756,1),"")</f>
        <v/>
      </c>
    </row>
    <row r="1757" spans="6:28" ht="47.25" customHeight="1" x14ac:dyDescent="0.2">
      <c r="F1757" s="45" t="s">
        <v>4318</v>
      </c>
      <c r="T1757" s="41"/>
      <c r="U1757" s="29" t="str">
        <f>IF($C1757&lt;&gt;"",COUNTIF($C$2:C1757,C1757),"")</f>
        <v/>
      </c>
      <c r="V1757" s="29" t="str">
        <f t="shared" si="78"/>
        <v/>
      </c>
      <c r="W1757" s="29" t="str">
        <f>IF(U1757=1,COUNTIF($U$2:U1757,1),"")</f>
        <v/>
      </c>
      <c r="X1757" s="29" t="str">
        <f t="shared" si="79"/>
        <v/>
      </c>
      <c r="Y1757" s="29" t="str">
        <f>IF(AND(LEFT($B1757,7)="SBA 26/",$D1757&lt;&gt;"",$F1757&lt;&gt;""),COUNTIFS($D$2:$D1757,$D1757,$B$2:$B1757,"SBA 26/*",$F$2:$F1757,"&lt;&gt;"),"")</f>
        <v/>
      </c>
      <c r="Z1757" s="29" t="str">
        <f>IF(Y1757=1,COUNTIF($Y$2:Y1757,1),"")</f>
        <v/>
      </c>
      <c r="AA1757" s="29" t="str">
        <f>IF(AND(LEFT($B1757,7)="SBA 26/",$C1757&lt;&gt;"",$F1757&lt;&gt;""),COUNTIFS($C$2:$C1757,$C1757,$B$2:$B1757,"SBA 26/*",$F$2:$F1757,"&lt;&gt;"),"")</f>
        <v/>
      </c>
      <c r="AB1757" s="29" t="str">
        <f>IF(AA1757=1,COUNTIF($AA$2:AA1757,1),"")</f>
        <v/>
      </c>
    </row>
    <row r="1758" spans="6:28" ht="47.25" customHeight="1" x14ac:dyDescent="0.2">
      <c r="F1758" s="45" t="s">
        <v>4319</v>
      </c>
      <c r="T1758" s="41"/>
      <c r="U1758" s="29" t="str">
        <f>IF($C1758&lt;&gt;"",COUNTIF($C$2:C1758,C1758),"")</f>
        <v/>
      </c>
      <c r="V1758" s="29" t="str">
        <f t="shared" si="78"/>
        <v/>
      </c>
      <c r="W1758" s="29" t="str">
        <f>IF(U1758=1,COUNTIF($U$2:U1758,1),"")</f>
        <v/>
      </c>
      <c r="X1758" s="29" t="str">
        <f t="shared" si="79"/>
        <v/>
      </c>
      <c r="Y1758" s="29" t="str">
        <f>IF(AND(LEFT($B1758,7)="SBA 26/",$D1758&lt;&gt;"",$F1758&lt;&gt;""),COUNTIFS($D$2:$D1758,$D1758,$B$2:$B1758,"SBA 26/*",$F$2:$F1758,"&lt;&gt;"),"")</f>
        <v/>
      </c>
      <c r="Z1758" s="29" t="str">
        <f>IF(Y1758=1,COUNTIF($Y$2:Y1758,1),"")</f>
        <v/>
      </c>
      <c r="AA1758" s="29" t="str">
        <f>IF(AND(LEFT($B1758,7)="SBA 26/",$C1758&lt;&gt;"",$F1758&lt;&gt;""),COUNTIFS($C$2:$C1758,$C1758,$B$2:$B1758,"SBA 26/*",$F$2:$F1758,"&lt;&gt;"),"")</f>
        <v/>
      </c>
      <c r="AB1758" s="29" t="str">
        <f>IF(AA1758=1,COUNTIF($AA$2:AA1758,1),"")</f>
        <v/>
      </c>
    </row>
    <row r="1759" spans="6:28" ht="47.25" customHeight="1" x14ac:dyDescent="0.2">
      <c r="F1759" s="45" t="s">
        <v>4320</v>
      </c>
      <c r="T1759" s="41"/>
      <c r="U1759" s="29" t="str">
        <f>IF($C1759&lt;&gt;"",COUNTIF($C$2:C1759,C1759),"")</f>
        <v/>
      </c>
      <c r="V1759" s="29" t="str">
        <f t="shared" si="78"/>
        <v/>
      </c>
      <c r="W1759" s="29" t="str">
        <f>IF(U1759=1,COUNTIF($U$2:U1759,1),"")</f>
        <v/>
      </c>
      <c r="X1759" s="29" t="str">
        <f t="shared" si="79"/>
        <v/>
      </c>
      <c r="Y1759" s="29" t="str">
        <f>IF(AND(LEFT($B1759,7)="SBA 26/",$D1759&lt;&gt;"",$F1759&lt;&gt;""),COUNTIFS($D$2:$D1759,$D1759,$B$2:$B1759,"SBA 26/*",$F$2:$F1759,"&lt;&gt;"),"")</f>
        <v/>
      </c>
      <c r="Z1759" s="29" t="str">
        <f>IF(Y1759=1,COUNTIF($Y$2:Y1759,1),"")</f>
        <v/>
      </c>
      <c r="AA1759" s="29" t="str">
        <f>IF(AND(LEFT($B1759,7)="SBA 26/",$C1759&lt;&gt;"",$F1759&lt;&gt;""),COUNTIFS($C$2:$C1759,$C1759,$B$2:$B1759,"SBA 26/*",$F$2:$F1759,"&lt;&gt;"),"")</f>
        <v/>
      </c>
      <c r="AB1759" s="29" t="str">
        <f>IF(AA1759=1,COUNTIF($AA$2:AA1759,1),"")</f>
        <v/>
      </c>
    </row>
    <row r="1760" spans="6:28" ht="47.25" customHeight="1" x14ac:dyDescent="0.2">
      <c r="F1760" s="45" t="s">
        <v>4321</v>
      </c>
      <c r="T1760" s="41"/>
      <c r="U1760" s="29" t="str">
        <f>IF($C1760&lt;&gt;"",COUNTIF($C$2:C1760,C1760),"")</f>
        <v/>
      </c>
      <c r="V1760" s="29" t="str">
        <f t="shared" si="78"/>
        <v/>
      </c>
      <c r="W1760" s="29" t="str">
        <f>IF(U1760=1,COUNTIF($U$2:U1760,1),"")</f>
        <v/>
      </c>
      <c r="X1760" s="29" t="str">
        <f t="shared" si="79"/>
        <v/>
      </c>
      <c r="Y1760" s="29" t="str">
        <f>IF(AND(LEFT($B1760,7)="SBA 26/",$D1760&lt;&gt;"",$F1760&lt;&gt;""),COUNTIFS($D$2:$D1760,$D1760,$B$2:$B1760,"SBA 26/*",$F$2:$F1760,"&lt;&gt;"),"")</f>
        <v/>
      </c>
      <c r="Z1760" s="29" t="str">
        <f>IF(Y1760=1,COUNTIF($Y$2:Y1760,1),"")</f>
        <v/>
      </c>
      <c r="AA1760" s="29" t="str">
        <f>IF(AND(LEFT($B1760,7)="SBA 26/",$C1760&lt;&gt;"",$F1760&lt;&gt;""),COUNTIFS($C$2:$C1760,$C1760,$B$2:$B1760,"SBA 26/*",$F$2:$F1760,"&lt;&gt;"),"")</f>
        <v/>
      </c>
      <c r="AB1760" s="29" t="str">
        <f>IF(AA1760=1,COUNTIF($AA$2:AA1760,1),"")</f>
        <v/>
      </c>
    </row>
    <row r="1761" spans="6:28" ht="47.25" customHeight="1" x14ac:dyDescent="0.2">
      <c r="F1761" s="45" t="s">
        <v>4322</v>
      </c>
      <c r="T1761" s="41"/>
      <c r="U1761" s="29" t="str">
        <f>IF($C1761&lt;&gt;"",COUNTIF($C$2:C1761,C1761),"")</f>
        <v/>
      </c>
      <c r="V1761" s="29" t="str">
        <f t="shared" si="78"/>
        <v/>
      </c>
      <c r="W1761" s="29" t="str">
        <f>IF(U1761=1,COUNTIF($U$2:U1761,1),"")</f>
        <v/>
      </c>
      <c r="X1761" s="29" t="str">
        <f t="shared" si="79"/>
        <v/>
      </c>
      <c r="Y1761" s="29" t="str">
        <f>IF(AND(LEFT($B1761,7)="SBA 26/",$D1761&lt;&gt;"",$F1761&lt;&gt;""),COUNTIFS($D$2:$D1761,$D1761,$B$2:$B1761,"SBA 26/*",$F$2:$F1761,"&lt;&gt;"),"")</f>
        <v/>
      </c>
      <c r="Z1761" s="29" t="str">
        <f>IF(Y1761=1,COUNTIF($Y$2:Y1761,1),"")</f>
        <v/>
      </c>
      <c r="AA1761" s="29" t="str">
        <f>IF(AND(LEFT($B1761,7)="SBA 26/",$C1761&lt;&gt;"",$F1761&lt;&gt;""),COUNTIFS($C$2:$C1761,$C1761,$B$2:$B1761,"SBA 26/*",$F$2:$F1761,"&lt;&gt;"),"")</f>
        <v/>
      </c>
      <c r="AB1761" s="29" t="str">
        <f>IF(AA1761=1,COUNTIF($AA$2:AA1761,1),"")</f>
        <v/>
      </c>
    </row>
    <row r="1762" spans="6:28" ht="47.25" customHeight="1" x14ac:dyDescent="0.2">
      <c r="F1762" s="45" t="s">
        <v>4323</v>
      </c>
      <c r="T1762" s="41"/>
      <c r="U1762" s="29" t="str">
        <f>IF($C1762&lt;&gt;"",COUNTIF($C$2:C1762,C1762),"")</f>
        <v/>
      </c>
      <c r="V1762" s="29" t="str">
        <f t="shared" si="78"/>
        <v/>
      </c>
      <c r="W1762" s="29" t="str">
        <f>IF(U1762=1,COUNTIF($U$2:U1762,1),"")</f>
        <v/>
      </c>
      <c r="X1762" s="29" t="str">
        <f t="shared" si="79"/>
        <v/>
      </c>
      <c r="Y1762" s="29" t="str">
        <f>IF(AND(LEFT($B1762,7)="SBA 26/",$D1762&lt;&gt;"",$F1762&lt;&gt;""),COUNTIFS($D$2:$D1762,$D1762,$B$2:$B1762,"SBA 26/*",$F$2:$F1762,"&lt;&gt;"),"")</f>
        <v/>
      </c>
      <c r="Z1762" s="29" t="str">
        <f>IF(Y1762=1,COUNTIF($Y$2:Y1762,1),"")</f>
        <v/>
      </c>
      <c r="AA1762" s="29" t="str">
        <f>IF(AND(LEFT($B1762,7)="SBA 26/",$C1762&lt;&gt;"",$F1762&lt;&gt;""),COUNTIFS($C$2:$C1762,$C1762,$B$2:$B1762,"SBA 26/*",$F$2:$F1762,"&lt;&gt;"),"")</f>
        <v/>
      </c>
      <c r="AB1762" s="29" t="str">
        <f>IF(AA1762=1,COUNTIF($AA$2:AA1762,1),"")</f>
        <v/>
      </c>
    </row>
    <row r="1763" spans="6:28" ht="47.25" customHeight="1" x14ac:dyDescent="0.2">
      <c r="F1763" s="45" t="s">
        <v>4324</v>
      </c>
      <c r="T1763" s="41"/>
      <c r="U1763" s="29" t="str">
        <f>IF($C1763&lt;&gt;"",COUNTIF($C$2:C1763,C1763),"")</f>
        <v/>
      </c>
      <c r="V1763" s="29" t="str">
        <f t="shared" si="78"/>
        <v/>
      </c>
      <c r="W1763" s="29" t="str">
        <f>IF(U1763=1,COUNTIF($U$2:U1763,1),"")</f>
        <v/>
      </c>
      <c r="X1763" s="29" t="str">
        <f t="shared" si="79"/>
        <v/>
      </c>
      <c r="Y1763" s="29" t="str">
        <f>IF(AND(LEFT($B1763,7)="SBA 26/",$D1763&lt;&gt;"",$F1763&lt;&gt;""),COUNTIFS($D$2:$D1763,$D1763,$B$2:$B1763,"SBA 26/*",$F$2:$F1763,"&lt;&gt;"),"")</f>
        <v/>
      </c>
      <c r="Z1763" s="29" t="str">
        <f>IF(Y1763=1,COUNTIF($Y$2:Y1763,1),"")</f>
        <v/>
      </c>
      <c r="AA1763" s="29" t="str">
        <f>IF(AND(LEFT($B1763,7)="SBA 26/",$C1763&lt;&gt;"",$F1763&lt;&gt;""),COUNTIFS($C$2:$C1763,$C1763,$B$2:$B1763,"SBA 26/*",$F$2:$F1763,"&lt;&gt;"),"")</f>
        <v/>
      </c>
      <c r="AB1763" s="29" t="str">
        <f>IF(AA1763=1,COUNTIF($AA$2:AA1763,1),"")</f>
        <v/>
      </c>
    </row>
    <row r="1764" spans="6:28" ht="47.25" customHeight="1" x14ac:dyDescent="0.2">
      <c r="F1764" s="45" t="s">
        <v>4325</v>
      </c>
      <c r="T1764" s="41"/>
      <c r="U1764" s="29" t="str">
        <f>IF($C1764&lt;&gt;"",COUNTIF($C$2:C1764,C1764),"")</f>
        <v/>
      </c>
      <c r="V1764" s="29" t="str">
        <f t="shared" si="78"/>
        <v/>
      </c>
      <c r="W1764" s="29" t="str">
        <f>IF(U1764=1,COUNTIF($U$2:U1764,1),"")</f>
        <v/>
      </c>
      <c r="X1764" s="29" t="str">
        <f t="shared" si="79"/>
        <v/>
      </c>
      <c r="Y1764" s="29" t="str">
        <f>IF(AND(LEFT($B1764,7)="SBA 26/",$D1764&lt;&gt;"",$F1764&lt;&gt;""),COUNTIFS($D$2:$D1764,$D1764,$B$2:$B1764,"SBA 26/*",$F$2:$F1764,"&lt;&gt;"),"")</f>
        <v/>
      </c>
      <c r="Z1764" s="29" t="str">
        <f>IF(Y1764=1,COUNTIF($Y$2:Y1764,1),"")</f>
        <v/>
      </c>
      <c r="AA1764" s="29" t="str">
        <f>IF(AND(LEFT($B1764,7)="SBA 26/",$C1764&lt;&gt;"",$F1764&lt;&gt;""),COUNTIFS($C$2:$C1764,$C1764,$B$2:$B1764,"SBA 26/*",$F$2:$F1764,"&lt;&gt;"),"")</f>
        <v/>
      </c>
      <c r="AB1764" s="29" t="str">
        <f>IF(AA1764=1,COUNTIF($AA$2:AA1764,1),"")</f>
        <v/>
      </c>
    </row>
    <row r="1765" spans="6:28" ht="47.25" customHeight="1" x14ac:dyDescent="0.2">
      <c r="F1765" s="45" t="s">
        <v>4326</v>
      </c>
      <c r="T1765" s="41"/>
      <c r="U1765" s="29" t="str">
        <f>IF($C1765&lt;&gt;"",COUNTIF($C$2:C1765,C1765),"")</f>
        <v/>
      </c>
      <c r="V1765" s="29" t="str">
        <f t="shared" si="78"/>
        <v/>
      </c>
      <c r="W1765" s="29" t="str">
        <f>IF(U1765=1,COUNTIF($U$2:U1765,1),"")</f>
        <v/>
      </c>
      <c r="X1765" s="29" t="str">
        <f t="shared" si="79"/>
        <v/>
      </c>
      <c r="Y1765" s="29" t="str">
        <f>IF(AND(LEFT($B1765,7)="SBA 26/",$D1765&lt;&gt;"",$F1765&lt;&gt;""),COUNTIFS($D$2:$D1765,$D1765,$B$2:$B1765,"SBA 26/*",$F$2:$F1765,"&lt;&gt;"),"")</f>
        <v/>
      </c>
      <c r="Z1765" s="29" t="str">
        <f>IF(Y1765=1,COUNTIF($Y$2:Y1765,1),"")</f>
        <v/>
      </c>
      <c r="AA1765" s="29" t="str">
        <f>IF(AND(LEFT($B1765,7)="SBA 26/",$C1765&lt;&gt;"",$F1765&lt;&gt;""),COUNTIFS($C$2:$C1765,$C1765,$B$2:$B1765,"SBA 26/*",$F$2:$F1765,"&lt;&gt;"),"")</f>
        <v/>
      </c>
      <c r="AB1765" s="29" t="str">
        <f>IF(AA1765=1,COUNTIF($AA$2:AA1765,1),"")</f>
        <v/>
      </c>
    </row>
    <row r="1766" spans="6:28" ht="47.25" customHeight="1" x14ac:dyDescent="0.2">
      <c r="F1766" s="45" t="s">
        <v>4327</v>
      </c>
      <c r="T1766" s="41"/>
      <c r="U1766" s="29" t="str">
        <f>IF($C1766&lt;&gt;"",COUNTIF($C$2:C1766,C1766),"")</f>
        <v/>
      </c>
      <c r="V1766" s="29" t="str">
        <f t="shared" si="78"/>
        <v/>
      </c>
      <c r="W1766" s="29" t="str">
        <f>IF(U1766=1,COUNTIF($U$2:U1766,1),"")</f>
        <v/>
      </c>
      <c r="X1766" s="29" t="str">
        <f t="shared" si="79"/>
        <v/>
      </c>
      <c r="Y1766" s="29" t="str">
        <f>IF(AND(LEFT($B1766,7)="SBA 26/",$D1766&lt;&gt;"",$F1766&lt;&gt;""),COUNTIFS($D$2:$D1766,$D1766,$B$2:$B1766,"SBA 26/*",$F$2:$F1766,"&lt;&gt;"),"")</f>
        <v/>
      </c>
      <c r="Z1766" s="29" t="str">
        <f>IF(Y1766=1,COUNTIF($Y$2:Y1766,1),"")</f>
        <v/>
      </c>
      <c r="AA1766" s="29" t="str">
        <f>IF(AND(LEFT($B1766,7)="SBA 26/",$C1766&lt;&gt;"",$F1766&lt;&gt;""),COUNTIFS($C$2:$C1766,$C1766,$B$2:$B1766,"SBA 26/*",$F$2:$F1766,"&lt;&gt;"),"")</f>
        <v/>
      </c>
      <c r="AB1766" s="29" t="str">
        <f>IF(AA1766=1,COUNTIF($AA$2:AA1766,1),"")</f>
        <v/>
      </c>
    </row>
    <row r="1767" spans="6:28" ht="31.5" customHeight="1" x14ac:dyDescent="0.2">
      <c r="F1767" s="45" t="s">
        <v>4328</v>
      </c>
      <c r="T1767" s="41"/>
      <c r="U1767" s="29" t="str">
        <f>IF($C1767&lt;&gt;"",COUNTIF($C$2:C1767,C1767),"")</f>
        <v/>
      </c>
      <c r="V1767" s="29" t="str">
        <f t="shared" si="78"/>
        <v/>
      </c>
      <c r="W1767" s="29" t="str">
        <f>IF(U1767=1,COUNTIF($U$2:U1767,1),"")</f>
        <v/>
      </c>
      <c r="X1767" s="29" t="str">
        <f t="shared" si="79"/>
        <v/>
      </c>
      <c r="Y1767" s="29" t="str">
        <f>IF(AND(LEFT($B1767,7)="SBA 26/",$D1767&lt;&gt;"",$F1767&lt;&gt;""),COUNTIFS($D$2:$D1767,$D1767,$B$2:$B1767,"SBA 26/*",$F$2:$F1767,"&lt;&gt;"),"")</f>
        <v/>
      </c>
      <c r="Z1767" s="29" t="str">
        <f>IF(Y1767=1,COUNTIF($Y$2:Y1767,1),"")</f>
        <v/>
      </c>
      <c r="AA1767" s="29" t="str">
        <f>IF(AND(LEFT($B1767,7)="SBA 26/",$C1767&lt;&gt;"",$F1767&lt;&gt;""),COUNTIFS($C$2:$C1767,$C1767,$B$2:$B1767,"SBA 26/*",$F$2:$F1767,"&lt;&gt;"),"")</f>
        <v/>
      </c>
      <c r="AB1767" s="29" t="str">
        <f>IF(AA1767=1,COUNTIF($AA$2:AA1767,1),"")</f>
        <v/>
      </c>
    </row>
    <row r="1768" spans="6:28" ht="47.25" customHeight="1" x14ac:dyDescent="0.2">
      <c r="F1768" s="45" t="s">
        <v>4329</v>
      </c>
      <c r="T1768" s="41"/>
      <c r="U1768" s="29" t="str">
        <f>IF($C1768&lt;&gt;"",COUNTIF($C$2:C1768,C1768),"")</f>
        <v/>
      </c>
      <c r="V1768" s="29" t="str">
        <f t="shared" si="78"/>
        <v/>
      </c>
      <c r="W1768" s="29" t="str">
        <f>IF(U1768=1,COUNTIF($U$2:U1768,1),"")</f>
        <v/>
      </c>
      <c r="X1768" s="29" t="str">
        <f t="shared" si="79"/>
        <v/>
      </c>
      <c r="Y1768" s="29" t="str">
        <f>IF(AND(LEFT($B1768,7)="SBA 26/",$D1768&lt;&gt;"",$F1768&lt;&gt;""),COUNTIFS($D$2:$D1768,$D1768,$B$2:$B1768,"SBA 26/*",$F$2:$F1768,"&lt;&gt;"),"")</f>
        <v/>
      </c>
      <c r="Z1768" s="29" t="str">
        <f>IF(Y1768=1,COUNTIF($Y$2:Y1768,1),"")</f>
        <v/>
      </c>
      <c r="AA1768" s="29" t="str">
        <f>IF(AND(LEFT($B1768,7)="SBA 26/",$C1768&lt;&gt;"",$F1768&lt;&gt;""),COUNTIFS($C$2:$C1768,$C1768,$B$2:$B1768,"SBA 26/*",$F$2:$F1768,"&lt;&gt;"),"")</f>
        <v/>
      </c>
      <c r="AB1768" s="29" t="str">
        <f>IF(AA1768=1,COUNTIF($AA$2:AA1768,1),"")</f>
        <v/>
      </c>
    </row>
    <row r="1769" spans="6:28" ht="31.5" customHeight="1" x14ac:dyDescent="0.2">
      <c r="F1769" s="45" t="s">
        <v>4330</v>
      </c>
      <c r="T1769" s="41"/>
      <c r="U1769" s="29" t="str">
        <f>IF($C1769&lt;&gt;"",COUNTIF($C$2:C1769,C1769),"")</f>
        <v/>
      </c>
      <c r="V1769" s="29" t="str">
        <f t="shared" si="78"/>
        <v/>
      </c>
      <c r="W1769" s="29" t="str">
        <f>IF(U1769=1,COUNTIF($U$2:U1769,1),"")</f>
        <v/>
      </c>
      <c r="X1769" s="29" t="str">
        <f t="shared" si="79"/>
        <v/>
      </c>
      <c r="Y1769" s="29" t="str">
        <f>IF(AND(LEFT($B1769,7)="SBA 26/",$D1769&lt;&gt;"",$F1769&lt;&gt;""),COUNTIFS($D$2:$D1769,$D1769,$B$2:$B1769,"SBA 26/*",$F$2:$F1769,"&lt;&gt;"),"")</f>
        <v/>
      </c>
      <c r="Z1769" s="29" t="str">
        <f>IF(Y1769=1,COUNTIF($Y$2:Y1769,1),"")</f>
        <v/>
      </c>
      <c r="AA1769" s="29" t="str">
        <f>IF(AND(LEFT($B1769,7)="SBA 26/",$C1769&lt;&gt;"",$F1769&lt;&gt;""),COUNTIFS($C$2:$C1769,$C1769,$B$2:$B1769,"SBA 26/*",$F$2:$F1769,"&lt;&gt;"),"")</f>
        <v/>
      </c>
      <c r="AB1769" s="29" t="str">
        <f>IF(AA1769=1,COUNTIF($AA$2:AA1769,1),"")</f>
        <v/>
      </c>
    </row>
    <row r="1770" spans="6:28" ht="47.25" customHeight="1" x14ac:dyDescent="0.2">
      <c r="F1770" s="45" t="s">
        <v>4331</v>
      </c>
      <c r="T1770" s="41"/>
      <c r="U1770" s="29" t="str">
        <f>IF($C1770&lt;&gt;"",COUNTIF($C$2:C1770,C1770),"")</f>
        <v/>
      </c>
      <c r="V1770" s="29" t="str">
        <f t="shared" si="78"/>
        <v/>
      </c>
      <c r="W1770" s="29" t="str">
        <f>IF(U1770=1,COUNTIF($U$2:U1770,1),"")</f>
        <v/>
      </c>
      <c r="X1770" s="29" t="str">
        <f t="shared" si="79"/>
        <v/>
      </c>
      <c r="Y1770" s="29" t="str">
        <f>IF(AND(LEFT($B1770,7)="SBA 26/",$D1770&lt;&gt;"",$F1770&lt;&gt;""),COUNTIFS($D$2:$D1770,$D1770,$B$2:$B1770,"SBA 26/*",$F$2:$F1770,"&lt;&gt;"),"")</f>
        <v/>
      </c>
      <c r="Z1770" s="29" t="str">
        <f>IF(Y1770=1,COUNTIF($Y$2:Y1770,1),"")</f>
        <v/>
      </c>
      <c r="AA1770" s="29" t="str">
        <f>IF(AND(LEFT($B1770,7)="SBA 26/",$C1770&lt;&gt;"",$F1770&lt;&gt;""),COUNTIFS($C$2:$C1770,$C1770,$B$2:$B1770,"SBA 26/*",$F$2:$F1770,"&lt;&gt;"),"")</f>
        <v/>
      </c>
      <c r="AB1770" s="29" t="str">
        <f>IF(AA1770=1,COUNTIF($AA$2:AA1770,1),"")</f>
        <v/>
      </c>
    </row>
    <row r="1771" spans="6:28" ht="47.25" customHeight="1" x14ac:dyDescent="0.2">
      <c r="F1771" s="45" t="s">
        <v>4332</v>
      </c>
      <c r="T1771" s="41"/>
      <c r="U1771" s="29" t="str">
        <f>IF($C1771&lt;&gt;"",COUNTIF($C$2:C1771,C1771),"")</f>
        <v/>
      </c>
      <c r="V1771" s="29" t="str">
        <f t="shared" si="78"/>
        <v/>
      </c>
      <c r="W1771" s="29" t="str">
        <f>IF(U1771=1,COUNTIF($U$2:U1771,1),"")</f>
        <v/>
      </c>
      <c r="X1771" s="29" t="str">
        <f t="shared" si="79"/>
        <v/>
      </c>
      <c r="Y1771" s="29" t="str">
        <f>IF(AND(LEFT($B1771,7)="SBA 26/",$D1771&lt;&gt;"",$F1771&lt;&gt;""),COUNTIFS($D$2:$D1771,$D1771,$B$2:$B1771,"SBA 26/*",$F$2:$F1771,"&lt;&gt;"),"")</f>
        <v/>
      </c>
      <c r="Z1771" s="29" t="str">
        <f>IF(Y1771=1,COUNTIF($Y$2:Y1771,1),"")</f>
        <v/>
      </c>
      <c r="AA1771" s="29" t="str">
        <f>IF(AND(LEFT($B1771,7)="SBA 26/",$C1771&lt;&gt;"",$F1771&lt;&gt;""),COUNTIFS($C$2:$C1771,$C1771,$B$2:$B1771,"SBA 26/*",$F$2:$F1771,"&lt;&gt;"),"")</f>
        <v/>
      </c>
      <c r="AB1771" s="29" t="str">
        <f>IF(AA1771=1,COUNTIF($AA$2:AA1771,1),"")</f>
        <v/>
      </c>
    </row>
    <row r="1772" spans="6:28" ht="31.5" customHeight="1" x14ac:dyDescent="0.2">
      <c r="F1772" s="45" t="s">
        <v>4333</v>
      </c>
      <c r="T1772" s="41"/>
      <c r="U1772" s="29" t="str">
        <f>IF($C1772&lt;&gt;"",COUNTIF($C$2:C1772,C1772),"")</f>
        <v/>
      </c>
      <c r="V1772" s="29" t="str">
        <f t="shared" si="78"/>
        <v/>
      </c>
      <c r="W1772" s="29" t="str">
        <f>IF(U1772=1,COUNTIF($U$2:U1772,1),"")</f>
        <v/>
      </c>
      <c r="X1772" s="29" t="str">
        <f t="shared" si="79"/>
        <v/>
      </c>
      <c r="Y1772" s="29" t="str">
        <f>IF(AND(LEFT($B1772,7)="SBA 26/",$D1772&lt;&gt;"",$F1772&lt;&gt;""),COUNTIFS($D$2:$D1772,$D1772,$B$2:$B1772,"SBA 26/*",$F$2:$F1772,"&lt;&gt;"),"")</f>
        <v/>
      </c>
      <c r="Z1772" s="29" t="str">
        <f>IF(Y1772=1,COUNTIF($Y$2:Y1772,1),"")</f>
        <v/>
      </c>
      <c r="AA1772" s="29" t="str">
        <f>IF(AND(LEFT($B1772,7)="SBA 26/",$C1772&lt;&gt;"",$F1772&lt;&gt;""),COUNTIFS($C$2:$C1772,$C1772,$B$2:$B1772,"SBA 26/*",$F$2:$F1772,"&lt;&gt;"),"")</f>
        <v/>
      </c>
      <c r="AB1772" s="29" t="str">
        <f>IF(AA1772=1,COUNTIF($AA$2:AA1772,1),"")</f>
        <v/>
      </c>
    </row>
    <row r="1773" spans="6:28" ht="47.25" customHeight="1" x14ac:dyDescent="0.2">
      <c r="F1773" s="45" t="s">
        <v>4334</v>
      </c>
      <c r="T1773" s="41"/>
      <c r="U1773" s="29" t="str">
        <f>IF($C1773&lt;&gt;"",COUNTIF($C$2:C1773,C1773),"")</f>
        <v/>
      </c>
      <c r="V1773" s="29" t="str">
        <f t="shared" si="78"/>
        <v/>
      </c>
      <c r="W1773" s="29" t="str">
        <f>IF(U1773=1,COUNTIF($U$2:U1773,1),"")</f>
        <v/>
      </c>
      <c r="X1773" s="29" t="str">
        <f t="shared" si="79"/>
        <v/>
      </c>
      <c r="Y1773" s="29" t="str">
        <f>IF(AND(LEFT($B1773,7)="SBA 26/",$D1773&lt;&gt;"",$F1773&lt;&gt;""),COUNTIFS($D$2:$D1773,$D1773,$B$2:$B1773,"SBA 26/*",$F$2:$F1773,"&lt;&gt;"),"")</f>
        <v/>
      </c>
      <c r="Z1773" s="29" t="str">
        <f>IF(Y1773=1,COUNTIF($Y$2:Y1773,1),"")</f>
        <v/>
      </c>
      <c r="AA1773" s="29" t="str">
        <f>IF(AND(LEFT($B1773,7)="SBA 26/",$C1773&lt;&gt;"",$F1773&lt;&gt;""),COUNTIFS($C$2:$C1773,$C1773,$B$2:$B1773,"SBA 26/*",$F$2:$F1773,"&lt;&gt;"),"")</f>
        <v/>
      </c>
      <c r="AB1773" s="29" t="str">
        <f>IF(AA1773=1,COUNTIF($AA$2:AA1773,1),"")</f>
        <v/>
      </c>
    </row>
    <row r="1774" spans="6:28" ht="47.25" customHeight="1" x14ac:dyDescent="0.2">
      <c r="F1774" s="45" t="s">
        <v>4335</v>
      </c>
      <c r="T1774" s="41"/>
      <c r="U1774" s="29" t="str">
        <f>IF($C1774&lt;&gt;"",COUNTIF($C$2:C1774,C1774),"")</f>
        <v/>
      </c>
      <c r="V1774" s="29" t="str">
        <f t="shared" si="78"/>
        <v/>
      </c>
      <c r="W1774" s="29" t="str">
        <f>IF(U1774=1,COUNTIF($U$2:U1774,1),"")</f>
        <v/>
      </c>
      <c r="X1774" s="29" t="str">
        <f t="shared" si="79"/>
        <v/>
      </c>
      <c r="Y1774" s="29" t="str">
        <f>IF(AND(LEFT($B1774,7)="SBA 26/",$D1774&lt;&gt;"",$F1774&lt;&gt;""),COUNTIFS($D$2:$D1774,$D1774,$B$2:$B1774,"SBA 26/*",$F$2:$F1774,"&lt;&gt;"),"")</f>
        <v/>
      </c>
      <c r="Z1774" s="29" t="str">
        <f>IF(Y1774=1,COUNTIF($Y$2:Y1774,1),"")</f>
        <v/>
      </c>
      <c r="AA1774" s="29" t="str">
        <f>IF(AND(LEFT($B1774,7)="SBA 26/",$C1774&lt;&gt;"",$F1774&lt;&gt;""),COUNTIFS($C$2:$C1774,$C1774,$B$2:$B1774,"SBA 26/*",$F$2:$F1774,"&lt;&gt;"),"")</f>
        <v/>
      </c>
      <c r="AB1774" s="29" t="str">
        <f>IF(AA1774=1,COUNTIF($AA$2:AA1774,1),"")</f>
        <v/>
      </c>
    </row>
    <row r="1775" spans="6:28" ht="47.25" customHeight="1" x14ac:dyDescent="0.2">
      <c r="F1775" s="45" t="s">
        <v>4336</v>
      </c>
      <c r="T1775" s="41"/>
      <c r="U1775" s="29" t="str">
        <f>IF($C1775&lt;&gt;"",COUNTIF($C$2:C1775,C1775),"")</f>
        <v/>
      </c>
      <c r="V1775" s="29" t="str">
        <f t="shared" si="78"/>
        <v/>
      </c>
      <c r="W1775" s="29" t="str">
        <f>IF(U1775=1,COUNTIF($U$2:U1775,1),"")</f>
        <v/>
      </c>
      <c r="X1775" s="29" t="str">
        <f t="shared" si="79"/>
        <v/>
      </c>
      <c r="Y1775" s="29" t="str">
        <f>IF(AND(LEFT($B1775,7)="SBA 26/",$D1775&lt;&gt;"",$F1775&lt;&gt;""),COUNTIFS($D$2:$D1775,$D1775,$B$2:$B1775,"SBA 26/*",$F$2:$F1775,"&lt;&gt;"),"")</f>
        <v/>
      </c>
      <c r="Z1775" s="29" t="str">
        <f>IF(Y1775=1,COUNTIF($Y$2:Y1775,1),"")</f>
        <v/>
      </c>
      <c r="AA1775" s="29" t="str">
        <f>IF(AND(LEFT($B1775,7)="SBA 26/",$C1775&lt;&gt;"",$F1775&lt;&gt;""),COUNTIFS($C$2:$C1775,$C1775,$B$2:$B1775,"SBA 26/*",$F$2:$F1775,"&lt;&gt;"),"")</f>
        <v/>
      </c>
      <c r="AB1775" s="29" t="str">
        <f>IF(AA1775=1,COUNTIF($AA$2:AA1775,1),"")</f>
        <v/>
      </c>
    </row>
    <row r="1776" spans="6:28" ht="47.25" customHeight="1" x14ac:dyDescent="0.2">
      <c r="F1776" s="45" t="s">
        <v>4337</v>
      </c>
      <c r="T1776" s="41"/>
      <c r="U1776" s="29" t="str">
        <f>IF($C1776&lt;&gt;"",COUNTIF($C$2:C1776,C1776),"")</f>
        <v/>
      </c>
      <c r="V1776" s="29" t="str">
        <f t="shared" si="78"/>
        <v/>
      </c>
      <c r="W1776" s="29" t="str">
        <f>IF(U1776=1,COUNTIF($U$2:U1776,1),"")</f>
        <v/>
      </c>
      <c r="X1776" s="29" t="str">
        <f t="shared" si="79"/>
        <v/>
      </c>
      <c r="Y1776" s="29" t="str">
        <f>IF(AND(LEFT($B1776,7)="SBA 26/",$D1776&lt;&gt;"",$F1776&lt;&gt;""),COUNTIFS($D$2:$D1776,$D1776,$B$2:$B1776,"SBA 26/*",$F$2:$F1776,"&lt;&gt;"),"")</f>
        <v/>
      </c>
      <c r="Z1776" s="29" t="str">
        <f>IF(Y1776=1,COUNTIF($Y$2:Y1776,1),"")</f>
        <v/>
      </c>
      <c r="AA1776" s="29" t="str">
        <f>IF(AND(LEFT($B1776,7)="SBA 26/",$C1776&lt;&gt;"",$F1776&lt;&gt;""),COUNTIFS($C$2:$C1776,$C1776,$B$2:$B1776,"SBA 26/*",$F$2:$F1776,"&lt;&gt;"),"")</f>
        <v/>
      </c>
      <c r="AB1776" s="29" t="str">
        <f>IF(AA1776=1,COUNTIF($AA$2:AA1776,1),"")</f>
        <v/>
      </c>
    </row>
    <row r="1777" spans="6:28" ht="47.25" customHeight="1" x14ac:dyDescent="0.2">
      <c r="F1777" s="45" t="s">
        <v>4338</v>
      </c>
      <c r="T1777" s="41"/>
      <c r="U1777" s="29" t="str">
        <f>IF($C1777&lt;&gt;"",COUNTIF($C$2:C1777,C1777),"")</f>
        <v/>
      </c>
      <c r="V1777" s="29" t="str">
        <f t="shared" si="78"/>
        <v/>
      </c>
      <c r="W1777" s="29" t="str">
        <f>IF(U1777=1,COUNTIF($U$2:U1777,1),"")</f>
        <v/>
      </c>
      <c r="X1777" s="29" t="str">
        <f t="shared" si="79"/>
        <v/>
      </c>
      <c r="Y1777" s="29" t="str">
        <f>IF(AND(LEFT($B1777,7)="SBA 26/",$D1777&lt;&gt;"",$F1777&lt;&gt;""),COUNTIFS($D$2:$D1777,$D1777,$B$2:$B1777,"SBA 26/*",$F$2:$F1777,"&lt;&gt;"),"")</f>
        <v/>
      </c>
      <c r="Z1777" s="29" t="str">
        <f>IF(Y1777=1,COUNTIF($Y$2:Y1777,1),"")</f>
        <v/>
      </c>
      <c r="AA1777" s="29" t="str">
        <f>IF(AND(LEFT($B1777,7)="SBA 26/",$C1777&lt;&gt;"",$F1777&lt;&gt;""),COUNTIFS($C$2:$C1777,$C1777,$B$2:$B1777,"SBA 26/*",$F$2:$F1777,"&lt;&gt;"),"")</f>
        <v/>
      </c>
      <c r="AB1777" s="29" t="str">
        <f>IF(AA1777=1,COUNTIF($AA$2:AA1777,1),"")</f>
        <v/>
      </c>
    </row>
    <row r="1778" spans="6:28" ht="31.5" customHeight="1" x14ac:dyDescent="0.2">
      <c r="F1778" s="45" t="s">
        <v>4339</v>
      </c>
      <c r="T1778" s="41"/>
      <c r="U1778" s="29" t="str">
        <f>IF($C1778&lt;&gt;"",COUNTIF($C$2:C1778,C1778),"")</f>
        <v/>
      </c>
      <c r="V1778" s="29" t="str">
        <f t="shared" si="78"/>
        <v/>
      </c>
      <c r="W1778" s="29" t="str">
        <f>IF(U1778=1,COUNTIF($U$2:U1778,1),"")</f>
        <v/>
      </c>
      <c r="X1778" s="29" t="str">
        <f t="shared" si="79"/>
        <v/>
      </c>
      <c r="Y1778" s="29" t="str">
        <f>IF(AND(LEFT($B1778,7)="SBA 26/",$D1778&lt;&gt;"",$F1778&lt;&gt;""),COUNTIFS($D$2:$D1778,$D1778,$B$2:$B1778,"SBA 26/*",$F$2:$F1778,"&lt;&gt;"),"")</f>
        <v/>
      </c>
      <c r="Z1778" s="29" t="str">
        <f>IF(Y1778=1,COUNTIF($Y$2:Y1778,1),"")</f>
        <v/>
      </c>
      <c r="AA1778" s="29" t="str">
        <f>IF(AND(LEFT($B1778,7)="SBA 26/",$C1778&lt;&gt;"",$F1778&lt;&gt;""),COUNTIFS($C$2:$C1778,$C1778,$B$2:$B1778,"SBA 26/*",$F$2:$F1778,"&lt;&gt;"),"")</f>
        <v/>
      </c>
      <c r="AB1778" s="29" t="str">
        <f>IF(AA1778=1,COUNTIF($AA$2:AA1778,1),"")</f>
        <v/>
      </c>
    </row>
    <row r="1779" spans="6:28" ht="47.25" customHeight="1" x14ac:dyDescent="0.2">
      <c r="F1779" s="45" t="s">
        <v>4340</v>
      </c>
      <c r="T1779" s="41"/>
      <c r="U1779" s="29" t="str">
        <f>IF($C1779&lt;&gt;"",COUNTIF($C$2:C1779,C1779),"")</f>
        <v/>
      </c>
      <c r="V1779" s="29" t="str">
        <f t="shared" si="78"/>
        <v/>
      </c>
      <c r="W1779" s="29" t="str">
        <f>IF(U1779=1,COUNTIF($U$2:U1779,1),"")</f>
        <v/>
      </c>
      <c r="X1779" s="29" t="str">
        <f t="shared" si="79"/>
        <v/>
      </c>
      <c r="Y1779" s="29" t="str">
        <f>IF(AND(LEFT($B1779,7)="SBA 26/",$D1779&lt;&gt;"",$F1779&lt;&gt;""),COUNTIFS($D$2:$D1779,$D1779,$B$2:$B1779,"SBA 26/*",$F$2:$F1779,"&lt;&gt;"),"")</f>
        <v/>
      </c>
      <c r="Z1779" s="29" t="str">
        <f>IF(Y1779=1,COUNTIF($Y$2:Y1779,1),"")</f>
        <v/>
      </c>
      <c r="AA1779" s="29" t="str">
        <f>IF(AND(LEFT($B1779,7)="SBA 26/",$C1779&lt;&gt;"",$F1779&lt;&gt;""),COUNTIFS($C$2:$C1779,$C1779,$B$2:$B1779,"SBA 26/*",$F$2:$F1779,"&lt;&gt;"),"")</f>
        <v/>
      </c>
      <c r="AB1779" s="29" t="str">
        <f>IF(AA1779=1,COUNTIF($AA$2:AA1779,1),"")</f>
        <v/>
      </c>
    </row>
    <row r="1780" spans="6:28" ht="47.25" customHeight="1" x14ac:dyDescent="0.2">
      <c r="F1780" s="45" t="s">
        <v>4341</v>
      </c>
      <c r="T1780" s="41"/>
      <c r="U1780" s="29" t="str">
        <f>IF($C1780&lt;&gt;"",COUNTIF($C$2:C1780,C1780),"")</f>
        <v/>
      </c>
      <c r="V1780" s="29" t="str">
        <f t="shared" si="78"/>
        <v/>
      </c>
      <c r="W1780" s="29" t="str">
        <f>IF(U1780=1,COUNTIF($U$2:U1780,1),"")</f>
        <v/>
      </c>
      <c r="X1780" s="29" t="str">
        <f t="shared" si="79"/>
        <v/>
      </c>
      <c r="Y1780" s="29" t="str">
        <f>IF(AND(LEFT($B1780,7)="SBA 26/",$D1780&lt;&gt;"",$F1780&lt;&gt;""),COUNTIFS($D$2:$D1780,$D1780,$B$2:$B1780,"SBA 26/*",$F$2:$F1780,"&lt;&gt;"),"")</f>
        <v/>
      </c>
      <c r="Z1780" s="29" t="str">
        <f>IF(Y1780=1,COUNTIF($Y$2:Y1780,1),"")</f>
        <v/>
      </c>
      <c r="AA1780" s="29" t="str">
        <f>IF(AND(LEFT($B1780,7)="SBA 26/",$C1780&lt;&gt;"",$F1780&lt;&gt;""),COUNTIFS($C$2:$C1780,$C1780,$B$2:$B1780,"SBA 26/*",$F$2:$F1780,"&lt;&gt;"),"")</f>
        <v/>
      </c>
      <c r="AB1780" s="29" t="str">
        <f>IF(AA1780=1,COUNTIF($AA$2:AA1780,1),"")</f>
        <v/>
      </c>
    </row>
    <row r="1781" spans="6:28" ht="31.5" customHeight="1" x14ac:dyDescent="0.2">
      <c r="F1781" s="45" t="s">
        <v>4342</v>
      </c>
      <c r="T1781" s="41"/>
      <c r="U1781" s="29" t="str">
        <f>IF($C1781&lt;&gt;"",COUNTIF($C$2:C1781,C1781),"")</f>
        <v/>
      </c>
      <c r="V1781" s="29" t="str">
        <f t="shared" si="78"/>
        <v/>
      </c>
      <c r="W1781" s="29" t="str">
        <f>IF(U1781=1,COUNTIF($U$2:U1781,1),"")</f>
        <v/>
      </c>
      <c r="X1781" s="29" t="str">
        <f t="shared" si="79"/>
        <v/>
      </c>
      <c r="Y1781" s="29" t="str">
        <f>IF(AND(LEFT($B1781,7)="SBA 26/",$D1781&lt;&gt;"",$F1781&lt;&gt;""),COUNTIFS($D$2:$D1781,$D1781,$B$2:$B1781,"SBA 26/*",$F$2:$F1781,"&lt;&gt;"),"")</f>
        <v/>
      </c>
      <c r="Z1781" s="29" t="str">
        <f>IF(Y1781=1,COUNTIF($Y$2:Y1781,1),"")</f>
        <v/>
      </c>
      <c r="AA1781" s="29" t="str">
        <f>IF(AND(LEFT($B1781,7)="SBA 26/",$C1781&lt;&gt;"",$F1781&lt;&gt;""),COUNTIFS($C$2:$C1781,$C1781,$B$2:$B1781,"SBA 26/*",$F$2:$F1781,"&lt;&gt;"),"")</f>
        <v/>
      </c>
      <c r="AB1781" s="29" t="str">
        <f>IF(AA1781=1,COUNTIF($AA$2:AA1781,1),"")</f>
        <v/>
      </c>
    </row>
    <row r="1782" spans="6:28" ht="47.25" customHeight="1" x14ac:dyDescent="0.2">
      <c r="F1782" s="45" t="s">
        <v>4343</v>
      </c>
      <c r="T1782" s="41"/>
      <c r="U1782" s="29" t="str">
        <f>IF($C1782&lt;&gt;"",COUNTIF($C$2:C1782,C1782),"")</f>
        <v/>
      </c>
      <c r="V1782" s="29" t="str">
        <f t="shared" si="78"/>
        <v/>
      </c>
      <c r="W1782" s="29" t="str">
        <f>IF(U1782=1,COUNTIF($U$2:U1782,1),"")</f>
        <v/>
      </c>
      <c r="X1782" s="29" t="str">
        <f t="shared" si="79"/>
        <v/>
      </c>
      <c r="Y1782" s="29" t="str">
        <f>IF(AND(LEFT($B1782,7)="SBA 26/",$D1782&lt;&gt;"",$F1782&lt;&gt;""),COUNTIFS($D$2:$D1782,$D1782,$B$2:$B1782,"SBA 26/*",$F$2:$F1782,"&lt;&gt;"),"")</f>
        <v/>
      </c>
      <c r="Z1782" s="29" t="str">
        <f>IF(Y1782=1,COUNTIF($Y$2:Y1782,1),"")</f>
        <v/>
      </c>
      <c r="AA1782" s="29" t="str">
        <f>IF(AND(LEFT($B1782,7)="SBA 26/",$C1782&lt;&gt;"",$F1782&lt;&gt;""),COUNTIFS($C$2:$C1782,$C1782,$B$2:$B1782,"SBA 26/*",$F$2:$F1782,"&lt;&gt;"),"")</f>
        <v/>
      </c>
      <c r="AB1782" s="29" t="str">
        <f>IF(AA1782=1,COUNTIF($AA$2:AA1782,1),"")</f>
        <v/>
      </c>
    </row>
    <row r="1783" spans="6:28" ht="78.75" customHeight="1" x14ac:dyDescent="0.2">
      <c r="F1783" s="45" t="s">
        <v>4344</v>
      </c>
      <c r="T1783" s="41"/>
      <c r="U1783" s="29" t="str">
        <f>IF($C1783&lt;&gt;"",COUNTIF($C$2:C1783,C1783),"")</f>
        <v/>
      </c>
      <c r="V1783" s="29" t="str">
        <f t="shared" si="78"/>
        <v/>
      </c>
      <c r="W1783" s="29" t="str">
        <f>IF(U1783=1,COUNTIF($U$2:U1783,1),"")</f>
        <v/>
      </c>
      <c r="X1783" s="29" t="str">
        <f t="shared" si="79"/>
        <v/>
      </c>
      <c r="Y1783" s="29" t="str">
        <f>IF(AND(LEFT($B1783,7)="SBA 26/",$D1783&lt;&gt;"",$F1783&lt;&gt;""),COUNTIFS($D$2:$D1783,$D1783,$B$2:$B1783,"SBA 26/*",$F$2:$F1783,"&lt;&gt;"),"")</f>
        <v/>
      </c>
      <c r="Z1783" s="29" t="str">
        <f>IF(Y1783=1,COUNTIF($Y$2:Y1783,1),"")</f>
        <v/>
      </c>
      <c r="AA1783" s="29" t="str">
        <f>IF(AND(LEFT($B1783,7)="SBA 26/",$C1783&lt;&gt;"",$F1783&lt;&gt;""),COUNTIFS($C$2:$C1783,$C1783,$B$2:$B1783,"SBA 26/*",$F$2:$F1783,"&lt;&gt;"),"")</f>
        <v/>
      </c>
      <c r="AB1783" s="29" t="str">
        <f>IF(AA1783=1,COUNTIF($AA$2:AA1783,1),"")</f>
        <v/>
      </c>
    </row>
    <row r="1784" spans="6:28" ht="47.25" customHeight="1" x14ac:dyDescent="0.2">
      <c r="F1784" s="45" t="s">
        <v>4345</v>
      </c>
      <c r="T1784" s="41"/>
      <c r="U1784" s="29" t="str">
        <f>IF($C1784&lt;&gt;"",COUNTIF($C$2:C1784,C1784),"")</f>
        <v/>
      </c>
      <c r="V1784" s="29" t="str">
        <f t="shared" si="78"/>
        <v/>
      </c>
      <c r="W1784" s="29" t="str">
        <f>IF(U1784=1,COUNTIF($U$2:U1784,1),"")</f>
        <v/>
      </c>
      <c r="X1784" s="29" t="str">
        <f t="shared" si="79"/>
        <v/>
      </c>
      <c r="Y1784" s="29" t="str">
        <f>IF(AND(LEFT($B1784,7)="SBA 26/",$D1784&lt;&gt;"",$F1784&lt;&gt;""),COUNTIFS($D$2:$D1784,$D1784,$B$2:$B1784,"SBA 26/*",$F$2:$F1784,"&lt;&gt;"),"")</f>
        <v/>
      </c>
      <c r="Z1784" s="29" t="str">
        <f>IF(Y1784=1,COUNTIF($Y$2:Y1784,1),"")</f>
        <v/>
      </c>
      <c r="AA1784" s="29" t="str">
        <f>IF(AND(LEFT($B1784,7)="SBA 26/",$C1784&lt;&gt;"",$F1784&lt;&gt;""),COUNTIFS($C$2:$C1784,$C1784,$B$2:$B1784,"SBA 26/*",$F$2:$F1784,"&lt;&gt;"),"")</f>
        <v/>
      </c>
      <c r="AB1784" s="29" t="str">
        <f>IF(AA1784=1,COUNTIF($AA$2:AA1784,1),"")</f>
        <v/>
      </c>
    </row>
    <row r="1785" spans="6:28" ht="47.25" customHeight="1" x14ac:dyDescent="0.2">
      <c r="F1785" s="45" t="s">
        <v>4346</v>
      </c>
      <c r="T1785" s="41"/>
      <c r="U1785" s="29" t="str">
        <f>IF($C1785&lt;&gt;"",COUNTIF($C$2:C1785,C1785),"")</f>
        <v/>
      </c>
      <c r="V1785" s="29" t="str">
        <f t="shared" si="78"/>
        <v/>
      </c>
      <c r="W1785" s="29" t="str">
        <f>IF(U1785=1,COUNTIF($U$2:U1785,1),"")</f>
        <v/>
      </c>
      <c r="X1785" s="29" t="str">
        <f t="shared" si="79"/>
        <v/>
      </c>
      <c r="Y1785" s="29" t="str">
        <f>IF(AND(LEFT($B1785,7)="SBA 26/",$D1785&lt;&gt;"",$F1785&lt;&gt;""),COUNTIFS($D$2:$D1785,$D1785,$B$2:$B1785,"SBA 26/*",$F$2:$F1785,"&lt;&gt;"),"")</f>
        <v/>
      </c>
      <c r="Z1785" s="29" t="str">
        <f>IF(Y1785=1,COUNTIF($Y$2:Y1785,1),"")</f>
        <v/>
      </c>
      <c r="AA1785" s="29" t="str">
        <f>IF(AND(LEFT($B1785,7)="SBA 26/",$C1785&lt;&gt;"",$F1785&lt;&gt;""),COUNTIFS($C$2:$C1785,$C1785,$B$2:$B1785,"SBA 26/*",$F$2:$F1785,"&lt;&gt;"),"")</f>
        <v/>
      </c>
      <c r="AB1785" s="29" t="str">
        <f>IF(AA1785=1,COUNTIF($AA$2:AA1785,1),"")</f>
        <v/>
      </c>
    </row>
    <row r="1786" spans="6:28" ht="47.25" customHeight="1" x14ac:dyDescent="0.2">
      <c r="F1786" s="45" t="s">
        <v>4347</v>
      </c>
      <c r="T1786" s="41"/>
      <c r="U1786" s="29" t="str">
        <f>IF($C1786&lt;&gt;"",COUNTIF($C$2:C1786,C1786),"")</f>
        <v/>
      </c>
      <c r="V1786" s="29" t="str">
        <f t="shared" si="78"/>
        <v/>
      </c>
      <c r="W1786" s="29" t="str">
        <f>IF(U1786=1,COUNTIF($U$2:U1786,1),"")</f>
        <v/>
      </c>
      <c r="X1786" s="29" t="str">
        <f t="shared" si="79"/>
        <v/>
      </c>
      <c r="Y1786" s="29" t="str">
        <f>IF(AND(LEFT($B1786,7)="SBA 26/",$D1786&lt;&gt;"",$F1786&lt;&gt;""),COUNTIFS($D$2:$D1786,$D1786,$B$2:$B1786,"SBA 26/*",$F$2:$F1786,"&lt;&gt;"),"")</f>
        <v/>
      </c>
      <c r="Z1786" s="29" t="str">
        <f>IF(Y1786=1,COUNTIF($Y$2:Y1786,1),"")</f>
        <v/>
      </c>
      <c r="AA1786" s="29" t="str">
        <f>IF(AND(LEFT($B1786,7)="SBA 26/",$C1786&lt;&gt;"",$F1786&lt;&gt;""),COUNTIFS($C$2:$C1786,$C1786,$B$2:$B1786,"SBA 26/*",$F$2:$F1786,"&lt;&gt;"),"")</f>
        <v/>
      </c>
      <c r="AB1786" s="29" t="str">
        <f>IF(AA1786=1,COUNTIF($AA$2:AA1786,1),"")</f>
        <v/>
      </c>
    </row>
    <row r="1787" spans="6:28" ht="31.5" customHeight="1" x14ac:dyDescent="0.2">
      <c r="F1787" s="45" t="s">
        <v>4348</v>
      </c>
      <c r="T1787" s="41"/>
      <c r="U1787" s="29" t="str">
        <f>IF($C1787&lt;&gt;"",COUNTIF($C$2:C1787,C1787),"")</f>
        <v/>
      </c>
      <c r="V1787" s="29" t="str">
        <f t="shared" si="78"/>
        <v/>
      </c>
      <c r="W1787" s="29" t="str">
        <f>IF(U1787=1,COUNTIF($U$2:U1787,1),"")</f>
        <v/>
      </c>
      <c r="X1787" s="29" t="str">
        <f t="shared" si="79"/>
        <v/>
      </c>
      <c r="Y1787" s="29" t="str">
        <f>IF(AND(LEFT($B1787,7)="SBA 26/",$D1787&lt;&gt;"",$F1787&lt;&gt;""),COUNTIFS($D$2:$D1787,$D1787,$B$2:$B1787,"SBA 26/*",$F$2:$F1787,"&lt;&gt;"),"")</f>
        <v/>
      </c>
      <c r="Z1787" s="29" t="str">
        <f>IF(Y1787=1,COUNTIF($Y$2:Y1787,1),"")</f>
        <v/>
      </c>
      <c r="AA1787" s="29" t="str">
        <f>IF(AND(LEFT($B1787,7)="SBA 26/",$C1787&lt;&gt;"",$F1787&lt;&gt;""),COUNTIFS($C$2:$C1787,$C1787,$B$2:$B1787,"SBA 26/*",$F$2:$F1787,"&lt;&gt;"),"")</f>
        <v/>
      </c>
      <c r="AB1787" s="29" t="str">
        <f>IF(AA1787=1,COUNTIF($AA$2:AA1787,1),"")</f>
        <v/>
      </c>
    </row>
    <row r="1788" spans="6:28" ht="63" customHeight="1" x14ac:dyDescent="0.2">
      <c r="F1788" s="45" t="s">
        <v>4349</v>
      </c>
      <c r="T1788" s="41"/>
      <c r="U1788" s="29" t="str">
        <f>IF($C1788&lt;&gt;"",COUNTIF($C$2:C1788,C1788),"")</f>
        <v/>
      </c>
      <c r="V1788" s="29" t="str">
        <f t="shared" si="78"/>
        <v/>
      </c>
      <c r="W1788" s="29" t="str">
        <f>IF(U1788=1,COUNTIF($U$2:U1788,1),"")</f>
        <v/>
      </c>
      <c r="X1788" s="29" t="str">
        <f t="shared" si="79"/>
        <v/>
      </c>
      <c r="Y1788" s="29" t="str">
        <f>IF(AND(LEFT($B1788,7)="SBA 26/",$D1788&lt;&gt;"",$F1788&lt;&gt;""),COUNTIFS($D$2:$D1788,$D1788,$B$2:$B1788,"SBA 26/*",$F$2:$F1788,"&lt;&gt;"),"")</f>
        <v/>
      </c>
      <c r="Z1788" s="29" t="str">
        <f>IF(Y1788=1,COUNTIF($Y$2:Y1788,1),"")</f>
        <v/>
      </c>
      <c r="AA1788" s="29" t="str">
        <f>IF(AND(LEFT($B1788,7)="SBA 26/",$C1788&lt;&gt;"",$F1788&lt;&gt;""),COUNTIFS($C$2:$C1788,$C1788,$B$2:$B1788,"SBA 26/*",$F$2:$F1788,"&lt;&gt;"),"")</f>
        <v/>
      </c>
      <c r="AB1788" s="29" t="str">
        <f>IF(AA1788=1,COUNTIF($AA$2:AA1788,1),"")</f>
        <v/>
      </c>
    </row>
    <row r="1789" spans="6:28" ht="31.5" customHeight="1" x14ac:dyDescent="0.2">
      <c r="F1789" s="45" t="s">
        <v>4350</v>
      </c>
      <c r="T1789" s="41"/>
      <c r="U1789" s="29" t="str">
        <f>IF($C1789&lt;&gt;"",COUNTIF($C$2:C1789,C1789),"")</f>
        <v/>
      </c>
      <c r="V1789" s="29" t="str">
        <f t="shared" si="78"/>
        <v/>
      </c>
      <c r="W1789" s="29" t="str">
        <f>IF(U1789=1,COUNTIF($U$2:U1789,1),"")</f>
        <v/>
      </c>
      <c r="X1789" s="29" t="str">
        <f t="shared" si="79"/>
        <v/>
      </c>
      <c r="Y1789" s="29" t="str">
        <f>IF(AND(LEFT($B1789,7)="SBA 26/",$D1789&lt;&gt;"",$F1789&lt;&gt;""),COUNTIFS($D$2:$D1789,$D1789,$B$2:$B1789,"SBA 26/*",$F$2:$F1789,"&lt;&gt;"),"")</f>
        <v/>
      </c>
      <c r="Z1789" s="29" t="str">
        <f>IF(Y1789=1,COUNTIF($Y$2:Y1789,1),"")</f>
        <v/>
      </c>
      <c r="AA1789" s="29" t="str">
        <f>IF(AND(LEFT($B1789,7)="SBA 26/",$C1789&lt;&gt;"",$F1789&lt;&gt;""),COUNTIFS($C$2:$C1789,$C1789,$B$2:$B1789,"SBA 26/*",$F$2:$F1789,"&lt;&gt;"),"")</f>
        <v/>
      </c>
      <c r="AB1789" s="29" t="str">
        <f>IF(AA1789=1,COUNTIF($AA$2:AA1789,1),"")</f>
        <v/>
      </c>
    </row>
    <row r="1790" spans="6:28" ht="63" customHeight="1" x14ac:dyDescent="0.2">
      <c r="F1790" s="45" t="s">
        <v>4351</v>
      </c>
      <c r="T1790" s="41"/>
      <c r="U1790" s="29" t="str">
        <f>IF($C1790&lt;&gt;"",COUNTIF($C$2:C1790,C1790),"")</f>
        <v/>
      </c>
      <c r="V1790" s="29" t="str">
        <f t="shared" si="78"/>
        <v/>
      </c>
      <c r="W1790" s="29" t="str">
        <f>IF(U1790=1,COUNTIF($U$2:U1790,1),"")</f>
        <v/>
      </c>
      <c r="X1790" s="29" t="str">
        <f t="shared" si="79"/>
        <v/>
      </c>
      <c r="Y1790" s="29" t="str">
        <f>IF(AND(LEFT($B1790,7)="SBA 26/",$D1790&lt;&gt;"",$F1790&lt;&gt;""),COUNTIFS($D$2:$D1790,$D1790,$B$2:$B1790,"SBA 26/*",$F$2:$F1790,"&lt;&gt;"),"")</f>
        <v/>
      </c>
      <c r="Z1790" s="29" t="str">
        <f>IF(Y1790=1,COUNTIF($Y$2:Y1790,1),"")</f>
        <v/>
      </c>
      <c r="AA1790" s="29" t="str">
        <f>IF(AND(LEFT($B1790,7)="SBA 26/",$C1790&lt;&gt;"",$F1790&lt;&gt;""),COUNTIFS($C$2:$C1790,$C1790,$B$2:$B1790,"SBA 26/*",$F$2:$F1790,"&lt;&gt;"),"")</f>
        <v/>
      </c>
      <c r="AB1790" s="29" t="str">
        <f>IF(AA1790=1,COUNTIF($AA$2:AA1790,1),"")</f>
        <v/>
      </c>
    </row>
    <row r="1791" spans="6:28" ht="63" customHeight="1" x14ac:dyDescent="0.2">
      <c r="F1791" s="45" t="s">
        <v>4352</v>
      </c>
      <c r="T1791" s="41"/>
      <c r="U1791" s="29" t="str">
        <f>IF($C1791&lt;&gt;"",COUNTIF($C$2:C1791,C1791),"")</f>
        <v/>
      </c>
      <c r="V1791" s="29" t="str">
        <f t="shared" si="78"/>
        <v/>
      </c>
      <c r="W1791" s="29" t="str">
        <f>IF(U1791=1,COUNTIF($U$2:U1791,1),"")</f>
        <v/>
      </c>
      <c r="X1791" s="29" t="str">
        <f t="shared" si="79"/>
        <v/>
      </c>
      <c r="Y1791" s="29" t="str">
        <f>IF(AND(LEFT($B1791,7)="SBA 26/",$D1791&lt;&gt;"",$F1791&lt;&gt;""),COUNTIFS($D$2:$D1791,$D1791,$B$2:$B1791,"SBA 26/*",$F$2:$F1791,"&lt;&gt;"),"")</f>
        <v/>
      </c>
      <c r="Z1791" s="29" t="str">
        <f>IF(Y1791=1,COUNTIF($Y$2:Y1791,1),"")</f>
        <v/>
      </c>
      <c r="AA1791" s="29" t="str">
        <f>IF(AND(LEFT($B1791,7)="SBA 26/",$C1791&lt;&gt;"",$F1791&lt;&gt;""),COUNTIFS($C$2:$C1791,$C1791,$B$2:$B1791,"SBA 26/*",$F$2:$F1791,"&lt;&gt;"),"")</f>
        <v/>
      </c>
      <c r="AB1791" s="29" t="str">
        <f>IF(AA1791=1,COUNTIF($AA$2:AA1791,1),"")</f>
        <v/>
      </c>
    </row>
    <row r="1792" spans="6:28" ht="31.5" customHeight="1" x14ac:dyDescent="0.2">
      <c r="F1792" s="45" t="s">
        <v>4353</v>
      </c>
      <c r="T1792" s="41"/>
      <c r="U1792" s="29" t="str">
        <f>IF($C1792&lt;&gt;"",COUNTIF($C$2:C1792,C1792),"")</f>
        <v/>
      </c>
      <c r="V1792" s="29" t="str">
        <f t="shared" si="78"/>
        <v/>
      </c>
      <c r="W1792" s="29" t="str">
        <f>IF(U1792=1,COUNTIF($U$2:U1792,1),"")</f>
        <v/>
      </c>
      <c r="X1792" s="29" t="str">
        <f t="shared" si="79"/>
        <v/>
      </c>
      <c r="Y1792" s="29" t="str">
        <f>IF(AND(LEFT($B1792,7)="SBA 26/",$D1792&lt;&gt;"",$F1792&lt;&gt;""),COUNTIFS($D$2:$D1792,$D1792,$B$2:$B1792,"SBA 26/*",$F$2:$F1792,"&lt;&gt;"),"")</f>
        <v/>
      </c>
      <c r="Z1792" s="29" t="str">
        <f>IF(Y1792=1,COUNTIF($Y$2:Y1792,1),"")</f>
        <v/>
      </c>
      <c r="AA1792" s="29" t="str">
        <f>IF(AND(LEFT($B1792,7)="SBA 26/",$C1792&lt;&gt;"",$F1792&lt;&gt;""),COUNTIFS($C$2:$C1792,$C1792,$B$2:$B1792,"SBA 26/*",$F$2:$F1792,"&lt;&gt;"),"")</f>
        <v/>
      </c>
      <c r="AB1792" s="29" t="str">
        <f>IF(AA1792=1,COUNTIF($AA$2:AA1792,1),"")</f>
        <v/>
      </c>
    </row>
    <row r="1793" spans="6:28" ht="31.5" customHeight="1" x14ac:dyDescent="0.2">
      <c r="F1793" s="45" t="s">
        <v>4354</v>
      </c>
      <c r="T1793" s="41"/>
      <c r="U1793" s="29" t="str">
        <f>IF($C1793&lt;&gt;"",COUNTIF($C$2:C1793,C1793),"")</f>
        <v/>
      </c>
      <c r="V1793" s="29" t="str">
        <f t="shared" si="78"/>
        <v/>
      </c>
      <c r="W1793" s="29" t="str">
        <f>IF(U1793=1,COUNTIF($U$2:U1793,1),"")</f>
        <v/>
      </c>
      <c r="X1793" s="29" t="str">
        <f t="shared" si="79"/>
        <v/>
      </c>
      <c r="Y1793" s="29" t="str">
        <f>IF(AND(LEFT($B1793,7)="SBA 26/",$D1793&lt;&gt;"",$F1793&lt;&gt;""),COUNTIFS($D$2:$D1793,$D1793,$B$2:$B1793,"SBA 26/*",$F$2:$F1793,"&lt;&gt;"),"")</f>
        <v/>
      </c>
      <c r="Z1793" s="29" t="str">
        <f>IF(Y1793=1,COUNTIF($Y$2:Y1793,1),"")</f>
        <v/>
      </c>
      <c r="AA1793" s="29" t="str">
        <f>IF(AND(LEFT($B1793,7)="SBA 26/",$C1793&lt;&gt;"",$F1793&lt;&gt;""),COUNTIFS($C$2:$C1793,$C1793,$B$2:$B1793,"SBA 26/*",$F$2:$F1793,"&lt;&gt;"),"")</f>
        <v/>
      </c>
      <c r="AB1793" s="29" t="str">
        <f>IF(AA1793=1,COUNTIF($AA$2:AA1793,1),"")</f>
        <v/>
      </c>
    </row>
    <row r="1794" spans="6:28" ht="31.5" customHeight="1" x14ac:dyDescent="0.2">
      <c r="F1794" s="45" t="s">
        <v>4355</v>
      </c>
      <c r="T1794" s="41"/>
      <c r="U1794" s="29" t="str">
        <f>IF($C1794&lt;&gt;"",COUNTIF($C$2:C1794,C1794),"")</f>
        <v/>
      </c>
      <c r="V1794" s="29" t="str">
        <f t="shared" ref="V1794:V1799" si="80">IF($C1794&lt;&gt;"",C1794&amp;"§"&amp;U1794,"")</f>
        <v/>
      </c>
      <c r="W1794" s="29" t="str">
        <f>IF(U1794=1,COUNTIF($U$2:U1794,1),"")</f>
        <v/>
      </c>
      <c r="X1794" s="29" t="str">
        <f t="shared" ref="X1794:X1799" si="81">IF(U1794=1,SUMPRODUCT(($U$2:$U$1799=1)*($C$2:$C$1799&lt;C1794))+1,"")</f>
        <v/>
      </c>
      <c r="Y1794" s="29" t="str">
        <f>IF(AND(LEFT($B1794,7)="SBA 26/",$D1794&lt;&gt;"",$F1794&lt;&gt;""),COUNTIFS($D$2:$D1794,$D1794,$B$2:$B1794,"SBA 26/*",$F$2:$F1794,"&lt;&gt;"),"")</f>
        <v/>
      </c>
      <c r="Z1794" s="29" t="str">
        <f>IF(Y1794=1,COUNTIF($Y$2:Y1794,1),"")</f>
        <v/>
      </c>
      <c r="AA1794" s="29" t="str">
        <f>IF(AND(LEFT($B1794,7)="SBA 26/",$C1794&lt;&gt;"",$F1794&lt;&gt;""),COUNTIFS($C$2:$C1794,$C1794,$B$2:$B1794,"SBA 26/*",$F$2:$F1794,"&lt;&gt;"),"")</f>
        <v/>
      </c>
      <c r="AB1794" s="29" t="str">
        <f>IF(AA1794=1,COUNTIF($AA$2:AA1794,1),"")</f>
        <v/>
      </c>
    </row>
    <row r="1795" spans="6:28" ht="47.25" customHeight="1" x14ac:dyDescent="0.2">
      <c r="F1795" s="45" t="s">
        <v>4356</v>
      </c>
      <c r="T1795" s="41"/>
      <c r="U1795" s="29" t="str">
        <f>IF($C1795&lt;&gt;"",COUNTIF($C$2:C1795,C1795),"")</f>
        <v/>
      </c>
      <c r="V1795" s="29" t="str">
        <f t="shared" si="80"/>
        <v/>
      </c>
      <c r="W1795" s="29" t="str">
        <f>IF(U1795=1,COUNTIF($U$2:U1795,1),"")</f>
        <v/>
      </c>
      <c r="X1795" s="29" t="str">
        <f t="shared" si="81"/>
        <v/>
      </c>
      <c r="Y1795" s="29" t="str">
        <f>IF(AND(LEFT($B1795,7)="SBA 26/",$D1795&lt;&gt;"",$F1795&lt;&gt;""),COUNTIFS($D$2:$D1795,$D1795,$B$2:$B1795,"SBA 26/*",$F$2:$F1795,"&lt;&gt;"),"")</f>
        <v/>
      </c>
      <c r="Z1795" s="29" t="str">
        <f>IF(Y1795=1,COUNTIF($Y$2:Y1795,1),"")</f>
        <v/>
      </c>
      <c r="AA1795" s="29" t="str">
        <f>IF(AND(LEFT($B1795,7)="SBA 26/",$C1795&lt;&gt;"",$F1795&lt;&gt;""),COUNTIFS($C$2:$C1795,$C1795,$B$2:$B1795,"SBA 26/*",$F$2:$F1795,"&lt;&gt;"),"")</f>
        <v/>
      </c>
      <c r="AB1795" s="29" t="str">
        <f>IF(AA1795=1,COUNTIF($AA$2:AA1795,1),"")</f>
        <v/>
      </c>
    </row>
    <row r="1796" spans="6:28" ht="94.5" customHeight="1" x14ac:dyDescent="0.2">
      <c r="F1796" s="45" t="s">
        <v>4357</v>
      </c>
      <c r="T1796" s="41"/>
      <c r="U1796" s="29" t="str">
        <f>IF($C1796&lt;&gt;"",COUNTIF($C$2:C1796,C1796),"")</f>
        <v/>
      </c>
      <c r="V1796" s="29" t="str">
        <f t="shared" si="80"/>
        <v/>
      </c>
      <c r="W1796" s="29" t="str">
        <f>IF(U1796=1,COUNTIF($U$2:U1796,1),"")</f>
        <v/>
      </c>
      <c r="X1796" s="29" t="str">
        <f t="shared" si="81"/>
        <v/>
      </c>
      <c r="Y1796" s="29" t="str">
        <f>IF(AND(LEFT($B1796,7)="SBA 26/",$D1796&lt;&gt;"",$F1796&lt;&gt;""),COUNTIFS($D$2:$D1796,$D1796,$B$2:$B1796,"SBA 26/*",$F$2:$F1796,"&lt;&gt;"),"")</f>
        <v/>
      </c>
      <c r="Z1796" s="29" t="str">
        <f>IF(Y1796=1,COUNTIF($Y$2:Y1796,1),"")</f>
        <v/>
      </c>
      <c r="AA1796" s="29" t="str">
        <f>IF(AND(LEFT($B1796,7)="SBA 26/",$C1796&lt;&gt;"",$F1796&lt;&gt;""),COUNTIFS($C$2:$C1796,$C1796,$B$2:$B1796,"SBA 26/*",$F$2:$F1796,"&lt;&gt;"),"")</f>
        <v/>
      </c>
      <c r="AB1796" s="29" t="str">
        <f>IF(AA1796=1,COUNTIF($AA$2:AA1796,1),"")</f>
        <v/>
      </c>
    </row>
    <row r="1797" spans="6:28" ht="31.5" customHeight="1" x14ac:dyDescent="0.2">
      <c r="F1797" s="45" t="s">
        <v>4358</v>
      </c>
      <c r="T1797" s="41"/>
      <c r="U1797" s="29" t="str">
        <f>IF($C1797&lt;&gt;"",COUNTIF($C$2:C1797,C1797),"")</f>
        <v/>
      </c>
      <c r="V1797" s="29" t="str">
        <f t="shared" si="80"/>
        <v/>
      </c>
      <c r="W1797" s="29" t="str">
        <f>IF(U1797=1,COUNTIF($U$2:U1797,1),"")</f>
        <v/>
      </c>
      <c r="X1797" s="29" t="str">
        <f t="shared" si="81"/>
        <v/>
      </c>
      <c r="Y1797" s="29" t="str">
        <f>IF(AND(LEFT($B1797,7)="SBA 26/",$D1797&lt;&gt;"",$F1797&lt;&gt;""),COUNTIFS($D$2:$D1797,$D1797,$B$2:$B1797,"SBA 26/*",$F$2:$F1797,"&lt;&gt;"),"")</f>
        <v/>
      </c>
      <c r="Z1797" s="29" t="str">
        <f>IF(Y1797=1,COUNTIF($Y$2:Y1797,1),"")</f>
        <v/>
      </c>
      <c r="AA1797" s="29" t="str">
        <f>IF(AND(LEFT($B1797,7)="SBA 26/",$C1797&lt;&gt;"",$F1797&lt;&gt;""),COUNTIFS($C$2:$C1797,$C1797,$B$2:$B1797,"SBA 26/*",$F$2:$F1797,"&lt;&gt;"),"")</f>
        <v/>
      </c>
      <c r="AB1797" s="29" t="str">
        <f>IF(AA1797=1,COUNTIF($AA$2:AA1797,1),"")</f>
        <v/>
      </c>
    </row>
    <row r="1798" spans="6:28" ht="31.5" customHeight="1" x14ac:dyDescent="0.2">
      <c r="F1798" s="45" t="s">
        <v>4359</v>
      </c>
      <c r="T1798" s="41"/>
      <c r="U1798" s="29" t="str">
        <f>IF($C1798&lt;&gt;"",COUNTIF($C$2:C1798,C1798),"")</f>
        <v/>
      </c>
      <c r="V1798" s="29" t="str">
        <f t="shared" si="80"/>
        <v/>
      </c>
      <c r="W1798" s="29" t="str">
        <f>IF(U1798=1,COUNTIF($U$2:U1798,1),"")</f>
        <v/>
      </c>
      <c r="X1798" s="29" t="str">
        <f t="shared" si="81"/>
        <v/>
      </c>
      <c r="Y1798" s="29" t="str">
        <f>IF(AND(LEFT($B1798,7)="SBA 26/",$D1798&lt;&gt;"",$F1798&lt;&gt;""),COUNTIFS($D$2:$D1798,$D1798,$B$2:$B1798,"SBA 26/*",$F$2:$F1798,"&lt;&gt;"),"")</f>
        <v/>
      </c>
      <c r="Z1798" s="29" t="str">
        <f>IF(Y1798=1,COUNTIF($Y$2:Y1798,1),"")</f>
        <v/>
      </c>
      <c r="AA1798" s="29" t="str">
        <f>IF(AND(LEFT($B1798,7)="SBA 26/",$C1798&lt;&gt;"",$F1798&lt;&gt;""),COUNTIFS($C$2:$C1798,$C1798,$B$2:$B1798,"SBA 26/*",$F$2:$F1798,"&lt;&gt;"),"")</f>
        <v/>
      </c>
      <c r="AB1798" s="29" t="str">
        <f>IF(AA1798=1,COUNTIF($AA$2:AA1798,1),"")</f>
        <v/>
      </c>
    </row>
    <row r="1799" spans="6:28" ht="31.5" customHeight="1" x14ac:dyDescent="0.2">
      <c r="F1799" s="45" t="s">
        <v>4360</v>
      </c>
      <c r="T1799" s="41"/>
      <c r="U1799" s="29" t="str">
        <f>IF($C1799&lt;&gt;"",COUNTIF($C$2:C1799,C1799),"")</f>
        <v/>
      </c>
      <c r="V1799" s="29" t="str">
        <f t="shared" si="80"/>
        <v/>
      </c>
      <c r="W1799" s="29" t="str">
        <f>IF(U1799=1,COUNTIF($U$2:U1799,1),"")</f>
        <v/>
      </c>
      <c r="X1799" s="29" t="str">
        <f t="shared" si="81"/>
        <v/>
      </c>
      <c r="Y1799" s="29" t="str">
        <f>IF(AND(LEFT($B1799,7)="SBA 26/",$D1799&lt;&gt;"",$F1799&lt;&gt;""),COUNTIFS($D$2:$D1799,$D1799,$B$2:$B1799,"SBA 26/*",$F$2:$F1799,"&lt;&gt;"),"")</f>
        <v/>
      </c>
      <c r="Z1799" s="29" t="str">
        <f>IF(Y1799=1,COUNTIF($Y$2:Y1799,1),"")</f>
        <v/>
      </c>
      <c r="AA1799" s="29" t="str">
        <f>IF(AND(LEFT($B1799,7)="SBA 26/",$C1799&lt;&gt;"",$F1799&lt;&gt;""),COUNTIFS($C$2:$C1799,$C1799,$B$2:$B1799,"SBA 26/*",$F$2:$F1799,"&lt;&gt;"),"")</f>
        <v/>
      </c>
      <c r="AB1799" s="29" t="str">
        <f>IF(AA1799=1,COUNTIF($AA$2:AA1799,1),"")</f>
        <v/>
      </c>
    </row>
  </sheetData>
  <conditionalFormatting sqref="A539:G539">
    <cfRule type="expression" dxfId="29" priority="6">
      <formula>ISEVEN(ROW())</formula>
    </cfRule>
  </conditionalFormatting>
  <conditionalFormatting sqref="A652:G653 G654:G656">
    <cfRule type="expression" dxfId="28" priority="4">
      <formula>ISEVEN(ROW())</formula>
    </cfRule>
  </conditionalFormatting>
  <conditionalFormatting sqref="A2:K312 A314:K537 A541:G578 A580:F580 A581:G651 A654:F656 A657:G714 A313:E313 G313:K313">
    <cfRule type="expression" dxfId="27" priority="20">
      <formula>ISEVEN(ROW())</formula>
    </cfRule>
  </conditionalFormatting>
  <conditionalFormatting sqref="A538:K538 A540:G540 A579:K579 H539:K578 G580">
    <cfRule type="expression" dxfId="26" priority="9">
      <formula>ISEVEN(ROW())</formula>
    </cfRule>
  </conditionalFormatting>
  <conditionalFormatting sqref="C2:C764">
    <cfRule type="expression" dxfId="25" priority="21">
      <formula>AND($I2&lt;&gt;"",$I2&gt;=DATE(2026,6,23),COUNTIFS($C:$C,$C2,$I:$I,$I2)&gt;2)</formula>
    </cfRule>
  </conditionalFormatting>
  <conditionalFormatting sqref="F1:F235 F237:F312 F314:F537 F541:F578 F580:F651 F654:F714 F719:F1048576">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3"/>
  </conditionalFormatting>
  <conditionalFormatting sqref="H580:K714">
    <cfRule type="expression" dxfId="19" priority="2">
      <formula>ISEVEN(ROW())</formula>
    </cfRule>
  </conditionalFormatting>
  <conditionalFormatting sqref="L2:P466 L467:O468 P467:P470 L469:M469 O469 L470:O470 L471: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468 L469:M470 O469:O714 N470 L471:N714 L715: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3"/>
  <sheetViews>
    <sheetView showZeros="0" zoomScaleNormal="100" workbookViewId="0">
      <pane ySplit="3" topLeftCell="A4" activePane="bottomLeft" state="frozen"/>
      <selection pane="bottomLeft" activeCell="K19" sqref="K19"/>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09" t="s">
        <v>4361</v>
      </c>
      <c r="B1" s="209"/>
      <c r="C1" s="209"/>
      <c r="D1" s="209"/>
      <c r="E1" s="209"/>
      <c r="F1" s="209"/>
      <c r="G1" s="209"/>
      <c r="H1" s="209"/>
      <c r="I1" s="209"/>
      <c r="J1" s="209"/>
      <c r="K1" s="209"/>
      <c r="L1" s="209"/>
      <c r="M1" s="209"/>
      <c r="N1" s="209"/>
    </row>
    <row r="2" spans="1:14" ht="19.5" customHeight="1" x14ac:dyDescent="0.25">
      <c r="A2" s="210" t="s">
        <v>4362</v>
      </c>
      <c r="B2" s="210"/>
      <c r="C2" s="210"/>
      <c r="D2" s="210"/>
      <c r="E2" s="210"/>
      <c r="F2" s="210"/>
      <c r="G2" s="210"/>
      <c r="H2" s="210"/>
      <c r="I2" s="210"/>
      <c r="J2" s="210"/>
      <c r="K2" s="210"/>
      <c r="L2" s="210"/>
      <c r="M2" s="210"/>
      <c r="N2" s="210"/>
    </row>
    <row r="3" spans="1:14" ht="39.75" customHeight="1" x14ac:dyDescent="0.25">
      <c r="A3" s="97" t="s">
        <v>4363</v>
      </c>
      <c r="B3" s="97" t="s">
        <v>4364</v>
      </c>
      <c r="C3" s="97" t="s">
        <v>4365</v>
      </c>
      <c r="D3" s="98" t="s">
        <v>4366</v>
      </c>
      <c r="E3" s="98" t="s">
        <v>4367</v>
      </c>
      <c r="F3" s="98" t="s">
        <v>218</v>
      </c>
      <c r="G3" s="98" t="s">
        <v>4368</v>
      </c>
      <c r="H3" s="98" t="s">
        <v>4369</v>
      </c>
      <c r="I3" s="98" t="s">
        <v>4370</v>
      </c>
      <c r="J3" s="98" t="s">
        <v>4371</v>
      </c>
      <c r="K3" s="98" t="s">
        <v>4372</v>
      </c>
      <c r="L3" s="97" t="s">
        <v>4</v>
      </c>
      <c r="M3" s="97" t="s">
        <v>4373</v>
      </c>
      <c r="N3" s="97" t="s">
        <v>4374</v>
      </c>
    </row>
    <row r="4" spans="1:14" ht="21.75" customHeight="1" x14ac:dyDescent="0.25">
      <c r="A4" s="99">
        <f t="shared" ref="A4:A20" si="0">ROW()-3</f>
        <v>1</v>
      </c>
      <c r="B4" s="100">
        <v>46028</v>
      </c>
      <c r="C4" s="99" t="str">
        <f t="shared" ref="C4:C20" si="1">TEXT(ROW()-3,"0")&amp;". Toplantı"</f>
        <v>1. Toplantı</v>
      </c>
      <c r="D4" s="99">
        <f>COUNTIFS(Başvuru!$I:$I,$B4,Başvuru!$P:$P,"ONAY")</f>
        <v>50</v>
      </c>
      <c r="E4" s="99">
        <f>COUNTIFS(Başvuru!$I:$I,$B4,Başvuru!$P:$P,"DÜZELTME")</f>
        <v>2</v>
      </c>
      <c r="F4" s="99">
        <f>COUNTIFS(Başvuru!$I:$I,$B4,Başvuru!$P:$P,"KAEK")</f>
        <v>2</v>
      </c>
      <c r="G4" s="99">
        <f>COUNTIFS(Başvuru!$I:$I,$B4,Başvuru!$P:$P,"GÖRÜŞ")</f>
        <v>0</v>
      </c>
      <c r="H4" s="99">
        <f>COUNTIFS(Başvuru!$I:$I,$B4,Başvuru!$P:$P,"RET")</f>
        <v>0</v>
      </c>
      <c r="I4" s="99">
        <f>COUNTIFS(Başvuru!$I:$I,$B4,Başvuru!$P:$P,"KAPSAM DIŞI")</f>
        <v>1</v>
      </c>
      <c r="J4" s="99">
        <f>COUNTIFS(Başvuru!$I:$I,$B4,Başvuru!$P:$P,"GERİ ÇEKİLDİ")</f>
        <v>0</v>
      </c>
      <c r="K4" s="99">
        <f>COUNTIF(Başvuru!$I:$I,$B4)-COUNTIFS(Başvuru!$I:$I,$B4,Başvuru!$L:$L,"&lt;&gt;")</f>
        <v>0</v>
      </c>
      <c r="L4" s="101">
        <f t="shared" ref="L4:L20" si="2">SUM(D4:K4)</f>
        <v>55</v>
      </c>
      <c r="M4" s="102">
        <f t="shared" ref="M4:M21" si="3">IF(L4&gt;0,D4/L4,"")</f>
        <v>0.90909090909090906</v>
      </c>
      <c r="N4" s="103"/>
    </row>
    <row r="5" spans="1:14" ht="21.75" customHeight="1" x14ac:dyDescent="0.25">
      <c r="A5" s="104">
        <f t="shared" si="0"/>
        <v>2</v>
      </c>
      <c r="B5" s="100">
        <v>46042</v>
      </c>
      <c r="C5" s="104" t="str">
        <f t="shared" si="1"/>
        <v>2. Toplantı</v>
      </c>
      <c r="D5" s="104">
        <f>COUNTIFS(Başvuru!$I:$I,$B5,Başvuru!$P:$P,"ONAY")</f>
        <v>39</v>
      </c>
      <c r="E5" s="104">
        <f>COUNTIFS(Başvuru!$I:$I,$B5,Başvuru!$P:$P,"DÜZELTME")</f>
        <v>3</v>
      </c>
      <c r="F5" s="104">
        <f>COUNTIFS(Başvuru!$I:$I,$B5,Başvuru!$P:$P,"KAEK")</f>
        <v>0</v>
      </c>
      <c r="G5" s="104">
        <f>COUNTIFS(Başvuru!$I:$I,$B5,Başvuru!$P:$P,"GÖRÜŞ")</f>
        <v>0</v>
      </c>
      <c r="H5" s="104">
        <f>COUNTIFS(Başvuru!$I:$I,$B5,Başvuru!$P:$P,"RET")</f>
        <v>0</v>
      </c>
      <c r="I5" s="104">
        <f>COUNTIFS(Başvuru!$I:$I,$B5,Başvuru!$P:$P,"KAPSAM DIŞI")</f>
        <v>0</v>
      </c>
      <c r="J5" s="104">
        <f>COUNTIFS(Başvuru!$I:$I,$B5,Başvuru!$P:$P,"GERİ ÇEKİLDİ")</f>
        <v>3</v>
      </c>
      <c r="K5" s="104">
        <f>COUNTIF(Başvuru!$I:$I,$B5)-COUNTIFS(Başvuru!$I:$I,$B5,Başvuru!$L:$L,"&lt;&gt;")</f>
        <v>0</v>
      </c>
      <c r="L5" s="105">
        <f t="shared" si="2"/>
        <v>45</v>
      </c>
      <c r="M5" s="106">
        <f t="shared" si="3"/>
        <v>0.8666666666666667</v>
      </c>
      <c r="N5" s="107"/>
    </row>
    <row r="6" spans="1:14" ht="21.75" customHeight="1" x14ac:dyDescent="0.25">
      <c r="A6" s="99">
        <f t="shared" si="0"/>
        <v>3</v>
      </c>
      <c r="B6" s="100">
        <v>46057</v>
      </c>
      <c r="C6" s="99" t="str">
        <f t="shared" si="1"/>
        <v>3. Toplantı</v>
      </c>
      <c r="D6" s="99">
        <f>COUNTIFS(Başvuru!$I:$I,$B6,Başvuru!$P:$P,"ONAY")</f>
        <v>41</v>
      </c>
      <c r="E6" s="99">
        <f>COUNTIFS(Başvuru!$I:$I,$B6,Başvuru!$P:$P,"DÜZELTME")</f>
        <v>3</v>
      </c>
      <c r="F6" s="99">
        <f>COUNTIFS(Başvuru!$I:$I,$B6,Başvuru!$P:$P,"KAEK")</f>
        <v>1</v>
      </c>
      <c r="G6" s="99">
        <f>COUNTIFS(Başvuru!$I:$I,$B6,Başvuru!$P:$P,"GÖRÜŞ")</f>
        <v>0</v>
      </c>
      <c r="H6" s="99">
        <f>COUNTIFS(Başvuru!$I:$I,$B6,Başvuru!$P:$P,"RET")</f>
        <v>0</v>
      </c>
      <c r="I6" s="99">
        <f>COUNTIFS(Başvuru!$I:$I,$B6,Başvuru!$P:$P,"KAPSAM DIŞI")</f>
        <v>0</v>
      </c>
      <c r="J6" s="99">
        <f>COUNTIFS(Başvuru!$I:$I,$B6,Başvuru!$P:$P,"GERİ ÇEKİLDİ")</f>
        <v>0</v>
      </c>
      <c r="K6" s="99">
        <f>COUNTIF(Başvuru!$I:$I,$B6)-COUNTIFS(Başvuru!$I:$I,$B6,Başvuru!$L:$L,"&lt;&gt;")</f>
        <v>0</v>
      </c>
      <c r="L6" s="101">
        <f t="shared" si="2"/>
        <v>45</v>
      </c>
      <c r="M6" s="102">
        <f t="shared" si="3"/>
        <v>0.91111111111111109</v>
      </c>
      <c r="N6" s="103"/>
    </row>
    <row r="7" spans="1:14" ht="21.75" customHeight="1" x14ac:dyDescent="0.25">
      <c r="A7" s="104">
        <f t="shared" si="0"/>
        <v>4</v>
      </c>
      <c r="B7" s="100">
        <v>46070</v>
      </c>
      <c r="C7" s="104" t="str">
        <f t="shared" si="1"/>
        <v>4. Toplantı</v>
      </c>
      <c r="D7" s="104">
        <f>COUNTIFS(Başvuru!$I:$I,$B7,Başvuru!$P:$P,"ONAY")</f>
        <v>39</v>
      </c>
      <c r="E7" s="104">
        <f>COUNTIFS(Başvuru!$I:$I,$B7,Başvuru!$P:$P,"DÜZELTME")</f>
        <v>2</v>
      </c>
      <c r="F7" s="104">
        <f>COUNTIFS(Başvuru!$I:$I,$B7,Başvuru!$P:$P,"KAEK")</f>
        <v>1</v>
      </c>
      <c r="G7" s="104">
        <f>COUNTIFS(Başvuru!$I:$I,$B7,Başvuru!$P:$P,"GÖRÜŞ")</f>
        <v>0</v>
      </c>
      <c r="H7" s="104">
        <f>COUNTIFS(Başvuru!$I:$I,$B7,Başvuru!$P:$P,"RET")</f>
        <v>3</v>
      </c>
      <c r="I7" s="104">
        <f>COUNTIFS(Başvuru!$I:$I,$B7,Başvuru!$P:$P,"KAPSAM DIŞI")</f>
        <v>0</v>
      </c>
      <c r="J7" s="104">
        <f>COUNTIFS(Başvuru!$I:$I,$B7,Başvuru!$P:$P,"GERİ ÇEKİLDİ")</f>
        <v>0</v>
      </c>
      <c r="K7" s="104">
        <f>COUNTIF(Başvuru!$I:$I,$B7)-COUNTIFS(Başvuru!$I:$I,$B7,Başvuru!$L:$L,"&lt;&gt;")</f>
        <v>0</v>
      </c>
      <c r="L7" s="105">
        <f t="shared" si="2"/>
        <v>45</v>
      </c>
      <c r="M7" s="106">
        <f t="shared" si="3"/>
        <v>0.8666666666666667</v>
      </c>
      <c r="N7" s="107"/>
    </row>
    <row r="8" spans="1:14" ht="21.75" customHeight="1" x14ac:dyDescent="0.25">
      <c r="A8" s="99">
        <f t="shared" si="0"/>
        <v>5</v>
      </c>
      <c r="B8" s="100">
        <v>46084</v>
      </c>
      <c r="C8" s="99" t="str">
        <f t="shared" si="1"/>
        <v>5. Toplantı</v>
      </c>
      <c r="D8" s="99">
        <f>COUNTIFS(Başvuru!$I:$I,$B8,Başvuru!$P:$P,"ONAY")</f>
        <v>29</v>
      </c>
      <c r="E8" s="99">
        <f>COUNTIFS(Başvuru!$I:$I,$B8,Başvuru!$P:$P,"DÜZELTME")</f>
        <v>3</v>
      </c>
      <c r="F8" s="99">
        <f>COUNTIFS(Başvuru!$I:$I,$B8,Başvuru!$P:$P,"KAEK")</f>
        <v>0</v>
      </c>
      <c r="G8" s="99">
        <f>COUNTIFS(Başvuru!$I:$I,$B8,Başvuru!$P:$P,"GÖRÜŞ")</f>
        <v>0</v>
      </c>
      <c r="H8" s="99">
        <f>COUNTIFS(Başvuru!$I:$I,$B8,Başvuru!$P:$P,"RET")</f>
        <v>0</v>
      </c>
      <c r="I8" s="99">
        <f>COUNTIFS(Başvuru!$I:$I,$B8,Başvuru!$P:$P,"KAPSAM DIŞI")</f>
        <v>3</v>
      </c>
      <c r="J8" s="99">
        <f>COUNTIFS(Başvuru!$I:$I,$B8,Başvuru!$P:$P,"GERİ ÇEKİLDİ")</f>
        <v>0</v>
      </c>
      <c r="K8" s="99">
        <f>COUNTIF(Başvuru!$I:$I,$B8)-COUNTIFS(Başvuru!$I:$I,$B8,Başvuru!$L:$L,"&lt;&gt;")</f>
        <v>0</v>
      </c>
      <c r="L8" s="101">
        <f t="shared" si="2"/>
        <v>35</v>
      </c>
      <c r="M8" s="102">
        <f t="shared" si="3"/>
        <v>0.82857142857142863</v>
      </c>
      <c r="N8" s="103"/>
    </row>
    <row r="9" spans="1:14" ht="21.75" customHeight="1" x14ac:dyDescent="0.25">
      <c r="A9" s="104">
        <f t="shared" si="0"/>
        <v>6</v>
      </c>
      <c r="B9" s="100">
        <v>46098</v>
      </c>
      <c r="C9" s="104" t="str">
        <f t="shared" si="1"/>
        <v>6. Toplantı</v>
      </c>
      <c r="D9" s="104">
        <f>COUNTIFS(Başvuru!$I:$I,$B9,Başvuru!$P:$P,"ONAY")</f>
        <v>39</v>
      </c>
      <c r="E9" s="104">
        <f>COUNTIFS(Başvuru!$I:$I,$B9,Başvuru!$P:$P,"DÜZELTME")</f>
        <v>2</v>
      </c>
      <c r="F9" s="104">
        <f>COUNTIFS(Başvuru!$I:$I,$B9,Başvuru!$P:$P,"KAEK")</f>
        <v>2</v>
      </c>
      <c r="G9" s="104">
        <f>COUNTIFS(Başvuru!$I:$I,$B9,Başvuru!$P:$P,"GÖRÜŞ")</f>
        <v>0</v>
      </c>
      <c r="H9" s="104">
        <f>COUNTIFS(Başvuru!$I:$I,$B9,Başvuru!$P:$P,"RET")</f>
        <v>1</v>
      </c>
      <c r="I9" s="104">
        <f>COUNTIFS(Başvuru!$I:$I,$B9,Başvuru!$P:$P,"KAPSAM DIŞI")</f>
        <v>2</v>
      </c>
      <c r="J9" s="104">
        <f>COUNTIFS(Başvuru!$I:$I,$B9,Başvuru!$P:$P,"GERİ ÇEKİLDİ")</f>
        <v>1</v>
      </c>
      <c r="K9" s="104">
        <f>COUNTIF(Başvuru!$I:$I,$B9)-COUNTIFS(Başvuru!$I:$I,$B9,Başvuru!$L:$L,"&lt;&gt;")</f>
        <v>0</v>
      </c>
      <c r="L9" s="105">
        <f t="shared" si="2"/>
        <v>47</v>
      </c>
      <c r="M9" s="106">
        <f t="shared" si="3"/>
        <v>0.82978723404255317</v>
      </c>
      <c r="N9" s="107"/>
    </row>
    <row r="10" spans="1:14" ht="21.75" customHeight="1" x14ac:dyDescent="0.25">
      <c r="A10" s="99">
        <f t="shared" si="0"/>
        <v>7</v>
      </c>
      <c r="B10" s="100">
        <v>46112</v>
      </c>
      <c r="C10" s="99" t="str">
        <f t="shared" si="1"/>
        <v>7. Toplantı</v>
      </c>
      <c r="D10" s="99">
        <f>COUNTIFS(Başvuru!$I:$I,$B10,Başvuru!$P:$P,"ONAY")</f>
        <v>35</v>
      </c>
      <c r="E10" s="99">
        <f>COUNTIFS(Başvuru!$I:$I,$B10,Başvuru!$P:$P,"DÜZELTME")</f>
        <v>0</v>
      </c>
      <c r="F10" s="99">
        <f>COUNTIFS(Başvuru!$I:$I,$B10,Başvuru!$P:$P,"KAEK")</f>
        <v>1</v>
      </c>
      <c r="G10" s="99">
        <f>COUNTIFS(Başvuru!$I:$I,$B10,Başvuru!$P:$P,"GÖRÜŞ")</f>
        <v>1</v>
      </c>
      <c r="H10" s="99">
        <f>COUNTIFS(Başvuru!$I:$I,$B10,Başvuru!$P:$P,"RET")</f>
        <v>2</v>
      </c>
      <c r="I10" s="99">
        <f>COUNTIFS(Başvuru!$I:$I,$B10,Başvuru!$P:$P,"KAPSAM DIŞI")</f>
        <v>1</v>
      </c>
      <c r="J10" s="99">
        <f>COUNTIFS(Başvuru!$I:$I,$B10,Başvuru!$P:$P,"GERİ ÇEKİLDİ")</f>
        <v>0</v>
      </c>
      <c r="K10" s="99">
        <f>COUNTIF(Başvuru!$I:$I,$B10)-COUNTIFS(Başvuru!$I:$I,$B10,Başvuru!$L:$L,"&lt;&gt;")</f>
        <v>0</v>
      </c>
      <c r="L10" s="101">
        <f t="shared" si="2"/>
        <v>40</v>
      </c>
      <c r="M10" s="102">
        <f t="shared" si="3"/>
        <v>0.875</v>
      </c>
      <c r="N10" s="103"/>
    </row>
    <row r="11" spans="1:14" ht="21.75" customHeight="1" x14ac:dyDescent="0.25">
      <c r="A11" s="104">
        <f t="shared" si="0"/>
        <v>8</v>
      </c>
      <c r="B11" s="100">
        <v>46126</v>
      </c>
      <c r="C11" s="104" t="str">
        <f t="shared" si="1"/>
        <v>8. Toplantı</v>
      </c>
      <c r="D11" s="104">
        <f>COUNTIFS(Başvuru!$I:$I,$B11,Başvuru!$P:$P,"ONAY")</f>
        <v>32</v>
      </c>
      <c r="E11" s="104">
        <f>COUNTIFS(Başvuru!$I:$I,$B11,Başvuru!$P:$P,"DÜZELTME")</f>
        <v>3</v>
      </c>
      <c r="F11" s="104">
        <f>COUNTIFS(Başvuru!$I:$I,$B11,Başvuru!$P:$P,"KAEK")</f>
        <v>1</v>
      </c>
      <c r="G11" s="104">
        <f>COUNTIFS(Başvuru!$I:$I,$B11,Başvuru!$P:$P,"GÖRÜŞ")</f>
        <v>0</v>
      </c>
      <c r="H11" s="104">
        <f>COUNTIFS(Başvuru!$I:$I,$B11,Başvuru!$P:$P,"RET")</f>
        <v>4</v>
      </c>
      <c r="I11" s="104">
        <f>COUNTIFS(Başvuru!$I:$I,$B11,Başvuru!$P:$P,"KAPSAM DIŞI")</f>
        <v>0</v>
      </c>
      <c r="J11" s="104">
        <f>COUNTIFS(Başvuru!$I:$I,$B11,Başvuru!$P:$P,"GERİ ÇEKİLDİ")</f>
        <v>0</v>
      </c>
      <c r="K11" s="104">
        <f>COUNTIF(Başvuru!$I:$I,$B11)-COUNTIFS(Başvuru!$I:$I,$B11,Başvuru!$L:$L,"&lt;&gt;")</f>
        <v>0</v>
      </c>
      <c r="L11" s="105">
        <f t="shared" si="2"/>
        <v>40</v>
      </c>
      <c r="M11" s="106">
        <f t="shared" si="3"/>
        <v>0.8</v>
      </c>
      <c r="N11" s="107"/>
    </row>
    <row r="12" spans="1:14" ht="21.75" customHeight="1" x14ac:dyDescent="0.25">
      <c r="A12" s="99">
        <f t="shared" si="0"/>
        <v>9</v>
      </c>
      <c r="B12" s="100">
        <v>46140</v>
      </c>
      <c r="C12" s="99" t="str">
        <f t="shared" si="1"/>
        <v>9. Toplantı</v>
      </c>
      <c r="D12" s="99">
        <f>COUNTIFS(Başvuru!$I:$I,$B12,Başvuru!$P:$P,"ONAY")</f>
        <v>40</v>
      </c>
      <c r="E12" s="99">
        <f>COUNTIFS(Başvuru!$I:$I,$B12,Başvuru!$P:$P,"DÜZELTME")</f>
        <v>3</v>
      </c>
      <c r="F12" s="99">
        <f>COUNTIFS(Başvuru!$I:$I,$B12,Başvuru!$P:$P,"KAEK")</f>
        <v>0</v>
      </c>
      <c r="G12" s="99">
        <f>COUNTIFS(Başvuru!$I:$I,$B12,Başvuru!$P:$P,"GÖRÜŞ")</f>
        <v>0</v>
      </c>
      <c r="H12" s="99">
        <f>COUNTIFS(Başvuru!$I:$I,$B12,Başvuru!$P:$P,"RET")</f>
        <v>3</v>
      </c>
      <c r="I12" s="99">
        <f>COUNTIFS(Başvuru!$I:$I,$B12,Başvuru!$P:$P,"KAPSAM DIŞI")</f>
        <v>0</v>
      </c>
      <c r="J12" s="99">
        <f>COUNTIFS(Başvuru!$I:$I,$B12,Başvuru!$P:$P,"GERİ ÇEKİLDİ")</f>
        <v>0</v>
      </c>
      <c r="K12" s="99">
        <f>COUNTIF(Başvuru!$I:$I,$B12)-COUNTIFS(Başvuru!$I:$I,$B12,Başvuru!$L:$L,"&lt;&gt;")</f>
        <v>2</v>
      </c>
      <c r="L12" s="101">
        <f t="shared" si="2"/>
        <v>48</v>
      </c>
      <c r="M12" s="102">
        <f t="shared" si="3"/>
        <v>0.83333333333333337</v>
      </c>
      <c r="N12" s="103"/>
    </row>
    <row r="13" spans="1:14" ht="21.75" customHeight="1" x14ac:dyDescent="0.25">
      <c r="A13" s="104">
        <f t="shared" si="0"/>
        <v>10</v>
      </c>
      <c r="B13" s="100">
        <v>46154</v>
      </c>
      <c r="C13" s="104" t="str">
        <f t="shared" si="1"/>
        <v>10. Toplantı</v>
      </c>
      <c r="D13" s="104">
        <f>COUNTIFS(Başvuru!$I:$I,$B13,Başvuru!$P:$P,"ONAY")</f>
        <v>43</v>
      </c>
      <c r="E13" s="104">
        <f>COUNTIFS(Başvuru!$I:$I,$B13,Başvuru!$P:$P,"DÜZELTME")</f>
        <v>4</v>
      </c>
      <c r="F13" s="104">
        <f>COUNTIFS(Başvuru!$I:$I,$B13,Başvuru!$P:$P,"KAEK")</f>
        <v>1</v>
      </c>
      <c r="G13" s="104">
        <f>COUNTIFS(Başvuru!$I:$I,$B13,Başvuru!$P:$P,"GÖRÜŞ")</f>
        <v>1</v>
      </c>
      <c r="H13" s="104">
        <f>COUNTIFS(Başvuru!$I:$I,$B13,Başvuru!$P:$P,"RET")</f>
        <v>0</v>
      </c>
      <c r="I13" s="104">
        <f>COUNTIFS(Başvuru!$I:$I,$B13,Başvuru!$P:$P,"KAPSAM DIŞI")</f>
        <v>1</v>
      </c>
      <c r="J13" s="104">
        <f>COUNTIFS(Başvuru!$I:$I,$B13,Başvuru!$P:$P,"GERİ ÇEKİLDİ")</f>
        <v>0</v>
      </c>
      <c r="K13" s="104">
        <f>COUNTIF(Başvuru!$I:$I,$B13)-COUNTIFS(Başvuru!$I:$I,$B13,Başvuru!$L:$L,"&lt;&gt;")</f>
        <v>2</v>
      </c>
      <c r="L13" s="105">
        <f t="shared" si="2"/>
        <v>52</v>
      </c>
      <c r="M13" s="106">
        <f t="shared" si="3"/>
        <v>0.82692307692307687</v>
      </c>
      <c r="N13" s="107"/>
    </row>
    <row r="14" spans="1:14" ht="21.75" customHeight="1" x14ac:dyDescent="0.25">
      <c r="A14" s="99">
        <f t="shared" si="0"/>
        <v>11</v>
      </c>
      <c r="B14" s="100">
        <v>46175</v>
      </c>
      <c r="C14" s="99" t="str">
        <f t="shared" si="1"/>
        <v>11. Toplantı</v>
      </c>
      <c r="D14" s="99">
        <f>COUNTIFS(Başvuru!$I:$I,$B14,Başvuru!$P:$P,"ONAY")</f>
        <v>36</v>
      </c>
      <c r="E14" s="99">
        <f>COUNTIFS(Başvuru!$I:$I,$B14,Başvuru!$P:$P,"DÜZELTME")</f>
        <v>3</v>
      </c>
      <c r="F14" s="99">
        <f>COUNTIFS(Başvuru!$I:$I,$B14,Başvuru!$P:$P,"KAEK")</f>
        <v>0</v>
      </c>
      <c r="G14" s="99">
        <f>COUNTIFS(Başvuru!$I:$I,$B14,Başvuru!$P:$P,"GÖRÜŞ")</f>
        <v>0</v>
      </c>
      <c r="H14" s="99">
        <f>COUNTIFS(Başvuru!$I:$I,$B14,Başvuru!$P:$P,"RET")</f>
        <v>1</v>
      </c>
      <c r="I14" s="99">
        <f>COUNTIFS(Başvuru!$I:$I,$B14,Başvuru!$P:$P,"KAPSAM DIŞI")</f>
        <v>0</v>
      </c>
      <c r="J14" s="99">
        <f>COUNTIFS(Başvuru!$I:$I,$B14,Başvuru!$P:$P,"GERİ ÇEKİLDİ")</f>
        <v>0</v>
      </c>
      <c r="K14" s="99">
        <f>COUNTIF(Başvuru!$I:$I,$B14)-COUNTIFS(Başvuru!$I:$I,$B14,Başvuru!$L:$L,"&lt;&gt;")</f>
        <v>0</v>
      </c>
      <c r="L14" s="101">
        <f t="shared" si="2"/>
        <v>40</v>
      </c>
      <c r="M14" s="102">
        <f t="shared" si="3"/>
        <v>0.9</v>
      </c>
      <c r="N14" s="103"/>
    </row>
    <row r="15" spans="1:14" ht="21.75" customHeight="1" x14ac:dyDescent="0.25">
      <c r="A15" s="108">
        <f t="shared" si="0"/>
        <v>12</v>
      </c>
      <c r="B15" s="100">
        <v>46196</v>
      </c>
      <c r="C15" s="108" t="str">
        <f t="shared" si="1"/>
        <v>12. Toplantı</v>
      </c>
      <c r="D15" s="108">
        <f>COUNTIFS(Başvuru!$I:$I,$B15,Başvuru!$P:$P,"ONAY")</f>
        <v>28</v>
      </c>
      <c r="E15" s="108">
        <f>COUNTIFS(Başvuru!$I:$I,$B15,Başvuru!$P:$P,"DÜZELTME")</f>
        <v>6</v>
      </c>
      <c r="F15" s="108">
        <f>COUNTIFS(Başvuru!$I:$I,$B15,Başvuru!$P:$P,"KAEK")</f>
        <v>8</v>
      </c>
      <c r="G15" s="108">
        <f>COUNTIFS(Başvuru!$I:$I,$B15,Başvuru!$P:$P,"GÖRÜŞ")</f>
        <v>0</v>
      </c>
      <c r="H15" s="108">
        <f>COUNTIFS(Başvuru!$I:$I,$B15,Başvuru!$P:$P,"RET")</f>
        <v>1</v>
      </c>
      <c r="I15" s="108">
        <f>COUNTIFS(Başvuru!$I:$I,$B15,Başvuru!$P:$P,"KAPSAM DIŞI")</f>
        <v>3</v>
      </c>
      <c r="J15" s="108">
        <f>COUNTIFS(Başvuru!$I:$I,$B15,Başvuru!$P:$P,"GERİ ÇEKİLDİ")</f>
        <v>0</v>
      </c>
      <c r="K15" s="108">
        <f>COUNTIF(Başvuru!$I:$I,$B15)-COUNTIFS(Başvuru!$I:$I,$B15,Başvuru!$L:$L,"&lt;&gt;")</f>
        <v>0</v>
      </c>
      <c r="L15" s="109">
        <f t="shared" si="2"/>
        <v>46</v>
      </c>
      <c r="M15" s="110">
        <f t="shared" si="3"/>
        <v>0.60869565217391308</v>
      </c>
      <c r="N15" s="111"/>
    </row>
    <row r="16" spans="1:14" ht="21.75" customHeight="1" x14ac:dyDescent="0.25">
      <c r="A16" s="99">
        <f t="shared" si="0"/>
        <v>13</v>
      </c>
      <c r="B16" s="100">
        <v>46217</v>
      </c>
      <c r="C16" s="99" t="str">
        <f t="shared" si="1"/>
        <v>13. Toplantı</v>
      </c>
      <c r="D16" s="99">
        <f>COUNTIFS(Başvuru!$I:$I,$B16,Başvuru!$P:$P,"ONAY")</f>
        <v>37</v>
      </c>
      <c r="E16" s="99">
        <f>COUNTIFS(Başvuru!$I:$I,$B16,Başvuru!$P:$P,"DÜZELTME")</f>
        <v>10</v>
      </c>
      <c r="F16" s="99">
        <f>COUNTIFS(Başvuru!$I:$I,$B16,Başvuru!$P:$P,"KAEK")</f>
        <v>1</v>
      </c>
      <c r="G16" s="99">
        <f>COUNTIFS(Başvuru!$I:$I,$B16,Başvuru!$P:$P,"GÖRÜŞ")</f>
        <v>0</v>
      </c>
      <c r="H16" s="99">
        <f>COUNTIFS(Başvuru!$I:$I,$B16,Başvuru!$P:$P,"RET")</f>
        <v>1</v>
      </c>
      <c r="I16" s="99">
        <f>COUNTIFS(Başvuru!$I:$I,$B16,Başvuru!$P:$P,"KAPSAM DIŞI")</f>
        <v>1</v>
      </c>
      <c r="J16" s="99">
        <f>COUNTIFS(Başvuru!$I:$I,$B16,Başvuru!$P:$P,"GERİ ÇEKİLDİ")</f>
        <v>0</v>
      </c>
      <c r="K16" s="99">
        <f>COUNTIF(Başvuru!$I:$I,$B16)-COUNTIFS(Başvuru!$I:$I,$B16,Başvuru!$L:$L,"&lt;&gt;")</f>
        <v>0</v>
      </c>
      <c r="L16" s="101">
        <f t="shared" si="2"/>
        <v>50</v>
      </c>
      <c r="M16" s="102">
        <f t="shared" si="3"/>
        <v>0.74</v>
      </c>
      <c r="N16" s="103"/>
    </row>
    <row r="17" spans="1:14" ht="21.75" customHeight="1" x14ac:dyDescent="0.25">
      <c r="A17" s="108">
        <f t="shared" si="0"/>
        <v>14</v>
      </c>
      <c r="B17" s="100">
        <v>46224</v>
      </c>
      <c r="C17" s="108" t="str">
        <f t="shared" si="1"/>
        <v>14. Toplantı</v>
      </c>
      <c r="D17" s="108">
        <f>COUNTIFS(Başvuru!$I:$I,$B17,Başvuru!$P:$P,"ONAY")</f>
        <v>36</v>
      </c>
      <c r="E17" s="108">
        <f>COUNTIFS(Başvuru!$I:$I,$B17,Başvuru!$P:$P,"DÜZELTME")</f>
        <v>9</v>
      </c>
      <c r="F17" s="108">
        <f>COUNTIFS(Başvuru!$I:$I,$B17,Başvuru!$P:$P,"KAEK")</f>
        <v>2</v>
      </c>
      <c r="G17" s="108">
        <f>COUNTIFS(Başvuru!$I:$I,$B17,Başvuru!$P:$P,"GÖRÜŞ")</f>
        <v>0</v>
      </c>
      <c r="H17" s="108">
        <f>COUNTIFS(Başvuru!$I:$I,$B17,Başvuru!$P:$P,"RET")</f>
        <v>1</v>
      </c>
      <c r="I17" s="108">
        <f>COUNTIFS(Başvuru!$I:$I,$B17,Başvuru!$P:$P,"KAPSAM DIŞI")</f>
        <v>2</v>
      </c>
      <c r="J17" s="108">
        <f>COUNTIFS(Başvuru!$I:$I,$B17,Başvuru!$P:$P,"GERİ ÇEKİLDİ")</f>
        <v>0</v>
      </c>
      <c r="K17" s="108">
        <f>COUNTIF(Başvuru!$I:$I,$B17)-COUNTIFS(Başvuru!$I:$I,$B17,Başvuru!$L:$L,"&lt;&gt;")</f>
        <v>1</v>
      </c>
      <c r="L17" s="109">
        <f t="shared" si="2"/>
        <v>51</v>
      </c>
      <c r="M17" s="110">
        <f t="shared" si="3"/>
        <v>0.70588235294117652</v>
      </c>
      <c r="N17" s="111"/>
    </row>
    <row r="18" spans="1:14" ht="21.75" customHeight="1" x14ac:dyDescent="0.25">
      <c r="A18" s="108">
        <f t="shared" si="0"/>
        <v>15</v>
      </c>
      <c r="B18" s="100">
        <v>46231</v>
      </c>
      <c r="C18" s="108" t="str">
        <f t="shared" si="1"/>
        <v>15. Toplantı</v>
      </c>
      <c r="D18" s="108">
        <f>COUNTIFS(Başvuru!$I:$I,$B18,Başvuru!$P:$P,"ONAY")</f>
        <v>21</v>
      </c>
      <c r="E18" s="108">
        <f>COUNTIFS(Başvuru!$I:$I,$B18,Başvuru!$P:$P,"DÜZELTME")</f>
        <v>0</v>
      </c>
      <c r="F18" s="108">
        <f>COUNTIFS(Başvuru!$I:$I,$B18,Başvuru!$P:$P,"KAEK")</f>
        <v>0</v>
      </c>
      <c r="G18" s="108">
        <f>COUNTIFS(Başvuru!$I:$I,$B18,Başvuru!$P:$P,"GÖRÜŞ")</f>
        <v>0</v>
      </c>
      <c r="H18" s="108">
        <f>COUNTIFS(Başvuru!$I:$I,$B18,Başvuru!$P:$P,"RET")</f>
        <v>2</v>
      </c>
      <c r="I18" s="108">
        <f>COUNTIFS(Başvuru!$I:$I,$B18,Başvuru!$P:$P,"KAPSAM DIŞI")</f>
        <v>1</v>
      </c>
      <c r="J18" s="108">
        <f>COUNTIFS(Başvuru!$I:$I,$B18,Başvuru!$P:$P,"GERİ ÇEKİLDİ")</f>
        <v>0</v>
      </c>
      <c r="K18" s="108">
        <f>COUNTIF(Başvuru!$I:$I,$B18)-COUNTIFS(Başvuru!$I:$I,$B18,Başvuru!$L:$L,"&lt;&gt;")</f>
        <v>10</v>
      </c>
      <c r="L18" s="109">
        <f t="shared" si="2"/>
        <v>34</v>
      </c>
      <c r="M18" s="110">
        <f t="shared" si="3"/>
        <v>0.61764705882352944</v>
      </c>
      <c r="N18" s="111"/>
    </row>
    <row r="19" spans="1:14" ht="21.75" customHeight="1" x14ac:dyDescent="0.25">
      <c r="A19" s="108">
        <f t="shared" si="0"/>
        <v>16</v>
      </c>
      <c r="B19" s="100">
        <v>46259</v>
      </c>
      <c r="C19" s="108" t="str">
        <f t="shared" si="1"/>
        <v>16. Toplantı</v>
      </c>
      <c r="D19" s="108">
        <f>COUNTIFS(Başvuru!$I:$I,$B19,Başvuru!$P:$P,"ONAY")</f>
        <v>0</v>
      </c>
      <c r="E19" s="108">
        <f>COUNTIFS(Başvuru!$I:$I,$B19,Başvuru!$P:$P,"DÜZELTME")</f>
        <v>0</v>
      </c>
      <c r="F19" s="108">
        <f>COUNTIFS(Başvuru!$I:$I,$B19,Başvuru!$P:$P,"KAEK")</f>
        <v>0</v>
      </c>
      <c r="G19" s="108">
        <f>COUNTIFS(Başvuru!$I:$I,$B19,Başvuru!$P:$P,"GÖRÜŞ")</f>
        <v>0</v>
      </c>
      <c r="H19" s="108">
        <f>COUNTIFS(Başvuru!$I:$I,$B19,Başvuru!$P:$P,"RET")</f>
        <v>0</v>
      </c>
      <c r="I19" s="108">
        <f>COUNTIFS(Başvuru!$I:$I,$B19,Başvuru!$P:$P,"KAPSAM DIŞI")</f>
        <v>0</v>
      </c>
      <c r="J19" s="108">
        <f>COUNTIFS(Başvuru!$I:$I,$B19,Başvuru!$P:$P,"GERİ ÇEKİLDİ")</f>
        <v>0</v>
      </c>
      <c r="K19" s="108">
        <f>COUNTIF(Başvuru!$I:$I,$B19)-COUNTIFS(Başvuru!$I:$I,$B19,Başvuru!$L:$L,"&lt;&gt;")</f>
        <v>27</v>
      </c>
      <c r="L19" s="109">
        <f t="shared" si="2"/>
        <v>27</v>
      </c>
      <c r="M19" s="110">
        <f t="shared" si="3"/>
        <v>0</v>
      </c>
      <c r="N19" s="111"/>
    </row>
    <row r="20" spans="1:14" ht="21.75" customHeight="1" x14ac:dyDescent="0.25">
      <c r="A20" s="108">
        <f t="shared" si="0"/>
        <v>17</v>
      </c>
      <c r="B20" s="100">
        <v>46273</v>
      </c>
      <c r="C20" s="108" t="str">
        <f t="shared" si="1"/>
        <v>17. Toplantı</v>
      </c>
      <c r="D20" s="108">
        <f>COUNTIFS(Başvuru!$I:$I,$B20,Başvuru!$P:$P,"ONAY")</f>
        <v>0</v>
      </c>
      <c r="E20" s="108">
        <f>COUNTIFS(Başvuru!$I:$I,$B20,Başvuru!$P:$P,"DÜZELTME")</f>
        <v>0</v>
      </c>
      <c r="F20" s="108">
        <f>COUNTIFS(Başvuru!$I:$I,$B20,Başvuru!$P:$P,"KAEK")</f>
        <v>0</v>
      </c>
      <c r="G20" s="108">
        <f>COUNTIFS(Başvuru!$I:$I,$B20,Başvuru!$P:$P,"GÖRÜŞ")</f>
        <v>0</v>
      </c>
      <c r="H20" s="108">
        <f>COUNTIFS(Başvuru!$I:$I,$B20,Başvuru!$P:$P,"RET")</f>
        <v>0</v>
      </c>
      <c r="I20" s="108">
        <f>COUNTIFS(Başvuru!$I:$I,$B20,Başvuru!$P:$P,"KAPSAM DIŞI")</f>
        <v>0</v>
      </c>
      <c r="J20" s="108">
        <f>COUNTIFS(Başvuru!$I:$I,$B20,Başvuru!$P:$P,"GERİ ÇEKİLDİ")</f>
        <v>0</v>
      </c>
      <c r="K20" s="108">
        <f>COUNTIF(Başvuru!$I:$I,$B20)-COUNTIFS(Başvuru!$I:$I,$B20,Başvuru!$L:$L,"&lt;&gt;")</f>
        <v>0</v>
      </c>
      <c r="L20" s="109">
        <f t="shared" si="2"/>
        <v>0</v>
      </c>
      <c r="M20" s="110" t="str">
        <f t="shared" si="3"/>
        <v/>
      </c>
      <c r="N20" s="111"/>
    </row>
    <row r="21" spans="1:14" ht="25.5" customHeight="1" x14ac:dyDescent="0.25">
      <c r="A21" s="211" t="s">
        <v>4375</v>
      </c>
      <c r="B21" s="211"/>
      <c r="C21" s="211"/>
      <c r="D21" s="112">
        <f t="shared" ref="D21:K21" si="4">SUM(D4:D15)</f>
        <v>451</v>
      </c>
      <c r="E21" s="112">
        <f t="shared" si="4"/>
        <v>34</v>
      </c>
      <c r="F21" s="112">
        <f t="shared" si="4"/>
        <v>17</v>
      </c>
      <c r="G21" s="112">
        <f t="shared" si="4"/>
        <v>2</v>
      </c>
      <c r="H21" s="112">
        <f t="shared" si="4"/>
        <v>15</v>
      </c>
      <c r="I21" s="112">
        <f t="shared" si="4"/>
        <v>11</v>
      </c>
      <c r="J21" s="112">
        <f t="shared" si="4"/>
        <v>4</v>
      </c>
      <c r="K21" s="112">
        <f t="shared" si="4"/>
        <v>4</v>
      </c>
      <c r="L21" s="112">
        <f>SUM(L4:L18)</f>
        <v>673</v>
      </c>
      <c r="M21" s="113">
        <f t="shared" si="3"/>
        <v>0.67013372956909356</v>
      </c>
    </row>
    <row r="23" spans="1:14" ht="36" customHeight="1" x14ac:dyDescent="0.25">
      <c r="A23" s="212" t="s">
        <v>4376</v>
      </c>
      <c r="B23" s="212"/>
      <c r="C23" s="212"/>
      <c r="D23" s="212"/>
      <c r="E23" s="212"/>
      <c r="F23" s="212"/>
      <c r="G23" s="212"/>
      <c r="H23" s="212"/>
      <c r="I23" s="212"/>
      <c r="J23" s="212"/>
      <c r="K23" s="212"/>
      <c r="L23" s="212"/>
      <c r="M23" s="212"/>
      <c r="N23" s="212"/>
    </row>
  </sheetData>
  <mergeCells count="4">
    <mergeCell ref="A1:N1"/>
    <mergeCell ref="A2:N2"/>
    <mergeCell ref="A21:C21"/>
    <mergeCell ref="A23:N2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C16" sqref="C16"/>
    </sheetView>
  </sheetViews>
  <sheetFormatPr defaultColWidth="9.140625" defaultRowHeight="18.75" x14ac:dyDescent="0.3"/>
  <cols>
    <col min="1" max="1" width="8.7109375" style="29" customWidth="1"/>
    <col min="2" max="2" width="58.42578125" style="29" customWidth="1"/>
    <col min="3" max="3" width="21.28515625" style="29" customWidth="1"/>
    <col min="4" max="5" width="10.140625" style="29" customWidth="1"/>
    <col min="6" max="10" width="9.28515625" style="29" customWidth="1"/>
    <col min="11" max="11" width="10.140625" style="29" customWidth="1"/>
    <col min="12" max="27" width="9.28515625" style="29" customWidth="1"/>
    <col min="28" max="28" width="10.140625" style="29" customWidth="1"/>
    <col min="29" max="34" width="9.28515625" style="29" customWidth="1"/>
    <col min="35" max="37" width="10.140625" style="29" customWidth="1"/>
    <col min="38" max="42" width="9.28515625" style="29" customWidth="1"/>
    <col min="43" max="43" width="12.7109375" style="29" customWidth="1"/>
    <col min="44" max="44" width="26.140625" style="29" customWidth="1"/>
    <col min="45" max="45" width="16.85546875" style="114" customWidth="1"/>
    <col min="46" max="46" width="14.7109375" style="115" customWidth="1"/>
    <col min="47" max="47" width="16" style="29" customWidth="1"/>
    <col min="48" max="16384" width="9.140625" style="29"/>
  </cols>
  <sheetData>
    <row r="1" spans="1:46" s="116" customFormat="1" ht="20.25" customHeight="1" x14ac:dyDescent="0.25">
      <c r="A1" s="222" t="s">
        <v>4377</v>
      </c>
      <c r="B1" s="223" t="s">
        <v>4378</v>
      </c>
      <c r="C1" s="218" t="s">
        <v>4379</v>
      </c>
      <c r="D1" s="218" t="s">
        <v>38</v>
      </c>
      <c r="E1" s="218"/>
      <c r="F1" s="218"/>
      <c r="G1" s="218"/>
      <c r="H1" s="218"/>
      <c r="I1" s="218"/>
      <c r="J1" s="218"/>
      <c r="K1" s="218"/>
      <c r="L1" s="218" t="s">
        <v>40</v>
      </c>
      <c r="M1" s="218"/>
      <c r="N1" s="218"/>
      <c r="O1" s="218"/>
      <c r="P1" s="218"/>
      <c r="Q1" s="218"/>
      <c r="R1" s="218"/>
      <c r="S1" s="218"/>
      <c r="T1" s="218" t="s">
        <v>41</v>
      </c>
      <c r="U1" s="218"/>
      <c r="V1" s="218"/>
      <c r="W1" s="218"/>
      <c r="X1" s="218"/>
      <c r="Y1" s="218"/>
      <c r="Z1" s="218"/>
      <c r="AA1" s="218"/>
      <c r="AB1" s="218" t="s">
        <v>39</v>
      </c>
      <c r="AC1" s="218"/>
      <c r="AD1" s="218"/>
      <c r="AE1" s="218"/>
      <c r="AF1" s="218"/>
      <c r="AG1" s="218"/>
      <c r="AH1" s="218"/>
      <c r="AI1" s="218"/>
      <c r="AJ1" s="219" t="s">
        <v>4380</v>
      </c>
      <c r="AK1" s="219"/>
      <c r="AL1" s="219"/>
      <c r="AM1" s="219"/>
      <c r="AN1" s="219"/>
      <c r="AO1" s="219"/>
      <c r="AP1" s="219"/>
      <c r="AQ1" s="219"/>
      <c r="AR1" s="220" t="s">
        <v>4381</v>
      </c>
      <c r="AS1" s="221" t="s">
        <v>4382</v>
      </c>
      <c r="AT1" s="213" t="s">
        <v>4383</v>
      </c>
    </row>
    <row r="2" spans="1:46" s="116" customFormat="1" ht="95.25" customHeight="1" x14ac:dyDescent="0.25">
      <c r="A2" s="222"/>
      <c r="B2" s="223"/>
      <c r="C2" s="218"/>
      <c r="D2" s="117" t="s">
        <v>4366</v>
      </c>
      <c r="E2" s="117" t="s">
        <v>4367</v>
      </c>
      <c r="F2" s="117" t="s">
        <v>218</v>
      </c>
      <c r="G2" s="117" t="s">
        <v>4368</v>
      </c>
      <c r="H2" s="117" t="s">
        <v>4369</v>
      </c>
      <c r="I2" s="117" t="s">
        <v>4370</v>
      </c>
      <c r="J2" s="117" t="s">
        <v>4371</v>
      </c>
      <c r="K2" s="118" t="s">
        <v>4</v>
      </c>
      <c r="L2" s="117" t="s">
        <v>4366</v>
      </c>
      <c r="M2" s="117" t="s">
        <v>4367</v>
      </c>
      <c r="N2" s="117" t="s">
        <v>218</v>
      </c>
      <c r="O2" s="117" t="s">
        <v>4368</v>
      </c>
      <c r="P2" s="117" t="s">
        <v>4369</v>
      </c>
      <c r="Q2" s="117" t="s">
        <v>4370</v>
      </c>
      <c r="R2" s="117" t="s">
        <v>4371</v>
      </c>
      <c r="S2" s="118" t="s">
        <v>4</v>
      </c>
      <c r="T2" s="117" t="s">
        <v>4366</v>
      </c>
      <c r="U2" s="117" t="s">
        <v>4367</v>
      </c>
      <c r="V2" s="117" t="s">
        <v>218</v>
      </c>
      <c r="W2" s="117" t="s">
        <v>4368</v>
      </c>
      <c r="X2" s="117" t="s">
        <v>4369</v>
      </c>
      <c r="Y2" s="117" t="s">
        <v>4370</v>
      </c>
      <c r="Z2" s="117" t="s">
        <v>4371</v>
      </c>
      <c r="AA2" s="118" t="s">
        <v>4</v>
      </c>
      <c r="AB2" s="117" t="s">
        <v>4366</v>
      </c>
      <c r="AC2" s="117" t="s">
        <v>4367</v>
      </c>
      <c r="AD2" s="117" t="s">
        <v>218</v>
      </c>
      <c r="AE2" s="117" t="s">
        <v>4368</v>
      </c>
      <c r="AF2" s="117" t="s">
        <v>4369</v>
      </c>
      <c r="AG2" s="117" t="s">
        <v>4370</v>
      </c>
      <c r="AH2" s="117" t="s">
        <v>4371</v>
      </c>
      <c r="AI2" s="118" t="s">
        <v>4</v>
      </c>
      <c r="AJ2" s="117" t="s">
        <v>4366</v>
      </c>
      <c r="AK2" s="117" t="s">
        <v>4367</v>
      </c>
      <c r="AL2" s="117" t="s">
        <v>218</v>
      </c>
      <c r="AM2" s="117" t="s">
        <v>4368</v>
      </c>
      <c r="AN2" s="117" t="s">
        <v>4369</v>
      </c>
      <c r="AO2" s="117" t="s">
        <v>4370</v>
      </c>
      <c r="AP2" s="117" t="s">
        <v>4371</v>
      </c>
      <c r="AQ2" s="118" t="s">
        <v>4</v>
      </c>
      <c r="AR2" s="220"/>
      <c r="AS2" s="221"/>
      <c r="AT2" s="213"/>
    </row>
    <row r="3" spans="1:46" s="116" customFormat="1" ht="30.75" customHeight="1" x14ac:dyDescent="0.25">
      <c r="A3" s="119" t="s">
        <v>69</v>
      </c>
      <c r="B3" s="120" t="s">
        <v>75</v>
      </c>
      <c r="C3" s="121">
        <f>COUNTIF(Başvuru!J2:K1562,"Prof. Dr. Ayşe Nurten AKARSU")</f>
        <v>117</v>
      </c>
      <c r="D3" s="122">
        <f t="array" ref="D3">SUMPRODUCT(((Başvuru!J2:K1562)="Prof. Dr. Ayşe Nurten AKARSU")*(Başvuru!G2:G1562="Bireysel Araştırma")*(Başvuru!L2:L1562="ONAY"))</f>
        <v>42</v>
      </c>
      <c r="E3" s="122">
        <f t="array" ref="E3">SUMPRODUCT(((Başvuru!J2:K1562)="Prof. Dr. Ayşe Nurten AKARSU")*(Başvuru!G2:G1562="Bireysel Araştırma")*(Başvuru!L2:L1562="DÜZELTME"))</f>
        <v>28</v>
      </c>
      <c r="F3" s="122">
        <f t="array" ref="F3">SUMPRODUCT(((Başvuru!J2:K1562)="Prof. Dr. Ayşe Nurten AKARSU")*(Başvuru!G2:G1562="Bireysel Araştırma")*(Başvuru!L2:L1562="KAEK"))</f>
        <v>2</v>
      </c>
      <c r="G3" s="122">
        <f t="array" ref="G3">SUMPRODUCT(((Başvuru!J2:K1562)="Prof. Dr. Ayşe Nurten AKARSU")*(Başvuru!G2:G1562="Bireysel Araştırma")*(Başvuru!L2:L1562="GÖRÜŞ"))</f>
        <v>3</v>
      </c>
      <c r="H3" s="122">
        <f t="array" ref="H3">SUMPRODUCT(((Başvuru!J2:K1562)="Prof. Dr. Ayşe Nurten AKARSU")*(Başvuru!G2:G1562="Bireysel Araştırma")*(Başvuru!L2:L1562="RET"))</f>
        <v>3</v>
      </c>
      <c r="I3" s="122">
        <f t="array" ref="I3">SUMPRODUCT(((Başvuru!J2:K1562)="Prof. Dr. Ayşe Nurten AKARSU")*(Başvuru!G2:G1562="Bireysel Araştırma")*(Başvuru!L2:L1562="KAPSAM DIŞI"))</f>
        <v>2</v>
      </c>
      <c r="J3" s="122">
        <f t="array" ref="J3">SUMPRODUCT(((Başvuru!J2:K1562)="Prof. Dr. Ayşe Nurten AKARSU")*(Başvuru!G2:G1562="Bireysel Araştırma")*(Başvuru!L2:L1562="GERİ ÇEKİLDİ"))</f>
        <v>0</v>
      </c>
      <c r="K3" s="121">
        <f t="shared" ref="K3:K14" si="0">SUM(D3:J3)</f>
        <v>80</v>
      </c>
      <c r="L3" s="121">
        <f t="array" ref="L3">SUMPRODUCT(((Başvuru!J2:K1562)="Prof. Dr. Ayşe Nurten AKARSU")*(Başvuru!G2:G1562="Yüksek Lisans Tezi")*(Başvuru!L2:L1562="ONAY"))</f>
        <v>2</v>
      </c>
      <c r="M3" s="121">
        <f t="array" ref="M3">SUMPRODUCT(((Başvuru!J2:K1562)="Prof. Dr. Ayşe Nurten AKARSU")*(Başvuru!G2:G1562="Yüksek Lisans Tezi")*(Başvuru!L2:L1562="DÜZELTME"))</f>
        <v>6</v>
      </c>
      <c r="N3" s="121">
        <f t="array" ref="N3">SUMPRODUCT(((Başvuru!J2:K1562)="Prof. Dr. Ayşe Nurten AKARSU")*(Başvuru!G2:G1562="Yüksek Lisans Tezi")*(Başvuru!L2:L1562="KAEK"))</f>
        <v>1</v>
      </c>
      <c r="O3" s="121">
        <f t="array" ref="O3">SUMPRODUCT(((Başvuru!J2:K1562)="Prof. Dr. Ayşe Nurten AKARSU")*(Başvuru!G2:G1562="Yüksek Lisans Tezi")*(Başvuru!L2:L1562="GÖRÜŞ"))</f>
        <v>0</v>
      </c>
      <c r="P3" s="121">
        <f t="array" ref="P3">SUMPRODUCT(((Başvuru!J2:K1562)="Prof. Dr. Ayşe Nurten AKARSU")*(Başvuru!G2:G1562="Yüksek Lisans Tezi")*(Başvuru!L2:L1562="RET"))</f>
        <v>0</v>
      </c>
      <c r="Q3" s="121">
        <f t="array" ref="Q3">SUMPRODUCT(((Başvuru!J2:K1562)="Prof. Dr. Ayşe Nurten AKARSU")*(Başvuru!G2:G1562="Yüksek Lisans Tezi")*(Başvuru!L2:L1562="KAPSAM DIŞI"))</f>
        <v>0</v>
      </c>
      <c r="R3" s="121">
        <f t="array" ref="R3">SUMPRODUCT(((Başvuru!J2:K1562)="Prof. Dr. Ayşe Nurten AKARSU")*(Başvuru!G2:G1562="Yüksek Lisans Tezi")*(Başvuru!L2:L1562="GERİ ÇEKİLDİ"))</f>
        <v>0</v>
      </c>
      <c r="S3" s="121">
        <f t="shared" ref="S3:S14" si="1">SUM(L3:R3)</f>
        <v>9</v>
      </c>
      <c r="T3" s="121">
        <f t="array" ref="T3">SUMPRODUCT(((Başvuru!J2:K1562)="Prof. Dr. Ayşe Nurten AKARSU")*(Başvuru!G2:G1562="Doktora Tezi")*(Başvuru!L2:L1562="ONAY"))</f>
        <v>4</v>
      </c>
      <c r="U3" s="121">
        <f t="array" ref="U3">SUMPRODUCT(((Başvuru!J2:K1562)="Prof. Dr. Ayşe Nurten AKARSU")*(Başvuru!G2:G1562="Doktora Tezi")*(Başvuru!L2:L1562="DÜZELTME"))</f>
        <v>5</v>
      </c>
      <c r="V3" s="121">
        <f t="array" ref="V3">SUMPRODUCT(((Başvuru!J2:K1562)="Prof. Dr. Ayşe Nurten AKARSU")*(Başvuru!G2:G1562="Doktora Tezi")*(Başvuru!L2:L1562="KAEK"))</f>
        <v>0</v>
      </c>
      <c r="W3" s="121">
        <f t="array" ref="W3">SUMPRODUCT(((Başvuru!J2:K1562)="Prof. Dr. Ayşe Nurten AKARSU")*(Başvuru!G2:G1562="Doktora Tezi")*(Başvuru!L2:L1562="GÖRÜŞ"))</f>
        <v>0</v>
      </c>
      <c r="X3" s="121">
        <f t="array" ref="X3">SUMPRODUCT(((Başvuru!J2:K1562)="Prof. Dr. Ayşe Nurten AKARSU")*(Başvuru!G2:G1562="Doktora Tezi")*(Başvuru!L2:L1562="RET"))</f>
        <v>0</v>
      </c>
      <c r="Y3" s="121">
        <f t="array" ref="Y3">SUMPRODUCT(((Başvuru!J2:K1562)="Prof. Dr. Ayşe Nurten AKARSU")*(Başvuru!G2:G1562="Doktora Tezi")*(Başvuru!L2:L1562="KAPSAM DIŞI"))</f>
        <v>0</v>
      </c>
      <c r="Z3" s="121">
        <f t="array" ref="Z3">SUMPRODUCT(((Başvuru!J2:K1562)="Prof. Dr. Ayşe Nurten AKARSU")*(Başvuru!G2:G1562="Doktora Tezi")*(Başvuru!L2:L1562="GERİ ÇEKİLDİ"))</f>
        <v>0</v>
      </c>
      <c r="AA3" s="121">
        <f t="shared" ref="AA3:AA14" si="2">SUM(T3:Z3)</f>
        <v>9</v>
      </c>
      <c r="AB3" s="121">
        <f t="array" ref="AB3">SUMPRODUCT(((Başvuru!J2:K1562)="Prof. Dr. Ayşe Nurten AKARSU")*(Başvuru!G2:G1562="Uzmanlık Tezi")*(Başvuru!L2:L1562="ONAY"))</f>
        <v>11</v>
      </c>
      <c r="AC3" s="121">
        <f t="array" ref="AC3">SUMPRODUCT(((Başvuru!J2:K1562)="Prof. Dr. Ayşe Nurten AKARSU")*(Başvuru!G2:G1562="Uzmanlık Tezi")*(Başvuru!L2:L1562="DÜZELTME"))</f>
        <v>4</v>
      </c>
      <c r="AD3" s="121">
        <f t="array" ref="AD3">SUMPRODUCT(((Başvuru!J2:K1562)="Prof. Dr. Ayşe Nurten AKARSU")*(Başvuru!G2:G1562="Uzmanlık Tezi")*(Başvuru!L2:L1562="KAEK"))</f>
        <v>0</v>
      </c>
      <c r="AE3" s="121">
        <f t="array" ref="AE3">SUMPRODUCT(((Başvuru!J2:K1562)="Prof. Dr. Ayşe Nurten AKARSU")*(Başvuru!G2:G1562="Uzmanlık Tezi")*(Başvuru!L2:L1562="GÖRÜŞ"))</f>
        <v>0</v>
      </c>
      <c r="AF3" s="121">
        <f t="array" ref="AF3">SUMPRODUCT(((Başvuru!J2:K1562)="Prof. Dr. Ayşe Nurten AKARSU")*(Başvuru!G2:G1562="Uzmanlık Tezi")*(Başvuru!L2:L1562="RET"))</f>
        <v>1</v>
      </c>
      <c r="AG3" s="121">
        <f t="array" ref="AG3">SUMPRODUCT(((Başvuru!J2:K1562)="Prof. Dr. Ayşe Nurten AKARSU")*(Başvuru!G2:G1562="Uzmanlık Tezi")*(Başvuru!L2:L1562="KAPSAM DIŞI"))</f>
        <v>1</v>
      </c>
      <c r="AH3" s="121">
        <f t="array" ref="AH3">SUMPRODUCT(((Başvuru!J2:K1562)="Prof. Dr. Ayşe Nurten AKARSU")*(Başvuru!G2:G1562="Uzmanlık Tezi")*(Başvuru!L2:L1562="GERİ ÇEKİLDİ"))</f>
        <v>0</v>
      </c>
      <c r="AI3" s="121">
        <f t="shared" ref="AI3:AI14" si="3">SUM(AB3:AH3)</f>
        <v>17</v>
      </c>
      <c r="AJ3" s="123">
        <f t="shared" ref="AJ3:AJ14" si="4">SUM(D3,L3,T3,AB3)</f>
        <v>59</v>
      </c>
      <c r="AK3" s="123">
        <f t="shared" ref="AK3:AK14" si="5">SUM(E3,M3,U3,AC3)</f>
        <v>43</v>
      </c>
      <c r="AL3" s="123">
        <f t="shared" ref="AL3:AL14" si="6">SUM(F3,N3,V3,AD3)</f>
        <v>3</v>
      </c>
      <c r="AM3" s="123">
        <f t="shared" ref="AM3:AM14" si="7">SUM(G3,O3,W3,AE3)</f>
        <v>3</v>
      </c>
      <c r="AN3" s="123">
        <f t="shared" ref="AN3:AN14" si="8">SUM(H3,P3,X3,AF3)</f>
        <v>4</v>
      </c>
      <c r="AO3" s="123">
        <f t="shared" ref="AO3:AO14" si="9">SUM(I3,Q3,Y3,AG3)</f>
        <v>3</v>
      </c>
      <c r="AP3" s="123">
        <f t="shared" ref="AP3:AP14" si="10">SUM(J3,R3,Z3,AH3)</f>
        <v>0</v>
      </c>
      <c r="AQ3" s="124">
        <f t="shared" ref="AQ3:AQ15" si="11">SUM(AJ3:AP3)</f>
        <v>115</v>
      </c>
      <c r="AR3" s="121">
        <f t="shared" ref="AR3:AR14" si="12">C3-AQ3</f>
        <v>2</v>
      </c>
      <c r="AS3" s="125">
        <f>COUNTIF(Başvuru!$Q:$Q,$B3)</f>
        <v>32</v>
      </c>
      <c r="AT3" s="126">
        <f>COUNTIFS(Başvuru!$Q:$Q,$B3,Başvuru!$J:$J,"&lt;&gt;"&amp;$B3,Başvuru!$K:$K,"&lt;&gt;"&amp;$B3)</f>
        <v>6</v>
      </c>
    </row>
    <row r="4" spans="1:46" s="116" customFormat="1" ht="30" customHeight="1" x14ac:dyDescent="0.25">
      <c r="A4" s="119" t="s">
        <v>78</v>
      </c>
      <c r="B4" s="120" t="s">
        <v>123</v>
      </c>
      <c r="C4" s="121">
        <f>COUNTIF(Başvuru!J2:K1562,"Prof. Dr. M. Özgür UYANIK")</f>
        <v>123</v>
      </c>
      <c r="D4" s="122">
        <f t="array" ref="D4">SUMPRODUCT(((Başvuru!J2:K1562)="Prof. Dr. M. Özgür UYANIK")*(Başvuru!G2:G1562="Bireysel Araştırma")*(Başvuru!L2:L1562="ONAY"))</f>
        <v>57</v>
      </c>
      <c r="E4" s="122">
        <f t="array" ref="E4">SUMPRODUCT(((Başvuru!J2:K1562)="Prof. Dr. M. Özgür UYANIK")*(Başvuru!G2:G1562="Bireysel Araştırma")*(Başvuru!L2:L1562="DÜZELTME"))</f>
        <v>24</v>
      </c>
      <c r="F4" s="122">
        <f t="array" ref="F4">SUMPRODUCT(((Başvuru!J2:K1562)="Prof. Dr. M. Özgür UYANIK")*(Başvuru!G2:G1562="Bireysel Araştırma")*(Başvuru!L2:L1562="KAEK"))</f>
        <v>2</v>
      </c>
      <c r="G4" s="122">
        <f t="array" ref="G4">SUMPRODUCT(((Başvuru!J2:K1562)="Prof. Dr. M. Özgür UYANIK")*(Başvuru!G2:G1562="Bireysel Araştırma")*(Başvuru!L2:L1562="GÖRÜŞ"))</f>
        <v>3</v>
      </c>
      <c r="H4" s="122">
        <f t="array" ref="H4">SUMPRODUCT(((Başvuru!J2:K1562)="Prof. Dr. M. Özgür UYANIK")*(Başvuru!G2:G1562="Bireysel Araştırma")*(Başvuru!L2:L1562="RET"))</f>
        <v>4</v>
      </c>
      <c r="I4" s="122">
        <f t="array" ref="I4">SUMPRODUCT(((Başvuru!J2:K1562)="Prof. Dr. M. Özgür UYANIK")*(Başvuru!G2:G1562="Bireysel Araştırma")*(Başvuru!L2:L1562="KAPSAM DIŞI"))</f>
        <v>0</v>
      </c>
      <c r="J4" s="122">
        <f t="array" ref="J4">SUMPRODUCT(((Başvuru!J2:K1562)="Prof. Dr. M. Özgür UYANIK")*(Başvuru!G2:G1562="Bireysel Araştırma")*(Başvuru!L2:L1562="GERİ ÇEKİLDİ"))</f>
        <v>0</v>
      </c>
      <c r="K4" s="121">
        <f t="shared" si="0"/>
        <v>90</v>
      </c>
      <c r="L4" s="121">
        <f t="array" ref="L4">SUMPRODUCT(((Başvuru!J2:K1562)="Prof. Dr. M. Özgür UYANIK")*(Başvuru!G2:G1562="Yüksek Lisans Tezi")*(Başvuru!L2:L1562="ONAY"))</f>
        <v>1</v>
      </c>
      <c r="M4" s="121">
        <f t="array" ref="M4">SUMPRODUCT(((Başvuru!J2:K1562)="Prof. Dr. M. Özgür UYANIK")*(Başvuru!G2:G1562="Yüksek Lisans Tezi")*(Başvuru!L2:L1562="DÜZELTME"))</f>
        <v>0</v>
      </c>
      <c r="N4" s="121">
        <f t="array" ref="N4">SUMPRODUCT(((Başvuru!J2:K1562)="Prof. Dr. M. Özgür UYANIK")*(Başvuru!G2:G1562="Yüksek Lisans Tezi")*(Başvuru!L2:L1562="KAEK"))</f>
        <v>0</v>
      </c>
      <c r="O4" s="121">
        <f t="array" ref="O4">SUMPRODUCT(((Başvuru!J2:K1562)="Prof. Dr. M. Özgür UYANIK")*(Başvuru!G2:G1562="Yüksek Lisans Tezi")*(Başvuru!L2:L1562="GÖRÜŞ"))</f>
        <v>0</v>
      </c>
      <c r="P4" s="121">
        <f t="array" ref="P4">SUMPRODUCT(((Başvuru!J2:K1562)="Prof. Dr. M. Özgür UYANIK")*(Başvuru!G2:G1562="Yüksek Lisans Tezi")*(Başvuru!L2:L1562="RET"))</f>
        <v>0</v>
      </c>
      <c r="Q4" s="121">
        <f t="array" ref="Q4">SUMPRODUCT(((Başvuru!J2:K1562)="Prof. Dr. M. Özgür UYANIK")*(Başvuru!G2:G1562="Yüksek Lisans Tezi")*(Başvuru!L2:L1562="KAPSAM DIŞI"))</f>
        <v>0</v>
      </c>
      <c r="R4" s="121">
        <f t="array" ref="R4">SUMPRODUCT(((Başvuru!J2:K1562)="Prof. Dr. M. Özgür UYANIK")*(Başvuru!G2:G1562="Yüksek Lisans Tezi")*(Başvuru!L2:L1562="GERİ ÇEKİLDİ"))</f>
        <v>0</v>
      </c>
      <c r="S4" s="121">
        <f t="shared" si="1"/>
        <v>1</v>
      </c>
      <c r="T4" s="121">
        <f t="array" ref="T4">SUMPRODUCT(((Başvuru!J2:K1562)="Prof. Dr. M. Özgür UYANIK")*(Başvuru!G2:G1562="Doktora Tezi")*(Başvuru!L2:L1562="ONAY"))</f>
        <v>1</v>
      </c>
      <c r="U4" s="121">
        <f t="array" ref="U4">SUMPRODUCT(((Başvuru!J2:K1562)="Prof. Dr. M. Özgür UYANIK")*(Başvuru!G2:G1562="Doktora Tezi")*(Başvuru!L2:L1562="DÜZELTME"))</f>
        <v>1</v>
      </c>
      <c r="V4" s="121">
        <f t="array" ref="V4">SUMPRODUCT(((Başvuru!J2:K1562)="Prof. Dr. M. Özgür UYANIK")*(Başvuru!G2:G1562="Doktora Tezi")*(Başvuru!L2:L1562="KAEK"))</f>
        <v>0</v>
      </c>
      <c r="W4" s="121">
        <f t="array" ref="W4">SUMPRODUCT(((Başvuru!J2:K1562)="Prof. Dr. M. Özgür UYANIK")*(Başvuru!G2:G1562="Doktora Tezi")*(Başvuru!L2:L1562="GÖRÜŞ"))</f>
        <v>0</v>
      </c>
      <c r="X4" s="121">
        <f t="array" ref="X4">SUMPRODUCT(((Başvuru!J2:K1562)="Prof. Dr. M. Özgür UYANIK")*(Başvuru!G2:G1562="Doktora Tezi")*(Başvuru!L2:L1562="RET"))</f>
        <v>0</v>
      </c>
      <c r="Y4" s="121">
        <f t="array" ref="Y4">SUMPRODUCT(((Başvuru!J2:K1562)="Prof. Dr. M. Özgür UYANIK")*(Başvuru!G2:G1562="Doktora Tezi")*(Başvuru!L2:L1562="KAPSAM DIŞI"))</f>
        <v>0</v>
      </c>
      <c r="Z4" s="121">
        <f t="array" ref="Z4">SUMPRODUCT(((Başvuru!J2:K1562)="Prof. Dr. M. Özgür UYANIK")*(Başvuru!G2:G1562="Doktora Tezi")*(Başvuru!L2:L1562="GERİ ÇEKİLDİ"))</f>
        <v>0</v>
      </c>
      <c r="AA4" s="121">
        <f t="shared" si="2"/>
        <v>2</v>
      </c>
      <c r="AB4" s="121">
        <f t="array" ref="AB4">SUMPRODUCT(((Başvuru!J2:K1562)="Prof. Dr. M. Özgür UYANIK")*(Başvuru!G2:G1562="Uzmanlık Tezi")*(Başvuru!L2:L1562="ONAY"))</f>
        <v>19</v>
      </c>
      <c r="AC4" s="121">
        <f t="array" ref="AC4">SUMPRODUCT(((Başvuru!J2:K1562)="Prof. Dr. M. Özgür UYANIK")*(Başvuru!G2:G1562="Uzmanlık Tezi")*(Başvuru!L2:L1562="DÜZELTME"))</f>
        <v>6</v>
      </c>
      <c r="AD4" s="121">
        <f t="array" ref="AD4">SUMPRODUCT(((Başvuru!J2:K1562)="Prof. Dr. M. Özgür UYANIK")*(Başvuru!G2:G1562="Uzmanlık Tezi")*(Başvuru!L2:L1562="KAEK"))</f>
        <v>0</v>
      </c>
      <c r="AE4" s="121">
        <f t="array" ref="AE4">SUMPRODUCT(((Başvuru!J2:K1562)="Prof. Dr. M. Özgür UYANIK")*(Başvuru!G2:G1562="Uzmanlık Tezi")*(Başvuru!L2:L1562="GÖRÜŞ"))</f>
        <v>1</v>
      </c>
      <c r="AF4" s="121">
        <f t="array" ref="AF4">SUMPRODUCT(((Başvuru!J2:K1562)="Prof. Dr. M. Özgür UYANIK")*(Başvuru!G2:G1562="Uzmanlık Tezi")*(Başvuru!L2:L1562="RET"))</f>
        <v>1</v>
      </c>
      <c r="AG4" s="121">
        <f t="array" ref="AG4">SUMPRODUCT(((Başvuru!J2:K1562)="Prof. Dr. M. Özgür UYANIK")*(Başvuru!G2:G1562="Uzmanlık Tezi")*(Başvuru!L2:L1562="KAPSAM DIŞI"))</f>
        <v>1</v>
      </c>
      <c r="AH4" s="121">
        <f t="array" ref="AH4">SUMPRODUCT(((Başvuru!J2:K1562)="Prof. Dr. M. Özgür UYANIK")*(Başvuru!G2:G1562="Uzmanlık Tezi")*(Başvuru!L2:L1562="GERİ ÇEKİLDİ"))</f>
        <v>0</v>
      </c>
      <c r="AI4" s="121">
        <f t="shared" si="3"/>
        <v>28</v>
      </c>
      <c r="AJ4" s="123">
        <f t="shared" si="4"/>
        <v>78</v>
      </c>
      <c r="AK4" s="123">
        <f t="shared" si="5"/>
        <v>31</v>
      </c>
      <c r="AL4" s="123">
        <f t="shared" si="6"/>
        <v>2</v>
      </c>
      <c r="AM4" s="123">
        <f t="shared" si="7"/>
        <v>4</v>
      </c>
      <c r="AN4" s="123">
        <f t="shared" si="8"/>
        <v>5</v>
      </c>
      <c r="AO4" s="123">
        <f t="shared" si="9"/>
        <v>1</v>
      </c>
      <c r="AP4" s="123">
        <f t="shared" si="10"/>
        <v>0</v>
      </c>
      <c r="AQ4" s="124">
        <f t="shared" si="11"/>
        <v>121</v>
      </c>
      <c r="AR4" s="121">
        <f t="shared" si="12"/>
        <v>2</v>
      </c>
      <c r="AS4" s="125">
        <f>COUNTIF(Başvuru!$Q:$Q,$B4)</f>
        <v>6</v>
      </c>
      <c r="AT4" s="126">
        <f>COUNTIFS(Başvuru!$Q:$Q,$B4,Başvuru!$J:$J,"&lt;&gt;"&amp;$B4,Başvuru!$K:$K,"&lt;&gt;"&amp;$B4)</f>
        <v>0</v>
      </c>
    </row>
    <row r="5" spans="1:46" s="116" customFormat="1" ht="30" customHeight="1" x14ac:dyDescent="0.25">
      <c r="A5" s="119" t="s">
        <v>85</v>
      </c>
      <c r="B5" s="120" t="s">
        <v>109</v>
      </c>
      <c r="C5" s="121">
        <f>COUNTIF(Başvuru!J2:K1562,"Prof. Dr. Melih Önder BABAOĞLU")</f>
        <v>104</v>
      </c>
      <c r="D5" s="122">
        <f t="array" ref="D5">SUMPRODUCT(((Başvuru!J2:K1562)="Prof. Dr. Melih Önder BABAOĞLU")*(Başvuru!G2:G1562="Bireysel Araştırma")*(Başvuru!L2:L1562="ONAY"))</f>
        <v>30</v>
      </c>
      <c r="E5" s="122">
        <f t="array" ref="E5">SUMPRODUCT(((Başvuru!J2:K1562)="Prof. Dr. Melih Önder BABAOĞLU")*(Başvuru!G2:G1562="Bireysel Araştırma")*(Başvuru!L2:L1562="DÜZELTME"))</f>
        <v>34</v>
      </c>
      <c r="F5" s="122">
        <f t="array" ref="F5">SUMPRODUCT(((Başvuru!J2:K1562)="Prof. Dr. Melih Önder BABAOĞLU")*(Başvuru!G2:G1562="Bireysel Araştırma")*(Başvuru!L2:L1562="KAEK"))</f>
        <v>2</v>
      </c>
      <c r="G5" s="122">
        <f t="array" ref="G5">SUMPRODUCT(((Başvuru!J2:K1562)="Prof. Dr. Melih Önder BABAOĞLU")*(Başvuru!G2:G1562="Bireysel Araştırma")*(Başvuru!L2:L1562="GÖRÜŞ"))</f>
        <v>3</v>
      </c>
      <c r="H5" s="122">
        <f t="array" ref="H5">SUMPRODUCT(((Başvuru!J2:K1562)="Prof. Dr. Melih Önder BABAOĞLU")*(Başvuru!G2:G1562="Bireysel Araştırma")*(Başvuru!L2:L1562="RET"))</f>
        <v>6</v>
      </c>
      <c r="I5" s="122">
        <f t="array" ref="I5">SUMPRODUCT(((Başvuru!J2:K1562)="Prof. Dr. Melih Önder BABAOĞLU")*(Başvuru!G2:G1562="Bireysel Araştırma")*(Başvuru!L2:L1562="KAPSAM DIŞI"))</f>
        <v>4</v>
      </c>
      <c r="J5" s="122">
        <f t="array" ref="J5">SUMPRODUCT(((Başvuru!J2:K1562)="Prof. Dr. Melih Önder BABAOĞLU")*(Başvuru!G2:G1562="Bireysel Araştırma")*(Başvuru!L2:L1562="GERİ ÇEKİLDİ"))</f>
        <v>0</v>
      </c>
      <c r="K5" s="121">
        <f t="shared" si="0"/>
        <v>79</v>
      </c>
      <c r="L5" s="121">
        <f t="array" ref="L5">SUMPRODUCT(((Başvuru!J2:K1562)="Prof. Dr. Melih Önder BABAOĞLU")*(Başvuru!G2:G1562="Yüksek Lisans Tezi")*(Başvuru!L2:L1562="ONAY"))</f>
        <v>0</v>
      </c>
      <c r="M5" s="121">
        <f t="array" ref="M5">SUMPRODUCT(((Başvuru!J2:K1562)="Prof. Dr. Melih Önder BABAOĞLU")*(Başvuru!G2:G1562="Yüksek Lisans Tezi")*(Başvuru!L2:L1562="DÜZELTME"))</f>
        <v>4</v>
      </c>
      <c r="N5" s="121">
        <f t="array" ref="N5">SUMPRODUCT(((Başvuru!J2:K1562)="Prof. Dr. Melih Önder BABAOĞLU")*(Başvuru!G2:G1562="Yüksek Lisans Tezi")*(Başvuru!L2:L1562="KAEK"))</f>
        <v>0</v>
      </c>
      <c r="O5" s="121">
        <f t="array" ref="O5">SUMPRODUCT(((Başvuru!J2:K1562)="Prof. Dr. Melih Önder BABAOĞLU")*(Başvuru!G2:G1562="Yüksek Lisans Tezi")*(Başvuru!L2:L1562="GÖRÜŞ"))</f>
        <v>0</v>
      </c>
      <c r="P5" s="121">
        <f t="array" ref="P5">SUMPRODUCT(((Başvuru!J2:K1562)="Prof. Dr. Melih Önder BABAOĞLU")*(Başvuru!G2:G1562="Yüksek Lisans Tezi")*(Başvuru!L2:L1562="RET"))</f>
        <v>0</v>
      </c>
      <c r="Q5" s="121">
        <f t="array" ref="Q5">SUMPRODUCT(((Başvuru!J2:K1562)="Prof. Dr. Melih Önder BABAOĞLU")*(Başvuru!G2:G1562="Yüksek Lisans Tezi")*(Başvuru!L2:L1562="KAPSAM DIŞI"))</f>
        <v>0</v>
      </c>
      <c r="R5" s="121">
        <f t="array" ref="R5">SUMPRODUCT(((Başvuru!J2:K1562)="Prof. Dr. Melih Önder BABAOĞLU")*(Başvuru!G2:G1562="Yüksek Lisans Tezi")*(Başvuru!L2:L1562="GERİ ÇEKİLDİ"))</f>
        <v>0</v>
      </c>
      <c r="S5" s="121">
        <f t="shared" si="1"/>
        <v>4</v>
      </c>
      <c r="T5" s="121">
        <f t="array" ref="T5">SUMPRODUCT(((Başvuru!J2:K1562)="Prof. Dr. Melih Önder BABAOĞLU")*(Başvuru!G2:G1562="Doktora Tezi")*(Başvuru!L2:L1562="ONAY"))</f>
        <v>0</v>
      </c>
      <c r="U5" s="121">
        <f t="array" ref="U5">SUMPRODUCT(((Başvuru!J2:K1562)="Prof. Dr. Melih Önder BABAOĞLU")*(Başvuru!G2:G1562="Doktora Tezi")*(Başvuru!L2:L1562="DÜZELTME"))</f>
        <v>2</v>
      </c>
      <c r="V5" s="121">
        <f t="array" ref="V5">SUMPRODUCT(((Başvuru!J2:K1562)="Prof. Dr. Melih Önder BABAOĞLU")*(Başvuru!G2:G1562="Doktora Tezi")*(Başvuru!L2:L1562="KAEK"))</f>
        <v>0</v>
      </c>
      <c r="W5" s="121">
        <f t="array" ref="W5">SUMPRODUCT(((Başvuru!J2:K1562)="Prof. Dr. Melih Önder BABAOĞLU")*(Başvuru!G2:G1562="Doktora Tezi")*(Başvuru!L2:L1562="GÖRÜŞ"))</f>
        <v>0</v>
      </c>
      <c r="X5" s="121">
        <f t="array" ref="X5">SUMPRODUCT(((Başvuru!J2:K1562)="Prof. Dr. Melih Önder BABAOĞLU")*(Başvuru!G2:G1562="Doktora Tezi")*(Başvuru!L2:L1562="RET"))</f>
        <v>0</v>
      </c>
      <c r="Y5" s="121">
        <f t="array" ref="Y5">SUMPRODUCT(((Başvuru!J2:K1562)="Prof. Dr. Melih Önder BABAOĞLU")*(Başvuru!G2:G1562="Doktora Tezi")*(Başvuru!L2:L1562="KAPSAM DIŞI"))</f>
        <v>0</v>
      </c>
      <c r="Z5" s="121">
        <f t="array" ref="Z5">SUMPRODUCT(((Başvuru!J2:K1562)="Prof. Dr. Melih Önder BABAOĞLU")*(Başvuru!G2:G1562="Doktora Tezi")*(Başvuru!L2:L1562="GERİ ÇEKİLDİ"))</f>
        <v>0</v>
      </c>
      <c r="AA5" s="121">
        <f t="shared" si="2"/>
        <v>2</v>
      </c>
      <c r="AB5" s="121">
        <f t="array" ref="AB5">SUMPRODUCT(((Başvuru!J2:K1562)="Prof. Dr. Melih Önder BABAOĞLU")*(Başvuru!G2:G1562="Uzmanlık Tezi")*(Başvuru!L2:L1562="ONAY"))</f>
        <v>7</v>
      </c>
      <c r="AC5" s="121">
        <f t="array" ref="AC5">SUMPRODUCT(((Başvuru!J2:K1562)="Prof. Dr. Melih Önder BABAOĞLU")*(Başvuru!G2:G1562="Uzmanlık Tezi")*(Başvuru!L2:L1562="DÜZELTME"))</f>
        <v>6</v>
      </c>
      <c r="AD5" s="121">
        <f t="array" ref="AD5">SUMPRODUCT(((Başvuru!J2:K1562)="Prof. Dr. Melih Önder BABAOĞLU")*(Başvuru!G2:G1562="Uzmanlık Tezi")*(Başvuru!L2:L1562="KAEK"))</f>
        <v>0</v>
      </c>
      <c r="AE5" s="121">
        <f t="array" ref="AE5">SUMPRODUCT(((Başvuru!J2:K1562)="Prof. Dr. Melih Önder BABAOĞLU")*(Başvuru!G2:G1562="Uzmanlık Tezi")*(Başvuru!L2:L1562="GÖRÜŞ"))</f>
        <v>2</v>
      </c>
      <c r="AF5" s="121">
        <f t="array" ref="AF5">SUMPRODUCT(((Başvuru!J2:K1562)="Prof. Dr. Melih Önder BABAOĞLU")*(Başvuru!G2:G1562="Uzmanlık Tezi")*(Başvuru!L2:L1562="RET"))</f>
        <v>1</v>
      </c>
      <c r="AG5" s="121">
        <f t="array" ref="AG5">SUMPRODUCT(((Başvuru!J2:K1562)="Prof. Dr. Melih Önder BABAOĞLU")*(Başvuru!G2:G1562="Uzmanlık Tezi")*(Başvuru!L2:L1562="KAPSAM DIŞI"))</f>
        <v>1</v>
      </c>
      <c r="AH5" s="121">
        <f t="array" ref="AH5">SUMPRODUCT(((Başvuru!J2:K1562)="Prof. Dr. Melih Önder BABAOĞLU")*(Başvuru!G2:G1562="Uzmanlık Tezi")*(Başvuru!L2:L1562="GERİ ÇEKİLDİ"))</f>
        <v>0</v>
      </c>
      <c r="AI5" s="121">
        <f t="shared" si="3"/>
        <v>17</v>
      </c>
      <c r="AJ5" s="123">
        <f t="shared" si="4"/>
        <v>37</v>
      </c>
      <c r="AK5" s="123">
        <f t="shared" si="5"/>
        <v>46</v>
      </c>
      <c r="AL5" s="123">
        <f t="shared" si="6"/>
        <v>2</v>
      </c>
      <c r="AM5" s="123">
        <f t="shared" si="7"/>
        <v>5</v>
      </c>
      <c r="AN5" s="123">
        <f t="shared" si="8"/>
        <v>7</v>
      </c>
      <c r="AO5" s="123">
        <f t="shared" si="9"/>
        <v>5</v>
      </c>
      <c r="AP5" s="123">
        <f t="shared" si="10"/>
        <v>0</v>
      </c>
      <c r="AQ5" s="124">
        <f t="shared" si="11"/>
        <v>102</v>
      </c>
      <c r="AR5" s="121">
        <f t="shared" si="12"/>
        <v>2</v>
      </c>
      <c r="AS5" s="125">
        <f>COUNTIF(Başvuru!$Q:$Q,$B5)</f>
        <v>25</v>
      </c>
      <c r="AT5" s="126">
        <f>COUNTIFS(Başvuru!$Q:$Q,$B5,Başvuru!$J:$J,"&lt;&gt;"&amp;$B5,Başvuru!$K:$K,"&lt;&gt;"&amp;$B5)</f>
        <v>1</v>
      </c>
    </row>
    <row r="6" spans="1:46" s="116" customFormat="1" ht="30" customHeight="1" x14ac:dyDescent="0.25">
      <c r="A6" s="119" t="s">
        <v>93</v>
      </c>
      <c r="B6" s="120" t="s">
        <v>116</v>
      </c>
      <c r="C6" s="121">
        <f>COUNTIF(Başvuru!J2:K1562,"Prof. Dr. Ayşe KİN İŞLER")</f>
        <v>114</v>
      </c>
      <c r="D6" s="122">
        <f t="array" ref="D6">SUMPRODUCT(((Başvuru!J2:K1562)="Prof. Dr. Ayşe KİN İŞLER")*(Başvuru!G2:G1562="Bireysel Araştırma")*(Başvuru!L2:L1562="ONAY"))</f>
        <v>58</v>
      </c>
      <c r="E6" s="122">
        <f t="array" ref="E6">SUMPRODUCT(((Başvuru!J2:K1562)="Prof. Dr. Ayşe KİN İŞLER")*(Başvuru!G2:G1562="Bireysel Araştırma")*(Başvuru!L2:L1562="DÜZELTME"))</f>
        <v>27</v>
      </c>
      <c r="F6" s="122">
        <f t="array" ref="F6">SUMPRODUCT(((Başvuru!J2:K1562)="Prof. Dr. Ayşe KİN İŞLER")*(Başvuru!G2:G1562="Bireysel Araştırma")*(Başvuru!L2:L1562="KAEK"))</f>
        <v>3</v>
      </c>
      <c r="G6" s="122">
        <f t="array" ref="G6">SUMPRODUCT(((Başvuru!J2:K1562)="Prof. Dr. Ayşe KİN İŞLER")*(Başvuru!G2:G1562="Bireysel Araştırma")*(Başvuru!L2:L1562="GÖRÜŞ"))</f>
        <v>3</v>
      </c>
      <c r="H6" s="122">
        <f t="array" ref="H6">SUMPRODUCT(((Başvuru!J2:K1562)="Prof. Dr. Ayşe KİN İŞLER")*(Başvuru!G2:G1562="Bireysel Araştırma")*(Başvuru!L2:L1562="RET"))</f>
        <v>0</v>
      </c>
      <c r="I6" s="122">
        <f t="array" ref="I6">SUMPRODUCT(((Başvuru!J2:K1562)="Prof. Dr. Ayşe KİN İŞLER")*(Başvuru!G2:G1562="Bireysel Araştırma")*(Başvuru!L2:L1562="KAPSAM DIŞI"))</f>
        <v>0</v>
      </c>
      <c r="J6" s="122">
        <f t="array" ref="J6">SUMPRODUCT(((Başvuru!J2:K1562)="Prof. Dr. Ayşe KİN İŞLER")*(Başvuru!G2:G1562="Bireysel Araştırma")*(Başvuru!L2:L1562="GERİ ÇEKİLDİ"))</f>
        <v>0</v>
      </c>
      <c r="K6" s="121">
        <f t="shared" si="0"/>
        <v>91</v>
      </c>
      <c r="L6" s="121">
        <f t="array" ref="L6">SUMPRODUCT(((Başvuru!J2:K1562)="Prof. Dr. Ayşe KİN İŞLER")*(Başvuru!G2:G1562="Yüksek Lisans Tezi")*(Başvuru!L2:L1562="ONAY"))</f>
        <v>2</v>
      </c>
      <c r="M6" s="121">
        <f t="array" ref="M6">SUMPRODUCT(((Başvuru!J2:K1562)="Prof. Dr. Ayşe KİN İŞLER")*(Başvuru!G2:G1562="Yüksek Lisans Tezi")*(Başvuru!L2:L1562="DÜZELTME"))</f>
        <v>2</v>
      </c>
      <c r="N6" s="121">
        <f t="array" ref="N6">SUMPRODUCT(((Başvuru!J2:K1562)="Prof. Dr. Ayşe KİN İŞLER")*(Başvuru!G2:G1562="Yüksek Lisans Tezi")*(Başvuru!L2:L1562="KAEK"))</f>
        <v>0</v>
      </c>
      <c r="O6" s="121">
        <f t="array" ref="O6">SUMPRODUCT(((Başvuru!J2:K1562)="Prof. Dr. Ayşe KİN İŞLER")*(Başvuru!G2:G1562="Yüksek Lisans Tezi")*(Başvuru!L2:L1562="GÖRÜŞ"))</f>
        <v>0</v>
      </c>
      <c r="P6" s="121">
        <f t="array" ref="P6">SUMPRODUCT(((Başvuru!J2:K1562)="Prof. Dr. Ayşe KİN İŞLER")*(Başvuru!G2:G1562="Yüksek Lisans Tezi")*(Başvuru!L2:L1562="RET"))</f>
        <v>0</v>
      </c>
      <c r="Q6" s="121">
        <f t="array" ref="Q6">SUMPRODUCT(((Başvuru!J2:K1562)="Prof. Dr. Ayşe KİN İŞLER")*(Başvuru!G2:G1562="Yüksek Lisans Tezi")*(Başvuru!L2:L1562="KAPSAM DIŞI"))</f>
        <v>0</v>
      </c>
      <c r="R6" s="121">
        <f t="array" ref="R6">SUMPRODUCT(((Başvuru!J2:K1562)="Prof. Dr. Ayşe KİN İŞLER")*(Başvuru!G2:G1562="Yüksek Lisans Tezi")*(Başvuru!L2:L1562="GERİ ÇEKİLDİ"))</f>
        <v>0</v>
      </c>
      <c r="S6" s="121">
        <f t="shared" si="1"/>
        <v>4</v>
      </c>
      <c r="T6" s="121">
        <f t="array" ref="T6">SUMPRODUCT(((Başvuru!J2:K1562)="Prof. Dr. Ayşe KİN İŞLER")*(Başvuru!G2:G1562="Doktora Tezi")*(Başvuru!L2:L1562="ONAY"))</f>
        <v>2</v>
      </c>
      <c r="U6" s="121">
        <f t="array" ref="U6">SUMPRODUCT(((Başvuru!J2:K1562)="Prof. Dr. Ayşe KİN İŞLER")*(Başvuru!G2:G1562="Doktora Tezi")*(Başvuru!L2:L1562="DÜZELTME"))</f>
        <v>1</v>
      </c>
      <c r="V6" s="121">
        <f t="array" ref="V6">SUMPRODUCT(((Başvuru!J2:K1562)="Prof. Dr. Ayşe KİN İŞLER")*(Başvuru!G2:G1562="Doktora Tezi")*(Başvuru!L2:L1562="KAEK"))</f>
        <v>0</v>
      </c>
      <c r="W6" s="121">
        <f t="array" ref="W6">SUMPRODUCT(((Başvuru!J2:K1562)="Prof. Dr. Ayşe KİN İŞLER")*(Başvuru!G2:G1562="Doktora Tezi")*(Başvuru!L2:L1562="GÖRÜŞ"))</f>
        <v>0</v>
      </c>
      <c r="X6" s="121">
        <f t="array" ref="X6">SUMPRODUCT(((Başvuru!J2:K1562)="Prof. Dr. Ayşe KİN İŞLER")*(Başvuru!G2:G1562="Doktora Tezi")*(Başvuru!L2:L1562="RET"))</f>
        <v>0</v>
      </c>
      <c r="Y6" s="121">
        <f t="array" ref="Y6">SUMPRODUCT(((Başvuru!J2:K1562)="Prof. Dr. Ayşe KİN İŞLER")*(Başvuru!G2:G1562="Doktora Tezi")*(Başvuru!L2:L1562="KAPSAM DIŞI"))</f>
        <v>0</v>
      </c>
      <c r="Z6" s="121">
        <f t="array" ref="Z6">SUMPRODUCT(((Başvuru!J2:K1562)="Prof. Dr. Ayşe KİN İŞLER")*(Başvuru!G2:G1562="Doktora Tezi")*(Başvuru!L2:L1562="GERİ ÇEKİLDİ"))</f>
        <v>0</v>
      </c>
      <c r="AA6" s="121">
        <f t="shared" si="2"/>
        <v>3</v>
      </c>
      <c r="AB6" s="121">
        <f t="array" ref="AB6">SUMPRODUCT(((Başvuru!J2:K1562)="Prof. Dr. Ayşe KİN İŞLER")*(Başvuru!G2:G1562="Uzmanlık Tezi")*(Başvuru!L2:L1562="ONAY"))</f>
        <v>8</v>
      </c>
      <c r="AC6" s="121">
        <f t="array" ref="AC6">SUMPRODUCT(((Başvuru!J2:K1562)="Prof. Dr. Ayşe KİN İŞLER")*(Başvuru!G2:G1562="Uzmanlık Tezi")*(Başvuru!L2:L1562="DÜZELTME"))</f>
        <v>7</v>
      </c>
      <c r="AD6" s="121">
        <f t="array" ref="AD6">SUMPRODUCT(((Başvuru!J2:K1562)="Prof. Dr. Ayşe KİN İŞLER")*(Başvuru!G2:G1562="Uzmanlık Tezi")*(Başvuru!L2:L1562="KAEK"))</f>
        <v>0</v>
      </c>
      <c r="AE6" s="121">
        <f t="array" ref="AE6">SUMPRODUCT(((Başvuru!J2:K1562)="Prof. Dr. Ayşe KİN İŞLER")*(Başvuru!G2:G1562="Uzmanlık Tezi")*(Başvuru!L2:L1562="GÖRÜŞ"))</f>
        <v>0</v>
      </c>
      <c r="AF6" s="121">
        <f t="array" ref="AF6">SUMPRODUCT(((Başvuru!J2:K1562)="Prof. Dr. Ayşe KİN İŞLER")*(Başvuru!G2:G1562="Uzmanlık Tezi")*(Başvuru!L2:L1562="RET"))</f>
        <v>0</v>
      </c>
      <c r="AG6" s="121">
        <f t="array" ref="AG6">SUMPRODUCT(((Başvuru!J2:K1562)="Prof. Dr. Ayşe KİN İŞLER")*(Başvuru!G2:G1562="Uzmanlık Tezi")*(Başvuru!L2:L1562="KAPSAM DIŞI"))</f>
        <v>0</v>
      </c>
      <c r="AH6" s="121">
        <f t="array" ref="AH6">SUMPRODUCT(((Başvuru!J2:K1562)="Prof. Dr. Ayşe KİN İŞLER")*(Başvuru!G2:G1562="Uzmanlık Tezi")*(Başvuru!L2:L1562="GERİ ÇEKİLDİ"))</f>
        <v>0</v>
      </c>
      <c r="AI6" s="121">
        <f t="shared" si="3"/>
        <v>15</v>
      </c>
      <c r="AJ6" s="123">
        <f t="shared" si="4"/>
        <v>70</v>
      </c>
      <c r="AK6" s="123">
        <f t="shared" si="5"/>
        <v>37</v>
      </c>
      <c r="AL6" s="123">
        <f t="shared" si="6"/>
        <v>3</v>
      </c>
      <c r="AM6" s="123">
        <f t="shared" si="7"/>
        <v>3</v>
      </c>
      <c r="AN6" s="123">
        <f t="shared" si="8"/>
        <v>0</v>
      </c>
      <c r="AO6" s="123">
        <f t="shared" si="9"/>
        <v>0</v>
      </c>
      <c r="AP6" s="123">
        <f t="shared" si="10"/>
        <v>0</v>
      </c>
      <c r="AQ6" s="124">
        <f t="shared" si="11"/>
        <v>113</v>
      </c>
      <c r="AR6" s="121">
        <f t="shared" si="12"/>
        <v>1</v>
      </c>
      <c r="AS6" s="125">
        <f>COUNTIF(Başvuru!$Q:$Q,$B6)</f>
        <v>12</v>
      </c>
      <c r="AT6" s="126">
        <f>COUNTIFS(Başvuru!$Q:$Q,$B6,Başvuru!$J:$J,"&lt;&gt;"&amp;$B6,Başvuru!$K:$K,"&lt;&gt;"&amp;$B6)</f>
        <v>0</v>
      </c>
    </row>
    <row r="7" spans="1:46" s="116" customFormat="1" ht="30" customHeight="1" x14ac:dyDescent="0.25">
      <c r="A7" s="119" t="s">
        <v>102</v>
      </c>
      <c r="B7" s="120" t="s">
        <v>108</v>
      </c>
      <c r="C7" s="121">
        <f>COUNTIF(Başvuru!J2:K1562,"Prof. Dr. Yavuz AYHAN")</f>
        <v>92</v>
      </c>
      <c r="D7" s="122">
        <f t="array" ref="D7">SUMPRODUCT(((Başvuru!J2:K1562)="Prof. Dr. Yavuz AYHAN")*(Başvuru!G2:G1562="Bireysel Araştırma")*(Başvuru!L2:L1562="ONAY"))</f>
        <v>38</v>
      </c>
      <c r="E7" s="122">
        <f t="array" ref="E7">SUMPRODUCT(((Başvuru!J2:K1562)="Prof. Dr. Yavuz AYHAN")*(Başvuru!G2:G1562="Bireysel Araştırma")*(Başvuru!L2:L1562="DÜZELTME"))</f>
        <v>17</v>
      </c>
      <c r="F7" s="122">
        <f t="array" ref="F7">SUMPRODUCT(((Başvuru!J2:K1562)="Prof. Dr. Yavuz AYHAN")*(Başvuru!G2:G1562="Bireysel Araştırma")*(Başvuru!L2:L1562="KAEK"))</f>
        <v>2</v>
      </c>
      <c r="G7" s="122">
        <f t="array" ref="G7">SUMPRODUCT(((Başvuru!J2:K1562)="Prof. Dr. Yavuz AYHAN")*(Başvuru!G2:G1562="Bireysel Araştırma")*(Başvuru!L2:L1562="GÖRÜŞ"))</f>
        <v>4</v>
      </c>
      <c r="H7" s="122">
        <f t="array" ref="H7">SUMPRODUCT(((Başvuru!J2:K1562)="Prof. Dr. Yavuz AYHAN")*(Başvuru!G2:G1562="Bireysel Araştırma")*(Başvuru!L2:L1562="RET"))</f>
        <v>1</v>
      </c>
      <c r="I7" s="122">
        <f t="array" ref="I7">SUMPRODUCT(((Başvuru!J2:K1562)="Prof. Dr. Yavuz AYHAN")*(Başvuru!G2:G1562="Bireysel Araştırma")*(Başvuru!L2:L1562="KAPSAM DIŞI"))</f>
        <v>4</v>
      </c>
      <c r="J7" s="122">
        <f t="array" ref="J7">SUMPRODUCT(((Başvuru!J2:K1562)="Prof. Dr. Yavuz AYHAN")*(Başvuru!G2:G1562="Bireysel Araştırma")*(Başvuru!L2:L1562="GERİ ÇEKİLDİ"))</f>
        <v>0</v>
      </c>
      <c r="K7" s="121">
        <f t="shared" si="0"/>
        <v>66</v>
      </c>
      <c r="L7" s="121">
        <f t="array" ref="L7">SUMPRODUCT(((Başvuru!J2:K1562)="Prof. Dr. Yavuz AYHAN")*(Başvuru!G2:G1562="Yüksek Lisans Tezi")*(Başvuru!L2:L1562="ONAY"))</f>
        <v>1</v>
      </c>
      <c r="M7" s="121">
        <f t="array" ref="M7">SUMPRODUCT(((Başvuru!J2:K1562)="Prof. Dr. Yavuz AYHAN")*(Başvuru!G2:G1562="Yüksek Lisans Tezi")*(Başvuru!L2:L1562="DÜZELTME"))</f>
        <v>0</v>
      </c>
      <c r="N7" s="121">
        <f t="array" ref="N7">SUMPRODUCT(((Başvuru!J2:K1562)="Prof. Dr. Yavuz AYHAN")*(Başvuru!G2:G1562="Yüksek Lisans Tezi")*(Başvuru!L2:L1562="KAEK"))</f>
        <v>0</v>
      </c>
      <c r="O7" s="121">
        <f t="array" ref="O7">SUMPRODUCT(((Başvuru!J2:K1562)="Prof. Dr. Yavuz AYHAN")*(Başvuru!G2:G1562="Yüksek Lisans Tezi")*(Başvuru!L2:L1562="GÖRÜŞ"))</f>
        <v>0</v>
      </c>
      <c r="P7" s="121">
        <f t="array" ref="P7">SUMPRODUCT(((Başvuru!J2:K1562)="Prof. Dr. Yavuz AYHAN")*(Başvuru!G2:G1562="Yüksek Lisans Tezi")*(Başvuru!L2:L1562="RET"))</f>
        <v>0</v>
      </c>
      <c r="Q7" s="121">
        <f t="array" ref="Q7">SUMPRODUCT(((Başvuru!J2:K1562)="Prof. Dr. Yavuz AYHAN")*(Başvuru!G2:G1562="Yüksek Lisans Tezi")*(Başvuru!L2:L1562="KAPSAM DIŞI"))</f>
        <v>0</v>
      </c>
      <c r="R7" s="121">
        <f t="array" ref="R7">SUMPRODUCT(((Başvuru!J2:K1562)="Prof. Dr. Yavuz AYHAN")*(Başvuru!G2:G1562="Yüksek Lisans Tezi")*(Başvuru!L2:L1562="GERİ ÇEKİLDİ"))</f>
        <v>0</v>
      </c>
      <c r="S7" s="121">
        <f t="shared" si="1"/>
        <v>1</v>
      </c>
      <c r="T7" s="121">
        <f t="array" ref="T7">SUMPRODUCT(((Başvuru!J2:K1562)="Prof. Dr. Yavuz AYHAN")*(Başvuru!G2:G1562="Doktora Tezi")*(Başvuru!L2:L1562="ONAY"))</f>
        <v>1</v>
      </c>
      <c r="U7" s="121">
        <f t="array" ref="U7">SUMPRODUCT(((Başvuru!J2:K1562)="Prof. Dr. Yavuz AYHAN")*(Başvuru!G2:G1562="Doktora Tezi")*(Başvuru!L2:L1562="DÜZELTME"))</f>
        <v>2</v>
      </c>
      <c r="V7" s="121">
        <f t="array" ref="V7">SUMPRODUCT(((Başvuru!J2:K1562)="Prof. Dr. Yavuz AYHAN")*(Başvuru!G2:G1562="Doktora Tezi")*(Başvuru!L2:L1562="KAEK"))</f>
        <v>0</v>
      </c>
      <c r="W7" s="121">
        <f t="array" ref="W7">SUMPRODUCT(((Başvuru!J2:K1562)="Prof. Dr. Yavuz AYHAN")*(Başvuru!G2:G1562="Doktora Tezi")*(Başvuru!L2:L1562="GÖRÜŞ"))</f>
        <v>1</v>
      </c>
      <c r="X7" s="121">
        <f t="array" ref="X7">SUMPRODUCT(((Başvuru!J2:K1562)="Prof. Dr. Yavuz AYHAN")*(Başvuru!G2:G1562="Doktora Tezi")*(Başvuru!L2:L1562="RET"))</f>
        <v>0</v>
      </c>
      <c r="Y7" s="121">
        <f t="array" ref="Y7">SUMPRODUCT(((Başvuru!J2:K1562)="Prof. Dr. Yavuz AYHAN")*(Başvuru!G2:G1562="Doktora Tezi")*(Başvuru!L2:L1562="KAPSAM DIŞI"))</f>
        <v>0</v>
      </c>
      <c r="Z7" s="121">
        <f t="array" ref="Z7">SUMPRODUCT(((Başvuru!J2:K1562)="Prof. Dr. Yavuz AYHAN")*(Başvuru!G2:G1562="Doktora Tezi")*(Başvuru!L2:L1562="GERİ ÇEKİLDİ"))</f>
        <v>0</v>
      </c>
      <c r="AA7" s="121">
        <f t="shared" si="2"/>
        <v>4</v>
      </c>
      <c r="AB7" s="121">
        <f t="array" ref="AB7">SUMPRODUCT(((Başvuru!J2:K1562)="Prof. Dr. Yavuz AYHAN")*(Başvuru!G2:G1562="Uzmanlık Tezi")*(Başvuru!L2:L1562="ONAY"))</f>
        <v>9</v>
      </c>
      <c r="AC7" s="121">
        <f t="array" ref="AC7">SUMPRODUCT(((Başvuru!J2:K1562)="Prof. Dr. Yavuz AYHAN")*(Başvuru!G2:G1562="Uzmanlık Tezi")*(Başvuru!L2:L1562="DÜZELTME"))</f>
        <v>9</v>
      </c>
      <c r="AD7" s="121">
        <f t="array" ref="AD7">SUMPRODUCT(((Başvuru!J2:K1562)="Prof. Dr. Yavuz AYHAN")*(Başvuru!G2:G1562="Uzmanlık Tezi")*(Başvuru!L2:L1562="KAEK"))</f>
        <v>0</v>
      </c>
      <c r="AE7" s="121">
        <f t="array" ref="AE7">SUMPRODUCT(((Başvuru!J2:K1562)="Prof. Dr. Yavuz AYHAN")*(Başvuru!G2:G1562="Uzmanlık Tezi")*(Başvuru!L2:L1562="GÖRÜŞ"))</f>
        <v>1</v>
      </c>
      <c r="AF7" s="121">
        <f t="array" ref="AF7">SUMPRODUCT(((Başvuru!J2:K1562)="Prof. Dr. Yavuz AYHAN")*(Başvuru!G2:G1562="Uzmanlık Tezi")*(Başvuru!L2:L1562="RET"))</f>
        <v>0</v>
      </c>
      <c r="AG7" s="121">
        <f t="array" ref="AG7">SUMPRODUCT(((Başvuru!J2:K1562)="Prof. Dr. Yavuz AYHAN")*(Başvuru!G2:G1562="Uzmanlık Tezi")*(Başvuru!L2:L1562="KAPSAM DIŞI"))</f>
        <v>0</v>
      </c>
      <c r="AH7" s="121">
        <f t="array" ref="AH7">SUMPRODUCT(((Başvuru!J2:K1562)="Prof. Dr. Yavuz AYHAN")*(Başvuru!G2:G1562="Uzmanlık Tezi")*(Başvuru!L2:L1562="GERİ ÇEKİLDİ"))</f>
        <v>0</v>
      </c>
      <c r="AI7" s="121">
        <f t="shared" si="3"/>
        <v>19</v>
      </c>
      <c r="AJ7" s="123">
        <f t="shared" si="4"/>
        <v>49</v>
      </c>
      <c r="AK7" s="123">
        <f t="shared" si="5"/>
        <v>28</v>
      </c>
      <c r="AL7" s="123">
        <f t="shared" si="6"/>
        <v>2</v>
      </c>
      <c r="AM7" s="123">
        <f t="shared" si="7"/>
        <v>6</v>
      </c>
      <c r="AN7" s="123">
        <f t="shared" si="8"/>
        <v>1</v>
      </c>
      <c r="AO7" s="123">
        <f t="shared" si="9"/>
        <v>4</v>
      </c>
      <c r="AP7" s="123">
        <f t="shared" si="10"/>
        <v>0</v>
      </c>
      <c r="AQ7" s="124">
        <f t="shared" si="11"/>
        <v>90</v>
      </c>
      <c r="AR7" s="121">
        <f t="shared" si="12"/>
        <v>2</v>
      </c>
      <c r="AS7" s="125">
        <f>COUNTIF(Başvuru!$Q:$Q,$B7)</f>
        <v>11</v>
      </c>
      <c r="AT7" s="126">
        <f>COUNTIFS(Başvuru!$Q:$Q,$B7,Başvuru!$J:$J,"&lt;&gt;"&amp;$B7,Başvuru!$K:$K,"&lt;&gt;"&amp;$B7)</f>
        <v>0</v>
      </c>
    </row>
    <row r="8" spans="1:46" s="116" customFormat="1" ht="30" customHeight="1" x14ac:dyDescent="0.25">
      <c r="A8" s="119" t="s">
        <v>110</v>
      </c>
      <c r="B8" s="120" t="s">
        <v>129</v>
      </c>
      <c r="C8" s="121">
        <f>COUNTIF(Başvuru!J2:K1562,"Prof. Dr. Nazmiye Ebru ORTAÇ ERSOY")</f>
        <v>100</v>
      </c>
      <c r="D8" s="122">
        <f t="array" ref="D8">SUMPRODUCT(((Başvuru!J2:K1562)="Prof. Dr. Nazmiye Ebru ORTAÇ ERSOY")*(Başvuru!G2:G1562="Bireysel Araştırma")*(Başvuru!L2:L1562="ONAY"))</f>
        <v>49</v>
      </c>
      <c r="E8" s="122">
        <f t="array" ref="E8">SUMPRODUCT(((Başvuru!J2:K1562)="Prof. Dr. Nazmiye Ebru ORTAÇ ERSOY")*(Başvuru!G2:G1562="Bireysel Araştırma")*(Başvuru!L2:L1562="DÜZELTME"))</f>
        <v>21</v>
      </c>
      <c r="F8" s="122">
        <f t="array" ref="F8">SUMPRODUCT(((Başvuru!J2:K1562)="Prof. Dr. Nazmiye Ebru ORTAÇ ERSOY")*(Başvuru!G2:G1562="Bireysel Araştırma")*(Başvuru!L2:L1562="KAEK"))</f>
        <v>1</v>
      </c>
      <c r="G8" s="122">
        <f t="array" ref="G8">SUMPRODUCT(((Başvuru!J2:K1562)="Prof. Dr. Nazmiye Ebru ORTAÇ ERSOY")*(Başvuru!G2:G1562="Bireysel Araştırma")*(Başvuru!L2:L1562="GÖRÜŞ"))</f>
        <v>3</v>
      </c>
      <c r="H8" s="122">
        <f t="array" ref="H8">SUMPRODUCT(((Başvuru!J2:K1562)="Prof. Dr. Nazmiye Ebru ORTAÇ ERSOY")*(Başvuru!G2:G1562="Bireysel Araştırma")*(Başvuru!L2:L1562="RET"))</f>
        <v>3</v>
      </c>
      <c r="I8" s="122">
        <f t="array" ref="I8">SUMPRODUCT(((Başvuru!J2:K1562)="Prof. Dr. Nazmiye Ebru ORTAÇ ERSOY")*(Başvuru!G2:G1562="Bireysel Araştırma")*(Başvuru!L2:L1562="KAPSAM DIŞI"))</f>
        <v>1</v>
      </c>
      <c r="J8" s="122">
        <f t="array" ref="J8">SUMPRODUCT(((Başvuru!J2:K1562)="Prof. Dr. Nazmiye Ebru ORTAÇ ERSOY")*(Başvuru!G2:G1562="Bireysel Araştırma")*(Başvuru!L2:L1562="GERİ ÇEKİLDİ"))</f>
        <v>0</v>
      </c>
      <c r="K8" s="121">
        <f t="shared" si="0"/>
        <v>78</v>
      </c>
      <c r="L8" s="121">
        <f t="array" ref="L8">SUMPRODUCT(((Başvuru!J2:K1562)="Prof. Dr. Nazmiye Ebru ORTAÇ ERSOY")*(Başvuru!G2:G1562="Yüksek Lisans Tezi")*(Başvuru!L2:L1562="ONAY"))</f>
        <v>0</v>
      </c>
      <c r="M8" s="121">
        <f t="array" ref="M8">SUMPRODUCT(((Başvuru!J2:K1562)="Prof. Dr. Nazmiye Ebru ORTAÇ ERSOY")*(Başvuru!G2:G1562="Yüksek Lisans Tezi")*(Başvuru!L2:L1562="DÜZELTME"))</f>
        <v>0</v>
      </c>
      <c r="N8" s="121">
        <f t="array" ref="N8">SUMPRODUCT(((Başvuru!J2:K1562)="Prof. Dr. Nazmiye Ebru ORTAÇ ERSOY")*(Başvuru!G2:G1562="Yüksek Lisans Tezi")*(Başvuru!L2:L1562="KAEK"))</f>
        <v>0</v>
      </c>
      <c r="O8" s="121">
        <f t="array" ref="O8">SUMPRODUCT(((Başvuru!J2:K1562)="Prof. Dr. Nazmiye Ebru ORTAÇ ERSOY")*(Başvuru!G2:G1562="Yüksek Lisans Tezi")*(Başvuru!L2:L1562="GÖRÜŞ"))</f>
        <v>0</v>
      </c>
      <c r="P8" s="121">
        <f t="array" ref="P8">SUMPRODUCT(((Başvuru!J2:K1562)="Prof. Dr. Nazmiye Ebru ORTAÇ ERSOY")*(Başvuru!G2:G1562="Yüksek Lisans Tezi")*(Başvuru!L2:L1562="RET"))</f>
        <v>0</v>
      </c>
      <c r="Q8" s="121">
        <f t="array" ref="Q8">SUMPRODUCT(((Başvuru!J2:K1562)="Prof. Dr. Nazmiye Ebru ORTAÇ ERSOY")*(Başvuru!G2:G1562="Yüksek Lisans Tezi")*(Başvuru!L2:L1562="KAPSAM DIŞI"))</f>
        <v>0</v>
      </c>
      <c r="R8" s="121">
        <f t="array" ref="R8">SUMPRODUCT(((Başvuru!J2:K1562)="Prof. Dr. Nazmiye Ebru ORTAÇ ERSOY")*(Başvuru!G2:G1562="Yüksek Lisans Tezi")*(Başvuru!L2:L1562="GERİ ÇEKİLDİ"))</f>
        <v>0</v>
      </c>
      <c r="S8" s="121">
        <f t="shared" si="1"/>
        <v>0</v>
      </c>
      <c r="T8" s="121">
        <f t="array" ref="T8">SUMPRODUCT(((Başvuru!J2:K1562)="Prof. Dr. Nazmiye Ebru ORTAÇ ERSOY")*(Başvuru!G2:G1562="Doktora Tezi")*(Başvuru!L2:L1562="ONAY"))</f>
        <v>0</v>
      </c>
      <c r="U8" s="121">
        <f t="array" ref="U8">SUMPRODUCT(((Başvuru!J2:K1562)="Prof. Dr. Nazmiye Ebru ORTAÇ ERSOY")*(Başvuru!G2:G1562="Doktora Tezi")*(Başvuru!L2:L1562="DÜZELTME"))</f>
        <v>2</v>
      </c>
      <c r="V8" s="121">
        <f t="array" ref="V8">SUMPRODUCT(((Başvuru!J2:K1562)="Prof. Dr. Nazmiye Ebru ORTAÇ ERSOY")*(Başvuru!G2:G1562="Doktora Tezi")*(Başvuru!L2:L1562="KAEK"))</f>
        <v>0</v>
      </c>
      <c r="W8" s="121">
        <f t="array" ref="W8">SUMPRODUCT(((Başvuru!J2:K1562)="Prof. Dr. Nazmiye Ebru ORTAÇ ERSOY")*(Başvuru!G2:G1562="Doktora Tezi")*(Başvuru!L2:L1562="GÖRÜŞ"))</f>
        <v>0</v>
      </c>
      <c r="X8" s="121">
        <f t="array" ref="X8">SUMPRODUCT(((Başvuru!J2:K1562)="Prof. Dr. Nazmiye Ebru ORTAÇ ERSOY")*(Başvuru!G2:G1562="Doktora Tezi")*(Başvuru!L2:L1562="RET"))</f>
        <v>0</v>
      </c>
      <c r="Y8" s="121">
        <f t="array" ref="Y8">SUMPRODUCT(((Başvuru!J2:K1562)="Prof. Dr. Nazmiye Ebru ORTAÇ ERSOY")*(Başvuru!G2:G1562="Doktora Tezi")*(Başvuru!L2:L1562="KAPSAM DIŞI"))</f>
        <v>0</v>
      </c>
      <c r="Z8" s="121">
        <f t="array" ref="Z8">SUMPRODUCT(((Başvuru!J2:K1562)="Prof. Dr. Nazmiye Ebru ORTAÇ ERSOY")*(Başvuru!G2:G1562="Doktora Tezi")*(Başvuru!L2:L1562="GERİ ÇEKİLDİ"))</f>
        <v>0</v>
      </c>
      <c r="AA8" s="121">
        <f t="shared" si="2"/>
        <v>2</v>
      </c>
      <c r="AB8" s="121">
        <f t="array" ref="AB8">SUMPRODUCT(((Başvuru!J2:K1562)="Prof. Dr. Nazmiye Ebru ORTAÇ ERSOY")*(Başvuru!G2:G1562="Uzmanlık Tezi")*(Başvuru!L2:L1562="ONAY"))</f>
        <v>10</v>
      </c>
      <c r="AC8" s="121">
        <f t="array" ref="AC8">SUMPRODUCT(((Başvuru!J2:K1562)="Prof. Dr. Nazmiye Ebru ORTAÇ ERSOY")*(Başvuru!G2:G1562="Uzmanlık Tezi")*(Başvuru!L2:L1562="DÜZELTME"))</f>
        <v>6</v>
      </c>
      <c r="AD8" s="121">
        <f t="array" ref="AD8">SUMPRODUCT(((Başvuru!J2:K1562)="Prof. Dr. Nazmiye Ebru ORTAÇ ERSOY")*(Başvuru!G2:G1562="Uzmanlık Tezi")*(Başvuru!L2:L1562="KAEK"))</f>
        <v>1</v>
      </c>
      <c r="AE8" s="121">
        <f t="array" ref="AE8">SUMPRODUCT(((Başvuru!J2:K1562)="Prof. Dr. Nazmiye Ebru ORTAÇ ERSOY")*(Başvuru!G2:G1562="Uzmanlık Tezi")*(Başvuru!L2:L1562="GÖRÜŞ"))</f>
        <v>0</v>
      </c>
      <c r="AF8" s="121">
        <f t="array" ref="AF8">SUMPRODUCT(((Başvuru!J2:K1562)="Prof. Dr. Nazmiye Ebru ORTAÇ ERSOY")*(Başvuru!G2:G1562="Uzmanlık Tezi")*(Başvuru!L2:L1562="RET"))</f>
        <v>0</v>
      </c>
      <c r="AG8" s="121">
        <f t="array" ref="AG8">SUMPRODUCT(((Başvuru!J2:K1562)="Prof. Dr. Nazmiye Ebru ORTAÇ ERSOY")*(Başvuru!G2:G1562="Uzmanlık Tezi")*(Başvuru!L2:L1562="KAPSAM DIŞI"))</f>
        <v>0</v>
      </c>
      <c r="AH8" s="121">
        <f t="array" ref="AH8">SUMPRODUCT(((Başvuru!J2:K1562)="Prof. Dr. Nazmiye Ebru ORTAÇ ERSOY")*(Başvuru!G2:G1562="Uzmanlık Tezi")*(Başvuru!L2:L1562="GERİ ÇEKİLDİ"))</f>
        <v>0</v>
      </c>
      <c r="AI8" s="121">
        <f t="shared" si="3"/>
        <v>17</v>
      </c>
      <c r="AJ8" s="123">
        <f t="shared" si="4"/>
        <v>59</v>
      </c>
      <c r="AK8" s="123">
        <f t="shared" si="5"/>
        <v>29</v>
      </c>
      <c r="AL8" s="123">
        <f t="shared" si="6"/>
        <v>2</v>
      </c>
      <c r="AM8" s="123">
        <f t="shared" si="7"/>
        <v>3</v>
      </c>
      <c r="AN8" s="123">
        <f t="shared" si="8"/>
        <v>3</v>
      </c>
      <c r="AO8" s="123">
        <f t="shared" si="9"/>
        <v>1</v>
      </c>
      <c r="AP8" s="123">
        <f t="shared" si="10"/>
        <v>0</v>
      </c>
      <c r="AQ8" s="124">
        <f t="shared" si="11"/>
        <v>97</v>
      </c>
      <c r="AR8" s="121">
        <f t="shared" si="12"/>
        <v>3</v>
      </c>
      <c r="AS8" s="125">
        <f>COUNTIF(Başvuru!$Q:$Q,$B8)</f>
        <v>8</v>
      </c>
      <c r="AT8" s="126">
        <f>COUNTIFS(Başvuru!$Q:$Q,$B8,Başvuru!$J:$J,"&lt;&gt;"&amp;$B8,Başvuru!$K:$K,"&lt;&gt;"&amp;$B8)</f>
        <v>0</v>
      </c>
    </row>
    <row r="9" spans="1:46" s="116" customFormat="1" ht="30" customHeight="1" x14ac:dyDescent="0.25">
      <c r="A9" s="119" t="s">
        <v>117</v>
      </c>
      <c r="B9" s="120" t="s">
        <v>84</v>
      </c>
      <c r="C9" s="121">
        <f>COUNTIF(Başvuru!J2:K1562,"Prof. Dr. Gözde GİRGİN")</f>
        <v>127</v>
      </c>
      <c r="D9" s="122">
        <f t="array" ref="D9">SUMPRODUCT(((Başvuru!J2:K1562)="Prof. Dr. Gözde GİRGİN")*(Başvuru!G2:G1562="Bireysel Araştırma")*(Başvuru!L2:L1562="ONAY"))</f>
        <v>56</v>
      </c>
      <c r="E9" s="122">
        <f t="array" ref="E9">SUMPRODUCT(((Başvuru!J2:K1562)="Prof. Dr. Gözde GİRGİN")*(Başvuru!G2:G1562="Bireysel Araştırma")*(Başvuru!L2:L1562="DÜZELTME"))</f>
        <v>21</v>
      </c>
      <c r="F9" s="122">
        <f t="array" ref="F9">SUMPRODUCT(((Başvuru!J2:K1562)="Prof. Dr. Gözde GİRGİN")*(Başvuru!G2:G1562="Bireysel Araştırma")*(Başvuru!L2:L1562="KAEK"))</f>
        <v>2</v>
      </c>
      <c r="G9" s="122">
        <f t="array" ref="G9">SUMPRODUCT(((Başvuru!J2:K1562)="Prof. Dr. Gözde GİRGİN")*(Başvuru!G2:G1562="Bireysel Araştırma")*(Başvuru!L2:L1562="GÖRÜŞ"))</f>
        <v>5</v>
      </c>
      <c r="H9" s="122">
        <f t="array" ref="H9">SUMPRODUCT(((Başvuru!J2:K1562)="Prof. Dr. Gözde GİRGİN")*(Başvuru!G2:G1562="Bireysel Araştırma")*(Başvuru!L2:L1562="RET"))</f>
        <v>3</v>
      </c>
      <c r="I9" s="122">
        <f t="array" ref="I9">SUMPRODUCT(((Başvuru!J2:K1562)="Prof. Dr. Gözde GİRGİN")*(Başvuru!G2:G1562="Bireysel Araştırma")*(Başvuru!L2:L1562="KAPSAM DIŞI"))</f>
        <v>4</v>
      </c>
      <c r="J9" s="122">
        <f t="array" ref="J9">SUMPRODUCT(((Başvuru!J2:K1562)="Prof. Dr. Gözde GİRGİN")*(Başvuru!G2:G1562="Bireysel Araştırma")*(Başvuru!L2:L1562="GERİ ÇEKİLDİ"))</f>
        <v>0</v>
      </c>
      <c r="K9" s="121">
        <f t="shared" si="0"/>
        <v>91</v>
      </c>
      <c r="L9" s="121">
        <f t="array" ref="L9">SUMPRODUCT(((Başvuru!J2:K1562)="Prof. Dr. Gözde GİRGİN")*(Başvuru!G2:G1562="Yüksek Lisans Tezi")*(Başvuru!L2:L1562="ONAY"))</f>
        <v>0</v>
      </c>
      <c r="M9" s="121">
        <f t="array" ref="M9">SUMPRODUCT(((Başvuru!J2:K1562)="Prof. Dr. Gözde GİRGİN")*(Başvuru!G2:G1562="Yüksek Lisans Tezi")*(Başvuru!L2:L1562="DÜZELTME"))</f>
        <v>4</v>
      </c>
      <c r="N9" s="121">
        <f t="array" ref="N9">SUMPRODUCT(((Başvuru!J2:K1562)="Prof. Dr. Gözde GİRGİN")*(Başvuru!G2:G1562="Yüksek Lisans Tezi")*(Başvuru!L2:L1562="KAEK"))</f>
        <v>0</v>
      </c>
      <c r="O9" s="121">
        <f t="array" ref="O9">SUMPRODUCT(((Başvuru!J2:K1562)="Prof. Dr. Gözde GİRGİN")*(Başvuru!G2:G1562="Yüksek Lisans Tezi")*(Başvuru!L2:L1562="GÖRÜŞ"))</f>
        <v>0</v>
      </c>
      <c r="P9" s="121">
        <f t="array" ref="P9">SUMPRODUCT(((Başvuru!J2:K1562)="Prof. Dr. Gözde GİRGİN")*(Başvuru!G2:G1562="Yüksek Lisans Tezi")*(Başvuru!L2:L1562="RET"))</f>
        <v>0</v>
      </c>
      <c r="Q9" s="121">
        <f t="array" ref="Q9">SUMPRODUCT(((Başvuru!J2:K1562)="Prof. Dr. Gözde GİRGİN")*(Başvuru!G2:G1562="Yüksek Lisans Tezi")*(Başvuru!L2:L1562="KAPSAM DIŞI"))</f>
        <v>0</v>
      </c>
      <c r="R9" s="121">
        <f t="array" ref="R9">SUMPRODUCT(((Başvuru!J2:K1562)="Prof. Dr. Gözde GİRGİN")*(Başvuru!G2:G1562="Yüksek Lisans Tezi")*(Başvuru!L2:L1562="GERİ ÇEKİLDİ"))</f>
        <v>0</v>
      </c>
      <c r="S9" s="121">
        <f t="shared" si="1"/>
        <v>4</v>
      </c>
      <c r="T9" s="121">
        <f t="array" ref="T9">SUMPRODUCT(((Başvuru!J2:K1562)="Prof. Dr. Gözde GİRGİN")*(Başvuru!G2:G1562="Doktora Tezi")*(Başvuru!L2:L1562="ONAY"))</f>
        <v>1</v>
      </c>
      <c r="U9" s="121">
        <f t="array" ref="U9">SUMPRODUCT(((Başvuru!J2:K1562)="Prof. Dr. Gözde GİRGİN")*(Başvuru!G2:G1562="Doktora Tezi")*(Başvuru!L2:L1562="DÜZELTME"))</f>
        <v>3</v>
      </c>
      <c r="V9" s="121">
        <f t="array" ref="V9">SUMPRODUCT(((Başvuru!J2:K1562)="Prof. Dr. Gözde GİRGİN")*(Başvuru!G2:G1562="Doktora Tezi")*(Başvuru!L2:L1562="KAEK"))</f>
        <v>0</v>
      </c>
      <c r="W9" s="121">
        <f t="array" ref="W9">SUMPRODUCT(((Başvuru!J2:K1562)="Prof. Dr. Gözde GİRGİN")*(Başvuru!G2:G1562="Doktora Tezi")*(Başvuru!L2:L1562="GÖRÜŞ"))</f>
        <v>2</v>
      </c>
      <c r="X9" s="121">
        <f t="array" ref="X9">SUMPRODUCT(((Başvuru!J2:K1562)="Prof. Dr. Gözde GİRGİN")*(Başvuru!G2:G1562="Doktora Tezi")*(Başvuru!L2:L1562="RET"))</f>
        <v>0</v>
      </c>
      <c r="Y9" s="121">
        <f t="array" ref="Y9">SUMPRODUCT(((Başvuru!J2:K1562)="Prof. Dr. Gözde GİRGİN")*(Başvuru!G2:G1562="Doktora Tezi")*(Başvuru!L2:L1562="KAPSAM DIŞI"))</f>
        <v>0</v>
      </c>
      <c r="Z9" s="121">
        <f t="array" ref="Z9">SUMPRODUCT(((Başvuru!J2:K1562)="Prof. Dr. Gözde GİRGİN")*(Başvuru!G2:G1562="Doktora Tezi")*(Başvuru!L2:L1562="GERİ ÇEKİLDİ"))</f>
        <v>0</v>
      </c>
      <c r="AA9" s="121">
        <f t="shared" si="2"/>
        <v>6</v>
      </c>
      <c r="AB9" s="121">
        <f t="array" ref="AB9">SUMPRODUCT(((Başvuru!J2:K1562)="Prof. Dr. Gözde GİRGİN")*(Başvuru!G2:G1562="Uzmanlık Tezi")*(Başvuru!L2:L1562="ONAY"))</f>
        <v>15</v>
      </c>
      <c r="AC9" s="121">
        <f t="array" ref="AC9">SUMPRODUCT(((Başvuru!J2:K1562)="Prof. Dr. Gözde GİRGİN")*(Başvuru!G2:G1562="Uzmanlık Tezi")*(Başvuru!L2:L1562="DÜZELTME"))</f>
        <v>8</v>
      </c>
      <c r="AD9" s="121">
        <f t="array" ref="AD9">SUMPRODUCT(((Başvuru!J2:K1562)="Prof. Dr. Gözde GİRGİN")*(Başvuru!G2:G1562="Uzmanlık Tezi")*(Başvuru!L2:L1562="KAEK"))</f>
        <v>0</v>
      </c>
      <c r="AE9" s="121">
        <f t="array" ref="AE9">SUMPRODUCT(((Başvuru!J2:K1562)="Prof. Dr. Gözde GİRGİN")*(Başvuru!G2:G1562="Uzmanlık Tezi")*(Başvuru!L2:L1562="GÖRÜŞ"))</f>
        <v>1</v>
      </c>
      <c r="AF9" s="121">
        <f t="array" ref="AF9">SUMPRODUCT(((Başvuru!J2:K1562)="Prof. Dr. Gözde GİRGİN")*(Başvuru!G2:G1562="Uzmanlık Tezi")*(Başvuru!L2:L1562="RET"))</f>
        <v>0</v>
      </c>
      <c r="AG9" s="121">
        <f t="array" ref="AG9">SUMPRODUCT(((Başvuru!J2:K1562)="Prof. Dr. Gözde GİRGİN")*(Başvuru!G2:G1562="Uzmanlık Tezi")*(Başvuru!L2:L1562="KAPSAM DIŞI"))</f>
        <v>0</v>
      </c>
      <c r="AH9" s="121">
        <f t="array" ref="AH9">SUMPRODUCT(((Başvuru!J2:K1562)="Prof. Dr. Gözde GİRGİN")*(Başvuru!G2:G1562="Uzmanlık Tezi")*(Başvuru!L2:L1562="GERİ ÇEKİLDİ"))</f>
        <v>0</v>
      </c>
      <c r="AI9" s="121">
        <f t="shared" si="3"/>
        <v>24</v>
      </c>
      <c r="AJ9" s="123">
        <f t="shared" si="4"/>
        <v>72</v>
      </c>
      <c r="AK9" s="123">
        <f t="shared" si="5"/>
        <v>36</v>
      </c>
      <c r="AL9" s="123">
        <f t="shared" si="6"/>
        <v>2</v>
      </c>
      <c r="AM9" s="123">
        <f t="shared" si="7"/>
        <v>8</v>
      </c>
      <c r="AN9" s="123">
        <f t="shared" si="8"/>
        <v>3</v>
      </c>
      <c r="AO9" s="123">
        <f t="shared" si="9"/>
        <v>4</v>
      </c>
      <c r="AP9" s="123">
        <f t="shared" si="10"/>
        <v>0</v>
      </c>
      <c r="AQ9" s="124">
        <f t="shared" si="11"/>
        <v>125</v>
      </c>
      <c r="AR9" s="121">
        <f t="shared" si="12"/>
        <v>2</v>
      </c>
      <c r="AS9" s="125">
        <f>COUNTIF(Başvuru!$Q:$Q,$B9)</f>
        <v>14</v>
      </c>
      <c r="AT9" s="126">
        <f>COUNTIFS(Başvuru!$Q:$Q,$B9,Başvuru!$J:$J,"&lt;&gt;"&amp;$B9,Başvuru!$K:$K,"&lt;&gt;"&amp;$B9)</f>
        <v>0</v>
      </c>
    </row>
    <row r="10" spans="1:46" s="116" customFormat="1" ht="30" customHeight="1" x14ac:dyDescent="0.25">
      <c r="A10" s="119" t="s">
        <v>124</v>
      </c>
      <c r="B10" s="120" t="s">
        <v>76</v>
      </c>
      <c r="C10" s="121">
        <f>COUNTIF(Başvuru!J2:K1562,"Doç. Dr. Kübra AYKAÇ")</f>
        <v>110</v>
      </c>
      <c r="D10" s="122">
        <f t="array" ref="D10">SUMPRODUCT(((Başvuru!J2:K1562)="Doç. Dr. Kübra AYKAÇ")*(Başvuru!G2:G1562="Bireysel Araştırma")*(Başvuru!L2:L1562="ONAY"))</f>
        <v>53</v>
      </c>
      <c r="E10" s="122">
        <f t="array" ref="E10">SUMPRODUCT(((Başvuru!J2:K1562)="Doç. Dr. Kübra AYKAÇ")*(Başvuru!G2:G1562="Bireysel Araştırma")*(Başvuru!L2:L1562="DÜZELTME"))</f>
        <v>24</v>
      </c>
      <c r="F10" s="122">
        <f t="array" ref="F10">SUMPRODUCT(((Başvuru!J2:K1562)="Doç. Dr. Kübra AYKAÇ")*(Başvuru!G2:G1562="Bireysel Araştırma")*(Başvuru!L2:L1562="KAEK"))</f>
        <v>2</v>
      </c>
      <c r="G10" s="122">
        <f t="array" ref="G10">SUMPRODUCT(((Başvuru!J2:K1562)="Doç. Dr. Kübra AYKAÇ")*(Başvuru!G2:G1562="Bireysel Araştırma")*(Başvuru!L2:L1562="GÖRÜŞ"))</f>
        <v>2</v>
      </c>
      <c r="H10" s="122">
        <f t="array" ref="H10">SUMPRODUCT(((Başvuru!J2:K1562)="Doç. Dr. Kübra AYKAÇ")*(Başvuru!G2:G1562="Bireysel Araştırma")*(Başvuru!L2:L1562="RET"))</f>
        <v>2</v>
      </c>
      <c r="I10" s="122">
        <f t="array" ref="I10">SUMPRODUCT(((Başvuru!J2:K1562)="Doç. Dr. Kübra AYKAÇ")*(Başvuru!G2:G1562="Bireysel Araştırma")*(Başvuru!L2:L1562="KAPSAM DIŞI"))</f>
        <v>0</v>
      </c>
      <c r="J10" s="122">
        <f t="array" ref="J10">SUMPRODUCT(((Başvuru!J2:K1562)="Doç. Dr. Kübra AYKAÇ")*(Başvuru!G2:G1562="Bireysel Araştırma")*(Başvuru!L2:L1562="GERİ ÇEKİLDİ"))</f>
        <v>0</v>
      </c>
      <c r="K10" s="121">
        <f t="shared" si="0"/>
        <v>83</v>
      </c>
      <c r="L10" s="121">
        <f t="array" ref="L10">SUMPRODUCT(((Başvuru!J2:K1562)="Doç. Dr. Kübra AYKAÇ")*(Başvuru!G2:G1562="Yüksek Lisans Tezi")*(Başvuru!L2:L1562="ONAY"))</f>
        <v>2</v>
      </c>
      <c r="M10" s="121">
        <f t="array" ref="M10">SUMPRODUCT(((Başvuru!J2:K1562)="Doç. Dr. Kübra AYKAÇ")*(Başvuru!G2:G1562="Yüksek Lisans Tezi")*(Başvuru!L2:L1562="DÜZELTME"))</f>
        <v>3</v>
      </c>
      <c r="N10" s="121">
        <f t="array" ref="N10">SUMPRODUCT(((Başvuru!J2:K1562)="Doç. Dr. Kübra AYKAÇ")*(Başvuru!G2:G1562="Yüksek Lisans Tezi")*(Başvuru!L2:L1562="KAEK"))</f>
        <v>1</v>
      </c>
      <c r="O10" s="121">
        <f t="array" ref="O10">SUMPRODUCT(((Başvuru!J2:K1562)="Doç. Dr. Kübra AYKAÇ")*(Başvuru!G2:G1562="Yüksek Lisans Tezi")*(Başvuru!L2:L1562="GÖRÜŞ"))</f>
        <v>0</v>
      </c>
      <c r="P10" s="121">
        <f t="array" ref="P10">SUMPRODUCT(((Başvuru!J2:K1562)="Doç. Dr. Kübra AYKAÇ")*(Başvuru!G2:G1562="Yüksek Lisans Tezi")*(Başvuru!L2:L1562="RET"))</f>
        <v>1</v>
      </c>
      <c r="Q10" s="121">
        <f t="array" ref="Q10">SUMPRODUCT(((Başvuru!J2:K1562)="Doç. Dr. Kübra AYKAÇ")*(Başvuru!G2:G1562="Yüksek Lisans Tezi")*(Başvuru!L2:L1562="KAPSAM DIŞI"))</f>
        <v>0</v>
      </c>
      <c r="R10" s="121">
        <f t="array" ref="R10">SUMPRODUCT(((Başvuru!J2:K1562)="Doç. Dr. Kübra AYKAÇ")*(Başvuru!G2:G1562="Yüksek Lisans Tezi")*(Başvuru!L2:L1562="GERİ ÇEKİLDİ"))</f>
        <v>0</v>
      </c>
      <c r="S10" s="121">
        <f t="shared" si="1"/>
        <v>7</v>
      </c>
      <c r="T10" s="121">
        <f t="array" ref="T10">SUMPRODUCT(((Başvuru!J2:K1562)="Doç. Dr. Kübra AYKAÇ")*(Başvuru!G2:G1562="Doktora Tezi")*(Başvuru!L2:L1562="ONAY"))</f>
        <v>2</v>
      </c>
      <c r="U10" s="121">
        <f t="array" ref="U10">SUMPRODUCT(((Başvuru!J2:K1562)="Doç. Dr. Kübra AYKAÇ")*(Başvuru!G2:G1562="Doktora Tezi")*(Başvuru!L2:L1562="DÜZELTME"))</f>
        <v>2</v>
      </c>
      <c r="V10" s="121">
        <f t="array" ref="V10">SUMPRODUCT(((Başvuru!J2:K1562)="Doç. Dr. Kübra AYKAÇ")*(Başvuru!G2:G1562="Doktora Tezi")*(Başvuru!L2:L1562="KAEK"))</f>
        <v>0</v>
      </c>
      <c r="W10" s="121">
        <f t="array" ref="W10">SUMPRODUCT(((Başvuru!J2:K1562)="Doç. Dr. Kübra AYKAÇ")*(Başvuru!G2:G1562="Doktora Tezi")*(Başvuru!L2:L1562="GÖRÜŞ"))</f>
        <v>0</v>
      </c>
      <c r="X10" s="121">
        <f t="array" ref="X10">SUMPRODUCT(((Başvuru!J2:K1562)="Doç. Dr. Kübra AYKAÇ")*(Başvuru!G2:G1562="Doktora Tezi")*(Başvuru!L2:L1562="RET"))</f>
        <v>0</v>
      </c>
      <c r="Y10" s="121">
        <f t="array" ref="Y10">SUMPRODUCT(((Başvuru!J2:K1562)="Doç. Dr. Kübra AYKAÇ")*(Başvuru!G2:G1562="Doktora Tezi")*(Başvuru!L2:L1562="KAPSAM DIŞI"))</f>
        <v>0</v>
      </c>
      <c r="Z10" s="121">
        <f t="array" ref="Z10">SUMPRODUCT(((Başvuru!J2:K1562)="Doç. Dr. Kübra AYKAÇ")*(Başvuru!G2:G1562="Doktora Tezi")*(Başvuru!L2:L1562="GERİ ÇEKİLDİ"))</f>
        <v>0</v>
      </c>
      <c r="AA10" s="121">
        <f t="shared" si="2"/>
        <v>4</v>
      </c>
      <c r="AB10" s="121">
        <f t="array" ref="AB10">SUMPRODUCT(((Başvuru!J2:K1562)="Doç. Dr. Kübra AYKAÇ")*(Başvuru!G2:G1562="Uzmanlık Tezi")*(Başvuru!L2:L1562="ONAY"))</f>
        <v>11</v>
      </c>
      <c r="AC10" s="121">
        <f t="array" ref="AC10">SUMPRODUCT(((Başvuru!J2:K1562)="Doç. Dr. Kübra AYKAÇ")*(Başvuru!G2:G1562="Uzmanlık Tezi")*(Başvuru!L2:L1562="DÜZELTME"))</f>
        <v>3</v>
      </c>
      <c r="AD10" s="121">
        <f t="array" ref="AD10">SUMPRODUCT(((Başvuru!J2:K1562)="Doç. Dr. Kübra AYKAÇ")*(Başvuru!G2:G1562="Uzmanlık Tezi")*(Başvuru!L2:L1562="KAEK"))</f>
        <v>1</v>
      </c>
      <c r="AE10" s="121">
        <f t="array" ref="AE10">SUMPRODUCT(((Başvuru!J2:K1562)="Doç. Dr. Kübra AYKAÇ")*(Başvuru!G2:G1562="Uzmanlık Tezi")*(Başvuru!L2:L1562="GÖRÜŞ"))</f>
        <v>0</v>
      </c>
      <c r="AF10" s="121">
        <f t="array" ref="AF10">SUMPRODUCT(((Başvuru!J2:K1562)="Doç. Dr. Kübra AYKAÇ")*(Başvuru!G2:G1562="Uzmanlık Tezi")*(Başvuru!L2:L1562="RET"))</f>
        <v>0</v>
      </c>
      <c r="AG10" s="121">
        <f t="array" ref="AG10">SUMPRODUCT(((Başvuru!J2:K1562)="Doç. Dr. Kübra AYKAÇ")*(Başvuru!G2:G1562="Uzmanlık Tezi")*(Başvuru!L2:L1562="KAPSAM DIŞI"))</f>
        <v>1</v>
      </c>
      <c r="AH10" s="121">
        <f t="array" ref="AH10">SUMPRODUCT(((Başvuru!J2:K1562)="Doç. Dr. Kübra AYKAÇ")*(Başvuru!G2:G1562="Uzmanlık Tezi")*(Başvuru!L2:L1562="GERİ ÇEKİLDİ"))</f>
        <v>0</v>
      </c>
      <c r="AI10" s="121">
        <f t="shared" si="3"/>
        <v>16</v>
      </c>
      <c r="AJ10" s="123">
        <f t="shared" si="4"/>
        <v>68</v>
      </c>
      <c r="AK10" s="123">
        <f t="shared" si="5"/>
        <v>32</v>
      </c>
      <c r="AL10" s="123">
        <f t="shared" si="6"/>
        <v>4</v>
      </c>
      <c r="AM10" s="123">
        <f t="shared" si="7"/>
        <v>2</v>
      </c>
      <c r="AN10" s="123">
        <f t="shared" si="8"/>
        <v>3</v>
      </c>
      <c r="AO10" s="123">
        <f t="shared" si="9"/>
        <v>1</v>
      </c>
      <c r="AP10" s="123">
        <f t="shared" si="10"/>
        <v>0</v>
      </c>
      <c r="AQ10" s="124">
        <f t="shared" si="11"/>
        <v>110</v>
      </c>
      <c r="AR10" s="121">
        <f t="shared" si="12"/>
        <v>0</v>
      </c>
      <c r="AS10" s="125">
        <f>COUNTIF(Başvuru!$Q:$Q,$B10)</f>
        <v>5</v>
      </c>
      <c r="AT10" s="126">
        <f>COUNTIFS(Başvuru!$Q:$Q,$B10,Başvuru!$J:$J,"&lt;&gt;"&amp;$B10,Başvuru!$K:$K,"&lt;&gt;"&amp;$B10)</f>
        <v>0</v>
      </c>
    </row>
    <row r="11" spans="1:46" s="116" customFormat="1" ht="30" customHeight="1" x14ac:dyDescent="0.25">
      <c r="A11" s="119" t="s">
        <v>130</v>
      </c>
      <c r="B11" s="120" t="s">
        <v>99</v>
      </c>
      <c r="C11" s="121">
        <f>COUNTIF(Başvuru!J2:K1562,"Doç. Dr. Tolga ÇAKMAK")</f>
        <v>106</v>
      </c>
      <c r="D11" s="122">
        <f t="array" ref="D11">SUMPRODUCT(((Başvuru!J2:K1562)="Doç. Dr. Tolga ÇAKMAK")*(Başvuru!G2:G1562="Bireysel Araştırma")*(Başvuru!L2:L1562="ONAY"))</f>
        <v>37</v>
      </c>
      <c r="E11" s="122">
        <f t="array" ref="E11">SUMPRODUCT(((Başvuru!J2:K1562)="Doç. Dr. Tolga ÇAKMAK")*(Başvuru!G2:G1562="Bireysel Araştırma")*(Başvuru!L2:L1562="DÜZELTME"))</f>
        <v>18</v>
      </c>
      <c r="F11" s="122">
        <f t="array" ref="F11">SUMPRODUCT(((Başvuru!J2:K1562)="Doç. Dr. Tolga ÇAKMAK")*(Başvuru!G2:G1562="Bireysel Araştırma")*(Başvuru!L2:L1562="KAEK"))</f>
        <v>1</v>
      </c>
      <c r="G11" s="122">
        <f t="array" ref="G11">SUMPRODUCT(((Başvuru!J2:K1562)="Doç. Dr. Tolga ÇAKMAK")*(Başvuru!G2:G1562="Bireysel Araştırma")*(Başvuru!L2:L1562="GÖRÜŞ"))</f>
        <v>4</v>
      </c>
      <c r="H11" s="122">
        <f t="array" ref="H11">SUMPRODUCT(((Başvuru!J2:K1562)="Doç. Dr. Tolga ÇAKMAK")*(Başvuru!G2:G1562="Bireysel Araştırma")*(Başvuru!L2:L1562="RET"))</f>
        <v>8</v>
      </c>
      <c r="I11" s="122">
        <f t="array" ref="I11">SUMPRODUCT(((Başvuru!J2:K1562)="Doç. Dr. Tolga ÇAKMAK")*(Başvuru!G2:G1562="Bireysel Araştırma")*(Başvuru!L2:L1562="KAPSAM DIŞI"))</f>
        <v>0</v>
      </c>
      <c r="J11" s="122">
        <f t="array" ref="J11">SUMPRODUCT(((Başvuru!J2:K1562)="Doç. Dr. Tolga ÇAKMAK")*(Başvuru!G2:G1562="Bireysel Araştırma")*(Başvuru!L2:L1562="GERİ ÇEKİLDİ"))</f>
        <v>0</v>
      </c>
      <c r="K11" s="121">
        <f t="shared" si="0"/>
        <v>68</v>
      </c>
      <c r="L11" s="121">
        <f t="array" ref="L11">SUMPRODUCT(((Başvuru!J2:K1562)="Doç. Dr. Tolga ÇAKMAK")*(Başvuru!G2:G1562="Yüksek Lisans Tezi")*(Başvuru!L2:L1562="ONAY"))</f>
        <v>4</v>
      </c>
      <c r="M11" s="121">
        <f t="array" ref="M11">SUMPRODUCT(((Başvuru!J2:K1562)="Doç. Dr. Tolga ÇAKMAK")*(Başvuru!G2:G1562="Yüksek Lisans Tezi")*(Başvuru!L2:L1562="DÜZELTME"))</f>
        <v>2</v>
      </c>
      <c r="N11" s="121">
        <f t="array" ref="N11">SUMPRODUCT(((Başvuru!J2:K1562)="Doç. Dr. Tolga ÇAKMAK")*(Başvuru!G2:G1562="Yüksek Lisans Tezi")*(Başvuru!L2:L1562="KAEK"))</f>
        <v>0</v>
      </c>
      <c r="O11" s="121">
        <f t="array" ref="O11">SUMPRODUCT(((Başvuru!J2:K1562)="Doç. Dr. Tolga ÇAKMAK")*(Başvuru!G2:G1562="Yüksek Lisans Tezi")*(Başvuru!L2:L1562="GÖRÜŞ"))</f>
        <v>0</v>
      </c>
      <c r="P11" s="121">
        <f t="array" ref="P11">SUMPRODUCT(((Başvuru!J2:K1562)="Doç. Dr. Tolga ÇAKMAK")*(Başvuru!G2:G1562="Yüksek Lisans Tezi")*(Başvuru!L2:L1562="RET"))</f>
        <v>1</v>
      </c>
      <c r="Q11" s="121">
        <f t="array" ref="Q11">SUMPRODUCT(((Başvuru!J2:K1562)="Doç. Dr. Tolga ÇAKMAK")*(Başvuru!G2:G1562="Yüksek Lisans Tezi")*(Başvuru!L2:L1562="KAPSAM DIŞI"))</f>
        <v>0</v>
      </c>
      <c r="R11" s="121">
        <f t="array" ref="R11">SUMPRODUCT(((Başvuru!J2:K1562)="Doç. Dr. Tolga ÇAKMAK")*(Başvuru!G2:G1562="Yüksek Lisans Tezi")*(Başvuru!L2:L1562="GERİ ÇEKİLDİ"))</f>
        <v>0</v>
      </c>
      <c r="S11" s="121">
        <f t="shared" si="1"/>
        <v>7</v>
      </c>
      <c r="T11" s="121">
        <f t="array" ref="T11">SUMPRODUCT(((Başvuru!J2:K1562)="Doç. Dr. Tolga ÇAKMAK")*(Başvuru!G2:G1562="Doktora Tezi")*(Başvuru!L2:L1562="ONAY"))</f>
        <v>5</v>
      </c>
      <c r="U11" s="121">
        <f t="array" ref="U11">SUMPRODUCT(((Başvuru!J2:K1562)="Doç. Dr. Tolga ÇAKMAK")*(Başvuru!G2:G1562="Doktora Tezi")*(Başvuru!L2:L1562="DÜZELTME"))</f>
        <v>5</v>
      </c>
      <c r="V11" s="121">
        <f t="array" ref="V11">SUMPRODUCT(((Başvuru!J2:K1562)="Doç. Dr. Tolga ÇAKMAK")*(Başvuru!G2:G1562="Doktora Tezi")*(Başvuru!L2:L1562="KAEK"))</f>
        <v>0</v>
      </c>
      <c r="W11" s="121">
        <f t="array" ref="W11">SUMPRODUCT(((Başvuru!J2:K1562)="Doç. Dr. Tolga ÇAKMAK")*(Başvuru!G2:G1562="Doktora Tezi")*(Başvuru!L2:L1562="GÖRÜŞ"))</f>
        <v>1</v>
      </c>
      <c r="X11" s="121">
        <f t="array" ref="X11">SUMPRODUCT(((Başvuru!J2:K1562)="Doç. Dr. Tolga ÇAKMAK")*(Başvuru!G2:G1562="Doktora Tezi")*(Başvuru!L2:L1562="RET"))</f>
        <v>0</v>
      </c>
      <c r="Y11" s="121">
        <f t="array" ref="Y11">SUMPRODUCT(((Başvuru!J2:K1562)="Doç. Dr. Tolga ÇAKMAK")*(Başvuru!G2:G1562="Doktora Tezi")*(Başvuru!L2:L1562="KAPSAM DIŞI"))</f>
        <v>0</v>
      </c>
      <c r="Z11" s="121">
        <f t="array" ref="Z11">SUMPRODUCT(((Başvuru!J2:K1562)="Doç. Dr. Tolga ÇAKMAK")*(Başvuru!G2:G1562="Doktora Tezi")*(Başvuru!L2:L1562="GERİ ÇEKİLDİ"))</f>
        <v>0</v>
      </c>
      <c r="AA11" s="121">
        <f t="shared" si="2"/>
        <v>11</v>
      </c>
      <c r="AB11" s="121">
        <f t="array" ref="AB11">SUMPRODUCT(((Başvuru!J2:K1562)="Doç. Dr. Tolga ÇAKMAK")*(Başvuru!G2:G1562="Uzmanlık Tezi")*(Başvuru!L2:L1562="ONAY"))</f>
        <v>13</v>
      </c>
      <c r="AC11" s="121">
        <f t="array" ref="AC11">SUMPRODUCT(((Başvuru!J2:K1562)="Doç. Dr. Tolga ÇAKMAK")*(Başvuru!G2:G1562="Uzmanlık Tezi")*(Başvuru!L2:L1562="DÜZELTME"))</f>
        <v>3</v>
      </c>
      <c r="AD11" s="121">
        <f t="array" ref="AD11">SUMPRODUCT(((Başvuru!J2:K1562)="Doç. Dr. Tolga ÇAKMAK")*(Başvuru!G2:G1562="Uzmanlık Tezi")*(Başvuru!L2:L1562="KAEK"))</f>
        <v>0</v>
      </c>
      <c r="AE11" s="121">
        <f t="array" ref="AE11">SUMPRODUCT(((Başvuru!J2:K1562)="Doç. Dr. Tolga ÇAKMAK")*(Başvuru!G2:G1562="Uzmanlık Tezi")*(Başvuru!L2:L1562="GÖRÜŞ"))</f>
        <v>0</v>
      </c>
      <c r="AF11" s="121">
        <f t="array" ref="AF11">SUMPRODUCT(((Başvuru!J2:K1562)="Doç. Dr. Tolga ÇAKMAK")*(Başvuru!G2:G1562="Uzmanlık Tezi")*(Başvuru!L2:L1562="RET"))</f>
        <v>1</v>
      </c>
      <c r="AG11" s="121">
        <f t="array" ref="AG11">SUMPRODUCT(((Başvuru!J2:K1562)="Doç. Dr. Tolga ÇAKMAK")*(Başvuru!G2:G1562="Uzmanlık Tezi")*(Başvuru!L2:L1562="KAPSAM DIŞI"))</f>
        <v>0</v>
      </c>
      <c r="AH11" s="121">
        <f t="array" ref="AH11">SUMPRODUCT(((Başvuru!J2:K1562)="Doç. Dr. Tolga ÇAKMAK")*(Başvuru!G2:G1562="Uzmanlık Tezi")*(Başvuru!L2:L1562="GERİ ÇEKİLDİ"))</f>
        <v>0</v>
      </c>
      <c r="AI11" s="121">
        <f t="shared" si="3"/>
        <v>17</v>
      </c>
      <c r="AJ11" s="123">
        <f t="shared" si="4"/>
        <v>59</v>
      </c>
      <c r="AK11" s="123">
        <f t="shared" si="5"/>
        <v>28</v>
      </c>
      <c r="AL11" s="123">
        <f t="shared" si="6"/>
        <v>1</v>
      </c>
      <c r="AM11" s="123">
        <f t="shared" si="7"/>
        <v>5</v>
      </c>
      <c r="AN11" s="123">
        <f t="shared" si="8"/>
        <v>10</v>
      </c>
      <c r="AO11" s="123">
        <f t="shared" si="9"/>
        <v>0</v>
      </c>
      <c r="AP11" s="123">
        <f t="shared" si="10"/>
        <v>0</v>
      </c>
      <c r="AQ11" s="124">
        <f t="shared" si="11"/>
        <v>103</v>
      </c>
      <c r="AR11" s="121">
        <f t="shared" si="12"/>
        <v>3</v>
      </c>
      <c r="AS11" s="125">
        <f>COUNTIF(Başvuru!$Q:$Q,$B11)</f>
        <v>4</v>
      </c>
      <c r="AT11" s="126">
        <f>COUNTIFS(Başvuru!$Q:$Q,$B11,Başvuru!$J:$J,"&lt;&gt;"&amp;$B11,Başvuru!$K:$K,"&lt;&gt;"&amp;$B11)</f>
        <v>0</v>
      </c>
    </row>
    <row r="12" spans="1:46" s="116" customFormat="1" ht="30" customHeight="1" x14ac:dyDescent="0.25">
      <c r="A12" s="119" t="s">
        <v>136</v>
      </c>
      <c r="B12" s="120" t="s">
        <v>100</v>
      </c>
      <c r="C12" s="121">
        <f>COUNTIF(Başvuru!J2:K1562,"Doç. Dr. Burcu ERSÖZ ALAN")</f>
        <v>123</v>
      </c>
      <c r="D12" s="122">
        <f t="array" ref="D12">SUMPRODUCT(((Başvuru!J2:K1562)="Doç. Dr. Burcu ERSÖZ ALAN")*(Başvuru!G2:G1562="Bireysel Araştırma")*(Başvuru!L2:L1562="ONAY"))</f>
        <v>61</v>
      </c>
      <c r="E12" s="122">
        <f t="array" ref="E12">SUMPRODUCT(((Başvuru!J2:K1562)="Doç. Dr. Burcu ERSÖZ ALAN")*(Başvuru!G2:G1562="Bireysel Araştırma")*(Başvuru!L2:L1562="DÜZELTME"))</f>
        <v>18</v>
      </c>
      <c r="F12" s="122">
        <f t="array" ref="F12">SUMPRODUCT(((Başvuru!J2:K1562)="Doç. Dr. Burcu ERSÖZ ALAN")*(Başvuru!G2:G1562="Bireysel Araştırma")*(Başvuru!L2:L1562="KAEK"))</f>
        <v>1</v>
      </c>
      <c r="G12" s="122">
        <f t="array" ref="G12">SUMPRODUCT(((Başvuru!J2:K1562)="Doç. Dr. Burcu ERSÖZ ALAN")*(Başvuru!G2:G1562="Bireysel Araştırma")*(Başvuru!L2:L1562="GÖRÜŞ"))</f>
        <v>3</v>
      </c>
      <c r="H12" s="122">
        <f t="array" ref="H12">SUMPRODUCT(((Başvuru!J2:K1562)="Doç. Dr. Burcu ERSÖZ ALAN")*(Başvuru!G2:G1562="Bireysel Araştırma")*(Başvuru!L2:L1562="RET"))</f>
        <v>2</v>
      </c>
      <c r="I12" s="122">
        <f t="array" ref="I12">SUMPRODUCT(((Başvuru!J2:K1562)="Doç. Dr. Burcu ERSÖZ ALAN")*(Başvuru!G2:G1562="Bireysel Araştırma")*(Başvuru!L2:L1562="KAPSAM DIŞI"))</f>
        <v>1</v>
      </c>
      <c r="J12" s="122">
        <f t="array" ref="J12">SUMPRODUCT(((Başvuru!J2:K1562)="Doç. Dr. Burcu ERSÖZ ALAN")*(Başvuru!G2:G1562="Bireysel Araştırma")*(Başvuru!L2:L1562="GERİ ÇEKİLDİ"))</f>
        <v>0</v>
      </c>
      <c r="K12" s="121">
        <f t="shared" si="0"/>
        <v>86</v>
      </c>
      <c r="L12" s="121">
        <f t="array" ref="L12">SUMPRODUCT(((Başvuru!J2:K1562)="Doç. Dr. Burcu ERSÖZ ALAN")*(Başvuru!G2:G1562="Yüksek Lisans Tezi")*(Başvuru!L2:L1562="ONAY"))</f>
        <v>0</v>
      </c>
      <c r="M12" s="121">
        <f t="array" ref="M12">SUMPRODUCT(((Başvuru!J2:K1562)="Doç. Dr. Burcu ERSÖZ ALAN")*(Başvuru!G2:G1562="Yüksek Lisans Tezi")*(Başvuru!L2:L1562="DÜZELTME"))</f>
        <v>0</v>
      </c>
      <c r="N12" s="121">
        <f t="array" ref="N12">SUMPRODUCT(((Başvuru!J2:K1562)="Doç. Dr. Burcu ERSÖZ ALAN")*(Başvuru!G2:G1562="Yüksek Lisans Tezi")*(Başvuru!L2:L1562="KAEK"))</f>
        <v>0</v>
      </c>
      <c r="O12" s="121">
        <f t="array" ref="O12">SUMPRODUCT(((Başvuru!J2:K1562)="Doç. Dr. Burcu ERSÖZ ALAN")*(Başvuru!G2:G1562="Yüksek Lisans Tezi")*(Başvuru!L2:L1562="GÖRÜŞ"))</f>
        <v>0</v>
      </c>
      <c r="P12" s="121">
        <f t="array" ref="P12">SUMPRODUCT(((Başvuru!J2:K1562)="Doç. Dr. Burcu ERSÖZ ALAN")*(Başvuru!G2:G1562="Yüksek Lisans Tezi")*(Başvuru!L2:L1562="RET"))</f>
        <v>0</v>
      </c>
      <c r="Q12" s="121">
        <f t="array" ref="Q12">SUMPRODUCT(((Başvuru!J2:K1562)="Doç. Dr. Burcu ERSÖZ ALAN")*(Başvuru!G2:G1562="Yüksek Lisans Tezi")*(Başvuru!L2:L1562="KAPSAM DIŞI"))</f>
        <v>0</v>
      </c>
      <c r="R12" s="121">
        <f t="array" ref="R12">SUMPRODUCT(((Başvuru!J2:K1562)="Doç. Dr. Burcu ERSÖZ ALAN")*(Başvuru!G2:G1562="Yüksek Lisans Tezi")*(Başvuru!L2:L1562="GERİ ÇEKİLDİ"))</f>
        <v>0</v>
      </c>
      <c r="S12" s="121">
        <f t="shared" si="1"/>
        <v>0</v>
      </c>
      <c r="T12" s="121">
        <f t="array" ref="T12">SUMPRODUCT(((Başvuru!J2:K1562)="Doç. Dr. Burcu ERSÖZ ALAN")*(Başvuru!G2:G1562="Doktora Tezi")*(Başvuru!L2:L1562="ONAY"))</f>
        <v>7</v>
      </c>
      <c r="U12" s="121">
        <f t="array" ref="U12">SUMPRODUCT(((Başvuru!J2:K1562)="Doç. Dr. Burcu ERSÖZ ALAN")*(Başvuru!G2:G1562="Doktora Tezi")*(Başvuru!L2:L1562="DÜZELTME"))</f>
        <v>4</v>
      </c>
      <c r="V12" s="121">
        <f t="array" ref="V12">SUMPRODUCT(((Başvuru!J2:K1562)="Doç. Dr. Burcu ERSÖZ ALAN")*(Başvuru!G2:G1562="Doktora Tezi")*(Başvuru!L2:L1562="KAEK"))</f>
        <v>0</v>
      </c>
      <c r="W12" s="121">
        <f t="array" ref="W12">SUMPRODUCT(((Başvuru!J2:K1562)="Doç. Dr. Burcu ERSÖZ ALAN")*(Başvuru!G2:G1562="Doktora Tezi")*(Başvuru!L2:L1562="GÖRÜŞ"))</f>
        <v>0</v>
      </c>
      <c r="X12" s="121">
        <f t="array" ref="X12">SUMPRODUCT(((Başvuru!J2:K1562)="Doç. Dr. Burcu ERSÖZ ALAN")*(Başvuru!G2:G1562="Doktora Tezi")*(Başvuru!L2:L1562="RET"))</f>
        <v>0</v>
      </c>
      <c r="Y12" s="121">
        <f t="array" ref="Y12">SUMPRODUCT(((Başvuru!J2:K1562)="Doç. Dr. Burcu ERSÖZ ALAN")*(Başvuru!G2:G1562="Doktora Tezi")*(Başvuru!L2:L1562="KAPSAM DIŞI"))</f>
        <v>0</v>
      </c>
      <c r="Z12" s="121">
        <f t="array" ref="Z12">SUMPRODUCT(((Başvuru!J2:K1562)="Doç. Dr. Burcu ERSÖZ ALAN")*(Başvuru!G2:G1562="Doktora Tezi")*(Başvuru!L2:L1562="GERİ ÇEKİLDİ"))</f>
        <v>0</v>
      </c>
      <c r="AA12" s="121">
        <f t="shared" si="2"/>
        <v>11</v>
      </c>
      <c r="AB12" s="121">
        <f t="array" ref="AB12">SUMPRODUCT(((Başvuru!J2:K1562)="Doç. Dr. Burcu ERSÖZ ALAN")*(Başvuru!G2:G1562="Uzmanlık Tezi")*(Başvuru!L2:L1562="ONAY"))</f>
        <v>9</v>
      </c>
      <c r="AC12" s="121">
        <f t="array" ref="AC12">SUMPRODUCT(((Başvuru!J2:K1562)="Doç. Dr. Burcu ERSÖZ ALAN")*(Başvuru!G2:G1562="Uzmanlık Tezi")*(Başvuru!L2:L1562="DÜZELTME"))</f>
        <v>9</v>
      </c>
      <c r="AD12" s="121">
        <f t="array" ref="AD12">SUMPRODUCT(((Başvuru!J2:K1562)="Doç. Dr. Burcu ERSÖZ ALAN")*(Başvuru!G2:G1562="Uzmanlık Tezi")*(Başvuru!L2:L1562="KAEK"))</f>
        <v>0</v>
      </c>
      <c r="AE12" s="121">
        <f t="array" ref="AE12">SUMPRODUCT(((Başvuru!J2:K1562)="Doç. Dr. Burcu ERSÖZ ALAN")*(Başvuru!G2:G1562="Uzmanlık Tezi")*(Başvuru!L2:L1562="GÖRÜŞ"))</f>
        <v>3</v>
      </c>
      <c r="AF12" s="121">
        <f t="array" ref="AF12">SUMPRODUCT(((Başvuru!J2:K1562)="Doç. Dr. Burcu ERSÖZ ALAN")*(Başvuru!G2:G1562="Uzmanlık Tezi")*(Başvuru!L2:L1562="RET"))</f>
        <v>0</v>
      </c>
      <c r="AG12" s="121">
        <f t="array" ref="AG12">SUMPRODUCT(((Başvuru!J2:K1562)="Doç. Dr. Burcu ERSÖZ ALAN")*(Başvuru!G2:G1562="Uzmanlık Tezi")*(Başvuru!L2:L1562="KAPSAM DIŞI"))</f>
        <v>0</v>
      </c>
      <c r="AH12" s="121">
        <f t="array" ref="AH12">SUMPRODUCT(((Başvuru!J2:K1562)="Doç. Dr. Burcu ERSÖZ ALAN")*(Başvuru!G2:G1562="Uzmanlık Tezi")*(Başvuru!L2:L1562="GERİ ÇEKİLDİ"))</f>
        <v>0</v>
      </c>
      <c r="AI12" s="121">
        <f t="shared" si="3"/>
        <v>21</v>
      </c>
      <c r="AJ12" s="123">
        <f t="shared" si="4"/>
        <v>77</v>
      </c>
      <c r="AK12" s="123">
        <f t="shared" si="5"/>
        <v>31</v>
      </c>
      <c r="AL12" s="123">
        <f t="shared" si="6"/>
        <v>1</v>
      </c>
      <c r="AM12" s="123">
        <f t="shared" si="7"/>
        <v>6</v>
      </c>
      <c r="AN12" s="123">
        <f t="shared" si="8"/>
        <v>2</v>
      </c>
      <c r="AO12" s="123">
        <f t="shared" si="9"/>
        <v>1</v>
      </c>
      <c r="AP12" s="123">
        <f t="shared" si="10"/>
        <v>0</v>
      </c>
      <c r="AQ12" s="124">
        <f t="shared" si="11"/>
        <v>118</v>
      </c>
      <c r="AR12" s="121">
        <f t="shared" si="12"/>
        <v>5</v>
      </c>
      <c r="AS12" s="125">
        <f>COUNTIF(Başvuru!$Q:$Q,$B12)</f>
        <v>10</v>
      </c>
      <c r="AT12" s="126">
        <f>COUNTIFS(Başvuru!$Q:$Q,$B12,Başvuru!$J:$J,"&lt;&gt;"&amp;$B12,Başvuru!$K:$K,"&lt;&gt;"&amp;$B12)</f>
        <v>0</v>
      </c>
    </row>
    <row r="13" spans="1:46" s="116" customFormat="1" ht="30" customHeight="1" x14ac:dyDescent="0.25">
      <c r="A13" s="119" t="s">
        <v>142</v>
      </c>
      <c r="B13" s="120" t="s">
        <v>92</v>
      </c>
      <c r="C13" s="121">
        <f>COUNTIF(Başvuru!J2:K1562,"Doç. Dr. Ekim GÜMELER")</f>
        <v>115</v>
      </c>
      <c r="D13" s="122">
        <f t="array" ref="D13">SUMPRODUCT(((Başvuru!J2:K1562)="Doç. Dr. Ekim GÜMELER")*(Başvuru!G2:G1562="Bireysel Araştırma")*(Başvuru!L2:L1562="ONAY"))</f>
        <v>51</v>
      </c>
      <c r="E13" s="122">
        <f t="array" ref="E13">SUMPRODUCT(((Başvuru!J2:K1562)="Doç. Dr. Ekim GÜMELER")*(Başvuru!G2:G1562="Bireysel Araştırma")*(Başvuru!L2:L1562="DÜZELTME"))</f>
        <v>26</v>
      </c>
      <c r="F13" s="122">
        <f t="array" ref="F13">SUMPRODUCT(((Başvuru!J2:K1562)="Doç. Dr. Ekim GÜMELER")*(Başvuru!G2:G1562="Bireysel Araştırma")*(Başvuru!L2:L1562="KAEK"))</f>
        <v>4</v>
      </c>
      <c r="G13" s="122">
        <f t="array" ref="G13">SUMPRODUCT(((Başvuru!J2:K1562)="Doç. Dr. Ekim GÜMELER")*(Başvuru!G2:G1562="Bireysel Araştırma")*(Başvuru!L2:L1562="GÖRÜŞ"))</f>
        <v>3</v>
      </c>
      <c r="H13" s="122">
        <f t="array" ref="H13">SUMPRODUCT(((Başvuru!J2:K1562)="Doç. Dr. Ekim GÜMELER")*(Başvuru!G2:G1562="Bireysel Araştırma")*(Başvuru!L2:L1562="RET"))</f>
        <v>1</v>
      </c>
      <c r="I13" s="122">
        <f t="array" ref="I13">SUMPRODUCT(((Başvuru!J2:K1562)="Doç. Dr. Ekim GÜMELER")*(Başvuru!G2:G1562="Bireysel Araştırma")*(Başvuru!L2:L1562="KAPSAM DIŞI"))</f>
        <v>1</v>
      </c>
      <c r="J13" s="122">
        <f t="array" ref="J13">SUMPRODUCT(((Başvuru!J2:K1562)="Doç. Dr. Ekim GÜMELER")*(Başvuru!G2:G1562="Bireysel Araştırma")*(Başvuru!L2:L1562="GERİ ÇEKİLDİ"))</f>
        <v>0</v>
      </c>
      <c r="K13" s="121">
        <f t="shared" si="0"/>
        <v>86</v>
      </c>
      <c r="L13" s="121">
        <f t="array" ref="L13">SUMPRODUCT(((Başvuru!J2:K1562)="Doç. Dr. Ekim GÜMELER")*(Başvuru!G2:G1562="Yüksek Lisans Tezi")*(Başvuru!L2:L1562="ONAY"))</f>
        <v>2</v>
      </c>
      <c r="M13" s="121">
        <f t="array" ref="M13">SUMPRODUCT(((Başvuru!J2:K1562)="Doç. Dr. Ekim GÜMELER")*(Başvuru!G2:G1562="Yüksek Lisans Tezi")*(Başvuru!L2:L1562="DÜZELTME"))</f>
        <v>0</v>
      </c>
      <c r="N13" s="121">
        <f t="array" ref="N13">SUMPRODUCT(((Başvuru!J2:K1562)="Doç. Dr. Ekim GÜMELER")*(Başvuru!G2:G1562="Yüksek Lisans Tezi")*(Başvuru!L2:L1562="KAEK"))</f>
        <v>0</v>
      </c>
      <c r="O13" s="121">
        <f t="array" ref="O13">SUMPRODUCT(((Başvuru!J2:K1562)="Doç. Dr. Ekim GÜMELER")*(Başvuru!G2:G1562="Yüksek Lisans Tezi")*(Başvuru!L2:L1562="GÖRÜŞ"))</f>
        <v>0</v>
      </c>
      <c r="P13" s="121">
        <f t="array" ref="P13">SUMPRODUCT(((Başvuru!J2:K1562)="Doç. Dr. Ekim GÜMELER")*(Başvuru!G2:G1562="Yüksek Lisans Tezi")*(Başvuru!L2:L1562="RET"))</f>
        <v>0</v>
      </c>
      <c r="Q13" s="121">
        <f t="array" ref="Q13">SUMPRODUCT(((Başvuru!J2:K1562)="Doç. Dr. Ekim GÜMELER")*(Başvuru!G2:G1562="Yüksek Lisans Tezi")*(Başvuru!L2:L1562="KAPSAM DIŞI"))</f>
        <v>0</v>
      </c>
      <c r="R13" s="121">
        <f t="array" ref="R13">SUMPRODUCT(((Başvuru!J2:K1562)="Doç. Dr. Ekim GÜMELER")*(Başvuru!G2:G1562="Yüksek Lisans Tezi")*(Başvuru!L2:L1562="GERİ ÇEKİLDİ"))</f>
        <v>0</v>
      </c>
      <c r="S13" s="121">
        <f t="shared" si="1"/>
        <v>2</v>
      </c>
      <c r="T13" s="121">
        <f t="array" ref="T13">SUMPRODUCT(((Başvuru!J2:K1562)="Doç. Dr. Ekim GÜMELER")*(Başvuru!G2:G1562="Doktora Tezi")*(Başvuru!L2:L1562="ONAY"))</f>
        <v>4</v>
      </c>
      <c r="U13" s="121">
        <f t="array" ref="U13">SUMPRODUCT(((Başvuru!J2:K1562)="Doç. Dr. Ekim GÜMELER")*(Başvuru!G2:G1562="Doktora Tezi")*(Başvuru!L2:L1562="DÜZELTME"))</f>
        <v>0</v>
      </c>
      <c r="V13" s="121">
        <f t="array" ref="V13">SUMPRODUCT(((Başvuru!J2:K1562)="Doç. Dr. Ekim GÜMELER")*(Başvuru!G2:G1562="Doktora Tezi")*(Başvuru!L2:L1562="KAEK"))</f>
        <v>0</v>
      </c>
      <c r="W13" s="121">
        <f t="array" ref="W13">SUMPRODUCT(((Başvuru!J2:K1562)="Doç. Dr. Ekim GÜMELER")*(Başvuru!G2:G1562="Doktora Tezi")*(Başvuru!L2:L1562="GÖRÜŞ"))</f>
        <v>2</v>
      </c>
      <c r="X13" s="121">
        <f t="array" ref="X13">SUMPRODUCT(((Başvuru!J2:K1562)="Doç. Dr. Ekim GÜMELER")*(Başvuru!G2:G1562="Doktora Tezi")*(Başvuru!L2:L1562="RET"))</f>
        <v>0</v>
      </c>
      <c r="Y13" s="121">
        <f t="array" ref="Y13">SUMPRODUCT(((Başvuru!J2:K1562)="Doç. Dr. Ekim GÜMELER")*(Başvuru!G2:G1562="Doktora Tezi")*(Başvuru!L2:L1562="KAPSAM DIŞI"))</f>
        <v>0</v>
      </c>
      <c r="Z13" s="121">
        <f t="array" ref="Z13">SUMPRODUCT(((Başvuru!J2:K1562)="Doç. Dr. Ekim GÜMELER")*(Başvuru!G2:G1562="Doktora Tezi")*(Başvuru!L2:L1562="GERİ ÇEKİLDİ"))</f>
        <v>0</v>
      </c>
      <c r="AA13" s="121">
        <f t="shared" si="2"/>
        <v>6</v>
      </c>
      <c r="AB13" s="121">
        <f t="array" ref="AB13">SUMPRODUCT(((Başvuru!J2:K1562)="Doç. Dr. Ekim GÜMELER")*(Başvuru!G2:G1562="Uzmanlık Tezi")*(Başvuru!L2:L1562="ONAY"))</f>
        <v>9</v>
      </c>
      <c r="AC13" s="121">
        <f t="array" ref="AC13">SUMPRODUCT(((Başvuru!J2:K1562)="Doç. Dr. Ekim GÜMELER")*(Başvuru!G2:G1562="Uzmanlık Tezi")*(Başvuru!L2:L1562="DÜZELTME"))</f>
        <v>6</v>
      </c>
      <c r="AD13" s="121">
        <f t="array" ref="AD13">SUMPRODUCT(((Başvuru!J2:K1562)="Doç. Dr. Ekim GÜMELER")*(Başvuru!G2:G1562="Uzmanlık Tezi")*(Başvuru!L2:L1562="KAEK"))</f>
        <v>0</v>
      </c>
      <c r="AE13" s="121">
        <f t="array" ref="AE13">SUMPRODUCT(((Başvuru!J2:K1562)="Doç. Dr. Ekim GÜMELER")*(Başvuru!G2:G1562="Uzmanlık Tezi")*(Başvuru!L2:L1562="GÖRÜŞ"))</f>
        <v>0</v>
      </c>
      <c r="AF13" s="121">
        <f t="array" ref="AF13">SUMPRODUCT(((Başvuru!J2:K1562)="Doç. Dr. Ekim GÜMELER")*(Başvuru!G2:G1562="Uzmanlık Tezi")*(Başvuru!L2:L1562="RET"))</f>
        <v>0</v>
      </c>
      <c r="AG13" s="121">
        <f t="array" ref="AG13">SUMPRODUCT(((Başvuru!J2:K1562)="Doç. Dr. Ekim GÜMELER")*(Başvuru!G2:G1562="Uzmanlık Tezi")*(Başvuru!L2:L1562="KAPSAM DIŞI"))</f>
        <v>2</v>
      </c>
      <c r="AH13" s="121">
        <f t="array" ref="AH13">SUMPRODUCT(((Başvuru!J2:K1562)="Doç. Dr. Ekim GÜMELER")*(Başvuru!G2:G1562="Uzmanlık Tezi")*(Başvuru!L2:L1562="GERİ ÇEKİLDİ"))</f>
        <v>0</v>
      </c>
      <c r="AI13" s="121">
        <f t="shared" si="3"/>
        <v>17</v>
      </c>
      <c r="AJ13" s="123">
        <f t="shared" si="4"/>
        <v>66</v>
      </c>
      <c r="AK13" s="123">
        <f t="shared" si="5"/>
        <v>32</v>
      </c>
      <c r="AL13" s="123">
        <f t="shared" si="6"/>
        <v>4</v>
      </c>
      <c r="AM13" s="123">
        <f t="shared" si="7"/>
        <v>5</v>
      </c>
      <c r="AN13" s="123">
        <f t="shared" si="8"/>
        <v>1</v>
      </c>
      <c r="AO13" s="123">
        <f t="shared" si="9"/>
        <v>3</v>
      </c>
      <c r="AP13" s="123">
        <f t="shared" si="10"/>
        <v>0</v>
      </c>
      <c r="AQ13" s="124">
        <f t="shared" si="11"/>
        <v>111</v>
      </c>
      <c r="AR13" s="121">
        <f t="shared" si="12"/>
        <v>4</v>
      </c>
      <c r="AS13" s="125">
        <f>COUNTIF(Başvuru!$Q:$Q,$B13)</f>
        <v>8</v>
      </c>
      <c r="AT13" s="126">
        <f>COUNTIFS(Başvuru!$Q:$Q,$B13,Başvuru!$J:$J,"&lt;&gt;"&amp;$B13,Başvuru!$K:$K,"&lt;&gt;"&amp;$B13)</f>
        <v>0</v>
      </c>
    </row>
    <row r="14" spans="1:46" s="116" customFormat="1" ht="30" customHeight="1" x14ac:dyDescent="0.25">
      <c r="A14" s="119" t="s">
        <v>147</v>
      </c>
      <c r="B14" s="120" t="s">
        <v>91</v>
      </c>
      <c r="C14" s="121">
        <f>COUNTIF(Başvuru!J2:K1562,"Dr. Öğr. Üyesi Müge DEMİR")</f>
        <v>115</v>
      </c>
      <c r="D14" s="122">
        <f t="array" ref="D14">SUMPRODUCT(((Başvuru!J2:K1562)="Dr. Öğr. Üyesi Müge DEMİR")*(Başvuru!G2:G1562="Bireysel Araştırma")*(Başvuru!L2:L1562="ONAY"))</f>
        <v>34</v>
      </c>
      <c r="E14" s="122">
        <f t="array" ref="E14">SUMPRODUCT(((Başvuru!J2:K1562)="Dr. Öğr. Üyesi Müge DEMİR")*(Başvuru!G2:G1562="Bireysel Araştırma")*(Başvuru!L2:L1562="DÜZELTME"))</f>
        <v>36</v>
      </c>
      <c r="F14" s="122">
        <f t="array" ref="F14">SUMPRODUCT(((Başvuru!J2:K1562)="Dr. Öğr. Üyesi Müge DEMİR")*(Başvuru!G2:G1562="Bireysel Araştırma")*(Başvuru!L2:L1562="KAEK"))</f>
        <v>6</v>
      </c>
      <c r="G14" s="122">
        <f t="array" ref="G14">SUMPRODUCT(((Başvuru!J2:K1562)="Dr. Öğr. Üyesi Müge DEMİR")*(Başvuru!G2:G1562="Bireysel Araştırma")*(Başvuru!L2:L1562="GÖRÜŞ"))</f>
        <v>0</v>
      </c>
      <c r="H14" s="122">
        <f t="array" ref="H14">SUMPRODUCT(((Başvuru!J2:K1562)="Dr. Öğr. Üyesi Müge DEMİR")*(Başvuru!G2:G1562="Bireysel Araştırma")*(Başvuru!L2:L1562="RET"))</f>
        <v>5</v>
      </c>
      <c r="I14" s="122">
        <f t="array" ref="I14">SUMPRODUCT(((Başvuru!J2:K1562)="Dr. Öğr. Üyesi Müge DEMİR")*(Başvuru!G2:G1562="Bireysel Araştırma")*(Başvuru!L2:L1562="KAPSAM DIŞI"))</f>
        <v>5</v>
      </c>
      <c r="J14" s="122">
        <f t="array" ref="J14">SUMPRODUCT(((Başvuru!J2:K1562)="Dr. Öğr. Üyesi Müge DEMİR")*(Başvuru!G2:G1562="Bireysel Araştırma")*(Başvuru!L2:L1562="GERİ ÇEKİLDİ"))</f>
        <v>0</v>
      </c>
      <c r="K14" s="121">
        <f t="shared" si="0"/>
        <v>86</v>
      </c>
      <c r="L14" s="121">
        <f t="array" ref="L14">SUMPRODUCT(((Başvuru!J2:K1562)="Dr. Öğr. Üyesi Müge DEMİR")*(Başvuru!G2:G1562="Yüksek Lisans Tezi")*(Başvuru!L2:L1562="ONAY"))</f>
        <v>2</v>
      </c>
      <c r="M14" s="121">
        <f t="array" ref="M14">SUMPRODUCT(((Başvuru!J2:K1562)="Dr. Öğr. Üyesi Müge DEMİR")*(Başvuru!G2:G1562="Yüksek Lisans Tezi")*(Başvuru!L2:L1562="DÜZELTME"))</f>
        <v>1</v>
      </c>
      <c r="N14" s="121">
        <f t="array" ref="N14">SUMPRODUCT(((Başvuru!J2:K1562)="Dr. Öğr. Üyesi Müge DEMİR")*(Başvuru!G2:G1562="Yüksek Lisans Tezi")*(Başvuru!L2:L1562="KAEK"))</f>
        <v>0</v>
      </c>
      <c r="O14" s="121">
        <f t="array" ref="O14">SUMPRODUCT(((Başvuru!J2:K1562)="Dr. Öğr. Üyesi Müge DEMİR")*(Başvuru!G2:G1562="Yüksek Lisans Tezi")*(Başvuru!L2:L1562="GÖRÜŞ"))</f>
        <v>0</v>
      </c>
      <c r="P14" s="121">
        <f t="array" ref="P14">SUMPRODUCT(((Başvuru!J2:K1562)="Dr. Öğr. Üyesi Müge DEMİR")*(Başvuru!G2:G1562="Yüksek Lisans Tezi")*(Başvuru!L2:L1562="RET"))</f>
        <v>0</v>
      </c>
      <c r="Q14" s="121">
        <f t="array" ref="Q14">SUMPRODUCT(((Başvuru!J2:K1562)="Dr. Öğr. Üyesi Müge DEMİR")*(Başvuru!G2:G1562="Yüksek Lisans Tezi")*(Başvuru!L2:L1562="KAPSAM DIŞI"))</f>
        <v>0</v>
      </c>
      <c r="R14" s="121">
        <f t="array" ref="R14">SUMPRODUCT(((Başvuru!J2:K1562)="Dr. Öğr. Üyesi Müge DEMİR")*(Başvuru!G2:G1562="Yüksek Lisans Tezi")*(Başvuru!L2:L1562="GERİ ÇEKİLDİ"))</f>
        <v>0</v>
      </c>
      <c r="S14" s="121">
        <f t="shared" si="1"/>
        <v>3</v>
      </c>
      <c r="T14" s="121">
        <f t="array" ref="T14">SUMPRODUCT(((Başvuru!J2:K1562)="Dr. Öğr. Üyesi Müge DEMİR")*(Başvuru!G2:G1562="Doktora Tezi")*(Başvuru!L2:L1562="ONAY"))</f>
        <v>5</v>
      </c>
      <c r="U14" s="121">
        <f t="array" ref="U14">SUMPRODUCT(((Başvuru!J2:K1562)="Dr. Öğr. Üyesi Müge DEMİR")*(Başvuru!G2:G1562="Doktora Tezi")*(Başvuru!L2:L1562="DÜZELTME"))</f>
        <v>1</v>
      </c>
      <c r="V14" s="121">
        <f t="array" ref="V14">SUMPRODUCT(((Başvuru!J2:K1562)="Dr. Öğr. Üyesi Müge DEMİR")*(Başvuru!G2:G1562="Doktora Tezi")*(Başvuru!L2:L1562="KAEK"))</f>
        <v>0</v>
      </c>
      <c r="W14" s="121">
        <f t="array" ref="W14">SUMPRODUCT(((Başvuru!J2:K1562)="Dr. Öğr. Üyesi Müge DEMİR")*(Başvuru!G2:G1562="Doktora Tezi")*(Başvuru!L2:L1562="GÖRÜŞ"))</f>
        <v>0</v>
      </c>
      <c r="X14" s="121">
        <f t="array" ref="X14">SUMPRODUCT(((Başvuru!J2:K1562)="Dr. Öğr. Üyesi Müge DEMİR")*(Başvuru!G2:G1562="Doktora Tezi")*(Başvuru!L2:L1562="RET"))</f>
        <v>0</v>
      </c>
      <c r="Y14" s="121">
        <f t="array" ref="Y14">SUMPRODUCT(((Başvuru!J2:K1562)="Dr. Öğr. Üyesi Müge DEMİR")*(Başvuru!G2:G1562="Doktora Tezi")*(Başvuru!L2:L1562="KAPSAM DIŞI"))</f>
        <v>0</v>
      </c>
      <c r="Z14" s="121">
        <f t="array" ref="Z14">SUMPRODUCT(((Başvuru!J2:K1562)="Dr. Öğr. Üyesi Müge DEMİR")*(Başvuru!G2:G1562="Doktora Tezi")*(Başvuru!L2:L1562="GERİ ÇEKİLDİ"))</f>
        <v>0</v>
      </c>
      <c r="AA14" s="121">
        <f t="shared" si="2"/>
        <v>6</v>
      </c>
      <c r="AB14" s="121">
        <f t="array" ref="AB14">SUMPRODUCT(((Başvuru!J2:K1562)="Dr. Öğr. Üyesi Müge DEMİR")*(Başvuru!G2:G1562="Uzmanlık Tezi")*(Başvuru!L2:L1562="ONAY"))</f>
        <v>7</v>
      </c>
      <c r="AC14" s="121">
        <f t="array" ref="AC14">SUMPRODUCT(((Başvuru!J2:K1562)="Dr. Öğr. Üyesi Müge DEMİR")*(Başvuru!G2:G1562="Uzmanlık Tezi")*(Başvuru!L2:L1562="DÜZELTME"))</f>
        <v>5</v>
      </c>
      <c r="AD14" s="121">
        <f t="array" ref="AD14">SUMPRODUCT(((Başvuru!J2:K1562)="Dr. Öğr. Üyesi Müge DEMİR")*(Başvuru!G2:G1562="Uzmanlık Tezi")*(Başvuru!L2:L1562="KAEK"))</f>
        <v>2</v>
      </c>
      <c r="AE14" s="121">
        <f t="array" ref="AE14">SUMPRODUCT(((Başvuru!J2:K1562)="Dr. Öğr. Üyesi Müge DEMİR")*(Başvuru!G2:G1562="Uzmanlık Tezi")*(Başvuru!L2:L1562="GÖRÜŞ"))</f>
        <v>0</v>
      </c>
      <c r="AF14" s="121">
        <f t="array" ref="AF14">SUMPRODUCT(((Başvuru!J2:K1562)="Dr. Öğr. Üyesi Müge DEMİR")*(Başvuru!G2:G1562="Uzmanlık Tezi")*(Başvuru!L2:L1562="RET"))</f>
        <v>2</v>
      </c>
      <c r="AG14" s="121">
        <f t="array" ref="AG14">SUMPRODUCT(((Başvuru!J2:K1562)="Dr. Öğr. Üyesi Müge DEMİR")*(Başvuru!G2:G1562="Uzmanlık Tezi")*(Başvuru!L2:L1562="KAPSAM DIŞI"))</f>
        <v>0</v>
      </c>
      <c r="AH14" s="121">
        <f t="array" ref="AH14">SUMPRODUCT(((Başvuru!J2:K1562)="Dr. Öğr. Üyesi Müge DEMİR")*(Başvuru!G2:G1562="Uzmanlık Tezi")*(Başvuru!L2:L1562="GERİ ÇEKİLDİ"))</f>
        <v>0</v>
      </c>
      <c r="AI14" s="121">
        <f t="shared" si="3"/>
        <v>16</v>
      </c>
      <c r="AJ14" s="123">
        <f t="shared" si="4"/>
        <v>48</v>
      </c>
      <c r="AK14" s="123">
        <f t="shared" si="5"/>
        <v>43</v>
      </c>
      <c r="AL14" s="123">
        <f t="shared" si="6"/>
        <v>8</v>
      </c>
      <c r="AM14" s="123">
        <f t="shared" si="7"/>
        <v>0</v>
      </c>
      <c r="AN14" s="123">
        <f t="shared" si="8"/>
        <v>7</v>
      </c>
      <c r="AO14" s="123">
        <f t="shared" si="9"/>
        <v>5</v>
      </c>
      <c r="AP14" s="123">
        <f t="shared" si="10"/>
        <v>0</v>
      </c>
      <c r="AQ14" s="124">
        <f t="shared" si="11"/>
        <v>111</v>
      </c>
      <c r="AR14" s="121">
        <f t="shared" si="12"/>
        <v>4</v>
      </c>
      <c r="AS14" s="125">
        <f>COUNTIF(Başvuru!$Q:$Q,$B14)</f>
        <v>25</v>
      </c>
      <c r="AT14" s="126">
        <f>COUNTIFS(Başvuru!$Q:$Q,$B14,Başvuru!$J:$J,"&lt;&gt;"&amp;$B14,Başvuru!$K:$K,"&lt;&gt;"&amp;$B14)</f>
        <v>5</v>
      </c>
    </row>
    <row r="15" spans="1:46" s="134" customFormat="1" ht="30" customHeight="1" x14ac:dyDescent="0.25">
      <c r="A15" s="214" t="s">
        <v>4384</v>
      </c>
      <c r="B15" s="214"/>
      <c r="C15" s="127">
        <f t="shared" ref="C15:AP15" si="13">SUM(C3:C14)</f>
        <v>1346</v>
      </c>
      <c r="D15" s="127">
        <f t="shared" si="13"/>
        <v>566</v>
      </c>
      <c r="E15" s="127">
        <f t="shared" si="13"/>
        <v>294</v>
      </c>
      <c r="F15" s="127">
        <f t="shared" si="13"/>
        <v>28</v>
      </c>
      <c r="G15" s="127">
        <f t="shared" si="13"/>
        <v>36</v>
      </c>
      <c r="H15" s="127">
        <f t="shared" si="13"/>
        <v>38</v>
      </c>
      <c r="I15" s="127">
        <f t="shared" si="13"/>
        <v>22</v>
      </c>
      <c r="J15" s="127">
        <f t="shared" si="13"/>
        <v>0</v>
      </c>
      <c r="K15" s="128">
        <f t="shared" si="13"/>
        <v>984</v>
      </c>
      <c r="L15" s="127">
        <f t="shared" si="13"/>
        <v>16</v>
      </c>
      <c r="M15" s="127">
        <f t="shared" si="13"/>
        <v>22</v>
      </c>
      <c r="N15" s="127">
        <f t="shared" si="13"/>
        <v>2</v>
      </c>
      <c r="O15" s="127">
        <f t="shared" si="13"/>
        <v>0</v>
      </c>
      <c r="P15" s="127">
        <f t="shared" si="13"/>
        <v>2</v>
      </c>
      <c r="Q15" s="127">
        <f t="shared" si="13"/>
        <v>0</v>
      </c>
      <c r="R15" s="127">
        <f t="shared" si="13"/>
        <v>0</v>
      </c>
      <c r="S15" s="128">
        <f t="shared" si="13"/>
        <v>42</v>
      </c>
      <c r="T15" s="127">
        <f t="shared" si="13"/>
        <v>32</v>
      </c>
      <c r="U15" s="127">
        <f t="shared" si="13"/>
        <v>28</v>
      </c>
      <c r="V15" s="127">
        <f t="shared" si="13"/>
        <v>0</v>
      </c>
      <c r="W15" s="127">
        <f t="shared" si="13"/>
        <v>6</v>
      </c>
      <c r="X15" s="127">
        <f t="shared" si="13"/>
        <v>0</v>
      </c>
      <c r="Y15" s="127">
        <f t="shared" si="13"/>
        <v>0</v>
      </c>
      <c r="Z15" s="127">
        <f t="shared" si="13"/>
        <v>0</v>
      </c>
      <c r="AA15" s="128">
        <f t="shared" si="13"/>
        <v>66</v>
      </c>
      <c r="AB15" s="127">
        <f t="shared" si="13"/>
        <v>128</v>
      </c>
      <c r="AC15" s="127">
        <f t="shared" si="13"/>
        <v>72</v>
      </c>
      <c r="AD15" s="127">
        <f t="shared" si="13"/>
        <v>4</v>
      </c>
      <c r="AE15" s="127">
        <f t="shared" si="13"/>
        <v>8</v>
      </c>
      <c r="AF15" s="127">
        <f t="shared" si="13"/>
        <v>6</v>
      </c>
      <c r="AG15" s="127">
        <f t="shared" si="13"/>
        <v>6</v>
      </c>
      <c r="AH15" s="127">
        <f t="shared" si="13"/>
        <v>0</v>
      </c>
      <c r="AI15" s="128">
        <f t="shared" si="13"/>
        <v>224</v>
      </c>
      <c r="AJ15" s="129">
        <f t="shared" si="13"/>
        <v>742</v>
      </c>
      <c r="AK15" s="129">
        <f t="shared" si="13"/>
        <v>416</v>
      </c>
      <c r="AL15" s="129">
        <f t="shared" si="13"/>
        <v>34</v>
      </c>
      <c r="AM15" s="129">
        <f t="shared" si="13"/>
        <v>50</v>
      </c>
      <c r="AN15" s="129">
        <f t="shared" si="13"/>
        <v>46</v>
      </c>
      <c r="AO15" s="129">
        <f t="shared" si="13"/>
        <v>28</v>
      </c>
      <c r="AP15" s="129">
        <f t="shared" si="13"/>
        <v>0</v>
      </c>
      <c r="AQ15" s="130">
        <f t="shared" si="11"/>
        <v>1316</v>
      </c>
      <c r="AR15" s="131">
        <f>SUM(AR3:AR14)</f>
        <v>30</v>
      </c>
      <c r="AS15" s="132">
        <f>SUM(AS3:AS14)</f>
        <v>160</v>
      </c>
      <c r="AT15" s="133">
        <f>SUM(AT3:AT14)</f>
        <v>12</v>
      </c>
    </row>
    <row r="16" spans="1:46" s="134" customFormat="1" ht="33" customHeight="1" x14ac:dyDescent="0.25">
      <c r="A16" s="215" t="s">
        <v>4385</v>
      </c>
      <c r="B16" s="215"/>
      <c r="C16" s="128">
        <f>COUNTIFS(Başvuru!$A:$A,"&lt;&gt;",Başvuru!$F:$F,"&lt;&gt;")-1</f>
        <v>700</v>
      </c>
      <c r="D16" s="135"/>
      <c r="E16" s="136"/>
      <c r="F16" s="136"/>
      <c r="G16" s="136"/>
      <c r="H16" s="136"/>
      <c r="I16" s="136"/>
      <c r="J16" s="136"/>
      <c r="K16" s="137"/>
      <c r="L16" s="135"/>
      <c r="M16" s="136"/>
      <c r="N16" s="136"/>
      <c r="O16" s="136"/>
      <c r="P16" s="136"/>
      <c r="Q16" s="136"/>
      <c r="R16" s="136"/>
      <c r="S16" s="138"/>
      <c r="T16" s="135"/>
      <c r="U16" s="136"/>
      <c r="V16" s="136"/>
      <c r="W16" s="136"/>
      <c r="X16" s="136"/>
      <c r="Y16" s="136"/>
      <c r="Z16" s="136"/>
      <c r="AA16" s="138"/>
      <c r="AB16" s="135"/>
      <c r="AC16" s="136"/>
      <c r="AD16" s="136"/>
      <c r="AE16" s="136"/>
      <c r="AF16" s="136"/>
      <c r="AG16" s="136"/>
      <c r="AH16" s="136"/>
      <c r="AI16" s="138"/>
      <c r="AJ16" s="139"/>
      <c r="AK16" s="139"/>
      <c r="AL16" s="139"/>
      <c r="AM16" s="139"/>
      <c r="AN16" s="139"/>
      <c r="AO16" s="139"/>
      <c r="AP16" s="139"/>
      <c r="AQ16" s="139"/>
      <c r="AR16" s="128">
        <f>AR15/2</f>
        <v>15</v>
      </c>
      <c r="AS16" s="114"/>
      <c r="AT16" s="114"/>
    </row>
    <row r="20" spans="1:3" ht="30" customHeight="1" x14ac:dyDescent="0.3">
      <c r="A20" s="140" t="s">
        <v>4377</v>
      </c>
      <c r="B20" s="1" t="s">
        <v>4386</v>
      </c>
      <c r="C20" s="1" t="s">
        <v>4379</v>
      </c>
    </row>
    <row r="21" spans="1:3" ht="30" customHeight="1" x14ac:dyDescent="0.3">
      <c r="A21" s="141" t="s">
        <v>69</v>
      </c>
      <c r="B21" s="120" t="s">
        <v>38</v>
      </c>
      <c r="C21" s="142">
        <f>COUNTIF(Başvuru!G2:G1562,"Bireysel Araştırma")</f>
        <v>526</v>
      </c>
    </row>
    <row r="22" spans="1:3" ht="30" customHeight="1" x14ac:dyDescent="0.3">
      <c r="A22" s="143" t="s">
        <v>78</v>
      </c>
      <c r="B22" s="144" t="s">
        <v>40</v>
      </c>
      <c r="C22" s="145">
        <f>COUNTIF(Başvuru!G2:G1562,"Yüksek Lisans Tezi")</f>
        <v>21</v>
      </c>
    </row>
    <row r="23" spans="1:3" ht="30" customHeight="1" x14ac:dyDescent="0.3">
      <c r="A23" s="141" t="s">
        <v>85</v>
      </c>
      <c r="B23" s="120" t="s">
        <v>41</v>
      </c>
      <c r="C23" s="142">
        <f>COUNTIF(Başvuru!G2:G1562,"Doktora Tezi")</f>
        <v>33</v>
      </c>
    </row>
    <row r="24" spans="1:3" ht="30" customHeight="1" x14ac:dyDescent="0.3">
      <c r="A24" s="143" t="s">
        <v>93</v>
      </c>
      <c r="B24" s="144" t="s">
        <v>39</v>
      </c>
      <c r="C24" s="145">
        <f>COUNTIF(Başvuru!G2:G1562,"Uzmanlık Tezi")</f>
        <v>120</v>
      </c>
    </row>
    <row r="25" spans="1:3" ht="30" customHeight="1" x14ac:dyDescent="0.3">
      <c r="A25" s="216" t="s">
        <v>4</v>
      </c>
      <c r="B25" s="216"/>
      <c r="C25" s="1">
        <f>SUM(C21:C24)</f>
        <v>700</v>
      </c>
    </row>
    <row r="26" spans="1:3" ht="30" customHeight="1" x14ac:dyDescent="0.3">
      <c r="B26" s="116"/>
      <c r="C26" s="116"/>
    </row>
    <row r="27" spans="1:3" ht="30" customHeight="1" x14ac:dyDescent="0.3">
      <c r="A27" s="140" t="s">
        <v>4377</v>
      </c>
      <c r="B27" s="1" t="s">
        <v>4387</v>
      </c>
      <c r="C27" s="1" t="s">
        <v>4379</v>
      </c>
    </row>
    <row r="28" spans="1:3" ht="30" customHeight="1" x14ac:dyDescent="0.3">
      <c r="A28" s="141" t="s">
        <v>69</v>
      </c>
      <c r="B28" s="146" t="s">
        <v>4366</v>
      </c>
      <c r="C28" s="142">
        <f>COUNTIFS(Başvuru!$A:$A,"&lt;&gt;"&amp;"",Başvuru!$F:$F,"&lt;&gt;"&amp;"",Başvuru!$L:$L,"ONAY")</f>
        <v>371</v>
      </c>
    </row>
    <row r="29" spans="1:3" ht="30" customHeight="1" x14ac:dyDescent="0.3">
      <c r="A29" s="141" t="s">
        <v>78</v>
      </c>
      <c r="B29" s="146" t="s">
        <v>4367</v>
      </c>
      <c r="C29" s="142">
        <f>COUNTIFS(Başvuru!$A:$A,"&lt;&gt;"&amp;"",Başvuru!$F:$F,"&lt;&gt;"&amp;"",Başvuru!$L:$L,"DÜZELTME")</f>
        <v>208</v>
      </c>
    </row>
    <row r="30" spans="1:3" ht="30" customHeight="1" x14ac:dyDescent="0.3">
      <c r="A30" s="141" t="s">
        <v>85</v>
      </c>
      <c r="B30" s="146" t="s">
        <v>218</v>
      </c>
      <c r="C30" s="142">
        <f>COUNTIFS(Başvuru!$A:$A,"&lt;&gt;"&amp;"",Başvuru!$F:$F,"&lt;&gt;"&amp;"",Başvuru!$L:$L,"KAEK")</f>
        <v>17</v>
      </c>
    </row>
    <row r="31" spans="1:3" ht="30" customHeight="1" x14ac:dyDescent="0.3">
      <c r="A31" s="141" t="s">
        <v>93</v>
      </c>
      <c r="B31" s="146" t="s">
        <v>4368</v>
      </c>
      <c r="C31" s="142">
        <f>COUNTIFS(Başvuru!$A:$A,"&lt;&gt;"&amp;"",Başvuru!$F:$F,"&lt;&gt;"&amp;"",Başvuru!$L:$L,"GÖRÜŞ")</f>
        <v>25</v>
      </c>
    </row>
    <row r="32" spans="1:3" ht="30" customHeight="1" x14ac:dyDescent="0.3">
      <c r="A32" s="141" t="s">
        <v>102</v>
      </c>
      <c r="B32" s="146" t="s">
        <v>4369</v>
      </c>
      <c r="C32" s="142">
        <f>COUNTIFS(Başvuru!$A:$A,"&lt;&gt;"&amp;"",Başvuru!$F:$F,"&lt;&gt;"&amp;"",Başvuru!$L:$L,"RET")</f>
        <v>23</v>
      </c>
    </row>
    <row r="33" spans="1:3" ht="30" customHeight="1" x14ac:dyDescent="0.3">
      <c r="A33" s="141" t="s">
        <v>110</v>
      </c>
      <c r="B33" s="146" t="s">
        <v>4370</v>
      </c>
      <c r="C33" s="142">
        <f>COUNTIFS(Başvuru!$A:$A,"&lt;&gt;"&amp;"",Başvuru!$F:$F,"&lt;&gt;"&amp;"",Başvuru!$L:$L,"KAPSAM DIŞI")</f>
        <v>14</v>
      </c>
    </row>
    <row r="34" spans="1:3" ht="30" customHeight="1" x14ac:dyDescent="0.3">
      <c r="A34" s="141" t="s">
        <v>117</v>
      </c>
      <c r="B34" s="146" t="s">
        <v>4371</v>
      </c>
      <c r="C34" s="142">
        <f>COUNTIFS(Başvuru!$A:$A,"&lt;&gt;"&amp;"",Başvuru!$F:$F,"&lt;&gt;"&amp;"",Başvuru!$L:$L,"GERİ ÇEKİLDİ")</f>
        <v>0</v>
      </c>
    </row>
    <row r="35" spans="1:3" ht="30" customHeight="1" x14ac:dyDescent="0.3">
      <c r="A35" s="141" t="s">
        <v>124</v>
      </c>
      <c r="B35" s="146" t="s">
        <v>4388</v>
      </c>
      <c r="C35" s="142">
        <f>COUNTIFS(Başvuru!$A:$A,"&lt;&gt;"&amp;"",Başvuru!$F:$F,"&lt;&gt;"&amp;"",Başvuru!$L:$L,"")</f>
        <v>42</v>
      </c>
    </row>
    <row r="36" spans="1:3" ht="20.25" customHeight="1" x14ac:dyDescent="0.3">
      <c r="A36" s="217" t="s">
        <v>4</v>
      </c>
      <c r="B36" s="217"/>
      <c r="C36" s="1">
        <f>SUM(C28:C35)</f>
        <v>700</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9" priority="4">
      <formula>" =ÇİFTMİ(SATIR())"</formula>
    </cfRule>
  </conditionalFormatting>
  <conditionalFormatting sqref="A28:C35">
    <cfRule type="expression" dxfId="8" priority="2">
      <formula>ISEVEN(ROW())</formula>
    </cfRule>
  </conditionalFormatting>
  <conditionalFormatting sqref="A3:AI14">
    <cfRule type="expression" dxfId="7" priority="5">
      <formula>ISODD(ROW())</formula>
    </cfRule>
  </conditionalFormatting>
  <conditionalFormatting sqref="AR3:AR14">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2:S156"/>
  <sheetViews>
    <sheetView showGridLines="0" showZeros="0" zoomScaleNormal="100" workbookViewId="0">
      <pane xSplit="2" ySplit="5" topLeftCell="C58" activePane="bottomRight" state="frozen"/>
      <selection pane="topRight" activeCell="C1" sqref="C1"/>
      <selection pane="bottomLeft" activeCell="A6" sqref="A6"/>
      <selection pane="bottomRight" activeCell="C87" sqref="C87"/>
    </sheetView>
  </sheetViews>
  <sheetFormatPr defaultColWidth="8.7109375" defaultRowHeight="15" x14ac:dyDescent="0.25"/>
  <cols>
    <col min="1" max="1" width="3" customWidth="1"/>
    <col min="2" max="2" width="6.28515625" customWidth="1"/>
    <col min="3" max="3" width="49" customWidth="1"/>
    <col min="4" max="4" width="12.28515625" customWidth="1"/>
    <col min="5" max="5" width="6.7109375" customWidth="1"/>
    <col min="6" max="6" width="10.85546875" customWidth="1"/>
    <col min="7" max="7" width="11.42578125" customWidth="1"/>
    <col min="8" max="8" width="10.85546875" customWidth="1"/>
    <col min="9" max="9" width="10" customWidth="1"/>
    <col min="10" max="10" width="9.42578125" customWidth="1"/>
    <col min="11" max="11" width="10.42578125" customWidth="1"/>
    <col min="12" max="12" width="9" customWidth="1"/>
    <col min="13" max="13" width="10.140625" customWidth="1"/>
    <col min="14" max="14" width="7.85546875" customWidth="1"/>
    <col min="15" max="15" width="11.42578125" customWidth="1"/>
    <col min="16" max="16" width="9.7109375" customWidth="1"/>
    <col min="17" max="17" width="41.5703125" customWidth="1"/>
    <col min="18" max="18" width="5.85546875" customWidth="1"/>
    <col min="19" max="19" width="6" customWidth="1"/>
  </cols>
  <sheetData>
    <row r="2" spans="2:19" ht="15.75" x14ac:dyDescent="0.25">
      <c r="B2" s="224" t="s">
        <v>4389</v>
      </c>
      <c r="C2" s="224"/>
      <c r="D2" s="224"/>
      <c r="E2" s="224"/>
      <c r="F2" s="224"/>
      <c r="G2" s="224"/>
      <c r="H2" s="224"/>
      <c r="I2" s="224"/>
      <c r="J2" s="224"/>
      <c r="K2" s="224"/>
      <c r="L2" s="224"/>
      <c r="M2" s="224"/>
      <c r="N2" s="224"/>
      <c r="O2" s="224"/>
      <c r="P2" s="224"/>
    </row>
    <row r="3" spans="2:19" x14ac:dyDescent="0.25">
      <c r="B3" s="225" t="s">
        <v>4390</v>
      </c>
      <c r="C3" s="225"/>
      <c r="D3" s="225"/>
      <c r="E3" s="225"/>
      <c r="F3" s="225"/>
      <c r="G3" s="225"/>
      <c r="H3" s="225"/>
      <c r="I3" s="225"/>
      <c r="J3" s="225"/>
      <c r="K3" s="225"/>
      <c r="L3" s="225"/>
      <c r="M3" s="225"/>
      <c r="N3" s="225"/>
      <c r="O3" s="225"/>
      <c r="P3" s="225"/>
    </row>
    <row r="5" spans="2:19" x14ac:dyDescent="0.25">
      <c r="B5" s="147" t="s">
        <v>4391</v>
      </c>
      <c r="C5" s="148" t="s">
        <v>4392</v>
      </c>
      <c r="D5" s="149" t="s">
        <v>4</v>
      </c>
      <c r="E5" s="147" t="s">
        <v>4393</v>
      </c>
      <c r="F5" s="150" t="s">
        <v>4394</v>
      </c>
      <c r="G5" s="150" t="s">
        <v>4395</v>
      </c>
      <c r="H5" s="150" t="s">
        <v>4396</v>
      </c>
      <c r="I5" s="150" t="s">
        <v>4397</v>
      </c>
      <c r="J5" s="151" t="s">
        <v>77</v>
      </c>
      <c r="K5" s="152" t="s">
        <v>4398</v>
      </c>
      <c r="L5" s="153" t="s">
        <v>218</v>
      </c>
      <c r="M5" s="154" t="s">
        <v>206</v>
      </c>
      <c r="N5" s="155" t="s">
        <v>172</v>
      </c>
      <c r="O5" s="156" t="s">
        <v>4399</v>
      </c>
      <c r="P5" s="157" t="s">
        <v>4400</v>
      </c>
      <c r="Q5" s="158" t="s">
        <v>4401</v>
      </c>
      <c r="R5" s="158" t="s">
        <v>4402</v>
      </c>
      <c r="S5" s="158" t="s">
        <v>4403</v>
      </c>
    </row>
    <row r="6" spans="2:19" x14ac:dyDescent="0.25">
      <c r="B6" s="159">
        <v>1</v>
      </c>
      <c r="C6" s="160" t="str">
        <f>IFERROR(INDEX($Q$6:$Q$155,MATCH(1,$S$6:$S$155,0)),"")</f>
        <v>İç Hastalıkları Anabilim Dalı</v>
      </c>
      <c r="D6" s="161">
        <f>IF(C6="","",COUNTIFS(Başvuru!$D:$D,C6,Başvuru!$A:$A,"&lt;&gt;"&amp;"",Başvuru!$F:$F,"&lt;&gt;"&amp;""))</f>
        <v>124</v>
      </c>
      <c r="E6" s="159" t="str">
        <f>IF(C6="","-",IF(D6&gt;0,TEXT(D6/(COUNTIFS(Başvuru!$A:$A,"&lt;&gt;",Başvuru!$F:$F,"&lt;&gt;")-1)*100,"0.0")&amp;"%","-"))</f>
        <v>18%</v>
      </c>
      <c r="F6" s="162">
        <f>IF(C6="","",COUNTIFS(Başvuru!$D:$D,C6,Başvuru!$G:$G,"Bireysel Araştırma",Başvuru!$A:$A,"&lt;&gt;"&amp;"",Başvuru!$F:$F,"&lt;&gt;"&amp;""))</f>
        <v>114</v>
      </c>
      <c r="G6" s="162">
        <f>IF(C6="","",COUNTIFS(Başvuru!$D:$D,C6,Başvuru!$G:$G,"Uzmanlık Tezi",Başvuru!$A:$A,"&lt;&gt;"&amp;"",Başvuru!$F:$F,"&lt;&gt;"&amp;""))</f>
        <v>9</v>
      </c>
      <c r="H6" s="162">
        <f>IF(C6="","",COUNTIFS(Başvuru!$D:$D,C6,Başvuru!$G:$G,"Doktora Tezi",Başvuru!$A:$A,"&lt;&gt;"&amp;"",Başvuru!$F:$F,"&lt;&gt;"&amp;""))</f>
        <v>1</v>
      </c>
      <c r="I6" s="162">
        <f>IF(C6="","",COUNTIFS(Başvuru!$D:$D,C6,Başvuru!$G:$G,"Yüksek Lisans Tezi",Başvuru!$A:$A,"&lt;&gt;"&amp;"",Başvuru!$F:$F,"&lt;&gt;"&amp;""))</f>
        <v>0</v>
      </c>
      <c r="J6" s="163">
        <f>IF(C6="","",COUNTIFS(Başvuru!$D:$D,C6,Başvuru!$L:$L,"ONAY",Başvuru!$A:$A,"&lt;&gt;"&amp;"",Başvuru!$F:$F,"&lt;&gt;"&amp;""))</f>
        <v>62</v>
      </c>
      <c r="K6" s="164">
        <f>IF(C6="","",COUNTIFS(Başvuru!$D:$D,C6,Başvuru!$L:$L,"DÜZELTME",Başvuru!$A:$A,"&lt;&gt;"&amp;"",Başvuru!$F:$F,"&lt;&gt;"&amp;""))</f>
        <v>34</v>
      </c>
      <c r="L6" s="165">
        <f>IF(C6="","",COUNTIFS(Başvuru!$D:$D,C6,Başvuru!$L:$L,"KAEK",Başvuru!$A:$A,"&lt;&gt;"&amp;"",Başvuru!$F:$F,"&lt;&gt;"&amp;""))</f>
        <v>0</v>
      </c>
      <c r="M6" s="166">
        <f>IF(C6="","",COUNTIFS(Başvuru!$D:$D,C6,Başvuru!$L:$L,"GÖRÜŞ",Başvuru!$A:$A,"&lt;&gt;"&amp;"",Başvuru!$F:$F,"&lt;&gt;"&amp;""))</f>
        <v>8</v>
      </c>
      <c r="N6" s="167">
        <f>IF(C6="","",COUNTIFS(Başvuru!$D:$D,C6,Başvuru!$L:$L,"RET",Başvuru!$A:$A,"&lt;&gt;"&amp;"",Başvuru!$F:$F,"&lt;&gt;"&amp;""))</f>
        <v>4</v>
      </c>
      <c r="O6" s="168">
        <f>IF(C6="","",COUNTIFS(Başvuru!$D:$D,C6,Başvuru!$L:$L,"KAPSAM DIŞI",Başvuru!$A:$A,"&lt;&gt;"&amp;"",Başvuru!$F:$F,"&lt;&gt;"&amp;""))</f>
        <v>7</v>
      </c>
      <c r="P6" s="169">
        <f>IF(C6="","",COUNTIFS(Başvuru!$D:$D,C6,Başvuru!$L:$L,"GERİ ÇEKİLDİ",Başvuru!$A:$A,"&lt;&gt;"&amp;"",Başvuru!$F:$F,"&lt;&gt;"&amp;""))</f>
        <v>0</v>
      </c>
      <c r="Q6" s="170" t="str">
        <f t="array" ref="Q6">IFERROR(INDEX(Başvuru!$D$2:$D$3000, MATCH(0, COUNTIF($Q$5:Q5, Başvuru!$D$2:$D$3000) + IF(Başvuru!$D$2:$D$3000="",1,0), 0)), "")</f>
        <v>Sağlık Bilimleri Enstitüsü</v>
      </c>
      <c r="R6" s="171">
        <f>IF(Q6="","",COUNTIFS(Başvuru!$D:$D,Q6,Başvuru!$A:$A,"&lt;&gt;"&amp;"",Başvuru!$F:$F,"&lt;&gt;"&amp;""))</f>
        <v>1</v>
      </c>
      <c r="S6" s="171">
        <f>IF(R6="","",RANK(R6,$R$6:$R$155,0)+COUNTIF($R$6:R6,R6)-1)</f>
        <v>57</v>
      </c>
    </row>
    <row r="7" spans="2:19" x14ac:dyDescent="0.25">
      <c r="B7" s="159">
        <v>2</v>
      </c>
      <c r="C7" s="160" t="str">
        <f>IFERROR(INDEX($Q$6:$Q$155,MATCH(2,$S$6:$S$155,0)),"")</f>
        <v>Çocuk Sağlığı ve Hastalıkları Anabilim Dalı</v>
      </c>
      <c r="D7" s="161">
        <f>IF(C7="","",COUNTIFS(Başvuru!$D:$D,C7,Başvuru!$A:$A,"&lt;&gt;"&amp;"",Başvuru!$F:$F,"&lt;&gt;"&amp;""))</f>
        <v>122</v>
      </c>
      <c r="E7" s="159" t="str">
        <f>IF(C7="","-",IF(D7&gt;0,TEXT(D7/(COUNTIFS(Başvuru!$A:$A,"&lt;&gt;",Başvuru!$F:$F,"&lt;&gt;")-1)*100,"0.0")&amp;"%","-"))</f>
        <v>17%</v>
      </c>
      <c r="F7" s="162">
        <f>IF(C7="","",COUNTIFS(Başvuru!$D:$D,C7,Başvuru!$G:$G,"Bireysel Araştırma",Başvuru!$A:$A,"&lt;&gt;"&amp;"",Başvuru!$F:$F,"&lt;&gt;"&amp;""))</f>
        <v>103</v>
      </c>
      <c r="G7" s="162">
        <f>IF(C7="","",COUNTIFS(Başvuru!$D:$D,C7,Başvuru!$G:$G,"Uzmanlık Tezi",Başvuru!$A:$A,"&lt;&gt;"&amp;"",Başvuru!$F:$F,"&lt;&gt;"&amp;""))</f>
        <v>17</v>
      </c>
      <c r="H7" s="162">
        <f>IF(C7="","",COUNTIFS(Başvuru!$D:$D,C7,Başvuru!$G:$G,"Doktora Tezi",Başvuru!$A:$A,"&lt;&gt;"&amp;"",Başvuru!$F:$F,"&lt;&gt;"&amp;""))</f>
        <v>1</v>
      </c>
      <c r="I7" s="162">
        <f>IF(C7="","",COUNTIFS(Başvuru!$D:$D,C7,Başvuru!$G:$G,"Yüksek Lisans Tezi",Başvuru!$A:$A,"&lt;&gt;"&amp;"",Başvuru!$F:$F,"&lt;&gt;"&amp;""))</f>
        <v>1</v>
      </c>
      <c r="J7" s="163">
        <f>IF(C7="","",COUNTIFS(Başvuru!$D:$D,C7,Başvuru!$L:$L,"ONAY",Başvuru!$A:$A,"&lt;&gt;"&amp;"",Başvuru!$F:$F,"&lt;&gt;"&amp;""))</f>
        <v>63</v>
      </c>
      <c r="K7" s="164">
        <f>IF(C7="","",COUNTIFS(Başvuru!$D:$D,C7,Başvuru!$L:$L,"DÜZELTME",Başvuru!$A:$A,"&lt;&gt;"&amp;"",Başvuru!$F:$F,"&lt;&gt;"&amp;""))</f>
        <v>37</v>
      </c>
      <c r="L7" s="165">
        <f>IF(C7="","",COUNTIFS(Başvuru!$D:$D,C7,Başvuru!$L:$L,"KAEK",Başvuru!$A:$A,"&lt;&gt;"&amp;"",Başvuru!$F:$F,"&lt;&gt;"&amp;""))</f>
        <v>5</v>
      </c>
      <c r="M7" s="166">
        <f>IF(C7="","",COUNTIFS(Başvuru!$D:$D,C7,Başvuru!$L:$L,"GÖRÜŞ",Başvuru!$A:$A,"&lt;&gt;"&amp;"",Başvuru!$F:$F,"&lt;&gt;"&amp;""))</f>
        <v>2</v>
      </c>
      <c r="N7" s="167">
        <f>IF(C7="","",COUNTIFS(Başvuru!$D:$D,C7,Başvuru!$L:$L,"RET",Başvuru!$A:$A,"&lt;&gt;"&amp;"",Başvuru!$F:$F,"&lt;&gt;"&amp;""))</f>
        <v>2</v>
      </c>
      <c r="O7" s="168">
        <f>IF(C7="","",COUNTIFS(Başvuru!$D:$D,C7,Başvuru!$L:$L,"KAPSAM DIŞI",Başvuru!$A:$A,"&lt;&gt;"&amp;"",Başvuru!$F:$F,"&lt;&gt;"&amp;""))</f>
        <v>1</v>
      </c>
      <c r="P7" s="169">
        <f>IF(C7="","",COUNTIFS(Başvuru!$D:$D,C7,Başvuru!$L:$L,"GERİ ÇEKİLDİ",Başvuru!$A:$A,"&lt;&gt;"&amp;"",Başvuru!$F:$F,"&lt;&gt;"&amp;""))</f>
        <v>0</v>
      </c>
      <c r="Q7" s="170" t="str">
        <f t="array" ref="Q7">IFERROR(INDEX(Başvuru!$D$2:$D$3000, MATCH(0, COUNTIF($Q$5:Q6, Başvuru!$D$2:$D$3000) + IF(Başvuru!$D$2:$D$3000="",1,0), 0)), "")</f>
        <v>Moleküler Biyoloji Anabilim Dalı</v>
      </c>
      <c r="R7" s="171">
        <f>IF(Q7="","",COUNTIFS(Başvuru!$D:$D,Q7,Başvuru!$A:$A,"&lt;&gt;"&amp;"",Başvuru!$F:$F,"&lt;&gt;"&amp;""))</f>
        <v>1</v>
      </c>
      <c r="S7" s="171">
        <f>IF(R7="","",RANK(R7,$R$6:$R$155,0)+COUNTIF($R$6:R7,R7)-1)</f>
        <v>58</v>
      </c>
    </row>
    <row r="8" spans="2:19" x14ac:dyDescent="0.25">
      <c r="B8" s="159">
        <v>3</v>
      </c>
      <c r="C8" s="160" t="str">
        <f>IFERROR(INDEX($Q$6:$Q$155,MATCH(3,$S$6:$S$155,0)),"")</f>
        <v>Kadın Hastalıkları ve Doğum Anabilim Dalı</v>
      </c>
      <c r="D8" s="161">
        <f>IF(C8="","",COUNTIFS(Başvuru!$D:$D,C8,Başvuru!$A:$A,"&lt;&gt;"&amp;"",Başvuru!$F:$F,"&lt;&gt;"&amp;""))</f>
        <v>31</v>
      </c>
      <c r="E8" s="159" t="str">
        <f>IF(C8="","-",IF(D8&gt;0,TEXT(D8/(COUNTIFS(Başvuru!$A:$A,"&lt;&gt;",Başvuru!$F:$F,"&lt;&gt;")-1)*100,"0.0")&amp;"%","-"))</f>
        <v>04%</v>
      </c>
      <c r="F8" s="162">
        <f>IF(C8="","",COUNTIFS(Başvuru!$D:$D,C8,Başvuru!$G:$G,"Bireysel Araştırma",Başvuru!$A:$A,"&lt;&gt;"&amp;"",Başvuru!$F:$F,"&lt;&gt;"&amp;""))</f>
        <v>25</v>
      </c>
      <c r="G8" s="162">
        <f>IF(C8="","",COUNTIFS(Başvuru!$D:$D,C8,Başvuru!$G:$G,"Uzmanlık Tezi",Başvuru!$A:$A,"&lt;&gt;"&amp;"",Başvuru!$F:$F,"&lt;&gt;"&amp;""))</f>
        <v>6</v>
      </c>
      <c r="H8" s="162">
        <f>IF(C8="","",COUNTIFS(Başvuru!$D:$D,C8,Başvuru!$G:$G,"Doktora Tezi",Başvuru!$A:$A,"&lt;&gt;"&amp;"",Başvuru!$F:$F,"&lt;&gt;"&amp;""))</f>
        <v>0</v>
      </c>
      <c r="I8" s="162">
        <f>IF(C8="","",COUNTIFS(Başvuru!$D:$D,C8,Başvuru!$G:$G,"Yüksek Lisans Tezi",Başvuru!$A:$A,"&lt;&gt;"&amp;"",Başvuru!$F:$F,"&lt;&gt;"&amp;""))</f>
        <v>0</v>
      </c>
      <c r="J8" s="163">
        <f>IF(C8="","",COUNTIFS(Başvuru!$D:$D,C8,Başvuru!$L:$L,"ONAY",Başvuru!$A:$A,"&lt;&gt;"&amp;"",Başvuru!$F:$F,"&lt;&gt;"&amp;""))</f>
        <v>15</v>
      </c>
      <c r="K8" s="164">
        <f>IF(C8="","",COUNTIFS(Başvuru!$D:$D,C8,Başvuru!$L:$L,"DÜZELTME",Başvuru!$A:$A,"&lt;&gt;"&amp;"",Başvuru!$F:$F,"&lt;&gt;"&amp;""))</f>
        <v>8</v>
      </c>
      <c r="L8" s="165">
        <f>IF(C8="","",COUNTIFS(Başvuru!$D:$D,C8,Başvuru!$L:$L,"KAEK",Başvuru!$A:$A,"&lt;&gt;"&amp;"",Başvuru!$F:$F,"&lt;&gt;"&amp;""))</f>
        <v>2</v>
      </c>
      <c r="M8" s="166">
        <f>IF(C8="","",COUNTIFS(Başvuru!$D:$D,C8,Başvuru!$L:$L,"GÖRÜŞ",Başvuru!$A:$A,"&lt;&gt;"&amp;"",Başvuru!$F:$F,"&lt;&gt;"&amp;""))</f>
        <v>1</v>
      </c>
      <c r="N8" s="167">
        <f>IF(C8="","",COUNTIFS(Başvuru!$D:$D,C8,Başvuru!$L:$L,"RET",Başvuru!$A:$A,"&lt;&gt;"&amp;"",Başvuru!$F:$F,"&lt;&gt;"&amp;""))</f>
        <v>4</v>
      </c>
      <c r="O8" s="168">
        <f>IF(C8="","",COUNTIFS(Başvuru!$D:$D,C8,Başvuru!$L:$L,"KAPSAM DIŞI",Başvuru!$A:$A,"&lt;&gt;"&amp;"",Başvuru!$F:$F,"&lt;&gt;"&amp;""))</f>
        <v>0</v>
      </c>
      <c r="P8" s="169">
        <f>IF(C8="","",COUNTIFS(Başvuru!$D:$D,C8,Başvuru!$L:$L,"GERİ ÇEKİLDİ",Başvuru!$A:$A,"&lt;&gt;"&amp;"",Başvuru!$F:$F,"&lt;&gt;"&amp;""))</f>
        <v>0</v>
      </c>
      <c r="Q8" s="170" t="str">
        <f t="array" ref="Q8">IFERROR(INDEX(Başvuru!$D$2:$D$3000, MATCH(0, COUNTIF($Q$5:Q7, Başvuru!$D$2:$D$3000) + IF(Başvuru!$D$2:$D$3000="",1,0), 0)), "")</f>
        <v>Radyoloji Anabilim Dalı</v>
      </c>
      <c r="R8" s="171">
        <f>IF(Q8="","",COUNTIFS(Başvuru!$D:$D,Q8,Başvuru!$A:$A,"&lt;&gt;"&amp;"",Başvuru!$F:$F,"&lt;&gt;"&amp;""))</f>
        <v>24</v>
      </c>
      <c r="S8" s="171">
        <f>IF(R8="","",RANK(R8,$R$6:$R$155,0)+COUNTIF($R$6:R8,R8)-1)</f>
        <v>4</v>
      </c>
    </row>
    <row r="9" spans="2:19" x14ac:dyDescent="0.25">
      <c r="B9" s="159">
        <v>4</v>
      </c>
      <c r="C9" s="160" t="str">
        <f>IFERROR(INDEX($Q$6:$Q$155,MATCH(4,$S$6:$S$155,0)),"")</f>
        <v>Radyoloji Anabilim Dalı</v>
      </c>
      <c r="D9" s="161">
        <f>IF(C9="","",COUNTIFS(Başvuru!$D:$D,C9,Başvuru!$A:$A,"&lt;&gt;"&amp;"",Başvuru!$F:$F,"&lt;&gt;"&amp;""))</f>
        <v>24</v>
      </c>
      <c r="E9" s="159" t="str">
        <f>IF(C9="","-",IF(D9&gt;0,TEXT(D9/(COUNTIFS(Başvuru!$A:$A,"&lt;&gt;",Başvuru!$F:$F,"&lt;&gt;")-1)*100,"0.0")&amp;"%","-"))</f>
        <v>03%</v>
      </c>
      <c r="F9" s="162">
        <f>IF(C9="","",COUNTIFS(Başvuru!$D:$D,C9,Başvuru!$G:$G,"Bireysel Araştırma",Başvuru!$A:$A,"&lt;&gt;"&amp;"",Başvuru!$F:$F,"&lt;&gt;"&amp;""))</f>
        <v>18</v>
      </c>
      <c r="G9" s="162">
        <f>IF(C9="","",COUNTIFS(Başvuru!$D:$D,C9,Başvuru!$G:$G,"Uzmanlık Tezi",Başvuru!$A:$A,"&lt;&gt;"&amp;"",Başvuru!$F:$F,"&lt;&gt;"&amp;""))</f>
        <v>6</v>
      </c>
      <c r="H9" s="162">
        <f>IF(C9="","",COUNTIFS(Başvuru!$D:$D,C9,Başvuru!$G:$G,"Doktora Tezi",Başvuru!$A:$A,"&lt;&gt;"&amp;"",Başvuru!$F:$F,"&lt;&gt;"&amp;""))</f>
        <v>0</v>
      </c>
      <c r="I9" s="162">
        <f>IF(C9="","",COUNTIFS(Başvuru!$D:$D,C9,Başvuru!$G:$G,"Yüksek Lisans Tezi",Başvuru!$A:$A,"&lt;&gt;"&amp;"",Başvuru!$F:$F,"&lt;&gt;"&amp;""))</f>
        <v>0</v>
      </c>
      <c r="J9" s="163">
        <f>IF(C9="","",COUNTIFS(Başvuru!$D:$D,C9,Başvuru!$L:$L,"ONAY",Başvuru!$A:$A,"&lt;&gt;"&amp;"",Başvuru!$F:$F,"&lt;&gt;"&amp;""))</f>
        <v>15</v>
      </c>
      <c r="K9" s="164">
        <f>IF(C9="","",COUNTIFS(Başvuru!$D:$D,C9,Başvuru!$L:$L,"DÜZELTME",Başvuru!$A:$A,"&lt;&gt;"&amp;"",Başvuru!$F:$F,"&lt;&gt;"&amp;""))</f>
        <v>7</v>
      </c>
      <c r="L9" s="165">
        <f>IF(C9="","",COUNTIFS(Başvuru!$D:$D,C9,Başvuru!$L:$L,"KAEK",Başvuru!$A:$A,"&lt;&gt;"&amp;"",Başvuru!$F:$F,"&lt;&gt;"&amp;""))</f>
        <v>0</v>
      </c>
      <c r="M9" s="166">
        <f>IF(C9="","",COUNTIFS(Başvuru!$D:$D,C9,Başvuru!$L:$L,"GÖRÜŞ",Başvuru!$A:$A,"&lt;&gt;"&amp;"",Başvuru!$F:$F,"&lt;&gt;"&amp;""))</f>
        <v>0</v>
      </c>
      <c r="N9" s="167">
        <f>IF(C9="","",COUNTIFS(Başvuru!$D:$D,C9,Başvuru!$L:$L,"RET",Başvuru!$A:$A,"&lt;&gt;"&amp;"",Başvuru!$F:$F,"&lt;&gt;"&amp;""))</f>
        <v>0</v>
      </c>
      <c r="O9" s="168">
        <f>IF(C9="","",COUNTIFS(Başvuru!$D:$D,C9,Başvuru!$L:$L,"KAPSAM DIŞI",Başvuru!$A:$A,"&lt;&gt;"&amp;"",Başvuru!$F:$F,"&lt;&gt;"&amp;""))</f>
        <v>0</v>
      </c>
      <c r="P9" s="169">
        <f>IF(C9="","",COUNTIFS(Başvuru!$D:$D,C9,Başvuru!$L:$L,"GERİ ÇEKİLDİ",Başvuru!$A:$A,"&lt;&gt;"&amp;"",Başvuru!$F:$F,"&lt;&gt;"&amp;""))</f>
        <v>0</v>
      </c>
      <c r="Q9" s="170" t="str">
        <f t="array" ref="Q9">IFERROR(INDEX(Başvuru!$D$2:$D$3000, MATCH(0, COUNTIF($Q$5:Q8, Başvuru!$D$2:$D$3000) + IF(Başvuru!$D$2:$D$3000="",1,0), 0)), "")</f>
        <v>Lokman Hekim Üniversitesi
Sağlık Hizmetleri Meslek Yüksekokulu</v>
      </c>
      <c r="R9" s="171">
        <f>IF(Q9="","",COUNTIFS(Başvuru!$D:$D,Q9,Başvuru!$A:$A,"&lt;&gt;"&amp;"",Başvuru!$F:$F,"&lt;&gt;"&amp;""))</f>
        <v>2</v>
      </c>
      <c r="S9" s="171">
        <f>IF(R9="","",RANK(R9,$R$6:$R$155,0)+COUNTIF($R$6:R9,R9)-1)</f>
        <v>45</v>
      </c>
    </row>
    <row r="10" spans="2:19" x14ac:dyDescent="0.25">
      <c r="B10" s="159">
        <v>5</v>
      </c>
      <c r="C10" s="160" t="str">
        <f>IFERROR(INDEX($Q$6:$Q$155,MATCH(5,$S$6:$S$155,0)),"")</f>
        <v>Nöroloji Anabilim Dalı</v>
      </c>
      <c r="D10" s="161">
        <f>IF(C10="","",COUNTIFS(Başvuru!$D:$D,C10,Başvuru!$A:$A,"&lt;&gt;"&amp;"",Başvuru!$F:$F,"&lt;&gt;"&amp;""))</f>
        <v>21</v>
      </c>
      <c r="E10" s="159" t="str">
        <f>IF(C10="","-",IF(D10&gt;0,TEXT(D10/(COUNTIFS(Başvuru!$A:$A,"&lt;&gt;",Başvuru!$F:$F,"&lt;&gt;")-1)*100,"0.0")&amp;"%","-"))</f>
        <v>03%</v>
      </c>
      <c r="F10" s="162">
        <f>IF(C10="","",COUNTIFS(Başvuru!$D:$D,C10,Başvuru!$G:$G,"Bireysel Araştırma",Başvuru!$A:$A,"&lt;&gt;"&amp;"",Başvuru!$F:$F,"&lt;&gt;"&amp;""))</f>
        <v>17</v>
      </c>
      <c r="G10" s="162">
        <f>IF(C10="","",COUNTIFS(Başvuru!$D:$D,C10,Başvuru!$G:$G,"Uzmanlık Tezi",Başvuru!$A:$A,"&lt;&gt;"&amp;"",Başvuru!$F:$F,"&lt;&gt;"&amp;""))</f>
        <v>4</v>
      </c>
      <c r="H10" s="162">
        <f>IF(C10="","",COUNTIFS(Başvuru!$D:$D,C10,Başvuru!$G:$G,"Doktora Tezi",Başvuru!$A:$A,"&lt;&gt;"&amp;"",Başvuru!$F:$F,"&lt;&gt;"&amp;""))</f>
        <v>0</v>
      </c>
      <c r="I10" s="162">
        <f>IF(C10="","",COUNTIFS(Başvuru!$D:$D,C10,Başvuru!$G:$G,"Yüksek Lisans Tezi",Başvuru!$A:$A,"&lt;&gt;"&amp;"",Başvuru!$F:$F,"&lt;&gt;"&amp;""))</f>
        <v>0</v>
      </c>
      <c r="J10" s="163">
        <f>IF(C10="","",COUNTIFS(Başvuru!$D:$D,C10,Başvuru!$L:$L,"ONAY",Başvuru!$A:$A,"&lt;&gt;"&amp;"",Başvuru!$F:$F,"&lt;&gt;"&amp;""))</f>
        <v>17</v>
      </c>
      <c r="K10" s="164">
        <f>IF(C10="","",COUNTIFS(Başvuru!$D:$D,C10,Başvuru!$L:$L,"DÜZELTME",Başvuru!$A:$A,"&lt;&gt;"&amp;"",Başvuru!$F:$F,"&lt;&gt;"&amp;""))</f>
        <v>3</v>
      </c>
      <c r="L10" s="165">
        <f>IF(C10="","",COUNTIFS(Başvuru!$D:$D,C10,Başvuru!$L:$L,"KAEK",Başvuru!$A:$A,"&lt;&gt;"&amp;"",Başvuru!$F:$F,"&lt;&gt;"&amp;""))</f>
        <v>0</v>
      </c>
      <c r="M10" s="166">
        <f>IF(C10="","",COUNTIFS(Başvuru!$D:$D,C10,Başvuru!$L:$L,"GÖRÜŞ",Başvuru!$A:$A,"&lt;&gt;"&amp;"",Başvuru!$F:$F,"&lt;&gt;"&amp;""))</f>
        <v>1</v>
      </c>
      <c r="N10" s="167">
        <f>IF(C10="","",COUNTIFS(Başvuru!$D:$D,C10,Başvuru!$L:$L,"RET",Başvuru!$A:$A,"&lt;&gt;"&amp;"",Başvuru!$F:$F,"&lt;&gt;"&amp;""))</f>
        <v>0</v>
      </c>
      <c r="O10" s="168">
        <f>IF(C10="","",COUNTIFS(Başvuru!$D:$D,C10,Başvuru!$L:$L,"KAPSAM DIŞI",Başvuru!$A:$A,"&lt;&gt;"&amp;"",Başvuru!$F:$F,"&lt;&gt;"&amp;""))</f>
        <v>0</v>
      </c>
      <c r="P10" s="169">
        <f>IF(C10="","",COUNTIFS(Başvuru!$D:$D,C10,Başvuru!$L:$L,"GERİ ÇEKİLDİ",Başvuru!$A:$A,"&lt;&gt;"&amp;"",Başvuru!$F:$F,"&lt;&gt;"&amp;""))</f>
        <v>0</v>
      </c>
      <c r="Q10" s="170" t="str">
        <f t="array" ref="Q10">IFERROR(INDEX(Başvuru!$D$2:$D$3000, MATCH(0, COUNTIF($Q$5:Q9, Başvuru!$D$2:$D$3000) + IF(Başvuru!$D$2:$D$3000="",1,0), 0)), "")</f>
        <v>Fizikokimya Anabilim Dalı</v>
      </c>
      <c r="R10" s="171">
        <f>IF(Q10="","",COUNTIFS(Başvuru!$D:$D,Q10,Başvuru!$A:$A,"&lt;&gt;"&amp;"",Başvuru!$F:$F,"&lt;&gt;"&amp;""))</f>
        <v>1</v>
      </c>
      <c r="S10" s="171">
        <f>IF(R10="","",RANK(R10,$R$6:$R$155,0)+COUNTIF($R$6:R10,R10)-1)</f>
        <v>59</v>
      </c>
    </row>
    <row r="11" spans="2:19" x14ac:dyDescent="0.25">
      <c r="B11" s="159">
        <v>6</v>
      </c>
      <c r="C11" s="160" t="str">
        <f>IFERROR(INDEX($Q$6:$Q$155,MATCH(6,$S$6:$S$155,0)),"")</f>
        <v>Klinik Eczacılık Anabilim Dalı</v>
      </c>
      <c r="D11" s="161">
        <f>IF(C11="","",COUNTIFS(Başvuru!$D:$D,C11,Başvuru!$A:$A,"&lt;&gt;"&amp;"",Başvuru!$F:$F,"&lt;&gt;"&amp;""))</f>
        <v>20</v>
      </c>
      <c r="E11" s="159" t="str">
        <f>IF(C11="","-",IF(D11&gt;0,TEXT(D11/(COUNTIFS(Başvuru!$A:$A,"&lt;&gt;",Başvuru!$F:$F,"&lt;&gt;")-1)*100,"0.0")&amp;"%","-"))</f>
        <v>03%</v>
      </c>
      <c r="F11" s="162">
        <f>IF(C11="","",COUNTIFS(Başvuru!$D:$D,C11,Başvuru!$G:$G,"Bireysel Araştırma",Başvuru!$A:$A,"&lt;&gt;"&amp;"",Başvuru!$F:$F,"&lt;&gt;"&amp;""))</f>
        <v>12</v>
      </c>
      <c r="G11" s="162">
        <f>IF(C11="","",COUNTIFS(Başvuru!$D:$D,C11,Başvuru!$G:$G,"Uzmanlık Tezi",Başvuru!$A:$A,"&lt;&gt;"&amp;"",Başvuru!$F:$F,"&lt;&gt;"&amp;""))</f>
        <v>3</v>
      </c>
      <c r="H11" s="162">
        <f>IF(C11="","",COUNTIFS(Başvuru!$D:$D,C11,Başvuru!$G:$G,"Doktora Tezi",Başvuru!$A:$A,"&lt;&gt;"&amp;"",Başvuru!$F:$F,"&lt;&gt;"&amp;""))</f>
        <v>3</v>
      </c>
      <c r="I11" s="162">
        <f>IF(C11="","",COUNTIFS(Başvuru!$D:$D,C11,Başvuru!$G:$G,"Yüksek Lisans Tezi",Başvuru!$A:$A,"&lt;&gt;"&amp;"",Başvuru!$F:$F,"&lt;&gt;"&amp;""))</f>
        <v>2</v>
      </c>
      <c r="J11" s="163">
        <f>IF(C11="","",COUNTIFS(Başvuru!$D:$D,C11,Başvuru!$L:$L,"ONAY",Başvuru!$A:$A,"&lt;&gt;"&amp;"",Başvuru!$F:$F,"&lt;&gt;"&amp;""))</f>
        <v>8</v>
      </c>
      <c r="K11" s="164">
        <f>IF(C11="","",COUNTIFS(Başvuru!$D:$D,C11,Başvuru!$L:$L,"DÜZELTME",Başvuru!$A:$A,"&lt;&gt;"&amp;"",Başvuru!$F:$F,"&lt;&gt;"&amp;""))</f>
        <v>8</v>
      </c>
      <c r="L11" s="165">
        <f>IF(C11="","",COUNTIFS(Başvuru!$D:$D,C11,Başvuru!$L:$L,"KAEK",Başvuru!$A:$A,"&lt;&gt;"&amp;"",Başvuru!$F:$F,"&lt;&gt;"&amp;""))</f>
        <v>0</v>
      </c>
      <c r="M11" s="166">
        <f>IF(C11="","",COUNTIFS(Başvuru!$D:$D,C11,Başvuru!$L:$L,"GÖRÜŞ",Başvuru!$A:$A,"&lt;&gt;"&amp;"",Başvuru!$F:$F,"&lt;&gt;"&amp;""))</f>
        <v>2</v>
      </c>
      <c r="N11" s="167">
        <f>IF(C11="","",COUNTIFS(Başvuru!$D:$D,C11,Başvuru!$L:$L,"RET",Başvuru!$A:$A,"&lt;&gt;"&amp;"",Başvuru!$F:$F,"&lt;&gt;"&amp;""))</f>
        <v>0</v>
      </c>
      <c r="O11" s="168">
        <f>IF(C11="","",COUNTIFS(Başvuru!$D:$D,C11,Başvuru!$L:$L,"KAPSAM DIŞI",Başvuru!$A:$A,"&lt;&gt;"&amp;"",Başvuru!$F:$F,"&lt;&gt;"&amp;""))</f>
        <v>0</v>
      </c>
      <c r="P11" s="169">
        <f>IF(C11="","",COUNTIFS(Başvuru!$D:$D,C11,Başvuru!$L:$L,"GERİ ÇEKİLDİ",Başvuru!$A:$A,"&lt;&gt;"&amp;"",Başvuru!$F:$F,"&lt;&gt;"&amp;""))</f>
        <v>0</v>
      </c>
      <c r="Q11" s="170" t="str">
        <f t="array" ref="Q11">IFERROR(INDEX(Başvuru!$D$2:$D$3000, MATCH(0, COUNTIF($Q$5:Q10, Başvuru!$D$2:$D$3000) + IF(Başvuru!$D$2:$D$3000="",1,0), 0)), "")</f>
        <v>İç Hastalıkları Anabilim Dalı</v>
      </c>
      <c r="R11" s="171">
        <f>IF(Q11="","",COUNTIFS(Başvuru!$D:$D,Q11,Başvuru!$A:$A,"&lt;&gt;"&amp;"",Başvuru!$F:$F,"&lt;&gt;"&amp;""))</f>
        <v>124</v>
      </c>
      <c r="S11" s="171">
        <f>IF(R11="","",RANK(R11,$R$6:$R$155,0)+COUNTIF($R$6:R11,R11)-1)</f>
        <v>1</v>
      </c>
    </row>
    <row r="12" spans="2:19" x14ac:dyDescent="0.25">
      <c r="B12" s="159">
        <v>7</v>
      </c>
      <c r="C12" s="160" t="str">
        <f>IFERROR(INDEX($Q$6:$Q$155,MATCH(7,$S$6:$S$155,0)),"")</f>
        <v>Kardiyoloji Anabilim Dalı</v>
      </c>
      <c r="D12" s="161">
        <f>IF(C12="","",COUNTIFS(Başvuru!$D:$D,C12,Başvuru!$A:$A,"&lt;&gt;"&amp;"",Başvuru!$F:$F,"&lt;&gt;"&amp;""))</f>
        <v>19</v>
      </c>
      <c r="E12" s="159" t="str">
        <f>IF(C12="","-",IF(D12&gt;0,TEXT(D12/(COUNTIFS(Başvuru!$A:$A,"&lt;&gt;",Başvuru!$F:$F,"&lt;&gt;")-1)*100,"0.0")&amp;"%","-"))</f>
        <v>03%</v>
      </c>
      <c r="F12" s="162">
        <f>IF(C12="","",COUNTIFS(Başvuru!$D:$D,C12,Başvuru!$G:$G,"Bireysel Araştırma",Başvuru!$A:$A,"&lt;&gt;"&amp;"",Başvuru!$F:$F,"&lt;&gt;"&amp;""))</f>
        <v>16</v>
      </c>
      <c r="G12" s="162">
        <f>IF(C12="","",COUNTIFS(Başvuru!$D:$D,C12,Başvuru!$G:$G,"Uzmanlık Tezi",Başvuru!$A:$A,"&lt;&gt;"&amp;"",Başvuru!$F:$F,"&lt;&gt;"&amp;""))</f>
        <v>3</v>
      </c>
      <c r="H12" s="162">
        <f>IF(C12="","",COUNTIFS(Başvuru!$D:$D,C12,Başvuru!$G:$G,"Doktora Tezi",Başvuru!$A:$A,"&lt;&gt;"&amp;"",Başvuru!$F:$F,"&lt;&gt;"&amp;""))</f>
        <v>0</v>
      </c>
      <c r="I12" s="162">
        <f>IF(C12="","",COUNTIFS(Başvuru!$D:$D,C12,Başvuru!$G:$G,"Yüksek Lisans Tezi",Başvuru!$A:$A,"&lt;&gt;"&amp;"",Başvuru!$F:$F,"&lt;&gt;"&amp;""))</f>
        <v>0</v>
      </c>
      <c r="J12" s="163">
        <f>IF(C12="","",COUNTIFS(Başvuru!$D:$D,C12,Başvuru!$L:$L,"ONAY",Başvuru!$A:$A,"&lt;&gt;"&amp;"",Başvuru!$F:$F,"&lt;&gt;"&amp;""))</f>
        <v>12</v>
      </c>
      <c r="K12" s="164">
        <f>IF(C12="","",COUNTIFS(Başvuru!$D:$D,C12,Başvuru!$L:$L,"DÜZELTME",Başvuru!$A:$A,"&lt;&gt;"&amp;"",Başvuru!$F:$F,"&lt;&gt;"&amp;""))</f>
        <v>4</v>
      </c>
      <c r="L12" s="165">
        <f>IF(C12="","",COUNTIFS(Başvuru!$D:$D,C12,Başvuru!$L:$L,"KAEK",Başvuru!$A:$A,"&lt;&gt;"&amp;"",Başvuru!$F:$F,"&lt;&gt;"&amp;""))</f>
        <v>3</v>
      </c>
      <c r="M12" s="166">
        <f>IF(C12="","",COUNTIFS(Başvuru!$D:$D,C12,Başvuru!$L:$L,"GÖRÜŞ",Başvuru!$A:$A,"&lt;&gt;"&amp;"",Başvuru!$F:$F,"&lt;&gt;"&amp;""))</f>
        <v>0</v>
      </c>
      <c r="N12" s="167">
        <f>IF(C12="","",COUNTIFS(Başvuru!$D:$D,C12,Başvuru!$L:$L,"RET",Başvuru!$A:$A,"&lt;&gt;"&amp;"",Başvuru!$F:$F,"&lt;&gt;"&amp;""))</f>
        <v>0</v>
      </c>
      <c r="O12" s="168">
        <f>IF(C12="","",COUNTIFS(Başvuru!$D:$D,C12,Başvuru!$L:$L,"KAPSAM DIŞI",Başvuru!$A:$A,"&lt;&gt;"&amp;"",Başvuru!$F:$F,"&lt;&gt;"&amp;""))</f>
        <v>0</v>
      </c>
      <c r="P12" s="169">
        <f>IF(C12="","",COUNTIFS(Başvuru!$D:$D,C12,Başvuru!$L:$L,"GERİ ÇEKİLDİ",Başvuru!$A:$A,"&lt;&gt;"&amp;"",Başvuru!$F:$F,"&lt;&gt;"&amp;""))</f>
        <v>0</v>
      </c>
      <c r="Q12" s="170" t="str">
        <f t="array" ref="Q12">IFERROR(INDEX(Başvuru!$D$2:$D$3000, MATCH(0, COUNTIF($Q$5:Q11, Başvuru!$D$2:$D$3000) + IF(Başvuru!$D$2:$D$3000="",1,0), 0)), "")</f>
        <v>Endodonti Anabilim Dalı</v>
      </c>
      <c r="R12" s="171">
        <f>IF(Q12="","",COUNTIFS(Başvuru!$D:$D,Q12,Başvuru!$A:$A,"&lt;&gt;"&amp;"",Başvuru!$F:$F,"&lt;&gt;"&amp;""))</f>
        <v>9</v>
      </c>
      <c r="S12" s="171">
        <f>IF(R12="","",RANK(R12,$R$6:$R$155,0)+COUNTIF($R$6:R12,R12)-1)</f>
        <v>19</v>
      </c>
    </row>
    <row r="13" spans="2:19" x14ac:dyDescent="0.25">
      <c r="B13" s="159">
        <v>8</v>
      </c>
      <c r="C13" s="160" t="str">
        <f>IFERROR(INDEX($Q$6:$Q$155,MATCH(8,$S$6:$S$155,0)),"")</f>
        <v>Göğüs Hastalıkları Anabilim Dalı</v>
      </c>
      <c r="D13" s="161">
        <f>IF(C13="","",COUNTIFS(Başvuru!$D:$D,C13,Başvuru!$A:$A,"&lt;&gt;"&amp;"",Başvuru!$F:$F,"&lt;&gt;"&amp;""))</f>
        <v>17</v>
      </c>
      <c r="E13" s="159" t="str">
        <f>IF(C13="","-",IF(D13&gt;0,TEXT(D13/(COUNTIFS(Başvuru!$A:$A,"&lt;&gt;",Başvuru!$F:$F,"&lt;&gt;")-1)*100,"0.0")&amp;"%","-"))</f>
        <v>02%</v>
      </c>
      <c r="F13" s="162">
        <f>IF(C13="","",COUNTIFS(Başvuru!$D:$D,C13,Başvuru!$G:$G,"Bireysel Araştırma",Başvuru!$A:$A,"&lt;&gt;"&amp;"",Başvuru!$F:$F,"&lt;&gt;"&amp;""))</f>
        <v>15</v>
      </c>
      <c r="G13" s="162">
        <f>IF(C13="","",COUNTIFS(Başvuru!$D:$D,C13,Başvuru!$G:$G,"Uzmanlık Tezi",Başvuru!$A:$A,"&lt;&gt;"&amp;"",Başvuru!$F:$F,"&lt;&gt;"&amp;""))</f>
        <v>2</v>
      </c>
      <c r="H13" s="162">
        <f>IF(C13="","",COUNTIFS(Başvuru!$D:$D,C13,Başvuru!$G:$G,"Doktora Tezi",Başvuru!$A:$A,"&lt;&gt;"&amp;"",Başvuru!$F:$F,"&lt;&gt;"&amp;""))</f>
        <v>0</v>
      </c>
      <c r="I13" s="162">
        <f>IF(C13="","",COUNTIFS(Başvuru!$D:$D,C13,Başvuru!$G:$G,"Yüksek Lisans Tezi",Başvuru!$A:$A,"&lt;&gt;"&amp;"",Başvuru!$F:$F,"&lt;&gt;"&amp;""))</f>
        <v>0</v>
      </c>
      <c r="J13" s="163">
        <f>IF(C13="","",COUNTIFS(Başvuru!$D:$D,C13,Başvuru!$L:$L,"ONAY",Başvuru!$A:$A,"&lt;&gt;"&amp;"",Başvuru!$F:$F,"&lt;&gt;"&amp;""))</f>
        <v>9</v>
      </c>
      <c r="K13" s="164">
        <f>IF(C13="","",COUNTIFS(Başvuru!$D:$D,C13,Başvuru!$L:$L,"DÜZELTME",Başvuru!$A:$A,"&lt;&gt;"&amp;"",Başvuru!$F:$F,"&lt;&gt;"&amp;""))</f>
        <v>6</v>
      </c>
      <c r="L13" s="165">
        <f>IF(C13="","",COUNTIFS(Başvuru!$D:$D,C13,Başvuru!$L:$L,"KAEK",Başvuru!$A:$A,"&lt;&gt;"&amp;"",Başvuru!$F:$F,"&lt;&gt;"&amp;""))</f>
        <v>0</v>
      </c>
      <c r="M13" s="166">
        <f>IF(C13="","",COUNTIFS(Başvuru!$D:$D,C13,Başvuru!$L:$L,"GÖRÜŞ",Başvuru!$A:$A,"&lt;&gt;"&amp;"",Başvuru!$F:$F,"&lt;&gt;"&amp;""))</f>
        <v>0</v>
      </c>
      <c r="N13" s="167">
        <f>IF(C13="","",COUNTIFS(Başvuru!$D:$D,C13,Başvuru!$L:$L,"RET",Başvuru!$A:$A,"&lt;&gt;"&amp;"",Başvuru!$F:$F,"&lt;&gt;"&amp;""))</f>
        <v>1</v>
      </c>
      <c r="O13" s="168">
        <f>IF(C13="","",COUNTIFS(Başvuru!$D:$D,C13,Başvuru!$L:$L,"KAPSAM DIŞI",Başvuru!$A:$A,"&lt;&gt;"&amp;"",Başvuru!$F:$F,"&lt;&gt;"&amp;""))</f>
        <v>0</v>
      </c>
      <c r="P13" s="169">
        <f>IF(C13="","",COUNTIFS(Başvuru!$D:$D,C13,Başvuru!$L:$L,"GERİ ÇEKİLDİ",Başvuru!$A:$A,"&lt;&gt;"&amp;"",Başvuru!$F:$F,"&lt;&gt;"&amp;""))</f>
        <v>0</v>
      </c>
      <c r="Q13" s="170" t="str">
        <f t="array" ref="Q13">IFERROR(INDEX(Başvuru!$D$2:$D$3000, MATCH(0, COUNTIF($Q$5:Q12, Başvuru!$D$2:$D$3000) + IF(Başvuru!$D$2:$D$3000="",1,0), 0)), "")</f>
        <v>Çocuk ve Ergen Ruh Sağlığı ve Hastalıkları Anabilim Dalı</v>
      </c>
      <c r="R13" s="171">
        <f>IF(Q13="","",COUNTIFS(Başvuru!$D:$D,Q13,Başvuru!$A:$A,"&lt;&gt;"&amp;"",Başvuru!$F:$F,"&lt;&gt;"&amp;""))</f>
        <v>14</v>
      </c>
      <c r="S13" s="171">
        <f>IF(R13="","",RANK(R13,$R$6:$R$155,0)+COUNTIF($R$6:R13,R13)-1)</f>
        <v>12</v>
      </c>
    </row>
    <row r="14" spans="2:19" x14ac:dyDescent="0.25">
      <c r="B14" s="159">
        <v>9</v>
      </c>
      <c r="C14" s="160" t="str">
        <f>IFERROR(INDEX($Q$6:$Q$155,MATCH(9,$S$6:$S$155,0)),"")</f>
        <v>Göz Hastalıkları Anabilim Dalı</v>
      </c>
      <c r="D14" s="161">
        <f>IF(C14="","",COUNTIFS(Başvuru!$D:$D,C14,Başvuru!$A:$A,"&lt;&gt;"&amp;"",Başvuru!$F:$F,"&lt;&gt;"&amp;""))</f>
        <v>17</v>
      </c>
      <c r="E14" s="159" t="str">
        <f>IF(C14="","-",IF(D14&gt;0,TEXT(D14/(COUNTIFS(Başvuru!$A:$A,"&lt;&gt;",Başvuru!$F:$F,"&lt;&gt;")-1)*100,"0.0")&amp;"%","-"))</f>
        <v>02%</v>
      </c>
      <c r="F14" s="162">
        <f>IF(C14="","",COUNTIFS(Başvuru!$D:$D,C14,Başvuru!$G:$G,"Bireysel Araştırma",Başvuru!$A:$A,"&lt;&gt;"&amp;"",Başvuru!$F:$F,"&lt;&gt;"&amp;""))</f>
        <v>16</v>
      </c>
      <c r="G14" s="162">
        <f>IF(C14="","",COUNTIFS(Başvuru!$D:$D,C14,Başvuru!$G:$G,"Uzmanlık Tezi",Başvuru!$A:$A,"&lt;&gt;"&amp;"",Başvuru!$F:$F,"&lt;&gt;"&amp;""))</f>
        <v>1</v>
      </c>
      <c r="H14" s="162">
        <f>IF(C14="","",COUNTIFS(Başvuru!$D:$D,C14,Başvuru!$G:$G,"Doktora Tezi",Başvuru!$A:$A,"&lt;&gt;"&amp;"",Başvuru!$F:$F,"&lt;&gt;"&amp;""))</f>
        <v>0</v>
      </c>
      <c r="I14" s="162">
        <f>IF(C14="","",COUNTIFS(Başvuru!$D:$D,C14,Başvuru!$G:$G,"Yüksek Lisans Tezi",Başvuru!$A:$A,"&lt;&gt;"&amp;"",Başvuru!$F:$F,"&lt;&gt;"&amp;""))</f>
        <v>0</v>
      </c>
      <c r="J14" s="163">
        <f>IF(C14="","",COUNTIFS(Başvuru!$D:$D,C14,Başvuru!$L:$L,"ONAY",Başvuru!$A:$A,"&lt;&gt;"&amp;"",Başvuru!$F:$F,"&lt;&gt;"&amp;""))</f>
        <v>8</v>
      </c>
      <c r="K14" s="164">
        <f>IF(C14="","",COUNTIFS(Başvuru!$D:$D,C14,Başvuru!$L:$L,"DÜZELTME",Başvuru!$A:$A,"&lt;&gt;"&amp;"",Başvuru!$F:$F,"&lt;&gt;"&amp;""))</f>
        <v>2</v>
      </c>
      <c r="L14" s="165">
        <f>IF(C14="","",COUNTIFS(Başvuru!$D:$D,C14,Başvuru!$L:$L,"KAEK",Başvuru!$A:$A,"&lt;&gt;"&amp;"",Başvuru!$F:$F,"&lt;&gt;"&amp;""))</f>
        <v>1</v>
      </c>
      <c r="M14" s="166">
        <f>IF(C14="","",COUNTIFS(Başvuru!$D:$D,C14,Başvuru!$L:$L,"GÖRÜŞ",Başvuru!$A:$A,"&lt;&gt;"&amp;"",Başvuru!$F:$F,"&lt;&gt;"&amp;""))</f>
        <v>0</v>
      </c>
      <c r="N14" s="167">
        <f>IF(C14="","",COUNTIFS(Başvuru!$D:$D,C14,Başvuru!$L:$L,"RET",Başvuru!$A:$A,"&lt;&gt;"&amp;"",Başvuru!$F:$F,"&lt;&gt;"&amp;""))</f>
        <v>1</v>
      </c>
      <c r="O14" s="168">
        <f>IF(C14="","",COUNTIFS(Başvuru!$D:$D,C14,Başvuru!$L:$L,"KAPSAM DIŞI",Başvuru!$A:$A,"&lt;&gt;"&amp;"",Başvuru!$F:$F,"&lt;&gt;"&amp;""))</f>
        <v>0</v>
      </c>
      <c r="P14" s="169">
        <f>IF(C14="","",COUNTIFS(Başvuru!$D:$D,C14,Başvuru!$L:$L,"GERİ ÇEKİLDİ",Başvuru!$A:$A,"&lt;&gt;"&amp;"",Başvuru!$F:$F,"&lt;&gt;"&amp;""))</f>
        <v>0</v>
      </c>
      <c r="Q14" s="170" t="str">
        <f t="array" ref="Q14">IFERROR(INDEX(Başvuru!$D$2:$D$3000, MATCH(0, COUNTIF($Q$5:Q13, Başvuru!$D$2:$D$3000) + IF(Başvuru!$D$2:$D$3000="",1,0), 0)), "")</f>
        <v>Tıbbi Mikrobiyoloji Anabilim Dalı</v>
      </c>
      <c r="R14" s="171">
        <f>IF(Q14="","",COUNTIFS(Başvuru!$D:$D,Q14,Başvuru!$A:$A,"&lt;&gt;"&amp;"",Başvuru!$F:$F,"&lt;&gt;"&amp;""))</f>
        <v>2</v>
      </c>
      <c r="S14" s="171">
        <f>IF(R14="","",RANK(R14,$R$6:$R$155,0)+COUNTIF($R$6:R14,R14)-1)</f>
        <v>46</v>
      </c>
    </row>
    <row r="15" spans="2:19" x14ac:dyDescent="0.25">
      <c r="B15" s="159">
        <v>10</v>
      </c>
      <c r="C15" s="160" t="str">
        <f>IFERROR(INDEX($Q$6:$Q$155,MATCH(10,$S$6:$S$155,0)),"")</f>
        <v>Ortopedi ve Travmatoloji Anabilim Dalı</v>
      </c>
      <c r="D15" s="161">
        <f>IF(C15="","",COUNTIFS(Başvuru!$D:$D,C15,Başvuru!$A:$A,"&lt;&gt;"&amp;"",Başvuru!$F:$F,"&lt;&gt;"&amp;""))</f>
        <v>16</v>
      </c>
      <c r="E15" s="159" t="str">
        <f>IF(C15="","-",IF(D15&gt;0,TEXT(D15/(COUNTIFS(Başvuru!$A:$A,"&lt;&gt;",Başvuru!$F:$F,"&lt;&gt;")-1)*100,"0.0")&amp;"%","-"))</f>
        <v>02%</v>
      </c>
      <c r="F15" s="162">
        <f>IF(C15="","",COUNTIFS(Başvuru!$D:$D,C15,Başvuru!$G:$G,"Bireysel Araştırma",Başvuru!$A:$A,"&lt;&gt;"&amp;"",Başvuru!$F:$F,"&lt;&gt;"&amp;""))</f>
        <v>15</v>
      </c>
      <c r="G15" s="162">
        <f>IF(C15="","",COUNTIFS(Başvuru!$D:$D,C15,Başvuru!$G:$G,"Uzmanlık Tezi",Başvuru!$A:$A,"&lt;&gt;"&amp;"",Başvuru!$F:$F,"&lt;&gt;"&amp;""))</f>
        <v>0</v>
      </c>
      <c r="H15" s="162">
        <f>IF(C15="","",COUNTIFS(Başvuru!$D:$D,C15,Başvuru!$G:$G,"Doktora Tezi",Başvuru!$A:$A,"&lt;&gt;"&amp;"",Başvuru!$F:$F,"&lt;&gt;"&amp;""))</f>
        <v>0</v>
      </c>
      <c r="I15" s="162">
        <f>IF(C15="","",COUNTIFS(Başvuru!$D:$D,C15,Başvuru!$G:$G,"Yüksek Lisans Tezi",Başvuru!$A:$A,"&lt;&gt;"&amp;"",Başvuru!$F:$F,"&lt;&gt;"&amp;""))</f>
        <v>1</v>
      </c>
      <c r="J15" s="163">
        <f>IF(C15="","",COUNTIFS(Başvuru!$D:$D,C15,Başvuru!$L:$L,"ONAY",Başvuru!$A:$A,"&lt;&gt;"&amp;"",Başvuru!$F:$F,"&lt;&gt;"&amp;""))</f>
        <v>6</v>
      </c>
      <c r="K15" s="164">
        <f>IF(C15="","",COUNTIFS(Başvuru!$D:$D,C15,Başvuru!$L:$L,"DÜZELTME",Başvuru!$A:$A,"&lt;&gt;"&amp;"",Başvuru!$F:$F,"&lt;&gt;"&amp;""))</f>
        <v>8</v>
      </c>
      <c r="L15" s="165">
        <f>IF(C15="","",COUNTIFS(Başvuru!$D:$D,C15,Başvuru!$L:$L,"KAEK",Başvuru!$A:$A,"&lt;&gt;"&amp;"",Başvuru!$F:$F,"&lt;&gt;"&amp;""))</f>
        <v>1</v>
      </c>
      <c r="M15" s="166">
        <f>IF(C15="","",COUNTIFS(Başvuru!$D:$D,C15,Başvuru!$L:$L,"GÖRÜŞ",Başvuru!$A:$A,"&lt;&gt;"&amp;"",Başvuru!$F:$F,"&lt;&gt;"&amp;""))</f>
        <v>0</v>
      </c>
      <c r="N15" s="167">
        <f>IF(C15="","",COUNTIFS(Başvuru!$D:$D,C15,Başvuru!$L:$L,"RET",Başvuru!$A:$A,"&lt;&gt;"&amp;"",Başvuru!$F:$F,"&lt;&gt;"&amp;""))</f>
        <v>0</v>
      </c>
      <c r="O15" s="168">
        <f>IF(C15="","",COUNTIFS(Başvuru!$D:$D,C15,Başvuru!$L:$L,"KAPSAM DIŞI",Başvuru!$A:$A,"&lt;&gt;"&amp;"",Başvuru!$F:$F,"&lt;&gt;"&amp;""))</f>
        <v>1</v>
      </c>
      <c r="P15" s="169">
        <f>IF(C15="","",COUNTIFS(Başvuru!$D:$D,C15,Başvuru!$L:$L,"GERİ ÇEKİLDİ",Başvuru!$A:$A,"&lt;&gt;"&amp;"",Başvuru!$F:$F,"&lt;&gt;"&amp;""))</f>
        <v>0</v>
      </c>
      <c r="Q15" s="170" t="str">
        <f t="array" ref="Q15">IFERROR(INDEX(Başvuru!$D$2:$D$3000, MATCH(0, COUNTIF($Q$5:Q14, Başvuru!$D$2:$D$3000) + IF(Başvuru!$D$2:$D$3000="",1,0), 0)), "")</f>
        <v>Histoloji ve Embriyoloji Anabilim Dalı</v>
      </c>
      <c r="R15" s="171">
        <f>IF(Q15="","",COUNTIFS(Başvuru!$D:$D,Q15,Başvuru!$A:$A,"&lt;&gt;"&amp;"",Başvuru!$F:$F,"&lt;&gt;"&amp;""))</f>
        <v>5</v>
      </c>
      <c r="S15" s="171">
        <f>IF(R15="","",RANK(R15,$R$6:$R$155,0)+COUNTIF($R$6:R15,R15)-1)</f>
        <v>33</v>
      </c>
    </row>
    <row r="16" spans="2:19" x14ac:dyDescent="0.25">
      <c r="B16" s="159">
        <v>11</v>
      </c>
      <c r="C16" s="160" t="str">
        <f>IFERROR(INDEX($Q$6:$Q$155,MATCH(11,$S$6:$S$155,0)),"")</f>
        <v>Kulak Burun Boğaz Anabilim Dalı</v>
      </c>
      <c r="D16" s="161">
        <f>IF(C16="","",COUNTIFS(Başvuru!$D:$D,C16,Başvuru!$A:$A,"&lt;&gt;"&amp;"",Başvuru!$F:$F,"&lt;&gt;"&amp;""))</f>
        <v>15</v>
      </c>
      <c r="E16" s="159" t="str">
        <f>IF(C16="","-",IF(D16&gt;0,TEXT(D16/(COUNTIFS(Başvuru!$A:$A,"&lt;&gt;",Başvuru!$F:$F,"&lt;&gt;")-1)*100,"0.0")&amp;"%","-"))</f>
        <v>02%</v>
      </c>
      <c r="F16" s="162">
        <f>IF(C16="","",COUNTIFS(Başvuru!$D:$D,C16,Başvuru!$G:$G,"Bireysel Araştırma",Başvuru!$A:$A,"&lt;&gt;"&amp;"",Başvuru!$F:$F,"&lt;&gt;"&amp;""))</f>
        <v>13</v>
      </c>
      <c r="G16" s="162">
        <f>IF(C16="","",COUNTIFS(Başvuru!$D:$D,C16,Başvuru!$G:$G,"Uzmanlık Tezi",Başvuru!$A:$A,"&lt;&gt;"&amp;"",Başvuru!$F:$F,"&lt;&gt;"&amp;""))</f>
        <v>2</v>
      </c>
      <c r="H16" s="162">
        <f>IF(C16="","",COUNTIFS(Başvuru!$D:$D,C16,Başvuru!$G:$G,"Doktora Tezi",Başvuru!$A:$A,"&lt;&gt;"&amp;"",Başvuru!$F:$F,"&lt;&gt;"&amp;""))</f>
        <v>0</v>
      </c>
      <c r="I16" s="162">
        <f>IF(C16="","",COUNTIFS(Başvuru!$D:$D,C16,Başvuru!$G:$G,"Yüksek Lisans Tezi",Başvuru!$A:$A,"&lt;&gt;"&amp;"",Başvuru!$F:$F,"&lt;&gt;"&amp;""))</f>
        <v>0</v>
      </c>
      <c r="J16" s="163">
        <f>IF(C16="","",COUNTIFS(Başvuru!$D:$D,C16,Başvuru!$L:$L,"ONAY",Başvuru!$A:$A,"&lt;&gt;"&amp;"",Başvuru!$F:$F,"&lt;&gt;"&amp;""))</f>
        <v>7</v>
      </c>
      <c r="K16" s="164">
        <f>IF(C16="","",COUNTIFS(Başvuru!$D:$D,C16,Başvuru!$L:$L,"DÜZELTME",Başvuru!$A:$A,"&lt;&gt;"&amp;"",Başvuru!$F:$F,"&lt;&gt;"&amp;""))</f>
        <v>4</v>
      </c>
      <c r="L16" s="165">
        <f>IF(C16="","",COUNTIFS(Başvuru!$D:$D,C16,Başvuru!$L:$L,"KAEK",Başvuru!$A:$A,"&lt;&gt;"&amp;"",Başvuru!$F:$F,"&lt;&gt;"&amp;""))</f>
        <v>0</v>
      </c>
      <c r="M16" s="166">
        <f>IF(C16="","",COUNTIFS(Başvuru!$D:$D,C16,Başvuru!$L:$L,"GÖRÜŞ",Başvuru!$A:$A,"&lt;&gt;"&amp;"",Başvuru!$F:$F,"&lt;&gt;"&amp;""))</f>
        <v>1</v>
      </c>
      <c r="N16" s="167">
        <f>IF(C16="","",COUNTIFS(Başvuru!$D:$D,C16,Başvuru!$L:$L,"RET",Başvuru!$A:$A,"&lt;&gt;"&amp;"",Başvuru!$F:$F,"&lt;&gt;"&amp;""))</f>
        <v>2</v>
      </c>
      <c r="O16" s="168">
        <f>IF(C16="","",COUNTIFS(Başvuru!$D:$D,C16,Başvuru!$L:$L,"KAPSAM DIŞI",Başvuru!$A:$A,"&lt;&gt;"&amp;"",Başvuru!$F:$F,"&lt;&gt;"&amp;""))</f>
        <v>0</v>
      </c>
      <c r="P16" s="169">
        <f>IF(C16="","",COUNTIFS(Başvuru!$D:$D,C16,Başvuru!$L:$L,"GERİ ÇEKİLDİ",Başvuru!$A:$A,"&lt;&gt;"&amp;"",Başvuru!$F:$F,"&lt;&gt;"&amp;""))</f>
        <v>0</v>
      </c>
      <c r="Q16" s="170" t="str">
        <f t="array" ref="Q16">IFERROR(INDEX(Başvuru!$D$2:$D$3000, MATCH(0, COUNTIF($Q$5:Q15, Başvuru!$D$2:$D$3000) + IF(Başvuru!$D$2:$D$3000="",1,0), 0)), "")</f>
        <v>Tıp Eğitimi ve Bilişimi Anabilim Dalı</v>
      </c>
      <c r="R16" s="171">
        <f>IF(Q16="","",COUNTIFS(Başvuru!$D:$D,Q16,Başvuru!$A:$A,"&lt;&gt;"&amp;"",Başvuru!$F:$F,"&lt;&gt;"&amp;""))</f>
        <v>3</v>
      </c>
      <c r="S16" s="171">
        <f>IF(R16="","",RANK(R16,$R$6:$R$155,0)+COUNTIF($R$6:R16,R16)-1)</f>
        <v>40</v>
      </c>
    </row>
    <row r="17" spans="2:19" x14ac:dyDescent="0.25">
      <c r="B17" s="159">
        <v>12</v>
      </c>
      <c r="C17" s="160" t="str">
        <f>IFERROR(INDEX($Q$6:$Q$155,MATCH(12,$S$6:$S$155,0)),"")</f>
        <v>Çocuk ve Ergen Ruh Sağlığı ve Hastalıkları Anabilim Dalı</v>
      </c>
      <c r="D17" s="161">
        <f>IF(C17="","",COUNTIFS(Başvuru!$D:$D,C17,Başvuru!$A:$A,"&lt;&gt;"&amp;"",Başvuru!$F:$F,"&lt;&gt;"&amp;""))</f>
        <v>14</v>
      </c>
      <c r="E17" s="159" t="str">
        <f>IF(C17="","-",IF(D17&gt;0,TEXT(D17/(COUNTIFS(Başvuru!$A:$A,"&lt;&gt;",Başvuru!$F:$F,"&lt;&gt;")-1)*100,"0.0")&amp;"%","-"))</f>
        <v>02%</v>
      </c>
      <c r="F17" s="162">
        <f>IF(C17="","",COUNTIFS(Başvuru!$D:$D,C17,Başvuru!$G:$G,"Bireysel Araştırma",Başvuru!$A:$A,"&lt;&gt;"&amp;"",Başvuru!$F:$F,"&lt;&gt;"&amp;""))</f>
        <v>8</v>
      </c>
      <c r="G17" s="162">
        <f>IF(C17="","",COUNTIFS(Başvuru!$D:$D,C17,Başvuru!$G:$G,"Uzmanlık Tezi",Başvuru!$A:$A,"&lt;&gt;"&amp;"",Başvuru!$F:$F,"&lt;&gt;"&amp;""))</f>
        <v>6</v>
      </c>
      <c r="H17" s="162">
        <f>IF(C17="","",COUNTIFS(Başvuru!$D:$D,C17,Başvuru!$G:$G,"Doktora Tezi",Başvuru!$A:$A,"&lt;&gt;"&amp;"",Başvuru!$F:$F,"&lt;&gt;"&amp;""))</f>
        <v>0</v>
      </c>
      <c r="I17" s="162">
        <f>IF(C17="","",COUNTIFS(Başvuru!$D:$D,C17,Başvuru!$G:$G,"Yüksek Lisans Tezi",Başvuru!$A:$A,"&lt;&gt;"&amp;"",Başvuru!$F:$F,"&lt;&gt;"&amp;""))</f>
        <v>0</v>
      </c>
      <c r="J17" s="163">
        <f>IF(C17="","",COUNTIFS(Başvuru!$D:$D,C17,Başvuru!$L:$L,"ONAY",Başvuru!$A:$A,"&lt;&gt;"&amp;"",Başvuru!$F:$F,"&lt;&gt;"&amp;""))</f>
        <v>9</v>
      </c>
      <c r="K17" s="164">
        <f>IF(C17="","",COUNTIFS(Başvuru!$D:$D,C17,Başvuru!$L:$L,"DÜZELTME",Başvuru!$A:$A,"&lt;&gt;"&amp;"",Başvuru!$F:$F,"&lt;&gt;"&amp;""))</f>
        <v>5</v>
      </c>
      <c r="L17" s="165">
        <f>IF(C17="","",COUNTIFS(Başvuru!$D:$D,C17,Başvuru!$L:$L,"KAEK",Başvuru!$A:$A,"&lt;&gt;"&amp;"",Başvuru!$F:$F,"&lt;&gt;"&amp;""))</f>
        <v>0</v>
      </c>
      <c r="M17" s="166">
        <f>IF(C17="","",COUNTIFS(Başvuru!$D:$D,C17,Başvuru!$L:$L,"GÖRÜŞ",Başvuru!$A:$A,"&lt;&gt;"&amp;"",Başvuru!$F:$F,"&lt;&gt;"&amp;""))</f>
        <v>0</v>
      </c>
      <c r="N17" s="167">
        <f>IF(C17="","",COUNTIFS(Başvuru!$D:$D,C17,Başvuru!$L:$L,"RET",Başvuru!$A:$A,"&lt;&gt;"&amp;"",Başvuru!$F:$F,"&lt;&gt;"&amp;""))</f>
        <v>0</v>
      </c>
      <c r="O17" s="168">
        <f>IF(C17="","",COUNTIFS(Başvuru!$D:$D,C17,Başvuru!$L:$L,"KAPSAM DIŞI",Başvuru!$A:$A,"&lt;&gt;"&amp;"",Başvuru!$F:$F,"&lt;&gt;"&amp;""))</f>
        <v>0</v>
      </c>
      <c r="P17" s="169">
        <f>IF(C17="","",COUNTIFS(Başvuru!$D:$D,C17,Başvuru!$L:$L,"GERİ ÇEKİLDİ",Başvuru!$A:$A,"&lt;&gt;"&amp;"",Başvuru!$F:$F,"&lt;&gt;"&amp;""))</f>
        <v>0</v>
      </c>
      <c r="Q17" s="170" t="str">
        <f t="array" ref="Q17">IFERROR(INDEX(Başvuru!$D$2:$D$3000, MATCH(0, COUNTIF($Q$5:Q16, Başvuru!$D$2:$D$3000) + IF(Başvuru!$D$2:$D$3000="",1,0), 0)), "")</f>
        <v>Spor Hekimliği Anabilim Dalı</v>
      </c>
      <c r="R17" s="171">
        <f>IF(Q17="","",COUNTIFS(Başvuru!$D:$D,Q17,Başvuru!$A:$A,"&lt;&gt;"&amp;"",Başvuru!$F:$F,"&lt;&gt;"&amp;""))</f>
        <v>4</v>
      </c>
      <c r="S17" s="171">
        <f>IF(R17="","",RANK(R17,$R$6:$R$155,0)+COUNTIF($R$6:R17,R17)-1)</f>
        <v>36</v>
      </c>
    </row>
    <row r="18" spans="2:19" x14ac:dyDescent="0.25">
      <c r="B18" s="159">
        <v>13</v>
      </c>
      <c r="C18" s="160" t="str">
        <f>IFERROR(INDEX($Q$6:$Q$155,MATCH(13,$S$6:$S$155,0)),"")</f>
        <v>Çocuk Cerrahisi Anabilim Dalı</v>
      </c>
      <c r="D18" s="161">
        <f>IF(C18="","",COUNTIFS(Başvuru!$D:$D,C18,Başvuru!$A:$A,"&lt;&gt;"&amp;"",Başvuru!$F:$F,"&lt;&gt;"&amp;""))</f>
        <v>13</v>
      </c>
      <c r="E18" s="159" t="str">
        <f>IF(C18="","-",IF(D18&gt;0,TEXT(D18/(COUNTIFS(Başvuru!$A:$A,"&lt;&gt;",Başvuru!$F:$F,"&lt;&gt;")-1)*100,"0.0")&amp;"%","-"))</f>
        <v>02%</v>
      </c>
      <c r="F18" s="162">
        <f>IF(C18="","",COUNTIFS(Başvuru!$D:$D,C18,Başvuru!$G:$G,"Bireysel Araştırma",Başvuru!$A:$A,"&lt;&gt;"&amp;"",Başvuru!$F:$F,"&lt;&gt;"&amp;""))</f>
        <v>12</v>
      </c>
      <c r="G18" s="162">
        <f>IF(C18="","",COUNTIFS(Başvuru!$D:$D,C18,Başvuru!$G:$G,"Uzmanlık Tezi",Başvuru!$A:$A,"&lt;&gt;"&amp;"",Başvuru!$F:$F,"&lt;&gt;"&amp;""))</f>
        <v>1</v>
      </c>
      <c r="H18" s="162">
        <f>IF(C18="","",COUNTIFS(Başvuru!$D:$D,C18,Başvuru!$G:$G,"Doktora Tezi",Başvuru!$A:$A,"&lt;&gt;"&amp;"",Başvuru!$F:$F,"&lt;&gt;"&amp;""))</f>
        <v>0</v>
      </c>
      <c r="I18" s="162">
        <f>IF(C18="","",COUNTIFS(Başvuru!$D:$D,C18,Başvuru!$G:$G,"Yüksek Lisans Tezi",Başvuru!$A:$A,"&lt;&gt;"&amp;"",Başvuru!$F:$F,"&lt;&gt;"&amp;""))</f>
        <v>0</v>
      </c>
      <c r="J18" s="163">
        <f>IF(C18="","",COUNTIFS(Başvuru!$D:$D,C18,Başvuru!$L:$L,"ONAY",Başvuru!$A:$A,"&lt;&gt;"&amp;"",Başvuru!$F:$F,"&lt;&gt;"&amp;""))</f>
        <v>7</v>
      </c>
      <c r="K18" s="164">
        <f>IF(C18="","",COUNTIFS(Başvuru!$D:$D,C18,Başvuru!$L:$L,"DÜZELTME",Başvuru!$A:$A,"&lt;&gt;"&amp;"",Başvuru!$F:$F,"&lt;&gt;"&amp;""))</f>
        <v>6</v>
      </c>
      <c r="L18" s="165">
        <f>IF(C18="","",COUNTIFS(Başvuru!$D:$D,C18,Başvuru!$L:$L,"KAEK",Başvuru!$A:$A,"&lt;&gt;"&amp;"",Başvuru!$F:$F,"&lt;&gt;"&amp;""))</f>
        <v>0</v>
      </c>
      <c r="M18" s="166">
        <f>IF(C18="","",COUNTIFS(Başvuru!$D:$D,C18,Başvuru!$L:$L,"GÖRÜŞ",Başvuru!$A:$A,"&lt;&gt;"&amp;"",Başvuru!$F:$F,"&lt;&gt;"&amp;""))</f>
        <v>0</v>
      </c>
      <c r="N18" s="167">
        <f>IF(C18="","",COUNTIFS(Başvuru!$D:$D,C18,Başvuru!$L:$L,"RET",Başvuru!$A:$A,"&lt;&gt;"&amp;"",Başvuru!$F:$F,"&lt;&gt;"&amp;""))</f>
        <v>0</v>
      </c>
      <c r="O18" s="168">
        <f>IF(C18="","",COUNTIFS(Başvuru!$D:$D,C18,Başvuru!$L:$L,"KAPSAM DIŞI",Başvuru!$A:$A,"&lt;&gt;"&amp;"",Başvuru!$F:$F,"&lt;&gt;"&amp;""))</f>
        <v>0</v>
      </c>
      <c r="P18" s="169">
        <f>IF(C18="","",COUNTIFS(Başvuru!$D:$D,C18,Başvuru!$L:$L,"GERİ ÇEKİLDİ",Başvuru!$A:$A,"&lt;&gt;"&amp;"",Başvuru!$F:$F,"&lt;&gt;"&amp;""))</f>
        <v>0</v>
      </c>
      <c r="Q18" s="170" t="str">
        <f t="array" ref="Q18">IFERROR(INDEX(Başvuru!$D$2:$D$3000, MATCH(0, COUNTIF($Q$5:Q17, Başvuru!$D$2:$D$3000) + IF(Başvuru!$D$2:$D$3000="",1,0), 0)), "")</f>
        <v>Göğüs Hastalıkları Anabilim Dalı</v>
      </c>
      <c r="R18" s="171">
        <f>IF(Q18="","",COUNTIFS(Başvuru!$D:$D,Q18,Başvuru!$A:$A,"&lt;&gt;"&amp;"",Başvuru!$F:$F,"&lt;&gt;"&amp;""))</f>
        <v>17</v>
      </c>
      <c r="S18" s="171">
        <f>IF(R18="","",RANK(R18,$R$6:$R$155,0)+COUNTIF($R$6:R18,R18)-1)</f>
        <v>8</v>
      </c>
    </row>
    <row r="19" spans="2:19" x14ac:dyDescent="0.25">
      <c r="B19" s="159">
        <v>14</v>
      </c>
      <c r="C19" s="160" t="str">
        <f>IFERROR(INDEX($Q$6:$Q$155,MATCH(14,$S$6:$S$155,0)),"")</f>
        <v>Deri ve Zührevi Hastalıklar Anabilim Dalı</v>
      </c>
      <c r="D19" s="161">
        <f>IF(C19="","",COUNTIFS(Başvuru!$D:$D,C19,Başvuru!$A:$A,"&lt;&gt;"&amp;"",Başvuru!$F:$F,"&lt;&gt;"&amp;""))</f>
        <v>11</v>
      </c>
      <c r="E19" s="159" t="str">
        <f>IF(C19="","-",IF(D19&gt;0,TEXT(D19/(COUNTIFS(Başvuru!$A:$A,"&lt;&gt;",Başvuru!$F:$F,"&lt;&gt;")-1)*100,"0.0")&amp;"%","-"))</f>
        <v>02%</v>
      </c>
      <c r="F19" s="162">
        <f>IF(C19="","",COUNTIFS(Başvuru!$D:$D,C19,Başvuru!$G:$G,"Bireysel Araştırma",Başvuru!$A:$A,"&lt;&gt;"&amp;"",Başvuru!$F:$F,"&lt;&gt;"&amp;""))</f>
        <v>7</v>
      </c>
      <c r="G19" s="162">
        <f>IF(C19="","",COUNTIFS(Başvuru!$D:$D,C19,Başvuru!$G:$G,"Uzmanlık Tezi",Başvuru!$A:$A,"&lt;&gt;"&amp;"",Başvuru!$F:$F,"&lt;&gt;"&amp;""))</f>
        <v>4</v>
      </c>
      <c r="H19" s="162">
        <f>IF(C19="","",COUNTIFS(Başvuru!$D:$D,C19,Başvuru!$G:$G,"Doktora Tezi",Başvuru!$A:$A,"&lt;&gt;"&amp;"",Başvuru!$F:$F,"&lt;&gt;"&amp;""))</f>
        <v>0</v>
      </c>
      <c r="I19" s="162">
        <f>IF(C19="","",COUNTIFS(Başvuru!$D:$D,C19,Başvuru!$G:$G,"Yüksek Lisans Tezi",Başvuru!$A:$A,"&lt;&gt;"&amp;"",Başvuru!$F:$F,"&lt;&gt;"&amp;""))</f>
        <v>0</v>
      </c>
      <c r="J19" s="163">
        <f>IF(C19="","",COUNTIFS(Başvuru!$D:$D,C19,Başvuru!$L:$L,"ONAY",Başvuru!$A:$A,"&lt;&gt;"&amp;"",Başvuru!$F:$F,"&lt;&gt;"&amp;""))</f>
        <v>6</v>
      </c>
      <c r="K19" s="164">
        <f>IF(C19="","",COUNTIFS(Başvuru!$D:$D,C19,Başvuru!$L:$L,"DÜZELTME",Başvuru!$A:$A,"&lt;&gt;"&amp;"",Başvuru!$F:$F,"&lt;&gt;"&amp;""))</f>
        <v>3</v>
      </c>
      <c r="L19" s="165">
        <f>IF(C19="","",COUNTIFS(Başvuru!$D:$D,C19,Başvuru!$L:$L,"KAEK",Başvuru!$A:$A,"&lt;&gt;"&amp;"",Başvuru!$F:$F,"&lt;&gt;"&amp;""))</f>
        <v>1</v>
      </c>
      <c r="M19" s="166">
        <f>IF(C19="","",COUNTIFS(Başvuru!$D:$D,C19,Başvuru!$L:$L,"GÖRÜŞ",Başvuru!$A:$A,"&lt;&gt;"&amp;"",Başvuru!$F:$F,"&lt;&gt;"&amp;""))</f>
        <v>1</v>
      </c>
      <c r="N19" s="167">
        <f>IF(C19="","",COUNTIFS(Başvuru!$D:$D,C19,Başvuru!$L:$L,"RET",Başvuru!$A:$A,"&lt;&gt;"&amp;"",Başvuru!$F:$F,"&lt;&gt;"&amp;""))</f>
        <v>0</v>
      </c>
      <c r="O19" s="168">
        <f>IF(C19="","",COUNTIFS(Başvuru!$D:$D,C19,Başvuru!$L:$L,"KAPSAM DIŞI",Başvuru!$A:$A,"&lt;&gt;"&amp;"",Başvuru!$F:$F,"&lt;&gt;"&amp;""))</f>
        <v>0</v>
      </c>
      <c r="P19" s="169">
        <f>IF(C19="","",COUNTIFS(Başvuru!$D:$D,C19,Başvuru!$L:$L,"GERİ ÇEKİLDİ",Başvuru!$A:$A,"&lt;&gt;"&amp;"",Başvuru!$F:$F,"&lt;&gt;"&amp;""))</f>
        <v>0</v>
      </c>
      <c r="Q19" s="170" t="str">
        <f t="array" ref="Q19">IFERROR(INDEX(Başvuru!$D$2:$D$3000, MATCH(0, COUNTIF($Q$5:Q18, Başvuru!$D$2:$D$3000) + IF(Başvuru!$D$2:$D$3000="",1,0), 0)), "")</f>
        <v>Anesteziyoloji ve Reanimasyon Anabilim Dalı</v>
      </c>
      <c r="R19" s="171">
        <f>IF(Q19="","",COUNTIFS(Başvuru!$D:$D,Q19,Başvuru!$A:$A,"&lt;&gt;"&amp;"",Başvuru!$F:$F,"&lt;&gt;"&amp;""))</f>
        <v>10</v>
      </c>
      <c r="S19" s="171">
        <f>IF(R19="","",RANK(R19,$R$6:$R$155,0)+COUNTIF($R$6:R19,R19)-1)</f>
        <v>16</v>
      </c>
    </row>
    <row r="20" spans="2:19" x14ac:dyDescent="0.25">
      <c r="B20" s="159">
        <v>15</v>
      </c>
      <c r="C20" s="160" t="str">
        <f>IFERROR(INDEX($Q$6:$Q$155,MATCH(15,$S$6:$S$155,0)),"")</f>
        <v>Aile Hekimliği Anabilim Dalı</v>
      </c>
      <c r="D20" s="161">
        <f>IF(C20="","",COUNTIFS(Başvuru!$D:$D,C20,Başvuru!$A:$A,"&lt;&gt;"&amp;"",Başvuru!$F:$F,"&lt;&gt;"&amp;""))</f>
        <v>11</v>
      </c>
      <c r="E20" s="159" t="str">
        <f>IF(C20="","-",IF(D20&gt;0,TEXT(D20/(COUNTIFS(Başvuru!$A:$A,"&lt;&gt;",Başvuru!$F:$F,"&lt;&gt;")-1)*100,"0.0")&amp;"%","-"))</f>
        <v>02%</v>
      </c>
      <c r="F20" s="162">
        <f>IF(C20="","",COUNTIFS(Başvuru!$D:$D,C20,Başvuru!$G:$G,"Bireysel Araştırma",Başvuru!$A:$A,"&lt;&gt;"&amp;"",Başvuru!$F:$F,"&lt;&gt;"&amp;""))</f>
        <v>7</v>
      </c>
      <c r="G20" s="162">
        <f>IF(C20="","",COUNTIFS(Başvuru!$D:$D,C20,Başvuru!$G:$G,"Uzmanlık Tezi",Başvuru!$A:$A,"&lt;&gt;"&amp;"",Başvuru!$F:$F,"&lt;&gt;"&amp;""))</f>
        <v>4</v>
      </c>
      <c r="H20" s="162">
        <f>IF(C20="","",COUNTIFS(Başvuru!$D:$D,C20,Başvuru!$G:$G,"Doktora Tezi",Başvuru!$A:$A,"&lt;&gt;"&amp;"",Başvuru!$F:$F,"&lt;&gt;"&amp;""))</f>
        <v>0</v>
      </c>
      <c r="I20" s="162">
        <f>IF(C20="","",COUNTIFS(Başvuru!$D:$D,C20,Başvuru!$G:$G,"Yüksek Lisans Tezi",Başvuru!$A:$A,"&lt;&gt;"&amp;"",Başvuru!$F:$F,"&lt;&gt;"&amp;""))</f>
        <v>0</v>
      </c>
      <c r="J20" s="163">
        <f>IF(C20="","",COUNTIFS(Başvuru!$D:$D,C20,Başvuru!$L:$L,"ONAY",Başvuru!$A:$A,"&lt;&gt;"&amp;"",Başvuru!$F:$F,"&lt;&gt;"&amp;""))</f>
        <v>3</v>
      </c>
      <c r="K20" s="164">
        <f>IF(C20="","",COUNTIFS(Başvuru!$D:$D,C20,Başvuru!$L:$L,"DÜZELTME",Başvuru!$A:$A,"&lt;&gt;"&amp;"",Başvuru!$F:$F,"&lt;&gt;"&amp;""))</f>
        <v>5</v>
      </c>
      <c r="L20" s="165">
        <f>IF(C20="","",COUNTIFS(Başvuru!$D:$D,C20,Başvuru!$L:$L,"KAEK",Başvuru!$A:$A,"&lt;&gt;"&amp;"",Başvuru!$F:$F,"&lt;&gt;"&amp;""))</f>
        <v>0</v>
      </c>
      <c r="M20" s="166">
        <f>IF(C20="","",COUNTIFS(Başvuru!$D:$D,C20,Başvuru!$L:$L,"GÖRÜŞ",Başvuru!$A:$A,"&lt;&gt;"&amp;"",Başvuru!$F:$F,"&lt;&gt;"&amp;""))</f>
        <v>1</v>
      </c>
      <c r="N20" s="167">
        <f>IF(C20="","",COUNTIFS(Başvuru!$D:$D,C20,Başvuru!$L:$L,"RET",Başvuru!$A:$A,"&lt;&gt;"&amp;"",Başvuru!$F:$F,"&lt;&gt;"&amp;""))</f>
        <v>2</v>
      </c>
      <c r="O20" s="168">
        <f>IF(C20="","",COUNTIFS(Başvuru!$D:$D,C20,Başvuru!$L:$L,"KAPSAM DIŞI",Başvuru!$A:$A,"&lt;&gt;"&amp;"",Başvuru!$F:$F,"&lt;&gt;"&amp;""))</f>
        <v>0</v>
      </c>
      <c r="P20" s="169">
        <f>IF(C20="","",COUNTIFS(Başvuru!$D:$D,C20,Başvuru!$L:$L,"GERİ ÇEKİLDİ",Başvuru!$A:$A,"&lt;&gt;"&amp;"",Başvuru!$F:$F,"&lt;&gt;"&amp;""))</f>
        <v>0</v>
      </c>
      <c r="Q20" s="170" t="str">
        <f t="array" ref="Q20">IFERROR(INDEX(Başvuru!$D$2:$D$3000, MATCH(0, COUNTIF($Q$5:Q19, Başvuru!$D$2:$D$3000) + IF(Başvuru!$D$2:$D$3000="",1,0), 0)), "")</f>
        <v>Göğüs Cerrahisi Anabilim Dalı</v>
      </c>
      <c r="R20" s="171">
        <f>IF(Q20="","",COUNTIFS(Başvuru!$D:$D,Q20,Başvuru!$A:$A,"&lt;&gt;"&amp;"",Başvuru!$F:$F,"&lt;&gt;"&amp;""))</f>
        <v>5</v>
      </c>
      <c r="S20" s="171">
        <f>IF(R20="","",RANK(R20,$R$6:$R$155,0)+COUNTIF($R$6:R20,R20)-1)</f>
        <v>34</v>
      </c>
    </row>
    <row r="21" spans="2:19" x14ac:dyDescent="0.25">
      <c r="B21" s="159">
        <v>16</v>
      </c>
      <c r="C21" s="160" t="str">
        <f>IFERROR(INDEX($Q$6:$Q$155,MATCH(16,$S$6:$S$155,0)),"")</f>
        <v>Anesteziyoloji ve Reanimasyon Anabilim Dalı</v>
      </c>
      <c r="D21" s="161">
        <f>IF(C21="","",COUNTIFS(Başvuru!$D:$D,C21,Başvuru!$A:$A,"&lt;&gt;"&amp;"",Başvuru!$F:$F,"&lt;&gt;"&amp;""))</f>
        <v>10</v>
      </c>
      <c r="E21" s="159" t="str">
        <f>IF(C21="","-",IF(D21&gt;0,TEXT(D21/(COUNTIFS(Başvuru!$A:$A,"&lt;&gt;",Başvuru!$F:$F,"&lt;&gt;")-1)*100,"0.0")&amp;"%","-"))</f>
        <v>01%</v>
      </c>
      <c r="F21" s="162">
        <f>IF(C21="","",COUNTIFS(Başvuru!$D:$D,C21,Başvuru!$G:$G,"Bireysel Araştırma",Başvuru!$A:$A,"&lt;&gt;"&amp;"",Başvuru!$F:$F,"&lt;&gt;"&amp;""))</f>
        <v>5</v>
      </c>
      <c r="G21" s="162">
        <f>IF(C21="","",COUNTIFS(Başvuru!$D:$D,C21,Başvuru!$G:$G,"Uzmanlık Tezi",Başvuru!$A:$A,"&lt;&gt;"&amp;"",Başvuru!$F:$F,"&lt;&gt;"&amp;""))</f>
        <v>5</v>
      </c>
      <c r="H21" s="162">
        <f>IF(C21="","",COUNTIFS(Başvuru!$D:$D,C21,Başvuru!$G:$G,"Doktora Tezi",Başvuru!$A:$A,"&lt;&gt;"&amp;"",Başvuru!$F:$F,"&lt;&gt;"&amp;""))</f>
        <v>0</v>
      </c>
      <c r="I21" s="162">
        <f>IF(C21="","",COUNTIFS(Başvuru!$D:$D,C21,Başvuru!$G:$G,"Yüksek Lisans Tezi",Başvuru!$A:$A,"&lt;&gt;"&amp;"",Başvuru!$F:$F,"&lt;&gt;"&amp;""))</f>
        <v>0</v>
      </c>
      <c r="J21" s="163">
        <f>IF(C21="","",COUNTIFS(Başvuru!$D:$D,C21,Başvuru!$L:$L,"ONAY",Başvuru!$A:$A,"&lt;&gt;"&amp;"",Başvuru!$F:$F,"&lt;&gt;"&amp;""))</f>
        <v>4</v>
      </c>
      <c r="K21" s="164">
        <f>IF(C21="","",COUNTIFS(Başvuru!$D:$D,C21,Başvuru!$L:$L,"DÜZELTME",Başvuru!$A:$A,"&lt;&gt;"&amp;"",Başvuru!$F:$F,"&lt;&gt;"&amp;""))</f>
        <v>4</v>
      </c>
      <c r="L21" s="165">
        <f>IF(C21="","",COUNTIFS(Başvuru!$D:$D,C21,Başvuru!$L:$L,"KAEK",Başvuru!$A:$A,"&lt;&gt;"&amp;"",Başvuru!$F:$F,"&lt;&gt;"&amp;""))</f>
        <v>1</v>
      </c>
      <c r="M21" s="166">
        <f>IF(C21="","",COUNTIFS(Başvuru!$D:$D,C21,Başvuru!$L:$L,"GÖRÜŞ",Başvuru!$A:$A,"&lt;&gt;"&amp;"",Başvuru!$F:$F,"&lt;&gt;"&amp;""))</f>
        <v>1</v>
      </c>
      <c r="N21" s="167">
        <f>IF(C21="","",COUNTIFS(Başvuru!$D:$D,C21,Başvuru!$L:$L,"RET",Başvuru!$A:$A,"&lt;&gt;"&amp;"",Başvuru!$F:$F,"&lt;&gt;"&amp;""))</f>
        <v>0</v>
      </c>
      <c r="O21" s="168">
        <f>IF(C21="","",COUNTIFS(Başvuru!$D:$D,C21,Başvuru!$L:$L,"KAPSAM DIŞI",Başvuru!$A:$A,"&lt;&gt;"&amp;"",Başvuru!$F:$F,"&lt;&gt;"&amp;""))</f>
        <v>0</v>
      </c>
      <c r="P21" s="169">
        <f>IF(C21="","",COUNTIFS(Başvuru!$D:$D,C21,Başvuru!$L:$L,"GERİ ÇEKİLDİ",Başvuru!$A:$A,"&lt;&gt;"&amp;"",Başvuru!$F:$F,"&lt;&gt;"&amp;""))</f>
        <v>0</v>
      </c>
      <c r="Q21" s="170" t="str">
        <f t="array" ref="Q21">IFERROR(INDEX(Başvuru!$D$2:$D$3000, MATCH(0, COUNTIF($Q$5:Q20, Başvuru!$D$2:$D$3000) + IF(Başvuru!$D$2:$D$3000="",1,0), 0)), "")</f>
        <v>Göz Hastalıkları Anabilim Dalı</v>
      </c>
      <c r="R21" s="171">
        <f>IF(Q21="","",COUNTIFS(Başvuru!$D:$D,Q21,Başvuru!$A:$A,"&lt;&gt;"&amp;"",Başvuru!$F:$F,"&lt;&gt;"&amp;""))</f>
        <v>17</v>
      </c>
      <c r="S21" s="171">
        <f>IF(R21="","",RANK(R21,$R$6:$R$155,0)+COUNTIF($R$6:R21,R21)-1)</f>
        <v>9</v>
      </c>
    </row>
    <row r="22" spans="2:19" x14ac:dyDescent="0.25">
      <c r="B22" s="159">
        <v>17</v>
      </c>
      <c r="C22" s="160" t="str">
        <f>IFERROR(INDEX($Q$6:$Q$155,MATCH(17,$S$6:$S$155,0)),"")</f>
        <v>Ağız, Diş ve Çene Cerrahisi Anabilim Dalı</v>
      </c>
      <c r="D22" s="161">
        <f>IF(C22="","",COUNTIFS(Başvuru!$D:$D,C22,Başvuru!$A:$A,"&lt;&gt;"&amp;"",Başvuru!$F:$F,"&lt;&gt;"&amp;""))</f>
        <v>10</v>
      </c>
      <c r="E22" s="159" t="str">
        <f>IF(C22="","-",IF(D22&gt;0,TEXT(D22/(COUNTIFS(Başvuru!$A:$A,"&lt;&gt;",Başvuru!$F:$F,"&lt;&gt;")-1)*100,"0.0")&amp;"%","-"))</f>
        <v>01%</v>
      </c>
      <c r="F22" s="162">
        <f>IF(C22="","",COUNTIFS(Başvuru!$D:$D,C22,Başvuru!$G:$G,"Bireysel Araştırma",Başvuru!$A:$A,"&lt;&gt;"&amp;"",Başvuru!$F:$F,"&lt;&gt;"&amp;""))</f>
        <v>9</v>
      </c>
      <c r="G22" s="162">
        <f>IF(C22="","",COUNTIFS(Başvuru!$D:$D,C22,Başvuru!$G:$G,"Uzmanlık Tezi",Başvuru!$A:$A,"&lt;&gt;"&amp;"",Başvuru!$F:$F,"&lt;&gt;"&amp;""))</f>
        <v>1</v>
      </c>
      <c r="H22" s="162">
        <f>IF(C22="","",COUNTIFS(Başvuru!$D:$D,C22,Başvuru!$G:$G,"Doktora Tezi",Başvuru!$A:$A,"&lt;&gt;"&amp;"",Başvuru!$F:$F,"&lt;&gt;"&amp;""))</f>
        <v>0</v>
      </c>
      <c r="I22" s="162">
        <f>IF(C22="","",COUNTIFS(Başvuru!$D:$D,C22,Başvuru!$G:$G,"Yüksek Lisans Tezi",Başvuru!$A:$A,"&lt;&gt;"&amp;"",Başvuru!$F:$F,"&lt;&gt;"&amp;""))</f>
        <v>0</v>
      </c>
      <c r="J22" s="163">
        <f>IF(C22="","",COUNTIFS(Başvuru!$D:$D,C22,Başvuru!$L:$L,"ONAY",Başvuru!$A:$A,"&lt;&gt;"&amp;"",Başvuru!$F:$F,"&lt;&gt;"&amp;""))</f>
        <v>6</v>
      </c>
      <c r="K22" s="164">
        <f>IF(C22="","",COUNTIFS(Başvuru!$D:$D,C22,Başvuru!$L:$L,"DÜZELTME",Başvuru!$A:$A,"&lt;&gt;"&amp;"",Başvuru!$F:$F,"&lt;&gt;"&amp;""))</f>
        <v>3</v>
      </c>
      <c r="L22" s="165">
        <f>IF(C22="","",COUNTIFS(Başvuru!$D:$D,C22,Başvuru!$L:$L,"KAEK",Başvuru!$A:$A,"&lt;&gt;"&amp;"",Başvuru!$F:$F,"&lt;&gt;"&amp;""))</f>
        <v>0</v>
      </c>
      <c r="M22" s="166">
        <f>IF(C22="","",COUNTIFS(Başvuru!$D:$D,C22,Başvuru!$L:$L,"GÖRÜŞ",Başvuru!$A:$A,"&lt;&gt;"&amp;"",Başvuru!$F:$F,"&lt;&gt;"&amp;""))</f>
        <v>1</v>
      </c>
      <c r="N22" s="167">
        <f>IF(C22="","",COUNTIFS(Başvuru!$D:$D,C22,Başvuru!$L:$L,"RET",Başvuru!$A:$A,"&lt;&gt;"&amp;"",Başvuru!$F:$F,"&lt;&gt;"&amp;""))</f>
        <v>0</v>
      </c>
      <c r="O22" s="168">
        <f>IF(C22="","",COUNTIFS(Başvuru!$D:$D,C22,Başvuru!$L:$L,"KAPSAM DIŞI",Başvuru!$A:$A,"&lt;&gt;"&amp;"",Başvuru!$F:$F,"&lt;&gt;"&amp;""))</f>
        <v>0</v>
      </c>
      <c r="P22" s="169">
        <f>IF(C22="","",COUNTIFS(Başvuru!$D:$D,C22,Başvuru!$L:$L,"GERİ ÇEKİLDİ",Başvuru!$A:$A,"&lt;&gt;"&amp;"",Başvuru!$F:$F,"&lt;&gt;"&amp;""))</f>
        <v>0</v>
      </c>
      <c r="Q22" s="170" t="str">
        <f t="array" ref="Q22">IFERROR(INDEX(Başvuru!$D$2:$D$3000, MATCH(0, COUNTIF($Q$5:Q21, Başvuru!$D$2:$D$3000) + IF(Başvuru!$D$2:$D$3000="",1,0), 0)), "")</f>
        <v>Sağlık Yönetimi Anabilim Dalı</v>
      </c>
      <c r="R22" s="171">
        <f>IF(Q22="","",COUNTIFS(Başvuru!$D:$D,Q22,Başvuru!$A:$A,"&lt;&gt;"&amp;"",Başvuru!$F:$F,"&lt;&gt;"&amp;""))</f>
        <v>7</v>
      </c>
      <c r="S22" s="171">
        <f>IF(R22="","",RANK(R22,$R$6:$R$155,0)+COUNTIF($R$6:R22,R22)-1)</f>
        <v>23</v>
      </c>
    </row>
    <row r="23" spans="2:19" x14ac:dyDescent="0.25">
      <c r="B23" s="159">
        <v>18</v>
      </c>
      <c r="C23" s="160" t="str">
        <f>IFERROR(INDEX($Q$6:$Q$155,MATCH(18,$S$6:$S$155,0)),"")</f>
        <v>Ortodonti Anabilim Dalı</v>
      </c>
      <c r="D23" s="161">
        <f>IF(C23="","",COUNTIFS(Başvuru!$D:$D,C23,Başvuru!$A:$A,"&lt;&gt;"&amp;"",Başvuru!$F:$F,"&lt;&gt;"&amp;""))</f>
        <v>10</v>
      </c>
      <c r="E23" s="159" t="str">
        <f>IF(C23="","-",IF(D23&gt;0,TEXT(D23/(COUNTIFS(Başvuru!$A:$A,"&lt;&gt;",Başvuru!$F:$F,"&lt;&gt;")-1)*100,"0.0")&amp;"%","-"))</f>
        <v>01%</v>
      </c>
      <c r="F23" s="162">
        <f>IF(C23="","",COUNTIFS(Başvuru!$D:$D,C23,Başvuru!$G:$G,"Bireysel Araştırma",Başvuru!$A:$A,"&lt;&gt;"&amp;"",Başvuru!$F:$F,"&lt;&gt;"&amp;""))</f>
        <v>10</v>
      </c>
      <c r="G23" s="162">
        <f>IF(C23="","",COUNTIFS(Başvuru!$D:$D,C23,Başvuru!$G:$G,"Uzmanlık Tezi",Başvuru!$A:$A,"&lt;&gt;"&amp;"",Başvuru!$F:$F,"&lt;&gt;"&amp;""))</f>
        <v>0</v>
      </c>
      <c r="H23" s="162">
        <f>IF(C23="","",COUNTIFS(Başvuru!$D:$D,C23,Başvuru!$G:$G,"Doktora Tezi",Başvuru!$A:$A,"&lt;&gt;"&amp;"",Başvuru!$F:$F,"&lt;&gt;"&amp;""))</f>
        <v>0</v>
      </c>
      <c r="I23" s="162">
        <f>IF(C23="","",COUNTIFS(Başvuru!$D:$D,C23,Başvuru!$G:$G,"Yüksek Lisans Tezi",Başvuru!$A:$A,"&lt;&gt;"&amp;"",Başvuru!$F:$F,"&lt;&gt;"&amp;""))</f>
        <v>0</v>
      </c>
      <c r="J23" s="163">
        <f>IF(C23="","",COUNTIFS(Başvuru!$D:$D,C23,Başvuru!$L:$L,"ONAY",Başvuru!$A:$A,"&lt;&gt;"&amp;"",Başvuru!$F:$F,"&lt;&gt;"&amp;""))</f>
        <v>6</v>
      </c>
      <c r="K23" s="164">
        <f>IF(C23="","",COUNTIFS(Başvuru!$D:$D,C23,Başvuru!$L:$L,"DÜZELTME",Başvuru!$A:$A,"&lt;&gt;"&amp;"",Başvuru!$F:$F,"&lt;&gt;"&amp;""))</f>
        <v>2</v>
      </c>
      <c r="L23" s="165">
        <f>IF(C23="","",COUNTIFS(Başvuru!$D:$D,C23,Başvuru!$L:$L,"KAEK",Başvuru!$A:$A,"&lt;&gt;"&amp;"",Başvuru!$F:$F,"&lt;&gt;"&amp;""))</f>
        <v>1</v>
      </c>
      <c r="M23" s="166">
        <f>IF(C23="","",COUNTIFS(Başvuru!$D:$D,C23,Başvuru!$L:$L,"GÖRÜŞ",Başvuru!$A:$A,"&lt;&gt;"&amp;"",Başvuru!$F:$F,"&lt;&gt;"&amp;""))</f>
        <v>0</v>
      </c>
      <c r="N23" s="167">
        <f>IF(C23="","",COUNTIFS(Başvuru!$D:$D,C23,Başvuru!$L:$L,"RET",Başvuru!$A:$A,"&lt;&gt;"&amp;"",Başvuru!$F:$F,"&lt;&gt;"&amp;""))</f>
        <v>1</v>
      </c>
      <c r="O23" s="168">
        <f>IF(C23="","",COUNTIFS(Başvuru!$D:$D,C23,Başvuru!$L:$L,"KAPSAM DIŞI",Başvuru!$A:$A,"&lt;&gt;"&amp;"",Başvuru!$F:$F,"&lt;&gt;"&amp;""))</f>
        <v>0</v>
      </c>
      <c r="P23" s="169">
        <f>IF(C23="","",COUNTIFS(Başvuru!$D:$D,C23,Başvuru!$L:$L,"GERİ ÇEKİLDİ",Başvuru!$A:$A,"&lt;&gt;"&amp;"",Başvuru!$F:$F,"&lt;&gt;"&amp;""))</f>
        <v>0</v>
      </c>
      <c r="Q23" s="170" t="str">
        <f t="array" ref="Q23">IFERROR(INDEX(Başvuru!$D$2:$D$3000, MATCH(0, COUNTIF($Q$5:Q22, Başvuru!$D$2:$D$3000) + IF(Başvuru!$D$2:$D$3000="",1,0), 0)), "")</f>
        <v>Ağız, Diş ve Çene Cerrahisi Anabilim Dalı</v>
      </c>
      <c r="R23" s="171">
        <f>IF(Q23="","",COUNTIFS(Başvuru!$D:$D,Q23,Başvuru!$A:$A,"&lt;&gt;"&amp;"",Başvuru!$F:$F,"&lt;&gt;"&amp;""))</f>
        <v>10</v>
      </c>
      <c r="S23" s="171">
        <f>IF(R23="","",RANK(R23,$R$6:$R$155,0)+COUNTIF($R$6:R23,R23)-1)</f>
        <v>17</v>
      </c>
    </row>
    <row r="24" spans="2:19" x14ac:dyDescent="0.25">
      <c r="B24" s="159">
        <v>19</v>
      </c>
      <c r="C24" s="160" t="str">
        <f>IFERROR(INDEX($Q$6:$Q$155,MATCH(19,$S$6:$S$155,0)),"")</f>
        <v>Endodonti Anabilim Dalı</v>
      </c>
      <c r="D24" s="161">
        <f>IF(C24="","",COUNTIFS(Başvuru!$D:$D,C24,Başvuru!$A:$A,"&lt;&gt;"&amp;"",Başvuru!$F:$F,"&lt;&gt;"&amp;""))</f>
        <v>9</v>
      </c>
      <c r="E24" s="159" t="str">
        <f>IF(C24="","-",IF(D24&gt;0,TEXT(D24/(COUNTIFS(Başvuru!$A:$A,"&lt;&gt;",Başvuru!$F:$F,"&lt;&gt;")-1)*100,"0.0")&amp;"%","-"))</f>
        <v>01%</v>
      </c>
      <c r="F24" s="162">
        <f>IF(C24="","",COUNTIFS(Başvuru!$D:$D,C24,Başvuru!$G:$G,"Bireysel Araştırma",Başvuru!$A:$A,"&lt;&gt;"&amp;"",Başvuru!$F:$F,"&lt;&gt;"&amp;""))</f>
        <v>4</v>
      </c>
      <c r="G24" s="162">
        <f>IF(C24="","",COUNTIFS(Başvuru!$D:$D,C24,Başvuru!$G:$G,"Uzmanlık Tezi",Başvuru!$A:$A,"&lt;&gt;"&amp;"",Başvuru!$F:$F,"&lt;&gt;"&amp;""))</f>
        <v>4</v>
      </c>
      <c r="H24" s="162">
        <f>IF(C24="","",COUNTIFS(Başvuru!$D:$D,C24,Başvuru!$G:$G,"Doktora Tezi",Başvuru!$A:$A,"&lt;&gt;"&amp;"",Başvuru!$F:$F,"&lt;&gt;"&amp;""))</f>
        <v>1</v>
      </c>
      <c r="I24" s="162">
        <f>IF(C24="","",COUNTIFS(Başvuru!$D:$D,C24,Başvuru!$G:$G,"Yüksek Lisans Tezi",Başvuru!$A:$A,"&lt;&gt;"&amp;"",Başvuru!$F:$F,"&lt;&gt;"&amp;""))</f>
        <v>0</v>
      </c>
      <c r="J24" s="163">
        <f>IF(C24="","",COUNTIFS(Başvuru!$D:$D,C24,Başvuru!$L:$L,"ONAY",Başvuru!$A:$A,"&lt;&gt;"&amp;"",Başvuru!$F:$F,"&lt;&gt;"&amp;""))</f>
        <v>7</v>
      </c>
      <c r="K24" s="164">
        <f>IF(C24="","",COUNTIFS(Başvuru!$D:$D,C24,Başvuru!$L:$L,"DÜZELTME",Başvuru!$A:$A,"&lt;&gt;"&amp;"",Başvuru!$F:$F,"&lt;&gt;"&amp;""))</f>
        <v>0</v>
      </c>
      <c r="L24" s="165">
        <f>IF(C24="","",COUNTIFS(Başvuru!$D:$D,C24,Başvuru!$L:$L,"KAEK",Başvuru!$A:$A,"&lt;&gt;"&amp;"",Başvuru!$F:$F,"&lt;&gt;"&amp;""))</f>
        <v>0</v>
      </c>
      <c r="M24" s="166">
        <f>IF(C24="","",COUNTIFS(Başvuru!$D:$D,C24,Başvuru!$L:$L,"GÖRÜŞ",Başvuru!$A:$A,"&lt;&gt;"&amp;"",Başvuru!$F:$F,"&lt;&gt;"&amp;""))</f>
        <v>0</v>
      </c>
      <c r="N24" s="167">
        <f>IF(C24="","",COUNTIFS(Başvuru!$D:$D,C24,Başvuru!$L:$L,"RET",Başvuru!$A:$A,"&lt;&gt;"&amp;"",Başvuru!$F:$F,"&lt;&gt;"&amp;""))</f>
        <v>1</v>
      </c>
      <c r="O24" s="168">
        <f>IF(C24="","",COUNTIFS(Başvuru!$D:$D,C24,Başvuru!$L:$L,"KAPSAM DIŞI",Başvuru!$A:$A,"&lt;&gt;"&amp;"",Başvuru!$F:$F,"&lt;&gt;"&amp;""))</f>
        <v>1</v>
      </c>
      <c r="P24" s="169">
        <f>IF(C24="","",COUNTIFS(Başvuru!$D:$D,C24,Başvuru!$L:$L,"GERİ ÇEKİLDİ",Başvuru!$A:$A,"&lt;&gt;"&amp;"",Başvuru!$F:$F,"&lt;&gt;"&amp;""))</f>
        <v>0</v>
      </c>
      <c r="Q24" s="170" t="str">
        <f t="array" ref="Q24">IFERROR(INDEX(Başvuru!$D$2:$D$3000, MATCH(0, COUNTIF($Q$5:Q23, Başvuru!$D$2:$D$3000) + IF(Başvuru!$D$2:$D$3000="",1,0), 0)), "")</f>
        <v>Çocuk Sağlığı ve Hastalıkları Anabilim Dalı</v>
      </c>
      <c r="R24" s="171">
        <f>IF(Q24="","",COUNTIFS(Başvuru!$D:$D,Q24,Başvuru!$A:$A,"&lt;&gt;"&amp;"",Başvuru!$F:$F,"&lt;&gt;"&amp;""))</f>
        <v>122</v>
      </c>
      <c r="S24" s="171">
        <f>IF(R24="","",RANK(R24,$R$6:$R$155,0)+COUNTIF($R$6:R24,R24)-1)</f>
        <v>2</v>
      </c>
    </row>
    <row r="25" spans="2:19" x14ac:dyDescent="0.25">
      <c r="B25" s="159">
        <v>20</v>
      </c>
      <c r="C25" s="160" t="str">
        <f>IFERROR(INDEX($Q$6:$Q$155,MATCH(20,$S$6:$S$155,0)),"")</f>
        <v>Anatomi Anabilim Dalı</v>
      </c>
      <c r="D25" s="161">
        <f>IF(C25="","",COUNTIFS(Başvuru!$D:$D,C25,Başvuru!$A:$A,"&lt;&gt;"&amp;"",Başvuru!$F:$F,"&lt;&gt;"&amp;""))</f>
        <v>9</v>
      </c>
      <c r="E25" s="159" t="str">
        <f>IF(C25="","-",IF(D25&gt;0,TEXT(D25/(COUNTIFS(Başvuru!$A:$A,"&lt;&gt;",Başvuru!$F:$F,"&lt;&gt;")-1)*100,"0.0")&amp;"%","-"))</f>
        <v>01%</v>
      </c>
      <c r="F25" s="162">
        <f>IF(C25="","",COUNTIFS(Başvuru!$D:$D,C25,Başvuru!$G:$G,"Bireysel Araştırma",Başvuru!$A:$A,"&lt;&gt;"&amp;"",Başvuru!$F:$F,"&lt;&gt;"&amp;""))</f>
        <v>7</v>
      </c>
      <c r="G25" s="162">
        <f>IF(C25="","",COUNTIFS(Başvuru!$D:$D,C25,Başvuru!$G:$G,"Uzmanlık Tezi",Başvuru!$A:$A,"&lt;&gt;"&amp;"",Başvuru!$F:$F,"&lt;&gt;"&amp;""))</f>
        <v>0</v>
      </c>
      <c r="H25" s="162">
        <f>IF(C25="","",COUNTIFS(Başvuru!$D:$D,C25,Başvuru!$G:$G,"Doktora Tezi",Başvuru!$A:$A,"&lt;&gt;"&amp;"",Başvuru!$F:$F,"&lt;&gt;"&amp;""))</f>
        <v>1</v>
      </c>
      <c r="I25" s="162">
        <f>IF(C25="","",COUNTIFS(Başvuru!$D:$D,C25,Başvuru!$G:$G,"Yüksek Lisans Tezi",Başvuru!$A:$A,"&lt;&gt;"&amp;"",Başvuru!$F:$F,"&lt;&gt;"&amp;""))</f>
        <v>1</v>
      </c>
      <c r="J25" s="163">
        <f>IF(C25="","",COUNTIFS(Başvuru!$D:$D,C25,Başvuru!$L:$L,"ONAY",Başvuru!$A:$A,"&lt;&gt;"&amp;"",Başvuru!$F:$F,"&lt;&gt;"&amp;""))</f>
        <v>7</v>
      </c>
      <c r="K25" s="164">
        <f>IF(C25="","",COUNTIFS(Başvuru!$D:$D,C25,Başvuru!$L:$L,"DÜZELTME",Başvuru!$A:$A,"&lt;&gt;"&amp;"",Başvuru!$F:$F,"&lt;&gt;"&amp;""))</f>
        <v>2</v>
      </c>
      <c r="L25" s="165">
        <f>IF(C25="","",COUNTIFS(Başvuru!$D:$D,C25,Başvuru!$L:$L,"KAEK",Başvuru!$A:$A,"&lt;&gt;"&amp;"",Başvuru!$F:$F,"&lt;&gt;"&amp;""))</f>
        <v>0</v>
      </c>
      <c r="M25" s="166">
        <f>IF(C25="","",COUNTIFS(Başvuru!$D:$D,C25,Başvuru!$L:$L,"GÖRÜŞ",Başvuru!$A:$A,"&lt;&gt;"&amp;"",Başvuru!$F:$F,"&lt;&gt;"&amp;""))</f>
        <v>0</v>
      </c>
      <c r="N25" s="167">
        <f>IF(C25="","",COUNTIFS(Başvuru!$D:$D,C25,Başvuru!$L:$L,"RET",Başvuru!$A:$A,"&lt;&gt;"&amp;"",Başvuru!$F:$F,"&lt;&gt;"&amp;""))</f>
        <v>0</v>
      </c>
      <c r="O25" s="168">
        <f>IF(C25="","",COUNTIFS(Başvuru!$D:$D,C25,Başvuru!$L:$L,"KAPSAM DIŞI",Başvuru!$A:$A,"&lt;&gt;"&amp;"",Başvuru!$F:$F,"&lt;&gt;"&amp;""))</f>
        <v>0</v>
      </c>
      <c r="P25" s="169">
        <f>IF(C25="","",COUNTIFS(Başvuru!$D:$D,C25,Başvuru!$L:$L,"GERİ ÇEKİLDİ",Başvuru!$A:$A,"&lt;&gt;"&amp;"",Başvuru!$F:$F,"&lt;&gt;"&amp;""))</f>
        <v>0</v>
      </c>
      <c r="Q25" s="170" t="str">
        <f t="array" ref="Q25">IFERROR(INDEX(Başvuru!$D$2:$D$3000, MATCH(0, COUNTIF($Q$5:Q24, Başvuru!$D$2:$D$3000) + IF(Başvuru!$D$2:$D$3000="",1,0), 0)), "")</f>
        <v>Kadın Hastalıkları ve Doğum Anabilim Dalı</v>
      </c>
      <c r="R25" s="171">
        <f>IF(Q25="","",COUNTIFS(Başvuru!$D:$D,Q25,Başvuru!$A:$A,"&lt;&gt;"&amp;"",Başvuru!$F:$F,"&lt;&gt;"&amp;""))</f>
        <v>31</v>
      </c>
      <c r="S25" s="171">
        <f>IF(R25="","",RANK(R25,$R$6:$R$155,0)+COUNTIF($R$6:R25,R25)-1)</f>
        <v>3</v>
      </c>
    </row>
    <row r="26" spans="2:19" x14ac:dyDescent="0.25">
      <c r="B26" s="159">
        <v>21</v>
      </c>
      <c r="C26" s="160" t="str">
        <f>IFERROR(INDEX($Q$6:$Q$155,MATCH(21,$S$6:$S$155,0)),"")</f>
        <v>Üroloji Anabilim Dalı</v>
      </c>
      <c r="D26" s="161">
        <f>IF(C26="","",COUNTIFS(Başvuru!$D:$D,C26,Başvuru!$A:$A,"&lt;&gt;"&amp;"",Başvuru!$F:$F,"&lt;&gt;"&amp;""))</f>
        <v>9</v>
      </c>
      <c r="E26" s="159" t="str">
        <f>IF(C26="","-",IF(D26&gt;0,TEXT(D26/(COUNTIFS(Başvuru!$A:$A,"&lt;&gt;",Başvuru!$F:$F,"&lt;&gt;")-1)*100,"0.0")&amp;"%","-"))</f>
        <v>01%</v>
      </c>
      <c r="F26" s="162">
        <f>IF(C26="","",COUNTIFS(Başvuru!$D:$D,C26,Başvuru!$G:$G,"Bireysel Araştırma",Başvuru!$A:$A,"&lt;&gt;"&amp;"",Başvuru!$F:$F,"&lt;&gt;"&amp;""))</f>
        <v>8</v>
      </c>
      <c r="G26" s="162">
        <f>IF(C26="","",COUNTIFS(Başvuru!$D:$D,C26,Başvuru!$G:$G,"Uzmanlık Tezi",Başvuru!$A:$A,"&lt;&gt;"&amp;"",Başvuru!$F:$F,"&lt;&gt;"&amp;""))</f>
        <v>1</v>
      </c>
      <c r="H26" s="162">
        <f>IF(C26="","",COUNTIFS(Başvuru!$D:$D,C26,Başvuru!$G:$G,"Doktora Tezi",Başvuru!$A:$A,"&lt;&gt;"&amp;"",Başvuru!$F:$F,"&lt;&gt;"&amp;""))</f>
        <v>0</v>
      </c>
      <c r="I26" s="162">
        <f>IF(C26="","",COUNTIFS(Başvuru!$D:$D,C26,Başvuru!$G:$G,"Yüksek Lisans Tezi",Başvuru!$A:$A,"&lt;&gt;"&amp;"",Başvuru!$F:$F,"&lt;&gt;"&amp;""))</f>
        <v>0</v>
      </c>
      <c r="J26" s="163">
        <f>IF(C26="","",COUNTIFS(Başvuru!$D:$D,C26,Başvuru!$L:$L,"ONAY",Başvuru!$A:$A,"&lt;&gt;"&amp;"",Başvuru!$F:$F,"&lt;&gt;"&amp;""))</f>
        <v>6</v>
      </c>
      <c r="K26" s="164">
        <f>IF(C26="","",COUNTIFS(Başvuru!$D:$D,C26,Başvuru!$L:$L,"DÜZELTME",Başvuru!$A:$A,"&lt;&gt;"&amp;"",Başvuru!$F:$F,"&lt;&gt;"&amp;""))</f>
        <v>2</v>
      </c>
      <c r="L26" s="165">
        <f>IF(C26="","",COUNTIFS(Başvuru!$D:$D,C26,Başvuru!$L:$L,"KAEK",Başvuru!$A:$A,"&lt;&gt;"&amp;"",Başvuru!$F:$F,"&lt;&gt;"&amp;""))</f>
        <v>0</v>
      </c>
      <c r="M26" s="166">
        <f>IF(C26="","",COUNTIFS(Başvuru!$D:$D,C26,Başvuru!$L:$L,"GÖRÜŞ",Başvuru!$A:$A,"&lt;&gt;"&amp;"",Başvuru!$F:$F,"&lt;&gt;"&amp;""))</f>
        <v>0</v>
      </c>
      <c r="N26" s="167">
        <f>IF(C26="","",COUNTIFS(Başvuru!$D:$D,C26,Başvuru!$L:$L,"RET",Başvuru!$A:$A,"&lt;&gt;"&amp;"",Başvuru!$F:$F,"&lt;&gt;"&amp;""))</f>
        <v>0</v>
      </c>
      <c r="O26" s="168">
        <f>IF(C26="","",COUNTIFS(Başvuru!$D:$D,C26,Başvuru!$L:$L,"KAPSAM DIŞI",Başvuru!$A:$A,"&lt;&gt;"&amp;"",Başvuru!$F:$F,"&lt;&gt;"&amp;""))</f>
        <v>0</v>
      </c>
      <c r="P26" s="169">
        <f>IF(C26="","",COUNTIFS(Başvuru!$D:$D,C26,Başvuru!$L:$L,"GERİ ÇEKİLDİ",Başvuru!$A:$A,"&lt;&gt;"&amp;"",Başvuru!$F:$F,"&lt;&gt;"&amp;""))</f>
        <v>0</v>
      </c>
      <c r="Q26" s="170" t="str">
        <f t="array" ref="Q26">IFERROR(INDEX(Başvuru!$D$2:$D$3000, MATCH(0, COUNTIF($Q$5:Q25, Başvuru!$D$2:$D$3000) + IF(Başvuru!$D$2:$D$3000="",1,0), 0)), "")</f>
        <v>Kardiyoloji Anabilim Dalı</v>
      </c>
      <c r="R26" s="171">
        <f>IF(Q26="","",COUNTIFS(Başvuru!$D:$D,Q26,Başvuru!$A:$A,"&lt;&gt;"&amp;"",Başvuru!$F:$F,"&lt;&gt;"&amp;""))</f>
        <v>19</v>
      </c>
      <c r="S26" s="171">
        <f>IF(R26="","",RANK(R26,$R$6:$R$155,0)+COUNTIF($R$6:R26,R26)-1)</f>
        <v>7</v>
      </c>
    </row>
    <row r="27" spans="2:19" x14ac:dyDescent="0.25">
      <c r="B27" s="159">
        <v>22</v>
      </c>
      <c r="C27" s="160" t="str">
        <f>IFERROR(INDEX($Q$6:$Q$155,MATCH(22,$S$6:$S$155,0)),"")</f>
        <v>Ağız, Diş ve Çene Radyolojisi Anabilim Dalı</v>
      </c>
      <c r="D27" s="161">
        <f>IF(C27="","",COUNTIFS(Başvuru!$D:$D,C27,Başvuru!$A:$A,"&lt;&gt;"&amp;"",Başvuru!$F:$F,"&lt;&gt;"&amp;""))</f>
        <v>8</v>
      </c>
      <c r="E27" s="159" t="str">
        <f>IF(C27="","-",IF(D27&gt;0,TEXT(D27/(COUNTIFS(Başvuru!$A:$A,"&lt;&gt;",Başvuru!$F:$F,"&lt;&gt;")-1)*100,"0.0")&amp;"%","-"))</f>
        <v>01%</v>
      </c>
      <c r="F27" s="162">
        <f>IF(C27="","",COUNTIFS(Başvuru!$D:$D,C27,Başvuru!$G:$G,"Bireysel Araştırma",Başvuru!$A:$A,"&lt;&gt;"&amp;"",Başvuru!$F:$F,"&lt;&gt;"&amp;""))</f>
        <v>3</v>
      </c>
      <c r="G27" s="162">
        <f>IF(C27="","",COUNTIFS(Başvuru!$D:$D,C27,Başvuru!$G:$G,"Uzmanlık Tezi",Başvuru!$A:$A,"&lt;&gt;"&amp;"",Başvuru!$F:$F,"&lt;&gt;"&amp;""))</f>
        <v>5</v>
      </c>
      <c r="H27" s="162">
        <f>IF(C27="","",COUNTIFS(Başvuru!$D:$D,C27,Başvuru!$G:$G,"Doktora Tezi",Başvuru!$A:$A,"&lt;&gt;"&amp;"",Başvuru!$F:$F,"&lt;&gt;"&amp;""))</f>
        <v>0</v>
      </c>
      <c r="I27" s="162">
        <f>IF(C27="","",COUNTIFS(Başvuru!$D:$D,C27,Başvuru!$G:$G,"Yüksek Lisans Tezi",Başvuru!$A:$A,"&lt;&gt;"&amp;"",Başvuru!$F:$F,"&lt;&gt;"&amp;""))</f>
        <v>0</v>
      </c>
      <c r="J27" s="163">
        <f>IF(C27="","",COUNTIFS(Başvuru!$D:$D,C27,Başvuru!$L:$L,"ONAY",Başvuru!$A:$A,"&lt;&gt;"&amp;"",Başvuru!$F:$F,"&lt;&gt;"&amp;""))</f>
        <v>6</v>
      </c>
      <c r="K27" s="164">
        <f>IF(C27="","",COUNTIFS(Başvuru!$D:$D,C27,Başvuru!$L:$L,"DÜZELTME",Başvuru!$A:$A,"&lt;&gt;"&amp;"",Başvuru!$F:$F,"&lt;&gt;"&amp;""))</f>
        <v>1</v>
      </c>
      <c r="L27" s="165">
        <f>IF(C27="","",COUNTIFS(Başvuru!$D:$D,C27,Başvuru!$L:$L,"KAEK",Başvuru!$A:$A,"&lt;&gt;"&amp;"",Başvuru!$F:$F,"&lt;&gt;"&amp;""))</f>
        <v>0</v>
      </c>
      <c r="M27" s="166">
        <f>IF(C27="","",COUNTIFS(Başvuru!$D:$D,C27,Başvuru!$L:$L,"GÖRÜŞ",Başvuru!$A:$A,"&lt;&gt;"&amp;"",Başvuru!$F:$F,"&lt;&gt;"&amp;""))</f>
        <v>0</v>
      </c>
      <c r="N27" s="167">
        <f>IF(C27="","",COUNTIFS(Başvuru!$D:$D,C27,Başvuru!$L:$L,"RET",Başvuru!$A:$A,"&lt;&gt;"&amp;"",Başvuru!$F:$F,"&lt;&gt;"&amp;""))</f>
        <v>0</v>
      </c>
      <c r="O27" s="168">
        <f>IF(C27="","",COUNTIFS(Başvuru!$D:$D,C27,Başvuru!$L:$L,"KAPSAM DIŞI",Başvuru!$A:$A,"&lt;&gt;"&amp;"",Başvuru!$F:$F,"&lt;&gt;"&amp;""))</f>
        <v>0</v>
      </c>
      <c r="P27" s="169">
        <f>IF(C27="","",COUNTIFS(Başvuru!$D:$D,C27,Başvuru!$L:$L,"GERİ ÇEKİLDİ",Başvuru!$A:$A,"&lt;&gt;"&amp;"",Başvuru!$F:$F,"&lt;&gt;"&amp;""))</f>
        <v>0</v>
      </c>
      <c r="Q27" s="170" t="str">
        <f t="array" ref="Q27">IFERROR(INDEX(Başvuru!$D$2:$D$3000, MATCH(0, COUNTIF($Q$5:Q26, Başvuru!$D$2:$D$3000) + IF(Başvuru!$D$2:$D$3000="",1,0), 0)), "")</f>
        <v>Anatomi Anabilim Dalı</v>
      </c>
      <c r="R27" s="171">
        <f>IF(Q27="","",COUNTIFS(Başvuru!$D:$D,Q27,Başvuru!$A:$A,"&lt;&gt;"&amp;"",Başvuru!$F:$F,"&lt;&gt;"&amp;""))</f>
        <v>9</v>
      </c>
      <c r="S27" s="171">
        <f>IF(R27="","",RANK(R27,$R$6:$R$155,0)+COUNTIF($R$6:R27,R27)-1)</f>
        <v>20</v>
      </c>
    </row>
    <row r="28" spans="2:19" x14ac:dyDescent="0.25">
      <c r="B28" s="159">
        <v>23</v>
      </c>
      <c r="C28" s="160" t="str">
        <f>IFERROR(INDEX($Q$6:$Q$155,MATCH(23,$S$6:$S$155,0)),"")</f>
        <v>Sağlık Yönetimi Anabilim Dalı</v>
      </c>
      <c r="D28" s="161">
        <f>IF(C28="","",COUNTIFS(Başvuru!$D:$D,C28,Başvuru!$A:$A,"&lt;&gt;"&amp;"",Başvuru!$F:$F,"&lt;&gt;"&amp;""))</f>
        <v>7</v>
      </c>
      <c r="E28" s="159" t="str">
        <f>IF(C28="","-",IF(D28&gt;0,TEXT(D28/(COUNTIFS(Başvuru!$A:$A,"&lt;&gt;",Başvuru!$F:$F,"&lt;&gt;")-1)*100,"0.0")&amp;"%","-"))</f>
        <v>01%</v>
      </c>
      <c r="F28" s="162">
        <f>IF(C28="","",COUNTIFS(Başvuru!$D:$D,C28,Başvuru!$G:$G,"Bireysel Araştırma",Başvuru!$A:$A,"&lt;&gt;"&amp;"",Başvuru!$F:$F,"&lt;&gt;"&amp;""))</f>
        <v>1</v>
      </c>
      <c r="G28" s="162">
        <f>IF(C28="","",COUNTIFS(Başvuru!$D:$D,C28,Başvuru!$G:$G,"Uzmanlık Tezi",Başvuru!$A:$A,"&lt;&gt;"&amp;"",Başvuru!$F:$F,"&lt;&gt;"&amp;""))</f>
        <v>0</v>
      </c>
      <c r="H28" s="162">
        <f>IF(C28="","",COUNTIFS(Başvuru!$D:$D,C28,Başvuru!$G:$G,"Doktora Tezi",Başvuru!$A:$A,"&lt;&gt;"&amp;"",Başvuru!$F:$F,"&lt;&gt;"&amp;""))</f>
        <v>6</v>
      </c>
      <c r="I28" s="162">
        <f>IF(C28="","",COUNTIFS(Başvuru!$D:$D,C28,Başvuru!$G:$G,"Yüksek Lisans Tezi",Başvuru!$A:$A,"&lt;&gt;"&amp;"",Başvuru!$F:$F,"&lt;&gt;"&amp;""))</f>
        <v>0</v>
      </c>
      <c r="J28" s="163">
        <f>IF(C28="","",COUNTIFS(Başvuru!$D:$D,C28,Başvuru!$L:$L,"ONAY",Başvuru!$A:$A,"&lt;&gt;"&amp;"",Başvuru!$F:$F,"&lt;&gt;"&amp;""))</f>
        <v>2</v>
      </c>
      <c r="K28" s="164">
        <f>IF(C28="","",COUNTIFS(Başvuru!$D:$D,C28,Başvuru!$L:$L,"DÜZELTME",Başvuru!$A:$A,"&lt;&gt;"&amp;"",Başvuru!$F:$F,"&lt;&gt;"&amp;""))</f>
        <v>4</v>
      </c>
      <c r="L28" s="165">
        <f>IF(C28="","",COUNTIFS(Başvuru!$D:$D,C28,Başvuru!$L:$L,"KAEK",Başvuru!$A:$A,"&lt;&gt;"&amp;"",Başvuru!$F:$F,"&lt;&gt;"&amp;""))</f>
        <v>0</v>
      </c>
      <c r="M28" s="166">
        <f>IF(C28="","",COUNTIFS(Başvuru!$D:$D,C28,Başvuru!$L:$L,"GÖRÜŞ",Başvuru!$A:$A,"&lt;&gt;"&amp;"",Başvuru!$F:$F,"&lt;&gt;"&amp;""))</f>
        <v>1</v>
      </c>
      <c r="N28" s="167">
        <f>IF(C28="","",COUNTIFS(Başvuru!$D:$D,C28,Başvuru!$L:$L,"RET",Başvuru!$A:$A,"&lt;&gt;"&amp;"",Başvuru!$F:$F,"&lt;&gt;"&amp;""))</f>
        <v>0</v>
      </c>
      <c r="O28" s="168">
        <f>IF(C28="","",COUNTIFS(Başvuru!$D:$D,C28,Başvuru!$L:$L,"KAPSAM DIŞI",Başvuru!$A:$A,"&lt;&gt;"&amp;"",Başvuru!$F:$F,"&lt;&gt;"&amp;""))</f>
        <v>0</v>
      </c>
      <c r="P28" s="169">
        <f>IF(C28="","",COUNTIFS(Başvuru!$D:$D,C28,Başvuru!$L:$L,"GERİ ÇEKİLDİ",Başvuru!$A:$A,"&lt;&gt;"&amp;"",Başvuru!$F:$F,"&lt;&gt;"&amp;""))</f>
        <v>0</v>
      </c>
      <c r="Q28" s="170" t="str">
        <f t="array" ref="Q28">IFERROR(INDEX(Başvuru!$D$2:$D$3000, MATCH(0, COUNTIF($Q$5:Q27, Başvuru!$D$2:$D$3000) + IF(Başvuru!$D$2:$D$3000="",1,0), 0)), "")</f>
        <v>Nükleer Tıp Anabilim Dalı</v>
      </c>
      <c r="R28" s="171">
        <f>IF(Q28="","",COUNTIFS(Başvuru!$D:$D,Q28,Başvuru!$A:$A,"&lt;&gt;"&amp;"",Başvuru!$F:$F,"&lt;&gt;"&amp;""))</f>
        <v>6</v>
      </c>
      <c r="S28" s="171">
        <f>IF(R28="","",RANK(R28,$R$6:$R$155,0)+COUNTIF($R$6:R28,R28)-1)</f>
        <v>27</v>
      </c>
    </row>
    <row r="29" spans="2:19" x14ac:dyDescent="0.25">
      <c r="B29" s="159">
        <v>24</v>
      </c>
      <c r="C29" s="160" t="str">
        <f>IFERROR(INDEX($Q$6:$Q$155,MATCH(24,$S$6:$S$155,0)),"")</f>
        <v>Fiziksel Tıp ve Rehabilitasyon Anabilim Dalı</v>
      </c>
      <c r="D29" s="161">
        <f>IF(C29="","",COUNTIFS(Başvuru!$D:$D,C29,Başvuru!$A:$A,"&lt;&gt;"&amp;"",Başvuru!$F:$F,"&lt;&gt;"&amp;""))</f>
        <v>7</v>
      </c>
      <c r="E29" s="159" t="str">
        <f>IF(C29="","-",IF(D29&gt;0,TEXT(D29/(COUNTIFS(Başvuru!$A:$A,"&lt;&gt;",Başvuru!$F:$F,"&lt;&gt;")-1)*100,"0.0")&amp;"%","-"))</f>
        <v>01%</v>
      </c>
      <c r="F29" s="162">
        <f>IF(C29="","",COUNTIFS(Başvuru!$D:$D,C29,Başvuru!$G:$G,"Bireysel Araştırma",Başvuru!$A:$A,"&lt;&gt;"&amp;"",Başvuru!$F:$F,"&lt;&gt;"&amp;""))</f>
        <v>4</v>
      </c>
      <c r="G29" s="162">
        <f>IF(C29="","",COUNTIFS(Başvuru!$D:$D,C29,Başvuru!$G:$G,"Uzmanlık Tezi",Başvuru!$A:$A,"&lt;&gt;"&amp;"",Başvuru!$F:$F,"&lt;&gt;"&amp;""))</f>
        <v>3</v>
      </c>
      <c r="H29" s="162">
        <f>IF(C29="","",COUNTIFS(Başvuru!$D:$D,C29,Başvuru!$G:$G,"Doktora Tezi",Başvuru!$A:$A,"&lt;&gt;"&amp;"",Başvuru!$F:$F,"&lt;&gt;"&amp;""))</f>
        <v>0</v>
      </c>
      <c r="I29" s="162">
        <f>IF(C29="","",COUNTIFS(Başvuru!$D:$D,C29,Başvuru!$G:$G,"Yüksek Lisans Tezi",Başvuru!$A:$A,"&lt;&gt;"&amp;"",Başvuru!$F:$F,"&lt;&gt;"&amp;""))</f>
        <v>0</v>
      </c>
      <c r="J29" s="163">
        <f>IF(C29="","",COUNTIFS(Başvuru!$D:$D,C29,Başvuru!$L:$L,"ONAY",Başvuru!$A:$A,"&lt;&gt;"&amp;"",Başvuru!$F:$F,"&lt;&gt;"&amp;""))</f>
        <v>2</v>
      </c>
      <c r="K29" s="164">
        <f>IF(C29="","",COUNTIFS(Başvuru!$D:$D,C29,Başvuru!$L:$L,"DÜZELTME",Başvuru!$A:$A,"&lt;&gt;"&amp;"",Başvuru!$F:$F,"&lt;&gt;"&amp;""))</f>
        <v>2</v>
      </c>
      <c r="L29" s="165">
        <f>IF(C29="","",COUNTIFS(Başvuru!$D:$D,C29,Başvuru!$L:$L,"KAEK",Başvuru!$A:$A,"&lt;&gt;"&amp;"",Başvuru!$F:$F,"&lt;&gt;"&amp;""))</f>
        <v>0</v>
      </c>
      <c r="M29" s="166">
        <f>IF(C29="","",COUNTIFS(Başvuru!$D:$D,C29,Başvuru!$L:$L,"GÖRÜŞ",Başvuru!$A:$A,"&lt;&gt;"&amp;"",Başvuru!$F:$F,"&lt;&gt;"&amp;""))</f>
        <v>0</v>
      </c>
      <c r="N29" s="167">
        <f>IF(C29="","",COUNTIFS(Başvuru!$D:$D,C29,Başvuru!$L:$L,"RET",Başvuru!$A:$A,"&lt;&gt;"&amp;"",Başvuru!$F:$F,"&lt;&gt;"&amp;""))</f>
        <v>2</v>
      </c>
      <c r="O29" s="168">
        <f>IF(C29="","",COUNTIFS(Başvuru!$D:$D,C29,Başvuru!$L:$L,"KAPSAM DIŞI",Başvuru!$A:$A,"&lt;&gt;"&amp;"",Başvuru!$F:$F,"&lt;&gt;"&amp;""))</f>
        <v>0</v>
      </c>
      <c r="P29" s="169">
        <f>IF(C29="","",COUNTIFS(Başvuru!$D:$D,C29,Başvuru!$L:$L,"GERİ ÇEKİLDİ",Başvuru!$A:$A,"&lt;&gt;"&amp;"",Başvuru!$F:$F,"&lt;&gt;"&amp;""))</f>
        <v>0</v>
      </c>
      <c r="Q29" s="170" t="str">
        <f t="array" ref="Q29">IFERROR(INDEX(Başvuru!$D$2:$D$3000, MATCH(0, COUNTIF($Q$5:Q28, Başvuru!$D$2:$D$3000) + IF(Başvuru!$D$2:$D$3000="",1,0), 0)), "")</f>
        <v>Kulak Burun Boğaz Anabilim Dalı</v>
      </c>
      <c r="R29" s="171">
        <f>IF(Q29="","",COUNTIFS(Başvuru!$D:$D,Q29,Başvuru!$A:$A,"&lt;&gt;"&amp;"",Başvuru!$F:$F,"&lt;&gt;"&amp;""))</f>
        <v>15</v>
      </c>
      <c r="S29" s="171">
        <f>IF(R29="","",RANK(R29,$R$6:$R$155,0)+COUNTIF($R$6:R29,R29)-1)</f>
        <v>11</v>
      </c>
    </row>
    <row r="30" spans="2:19" x14ac:dyDescent="0.25">
      <c r="B30" s="159">
        <v>25</v>
      </c>
      <c r="C30" s="160" t="str">
        <f>IFERROR(INDEX($Q$6:$Q$155,MATCH(25,$S$6:$S$155,0)),"")</f>
        <v>Periodontoloji Anabilim Dalı</v>
      </c>
      <c r="D30" s="161">
        <f>IF(C30="","",COUNTIFS(Başvuru!$D:$D,C30,Başvuru!$A:$A,"&lt;&gt;"&amp;"",Başvuru!$F:$F,"&lt;&gt;"&amp;""))</f>
        <v>7</v>
      </c>
      <c r="E30" s="159" t="str">
        <f>IF(C30="","-",IF(D30&gt;0,TEXT(D30/(COUNTIFS(Başvuru!$A:$A,"&lt;&gt;",Başvuru!$F:$F,"&lt;&gt;")-1)*100,"0.0")&amp;"%","-"))</f>
        <v>01%</v>
      </c>
      <c r="F30" s="162">
        <f>IF(C30="","",COUNTIFS(Başvuru!$D:$D,C30,Başvuru!$G:$G,"Bireysel Araştırma",Başvuru!$A:$A,"&lt;&gt;"&amp;"",Başvuru!$F:$F,"&lt;&gt;"&amp;""))</f>
        <v>3</v>
      </c>
      <c r="G30" s="162">
        <f>IF(C30="","",COUNTIFS(Başvuru!$D:$D,C30,Başvuru!$G:$G,"Uzmanlık Tezi",Başvuru!$A:$A,"&lt;&gt;"&amp;"",Başvuru!$F:$F,"&lt;&gt;"&amp;""))</f>
        <v>4</v>
      </c>
      <c r="H30" s="162">
        <f>IF(C30="","",COUNTIFS(Başvuru!$D:$D,C30,Başvuru!$G:$G,"Doktora Tezi",Başvuru!$A:$A,"&lt;&gt;"&amp;"",Başvuru!$F:$F,"&lt;&gt;"&amp;""))</f>
        <v>0</v>
      </c>
      <c r="I30" s="162">
        <f>IF(C30="","",COUNTIFS(Başvuru!$D:$D,C30,Başvuru!$G:$G,"Yüksek Lisans Tezi",Başvuru!$A:$A,"&lt;&gt;"&amp;"",Başvuru!$F:$F,"&lt;&gt;"&amp;""))</f>
        <v>0</v>
      </c>
      <c r="J30" s="163">
        <f>IF(C30="","",COUNTIFS(Başvuru!$D:$D,C30,Başvuru!$L:$L,"ONAY",Başvuru!$A:$A,"&lt;&gt;"&amp;"",Başvuru!$F:$F,"&lt;&gt;"&amp;""))</f>
        <v>3</v>
      </c>
      <c r="K30" s="164">
        <f>IF(C30="","",COUNTIFS(Başvuru!$D:$D,C30,Başvuru!$L:$L,"DÜZELTME",Başvuru!$A:$A,"&lt;&gt;"&amp;"",Başvuru!$F:$F,"&lt;&gt;"&amp;""))</f>
        <v>4</v>
      </c>
      <c r="L30" s="165">
        <f>IF(C30="","",COUNTIFS(Başvuru!$D:$D,C30,Başvuru!$L:$L,"KAEK",Başvuru!$A:$A,"&lt;&gt;"&amp;"",Başvuru!$F:$F,"&lt;&gt;"&amp;""))</f>
        <v>0</v>
      </c>
      <c r="M30" s="166">
        <f>IF(C30="","",COUNTIFS(Başvuru!$D:$D,C30,Başvuru!$L:$L,"GÖRÜŞ",Başvuru!$A:$A,"&lt;&gt;"&amp;"",Başvuru!$F:$F,"&lt;&gt;"&amp;""))</f>
        <v>0</v>
      </c>
      <c r="N30" s="167">
        <f>IF(C30="","",COUNTIFS(Başvuru!$D:$D,C30,Başvuru!$L:$L,"RET",Başvuru!$A:$A,"&lt;&gt;"&amp;"",Başvuru!$F:$F,"&lt;&gt;"&amp;""))</f>
        <v>0</v>
      </c>
      <c r="O30" s="168">
        <f>IF(C30="","",COUNTIFS(Başvuru!$D:$D,C30,Başvuru!$L:$L,"KAPSAM DIŞI",Başvuru!$A:$A,"&lt;&gt;"&amp;"",Başvuru!$F:$F,"&lt;&gt;"&amp;""))</f>
        <v>0</v>
      </c>
      <c r="P30" s="169">
        <f>IF(C30="","",COUNTIFS(Başvuru!$D:$D,C30,Başvuru!$L:$L,"GERİ ÇEKİLDİ",Başvuru!$A:$A,"&lt;&gt;"&amp;"",Başvuru!$F:$F,"&lt;&gt;"&amp;""))</f>
        <v>0</v>
      </c>
      <c r="Q30" s="170" t="str">
        <f t="array" ref="Q30">IFERROR(INDEX(Başvuru!$D$2:$D$3000, MATCH(0, COUNTIF($Q$5:Q29, Başvuru!$D$2:$D$3000) + IF(Başvuru!$D$2:$D$3000="",1,0), 0)), "")</f>
        <v>Ortodonti Anabilim Dalı</v>
      </c>
      <c r="R30" s="171">
        <f>IF(Q30="","",COUNTIFS(Başvuru!$D:$D,Q30,Başvuru!$A:$A,"&lt;&gt;"&amp;"",Başvuru!$F:$F,"&lt;&gt;"&amp;""))</f>
        <v>10</v>
      </c>
      <c r="S30" s="171">
        <f>IF(R30="","",RANK(R30,$R$6:$R$155,0)+COUNTIF($R$6:R30,R30)-1)</f>
        <v>18</v>
      </c>
    </row>
    <row r="31" spans="2:19" x14ac:dyDescent="0.25">
      <c r="B31" s="159">
        <v>26</v>
      </c>
      <c r="C31" s="160" t="str">
        <f>IFERROR(INDEX($Q$6:$Q$155,MATCH(26,$S$6:$S$155,0)),"")</f>
        <v>Plastik, Rekonstrüktif ve Estetik Cerrahi Anabilim Dalı</v>
      </c>
      <c r="D31" s="161">
        <f>IF(C31="","",COUNTIFS(Başvuru!$D:$D,C31,Başvuru!$A:$A,"&lt;&gt;"&amp;"",Başvuru!$F:$F,"&lt;&gt;"&amp;""))</f>
        <v>7</v>
      </c>
      <c r="E31" s="159" t="str">
        <f>IF(C31="","-",IF(D31&gt;0,TEXT(D31/(COUNTIFS(Başvuru!$A:$A,"&lt;&gt;",Başvuru!$F:$F,"&lt;&gt;")-1)*100,"0.0")&amp;"%","-"))</f>
        <v>01%</v>
      </c>
      <c r="F31" s="162">
        <f>IF(C31="","",COUNTIFS(Başvuru!$D:$D,C31,Başvuru!$G:$G,"Bireysel Araştırma",Başvuru!$A:$A,"&lt;&gt;"&amp;"",Başvuru!$F:$F,"&lt;&gt;"&amp;""))</f>
        <v>4</v>
      </c>
      <c r="G31" s="162">
        <f>IF(C31="","",COUNTIFS(Başvuru!$D:$D,C31,Başvuru!$G:$G,"Uzmanlık Tezi",Başvuru!$A:$A,"&lt;&gt;"&amp;"",Başvuru!$F:$F,"&lt;&gt;"&amp;""))</f>
        <v>3</v>
      </c>
      <c r="H31" s="162">
        <f>IF(C31="","",COUNTIFS(Başvuru!$D:$D,C31,Başvuru!$G:$G,"Doktora Tezi",Başvuru!$A:$A,"&lt;&gt;"&amp;"",Başvuru!$F:$F,"&lt;&gt;"&amp;""))</f>
        <v>0</v>
      </c>
      <c r="I31" s="162">
        <f>IF(C31="","",COUNTIFS(Başvuru!$D:$D,C31,Başvuru!$G:$G,"Yüksek Lisans Tezi",Başvuru!$A:$A,"&lt;&gt;"&amp;"",Başvuru!$F:$F,"&lt;&gt;"&amp;""))</f>
        <v>0</v>
      </c>
      <c r="J31" s="163">
        <f>IF(C31="","",COUNTIFS(Başvuru!$D:$D,C31,Başvuru!$L:$L,"ONAY",Başvuru!$A:$A,"&lt;&gt;"&amp;"",Başvuru!$F:$F,"&lt;&gt;"&amp;""))</f>
        <v>5</v>
      </c>
      <c r="K31" s="164">
        <f>IF(C31="","",COUNTIFS(Başvuru!$D:$D,C31,Başvuru!$L:$L,"DÜZELTME",Başvuru!$A:$A,"&lt;&gt;"&amp;"",Başvuru!$F:$F,"&lt;&gt;"&amp;""))</f>
        <v>1</v>
      </c>
      <c r="L31" s="165">
        <f>IF(C31="","",COUNTIFS(Başvuru!$D:$D,C31,Başvuru!$L:$L,"KAEK",Başvuru!$A:$A,"&lt;&gt;"&amp;"",Başvuru!$F:$F,"&lt;&gt;"&amp;""))</f>
        <v>1</v>
      </c>
      <c r="M31" s="166">
        <f>IF(C31="","",COUNTIFS(Başvuru!$D:$D,C31,Başvuru!$L:$L,"GÖRÜŞ",Başvuru!$A:$A,"&lt;&gt;"&amp;"",Başvuru!$F:$F,"&lt;&gt;"&amp;""))</f>
        <v>0</v>
      </c>
      <c r="N31" s="167">
        <f>IF(C31="","",COUNTIFS(Başvuru!$D:$D,C31,Başvuru!$L:$L,"RET",Başvuru!$A:$A,"&lt;&gt;"&amp;"",Başvuru!$F:$F,"&lt;&gt;"&amp;""))</f>
        <v>0</v>
      </c>
      <c r="O31" s="168">
        <f>IF(C31="","",COUNTIFS(Başvuru!$D:$D,C31,Başvuru!$L:$L,"KAPSAM DIŞI",Başvuru!$A:$A,"&lt;&gt;"&amp;"",Başvuru!$F:$F,"&lt;&gt;"&amp;""))</f>
        <v>0</v>
      </c>
      <c r="P31" s="169">
        <f>IF(C31="","",COUNTIFS(Başvuru!$D:$D,C31,Başvuru!$L:$L,"GERİ ÇEKİLDİ",Başvuru!$A:$A,"&lt;&gt;"&amp;"",Başvuru!$F:$F,"&lt;&gt;"&amp;""))</f>
        <v>0</v>
      </c>
      <c r="Q31" s="170" t="str">
        <f t="array" ref="Q31">IFERROR(INDEX(Başvuru!$D$2:$D$3000, MATCH(0, COUNTIF($Q$5:Q30, Başvuru!$D$2:$D$3000) + IF(Başvuru!$D$2:$D$3000="",1,0), 0)), "")</f>
        <v>Halk Sağlığı Anabilim Dalı</v>
      </c>
      <c r="R31" s="171">
        <f>IF(Q31="","",COUNTIFS(Başvuru!$D:$D,Q31,Başvuru!$A:$A,"&lt;&gt;"&amp;"",Başvuru!$F:$F,"&lt;&gt;"&amp;""))</f>
        <v>5</v>
      </c>
      <c r="S31" s="171">
        <f>IF(R31="","",RANK(R31,$R$6:$R$155,0)+COUNTIF($R$6:R31,R31)-1)</f>
        <v>35</v>
      </c>
    </row>
    <row r="32" spans="2:19" x14ac:dyDescent="0.25">
      <c r="B32" s="159">
        <v>27</v>
      </c>
      <c r="C32" s="160" t="str">
        <f>IFERROR(INDEX($Q$6:$Q$155,MATCH(27,$S$6:$S$155,0)),"")</f>
        <v>Nükleer Tıp Anabilim Dalı</v>
      </c>
      <c r="D32" s="161">
        <f>IF(C32="","",COUNTIFS(Başvuru!$D:$D,C32,Başvuru!$A:$A,"&lt;&gt;"&amp;"",Başvuru!$F:$F,"&lt;&gt;"&amp;""))</f>
        <v>6</v>
      </c>
      <c r="E32" s="159" t="str">
        <f>IF(C32="","-",IF(D32&gt;0,TEXT(D32/(COUNTIFS(Başvuru!$A:$A,"&lt;&gt;",Başvuru!$F:$F,"&lt;&gt;")-1)*100,"0.0")&amp;"%","-"))</f>
        <v>01%</v>
      </c>
      <c r="F32" s="162">
        <f>IF(C32="","",COUNTIFS(Başvuru!$D:$D,C32,Başvuru!$G:$G,"Bireysel Araştırma",Başvuru!$A:$A,"&lt;&gt;"&amp;"",Başvuru!$F:$F,"&lt;&gt;"&amp;""))</f>
        <v>4</v>
      </c>
      <c r="G32" s="162">
        <f>IF(C32="","",COUNTIFS(Başvuru!$D:$D,C32,Başvuru!$G:$G,"Uzmanlık Tezi",Başvuru!$A:$A,"&lt;&gt;"&amp;"",Başvuru!$F:$F,"&lt;&gt;"&amp;""))</f>
        <v>2</v>
      </c>
      <c r="H32" s="162">
        <f>IF(C32="","",COUNTIFS(Başvuru!$D:$D,C32,Başvuru!$G:$G,"Doktora Tezi",Başvuru!$A:$A,"&lt;&gt;"&amp;"",Başvuru!$F:$F,"&lt;&gt;"&amp;""))</f>
        <v>0</v>
      </c>
      <c r="I32" s="162">
        <f>IF(C32="","",COUNTIFS(Başvuru!$D:$D,C32,Başvuru!$G:$G,"Yüksek Lisans Tezi",Başvuru!$A:$A,"&lt;&gt;"&amp;"",Başvuru!$F:$F,"&lt;&gt;"&amp;""))</f>
        <v>0</v>
      </c>
      <c r="J32" s="163">
        <f>IF(C32="","",COUNTIFS(Başvuru!$D:$D,C32,Başvuru!$L:$L,"ONAY",Başvuru!$A:$A,"&lt;&gt;"&amp;"",Başvuru!$F:$F,"&lt;&gt;"&amp;""))</f>
        <v>5</v>
      </c>
      <c r="K32" s="164">
        <f>IF(C32="","",COUNTIFS(Başvuru!$D:$D,C32,Başvuru!$L:$L,"DÜZELTME",Başvuru!$A:$A,"&lt;&gt;"&amp;"",Başvuru!$F:$F,"&lt;&gt;"&amp;""))</f>
        <v>0</v>
      </c>
      <c r="L32" s="165">
        <f>IF(C32="","",COUNTIFS(Başvuru!$D:$D,C32,Başvuru!$L:$L,"KAEK",Başvuru!$A:$A,"&lt;&gt;"&amp;"",Başvuru!$F:$F,"&lt;&gt;"&amp;""))</f>
        <v>0</v>
      </c>
      <c r="M32" s="166">
        <f>IF(C32="","",COUNTIFS(Başvuru!$D:$D,C32,Başvuru!$L:$L,"GÖRÜŞ",Başvuru!$A:$A,"&lt;&gt;"&amp;"",Başvuru!$F:$F,"&lt;&gt;"&amp;""))</f>
        <v>0</v>
      </c>
      <c r="N32" s="167">
        <f>IF(C32="","",COUNTIFS(Başvuru!$D:$D,C32,Başvuru!$L:$L,"RET",Başvuru!$A:$A,"&lt;&gt;"&amp;"",Başvuru!$F:$F,"&lt;&gt;"&amp;""))</f>
        <v>1</v>
      </c>
      <c r="O32" s="168">
        <f>IF(C32="","",COUNTIFS(Başvuru!$D:$D,C32,Başvuru!$L:$L,"KAPSAM DIŞI",Başvuru!$A:$A,"&lt;&gt;"&amp;"",Başvuru!$F:$F,"&lt;&gt;"&amp;""))</f>
        <v>0</v>
      </c>
      <c r="P32" s="169">
        <f>IF(C32="","",COUNTIFS(Başvuru!$D:$D,C32,Başvuru!$L:$L,"GERİ ÇEKİLDİ",Başvuru!$A:$A,"&lt;&gt;"&amp;"",Başvuru!$F:$F,"&lt;&gt;"&amp;""))</f>
        <v>0</v>
      </c>
      <c r="Q32" s="170" t="str">
        <f t="array" ref="Q32">IFERROR(INDEX(Başvuru!$D$2:$D$3000, MATCH(0, COUNTIF($Q$5:Q31, Başvuru!$D$2:$D$3000) + IF(Başvuru!$D$2:$D$3000="",1,0), 0)), "")</f>
        <v>Deri ve Zührevi Hastalıklar Anabilim Dalı</v>
      </c>
      <c r="R32" s="171">
        <f>IF(Q32="","",COUNTIFS(Başvuru!$D:$D,Q32,Başvuru!$A:$A,"&lt;&gt;"&amp;"",Başvuru!$F:$F,"&lt;&gt;"&amp;""))</f>
        <v>11</v>
      </c>
      <c r="S32" s="171">
        <f>IF(R32="","",RANK(R32,$R$6:$R$155,0)+COUNTIF($R$6:R32,R32)-1)</f>
        <v>14</v>
      </c>
    </row>
    <row r="33" spans="2:19" x14ac:dyDescent="0.25">
      <c r="B33" s="159">
        <v>28</v>
      </c>
      <c r="C33" s="160" t="str">
        <f>IFERROR(INDEX($Q$6:$Q$155,MATCH(28,$S$6:$S$155,0)),"")</f>
        <v>Protetik Diş Tedavisi Anabilim Dalı</v>
      </c>
      <c r="D33" s="161">
        <f>IF(C33="","",COUNTIFS(Başvuru!$D:$D,C33,Başvuru!$A:$A,"&lt;&gt;"&amp;"",Başvuru!$F:$F,"&lt;&gt;"&amp;""))</f>
        <v>6</v>
      </c>
      <c r="E33" s="159" t="str">
        <f>IF(C33="","-",IF(D33&gt;0,TEXT(D33/(COUNTIFS(Başvuru!$A:$A,"&lt;&gt;",Başvuru!$F:$F,"&lt;&gt;")-1)*100,"0.0")&amp;"%","-"))</f>
        <v>01%</v>
      </c>
      <c r="F33" s="162">
        <f>IF(C33="","",COUNTIFS(Başvuru!$D:$D,C33,Başvuru!$G:$G,"Bireysel Araştırma",Başvuru!$A:$A,"&lt;&gt;"&amp;"",Başvuru!$F:$F,"&lt;&gt;"&amp;""))</f>
        <v>3</v>
      </c>
      <c r="G33" s="162">
        <f>IF(C33="","",COUNTIFS(Başvuru!$D:$D,C33,Başvuru!$G:$G,"Uzmanlık Tezi",Başvuru!$A:$A,"&lt;&gt;"&amp;"",Başvuru!$F:$F,"&lt;&gt;"&amp;""))</f>
        <v>3</v>
      </c>
      <c r="H33" s="162">
        <f>IF(C33="","",COUNTIFS(Başvuru!$D:$D,C33,Başvuru!$G:$G,"Doktora Tezi",Başvuru!$A:$A,"&lt;&gt;"&amp;"",Başvuru!$F:$F,"&lt;&gt;"&amp;""))</f>
        <v>0</v>
      </c>
      <c r="I33" s="162">
        <f>IF(C33="","",COUNTIFS(Başvuru!$D:$D,C33,Başvuru!$G:$G,"Yüksek Lisans Tezi",Başvuru!$A:$A,"&lt;&gt;"&amp;"",Başvuru!$F:$F,"&lt;&gt;"&amp;""))</f>
        <v>0</v>
      </c>
      <c r="J33" s="163">
        <f>IF(C33="","",COUNTIFS(Başvuru!$D:$D,C33,Başvuru!$L:$L,"ONAY",Başvuru!$A:$A,"&lt;&gt;"&amp;"",Başvuru!$F:$F,"&lt;&gt;"&amp;""))</f>
        <v>4</v>
      </c>
      <c r="K33" s="164">
        <f>IF(C33="","",COUNTIFS(Başvuru!$D:$D,C33,Başvuru!$L:$L,"DÜZELTME",Başvuru!$A:$A,"&lt;&gt;"&amp;"",Başvuru!$F:$F,"&lt;&gt;"&amp;""))</f>
        <v>0</v>
      </c>
      <c r="L33" s="165">
        <f>IF(C33="","",COUNTIFS(Başvuru!$D:$D,C33,Başvuru!$L:$L,"KAEK",Başvuru!$A:$A,"&lt;&gt;"&amp;"",Başvuru!$F:$F,"&lt;&gt;"&amp;""))</f>
        <v>0</v>
      </c>
      <c r="M33" s="166">
        <f>IF(C33="","",COUNTIFS(Başvuru!$D:$D,C33,Başvuru!$L:$L,"GÖRÜŞ",Başvuru!$A:$A,"&lt;&gt;"&amp;"",Başvuru!$F:$F,"&lt;&gt;"&amp;""))</f>
        <v>2</v>
      </c>
      <c r="N33" s="167">
        <f>IF(C33="","",COUNTIFS(Başvuru!$D:$D,C33,Başvuru!$L:$L,"RET",Başvuru!$A:$A,"&lt;&gt;"&amp;"",Başvuru!$F:$F,"&lt;&gt;"&amp;""))</f>
        <v>0</v>
      </c>
      <c r="O33" s="168">
        <f>IF(C33="","",COUNTIFS(Başvuru!$D:$D,C33,Başvuru!$L:$L,"KAPSAM DIŞI",Başvuru!$A:$A,"&lt;&gt;"&amp;"",Başvuru!$F:$F,"&lt;&gt;"&amp;""))</f>
        <v>0</v>
      </c>
      <c r="P33" s="169">
        <f>IF(C33="","",COUNTIFS(Başvuru!$D:$D,C33,Başvuru!$L:$L,"GERİ ÇEKİLDİ",Başvuru!$A:$A,"&lt;&gt;"&amp;"",Başvuru!$F:$F,"&lt;&gt;"&amp;""))</f>
        <v>0</v>
      </c>
      <c r="Q33" s="170" t="str">
        <f t="array" ref="Q33">IFERROR(INDEX(Başvuru!$D$2:$D$3000, MATCH(0, COUNTIF($Q$5:Q32, Başvuru!$D$2:$D$3000) + IF(Başvuru!$D$2:$D$3000="",1,0), 0)), "")</f>
        <v>Fiziksel Tıp ve Rehabilitasyon Anabilim Dalı</v>
      </c>
      <c r="R33" s="171">
        <f>IF(Q33="","",COUNTIFS(Başvuru!$D:$D,Q33,Başvuru!$A:$A,"&lt;&gt;"&amp;"",Başvuru!$F:$F,"&lt;&gt;"&amp;""))</f>
        <v>7</v>
      </c>
      <c r="S33" s="171">
        <f>IF(R33="","",RANK(R33,$R$6:$R$155,0)+COUNTIF($R$6:R33,R33)-1)</f>
        <v>24</v>
      </c>
    </row>
    <row r="34" spans="2:19" x14ac:dyDescent="0.25">
      <c r="B34" s="159">
        <v>29</v>
      </c>
      <c r="C34" s="160" t="str">
        <f>IFERROR(INDEX($Q$6:$Q$155,MATCH(29,$S$6:$S$155,0)),"")</f>
        <v>Ruh Sağlığı ve Hastalıkları Anabilim Dalı</v>
      </c>
      <c r="D34" s="161">
        <f>IF(C34="","",COUNTIFS(Başvuru!$D:$D,C34,Başvuru!$A:$A,"&lt;&gt;"&amp;"",Başvuru!$F:$F,"&lt;&gt;"&amp;""))</f>
        <v>6</v>
      </c>
      <c r="E34" s="159" t="str">
        <f>IF(C34="","-",IF(D34&gt;0,TEXT(D34/(COUNTIFS(Başvuru!$A:$A,"&lt;&gt;",Başvuru!$F:$F,"&lt;&gt;")-1)*100,"0.0")&amp;"%","-"))</f>
        <v>01%</v>
      </c>
      <c r="F34" s="162">
        <f>IF(C34="","",COUNTIFS(Başvuru!$D:$D,C34,Başvuru!$G:$G,"Bireysel Araştırma",Başvuru!$A:$A,"&lt;&gt;"&amp;"",Başvuru!$F:$F,"&lt;&gt;"&amp;""))</f>
        <v>4</v>
      </c>
      <c r="G34" s="162">
        <f>IF(C34="","",COUNTIFS(Başvuru!$D:$D,C34,Başvuru!$G:$G,"Uzmanlık Tezi",Başvuru!$A:$A,"&lt;&gt;"&amp;"",Başvuru!$F:$F,"&lt;&gt;"&amp;""))</f>
        <v>2</v>
      </c>
      <c r="H34" s="162">
        <f>IF(C34="","",COUNTIFS(Başvuru!$D:$D,C34,Başvuru!$G:$G,"Doktora Tezi",Başvuru!$A:$A,"&lt;&gt;"&amp;"",Başvuru!$F:$F,"&lt;&gt;"&amp;""))</f>
        <v>0</v>
      </c>
      <c r="I34" s="162">
        <f>IF(C34="","",COUNTIFS(Başvuru!$D:$D,C34,Başvuru!$G:$G,"Yüksek Lisans Tezi",Başvuru!$A:$A,"&lt;&gt;"&amp;"",Başvuru!$F:$F,"&lt;&gt;"&amp;""))</f>
        <v>0</v>
      </c>
      <c r="J34" s="163">
        <f>IF(C34="","",COUNTIFS(Başvuru!$D:$D,C34,Başvuru!$L:$L,"ONAY",Başvuru!$A:$A,"&lt;&gt;"&amp;"",Başvuru!$F:$F,"&lt;&gt;"&amp;""))</f>
        <v>1</v>
      </c>
      <c r="K34" s="164">
        <f>IF(C34="","",COUNTIFS(Başvuru!$D:$D,C34,Başvuru!$L:$L,"DÜZELTME",Başvuru!$A:$A,"&lt;&gt;"&amp;"",Başvuru!$F:$F,"&lt;&gt;"&amp;""))</f>
        <v>5</v>
      </c>
      <c r="L34" s="165">
        <f>IF(C34="","",COUNTIFS(Başvuru!$D:$D,C34,Başvuru!$L:$L,"KAEK",Başvuru!$A:$A,"&lt;&gt;"&amp;"",Başvuru!$F:$F,"&lt;&gt;"&amp;""))</f>
        <v>0</v>
      </c>
      <c r="M34" s="166">
        <f>IF(C34="","",COUNTIFS(Başvuru!$D:$D,C34,Başvuru!$L:$L,"GÖRÜŞ",Başvuru!$A:$A,"&lt;&gt;"&amp;"",Başvuru!$F:$F,"&lt;&gt;"&amp;""))</f>
        <v>0</v>
      </c>
      <c r="N34" s="167">
        <f>IF(C34="","",COUNTIFS(Başvuru!$D:$D,C34,Başvuru!$L:$L,"RET",Başvuru!$A:$A,"&lt;&gt;"&amp;"",Başvuru!$F:$F,"&lt;&gt;"&amp;""))</f>
        <v>0</v>
      </c>
      <c r="O34" s="168">
        <f>IF(C34="","",COUNTIFS(Başvuru!$D:$D,C34,Başvuru!$L:$L,"KAPSAM DIŞI",Başvuru!$A:$A,"&lt;&gt;"&amp;"",Başvuru!$F:$F,"&lt;&gt;"&amp;""))</f>
        <v>0</v>
      </c>
      <c r="P34" s="169">
        <f>IF(C34="","",COUNTIFS(Başvuru!$D:$D,C34,Başvuru!$L:$L,"GERİ ÇEKİLDİ",Başvuru!$A:$A,"&lt;&gt;"&amp;"",Başvuru!$F:$F,"&lt;&gt;"&amp;""))</f>
        <v>0</v>
      </c>
      <c r="Q34" s="170" t="str">
        <f t="array" ref="Q34">IFERROR(INDEX(Başvuru!$D$2:$D$3000, MATCH(0, COUNTIF($Q$5:Q33, Başvuru!$D$2:$D$3000) + IF(Başvuru!$D$2:$D$3000="",1,0), 0)), "")</f>
        <v>Sağlık Araştırmaları Anabilim Dalı</v>
      </c>
      <c r="R34" s="171">
        <f>IF(Q34="","",COUNTIFS(Başvuru!$D:$D,Q34,Başvuru!$A:$A,"&lt;&gt;"&amp;"",Başvuru!$F:$F,"&lt;&gt;"&amp;""))</f>
        <v>1</v>
      </c>
      <c r="S34" s="171">
        <f>IF(R34="","",RANK(R34,$R$6:$R$155,0)+COUNTIF($R$6:R34,R34)-1)</f>
        <v>60</v>
      </c>
    </row>
    <row r="35" spans="2:19" x14ac:dyDescent="0.25">
      <c r="B35" s="159">
        <v>30</v>
      </c>
      <c r="C35" s="160" t="str">
        <f>IFERROR(INDEX($Q$6:$Q$155,MATCH(30,$S$6:$S$155,0)),"")</f>
        <v>Sosyal Hizmet Anabilim Dalı</v>
      </c>
      <c r="D35" s="161">
        <f>IF(C35="","",COUNTIFS(Başvuru!$D:$D,C35,Başvuru!$A:$A,"&lt;&gt;"&amp;"",Başvuru!$F:$F,"&lt;&gt;"&amp;""))</f>
        <v>6</v>
      </c>
      <c r="E35" s="159" t="str">
        <f>IF(C35="","-",IF(D35&gt;0,TEXT(D35/(COUNTIFS(Başvuru!$A:$A,"&lt;&gt;",Başvuru!$F:$F,"&lt;&gt;")-1)*100,"0.0")&amp;"%","-"))</f>
        <v>01%</v>
      </c>
      <c r="F35" s="162">
        <f>IF(C35="","",COUNTIFS(Başvuru!$D:$D,C35,Başvuru!$G:$G,"Bireysel Araştırma",Başvuru!$A:$A,"&lt;&gt;"&amp;"",Başvuru!$F:$F,"&lt;&gt;"&amp;""))</f>
        <v>1</v>
      </c>
      <c r="G35" s="162">
        <f>IF(C35="","",COUNTIFS(Başvuru!$D:$D,C35,Başvuru!$G:$G,"Uzmanlık Tezi",Başvuru!$A:$A,"&lt;&gt;"&amp;"",Başvuru!$F:$F,"&lt;&gt;"&amp;""))</f>
        <v>0</v>
      </c>
      <c r="H35" s="162">
        <f>IF(C35="","",COUNTIFS(Başvuru!$D:$D,C35,Başvuru!$G:$G,"Doktora Tezi",Başvuru!$A:$A,"&lt;&gt;"&amp;"",Başvuru!$F:$F,"&lt;&gt;"&amp;""))</f>
        <v>5</v>
      </c>
      <c r="I35" s="162">
        <f>IF(C35="","",COUNTIFS(Başvuru!$D:$D,C35,Başvuru!$G:$G,"Yüksek Lisans Tezi",Başvuru!$A:$A,"&lt;&gt;"&amp;"",Başvuru!$F:$F,"&lt;&gt;"&amp;""))</f>
        <v>0</v>
      </c>
      <c r="J35" s="163">
        <f>IF(C35="","",COUNTIFS(Başvuru!$D:$D,C35,Başvuru!$L:$L,"ONAY",Başvuru!$A:$A,"&lt;&gt;"&amp;"",Başvuru!$F:$F,"&lt;&gt;"&amp;""))</f>
        <v>4</v>
      </c>
      <c r="K35" s="164">
        <f>IF(C35="","",COUNTIFS(Başvuru!$D:$D,C35,Başvuru!$L:$L,"DÜZELTME",Başvuru!$A:$A,"&lt;&gt;"&amp;"",Başvuru!$F:$F,"&lt;&gt;"&amp;""))</f>
        <v>2</v>
      </c>
      <c r="L35" s="165">
        <f>IF(C35="","",COUNTIFS(Başvuru!$D:$D,C35,Başvuru!$L:$L,"KAEK",Başvuru!$A:$A,"&lt;&gt;"&amp;"",Başvuru!$F:$F,"&lt;&gt;"&amp;""))</f>
        <v>0</v>
      </c>
      <c r="M35" s="166">
        <f>IF(C35="","",COUNTIFS(Başvuru!$D:$D,C35,Başvuru!$L:$L,"GÖRÜŞ",Başvuru!$A:$A,"&lt;&gt;"&amp;"",Başvuru!$F:$F,"&lt;&gt;"&amp;""))</f>
        <v>0</v>
      </c>
      <c r="N35" s="167">
        <f>IF(C35="","",COUNTIFS(Başvuru!$D:$D,C35,Başvuru!$L:$L,"RET",Başvuru!$A:$A,"&lt;&gt;"&amp;"",Başvuru!$F:$F,"&lt;&gt;"&amp;""))</f>
        <v>0</v>
      </c>
      <c r="O35" s="168">
        <f>IF(C35="","",COUNTIFS(Başvuru!$D:$D,C35,Başvuru!$L:$L,"KAPSAM DIŞI",Başvuru!$A:$A,"&lt;&gt;"&amp;"",Başvuru!$F:$F,"&lt;&gt;"&amp;""))</f>
        <v>0</v>
      </c>
      <c r="P35" s="169">
        <f>IF(C35="","",COUNTIFS(Başvuru!$D:$D,C35,Başvuru!$L:$L,"GERİ ÇEKİLDİ",Başvuru!$A:$A,"&lt;&gt;"&amp;"",Başvuru!$F:$F,"&lt;&gt;"&amp;""))</f>
        <v>0</v>
      </c>
      <c r="Q35" s="170" t="str">
        <f t="array" ref="Q35">IFERROR(INDEX(Başvuru!$D$2:$D$3000, MATCH(0, COUNTIF($Q$5:Q34, Başvuru!$D$2:$D$3000) + IF(Başvuru!$D$2:$D$3000="",1,0), 0)), "")</f>
        <v>Nöroloji Anabilim Dalı</v>
      </c>
      <c r="R35" s="171">
        <f>IF(Q35="","",COUNTIFS(Başvuru!$D:$D,Q35,Başvuru!$A:$A,"&lt;&gt;"&amp;"",Başvuru!$F:$F,"&lt;&gt;"&amp;""))</f>
        <v>21</v>
      </c>
      <c r="S35" s="171">
        <f>IF(R35="","",RANK(R35,$R$6:$R$155,0)+COUNTIF($R$6:R35,R35)-1)</f>
        <v>5</v>
      </c>
    </row>
    <row r="36" spans="2:19" x14ac:dyDescent="0.25">
      <c r="B36" s="159">
        <v>31</v>
      </c>
      <c r="C36" s="160" t="str">
        <f>IFERROR(INDEX($Q$6:$Q$155,MATCH(31,$S$6:$S$155,0)),"")</f>
        <v>Hareket ve Antrenman Bilimleri Anabilim Dalı</v>
      </c>
      <c r="D36" s="161">
        <f>IF(C36="","",COUNTIFS(Başvuru!$D:$D,C36,Başvuru!$A:$A,"&lt;&gt;"&amp;"",Başvuru!$F:$F,"&lt;&gt;"&amp;""))</f>
        <v>6</v>
      </c>
      <c r="E36" s="159" t="str">
        <f>IF(C36="","-",IF(D36&gt;0,TEXT(D36/(COUNTIFS(Başvuru!$A:$A,"&lt;&gt;",Başvuru!$F:$F,"&lt;&gt;")-1)*100,"0.0")&amp;"%","-"))</f>
        <v>01%</v>
      </c>
      <c r="F36" s="162">
        <f>IF(C36="","",COUNTIFS(Başvuru!$D:$D,C36,Başvuru!$G:$G,"Bireysel Araştırma",Başvuru!$A:$A,"&lt;&gt;"&amp;"",Başvuru!$F:$F,"&lt;&gt;"&amp;""))</f>
        <v>2</v>
      </c>
      <c r="G36" s="162">
        <f>IF(C36="","",COUNTIFS(Başvuru!$D:$D,C36,Başvuru!$G:$G,"Uzmanlık Tezi",Başvuru!$A:$A,"&lt;&gt;"&amp;"",Başvuru!$F:$F,"&lt;&gt;"&amp;""))</f>
        <v>0</v>
      </c>
      <c r="H36" s="162">
        <f>IF(C36="","",COUNTIFS(Başvuru!$D:$D,C36,Başvuru!$G:$G,"Doktora Tezi",Başvuru!$A:$A,"&lt;&gt;"&amp;"",Başvuru!$F:$F,"&lt;&gt;"&amp;""))</f>
        <v>1</v>
      </c>
      <c r="I36" s="162">
        <f>IF(C36="","",COUNTIFS(Başvuru!$D:$D,C36,Başvuru!$G:$G,"Yüksek Lisans Tezi",Başvuru!$A:$A,"&lt;&gt;"&amp;"",Başvuru!$F:$F,"&lt;&gt;"&amp;""))</f>
        <v>3</v>
      </c>
      <c r="J36" s="163">
        <f>IF(C36="","",COUNTIFS(Başvuru!$D:$D,C36,Başvuru!$L:$L,"ONAY",Başvuru!$A:$A,"&lt;&gt;"&amp;"",Başvuru!$F:$F,"&lt;&gt;"&amp;""))</f>
        <v>4</v>
      </c>
      <c r="K36" s="164">
        <f>IF(C36="","",COUNTIFS(Başvuru!$D:$D,C36,Başvuru!$L:$L,"DÜZELTME",Başvuru!$A:$A,"&lt;&gt;"&amp;"",Başvuru!$F:$F,"&lt;&gt;"&amp;""))</f>
        <v>2</v>
      </c>
      <c r="L36" s="165">
        <f>IF(C36="","",COUNTIFS(Başvuru!$D:$D,C36,Başvuru!$L:$L,"KAEK",Başvuru!$A:$A,"&lt;&gt;"&amp;"",Başvuru!$F:$F,"&lt;&gt;"&amp;""))</f>
        <v>0</v>
      </c>
      <c r="M36" s="166">
        <f>IF(C36="","",COUNTIFS(Başvuru!$D:$D,C36,Başvuru!$L:$L,"GÖRÜŞ",Başvuru!$A:$A,"&lt;&gt;"&amp;"",Başvuru!$F:$F,"&lt;&gt;"&amp;""))</f>
        <v>0</v>
      </c>
      <c r="N36" s="167">
        <f>IF(C36="","",COUNTIFS(Başvuru!$D:$D,C36,Başvuru!$L:$L,"RET",Başvuru!$A:$A,"&lt;&gt;"&amp;"",Başvuru!$F:$F,"&lt;&gt;"&amp;""))</f>
        <v>0</v>
      </c>
      <c r="O36" s="168">
        <f>IF(C36="","",COUNTIFS(Başvuru!$D:$D,C36,Başvuru!$L:$L,"KAPSAM DIŞI",Başvuru!$A:$A,"&lt;&gt;"&amp;"",Başvuru!$F:$F,"&lt;&gt;"&amp;""))</f>
        <v>0</v>
      </c>
      <c r="P36" s="169">
        <f>IF(C36="","",COUNTIFS(Başvuru!$D:$D,C36,Başvuru!$L:$L,"GERİ ÇEKİLDİ",Başvuru!$A:$A,"&lt;&gt;"&amp;"",Başvuru!$F:$F,"&lt;&gt;"&amp;""))</f>
        <v>0</v>
      </c>
      <c r="Q36" s="170" t="str">
        <f t="array" ref="Q36">IFERROR(INDEX(Başvuru!$D$2:$D$3000, MATCH(0, COUNTIF($Q$5:Q35, Başvuru!$D$2:$D$3000) + IF(Başvuru!$D$2:$D$3000="",1,0), 0)), "")</f>
        <v>Çocuk Cerrahisi Anabilim Dalı</v>
      </c>
      <c r="R36" s="171">
        <f>IF(Q36="","",COUNTIFS(Başvuru!$D:$D,Q36,Başvuru!$A:$A,"&lt;&gt;"&amp;"",Başvuru!$F:$F,"&lt;&gt;"&amp;""))</f>
        <v>13</v>
      </c>
      <c r="S36" s="171">
        <f>IF(R36="","",RANK(R36,$R$6:$R$155,0)+COUNTIF($R$6:R36,R36)-1)</f>
        <v>13</v>
      </c>
    </row>
    <row r="37" spans="2:19" x14ac:dyDescent="0.25">
      <c r="B37" s="159">
        <v>32</v>
      </c>
      <c r="C37" s="160" t="str">
        <f>IFERROR(INDEX($Q$6:$Q$155,MATCH(32,$S$6:$S$155,0)),"")</f>
        <v>Tıbbi Patoloji Anabilim Dalı</v>
      </c>
      <c r="D37" s="161">
        <f>IF(C37="","",COUNTIFS(Başvuru!$D:$D,C37,Başvuru!$A:$A,"&lt;&gt;"&amp;"",Başvuru!$F:$F,"&lt;&gt;"&amp;""))</f>
        <v>6</v>
      </c>
      <c r="E37" s="159" t="str">
        <f>IF(C37="","-",IF(D37&gt;0,TEXT(D37/(COUNTIFS(Başvuru!$A:$A,"&lt;&gt;",Başvuru!$F:$F,"&lt;&gt;")-1)*100,"0.0")&amp;"%","-"))</f>
        <v>01%</v>
      </c>
      <c r="F37" s="162">
        <f>IF(C37="","",COUNTIFS(Başvuru!$D:$D,C37,Başvuru!$G:$G,"Bireysel Araştırma",Başvuru!$A:$A,"&lt;&gt;"&amp;"",Başvuru!$F:$F,"&lt;&gt;"&amp;""))</f>
        <v>5</v>
      </c>
      <c r="G37" s="162">
        <f>IF(C37="","",COUNTIFS(Başvuru!$D:$D,C37,Başvuru!$G:$G,"Uzmanlık Tezi",Başvuru!$A:$A,"&lt;&gt;"&amp;"",Başvuru!$F:$F,"&lt;&gt;"&amp;""))</f>
        <v>1</v>
      </c>
      <c r="H37" s="162">
        <f>IF(C37="","",COUNTIFS(Başvuru!$D:$D,C37,Başvuru!$G:$G,"Doktora Tezi",Başvuru!$A:$A,"&lt;&gt;"&amp;"",Başvuru!$F:$F,"&lt;&gt;"&amp;""))</f>
        <v>0</v>
      </c>
      <c r="I37" s="162">
        <f>IF(C37="","",COUNTIFS(Başvuru!$D:$D,C37,Başvuru!$G:$G,"Yüksek Lisans Tezi",Başvuru!$A:$A,"&lt;&gt;"&amp;"",Başvuru!$F:$F,"&lt;&gt;"&amp;""))</f>
        <v>0</v>
      </c>
      <c r="J37" s="163">
        <f>IF(C37="","",COUNTIFS(Başvuru!$D:$D,C37,Başvuru!$L:$L,"ONAY",Başvuru!$A:$A,"&lt;&gt;"&amp;"",Başvuru!$F:$F,"&lt;&gt;"&amp;""))</f>
        <v>4</v>
      </c>
      <c r="K37" s="164">
        <f>IF(C37="","",COUNTIFS(Başvuru!$D:$D,C37,Başvuru!$L:$L,"DÜZELTME",Başvuru!$A:$A,"&lt;&gt;"&amp;"",Başvuru!$F:$F,"&lt;&gt;"&amp;""))</f>
        <v>2</v>
      </c>
      <c r="L37" s="165">
        <f>IF(C37="","",COUNTIFS(Başvuru!$D:$D,C37,Başvuru!$L:$L,"KAEK",Başvuru!$A:$A,"&lt;&gt;"&amp;"",Başvuru!$F:$F,"&lt;&gt;"&amp;""))</f>
        <v>0</v>
      </c>
      <c r="M37" s="166">
        <f>IF(C37="","",COUNTIFS(Başvuru!$D:$D,C37,Başvuru!$L:$L,"GÖRÜŞ",Başvuru!$A:$A,"&lt;&gt;"&amp;"",Başvuru!$F:$F,"&lt;&gt;"&amp;""))</f>
        <v>0</v>
      </c>
      <c r="N37" s="167">
        <f>IF(C37="","",COUNTIFS(Başvuru!$D:$D,C37,Başvuru!$L:$L,"RET",Başvuru!$A:$A,"&lt;&gt;"&amp;"",Başvuru!$F:$F,"&lt;&gt;"&amp;""))</f>
        <v>0</v>
      </c>
      <c r="O37" s="168">
        <f>IF(C37="","",COUNTIFS(Başvuru!$D:$D,C37,Başvuru!$L:$L,"KAPSAM DIŞI",Başvuru!$A:$A,"&lt;&gt;"&amp;"",Başvuru!$F:$F,"&lt;&gt;"&amp;""))</f>
        <v>0</v>
      </c>
      <c r="P37" s="169">
        <f>IF(C37="","",COUNTIFS(Başvuru!$D:$D,C37,Başvuru!$L:$L,"GERİ ÇEKİLDİ",Başvuru!$A:$A,"&lt;&gt;"&amp;"",Başvuru!$F:$F,"&lt;&gt;"&amp;""))</f>
        <v>0</v>
      </c>
      <c r="Q37" s="170" t="str">
        <f t="array" ref="Q37">IFERROR(INDEX(Başvuru!$D$2:$D$3000, MATCH(0, COUNTIF($Q$5:Q36, Başvuru!$D$2:$D$3000) + IF(Başvuru!$D$2:$D$3000="",1,0), 0)), "")</f>
        <v>Ortopedi ve Travmatoloji Anabilim Dalı</v>
      </c>
      <c r="R37" s="171">
        <f>IF(Q37="","",COUNTIFS(Başvuru!$D:$D,Q37,Başvuru!$A:$A,"&lt;&gt;"&amp;"",Başvuru!$F:$F,"&lt;&gt;"&amp;""))</f>
        <v>16</v>
      </c>
      <c r="S37" s="171">
        <f>IF(R37="","",RANK(R37,$R$6:$R$155,0)+COUNTIF($R$6:R37,R37)-1)</f>
        <v>10</v>
      </c>
    </row>
    <row r="38" spans="2:19" x14ac:dyDescent="0.25">
      <c r="B38" s="159">
        <v>33</v>
      </c>
      <c r="C38" s="160" t="str">
        <f>IFERROR(INDEX($Q$6:$Q$155,MATCH(33,$S$6:$S$155,0)),"")</f>
        <v>Histoloji ve Embriyoloji Anabilim Dalı</v>
      </c>
      <c r="D38" s="161">
        <f>IF(C38="","",COUNTIFS(Başvuru!$D:$D,C38,Başvuru!$A:$A,"&lt;&gt;"&amp;"",Başvuru!$F:$F,"&lt;&gt;"&amp;""))</f>
        <v>5</v>
      </c>
      <c r="E38" s="159" t="str">
        <f>IF(C38="","-",IF(D38&gt;0,TEXT(D38/(COUNTIFS(Başvuru!$A:$A,"&lt;&gt;",Başvuru!$F:$F,"&lt;&gt;")-1)*100,"0.0")&amp;"%","-"))</f>
        <v>01%</v>
      </c>
      <c r="F38" s="162">
        <f>IF(C38="","",COUNTIFS(Başvuru!$D:$D,C38,Başvuru!$G:$G,"Bireysel Araştırma",Başvuru!$A:$A,"&lt;&gt;"&amp;"",Başvuru!$F:$F,"&lt;&gt;"&amp;""))</f>
        <v>1</v>
      </c>
      <c r="G38" s="162">
        <f>IF(C38="","",COUNTIFS(Başvuru!$D:$D,C38,Başvuru!$G:$G,"Uzmanlık Tezi",Başvuru!$A:$A,"&lt;&gt;"&amp;"",Başvuru!$F:$F,"&lt;&gt;"&amp;""))</f>
        <v>4</v>
      </c>
      <c r="H38" s="162">
        <f>IF(C38="","",COUNTIFS(Başvuru!$D:$D,C38,Başvuru!$G:$G,"Doktora Tezi",Başvuru!$A:$A,"&lt;&gt;"&amp;"",Başvuru!$F:$F,"&lt;&gt;"&amp;""))</f>
        <v>0</v>
      </c>
      <c r="I38" s="162">
        <f>IF(C38="","",COUNTIFS(Başvuru!$D:$D,C38,Başvuru!$G:$G,"Yüksek Lisans Tezi",Başvuru!$A:$A,"&lt;&gt;"&amp;"",Başvuru!$F:$F,"&lt;&gt;"&amp;""))</f>
        <v>0</v>
      </c>
      <c r="J38" s="163">
        <f>IF(C38="","",COUNTIFS(Başvuru!$D:$D,C38,Başvuru!$L:$L,"ONAY",Başvuru!$A:$A,"&lt;&gt;"&amp;"",Başvuru!$F:$F,"&lt;&gt;"&amp;""))</f>
        <v>0</v>
      </c>
      <c r="K38" s="164">
        <f>IF(C38="","",COUNTIFS(Başvuru!$D:$D,C38,Başvuru!$L:$L,"DÜZELTME",Başvuru!$A:$A,"&lt;&gt;"&amp;"",Başvuru!$F:$F,"&lt;&gt;"&amp;""))</f>
        <v>3</v>
      </c>
      <c r="L38" s="165">
        <f>IF(C38="","",COUNTIFS(Başvuru!$D:$D,C38,Başvuru!$L:$L,"KAEK",Başvuru!$A:$A,"&lt;&gt;"&amp;"",Başvuru!$F:$F,"&lt;&gt;"&amp;""))</f>
        <v>0</v>
      </c>
      <c r="M38" s="166">
        <f>IF(C38="","",COUNTIFS(Başvuru!$D:$D,C38,Başvuru!$L:$L,"GÖRÜŞ",Başvuru!$A:$A,"&lt;&gt;"&amp;"",Başvuru!$F:$F,"&lt;&gt;"&amp;""))</f>
        <v>0</v>
      </c>
      <c r="N38" s="167">
        <f>IF(C38="","",COUNTIFS(Başvuru!$D:$D,C38,Başvuru!$L:$L,"RET",Başvuru!$A:$A,"&lt;&gt;"&amp;"",Başvuru!$F:$F,"&lt;&gt;"&amp;""))</f>
        <v>0</v>
      </c>
      <c r="O38" s="168">
        <f>IF(C38="","",COUNTIFS(Başvuru!$D:$D,C38,Başvuru!$L:$L,"KAPSAM DIŞI",Başvuru!$A:$A,"&lt;&gt;"&amp;"",Başvuru!$F:$F,"&lt;&gt;"&amp;""))</f>
        <v>2</v>
      </c>
      <c r="P38" s="169">
        <f>IF(C38="","",COUNTIFS(Başvuru!$D:$D,C38,Başvuru!$L:$L,"GERİ ÇEKİLDİ",Başvuru!$A:$A,"&lt;&gt;"&amp;"",Başvuru!$F:$F,"&lt;&gt;"&amp;""))</f>
        <v>0</v>
      </c>
      <c r="Q38" s="170" t="str">
        <f t="array" ref="Q38">IFERROR(INDEX(Başvuru!$D$2:$D$3000, MATCH(0, COUNTIF($Q$5:Q37, Başvuru!$D$2:$D$3000) + IF(Başvuru!$D$2:$D$3000="",1,0), 0)), "")</f>
        <v>Klinik Eczacılık Anabilim Dalı</v>
      </c>
      <c r="R38" s="171">
        <f>IF(Q38="","",COUNTIFS(Başvuru!$D:$D,Q38,Başvuru!$A:$A,"&lt;&gt;"&amp;"",Başvuru!$F:$F,"&lt;&gt;"&amp;""))</f>
        <v>20</v>
      </c>
      <c r="S38" s="171">
        <f>IF(R38="","",RANK(R38,$R$6:$R$155,0)+COUNTIF($R$6:R38,R38)-1)</f>
        <v>6</v>
      </c>
    </row>
    <row r="39" spans="2:19" x14ac:dyDescent="0.25">
      <c r="B39" s="159">
        <v>34</v>
      </c>
      <c r="C39" s="160" t="str">
        <f>IFERROR(INDEX($Q$6:$Q$155,MATCH(34,$S$6:$S$155,0)),"")</f>
        <v>Göğüs Cerrahisi Anabilim Dalı</v>
      </c>
      <c r="D39" s="161">
        <f>IF(C39="","",COUNTIFS(Başvuru!$D:$D,C39,Başvuru!$A:$A,"&lt;&gt;"&amp;"",Başvuru!$F:$F,"&lt;&gt;"&amp;""))</f>
        <v>5</v>
      </c>
      <c r="E39" s="159" t="str">
        <f>IF(C39="","-",IF(D39&gt;0,TEXT(D39/(COUNTIFS(Başvuru!$A:$A,"&lt;&gt;",Başvuru!$F:$F,"&lt;&gt;")-1)*100,"0.0")&amp;"%","-"))</f>
        <v>01%</v>
      </c>
      <c r="F39" s="162">
        <f>IF(C39="","",COUNTIFS(Başvuru!$D:$D,C39,Başvuru!$G:$G,"Bireysel Araştırma",Başvuru!$A:$A,"&lt;&gt;"&amp;"",Başvuru!$F:$F,"&lt;&gt;"&amp;""))</f>
        <v>5</v>
      </c>
      <c r="G39" s="162">
        <f>IF(C39="","",COUNTIFS(Başvuru!$D:$D,C39,Başvuru!$G:$G,"Uzmanlık Tezi",Başvuru!$A:$A,"&lt;&gt;"&amp;"",Başvuru!$F:$F,"&lt;&gt;"&amp;""))</f>
        <v>0</v>
      </c>
      <c r="H39" s="162">
        <f>IF(C39="","",COUNTIFS(Başvuru!$D:$D,C39,Başvuru!$G:$G,"Doktora Tezi",Başvuru!$A:$A,"&lt;&gt;"&amp;"",Başvuru!$F:$F,"&lt;&gt;"&amp;""))</f>
        <v>0</v>
      </c>
      <c r="I39" s="162">
        <f>IF(C39="","",COUNTIFS(Başvuru!$D:$D,C39,Başvuru!$G:$G,"Yüksek Lisans Tezi",Başvuru!$A:$A,"&lt;&gt;"&amp;"",Başvuru!$F:$F,"&lt;&gt;"&amp;""))</f>
        <v>0</v>
      </c>
      <c r="J39" s="163">
        <f>IF(C39="","",COUNTIFS(Başvuru!$D:$D,C39,Başvuru!$L:$L,"ONAY",Başvuru!$A:$A,"&lt;&gt;"&amp;"",Başvuru!$F:$F,"&lt;&gt;"&amp;""))</f>
        <v>4</v>
      </c>
      <c r="K39" s="164">
        <f>IF(C39="","",COUNTIFS(Başvuru!$D:$D,C39,Başvuru!$L:$L,"DÜZELTME",Başvuru!$A:$A,"&lt;&gt;"&amp;"",Başvuru!$F:$F,"&lt;&gt;"&amp;""))</f>
        <v>1</v>
      </c>
      <c r="L39" s="165">
        <f>IF(C39="","",COUNTIFS(Başvuru!$D:$D,C39,Başvuru!$L:$L,"KAEK",Başvuru!$A:$A,"&lt;&gt;"&amp;"",Başvuru!$F:$F,"&lt;&gt;"&amp;""))</f>
        <v>0</v>
      </c>
      <c r="M39" s="166">
        <f>IF(C39="","",COUNTIFS(Başvuru!$D:$D,C39,Başvuru!$L:$L,"GÖRÜŞ",Başvuru!$A:$A,"&lt;&gt;"&amp;"",Başvuru!$F:$F,"&lt;&gt;"&amp;""))</f>
        <v>0</v>
      </c>
      <c r="N39" s="167">
        <f>IF(C39="","",COUNTIFS(Başvuru!$D:$D,C39,Başvuru!$L:$L,"RET",Başvuru!$A:$A,"&lt;&gt;"&amp;"",Başvuru!$F:$F,"&lt;&gt;"&amp;""))</f>
        <v>0</v>
      </c>
      <c r="O39" s="168">
        <f>IF(C39="","",COUNTIFS(Başvuru!$D:$D,C39,Başvuru!$L:$L,"KAPSAM DIŞI",Başvuru!$A:$A,"&lt;&gt;"&amp;"",Başvuru!$F:$F,"&lt;&gt;"&amp;""))</f>
        <v>0</v>
      </c>
      <c r="P39" s="169">
        <f>IF(C39="","",COUNTIFS(Başvuru!$D:$D,C39,Başvuru!$L:$L,"GERİ ÇEKİLDİ",Başvuru!$A:$A,"&lt;&gt;"&amp;"",Başvuru!$F:$F,"&lt;&gt;"&amp;""))</f>
        <v>0</v>
      </c>
      <c r="Q39" s="170" t="str">
        <f t="array" ref="Q39">IFERROR(INDEX(Başvuru!$D$2:$D$3000, MATCH(0, COUNTIF($Q$5:Q38, Başvuru!$D$2:$D$3000) + IF(Başvuru!$D$2:$D$3000="",1,0), 0)), "")</f>
        <v>Üroloji Anabilim Dalı</v>
      </c>
      <c r="R39" s="171">
        <f>IF(Q39="","",COUNTIFS(Başvuru!$D:$D,Q39,Başvuru!$A:$A,"&lt;&gt;"&amp;"",Başvuru!$F:$F,"&lt;&gt;"&amp;""))</f>
        <v>9</v>
      </c>
      <c r="S39" s="171">
        <f>IF(R39="","",RANK(R39,$R$6:$R$155,0)+COUNTIF($R$6:R39,R39)-1)</f>
        <v>21</v>
      </c>
    </row>
    <row r="40" spans="2:19" x14ac:dyDescent="0.25">
      <c r="B40" s="159">
        <v>35</v>
      </c>
      <c r="C40" s="160" t="str">
        <f>IFERROR(INDEX($Q$6:$Q$155,MATCH(35,$S$6:$S$155,0)),"")</f>
        <v>Halk Sağlığı Anabilim Dalı</v>
      </c>
      <c r="D40" s="161">
        <f>IF(C40="","",COUNTIFS(Başvuru!$D:$D,C40,Başvuru!$A:$A,"&lt;&gt;"&amp;"",Başvuru!$F:$F,"&lt;&gt;"&amp;""))</f>
        <v>5</v>
      </c>
      <c r="E40" s="159" t="str">
        <f>IF(C40="","-",IF(D40&gt;0,TEXT(D40/(COUNTIFS(Başvuru!$A:$A,"&lt;&gt;",Başvuru!$F:$F,"&lt;&gt;")-1)*100,"0.0")&amp;"%","-"))</f>
        <v>01%</v>
      </c>
      <c r="F40" s="162">
        <f>IF(C40="","",COUNTIFS(Başvuru!$D:$D,C40,Başvuru!$G:$G,"Bireysel Araştırma",Başvuru!$A:$A,"&lt;&gt;"&amp;"",Başvuru!$F:$F,"&lt;&gt;"&amp;""))</f>
        <v>2</v>
      </c>
      <c r="G40" s="162">
        <f>IF(C40="","",COUNTIFS(Başvuru!$D:$D,C40,Başvuru!$G:$G,"Uzmanlık Tezi",Başvuru!$A:$A,"&lt;&gt;"&amp;"",Başvuru!$F:$F,"&lt;&gt;"&amp;""))</f>
        <v>2</v>
      </c>
      <c r="H40" s="162">
        <f>IF(C40="","",COUNTIFS(Başvuru!$D:$D,C40,Başvuru!$G:$G,"Doktora Tezi",Başvuru!$A:$A,"&lt;&gt;"&amp;"",Başvuru!$F:$F,"&lt;&gt;"&amp;""))</f>
        <v>1</v>
      </c>
      <c r="I40" s="162">
        <f>IF(C40="","",COUNTIFS(Başvuru!$D:$D,C40,Başvuru!$G:$G,"Yüksek Lisans Tezi",Başvuru!$A:$A,"&lt;&gt;"&amp;"",Başvuru!$F:$F,"&lt;&gt;"&amp;""))</f>
        <v>0</v>
      </c>
      <c r="J40" s="163">
        <f>IF(C40="","",COUNTIFS(Başvuru!$D:$D,C40,Başvuru!$L:$L,"ONAY",Başvuru!$A:$A,"&lt;&gt;"&amp;"",Başvuru!$F:$F,"&lt;&gt;"&amp;""))</f>
        <v>5</v>
      </c>
      <c r="K40" s="164">
        <f>IF(C40="","",COUNTIFS(Başvuru!$D:$D,C40,Başvuru!$L:$L,"DÜZELTME",Başvuru!$A:$A,"&lt;&gt;"&amp;"",Başvuru!$F:$F,"&lt;&gt;"&amp;""))</f>
        <v>0</v>
      </c>
      <c r="L40" s="165">
        <f>IF(C40="","",COUNTIFS(Başvuru!$D:$D,C40,Başvuru!$L:$L,"KAEK",Başvuru!$A:$A,"&lt;&gt;"&amp;"",Başvuru!$F:$F,"&lt;&gt;"&amp;""))</f>
        <v>0</v>
      </c>
      <c r="M40" s="166">
        <f>IF(C40="","",COUNTIFS(Başvuru!$D:$D,C40,Başvuru!$L:$L,"GÖRÜŞ",Başvuru!$A:$A,"&lt;&gt;"&amp;"",Başvuru!$F:$F,"&lt;&gt;"&amp;""))</f>
        <v>0</v>
      </c>
      <c r="N40" s="167">
        <f>IF(C40="","",COUNTIFS(Başvuru!$D:$D,C40,Başvuru!$L:$L,"RET",Başvuru!$A:$A,"&lt;&gt;"&amp;"",Başvuru!$F:$F,"&lt;&gt;"&amp;""))</f>
        <v>0</v>
      </c>
      <c r="O40" s="168">
        <f>IF(C40="","",COUNTIFS(Başvuru!$D:$D,C40,Başvuru!$L:$L,"KAPSAM DIŞI",Başvuru!$A:$A,"&lt;&gt;"&amp;"",Başvuru!$F:$F,"&lt;&gt;"&amp;""))</f>
        <v>0</v>
      </c>
      <c r="P40" s="169">
        <f>IF(C40="","",COUNTIFS(Başvuru!$D:$D,C40,Başvuru!$L:$L,"GERİ ÇEKİLDİ",Başvuru!$A:$A,"&lt;&gt;"&amp;"",Başvuru!$F:$F,"&lt;&gt;"&amp;""))</f>
        <v>0</v>
      </c>
      <c r="Q40" s="170" t="str">
        <f t="array" ref="Q40">IFERROR(INDEX(Başvuru!$D$2:$D$3000, MATCH(0, COUNTIF($Q$5:Q39, Başvuru!$D$2:$D$3000) + IF(Başvuru!$D$2:$D$3000="",1,0), 0)), "")</f>
        <v>Protetik Diş Tedavisi Anabilim Dalı</v>
      </c>
      <c r="R40" s="171">
        <f>IF(Q40="","",COUNTIFS(Başvuru!$D:$D,Q40,Başvuru!$A:$A,"&lt;&gt;"&amp;"",Başvuru!$F:$F,"&lt;&gt;"&amp;""))</f>
        <v>6</v>
      </c>
      <c r="S40" s="171">
        <f>IF(R40="","",RANK(R40,$R$6:$R$155,0)+COUNTIF($R$6:R40,R40)-1)</f>
        <v>28</v>
      </c>
    </row>
    <row r="41" spans="2:19" x14ac:dyDescent="0.25">
      <c r="B41" s="159">
        <v>36</v>
      </c>
      <c r="C41" s="160" t="str">
        <f>IFERROR(INDEX($Q$6:$Q$155,MATCH(36,$S$6:$S$155,0)),"")</f>
        <v>Spor Hekimliği Anabilim Dalı</v>
      </c>
      <c r="D41" s="161">
        <f>IF(C41="","",COUNTIFS(Başvuru!$D:$D,C41,Başvuru!$A:$A,"&lt;&gt;"&amp;"",Başvuru!$F:$F,"&lt;&gt;"&amp;""))</f>
        <v>4</v>
      </c>
      <c r="E41" s="159" t="str">
        <f>IF(C41="","-",IF(D41&gt;0,TEXT(D41/(COUNTIFS(Başvuru!$A:$A,"&lt;&gt;",Başvuru!$F:$F,"&lt;&gt;")-1)*100,"0.0")&amp;"%","-"))</f>
        <v>01%</v>
      </c>
      <c r="F41" s="162">
        <f>IF(C41="","",COUNTIFS(Başvuru!$D:$D,C41,Başvuru!$G:$G,"Bireysel Araştırma",Başvuru!$A:$A,"&lt;&gt;"&amp;"",Başvuru!$F:$F,"&lt;&gt;"&amp;""))</f>
        <v>4</v>
      </c>
      <c r="G41" s="162">
        <f>IF(C41="","",COUNTIFS(Başvuru!$D:$D,C41,Başvuru!$G:$G,"Uzmanlık Tezi",Başvuru!$A:$A,"&lt;&gt;"&amp;"",Başvuru!$F:$F,"&lt;&gt;"&amp;""))</f>
        <v>0</v>
      </c>
      <c r="H41" s="162">
        <f>IF(C41="","",COUNTIFS(Başvuru!$D:$D,C41,Başvuru!$G:$G,"Doktora Tezi",Başvuru!$A:$A,"&lt;&gt;"&amp;"",Başvuru!$F:$F,"&lt;&gt;"&amp;""))</f>
        <v>0</v>
      </c>
      <c r="I41" s="162">
        <f>IF(C41="","",COUNTIFS(Başvuru!$D:$D,C41,Başvuru!$G:$G,"Yüksek Lisans Tezi",Başvuru!$A:$A,"&lt;&gt;"&amp;"",Başvuru!$F:$F,"&lt;&gt;"&amp;""))</f>
        <v>0</v>
      </c>
      <c r="J41" s="163">
        <f>IF(C41="","",COUNTIFS(Başvuru!$D:$D,C41,Başvuru!$L:$L,"ONAY",Başvuru!$A:$A,"&lt;&gt;"&amp;"",Başvuru!$F:$F,"&lt;&gt;"&amp;""))</f>
        <v>3</v>
      </c>
      <c r="K41" s="164">
        <f>IF(C41="","",COUNTIFS(Başvuru!$D:$D,C41,Başvuru!$L:$L,"DÜZELTME",Başvuru!$A:$A,"&lt;&gt;"&amp;"",Başvuru!$F:$F,"&lt;&gt;"&amp;""))</f>
        <v>1</v>
      </c>
      <c r="L41" s="165">
        <f>IF(C41="","",COUNTIFS(Başvuru!$D:$D,C41,Başvuru!$L:$L,"KAEK",Başvuru!$A:$A,"&lt;&gt;"&amp;"",Başvuru!$F:$F,"&lt;&gt;"&amp;""))</f>
        <v>0</v>
      </c>
      <c r="M41" s="166">
        <f>IF(C41="","",COUNTIFS(Başvuru!$D:$D,C41,Başvuru!$L:$L,"GÖRÜŞ",Başvuru!$A:$A,"&lt;&gt;"&amp;"",Başvuru!$F:$F,"&lt;&gt;"&amp;""))</f>
        <v>0</v>
      </c>
      <c r="N41" s="167">
        <f>IF(C41="","",COUNTIFS(Başvuru!$D:$D,C41,Başvuru!$L:$L,"RET",Başvuru!$A:$A,"&lt;&gt;"&amp;"",Başvuru!$F:$F,"&lt;&gt;"&amp;""))</f>
        <v>0</v>
      </c>
      <c r="O41" s="168">
        <f>IF(C41="","",COUNTIFS(Başvuru!$D:$D,C41,Başvuru!$L:$L,"KAPSAM DIŞI",Başvuru!$A:$A,"&lt;&gt;"&amp;"",Başvuru!$F:$F,"&lt;&gt;"&amp;""))</f>
        <v>0</v>
      </c>
      <c r="P41" s="169">
        <f>IF(C41="","",COUNTIFS(Başvuru!$D:$D,C41,Başvuru!$L:$L,"GERİ ÇEKİLDİ",Başvuru!$A:$A,"&lt;&gt;"&amp;"",Başvuru!$F:$F,"&lt;&gt;"&amp;""))</f>
        <v>0</v>
      </c>
      <c r="Q41" s="170" t="str">
        <f t="array" ref="Q41">IFERROR(INDEX(Başvuru!$D$2:$D$3000, MATCH(0, COUNTIF($Q$5:Q40, Başvuru!$D$2:$D$3000) + IF(Başvuru!$D$2:$D$3000="",1,0), 0)), "")</f>
        <v>Ruh Sağlığı ve Hastalıkları Anabilim Dalı</v>
      </c>
      <c r="R41" s="171">
        <f>IF(Q41="","",COUNTIFS(Başvuru!$D:$D,Q41,Başvuru!$A:$A,"&lt;&gt;"&amp;"",Başvuru!$F:$F,"&lt;&gt;"&amp;""))</f>
        <v>6</v>
      </c>
      <c r="S41" s="171">
        <f>IF(R41="","",RANK(R41,$R$6:$R$155,0)+COUNTIF($R$6:R41,R41)-1)</f>
        <v>29</v>
      </c>
    </row>
    <row r="42" spans="2:19" x14ac:dyDescent="0.25">
      <c r="B42" s="159">
        <v>37</v>
      </c>
      <c r="C42" s="160" t="str">
        <f>IFERROR(INDEX($Q$6:$Q$155,MATCH(37,$S$6:$S$155,0)),"")</f>
        <v>Restoratif Diş Tedavisi Anabilim Dalı</v>
      </c>
      <c r="D42" s="161">
        <f>IF(C42="","",COUNTIFS(Başvuru!$D:$D,C42,Başvuru!$A:$A,"&lt;&gt;"&amp;"",Başvuru!$F:$F,"&lt;&gt;"&amp;""))</f>
        <v>4</v>
      </c>
      <c r="E42" s="159" t="str">
        <f>IF(C42="","-",IF(D42&gt;0,TEXT(D42/(COUNTIFS(Başvuru!$A:$A,"&lt;&gt;",Başvuru!$F:$F,"&lt;&gt;")-1)*100,"0.0")&amp;"%","-"))</f>
        <v>01%</v>
      </c>
      <c r="F42" s="162">
        <f>IF(C42="","",COUNTIFS(Başvuru!$D:$D,C42,Başvuru!$G:$G,"Bireysel Araştırma",Başvuru!$A:$A,"&lt;&gt;"&amp;"",Başvuru!$F:$F,"&lt;&gt;"&amp;""))</f>
        <v>4</v>
      </c>
      <c r="G42" s="162">
        <f>IF(C42="","",COUNTIFS(Başvuru!$D:$D,C42,Başvuru!$G:$G,"Uzmanlık Tezi",Başvuru!$A:$A,"&lt;&gt;"&amp;"",Başvuru!$F:$F,"&lt;&gt;"&amp;""))</f>
        <v>0</v>
      </c>
      <c r="H42" s="162">
        <f>IF(C42="","",COUNTIFS(Başvuru!$D:$D,C42,Başvuru!$G:$G,"Doktora Tezi",Başvuru!$A:$A,"&lt;&gt;"&amp;"",Başvuru!$F:$F,"&lt;&gt;"&amp;""))</f>
        <v>0</v>
      </c>
      <c r="I42" s="162">
        <f>IF(C42="","",COUNTIFS(Başvuru!$D:$D,C42,Başvuru!$G:$G,"Yüksek Lisans Tezi",Başvuru!$A:$A,"&lt;&gt;"&amp;"",Başvuru!$F:$F,"&lt;&gt;"&amp;""))</f>
        <v>0</v>
      </c>
      <c r="J42" s="163">
        <f>IF(C42="","",COUNTIFS(Başvuru!$D:$D,C42,Başvuru!$L:$L,"ONAY",Başvuru!$A:$A,"&lt;&gt;"&amp;"",Başvuru!$F:$F,"&lt;&gt;"&amp;""))</f>
        <v>2</v>
      </c>
      <c r="K42" s="164">
        <f>IF(C42="","",COUNTIFS(Başvuru!$D:$D,C42,Başvuru!$L:$L,"DÜZELTME",Başvuru!$A:$A,"&lt;&gt;"&amp;"",Başvuru!$F:$F,"&lt;&gt;"&amp;""))</f>
        <v>1</v>
      </c>
      <c r="L42" s="165">
        <f>IF(C42="","",COUNTIFS(Başvuru!$D:$D,C42,Başvuru!$L:$L,"KAEK",Başvuru!$A:$A,"&lt;&gt;"&amp;"",Başvuru!$F:$F,"&lt;&gt;"&amp;""))</f>
        <v>0</v>
      </c>
      <c r="M42" s="166">
        <f>IF(C42="","",COUNTIFS(Başvuru!$D:$D,C42,Başvuru!$L:$L,"GÖRÜŞ",Başvuru!$A:$A,"&lt;&gt;"&amp;"",Başvuru!$F:$F,"&lt;&gt;"&amp;""))</f>
        <v>0</v>
      </c>
      <c r="N42" s="167">
        <f>IF(C42="","",COUNTIFS(Başvuru!$D:$D,C42,Başvuru!$L:$L,"RET",Başvuru!$A:$A,"&lt;&gt;"&amp;"",Başvuru!$F:$F,"&lt;&gt;"&amp;""))</f>
        <v>0</v>
      </c>
      <c r="O42" s="168">
        <f>IF(C42="","",COUNTIFS(Başvuru!$D:$D,C42,Başvuru!$L:$L,"KAPSAM DIŞI",Başvuru!$A:$A,"&lt;&gt;"&amp;"",Başvuru!$F:$F,"&lt;&gt;"&amp;""))</f>
        <v>0</v>
      </c>
      <c r="P42" s="169">
        <f>IF(C42="","",COUNTIFS(Başvuru!$D:$D,C42,Başvuru!$L:$L,"GERİ ÇEKİLDİ",Başvuru!$A:$A,"&lt;&gt;"&amp;"",Başvuru!$F:$F,"&lt;&gt;"&amp;""))</f>
        <v>0</v>
      </c>
      <c r="Q42" s="170" t="str">
        <f t="array" ref="Q42">IFERROR(INDEX(Başvuru!$D$2:$D$3000, MATCH(0, COUNTIF($Q$5:Q41, Başvuru!$D$2:$D$3000) + IF(Başvuru!$D$2:$D$3000="",1,0), 0)), "")</f>
        <v>Barcelona Institute for Global Health</v>
      </c>
      <c r="R42" s="171">
        <f>IF(Q42="","",COUNTIFS(Başvuru!$D:$D,Q42,Başvuru!$A:$A,"&lt;&gt;"&amp;"",Başvuru!$F:$F,"&lt;&gt;"&amp;""))</f>
        <v>1</v>
      </c>
      <c r="S42" s="171">
        <f>IF(R42="","",RANK(R42,$R$6:$R$155,0)+COUNTIF($R$6:R42,R42)-1)</f>
        <v>61</v>
      </c>
    </row>
    <row r="43" spans="2:19" x14ac:dyDescent="0.25">
      <c r="B43" s="159">
        <v>38</v>
      </c>
      <c r="C43" s="160" t="str">
        <f>IFERROR(INDEX($Q$6:$Q$155,MATCH(38,$S$6:$S$155,0)),"")</f>
        <v>Kök Hücre Bilimleri Anabilim Dalı</v>
      </c>
      <c r="D43" s="161">
        <f>IF(C43="","",COUNTIFS(Başvuru!$D:$D,C43,Başvuru!$A:$A,"&lt;&gt;"&amp;"",Başvuru!$F:$F,"&lt;&gt;"&amp;""))</f>
        <v>4</v>
      </c>
      <c r="E43" s="159" t="str">
        <f>IF(C43="","-",IF(D43&gt;0,TEXT(D43/(COUNTIFS(Başvuru!$A:$A,"&lt;&gt;",Başvuru!$F:$F,"&lt;&gt;")-1)*100,"0.0")&amp;"%","-"))</f>
        <v>01%</v>
      </c>
      <c r="F43" s="162">
        <f>IF(C43="","",COUNTIFS(Başvuru!$D:$D,C43,Başvuru!$G:$G,"Bireysel Araştırma",Başvuru!$A:$A,"&lt;&gt;"&amp;"",Başvuru!$F:$F,"&lt;&gt;"&amp;""))</f>
        <v>2</v>
      </c>
      <c r="G43" s="162">
        <f>IF(C43="","",COUNTIFS(Başvuru!$D:$D,C43,Başvuru!$G:$G,"Uzmanlık Tezi",Başvuru!$A:$A,"&lt;&gt;"&amp;"",Başvuru!$F:$F,"&lt;&gt;"&amp;""))</f>
        <v>0</v>
      </c>
      <c r="H43" s="162">
        <f>IF(C43="","",COUNTIFS(Başvuru!$D:$D,C43,Başvuru!$G:$G,"Doktora Tezi",Başvuru!$A:$A,"&lt;&gt;"&amp;"",Başvuru!$F:$F,"&lt;&gt;"&amp;""))</f>
        <v>0</v>
      </c>
      <c r="I43" s="162">
        <f>IF(C43="","",COUNTIFS(Başvuru!$D:$D,C43,Başvuru!$G:$G,"Yüksek Lisans Tezi",Başvuru!$A:$A,"&lt;&gt;"&amp;"",Başvuru!$F:$F,"&lt;&gt;"&amp;""))</f>
        <v>2</v>
      </c>
      <c r="J43" s="163">
        <f>IF(C43="","",COUNTIFS(Başvuru!$D:$D,C43,Başvuru!$L:$L,"ONAY",Başvuru!$A:$A,"&lt;&gt;"&amp;"",Başvuru!$F:$F,"&lt;&gt;"&amp;""))</f>
        <v>4</v>
      </c>
      <c r="K43" s="164">
        <f>IF(C43="","",COUNTIFS(Başvuru!$D:$D,C43,Başvuru!$L:$L,"DÜZELTME",Başvuru!$A:$A,"&lt;&gt;"&amp;"",Başvuru!$F:$F,"&lt;&gt;"&amp;""))</f>
        <v>0</v>
      </c>
      <c r="L43" s="165">
        <f>IF(C43="","",COUNTIFS(Başvuru!$D:$D,C43,Başvuru!$L:$L,"KAEK",Başvuru!$A:$A,"&lt;&gt;"&amp;"",Başvuru!$F:$F,"&lt;&gt;"&amp;""))</f>
        <v>0</v>
      </c>
      <c r="M43" s="166">
        <f>IF(C43="","",COUNTIFS(Başvuru!$D:$D,C43,Başvuru!$L:$L,"GÖRÜŞ",Başvuru!$A:$A,"&lt;&gt;"&amp;"",Başvuru!$F:$F,"&lt;&gt;"&amp;""))</f>
        <v>0</v>
      </c>
      <c r="N43" s="167">
        <f>IF(C43="","",COUNTIFS(Başvuru!$D:$D,C43,Başvuru!$L:$L,"RET",Başvuru!$A:$A,"&lt;&gt;"&amp;"",Başvuru!$F:$F,"&lt;&gt;"&amp;""))</f>
        <v>0</v>
      </c>
      <c r="O43" s="168">
        <f>IF(C43="","",COUNTIFS(Başvuru!$D:$D,C43,Başvuru!$L:$L,"KAPSAM DIŞI",Başvuru!$A:$A,"&lt;&gt;"&amp;"",Başvuru!$F:$F,"&lt;&gt;"&amp;""))</f>
        <v>0</v>
      </c>
      <c r="P43" s="169">
        <f>IF(C43="","",COUNTIFS(Başvuru!$D:$D,C43,Başvuru!$L:$L,"GERİ ÇEKİLDİ",Başvuru!$A:$A,"&lt;&gt;"&amp;"",Başvuru!$F:$F,"&lt;&gt;"&amp;""))</f>
        <v>0</v>
      </c>
      <c r="Q43" s="170" t="str">
        <f t="array" ref="Q43">IFERROR(INDEX(Başvuru!$D$2:$D$3000, MATCH(0, COUNTIF($Q$5:Q42, Başvuru!$D$2:$D$3000) + IF(Başvuru!$D$2:$D$3000="",1,0), 0)), "")</f>
        <v>Sosyal Pediatri Anabilim Dalı</v>
      </c>
      <c r="R43" s="171">
        <f>IF(Q43="","",COUNTIFS(Başvuru!$D:$D,Q43,Başvuru!$A:$A,"&lt;&gt;"&amp;"",Başvuru!$F:$F,"&lt;&gt;"&amp;""))</f>
        <v>1</v>
      </c>
      <c r="S43" s="171">
        <f>IF(R43="","",RANK(R43,$R$6:$R$155,0)+COUNTIF($R$6:R43,R43)-1)</f>
        <v>62</v>
      </c>
    </row>
    <row r="44" spans="2:19" x14ac:dyDescent="0.25">
      <c r="B44" s="159">
        <v>39</v>
      </c>
      <c r="C44" s="160" t="str">
        <f>IFERROR(INDEX($Q$6:$Q$155,MATCH(39,$S$6:$S$155,0)),"")</f>
        <v>Enfeksiyon Hastalıkları ve Klinik Mikrobiyoloji Anabilim Dalı</v>
      </c>
      <c r="D44" s="161">
        <f>IF(C44="","",COUNTIFS(Başvuru!$D:$D,C44,Başvuru!$A:$A,"&lt;&gt;"&amp;"",Başvuru!$F:$F,"&lt;&gt;"&amp;""))</f>
        <v>4</v>
      </c>
      <c r="E44" s="159" t="str">
        <f>IF(C44="","-",IF(D44&gt;0,TEXT(D44/(COUNTIFS(Başvuru!$A:$A,"&lt;&gt;",Başvuru!$F:$F,"&lt;&gt;")-1)*100,"0.0")&amp;"%","-"))</f>
        <v>01%</v>
      </c>
      <c r="F44" s="162">
        <f>IF(C44="","",COUNTIFS(Başvuru!$D:$D,C44,Başvuru!$G:$G,"Bireysel Araştırma",Başvuru!$A:$A,"&lt;&gt;"&amp;"",Başvuru!$F:$F,"&lt;&gt;"&amp;""))</f>
        <v>2</v>
      </c>
      <c r="G44" s="162">
        <f>IF(C44="","",COUNTIFS(Başvuru!$D:$D,C44,Başvuru!$G:$G,"Uzmanlık Tezi",Başvuru!$A:$A,"&lt;&gt;"&amp;"",Başvuru!$F:$F,"&lt;&gt;"&amp;""))</f>
        <v>2</v>
      </c>
      <c r="H44" s="162">
        <f>IF(C44="","",COUNTIFS(Başvuru!$D:$D,C44,Başvuru!$G:$G,"Doktora Tezi",Başvuru!$A:$A,"&lt;&gt;"&amp;"",Başvuru!$F:$F,"&lt;&gt;"&amp;""))</f>
        <v>0</v>
      </c>
      <c r="I44" s="162">
        <f>IF(C44="","",COUNTIFS(Başvuru!$D:$D,C44,Başvuru!$G:$G,"Yüksek Lisans Tezi",Başvuru!$A:$A,"&lt;&gt;"&amp;"",Başvuru!$F:$F,"&lt;&gt;"&amp;""))</f>
        <v>0</v>
      </c>
      <c r="J44" s="163">
        <f>IF(C44="","",COUNTIFS(Başvuru!$D:$D,C44,Başvuru!$L:$L,"ONAY",Başvuru!$A:$A,"&lt;&gt;"&amp;"",Başvuru!$F:$F,"&lt;&gt;"&amp;""))</f>
        <v>4</v>
      </c>
      <c r="K44" s="164">
        <f>IF(C44="","",COUNTIFS(Başvuru!$D:$D,C44,Başvuru!$L:$L,"DÜZELTME",Başvuru!$A:$A,"&lt;&gt;"&amp;"",Başvuru!$F:$F,"&lt;&gt;"&amp;""))</f>
        <v>0</v>
      </c>
      <c r="L44" s="165">
        <f>IF(C44="","",COUNTIFS(Başvuru!$D:$D,C44,Başvuru!$L:$L,"KAEK",Başvuru!$A:$A,"&lt;&gt;"&amp;"",Başvuru!$F:$F,"&lt;&gt;"&amp;""))</f>
        <v>0</v>
      </c>
      <c r="M44" s="166">
        <f>IF(C44="","",COUNTIFS(Başvuru!$D:$D,C44,Başvuru!$L:$L,"GÖRÜŞ",Başvuru!$A:$A,"&lt;&gt;"&amp;"",Başvuru!$F:$F,"&lt;&gt;"&amp;""))</f>
        <v>0</v>
      </c>
      <c r="N44" s="167">
        <f>IF(C44="","",COUNTIFS(Başvuru!$D:$D,C44,Başvuru!$L:$L,"RET",Başvuru!$A:$A,"&lt;&gt;"&amp;"",Başvuru!$F:$F,"&lt;&gt;"&amp;""))</f>
        <v>0</v>
      </c>
      <c r="O44" s="168">
        <f>IF(C44="","",COUNTIFS(Başvuru!$D:$D,C44,Başvuru!$L:$L,"KAPSAM DIŞI",Başvuru!$A:$A,"&lt;&gt;"&amp;"",Başvuru!$F:$F,"&lt;&gt;"&amp;""))</f>
        <v>0</v>
      </c>
      <c r="P44" s="169">
        <f>IF(C44="","",COUNTIFS(Başvuru!$D:$D,C44,Başvuru!$L:$L,"GERİ ÇEKİLDİ",Başvuru!$A:$A,"&lt;&gt;"&amp;"",Başvuru!$F:$F,"&lt;&gt;"&amp;""))</f>
        <v>0</v>
      </c>
      <c r="Q44" s="170" t="str">
        <f t="array" ref="Q44">IFERROR(INDEX(Başvuru!$D$2:$D$3000, MATCH(0, COUNTIF($Q$5:Q43, Başvuru!$D$2:$D$3000) + IF(Başvuru!$D$2:$D$3000="",1,0), 0)), "")</f>
        <v>Ağız, Diş ve Çene Radyolojisi Anabilim Dalı</v>
      </c>
      <c r="R44" s="171">
        <f>IF(Q44="","",COUNTIFS(Başvuru!$D:$D,Q44,Başvuru!$A:$A,"&lt;&gt;"&amp;"",Başvuru!$F:$F,"&lt;&gt;"&amp;""))</f>
        <v>8</v>
      </c>
      <c r="S44" s="171">
        <f>IF(R44="","",RANK(R44,$R$6:$R$155,0)+COUNTIF($R$6:R44,R44)-1)</f>
        <v>22</v>
      </c>
    </row>
    <row r="45" spans="2:19" x14ac:dyDescent="0.25">
      <c r="B45" s="159">
        <v>40</v>
      </c>
      <c r="C45" s="160" t="str">
        <f>IFERROR(INDEX($Q$6:$Q$155,MATCH(40,$S$6:$S$155,0)),"")</f>
        <v>Tıp Eğitimi ve Bilişimi Anabilim Dalı</v>
      </c>
      <c r="D45" s="161">
        <f>IF(C45="","",COUNTIFS(Başvuru!$D:$D,C45,Başvuru!$A:$A,"&lt;&gt;"&amp;"",Başvuru!$F:$F,"&lt;&gt;"&amp;""))</f>
        <v>3</v>
      </c>
      <c r="E45" s="159" t="str">
        <f>IF(C45="","-",IF(D45&gt;0,TEXT(D45/(COUNTIFS(Başvuru!$A:$A,"&lt;&gt;",Başvuru!$F:$F,"&lt;&gt;")-1)*100,"0.0")&amp;"%","-"))</f>
        <v>00%</v>
      </c>
      <c r="F45" s="162">
        <f>IF(C45="","",COUNTIFS(Başvuru!$D:$D,C45,Başvuru!$G:$G,"Bireysel Araştırma",Başvuru!$A:$A,"&lt;&gt;"&amp;"",Başvuru!$F:$F,"&lt;&gt;"&amp;""))</f>
        <v>1</v>
      </c>
      <c r="G45" s="162">
        <f>IF(C45="","",COUNTIFS(Başvuru!$D:$D,C45,Başvuru!$G:$G,"Uzmanlık Tezi",Başvuru!$A:$A,"&lt;&gt;"&amp;"",Başvuru!$F:$F,"&lt;&gt;"&amp;""))</f>
        <v>0</v>
      </c>
      <c r="H45" s="162">
        <f>IF(C45="","",COUNTIFS(Başvuru!$D:$D,C45,Başvuru!$G:$G,"Doktora Tezi",Başvuru!$A:$A,"&lt;&gt;"&amp;"",Başvuru!$F:$F,"&lt;&gt;"&amp;""))</f>
        <v>1</v>
      </c>
      <c r="I45" s="162">
        <f>IF(C45="","",COUNTIFS(Başvuru!$D:$D,C45,Başvuru!$G:$G,"Yüksek Lisans Tezi",Başvuru!$A:$A,"&lt;&gt;"&amp;"",Başvuru!$F:$F,"&lt;&gt;"&amp;""))</f>
        <v>1</v>
      </c>
      <c r="J45" s="163">
        <f>IF(C45="","",COUNTIFS(Başvuru!$D:$D,C45,Başvuru!$L:$L,"ONAY",Başvuru!$A:$A,"&lt;&gt;"&amp;"",Başvuru!$F:$F,"&lt;&gt;"&amp;""))</f>
        <v>2</v>
      </c>
      <c r="K45" s="164">
        <f>IF(C45="","",COUNTIFS(Başvuru!$D:$D,C45,Başvuru!$L:$L,"DÜZELTME",Başvuru!$A:$A,"&lt;&gt;"&amp;"",Başvuru!$F:$F,"&lt;&gt;"&amp;""))</f>
        <v>1</v>
      </c>
      <c r="L45" s="165">
        <f>IF(C45="","",COUNTIFS(Başvuru!$D:$D,C45,Başvuru!$L:$L,"KAEK",Başvuru!$A:$A,"&lt;&gt;"&amp;"",Başvuru!$F:$F,"&lt;&gt;"&amp;""))</f>
        <v>0</v>
      </c>
      <c r="M45" s="166">
        <f>IF(C45="","",COUNTIFS(Başvuru!$D:$D,C45,Başvuru!$L:$L,"GÖRÜŞ",Başvuru!$A:$A,"&lt;&gt;"&amp;"",Başvuru!$F:$F,"&lt;&gt;"&amp;""))</f>
        <v>0</v>
      </c>
      <c r="N45" s="167">
        <f>IF(C45="","",COUNTIFS(Başvuru!$D:$D,C45,Başvuru!$L:$L,"RET",Başvuru!$A:$A,"&lt;&gt;"&amp;"",Başvuru!$F:$F,"&lt;&gt;"&amp;""))</f>
        <v>0</v>
      </c>
      <c r="O45" s="168">
        <f>IF(C45="","",COUNTIFS(Başvuru!$D:$D,C45,Başvuru!$L:$L,"KAPSAM DIŞI",Başvuru!$A:$A,"&lt;&gt;"&amp;"",Başvuru!$F:$F,"&lt;&gt;"&amp;""))</f>
        <v>0</v>
      </c>
      <c r="P45" s="169">
        <f>IF(C45="","",COUNTIFS(Başvuru!$D:$D,C45,Başvuru!$L:$L,"GERİ ÇEKİLDİ",Başvuru!$A:$A,"&lt;&gt;"&amp;"",Başvuru!$F:$F,"&lt;&gt;"&amp;""))</f>
        <v>0</v>
      </c>
      <c r="Q45" s="170" t="str">
        <f t="array" ref="Q45">IFERROR(INDEX(Başvuru!$D$2:$D$3000, MATCH(0, COUNTIF($Q$5:Q44, Başvuru!$D$2:$D$3000) + IF(Başvuru!$D$2:$D$3000="",1,0), 0)), "")</f>
        <v>Farmasötik Toksikoloji Anabilim Dalı</v>
      </c>
      <c r="R45" s="171">
        <f>IF(Q45="","",COUNTIFS(Başvuru!$D:$D,Q45,Başvuru!$A:$A,"&lt;&gt;"&amp;"",Başvuru!$F:$F,"&lt;&gt;"&amp;""))</f>
        <v>2</v>
      </c>
      <c r="S45" s="171">
        <f>IF(R45="","",RANK(R45,$R$6:$R$155,0)+COUNTIF($R$6:R45,R45)-1)</f>
        <v>47</v>
      </c>
    </row>
    <row r="46" spans="2:19" x14ac:dyDescent="0.25">
      <c r="B46" s="159">
        <v>41</v>
      </c>
      <c r="C46" s="160" t="str">
        <f>IFERROR(INDEX($Q$6:$Q$155,MATCH(41,$S$6:$S$155,0)),"")</f>
        <v>Pediatrik Temel Bilimler Anabilim Dalı</v>
      </c>
      <c r="D46" s="161">
        <f>IF(C46="","",COUNTIFS(Başvuru!$D:$D,C46,Başvuru!$A:$A,"&lt;&gt;"&amp;"",Başvuru!$F:$F,"&lt;&gt;"&amp;""))</f>
        <v>3</v>
      </c>
      <c r="E46" s="159" t="str">
        <f>IF(C46="","-",IF(D46&gt;0,TEXT(D46/(COUNTIFS(Başvuru!$A:$A,"&lt;&gt;",Başvuru!$F:$F,"&lt;&gt;")-1)*100,"0.0")&amp;"%","-"))</f>
        <v>00%</v>
      </c>
      <c r="F46" s="162">
        <f>IF(C46="","",COUNTIFS(Başvuru!$D:$D,C46,Başvuru!$G:$G,"Bireysel Araştırma",Başvuru!$A:$A,"&lt;&gt;"&amp;"",Başvuru!$F:$F,"&lt;&gt;"&amp;""))</f>
        <v>1</v>
      </c>
      <c r="G46" s="162">
        <f>IF(C46="","",COUNTIFS(Başvuru!$D:$D,C46,Başvuru!$G:$G,"Uzmanlık Tezi",Başvuru!$A:$A,"&lt;&gt;"&amp;"",Başvuru!$F:$F,"&lt;&gt;"&amp;""))</f>
        <v>0</v>
      </c>
      <c r="H46" s="162">
        <f>IF(C46="","",COUNTIFS(Başvuru!$D:$D,C46,Başvuru!$G:$G,"Doktora Tezi",Başvuru!$A:$A,"&lt;&gt;"&amp;"",Başvuru!$F:$F,"&lt;&gt;"&amp;""))</f>
        <v>0</v>
      </c>
      <c r="I46" s="162">
        <f>IF(C46="","",COUNTIFS(Başvuru!$D:$D,C46,Başvuru!$G:$G,"Yüksek Lisans Tezi",Başvuru!$A:$A,"&lt;&gt;"&amp;"",Başvuru!$F:$F,"&lt;&gt;"&amp;""))</f>
        <v>2</v>
      </c>
      <c r="J46" s="163">
        <f>IF(C46="","",COUNTIFS(Başvuru!$D:$D,C46,Başvuru!$L:$L,"ONAY",Başvuru!$A:$A,"&lt;&gt;"&amp;"",Başvuru!$F:$F,"&lt;&gt;"&amp;""))</f>
        <v>0</v>
      </c>
      <c r="K46" s="164">
        <f>IF(C46="","",COUNTIFS(Başvuru!$D:$D,C46,Başvuru!$L:$L,"DÜZELTME",Başvuru!$A:$A,"&lt;&gt;"&amp;"",Başvuru!$F:$F,"&lt;&gt;"&amp;""))</f>
        <v>3</v>
      </c>
      <c r="L46" s="165">
        <f>IF(C46="","",COUNTIFS(Başvuru!$D:$D,C46,Başvuru!$L:$L,"KAEK",Başvuru!$A:$A,"&lt;&gt;"&amp;"",Başvuru!$F:$F,"&lt;&gt;"&amp;""))</f>
        <v>0</v>
      </c>
      <c r="M46" s="166">
        <f>IF(C46="","",COUNTIFS(Başvuru!$D:$D,C46,Başvuru!$L:$L,"GÖRÜŞ",Başvuru!$A:$A,"&lt;&gt;"&amp;"",Başvuru!$F:$F,"&lt;&gt;"&amp;""))</f>
        <v>0</v>
      </c>
      <c r="N46" s="167">
        <f>IF(C46="","",COUNTIFS(Başvuru!$D:$D,C46,Başvuru!$L:$L,"RET",Başvuru!$A:$A,"&lt;&gt;"&amp;"",Başvuru!$F:$F,"&lt;&gt;"&amp;""))</f>
        <v>0</v>
      </c>
      <c r="O46" s="168">
        <f>IF(C46="","",COUNTIFS(Başvuru!$D:$D,C46,Başvuru!$L:$L,"KAPSAM DIŞI",Başvuru!$A:$A,"&lt;&gt;"&amp;"",Başvuru!$F:$F,"&lt;&gt;"&amp;""))</f>
        <v>0</v>
      </c>
      <c r="P46" s="169">
        <f>IF(C46="","",COUNTIFS(Başvuru!$D:$D,C46,Başvuru!$L:$L,"GERİ ÇEKİLDİ",Başvuru!$A:$A,"&lt;&gt;"&amp;"",Başvuru!$F:$F,"&lt;&gt;"&amp;""))</f>
        <v>0</v>
      </c>
      <c r="Q46" s="170" t="str">
        <f t="array" ref="Q46">IFERROR(INDEX(Başvuru!$D$2:$D$3000, MATCH(0, COUNTIF($Q$5:Q45, Başvuru!$D$2:$D$3000) + IF(Başvuru!$D$2:$D$3000="",1,0), 0)), "")</f>
        <v>Periodontoloji Anabilim Dalı</v>
      </c>
      <c r="R46" s="171">
        <f>IF(Q46="","",COUNTIFS(Başvuru!$D:$D,Q46,Başvuru!$A:$A,"&lt;&gt;"&amp;"",Başvuru!$F:$F,"&lt;&gt;"&amp;""))</f>
        <v>7</v>
      </c>
      <c r="S46" s="171">
        <f>IF(R46="","",RANK(R46,$R$6:$R$155,0)+COUNTIF($R$6:R46,R46)-1)</f>
        <v>25</v>
      </c>
    </row>
    <row r="47" spans="2:19" x14ac:dyDescent="0.25">
      <c r="B47" s="159">
        <v>42</v>
      </c>
      <c r="C47" s="160" t="str">
        <f>IFERROR(INDEX($Q$6:$Q$155,MATCH(42,$S$6:$S$155,0)),"")</f>
        <v>Pedodonti Anabilim Dalı</v>
      </c>
      <c r="D47" s="161">
        <f>IF(C47="","",COUNTIFS(Başvuru!$D:$D,C47,Başvuru!$A:$A,"&lt;&gt;"&amp;"",Başvuru!$F:$F,"&lt;&gt;"&amp;""))</f>
        <v>3</v>
      </c>
      <c r="E47" s="159" t="str">
        <f>IF(C47="","-",IF(D47&gt;0,TEXT(D47/(COUNTIFS(Başvuru!$A:$A,"&lt;&gt;",Başvuru!$F:$F,"&lt;&gt;")-1)*100,"0.0")&amp;"%","-"))</f>
        <v>00%</v>
      </c>
      <c r="F47" s="162">
        <f>IF(C47="","",COUNTIFS(Başvuru!$D:$D,C47,Başvuru!$G:$G,"Bireysel Araştırma",Başvuru!$A:$A,"&lt;&gt;"&amp;"",Başvuru!$F:$F,"&lt;&gt;"&amp;""))</f>
        <v>1</v>
      </c>
      <c r="G47" s="162">
        <f>IF(C47="","",COUNTIFS(Başvuru!$D:$D,C47,Başvuru!$G:$G,"Uzmanlık Tezi",Başvuru!$A:$A,"&lt;&gt;"&amp;"",Başvuru!$F:$F,"&lt;&gt;"&amp;""))</f>
        <v>2</v>
      </c>
      <c r="H47" s="162">
        <f>IF(C47="","",COUNTIFS(Başvuru!$D:$D,C47,Başvuru!$G:$G,"Doktora Tezi",Başvuru!$A:$A,"&lt;&gt;"&amp;"",Başvuru!$F:$F,"&lt;&gt;"&amp;""))</f>
        <v>0</v>
      </c>
      <c r="I47" s="162">
        <f>IF(C47="","",COUNTIFS(Başvuru!$D:$D,C47,Başvuru!$G:$G,"Yüksek Lisans Tezi",Başvuru!$A:$A,"&lt;&gt;"&amp;"",Başvuru!$F:$F,"&lt;&gt;"&amp;""))</f>
        <v>0</v>
      </c>
      <c r="J47" s="163">
        <f>IF(C47="","",COUNTIFS(Başvuru!$D:$D,C47,Başvuru!$L:$L,"ONAY",Başvuru!$A:$A,"&lt;&gt;"&amp;"",Başvuru!$F:$F,"&lt;&gt;"&amp;""))</f>
        <v>3</v>
      </c>
      <c r="K47" s="164">
        <f>IF(C47="","",COUNTIFS(Başvuru!$D:$D,C47,Başvuru!$L:$L,"DÜZELTME",Başvuru!$A:$A,"&lt;&gt;"&amp;"",Başvuru!$F:$F,"&lt;&gt;"&amp;""))</f>
        <v>0</v>
      </c>
      <c r="L47" s="165">
        <f>IF(C47="","",COUNTIFS(Başvuru!$D:$D,C47,Başvuru!$L:$L,"KAEK",Başvuru!$A:$A,"&lt;&gt;"&amp;"",Başvuru!$F:$F,"&lt;&gt;"&amp;""))</f>
        <v>0</v>
      </c>
      <c r="M47" s="166">
        <f>IF(C47="","",COUNTIFS(Başvuru!$D:$D,C47,Başvuru!$L:$L,"GÖRÜŞ",Başvuru!$A:$A,"&lt;&gt;"&amp;"",Başvuru!$F:$F,"&lt;&gt;"&amp;""))</f>
        <v>0</v>
      </c>
      <c r="N47" s="167">
        <f>IF(C47="","",COUNTIFS(Başvuru!$D:$D,C47,Başvuru!$L:$L,"RET",Başvuru!$A:$A,"&lt;&gt;"&amp;"",Başvuru!$F:$F,"&lt;&gt;"&amp;""))</f>
        <v>0</v>
      </c>
      <c r="O47" s="168">
        <f>IF(C47="","",COUNTIFS(Başvuru!$D:$D,C47,Başvuru!$L:$L,"KAPSAM DIŞI",Başvuru!$A:$A,"&lt;&gt;"&amp;"",Başvuru!$F:$F,"&lt;&gt;"&amp;""))</f>
        <v>0</v>
      </c>
      <c r="P47" s="169">
        <f>IF(C47="","",COUNTIFS(Başvuru!$D:$D,C47,Başvuru!$L:$L,"GERİ ÇEKİLDİ",Başvuru!$A:$A,"&lt;&gt;"&amp;"",Başvuru!$F:$F,"&lt;&gt;"&amp;""))</f>
        <v>0</v>
      </c>
      <c r="Q47" s="170" t="str">
        <f t="array" ref="Q47">IFERROR(INDEX(Başvuru!$D$2:$D$3000, MATCH(0, COUNTIF($Q$5:Q46, Başvuru!$D$2:$D$3000) + IF(Başvuru!$D$2:$D$3000="",1,0), 0)), "")</f>
        <v>Sosyal Hizmet Anabilim Dalı</v>
      </c>
      <c r="R47" s="171">
        <f>IF(Q47="","",COUNTIFS(Başvuru!$D:$D,Q47,Başvuru!$A:$A,"&lt;&gt;"&amp;"",Başvuru!$F:$F,"&lt;&gt;"&amp;""))</f>
        <v>6</v>
      </c>
      <c r="S47" s="171">
        <f>IF(R47="","",RANK(R47,$R$6:$R$155,0)+COUNTIF($R$6:R47,R47)-1)</f>
        <v>30</v>
      </c>
    </row>
    <row r="48" spans="2:19" x14ac:dyDescent="0.25">
      <c r="B48" s="159">
        <v>43</v>
      </c>
      <c r="C48" s="160" t="str">
        <f>IFERROR(INDEX($Q$6:$Q$155,MATCH(43,$S$6:$S$155,0)),"")</f>
        <v>Tıbbi Biyokimya Anabilim Dalı</v>
      </c>
      <c r="D48" s="161">
        <f>IF(C48="","",COUNTIFS(Başvuru!$D:$D,C48,Başvuru!$A:$A,"&lt;&gt;"&amp;"",Başvuru!$F:$F,"&lt;&gt;"&amp;""))</f>
        <v>3</v>
      </c>
      <c r="E48" s="159" t="str">
        <f>IF(C48="","-",IF(D48&gt;0,TEXT(D48/(COUNTIFS(Başvuru!$A:$A,"&lt;&gt;",Başvuru!$F:$F,"&lt;&gt;")-1)*100,"0.0")&amp;"%","-"))</f>
        <v>00%</v>
      </c>
      <c r="F48" s="162">
        <f>IF(C48="","",COUNTIFS(Başvuru!$D:$D,C48,Başvuru!$G:$G,"Bireysel Araştırma",Başvuru!$A:$A,"&lt;&gt;"&amp;"",Başvuru!$F:$F,"&lt;&gt;"&amp;""))</f>
        <v>1</v>
      </c>
      <c r="G48" s="162">
        <f>IF(C48="","",COUNTIFS(Başvuru!$D:$D,C48,Başvuru!$G:$G,"Uzmanlık Tezi",Başvuru!$A:$A,"&lt;&gt;"&amp;"",Başvuru!$F:$F,"&lt;&gt;"&amp;""))</f>
        <v>2</v>
      </c>
      <c r="H48" s="162">
        <f>IF(C48="","",COUNTIFS(Başvuru!$D:$D,C48,Başvuru!$G:$G,"Doktora Tezi",Başvuru!$A:$A,"&lt;&gt;"&amp;"",Başvuru!$F:$F,"&lt;&gt;"&amp;""))</f>
        <v>0</v>
      </c>
      <c r="I48" s="162">
        <f>IF(C48="","",COUNTIFS(Başvuru!$D:$D,C48,Başvuru!$G:$G,"Yüksek Lisans Tezi",Başvuru!$A:$A,"&lt;&gt;"&amp;"",Başvuru!$F:$F,"&lt;&gt;"&amp;""))</f>
        <v>0</v>
      </c>
      <c r="J48" s="163">
        <f>IF(C48="","",COUNTIFS(Başvuru!$D:$D,C48,Başvuru!$L:$L,"ONAY",Başvuru!$A:$A,"&lt;&gt;"&amp;"",Başvuru!$F:$F,"&lt;&gt;"&amp;""))</f>
        <v>0</v>
      </c>
      <c r="K48" s="164">
        <f>IF(C48="","",COUNTIFS(Başvuru!$D:$D,C48,Başvuru!$L:$L,"DÜZELTME",Başvuru!$A:$A,"&lt;&gt;"&amp;"",Başvuru!$F:$F,"&lt;&gt;"&amp;""))</f>
        <v>2</v>
      </c>
      <c r="L48" s="165">
        <f>IF(C48="","",COUNTIFS(Başvuru!$D:$D,C48,Başvuru!$L:$L,"KAEK",Başvuru!$A:$A,"&lt;&gt;"&amp;"",Başvuru!$F:$F,"&lt;&gt;"&amp;""))</f>
        <v>0</v>
      </c>
      <c r="M48" s="166">
        <f>IF(C48="","",COUNTIFS(Başvuru!$D:$D,C48,Başvuru!$L:$L,"GÖRÜŞ",Başvuru!$A:$A,"&lt;&gt;"&amp;"",Başvuru!$F:$F,"&lt;&gt;"&amp;""))</f>
        <v>0</v>
      </c>
      <c r="N48" s="167">
        <f>IF(C48="","",COUNTIFS(Başvuru!$D:$D,C48,Başvuru!$L:$L,"RET",Başvuru!$A:$A,"&lt;&gt;"&amp;"",Başvuru!$F:$F,"&lt;&gt;"&amp;""))</f>
        <v>1</v>
      </c>
      <c r="O48" s="168">
        <f>IF(C48="","",COUNTIFS(Başvuru!$D:$D,C48,Başvuru!$L:$L,"KAPSAM DIŞI",Başvuru!$A:$A,"&lt;&gt;"&amp;"",Başvuru!$F:$F,"&lt;&gt;"&amp;""))</f>
        <v>0</v>
      </c>
      <c r="P48" s="169">
        <f>IF(C48="","",COUNTIFS(Başvuru!$D:$D,C48,Başvuru!$L:$L,"GERİ ÇEKİLDİ",Başvuru!$A:$A,"&lt;&gt;"&amp;"",Başvuru!$F:$F,"&lt;&gt;"&amp;""))</f>
        <v>0</v>
      </c>
      <c r="Q48" s="170" t="str">
        <f t="array" ref="Q48">IFERROR(INDEX(Başvuru!$D$2:$D$3000, MATCH(0, COUNTIF($Q$5:Q47, Başvuru!$D$2:$D$3000) + IF(Başvuru!$D$2:$D$3000="",1,0), 0)), "")</f>
        <v>Hareket ve Antrenman Bilimleri Anabilim Dalı</v>
      </c>
      <c r="R48" s="171">
        <f>IF(Q48="","",COUNTIFS(Başvuru!$D:$D,Q48,Başvuru!$A:$A,"&lt;&gt;"&amp;"",Başvuru!$F:$F,"&lt;&gt;"&amp;""))</f>
        <v>6</v>
      </c>
      <c r="S48" s="171">
        <f>IF(R48="","",RANK(R48,$R$6:$R$155,0)+COUNTIF($R$6:R48,R48)-1)</f>
        <v>31</v>
      </c>
    </row>
    <row r="49" spans="2:19" x14ac:dyDescent="0.25">
      <c r="B49" s="159">
        <v>44</v>
      </c>
      <c r="C49" s="160" t="str">
        <f>IFERROR(INDEX($Q$6:$Q$155,MATCH(44,$S$6:$S$155,0)),"")</f>
        <v>Beyin ve Sinir Cerrahisi Anabilim Dalı</v>
      </c>
      <c r="D49" s="161">
        <f>IF(C49="","",COUNTIFS(Başvuru!$D:$D,C49,Başvuru!$A:$A,"&lt;&gt;"&amp;"",Başvuru!$F:$F,"&lt;&gt;"&amp;""))</f>
        <v>3</v>
      </c>
      <c r="E49" s="159" t="str">
        <f>IF(C49="","-",IF(D49&gt;0,TEXT(D49/(COUNTIFS(Başvuru!$A:$A,"&lt;&gt;",Başvuru!$F:$F,"&lt;&gt;")-1)*100,"0.0")&amp;"%","-"))</f>
        <v>00%</v>
      </c>
      <c r="F49" s="162">
        <f>IF(C49="","",COUNTIFS(Başvuru!$D:$D,C49,Başvuru!$G:$G,"Bireysel Araştırma",Başvuru!$A:$A,"&lt;&gt;"&amp;"",Başvuru!$F:$F,"&lt;&gt;"&amp;""))</f>
        <v>1</v>
      </c>
      <c r="G49" s="162">
        <f>IF(C49="","",COUNTIFS(Başvuru!$D:$D,C49,Başvuru!$G:$G,"Uzmanlık Tezi",Başvuru!$A:$A,"&lt;&gt;"&amp;"",Başvuru!$F:$F,"&lt;&gt;"&amp;""))</f>
        <v>1</v>
      </c>
      <c r="H49" s="162">
        <f>IF(C49="","",COUNTIFS(Başvuru!$D:$D,C49,Başvuru!$G:$G,"Doktora Tezi",Başvuru!$A:$A,"&lt;&gt;"&amp;"",Başvuru!$F:$F,"&lt;&gt;"&amp;""))</f>
        <v>0</v>
      </c>
      <c r="I49" s="162">
        <f>IF(C49="","",COUNTIFS(Başvuru!$D:$D,C49,Başvuru!$G:$G,"Yüksek Lisans Tezi",Başvuru!$A:$A,"&lt;&gt;"&amp;"",Başvuru!$F:$F,"&lt;&gt;"&amp;""))</f>
        <v>1</v>
      </c>
      <c r="J49" s="163">
        <f>IF(C49="","",COUNTIFS(Başvuru!$D:$D,C49,Başvuru!$L:$L,"ONAY",Başvuru!$A:$A,"&lt;&gt;"&amp;"",Başvuru!$F:$F,"&lt;&gt;"&amp;""))</f>
        <v>2</v>
      </c>
      <c r="K49" s="164">
        <f>IF(C49="","",COUNTIFS(Başvuru!$D:$D,C49,Başvuru!$L:$L,"DÜZELTME",Başvuru!$A:$A,"&lt;&gt;"&amp;"",Başvuru!$F:$F,"&lt;&gt;"&amp;""))</f>
        <v>1</v>
      </c>
      <c r="L49" s="165">
        <f>IF(C49="","",COUNTIFS(Başvuru!$D:$D,C49,Başvuru!$L:$L,"KAEK",Başvuru!$A:$A,"&lt;&gt;"&amp;"",Başvuru!$F:$F,"&lt;&gt;"&amp;""))</f>
        <v>0</v>
      </c>
      <c r="M49" s="166">
        <f>IF(C49="","",COUNTIFS(Başvuru!$D:$D,C49,Başvuru!$L:$L,"GÖRÜŞ",Başvuru!$A:$A,"&lt;&gt;"&amp;"",Başvuru!$F:$F,"&lt;&gt;"&amp;""))</f>
        <v>0</v>
      </c>
      <c r="N49" s="167">
        <f>IF(C49="","",COUNTIFS(Başvuru!$D:$D,C49,Başvuru!$L:$L,"RET",Başvuru!$A:$A,"&lt;&gt;"&amp;"",Başvuru!$F:$F,"&lt;&gt;"&amp;""))</f>
        <v>0</v>
      </c>
      <c r="O49" s="168">
        <f>IF(C49="","",COUNTIFS(Başvuru!$D:$D,C49,Başvuru!$L:$L,"KAPSAM DIŞI",Başvuru!$A:$A,"&lt;&gt;"&amp;"",Başvuru!$F:$F,"&lt;&gt;"&amp;""))</f>
        <v>0</v>
      </c>
      <c r="P49" s="169">
        <f>IF(C49="","",COUNTIFS(Başvuru!$D:$D,C49,Başvuru!$L:$L,"GERİ ÇEKİLDİ",Başvuru!$A:$A,"&lt;&gt;"&amp;"",Başvuru!$F:$F,"&lt;&gt;"&amp;""))</f>
        <v>0</v>
      </c>
      <c r="Q49" s="170" t="str">
        <f t="array" ref="Q49">IFERROR(INDEX(Başvuru!$D$2:$D$3000, MATCH(0, COUNTIF($Q$5:Q48, Başvuru!$D$2:$D$3000) + IF(Başvuru!$D$2:$D$3000="",1,0), 0)), "")</f>
        <v>Tıbbi Laboratuvar Teknikleri Programı</v>
      </c>
      <c r="R49" s="171">
        <f>IF(Q49="","",COUNTIFS(Başvuru!$D:$D,Q49,Başvuru!$A:$A,"&lt;&gt;"&amp;"",Başvuru!$F:$F,"&lt;&gt;"&amp;""))</f>
        <v>1</v>
      </c>
      <c r="S49" s="171">
        <f>IF(R49="","",RANK(R49,$R$6:$R$155,0)+COUNTIF($R$6:R49,R49)-1)</f>
        <v>63</v>
      </c>
    </row>
    <row r="50" spans="2:19" ht="24" x14ac:dyDescent="0.25">
      <c r="B50" s="159">
        <v>45</v>
      </c>
      <c r="C50" s="172" t="str">
        <f>IFERROR(INDEX($Q$6:$Q$155,MATCH(45,$S$6:$S$155,0)),"")</f>
        <v>Lokman Hekim Üniversitesi
Sağlık Hizmetleri Meslek Yüksekokulu</v>
      </c>
      <c r="D50" s="161">
        <f>IF(C50="","",COUNTIFS(Başvuru!$D:$D,C50,Başvuru!$A:$A,"&lt;&gt;"&amp;"",Başvuru!$F:$F,"&lt;&gt;"&amp;""))</f>
        <v>2</v>
      </c>
      <c r="E50" s="159" t="str">
        <f>IF(C50="","-",IF(D50&gt;0,TEXT(D50/(COUNTIFS(Başvuru!$A:$A,"&lt;&gt;",Başvuru!$F:$F,"&lt;&gt;")-1)*100,"0.0")&amp;"%","-"))</f>
        <v>00%</v>
      </c>
      <c r="F50" s="162">
        <f>IF(C50="","",COUNTIFS(Başvuru!$D:$D,C50,Başvuru!$G:$G,"Bireysel Araştırma",Başvuru!$A:$A,"&lt;&gt;"&amp;"",Başvuru!$F:$F,"&lt;&gt;"&amp;""))</f>
        <v>0</v>
      </c>
      <c r="G50" s="162">
        <f>IF(C50="","",COUNTIFS(Başvuru!$D:$D,C50,Başvuru!$G:$G,"Uzmanlık Tezi",Başvuru!$A:$A,"&lt;&gt;"&amp;"",Başvuru!$F:$F,"&lt;&gt;"&amp;""))</f>
        <v>0</v>
      </c>
      <c r="H50" s="162">
        <f>IF(C50="","",COUNTIFS(Başvuru!$D:$D,C50,Başvuru!$G:$G,"Doktora Tezi",Başvuru!$A:$A,"&lt;&gt;"&amp;"",Başvuru!$F:$F,"&lt;&gt;"&amp;""))</f>
        <v>1</v>
      </c>
      <c r="I50" s="162">
        <f>IF(C50="","",COUNTIFS(Başvuru!$D:$D,C50,Başvuru!$G:$G,"Yüksek Lisans Tezi",Başvuru!$A:$A,"&lt;&gt;"&amp;"",Başvuru!$F:$F,"&lt;&gt;"&amp;""))</f>
        <v>1</v>
      </c>
      <c r="J50" s="163">
        <f>IF(C50="","",COUNTIFS(Başvuru!$D:$D,C50,Başvuru!$L:$L,"ONAY",Başvuru!$A:$A,"&lt;&gt;"&amp;"",Başvuru!$F:$F,"&lt;&gt;"&amp;""))</f>
        <v>0</v>
      </c>
      <c r="K50" s="164">
        <f>IF(C50="","",COUNTIFS(Başvuru!$D:$D,C50,Başvuru!$L:$L,"DÜZELTME",Başvuru!$A:$A,"&lt;&gt;"&amp;"",Başvuru!$F:$F,"&lt;&gt;"&amp;""))</f>
        <v>1</v>
      </c>
      <c r="L50" s="165">
        <f>IF(C50="","",COUNTIFS(Başvuru!$D:$D,C50,Başvuru!$L:$L,"KAEK",Başvuru!$A:$A,"&lt;&gt;"&amp;"",Başvuru!$F:$F,"&lt;&gt;"&amp;""))</f>
        <v>0</v>
      </c>
      <c r="M50" s="166">
        <f>IF(C50="","",COUNTIFS(Başvuru!$D:$D,C50,Başvuru!$L:$L,"GÖRÜŞ",Başvuru!$A:$A,"&lt;&gt;"&amp;"",Başvuru!$F:$F,"&lt;&gt;"&amp;""))</f>
        <v>0</v>
      </c>
      <c r="N50" s="167">
        <f>IF(C50="","",COUNTIFS(Başvuru!$D:$D,C50,Başvuru!$L:$L,"RET",Başvuru!$A:$A,"&lt;&gt;"&amp;"",Başvuru!$F:$F,"&lt;&gt;"&amp;""))</f>
        <v>1</v>
      </c>
      <c r="O50" s="168">
        <f>IF(C50="","",COUNTIFS(Başvuru!$D:$D,C50,Başvuru!$L:$L,"KAPSAM DIŞI",Başvuru!$A:$A,"&lt;&gt;"&amp;"",Başvuru!$F:$F,"&lt;&gt;"&amp;""))</f>
        <v>0</v>
      </c>
      <c r="P50" s="169">
        <f>IF(C50="","",COUNTIFS(Başvuru!$D:$D,C50,Başvuru!$L:$L,"GERİ ÇEKİLDİ",Başvuru!$A:$A,"&lt;&gt;"&amp;"",Başvuru!$F:$F,"&lt;&gt;"&amp;""))</f>
        <v>0</v>
      </c>
      <c r="Q50" s="170" t="str">
        <f t="array" ref="Q50">IFERROR(INDEX(Başvuru!$D$2:$D$3000, MATCH(0, COUNTIF($Q$5:Q49, Başvuru!$D$2:$D$3000) + IF(Başvuru!$D$2:$D$3000="",1,0), 0)), "")</f>
        <v>Pediatrik Temel Bilimler Anabilim Dalı</v>
      </c>
      <c r="R50" s="171">
        <f>IF(Q50="","",COUNTIFS(Başvuru!$D:$D,Q50,Başvuru!$A:$A,"&lt;&gt;"&amp;"",Başvuru!$F:$F,"&lt;&gt;"&amp;""))</f>
        <v>3</v>
      </c>
      <c r="S50" s="171">
        <f>IF(R50="","",RANK(R50,$R$6:$R$155,0)+COUNTIF($R$6:R50,R50)-1)</f>
        <v>41</v>
      </c>
    </row>
    <row r="51" spans="2:19" x14ac:dyDescent="0.25">
      <c r="B51" s="159">
        <v>46</v>
      </c>
      <c r="C51" s="160" t="str">
        <f>IFERROR(INDEX($Q$6:$Q$155,MATCH(46,$S$6:$S$155,0)),"")</f>
        <v>Tıbbi Mikrobiyoloji Anabilim Dalı</v>
      </c>
      <c r="D51" s="161">
        <f>IF(C51="","",COUNTIFS(Başvuru!$D:$D,C51,Başvuru!$A:$A,"&lt;&gt;"&amp;"",Başvuru!$F:$F,"&lt;&gt;"&amp;""))</f>
        <v>2</v>
      </c>
      <c r="E51" s="159" t="str">
        <f>IF(C51="","-",IF(D51&gt;0,TEXT(D51/(COUNTIFS(Başvuru!$A:$A,"&lt;&gt;",Başvuru!$F:$F,"&lt;&gt;")-1)*100,"0.0")&amp;"%","-"))</f>
        <v>00%</v>
      </c>
      <c r="F51" s="162">
        <f>IF(C51="","",COUNTIFS(Başvuru!$D:$D,C51,Başvuru!$G:$G,"Bireysel Araştırma",Başvuru!$A:$A,"&lt;&gt;"&amp;"",Başvuru!$F:$F,"&lt;&gt;"&amp;""))</f>
        <v>1</v>
      </c>
      <c r="G51" s="162">
        <f>IF(C51="","",COUNTIFS(Başvuru!$D:$D,C51,Başvuru!$G:$G,"Uzmanlık Tezi",Başvuru!$A:$A,"&lt;&gt;"&amp;"",Başvuru!$F:$F,"&lt;&gt;"&amp;""))</f>
        <v>0</v>
      </c>
      <c r="H51" s="162">
        <f>IF(C51="","",COUNTIFS(Başvuru!$D:$D,C51,Başvuru!$G:$G,"Doktora Tezi",Başvuru!$A:$A,"&lt;&gt;"&amp;"",Başvuru!$F:$F,"&lt;&gt;"&amp;""))</f>
        <v>1</v>
      </c>
      <c r="I51" s="162">
        <f>IF(C51="","",COUNTIFS(Başvuru!$D:$D,C51,Başvuru!$G:$G,"Yüksek Lisans Tezi",Başvuru!$A:$A,"&lt;&gt;"&amp;"",Başvuru!$F:$F,"&lt;&gt;"&amp;""))</f>
        <v>0</v>
      </c>
      <c r="J51" s="163">
        <f>IF(C51="","",COUNTIFS(Başvuru!$D:$D,C51,Başvuru!$L:$L,"ONAY",Başvuru!$A:$A,"&lt;&gt;"&amp;"",Başvuru!$F:$F,"&lt;&gt;"&amp;""))</f>
        <v>1</v>
      </c>
      <c r="K51" s="164">
        <f>IF(C51="","",COUNTIFS(Başvuru!$D:$D,C51,Başvuru!$L:$L,"DÜZELTME",Başvuru!$A:$A,"&lt;&gt;"&amp;"",Başvuru!$F:$F,"&lt;&gt;"&amp;""))</f>
        <v>1</v>
      </c>
      <c r="L51" s="165">
        <f>IF(C51="","",COUNTIFS(Başvuru!$D:$D,C51,Başvuru!$L:$L,"KAEK",Başvuru!$A:$A,"&lt;&gt;"&amp;"",Başvuru!$F:$F,"&lt;&gt;"&amp;""))</f>
        <v>0</v>
      </c>
      <c r="M51" s="166">
        <f>IF(C51="","",COUNTIFS(Başvuru!$D:$D,C51,Başvuru!$L:$L,"GÖRÜŞ",Başvuru!$A:$A,"&lt;&gt;"&amp;"",Başvuru!$F:$F,"&lt;&gt;"&amp;""))</f>
        <v>0</v>
      </c>
      <c r="N51" s="167">
        <f>IF(C51="","",COUNTIFS(Başvuru!$D:$D,C51,Başvuru!$L:$L,"RET",Başvuru!$A:$A,"&lt;&gt;"&amp;"",Başvuru!$F:$F,"&lt;&gt;"&amp;""))</f>
        <v>0</v>
      </c>
      <c r="O51" s="168">
        <f>IF(C51="","",COUNTIFS(Başvuru!$D:$D,C51,Başvuru!$L:$L,"KAPSAM DIŞI",Başvuru!$A:$A,"&lt;&gt;"&amp;"",Başvuru!$F:$F,"&lt;&gt;"&amp;""))</f>
        <v>0</v>
      </c>
      <c r="P51" s="169">
        <f>IF(C51="","",COUNTIFS(Başvuru!$D:$D,C51,Başvuru!$L:$L,"GERİ ÇEKİLDİ",Başvuru!$A:$A,"&lt;&gt;"&amp;"",Başvuru!$F:$F,"&lt;&gt;"&amp;""))</f>
        <v>0</v>
      </c>
      <c r="Q51" s="170" t="str">
        <f t="array" ref="Q51">IFERROR(INDEX(Başvuru!$D$2:$D$3000, MATCH(0, COUNTIF($Q$5:Q50, Başvuru!$D$2:$D$3000) + IF(Başvuru!$D$2:$D$3000="",1,0), 0)), "")</f>
        <v>Farmasötik Mikrobiyoloji Anabilim Dalı</v>
      </c>
      <c r="R51" s="171">
        <f>IF(Q51="","",COUNTIFS(Başvuru!$D:$D,Q51,Başvuru!$A:$A,"&lt;&gt;"&amp;"",Başvuru!$F:$F,"&lt;&gt;"&amp;""))</f>
        <v>2</v>
      </c>
      <c r="S51" s="171">
        <f>IF(R51="","",RANK(R51,$R$6:$R$155,0)+COUNTIF($R$6:R51,R51)-1)</f>
        <v>48</v>
      </c>
    </row>
    <row r="52" spans="2:19" x14ac:dyDescent="0.25">
      <c r="B52" s="159">
        <v>47</v>
      </c>
      <c r="C52" s="160" t="str">
        <f>IFERROR(INDEX($Q$6:$Q$155,MATCH(47,$S$6:$S$155,0)),"")</f>
        <v>Farmasötik Toksikoloji Anabilim Dalı</v>
      </c>
      <c r="D52" s="161">
        <f>IF(C52="","",COUNTIFS(Başvuru!$D:$D,C52,Başvuru!$A:$A,"&lt;&gt;"&amp;"",Başvuru!$F:$F,"&lt;&gt;"&amp;""))</f>
        <v>2</v>
      </c>
      <c r="E52" s="159" t="str">
        <f>IF(C52="","-",IF(D52&gt;0,TEXT(D52/(COUNTIFS(Başvuru!$A:$A,"&lt;&gt;",Başvuru!$F:$F,"&lt;&gt;")-1)*100,"0.0")&amp;"%","-"))</f>
        <v>00%</v>
      </c>
      <c r="F52" s="162">
        <f>IF(C52="","",COUNTIFS(Başvuru!$D:$D,C52,Başvuru!$G:$G,"Bireysel Araştırma",Başvuru!$A:$A,"&lt;&gt;"&amp;"",Başvuru!$F:$F,"&lt;&gt;"&amp;""))</f>
        <v>1</v>
      </c>
      <c r="G52" s="162">
        <f>IF(C52="","",COUNTIFS(Başvuru!$D:$D,C52,Başvuru!$G:$G,"Uzmanlık Tezi",Başvuru!$A:$A,"&lt;&gt;"&amp;"",Başvuru!$F:$F,"&lt;&gt;"&amp;""))</f>
        <v>0</v>
      </c>
      <c r="H52" s="162">
        <f>IF(C52="","",COUNTIFS(Başvuru!$D:$D,C52,Başvuru!$G:$G,"Doktora Tezi",Başvuru!$A:$A,"&lt;&gt;"&amp;"",Başvuru!$F:$F,"&lt;&gt;"&amp;""))</f>
        <v>1</v>
      </c>
      <c r="I52" s="162">
        <f>IF(C52="","",COUNTIFS(Başvuru!$D:$D,C52,Başvuru!$G:$G,"Yüksek Lisans Tezi",Başvuru!$A:$A,"&lt;&gt;"&amp;"",Başvuru!$F:$F,"&lt;&gt;"&amp;""))</f>
        <v>0</v>
      </c>
      <c r="J52" s="163">
        <f>IF(C52="","",COUNTIFS(Başvuru!$D:$D,C52,Başvuru!$L:$L,"ONAY",Başvuru!$A:$A,"&lt;&gt;"&amp;"",Başvuru!$F:$F,"&lt;&gt;"&amp;""))</f>
        <v>0</v>
      </c>
      <c r="K52" s="164">
        <f>IF(C52="","",COUNTIFS(Başvuru!$D:$D,C52,Başvuru!$L:$L,"DÜZELTME",Başvuru!$A:$A,"&lt;&gt;"&amp;"",Başvuru!$F:$F,"&lt;&gt;"&amp;""))</f>
        <v>1</v>
      </c>
      <c r="L52" s="165">
        <f>IF(C52="","",COUNTIFS(Başvuru!$D:$D,C52,Başvuru!$L:$L,"KAEK",Başvuru!$A:$A,"&lt;&gt;"&amp;"",Başvuru!$F:$F,"&lt;&gt;"&amp;""))</f>
        <v>0</v>
      </c>
      <c r="M52" s="166">
        <f>IF(C52="","",COUNTIFS(Başvuru!$D:$D,C52,Başvuru!$L:$L,"GÖRÜŞ",Başvuru!$A:$A,"&lt;&gt;"&amp;"",Başvuru!$F:$F,"&lt;&gt;"&amp;""))</f>
        <v>1</v>
      </c>
      <c r="N52" s="167">
        <f>IF(C52="","",COUNTIFS(Başvuru!$D:$D,C52,Başvuru!$L:$L,"RET",Başvuru!$A:$A,"&lt;&gt;"&amp;"",Başvuru!$F:$F,"&lt;&gt;"&amp;""))</f>
        <v>0</v>
      </c>
      <c r="O52" s="168">
        <f>IF(C52="","",COUNTIFS(Başvuru!$D:$D,C52,Başvuru!$L:$L,"KAPSAM DIŞI",Başvuru!$A:$A,"&lt;&gt;"&amp;"",Başvuru!$F:$F,"&lt;&gt;"&amp;""))</f>
        <v>0</v>
      </c>
      <c r="P52" s="169">
        <f>IF(C52="","",COUNTIFS(Başvuru!$D:$D,C52,Başvuru!$L:$L,"GERİ ÇEKİLDİ",Başvuru!$A:$A,"&lt;&gt;"&amp;"",Başvuru!$F:$F,"&lt;&gt;"&amp;""))</f>
        <v>0</v>
      </c>
      <c r="Q52" s="170" t="str">
        <f t="array" ref="Q52">IFERROR(INDEX(Başvuru!$D$2:$D$3000, MATCH(0, COUNTIF($Q$5:Q51, Başvuru!$D$2:$D$3000) + IF(Başvuru!$D$2:$D$3000="",1,0), 0)), "")</f>
        <v>Biyoinformatik Anabilim Dalı</v>
      </c>
      <c r="R52" s="171">
        <f>IF(Q52="","",COUNTIFS(Başvuru!$D:$D,Q52,Başvuru!$A:$A,"&lt;&gt;"&amp;"",Başvuru!$F:$F,"&lt;&gt;"&amp;""))</f>
        <v>1</v>
      </c>
      <c r="S52" s="171">
        <f>IF(R52="","",RANK(R52,$R$6:$R$155,0)+COUNTIF($R$6:R52,R52)-1)</f>
        <v>64</v>
      </c>
    </row>
    <row r="53" spans="2:19" x14ac:dyDescent="0.25">
      <c r="B53" s="159">
        <v>48</v>
      </c>
      <c r="C53" s="160" t="str">
        <f>IFERROR(INDEX($Q$6:$Q$155,MATCH(48,$S$6:$S$155,0)),"")</f>
        <v>Farmasötik Mikrobiyoloji Anabilim Dalı</v>
      </c>
      <c r="D53" s="161">
        <f>IF(C53="","",COUNTIFS(Başvuru!$D:$D,C53,Başvuru!$A:$A,"&lt;&gt;"&amp;"",Başvuru!$F:$F,"&lt;&gt;"&amp;""))</f>
        <v>2</v>
      </c>
      <c r="E53" s="159" t="str">
        <f>IF(C53="","-",IF(D53&gt;0,TEXT(D53/(COUNTIFS(Başvuru!$A:$A,"&lt;&gt;",Başvuru!$F:$F,"&lt;&gt;")-1)*100,"0.0")&amp;"%","-"))</f>
        <v>00%</v>
      </c>
      <c r="F53" s="162">
        <f>IF(C53="","",COUNTIFS(Başvuru!$D:$D,C53,Başvuru!$G:$G,"Bireysel Araştırma",Başvuru!$A:$A,"&lt;&gt;"&amp;"",Başvuru!$F:$F,"&lt;&gt;"&amp;""))</f>
        <v>1</v>
      </c>
      <c r="G53" s="162">
        <f>IF(C53="","",COUNTIFS(Başvuru!$D:$D,C53,Başvuru!$G:$G,"Uzmanlık Tezi",Başvuru!$A:$A,"&lt;&gt;"&amp;"",Başvuru!$F:$F,"&lt;&gt;"&amp;""))</f>
        <v>0</v>
      </c>
      <c r="H53" s="162">
        <f>IF(C53="","",COUNTIFS(Başvuru!$D:$D,C53,Başvuru!$G:$G,"Doktora Tezi",Başvuru!$A:$A,"&lt;&gt;"&amp;"",Başvuru!$F:$F,"&lt;&gt;"&amp;""))</f>
        <v>1</v>
      </c>
      <c r="I53" s="162">
        <f>IF(C53="","",COUNTIFS(Başvuru!$D:$D,C53,Başvuru!$G:$G,"Yüksek Lisans Tezi",Başvuru!$A:$A,"&lt;&gt;"&amp;"",Başvuru!$F:$F,"&lt;&gt;"&amp;""))</f>
        <v>0</v>
      </c>
      <c r="J53" s="163">
        <f>IF(C53="","",COUNTIFS(Başvuru!$D:$D,C53,Başvuru!$L:$L,"ONAY",Başvuru!$A:$A,"&lt;&gt;"&amp;"",Başvuru!$F:$F,"&lt;&gt;"&amp;""))</f>
        <v>0</v>
      </c>
      <c r="K53" s="164">
        <f>IF(C53="","",COUNTIFS(Başvuru!$D:$D,C53,Başvuru!$L:$L,"DÜZELTME",Başvuru!$A:$A,"&lt;&gt;"&amp;"",Başvuru!$F:$F,"&lt;&gt;"&amp;""))</f>
        <v>2</v>
      </c>
      <c r="L53" s="165">
        <f>IF(C53="","",COUNTIFS(Başvuru!$D:$D,C53,Başvuru!$L:$L,"KAEK",Başvuru!$A:$A,"&lt;&gt;"&amp;"",Başvuru!$F:$F,"&lt;&gt;"&amp;""))</f>
        <v>0</v>
      </c>
      <c r="M53" s="166">
        <f>IF(C53="","",COUNTIFS(Başvuru!$D:$D,C53,Başvuru!$L:$L,"GÖRÜŞ",Başvuru!$A:$A,"&lt;&gt;"&amp;"",Başvuru!$F:$F,"&lt;&gt;"&amp;""))</f>
        <v>0</v>
      </c>
      <c r="N53" s="167">
        <f>IF(C53="","",COUNTIFS(Başvuru!$D:$D,C53,Başvuru!$L:$L,"RET",Başvuru!$A:$A,"&lt;&gt;"&amp;"",Başvuru!$F:$F,"&lt;&gt;"&amp;""))</f>
        <v>0</v>
      </c>
      <c r="O53" s="168">
        <f>IF(C53="","",COUNTIFS(Başvuru!$D:$D,C53,Başvuru!$L:$L,"KAPSAM DIŞI",Başvuru!$A:$A,"&lt;&gt;"&amp;"",Başvuru!$F:$F,"&lt;&gt;"&amp;""))</f>
        <v>0</v>
      </c>
      <c r="P53" s="169">
        <f>IF(C53="","",COUNTIFS(Başvuru!$D:$D,C53,Başvuru!$L:$L,"GERİ ÇEKİLDİ",Başvuru!$A:$A,"&lt;&gt;"&amp;"",Başvuru!$F:$F,"&lt;&gt;"&amp;""))</f>
        <v>0</v>
      </c>
      <c r="Q53" s="170" t="str">
        <f t="array" ref="Q53">IFERROR(INDEX(Başvuru!$D$2:$D$3000, MATCH(0, COUNTIF($Q$5:Q52, Başvuru!$D$2:$D$3000) + IF(Başvuru!$D$2:$D$3000="",1,0), 0)), "")</f>
        <v>Gülhane Sağlık Bilimleri Üniversitesi
Hemşirelik Fakültesi
Doğum ve Kadın Hastalıkları Hemşireliği Anabilim Dalı</v>
      </c>
      <c r="R53" s="171">
        <f>IF(Q53="","",COUNTIFS(Başvuru!$D:$D,Q53,Başvuru!$A:$A,"&lt;&gt;"&amp;"",Başvuru!$F:$F,"&lt;&gt;"&amp;""))</f>
        <v>2</v>
      </c>
      <c r="S53" s="171">
        <f>IF(R53="","",RANK(R53,$R$6:$R$155,0)+COUNTIF($R$6:R53,R53)-1)</f>
        <v>49</v>
      </c>
    </row>
    <row r="54" spans="2:19" ht="36" x14ac:dyDescent="0.25">
      <c r="B54" s="159">
        <v>49</v>
      </c>
      <c r="C54" s="172" t="str">
        <f>IFERROR(INDEX($Q$6:$Q$155,MATCH(49,$S$6:$S$155,0)),"")</f>
        <v>Gülhane Sağlık Bilimleri Üniversitesi
Hemşirelik Fakültesi
Doğum ve Kadın Hastalıkları Hemşireliği Anabilim Dalı</v>
      </c>
      <c r="D54" s="161">
        <f>IF(C54="","",COUNTIFS(Başvuru!$D:$D,C54,Başvuru!$A:$A,"&lt;&gt;"&amp;"",Başvuru!$F:$F,"&lt;&gt;"&amp;""))</f>
        <v>2</v>
      </c>
      <c r="E54" s="159" t="str">
        <f>IF(C54="","-",IF(D54&gt;0,TEXT(D54/(COUNTIFS(Başvuru!$A:$A,"&lt;&gt;",Başvuru!$F:$F,"&lt;&gt;")-1)*100,"0.0")&amp;"%","-"))</f>
        <v>00%</v>
      </c>
      <c r="F54" s="162">
        <f>IF(C54="","",COUNTIFS(Başvuru!$D:$D,C54,Başvuru!$G:$G,"Bireysel Araştırma",Başvuru!$A:$A,"&lt;&gt;"&amp;"",Başvuru!$F:$F,"&lt;&gt;"&amp;""))</f>
        <v>2</v>
      </c>
      <c r="G54" s="162">
        <f>IF(C54="","",COUNTIFS(Başvuru!$D:$D,C54,Başvuru!$G:$G,"Uzmanlık Tezi",Başvuru!$A:$A,"&lt;&gt;"&amp;"",Başvuru!$F:$F,"&lt;&gt;"&amp;""))</f>
        <v>0</v>
      </c>
      <c r="H54" s="162">
        <f>IF(C54="","",COUNTIFS(Başvuru!$D:$D,C54,Başvuru!$G:$G,"Doktora Tezi",Başvuru!$A:$A,"&lt;&gt;"&amp;"",Başvuru!$F:$F,"&lt;&gt;"&amp;""))</f>
        <v>0</v>
      </c>
      <c r="I54" s="162">
        <f>IF(C54="","",COUNTIFS(Başvuru!$D:$D,C54,Başvuru!$G:$G,"Yüksek Lisans Tezi",Başvuru!$A:$A,"&lt;&gt;"&amp;"",Başvuru!$F:$F,"&lt;&gt;"&amp;""))</f>
        <v>0</v>
      </c>
      <c r="J54" s="163">
        <f>IF(C54="","",COUNTIFS(Başvuru!$D:$D,C54,Başvuru!$L:$L,"ONAY",Başvuru!$A:$A,"&lt;&gt;"&amp;"",Başvuru!$F:$F,"&lt;&gt;"&amp;""))</f>
        <v>1</v>
      </c>
      <c r="K54" s="164">
        <f>IF(C54="","",COUNTIFS(Başvuru!$D:$D,C54,Başvuru!$L:$L,"DÜZELTME",Başvuru!$A:$A,"&lt;&gt;"&amp;"",Başvuru!$F:$F,"&lt;&gt;"&amp;""))</f>
        <v>1</v>
      </c>
      <c r="L54" s="165">
        <f>IF(C54="","",COUNTIFS(Başvuru!$D:$D,C54,Başvuru!$L:$L,"KAEK",Başvuru!$A:$A,"&lt;&gt;"&amp;"",Başvuru!$F:$F,"&lt;&gt;"&amp;""))</f>
        <v>0</v>
      </c>
      <c r="M54" s="166">
        <f>IF(C54="","",COUNTIFS(Başvuru!$D:$D,C54,Başvuru!$L:$L,"GÖRÜŞ",Başvuru!$A:$A,"&lt;&gt;"&amp;"",Başvuru!$F:$F,"&lt;&gt;"&amp;""))</f>
        <v>0</v>
      </c>
      <c r="N54" s="167">
        <f>IF(C54="","",COUNTIFS(Başvuru!$D:$D,C54,Başvuru!$L:$L,"RET",Başvuru!$A:$A,"&lt;&gt;"&amp;"",Başvuru!$F:$F,"&lt;&gt;"&amp;""))</f>
        <v>0</v>
      </c>
      <c r="O54" s="168">
        <f>IF(C54="","",COUNTIFS(Başvuru!$D:$D,C54,Başvuru!$L:$L,"KAPSAM DIŞI",Başvuru!$A:$A,"&lt;&gt;"&amp;"",Başvuru!$F:$F,"&lt;&gt;"&amp;""))</f>
        <v>0</v>
      </c>
      <c r="P54" s="169">
        <f>IF(C54="","",COUNTIFS(Başvuru!$D:$D,C54,Başvuru!$L:$L,"GERİ ÇEKİLDİ",Başvuru!$A:$A,"&lt;&gt;"&amp;"",Başvuru!$F:$F,"&lt;&gt;"&amp;""))</f>
        <v>0</v>
      </c>
      <c r="Q54" s="170" t="str">
        <f t="array" ref="Q54">IFERROR(INDEX(Başvuru!$D$2:$D$3000, MATCH(0, COUNTIF($Q$5:Q53, Başvuru!$D$2:$D$3000) + IF(Başvuru!$D$2:$D$3000="",1,0), 0)), "")</f>
        <v>Fizyoloji Anabilim Dalı</v>
      </c>
      <c r="R54" s="171">
        <f>IF(Q54="","",COUNTIFS(Başvuru!$D:$D,Q54,Başvuru!$A:$A,"&lt;&gt;"&amp;"",Başvuru!$F:$F,"&lt;&gt;"&amp;""))</f>
        <v>2</v>
      </c>
      <c r="S54" s="171">
        <f>IF(R54="","",RANK(R54,$R$6:$R$155,0)+COUNTIF($R$6:R54,R54)-1)</f>
        <v>50</v>
      </c>
    </row>
    <row r="55" spans="2:19" x14ac:dyDescent="0.25">
      <c r="B55" s="159">
        <v>50</v>
      </c>
      <c r="C55" s="160" t="str">
        <f>IFERROR(INDEX($Q$6:$Q$155,MATCH(50,$S$6:$S$155,0)),"")</f>
        <v>Fizyoloji Anabilim Dalı</v>
      </c>
      <c r="D55" s="161">
        <f>IF(C55="","",COUNTIFS(Başvuru!$D:$D,C55,Başvuru!$A:$A,"&lt;&gt;"&amp;"",Başvuru!$F:$F,"&lt;&gt;"&amp;""))</f>
        <v>2</v>
      </c>
      <c r="E55" s="159" t="str">
        <f>IF(C55="","-",IF(D55&gt;0,TEXT(D55/(COUNTIFS(Başvuru!$A:$A,"&lt;&gt;",Başvuru!$F:$F,"&lt;&gt;")-1)*100,"0.0")&amp;"%","-"))</f>
        <v>00%</v>
      </c>
      <c r="F55" s="162">
        <f>IF(C55="","",COUNTIFS(Başvuru!$D:$D,C55,Başvuru!$G:$G,"Bireysel Araştırma",Başvuru!$A:$A,"&lt;&gt;"&amp;"",Başvuru!$F:$F,"&lt;&gt;"&amp;""))</f>
        <v>2</v>
      </c>
      <c r="G55" s="162">
        <f>IF(C55="","",COUNTIFS(Başvuru!$D:$D,C55,Başvuru!$G:$G,"Uzmanlık Tezi",Başvuru!$A:$A,"&lt;&gt;"&amp;"",Başvuru!$F:$F,"&lt;&gt;"&amp;""))</f>
        <v>0</v>
      </c>
      <c r="H55" s="162">
        <f>IF(C55="","",COUNTIFS(Başvuru!$D:$D,C55,Başvuru!$G:$G,"Doktora Tezi",Başvuru!$A:$A,"&lt;&gt;"&amp;"",Başvuru!$F:$F,"&lt;&gt;"&amp;""))</f>
        <v>0</v>
      </c>
      <c r="I55" s="162">
        <f>IF(C55="","",COUNTIFS(Başvuru!$D:$D,C55,Başvuru!$G:$G,"Yüksek Lisans Tezi",Başvuru!$A:$A,"&lt;&gt;"&amp;"",Başvuru!$F:$F,"&lt;&gt;"&amp;""))</f>
        <v>0</v>
      </c>
      <c r="J55" s="163">
        <f>IF(C55="","",COUNTIFS(Başvuru!$D:$D,C55,Başvuru!$L:$L,"ONAY",Başvuru!$A:$A,"&lt;&gt;"&amp;"",Başvuru!$F:$F,"&lt;&gt;"&amp;""))</f>
        <v>0</v>
      </c>
      <c r="K55" s="164">
        <f>IF(C55="","",COUNTIFS(Başvuru!$D:$D,C55,Başvuru!$L:$L,"DÜZELTME",Başvuru!$A:$A,"&lt;&gt;"&amp;"",Başvuru!$F:$F,"&lt;&gt;"&amp;""))</f>
        <v>2</v>
      </c>
      <c r="L55" s="165">
        <f>IF(C55="","",COUNTIFS(Başvuru!$D:$D,C55,Başvuru!$L:$L,"KAEK",Başvuru!$A:$A,"&lt;&gt;"&amp;"",Başvuru!$F:$F,"&lt;&gt;"&amp;""))</f>
        <v>0</v>
      </c>
      <c r="M55" s="166">
        <f>IF(C55="","",COUNTIFS(Başvuru!$D:$D,C55,Başvuru!$L:$L,"GÖRÜŞ",Başvuru!$A:$A,"&lt;&gt;"&amp;"",Başvuru!$F:$F,"&lt;&gt;"&amp;""))</f>
        <v>0</v>
      </c>
      <c r="N55" s="167">
        <f>IF(C55="","",COUNTIFS(Başvuru!$D:$D,C55,Başvuru!$L:$L,"RET",Başvuru!$A:$A,"&lt;&gt;"&amp;"",Başvuru!$F:$F,"&lt;&gt;"&amp;""))</f>
        <v>0</v>
      </c>
      <c r="O55" s="168">
        <f>IF(C55="","",COUNTIFS(Başvuru!$D:$D,C55,Başvuru!$L:$L,"KAPSAM DIŞI",Başvuru!$A:$A,"&lt;&gt;"&amp;"",Başvuru!$F:$F,"&lt;&gt;"&amp;""))</f>
        <v>0</v>
      </c>
      <c r="P55" s="169">
        <f>IF(C55="","",COUNTIFS(Başvuru!$D:$D,C55,Başvuru!$L:$L,"GERİ ÇEKİLDİ",Başvuru!$A:$A,"&lt;&gt;"&amp;"",Başvuru!$F:$F,"&lt;&gt;"&amp;""))</f>
        <v>0</v>
      </c>
      <c r="Q55" s="170" t="str">
        <f t="array" ref="Q55">IFERROR(INDEX(Başvuru!$D$2:$D$3000, MATCH(0, COUNTIF($Q$5:Q54, Başvuru!$D$2:$D$3000) + IF(Başvuru!$D$2:$D$3000="",1,0), 0)), "")</f>
        <v>Aile Hekimliği Anabilim Dalı</v>
      </c>
      <c r="R55" s="171">
        <f>IF(Q55="","",COUNTIFS(Başvuru!$D:$D,Q55,Başvuru!$A:$A,"&lt;&gt;"&amp;"",Başvuru!$F:$F,"&lt;&gt;"&amp;""))</f>
        <v>11</v>
      </c>
      <c r="S55" s="171">
        <f>IF(R55="","",RANK(R55,$R$6:$R$155,0)+COUNTIF($R$6:R55,R55)-1)</f>
        <v>15</v>
      </c>
    </row>
    <row r="56" spans="2:19" x14ac:dyDescent="0.25">
      <c r="B56" s="159">
        <v>51</v>
      </c>
      <c r="C56" s="160" t="str">
        <f>IFERROR(INDEX($Q$6:$Q$155,MATCH(51,$S$6:$S$155,0)),"")</f>
        <v>Biyoistatistik Anabilim Dalı</v>
      </c>
      <c r="D56" s="161">
        <f>IF(C56="","",COUNTIFS(Başvuru!$D:$D,C56,Başvuru!$A:$A,"&lt;&gt;"&amp;"",Başvuru!$F:$F,"&lt;&gt;"&amp;""))</f>
        <v>2</v>
      </c>
      <c r="E56" s="159" t="str">
        <f>IF(C56="","-",IF(D56&gt;0,TEXT(D56/(COUNTIFS(Başvuru!$A:$A,"&lt;&gt;",Başvuru!$F:$F,"&lt;&gt;")-1)*100,"0.0")&amp;"%","-"))</f>
        <v>00%</v>
      </c>
      <c r="F56" s="162">
        <f>IF(C56="","",COUNTIFS(Başvuru!$D:$D,C56,Başvuru!$G:$G,"Bireysel Araştırma",Başvuru!$A:$A,"&lt;&gt;"&amp;"",Başvuru!$F:$F,"&lt;&gt;"&amp;""))</f>
        <v>1</v>
      </c>
      <c r="G56" s="162">
        <f>IF(C56="","",COUNTIFS(Başvuru!$D:$D,C56,Başvuru!$G:$G,"Uzmanlık Tezi",Başvuru!$A:$A,"&lt;&gt;"&amp;"",Başvuru!$F:$F,"&lt;&gt;"&amp;""))</f>
        <v>0</v>
      </c>
      <c r="H56" s="162">
        <f>IF(C56="","",COUNTIFS(Başvuru!$D:$D,C56,Başvuru!$G:$G,"Doktora Tezi",Başvuru!$A:$A,"&lt;&gt;"&amp;"",Başvuru!$F:$F,"&lt;&gt;"&amp;""))</f>
        <v>1</v>
      </c>
      <c r="I56" s="162">
        <f>IF(C56="","",COUNTIFS(Başvuru!$D:$D,C56,Başvuru!$G:$G,"Yüksek Lisans Tezi",Başvuru!$A:$A,"&lt;&gt;"&amp;"",Başvuru!$F:$F,"&lt;&gt;"&amp;""))</f>
        <v>0</v>
      </c>
      <c r="J56" s="163">
        <f>IF(C56="","",COUNTIFS(Başvuru!$D:$D,C56,Başvuru!$L:$L,"ONAY",Başvuru!$A:$A,"&lt;&gt;"&amp;"",Başvuru!$F:$F,"&lt;&gt;"&amp;""))</f>
        <v>1</v>
      </c>
      <c r="K56" s="164">
        <f>IF(C56="","",COUNTIFS(Başvuru!$D:$D,C56,Başvuru!$L:$L,"DÜZELTME",Başvuru!$A:$A,"&lt;&gt;"&amp;"",Başvuru!$F:$F,"&lt;&gt;"&amp;""))</f>
        <v>0</v>
      </c>
      <c r="L56" s="165">
        <f>IF(C56="","",COUNTIFS(Başvuru!$D:$D,C56,Başvuru!$L:$L,"KAEK",Başvuru!$A:$A,"&lt;&gt;"&amp;"",Başvuru!$F:$F,"&lt;&gt;"&amp;""))</f>
        <v>0</v>
      </c>
      <c r="M56" s="166">
        <f>IF(C56="","",COUNTIFS(Başvuru!$D:$D,C56,Başvuru!$L:$L,"GÖRÜŞ",Başvuru!$A:$A,"&lt;&gt;"&amp;"",Başvuru!$F:$F,"&lt;&gt;"&amp;""))</f>
        <v>1</v>
      </c>
      <c r="N56" s="167">
        <f>IF(C56="","",COUNTIFS(Başvuru!$D:$D,C56,Başvuru!$L:$L,"RET",Başvuru!$A:$A,"&lt;&gt;"&amp;"",Başvuru!$F:$F,"&lt;&gt;"&amp;""))</f>
        <v>0</v>
      </c>
      <c r="O56" s="168">
        <f>IF(C56="","",COUNTIFS(Başvuru!$D:$D,C56,Başvuru!$L:$L,"KAPSAM DIŞI",Başvuru!$A:$A,"&lt;&gt;"&amp;"",Başvuru!$F:$F,"&lt;&gt;"&amp;""))</f>
        <v>0</v>
      </c>
      <c r="P56" s="169">
        <f>IF(C56="","",COUNTIFS(Başvuru!$D:$D,C56,Başvuru!$L:$L,"GERİ ÇEKİLDİ",Başvuru!$A:$A,"&lt;&gt;"&amp;"",Başvuru!$F:$F,"&lt;&gt;"&amp;""))</f>
        <v>0</v>
      </c>
      <c r="Q56" s="170" t="str">
        <f t="array" ref="Q56">IFERROR(INDEX(Başvuru!$D$2:$D$3000, MATCH(0, COUNTIF($Q$5:Q55, Başvuru!$D$2:$D$3000) + IF(Başvuru!$D$2:$D$3000="",1,0), 0)), "")</f>
        <v>Restoratif Diş Tedavisi Anabilim Dalı</v>
      </c>
      <c r="R56" s="171">
        <f>IF(Q56="","",COUNTIFS(Başvuru!$D:$D,Q56,Başvuru!$A:$A,"&lt;&gt;"&amp;"",Başvuru!$F:$F,"&lt;&gt;"&amp;""))</f>
        <v>4</v>
      </c>
      <c r="S56" s="171">
        <f>IF(R56="","",RANK(R56,$R$6:$R$155,0)+COUNTIF($R$6:R56,R56)-1)</f>
        <v>37</v>
      </c>
    </row>
    <row r="57" spans="2:19" x14ac:dyDescent="0.25">
      <c r="B57" s="159">
        <v>52</v>
      </c>
      <c r="C57" s="160" t="str">
        <f>IFERROR(INDEX($Q$6:$Q$155,MATCH(52,$S$6:$S$155,0)),"")</f>
        <v>Gıda Bilimleri Anabilim Dalı</v>
      </c>
      <c r="D57" s="161">
        <f>IF(C57="","",COUNTIFS(Başvuru!$D:$D,C57,Başvuru!$A:$A,"&lt;&gt;"&amp;"",Başvuru!$F:$F,"&lt;&gt;"&amp;""))</f>
        <v>2</v>
      </c>
      <c r="E57" s="159" t="str">
        <f>IF(C57="","-",IF(D57&gt;0,TEXT(D57/(COUNTIFS(Başvuru!$A:$A,"&lt;&gt;",Başvuru!$F:$F,"&lt;&gt;")-1)*100,"0.0")&amp;"%","-"))</f>
        <v>00%</v>
      </c>
      <c r="F57" s="162">
        <f>IF(C57="","",COUNTIFS(Başvuru!$D:$D,C57,Başvuru!$G:$G,"Bireysel Araştırma",Başvuru!$A:$A,"&lt;&gt;"&amp;"",Başvuru!$F:$F,"&lt;&gt;"&amp;""))</f>
        <v>1</v>
      </c>
      <c r="G57" s="162">
        <f>IF(C57="","",COUNTIFS(Başvuru!$D:$D,C57,Başvuru!$G:$G,"Uzmanlık Tezi",Başvuru!$A:$A,"&lt;&gt;"&amp;"",Başvuru!$F:$F,"&lt;&gt;"&amp;""))</f>
        <v>0</v>
      </c>
      <c r="H57" s="162">
        <f>IF(C57="","",COUNTIFS(Başvuru!$D:$D,C57,Başvuru!$G:$G,"Doktora Tezi",Başvuru!$A:$A,"&lt;&gt;"&amp;"",Başvuru!$F:$F,"&lt;&gt;"&amp;""))</f>
        <v>0</v>
      </c>
      <c r="I57" s="162">
        <f>IF(C57="","",COUNTIFS(Başvuru!$D:$D,C57,Başvuru!$G:$G,"Yüksek Lisans Tezi",Başvuru!$A:$A,"&lt;&gt;"&amp;"",Başvuru!$F:$F,"&lt;&gt;"&amp;""))</f>
        <v>1</v>
      </c>
      <c r="J57" s="163">
        <f>IF(C57="","",COUNTIFS(Başvuru!$D:$D,C57,Başvuru!$L:$L,"ONAY",Başvuru!$A:$A,"&lt;&gt;"&amp;"",Başvuru!$F:$F,"&lt;&gt;"&amp;""))</f>
        <v>1</v>
      </c>
      <c r="K57" s="164">
        <f>IF(C57="","",COUNTIFS(Başvuru!$D:$D,C57,Başvuru!$L:$L,"DÜZELTME",Başvuru!$A:$A,"&lt;&gt;"&amp;"",Başvuru!$F:$F,"&lt;&gt;"&amp;""))</f>
        <v>1</v>
      </c>
      <c r="L57" s="165">
        <f>IF(C57="","",COUNTIFS(Başvuru!$D:$D,C57,Başvuru!$L:$L,"KAEK",Başvuru!$A:$A,"&lt;&gt;"&amp;"",Başvuru!$F:$F,"&lt;&gt;"&amp;""))</f>
        <v>0</v>
      </c>
      <c r="M57" s="166">
        <f>IF(C57="","",COUNTIFS(Başvuru!$D:$D,C57,Başvuru!$L:$L,"GÖRÜŞ",Başvuru!$A:$A,"&lt;&gt;"&amp;"",Başvuru!$F:$F,"&lt;&gt;"&amp;""))</f>
        <v>0</v>
      </c>
      <c r="N57" s="167">
        <f>IF(C57="","",COUNTIFS(Başvuru!$D:$D,C57,Başvuru!$L:$L,"RET",Başvuru!$A:$A,"&lt;&gt;"&amp;"",Başvuru!$F:$F,"&lt;&gt;"&amp;""))</f>
        <v>0</v>
      </c>
      <c r="O57" s="168">
        <f>IF(C57="","",COUNTIFS(Başvuru!$D:$D,C57,Başvuru!$L:$L,"KAPSAM DIŞI",Başvuru!$A:$A,"&lt;&gt;"&amp;"",Başvuru!$F:$F,"&lt;&gt;"&amp;""))</f>
        <v>0</v>
      </c>
      <c r="P57" s="169">
        <f>IF(C57="","",COUNTIFS(Başvuru!$D:$D,C57,Başvuru!$L:$L,"GERİ ÇEKİLDİ",Başvuru!$A:$A,"&lt;&gt;"&amp;"",Başvuru!$F:$F,"&lt;&gt;"&amp;""))</f>
        <v>0</v>
      </c>
      <c r="Q57" s="170" t="str">
        <f t="array" ref="Q57">IFERROR(INDEX(Başvuru!$D$2:$D$3000, MATCH(0, COUNTIF($Q$5:Q56, Başvuru!$D$2:$D$3000) + IF(Başvuru!$D$2:$D$3000="",1,0), 0)), "")</f>
        <v>Biyoistatistik Anabilim Dalı</v>
      </c>
      <c r="R57" s="171">
        <f>IF(Q57="","",COUNTIFS(Başvuru!$D:$D,Q57,Başvuru!$A:$A,"&lt;&gt;"&amp;"",Başvuru!$F:$F,"&lt;&gt;"&amp;""))</f>
        <v>2</v>
      </c>
      <c r="S57" s="171">
        <f>IF(R57="","",RANK(R57,$R$6:$R$155,0)+COUNTIF($R$6:R57,R57)-1)</f>
        <v>51</v>
      </c>
    </row>
    <row r="58" spans="2:19" x14ac:dyDescent="0.25">
      <c r="B58" s="159">
        <v>53</v>
      </c>
      <c r="C58" s="160" t="str">
        <f>IFERROR(INDEX($Q$6:$Q$155,MATCH(53,$S$6:$S$155,0)),"")</f>
        <v>Adli Tıp Anabilim Dalı</v>
      </c>
      <c r="D58" s="161">
        <f>IF(C58="","",COUNTIFS(Başvuru!$D:$D,C58,Başvuru!$A:$A,"&lt;&gt;"&amp;"",Başvuru!$F:$F,"&lt;&gt;"&amp;""))</f>
        <v>2</v>
      </c>
      <c r="E58" s="159" t="str">
        <f>IF(C58="","-",IF(D58&gt;0,TEXT(D58/(COUNTIFS(Başvuru!$A:$A,"&lt;&gt;",Başvuru!$F:$F,"&lt;&gt;")-1)*100,"0.0")&amp;"%","-"))</f>
        <v>00%</v>
      </c>
      <c r="F58" s="162">
        <f>IF(C58="","",COUNTIFS(Başvuru!$D:$D,C58,Başvuru!$G:$G,"Bireysel Araştırma",Başvuru!$A:$A,"&lt;&gt;"&amp;"",Başvuru!$F:$F,"&lt;&gt;"&amp;""))</f>
        <v>1</v>
      </c>
      <c r="G58" s="162">
        <f>IF(C58="","",COUNTIFS(Başvuru!$D:$D,C58,Başvuru!$G:$G,"Uzmanlık Tezi",Başvuru!$A:$A,"&lt;&gt;"&amp;"",Başvuru!$F:$F,"&lt;&gt;"&amp;""))</f>
        <v>1</v>
      </c>
      <c r="H58" s="162">
        <f>IF(C58="","",COUNTIFS(Başvuru!$D:$D,C58,Başvuru!$G:$G,"Doktora Tezi",Başvuru!$A:$A,"&lt;&gt;"&amp;"",Başvuru!$F:$F,"&lt;&gt;"&amp;""))</f>
        <v>0</v>
      </c>
      <c r="I58" s="162">
        <f>IF(C58="","",COUNTIFS(Başvuru!$D:$D,C58,Başvuru!$G:$G,"Yüksek Lisans Tezi",Başvuru!$A:$A,"&lt;&gt;"&amp;"",Başvuru!$F:$F,"&lt;&gt;"&amp;""))</f>
        <v>0</v>
      </c>
      <c r="J58" s="163">
        <f>IF(C58="","",COUNTIFS(Başvuru!$D:$D,C58,Başvuru!$L:$L,"ONAY",Başvuru!$A:$A,"&lt;&gt;"&amp;"",Başvuru!$F:$F,"&lt;&gt;"&amp;""))</f>
        <v>2</v>
      </c>
      <c r="K58" s="164">
        <f>IF(C58="","",COUNTIFS(Başvuru!$D:$D,C58,Başvuru!$L:$L,"DÜZELTME",Başvuru!$A:$A,"&lt;&gt;"&amp;"",Başvuru!$F:$F,"&lt;&gt;"&amp;""))</f>
        <v>0</v>
      </c>
      <c r="L58" s="165">
        <f>IF(C58="","",COUNTIFS(Başvuru!$D:$D,C58,Başvuru!$L:$L,"KAEK",Başvuru!$A:$A,"&lt;&gt;"&amp;"",Başvuru!$F:$F,"&lt;&gt;"&amp;""))</f>
        <v>0</v>
      </c>
      <c r="M58" s="166">
        <f>IF(C58="","",COUNTIFS(Başvuru!$D:$D,C58,Başvuru!$L:$L,"GÖRÜŞ",Başvuru!$A:$A,"&lt;&gt;"&amp;"",Başvuru!$F:$F,"&lt;&gt;"&amp;""))</f>
        <v>0</v>
      </c>
      <c r="N58" s="167">
        <f>IF(C58="","",COUNTIFS(Başvuru!$D:$D,C58,Başvuru!$L:$L,"RET",Başvuru!$A:$A,"&lt;&gt;"&amp;"",Başvuru!$F:$F,"&lt;&gt;"&amp;""))</f>
        <v>0</v>
      </c>
      <c r="O58" s="168">
        <f>IF(C58="","",COUNTIFS(Başvuru!$D:$D,C58,Başvuru!$L:$L,"KAPSAM DIŞI",Başvuru!$A:$A,"&lt;&gt;"&amp;"",Başvuru!$F:$F,"&lt;&gt;"&amp;""))</f>
        <v>0</v>
      </c>
      <c r="P58" s="169">
        <f>IF(C58="","",COUNTIFS(Başvuru!$D:$D,C58,Başvuru!$L:$L,"GERİ ÇEKİLDİ",Başvuru!$A:$A,"&lt;&gt;"&amp;"",Başvuru!$F:$F,"&lt;&gt;"&amp;""))</f>
        <v>0</v>
      </c>
      <c r="Q58" s="170" t="str">
        <f t="array" ref="Q58">IFERROR(INDEX(Başvuru!$D$2:$D$3000, MATCH(0, COUNTIF($Q$5:Q57, Başvuru!$D$2:$D$3000) + IF(Başvuru!$D$2:$D$3000="",1,0), 0)), "")</f>
        <v>Gıda Bilimleri Anabilim Dalı</v>
      </c>
      <c r="R58" s="171">
        <f>IF(Q58="","",COUNTIFS(Başvuru!$D:$D,Q58,Başvuru!$A:$A,"&lt;&gt;"&amp;"",Başvuru!$F:$F,"&lt;&gt;"&amp;""))</f>
        <v>2</v>
      </c>
      <c r="S58" s="171">
        <f>IF(R58="","",RANK(R58,$R$6:$R$155,0)+COUNTIF($R$6:R58,R58)-1)</f>
        <v>52</v>
      </c>
    </row>
    <row r="59" spans="2:19" x14ac:dyDescent="0.25">
      <c r="B59" s="159">
        <v>54</v>
      </c>
      <c r="C59" s="160" t="str">
        <f>IFERROR(INDEX($Q$6:$Q$155,MATCH(54,$S$6:$S$155,0)),"")</f>
        <v>Egzersizde Beslenme ve Metabolizma Anabilim Dalı</v>
      </c>
      <c r="D59" s="161">
        <f>IF(C59="","",COUNTIFS(Başvuru!$D:$D,C59,Başvuru!$A:$A,"&lt;&gt;"&amp;"",Başvuru!$F:$F,"&lt;&gt;"&amp;""))</f>
        <v>2</v>
      </c>
      <c r="E59" s="159" t="str">
        <f>IF(C59="","-",IF(D59&gt;0,TEXT(D59/(COUNTIFS(Başvuru!$A:$A,"&lt;&gt;",Başvuru!$F:$F,"&lt;&gt;")-1)*100,"0.0")&amp;"%","-"))</f>
        <v>00%</v>
      </c>
      <c r="F59" s="162">
        <f>IF(C59="","",COUNTIFS(Başvuru!$D:$D,C59,Başvuru!$G:$G,"Bireysel Araştırma",Başvuru!$A:$A,"&lt;&gt;"&amp;"",Başvuru!$F:$F,"&lt;&gt;"&amp;""))</f>
        <v>1</v>
      </c>
      <c r="G59" s="162">
        <f>IF(C59="","",COUNTIFS(Başvuru!$D:$D,C59,Başvuru!$G:$G,"Uzmanlık Tezi",Başvuru!$A:$A,"&lt;&gt;"&amp;"",Başvuru!$F:$F,"&lt;&gt;"&amp;""))</f>
        <v>0</v>
      </c>
      <c r="H59" s="162">
        <f>IF(C59="","",COUNTIFS(Başvuru!$D:$D,C59,Başvuru!$G:$G,"Doktora Tezi",Başvuru!$A:$A,"&lt;&gt;"&amp;"",Başvuru!$F:$F,"&lt;&gt;"&amp;""))</f>
        <v>0</v>
      </c>
      <c r="I59" s="162">
        <f>IF(C59="","",COUNTIFS(Başvuru!$D:$D,C59,Başvuru!$G:$G,"Yüksek Lisans Tezi",Başvuru!$A:$A,"&lt;&gt;"&amp;"",Başvuru!$F:$F,"&lt;&gt;"&amp;""))</f>
        <v>1</v>
      </c>
      <c r="J59" s="163">
        <f>IF(C59="","",COUNTIFS(Başvuru!$D:$D,C59,Başvuru!$L:$L,"ONAY",Başvuru!$A:$A,"&lt;&gt;"&amp;"",Başvuru!$F:$F,"&lt;&gt;"&amp;""))</f>
        <v>1</v>
      </c>
      <c r="K59" s="164">
        <f>IF(C59="","",COUNTIFS(Başvuru!$D:$D,C59,Başvuru!$L:$L,"DÜZELTME",Başvuru!$A:$A,"&lt;&gt;"&amp;"",Başvuru!$F:$F,"&lt;&gt;"&amp;""))</f>
        <v>1</v>
      </c>
      <c r="L59" s="165">
        <f>IF(C59="","",COUNTIFS(Başvuru!$D:$D,C59,Başvuru!$L:$L,"KAEK",Başvuru!$A:$A,"&lt;&gt;"&amp;"",Başvuru!$F:$F,"&lt;&gt;"&amp;""))</f>
        <v>0</v>
      </c>
      <c r="M59" s="166">
        <f>IF(C59="","",COUNTIFS(Başvuru!$D:$D,C59,Başvuru!$L:$L,"GÖRÜŞ",Başvuru!$A:$A,"&lt;&gt;"&amp;"",Başvuru!$F:$F,"&lt;&gt;"&amp;""))</f>
        <v>0</v>
      </c>
      <c r="N59" s="167">
        <f>IF(C59="","",COUNTIFS(Başvuru!$D:$D,C59,Başvuru!$L:$L,"RET",Başvuru!$A:$A,"&lt;&gt;"&amp;"",Başvuru!$F:$F,"&lt;&gt;"&amp;""))</f>
        <v>0</v>
      </c>
      <c r="O59" s="168">
        <f>IF(C59="","",COUNTIFS(Başvuru!$D:$D,C59,Başvuru!$L:$L,"KAPSAM DIŞI",Başvuru!$A:$A,"&lt;&gt;"&amp;"",Başvuru!$F:$F,"&lt;&gt;"&amp;""))</f>
        <v>0</v>
      </c>
      <c r="P59" s="169">
        <f>IF(C59="","",COUNTIFS(Başvuru!$D:$D,C59,Başvuru!$L:$L,"GERİ ÇEKİLDİ",Başvuru!$A:$A,"&lt;&gt;"&amp;"",Başvuru!$F:$F,"&lt;&gt;"&amp;""))</f>
        <v>0</v>
      </c>
      <c r="Q59" s="170" t="str">
        <f t="array" ref="Q59">IFERROR(INDEX(Başvuru!$D$2:$D$3000, MATCH(0, COUNTIF($Q$5:Q58, Başvuru!$D$2:$D$3000) + IF(Başvuru!$D$2:$D$3000="",1,0), 0)), "")</f>
        <v>Plastik, Rekonstrüktif ve Estetik Cerrahi Anabilim Dalı</v>
      </c>
      <c r="R59" s="171">
        <f>IF(Q59="","",COUNTIFS(Başvuru!$D:$D,Q59,Başvuru!$A:$A,"&lt;&gt;"&amp;"",Başvuru!$F:$F,"&lt;&gt;"&amp;""))</f>
        <v>7</v>
      </c>
      <c r="S59" s="171">
        <f>IF(R59="","",RANK(R59,$R$6:$R$155,0)+COUNTIF($R$6:R59,R59)-1)</f>
        <v>26</v>
      </c>
    </row>
    <row r="60" spans="2:19" x14ac:dyDescent="0.25">
      <c r="B60" s="159">
        <v>55</v>
      </c>
      <c r="C60" s="160" t="str">
        <f>IFERROR(INDEX($Q$6:$Q$155,MATCH(55,$S$6:$S$155,0)),"")</f>
        <v>Biyofizik Anabilim Dalı</v>
      </c>
      <c r="D60" s="161">
        <f>IF(C60="","",COUNTIFS(Başvuru!$D:$D,C60,Başvuru!$A:$A,"&lt;&gt;"&amp;"",Başvuru!$F:$F,"&lt;&gt;"&amp;""))</f>
        <v>2</v>
      </c>
      <c r="E60" s="159" t="str">
        <f>IF(C60="","-",IF(D60&gt;0,TEXT(D60/(COUNTIFS(Başvuru!$A:$A,"&lt;&gt;",Başvuru!$F:$F,"&lt;&gt;")-1)*100,"0.0")&amp;"%","-"))</f>
        <v>00%</v>
      </c>
      <c r="F60" s="162">
        <f>IF(C60="","",COUNTIFS(Başvuru!$D:$D,C60,Başvuru!$G:$G,"Bireysel Araştırma",Başvuru!$A:$A,"&lt;&gt;"&amp;"",Başvuru!$F:$F,"&lt;&gt;"&amp;""))</f>
        <v>1</v>
      </c>
      <c r="G60" s="162">
        <f>IF(C60="","",COUNTIFS(Başvuru!$D:$D,C60,Başvuru!$G:$G,"Uzmanlık Tezi",Başvuru!$A:$A,"&lt;&gt;"&amp;"",Başvuru!$F:$F,"&lt;&gt;"&amp;""))</f>
        <v>0</v>
      </c>
      <c r="H60" s="162">
        <f>IF(C60="","",COUNTIFS(Başvuru!$D:$D,C60,Başvuru!$G:$G,"Doktora Tezi",Başvuru!$A:$A,"&lt;&gt;"&amp;"",Başvuru!$F:$F,"&lt;&gt;"&amp;""))</f>
        <v>1</v>
      </c>
      <c r="I60" s="162">
        <f>IF(C60="","",COUNTIFS(Başvuru!$D:$D,C60,Başvuru!$G:$G,"Yüksek Lisans Tezi",Başvuru!$A:$A,"&lt;&gt;"&amp;"",Başvuru!$F:$F,"&lt;&gt;"&amp;""))</f>
        <v>0</v>
      </c>
      <c r="J60" s="163">
        <f>IF(C60="","",COUNTIFS(Başvuru!$D:$D,C60,Başvuru!$L:$L,"ONAY",Başvuru!$A:$A,"&lt;&gt;"&amp;"",Başvuru!$F:$F,"&lt;&gt;"&amp;""))</f>
        <v>2</v>
      </c>
      <c r="K60" s="164">
        <f>IF(C60="","",COUNTIFS(Başvuru!$D:$D,C60,Başvuru!$L:$L,"DÜZELTME",Başvuru!$A:$A,"&lt;&gt;"&amp;"",Başvuru!$F:$F,"&lt;&gt;"&amp;""))</f>
        <v>0</v>
      </c>
      <c r="L60" s="165">
        <f>IF(C60="","",COUNTIFS(Başvuru!$D:$D,C60,Başvuru!$L:$L,"KAEK",Başvuru!$A:$A,"&lt;&gt;"&amp;"",Başvuru!$F:$F,"&lt;&gt;"&amp;""))</f>
        <v>0</v>
      </c>
      <c r="M60" s="166">
        <f>IF(C60="","",COUNTIFS(Başvuru!$D:$D,C60,Başvuru!$L:$L,"GÖRÜŞ",Başvuru!$A:$A,"&lt;&gt;"&amp;"",Başvuru!$F:$F,"&lt;&gt;"&amp;""))</f>
        <v>0</v>
      </c>
      <c r="N60" s="167">
        <f>IF(C60="","",COUNTIFS(Başvuru!$D:$D,C60,Başvuru!$L:$L,"RET",Başvuru!$A:$A,"&lt;&gt;"&amp;"",Başvuru!$F:$F,"&lt;&gt;"&amp;""))</f>
        <v>0</v>
      </c>
      <c r="O60" s="168">
        <f>IF(C60="","",COUNTIFS(Başvuru!$D:$D,C60,Başvuru!$L:$L,"KAPSAM DIŞI",Başvuru!$A:$A,"&lt;&gt;"&amp;"",Başvuru!$F:$F,"&lt;&gt;"&amp;""))</f>
        <v>0</v>
      </c>
      <c r="P60" s="169">
        <f>IF(C60="","",COUNTIFS(Başvuru!$D:$D,C60,Başvuru!$L:$L,"GERİ ÇEKİLDİ",Başvuru!$A:$A,"&lt;&gt;"&amp;"",Başvuru!$F:$F,"&lt;&gt;"&amp;""))</f>
        <v>0</v>
      </c>
      <c r="Q60" s="170" t="str">
        <f t="array" ref="Q60">IFERROR(INDEX(Başvuru!$D$2:$D$3000, MATCH(0, COUNTIF($Q$5:Q59, Başvuru!$D$2:$D$3000) + IF(Başvuru!$D$2:$D$3000="",1,0), 0)), "")</f>
        <v>Kök Hücre Bilimleri Anabilim Dalı</v>
      </c>
      <c r="R60" s="171">
        <f>IF(Q60="","",COUNTIFS(Başvuru!$D:$D,Q60,Başvuru!$A:$A,"&lt;&gt;"&amp;"",Başvuru!$F:$F,"&lt;&gt;"&amp;""))</f>
        <v>4</v>
      </c>
      <c r="S60" s="171">
        <f>IF(R60="","",RANK(R60,$R$6:$R$155,0)+COUNTIF($R$6:R60,R60)-1)</f>
        <v>38</v>
      </c>
    </row>
    <row r="61" spans="2:19" x14ac:dyDescent="0.25">
      <c r="B61" s="159">
        <v>56</v>
      </c>
      <c r="C61" s="160" t="str">
        <f>IFERROR(INDEX($Q$6:$Q$155,MATCH(56,$S$6:$S$155,0)),"")</f>
        <v>Kalp ve Damar Cerrahisi Anabilim Dalı</v>
      </c>
      <c r="D61" s="161">
        <f>IF(C61="","",COUNTIFS(Başvuru!$D:$D,C61,Başvuru!$A:$A,"&lt;&gt;"&amp;"",Başvuru!$F:$F,"&lt;&gt;"&amp;""))</f>
        <v>2</v>
      </c>
      <c r="E61" s="159" t="str">
        <f>IF(C61="","-",IF(D61&gt;0,TEXT(D61/(COUNTIFS(Başvuru!$A:$A,"&lt;&gt;",Başvuru!$F:$F,"&lt;&gt;")-1)*100,"0.0")&amp;"%","-"))</f>
        <v>00%</v>
      </c>
      <c r="F61" s="162">
        <f>IF(C61="","",COUNTIFS(Başvuru!$D:$D,C61,Başvuru!$G:$G,"Bireysel Araştırma",Başvuru!$A:$A,"&lt;&gt;"&amp;"",Başvuru!$F:$F,"&lt;&gt;"&amp;""))</f>
        <v>0</v>
      </c>
      <c r="G61" s="162">
        <f>IF(C61="","",COUNTIFS(Başvuru!$D:$D,C61,Başvuru!$G:$G,"Uzmanlık Tezi",Başvuru!$A:$A,"&lt;&gt;"&amp;"",Başvuru!$F:$F,"&lt;&gt;"&amp;""))</f>
        <v>2</v>
      </c>
      <c r="H61" s="162">
        <f>IF(C61="","",COUNTIFS(Başvuru!$D:$D,C61,Başvuru!$G:$G,"Doktora Tezi",Başvuru!$A:$A,"&lt;&gt;"&amp;"",Başvuru!$F:$F,"&lt;&gt;"&amp;""))</f>
        <v>0</v>
      </c>
      <c r="I61" s="162">
        <f>IF(C61="","",COUNTIFS(Başvuru!$D:$D,C61,Başvuru!$G:$G,"Yüksek Lisans Tezi",Başvuru!$A:$A,"&lt;&gt;"&amp;"",Başvuru!$F:$F,"&lt;&gt;"&amp;""))</f>
        <v>0</v>
      </c>
      <c r="J61" s="163">
        <f>IF(C61="","",COUNTIFS(Başvuru!$D:$D,C61,Başvuru!$L:$L,"ONAY",Başvuru!$A:$A,"&lt;&gt;"&amp;"",Başvuru!$F:$F,"&lt;&gt;"&amp;""))</f>
        <v>0</v>
      </c>
      <c r="K61" s="164">
        <f>IF(C61="","",COUNTIFS(Başvuru!$D:$D,C61,Başvuru!$L:$L,"DÜZELTME",Başvuru!$A:$A,"&lt;&gt;"&amp;"",Başvuru!$F:$F,"&lt;&gt;"&amp;""))</f>
        <v>0</v>
      </c>
      <c r="L61" s="165">
        <f>IF(C61="","",COUNTIFS(Başvuru!$D:$D,C61,Başvuru!$L:$L,"KAEK",Başvuru!$A:$A,"&lt;&gt;"&amp;"",Başvuru!$F:$F,"&lt;&gt;"&amp;""))</f>
        <v>0</v>
      </c>
      <c r="M61" s="166">
        <f>IF(C61="","",COUNTIFS(Başvuru!$D:$D,C61,Başvuru!$L:$L,"GÖRÜŞ",Başvuru!$A:$A,"&lt;&gt;"&amp;"",Başvuru!$F:$F,"&lt;&gt;"&amp;""))</f>
        <v>0</v>
      </c>
      <c r="N61" s="167">
        <f>IF(C61="","",COUNTIFS(Başvuru!$D:$D,C61,Başvuru!$L:$L,"RET",Başvuru!$A:$A,"&lt;&gt;"&amp;"",Başvuru!$F:$F,"&lt;&gt;"&amp;""))</f>
        <v>0</v>
      </c>
      <c r="O61" s="168">
        <f>IF(C61="","",COUNTIFS(Başvuru!$D:$D,C61,Başvuru!$L:$L,"KAPSAM DIŞI",Başvuru!$A:$A,"&lt;&gt;"&amp;"",Başvuru!$F:$F,"&lt;&gt;"&amp;""))</f>
        <v>0</v>
      </c>
      <c r="P61" s="169">
        <f>IF(C61="","",COUNTIFS(Başvuru!$D:$D,C61,Başvuru!$L:$L,"GERİ ÇEKİLDİ",Başvuru!$A:$A,"&lt;&gt;"&amp;"",Başvuru!$F:$F,"&lt;&gt;"&amp;""))</f>
        <v>0</v>
      </c>
      <c r="Q61" s="170" t="str">
        <f t="array" ref="Q61">IFERROR(INDEX(Başvuru!$D$2:$D$3000, MATCH(0, COUNTIF($Q$5:Q60, Başvuru!$D$2:$D$3000) + IF(Başvuru!$D$2:$D$3000="",1,0), 0)), "")</f>
        <v>Enfeksiyon Hastalıkları ve Klinik Mikrobiyoloji Anabilim Dalı</v>
      </c>
      <c r="R61" s="171">
        <f>IF(Q61="","",COUNTIFS(Başvuru!$D:$D,Q61,Başvuru!$A:$A,"&lt;&gt;"&amp;"",Başvuru!$F:$F,"&lt;&gt;"&amp;""))</f>
        <v>4</v>
      </c>
      <c r="S61" s="171">
        <f>IF(R61="","",RANK(R61,$R$6:$R$155,0)+COUNTIF($R$6:R61,R61)-1)</f>
        <v>39</v>
      </c>
    </row>
    <row r="62" spans="2:19" x14ac:dyDescent="0.25">
      <c r="B62" s="159">
        <v>57</v>
      </c>
      <c r="C62" s="160" t="str">
        <f>IFERROR(INDEX($Q$6:$Q$155,MATCH(57,$S$6:$S$155,0)),"")</f>
        <v>Sağlık Bilimleri Enstitüsü</v>
      </c>
      <c r="D62" s="161">
        <f>IF(C62="","",COUNTIFS(Başvuru!$D:$D,C62,Başvuru!$A:$A,"&lt;&gt;"&amp;"",Başvuru!$F:$F,"&lt;&gt;"&amp;""))</f>
        <v>1</v>
      </c>
      <c r="E62" s="159" t="str">
        <f>IF(C62="","-",IF(D62&gt;0,TEXT(D62/(COUNTIFS(Başvuru!$A:$A,"&lt;&gt;",Başvuru!$F:$F,"&lt;&gt;")-1)*100,"0.0")&amp;"%","-"))</f>
        <v>00%</v>
      </c>
      <c r="F62" s="162">
        <f>IF(C62="","",COUNTIFS(Başvuru!$D:$D,C62,Başvuru!$G:$G,"Bireysel Araştırma",Başvuru!$A:$A,"&lt;&gt;"&amp;"",Başvuru!$F:$F,"&lt;&gt;"&amp;""))</f>
        <v>1</v>
      </c>
      <c r="G62" s="162">
        <f>IF(C62="","",COUNTIFS(Başvuru!$D:$D,C62,Başvuru!$G:$G,"Uzmanlık Tezi",Başvuru!$A:$A,"&lt;&gt;"&amp;"",Başvuru!$F:$F,"&lt;&gt;"&amp;""))</f>
        <v>0</v>
      </c>
      <c r="H62" s="162">
        <f>IF(C62="","",COUNTIFS(Başvuru!$D:$D,C62,Başvuru!$G:$G,"Doktora Tezi",Başvuru!$A:$A,"&lt;&gt;"&amp;"",Başvuru!$F:$F,"&lt;&gt;"&amp;""))</f>
        <v>0</v>
      </c>
      <c r="I62" s="162">
        <f>IF(C62="","",COUNTIFS(Başvuru!$D:$D,C62,Başvuru!$G:$G,"Yüksek Lisans Tezi",Başvuru!$A:$A,"&lt;&gt;"&amp;"",Başvuru!$F:$F,"&lt;&gt;"&amp;""))</f>
        <v>0</v>
      </c>
      <c r="J62" s="163">
        <f>IF(C62="","",COUNTIFS(Başvuru!$D:$D,C62,Başvuru!$L:$L,"ONAY",Başvuru!$A:$A,"&lt;&gt;"&amp;"",Başvuru!$F:$F,"&lt;&gt;"&amp;""))</f>
        <v>1</v>
      </c>
      <c r="K62" s="164">
        <f>IF(C62="","",COUNTIFS(Başvuru!$D:$D,C62,Başvuru!$L:$L,"DÜZELTME",Başvuru!$A:$A,"&lt;&gt;"&amp;"",Başvuru!$F:$F,"&lt;&gt;"&amp;""))</f>
        <v>0</v>
      </c>
      <c r="L62" s="165">
        <f>IF(C62="","",COUNTIFS(Başvuru!$D:$D,C62,Başvuru!$L:$L,"KAEK",Başvuru!$A:$A,"&lt;&gt;"&amp;"",Başvuru!$F:$F,"&lt;&gt;"&amp;""))</f>
        <v>0</v>
      </c>
      <c r="M62" s="166">
        <f>IF(C62="","",COUNTIFS(Başvuru!$D:$D,C62,Başvuru!$L:$L,"GÖRÜŞ",Başvuru!$A:$A,"&lt;&gt;"&amp;"",Başvuru!$F:$F,"&lt;&gt;"&amp;""))</f>
        <v>0</v>
      </c>
      <c r="N62" s="167">
        <f>IF(C62="","",COUNTIFS(Başvuru!$D:$D,C62,Başvuru!$L:$L,"RET",Başvuru!$A:$A,"&lt;&gt;"&amp;"",Başvuru!$F:$F,"&lt;&gt;"&amp;""))</f>
        <v>0</v>
      </c>
      <c r="O62" s="168">
        <f>IF(C62="","",COUNTIFS(Başvuru!$D:$D,C62,Başvuru!$L:$L,"KAPSAM DIŞI",Başvuru!$A:$A,"&lt;&gt;"&amp;"",Başvuru!$F:$F,"&lt;&gt;"&amp;""))</f>
        <v>0</v>
      </c>
      <c r="P62" s="169">
        <f>IF(C62="","",COUNTIFS(Başvuru!$D:$D,C62,Başvuru!$L:$L,"GERİ ÇEKİLDİ",Başvuru!$A:$A,"&lt;&gt;"&amp;"",Başvuru!$F:$F,"&lt;&gt;"&amp;""))</f>
        <v>0</v>
      </c>
      <c r="Q62" s="170" t="str">
        <f t="array" ref="Q62">IFERROR(INDEX(Başvuru!$D$2:$D$3000, MATCH(0, COUNTIF($Q$5:Q61, Başvuru!$D$2:$D$3000) + IF(Başvuru!$D$2:$D$3000="",1,0), 0)), "")</f>
        <v>Çocuk Sağlığı Entitüsü</v>
      </c>
      <c r="R62" s="171">
        <f>IF(Q62="","",COUNTIFS(Başvuru!$D:$D,Q62,Başvuru!$A:$A,"&lt;&gt;"&amp;"",Başvuru!$F:$F,"&lt;&gt;"&amp;""))</f>
        <v>1</v>
      </c>
      <c r="S62" s="171">
        <f>IF(R62="","",RANK(R62,$R$6:$R$155,0)+COUNTIF($R$6:R62,R62)-1)</f>
        <v>65</v>
      </c>
    </row>
    <row r="63" spans="2:19" x14ac:dyDescent="0.25">
      <c r="B63" s="159">
        <v>58</v>
      </c>
      <c r="C63" s="160" t="str">
        <f>IFERROR(INDEX($Q$6:$Q$155,MATCH(58,$S$6:$S$155,0)),"")</f>
        <v>Moleküler Biyoloji Anabilim Dalı</v>
      </c>
      <c r="D63" s="161">
        <f>IF(C63="","",COUNTIFS(Başvuru!$D:$D,C63,Başvuru!$A:$A,"&lt;&gt;"&amp;"",Başvuru!$F:$F,"&lt;&gt;"&amp;""))</f>
        <v>1</v>
      </c>
      <c r="E63" s="159" t="str">
        <f>IF(C63="","-",IF(D63&gt;0,TEXT(D63/(COUNTIFS(Başvuru!$A:$A,"&lt;&gt;",Başvuru!$F:$F,"&lt;&gt;")-1)*100,"0.0")&amp;"%","-"))</f>
        <v>00%</v>
      </c>
      <c r="F63" s="162">
        <f>IF(C63="","",COUNTIFS(Başvuru!$D:$D,C63,Başvuru!$G:$G,"Bireysel Araştırma",Başvuru!$A:$A,"&lt;&gt;"&amp;"",Başvuru!$F:$F,"&lt;&gt;"&amp;""))</f>
        <v>1</v>
      </c>
      <c r="G63" s="162">
        <f>IF(C63="","",COUNTIFS(Başvuru!$D:$D,C63,Başvuru!$G:$G,"Uzmanlık Tezi",Başvuru!$A:$A,"&lt;&gt;"&amp;"",Başvuru!$F:$F,"&lt;&gt;"&amp;""))</f>
        <v>0</v>
      </c>
      <c r="H63" s="162">
        <f>IF(C63="","",COUNTIFS(Başvuru!$D:$D,C63,Başvuru!$G:$G,"Doktora Tezi",Başvuru!$A:$A,"&lt;&gt;"&amp;"",Başvuru!$F:$F,"&lt;&gt;"&amp;""))</f>
        <v>0</v>
      </c>
      <c r="I63" s="162">
        <f>IF(C63="","",COUNTIFS(Başvuru!$D:$D,C63,Başvuru!$G:$G,"Yüksek Lisans Tezi",Başvuru!$A:$A,"&lt;&gt;"&amp;"",Başvuru!$F:$F,"&lt;&gt;"&amp;""))</f>
        <v>0</v>
      </c>
      <c r="J63" s="163">
        <f>IF(C63="","",COUNTIFS(Başvuru!$D:$D,C63,Başvuru!$L:$L,"ONAY",Başvuru!$A:$A,"&lt;&gt;"&amp;"",Başvuru!$F:$F,"&lt;&gt;"&amp;""))</f>
        <v>1</v>
      </c>
      <c r="K63" s="164">
        <f>IF(C63="","",COUNTIFS(Başvuru!$D:$D,C63,Başvuru!$L:$L,"DÜZELTME",Başvuru!$A:$A,"&lt;&gt;"&amp;"",Başvuru!$F:$F,"&lt;&gt;"&amp;""))</f>
        <v>0</v>
      </c>
      <c r="L63" s="165">
        <f>IF(C63="","",COUNTIFS(Başvuru!$D:$D,C63,Başvuru!$L:$L,"KAEK",Başvuru!$A:$A,"&lt;&gt;"&amp;"",Başvuru!$F:$F,"&lt;&gt;"&amp;""))</f>
        <v>0</v>
      </c>
      <c r="M63" s="166">
        <f>IF(C63="","",COUNTIFS(Başvuru!$D:$D,C63,Başvuru!$L:$L,"GÖRÜŞ",Başvuru!$A:$A,"&lt;&gt;"&amp;"",Başvuru!$F:$F,"&lt;&gt;"&amp;""))</f>
        <v>0</v>
      </c>
      <c r="N63" s="167">
        <f>IF(C63="","",COUNTIFS(Başvuru!$D:$D,C63,Başvuru!$L:$L,"RET",Başvuru!$A:$A,"&lt;&gt;"&amp;"",Başvuru!$F:$F,"&lt;&gt;"&amp;""))</f>
        <v>0</v>
      </c>
      <c r="O63" s="168">
        <f>IF(C63="","",COUNTIFS(Başvuru!$D:$D,C63,Başvuru!$L:$L,"KAPSAM DIŞI",Başvuru!$A:$A,"&lt;&gt;"&amp;"",Başvuru!$F:$F,"&lt;&gt;"&amp;""))</f>
        <v>0</v>
      </c>
      <c r="P63" s="169">
        <f>IF(C63="","",COUNTIFS(Başvuru!$D:$D,C63,Başvuru!$L:$L,"GERİ ÇEKİLDİ",Başvuru!$A:$A,"&lt;&gt;"&amp;"",Başvuru!$F:$F,"&lt;&gt;"&amp;""))</f>
        <v>0</v>
      </c>
      <c r="Q63" s="170" t="str">
        <f t="array" ref="Q63">IFERROR(INDEX(Başvuru!$D$2:$D$3000, MATCH(0, COUNTIF($Q$5:Q62, Başvuru!$D$2:$D$3000) + IF(Başvuru!$D$2:$D$3000="",1,0), 0)), "")</f>
        <v>Adli Tıp Anabilim Dalı</v>
      </c>
      <c r="R63" s="171">
        <f>IF(Q63="","",COUNTIFS(Başvuru!$D:$D,Q63,Başvuru!$A:$A,"&lt;&gt;"&amp;"",Başvuru!$F:$F,"&lt;&gt;"&amp;""))</f>
        <v>2</v>
      </c>
      <c r="S63" s="171">
        <f>IF(R63="","",RANK(R63,$R$6:$R$155,0)+COUNTIF($R$6:R63,R63)-1)</f>
        <v>53</v>
      </c>
    </row>
    <row r="64" spans="2:19" x14ac:dyDescent="0.25">
      <c r="B64" s="159">
        <v>59</v>
      </c>
      <c r="C64" s="160" t="str">
        <f>IFERROR(INDEX($Q$6:$Q$155,MATCH(59,$S$6:$S$155,0)),"")</f>
        <v>Fizikokimya Anabilim Dalı</v>
      </c>
      <c r="D64" s="161">
        <f>IF(C64="","",COUNTIFS(Başvuru!$D:$D,C64,Başvuru!$A:$A,"&lt;&gt;"&amp;"",Başvuru!$F:$F,"&lt;&gt;"&amp;""))</f>
        <v>1</v>
      </c>
      <c r="E64" s="159" t="str">
        <f>IF(C64="","-",IF(D64&gt;0,TEXT(D64/(COUNTIFS(Başvuru!$A:$A,"&lt;&gt;",Başvuru!$F:$F,"&lt;&gt;")-1)*100,"0.0")&amp;"%","-"))</f>
        <v>00%</v>
      </c>
      <c r="F64" s="162">
        <f>IF(C64="","",COUNTIFS(Başvuru!$D:$D,C64,Başvuru!$G:$G,"Bireysel Araştırma",Başvuru!$A:$A,"&lt;&gt;"&amp;"",Başvuru!$F:$F,"&lt;&gt;"&amp;""))</f>
        <v>0</v>
      </c>
      <c r="G64" s="162">
        <f>IF(C64="","",COUNTIFS(Başvuru!$D:$D,C64,Başvuru!$G:$G,"Uzmanlık Tezi",Başvuru!$A:$A,"&lt;&gt;"&amp;"",Başvuru!$F:$F,"&lt;&gt;"&amp;""))</f>
        <v>0</v>
      </c>
      <c r="H64" s="162">
        <f>IF(C64="","",COUNTIFS(Başvuru!$D:$D,C64,Başvuru!$G:$G,"Doktora Tezi",Başvuru!$A:$A,"&lt;&gt;"&amp;"",Başvuru!$F:$F,"&lt;&gt;"&amp;""))</f>
        <v>1</v>
      </c>
      <c r="I64" s="162">
        <f>IF(C64="","",COUNTIFS(Başvuru!$D:$D,C64,Başvuru!$G:$G,"Yüksek Lisans Tezi",Başvuru!$A:$A,"&lt;&gt;"&amp;"",Başvuru!$F:$F,"&lt;&gt;"&amp;""))</f>
        <v>0</v>
      </c>
      <c r="J64" s="163">
        <f>IF(C64="","",COUNTIFS(Başvuru!$D:$D,C64,Başvuru!$L:$L,"ONAY",Başvuru!$A:$A,"&lt;&gt;"&amp;"",Başvuru!$F:$F,"&lt;&gt;"&amp;""))</f>
        <v>0</v>
      </c>
      <c r="K64" s="164">
        <f>IF(C64="","",COUNTIFS(Başvuru!$D:$D,C64,Başvuru!$L:$L,"DÜZELTME",Başvuru!$A:$A,"&lt;&gt;"&amp;"",Başvuru!$F:$F,"&lt;&gt;"&amp;""))</f>
        <v>1</v>
      </c>
      <c r="L64" s="165">
        <f>IF(C64="","",COUNTIFS(Başvuru!$D:$D,C64,Başvuru!$L:$L,"KAEK",Başvuru!$A:$A,"&lt;&gt;"&amp;"",Başvuru!$F:$F,"&lt;&gt;"&amp;""))</f>
        <v>0</v>
      </c>
      <c r="M64" s="166">
        <f>IF(C64="","",COUNTIFS(Başvuru!$D:$D,C64,Başvuru!$L:$L,"GÖRÜŞ",Başvuru!$A:$A,"&lt;&gt;"&amp;"",Başvuru!$F:$F,"&lt;&gt;"&amp;""))</f>
        <v>0</v>
      </c>
      <c r="N64" s="167">
        <f>IF(C64="","",COUNTIFS(Başvuru!$D:$D,C64,Başvuru!$L:$L,"RET",Başvuru!$A:$A,"&lt;&gt;"&amp;"",Başvuru!$F:$F,"&lt;&gt;"&amp;""))</f>
        <v>0</v>
      </c>
      <c r="O64" s="168">
        <f>IF(C64="","",COUNTIFS(Başvuru!$D:$D,C64,Başvuru!$L:$L,"KAPSAM DIŞI",Başvuru!$A:$A,"&lt;&gt;"&amp;"",Başvuru!$F:$F,"&lt;&gt;"&amp;""))</f>
        <v>0</v>
      </c>
      <c r="P64" s="169">
        <f>IF(C64="","",COUNTIFS(Başvuru!$D:$D,C64,Başvuru!$L:$L,"GERİ ÇEKİLDİ",Başvuru!$A:$A,"&lt;&gt;"&amp;"",Başvuru!$F:$F,"&lt;&gt;"&amp;""))</f>
        <v>0</v>
      </c>
      <c r="Q64" s="170" t="str">
        <f t="array" ref="Q64">IFERROR(INDEX(Başvuru!$D$2:$D$3000, MATCH(0, COUNTIF($Q$5:Q63, Başvuru!$D$2:$D$3000) + IF(Başvuru!$D$2:$D$3000="",1,0), 0)), "")</f>
        <v>Tıbbi Genetik Anabilim Dalı</v>
      </c>
      <c r="R64" s="171">
        <f>IF(Q64="","",COUNTIFS(Başvuru!$D:$D,Q64,Başvuru!$A:$A,"&lt;&gt;"&amp;"",Başvuru!$F:$F,"&lt;&gt;"&amp;""))</f>
        <v>1</v>
      </c>
      <c r="S64" s="171">
        <f>IF(R64="","",RANK(R64,$R$6:$R$155,0)+COUNTIF($R$6:R64,R64)-1)</f>
        <v>66</v>
      </c>
    </row>
    <row r="65" spans="2:19" x14ac:dyDescent="0.25">
      <c r="B65" s="159">
        <v>60</v>
      </c>
      <c r="C65" s="160" t="str">
        <f>IFERROR(INDEX($Q$6:$Q$155,MATCH(60,$S$6:$S$155,0)),"")</f>
        <v>Sağlık Araştırmaları Anabilim Dalı</v>
      </c>
      <c r="D65" s="161">
        <f>IF(C65="","",COUNTIFS(Başvuru!$D:$D,C65,Başvuru!$A:$A,"&lt;&gt;"&amp;"",Başvuru!$F:$F,"&lt;&gt;"&amp;""))</f>
        <v>1</v>
      </c>
      <c r="E65" s="159" t="str">
        <f>IF(C65="","-",IF(D65&gt;0,TEXT(D65/(COUNTIFS(Başvuru!$A:$A,"&lt;&gt;",Başvuru!$F:$F,"&lt;&gt;")-1)*100,"0.0")&amp;"%","-"))</f>
        <v>00%</v>
      </c>
      <c r="F65" s="162">
        <f>IF(C65="","",COUNTIFS(Başvuru!$D:$D,C65,Başvuru!$G:$G,"Bireysel Araştırma",Başvuru!$A:$A,"&lt;&gt;"&amp;"",Başvuru!$F:$F,"&lt;&gt;"&amp;""))</f>
        <v>1</v>
      </c>
      <c r="G65" s="162">
        <f>IF(C65="","",COUNTIFS(Başvuru!$D:$D,C65,Başvuru!$G:$G,"Uzmanlık Tezi",Başvuru!$A:$A,"&lt;&gt;"&amp;"",Başvuru!$F:$F,"&lt;&gt;"&amp;""))</f>
        <v>0</v>
      </c>
      <c r="H65" s="162">
        <f>IF(C65="","",COUNTIFS(Başvuru!$D:$D,C65,Başvuru!$G:$G,"Doktora Tezi",Başvuru!$A:$A,"&lt;&gt;"&amp;"",Başvuru!$F:$F,"&lt;&gt;"&amp;""))</f>
        <v>0</v>
      </c>
      <c r="I65" s="162">
        <f>IF(C65="","",COUNTIFS(Başvuru!$D:$D,C65,Başvuru!$G:$G,"Yüksek Lisans Tezi",Başvuru!$A:$A,"&lt;&gt;"&amp;"",Başvuru!$F:$F,"&lt;&gt;"&amp;""))</f>
        <v>0</v>
      </c>
      <c r="J65" s="163">
        <f>IF(C65="","",COUNTIFS(Başvuru!$D:$D,C65,Başvuru!$L:$L,"ONAY",Başvuru!$A:$A,"&lt;&gt;"&amp;"",Başvuru!$F:$F,"&lt;&gt;"&amp;""))</f>
        <v>0</v>
      </c>
      <c r="K65" s="164">
        <f>IF(C65="","",COUNTIFS(Başvuru!$D:$D,C65,Başvuru!$L:$L,"DÜZELTME",Başvuru!$A:$A,"&lt;&gt;"&amp;"",Başvuru!$F:$F,"&lt;&gt;"&amp;""))</f>
        <v>1</v>
      </c>
      <c r="L65" s="165">
        <f>IF(C65="","",COUNTIFS(Başvuru!$D:$D,C65,Başvuru!$L:$L,"KAEK",Başvuru!$A:$A,"&lt;&gt;"&amp;"",Başvuru!$F:$F,"&lt;&gt;"&amp;""))</f>
        <v>0</v>
      </c>
      <c r="M65" s="166">
        <f>IF(C65="","",COUNTIFS(Başvuru!$D:$D,C65,Başvuru!$L:$L,"GÖRÜŞ",Başvuru!$A:$A,"&lt;&gt;"&amp;"",Başvuru!$F:$F,"&lt;&gt;"&amp;""))</f>
        <v>0</v>
      </c>
      <c r="N65" s="167">
        <f>IF(C65="","",COUNTIFS(Başvuru!$D:$D,C65,Başvuru!$L:$L,"RET",Başvuru!$A:$A,"&lt;&gt;"&amp;"",Başvuru!$F:$F,"&lt;&gt;"&amp;""))</f>
        <v>0</v>
      </c>
      <c r="O65" s="168">
        <f>IF(C65="","",COUNTIFS(Başvuru!$D:$D,C65,Başvuru!$L:$L,"KAPSAM DIŞI",Başvuru!$A:$A,"&lt;&gt;"&amp;"",Başvuru!$F:$F,"&lt;&gt;"&amp;""))</f>
        <v>0</v>
      </c>
      <c r="P65" s="169">
        <f>IF(C65="","",COUNTIFS(Başvuru!$D:$D,C65,Başvuru!$L:$L,"GERİ ÇEKİLDİ",Başvuru!$A:$A,"&lt;&gt;"&amp;"",Başvuru!$F:$F,"&lt;&gt;"&amp;""))</f>
        <v>0</v>
      </c>
      <c r="Q65" s="170" t="str">
        <f t="array" ref="Q65">IFERROR(INDEX(Başvuru!$D$2:$D$3000, MATCH(0, COUNTIF($Q$5:Q64, Başvuru!$D$2:$D$3000) + IF(Başvuru!$D$2:$D$3000="",1,0), 0)), "")</f>
        <v>Tıbbi Patoloji Anabilim Dalı</v>
      </c>
      <c r="R65" s="171">
        <f>IF(Q65="","",COUNTIFS(Başvuru!$D:$D,Q65,Başvuru!$A:$A,"&lt;&gt;"&amp;"",Başvuru!$F:$F,"&lt;&gt;"&amp;""))</f>
        <v>6</v>
      </c>
      <c r="S65" s="171">
        <f>IF(R65="","",RANK(R65,$R$6:$R$155,0)+COUNTIF($R$6:R65,R65)-1)</f>
        <v>32</v>
      </c>
    </row>
    <row r="66" spans="2:19" x14ac:dyDescent="0.25">
      <c r="B66" s="159">
        <v>61</v>
      </c>
      <c r="C66" s="160" t="str">
        <f>IFERROR(INDEX($Q$6:$Q$155,MATCH(61,$S$6:$S$155,0)),"")</f>
        <v>Barcelona Institute for Global Health</v>
      </c>
      <c r="D66" s="161">
        <f>IF(C66="","",COUNTIFS(Başvuru!$D:$D,C66,Başvuru!$A:$A,"&lt;&gt;"&amp;"",Başvuru!$F:$F,"&lt;&gt;"&amp;""))</f>
        <v>1</v>
      </c>
      <c r="E66" s="159" t="str">
        <f>IF(C66="","-",IF(D66&gt;0,TEXT(D66/(COUNTIFS(Başvuru!$A:$A,"&lt;&gt;",Başvuru!$F:$F,"&lt;&gt;")-1)*100,"0.0")&amp;"%","-"))</f>
        <v>00%</v>
      </c>
      <c r="F66" s="162">
        <f>IF(C66="","",COUNTIFS(Başvuru!$D:$D,C66,Başvuru!$G:$G,"Bireysel Araştırma",Başvuru!$A:$A,"&lt;&gt;"&amp;"",Başvuru!$F:$F,"&lt;&gt;"&amp;""))</f>
        <v>1</v>
      </c>
      <c r="G66" s="162">
        <f>IF(C66="","",COUNTIFS(Başvuru!$D:$D,C66,Başvuru!$G:$G,"Uzmanlık Tezi",Başvuru!$A:$A,"&lt;&gt;"&amp;"",Başvuru!$F:$F,"&lt;&gt;"&amp;""))</f>
        <v>0</v>
      </c>
      <c r="H66" s="162">
        <f>IF(C66="","",COUNTIFS(Başvuru!$D:$D,C66,Başvuru!$G:$G,"Doktora Tezi",Başvuru!$A:$A,"&lt;&gt;"&amp;"",Başvuru!$F:$F,"&lt;&gt;"&amp;""))</f>
        <v>0</v>
      </c>
      <c r="I66" s="162">
        <f>IF(C66="","",COUNTIFS(Başvuru!$D:$D,C66,Başvuru!$G:$G,"Yüksek Lisans Tezi",Başvuru!$A:$A,"&lt;&gt;"&amp;"",Başvuru!$F:$F,"&lt;&gt;"&amp;""))</f>
        <v>0</v>
      </c>
      <c r="J66" s="163">
        <f>IF(C66="","",COUNTIFS(Başvuru!$D:$D,C66,Başvuru!$L:$L,"ONAY",Başvuru!$A:$A,"&lt;&gt;"&amp;"",Başvuru!$F:$F,"&lt;&gt;"&amp;""))</f>
        <v>0</v>
      </c>
      <c r="K66" s="164">
        <f>IF(C66="","",COUNTIFS(Başvuru!$D:$D,C66,Başvuru!$L:$L,"DÜZELTME",Başvuru!$A:$A,"&lt;&gt;"&amp;"",Başvuru!$F:$F,"&lt;&gt;"&amp;""))</f>
        <v>1</v>
      </c>
      <c r="L66" s="165">
        <f>IF(C66="","",COUNTIFS(Başvuru!$D:$D,C66,Başvuru!$L:$L,"KAEK",Başvuru!$A:$A,"&lt;&gt;"&amp;"",Başvuru!$F:$F,"&lt;&gt;"&amp;""))</f>
        <v>0</v>
      </c>
      <c r="M66" s="166">
        <f>IF(C66="","",COUNTIFS(Başvuru!$D:$D,C66,Başvuru!$L:$L,"GÖRÜŞ",Başvuru!$A:$A,"&lt;&gt;"&amp;"",Başvuru!$F:$F,"&lt;&gt;"&amp;""))</f>
        <v>0</v>
      </c>
      <c r="N66" s="167">
        <f>IF(C66="","",COUNTIFS(Başvuru!$D:$D,C66,Başvuru!$L:$L,"RET",Başvuru!$A:$A,"&lt;&gt;"&amp;"",Başvuru!$F:$F,"&lt;&gt;"&amp;""))</f>
        <v>0</v>
      </c>
      <c r="O66" s="168">
        <f>IF(C66="","",COUNTIFS(Başvuru!$D:$D,C66,Başvuru!$L:$L,"KAPSAM DIŞI",Başvuru!$A:$A,"&lt;&gt;"&amp;"",Başvuru!$F:$F,"&lt;&gt;"&amp;""))</f>
        <v>0</v>
      </c>
      <c r="P66" s="169">
        <f>IF(C66="","",COUNTIFS(Başvuru!$D:$D,C66,Başvuru!$L:$L,"GERİ ÇEKİLDİ",Başvuru!$A:$A,"&lt;&gt;"&amp;"",Başvuru!$F:$F,"&lt;&gt;"&amp;""))</f>
        <v>0</v>
      </c>
      <c r="Q66" s="170" t="str">
        <f t="array" ref="Q66">IFERROR(INDEX(Başvuru!$D$2:$D$3000, MATCH(0, COUNTIF($Q$5:Q65, Başvuru!$D$2:$D$3000) + IF(Başvuru!$D$2:$D$3000="",1,0), 0)), "")</f>
        <v>Pedodonti Anabilim Dalı</v>
      </c>
      <c r="R66" s="171">
        <f>IF(Q66="","",COUNTIFS(Başvuru!$D:$D,Q66,Başvuru!$A:$A,"&lt;&gt;"&amp;"",Başvuru!$F:$F,"&lt;&gt;"&amp;""))</f>
        <v>3</v>
      </c>
      <c r="S66" s="171">
        <f>IF(R66="","",RANK(R66,$R$6:$R$155,0)+COUNTIF($R$6:R66,R66)-1)</f>
        <v>42</v>
      </c>
    </row>
    <row r="67" spans="2:19" x14ac:dyDescent="0.25">
      <c r="B67" s="159">
        <v>62</v>
      </c>
      <c r="C67" s="160" t="str">
        <f>IFERROR(INDEX($Q$6:$Q$155,MATCH(62,$S$6:$S$155,0)),"")</f>
        <v>Sosyal Pediatri Anabilim Dalı</v>
      </c>
      <c r="D67" s="161">
        <f>IF(C67="","",COUNTIFS(Başvuru!$D:$D,C67,Başvuru!$A:$A,"&lt;&gt;"&amp;"",Başvuru!$F:$F,"&lt;&gt;"&amp;""))</f>
        <v>1</v>
      </c>
      <c r="E67" s="159" t="str">
        <f>IF(C67="","-",IF(D67&gt;0,TEXT(D67/(COUNTIFS(Başvuru!$A:$A,"&lt;&gt;",Başvuru!$F:$F,"&lt;&gt;")-1)*100,"0.0")&amp;"%","-"))</f>
        <v>00%</v>
      </c>
      <c r="F67" s="162">
        <f>IF(C67="","",COUNTIFS(Başvuru!$D:$D,C67,Başvuru!$G:$G,"Bireysel Araştırma",Başvuru!$A:$A,"&lt;&gt;"&amp;"",Başvuru!$F:$F,"&lt;&gt;"&amp;""))</f>
        <v>0</v>
      </c>
      <c r="G67" s="162">
        <f>IF(C67="","",COUNTIFS(Başvuru!$D:$D,C67,Başvuru!$G:$G,"Uzmanlık Tezi",Başvuru!$A:$A,"&lt;&gt;"&amp;"",Başvuru!$F:$F,"&lt;&gt;"&amp;""))</f>
        <v>0</v>
      </c>
      <c r="H67" s="162">
        <f>IF(C67="","",COUNTIFS(Başvuru!$D:$D,C67,Başvuru!$G:$G,"Doktora Tezi",Başvuru!$A:$A,"&lt;&gt;"&amp;"",Başvuru!$F:$F,"&lt;&gt;"&amp;""))</f>
        <v>1</v>
      </c>
      <c r="I67" s="162">
        <f>IF(C67="","",COUNTIFS(Başvuru!$D:$D,C67,Başvuru!$G:$G,"Yüksek Lisans Tezi",Başvuru!$A:$A,"&lt;&gt;"&amp;"",Başvuru!$F:$F,"&lt;&gt;"&amp;""))</f>
        <v>0</v>
      </c>
      <c r="J67" s="163">
        <f>IF(C67="","",COUNTIFS(Başvuru!$D:$D,C67,Başvuru!$L:$L,"ONAY",Başvuru!$A:$A,"&lt;&gt;"&amp;"",Başvuru!$F:$F,"&lt;&gt;"&amp;""))</f>
        <v>1</v>
      </c>
      <c r="K67" s="164">
        <f>IF(C67="","",COUNTIFS(Başvuru!$D:$D,C67,Başvuru!$L:$L,"DÜZELTME",Başvuru!$A:$A,"&lt;&gt;"&amp;"",Başvuru!$F:$F,"&lt;&gt;"&amp;""))</f>
        <v>0</v>
      </c>
      <c r="L67" s="165">
        <f>IF(C67="","",COUNTIFS(Başvuru!$D:$D,C67,Başvuru!$L:$L,"KAEK",Başvuru!$A:$A,"&lt;&gt;"&amp;"",Başvuru!$F:$F,"&lt;&gt;"&amp;""))</f>
        <v>0</v>
      </c>
      <c r="M67" s="166">
        <f>IF(C67="","",COUNTIFS(Başvuru!$D:$D,C67,Başvuru!$L:$L,"GÖRÜŞ",Başvuru!$A:$A,"&lt;&gt;"&amp;"",Başvuru!$F:$F,"&lt;&gt;"&amp;""))</f>
        <v>0</v>
      </c>
      <c r="N67" s="167">
        <f>IF(C67="","",COUNTIFS(Başvuru!$D:$D,C67,Başvuru!$L:$L,"RET",Başvuru!$A:$A,"&lt;&gt;"&amp;"",Başvuru!$F:$F,"&lt;&gt;"&amp;""))</f>
        <v>0</v>
      </c>
      <c r="O67" s="168">
        <f>IF(C67="","",COUNTIFS(Başvuru!$D:$D,C67,Başvuru!$L:$L,"KAPSAM DIŞI",Başvuru!$A:$A,"&lt;&gt;"&amp;"",Başvuru!$F:$F,"&lt;&gt;"&amp;""))</f>
        <v>0</v>
      </c>
      <c r="P67" s="169">
        <f>IF(C67="","",COUNTIFS(Başvuru!$D:$D,C67,Başvuru!$L:$L,"GERİ ÇEKİLDİ",Başvuru!$A:$A,"&lt;&gt;"&amp;"",Başvuru!$F:$F,"&lt;&gt;"&amp;""))</f>
        <v>0</v>
      </c>
      <c r="Q67" s="170" t="str">
        <f t="array" ref="Q67">IFERROR(INDEX(Başvuru!$D$2:$D$3000, MATCH(0, COUNTIF($Q$5:Q66, Başvuru!$D$2:$D$3000) + IF(Başvuru!$D$2:$D$3000="",1,0), 0)), "")</f>
        <v>Tıbbi Biyokimya Anabilim Dalı</v>
      </c>
      <c r="R67" s="171">
        <f>IF(Q67="","",COUNTIFS(Başvuru!$D:$D,Q67,Başvuru!$A:$A,"&lt;&gt;"&amp;"",Başvuru!$F:$F,"&lt;&gt;"&amp;""))</f>
        <v>3</v>
      </c>
      <c r="S67" s="171">
        <f>IF(R67="","",RANK(R67,$R$6:$R$155,0)+COUNTIF($R$6:R67,R67)-1)</f>
        <v>43</v>
      </c>
    </row>
    <row r="68" spans="2:19" x14ac:dyDescent="0.25">
      <c r="B68" s="159">
        <v>63</v>
      </c>
      <c r="C68" s="160" t="str">
        <f>IFERROR(INDEX($Q$6:$Q$155,MATCH(63,$S$6:$S$155,0)),"")</f>
        <v>Tıbbi Laboratuvar Teknikleri Programı</v>
      </c>
      <c r="D68" s="161">
        <f>IF(C68="","",COUNTIFS(Başvuru!$D:$D,C68,Başvuru!$A:$A,"&lt;&gt;"&amp;"",Başvuru!$F:$F,"&lt;&gt;"&amp;""))</f>
        <v>1</v>
      </c>
      <c r="E68" s="159" t="str">
        <f>IF(C68="","-",IF(D68&gt;0,TEXT(D68/(COUNTIFS(Başvuru!$A:$A,"&lt;&gt;",Başvuru!$F:$F,"&lt;&gt;")-1)*100,"0.0")&amp;"%","-"))</f>
        <v>00%</v>
      </c>
      <c r="F68" s="162">
        <f>IF(C68="","",COUNTIFS(Başvuru!$D:$D,C68,Başvuru!$G:$G,"Bireysel Araştırma",Başvuru!$A:$A,"&lt;&gt;"&amp;"",Başvuru!$F:$F,"&lt;&gt;"&amp;""))</f>
        <v>1</v>
      </c>
      <c r="G68" s="162">
        <f>IF(C68="","",COUNTIFS(Başvuru!$D:$D,C68,Başvuru!$G:$G,"Uzmanlık Tezi",Başvuru!$A:$A,"&lt;&gt;"&amp;"",Başvuru!$F:$F,"&lt;&gt;"&amp;""))</f>
        <v>0</v>
      </c>
      <c r="H68" s="162">
        <f>IF(C68="","",COUNTIFS(Başvuru!$D:$D,C68,Başvuru!$G:$G,"Doktora Tezi",Başvuru!$A:$A,"&lt;&gt;"&amp;"",Başvuru!$F:$F,"&lt;&gt;"&amp;""))</f>
        <v>0</v>
      </c>
      <c r="I68" s="162">
        <f>IF(C68="","",COUNTIFS(Başvuru!$D:$D,C68,Başvuru!$G:$G,"Yüksek Lisans Tezi",Başvuru!$A:$A,"&lt;&gt;"&amp;"",Başvuru!$F:$F,"&lt;&gt;"&amp;""))</f>
        <v>0</v>
      </c>
      <c r="J68" s="163">
        <f>IF(C68="","",COUNTIFS(Başvuru!$D:$D,C68,Başvuru!$L:$L,"ONAY",Başvuru!$A:$A,"&lt;&gt;"&amp;"",Başvuru!$F:$F,"&lt;&gt;"&amp;""))</f>
        <v>0</v>
      </c>
      <c r="K68" s="164">
        <f>IF(C68="","",COUNTIFS(Başvuru!$D:$D,C68,Başvuru!$L:$L,"DÜZELTME",Başvuru!$A:$A,"&lt;&gt;"&amp;"",Başvuru!$F:$F,"&lt;&gt;"&amp;""))</f>
        <v>1</v>
      </c>
      <c r="L68" s="165">
        <f>IF(C68="","",COUNTIFS(Başvuru!$D:$D,C68,Başvuru!$L:$L,"KAEK",Başvuru!$A:$A,"&lt;&gt;"&amp;"",Başvuru!$F:$F,"&lt;&gt;"&amp;""))</f>
        <v>0</v>
      </c>
      <c r="M68" s="166">
        <f>IF(C68="","",COUNTIFS(Başvuru!$D:$D,C68,Başvuru!$L:$L,"GÖRÜŞ",Başvuru!$A:$A,"&lt;&gt;"&amp;"",Başvuru!$F:$F,"&lt;&gt;"&amp;""))</f>
        <v>0</v>
      </c>
      <c r="N68" s="167">
        <f>IF(C68="","",COUNTIFS(Başvuru!$D:$D,C68,Başvuru!$L:$L,"RET",Başvuru!$A:$A,"&lt;&gt;"&amp;"",Başvuru!$F:$F,"&lt;&gt;"&amp;""))</f>
        <v>0</v>
      </c>
      <c r="O68" s="168">
        <f>IF(C68="","",COUNTIFS(Başvuru!$D:$D,C68,Başvuru!$L:$L,"KAPSAM DIŞI",Başvuru!$A:$A,"&lt;&gt;"&amp;"",Başvuru!$F:$F,"&lt;&gt;"&amp;""))</f>
        <v>0</v>
      </c>
      <c r="P68" s="169">
        <f>IF(C68="","",COUNTIFS(Başvuru!$D:$D,C68,Başvuru!$L:$L,"GERİ ÇEKİLDİ",Başvuru!$A:$A,"&lt;&gt;"&amp;"",Başvuru!$F:$F,"&lt;&gt;"&amp;""))</f>
        <v>0</v>
      </c>
      <c r="Q68" s="170" t="str">
        <f t="array" ref="Q68">IFERROR(INDEX(Başvuru!$D$2:$D$3000, MATCH(0, COUNTIF($Q$5:Q67, Başvuru!$D$2:$D$3000) + IF(Başvuru!$D$2:$D$3000="",1,0), 0)), "")</f>
        <v>Genel Cerrahi Anabilim Dalı</v>
      </c>
      <c r="R68" s="171">
        <f>IF(Q68="","",COUNTIFS(Başvuru!$D:$D,Q68,Başvuru!$A:$A,"&lt;&gt;"&amp;"",Başvuru!$F:$F,"&lt;&gt;"&amp;""))</f>
        <v>1</v>
      </c>
      <c r="S68" s="171">
        <f>IF(R68="","",RANK(R68,$R$6:$R$155,0)+COUNTIF($R$6:R68,R68)-1)</f>
        <v>67</v>
      </c>
    </row>
    <row r="69" spans="2:19" x14ac:dyDescent="0.25">
      <c r="B69" s="159">
        <v>64</v>
      </c>
      <c r="C69" s="160" t="str">
        <f>IFERROR(INDEX($Q$6:$Q$155,MATCH(64,$S$6:$S$155,0)),"")</f>
        <v>Biyoinformatik Anabilim Dalı</v>
      </c>
      <c r="D69" s="161">
        <f>IF(C69="","",COUNTIFS(Başvuru!$D:$D,C69,Başvuru!$A:$A,"&lt;&gt;"&amp;"",Başvuru!$F:$F,"&lt;&gt;"&amp;""))</f>
        <v>1</v>
      </c>
      <c r="E69" s="159" t="str">
        <f>IF(C69="","-",IF(D69&gt;0,TEXT(D69/(COUNTIFS(Başvuru!$A:$A,"&lt;&gt;",Başvuru!$F:$F,"&lt;&gt;")-1)*100,"0.0")&amp;"%","-"))</f>
        <v>00%</v>
      </c>
      <c r="F69" s="162">
        <f>IF(C69="","",COUNTIFS(Başvuru!$D:$D,C69,Başvuru!$G:$G,"Bireysel Araştırma",Başvuru!$A:$A,"&lt;&gt;"&amp;"",Başvuru!$F:$F,"&lt;&gt;"&amp;""))</f>
        <v>0</v>
      </c>
      <c r="G69" s="162">
        <f>IF(C69="","",COUNTIFS(Başvuru!$D:$D,C69,Başvuru!$G:$G,"Uzmanlık Tezi",Başvuru!$A:$A,"&lt;&gt;"&amp;"",Başvuru!$F:$F,"&lt;&gt;"&amp;""))</f>
        <v>0</v>
      </c>
      <c r="H69" s="162">
        <f>IF(C69="","",COUNTIFS(Başvuru!$D:$D,C69,Başvuru!$G:$G,"Doktora Tezi",Başvuru!$A:$A,"&lt;&gt;"&amp;"",Başvuru!$F:$F,"&lt;&gt;"&amp;""))</f>
        <v>0</v>
      </c>
      <c r="I69" s="162">
        <f>IF(C69="","",COUNTIFS(Başvuru!$D:$D,C69,Başvuru!$G:$G,"Yüksek Lisans Tezi",Başvuru!$A:$A,"&lt;&gt;"&amp;"",Başvuru!$F:$F,"&lt;&gt;"&amp;""))</f>
        <v>1</v>
      </c>
      <c r="J69" s="163">
        <f>IF(C69="","",COUNTIFS(Başvuru!$D:$D,C69,Başvuru!$L:$L,"ONAY",Başvuru!$A:$A,"&lt;&gt;"&amp;"",Başvuru!$F:$F,"&lt;&gt;"&amp;""))</f>
        <v>1</v>
      </c>
      <c r="K69" s="164">
        <f>IF(C69="","",COUNTIFS(Başvuru!$D:$D,C69,Başvuru!$L:$L,"DÜZELTME",Başvuru!$A:$A,"&lt;&gt;"&amp;"",Başvuru!$F:$F,"&lt;&gt;"&amp;""))</f>
        <v>0</v>
      </c>
      <c r="L69" s="165">
        <f>IF(C69="","",COUNTIFS(Başvuru!$D:$D,C69,Başvuru!$L:$L,"KAEK",Başvuru!$A:$A,"&lt;&gt;"&amp;"",Başvuru!$F:$F,"&lt;&gt;"&amp;""))</f>
        <v>0</v>
      </c>
      <c r="M69" s="166">
        <f>IF(C69="","",COUNTIFS(Başvuru!$D:$D,C69,Başvuru!$L:$L,"GÖRÜŞ",Başvuru!$A:$A,"&lt;&gt;"&amp;"",Başvuru!$F:$F,"&lt;&gt;"&amp;""))</f>
        <v>0</v>
      </c>
      <c r="N69" s="167">
        <f>IF(C69="","",COUNTIFS(Başvuru!$D:$D,C69,Başvuru!$L:$L,"RET",Başvuru!$A:$A,"&lt;&gt;"&amp;"",Başvuru!$F:$F,"&lt;&gt;"&amp;""))</f>
        <v>0</v>
      </c>
      <c r="O69" s="168">
        <f>IF(C69="","",COUNTIFS(Başvuru!$D:$D,C69,Başvuru!$L:$L,"KAPSAM DIŞI",Başvuru!$A:$A,"&lt;&gt;"&amp;"",Başvuru!$F:$F,"&lt;&gt;"&amp;""))</f>
        <v>0</v>
      </c>
      <c r="P69" s="169">
        <f>IF(C69="","",COUNTIFS(Başvuru!$D:$D,C69,Başvuru!$L:$L,"GERİ ÇEKİLDİ",Başvuru!$A:$A,"&lt;&gt;"&amp;"",Başvuru!$F:$F,"&lt;&gt;"&amp;""))</f>
        <v>0</v>
      </c>
      <c r="Q69" s="170" t="str">
        <f t="array" ref="Q69">IFERROR(INDEX(Başvuru!$D$2:$D$3000, MATCH(0, COUNTIF($Q$5:Q68, Başvuru!$D$2:$D$3000) + IF(Başvuru!$D$2:$D$3000="",1,0), 0)), "")</f>
        <v>Egzersizde Beslenme ve Metabolizma Anabilim Dalı</v>
      </c>
      <c r="R69" s="171">
        <f>IF(Q69="","",COUNTIFS(Başvuru!$D:$D,Q69,Başvuru!$A:$A,"&lt;&gt;"&amp;"",Başvuru!$F:$F,"&lt;&gt;"&amp;""))</f>
        <v>2</v>
      </c>
      <c r="S69" s="171">
        <f>IF(R69="","",RANK(R69,$R$6:$R$155,0)+COUNTIF($R$6:R69,R69)-1)</f>
        <v>54</v>
      </c>
    </row>
    <row r="70" spans="2:19" x14ac:dyDescent="0.25">
      <c r="B70" s="159">
        <v>65</v>
      </c>
      <c r="C70" s="160" t="str">
        <f>IFERROR(INDEX($Q$6:$Q$155,MATCH(65,$S$6:$S$155,0)),"")</f>
        <v>Çocuk Sağlığı Entitüsü</v>
      </c>
      <c r="D70" s="161">
        <f>IF(C70="","",COUNTIFS(Başvuru!$D:$D,C70,Başvuru!$A:$A,"&lt;&gt;"&amp;"",Başvuru!$F:$F,"&lt;&gt;"&amp;""))</f>
        <v>1</v>
      </c>
      <c r="E70" s="159" t="str">
        <f>IF(C70="","-",IF(D70&gt;0,TEXT(D70/(COUNTIFS(Başvuru!$A:$A,"&lt;&gt;",Başvuru!$F:$F,"&lt;&gt;")-1)*100,"0.0")&amp;"%","-"))</f>
        <v>00%</v>
      </c>
      <c r="F70" s="162">
        <f>IF(C70="","",COUNTIFS(Başvuru!$D:$D,C70,Başvuru!$G:$G,"Bireysel Araştırma",Başvuru!$A:$A,"&lt;&gt;"&amp;"",Başvuru!$F:$F,"&lt;&gt;"&amp;""))</f>
        <v>1</v>
      </c>
      <c r="G70" s="162">
        <f>IF(C70="","",COUNTIFS(Başvuru!$D:$D,C70,Başvuru!$G:$G,"Uzmanlık Tezi",Başvuru!$A:$A,"&lt;&gt;"&amp;"",Başvuru!$F:$F,"&lt;&gt;"&amp;""))</f>
        <v>0</v>
      </c>
      <c r="H70" s="162">
        <f>IF(C70="","",COUNTIFS(Başvuru!$D:$D,C70,Başvuru!$G:$G,"Doktora Tezi",Başvuru!$A:$A,"&lt;&gt;"&amp;"",Başvuru!$F:$F,"&lt;&gt;"&amp;""))</f>
        <v>0</v>
      </c>
      <c r="I70" s="162">
        <f>IF(C70="","",COUNTIFS(Başvuru!$D:$D,C70,Başvuru!$G:$G,"Yüksek Lisans Tezi",Başvuru!$A:$A,"&lt;&gt;"&amp;"",Başvuru!$F:$F,"&lt;&gt;"&amp;""))</f>
        <v>0</v>
      </c>
      <c r="J70" s="163">
        <f>IF(C70="","",COUNTIFS(Başvuru!$D:$D,C70,Başvuru!$L:$L,"ONAY",Başvuru!$A:$A,"&lt;&gt;"&amp;"",Başvuru!$F:$F,"&lt;&gt;"&amp;""))</f>
        <v>0</v>
      </c>
      <c r="K70" s="164">
        <f>IF(C70="","",COUNTIFS(Başvuru!$D:$D,C70,Başvuru!$L:$L,"DÜZELTME",Başvuru!$A:$A,"&lt;&gt;"&amp;"",Başvuru!$F:$F,"&lt;&gt;"&amp;""))</f>
        <v>1</v>
      </c>
      <c r="L70" s="165">
        <f>IF(C70="","",COUNTIFS(Başvuru!$D:$D,C70,Başvuru!$L:$L,"KAEK",Başvuru!$A:$A,"&lt;&gt;"&amp;"",Başvuru!$F:$F,"&lt;&gt;"&amp;""))</f>
        <v>0</v>
      </c>
      <c r="M70" s="166">
        <f>IF(C70="","",COUNTIFS(Başvuru!$D:$D,C70,Başvuru!$L:$L,"GÖRÜŞ",Başvuru!$A:$A,"&lt;&gt;"&amp;"",Başvuru!$F:$F,"&lt;&gt;"&amp;""))</f>
        <v>0</v>
      </c>
      <c r="N70" s="167">
        <f>IF(C70="","",COUNTIFS(Başvuru!$D:$D,C70,Başvuru!$L:$L,"RET",Başvuru!$A:$A,"&lt;&gt;"&amp;"",Başvuru!$F:$F,"&lt;&gt;"&amp;""))</f>
        <v>0</v>
      </c>
      <c r="O70" s="168">
        <f>IF(C70="","",COUNTIFS(Başvuru!$D:$D,C70,Başvuru!$L:$L,"KAPSAM DIŞI",Başvuru!$A:$A,"&lt;&gt;"&amp;"",Başvuru!$F:$F,"&lt;&gt;"&amp;""))</f>
        <v>0</v>
      </c>
      <c r="P70" s="169">
        <f>IF(C70="","",COUNTIFS(Başvuru!$D:$D,C70,Başvuru!$L:$L,"GERİ ÇEKİLDİ",Başvuru!$A:$A,"&lt;&gt;"&amp;"",Başvuru!$F:$F,"&lt;&gt;"&amp;""))</f>
        <v>0</v>
      </c>
      <c r="Q70" s="170" t="str">
        <f t="array" ref="Q70">IFERROR(INDEX(Başvuru!$D$2:$D$3000, MATCH(0, COUNTIF($Q$5:Q69, Başvuru!$D$2:$D$3000) + IF(Başvuru!$D$2:$D$3000="",1,0), 0)), "")</f>
        <v>Biyofizik Anabilim Dalı</v>
      </c>
      <c r="R70" s="171">
        <f>IF(Q70="","",COUNTIFS(Başvuru!$D:$D,Q70,Başvuru!$A:$A,"&lt;&gt;"&amp;"",Başvuru!$F:$F,"&lt;&gt;"&amp;""))</f>
        <v>2</v>
      </c>
      <c r="S70" s="171">
        <f>IF(R70="","",RANK(R70,$R$6:$R$155,0)+COUNTIF($R$6:R70,R70)-1)</f>
        <v>55</v>
      </c>
    </row>
    <row r="71" spans="2:19" x14ac:dyDescent="0.25">
      <c r="B71" s="159">
        <v>66</v>
      </c>
      <c r="C71" s="160" t="str">
        <f>IFERROR(INDEX($Q$6:$Q$155,MATCH(66,$S$6:$S$155,0)),"")</f>
        <v>Tıbbi Genetik Anabilim Dalı</v>
      </c>
      <c r="D71" s="161">
        <f>IF(C71="","",COUNTIFS(Başvuru!$D:$D,C71,Başvuru!$A:$A,"&lt;&gt;"&amp;"",Başvuru!$F:$F,"&lt;&gt;"&amp;""))</f>
        <v>1</v>
      </c>
      <c r="E71" s="159" t="str">
        <f>IF(C71="","-",IF(D71&gt;0,TEXT(D71/(COUNTIFS(Başvuru!$A:$A,"&lt;&gt;",Başvuru!$F:$F,"&lt;&gt;")-1)*100,"0.0")&amp;"%","-"))</f>
        <v>00%</v>
      </c>
      <c r="F71" s="162">
        <f>IF(C71="","",COUNTIFS(Başvuru!$D:$D,C71,Başvuru!$G:$G,"Bireysel Araştırma",Başvuru!$A:$A,"&lt;&gt;"&amp;"",Başvuru!$F:$F,"&lt;&gt;"&amp;""))</f>
        <v>0</v>
      </c>
      <c r="G71" s="162">
        <f>IF(C71="","",COUNTIFS(Başvuru!$D:$D,C71,Başvuru!$G:$G,"Uzmanlık Tezi",Başvuru!$A:$A,"&lt;&gt;"&amp;"",Başvuru!$F:$F,"&lt;&gt;"&amp;""))</f>
        <v>1</v>
      </c>
      <c r="H71" s="162">
        <f>IF(C71="","",COUNTIFS(Başvuru!$D:$D,C71,Başvuru!$G:$G,"Doktora Tezi",Başvuru!$A:$A,"&lt;&gt;"&amp;"",Başvuru!$F:$F,"&lt;&gt;"&amp;""))</f>
        <v>0</v>
      </c>
      <c r="I71" s="162">
        <f>IF(C71="","",COUNTIFS(Başvuru!$D:$D,C71,Başvuru!$G:$G,"Yüksek Lisans Tezi",Başvuru!$A:$A,"&lt;&gt;"&amp;"",Başvuru!$F:$F,"&lt;&gt;"&amp;""))</f>
        <v>0</v>
      </c>
      <c r="J71" s="163">
        <f>IF(C71="","",COUNTIFS(Başvuru!$D:$D,C71,Başvuru!$L:$L,"ONAY",Başvuru!$A:$A,"&lt;&gt;"&amp;"",Başvuru!$F:$F,"&lt;&gt;"&amp;""))</f>
        <v>1</v>
      </c>
      <c r="K71" s="164">
        <f>IF(C71="","",COUNTIFS(Başvuru!$D:$D,C71,Başvuru!$L:$L,"DÜZELTME",Başvuru!$A:$A,"&lt;&gt;"&amp;"",Başvuru!$F:$F,"&lt;&gt;"&amp;""))</f>
        <v>0</v>
      </c>
      <c r="L71" s="165">
        <f>IF(C71="","",COUNTIFS(Başvuru!$D:$D,C71,Başvuru!$L:$L,"KAEK",Başvuru!$A:$A,"&lt;&gt;"&amp;"",Başvuru!$F:$F,"&lt;&gt;"&amp;""))</f>
        <v>0</v>
      </c>
      <c r="M71" s="166">
        <f>IF(C71="","",COUNTIFS(Başvuru!$D:$D,C71,Başvuru!$L:$L,"GÖRÜŞ",Başvuru!$A:$A,"&lt;&gt;"&amp;"",Başvuru!$F:$F,"&lt;&gt;"&amp;""))</f>
        <v>0</v>
      </c>
      <c r="N71" s="167">
        <f>IF(C71="","",COUNTIFS(Başvuru!$D:$D,C71,Başvuru!$L:$L,"RET",Başvuru!$A:$A,"&lt;&gt;"&amp;"",Başvuru!$F:$F,"&lt;&gt;"&amp;""))</f>
        <v>0</v>
      </c>
      <c r="O71" s="168">
        <f>IF(C71="","",COUNTIFS(Başvuru!$D:$D,C71,Başvuru!$L:$L,"KAPSAM DIŞI",Başvuru!$A:$A,"&lt;&gt;"&amp;"",Başvuru!$F:$F,"&lt;&gt;"&amp;""))</f>
        <v>0</v>
      </c>
      <c r="P71" s="169">
        <f>IF(C71="","",COUNTIFS(Başvuru!$D:$D,C71,Başvuru!$L:$L,"GERİ ÇEKİLDİ",Başvuru!$A:$A,"&lt;&gt;"&amp;"",Başvuru!$F:$F,"&lt;&gt;"&amp;""))</f>
        <v>0</v>
      </c>
      <c r="Q71" s="170" t="str">
        <f t="array" ref="Q71">IFERROR(INDEX(Başvuru!$D$2:$D$3000, MATCH(0, COUNTIF($Q$5:Q70, Başvuru!$D$2:$D$3000) + IF(Başvuru!$D$2:$D$3000="",1,0), 0)), "")</f>
        <v>Klinik Psikoloji Anabilim Dalı</v>
      </c>
      <c r="R71" s="171">
        <f>IF(Q71="","",COUNTIFS(Başvuru!$D:$D,Q71,Başvuru!$A:$A,"&lt;&gt;"&amp;"",Başvuru!$F:$F,"&lt;&gt;"&amp;""))</f>
        <v>1</v>
      </c>
      <c r="S71" s="171">
        <f>IF(R71="","",RANK(R71,$R$6:$R$155,0)+COUNTIF($R$6:R71,R71)-1)</f>
        <v>68</v>
      </c>
    </row>
    <row r="72" spans="2:19" x14ac:dyDescent="0.25">
      <c r="B72" s="159">
        <v>67</v>
      </c>
      <c r="C72" s="160" t="str">
        <f>IFERROR(INDEX($Q$6:$Q$155,MATCH(67,$S$6:$S$155,0)),"")</f>
        <v>Genel Cerrahi Anabilim Dalı</v>
      </c>
      <c r="D72" s="161">
        <f>IF(C72="","",COUNTIFS(Başvuru!$D:$D,C72,Başvuru!$A:$A,"&lt;&gt;"&amp;"",Başvuru!$F:$F,"&lt;&gt;"&amp;""))</f>
        <v>1</v>
      </c>
      <c r="E72" s="159" t="str">
        <f>IF(C72="","-",IF(D72&gt;0,TEXT(D72/(COUNTIFS(Başvuru!$A:$A,"&lt;&gt;",Başvuru!$F:$F,"&lt;&gt;")-1)*100,"0.0")&amp;"%","-"))</f>
        <v>00%</v>
      </c>
      <c r="F72" s="162">
        <f>IF(C72="","",COUNTIFS(Başvuru!$D:$D,C72,Başvuru!$G:$G,"Bireysel Araştırma",Başvuru!$A:$A,"&lt;&gt;"&amp;"",Başvuru!$F:$F,"&lt;&gt;"&amp;""))</f>
        <v>1</v>
      </c>
      <c r="G72" s="162">
        <f>IF(C72="","",COUNTIFS(Başvuru!$D:$D,C72,Başvuru!$G:$G,"Uzmanlık Tezi",Başvuru!$A:$A,"&lt;&gt;"&amp;"",Başvuru!$F:$F,"&lt;&gt;"&amp;""))</f>
        <v>0</v>
      </c>
      <c r="H72" s="162">
        <f>IF(C72="","",COUNTIFS(Başvuru!$D:$D,C72,Başvuru!$G:$G,"Doktora Tezi",Başvuru!$A:$A,"&lt;&gt;"&amp;"",Başvuru!$F:$F,"&lt;&gt;"&amp;""))</f>
        <v>0</v>
      </c>
      <c r="I72" s="162">
        <f>IF(C72="","",COUNTIFS(Başvuru!$D:$D,C72,Başvuru!$G:$G,"Yüksek Lisans Tezi",Başvuru!$A:$A,"&lt;&gt;"&amp;"",Başvuru!$F:$F,"&lt;&gt;"&amp;""))</f>
        <v>0</v>
      </c>
      <c r="J72" s="163">
        <f>IF(C72="","",COUNTIFS(Başvuru!$D:$D,C72,Başvuru!$L:$L,"ONAY",Başvuru!$A:$A,"&lt;&gt;"&amp;"",Başvuru!$F:$F,"&lt;&gt;"&amp;""))</f>
        <v>1</v>
      </c>
      <c r="K72" s="164">
        <f>IF(C72="","",COUNTIFS(Başvuru!$D:$D,C72,Başvuru!$L:$L,"DÜZELTME",Başvuru!$A:$A,"&lt;&gt;"&amp;"",Başvuru!$F:$F,"&lt;&gt;"&amp;""))</f>
        <v>0</v>
      </c>
      <c r="L72" s="165">
        <f>IF(C72="","",COUNTIFS(Başvuru!$D:$D,C72,Başvuru!$L:$L,"KAEK",Başvuru!$A:$A,"&lt;&gt;"&amp;"",Başvuru!$F:$F,"&lt;&gt;"&amp;""))</f>
        <v>0</v>
      </c>
      <c r="M72" s="166">
        <f>IF(C72="","",COUNTIFS(Başvuru!$D:$D,C72,Başvuru!$L:$L,"GÖRÜŞ",Başvuru!$A:$A,"&lt;&gt;"&amp;"",Başvuru!$F:$F,"&lt;&gt;"&amp;""))</f>
        <v>0</v>
      </c>
      <c r="N72" s="167">
        <f>IF(C72="","",COUNTIFS(Başvuru!$D:$D,C72,Başvuru!$L:$L,"RET",Başvuru!$A:$A,"&lt;&gt;"&amp;"",Başvuru!$F:$F,"&lt;&gt;"&amp;""))</f>
        <v>0</v>
      </c>
      <c r="O72" s="168">
        <f>IF(C72="","",COUNTIFS(Başvuru!$D:$D,C72,Başvuru!$L:$L,"KAPSAM DIŞI",Başvuru!$A:$A,"&lt;&gt;"&amp;"",Başvuru!$F:$F,"&lt;&gt;"&amp;""))</f>
        <v>0</v>
      </c>
      <c r="P72" s="169">
        <f>IF(C72="","",COUNTIFS(Başvuru!$D:$D,C72,Başvuru!$L:$L,"GERİ ÇEKİLDİ",Başvuru!$A:$A,"&lt;&gt;"&amp;"",Başvuru!$F:$F,"&lt;&gt;"&amp;""))</f>
        <v>0</v>
      </c>
      <c r="Q72" s="170" t="str">
        <f t="array" ref="Q72">IFERROR(INDEX(Başvuru!$D$2:$D$3000, MATCH(0, COUNTIF($Q$5:Q71, Başvuru!$D$2:$D$3000) + IF(Başvuru!$D$2:$D$3000="",1,0), 0)), "")</f>
        <v>Tıbbi Farmakoloji Anabilim Dalı</v>
      </c>
      <c r="R72" s="171">
        <f>IF(Q72="","",COUNTIFS(Başvuru!$D:$D,Q72,Başvuru!$A:$A,"&lt;&gt;"&amp;"",Başvuru!$F:$F,"&lt;&gt;"&amp;""))</f>
        <v>1</v>
      </c>
      <c r="S72" s="171">
        <f>IF(R72="","",RANK(R72,$R$6:$R$155,0)+COUNTIF($R$6:R72,R72)-1)</f>
        <v>69</v>
      </c>
    </row>
    <row r="73" spans="2:19" x14ac:dyDescent="0.25">
      <c r="B73" s="159">
        <v>68</v>
      </c>
      <c r="C73" s="160" t="str">
        <f>IFERROR(INDEX($Q$6:$Q$155,MATCH(68,$S$6:$S$155,0)),"")</f>
        <v>Klinik Psikoloji Anabilim Dalı</v>
      </c>
      <c r="D73" s="161">
        <f>IF(C73="","",COUNTIFS(Başvuru!$D:$D,C73,Başvuru!$A:$A,"&lt;&gt;"&amp;"",Başvuru!$F:$F,"&lt;&gt;"&amp;""))</f>
        <v>1</v>
      </c>
      <c r="E73" s="159" t="str">
        <f>IF(C73="","-",IF(D73&gt;0,TEXT(D73/(COUNTIFS(Başvuru!$A:$A,"&lt;&gt;",Başvuru!$F:$F,"&lt;&gt;")-1)*100,"0.0")&amp;"%","-"))</f>
        <v>00%</v>
      </c>
      <c r="F73" s="162">
        <f>IF(C73="","",COUNTIFS(Başvuru!$D:$D,C73,Başvuru!$G:$G,"Bireysel Araştırma",Başvuru!$A:$A,"&lt;&gt;"&amp;"",Başvuru!$F:$F,"&lt;&gt;"&amp;""))</f>
        <v>0</v>
      </c>
      <c r="G73" s="162">
        <f>IF(C73="","",COUNTIFS(Başvuru!$D:$D,C73,Başvuru!$G:$G,"Uzmanlık Tezi",Başvuru!$A:$A,"&lt;&gt;"&amp;"",Başvuru!$F:$F,"&lt;&gt;"&amp;""))</f>
        <v>0</v>
      </c>
      <c r="H73" s="162">
        <f>IF(C73="","",COUNTIFS(Başvuru!$D:$D,C73,Başvuru!$G:$G,"Doktora Tezi",Başvuru!$A:$A,"&lt;&gt;"&amp;"",Başvuru!$F:$F,"&lt;&gt;"&amp;""))</f>
        <v>1</v>
      </c>
      <c r="I73" s="162">
        <f>IF(C73="","",COUNTIFS(Başvuru!$D:$D,C73,Başvuru!$G:$G,"Yüksek Lisans Tezi",Başvuru!$A:$A,"&lt;&gt;"&amp;"",Başvuru!$F:$F,"&lt;&gt;"&amp;""))</f>
        <v>0</v>
      </c>
      <c r="J73" s="163">
        <f>IF(C73="","",COUNTIFS(Başvuru!$D:$D,C73,Başvuru!$L:$L,"ONAY",Başvuru!$A:$A,"&lt;&gt;"&amp;"",Başvuru!$F:$F,"&lt;&gt;"&amp;""))</f>
        <v>1</v>
      </c>
      <c r="K73" s="164">
        <f>IF(C73="","",COUNTIFS(Başvuru!$D:$D,C73,Başvuru!$L:$L,"DÜZELTME",Başvuru!$A:$A,"&lt;&gt;"&amp;"",Başvuru!$F:$F,"&lt;&gt;"&amp;""))</f>
        <v>0</v>
      </c>
      <c r="L73" s="165">
        <f>IF(C73="","",COUNTIFS(Başvuru!$D:$D,C73,Başvuru!$L:$L,"KAEK",Başvuru!$A:$A,"&lt;&gt;"&amp;"",Başvuru!$F:$F,"&lt;&gt;"&amp;""))</f>
        <v>0</v>
      </c>
      <c r="M73" s="166">
        <f>IF(C73="","",COUNTIFS(Başvuru!$D:$D,C73,Başvuru!$L:$L,"GÖRÜŞ",Başvuru!$A:$A,"&lt;&gt;"&amp;"",Başvuru!$F:$F,"&lt;&gt;"&amp;""))</f>
        <v>0</v>
      </c>
      <c r="N73" s="167">
        <f>IF(C73="","",COUNTIFS(Başvuru!$D:$D,C73,Başvuru!$L:$L,"RET",Başvuru!$A:$A,"&lt;&gt;"&amp;"",Başvuru!$F:$F,"&lt;&gt;"&amp;""))</f>
        <v>0</v>
      </c>
      <c r="O73" s="168">
        <f>IF(C73="","",COUNTIFS(Başvuru!$D:$D,C73,Başvuru!$L:$L,"KAPSAM DIŞI",Başvuru!$A:$A,"&lt;&gt;"&amp;"",Başvuru!$F:$F,"&lt;&gt;"&amp;""))</f>
        <v>0</v>
      </c>
      <c r="P73" s="169">
        <f>IF(C73="","",COUNTIFS(Başvuru!$D:$D,C73,Başvuru!$L:$L,"GERİ ÇEKİLDİ",Başvuru!$A:$A,"&lt;&gt;"&amp;"",Başvuru!$F:$F,"&lt;&gt;"&amp;""))</f>
        <v>0</v>
      </c>
      <c r="Q73" s="170" t="str">
        <f t="array" ref="Q73">IFERROR(INDEX(Başvuru!$D$2:$D$3000, MATCH(0, COUNTIF($Q$5:Q72, Başvuru!$D$2:$D$3000) + IF(Başvuru!$D$2:$D$3000="",1,0), 0)), "")</f>
        <v>Analitik Kimya Anabilim Dalı</v>
      </c>
      <c r="R73" s="171">
        <f>IF(Q73="","",COUNTIFS(Başvuru!$D:$D,Q73,Başvuru!$A:$A,"&lt;&gt;"&amp;"",Başvuru!$F:$F,"&lt;&gt;"&amp;""))</f>
        <v>1</v>
      </c>
      <c r="S73" s="171">
        <f>IF(R73="","",RANK(R73,$R$6:$R$155,0)+COUNTIF($R$6:R73,R73)-1)</f>
        <v>70</v>
      </c>
    </row>
    <row r="74" spans="2:19" x14ac:dyDescent="0.25">
      <c r="B74" s="159">
        <v>69</v>
      </c>
      <c r="C74" s="160" t="str">
        <f>IFERROR(INDEX($Q$6:$Q$155,MATCH(69,$S$6:$S$155,0)),"")</f>
        <v>Tıbbi Farmakoloji Anabilim Dalı</v>
      </c>
      <c r="D74" s="161">
        <f>IF(C74="","",COUNTIFS(Başvuru!$D:$D,C74,Başvuru!$A:$A,"&lt;&gt;"&amp;"",Başvuru!$F:$F,"&lt;&gt;"&amp;""))</f>
        <v>1</v>
      </c>
      <c r="E74" s="159" t="str">
        <f>IF(C74="","-",IF(D74&gt;0,TEXT(D74/(COUNTIFS(Başvuru!$A:$A,"&lt;&gt;",Başvuru!$F:$F,"&lt;&gt;")-1)*100,"0.0")&amp;"%","-"))</f>
        <v>00%</v>
      </c>
      <c r="F74" s="162">
        <f>IF(C74="","",COUNTIFS(Başvuru!$D:$D,C74,Başvuru!$G:$G,"Bireysel Araştırma",Başvuru!$A:$A,"&lt;&gt;"&amp;"",Başvuru!$F:$F,"&lt;&gt;"&amp;""))</f>
        <v>0</v>
      </c>
      <c r="G74" s="162">
        <f>IF(C74="","",COUNTIFS(Başvuru!$D:$D,C74,Başvuru!$G:$G,"Uzmanlık Tezi",Başvuru!$A:$A,"&lt;&gt;"&amp;"",Başvuru!$F:$F,"&lt;&gt;"&amp;""))</f>
        <v>1</v>
      </c>
      <c r="H74" s="162">
        <f>IF(C74="","",COUNTIFS(Başvuru!$D:$D,C74,Başvuru!$G:$G,"Doktora Tezi",Başvuru!$A:$A,"&lt;&gt;"&amp;"",Başvuru!$F:$F,"&lt;&gt;"&amp;""))</f>
        <v>0</v>
      </c>
      <c r="I74" s="162">
        <f>IF(C74="","",COUNTIFS(Başvuru!$D:$D,C74,Başvuru!$G:$G,"Yüksek Lisans Tezi",Başvuru!$A:$A,"&lt;&gt;"&amp;"",Başvuru!$F:$F,"&lt;&gt;"&amp;""))</f>
        <v>0</v>
      </c>
      <c r="J74" s="163">
        <f>IF(C74="","",COUNTIFS(Başvuru!$D:$D,C74,Başvuru!$L:$L,"ONAY",Başvuru!$A:$A,"&lt;&gt;"&amp;"",Başvuru!$F:$F,"&lt;&gt;"&amp;""))</f>
        <v>1</v>
      </c>
      <c r="K74" s="164">
        <f>IF(C74="","",COUNTIFS(Başvuru!$D:$D,C74,Başvuru!$L:$L,"DÜZELTME",Başvuru!$A:$A,"&lt;&gt;"&amp;"",Başvuru!$F:$F,"&lt;&gt;"&amp;""))</f>
        <v>0</v>
      </c>
      <c r="L74" s="165">
        <f>IF(C74="","",COUNTIFS(Başvuru!$D:$D,C74,Başvuru!$L:$L,"KAEK",Başvuru!$A:$A,"&lt;&gt;"&amp;"",Başvuru!$F:$F,"&lt;&gt;"&amp;""))</f>
        <v>0</v>
      </c>
      <c r="M74" s="166">
        <f>IF(C74="","",COUNTIFS(Başvuru!$D:$D,C74,Başvuru!$L:$L,"GÖRÜŞ",Başvuru!$A:$A,"&lt;&gt;"&amp;"",Başvuru!$F:$F,"&lt;&gt;"&amp;""))</f>
        <v>0</v>
      </c>
      <c r="N74" s="167">
        <f>IF(C74="","",COUNTIFS(Başvuru!$D:$D,C74,Başvuru!$L:$L,"RET",Başvuru!$A:$A,"&lt;&gt;"&amp;"",Başvuru!$F:$F,"&lt;&gt;"&amp;""))</f>
        <v>0</v>
      </c>
      <c r="O74" s="168">
        <f>IF(C74="","",COUNTIFS(Başvuru!$D:$D,C74,Başvuru!$L:$L,"KAPSAM DIŞI",Başvuru!$A:$A,"&lt;&gt;"&amp;"",Başvuru!$F:$F,"&lt;&gt;"&amp;""))</f>
        <v>0</v>
      </c>
      <c r="P74" s="169">
        <f>IF(C74="","",COUNTIFS(Başvuru!$D:$D,C74,Başvuru!$L:$L,"GERİ ÇEKİLDİ",Başvuru!$A:$A,"&lt;&gt;"&amp;"",Başvuru!$F:$F,"&lt;&gt;"&amp;""))</f>
        <v>0</v>
      </c>
      <c r="Q74" s="170" t="str">
        <f t="array" ref="Q74">IFERROR(INDEX(Başvuru!$D$2:$D$3000, MATCH(0, COUNTIF($Q$5:Q73, Başvuru!$D$2:$D$3000) + IF(Başvuru!$D$2:$D$3000="",1,0), 0)), "")</f>
        <v>Gıda Mühendisliği Anabilim Dalı</v>
      </c>
      <c r="R74" s="171">
        <f>IF(Q74="","",COUNTIFS(Başvuru!$D:$D,Q74,Başvuru!$A:$A,"&lt;&gt;"&amp;"",Başvuru!$F:$F,"&lt;&gt;"&amp;""))</f>
        <v>1</v>
      </c>
      <c r="S74" s="171">
        <f>IF(R74="","",RANK(R74,$R$6:$R$155,0)+COUNTIF($R$6:R74,R74)-1)</f>
        <v>71</v>
      </c>
    </row>
    <row r="75" spans="2:19" x14ac:dyDescent="0.25">
      <c r="B75" s="159">
        <v>70</v>
      </c>
      <c r="C75" s="160" t="str">
        <f>IFERROR(INDEX($Q$6:$Q$155,MATCH(70,$S$6:$S$155,0)),"")</f>
        <v>Analitik Kimya Anabilim Dalı</v>
      </c>
      <c r="D75" s="161">
        <f>IF(C75="","",COUNTIFS(Başvuru!$D:$D,C75,Başvuru!$A:$A,"&lt;&gt;"&amp;"",Başvuru!$F:$F,"&lt;&gt;"&amp;""))</f>
        <v>1</v>
      </c>
      <c r="E75" s="159" t="str">
        <f>IF(C75="","-",IF(D75&gt;0,TEXT(D75/(COUNTIFS(Başvuru!$A:$A,"&lt;&gt;",Başvuru!$F:$F,"&lt;&gt;")-1)*100,"0.0")&amp;"%","-"))</f>
        <v>00%</v>
      </c>
      <c r="F75" s="162">
        <f>IF(C75="","",COUNTIFS(Başvuru!$D:$D,C75,Başvuru!$G:$G,"Bireysel Araştırma",Başvuru!$A:$A,"&lt;&gt;"&amp;"",Başvuru!$F:$F,"&lt;&gt;"&amp;""))</f>
        <v>1</v>
      </c>
      <c r="G75" s="162">
        <f>IF(C75="","",COUNTIFS(Başvuru!$D:$D,C75,Başvuru!$G:$G,"Uzmanlık Tezi",Başvuru!$A:$A,"&lt;&gt;"&amp;"",Başvuru!$F:$F,"&lt;&gt;"&amp;""))</f>
        <v>0</v>
      </c>
      <c r="H75" s="162">
        <f>IF(C75="","",COUNTIFS(Başvuru!$D:$D,C75,Başvuru!$G:$G,"Doktora Tezi",Başvuru!$A:$A,"&lt;&gt;"&amp;"",Başvuru!$F:$F,"&lt;&gt;"&amp;""))</f>
        <v>0</v>
      </c>
      <c r="I75" s="162">
        <f>IF(C75="","",COUNTIFS(Başvuru!$D:$D,C75,Başvuru!$G:$G,"Yüksek Lisans Tezi",Başvuru!$A:$A,"&lt;&gt;"&amp;"",Başvuru!$F:$F,"&lt;&gt;"&amp;""))</f>
        <v>0</v>
      </c>
      <c r="J75" s="163">
        <f>IF(C75="","",COUNTIFS(Başvuru!$D:$D,C75,Başvuru!$L:$L,"ONAY",Başvuru!$A:$A,"&lt;&gt;"&amp;"",Başvuru!$F:$F,"&lt;&gt;"&amp;""))</f>
        <v>0</v>
      </c>
      <c r="K75" s="164">
        <f>IF(C75="","",COUNTIFS(Başvuru!$D:$D,C75,Başvuru!$L:$L,"DÜZELTME",Başvuru!$A:$A,"&lt;&gt;"&amp;"",Başvuru!$F:$F,"&lt;&gt;"&amp;""))</f>
        <v>0</v>
      </c>
      <c r="L75" s="165">
        <f>IF(C75="","",COUNTIFS(Başvuru!$D:$D,C75,Başvuru!$L:$L,"KAEK",Başvuru!$A:$A,"&lt;&gt;"&amp;"",Başvuru!$F:$F,"&lt;&gt;"&amp;""))</f>
        <v>0</v>
      </c>
      <c r="M75" s="166">
        <f>IF(C75="","",COUNTIFS(Başvuru!$D:$D,C75,Başvuru!$L:$L,"GÖRÜŞ",Başvuru!$A:$A,"&lt;&gt;"&amp;"",Başvuru!$F:$F,"&lt;&gt;"&amp;""))</f>
        <v>1</v>
      </c>
      <c r="N75" s="167">
        <f>IF(C75="","",COUNTIFS(Başvuru!$D:$D,C75,Başvuru!$L:$L,"RET",Başvuru!$A:$A,"&lt;&gt;"&amp;"",Başvuru!$F:$F,"&lt;&gt;"&amp;""))</f>
        <v>0</v>
      </c>
      <c r="O75" s="168">
        <f>IF(C75="","",COUNTIFS(Başvuru!$D:$D,C75,Başvuru!$L:$L,"KAPSAM DIŞI",Başvuru!$A:$A,"&lt;&gt;"&amp;"",Başvuru!$F:$F,"&lt;&gt;"&amp;""))</f>
        <v>0</v>
      </c>
      <c r="P75" s="169">
        <f>IF(C75="","",COUNTIFS(Başvuru!$D:$D,C75,Başvuru!$L:$L,"GERİ ÇEKİLDİ",Başvuru!$A:$A,"&lt;&gt;"&amp;"",Başvuru!$F:$F,"&lt;&gt;"&amp;""))</f>
        <v>0</v>
      </c>
      <c r="Q75" s="170" t="str">
        <f t="array" ref="Q75">IFERROR(INDEX(Başvuru!$D$2:$D$3000, MATCH(0, COUNTIF($Q$5:Q74, Başvuru!$D$2:$D$3000) + IF(Başvuru!$D$2:$D$3000="",1,0), 0)), "")</f>
        <v>Sağlık Bilişimi Anabilim Dalı</v>
      </c>
      <c r="R75" s="171">
        <f>IF(Q75="","",COUNTIFS(Başvuru!$D:$D,Q75,Başvuru!$A:$A,"&lt;&gt;"&amp;"",Başvuru!$F:$F,"&lt;&gt;"&amp;""))</f>
        <v>1</v>
      </c>
      <c r="S75" s="171">
        <f>IF(R75="","",RANK(R75,$R$6:$R$155,0)+COUNTIF($R$6:R75,R75)-1)</f>
        <v>72</v>
      </c>
    </row>
    <row r="76" spans="2:19" x14ac:dyDescent="0.25">
      <c r="B76" s="159">
        <v>71</v>
      </c>
      <c r="C76" s="160" t="str">
        <f>IFERROR(INDEX($Q$6:$Q$155,MATCH(71,$S$6:$S$155,0)),"")</f>
        <v>Gıda Mühendisliği Anabilim Dalı</v>
      </c>
      <c r="D76" s="161">
        <f>IF(C76="","",COUNTIFS(Başvuru!$D:$D,C76,Başvuru!$A:$A,"&lt;&gt;"&amp;"",Başvuru!$F:$F,"&lt;&gt;"&amp;""))</f>
        <v>1</v>
      </c>
      <c r="E76" s="159" t="str">
        <f>IF(C76="","-",IF(D76&gt;0,TEXT(D76/(COUNTIFS(Başvuru!$A:$A,"&lt;&gt;",Başvuru!$F:$F,"&lt;&gt;")-1)*100,"0.0")&amp;"%","-"))</f>
        <v>00%</v>
      </c>
      <c r="F76" s="162">
        <f>IF(C76="","",COUNTIFS(Başvuru!$D:$D,C76,Başvuru!$G:$G,"Bireysel Araştırma",Başvuru!$A:$A,"&lt;&gt;"&amp;"",Başvuru!$F:$F,"&lt;&gt;"&amp;""))</f>
        <v>0</v>
      </c>
      <c r="G76" s="162">
        <f>IF(C76="","",COUNTIFS(Başvuru!$D:$D,C76,Başvuru!$G:$G,"Uzmanlık Tezi",Başvuru!$A:$A,"&lt;&gt;"&amp;"",Başvuru!$F:$F,"&lt;&gt;"&amp;""))</f>
        <v>0</v>
      </c>
      <c r="H76" s="162">
        <f>IF(C76="","",COUNTIFS(Başvuru!$D:$D,C76,Başvuru!$G:$G,"Doktora Tezi",Başvuru!$A:$A,"&lt;&gt;"&amp;"",Başvuru!$F:$F,"&lt;&gt;"&amp;""))</f>
        <v>0</v>
      </c>
      <c r="I76" s="162">
        <f>IF(C76="","",COUNTIFS(Başvuru!$D:$D,C76,Başvuru!$G:$G,"Yüksek Lisans Tezi",Başvuru!$A:$A,"&lt;&gt;"&amp;"",Başvuru!$F:$F,"&lt;&gt;"&amp;""))</f>
        <v>1</v>
      </c>
      <c r="J76" s="163">
        <f>IF(C76="","",COUNTIFS(Başvuru!$D:$D,C76,Başvuru!$L:$L,"ONAY",Başvuru!$A:$A,"&lt;&gt;"&amp;"",Başvuru!$F:$F,"&lt;&gt;"&amp;""))</f>
        <v>0</v>
      </c>
      <c r="K76" s="164">
        <f>IF(C76="","",COUNTIFS(Başvuru!$D:$D,C76,Başvuru!$L:$L,"DÜZELTME",Başvuru!$A:$A,"&lt;&gt;"&amp;"",Başvuru!$F:$F,"&lt;&gt;"&amp;""))</f>
        <v>1</v>
      </c>
      <c r="L76" s="165">
        <f>IF(C76="","",COUNTIFS(Başvuru!$D:$D,C76,Başvuru!$L:$L,"KAEK",Başvuru!$A:$A,"&lt;&gt;"&amp;"",Başvuru!$F:$F,"&lt;&gt;"&amp;""))</f>
        <v>0</v>
      </c>
      <c r="M76" s="166">
        <f>IF(C76="","",COUNTIFS(Başvuru!$D:$D,C76,Başvuru!$L:$L,"GÖRÜŞ",Başvuru!$A:$A,"&lt;&gt;"&amp;"",Başvuru!$F:$F,"&lt;&gt;"&amp;""))</f>
        <v>0</v>
      </c>
      <c r="N76" s="167">
        <f>IF(C76="","",COUNTIFS(Başvuru!$D:$D,C76,Başvuru!$L:$L,"RET",Başvuru!$A:$A,"&lt;&gt;"&amp;"",Başvuru!$F:$F,"&lt;&gt;"&amp;""))</f>
        <v>0</v>
      </c>
      <c r="O76" s="168">
        <f>IF(C76="","",COUNTIFS(Başvuru!$D:$D,C76,Başvuru!$L:$L,"KAPSAM DIŞI",Başvuru!$A:$A,"&lt;&gt;"&amp;"",Başvuru!$F:$F,"&lt;&gt;"&amp;""))</f>
        <v>0</v>
      </c>
      <c r="P76" s="169">
        <f>IF(C76="","",COUNTIFS(Başvuru!$D:$D,C76,Başvuru!$L:$L,"GERİ ÇEKİLDİ",Başvuru!$A:$A,"&lt;&gt;"&amp;"",Başvuru!$F:$F,"&lt;&gt;"&amp;""))</f>
        <v>0</v>
      </c>
      <c r="Q76" s="170" t="str">
        <f t="array" ref="Q76">IFERROR(INDEX(Başvuru!$D$2:$D$3000, MATCH(0, COUNTIF($Q$5:Q75, Başvuru!$D$2:$D$3000) + IF(Başvuru!$D$2:$D$3000="",1,0), 0)), "")</f>
        <v>Amasya Üniversitesi
Hemşirelik Fakültesi
İç Hastalıkları Hemşireliği Anabilim Dalı</v>
      </c>
      <c r="R76" s="171">
        <f>IF(Q76="","",COUNTIFS(Başvuru!$D:$D,Q76,Başvuru!$A:$A,"&lt;&gt;"&amp;"",Başvuru!$F:$F,"&lt;&gt;"&amp;""))</f>
        <v>1</v>
      </c>
      <c r="S76" s="171">
        <f>IF(R76="","",RANK(R76,$R$6:$R$155,0)+COUNTIF($R$6:R76,R76)-1)</f>
        <v>73</v>
      </c>
    </row>
    <row r="77" spans="2:19" x14ac:dyDescent="0.25">
      <c r="B77" s="159">
        <v>72</v>
      </c>
      <c r="C77" s="160" t="str">
        <f>IFERROR(INDEX($Q$6:$Q$155,MATCH(72,$S$6:$S$155,0)),"")</f>
        <v>Sağlık Bilişimi Anabilim Dalı</v>
      </c>
      <c r="D77" s="161">
        <f>IF(C77="","",COUNTIFS(Başvuru!$D:$D,C77,Başvuru!$A:$A,"&lt;&gt;"&amp;"",Başvuru!$F:$F,"&lt;&gt;"&amp;""))</f>
        <v>1</v>
      </c>
      <c r="E77" s="159" t="str">
        <f>IF(C77="","-",IF(D77&gt;0,TEXT(D77/(COUNTIFS(Başvuru!$A:$A,"&lt;&gt;",Başvuru!$F:$F,"&lt;&gt;")-1)*100,"0.0")&amp;"%","-"))</f>
        <v>00%</v>
      </c>
      <c r="F77" s="162">
        <f>IF(C77="","",COUNTIFS(Başvuru!$D:$D,C77,Başvuru!$G:$G,"Bireysel Araştırma",Başvuru!$A:$A,"&lt;&gt;"&amp;"",Başvuru!$F:$F,"&lt;&gt;"&amp;""))</f>
        <v>0</v>
      </c>
      <c r="G77" s="162">
        <f>IF(C77="","",COUNTIFS(Başvuru!$D:$D,C77,Başvuru!$G:$G,"Uzmanlık Tezi",Başvuru!$A:$A,"&lt;&gt;"&amp;"",Başvuru!$F:$F,"&lt;&gt;"&amp;""))</f>
        <v>0</v>
      </c>
      <c r="H77" s="162">
        <f>IF(C77="","",COUNTIFS(Başvuru!$D:$D,C77,Başvuru!$G:$G,"Doktora Tezi",Başvuru!$A:$A,"&lt;&gt;"&amp;"",Başvuru!$F:$F,"&lt;&gt;"&amp;""))</f>
        <v>1</v>
      </c>
      <c r="I77" s="162">
        <f>IF(C77="","",COUNTIFS(Başvuru!$D:$D,C77,Başvuru!$G:$G,"Yüksek Lisans Tezi",Başvuru!$A:$A,"&lt;&gt;"&amp;"",Başvuru!$F:$F,"&lt;&gt;"&amp;""))</f>
        <v>0</v>
      </c>
      <c r="J77" s="163">
        <f>IF(C77="","",COUNTIFS(Başvuru!$D:$D,C77,Başvuru!$L:$L,"ONAY",Başvuru!$A:$A,"&lt;&gt;"&amp;"",Başvuru!$F:$F,"&lt;&gt;"&amp;""))</f>
        <v>1</v>
      </c>
      <c r="K77" s="164">
        <f>IF(C77="","",COUNTIFS(Başvuru!$D:$D,C77,Başvuru!$L:$L,"DÜZELTME",Başvuru!$A:$A,"&lt;&gt;"&amp;"",Başvuru!$F:$F,"&lt;&gt;"&amp;""))</f>
        <v>0</v>
      </c>
      <c r="L77" s="165">
        <f>IF(C77="","",COUNTIFS(Başvuru!$D:$D,C77,Başvuru!$L:$L,"KAEK",Başvuru!$A:$A,"&lt;&gt;"&amp;"",Başvuru!$F:$F,"&lt;&gt;"&amp;""))</f>
        <v>0</v>
      </c>
      <c r="M77" s="166">
        <f>IF(C77="","",COUNTIFS(Başvuru!$D:$D,C77,Başvuru!$L:$L,"GÖRÜŞ",Başvuru!$A:$A,"&lt;&gt;"&amp;"",Başvuru!$F:$F,"&lt;&gt;"&amp;""))</f>
        <v>0</v>
      </c>
      <c r="N77" s="167">
        <f>IF(C77="","",COUNTIFS(Başvuru!$D:$D,C77,Başvuru!$L:$L,"RET",Başvuru!$A:$A,"&lt;&gt;"&amp;"",Başvuru!$F:$F,"&lt;&gt;"&amp;""))</f>
        <v>0</v>
      </c>
      <c r="O77" s="168">
        <f>IF(C77="","",COUNTIFS(Başvuru!$D:$D,C77,Başvuru!$L:$L,"KAPSAM DIŞI",Başvuru!$A:$A,"&lt;&gt;"&amp;"",Başvuru!$F:$F,"&lt;&gt;"&amp;""))</f>
        <v>0</v>
      </c>
      <c r="P77" s="169">
        <f>IF(C77="","",COUNTIFS(Başvuru!$D:$D,C77,Başvuru!$L:$L,"GERİ ÇEKİLDİ",Başvuru!$A:$A,"&lt;&gt;"&amp;"",Başvuru!$F:$F,"&lt;&gt;"&amp;""))</f>
        <v>0</v>
      </c>
      <c r="Q77" s="170" t="str">
        <f t="array" ref="Q77">IFERROR(INDEX(Başvuru!$D$2:$D$3000, MATCH(0, COUNTIF($Q$5:Q76, Başvuru!$D$2:$D$3000) + IF(Başvuru!$D$2:$D$3000="",1,0), 0)), "")</f>
        <v>Beyin ve Sinir Cerrahisi Anabilim Dalı</v>
      </c>
      <c r="R77" s="171">
        <f>IF(Q77="","",COUNTIFS(Başvuru!$D:$D,Q77,Başvuru!$A:$A,"&lt;&gt;"&amp;"",Başvuru!$F:$F,"&lt;&gt;"&amp;""))</f>
        <v>3</v>
      </c>
      <c r="S77" s="171">
        <f>IF(R77="","",RANK(R77,$R$6:$R$155,0)+COUNTIF($R$6:R77,R77)-1)</f>
        <v>44</v>
      </c>
    </row>
    <row r="78" spans="2:19" ht="36" x14ac:dyDescent="0.25">
      <c r="B78" s="159">
        <v>73</v>
      </c>
      <c r="C78" s="172" t="str">
        <f>IFERROR(INDEX($Q$6:$Q$155,MATCH(73,$S$6:$S$155,0)),"")</f>
        <v>Amasya Üniversitesi
Hemşirelik Fakültesi
İç Hastalıkları Hemşireliği Anabilim Dalı</v>
      </c>
      <c r="D78" s="161">
        <f>IF(C78="","",COUNTIFS(Başvuru!$D:$D,C78,Başvuru!$A:$A,"&lt;&gt;"&amp;"",Başvuru!$F:$F,"&lt;&gt;"&amp;""))</f>
        <v>1</v>
      </c>
      <c r="E78" s="159" t="str">
        <f>IF(C78="","-",IF(D78&gt;0,TEXT(D78/(COUNTIFS(Başvuru!$A:$A,"&lt;&gt;",Başvuru!$F:$F,"&lt;&gt;")-1)*100,"0.0")&amp;"%","-"))</f>
        <v>00%</v>
      </c>
      <c r="F78" s="162">
        <f>IF(C78="","",COUNTIFS(Başvuru!$D:$D,C78,Başvuru!$G:$G,"Bireysel Araştırma",Başvuru!$A:$A,"&lt;&gt;"&amp;"",Başvuru!$F:$F,"&lt;&gt;"&amp;""))</f>
        <v>0</v>
      </c>
      <c r="G78" s="162">
        <f>IF(C78="","",COUNTIFS(Başvuru!$D:$D,C78,Başvuru!$G:$G,"Uzmanlık Tezi",Başvuru!$A:$A,"&lt;&gt;"&amp;"",Başvuru!$F:$F,"&lt;&gt;"&amp;""))</f>
        <v>0</v>
      </c>
      <c r="H78" s="162">
        <f>IF(C78="","",COUNTIFS(Başvuru!$D:$D,C78,Başvuru!$G:$G,"Doktora Tezi",Başvuru!$A:$A,"&lt;&gt;"&amp;"",Başvuru!$F:$F,"&lt;&gt;"&amp;""))</f>
        <v>0</v>
      </c>
      <c r="I78" s="162">
        <f>IF(C78="","",COUNTIFS(Başvuru!$D:$D,C78,Başvuru!$G:$G,"Yüksek Lisans Tezi",Başvuru!$A:$A,"&lt;&gt;"&amp;"",Başvuru!$F:$F,"&lt;&gt;"&amp;""))</f>
        <v>1</v>
      </c>
      <c r="J78" s="163">
        <f>IF(C78="","",COUNTIFS(Başvuru!$D:$D,C78,Başvuru!$L:$L,"ONAY",Başvuru!$A:$A,"&lt;&gt;"&amp;"",Başvuru!$F:$F,"&lt;&gt;"&amp;""))</f>
        <v>0</v>
      </c>
      <c r="K78" s="164">
        <f>IF(C78="","",COUNTIFS(Başvuru!$D:$D,C78,Başvuru!$L:$L,"DÜZELTME",Başvuru!$A:$A,"&lt;&gt;"&amp;"",Başvuru!$F:$F,"&lt;&gt;"&amp;""))</f>
        <v>0</v>
      </c>
      <c r="L78" s="165">
        <f>IF(C78="","",COUNTIFS(Başvuru!$D:$D,C78,Başvuru!$L:$L,"KAEK",Başvuru!$A:$A,"&lt;&gt;"&amp;"",Başvuru!$F:$F,"&lt;&gt;"&amp;""))</f>
        <v>1</v>
      </c>
      <c r="M78" s="166">
        <f>IF(C78="","",COUNTIFS(Başvuru!$D:$D,C78,Başvuru!$L:$L,"GÖRÜŞ",Başvuru!$A:$A,"&lt;&gt;"&amp;"",Başvuru!$F:$F,"&lt;&gt;"&amp;""))</f>
        <v>0</v>
      </c>
      <c r="N78" s="167">
        <f>IF(C78="","",COUNTIFS(Başvuru!$D:$D,C78,Başvuru!$L:$L,"RET",Başvuru!$A:$A,"&lt;&gt;"&amp;"",Başvuru!$F:$F,"&lt;&gt;"&amp;""))</f>
        <v>0</v>
      </c>
      <c r="O78" s="168">
        <f>IF(C78="","",COUNTIFS(Başvuru!$D:$D,C78,Başvuru!$L:$L,"KAPSAM DIŞI",Başvuru!$A:$A,"&lt;&gt;"&amp;"",Başvuru!$F:$F,"&lt;&gt;"&amp;""))</f>
        <v>0</v>
      </c>
      <c r="P78" s="169">
        <f>IF(C78="","",COUNTIFS(Başvuru!$D:$D,C78,Başvuru!$L:$L,"GERİ ÇEKİLDİ",Başvuru!$A:$A,"&lt;&gt;"&amp;"",Başvuru!$F:$F,"&lt;&gt;"&amp;""))</f>
        <v>0</v>
      </c>
      <c r="Q78" s="170" t="str">
        <f t="array" ref="Q78">IFERROR(INDEX(Başvuru!$D$2:$D$3000, MATCH(0, COUNTIF($Q$5:Q77, Başvuru!$D$2:$D$3000) + IF(Başvuru!$D$2:$D$3000="",1,0), 0)), "")</f>
        <v>Bilişim ve Enformasyon Teknolojileri Anabilim Dalı</v>
      </c>
      <c r="R78" s="171">
        <f>IF(Q78="","",COUNTIFS(Başvuru!$D:$D,Q78,Başvuru!$A:$A,"&lt;&gt;"&amp;"",Başvuru!$F:$F,"&lt;&gt;"&amp;""))</f>
        <v>1</v>
      </c>
      <c r="S78" s="171">
        <f>IF(R78="","",RANK(R78,$R$6:$R$155,0)+COUNTIF($R$6:R78,R78)-1)</f>
        <v>74</v>
      </c>
    </row>
    <row r="79" spans="2:19" x14ac:dyDescent="0.25">
      <c r="B79" s="159">
        <v>74</v>
      </c>
      <c r="C79" s="160" t="str">
        <f>IFERROR(INDEX($Q$6:$Q$155,MATCH(74,$S$6:$S$155,0)),"")</f>
        <v>Bilişim ve Enformasyon Teknolojileri Anabilim Dalı</v>
      </c>
      <c r="D79" s="161">
        <f>IF(C79="","",COUNTIFS(Başvuru!$D:$D,C79,Başvuru!$A:$A,"&lt;&gt;"&amp;"",Başvuru!$F:$F,"&lt;&gt;"&amp;""))</f>
        <v>1</v>
      </c>
      <c r="E79" s="159" t="str">
        <f>IF(C79="","-",IF(D79&gt;0,TEXT(D79/(COUNTIFS(Başvuru!$A:$A,"&lt;&gt;",Başvuru!$F:$F,"&lt;&gt;")-1)*100,"0.0")&amp;"%","-"))</f>
        <v>00%</v>
      </c>
      <c r="F79" s="162">
        <f>IF(C79="","",COUNTIFS(Başvuru!$D:$D,C79,Başvuru!$G:$G,"Bireysel Araştırma",Başvuru!$A:$A,"&lt;&gt;"&amp;"",Başvuru!$F:$F,"&lt;&gt;"&amp;""))</f>
        <v>0</v>
      </c>
      <c r="G79" s="162">
        <f>IF(C79="","",COUNTIFS(Başvuru!$D:$D,C79,Başvuru!$G:$G,"Uzmanlık Tezi",Başvuru!$A:$A,"&lt;&gt;"&amp;"",Başvuru!$F:$F,"&lt;&gt;"&amp;""))</f>
        <v>0</v>
      </c>
      <c r="H79" s="162">
        <f>IF(C79="","",COUNTIFS(Başvuru!$D:$D,C79,Başvuru!$G:$G,"Doktora Tezi",Başvuru!$A:$A,"&lt;&gt;"&amp;"",Başvuru!$F:$F,"&lt;&gt;"&amp;""))</f>
        <v>0</v>
      </c>
      <c r="I79" s="162">
        <f>IF(C79="","",COUNTIFS(Başvuru!$D:$D,C79,Başvuru!$G:$G,"Yüksek Lisans Tezi",Başvuru!$A:$A,"&lt;&gt;"&amp;"",Başvuru!$F:$F,"&lt;&gt;"&amp;""))</f>
        <v>1</v>
      </c>
      <c r="J79" s="163">
        <f>IF(C79="","",COUNTIFS(Başvuru!$D:$D,C79,Başvuru!$L:$L,"ONAY",Başvuru!$A:$A,"&lt;&gt;"&amp;"",Başvuru!$F:$F,"&lt;&gt;"&amp;""))</f>
        <v>0</v>
      </c>
      <c r="K79" s="164">
        <f>IF(C79="","",COUNTIFS(Başvuru!$D:$D,C79,Başvuru!$L:$L,"DÜZELTME",Başvuru!$A:$A,"&lt;&gt;"&amp;"",Başvuru!$F:$F,"&lt;&gt;"&amp;""))</f>
        <v>1</v>
      </c>
      <c r="L79" s="165">
        <f>IF(C79="","",COUNTIFS(Başvuru!$D:$D,C79,Başvuru!$L:$L,"KAEK",Başvuru!$A:$A,"&lt;&gt;"&amp;"",Başvuru!$F:$F,"&lt;&gt;"&amp;""))</f>
        <v>0</v>
      </c>
      <c r="M79" s="166">
        <f>IF(C79="","",COUNTIFS(Başvuru!$D:$D,C79,Başvuru!$L:$L,"GÖRÜŞ",Başvuru!$A:$A,"&lt;&gt;"&amp;"",Başvuru!$F:$F,"&lt;&gt;"&amp;""))</f>
        <v>0</v>
      </c>
      <c r="N79" s="167">
        <f>IF(C79="","",COUNTIFS(Başvuru!$D:$D,C79,Başvuru!$L:$L,"RET",Başvuru!$A:$A,"&lt;&gt;"&amp;"",Başvuru!$F:$F,"&lt;&gt;"&amp;""))</f>
        <v>0</v>
      </c>
      <c r="O79" s="168">
        <f>IF(C79="","",COUNTIFS(Başvuru!$D:$D,C79,Başvuru!$L:$L,"KAPSAM DIŞI",Başvuru!$A:$A,"&lt;&gt;"&amp;"",Başvuru!$F:$F,"&lt;&gt;"&amp;""))</f>
        <v>0</v>
      </c>
      <c r="P79" s="169">
        <f>IF(C79="","",COUNTIFS(Başvuru!$D:$D,C79,Başvuru!$L:$L,"GERİ ÇEKİLDİ",Başvuru!$A:$A,"&lt;&gt;"&amp;"",Başvuru!$F:$F,"&lt;&gt;"&amp;""))</f>
        <v>0</v>
      </c>
      <c r="Q79" s="170" t="str">
        <f t="array" ref="Q79">IFERROR(INDEX(Başvuru!$D$2:$D$3000, MATCH(0, COUNTIF($Q$5:Q78, Başvuru!$D$2:$D$3000) + IF(Başvuru!$D$2:$D$3000="",1,0), 0)), "")</f>
        <v>Biyokimya Anabilim Dalı</v>
      </c>
      <c r="R79" s="171">
        <f>IF(Q79="","",COUNTIFS(Başvuru!$D:$D,Q79,Başvuru!$A:$A,"&lt;&gt;"&amp;"",Başvuru!$F:$F,"&lt;&gt;"&amp;""))</f>
        <v>1</v>
      </c>
      <c r="S79" s="171">
        <f>IF(R79="","",RANK(R79,$R$6:$R$155,0)+COUNTIF($R$6:R79,R79)-1)</f>
        <v>75</v>
      </c>
    </row>
    <row r="80" spans="2:19" x14ac:dyDescent="0.25">
      <c r="B80" s="159">
        <v>75</v>
      </c>
      <c r="C80" s="160" t="str">
        <f>IFERROR(INDEX($Q$6:$Q$155,MATCH(75,$S$6:$S$155,0)),"")</f>
        <v>Biyokimya Anabilim Dalı</v>
      </c>
      <c r="D80" s="161">
        <f>IF(C80="","",COUNTIFS(Başvuru!$D:$D,C80,Başvuru!$A:$A,"&lt;&gt;"&amp;"",Başvuru!$F:$F,"&lt;&gt;"&amp;""))</f>
        <v>1</v>
      </c>
      <c r="E80" s="159" t="str">
        <f>IF(C80="","-",IF(D80&gt;0,TEXT(D80/(COUNTIFS(Başvuru!$A:$A,"&lt;&gt;",Başvuru!$F:$F,"&lt;&gt;")-1)*100,"0.0")&amp;"%","-"))</f>
        <v>00%</v>
      </c>
      <c r="F80" s="162">
        <f>IF(C80="","",COUNTIFS(Başvuru!$D:$D,C80,Başvuru!$G:$G,"Bireysel Araştırma",Başvuru!$A:$A,"&lt;&gt;"&amp;"",Başvuru!$F:$F,"&lt;&gt;"&amp;""))</f>
        <v>1</v>
      </c>
      <c r="G80" s="162">
        <f>IF(C80="","",COUNTIFS(Başvuru!$D:$D,C80,Başvuru!$G:$G,"Uzmanlık Tezi",Başvuru!$A:$A,"&lt;&gt;"&amp;"",Başvuru!$F:$F,"&lt;&gt;"&amp;""))</f>
        <v>0</v>
      </c>
      <c r="H80" s="162">
        <f>IF(C80="","",COUNTIFS(Başvuru!$D:$D,C80,Başvuru!$G:$G,"Doktora Tezi",Başvuru!$A:$A,"&lt;&gt;"&amp;"",Başvuru!$F:$F,"&lt;&gt;"&amp;""))</f>
        <v>0</v>
      </c>
      <c r="I80" s="162">
        <f>IF(C80="","",COUNTIFS(Başvuru!$D:$D,C80,Başvuru!$G:$G,"Yüksek Lisans Tezi",Başvuru!$A:$A,"&lt;&gt;"&amp;"",Başvuru!$F:$F,"&lt;&gt;"&amp;""))</f>
        <v>0</v>
      </c>
      <c r="J80" s="163">
        <f>IF(C80="","",COUNTIFS(Başvuru!$D:$D,C80,Başvuru!$L:$L,"ONAY",Başvuru!$A:$A,"&lt;&gt;"&amp;"",Başvuru!$F:$F,"&lt;&gt;"&amp;""))</f>
        <v>0</v>
      </c>
      <c r="K80" s="164">
        <f>IF(C80="","",COUNTIFS(Başvuru!$D:$D,C80,Başvuru!$L:$L,"DÜZELTME",Başvuru!$A:$A,"&lt;&gt;"&amp;"",Başvuru!$F:$F,"&lt;&gt;"&amp;""))</f>
        <v>0</v>
      </c>
      <c r="L80" s="165">
        <f>IF(C80="","",COUNTIFS(Başvuru!$D:$D,C80,Başvuru!$L:$L,"KAEK",Başvuru!$A:$A,"&lt;&gt;"&amp;"",Başvuru!$F:$F,"&lt;&gt;"&amp;""))</f>
        <v>0</v>
      </c>
      <c r="M80" s="166">
        <f>IF(C80="","",COUNTIFS(Başvuru!$D:$D,C80,Başvuru!$L:$L,"GÖRÜŞ",Başvuru!$A:$A,"&lt;&gt;"&amp;"",Başvuru!$F:$F,"&lt;&gt;"&amp;""))</f>
        <v>0</v>
      </c>
      <c r="N80" s="167">
        <f>IF(C80="","",COUNTIFS(Başvuru!$D:$D,C80,Başvuru!$L:$L,"RET",Başvuru!$A:$A,"&lt;&gt;"&amp;"",Başvuru!$F:$F,"&lt;&gt;"&amp;""))</f>
        <v>0</v>
      </c>
      <c r="O80" s="168">
        <f>IF(C80="","",COUNTIFS(Başvuru!$D:$D,C80,Başvuru!$L:$L,"KAPSAM DIŞI",Başvuru!$A:$A,"&lt;&gt;"&amp;"",Başvuru!$F:$F,"&lt;&gt;"&amp;""))</f>
        <v>1</v>
      </c>
      <c r="P80" s="169">
        <f>IF(C80="","",COUNTIFS(Başvuru!$D:$D,C80,Başvuru!$L:$L,"GERİ ÇEKİLDİ",Başvuru!$A:$A,"&lt;&gt;"&amp;"",Başvuru!$F:$F,"&lt;&gt;"&amp;""))</f>
        <v>0</v>
      </c>
      <c r="Q80" s="170" t="str">
        <f t="array" ref="Q80">IFERROR(INDEX(Başvuru!$D$2:$D$3000, MATCH(0, COUNTIF($Q$5:Q79, Başvuru!$D$2:$D$3000) + IF(Başvuru!$D$2:$D$3000="",1,0), 0)), "")</f>
        <v>Kontrol ve Kumanda Sistemleri Anabilim Dalı</v>
      </c>
      <c r="R80" s="171">
        <f>IF(Q80="","",COUNTIFS(Başvuru!$D:$D,Q80,Başvuru!$A:$A,"&lt;&gt;"&amp;"",Başvuru!$F:$F,"&lt;&gt;"&amp;""))</f>
        <v>1</v>
      </c>
      <c r="S80" s="171">
        <f>IF(R80="","",RANK(R80,$R$6:$R$155,0)+COUNTIF($R$6:R80,R80)-1)</f>
        <v>76</v>
      </c>
    </row>
    <row r="81" spans="2:19" x14ac:dyDescent="0.25">
      <c r="B81" s="159">
        <v>76</v>
      </c>
      <c r="C81" s="160" t="str">
        <f>IFERROR(INDEX($Q$6:$Q$155,MATCH(76,$S$6:$S$155,0)),"")</f>
        <v>Kontrol ve Kumanda Sistemleri Anabilim Dalı</v>
      </c>
      <c r="D81" s="161">
        <f>IF(C81="","",COUNTIFS(Başvuru!$D:$D,C81,Başvuru!$A:$A,"&lt;&gt;"&amp;"",Başvuru!$F:$F,"&lt;&gt;"&amp;""))</f>
        <v>1</v>
      </c>
      <c r="E81" s="159" t="str">
        <f>IF(C81="","-",IF(D81&gt;0,TEXT(D81/(COUNTIFS(Başvuru!$A:$A,"&lt;&gt;",Başvuru!$F:$F,"&lt;&gt;")-1)*100,"0.0")&amp;"%","-"))</f>
        <v>00%</v>
      </c>
      <c r="F81" s="162">
        <f>IF(C81="","",COUNTIFS(Başvuru!$D:$D,C81,Başvuru!$G:$G,"Bireysel Araştırma",Başvuru!$A:$A,"&lt;&gt;"&amp;"",Başvuru!$F:$F,"&lt;&gt;"&amp;""))</f>
        <v>1</v>
      </c>
      <c r="G81" s="162">
        <f>IF(C81="","",COUNTIFS(Başvuru!$D:$D,C81,Başvuru!$G:$G,"Uzmanlık Tezi",Başvuru!$A:$A,"&lt;&gt;"&amp;"",Başvuru!$F:$F,"&lt;&gt;"&amp;""))</f>
        <v>0</v>
      </c>
      <c r="H81" s="162">
        <f>IF(C81="","",COUNTIFS(Başvuru!$D:$D,C81,Başvuru!$G:$G,"Doktora Tezi",Başvuru!$A:$A,"&lt;&gt;"&amp;"",Başvuru!$F:$F,"&lt;&gt;"&amp;""))</f>
        <v>0</v>
      </c>
      <c r="I81" s="162">
        <f>IF(C81="","",COUNTIFS(Başvuru!$D:$D,C81,Başvuru!$G:$G,"Yüksek Lisans Tezi",Başvuru!$A:$A,"&lt;&gt;"&amp;"",Başvuru!$F:$F,"&lt;&gt;"&amp;""))</f>
        <v>0</v>
      </c>
      <c r="J81" s="163">
        <f>IF(C81="","",COUNTIFS(Başvuru!$D:$D,C81,Başvuru!$L:$L,"ONAY",Başvuru!$A:$A,"&lt;&gt;"&amp;"",Başvuru!$F:$F,"&lt;&gt;"&amp;""))</f>
        <v>0</v>
      </c>
      <c r="K81" s="164">
        <f>IF(C81="","",COUNTIFS(Başvuru!$D:$D,C81,Başvuru!$L:$L,"DÜZELTME",Başvuru!$A:$A,"&lt;&gt;"&amp;"",Başvuru!$F:$F,"&lt;&gt;"&amp;""))</f>
        <v>1</v>
      </c>
      <c r="L81" s="165">
        <f>IF(C81="","",COUNTIFS(Başvuru!$D:$D,C81,Başvuru!$L:$L,"KAEK",Başvuru!$A:$A,"&lt;&gt;"&amp;"",Başvuru!$F:$F,"&lt;&gt;"&amp;""))</f>
        <v>0</v>
      </c>
      <c r="M81" s="166">
        <f>IF(C81="","",COUNTIFS(Başvuru!$D:$D,C81,Başvuru!$L:$L,"GÖRÜŞ",Başvuru!$A:$A,"&lt;&gt;"&amp;"",Başvuru!$F:$F,"&lt;&gt;"&amp;""))</f>
        <v>0</v>
      </c>
      <c r="N81" s="167">
        <f>IF(C81="","",COUNTIFS(Başvuru!$D:$D,C81,Başvuru!$L:$L,"RET",Başvuru!$A:$A,"&lt;&gt;"&amp;"",Başvuru!$F:$F,"&lt;&gt;"&amp;""))</f>
        <v>0</v>
      </c>
      <c r="O81" s="168">
        <f>IF(C81="","",COUNTIFS(Başvuru!$D:$D,C81,Başvuru!$L:$L,"KAPSAM DIŞI",Başvuru!$A:$A,"&lt;&gt;"&amp;"",Başvuru!$F:$F,"&lt;&gt;"&amp;""))</f>
        <v>0</v>
      </c>
      <c r="P81" s="169">
        <f>IF(C81="","",COUNTIFS(Başvuru!$D:$D,C81,Başvuru!$L:$L,"GERİ ÇEKİLDİ",Başvuru!$A:$A,"&lt;&gt;"&amp;"",Başvuru!$F:$F,"&lt;&gt;"&amp;""))</f>
        <v>0</v>
      </c>
      <c r="Q81" s="170" t="str">
        <f t="array" ref="Q81">IFERROR(INDEX(Başvuru!$D$2:$D$3000, MATCH(0, COUNTIF($Q$5:Q80, Başvuru!$D$2:$D$3000) + IF(Başvuru!$D$2:$D$3000="",1,0), 0)), "")</f>
        <v>Biyomühendislik Anabilim Dalı</v>
      </c>
      <c r="R81" s="171">
        <f>IF(Q81="","",COUNTIFS(Başvuru!$D:$D,Q81,Başvuru!$A:$A,"&lt;&gt;"&amp;"",Başvuru!$F:$F,"&lt;&gt;"&amp;""))</f>
        <v>1</v>
      </c>
      <c r="S81" s="171">
        <f>IF(R81="","",RANK(R81,$R$6:$R$155,0)+COUNTIF($R$6:R81,R81)-1)</f>
        <v>77</v>
      </c>
    </row>
    <row r="82" spans="2:19" x14ac:dyDescent="0.25">
      <c r="B82" s="159">
        <v>77</v>
      </c>
      <c r="C82" s="160" t="str">
        <f>IFERROR(INDEX($Q$6:$Q$155,MATCH(77,$S$6:$S$155,0)),"")</f>
        <v>Biyomühendislik Anabilim Dalı</v>
      </c>
      <c r="D82" s="161">
        <f>IF(C82="","",COUNTIFS(Başvuru!$D:$D,C82,Başvuru!$A:$A,"&lt;&gt;"&amp;"",Başvuru!$F:$F,"&lt;&gt;"&amp;""))</f>
        <v>1</v>
      </c>
      <c r="E82" s="159" t="str">
        <f>IF(C82="","-",IF(D82&gt;0,TEXT(D82/(COUNTIFS(Başvuru!$A:$A,"&lt;&gt;",Başvuru!$F:$F,"&lt;&gt;")-1)*100,"0.0")&amp;"%","-"))</f>
        <v>00%</v>
      </c>
      <c r="F82" s="162">
        <f>IF(C82="","",COUNTIFS(Başvuru!$D:$D,C82,Başvuru!$G:$G,"Bireysel Araştırma",Başvuru!$A:$A,"&lt;&gt;"&amp;"",Başvuru!$F:$F,"&lt;&gt;"&amp;""))</f>
        <v>0</v>
      </c>
      <c r="G82" s="162">
        <f>IF(C82="","",COUNTIFS(Başvuru!$D:$D,C82,Başvuru!$G:$G,"Uzmanlık Tezi",Başvuru!$A:$A,"&lt;&gt;"&amp;"",Başvuru!$F:$F,"&lt;&gt;"&amp;""))</f>
        <v>0</v>
      </c>
      <c r="H82" s="162">
        <f>IF(C82="","",COUNTIFS(Başvuru!$D:$D,C82,Başvuru!$G:$G,"Doktora Tezi",Başvuru!$A:$A,"&lt;&gt;"&amp;"",Başvuru!$F:$F,"&lt;&gt;"&amp;""))</f>
        <v>1</v>
      </c>
      <c r="I82" s="162">
        <f>IF(C82="","",COUNTIFS(Başvuru!$D:$D,C82,Başvuru!$G:$G,"Yüksek Lisans Tezi",Başvuru!$A:$A,"&lt;&gt;"&amp;"",Başvuru!$F:$F,"&lt;&gt;"&amp;""))</f>
        <v>0</v>
      </c>
      <c r="J82" s="163">
        <f>IF(C82="","",COUNTIFS(Başvuru!$D:$D,C82,Başvuru!$L:$L,"ONAY",Başvuru!$A:$A,"&lt;&gt;"&amp;"",Başvuru!$F:$F,"&lt;&gt;"&amp;""))</f>
        <v>0</v>
      </c>
      <c r="K82" s="164">
        <f>IF(C82="","",COUNTIFS(Başvuru!$D:$D,C82,Başvuru!$L:$L,"DÜZELTME",Başvuru!$A:$A,"&lt;&gt;"&amp;"",Başvuru!$F:$F,"&lt;&gt;"&amp;""))</f>
        <v>1</v>
      </c>
      <c r="L82" s="165">
        <f>IF(C82="","",COUNTIFS(Başvuru!$D:$D,C82,Başvuru!$L:$L,"KAEK",Başvuru!$A:$A,"&lt;&gt;"&amp;"",Başvuru!$F:$F,"&lt;&gt;"&amp;""))</f>
        <v>0</v>
      </c>
      <c r="M82" s="166">
        <f>IF(C82="","",COUNTIFS(Başvuru!$D:$D,C82,Başvuru!$L:$L,"GÖRÜŞ",Başvuru!$A:$A,"&lt;&gt;"&amp;"",Başvuru!$F:$F,"&lt;&gt;"&amp;""))</f>
        <v>0</v>
      </c>
      <c r="N82" s="167">
        <f>IF(C82="","",COUNTIFS(Başvuru!$D:$D,C82,Başvuru!$L:$L,"RET",Başvuru!$A:$A,"&lt;&gt;"&amp;"",Başvuru!$F:$F,"&lt;&gt;"&amp;""))</f>
        <v>0</v>
      </c>
      <c r="O82" s="168">
        <f>IF(C82="","",COUNTIFS(Başvuru!$D:$D,C82,Başvuru!$L:$L,"KAPSAM DIŞI",Başvuru!$A:$A,"&lt;&gt;"&amp;"",Başvuru!$F:$F,"&lt;&gt;"&amp;""))</f>
        <v>0</v>
      </c>
      <c r="P82" s="169">
        <f>IF(C82="","",COUNTIFS(Başvuru!$D:$D,C82,Başvuru!$L:$L,"GERİ ÇEKİLDİ",Başvuru!$A:$A,"&lt;&gt;"&amp;"",Başvuru!$F:$F,"&lt;&gt;"&amp;""))</f>
        <v>0</v>
      </c>
      <c r="Q82" s="170" t="str">
        <f t="array" ref="Q82">IFERROR(INDEX(Başvuru!$D$2:$D$3000, MATCH(0, COUNTIF($Q$5:Q81, Başvuru!$D$2:$D$3000) + IF(Başvuru!$D$2:$D$3000="",1,0), 0)), "")</f>
        <v>Bilgisayar Bilimleri Anabilim Dalı</v>
      </c>
      <c r="R82" s="171">
        <f>IF(Q82="","",COUNTIFS(Başvuru!$D:$D,Q82,Başvuru!$A:$A,"&lt;&gt;"&amp;"",Başvuru!$F:$F,"&lt;&gt;"&amp;""))</f>
        <v>1</v>
      </c>
      <c r="S82" s="171">
        <f>IF(R82="","",RANK(R82,$R$6:$R$155,0)+COUNTIF($R$6:R82,R82)-1)</f>
        <v>78</v>
      </c>
    </row>
    <row r="83" spans="2:19" x14ac:dyDescent="0.25">
      <c r="B83" s="159">
        <v>78</v>
      </c>
      <c r="C83" s="160" t="str">
        <f>IFERROR(INDEX($Q$6:$Q$155,MATCH(78,$S$6:$S$155,0)),"")</f>
        <v>Bilgisayar Bilimleri Anabilim Dalı</v>
      </c>
      <c r="D83" s="161">
        <f>IF(C83="","",COUNTIFS(Başvuru!$D:$D,C83,Başvuru!$A:$A,"&lt;&gt;"&amp;"",Başvuru!$F:$F,"&lt;&gt;"&amp;""))</f>
        <v>1</v>
      </c>
      <c r="E83" s="159" t="str">
        <f>IF(C83="","-",IF(D83&gt;0,TEXT(D83/(COUNTIFS(Başvuru!$A:$A,"&lt;&gt;",Başvuru!$F:$F,"&lt;&gt;")-1)*100,"0.0")&amp;"%","-"))</f>
        <v>00%</v>
      </c>
      <c r="F83" s="162">
        <f>IF(C83="","",COUNTIFS(Başvuru!$D:$D,C83,Başvuru!$G:$G,"Bireysel Araştırma",Başvuru!$A:$A,"&lt;&gt;"&amp;"",Başvuru!$F:$F,"&lt;&gt;"&amp;""))</f>
        <v>1</v>
      </c>
      <c r="G83" s="162">
        <f>IF(C83="","",COUNTIFS(Başvuru!$D:$D,C83,Başvuru!$G:$G,"Uzmanlık Tezi",Başvuru!$A:$A,"&lt;&gt;"&amp;"",Başvuru!$F:$F,"&lt;&gt;"&amp;""))</f>
        <v>0</v>
      </c>
      <c r="H83" s="162">
        <f>IF(C83="","",COUNTIFS(Başvuru!$D:$D,C83,Başvuru!$G:$G,"Doktora Tezi",Başvuru!$A:$A,"&lt;&gt;"&amp;"",Başvuru!$F:$F,"&lt;&gt;"&amp;""))</f>
        <v>0</v>
      </c>
      <c r="I83" s="162">
        <f>IF(C83="","",COUNTIFS(Başvuru!$D:$D,C83,Başvuru!$G:$G,"Yüksek Lisans Tezi",Başvuru!$A:$A,"&lt;&gt;"&amp;"",Başvuru!$F:$F,"&lt;&gt;"&amp;""))</f>
        <v>0</v>
      </c>
      <c r="J83" s="163">
        <f>IF(C83="","",COUNTIFS(Başvuru!$D:$D,C83,Başvuru!$L:$L,"ONAY",Başvuru!$A:$A,"&lt;&gt;"&amp;"",Başvuru!$F:$F,"&lt;&gt;"&amp;""))</f>
        <v>0</v>
      </c>
      <c r="K83" s="164">
        <f>IF(C83="","",COUNTIFS(Başvuru!$D:$D,C83,Başvuru!$L:$L,"DÜZELTME",Başvuru!$A:$A,"&lt;&gt;"&amp;"",Başvuru!$F:$F,"&lt;&gt;"&amp;""))</f>
        <v>0</v>
      </c>
      <c r="L83" s="165">
        <f>IF(C83="","",COUNTIFS(Başvuru!$D:$D,C83,Başvuru!$L:$L,"KAEK",Başvuru!$A:$A,"&lt;&gt;"&amp;"",Başvuru!$F:$F,"&lt;&gt;"&amp;""))</f>
        <v>0</v>
      </c>
      <c r="M83" s="166">
        <f>IF(C83="","",COUNTIFS(Başvuru!$D:$D,C83,Başvuru!$L:$L,"GÖRÜŞ",Başvuru!$A:$A,"&lt;&gt;"&amp;"",Başvuru!$F:$F,"&lt;&gt;"&amp;""))</f>
        <v>0</v>
      </c>
      <c r="N83" s="167">
        <f>IF(C83="","",COUNTIFS(Başvuru!$D:$D,C83,Başvuru!$L:$L,"RET",Başvuru!$A:$A,"&lt;&gt;"&amp;"",Başvuru!$F:$F,"&lt;&gt;"&amp;""))</f>
        <v>0</v>
      </c>
      <c r="O83" s="168">
        <f>IF(C83="","",COUNTIFS(Başvuru!$D:$D,C83,Başvuru!$L:$L,"KAPSAM DIŞI",Başvuru!$A:$A,"&lt;&gt;"&amp;"",Başvuru!$F:$F,"&lt;&gt;"&amp;""))</f>
        <v>1</v>
      </c>
      <c r="P83" s="169">
        <f>IF(C83="","",COUNTIFS(Başvuru!$D:$D,C83,Başvuru!$L:$L,"GERİ ÇEKİLDİ",Başvuru!$A:$A,"&lt;&gt;"&amp;"",Başvuru!$F:$F,"&lt;&gt;"&amp;""))</f>
        <v>0</v>
      </c>
      <c r="Q83" s="170" t="str">
        <f t="array" ref="Q83">IFERROR(INDEX(Başvuru!$D$2:$D$3000, MATCH(0, COUNTIF($Q$5:Q82, Başvuru!$D$2:$D$3000) + IF(Başvuru!$D$2:$D$3000="",1,0), 0)), "")</f>
        <v>Tıp Tarihi ve Etik Anabilim Dalı</v>
      </c>
      <c r="R83" s="171">
        <f>IF(Q83="","",COUNTIFS(Başvuru!$D:$D,Q83,Başvuru!$A:$A,"&lt;&gt;"&amp;"",Başvuru!$F:$F,"&lt;&gt;"&amp;""))</f>
        <v>1</v>
      </c>
      <c r="S83" s="171">
        <f>IF(R83="","",RANK(R83,$R$6:$R$155,0)+COUNTIF($R$6:R83,R83)-1)</f>
        <v>79</v>
      </c>
    </row>
    <row r="84" spans="2:19" x14ac:dyDescent="0.25">
      <c r="B84" s="159">
        <v>79</v>
      </c>
      <c r="C84" s="160" t="str">
        <f>IFERROR(INDEX($Q$6:$Q$155,MATCH(79,$S$6:$S$155,0)),"")</f>
        <v>Tıp Tarihi ve Etik Anabilim Dalı</v>
      </c>
      <c r="D84" s="161">
        <f>IF(C84="","",COUNTIFS(Başvuru!$D:$D,C84,Başvuru!$A:$A,"&lt;&gt;"&amp;"",Başvuru!$F:$F,"&lt;&gt;"&amp;""))</f>
        <v>1</v>
      </c>
      <c r="E84" s="159" t="str">
        <f>IF(C84="","-",IF(D84&gt;0,TEXT(D84/(COUNTIFS(Başvuru!$A:$A,"&lt;&gt;",Başvuru!$F:$F,"&lt;&gt;")-1)*100,"0.0")&amp;"%","-"))</f>
        <v>00%</v>
      </c>
      <c r="F84" s="162">
        <f>IF(C84="","",COUNTIFS(Başvuru!$D:$D,C84,Başvuru!$G:$G,"Bireysel Araştırma",Başvuru!$A:$A,"&lt;&gt;"&amp;"",Başvuru!$F:$F,"&lt;&gt;"&amp;""))</f>
        <v>0</v>
      </c>
      <c r="G84" s="162">
        <f>IF(C84="","",COUNTIFS(Başvuru!$D:$D,C84,Başvuru!$G:$G,"Uzmanlık Tezi",Başvuru!$A:$A,"&lt;&gt;"&amp;"",Başvuru!$F:$F,"&lt;&gt;"&amp;""))</f>
        <v>0</v>
      </c>
      <c r="H84" s="162">
        <f>IF(C84="","",COUNTIFS(Başvuru!$D:$D,C84,Başvuru!$G:$G,"Doktora Tezi",Başvuru!$A:$A,"&lt;&gt;"&amp;"",Başvuru!$F:$F,"&lt;&gt;"&amp;""))</f>
        <v>1</v>
      </c>
      <c r="I84" s="162">
        <f>IF(C84="","",COUNTIFS(Başvuru!$D:$D,C84,Başvuru!$G:$G,"Yüksek Lisans Tezi",Başvuru!$A:$A,"&lt;&gt;"&amp;"",Başvuru!$F:$F,"&lt;&gt;"&amp;""))</f>
        <v>0</v>
      </c>
      <c r="J84" s="163">
        <f>IF(C84="","",COUNTIFS(Başvuru!$D:$D,C84,Başvuru!$L:$L,"ONAY",Başvuru!$A:$A,"&lt;&gt;"&amp;"",Başvuru!$F:$F,"&lt;&gt;"&amp;""))</f>
        <v>1</v>
      </c>
      <c r="K84" s="164">
        <f>IF(C84="","",COUNTIFS(Başvuru!$D:$D,C84,Başvuru!$L:$L,"DÜZELTME",Başvuru!$A:$A,"&lt;&gt;"&amp;"",Başvuru!$F:$F,"&lt;&gt;"&amp;""))</f>
        <v>0</v>
      </c>
      <c r="L84" s="165">
        <f>IF(C84="","",COUNTIFS(Başvuru!$D:$D,C84,Başvuru!$L:$L,"KAEK",Başvuru!$A:$A,"&lt;&gt;"&amp;"",Başvuru!$F:$F,"&lt;&gt;"&amp;""))</f>
        <v>0</v>
      </c>
      <c r="M84" s="166">
        <f>IF(C84="","",COUNTIFS(Başvuru!$D:$D,C84,Başvuru!$L:$L,"GÖRÜŞ",Başvuru!$A:$A,"&lt;&gt;"&amp;"",Başvuru!$F:$F,"&lt;&gt;"&amp;""))</f>
        <v>0</v>
      </c>
      <c r="N84" s="167">
        <f>IF(C84="","",COUNTIFS(Başvuru!$D:$D,C84,Başvuru!$L:$L,"RET",Başvuru!$A:$A,"&lt;&gt;"&amp;"",Başvuru!$F:$F,"&lt;&gt;"&amp;""))</f>
        <v>0</v>
      </c>
      <c r="O84" s="168">
        <f>IF(C84="","",COUNTIFS(Başvuru!$D:$D,C84,Başvuru!$L:$L,"KAPSAM DIŞI",Başvuru!$A:$A,"&lt;&gt;"&amp;"",Başvuru!$F:$F,"&lt;&gt;"&amp;""))</f>
        <v>0</v>
      </c>
      <c r="P84" s="169">
        <f>IF(C84="","",COUNTIFS(Başvuru!$D:$D,C84,Başvuru!$L:$L,"GERİ ÇEKİLDİ",Başvuru!$A:$A,"&lt;&gt;"&amp;"",Başvuru!$F:$F,"&lt;&gt;"&amp;""))</f>
        <v>0</v>
      </c>
      <c r="Q84" s="170" t="str">
        <f t="array" ref="Q84">IFERROR(INDEX(Başvuru!$D$2:$D$3000, MATCH(0, COUNTIF($Q$5:Q83, Başvuru!$D$2:$D$3000) + IF(Başvuru!$D$2:$D$3000="",1,0), 0)), "")</f>
        <v>Farmakoloji Anabilim Dalı</v>
      </c>
      <c r="R84" s="171">
        <f>IF(Q84="","",COUNTIFS(Başvuru!$D:$D,Q84,Başvuru!$A:$A,"&lt;&gt;"&amp;"",Başvuru!$F:$F,"&lt;&gt;"&amp;""))</f>
        <v>1</v>
      </c>
      <c r="S84" s="171">
        <f>IF(R84="","",RANK(R84,$R$6:$R$155,0)+COUNTIF($R$6:R84,R84)-1)</f>
        <v>80</v>
      </c>
    </row>
    <row r="85" spans="2:19" x14ac:dyDescent="0.25">
      <c r="B85" s="159">
        <v>80</v>
      </c>
      <c r="C85" s="160" t="str">
        <f>IFERROR(INDEX($Q$6:$Q$155,MATCH(80,$S$6:$S$155,0)),"")</f>
        <v>Farmakoloji Anabilim Dalı</v>
      </c>
      <c r="D85" s="161">
        <f>IF(C85="","",COUNTIFS(Başvuru!$D:$D,C85,Başvuru!$A:$A,"&lt;&gt;"&amp;"",Başvuru!$F:$F,"&lt;&gt;"&amp;""))</f>
        <v>1</v>
      </c>
      <c r="E85" s="159" t="str">
        <f>IF(C85="","-",IF(D85&gt;0,TEXT(D85/(COUNTIFS(Başvuru!$A:$A,"&lt;&gt;",Başvuru!$F:$F,"&lt;&gt;")-1)*100,"0.0")&amp;"%","-"))</f>
        <v>00%</v>
      </c>
      <c r="F85" s="162">
        <f>IF(C85="","",COUNTIFS(Başvuru!$D:$D,C85,Başvuru!$G:$G,"Bireysel Araştırma",Başvuru!$A:$A,"&lt;&gt;"&amp;"",Başvuru!$F:$F,"&lt;&gt;"&amp;""))</f>
        <v>1</v>
      </c>
      <c r="G85" s="162">
        <f>IF(C85="","",COUNTIFS(Başvuru!$D:$D,C85,Başvuru!$G:$G,"Uzmanlık Tezi",Başvuru!$A:$A,"&lt;&gt;"&amp;"",Başvuru!$F:$F,"&lt;&gt;"&amp;""))</f>
        <v>0</v>
      </c>
      <c r="H85" s="162">
        <f>IF(C85="","",COUNTIFS(Başvuru!$D:$D,C85,Başvuru!$G:$G,"Doktora Tezi",Başvuru!$A:$A,"&lt;&gt;"&amp;"",Başvuru!$F:$F,"&lt;&gt;"&amp;""))</f>
        <v>0</v>
      </c>
      <c r="I85" s="162">
        <f>IF(C85="","",COUNTIFS(Başvuru!$D:$D,C85,Başvuru!$G:$G,"Yüksek Lisans Tezi",Başvuru!$A:$A,"&lt;&gt;"&amp;"",Başvuru!$F:$F,"&lt;&gt;"&amp;""))</f>
        <v>0</v>
      </c>
      <c r="J85" s="163">
        <f>IF(C85="","",COUNTIFS(Başvuru!$D:$D,C85,Başvuru!$L:$L,"ONAY",Başvuru!$A:$A,"&lt;&gt;"&amp;"",Başvuru!$F:$F,"&lt;&gt;"&amp;""))</f>
        <v>0</v>
      </c>
      <c r="K85" s="164">
        <f>IF(C85="","",COUNTIFS(Başvuru!$D:$D,C85,Başvuru!$L:$L,"DÜZELTME",Başvuru!$A:$A,"&lt;&gt;"&amp;"",Başvuru!$F:$F,"&lt;&gt;"&amp;""))</f>
        <v>0</v>
      </c>
      <c r="L85" s="165">
        <f>IF(C85="","",COUNTIFS(Başvuru!$D:$D,C85,Başvuru!$L:$L,"KAEK",Başvuru!$A:$A,"&lt;&gt;"&amp;"",Başvuru!$F:$F,"&lt;&gt;"&amp;""))</f>
        <v>0</v>
      </c>
      <c r="M85" s="166">
        <f>IF(C85="","",COUNTIFS(Başvuru!$D:$D,C85,Başvuru!$L:$L,"GÖRÜŞ",Başvuru!$A:$A,"&lt;&gt;"&amp;"",Başvuru!$F:$F,"&lt;&gt;"&amp;""))</f>
        <v>0</v>
      </c>
      <c r="N85" s="167">
        <f>IF(C85="","",COUNTIFS(Başvuru!$D:$D,C85,Başvuru!$L:$L,"RET",Başvuru!$A:$A,"&lt;&gt;"&amp;"",Başvuru!$F:$F,"&lt;&gt;"&amp;""))</f>
        <v>0</v>
      </c>
      <c r="O85" s="168">
        <f>IF(C85="","",COUNTIFS(Başvuru!$D:$D,C85,Başvuru!$L:$L,"KAPSAM DIŞI",Başvuru!$A:$A,"&lt;&gt;"&amp;"",Başvuru!$F:$F,"&lt;&gt;"&amp;""))</f>
        <v>0</v>
      </c>
      <c r="P85" s="169">
        <f>IF(C85="","",COUNTIFS(Başvuru!$D:$D,C85,Başvuru!$L:$L,"GERİ ÇEKİLDİ",Başvuru!$A:$A,"&lt;&gt;"&amp;"",Başvuru!$F:$F,"&lt;&gt;"&amp;""))</f>
        <v>0</v>
      </c>
      <c r="Q85" s="170" t="str">
        <f t="array" ref="Q85">IFERROR(INDEX(Başvuru!$D$2:$D$3000, MATCH(0, COUNTIF($Q$5:Q84, Başvuru!$D$2:$D$3000) + IF(Başvuru!$D$2:$D$3000="",1,0), 0)), "")</f>
        <v>Sosyoloji ve Metodoloji Anabilim Dalı</v>
      </c>
      <c r="R85" s="171">
        <f>IF(Q85="","",COUNTIFS(Başvuru!$D:$D,Q85,Başvuru!$A:$A,"&lt;&gt;"&amp;"",Başvuru!$F:$F,"&lt;&gt;"&amp;""))</f>
        <v>1</v>
      </c>
      <c r="S85" s="171">
        <f>IF(R85="","",RANK(R85,$R$6:$R$155,0)+COUNTIF($R$6:R85,R85)-1)</f>
        <v>81</v>
      </c>
    </row>
    <row r="86" spans="2:19" x14ac:dyDescent="0.25">
      <c r="B86" s="159">
        <v>81</v>
      </c>
      <c r="C86" s="160" t="str">
        <f>IFERROR(INDEX($Q$6:$Q$155,MATCH(81,$S$6:$S$155,0)),"")</f>
        <v>Sosyoloji ve Metodoloji Anabilim Dalı</v>
      </c>
      <c r="D86" s="161">
        <f>IF(C86="","",COUNTIFS(Başvuru!$D:$D,C86,Başvuru!$A:$A,"&lt;&gt;"&amp;"",Başvuru!$F:$F,"&lt;&gt;"&amp;""))</f>
        <v>1</v>
      </c>
      <c r="E86" s="159" t="str">
        <f>IF(C86="","-",IF(D86&gt;0,TEXT(D86/(COUNTIFS(Başvuru!$A:$A,"&lt;&gt;",Başvuru!$F:$F,"&lt;&gt;")-1)*100,"0.0")&amp;"%","-"))</f>
        <v>00%</v>
      </c>
      <c r="F86" s="162">
        <f>IF(C86="","",COUNTIFS(Başvuru!$D:$D,C86,Başvuru!$G:$G,"Bireysel Araştırma",Başvuru!$A:$A,"&lt;&gt;"&amp;"",Başvuru!$F:$F,"&lt;&gt;"&amp;""))</f>
        <v>1</v>
      </c>
      <c r="G86" s="162">
        <f>IF(C86="","",COUNTIFS(Başvuru!$D:$D,C86,Başvuru!$G:$G,"Uzmanlık Tezi",Başvuru!$A:$A,"&lt;&gt;"&amp;"",Başvuru!$F:$F,"&lt;&gt;"&amp;""))</f>
        <v>0</v>
      </c>
      <c r="H86" s="162">
        <f>IF(C86="","",COUNTIFS(Başvuru!$D:$D,C86,Başvuru!$G:$G,"Doktora Tezi",Başvuru!$A:$A,"&lt;&gt;"&amp;"",Başvuru!$F:$F,"&lt;&gt;"&amp;""))</f>
        <v>0</v>
      </c>
      <c r="I86" s="162">
        <f>IF(C86="","",COUNTIFS(Başvuru!$D:$D,C86,Başvuru!$G:$G,"Yüksek Lisans Tezi",Başvuru!$A:$A,"&lt;&gt;"&amp;"",Başvuru!$F:$F,"&lt;&gt;"&amp;""))</f>
        <v>0</v>
      </c>
      <c r="J86" s="163">
        <f>IF(C86="","",COUNTIFS(Başvuru!$D:$D,C86,Başvuru!$L:$L,"ONAY",Başvuru!$A:$A,"&lt;&gt;"&amp;"",Başvuru!$F:$F,"&lt;&gt;"&amp;""))</f>
        <v>0</v>
      </c>
      <c r="K86" s="164">
        <f>IF(C86="","",COUNTIFS(Başvuru!$D:$D,C86,Başvuru!$L:$L,"DÜZELTME",Başvuru!$A:$A,"&lt;&gt;"&amp;"",Başvuru!$F:$F,"&lt;&gt;"&amp;""))</f>
        <v>0</v>
      </c>
      <c r="L86" s="165">
        <f>IF(C86="","",COUNTIFS(Başvuru!$D:$D,C86,Başvuru!$L:$L,"KAEK",Başvuru!$A:$A,"&lt;&gt;"&amp;"",Başvuru!$F:$F,"&lt;&gt;"&amp;""))</f>
        <v>0</v>
      </c>
      <c r="M86" s="166">
        <f>IF(C86="","",COUNTIFS(Başvuru!$D:$D,C86,Başvuru!$L:$L,"GÖRÜŞ",Başvuru!$A:$A,"&lt;&gt;"&amp;"",Başvuru!$F:$F,"&lt;&gt;"&amp;""))</f>
        <v>0</v>
      </c>
      <c r="N86" s="167">
        <f>IF(C86="","",COUNTIFS(Başvuru!$D:$D,C86,Başvuru!$L:$L,"RET",Başvuru!$A:$A,"&lt;&gt;"&amp;"",Başvuru!$F:$F,"&lt;&gt;"&amp;""))</f>
        <v>0</v>
      </c>
      <c r="O86" s="168">
        <f>IF(C86="","",COUNTIFS(Başvuru!$D:$D,C86,Başvuru!$L:$L,"KAPSAM DIŞI",Başvuru!$A:$A,"&lt;&gt;"&amp;"",Başvuru!$F:$F,"&lt;&gt;"&amp;""))</f>
        <v>0</v>
      </c>
      <c r="P86" s="169">
        <f>IF(C86="","",COUNTIFS(Başvuru!$D:$D,C86,Başvuru!$L:$L,"GERİ ÇEKİLDİ",Başvuru!$A:$A,"&lt;&gt;"&amp;"",Başvuru!$F:$F,"&lt;&gt;"&amp;""))</f>
        <v>0</v>
      </c>
      <c r="Q86" s="170" t="str">
        <f t="array" ref="Q86">IFERROR(INDEX(Başvuru!$D$2:$D$3000, MATCH(0, COUNTIF($Q$5:Q85, Başvuru!$D$2:$D$3000) + IF(Başvuru!$D$2:$D$3000="",1,0), 0)), "")</f>
        <v>Kalp ve Damar Cerrahisi Anabilim Dalı</v>
      </c>
      <c r="R86" s="171">
        <f>IF(Q86="","",COUNTIFS(Başvuru!$D:$D,Q86,Başvuru!$A:$A,"&lt;&gt;"&amp;"",Başvuru!$F:$F,"&lt;&gt;"&amp;""))</f>
        <v>2</v>
      </c>
      <c r="S86" s="171">
        <f>IF(R86="","",RANK(R86,$R$6:$R$155,0)+COUNTIF($R$6:R86,R86)-1)</f>
        <v>56</v>
      </c>
    </row>
    <row r="87" spans="2:19" ht="24" x14ac:dyDescent="0.25">
      <c r="B87" s="159">
        <v>82</v>
      </c>
      <c r="C87" s="172" t="str">
        <f>IFERROR(INDEX($Q$6:$Q$155,MATCH(82,$S$6:$S$155,0)),"")</f>
        <v>Sağlık Bilimleri Üniversitesi
Ulucanlar Göz Eğitim ve Araştırma Hastanesi</v>
      </c>
      <c r="D87" s="161">
        <f>IF(C87="","",COUNTIFS(Başvuru!$D:$D,C87,Başvuru!$A:$A,"&lt;&gt;"&amp;"",Başvuru!$F:$F,"&lt;&gt;"&amp;""))</f>
        <v>1</v>
      </c>
      <c r="E87" s="159" t="str">
        <f>IF(C87="","-",IF(D87&gt;0,TEXT(D87/(COUNTIFS(Başvuru!$A:$A,"&lt;&gt;",Başvuru!$F:$F,"&lt;&gt;")-1)*100,"0.0")&amp;"%","-"))</f>
        <v>00%</v>
      </c>
      <c r="F87" s="162">
        <f>IF(C87="","",COUNTIFS(Başvuru!$D:$D,C87,Başvuru!$G:$G,"Bireysel Araştırma",Başvuru!$A:$A,"&lt;&gt;"&amp;"",Başvuru!$F:$F,"&lt;&gt;"&amp;""))</f>
        <v>1</v>
      </c>
      <c r="G87" s="162">
        <f>IF(C87="","",COUNTIFS(Başvuru!$D:$D,C87,Başvuru!$G:$G,"Uzmanlık Tezi",Başvuru!$A:$A,"&lt;&gt;"&amp;"",Başvuru!$F:$F,"&lt;&gt;"&amp;""))</f>
        <v>0</v>
      </c>
      <c r="H87" s="162">
        <f>IF(C87="","",COUNTIFS(Başvuru!$D:$D,C87,Başvuru!$G:$G,"Doktora Tezi",Başvuru!$A:$A,"&lt;&gt;"&amp;"",Başvuru!$F:$F,"&lt;&gt;"&amp;""))</f>
        <v>0</v>
      </c>
      <c r="I87" s="162">
        <f>IF(C87="","",COUNTIFS(Başvuru!$D:$D,C87,Başvuru!$G:$G,"Yüksek Lisans Tezi",Başvuru!$A:$A,"&lt;&gt;"&amp;"",Başvuru!$F:$F,"&lt;&gt;"&amp;""))</f>
        <v>0</v>
      </c>
      <c r="J87" s="163">
        <f>IF(C87="","",COUNTIFS(Başvuru!$D:$D,C87,Başvuru!$L:$L,"ONAY",Başvuru!$A:$A,"&lt;&gt;"&amp;"",Başvuru!$F:$F,"&lt;&gt;"&amp;""))</f>
        <v>0</v>
      </c>
      <c r="K87" s="164">
        <f>IF(C87="","",COUNTIFS(Başvuru!$D:$D,C87,Başvuru!$L:$L,"DÜZELTME",Başvuru!$A:$A,"&lt;&gt;"&amp;"",Başvuru!$F:$F,"&lt;&gt;"&amp;""))</f>
        <v>0</v>
      </c>
      <c r="L87" s="165">
        <f>IF(C87="","",COUNTIFS(Başvuru!$D:$D,C87,Başvuru!$L:$L,"KAEK",Başvuru!$A:$A,"&lt;&gt;"&amp;"",Başvuru!$F:$F,"&lt;&gt;"&amp;""))</f>
        <v>0</v>
      </c>
      <c r="M87" s="166">
        <f>IF(C87="","",COUNTIFS(Başvuru!$D:$D,C87,Başvuru!$L:$L,"GÖRÜŞ",Başvuru!$A:$A,"&lt;&gt;"&amp;"",Başvuru!$F:$F,"&lt;&gt;"&amp;""))</f>
        <v>0</v>
      </c>
      <c r="N87" s="167">
        <f>IF(C87="","",COUNTIFS(Başvuru!$D:$D,C87,Başvuru!$L:$L,"RET",Başvuru!$A:$A,"&lt;&gt;"&amp;"",Başvuru!$F:$F,"&lt;&gt;"&amp;""))</f>
        <v>0</v>
      </c>
      <c r="O87" s="168">
        <f>IF(C87="","",COUNTIFS(Başvuru!$D:$D,C87,Başvuru!$L:$L,"KAPSAM DIŞI",Başvuru!$A:$A,"&lt;&gt;"&amp;"",Başvuru!$F:$F,"&lt;&gt;"&amp;""))</f>
        <v>0</v>
      </c>
      <c r="P87" s="169">
        <f>IF(C87="","",COUNTIFS(Başvuru!$D:$D,C87,Başvuru!$L:$L,"GERİ ÇEKİLDİ",Başvuru!$A:$A,"&lt;&gt;"&amp;"",Başvuru!$F:$F,"&lt;&gt;"&amp;""))</f>
        <v>0</v>
      </c>
      <c r="Q87" s="170" t="str">
        <f t="array" ref="Q87">IFERROR(INDEX(Başvuru!$D$2:$D$3000, MATCH(0, COUNTIF($Q$5:Q86, Başvuru!$D$2:$D$3000) + IF(Başvuru!$D$2:$D$3000="",1,0), 0)), "")</f>
        <v>Sağlık Bilimleri Üniversitesi
Ulucanlar Göz Eğitim ve Araştırma Hastanesi</v>
      </c>
      <c r="R87" s="171">
        <f>IF(Q87="","",COUNTIFS(Başvuru!$D:$D,Q87,Başvuru!$A:$A,"&lt;&gt;"&amp;"",Başvuru!$F:$F,"&lt;&gt;"&amp;""))</f>
        <v>1</v>
      </c>
      <c r="S87" s="171">
        <f>IF(R87="","",RANK(R87,$R$6:$R$155,0)+COUNTIF($R$6:R87,R87)-1)</f>
        <v>82</v>
      </c>
    </row>
    <row r="88" spans="2:19" x14ac:dyDescent="0.25">
      <c r="B88" s="159">
        <v>83</v>
      </c>
      <c r="C88" s="160" t="str">
        <f>IFERROR(INDEX($Q$6:$Q$155,MATCH(83,$S$6:$S$155,0)),"")</f>
        <v/>
      </c>
      <c r="D88" s="161" t="str">
        <f>IF(C88="","",COUNTIFS(Başvuru!$D:$D,C88,Başvuru!$A:$A,"&lt;&gt;"&amp;"",Başvuru!$F:$F,"&lt;&gt;"&amp;""))</f>
        <v/>
      </c>
      <c r="E88" s="159" t="str">
        <f>IF(C88="","-",IF(D88&gt;0,TEXT(D88/(COUNTIFS(Başvuru!$A:$A,"&lt;&gt;",Başvuru!$F:$F,"&lt;&gt;")-1)*100,"0.0")&amp;"%","-"))</f>
        <v>-</v>
      </c>
      <c r="F88" s="162" t="str">
        <f>IF(C88="","",COUNTIFS(Başvuru!$D:$D,C88,Başvuru!$G:$G,"Bireysel Araştırma",Başvuru!$A:$A,"&lt;&gt;"&amp;"",Başvuru!$F:$F,"&lt;&gt;"&amp;""))</f>
        <v/>
      </c>
      <c r="G88" s="162" t="str">
        <f>IF(C88="","",COUNTIFS(Başvuru!$D:$D,C88,Başvuru!$G:$G,"Uzmanlık Tezi",Başvuru!$A:$A,"&lt;&gt;"&amp;"",Başvuru!$F:$F,"&lt;&gt;"&amp;""))</f>
        <v/>
      </c>
      <c r="H88" s="162" t="str">
        <f>IF(C88="","",COUNTIFS(Başvuru!$D:$D,C88,Başvuru!$G:$G,"Doktora Tezi",Başvuru!$A:$A,"&lt;&gt;"&amp;"",Başvuru!$F:$F,"&lt;&gt;"&amp;""))</f>
        <v/>
      </c>
      <c r="I88" s="162" t="str">
        <f>IF(C88="","",COUNTIFS(Başvuru!$D:$D,C88,Başvuru!$G:$G,"Yüksek Lisans Tezi",Başvuru!$A:$A,"&lt;&gt;"&amp;"",Başvuru!$F:$F,"&lt;&gt;"&amp;""))</f>
        <v/>
      </c>
      <c r="J88" s="163" t="str">
        <f>IF(C88="","",COUNTIFS(Başvuru!$D:$D,C88,Başvuru!$L:$L,"ONAY",Başvuru!$A:$A,"&lt;&gt;"&amp;"",Başvuru!$F:$F,"&lt;&gt;"&amp;""))</f>
        <v/>
      </c>
      <c r="K88" s="164" t="str">
        <f>IF(C88="","",COUNTIFS(Başvuru!$D:$D,C88,Başvuru!$L:$L,"DÜZELTME",Başvuru!$A:$A,"&lt;&gt;"&amp;"",Başvuru!$F:$F,"&lt;&gt;"&amp;""))</f>
        <v/>
      </c>
      <c r="L88" s="165" t="str">
        <f>IF(C88="","",COUNTIFS(Başvuru!$D:$D,C88,Başvuru!$L:$L,"KAEK",Başvuru!$A:$A,"&lt;&gt;"&amp;"",Başvuru!$F:$F,"&lt;&gt;"&amp;""))</f>
        <v/>
      </c>
      <c r="M88" s="166" t="str">
        <f>IF(C88="","",COUNTIFS(Başvuru!$D:$D,C88,Başvuru!$L:$L,"GÖRÜŞ",Başvuru!$A:$A,"&lt;&gt;"&amp;"",Başvuru!$F:$F,"&lt;&gt;"&amp;""))</f>
        <v/>
      </c>
      <c r="N88" s="167" t="str">
        <f>IF(C88="","",COUNTIFS(Başvuru!$D:$D,C88,Başvuru!$L:$L,"RET",Başvuru!$A:$A,"&lt;&gt;"&amp;"",Başvuru!$F:$F,"&lt;&gt;"&amp;""))</f>
        <v/>
      </c>
      <c r="O88" s="168" t="str">
        <f>IF(C88="","",COUNTIFS(Başvuru!$D:$D,C88,Başvuru!$L:$L,"KAPSAM DIŞI",Başvuru!$A:$A,"&lt;&gt;"&amp;"",Başvuru!$F:$F,"&lt;&gt;"&amp;""))</f>
        <v/>
      </c>
      <c r="P88" s="169" t="str">
        <f>IF(C88="","",COUNTIFS(Başvuru!$D:$D,C88,Başvuru!$L:$L,"GERİ ÇEKİLDİ",Başvuru!$A:$A,"&lt;&gt;"&amp;"",Başvuru!$F:$F,"&lt;&gt;"&amp;""))</f>
        <v/>
      </c>
      <c r="Q88" s="170" t="str">
        <f t="array" ref="Q88">IFERROR(INDEX(Başvuru!$D$2:$D$3000, MATCH(0, COUNTIF($Q$5:Q87, Başvuru!$D$2:$D$3000) + IF(Başvuru!$D$2:$D$3000="",1,0), 0)), "")</f>
        <v/>
      </c>
      <c r="R88" s="171" t="str">
        <f>IF(Q88="","",COUNTIFS(Başvuru!$D:$D,Q88,Başvuru!$A:$A,"&lt;&gt;"&amp;"",Başvuru!$F:$F,"&lt;&gt;"&amp;""))</f>
        <v/>
      </c>
      <c r="S88" s="171" t="str">
        <f>IF(R88="","",RANK(R88,$R$6:$R$155,0)+COUNTIF($R$6:R88,R88)-1)</f>
        <v/>
      </c>
    </row>
    <row r="89" spans="2:19" x14ac:dyDescent="0.25">
      <c r="B89" s="159">
        <v>84</v>
      </c>
      <c r="C89" s="160" t="str">
        <f>IFERROR(INDEX($Q$6:$Q$155,MATCH(84,$S$6:$S$155,0)),"")</f>
        <v/>
      </c>
      <c r="D89" s="161" t="str">
        <f>IF(C89="","",COUNTIFS(Başvuru!$D:$D,C89,Başvuru!$A:$A,"&lt;&gt;"&amp;"",Başvuru!$F:$F,"&lt;&gt;"&amp;""))</f>
        <v/>
      </c>
      <c r="E89" s="159" t="str">
        <f>IF(C89="","-",IF(D89&gt;0,TEXT(D89/(COUNTIFS(Başvuru!$A:$A,"&lt;&gt;",Başvuru!$F:$F,"&lt;&gt;")-1)*100,"0.0")&amp;"%","-"))</f>
        <v>-</v>
      </c>
      <c r="F89" s="162" t="str">
        <f>IF(C89="","",COUNTIFS(Başvuru!$D:$D,C89,Başvuru!$G:$G,"Bireysel Araştırma",Başvuru!$A:$A,"&lt;&gt;"&amp;"",Başvuru!$F:$F,"&lt;&gt;"&amp;""))</f>
        <v/>
      </c>
      <c r="G89" s="162" t="str">
        <f>IF(C89="","",COUNTIFS(Başvuru!$D:$D,C89,Başvuru!$G:$G,"Uzmanlık Tezi",Başvuru!$A:$A,"&lt;&gt;"&amp;"",Başvuru!$F:$F,"&lt;&gt;"&amp;""))</f>
        <v/>
      </c>
      <c r="H89" s="162" t="str">
        <f>IF(C89="","",COUNTIFS(Başvuru!$D:$D,C89,Başvuru!$G:$G,"Doktora Tezi",Başvuru!$A:$A,"&lt;&gt;"&amp;"",Başvuru!$F:$F,"&lt;&gt;"&amp;""))</f>
        <v/>
      </c>
      <c r="I89" s="162" t="str">
        <f>IF(C89="","",COUNTIFS(Başvuru!$D:$D,C89,Başvuru!$G:$G,"Yüksek Lisans Tezi",Başvuru!$A:$A,"&lt;&gt;"&amp;"",Başvuru!$F:$F,"&lt;&gt;"&amp;""))</f>
        <v/>
      </c>
      <c r="J89" s="163" t="str">
        <f>IF(C89="","",COUNTIFS(Başvuru!$D:$D,C89,Başvuru!$L:$L,"ONAY",Başvuru!$A:$A,"&lt;&gt;"&amp;"",Başvuru!$F:$F,"&lt;&gt;"&amp;""))</f>
        <v/>
      </c>
      <c r="K89" s="164" t="str">
        <f>IF(C89="","",COUNTIFS(Başvuru!$D:$D,C89,Başvuru!$L:$L,"DÜZELTME",Başvuru!$A:$A,"&lt;&gt;"&amp;"",Başvuru!$F:$F,"&lt;&gt;"&amp;""))</f>
        <v/>
      </c>
      <c r="L89" s="165" t="str">
        <f>IF(C89="","",COUNTIFS(Başvuru!$D:$D,C89,Başvuru!$L:$L,"KAEK",Başvuru!$A:$A,"&lt;&gt;"&amp;"",Başvuru!$F:$F,"&lt;&gt;"&amp;""))</f>
        <v/>
      </c>
      <c r="M89" s="166" t="str">
        <f>IF(C89="","",COUNTIFS(Başvuru!$D:$D,C89,Başvuru!$L:$L,"GÖRÜŞ",Başvuru!$A:$A,"&lt;&gt;"&amp;"",Başvuru!$F:$F,"&lt;&gt;"&amp;""))</f>
        <v/>
      </c>
      <c r="N89" s="167" t="str">
        <f>IF(C89="","",COUNTIFS(Başvuru!$D:$D,C89,Başvuru!$L:$L,"RET",Başvuru!$A:$A,"&lt;&gt;"&amp;"",Başvuru!$F:$F,"&lt;&gt;"&amp;""))</f>
        <v/>
      </c>
      <c r="O89" s="168" t="str">
        <f>IF(C89="","",COUNTIFS(Başvuru!$D:$D,C89,Başvuru!$L:$L,"KAPSAM DIŞI",Başvuru!$A:$A,"&lt;&gt;"&amp;"",Başvuru!$F:$F,"&lt;&gt;"&amp;""))</f>
        <v/>
      </c>
      <c r="P89" s="169" t="str">
        <f>IF(C89="","",COUNTIFS(Başvuru!$D:$D,C89,Başvuru!$L:$L,"GERİ ÇEKİLDİ",Başvuru!$A:$A,"&lt;&gt;"&amp;"",Başvuru!$F:$F,"&lt;&gt;"&amp;""))</f>
        <v/>
      </c>
      <c r="Q89" s="170" t="str">
        <f t="array" ref="Q89">IFERROR(INDEX(Başvuru!$D$2:$D$3000, MATCH(0, COUNTIF($Q$5:Q88, Başvuru!$D$2:$D$3000) + IF(Başvuru!$D$2:$D$3000="",1,0), 0)), "")</f>
        <v/>
      </c>
      <c r="R89" s="171" t="str">
        <f>IF(Q89="","",COUNTIFS(Başvuru!$D:$D,Q89,Başvuru!$A:$A,"&lt;&gt;"&amp;"",Başvuru!$F:$F,"&lt;&gt;"&amp;""))</f>
        <v/>
      </c>
      <c r="S89" s="171" t="str">
        <f>IF(R89="","",RANK(R89,$R$6:$R$155,0)+COUNTIF($R$6:R89,R89)-1)</f>
        <v/>
      </c>
    </row>
    <row r="90" spans="2:19" x14ac:dyDescent="0.25">
      <c r="B90" s="159">
        <v>85</v>
      </c>
      <c r="C90" s="160" t="str">
        <f>IFERROR(INDEX($Q$6:$Q$155,MATCH(85,$S$6:$S$155,0)),"")</f>
        <v/>
      </c>
      <c r="D90" s="161" t="str">
        <f>IF(C90="","",COUNTIFS(Başvuru!$D:$D,C90,Başvuru!$A:$A,"&lt;&gt;"&amp;"",Başvuru!$F:$F,"&lt;&gt;"&amp;""))</f>
        <v/>
      </c>
      <c r="E90" s="159" t="str">
        <f>IF(C90="","-",IF(D90&gt;0,TEXT(D90/(COUNTIFS(Başvuru!$A:$A,"&lt;&gt;",Başvuru!$F:$F,"&lt;&gt;")-1)*100,"0.0")&amp;"%","-"))</f>
        <v>-</v>
      </c>
      <c r="F90" s="162" t="str">
        <f>IF(C90="","",COUNTIFS(Başvuru!$D:$D,C90,Başvuru!$G:$G,"Bireysel Araştırma",Başvuru!$A:$A,"&lt;&gt;"&amp;"",Başvuru!$F:$F,"&lt;&gt;"&amp;""))</f>
        <v/>
      </c>
      <c r="G90" s="162" t="str">
        <f>IF(C90="","",COUNTIFS(Başvuru!$D:$D,C90,Başvuru!$G:$G,"Uzmanlık Tezi",Başvuru!$A:$A,"&lt;&gt;"&amp;"",Başvuru!$F:$F,"&lt;&gt;"&amp;""))</f>
        <v/>
      </c>
      <c r="H90" s="162" t="str">
        <f>IF(C90="","",COUNTIFS(Başvuru!$D:$D,C90,Başvuru!$G:$G,"Doktora Tezi",Başvuru!$A:$A,"&lt;&gt;"&amp;"",Başvuru!$F:$F,"&lt;&gt;"&amp;""))</f>
        <v/>
      </c>
      <c r="I90" s="162" t="str">
        <f>IF(C90="","",COUNTIFS(Başvuru!$D:$D,C90,Başvuru!$G:$G,"Yüksek Lisans Tezi",Başvuru!$A:$A,"&lt;&gt;"&amp;"",Başvuru!$F:$F,"&lt;&gt;"&amp;""))</f>
        <v/>
      </c>
      <c r="J90" s="163" t="str">
        <f>IF(C90="","",COUNTIFS(Başvuru!$D:$D,C90,Başvuru!$L:$L,"ONAY",Başvuru!$A:$A,"&lt;&gt;"&amp;"",Başvuru!$F:$F,"&lt;&gt;"&amp;""))</f>
        <v/>
      </c>
      <c r="K90" s="164" t="str">
        <f>IF(C90="","",COUNTIFS(Başvuru!$D:$D,C90,Başvuru!$L:$L,"DÜZELTME",Başvuru!$A:$A,"&lt;&gt;"&amp;"",Başvuru!$F:$F,"&lt;&gt;"&amp;""))</f>
        <v/>
      </c>
      <c r="L90" s="165" t="str">
        <f>IF(C90="","",COUNTIFS(Başvuru!$D:$D,C90,Başvuru!$L:$L,"KAEK",Başvuru!$A:$A,"&lt;&gt;"&amp;"",Başvuru!$F:$F,"&lt;&gt;"&amp;""))</f>
        <v/>
      </c>
      <c r="M90" s="166" t="str">
        <f>IF(C90="","",COUNTIFS(Başvuru!$D:$D,C90,Başvuru!$L:$L,"GÖRÜŞ",Başvuru!$A:$A,"&lt;&gt;"&amp;"",Başvuru!$F:$F,"&lt;&gt;"&amp;""))</f>
        <v/>
      </c>
      <c r="N90" s="167" t="str">
        <f>IF(C90="","",COUNTIFS(Başvuru!$D:$D,C90,Başvuru!$L:$L,"RET",Başvuru!$A:$A,"&lt;&gt;"&amp;"",Başvuru!$F:$F,"&lt;&gt;"&amp;""))</f>
        <v/>
      </c>
      <c r="O90" s="168" t="str">
        <f>IF(C90="","",COUNTIFS(Başvuru!$D:$D,C90,Başvuru!$L:$L,"KAPSAM DIŞI",Başvuru!$A:$A,"&lt;&gt;"&amp;"",Başvuru!$F:$F,"&lt;&gt;"&amp;""))</f>
        <v/>
      </c>
      <c r="P90" s="169" t="str">
        <f>IF(C90="","",COUNTIFS(Başvuru!$D:$D,C90,Başvuru!$L:$L,"GERİ ÇEKİLDİ",Başvuru!$A:$A,"&lt;&gt;"&amp;"",Başvuru!$F:$F,"&lt;&gt;"&amp;""))</f>
        <v/>
      </c>
      <c r="Q90" s="170" t="str">
        <f t="array" ref="Q90">IFERROR(INDEX(Başvuru!$D$2:$D$3000, MATCH(0, COUNTIF($Q$5:Q89, Başvuru!$D$2:$D$3000) + IF(Başvuru!$D$2:$D$3000="",1,0), 0)), "")</f>
        <v/>
      </c>
      <c r="R90" s="171" t="str">
        <f>IF(Q90="","",COUNTIFS(Başvuru!$D:$D,Q90,Başvuru!$A:$A,"&lt;&gt;"&amp;"",Başvuru!$F:$F,"&lt;&gt;"&amp;""))</f>
        <v/>
      </c>
      <c r="S90" s="171" t="str">
        <f>IF(R90="","",RANK(R90,$R$6:$R$155,0)+COUNTIF($R$6:R90,R90)-1)</f>
        <v/>
      </c>
    </row>
    <row r="91" spans="2:19" x14ac:dyDescent="0.25">
      <c r="B91" s="159">
        <v>86</v>
      </c>
      <c r="C91" s="160" t="str">
        <f>IFERROR(INDEX($Q$6:$Q$155,MATCH(86,$S$6:$S$155,0)),"")</f>
        <v/>
      </c>
      <c r="D91" s="161" t="str">
        <f>IF(C91="","",COUNTIFS(Başvuru!$D:$D,C91,Başvuru!$A:$A,"&lt;&gt;"&amp;"",Başvuru!$F:$F,"&lt;&gt;"&amp;""))</f>
        <v/>
      </c>
      <c r="E91" s="159" t="str">
        <f>IF(C91="","-",IF(D91&gt;0,TEXT(D91/(COUNTIFS(Başvuru!$A:$A,"&lt;&gt;",Başvuru!$F:$F,"&lt;&gt;")-1)*100,"0.0")&amp;"%","-"))</f>
        <v>-</v>
      </c>
      <c r="F91" s="162" t="str">
        <f>IF(C91="","",COUNTIFS(Başvuru!$D:$D,C91,Başvuru!$G:$G,"Bireysel Araştırma",Başvuru!$A:$A,"&lt;&gt;"&amp;"",Başvuru!$F:$F,"&lt;&gt;"&amp;""))</f>
        <v/>
      </c>
      <c r="G91" s="162" t="str">
        <f>IF(C91="","",COUNTIFS(Başvuru!$D:$D,C91,Başvuru!$G:$G,"Uzmanlık Tezi",Başvuru!$A:$A,"&lt;&gt;"&amp;"",Başvuru!$F:$F,"&lt;&gt;"&amp;""))</f>
        <v/>
      </c>
      <c r="H91" s="162" t="str">
        <f>IF(C91="","",COUNTIFS(Başvuru!$D:$D,C91,Başvuru!$G:$G,"Doktora Tezi",Başvuru!$A:$A,"&lt;&gt;"&amp;"",Başvuru!$F:$F,"&lt;&gt;"&amp;""))</f>
        <v/>
      </c>
      <c r="I91" s="162" t="str">
        <f>IF(C91="","",COUNTIFS(Başvuru!$D:$D,C91,Başvuru!$G:$G,"Yüksek Lisans Tezi",Başvuru!$A:$A,"&lt;&gt;"&amp;"",Başvuru!$F:$F,"&lt;&gt;"&amp;""))</f>
        <v/>
      </c>
      <c r="J91" s="163" t="str">
        <f>IF(C91="","",COUNTIFS(Başvuru!$D:$D,C91,Başvuru!$L:$L,"ONAY",Başvuru!$A:$A,"&lt;&gt;"&amp;"",Başvuru!$F:$F,"&lt;&gt;"&amp;""))</f>
        <v/>
      </c>
      <c r="K91" s="164" t="str">
        <f>IF(C91="","",COUNTIFS(Başvuru!$D:$D,C91,Başvuru!$L:$L,"DÜZELTME",Başvuru!$A:$A,"&lt;&gt;"&amp;"",Başvuru!$F:$F,"&lt;&gt;"&amp;""))</f>
        <v/>
      </c>
      <c r="L91" s="165" t="str">
        <f>IF(C91="","",COUNTIFS(Başvuru!$D:$D,C91,Başvuru!$L:$L,"KAEK",Başvuru!$A:$A,"&lt;&gt;"&amp;"",Başvuru!$F:$F,"&lt;&gt;"&amp;""))</f>
        <v/>
      </c>
      <c r="M91" s="166" t="str">
        <f>IF(C91="","",COUNTIFS(Başvuru!$D:$D,C91,Başvuru!$L:$L,"GÖRÜŞ",Başvuru!$A:$A,"&lt;&gt;"&amp;"",Başvuru!$F:$F,"&lt;&gt;"&amp;""))</f>
        <v/>
      </c>
      <c r="N91" s="167" t="str">
        <f>IF(C91="","",COUNTIFS(Başvuru!$D:$D,C91,Başvuru!$L:$L,"RET",Başvuru!$A:$A,"&lt;&gt;"&amp;"",Başvuru!$F:$F,"&lt;&gt;"&amp;""))</f>
        <v/>
      </c>
      <c r="O91" s="168" t="str">
        <f>IF(C91="","",COUNTIFS(Başvuru!$D:$D,C91,Başvuru!$L:$L,"KAPSAM DIŞI",Başvuru!$A:$A,"&lt;&gt;"&amp;"",Başvuru!$F:$F,"&lt;&gt;"&amp;""))</f>
        <v/>
      </c>
      <c r="P91" s="169" t="str">
        <f>IF(C91="","",COUNTIFS(Başvuru!$D:$D,C91,Başvuru!$L:$L,"GERİ ÇEKİLDİ",Başvuru!$A:$A,"&lt;&gt;"&amp;"",Başvuru!$F:$F,"&lt;&gt;"&amp;""))</f>
        <v/>
      </c>
      <c r="Q91" s="170" t="str">
        <f t="array" ref="Q91">IFERROR(INDEX(Başvuru!$D$2:$D$3000, MATCH(0, COUNTIF($Q$5:Q90, Başvuru!$D$2:$D$3000) + IF(Başvuru!$D$2:$D$3000="",1,0), 0)), "")</f>
        <v/>
      </c>
      <c r="R91" s="171" t="str">
        <f>IF(Q91="","",COUNTIFS(Başvuru!$D:$D,Q91,Başvuru!$A:$A,"&lt;&gt;"&amp;"",Başvuru!$F:$F,"&lt;&gt;"&amp;""))</f>
        <v/>
      </c>
      <c r="S91" s="171" t="str">
        <f>IF(R91="","",RANK(R91,$R$6:$R$155,0)+COUNTIF($R$6:R91,R91)-1)</f>
        <v/>
      </c>
    </row>
    <row r="92" spans="2:19" x14ac:dyDescent="0.25">
      <c r="B92" s="159">
        <v>87</v>
      </c>
      <c r="C92" s="160" t="str">
        <f>IFERROR(INDEX($Q$6:$Q$155,MATCH(87,$S$6:$S$155,0)),"")</f>
        <v/>
      </c>
      <c r="D92" s="161" t="str">
        <f>IF(C92="","",COUNTIFS(Başvuru!$D:$D,C92,Başvuru!$A:$A,"&lt;&gt;"&amp;"",Başvuru!$F:$F,"&lt;&gt;"&amp;""))</f>
        <v/>
      </c>
      <c r="E92" s="159" t="str">
        <f>IF(C92="","-",IF(D92&gt;0,TEXT(D92/(COUNTIFS(Başvuru!$A:$A,"&lt;&gt;",Başvuru!$F:$F,"&lt;&gt;")-1)*100,"0.0")&amp;"%","-"))</f>
        <v>-</v>
      </c>
      <c r="F92" s="162" t="str">
        <f>IF(C92="","",COUNTIFS(Başvuru!$D:$D,C92,Başvuru!$G:$G,"Bireysel Araştırma",Başvuru!$A:$A,"&lt;&gt;"&amp;"",Başvuru!$F:$F,"&lt;&gt;"&amp;""))</f>
        <v/>
      </c>
      <c r="G92" s="162" t="str">
        <f>IF(C92="","",COUNTIFS(Başvuru!$D:$D,C92,Başvuru!$G:$G,"Uzmanlık Tezi",Başvuru!$A:$A,"&lt;&gt;"&amp;"",Başvuru!$F:$F,"&lt;&gt;"&amp;""))</f>
        <v/>
      </c>
      <c r="H92" s="162" t="str">
        <f>IF(C92="","",COUNTIFS(Başvuru!$D:$D,C92,Başvuru!$G:$G,"Doktora Tezi",Başvuru!$A:$A,"&lt;&gt;"&amp;"",Başvuru!$F:$F,"&lt;&gt;"&amp;""))</f>
        <v/>
      </c>
      <c r="I92" s="162" t="str">
        <f>IF(C92="","",COUNTIFS(Başvuru!$D:$D,C92,Başvuru!$G:$G,"Yüksek Lisans Tezi",Başvuru!$A:$A,"&lt;&gt;"&amp;"",Başvuru!$F:$F,"&lt;&gt;"&amp;""))</f>
        <v/>
      </c>
      <c r="J92" s="163" t="str">
        <f>IF(C92="","",COUNTIFS(Başvuru!$D:$D,C92,Başvuru!$L:$L,"ONAY",Başvuru!$A:$A,"&lt;&gt;"&amp;"",Başvuru!$F:$F,"&lt;&gt;"&amp;""))</f>
        <v/>
      </c>
      <c r="K92" s="164" t="str">
        <f>IF(C92="","",COUNTIFS(Başvuru!$D:$D,C92,Başvuru!$L:$L,"DÜZELTME",Başvuru!$A:$A,"&lt;&gt;"&amp;"",Başvuru!$F:$F,"&lt;&gt;"&amp;""))</f>
        <v/>
      </c>
      <c r="L92" s="165" t="str">
        <f>IF(C92="","",COUNTIFS(Başvuru!$D:$D,C92,Başvuru!$L:$L,"KAEK",Başvuru!$A:$A,"&lt;&gt;"&amp;"",Başvuru!$F:$F,"&lt;&gt;"&amp;""))</f>
        <v/>
      </c>
      <c r="M92" s="166" t="str">
        <f>IF(C92="","",COUNTIFS(Başvuru!$D:$D,C92,Başvuru!$L:$L,"GÖRÜŞ",Başvuru!$A:$A,"&lt;&gt;"&amp;"",Başvuru!$F:$F,"&lt;&gt;"&amp;""))</f>
        <v/>
      </c>
      <c r="N92" s="167" t="str">
        <f>IF(C92="","",COUNTIFS(Başvuru!$D:$D,C92,Başvuru!$L:$L,"RET",Başvuru!$A:$A,"&lt;&gt;"&amp;"",Başvuru!$F:$F,"&lt;&gt;"&amp;""))</f>
        <v/>
      </c>
      <c r="O92" s="168" t="str">
        <f>IF(C92="","",COUNTIFS(Başvuru!$D:$D,C92,Başvuru!$L:$L,"KAPSAM DIŞI",Başvuru!$A:$A,"&lt;&gt;"&amp;"",Başvuru!$F:$F,"&lt;&gt;"&amp;""))</f>
        <v/>
      </c>
      <c r="P92" s="169" t="str">
        <f>IF(C92="","",COUNTIFS(Başvuru!$D:$D,C92,Başvuru!$L:$L,"GERİ ÇEKİLDİ",Başvuru!$A:$A,"&lt;&gt;"&amp;"",Başvuru!$F:$F,"&lt;&gt;"&amp;""))</f>
        <v/>
      </c>
      <c r="Q92" s="170" t="str">
        <f t="array" ref="Q92">IFERROR(INDEX(Başvuru!$D$2:$D$3000, MATCH(0, COUNTIF($Q$5:Q91, Başvuru!$D$2:$D$3000) + IF(Başvuru!$D$2:$D$3000="",1,0), 0)), "")</f>
        <v/>
      </c>
      <c r="R92" s="171" t="str">
        <f>IF(Q92="","",COUNTIFS(Başvuru!$D:$D,Q92,Başvuru!$A:$A,"&lt;&gt;"&amp;"",Başvuru!$F:$F,"&lt;&gt;"&amp;""))</f>
        <v/>
      </c>
      <c r="S92" s="171" t="str">
        <f>IF(R92="","",RANK(R92,$R$6:$R$155,0)+COUNTIF($R$6:R92,R92)-1)</f>
        <v/>
      </c>
    </row>
    <row r="93" spans="2:19" x14ac:dyDescent="0.25">
      <c r="B93" s="159">
        <v>88</v>
      </c>
      <c r="C93" s="160" t="str">
        <f>IFERROR(INDEX($Q$6:$Q$155,MATCH(88,$S$6:$S$155,0)),"")</f>
        <v/>
      </c>
      <c r="D93" s="161" t="str">
        <f>IF(C93="","",COUNTIFS(Başvuru!$D:$D,C93,Başvuru!$A:$A,"&lt;&gt;"&amp;"",Başvuru!$F:$F,"&lt;&gt;"&amp;""))</f>
        <v/>
      </c>
      <c r="E93" s="159" t="str">
        <f>IF(C93="","-",IF(D93&gt;0,TEXT(D93/(COUNTIFS(Başvuru!$A:$A,"&lt;&gt;",Başvuru!$F:$F,"&lt;&gt;")-1)*100,"0.0")&amp;"%","-"))</f>
        <v>-</v>
      </c>
      <c r="F93" s="162" t="str">
        <f>IF(C93="","",COUNTIFS(Başvuru!$D:$D,C93,Başvuru!$G:$G,"Bireysel Araştırma",Başvuru!$A:$A,"&lt;&gt;"&amp;"",Başvuru!$F:$F,"&lt;&gt;"&amp;""))</f>
        <v/>
      </c>
      <c r="G93" s="162" t="str">
        <f>IF(C93="","",COUNTIFS(Başvuru!$D:$D,C93,Başvuru!$G:$G,"Uzmanlık Tezi",Başvuru!$A:$A,"&lt;&gt;"&amp;"",Başvuru!$F:$F,"&lt;&gt;"&amp;""))</f>
        <v/>
      </c>
      <c r="H93" s="162" t="str">
        <f>IF(C93="","",COUNTIFS(Başvuru!$D:$D,C93,Başvuru!$G:$G,"Doktora Tezi",Başvuru!$A:$A,"&lt;&gt;"&amp;"",Başvuru!$F:$F,"&lt;&gt;"&amp;""))</f>
        <v/>
      </c>
      <c r="I93" s="162" t="str">
        <f>IF(C93="","",COUNTIFS(Başvuru!$D:$D,C93,Başvuru!$G:$G,"Yüksek Lisans Tezi",Başvuru!$A:$A,"&lt;&gt;"&amp;"",Başvuru!$F:$F,"&lt;&gt;"&amp;""))</f>
        <v/>
      </c>
      <c r="J93" s="163" t="str">
        <f>IF(C93="","",COUNTIFS(Başvuru!$D:$D,C93,Başvuru!$L:$L,"ONAY",Başvuru!$A:$A,"&lt;&gt;"&amp;"",Başvuru!$F:$F,"&lt;&gt;"&amp;""))</f>
        <v/>
      </c>
      <c r="K93" s="164" t="str">
        <f>IF(C93="","",COUNTIFS(Başvuru!$D:$D,C93,Başvuru!$L:$L,"DÜZELTME",Başvuru!$A:$A,"&lt;&gt;"&amp;"",Başvuru!$F:$F,"&lt;&gt;"&amp;""))</f>
        <v/>
      </c>
      <c r="L93" s="165" t="str">
        <f>IF(C93="","",COUNTIFS(Başvuru!$D:$D,C93,Başvuru!$L:$L,"KAEK",Başvuru!$A:$A,"&lt;&gt;"&amp;"",Başvuru!$F:$F,"&lt;&gt;"&amp;""))</f>
        <v/>
      </c>
      <c r="M93" s="166" t="str">
        <f>IF(C93="","",COUNTIFS(Başvuru!$D:$D,C93,Başvuru!$L:$L,"GÖRÜŞ",Başvuru!$A:$A,"&lt;&gt;"&amp;"",Başvuru!$F:$F,"&lt;&gt;"&amp;""))</f>
        <v/>
      </c>
      <c r="N93" s="167" t="str">
        <f>IF(C93="","",COUNTIFS(Başvuru!$D:$D,C93,Başvuru!$L:$L,"RET",Başvuru!$A:$A,"&lt;&gt;"&amp;"",Başvuru!$F:$F,"&lt;&gt;"&amp;""))</f>
        <v/>
      </c>
      <c r="O93" s="168" t="str">
        <f>IF(C93="","",COUNTIFS(Başvuru!$D:$D,C93,Başvuru!$L:$L,"KAPSAM DIŞI",Başvuru!$A:$A,"&lt;&gt;"&amp;"",Başvuru!$F:$F,"&lt;&gt;"&amp;""))</f>
        <v/>
      </c>
      <c r="P93" s="169" t="str">
        <f>IF(C93="","",COUNTIFS(Başvuru!$D:$D,C93,Başvuru!$L:$L,"GERİ ÇEKİLDİ",Başvuru!$A:$A,"&lt;&gt;"&amp;"",Başvuru!$F:$F,"&lt;&gt;"&amp;""))</f>
        <v/>
      </c>
      <c r="Q93" s="170" t="str">
        <f t="array" ref="Q93">IFERROR(INDEX(Başvuru!$D$2:$D$3000, MATCH(0, COUNTIF($Q$5:Q92, Başvuru!$D$2:$D$3000) + IF(Başvuru!$D$2:$D$3000="",1,0), 0)), "")</f>
        <v/>
      </c>
      <c r="R93" s="171" t="str">
        <f>IF(Q93="","",COUNTIFS(Başvuru!$D:$D,Q93,Başvuru!$A:$A,"&lt;&gt;"&amp;"",Başvuru!$F:$F,"&lt;&gt;"&amp;""))</f>
        <v/>
      </c>
      <c r="S93" s="171" t="str">
        <f>IF(R93="","",RANK(R93,$R$6:$R$155,0)+COUNTIF($R$6:R93,R93)-1)</f>
        <v/>
      </c>
    </row>
    <row r="94" spans="2:19" x14ac:dyDescent="0.25">
      <c r="B94" s="159">
        <v>89</v>
      </c>
      <c r="C94" s="160" t="str">
        <f>IFERROR(INDEX($Q$6:$Q$155,MATCH(89,$S$6:$S$155,0)),"")</f>
        <v/>
      </c>
      <c r="D94" s="161" t="str">
        <f>IF(C94="","",COUNTIFS(Başvuru!$D:$D,C94,Başvuru!$A:$A,"&lt;&gt;"&amp;"",Başvuru!$F:$F,"&lt;&gt;"&amp;""))</f>
        <v/>
      </c>
      <c r="E94" s="159" t="str">
        <f>IF(C94="","-",IF(D94&gt;0,TEXT(D94/(COUNTIFS(Başvuru!$A:$A,"&lt;&gt;",Başvuru!$F:$F,"&lt;&gt;")-1)*100,"0.0")&amp;"%","-"))</f>
        <v>-</v>
      </c>
      <c r="F94" s="162" t="str">
        <f>IF(C94="","",COUNTIFS(Başvuru!$D:$D,C94,Başvuru!$G:$G,"Bireysel Araştırma",Başvuru!$A:$A,"&lt;&gt;"&amp;"",Başvuru!$F:$F,"&lt;&gt;"&amp;""))</f>
        <v/>
      </c>
      <c r="G94" s="162" t="str">
        <f>IF(C94="","",COUNTIFS(Başvuru!$D:$D,C94,Başvuru!$G:$G,"Uzmanlık Tezi",Başvuru!$A:$A,"&lt;&gt;"&amp;"",Başvuru!$F:$F,"&lt;&gt;"&amp;""))</f>
        <v/>
      </c>
      <c r="H94" s="162" t="str">
        <f>IF(C94="","",COUNTIFS(Başvuru!$D:$D,C94,Başvuru!$G:$G,"Doktora Tezi",Başvuru!$A:$A,"&lt;&gt;"&amp;"",Başvuru!$F:$F,"&lt;&gt;"&amp;""))</f>
        <v/>
      </c>
      <c r="I94" s="162" t="str">
        <f>IF(C94="","",COUNTIFS(Başvuru!$D:$D,C94,Başvuru!$G:$G,"Yüksek Lisans Tezi",Başvuru!$A:$A,"&lt;&gt;"&amp;"",Başvuru!$F:$F,"&lt;&gt;"&amp;""))</f>
        <v/>
      </c>
      <c r="J94" s="163" t="str">
        <f>IF(C94="","",COUNTIFS(Başvuru!$D:$D,C94,Başvuru!$L:$L,"ONAY",Başvuru!$A:$A,"&lt;&gt;"&amp;"",Başvuru!$F:$F,"&lt;&gt;"&amp;""))</f>
        <v/>
      </c>
      <c r="K94" s="164" t="str">
        <f>IF(C94="","",COUNTIFS(Başvuru!$D:$D,C94,Başvuru!$L:$L,"DÜZELTME",Başvuru!$A:$A,"&lt;&gt;"&amp;"",Başvuru!$F:$F,"&lt;&gt;"&amp;""))</f>
        <v/>
      </c>
      <c r="L94" s="165" t="str">
        <f>IF(C94="","",COUNTIFS(Başvuru!$D:$D,C94,Başvuru!$L:$L,"KAEK",Başvuru!$A:$A,"&lt;&gt;"&amp;"",Başvuru!$F:$F,"&lt;&gt;"&amp;""))</f>
        <v/>
      </c>
      <c r="M94" s="166" t="str">
        <f>IF(C94="","",COUNTIFS(Başvuru!$D:$D,C94,Başvuru!$L:$L,"GÖRÜŞ",Başvuru!$A:$A,"&lt;&gt;"&amp;"",Başvuru!$F:$F,"&lt;&gt;"&amp;""))</f>
        <v/>
      </c>
      <c r="N94" s="167" t="str">
        <f>IF(C94="","",COUNTIFS(Başvuru!$D:$D,C94,Başvuru!$L:$L,"RET",Başvuru!$A:$A,"&lt;&gt;"&amp;"",Başvuru!$F:$F,"&lt;&gt;"&amp;""))</f>
        <v/>
      </c>
      <c r="O94" s="168" t="str">
        <f>IF(C94="","",COUNTIFS(Başvuru!$D:$D,C94,Başvuru!$L:$L,"KAPSAM DIŞI",Başvuru!$A:$A,"&lt;&gt;"&amp;"",Başvuru!$F:$F,"&lt;&gt;"&amp;""))</f>
        <v/>
      </c>
      <c r="P94" s="169" t="str">
        <f>IF(C94="","",COUNTIFS(Başvuru!$D:$D,C94,Başvuru!$L:$L,"GERİ ÇEKİLDİ",Başvuru!$A:$A,"&lt;&gt;"&amp;"",Başvuru!$F:$F,"&lt;&gt;"&amp;""))</f>
        <v/>
      </c>
      <c r="Q94" s="170" t="str">
        <f t="array" ref="Q94">IFERROR(INDEX(Başvuru!$D$2:$D$3000, MATCH(0, COUNTIF($Q$5:Q93, Başvuru!$D$2:$D$3000) + IF(Başvuru!$D$2:$D$3000="",1,0), 0)), "")</f>
        <v/>
      </c>
      <c r="R94" s="171" t="str">
        <f>IF(Q94="","",COUNTIFS(Başvuru!$D:$D,Q94,Başvuru!$A:$A,"&lt;&gt;"&amp;"",Başvuru!$F:$F,"&lt;&gt;"&amp;""))</f>
        <v/>
      </c>
      <c r="S94" s="171" t="str">
        <f>IF(R94="","",RANK(R94,$R$6:$R$155,0)+COUNTIF($R$6:R94,R94)-1)</f>
        <v/>
      </c>
    </row>
    <row r="95" spans="2:19" x14ac:dyDescent="0.25">
      <c r="B95" s="159">
        <v>90</v>
      </c>
      <c r="C95" s="160" t="str">
        <f>IFERROR(INDEX($Q$6:$Q$155,MATCH(90,$S$6:$S$155,0)),"")</f>
        <v/>
      </c>
      <c r="D95" s="161" t="str">
        <f>IF(C95="","",COUNTIFS(Başvuru!$D:$D,C95,Başvuru!$A:$A,"&lt;&gt;"&amp;"",Başvuru!$F:$F,"&lt;&gt;"&amp;""))</f>
        <v/>
      </c>
      <c r="E95" s="159" t="str">
        <f>IF(C95="","-",IF(D95&gt;0,TEXT(D95/(COUNTIFS(Başvuru!$A:$A,"&lt;&gt;",Başvuru!$F:$F,"&lt;&gt;")-1)*100,"0.0")&amp;"%","-"))</f>
        <v>-</v>
      </c>
      <c r="F95" s="162" t="str">
        <f>IF(C95="","",COUNTIFS(Başvuru!$D:$D,C95,Başvuru!$G:$G,"Bireysel Araştırma",Başvuru!$A:$A,"&lt;&gt;"&amp;"",Başvuru!$F:$F,"&lt;&gt;"&amp;""))</f>
        <v/>
      </c>
      <c r="G95" s="162" t="str">
        <f>IF(C95="","",COUNTIFS(Başvuru!$D:$D,C95,Başvuru!$G:$G,"Uzmanlık Tezi",Başvuru!$A:$A,"&lt;&gt;"&amp;"",Başvuru!$F:$F,"&lt;&gt;"&amp;""))</f>
        <v/>
      </c>
      <c r="H95" s="162" t="str">
        <f>IF(C95="","",COUNTIFS(Başvuru!$D:$D,C95,Başvuru!$G:$G,"Doktora Tezi",Başvuru!$A:$A,"&lt;&gt;"&amp;"",Başvuru!$F:$F,"&lt;&gt;"&amp;""))</f>
        <v/>
      </c>
      <c r="I95" s="162" t="str">
        <f>IF(C95="","",COUNTIFS(Başvuru!$D:$D,C95,Başvuru!$G:$G,"Yüksek Lisans Tezi",Başvuru!$A:$A,"&lt;&gt;"&amp;"",Başvuru!$F:$F,"&lt;&gt;"&amp;""))</f>
        <v/>
      </c>
      <c r="J95" s="163" t="str">
        <f>IF(C95="","",COUNTIFS(Başvuru!$D:$D,C95,Başvuru!$L:$L,"ONAY",Başvuru!$A:$A,"&lt;&gt;"&amp;"",Başvuru!$F:$F,"&lt;&gt;"&amp;""))</f>
        <v/>
      </c>
      <c r="K95" s="164" t="str">
        <f>IF(C95="","",COUNTIFS(Başvuru!$D:$D,C95,Başvuru!$L:$L,"DÜZELTME",Başvuru!$A:$A,"&lt;&gt;"&amp;"",Başvuru!$F:$F,"&lt;&gt;"&amp;""))</f>
        <v/>
      </c>
      <c r="L95" s="165" t="str">
        <f>IF(C95="","",COUNTIFS(Başvuru!$D:$D,C95,Başvuru!$L:$L,"KAEK",Başvuru!$A:$A,"&lt;&gt;"&amp;"",Başvuru!$F:$F,"&lt;&gt;"&amp;""))</f>
        <v/>
      </c>
      <c r="M95" s="166" t="str">
        <f>IF(C95="","",COUNTIFS(Başvuru!$D:$D,C95,Başvuru!$L:$L,"GÖRÜŞ",Başvuru!$A:$A,"&lt;&gt;"&amp;"",Başvuru!$F:$F,"&lt;&gt;"&amp;""))</f>
        <v/>
      </c>
      <c r="N95" s="167" t="str">
        <f>IF(C95="","",COUNTIFS(Başvuru!$D:$D,C95,Başvuru!$L:$L,"RET",Başvuru!$A:$A,"&lt;&gt;"&amp;"",Başvuru!$F:$F,"&lt;&gt;"&amp;""))</f>
        <v/>
      </c>
      <c r="O95" s="168" t="str">
        <f>IF(C95="","",COUNTIFS(Başvuru!$D:$D,C95,Başvuru!$L:$L,"KAPSAM DIŞI",Başvuru!$A:$A,"&lt;&gt;"&amp;"",Başvuru!$F:$F,"&lt;&gt;"&amp;""))</f>
        <v/>
      </c>
      <c r="P95" s="169" t="str">
        <f>IF(C95="","",COUNTIFS(Başvuru!$D:$D,C95,Başvuru!$L:$L,"GERİ ÇEKİLDİ",Başvuru!$A:$A,"&lt;&gt;"&amp;"",Başvuru!$F:$F,"&lt;&gt;"&amp;""))</f>
        <v/>
      </c>
      <c r="Q95" s="170" t="str">
        <f t="array" ref="Q95">IFERROR(INDEX(Başvuru!$D$2:$D$3000, MATCH(0, COUNTIF($Q$5:Q94, Başvuru!$D$2:$D$3000) + IF(Başvuru!$D$2:$D$3000="",1,0), 0)), "")</f>
        <v/>
      </c>
      <c r="R95" s="171" t="str">
        <f>IF(Q95="","",COUNTIFS(Başvuru!$D:$D,Q95,Başvuru!$A:$A,"&lt;&gt;"&amp;"",Başvuru!$F:$F,"&lt;&gt;"&amp;""))</f>
        <v/>
      </c>
      <c r="S95" s="171" t="str">
        <f>IF(R95="","",RANK(R95,$R$6:$R$155,0)+COUNTIF($R$6:R95,R95)-1)</f>
        <v/>
      </c>
    </row>
    <row r="96" spans="2:19" x14ac:dyDescent="0.25">
      <c r="B96" s="159">
        <v>91</v>
      </c>
      <c r="C96" s="160" t="str">
        <f>IFERROR(INDEX($Q$6:$Q$155,MATCH(91,$S$6:$S$155,0)),"")</f>
        <v/>
      </c>
      <c r="D96" s="161" t="str">
        <f>IF(C96="","",COUNTIFS(Başvuru!$D:$D,C96,Başvuru!$A:$A,"&lt;&gt;"&amp;"",Başvuru!$F:$F,"&lt;&gt;"&amp;""))</f>
        <v/>
      </c>
      <c r="E96" s="159" t="str">
        <f>IF(C96="","-",IF(D96&gt;0,TEXT(D96/(COUNTIFS(Başvuru!$A:$A,"&lt;&gt;",Başvuru!$F:$F,"&lt;&gt;")-1)*100,"0.0")&amp;"%","-"))</f>
        <v>-</v>
      </c>
      <c r="F96" s="162" t="str">
        <f>IF(C96="","",COUNTIFS(Başvuru!$D:$D,C96,Başvuru!$G:$G,"Bireysel Araştırma",Başvuru!$A:$A,"&lt;&gt;"&amp;"",Başvuru!$F:$F,"&lt;&gt;"&amp;""))</f>
        <v/>
      </c>
      <c r="G96" s="162" t="str">
        <f>IF(C96="","",COUNTIFS(Başvuru!$D:$D,C96,Başvuru!$G:$G,"Uzmanlık Tezi",Başvuru!$A:$A,"&lt;&gt;"&amp;"",Başvuru!$F:$F,"&lt;&gt;"&amp;""))</f>
        <v/>
      </c>
      <c r="H96" s="162" t="str">
        <f>IF(C96="","",COUNTIFS(Başvuru!$D:$D,C96,Başvuru!$G:$G,"Doktora Tezi",Başvuru!$A:$A,"&lt;&gt;"&amp;"",Başvuru!$F:$F,"&lt;&gt;"&amp;""))</f>
        <v/>
      </c>
      <c r="I96" s="162" t="str">
        <f>IF(C96="","",COUNTIFS(Başvuru!$D:$D,C96,Başvuru!$G:$G,"Yüksek Lisans Tezi",Başvuru!$A:$A,"&lt;&gt;"&amp;"",Başvuru!$F:$F,"&lt;&gt;"&amp;""))</f>
        <v/>
      </c>
      <c r="J96" s="163" t="str">
        <f>IF(C96="","",COUNTIFS(Başvuru!$D:$D,C96,Başvuru!$L:$L,"ONAY",Başvuru!$A:$A,"&lt;&gt;"&amp;"",Başvuru!$F:$F,"&lt;&gt;"&amp;""))</f>
        <v/>
      </c>
      <c r="K96" s="164" t="str">
        <f>IF(C96="","",COUNTIFS(Başvuru!$D:$D,C96,Başvuru!$L:$L,"DÜZELTME",Başvuru!$A:$A,"&lt;&gt;"&amp;"",Başvuru!$F:$F,"&lt;&gt;"&amp;""))</f>
        <v/>
      </c>
      <c r="L96" s="165" t="str">
        <f>IF(C96="","",COUNTIFS(Başvuru!$D:$D,C96,Başvuru!$L:$L,"KAEK",Başvuru!$A:$A,"&lt;&gt;"&amp;"",Başvuru!$F:$F,"&lt;&gt;"&amp;""))</f>
        <v/>
      </c>
      <c r="M96" s="166" t="str">
        <f>IF(C96="","",COUNTIFS(Başvuru!$D:$D,C96,Başvuru!$L:$L,"GÖRÜŞ",Başvuru!$A:$A,"&lt;&gt;"&amp;"",Başvuru!$F:$F,"&lt;&gt;"&amp;""))</f>
        <v/>
      </c>
      <c r="N96" s="167" t="str">
        <f>IF(C96="","",COUNTIFS(Başvuru!$D:$D,C96,Başvuru!$L:$L,"RET",Başvuru!$A:$A,"&lt;&gt;"&amp;"",Başvuru!$F:$F,"&lt;&gt;"&amp;""))</f>
        <v/>
      </c>
      <c r="O96" s="168" t="str">
        <f>IF(C96="","",COUNTIFS(Başvuru!$D:$D,C96,Başvuru!$L:$L,"KAPSAM DIŞI",Başvuru!$A:$A,"&lt;&gt;"&amp;"",Başvuru!$F:$F,"&lt;&gt;"&amp;""))</f>
        <v/>
      </c>
      <c r="P96" s="169" t="str">
        <f>IF(C96="","",COUNTIFS(Başvuru!$D:$D,C96,Başvuru!$L:$L,"GERİ ÇEKİLDİ",Başvuru!$A:$A,"&lt;&gt;"&amp;"",Başvuru!$F:$F,"&lt;&gt;"&amp;""))</f>
        <v/>
      </c>
      <c r="Q96" s="170" t="str">
        <f t="array" ref="Q96">IFERROR(INDEX(Başvuru!$D$2:$D$3000, MATCH(0, COUNTIF($Q$5:Q95, Başvuru!$D$2:$D$3000) + IF(Başvuru!$D$2:$D$3000="",1,0), 0)), "")</f>
        <v/>
      </c>
      <c r="R96" s="171" t="str">
        <f>IF(Q96="","",COUNTIFS(Başvuru!$D:$D,Q96,Başvuru!$A:$A,"&lt;&gt;"&amp;"",Başvuru!$F:$F,"&lt;&gt;"&amp;""))</f>
        <v/>
      </c>
      <c r="S96" s="171" t="str">
        <f>IF(R96="","",RANK(R96,$R$6:$R$155,0)+COUNTIF($R$6:R96,R96)-1)</f>
        <v/>
      </c>
    </row>
    <row r="97" spans="2:19" x14ac:dyDescent="0.25">
      <c r="B97" s="159">
        <v>92</v>
      </c>
      <c r="C97" s="160" t="str">
        <f>IFERROR(INDEX($Q$6:$Q$155,MATCH(92,$S$6:$S$155,0)),"")</f>
        <v/>
      </c>
      <c r="D97" s="161" t="str">
        <f>IF(C97="","",COUNTIFS(Başvuru!$D:$D,C97,Başvuru!$A:$A,"&lt;&gt;"&amp;"",Başvuru!$F:$F,"&lt;&gt;"&amp;""))</f>
        <v/>
      </c>
      <c r="E97" s="159" t="str">
        <f>IF(C97="","-",IF(D97&gt;0,TEXT(D97/(COUNTIFS(Başvuru!$A:$A,"&lt;&gt;",Başvuru!$F:$F,"&lt;&gt;")-1)*100,"0.0")&amp;"%","-"))</f>
        <v>-</v>
      </c>
      <c r="F97" s="162" t="str">
        <f>IF(C97="","",COUNTIFS(Başvuru!$D:$D,C97,Başvuru!$G:$G,"Bireysel Araştırma",Başvuru!$A:$A,"&lt;&gt;"&amp;"",Başvuru!$F:$F,"&lt;&gt;"&amp;""))</f>
        <v/>
      </c>
      <c r="G97" s="162" t="str">
        <f>IF(C97="","",COUNTIFS(Başvuru!$D:$D,C97,Başvuru!$G:$G,"Uzmanlık Tezi",Başvuru!$A:$A,"&lt;&gt;"&amp;"",Başvuru!$F:$F,"&lt;&gt;"&amp;""))</f>
        <v/>
      </c>
      <c r="H97" s="162" t="str">
        <f>IF(C97="","",COUNTIFS(Başvuru!$D:$D,C97,Başvuru!$G:$G,"Doktora Tezi",Başvuru!$A:$A,"&lt;&gt;"&amp;"",Başvuru!$F:$F,"&lt;&gt;"&amp;""))</f>
        <v/>
      </c>
      <c r="I97" s="162" t="str">
        <f>IF(C97="","",COUNTIFS(Başvuru!$D:$D,C97,Başvuru!$G:$G,"Yüksek Lisans Tezi",Başvuru!$A:$A,"&lt;&gt;"&amp;"",Başvuru!$F:$F,"&lt;&gt;"&amp;""))</f>
        <v/>
      </c>
      <c r="J97" s="163" t="str">
        <f>IF(C97="","",COUNTIFS(Başvuru!$D:$D,C97,Başvuru!$L:$L,"ONAY",Başvuru!$A:$A,"&lt;&gt;"&amp;"",Başvuru!$F:$F,"&lt;&gt;"&amp;""))</f>
        <v/>
      </c>
      <c r="K97" s="164" t="str">
        <f>IF(C97="","",COUNTIFS(Başvuru!$D:$D,C97,Başvuru!$L:$L,"DÜZELTME",Başvuru!$A:$A,"&lt;&gt;"&amp;"",Başvuru!$F:$F,"&lt;&gt;"&amp;""))</f>
        <v/>
      </c>
      <c r="L97" s="165" t="str">
        <f>IF(C97="","",COUNTIFS(Başvuru!$D:$D,C97,Başvuru!$L:$L,"KAEK",Başvuru!$A:$A,"&lt;&gt;"&amp;"",Başvuru!$F:$F,"&lt;&gt;"&amp;""))</f>
        <v/>
      </c>
      <c r="M97" s="166" t="str">
        <f>IF(C97="","",COUNTIFS(Başvuru!$D:$D,C97,Başvuru!$L:$L,"GÖRÜŞ",Başvuru!$A:$A,"&lt;&gt;"&amp;"",Başvuru!$F:$F,"&lt;&gt;"&amp;""))</f>
        <v/>
      </c>
      <c r="N97" s="167" t="str">
        <f>IF(C97="","",COUNTIFS(Başvuru!$D:$D,C97,Başvuru!$L:$L,"RET",Başvuru!$A:$A,"&lt;&gt;"&amp;"",Başvuru!$F:$F,"&lt;&gt;"&amp;""))</f>
        <v/>
      </c>
      <c r="O97" s="168" t="str">
        <f>IF(C97="","",COUNTIFS(Başvuru!$D:$D,C97,Başvuru!$L:$L,"KAPSAM DIŞI",Başvuru!$A:$A,"&lt;&gt;"&amp;"",Başvuru!$F:$F,"&lt;&gt;"&amp;""))</f>
        <v/>
      </c>
      <c r="P97" s="169" t="str">
        <f>IF(C97="","",COUNTIFS(Başvuru!$D:$D,C97,Başvuru!$L:$L,"GERİ ÇEKİLDİ",Başvuru!$A:$A,"&lt;&gt;"&amp;"",Başvuru!$F:$F,"&lt;&gt;"&amp;""))</f>
        <v/>
      </c>
      <c r="Q97" s="170" t="str">
        <f t="array" ref="Q97">IFERROR(INDEX(Başvuru!$D$2:$D$3000, MATCH(0, COUNTIF($Q$5:Q96, Başvuru!$D$2:$D$3000) + IF(Başvuru!$D$2:$D$3000="",1,0), 0)), "")</f>
        <v/>
      </c>
      <c r="R97" s="171" t="str">
        <f>IF(Q97="","",COUNTIFS(Başvuru!$D:$D,Q97,Başvuru!$A:$A,"&lt;&gt;"&amp;"",Başvuru!$F:$F,"&lt;&gt;"&amp;""))</f>
        <v/>
      </c>
      <c r="S97" s="171" t="str">
        <f>IF(R97="","",RANK(R97,$R$6:$R$155,0)+COUNTIF($R$6:R97,R97)-1)</f>
        <v/>
      </c>
    </row>
    <row r="98" spans="2:19" x14ac:dyDescent="0.25">
      <c r="B98" s="159">
        <v>93</v>
      </c>
      <c r="C98" s="160" t="str">
        <f>IFERROR(INDEX($Q$6:$Q$155,MATCH(93,$S$6:$S$155,0)),"")</f>
        <v/>
      </c>
      <c r="D98" s="161" t="str">
        <f>IF(C98="","",COUNTIFS(Başvuru!$D:$D,C98,Başvuru!$A:$A,"&lt;&gt;"&amp;"",Başvuru!$F:$F,"&lt;&gt;"&amp;""))</f>
        <v/>
      </c>
      <c r="E98" s="159" t="str">
        <f>IF(C98="","-",IF(D98&gt;0,TEXT(D98/(COUNTIFS(Başvuru!$A:$A,"&lt;&gt;",Başvuru!$F:$F,"&lt;&gt;")-1)*100,"0.0")&amp;"%","-"))</f>
        <v>-</v>
      </c>
      <c r="F98" s="162" t="str">
        <f>IF(C98="","",COUNTIFS(Başvuru!$D:$D,C98,Başvuru!$G:$G,"Bireysel Araştırma",Başvuru!$A:$A,"&lt;&gt;"&amp;"",Başvuru!$F:$F,"&lt;&gt;"&amp;""))</f>
        <v/>
      </c>
      <c r="G98" s="162" t="str">
        <f>IF(C98="","",COUNTIFS(Başvuru!$D:$D,C98,Başvuru!$G:$G,"Uzmanlık Tezi",Başvuru!$A:$A,"&lt;&gt;"&amp;"",Başvuru!$F:$F,"&lt;&gt;"&amp;""))</f>
        <v/>
      </c>
      <c r="H98" s="162" t="str">
        <f>IF(C98="","",COUNTIFS(Başvuru!$D:$D,C98,Başvuru!$G:$G,"Doktora Tezi",Başvuru!$A:$A,"&lt;&gt;"&amp;"",Başvuru!$F:$F,"&lt;&gt;"&amp;""))</f>
        <v/>
      </c>
      <c r="I98" s="162" t="str">
        <f>IF(C98="","",COUNTIFS(Başvuru!$D:$D,C98,Başvuru!$G:$G,"Yüksek Lisans Tezi",Başvuru!$A:$A,"&lt;&gt;"&amp;"",Başvuru!$F:$F,"&lt;&gt;"&amp;""))</f>
        <v/>
      </c>
      <c r="J98" s="163" t="str">
        <f>IF(C98="","",COUNTIFS(Başvuru!$D:$D,C98,Başvuru!$L:$L,"ONAY",Başvuru!$A:$A,"&lt;&gt;"&amp;"",Başvuru!$F:$F,"&lt;&gt;"&amp;""))</f>
        <v/>
      </c>
      <c r="K98" s="164" t="str">
        <f>IF(C98="","",COUNTIFS(Başvuru!$D:$D,C98,Başvuru!$L:$L,"DÜZELTME",Başvuru!$A:$A,"&lt;&gt;"&amp;"",Başvuru!$F:$F,"&lt;&gt;"&amp;""))</f>
        <v/>
      </c>
      <c r="L98" s="165" t="str">
        <f>IF(C98="","",COUNTIFS(Başvuru!$D:$D,C98,Başvuru!$L:$L,"KAEK",Başvuru!$A:$A,"&lt;&gt;"&amp;"",Başvuru!$F:$F,"&lt;&gt;"&amp;""))</f>
        <v/>
      </c>
      <c r="M98" s="166" t="str">
        <f>IF(C98="","",COUNTIFS(Başvuru!$D:$D,C98,Başvuru!$L:$L,"GÖRÜŞ",Başvuru!$A:$A,"&lt;&gt;"&amp;"",Başvuru!$F:$F,"&lt;&gt;"&amp;""))</f>
        <v/>
      </c>
      <c r="N98" s="167" t="str">
        <f>IF(C98="","",COUNTIFS(Başvuru!$D:$D,C98,Başvuru!$L:$L,"RET",Başvuru!$A:$A,"&lt;&gt;"&amp;"",Başvuru!$F:$F,"&lt;&gt;"&amp;""))</f>
        <v/>
      </c>
      <c r="O98" s="168" t="str">
        <f>IF(C98="","",COUNTIFS(Başvuru!$D:$D,C98,Başvuru!$L:$L,"KAPSAM DIŞI",Başvuru!$A:$A,"&lt;&gt;"&amp;"",Başvuru!$F:$F,"&lt;&gt;"&amp;""))</f>
        <v/>
      </c>
      <c r="P98" s="169" t="str">
        <f>IF(C98="","",COUNTIFS(Başvuru!$D:$D,C98,Başvuru!$L:$L,"GERİ ÇEKİLDİ",Başvuru!$A:$A,"&lt;&gt;"&amp;"",Başvuru!$F:$F,"&lt;&gt;"&amp;""))</f>
        <v/>
      </c>
      <c r="Q98" s="170" t="str">
        <f t="array" ref="Q98">IFERROR(INDEX(Başvuru!$D$2:$D$3000, MATCH(0, COUNTIF($Q$5:Q97, Başvuru!$D$2:$D$3000) + IF(Başvuru!$D$2:$D$3000="",1,0), 0)), "")</f>
        <v/>
      </c>
      <c r="R98" s="171" t="str">
        <f>IF(Q98="","",COUNTIFS(Başvuru!$D:$D,Q98,Başvuru!$A:$A,"&lt;&gt;"&amp;"",Başvuru!$F:$F,"&lt;&gt;"&amp;""))</f>
        <v/>
      </c>
      <c r="S98" s="171" t="str">
        <f>IF(R98="","",RANK(R98,$R$6:$R$155,0)+COUNTIF($R$6:R98,R98)-1)</f>
        <v/>
      </c>
    </row>
    <row r="99" spans="2:19" x14ac:dyDescent="0.25">
      <c r="B99" s="159">
        <v>94</v>
      </c>
      <c r="C99" s="160" t="str">
        <f>IFERROR(INDEX($Q$6:$Q$155,MATCH(94,$S$6:$S$155,0)),"")</f>
        <v/>
      </c>
      <c r="D99" s="161" t="str">
        <f>IF(C99="","",COUNTIFS(Başvuru!$D:$D,C99,Başvuru!$A:$A,"&lt;&gt;"&amp;"",Başvuru!$F:$F,"&lt;&gt;"&amp;""))</f>
        <v/>
      </c>
      <c r="E99" s="159" t="str">
        <f>IF(C99="","-",IF(D99&gt;0,TEXT(D99/(COUNTIFS(Başvuru!$A:$A,"&lt;&gt;",Başvuru!$F:$F,"&lt;&gt;")-1)*100,"0.0")&amp;"%","-"))</f>
        <v>-</v>
      </c>
      <c r="F99" s="162" t="str">
        <f>IF(C99="","",COUNTIFS(Başvuru!$D:$D,C99,Başvuru!$G:$G,"Bireysel Araştırma",Başvuru!$A:$A,"&lt;&gt;"&amp;"",Başvuru!$F:$F,"&lt;&gt;"&amp;""))</f>
        <v/>
      </c>
      <c r="G99" s="162" t="str">
        <f>IF(C99="","",COUNTIFS(Başvuru!$D:$D,C99,Başvuru!$G:$G,"Uzmanlık Tezi",Başvuru!$A:$A,"&lt;&gt;"&amp;"",Başvuru!$F:$F,"&lt;&gt;"&amp;""))</f>
        <v/>
      </c>
      <c r="H99" s="162" t="str">
        <f>IF(C99="","",COUNTIFS(Başvuru!$D:$D,C99,Başvuru!$G:$G,"Doktora Tezi",Başvuru!$A:$A,"&lt;&gt;"&amp;"",Başvuru!$F:$F,"&lt;&gt;"&amp;""))</f>
        <v/>
      </c>
      <c r="I99" s="162" t="str">
        <f>IF(C99="","",COUNTIFS(Başvuru!$D:$D,C99,Başvuru!$G:$G,"Yüksek Lisans Tezi",Başvuru!$A:$A,"&lt;&gt;"&amp;"",Başvuru!$F:$F,"&lt;&gt;"&amp;""))</f>
        <v/>
      </c>
      <c r="J99" s="163" t="str">
        <f>IF(C99="","",COUNTIFS(Başvuru!$D:$D,C99,Başvuru!$L:$L,"ONAY",Başvuru!$A:$A,"&lt;&gt;"&amp;"",Başvuru!$F:$F,"&lt;&gt;"&amp;""))</f>
        <v/>
      </c>
      <c r="K99" s="164" t="str">
        <f>IF(C99="","",COUNTIFS(Başvuru!$D:$D,C99,Başvuru!$L:$L,"DÜZELTME",Başvuru!$A:$A,"&lt;&gt;"&amp;"",Başvuru!$F:$F,"&lt;&gt;"&amp;""))</f>
        <v/>
      </c>
      <c r="L99" s="165" t="str">
        <f>IF(C99="","",COUNTIFS(Başvuru!$D:$D,C99,Başvuru!$L:$L,"KAEK",Başvuru!$A:$A,"&lt;&gt;"&amp;"",Başvuru!$F:$F,"&lt;&gt;"&amp;""))</f>
        <v/>
      </c>
      <c r="M99" s="166" t="str">
        <f>IF(C99="","",COUNTIFS(Başvuru!$D:$D,C99,Başvuru!$L:$L,"GÖRÜŞ",Başvuru!$A:$A,"&lt;&gt;"&amp;"",Başvuru!$F:$F,"&lt;&gt;"&amp;""))</f>
        <v/>
      </c>
      <c r="N99" s="167" t="str">
        <f>IF(C99="","",COUNTIFS(Başvuru!$D:$D,C99,Başvuru!$L:$L,"RET",Başvuru!$A:$A,"&lt;&gt;"&amp;"",Başvuru!$F:$F,"&lt;&gt;"&amp;""))</f>
        <v/>
      </c>
      <c r="O99" s="168" t="str">
        <f>IF(C99="","",COUNTIFS(Başvuru!$D:$D,C99,Başvuru!$L:$L,"KAPSAM DIŞI",Başvuru!$A:$A,"&lt;&gt;"&amp;"",Başvuru!$F:$F,"&lt;&gt;"&amp;""))</f>
        <v/>
      </c>
      <c r="P99" s="169" t="str">
        <f>IF(C99="","",COUNTIFS(Başvuru!$D:$D,C99,Başvuru!$L:$L,"GERİ ÇEKİLDİ",Başvuru!$A:$A,"&lt;&gt;"&amp;"",Başvuru!$F:$F,"&lt;&gt;"&amp;""))</f>
        <v/>
      </c>
      <c r="Q99" s="170" t="str">
        <f t="array" ref="Q99">IFERROR(INDEX(Başvuru!$D$2:$D$3000, MATCH(0, COUNTIF($Q$5:Q98, Başvuru!$D$2:$D$3000) + IF(Başvuru!$D$2:$D$3000="",1,0), 0)), "")</f>
        <v/>
      </c>
      <c r="R99" s="171" t="str">
        <f>IF(Q99="","",COUNTIFS(Başvuru!$D:$D,Q99,Başvuru!$A:$A,"&lt;&gt;"&amp;"",Başvuru!$F:$F,"&lt;&gt;"&amp;""))</f>
        <v/>
      </c>
      <c r="S99" s="171" t="str">
        <f>IF(R99="","",RANK(R99,$R$6:$R$155,0)+COUNTIF($R$6:R99,R99)-1)</f>
        <v/>
      </c>
    </row>
    <row r="100" spans="2:19" x14ac:dyDescent="0.25">
      <c r="B100" s="159">
        <v>95</v>
      </c>
      <c r="C100" s="160" t="str">
        <f>IFERROR(INDEX($Q$6:$Q$155,MATCH(95,$S$6:$S$155,0)),"")</f>
        <v/>
      </c>
      <c r="D100" s="161" t="str">
        <f>IF(C100="","",COUNTIFS(Başvuru!$D:$D,C100,Başvuru!$A:$A,"&lt;&gt;"&amp;"",Başvuru!$F:$F,"&lt;&gt;"&amp;""))</f>
        <v/>
      </c>
      <c r="E100" s="159" t="str">
        <f>IF(C100="","-",IF(D100&gt;0,TEXT(D100/(COUNTIFS(Başvuru!$A:$A,"&lt;&gt;",Başvuru!$F:$F,"&lt;&gt;")-1)*100,"0.0")&amp;"%","-"))</f>
        <v>-</v>
      </c>
      <c r="F100" s="162" t="str">
        <f>IF(C100="","",COUNTIFS(Başvuru!$D:$D,C100,Başvuru!$G:$G,"Bireysel Araştırma",Başvuru!$A:$A,"&lt;&gt;"&amp;"",Başvuru!$F:$F,"&lt;&gt;"&amp;""))</f>
        <v/>
      </c>
      <c r="G100" s="162" t="str">
        <f>IF(C100="","",COUNTIFS(Başvuru!$D:$D,C100,Başvuru!$G:$G,"Uzmanlık Tezi",Başvuru!$A:$A,"&lt;&gt;"&amp;"",Başvuru!$F:$F,"&lt;&gt;"&amp;""))</f>
        <v/>
      </c>
      <c r="H100" s="162" t="str">
        <f>IF(C100="","",COUNTIFS(Başvuru!$D:$D,C100,Başvuru!$G:$G,"Doktora Tezi",Başvuru!$A:$A,"&lt;&gt;"&amp;"",Başvuru!$F:$F,"&lt;&gt;"&amp;""))</f>
        <v/>
      </c>
      <c r="I100" s="162" t="str">
        <f>IF(C100="","",COUNTIFS(Başvuru!$D:$D,C100,Başvuru!$G:$G,"Yüksek Lisans Tezi",Başvuru!$A:$A,"&lt;&gt;"&amp;"",Başvuru!$F:$F,"&lt;&gt;"&amp;""))</f>
        <v/>
      </c>
      <c r="J100" s="163" t="str">
        <f>IF(C100="","",COUNTIFS(Başvuru!$D:$D,C100,Başvuru!$L:$L,"ONAY",Başvuru!$A:$A,"&lt;&gt;"&amp;"",Başvuru!$F:$F,"&lt;&gt;"&amp;""))</f>
        <v/>
      </c>
      <c r="K100" s="164" t="str">
        <f>IF(C100="","",COUNTIFS(Başvuru!$D:$D,C100,Başvuru!$L:$L,"DÜZELTME",Başvuru!$A:$A,"&lt;&gt;"&amp;"",Başvuru!$F:$F,"&lt;&gt;"&amp;""))</f>
        <v/>
      </c>
      <c r="L100" s="165" t="str">
        <f>IF(C100="","",COUNTIFS(Başvuru!$D:$D,C100,Başvuru!$L:$L,"KAEK",Başvuru!$A:$A,"&lt;&gt;"&amp;"",Başvuru!$F:$F,"&lt;&gt;"&amp;""))</f>
        <v/>
      </c>
      <c r="M100" s="166" t="str">
        <f>IF(C100="","",COUNTIFS(Başvuru!$D:$D,C100,Başvuru!$L:$L,"GÖRÜŞ",Başvuru!$A:$A,"&lt;&gt;"&amp;"",Başvuru!$F:$F,"&lt;&gt;"&amp;""))</f>
        <v/>
      </c>
      <c r="N100" s="167" t="str">
        <f>IF(C100="","",COUNTIFS(Başvuru!$D:$D,C100,Başvuru!$L:$L,"RET",Başvuru!$A:$A,"&lt;&gt;"&amp;"",Başvuru!$F:$F,"&lt;&gt;"&amp;""))</f>
        <v/>
      </c>
      <c r="O100" s="168" t="str">
        <f>IF(C100="","",COUNTIFS(Başvuru!$D:$D,C100,Başvuru!$L:$L,"KAPSAM DIŞI",Başvuru!$A:$A,"&lt;&gt;"&amp;"",Başvuru!$F:$F,"&lt;&gt;"&amp;""))</f>
        <v/>
      </c>
      <c r="P100" s="169" t="str">
        <f>IF(C100="","",COUNTIFS(Başvuru!$D:$D,C100,Başvuru!$L:$L,"GERİ ÇEKİLDİ",Başvuru!$A:$A,"&lt;&gt;"&amp;"",Başvuru!$F:$F,"&lt;&gt;"&amp;""))</f>
        <v/>
      </c>
      <c r="Q100" s="170" t="str">
        <f t="array" ref="Q100">IFERROR(INDEX(Başvuru!$D$2:$D$3000, MATCH(0, COUNTIF($Q$5:Q99, Başvuru!$D$2:$D$3000) + IF(Başvuru!$D$2:$D$3000="",1,0), 0)), "")</f>
        <v/>
      </c>
      <c r="R100" s="171" t="str">
        <f>IF(Q100="","",COUNTIFS(Başvuru!$D:$D,Q100,Başvuru!$A:$A,"&lt;&gt;"&amp;"",Başvuru!$F:$F,"&lt;&gt;"&amp;""))</f>
        <v/>
      </c>
      <c r="S100" s="171" t="str">
        <f>IF(R100="","",RANK(R100,$R$6:$R$155,0)+COUNTIF($R$6:R100,R100)-1)</f>
        <v/>
      </c>
    </row>
    <row r="101" spans="2:19" x14ac:dyDescent="0.25">
      <c r="B101" s="159">
        <v>96</v>
      </c>
      <c r="C101" s="160" t="str">
        <f>IFERROR(INDEX($Q$6:$Q$155,MATCH(96,$S$6:$S$155,0)),"")</f>
        <v/>
      </c>
      <c r="D101" s="161" t="str">
        <f>IF(C101="","",COUNTIFS(Başvuru!$D:$D,C101,Başvuru!$A:$A,"&lt;&gt;"&amp;"",Başvuru!$F:$F,"&lt;&gt;"&amp;""))</f>
        <v/>
      </c>
      <c r="E101" s="159" t="str">
        <f>IF(C101="","-",IF(D101&gt;0,TEXT(D101/(COUNTIFS(Başvuru!$A:$A,"&lt;&gt;",Başvuru!$F:$F,"&lt;&gt;")-1)*100,"0.0")&amp;"%","-"))</f>
        <v>-</v>
      </c>
      <c r="F101" s="162" t="str">
        <f>IF(C101="","",COUNTIFS(Başvuru!$D:$D,C101,Başvuru!$G:$G,"Bireysel Araştırma",Başvuru!$A:$A,"&lt;&gt;"&amp;"",Başvuru!$F:$F,"&lt;&gt;"&amp;""))</f>
        <v/>
      </c>
      <c r="G101" s="162" t="str">
        <f>IF(C101="","",COUNTIFS(Başvuru!$D:$D,C101,Başvuru!$G:$G,"Uzmanlık Tezi",Başvuru!$A:$A,"&lt;&gt;"&amp;"",Başvuru!$F:$F,"&lt;&gt;"&amp;""))</f>
        <v/>
      </c>
      <c r="H101" s="162" t="str">
        <f>IF(C101="","",COUNTIFS(Başvuru!$D:$D,C101,Başvuru!$G:$G,"Doktora Tezi",Başvuru!$A:$A,"&lt;&gt;"&amp;"",Başvuru!$F:$F,"&lt;&gt;"&amp;""))</f>
        <v/>
      </c>
      <c r="I101" s="162" t="str">
        <f>IF(C101="","",COUNTIFS(Başvuru!$D:$D,C101,Başvuru!$G:$G,"Yüksek Lisans Tezi",Başvuru!$A:$A,"&lt;&gt;"&amp;"",Başvuru!$F:$F,"&lt;&gt;"&amp;""))</f>
        <v/>
      </c>
      <c r="J101" s="163" t="str">
        <f>IF(C101="","",COUNTIFS(Başvuru!$D:$D,C101,Başvuru!$L:$L,"ONAY",Başvuru!$A:$A,"&lt;&gt;"&amp;"",Başvuru!$F:$F,"&lt;&gt;"&amp;""))</f>
        <v/>
      </c>
      <c r="K101" s="164" t="str">
        <f>IF(C101="","",COUNTIFS(Başvuru!$D:$D,C101,Başvuru!$L:$L,"DÜZELTME",Başvuru!$A:$A,"&lt;&gt;"&amp;"",Başvuru!$F:$F,"&lt;&gt;"&amp;""))</f>
        <v/>
      </c>
      <c r="L101" s="165" t="str">
        <f>IF(C101="","",COUNTIFS(Başvuru!$D:$D,C101,Başvuru!$L:$L,"KAEK",Başvuru!$A:$A,"&lt;&gt;"&amp;"",Başvuru!$F:$F,"&lt;&gt;"&amp;""))</f>
        <v/>
      </c>
      <c r="M101" s="166" t="str">
        <f>IF(C101="","",COUNTIFS(Başvuru!$D:$D,C101,Başvuru!$L:$L,"GÖRÜŞ",Başvuru!$A:$A,"&lt;&gt;"&amp;"",Başvuru!$F:$F,"&lt;&gt;"&amp;""))</f>
        <v/>
      </c>
      <c r="N101" s="167" t="str">
        <f>IF(C101="","",COUNTIFS(Başvuru!$D:$D,C101,Başvuru!$L:$L,"RET",Başvuru!$A:$A,"&lt;&gt;"&amp;"",Başvuru!$F:$F,"&lt;&gt;"&amp;""))</f>
        <v/>
      </c>
      <c r="O101" s="168" t="str">
        <f>IF(C101="","",COUNTIFS(Başvuru!$D:$D,C101,Başvuru!$L:$L,"KAPSAM DIŞI",Başvuru!$A:$A,"&lt;&gt;"&amp;"",Başvuru!$F:$F,"&lt;&gt;"&amp;""))</f>
        <v/>
      </c>
      <c r="P101" s="169" t="str">
        <f>IF(C101="","",COUNTIFS(Başvuru!$D:$D,C101,Başvuru!$L:$L,"GERİ ÇEKİLDİ",Başvuru!$A:$A,"&lt;&gt;"&amp;"",Başvuru!$F:$F,"&lt;&gt;"&amp;""))</f>
        <v/>
      </c>
      <c r="Q101" s="170" t="str">
        <f t="array" ref="Q101">IFERROR(INDEX(Başvuru!$D$2:$D$3000, MATCH(0, COUNTIF($Q$5:Q100, Başvuru!$D$2:$D$3000) + IF(Başvuru!$D$2:$D$3000="",1,0), 0)), "")</f>
        <v/>
      </c>
      <c r="R101" s="171" t="str">
        <f>IF(Q101="","",COUNTIFS(Başvuru!$D:$D,Q101,Başvuru!$A:$A,"&lt;&gt;"&amp;"",Başvuru!$F:$F,"&lt;&gt;"&amp;""))</f>
        <v/>
      </c>
      <c r="S101" s="171" t="str">
        <f>IF(R101="","",RANK(R101,$R$6:$R$155,0)+COUNTIF($R$6:R101,R101)-1)</f>
        <v/>
      </c>
    </row>
    <row r="102" spans="2:19" x14ac:dyDescent="0.25">
      <c r="B102" s="159">
        <v>97</v>
      </c>
      <c r="C102" s="160" t="str">
        <f>IFERROR(INDEX($Q$6:$Q$155,MATCH(97,$S$6:$S$155,0)),"")</f>
        <v/>
      </c>
      <c r="D102" s="161" t="str">
        <f>IF(C102="","",COUNTIFS(Başvuru!$D:$D,C102,Başvuru!$A:$A,"&lt;&gt;"&amp;"",Başvuru!$F:$F,"&lt;&gt;"&amp;""))</f>
        <v/>
      </c>
      <c r="E102" s="159" t="str">
        <f>IF(C102="","-",IF(D102&gt;0,TEXT(D102/(COUNTIFS(Başvuru!$A:$A,"&lt;&gt;",Başvuru!$F:$F,"&lt;&gt;")-1)*100,"0.0")&amp;"%","-"))</f>
        <v>-</v>
      </c>
      <c r="F102" s="162" t="str">
        <f>IF(C102="","",COUNTIFS(Başvuru!$D:$D,C102,Başvuru!$G:$G,"Bireysel Araştırma",Başvuru!$A:$A,"&lt;&gt;"&amp;"",Başvuru!$F:$F,"&lt;&gt;"&amp;""))</f>
        <v/>
      </c>
      <c r="G102" s="162" t="str">
        <f>IF(C102="","",COUNTIFS(Başvuru!$D:$D,C102,Başvuru!$G:$G,"Uzmanlık Tezi",Başvuru!$A:$A,"&lt;&gt;"&amp;"",Başvuru!$F:$F,"&lt;&gt;"&amp;""))</f>
        <v/>
      </c>
      <c r="H102" s="162" t="str">
        <f>IF(C102="","",COUNTIFS(Başvuru!$D:$D,C102,Başvuru!$G:$G,"Doktora Tezi",Başvuru!$A:$A,"&lt;&gt;"&amp;"",Başvuru!$F:$F,"&lt;&gt;"&amp;""))</f>
        <v/>
      </c>
      <c r="I102" s="162" t="str">
        <f>IF(C102="","",COUNTIFS(Başvuru!$D:$D,C102,Başvuru!$G:$G,"Yüksek Lisans Tezi",Başvuru!$A:$A,"&lt;&gt;"&amp;"",Başvuru!$F:$F,"&lt;&gt;"&amp;""))</f>
        <v/>
      </c>
      <c r="J102" s="163" t="str">
        <f>IF(C102="","",COUNTIFS(Başvuru!$D:$D,C102,Başvuru!$L:$L,"ONAY",Başvuru!$A:$A,"&lt;&gt;"&amp;"",Başvuru!$F:$F,"&lt;&gt;"&amp;""))</f>
        <v/>
      </c>
      <c r="K102" s="164" t="str">
        <f>IF(C102="","",COUNTIFS(Başvuru!$D:$D,C102,Başvuru!$L:$L,"DÜZELTME",Başvuru!$A:$A,"&lt;&gt;"&amp;"",Başvuru!$F:$F,"&lt;&gt;"&amp;""))</f>
        <v/>
      </c>
      <c r="L102" s="165" t="str">
        <f>IF(C102="","",COUNTIFS(Başvuru!$D:$D,C102,Başvuru!$L:$L,"KAEK",Başvuru!$A:$A,"&lt;&gt;"&amp;"",Başvuru!$F:$F,"&lt;&gt;"&amp;""))</f>
        <v/>
      </c>
      <c r="M102" s="166" t="str">
        <f>IF(C102="","",COUNTIFS(Başvuru!$D:$D,C102,Başvuru!$L:$L,"GÖRÜŞ",Başvuru!$A:$A,"&lt;&gt;"&amp;"",Başvuru!$F:$F,"&lt;&gt;"&amp;""))</f>
        <v/>
      </c>
      <c r="N102" s="167" t="str">
        <f>IF(C102="","",COUNTIFS(Başvuru!$D:$D,C102,Başvuru!$L:$L,"RET",Başvuru!$A:$A,"&lt;&gt;"&amp;"",Başvuru!$F:$F,"&lt;&gt;"&amp;""))</f>
        <v/>
      </c>
      <c r="O102" s="168" t="str">
        <f>IF(C102="","",COUNTIFS(Başvuru!$D:$D,C102,Başvuru!$L:$L,"KAPSAM DIŞI",Başvuru!$A:$A,"&lt;&gt;"&amp;"",Başvuru!$F:$F,"&lt;&gt;"&amp;""))</f>
        <v/>
      </c>
      <c r="P102" s="169" t="str">
        <f>IF(C102="","",COUNTIFS(Başvuru!$D:$D,C102,Başvuru!$L:$L,"GERİ ÇEKİLDİ",Başvuru!$A:$A,"&lt;&gt;"&amp;"",Başvuru!$F:$F,"&lt;&gt;"&amp;""))</f>
        <v/>
      </c>
      <c r="Q102" s="170" t="str">
        <f t="array" ref="Q102">IFERROR(INDEX(Başvuru!$D$2:$D$3000, MATCH(0, COUNTIF($Q$5:Q101, Başvuru!$D$2:$D$3000) + IF(Başvuru!$D$2:$D$3000="",1,0), 0)), "")</f>
        <v/>
      </c>
      <c r="R102" s="171" t="str">
        <f>IF(Q102="","",COUNTIFS(Başvuru!$D:$D,Q102,Başvuru!$A:$A,"&lt;&gt;"&amp;"",Başvuru!$F:$F,"&lt;&gt;"&amp;""))</f>
        <v/>
      </c>
      <c r="S102" s="171" t="str">
        <f>IF(R102="","",RANK(R102,$R$6:$R$155,0)+COUNTIF($R$6:R102,R102)-1)</f>
        <v/>
      </c>
    </row>
    <row r="103" spans="2:19" x14ac:dyDescent="0.25">
      <c r="B103" s="159">
        <v>98</v>
      </c>
      <c r="C103" s="160" t="str">
        <f>IFERROR(INDEX($Q$6:$Q$155,MATCH(98,$S$6:$S$155,0)),"")</f>
        <v/>
      </c>
      <c r="D103" s="161" t="str">
        <f>IF(C103="","",COUNTIFS(Başvuru!$D:$D,C103,Başvuru!$A:$A,"&lt;&gt;"&amp;"",Başvuru!$F:$F,"&lt;&gt;"&amp;""))</f>
        <v/>
      </c>
      <c r="E103" s="159" t="str">
        <f>IF(C103="","-",IF(D103&gt;0,TEXT(D103/(COUNTIFS(Başvuru!$A:$A,"&lt;&gt;",Başvuru!$F:$F,"&lt;&gt;")-1)*100,"0.0")&amp;"%","-"))</f>
        <v>-</v>
      </c>
      <c r="F103" s="162" t="str">
        <f>IF(C103="","",COUNTIFS(Başvuru!$D:$D,C103,Başvuru!$G:$G,"Bireysel Araştırma",Başvuru!$A:$A,"&lt;&gt;"&amp;"",Başvuru!$F:$F,"&lt;&gt;"&amp;""))</f>
        <v/>
      </c>
      <c r="G103" s="162" t="str">
        <f>IF(C103="","",COUNTIFS(Başvuru!$D:$D,C103,Başvuru!$G:$G,"Uzmanlık Tezi",Başvuru!$A:$A,"&lt;&gt;"&amp;"",Başvuru!$F:$F,"&lt;&gt;"&amp;""))</f>
        <v/>
      </c>
      <c r="H103" s="162" t="str">
        <f>IF(C103="","",COUNTIFS(Başvuru!$D:$D,C103,Başvuru!$G:$G,"Doktora Tezi",Başvuru!$A:$A,"&lt;&gt;"&amp;"",Başvuru!$F:$F,"&lt;&gt;"&amp;""))</f>
        <v/>
      </c>
      <c r="I103" s="162" t="str">
        <f>IF(C103="","",COUNTIFS(Başvuru!$D:$D,C103,Başvuru!$G:$G,"Yüksek Lisans Tezi",Başvuru!$A:$A,"&lt;&gt;"&amp;"",Başvuru!$F:$F,"&lt;&gt;"&amp;""))</f>
        <v/>
      </c>
      <c r="J103" s="163" t="str">
        <f>IF(C103="","",COUNTIFS(Başvuru!$D:$D,C103,Başvuru!$L:$L,"ONAY",Başvuru!$A:$A,"&lt;&gt;"&amp;"",Başvuru!$F:$F,"&lt;&gt;"&amp;""))</f>
        <v/>
      </c>
      <c r="K103" s="164" t="str">
        <f>IF(C103="","",COUNTIFS(Başvuru!$D:$D,C103,Başvuru!$L:$L,"DÜZELTME",Başvuru!$A:$A,"&lt;&gt;"&amp;"",Başvuru!$F:$F,"&lt;&gt;"&amp;""))</f>
        <v/>
      </c>
      <c r="L103" s="165" t="str">
        <f>IF(C103="","",COUNTIFS(Başvuru!$D:$D,C103,Başvuru!$L:$L,"KAEK",Başvuru!$A:$A,"&lt;&gt;"&amp;"",Başvuru!$F:$F,"&lt;&gt;"&amp;""))</f>
        <v/>
      </c>
      <c r="M103" s="166" t="str">
        <f>IF(C103="","",COUNTIFS(Başvuru!$D:$D,C103,Başvuru!$L:$L,"GÖRÜŞ",Başvuru!$A:$A,"&lt;&gt;"&amp;"",Başvuru!$F:$F,"&lt;&gt;"&amp;""))</f>
        <v/>
      </c>
      <c r="N103" s="167" t="str">
        <f>IF(C103="","",COUNTIFS(Başvuru!$D:$D,C103,Başvuru!$L:$L,"RET",Başvuru!$A:$A,"&lt;&gt;"&amp;"",Başvuru!$F:$F,"&lt;&gt;"&amp;""))</f>
        <v/>
      </c>
      <c r="O103" s="168" t="str">
        <f>IF(C103="","",COUNTIFS(Başvuru!$D:$D,C103,Başvuru!$L:$L,"KAPSAM DIŞI",Başvuru!$A:$A,"&lt;&gt;"&amp;"",Başvuru!$F:$F,"&lt;&gt;"&amp;""))</f>
        <v/>
      </c>
      <c r="P103" s="169" t="str">
        <f>IF(C103="","",COUNTIFS(Başvuru!$D:$D,C103,Başvuru!$L:$L,"GERİ ÇEKİLDİ",Başvuru!$A:$A,"&lt;&gt;"&amp;"",Başvuru!$F:$F,"&lt;&gt;"&amp;""))</f>
        <v/>
      </c>
      <c r="Q103" s="170" t="str">
        <f t="array" ref="Q103">IFERROR(INDEX(Başvuru!$D$2:$D$3000, MATCH(0, COUNTIF($Q$5:Q102, Başvuru!$D$2:$D$3000) + IF(Başvuru!$D$2:$D$3000="",1,0), 0)), "")</f>
        <v/>
      </c>
      <c r="R103" s="171" t="str">
        <f>IF(Q103="","",COUNTIFS(Başvuru!$D:$D,Q103,Başvuru!$A:$A,"&lt;&gt;"&amp;"",Başvuru!$F:$F,"&lt;&gt;"&amp;""))</f>
        <v/>
      </c>
      <c r="S103" s="171" t="str">
        <f>IF(R103="","",RANK(R103,$R$6:$R$155,0)+COUNTIF($R$6:R103,R103)-1)</f>
        <v/>
      </c>
    </row>
    <row r="104" spans="2:19" x14ac:dyDescent="0.25">
      <c r="B104" s="159">
        <v>99</v>
      </c>
      <c r="C104" s="160" t="str">
        <f>IFERROR(INDEX($Q$6:$Q$155,MATCH(99,$S$6:$S$155,0)),"")</f>
        <v/>
      </c>
      <c r="D104" s="161" t="str">
        <f>IF(C104="","",COUNTIFS(Başvuru!$D:$D,C104,Başvuru!$A:$A,"&lt;&gt;"&amp;"",Başvuru!$F:$F,"&lt;&gt;"&amp;""))</f>
        <v/>
      </c>
      <c r="E104" s="159" t="str">
        <f>IF(C104="","-",IF(D104&gt;0,TEXT(D104/(COUNTIFS(Başvuru!$A:$A,"&lt;&gt;",Başvuru!$F:$F,"&lt;&gt;")-1)*100,"0.0")&amp;"%","-"))</f>
        <v>-</v>
      </c>
      <c r="F104" s="162" t="str">
        <f>IF(C104="","",COUNTIFS(Başvuru!$D:$D,C104,Başvuru!$G:$G,"Bireysel Araştırma",Başvuru!$A:$A,"&lt;&gt;"&amp;"",Başvuru!$F:$F,"&lt;&gt;"&amp;""))</f>
        <v/>
      </c>
      <c r="G104" s="162" t="str">
        <f>IF(C104="","",COUNTIFS(Başvuru!$D:$D,C104,Başvuru!$G:$G,"Uzmanlık Tezi",Başvuru!$A:$A,"&lt;&gt;"&amp;"",Başvuru!$F:$F,"&lt;&gt;"&amp;""))</f>
        <v/>
      </c>
      <c r="H104" s="162" t="str">
        <f>IF(C104="","",COUNTIFS(Başvuru!$D:$D,C104,Başvuru!$G:$G,"Doktora Tezi",Başvuru!$A:$A,"&lt;&gt;"&amp;"",Başvuru!$F:$F,"&lt;&gt;"&amp;""))</f>
        <v/>
      </c>
      <c r="I104" s="162" t="str">
        <f>IF(C104="","",COUNTIFS(Başvuru!$D:$D,C104,Başvuru!$G:$G,"Yüksek Lisans Tezi",Başvuru!$A:$A,"&lt;&gt;"&amp;"",Başvuru!$F:$F,"&lt;&gt;"&amp;""))</f>
        <v/>
      </c>
      <c r="J104" s="163" t="str">
        <f>IF(C104="","",COUNTIFS(Başvuru!$D:$D,C104,Başvuru!$L:$L,"ONAY",Başvuru!$A:$A,"&lt;&gt;"&amp;"",Başvuru!$F:$F,"&lt;&gt;"&amp;""))</f>
        <v/>
      </c>
      <c r="K104" s="164" t="str">
        <f>IF(C104="","",COUNTIFS(Başvuru!$D:$D,C104,Başvuru!$L:$L,"DÜZELTME",Başvuru!$A:$A,"&lt;&gt;"&amp;"",Başvuru!$F:$F,"&lt;&gt;"&amp;""))</f>
        <v/>
      </c>
      <c r="L104" s="165" t="str">
        <f>IF(C104="","",COUNTIFS(Başvuru!$D:$D,C104,Başvuru!$L:$L,"KAEK",Başvuru!$A:$A,"&lt;&gt;"&amp;"",Başvuru!$F:$F,"&lt;&gt;"&amp;""))</f>
        <v/>
      </c>
      <c r="M104" s="166" t="str">
        <f>IF(C104="","",COUNTIFS(Başvuru!$D:$D,C104,Başvuru!$L:$L,"GÖRÜŞ",Başvuru!$A:$A,"&lt;&gt;"&amp;"",Başvuru!$F:$F,"&lt;&gt;"&amp;""))</f>
        <v/>
      </c>
      <c r="N104" s="167" t="str">
        <f>IF(C104="","",COUNTIFS(Başvuru!$D:$D,C104,Başvuru!$L:$L,"RET",Başvuru!$A:$A,"&lt;&gt;"&amp;"",Başvuru!$F:$F,"&lt;&gt;"&amp;""))</f>
        <v/>
      </c>
      <c r="O104" s="168" t="str">
        <f>IF(C104="","",COUNTIFS(Başvuru!$D:$D,C104,Başvuru!$L:$L,"KAPSAM DIŞI",Başvuru!$A:$A,"&lt;&gt;"&amp;"",Başvuru!$F:$F,"&lt;&gt;"&amp;""))</f>
        <v/>
      </c>
      <c r="P104" s="169" t="str">
        <f>IF(C104="","",COUNTIFS(Başvuru!$D:$D,C104,Başvuru!$L:$L,"GERİ ÇEKİLDİ",Başvuru!$A:$A,"&lt;&gt;"&amp;"",Başvuru!$F:$F,"&lt;&gt;"&amp;""))</f>
        <v/>
      </c>
      <c r="Q104" s="170" t="str">
        <f t="array" ref="Q104">IFERROR(INDEX(Başvuru!$D$2:$D$3000, MATCH(0, COUNTIF($Q$5:Q103, Başvuru!$D$2:$D$3000) + IF(Başvuru!$D$2:$D$3000="",1,0), 0)), "")</f>
        <v/>
      </c>
      <c r="R104" s="171" t="str">
        <f>IF(Q104="","",COUNTIFS(Başvuru!$D:$D,Q104,Başvuru!$A:$A,"&lt;&gt;"&amp;"",Başvuru!$F:$F,"&lt;&gt;"&amp;""))</f>
        <v/>
      </c>
      <c r="S104" s="171" t="str">
        <f>IF(R104="","",RANK(R104,$R$6:$R$155,0)+COUNTIF($R$6:R104,R104)-1)</f>
        <v/>
      </c>
    </row>
    <row r="105" spans="2:19" x14ac:dyDescent="0.25">
      <c r="B105" s="159">
        <v>100</v>
      </c>
      <c r="C105" s="160" t="str">
        <f>IFERROR(INDEX($Q$6:$Q$155,MATCH(100,$S$6:$S$155,0)),"")</f>
        <v/>
      </c>
      <c r="D105" s="161" t="str">
        <f>IF(C105="","",COUNTIFS(Başvuru!$D:$D,C105,Başvuru!$A:$A,"&lt;&gt;"&amp;"",Başvuru!$F:$F,"&lt;&gt;"&amp;""))</f>
        <v/>
      </c>
      <c r="E105" s="159" t="str">
        <f>IF(C105="","-",IF(D105&gt;0,TEXT(D105/(COUNTIFS(Başvuru!$A:$A,"&lt;&gt;",Başvuru!$F:$F,"&lt;&gt;")-1)*100,"0.0")&amp;"%","-"))</f>
        <v>-</v>
      </c>
      <c r="F105" s="162" t="str">
        <f>IF(C105="","",COUNTIFS(Başvuru!$D:$D,C105,Başvuru!$G:$G,"Bireysel Araştırma",Başvuru!$A:$A,"&lt;&gt;"&amp;"",Başvuru!$F:$F,"&lt;&gt;"&amp;""))</f>
        <v/>
      </c>
      <c r="G105" s="162" t="str">
        <f>IF(C105="","",COUNTIFS(Başvuru!$D:$D,C105,Başvuru!$G:$G,"Uzmanlık Tezi",Başvuru!$A:$A,"&lt;&gt;"&amp;"",Başvuru!$F:$F,"&lt;&gt;"&amp;""))</f>
        <v/>
      </c>
      <c r="H105" s="162" t="str">
        <f>IF(C105="","",COUNTIFS(Başvuru!$D:$D,C105,Başvuru!$G:$G,"Doktora Tezi",Başvuru!$A:$A,"&lt;&gt;"&amp;"",Başvuru!$F:$F,"&lt;&gt;"&amp;""))</f>
        <v/>
      </c>
      <c r="I105" s="162" t="str">
        <f>IF(C105="","",COUNTIFS(Başvuru!$D:$D,C105,Başvuru!$G:$G,"Yüksek Lisans Tezi",Başvuru!$A:$A,"&lt;&gt;"&amp;"",Başvuru!$F:$F,"&lt;&gt;"&amp;""))</f>
        <v/>
      </c>
      <c r="J105" s="163" t="str">
        <f>IF(C105="","",COUNTIFS(Başvuru!$D:$D,C105,Başvuru!$L:$L,"ONAY",Başvuru!$A:$A,"&lt;&gt;"&amp;"",Başvuru!$F:$F,"&lt;&gt;"&amp;""))</f>
        <v/>
      </c>
      <c r="K105" s="164" t="str">
        <f>IF(C105="","",COUNTIFS(Başvuru!$D:$D,C105,Başvuru!$L:$L,"DÜZELTME",Başvuru!$A:$A,"&lt;&gt;"&amp;"",Başvuru!$F:$F,"&lt;&gt;"&amp;""))</f>
        <v/>
      </c>
      <c r="L105" s="165" t="str">
        <f>IF(C105="","",COUNTIFS(Başvuru!$D:$D,C105,Başvuru!$L:$L,"KAEK",Başvuru!$A:$A,"&lt;&gt;"&amp;"",Başvuru!$F:$F,"&lt;&gt;"&amp;""))</f>
        <v/>
      </c>
      <c r="M105" s="166" t="str">
        <f>IF(C105="","",COUNTIFS(Başvuru!$D:$D,C105,Başvuru!$L:$L,"GÖRÜŞ",Başvuru!$A:$A,"&lt;&gt;"&amp;"",Başvuru!$F:$F,"&lt;&gt;"&amp;""))</f>
        <v/>
      </c>
      <c r="N105" s="167" t="str">
        <f>IF(C105="","",COUNTIFS(Başvuru!$D:$D,C105,Başvuru!$L:$L,"RET",Başvuru!$A:$A,"&lt;&gt;"&amp;"",Başvuru!$F:$F,"&lt;&gt;"&amp;""))</f>
        <v/>
      </c>
      <c r="O105" s="168" t="str">
        <f>IF(C105="","",COUNTIFS(Başvuru!$D:$D,C105,Başvuru!$L:$L,"KAPSAM DIŞI",Başvuru!$A:$A,"&lt;&gt;"&amp;"",Başvuru!$F:$F,"&lt;&gt;"&amp;""))</f>
        <v/>
      </c>
      <c r="P105" s="169" t="str">
        <f>IF(C105="","",COUNTIFS(Başvuru!$D:$D,C105,Başvuru!$L:$L,"GERİ ÇEKİLDİ",Başvuru!$A:$A,"&lt;&gt;"&amp;"",Başvuru!$F:$F,"&lt;&gt;"&amp;""))</f>
        <v/>
      </c>
      <c r="Q105" s="170" t="str">
        <f t="array" ref="Q105">IFERROR(INDEX(Başvuru!$D$2:$D$3000, MATCH(0, COUNTIF($Q$5:Q104, Başvuru!$D$2:$D$3000) + IF(Başvuru!$D$2:$D$3000="",1,0), 0)), "")</f>
        <v/>
      </c>
      <c r="R105" s="171" t="str">
        <f>IF(Q105="","",COUNTIFS(Başvuru!$D:$D,Q105,Başvuru!$A:$A,"&lt;&gt;"&amp;"",Başvuru!$F:$F,"&lt;&gt;"&amp;""))</f>
        <v/>
      </c>
      <c r="S105" s="171" t="str">
        <f>IF(R105="","",RANK(R105,$R$6:$R$155,0)+COUNTIF($R$6:R105,R105)-1)</f>
        <v/>
      </c>
    </row>
    <row r="106" spans="2:19" x14ac:dyDescent="0.25">
      <c r="B106" s="159">
        <v>101</v>
      </c>
      <c r="C106" s="160" t="str">
        <f>IFERROR(INDEX($Q$6:$Q$155,MATCH(101,$S$6:$S$155,0)),"")</f>
        <v/>
      </c>
      <c r="D106" s="161" t="str">
        <f>IF(C106="","",COUNTIFS(Başvuru!$D:$D,C106,Başvuru!$A:$A,"&lt;&gt;"&amp;"",Başvuru!$F:$F,"&lt;&gt;"&amp;""))</f>
        <v/>
      </c>
      <c r="E106" s="159" t="str">
        <f>IF(C106="","-",IF(D106&gt;0,TEXT(D106/(COUNTIFS(Başvuru!$A:$A,"&lt;&gt;",Başvuru!$F:$F,"&lt;&gt;")-1)*100,"0.0")&amp;"%","-"))</f>
        <v>-</v>
      </c>
      <c r="F106" s="162" t="str">
        <f>IF(C106="","",COUNTIFS(Başvuru!$D:$D,C106,Başvuru!$G:$G,"Bireysel Araştırma",Başvuru!$A:$A,"&lt;&gt;"&amp;"",Başvuru!$F:$F,"&lt;&gt;"&amp;""))</f>
        <v/>
      </c>
      <c r="G106" s="162" t="str">
        <f>IF(C106="","",COUNTIFS(Başvuru!$D:$D,C106,Başvuru!$G:$G,"Uzmanlık Tezi",Başvuru!$A:$A,"&lt;&gt;"&amp;"",Başvuru!$F:$F,"&lt;&gt;"&amp;""))</f>
        <v/>
      </c>
      <c r="H106" s="162" t="str">
        <f>IF(C106="","",COUNTIFS(Başvuru!$D:$D,C106,Başvuru!$G:$G,"Doktora Tezi",Başvuru!$A:$A,"&lt;&gt;"&amp;"",Başvuru!$F:$F,"&lt;&gt;"&amp;""))</f>
        <v/>
      </c>
      <c r="I106" s="162" t="str">
        <f>IF(C106="","",COUNTIFS(Başvuru!$D:$D,C106,Başvuru!$G:$G,"Yüksek Lisans Tezi",Başvuru!$A:$A,"&lt;&gt;"&amp;"",Başvuru!$F:$F,"&lt;&gt;"&amp;""))</f>
        <v/>
      </c>
      <c r="J106" s="163" t="str">
        <f>IF(C106="","",COUNTIFS(Başvuru!$D:$D,C106,Başvuru!$L:$L,"ONAY",Başvuru!$A:$A,"&lt;&gt;"&amp;"",Başvuru!$F:$F,"&lt;&gt;"&amp;""))</f>
        <v/>
      </c>
      <c r="K106" s="164" t="str">
        <f>IF(C106="","",COUNTIFS(Başvuru!$D:$D,C106,Başvuru!$L:$L,"DÜZELTME",Başvuru!$A:$A,"&lt;&gt;"&amp;"",Başvuru!$F:$F,"&lt;&gt;"&amp;""))</f>
        <v/>
      </c>
      <c r="L106" s="165" t="str">
        <f>IF(C106="","",COUNTIFS(Başvuru!$D:$D,C106,Başvuru!$L:$L,"KAEK",Başvuru!$A:$A,"&lt;&gt;"&amp;"",Başvuru!$F:$F,"&lt;&gt;"&amp;""))</f>
        <v/>
      </c>
      <c r="M106" s="166" t="str">
        <f>IF(C106="","",COUNTIFS(Başvuru!$D:$D,C106,Başvuru!$L:$L,"GÖRÜŞ",Başvuru!$A:$A,"&lt;&gt;"&amp;"",Başvuru!$F:$F,"&lt;&gt;"&amp;""))</f>
        <v/>
      </c>
      <c r="N106" s="167" t="str">
        <f>IF(C106="","",COUNTIFS(Başvuru!$D:$D,C106,Başvuru!$L:$L,"RET",Başvuru!$A:$A,"&lt;&gt;"&amp;"",Başvuru!$F:$F,"&lt;&gt;"&amp;""))</f>
        <v/>
      </c>
      <c r="O106" s="168" t="str">
        <f>IF(C106="","",COUNTIFS(Başvuru!$D:$D,C106,Başvuru!$L:$L,"KAPSAM DIŞI",Başvuru!$A:$A,"&lt;&gt;"&amp;"",Başvuru!$F:$F,"&lt;&gt;"&amp;""))</f>
        <v/>
      </c>
      <c r="P106" s="169" t="str">
        <f>IF(C106="","",COUNTIFS(Başvuru!$D:$D,C106,Başvuru!$L:$L,"GERİ ÇEKİLDİ",Başvuru!$A:$A,"&lt;&gt;"&amp;"",Başvuru!$F:$F,"&lt;&gt;"&amp;""))</f>
        <v/>
      </c>
      <c r="Q106" s="170" t="str">
        <f t="array" ref="Q106">IFERROR(INDEX(Başvuru!$D$2:$D$3000, MATCH(0, COUNTIF($Q$5:Q105, Başvuru!$D$2:$D$3000) + IF(Başvuru!$D$2:$D$3000="",1,0), 0)), "")</f>
        <v/>
      </c>
      <c r="R106" s="171" t="str">
        <f>IF(Q106="","",COUNTIFS(Başvuru!$D:$D,Q106,Başvuru!$A:$A,"&lt;&gt;"&amp;"",Başvuru!$F:$F,"&lt;&gt;"&amp;""))</f>
        <v/>
      </c>
      <c r="S106" s="171" t="str">
        <f>IF(R106="","",RANK(R106,$R$6:$R$155,0)+COUNTIF($R$6:R106,R106)-1)</f>
        <v/>
      </c>
    </row>
    <row r="107" spans="2:19" x14ac:dyDescent="0.25">
      <c r="B107" s="159">
        <v>102</v>
      </c>
      <c r="C107" s="160" t="str">
        <f>IFERROR(INDEX($Q$6:$Q$155,MATCH(102,$S$6:$S$155,0)),"")</f>
        <v/>
      </c>
      <c r="D107" s="161" t="str">
        <f>IF(C107="","",COUNTIFS(Başvuru!$D:$D,C107,Başvuru!$A:$A,"&lt;&gt;"&amp;"",Başvuru!$F:$F,"&lt;&gt;"&amp;""))</f>
        <v/>
      </c>
      <c r="E107" s="159" t="str">
        <f>IF(C107="","-",IF(D107&gt;0,TEXT(D107/(COUNTIFS(Başvuru!$A:$A,"&lt;&gt;",Başvuru!$F:$F,"&lt;&gt;")-1)*100,"0.0")&amp;"%","-"))</f>
        <v>-</v>
      </c>
      <c r="F107" s="162" t="str">
        <f>IF(C107="","",COUNTIFS(Başvuru!$D:$D,C107,Başvuru!$G:$G,"Bireysel Araştırma",Başvuru!$A:$A,"&lt;&gt;"&amp;"",Başvuru!$F:$F,"&lt;&gt;"&amp;""))</f>
        <v/>
      </c>
      <c r="G107" s="162" t="str">
        <f>IF(C107="","",COUNTIFS(Başvuru!$D:$D,C107,Başvuru!$G:$G,"Uzmanlık Tezi",Başvuru!$A:$A,"&lt;&gt;"&amp;"",Başvuru!$F:$F,"&lt;&gt;"&amp;""))</f>
        <v/>
      </c>
      <c r="H107" s="162" t="str">
        <f>IF(C107="","",COUNTIFS(Başvuru!$D:$D,C107,Başvuru!$G:$G,"Doktora Tezi",Başvuru!$A:$A,"&lt;&gt;"&amp;"",Başvuru!$F:$F,"&lt;&gt;"&amp;""))</f>
        <v/>
      </c>
      <c r="I107" s="162" t="str">
        <f>IF(C107="","",COUNTIFS(Başvuru!$D:$D,C107,Başvuru!$G:$G,"Yüksek Lisans Tezi",Başvuru!$A:$A,"&lt;&gt;"&amp;"",Başvuru!$F:$F,"&lt;&gt;"&amp;""))</f>
        <v/>
      </c>
      <c r="J107" s="163" t="str">
        <f>IF(C107="","",COUNTIFS(Başvuru!$D:$D,C107,Başvuru!$L:$L,"ONAY",Başvuru!$A:$A,"&lt;&gt;"&amp;"",Başvuru!$F:$F,"&lt;&gt;"&amp;""))</f>
        <v/>
      </c>
      <c r="K107" s="164" t="str">
        <f>IF(C107="","",COUNTIFS(Başvuru!$D:$D,C107,Başvuru!$L:$L,"DÜZELTME",Başvuru!$A:$A,"&lt;&gt;"&amp;"",Başvuru!$F:$F,"&lt;&gt;"&amp;""))</f>
        <v/>
      </c>
      <c r="L107" s="165" t="str">
        <f>IF(C107="","",COUNTIFS(Başvuru!$D:$D,C107,Başvuru!$L:$L,"KAEK",Başvuru!$A:$A,"&lt;&gt;"&amp;"",Başvuru!$F:$F,"&lt;&gt;"&amp;""))</f>
        <v/>
      </c>
      <c r="M107" s="166" t="str">
        <f>IF(C107="","",COUNTIFS(Başvuru!$D:$D,C107,Başvuru!$L:$L,"GÖRÜŞ",Başvuru!$A:$A,"&lt;&gt;"&amp;"",Başvuru!$F:$F,"&lt;&gt;"&amp;""))</f>
        <v/>
      </c>
      <c r="N107" s="167" t="str">
        <f>IF(C107="","",COUNTIFS(Başvuru!$D:$D,C107,Başvuru!$L:$L,"RET",Başvuru!$A:$A,"&lt;&gt;"&amp;"",Başvuru!$F:$F,"&lt;&gt;"&amp;""))</f>
        <v/>
      </c>
      <c r="O107" s="168" t="str">
        <f>IF(C107="","",COUNTIFS(Başvuru!$D:$D,C107,Başvuru!$L:$L,"KAPSAM DIŞI",Başvuru!$A:$A,"&lt;&gt;"&amp;"",Başvuru!$F:$F,"&lt;&gt;"&amp;""))</f>
        <v/>
      </c>
      <c r="P107" s="169" t="str">
        <f>IF(C107="","",COUNTIFS(Başvuru!$D:$D,C107,Başvuru!$L:$L,"GERİ ÇEKİLDİ",Başvuru!$A:$A,"&lt;&gt;"&amp;"",Başvuru!$F:$F,"&lt;&gt;"&amp;""))</f>
        <v/>
      </c>
      <c r="Q107" s="170" t="str">
        <f t="array" ref="Q107">IFERROR(INDEX(Başvuru!$D$2:$D$3000, MATCH(0, COUNTIF($Q$5:Q106, Başvuru!$D$2:$D$3000) + IF(Başvuru!$D$2:$D$3000="",1,0), 0)), "")</f>
        <v/>
      </c>
      <c r="R107" s="171" t="str">
        <f>IF(Q107="","",COUNTIFS(Başvuru!$D:$D,Q107,Başvuru!$A:$A,"&lt;&gt;"&amp;"",Başvuru!$F:$F,"&lt;&gt;"&amp;""))</f>
        <v/>
      </c>
      <c r="S107" s="171" t="str">
        <f>IF(R107="","",RANK(R107,$R$6:$R$155,0)+COUNTIF($R$6:R107,R107)-1)</f>
        <v/>
      </c>
    </row>
    <row r="108" spans="2:19" x14ac:dyDescent="0.25">
      <c r="B108" s="159">
        <v>103</v>
      </c>
      <c r="C108" s="160" t="str">
        <f>IFERROR(INDEX($Q$6:$Q$155,MATCH(103,$S$6:$S$155,0)),"")</f>
        <v/>
      </c>
      <c r="D108" s="161" t="str">
        <f>IF(C108="","",COUNTIFS(Başvuru!$D:$D,C108,Başvuru!$A:$A,"&lt;&gt;"&amp;"",Başvuru!$F:$F,"&lt;&gt;"&amp;""))</f>
        <v/>
      </c>
      <c r="E108" s="159" t="str">
        <f>IF(C108="","-",IF(D108&gt;0,TEXT(D108/(COUNTIFS(Başvuru!$A:$A,"&lt;&gt;",Başvuru!$F:$F,"&lt;&gt;")-1)*100,"0.0")&amp;"%","-"))</f>
        <v>-</v>
      </c>
      <c r="F108" s="162" t="str">
        <f>IF(C108="","",COUNTIFS(Başvuru!$D:$D,C108,Başvuru!$G:$G,"Bireysel Araştırma",Başvuru!$A:$A,"&lt;&gt;"&amp;"",Başvuru!$F:$F,"&lt;&gt;"&amp;""))</f>
        <v/>
      </c>
      <c r="G108" s="162" t="str">
        <f>IF(C108="","",COUNTIFS(Başvuru!$D:$D,C108,Başvuru!$G:$G,"Uzmanlık Tezi",Başvuru!$A:$A,"&lt;&gt;"&amp;"",Başvuru!$F:$F,"&lt;&gt;"&amp;""))</f>
        <v/>
      </c>
      <c r="H108" s="162" t="str">
        <f>IF(C108="","",COUNTIFS(Başvuru!$D:$D,C108,Başvuru!$G:$G,"Doktora Tezi",Başvuru!$A:$A,"&lt;&gt;"&amp;"",Başvuru!$F:$F,"&lt;&gt;"&amp;""))</f>
        <v/>
      </c>
      <c r="I108" s="162" t="str">
        <f>IF(C108="","",COUNTIFS(Başvuru!$D:$D,C108,Başvuru!$G:$G,"Yüksek Lisans Tezi",Başvuru!$A:$A,"&lt;&gt;"&amp;"",Başvuru!$F:$F,"&lt;&gt;"&amp;""))</f>
        <v/>
      </c>
      <c r="J108" s="163" t="str">
        <f>IF(C108="","",COUNTIFS(Başvuru!$D:$D,C108,Başvuru!$L:$L,"ONAY",Başvuru!$A:$A,"&lt;&gt;"&amp;"",Başvuru!$F:$F,"&lt;&gt;"&amp;""))</f>
        <v/>
      </c>
      <c r="K108" s="164" t="str">
        <f>IF(C108="","",COUNTIFS(Başvuru!$D:$D,C108,Başvuru!$L:$L,"DÜZELTME",Başvuru!$A:$A,"&lt;&gt;"&amp;"",Başvuru!$F:$F,"&lt;&gt;"&amp;""))</f>
        <v/>
      </c>
      <c r="L108" s="165" t="str">
        <f>IF(C108="","",COUNTIFS(Başvuru!$D:$D,C108,Başvuru!$L:$L,"KAEK",Başvuru!$A:$A,"&lt;&gt;"&amp;"",Başvuru!$F:$F,"&lt;&gt;"&amp;""))</f>
        <v/>
      </c>
      <c r="M108" s="166" t="str">
        <f>IF(C108="","",COUNTIFS(Başvuru!$D:$D,C108,Başvuru!$L:$L,"GÖRÜŞ",Başvuru!$A:$A,"&lt;&gt;"&amp;"",Başvuru!$F:$F,"&lt;&gt;"&amp;""))</f>
        <v/>
      </c>
      <c r="N108" s="167" t="str">
        <f>IF(C108="","",COUNTIFS(Başvuru!$D:$D,C108,Başvuru!$L:$L,"RET",Başvuru!$A:$A,"&lt;&gt;"&amp;"",Başvuru!$F:$F,"&lt;&gt;"&amp;""))</f>
        <v/>
      </c>
      <c r="O108" s="168" t="str">
        <f>IF(C108="","",COUNTIFS(Başvuru!$D:$D,C108,Başvuru!$L:$L,"KAPSAM DIŞI",Başvuru!$A:$A,"&lt;&gt;"&amp;"",Başvuru!$F:$F,"&lt;&gt;"&amp;""))</f>
        <v/>
      </c>
      <c r="P108" s="169" t="str">
        <f>IF(C108="","",COUNTIFS(Başvuru!$D:$D,C108,Başvuru!$L:$L,"GERİ ÇEKİLDİ",Başvuru!$A:$A,"&lt;&gt;"&amp;"",Başvuru!$F:$F,"&lt;&gt;"&amp;""))</f>
        <v/>
      </c>
      <c r="Q108" s="170" t="str">
        <f t="array" ref="Q108">IFERROR(INDEX(Başvuru!$D$2:$D$3000, MATCH(0, COUNTIF($Q$5:Q107, Başvuru!$D$2:$D$3000) + IF(Başvuru!$D$2:$D$3000="",1,0), 0)), "")</f>
        <v/>
      </c>
      <c r="R108" s="171" t="str">
        <f>IF(Q108="","",COUNTIFS(Başvuru!$D:$D,Q108,Başvuru!$A:$A,"&lt;&gt;"&amp;"",Başvuru!$F:$F,"&lt;&gt;"&amp;""))</f>
        <v/>
      </c>
      <c r="S108" s="171" t="str">
        <f>IF(R108="","",RANK(R108,$R$6:$R$155,0)+COUNTIF($R$6:R108,R108)-1)</f>
        <v/>
      </c>
    </row>
    <row r="109" spans="2:19" x14ac:dyDescent="0.25">
      <c r="B109" s="159">
        <v>104</v>
      </c>
      <c r="C109" s="160" t="str">
        <f>IFERROR(INDEX($Q$6:$Q$155,MATCH(104,$S$6:$S$155,0)),"")</f>
        <v/>
      </c>
      <c r="D109" s="161" t="str">
        <f>IF(C109="","",COUNTIFS(Başvuru!$D:$D,C109,Başvuru!$A:$A,"&lt;&gt;"&amp;"",Başvuru!$F:$F,"&lt;&gt;"&amp;""))</f>
        <v/>
      </c>
      <c r="E109" s="159" t="str">
        <f>IF(C109="","-",IF(D109&gt;0,TEXT(D109/(COUNTIFS(Başvuru!$A:$A,"&lt;&gt;",Başvuru!$F:$F,"&lt;&gt;")-1)*100,"0.0")&amp;"%","-"))</f>
        <v>-</v>
      </c>
      <c r="F109" s="162" t="str">
        <f>IF(C109="","",COUNTIFS(Başvuru!$D:$D,C109,Başvuru!$G:$G,"Bireysel Araştırma",Başvuru!$A:$A,"&lt;&gt;"&amp;"",Başvuru!$F:$F,"&lt;&gt;"&amp;""))</f>
        <v/>
      </c>
      <c r="G109" s="162" t="str">
        <f>IF(C109="","",COUNTIFS(Başvuru!$D:$D,C109,Başvuru!$G:$G,"Uzmanlık Tezi",Başvuru!$A:$A,"&lt;&gt;"&amp;"",Başvuru!$F:$F,"&lt;&gt;"&amp;""))</f>
        <v/>
      </c>
      <c r="H109" s="162" t="str">
        <f>IF(C109="","",COUNTIFS(Başvuru!$D:$D,C109,Başvuru!$G:$G,"Doktora Tezi",Başvuru!$A:$A,"&lt;&gt;"&amp;"",Başvuru!$F:$F,"&lt;&gt;"&amp;""))</f>
        <v/>
      </c>
      <c r="I109" s="162" t="str">
        <f>IF(C109="","",COUNTIFS(Başvuru!$D:$D,C109,Başvuru!$G:$G,"Yüksek Lisans Tezi",Başvuru!$A:$A,"&lt;&gt;"&amp;"",Başvuru!$F:$F,"&lt;&gt;"&amp;""))</f>
        <v/>
      </c>
      <c r="J109" s="163" t="str">
        <f>IF(C109="","",COUNTIFS(Başvuru!$D:$D,C109,Başvuru!$L:$L,"ONAY",Başvuru!$A:$A,"&lt;&gt;"&amp;"",Başvuru!$F:$F,"&lt;&gt;"&amp;""))</f>
        <v/>
      </c>
      <c r="K109" s="164" t="str">
        <f>IF(C109="","",COUNTIFS(Başvuru!$D:$D,C109,Başvuru!$L:$L,"DÜZELTME",Başvuru!$A:$A,"&lt;&gt;"&amp;"",Başvuru!$F:$F,"&lt;&gt;"&amp;""))</f>
        <v/>
      </c>
      <c r="L109" s="165" t="str">
        <f>IF(C109="","",COUNTIFS(Başvuru!$D:$D,C109,Başvuru!$L:$L,"KAEK",Başvuru!$A:$A,"&lt;&gt;"&amp;"",Başvuru!$F:$F,"&lt;&gt;"&amp;""))</f>
        <v/>
      </c>
      <c r="M109" s="166" t="str">
        <f>IF(C109="","",COUNTIFS(Başvuru!$D:$D,C109,Başvuru!$L:$L,"GÖRÜŞ",Başvuru!$A:$A,"&lt;&gt;"&amp;"",Başvuru!$F:$F,"&lt;&gt;"&amp;""))</f>
        <v/>
      </c>
      <c r="N109" s="167" t="str">
        <f>IF(C109="","",COUNTIFS(Başvuru!$D:$D,C109,Başvuru!$L:$L,"RET",Başvuru!$A:$A,"&lt;&gt;"&amp;"",Başvuru!$F:$F,"&lt;&gt;"&amp;""))</f>
        <v/>
      </c>
      <c r="O109" s="168" t="str">
        <f>IF(C109="","",COUNTIFS(Başvuru!$D:$D,C109,Başvuru!$L:$L,"KAPSAM DIŞI",Başvuru!$A:$A,"&lt;&gt;"&amp;"",Başvuru!$F:$F,"&lt;&gt;"&amp;""))</f>
        <v/>
      </c>
      <c r="P109" s="169" t="str">
        <f>IF(C109="","",COUNTIFS(Başvuru!$D:$D,C109,Başvuru!$L:$L,"GERİ ÇEKİLDİ",Başvuru!$A:$A,"&lt;&gt;"&amp;"",Başvuru!$F:$F,"&lt;&gt;"&amp;""))</f>
        <v/>
      </c>
      <c r="Q109" s="170" t="str">
        <f t="array" ref="Q109">IFERROR(INDEX(Başvuru!$D$2:$D$3000, MATCH(0, COUNTIF($Q$5:Q108, Başvuru!$D$2:$D$3000) + IF(Başvuru!$D$2:$D$3000="",1,0), 0)), "")</f>
        <v/>
      </c>
      <c r="R109" s="171" t="str">
        <f>IF(Q109="","",COUNTIFS(Başvuru!$D:$D,Q109,Başvuru!$A:$A,"&lt;&gt;"&amp;"",Başvuru!$F:$F,"&lt;&gt;"&amp;""))</f>
        <v/>
      </c>
      <c r="S109" s="171" t="str">
        <f>IF(R109="","",RANK(R109,$R$6:$R$155,0)+COUNTIF($R$6:R109,R109)-1)</f>
        <v/>
      </c>
    </row>
    <row r="110" spans="2:19" x14ac:dyDescent="0.25">
      <c r="B110" s="159">
        <v>105</v>
      </c>
      <c r="C110" s="160" t="str">
        <f>IFERROR(INDEX($Q$6:$Q$155,MATCH(105,$S$6:$S$155,0)),"")</f>
        <v/>
      </c>
      <c r="D110" s="161" t="str">
        <f>IF(C110="","",COUNTIFS(Başvuru!$D:$D,C110,Başvuru!$A:$A,"&lt;&gt;"&amp;"",Başvuru!$F:$F,"&lt;&gt;"&amp;""))</f>
        <v/>
      </c>
      <c r="E110" s="159" t="str">
        <f>IF(C110="","-",IF(D110&gt;0,TEXT(D110/(COUNTIFS(Başvuru!$A:$A,"&lt;&gt;",Başvuru!$F:$F,"&lt;&gt;")-1)*100,"0.0")&amp;"%","-"))</f>
        <v>-</v>
      </c>
      <c r="F110" s="162" t="str">
        <f>IF(C110="","",COUNTIFS(Başvuru!$D:$D,C110,Başvuru!$G:$G,"Bireysel Araştırma",Başvuru!$A:$A,"&lt;&gt;"&amp;"",Başvuru!$F:$F,"&lt;&gt;"&amp;""))</f>
        <v/>
      </c>
      <c r="G110" s="162" t="str">
        <f>IF(C110="","",COUNTIFS(Başvuru!$D:$D,C110,Başvuru!$G:$G,"Uzmanlık Tezi",Başvuru!$A:$A,"&lt;&gt;"&amp;"",Başvuru!$F:$F,"&lt;&gt;"&amp;""))</f>
        <v/>
      </c>
      <c r="H110" s="162" t="str">
        <f>IF(C110="","",COUNTIFS(Başvuru!$D:$D,C110,Başvuru!$G:$G,"Doktora Tezi",Başvuru!$A:$A,"&lt;&gt;"&amp;"",Başvuru!$F:$F,"&lt;&gt;"&amp;""))</f>
        <v/>
      </c>
      <c r="I110" s="162" t="str">
        <f>IF(C110="","",COUNTIFS(Başvuru!$D:$D,C110,Başvuru!$G:$G,"Yüksek Lisans Tezi",Başvuru!$A:$A,"&lt;&gt;"&amp;"",Başvuru!$F:$F,"&lt;&gt;"&amp;""))</f>
        <v/>
      </c>
      <c r="J110" s="163" t="str">
        <f>IF(C110="","",COUNTIFS(Başvuru!$D:$D,C110,Başvuru!$L:$L,"ONAY",Başvuru!$A:$A,"&lt;&gt;"&amp;"",Başvuru!$F:$F,"&lt;&gt;"&amp;""))</f>
        <v/>
      </c>
      <c r="K110" s="164" t="str">
        <f>IF(C110="","",COUNTIFS(Başvuru!$D:$D,C110,Başvuru!$L:$L,"DÜZELTME",Başvuru!$A:$A,"&lt;&gt;"&amp;"",Başvuru!$F:$F,"&lt;&gt;"&amp;""))</f>
        <v/>
      </c>
      <c r="L110" s="165" t="str">
        <f>IF(C110="","",COUNTIFS(Başvuru!$D:$D,C110,Başvuru!$L:$L,"KAEK",Başvuru!$A:$A,"&lt;&gt;"&amp;"",Başvuru!$F:$F,"&lt;&gt;"&amp;""))</f>
        <v/>
      </c>
      <c r="M110" s="166" t="str">
        <f>IF(C110="","",COUNTIFS(Başvuru!$D:$D,C110,Başvuru!$L:$L,"GÖRÜŞ",Başvuru!$A:$A,"&lt;&gt;"&amp;"",Başvuru!$F:$F,"&lt;&gt;"&amp;""))</f>
        <v/>
      </c>
      <c r="N110" s="167" t="str">
        <f>IF(C110="","",COUNTIFS(Başvuru!$D:$D,C110,Başvuru!$L:$L,"RET",Başvuru!$A:$A,"&lt;&gt;"&amp;"",Başvuru!$F:$F,"&lt;&gt;"&amp;""))</f>
        <v/>
      </c>
      <c r="O110" s="168" t="str">
        <f>IF(C110="","",COUNTIFS(Başvuru!$D:$D,C110,Başvuru!$L:$L,"KAPSAM DIŞI",Başvuru!$A:$A,"&lt;&gt;"&amp;"",Başvuru!$F:$F,"&lt;&gt;"&amp;""))</f>
        <v/>
      </c>
      <c r="P110" s="169" t="str">
        <f>IF(C110="","",COUNTIFS(Başvuru!$D:$D,C110,Başvuru!$L:$L,"GERİ ÇEKİLDİ",Başvuru!$A:$A,"&lt;&gt;"&amp;"",Başvuru!$F:$F,"&lt;&gt;"&amp;""))</f>
        <v/>
      </c>
      <c r="Q110" s="170" t="str">
        <f t="array" ref="Q110">IFERROR(INDEX(Başvuru!$D$2:$D$3000, MATCH(0, COUNTIF($Q$5:Q109, Başvuru!$D$2:$D$3000) + IF(Başvuru!$D$2:$D$3000="",1,0), 0)), "")</f>
        <v/>
      </c>
      <c r="R110" s="171" t="str">
        <f>IF(Q110="","",COUNTIFS(Başvuru!$D:$D,Q110,Başvuru!$A:$A,"&lt;&gt;"&amp;"",Başvuru!$F:$F,"&lt;&gt;"&amp;""))</f>
        <v/>
      </c>
      <c r="S110" s="171" t="str">
        <f>IF(R110="","",RANK(R110,$R$6:$R$155,0)+COUNTIF($R$6:R110,R110)-1)</f>
        <v/>
      </c>
    </row>
    <row r="111" spans="2:19" x14ac:dyDescent="0.25">
      <c r="B111" s="159">
        <v>106</v>
      </c>
      <c r="C111" s="160" t="str">
        <f>IFERROR(INDEX($Q$6:$Q$155,MATCH(106,$S$6:$S$155,0)),"")</f>
        <v/>
      </c>
      <c r="D111" s="161" t="str">
        <f>IF(C111="","",COUNTIFS(Başvuru!$D:$D,C111,Başvuru!$A:$A,"&lt;&gt;"&amp;"",Başvuru!$F:$F,"&lt;&gt;"&amp;""))</f>
        <v/>
      </c>
      <c r="E111" s="159" t="str">
        <f>IF(C111="","-",IF(D111&gt;0,TEXT(D111/(COUNTIFS(Başvuru!$A:$A,"&lt;&gt;",Başvuru!$F:$F,"&lt;&gt;")-1)*100,"0.0")&amp;"%","-"))</f>
        <v>-</v>
      </c>
      <c r="F111" s="162" t="str">
        <f>IF(C111="","",COUNTIFS(Başvuru!$D:$D,C111,Başvuru!$G:$G,"Bireysel Araştırma",Başvuru!$A:$A,"&lt;&gt;"&amp;"",Başvuru!$F:$F,"&lt;&gt;"&amp;""))</f>
        <v/>
      </c>
      <c r="G111" s="162" t="str">
        <f>IF(C111="","",COUNTIFS(Başvuru!$D:$D,C111,Başvuru!$G:$G,"Uzmanlık Tezi",Başvuru!$A:$A,"&lt;&gt;"&amp;"",Başvuru!$F:$F,"&lt;&gt;"&amp;""))</f>
        <v/>
      </c>
      <c r="H111" s="162" t="str">
        <f>IF(C111="","",COUNTIFS(Başvuru!$D:$D,C111,Başvuru!$G:$G,"Doktora Tezi",Başvuru!$A:$A,"&lt;&gt;"&amp;"",Başvuru!$F:$F,"&lt;&gt;"&amp;""))</f>
        <v/>
      </c>
      <c r="I111" s="162" t="str">
        <f>IF(C111="","",COUNTIFS(Başvuru!$D:$D,C111,Başvuru!$G:$G,"Yüksek Lisans Tezi",Başvuru!$A:$A,"&lt;&gt;"&amp;"",Başvuru!$F:$F,"&lt;&gt;"&amp;""))</f>
        <v/>
      </c>
      <c r="J111" s="163" t="str">
        <f>IF(C111="","",COUNTIFS(Başvuru!$D:$D,C111,Başvuru!$L:$L,"ONAY",Başvuru!$A:$A,"&lt;&gt;"&amp;"",Başvuru!$F:$F,"&lt;&gt;"&amp;""))</f>
        <v/>
      </c>
      <c r="K111" s="164" t="str">
        <f>IF(C111="","",COUNTIFS(Başvuru!$D:$D,C111,Başvuru!$L:$L,"DÜZELTME",Başvuru!$A:$A,"&lt;&gt;"&amp;"",Başvuru!$F:$F,"&lt;&gt;"&amp;""))</f>
        <v/>
      </c>
      <c r="L111" s="165" t="str">
        <f>IF(C111="","",COUNTIFS(Başvuru!$D:$D,C111,Başvuru!$L:$L,"KAEK",Başvuru!$A:$A,"&lt;&gt;"&amp;"",Başvuru!$F:$F,"&lt;&gt;"&amp;""))</f>
        <v/>
      </c>
      <c r="M111" s="166" t="str">
        <f>IF(C111="","",COUNTIFS(Başvuru!$D:$D,C111,Başvuru!$L:$L,"GÖRÜŞ",Başvuru!$A:$A,"&lt;&gt;"&amp;"",Başvuru!$F:$F,"&lt;&gt;"&amp;""))</f>
        <v/>
      </c>
      <c r="N111" s="167" t="str">
        <f>IF(C111="","",COUNTIFS(Başvuru!$D:$D,C111,Başvuru!$L:$L,"RET",Başvuru!$A:$A,"&lt;&gt;"&amp;"",Başvuru!$F:$F,"&lt;&gt;"&amp;""))</f>
        <v/>
      </c>
      <c r="O111" s="168" t="str">
        <f>IF(C111="","",COUNTIFS(Başvuru!$D:$D,C111,Başvuru!$L:$L,"KAPSAM DIŞI",Başvuru!$A:$A,"&lt;&gt;"&amp;"",Başvuru!$F:$F,"&lt;&gt;"&amp;""))</f>
        <v/>
      </c>
      <c r="P111" s="169" t="str">
        <f>IF(C111="","",COUNTIFS(Başvuru!$D:$D,C111,Başvuru!$L:$L,"GERİ ÇEKİLDİ",Başvuru!$A:$A,"&lt;&gt;"&amp;"",Başvuru!$F:$F,"&lt;&gt;"&amp;""))</f>
        <v/>
      </c>
      <c r="Q111" s="170" t="str">
        <f t="array" ref="Q111">IFERROR(INDEX(Başvuru!$D$2:$D$3000, MATCH(0, COUNTIF($Q$5:Q110, Başvuru!$D$2:$D$3000) + IF(Başvuru!$D$2:$D$3000="",1,0), 0)), "")</f>
        <v/>
      </c>
      <c r="R111" s="171" t="str">
        <f>IF(Q111="","",COUNTIFS(Başvuru!$D:$D,Q111,Başvuru!$A:$A,"&lt;&gt;"&amp;"",Başvuru!$F:$F,"&lt;&gt;"&amp;""))</f>
        <v/>
      </c>
      <c r="S111" s="171" t="str">
        <f>IF(R111="","",RANK(R111,$R$6:$R$155,0)+COUNTIF($R$6:R111,R111)-1)</f>
        <v/>
      </c>
    </row>
    <row r="112" spans="2:19" x14ac:dyDescent="0.25">
      <c r="B112" s="159">
        <v>107</v>
      </c>
      <c r="C112" s="160" t="str">
        <f>IFERROR(INDEX($Q$6:$Q$155,MATCH(107,$S$6:$S$155,0)),"")</f>
        <v/>
      </c>
      <c r="D112" s="161" t="str">
        <f>IF(C112="","",COUNTIFS(Başvuru!$D:$D,C112,Başvuru!$A:$A,"&lt;&gt;"&amp;"",Başvuru!$F:$F,"&lt;&gt;"&amp;""))</f>
        <v/>
      </c>
      <c r="E112" s="159" t="str">
        <f>IF(C112="","-",IF(D112&gt;0,TEXT(D112/(COUNTIFS(Başvuru!$A:$A,"&lt;&gt;",Başvuru!$F:$F,"&lt;&gt;")-1)*100,"0.0")&amp;"%","-"))</f>
        <v>-</v>
      </c>
      <c r="F112" s="162" t="str">
        <f>IF(C112="","",COUNTIFS(Başvuru!$D:$D,C112,Başvuru!$G:$G,"Bireysel Araştırma",Başvuru!$A:$A,"&lt;&gt;"&amp;"",Başvuru!$F:$F,"&lt;&gt;"&amp;""))</f>
        <v/>
      </c>
      <c r="G112" s="162" t="str">
        <f>IF(C112="","",COUNTIFS(Başvuru!$D:$D,C112,Başvuru!$G:$G,"Uzmanlık Tezi",Başvuru!$A:$A,"&lt;&gt;"&amp;"",Başvuru!$F:$F,"&lt;&gt;"&amp;""))</f>
        <v/>
      </c>
      <c r="H112" s="162" t="str">
        <f>IF(C112="","",COUNTIFS(Başvuru!$D:$D,C112,Başvuru!$G:$G,"Doktora Tezi",Başvuru!$A:$A,"&lt;&gt;"&amp;"",Başvuru!$F:$F,"&lt;&gt;"&amp;""))</f>
        <v/>
      </c>
      <c r="I112" s="162" t="str">
        <f>IF(C112="","",COUNTIFS(Başvuru!$D:$D,C112,Başvuru!$G:$G,"Yüksek Lisans Tezi",Başvuru!$A:$A,"&lt;&gt;"&amp;"",Başvuru!$F:$F,"&lt;&gt;"&amp;""))</f>
        <v/>
      </c>
      <c r="J112" s="163" t="str">
        <f>IF(C112="","",COUNTIFS(Başvuru!$D:$D,C112,Başvuru!$L:$L,"ONAY",Başvuru!$A:$A,"&lt;&gt;"&amp;"",Başvuru!$F:$F,"&lt;&gt;"&amp;""))</f>
        <v/>
      </c>
      <c r="K112" s="164" t="str">
        <f>IF(C112="","",COUNTIFS(Başvuru!$D:$D,C112,Başvuru!$L:$L,"DÜZELTME",Başvuru!$A:$A,"&lt;&gt;"&amp;"",Başvuru!$F:$F,"&lt;&gt;"&amp;""))</f>
        <v/>
      </c>
      <c r="L112" s="165" t="str">
        <f>IF(C112="","",COUNTIFS(Başvuru!$D:$D,C112,Başvuru!$L:$L,"KAEK",Başvuru!$A:$A,"&lt;&gt;"&amp;"",Başvuru!$F:$F,"&lt;&gt;"&amp;""))</f>
        <v/>
      </c>
      <c r="M112" s="166" t="str">
        <f>IF(C112="","",COUNTIFS(Başvuru!$D:$D,C112,Başvuru!$L:$L,"GÖRÜŞ",Başvuru!$A:$A,"&lt;&gt;"&amp;"",Başvuru!$F:$F,"&lt;&gt;"&amp;""))</f>
        <v/>
      </c>
      <c r="N112" s="167" t="str">
        <f>IF(C112="","",COUNTIFS(Başvuru!$D:$D,C112,Başvuru!$L:$L,"RET",Başvuru!$A:$A,"&lt;&gt;"&amp;"",Başvuru!$F:$F,"&lt;&gt;"&amp;""))</f>
        <v/>
      </c>
      <c r="O112" s="168" t="str">
        <f>IF(C112="","",COUNTIFS(Başvuru!$D:$D,C112,Başvuru!$L:$L,"KAPSAM DIŞI",Başvuru!$A:$A,"&lt;&gt;"&amp;"",Başvuru!$F:$F,"&lt;&gt;"&amp;""))</f>
        <v/>
      </c>
      <c r="P112" s="169" t="str">
        <f>IF(C112="","",COUNTIFS(Başvuru!$D:$D,C112,Başvuru!$L:$L,"GERİ ÇEKİLDİ",Başvuru!$A:$A,"&lt;&gt;"&amp;"",Başvuru!$F:$F,"&lt;&gt;"&amp;""))</f>
        <v/>
      </c>
      <c r="Q112" s="170" t="str">
        <f t="array" ref="Q112">IFERROR(INDEX(Başvuru!$D$2:$D$3000, MATCH(0, COUNTIF($Q$5:Q111, Başvuru!$D$2:$D$3000) + IF(Başvuru!$D$2:$D$3000="",1,0), 0)), "")</f>
        <v/>
      </c>
      <c r="R112" s="171" t="str">
        <f>IF(Q112="","",COUNTIFS(Başvuru!$D:$D,Q112,Başvuru!$A:$A,"&lt;&gt;"&amp;"",Başvuru!$F:$F,"&lt;&gt;"&amp;""))</f>
        <v/>
      </c>
      <c r="S112" s="171" t="str">
        <f>IF(R112="","",RANK(R112,$R$6:$R$155,0)+COUNTIF($R$6:R112,R112)-1)</f>
        <v/>
      </c>
    </row>
    <row r="113" spans="2:19" x14ac:dyDescent="0.25">
      <c r="B113" s="159">
        <v>108</v>
      </c>
      <c r="C113" s="160" t="str">
        <f>IFERROR(INDEX($Q$6:$Q$155,MATCH(108,$S$6:$S$155,0)),"")</f>
        <v/>
      </c>
      <c r="D113" s="161" t="str">
        <f>IF(C113="","",COUNTIFS(Başvuru!$D:$D,C113,Başvuru!$A:$A,"&lt;&gt;"&amp;"",Başvuru!$F:$F,"&lt;&gt;"&amp;""))</f>
        <v/>
      </c>
      <c r="E113" s="159" t="str">
        <f>IF(C113="","-",IF(D113&gt;0,TEXT(D113/(COUNTIFS(Başvuru!$A:$A,"&lt;&gt;",Başvuru!$F:$F,"&lt;&gt;")-1)*100,"0.0")&amp;"%","-"))</f>
        <v>-</v>
      </c>
      <c r="F113" s="162" t="str">
        <f>IF(C113="","",COUNTIFS(Başvuru!$D:$D,C113,Başvuru!$G:$G,"Bireysel Araştırma",Başvuru!$A:$A,"&lt;&gt;"&amp;"",Başvuru!$F:$F,"&lt;&gt;"&amp;""))</f>
        <v/>
      </c>
      <c r="G113" s="162" t="str">
        <f>IF(C113="","",COUNTIFS(Başvuru!$D:$D,C113,Başvuru!$G:$G,"Uzmanlık Tezi",Başvuru!$A:$A,"&lt;&gt;"&amp;"",Başvuru!$F:$F,"&lt;&gt;"&amp;""))</f>
        <v/>
      </c>
      <c r="H113" s="162" t="str">
        <f>IF(C113="","",COUNTIFS(Başvuru!$D:$D,C113,Başvuru!$G:$G,"Doktora Tezi",Başvuru!$A:$A,"&lt;&gt;"&amp;"",Başvuru!$F:$F,"&lt;&gt;"&amp;""))</f>
        <v/>
      </c>
      <c r="I113" s="162" t="str">
        <f>IF(C113="","",COUNTIFS(Başvuru!$D:$D,C113,Başvuru!$G:$G,"Yüksek Lisans Tezi",Başvuru!$A:$A,"&lt;&gt;"&amp;"",Başvuru!$F:$F,"&lt;&gt;"&amp;""))</f>
        <v/>
      </c>
      <c r="J113" s="163" t="str">
        <f>IF(C113="","",COUNTIFS(Başvuru!$D:$D,C113,Başvuru!$L:$L,"ONAY",Başvuru!$A:$A,"&lt;&gt;"&amp;"",Başvuru!$F:$F,"&lt;&gt;"&amp;""))</f>
        <v/>
      </c>
      <c r="K113" s="164" t="str">
        <f>IF(C113="","",COUNTIFS(Başvuru!$D:$D,C113,Başvuru!$L:$L,"DÜZELTME",Başvuru!$A:$A,"&lt;&gt;"&amp;"",Başvuru!$F:$F,"&lt;&gt;"&amp;""))</f>
        <v/>
      </c>
      <c r="L113" s="165" t="str">
        <f>IF(C113="","",COUNTIFS(Başvuru!$D:$D,C113,Başvuru!$L:$L,"KAEK",Başvuru!$A:$A,"&lt;&gt;"&amp;"",Başvuru!$F:$F,"&lt;&gt;"&amp;""))</f>
        <v/>
      </c>
      <c r="M113" s="166" t="str">
        <f>IF(C113="","",COUNTIFS(Başvuru!$D:$D,C113,Başvuru!$L:$L,"GÖRÜŞ",Başvuru!$A:$A,"&lt;&gt;"&amp;"",Başvuru!$F:$F,"&lt;&gt;"&amp;""))</f>
        <v/>
      </c>
      <c r="N113" s="167" t="str">
        <f>IF(C113="","",COUNTIFS(Başvuru!$D:$D,C113,Başvuru!$L:$L,"RET",Başvuru!$A:$A,"&lt;&gt;"&amp;"",Başvuru!$F:$F,"&lt;&gt;"&amp;""))</f>
        <v/>
      </c>
      <c r="O113" s="168" t="str">
        <f>IF(C113="","",COUNTIFS(Başvuru!$D:$D,C113,Başvuru!$L:$L,"KAPSAM DIŞI",Başvuru!$A:$A,"&lt;&gt;"&amp;"",Başvuru!$F:$F,"&lt;&gt;"&amp;""))</f>
        <v/>
      </c>
      <c r="P113" s="169" t="str">
        <f>IF(C113="","",COUNTIFS(Başvuru!$D:$D,C113,Başvuru!$L:$L,"GERİ ÇEKİLDİ",Başvuru!$A:$A,"&lt;&gt;"&amp;"",Başvuru!$F:$F,"&lt;&gt;"&amp;""))</f>
        <v/>
      </c>
      <c r="Q113" s="170" t="str">
        <f t="array" ref="Q113">IFERROR(INDEX(Başvuru!$D$2:$D$3000, MATCH(0, COUNTIF($Q$5:Q112, Başvuru!$D$2:$D$3000) + IF(Başvuru!$D$2:$D$3000="",1,0), 0)), "")</f>
        <v/>
      </c>
      <c r="R113" s="171" t="str">
        <f>IF(Q113="","",COUNTIFS(Başvuru!$D:$D,Q113,Başvuru!$A:$A,"&lt;&gt;"&amp;"",Başvuru!$F:$F,"&lt;&gt;"&amp;""))</f>
        <v/>
      </c>
      <c r="S113" s="171" t="str">
        <f>IF(R113="","",RANK(R113,$R$6:$R$155,0)+COUNTIF($R$6:R113,R113)-1)</f>
        <v/>
      </c>
    </row>
    <row r="114" spans="2:19" x14ac:dyDescent="0.25">
      <c r="B114" s="159">
        <v>109</v>
      </c>
      <c r="C114" s="160" t="str">
        <f>IFERROR(INDEX($Q$6:$Q$155,MATCH(109,$S$6:$S$155,0)),"")</f>
        <v/>
      </c>
      <c r="D114" s="161" t="str">
        <f>IF(C114="","",COUNTIFS(Başvuru!$D:$D,C114,Başvuru!$A:$A,"&lt;&gt;"&amp;"",Başvuru!$F:$F,"&lt;&gt;"&amp;""))</f>
        <v/>
      </c>
      <c r="E114" s="159" t="str">
        <f>IF(C114="","-",IF(D114&gt;0,TEXT(D114/(COUNTIFS(Başvuru!$A:$A,"&lt;&gt;",Başvuru!$F:$F,"&lt;&gt;")-1)*100,"0.0")&amp;"%","-"))</f>
        <v>-</v>
      </c>
      <c r="F114" s="162" t="str">
        <f>IF(C114="","",COUNTIFS(Başvuru!$D:$D,C114,Başvuru!$G:$G,"Bireysel Araştırma",Başvuru!$A:$A,"&lt;&gt;"&amp;"",Başvuru!$F:$F,"&lt;&gt;"&amp;""))</f>
        <v/>
      </c>
      <c r="G114" s="162" t="str">
        <f>IF(C114="","",COUNTIFS(Başvuru!$D:$D,C114,Başvuru!$G:$G,"Uzmanlık Tezi",Başvuru!$A:$A,"&lt;&gt;"&amp;"",Başvuru!$F:$F,"&lt;&gt;"&amp;""))</f>
        <v/>
      </c>
      <c r="H114" s="162" t="str">
        <f>IF(C114="","",COUNTIFS(Başvuru!$D:$D,C114,Başvuru!$G:$G,"Doktora Tezi",Başvuru!$A:$A,"&lt;&gt;"&amp;"",Başvuru!$F:$F,"&lt;&gt;"&amp;""))</f>
        <v/>
      </c>
      <c r="I114" s="162" t="str">
        <f>IF(C114="","",COUNTIFS(Başvuru!$D:$D,C114,Başvuru!$G:$G,"Yüksek Lisans Tezi",Başvuru!$A:$A,"&lt;&gt;"&amp;"",Başvuru!$F:$F,"&lt;&gt;"&amp;""))</f>
        <v/>
      </c>
      <c r="J114" s="163" t="str">
        <f>IF(C114="","",COUNTIFS(Başvuru!$D:$D,C114,Başvuru!$L:$L,"ONAY",Başvuru!$A:$A,"&lt;&gt;"&amp;"",Başvuru!$F:$F,"&lt;&gt;"&amp;""))</f>
        <v/>
      </c>
      <c r="K114" s="164" t="str">
        <f>IF(C114="","",COUNTIFS(Başvuru!$D:$D,C114,Başvuru!$L:$L,"DÜZELTME",Başvuru!$A:$A,"&lt;&gt;"&amp;"",Başvuru!$F:$F,"&lt;&gt;"&amp;""))</f>
        <v/>
      </c>
      <c r="L114" s="165" t="str">
        <f>IF(C114="","",COUNTIFS(Başvuru!$D:$D,C114,Başvuru!$L:$L,"KAEK",Başvuru!$A:$A,"&lt;&gt;"&amp;"",Başvuru!$F:$F,"&lt;&gt;"&amp;""))</f>
        <v/>
      </c>
      <c r="M114" s="166" t="str">
        <f>IF(C114="","",COUNTIFS(Başvuru!$D:$D,C114,Başvuru!$L:$L,"GÖRÜŞ",Başvuru!$A:$A,"&lt;&gt;"&amp;"",Başvuru!$F:$F,"&lt;&gt;"&amp;""))</f>
        <v/>
      </c>
      <c r="N114" s="167" t="str">
        <f>IF(C114="","",COUNTIFS(Başvuru!$D:$D,C114,Başvuru!$L:$L,"RET",Başvuru!$A:$A,"&lt;&gt;"&amp;"",Başvuru!$F:$F,"&lt;&gt;"&amp;""))</f>
        <v/>
      </c>
      <c r="O114" s="168" t="str">
        <f>IF(C114="","",COUNTIFS(Başvuru!$D:$D,C114,Başvuru!$L:$L,"KAPSAM DIŞI",Başvuru!$A:$A,"&lt;&gt;"&amp;"",Başvuru!$F:$F,"&lt;&gt;"&amp;""))</f>
        <v/>
      </c>
      <c r="P114" s="169" t="str">
        <f>IF(C114="","",COUNTIFS(Başvuru!$D:$D,C114,Başvuru!$L:$L,"GERİ ÇEKİLDİ",Başvuru!$A:$A,"&lt;&gt;"&amp;"",Başvuru!$F:$F,"&lt;&gt;"&amp;""))</f>
        <v/>
      </c>
      <c r="Q114" s="170" t="str">
        <f t="array" ref="Q114">IFERROR(INDEX(Başvuru!$D$2:$D$3000, MATCH(0, COUNTIF($Q$5:Q113, Başvuru!$D$2:$D$3000) + IF(Başvuru!$D$2:$D$3000="",1,0), 0)), "")</f>
        <v/>
      </c>
      <c r="R114" s="171" t="str">
        <f>IF(Q114="","",COUNTIFS(Başvuru!$D:$D,Q114,Başvuru!$A:$A,"&lt;&gt;"&amp;"",Başvuru!$F:$F,"&lt;&gt;"&amp;""))</f>
        <v/>
      </c>
      <c r="S114" s="171" t="str">
        <f>IF(R114="","",RANK(R114,$R$6:$R$155,0)+COUNTIF($R$6:R114,R114)-1)</f>
        <v/>
      </c>
    </row>
    <row r="115" spans="2:19" x14ac:dyDescent="0.25">
      <c r="B115" s="159">
        <v>110</v>
      </c>
      <c r="C115" s="160" t="str">
        <f>IFERROR(INDEX($Q$6:$Q$155,MATCH(110,$S$6:$S$155,0)),"")</f>
        <v/>
      </c>
      <c r="D115" s="161" t="str">
        <f>IF(C115="","",COUNTIFS(Başvuru!$D:$D,C115,Başvuru!$A:$A,"&lt;&gt;"&amp;"",Başvuru!$F:$F,"&lt;&gt;"&amp;""))</f>
        <v/>
      </c>
      <c r="E115" s="159" t="str">
        <f>IF(C115="","-",IF(D115&gt;0,TEXT(D115/(COUNTIFS(Başvuru!$A:$A,"&lt;&gt;",Başvuru!$F:$F,"&lt;&gt;")-1)*100,"0.0")&amp;"%","-"))</f>
        <v>-</v>
      </c>
      <c r="F115" s="162" t="str">
        <f>IF(C115="","",COUNTIFS(Başvuru!$D:$D,C115,Başvuru!$G:$G,"Bireysel Araştırma",Başvuru!$A:$A,"&lt;&gt;"&amp;"",Başvuru!$F:$F,"&lt;&gt;"&amp;""))</f>
        <v/>
      </c>
      <c r="G115" s="162" t="str">
        <f>IF(C115="","",COUNTIFS(Başvuru!$D:$D,C115,Başvuru!$G:$G,"Uzmanlık Tezi",Başvuru!$A:$A,"&lt;&gt;"&amp;"",Başvuru!$F:$F,"&lt;&gt;"&amp;""))</f>
        <v/>
      </c>
      <c r="H115" s="162" t="str">
        <f>IF(C115="","",COUNTIFS(Başvuru!$D:$D,C115,Başvuru!$G:$G,"Doktora Tezi",Başvuru!$A:$A,"&lt;&gt;"&amp;"",Başvuru!$F:$F,"&lt;&gt;"&amp;""))</f>
        <v/>
      </c>
      <c r="I115" s="162" t="str">
        <f>IF(C115="","",COUNTIFS(Başvuru!$D:$D,C115,Başvuru!$G:$G,"Yüksek Lisans Tezi",Başvuru!$A:$A,"&lt;&gt;"&amp;"",Başvuru!$F:$F,"&lt;&gt;"&amp;""))</f>
        <v/>
      </c>
      <c r="J115" s="163" t="str">
        <f>IF(C115="","",COUNTIFS(Başvuru!$D:$D,C115,Başvuru!$L:$L,"ONAY",Başvuru!$A:$A,"&lt;&gt;"&amp;"",Başvuru!$F:$F,"&lt;&gt;"&amp;""))</f>
        <v/>
      </c>
      <c r="K115" s="164" t="str">
        <f>IF(C115="","",COUNTIFS(Başvuru!$D:$D,C115,Başvuru!$L:$L,"DÜZELTME",Başvuru!$A:$A,"&lt;&gt;"&amp;"",Başvuru!$F:$F,"&lt;&gt;"&amp;""))</f>
        <v/>
      </c>
      <c r="L115" s="165" t="str">
        <f>IF(C115="","",COUNTIFS(Başvuru!$D:$D,C115,Başvuru!$L:$L,"KAEK",Başvuru!$A:$A,"&lt;&gt;"&amp;"",Başvuru!$F:$F,"&lt;&gt;"&amp;""))</f>
        <v/>
      </c>
      <c r="M115" s="166" t="str">
        <f>IF(C115="","",COUNTIFS(Başvuru!$D:$D,C115,Başvuru!$L:$L,"GÖRÜŞ",Başvuru!$A:$A,"&lt;&gt;"&amp;"",Başvuru!$F:$F,"&lt;&gt;"&amp;""))</f>
        <v/>
      </c>
      <c r="N115" s="167" t="str">
        <f>IF(C115="","",COUNTIFS(Başvuru!$D:$D,C115,Başvuru!$L:$L,"RET",Başvuru!$A:$A,"&lt;&gt;"&amp;"",Başvuru!$F:$F,"&lt;&gt;"&amp;""))</f>
        <v/>
      </c>
      <c r="O115" s="168" t="str">
        <f>IF(C115="","",COUNTIFS(Başvuru!$D:$D,C115,Başvuru!$L:$L,"KAPSAM DIŞI",Başvuru!$A:$A,"&lt;&gt;"&amp;"",Başvuru!$F:$F,"&lt;&gt;"&amp;""))</f>
        <v/>
      </c>
      <c r="P115" s="169" t="str">
        <f>IF(C115="","",COUNTIFS(Başvuru!$D:$D,C115,Başvuru!$L:$L,"GERİ ÇEKİLDİ",Başvuru!$A:$A,"&lt;&gt;"&amp;"",Başvuru!$F:$F,"&lt;&gt;"&amp;""))</f>
        <v/>
      </c>
      <c r="Q115" s="170" t="str">
        <f t="array" ref="Q115">IFERROR(INDEX(Başvuru!$D$2:$D$3000, MATCH(0, COUNTIF($Q$5:Q114, Başvuru!$D$2:$D$3000) + IF(Başvuru!$D$2:$D$3000="",1,0), 0)), "")</f>
        <v/>
      </c>
      <c r="R115" s="171" t="str">
        <f>IF(Q115="","",COUNTIFS(Başvuru!$D:$D,Q115,Başvuru!$A:$A,"&lt;&gt;"&amp;"",Başvuru!$F:$F,"&lt;&gt;"&amp;""))</f>
        <v/>
      </c>
      <c r="S115" s="171" t="str">
        <f>IF(R115="","",RANK(R115,$R$6:$R$155,0)+COUNTIF($R$6:R115,R115)-1)</f>
        <v/>
      </c>
    </row>
    <row r="116" spans="2:19" x14ac:dyDescent="0.25">
      <c r="B116" s="159">
        <v>111</v>
      </c>
      <c r="C116" s="160" t="str">
        <f>IFERROR(INDEX($Q$6:$Q$155,MATCH(111,$S$6:$S$155,0)),"")</f>
        <v/>
      </c>
      <c r="D116" s="161" t="str">
        <f>IF(C116="","",COUNTIFS(Başvuru!$D:$D,C116,Başvuru!$A:$A,"&lt;&gt;"&amp;"",Başvuru!$F:$F,"&lt;&gt;"&amp;""))</f>
        <v/>
      </c>
      <c r="E116" s="159" t="str">
        <f>IF(C116="","-",IF(D116&gt;0,TEXT(D116/(COUNTIFS(Başvuru!$A:$A,"&lt;&gt;",Başvuru!$F:$F,"&lt;&gt;")-1)*100,"0.0")&amp;"%","-"))</f>
        <v>-</v>
      </c>
      <c r="F116" s="162" t="str">
        <f>IF(C116="","",COUNTIFS(Başvuru!$D:$D,C116,Başvuru!$G:$G,"Bireysel Araştırma",Başvuru!$A:$A,"&lt;&gt;"&amp;"",Başvuru!$F:$F,"&lt;&gt;"&amp;""))</f>
        <v/>
      </c>
      <c r="G116" s="162" t="str">
        <f>IF(C116="","",COUNTIFS(Başvuru!$D:$D,C116,Başvuru!$G:$G,"Uzmanlık Tezi",Başvuru!$A:$A,"&lt;&gt;"&amp;"",Başvuru!$F:$F,"&lt;&gt;"&amp;""))</f>
        <v/>
      </c>
      <c r="H116" s="162" t="str">
        <f>IF(C116="","",COUNTIFS(Başvuru!$D:$D,C116,Başvuru!$G:$G,"Doktora Tezi",Başvuru!$A:$A,"&lt;&gt;"&amp;"",Başvuru!$F:$F,"&lt;&gt;"&amp;""))</f>
        <v/>
      </c>
      <c r="I116" s="162" t="str">
        <f>IF(C116="","",COUNTIFS(Başvuru!$D:$D,C116,Başvuru!$G:$G,"Yüksek Lisans Tezi",Başvuru!$A:$A,"&lt;&gt;"&amp;"",Başvuru!$F:$F,"&lt;&gt;"&amp;""))</f>
        <v/>
      </c>
      <c r="J116" s="163" t="str">
        <f>IF(C116="","",COUNTIFS(Başvuru!$D:$D,C116,Başvuru!$L:$L,"ONAY",Başvuru!$A:$A,"&lt;&gt;"&amp;"",Başvuru!$F:$F,"&lt;&gt;"&amp;""))</f>
        <v/>
      </c>
      <c r="K116" s="164" t="str">
        <f>IF(C116="","",COUNTIFS(Başvuru!$D:$D,C116,Başvuru!$L:$L,"DÜZELTME",Başvuru!$A:$A,"&lt;&gt;"&amp;"",Başvuru!$F:$F,"&lt;&gt;"&amp;""))</f>
        <v/>
      </c>
      <c r="L116" s="165" t="str">
        <f>IF(C116="","",COUNTIFS(Başvuru!$D:$D,C116,Başvuru!$L:$L,"KAEK",Başvuru!$A:$A,"&lt;&gt;"&amp;"",Başvuru!$F:$F,"&lt;&gt;"&amp;""))</f>
        <v/>
      </c>
      <c r="M116" s="166" t="str">
        <f>IF(C116="","",COUNTIFS(Başvuru!$D:$D,C116,Başvuru!$L:$L,"GÖRÜŞ",Başvuru!$A:$A,"&lt;&gt;"&amp;"",Başvuru!$F:$F,"&lt;&gt;"&amp;""))</f>
        <v/>
      </c>
      <c r="N116" s="167" t="str">
        <f>IF(C116="","",COUNTIFS(Başvuru!$D:$D,C116,Başvuru!$L:$L,"RET",Başvuru!$A:$A,"&lt;&gt;"&amp;"",Başvuru!$F:$F,"&lt;&gt;"&amp;""))</f>
        <v/>
      </c>
      <c r="O116" s="168" t="str">
        <f>IF(C116="","",COUNTIFS(Başvuru!$D:$D,C116,Başvuru!$L:$L,"KAPSAM DIŞI",Başvuru!$A:$A,"&lt;&gt;"&amp;"",Başvuru!$F:$F,"&lt;&gt;"&amp;""))</f>
        <v/>
      </c>
      <c r="P116" s="169" t="str">
        <f>IF(C116="","",COUNTIFS(Başvuru!$D:$D,C116,Başvuru!$L:$L,"GERİ ÇEKİLDİ",Başvuru!$A:$A,"&lt;&gt;"&amp;"",Başvuru!$F:$F,"&lt;&gt;"&amp;""))</f>
        <v/>
      </c>
      <c r="Q116" s="170" t="str">
        <f t="array" ref="Q116">IFERROR(INDEX(Başvuru!$D$2:$D$3000, MATCH(0, COUNTIF($Q$5:Q115, Başvuru!$D$2:$D$3000) + IF(Başvuru!$D$2:$D$3000="",1,0), 0)), "")</f>
        <v/>
      </c>
      <c r="R116" s="171" t="str">
        <f>IF(Q116="","",COUNTIFS(Başvuru!$D:$D,Q116,Başvuru!$A:$A,"&lt;&gt;"&amp;"",Başvuru!$F:$F,"&lt;&gt;"&amp;""))</f>
        <v/>
      </c>
      <c r="S116" s="171" t="str">
        <f>IF(R116="","",RANK(R116,$R$6:$R$155,0)+COUNTIF($R$6:R116,R116)-1)</f>
        <v/>
      </c>
    </row>
    <row r="117" spans="2:19" x14ac:dyDescent="0.25">
      <c r="B117" s="159">
        <v>112</v>
      </c>
      <c r="C117" s="160" t="str">
        <f>IFERROR(INDEX($Q$6:$Q$155,MATCH(112,$S$6:$S$155,0)),"")</f>
        <v/>
      </c>
      <c r="D117" s="161" t="str">
        <f>IF(C117="","",COUNTIFS(Başvuru!$D:$D,C117,Başvuru!$A:$A,"&lt;&gt;"&amp;"",Başvuru!$F:$F,"&lt;&gt;"&amp;""))</f>
        <v/>
      </c>
      <c r="E117" s="159" t="str">
        <f>IF(C117="","-",IF(D117&gt;0,TEXT(D117/(COUNTIFS(Başvuru!$A:$A,"&lt;&gt;",Başvuru!$F:$F,"&lt;&gt;")-1)*100,"0.0")&amp;"%","-"))</f>
        <v>-</v>
      </c>
      <c r="F117" s="162" t="str">
        <f>IF(C117="","",COUNTIFS(Başvuru!$D:$D,C117,Başvuru!$G:$G,"Bireysel Araştırma",Başvuru!$A:$A,"&lt;&gt;"&amp;"",Başvuru!$F:$F,"&lt;&gt;"&amp;""))</f>
        <v/>
      </c>
      <c r="G117" s="162" t="str">
        <f>IF(C117="","",COUNTIFS(Başvuru!$D:$D,C117,Başvuru!$G:$G,"Uzmanlık Tezi",Başvuru!$A:$A,"&lt;&gt;"&amp;"",Başvuru!$F:$F,"&lt;&gt;"&amp;""))</f>
        <v/>
      </c>
      <c r="H117" s="162" t="str">
        <f>IF(C117="","",COUNTIFS(Başvuru!$D:$D,C117,Başvuru!$G:$G,"Doktora Tezi",Başvuru!$A:$A,"&lt;&gt;"&amp;"",Başvuru!$F:$F,"&lt;&gt;"&amp;""))</f>
        <v/>
      </c>
      <c r="I117" s="162" t="str">
        <f>IF(C117="","",COUNTIFS(Başvuru!$D:$D,C117,Başvuru!$G:$G,"Yüksek Lisans Tezi",Başvuru!$A:$A,"&lt;&gt;"&amp;"",Başvuru!$F:$F,"&lt;&gt;"&amp;""))</f>
        <v/>
      </c>
      <c r="J117" s="163" t="str">
        <f>IF(C117="","",COUNTIFS(Başvuru!$D:$D,C117,Başvuru!$L:$L,"ONAY",Başvuru!$A:$A,"&lt;&gt;"&amp;"",Başvuru!$F:$F,"&lt;&gt;"&amp;""))</f>
        <v/>
      </c>
      <c r="K117" s="164" t="str">
        <f>IF(C117="","",COUNTIFS(Başvuru!$D:$D,C117,Başvuru!$L:$L,"DÜZELTME",Başvuru!$A:$A,"&lt;&gt;"&amp;"",Başvuru!$F:$F,"&lt;&gt;"&amp;""))</f>
        <v/>
      </c>
      <c r="L117" s="165" t="str">
        <f>IF(C117="","",COUNTIFS(Başvuru!$D:$D,C117,Başvuru!$L:$L,"KAEK",Başvuru!$A:$A,"&lt;&gt;"&amp;"",Başvuru!$F:$F,"&lt;&gt;"&amp;""))</f>
        <v/>
      </c>
      <c r="M117" s="166" t="str">
        <f>IF(C117="","",COUNTIFS(Başvuru!$D:$D,C117,Başvuru!$L:$L,"GÖRÜŞ",Başvuru!$A:$A,"&lt;&gt;"&amp;"",Başvuru!$F:$F,"&lt;&gt;"&amp;""))</f>
        <v/>
      </c>
      <c r="N117" s="167" t="str">
        <f>IF(C117="","",COUNTIFS(Başvuru!$D:$D,C117,Başvuru!$L:$L,"RET",Başvuru!$A:$A,"&lt;&gt;"&amp;"",Başvuru!$F:$F,"&lt;&gt;"&amp;""))</f>
        <v/>
      </c>
      <c r="O117" s="168" t="str">
        <f>IF(C117="","",COUNTIFS(Başvuru!$D:$D,C117,Başvuru!$L:$L,"KAPSAM DIŞI",Başvuru!$A:$A,"&lt;&gt;"&amp;"",Başvuru!$F:$F,"&lt;&gt;"&amp;""))</f>
        <v/>
      </c>
      <c r="P117" s="169" t="str">
        <f>IF(C117="","",COUNTIFS(Başvuru!$D:$D,C117,Başvuru!$L:$L,"GERİ ÇEKİLDİ",Başvuru!$A:$A,"&lt;&gt;"&amp;"",Başvuru!$F:$F,"&lt;&gt;"&amp;""))</f>
        <v/>
      </c>
      <c r="Q117" s="170" t="str">
        <f t="array" ref="Q117">IFERROR(INDEX(Başvuru!$D$2:$D$3000, MATCH(0, COUNTIF($Q$5:Q116, Başvuru!$D$2:$D$3000) + IF(Başvuru!$D$2:$D$3000="",1,0), 0)), "")</f>
        <v/>
      </c>
      <c r="R117" s="171" t="str">
        <f>IF(Q117="","",COUNTIFS(Başvuru!$D:$D,Q117,Başvuru!$A:$A,"&lt;&gt;"&amp;"",Başvuru!$F:$F,"&lt;&gt;"&amp;""))</f>
        <v/>
      </c>
      <c r="S117" s="171" t="str">
        <f>IF(R117="","",RANK(R117,$R$6:$R$155,0)+COUNTIF($R$6:R117,R117)-1)</f>
        <v/>
      </c>
    </row>
    <row r="118" spans="2:19" x14ac:dyDescent="0.25">
      <c r="B118" s="159">
        <v>113</v>
      </c>
      <c r="C118" s="160" t="str">
        <f>IFERROR(INDEX($Q$6:$Q$155,MATCH(113,$S$6:$S$155,0)),"")</f>
        <v/>
      </c>
      <c r="D118" s="161" t="str">
        <f>IF(C118="","",COUNTIFS(Başvuru!$D:$D,C118,Başvuru!$A:$A,"&lt;&gt;"&amp;"",Başvuru!$F:$F,"&lt;&gt;"&amp;""))</f>
        <v/>
      </c>
      <c r="E118" s="159" t="str">
        <f>IF(C118="","-",IF(D118&gt;0,TEXT(D118/(COUNTIFS(Başvuru!$A:$A,"&lt;&gt;",Başvuru!$F:$F,"&lt;&gt;")-1)*100,"0.0")&amp;"%","-"))</f>
        <v>-</v>
      </c>
      <c r="F118" s="162" t="str">
        <f>IF(C118="","",COUNTIFS(Başvuru!$D:$D,C118,Başvuru!$G:$G,"Bireysel Araştırma",Başvuru!$A:$A,"&lt;&gt;"&amp;"",Başvuru!$F:$F,"&lt;&gt;"&amp;""))</f>
        <v/>
      </c>
      <c r="G118" s="162" t="str">
        <f>IF(C118="","",COUNTIFS(Başvuru!$D:$D,C118,Başvuru!$G:$G,"Uzmanlık Tezi",Başvuru!$A:$A,"&lt;&gt;"&amp;"",Başvuru!$F:$F,"&lt;&gt;"&amp;""))</f>
        <v/>
      </c>
      <c r="H118" s="162" t="str">
        <f>IF(C118="","",COUNTIFS(Başvuru!$D:$D,C118,Başvuru!$G:$G,"Doktora Tezi",Başvuru!$A:$A,"&lt;&gt;"&amp;"",Başvuru!$F:$F,"&lt;&gt;"&amp;""))</f>
        <v/>
      </c>
      <c r="I118" s="162" t="str">
        <f>IF(C118="","",COUNTIFS(Başvuru!$D:$D,C118,Başvuru!$G:$G,"Yüksek Lisans Tezi",Başvuru!$A:$A,"&lt;&gt;"&amp;"",Başvuru!$F:$F,"&lt;&gt;"&amp;""))</f>
        <v/>
      </c>
      <c r="J118" s="163" t="str">
        <f>IF(C118="","",COUNTIFS(Başvuru!$D:$D,C118,Başvuru!$L:$L,"ONAY",Başvuru!$A:$A,"&lt;&gt;"&amp;"",Başvuru!$F:$F,"&lt;&gt;"&amp;""))</f>
        <v/>
      </c>
      <c r="K118" s="164" t="str">
        <f>IF(C118="","",COUNTIFS(Başvuru!$D:$D,C118,Başvuru!$L:$L,"DÜZELTME",Başvuru!$A:$A,"&lt;&gt;"&amp;"",Başvuru!$F:$F,"&lt;&gt;"&amp;""))</f>
        <v/>
      </c>
      <c r="L118" s="165" t="str">
        <f>IF(C118="","",COUNTIFS(Başvuru!$D:$D,C118,Başvuru!$L:$L,"KAEK",Başvuru!$A:$A,"&lt;&gt;"&amp;"",Başvuru!$F:$F,"&lt;&gt;"&amp;""))</f>
        <v/>
      </c>
      <c r="M118" s="166" t="str">
        <f>IF(C118="","",COUNTIFS(Başvuru!$D:$D,C118,Başvuru!$L:$L,"GÖRÜŞ",Başvuru!$A:$A,"&lt;&gt;"&amp;"",Başvuru!$F:$F,"&lt;&gt;"&amp;""))</f>
        <v/>
      </c>
      <c r="N118" s="167" t="str">
        <f>IF(C118="","",COUNTIFS(Başvuru!$D:$D,C118,Başvuru!$L:$L,"RET",Başvuru!$A:$A,"&lt;&gt;"&amp;"",Başvuru!$F:$F,"&lt;&gt;"&amp;""))</f>
        <v/>
      </c>
      <c r="O118" s="168" t="str">
        <f>IF(C118="","",COUNTIFS(Başvuru!$D:$D,C118,Başvuru!$L:$L,"KAPSAM DIŞI",Başvuru!$A:$A,"&lt;&gt;"&amp;"",Başvuru!$F:$F,"&lt;&gt;"&amp;""))</f>
        <v/>
      </c>
      <c r="P118" s="169" t="str">
        <f>IF(C118="","",COUNTIFS(Başvuru!$D:$D,C118,Başvuru!$L:$L,"GERİ ÇEKİLDİ",Başvuru!$A:$A,"&lt;&gt;"&amp;"",Başvuru!$F:$F,"&lt;&gt;"&amp;""))</f>
        <v/>
      </c>
      <c r="Q118" s="170" t="str">
        <f t="array" ref="Q118">IFERROR(INDEX(Başvuru!$D$2:$D$3000, MATCH(0, COUNTIF($Q$5:Q117, Başvuru!$D$2:$D$3000) + IF(Başvuru!$D$2:$D$3000="",1,0), 0)), "")</f>
        <v/>
      </c>
      <c r="R118" s="171" t="str">
        <f>IF(Q118="","",COUNTIFS(Başvuru!$D:$D,Q118,Başvuru!$A:$A,"&lt;&gt;"&amp;"",Başvuru!$F:$F,"&lt;&gt;"&amp;""))</f>
        <v/>
      </c>
      <c r="S118" s="171" t="str">
        <f>IF(R118="","",RANK(R118,$R$6:$R$155,0)+COUNTIF($R$6:R118,R118)-1)</f>
        <v/>
      </c>
    </row>
    <row r="119" spans="2:19" x14ac:dyDescent="0.25">
      <c r="B119" s="159">
        <v>114</v>
      </c>
      <c r="C119" s="160" t="str">
        <f>IFERROR(INDEX($Q$6:$Q$155,MATCH(114,$S$6:$S$155,0)),"")</f>
        <v/>
      </c>
      <c r="D119" s="161" t="str">
        <f>IF(C119="","",COUNTIFS(Başvuru!$D:$D,C119,Başvuru!$A:$A,"&lt;&gt;"&amp;"",Başvuru!$F:$F,"&lt;&gt;"&amp;""))</f>
        <v/>
      </c>
      <c r="E119" s="159" t="str">
        <f>IF(C119="","-",IF(D119&gt;0,TEXT(D119/(COUNTIFS(Başvuru!$A:$A,"&lt;&gt;",Başvuru!$F:$F,"&lt;&gt;")-1)*100,"0.0")&amp;"%","-"))</f>
        <v>-</v>
      </c>
      <c r="F119" s="162" t="str">
        <f>IF(C119="","",COUNTIFS(Başvuru!$D:$D,C119,Başvuru!$G:$G,"Bireysel Araştırma",Başvuru!$A:$A,"&lt;&gt;"&amp;"",Başvuru!$F:$F,"&lt;&gt;"&amp;""))</f>
        <v/>
      </c>
      <c r="G119" s="162" t="str">
        <f>IF(C119="","",COUNTIFS(Başvuru!$D:$D,C119,Başvuru!$G:$G,"Uzmanlık Tezi",Başvuru!$A:$A,"&lt;&gt;"&amp;"",Başvuru!$F:$F,"&lt;&gt;"&amp;""))</f>
        <v/>
      </c>
      <c r="H119" s="162" t="str">
        <f>IF(C119="","",COUNTIFS(Başvuru!$D:$D,C119,Başvuru!$G:$G,"Doktora Tezi",Başvuru!$A:$A,"&lt;&gt;"&amp;"",Başvuru!$F:$F,"&lt;&gt;"&amp;""))</f>
        <v/>
      </c>
      <c r="I119" s="162" t="str">
        <f>IF(C119="","",COUNTIFS(Başvuru!$D:$D,C119,Başvuru!$G:$G,"Yüksek Lisans Tezi",Başvuru!$A:$A,"&lt;&gt;"&amp;"",Başvuru!$F:$F,"&lt;&gt;"&amp;""))</f>
        <v/>
      </c>
      <c r="J119" s="163" t="str">
        <f>IF(C119="","",COUNTIFS(Başvuru!$D:$D,C119,Başvuru!$L:$L,"ONAY",Başvuru!$A:$A,"&lt;&gt;"&amp;"",Başvuru!$F:$F,"&lt;&gt;"&amp;""))</f>
        <v/>
      </c>
      <c r="K119" s="164" t="str">
        <f>IF(C119="","",COUNTIFS(Başvuru!$D:$D,C119,Başvuru!$L:$L,"DÜZELTME",Başvuru!$A:$A,"&lt;&gt;"&amp;"",Başvuru!$F:$F,"&lt;&gt;"&amp;""))</f>
        <v/>
      </c>
      <c r="L119" s="165" t="str">
        <f>IF(C119="","",COUNTIFS(Başvuru!$D:$D,C119,Başvuru!$L:$L,"KAEK",Başvuru!$A:$A,"&lt;&gt;"&amp;"",Başvuru!$F:$F,"&lt;&gt;"&amp;""))</f>
        <v/>
      </c>
      <c r="M119" s="166" t="str">
        <f>IF(C119="","",COUNTIFS(Başvuru!$D:$D,C119,Başvuru!$L:$L,"GÖRÜŞ",Başvuru!$A:$A,"&lt;&gt;"&amp;"",Başvuru!$F:$F,"&lt;&gt;"&amp;""))</f>
        <v/>
      </c>
      <c r="N119" s="167" t="str">
        <f>IF(C119="","",COUNTIFS(Başvuru!$D:$D,C119,Başvuru!$L:$L,"RET",Başvuru!$A:$A,"&lt;&gt;"&amp;"",Başvuru!$F:$F,"&lt;&gt;"&amp;""))</f>
        <v/>
      </c>
      <c r="O119" s="168" t="str">
        <f>IF(C119="","",COUNTIFS(Başvuru!$D:$D,C119,Başvuru!$L:$L,"KAPSAM DIŞI",Başvuru!$A:$A,"&lt;&gt;"&amp;"",Başvuru!$F:$F,"&lt;&gt;"&amp;""))</f>
        <v/>
      </c>
      <c r="P119" s="169" t="str">
        <f>IF(C119="","",COUNTIFS(Başvuru!$D:$D,C119,Başvuru!$L:$L,"GERİ ÇEKİLDİ",Başvuru!$A:$A,"&lt;&gt;"&amp;"",Başvuru!$F:$F,"&lt;&gt;"&amp;""))</f>
        <v/>
      </c>
      <c r="Q119" s="170" t="str">
        <f t="array" ref="Q119">IFERROR(INDEX(Başvuru!$D$2:$D$3000, MATCH(0, COUNTIF($Q$5:Q118, Başvuru!$D$2:$D$3000) + IF(Başvuru!$D$2:$D$3000="",1,0), 0)), "")</f>
        <v/>
      </c>
      <c r="R119" s="171" t="str">
        <f>IF(Q119="","",COUNTIFS(Başvuru!$D:$D,Q119,Başvuru!$A:$A,"&lt;&gt;"&amp;"",Başvuru!$F:$F,"&lt;&gt;"&amp;""))</f>
        <v/>
      </c>
      <c r="S119" s="171" t="str">
        <f>IF(R119="","",RANK(R119,$R$6:$R$155,0)+COUNTIF($R$6:R119,R119)-1)</f>
        <v/>
      </c>
    </row>
    <row r="120" spans="2:19" x14ac:dyDescent="0.25">
      <c r="B120" s="159">
        <v>115</v>
      </c>
      <c r="C120" s="160" t="str">
        <f>IFERROR(INDEX($Q$6:$Q$155,MATCH(115,$S$6:$S$155,0)),"")</f>
        <v/>
      </c>
      <c r="D120" s="161" t="str">
        <f>IF(C120="","",COUNTIFS(Başvuru!$D:$D,C120,Başvuru!$A:$A,"&lt;&gt;"&amp;"",Başvuru!$F:$F,"&lt;&gt;"&amp;""))</f>
        <v/>
      </c>
      <c r="E120" s="159" t="str">
        <f>IF(C120="","-",IF(D120&gt;0,TEXT(D120/(COUNTIFS(Başvuru!$A:$A,"&lt;&gt;",Başvuru!$F:$F,"&lt;&gt;")-1)*100,"0.0")&amp;"%","-"))</f>
        <v>-</v>
      </c>
      <c r="F120" s="162" t="str">
        <f>IF(C120="","",COUNTIFS(Başvuru!$D:$D,C120,Başvuru!$G:$G,"Bireysel Araştırma",Başvuru!$A:$A,"&lt;&gt;"&amp;"",Başvuru!$F:$F,"&lt;&gt;"&amp;""))</f>
        <v/>
      </c>
      <c r="G120" s="162" t="str">
        <f>IF(C120="","",COUNTIFS(Başvuru!$D:$D,C120,Başvuru!$G:$G,"Uzmanlık Tezi",Başvuru!$A:$A,"&lt;&gt;"&amp;"",Başvuru!$F:$F,"&lt;&gt;"&amp;""))</f>
        <v/>
      </c>
      <c r="H120" s="162" t="str">
        <f>IF(C120="","",COUNTIFS(Başvuru!$D:$D,C120,Başvuru!$G:$G,"Doktora Tezi",Başvuru!$A:$A,"&lt;&gt;"&amp;"",Başvuru!$F:$F,"&lt;&gt;"&amp;""))</f>
        <v/>
      </c>
      <c r="I120" s="162" t="str">
        <f>IF(C120="","",COUNTIFS(Başvuru!$D:$D,C120,Başvuru!$G:$G,"Yüksek Lisans Tezi",Başvuru!$A:$A,"&lt;&gt;"&amp;"",Başvuru!$F:$F,"&lt;&gt;"&amp;""))</f>
        <v/>
      </c>
      <c r="J120" s="163" t="str">
        <f>IF(C120="","",COUNTIFS(Başvuru!$D:$D,C120,Başvuru!$L:$L,"ONAY",Başvuru!$A:$A,"&lt;&gt;"&amp;"",Başvuru!$F:$F,"&lt;&gt;"&amp;""))</f>
        <v/>
      </c>
      <c r="K120" s="164" t="str">
        <f>IF(C120="","",COUNTIFS(Başvuru!$D:$D,C120,Başvuru!$L:$L,"DÜZELTME",Başvuru!$A:$A,"&lt;&gt;"&amp;"",Başvuru!$F:$F,"&lt;&gt;"&amp;""))</f>
        <v/>
      </c>
      <c r="L120" s="165" t="str">
        <f>IF(C120="","",COUNTIFS(Başvuru!$D:$D,C120,Başvuru!$L:$L,"KAEK",Başvuru!$A:$A,"&lt;&gt;"&amp;"",Başvuru!$F:$F,"&lt;&gt;"&amp;""))</f>
        <v/>
      </c>
      <c r="M120" s="166" t="str">
        <f>IF(C120="","",COUNTIFS(Başvuru!$D:$D,C120,Başvuru!$L:$L,"GÖRÜŞ",Başvuru!$A:$A,"&lt;&gt;"&amp;"",Başvuru!$F:$F,"&lt;&gt;"&amp;""))</f>
        <v/>
      </c>
      <c r="N120" s="167" t="str">
        <f>IF(C120="","",COUNTIFS(Başvuru!$D:$D,C120,Başvuru!$L:$L,"RET",Başvuru!$A:$A,"&lt;&gt;"&amp;"",Başvuru!$F:$F,"&lt;&gt;"&amp;""))</f>
        <v/>
      </c>
      <c r="O120" s="168" t="str">
        <f>IF(C120="","",COUNTIFS(Başvuru!$D:$D,C120,Başvuru!$L:$L,"KAPSAM DIŞI",Başvuru!$A:$A,"&lt;&gt;"&amp;"",Başvuru!$F:$F,"&lt;&gt;"&amp;""))</f>
        <v/>
      </c>
      <c r="P120" s="169" t="str">
        <f>IF(C120="","",COUNTIFS(Başvuru!$D:$D,C120,Başvuru!$L:$L,"GERİ ÇEKİLDİ",Başvuru!$A:$A,"&lt;&gt;"&amp;"",Başvuru!$F:$F,"&lt;&gt;"&amp;""))</f>
        <v/>
      </c>
      <c r="Q120" s="170" t="str">
        <f t="array" ref="Q120">IFERROR(INDEX(Başvuru!$D$2:$D$3000, MATCH(0, COUNTIF($Q$5:Q119, Başvuru!$D$2:$D$3000) + IF(Başvuru!$D$2:$D$3000="",1,0), 0)), "")</f>
        <v/>
      </c>
      <c r="R120" s="171" t="str">
        <f>IF(Q120="","",COUNTIFS(Başvuru!$D:$D,Q120,Başvuru!$A:$A,"&lt;&gt;"&amp;"",Başvuru!$F:$F,"&lt;&gt;"&amp;""))</f>
        <v/>
      </c>
      <c r="S120" s="171" t="str">
        <f>IF(R120="","",RANK(R120,$R$6:$R$155,0)+COUNTIF($R$6:R120,R120)-1)</f>
        <v/>
      </c>
    </row>
    <row r="121" spans="2:19" x14ac:dyDescent="0.25">
      <c r="B121" s="159">
        <v>116</v>
      </c>
      <c r="C121" s="160" t="str">
        <f>IFERROR(INDEX($Q$6:$Q$155,MATCH(116,$S$6:$S$155,0)),"")</f>
        <v/>
      </c>
      <c r="D121" s="161" t="str">
        <f>IF(C121="","",COUNTIFS(Başvuru!$D:$D,C121,Başvuru!$A:$A,"&lt;&gt;"&amp;"",Başvuru!$F:$F,"&lt;&gt;"&amp;""))</f>
        <v/>
      </c>
      <c r="E121" s="159" t="str">
        <f>IF(C121="","-",IF(D121&gt;0,TEXT(D121/(COUNTIFS(Başvuru!$A:$A,"&lt;&gt;",Başvuru!$F:$F,"&lt;&gt;")-1)*100,"0.0")&amp;"%","-"))</f>
        <v>-</v>
      </c>
      <c r="F121" s="162" t="str">
        <f>IF(C121="","",COUNTIFS(Başvuru!$D:$D,C121,Başvuru!$G:$G,"Bireysel Araştırma",Başvuru!$A:$A,"&lt;&gt;"&amp;"",Başvuru!$F:$F,"&lt;&gt;"&amp;""))</f>
        <v/>
      </c>
      <c r="G121" s="162" t="str">
        <f>IF(C121="","",COUNTIFS(Başvuru!$D:$D,C121,Başvuru!$G:$G,"Uzmanlık Tezi",Başvuru!$A:$A,"&lt;&gt;"&amp;"",Başvuru!$F:$F,"&lt;&gt;"&amp;""))</f>
        <v/>
      </c>
      <c r="H121" s="162" t="str">
        <f>IF(C121="","",COUNTIFS(Başvuru!$D:$D,C121,Başvuru!$G:$G,"Doktora Tezi",Başvuru!$A:$A,"&lt;&gt;"&amp;"",Başvuru!$F:$F,"&lt;&gt;"&amp;""))</f>
        <v/>
      </c>
      <c r="I121" s="162" t="str">
        <f>IF(C121="","",COUNTIFS(Başvuru!$D:$D,C121,Başvuru!$G:$G,"Yüksek Lisans Tezi",Başvuru!$A:$A,"&lt;&gt;"&amp;"",Başvuru!$F:$F,"&lt;&gt;"&amp;""))</f>
        <v/>
      </c>
      <c r="J121" s="163" t="str">
        <f>IF(C121="","",COUNTIFS(Başvuru!$D:$D,C121,Başvuru!$L:$L,"ONAY",Başvuru!$A:$A,"&lt;&gt;"&amp;"",Başvuru!$F:$F,"&lt;&gt;"&amp;""))</f>
        <v/>
      </c>
      <c r="K121" s="164" t="str">
        <f>IF(C121="","",COUNTIFS(Başvuru!$D:$D,C121,Başvuru!$L:$L,"DÜZELTME",Başvuru!$A:$A,"&lt;&gt;"&amp;"",Başvuru!$F:$F,"&lt;&gt;"&amp;""))</f>
        <v/>
      </c>
      <c r="L121" s="165" t="str">
        <f>IF(C121="","",COUNTIFS(Başvuru!$D:$D,C121,Başvuru!$L:$L,"KAEK",Başvuru!$A:$A,"&lt;&gt;"&amp;"",Başvuru!$F:$F,"&lt;&gt;"&amp;""))</f>
        <v/>
      </c>
      <c r="M121" s="166" t="str">
        <f>IF(C121="","",COUNTIFS(Başvuru!$D:$D,C121,Başvuru!$L:$L,"GÖRÜŞ",Başvuru!$A:$A,"&lt;&gt;"&amp;"",Başvuru!$F:$F,"&lt;&gt;"&amp;""))</f>
        <v/>
      </c>
      <c r="N121" s="167" t="str">
        <f>IF(C121="","",COUNTIFS(Başvuru!$D:$D,C121,Başvuru!$L:$L,"RET",Başvuru!$A:$A,"&lt;&gt;"&amp;"",Başvuru!$F:$F,"&lt;&gt;"&amp;""))</f>
        <v/>
      </c>
      <c r="O121" s="168" t="str">
        <f>IF(C121="","",COUNTIFS(Başvuru!$D:$D,C121,Başvuru!$L:$L,"KAPSAM DIŞI",Başvuru!$A:$A,"&lt;&gt;"&amp;"",Başvuru!$F:$F,"&lt;&gt;"&amp;""))</f>
        <v/>
      </c>
      <c r="P121" s="169" t="str">
        <f>IF(C121="","",COUNTIFS(Başvuru!$D:$D,C121,Başvuru!$L:$L,"GERİ ÇEKİLDİ",Başvuru!$A:$A,"&lt;&gt;"&amp;"",Başvuru!$F:$F,"&lt;&gt;"&amp;""))</f>
        <v/>
      </c>
      <c r="Q121" s="170" t="str">
        <f t="array" ref="Q121">IFERROR(INDEX(Başvuru!$D$2:$D$3000, MATCH(0, COUNTIF($Q$5:Q120, Başvuru!$D$2:$D$3000) + IF(Başvuru!$D$2:$D$3000="",1,0), 0)), "")</f>
        <v/>
      </c>
      <c r="R121" s="171" t="str">
        <f>IF(Q121="","",COUNTIFS(Başvuru!$D:$D,Q121,Başvuru!$A:$A,"&lt;&gt;"&amp;"",Başvuru!$F:$F,"&lt;&gt;"&amp;""))</f>
        <v/>
      </c>
      <c r="S121" s="171" t="str">
        <f>IF(R121="","",RANK(R121,$R$6:$R$155,0)+COUNTIF($R$6:R121,R121)-1)</f>
        <v/>
      </c>
    </row>
    <row r="122" spans="2:19" x14ac:dyDescent="0.25">
      <c r="B122" s="159">
        <v>117</v>
      </c>
      <c r="C122" s="160" t="str">
        <f>IFERROR(INDEX($Q$6:$Q$155,MATCH(117,$S$6:$S$155,0)),"")</f>
        <v/>
      </c>
      <c r="D122" s="161" t="str">
        <f>IF(C122="","",COUNTIFS(Başvuru!$D:$D,C122,Başvuru!$A:$A,"&lt;&gt;"&amp;"",Başvuru!$F:$F,"&lt;&gt;"&amp;""))</f>
        <v/>
      </c>
      <c r="E122" s="159" t="str">
        <f>IF(C122="","-",IF(D122&gt;0,TEXT(D122/(COUNTIFS(Başvuru!$A:$A,"&lt;&gt;",Başvuru!$F:$F,"&lt;&gt;")-1)*100,"0.0")&amp;"%","-"))</f>
        <v>-</v>
      </c>
      <c r="F122" s="162" t="str">
        <f>IF(C122="","",COUNTIFS(Başvuru!$D:$D,C122,Başvuru!$G:$G,"Bireysel Araştırma",Başvuru!$A:$A,"&lt;&gt;"&amp;"",Başvuru!$F:$F,"&lt;&gt;"&amp;""))</f>
        <v/>
      </c>
      <c r="G122" s="162" t="str">
        <f>IF(C122="","",COUNTIFS(Başvuru!$D:$D,C122,Başvuru!$G:$G,"Uzmanlık Tezi",Başvuru!$A:$A,"&lt;&gt;"&amp;"",Başvuru!$F:$F,"&lt;&gt;"&amp;""))</f>
        <v/>
      </c>
      <c r="H122" s="162" t="str">
        <f>IF(C122="","",COUNTIFS(Başvuru!$D:$D,C122,Başvuru!$G:$G,"Doktora Tezi",Başvuru!$A:$A,"&lt;&gt;"&amp;"",Başvuru!$F:$F,"&lt;&gt;"&amp;""))</f>
        <v/>
      </c>
      <c r="I122" s="162" t="str">
        <f>IF(C122="","",COUNTIFS(Başvuru!$D:$D,C122,Başvuru!$G:$G,"Yüksek Lisans Tezi",Başvuru!$A:$A,"&lt;&gt;"&amp;"",Başvuru!$F:$F,"&lt;&gt;"&amp;""))</f>
        <v/>
      </c>
      <c r="J122" s="163" t="str">
        <f>IF(C122="","",COUNTIFS(Başvuru!$D:$D,C122,Başvuru!$L:$L,"ONAY",Başvuru!$A:$A,"&lt;&gt;"&amp;"",Başvuru!$F:$F,"&lt;&gt;"&amp;""))</f>
        <v/>
      </c>
      <c r="K122" s="164" t="str">
        <f>IF(C122="","",COUNTIFS(Başvuru!$D:$D,C122,Başvuru!$L:$L,"DÜZELTME",Başvuru!$A:$A,"&lt;&gt;"&amp;"",Başvuru!$F:$F,"&lt;&gt;"&amp;""))</f>
        <v/>
      </c>
      <c r="L122" s="165" t="str">
        <f>IF(C122="","",COUNTIFS(Başvuru!$D:$D,C122,Başvuru!$L:$L,"KAEK",Başvuru!$A:$A,"&lt;&gt;"&amp;"",Başvuru!$F:$F,"&lt;&gt;"&amp;""))</f>
        <v/>
      </c>
      <c r="M122" s="166" t="str">
        <f>IF(C122="","",COUNTIFS(Başvuru!$D:$D,C122,Başvuru!$L:$L,"GÖRÜŞ",Başvuru!$A:$A,"&lt;&gt;"&amp;"",Başvuru!$F:$F,"&lt;&gt;"&amp;""))</f>
        <v/>
      </c>
      <c r="N122" s="167" t="str">
        <f>IF(C122="","",COUNTIFS(Başvuru!$D:$D,C122,Başvuru!$L:$L,"RET",Başvuru!$A:$A,"&lt;&gt;"&amp;"",Başvuru!$F:$F,"&lt;&gt;"&amp;""))</f>
        <v/>
      </c>
      <c r="O122" s="168" t="str">
        <f>IF(C122="","",COUNTIFS(Başvuru!$D:$D,C122,Başvuru!$L:$L,"KAPSAM DIŞI",Başvuru!$A:$A,"&lt;&gt;"&amp;"",Başvuru!$F:$F,"&lt;&gt;"&amp;""))</f>
        <v/>
      </c>
      <c r="P122" s="169" t="str">
        <f>IF(C122="","",COUNTIFS(Başvuru!$D:$D,C122,Başvuru!$L:$L,"GERİ ÇEKİLDİ",Başvuru!$A:$A,"&lt;&gt;"&amp;"",Başvuru!$F:$F,"&lt;&gt;"&amp;""))</f>
        <v/>
      </c>
      <c r="Q122" s="170" t="str">
        <f t="array" ref="Q122">IFERROR(INDEX(Başvuru!$D$2:$D$3000, MATCH(0, COUNTIF($Q$5:Q121, Başvuru!$D$2:$D$3000) + IF(Başvuru!$D$2:$D$3000="",1,0), 0)), "")</f>
        <v/>
      </c>
      <c r="R122" s="171" t="str">
        <f>IF(Q122="","",COUNTIFS(Başvuru!$D:$D,Q122,Başvuru!$A:$A,"&lt;&gt;"&amp;"",Başvuru!$F:$F,"&lt;&gt;"&amp;""))</f>
        <v/>
      </c>
      <c r="S122" s="171" t="str">
        <f>IF(R122="","",RANK(R122,$R$6:$R$155,0)+COUNTIF($R$6:R122,R122)-1)</f>
        <v/>
      </c>
    </row>
    <row r="123" spans="2:19" x14ac:dyDescent="0.25">
      <c r="B123" s="159">
        <v>118</v>
      </c>
      <c r="C123" s="160" t="str">
        <f>IFERROR(INDEX($Q$6:$Q$155,MATCH(118,$S$6:$S$155,0)),"")</f>
        <v/>
      </c>
      <c r="D123" s="161" t="str">
        <f>IF(C123="","",COUNTIFS(Başvuru!$D:$D,C123,Başvuru!$A:$A,"&lt;&gt;"&amp;"",Başvuru!$F:$F,"&lt;&gt;"&amp;""))</f>
        <v/>
      </c>
      <c r="E123" s="159" t="str">
        <f>IF(C123="","-",IF(D123&gt;0,TEXT(D123/(COUNTIFS(Başvuru!$A:$A,"&lt;&gt;",Başvuru!$F:$F,"&lt;&gt;")-1)*100,"0.0")&amp;"%","-"))</f>
        <v>-</v>
      </c>
      <c r="F123" s="162" t="str">
        <f>IF(C123="","",COUNTIFS(Başvuru!$D:$D,C123,Başvuru!$G:$G,"Bireysel Araştırma",Başvuru!$A:$A,"&lt;&gt;"&amp;"",Başvuru!$F:$F,"&lt;&gt;"&amp;""))</f>
        <v/>
      </c>
      <c r="G123" s="162" t="str">
        <f>IF(C123="","",COUNTIFS(Başvuru!$D:$D,C123,Başvuru!$G:$G,"Uzmanlık Tezi",Başvuru!$A:$A,"&lt;&gt;"&amp;"",Başvuru!$F:$F,"&lt;&gt;"&amp;""))</f>
        <v/>
      </c>
      <c r="H123" s="162" t="str">
        <f>IF(C123="","",COUNTIFS(Başvuru!$D:$D,C123,Başvuru!$G:$G,"Doktora Tezi",Başvuru!$A:$A,"&lt;&gt;"&amp;"",Başvuru!$F:$F,"&lt;&gt;"&amp;""))</f>
        <v/>
      </c>
      <c r="I123" s="162" t="str">
        <f>IF(C123="","",COUNTIFS(Başvuru!$D:$D,C123,Başvuru!$G:$G,"Yüksek Lisans Tezi",Başvuru!$A:$A,"&lt;&gt;"&amp;"",Başvuru!$F:$F,"&lt;&gt;"&amp;""))</f>
        <v/>
      </c>
      <c r="J123" s="163" t="str">
        <f>IF(C123="","",COUNTIFS(Başvuru!$D:$D,C123,Başvuru!$L:$L,"ONAY",Başvuru!$A:$A,"&lt;&gt;"&amp;"",Başvuru!$F:$F,"&lt;&gt;"&amp;""))</f>
        <v/>
      </c>
      <c r="K123" s="164" t="str">
        <f>IF(C123="","",COUNTIFS(Başvuru!$D:$D,C123,Başvuru!$L:$L,"DÜZELTME",Başvuru!$A:$A,"&lt;&gt;"&amp;"",Başvuru!$F:$F,"&lt;&gt;"&amp;""))</f>
        <v/>
      </c>
      <c r="L123" s="165" t="str">
        <f>IF(C123="","",COUNTIFS(Başvuru!$D:$D,C123,Başvuru!$L:$L,"KAEK",Başvuru!$A:$A,"&lt;&gt;"&amp;"",Başvuru!$F:$F,"&lt;&gt;"&amp;""))</f>
        <v/>
      </c>
      <c r="M123" s="166" t="str">
        <f>IF(C123="","",COUNTIFS(Başvuru!$D:$D,C123,Başvuru!$L:$L,"GÖRÜŞ",Başvuru!$A:$A,"&lt;&gt;"&amp;"",Başvuru!$F:$F,"&lt;&gt;"&amp;""))</f>
        <v/>
      </c>
      <c r="N123" s="167" t="str">
        <f>IF(C123="","",COUNTIFS(Başvuru!$D:$D,C123,Başvuru!$L:$L,"RET",Başvuru!$A:$A,"&lt;&gt;"&amp;"",Başvuru!$F:$F,"&lt;&gt;"&amp;""))</f>
        <v/>
      </c>
      <c r="O123" s="168" t="str">
        <f>IF(C123="","",COUNTIFS(Başvuru!$D:$D,C123,Başvuru!$L:$L,"KAPSAM DIŞI",Başvuru!$A:$A,"&lt;&gt;"&amp;"",Başvuru!$F:$F,"&lt;&gt;"&amp;""))</f>
        <v/>
      </c>
      <c r="P123" s="169" t="str">
        <f>IF(C123="","",COUNTIFS(Başvuru!$D:$D,C123,Başvuru!$L:$L,"GERİ ÇEKİLDİ",Başvuru!$A:$A,"&lt;&gt;"&amp;"",Başvuru!$F:$F,"&lt;&gt;"&amp;""))</f>
        <v/>
      </c>
      <c r="Q123" s="170" t="str">
        <f t="array" ref="Q123">IFERROR(INDEX(Başvuru!$D$2:$D$3000, MATCH(0, COUNTIF($Q$5:Q122, Başvuru!$D$2:$D$3000) + IF(Başvuru!$D$2:$D$3000="",1,0), 0)), "")</f>
        <v/>
      </c>
      <c r="R123" s="171" t="str">
        <f>IF(Q123="","",COUNTIFS(Başvuru!$D:$D,Q123,Başvuru!$A:$A,"&lt;&gt;"&amp;"",Başvuru!$F:$F,"&lt;&gt;"&amp;""))</f>
        <v/>
      </c>
      <c r="S123" s="171" t="str">
        <f>IF(R123="","",RANK(R123,$R$6:$R$155,0)+COUNTIF($R$6:R123,R123)-1)</f>
        <v/>
      </c>
    </row>
    <row r="124" spans="2:19" x14ac:dyDescent="0.25">
      <c r="B124" s="159">
        <v>119</v>
      </c>
      <c r="C124" s="160" t="str">
        <f>IFERROR(INDEX($Q$6:$Q$155,MATCH(119,$S$6:$S$155,0)),"")</f>
        <v/>
      </c>
      <c r="D124" s="161" t="str">
        <f>IF(C124="","",COUNTIFS(Başvuru!$D:$D,C124,Başvuru!$A:$A,"&lt;&gt;"&amp;"",Başvuru!$F:$F,"&lt;&gt;"&amp;""))</f>
        <v/>
      </c>
      <c r="E124" s="159" t="str">
        <f>IF(C124="","-",IF(D124&gt;0,TEXT(D124/(COUNTIFS(Başvuru!$A:$A,"&lt;&gt;",Başvuru!$F:$F,"&lt;&gt;")-1)*100,"0.0")&amp;"%","-"))</f>
        <v>-</v>
      </c>
      <c r="F124" s="162" t="str">
        <f>IF(C124="","",COUNTIFS(Başvuru!$D:$D,C124,Başvuru!$G:$G,"Bireysel Araştırma",Başvuru!$A:$A,"&lt;&gt;"&amp;"",Başvuru!$F:$F,"&lt;&gt;"&amp;""))</f>
        <v/>
      </c>
      <c r="G124" s="162" t="str">
        <f>IF(C124="","",COUNTIFS(Başvuru!$D:$D,C124,Başvuru!$G:$G,"Uzmanlık Tezi",Başvuru!$A:$A,"&lt;&gt;"&amp;"",Başvuru!$F:$F,"&lt;&gt;"&amp;""))</f>
        <v/>
      </c>
      <c r="H124" s="162" t="str">
        <f>IF(C124="","",COUNTIFS(Başvuru!$D:$D,C124,Başvuru!$G:$G,"Doktora Tezi",Başvuru!$A:$A,"&lt;&gt;"&amp;"",Başvuru!$F:$F,"&lt;&gt;"&amp;""))</f>
        <v/>
      </c>
      <c r="I124" s="162" t="str">
        <f>IF(C124="","",COUNTIFS(Başvuru!$D:$D,C124,Başvuru!$G:$G,"Yüksek Lisans Tezi",Başvuru!$A:$A,"&lt;&gt;"&amp;"",Başvuru!$F:$F,"&lt;&gt;"&amp;""))</f>
        <v/>
      </c>
      <c r="J124" s="163" t="str">
        <f>IF(C124="","",COUNTIFS(Başvuru!$D:$D,C124,Başvuru!$L:$L,"ONAY",Başvuru!$A:$A,"&lt;&gt;"&amp;"",Başvuru!$F:$F,"&lt;&gt;"&amp;""))</f>
        <v/>
      </c>
      <c r="K124" s="164" t="str">
        <f>IF(C124="","",COUNTIFS(Başvuru!$D:$D,C124,Başvuru!$L:$L,"DÜZELTME",Başvuru!$A:$A,"&lt;&gt;"&amp;"",Başvuru!$F:$F,"&lt;&gt;"&amp;""))</f>
        <v/>
      </c>
      <c r="L124" s="165" t="str">
        <f>IF(C124="","",COUNTIFS(Başvuru!$D:$D,C124,Başvuru!$L:$L,"KAEK",Başvuru!$A:$A,"&lt;&gt;"&amp;"",Başvuru!$F:$F,"&lt;&gt;"&amp;""))</f>
        <v/>
      </c>
      <c r="M124" s="166" t="str">
        <f>IF(C124="","",COUNTIFS(Başvuru!$D:$D,C124,Başvuru!$L:$L,"GÖRÜŞ",Başvuru!$A:$A,"&lt;&gt;"&amp;"",Başvuru!$F:$F,"&lt;&gt;"&amp;""))</f>
        <v/>
      </c>
      <c r="N124" s="167" t="str">
        <f>IF(C124="","",COUNTIFS(Başvuru!$D:$D,C124,Başvuru!$L:$L,"RET",Başvuru!$A:$A,"&lt;&gt;"&amp;"",Başvuru!$F:$F,"&lt;&gt;"&amp;""))</f>
        <v/>
      </c>
      <c r="O124" s="168" t="str">
        <f>IF(C124="","",COUNTIFS(Başvuru!$D:$D,C124,Başvuru!$L:$L,"KAPSAM DIŞI",Başvuru!$A:$A,"&lt;&gt;"&amp;"",Başvuru!$F:$F,"&lt;&gt;"&amp;""))</f>
        <v/>
      </c>
      <c r="P124" s="169" t="str">
        <f>IF(C124="","",COUNTIFS(Başvuru!$D:$D,C124,Başvuru!$L:$L,"GERİ ÇEKİLDİ",Başvuru!$A:$A,"&lt;&gt;"&amp;"",Başvuru!$F:$F,"&lt;&gt;"&amp;""))</f>
        <v/>
      </c>
      <c r="Q124" s="170" t="str">
        <f t="array" ref="Q124">IFERROR(INDEX(Başvuru!$D$2:$D$3000, MATCH(0, COUNTIF($Q$5:Q123, Başvuru!$D$2:$D$3000) + IF(Başvuru!$D$2:$D$3000="",1,0), 0)), "")</f>
        <v/>
      </c>
      <c r="R124" s="171" t="str">
        <f>IF(Q124="","",COUNTIFS(Başvuru!$D:$D,Q124,Başvuru!$A:$A,"&lt;&gt;"&amp;"",Başvuru!$F:$F,"&lt;&gt;"&amp;""))</f>
        <v/>
      </c>
      <c r="S124" s="171" t="str">
        <f>IF(R124="","",RANK(R124,$R$6:$R$155,0)+COUNTIF($R$6:R124,R124)-1)</f>
        <v/>
      </c>
    </row>
    <row r="125" spans="2:19" x14ac:dyDescent="0.25">
      <c r="B125" s="159">
        <v>120</v>
      </c>
      <c r="C125" s="160" t="str">
        <f>IFERROR(INDEX($Q$6:$Q$155,MATCH(120,$S$6:$S$155,0)),"")</f>
        <v/>
      </c>
      <c r="D125" s="161" t="str">
        <f>IF(C125="","",COUNTIFS(Başvuru!$D:$D,C125,Başvuru!$A:$A,"&lt;&gt;"&amp;"",Başvuru!$F:$F,"&lt;&gt;"&amp;""))</f>
        <v/>
      </c>
      <c r="E125" s="159" t="str">
        <f>IF(C125="","-",IF(D125&gt;0,TEXT(D125/(COUNTIFS(Başvuru!$A:$A,"&lt;&gt;",Başvuru!$F:$F,"&lt;&gt;")-1)*100,"0.0")&amp;"%","-"))</f>
        <v>-</v>
      </c>
      <c r="F125" s="162" t="str">
        <f>IF(C125="","",COUNTIFS(Başvuru!$D:$D,C125,Başvuru!$G:$G,"Bireysel Araştırma",Başvuru!$A:$A,"&lt;&gt;"&amp;"",Başvuru!$F:$F,"&lt;&gt;"&amp;""))</f>
        <v/>
      </c>
      <c r="G125" s="162" t="str">
        <f>IF(C125="","",COUNTIFS(Başvuru!$D:$D,C125,Başvuru!$G:$G,"Uzmanlık Tezi",Başvuru!$A:$A,"&lt;&gt;"&amp;"",Başvuru!$F:$F,"&lt;&gt;"&amp;""))</f>
        <v/>
      </c>
      <c r="H125" s="162" t="str">
        <f>IF(C125="","",COUNTIFS(Başvuru!$D:$D,C125,Başvuru!$G:$G,"Doktora Tezi",Başvuru!$A:$A,"&lt;&gt;"&amp;"",Başvuru!$F:$F,"&lt;&gt;"&amp;""))</f>
        <v/>
      </c>
      <c r="I125" s="162" t="str">
        <f>IF(C125="","",COUNTIFS(Başvuru!$D:$D,C125,Başvuru!$G:$G,"Yüksek Lisans Tezi",Başvuru!$A:$A,"&lt;&gt;"&amp;"",Başvuru!$F:$F,"&lt;&gt;"&amp;""))</f>
        <v/>
      </c>
      <c r="J125" s="163" t="str">
        <f>IF(C125="","",COUNTIFS(Başvuru!$D:$D,C125,Başvuru!$L:$L,"ONAY",Başvuru!$A:$A,"&lt;&gt;"&amp;"",Başvuru!$F:$F,"&lt;&gt;"&amp;""))</f>
        <v/>
      </c>
      <c r="K125" s="164" t="str">
        <f>IF(C125="","",COUNTIFS(Başvuru!$D:$D,C125,Başvuru!$L:$L,"DÜZELTME",Başvuru!$A:$A,"&lt;&gt;"&amp;"",Başvuru!$F:$F,"&lt;&gt;"&amp;""))</f>
        <v/>
      </c>
      <c r="L125" s="165" t="str">
        <f>IF(C125="","",COUNTIFS(Başvuru!$D:$D,C125,Başvuru!$L:$L,"KAEK",Başvuru!$A:$A,"&lt;&gt;"&amp;"",Başvuru!$F:$F,"&lt;&gt;"&amp;""))</f>
        <v/>
      </c>
      <c r="M125" s="166" t="str">
        <f>IF(C125="","",COUNTIFS(Başvuru!$D:$D,C125,Başvuru!$L:$L,"GÖRÜŞ",Başvuru!$A:$A,"&lt;&gt;"&amp;"",Başvuru!$F:$F,"&lt;&gt;"&amp;""))</f>
        <v/>
      </c>
      <c r="N125" s="167" t="str">
        <f>IF(C125="","",COUNTIFS(Başvuru!$D:$D,C125,Başvuru!$L:$L,"RET",Başvuru!$A:$A,"&lt;&gt;"&amp;"",Başvuru!$F:$F,"&lt;&gt;"&amp;""))</f>
        <v/>
      </c>
      <c r="O125" s="168" t="str">
        <f>IF(C125="","",COUNTIFS(Başvuru!$D:$D,C125,Başvuru!$L:$L,"KAPSAM DIŞI",Başvuru!$A:$A,"&lt;&gt;"&amp;"",Başvuru!$F:$F,"&lt;&gt;"&amp;""))</f>
        <v/>
      </c>
      <c r="P125" s="169" t="str">
        <f>IF(C125="","",COUNTIFS(Başvuru!$D:$D,C125,Başvuru!$L:$L,"GERİ ÇEKİLDİ",Başvuru!$A:$A,"&lt;&gt;"&amp;"",Başvuru!$F:$F,"&lt;&gt;"&amp;""))</f>
        <v/>
      </c>
      <c r="Q125" s="170" t="str">
        <f t="array" ref="Q125">IFERROR(INDEX(Başvuru!$D$2:$D$3000, MATCH(0, COUNTIF($Q$5:Q124, Başvuru!$D$2:$D$3000) + IF(Başvuru!$D$2:$D$3000="",1,0), 0)), "")</f>
        <v/>
      </c>
      <c r="R125" s="171" t="str">
        <f>IF(Q125="","",COUNTIFS(Başvuru!$D:$D,Q125,Başvuru!$A:$A,"&lt;&gt;"&amp;"",Başvuru!$F:$F,"&lt;&gt;"&amp;""))</f>
        <v/>
      </c>
      <c r="S125" s="171" t="str">
        <f>IF(R125="","",RANK(R125,$R$6:$R$155,0)+COUNTIF($R$6:R125,R125)-1)</f>
        <v/>
      </c>
    </row>
    <row r="126" spans="2:19" x14ac:dyDescent="0.25">
      <c r="B126" s="159">
        <v>121</v>
      </c>
      <c r="C126" s="160" t="str">
        <f>IFERROR(INDEX($Q$6:$Q$155,MATCH(121,$S$6:$S$155,0)),"")</f>
        <v/>
      </c>
      <c r="D126" s="161" t="str">
        <f>IF(C126="","",COUNTIFS(Başvuru!$D:$D,C126,Başvuru!$A:$A,"&lt;&gt;"&amp;"",Başvuru!$F:$F,"&lt;&gt;"&amp;""))</f>
        <v/>
      </c>
      <c r="E126" s="159" t="str">
        <f>IF(C126="","-",IF(D126&gt;0,TEXT(D126/(COUNTIFS(Başvuru!$A:$A,"&lt;&gt;",Başvuru!$F:$F,"&lt;&gt;")-1)*100,"0.0")&amp;"%","-"))</f>
        <v>-</v>
      </c>
      <c r="F126" s="162" t="str">
        <f>IF(C126="","",COUNTIFS(Başvuru!$D:$D,C126,Başvuru!$G:$G,"Bireysel Araştırma",Başvuru!$A:$A,"&lt;&gt;"&amp;"",Başvuru!$F:$F,"&lt;&gt;"&amp;""))</f>
        <v/>
      </c>
      <c r="G126" s="162" t="str">
        <f>IF(C126="","",COUNTIFS(Başvuru!$D:$D,C126,Başvuru!$G:$G,"Uzmanlık Tezi",Başvuru!$A:$A,"&lt;&gt;"&amp;"",Başvuru!$F:$F,"&lt;&gt;"&amp;""))</f>
        <v/>
      </c>
      <c r="H126" s="162" t="str">
        <f>IF(C126="","",COUNTIFS(Başvuru!$D:$D,C126,Başvuru!$G:$G,"Doktora Tezi",Başvuru!$A:$A,"&lt;&gt;"&amp;"",Başvuru!$F:$F,"&lt;&gt;"&amp;""))</f>
        <v/>
      </c>
      <c r="I126" s="162" t="str">
        <f>IF(C126="","",COUNTIFS(Başvuru!$D:$D,C126,Başvuru!$G:$G,"Yüksek Lisans Tezi",Başvuru!$A:$A,"&lt;&gt;"&amp;"",Başvuru!$F:$F,"&lt;&gt;"&amp;""))</f>
        <v/>
      </c>
      <c r="J126" s="163" t="str">
        <f>IF(C126="","",COUNTIFS(Başvuru!$D:$D,C126,Başvuru!$L:$L,"ONAY",Başvuru!$A:$A,"&lt;&gt;"&amp;"",Başvuru!$F:$F,"&lt;&gt;"&amp;""))</f>
        <v/>
      </c>
      <c r="K126" s="164" t="str">
        <f>IF(C126="","",COUNTIFS(Başvuru!$D:$D,C126,Başvuru!$L:$L,"DÜZELTME",Başvuru!$A:$A,"&lt;&gt;"&amp;"",Başvuru!$F:$F,"&lt;&gt;"&amp;""))</f>
        <v/>
      </c>
      <c r="L126" s="165" t="str">
        <f>IF(C126="","",COUNTIFS(Başvuru!$D:$D,C126,Başvuru!$L:$L,"KAEK",Başvuru!$A:$A,"&lt;&gt;"&amp;"",Başvuru!$F:$F,"&lt;&gt;"&amp;""))</f>
        <v/>
      </c>
      <c r="M126" s="166" t="str">
        <f>IF(C126="","",COUNTIFS(Başvuru!$D:$D,C126,Başvuru!$L:$L,"GÖRÜŞ",Başvuru!$A:$A,"&lt;&gt;"&amp;"",Başvuru!$F:$F,"&lt;&gt;"&amp;""))</f>
        <v/>
      </c>
      <c r="N126" s="167" t="str">
        <f>IF(C126="","",COUNTIFS(Başvuru!$D:$D,C126,Başvuru!$L:$L,"RET",Başvuru!$A:$A,"&lt;&gt;"&amp;"",Başvuru!$F:$F,"&lt;&gt;"&amp;""))</f>
        <v/>
      </c>
      <c r="O126" s="168" t="str">
        <f>IF(C126="","",COUNTIFS(Başvuru!$D:$D,C126,Başvuru!$L:$L,"KAPSAM DIŞI",Başvuru!$A:$A,"&lt;&gt;"&amp;"",Başvuru!$F:$F,"&lt;&gt;"&amp;""))</f>
        <v/>
      </c>
      <c r="P126" s="169" t="str">
        <f>IF(C126="","",COUNTIFS(Başvuru!$D:$D,C126,Başvuru!$L:$L,"GERİ ÇEKİLDİ",Başvuru!$A:$A,"&lt;&gt;"&amp;"",Başvuru!$F:$F,"&lt;&gt;"&amp;""))</f>
        <v/>
      </c>
      <c r="Q126" s="170" t="str">
        <f t="array" ref="Q126">IFERROR(INDEX(Başvuru!$D$2:$D$3000, MATCH(0, COUNTIF($Q$5:Q125, Başvuru!$D$2:$D$3000) + IF(Başvuru!$D$2:$D$3000="",1,0), 0)), "")</f>
        <v/>
      </c>
      <c r="R126" s="171" t="str">
        <f>IF(Q126="","",COUNTIFS(Başvuru!$D:$D,Q126,Başvuru!$A:$A,"&lt;&gt;"&amp;"",Başvuru!$F:$F,"&lt;&gt;"&amp;""))</f>
        <v/>
      </c>
      <c r="S126" s="171" t="str">
        <f>IF(R126="","",RANK(R126,$R$6:$R$155,0)+COUNTIF($R$6:R126,R126)-1)</f>
        <v/>
      </c>
    </row>
    <row r="127" spans="2:19" x14ac:dyDescent="0.25">
      <c r="B127" s="159">
        <v>122</v>
      </c>
      <c r="C127" s="160" t="str">
        <f>IFERROR(INDEX($Q$6:$Q$155,MATCH(122,$S$6:$S$155,0)),"")</f>
        <v/>
      </c>
      <c r="D127" s="161" t="str">
        <f>IF(C127="","",COUNTIFS(Başvuru!$D:$D,C127,Başvuru!$A:$A,"&lt;&gt;"&amp;"",Başvuru!$F:$F,"&lt;&gt;"&amp;""))</f>
        <v/>
      </c>
      <c r="E127" s="159" t="str">
        <f>IF(C127="","-",IF(D127&gt;0,TEXT(D127/(COUNTIFS(Başvuru!$A:$A,"&lt;&gt;",Başvuru!$F:$F,"&lt;&gt;")-1)*100,"0.0")&amp;"%","-"))</f>
        <v>-</v>
      </c>
      <c r="F127" s="162" t="str">
        <f>IF(C127="","",COUNTIFS(Başvuru!$D:$D,C127,Başvuru!$G:$G,"Bireysel Araştırma",Başvuru!$A:$A,"&lt;&gt;"&amp;"",Başvuru!$F:$F,"&lt;&gt;"&amp;""))</f>
        <v/>
      </c>
      <c r="G127" s="162" t="str">
        <f>IF(C127="","",COUNTIFS(Başvuru!$D:$D,C127,Başvuru!$G:$G,"Uzmanlık Tezi",Başvuru!$A:$A,"&lt;&gt;"&amp;"",Başvuru!$F:$F,"&lt;&gt;"&amp;""))</f>
        <v/>
      </c>
      <c r="H127" s="162" t="str">
        <f>IF(C127="","",COUNTIFS(Başvuru!$D:$D,C127,Başvuru!$G:$G,"Doktora Tezi",Başvuru!$A:$A,"&lt;&gt;"&amp;"",Başvuru!$F:$F,"&lt;&gt;"&amp;""))</f>
        <v/>
      </c>
      <c r="I127" s="162" t="str">
        <f>IF(C127="","",COUNTIFS(Başvuru!$D:$D,C127,Başvuru!$G:$G,"Yüksek Lisans Tezi",Başvuru!$A:$A,"&lt;&gt;"&amp;"",Başvuru!$F:$F,"&lt;&gt;"&amp;""))</f>
        <v/>
      </c>
      <c r="J127" s="163" t="str">
        <f>IF(C127="","",COUNTIFS(Başvuru!$D:$D,C127,Başvuru!$L:$L,"ONAY",Başvuru!$A:$A,"&lt;&gt;"&amp;"",Başvuru!$F:$F,"&lt;&gt;"&amp;""))</f>
        <v/>
      </c>
      <c r="K127" s="164" t="str">
        <f>IF(C127="","",COUNTIFS(Başvuru!$D:$D,C127,Başvuru!$L:$L,"DÜZELTME",Başvuru!$A:$A,"&lt;&gt;"&amp;"",Başvuru!$F:$F,"&lt;&gt;"&amp;""))</f>
        <v/>
      </c>
      <c r="L127" s="165" t="str">
        <f>IF(C127="","",COUNTIFS(Başvuru!$D:$D,C127,Başvuru!$L:$L,"KAEK",Başvuru!$A:$A,"&lt;&gt;"&amp;"",Başvuru!$F:$F,"&lt;&gt;"&amp;""))</f>
        <v/>
      </c>
      <c r="M127" s="166" t="str">
        <f>IF(C127="","",COUNTIFS(Başvuru!$D:$D,C127,Başvuru!$L:$L,"GÖRÜŞ",Başvuru!$A:$A,"&lt;&gt;"&amp;"",Başvuru!$F:$F,"&lt;&gt;"&amp;""))</f>
        <v/>
      </c>
      <c r="N127" s="167" t="str">
        <f>IF(C127="","",COUNTIFS(Başvuru!$D:$D,C127,Başvuru!$L:$L,"RET",Başvuru!$A:$A,"&lt;&gt;"&amp;"",Başvuru!$F:$F,"&lt;&gt;"&amp;""))</f>
        <v/>
      </c>
      <c r="O127" s="168" t="str">
        <f>IF(C127="","",COUNTIFS(Başvuru!$D:$D,C127,Başvuru!$L:$L,"KAPSAM DIŞI",Başvuru!$A:$A,"&lt;&gt;"&amp;"",Başvuru!$F:$F,"&lt;&gt;"&amp;""))</f>
        <v/>
      </c>
      <c r="P127" s="169" t="str">
        <f>IF(C127="","",COUNTIFS(Başvuru!$D:$D,C127,Başvuru!$L:$L,"GERİ ÇEKİLDİ",Başvuru!$A:$A,"&lt;&gt;"&amp;"",Başvuru!$F:$F,"&lt;&gt;"&amp;""))</f>
        <v/>
      </c>
      <c r="Q127" s="170" t="str">
        <f t="array" ref="Q127">IFERROR(INDEX(Başvuru!$D$2:$D$3000, MATCH(0, COUNTIF($Q$5:Q126, Başvuru!$D$2:$D$3000) + IF(Başvuru!$D$2:$D$3000="",1,0), 0)), "")</f>
        <v/>
      </c>
      <c r="R127" s="171" t="str">
        <f>IF(Q127="","",COUNTIFS(Başvuru!$D:$D,Q127,Başvuru!$A:$A,"&lt;&gt;"&amp;"",Başvuru!$F:$F,"&lt;&gt;"&amp;""))</f>
        <v/>
      </c>
      <c r="S127" s="171" t="str">
        <f>IF(R127="","",RANK(R127,$R$6:$R$155,0)+COUNTIF($R$6:R127,R127)-1)</f>
        <v/>
      </c>
    </row>
    <row r="128" spans="2:19" x14ac:dyDescent="0.25">
      <c r="B128" s="159">
        <v>123</v>
      </c>
      <c r="C128" s="160" t="str">
        <f>IFERROR(INDEX($Q$6:$Q$155,MATCH(123,$S$6:$S$155,0)),"")</f>
        <v/>
      </c>
      <c r="D128" s="161" t="str">
        <f>IF(C128="","",COUNTIFS(Başvuru!$D:$D,C128,Başvuru!$A:$A,"&lt;&gt;"&amp;"",Başvuru!$F:$F,"&lt;&gt;"&amp;""))</f>
        <v/>
      </c>
      <c r="E128" s="159" t="str">
        <f>IF(C128="","-",IF(D128&gt;0,TEXT(D128/(COUNTIFS(Başvuru!$A:$A,"&lt;&gt;",Başvuru!$F:$F,"&lt;&gt;")-1)*100,"0.0")&amp;"%","-"))</f>
        <v>-</v>
      </c>
      <c r="F128" s="162" t="str">
        <f>IF(C128="","",COUNTIFS(Başvuru!$D:$D,C128,Başvuru!$G:$G,"Bireysel Araştırma",Başvuru!$A:$A,"&lt;&gt;"&amp;"",Başvuru!$F:$F,"&lt;&gt;"&amp;""))</f>
        <v/>
      </c>
      <c r="G128" s="162" t="str">
        <f>IF(C128="","",COUNTIFS(Başvuru!$D:$D,C128,Başvuru!$G:$G,"Uzmanlık Tezi",Başvuru!$A:$A,"&lt;&gt;"&amp;"",Başvuru!$F:$F,"&lt;&gt;"&amp;""))</f>
        <v/>
      </c>
      <c r="H128" s="162" t="str">
        <f>IF(C128="","",COUNTIFS(Başvuru!$D:$D,C128,Başvuru!$G:$G,"Doktora Tezi",Başvuru!$A:$A,"&lt;&gt;"&amp;"",Başvuru!$F:$F,"&lt;&gt;"&amp;""))</f>
        <v/>
      </c>
      <c r="I128" s="162" t="str">
        <f>IF(C128="","",COUNTIFS(Başvuru!$D:$D,C128,Başvuru!$G:$G,"Yüksek Lisans Tezi",Başvuru!$A:$A,"&lt;&gt;"&amp;"",Başvuru!$F:$F,"&lt;&gt;"&amp;""))</f>
        <v/>
      </c>
      <c r="J128" s="163" t="str">
        <f>IF(C128="","",COUNTIFS(Başvuru!$D:$D,C128,Başvuru!$L:$L,"ONAY",Başvuru!$A:$A,"&lt;&gt;"&amp;"",Başvuru!$F:$F,"&lt;&gt;"&amp;""))</f>
        <v/>
      </c>
      <c r="K128" s="164" t="str">
        <f>IF(C128="","",COUNTIFS(Başvuru!$D:$D,C128,Başvuru!$L:$L,"DÜZELTME",Başvuru!$A:$A,"&lt;&gt;"&amp;"",Başvuru!$F:$F,"&lt;&gt;"&amp;""))</f>
        <v/>
      </c>
      <c r="L128" s="165" t="str">
        <f>IF(C128="","",COUNTIFS(Başvuru!$D:$D,C128,Başvuru!$L:$L,"KAEK",Başvuru!$A:$A,"&lt;&gt;"&amp;"",Başvuru!$F:$F,"&lt;&gt;"&amp;""))</f>
        <v/>
      </c>
      <c r="M128" s="166" t="str">
        <f>IF(C128="","",COUNTIFS(Başvuru!$D:$D,C128,Başvuru!$L:$L,"GÖRÜŞ",Başvuru!$A:$A,"&lt;&gt;"&amp;"",Başvuru!$F:$F,"&lt;&gt;"&amp;""))</f>
        <v/>
      </c>
      <c r="N128" s="167" t="str">
        <f>IF(C128="","",COUNTIFS(Başvuru!$D:$D,C128,Başvuru!$L:$L,"RET",Başvuru!$A:$A,"&lt;&gt;"&amp;"",Başvuru!$F:$F,"&lt;&gt;"&amp;""))</f>
        <v/>
      </c>
      <c r="O128" s="168" t="str">
        <f>IF(C128="","",COUNTIFS(Başvuru!$D:$D,C128,Başvuru!$L:$L,"KAPSAM DIŞI",Başvuru!$A:$A,"&lt;&gt;"&amp;"",Başvuru!$F:$F,"&lt;&gt;"&amp;""))</f>
        <v/>
      </c>
      <c r="P128" s="169" t="str">
        <f>IF(C128="","",COUNTIFS(Başvuru!$D:$D,C128,Başvuru!$L:$L,"GERİ ÇEKİLDİ",Başvuru!$A:$A,"&lt;&gt;"&amp;"",Başvuru!$F:$F,"&lt;&gt;"&amp;""))</f>
        <v/>
      </c>
      <c r="Q128" s="170" t="str">
        <f t="array" ref="Q128">IFERROR(INDEX(Başvuru!$D$2:$D$3000, MATCH(0, COUNTIF($Q$5:Q127, Başvuru!$D$2:$D$3000) + IF(Başvuru!$D$2:$D$3000="",1,0), 0)), "")</f>
        <v/>
      </c>
      <c r="R128" s="171" t="str">
        <f>IF(Q128="","",COUNTIFS(Başvuru!$D:$D,Q128,Başvuru!$A:$A,"&lt;&gt;"&amp;"",Başvuru!$F:$F,"&lt;&gt;"&amp;""))</f>
        <v/>
      </c>
      <c r="S128" s="171" t="str">
        <f>IF(R128="","",RANK(R128,$R$6:$R$155,0)+COUNTIF($R$6:R128,R128)-1)</f>
        <v/>
      </c>
    </row>
    <row r="129" spans="2:19" x14ac:dyDescent="0.25">
      <c r="B129" s="159">
        <v>124</v>
      </c>
      <c r="C129" s="160" t="str">
        <f>IFERROR(INDEX($Q$6:$Q$155,MATCH(124,$S$6:$S$155,0)),"")</f>
        <v/>
      </c>
      <c r="D129" s="161" t="str">
        <f>IF(C129="","",COUNTIFS(Başvuru!$D:$D,C129,Başvuru!$A:$A,"&lt;&gt;"&amp;"",Başvuru!$F:$F,"&lt;&gt;"&amp;""))</f>
        <v/>
      </c>
      <c r="E129" s="159" t="str">
        <f>IF(C129="","-",IF(D129&gt;0,TEXT(D129/(COUNTIFS(Başvuru!$A:$A,"&lt;&gt;",Başvuru!$F:$F,"&lt;&gt;")-1)*100,"0.0")&amp;"%","-"))</f>
        <v>-</v>
      </c>
      <c r="F129" s="162" t="str">
        <f>IF(C129="","",COUNTIFS(Başvuru!$D:$D,C129,Başvuru!$G:$G,"Bireysel Araştırma",Başvuru!$A:$A,"&lt;&gt;"&amp;"",Başvuru!$F:$F,"&lt;&gt;"&amp;""))</f>
        <v/>
      </c>
      <c r="G129" s="162" t="str">
        <f>IF(C129="","",COUNTIFS(Başvuru!$D:$D,C129,Başvuru!$G:$G,"Uzmanlık Tezi",Başvuru!$A:$A,"&lt;&gt;"&amp;"",Başvuru!$F:$F,"&lt;&gt;"&amp;""))</f>
        <v/>
      </c>
      <c r="H129" s="162" t="str">
        <f>IF(C129="","",COUNTIFS(Başvuru!$D:$D,C129,Başvuru!$G:$G,"Doktora Tezi",Başvuru!$A:$A,"&lt;&gt;"&amp;"",Başvuru!$F:$F,"&lt;&gt;"&amp;""))</f>
        <v/>
      </c>
      <c r="I129" s="162" t="str">
        <f>IF(C129="","",COUNTIFS(Başvuru!$D:$D,C129,Başvuru!$G:$G,"Yüksek Lisans Tezi",Başvuru!$A:$A,"&lt;&gt;"&amp;"",Başvuru!$F:$F,"&lt;&gt;"&amp;""))</f>
        <v/>
      </c>
      <c r="J129" s="163" t="str">
        <f>IF(C129="","",COUNTIFS(Başvuru!$D:$D,C129,Başvuru!$L:$L,"ONAY",Başvuru!$A:$A,"&lt;&gt;"&amp;"",Başvuru!$F:$F,"&lt;&gt;"&amp;""))</f>
        <v/>
      </c>
      <c r="K129" s="164" t="str">
        <f>IF(C129="","",COUNTIFS(Başvuru!$D:$D,C129,Başvuru!$L:$L,"DÜZELTME",Başvuru!$A:$A,"&lt;&gt;"&amp;"",Başvuru!$F:$F,"&lt;&gt;"&amp;""))</f>
        <v/>
      </c>
      <c r="L129" s="165" t="str">
        <f>IF(C129="","",COUNTIFS(Başvuru!$D:$D,C129,Başvuru!$L:$L,"KAEK",Başvuru!$A:$A,"&lt;&gt;"&amp;"",Başvuru!$F:$F,"&lt;&gt;"&amp;""))</f>
        <v/>
      </c>
      <c r="M129" s="166" t="str">
        <f>IF(C129="","",COUNTIFS(Başvuru!$D:$D,C129,Başvuru!$L:$L,"GÖRÜŞ",Başvuru!$A:$A,"&lt;&gt;"&amp;"",Başvuru!$F:$F,"&lt;&gt;"&amp;""))</f>
        <v/>
      </c>
      <c r="N129" s="167" t="str">
        <f>IF(C129="","",COUNTIFS(Başvuru!$D:$D,C129,Başvuru!$L:$L,"RET",Başvuru!$A:$A,"&lt;&gt;"&amp;"",Başvuru!$F:$F,"&lt;&gt;"&amp;""))</f>
        <v/>
      </c>
      <c r="O129" s="168" t="str">
        <f>IF(C129="","",COUNTIFS(Başvuru!$D:$D,C129,Başvuru!$L:$L,"KAPSAM DIŞI",Başvuru!$A:$A,"&lt;&gt;"&amp;"",Başvuru!$F:$F,"&lt;&gt;"&amp;""))</f>
        <v/>
      </c>
      <c r="P129" s="169" t="str">
        <f>IF(C129="","",COUNTIFS(Başvuru!$D:$D,C129,Başvuru!$L:$L,"GERİ ÇEKİLDİ",Başvuru!$A:$A,"&lt;&gt;"&amp;"",Başvuru!$F:$F,"&lt;&gt;"&amp;""))</f>
        <v/>
      </c>
      <c r="Q129" s="170" t="str">
        <f t="array" ref="Q129">IFERROR(INDEX(Başvuru!$D$2:$D$3000, MATCH(0, COUNTIF($Q$5:Q128, Başvuru!$D$2:$D$3000) + IF(Başvuru!$D$2:$D$3000="",1,0), 0)), "")</f>
        <v/>
      </c>
      <c r="R129" s="171" t="str">
        <f>IF(Q129="","",COUNTIFS(Başvuru!$D:$D,Q129,Başvuru!$A:$A,"&lt;&gt;"&amp;"",Başvuru!$F:$F,"&lt;&gt;"&amp;""))</f>
        <v/>
      </c>
      <c r="S129" s="171" t="str">
        <f>IF(R129="","",RANK(R129,$R$6:$R$155,0)+COUNTIF($R$6:R129,R129)-1)</f>
        <v/>
      </c>
    </row>
    <row r="130" spans="2:19" x14ac:dyDescent="0.25">
      <c r="B130" s="159">
        <v>125</v>
      </c>
      <c r="C130" s="160" t="str">
        <f>IFERROR(INDEX($Q$6:$Q$155,MATCH(125,$S$6:$S$155,0)),"")</f>
        <v/>
      </c>
      <c r="D130" s="161" t="str">
        <f>IF(C130="","",COUNTIFS(Başvuru!$D:$D,C130,Başvuru!$A:$A,"&lt;&gt;"&amp;"",Başvuru!$F:$F,"&lt;&gt;"&amp;""))</f>
        <v/>
      </c>
      <c r="E130" s="159" t="str">
        <f>IF(C130="","-",IF(D130&gt;0,TEXT(D130/(COUNTIFS(Başvuru!$A:$A,"&lt;&gt;",Başvuru!$F:$F,"&lt;&gt;")-1)*100,"0.0")&amp;"%","-"))</f>
        <v>-</v>
      </c>
      <c r="F130" s="162" t="str">
        <f>IF(C130="","",COUNTIFS(Başvuru!$D:$D,C130,Başvuru!$G:$G,"Bireysel Araştırma",Başvuru!$A:$A,"&lt;&gt;"&amp;"",Başvuru!$F:$F,"&lt;&gt;"&amp;""))</f>
        <v/>
      </c>
      <c r="G130" s="162" t="str">
        <f>IF(C130="","",COUNTIFS(Başvuru!$D:$D,C130,Başvuru!$G:$G,"Uzmanlık Tezi",Başvuru!$A:$A,"&lt;&gt;"&amp;"",Başvuru!$F:$F,"&lt;&gt;"&amp;""))</f>
        <v/>
      </c>
      <c r="H130" s="162" t="str">
        <f>IF(C130="","",COUNTIFS(Başvuru!$D:$D,C130,Başvuru!$G:$G,"Doktora Tezi",Başvuru!$A:$A,"&lt;&gt;"&amp;"",Başvuru!$F:$F,"&lt;&gt;"&amp;""))</f>
        <v/>
      </c>
      <c r="I130" s="162" t="str">
        <f>IF(C130="","",COUNTIFS(Başvuru!$D:$D,C130,Başvuru!$G:$G,"Yüksek Lisans Tezi",Başvuru!$A:$A,"&lt;&gt;"&amp;"",Başvuru!$F:$F,"&lt;&gt;"&amp;""))</f>
        <v/>
      </c>
      <c r="J130" s="163" t="str">
        <f>IF(C130="","",COUNTIFS(Başvuru!$D:$D,C130,Başvuru!$L:$L,"ONAY",Başvuru!$A:$A,"&lt;&gt;"&amp;"",Başvuru!$F:$F,"&lt;&gt;"&amp;""))</f>
        <v/>
      </c>
      <c r="K130" s="164" t="str">
        <f>IF(C130="","",COUNTIFS(Başvuru!$D:$D,C130,Başvuru!$L:$L,"DÜZELTME",Başvuru!$A:$A,"&lt;&gt;"&amp;"",Başvuru!$F:$F,"&lt;&gt;"&amp;""))</f>
        <v/>
      </c>
      <c r="L130" s="165" t="str">
        <f>IF(C130="","",COUNTIFS(Başvuru!$D:$D,C130,Başvuru!$L:$L,"KAEK",Başvuru!$A:$A,"&lt;&gt;"&amp;"",Başvuru!$F:$F,"&lt;&gt;"&amp;""))</f>
        <v/>
      </c>
      <c r="M130" s="166" t="str">
        <f>IF(C130="","",COUNTIFS(Başvuru!$D:$D,C130,Başvuru!$L:$L,"GÖRÜŞ",Başvuru!$A:$A,"&lt;&gt;"&amp;"",Başvuru!$F:$F,"&lt;&gt;"&amp;""))</f>
        <v/>
      </c>
      <c r="N130" s="167" t="str">
        <f>IF(C130="","",COUNTIFS(Başvuru!$D:$D,C130,Başvuru!$L:$L,"RET",Başvuru!$A:$A,"&lt;&gt;"&amp;"",Başvuru!$F:$F,"&lt;&gt;"&amp;""))</f>
        <v/>
      </c>
      <c r="O130" s="168" t="str">
        <f>IF(C130="","",COUNTIFS(Başvuru!$D:$D,C130,Başvuru!$L:$L,"KAPSAM DIŞI",Başvuru!$A:$A,"&lt;&gt;"&amp;"",Başvuru!$F:$F,"&lt;&gt;"&amp;""))</f>
        <v/>
      </c>
      <c r="P130" s="169" t="str">
        <f>IF(C130="","",COUNTIFS(Başvuru!$D:$D,C130,Başvuru!$L:$L,"GERİ ÇEKİLDİ",Başvuru!$A:$A,"&lt;&gt;"&amp;"",Başvuru!$F:$F,"&lt;&gt;"&amp;""))</f>
        <v/>
      </c>
      <c r="Q130" s="170" t="str">
        <f t="array" ref="Q130">IFERROR(INDEX(Başvuru!$D$2:$D$3000, MATCH(0, COUNTIF($Q$5:Q129, Başvuru!$D$2:$D$3000) + IF(Başvuru!$D$2:$D$3000="",1,0), 0)), "")</f>
        <v/>
      </c>
      <c r="R130" s="171" t="str">
        <f>IF(Q130="","",COUNTIFS(Başvuru!$D:$D,Q130,Başvuru!$A:$A,"&lt;&gt;"&amp;"",Başvuru!$F:$F,"&lt;&gt;"&amp;""))</f>
        <v/>
      </c>
      <c r="S130" s="171" t="str">
        <f>IF(R130="","",RANK(R130,$R$6:$R$155,0)+COUNTIF($R$6:R130,R130)-1)</f>
        <v/>
      </c>
    </row>
    <row r="131" spans="2:19" x14ac:dyDescent="0.25">
      <c r="B131" s="159">
        <v>126</v>
      </c>
      <c r="C131" s="160" t="str">
        <f>IFERROR(INDEX($Q$6:$Q$155,MATCH(126,$S$6:$S$155,0)),"")</f>
        <v/>
      </c>
      <c r="D131" s="161" t="str">
        <f>IF(C131="","",COUNTIFS(Başvuru!$D:$D,C131,Başvuru!$A:$A,"&lt;&gt;"&amp;"",Başvuru!$F:$F,"&lt;&gt;"&amp;""))</f>
        <v/>
      </c>
      <c r="E131" s="159" t="str">
        <f>IF(C131="","-",IF(D131&gt;0,TEXT(D131/(COUNTIFS(Başvuru!$A:$A,"&lt;&gt;",Başvuru!$F:$F,"&lt;&gt;")-1)*100,"0.0")&amp;"%","-"))</f>
        <v>-</v>
      </c>
      <c r="F131" s="162" t="str">
        <f>IF(C131="","",COUNTIFS(Başvuru!$D:$D,C131,Başvuru!$G:$G,"Bireysel Araştırma",Başvuru!$A:$A,"&lt;&gt;"&amp;"",Başvuru!$F:$F,"&lt;&gt;"&amp;""))</f>
        <v/>
      </c>
      <c r="G131" s="162" t="str">
        <f>IF(C131="","",COUNTIFS(Başvuru!$D:$D,C131,Başvuru!$G:$G,"Uzmanlık Tezi",Başvuru!$A:$A,"&lt;&gt;"&amp;"",Başvuru!$F:$F,"&lt;&gt;"&amp;""))</f>
        <v/>
      </c>
      <c r="H131" s="162" t="str">
        <f>IF(C131="","",COUNTIFS(Başvuru!$D:$D,C131,Başvuru!$G:$G,"Doktora Tezi",Başvuru!$A:$A,"&lt;&gt;"&amp;"",Başvuru!$F:$F,"&lt;&gt;"&amp;""))</f>
        <v/>
      </c>
      <c r="I131" s="162" t="str">
        <f>IF(C131="","",COUNTIFS(Başvuru!$D:$D,C131,Başvuru!$G:$G,"Yüksek Lisans Tezi",Başvuru!$A:$A,"&lt;&gt;"&amp;"",Başvuru!$F:$F,"&lt;&gt;"&amp;""))</f>
        <v/>
      </c>
      <c r="J131" s="163" t="str">
        <f>IF(C131="","",COUNTIFS(Başvuru!$D:$D,C131,Başvuru!$L:$L,"ONAY",Başvuru!$A:$A,"&lt;&gt;"&amp;"",Başvuru!$F:$F,"&lt;&gt;"&amp;""))</f>
        <v/>
      </c>
      <c r="K131" s="164" t="str">
        <f>IF(C131="","",COUNTIFS(Başvuru!$D:$D,C131,Başvuru!$L:$L,"DÜZELTME",Başvuru!$A:$A,"&lt;&gt;"&amp;"",Başvuru!$F:$F,"&lt;&gt;"&amp;""))</f>
        <v/>
      </c>
      <c r="L131" s="165" t="str">
        <f>IF(C131="","",COUNTIFS(Başvuru!$D:$D,C131,Başvuru!$L:$L,"KAEK",Başvuru!$A:$A,"&lt;&gt;"&amp;"",Başvuru!$F:$F,"&lt;&gt;"&amp;""))</f>
        <v/>
      </c>
      <c r="M131" s="166" t="str">
        <f>IF(C131="","",COUNTIFS(Başvuru!$D:$D,C131,Başvuru!$L:$L,"GÖRÜŞ",Başvuru!$A:$A,"&lt;&gt;"&amp;"",Başvuru!$F:$F,"&lt;&gt;"&amp;""))</f>
        <v/>
      </c>
      <c r="N131" s="167" t="str">
        <f>IF(C131="","",COUNTIFS(Başvuru!$D:$D,C131,Başvuru!$L:$L,"RET",Başvuru!$A:$A,"&lt;&gt;"&amp;"",Başvuru!$F:$F,"&lt;&gt;"&amp;""))</f>
        <v/>
      </c>
      <c r="O131" s="168" t="str">
        <f>IF(C131="","",COUNTIFS(Başvuru!$D:$D,C131,Başvuru!$L:$L,"KAPSAM DIŞI",Başvuru!$A:$A,"&lt;&gt;"&amp;"",Başvuru!$F:$F,"&lt;&gt;"&amp;""))</f>
        <v/>
      </c>
      <c r="P131" s="169" t="str">
        <f>IF(C131="","",COUNTIFS(Başvuru!$D:$D,C131,Başvuru!$L:$L,"GERİ ÇEKİLDİ",Başvuru!$A:$A,"&lt;&gt;"&amp;"",Başvuru!$F:$F,"&lt;&gt;"&amp;""))</f>
        <v/>
      </c>
      <c r="Q131" s="170" t="str">
        <f t="array" ref="Q131">IFERROR(INDEX(Başvuru!$D$2:$D$3000, MATCH(0, COUNTIF($Q$5:Q130, Başvuru!$D$2:$D$3000) + IF(Başvuru!$D$2:$D$3000="",1,0), 0)), "")</f>
        <v/>
      </c>
      <c r="R131" s="171" t="str">
        <f>IF(Q131="","",COUNTIFS(Başvuru!$D:$D,Q131,Başvuru!$A:$A,"&lt;&gt;"&amp;"",Başvuru!$F:$F,"&lt;&gt;"&amp;""))</f>
        <v/>
      </c>
      <c r="S131" s="171" t="str">
        <f>IF(R131="","",RANK(R131,$R$6:$R$155,0)+COUNTIF($R$6:R131,R131)-1)</f>
        <v/>
      </c>
    </row>
    <row r="132" spans="2:19" x14ac:dyDescent="0.25">
      <c r="B132" s="159">
        <v>127</v>
      </c>
      <c r="C132" s="160" t="str">
        <f>IFERROR(INDEX($Q$6:$Q$155,MATCH(127,$S$6:$S$155,0)),"")</f>
        <v/>
      </c>
      <c r="D132" s="161" t="str">
        <f>IF(C132="","",COUNTIFS(Başvuru!$D:$D,C132,Başvuru!$A:$A,"&lt;&gt;"&amp;"",Başvuru!$F:$F,"&lt;&gt;"&amp;""))</f>
        <v/>
      </c>
      <c r="E132" s="159" t="str">
        <f>IF(C132="","-",IF(D132&gt;0,TEXT(D132/(COUNTIFS(Başvuru!$A:$A,"&lt;&gt;",Başvuru!$F:$F,"&lt;&gt;")-1)*100,"0.0")&amp;"%","-"))</f>
        <v>-</v>
      </c>
      <c r="F132" s="162" t="str">
        <f>IF(C132="","",COUNTIFS(Başvuru!$D:$D,C132,Başvuru!$G:$G,"Bireysel Araştırma",Başvuru!$A:$A,"&lt;&gt;"&amp;"",Başvuru!$F:$F,"&lt;&gt;"&amp;""))</f>
        <v/>
      </c>
      <c r="G132" s="162" t="str">
        <f>IF(C132="","",COUNTIFS(Başvuru!$D:$D,C132,Başvuru!$G:$G,"Uzmanlık Tezi",Başvuru!$A:$A,"&lt;&gt;"&amp;"",Başvuru!$F:$F,"&lt;&gt;"&amp;""))</f>
        <v/>
      </c>
      <c r="H132" s="162" t="str">
        <f>IF(C132="","",COUNTIFS(Başvuru!$D:$D,C132,Başvuru!$G:$G,"Doktora Tezi",Başvuru!$A:$A,"&lt;&gt;"&amp;"",Başvuru!$F:$F,"&lt;&gt;"&amp;""))</f>
        <v/>
      </c>
      <c r="I132" s="162" t="str">
        <f>IF(C132="","",COUNTIFS(Başvuru!$D:$D,C132,Başvuru!$G:$G,"Yüksek Lisans Tezi",Başvuru!$A:$A,"&lt;&gt;"&amp;"",Başvuru!$F:$F,"&lt;&gt;"&amp;""))</f>
        <v/>
      </c>
      <c r="J132" s="163" t="str">
        <f>IF(C132="","",COUNTIFS(Başvuru!$D:$D,C132,Başvuru!$L:$L,"ONAY",Başvuru!$A:$A,"&lt;&gt;"&amp;"",Başvuru!$F:$F,"&lt;&gt;"&amp;""))</f>
        <v/>
      </c>
      <c r="K132" s="164" t="str">
        <f>IF(C132="","",COUNTIFS(Başvuru!$D:$D,C132,Başvuru!$L:$L,"DÜZELTME",Başvuru!$A:$A,"&lt;&gt;"&amp;"",Başvuru!$F:$F,"&lt;&gt;"&amp;""))</f>
        <v/>
      </c>
      <c r="L132" s="165" t="str">
        <f>IF(C132="","",COUNTIFS(Başvuru!$D:$D,C132,Başvuru!$L:$L,"KAEK",Başvuru!$A:$A,"&lt;&gt;"&amp;"",Başvuru!$F:$F,"&lt;&gt;"&amp;""))</f>
        <v/>
      </c>
      <c r="M132" s="166" t="str">
        <f>IF(C132="","",COUNTIFS(Başvuru!$D:$D,C132,Başvuru!$L:$L,"GÖRÜŞ",Başvuru!$A:$A,"&lt;&gt;"&amp;"",Başvuru!$F:$F,"&lt;&gt;"&amp;""))</f>
        <v/>
      </c>
      <c r="N132" s="167" t="str">
        <f>IF(C132="","",COUNTIFS(Başvuru!$D:$D,C132,Başvuru!$L:$L,"RET",Başvuru!$A:$A,"&lt;&gt;"&amp;"",Başvuru!$F:$F,"&lt;&gt;"&amp;""))</f>
        <v/>
      </c>
      <c r="O132" s="168" t="str">
        <f>IF(C132="","",COUNTIFS(Başvuru!$D:$D,C132,Başvuru!$L:$L,"KAPSAM DIŞI",Başvuru!$A:$A,"&lt;&gt;"&amp;"",Başvuru!$F:$F,"&lt;&gt;"&amp;""))</f>
        <v/>
      </c>
      <c r="P132" s="169" t="str">
        <f>IF(C132="","",COUNTIFS(Başvuru!$D:$D,C132,Başvuru!$L:$L,"GERİ ÇEKİLDİ",Başvuru!$A:$A,"&lt;&gt;"&amp;"",Başvuru!$F:$F,"&lt;&gt;"&amp;""))</f>
        <v/>
      </c>
      <c r="Q132" s="170" t="str">
        <f t="array" ref="Q132">IFERROR(INDEX(Başvuru!$D$2:$D$3000, MATCH(0, COUNTIF($Q$5:Q131, Başvuru!$D$2:$D$3000) + IF(Başvuru!$D$2:$D$3000="",1,0), 0)), "")</f>
        <v/>
      </c>
      <c r="R132" s="171" t="str">
        <f>IF(Q132="","",COUNTIFS(Başvuru!$D:$D,Q132,Başvuru!$A:$A,"&lt;&gt;"&amp;"",Başvuru!$F:$F,"&lt;&gt;"&amp;""))</f>
        <v/>
      </c>
      <c r="S132" s="171" t="str">
        <f>IF(R132="","",RANK(R132,$R$6:$R$155,0)+COUNTIF($R$6:R132,R132)-1)</f>
        <v/>
      </c>
    </row>
    <row r="133" spans="2:19" x14ac:dyDescent="0.25">
      <c r="B133" s="159">
        <v>128</v>
      </c>
      <c r="C133" s="160" t="str">
        <f>IFERROR(INDEX($Q$6:$Q$155,MATCH(128,$S$6:$S$155,0)),"")</f>
        <v/>
      </c>
      <c r="D133" s="161" t="str">
        <f>IF(C133="","",COUNTIFS(Başvuru!$D:$D,C133,Başvuru!$A:$A,"&lt;&gt;"&amp;"",Başvuru!$F:$F,"&lt;&gt;"&amp;""))</f>
        <v/>
      </c>
      <c r="E133" s="159" t="str">
        <f>IF(C133="","-",IF(D133&gt;0,TEXT(D133/(COUNTIFS(Başvuru!$A:$A,"&lt;&gt;",Başvuru!$F:$F,"&lt;&gt;")-1)*100,"0.0")&amp;"%","-"))</f>
        <v>-</v>
      </c>
      <c r="F133" s="162" t="str">
        <f>IF(C133="","",COUNTIFS(Başvuru!$D:$D,C133,Başvuru!$G:$G,"Bireysel Araştırma",Başvuru!$A:$A,"&lt;&gt;"&amp;"",Başvuru!$F:$F,"&lt;&gt;"&amp;""))</f>
        <v/>
      </c>
      <c r="G133" s="162" t="str">
        <f>IF(C133="","",COUNTIFS(Başvuru!$D:$D,C133,Başvuru!$G:$G,"Uzmanlık Tezi",Başvuru!$A:$A,"&lt;&gt;"&amp;"",Başvuru!$F:$F,"&lt;&gt;"&amp;""))</f>
        <v/>
      </c>
      <c r="H133" s="162" t="str">
        <f>IF(C133="","",COUNTIFS(Başvuru!$D:$D,C133,Başvuru!$G:$G,"Doktora Tezi",Başvuru!$A:$A,"&lt;&gt;"&amp;"",Başvuru!$F:$F,"&lt;&gt;"&amp;""))</f>
        <v/>
      </c>
      <c r="I133" s="162" t="str">
        <f>IF(C133="","",COUNTIFS(Başvuru!$D:$D,C133,Başvuru!$G:$G,"Yüksek Lisans Tezi",Başvuru!$A:$A,"&lt;&gt;"&amp;"",Başvuru!$F:$F,"&lt;&gt;"&amp;""))</f>
        <v/>
      </c>
      <c r="J133" s="163" t="str">
        <f>IF(C133="","",COUNTIFS(Başvuru!$D:$D,C133,Başvuru!$L:$L,"ONAY",Başvuru!$A:$A,"&lt;&gt;"&amp;"",Başvuru!$F:$F,"&lt;&gt;"&amp;""))</f>
        <v/>
      </c>
      <c r="K133" s="164" t="str">
        <f>IF(C133="","",COUNTIFS(Başvuru!$D:$D,C133,Başvuru!$L:$L,"DÜZELTME",Başvuru!$A:$A,"&lt;&gt;"&amp;"",Başvuru!$F:$F,"&lt;&gt;"&amp;""))</f>
        <v/>
      </c>
      <c r="L133" s="165" t="str">
        <f>IF(C133="","",COUNTIFS(Başvuru!$D:$D,C133,Başvuru!$L:$L,"KAEK",Başvuru!$A:$A,"&lt;&gt;"&amp;"",Başvuru!$F:$F,"&lt;&gt;"&amp;""))</f>
        <v/>
      </c>
      <c r="M133" s="166" t="str">
        <f>IF(C133="","",COUNTIFS(Başvuru!$D:$D,C133,Başvuru!$L:$L,"GÖRÜŞ",Başvuru!$A:$A,"&lt;&gt;"&amp;"",Başvuru!$F:$F,"&lt;&gt;"&amp;""))</f>
        <v/>
      </c>
      <c r="N133" s="167" t="str">
        <f>IF(C133="","",COUNTIFS(Başvuru!$D:$D,C133,Başvuru!$L:$L,"RET",Başvuru!$A:$A,"&lt;&gt;"&amp;"",Başvuru!$F:$F,"&lt;&gt;"&amp;""))</f>
        <v/>
      </c>
      <c r="O133" s="168" t="str">
        <f>IF(C133="","",COUNTIFS(Başvuru!$D:$D,C133,Başvuru!$L:$L,"KAPSAM DIŞI",Başvuru!$A:$A,"&lt;&gt;"&amp;"",Başvuru!$F:$F,"&lt;&gt;"&amp;""))</f>
        <v/>
      </c>
      <c r="P133" s="169" t="str">
        <f>IF(C133="","",COUNTIFS(Başvuru!$D:$D,C133,Başvuru!$L:$L,"GERİ ÇEKİLDİ",Başvuru!$A:$A,"&lt;&gt;"&amp;"",Başvuru!$F:$F,"&lt;&gt;"&amp;""))</f>
        <v/>
      </c>
      <c r="Q133" s="170" t="str">
        <f t="array" ref="Q133">IFERROR(INDEX(Başvuru!$D$2:$D$3000, MATCH(0, COUNTIF($Q$5:Q132, Başvuru!$D$2:$D$3000) + IF(Başvuru!$D$2:$D$3000="",1,0), 0)), "")</f>
        <v/>
      </c>
      <c r="R133" s="171" t="str">
        <f>IF(Q133="","",COUNTIFS(Başvuru!$D:$D,Q133,Başvuru!$A:$A,"&lt;&gt;"&amp;"",Başvuru!$F:$F,"&lt;&gt;"&amp;""))</f>
        <v/>
      </c>
      <c r="S133" s="171" t="str">
        <f>IF(R133="","",RANK(R133,$R$6:$R$155,0)+COUNTIF($R$6:R133,R133)-1)</f>
        <v/>
      </c>
    </row>
    <row r="134" spans="2:19" x14ac:dyDescent="0.25">
      <c r="B134" s="159">
        <v>129</v>
      </c>
      <c r="C134" s="160" t="str">
        <f>IFERROR(INDEX($Q$6:$Q$155,MATCH(129,$S$6:$S$155,0)),"")</f>
        <v/>
      </c>
      <c r="D134" s="161" t="str">
        <f>IF(C134="","",COUNTIFS(Başvuru!$D:$D,C134,Başvuru!$A:$A,"&lt;&gt;"&amp;"",Başvuru!$F:$F,"&lt;&gt;"&amp;""))</f>
        <v/>
      </c>
      <c r="E134" s="159" t="str">
        <f>IF(C134="","-",IF(D134&gt;0,TEXT(D134/(COUNTIFS(Başvuru!$A:$A,"&lt;&gt;",Başvuru!$F:$F,"&lt;&gt;")-1)*100,"0.0")&amp;"%","-"))</f>
        <v>-</v>
      </c>
      <c r="F134" s="162" t="str">
        <f>IF(C134="","",COUNTIFS(Başvuru!$D:$D,C134,Başvuru!$G:$G,"Bireysel Araştırma",Başvuru!$A:$A,"&lt;&gt;"&amp;"",Başvuru!$F:$F,"&lt;&gt;"&amp;""))</f>
        <v/>
      </c>
      <c r="G134" s="162" t="str">
        <f>IF(C134="","",COUNTIFS(Başvuru!$D:$D,C134,Başvuru!$G:$G,"Uzmanlık Tezi",Başvuru!$A:$A,"&lt;&gt;"&amp;"",Başvuru!$F:$F,"&lt;&gt;"&amp;""))</f>
        <v/>
      </c>
      <c r="H134" s="162" t="str">
        <f>IF(C134="","",COUNTIFS(Başvuru!$D:$D,C134,Başvuru!$G:$G,"Doktora Tezi",Başvuru!$A:$A,"&lt;&gt;"&amp;"",Başvuru!$F:$F,"&lt;&gt;"&amp;""))</f>
        <v/>
      </c>
      <c r="I134" s="162" t="str">
        <f>IF(C134="","",COUNTIFS(Başvuru!$D:$D,C134,Başvuru!$G:$G,"Yüksek Lisans Tezi",Başvuru!$A:$A,"&lt;&gt;"&amp;"",Başvuru!$F:$F,"&lt;&gt;"&amp;""))</f>
        <v/>
      </c>
      <c r="J134" s="163" t="str">
        <f>IF(C134="","",COUNTIFS(Başvuru!$D:$D,C134,Başvuru!$L:$L,"ONAY",Başvuru!$A:$A,"&lt;&gt;"&amp;"",Başvuru!$F:$F,"&lt;&gt;"&amp;""))</f>
        <v/>
      </c>
      <c r="K134" s="164" t="str">
        <f>IF(C134="","",COUNTIFS(Başvuru!$D:$D,C134,Başvuru!$L:$L,"DÜZELTME",Başvuru!$A:$A,"&lt;&gt;"&amp;"",Başvuru!$F:$F,"&lt;&gt;"&amp;""))</f>
        <v/>
      </c>
      <c r="L134" s="165" t="str">
        <f>IF(C134="","",COUNTIFS(Başvuru!$D:$D,C134,Başvuru!$L:$L,"KAEK",Başvuru!$A:$A,"&lt;&gt;"&amp;"",Başvuru!$F:$F,"&lt;&gt;"&amp;""))</f>
        <v/>
      </c>
      <c r="M134" s="166" t="str">
        <f>IF(C134="","",COUNTIFS(Başvuru!$D:$D,C134,Başvuru!$L:$L,"GÖRÜŞ",Başvuru!$A:$A,"&lt;&gt;"&amp;"",Başvuru!$F:$F,"&lt;&gt;"&amp;""))</f>
        <v/>
      </c>
      <c r="N134" s="167" t="str">
        <f>IF(C134="","",COUNTIFS(Başvuru!$D:$D,C134,Başvuru!$L:$L,"RET",Başvuru!$A:$A,"&lt;&gt;"&amp;"",Başvuru!$F:$F,"&lt;&gt;"&amp;""))</f>
        <v/>
      </c>
      <c r="O134" s="168" t="str">
        <f>IF(C134="","",COUNTIFS(Başvuru!$D:$D,C134,Başvuru!$L:$L,"KAPSAM DIŞI",Başvuru!$A:$A,"&lt;&gt;"&amp;"",Başvuru!$F:$F,"&lt;&gt;"&amp;""))</f>
        <v/>
      </c>
      <c r="P134" s="169" t="str">
        <f>IF(C134="","",COUNTIFS(Başvuru!$D:$D,C134,Başvuru!$L:$L,"GERİ ÇEKİLDİ",Başvuru!$A:$A,"&lt;&gt;"&amp;"",Başvuru!$F:$F,"&lt;&gt;"&amp;""))</f>
        <v/>
      </c>
      <c r="Q134" s="170" t="str">
        <f t="array" ref="Q134">IFERROR(INDEX(Başvuru!$D$2:$D$3000, MATCH(0, COUNTIF($Q$5:Q133, Başvuru!$D$2:$D$3000) + IF(Başvuru!$D$2:$D$3000="",1,0), 0)), "")</f>
        <v/>
      </c>
      <c r="R134" s="171" t="str">
        <f>IF(Q134="","",COUNTIFS(Başvuru!$D:$D,Q134,Başvuru!$A:$A,"&lt;&gt;"&amp;"",Başvuru!$F:$F,"&lt;&gt;"&amp;""))</f>
        <v/>
      </c>
      <c r="S134" s="171" t="str">
        <f>IF(R134="","",RANK(R134,$R$6:$R$155,0)+COUNTIF($R$6:R134,R134)-1)</f>
        <v/>
      </c>
    </row>
    <row r="135" spans="2:19" x14ac:dyDescent="0.25">
      <c r="B135" s="159">
        <v>130</v>
      </c>
      <c r="C135" s="160" t="str">
        <f>IFERROR(INDEX($Q$6:$Q$155,MATCH(130,$S$6:$S$155,0)),"")</f>
        <v/>
      </c>
      <c r="D135" s="161" t="str">
        <f>IF(C135="","",COUNTIFS(Başvuru!$D:$D,C135,Başvuru!$A:$A,"&lt;&gt;"&amp;"",Başvuru!$F:$F,"&lt;&gt;"&amp;""))</f>
        <v/>
      </c>
      <c r="E135" s="159" t="str">
        <f>IF(C135="","-",IF(D135&gt;0,TEXT(D135/(COUNTIFS(Başvuru!$A:$A,"&lt;&gt;",Başvuru!$F:$F,"&lt;&gt;")-1)*100,"0.0")&amp;"%","-"))</f>
        <v>-</v>
      </c>
      <c r="F135" s="162" t="str">
        <f>IF(C135="","",COUNTIFS(Başvuru!$D:$D,C135,Başvuru!$G:$G,"Bireysel Araştırma",Başvuru!$A:$A,"&lt;&gt;"&amp;"",Başvuru!$F:$F,"&lt;&gt;"&amp;""))</f>
        <v/>
      </c>
      <c r="G135" s="162" t="str">
        <f>IF(C135="","",COUNTIFS(Başvuru!$D:$D,C135,Başvuru!$G:$G,"Uzmanlık Tezi",Başvuru!$A:$A,"&lt;&gt;"&amp;"",Başvuru!$F:$F,"&lt;&gt;"&amp;""))</f>
        <v/>
      </c>
      <c r="H135" s="162" t="str">
        <f>IF(C135="","",COUNTIFS(Başvuru!$D:$D,C135,Başvuru!$G:$G,"Doktora Tezi",Başvuru!$A:$A,"&lt;&gt;"&amp;"",Başvuru!$F:$F,"&lt;&gt;"&amp;""))</f>
        <v/>
      </c>
      <c r="I135" s="162" t="str">
        <f>IF(C135="","",COUNTIFS(Başvuru!$D:$D,C135,Başvuru!$G:$G,"Yüksek Lisans Tezi",Başvuru!$A:$A,"&lt;&gt;"&amp;"",Başvuru!$F:$F,"&lt;&gt;"&amp;""))</f>
        <v/>
      </c>
      <c r="J135" s="163" t="str">
        <f>IF(C135="","",COUNTIFS(Başvuru!$D:$D,C135,Başvuru!$L:$L,"ONAY",Başvuru!$A:$A,"&lt;&gt;"&amp;"",Başvuru!$F:$F,"&lt;&gt;"&amp;""))</f>
        <v/>
      </c>
      <c r="K135" s="164" t="str">
        <f>IF(C135="","",COUNTIFS(Başvuru!$D:$D,C135,Başvuru!$L:$L,"DÜZELTME",Başvuru!$A:$A,"&lt;&gt;"&amp;"",Başvuru!$F:$F,"&lt;&gt;"&amp;""))</f>
        <v/>
      </c>
      <c r="L135" s="165" t="str">
        <f>IF(C135="","",COUNTIFS(Başvuru!$D:$D,C135,Başvuru!$L:$L,"KAEK",Başvuru!$A:$A,"&lt;&gt;"&amp;"",Başvuru!$F:$F,"&lt;&gt;"&amp;""))</f>
        <v/>
      </c>
      <c r="M135" s="166" t="str">
        <f>IF(C135="","",COUNTIFS(Başvuru!$D:$D,C135,Başvuru!$L:$L,"GÖRÜŞ",Başvuru!$A:$A,"&lt;&gt;"&amp;"",Başvuru!$F:$F,"&lt;&gt;"&amp;""))</f>
        <v/>
      </c>
      <c r="N135" s="167" t="str">
        <f>IF(C135="","",COUNTIFS(Başvuru!$D:$D,C135,Başvuru!$L:$L,"RET",Başvuru!$A:$A,"&lt;&gt;"&amp;"",Başvuru!$F:$F,"&lt;&gt;"&amp;""))</f>
        <v/>
      </c>
      <c r="O135" s="168" t="str">
        <f>IF(C135="","",COUNTIFS(Başvuru!$D:$D,C135,Başvuru!$L:$L,"KAPSAM DIŞI",Başvuru!$A:$A,"&lt;&gt;"&amp;"",Başvuru!$F:$F,"&lt;&gt;"&amp;""))</f>
        <v/>
      </c>
      <c r="P135" s="169" t="str">
        <f>IF(C135="","",COUNTIFS(Başvuru!$D:$D,C135,Başvuru!$L:$L,"GERİ ÇEKİLDİ",Başvuru!$A:$A,"&lt;&gt;"&amp;"",Başvuru!$F:$F,"&lt;&gt;"&amp;""))</f>
        <v/>
      </c>
      <c r="Q135" s="170" t="str">
        <f t="array" ref="Q135">IFERROR(INDEX(Başvuru!$D$2:$D$3000, MATCH(0, COUNTIF($Q$5:Q134, Başvuru!$D$2:$D$3000) + IF(Başvuru!$D$2:$D$3000="",1,0), 0)), "")</f>
        <v/>
      </c>
      <c r="R135" s="171" t="str">
        <f>IF(Q135="","",COUNTIFS(Başvuru!$D:$D,Q135,Başvuru!$A:$A,"&lt;&gt;"&amp;"",Başvuru!$F:$F,"&lt;&gt;"&amp;""))</f>
        <v/>
      </c>
      <c r="S135" s="171" t="str">
        <f>IF(R135="","",RANK(R135,$R$6:$R$155,0)+COUNTIF($R$6:R135,R135)-1)</f>
        <v/>
      </c>
    </row>
    <row r="136" spans="2:19" x14ac:dyDescent="0.25">
      <c r="B136" s="159">
        <v>131</v>
      </c>
      <c r="C136" s="160" t="str">
        <f>IFERROR(INDEX($Q$6:$Q$155,MATCH(131,$S$6:$S$155,0)),"")</f>
        <v/>
      </c>
      <c r="D136" s="161" t="str">
        <f>IF(C136="","",COUNTIFS(Başvuru!$D:$D,C136,Başvuru!$A:$A,"&lt;&gt;"&amp;"",Başvuru!$F:$F,"&lt;&gt;"&amp;""))</f>
        <v/>
      </c>
      <c r="E136" s="159" t="str">
        <f>IF(C136="","-",IF(D136&gt;0,TEXT(D136/(COUNTIFS(Başvuru!$A:$A,"&lt;&gt;",Başvuru!$F:$F,"&lt;&gt;")-1)*100,"0.0")&amp;"%","-"))</f>
        <v>-</v>
      </c>
      <c r="F136" s="162" t="str">
        <f>IF(C136="","",COUNTIFS(Başvuru!$D:$D,C136,Başvuru!$G:$G,"Bireysel Araştırma",Başvuru!$A:$A,"&lt;&gt;"&amp;"",Başvuru!$F:$F,"&lt;&gt;"&amp;""))</f>
        <v/>
      </c>
      <c r="G136" s="162" t="str">
        <f>IF(C136="","",COUNTIFS(Başvuru!$D:$D,C136,Başvuru!$G:$G,"Uzmanlık Tezi",Başvuru!$A:$A,"&lt;&gt;"&amp;"",Başvuru!$F:$F,"&lt;&gt;"&amp;""))</f>
        <v/>
      </c>
      <c r="H136" s="162" t="str">
        <f>IF(C136="","",COUNTIFS(Başvuru!$D:$D,C136,Başvuru!$G:$G,"Doktora Tezi",Başvuru!$A:$A,"&lt;&gt;"&amp;"",Başvuru!$F:$F,"&lt;&gt;"&amp;""))</f>
        <v/>
      </c>
      <c r="I136" s="162" t="str">
        <f>IF(C136="","",COUNTIFS(Başvuru!$D:$D,C136,Başvuru!$G:$G,"Yüksek Lisans Tezi",Başvuru!$A:$A,"&lt;&gt;"&amp;"",Başvuru!$F:$F,"&lt;&gt;"&amp;""))</f>
        <v/>
      </c>
      <c r="J136" s="163" t="str">
        <f>IF(C136="","",COUNTIFS(Başvuru!$D:$D,C136,Başvuru!$L:$L,"ONAY",Başvuru!$A:$A,"&lt;&gt;"&amp;"",Başvuru!$F:$F,"&lt;&gt;"&amp;""))</f>
        <v/>
      </c>
      <c r="K136" s="164" t="str">
        <f>IF(C136="","",COUNTIFS(Başvuru!$D:$D,C136,Başvuru!$L:$L,"DÜZELTME",Başvuru!$A:$A,"&lt;&gt;"&amp;"",Başvuru!$F:$F,"&lt;&gt;"&amp;""))</f>
        <v/>
      </c>
      <c r="L136" s="165" t="str">
        <f>IF(C136="","",COUNTIFS(Başvuru!$D:$D,C136,Başvuru!$L:$L,"KAEK",Başvuru!$A:$A,"&lt;&gt;"&amp;"",Başvuru!$F:$F,"&lt;&gt;"&amp;""))</f>
        <v/>
      </c>
      <c r="M136" s="166" t="str">
        <f>IF(C136="","",COUNTIFS(Başvuru!$D:$D,C136,Başvuru!$L:$L,"GÖRÜŞ",Başvuru!$A:$A,"&lt;&gt;"&amp;"",Başvuru!$F:$F,"&lt;&gt;"&amp;""))</f>
        <v/>
      </c>
      <c r="N136" s="167" t="str">
        <f>IF(C136="","",COUNTIFS(Başvuru!$D:$D,C136,Başvuru!$L:$L,"RET",Başvuru!$A:$A,"&lt;&gt;"&amp;"",Başvuru!$F:$F,"&lt;&gt;"&amp;""))</f>
        <v/>
      </c>
      <c r="O136" s="168" t="str">
        <f>IF(C136="","",COUNTIFS(Başvuru!$D:$D,C136,Başvuru!$L:$L,"KAPSAM DIŞI",Başvuru!$A:$A,"&lt;&gt;"&amp;"",Başvuru!$F:$F,"&lt;&gt;"&amp;""))</f>
        <v/>
      </c>
      <c r="P136" s="169" t="str">
        <f>IF(C136="","",COUNTIFS(Başvuru!$D:$D,C136,Başvuru!$L:$L,"GERİ ÇEKİLDİ",Başvuru!$A:$A,"&lt;&gt;"&amp;"",Başvuru!$F:$F,"&lt;&gt;"&amp;""))</f>
        <v/>
      </c>
      <c r="Q136" s="170" t="str">
        <f t="array" ref="Q136">IFERROR(INDEX(Başvuru!$D$2:$D$3000, MATCH(0, COUNTIF($Q$5:Q135, Başvuru!$D$2:$D$3000) + IF(Başvuru!$D$2:$D$3000="",1,0), 0)), "")</f>
        <v/>
      </c>
      <c r="R136" s="171" t="str">
        <f>IF(Q136="","",COUNTIFS(Başvuru!$D:$D,Q136,Başvuru!$A:$A,"&lt;&gt;"&amp;"",Başvuru!$F:$F,"&lt;&gt;"&amp;""))</f>
        <v/>
      </c>
      <c r="S136" s="171" t="str">
        <f>IF(R136="","",RANK(R136,$R$6:$R$155,0)+COUNTIF($R$6:R136,R136)-1)</f>
        <v/>
      </c>
    </row>
    <row r="137" spans="2:19" x14ac:dyDescent="0.25">
      <c r="B137" s="159">
        <v>132</v>
      </c>
      <c r="C137" s="160" t="str">
        <f>IFERROR(INDEX($Q$6:$Q$155,MATCH(132,$S$6:$S$155,0)),"")</f>
        <v/>
      </c>
      <c r="D137" s="161" t="str">
        <f>IF(C137="","",COUNTIFS(Başvuru!$D:$D,C137,Başvuru!$A:$A,"&lt;&gt;"&amp;"",Başvuru!$F:$F,"&lt;&gt;"&amp;""))</f>
        <v/>
      </c>
      <c r="E137" s="159" t="str">
        <f>IF(C137="","-",IF(D137&gt;0,TEXT(D137/(COUNTIFS(Başvuru!$A:$A,"&lt;&gt;",Başvuru!$F:$F,"&lt;&gt;")-1)*100,"0.0")&amp;"%","-"))</f>
        <v>-</v>
      </c>
      <c r="F137" s="162" t="str">
        <f>IF(C137="","",COUNTIFS(Başvuru!$D:$D,C137,Başvuru!$G:$G,"Bireysel Araştırma",Başvuru!$A:$A,"&lt;&gt;"&amp;"",Başvuru!$F:$F,"&lt;&gt;"&amp;""))</f>
        <v/>
      </c>
      <c r="G137" s="162" t="str">
        <f>IF(C137="","",COUNTIFS(Başvuru!$D:$D,C137,Başvuru!$G:$G,"Uzmanlık Tezi",Başvuru!$A:$A,"&lt;&gt;"&amp;"",Başvuru!$F:$F,"&lt;&gt;"&amp;""))</f>
        <v/>
      </c>
      <c r="H137" s="162" t="str">
        <f>IF(C137="","",COUNTIFS(Başvuru!$D:$D,C137,Başvuru!$G:$G,"Doktora Tezi",Başvuru!$A:$A,"&lt;&gt;"&amp;"",Başvuru!$F:$F,"&lt;&gt;"&amp;""))</f>
        <v/>
      </c>
      <c r="I137" s="162" t="str">
        <f>IF(C137="","",COUNTIFS(Başvuru!$D:$D,C137,Başvuru!$G:$G,"Yüksek Lisans Tezi",Başvuru!$A:$A,"&lt;&gt;"&amp;"",Başvuru!$F:$F,"&lt;&gt;"&amp;""))</f>
        <v/>
      </c>
      <c r="J137" s="163" t="str">
        <f>IF(C137="","",COUNTIFS(Başvuru!$D:$D,C137,Başvuru!$L:$L,"ONAY",Başvuru!$A:$A,"&lt;&gt;"&amp;"",Başvuru!$F:$F,"&lt;&gt;"&amp;""))</f>
        <v/>
      </c>
      <c r="K137" s="164" t="str">
        <f>IF(C137="","",COUNTIFS(Başvuru!$D:$D,C137,Başvuru!$L:$L,"DÜZELTME",Başvuru!$A:$A,"&lt;&gt;"&amp;"",Başvuru!$F:$F,"&lt;&gt;"&amp;""))</f>
        <v/>
      </c>
      <c r="L137" s="165" t="str">
        <f>IF(C137="","",COUNTIFS(Başvuru!$D:$D,C137,Başvuru!$L:$L,"KAEK",Başvuru!$A:$A,"&lt;&gt;"&amp;"",Başvuru!$F:$F,"&lt;&gt;"&amp;""))</f>
        <v/>
      </c>
      <c r="M137" s="166" t="str">
        <f>IF(C137="","",COUNTIFS(Başvuru!$D:$D,C137,Başvuru!$L:$L,"GÖRÜŞ",Başvuru!$A:$A,"&lt;&gt;"&amp;"",Başvuru!$F:$F,"&lt;&gt;"&amp;""))</f>
        <v/>
      </c>
      <c r="N137" s="167" t="str">
        <f>IF(C137="","",COUNTIFS(Başvuru!$D:$D,C137,Başvuru!$L:$L,"RET",Başvuru!$A:$A,"&lt;&gt;"&amp;"",Başvuru!$F:$F,"&lt;&gt;"&amp;""))</f>
        <v/>
      </c>
      <c r="O137" s="168" t="str">
        <f>IF(C137="","",COUNTIFS(Başvuru!$D:$D,C137,Başvuru!$L:$L,"KAPSAM DIŞI",Başvuru!$A:$A,"&lt;&gt;"&amp;"",Başvuru!$F:$F,"&lt;&gt;"&amp;""))</f>
        <v/>
      </c>
      <c r="P137" s="169" t="str">
        <f>IF(C137="","",COUNTIFS(Başvuru!$D:$D,C137,Başvuru!$L:$L,"GERİ ÇEKİLDİ",Başvuru!$A:$A,"&lt;&gt;"&amp;"",Başvuru!$F:$F,"&lt;&gt;"&amp;""))</f>
        <v/>
      </c>
      <c r="Q137" s="170" t="str">
        <f t="array" ref="Q137">IFERROR(INDEX(Başvuru!$D$2:$D$3000, MATCH(0, COUNTIF($Q$5:Q136, Başvuru!$D$2:$D$3000) + IF(Başvuru!$D$2:$D$3000="",1,0), 0)), "")</f>
        <v/>
      </c>
      <c r="R137" s="171" t="str">
        <f>IF(Q137="","",COUNTIFS(Başvuru!$D:$D,Q137,Başvuru!$A:$A,"&lt;&gt;"&amp;"",Başvuru!$F:$F,"&lt;&gt;"&amp;""))</f>
        <v/>
      </c>
      <c r="S137" s="171" t="str">
        <f>IF(R137="","",RANK(R137,$R$6:$R$155,0)+COUNTIF($R$6:R137,R137)-1)</f>
        <v/>
      </c>
    </row>
    <row r="138" spans="2:19" x14ac:dyDescent="0.25">
      <c r="B138" s="159">
        <v>133</v>
      </c>
      <c r="C138" s="160" t="str">
        <f>IFERROR(INDEX($Q$6:$Q$155,MATCH(133,$S$6:$S$155,0)),"")</f>
        <v/>
      </c>
      <c r="D138" s="161" t="str">
        <f>IF(C138="","",COUNTIFS(Başvuru!$D:$D,C138,Başvuru!$A:$A,"&lt;&gt;"&amp;"",Başvuru!$F:$F,"&lt;&gt;"&amp;""))</f>
        <v/>
      </c>
      <c r="E138" s="159" t="str">
        <f>IF(C138="","-",IF(D138&gt;0,TEXT(D138/(COUNTIFS(Başvuru!$A:$A,"&lt;&gt;",Başvuru!$F:$F,"&lt;&gt;")-1)*100,"0.0")&amp;"%","-"))</f>
        <v>-</v>
      </c>
      <c r="F138" s="162" t="str">
        <f>IF(C138="","",COUNTIFS(Başvuru!$D:$D,C138,Başvuru!$G:$G,"Bireysel Araştırma",Başvuru!$A:$A,"&lt;&gt;"&amp;"",Başvuru!$F:$F,"&lt;&gt;"&amp;""))</f>
        <v/>
      </c>
      <c r="G138" s="162" t="str">
        <f>IF(C138="","",COUNTIFS(Başvuru!$D:$D,C138,Başvuru!$G:$G,"Uzmanlık Tezi",Başvuru!$A:$A,"&lt;&gt;"&amp;"",Başvuru!$F:$F,"&lt;&gt;"&amp;""))</f>
        <v/>
      </c>
      <c r="H138" s="162" t="str">
        <f>IF(C138="","",COUNTIFS(Başvuru!$D:$D,C138,Başvuru!$G:$G,"Doktora Tezi",Başvuru!$A:$A,"&lt;&gt;"&amp;"",Başvuru!$F:$F,"&lt;&gt;"&amp;""))</f>
        <v/>
      </c>
      <c r="I138" s="162" t="str">
        <f>IF(C138="","",COUNTIFS(Başvuru!$D:$D,C138,Başvuru!$G:$G,"Yüksek Lisans Tezi",Başvuru!$A:$A,"&lt;&gt;"&amp;"",Başvuru!$F:$F,"&lt;&gt;"&amp;""))</f>
        <v/>
      </c>
      <c r="J138" s="163" t="str">
        <f>IF(C138="","",COUNTIFS(Başvuru!$D:$D,C138,Başvuru!$L:$L,"ONAY",Başvuru!$A:$A,"&lt;&gt;"&amp;"",Başvuru!$F:$F,"&lt;&gt;"&amp;""))</f>
        <v/>
      </c>
      <c r="K138" s="164" t="str">
        <f>IF(C138="","",COUNTIFS(Başvuru!$D:$D,C138,Başvuru!$L:$L,"DÜZELTME",Başvuru!$A:$A,"&lt;&gt;"&amp;"",Başvuru!$F:$F,"&lt;&gt;"&amp;""))</f>
        <v/>
      </c>
      <c r="L138" s="165" t="str">
        <f>IF(C138="","",COUNTIFS(Başvuru!$D:$D,C138,Başvuru!$L:$L,"KAEK",Başvuru!$A:$A,"&lt;&gt;"&amp;"",Başvuru!$F:$F,"&lt;&gt;"&amp;""))</f>
        <v/>
      </c>
      <c r="M138" s="166" t="str">
        <f>IF(C138="","",COUNTIFS(Başvuru!$D:$D,C138,Başvuru!$L:$L,"GÖRÜŞ",Başvuru!$A:$A,"&lt;&gt;"&amp;"",Başvuru!$F:$F,"&lt;&gt;"&amp;""))</f>
        <v/>
      </c>
      <c r="N138" s="167" t="str">
        <f>IF(C138="","",COUNTIFS(Başvuru!$D:$D,C138,Başvuru!$L:$L,"RET",Başvuru!$A:$A,"&lt;&gt;"&amp;"",Başvuru!$F:$F,"&lt;&gt;"&amp;""))</f>
        <v/>
      </c>
      <c r="O138" s="168" t="str">
        <f>IF(C138="","",COUNTIFS(Başvuru!$D:$D,C138,Başvuru!$L:$L,"KAPSAM DIŞI",Başvuru!$A:$A,"&lt;&gt;"&amp;"",Başvuru!$F:$F,"&lt;&gt;"&amp;""))</f>
        <v/>
      </c>
      <c r="P138" s="169" t="str">
        <f>IF(C138="","",COUNTIFS(Başvuru!$D:$D,C138,Başvuru!$L:$L,"GERİ ÇEKİLDİ",Başvuru!$A:$A,"&lt;&gt;"&amp;"",Başvuru!$F:$F,"&lt;&gt;"&amp;""))</f>
        <v/>
      </c>
      <c r="Q138" s="170" t="str">
        <f t="array" ref="Q138">IFERROR(INDEX(Başvuru!$D$2:$D$3000, MATCH(0, COUNTIF($Q$5:Q137, Başvuru!$D$2:$D$3000) + IF(Başvuru!$D$2:$D$3000="",1,0), 0)), "")</f>
        <v/>
      </c>
      <c r="R138" s="171" t="str">
        <f>IF(Q138="","",COUNTIFS(Başvuru!$D:$D,Q138,Başvuru!$A:$A,"&lt;&gt;"&amp;"",Başvuru!$F:$F,"&lt;&gt;"&amp;""))</f>
        <v/>
      </c>
      <c r="S138" s="171" t="str">
        <f>IF(R138="","",RANK(R138,$R$6:$R$155,0)+COUNTIF($R$6:R138,R138)-1)</f>
        <v/>
      </c>
    </row>
    <row r="139" spans="2:19" x14ac:dyDescent="0.25">
      <c r="B139" s="159">
        <v>134</v>
      </c>
      <c r="C139" s="160" t="str">
        <f>IFERROR(INDEX($Q$6:$Q$155,MATCH(134,$S$6:$S$155,0)),"")</f>
        <v/>
      </c>
      <c r="D139" s="161" t="str">
        <f>IF(C139="","",COUNTIFS(Başvuru!$D:$D,C139,Başvuru!$A:$A,"&lt;&gt;"&amp;"",Başvuru!$F:$F,"&lt;&gt;"&amp;""))</f>
        <v/>
      </c>
      <c r="E139" s="159" t="str">
        <f>IF(C139="","-",IF(D139&gt;0,TEXT(D139/(COUNTIFS(Başvuru!$A:$A,"&lt;&gt;",Başvuru!$F:$F,"&lt;&gt;")-1)*100,"0.0")&amp;"%","-"))</f>
        <v>-</v>
      </c>
      <c r="F139" s="162" t="str">
        <f>IF(C139="","",COUNTIFS(Başvuru!$D:$D,C139,Başvuru!$G:$G,"Bireysel Araştırma",Başvuru!$A:$A,"&lt;&gt;"&amp;"",Başvuru!$F:$F,"&lt;&gt;"&amp;""))</f>
        <v/>
      </c>
      <c r="G139" s="162" t="str">
        <f>IF(C139="","",COUNTIFS(Başvuru!$D:$D,C139,Başvuru!$G:$G,"Uzmanlık Tezi",Başvuru!$A:$A,"&lt;&gt;"&amp;"",Başvuru!$F:$F,"&lt;&gt;"&amp;""))</f>
        <v/>
      </c>
      <c r="H139" s="162" t="str">
        <f>IF(C139="","",COUNTIFS(Başvuru!$D:$D,C139,Başvuru!$G:$G,"Doktora Tezi",Başvuru!$A:$A,"&lt;&gt;"&amp;"",Başvuru!$F:$F,"&lt;&gt;"&amp;""))</f>
        <v/>
      </c>
      <c r="I139" s="162" t="str">
        <f>IF(C139="","",COUNTIFS(Başvuru!$D:$D,C139,Başvuru!$G:$G,"Yüksek Lisans Tezi",Başvuru!$A:$A,"&lt;&gt;"&amp;"",Başvuru!$F:$F,"&lt;&gt;"&amp;""))</f>
        <v/>
      </c>
      <c r="J139" s="163" t="str">
        <f>IF(C139="","",COUNTIFS(Başvuru!$D:$D,C139,Başvuru!$L:$L,"ONAY",Başvuru!$A:$A,"&lt;&gt;"&amp;"",Başvuru!$F:$F,"&lt;&gt;"&amp;""))</f>
        <v/>
      </c>
      <c r="K139" s="164" t="str">
        <f>IF(C139="","",COUNTIFS(Başvuru!$D:$D,C139,Başvuru!$L:$L,"DÜZELTME",Başvuru!$A:$A,"&lt;&gt;"&amp;"",Başvuru!$F:$F,"&lt;&gt;"&amp;""))</f>
        <v/>
      </c>
      <c r="L139" s="165" t="str">
        <f>IF(C139="","",COUNTIFS(Başvuru!$D:$D,C139,Başvuru!$L:$L,"KAEK",Başvuru!$A:$A,"&lt;&gt;"&amp;"",Başvuru!$F:$F,"&lt;&gt;"&amp;""))</f>
        <v/>
      </c>
      <c r="M139" s="166" t="str">
        <f>IF(C139="","",COUNTIFS(Başvuru!$D:$D,C139,Başvuru!$L:$L,"GÖRÜŞ",Başvuru!$A:$A,"&lt;&gt;"&amp;"",Başvuru!$F:$F,"&lt;&gt;"&amp;""))</f>
        <v/>
      </c>
      <c r="N139" s="167" t="str">
        <f>IF(C139="","",COUNTIFS(Başvuru!$D:$D,C139,Başvuru!$L:$L,"RET",Başvuru!$A:$A,"&lt;&gt;"&amp;"",Başvuru!$F:$F,"&lt;&gt;"&amp;""))</f>
        <v/>
      </c>
      <c r="O139" s="168" t="str">
        <f>IF(C139="","",COUNTIFS(Başvuru!$D:$D,C139,Başvuru!$L:$L,"KAPSAM DIŞI",Başvuru!$A:$A,"&lt;&gt;"&amp;"",Başvuru!$F:$F,"&lt;&gt;"&amp;""))</f>
        <v/>
      </c>
      <c r="P139" s="169" t="str">
        <f>IF(C139="","",COUNTIFS(Başvuru!$D:$D,C139,Başvuru!$L:$L,"GERİ ÇEKİLDİ",Başvuru!$A:$A,"&lt;&gt;"&amp;"",Başvuru!$F:$F,"&lt;&gt;"&amp;""))</f>
        <v/>
      </c>
      <c r="Q139" s="170" t="str">
        <f t="array" ref="Q139">IFERROR(INDEX(Başvuru!$D$2:$D$3000, MATCH(0, COUNTIF($Q$5:Q138, Başvuru!$D$2:$D$3000) + IF(Başvuru!$D$2:$D$3000="",1,0), 0)), "")</f>
        <v/>
      </c>
      <c r="R139" s="171" t="str">
        <f>IF(Q139="","",COUNTIFS(Başvuru!$D:$D,Q139,Başvuru!$A:$A,"&lt;&gt;"&amp;"",Başvuru!$F:$F,"&lt;&gt;"&amp;""))</f>
        <v/>
      </c>
      <c r="S139" s="171" t="str">
        <f>IF(R139="","",RANK(R139,$R$6:$R$155,0)+COUNTIF($R$6:R139,R139)-1)</f>
        <v/>
      </c>
    </row>
    <row r="140" spans="2:19" x14ac:dyDescent="0.25">
      <c r="B140" s="159">
        <v>135</v>
      </c>
      <c r="C140" s="160" t="str">
        <f>IFERROR(INDEX($Q$6:$Q$155,MATCH(135,$S$6:$S$155,0)),"")</f>
        <v/>
      </c>
      <c r="D140" s="161" t="str">
        <f>IF(C140="","",COUNTIFS(Başvuru!$D:$D,C140,Başvuru!$A:$A,"&lt;&gt;"&amp;"",Başvuru!$F:$F,"&lt;&gt;"&amp;""))</f>
        <v/>
      </c>
      <c r="E140" s="159" t="str">
        <f>IF(C140="","-",IF(D140&gt;0,TEXT(D140/(COUNTIFS(Başvuru!$A:$A,"&lt;&gt;",Başvuru!$F:$F,"&lt;&gt;")-1)*100,"0.0")&amp;"%","-"))</f>
        <v>-</v>
      </c>
      <c r="F140" s="162" t="str">
        <f>IF(C140="","",COUNTIFS(Başvuru!$D:$D,C140,Başvuru!$G:$G,"Bireysel Araştırma",Başvuru!$A:$A,"&lt;&gt;"&amp;"",Başvuru!$F:$F,"&lt;&gt;"&amp;""))</f>
        <v/>
      </c>
      <c r="G140" s="162" t="str">
        <f>IF(C140="","",COUNTIFS(Başvuru!$D:$D,C140,Başvuru!$G:$G,"Uzmanlık Tezi",Başvuru!$A:$A,"&lt;&gt;"&amp;"",Başvuru!$F:$F,"&lt;&gt;"&amp;""))</f>
        <v/>
      </c>
      <c r="H140" s="162" t="str">
        <f>IF(C140="","",COUNTIFS(Başvuru!$D:$D,C140,Başvuru!$G:$G,"Doktora Tezi",Başvuru!$A:$A,"&lt;&gt;"&amp;"",Başvuru!$F:$F,"&lt;&gt;"&amp;""))</f>
        <v/>
      </c>
      <c r="I140" s="162" t="str">
        <f>IF(C140="","",COUNTIFS(Başvuru!$D:$D,C140,Başvuru!$G:$G,"Yüksek Lisans Tezi",Başvuru!$A:$A,"&lt;&gt;"&amp;"",Başvuru!$F:$F,"&lt;&gt;"&amp;""))</f>
        <v/>
      </c>
      <c r="J140" s="163" t="str">
        <f>IF(C140="","",COUNTIFS(Başvuru!$D:$D,C140,Başvuru!$L:$L,"ONAY",Başvuru!$A:$A,"&lt;&gt;"&amp;"",Başvuru!$F:$F,"&lt;&gt;"&amp;""))</f>
        <v/>
      </c>
      <c r="K140" s="164" t="str">
        <f>IF(C140="","",COUNTIFS(Başvuru!$D:$D,C140,Başvuru!$L:$L,"DÜZELTME",Başvuru!$A:$A,"&lt;&gt;"&amp;"",Başvuru!$F:$F,"&lt;&gt;"&amp;""))</f>
        <v/>
      </c>
      <c r="L140" s="165" t="str">
        <f>IF(C140="","",COUNTIFS(Başvuru!$D:$D,C140,Başvuru!$L:$L,"KAEK",Başvuru!$A:$A,"&lt;&gt;"&amp;"",Başvuru!$F:$F,"&lt;&gt;"&amp;""))</f>
        <v/>
      </c>
      <c r="M140" s="166" t="str">
        <f>IF(C140="","",COUNTIFS(Başvuru!$D:$D,C140,Başvuru!$L:$L,"GÖRÜŞ",Başvuru!$A:$A,"&lt;&gt;"&amp;"",Başvuru!$F:$F,"&lt;&gt;"&amp;""))</f>
        <v/>
      </c>
      <c r="N140" s="167" t="str">
        <f>IF(C140="","",COUNTIFS(Başvuru!$D:$D,C140,Başvuru!$L:$L,"RET",Başvuru!$A:$A,"&lt;&gt;"&amp;"",Başvuru!$F:$F,"&lt;&gt;"&amp;""))</f>
        <v/>
      </c>
      <c r="O140" s="168" t="str">
        <f>IF(C140="","",COUNTIFS(Başvuru!$D:$D,C140,Başvuru!$L:$L,"KAPSAM DIŞI",Başvuru!$A:$A,"&lt;&gt;"&amp;"",Başvuru!$F:$F,"&lt;&gt;"&amp;""))</f>
        <v/>
      </c>
      <c r="P140" s="169" t="str">
        <f>IF(C140="","",COUNTIFS(Başvuru!$D:$D,C140,Başvuru!$L:$L,"GERİ ÇEKİLDİ",Başvuru!$A:$A,"&lt;&gt;"&amp;"",Başvuru!$F:$F,"&lt;&gt;"&amp;""))</f>
        <v/>
      </c>
      <c r="Q140" s="170" t="str">
        <f t="array" ref="Q140">IFERROR(INDEX(Başvuru!$D$2:$D$3000, MATCH(0, COUNTIF($Q$5:Q139, Başvuru!$D$2:$D$3000) + IF(Başvuru!$D$2:$D$3000="",1,0), 0)), "")</f>
        <v/>
      </c>
      <c r="R140" s="171" t="str">
        <f>IF(Q140="","",COUNTIFS(Başvuru!$D:$D,Q140,Başvuru!$A:$A,"&lt;&gt;"&amp;"",Başvuru!$F:$F,"&lt;&gt;"&amp;""))</f>
        <v/>
      </c>
      <c r="S140" s="171" t="str">
        <f>IF(R140="","",RANK(R140,$R$6:$R$155,0)+COUNTIF($R$6:R140,R140)-1)</f>
        <v/>
      </c>
    </row>
    <row r="141" spans="2:19" x14ac:dyDescent="0.25">
      <c r="B141" s="159">
        <v>136</v>
      </c>
      <c r="C141" s="160" t="str">
        <f>IFERROR(INDEX($Q$6:$Q$155,MATCH(136,$S$6:$S$155,0)),"")</f>
        <v/>
      </c>
      <c r="D141" s="161" t="str">
        <f>IF(C141="","",COUNTIFS(Başvuru!$D:$D,C141,Başvuru!$A:$A,"&lt;&gt;"&amp;"",Başvuru!$F:$F,"&lt;&gt;"&amp;""))</f>
        <v/>
      </c>
      <c r="E141" s="159" t="str">
        <f>IF(C141="","-",IF(D141&gt;0,TEXT(D141/(COUNTIFS(Başvuru!$A:$A,"&lt;&gt;",Başvuru!$F:$F,"&lt;&gt;")-1)*100,"0.0")&amp;"%","-"))</f>
        <v>-</v>
      </c>
      <c r="F141" s="162" t="str">
        <f>IF(C141="","",COUNTIFS(Başvuru!$D:$D,C141,Başvuru!$G:$G,"Bireysel Araştırma",Başvuru!$A:$A,"&lt;&gt;"&amp;"",Başvuru!$F:$F,"&lt;&gt;"&amp;""))</f>
        <v/>
      </c>
      <c r="G141" s="162" t="str">
        <f>IF(C141="","",COUNTIFS(Başvuru!$D:$D,C141,Başvuru!$G:$G,"Uzmanlık Tezi",Başvuru!$A:$A,"&lt;&gt;"&amp;"",Başvuru!$F:$F,"&lt;&gt;"&amp;""))</f>
        <v/>
      </c>
      <c r="H141" s="162" t="str">
        <f>IF(C141="","",COUNTIFS(Başvuru!$D:$D,C141,Başvuru!$G:$G,"Doktora Tezi",Başvuru!$A:$A,"&lt;&gt;"&amp;"",Başvuru!$F:$F,"&lt;&gt;"&amp;""))</f>
        <v/>
      </c>
      <c r="I141" s="162" t="str">
        <f>IF(C141="","",COUNTIFS(Başvuru!$D:$D,C141,Başvuru!$G:$G,"Yüksek Lisans Tezi",Başvuru!$A:$A,"&lt;&gt;"&amp;"",Başvuru!$F:$F,"&lt;&gt;"&amp;""))</f>
        <v/>
      </c>
      <c r="J141" s="163" t="str">
        <f>IF(C141="","",COUNTIFS(Başvuru!$D:$D,C141,Başvuru!$L:$L,"ONAY",Başvuru!$A:$A,"&lt;&gt;"&amp;"",Başvuru!$F:$F,"&lt;&gt;"&amp;""))</f>
        <v/>
      </c>
      <c r="K141" s="164" t="str">
        <f>IF(C141="","",COUNTIFS(Başvuru!$D:$D,C141,Başvuru!$L:$L,"DÜZELTME",Başvuru!$A:$A,"&lt;&gt;"&amp;"",Başvuru!$F:$F,"&lt;&gt;"&amp;""))</f>
        <v/>
      </c>
      <c r="L141" s="165" t="str">
        <f>IF(C141="","",COUNTIFS(Başvuru!$D:$D,C141,Başvuru!$L:$L,"KAEK",Başvuru!$A:$A,"&lt;&gt;"&amp;"",Başvuru!$F:$F,"&lt;&gt;"&amp;""))</f>
        <v/>
      </c>
      <c r="M141" s="166" t="str">
        <f>IF(C141="","",COUNTIFS(Başvuru!$D:$D,C141,Başvuru!$L:$L,"GÖRÜŞ",Başvuru!$A:$A,"&lt;&gt;"&amp;"",Başvuru!$F:$F,"&lt;&gt;"&amp;""))</f>
        <v/>
      </c>
      <c r="N141" s="167" t="str">
        <f>IF(C141="","",COUNTIFS(Başvuru!$D:$D,C141,Başvuru!$L:$L,"RET",Başvuru!$A:$A,"&lt;&gt;"&amp;"",Başvuru!$F:$F,"&lt;&gt;"&amp;""))</f>
        <v/>
      </c>
      <c r="O141" s="168" t="str">
        <f>IF(C141="","",COUNTIFS(Başvuru!$D:$D,C141,Başvuru!$L:$L,"KAPSAM DIŞI",Başvuru!$A:$A,"&lt;&gt;"&amp;"",Başvuru!$F:$F,"&lt;&gt;"&amp;""))</f>
        <v/>
      </c>
      <c r="P141" s="169" t="str">
        <f>IF(C141="","",COUNTIFS(Başvuru!$D:$D,C141,Başvuru!$L:$L,"GERİ ÇEKİLDİ",Başvuru!$A:$A,"&lt;&gt;"&amp;"",Başvuru!$F:$F,"&lt;&gt;"&amp;""))</f>
        <v/>
      </c>
      <c r="Q141" s="170" t="str">
        <f t="array" ref="Q141">IFERROR(INDEX(Başvuru!$D$2:$D$3000, MATCH(0, COUNTIF($Q$5:Q140, Başvuru!$D$2:$D$3000) + IF(Başvuru!$D$2:$D$3000="",1,0), 0)), "")</f>
        <v/>
      </c>
      <c r="R141" s="171" t="str">
        <f>IF(Q141="","",COUNTIFS(Başvuru!$D:$D,Q141,Başvuru!$A:$A,"&lt;&gt;"&amp;"",Başvuru!$F:$F,"&lt;&gt;"&amp;""))</f>
        <v/>
      </c>
      <c r="S141" s="171" t="str">
        <f>IF(R141="","",RANK(R141,$R$6:$R$155,0)+COUNTIF($R$6:R141,R141)-1)</f>
        <v/>
      </c>
    </row>
    <row r="142" spans="2:19" x14ac:dyDescent="0.25">
      <c r="B142" s="159">
        <v>137</v>
      </c>
      <c r="C142" s="160" t="str">
        <f>IFERROR(INDEX($Q$6:$Q$155,MATCH(137,$S$6:$S$155,0)),"")</f>
        <v/>
      </c>
      <c r="D142" s="161" t="str">
        <f>IF(C142="","",COUNTIFS(Başvuru!$D:$D,C142,Başvuru!$A:$A,"&lt;&gt;"&amp;"",Başvuru!$F:$F,"&lt;&gt;"&amp;""))</f>
        <v/>
      </c>
      <c r="E142" s="159" t="str">
        <f>IF(C142="","-",IF(D142&gt;0,TEXT(D142/(COUNTIFS(Başvuru!$A:$A,"&lt;&gt;",Başvuru!$F:$F,"&lt;&gt;")-1)*100,"0.0")&amp;"%","-"))</f>
        <v>-</v>
      </c>
      <c r="F142" s="162" t="str">
        <f>IF(C142="","",COUNTIFS(Başvuru!$D:$D,C142,Başvuru!$G:$G,"Bireysel Araştırma",Başvuru!$A:$A,"&lt;&gt;"&amp;"",Başvuru!$F:$F,"&lt;&gt;"&amp;""))</f>
        <v/>
      </c>
      <c r="G142" s="162" t="str">
        <f>IF(C142="","",COUNTIFS(Başvuru!$D:$D,C142,Başvuru!$G:$G,"Uzmanlık Tezi",Başvuru!$A:$A,"&lt;&gt;"&amp;"",Başvuru!$F:$F,"&lt;&gt;"&amp;""))</f>
        <v/>
      </c>
      <c r="H142" s="162" t="str">
        <f>IF(C142="","",COUNTIFS(Başvuru!$D:$D,C142,Başvuru!$G:$G,"Doktora Tezi",Başvuru!$A:$A,"&lt;&gt;"&amp;"",Başvuru!$F:$F,"&lt;&gt;"&amp;""))</f>
        <v/>
      </c>
      <c r="I142" s="162" t="str">
        <f>IF(C142="","",COUNTIFS(Başvuru!$D:$D,C142,Başvuru!$G:$G,"Yüksek Lisans Tezi",Başvuru!$A:$A,"&lt;&gt;"&amp;"",Başvuru!$F:$F,"&lt;&gt;"&amp;""))</f>
        <v/>
      </c>
      <c r="J142" s="163" t="str">
        <f>IF(C142="","",COUNTIFS(Başvuru!$D:$D,C142,Başvuru!$L:$L,"ONAY",Başvuru!$A:$A,"&lt;&gt;"&amp;"",Başvuru!$F:$F,"&lt;&gt;"&amp;""))</f>
        <v/>
      </c>
      <c r="K142" s="164" t="str">
        <f>IF(C142="","",COUNTIFS(Başvuru!$D:$D,C142,Başvuru!$L:$L,"DÜZELTME",Başvuru!$A:$A,"&lt;&gt;"&amp;"",Başvuru!$F:$F,"&lt;&gt;"&amp;""))</f>
        <v/>
      </c>
      <c r="L142" s="165" t="str">
        <f>IF(C142="","",COUNTIFS(Başvuru!$D:$D,C142,Başvuru!$L:$L,"KAEK",Başvuru!$A:$A,"&lt;&gt;"&amp;"",Başvuru!$F:$F,"&lt;&gt;"&amp;""))</f>
        <v/>
      </c>
      <c r="M142" s="166" t="str">
        <f>IF(C142="","",COUNTIFS(Başvuru!$D:$D,C142,Başvuru!$L:$L,"GÖRÜŞ",Başvuru!$A:$A,"&lt;&gt;"&amp;"",Başvuru!$F:$F,"&lt;&gt;"&amp;""))</f>
        <v/>
      </c>
      <c r="N142" s="167" t="str">
        <f>IF(C142="","",COUNTIFS(Başvuru!$D:$D,C142,Başvuru!$L:$L,"RET",Başvuru!$A:$A,"&lt;&gt;"&amp;"",Başvuru!$F:$F,"&lt;&gt;"&amp;""))</f>
        <v/>
      </c>
      <c r="O142" s="168" t="str">
        <f>IF(C142="","",COUNTIFS(Başvuru!$D:$D,C142,Başvuru!$L:$L,"KAPSAM DIŞI",Başvuru!$A:$A,"&lt;&gt;"&amp;"",Başvuru!$F:$F,"&lt;&gt;"&amp;""))</f>
        <v/>
      </c>
      <c r="P142" s="169" t="str">
        <f>IF(C142="","",COUNTIFS(Başvuru!$D:$D,C142,Başvuru!$L:$L,"GERİ ÇEKİLDİ",Başvuru!$A:$A,"&lt;&gt;"&amp;"",Başvuru!$F:$F,"&lt;&gt;"&amp;""))</f>
        <v/>
      </c>
      <c r="Q142" s="170" t="str">
        <f t="array" ref="Q142">IFERROR(INDEX(Başvuru!$D$2:$D$3000, MATCH(0, COUNTIF($Q$5:Q141, Başvuru!$D$2:$D$3000) + IF(Başvuru!$D$2:$D$3000="",1,0), 0)), "")</f>
        <v/>
      </c>
      <c r="R142" s="171" t="str">
        <f>IF(Q142="","",COUNTIFS(Başvuru!$D:$D,Q142,Başvuru!$A:$A,"&lt;&gt;"&amp;"",Başvuru!$F:$F,"&lt;&gt;"&amp;""))</f>
        <v/>
      </c>
      <c r="S142" s="171" t="str">
        <f>IF(R142="","",RANK(R142,$R$6:$R$155,0)+COUNTIF($R$6:R142,R142)-1)</f>
        <v/>
      </c>
    </row>
    <row r="143" spans="2:19" x14ac:dyDescent="0.25">
      <c r="B143" s="159">
        <v>138</v>
      </c>
      <c r="C143" s="160" t="str">
        <f>IFERROR(INDEX($Q$6:$Q$155,MATCH(138,$S$6:$S$155,0)),"")</f>
        <v/>
      </c>
      <c r="D143" s="161" t="str">
        <f>IF(C143="","",COUNTIFS(Başvuru!$D:$D,C143,Başvuru!$A:$A,"&lt;&gt;"&amp;"",Başvuru!$F:$F,"&lt;&gt;"&amp;""))</f>
        <v/>
      </c>
      <c r="E143" s="159" t="str">
        <f>IF(C143="","-",IF(D143&gt;0,TEXT(D143/(COUNTIFS(Başvuru!$A:$A,"&lt;&gt;",Başvuru!$F:$F,"&lt;&gt;")-1)*100,"0.0")&amp;"%","-"))</f>
        <v>-</v>
      </c>
      <c r="F143" s="162" t="str">
        <f>IF(C143="","",COUNTIFS(Başvuru!$D:$D,C143,Başvuru!$G:$G,"Bireysel Araştırma",Başvuru!$A:$A,"&lt;&gt;"&amp;"",Başvuru!$F:$F,"&lt;&gt;"&amp;""))</f>
        <v/>
      </c>
      <c r="G143" s="162" t="str">
        <f>IF(C143="","",COUNTIFS(Başvuru!$D:$D,C143,Başvuru!$G:$G,"Uzmanlık Tezi",Başvuru!$A:$A,"&lt;&gt;"&amp;"",Başvuru!$F:$F,"&lt;&gt;"&amp;""))</f>
        <v/>
      </c>
      <c r="H143" s="162" t="str">
        <f>IF(C143="","",COUNTIFS(Başvuru!$D:$D,C143,Başvuru!$G:$G,"Doktora Tezi",Başvuru!$A:$A,"&lt;&gt;"&amp;"",Başvuru!$F:$F,"&lt;&gt;"&amp;""))</f>
        <v/>
      </c>
      <c r="I143" s="162" t="str">
        <f>IF(C143="","",COUNTIFS(Başvuru!$D:$D,C143,Başvuru!$G:$G,"Yüksek Lisans Tezi",Başvuru!$A:$A,"&lt;&gt;"&amp;"",Başvuru!$F:$F,"&lt;&gt;"&amp;""))</f>
        <v/>
      </c>
      <c r="J143" s="163" t="str">
        <f>IF(C143="","",COUNTIFS(Başvuru!$D:$D,C143,Başvuru!$L:$L,"ONAY",Başvuru!$A:$A,"&lt;&gt;"&amp;"",Başvuru!$F:$F,"&lt;&gt;"&amp;""))</f>
        <v/>
      </c>
      <c r="K143" s="164" t="str">
        <f>IF(C143="","",COUNTIFS(Başvuru!$D:$D,C143,Başvuru!$L:$L,"DÜZELTME",Başvuru!$A:$A,"&lt;&gt;"&amp;"",Başvuru!$F:$F,"&lt;&gt;"&amp;""))</f>
        <v/>
      </c>
      <c r="L143" s="165" t="str">
        <f>IF(C143="","",COUNTIFS(Başvuru!$D:$D,C143,Başvuru!$L:$L,"KAEK",Başvuru!$A:$A,"&lt;&gt;"&amp;"",Başvuru!$F:$F,"&lt;&gt;"&amp;""))</f>
        <v/>
      </c>
      <c r="M143" s="166" t="str">
        <f>IF(C143="","",COUNTIFS(Başvuru!$D:$D,C143,Başvuru!$L:$L,"GÖRÜŞ",Başvuru!$A:$A,"&lt;&gt;"&amp;"",Başvuru!$F:$F,"&lt;&gt;"&amp;""))</f>
        <v/>
      </c>
      <c r="N143" s="167" t="str">
        <f>IF(C143="","",COUNTIFS(Başvuru!$D:$D,C143,Başvuru!$L:$L,"RET",Başvuru!$A:$A,"&lt;&gt;"&amp;"",Başvuru!$F:$F,"&lt;&gt;"&amp;""))</f>
        <v/>
      </c>
      <c r="O143" s="168" t="str">
        <f>IF(C143="","",COUNTIFS(Başvuru!$D:$D,C143,Başvuru!$L:$L,"KAPSAM DIŞI",Başvuru!$A:$A,"&lt;&gt;"&amp;"",Başvuru!$F:$F,"&lt;&gt;"&amp;""))</f>
        <v/>
      </c>
      <c r="P143" s="169" t="str">
        <f>IF(C143="","",COUNTIFS(Başvuru!$D:$D,C143,Başvuru!$L:$L,"GERİ ÇEKİLDİ",Başvuru!$A:$A,"&lt;&gt;"&amp;"",Başvuru!$F:$F,"&lt;&gt;"&amp;""))</f>
        <v/>
      </c>
      <c r="Q143" s="170" t="str">
        <f t="array" ref="Q143">IFERROR(INDEX(Başvuru!$D$2:$D$3000, MATCH(0, COUNTIF($Q$5:Q142, Başvuru!$D$2:$D$3000) + IF(Başvuru!$D$2:$D$3000="",1,0), 0)), "")</f>
        <v/>
      </c>
      <c r="R143" s="171" t="str">
        <f>IF(Q143="","",COUNTIFS(Başvuru!$D:$D,Q143,Başvuru!$A:$A,"&lt;&gt;"&amp;"",Başvuru!$F:$F,"&lt;&gt;"&amp;""))</f>
        <v/>
      </c>
      <c r="S143" s="171" t="str">
        <f>IF(R143="","",RANK(R143,$R$6:$R$155,0)+COUNTIF($R$6:R143,R143)-1)</f>
        <v/>
      </c>
    </row>
    <row r="144" spans="2:19" x14ac:dyDescent="0.25">
      <c r="B144" s="159">
        <v>139</v>
      </c>
      <c r="C144" s="160" t="str">
        <f>IFERROR(INDEX($Q$6:$Q$155,MATCH(139,$S$6:$S$155,0)),"")</f>
        <v/>
      </c>
      <c r="D144" s="161" t="str">
        <f>IF(C144="","",COUNTIFS(Başvuru!$D:$D,C144,Başvuru!$A:$A,"&lt;&gt;"&amp;"",Başvuru!$F:$F,"&lt;&gt;"&amp;""))</f>
        <v/>
      </c>
      <c r="E144" s="159" t="str">
        <f>IF(C144="","-",IF(D144&gt;0,TEXT(D144/(COUNTIFS(Başvuru!$A:$A,"&lt;&gt;",Başvuru!$F:$F,"&lt;&gt;")-1)*100,"0.0")&amp;"%","-"))</f>
        <v>-</v>
      </c>
      <c r="F144" s="162" t="str">
        <f>IF(C144="","",COUNTIFS(Başvuru!$D:$D,C144,Başvuru!$G:$G,"Bireysel Araştırma",Başvuru!$A:$A,"&lt;&gt;"&amp;"",Başvuru!$F:$F,"&lt;&gt;"&amp;""))</f>
        <v/>
      </c>
      <c r="G144" s="162" t="str">
        <f>IF(C144="","",COUNTIFS(Başvuru!$D:$D,C144,Başvuru!$G:$G,"Uzmanlık Tezi",Başvuru!$A:$A,"&lt;&gt;"&amp;"",Başvuru!$F:$F,"&lt;&gt;"&amp;""))</f>
        <v/>
      </c>
      <c r="H144" s="162" t="str">
        <f>IF(C144="","",COUNTIFS(Başvuru!$D:$D,C144,Başvuru!$G:$G,"Doktora Tezi",Başvuru!$A:$A,"&lt;&gt;"&amp;"",Başvuru!$F:$F,"&lt;&gt;"&amp;""))</f>
        <v/>
      </c>
      <c r="I144" s="162" t="str">
        <f>IF(C144="","",COUNTIFS(Başvuru!$D:$D,C144,Başvuru!$G:$G,"Yüksek Lisans Tezi",Başvuru!$A:$A,"&lt;&gt;"&amp;"",Başvuru!$F:$F,"&lt;&gt;"&amp;""))</f>
        <v/>
      </c>
      <c r="J144" s="163" t="str">
        <f>IF(C144="","",COUNTIFS(Başvuru!$D:$D,C144,Başvuru!$L:$L,"ONAY",Başvuru!$A:$A,"&lt;&gt;"&amp;"",Başvuru!$F:$F,"&lt;&gt;"&amp;""))</f>
        <v/>
      </c>
      <c r="K144" s="164" t="str">
        <f>IF(C144="","",COUNTIFS(Başvuru!$D:$D,C144,Başvuru!$L:$L,"DÜZELTME",Başvuru!$A:$A,"&lt;&gt;"&amp;"",Başvuru!$F:$F,"&lt;&gt;"&amp;""))</f>
        <v/>
      </c>
      <c r="L144" s="165" t="str">
        <f>IF(C144="","",COUNTIFS(Başvuru!$D:$D,C144,Başvuru!$L:$L,"KAEK",Başvuru!$A:$A,"&lt;&gt;"&amp;"",Başvuru!$F:$F,"&lt;&gt;"&amp;""))</f>
        <v/>
      </c>
      <c r="M144" s="166" t="str">
        <f>IF(C144="","",COUNTIFS(Başvuru!$D:$D,C144,Başvuru!$L:$L,"GÖRÜŞ",Başvuru!$A:$A,"&lt;&gt;"&amp;"",Başvuru!$F:$F,"&lt;&gt;"&amp;""))</f>
        <v/>
      </c>
      <c r="N144" s="167" t="str">
        <f>IF(C144="","",COUNTIFS(Başvuru!$D:$D,C144,Başvuru!$L:$L,"RET",Başvuru!$A:$A,"&lt;&gt;"&amp;"",Başvuru!$F:$F,"&lt;&gt;"&amp;""))</f>
        <v/>
      </c>
      <c r="O144" s="168" t="str">
        <f>IF(C144="","",COUNTIFS(Başvuru!$D:$D,C144,Başvuru!$L:$L,"KAPSAM DIŞI",Başvuru!$A:$A,"&lt;&gt;"&amp;"",Başvuru!$F:$F,"&lt;&gt;"&amp;""))</f>
        <v/>
      </c>
      <c r="P144" s="169" t="str">
        <f>IF(C144="","",COUNTIFS(Başvuru!$D:$D,C144,Başvuru!$L:$L,"GERİ ÇEKİLDİ",Başvuru!$A:$A,"&lt;&gt;"&amp;"",Başvuru!$F:$F,"&lt;&gt;"&amp;""))</f>
        <v/>
      </c>
      <c r="Q144" s="170" t="str">
        <f t="array" ref="Q144">IFERROR(INDEX(Başvuru!$D$2:$D$3000, MATCH(0, COUNTIF($Q$5:Q143, Başvuru!$D$2:$D$3000) + IF(Başvuru!$D$2:$D$3000="",1,0), 0)), "")</f>
        <v/>
      </c>
      <c r="R144" s="171" t="str">
        <f>IF(Q144="","",COUNTIFS(Başvuru!$D:$D,Q144,Başvuru!$A:$A,"&lt;&gt;"&amp;"",Başvuru!$F:$F,"&lt;&gt;"&amp;""))</f>
        <v/>
      </c>
      <c r="S144" s="171" t="str">
        <f>IF(R144="","",RANK(R144,$R$6:$R$155,0)+COUNTIF($R$6:R144,R144)-1)</f>
        <v/>
      </c>
    </row>
    <row r="145" spans="2:19" x14ac:dyDescent="0.25">
      <c r="B145" s="159">
        <v>140</v>
      </c>
      <c r="C145" s="160" t="str">
        <f>IFERROR(INDEX($Q$6:$Q$155,MATCH(140,$S$6:$S$155,0)),"")</f>
        <v/>
      </c>
      <c r="D145" s="161" t="str">
        <f>IF(C145="","",COUNTIFS(Başvuru!$D:$D,C145,Başvuru!$A:$A,"&lt;&gt;"&amp;"",Başvuru!$F:$F,"&lt;&gt;"&amp;""))</f>
        <v/>
      </c>
      <c r="E145" s="159" t="str">
        <f>IF(C145="","-",IF(D145&gt;0,TEXT(D145/(COUNTIFS(Başvuru!$A:$A,"&lt;&gt;",Başvuru!$F:$F,"&lt;&gt;")-1)*100,"0.0")&amp;"%","-"))</f>
        <v>-</v>
      </c>
      <c r="F145" s="162" t="str">
        <f>IF(C145="","",COUNTIFS(Başvuru!$D:$D,C145,Başvuru!$G:$G,"Bireysel Araştırma",Başvuru!$A:$A,"&lt;&gt;"&amp;"",Başvuru!$F:$F,"&lt;&gt;"&amp;""))</f>
        <v/>
      </c>
      <c r="G145" s="162" t="str">
        <f>IF(C145="","",COUNTIFS(Başvuru!$D:$D,C145,Başvuru!$G:$G,"Uzmanlık Tezi",Başvuru!$A:$A,"&lt;&gt;"&amp;"",Başvuru!$F:$F,"&lt;&gt;"&amp;""))</f>
        <v/>
      </c>
      <c r="H145" s="162" t="str">
        <f>IF(C145="","",COUNTIFS(Başvuru!$D:$D,C145,Başvuru!$G:$G,"Doktora Tezi",Başvuru!$A:$A,"&lt;&gt;"&amp;"",Başvuru!$F:$F,"&lt;&gt;"&amp;""))</f>
        <v/>
      </c>
      <c r="I145" s="162" t="str">
        <f>IF(C145="","",COUNTIFS(Başvuru!$D:$D,C145,Başvuru!$G:$G,"Yüksek Lisans Tezi",Başvuru!$A:$A,"&lt;&gt;"&amp;"",Başvuru!$F:$F,"&lt;&gt;"&amp;""))</f>
        <v/>
      </c>
      <c r="J145" s="163" t="str">
        <f>IF(C145="","",COUNTIFS(Başvuru!$D:$D,C145,Başvuru!$L:$L,"ONAY",Başvuru!$A:$A,"&lt;&gt;"&amp;"",Başvuru!$F:$F,"&lt;&gt;"&amp;""))</f>
        <v/>
      </c>
      <c r="K145" s="164" t="str">
        <f>IF(C145="","",COUNTIFS(Başvuru!$D:$D,C145,Başvuru!$L:$L,"DÜZELTME",Başvuru!$A:$A,"&lt;&gt;"&amp;"",Başvuru!$F:$F,"&lt;&gt;"&amp;""))</f>
        <v/>
      </c>
      <c r="L145" s="165" t="str">
        <f>IF(C145="","",COUNTIFS(Başvuru!$D:$D,C145,Başvuru!$L:$L,"KAEK",Başvuru!$A:$A,"&lt;&gt;"&amp;"",Başvuru!$F:$F,"&lt;&gt;"&amp;""))</f>
        <v/>
      </c>
      <c r="M145" s="166" t="str">
        <f>IF(C145="","",COUNTIFS(Başvuru!$D:$D,C145,Başvuru!$L:$L,"GÖRÜŞ",Başvuru!$A:$A,"&lt;&gt;"&amp;"",Başvuru!$F:$F,"&lt;&gt;"&amp;""))</f>
        <v/>
      </c>
      <c r="N145" s="167" t="str">
        <f>IF(C145="","",COUNTIFS(Başvuru!$D:$D,C145,Başvuru!$L:$L,"RET",Başvuru!$A:$A,"&lt;&gt;"&amp;"",Başvuru!$F:$F,"&lt;&gt;"&amp;""))</f>
        <v/>
      </c>
      <c r="O145" s="168" t="str">
        <f>IF(C145="","",COUNTIFS(Başvuru!$D:$D,C145,Başvuru!$L:$L,"KAPSAM DIŞI",Başvuru!$A:$A,"&lt;&gt;"&amp;"",Başvuru!$F:$F,"&lt;&gt;"&amp;""))</f>
        <v/>
      </c>
      <c r="P145" s="169" t="str">
        <f>IF(C145="","",COUNTIFS(Başvuru!$D:$D,C145,Başvuru!$L:$L,"GERİ ÇEKİLDİ",Başvuru!$A:$A,"&lt;&gt;"&amp;"",Başvuru!$F:$F,"&lt;&gt;"&amp;""))</f>
        <v/>
      </c>
      <c r="Q145" s="170" t="str">
        <f t="array" ref="Q145">IFERROR(INDEX(Başvuru!$D$2:$D$3000, MATCH(0, COUNTIF($Q$5:Q144, Başvuru!$D$2:$D$3000) + IF(Başvuru!$D$2:$D$3000="",1,0), 0)), "")</f>
        <v/>
      </c>
      <c r="R145" s="171" t="str">
        <f>IF(Q145="","",COUNTIFS(Başvuru!$D:$D,Q145,Başvuru!$A:$A,"&lt;&gt;"&amp;"",Başvuru!$F:$F,"&lt;&gt;"&amp;""))</f>
        <v/>
      </c>
      <c r="S145" s="171" t="str">
        <f>IF(R145="","",RANK(R145,$R$6:$R$155,0)+COUNTIF($R$6:R145,R145)-1)</f>
        <v/>
      </c>
    </row>
    <row r="146" spans="2:19" x14ac:dyDescent="0.25">
      <c r="B146" s="159">
        <v>141</v>
      </c>
      <c r="C146" s="160" t="str">
        <f>IFERROR(INDEX($Q$6:$Q$155,MATCH(141,$S$6:$S$155,0)),"")</f>
        <v/>
      </c>
      <c r="D146" s="161" t="str">
        <f>IF(C146="","",COUNTIFS(Başvuru!$D:$D,C146,Başvuru!$A:$A,"&lt;&gt;"&amp;"",Başvuru!$F:$F,"&lt;&gt;"&amp;""))</f>
        <v/>
      </c>
      <c r="E146" s="159" t="str">
        <f>IF(C146="","-",IF(D146&gt;0,TEXT(D146/(COUNTIFS(Başvuru!$A:$A,"&lt;&gt;",Başvuru!$F:$F,"&lt;&gt;")-1)*100,"0.0")&amp;"%","-"))</f>
        <v>-</v>
      </c>
      <c r="F146" s="162" t="str">
        <f>IF(C146="","",COUNTIFS(Başvuru!$D:$D,C146,Başvuru!$G:$G,"Bireysel Araştırma",Başvuru!$A:$A,"&lt;&gt;"&amp;"",Başvuru!$F:$F,"&lt;&gt;"&amp;""))</f>
        <v/>
      </c>
      <c r="G146" s="162" t="str">
        <f>IF(C146="","",COUNTIFS(Başvuru!$D:$D,C146,Başvuru!$G:$G,"Uzmanlık Tezi",Başvuru!$A:$A,"&lt;&gt;"&amp;"",Başvuru!$F:$F,"&lt;&gt;"&amp;""))</f>
        <v/>
      </c>
      <c r="H146" s="162" t="str">
        <f>IF(C146="","",COUNTIFS(Başvuru!$D:$D,C146,Başvuru!$G:$G,"Doktora Tezi",Başvuru!$A:$A,"&lt;&gt;"&amp;"",Başvuru!$F:$F,"&lt;&gt;"&amp;""))</f>
        <v/>
      </c>
      <c r="I146" s="162" t="str">
        <f>IF(C146="","",COUNTIFS(Başvuru!$D:$D,C146,Başvuru!$G:$G,"Yüksek Lisans Tezi",Başvuru!$A:$A,"&lt;&gt;"&amp;"",Başvuru!$F:$F,"&lt;&gt;"&amp;""))</f>
        <v/>
      </c>
      <c r="J146" s="163" t="str">
        <f>IF(C146="","",COUNTIFS(Başvuru!$D:$D,C146,Başvuru!$L:$L,"ONAY",Başvuru!$A:$A,"&lt;&gt;"&amp;"",Başvuru!$F:$F,"&lt;&gt;"&amp;""))</f>
        <v/>
      </c>
      <c r="K146" s="164" t="str">
        <f>IF(C146="","",COUNTIFS(Başvuru!$D:$D,C146,Başvuru!$L:$L,"DÜZELTME",Başvuru!$A:$A,"&lt;&gt;"&amp;"",Başvuru!$F:$F,"&lt;&gt;"&amp;""))</f>
        <v/>
      </c>
      <c r="L146" s="165" t="str">
        <f>IF(C146="","",COUNTIFS(Başvuru!$D:$D,C146,Başvuru!$L:$L,"KAEK",Başvuru!$A:$A,"&lt;&gt;"&amp;"",Başvuru!$F:$F,"&lt;&gt;"&amp;""))</f>
        <v/>
      </c>
      <c r="M146" s="166" t="str">
        <f>IF(C146="","",COUNTIFS(Başvuru!$D:$D,C146,Başvuru!$L:$L,"GÖRÜŞ",Başvuru!$A:$A,"&lt;&gt;"&amp;"",Başvuru!$F:$F,"&lt;&gt;"&amp;""))</f>
        <v/>
      </c>
      <c r="N146" s="167" t="str">
        <f>IF(C146="","",COUNTIFS(Başvuru!$D:$D,C146,Başvuru!$L:$L,"RET",Başvuru!$A:$A,"&lt;&gt;"&amp;"",Başvuru!$F:$F,"&lt;&gt;"&amp;""))</f>
        <v/>
      </c>
      <c r="O146" s="168" t="str">
        <f>IF(C146="","",COUNTIFS(Başvuru!$D:$D,C146,Başvuru!$L:$L,"KAPSAM DIŞI",Başvuru!$A:$A,"&lt;&gt;"&amp;"",Başvuru!$F:$F,"&lt;&gt;"&amp;""))</f>
        <v/>
      </c>
      <c r="P146" s="169" t="str">
        <f>IF(C146="","",COUNTIFS(Başvuru!$D:$D,C146,Başvuru!$L:$L,"GERİ ÇEKİLDİ",Başvuru!$A:$A,"&lt;&gt;"&amp;"",Başvuru!$F:$F,"&lt;&gt;"&amp;""))</f>
        <v/>
      </c>
      <c r="Q146" s="170" t="str">
        <f t="array" ref="Q146">IFERROR(INDEX(Başvuru!$D$2:$D$3000, MATCH(0, COUNTIF($Q$5:Q145, Başvuru!$D$2:$D$3000) + IF(Başvuru!$D$2:$D$3000="",1,0), 0)), "")</f>
        <v/>
      </c>
      <c r="R146" s="171" t="str">
        <f>IF(Q146="","",COUNTIFS(Başvuru!$D:$D,Q146,Başvuru!$A:$A,"&lt;&gt;"&amp;"",Başvuru!$F:$F,"&lt;&gt;"&amp;""))</f>
        <v/>
      </c>
      <c r="S146" s="171" t="str">
        <f>IF(R146="","",RANK(R146,$R$6:$R$155,0)+COUNTIF($R$6:R146,R146)-1)</f>
        <v/>
      </c>
    </row>
    <row r="147" spans="2:19" x14ac:dyDescent="0.25">
      <c r="B147" s="159">
        <v>142</v>
      </c>
      <c r="C147" s="160" t="str">
        <f>IFERROR(INDEX($Q$6:$Q$155,MATCH(142,$S$6:$S$155,0)),"")</f>
        <v/>
      </c>
      <c r="D147" s="161" t="str">
        <f>IF(C147="","",COUNTIFS(Başvuru!$D:$D,C147,Başvuru!$A:$A,"&lt;&gt;"&amp;"",Başvuru!$F:$F,"&lt;&gt;"&amp;""))</f>
        <v/>
      </c>
      <c r="E147" s="159" t="str">
        <f>IF(C147="","-",IF(D147&gt;0,TEXT(D147/(COUNTIFS(Başvuru!$A:$A,"&lt;&gt;",Başvuru!$F:$F,"&lt;&gt;")-1)*100,"0.0")&amp;"%","-"))</f>
        <v>-</v>
      </c>
      <c r="F147" s="162" t="str">
        <f>IF(C147="","",COUNTIFS(Başvuru!$D:$D,C147,Başvuru!$G:$G,"Bireysel Araştırma",Başvuru!$A:$A,"&lt;&gt;"&amp;"",Başvuru!$F:$F,"&lt;&gt;"&amp;""))</f>
        <v/>
      </c>
      <c r="G147" s="162" t="str">
        <f>IF(C147="","",COUNTIFS(Başvuru!$D:$D,C147,Başvuru!$G:$G,"Uzmanlık Tezi",Başvuru!$A:$A,"&lt;&gt;"&amp;"",Başvuru!$F:$F,"&lt;&gt;"&amp;""))</f>
        <v/>
      </c>
      <c r="H147" s="162" t="str">
        <f>IF(C147="","",COUNTIFS(Başvuru!$D:$D,C147,Başvuru!$G:$G,"Doktora Tezi",Başvuru!$A:$A,"&lt;&gt;"&amp;"",Başvuru!$F:$F,"&lt;&gt;"&amp;""))</f>
        <v/>
      </c>
      <c r="I147" s="162" t="str">
        <f>IF(C147="","",COUNTIFS(Başvuru!$D:$D,C147,Başvuru!$G:$G,"Yüksek Lisans Tezi",Başvuru!$A:$A,"&lt;&gt;"&amp;"",Başvuru!$F:$F,"&lt;&gt;"&amp;""))</f>
        <v/>
      </c>
      <c r="J147" s="163" t="str">
        <f>IF(C147="","",COUNTIFS(Başvuru!$D:$D,C147,Başvuru!$L:$L,"ONAY",Başvuru!$A:$A,"&lt;&gt;"&amp;"",Başvuru!$F:$F,"&lt;&gt;"&amp;""))</f>
        <v/>
      </c>
      <c r="K147" s="164" t="str">
        <f>IF(C147="","",COUNTIFS(Başvuru!$D:$D,C147,Başvuru!$L:$L,"DÜZELTME",Başvuru!$A:$A,"&lt;&gt;"&amp;"",Başvuru!$F:$F,"&lt;&gt;"&amp;""))</f>
        <v/>
      </c>
      <c r="L147" s="165" t="str">
        <f>IF(C147="","",COUNTIFS(Başvuru!$D:$D,C147,Başvuru!$L:$L,"KAEK",Başvuru!$A:$A,"&lt;&gt;"&amp;"",Başvuru!$F:$F,"&lt;&gt;"&amp;""))</f>
        <v/>
      </c>
      <c r="M147" s="166" t="str">
        <f>IF(C147="","",COUNTIFS(Başvuru!$D:$D,C147,Başvuru!$L:$L,"GÖRÜŞ",Başvuru!$A:$A,"&lt;&gt;"&amp;"",Başvuru!$F:$F,"&lt;&gt;"&amp;""))</f>
        <v/>
      </c>
      <c r="N147" s="167" t="str">
        <f>IF(C147="","",COUNTIFS(Başvuru!$D:$D,C147,Başvuru!$L:$L,"RET",Başvuru!$A:$A,"&lt;&gt;"&amp;"",Başvuru!$F:$F,"&lt;&gt;"&amp;""))</f>
        <v/>
      </c>
      <c r="O147" s="168" t="str">
        <f>IF(C147="","",COUNTIFS(Başvuru!$D:$D,C147,Başvuru!$L:$L,"KAPSAM DIŞI",Başvuru!$A:$A,"&lt;&gt;"&amp;"",Başvuru!$F:$F,"&lt;&gt;"&amp;""))</f>
        <v/>
      </c>
      <c r="P147" s="169" t="str">
        <f>IF(C147="","",COUNTIFS(Başvuru!$D:$D,C147,Başvuru!$L:$L,"GERİ ÇEKİLDİ",Başvuru!$A:$A,"&lt;&gt;"&amp;"",Başvuru!$F:$F,"&lt;&gt;"&amp;""))</f>
        <v/>
      </c>
      <c r="Q147" s="170" t="str">
        <f t="array" ref="Q147">IFERROR(INDEX(Başvuru!$D$2:$D$3000, MATCH(0, COUNTIF($Q$5:Q146, Başvuru!$D$2:$D$3000) + IF(Başvuru!$D$2:$D$3000="",1,0), 0)), "")</f>
        <v/>
      </c>
      <c r="R147" s="171" t="str">
        <f>IF(Q147="","",COUNTIFS(Başvuru!$D:$D,Q147,Başvuru!$A:$A,"&lt;&gt;"&amp;"",Başvuru!$F:$F,"&lt;&gt;"&amp;""))</f>
        <v/>
      </c>
      <c r="S147" s="171" t="str">
        <f>IF(R147="","",RANK(R147,$R$6:$R$155,0)+COUNTIF($R$6:R147,R147)-1)</f>
        <v/>
      </c>
    </row>
    <row r="148" spans="2:19" x14ac:dyDescent="0.25">
      <c r="B148" s="159">
        <v>143</v>
      </c>
      <c r="C148" s="160" t="str">
        <f>IFERROR(INDEX($Q$6:$Q$155,MATCH(143,$S$6:$S$155,0)),"")</f>
        <v/>
      </c>
      <c r="D148" s="161" t="str">
        <f>IF(C148="","",COUNTIFS(Başvuru!$D:$D,C148,Başvuru!$A:$A,"&lt;&gt;"&amp;"",Başvuru!$F:$F,"&lt;&gt;"&amp;""))</f>
        <v/>
      </c>
      <c r="E148" s="159" t="str">
        <f>IF(C148="","-",IF(D148&gt;0,TEXT(D148/(COUNTIFS(Başvuru!$A:$A,"&lt;&gt;",Başvuru!$F:$F,"&lt;&gt;")-1)*100,"0.0")&amp;"%","-"))</f>
        <v>-</v>
      </c>
      <c r="F148" s="162" t="str">
        <f>IF(C148="","",COUNTIFS(Başvuru!$D:$D,C148,Başvuru!$G:$G,"Bireysel Araştırma",Başvuru!$A:$A,"&lt;&gt;"&amp;"",Başvuru!$F:$F,"&lt;&gt;"&amp;""))</f>
        <v/>
      </c>
      <c r="G148" s="162" t="str">
        <f>IF(C148="","",COUNTIFS(Başvuru!$D:$D,C148,Başvuru!$G:$G,"Uzmanlık Tezi",Başvuru!$A:$A,"&lt;&gt;"&amp;"",Başvuru!$F:$F,"&lt;&gt;"&amp;""))</f>
        <v/>
      </c>
      <c r="H148" s="162" t="str">
        <f>IF(C148="","",COUNTIFS(Başvuru!$D:$D,C148,Başvuru!$G:$G,"Doktora Tezi",Başvuru!$A:$A,"&lt;&gt;"&amp;"",Başvuru!$F:$F,"&lt;&gt;"&amp;""))</f>
        <v/>
      </c>
      <c r="I148" s="162" t="str">
        <f>IF(C148="","",COUNTIFS(Başvuru!$D:$D,C148,Başvuru!$G:$G,"Yüksek Lisans Tezi",Başvuru!$A:$A,"&lt;&gt;"&amp;"",Başvuru!$F:$F,"&lt;&gt;"&amp;""))</f>
        <v/>
      </c>
      <c r="J148" s="163" t="str">
        <f>IF(C148="","",COUNTIFS(Başvuru!$D:$D,C148,Başvuru!$L:$L,"ONAY",Başvuru!$A:$A,"&lt;&gt;"&amp;"",Başvuru!$F:$F,"&lt;&gt;"&amp;""))</f>
        <v/>
      </c>
      <c r="K148" s="164" t="str">
        <f>IF(C148="","",COUNTIFS(Başvuru!$D:$D,C148,Başvuru!$L:$L,"DÜZELTME",Başvuru!$A:$A,"&lt;&gt;"&amp;"",Başvuru!$F:$F,"&lt;&gt;"&amp;""))</f>
        <v/>
      </c>
      <c r="L148" s="165" t="str">
        <f>IF(C148="","",COUNTIFS(Başvuru!$D:$D,C148,Başvuru!$L:$L,"KAEK",Başvuru!$A:$A,"&lt;&gt;"&amp;"",Başvuru!$F:$F,"&lt;&gt;"&amp;""))</f>
        <v/>
      </c>
      <c r="M148" s="166" t="str">
        <f>IF(C148="","",COUNTIFS(Başvuru!$D:$D,C148,Başvuru!$L:$L,"GÖRÜŞ",Başvuru!$A:$A,"&lt;&gt;"&amp;"",Başvuru!$F:$F,"&lt;&gt;"&amp;""))</f>
        <v/>
      </c>
      <c r="N148" s="167" t="str">
        <f>IF(C148="","",COUNTIFS(Başvuru!$D:$D,C148,Başvuru!$L:$L,"RET",Başvuru!$A:$A,"&lt;&gt;"&amp;"",Başvuru!$F:$F,"&lt;&gt;"&amp;""))</f>
        <v/>
      </c>
      <c r="O148" s="168" t="str">
        <f>IF(C148="","",COUNTIFS(Başvuru!$D:$D,C148,Başvuru!$L:$L,"KAPSAM DIŞI",Başvuru!$A:$A,"&lt;&gt;"&amp;"",Başvuru!$F:$F,"&lt;&gt;"&amp;""))</f>
        <v/>
      </c>
      <c r="P148" s="169" t="str">
        <f>IF(C148="","",COUNTIFS(Başvuru!$D:$D,C148,Başvuru!$L:$L,"GERİ ÇEKİLDİ",Başvuru!$A:$A,"&lt;&gt;"&amp;"",Başvuru!$F:$F,"&lt;&gt;"&amp;""))</f>
        <v/>
      </c>
      <c r="Q148" s="170" t="str">
        <f t="array" ref="Q148">IFERROR(INDEX(Başvuru!$D$2:$D$3000, MATCH(0, COUNTIF($Q$5:Q147, Başvuru!$D$2:$D$3000) + IF(Başvuru!$D$2:$D$3000="",1,0), 0)), "")</f>
        <v/>
      </c>
      <c r="R148" s="171" t="str">
        <f>IF(Q148="","",COUNTIFS(Başvuru!$D:$D,Q148,Başvuru!$A:$A,"&lt;&gt;"&amp;"",Başvuru!$F:$F,"&lt;&gt;"&amp;""))</f>
        <v/>
      </c>
      <c r="S148" s="171" t="str">
        <f>IF(R148="","",RANK(R148,$R$6:$R$155,0)+COUNTIF($R$6:R148,R148)-1)</f>
        <v/>
      </c>
    </row>
    <row r="149" spans="2:19" x14ac:dyDescent="0.25">
      <c r="B149" s="159">
        <v>144</v>
      </c>
      <c r="C149" s="160" t="str">
        <f>IFERROR(INDEX($Q$6:$Q$155,MATCH(144,$S$6:$S$155,0)),"")</f>
        <v/>
      </c>
      <c r="D149" s="161" t="str">
        <f>IF(C149="","",COUNTIFS(Başvuru!$D:$D,C149,Başvuru!$A:$A,"&lt;&gt;"&amp;"",Başvuru!$F:$F,"&lt;&gt;"&amp;""))</f>
        <v/>
      </c>
      <c r="E149" s="159" t="str">
        <f>IF(C149="","-",IF(D149&gt;0,TEXT(D149/(COUNTIFS(Başvuru!$A:$A,"&lt;&gt;",Başvuru!$F:$F,"&lt;&gt;")-1)*100,"0.0")&amp;"%","-"))</f>
        <v>-</v>
      </c>
      <c r="F149" s="162" t="str">
        <f>IF(C149="","",COUNTIFS(Başvuru!$D:$D,C149,Başvuru!$G:$G,"Bireysel Araştırma",Başvuru!$A:$A,"&lt;&gt;"&amp;"",Başvuru!$F:$F,"&lt;&gt;"&amp;""))</f>
        <v/>
      </c>
      <c r="G149" s="162" t="str">
        <f>IF(C149="","",COUNTIFS(Başvuru!$D:$D,C149,Başvuru!$G:$G,"Uzmanlık Tezi",Başvuru!$A:$A,"&lt;&gt;"&amp;"",Başvuru!$F:$F,"&lt;&gt;"&amp;""))</f>
        <v/>
      </c>
      <c r="H149" s="162" t="str">
        <f>IF(C149="","",COUNTIFS(Başvuru!$D:$D,C149,Başvuru!$G:$G,"Doktora Tezi",Başvuru!$A:$A,"&lt;&gt;"&amp;"",Başvuru!$F:$F,"&lt;&gt;"&amp;""))</f>
        <v/>
      </c>
      <c r="I149" s="162" t="str">
        <f>IF(C149="","",COUNTIFS(Başvuru!$D:$D,C149,Başvuru!$G:$G,"Yüksek Lisans Tezi",Başvuru!$A:$A,"&lt;&gt;"&amp;"",Başvuru!$F:$F,"&lt;&gt;"&amp;""))</f>
        <v/>
      </c>
      <c r="J149" s="163" t="str">
        <f>IF(C149="","",COUNTIFS(Başvuru!$D:$D,C149,Başvuru!$L:$L,"ONAY",Başvuru!$A:$A,"&lt;&gt;"&amp;"",Başvuru!$F:$F,"&lt;&gt;"&amp;""))</f>
        <v/>
      </c>
      <c r="K149" s="164" t="str">
        <f>IF(C149="","",COUNTIFS(Başvuru!$D:$D,C149,Başvuru!$L:$L,"DÜZELTME",Başvuru!$A:$A,"&lt;&gt;"&amp;"",Başvuru!$F:$F,"&lt;&gt;"&amp;""))</f>
        <v/>
      </c>
      <c r="L149" s="165" t="str">
        <f>IF(C149="","",COUNTIFS(Başvuru!$D:$D,C149,Başvuru!$L:$L,"KAEK",Başvuru!$A:$A,"&lt;&gt;"&amp;"",Başvuru!$F:$F,"&lt;&gt;"&amp;""))</f>
        <v/>
      </c>
      <c r="M149" s="166" t="str">
        <f>IF(C149="","",COUNTIFS(Başvuru!$D:$D,C149,Başvuru!$L:$L,"GÖRÜŞ",Başvuru!$A:$A,"&lt;&gt;"&amp;"",Başvuru!$F:$F,"&lt;&gt;"&amp;""))</f>
        <v/>
      </c>
      <c r="N149" s="167" t="str">
        <f>IF(C149="","",COUNTIFS(Başvuru!$D:$D,C149,Başvuru!$L:$L,"RET",Başvuru!$A:$A,"&lt;&gt;"&amp;"",Başvuru!$F:$F,"&lt;&gt;"&amp;""))</f>
        <v/>
      </c>
      <c r="O149" s="168" t="str">
        <f>IF(C149="","",COUNTIFS(Başvuru!$D:$D,C149,Başvuru!$L:$L,"KAPSAM DIŞI",Başvuru!$A:$A,"&lt;&gt;"&amp;"",Başvuru!$F:$F,"&lt;&gt;"&amp;""))</f>
        <v/>
      </c>
      <c r="P149" s="169" t="str">
        <f>IF(C149="","",COUNTIFS(Başvuru!$D:$D,C149,Başvuru!$L:$L,"GERİ ÇEKİLDİ",Başvuru!$A:$A,"&lt;&gt;"&amp;"",Başvuru!$F:$F,"&lt;&gt;"&amp;""))</f>
        <v/>
      </c>
      <c r="Q149" s="170" t="str">
        <f t="array" ref="Q149">IFERROR(INDEX(Başvuru!$D$2:$D$3000, MATCH(0, COUNTIF($Q$5:Q148, Başvuru!$D$2:$D$3000) + IF(Başvuru!$D$2:$D$3000="",1,0), 0)), "")</f>
        <v/>
      </c>
      <c r="R149" s="171" t="str">
        <f>IF(Q149="","",COUNTIFS(Başvuru!$D:$D,Q149,Başvuru!$A:$A,"&lt;&gt;"&amp;"",Başvuru!$F:$F,"&lt;&gt;"&amp;""))</f>
        <v/>
      </c>
      <c r="S149" s="171" t="str">
        <f>IF(R149="","",RANK(R149,$R$6:$R$155,0)+COUNTIF($R$6:R149,R149)-1)</f>
        <v/>
      </c>
    </row>
    <row r="150" spans="2:19" x14ac:dyDescent="0.25">
      <c r="B150" s="159">
        <v>145</v>
      </c>
      <c r="C150" s="160" t="str">
        <f>IFERROR(INDEX($Q$6:$Q$155,MATCH(145,$S$6:$S$155,0)),"")</f>
        <v/>
      </c>
      <c r="D150" s="161" t="str">
        <f>IF(C150="","",COUNTIFS(Başvuru!$D:$D,C150,Başvuru!$A:$A,"&lt;&gt;"&amp;"",Başvuru!$F:$F,"&lt;&gt;"&amp;""))</f>
        <v/>
      </c>
      <c r="E150" s="159" t="str">
        <f>IF(C150="","-",IF(D150&gt;0,TEXT(D150/(COUNTIFS(Başvuru!$A:$A,"&lt;&gt;",Başvuru!$F:$F,"&lt;&gt;")-1)*100,"0.0")&amp;"%","-"))</f>
        <v>-</v>
      </c>
      <c r="F150" s="162" t="str">
        <f>IF(C150="","",COUNTIFS(Başvuru!$D:$D,C150,Başvuru!$G:$G,"Bireysel Araştırma",Başvuru!$A:$A,"&lt;&gt;"&amp;"",Başvuru!$F:$F,"&lt;&gt;"&amp;""))</f>
        <v/>
      </c>
      <c r="G150" s="162" t="str">
        <f>IF(C150="","",COUNTIFS(Başvuru!$D:$D,C150,Başvuru!$G:$G,"Uzmanlık Tezi",Başvuru!$A:$A,"&lt;&gt;"&amp;"",Başvuru!$F:$F,"&lt;&gt;"&amp;""))</f>
        <v/>
      </c>
      <c r="H150" s="162" t="str">
        <f>IF(C150="","",COUNTIFS(Başvuru!$D:$D,C150,Başvuru!$G:$G,"Doktora Tezi",Başvuru!$A:$A,"&lt;&gt;"&amp;"",Başvuru!$F:$F,"&lt;&gt;"&amp;""))</f>
        <v/>
      </c>
      <c r="I150" s="162" t="str">
        <f>IF(C150="","",COUNTIFS(Başvuru!$D:$D,C150,Başvuru!$G:$G,"Yüksek Lisans Tezi",Başvuru!$A:$A,"&lt;&gt;"&amp;"",Başvuru!$F:$F,"&lt;&gt;"&amp;""))</f>
        <v/>
      </c>
      <c r="J150" s="163" t="str">
        <f>IF(C150="","",COUNTIFS(Başvuru!$D:$D,C150,Başvuru!$L:$L,"ONAY",Başvuru!$A:$A,"&lt;&gt;"&amp;"",Başvuru!$F:$F,"&lt;&gt;"&amp;""))</f>
        <v/>
      </c>
      <c r="K150" s="164" t="str">
        <f>IF(C150="","",COUNTIFS(Başvuru!$D:$D,C150,Başvuru!$L:$L,"DÜZELTME",Başvuru!$A:$A,"&lt;&gt;"&amp;"",Başvuru!$F:$F,"&lt;&gt;"&amp;""))</f>
        <v/>
      </c>
      <c r="L150" s="165" t="str">
        <f>IF(C150="","",COUNTIFS(Başvuru!$D:$D,C150,Başvuru!$L:$L,"KAEK",Başvuru!$A:$A,"&lt;&gt;"&amp;"",Başvuru!$F:$F,"&lt;&gt;"&amp;""))</f>
        <v/>
      </c>
      <c r="M150" s="166" t="str">
        <f>IF(C150="","",COUNTIFS(Başvuru!$D:$D,C150,Başvuru!$L:$L,"GÖRÜŞ",Başvuru!$A:$A,"&lt;&gt;"&amp;"",Başvuru!$F:$F,"&lt;&gt;"&amp;""))</f>
        <v/>
      </c>
      <c r="N150" s="167" t="str">
        <f>IF(C150="","",COUNTIFS(Başvuru!$D:$D,C150,Başvuru!$L:$L,"RET",Başvuru!$A:$A,"&lt;&gt;"&amp;"",Başvuru!$F:$F,"&lt;&gt;"&amp;""))</f>
        <v/>
      </c>
      <c r="O150" s="168" t="str">
        <f>IF(C150="","",COUNTIFS(Başvuru!$D:$D,C150,Başvuru!$L:$L,"KAPSAM DIŞI",Başvuru!$A:$A,"&lt;&gt;"&amp;"",Başvuru!$F:$F,"&lt;&gt;"&amp;""))</f>
        <v/>
      </c>
      <c r="P150" s="169" t="str">
        <f>IF(C150="","",COUNTIFS(Başvuru!$D:$D,C150,Başvuru!$L:$L,"GERİ ÇEKİLDİ",Başvuru!$A:$A,"&lt;&gt;"&amp;"",Başvuru!$F:$F,"&lt;&gt;"&amp;""))</f>
        <v/>
      </c>
      <c r="Q150" s="170" t="str">
        <f t="array" ref="Q150">IFERROR(INDEX(Başvuru!$D$2:$D$3000, MATCH(0, COUNTIF($Q$5:Q149, Başvuru!$D$2:$D$3000) + IF(Başvuru!$D$2:$D$3000="",1,0), 0)), "")</f>
        <v/>
      </c>
      <c r="R150" s="171" t="str">
        <f>IF(Q150="","",COUNTIFS(Başvuru!$D:$D,Q150,Başvuru!$A:$A,"&lt;&gt;"&amp;"",Başvuru!$F:$F,"&lt;&gt;"&amp;""))</f>
        <v/>
      </c>
      <c r="S150" s="171" t="str">
        <f>IF(R150="","",RANK(R150,$R$6:$R$155,0)+COUNTIF($R$6:R150,R150)-1)</f>
        <v/>
      </c>
    </row>
    <row r="151" spans="2:19" x14ac:dyDescent="0.25">
      <c r="B151" s="159">
        <v>146</v>
      </c>
      <c r="C151" s="160" t="str">
        <f>IFERROR(INDEX($Q$6:$Q$155,MATCH(146,$S$6:$S$155,0)),"")</f>
        <v/>
      </c>
      <c r="D151" s="161" t="str">
        <f>IF(C151="","",COUNTIFS(Başvuru!$D:$D,C151,Başvuru!$A:$A,"&lt;&gt;"&amp;"",Başvuru!$F:$F,"&lt;&gt;"&amp;""))</f>
        <v/>
      </c>
      <c r="E151" s="159" t="str">
        <f>IF(C151="","-",IF(D151&gt;0,TEXT(D151/(COUNTIFS(Başvuru!$A:$A,"&lt;&gt;",Başvuru!$F:$F,"&lt;&gt;")-1)*100,"0.0")&amp;"%","-"))</f>
        <v>-</v>
      </c>
      <c r="F151" s="162" t="str">
        <f>IF(C151="","",COUNTIFS(Başvuru!$D:$D,C151,Başvuru!$G:$G,"Bireysel Araştırma",Başvuru!$A:$A,"&lt;&gt;"&amp;"",Başvuru!$F:$F,"&lt;&gt;"&amp;""))</f>
        <v/>
      </c>
      <c r="G151" s="162" t="str">
        <f>IF(C151="","",COUNTIFS(Başvuru!$D:$D,C151,Başvuru!$G:$G,"Uzmanlık Tezi",Başvuru!$A:$A,"&lt;&gt;"&amp;"",Başvuru!$F:$F,"&lt;&gt;"&amp;""))</f>
        <v/>
      </c>
      <c r="H151" s="162" t="str">
        <f>IF(C151="","",COUNTIFS(Başvuru!$D:$D,C151,Başvuru!$G:$G,"Doktora Tezi",Başvuru!$A:$A,"&lt;&gt;"&amp;"",Başvuru!$F:$F,"&lt;&gt;"&amp;""))</f>
        <v/>
      </c>
      <c r="I151" s="162" t="str">
        <f>IF(C151="","",COUNTIFS(Başvuru!$D:$D,C151,Başvuru!$G:$G,"Yüksek Lisans Tezi",Başvuru!$A:$A,"&lt;&gt;"&amp;"",Başvuru!$F:$F,"&lt;&gt;"&amp;""))</f>
        <v/>
      </c>
      <c r="J151" s="163" t="str">
        <f>IF(C151="","",COUNTIFS(Başvuru!$D:$D,C151,Başvuru!$L:$L,"ONAY",Başvuru!$A:$A,"&lt;&gt;"&amp;"",Başvuru!$F:$F,"&lt;&gt;"&amp;""))</f>
        <v/>
      </c>
      <c r="K151" s="164" t="str">
        <f>IF(C151="","",COUNTIFS(Başvuru!$D:$D,C151,Başvuru!$L:$L,"DÜZELTME",Başvuru!$A:$A,"&lt;&gt;"&amp;"",Başvuru!$F:$F,"&lt;&gt;"&amp;""))</f>
        <v/>
      </c>
      <c r="L151" s="165" t="str">
        <f>IF(C151="","",COUNTIFS(Başvuru!$D:$D,C151,Başvuru!$L:$L,"KAEK",Başvuru!$A:$A,"&lt;&gt;"&amp;"",Başvuru!$F:$F,"&lt;&gt;"&amp;""))</f>
        <v/>
      </c>
      <c r="M151" s="166" t="str">
        <f>IF(C151="","",COUNTIFS(Başvuru!$D:$D,C151,Başvuru!$L:$L,"GÖRÜŞ",Başvuru!$A:$A,"&lt;&gt;"&amp;"",Başvuru!$F:$F,"&lt;&gt;"&amp;""))</f>
        <v/>
      </c>
      <c r="N151" s="167" t="str">
        <f>IF(C151="","",COUNTIFS(Başvuru!$D:$D,C151,Başvuru!$L:$L,"RET",Başvuru!$A:$A,"&lt;&gt;"&amp;"",Başvuru!$F:$F,"&lt;&gt;"&amp;""))</f>
        <v/>
      </c>
      <c r="O151" s="168" t="str">
        <f>IF(C151="","",COUNTIFS(Başvuru!$D:$D,C151,Başvuru!$L:$L,"KAPSAM DIŞI",Başvuru!$A:$A,"&lt;&gt;"&amp;"",Başvuru!$F:$F,"&lt;&gt;"&amp;""))</f>
        <v/>
      </c>
      <c r="P151" s="169" t="str">
        <f>IF(C151="","",COUNTIFS(Başvuru!$D:$D,C151,Başvuru!$L:$L,"GERİ ÇEKİLDİ",Başvuru!$A:$A,"&lt;&gt;"&amp;"",Başvuru!$F:$F,"&lt;&gt;"&amp;""))</f>
        <v/>
      </c>
      <c r="Q151" s="170" t="str">
        <f t="array" ref="Q151">IFERROR(INDEX(Başvuru!$D$2:$D$3000, MATCH(0, COUNTIF($Q$5:Q150, Başvuru!$D$2:$D$3000) + IF(Başvuru!$D$2:$D$3000="",1,0), 0)), "")</f>
        <v/>
      </c>
      <c r="R151" s="171" t="str">
        <f>IF(Q151="","",COUNTIFS(Başvuru!$D:$D,Q151,Başvuru!$A:$A,"&lt;&gt;"&amp;"",Başvuru!$F:$F,"&lt;&gt;"&amp;""))</f>
        <v/>
      </c>
      <c r="S151" s="171" t="str">
        <f>IF(R151="","",RANK(R151,$R$6:$R$155,0)+COUNTIF($R$6:R151,R151)-1)</f>
        <v/>
      </c>
    </row>
    <row r="152" spans="2:19" x14ac:dyDescent="0.25">
      <c r="B152" s="159">
        <v>147</v>
      </c>
      <c r="C152" s="160" t="str">
        <f>IFERROR(INDEX($Q$6:$Q$155,MATCH(147,$S$6:$S$155,0)),"")</f>
        <v/>
      </c>
      <c r="D152" s="161" t="str">
        <f>IF(C152="","",COUNTIFS(Başvuru!$D:$D,C152,Başvuru!$A:$A,"&lt;&gt;"&amp;"",Başvuru!$F:$F,"&lt;&gt;"&amp;""))</f>
        <v/>
      </c>
      <c r="E152" s="159" t="str">
        <f>IF(C152="","-",IF(D152&gt;0,TEXT(D152/(COUNTIFS(Başvuru!$A:$A,"&lt;&gt;",Başvuru!$F:$F,"&lt;&gt;")-1)*100,"0.0")&amp;"%","-"))</f>
        <v>-</v>
      </c>
      <c r="F152" s="162" t="str">
        <f>IF(C152="","",COUNTIFS(Başvuru!$D:$D,C152,Başvuru!$G:$G,"Bireysel Araştırma",Başvuru!$A:$A,"&lt;&gt;"&amp;"",Başvuru!$F:$F,"&lt;&gt;"&amp;""))</f>
        <v/>
      </c>
      <c r="G152" s="162" t="str">
        <f>IF(C152="","",COUNTIFS(Başvuru!$D:$D,C152,Başvuru!$G:$G,"Uzmanlık Tezi",Başvuru!$A:$A,"&lt;&gt;"&amp;"",Başvuru!$F:$F,"&lt;&gt;"&amp;""))</f>
        <v/>
      </c>
      <c r="H152" s="162" t="str">
        <f>IF(C152="","",COUNTIFS(Başvuru!$D:$D,C152,Başvuru!$G:$G,"Doktora Tezi",Başvuru!$A:$A,"&lt;&gt;"&amp;"",Başvuru!$F:$F,"&lt;&gt;"&amp;""))</f>
        <v/>
      </c>
      <c r="I152" s="162" t="str">
        <f>IF(C152="","",COUNTIFS(Başvuru!$D:$D,C152,Başvuru!$G:$G,"Yüksek Lisans Tezi",Başvuru!$A:$A,"&lt;&gt;"&amp;"",Başvuru!$F:$F,"&lt;&gt;"&amp;""))</f>
        <v/>
      </c>
      <c r="J152" s="163" t="str">
        <f>IF(C152="","",COUNTIFS(Başvuru!$D:$D,C152,Başvuru!$L:$L,"ONAY",Başvuru!$A:$A,"&lt;&gt;"&amp;"",Başvuru!$F:$F,"&lt;&gt;"&amp;""))</f>
        <v/>
      </c>
      <c r="K152" s="164" t="str">
        <f>IF(C152="","",COUNTIFS(Başvuru!$D:$D,C152,Başvuru!$L:$L,"DÜZELTME",Başvuru!$A:$A,"&lt;&gt;"&amp;"",Başvuru!$F:$F,"&lt;&gt;"&amp;""))</f>
        <v/>
      </c>
      <c r="L152" s="165" t="str">
        <f>IF(C152="","",COUNTIFS(Başvuru!$D:$D,C152,Başvuru!$L:$L,"KAEK",Başvuru!$A:$A,"&lt;&gt;"&amp;"",Başvuru!$F:$F,"&lt;&gt;"&amp;""))</f>
        <v/>
      </c>
      <c r="M152" s="166" t="str">
        <f>IF(C152="","",COUNTIFS(Başvuru!$D:$D,C152,Başvuru!$L:$L,"GÖRÜŞ",Başvuru!$A:$A,"&lt;&gt;"&amp;"",Başvuru!$F:$F,"&lt;&gt;"&amp;""))</f>
        <v/>
      </c>
      <c r="N152" s="167" t="str">
        <f>IF(C152="","",COUNTIFS(Başvuru!$D:$D,C152,Başvuru!$L:$L,"RET",Başvuru!$A:$A,"&lt;&gt;"&amp;"",Başvuru!$F:$F,"&lt;&gt;"&amp;""))</f>
        <v/>
      </c>
      <c r="O152" s="168" t="str">
        <f>IF(C152="","",COUNTIFS(Başvuru!$D:$D,C152,Başvuru!$L:$L,"KAPSAM DIŞI",Başvuru!$A:$A,"&lt;&gt;"&amp;"",Başvuru!$F:$F,"&lt;&gt;"&amp;""))</f>
        <v/>
      </c>
      <c r="P152" s="169" t="str">
        <f>IF(C152="","",COUNTIFS(Başvuru!$D:$D,C152,Başvuru!$L:$L,"GERİ ÇEKİLDİ",Başvuru!$A:$A,"&lt;&gt;"&amp;"",Başvuru!$F:$F,"&lt;&gt;"&amp;""))</f>
        <v/>
      </c>
      <c r="Q152" s="170" t="str">
        <f t="array" ref="Q152">IFERROR(INDEX(Başvuru!$D$2:$D$3000, MATCH(0, COUNTIF($Q$5:Q151, Başvuru!$D$2:$D$3000) + IF(Başvuru!$D$2:$D$3000="",1,0), 0)), "")</f>
        <v/>
      </c>
      <c r="R152" s="171" t="str">
        <f>IF(Q152="","",COUNTIFS(Başvuru!$D:$D,Q152,Başvuru!$A:$A,"&lt;&gt;"&amp;"",Başvuru!$F:$F,"&lt;&gt;"&amp;""))</f>
        <v/>
      </c>
      <c r="S152" s="171" t="str">
        <f>IF(R152="","",RANK(R152,$R$6:$R$155,0)+COUNTIF($R$6:R152,R152)-1)</f>
        <v/>
      </c>
    </row>
    <row r="153" spans="2:19" x14ac:dyDescent="0.25">
      <c r="B153" s="159">
        <v>148</v>
      </c>
      <c r="C153" s="160" t="str">
        <f>IFERROR(INDEX($Q$6:$Q$155,MATCH(148,$S$6:$S$155,0)),"")</f>
        <v/>
      </c>
      <c r="D153" s="161" t="str">
        <f>IF(C153="","",COUNTIFS(Başvuru!$D:$D,C153,Başvuru!$A:$A,"&lt;&gt;"&amp;"",Başvuru!$F:$F,"&lt;&gt;"&amp;""))</f>
        <v/>
      </c>
      <c r="E153" s="159" t="str">
        <f>IF(C153="","-",IF(D153&gt;0,TEXT(D153/(COUNTIFS(Başvuru!$A:$A,"&lt;&gt;",Başvuru!$F:$F,"&lt;&gt;")-1)*100,"0.0")&amp;"%","-"))</f>
        <v>-</v>
      </c>
      <c r="F153" s="162" t="str">
        <f>IF(C153="","",COUNTIFS(Başvuru!$D:$D,C153,Başvuru!$G:$G,"Bireysel Araştırma",Başvuru!$A:$A,"&lt;&gt;"&amp;"",Başvuru!$F:$F,"&lt;&gt;"&amp;""))</f>
        <v/>
      </c>
      <c r="G153" s="162" t="str">
        <f>IF(C153="","",COUNTIFS(Başvuru!$D:$D,C153,Başvuru!$G:$G,"Uzmanlık Tezi",Başvuru!$A:$A,"&lt;&gt;"&amp;"",Başvuru!$F:$F,"&lt;&gt;"&amp;""))</f>
        <v/>
      </c>
      <c r="H153" s="162" t="str">
        <f>IF(C153="","",COUNTIFS(Başvuru!$D:$D,C153,Başvuru!$G:$G,"Doktora Tezi",Başvuru!$A:$A,"&lt;&gt;"&amp;"",Başvuru!$F:$F,"&lt;&gt;"&amp;""))</f>
        <v/>
      </c>
      <c r="I153" s="162" t="str">
        <f>IF(C153="","",COUNTIFS(Başvuru!$D:$D,C153,Başvuru!$G:$G,"Yüksek Lisans Tezi",Başvuru!$A:$A,"&lt;&gt;"&amp;"",Başvuru!$F:$F,"&lt;&gt;"&amp;""))</f>
        <v/>
      </c>
      <c r="J153" s="163" t="str">
        <f>IF(C153="","",COUNTIFS(Başvuru!$D:$D,C153,Başvuru!$L:$L,"ONAY",Başvuru!$A:$A,"&lt;&gt;"&amp;"",Başvuru!$F:$F,"&lt;&gt;"&amp;""))</f>
        <v/>
      </c>
      <c r="K153" s="164" t="str">
        <f>IF(C153="","",COUNTIFS(Başvuru!$D:$D,C153,Başvuru!$L:$L,"DÜZELTME",Başvuru!$A:$A,"&lt;&gt;"&amp;"",Başvuru!$F:$F,"&lt;&gt;"&amp;""))</f>
        <v/>
      </c>
      <c r="L153" s="165" t="str">
        <f>IF(C153="","",COUNTIFS(Başvuru!$D:$D,C153,Başvuru!$L:$L,"KAEK",Başvuru!$A:$A,"&lt;&gt;"&amp;"",Başvuru!$F:$F,"&lt;&gt;"&amp;""))</f>
        <v/>
      </c>
      <c r="M153" s="166" t="str">
        <f>IF(C153="","",COUNTIFS(Başvuru!$D:$D,C153,Başvuru!$L:$L,"GÖRÜŞ",Başvuru!$A:$A,"&lt;&gt;"&amp;"",Başvuru!$F:$F,"&lt;&gt;"&amp;""))</f>
        <v/>
      </c>
      <c r="N153" s="167" t="str">
        <f>IF(C153="","",COUNTIFS(Başvuru!$D:$D,C153,Başvuru!$L:$L,"RET",Başvuru!$A:$A,"&lt;&gt;"&amp;"",Başvuru!$F:$F,"&lt;&gt;"&amp;""))</f>
        <v/>
      </c>
      <c r="O153" s="168" t="str">
        <f>IF(C153="","",COUNTIFS(Başvuru!$D:$D,C153,Başvuru!$L:$L,"KAPSAM DIŞI",Başvuru!$A:$A,"&lt;&gt;"&amp;"",Başvuru!$F:$F,"&lt;&gt;"&amp;""))</f>
        <v/>
      </c>
      <c r="P153" s="169" t="str">
        <f>IF(C153="","",COUNTIFS(Başvuru!$D:$D,C153,Başvuru!$L:$L,"GERİ ÇEKİLDİ",Başvuru!$A:$A,"&lt;&gt;"&amp;"",Başvuru!$F:$F,"&lt;&gt;"&amp;""))</f>
        <v/>
      </c>
      <c r="Q153" s="170" t="str">
        <f t="array" ref="Q153">IFERROR(INDEX(Başvuru!$D$2:$D$3000, MATCH(0, COUNTIF($Q$5:Q152, Başvuru!$D$2:$D$3000) + IF(Başvuru!$D$2:$D$3000="",1,0), 0)), "")</f>
        <v/>
      </c>
      <c r="R153" s="171" t="str">
        <f>IF(Q153="","",COUNTIFS(Başvuru!$D:$D,Q153,Başvuru!$A:$A,"&lt;&gt;"&amp;"",Başvuru!$F:$F,"&lt;&gt;"&amp;""))</f>
        <v/>
      </c>
      <c r="S153" s="171" t="str">
        <f>IF(R153="","",RANK(R153,$R$6:$R$155,0)+COUNTIF($R$6:R153,R153)-1)</f>
        <v/>
      </c>
    </row>
    <row r="154" spans="2:19" x14ac:dyDescent="0.25">
      <c r="B154" s="159">
        <v>149</v>
      </c>
      <c r="C154" s="160" t="str">
        <f>IFERROR(INDEX($Q$6:$Q$155,MATCH(149,$S$6:$S$155,0)),"")</f>
        <v/>
      </c>
      <c r="D154" s="161" t="str">
        <f>IF(C154="","",COUNTIFS(Başvuru!$D:$D,C154,Başvuru!$A:$A,"&lt;&gt;"&amp;"",Başvuru!$F:$F,"&lt;&gt;"&amp;""))</f>
        <v/>
      </c>
      <c r="E154" s="159" t="str">
        <f>IF(C154="","-",IF(D154&gt;0,TEXT(D154/(COUNTIFS(Başvuru!$A:$A,"&lt;&gt;",Başvuru!$F:$F,"&lt;&gt;")-1)*100,"0.0")&amp;"%","-"))</f>
        <v>-</v>
      </c>
      <c r="F154" s="162" t="str">
        <f>IF(C154="","",COUNTIFS(Başvuru!$D:$D,C154,Başvuru!$G:$G,"Bireysel Araştırma",Başvuru!$A:$A,"&lt;&gt;"&amp;"",Başvuru!$F:$F,"&lt;&gt;"&amp;""))</f>
        <v/>
      </c>
      <c r="G154" s="162" t="str">
        <f>IF(C154="","",COUNTIFS(Başvuru!$D:$D,C154,Başvuru!$G:$G,"Uzmanlık Tezi",Başvuru!$A:$A,"&lt;&gt;"&amp;"",Başvuru!$F:$F,"&lt;&gt;"&amp;""))</f>
        <v/>
      </c>
      <c r="H154" s="162" t="str">
        <f>IF(C154="","",COUNTIFS(Başvuru!$D:$D,C154,Başvuru!$G:$G,"Doktora Tezi",Başvuru!$A:$A,"&lt;&gt;"&amp;"",Başvuru!$F:$F,"&lt;&gt;"&amp;""))</f>
        <v/>
      </c>
      <c r="I154" s="162" t="str">
        <f>IF(C154="","",COUNTIFS(Başvuru!$D:$D,C154,Başvuru!$G:$G,"Yüksek Lisans Tezi",Başvuru!$A:$A,"&lt;&gt;"&amp;"",Başvuru!$F:$F,"&lt;&gt;"&amp;""))</f>
        <v/>
      </c>
      <c r="J154" s="163" t="str">
        <f>IF(C154="","",COUNTIFS(Başvuru!$D:$D,C154,Başvuru!$L:$L,"ONAY",Başvuru!$A:$A,"&lt;&gt;"&amp;"",Başvuru!$F:$F,"&lt;&gt;"&amp;""))</f>
        <v/>
      </c>
      <c r="K154" s="164" t="str">
        <f>IF(C154="","",COUNTIFS(Başvuru!$D:$D,C154,Başvuru!$L:$L,"DÜZELTME",Başvuru!$A:$A,"&lt;&gt;"&amp;"",Başvuru!$F:$F,"&lt;&gt;"&amp;""))</f>
        <v/>
      </c>
      <c r="L154" s="165" t="str">
        <f>IF(C154="","",COUNTIFS(Başvuru!$D:$D,C154,Başvuru!$L:$L,"KAEK",Başvuru!$A:$A,"&lt;&gt;"&amp;"",Başvuru!$F:$F,"&lt;&gt;"&amp;""))</f>
        <v/>
      </c>
      <c r="M154" s="166" t="str">
        <f>IF(C154="","",COUNTIFS(Başvuru!$D:$D,C154,Başvuru!$L:$L,"GÖRÜŞ",Başvuru!$A:$A,"&lt;&gt;"&amp;"",Başvuru!$F:$F,"&lt;&gt;"&amp;""))</f>
        <v/>
      </c>
      <c r="N154" s="167" t="str">
        <f>IF(C154="","",COUNTIFS(Başvuru!$D:$D,C154,Başvuru!$L:$L,"RET",Başvuru!$A:$A,"&lt;&gt;"&amp;"",Başvuru!$F:$F,"&lt;&gt;"&amp;""))</f>
        <v/>
      </c>
      <c r="O154" s="168" t="str">
        <f>IF(C154="","",COUNTIFS(Başvuru!$D:$D,C154,Başvuru!$L:$L,"KAPSAM DIŞI",Başvuru!$A:$A,"&lt;&gt;"&amp;"",Başvuru!$F:$F,"&lt;&gt;"&amp;""))</f>
        <v/>
      </c>
      <c r="P154" s="169" t="str">
        <f>IF(C154="","",COUNTIFS(Başvuru!$D:$D,C154,Başvuru!$L:$L,"GERİ ÇEKİLDİ",Başvuru!$A:$A,"&lt;&gt;"&amp;"",Başvuru!$F:$F,"&lt;&gt;"&amp;""))</f>
        <v/>
      </c>
      <c r="Q154" s="170" t="str">
        <f t="array" ref="Q154">IFERROR(INDEX(Başvuru!$D$2:$D$3000, MATCH(0, COUNTIF($Q$5:Q153, Başvuru!$D$2:$D$3000) + IF(Başvuru!$D$2:$D$3000="",1,0), 0)), "")</f>
        <v/>
      </c>
      <c r="R154" s="171" t="str">
        <f>IF(Q154="","",COUNTIFS(Başvuru!$D:$D,Q154,Başvuru!$A:$A,"&lt;&gt;"&amp;"",Başvuru!$F:$F,"&lt;&gt;"&amp;""))</f>
        <v/>
      </c>
      <c r="S154" s="171" t="str">
        <f>IF(R154="","",RANK(R154,$R$6:$R$155,0)+COUNTIF($R$6:R154,R154)-1)</f>
        <v/>
      </c>
    </row>
    <row r="155" spans="2:19" x14ac:dyDescent="0.25">
      <c r="B155" s="159">
        <v>150</v>
      </c>
      <c r="C155" s="160" t="str">
        <f>IFERROR(INDEX($Q$6:$Q$155,MATCH(150,$S$6:$S$155,0)),"")</f>
        <v/>
      </c>
      <c r="D155" s="161" t="str">
        <f>IF(C155="","",COUNTIFS(Başvuru!$D:$D,C155,Başvuru!$A:$A,"&lt;&gt;"&amp;"",Başvuru!$F:$F,"&lt;&gt;"&amp;""))</f>
        <v/>
      </c>
      <c r="E155" s="159" t="str">
        <f>IF(C155="","-",IF(D155&gt;0,TEXT(D155/(COUNTIFS(Başvuru!$A:$A,"&lt;&gt;",Başvuru!$F:$F,"&lt;&gt;")-1)*100,"0.0")&amp;"%","-"))</f>
        <v>-</v>
      </c>
      <c r="F155" s="162" t="str">
        <f>IF(C155="","",COUNTIFS(Başvuru!$D:$D,C155,Başvuru!$G:$G,"Bireysel Araştırma",Başvuru!$A:$A,"&lt;&gt;"&amp;"",Başvuru!$F:$F,"&lt;&gt;"&amp;""))</f>
        <v/>
      </c>
      <c r="G155" s="162" t="str">
        <f>IF(C155="","",COUNTIFS(Başvuru!$D:$D,C155,Başvuru!$G:$G,"Uzmanlık Tezi",Başvuru!$A:$A,"&lt;&gt;"&amp;"",Başvuru!$F:$F,"&lt;&gt;"&amp;""))</f>
        <v/>
      </c>
      <c r="H155" s="162" t="str">
        <f>IF(C155="","",COUNTIFS(Başvuru!$D:$D,C155,Başvuru!$G:$G,"Doktora Tezi",Başvuru!$A:$A,"&lt;&gt;"&amp;"",Başvuru!$F:$F,"&lt;&gt;"&amp;""))</f>
        <v/>
      </c>
      <c r="I155" s="162" t="str">
        <f>IF(C155="","",COUNTIFS(Başvuru!$D:$D,C155,Başvuru!$G:$G,"Yüksek Lisans Tezi",Başvuru!$A:$A,"&lt;&gt;"&amp;"",Başvuru!$F:$F,"&lt;&gt;"&amp;""))</f>
        <v/>
      </c>
      <c r="J155" s="163" t="str">
        <f>IF(C155="","",COUNTIFS(Başvuru!$D:$D,C155,Başvuru!$L:$L,"ONAY",Başvuru!$A:$A,"&lt;&gt;"&amp;"",Başvuru!$F:$F,"&lt;&gt;"&amp;""))</f>
        <v/>
      </c>
      <c r="K155" s="164" t="str">
        <f>IF(C155="","",COUNTIFS(Başvuru!$D:$D,C155,Başvuru!$L:$L,"DÜZELTME",Başvuru!$A:$A,"&lt;&gt;"&amp;"",Başvuru!$F:$F,"&lt;&gt;"&amp;""))</f>
        <v/>
      </c>
      <c r="L155" s="165" t="str">
        <f>IF(C155="","",COUNTIFS(Başvuru!$D:$D,C155,Başvuru!$L:$L,"KAEK",Başvuru!$A:$A,"&lt;&gt;"&amp;"",Başvuru!$F:$F,"&lt;&gt;"&amp;""))</f>
        <v/>
      </c>
      <c r="M155" s="166" t="str">
        <f>IF(C155="","",COUNTIFS(Başvuru!$D:$D,C155,Başvuru!$L:$L,"GÖRÜŞ",Başvuru!$A:$A,"&lt;&gt;"&amp;"",Başvuru!$F:$F,"&lt;&gt;"&amp;""))</f>
        <v/>
      </c>
      <c r="N155" s="167" t="str">
        <f>IF(C155="","",COUNTIFS(Başvuru!$D:$D,C155,Başvuru!$L:$L,"RET",Başvuru!$A:$A,"&lt;&gt;"&amp;"",Başvuru!$F:$F,"&lt;&gt;"&amp;""))</f>
        <v/>
      </c>
      <c r="O155" s="168" t="str">
        <f>IF(C155="","",COUNTIFS(Başvuru!$D:$D,C155,Başvuru!$L:$L,"KAPSAM DIŞI",Başvuru!$A:$A,"&lt;&gt;"&amp;"",Başvuru!$F:$F,"&lt;&gt;"&amp;""))</f>
        <v/>
      </c>
      <c r="P155" s="169" t="str">
        <f>IF(C155="","",COUNTIFS(Başvuru!$D:$D,C155,Başvuru!$L:$L,"GERİ ÇEKİLDİ",Başvuru!$A:$A,"&lt;&gt;"&amp;"",Başvuru!$F:$F,"&lt;&gt;"&amp;""))</f>
        <v/>
      </c>
      <c r="Q155" s="170" t="str">
        <f t="array" ref="Q155">IFERROR(INDEX(Başvuru!$D$2:$D$3000, MATCH(0, COUNTIF($Q$5:Q154, Başvuru!$D$2:$D$3000) + IF(Başvuru!$D$2:$D$3000="",1,0), 0)), "")</f>
        <v/>
      </c>
      <c r="R155" s="171" t="str">
        <f>IF(Q155="","",COUNTIFS(Başvuru!$D:$D,Q155,Başvuru!$A:$A,"&lt;&gt;"&amp;"",Başvuru!$F:$F,"&lt;&gt;"&amp;""))</f>
        <v/>
      </c>
      <c r="S155" s="171" t="str">
        <f>IF(R155="","",RANK(R155,$R$6:$R$155,0)+COUNTIF($R$6:R155,R155)-1)</f>
        <v/>
      </c>
    </row>
    <row r="156" spans="2:19" x14ac:dyDescent="0.25">
      <c r="B156" s="159"/>
      <c r="C156" s="160" t="s">
        <v>4</v>
      </c>
      <c r="D156" s="161">
        <f>COUNTIFS(Başvuru!$A:$A,"&lt;&gt;"&amp;"",Başvuru!$F:$F,"&lt;&gt;"&amp;"")-1</f>
        <v>700</v>
      </c>
      <c r="E156" s="159" t="s">
        <v>4404</v>
      </c>
      <c r="F156" s="162">
        <f>COUNTIFS(Başvuru!$G:$G,"Bireysel Araştırma",Başvuru!$A:$A,"&lt;&gt;"&amp;"",Başvuru!$F:$F,"&lt;&gt;"&amp;"")</f>
        <v>526</v>
      </c>
      <c r="G156" s="162">
        <f>COUNTIFS(Başvuru!$G:$G,"Uzmanlık Tezi",Başvuru!$A:$A,"&lt;&gt;"&amp;"",Başvuru!$F:$F,"&lt;&gt;"&amp;"")</f>
        <v>120</v>
      </c>
      <c r="H156" s="162">
        <f>COUNTIFS(Başvuru!$G:$G,"Doktora Tezi",Başvuru!$A:$A,"&lt;&gt;"&amp;"",Başvuru!$F:$F,"&lt;&gt;"&amp;"")</f>
        <v>33</v>
      </c>
      <c r="I156" s="162">
        <f>COUNTIFS(Başvuru!$G:$G,"Yüksek Lisans Tezi",Başvuru!$A:$A,"&lt;&gt;"&amp;"",Başvuru!$F:$F,"&lt;&gt;"&amp;"")</f>
        <v>21</v>
      </c>
      <c r="J156" s="163">
        <f>COUNTIFS(Başvuru!$L:$L,"ONAY",Başvuru!$A:$A,"&lt;&gt;"&amp;"",Başvuru!$F:$F,"&lt;&gt;"&amp;"")</f>
        <v>371</v>
      </c>
      <c r="K156" s="164">
        <f>COUNTIFS(Başvuru!$L:$L,"DÜZELTME",Başvuru!$A:$A,"&lt;&gt;"&amp;"",Başvuru!$F:$F,"&lt;&gt;"&amp;"")</f>
        <v>208</v>
      </c>
      <c r="L156" s="165">
        <f>COUNTIFS(Başvuru!$L:$L,"KAEK",Başvuru!$A:$A,"&lt;&gt;"&amp;"",Başvuru!$F:$F,"&lt;&gt;"&amp;"")</f>
        <v>17</v>
      </c>
      <c r="M156" s="166">
        <f>COUNTIFS(Başvuru!$L:$L,"GÖRÜŞ",Başvuru!$A:$A,"&lt;&gt;"&amp;"",Başvuru!$F:$F,"&lt;&gt;"&amp;"")</f>
        <v>25</v>
      </c>
      <c r="N156" s="167">
        <f>COUNTIFS(Başvuru!$L:$L,"RET",Başvuru!$A:$A,"&lt;&gt;"&amp;"",Başvuru!$F:$F,"&lt;&gt;"&amp;"")</f>
        <v>23</v>
      </c>
      <c r="O156" s="168">
        <f>COUNTIFS(Başvuru!$L:$L,"KAPSAM DIŞI",Başvuru!$A:$A,"&lt;&gt;"&amp;"",Başvuru!$F:$F,"&lt;&gt;"&amp;"")</f>
        <v>14</v>
      </c>
      <c r="P156" s="169">
        <f>COUNTIFS(Başvuru!$L:$L,"GERİ ÇEKİLDİ",Başvuru!$A:$A,"&lt;&gt;"&amp;"",Başvuru!$F:$F,"&lt;&gt;"&amp;"")</f>
        <v>0</v>
      </c>
      <c r="Q156" s="170"/>
      <c r="R156" s="171"/>
      <c r="S156" s="171"/>
    </row>
  </sheetData>
  <autoFilter ref="B5:P85"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S156"/>
  <sheetViews>
    <sheetView showZeros="0" topLeftCell="A132" zoomScaleNormal="100" workbookViewId="0">
      <selection activeCell="A91" sqref="A91"/>
    </sheetView>
  </sheetViews>
  <sheetFormatPr defaultColWidth="49.5703125" defaultRowHeight="15" x14ac:dyDescent="0.25"/>
  <cols>
    <col min="1" max="1" width="49.140625" customWidth="1"/>
    <col min="2" max="18" width="9.85546875" customWidth="1"/>
    <col min="19" max="19" width="8.85546875" customWidth="1"/>
  </cols>
  <sheetData>
    <row r="1" spans="1:19" x14ac:dyDescent="0.25">
      <c r="A1" s="226" t="s">
        <v>4405</v>
      </c>
      <c r="B1" s="226"/>
      <c r="C1" s="226"/>
      <c r="D1" s="226"/>
      <c r="E1" s="226"/>
      <c r="F1" s="226"/>
      <c r="G1" s="226"/>
      <c r="H1" s="226"/>
      <c r="I1" s="226"/>
      <c r="J1" s="226"/>
      <c r="K1" s="226"/>
      <c r="L1" s="226"/>
      <c r="M1" s="226"/>
      <c r="N1" s="226"/>
      <c r="O1" s="226"/>
      <c r="P1" s="226"/>
      <c r="Q1" s="226"/>
      <c r="R1" s="226"/>
      <c r="S1" s="226"/>
    </row>
    <row r="2" spans="1:19" x14ac:dyDescent="0.25">
      <c r="A2" s="227" t="s">
        <v>4406</v>
      </c>
      <c r="B2" s="227"/>
      <c r="C2" s="227"/>
      <c r="D2" s="227"/>
      <c r="E2" s="227"/>
      <c r="F2" s="227"/>
      <c r="G2" s="227"/>
      <c r="H2" s="227"/>
      <c r="I2" s="227"/>
      <c r="J2" s="227"/>
      <c r="K2" s="227"/>
      <c r="L2" s="227"/>
      <c r="M2" s="227"/>
      <c r="N2" s="227"/>
      <c r="O2" s="227"/>
      <c r="P2" s="227"/>
      <c r="Q2" s="227"/>
      <c r="R2" s="227"/>
      <c r="S2" s="227"/>
    </row>
    <row r="3" spans="1:19" x14ac:dyDescent="0.25">
      <c r="A3" s="173" t="s">
        <v>4407</v>
      </c>
      <c r="B3" s="174">
        <f>Toplantı!$B$4</f>
        <v>46028</v>
      </c>
      <c r="C3" s="174">
        <f>Toplantı!$B$5</f>
        <v>46042</v>
      </c>
      <c r="D3" s="174">
        <f>Toplantı!$B$6</f>
        <v>46057</v>
      </c>
      <c r="E3" s="174">
        <f>Toplantı!$B$7</f>
        <v>46070</v>
      </c>
      <c r="F3" s="174">
        <f>Toplantı!$B$8</f>
        <v>46084</v>
      </c>
      <c r="G3" s="174">
        <f>Toplantı!$B$9</f>
        <v>46098</v>
      </c>
      <c r="H3" s="174">
        <f>Toplantı!$B$10</f>
        <v>46112</v>
      </c>
      <c r="I3" s="174">
        <f>Toplantı!$B$11</f>
        <v>46126</v>
      </c>
      <c r="J3" s="174">
        <f>Toplantı!$B$12</f>
        <v>46140</v>
      </c>
      <c r="K3" s="174">
        <f>Toplantı!$B$13</f>
        <v>46154</v>
      </c>
      <c r="L3" s="174">
        <f>Toplantı!$B$14</f>
        <v>46175</v>
      </c>
      <c r="M3" s="174">
        <f>Toplantı!$B$15</f>
        <v>46196</v>
      </c>
      <c r="N3" s="174">
        <f>Toplantı!$B$16</f>
        <v>46217</v>
      </c>
      <c r="O3" s="174">
        <f>Toplantı!$B$17</f>
        <v>46224</v>
      </c>
      <c r="P3" s="174">
        <f>Toplantı!$B$19</f>
        <v>46259</v>
      </c>
      <c r="Q3" s="174">
        <v>46259</v>
      </c>
      <c r="R3" s="174">
        <v>46273</v>
      </c>
      <c r="S3" s="173" t="s">
        <v>4</v>
      </c>
    </row>
    <row r="4" spans="1:19" x14ac:dyDescent="0.25">
      <c r="A4" s="175" t="str">
        <f>IF(Birim!C6="","",Birim!C6)</f>
        <v>İç Hastalıkları Anabilim Dalı</v>
      </c>
      <c r="B4" s="176">
        <f>IF($A4="","",COUNTIFS(Başvuru!$I:$I,Toplantı!$B$4,Başvuru!$D:$D,$A$4))</f>
        <v>6</v>
      </c>
      <c r="C4" s="176">
        <f>IF($A4="","",COUNTIFS(Başvuru!$I:$I,Toplantı!$B$5,Başvuru!$D:$D,$A$4))</f>
        <v>7</v>
      </c>
      <c r="D4" s="176">
        <f>IF($A4="","",COUNTIFS(Başvuru!$I:$I,Toplantı!$B$6,Başvuru!$D:$D,$A$4))</f>
        <v>7</v>
      </c>
      <c r="E4" s="176">
        <f>IF($A4="","",COUNTIFS(Başvuru!$I:$I,Toplantı!$B$7,Başvuru!$D:$D,$A$4))</f>
        <v>7</v>
      </c>
      <c r="F4" s="176">
        <f>IF($A4="","",COUNTIFS(Başvuru!$I:$I,Toplantı!$B$8,Başvuru!$D:$D,$A$4))</f>
        <v>5</v>
      </c>
      <c r="G4" s="176">
        <f>IF($A4="","",COUNTIFS(Başvuru!$I:$I,Toplantı!$B$9,Başvuru!$D:$D,$A$4))</f>
        <v>3</v>
      </c>
      <c r="H4" s="176">
        <f>IF($A4="","",COUNTIFS(Başvuru!$I:$I,Toplantı!$B$10,Başvuru!$D:$D,$A$4))</f>
        <v>7</v>
      </c>
      <c r="I4" s="176">
        <f>IF($A4="","",COUNTIFS(Başvuru!$I:$I,Toplantı!$B$11,Başvuru!$D:$D,$A$4))</f>
        <v>10</v>
      </c>
      <c r="J4" s="176">
        <f>IF($A4="","",COUNTIFS(Başvuru!$I:$I,Toplantı!$B$12,Başvuru!$D:$D,$A$4))</f>
        <v>9</v>
      </c>
      <c r="K4" s="176">
        <f>IF($A4="","",COUNTIFS(Başvuru!$I:$I,Toplantı!$B$13,Başvuru!$D:$D,$A$4))</f>
        <v>12</v>
      </c>
      <c r="L4" s="176">
        <f>IF($A4="","",COUNTIFS(Başvuru!$I:$I,Toplantı!$B$14,Başvuru!$D:$D,$A$4))</f>
        <v>9</v>
      </c>
      <c r="M4" s="176">
        <f>IF($A4="","",COUNTIFS(Başvuru!$I:$I,Toplantı!$B$15,Başvuru!$D:$D,$A$4))</f>
        <v>9</v>
      </c>
      <c r="N4" s="176">
        <f>IF($A4="","",COUNTIFS(Başvuru!$I:$I,Toplantı!$B$16,Başvuru!$D:$D,$A$4))</f>
        <v>8</v>
      </c>
      <c r="O4" s="176">
        <f>IF($A4="","",COUNTIFS(Başvuru!$I:$I,Toplantı!$B$17,Başvuru!$D:$D,$A$4))</f>
        <v>9</v>
      </c>
      <c r="P4" s="176">
        <f>IF($A4="","",COUNTIFS(Başvuru!$I:$I,Toplantı!$B$18,Başvuru!$D:$D,$A$4))</f>
        <v>11</v>
      </c>
      <c r="Q4" s="176">
        <f>IF($A4="","",COUNTIFS(Başvuru!$I:$I,Toplantı!$B$19,Başvuru!$D:$D,$A$4))</f>
        <v>5</v>
      </c>
      <c r="R4" s="176">
        <f>IF($A4="","",COUNTIFS(Başvuru!$I:$I,Toplantı!$B$20,Başvuru!$D:$D,$A$4))</f>
        <v>0</v>
      </c>
      <c r="S4" s="177">
        <f t="shared" ref="S4:S35" si="0">SUM(B4:R4)</f>
        <v>124</v>
      </c>
    </row>
    <row r="5" spans="1:19" x14ac:dyDescent="0.25">
      <c r="A5" s="175" t="str">
        <f>IF(Birim!C7="","",Birim!C7)</f>
        <v>Çocuk Sağlığı ve Hastalıkları Anabilim Dalı</v>
      </c>
      <c r="B5" s="176">
        <f>IF($A5="","",COUNTIFS(Başvuru!$I:$I,Toplantı!$B$4,Başvuru!$D:$D,$A$5))</f>
        <v>5</v>
      </c>
      <c r="C5" s="176">
        <f>IF($A5="","",COUNTIFS(Başvuru!$I:$I,Toplantı!$B$5,Başvuru!$D:$D,$A$5))</f>
        <v>9</v>
      </c>
      <c r="D5" s="176">
        <f>IF($A5="","",COUNTIFS(Başvuru!$I:$I,Toplantı!$B$6,Başvuru!$D:$D,$A$5))</f>
        <v>5</v>
      </c>
      <c r="E5" s="176">
        <f>IF($A5="","",COUNTIFS(Başvuru!$I:$I,Toplantı!$B$7,Başvuru!$D:$D,$A$5))</f>
        <v>4</v>
      </c>
      <c r="F5" s="176">
        <f>IF($A5="","",COUNTIFS(Başvuru!$I:$I,Toplantı!$B$8,Başvuru!$D:$D,$A$5))</f>
        <v>6</v>
      </c>
      <c r="G5" s="176">
        <f>IF($A5="","",COUNTIFS(Başvuru!$I:$I,Toplantı!$B$9,Başvuru!$D:$D,$A$5))</f>
        <v>10</v>
      </c>
      <c r="H5" s="176">
        <f>IF($A5="","",COUNTIFS(Başvuru!$I:$I,Toplantı!$B$10,Başvuru!$D:$D,$A$5))</f>
        <v>7</v>
      </c>
      <c r="I5" s="176">
        <f>IF($A5="","",COUNTIFS(Başvuru!$I:$I,Toplantı!$B$11,Başvuru!$D:$D,$A$5))</f>
        <v>3</v>
      </c>
      <c r="J5" s="176">
        <f>IF($A5="","",COUNTIFS(Başvuru!$I:$I,Toplantı!$B$12,Başvuru!$D:$D,$A$5))</f>
        <v>8</v>
      </c>
      <c r="K5" s="176">
        <f>IF($A5="","",COUNTIFS(Başvuru!$I:$I,Toplantı!$B$13,Başvuru!$D:$D,$A$5))</f>
        <v>12</v>
      </c>
      <c r="L5" s="176">
        <f>IF($A5="","",COUNTIFS(Başvuru!$I:$I,Toplantı!$B$14,Başvuru!$D:$D,$A$5))</f>
        <v>3</v>
      </c>
      <c r="M5" s="176">
        <f>IF($A5="","",COUNTIFS(Başvuru!$I:$I,Toplantı!$B$15,Başvuru!$D:$D,$A$5))</f>
        <v>6</v>
      </c>
      <c r="N5" s="176">
        <f>IF($A5="","",COUNTIFS(Başvuru!$I:$I,Toplantı!$B$16,Başvuru!$D:$D,$A$5))</f>
        <v>15</v>
      </c>
      <c r="O5" s="176">
        <f>IF($A5="","",COUNTIFS(Başvuru!$I:$I,Toplantı!$B$17,Başvuru!$D:$D,$A$5))</f>
        <v>11</v>
      </c>
      <c r="P5" s="176">
        <f>IF($A5="","",COUNTIFS(Başvuru!$I:$I,Toplantı!$B$18,Başvuru!$D:$D,$A$5))</f>
        <v>9</v>
      </c>
      <c r="Q5" s="176">
        <f>IF($A5="","",COUNTIFS(Başvuru!$I:$I,Toplantı!$B$19,Başvuru!$D:$D,$A$5))</f>
        <v>9</v>
      </c>
      <c r="R5" s="176">
        <f>IF($A5="","",COUNTIFS(Başvuru!$I:$I,Toplantı!$B$20,Başvuru!$D:$D,$A$5))</f>
        <v>0</v>
      </c>
      <c r="S5" s="177">
        <f t="shared" si="0"/>
        <v>122</v>
      </c>
    </row>
    <row r="6" spans="1:19" x14ac:dyDescent="0.25">
      <c r="A6" s="175" t="str">
        <f>IF(Birim!C8="","",Birim!C8)</f>
        <v>Kadın Hastalıkları ve Doğum Anabilim Dalı</v>
      </c>
      <c r="B6" s="176">
        <f>IF($A6="","",COUNTIFS(Başvuru!$I:$I,Toplantı!$B$4,Başvuru!$D:$D,$A$6))</f>
        <v>2</v>
      </c>
      <c r="C6" s="176">
        <f>IF($A6="","",COUNTIFS(Başvuru!$I:$I,Toplantı!$B$5,Başvuru!$D:$D,$A$6))</f>
        <v>0</v>
      </c>
      <c r="D6" s="176">
        <f>IF($A6="","",COUNTIFS(Başvuru!$I:$I,Toplantı!$B$6,Başvuru!$D:$D,$A$6))</f>
        <v>2</v>
      </c>
      <c r="E6" s="176">
        <f>IF($A6="","",COUNTIFS(Başvuru!$I:$I,Toplantı!$B$7,Başvuru!$D:$D,$A$6))</f>
        <v>5</v>
      </c>
      <c r="F6" s="176">
        <f>IF($A6="","",COUNTIFS(Başvuru!$I:$I,Toplantı!$B$8,Başvuru!$D:$D,$A$6))</f>
        <v>1</v>
      </c>
      <c r="G6" s="176">
        <f>IF($A6="","",COUNTIFS(Başvuru!$I:$I,Toplantı!$B$9,Başvuru!$D:$D,$A$6))</f>
        <v>5</v>
      </c>
      <c r="H6" s="176">
        <f>IF($A6="","",COUNTIFS(Başvuru!$I:$I,Toplantı!$B$10,Başvuru!$D:$D,$A$6))</f>
        <v>4</v>
      </c>
      <c r="I6" s="176">
        <f>IF($A6="","",COUNTIFS(Başvuru!$I:$I,Toplantı!$B$11,Başvuru!$D:$D,$A$6))</f>
        <v>3</v>
      </c>
      <c r="J6" s="176">
        <f>IF($A6="","",COUNTIFS(Başvuru!$I:$I,Toplantı!$B$12,Başvuru!$D:$D,$A$6))</f>
        <v>1</v>
      </c>
      <c r="K6" s="176">
        <f>IF($A6="","",COUNTIFS(Başvuru!$I:$I,Toplantı!$B$13,Başvuru!$D:$D,$A$6))</f>
        <v>0</v>
      </c>
      <c r="L6" s="176">
        <f>IF($A6="","",COUNTIFS(Başvuru!$I:$I,Toplantı!$B$14,Başvuru!$D:$D,$A$6))</f>
        <v>2</v>
      </c>
      <c r="M6" s="176">
        <f>IF($A6="","",COUNTIFS(Başvuru!$I:$I,Toplantı!$B$15,Başvuru!$D:$D,$A$6))</f>
        <v>3</v>
      </c>
      <c r="N6" s="176">
        <f>IF($A6="","",COUNTIFS(Başvuru!$I:$I,Toplantı!$B$16,Başvuru!$D:$D,$A$6))</f>
        <v>2</v>
      </c>
      <c r="O6" s="176">
        <f>IF($A6="","",COUNTIFS(Başvuru!$I:$I,Toplantı!$B$17,Başvuru!$D:$D,$A$6))</f>
        <v>0</v>
      </c>
      <c r="P6" s="176">
        <f>IF($A6="","",COUNTIFS(Başvuru!$I:$I,Toplantı!$B$18,Başvuru!$D:$D,$A$6))</f>
        <v>0</v>
      </c>
      <c r="Q6" s="176">
        <f>IF($A6="","",COUNTIFS(Başvuru!$I:$I,Toplantı!$B$19,Başvuru!$D:$D,$A$6))</f>
        <v>1</v>
      </c>
      <c r="R6" s="176">
        <f>IF($A6="","",COUNTIFS(Başvuru!$I:$I,Toplantı!$B$20,Başvuru!$D:$D,$A$6))</f>
        <v>0</v>
      </c>
      <c r="S6" s="177">
        <f t="shared" si="0"/>
        <v>31</v>
      </c>
    </row>
    <row r="7" spans="1:19" x14ac:dyDescent="0.25">
      <c r="A7" s="175" t="str">
        <f>IF(Birim!C9="","",Birim!C9)</f>
        <v>Radyoloji Anabilim Dalı</v>
      </c>
      <c r="B7" s="176">
        <f>IF($A7="","",COUNTIFS(Başvuru!$I:$I,Toplantı!$B$4,Başvuru!$D:$D,$A$7))</f>
        <v>1</v>
      </c>
      <c r="C7" s="176">
        <f>IF($A7="","",COUNTIFS(Başvuru!$I:$I,Toplantı!$B$5,Başvuru!$D:$D,$A$7))</f>
        <v>2</v>
      </c>
      <c r="D7" s="176">
        <f>IF($A7="","",COUNTIFS(Başvuru!$I:$I,Toplantı!$B$6,Başvuru!$D:$D,$A$7))</f>
        <v>1</v>
      </c>
      <c r="E7" s="176">
        <f>IF($A7="","",COUNTIFS(Başvuru!$I:$I,Toplantı!$B$7,Başvuru!$D:$D,$A$7))</f>
        <v>1</v>
      </c>
      <c r="F7" s="176">
        <f>IF($A7="","",COUNTIFS(Başvuru!$I:$I,Toplantı!$B$8,Başvuru!$D:$D,$A$7))</f>
        <v>4</v>
      </c>
      <c r="G7" s="176">
        <f>IF($A7="","",COUNTIFS(Başvuru!$I:$I,Toplantı!$B$9,Başvuru!$D:$D,$A$7))</f>
        <v>2</v>
      </c>
      <c r="H7" s="176">
        <f>IF($A7="","",COUNTIFS(Başvuru!$I:$I,Toplantı!$B$10,Başvuru!$D:$D,$A$7))</f>
        <v>1</v>
      </c>
      <c r="I7" s="176">
        <f>IF($A7="","",COUNTIFS(Başvuru!$I:$I,Toplantı!$B$11,Başvuru!$D:$D,$A$7))</f>
        <v>1</v>
      </c>
      <c r="J7" s="176">
        <f>IF($A7="","",COUNTIFS(Başvuru!$I:$I,Toplantı!$B$12,Başvuru!$D:$D,$A$7))</f>
        <v>3</v>
      </c>
      <c r="K7" s="176">
        <f>IF($A7="","",COUNTIFS(Başvuru!$I:$I,Toplantı!$B$13,Başvuru!$D:$D,$A$7))</f>
        <v>0</v>
      </c>
      <c r="L7" s="176">
        <f>IF($A7="","",COUNTIFS(Başvuru!$I:$I,Toplantı!$B$14,Başvuru!$D:$D,$A$7))</f>
        <v>1</v>
      </c>
      <c r="M7" s="176">
        <f>IF($A7="","",COUNTIFS(Başvuru!$I:$I,Toplantı!$B$15,Başvuru!$D:$D,$A$7))</f>
        <v>0</v>
      </c>
      <c r="N7" s="176">
        <f>IF($A7="","",COUNTIFS(Başvuru!$I:$I,Toplantı!$B$16,Başvuru!$D:$D,$A$7))</f>
        <v>2</v>
      </c>
      <c r="O7" s="176">
        <f>IF($A7="","",COUNTIFS(Başvuru!$I:$I,Toplantı!$B$17,Başvuru!$D:$D,$A$7))</f>
        <v>3</v>
      </c>
      <c r="P7" s="176">
        <f>IF($A7="","",COUNTIFS(Başvuru!$I:$I,Toplantı!$B$18,Başvuru!$D:$D,$A$7))</f>
        <v>0</v>
      </c>
      <c r="Q7" s="176">
        <f>IF($A7="","",COUNTIFS(Başvuru!$I:$I,Toplantı!$B$19,Başvuru!$D:$D,$A$7))</f>
        <v>2</v>
      </c>
      <c r="R7" s="176">
        <f>IF($A7="","",COUNTIFS(Başvuru!$I:$I,Toplantı!$B$20,Başvuru!$D:$D,$A$7))</f>
        <v>0</v>
      </c>
      <c r="S7" s="177">
        <f t="shared" si="0"/>
        <v>24</v>
      </c>
    </row>
    <row r="8" spans="1:19" x14ac:dyDescent="0.25">
      <c r="A8" s="175" t="str">
        <f>IF(Birim!C10="","",Birim!C10)</f>
        <v>Nöroloji Anabilim Dalı</v>
      </c>
      <c r="B8" s="176">
        <f>IF($A8="","",COUNTIFS(Başvuru!$I:$I,Toplantı!$B$4,Başvuru!$D:$D,$A$8))</f>
        <v>1</v>
      </c>
      <c r="C8" s="176">
        <f>IF($A8="","",COUNTIFS(Başvuru!$I:$I,Toplantı!$B$5,Başvuru!$D:$D,$A$8))</f>
        <v>2</v>
      </c>
      <c r="D8" s="176">
        <f>IF($A8="","",COUNTIFS(Başvuru!$I:$I,Toplantı!$B$6,Başvuru!$D:$D,$A$8))</f>
        <v>1</v>
      </c>
      <c r="E8" s="176">
        <f>IF($A8="","",COUNTIFS(Başvuru!$I:$I,Toplantı!$B$7,Başvuru!$D:$D,$A$8))</f>
        <v>1</v>
      </c>
      <c r="F8" s="176">
        <f>IF($A8="","",COUNTIFS(Başvuru!$I:$I,Toplantı!$B$8,Başvuru!$D:$D,$A$8))</f>
        <v>1</v>
      </c>
      <c r="G8" s="176">
        <f>IF($A8="","",COUNTIFS(Başvuru!$I:$I,Toplantı!$B$9,Başvuru!$D:$D,$A$8))</f>
        <v>4</v>
      </c>
      <c r="H8" s="176">
        <f>IF($A8="","",COUNTIFS(Başvuru!$I:$I,Toplantı!$B$10,Başvuru!$D:$D,$A$8))</f>
        <v>0</v>
      </c>
      <c r="I8" s="176">
        <f>IF($A8="","",COUNTIFS(Başvuru!$I:$I,Toplantı!$B$11,Başvuru!$D:$D,$A$8))</f>
        <v>3</v>
      </c>
      <c r="J8" s="176">
        <f>IF($A8="","",COUNTIFS(Başvuru!$I:$I,Toplantı!$B$12,Başvuru!$D:$D,$A$8))</f>
        <v>1</v>
      </c>
      <c r="K8" s="176">
        <f>IF($A8="","",COUNTIFS(Başvuru!$I:$I,Toplantı!$B$13,Başvuru!$D:$D,$A$8))</f>
        <v>3</v>
      </c>
      <c r="L8" s="176">
        <f>IF($A8="","",COUNTIFS(Başvuru!$I:$I,Toplantı!$B$14,Başvuru!$D:$D,$A$8))</f>
        <v>1</v>
      </c>
      <c r="M8" s="176">
        <f>IF($A8="","",COUNTIFS(Başvuru!$I:$I,Toplantı!$B$15,Başvuru!$D:$D,$A$8))</f>
        <v>0</v>
      </c>
      <c r="N8" s="176">
        <f>IF($A8="","",COUNTIFS(Başvuru!$I:$I,Toplantı!$B$16,Başvuru!$D:$D,$A$8))</f>
        <v>3</v>
      </c>
      <c r="O8" s="176">
        <f>IF($A8="","",COUNTIFS(Başvuru!$I:$I,Toplantı!$B$17,Başvuru!$D:$D,$A$8))</f>
        <v>0</v>
      </c>
      <c r="P8" s="176">
        <f>IF($A8="","",COUNTIFS(Başvuru!$I:$I,Toplantı!$B$18,Başvuru!$D:$D,$A$8))</f>
        <v>0</v>
      </c>
      <c r="Q8" s="176">
        <f>IF($A8="","",COUNTIFS(Başvuru!$I:$I,Toplantı!$B$19,Başvuru!$D:$D,$A$8))</f>
        <v>0</v>
      </c>
      <c r="R8" s="176">
        <f>IF($A8="","",COUNTIFS(Başvuru!$I:$I,Toplantı!$B$20,Başvuru!$D:$D,$A$8))</f>
        <v>0</v>
      </c>
      <c r="S8" s="177">
        <f t="shared" si="0"/>
        <v>21</v>
      </c>
    </row>
    <row r="9" spans="1:19" x14ac:dyDescent="0.25">
      <c r="A9" s="175" t="str">
        <f>IF(Birim!C11="","",Birim!C11)</f>
        <v>Klinik Eczacılık Anabilim Dalı</v>
      </c>
      <c r="B9" s="176">
        <f>IF($A9="","",COUNTIFS(Başvuru!$I:$I,Toplantı!$B$4,Başvuru!$D:$D,$A$9))</f>
        <v>0</v>
      </c>
      <c r="C9" s="176">
        <f>IF($A9="","",COUNTIFS(Başvuru!$I:$I,Toplantı!$B$5,Başvuru!$D:$D,$A$9))</f>
        <v>4</v>
      </c>
      <c r="D9" s="176">
        <f>IF($A9="","",COUNTIFS(Başvuru!$I:$I,Toplantı!$B$6,Başvuru!$D:$D,$A$9))</f>
        <v>4</v>
      </c>
      <c r="E9" s="176">
        <f>IF($A9="","",COUNTIFS(Başvuru!$I:$I,Toplantı!$B$7,Başvuru!$D:$D,$A$9))</f>
        <v>1</v>
      </c>
      <c r="F9" s="176">
        <f>IF($A9="","",COUNTIFS(Başvuru!$I:$I,Toplantı!$B$8,Başvuru!$D:$D,$A$9))</f>
        <v>0</v>
      </c>
      <c r="G9" s="176">
        <f>IF($A9="","",COUNTIFS(Başvuru!$I:$I,Toplantı!$B$9,Başvuru!$D:$D,$A$9))</f>
        <v>1</v>
      </c>
      <c r="H9" s="176">
        <f>IF($A9="","",COUNTIFS(Başvuru!$I:$I,Toplantı!$B$10,Başvuru!$D:$D,$A$9))</f>
        <v>0</v>
      </c>
      <c r="I9" s="176">
        <f>IF($A9="","",COUNTIFS(Başvuru!$I:$I,Toplantı!$B$11,Başvuru!$D:$D,$A$9))</f>
        <v>0</v>
      </c>
      <c r="J9" s="176">
        <f>IF($A9="","",COUNTIFS(Başvuru!$I:$I,Toplantı!$B$12,Başvuru!$D:$D,$A$9))</f>
        <v>1</v>
      </c>
      <c r="K9" s="176">
        <f>IF($A9="","",COUNTIFS(Başvuru!$I:$I,Toplantı!$B$13,Başvuru!$D:$D,$A$9))</f>
        <v>1</v>
      </c>
      <c r="L9" s="176">
        <f>IF($A9="","",COUNTIFS(Başvuru!$I:$I,Toplantı!$B$14,Başvuru!$D:$D,$A$9))</f>
        <v>0</v>
      </c>
      <c r="M9" s="176">
        <f>IF($A9="","",COUNTIFS(Başvuru!$I:$I,Toplantı!$B$15,Başvuru!$D:$D,$A$9))</f>
        <v>0</v>
      </c>
      <c r="N9" s="176">
        <f>IF($A9="","",COUNTIFS(Başvuru!$I:$I,Toplantı!$B$16,Başvuru!$D:$D,$A$9))</f>
        <v>3</v>
      </c>
      <c r="O9" s="176">
        <f>IF($A9="","",COUNTIFS(Başvuru!$I:$I,Toplantı!$B$17,Başvuru!$D:$D,$A$9))</f>
        <v>3</v>
      </c>
      <c r="P9" s="176">
        <f>IF($A9="","",COUNTIFS(Başvuru!$I:$I,Toplantı!$B$18,Başvuru!$D:$D,$A$9))</f>
        <v>0</v>
      </c>
      <c r="Q9" s="176">
        <f>IF($A9="","",COUNTIFS(Başvuru!$I:$I,Toplantı!$B$19,Başvuru!$D:$D,$A$9))</f>
        <v>2</v>
      </c>
      <c r="R9" s="176">
        <f>IF($A9="","",COUNTIFS(Başvuru!$I:$I,Toplantı!$B$20,Başvuru!$D:$D,$A$9))</f>
        <v>0</v>
      </c>
      <c r="S9" s="177">
        <f t="shared" si="0"/>
        <v>20</v>
      </c>
    </row>
    <row r="10" spans="1:19" x14ac:dyDescent="0.25">
      <c r="A10" s="175" t="str">
        <f>IF(Birim!C12="","",Birim!C12)</f>
        <v>Kardiyoloji Anabilim Dalı</v>
      </c>
      <c r="B10" s="176">
        <f>IF($A10="","",COUNTIFS(Başvuru!$I:$I,Toplantı!$B$4,Başvuru!$D:$D,$A$10))</f>
        <v>5</v>
      </c>
      <c r="C10" s="176">
        <f>IF($A10="","",COUNTIFS(Başvuru!$I:$I,Toplantı!$B$5,Başvuru!$D:$D,$A$10))</f>
        <v>0</v>
      </c>
      <c r="D10" s="176">
        <f>IF($A10="","",COUNTIFS(Başvuru!$I:$I,Toplantı!$B$6,Başvuru!$D:$D,$A$10))</f>
        <v>0</v>
      </c>
      <c r="E10" s="176">
        <f>IF($A10="","",COUNTIFS(Başvuru!$I:$I,Toplantı!$B$7,Başvuru!$D:$D,$A$10))</f>
        <v>0</v>
      </c>
      <c r="F10" s="176">
        <f>IF($A10="","",COUNTIFS(Başvuru!$I:$I,Toplantı!$B$8,Başvuru!$D:$D,$A$10))</f>
        <v>0</v>
      </c>
      <c r="G10" s="176">
        <f>IF($A10="","",COUNTIFS(Başvuru!$I:$I,Toplantı!$B$9,Başvuru!$D:$D,$A$10))</f>
        <v>0</v>
      </c>
      <c r="H10" s="176">
        <f>IF($A10="","",COUNTIFS(Başvuru!$I:$I,Toplantı!$B$10,Başvuru!$D:$D,$A$10))</f>
        <v>1</v>
      </c>
      <c r="I10" s="176">
        <f>IF($A10="","",COUNTIFS(Başvuru!$I:$I,Toplantı!$B$11,Başvuru!$D:$D,$A$10))</f>
        <v>1</v>
      </c>
      <c r="J10" s="176">
        <f>IF($A10="","",COUNTIFS(Başvuru!$I:$I,Toplantı!$B$12,Başvuru!$D:$D,$A$10))</f>
        <v>0</v>
      </c>
      <c r="K10" s="176">
        <f>IF($A10="","",COUNTIFS(Başvuru!$I:$I,Toplantı!$B$13,Başvuru!$D:$D,$A$10))</f>
        <v>0</v>
      </c>
      <c r="L10" s="176">
        <f>IF($A10="","",COUNTIFS(Başvuru!$I:$I,Toplantı!$B$14,Başvuru!$D:$D,$A$10))</f>
        <v>4</v>
      </c>
      <c r="M10" s="176">
        <f>IF($A10="","",COUNTIFS(Başvuru!$I:$I,Toplantı!$B$15,Başvuru!$D:$D,$A$10))</f>
        <v>6</v>
      </c>
      <c r="N10" s="176">
        <f>IF($A10="","",COUNTIFS(Başvuru!$I:$I,Toplantı!$B$16,Başvuru!$D:$D,$A$10))</f>
        <v>1</v>
      </c>
      <c r="O10" s="176">
        <f>IF($A10="","",COUNTIFS(Başvuru!$I:$I,Toplantı!$B$17,Başvuru!$D:$D,$A$10))</f>
        <v>1</v>
      </c>
      <c r="P10" s="176">
        <f>IF($A10="","",COUNTIFS(Başvuru!$I:$I,Toplantı!$B$18,Başvuru!$D:$D,$A$10))</f>
        <v>0</v>
      </c>
      <c r="Q10" s="176">
        <f>IF($A10="","",COUNTIFS(Başvuru!$I:$I,Toplantı!$B$19,Başvuru!$D:$D,$A$10))</f>
        <v>0</v>
      </c>
      <c r="R10" s="176">
        <f>IF($A10="","",COUNTIFS(Başvuru!$I:$I,Toplantı!$B$20,Başvuru!$D:$D,$A$10))</f>
        <v>0</v>
      </c>
      <c r="S10" s="177">
        <f t="shared" si="0"/>
        <v>19</v>
      </c>
    </row>
    <row r="11" spans="1:19" x14ac:dyDescent="0.25">
      <c r="A11" s="175" t="str">
        <f>IF(Birim!C13="","",Birim!C13)</f>
        <v>Göğüs Hastalıkları Anabilim Dalı</v>
      </c>
      <c r="B11" s="176">
        <f>IF($A11="","",COUNTIFS(Başvuru!$I:$I,Toplantı!$B$4,Başvuru!$D:$D,$A$11))</f>
        <v>5</v>
      </c>
      <c r="C11" s="176">
        <f>IF($A11="","",COUNTIFS(Başvuru!$I:$I,Toplantı!$B$5,Başvuru!$D:$D,$A$11))</f>
        <v>0</v>
      </c>
      <c r="D11" s="176">
        <f>IF($A11="","",COUNTIFS(Başvuru!$I:$I,Toplantı!$B$6,Başvuru!$D:$D,$A$11))</f>
        <v>3</v>
      </c>
      <c r="E11" s="176">
        <f>IF($A11="","",COUNTIFS(Başvuru!$I:$I,Toplantı!$B$7,Başvuru!$D:$D,$A$11))</f>
        <v>1</v>
      </c>
      <c r="F11" s="176">
        <f>IF($A11="","",COUNTIFS(Başvuru!$I:$I,Toplantı!$B$8,Başvuru!$D:$D,$A$11))</f>
        <v>0</v>
      </c>
      <c r="G11" s="176">
        <f>IF($A11="","",COUNTIFS(Başvuru!$I:$I,Toplantı!$B$9,Başvuru!$D:$D,$A$11))</f>
        <v>1</v>
      </c>
      <c r="H11" s="176">
        <f>IF($A11="","",COUNTIFS(Başvuru!$I:$I,Toplantı!$B$10,Başvuru!$D:$D,$A$11))</f>
        <v>2</v>
      </c>
      <c r="I11" s="176">
        <f>IF($A11="","",COUNTIFS(Başvuru!$I:$I,Toplantı!$B$11,Başvuru!$D:$D,$A$11))</f>
        <v>1</v>
      </c>
      <c r="J11" s="176">
        <f>IF($A11="","",COUNTIFS(Başvuru!$I:$I,Toplantı!$B$12,Başvuru!$D:$D,$A$11))</f>
        <v>1</v>
      </c>
      <c r="K11" s="176">
        <f>IF($A11="","",COUNTIFS(Başvuru!$I:$I,Toplantı!$B$13,Başvuru!$D:$D,$A$11))</f>
        <v>0</v>
      </c>
      <c r="L11" s="176">
        <f>IF($A11="","",COUNTIFS(Başvuru!$I:$I,Toplantı!$B$14,Başvuru!$D:$D,$A$11))</f>
        <v>1</v>
      </c>
      <c r="M11" s="176">
        <f>IF($A11="","",COUNTIFS(Başvuru!$I:$I,Toplantı!$B$15,Başvuru!$D:$D,$A$11))</f>
        <v>0</v>
      </c>
      <c r="N11" s="176">
        <f>IF($A11="","",COUNTIFS(Başvuru!$I:$I,Toplantı!$B$16,Başvuru!$D:$D,$A$11))</f>
        <v>0</v>
      </c>
      <c r="O11" s="176">
        <f>IF($A11="","",COUNTIFS(Başvuru!$I:$I,Toplantı!$B$17,Başvuru!$D:$D,$A$11))</f>
        <v>1</v>
      </c>
      <c r="P11" s="176">
        <f>IF($A11="","",COUNTIFS(Başvuru!$I:$I,Toplantı!$B$18,Başvuru!$D:$D,$A$11))</f>
        <v>0</v>
      </c>
      <c r="Q11" s="176">
        <f>IF($A11="","",COUNTIFS(Başvuru!$I:$I,Toplantı!$B$19,Başvuru!$D:$D,$A$11))</f>
        <v>1</v>
      </c>
      <c r="R11" s="176">
        <f>IF($A11="","",COUNTIFS(Başvuru!$I:$I,Toplantı!$B$20,Başvuru!$D:$D,$A$11))</f>
        <v>0</v>
      </c>
      <c r="S11" s="177">
        <f t="shared" si="0"/>
        <v>17</v>
      </c>
    </row>
    <row r="12" spans="1:19" x14ac:dyDescent="0.25">
      <c r="A12" s="175" t="str">
        <f>IF(Birim!C14="","",Birim!C14)</f>
        <v>Göz Hastalıkları Anabilim Dalı</v>
      </c>
      <c r="B12" s="176">
        <f>IF($A12="","",COUNTIFS(Başvuru!$I:$I,Toplantı!$B$4,Başvuru!$D:$D,$A$12))</f>
        <v>2</v>
      </c>
      <c r="C12" s="176">
        <f>IF($A12="","",COUNTIFS(Başvuru!$I:$I,Toplantı!$B$5,Başvuru!$D:$D,$A$12))</f>
        <v>3</v>
      </c>
      <c r="D12" s="176">
        <f>IF($A12="","",COUNTIFS(Başvuru!$I:$I,Toplantı!$B$6,Başvuru!$D:$D,$A$12))</f>
        <v>0</v>
      </c>
      <c r="E12" s="176">
        <f>IF($A12="","",COUNTIFS(Başvuru!$I:$I,Toplantı!$B$7,Başvuru!$D:$D,$A$12))</f>
        <v>1</v>
      </c>
      <c r="F12" s="176">
        <f>IF($A12="","",COUNTIFS(Başvuru!$I:$I,Toplantı!$B$8,Başvuru!$D:$D,$A$12))</f>
        <v>0</v>
      </c>
      <c r="G12" s="176">
        <f>IF($A12="","",COUNTIFS(Başvuru!$I:$I,Toplantı!$B$9,Başvuru!$D:$D,$A$12))</f>
        <v>0</v>
      </c>
      <c r="H12" s="176">
        <f>IF($A12="","",COUNTIFS(Başvuru!$I:$I,Toplantı!$B$10,Başvuru!$D:$D,$A$12))</f>
        <v>1</v>
      </c>
      <c r="I12" s="176">
        <f>IF($A12="","",COUNTIFS(Başvuru!$I:$I,Toplantı!$B$11,Başvuru!$D:$D,$A$12))</f>
        <v>1</v>
      </c>
      <c r="J12" s="176">
        <f>IF($A12="","",COUNTIFS(Başvuru!$I:$I,Toplantı!$B$12,Başvuru!$D:$D,$A$12))</f>
        <v>3</v>
      </c>
      <c r="K12" s="176">
        <f>IF($A12="","",COUNTIFS(Başvuru!$I:$I,Toplantı!$B$13,Başvuru!$D:$D,$A$12))</f>
        <v>2</v>
      </c>
      <c r="L12" s="176">
        <f>IF($A12="","",COUNTIFS(Başvuru!$I:$I,Toplantı!$B$14,Başvuru!$D:$D,$A$12))</f>
        <v>0</v>
      </c>
      <c r="M12" s="176">
        <f>IF($A12="","",COUNTIFS(Başvuru!$I:$I,Toplantı!$B$15,Başvuru!$D:$D,$A$12))</f>
        <v>2</v>
      </c>
      <c r="N12" s="176">
        <f>IF($A12="","",COUNTIFS(Başvuru!$I:$I,Toplantı!$B$16,Başvuru!$D:$D,$A$12))</f>
        <v>0</v>
      </c>
      <c r="O12" s="176">
        <f>IF($A12="","",COUNTIFS(Başvuru!$I:$I,Toplantı!$B$17,Başvuru!$D:$D,$A$12))</f>
        <v>1</v>
      </c>
      <c r="P12" s="176">
        <f>IF($A12="","",COUNTIFS(Başvuru!$I:$I,Toplantı!$B$18,Başvuru!$D:$D,$A$12))</f>
        <v>0</v>
      </c>
      <c r="Q12" s="176">
        <f>IF($A12="","",COUNTIFS(Başvuru!$I:$I,Toplantı!$B$19,Başvuru!$D:$D,$A$12))</f>
        <v>1</v>
      </c>
      <c r="R12" s="176">
        <f>IF($A12="","",COUNTIFS(Başvuru!$I:$I,Toplantı!$B$20,Başvuru!$D:$D,$A$12))</f>
        <v>0</v>
      </c>
      <c r="S12" s="177">
        <f t="shared" si="0"/>
        <v>17</v>
      </c>
    </row>
    <row r="13" spans="1:19" x14ac:dyDescent="0.25">
      <c r="A13" s="175" t="str">
        <f>IF(Birim!C15="","",Birim!C15)</f>
        <v>Ortopedi ve Travmatoloji Anabilim Dalı</v>
      </c>
      <c r="B13" s="176">
        <f>IF($A13="","",COUNTIFS(Başvuru!$I:$I,Toplantı!$B$4,Başvuru!$D:$D,$A$13))</f>
        <v>0</v>
      </c>
      <c r="C13" s="176">
        <f>IF($A13="","",COUNTIFS(Başvuru!$I:$I,Toplantı!$B$5,Başvuru!$D:$D,$A$13))</f>
        <v>1</v>
      </c>
      <c r="D13" s="176">
        <f>IF($A13="","",COUNTIFS(Başvuru!$I:$I,Toplantı!$B$6,Başvuru!$D:$D,$A$13))</f>
        <v>0</v>
      </c>
      <c r="E13" s="176">
        <f>IF($A13="","",COUNTIFS(Başvuru!$I:$I,Toplantı!$B$7,Başvuru!$D:$D,$A$13))</f>
        <v>4</v>
      </c>
      <c r="F13" s="176">
        <f>IF($A13="","",COUNTIFS(Başvuru!$I:$I,Toplantı!$B$8,Başvuru!$D:$D,$A$13))</f>
        <v>0</v>
      </c>
      <c r="G13" s="176">
        <f>IF($A13="","",COUNTIFS(Başvuru!$I:$I,Toplantı!$B$9,Başvuru!$D:$D,$A$13))</f>
        <v>7</v>
      </c>
      <c r="H13" s="176">
        <f>IF($A13="","",COUNTIFS(Başvuru!$I:$I,Toplantı!$B$10,Başvuru!$D:$D,$A$13))</f>
        <v>0</v>
      </c>
      <c r="I13" s="176">
        <f>IF($A13="","",COUNTIFS(Başvuru!$I:$I,Toplantı!$B$11,Başvuru!$D:$D,$A$13))</f>
        <v>1</v>
      </c>
      <c r="J13" s="176">
        <f>IF($A13="","",COUNTIFS(Başvuru!$I:$I,Toplantı!$B$12,Başvuru!$D:$D,$A$13))</f>
        <v>0</v>
      </c>
      <c r="K13" s="176">
        <f>IF($A13="","",COUNTIFS(Başvuru!$I:$I,Toplantı!$B$13,Başvuru!$D:$D,$A$13))</f>
        <v>1</v>
      </c>
      <c r="L13" s="176">
        <f>IF($A13="","",COUNTIFS(Başvuru!$I:$I,Toplantı!$B$14,Başvuru!$D:$D,$A$13))</f>
        <v>2</v>
      </c>
      <c r="M13" s="176">
        <f>IF($A13="","",COUNTIFS(Başvuru!$I:$I,Toplantı!$B$15,Başvuru!$D:$D,$A$13))</f>
        <v>0</v>
      </c>
      <c r="N13" s="176">
        <f>IF($A13="","",COUNTIFS(Başvuru!$I:$I,Toplantı!$B$16,Başvuru!$D:$D,$A$13))</f>
        <v>0</v>
      </c>
      <c r="O13" s="176">
        <f>IF($A13="","",COUNTIFS(Başvuru!$I:$I,Toplantı!$B$17,Başvuru!$D:$D,$A$13))</f>
        <v>0</v>
      </c>
      <c r="P13" s="176">
        <f>IF($A13="","",COUNTIFS(Başvuru!$I:$I,Toplantı!$B$18,Başvuru!$D:$D,$A$13))</f>
        <v>0</v>
      </c>
      <c r="Q13" s="176">
        <f>IF($A13="","",COUNTIFS(Başvuru!$I:$I,Toplantı!$B$19,Başvuru!$D:$D,$A$13))</f>
        <v>0</v>
      </c>
      <c r="R13" s="176">
        <f>IF($A13="","",COUNTIFS(Başvuru!$I:$I,Toplantı!$B$20,Başvuru!$D:$D,$A$13))</f>
        <v>0</v>
      </c>
      <c r="S13" s="177">
        <f t="shared" si="0"/>
        <v>16</v>
      </c>
    </row>
    <row r="14" spans="1:19" x14ac:dyDescent="0.25">
      <c r="A14" s="175" t="str">
        <f>IF(Birim!C16="","",Birim!C16)</f>
        <v>Kulak Burun Boğaz Anabilim Dalı</v>
      </c>
      <c r="B14" s="176">
        <f>IF($A14="","",COUNTIFS(Başvuru!$I:$I,Toplantı!$B$4,Başvuru!$D:$D,$A$14))</f>
        <v>1</v>
      </c>
      <c r="C14" s="176">
        <f>IF($A14="","",COUNTIFS(Başvuru!$I:$I,Toplantı!$B$5,Başvuru!$D:$D,$A$14))</f>
        <v>1</v>
      </c>
      <c r="D14" s="176">
        <f>IF($A14="","",COUNTIFS(Başvuru!$I:$I,Toplantı!$B$6,Başvuru!$D:$D,$A$14))</f>
        <v>2</v>
      </c>
      <c r="E14" s="176">
        <f>IF($A14="","",COUNTIFS(Başvuru!$I:$I,Toplantı!$B$7,Başvuru!$D:$D,$A$14))</f>
        <v>2</v>
      </c>
      <c r="F14" s="176">
        <f>IF($A14="","",COUNTIFS(Başvuru!$I:$I,Toplantı!$B$8,Başvuru!$D:$D,$A$14))</f>
        <v>0</v>
      </c>
      <c r="G14" s="176">
        <f>IF($A14="","",COUNTIFS(Başvuru!$I:$I,Toplantı!$B$9,Başvuru!$D:$D,$A$14))</f>
        <v>1</v>
      </c>
      <c r="H14" s="176">
        <f>IF($A14="","",COUNTIFS(Başvuru!$I:$I,Toplantı!$B$10,Başvuru!$D:$D,$A$14))</f>
        <v>0</v>
      </c>
      <c r="I14" s="176">
        <f>IF($A14="","",COUNTIFS(Başvuru!$I:$I,Toplantı!$B$11,Başvuru!$D:$D,$A$14))</f>
        <v>0</v>
      </c>
      <c r="J14" s="176">
        <f>IF($A14="","",COUNTIFS(Başvuru!$I:$I,Toplantı!$B$12,Başvuru!$D:$D,$A$14))</f>
        <v>0</v>
      </c>
      <c r="K14" s="176">
        <f>IF($A14="","",COUNTIFS(Başvuru!$I:$I,Toplantı!$B$13,Başvuru!$D:$D,$A$14))</f>
        <v>0</v>
      </c>
      <c r="L14" s="176">
        <f>IF($A14="","",COUNTIFS(Başvuru!$I:$I,Toplantı!$B$14,Başvuru!$D:$D,$A$14))</f>
        <v>3</v>
      </c>
      <c r="M14" s="176">
        <f>IF($A14="","",COUNTIFS(Başvuru!$I:$I,Toplantı!$B$15,Başvuru!$D:$D,$A$14))</f>
        <v>1</v>
      </c>
      <c r="N14" s="176">
        <f>IF($A14="","",COUNTIFS(Başvuru!$I:$I,Toplantı!$B$16,Başvuru!$D:$D,$A$14))</f>
        <v>0</v>
      </c>
      <c r="O14" s="176">
        <f>IF($A14="","",COUNTIFS(Başvuru!$I:$I,Toplantı!$B$17,Başvuru!$D:$D,$A$14))</f>
        <v>2</v>
      </c>
      <c r="P14" s="176">
        <f>IF($A14="","",COUNTIFS(Başvuru!$I:$I,Toplantı!$B$18,Başvuru!$D:$D,$A$14))</f>
        <v>1</v>
      </c>
      <c r="Q14" s="176">
        <f>IF($A14="","",COUNTIFS(Başvuru!$I:$I,Toplantı!$B$19,Başvuru!$D:$D,$A$14))</f>
        <v>1</v>
      </c>
      <c r="R14" s="176">
        <f>IF($A14="","",COUNTIFS(Başvuru!$I:$I,Toplantı!$B$20,Başvuru!$D:$D,$A$14))</f>
        <v>0</v>
      </c>
      <c r="S14" s="177">
        <f t="shared" si="0"/>
        <v>15</v>
      </c>
    </row>
    <row r="15" spans="1:19" x14ac:dyDescent="0.25">
      <c r="A15" s="175" t="str">
        <f>IF(Birim!C17="","",Birim!C17)</f>
        <v>Çocuk ve Ergen Ruh Sağlığı ve Hastalıkları Anabilim Dalı</v>
      </c>
      <c r="B15" s="176">
        <f>IF($A15="","",COUNTIFS(Başvuru!$I:$I,Toplantı!$B$4,Başvuru!$D:$D,$A$15))</f>
        <v>2</v>
      </c>
      <c r="C15" s="176">
        <f>IF($A15="","",COUNTIFS(Başvuru!$I:$I,Toplantı!$B$5,Başvuru!$D:$D,$A$15))</f>
        <v>0</v>
      </c>
      <c r="D15" s="176">
        <f>IF($A15="","",COUNTIFS(Başvuru!$I:$I,Toplantı!$B$6,Başvuru!$D:$D,$A$15))</f>
        <v>2</v>
      </c>
      <c r="E15" s="176">
        <f>IF($A15="","",COUNTIFS(Başvuru!$I:$I,Toplantı!$B$7,Başvuru!$D:$D,$A$15))</f>
        <v>0</v>
      </c>
      <c r="F15" s="176">
        <f>IF($A15="","",COUNTIFS(Başvuru!$I:$I,Toplantı!$B$8,Başvuru!$D:$D,$A$15))</f>
        <v>0</v>
      </c>
      <c r="G15" s="176">
        <f>IF($A15="","",COUNTIFS(Başvuru!$I:$I,Toplantı!$B$9,Başvuru!$D:$D,$A$15))</f>
        <v>2</v>
      </c>
      <c r="H15" s="176">
        <f>IF($A15="","",COUNTIFS(Başvuru!$I:$I,Toplantı!$B$10,Başvuru!$D:$D,$A$15))</f>
        <v>1</v>
      </c>
      <c r="I15" s="176">
        <f>IF($A15="","",COUNTIFS(Başvuru!$I:$I,Toplantı!$B$11,Başvuru!$D:$D,$A$15))</f>
        <v>1</v>
      </c>
      <c r="J15" s="176">
        <f>IF($A15="","",COUNTIFS(Başvuru!$I:$I,Toplantı!$B$12,Başvuru!$D:$D,$A$15))</f>
        <v>3</v>
      </c>
      <c r="K15" s="176">
        <f>IF($A15="","",COUNTIFS(Başvuru!$I:$I,Toplantı!$B$13,Başvuru!$D:$D,$A$15))</f>
        <v>2</v>
      </c>
      <c r="L15" s="176">
        <f>IF($A15="","",COUNTIFS(Başvuru!$I:$I,Toplantı!$B$14,Başvuru!$D:$D,$A$15))</f>
        <v>0</v>
      </c>
      <c r="M15" s="176">
        <f>IF($A15="","",COUNTIFS(Başvuru!$I:$I,Toplantı!$B$15,Başvuru!$D:$D,$A$15))</f>
        <v>1</v>
      </c>
      <c r="N15" s="176">
        <f>IF($A15="","",COUNTIFS(Başvuru!$I:$I,Toplantı!$B$16,Başvuru!$D:$D,$A$15))</f>
        <v>0</v>
      </c>
      <c r="O15" s="176">
        <f>IF($A15="","",COUNTIFS(Başvuru!$I:$I,Toplantı!$B$17,Başvuru!$D:$D,$A$15))</f>
        <v>0</v>
      </c>
      <c r="P15" s="176">
        <f>IF($A15="","",COUNTIFS(Başvuru!$I:$I,Toplantı!$B$18,Başvuru!$D:$D,$A$15))</f>
        <v>0</v>
      </c>
      <c r="Q15" s="176">
        <f>IF($A15="","",COUNTIFS(Başvuru!$I:$I,Toplantı!$B$19,Başvuru!$D:$D,$A$15))</f>
        <v>0</v>
      </c>
      <c r="R15" s="176">
        <f>IF($A15="","",COUNTIFS(Başvuru!$I:$I,Toplantı!$B$20,Başvuru!$D:$D,$A$15))</f>
        <v>0</v>
      </c>
      <c r="S15" s="177">
        <f t="shared" si="0"/>
        <v>14</v>
      </c>
    </row>
    <row r="16" spans="1:19" x14ac:dyDescent="0.25">
      <c r="A16" s="175" t="str">
        <f>IF(Birim!C18="","",Birim!C18)</f>
        <v>Çocuk Cerrahisi Anabilim Dalı</v>
      </c>
      <c r="B16" s="176">
        <f>IF($A16="","",COUNTIFS(Başvuru!$I:$I,Toplantı!$B$4,Başvuru!$D:$D,$A$16))</f>
        <v>0</v>
      </c>
      <c r="C16" s="176">
        <f>IF($A16="","",COUNTIFS(Başvuru!$I:$I,Toplantı!$B$5,Başvuru!$D:$D,$A$16))</f>
        <v>2</v>
      </c>
      <c r="D16" s="176">
        <f>IF($A16="","",COUNTIFS(Başvuru!$I:$I,Toplantı!$B$6,Başvuru!$D:$D,$A$16))</f>
        <v>1</v>
      </c>
      <c r="E16" s="176">
        <f>IF($A16="","",COUNTIFS(Başvuru!$I:$I,Toplantı!$B$7,Başvuru!$D:$D,$A$16))</f>
        <v>0</v>
      </c>
      <c r="F16" s="176">
        <f>IF($A16="","",COUNTIFS(Başvuru!$I:$I,Toplantı!$B$8,Başvuru!$D:$D,$A$16))</f>
        <v>3</v>
      </c>
      <c r="G16" s="176">
        <f>IF($A16="","",COUNTIFS(Başvuru!$I:$I,Toplantı!$B$9,Başvuru!$D:$D,$A$16))</f>
        <v>0</v>
      </c>
      <c r="H16" s="176">
        <f>IF($A16="","",COUNTIFS(Başvuru!$I:$I,Toplantı!$B$10,Başvuru!$D:$D,$A$16))</f>
        <v>0</v>
      </c>
      <c r="I16" s="176">
        <f>IF($A16="","",COUNTIFS(Başvuru!$I:$I,Toplantı!$B$11,Başvuru!$D:$D,$A$16))</f>
        <v>0</v>
      </c>
      <c r="J16" s="176">
        <f>IF($A16="","",COUNTIFS(Başvuru!$I:$I,Toplantı!$B$12,Başvuru!$D:$D,$A$16))</f>
        <v>1</v>
      </c>
      <c r="K16" s="176">
        <f>IF($A16="","",COUNTIFS(Başvuru!$I:$I,Toplantı!$B$13,Başvuru!$D:$D,$A$16))</f>
        <v>1</v>
      </c>
      <c r="L16" s="176">
        <f>IF($A16="","",COUNTIFS(Başvuru!$I:$I,Toplantı!$B$14,Başvuru!$D:$D,$A$16))</f>
        <v>1</v>
      </c>
      <c r="M16" s="176">
        <f>IF($A16="","",COUNTIFS(Başvuru!$I:$I,Toplantı!$B$15,Başvuru!$D:$D,$A$16))</f>
        <v>3</v>
      </c>
      <c r="N16" s="176">
        <f>IF($A16="","",COUNTIFS(Başvuru!$I:$I,Toplantı!$B$16,Başvuru!$D:$D,$A$16))</f>
        <v>0</v>
      </c>
      <c r="O16" s="176">
        <f>IF($A16="","",COUNTIFS(Başvuru!$I:$I,Toplantı!$B$17,Başvuru!$D:$D,$A$16))</f>
        <v>1</v>
      </c>
      <c r="P16" s="176">
        <f>IF($A16="","",COUNTIFS(Başvuru!$I:$I,Toplantı!$B$18,Başvuru!$D:$D,$A$16))</f>
        <v>0</v>
      </c>
      <c r="Q16" s="176">
        <f>IF($A16="","",COUNTIFS(Başvuru!$I:$I,Toplantı!$B$19,Başvuru!$D:$D,$A$16))</f>
        <v>0</v>
      </c>
      <c r="R16" s="176">
        <f>IF($A16="","",COUNTIFS(Başvuru!$I:$I,Toplantı!$B$20,Başvuru!$D:$D,$A$16))</f>
        <v>0</v>
      </c>
      <c r="S16" s="177">
        <f t="shared" si="0"/>
        <v>13</v>
      </c>
    </row>
    <row r="17" spans="1:19" x14ac:dyDescent="0.25">
      <c r="A17" s="175" t="str">
        <f>IF(Birim!C19="","",Birim!C19)</f>
        <v>Deri ve Zührevi Hastalıklar Anabilim Dalı</v>
      </c>
      <c r="B17" s="176">
        <f>IF($A17="","",COUNTIFS(Başvuru!$I:$I,Toplantı!$B$4,Başvuru!$D:$D,$A$17))</f>
        <v>3</v>
      </c>
      <c r="C17" s="176">
        <f>IF($A17="","",COUNTIFS(Başvuru!$I:$I,Toplantı!$B$5,Başvuru!$D:$D,$A$17))</f>
        <v>0</v>
      </c>
      <c r="D17" s="176">
        <f>IF($A17="","",COUNTIFS(Başvuru!$I:$I,Toplantı!$B$6,Başvuru!$D:$D,$A$17))</f>
        <v>0</v>
      </c>
      <c r="E17" s="176">
        <f>IF($A17="","",COUNTIFS(Başvuru!$I:$I,Toplantı!$B$7,Başvuru!$D:$D,$A$17))</f>
        <v>1</v>
      </c>
      <c r="F17" s="176">
        <f>IF($A17="","",COUNTIFS(Başvuru!$I:$I,Toplantı!$B$8,Başvuru!$D:$D,$A$17))</f>
        <v>2</v>
      </c>
      <c r="G17" s="176">
        <f>IF($A17="","",COUNTIFS(Başvuru!$I:$I,Toplantı!$B$9,Başvuru!$D:$D,$A$17))</f>
        <v>1</v>
      </c>
      <c r="H17" s="176">
        <f>IF($A17="","",COUNTIFS(Başvuru!$I:$I,Toplantı!$B$10,Başvuru!$D:$D,$A$17))</f>
        <v>0</v>
      </c>
      <c r="I17" s="176">
        <f>IF($A17="","",COUNTIFS(Başvuru!$I:$I,Toplantı!$B$11,Başvuru!$D:$D,$A$17))</f>
        <v>1</v>
      </c>
      <c r="J17" s="176">
        <f>IF($A17="","",COUNTIFS(Başvuru!$I:$I,Toplantı!$B$12,Başvuru!$D:$D,$A$17))</f>
        <v>1</v>
      </c>
      <c r="K17" s="176">
        <f>IF($A17="","",COUNTIFS(Başvuru!$I:$I,Toplantı!$B$13,Başvuru!$D:$D,$A$17))</f>
        <v>1</v>
      </c>
      <c r="L17" s="176">
        <f>IF($A17="","",COUNTIFS(Başvuru!$I:$I,Toplantı!$B$14,Başvuru!$D:$D,$A$17))</f>
        <v>1</v>
      </c>
      <c r="M17" s="176">
        <f>IF($A17="","",COUNTIFS(Başvuru!$I:$I,Toplantı!$B$15,Başvuru!$D:$D,$A$17))</f>
        <v>0</v>
      </c>
      <c r="N17" s="176">
        <f>IF($A17="","",COUNTIFS(Başvuru!$I:$I,Toplantı!$B$16,Başvuru!$D:$D,$A$17))</f>
        <v>0</v>
      </c>
      <c r="O17" s="176">
        <f>IF($A17="","",COUNTIFS(Başvuru!$I:$I,Toplantı!$B$17,Başvuru!$D:$D,$A$17))</f>
        <v>0</v>
      </c>
      <c r="P17" s="176">
        <f>IF($A17="","",COUNTIFS(Başvuru!$I:$I,Toplantı!$B$18,Başvuru!$D:$D,$A$17))</f>
        <v>0</v>
      </c>
      <c r="Q17" s="176">
        <f>IF($A17="","",COUNTIFS(Başvuru!$I:$I,Toplantı!$B$19,Başvuru!$D:$D,$A$17))</f>
        <v>0</v>
      </c>
      <c r="R17" s="176">
        <f>IF($A17="","",COUNTIFS(Başvuru!$I:$I,Toplantı!$B$20,Başvuru!$D:$D,$A$17))</f>
        <v>0</v>
      </c>
      <c r="S17" s="177">
        <f t="shared" si="0"/>
        <v>11</v>
      </c>
    </row>
    <row r="18" spans="1:19" x14ac:dyDescent="0.25">
      <c r="A18" s="175" t="str">
        <f>IF(Birim!C20="","",Birim!C20)</f>
        <v>Aile Hekimliği Anabilim Dalı</v>
      </c>
      <c r="B18" s="176">
        <f>IF($A18="","",COUNTIFS(Başvuru!$I:$I,Toplantı!$B$4,Başvuru!$D:$D,$A$18))</f>
        <v>0</v>
      </c>
      <c r="C18" s="176">
        <f>IF($A18="","",COUNTIFS(Başvuru!$I:$I,Toplantı!$B$5,Başvuru!$D:$D,$A$18))</f>
        <v>0</v>
      </c>
      <c r="D18" s="176">
        <f>IF($A18="","",COUNTIFS(Başvuru!$I:$I,Toplantı!$B$6,Başvuru!$D:$D,$A$18))</f>
        <v>0</v>
      </c>
      <c r="E18" s="176">
        <f>IF($A18="","",COUNTIFS(Başvuru!$I:$I,Toplantı!$B$7,Başvuru!$D:$D,$A$18))</f>
        <v>1</v>
      </c>
      <c r="F18" s="176">
        <f>IF($A18="","",COUNTIFS(Başvuru!$I:$I,Toplantı!$B$8,Başvuru!$D:$D,$A$18))</f>
        <v>1</v>
      </c>
      <c r="G18" s="176">
        <f>IF($A18="","",COUNTIFS(Başvuru!$I:$I,Toplantı!$B$9,Başvuru!$D:$D,$A$18))</f>
        <v>0</v>
      </c>
      <c r="H18" s="176">
        <f>IF($A18="","",COUNTIFS(Başvuru!$I:$I,Toplantı!$B$10,Başvuru!$D:$D,$A$18))</f>
        <v>2</v>
      </c>
      <c r="I18" s="176">
        <f>IF($A18="","",COUNTIFS(Başvuru!$I:$I,Toplantı!$B$11,Başvuru!$D:$D,$A$18))</f>
        <v>2</v>
      </c>
      <c r="J18" s="176">
        <f>IF($A18="","",COUNTIFS(Başvuru!$I:$I,Toplantı!$B$12,Başvuru!$D:$D,$A$18))</f>
        <v>2</v>
      </c>
      <c r="K18" s="176">
        <f>IF($A18="","",COUNTIFS(Başvuru!$I:$I,Toplantı!$B$13,Başvuru!$D:$D,$A$18))</f>
        <v>1</v>
      </c>
      <c r="L18" s="176">
        <f>IF($A18="","",COUNTIFS(Başvuru!$I:$I,Toplantı!$B$14,Başvuru!$D:$D,$A$18))</f>
        <v>0</v>
      </c>
      <c r="M18" s="176">
        <f>IF($A18="","",COUNTIFS(Başvuru!$I:$I,Toplantı!$B$15,Başvuru!$D:$D,$A$18))</f>
        <v>1</v>
      </c>
      <c r="N18" s="176">
        <f>IF($A18="","",COUNTIFS(Başvuru!$I:$I,Toplantı!$B$16,Başvuru!$D:$D,$A$18))</f>
        <v>1</v>
      </c>
      <c r="O18" s="176">
        <f>IF($A18="","",COUNTIFS(Başvuru!$I:$I,Toplantı!$B$17,Başvuru!$D:$D,$A$18))</f>
        <v>0</v>
      </c>
      <c r="P18" s="176">
        <f>IF($A18="","",COUNTIFS(Başvuru!$I:$I,Toplantı!$B$18,Başvuru!$D:$D,$A$18))</f>
        <v>0</v>
      </c>
      <c r="Q18" s="176">
        <f>IF($A18="","",COUNTIFS(Başvuru!$I:$I,Toplantı!$B$19,Başvuru!$D:$D,$A$18))</f>
        <v>0</v>
      </c>
      <c r="R18" s="176">
        <f>IF($A18="","",COUNTIFS(Başvuru!$I:$I,Toplantı!$B$20,Başvuru!$D:$D,$A$18))</f>
        <v>0</v>
      </c>
      <c r="S18" s="177">
        <f t="shared" si="0"/>
        <v>11</v>
      </c>
    </row>
    <row r="19" spans="1:19" x14ac:dyDescent="0.25">
      <c r="A19" s="175" t="str">
        <f>IF(Birim!C21="","",Birim!C21)</f>
        <v>Anesteziyoloji ve Reanimasyon Anabilim Dalı</v>
      </c>
      <c r="B19" s="176">
        <f>IF($A19="","",COUNTIFS(Başvuru!$I:$I,Toplantı!$B$4,Başvuru!$D:$D,$A$19))</f>
        <v>1</v>
      </c>
      <c r="C19" s="176">
        <f>IF($A19="","",COUNTIFS(Başvuru!$I:$I,Toplantı!$B$5,Başvuru!$D:$D,$A$19))</f>
        <v>0</v>
      </c>
      <c r="D19" s="176">
        <f>IF($A19="","",COUNTIFS(Başvuru!$I:$I,Toplantı!$B$6,Başvuru!$D:$D,$A$19))</f>
        <v>0</v>
      </c>
      <c r="E19" s="176">
        <f>IF($A19="","",COUNTIFS(Başvuru!$I:$I,Toplantı!$B$7,Başvuru!$D:$D,$A$19))</f>
        <v>2</v>
      </c>
      <c r="F19" s="176">
        <f>IF($A19="","",COUNTIFS(Başvuru!$I:$I,Toplantı!$B$8,Başvuru!$D:$D,$A$19))</f>
        <v>0</v>
      </c>
      <c r="G19" s="176">
        <f>IF($A19="","",COUNTIFS(Başvuru!$I:$I,Toplantı!$B$9,Başvuru!$D:$D,$A$19))</f>
        <v>2</v>
      </c>
      <c r="H19" s="176">
        <f>IF($A19="","",COUNTIFS(Başvuru!$I:$I,Toplantı!$B$10,Başvuru!$D:$D,$A$19))</f>
        <v>0</v>
      </c>
      <c r="I19" s="176">
        <f>IF($A19="","",COUNTIFS(Başvuru!$I:$I,Toplantı!$B$11,Başvuru!$D:$D,$A$19))</f>
        <v>0</v>
      </c>
      <c r="J19" s="176">
        <f>IF($A19="","",COUNTIFS(Başvuru!$I:$I,Toplantı!$B$12,Başvuru!$D:$D,$A$19))</f>
        <v>0</v>
      </c>
      <c r="K19" s="176">
        <f>IF($A19="","",COUNTIFS(Başvuru!$I:$I,Toplantı!$B$13,Başvuru!$D:$D,$A$19))</f>
        <v>0</v>
      </c>
      <c r="L19" s="176">
        <f>IF($A19="","",COUNTIFS(Başvuru!$I:$I,Toplantı!$B$14,Başvuru!$D:$D,$A$19))</f>
        <v>2</v>
      </c>
      <c r="M19" s="176">
        <f>IF($A19="","",COUNTIFS(Başvuru!$I:$I,Toplantı!$B$15,Başvuru!$D:$D,$A$19))</f>
        <v>1</v>
      </c>
      <c r="N19" s="176">
        <f>IF($A19="","",COUNTIFS(Başvuru!$I:$I,Toplantı!$B$16,Başvuru!$D:$D,$A$19))</f>
        <v>1</v>
      </c>
      <c r="O19" s="176">
        <f>IF($A19="","",COUNTIFS(Başvuru!$I:$I,Toplantı!$B$17,Başvuru!$D:$D,$A$19))</f>
        <v>1</v>
      </c>
      <c r="P19" s="176">
        <f>IF($A19="","",COUNTIFS(Başvuru!$I:$I,Toplantı!$B$18,Başvuru!$D:$D,$A$19))</f>
        <v>0</v>
      </c>
      <c r="Q19" s="176">
        <f>IF($A19="","",COUNTIFS(Başvuru!$I:$I,Toplantı!$B$19,Başvuru!$D:$D,$A$19))</f>
        <v>0</v>
      </c>
      <c r="R19" s="176">
        <f>IF($A19="","",COUNTIFS(Başvuru!$I:$I,Toplantı!$B$20,Başvuru!$D:$D,$A$19))</f>
        <v>0</v>
      </c>
      <c r="S19" s="177">
        <f t="shared" si="0"/>
        <v>10</v>
      </c>
    </row>
    <row r="20" spans="1:19" x14ac:dyDescent="0.25">
      <c r="A20" s="175" t="str">
        <f>IF(Birim!C22="","",Birim!C22)</f>
        <v>Ağız, Diş ve Çene Cerrahisi Anabilim Dalı</v>
      </c>
      <c r="B20" s="176">
        <f>IF($A20="","",COUNTIFS(Başvuru!$I:$I,Toplantı!$B$4,Başvuru!$D:$D,$A$20))</f>
        <v>1</v>
      </c>
      <c r="C20" s="176">
        <f>IF($A20="","",COUNTIFS(Başvuru!$I:$I,Toplantı!$B$5,Başvuru!$D:$D,$A$20))</f>
        <v>0</v>
      </c>
      <c r="D20" s="176">
        <f>IF($A20="","",COUNTIFS(Başvuru!$I:$I,Toplantı!$B$6,Başvuru!$D:$D,$A$20))</f>
        <v>1</v>
      </c>
      <c r="E20" s="176">
        <f>IF($A20="","",COUNTIFS(Başvuru!$I:$I,Toplantı!$B$7,Başvuru!$D:$D,$A$20))</f>
        <v>0</v>
      </c>
      <c r="F20" s="176">
        <f>IF($A20="","",COUNTIFS(Başvuru!$I:$I,Toplantı!$B$8,Başvuru!$D:$D,$A$20))</f>
        <v>1</v>
      </c>
      <c r="G20" s="176">
        <f>IF($A20="","",COUNTIFS(Başvuru!$I:$I,Toplantı!$B$9,Başvuru!$D:$D,$A$20))</f>
        <v>2</v>
      </c>
      <c r="H20" s="176">
        <f>IF($A20="","",COUNTIFS(Başvuru!$I:$I,Toplantı!$B$10,Başvuru!$D:$D,$A$20))</f>
        <v>0</v>
      </c>
      <c r="I20" s="176">
        <f>IF($A20="","",COUNTIFS(Başvuru!$I:$I,Toplantı!$B$11,Başvuru!$D:$D,$A$20))</f>
        <v>0</v>
      </c>
      <c r="J20" s="176">
        <f>IF($A20="","",COUNTIFS(Başvuru!$I:$I,Toplantı!$B$12,Başvuru!$D:$D,$A$20))</f>
        <v>0</v>
      </c>
      <c r="K20" s="176">
        <f>IF($A20="","",COUNTIFS(Başvuru!$I:$I,Toplantı!$B$13,Başvuru!$D:$D,$A$20))</f>
        <v>1</v>
      </c>
      <c r="L20" s="176">
        <f>IF($A20="","",COUNTIFS(Başvuru!$I:$I,Toplantı!$B$14,Başvuru!$D:$D,$A$20))</f>
        <v>0</v>
      </c>
      <c r="M20" s="176">
        <f>IF($A20="","",COUNTIFS(Başvuru!$I:$I,Toplantı!$B$15,Başvuru!$D:$D,$A$20))</f>
        <v>0</v>
      </c>
      <c r="N20" s="176">
        <f>IF($A20="","",COUNTIFS(Başvuru!$I:$I,Toplantı!$B$16,Başvuru!$D:$D,$A$20))</f>
        <v>1</v>
      </c>
      <c r="O20" s="176">
        <f>IF($A20="","",COUNTIFS(Başvuru!$I:$I,Toplantı!$B$17,Başvuru!$D:$D,$A$20))</f>
        <v>3</v>
      </c>
      <c r="P20" s="176">
        <f>IF($A20="","",COUNTIFS(Başvuru!$I:$I,Toplantı!$B$18,Başvuru!$D:$D,$A$20))</f>
        <v>0</v>
      </c>
      <c r="Q20" s="176">
        <f>IF($A20="","",COUNTIFS(Başvuru!$I:$I,Toplantı!$B$19,Başvuru!$D:$D,$A$20))</f>
        <v>0</v>
      </c>
      <c r="R20" s="176">
        <f>IF($A20="","",COUNTIFS(Başvuru!$I:$I,Toplantı!$B$20,Başvuru!$D:$D,$A$20))</f>
        <v>0</v>
      </c>
      <c r="S20" s="177">
        <f t="shared" si="0"/>
        <v>10</v>
      </c>
    </row>
    <row r="21" spans="1:19" x14ac:dyDescent="0.25">
      <c r="A21" s="175" t="str">
        <f>IF(Birim!C23="","",Birim!C23)</f>
        <v>Ortodonti Anabilim Dalı</v>
      </c>
      <c r="B21" s="176">
        <f>IF($A21="","",COUNTIFS(Başvuru!$I:$I,Toplantı!$B$4,Başvuru!$D:$D,$A$21))</f>
        <v>1</v>
      </c>
      <c r="C21" s="176">
        <f>IF($A21="","",COUNTIFS(Başvuru!$I:$I,Toplantı!$B$5,Başvuru!$D:$D,$A$21))</f>
        <v>1</v>
      </c>
      <c r="D21" s="176">
        <f>IF($A21="","",COUNTIFS(Başvuru!$I:$I,Toplantı!$B$6,Başvuru!$D:$D,$A$21))</f>
        <v>2</v>
      </c>
      <c r="E21" s="176">
        <f>IF($A21="","",COUNTIFS(Başvuru!$I:$I,Toplantı!$B$7,Başvuru!$D:$D,$A$21))</f>
        <v>0</v>
      </c>
      <c r="F21" s="176">
        <f>IF($A21="","",COUNTIFS(Başvuru!$I:$I,Toplantı!$B$8,Başvuru!$D:$D,$A$21))</f>
        <v>1</v>
      </c>
      <c r="G21" s="176">
        <f>IF($A21="","",COUNTIFS(Başvuru!$I:$I,Toplantı!$B$9,Başvuru!$D:$D,$A$21))</f>
        <v>0</v>
      </c>
      <c r="H21" s="176">
        <f>IF($A21="","",COUNTIFS(Başvuru!$I:$I,Toplantı!$B$10,Başvuru!$D:$D,$A$21))</f>
        <v>2</v>
      </c>
      <c r="I21" s="176">
        <f>IF($A21="","",COUNTIFS(Başvuru!$I:$I,Toplantı!$B$11,Başvuru!$D:$D,$A$21))</f>
        <v>0</v>
      </c>
      <c r="J21" s="176">
        <f>IF($A21="","",COUNTIFS(Başvuru!$I:$I,Toplantı!$B$12,Başvuru!$D:$D,$A$21))</f>
        <v>0</v>
      </c>
      <c r="K21" s="176">
        <f>IF($A21="","",COUNTIFS(Başvuru!$I:$I,Toplantı!$B$13,Başvuru!$D:$D,$A$21))</f>
        <v>0</v>
      </c>
      <c r="L21" s="176">
        <f>IF($A21="","",COUNTIFS(Başvuru!$I:$I,Toplantı!$B$14,Başvuru!$D:$D,$A$21))</f>
        <v>0</v>
      </c>
      <c r="M21" s="176">
        <f>IF($A21="","",COUNTIFS(Başvuru!$I:$I,Toplantı!$B$15,Başvuru!$D:$D,$A$21))</f>
        <v>2</v>
      </c>
      <c r="N21" s="176">
        <f>IF($A21="","",COUNTIFS(Başvuru!$I:$I,Toplantı!$B$16,Başvuru!$D:$D,$A$21))</f>
        <v>0</v>
      </c>
      <c r="O21" s="176">
        <f>IF($A21="","",COUNTIFS(Başvuru!$I:$I,Toplantı!$B$17,Başvuru!$D:$D,$A$21))</f>
        <v>1</v>
      </c>
      <c r="P21" s="176">
        <f>IF($A21="","",COUNTIFS(Başvuru!$I:$I,Toplantı!$B$18,Başvuru!$D:$D,$A$21))</f>
        <v>0</v>
      </c>
      <c r="Q21" s="176">
        <f>IF($A21="","",COUNTIFS(Başvuru!$I:$I,Toplantı!$B$19,Başvuru!$D:$D,$A$21))</f>
        <v>0</v>
      </c>
      <c r="R21" s="176">
        <f>IF($A21="","",COUNTIFS(Başvuru!$I:$I,Toplantı!$B$20,Başvuru!$D:$D,$A$21))</f>
        <v>0</v>
      </c>
      <c r="S21" s="177">
        <f t="shared" si="0"/>
        <v>10</v>
      </c>
    </row>
    <row r="22" spans="1:19" x14ac:dyDescent="0.25">
      <c r="A22" s="175" t="str">
        <f>IF(Birim!C24="","",Birim!C24)</f>
        <v>Endodonti Anabilim Dalı</v>
      </c>
      <c r="B22" s="176">
        <f>IF($A22="","",COUNTIFS(Başvuru!$I:$I,Toplantı!$B$4,Başvuru!$D:$D,$A$22))</f>
        <v>1</v>
      </c>
      <c r="C22" s="176">
        <f>IF($A22="","",COUNTIFS(Başvuru!$I:$I,Toplantı!$B$5,Başvuru!$D:$D,$A$22))</f>
        <v>0</v>
      </c>
      <c r="D22" s="176">
        <f>IF($A22="","",COUNTIFS(Başvuru!$I:$I,Toplantı!$B$6,Başvuru!$D:$D,$A$22))</f>
        <v>0</v>
      </c>
      <c r="E22" s="176">
        <f>IF($A22="","",COUNTIFS(Başvuru!$I:$I,Toplantı!$B$7,Başvuru!$D:$D,$A$22))</f>
        <v>1</v>
      </c>
      <c r="F22" s="176">
        <f>IF($A22="","",COUNTIFS(Başvuru!$I:$I,Toplantı!$B$8,Başvuru!$D:$D,$A$22))</f>
        <v>0</v>
      </c>
      <c r="G22" s="176">
        <f>IF($A22="","",COUNTIFS(Başvuru!$I:$I,Toplantı!$B$9,Başvuru!$D:$D,$A$22))</f>
        <v>0</v>
      </c>
      <c r="H22" s="176">
        <f>IF($A22="","",COUNTIFS(Başvuru!$I:$I,Toplantı!$B$10,Başvuru!$D:$D,$A$22))</f>
        <v>1</v>
      </c>
      <c r="I22" s="176">
        <f>IF($A22="","",COUNTIFS(Başvuru!$I:$I,Toplantı!$B$11,Başvuru!$D:$D,$A$22))</f>
        <v>0</v>
      </c>
      <c r="J22" s="176">
        <f>IF($A22="","",COUNTIFS(Başvuru!$I:$I,Toplantı!$B$12,Başvuru!$D:$D,$A$22))</f>
        <v>1</v>
      </c>
      <c r="K22" s="176">
        <f>IF($A22="","",COUNTIFS(Başvuru!$I:$I,Toplantı!$B$13,Başvuru!$D:$D,$A$22))</f>
        <v>2</v>
      </c>
      <c r="L22" s="176">
        <f>IF($A22="","",COUNTIFS(Başvuru!$I:$I,Toplantı!$B$14,Başvuru!$D:$D,$A$22))</f>
        <v>0</v>
      </c>
      <c r="M22" s="176">
        <f>IF($A22="","",COUNTIFS(Başvuru!$I:$I,Toplantı!$B$15,Başvuru!$D:$D,$A$22))</f>
        <v>0</v>
      </c>
      <c r="N22" s="176">
        <f>IF($A22="","",COUNTIFS(Başvuru!$I:$I,Toplantı!$B$16,Başvuru!$D:$D,$A$22))</f>
        <v>1</v>
      </c>
      <c r="O22" s="176">
        <f>IF($A22="","",COUNTIFS(Başvuru!$I:$I,Toplantı!$B$17,Başvuru!$D:$D,$A$22))</f>
        <v>1</v>
      </c>
      <c r="P22" s="176">
        <f>IF($A22="","",COUNTIFS(Başvuru!$I:$I,Toplantı!$B$18,Başvuru!$D:$D,$A$22))</f>
        <v>1</v>
      </c>
      <c r="Q22" s="176">
        <f>IF($A22="","",COUNTIFS(Başvuru!$I:$I,Toplantı!$B$19,Başvuru!$D:$D,$A$22))</f>
        <v>0</v>
      </c>
      <c r="R22" s="176">
        <f>IF($A22="","",COUNTIFS(Başvuru!$I:$I,Toplantı!$B$20,Başvuru!$D:$D,$A$22))</f>
        <v>0</v>
      </c>
      <c r="S22" s="177">
        <f t="shared" si="0"/>
        <v>9</v>
      </c>
    </row>
    <row r="23" spans="1:19" x14ac:dyDescent="0.25">
      <c r="A23" s="175" t="str">
        <f>IF(Birim!C25="","",Birim!C25)</f>
        <v>Anatomi Anabilim Dalı</v>
      </c>
      <c r="B23" s="176">
        <f>IF($A23="","",COUNTIFS(Başvuru!$I:$I,Toplantı!$B$4,Başvuru!$D:$D,$A$23))</f>
        <v>2</v>
      </c>
      <c r="C23" s="176">
        <f>IF($A23="","",COUNTIFS(Başvuru!$I:$I,Toplantı!$B$5,Başvuru!$D:$D,$A$23))</f>
        <v>0</v>
      </c>
      <c r="D23" s="176">
        <f>IF($A23="","",COUNTIFS(Başvuru!$I:$I,Toplantı!$B$6,Başvuru!$D:$D,$A$23))</f>
        <v>2</v>
      </c>
      <c r="E23" s="176">
        <f>IF($A23="","",COUNTIFS(Başvuru!$I:$I,Toplantı!$B$7,Başvuru!$D:$D,$A$23))</f>
        <v>1</v>
      </c>
      <c r="F23" s="176">
        <f>IF($A23="","",COUNTIFS(Başvuru!$I:$I,Toplantı!$B$8,Başvuru!$D:$D,$A$23))</f>
        <v>1</v>
      </c>
      <c r="G23" s="176">
        <f>IF($A23="","",COUNTIFS(Başvuru!$I:$I,Toplantı!$B$9,Başvuru!$D:$D,$A$23))</f>
        <v>0</v>
      </c>
      <c r="H23" s="176">
        <f>IF($A23="","",COUNTIFS(Başvuru!$I:$I,Toplantı!$B$10,Başvuru!$D:$D,$A$23))</f>
        <v>1</v>
      </c>
      <c r="I23" s="176">
        <f>IF($A23="","",COUNTIFS(Başvuru!$I:$I,Toplantı!$B$11,Başvuru!$D:$D,$A$23))</f>
        <v>1</v>
      </c>
      <c r="J23" s="176">
        <f>IF($A23="","",COUNTIFS(Başvuru!$I:$I,Toplantı!$B$12,Başvuru!$D:$D,$A$23))</f>
        <v>0</v>
      </c>
      <c r="K23" s="176">
        <f>IF($A23="","",COUNTIFS(Başvuru!$I:$I,Toplantı!$B$13,Başvuru!$D:$D,$A$23))</f>
        <v>0</v>
      </c>
      <c r="L23" s="176">
        <f>IF($A23="","",COUNTIFS(Başvuru!$I:$I,Toplantı!$B$14,Başvuru!$D:$D,$A$23))</f>
        <v>0</v>
      </c>
      <c r="M23" s="176">
        <f>IF($A23="","",COUNTIFS(Başvuru!$I:$I,Toplantı!$B$15,Başvuru!$D:$D,$A$23))</f>
        <v>1</v>
      </c>
      <c r="N23" s="176">
        <f>IF($A23="","",COUNTIFS(Başvuru!$I:$I,Toplantı!$B$16,Başvuru!$D:$D,$A$23))</f>
        <v>0</v>
      </c>
      <c r="O23" s="176">
        <f>IF($A23="","",COUNTIFS(Başvuru!$I:$I,Toplantı!$B$17,Başvuru!$D:$D,$A$23))</f>
        <v>0</v>
      </c>
      <c r="P23" s="176">
        <f>IF($A23="","",COUNTIFS(Başvuru!$I:$I,Toplantı!$B$18,Başvuru!$D:$D,$A$23))</f>
        <v>0</v>
      </c>
      <c r="Q23" s="176">
        <f>IF($A23="","",COUNTIFS(Başvuru!$I:$I,Toplantı!$B$19,Başvuru!$D:$D,$A$23))</f>
        <v>0</v>
      </c>
      <c r="R23" s="176">
        <f>IF($A23="","",COUNTIFS(Başvuru!$I:$I,Toplantı!$B$20,Başvuru!$D:$D,$A$23))</f>
        <v>0</v>
      </c>
      <c r="S23" s="177">
        <f t="shared" si="0"/>
        <v>9</v>
      </c>
    </row>
    <row r="24" spans="1:19" x14ac:dyDescent="0.25">
      <c r="A24" s="175" t="str">
        <f>IF(Birim!C26="","",Birim!C26)</f>
        <v>Üroloji Anabilim Dalı</v>
      </c>
      <c r="B24" s="176">
        <f>IF($A24="","",COUNTIFS(Başvuru!$I:$I,Toplantı!$B$4,Başvuru!$D:$D,$A$24))</f>
        <v>0</v>
      </c>
      <c r="C24" s="176">
        <f>IF($A24="","",COUNTIFS(Başvuru!$I:$I,Toplantı!$B$5,Başvuru!$D:$D,$A$24))</f>
        <v>1</v>
      </c>
      <c r="D24" s="176">
        <f>IF($A24="","",COUNTIFS(Başvuru!$I:$I,Toplantı!$B$6,Başvuru!$D:$D,$A$24))</f>
        <v>0</v>
      </c>
      <c r="E24" s="176">
        <f>IF($A24="","",COUNTIFS(Başvuru!$I:$I,Toplantı!$B$7,Başvuru!$D:$D,$A$24))</f>
        <v>3</v>
      </c>
      <c r="F24" s="176">
        <f>IF($A24="","",COUNTIFS(Başvuru!$I:$I,Toplantı!$B$8,Başvuru!$D:$D,$A$24))</f>
        <v>0</v>
      </c>
      <c r="G24" s="176">
        <f>IF($A24="","",COUNTIFS(Başvuru!$I:$I,Toplantı!$B$9,Başvuru!$D:$D,$A$24))</f>
        <v>0</v>
      </c>
      <c r="H24" s="176">
        <f>IF($A24="","",COUNTIFS(Başvuru!$I:$I,Toplantı!$B$10,Başvuru!$D:$D,$A$24))</f>
        <v>0</v>
      </c>
      <c r="I24" s="176">
        <f>IF($A24="","",COUNTIFS(Başvuru!$I:$I,Toplantı!$B$11,Başvuru!$D:$D,$A$24))</f>
        <v>0</v>
      </c>
      <c r="J24" s="176">
        <f>IF($A24="","",COUNTIFS(Başvuru!$I:$I,Toplantı!$B$12,Başvuru!$D:$D,$A$24))</f>
        <v>1</v>
      </c>
      <c r="K24" s="176">
        <f>IF($A24="","",COUNTIFS(Başvuru!$I:$I,Toplantı!$B$13,Başvuru!$D:$D,$A$24))</f>
        <v>1</v>
      </c>
      <c r="L24" s="176">
        <f>IF($A24="","",COUNTIFS(Başvuru!$I:$I,Toplantı!$B$14,Başvuru!$D:$D,$A$24))</f>
        <v>0</v>
      </c>
      <c r="M24" s="176">
        <f>IF($A24="","",COUNTIFS(Başvuru!$I:$I,Toplantı!$B$15,Başvuru!$D:$D,$A$24))</f>
        <v>0</v>
      </c>
      <c r="N24" s="176">
        <f>IF($A24="","",COUNTIFS(Başvuru!$I:$I,Toplantı!$B$16,Başvuru!$D:$D,$A$24))</f>
        <v>1</v>
      </c>
      <c r="O24" s="176">
        <f>IF($A24="","",COUNTIFS(Başvuru!$I:$I,Toplantı!$B$17,Başvuru!$D:$D,$A$24))</f>
        <v>0</v>
      </c>
      <c r="P24" s="176">
        <f>IF($A24="","",COUNTIFS(Başvuru!$I:$I,Toplantı!$B$18,Başvuru!$D:$D,$A$24))</f>
        <v>1</v>
      </c>
      <c r="Q24" s="176">
        <f>IF($A24="","",COUNTIFS(Başvuru!$I:$I,Toplantı!$B$19,Başvuru!$D:$D,$A$24))</f>
        <v>1</v>
      </c>
      <c r="R24" s="176">
        <f>IF($A24="","",COUNTIFS(Başvuru!$I:$I,Toplantı!$B$20,Başvuru!$D:$D,$A$24))</f>
        <v>0</v>
      </c>
      <c r="S24" s="177">
        <f t="shared" si="0"/>
        <v>9</v>
      </c>
    </row>
    <row r="25" spans="1:19" x14ac:dyDescent="0.25">
      <c r="A25" s="175" t="str">
        <f>IF(Birim!C27="","",Birim!C27)</f>
        <v>Ağız, Diş ve Çene Radyolojisi Anabilim Dalı</v>
      </c>
      <c r="B25" s="176">
        <f>IF($A25="","",COUNTIFS(Başvuru!$I:$I,Toplantı!$B$4,Başvuru!$D:$D,$A$25))</f>
        <v>0</v>
      </c>
      <c r="C25" s="176">
        <f>IF($A25="","",COUNTIFS(Başvuru!$I:$I,Toplantı!$B$5,Başvuru!$D:$D,$A$25))</f>
        <v>1</v>
      </c>
      <c r="D25" s="176">
        <f>IF($A25="","",COUNTIFS(Başvuru!$I:$I,Toplantı!$B$6,Başvuru!$D:$D,$A$25))</f>
        <v>1</v>
      </c>
      <c r="E25" s="176">
        <f>IF($A25="","",COUNTIFS(Başvuru!$I:$I,Toplantı!$B$7,Başvuru!$D:$D,$A$25))</f>
        <v>0</v>
      </c>
      <c r="F25" s="176">
        <f>IF($A25="","",COUNTIFS(Başvuru!$I:$I,Toplantı!$B$8,Başvuru!$D:$D,$A$25))</f>
        <v>1</v>
      </c>
      <c r="G25" s="176">
        <f>IF($A25="","",COUNTIFS(Başvuru!$I:$I,Toplantı!$B$9,Başvuru!$D:$D,$A$25))</f>
        <v>0</v>
      </c>
      <c r="H25" s="176">
        <f>IF($A25="","",COUNTIFS(Başvuru!$I:$I,Toplantı!$B$10,Başvuru!$D:$D,$A$25))</f>
        <v>0</v>
      </c>
      <c r="I25" s="176">
        <f>IF($A25="","",COUNTIFS(Başvuru!$I:$I,Toplantı!$B$11,Başvuru!$D:$D,$A$25))</f>
        <v>0</v>
      </c>
      <c r="J25" s="176">
        <f>IF($A25="","",COUNTIFS(Başvuru!$I:$I,Toplantı!$B$12,Başvuru!$D:$D,$A$25))</f>
        <v>1</v>
      </c>
      <c r="K25" s="176">
        <f>IF($A25="","",COUNTIFS(Başvuru!$I:$I,Toplantı!$B$13,Başvuru!$D:$D,$A$25))</f>
        <v>0</v>
      </c>
      <c r="L25" s="176">
        <f>IF($A25="","",COUNTIFS(Başvuru!$I:$I,Toplantı!$B$14,Başvuru!$D:$D,$A$25))</f>
        <v>1</v>
      </c>
      <c r="M25" s="176">
        <f>IF($A25="","",COUNTIFS(Başvuru!$I:$I,Toplantı!$B$15,Başvuru!$D:$D,$A$25))</f>
        <v>1</v>
      </c>
      <c r="N25" s="176">
        <f>IF($A25="","",COUNTIFS(Başvuru!$I:$I,Toplantı!$B$16,Başvuru!$D:$D,$A$25))</f>
        <v>0</v>
      </c>
      <c r="O25" s="176">
        <f>IF($A25="","",COUNTIFS(Başvuru!$I:$I,Toplantı!$B$17,Başvuru!$D:$D,$A$25))</f>
        <v>0</v>
      </c>
      <c r="P25" s="176">
        <f>IF($A25="","",COUNTIFS(Başvuru!$I:$I,Toplantı!$B$18,Başvuru!$D:$D,$A$25))</f>
        <v>2</v>
      </c>
      <c r="Q25" s="176">
        <f>IF($A25="","",COUNTIFS(Başvuru!$I:$I,Toplantı!$B$19,Başvuru!$D:$D,$A$25))</f>
        <v>0</v>
      </c>
      <c r="R25" s="176">
        <f>IF($A25="","",COUNTIFS(Başvuru!$I:$I,Toplantı!$B$20,Başvuru!$D:$D,$A$25))</f>
        <v>0</v>
      </c>
      <c r="S25" s="177">
        <f t="shared" si="0"/>
        <v>8</v>
      </c>
    </row>
    <row r="26" spans="1:19" x14ac:dyDescent="0.25">
      <c r="A26" s="175" t="str">
        <f>IF(Birim!C28="","",Birim!C28)</f>
        <v>Sağlık Yönetimi Anabilim Dalı</v>
      </c>
      <c r="B26" s="176">
        <f>IF($A26="","",COUNTIFS(Başvuru!$I:$I,Toplantı!$B$4,Başvuru!$D:$D,$A$26))</f>
        <v>1</v>
      </c>
      <c r="C26" s="176">
        <f>IF($A26="","",COUNTIFS(Başvuru!$I:$I,Toplantı!$B$5,Başvuru!$D:$D,$A$26))</f>
        <v>0</v>
      </c>
      <c r="D26" s="176">
        <f>IF($A26="","",COUNTIFS(Başvuru!$I:$I,Toplantı!$B$6,Başvuru!$D:$D,$A$26))</f>
        <v>1</v>
      </c>
      <c r="E26" s="176">
        <f>IF($A26="","",COUNTIFS(Başvuru!$I:$I,Toplantı!$B$7,Başvuru!$D:$D,$A$26))</f>
        <v>0</v>
      </c>
      <c r="F26" s="176">
        <f>IF($A26="","",COUNTIFS(Başvuru!$I:$I,Toplantı!$B$8,Başvuru!$D:$D,$A$26))</f>
        <v>1</v>
      </c>
      <c r="G26" s="176">
        <f>IF($A26="","",COUNTIFS(Başvuru!$I:$I,Toplantı!$B$9,Başvuru!$D:$D,$A$26))</f>
        <v>1</v>
      </c>
      <c r="H26" s="176">
        <f>IF($A26="","",COUNTIFS(Başvuru!$I:$I,Toplantı!$B$10,Başvuru!$D:$D,$A$26))</f>
        <v>1</v>
      </c>
      <c r="I26" s="176">
        <f>IF($A26="","",COUNTIFS(Başvuru!$I:$I,Toplantı!$B$11,Başvuru!$D:$D,$A$26))</f>
        <v>0</v>
      </c>
      <c r="J26" s="176">
        <f>IF($A26="","",COUNTIFS(Başvuru!$I:$I,Toplantı!$B$12,Başvuru!$D:$D,$A$26))</f>
        <v>0</v>
      </c>
      <c r="K26" s="176">
        <f>IF($A26="","",COUNTIFS(Başvuru!$I:$I,Toplantı!$B$13,Başvuru!$D:$D,$A$26))</f>
        <v>2</v>
      </c>
      <c r="L26" s="176">
        <f>IF($A26="","",COUNTIFS(Başvuru!$I:$I,Toplantı!$B$14,Başvuru!$D:$D,$A$26))</f>
        <v>0</v>
      </c>
      <c r="M26" s="176">
        <f>IF($A26="","",COUNTIFS(Başvuru!$I:$I,Toplantı!$B$15,Başvuru!$D:$D,$A$26))</f>
        <v>0</v>
      </c>
      <c r="N26" s="176">
        <f>IF($A26="","",COUNTIFS(Başvuru!$I:$I,Toplantı!$B$16,Başvuru!$D:$D,$A$26))</f>
        <v>0</v>
      </c>
      <c r="O26" s="176">
        <f>IF($A26="","",COUNTIFS(Başvuru!$I:$I,Toplantı!$B$17,Başvuru!$D:$D,$A$26))</f>
        <v>0</v>
      </c>
      <c r="P26" s="176">
        <f>IF($A26="","",COUNTIFS(Başvuru!$I:$I,Toplantı!$B$18,Başvuru!$D:$D,$A$26))</f>
        <v>0</v>
      </c>
      <c r="Q26" s="176">
        <f>IF($A26="","",COUNTIFS(Başvuru!$I:$I,Toplantı!$B$19,Başvuru!$D:$D,$A$26))</f>
        <v>0</v>
      </c>
      <c r="R26" s="176">
        <f>IF($A26="","",COUNTIFS(Başvuru!$I:$I,Toplantı!$B$20,Başvuru!$D:$D,$A$26))</f>
        <v>0</v>
      </c>
      <c r="S26" s="177">
        <f t="shared" si="0"/>
        <v>7</v>
      </c>
    </row>
    <row r="27" spans="1:19" x14ac:dyDescent="0.25">
      <c r="A27" s="175" t="str">
        <f>IF(Birim!C29="","",Birim!C29)</f>
        <v>Fiziksel Tıp ve Rehabilitasyon Anabilim Dalı</v>
      </c>
      <c r="B27" s="176">
        <f>IF($A27="","",COUNTIFS(Başvuru!$I:$I,Toplantı!$B$4,Başvuru!$D:$D,$A$27))</f>
        <v>1</v>
      </c>
      <c r="C27" s="176">
        <f>IF($A27="","",COUNTIFS(Başvuru!$I:$I,Toplantı!$B$5,Başvuru!$D:$D,$A$27))</f>
        <v>0</v>
      </c>
      <c r="D27" s="176">
        <f>IF($A27="","",COUNTIFS(Başvuru!$I:$I,Toplantı!$B$6,Başvuru!$D:$D,$A$27))</f>
        <v>1</v>
      </c>
      <c r="E27" s="176">
        <f>IF($A27="","",COUNTIFS(Başvuru!$I:$I,Toplantı!$B$7,Başvuru!$D:$D,$A$27))</f>
        <v>0</v>
      </c>
      <c r="F27" s="176">
        <f>IF($A27="","",COUNTIFS(Başvuru!$I:$I,Toplantı!$B$8,Başvuru!$D:$D,$A$27))</f>
        <v>0</v>
      </c>
      <c r="G27" s="176">
        <f>IF($A27="","",COUNTIFS(Başvuru!$I:$I,Toplantı!$B$9,Başvuru!$D:$D,$A$27))</f>
        <v>0</v>
      </c>
      <c r="H27" s="176">
        <f>IF($A27="","",COUNTIFS(Başvuru!$I:$I,Toplantı!$B$10,Başvuru!$D:$D,$A$27))</f>
        <v>2</v>
      </c>
      <c r="I27" s="176">
        <f>IF($A27="","",COUNTIFS(Başvuru!$I:$I,Toplantı!$B$11,Başvuru!$D:$D,$A$27))</f>
        <v>0</v>
      </c>
      <c r="J27" s="176">
        <f>IF($A27="","",COUNTIFS(Başvuru!$I:$I,Toplantı!$B$12,Başvuru!$D:$D,$A$27))</f>
        <v>0</v>
      </c>
      <c r="K27" s="176">
        <f>IF($A27="","",COUNTIFS(Başvuru!$I:$I,Toplantı!$B$13,Başvuru!$D:$D,$A$27))</f>
        <v>0</v>
      </c>
      <c r="L27" s="176">
        <f>IF($A27="","",COUNTIFS(Başvuru!$I:$I,Toplantı!$B$14,Başvuru!$D:$D,$A$27))</f>
        <v>0</v>
      </c>
      <c r="M27" s="176">
        <f>IF($A27="","",COUNTIFS(Başvuru!$I:$I,Toplantı!$B$15,Başvuru!$D:$D,$A$27))</f>
        <v>1</v>
      </c>
      <c r="N27" s="176">
        <f>IF($A27="","",COUNTIFS(Başvuru!$I:$I,Toplantı!$B$16,Başvuru!$D:$D,$A$27))</f>
        <v>1</v>
      </c>
      <c r="O27" s="176">
        <f>IF($A27="","",COUNTIFS(Başvuru!$I:$I,Toplantı!$B$17,Başvuru!$D:$D,$A$27))</f>
        <v>0</v>
      </c>
      <c r="P27" s="176">
        <f>IF($A27="","",COUNTIFS(Başvuru!$I:$I,Toplantı!$B$18,Başvuru!$D:$D,$A$27))</f>
        <v>1</v>
      </c>
      <c r="Q27" s="176">
        <f>IF($A27="","",COUNTIFS(Başvuru!$I:$I,Toplantı!$B$19,Başvuru!$D:$D,$A$27))</f>
        <v>0</v>
      </c>
      <c r="R27" s="176">
        <f>IF($A27="","",COUNTIFS(Başvuru!$I:$I,Toplantı!$B$20,Başvuru!$D:$D,$A$27))</f>
        <v>0</v>
      </c>
      <c r="S27" s="177">
        <f t="shared" si="0"/>
        <v>7</v>
      </c>
    </row>
    <row r="28" spans="1:19" x14ac:dyDescent="0.25">
      <c r="A28" s="175" t="str">
        <f>IF(Birim!C30="","",Birim!C30)</f>
        <v>Periodontoloji Anabilim Dalı</v>
      </c>
      <c r="B28" s="176">
        <f>IF($A28="","",COUNTIFS(Başvuru!$I:$I,Toplantı!$B$4,Başvuru!$D:$D,$A$28))</f>
        <v>0</v>
      </c>
      <c r="C28" s="176">
        <f>IF($A28="","",COUNTIFS(Başvuru!$I:$I,Toplantı!$B$5,Başvuru!$D:$D,$A$28))</f>
        <v>1</v>
      </c>
      <c r="D28" s="176">
        <f>IF($A28="","",COUNTIFS(Başvuru!$I:$I,Toplantı!$B$6,Başvuru!$D:$D,$A$28))</f>
        <v>0</v>
      </c>
      <c r="E28" s="176">
        <f>IF($A28="","",COUNTIFS(Başvuru!$I:$I,Toplantı!$B$7,Başvuru!$D:$D,$A$28))</f>
        <v>2</v>
      </c>
      <c r="F28" s="176">
        <f>IF($A28="","",COUNTIFS(Başvuru!$I:$I,Toplantı!$B$8,Başvuru!$D:$D,$A$28))</f>
        <v>0</v>
      </c>
      <c r="G28" s="176">
        <f>IF($A28="","",COUNTIFS(Başvuru!$I:$I,Toplantı!$B$9,Başvuru!$D:$D,$A$28))</f>
        <v>1</v>
      </c>
      <c r="H28" s="176">
        <f>IF($A28="","",COUNTIFS(Başvuru!$I:$I,Toplantı!$B$10,Başvuru!$D:$D,$A$28))</f>
        <v>0</v>
      </c>
      <c r="I28" s="176">
        <f>IF($A28="","",COUNTIFS(Başvuru!$I:$I,Toplantı!$B$11,Başvuru!$D:$D,$A$28))</f>
        <v>1</v>
      </c>
      <c r="J28" s="176">
        <f>IF($A28="","",COUNTIFS(Başvuru!$I:$I,Toplantı!$B$12,Başvuru!$D:$D,$A$28))</f>
        <v>0</v>
      </c>
      <c r="K28" s="176">
        <f>IF($A28="","",COUNTIFS(Başvuru!$I:$I,Toplantı!$B$13,Başvuru!$D:$D,$A$28))</f>
        <v>0</v>
      </c>
      <c r="L28" s="176">
        <f>IF($A28="","",COUNTIFS(Başvuru!$I:$I,Toplantı!$B$14,Başvuru!$D:$D,$A$28))</f>
        <v>1</v>
      </c>
      <c r="M28" s="176">
        <f>IF($A28="","",COUNTIFS(Başvuru!$I:$I,Toplantı!$B$15,Başvuru!$D:$D,$A$28))</f>
        <v>1</v>
      </c>
      <c r="N28" s="176">
        <f>IF($A28="","",COUNTIFS(Başvuru!$I:$I,Toplantı!$B$16,Başvuru!$D:$D,$A$28))</f>
        <v>0</v>
      </c>
      <c r="O28" s="176">
        <f>IF($A28="","",COUNTIFS(Başvuru!$I:$I,Toplantı!$B$17,Başvuru!$D:$D,$A$28))</f>
        <v>0</v>
      </c>
      <c r="P28" s="176">
        <f>IF($A28="","",COUNTIFS(Başvuru!$I:$I,Toplantı!$B$18,Başvuru!$D:$D,$A$28))</f>
        <v>0</v>
      </c>
      <c r="Q28" s="176">
        <f>IF($A28="","",COUNTIFS(Başvuru!$I:$I,Toplantı!$B$19,Başvuru!$D:$D,$A$28))</f>
        <v>0</v>
      </c>
      <c r="R28" s="176">
        <f>IF($A28="","",COUNTIFS(Başvuru!$I:$I,Toplantı!$B$20,Başvuru!$D:$D,$A$28))</f>
        <v>0</v>
      </c>
      <c r="S28" s="177">
        <f t="shared" si="0"/>
        <v>7</v>
      </c>
    </row>
    <row r="29" spans="1:19" x14ac:dyDescent="0.25">
      <c r="A29" s="175" t="str">
        <f>IF(Birim!C31="","",Birim!C31)</f>
        <v>Plastik, Rekonstrüktif ve Estetik Cerrahi Anabilim Dalı</v>
      </c>
      <c r="B29" s="176">
        <f>IF($A29="","",COUNTIFS(Başvuru!$I:$I,Toplantı!$B$4,Başvuru!$D:$D,$A$29))</f>
        <v>0</v>
      </c>
      <c r="C29" s="176">
        <f>IF($A29="","",COUNTIFS(Başvuru!$I:$I,Toplantı!$B$5,Başvuru!$D:$D,$A$29))</f>
        <v>0</v>
      </c>
      <c r="D29" s="176">
        <f>IF($A29="","",COUNTIFS(Başvuru!$I:$I,Toplantı!$B$6,Başvuru!$D:$D,$A$29))</f>
        <v>0</v>
      </c>
      <c r="E29" s="176">
        <f>IF($A29="","",COUNTIFS(Başvuru!$I:$I,Toplantı!$B$7,Başvuru!$D:$D,$A$29))</f>
        <v>0</v>
      </c>
      <c r="F29" s="176">
        <f>IF($A29="","",COUNTIFS(Başvuru!$I:$I,Toplantı!$B$8,Başvuru!$D:$D,$A$29))</f>
        <v>1</v>
      </c>
      <c r="G29" s="176">
        <f>IF($A29="","",COUNTIFS(Başvuru!$I:$I,Toplantı!$B$9,Başvuru!$D:$D,$A$29))</f>
        <v>0</v>
      </c>
      <c r="H29" s="176">
        <f>IF($A29="","",COUNTIFS(Başvuru!$I:$I,Toplantı!$B$10,Başvuru!$D:$D,$A$29))</f>
        <v>0</v>
      </c>
      <c r="I29" s="176">
        <f>IF($A29="","",COUNTIFS(Başvuru!$I:$I,Toplantı!$B$11,Başvuru!$D:$D,$A$29))</f>
        <v>1</v>
      </c>
      <c r="J29" s="176">
        <f>IF($A29="","",COUNTIFS(Başvuru!$I:$I,Toplantı!$B$12,Başvuru!$D:$D,$A$29))</f>
        <v>1</v>
      </c>
      <c r="K29" s="176">
        <f>IF($A29="","",COUNTIFS(Başvuru!$I:$I,Toplantı!$B$13,Başvuru!$D:$D,$A$29))</f>
        <v>1</v>
      </c>
      <c r="L29" s="176">
        <f>IF($A29="","",COUNTIFS(Başvuru!$I:$I,Toplantı!$B$14,Başvuru!$D:$D,$A$29))</f>
        <v>0</v>
      </c>
      <c r="M29" s="176">
        <f>IF($A29="","",COUNTIFS(Başvuru!$I:$I,Toplantı!$B$15,Başvuru!$D:$D,$A$29))</f>
        <v>0</v>
      </c>
      <c r="N29" s="176">
        <f>IF($A29="","",COUNTIFS(Başvuru!$I:$I,Toplantı!$B$16,Başvuru!$D:$D,$A$29))</f>
        <v>1</v>
      </c>
      <c r="O29" s="176">
        <f>IF($A29="","",COUNTIFS(Başvuru!$I:$I,Toplantı!$B$17,Başvuru!$D:$D,$A$29))</f>
        <v>0</v>
      </c>
      <c r="P29" s="176">
        <f>IF($A29="","",COUNTIFS(Başvuru!$I:$I,Toplantı!$B$18,Başvuru!$D:$D,$A$29))</f>
        <v>2</v>
      </c>
      <c r="Q29" s="176">
        <f>IF($A29="","",COUNTIFS(Başvuru!$I:$I,Toplantı!$B$19,Başvuru!$D:$D,$A$29))</f>
        <v>0</v>
      </c>
      <c r="R29" s="176">
        <f>IF($A29="","",COUNTIFS(Başvuru!$I:$I,Toplantı!$B$20,Başvuru!$D:$D,$A$29))</f>
        <v>0</v>
      </c>
      <c r="S29" s="177">
        <f t="shared" si="0"/>
        <v>7</v>
      </c>
    </row>
    <row r="30" spans="1:19" x14ac:dyDescent="0.25">
      <c r="A30" s="175" t="str">
        <f>IF(Birim!C32="","",Birim!C32)</f>
        <v>Nükleer Tıp Anabilim Dalı</v>
      </c>
      <c r="B30" s="176">
        <f>IF($A30="","",COUNTIFS(Başvuru!$I:$I,Toplantı!$B$4,Başvuru!$D:$D,$A$30))</f>
        <v>1</v>
      </c>
      <c r="C30" s="176">
        <f>IF($A30="","",COUNTIFS(Başvuru!$I:$I,Toplantı!$B$5,Başvuru!$D:$D,$A$30))</f>
        <v>1</v>
      </c>
      <c r="D30" s="176">
        <f>IF($A30="","",COUNTIFS(Başvuru!$I:$I,Toplantı!$B$6,Başvuru!$D:$D,$A$30))</f>
        <v>0</v>
      </c>
      <c r="E30" s="176">
        <f>IF($A30="","",COUNTIFS(Başvuru!$I:$I,Toplantı!$B$7,Başvuru!$D:$D,$A$30))</f>
        <v>0</v>
      </c>
      <c r="F30" s="176">
        <f>IF($A30="","",COUNTIFS(Başvuru!$I:$I,Toplantı!$B$8,Başvuru!$D:$D,$A$30))</f>
        <v>2</v>
      </c>
      <c r="G30" s="176">
        <f>IF($A30="","",COUNTIFS(Başvuru!$I:$I,Toplantı!$B$9,Başvuru!$D:$D,$A$30))</f>
        <v>0</v>
      </c>
      <c r="H30" s="176">
        <f>IF($A30="","",COUNTIFS(Başvuru!$I:$I,Toplantı!$B$10,Başvuru!$D:$D,$A$30))</f>
        <v>1</v>
      </c>
      <c r="I30" s="176">
        <f>IF($A30="","",COUNTIFS(Başvuru!$I:$I,Toplantı!$B$11,Başvuru!$D:$D,$A$30))</f>
        <v>0</v>
      </c>
      <c r="J30" s="176">
        <f>IF($A30="","",COUNTIFS(Başvuru!$I:$I,Toplantı!$B$12,Başvuru!$D:$D,$A$30))</f>
        <v>0</v>
      </c>
      <c r="K30" s="176">
        <f>IF($A30="","",COUNTIFS(Başvuru!$I:$I,Toplantı!$B$13,Başvuru!$D:$D,$A$30))</f>
        <v>0</v>
      </c>
      <c r="L30" s="176">
        <f>IF($A30="","",COUNTIFS(Başvuru!$I:$I,Toplantı!$B$14,Başvuru!$D:$D,$A$30))</f>
        <v>1</v>
      </c>
      <c r="M30" s="176">
        <f>IF($A30="","",COUNTIFS(Başvuru!$I:$I,Toplantı!$B$15,Başvuru!$D:$D,$A$30))</f>
        <v>0</v>
      </c>
      <c r="N30" s="176">
        <f>IF($A30="","",COUNTIFS(Başvuru!$I:$I,Toplantı!$B$16,Başvuru!$D:$D,$A$30))</f>
        <v>0</v>
      </c>
      <c r="O30" s="176">
        <f>IF($A30="","",COUNTIFS(Başvuru!$I:$I,Toplantı!$B$17,Başvuru!$D:$D,$A$30))</f>
        <v>0</v>
      </c>
      <c r="P30" s="176">
        <f>IF($A30="","",COUNTIFS(Başvuru!$I:$I,Toplantı!$B$18,Başvuru!$D:$D,$A$30))</f>
        <v>0</v>
      </c>
      <c r="Q30" s="176">
        <f>IF($A30="","",COUNTIFS(Başvuru!$I:$I,Toplantı!$B$19,Başvuru!$D:$D,$A$30))</f>
        <v>0</v>
      </c>
      <c r="R30" s="176">
        <f>IF($A30="","",COUNTIFS(Başvuru!$I:$I,Toplantı!$B$20,Başvuru!$D:$D,$A$30))</f>
        <v>0</v>
      </c>
      <c r="S30" s="177">
        <f t="shared" si="0"/>
        <v>6</v>
      </c>
    </row>
    <row r="31" spans="1:19" x14ac:dyDescent="0.25">
      <c r="A31" s="175" t="str">
        <f>IF(Birim!C33="","",Birim!C33)</f>
        <v>Protetik Diş Tedavisi Anabilim Dalı</v>
      </c>
      <c r="B31" s="176">
        <f>IF($A31="","",COUNTIFS(Başvuru!$I:$I,Toplantı!$B$4,Başvuru!$D:$D,$A$31))</f>
        <v>0</v>
      </c>
      <c r="C31" s="176">
        <f>IF($A31="","",COUNTIFS(Başvuru!$I:$I,Toplantı!$B$5,Başvuru!$D:$D,$A$31))</f>
        <v>1</v>
      </c>
      <c r="D31" s="176">
        <f>IF($A31="","",COUNTIFS(Başvuru!$I:$I,Toplantı!$B$6,Başvuru!$D:$D,$A$31))</f>
        <v>0</v>
      </c>
      <c r="E31" s="176">
        <f>IF($A31="","",COUNTIFS(Başvuru!$I:$I,Toplantı!$B$7,Başvuru!$D:$D,$A$31))</f>
        <v>1</v>
      </c>
      <c r="F31" s="176">
        <f>IF($A31="","",COUNTIFS(Başvuru!$I:$I,Toplantı!$B$8,Başvuru!$D:$D,$A$31))</f>
        <v>0</v>
      </c>
      <c r="G31" s="176">
        <f>IF($A31="","",COUNTIFS(Başvuru!$I:$I,Toplantı!$B$9,Başvuru!$D:$D,$A$31))</f>
        <v>2</v>
      </c>
      <c r="H31" s="176">
        <f>IF($A31="","",COUNTIFS(Başvuru!$I:$I,Toplantı!$B$10,Başvuru!$D:$D,$A$31))</f>
        <v>0</v>
      </c>
      <c r="I31" s="176">
        <f>IF($A31="","",COUNTIFS(Başvuru!$I:$I,Toplantı!$B$11,Başvuru!$D:$D,$A$31))</f>
        <v>0</v>
      </c>
      <c r="J31" s="176">
        <f>IF($A31="","",COUNTIFS(Başvuru!$I:$I,Toplantı!$B$12,Başvuru!$D:$D,$A$31))</f>
        <v>0</v>
      </c>
      <c r="K31" s="176">
        <f>IF($A31="","",COUNTIFS(Başvuru!$I:$I,Toplantı!$B$13,Başvuru!$D:$D,$A$31))</f>
        <v>1</v>
      </c>
      <c r="L31" s="176">
        <f>IF($A31="","",COUNTIFS(Başvuru!$I:$I,Toplantı!$B$14,Başvuru!$D:$D,$A$31))</f>
        <v>0</v>
      </c>
      <c r="M31" s="176">
        <f>IF($A31="","",COUNTIFS(Başvuru!$I:$I,Toplantı!$B$15,Başvuru!$D:$D,$A$31))</f>
        <v>0</v>
      </c>
      <c r="N31" s="176">
        <f>IF($A31="","",COUNTIFS(Başvuru!$I:$I,Toplantı!$B$16,Başvuru!$D:$D,$A$31))</f>
        <v>1</v>
      </c>
      <c r="O31" s="176">
        <f>IF($A31="","",COUNTIFS(Başvuru!$I:$I,Toplantı!$B$17,Başvuru!$D:$D,$A$31))</f>
        <v>0</v>
      </c>
      <c r="P31" s="176">
        <f>IF($A31="","",COUNTIFS(Başvuru!$I:$I,Toplantı!$B$18,Başvuru!$D:$D,$A$31))</f>
        <v>0</v>
      </c>
      <c r="Q31" s="176">
        <f>IF($A31="","",COUNTIFS(Başvuru!$I:$I,Toplantı!$B$19,Başvuru!$D:$D,$A$31))</f>
        <v>0</v>
      </c>
      <c r="R31" s="176">
        <f>IF($A31="","",COUNTIFS(Başvuru!$I:$I,Toplantı!$B$20,Başvuru!$D:$D,$A$31))</f>
        <v>0</v>
      </c>
      <c r="S31" s="177">
        <f t="shared" si="0"/>
        <v>6</v>
      </c>
    </row>
    <row r="32" spans="1:19" x14ac:dyDescent="0.25">
      <c r="A32" s="175" t="str">
        <f>IF(Birim!C34="","",Birim!C34)</f>
        <v>Ruh Sağlığı ve Hastalıkları Anabilim Dalı</v>
      </c>
      <c r="B32" s="176">
        <f>IF($A32="","",COUNTIFS(Başvuru!$I:$I,Toplantı!$B$4,Başvuru!$D:$D,$A$32))</f>
        <v>0</v>
      </c>
      <c r="C32" s="176">
        <f>IF($A32="","",COUNTIFS(Başvuru!$I:$I,Toplantı!$B$5,Başvuru!$D:$D,$A$32))</f>
        <v>2</v>
      </c>
      <c r="D32" s="176">
        <f>IF($A32="","",COUNTIFS(Başvuru!$I:$I,Toplantı!$B$6,Başvuru!$D:$D,$A$32))</f>
        <v>1</v>
      </c>
      <c r="E32" s="176">
        <f>IF($A32="","",COUNTIFS(Başvuru!$I:$I,Toplantı!$B$7,Başvuru!$D:$D,$A$32))</f>
        <v>0</v>
      </c>
      <c r="F32" s="176">
        <f>IF($A32="","",COUNTIFS(Başvuru!$I:$I,Toplantı!$B$8,Başvuru!$D:$D,$A$32))</f>
        <v>0</v>
      </c>
      <c r="G32" s="176">
        <f>IF($A32="","",COUNTIFS(Başvuru!$I:$I,Toplantı!$B$9,Başvuru!$D:$D,$A$32))</f>
        <v>0</v>
      </c>
      <c r="H32" s="176">
        <f>IF($A32="","",COUNTIFS(Başvuru!$I:$I,Toplantı!$B$10,Başvuru!$D:$D,$A$32))</f>
        <v>0</v>
      </c>
      <c r="I32" s="176">
        <f>IF($A32="","",COUNTIFS(Başvuru!$I:$I,Toplantı!$B$11,Başvuru!$D:$D,$A$32))</f>
        <v>2</v>
      </c>
      <c r="J32" s="176">
        <f>IF($A32="","",COUNTIFS(Başvuru!$I:$I,Toplantı!$B$12,Başvuru!$D:$D,$A$32))</f>
        <v>0</v>
      </c>
      <c r="K32" s="176">
        <f>IF($A32="","",COUNTIFS(Başvuru!$I:$I,Toplantı!$B$13,Başvuru!$D:$D,$A$32))</f>
        <v>0</v>
      </c>
      <c r="L32" s="176">
        <f>IF($A32="","",COUNTIFS(Başvuru!$I:$I,Toplantı!$B$14,Başvuru!$D:$D,$A$32))</f>
        <v>1</v>
      </c>
      <c r="M32" s="176">
        <f>IF($A32="","",COUNTIFS(Başvuru!$I:$I,Toplantı!$B$15,Başvuru!$D:$D,$A$32))</f>
        <v>0</v>
      </c>
      <c r="N32" s="176">
        <f>IF($A32="","",COUNTIFS(Başvuru!$I:$I,Toplantı!$B$16,Başvuru!$D:$D,$A$32))</f>
        <v>0</v>
      </c>
      <c r="O32" s="176">
        <f>IF($A32="","",COUNTIFS(Başvuru!$I:$I,Toplantı!$B$17,Başvuru!$D:$D,$A$32))</f>
        <v>0</v>
      </c>
      <c r="P32" s="176">
        <f>IF($A32="","",COUNTIFS(Başvuru!$I:$I,Toplantı!$B$18,Başvuru!$D:$D,$A$32))</f>
        <v>0</v>
      </c>
      <c r="Q32" s="176">
        <f>IF($A32="","",COUNTIFS(Başvuru!$I:$I,Toplantı!$B$19,Başvuru!$D:$D,$A$32))</f>
        <v>0</v>
      </c>
      <c r="R32" s="176">
        <f>IF($A32="","",COUNTIFS(Başvuru!$I:$I,Toplantı!$B$20,Başvuru!$D:$D,$A$32))</f>
        <v>0</v>
      </c>
      <c r="S32" s="177">
        <f t="shared" si="0"/>
        <v>6</v>
      </c>
    </row>
    <row r="33" spans="1:19" x14ac:dyDescent="0.25">
      <c r="A33" s="175" t="str">
        <f>IF(Birim!C35="","",Birim!C35)</f>
        <v>Sosyal Hizmet Anabilim Dalı</v>
      </c>
      <c r="B33" s="176">
        <f>IF($A33="","",COUNTIFS(Başvuru!$I:$I,Toplantı!$B$4,Başvuru!$D:$D,$A$33))</f>
        <v>0</v>
      </c>
      <c r="C33" s="176">
        <f>IF($A33="","",COUNTIFS(Başvuru!$I:$I,Toplantı!$B$5,Başvuru!$D:$D,$A$33))</f>
        <v>2</v>
      </c>
      <c r="D33" s="176">
        <f>IF($A33="","",COUNTIFS(Başvuru!$I:$I,Toplantı!$B$6,Başvuru!$D:$D,$A$33))</f>
        <v>0</v>
      </c>
      <c r="E33" s="176">
        <f>IF($A33="","",COUNTIFS(Başvuru!$I:$I,Toplantı!$B$7,Başvuru!$D:$D,$A$33))</f>
        <v>1</v>
      </c>
      <c r="F33" s="176">
        <f>IF($A33="","",COUNTIFS(Başvuru!$I:$I,Toplantı!$B$8,Başvuru!$D:$D,$A$33))</f>
        <v>0</v>
      </c>
      <c r="G33" s="176">
        <f>IF($A33="","",COUNTIFS(Başvuru!$I:$I,Toplantı!$B$9,Başvuru!$D:$D,$A$33))</f>
        <v>0</v>
      </c>
      <c r="H33" s="176">
        <f>IF($A33="","",COUNTIFS(Başvuru!$I:$I,Toplantı!$B$10,Başvuru!$D:$D,$A$33))</f>
        <v>0</v>
      </c>
      <c r="I33" s="176">
        <f>IF($A33="","",COUNTIFS(Başvuru!$I:$I,Toplantı!$B$11,Başvuru!$D:$D,$A$33))</f>
        <v>1</v>
      </c>
      <c r="J33" s="176">
        <f>IF($A33="","",COUNTIFS(Başvuru!$I:$I,Toplantı!$B$12,Başvuru!$D:$D,$A$33))</f>
        <v>0</v>
      </c>
      <c r="K33" s="176">
        <f>IF($A33="","",COUNTIFS(Başvuru!$I:$I,Toplantı!$B$13,Başvuru!$D:$D,$A$33))</f>
        <v>0</v>
      </c>
      <c r="L33" s="176">
        <f>IF($A33="","",COUNTIFS(Başvuru!$I:$I,Toplantı!$B$14,Başvuru!$D:$D,$A$33))</f>
        <v>0</v>
      </c>
      <c r="M33" s="176">
        <f>IF($A33="","",COUNTIFS(Başvuru!$I:$I,Toplantı!$B$15,Başvuru!$D:$D,$A$33))</f>
        <v>1</v>
      </c>
      <c r="N33" s="176">
        <f>IF($A33="","",COUNTIFS(Başvuru!$I:$I,Toplantı!$B$16,Başvuru!$D:$D,$A$33))</f>
        <v>0</v>
      </c>
      <c r="O33" s="176">
        <f>IF($A33="","",COUNTIFS(Başvuru!$I:$I,Toplantı!$B$17,Başvuru!$D:$D,$A$33))</f>
        <v>1</v>
      </c>
      <c r="P33" s="176">
        <f>IF($A33="","",COUNTIFS(Başvuru!$I:$I,Toplantı!$B$18,Başvuru!$D:$D,$A$33))</f>
        <v>0</v>
      </c>
      <c r="Q33" s="176">
        <f>IF($A33="","",COUNTIFS(Başvuru!$I:$I,Toplantı!$B$19,Başvuru!$D:$D,$A$33))</f>
        <v>0</v>
      </c>
      <c r="R33" s="176">
        <f>IF($A33="","",COUNTIFS(Başvuru!$I:$I,Toplantı!$B$20,Başvuru!$D:$D,$A$33))</f>
        <v>0</v>
      </c>
      <c r="S33" s="177">
        <f t="shared" si="0"/>
        <v>6</v>
      </c>
    </row>
    <row r="34" spans="1:19" x14ac:dyDescent="0.25">
      <c r="A34" s="175" t="str">
        <f>IF(Birim!C36="","",Birim!C36)</f>
        <v>Hareket ve Antrenman Bilimleri Anabilim Dalı</v>
      </c>
      <c r="B34" s="176">
        <f>IF($A34="","",COUNTIFS(Başvuru!$I:$I,Toplantı!$B$4,Başvuru!$D:$D,$A$34))</f>
        <v>0</v>
      </c>
      <c r="C34" s="176">
        <f>IF($A34="","",COUNTIFS(Başvuru!$I:$I,Toplantı!$B$5,Başvuru!$D:$D,$A$34))</f>
        <v>0</v>
      </c>
      <c r="D34" s="176">
        <f>IF($A34="","",COUNTIFS(Başvuru!$I:$I,Toplantı!$B$6,Başvuru!$D:$D,$A$34))</f>
        <v>2</v>
      </c>
      <c r="E34" s="176">
        <f>IF($A34="","",COUNTIFS(Başvuru!$I:$I,Toplantı!$B$7,Başvuru!$D:$D,$A$34))</f>
        <v>0</v>
      </c>
      <c r="F34" s="176">
        <f>IF($A34="","",COUNTIFS(Başvuru!$I:$I,Toplantı!$B$8,Başvuru!$D:$D,$A$34))</f>
        <v>0</v>
      </c>
      <c r="G34" s="176">
        <f>IF($A34="","",COUNTIFS(Başvuru!$I:$I,Toplantı!$B$9,Başvuru!$D:$D,$A$34))</f>
        <v>0</v>
      </c>
      <c r="H34" s="176">
        <f>IF($A34="","",COUNTIFS(Başvuru!$I:$I,Toplantı!$B$10,Başvuru!$D:$D,$A$34))</f>
        <v>0</v>
      </c>
      <c r="I34" s="176">
        <f>IF($A34="","",COUNTIFS(Başvuru!$I:$I,Toplantı!$B$11,Başvuru!$D:$D,$A$34))</f>
        <v>1</v>
      </c>
      <c r="J34" s="176">
        <f>IF($A34="","",COUNTIFS(Başvuru!$I:$I,Toplantı!$B$12,Başvuru!$D:$D,$A$34))</f>
        <v>0</v>
      </c>
      <c r="K34" s="176">
        <f>IF($A34="","",COUNTIFS(Başvuru!$I:$I,Toplantı!$B$13,Başvuru!$D:$D,$A$34))</f>
        <v>0</v>
      </c>
      <c r="L34" s="176">
        <f>IF($A34="","",COUNTIFS(Başvuru!$I:$I,Toplantı!$B$14,Başvuru!$D:$D,$A$34))</f>
        <v>0</v>
      </c>
      <c r="M34" s="176">
        <f>IF($A34="","",COUNTIFS(Başvuru!$I:$I,Toplantı!$B$15,Başvuru!$D:$D,$A$34))</f>
        <v>0</v>
      </c>
      <c r="N34" s="176">
        <f>IF($A34="","",COUNTIFS(Başvuru!$I:$I,Toplantı!$B$16,Başvuru!$D:$D,$A$34))</f>
        <v>0</v>
      </c>
      <c r="O34" s="176">
        <f>IF($A34="","",COUNTIFS(Başvuru!$I:$I,Toplantı!$B$17,Başvuru!$D:$D,$A$34))</f>
        <v>3</v>
      </c>
      <c r="P34" s="176">
        <f>IF($A34="","",COUNTIFS(Başvuru!$I:$I,Toplantı!$B$18,Başvuru!$D:$D,$A$34))</f>
        <v>0</v>
      </c>
      <c r="Q34" s="176">
        <f>IF($A34="","",COUNTIFS(Başvuru!$I:$I,Toplantı!$B$19,Başvuru!$D:$D,$A$34))</f>
        <v>0</v>
      </c>
      <c r="R34" s="176">
        <f>IF($A34="","",COUNTIFS(Başvuru!$I:$I,Toplantı!$B$20,Başvuru!$D:$D,$A$34))</f>
        <v>0</v>
      </c>
      <c r="S34" s="177">
        <f t="shared" si="0"/>
        <v>6</v>
      </c>
    </row>
    <row r="35" spans="1:19" x14ac:dyDescent="0.25">
      <c r="A35" s="175" t="str">
        <f>IF(Birim!C37="","",Birim!C37)</f>
        <v>Tıbbi Patoloji Anabilim Dalı</v>
      </c>
      <c r="B35" s="176">
        <f>IF($A35="","",COUNTIFS(Başvuru!$I:$I,Toplantı!$B$4,Başvuru!$D:$D,$A$35))</f>
        <v>0</v>
      </c>
      <c r="C35" s="176">
        <f>IF($A35="","",COUNTIFS(Başvuru!$I:$I,Toplantı!$B$5,Başvuru!$D:$D,$A$35))</f>
        <v>0</v>
      </c>
      <c r="D35" s="176">
        <f>IF($A35="","",COUNTIFS(Başvuru!$I:$I,Toplantı!$B$6,Başvuru!$D:$D,$A$35))</f>
        <v>0</v>
      </c>
      <c r="E35" s="176">
        <f>IF($A35="","",COUNTIFS(Başvuru!$I:$I,Toplantı!$B$7,Başvuru!$D:$D,$A$35))</f>
        <v>0</v>
      </c>
      <c r="F35" s="176">
        <f>IF($A35="","",COUNTIFS(Başvuru!$I:$I,Toplantı!$B$8,Başvuru!$D:$D,$A$35))</f>
        <v>0</v>
      </c>
      <c r="G35" s="176">
        <f>IF($A35="","",COUNTIFS(Başvuru!$I:$I,Toplantı!$B$9,Başvuru!$D:$D,$A$35))</f>
        <v>0</v>
      </c>
      <c r="H35" s="176">
        <f>IF($A35="","",COUNTIFS(Başvuru!$I:$I,Toplantı!$B$10,Başvuru!$D:$D,$A$35))</f>
        <v>1</v>
      </c>
      <c r="I35" s="176">
        <f>IF($A35="","",COUNTIFS(Başvuru!$I:$I,Toplantı!$B$11,Başvuru!$D:$D,$A$35))</f>
        <v>2</v>
      </c>
      <c r="J35" s="176">
        <f>IF($A35="","",COUNTIFS(Başvuru!$I:$I,Toplantı!$B$12,Başvuru!$D:$D,$A$35))</f>
        <v>0</v>
      </c>
      <c r="K35" s="176">
        <f>IF($A35="","",COUNTIFS(Başvuru!$I:$I,Toplantı!$B$13,Başvuru!$D:$D,$A$35))</f>
        <v>1</v>
      </c>
      <c r="L35" s="176">
        <f>IF($A35="","",COUNTIFS(Başvuru!$I:$I,Toplantı!$B$14,Başvuru!$D:$D,$A$35))</f>
        <v>0</v>
      </c>
      <c r="M35" s="176">
        <f>IF($A35="","",COUNTIFS(Başvuru!$I:$I,Toplantı!$B$15,Başvuru!$D:$D,$A$35))</f>
        <v>0</v>
      </c>
      <c r="N35" s="176">
        <f>IF($A35="","",COUNTIFS(Başvuru!$I:$I,Toplantı!$B$16,Başvuru!$D:$D,$A$35))</f>
        <v>2</v>
      </c>
      <c r="O35" s="176">
        <f>IF($A35="","",COUNTIFS(Başvuru!$I:$I,Toplantı!$B$17,Başvuru!$D:$D,$A$35))</f>
        <v>0</v>
      </c>
      <c r="P35" s="176">
        <f>IF($A35="","",COUNTIFS(Başvuru!$I:$I,Toplantı!$B$18,Başvuru!$D:$D,$A$35))</f>
        <v>0</v>
      </c>
      <c r="Q35" s="176">
        <f>IF($A35="","",COUNTIFS(Başvuru!$I:$I,Toplantı!$B$19,Başvuru!$D:$D,$A$35))</f>
        <v>0</v>
      </c>
      <c r="R35" s="176">
        <f>IF($A35="","",COUNTIFS(Başvuru!$I:$I,Toplantı!$B$20,Başvuru!$D:$D,$A$35))</f>
        <v>0</v>
      </c>
      <c r="S35" s="177">
        <f t="shared" si="0"/>
        <v>6</v>
      </c>
    </row>
    <row r="36" spans="1:19" x14ac:dyDescent="0.25">
      <c r="A36" s="175" t="str">
        <f>IF(Birim!C38="","",Birim!C38)</f>
        <v>Histoloji ve Embriyoloji Anabilim Dalı</v>
      </c>
      <c r="B36" s="176">
        <f>IF($A36="","",COUNTIFS(Başvuru!$I:$I,Toplantı!$B$4,Başvuru!$D:$D,$A$36))</f>
        <v>2</v>
      </c>
      <c r="C36" s="176">
        <f>IF($A36="","",COUNTIFS(Başvuru!$I:$I,Toplantı!$B$5,Başvuru!$D:$D,$A$36))</f>
        <v>0</v>
      </c>
      <c r="D36" s="176">
        <f>IF($A36="","",COUNTIFS(Başvuru!$I:$I,Toplantı!$B$6,Başvuru!$D:$D,$A$36))</f>
        <v>0</v>
      </c>
      <c r="E36" s="176">
        <f>IF($A36="","",COUNTIFS(Başvuru!$I:$I,Toplantı!$B$7,Başvuru!$D:$D,$A$36))</f>
        <v>0</v>
      </c>
      <c r="F36" s="176">
        <f>IF($A36="","",COUNTIFS(Başvuru!$I:$I,Toplantı!$B$8,Başvuru!$D:$D,$A$36))</f>
        <v>0</v>
      </c>
      <c r="G36" s="176">
        <f>IF($A36="","",COUNTIFS(Başvuru!$I:$I,Toplantı!$B$9,Başvuru!$D:$D,$A$36))</f>
        <v>0</v>
      </c>
      <c r="H36" s="176">
        <f>IF($A36="","",COUNTIFS(Başvuru!$I:$I,Toplantı!$B$10,Başvuru!$D:$D,$A$36))</f>
        <v>1</v>
      </c>
      <c r="I36" s="176">
        <f>IF($A36="","",COUNTIFS(Başvuru!$I:$I,Toplantı!$B$11,Başvuru!$D:$D,$A$36))</f>
        <v>0</v>
      </c>
      <c r="J36" s="176">
        <f>IF($A36="","",COUNTIFS(Başvuru!$I:$I,Toplantı!$B$12,Başvuru!$D:$D,$A$36))</f>
        <v>1</v>
      </c>
      <c r="K36" s="176">
        <f>IF($A36="","",COUNTIFS(Başvuru!$I:$I,Toplantı!$B$13,Başvuru!$D:$D,$A$36))</f>
        <v>0</v>
      </c>
      <c r="L36" s="176">
        <f>IF($A36="","",COUNTIFS(Başvuru!$I:$I,Toplantı!$B$14,Başvuru!$D:$D,$A$36))</f>
        <v>1</v>
      </c>
      <c r="M36" s="176">
        <f>IF($A36="","",COUNTIFS(Başvuru!$I:$I,Toplantı!$B$15,Başvuru!$D:$D,$A$36))</f>
        <v>0</v>
      </c>
      <c r="N36" s="176">
        <f>IF($A36="","",COUNTIFS(Başvuru!$I:$I,Toplantı!$B$16,Başvuru!$D:$D,$A$36))</f>
        <v>0</v>
      </c>
      <c r="O36" s="176">
        <f>IF($A36="","",COUNTIFS(Başvuru!$I:$I,Toplantı!$B$17,Başvuru!$D:$D,$A$36))</f>
        <v>0</v>
      </c>
      <c r="P36" s="176">
        <f>IF($A36="","",COUNTIFS(Başvuru!$I:$I,Toplantı!$B$18,Başvuru!$D:$D,$A$36))</f>
        <v>0</v>
      </c>
      <c r="Q36" s="176">
        <f>IF($A36="","",COUNTIFS(Başvuru!$I:$I,Toplantı!$B$19,Başvuru!$D:$D,$A$36))</f>
        <v>0</v>
      </c>
      <c r="R36" s="176">
        <f>IF($A36="","",COUNTIFS(Başvuru!$I:$I,Toplantı!$B$20,Başvuru!$D:$D,$A$36))</f>
        <v>0</v>
      </c>
      <c r="S36" s="177">
        <f t="shared" ref="S36:S67" si="1">SUM(B36:R36)</f>
        <v>5</v>
      </c>
    </row>
    <row r="37" spans="1:19" x14ac:dyDescent="0.25">
      <c r="A37" s="175" t="str">
        <f>IF(Birim!C39="","",Birim!C39)</f>
        <v>Göğüs Cerrahisi Anabilim Dalı</v>
      </c>
      <c r="B37" s="176">
        <f>IF($A37="","",COUNTIFS(Başvuru!$I:$I,Toplantı!$B$4,Başvuru!$D:$D,$A$37))</f>
        <v>1</v>
      </c>
      <c r="C37" s="176">
        <f>IF($A37="","",COUNTIFS(Başvuru!$I:$I,Toplantı!$B$5,Başvuru!$D:$D,$A$37))</f>
        <v>1</v>
      </c>
      <c r="D37" s="176">
        <f>IF($A37="","",COUNTIFS(Başvuru!$I:$I,Toplantı!$B$6,Başvuru!$D:$D,$A$37))</f>
        <v>1</v>
      </c>
      <c r="E37" s="176">
        <f>IF($A37="","",COUNTIFS(Başvuru!$I:$I,Toplantı!$B$7,Başvuru!$D:$D,$A$37))</f>
        <v>0</v>
      </c>
      <c r="F37" s="176">
        <f>IF($A37="","",COUNTIFS(Başvuru!$I:$I,Toplantı!$B$8,Başvuru!$D:$D,$A$37))</f>
        <v>0</v>
      </c>
      <c r="G37" s="176">
        <f>IF($A37="","",COUNTIFS(Başvuru!$I:$I,Toplantı!$B$9,Başvuru!$D:$D,$A$37))</f>
        <v>0</v>
      </c>
      <c r="H37" s="176">
        <f>IF($A37="","",COUNTIFS(Başvuru!$I:$I,Toplantı!$B$10,Başvuru!$D:$D,$A$37))</f>
        <v>0</v>
      </c>
      <c r="I37" s="176">
        <f>IF($A37="","",COUNTIFS(Başvuru!$I:$I,Toplantı!$B$11,Başvuru!$D:$D,$A$37))</f>
        <v>0</v>
      </c>
      <c r="J37" s="176">
        <f>IF($A37="","",COUNTIFS(Başvuru!$I:$I,Toplantı!$B$12,Başvuru!$D:$D,$A$37))</f>
        <v>0</v>
      </c>
      <c r="K37" s="176">
        <f>IF($A37="","",COUNTIFS(Başvuru!$I:$I,Toplantı!$B$13,Başvuru!$D:$D,$A$37))</f>
        <v>0</v>
      </c>
      <c r="L37" s="176">
        <f>IF($A37="","",COUNTIFS(Başvuru!$I:$I,Toplantı!$B$14,Başvuru!$D:$D,$A$37))</f>
        <v>0</v>
      </c>
      <c r="M37" s="176">
        <f>IF($A37="","",COUNTIFS(Başvuru!$I:$I,Toplantı!$B$15,Başvuru!$D:$D,$A$37))</f>
        <v>0</v>
      </c>
      <c r="N37" s="176">
        <f>IF($A37="","",COUNTIFS(Başvuru!$I:$I,Toplantı!$B$16,Başvuru!$D:$D,$A$37))</f>
        <v>0</v>
      </c>
      <c r="O37" s="176">
        <f>IF($A37="","",COUNTIFS(Başvuru!$I:$I,Toplantı!$B$17,Başvuru!$D:$D,$A$37))</f>
        <v>2</v>
      </c>
      <c r="P37" s="176">
        <f>IF($A37="","",COUNTIFS(Başvuru!$I:$I,Toplantı!$B$18,Başvuru!$D:$D,$A$37))</f>
        <v>0</v>
      </c>
      <c r="Q37" s="176">
        <f>IF($A37="","",COUNTIFS(Başvuru!$I:$I,Toplantı!$B$19,Başvuru!$D:$D,$A$37))</f>
        <v>0</v>
      </c>
      <c r="R37" s="176">
        <f>IF($A37="","",COUNTIFS(Başvuru!$I:$I,Toplantı!$B$20,Başvuru!$D:$D,$A$37))</f>
        <v>0</v>
      </c>
      <c r="S37" s="177">
        <f t="shared" si="1"/>
        <v>5</v>
      </c>
    </row>
    <row r="38" spans="1:19" x14ac:dyDescent="0.25">
      <c r="A38" s="175" t="str">
        <f>IF(Birim!C40="","",Birim!C40)</f>
        <v>Halk Sağlığı Anabilim Dalı</v>
      </c>
      <c r="B38" s="176">
        <f>IF($A38="","",COUNTIFS(Başvuru!$I:$I,Toplantı!$B$4,Başvuru!$D:$D,$A$38))</f>
        <v>1</v>
      </c>
      <c r="C38" s="176">
        <f>IF($A38="","",COUNTIFS(Başvuru!$I:$I,Toplantı!$B$5,Başvuru!$D:$D,$A$38))</f>
        <v>0</v>
      </c>
      <c r="D38" s="176">
        <f>IF($A38="","",COUNTIFS(Başvuru!$I:$I,Toplantı!$B$6,Başvuru!$D:$D,$A$38))</f>
        <v>0</v>
      </c>
      <c r="E38" s="176">
        <f>IF($A38="","",COUNTIFS(Başvuru!$I:$I,Toplantı!$B$7,Başvuru!$D:$D,$A$38))</f>
        <v>1</v>
      </c>
      <c r="F38" s="176">
        <f>IF($A38="","",COUNTIFS(Başvuru!$I:$I,Toplantı!$B$8,Başvuru!$D:$D,$A$38))</f>
        <v>0</v>
      </c>
      <c r="G38" s="176">
        <f>IF($A38="","",COUNTIFS(Başvuru!$I:$I,Toplantı!$B$9,Başvuru!$D:$D,$A$38))</f>
        <v>0</v>
      </c>
      <c r="H38" s="176">
        <f>IF($A38="","",COUNTIFS(Başvuru!$I:$I,Toplantı!$B$10,Başvuru!$D:$D,$A$38))</f>
        <v>1</v>
      </c>
      <c r="I38" s="176">
        <f>IF($A38="","",COUNTIFS(Başvuru!$I:$I,Toplantı!$B$11,Başvuru!$D:$D,$A$38))</f>
        <v>0</v>
      </c>
      <c r="J38" s="176">
        <f>IF($A38="","",COUNTIFS(Başvuru!$I:$I,Toplantı!$B$12,Başvuru!$D:$D,$A$38))</f>
        <v>2</v>
      </c>
      <c r="K38" s="176">
        <f>IF($A38="","",COUNTIFS(Başvuru!$I:$I,Toplantı!$B$13,Başvuru!$D:$D,$A$38))</f>
        <v>0</v>
      </c>
      <c r="L38" s="176">
        <f>IF($A38="","",COUNTIFS(Başvuru!$I:$I,Toplantı!$B$14,Başvuru!$D:$D,$A$38))</f>
        <v>0</v>
      </c>
      <c r="M38" s="176">
        <f>IF($A38="","",COUNTIFS(Başvuru!$I:$I,Toplantı!$B$15,Başvuru!$D:$D,$A$38))</f>
        <v>0</v>
      </c>
      <c r="N38" s="176">
        <f>IF($A38="","",COUNTIFS(Başvuru!$I:$I,Toplantı!$B$16,Başvuru!$D:$D,$A$38))</f>
        <v>0</v>
      </c>
      <c r="O38" s="176">
        <f>IF($A38="","",COUNTIFS(Başvuru!$I:$I,Toplantı!$B$17,Başvuru!$D:$D,$A$38))</f>
        <v>0</v>
      </c>
      <c r="P38" s="176">
        <f>IF($A38="","",COUNTIFS(Başvuru!$I:$I,Toplantı!$B$18,Başvuru!$D:$D,$A$38))</f>
        <v>0</v>
      </c>
      <c r="Q38" s="176">
        <f>IF($A38="","",COUNTIFS(Başvuru!$I:$I,Toplantı!$B$19,Başvuru!$D:$D,$A$38))</f>
        <v>0</v>
      </c>
      <c r="R38" s="176">
        <f>IF($A38="","",COUNTIFS(Başvuru!$I:$I,Toplantı!$B$20,Başvuru!$D:$D,$A$38))</f>
        <v>0</v>
      </c>
      <c r="S38" s="177">
        <f t="shared" si="1"/>
        <v>5</v>
      </c>
    </row>
    <row r="39" spans="1:19" x14ac:dyDescent="0.25">
      <c r="A39" s="175" t="str">
        <f>IF(Birim!C41="","",Birim!C41)</f>
        <v>Spor Hekimliği Anabilim Dalı</v>
      </c>
      <c r="B39" s="176">
        <f>IF($A39="","",COUNTIFS(Başvuru!$I:$I,Toplantı!$B$4,Başvuru!$D:$D,$A$39))</f>
        <v>2</v>
      </c>
      <c r="C39" s="176">
        <f>IF($A39="","",COUNTIFS(Başvuru!$I:$I,Toplantı!$B$5,Başvuru!$D:$D,$A$39))</f>
        <v>0</v>
      </c>
      <c r="D39" s="176">
        <f>IF($A39="","",COUNTIFS(Başvuru!$I:$I,Toplantı!$B$6,Başvuru!$D:$D,$A$39))</f>
        <v>1</v>
      </c>
      <c r="E39" s="176">
        <f>IF($A39="","",COUNTIFS(Başvuru!$I:$I,Toplantı!$B$7,Başvuru!$D:$D,$A$39))</f>
        <v>0</v>
      </c>
      <c r="F39" s="176">
        <f>IF($A39="","",COUNTIFS(Başvuru!$I:$I,Toplantı!$B$8,Başvuru!$D:$D,$A$39))</f>
        <v>0</v>
      </c>
      <c r="G39" s="176">
        <f>IF($A39="","",COUNTIFS(Başvuru!$I:$I,Toplantı!$B$9,Başvuru!$D:$D,$A$39))</f>
        <v>0</v>
      </c>
      <c r="H39" s="176">
        <f>IF($A39="","",COUNTIFS(Başvuru!$I:$I,Toplantı!$B$10,Başvuru!$D:$D,$A$39))</f>
        <v>0</v>
      </c>
      <c r="I39" s="176">
        <f>IF($A39="","",COUNTIFS(Başvuru!$I:$I,Toplantı!$B$11,Başvuru!$D:$D,$A$39))</f>
        <v>0</v>
      </c>
      <c r="J39" s="176">
        <f>IF($A39="","",COUNTIFS(Başvuru!$I:$I,Toplantı!$B$12,Başvuru!$D:$D,$A$39))</f>
        <v>0</v>
      </c>
      <c r="K39" s="176">
        <f>IF($A39="","",COUNTIFS(Başvuru!$I:$I,Toplantı!$B$13,Başvuru!$D:$D,$A$39))</f>
        <v>0</v>
      </c>
      <c r="L39" s="176">
        <f>IF($A39="","",COUNTIFS(Başvuru!$I:$I,Toplantı!$B$14,Başvuru!$D:$D,$A$39))</f>
        <v>0</v>
      </c>
      <c r="M39" s="176">
        <f>IF($A39="","",COUNTIFS(Başvuru!$I:$I,Toplantı!$B$15,Başvuru!$D:$D,$A$39))</f>
        <v>0</v>
      </c>
      <c r="N39" s="176">
        <f>IF($A39="","",COUNTIFS(Başvuru!$I:$I,Toplantı!$B$16,Başvuru!$D:$D,$A$39))</f>
        <v>0</v>
      </c>
      <c r="O39" s="176">
        <f>IF($A39="","",COUNTIFS(Başvuru!$I:$I,Toplantı!$B$17,Başvuru!$D:$D,$A$39))</f>
        <v>0</v>
      </c>
      <c r="P39" s="176">
        <f>IF($A39="","",COUNTIFS(Başvuru!$I:$I,Toplantı!$B$18,Başvuru!$D:$D,$A$39))</f>
        <v>1</v>
      </c>
      <c r="Q39" s="176">
        <f>IF($A39="","",COUNTIFS(Başvuru!$I:$I,Toplantı!$B$19,Başvuru!$D:$D,$A$39))</f>
        <v>0</v>
      </c>
      <c r="R39" s="176">
        <f>IF($A39="","",COUNTIFS(Başvuru!$I:$I,Toplantı!$B$20,Başvuru!$D:$D,$A$39))</f>
        <v>0</v>
      </c>
      <c r="S39" s="177">
        <f t="shared" si="1"/>
        <v>4</v>
      </c>
    </row>
    <row r="40" spans="1:19" x14ac:dyDescent="0.25">
      <c r="A40" s="175" t="str">
        <f>IF(Birim!C42="","",Birim!C42)</f>
        <v>Restoratif Diş Tedavisi Anabilim Dalı</v>
      </c>
      <c r="B40" s="176">
        <f>IF($A40="","",COUNTIFS(Başvuru!$I:$I,Toplantı!$B$4,Başvuru!$D:$D,$A$40))</f>
        <v>0</v>
      </c>
      <c r="C40" s="176">
        <f>IF($A40="","",COUNTIFS(Başvuru!$I:$I,Toplantı!$B$5,Başvuru!$D:$D,$A$40))</f>
        <v>0</v>
      </c>
      <c r="D40" s="176">
        <f>IF($A40="","",COUNTIFS(Başvuru!$I:$I,Toplantı!$B$6,Başvuru!$D:$D,$A$40))</f>
        <v>0</v>
      </c>
      <c r="E40" s="176">
        <f>IF($A40="","",COUNTIFS(Başvuru!$I:$I,Toplantı!$B$7,Başvuru!$D:$D,$A$40))</f>
        <v>1</v>
      </c>
      <c r="F40" s="176">
        <f>IF($A40="","",COUNTIFS(Başvuru!$I:$I,Toplantı!$B$8,Başvuru!$D:$D,$A$40))</f>
        <v>0</v>
      </c>
      <c r="G40" s="176">
        <f>IF($A40="","",COUNTIFS(Başvuru!$I:$I,Toplantı!$B$9,Başvuru!$D:$D,$A$40))</f>
        <v>0</v>
      </c>
      <c r="H40" s="176">
        <f>IF($A40="","",COUNTIFS(Başvuru!$I:$I,Toplantı!$B$10,Başvuru!$D:$D,$A$40))</f>
        <v>1</v>
      </c>
      <c r="I40" s="176">
        <f>IF($A40="","",COUNTIFS(Başvuru!$I:$I,Toplantı!$B$11,Başvuru!$D:$D,$A$40))</f>
        <v>0</v>
      </c>
      <c r="J40" s="176">
        <f>IF($A40="","",COUNTIFS(Başvuru!$I:$I,Toplantı!$B$12,Başvuru!$D:$D,$A$40))</f>
        <v>0</v>
      </c>
      <c r="K40" s="176">
        <f>IF($A40="","",COUNTIFS(Başvuru!$I:$I,Toplantı!$B$13,Başvuru!$D:$D,$A$40))</f>
        <v>0</v>
      </c>
      <c r="L40" s="176">
        <f>IF($A40="","",COUNTIFS(Başvuru!$I:$I,Toplantı!$B$14,Başvuru!$D:$D,$A$40))</f>
        <v>0</v>
      </c>
      <c r="M40" s="176">
        <f>IF($A40="","",COUNTIFS(Başvuru!$I:$I,Toplantı!$B$15,Başvuru!$D:$D,$A$40))</f>
        <v>0</v>
      </c>
      <c r="N40" s="176">
        <f>IF($A40="","",COUNTIFS(Başvuru!$I:$I,Toplantı!$B$16,Başvuru!$D:$D,$A$40))</f>
        <v>0</v>
      </c>
      <c r="O40" s="176">
        <f>IF($A40="","",COUNTIFS(Başvuru!$I:$I,Toplantı!$B$17,Başvuru!$D:$D,$A$40))</f>
        <v>1</v>
      </c>
      <c r="P40" s="176">
        <f>IF($A40="","",COUNTIFS(Başvuru!$I:$I,Toplantı!$B$18,Başvuru!$D:$D,$A$40))</f>
        <v>0</v>
      </c>
      <c r="Q40" s="176">
        <f>IF($A40="","",COUNTIFS(Başvuru!$I:$I,Toplantı!$B$19,Başvuru!$D:$D,$A$40))</f>
        <v>1</v>
      </c>
      <c r="R40" s="176">
        <f>IF($A40="","",COUNTIFS(Başvuru!$I:$I,Toplantı!$B$20,Başvuru!$D:$D,$A$40))</f>
        <v>0</v>
      </c>
      <c r="S40" s="177">
        <f t="shared" si="1"/>
        <v>4</v>
      </c>
    </row>
    <row r="41" spans="1:19" x14ac:dyDescent="0.25">
      <c r="A41" s="175" t="str">
        <f>IF(Birim!C43="","",Birim!C43)</f>
        <v>Kök Hücre Bilimleri Anabilim Dalı</v>
      </c>
      <c r="B41" s="176">
        <f>IF($A41="","",COUNTIFS(Başvuru!$I:$I,Toplantı!$B$4,Başvuru!$D:$D,$A$41))</f>
        <v>0</v>
      </c>
      <c r="C41" s="176">
        <f>IF($A41="","",COUNTIFS(Başvuru!$I:$I,Toplantı!$B$5,Başvuru!$D:$D,$A$41))</f>
        <v>0</v>
      </c>
      <c r="D41" s="176">
        <f>IF($A41="","",COUNTIFS(Başvuru!$I:$I,Toplantı!$B$6,Başvuru!$D:$D,$A$41))</f>
        <v>0</v>
      </c>
      <c r="E41" s="176">
        <f>IF($A41="","",COUNTIFS(Başvuru!$I:$I,Toplantı!$B$7,Başvuru!$D:$D,$A$41))</f>
        <v>0</v>
      </c>
      <c r="F41" s="176">
        <f>IF($A41="","",COUNTIFS(Başvuru!$I:$I,Toplantı!$B$8,Başvuru!$D:$D,$A$41))</f>
        <v>1</v>
      </c>
      <c r="G41" s="176">
        <f>IF($A41="","",COUNTIFS(Başvuru!$I:$I,Toplantı!$B$9,Başvuru!$D:$D,$A$41))</f>
        <v>0</v>
      </c>
      <c r="H41" s="176">
        <f>IF($A41="","",COUNTIFS(Başvuru!$I:$I,Toplantı!$B$10,Başvuru!$D:$D,$A$41))</f>
        <v>0</v>
      </c>
      <c r="I41" s="176">
        <f>IF($A41="","",COUNTIFS(Başvuru!$I:$I,Toplantı!$B$11,Başvuru!$D:$D,$A$41))</f>
        <v>0</v>
      </c>
      <c r="J41" s="176">
        <f>IF($A41="","",COUNTIFS(Başvuru!$I:$I,Toplantı!$B$12,Başvuru!$D:$D,$A$41))</f>
        <v>0</v>
      </c>
      <c r="K41" s="176">
        <f>IF($A41="","",COUNTIFS(Başvuru!$I:$I,Toplantı!$B$13,Başvuru!$D:$D,$A$41))</f>
        <v>1</v>
      </c>
      <c r="L41" s="176">
        <f>IF($A41="","",COUNTIFS(Başvuru!$I:$I,Toplantı!$B$14,Başvuru!$D:$D,$A$41))</f>
        <v>0</v>
      </c>
      <c r="M41" s="176">
        <f>IF($A41="","",COUNTIFS(Başvuru!$I:$I,Toplantı!$B$15,Başvuru!$D:$D,$A$41))</f>
        <v>0</v>
      </c>
      <c r="N41" s="176">
        <f>IF($A41="","",COUNTIFS(Başvuru!$I:$I,Toplantı!$B$16,Başvuru!$D:$D,$A$41))</f>
        <v>2</v>
      </c>
      <c r="O41" s="176">
        <f>IF($A41="","",COUNTIFS(Başvuru!$I:$I,Toplantı!$B$17,Başvuru!$D:$D,$A$41))</f>
        <v>0</v>
      </c>
      <c r="P41" s="176">
        <f>IF($A41="","",COUNTIFS(Başvuru!$I:$I,Toplantı!$B$18,Başvuru!$D:$D,$A$41))</f>
        <v>0</v>
      </c>
      <c r="Q41" s="176">
        <f>IF($A41="","",COUNTIFS(Başvuru!$I:$I,Toplantı!$B$19,Başvuru!$D:$D,$A$41))</f>
        <v>0</v>
      </c>
      <c r="R41" s="176">
        <f>IF($A41="","",COUNTIFS(Başvuru!$I:$I,Toplantı!$B$20,Başvuru!$D:$D,$A$41))</f>
        <v>0</v>
      </c>
      <c r="S41" s="177">
        <f t="shared" si="1"/>
        <v>4</v>
      </c>
    </row>
    <row r="42" spans="1:19" x14ac:dyDescent="0.25">
      <c r="A42" s="175" t="str">
        <f>IF(Birim!C44="","",Birim!C44)</f>
        <v>Enfeksiyon Hastalıkları ve Klinik Mikrobiyoloji Anabilim Dalı</v>
      </c>
      <c r="B42" s="176">
        <f>IF($A42="","",COUNTIFS(Başvuru!$I:$I,Toplantı!$B$4,Başvuru!$D:$D,$A$42))</f>
        <v>0</v>
      </c>
      <c r="C42" s="176">
        <f>IF($A42="","",COUNTIFS(Başvuru!$I:$I,Toplantı!$B$5,Başvuru!$D:$D,$A$42))</f>
        <v>0</v>
      </c>
      <c r="D42" s="176">
        <f>IF($A42="","",COUNTIFS(Başvuru!$I:$I,Toplantı!$B$6,Başvuru!$D:$D,$A$42))</f>
        <v>0</v>
      </c>
      <c r="E42" s="176">
        <f>IF($A42="","",COUNTIFS(Başvuru!$I:$I,Toplantı!$B$7,Başvuru!$D:$D,$A$42))</f>
        <v>0</v>
      </c>
      <c r="F42" s="176">
        <f>IF($A42="","",COUNTIFS(Başvuru!$I:$I,Toplantı!$B$8,Başvuru!$D:$D,$A$42))</f>
        <v>1</v>
      </c>
      <c r="G42" s="176">
        <f>IF($A42="","",COUNTIFS(Başvuru!$I:$I,Toplantı!$B$9,Başvuru!$D:$D,$A$42))</f>
        <v>0</v>
      </c>
      <c r="H42" s="176">
        <f>IF($A42="","",COUNTIFS(Başvuru!$I:$I,Toplantı!$B$10,Başvuru!$D:$D,$A$42))</f>
        <v>0</v>
      </c>
      <c r="I42" s="176">
        <f>IF($A42="","",COUNTIFS(Başvuru!$I:$I,Toplantı!$B$11,Başvuru!$D:$D,$A$42))</f>
        <v>0</v>
      </c>
      <c r="J42" s="176">
        <f>IF($A42="","",COUNTIFS(Başvuru!$I:$I,Toplantı!$B$12,Başvuru!$D:$D,$A$42))</f>
        <v>1</v>
      </c>
      <c r="K42" s="176">
        <f>IF($A42="","",COUNTIFS(Başvuru!$I:$I,Toplantı!$B$13,Başvuru!$D:$D,$A$42))</f>
        <v>1</v>
      </c>
      <c r="L42" s="176">
        <f>IF($A42="","",COUNTIFS(Başvuru!$I:$I,Toplantı!$B$14,Başvuru!$D:$D,$A$42))</f>
        <v>0</v>
      </c>
      <c r="M42" s="176">
        <f>IF($A42="","",COUNTIFS(Başvuru!$I:$I,Toplantı!$B$15,Başvuru!$D:$D,$A$42))</f>
        <v>0</v>
      </c>
      <c r="N42" s="176">
        <f>IF($A42="","",COUNTIFS(Başvuru!$I:$I,Toplantı!$B$16,Başvuru!$D:$D,$A$42))</f>
        <v>1</v>
      </c>
      <c r="O42" s="176">
        <f>IF($A42="","",COUNTIFS(Başvuru!$I:$I,Toplantı!$B$17,Başvuru!$D:$D,$A$42))</f>
        <v>0</v>
      </c>
      <c r="P42" s="176">
        <f>IF($A42="","",COUNTIFS(Başvuru!$I:$I,Toplantı!$B$18,Başvuru!$D:$D,$A$42))</f>
        <v>0</v>
      </c>
      <c r="Q42" s="176">
        <f>IF($A42="","",COUNTIFS(Başvuru!$I:$I,Toplantı!$B$19,Başvuru!$D:$D,$A$42))</f>
        <v>0</v>
      </c>
      <c r="R42" s="176">
        <f>IF($A42="","",COUNTIFS(Başvuru!$I:$I,Toplantı!$B$20,Başvuru!$D:$D,$A$42))</f>
        <v>0</v>
      </c>
      <c r="S42" s="177">
        <f t="shared" si="1"/>
        <v>4</v>
      </c>
    </row>
    <row r="43" spans="1:19" x14ac:dyDescent="0.25">
      <c r="A43" s="175" t="str">
        <f>IF(Birim!C45="","",Birim!C45)</f>
        <v>Tıp Eğitimi ve Bilişimi Anabilim Dalı</v>
      </c>
      <c r="B43" s="176">
        <f>IF($A43="","",COUNTIFS(Başvuru!$I:$I,Toplantı!$B$4,Başvuru!$D:$D,$A$43))</f>
        <v>1</v>
      </c>
      <c r="C43" s="176">
        <f>IF($A43="","",COUNTIFS(Başvuru!$I:$I,Toplantı!$B$5,Başvuru!$D:$D,$A$43))</f>
        <v>0</v>
      </c>
      <c r="D43" s="176">
        <f>IF($A43="","",COUNTIFS(Başvuru!$I:$I,Toplantı!$B$6,Başvuru!$D:$D,$A$43))</f>
        <v>0</v>
      </c>
      <c r="E43" s="176">
        <f>IF($A43="","",COUNTIFS(Başvuru!$I:$I,Toplantı!$B$7,Başvuru!$D:$D,$A$43))</f>
        <v>0</v>
      </c>
      <c r="F43" s="176">
        <f>IF($A43="","",COUNTIFS(Başvuru!$I:$I,Toplantı!$B$8,Başvuru!$D:$D,$A$43))</f>
        <v>0</v>
      </c>
      <c r="G43" s="176">
        <f>IF($A43="","",COUNTIFS(Başvuru!$I:$I,Toplantı!$B$9,Başvuru!$D:$D,$A$43))</f>
        <v>0</v>
      </c>
      <c r="H43" s="176">
        <f>IF($A43="","",COUNTIFS(Başvuru!$I:$I,Toplantı!$B$10,Başvuru!$D:$D,$A$43))</f>
        <v>0</v>
      </c>
      <c r="I43" s="176">
        <f>IF($A43="","",COUNTIFS(Başvuru!$I:$I,Toplantı!$B$11,Başvuru!$D:$D,$A$43))</f>
        <v>0</v>
      </c>
      <c r="J43" s="176">
        <f>IF($A43="","",COUNTIFS(Başvuru!$I:$I,Toplantı!$B$12,Başvuru!$D:$D,$A$43))</f>
        <v>0</v>
      </c>
      <c r="K43" s="176">
        <f>IF($A43="","",COUNTIFS(Başvuru!$I:$I,Toplantı!$B$13,Başvuru!$D:$D,$A$43))</f>
        <v>1</v>
      </c>
      <c r="L43" s="176">
        <f>IF($A43="","",COUNTIFS(Başvuru!$I:$I,Toplantı!$B$14,Başvuru!$D:$D,$A$43))</f>
        <v>0</v>
      </c>
      <c r="M43" s="176">
        <f>IF($A43="","",COUNTIFS(Başvuru!$I:$I,Toplantı!$B$15,Başvuru!$D:$D,$A$43))</f>
        <v>0</v>
      </c>
      <c r="N43" s="176">
        <f>IF($A43="","",COUNTIFS(Başvuru!$I:$I,Toplantı!$B$16,Başvuru!$D:$D,$A$43))</f>
        <v>0</v>
      </c>
      <c r="O43" s="176">
        <f>IF($A43="","",COUNTIFS(Başvuru!$I:$I,Toplantı!$B$17,Başvuru!$D:$D,$A$43))</f>
        <v>1</v>
      </c>
      <c r="P43" s="176">
        <f>IF($A43="","",COUNTIFS(Başvuru!$I:$I,Toplantı!$B$18,Başvuru!$D:$D,$A$43))</f>
        <v>0</v>
      </c>
      <c r="Q43" s="176">
        <f>IF($A43="","",COUNTIFS(Başvuru!$I:$I,Toplantı!$B$19,Başvuru!$D:$D,$A$43))</f>
        <v>0</v>
      </c>
      <c r="R43" s="176">
        <f>IF($A43="","",COUNTIFS(Başvuru!$I:$I,Toplantı!$B$20,Başvuru!$D:$D,$A$43))</f>
        <v>0</v>
      </c>
      <c r="S43" s="177">
        <f t="shared" si="1"/>
        <v>3</v>
      </c>
    </row>
    <row r="44" spans="1:19" x14ac:dyDescent="0.25">
      <c r="A44" s="175" t="str">
        <f>IF(Birim!C46="","",Birim!C46)</f>
        <v>Pediatrik Temel Bilimler Anabilim Dalı</v>
      </c>
      <c r="B44" s="176">
        <f>IF($A44="","",COUNTIFS(Başvuru!$I:$I,Toplantı!$B$4,Başvuru!$D:$D,$A$44))</f>
        <v>0</v>
      </c>
      <c r="C44" s="176">
        <f>IF($A44="","",COUNTIFS(Başvuru!$I:$I,Toplantı!$B$5,Başvuru!$D:$D,$A$44))</f>
        <v>0</v>
      </c>
      <c r="D44" s="176">
        <f>IF($A44="","",COUNTIFS(Başvuru!$I:$I,Toplantı!$B$6,Başvuru!$D:$D,$A$44))</f>
        <v>1</v>
      </c>
      <c r="E44" s="176">
        <f>IF($A44="","",COUNTIFS(Başvuru!$I:$I,Toplantı!$B$7,Başvuru!$D:$D,$A$44))</f>
        <v>1</v>
      </c>
      <c r="F44" s="176">
        <f>IF($A44="","",COUNTIFS(Başvuru!$I:$I,Toplantı!$B$8,Başvuru!$D:$D,$A$44))</f>
        <v>0</v>
      </c>
      <c r="G44" s="176">
        <f>IF($A44="","",COUNTIFS(Başvuru!$I:$I,Toplantı!$B$9,Başvuru!$D:$D,$A$44))</f>
        <v>0</v>
      </c>
      <c r="H44" s="176">
        <f>IF($A44="","",COUNTIFS(Başvuru!$I:$I,Toplantı!$B$10,Başvuru!$D:$D,$A$44))</f>
        <v>0</v>
      </c>
      <c r="I44" s="176">
        <f>IF($A44="","",COUNTIFS(Başvuru!$I:$I,Toplantı!$B$11,Başvuru!$D:$D,$A$44))</f>
        <v>0</v>
      </c>
      <c r="J44" s="176">
        <f>IF($A44="","",COUNTIFS(Başvuru!$I:$I,Toplantı!$B$12,Başvuru!$D:$D,$A$44))</f>
        <v>0</v>
      </c>
      <c r="K44" s="176">
        <f>IF($A44="","",COUNTIFS(Başvuru!$I:$I,Toplantı!$B$13,Başvuru!$D:$D,$A$44))</f>
        <v>0</v>
      </c>
      <c r="L44" s="176">
        <f>IF($A44="","",COUNTIFS(Başvuru!$I:$I,Toplantı!$B$14,Başvuru!$D:$D,$A$44))</f>
        <v>0</v>
      </c>
      <c r="M44" s="176">
        <f>IF($A44="","",COUNTIFS(Başvuru!$I:$I,Toplantı!$B$15,Başvuru!$D:$D,$A$44))</f>
        <v>0</v>
      </c>
      <c r="N44" s="176">
        <f>IF($A44="","",COUNTIFS(Başvuru!$I:$I,Toplantı!$B$16,Başvuru!$D:$D,$A$44))</f>
        <v>0</v>
      </c>
      <c r="O44" s="176">
        <f>IF($A44="","",COUNTIFS(Başvuru!$I:$I,Toplantı!$B$17,Başvuru!$D:$D,$A$44))</f>
        <v>1</v>
      </c>
      <c r="P44" s="176">
        <f>IF($A44="","",COUNTIFS(Başvuru!$I:$I,Toplantı!$B$18,Başvuru!$D:$D,$A$44))</f>
        <v>0</v>
      </c>
      <c r="Q44" s="176">
        <f>IF($A44="","",COUNTIFS(Başvuru!$I:$I,Toplantı!$B$19,Başvuru!$D:$D,$A$44))</f>
        <v>0</v>
      </c>
      <c r="R44" s="176">
        <f>IF($A44="","",COUNTIFS(Başvuru!$I:$I,Toplantı!$B$20,Başvuru!$D:$D,$A$44))</f>
        <v>0</v>
      </c>
      <c r="S44" s="177">
        <f t="shared" si="1"/>
        <v>3</v>
      </c>
    </row>
    <row r="45" spans="1:19" x14ac:dyDescent="0.25">
      <c r="A45" s="175" t="str">
        <f>IF(Birim!C47="","",Birim!C47)</f>
        <v>Pedodonti Anabilim Dalı</v>
      </c>
      <c r="B45" s="176">
        <f>IF($A45="","",COUNTIFS(Başvuru!$I:$I,Toplantı!$B$4,Başvuru!$D:$D,$A$45))</f>
        <v>0</v>
      </c>
      <c r="C45" s="176">
        <f>IF($A45="","",COUNTIFS(Başvuru!$I:$I,Toplantı!$B$5,Başvuru!$D:$D,$A$45))</f>
        <v>0</v>
      </c>
      <c r="D45" s="176">
        <f>IF($A45="","",COUNTIFS(Başvuru!$I:$I,Toplantı!$B$6,Başvuru!$D:$D,$A$45))</f>
        <v>0</v>
      </c>
      <c r="E45" s="176">
        <f>IF($A45="","",COUNTIFS(Başvuru!$I:$I,Toplantı!$B$7,Başvuru!$D:$D,$A$45))</f>
        <v>0</v>
      </c>
      <c r="F45" s="176">
        <f>IF($A45="","",COUNTIFS(Başvuru!$I:$I,Toplantı!$B$8,Başvuru!$D:$D,$A$45))</f>
        <v>0</v>
      </c>
      <c r="G45" s="176">
        <f>IF($A45="","",COUNTIFS(Başvuru!$I:$I,Toplantı!$B$9,Başvuru!$D:$D,$A$45))</f>
        <v>0</v>
      </c>
      <c r="H45" s="176">
        <f>IF($A45="","",COUNTIFS(Başvuru!$I:$I,Toplantı!$B$10,Başvuru!$D:$D,$A$45))</f>
        <v>0</v>
      </c>
      <c r="I45" s="176">
        <f>IF($A45="","",COUNTIFS(Başvuru!$I:$I,Toplantı!$B$11,Başvuru!$D:$D,$A$45))</f>
        <v>1</v>
      </c>
      <c r="J45" s="176">
        <f>IF($A45="","",COUNTIFS(Başvuru!$I:$I,Toplantı!$B$12,Başvuru!$D:$D,$A$45))</f>
        <v>0</v>
      </c>
      <c r="K45" s="176">
        <f>IF($A45="","",COUNTIFS(Başvuru!$I:$I,Toplantı!$B$13,Başvuru!$D:$D,$A$45))</f>
        <v>1</v>
      </c>
      <c r="L45" s="176">
        <f>IF($A45="","",COUNTIFS(Başvuru!$I:$I,Toplantı!$B$14,Başvuru!$D:$D,$A$45))</f>
        <v>0</v>
      </c>
      <c r="M45" s="176">
        <f>IF($A45="","",COUNTIFS(Başvuru!$I:$I,Toplantı!$B$15,Başvuru!$D:$D,$A$45))</f>
        <v>0</v>
      </c>
      <c r="N45" s="176">
        <f>IF($A45="","",COUNTIFS(Başvuru!$I:$I,Toplantı!$B$16,Başvuru!$D:$D,$A$45))</f>
        <v>0</v>
      </c>
      <c r="O45" s="176">
        <f>IF($A45="","",COUNTIFS(Başvuru!$I:$I,Toplantı!$B$17,Başvuru!$D:$D,$A$45))</f>
        <v>0</v>
      </c>
      <c r="P45" s="176">
        <f>IF($A45="","",COUNTIFS(Başvuru!$I:$I,Toplantı!$B$18,Başvuru!$D:$D,$A$45))</f>
        <v>1</v>
      </c>
      <c r="Q45" s="176">
        <f>IF($A45="","",COUNTIFS(Başvuru!$I:$I,Toplantı!$B$19,Başvuru!$D:$D,$A$45))</f>
        <v>0</v>
      </c>
      <c r="R45" s="176">
        <f>IF($A45="","",COUNTIFS(Başvuru!$I:$I,Toplantı!$B$20,Başvuru!$D:$D,$A$45))</f>
        <v>0</v>
      </c>
      <c r="S45" s="177">
        <f t="shared" si="1"/>
        <v>3</v>
      </c>
    </row>
    <row r="46" spans="1:19" x14ac:dyDescent="0.25">
      <c r="A46" s="175" t="str">
        <f>IF(Birim!C48="","",Birim!C48)</f>
        <v>Tıbbi Biyokimya Anabilim Dalı</v>
      </c>
      <c r="B46" s="176">
        <f>IF($A46="","",COUNTIFS(Başvuru!$I:$I,Toplantı!$B$4,Başvuru!$D:$D,$A$46))</f>
        <v>0</v>
      </c>
      <c r="C46" s="176">
        <f>IF($A46="","",COUNTIFS(Başvuru!$I:$I,Toplantı!$B$5,Başvuru!$D:$D,$A$46))</f>
        <v>0</v>
      </c>
      <c r="D46" s="176">
        <f>IF($A46="","",COUNTIFS(Başvuru!$I:$I,Toplantı!$B$6,Başvuru!$D:$D,$A$46))</f>
        <v>0</v>
      </c>
      <c r="E46" s="176">
        <f>IF($A46="","",COUNTIFS(Başvuru!$I:$I,Toplantı!$B$7,Başvuru!$D:$D,$A$46))</f>
        <v>0</v>
      </c>
      <c r="F46" s="176">
        <f>IF($A46="","",COUNTIFS(Başvuru!$I:$I,Toplantı!$B$8,Başvuru!$D:$D,$A$46))</f>
        <v>0</v>
      </c>
      <c r="G46" s="176">
        <f>IF($A46="","",COUNTIFS(Başvuru!$I:$I,Toplantı!$B$9,Başvuru!$D:$D,$A$46))</f>
        <v>0</v>
      </c>
      <c r="H46" s="176">
        <f>IF($A46="","",COUNTIFS(Başvuru!$I:$I,Toplantı!$B$10,Başvuru!$D:$D,$A$46))</f>
        <v>0</v>
      </c>
      <c r="I46" s="176">
        <f>IF($A46="","",COUNTIFS(Başvuru!$I:$I,Toplantı!$B$11,Başvuru!$D:$D,$A$46))</f>
        <v>1</v>
      </c>
      <c r="J46" s="176">
        <f>IF($A46="","",COUNTIFS(Başvuru!$I:$I,Toplantı!$B$12,Başvuru!$D:$D,$A$46))</f>
        <v>0</v>
      </c>
      <c r="K46" s="176">
        <f>IF($A46="","",COUNTIFS(Başvuru!$I:$I,Toplantı!$B$13,Başvuru!$D:$D,$A$46))</f>
        <v>1</v>
      </c>
      <c r="L46" s="176">
        <f>IF($A46="","",COUNTIFS(Başvuru!$I:$I,Toplantı!$B$14,Başvuru!$D:$D,$A$46))</f>
        <v>1</v>
      </c>
      <c r="M46" s="176">
        <f>IF($A46="","",COUNTIFS(Başvuru!$I:$I,Toplantı!$B$15,Başvuru!$D:$D,$A$46))</f>
        <v>0</v>
      </c>
      <c r="N46" s="176">
        <f>IF($A46="","",COUNTIFS(Başvuru!$I:$I,Toplantı!$B$16,Başvuru!$D:$D,$A$46))</f>
        <v>0</v>
      </c>
      <c r="O46" s="176">
        <f>IF($A46="","",COUNTIFS(Başvuru!$I:$I,Toplantı!$B$17,Başvuru!$D:$D,$A$46))</f>
        <v>0</v>
      </c>
      <c r="P46" s="176">
        <f>IF($A46="","",COUNTIFS(Başvuru!$I:$I,Toplantı!$B$18,Başvuru!$D:$D,$A$46))</f>
        <v>0</v>
      </c>
      <c r="Q46" s="176">
        <f>IF($A46="","",COUNTIFS(Başvuru!$I:$I,Toplantı!$B$19,Başvuru!$D:$D,$A$46))</f>
        <v>0</v>
      </c>
      <c r="R46" s="176">
        <f>IF($A46="","",COUNTIFS(Başvuru!$I:$I,Toplantı!$B$20,Başvuru!$D:$D,$A$46))</f>
        <v>0</v>
      </c>
      <c r="S46" s="177">
        <f t="shared" si="1"/>
        <v>3</v>
      </c>
    </row>
    <row r="47" spans="1:19" x14ac:dyDescent="0.25">
      <c r="A47" s="175" t="str">
        <f>IF(Birim!C49="","",Birim!C49)</f>
        <v>Beyin ve Sinir Cerrahisi Anabilim Dalı</v>
      </c>
      <c r="B47" s="176">
        <f>IF($A47="","",COUNTIFS(Başvuru!$I:$I,Toplantı!$B$4,Başvuru!$D:$D,$A$47))</f>
        <v>0</v>
      </c>
      <c r="C47" s="176">
        <f>IF($A47="","",COUNTIFS(Başvuru!$I:$I,Toplantı!$B$5,Başvuru!$D:$D,$A$47))</f>
        <v>0</v>
      </c>
      <c r="D47" s="176">
        <f>IF($A47="","",COUNTIFS(Başvuru!$I:$I,Toplantı!$B$6,Başvuru!$D:$D,$A$47))</f>
        <v>0</v>
      </c>
      <c r="E47" s="176">
        <f>IF($A47="","",COUNTIFS(Başvuru!$I:$I,Toplantı!$B$7,Başvuru!$D:$D,$A$47))</f>
        <v>0</v>
      </c>
      <c r="F47" s="176">
        <f>IF($A47="","",COUNTIFS(Başvuru!$I:$I,Toplantı!$B$8,Başvuru!$D:$D,$A$47))</f>
        <v>0</v>
      </c>
      <c r="G47" s="176">
        <f>IF($A47="","",COUNTIFS(Başvuru!$I:$I,Toplantı!$B$9,Başvuru!$D:$D,$A$47))</f>
        <v>0</v>
      </c>
      <c r="H47" s="176">
        <f>IF($A47="","",COUNTIFS(Başvuru!$I:$I,Toplantı!$B$10,Başvuru!$D:$D,$A$47))</f>
        <v>0</v>
      </c>
      <c r="I47" s="176">
        <f>IF($A47="","",COUNTIFS(Başvuru!$I:$I,Toplantı!$B$11,Başvuru!$D:$D,$A$47))</f>
        <v>0</v>
      </c>
      <c r="J47" s="176">
        <f>IF($A47="","",COUNTIFS(Başvuru!$I:$I,Toplantı!$B$12,Başvuru!$D:$D,$A$47))</f>
        <v>0</v>
      </c>
      <c r="K47" s="176">
        <f>IF($A47="","",COUNTIFS(Başvuru!$I:$I,Toplantı!$B$13,Başvuru!$D:$D,$A$47))</f>
        <v>0</v>
      </c>
      <c r="L47" s="176">
        <f>IF($A47="","",COUNTIFS(Başvuru!$I:$I,Toplantı!$B$14,Başvuru!$D:$D,$A$47))</f>
        <v>0</v>
      </c>
      <c r="M47" s="176">
        <f>IF($A47="","",COUNTIFS(Başvuru!$I:$I,Toplantı!$B$15,Başvuru!$D:$D,$A$47))</f>
        <v>2</v>
      </c>
      <c r="N47" s="176">
        <f>IF($A47="","",COUNTIFS(Başvuru!$I:$I,Toplantı!$B$16,Başvuru!$D:$D,$A$47))</f>
        <v>0</v>
      </c>
      <c r="O47" s="176">
        <f>IF($A47="","",COUNTIFS(Başvuru!$I:$I,Toplantı!$B$17,Başvuru!$D:$D,$A$47))</f>
        <v>0</v>
      </c>
      <c r="P47" s="176">
        <f>IF($A47="","",COUNTIFS(Başvuru!$I:$I,Toplantı!$B$18,Başvuru!$D:$D,$A$47))</f>
        <v>1</v>
      </c>
      <c r="Q47" s="176">
        <f>IF($A47="","",COUNTIFS(Başvuru!$I:$I,Toplantı!$B$19,Başvuru!$D:$D,$A$47))</f>
        <v>0</v>
      </c>
      <c r="R47" s="176">
        <f>IF($A47="","",COUNTIFS(Başvuru!$I:$I,Toplantı!$B$20,Başvuru!$D:$D,$A$47))</f>
        <v>0</v>
      </c>
      <c r="S47" s="177">
        <f t="shared" si="1"/>
        <v>3</v>
      </c>
    </row>
    <row r="48" spans="1:19" ht="24" x14ac:dyDescent="0.25">
      <c r="A48" s="175" t="str">
        <f>IF(Birim!C50="","",Birim!C50)</f>
        <v>Lokman Hekim Üniversitesi
Sağlık Hizmetleri Meslek Yüksekokulu</v>
      </c>
      <c r="B48" s="176">
        <f>IF($A48="","",COUNTIFS(Başvuru!$I:$I,Toplantı!$B$4,Başvuru!$D:$D,$A$48))</f>
        <v>1</v>
      </c>
      <c r="C48" s="176">
        <f>IF($A48="","",COUNTIFS(Başvuru!$I:$I,Toplantı!$B$5,Başvuru!$D:$D,$A$48))</f>
        <v>0</v>
      </c>
      <c r="D48" s="176">
        <f>IF($A48="","",COUNTIFS(Başvuru!$I:$I,Toplantı!$B$6,Başvuru!$D:$D,$A$48))</f>
        <v>0</v>
      </c>
      <c r="E48" s="176">
        <f>IF($A48="","",COUNTIFS(Başvuru!$I:$I,Toplantı!$B$7,Başvuru!$D:$D,$A$48))</f>
        <v>0</v>
      </c>
      <c r="F48" s="176">
        <f>IF($A48="","",COUNTIFS(Başvuru!$I:$I,Toplantı!$B$8,Başvuru!$D:$D,$A$48))</f>
        <v>0</v>
      </c>
      <c r="G48" s="176">
        <f>IF($A48="","",COUNTIFS(Başvuru!$I:$I,Toplantı!$B$9,Başvuru!$D:$D,$A$48))</f>
        <v>0</v>
      </c>
      <c r="H48" s="176">
        <f>IF($A48="","",COUNTIFS(Başvuru!$I:$I,Toplantı!$B$10,Başvuru!$D:$D,$A$48))</f>
        <v>0</v>
      </c>
      <c r="I48" s="176">
        <f>IF($A48="","",COUNTIFS(Başvuru!$I:$I,Toplantı!$B$11,Başvuru!$D:$D,$A$48))</f>
        <v>1</v>
      </c>
      <c r="J48" s="176">
        <f>IF($A48="","",COUNTIFS(Başvuru!$I:$I,Toplantı!$B$12,Başvuru!$D:$D,$A$48))</f>
        <v>0</v>
      </c>
      <c r="K48" s="176">
        <f>IF($A48="","",COUNTIFS(Başvuru!$I:$I,Toplantı!$B$13,Başvuru!$D:$D,$A$48))</f>
        <v>0</v>
      </c>
      <c r="L48" s="176">
        <f>IF($A48="","",COUNTIFS(Başvuru!$I:$I,Toplantı!$B$14,Başvuru!$D:$D,$A$48))</f>
        <v>0</v>
      </c>
      <c r="M48" s="176">
        <f>IF($A48="","",COUNTIFS(Başvuru!$I:$I,Toplantı!$B$15,Başvuru!$D:$D,$A$48))</f>
        <v>0</v>
      </c>
      <c r="N48" s="176">
        <f>IF($A48="","",COUNTIFS(Başvuru!$I:$I,Toplantı!$B$16,Başvuru!$D:$D,$A$48))</f>
        <v>0</v>
      </c>
      <c r="O48" s="176">
        <f>IF($A48="","",COUNTIFS(Başvuru!$I:$I,Toplantı!$B$17,Başvuru!$D:$D,$A$48))</f>
        <v>0</v>
      </c>
      <c r="P48" s="176">
        <f>IF($A48="","",COUNTIFS(Başvuru!$I:$I,Toplantı!$B$18,Başvuru!$D:$D,$A$48))</f>
        <v>0</v>
      </c>
      <c r="Q48" s="176">
        <f>IF($A48="","",COUNTIFS(Başvuru!$I:$I,Toplantı!$B$19,Başvuru!$D:$D,$A$48))</f>
        <v>0</v>
      </c>
      <c r="R48" s="176">
        <f>IF($A48="","",COUNTIFS(Başvuru!$I:$I,Toplantı!$B$20,Başvuru!$D:$D,$A$48))</f>
        <v>0</v>
      </c>
      <c r="S48" s="177">
        <f t="shared" si="1"/>
        <v>2</v>
      </c>
    </row>
    <row r="49" spans="1:19" x14ac:dyDescent="0.25">
      <c r="A49" s="175" t="str">
        <f>IF(Birim!C51="","",Birim!C51)</f>
        <v>Tıbbi Mikrobiyoloji Anabilim Dalı</v>
      </c>
      <c r="B49" s="176">
        <f>IF($A49="","",COUNTIFS(Başvuru!$I:$I,Toplantı!$B$4,Başvuru!$D:$D,$A$49))</f>
        <v>1</v>
      </c>
      <c r="C49" s="176">
        <f>IF($A49="","",COUNTIFS(Başvuru!$I:$I,Toplantı!$B$5,Başvuru!$D:$D,$A$49))</f>
        <v>0</v>
      </c>
      <c r="D49" s="176">
        <f>IF($A49="","",COUNTIFS(Başvuru!$I:$I,Toplantı!$B$6,Başvuru!$D:$D,$A$49))</f>
        <v>0</v>
      </c>
      <c r="E49" s="176">
        <f>IF($A49="","",COUNTIFS(Başvuru!$I:$I,Toplantı!$B$7,Başvuru!$D:$D,$A$49))</f>
        <v>0</v>
      </c>
      <c r="F49" s="176">
        <f>IF($A49="","",COUNTIFS(Başvuru!$I:$I,Toplantı!$B$8,Başvuru!$D:$D,$A$49))</f>
        <v>0</v>
      </c>
      <c r="G49" s="176">
        <f>IF($A49="","",COUNTIFS(Başvuru!$I:$I,Toplantı!$B$9,Başvuru!$D:$D,$A$49))</f>
        <v>0</v>
      </c>
      <c r="H49" s="176">
        <f>IF($A49="","",COUNTIFS(Başvuru!$I:$I,Toplantı!$B$10,Başvuru!$D:$D,$A$49))</f>
        <v>0</v>
      </c>
      <c r="I49" s="176">
        <f>IF($A49="","",COUNTIFS(Başvuru!$I:$I,Toplantı!$B$11,Başvuru!$D:$D,$A$49))</f>
        <v>0</v>
      </c>
      <c r="J49" s="176">
        <f>IF($A49="","",COUNTIFS(Başvuru!$I:$I,Toplantı!$B$12,Başvuru!$D:$D,$A$49))</f>
        <v>0</v>
      </c>
      <c r="K49" s="176">
        <f>IF($A49="","",COUNTIFS(Başvuru!$I:$I,Toplantı!$B$13,Başvuru!$D:$D,$A$49))</f>
        <v>0</v>
      </c>
      <c r="L49" s="176">
        <f>IF($A49="","",COUNTIFS(Başvuru!$I:$I,Toplantı!$B$14,Başvuru!$D:$D,$A$49))</f>
        <v>0</v>
      </c>
      <c r="M49" s="176">
        <f>IF($A49="","",COUNTIFS(Başvuru!$I:$I,Toplantı!$B$15,Başvuru!$D:$D,$A$49))</f>
        <v>1</v>
      </c>
      <c r="N49" s="176">
        <f>IF($A49="","",COUNTIFS(Başvuru!$I:$I,Toplantı!$B$16,Başvuru!$D:$D,$A$49))</f>
        <v>0</v>
      </c>
      <c r="O49" s="176">
        <f>IF($A49="","",COUNTIFS(Başvuru!$I:$I,Toplantı!$B$17,Başvuru!$D:$D,$A$49))</f>
        <v>0</v>
      </c>
      <c r="P49" s="176">
        <f>IF($A49="","",COUNTIFS(Başvuru!$I:$I,Toplantı!$B$18,Başvuru!$D:$D,$A$49))</f>
        <v>0</v>
      </c>
      <c r="Q49" s="176">
        <f>IF($A49="","",COUNTIFS(Başvuru!$I:$I,Toplantı!$B$19,Başvuru!$D:$D,$A$49))</f>
        <v>0</v>
      </c>
      <c r="R49" s="176">
        <f>IF($A49="","",COUNTIFS(Başvuru!$I:$I,Toplantı!$B$20,Başvuru!$D:$D,$A$49))</f>
        <v>0</v>
      </c>
      <c r="S49" s="177">
        <f t="shared" si="1"/>
        <v>2</v>
      </c>
    </row>
    <row r="50" spans="1:19" x14ac:dyDescent="0.25">
      <c r="A50" s="175" t="str">
        <f>IF(Birim!C52="","",Birim!C52)</f>
        <v>Farmasötik Toksikoloji Anabilim Dalı</v>
      </c>
      <c r="B50" s="176">
        <f>IF($A50="","",COUNTIFS(Başvuru!$I:$I,Toplantı!$B$4,Başvuru!$D:$D,$A$50))</f>
        <v>0</v>
      </c>
      <c r="C50" s="176">
        <f>IF($A50="","",COUNTIFS(Başvuru!$I:$I,Toplantı!$B$5,Başvuru!$D:$D,$A$50))</f>
        <v>1</v>
      </c>
      <c r="D50" s="176">
        <f>IF($A50="","",COUNTIFS(Başvuru!$I:$I,Toplantı!$B$6,Başvuru!$D:$D,$A$50))</f>
        <v>0</v>
      </c>
      <c r="E50" s="176">
        <f>IF($A50="","",COUNTIFS(Başvuru!$I:$I,Toplantı!$B$7,Başvuru!$D:$D,$A$50))</f>
        <v>0</v>
      </c>
      <c r="F50" s="176">
        <f>IF($A50="","",COUNTIFS(Başvuru!$I:$I,Toplantı!$B$8,Başvuru!$D:$D,$A$50))</f>
        <v>0</v>
      </c>
      <c r="G50" s="176">
        <f>IF($A50="","",COUNTIFS(Başvuru!$I:$I,Toplantı!$B$9,Başvuru!$D:$D,$A$50))</f>
        <v>0</v>
      </c>
      <c r="H50" s="176">
        <f>IF($A50="","",COUNTIFS(Başvuru!$I:$I,Toplantı!$B$10,Başvuru!$D:$D,$A$50))</f>
        <v>0</v>
      </c>
      <c r="I50" s="176">
        <f>IF($A50="","",COUNTIFS(Başvuru!$I:$I,Toplantı!$B$11,Başvuru!$D:$D,$A$50))</f>
        <v>0</v>
      </c>
      <c r="J50" s="176">
        <f>IF($A50="","",COUNTIFS(Başvuru!$I:$I,Toplantı!$B$12,Başvuru!$D:$D,$A$50))</f>
        <v>0</v>
      </c>
      <c r="K50" s="176">
        <f>IF($A50="","",COUNTIFS(Başvuru!$I:$I,Toplantı!$B$13,Başvuru!$D:$D,$A$50))</f>
        <v>0</v>
      </c>
      <c r="L50" s="176">
        <f>IF($A50="","",COUNTIFS(Başvuru!$I:$I,Toplantı!$B$14,Başvuru!$D:$D,$A$50))</f>
        <v>1</v>
      </c>
      <c r="M50" s="176">
        <f>IF($A50="","",COUNTIFS(Başvuru!$I:$I,Toplantı!$B$15,Başvuru!$D:$D,$A$50))</f>
        <v>0</v>
      </c>
      <c r="N50" s="176">
        <f>IF($A50="","",COUNTIFS(Başvuru!$I:$I,Toplantı!$B$16,Başvuru!$D:$D,$A$50))</f>
        <v>0</v>
      </c>
      <c r="O50" s="176">
        <f>IF($A50="","",COUNTIFS(Başvuru!$I:$I,Toplantı!$B$17,Başvuru!$D:$D,$A$50))</f>
        <v>0</v>
      </c>
      <c r="P50" s="176">
        <f>IF($A50="","",COUNTIFS(Başvuru!$I:$I,Toplantı!$B$18,Başvuru!$D:$D,$A$50))</f>
        <v>0</v>
      </c>
      <c r="Q50" s="176">
        <f>IF($A50="","",COUNTIFS(Başvuru!$I:$I,Toplantı!$B$19,Başvuru!$D:$D,$A$50))</f>
        <v>0</v>
      </c>
      <c r="R50" s="176">
        <f>IF($A50="","",COUNTIFS(Başvuru!$I:$I,Toplantı!$B$20,Başvuru!$D:$D,$A$50))</f>
        <v>0</v>
      </c>
      <c r="S50" s="177">
        <f t="shared" si="1"/>
        <v>2</v>
      </c>
    </row>
    <row r="51" spans="1:19" x14ac:dyDescent="0.25">
      <c r="A51" s="175" t="str">
        <f>IF(Birim!C53="","",Birim!C53)</f>
        <v>Farmasötik Mikrobiyoloji Anabilim Dalı</v>
      </c>
      <c r="B51" s="176">
        <f>IF($A51="","",COUNTIFS(Başvuru!$I:$I,Toplantı!$B$4,Başvuru!$D:$D,$A$51))</f>
        <v>0</v>
      </c>
      <c r="C51" s="176">
        <f>IF($A51="","",COUNTIFS(Başvuru!$I:$I,Toplantı!$B$5,Başvuru!$D:$D,$A$51))</f>
        <v>0</v>
      </c>
      <c r="D51" s="176">
        <f>IF($A51="","",COUNTIFS(Başvuru!$I:$I,Toplantı!$B$6,Başvuru!$D:$D,$A$51))</f>
        <v>1</v>
      </c>
      <c r="E51" s="176">
        <f>IF($A51="","",COUNTIFS(Başvuru!$I:$I,Toplantı!$B$7,Başvuru!$D:$D,$A$51))</f>
        <v>0</v>
      </c>
      <c r="F51" s="176">
        <f>IF($A51="","",COUNTIFS(Başvuru!$I:$I,Toplantı!$B$8,Başvuru!$D:$D,$A$51))</f>
        <v>0</v>
      </c>
      <c r="G51" s="176">
        <f>IF($A51="","",COUNTIFS(Başvuru!$I:$I,Toplantı!$B$9,Başvuru!$D:$D,$A$51))</f>
        <v>0</v>
      </c>
      <c r="H51" s="176">
        <f>IF($A51="","",COUNTIFS(Başvuru!$I:$I,Toplantı!$B$10,Başvuru!$D:$D,$A$51))</f>
        <v>0</v>
      </c>
      <c r="I51" s="176">
        <f>IF($A51="","",COUNTIFS(Başvuru!$I:$I,Toplantı!$B$11,Başvuru!$D:$D,$A$51))</f>
        <v>0</v>
      </c>
      <c r="J51" s="176">
        <f>IF($A51="","",COUNTIFS(Başvuru!$I:$I,Toplantı!$B$12,Başvuru!$D:$D,$A$51))</f>
        <v>1</v>
      </c>
      <c r="K51" s="176">
        <f>IF($A51="","",COUNTIFS(Başvuru!$I:$I,Toplantı!$B$13,Başvuru!$D:$D,$A$51))</f>
        <v>0</v>
      </c>
      <c r="L51" s="176">
        <f>IF($A51="","",COUNTIFS(Başvuru!$I:$I,Toplantı!$B$14,Başvuru!$D:$D,$A$51))</f>
        <v>0</v>
      </c>
      <c r="M51" s="176">
        <f>IF($A51="","",COUNTIFS(Başvuru!$I:$I,Toplantı!$B$15,Başvuru!$D:$D,$A$51))</f>
        <v>0</v>
      </c>
      <c r="N51" s="176">
        <f>IF($A51="","",COUNTIFS(Başvuru!$I:$I,Toplantı!$B$16,Başvuru!$D:$D,$A$51))</f>
        <v>0</v>
      </c>
      <c r="O51" s="176">
        <f>IF($A51="","",COUNTIFS(Başvuru!$I:$I,Toplantı!$B$17,Başvuru!$D:$D,$A$51))</f>
        <v>0</v>
      </c>
      <c r="P51" s="176">
        <f>IF($A51="","",COUNTIFS(Başvuru!$I:$I,Toplantı!$B$18,Başvuru!$D:$D,$A$51))</f>
        <v>0</v>
      </c>
      <c r="Q51" s="176">
        <f>IF($A51="","",COUNTIFS(Başvuru!$I:$I,Toplantı!$B$19,Başvuru!$D:$D,$A$51))</f>
        <v>0</v>
      </c>
      <c r="R51" s="176">
        <f>IF($A51="","",COUNTIFS(Başvuru!$I:$I,Toplantı!$B$20,Başvuru!$D:$D,$A$51))</f>
        <v>0</v>
      </c>
      <c r="S51" s="177">
        <f t="shared" si="1"/>
        <v>2</v>
      </c>
    </row>
    <row r="52" spans="1:19" ht="36" x14ac:dyDescent="0.25">
      <c r="A52" s="175" t="str">
        <f>IF(Birim!C54="","",Birim!C54)</f>
        <v>Gülhane Sağlık Bilimleri Üniversitesi
Hemşirelik Fakültesi
Doğum ve Kadın Hastalıkları Hemşireliği Anabilim Dalı</v>
      </c>
      <c r="B52" s="176">
        <f>IF($A52="","",COUNTIFS(Başvuru!$I:$I,Toplantı!$B$4,Başvuru!$D:$D,$A$52))</f>
        <v>0</v>
      </c>
      <c r="C52" s="176">
        <f>IF($A52="","",COUNTIFS(Başvuru!$I:$I,Toplantı!$B$5,Başvuru!$D:$D,$A$52))</f>
        <v>0</v>
      </c>
      <c r="D52" s="176">
        <f>IF($A52="","",COUNTIFS(Başvuru!$I:$I,Toplantı!$B$6,Başvuru!$D:$D,$A$52))</f>
        <v>0</v>
      </c>
      <c r="E52" s="176">
        <f>IF($A52="","",COUNTIFS(Başvuru!$I:$I,Toplantı!$B$7,Başvuru!$D:$D,$A$52))</f>
        <v>1</v>
      </c>
      <c r="F52" s="176">
        <f>IF($A52="","",COUNTIFS(Başvuru!$I:$I,Toplantı!$B$8,Başvuru!$D:$D,$A$52))</f>
        <v>0</v>
      </c>
      <c r="G52" s="176">
        <f>IF($A52="","",COUNTIFS(Başvuru!$I:$I,Toplantı!$B$9,Başvuru!$D:$D,$A$52))</f>
        <v>0</v>
      </c>
      <c r="H52" s="176">
        <f>IF($A52="","",COUNTIFS(Başvuru!$I:$I,Toplantı!$B$10,Başvuru!$D:$D,$A$52))</f>
        <v>0</v>
      </c>
      <c r="I52" s="176">
        <f>IF($A52="","",COUNTIFS(Başvuru!$I:$I,Toplantı!$B$11,Başvuru!$D:$D,$A$52))</f>
        <v>0</v>
      </c>
      <c r="J52" s="176">
        <f>IF($A52="","",COUNTIFS(Başvuru!$I:$I,Toplantı!$B$12,Başvuru!$D:$D,$A$52))</f>
        <v>1</v>
      </c>
      <c r="K52" s="176">
        <f>IF($A52="","",COUNTIFS(Başvuru!$I:$I,Toplantı!$B$13,Başvuru!$D:$D,$A$52))</f>
        <v>0</v>
      </c>
      <c r="L52" s="176">
        <f>IF($A52="","",COUNTIFS(Başvuru!$I:$I,Toplantı!$B$14,Başvuru!$D:$D,$A$52))</f>
        <v>0</v>
      </c>
      <c r="M52" s="176">
        <f>IF($A52="","",COUNTIFS(Başvuru!$I:$I,Toplantı!$B$15,Başvuru!$D:$D,$A$52))</f>
        <v>0</v>
      </c>
      <c r="N52" s="176">
        <f>IF($A52="","",COUNTIFS(Başvuru!$I:$I,Toplantı!$B$16,Başvuru!$D:$D,$A$52))</f>
        <v>0</v>
      </c>
      <c r="O52" s="176">
        <f>IF($A52="","",COUNTIFS(Başvuru!$I:$I,Toplantı!$B$17,Başvuru!$D:$D,$A$52))</f>
        <v>0</v>
      </c>
      <c r="P52" s="176">
        <f>IF($A52="","",COUNTIFS(Başvuru!$I:$I,Toplantı!$B$18,Başvuru!$D:$D,$A$52))</f>
        <v>0</v>
      </c>
      <c r="Q52" s="176">
        <f>IF($A52="","",COUNTIFS(Başvuru!$I:$I,Toplantı!$B$19,Başvuru!$D:$D,$A$52))</f>
        <v>0</v>
      </c>
      <c r="R52" s="176">
        <f>IF($A52="","",COUNTIFS(Başvuru!$I:$I,Toplantı!$B$20,Başvuru!$D:$D,$A$52))</f>
        <v>0</v>
      </c>
      <c r="S52" s="177">
        <f t="shared" si="1"/>
        <v>2</v>
      </c>
    </row>
    <row r="53" spans="1:19" x14ac:dyDescent="0.25">
      <c r="A53" s="175" t="str">
        <f>IF(Birim!C55="","",Birim!C55)</f>
        <v>Fizyoloji Anabilim Dalı</v>
      </c>
      <c r="B53" s="176">
        <f>IF($A53="","",COUNTIFS(Başvuru!$I:$I,Toplantı!$B$4,Başvuru!$D:$D,$A$53))</f>
        <v>0</v>
      </c>
      <c r="C53" s="176">
        <f>IF($A53="","",COUNTIFS(Başvuru!$I:$I,Toplantı!$B$5,Başvuru!$D:$D,$A$53))</f>
        <v>0</v>
      </c>
      <c r="D53" s="176">
        <f>IF($A53="","",COUNTIFS(Başvuru!$I:$I,Toplantı!$B$6,Başvuru!$D:$D,$A$53))</f>
        <v>0</v>
      </c>
      <c r="E53" s="176">
        <f>IF($A53="","",COUNTIFS(Başvuru!$I:$I,Toplantı!$B$7,Başvuru!$D:$D,$A$53))</f>
        <v>1</v>
      </c>
      <c r="F53" s="176">
        <f>IF($A53="","",COUNTIFS(Başvuru!$I:$I,Toplantı!$B$8,Başvuru!$D:$D,$A$53))</f>
        <v>0</v>
      </c>
      <c r="G53" s="176">
        <f>IF($A53="","",COUNTIFS(Başvuru!$I:$I,Toplantı!$B$9,Başvuru!$D:$D,$A$53))</f>
        <v>0</v>
      </c>
      <c r="H53" s="176">
        <f>IF($A53="","",COUNTIFS(Başvuru!$I:$I,Toplantı!$B$10,Başvuru!$D:$D,$A$53))</f>
        <v>0</v>
      </c>
      <c r="I53" s="176">
        <f>IF($A53="","",COUNTIFS(Başvuru!$I:$I,Toplantı!$B$11,Başvuru!$D:$D,$A$53))</f>
        <v>0</v>
      </c>
      <c r="J53" s="176">
        <f>IF($A53="","",COUNTIFS(Başvuru!$I:$I,Toplantı!$B$12,Başvuru!$D:$D,$A$53))</f>
        <v>0</v>
      </c>
      <c r="K53" s="176">
        <f>IF($A53="","",COUNTIFS(Başvuru!$I:$I,Toplantı!$B$13,Başvuru!$D:$D,$A$53))</f>
        <v>0</v>
      </c>
      <c r="L53" s="176">
        <f>IF($A53="","",COUNTIFS(Başvuru!$I:$I,Toplantı!$B$14,Başvuru!$D:$D,$A$53))</f>
        <v>0</v>
      </c>
      <c r="M53" s="176">
        <f>IF($A53="","",COUNTIFS(Başvuru!$I:$I,Toplantı!$B$15,Başvuru!$D:$D,$A$53))</f>
        <v>0</v>
      </c>
      <c r="N53" s="176">
        <f>IF($A53="","",COUNTIFS(Başvuru!$I:$I,Toplantı!$B$16,Başvuru!$D:$D,$A$53))</f>
        <v>1</v>
      </c>
      <c r="O53" s="176">
        <f>IF($A53="","",COUNTIFS(Başvuru!$I:$I,Toplantı!$B$17,Başvuru!$D:$D,$A$53))</f>
        <v>0</v>
      </c>
      <c r="P53" s="176">
        <f>IF($A53="","",COUNTIFS(Başvuru!$I:$I,Toplantı!$B$18,Başvuru!$D:$D,$A$53))</f>
        <v>0</v>
      </c>
      <c r="Q53" s="176">
        <f>IF($A53="","",COUNTIFS(Başvuru!$I:$I,Toplantı!$B$19,Başvuru!$D:$D,$A$53))</f>
        <v>0</v>
      </c>
      <c r="R53" s="176">
        <f>IF($A53="","",COUNTIFS(Başvuru!$I:$I,Toplantı!$B$20,Başvuru!$D:$D,$A$53))</f>
        <v>0</v>
      </c>
      <c r="S53" s="177">
        <f t="shared" si="1"/>
        <v>2</v>
      </c>
    </row>
    <row r="54" spans="1:19" x14ac:dyDescent="0.25">
      <c r="A54" s="175" t="str">
        <f>IF(Birim!C56="","",Birim!C56)</f>
        <v>Biyoistatistik Anabilim Dalı</v>
      </c>
      <c r="B54" s="176">
        <f>IF($A54="","",COUNTIFS(Başvuru!$I:$I,Toplantı!$B$4,Başvuru!$D:$D,$A$54))</f>
        <v>0</v>
      </c>
      <c r="C54" s="176">
        <f>IF($A54="","",COUNTIFS(Başvuru!$I:$I,Toplantı!$B$5,Başvuru!$D:$D,$A$54))</f>
        <v>0</v>
      </c>
      <c r="D54" s="176">
        <f>IF($A54="","",COUNTIFS(Başvuru!$I:$I,Toplantı!$B$6,Başvuru!$D:$D,$A$54))</f>
        <v>0</v>
      </c>
      <c r="E54" s="176">
        <f>IF($A54="","",COUNTIFS(Başvuru!$I:$I,Toplantı!$B$7,Başvuru!$D:$D,$A$54))</f>
        <v>0</v>
      </c>
      <c r="F54" s="176">
        <f>IF($A54="","",COUNTIFS(Başvuru!$I:$I,Toplantı!$B$8,Başvuru!$D:$D,$A$54))</f>
        <v>1</v>
      </c>
      <c r="G54" s="176">
        <f>IF($A54="","",COUNTIFS(Başvuru!$I:$I,Toplantı!$B$9,Başvuru!$D:$D,$A$54))</f>
        <v>0</v>
      </c>
      <c r="H54" s="176">
        <f>IF($A54="","",COUNTIFS(Başvuru!$I:$I,Toplantı!$B$10,Başvuru!$D:$D,$A$54))</f>
        <v>0</v>
      </c>
      <c r="I54" s="176">
        <f>IF($A54="","",COUNTIFS(Başvuru!$I:$I,Toplantı!$B$11,Başvuru!$D:$D,$A$54))</f>
        <v>0</v>
      </c>
      <c r="J54" s="176">
        <f>IF($A54="","",COUNTIFS(Başvuru!$I:$I,Toplantı!$B$12,Başvuru!$D:$D,$A$54))</f>
        <v>1</v>
      </c>
      <c r="K54" s="176">
        <f>IF($A54="","",COUNTIFS(Başvuru!$I:$I,Toplantı!$B$13,Başvuru!$D:$D,$A$54))</f>
        <v>0</v>
      </c>
      <c r="L54" s="176">
        <f>IF($A54="","",COUNTIFS(Başvuru!$I:$I,Toplantı!$B$14,Başvuru!$D:$D,$A$54))</f>
        <v>0</v>
      </c>
      <c r="M54" s="176">
        <f>IF($A54="","",COUNTIFS(Başvuru!$I:$I,Toplantı!$B$15,Başvuru!$D:$D,$A$54))</f>
        <v>0</v>
      </c>
      <c r="N54" s="176">
        <f>IF($A54="","",COUNTIFS(Başvuru!$I:$I,Toplantı!$B$16,Başvuru!$D:$D,$A$54))</f>
        <v>0</v>
      </c>
      <c r="O54" s="176">
        <f>IF($A54="","",COUNTIFS(Başvuru!$I:$I,Toplantı!$B$17,Başvuru!$D:$D,$A$54))</f>
        <v>0</v>
      </c>
      <c r="P54" s="176">
        <f>IF($A54="","",COUNTIFS(Başvuru!$I:$I,Toplantı!$B$18,Başvuru!$D:$D,$A$54))</f>
        <v>0</v>
      </c>
      <c r="Q54" s="176">
        <f>IF($A54="","",COUNTIFS(Başvuru!$I:$I,Toplantı!$B$19,Başvuru!$D:$D,$A$54))</f>
        <v>0</v>
      </c>
      <c r="R54" s="176">
        <f>IF($A54="","",COUNTIFS(Başvuru!$I:$I,Toplantı!$B$20,Başvuru!$D:$D,$A$54))</f>
        <v>0</v>
      </c>
      <c r="S54" s="177">
        <f t="shared" si="1"/>
        <v>2</v>
      </c>
    </row>
    <row r="55" spans="1:19" x14ac:dyDescent="0.25">
      <c r="A55" s="175" t="str">
        <f>IF(Birim!C57="","",Birim!C57)</f>
        <v>Gıda Bilimleri Anabilim Dalı</v>
      </c>
      <c r="B55" s="176">
        <f>IF($A55="","",COUNTIFS(Başvuru!$I:$I,Toplantı!$B$4,Başvuru!$D:$D,$A$55))</f>
        <v>0</v>
      </c>
      <c r="C55" s="176">
        <f>IF($A55="","",COUNTIFS(Başvuru!$I:$I,Toplantı!$B$5,Başvuru!$D:$D,$A$55))</f>
        <v>0</v>
      </c>
      <c r="D55" s="176">
        <f>IF($A55="","",COUNTIFS(Başvuru!$I:$I,Toplantı!$B$6,Başvuru!$D:$D,$A$55))</f>
        <v>0</v>
      </c>
      <c r="E55" s="176">
        <f>IF($A55="","",COUNTIFS(Başvuru!$I:$I,Toplantı!$B$7,Başvuru!$D:$D,$A$55))</f>
        <v>0</v>
      </c>
      <c r="F55" s="176">
        <f>IF($A55="","",COUNTIFS(Başvuru!$I:$I,Toplantı!$B$8,Başvuru!$D:$D,$A$55))</f>
        <v>1</v>
      </c>
      <c r="G55" s="176">
        <f>IF($A55="","",COUNTIFS(Başvuru!$I:$I,Toplantı!$B$9,Başvuru!$D:$D,$A$55))</f>
        <v>0</v>
      </c>
      <c r="H55" s="176">
        <f>IF($A55="","",COUNTIFS(Başvuru!$I:$I,Toplantı!$B$10,Başvuru!$D:$D,$A$55))</f>
        <v>1</v>
      </c>
      <c r="I55" s="176">
        <f>IF($A55="","",COUNTIFS(Başvuru!$I:$I,Toplantı!$B$11,Başvuru!$D:$D,$A$55))</f>
        <v>0</v>
      </c>
      <c r="J55" s="176">
        <f>IF($A55="","",COUNTIFS(Başvuru!$I:$I,Toplantı!$B$12,Başvuru!$D:$D,$A$55))</f>
        <v>0</v>
      </c>
      <c r="K55" s="176">
        <f>IF($A55="","",COUNTIFS(Başvuru!$I:$I,Toplantı!$B$13,Başvuru!$D:$D,$A$55))</f>
        <v>0</v>
      </c>
      <c r="L55" s="176">
        <f>IF($A55="","",COUNTIFS(Başvuru!$I:$I,Toplantı!$B$14,Başvuru!$D:$D,$A$55))</f>
        <v>0</v>
      </c>
      <c r="M55" s="176">
        <f>IF($A55="","",COUNTIFS(Başvuru!$I:$I,Toplantı!$B$15,Başvuru!$D:$D,$A$55))</f>
        <v>0</v>
      </c>
      <c r="N55" s="176">
        <f>IF($A55="","",COUNTIFS(Başvuru!$I:$I,Toplantı!$B$16,Başvuru!$D:$D,$A$55))</f>
        <v>0</v>
      </c>
      <c r="O55" s="176">
        <f>IF($A55="","",COUNTIFS(Başvuru!$I:$I,Toplantı!$B$17,Başvuru!$D:$D,$A$55))</f>
        <v>0</v>
      </c>
      <c r="P55" s="176">
        <f>IF($A55="","",COUNTIFS(Başvuru!$I:$I,Toplantı!$B$18,Başvuru!$D:$D,$A$55))</f>
        <v>0</v>
      </c>
      <c r="Q55" s="176">
        <f>IF($A55="","",COUNTIFS(Başvuru!$I:$I,Toplantı!$B$19,Başvuru!$D:$D,$A$55))</f>
        <v>0</v>
      </c>
      <c r="R55" s="176">
        <f>IF($A55="","",COUNTIFS(Başvuru!$I:$I,Toplantı!$B$20,Başvuru!$D:$D,$A$55))</f>
        <v>0</v>
      </c>
      <c r="S55" s="177">
        <f t="shared" si="1"/>
        <v>2</v>
      </c>
    </row>
    <row r="56" spans="1:19" x14ac:dyDescent="0.25">
      <c r="A56" s="175" t="str">
        <f>IF(Birim!C58="","",Birim!C58)</f>
        <v>Adli Tıp Anabilim Dalı</v>
      </c>
      <c r="B56" s="176">
        <f>IF($A56="","",COUNTIFS(Başvuru!$I:$I,Toplantı!$B$4,Başvuru!$D:$D,$A$56))</f>
        <v>0</v>
      </c>
      <c r="C56" s="176">
        <f>IF($A56="","",COUNTIFS(Başvuru!$I:$I,Toplantı!$B$5,Başvuru!$D:$D,$A$56))</f>
        <v>0</v>
      </c>
      <c r="D56" s="176">
        <f>IF($A56="","",COUNTIFS(Başvuru!$I:$I,Toplantı!$B$6,Başvuru!$D:$D,$A$56))</f>
        <v>0</v>
      </c>
      <c r="E56" s="176">
        <f>IF($A56="","",COUNTIFS(Başvuru!$I:$I,Toplantı!$B$7,Başvuru!$D:$D,$A$56))</f>
        <v>0</v>
      </c>
      <c r="F56" s="176">
        <f>IF($A56="","",COUNTIFS(Başvuru!$I:$I,Toplantı!$B$8,Başvuru!$D:$D,$A$56))</f>
        <v>0</v>
      </c>
      <c r="G56" s="176">
        <f>IF($A56="","",COUNTIFS(Başvuru!$I:$I,Toplantı!$B$9,Başvuru!$D:$D,$A$56))</f>
        <v>1</v>
      </c>
      <c r="H56" s="176">
        <f>IF($A56="","",COUNTIFS(Başvuru!$I:$I,Toplantı!$B$10,Başvuru!$D:$D,$A$56))</f>
        <v>0</v>
      </c>
      <c r="I56" s="176">
        <f>IF($A56="","",COUNTIFS(Başvuru!$I:$I,Toplantı!$B$11,Başvuru!$D:$D,$A$56))</f>
        <v>0</v>
      </c>
      <c r="J56" s="176">
        <f>IF($A56="","",COUNTIFS(Başvuru!$I:$I,Toplantı!$B$12,Başvuru!$D:$D,$A$56))</f>
        <v>0</v>
      </c>
      <c r="K56" s="176">
        <f>IF($A56="","",COUNTIFS(Başvuru!$I:$I,Toplantı!$B$13,Başvuru!$D:$D,$A$56))</f>
        <v>0</v>
      </c>
      <c r="L56" s="176">
        <f>IF($A56="","",COUNTIFS(Başvuru!$I:$I,Toplantı!$B$14,Başvuru!$D:$D,$A$56))</f>
        <v>0</v>
      </c>
      <c r="M56" s="176">
        <f>IF($A56="","",COUNTIFS(Başvuru!$I:$I,Toplantı!$B$15,Başvuru!$D:$D,$A$56))</f>
        <v>0</v>
      </c>
      <c r="N56" s="176">
        <f>IF($A56="","",COUNTIFS(Başvuru!$I:$I,Toplantı!$B$16,Başvuru!$D:$D,$A$56))</f>
        <v>1</v>
      </c>
      <c r="O56" s="176">
        <f>IF($A56="","",COUNTIFS(Başvuru!$I:$I,Toplantı!$B$17,Başvuru!$D:$D,$A$56))</f>
        <v>0</v>
      </c>
      <c r="P56" s="176">
        <f>IF($A56="","",COUNTIFS(Başvuru!$I:$I,Toplantı!$B$18,Başvuru!$D:$D,$A$56))</f>
        <v>0</v>
      </c>
      <c r="Q56" s="176">
        <f>IF($A56="","",COUNTIFS(Başvuru!$I:$I,Toplantı!$B$19,Başvuru!$D:$D,$A$56))</f>
        <v>0</v>
      </c>
      <c r="R56" s="176">
        <f>IF($A56="","",COUNTIFS(Başvuru!$I:$I,Toplantı!$B$20,Başvuru!$D:$D,$A$56))</f>
        <v>0</v>
      </c>
      <c r="S56" s="177">
        <f t="shared" si="1"/>
        <v>2</v>
      </c>
    </row>
    <row r="57" spans="1:19" x14ac:dyDescent="0.25">
      <c r="A57" s="175" t="str">
        <f>IF(Birim!C59="","",Birim!C59)</f>
        <v>Egzersizde Beslenme ve Metabolizma Anabilim Dalı</v>
      </c>
      <c r="B57" s="176">
        <f>IF($A57="","",COUNTIFS(Başvuru!$I:$I,Toplantı!$B$4,Başvuru!$D:$D,$A$57))</f>
        <v>0</v>
      </c>
      <c r="C57" s="176">
        <f>IF($A57="","",COUNTIFS(Başvuru!$I:$I,Toplantı!$B$5,Başvuru!$D:$D,$A$57))</f>
        <v>0</v>
      </c>
      <c r="D57" s="176">
        <f>IF($A57="","",COUNTIFS(Başvuru!$I:$I,Toplantı!$B$6,Başvuru!$D:$D,$A$57))</f>
        <v>0</v>
      </c>
      <c r="E57" s="176">
        <f>IF($A57="","",COUNTIFS(Başvuru!$I:$I,Toplantı!$B$7,Başvuru!$D:$D,$A$57))</f>
        <v>0</v>
      </c>
      <c r="F57" s="176">
        <f>IF($A57="","",COUNTIFS(Başvuru!$I:$I,Toplantı!$B$8,Başvuru!$D:$D,$A$57))</f>
        <v>0</v>
      </c>
      <c r="G57" s="176">
        <f>IF($A57="","",COUNTIFS(Başvuru!$I:$I,Toplantı!$B$9,Başvuru!$D:$D,$A$57))</f>
        <v>0</v>
      </c>
      <c r="H57" s="176">
        <f>IF($A57="","",COUNTIFS(Başvuru!$I:$I,Toplantı!$B$10,Başvuru!$D:$D,$A$57))</f>
        <v>0</v>
      </c>
      <c r="I57" s="176">
        <f>IF($A57="","",COUNTIFS(Başvuru!$I:$I,Toplantı!$B$11,Başvuru!$D:$D,$A$57))</f>
        <v>0</v>
      </c>
      <c r="J57" s="176">
        <f>IF($A57="","",COUNTIFS(Başvuru!$I:$I,Toplantı!$B$12,Başvuru!$D:$D,$A$57))</f>
        <v>1</v>
      </c>
      <c r="K57" s="176">
        <f>IF($A57="","",COUNTIFS(Başvuru!$I:$I,Toplantı!$B$13,Başvuru!$D:$D,$A$57))</f>
        <v>0</v>
      </c>
      <c r="L57" s="176">
        <f>IF($A57="","",COUNTIFS(Başvuru!$I:$I,Toplantı!$B$14,Başvuru!$D:$D,$A$57))</f>
        <v>0</v>
      </c>
      <c r="M57" s="176">
        <f>IF($A57="","",COUNTIFS(Başvuru!$I:$I,Toplantı!$B$15,Başvuru!$D:$D,$A$57))</f>
        <v>0</v>
      </c>
      <c r="N57" s="176">
        <f>IF($A57="","",COUNTIFS(Başvuru!$I:$I,Toplantı!$B$16,Başvuru!$D:$D,$A$57))</f>
        <v>0</v>
      </c>
      <c r="O57" s="176">
        <f>IF($A57="","",COUNTIFS(Başvuru!$I:$I,Toplantı!$B$17,Başvuru!$D:$D,$A$57))</f>
        <v>1</v>
      </c>
      <c r="P57" s="176">
        <f>IF($A57="","",COUNTIFS(Başvuru!$I:$I,Toplantı!$B$18,Başvuru!$D:$D,$A$57))</f>
        <v>0</v>
      </c>
      <c r="Q57" s="176">
        <f>IF($A57="","",COUNTIFS(Başvuru!$I:$I,Toplantı!$B$19,Başvuru!$D:$D,$A$57))</f>
        <v>0</v>
      </c>
      <c r="R57" s="176">
        <f>IF($A57="","",COUNTIFS(Başvuru!$I:$I,Toplantı!$B$20,Başvuru!$D:$D,$A$57))</f>
        <v>0</v>
      </c>
      <c r="S57" s="177">
        <f t="shared" si="1"/>
        <v>2</v>
      </c>
    </row>
    <row r="58" spans="1:19" x14ac:dyDescent="0.25">
      <c r="A58" s="175" t="str">
        <f>IF(Birim!C60="","",Birim!C60)</f>
        <v>Biyofizik Anabilim Dalı</v>
      </c>
      <c r="B58" s="176">
        <f>IF($A58="","",COUNTIFS(Başvuru!$I:$I,Toplantı!$B$4,Başvuru!$D:$D,$A$58))</f>
        <v>0</v>
      </c>
      <c r="C58" s="176">
        <f>IF($A58="","",COUNTIFS(Başvuru!$I:$I,Toplantı!$B$5,Başvuru!$D:$D,$A$58))</f>
        <v>0</v>
      </c>
      <c r="D58" s="176">
        <f>IF($A58="","",COUNTIFS(Başvuru!$I:$I,Toplantı!$B$6,Başvuru!$D:$D,$A$58))</f>
        <v>0</v>
      </c>
      <c r="E58" s="176">
        <f>IF($A58="","",COUNTIFS(Başvuru!$I:$I,Toplantı!$B$7,Başvuru!$D:$D,$A$58))</f>
        <v>0</v>
      </c>
      <c r="F58" s="176">
        <f>IF($A58="","",COUNTIFS(Başvuru!$I:$I,Toplantı!$B$8,Başvuru!$D:$D,$A$58))</f>
        <v>0</v>
      </c>
      <c r="G58" s="176">
        <f>IF($A58="","",COUNTIFS(Başvuru!$I:$I,Toplantı!$B$9,Başvuru!$D:$D,$A$58))</f>
        <v>0</v>
      </c>
      <c r="H58" s="176">
        <f>IF($A58="","",COUNTIFS(Başvuru!$I:$I,Toplantı!$B$10,Başvuru!$D:$D,$A$58))</f>
        <v>0</v>
      </c>
      <c r="I58" s="176">
        <f>IF($A58="","",COUNTIFS(Başvuru!$I:$I,Toplantı!$B$11,Başvuru!$D:$D,$A$58))</f>
        <v>0</v>
      </c>
      <c r="J58" s="176">
        <f>IF($A58="","",COUNTIFS(Başvuru!$I:$I,Toplantı!$B$12,Başvuru!$D:$D,$A$58))</f>
        <v>1</v>
      </c>
      <c r="K58" s="176">
        <f>IF($A58="","",COUNTIFS(Başvuru!$I:$I,Toplantı!$B$13,Başvuru!$D:$D,$A$58))</f>
        <v>0</v>
      </c>
      <c r="L58" s="176">
        <f>IF($A58="","",COUNTIFS(Başvuru!$I:$I,Toplantı!$B$14,Başvuru!$D:$D,$A$58))</f>
        <v>0</v>
      </c>
      <c r="M58" s="176">
        <f>IF($A58="","",COUNTIFS(Başvuru!$I:$I,Toplantı!$B$15,Başvuru!$D:$D,$A$58))</f>
        <v>0</v>
      </c>
      <c r="N58" s="176">
        <f>IF($A58="","",COUNTIFS(Başvuru!$I:$I,Toplantı!$B$16,Başvuru!$D:$D,$A$58))</f>
        <v>0</v>
      </c>
      <c r="O58" s="176">
        <f>IF($A58="","",COUNTIFS(Başvuru!$I:$I,Toplantı!$B$17,Başvuru!$D:$D,$A$58))</f>
        <v>1</v>
      </c>
      <c r="P58" s="176">
        <f>IF($A58="","",COUNTIFS(Başvuru!$I:$I,Toplantı!$B$18,Başvuru!$D:$D,$A$58))</f>
        <v>0</v>
      </c>
      <c r="Q58" s="176">
        <f>IF($A58="","",COUNTIFS(Başvuru!$I:$I,Toplantı!$B$19,Başvuru!$D:$D,$A$58))</f>
        <v>0</v>
      </c>
      <c r="R58" s="176">
        <f>IF($A58="","",COUNTIFS(Başvuru!$I:$I,Toplantı!$B$20,Başvuru!$D:$D,$A$58))</f>
        <v>0</v>
      </c>
      <c r="S58" s="177">
        <f t="shared" si="1"/>
        <v>2</v>
      </c>
    </row>
    <row r="59" spans="1:19" x14ac:dyDescent="0.25">
      <c r="A59" s="175" t="str">
        <f>IF(Birim!C61="","",Birim!C61)</f>
        <v>Kalp ve Damar Cerrahisi Anabilim Dalı</v>
      </c>
      <c r="B59" s="176">
        <f>IF($A59="","",COUNTIFS(Başvuru!$I:$I,Toplantı!$B$4,Başvuru!$D:$D,$A$59))</f>
        <v>0</v>
      </c>
      <c r="C59" s="176">
        <f>IF($A59="","",COUNTIFS(Başvuru!$I:$I,Toplantı!$B$5,Başvuru!$D:$D,$A$59))</f>
        <v>0</v>
      </c>
      <c r="D59" s="176">
        <f>IF($A59="","",COUNTIFS(Başvuru!$I:$I,Toplantı!$B$6,Başvuru!$D:$D,$A$59))</f>
        <v>0</v>
      </c>
      <c r="E59" s="176">
        <f>IF($A59="","",COUNTIFS(Başvuru!$I:$I,Toplantı!$B$7,Başvuru!$D:$D,$A$59))</f>
        <v>0</v>
      </c>
      <c r="F59" s="176">
        <f>IF($A59="","",COUNTIFS(Başvuru!$I:$I,Toplantı!$B$8,Başvuru!$D:$D,$A$59))</f>
        <v>0</v>
      </c>
      <c r="G59" s="176">
        <f>IF($A59="","",COUNTIFS(Başvuru!$I:$I,Toplantı!$B$9,Başvuru!$D:$D,$A$59))</f>
        <v>0</v>
      </c>
      <c r="H59" s="176">
        <f>IF($A59="","",COUNTIFS(Başvuru!$I:$I,Toplantı!$B$10,Başvuru!$D:$D,$A$59))</f>
        <v>0</v>
      </c>
      <c r="I59" s="176">
        <f>IF($A59="","",COUNTIFS(Başvuru!$I:$I,Toplantı!$B$11,Başvuru!$D:$D,$A$59))</f>
        <v>0</v>
      </c>
      <c r="J59" s="176">
        <f>IF($A59="","",COUNTIFS(Başvuru!$I:$I,Toplantı!$B$12,Başvuru!$D:$D,$A$59))</f>
        <v>0</v>
      </c>
      <c r="K59" s="176">
        <f>IF($A59="","",COUNTIFS(Başvuru!$I:$I,Toplantı!$B$13,Başvuru!$D:$D,$A$59))</f>
        <v>0</v>
      </c>
      <c r="L59" s="176">
        <f>IF($A59="","",COUNTIFS(Başvuru!$I:$I,Toplantı!$B$14,Başvuru!$D:$D,$A$59))</f>
        <v>0</v>
      </c>
      <c r="M59" s="176">
        <f>IF($A59="","",COUNTIFS(Başvuru!$I:$I,Toplantı!$B$15,Başvuru!$D:$D,$A$59))</f>
        <v>0</v>
      </c>
      <c r="N59" s="176">
        <f>IF($A59="","",COUNTIFS(Başvuru!$I:$I,Toplantı!$B$16,Başvuru!$D:$D,$A$59))</f>
        <v>0</v>
      </c>
      <c r="O59" s="176">
        <f>IF($A59="","",COUNTIFS(Başvuru!$I:$I,Toplantı!$B$17,Başvuru!$D:$D,$A$59))</f>
        <v>0</v>
      </c>
      <c r="P59" s="176">
        <f>IF($A59="","",COUNTIFS(Başvuru!$I:$I,Toplantı!$B$18,Başvuru!$D:$D,$A$59))</f>
        <v>0</v>
      </c>
      <c r="Q59" s="176">
        <f>IF($A59="","",COUNTIFS(Başvuru!$I:$I,Toplantı!$B$19,Başvuru!$D:$D,$A$59))</f>
        <v>2</v>
      </c>
      <c r="R59" s="176">
        <f>IF($A59="","",COUNTIFS(Başvuru!$I:$I,Toplantı!$B$20,Başvuru!$D:$D,$A$59))</f>
        <v>0</v>
      </c>
      <c r="S59" s="177">
        <f t="shared" si="1"/>
        <v>2</v>
      </c>
    </row>
    <row r="60" spans="1:19" x14ac:dyDescent="0.25">
      <c r="A60" s="175" t="str">
        <f>IF(Birim!C62="","",Birim!C62)</f>
        <v>Sağlık Bilimleri Enstitüsü</v>
      </c>
      <c r="B60" s="176">
        <f>IF($A60="","",COUNTIFS(Başvuru!$I:$I,Toplantı!$B$4,Başvuru!$D:$D,$A$60))</f>
        <v>1</v>
      </c>
      <c r="C60" s="176">
        <f>IF($A60="","",COUNTIFS(Başvuru!$I:$I,Toplantı!$B$5,Başvuru!$D:$D,$A$60))</f>
        <v>0</v>
      </c>
      <c r="D60" s="176">
        <f>IF($A60="","",COUNTIFS(Başvuru!$I:$I,Toplantı!$B$6,Başvuru!$D:$D,$A$60))</f>
        <v>0</v>
      </c>
      <c r="E60" s="176">
        <f>IF($A60="","",COUNTIFS(Başvuru!$I:$I,Toplantı!$B$7,Başvuru!$D:$D,$A$60))</f>
        <v>0</v>
      </c>
      <c r="F60" s="176">
        <f>IF($A60="","",COUNTIFS(Başvuru!$I:$I,Toplantı!$B$8,Başvuru!$D:$D,$A$60))</f>
        <v>0</v>
      </c>
      <c r="G60" s="176">
        <f>IF($A60="","",COUNTIFS(Başvuru!$I:$I,Toplantı!$B$9,Başvuru!$D:$D,$A$60))</f>
        <v>0</v>
      </c>
      <c r="H60" s="176">
        <f>IF($A60="","",COUNTIFS(Başvuru!$I:$I,Toplantı!$B$10,Başvuru!$D:$D,$A$60))</f>
        <v>0</v>
      </c>
      <c r="I60" s="176">
        <f>IF($A60="","",COUNTIFS(Başvuru!$I:$I,Toplantı!$B$11,Başvuru!$D:$D,$A$60))</f>
        <v>0</v>
      </c>
      <c r="J60" s="176">
        <f>IF($A60="","",COUNTIFS(Başvuru!$I:$I,Toplantı!$B$12,Başvuru!$D:$D,$A$60))</f>
        <v>0</v>
      </c>
      <c r="K60" s="176">
        <f>IF($A60="","",COUNTIFS(Başvuru!$I:$I,Toplantı!$B$13,Başvuru!$D:$D,$A$60))</f>
        <v>0</v>
      </c>
      <c r="L60" s="176">
        <f>IF($A60="","",COUNTIFS(Başvuru!$I:$I,Toplantı!$B$14,Başvuru!$D:$D,$A$60))</f>
        <v>0</v>
      </c>
      <c r="M60" s="176">
        <f>IF($A60="","",COUNTIFS(Başvuru!$I:$I,Toplantı!$B$15,Başvuru!$D:$D,$A$60))</f>
        <v>0</v>
      </c>
      <c r="N60" s="176">
        <f>IF($A60="","",COUNTIFS(Başvuru!$I:$I,Toplantı!$B$16,Başvuru!$D:$D,$A$60))</f>
        <v>0</v>
      </c>
      <c r="O60" s="176">
        <f>IF($A60="","",COUNTIFS(Başvuru!$I:$I,Toplantı!$B$17,Başvuru!$D:$D,$A$60))</f>
        <v>0</v>
      </c>
      <c r="P60" s="176">
        <f>IF($A60="","",COUNTIFS(Başvuru!$I:$I,Toplantı!$B$18,Başvuru!$D:$D,$A$60))</f>
        <v>0</v>
      </c>
      <c r="Q60" s="176">
        <f>IF($A60="","",COUNTIFS(Başvuru!$I:$I,Toplantı!$B$19,Başvuru!$D:$D,$A$60))</f>
        <v>0</v>
      </c>
      <c r="R60" s="176">
        <f>IF($A60="","",COUNTIFS(Başvuru!$I:$I,Toplantı!$B$20,Başvuru!$D:$D,$A$60))</f>
        <v>0</v>
      </c>
      <c r="S60" s="177">
        <f t="shared" si="1"/>
        <v>1</v>
      </c>
    </row>
    <row r="61" spans="1:19" x14ac:dyDescent="0.25">
      <c r="A61" s="175" t="str">
        <f>IF(Birim!C63="","",Birim!C63)</f>
        <v>Moleküler Biyoloji Anabilim Dalı</v>
      </c>
      <c r="B61" s="176">
        <f>IF($A61="","",COUNTIFS(Başvuru!$I:$I,Toplantı!$B$4,Başvuru!$D:$D,$A$61))</f>
        <v>1</v>
      </c>
      <c r="C61" s="176">
        <f>IF($A61="","",COUNTIFS(Başvuru!$I:$I,Toplantı!$B$5,Başvuru!$D:$D,$A$61))</f>
        <v>0</v>
      </c>
      <c r="D61" s="176">
        <f>IF($A61="","",COUNTIFS(Başvuru!$I:$I,Toplantı!$B$6,Başvuru!$D:$D,$A$61))</f>
        <v>0</v>
      </c>
      <c r="E61" s="176">
        <f>IF($A61="","",COUNTIFS(Başvuru!$I:$I,Toplantı!$B$7,Başvuru!$D:$D,$A$61))</f>
        <v>0</v>
      </c>
      <c r="F61" s="176">
        <f>IF($A61="","",COUNTIFS(Başvuru!$I:$I,Toplantı!$B$8,Başvuru!$D:$D,$A$61))</f>
        <v>0</v>
      </c>
      <c r="G61" s="176">
        <f>IF($A61="","",COUNTIFS(Başvuru!$I:$I,Toplantı!$B$9,Başvuru!$D:$D,$A$61))</f>
        <v>0</v>
      </c>
      <c r="H61" s="176">
        <f>IF($A61="","",COUNTIFS(Başvuru!$I:$I,Toplantı!$B$10,Başvuru!$D:$D,$A$61))</f>
        <v>0</v>
      </c>
      <c r="I61" s="176">
        <f>IF($A61="","",COUNTIFS(Başvuru!$I:$I,Toplantı!$B$11,Başvuru!$D:$D,$A$61))</f>
        <v>0</v>
      </c>
      <c r="J61" s="176">
        <f>IF($A61="","",COUNTIFS(Başvuru!$I:$I,Toplantı!$B$12,Başvuru!$D:$D,$A$61))</f>
        <v>0</v>
      </c>
      <c r="K61" s="176">
        <f>IF($A61="","",COUNTIFS(Başvuru!$I:$I,Toplantı!$B$13,Başvuru!$D:$D,$A$61))</f>
        <v>0</v>
      </c>
      <c r="L61" s="176">
        <f>IF($A61="","",COUNTIFS(Başvuru!$I:$I,Toplantı!$B$14,Başvuru!$D:$D,$A$61))</f>
        <v>0</v>
      </c>
      <c r="M61" s="176">
        <f>IF($A61="","",COUNTIFS(Başvuru!$I:$I,Toplantı!$B$15,Başvuru!$D:$D,$A$61))</f>
        <v>0</v>
      </c>
      <c r="N61" s="176">
        <f>IF($A61="","",COUNTIFS(Başvuru!$I:$I,Toplantı!$B$16,Başvuru!$D:$D,$A$61))</f>
        <v>0</v>
      </c>
      <c r="O61" s="176">
        <f>IF($A61="","",COUNTIFS(Başvuru!$I:$I,Toplantı!$B$17,Başvuru!$D:$D,$A$61))</f>
        <v>0</v>
      </c>
      <c r="P61" s="176">
        <f>IF($A61="","",COUNTIFS(Başvuru!$I:$I,Toplantı!$B$18,Başvuru!$D:$D,$A$61))</f>
        <v>0</v>
      </c>
      <c r="Q61" s="176">
        <f>IF($A61="","",COUNTIFS(Başvuru!$I:$I,Toplantı!$B$19,Başvuru!$D:$D,$A$61))</f>
        <v>0</v>
      </c>
      <c r="R61" s="176">
        <f>IF($A61="","",COUNTIFS(Başvuru!$I:$I,Toplantı!$B$20,Başvuru!$D:$D,$A$61))</f>
        <v>0</v>
      </c>
      <c r="S61" s="177">
        <f t="shared" si="1"/>
        <v>1</v>
      </c>
    </row>
    <row r="62" spans="1:19" x14ac:dyDescent="0.25">
      <c r="A62" s="175" t="str">
        <f>IF(Birim!C64="","",Birim!C64)</f>
        <v>Fizikokimya Anabilim Dalı</v>
      </c>
      <c r="B62" s="176">
        <f>IF($A62="","",COUNTIFS(Başvuru!$I:$I,Toplantı!$B$4,Başvuru!$D:$D,$A$62))</f>
        <v>1</v>
      </c>
      <c r="C62" s="176">
        <f>IF($A62="","",COUNTIFS(Başvuru!$I:$I,Toplantı!$B$5,Başvuru!$D:$D,$A$62))</f>
        <v>0</v>
      </c>
      <c r="D62" s="176">
        <f>IF($A62="","",COUNTIFS(Başvuru!$I:$I,Toplantı!$B$6,Başvuru!$D:$D,$A$62))</f>
        <v>0</v>
      </c>
      <c r="E62" s="176">
        <f>IF($A62="","",COUNTIFS(Başvuru!$I:$I,Toplantı!$B$7,Başvuru!$D:$D,$A$62))</f>
        <v>0</v>
      </c>
      <c r="F62" s="176">
        <f>IF($A62="","",COUNTIFS(Başvuru!$I:$I,Toplantı!$B$8,Başvuru!$D:$D,$A$62))</f>
        <v>0</v>
      </c>
      <c r="G62" s="176">
        <f>IF($A62="","",COUNTIFS(Başvuru!$I:$I,Toplantı!$B$9,Başvuru!$D:$D,$A$62))</f>
        <v>0</v>
      </c>
      <c r="H62" s="176">
        <f>IF($A62="","",COUNTIFS(Başvuru!$I:$I,Toplantı!$B$10,Başvuru!$D:$D,$A$62))</f>
        <v>0</v>
      </c>
      <c r="I62" s="176">
        <f>IF($A62="","",COUNTIFS(Başvuru!$I:$I,Toplantı!$B$11,Başvuru!$D:$D,$A$62))</f>
        <v>0</v>
      </c>
      <c r="J62" s="176">
        <f>IF($A62="","",COUNTIFS(Başvuru!$I:$I,Toplantı!$B$12,Başvuru!$D:$D,$A$62))</f>
        <v>0</v>
      </c>
      <c r="K62" s="176">
        <f>IF($A62="","",COUNTIFS(Başvuru!$I:$I,Toplantı!$B$13,Başvuru!$D:$D,$A$62))</f>
        <v>0</v>
      </c>
      <c r="L62" s="176">
        <f>IF($A62="","",COUNTIFS(Başvuru!$I:$I,Toplantı!$B$14,Başvuru!$D:$D,$A$62))</f>
        <v>0</v>
      </c>
      <c r="M62" s="176">
        <f>IF($A62="","",COUNTIFS(Başvuru!$I:$I,Toplantı!$B$15,Başvuru!$D:$D,$A$62))</f>
        <v>0</v>
      </c>
      <c r="N62" s="176">
        <f>IF($A62="","",COUNTIFS(Başvuru!$I:$I,Toplantı!$B$16,Başvuru!$D:$D,$A$62))</f>
        <v>0</v>
      </c>
      <c r="O62" s="176">
        <f>IF($A62="","",COUNTIFS(Başvuru!$I:$I,Toplantı!$B$17,Başvuru!$D:$D,$A$62))</f>
        <v>0</v>
      </c>
      <c r="P62" s="176">
        <f>IF($A62="","",COUNTIFS(Başvuru!$I:$I,Toplantı!$B$18,Başvuru!$D:$D,$A$62))</f>
        <v>0</v>
      </c>
      <c r="Q62" s="176">
        <f>IF($A62="","",COUNTIFS(Başvuru!$I:$I,Toplantı!$B$19,Başvuru!$D:$D,$A$62))</f>
        <v>0</v>
      </c>
      <c r="R62" s="176">
        <f>IF($A62="","",COUNTIFS(Başvuru!$I:$I,Toplantı!$B$20,Başvuru!$D:$D,$A$62))</f>
        <v>0</v>
      </c>
      <c r="S62" s="177">
        <f t="shared" si="1"/>
        <v>1</v>
      </c>
    </row>
    <row r="63" spans="1:19" x14ac:dyDescent="0.25">
      <c r="A63" s="175" t="str">
        <f>IF(Birim!C65="","",Birim!C65)</f>
        <v>Sağlık Araştırmaları Anabilim Dalı</v>
      </c>
      <c r="B63" s="176">
        <f>IF($A63="","",COUNTIFS(Başvuru!$I:$I,Toplantı!$B$4,Başvuru!$D:$D,$A$63))</f>
        <v>1</v>
      </c>
      <c r="C63" s="176">
        <f>IF($A63="","",COUNTIFS(Başvuru!$I:$I,Toplantı!$B$5,Başvuru!$D:$D,$A$63))</f>
        <v>0</v>
      </c>
      <c r="D63" s="176">
        <f>IF($A63="","",COUNTIFS(Başvuru!$I:$I,Toplantı!$B$6,Başvuru!$D:$D,$A$63))</f>
        <v>0</v>
      </c>
      <c r="E63" s="176">
        <f>IF($A63="","",COUNTIFS(Başvuru!$I:$I,Toplantı!$B$7,Başvuru!$D:$D,$A$63))</f>
        <v>0</v>
      </c>
      <c r="F63" s="176">
        <f>IF($A63="","",COUNTIFS(Başvuru!$I:$I,Toplantı!$B$8,Başvuru!$D:$D,$A$63))</f>
        <v>0</v>
      </c>
      <c r="G63" s="176">
        <f>IF($A63="","",COUNTIFS(Başvuru!$I:$I,Toplantı!$B$9,Başvuru!$D:$D,$A$63))</f>
        <v>0</v>
      </c>
      <c r="H63" s="176">
        <f>IF($A63="","",COUNTIFS(Başvuru!$I:$I,Toplantı!$B$10,Başvuru!$D:$D,$A$63))</f>
        <v>0</v>
      </c>
      <c r="I63" s="176">
        <f>IF($A63="","",COUNTIFS(Başvuru!$I:$I,Toplantı!$B$11,Başvuru!$D:$D,$A$63))</f>
        <v>0</v>
      </c>
      <c r="J63" s="176">
        <f>IF($A63="","",COUNTIFS(Başvuru!$I:$I,Toplantı!$B$12,Başvuru!$D:$D,$A$63))</f>
        <v>0</v>
      </c>
      <c r="K63" s="176">
        <f>IF($A63="","",COUNTIFS(Başvuru!$I:$I,Toplantı!$B$13,Başvuru!$D:$D,$A$63))</f>
        <v>0</v>
      </c>
      <c r="L63" s="176">
        <f>IF($A63="","",COUNTIFS(Başvuru!$I:$I,Toplantı!$B$14,Başvuru!$D:$D,$A$63))</f>
        <v>0</v>
      </c>
      <c r="M63" s="176">
        <f>IF($A63="","",COUNTIFS(Başvuru!$I:$I,Toplantı!$B$15,Başvuru!$D:$D,$A$63))</f>
        <v>0</v>
      </c>
      <c r="N63" s="176">
        <f>IF($A63="","",COUNTIFS(Başvuru!$I:$I,Toplantı!$B$16,Başvuru!$D:$D,$A$63))</f>
        <v>0</v>
      </c>
      <c r="O63" s="176">
        <f>IF($A63="","",COUNTIFS(Başvuru!$I:$I,Toplantı!$B$17,Başvuru!$D:$D,$A$63))</f>
        <v>0</v>
      </c>
      <c r="P63" s="176">
        <f>IF($A63="","",COUNTIFS(Başvuru!$I:$I,Toplantı!$B$18,Başvuru!$D:$D,$A$63))</f>
        <v>0</v>
      </c>
      <c r="Q63" s="176">
        <f>IF($A63="","",COUNTIFS(Başvuru!$I:$I,Toplantı!$B$19,Başvuru!$D:$D,$A$63))</f>
        <v>0</v>
      </c>
      <c r="R63" s="176">
        <f>IF($A63="","",COUNTIFS(Başvuru!$I:$I,Toplantı!$B$20,Başvuru!$D:$D,$A$63))</f>
        <v>0</v>
      </c>
      <c r="S63" s="177">
        <f t="shared" si="1"/>
        <v>1</v>
      </c>
    </row>
    <row r="64" spans="1:19" x14ac:dyDescent="0.25">
      <c r="A64" s="175" t="str">
        <f>IF(Birim!C66="","",Birim!C66)</f>
        <v>Barcelona Institute for Global Health</v>
      </c>
      <c r="B64" s="176">
        <f>IF($A64="","",COUNTIFS(Başvuru!$I:$I,Toplantı!$B$4,Başvuru!$D:$D,$A$64))</f>
        <v>0</v>
      </c>
      <c r="C64" s="176">
        <f>IF($A64="","",COUNTIFS(Başvuru!$I:$I,Toplantı!$B$5,Başvuru!$D:$D,$A$64))</f>
        <v>1</v>
      </c>
      <c r="D64" s="176">
        <f>IF($A64="","",COUNTIFS(Başvuru!$I:$I,Toplantı!$B$6,Başvuru!$D:$D,$A$64))</f>
        <v>0</v>
      </c>
      <c r="E64" s="176">
        <f>IF($A64="","",COUNTIFS(Başvuru!$I:$I,Toplantı!$B$7,Başvuru!$D:$D,$A$64))</f>
        <v>0</v>
      </c>
      <c r="F64" s="176">
        <f>IF($A64="","",COUNTIFS(Başvuru!$I:$I,Toplantı!$B$8,Başvuru!$D:$D,$A$64))</f>
        <v>0</v>
      </c>
      <c r="G64" s="176">
        <f>IF($A64="","",COUNTIFS(Başvuru!$I:$I,Toplantı!$B$9,Başvuru!$D:$D,$A$64))</f>
        <v>0</v>
      </c>
      <c r="H64" s="176">
        <f>IF($A64="","",COUNTIFS(Başvuru!$I:$I,Toplantı!$B$10,Başvuru!$D:$D,$A$64))</f>
        <v>0</v>
      </c>
      <c r="I64" s="176">
        <f>IF($A64="","",COUNTIFS(Başvuru!$I:$I,Toplantı!$B$11,Başvuru!$D:$D,$A$64))</f>
        <v>0</v>
      </c>
      <c r="J64" s="176">
        <f>IF($A64="","",COUNTIFS(Başvuru!$I:$I,Toplantı!$B$12,Başvuru!$D:$D,$A$64))</f>
        <v>0</v>
      </c>
      <c r="K64" s="176">
        <f>IF($A64="","",COUNTIFS(Başvuru!$I:$I,Toplantı!$B$13,Başvuru!$D:$D,$A$64))</f>
        <v>0</v>
      </c>
      <c r="L64" s="176">
        <f>IF($A64="","",COUNTIFS(Başvuru!$I:$I,Toplantı!$B$14,Başvuru!$D:$D,$A$64))</f>
        <v>0</v>
      </c>
      <c r="M64" s="176">
        <f>IF($A64="","",COUNTIFS(Başvuru!$I:$I,Toplantı!$B$15,Başvuru!$D:$D,$A$64))</f>
        <v>0</v>
      </c>
      <c r="N64" s="176">
        <f>IF($A64="","",COUNTIFS(Başvuru!$I:$I,Toplantı!$B$16,Başvuru!$D:$D,$A$64))</f>
        <v>0</v>
      </c>
      <c r="O64" s="176">
        <f>IF($A64="","",COUNTIFS(Başvuru!$I:$I,Toplantı!$B$17,Başvuru!$D:$D,$A$64))</f>
        <v>0</v>
      </c>
      <c r="P64" s="176">
        <f>IF($A64="","",COUNTIFS(Başvuru!$I:$I,Toplantı!$B$18,Başvuru!$D:$D,$A$64))</f>
        <v>0</v>
      </c>
      <c r="Q64" s="176">
        <f>IF($A64="","",COUNTIFS(Başvuru!$I:$I,Toplantı!$B$19,Başvuru!$D:$D,$A$64))</f>
        <v>0</v>
      </c>
      <c r="R64" s="176">
        <f>IF($A64="","",COUNTIFS(Başvuru!$I:$I,Toplantı!$B$20,Başvuru!$D:$D,$A$64))</f>
        <v>0</v>
      </c>
      <c r="S64" s="177">
        <f t="shared" si="1"/>
        <v>1</v>
      </c>
    </row>
    <row r="65" spans="1:19" x14ac:dyDescent="0.25">
      <c r="A65" s="175" t="str">
        <f>IF(Birim!C67="","",Birim!C67)</f>
        <v>Sosyal Pediatri Anabilim Dalı</v>
      </c>
      <c r="B65" s="176">
        <f>IF($A65="","",COUNTIFS(Başvuru!$I:$I,Toplantı!$B$4,Başvuru!$D:$D,$A$65))</f>
        <v>0</v>
      </c>
      <c r="C65" s="176">
        <f>IF($A65="","",COUNTIFS(Başvuru!$I:$I,Toplantı!$B$5,Başvuru!$D:$D,$A$65))</f>
        <v>1</v>
      </c>
      <c r="D65" s="176">
        <f>IF($A65="","",COUNTIFS(Başvuru!$I:$I,Toplantı!$B$6,Başvuru!$D:$D,$A$65))</f>
        <v>0</v>
      </c>
      <c r="E65" s="176">
        <f>IF($A65="","",COUNTIFS(Başvuru!$I:$I,Toplantı!$B$7,Başvuru!$D:$D,$A$65))</f>
        <v>0</v>
      </c>
      <c r="F65" s="176">
        <f>IF($A65="","",COUNTIFS(Başvuru!$I:$I,Toplantı!$B$8,Başvuru!$D:$D,$A$65))</f>
        <v>0</v>
      </c>
      <c r="G65" s="176">
        <f>IF($A65="","",COUNTIFS(Başvuru!$I:$I,Toplantı!$B$9,Başvuru!$D:$D,$A$65))</f>
        <v>0</v>
      </c>
      <c r="H65" s="176">
        <f>IF($A65="","",COUNTIFS(Başvuru!$I:$I,Toplantı!$B$10,Başvuru!$D:$D,$A$65))</f>
        <v>0</v>
      </c>
      <c r="I65" s="176">
        <f>IF($A65="","",COUNTIFS(Başvuru!$I:$I,Toplantı!$B$11,Başvuru!$D:$D,$A$65))</f>
        <v>0</v>
      </c>
      <c r="J65" s="176">
        <f>IF($A65="","",COUNTIFS(Başvuru!$I:$I,Toplantı!$B$12,Başvuru!$D:$D,$A$65))</f>
        <v>0</v>
      </c>
      <c r="K65" s="176">
        <f>IF($A65="","",COUNTIFS(Başvuru!$I:$I,Toplantı!$B$13,Başvuru!$D:$D,$A$65))</f>
        <v>0</v>
      </c>
      <c r="L65" s="176">
        <f>IF($A65="","",COUNTIFS(Başvuru!$I:$I,Toplantı!$B$14,Başvuru!$D:$D,$A$65))</f>
        <v>0</v>
      </c>
      <c r="M65" s="176">
        <f>IF($A65="","",COUNTIFS(Başvuru!$I:$I,Toplantı!$B$15,Başvuru!$D:$D,$A$65))</f>
        <v>0</v>
      </c>
      <c r="N65" s="176">
        <f>IF($A65="","",COUNTIFS(Başvuru!$I:$I,Toplantı!$B$16,Başvuru!$D:$D,$A$65))</f>
        <v>0</v>
      </c>
      <c r="O65" s="176">
        <f>IF($A65="","",COUNTIFS(Başvuru!$I:$I,Toplantı!$B$17,Başvuru!$D:$D,$A$65))</f>
        <v>0</v>
      </c>
      <c r="P65" s="176">
        <f>IF($A65="","",COUNTIFS(Başvuru!$I:$I,Toplantı!$B$18,Başvuru!$D:$D,$A$65))</f>
        <v>0</v>
      </c>
      <c r="Q65" s="176">
        <f>IF($A65="","",COUNTIFS(Başvuru!$I:$I,Toplantı!$B$19,Başvuru!$D:$D,$A$65))</f>
        <v>0</v>
      </c>
      <c r="R65" s="176">
        <f>IF($A65="","",COUNTIFS(Başvuru!$I:$I,Toplantı!$B$20,Başvuru!$D:$D,$A$65))</f>
        <v>0</v>
      </c>
      <c r="S65" s="177">
        <f t="shared" si="1"/>
        <v>1</v>
      </c>
    </row>
    <row r="66" spans="1:19" x14ac:dyDescent="0.25">
      <c r="A66" s="175" t="str">
        <f>IF(Birim!C68="","",Birim!C68)</f>
        <v>Tıbbi Laboratuvar Teknikleri Programı</v>
      </c>
      <c r="B66" s="176">
        <f>IF($A66="","",COUNTIFS(Başvuru!$I:$I,Toplantı!$B$4,Başvuru!$D:$D,$A$66))</f>
        <v>0</v>
      </c>
      <c r="C66" s="176">
        <f>IF($A66="","",COUNTIFS(Başvuru!$I:$I,Toplantı!$B$5,Başvuru!$D:$D,$A$66))</f>
        <v>0</v>
      </c>
      <c r="D66" s="176">
        <f>IF($A66="","",COUNTIFS(Başvuru!$I:$I,Toplantı!$B$6,Başvuru!$D:$D,$A$66))</f>
        <v>1</v>
      </c>
      <c r="E66" s="176">
        <f>IF($A66="","",COUNTIFS(Başvuru!$I:$I,Toplantı!$B$7,Başvuru!$D:$D,$A$66))</f>
        <v>0</v>
      </c>
      <c r="F66" s="176">
        <f>IF($A66="","",COUNTIFS(Başvuru!$I:$I,Toplantı!$B$8,Başvuru!$D:$D,$A$66))</f>
        <v>0</v>
      </c>
      <c r="G66" s="176">
        <f>IF($A66="","",COUNTIFS(Başvuru!$I:$I,Toplantı!$B$9,Başvuru!$D:$D,$A$66))</f>
        <v>0</v>
      </c>
      <c r="H66" s="176">
        <f>IF($A66="","",COUNTIFS(Başvuru!$I:$I,Toplantı!$B$10,Başvuru!$D:$D,$A$66))</f>
        <v>0</v>
      </c>
      <c r="I66" s="176">
        <f>IF($A66="","",COUNTIFS(Başvuru!$I:$I,Toplantı!$B$11,Başvuru!$D:$D,$A$66))</f>
        <v>0</v>
      </c>
      <c r="J66" s="176">
        <f>IF($A66="","",COUNTIFS(Başvuru!$I:$I,Toplantı!$B$12,Başvuru!$D:$D,$A$66))</f>
        <v>0</v>
      </c>
      <c r="K66" s="176">
        <f>IF($A66="","",COUNTIFS(Başvuru!$I:$I,Toplantı!$B$13,Başvuru!$D:$D,$A$66))</f>
        <v>0</v>
      </c>
      <c r="L66" s="176">
        <f>IF($A66="","",COUNTIFS(Başvuru!$I:$I,Toplantı!$B$14,Başvuru!$D:$D,$A$66))</f>
        <v>0</v>
      </c>
      <c r="M66" s="176">
        <f>IF($A66="","",COUNTIFS(Başvuru!$I:$I,Toplantı!$B$15,Başvuru!$D:$D,$A$66))</f>
        <v>0</v>
      </c>
      <c r="N66" s="176">
        <f>IF($A66="","",COUNTIFS(Başvuru!$I:$I,Toplantı!$B$16,Başvuru!$D:$D,$A$66))</f>
        <v>0</v>
      </c>
      <c r="O66" s="176">
        <f>IF($A66="","",COUNTIFS(Başvuru!$I:$I,Toplantı!$B$17,Başvuru!$D:$D,$A$66))</f>
        <v>0</v>
      </c>
      <c r="P66" s="176">
        <f>IF($A66="","",COUNTIFS(Başvuru!$I:$I,Toplantı!$B$18,Başvuru!$D:$D,$A$66))</f>
        <v>0</v>
      </c>
      <c r="Q66" s="176">
        <f>IF($A66="","",COUNTIFS(Başvuru!$I:$I,Toplantı!$B$19,Başvuru!$D:$D,$A$66))</f>
        <v>0</v>
      </c>
      <c r="R66" s="176">
        <f>IF($A66="","",COUNTIFS(Başvuru!$I:$I,Toplantı!$B$20,Başvuru!$D:$D,$A$66))</f>
        <v>0</v>
      </c>
      <c r="S66" s="177">
        <f t="shared" si="1"/>
        <v>1</v>
      </c>
    </row>
    <row r="67" spans="1:19" x14ac:dyDescent="0.25">
      <c r="A67" s="175" t="str">
        <f>IF(Birim!C69="","",Birim!C69)</f>
        <v>Biyoinformatik Anabilim Dalı</v>
      </c>
      <c r="B67" s="176">
        <f>IF($A67="","",COUNTIFS(Başvuru!$I:$I,Toplantı!$B$4,Başvuru!$D:$D,$A$67))</f>
        <v>0</v>
      </c>
      <c r="C67" s="176">
        <f>IF($A67="","",COUNTIFS(Başvuru!$I:$I,Toplantı!$B$5,Başvuru!$D:$D,$A$67))</f>
        <v>0</v>
      </c>
      <c r="D67" s="176">
        <f>IF($A67="","",COUNTIFS(Başvuru!$I:$I,Toplantı!$B$6,Başvuru!$D:$D,$A$67))</f>
        <v>1</v>
      </c>
      <c r="E67" s="176">
        <f>IF($A67="","",COUNTIFS(Başvuru!$I:$I,Toplantı!$B$7,Başvuru!$D:$D,$A$67))</f>
        <v>0</v>
      </c>
      <c r="F67" s="176">
        <f>IF($A67="","",COUNTIFS(Başvuru!$I:$I,Toplantı!$B$8,Başvuru!$D:$D,$A$67))</f>
        <v>0</v>
      </c>
      <c r="G67" s="176">
        <f>IF($A67="","",COUNTIFS(Başvuru!$I:$I,Toplantı!$B$9,Başvuru!$D:$D,$A$67))</f>
        <v>0</v>
      </c>
      <c r="H67" s="176">
        <f>IF($A67="","",COUNTIFS(Başvuru!$I:$I,Toplantı!$B$10,Başvuru!$D:$D,$A$67))</f>
        <v>0</v>
      </c>
      <c r="I67" s="176">
        <f>IF($A67="","",COUNTIFS(Başvuru!$I:$I,Toplantı!$B$11,Başvuru!$D:$D,$A$67))</f>
        <v>0</v>
      </c>
      <c r="J67" s="176">
        <f>IF($A67="","",COUNTIFS(Başvuru!$I:$I,Toplantı!$B$12,Başvuru!$D:$D,$A$67))</f>
        <v>0</v>
      </c>
      <c r="K67" s="176">
        <f>IF($A67="","",COUNTIFS(Başvuru!$I:$I,Toplantı!$B$13,Başvuru!$D:$D,$A$67))</f>
        <v>0</v>
      </c>
      <c r="L67" s="176">
        <f>IF($A67="","",COUNTIFS(Başvuru!$I:$I,Toplantı!$B$14,Başvuru!$D:$D,$A$67))</f>
        <v>0</v>
      </c>
      <c r="M67" s="176">
        <f>IF($A67="","",COUNTIFS(Başvuru!$I:$I,Toplantı!$B$15,Başvuru!$D:$D,$A$67))</f>
        <v>0</v>
      </c>
      <c r="N67" s="176">
        <f>IF($A67="","",COUNTIFS(Başvuru!$I:$I,Toplantı!$B$16,Başvuru!$D:$D,$A$67))</f>
        <v>0</v>
      </c>
      <c r="O67" s="176">
        <f>IF($A67="","",COUNTIFS(Başvuru!$I:$I,Toplantı!$B$17,Başvuru!$D:$D,$A$67))</f>
        <v>0</v>
      </c>
      <c r="P67" s="176">
        <f>IF($A67="","",COUNTIFS(Başvuru!$I:$I,Toplantı!$B$18,Başvuru!$D:$D,$A$67))</f>
        <v>0</v>
      </c>
      <c r="Q67" s="176">
        <f>IF($A67="","",COUNTIFS(Başvuru!$I:$I,Toplantı!$B$19,Başvuru!$D:$D,$A$67))</f>
        <v>0</v>
      </c>
      <c r="R67" s="176">
        <f>IF($A67="","",COUNTIFS(Başvuru!$I:$I,Toplantı!$B$20,Başvuru!$D:$D,$A$67))</f>
        <v>0</v>
      </c>
      <c r="S67" s="177">
        <f t="shared" si="1"/>
        <v>1</v>
      </c>
    </row>
    <row r="68" spans="1:19" x14ac:dyDescent="0.25">
      <c r="A68" s="175" t="str">
        <f>IF(Birim!C70="","",Birim!C70)</f>
        <v>Çocuk Sağlığı Entitüsü</v>
      </c>
      <c r="B68" s="176">
        <f>IF($A68="","",COUNTIFS(Başvuru!$I:$I,Toplantı!$B$4,Başvuru!$D:$D,$A$68))</f>
        <v>0</v>
      </c>
      <c r="C68" s="176">
        <f>IF($A68="","",COUNTIFS(Başvuru!$I:$I,Toplantı!$B$5,Başvuru!$D:$D,$A$68))</f>
        <v>0</v>
      </c>
      <c r="D68" s="176">
        <f>IF($A68="","",COUNTIFS(Başvuru!$I:$I,Toplantı!$B$6,Başvuru!$D:$D,$A$68))</f>
        <v>0</v>
      </c>
      <c r="E68" s="176">
        <f>IF($A68="","",COUNTIFS(Başvuru!$I:$I,Toplantı!$B$7,Başvuru!$D:$D,$A$68))</f>
        <v>0</v>
      </c>
      <c r="F68" s="176">
        <f>IF($A68="","",COUNTIFS(Başvuru!$I:$I,Toplantı!$B$8,Başvuru!$D:$D,$A$68))</f>
        <v>0</v>
      </c>
      <c r="G68" s="176">
        <f>IF($A68="","",COUNTIFS(Başvuru!$I:$I,Toplantı!$B$9,Başvuru!$D:$D,$A$68))</f>
        <v>1</v>
      </c>
      <c r="H68" s="176">
        <f>IF($A68="","",COUNTIFS(Başvuru!$I:$I,Toplantı!$B$10,Başvuru!$D:$D,$A$68))</f>
        <v>0</v>
      </c>
      <c r="I68" s="176">
        <f>IF($A68="","",COUNTIFS(Başvuru!$I:$I,Toplantı!$B$11,Başvuru!$D:$D,$A$68))</f>
        <v>0</v>
      </c>
      <c r="J68" s="176">
        <f>IF($A68="","",COUNTIFS(Başvuru!$I:$I,Toplantı!$B$12,Başvuru!$D:$D,$A$68))</f>
        <v>0</v>
      </c>
      <c r="K68" s="176">
        <f>IF($A68="","",COUNTIFS(Başvuru!$I:$I,Toplantı!$B$13,Başvuru!$D:$D,$A$68))</f>
        <v>0</v>
      </c>
      <c r="L68" s="176">
        <f>IF($A68="","",COUNTIFS(Başvuru!$I:$I,Toplantı!$B$14,Başvuru!$D:$D,$A$68))</f>
        <v>0</v>
      </c>
      <c r="M68" s="176">
        <f>IF($A68="","",COUNTIFS(Başvuru!$I:$I,Toplantı!$B$15,Başvuru!$D:$D,$A$68))</f>
        <v>0</v>
      </c>
      <c r="N68" s="176">
        <f>IF($A68="","",COUNTIFS(Başvuru!$I:$I,Toplantı!$B$16,Başvuru!$D:$D,$A$68))</f>
        <v>0</v>
      </c>
      <c r="O68" s="176">
        <f>IF($A68="","",COUNTIFS(Başvuru!$I:$I,Toplantı!$B$17,Başvuru!$D:$D,$A$68))</f>
        <v>0</v>
      </c>
      <c r="P68" s="176">
        <f>IF($A68="","",COUNTIFS(Başvuru!$I:$I,Toplantı!$B$18,Başvuru!$D:$D,$A$68))</f>
        <v>0</v>
      </c>
      <c r="Q68" s="176">
        <f>IF($A68="","",COUNTIFS(Başvuru!$I:$I,Toplantı!$B$19,Başvuru!$D:$D,$A$68))</f>
        <v>0</v>
      </c>
      <c r="R68" s="176">
        <f>IF($A68="","",COUNTIFS(Başvuru!$I:$I,Toplantı!$B$20,Başvuru!$D:$D,$A$68))</f>
        <v>0</v>
      </c>
      <c r="S68" s="177">
        <f t="shared" ref="S68:S99" si="2">SUM(B68:R68)</f>
        <v>1</v>
      </c>
    </row>
    <row r="69" spans="1:19" x14ac:dyDescent="0.25">
      <c r="A69" s="175" t="str">
        <f>IF(Birim!C71="","",Birim!C71)</f>
        <v>Tıbbi Genetik Anabilim Dalı</v>
      </c>
      <c r="B69" s="176">
        <f>IF($A69="","",COUNTIFS(Başvuru!$I:$I,Toplantı!$B$4,Başvuru!$D:$D,$A$69))</f>
        <v>0</v>
      </c>
      <c r="C69" s="176">
        <f>IF($A69="","",COUNTIFS(Başvuru!$I:$I,Toplantı!$B$5,Başvuru!$D:$D,$A$69))</f>
        <v>0</v>
      </c>
      <c r="D69" s="176">
        <f>IF($A69="","",COUNTIFS(Başvuru!$I:$I,Toplantı!$B$6,Başvuru!$D:$D,$A$69))</f>
        <v>0</v>
      </c>
      <c r="E69" s="176">
        <f>IF($A69="","",COUNTIFS(Başvuru!$I:$I,Toplantı!$B$7,Başvuru!$D:$D,$A$69))</f>
        <v>0</v>
      </c>
      <c r="F69" s="176">
        <f>IF($A69="","",COUNTIFS(Başvuru!$I:$I,Toplantı!$B$8,Başvuru!$D:$D,$A$69))</f>
        <v>0</v>
      </c>
      <c r="G69" s="176">
        <f>IF($A69="","",COUNTIFS(Başvuru!$I:$I,Toplantı!$B$9,Başvuru!$D:$D,$A$69))</f>
        <v>0</v>
      </c>
      <c r="H69" s="176">
        <f>IF($A69="","",COUNTIFS(Başvuru!$I:$I,Toplantı!$B$10,Başvuru!$D:$D,$A$69))</f>
        <v>1</v>
      </c>
      <c r="I69" s="176">
        <f>IF($A69="","",COUNTIFS(Başvuru!$I:$I,Toplantı!$B$11,Başvuru!$D:$D,$A$69))</f>
        <v>0</v>
      </c>
      <c r="J69" s="176">
        <f>IF($A69="","",COUNTIFS(Başvuru!$I:$I,Toplantı!$B$12,Başvuru!$D:$D,$A$69))</f>
        <v>0</v>
      </c>
      <c r="K69" s="176">
        <f>IF($A69="","",COUNTIFS(Başvuru!$I:$I,Toplantı!$B$13,Başvuru!$D:$D,$A$69))</f>
        <v>0</v>
      </c>
      <c r="L69" s="176">
        <f>IF($A69="","",COUNTIFS(Başvuru!$I:$I,Toplantı!$B$14,Başvuru!$D:$D,$A$69))</f>
        <v>0</v>
      </c>
      <c r="M69" s="176">
        <f>IF($A69="","",COUNTIFS(Başvuru!$I:$I,Toplantı!$B$15,Başvuru!$D:$D,$A$69))</f>
        <v>0</v>
      </c>
      <c r="N69" s="176">
        <f>IF($A69="","",COUNTIFS(Başvuru!$I:$I,Toplantı!$B$16,Başvuru!$D:$D,$A$69))</f>
        <v>0</v>
      </c>
      <c r="O69" s="176">
        <f>IF($A69="","",COUNTIFS(Başvuru!$I:$I,Toplantı!$B$17,Başvuru!$D:$D,$A$69))</f>
        <v>0</v>
      </c>
      <c r="P69" s="176">
        <f>IF($A69="","",COUNTIFS(Başvuru!$I:$I,Toplantı!$B$18,Başvuru!$D:$D,$A$69))</f>
        <v>0</v>
      </c>
      <c r="Q69" s="176">
        <f>IF($A69="","",COUNTIFS(Başvuru!$I:$I,Toplantı!$B$19,Başvuru!$D:$D,$A$69))</f>
        <v>0</v>
      </c>
      <c r="R69" s="176">
        <f>IF($A69="","",COUNTIFS(Başvuru!$I:$I,Toplantı!$B$20,Başvuru!$D:$D,$A$69))</f>
        <v>0</v>
      </c>
      <c r="S69" s="177">
        <f t="shared" si="2"/>
        <v>1</v>
      </c>
    </row>
    <row r="70" spans="1:19" x14ac:dyDescent="0.25">
      <c r="A70" s="175" t="str">
        <f>IF(Birim!C72="","",Birim!C72)</f>
        <v>Genel Cerrahi Anabilim Dalı</v>
      </c>
      <c r="B70" s="176">
        <f>IF($A70="","",COUNTIFS(Başvuru!$I:$I,Toplantı!$B$4,Başvuru!$D:$D,$A$70))</f>
        <v>0</v>
      </c>
      <c r="C70" s="176">
        <f>IF($A70="","",COUNTIFS(Başvuru!$I:$I,Toplantı!$B$5,Başvuru!$D:$D,$A$70))</f>
        <v>0</v>
      </c>
      <c r="D70" s="176">
        <f>IF($A70="","",COUNTIFS(Başvuru!$I:$I,Toplantı!$B$6,Başvuru!$D:$D,$A$70))</f>
        <v>0</v>
      </c>
      <c r="E70" s="176">
        <f>IF($A70="","",COUNTIFS(Başvuru!$I:$I,Toplantı!$B$7,Başvuru!$D:$D,$A$70))</f>
        <v>0</v>
      </c>
      <c r="F70" s="176">
        <f>IF($A70="","",COUNTIFS(Başvuru!$I:$I,Toplantı!$B$8,Başvuru!$D:$D,$A$70))</f>
        <v>0</v>
      </c>
      <c r="G70" s="176">
        <f>IF($A70="","",COUNTIFS(Başvuru!$I:$I,Toplantı!$B$9,Başvuru!$D:$D,$A$70))</f>
        <v>0</v>
      </c>
      <c r="H70" s="176">
        <f>IF($A70="","",COUNTIFS(Başvuru!$I:$I,Toplantı!$B$10,Başvuru!$D:$D,$A$70))</f>
        <v>0</v>
      </c>
      <c r="I70" s="176">
        <f>IF($A70="","",COUNTIFS(Başvuru!$I:$I,Toplantı!$B$11,Başvuru!$D:$D,$A$70))</f>
        <v>0</v>
      </c>
      <c r="J70" s="176">
        <f>IF($A70="","",COUNTIFS(Başvuru!$I:$I,Toplantı!$B$12,Başvuru!$D:$D,$A$70))</f>
        <v>1</v>
      </c>
      <c r="K70" s="176">
        <f>IF($A70="","",COUNTIFS(Başvuru!$I:$I,Toplantı!$B$13,Başvuru!$D:$D,$A$70))</f>
        <v>0</v>
      </c>
      <c r="L70" s="176">
        <f>IF($A70="","",COUNTIFS(Başvuru!$I:$I,Toplantı!$B$14,Başvuru!$D:$D,$A$70))</f>
        <v>0</v>
      </c>
      <c r="M70" s="176">
        <f>IF($A70="","",COUNTIFS(Başvuru!$I:$I,Toplantı!$B$15,Başvuru!$D:$D,$A$70))</f>
        <v>0</v>
      </c>
      <c r="N70" s="176">
        <f>IF($A70="","",COUNTIFS(Başvuru!$I:$I,Toplantı!$B$16,Başvuru!$D:$D,$A$70))</f>
        <v>0</v>
      </c>
      <c r="O70" s="176">
        <f>IF($A70="","",COUNTIFS(Başvuru!$I:$I,Toplantı!$B$17,Başvuru!$D:$D,$A$70))</f>
        <v>0</v>
      </c>
      <c r="P70" s="176">
        <f>IF($A70="","",COUNTIFS(Başvuru!$I:$I,Toplantı!$B$18,Başvuru!$D:$D,$A$70))</f>
        <v>0</v>
      </c>
      <c r="Q70" s="176">
        <f>IF($A70="","",COUNTIFS(Başvuru!$I:$I,Toplantı!$B$19,Başvuru!$D:$D,$A$70))</f>
        <v>0</v>
      </c>
      <c r="R70" s="176">
        <f>IF($A70="","",COUNTIFS(Başvuru!$I:$I,Toplantı!$B$20,Başvuru!$D:$D,$A$70))</f>
        <v>0</v>
      </c>
      <c r="S70" s="177">
        <f t="shared" si="2"/>
        <v>1</v>
      </c>
    </row>
    <row r="71" spans="1:19" x14ac:dyDescent="0.25">
      <c r="A71" s="175" t="str">
        <f>IF(Birim!C73="","",Birim!C73)</f>
        <v>Klinik Psikoloji Anabilim Dalı</v>
      </c>
      <c r="B71" s="176">
        <f>IF($A71="","",COUNTIFS(Başvuru!$I:$I,Toplantı!$B$4,Başvuru!$D:$D,$A$71))</f>
        <v>0</v>
      </c>
      <c r="C71" s="176">
        <f>IF($A71="","",COUNTIFS(Başvuru!$I:$I,Toplantı!$B$5,Başvuru!$D:$D,$A$71))</f>
        <v>0</v>
      </c>
      <c r="D71" s="176">
        <f>IF($A71="","",COUNTIFS(Başvuru!$I:$I,Toplantı!$B$6,Başvuru!$D:$D,$A$71))</f>
        <v>0</v>
      </c>
      <c r="E71" s="176">
        <f>IF($A71="","",COUNTIFS(Başvuru!$I:$I,Toplantı!$B$7,Başvuru!$D:$D,$A$71))</f>
        <v>0</v>
      </c>
      <c r="F71" s="176">
        <f>IF($A71="","",COUNTIFS(Başvuru!$I:$I,Toplantı!$B$8,Başvuru!$D:$D,$A$71))</f>
        <v>0</v>
      </c>
      <c r="G71" s="176">
        <f>IF($A71="","",COUNTIFS(Başvuru!$I:$I,Toplantı!$B$9,Başvuru!$D:$D,$A$71))</f>
        <v>0</v>
      </c>
      <c r="H71" s="176">
        <f>IF($A71="","",COUNTIFS(Başvuru!$I:$I,Toplantı!$B$10,Başvuru!$D:$D,$A$71))</f>
        <v>0</v>
      </c>
      <c r="I71" s="176">
        <f>IF($A71="","",COUNTIFS(Başvuru!$I:$I,Toplantı!$B$11,Başvuru!$D:$D,$A$71))</f>
        <v>0</v>
      </c>
      <c r="J71" s="176">
        <f>IF($A71="","",COUNTIFS(Başvuru!$I:$I,Toplantı!$B$12,Başvuru!$D:$D,$A$71))</f>
        <v>0</v>
      </c>
      <c r="K71" s="176">
        <f>IF($A71="","",COUNTIFS(Başvuru!$I:$I,Toplantı!$B$13,Başvuru!$D:$D,$A$71))</f>
        <v>1</v>
      </c>
      <c r="L71" s="176">
        <f>IF($A71="","",COUNTIFS(Başvuru!$I:$I,Toplantı!$B$14,Başvuru!$D:$D,$A$71))</f>
        <v>0</v>
      </c>
      <c r="M71" s="176">
        <f>IF($A71="","",COUNTIFS(Başvuru!$I:$I,Toplantı!$B$15,Başvuru!$D:$D,$A$71))</f>
        <v>0</v>
      </c>
      <c r="N71" s="176">
        <f>IF($A71="","",COUNTIFS(Başvuru!$I:$I,Toplantı!$B$16,Başvuru!$D:$D,$A$71))</f>
        <v>0</v>
      </c>
      <c r="O71" s="176">
        <f>IF($A71="","",COUNTIFS(Başvuru!$I:$I,Toplantı!$B$17,Başvuru!$D:$D,$A$71))</f>
        <v>0</v>
      </c>
      <c r="P71" s="176">
        <f>IF($A71="","",COUNTIFS(Başvuru!$I:$I,Toplantı!$B$18,Başvuru!$D:$D,$A$71))</f>
        <v>0</v>
      </c>
      <c r="Q71" s="176">
        <f>IF($A71="","",COUNTIFS(Başvuru!$I:$I,Toplantı!$B$19,Başvuru!$D:$D,$A$71))</f>
        <v>0</v>
      </c>
      <c r="R71" s="176">
        <f>IF($A71="","",COUNTIFS(Başvuru!$I:$I,Toplantı!$B$20,Başvuru!$D:$D,$A$71))</f>
        <v>0</v>
      </c>
      <c r="S71" s="177">
        <f t="shared" si="2"/>
        <v>1</v>
      </c>
    </row>
    <row r="72" spans="1:19" x14ac:dyDescent="0.25">
      <c r="A72" s="175" t="str">
        <f>IF(Birim!C74="","",Birim!C74)</f>
        <v>Tıbbi Farmakoloji Anabilim Dalı</v>
      </c>
      <c r="B72" s="176">
        <f>IF($A72="","",COUNTIFS(Başvuru!$I:$I,Toplantı!$B$4,Başvuru!$D:$D,$A$72))</f>
        <v>0</v>
      </c>
      <c r="C72" s="176">
        <f>IF($A72="","",COUNTIFS(Başvuru!$I:$I,Toplantı!$B$5,Başvuru!$D:$D,$A$72))</f>
        <v>0</v>
      </c>
      <c r="D72" s="176">
        <f>IF($A72="","",COUNTIFS(Başvuru!$I:$I,Toplantı!$B$6,Başvuru!$D:$D,$A$72))</f>
        <v>0</v>
      </c>
      <c r="E72" s="176">
        <f>IF($A72="","",COUNTIFS(Başvuru!$I:$I,Toplantı!$B$7,Başvuru!$D:$D,$A$72))</f>
        <v>0</v>
      </c>
      <c r="F72" s="176">
        <f>IF($A72="","",COUNTIFS(Başvuru!$I:$I,Toplantı!$B$8,Başvuru!$D:$D,$A$72))</f>
        <v>0</v>
      </c>
      <c r="G72" s="176">
        <f>IF($A72="","",COUNTIFS(Başvuru!$I:$I,Toplantı!$B$9,Başvuru!$D:$D,$A$72))</f>
        <v>0</v>
      </c>
      <c r="H72" s="176">
        <f>IF($A72="","",COUNTIFS(Başvuru!$I:$I,Toplantı!$B$10,Başvuru!$D:$D,$A$72))</f>
        <v>0</v>
      </c>
      <c r="I72" s="176">
        <f>IF($A72="","",COUNTIFS(Başvuru!$I:$I,Toplantı!$B$11,Başvuru!$D:$D,$A$72))</f>
        <v>0</v>
      </c>
      <c r="J72" s="176">
        <f>IF($A72="","",COUNTIFS(Başvuru!$I:$I,Toplantı!$B$12,Başvuru!$D:$D,$A$72))</f>
        <v>0</v>
      </c>
      <c r="K72" s="176">
        <f>IF($A72="","",COUNTIFS(Başvuru!$I:$I,Toplantı!$B$13,Başvuru!$D:$D,$A$72))</f>
        <v>1</v>
      </c>
      <c r="L72" s="176">
        <f>IF($A72="","",COUNTIFS(Başvuru!$I:$I,Toplantı!$B$14,Başvuru!$D:$D,$A$72))</f>
        <v>0</v>
      </c>
      <c r="M72" s="176">
        <f>IF($A72="","",COUNTIFS(Başvuru!$I:$I,Toplantı!$B$15,Başvuru!$D:$D,$A$72))</f>
        <v>0</v>
      </c>
      <c r="N72" s="176">
        <f>IF($A72="","",COUNTIFS(Başvuru!$I:$I,Toplantı!$B$16,Başvuru!$D:$D,$A$72))</f>
        <v>0</v>
      </c>
      <c r="O72" s="176">
        <f>IF($A72="","",COUNTIFS(Başvuru!$I:$I,Toplantı!$B$17,Başvuru!$D:$D,$A$72))</f>
        <v>0</v>
      </c>
      <c r="P72" s="176">
        <f>IF($A72="","",COUNTIFS(Başvuru!$I:$I,Toplantı!$B$18,Başvuru!$D:$D,$A$72))</f>
        <v>0</v>
      </c>
      <c r="Q72" s="176">
        <f>IF($A72="","",COUNTIFS(Başvuru!$I:$I,Toplantı!$B$19,Başvuru!$D:$D,$A$72))</f>
        <v>0</v>
      </c>
      <c r="R72" s="176">
        <f>IF($A72="","",COUNTIFS(Başvuru!$I:$I,Toplantı!$B$20,Başvuru!$D:$D,$A$72))</f>
        <v>0</v>
      </c>
      <c r="S72" s="177">
        <f t="shared" si="2"/>
        <v>1</v>
      </c>
    </row>
    <row r="73" spans="1:19" x14ac:dyDescent="0.25">
      <c r="A73" s="175" t="str">
        <f>IF(Birim!C75="","",Birim!C75)</f>
        <v>Analitik Kimya Anabilim Dalı</v>
      </c>
      <c r="B73" s="176">
        <f>IF($A73="","",COUNTIFS(Başvuru!$I:$I,Toplantı!$B$4,Başvuru!$D:$D,$A$73))</f>
        <v>0</v>
      </c>
      <c r="C73" s="176">
        <f>IF($A73="","",COUNTIFS(Başvuru!$I:$I,Toplantı!$B$5,Başvuru!$D:$D,$A$73))</f>
        <v>0</v>
      </c>
      <c r="D73" s="176">
        <f>IF($A73="","",COUNTIFS(Başvuru!$I:$I,Toplantı!$B$6,Başvuru!$D:$D,$A$73))</f>
        <v>0</v>
      </c>
      <c r="E73" s="176">
        <f>IF($A73="","",COUNTIFS(Başvuru!$I:$I,Toplantı!$B$7,Başvuru!$D:$D,$A$73))</f>
        <v>0</v>
      </c>
      <c r="F73" s="176">
        <f>IF($A73="","",COUNTIFS(Başvuru!$I:$I,Toplantı!$B$8,Başvuru!$D:$D,$A$73))</f>
        <v>0</v>
      </c>
      <c r="G73" s="176">
        <f>IF($A73="","",COUNTIFS(Başvuru!$I:$I,Toplantı!$B$9,Başvuru!$D:$D,$A$73))</f>
        <v>0</v>
      </c>
      <c r="H73" s="176">
        <f>IF($A73="","",COUNTIFS(Başvuru!$I:$I,Toplantı!$B$10,Başvuru!$D:$D,$A$73))</f>
        <v>0</v>
      </c>
      <c r="I73" s="176">
        <f>IF($A73="","",COUNTIFS(Başvuru!$I:$I,Toplantı!$B$11,Başvuru!$D:$D,$A$73))</f>
        <v>0</v>
      </c>
      <c r="J73" s="176">
        <f>IF($A73="","",COUNTIFS(Başvuru!$I:$I,Toplantı!$B$12,Başvuru!$D:$D,$A$73))</f>
        <v>0</v>
      </c>
      <c r="K73" s="176">
        <f>IF($A73="","",COUNTIFS(Başvuru!$I:$I,Toplantı!$B$13,Başvuru!$D:$D,$A$73))</f>
        <v>0</v>
      </c>
      <c r="L73" s="176">
        <f>IF($A73="","",COUNTIFS(Başvuru!$I:$I,Toplantı!$B$14,Başvuru!$D:$D,$A$73))</f>
        <v>1</v>
      </c>
      <c r="M73" s="176">
        <f>IF($A73="","",COUNTIFS(Başvuru!$I:$I,Toplantı!$B$15,Başvuru!$D:$D,$A$73))</f>
        <v>0</v>
      </c>
      <c r="N73" s="176">
        <f>IF($A73="","",COUNTIFS(Başvuru!$I:$I,Toplantı!$B$16,Başvuru!$D:$D,$A$73))</f>
        <v>0</v>
      </c>
      <c r="O73" s="176">
        <f>IF($A73="","",COUNTIFS(Başvuru!$I:$I,Toplantı!$B$17,Başvuru!$D:$D,$A$73))</f>
        <v>0</v>
      </c>
      <c r="P73" s="176">
        <f>IF($A73="","",COUNTIFS(Başvuru!$I:$I,Toplantı!$B$18,Başvuru!$D:$D,$A$73))</f>
        <v>0</v>
      </c>
      <c r="Q73" s="176">
        <f>IF($A73="","",COUNTIFS(Başvuru!$I:$I,Toplantı!$B$19,Başvuru!$D:$D,$A$73))</f>
        <v>0</v>
      </c>
      <c r="R73" s="176">
        <f>IF($A73="","",COUNTIFS(Başvuru!$I:$I,Toplantı!$B$20,Başvuru!$D:$D,$A$73))</f>
        <v>0</v>
      </c>
      <c r="S73" s="177">
        <f t="shared" si="2"/>
        <v>1</v>
      </c>
    </row>
    <row r="74" spans="1:19" x14ac:dyDescent="0.25">
      <c r="A74" s="175" t="str">
        <f>IF(Birim!C76="","",Birim!C76)</f>
        <v>Gıda Mühendisliği Anabilim Dalı</v>
      </c>
      <c r="B74" s="176">
        <f>IF($A74="","",COUNTIFS(Başvuru!$I:$I,Toplantı!$B$4,Başvuru!$D:$D,$A$74))</f>
        <v>0</v>
      </c>
      <c r="C74" s="176">
        <f>IF($A74="","",COUNTIFS(Başvuru!$I:$I,Toplantı!$B$5,Başvuru!$D:$D,$A$74))</f>
        <v>0</v>
      </c>
      <c r="D74" s="176">
        <f>IF($A74="","",COUNTIFS(Başvuru!$I:$I,Toplantı!$B$6,Başvuru!$D:$D,$A$74))</f>
        <v>0</v>
      </c>
      <c r="E74" s="176">
        <f>IF($A74="","",COUNTIFS(Başvuru!$I:$I,Toplantı!$B$7,Başvuru!$D:$D,$A$74))</f>
        <v>0</v>
      </c>
      <c r="F74" s="176">
        <f>IF($A74="","",COUNTIFS(Başvuru!$I:$I,Toplantı!$B$8,Başvuru!$D:$D,$A$74))</f>
        <v>0</v>
      </c>
      <c r="G74" s="176">
        <f>IF($A74="","",COUNTIFS(Başvuru!$I:$I,Toplantı!$B$9,Başvuru!$D:$D,$A$74))</f>
        <v>0</v>
      </c>
      <c r="H74" s="176">
        <f>IF($A74="","",COUNTIFS(Başvuru!$I:$I,Toplantı!$B$10,Başvuru!$D:$D,$A$74))</f>
        <v>0</v>
      </c>
      <c r="I74" s="176">
        <f>IF($A74="","",COUNTIFS(Başvuru!$I:$I,Toplantı!$B$11,Başvuru!$D:$D,$A$74))</f>
        <v>0</v>
      </c>
      <c r="J74" s="176">
        <f>IF($A74="","",COUNTIFS(Başvuru!$I:$I,Toplantı!$B$12,Başvuru!$D:$D,$A$74))</f>
        <v>0</v>
      </c>
      <c r="K74" s="176">
        <f>IF($A74="","",COUNTIFS(Başvuru!$I:$I,Toplantı!$B$13,Başvuru!$D:$D,$A$74))</f>
        <v>0</v>
      </c>
      <c r="L74" s="176">
        <f>IF($A74="","",COUNTIFS(Başvuru!$I:$I,Toplantı!$B$14,Başvuru!$D:$D,$A$74))</f>
        <v>1</v>
      </c>
      <c r="M74" s="176">
        <f>IF($A74="","",COUNTIFS(Başvuru!$I:$I,Toplantı!$B$15,Başvuru!$D:$D,$A$74))</f>
        <v>0</v>
      </c>
      <c r="N74" s="176">
        <f>IF($A74="","",COUNTIFS(Başvuru!$I:$I,Toplantı!$B$16,Başvuru!$D:$D,$A$74))</f>
        <v>0</v>
      </c>
      <c r="O74" s="176">
        <f>IF($A74="","",COUNTIFS(Başvuru!$I:$I,Toplantı!$B$17,Başvuru!$D:$D,$A$74))</f>
        <v>0</v>
      </c>
      <c r="P74" s="176">
        <f>IF($A74="","",COUNTIFS(Başvuru!$I:$I,Toplantı!$B$18,Başvuru!$D:$D,$A$74))</f>
        <v>0</v>
      </c>
      <c r="Q74" s="176">
        <f>IF($A74="","",COUNTIFS(Başvuru!$I:$I,Toplantı!$B$19,Başvuru!$D:$D,$A$74))</f>
        <v>0</v>
      </c>
      <c r="R74" s="176">
        <f>IF($A74="","",COUNTIFS(Başvuru!$I:$I,Toplantı!$B$20,Başvuru!$D:$D,$A$74))</f>
        <v>0</v>
      </c>
      <c r="S74" s="177">
        <f t="shared" si="2"/>
        <v>1</v>
      </c>
    </row>
    <row r="75" spans="1:19" x14ac:dyDescent="0.25">
      <c r="A75" s="175" t="str">
        <f>IF(Birim!C77="","",Birim!C77)</f>
        <v>Sağlık Bilişimi Anabilim Dalı</v>
      </c>
      <c r="B75" s="176">
        <f>IF($A75="","",COUNTIFS(Başvuru!$I:$I,Toplantı!$B$4,Başvuru!$D:$D,$A$75))</f>
        <v>0</v>
      </c>
      <c r="C75" s="176">
        <f>IF($A75="","",COUNTIFS(Başvuru!$I:$I,Toplantı!$B$5,Başvuru!$D:$D,$A$75))</f>
        <v>0</v>
      </c>
      <c r="D75" s="176">
        <f>IF($A75="","",COUNTIFS(Başvuru!$I:$I,Toplantı!$B$6,Başvuru!$D:$D,$A$75))</f>
        <v>0</v>
      </c>
      <c r="E75" s="176">
        <f>IF($A75="","",COUNTIFS(Başvuru!$I:$I,Toplantı!$B$7,Başvuru!$D:$D,$A$75))</f>
        <v>0</v>
      </c>
      <c r="F75" s="176">
        <f>IF($A75="","",COUNTIFS(Başvuru!$I:$I,Toplantı!$B$8,Başvuru!$D:$D,$A$75))</f>
        <v>0</v>
      </c>
      <c r="G75" s="176">
        <f>IF($A75="","",COUNTIFS(Başvuru!$I:$I,Toplantı!$B$9,Başvuru!$D:$D,$A$75))</f>
        <v>0</v>
      </c>
      <c r="H75" s="176">
        <f>IF($A75="","",COUNTIFS(Başvuru!$I:$I,Toplantı!$B$10,Başvuru!$D:$D,$A$75))</f>
        <v>0</v>
      </c>
      <c r="I75" s="176">
        <f>IF($A75="","",COUNTIFS(Başvuru!$I:$I,Toplantı!$B$11,Başvuru!$D:$D,$A$75))</f>
        <v>0</v>
      </c>
      <c r="J75" s="176">
        <f>IF($A75="","",COUNTIFS(Başvuru!$I:$I,Toplantı!$B$12,Başvuru!$D:$D,$A$75))</f>
        <v>0</v>
      </c>
      <c r="K75" s="176">
        <f>IF($A75="","",COUNTIFS(Başvuru!$I:$I,Toplantı!$B$13,Başvuru!$D:$D,$A$75))</f>
        <v>0</v>
      </c>
      <c r="L75" s="176">
        <f>IF($A75="","",COUNTIFS(Başvuru!$I:$I,Toplantı!$B$14,Başvuru!$D:$D,$A$75))</f>
        <v>1</v>
      </c>
      <c r="M75" s="176">
        <f>IF($A75="","",COUNTIFS(Başvuru!$I:$I,Toplantı!$B$15,Başvuru!$D:$D,$A$75))</f>
        <v>0</v>
      </c>
      <c r="N75" s="176">
        <f>IF($A75="","",COUNTIFS(Başvuru!$I:$I,Toplantı!$B$16,Başvuru!$D:$D,$A$75))</f>
        <v>0</v>
      </c>
      <c r="O75" s="176">
        <f>IF($A75="","",COUNTIFS(Başvuru!$I:$I,Toplantı!$B$17,Başvuru!$D:$D,$A$75))</f>
        <v>0</v>
      </c>
      <c r="P75" s="176">
        <f>IF($A75="","",COUNTIFS(Başvuru!$I:$I,Toplantı!$B$18,Başvuru!$D:$D,$A$75))</f>
        <v>0</v>
      </c>
      <c r="Q75" s="176">
        <f>IF($A75="","",COUNTIFS(Başvuru!$I:$I,Toplantı!$B$19,Başvuru!$D:$D,$A$75))</f>
        <v>0</v>
      </c>
      <c r="R75" s="176">
        <f>IF($A75="","",COUNTIFS(Başvuru!$I:$I,Toplantı!$B$20,Başvuru!$D:$D,$A$75))</f>
        <v>0</v>
      </c>
      <c r="S75" s="177">
        <f t="shared" si="2"/>
        <v>1</v>
      </c>
    </row>
    <row r="76" spans="1:19" ht="36" x14ac:dyDescent="0.25">
      <c r="A76" s="175" t="str">
        <f>IF(Birim!C78="","",Birim!C78)</f>
        <v>Amasya Üniversitesi
Hemşirelik Fakültesi
İç Hastalıkları Hemşireliği Anabilim Dalı</v>
      </c>
      <c r="B76" s="176">
        <f>IF($A76="","",COUNTIFS(Başvuru!$I:$I,Toplantı!$B$4,Başvuru!$D:$D,$A$76))</f>
        <v>0</v>
      </c>
      <c r="C76" s="176">
        <f>IF($A76="","",COUNTIFS(Başvuru!$I:$I,Toplantı!$B$5,Başvuru!$D:$D,$A$76))</f>
        <v>0</v>
      </c>
      <c r="D76" s="176">
        <f>IF($A76="","",COUNTIFS(Başvuru!$I:$I,Toplantı!$B$6,Başvuru!$D:$D,$A$76))</f>
        <v>0</v>
      </c>
      <c r="E76" s="176">
        <f>IF($A76="","",COUNTIFS(Başvuru!$I:$I,Toplantı!$B$7,Başvuru!$D:$D,$A$76))</f>
        <v>0</v>
      </c>
      <c r="F76" s="176">
        <f>IF($A76="","",COUNTIFS(Başvuru!$I:$I,Toplantı!$B$8,Başvuru!$D:$D,$A$76))</f>
        <v>0</v>
      </c>
      <c r="G76" s="176">
        <f>IF($A76="","",COUNTIFS(Başvuru!$I:$I,Toplantı!$B$9,Başvuru!$D:$D,$A$76))</f>
        <v>0</v>
      </c>
      <c r="H76" s="176">
        <f>IF($A76="","",COUNTIFS(Başvuru!$I:$I,Toplantı!$B$10,Başvuru!$D:$D,$A$76))</f>
        <v>0</v>
      </c>
      <c r="I76" s="176">
        <f>IF($A76="","",COUNTIFS(Başvuru!$I:$I,Toplantı!$B$11,Başvuru!$D:$D,$A$76))</f>
        <v>0</v>
      </c>
      <c r="J76" s="176">
        <f>IF($A76="","",COUNTIFS(Başvuru!$I:$I,Toplantı!$B$12,Başvuru!$D:$D,$A$76))</f>
        <v>0</v>
      </c>
      <c r="K76" s="176">
        <f>IF($A76="","",COUNTIFS(Başvuru!$I:$I,Toplantı!$B$13,Başvuru!$D:$D,$A$76))</f>
        <v>0</v>
      </c>
      <c r="L76" s="176">
        <f>IF($A76="","",COUNTIFS(Başvuru!$I:$I,Toplantı!$B$14,Başvuru!$D:$D,$A$76))</f>
        <v>0</v>
      </c>
      <c r="M76" s="176">
        <f>IF($A76="","",COUNTIFS(Başvuru!$I:$I,Toplantı!$B$15,Başvuru!$D:$D,$A$76))</f>
        <v>1</v>
      </c>
      <c r="N76" s="176">
        <f>IF($A76="","",COUNTIFS(Başvuru!$I:$I,Toplantı!$B$16,Başvuru!$D:$D,$A$76))</f>
        <v>0</v>
      </c>
      <c r="O76" s="176">
        <f>IF($A76="","",COUNTIFS(Başvuru!$I:$I,Toplantı!$B$17,Başvuru!$D:$D,$A$76))</f>
        <v>0</v>
      </c>
      <c r="P76" s="176">
        <f>IF($A76="","",COUNTIFS(Başvuru!$I:$I,Toplantı!$B$18,Başvuru!$D:$D,$A$76))</f>
        <v>0</v>
      </c>
      <c r="Q76" s="176">
        <f>IF($A76="","",COUNTIFS(Başvuru!$I:$I,Toplantı!$B$19,Başvuru!$D:$D,$A$76))</f>
        <v>0</v>
      </c>
      <c r="R76" s="176">
        <f>IF($A76="","",COUNTIFS(Başvuru!$I:$I,Toplantı!$B$20,Başvuru!$D:$D,$A$76))</f>
        <v>0</v>
      </c>
      <c r="S76" s="177">
        <f t="shared" si="2"/>
        <v>1</v>
      </c>
    </row>
    <row r="77" spans="1:19" x14ac:dyDescent="0.25">
      <c r="A77" s="175" t="str">
        <f>IF(Birim!C79="","",Birim!C79)</f>
        <v>Bilişim ve Enformasyon Teknolojileri Anabilim Dalı</v>
      </c>
      <c r="B77" s="176">
        <f>IF($A77="","",COUNTIFS(Başvuru!$I:$I,Toplantı!$B$4,Başvuru!$D:$D,$A$77))</f>
        <v>0</v>
      </c>
      <c r="C77" s="176">
        <f>IF($A77="","",COUNTIFS(Başvuru!$I:$I,Toplantı!$B$5,Başvuru!$D:$D,$A$77))</f>
        <v>0</v>
      </c>
      <c r="D77" s="176">
        <f>IF($A77="","",COUNTIFS(Başvuru!$I:$I,Toplantı!$B$6,Başvuru!$D:$D,$A$77))</f>
        <v>0</v>
      </c>
      <c r="E77" s="176">
        <f>IF($A77="","",COUNTIFS(Başvuru!$I:$I,Toplantı!$B$7,Başvuru!$D:$D,$A$77))</f>
        <v>0</v>
      </c>
      <c r="F77" s="176">
        <f>IF($A77="","",COUNTIFS(Başvuru!$I:$I,Toplantı!$B$8,Başvuru!$D:$D,$A$77))</f>
        <v>0</v>
      </c>
      <c r="G77" s="176">
        <f>IF($A77="","",COUNTIFS(Başvuru!$I:$I,Toplantı!$B$9,Başvuru!$D:$D,$A$77))</f>
        <v>0</v>
      </c>
      <c r="H77" s="176">
        <f>IF($A77="","",COUNTIFS(Başvuru!$I:$I,Toplantı!$B$10,Başvuru!$D:$D,$A$77))</f>
        <v>0</v>
      </c>
      <c r="I77" s="176">
        <f>IF($A77="","",COUNTIFS(Başvuru!$I:$I,Toplantı!$B$11,Başvuru!$D:$D,$A$77))</f>
        <v>0</v>
      </c>
      <c r="J77" s="176">
        <f>IF($A77="","",COUNTIFS(Başvuru!$I:$I,Toplantı!$B$12,Başvuru!$D:$D,$A$77))</f>
        <v>0</v>
      </c>
      <c r="K77" s="176">
        <f>IF($A77="","",COUNTIFS(Başvuru!$I:$I,Toplantı!$B$13,Başvuru!$D:$D,$A$77))</f>
        <v>0</v>
      </c>
      <c r="L77" s="176">
        <f>IF($A77="","",COUNTIFS(Başvuru!$I:$I,Toplantı!$B$14,Başvuru!$D:$D,$A$77))</f>
        <v>0</v>
      </c>
      <c r="M77" s="176">
        <f>IF($A77="","",COUNTIFS(Başvuru!$I:$I,Toplantı!$B$15,Başvuru!$D:$D,$A$77))</f>
        <v>1</v>
      </c>
      <c r="N77" s="176">
        <f>IF($A77="","",COUNTIFS(Başvuru!$I:$I,Toplantı!$B$16,Başvuru!$D:$D,$A$77))</f>
        <v>0</v>
      </c>
      <c r="O77" s="176">
        <f>IF($A77="","",COUNTIFS(Başvuru!$I:$I,Toplantı!$B$17,Başvuru!$D:$D,$A$77))</f>
        <v>0</v>
      </c>
      <c r="P77" s="176">
        <f>IF($A77="","",COUNTIFS(Başvuru!$I:$I,Toplantı!$B$18,Başvuru!$D:$D,$A$77))</f>
        <v>0</v>
      </c>
      <c r="Q77" s="176">
        <f>IF($A77="","",COUNTIFS(Başvuru!$I:$I,Toplantı!$B$19,Başvuru!$D:$D,$A$77))</f>
        <v>0</v>
      </c>
      <c r="R77" s="176">
        <f>IF($A77="","",COUNTIFS(Başvuru!$I:$I,Toplantı!$B$20,Başvuru!$D:$D,$A$77))</f>
        <v>0</v>
      </c>
      <c r="S77" s="177">
        <f t="shared" si="2"/>
        <v>1</v>
      </c>
    </row>
    <row r="78" spans="1:19" x14ac:dyDescent="0.25">
      <c r="A78" s="175" t="str">
        <f>IF(Birim!C80="","",Birim!C80)</f>
        <v>Biyokimya Anabilim Dalı</v>
      </c>
      <c r="B78" s="176">
        <f>IF($A78="","",COUNTIFS(Başvuru!$I:$I,Toplantı!$B$4,Başvuru!$D:$D,$A$78))</f>
        <v>0</v>
      </c>
      <c r="C78" s="176">
        <f>IF($A78="","",COUNTIFS(Başvuru!$I:$I,Toplantı!$B$5,Başvuru!$D:$D,$A$78))</f>
        <v>0</v>
      </c>
      <c r="D78" s="176">
        <f>IF($A78="","",COUNTIFS(Başvuru!$I:$I,Toplantı!$B$6,Başvuru!$D:$D,$A$78))</f>
        <v>0</v>
      </c>
      <c r="E78" s="176">
        <f>IF($A78="","",COUNTIFS(Başvuru!$I:$I,Toplantı!$B$7,Başvuru!$D:$D,$A$78))</f>
        <v>0</v>
      </c>
      <c r="F78" s="176">
        <f>IF($A78="","",COUNTIFS(Başvuru!$I:$I,Toplantı!$B$8,Başvuru!$D:$D,$A$78))</f>
        <v>0</v>
      </c>
      <c r="G78" s="176">
        <f>IF($A78="","",COUNTIFS(Başvuru!$I:$I,Toplantı!$B$9,Başvuru!$D:$D,$A$78))</f>
        <v>0</v>
      </c>
      <c r="H78" s="176">
        <f>IF($A78="","",COUNTIFS(Başvuru!$I:$I,Toplantı!$B$10,Başvuru!$D:$D,$A$78))</f>
        <v>0</v>
      </c>
      <c r="I78" s="176">
        <f>IF($A78="","",COUNTIFS(Başvuru!$I:$I,Toplantı!$B$11,Başvuru!$D:$D,$A$78))</f>
        <v>0</v>
      </c>
      <c r="J78" s="176">
        <f>IF($A78="","",COUNTIFS(Başvuru!$I:$I,Toplantı!$B$12,Başvuru!$D:$D,$A$78))</f>
        <v>0</v>
      </c>
      <c r="K78" s="176">
        <f>IF($A78="","",COUNTIFS(Başvuru!$I:$I,Toplantı!$B$13,Başvuru!$D:$D,$A$78))</f>
        <v>0</v>
      </c>
      <c r="L78" s="176">
        <f>IF($A78="","",COUNTIFS(Başvuru!$I:$I,Toplantı!$B$14,Başvuru!$D:$D,$A$78))</f>
        <v>0</v>
      </c>
      <c r="M78" s="176">
        <f>IF($A78="","",COUNTIFS(Başvuru!$I:$I,Toplantı!$B$15,Başvuru!$D:$D,$A$78))</f>
        <v>1</v>
      </c>
      <c r="N78" s="176">
        <f>IF($A78="","",COUNTIFS(Başvuru!$I:$I,Toplantı!$B$16,Başvuru!$D:$D,$A$78))</f>
        <v>0</v>
      </c>
      <c r="O78" s="176">
        <f>IF($A78="","",COUNTIFS(Başvuru!$I:$I,Toplantı!$B$17,Başvuru!$D:$D,$A$78))</f>
        <v>0</v>
      </c>
      <c r="P78" s="176">
        <f>IF($A78="","",COUNTIFS(Başvuru!$I:$I,Toplantı!$B$18,Başvuru!$D:$D,$A$78))</f>
        <v>0</v>
      </c>
      <c r="Q78" s="176">
        <f>IF($A78="","",COUNTIFS(Başvuru!$I:$I,Toplantı!$B$19,Başvuru!$D:$D,$A$78))</f>
        <v>0</v>
      </c>
      <c r="R78" s="176">
        <f>IF($A78="","",COUNTIFS(Başvuru!$I:$I,Toplantı!$B$20,Başvuru!$D:$D,$A$78))</f>
        <v>0</v>
      </c>
      <c r="S78" s="177">
        <f t="shared" si="2"/>
        <v>1</v>
      </c>
    </row>
    <row r="79" spans="1:19" x14ac:dyDescent="0.25">
      <c r="A79" s="175" t="str">
        <f>IF(Birim!C81="","",Birim!C81)</f>
        <v>Kontrol ve Kumanda Sistemleri Anabilim Dalı</v>
      </c>
      <c r="B79" s="176">
        <f>IF($A79="","",COUNTIFS(Başvuru!$I:$I,Toplantı!$B$4,Başvuru!$D:$D,$A$79))</f>
        <v>0</v>
      </c>
      <c r="C79" s="176">
        <f>IF($A79="","",COUNTIFS(Başvuru!$I:$I,Toplantı!$B$5,Başvuru!$D:$D,$A$79))</f>
        <v>0</v>
      </c>
      <c r="D79" s="176">
        <f>IF($A79="","",COUNTIFS(Başvuru!$I:$I,Toplantı!$B$6,Başvuru!$D:$D,$A$79))</f>
        <v>0</v>
      </c>
      <c r="E79" s="176">
        <f>IF($A79="","",COUNTIFS(Başvuru!$I:$I,Toplantı!$B$7,Başvuru!$D:$D,$A$79))</f>
        <v>0</v>
      </c>
      <c r="F79" s="176">
        <f>IF($A79="","",COUNTIFS(Başvuru!$I:$I,Toplantı!$B$8,Başvuru!$D:$D,$A$79))</f>
        <v>0</v>
      </c>
      <c r="G79" s="176">
        <f>IF($A79="","",COUNTIFS(Başvuru!$I:$I,Toplantı!$B$9,Başvuru!$D:$D,$A$79))</f>
        <v>0</v>
      </c>
      <c r="H79" s="176">
        <f>IF($A79="","",COUNTIFS(Başvuru!$I:$I,Toplantı!$B$10,Başvuru!$D:$D,$A$79))</f>
        <v>0</v>
      </c>
      <c r="I79" s="176">
        <f>IF($A79="","",COUNTIFS(Başvuru!$I:$I,Toplantı!$B$11,Başvuru!$D:$D,$A$79))</f>
        <v>0</v>
      </c>
      <c r="J79" s="176">
        <f>IF($A79="","",COUNTIFS(Başvuru!$I:$I,Toplantı!$B$12,Başvuru!$D:$D,$A$79))</f>
        <v>0</v>
      </c>
      <c r="K79" s="176">
        <f>IF($A79="","",COUNTIFS(Başvuru!$I:$I,Toplantı!$B$13,Başvuru!$D:$D,$A$79))</f>
        <v>0</v>
      </c>
      <c r="L79" s="176">
        <f>IF($A79="","",COUNTIFS(Başvuru!$I:$I,Toplantı!$B$14,Başvuru!$D:$D,$A$79))</f>
        <v>0</v>
      </c>
      <c r="M79" s="176">
        <f>IF($A79="","",COUNTIFS(Başvuru!$I:$I,Toplantı!$B$15,Başvuru!$D:$D,$A$79))</f>
        <v>0</v>
      </c>
      <c r="N79" s="176">
        <f>IF($A79="","",COUNTIFS(Başvuru!$I:$I,Toplantı!$B$16,Başvuru!$D:$D,$A$79))</f>
        <v>1</v>
      </c>
      <c r="O79" s="176">
        <f>IF($A79="","",COUNTIFS(Başvuru!$I:$I,Toplantı!$B$17,Başvuru!$D:$D,$A$79))</f>
        <v>0</v>
      </c>
      <c r="P79" s="176">
        <f>IF($A79="","",COUNTIFS(Başvuru!$I:$I,Toplantı!$B$18,Başvuru!$D:$D,$A$79))</f>
        <v>0</v>
      </c>
      <c r="Q79" s="176">
        <f>IF($A79="","",COUNTIFS(Başvuru!$I:$I,Toplantı!$B$19,Başvuru!$D:$D,$A$79))</f>
        <v>0</v>
      </c>
      <c r="R79" s="176">
        <f>IF($A79="","",COUNTIFS(Başvuru!$I:$I,Toplantı!$B$20,Başvuru!$D:$D,$A$79))</f>
        <v>0</v>
      </c>
      <c r="S79" s="177">
        <f t="shared" si="2"/>
        <v>1</v>
      </c>
    </row>
    <row r="80" spans="1:19" x14ac:dyDescent="0.25">
      <c r="A80" s="175" t="str">
        <f>IF(Birim!C82="","",Birim!C82)</f>
        <v>Biyomühendislik Anabilim Dalı</v>
      </c>
      <c r="B80" s="176">
        <f>IF($A80="","",COUNTIFS(Başvuru!$I:$I,Toplantı!$B$4,Başvuru!$D:$D,$A$80))</f>
        <v>0</v>
      </c>
      <c r="C80" s="176">
        <f>IF($A80="","",COUNTIFS(Başvuru!$I:$I,Toplantı!$B$5,Başvuru!$D:$D,$A$80))</f>
        <v>0</v>
      </c>
      <c r="D80" s="176">
        <f>IF($A80="","",COUNTIFS(Başvuru!$I:$I,Toplantı!$B$6,Başvuru!$D:$D,$A$80))</f>
        <v>0</v>
      </c>
      <c r="E80" s="176">
        <f>IF($A80="","",COUNTIFS(Başvuru!$I:$I,Toplantı!$B$7,Başvuru!$D:$D,$A$80))</f>
        <v>0</v>
      </c>
      <c r="F80" s="176">
        <f>IF($A80="","",COUNTIFS(Başvuru!$I:$I,Toplantı!$B$8,Başvuru!$D:$D,$A$80))</f>
        <v>0</v>
      </c>
      <c r="G80" s="176">
        <f>IF($A80="","",COUNTIFS(Başvuru!$I:$I,Toplantı!$B$9,Başvuru!$D:$D,$A$80))</f>
        <v>0</v>
      </c>
      <c r="H80" s="176">
        <f>IF($A80="","",COUNTIFS(Başvuru!$I:$I,Toplantı!$B$10,Başvuru!$D:$D,$A$80))</f>
        <v>0</v>
      </c>
      <c r="I80" s="176">
        <f>IF($A80="","",COUNTIFS(Başvuru!$I:$I,Toplantı!$B$11,Başvuru!$D:$D,$A$80))</f>
        <v>0</v>
      </c>
      <c r="J80" s="176">
        <f>IF($A80="","",COUNTIFS(Başvuru!$I:$I,Toplantı!$B$12,Başvuru!$D:$D,$A$80))</f>
        <v>0</v>
      </c>
      <c r="K80" s="176">
        <f>IF($A80="","",COUNTIFS(Başvuru!$I:$I,Toplantı!$B$13,Başvuru!$D:$D,$A$80))</f>
        <v>0</v>
      </c>
      <c r="L80" s="176">
        <f>IF($A80="","",COUNTIFS(Başvuru!$I:$I,Toplantı!$B$14,Başvuru!$D:$D,$A$80))</f>
        <v>0</v>
      </c>
      <c r="M80" s="176">
        <f>IF($A80="","",COUNTIFS(Başvuru!$I:$I,Toplantı!$B$15,Başvuru!$D:$D,$A$80))</f>
        <v>0</v>
      </c>
      <c r="N80" s="176">
        <f>IF($A80="","",COUNTIFS(Başvuru!$I:$I,Toplantı!$B$16,Başvuru!$D:$D,$A$80))</f>
        <v>0</v>
      </c>
      <c r="O80" s="176">
        <f>IF($A80="","",COUNTIFS(Başvuru!$I:$I,Toplantı!$B$17,Başvuru!$D:$D,$A$80))</f>
        <v>1</v>
      </c>
      <c r="P80" s="176">
        <f>IF($A80="","",COUNTIFS(Başvuru!$I:$I,Toplantı!$B$18,Başvuru!$D:$D,$A$80))</f>
        <v>0</v>
      </c>
      <c r="Q80" s="176">
        <f>IF($A80="","",COUNTIFS(Başvuru!$I:$I,Toplantı!$B$19,Başvuru!$D:$D,$A$80))</f>
        <v>0</v>
      </c>
      <c r="R80" s="176">
        <f>IF($A80="","",COUNTIFS(Başvuru!$I:$I,Toplantı!$B$20,Başvuru!$D:$D,$A$80))</f>
        <v>0</v>
      </c>
      <c r="S80" s="177">
        <f t="shared" si="2"/>
        <v>1</v>
      </c>
    </row>
    <row r="81" spans="1:19" x14ac:dyDescent="0.25">
      <c r="A81" s="175" t="str">
        <f>IF(Birim!C83="","",Birim!C83)</f>
        <v>Bilgisayar Bilimleri Anabilim Dalı</v>
      </c>
      <c r="B81" s="176">
        <f>IF($A81="","",COUNTIFS(Başvuru!$I:$I,Toplantı!$B$4,Başvuru!$D:$D,$A$81))</f>
        <v>0</v>
      </c>
      <c r="C81" s="176">
        <f>IF($A81="","",COUNTIFS(Başvuru!$I:$I,Toplantı!$B$5,Başvuru!$D:$D,$A$81))</f>
        <v>0</v>
      </c>
      <c r="D81" s="176">
        <f>IF($A81="","",COUNTIFS(Başvuru!$I:$I,Toplantı!$B$6,Başvuru!$D:$D,$A$81))</f>
        <v>0</v>
      </c>
      <c r="E81" s="176">
        <f>IF($A81="","",COUNTIFS(Başvuru!$I:$I,Toplantı!$B$7,Başvuru!$D:$D,$A$81))</f>
        <v>0</v>
      </c>
      <c r="F81" s="176">
        <f>IF($A81="","",COUNTIFS(Başvuru!$I:$I,Toplantı!$B$8,Başvuru!$D:$D,$A$81))</f>
        <v>0</v>
      </c>
      <c r="G81" s="176">
        <f>IF($A81="","",COUNTIFS(Başvuru!$I:$I,Toplantı!$B$9,Başvuru!$D:$D,$A$81))</f>
        <v>0</v>
      </c>
      <c r="H81" s="176">
        <f>IF($A81="","",COUNTIFS(Başvuru!$I:$I,Toplantı!$B$10,Başvuru!$D:$D,$A$81))</f>
        <v>0</v>
      </c>
      <c r="I81" s="176">
        <f>IF($A81="","",COUNTIFS(Başvuru!$I:$I,Toplantı!$B$11,Başvuru!$D:$D,$A$81))</f>
        <v>0</v>
      </c>
      <c r="J81" s="176">
        <f>IF($A81="","",COUNTIFS(Başvuru!$I:$I,Toplantı!$B$12,Başvuru!$D:$D,$A$81))</f>
        <v>0</v>
      </c>
      <c r="K81" s="176">
        <f>IF($A81="","",COUNTIFS(Başvuru!$I:$I,Toplantı!$B$13,Başvuru!$D:$D,$A$81))</f>
        <v>0</v>
      </c>
      <c r="L81" s="176">
        <f>IF($A81="","",COUNTIFS(Başvuru!$I:$I,Toplantı!$B$14,Başvuru!$D:$D,$A$81))</f>
        <v>0</v>
      </c>
      <c r="M81" s="176">
        <f>IF($A81="","",COUNTIFS(Başvuru!$I:$I,Toplantı!$B$15,Başvuru!$D:$D,$A$81))</f>
        <v>0</v>
      </c>
      <c r="N81" s="176">
        <f>IF($A81="","",COUNTIFS(Başvuru!$I:$I,Toplantı!$B$16,Başvuru!$D:$D,$A$81))</f>
        <v>0</v>
      </c>
      <c r="O81" s="176">
        <f>IF($A81="","",COUNTIFS(Başvuru!$I:$I,Toplantı!$B$17,Başvuru!$D:$D,$A$81))</f>
        <v>1</v>
      </c>
      <c r="P81" s="176">
        <f>IF($A81="","",COUNTIFS(Başvuru!$I:$I,Toplantı!$B$18,Başvuru!$D:$D,$A$81))</f>
        <v>0</v>
      </c>
      <c r="Q81" s="176">
        <f>IF($A81="","",COUNTIFS(Başvuru!$I:$I,Toplantı!$B$19,Başvuru!$D:$D,$A$81))</f>
        <v>0</v>
      </c>
      <c r="R81" s="176">
        <f>IF($A81="","",COUNTIFS(Başvuru!$I:$I,Toplantı!$B$20,Başvuru!$D:$D,$A$81))</f>
        <v>0</v>
      </c>
      <c r="S81" s="177">
        <f t="shared" si="2"/>
        <v>1</v>
      </c>
    </row>
    <row r="82" spans="1:19" x14ac:dyDescent="0.25">
      <c r="A82" s="175" t="str">
        <f>IF(Birim!C84="","",Birim!C84)</f>
        <v>Tıp Tarihi ve Etik Anabilim Dalı</v>
      </c>
      <c r="B82" s="176">
        <f>IF($A82="","",COUNTIFS(Başvuru!$I:$I,Toplantı!$B$4,Başvuru!$D:$D,$A$82))</f>
        <v>0</v>
      </c>
      <c r="C82" s="176">
        <f>IF($A82="","",COUNTIFS(Başvuru!$I:$I,Toplantı!$B$5,Başvuru!$D:$D,$A$82))</f>
        <v>0</v>
      </c>
      <c r="D82" s="176">
        <f>IF($A82="","",COUNTIFS(Başvuru!$I:$I,Toplantı!$B$6,Başvuru!$D:$D,$A$82))</f>
        <v>0</v>
      </c>
      <c r="E82" s="176">
        <f>IF($A82="","",COUNTIFS(Başvuru!$I:$I,Toplantı!$B$7,Başvuru!$D:$D,$A$82))</f>
        <v>0</v>
      </c>
      <c r="F82" s="176">
        <f>IF($A82="","",COUNTIFS(Başvuru!$I:$I,Toplantı!$B$8,Başvuru!$D:$D,$A$82))</f>
        <v>0</v>
      </c>
      <c r="G82" s="176">
        <f>IF($A82="","",COUNTIFS(Başvuru!$I:$I,Toplantı!$B$9,Başvuru!$D:$D,$A$82))</f>
        <v>0</v>
      </c>
      <c r="H82" s="176">
        <f>IF($A82="","",COUNTIFS(Başvuru!$I:$I,Toplantı!$B$10,Başvuru!$D:$D,$A$82))</f>
        <v>0</v>
      </c>
      <c r="I82" s="176">
        <f>IF($A82="","",COUNTIFS(Başvuru!$I:$I,Toplantı!$B$11,Başvuru!$D:$D,$A$82))</f>
        <v>0</v>
      </c>
      <c r="J82" s="176">
        <f>IF($A82="","",COUNTIFS(Başvuru!$I:$I,Toplantı!$B$12,Başvuru!$D:$D,$A$82))</f>
        <v>0</v>
      </c>
      <c r="K82" s="176">
        <f>IF($A82="","",COUNTIFS(Başvuru!$I:$I,Toplantı!$B$13,Başvuru!$D:$D,$A$82))</f>
        <v>0</v>
      </c>
      <c r="L82" s="176">
        <f>IF($A82="","",COUNTIFS(Başvuru!$I:$I,Toplantı!$B$14,Başvuru!$D:$D,$A$82))</f>
        <v>0</v>
      </c>
      <c r="M82" s="176">
        <f>IF($A82="","",COUNTIFS(Başvuru!$I:$I,Toplantı!$B$15,Başvuru!$D:$D,$A$82))</f>
        <v>0</v>
      </c>
      <c r="N82" s="176">
        <f>IF($A82="","",COUNTIFS(Başvuru!$I:$I,Toplantı!$B$16,Başvuru!$D:$D,$A$82))</f>
        <v>0</v>
      </c>
      <c r="O82" s="176">
        <f>IF($A82="","",COUNTIFS(Başvuru!$I:$I,Toplantı!$B$17,Başvuru!$D:$D,$A$82))</f>
        <v>0</v>
      </c>
      <c r="P82" s="176">
        <f>IF($A82="","",COUNTIFS(Başvuru!$I:$I,Toplantı!$B$18,Başvuru!$D:$D,$A$82))</f>
        <v>1</v>
      </c>
      <c r="Q82" s="176">
        <f>IF($A82="","",COUNTIFS(Başvuru!$I:$I,Toplantı!$B$19,Başvuru!$D:$D,$A$82))</f>
        <v>0</v>
      </c>
      <c r="R82" s="176">
        <f>IF($A82="","",COUNTIFS(Başvuru!$I:$I,Toplantı!$B$20,Başvuru!$D:$D,$A$82))</f>
        <v>0</v>
      </c>
      <c r="S82" s="177">
        <f t="shared" si="2"/>
        <v>1</v>
      </c>
    </row>
    <row r="83" spans="1:19" x14ac:dyDescent="0.25">
      <c r="A83" s="175" t="str">
        <f>IF(Birim!C85="","",Birim!C85)</f>
        <v>Farmakoloji Anabilim Dalı</v>
      </c>
      <c r="B83" s="176">
        <f>IF($A83="","",COUNTIFS(Başvuru!$I:$I,Toplantı!$B$4,Başvuru!$D:$D,$A$83))</f>
        <v>0</v>
      </c>
      <c r="C83" s="176">
        <f>IF($A83="","",COUNTIFS(Başvuru!$I:$I,Toplantı!$B$5,Başvuru!$D:$D,$A$83))</f>
        <v>0</v>
      </c>
      <c r="D83" s="176">
        <f>IF($A83="","",COUNTIFS(Başvuru!$I:$I,Toplantı!$B$6,Başvuru!$D:$D,$A$83))</f>
        <v>0</v>
      </c>
      <c r="E83" s="176">
        <f>IF($A83="","",COUNTIFS(Başvuru!$I:$I,Toplantı!$B$7,Başvuru!$D:$D,$A$83))</f>
        <v>0</v>
      </c>
      <c r="F83" s="176">
        <f>IF($A83="","",COUNTIFS(Başvuru!$I:$I,Toplantı!$B$8,Başvuru!$D:$D,$A$83))</f>
        <v>0</v>
      </c>
      <c r="G83" s="176">
        <f>IF($A83="","",COUNTIFS(Başvuru!$I:$I,Toplantı!$B$9,Başvuru!$D:$D,$A$83))</f>
        <v>0</v>
      </c>
      <c r="H83" s="176">
        <f>IF($A83="","",COUNTIFS(Başvuru!$I:$I,Toplantı!$B$10,Başvuru!$D:$D,$A$83))</f>
        <v>0</v>
      </c>
      <c r="I83" s="176">
        <f>IF($A83="","",COUNTIFS(Başvuru!$I:$I,Toplantı!$B$11,Başvuru!$D:$D,$A$83))</f>
        <v>0</v>
      </c>
      <c r="J83" s="176">
        <f>IF($A83="","",COUNTIFS(Başvuru!$I:$I,Toplantı!$B$12,Başvuru!$D:$D,$A$83))</f>
        <v>0</v>
      </c>
      <c r="K83" s="176">
        <f>IF($A83="","",COUNTIFS(Başvuru!$I:$I,Toplantı!$B$13,Başvuru!$D:$D,$A$83))</f>
        <v>0</v>
      </c>
      <c r="L83" s="176">
        <f>IF($A83="","",COUNTIFS(Başvuru!$I:$I,Toplantı!$B$14,Başvuru!$D:$D,$A$83))</f>
        <v>0</v>
      </c>
      <c r="M83" s="176">
        <f>IF($A83="","",COUNTIFS(Başvuru!$I:$I,Toplantı!$B$15,Başvuru!$D:$D,$A$83))</f>
        <v>0</v>
      </c>
      <c r="N83" s="176">
        <f>IF($A83="","",COUNTIFS(Başvuru!$I:$I,Toplantı!$B$16,Başvuru!$D:$D,$A$83))</f>
        <v>0</v>
      </c>
      <c r="O83" s="176">
        <f>IF($A83="","",COUNTIFS(Başvuru!$I:$I,Toplantı!$B$17,Başvuru!$D:$D,$A$83))</f>
        <v>0</v>
      </c>
      <c r="P83" s="176">
        <f>IF($A83="","",COUNTIFS(Başvuru!$I:$I,Toplantı!$B$18,Başvuru!$D:$D,$A$83))</f>
        <v>1</v>
      </c>
      <c r="Q83" s="176">
        <f>IF($A83="","",COUNTIFS(Başvuru!$I:$I,Toplantı!$B$19,Başvuru!$D:$D,$A$83))</f>
        <v>0</v>
      </c>
      <c r="R83" s="176">
        <f>IF($A83="","",COUNTIFS(Başvuru!$I:$I,Toplantı!$B$20,Başvuru!$D:$D,$A$83))</f>
        <v>0</v>
      </c>
      <c r="S83" s="177">
        <f t="shared" si="2"/>
        <v>1</v>
      </c>
    </row>
    <row r="84" spans="1:19" x14ac:dyDescent="0.25">
      <c r="A84" s="175" t="str">
        <f>IF(Birim!C86="","",Birim!C86)</f>
        <v>Sosyoloji ve Metodoloji Anabilim Dalı</v>
      </c>
      <c r="B84" s="176">
        <f>IF($A84="","",COUNTIFS(Başvuru!$I:$I,Toplantı!$B$4,Başvuru!$D:$D,$A$84))</f>
        <v>0</v>
      </c>
      <c r="C84" s="176">
        <f>IF($A84="","",COUNTIFS(Başvuru!$I:$I,Toplantı!$B$5,Başvuru!$D:$D,$A$84))</f>
        <v>0</v>
      </c>
      <c r="D84" s="176">
        <f>IF($A84="","",COUNTIFS(Başvuru!$I:$I,Toplantı!$B$6,Başvuru!$D:$D,$A$84))</f>
        <v>0</v>
      </c>
      <c r="E84" s="176">
        <f>IF($A84="","",COUNTIFS(Başvuru!$I:$I,Toplantı!$B$7,Başvuru!$D:$D,$A$84))</f>
        <v>0</v>
      </c>
      <c r="F84" s="176">
        <f>IF($A84="","",COUNTIFS(Başvuru!$I:$I,Toplantı!$B$8,Başvuru!$D:$D,$A$84))</f>
        <v>0</v>
      </c>
      <c r="G84" s="176">
        <f>IF($A84="","",COUNTIFS(Başvuru!$I:$I,Toplantı!$B$9,Başvuru!$D:$D,$A$84))</f>
        <v>0</v>
      </c>
      <c r="H84" s="176">
        <f>IF($A84="","",COUNTIFS(Başvuru!$I:$I,Toplantı!$B$10,Başvuru!$D:$D,$A$84))</f>
        <v>0</v>
      </c>
      <c r="I84" s="176">
        <f>IF($A84="","",COUNTIFS(Başvuru!$I:$I,Toplantı!$B$11,Başvuru!$D:$D,$A$84))</f>
        <v>0</v>
      </c>
      <c r="J84" s="176">
        <f>IF($A84="","",COUNTIFS(Başvuru!$I:$I,Toplantı!$B$12,Başvuru!$D:$D,$A$84))</f>
        <v>0</v>
      </c>
      <c r="K84" s="176">
        <f>IF($A84="","",COUNTIFS(Başvuru!$I:$I,Toplantı!$B$13,Başvuru!$D:$D,$A$84))</f>
        <v>0</v>
      </c>
      <c r="L84" s="176">
        <f>IF($A84="","",COUNTIFS(Başvuru!$I:$I,Toplantı!$B$14,Başvuru!$D:$D,$A$84))</f>
        <v>0</v>
      </c>
      <c r="M84" s="176">
        <f>IF($A84="","",COUNTIFS(Başvuru!$I:$I,Toplantı!$B$15,Başvuru!$D:$D,$A$84))</f>
        <v>0</v>
      </c>
      <c r="N84" s="176">
        <f>IF($A84="","",COUNTIFS(Başvuru!$I:$I,Toplantı!$B$16,Başvuru!$D:$D,$A$84))</f>
        <v>0</v>
      </c>
      <c r="O84" s="176">
        <f>IF($A84="","",COUNTIFS(Başvuru!$I:$I,Toplantı!$B$17,Başvuru!$D:$D,$A$84))</f>
        <v>0</v>
      </c>
      <c r="P84" s="176">
        <f>IF($A84="","",COUNTIFS(Başvuru!$I:$I,Toplantı!$B$18,Başvuru!$D:$D,$A$84))</f>
        <v>1</v>
      </c>
      <c r="Q84" s="176">
        <f>IF($A84="","",COUNTIFS(Başvuru!$I:$I,Toplantı!$B$19,Başvuru!$D:$D,$A$84))</f>
        <v>0</v>
      </c>
      <c r="R84" s="176">
        <f>IF($A84="","",COUNTIFS(Başvuru!$I:$I,Toplantı!$B$20,Başvuru!$D:$D,$A$84))</f>
        <v>0</v>
      </c>
      <c r="S84" s="177">
        <f t="shared" si="2"/>
        <v>1</v>
      </c>
    </row>
    <row r="85" spans="1:19" ht="24" x14ac:dyDescent="0.25">
      <c r="A85" s="175" t="str">
        <f>IF(Birim!C87="","",Birim!C87)</f>
        <v>Sağlık Bilimleri Üniversitesi
Ulucanlar Göz Eğitim ve Araştırma Hastanesi</v>
      </c>
      <c r="B85" s="176">
        <f>IF($A85="","",COUNTIFS(Başvuru!$I:$I,Toplantı!$B$4,Başvuru!$D:$D,$A$85))</f>
        <v>0</v>
      </c>
      <c r="C85" s="176">
        <f>IF($A85="","",COUNTIFS(Başvuru!$I:$I,Toplantı!$B$5,Başvuru!$D:$D,$A$85))</f>
        <v>0</v>
      </c>
      <c r="D85" s="176">
        <f>IF($A85="","",COUNTIFS(Başvuru!$I:$I,Toplantı!$B$6,Başvuru!$D:$D,$A$85))</f>
        <v>0</v>
      </c>
      <c r="E85" s="176">
        <f>IF($A85="","",COUNTIFS(Başvuru!$I:$I,Toplantı!$B$7,Başvuru!$D:$D,$A$85))</f>
        <v>0</v>
      </c>
      <c r="F85" s="176">
        <f>IF($A85="","",COUNTIFS(Başvuru!$I:$I,Toplantı!$B$8,Başvuru!$D:$D,$A$85))</f>
        <v>0</v>
      </c>
      <c r="G85" s="176">
        <f>IF($A85="","",COUNTIFS(Başvuru!$I:$I,Toplantı!$B$9,Başvuru!$D:$D,$A$85))</f>
        <v>0</v>
      </c>
      <c r="H85" s="176">
        <f>IF($A85="","",COUNTIFS(Başvuru!$I:$I,Toplantı!$B$10,Başvuru!$D:$D,$A$85))</f>
        <v>0</v>
      </c>
      <c r="I85" s="176">
        <f>IF($A85="","",COUNTIFS(Başvuru!$I:$I,Toplantı!$B$11,Başvuru!$D:$D,$A$85))</f>
        <v>0</v>
      </c>
      <c r="J85" s="176">
        <f>IF($A85="","",COUNTIFS(Başvuru!$I:$I,Toplantı!$B$12,Başvuru!$D:$D,$A$85))</f>
        <v>0</v>
      </c>
      <c r="K85" s="176">
        <f>IF($A85="","",COUNTIFS(Başvuru!$I:$I,Toplantı!$B$13,Başvuru!$D:$D,$A$85))</f>
        <v>0</v>
      </c>
      <c r="L85" s="176">
        <f>IF($A85="","",COUNTIFS(Başvuru!$I:$I,Toplantı!$B$14,Başvuru!$D:$D,$A$85))</f>
        <v>0</v>
      </c>
      <c r="M85" s="176">
        <f>IF($A85="","",COUNTIFS(Başvuru!$I:$I,Toplantı!$B$15,Başvuru!$D:$D,$A$85))</f>
        <v>0</v>
      </c>
      <c r="N85" s="176">
        <f>IF($A85="","",COUNTIFS(Başvuru!$I:$I,Toplantı!$B$16,Başvuru!$D:$D,$A$85))</f>
        <v>0</v>
      </c>
      <c r="O85" s="176">
        <f>IF($A85="","",COUNTIFS(Başvuru!$I:$I,Toplantı!$B$17,Başvuru!$D:$D,$A$85))</f>
        <v>0</v>
      </c>
      <c r="P85" s="176">
        <f>IF($A85="","",COUNTIFS(Başvuru!$I:$I,Toplantı!$B$18,Başvuru!$D:$D,$A$85))</f>
        <v>0</v>
      </c>
      <c r="Q85" s="176">
        <f>IF($A85="","",COUNTIFS(Başvuru!$I:$I,Toplantı!$B$19,Başvuru!$D:$D,$A$85))</f>
        <v>1</v>
      </c>
      <c r="R85" s="176">
        <f>IF($A85="","",COUNTIFS(Başvuru!$I:$I,Toplantı!$B$20,Başvuru!$D:$D,$A$85))</f>
        <v>0</v>
      </c>
      <c r="S85" s="177">
        <f t="shared" si="2"/>
        <v>1</v>
      </c>
    </row>
    <row r="86" spans="1:19" x14ac:dyDescent="0.25">
      <c r="A86" s="175" t="str">
        <f>IF(Birim!C88="","",Birim!C88)</f>
        <v/>
      </c>
      <c r="B86" s="176" t="str">
        <f>IF($A86="","",COUNTIFS(Başvuru!$I:$I,Toplantı!$B$4,Başvuru!$D:$D,$A$86))</f>
        <v/>
      </c>
      <c r="C86" s="176" t="str">
        <f>IF($A86="","",COUNTIFS(Başvuru!$I:$I,Toplantı!$B$5,Başvuru!$D:$D,$A$86))</f>
        <v/>
      </c>
      <c r="D86" s="176" t="str">
        <f>IF($A86="","",COUNTIFS(Başvuru!$I:$I,Toplantı!$B$6,Başvuru!$D:$D,$A$86))</f>
        <v/>
      </c>
      <c r="E86" s="176" t="str">
        <f>IF($A86="","",COUNTIFS(Başvuru!$I:$I,Toplantı!$B$7,Başvuru!$D:$D,$A$86))</f>
        <v/>
      </c>
      <c r="F86" s="176" t="str">
        <f>IF($A86="","",COUNTIFS(Başvuru!$I:$I,Toplantı!$B$8,Başvuru!$D:$D,$A$86))</f>
        <v/>
      </c>
      <c r="G86" s="176" t="str">
        <f>IF($A86="","",COUNTIFS(Başvuru!$I:$I,Toplantı!$B$9,Başvuru!$D:$D,$A$86))</f>
        <v/>
      </c>
      <c r="H86" s="176" t="str">
        <f>IF($A86="","",COUNTIFS(Başvuru!$I:$I,Toplantı!$B$10,Başvuru!$D:$D,$A$86))</f>
        <v/>
      </c>
      <c r="I86" s="176" t="str">
        <f>IF($A86="","",COUNTIFS(Başvuru!$I:$I,Toplantı!$B$11,Başvuru!$D:$D,$A$86))</f>
        <v/>
      </c>
      <c r="J86" s="176" t="str">
        <f>IF($A86="","",COUNTIFS(Başvuru!$I:$I,Toplantı!$B$12,Başvuru!$D:$D,$A$86))</f>
        <v/>
      </c>
      <c r="K86" s="176" t="str">
        <f>IF($A86="","",COUNTIFS(Başvuru!$I:$I,Toplantı!$B$13,Başvuru!$D:$D,$A$86))</f>
        <v/>
      </c>
      <c r="L86" s="176" t="str">
        <f>IF($A86="","",COUNTIFS(Başvuru!$I:$I,Toplantı!$B$14,Başvuru!$D:$D,$A$86))</f>
        <v/>
      </c>
      <c r="M86" s="176" t="str">
        <f>IF($A86="","",COUNTIFS(Başvuru!$I:$I,Toplantı!$B$15,Başvuru!$D:$D,$A$86))</f>
        <v/>
      </c>
      <c r="N86" s="176" t="str">
        <f>IF($A86="","",COUNTIFS(Başvuru!$I:$I,Toplantı!$B$16,Başvuru!$D:$D,$A$86))</f>
        <v/>
      </c>
      <c r="O86" s="176" t="str">
        <f>IF($A86="","",COUNTIFS(Başvuru!$I:$I,Toplantı!$B$17,Başvuru!$D:$D,$A$86))</f>
        <v/>
      </c>
      <c r="P86" s="176" t="str">
        <f>IF($A86="","",COUNTIFS(Başvuru!$I:$I,Toplantı!$B$18,Başvuru!$D:$D,$A$86))</f>
        <v/>
      </c>
      <c r="Q86" s="176" t="str">
        <f>IF($A86="","",COUNTIFS(Başvuru!$I:$I,Toplantı!$B$19,Başvuru!$D:$D,$A$86))</f>
        <v/>
      </c>
      <c r="R86" s="176" t="str">
        <f>IF($A86="","",COUNTIFS(Başvuru!$I:$I,Toplantı!$B$20,Başvuru!$D:$D,$A$86))</f>
        <v/>
      </c>
      <c r="S86" s="177">
        <f t="shared" si="2"/>
        <v>0</v>
      </c>
    </row>
    <row r="87" spans="1:19" x14ac:dyDescent="0.25">
      <c r="A87" s="175" t="str">
        <f>IF(Birim!C89="","",Birim!C89)</f>
        <v/>
      </c>
      <c r="B87" s="176" t="str">
        <f>IF($A87="","",COUNTIFS(Başvuru!$I:$I,Toplantı!$B$4,Başvuru!$D:$D,$A$87))</f>
        <v/>
      </c>
      <c r="C87" s="176" t="str">
        <f>IF($A87="","",COUNTIFS(Başvuru!$I:$I,Toplantı!$B$5,Başvuru!$D:$D,$A$87))</f>
        <v/>
      </c>
      <c r="D87" s="176" t="str">
        <f>IF($A87="","",COUNTIFS(Başvuru!$I:$I,Toplantı!$B$6,Başvuru!$D:$D,$A$87))</f>
        <v/>
      </c>
      <c r="E87" s="176" t="str">
        <f>IF($A87="","",COUNTIFS(Başvuru!$I:$I,Toplantı!$B$7,Başvuru!$D:$D,$A$87))</f>
        <v/>
      </c>
      <c r="F87" s="176" t="str">
        <f>IF($A87="","",COUNTIFS(Başvuru!$I:$I,Toplantı!$B$8,Başvuru!$D:$D,$A$87))</f>
        <v/>
      </c>
      <c r="G87" s="176" t="str">
        <f>IF($A87="","",COUNTIFS(Başvuru!$I:$I,Toplantı!$B$9,Başvuru!$D:$D,$A$87))</f>
        <v/>
      </c>
      <c r="H87" s="176" t="str">
        <f>IF($A87="","",COUNTIFS(Başvuru!$I:$I,Toplantı!$B$10,Başvuru!$D:$D,$A$87))</f>
        <v/>
      </c>
      <c r="I87" s="176" t="str">
        <f>IF($A87="","",COUNTIFS(Başvuru!$I:$I,Toplantı!$B$11,Başvuru!$D:$D,$A$87))</f>
        <v/>
      </c>
      <c r="J87" s="176" t="str">
        <f>IF($A87="","",COUNTIFS(Başvuru!$I:$I,Toplantı!$B$12,Başvuru!$D:$D,$A$87))</f>
        <v/>
      </c>
      <c r="K87" s="176" t="str">
        <f>IF($A87="","",COUNTIFS(Başvuru!$I:$I,Toplantı!$B$13,Başvuru!$D:$D,$A$87))</f>
        <v/>
      </c>
      <c r="L87" s="176" t="str">
        <f>IF($A87="","",COUNTIFS(Başvuru!$I:$I,Toplantı!$B$14,Başvuru!$D:$D,$A$87))</f>
        <v/>
      </c>
      <c r="M87" s="176" t="str">
        <f>IF($A87="","",COUNTIFS(Başvuru!$I:$I,Toplantı!$B$15,Başvuru!$D:$D,$A$87))</f>
        <v/>
      </c>
      <c r="N87" s="176" t="str">
        <f>IF($A87="","",COUNTIFS(Başvuru!$I:$I,Toplantı!$B$16,Başvuru!$D:$D,$A$87))</f>
        <v/>
      </c>
      <c r="O87" s="176" t="str">
        <f>IF($A87="","",COUNTIFS(Başvuru!$I:$I,Toplantı!$B$17,Başvuru!$D:$D,$A$87))</f>
        <v/>
      </c>
      <c r="P87" s="176" t="str">
        <f>IF($A87="","",COUNTIFS(Başvuru!$I:$I,Toplantı!$B$18,Başvuru!$D:$D,$A$87))</f>
        <v/>
      </c>
      <c r="Q87" s="176" t="str">
        <f>IF($A87="","",COUNTIFS(Başvuru!$I:$I,Toplantı!$B$19,Başvuru!$D:$D,$A$87))</f>
        <v/>
      </c>
      <c r="R87" s="176" t="str">
        <f>IF($A87="","",COUNTIFS(Başvuru!$I:$I,Toplantı!$B$20,Başvuru!$D:$D,$A$87))</f>
        <v/>
      </c>
      <c r="S87" s="177">
        <f t="shared" si="2"/>
        <v>0</v>
      </c>
    </row>
    <row r="88" spans="1:19" x14ac:dyDescent="0.25">
      <c r="A88" s="175" t="str">
        <f>IF(Birim!C90="","",Birim!C90)</f>
        <v/>
      </c>
      <c r="B88" s="176" t="str">
        <f>IF($A88="","",COUNTIFS(Başvuru!$I:$I,Toplantı!$B$4,Başvuru!$D:$D,$A$88))</f>
        <v/>
      </c>
      <c r="C88" s="176" t="str">
        <f>IF($A88="","",COUNTIFS(Başvuru!$I:$I,Toplantı!$B$5,Başvuru!$D:$D,$A$88))</f>
        <v/>
      </c>
      <c r="D88" s="176" t="str">
        <f>IF($A88="","",COUNTIFS(Başvuru!$I:$I,Toplantı!$B$6,Başvuru!$D:$D,$A$88))</f>
        <v/>
      </c>
      <c r="E88" s="176" t="str">
        <f>IF($A88="","",COUNTIFS(Başvuru!$I:$I,Toplantı!$B$7,Başvuru!$D:$D,$A$88))</f>
        <v/>
      </c>
      <c r="F88" s="176" t="str">
        <f>IF($A88="","",COUNTIFS(Başvuru!$I:$I,Toplantı!$B$8,Başvuru!$D:$D,$A$88))</f>
        <v/>
      </c>
      <c r="G88" s="176" t="str">
        <f>IF($A88="","",COUNTIFS(Başvuru!$I:$I,Toplantı!$B$9,Başvuru!$D:$D,$A$88))</f>
        <v/>
      </c>
      <c r="H88" s="176" t="str">
        <f>IF($A88="","",COUNTIFS(Başvuru!$I:$I,Toplantı!$B$10,Başvuru!$D:$D,$A$88))</f>
        <v/>
      </c>
      <c r="I88" s="176" t="str">
        <f>IF($A88="","",COUNTIFS(Başvuru!$I:$I,Toplantı!$B$11,Başvuru!$D:$D,$A$88))</f>
        <v/>
      </c>
      <c r="J88" s="176" t="str">
        <f>IF($A88="","",COUNTIFS(Başvuru!$I:$I,Toplantı!$B$12,Başvuru!$D:$D,$A$88))</f>
        <v/>
      </c>
      <c r="K88" s="176" t="str">
        <f>IF($A88="","",COUNTIFS(Başvuru!$I:$I,Toplantı!$B$13,Başvuru!$D:$D,$A$88))</f>
        <v/>
      </c>
      <c r="L88" s="176" t="str">
        <f>IF($A88="","",COUNTIFS(Başvuru!$I:$I,Toplantı!$B$14,Başvuru!$D:$D,$A$88))</f>
        <v/>
      </c>
      <c r="M88" s="176" t="str">
        <f>IF($A88="","",COUNTIFS(Başvuru!$I:$I,Toplantı!$B$15,Başvuru!$D:$D,$A$88))</f>
        <v/>
      </c>
      <c r="N88" s="176" t="str">
        <f>IF($A88="","",COUNTIFS(Başvuru!$I:$I,Toplantı!$B$16,Başvuru!$D:$D,$A$88))</f>
        <v/>
      </c>
      <c r="O88" s="176" t="str">
        <f>IF($A88="","",COUNTIFS(Başvuru!$I:$I,Toplantı!$B$17,Başvuru!$D:$D,$A$88))</f>
        <v/>
      </c>
      <c r="P88" s="176" t="str">
        <f>IF($A88="","",COUNTIFS(Başvuru!$I:$I,Toplantı!$B$18,Başvuru!$D:$D,$A$88))</f>
        <v/>
      </c>
      <c r="Q88" s="176" t="str">
        <f>IF($A88="","",COUNTIFS(Başvuru!$I:$I,Toplantı!$B$19,Başvuru!$D:$D,$A$88))</f>
        <v/>
      </c>
      <c r="R88" s="176" t="str">
        <f>IF($A88="","",COUNTIFS(Başvuru!$I:$I,Toplantı!$B$20,Başvuru!$D:$D,$A$88))</f>
        <v/>
      </c>
      <c r="S88" s="177">
        <f t="shared" si="2"/>
        <v>0</v>
      </c>
    </row>
    <row r="89" spans="1:19" x14ac:dyDescent="0.25">
      <c r="A89" s="175" t="str">
        <f>IF(Birim!C91="","",Birim!C91)</f>
        <v/>
      </c>
      <c r="B89" s="176" t="str">
        <f>IF($A89="","",COUNTIFS(Başvuru!$I:$I,Toplantı!$B$4,Başvuru!$D:$D,$A$89))</f>
        <v/>
      </c>
      <c r="C89" s="176" t="str">
        <f>IF($A89="","",COUNTIFS(Başvuru!$I:$I,Toplantı!$B$5,Başvuru!$D:$D,$A$89))</f>
        <v/>
      </c>
      <c r="D89" s="176" t="str">
        <f>IF($A89="","",COUNTIFS(Başvuru!$I:$I,Toplantı!$B$6,Başvuru!$D:$D,$A$89))</f>
        <v/>
      </c>
      <c r="E89" s="176" t="str">
        <f>IF($A89="","",COUNTIFS(Başvuru!$I:$I,Toplantı!$B$7,Başvuru!$D:$D,$A$89))</f>
        <v/>
      </c>
      <c r="F89" s="176" t="str">
        <f>IF($A89="","",COUNTIFS(Başvuru!$I:$I,Toplantı!$B$8,Başvuru!$D:$D,$A$89))</f>
        <v/>
      </c>
      <c r="G89" s="176" t="str">
        <f>IF($A89="","",COUNTIFS(Başvuru!$I:$I,Toplantı!$B$9,Başvuru!$D:$D,$A$89))</f>
        <v/>
      </c>
      <c r="H89" s="176" t="str">
        <f>IF($A89="","",COUNTIFS(Başvuru!$I:$I,Toplantı!$B$10,Başvuru!$D:$D,$A$89))</f>
        <v/>
      </c>
      <c r="I89" s="176" t="str">
        <f>IF($A89="","",COUNTIFS(Başvuru!$I:$I,Toplantı!$B$11,Başvuru!$D:$D,$A$89))</f>
        <v/>
      </c>
      <c r="J89" s="176" t="str">
        <f>IF($A89="","",COUNTIFS(Başvuru!$I:$I,Toplantı!$B$12,Başvuru!$D:$D,$A$89))</f>
        <v/>
      </c>
      <c r="K89" s="176" t="str">
        <f>IF($A89="","",COUNTIFS(Başvuru!$I:$I,Toplantı!$B$13,Başvuru!$D:$D,$A$89))</f>
        <v/>
      </c>
      <c r="L89" s="176" t="str">
        <f>IF($A89="","",COUNTIFS(Başvuru!$I:$I,Toplantı!$B$14,Başvuru!$D:$D,$A$89))</f>
        <v/>
      </c>
      <c r="M89" s="176" t="str">
        <f>IF($A89="","",COUNTIFS(Başvuru!$I:$I,Toplantı!$B$15,Başvuru!$D:$D,$A$89))</f>
        <v/>
      </c>
      <c r="N89" s="176" t="str">
        <f>IF($A89="","",COUNTIFS(Başvuru!$I:$I,Toplantı!$B$16,Başvuru!$D:$D,$A$89))</f>
        <v/>
      </c>
      <c r="O89" s="176" t="str">
        <f>IF($A89="","",COUNTIFS(Başvuru!$I:$I,Toplantı!$B$17,Başvuru!$D:$D,$A$89))</f>
        <v/>
      </c>
      <c r="P89" s="176" t="str">
        <f>IF($A89="","",COUNTIFS(Başvuru!$I:$I,Toplantı!$B$18,Başvuru!$D:$D,$A$89))</f>
        <v/>
      </c>
      <c r="Q89" s="176" t="str">
        <f>IF($A89="","",COUNTIFS(Başvuru!$I:$I,Toplantı!$B$19,Başvuru!$D:$D,$A$89))</f>
        <v/>
      </c>
      <c r="R89" s="176" t="str">
        <f>IF($A89="","",COUNTIFS(Başvuru!$I:$I,Toplantı!$B$20,Başvuru!$D:$D,$A$89))</f>
        <v/>
      </c>
      <c r="S89" s="177">
        <f t="shared" si="2"/>
        <v>0</v>
      </c>
    </row>
    <row r="90" spans="1:19" x14ac:dyDescent="0.25">
      <c r="A90" s="175" t="str">
        <f>IF(Birim!C92="","",Birim!C92)</f>
        <v/>
      </c>
      <c r="B90" s="176" t="str">
        <f>IF($A90="","",COUNTIFS(Başvuru!$I:$I,Toplantı!$B$4,Başvuru!$D:$D,$A$90))</f>
        <v/>
      </c>
      <c r="C90" s="176" t="str">
        <f>IF($A90="","",COUNTIFS(Başvuru!$I:$I,Toplantı!$B$5,Başvuru!$D:$D,$A$90))</f>
        <v/>
      </c>
      <c r="D90" s="176" t="str">
        <f>IF($A90="","",COUNTIFS(Başvuru!$I:$I,Toplantı!$B$6,Başvuru!$D:$D,$A$90))</f>
        <v/>
      </c>
      <c r="E90" s="176" t="str">
        <f>IF($A90="","",COUNTIFS(Başvuru!$I:$I,Toplantı!$B$7,Başvuru!$D:$D,$A$90))</f>
        <v/>
      </c>
      <c r="F90" s="176" t="str">
        <f>IF($A90="","",COUNTIFS(Başvuru!$I:$I,Toplantı!$B$8,Başvuru!$D:$D,$A$90))</f>
        <v/>
      </c>
      <c r="G90" s="176" t="str">
        <f>IF($A90="","",COUNTIFS(Başvuru!$I:$I,Toplantı!$B$9,Başvuru!$D:$D,$A$90))</f>
        <v/>
      </c>
      <c r="H90" s="176" t="str">
        <f>IF($A90="","",COUNTIFS(Başvuru!$I:$I,Toplantı!$B$10,Başvuru!$D:$D,$A$90))</f>
        <v/>
      </c>
      <c r="I90" s="176" t="str">
        <f>IF($A90="","",COUNTIFS(Başvuru!$I:$I,Toplantı!$B$11,Başvuru!$D:$D,$A$90))</f>
        <v/>
      </c>
      <c r="J90" s="176" t="str">
        <f>IF($A90="","",COUNTIFS(Başvuru!$I:$I,Toplantı!$B$12,Başvuru!$D:$D,$A$90))</f>
        <v/>
      </c>
      <c r="K90" s="176" t="str">
        <f>IF($A90="","",COUNTIFS(Başvuru!$I:$I,Toplantı!$B$13,Başvuru!$D:$D,$A$90))</f>
        <v/>
      </c>
      <c r="L90" s="176" t="str">
        <f>IF($A90="","",COUNTIFS(Başvuru!$I:$I,Toplantı!$B$14,Başvuru!$D:$D,$A$90))</f>
        <v/>
      </c>
      <c r="M90" s="176" t="str">
        <f>IF($A90="","",COUNTIFS(Başvuru!$I:$I,Toplantı!$B$15,Başvuru!$D:$D,$A$90))</f>
        <v/>
      </c>
      <c r="N90" s="176" t="str">
        <f>IF($A90="","",COUNTIFS(Başvuru!$I:$I,Toplantı!$B$16,Başvuru!$D:$D,$A$90))</f>
        <v/>
      </c>
      <c r="O90" s="176" t="str">
        <f>IF($A90="","",COUNTIFS(Başvuru!$I:$I,Toplantı!$B$17,Başvuru!$D:$D,$A$90))</f>
        <v/>
      </c>
      <c r="P90" s="176" t="str">
        <f>IF($A90="","",COUNTIFS(Başvuru!$I:$I,Toplantı!$B$18,Başvuru!$D:$D,$A$90))</f>
        <v/>
      </c>
      <c r="Q90" s="176" t="str">
        <f>IF($A90="","",COUNTIFS(Başvuru!$I:$I,Toplantı!$B$19,Başvuru!$D:$D,$A$90))</f>
        <v/>
      </c>
      <c r="R90" s="176" t="str">
        <f>IF($A90="","",COUNTIFS(Başvuru!$I:$I,Toplantı!$B$20,Başvuru!$D:$D,$A$90))</f>
        <v/>
      </c>
      <c r="S90" s="177">
        <f t="shared" si="2"/>
        <v>0</v>
      </c>
    </row>
    <row r="91" spans="1:19" x14ac:dyDescent="0.25">
      <c r="A91" s="175" t="str">
        <f>IF(Birim!C93="","",Birim!C93)</f>
        <v/>
      </c>
      <c r="B91" s="176" t="str">
        <f>IF($A91="","",COUNTIFS(Başvuru!$I:$I,Toplantı!$B$4,Başvuru!$D:$D,$A$91))</f>
        <v/>
      </c>
      <c r="C91" s="176" t="str">
        <f>IF($A91="","",COUNTIFS(Başvuru!$I:$I,Toplantı!$B$5,Başvuru!$D:$D,$A$91))</f>
        <v/>
      </c>
      <c r="D91" s="176" t="str">
        <f>IF($A91="","",COUNTIFS(Başvuru!$I:$I,Toplantı!$B$6,Başvuru!$D:$D,$A$91))</f>
        <v/>
      </c>
      <c r="E91" s="176" t="str">
        <f>IF($A91="","",COUNTIFS(Başvuru!$I:$I,Toplantı!$B$7,Başvuru!$D:$D,$A$91))</f>
        <v/>
      </c>
      <c r="F91" s="176" t="str">
        <f>IF($A91="","",COUNTIFS(Başvuru!$I:$I,Toplantı!$B$8,Başvuru!$D:$D,$A$91))</f>
        <v/>
      </c>
      <c r="G91" s="176" t="str">
        <f>IF($A91="","",COUNTIFS(Başvuru!$I:$I,Toplantı!$B$9,Başvuru!$D:$D,$A$91))</f>
        <v/>
      </c>
      <c r="H91" s="176" t="str">
        <f>IF($A91="","",COUNTIFS(Başvuru!$I:$I,Toplantı!$B$10,Başvuru!$D:$D,$A$91))</f>
        <v/>
      </c>
      <c r="I91" s="176" t="str">
        <f>IF($A91="","",COUNTIFS(Başvuru!$I:$I,Toplantı!$B$11,Başvuru!$D:$D,$A$91))</f>
        <v/>
      </c>
      <c r="J91" s="176" t="str">
        <f>IF($A91="","",COUNTIFS(Başvuru!$I:$I,Toplantı!$B$12,Başvuru!$D:$D,$A$91))</f>
        <v/>
      </c>
      <c r="K91" s="176" t="str">
        <f>IF($A91="","",COUNTIFS(Başvuru!$I:$I,Toplantı!$B$13,Başvuru!$D:$D,$A$91))</f>
        <v/>
      </c>
      <c r="L91" s="176" t="str">
        <f>IF($A91="","",COUNTIFS(Başvuru!$I:$I,Toplantı!$B$14,Başvuru!$D:$D,$A$91))</f>
        <v/>
      </c>
      <c r="M91" s="176" t="str">
        <f>IF($A91="","",COUNTIFS(Başvuru!$I:$I,Toplantı!$B$15,Başvuru!$D:$D,$A$91))</f>
        <v/>
      </c>
      <c r="N91" s="176" t="str">
        <f>IF($A91="","",COUNTIFS(Başvuru!$I:$I,Toplantı!$B$16,Başvuru!$D:$D,$A$91))</f>
        <v/>
      </c>
      <c r="O91" s="176" t="str">
        <f>IF($A91="","",COUNTIFS(Başvuru!$I:$I,Toplantı!$B$17,Başvuru!$D:$D,$A$91))</f>
        <v/>
      </c>
      <c r="P91" s="176" t="str">
        <f>IF($A91="","",COUNTIFS(Başvuru!$I:$I,Toplantı!$B$18,Başvuru!$D:$D,$A$91))</f>
        <v/>
      </c>
      <c r="Q91" s="176" t="str">
        <f>IF($A91="","",COUNTIFS(Başvuru!$I:$I,Toplantı!$B$19,Başvuru!$D:$D,$A$91))</f>
        <v/>
      </c>
      <c r="R91" s="176" t="str">
        <f>IF($A91="","",COUNTIFS(Başvuru!$I:$I,Toplantı!$B$20,Başvuru!$D:$D,$A$91))</f>
        <v/>
      </c>
      <c r="S91" s="177">
        <f t="shared" si="2"/>
        <v>0</v>
      </c>
    </row>
    <row r="92" spans="1:19" x14ac:dyDescent="0.25">
      <c r="A92" s="175" t="str">
        <f>IF(Birim!C94="","",Birim!C94)</f>
        <v/>
      </c>
      <c r="B92" s="176" t="str">
        <f>IF($A92="","",COUNTIFS(Başvuru!$I:$I,Toplantı!$B$4,Başvuru!$D:$D,$A$92))</f>
        <v/>
      </c>
      <c r="C92" s="176" t="str">
        <f>IF($A92="","",COUNTIFS(Başvuru!$I:$I,Toplantı!$B$5,Başvuru!$D:$D,$A$92))</f>
        <v/>
      </c>
      <c r="D92" s="176" t="str">
        <f>IF($A92="","",COUNTIFS(Başvuru!$I:$I,Toplantı!$B$6,Başvuru!$D:$D,$A$92))</f>
        <v/>
      </c>
      <c r="E92" s="176" t="str">
        <f>IF($A92="","",COUNTIFS(Başvuru!$I:$I,Toplantı!$B$7,Başvuru!$D:$D,$A$92))</f>
        <v/>
      </c>
      <c r="F92" s="176" t="str">
        <f>IF($A92="","",COUNTIFS(Başvuru!$I:$I,Toplantı!$B$8,Başvuru!$D:$D,$A$92))</f>
        <v/>
      </c>
      <c r="G92" s="176" t="str">
        <f>IF($A92="","",COUNTIFS(Başvuru!$I:$I,Toplantı!$B$9,Başvuru!$D:$D,$A$92))</f>
        <v/>
      </c>
      <c r="H92" s="176" t="str">
        <f>IF($A92="","",COUNTIFS(Başvuru!$I:$I,Toplantı!$B$10,Başvuru!$D:$D,$A$92))</f>
        <v/>
      </c>
      <c r="I92" s="176" t="str">
        <f>IF($A92="","",COUNTIFS(Başvuru!$I:$I,Toplantı!$B$11,Başvuru!$D:$D,$A$92))</f>
        <v/>
      </c>
      <c r="J92" s="176" t="str">
        <f>IF($A92="","",COUNTIFS(Başvuru!$I:$I,Toplantı!$B$12,Başvuru!$D:$D,$A$92))</f>
        <v/>
      </c>
      <c r="K92" s="176" t="str">
        <f>IF($A92="","",COUNTIFS(Başvuru!$I:$I,Toplantı!$B$13,Başvuru!$D:$D,$A$92))</f>
        <v/>
      </c>
      <c r="L92" s="176" t="str">
        <f>IF($A92="","",COUNTIFS(Başvuru!$I:$I,Toplantı!$B$14,Başvuru!$D:$D,$A$92))</f>
        <v/>
      </c>
      <c r="M92" s="176" t="str">
        <f>IF($A92="","",COUNTIFS(Başvuru!$I:$I,Toplantı!$B$15,Başvuru!$D:$D,$A$92))</f>
        <v/>
      </c>
      <c r="N92" s="176" t="str">
        <f>IF($A92="","",COUNTIFS(Başvuru!$I:$I,Toplantı!$B$16,Başvuru!$D:$D,$A$92))</f>
        <v/>
      </c>
      <c r="O92" s="176" t="str">
        <f>IF($A92="","",COUNTIFS(Başvuru!$I:$I,Toplantı!$B$17,Başvuru!$D:$D,$A$92))</f>
        <v/>
      </c>
      <c r="P92" s="176" t="str">
        <f>IF($A92="","",COUNTIFS(Başvuru!$I:$I,Toplantı!$B$18,Başvuru!$D:$D,$A$92))</f>
        <v/>
      </c>
      <c r="Q92" s="176" t="str">
        <f>IF($A92="","",COUNTIFS(Başvuru!$I:$I,Toplantı!$B$19,Başvuru!$D:$D,$A$92))</f>
        <v/>
      </c>
      <c r="R92" s="176" t="str">
        <f>IF($A92="","",COUNTIFS(Başvuru!$I:$I,Toplantı!$B$20,Başvuru!$D:$D,$A$92))</f>
        <v/>
      </c>
      <c r="S92" s="177">
        <f t="shared" si="2"/>
        <v>0</v>
      </c>
    </row>
    <row r="93" spans="1:19" x14ac:dyDescent="0.25">
      <c r="A93" s="175" t="str">
        <f>IF(Birim!C95="","",Birim!C95)</f>
        <v/>
      </c>
      <c r="B93" s="176" t="str">
        <f>IF($A93="","",COUNTIFS(Başvuru!$I:$I,Toplantı!$B$4,Başvuru!$D:$D,$A$93))</f>
        <v/>
      </c>
      <c r="C93" s="176" t="str">
        <f>IF($A93="","",COUNTIFS(Başvuru!$I:$I,Toplantı!$B$5,Başvuru!$D:$D,$A$93))</f>
        <v/>
      </c>
      <c r="D93" s="176" t="str">
        <f>IF($A93="","",COUNTIFS(Başvuru!$I:$I,Toplantı!$B$6,Başvuru!$D:$D,$A$93))</f>
        <v/>
      </c>
      <c r="E93" s="176" t="str">
        <f>IF($A93="","",COUNTIFS(Başvuru!$I:$I,Toplantı!$B$7,Başvuru!$D:$D,$A$93))</f>
        <v/>
      </c>
      <c r="F93" s="176" t="str">
        <f>IF($A93="","",COUNTIFS(Başvuru!$I:$I,Toplantı!$B$8,Başvuru!$D:$D,$A$93))</f>
        <v/>
      </c>
      <c r="G93" s="176" t="str">
        <f>IF($A93="","",COUNTIFS(Başvuru!$I:$I,Toplantı!$B$9,Başvuru!$D:$D,$A$93))</f>
        <v/>
      </c>
      <c r="H93" s="176" t="str">
        <f>IF($A93="","",COUNTIFS(Başvuru!$I:$I,Toplantı!$B$10,Başvuru!$D:$D,$A$93))</f>
        <v/>
      </c>
      <c r="I93" s="176" t="str">
        <f>IF($A93="","",COUNTIFS(Başvuru!$I:$I,Toplantı!$B$11,Başvuru!$D:$D,$A$93))</f>
        <v/>
      </c>
      <c r="J93" s="176" t="str">
        <f>IF($A93="","",COUNTIFS(Başvuru!$I:$I,Toplantı!$B$12,Başvuru!$D:$D,$A$93))</f>
        <v/>
      </c>
      <c r="K93" s="176" t="str">
        <f>IF($A93="","",COUNTIFS(Başvuru!$I:$I,Toplantı!$B$13,Başvuru!$D:$D,$A$93))</f>
        <v/>
      </c>
      <c r="L93" s="176" t="str">
        <f>IF($A93="","",COUNTIFS(Başvuru!$I:$I,Toplantı!$B$14,Başvuru!$D:$D,$A$93))</f>
        <v/>
      </c>
      <c r="M93" s="176" t="str">
        <f>IF($A93="","",COUNTIFS(Başvuru!$I:$I,Toplantı!$B$15,Başvuru!$D:$D,$A$93))</f>
        <v/>
      </c>
      <c r="N93" s="176" t="str">
        <f>IF($A93="","",COUNTIFS(Başvuru!$I:$I,Toplantı!$B$16,Başvuru!$D:$D,$A$93))</f>
        <v/>
      </c>
      <c r="O93" s="176" t="str">
        <f>IF($A93="","",COUNTIFS(Başvuru!$I:$I,Toplantı!$B$17,Başvuru!$D:$D,$A$93))</f>
        <v/>
      </c>
      <c r="P93" s="176" t="str">
        <f>IF($A93="","",COUNTIFS(Başvuru!$I:$I,Toplantı!$B$18,Başvuru!$D:$D,$A$93))</f>
        <v/>
      </c>
      <c r="Q93" s="176" t="str">
        <f>IF($A93="","",COUNTIFS(Başvuru!$I:$I,Toplantı!$B$19,Başvuru!$D:$D,$A$93))</f>
        <v/>
      </c>
      <c r="R93" s="176" t="str">
        <f>IF($A93="","",COUNTIFS(Başvuru!$I:$I,Toplantı!$B$20,Başvuru!$D:$D,$A$93))</f>
        <v/>
      </c>
      <c r="S93" s="177">
        <f t="shared" si="2"/>
        <v>0</v>
      </c>
    </row>
    <row r="94" spans="1:19" x14ac:dyDescent="0.25">
      <c r="A94" s="175" t="str">
        <f>IF(Birim!C96="","",Birim!C96)</f>
        <v/>
      </c>
      <c r="B94" s="176" t="str">
        <f>IF($A94="","",COUNTIFS(Başvuru!$I:$I,Toplantı!$B$4,Başvuru!$D:$D,$A$94))</f>
        <v/>
      </c>
      <c r="C94" s="176" t="str">
        <f>IF($A94="","",COUNTIFS(Başvuru!$I:$I,Toplantı!$B$5,Başvuru!$D:$D,$A$94))</f>
        <v/>
      </c>
      <c r="D94" s="176" t="str">
        <f>IF($A94="","",COUNTIFS(Başvuru!$I:$I,Toplantı!$B$6,Başvuru!$D:$D,$A$94))</f>
        <v/>
      </c>
      <c r="E94" s="176" t="str">
        <f>IF($A94="","",COUNTIFS(Başvuru!$I:$I,Toplantı!$B$7,Başvuru!$D:$D,$A$94))</f>
        <v/>
      </c>
      <c r="F94" s="176" t="str">
        <f>IF($A94="","",COUNTIFS(Başvuru!$I:$I,Toplantı!$B$8,Başvuru!$D:$D,$A$94))</f>
        <v/>
      </c>
      <c r="G94" s="176" t="str">
        <f>IF($A94="","",COUNTIFS(Başvuru!$I:$I,Toplantı!$B$9,Başvuru!$D:$D,$A$94))</f>
        <v/>
      </c>
      <c r="H94" s="176" t="str">
        <f>IF($A94="","",COUNTIFS(Başvuru!$I:$I,Toplantı!$B$10,Başvuru!$D:$D,$A$94))</f>
        <v/>
      </c>
      <c r="I94" s="176" t="str">
        <f>IF($A94="","",COUNTIFS(Başvuru!$I:$I,Toplantı!$B$11,Başvuru!$D:$D,$A$94))</f>
        <v/>
      </c>
      <c r="J94" s="176" t="str">
        <f>IF($A94="","",COUNTIFS(Başvuru!$I:$I,Toplantı!$B$12,Başvuru!$D:$D,$A$94))</f>
        <v/>
      </c>
      <c r="K94" s="176" t="str">
        <f>IF($A94="","",COUNTIFS(Başvuru!$I:$I,Toplantı!$B$13,Başvuru!$D:$D,$A$94))</f>
        <v/>
      </c>
      <c r="L94" s="176" t="str">
        <f>IF($A94="","",COUNTIFS(Başvuru!$I:$I,Toplantı!$B$14,Başvuru!$D:$D,$A$94))</f>
        <v/>
      </c>
      <c r="M94" s="176" t="str">
        <f>IF($A94="","",COUNTIFS(Başvuru!$I:$I,Toplantı!$B$15,Başvuru!$D:$D,$A$94))</f>
        <v/>
      </c>
      <c r="N94" s="176" t="str">
        <f>IF($A94="","",COUNTIFS(Başvuru!$I:$I,Toplantı!$B$16,Başvuru!$D:$D,$A$94))</f>
        <v/>
      </c>
      <c r="O94" s="176" t="str">
        <f>IF($A94="","",COUNTIFS(Başvuru!$I:$I,Toplantı!$B$17,Başvuru!$D:$D,$A$94))</f>
        <v/>
      </c>
      <c r="P94" s="176" t="str">
        <f>IF($A94="","",COUNTIFS(Başvuru!$I:$I,Toplantı!$B$18,Başvuru!$D:$D,$A$94))</f>
        <v/>
      </c>
      <c r="Q94" s="176" t="str">
        <f>IF($A94="","",COUNTIFS(Başvuru!$I:$I,Toplantı!$B$19,Başvuru!$D:$D,$A$94))</f>
        <v/>
      </c>
      <c r="R94" s="176" t="str">
        <f>IF($A94="","",COUNTIFS(Başvuru!$I:$I,Toplantı!$B$20,Başvuru!$D:$D,$A$94))</f>
        <v/>
      </c>
      <c r="S94" s="177">
        <f t="shared" si="2"/>
        <v>0</v>
      </c>
    </row>
    <row r="95" spans="1:19" x14ac:dyDescent="0.25">
      <c r="A95" s="175" t="str">
        <f>IF(Birim!C97="","",Birim!C97)</f>
        <v/>
      </c>
      <c r="B95" s="176" t="str">
        <f>IF($A95="","",COUNTIFS(Başvuru!$I:$I,Toplantı!$B$4,Başvuru!$D:$D,$A$95))</f>
        <v/>
      </c>
      <c r="C95" s="176" t="str">
        <f>IF($A95="","",COUNTIFS(Başvuru!$I:$I,Toplantı!$B$5,Başvuru!$D:$D,$A$95))</f>
        <v/>
      </c>
      <c r="D95" s="176" t="str">
        <f>IF($A95="","",COUNTIFS(Başvuru!$I:$I,Toplantı!$B$6,Başvuru!$D:$D,$A$95))</f>
        <v/>
      </c>
      <c r="E95" s="176" t="str">
        <f>IF($A95="","",COUNTIFS(Başvuru!$I:$I,Toplantı!$B$7,Başvuru!$D:$D,$A$95))</f>
        <v/>
      </c>
      <c r="F95" s="176" t="str">
        <f>IF($A95="","",COUNTIFS(Başvuru!$I:$I,Toplantı!$B$8,Başvuru!$D:$D,$A$95))</f>
        <v/>
      </c>
      <c r="G95" s="176" t="str">
        <f>IF($A95="","",COUNTIFS(Başvuru!$I:$I,Toplantı!$B$9,Başvuru!$D:$D,$A$95))</f>
        <v/>
      </c>
      <c r="H95" s="176" t="str">
        <f>IF($A95="","",COUNTIFS(Başvuru!$I:$I,Toplantı!$B$10,Başvuru!$D:$D,$A$95))</f>
        <v/>
      </c>
      <c r="I95" s="176" t="str">
        <f>IF($A95="","",COUNTIFS(Başvuru!$I:$I,Toplantı!$B$11,Başvuru!$D:$D,$A$95))</f>
        <v/>
      </c>
      <c r="J95" s="176" t="str">
        <f>IF($A95="","",COUNTIFS(Başvuru!$I:$I,Toplantı!$B$12,Başvuru!$D:$D,$A$95))</f>
        <v/>
      </c>
      <c r="K95" s="176" t="str">
        <f>IF($A95="","",COUNTIFS(Başvuru!$I:$I,Toplantı!$B$13,Başvuru!$D:$D,$A$95))</f>
        <v/>
      </c>
      <c r="L95" s="176" t="str">
        <f>IF($A95="","",COUNTIFS(Başvuru!$I:$I,Toplantı!$B$14,Başvuru!$D:$D,$A$95))</f>
        <v/>
      </c>
      <c r="M95" s="176" t="str">
        <f>IF($A95="","",COUNTIFS(Başvuru!$I:$I,Toplantı!$B$15,Başvuru!$D:$D,$A$95))</f>
        <v/>
      </c>
      <c r="N95" s="176" t="str">
        <f>IF($A95="","",COUNTIFS(Başvuru!$I:$I,Toplantı!$B$16,Başvuru!$D:$D,$A$95))</f>
        <v/>
      </c>
      <c r="O95" s="176" t="str">
        <f>IF($A95="","",COUNTIFS(Başvuru!$I:$I,Toplantı!$B$17,Başvuru!$D:$D,$A$95))</f>
        <v/>
      </c>
      <c r="P95" s="176" t="str">
        <f>IF($A95="","",COUNTIFS(Başvuru!$I:$I,Toplantı!$B$18,Başvuru!$D:$D,$A$95))</f>
        <v/>
      </c>
      <c r="Q95" s="176" t="str">
        <f>IF($A95="","",COUNTIFS(Başvuru!$I:$I,Toplantı!$B$19,Başvuru!$D:$D,$A$95))</f>
        <v/>
      </c>
      <c r="R95" s="176" t="str">
        <f>IF($A95="","",COUNTIFS(Başvuru!$I:$I,Toplantı!$B$20,Başvuru!$D:$D,$A$95))</f>
        <v/>
      </c>
      <c r="S95" s="177">
        <f t="shared" si="2"/>
        <v>0</v>
      </c>
    </row>
    <row r="96" spans="1:19" x14ac:dyDescent="0.25">
      <c r="A96" s="175" t="str">
        <f>IF(Birim!C98="","",Birim!C98)</f>
        <v/>
      </c>
      <c r="B96" s="176" t="str">
        <f>IF($A96="","",COUNTIFS(Başvuru!$I:$I,Toplantı!$B$4,Başvuru!$D:$D,$A$96))</f>
        <v/>
      </c>
      <c r="C96" s="176" t="str">
        <f>IF($A96="","",COUNTIFS(Başvuru!$I:$I,Toplantı!$B$5,Başvuru!$D:$D,$A$96))</f>
        <v/>
      </c>
      <c r="D96" s="176" t="str">
        <f>IF($A96="","",COUNTIFS(Başvuru!$I:$I,Toplantı!$B$6,Başvuru!$D:$D,$A$96))</f>
        <v/>
      </c>
      <c r="E96" s="176" t="str">
        <f>IF($A96="","",COUNTIFS(Başvuru!$I:$I,Toplantı!$B$7,Başvuru!$D:$D,$A$96))</f>
        <v/>
      </c>
      <c r="F96" s="176" t="str">
        <f>IF($A96="","",COUNTIFS(Başvuru!$I:$I,Toplantı!$B$8,Başvuru!$D:$D,$A$96))</f>
        <v/>
      </c>
      <c r="G96" s="176" t="str">
        <f>IF($A96="","",COUNTIFS(Başvuru!$I:$I,Toplantı!$B$9,Başvuru!$D:$D,$A$96))</f>
        <v/>
      </c>
      <c r="H96" s="176" t="str">
        <f>IF($A96="","",COUNTIFS(Başvuru!$I:$I,Toplantı!$B$10,Başvuru!$D:$D,$A$96))</f>
        <v/>
      </c>
      <c r="I96" s="176" t="str">
        <f>IF($A96="","",COUNTIFS(Başvuru!$I:$I,Toplantı!$B$11,Başvuru!$D:$D,$A$96))</f>
        <v/>
      </c>
      <c r="J96" s="176" t="str">
        <f>IF($A96="","",COUNTIFS(Başvuru!$I:$I,Toplantı!$B$12,Başvuru!$D:$D,$A$96))</f>
        <v/>
      </c>
      <c r="K96" s="176" t="str">
        <f>IF($A96="","",COUNTIFS(Başvuru!$I:$I,Toplantı!$B$13,Başvuru!$D:$D,$A$96))</f>
        <v/>
      </c>
      <c r="L96" s="176" t="str">
        <f>IF($A96="","",COUNTIFS(Başvuru!$I:$I,Toplantı!$B$14,Başvuru!$D:$D,$A$96))</f>
        <v/>
      </c>
      <c r="M96" s="176" t="str">
        <f>IF($A96="","",COUNTIFS(Başvuru!$I:$I,Toplantı!$B$15,Başvuru!$D:$D,$A$96))</f>
        <v/>
      </c>
      <c r="N96" s="176" t="str">
        <f>IF($A96="","",COUNTIFS(Başvuru!$I:$I,Toplantı!$B$16,Başvuru!$D:$D,$A$96))</f>
        <v/>
      </c>
      <c r="O96" s="176" t="str">
        <f>IF($A96="","",COUNTIFS(Başvuru!$I:$I,Toplantı!$B$17,Başvuru!$D:$D,$A$96))</f>
        <v/>
      </c>
      <c r="P96" s="176" t="str">
        <f>IF($A96="","",COUNTIFS(Başvuru!$I:$I,Toplantı!$B$18,Başvuru!$D:$D,$A$96))</f>
        <v/>
      </c>
      <c r="Q96" s="176" t="str">
        <f>IF($A96="","",COUNTIFS(Başvuru!$I:$I,Toplantı!$B$19,Başvuru!$D:$D,$A$96))</f>
        <v/>
      </c>
      <c r="R96" s="176" t="str">
        <f>IF($A96="","",COUNTIFS(Başvuru!$I:$I,Toplantı!$B$20,Başvuru!$D:$D,$A$96))</f>
        <v/>
      </c>
      <c r="S96" s="177">
        <f t="shared" si="2"/>
        <v>0</v>
      </c>
    </row>
    <row r="97" spans="1:19" x14ac:dyDescent="0.25">
      <c r="A97" s="175" t="str">
        <f>IF(Birim!C99="","",Birim!C99)</f>
        <v/>
      </c>
      <c r="B97" s="176" t="str">
        <f>IF($A97="","",COUNTIFS(Başvuru!$I:$I,Toplantı!$B$4,Başvuru!$D:$D,$A$97))</f>
        <v/>
      </c>
      <c r="C97" s="176" t="str">
        <f>IF($A97="","",COUNTIFS(Başvuru!$I:$I,Toplantı!$B$5,Başvuru!$D:$D,$A$97))</f>
        <v/>
      </c>
      <c r="D97" s="176" t="str">
        <f>IF($A97="","",COUNTIFS(Başvuru!$I:$I,Toplantı!$B$6,Başvuru!$D:$D,$A$97))</f>
        <v/>
      </c>
      <c r="E97" s="176" t="str">
        <f>IF($A97="","",COUNTIFS(Başvuru!$I:$I,Toplantı!$B$7,Başvuru!$D:$D,$A$97))</f>
        <v/>
      </c>
      <c r="F97" s="176" t="str">
        <f>IF($A97="","",COUNTIFS(Başvuru!$I:$I,Toplantı!$B$8,Başvuru!$D:$D,$A$97))</f>
        <v/>
      </c>
      <c r="G97" s="176" t="str">
        <f>IF($A97="","",COUNTIFS(Başvuru!$I:$I,Toplantı!$B$9,Başvuru!$D:$D,$A$97))</f>
        <v/>
      </c>
      <c r="H97" s="176" t="str">
        <f>IF($A97="","",COUNTIFS(Başvuru!$I:$I,Toplantı!$B$10,Başvuru!$D:$D,$A$97))</f>
        <v/>
      </c>
      <c r="I97" s="176" t="str">
        <f>IF($A97="","",COUNTIFS(Başvuru!$I:$I,Toplantı!$B$11,Başvuru!$D:$D,$A$97))</f>
        <v/>
      </c>
      <c r="J97" s="176" t="str">
        <f>IF($A97="","",COUNTIFS(Başvuru!$I:$I,Toplantı!$B$12,Başvuru!$D:$D,$A$97))</f>
        <v/>
      </c>
      <c r="K97" s="176" t="str">
        <f>IF($A97="","",COUNTIFS(Başvuru!$I:$I,Toplantı!$B$13,Başvuru!$D:$D,$A$97))</f>
        <v/>
      </c>
      <c r="L97" s="176" t="str">
        <f>IF($A97="","",COUNTIFS(Başvuru!$I:$I,Toplantı!$B$14,Başvuru!$D:$D,$A$97))</f>
        <v/>
      </c>
      <c r="M97" s="176" t="str">
        <f>IF($A97="","",COUNTIFS(Başvuru!$I:$I,Toplantı!$B$15,Başvuru!$D:$D,$A$97))</f>
        <v/>
      </c>
      <c r="N97" s="176" t="str">
        <f>IF($A97="","",COUNTIFS(Başvuru!$I:$I,Toplantı!$B$16,Başvuru!$D:$D,$A$97))</f>
        <v/>
      </c>
      <c r="O97" s="176" t="str">
        <f>IF($A97="","",COUNTIFS(Başvuru!$I:$I,Toplantı!$B$17,Başvuru!$D:$D,$A$97))</f>
        <v/>
      </c>
      <c r="P97" s="176" t="str">
        <f>IF($A97="","",COUNTIFS(Başvuru!$I:$I,Toplantı!$B$18,Başvuru!$D:$D,$A$97))</f>
        <v/>
      </c>
      <c r="Q97" s="176" t="str">
        <f>IF($A97="","",COUNTIFS(Başvuru!$I:$I,Toplantı!$B$19,Başvuru!$D:$D,$A$97))</f>
        <v/>
      </c>
      <c r="R97" s="176" t="str">
        <f>IF($A97="","",COUNTIFS(Başvuru!$I:$I,Toplantı!$B$20,Başvuru!$D:$D,$A$97))</f>
        <v/>
      </c>
      <c r="S97" s="177">
        <f t="shared" si="2"/>
        <v>0</v>
      </c>
    </row>
    <row r="98" spans="1:19" x14ac:dyDescent="0.25">
      <c r="A98" s="175" t="str">
        <f>IF(Birim!C100="","",Birim!C100)</f>
        <v/>
      </c>
      <c r="B98" s="176" t="str">
        <f>IF($A98="","",COUNTIFS(Başvuru!$I:$I,Toplantı!$B$4,Başvuru!$D:$D,$A$98))</f>
        <v/>
      </c>
      <c r="C98" s="176" t="str">
        <f>IF($A98="","",COUNTIFS(Başvuru!$I:$I,Toplantı!$B$5,Başvuru!$D:$D,$A$98))</f>
        <v/>
      </c>
      <c r="D98" s="176" t="str">
        <f>IF($A98="","",COUNTIFS(Başvuru!$I:$I,Toplantı!$B$6,Başvuru!$D:$D,$A$98))</f>
        <v/>
      </c>
      <c r="E98" s="176" t="str">
        <f>IF($A98="","",COUNTIFS(Başvuru!$I:$I,Toplantı!$B$7,Başvuru!$D:$D,$A$98))</f>
        <v/>
      </c>
      <c r="F98" s="176" t="str">
        <f>IF($A98="","",COUNTIFS(Başvuru!$I:$I,Toplantı!$B$8,Başvuru!$D:$D,$A$98))</f>
        <v/>
      </c>
      <c r="G98" s="176" t="str">
        <f>IF($A98="","",COUNTIFS(Başvuru!$I:$I,Toplantı!$B$9,Başvuru!$D:$D,$A$98))</f>
        <v/>
      </c>
      <c r="H98" s="176" t="str">
        <f>IF($A98="","",COUNTIFS(Başvuru!$I:$I,Toplantı!$B$10,Başvuru!$D:$D,$A$98))</f>
        <v/>
      </c>
      <c r="I98" s="176" t="str">
        <f>IF($A98="","",COUNTIFS(Başvuru!$I:$I,Toplantı!$B$11,Başvuru!$D:$D,$A$98))</f>
        <v/>
      </c>
      <c r="J98" s="176" t="str">
        <f>IF($A98="","",COUNTIFS(Başvuru!$I:$I,Toplantı!$B$12,Başvuru!$D:$D,$A$98))</f>
        <v/>
      </c>
      <c r="K98" s="176" t="str">
        <f>IF($A98="","",COUNTIFS(Başvuru!$I:$I,Toplantı!$B$13,Başvuru!$D:$D,$A$98))</f>
        <v/>
      </c>
      <c r="L98" s="176" t="str">
        <f>IF($A98="","",COUNTIFS(Başvuru!$I:$I,Toplantı!$B$14,Başvuru!$D:$D,$A$98))</f>
        <v/>
      </c>
      <c r="M98" s="176" t="str">
        <f>IF($A98="","",COUNTIFS(Başvuru!$I:$I,Toplantı!$B$15,Başvuru!$D:$D,$A$98))</f>
        <v/>
      </c>
      <c r="N98" s="176" t="str">
        <f>IF($A98="","",COUNTIFS(Başvuru!$I:$I,Toplantı!$B$16,Başvuru!$D:$D,$A$98))</f>
        <v/>
      </c>
      <c r="O98" s="176" t="str">
        <f>IF($A98="","",COUNTIFS(Başvuru!$I:$I,Toplantı!$B$17,Başvuru!$D:$D,$A$98))</f>
        <v/>
      </c>
      <c r="P98" s="176" t="str">
        <f>IF($A98="","",COUNTIFS(Başvuru!$I:$I,Toplantı!$B$18,Başvuru!$D:$D,$A$98))</f>
        <v/>
      </c>
      <c r="Q98" s="176" t="str">
        <f>IF($A98="","",COUNTIFS(Başvuru!$I:$I,Toplantı!$B$19,Başvuru!$D:$D,$A$98))</f>
        <v/>
      </c>
      <c r="R98" s="176" t="str">
        <f>IF($A98="","",COUNTIFS(Başvuru!$I:$I,Toplantı!$B$20,Başvuru!$D:$D,$A$98))</f>
        <v/>
      </c>
      <c r="S98" s="177">
        <f t="shared" si="2"/>
        <v>0</v>
      </c>
    </row>
    <row r="99" spans="1:19" x14ac:dyDescent="0.25">
      <c r="A99" s="175" t="str">
        <f>IF(Birim!C101="","",Birim!C101)</f>
        <v/>
      </c>
      <c r="B99" s="176" t="str">
        <f>IF($A99="","",COUNTIFS(Başvuru!$I:$I,Toplantı!$B$4,Başvuru!$D:$D,$A$99))</f>
        <v/>
      </c>
      <c r="C99" s="176" t="str">
        <f>IF($A99="","",COUNTIFS(Başvuru!$I:$I,Toplantı!$B$5,Başvuru!$D:$D,$A$99))</f>
        <v/>
      </c>
      <c r="D99" s="176" t="str">
        <f>IF($A99="","",COUNTIFS(Başvuru!$I:$I,Toplantı!$B$6,Başvuru!$D:$D,$A$99))</f>
        <v/>
      </c>
      <c r="E99" s="176" t="str">
        <f>IF($A99="","",COUNTIFS(Başvuru!$I:$I,Toplantı!$B$7,Başvuru!$D:$D,$A$99))</f>
        <v/>
      </c>
      <c r="F99" s="176" t="str">
        <f>IF($A99="","",COUNTIFS(Başvuru!$I:$I,Toplantı!$B$8,Başvuru!$D:$D,$A$99))</f>
        <v/>
      </c>
      <c r="G99" s="176" t="str">
        <f>IF($A99="","",COUNTIFS(Başvuru!$I:$I,Toplantı!$B$9,Başvuru!$D:$D,$A$99))</f>
        <v/>
      </c>
      <c r="H99" s="176" t="str">
        <f>IF($A99="","",COUNTIFS(Başvuru!$I:$I,Toplantı!$B$10,Başvuru!$D:$D,$A$99))</f>
        <v/>
      </c>
      <c r="I99" s="176" t="str">
        <f>IF($A99="","",COUNTIFS(Başvuru!$I:$I,Toplantı!$B$11,Başvuru!$D:$D,$A$99))</f>
        <v/>
      </c>
      <c r="J99" s="176" t="str">
        <f>IF($A99="","",COUNTIFS(Başvuru!$I:$I,Toplantı!$B$12,Başvuru!$D:$D,$A$99))</f>
        <v/>
      </c>
      <c r="K99" s="176" t="str">
        <f>IF($A99="","",COUNTIFS(Başvuru!$I:$I,Toplantı!$B$13,Başvuru!$D:$D,$A$99))</f>
        <v/>
      </c>
      <c r="L99" s="176" t="str">
        <f>IF($A99="","",COUNTIFS(Başvuru!$I:$I,Toplantı!$B$14,Başvuru!$D:$D,$A$99))</f>
        <v/>
      </c>
      <c r="M99" s="176" t="str">
        <f>IF($A99="","",COUNTIFS(Başvuru!$I:$I,Toplantı!$B$15,Başvuru!$D:$D,$A$99))</f>
        <v/>
      </c>
      <c r="N99" s="176" t="str">
        <f>IF($A99="","",COUNTIFS(Başvuru!$I:$I,Toplantı!$B$16,Başvuru!$D:$D,$A$99))</f>
        <v/>
      </c>
      <c r="O99" s="176" t="str">
        <f>IF($A99="","",COUNTIFS(Başvuru!$I:$I,Toplantı!$B$17,Başvuru!$D:$D,$A$99))</f>
        <v/>
      </c>
      <c r="P99" s="176" t="str">
        <f>IF($A99="","",COUNTIFS(Başvuru!$I:$I,Toplantı!$B$18,Başvuru!$D:$D,$A$99))</f>
        <v/>
      </c>
      <c r="Q99" s="176" t="str">
        <f>IF($A99="","",COUNTIFS(Başvuru!$I:$I,Toplantı!$B$19,Başvuru!$D:$D,$A$99))</f>
        <v/>
      </c>
      <c r="R99" s="176" t="str">
        <f>IF($A99="","",COUNTIFS(Başvuru!$I:$I,Toplantı!$B$20,Başvuru!$D:$D,$A$99))</f>
        <v/>
      </c>
      <c r="S99" s="177">
        <f t="shared" si="2"/>
        <v>0</v>
      </c>
    </row>
    <row r="100" spans="1:19" x14ac:dyDescent="0.25">
      <c r="A100" s="175" t="str">
        <f>IF(Birim!C102="","",Birim!C102)</f>
        <v/>
      </c>
      <c r="B100" s="176" t="str">
        <f>IF($A100="","",COUNTIFS(Başvuru!$I:$I,Toplantı!$B$4,Başvuru!$D:$D,$A$100))</f>
        <v/>
      </c>
      <c r="C100" s="176" t="str">
        <f>IF($A100="","",COUNTIFS(Başvuru!$I:$I,Toplantı!$B$5,Başvuru!$D:$D,$A$100))</f>
        <v/>
      </c>
      <c r="D100" s="176" t="str">
        <f>IF($A100="","",COUNTIFS(Başvuru!$I:$I,Toplantı!$B$6,Başvuru!$D:$D,$A$100))</f>
        <v/>
      </c>
      <c r="E100" s="176" t="str">
        <f>IF($A100="","",COUNTIFS(Başvuru!$I:$I,Toplantı!$B$7,Başvuru!$D:$D,$A$100))</f>
        <v/>
      </c>
      <c r="F100" s="176" t="str">
        <f>IF($A100="","",COUNTIFS(Başvuru!$I:$I,Toplantı!$B$8,Başvuru!$D:$D,$A$100))</f>
        <v/>
      </c>
      <c r="G100" s="176" t="str">
        <f>IF($A100="","",COUNTIFS(Başvuru!$I:$I,Toplantı!$B$9,Başvuru!$D:$D,$A$100))</f>
        <v/>
      </c>
      <c r="H100" s="176" t="str">
        <f>IF($A100="","",COUNTIFS(Başvuru!$I:$I,Toplantı!$B$10,Başvuru!$D:$D,$A$100))</f>
        <v/>
      </c>
      <c r="I100" s="176" t="str">
        <f>IF($A100="","",COUNTIFS(Başvuru!$I:$I,Toplantı!$B$11,Başvuru!$D:$D,$A$100))</f>
        <v/>
      </c>
      <c r="J100" s="176" t="str">
        <f>IF($A100="","",COUNTIFS(Başvuru!$I:$I,Toplantı!$B$12,Başvuru!$D:$D,$A$100))</f>
        <v/>
      </c>
      <c r="K100" s="176" t="str">
        <f>IF($A100="","",COUNTIFS(Başvuru!$I:$I,Toplantı!$B$13,Başvuru!$D:$D,$A$100))</f>
        <v/>
      </c>
      <c r="L100" s="176" t="str">
        <f>IF($A100="","",COUNTIFS(Başvuru!$I:$I,Toplantı!$B$14,Başvuru!$D:$D,$A$100))</f>
        <v/>
      </c>
      <c r="M100" s="176" t="str">
        <f>IF($A100="","",COUNTIFS(Başvuru!$I:$I,Toplantı!$B$15,Başvuru!$D:$D,$A$100))</f>
        <v/>
      </c>
      <c r="N100" s="176" t="str">
        <f>IF($A100="","",COUNTIFS(Başvuru!$I:$I,Toplantı!$B$16,Başvuru!$D:$D,$A$100))</f>
        <v/>
      </c>
      <c r="O100" s="176" t="str">
        <f>IF($A100="","",COUNTIFS(Başvuru!$I:$I,Toplantı!$B$17,Başvuru!$D:$D,$A$100))</f>
        <v/>
      </c>
      <c r="P100" s="176" t="str">
        <f>IF($A100="","",COUNTIFS(Başvuru!$I:$I,Toplantı!$B$18,Başvuru!$D:$D,$A$100))</f>
        <v/>
      </c>
      <c r="Q100" s="176" t="str">
        <f>IF($A100="","",COUNTIFS(Başvuru!$I:$I,Toplantı!$B$19,Başvuru!$D:$D,$A$100))</f>
        <v/>
      </c>
      <c r="R100" s="176" t="str">
        <f>IF($A100="","",COUNTIFS(Başvuru!$I:$I,Toplantı!$B$20,Başvuru!$D:$D,$A$100))</f>
        <v/>
      </c>
      <c r="S100" s="177">
        <f t="shared" ref="S100:S131" si="3">SUM(B100:R100)</f>
        <v>0</v>
      </c>
    </row>
    <row r="101" spans="1:19" x14ac:dyDescent="0.25">
      <c r="A101" s="175" t="str">
        <f>IF(Birim!C103="","",Birim!C103)</f>
        <v/>
      </c>
      <c r="B101" s="176" t="str">
        <f>IF($A101="","",COUNTIFS(Başvuru!$I:$I,Toplantı!$B$4,Başvuru!$D:$D,$A$101))</f>
        <v/>
      </c>
      <c r="C101" s="176" t="str">
        <f>IF($A101="","",COUNTIFS(Başvuru!$I:$I,Toplantı!$B$5,Başvuru!$D:$D,$A$101))</f>
        <v/>
      </c>
      <c r="D101" s="176" t="str">
        <f>IF($A101="","",COUNTIFS(Başvuru!$I:$I,Toplantı!$B$6,Başvuru!$D:$D,$A$101))</f>
        <v/>
      </c>
      <c r="E101" s="176" t="str">
        <f>IF($A101="","",COUNTIFS(Başvuru!$I:$I,Toplantı!$B$7,Başvuru!$D:$D,$A$101))</f>
        <v/>
      </c>
      <c r="F101" s="176" t="str">
        <f>IF($A101="","",COUNTIFS(Başvuru!$I:$I,Toplantı!$B$8,Başvuru!$D:$D,$A$101))</f>
        <v/>
      </c>
      <c r="G101" s="176" t="str">
        <f>IF($A101="","",COUNTIFS(Başvuru!$I:$I,Toplantı!$B$9,Başvuru!$D:$D,$A$101))</f>
        <v/>
      </c>
      <c r="H101" s="176" t="str">
        <f>IF($A101="","",COUNTIFS(Başvuru!$I:$I,Toplantı!$B$10,Başvuru!$D:$D,$A$101))</f>
        <v/>
      </c>
      <c r="I101" s="176" t="str">
        <f>IF($A101="","",COUNTIFS(Başvuru!$I:$I,Toplantı!$B$11,Başvuru!$D:$D,$A$101))</f>
        <v/>
      </c>
      <c r="J101" s="176" t="str">
        <f>IF($A101="","",COUNTIFS(Başvuru!$I:$I,Toplantı!$B$12,Başvuru!$D:$D,$A$101))</f>
        <v/>
      </c>
      <c r="K101" s="176" t="str">
        <f>IF($A101="","",COUNTIFS(Başvuru!$I:$I,Toplantı!$B$13,Başvuru!$D:$D,$A$101))</f>
        <v/>
      </c>
      <c r="L101" s="176" t="str">
        <f>IF($A101="","",COUNTIFS(Başvuru!$I:$I,Toplantı!$B$14,Başvuru!$D:$D,$A$101))</f>
        <v/>
      </c>
      <c r="M101" s="176" t="str">
        <f>IF($A101="","",COUNTIFS(Başvuru!$I:$I,Toplantı!$B$15,Başvuru!$D:$D,$A$101))</f>
        <v/>
      </c>
      <c r="N101" s="176" t="str">
        <f>IF($A101="","",COUNTIFS(Başvuru!$I:$I,Toplantı!$B$16,Başvuru!$D:$D,$A$101))</f>
        <v/>
      </c>
      <c r="O101" s="176" t="str">
        <f>IF($A101="","",COUNTIFS(Başvuru!$I:$I,Toplantı!$B$17,Başvuru!$D:$D,$A$101))</f>
        <v/>
      </c>
      <c r="P101" s="176" t="str">
        <f>IF($A101="","",COUNTIFS(Başvuru!$I:$I,Toplantı!$B$18,Başvuru!$D:$D,$A$101))</f>
        <v/>
      </c>
      <c r="Q101" s="176" t="str">
        <f>IF($A101="","",COUNTIFS(Başvuru!$I:$I,Toplantı!$B$19,Başvuru!$D:$D,$A$101))</f>
        <v/>
      </c>
      <c r="R101" s="176" t="str">
        <f>IF($A101="","",COUNTIFS(Başvuru!$I:$I,Toplantı!$B$20,Başvuru!$D:$D,$A$101))</f>
        <v/>
      </c>
      <c r="S101" s="177">
        <f t="shared" si="3"/>
        <v>0</v>
      </c>
    </row>
    <row r="102" spans="1:19" x14ac:dyDescent="0.25">
      <c r="A102" s="175" t="str">
        <f>IF(Birim!C104="","",Birim!C104)</f>
        <v/>
      </c>
      <c r="B102" s="176" t="str">
        <f>IF($A102="","",COUNTIFS(Başvuru!$I:$I,Toplantı!$B$4,Başvuru!$D:$D,$A$102))</f>
        <v/>
      </c>
      <c r="C102" s="176" t="str">
        <f>IF($A102="","",COUNTIFS(Başvuru!$I:$I,Toplantı!$B$5,Başvuru!$D:$D,$A$102))</f>
        <v/>
      </c>
      <c r="D102" s="176" t="str">
        <f>IF($A102="","",COUNTIFS(Başvuru!$I:$I,Toplantı!$B$6,Başvuru!$D:$D,$A$102))</f>
        <v/>
      </c>
      <c r="E102" s="176" t="str">
        <f>IF($A102="","",COUNTIFS(Başvuru!$I:$I,Toplantı!$B$7,Başvuru!$D:$D,$A$102))</f>
        <v/>
      </c>
      <c r="F102" s="176" t="str">
        <f>IF($A102="","",COUNTIFS(Başvuru!$I:$I,Toplantı!$B$8,Başvuru!$D:$D,$A$102))</f>
        <v/>
      </c>
      <c r="G102" s="176" t="str">
        <f>IF($A102="","",COUNTIFS(Başvuru!$I:$I,Toplantı!$B$9,Başvuru!$D:$D,$A$102))</f>
        <v/>
      </c>
      <c r="H102" s="176" t="str">
        <f>IF($A102="","",COUNTIFS(Başvuru!$I:$I,Toplantı!$B$10,Başvuru!$D:$D,$A$102))</f>
        <v/>
      </c>
      <c r="I102" s="176" t="str">
        <f>IF($A102="","",COUNTIFS(Başvuru!$I:$I,Toplantı!$B$11,Başvuru!$D:$D,$A$102))</f>
        <v/>
      </c>
      <c r="J102" s="176" t="str">
        <f>IF($A102="","",COUNTIFS(Başvuru!$I:$I,Toplantı!$B$12,Başvuru!$D:$D,$A$102))</f>
        <v/>
      </c>
      <c r="K102" s="176" t="str">
        <f>IF($A102="","",COUNTIFS(Başvuru!$I:$I,Toplantı!$B$13,Başvuru!$D:$D,$A$102))</f>
        <v/>
      </c>
      <c r="L102" s="176" t="str">
        <f>IF($A102="","",COUNTIFS(Başvuru!$I:$I,Toplantı!$B$14,Başvuru!$D:$D,$A$102))</f>
        <v/>
      </c>
      <c r="M102" s="176" t="str">
        <f>IF($A102="","",COUNTIFS(Başvuru!$I:$I,Toplantı!$B$15,Başvuru!$D:$D,$A$102))</f>
        <v/>
      </c>
      <c r="N102" s="176" t="str">
        <f>IF($A102="","",COUNTIFS(Başvuru!$I:$I,Toplantı!$B$16,Başvuru!$D:$D,$A$102))</f>
        <v/>
      </c>
      <c r="O102" s="176" t="str">
        <f>IF($A102="","",COUNTIFS(Başvuru!$I:$I,Toplantı!$B$17,Başvuru!$D:$D,$A$102))</f>
        <v/>
      </c>
      <c r="P102" s="176" t="str">
        <f>IF($A102="","",COUNTIFS(Başvuru!$I:$I,Toplantı!$B$18,Başvuru!$D:$D,$A$102))</f>
        <v/>
      </c>
      <c r="Q102" s="176" t="str">
        <f>IF($A102="","",COUNTIFS(Başvuru!$I:$I,Toplantı!$B$19,Başvuru!$D:$D,$A$102))</f>
        <v/>
      </c>
      <c r="R102" s="176" t="str">
        <f>IF($A102="","",COUNTIFS(Başvuru!$I:$I,Toplantı!$B$20,Başvuru!$D:$D,$A$102))</f>
        <v/>
      </c>
      <c r="S102" s="177">
        <f t="shared" si="3"/>
        <v>0</v>
      </c>
    </row>
    <row r="103" spans="1:19" x14ac:dyDescent="0.25">
      <c r="A103" s="175" t="str">
        <f>IF(Birim!C105="","",Birim!C105)</f>
        <v/>
      </c>
      <c r="B103" s="176" t="str">
        <f>IF($A103="","",COUNTIFS(Başvuru!$I:$I,Toplantı!$B$4,Başvuru!$D:$D,$A$103))</f>
        <v/>
      </c>
      <c r="C103" s="176" t="str">
        <f>IF($A103="","",COUNTIFS(Başvuru!$I:$I,Toplantı!$B$5,Başvuru!$D:$D,$A$103))</f>
        <v/>
      </c>
      <c r="D103" s="176" t="str">
        <f>IF($A103="","",COUNTIFS(Başvuru!$I:$I,Toplantı!$B$6,Başvuru!$D:$D,$A$103))</f>
        <v/>
      </c>
      <c r="E103" s="176" t="str">
        <f>IF($A103="","",COUNTIFS(Başvuru!$I:$I,Toplantı!$B$7,Başvuru!$D:$D,$A$103))</f>
        <v/>
      </c>
      <c r="F103" s="176" t="str">
        <f>IF($A103="","",COUNTIFS(Başvuru!$I:$I,Toplantı!$B$8,Başvuru!$D:$D,$A$103))</f>
        <v/>
      </c>
      <c r="G103" s="176" t="str">
        <f>IF($A103="","",COUNTIFS(Başvuru!$I:$I,Toplantı!$B$9,Başvuru!$D:$D,$A$103))</f>
        <v/>
      </c>
      <c r="H103" s="176" t="str">
        <f>IF($A103="","",COUNTIFS(Başvuru!$I:$I,Toplantı!$B$10,Başvuru!$D:$D,$A$103))</f>
        <v/>
      </c>
      <c r="I103" s="176" t="str">
        <f>IF($A103="","",COUNTIFS(Başvuru!$I:$I,Toplantı!$B$11,Başvuru!$D:$D,$A$103))</f>
        <v/>
      </c>
      <c r="J103" s="176" t="str">
        <f>IF($A103="","",COUNTIFS(Başvuru!$I:$I,Toplantı!$B$12,Başvuru!$D:$D,$A$103))</f>
        <v/>
      </c>
      <c r="K103" s="176" t="str">
        <f>IF($A103="","",COUNTIFS(Başvuru!$I:$I,Toplantı!$B$13,Başvuru!$D:$D,$A$103))</f>
        <v/>
      </c>
      <c r="L103" s="176" t="str">
        <f>IF($A103="","",COUNTIFS(Başvuru!$I:$I,Toplantı!$B$14,Başvuru!$D:$D,$A$103))</f>
        <v/>
      </c>
      <c r="M103" s="176" t="str">
        <f>IF($A103="","",COUNTIFS(Başvuru!$I:$I,Toplantı!$B$15,Başvuru!$D:$D,$A$103))</f>
        <v/>
      </c>
      <c r="N103" s="176" t="str">
        <f>IF($A103="","",COUNTIFS(Başvuru!$I:$I,Toplantı!$B$16,Başvuru!$D:$D,$A$103))</f>
        <v/>
      </c>
      <c r="O103" s="176" t="str">
        <f>IF($A103="","",COUNTIFS(Başvuru!$I:$I,Toplantı!$B$17,Başvuru!$D:$D,$A$103))</f>
        <v/>
      </c>
      <c r="P103" s="176" t="str">
        <f>IF($A103="","",COUNTIFS(Başvuru!$I:$I,Toplantı!$B$18,Başvuru!$D:$D,$A$103))</f>
        <v/>
      </c>
      <c r="Q103" s="176" t="str">
        <f>IF($A103="","",COUNTIFS(Başvuru!$I:$I,Toplantı!$B$19,Başvuru!$D:$D,$A$103))</f>
        <v/>
      </c>
      <c r="R103" s="176" t="str">
        <f>IF($A103="","",COUNTIFS(Başvuru!$I:$I,Toplantı!$B$20,Başvuru!$D:$D,$A$103))</f>
        <v/>
      </c>
      <c r="S103" s="177">
        <f t="shared" si="3"/>
        <v>0</v>
      </c>
    </row>
    <row r="104" spans="1:19" x14ac:dyDescent="0.25">
      <c r="A104" s="175" t="str">
        <f>IF(Birim!C106="","",Birim!C106)</f>
        <v/>
      </c>
      <c r="B104" s="176" t="str">
        <f>IF($A104="","",COUNTIFS(Başvuru!$I:$I,Toplantı!$B$4,Başvuru!$D:$D,$A$104))</f>
        <v/>
      </c>
      <c r="C104" s="176" t="str">
        <f>IF($A104="","",COUNTIFS(Başvuru!$I:$I,Toplantı!$B$5,Başvuru!$D:$D,$A$104))</f>
        <v/>
      </c>
      <c r="D104" s="176" t="str">
        <f>IF($A104="","",COUNTIFS(Başvuru!$I:$I,Toplantı!$B$6,Başvuru!$D:$D,$A$104))</f>
        <v/>
      </c>
      <c r="E104" s="176" t="str">
        <f>IF($A104="","",COUNTIFS(Başvuru!$I:$I,Toplantı!$B$7,Başvuru!$D:$D,$A$104))</f>
        <v/>
      </c>
      <c r="F104" s="176" t="str">
        <f>IF($A104="","",COUNTIFS(Başvuru!$I:$I,Toplantı!$B$8,Başvuru!$D:$D,$A$104))</f>
        <v/>
      </c>
      <c r="G104" s="176" t="str">
        <f>IF($A104="","",COUNTIFS(Başvuru!$I:$I,Toplantı!$B$9,Başvuru!$D:$D,$A$104))</f>
        <v/>
      </c>
      <c r="H104" s="176" t="str">
        <f>IF($A104="","",COUNTIFS(Başvuru!$I:$I,Toplantı!$B$10,Başvuru!$D:$D,$A$104))</f>
        <v/>
      </c>
      <c r="I104" s="176" t="str">
        <f>IF($A104="","",COUNTIFS(Başvuru!$I:$I,Toplantı!$B$11,Başvuru!$D:$D,$A$104))</f>
        <v/>
      </c>
      <c r="J104" s="176" t="str">
        <f>IF($A104="","",COUNTIFS(Başvuru!$I:$I,Toplantı!$B$12,Başvuru!$D:$D,$A$104))</f>
        <v/>
      </c>
      <c r="K104" s="176" t="str">
        <f>IF($A104="","",COUNTIFS(Başvuru!$I:$I,Toplantı!$B$13,Başvuru!$D:$D,$A$104))</f>
        <v/>
      </c>
      <c r="L104" s="176" t="str">
        <f>IF($A104="","",COUNTIFS(Başvuru!$I:$I,Toplantı!$B$14,Başvuru!$D:$D,$A$104))</f>
        <v/>
      </c>
      <c r="M104" s="176" t="str">
        <f>IF($A104="","",COUNTIFS(Başvuru!$I:$I,Toplantı!$B$15,Başvuru!$D:$D,$A$104))</f>
        <v/>
      </c>
      <c r="N104" s="176" t="str">
        <f>IF($A104="","",COUNTIFS(Başvuru!$I:$I,Toplantı!$B$16,Başvuru!$D:$D,$A$104))</f>
        <v/>
      </c>
      <c r="O104" s="176" t="str">
        <f>IF($A104="","",COUNTIFS(Başvuru!$I:$I,Toplantı!$B$17,Başvuru!$D:$D,$A$104))</f>
        <v/>
      </c>
      <c r="P104" s="176" t="str">
        <f>IF($A104="","",COUNTIFS(Başvuru!$I:$I,Toplantı!$B$18,Başvuru!$D:$D,$A$104))</f>
        <v/>
      </c>
      <c r="Q104" s="176" t="str">
        <f>IF($A104="","",COUNTIFS(Başvuru!$I:$I,Toplantı!$B$19,Başvuru!$D:$D,$A$104))</f>
        <v/>
      </c>
      <c r="R104" s="176" t="str">
        <f>IF($A104="","",COUNTIFS(Başvuru!$I:$I,Toplantı!$B$20,Başvuru!$D:$D,$A$104))</f>
        <v/>
      </c>
      <c r="S104" s="177">
        <f t="shared" si="3"/>
        <v>0</v>
      </c>
    </row>
    <row r="105" spans="1:19" x14ac:dyDescent="0.25">
      <c r="A105" s="175" t="str">
        <f>IF(Birim!C107="","",Birim!C107)</f>
        <v/>
      </c>
      <c r="B105" s="176" t="str">
        <f>IF($A105="","",COUNTIFS(Başvuru!$I:$I,Toplantı!$B$4,Başvuru!$D:$D,$A$105))</f>
        <v/>
      </c>
      <c r="C105" s="176" t="str">
        <f>IF($A105="","",COUNTIFS(Başvuru!$I:$I,Toplantı!$B$5,Başvuru!$D:$D,$A$105))</f>
        <v/>
      </c>
      <c r="D105" s="176" t="str">
        <f>IF($A105="","",COUNTIFS(Başvuru!$I:$I,Toplantı!$B$6,Başvuru!$D:$D,$A$105))</f>
        <v/>
      </c>
      <c r="E105" s="176" t="str">
        <f>IF($A105="","",COUNTIFS(Başvuru!$I:$I,Toplantı!$B$7,Başvuru!$D:$D,$A$105))</f>
        <v/>
      </c>
      <c r="F105" s="176" t="str">
        <f>IF($A105="","",COUNTIFS(Başvuru!$I:$I,Toplantı!$B$8,Başvuru!$D:$D,$A$105))</f>
        <v/>
      </c>
      <c r="G105" s="176" t="str">
        <f>IF($A105="","",COUNTIFS(Başvuru!$I:$I,Toplantı!$B$9,Başvuru!$D:$D,$A$105))</f>
        <v/>
      </c>
      <c r="H105" s="176" t="str">
        <f>IF($A105="","",COUNTIFS(Başvuru!$I:$I,Toplantı!$B$10,Başvuru!$D:$D,$A$105))</f>
        <v/>
      </c>
      <c r="I105" s="176" t="str">
        <f>IF($A105="","",COUNTIFS(Başvuru!$I:$I,Toplantı!$B$11,Başvuru!$D:$D,$A$105))</f>
        <v/>
      </c>
      <c r="J105" s="176" t="str">
        <f>IF($A105="","",COUNTIFS(Başvuru!$I:$I,Toplantı!$B$12,Başvuru!$D:$D,$A$105))</f>
        <v/>
      </c>
      <c r="K105" s="176" t="str">
        <f>IF($A105="","",COUNTIFS(Başvuru!$I:$I,Toplantı!$B$13,Başvuru!$D:$D,$A$105))</f>
        <v/>
      </c>
      <c r="L105" s="176" t="str">
        <f>IF($A105="","",COUNTIFS(Başvuru!$I:$I,Toplantı!$B$14,Başvuru!$D:$D,$A$105))</f>
        <v/>
      </c>
      <c r="M105" s="176" t="str">
        <f>IF($A105="","",COUNTIFS(Başvuru!$I:$I,Toplantı!$B$15,Başvuru!$D:$D,$A$105))</f>
        <v/>
      </c>
      <c r="N105" s="176" t="str">
        <f>IF($A105="","",COUNTIFS(Başvuru!$I:$I,Toplantı!$B$16,Başvuru!$D:$D,$A$105))</f>
        <v/>
      </c>
      <c r="O105" s="176" t="str">
        <f>IF($A105="","",COUNTIFS(Başvuru!$I:$I,Toplantı!$B$17,Başvuru!$D:$D,$A$105))</f>
        <v/>
      </c>
      <c r="P105" s="176" t="str">
        <f>IF($A105="","",COUNTIFS(Başvuru!$I:$I,Toplantı!$B$18,Başvuru!$D:$D,$A$105))</f>
        <v/>
      </c>
      <c r="Q105" s="176" t="str">
        <f>IF($A105="","",COUNTIFS(Başvuru!$I:$I,Toplantı!$B$19,Başvuru!$D:$D,$A$105))</f>
        <v/>
      </c>
      <c r="R105" s="176" t="str">
        <f>IF($A105="","",COUNTIFS(Başvuru!$I:$I,Toplantı!$B$20,Başvuru!$D:$D,$A$105))</f>
        <v/>
      </c>
      <c r="S105" s="177">
        <f t="shared" si="3"/>
        <v>0</v>
      </c>
    </row>
    <row r="106" spans="1:19" x14ac:dyDescent="0.25">
      <c r="A106" s="175" t="str">
        <f>IF(Birim!C108="","",Birim!C108)</f>
        <v/>
      </c>
      <c r="B106" s="176" t="str">
        <f>IF($A106="","",COUNTIFS(Başvuru!$I:$I,Toplantı!$B$4,Başvuru!$D:$D,$A$106))</f>
        <v/>
      </c>
      <c r="C106" s="176" t="str">
        <f>IF($A106="","",COUNTIFS(Başvuru!$I:$I,Toplantı!$B$5,Başvuru!$D:$D,$A$106))</f>
        <v/>
      </c>
      <c r="D106" s="176" t="str">
        <f>IF($A106="","",COUNTIFS(Başvuru!$I:$I,Toplantı!$B$6,Başvuru!$D:$D,$A$106))</f>
        <v/>
      </c>
      <c r="E106" s="176" t="str">
        <f>IF($A106="","",COUNTIFS(Başvuru!$I:$I,Toplantı!$B$7,Başvuru!$D:$D,$A$106))</f>
        <v/>
      </c>
      <c r="F106" s="176" t="str">
        <f>IF($A106="","",COUNTIFS(Başvuru!$I:$I,Toplantı!$B$8,Başvuru!$D:$D,$A$106))</f>
        <v/>
      </c>
      <c r="G106" s="176" t="str">
        <f>IF($A106="","",COUNTIFS(Başvuru!$I:$I,Toplantı!$B$9,Başvuru!$D:$D,$A$106))</f>
        <v/>
      </c>
      <c r="H106" s="176" t="str">
        <f>IF($A106="","",COUNTIFS(Başvuru!$I:$I,Toplantı!$B$10,Başvuru!$D:$D,$A$106))</f>
        <v/>
      </c>
      <c r="I106" s="176" t="str">
        <f>IF($A106="","",COUNTIFS(Başvuru!$I:$I,Toplantı!$B$11,Başvuru!$D:$D,$A$106))</f>
        <v/>
      </c>
      <c r="J106" s="176" t="str">
        <f>IF($A106="","",COUNTIFS(Başvuru!$I:$I,Toplantı!$B$12,Başvuru!$D:$D,$A$106))</f>
        <v/>
      </c>
      <c r="K106" s="176" t="str">
        <f>IF($A106="","",COUNTIFS(Başvuru!$I:$I,Toplantı!$B$13,Başvuru!$D:$D,$A$106))</f>
        <v/>
      </c>
      <c r="L106" s="176" t="str">
        <f>IF($A106="","",COUNTIFS(Başvuru!$I:$I,Toplantı!$B$14,Başvuru!$D:$D,$A$106))</f>
        <v/>
      </c>
      <c r="M106" s="176" t="str">
        <f>IF($A106="","",COUNTIFS(Başvuru!$I:$I,Toplantı!$B$15,Başvuru!$D:$D,$A$106))</f>
        <v/>
      </c>
      <c r="N106" s="176" t="str">
        <f>IF($A106="","",COUNTIFS(Başvuru!$I:$I,Toplantı!$B$16,Başvuru!$D:$D,$A$106))</f>
        <v/>
      </c>
      <c r="O106" s="176" t="str">
        <f>IF($A106="","",COUNTIFS(Başvuru!$I:$I,Toplantı!$B$17,Başvuru!$D:$D,$A$106))</f>
        <v/>
      </c>
      <c r="P106" s="176" t="str">
        <f>IF($A106="","",COUNTIFS(Başvuru!$I:$I,Toplantı!$B$18,Başvuru!$D:$D,$A$106))</f>
        <v/>
      </c>
      <c r="Q106" s="176" t="str">
        <f>IF($A106="","",COUNTIFS(Başvuru!$I:$I,Toplantı!$B$19,Başvuru!$D:$D,$A$106))</f>
        <v/>
      </c>
      <c r="R106" s="176" t="str">
        <f>IF($A106="","",COUNTIFS(Başvuru!$I:$I,Toplantı!$B$20,Başvuru!$D:$D,$A$106))</f>
        <v/>
      </c>
      <c r="S106" s="177">
        <f t="shared" si="3"/>
        <v>0</v>
      </c>
    </row>
    <row r="107" spans="1:19" x14ac:dyDescent="0.25">
      <c r="A107" s="175" t="str">
        <f>IF(Birim!C109="","",Birim!C109)</f>
        <v/>
      </c>
      <c r="B107" s="176" t="str">
        <f>IF($A107="","",COUNTIFS(Başvuru!$I:$I,Toplantı!$B$4,Başvuru!$D:$D,$A$107))</f>
        <v/>
      </c>
      <c r="C107" s="176" t="str">
        <f>IF($A107="","",COUNTIFS(Başvuru!$I:$I,Toplantı!$B$5,Başvuru!$D:$D,$A$107))</f>
        <v/>
      </c>
      <c r="D107" s="176" t="str">
        <f>IF($A107="","",COUNTIFS(Başvuru!$I:$I,Toplantı!$B$6,Başvuru!$D:$D,$A$107))</f>
        <v/>
      </c>
      <c r="E107" s="176" t="str">
        <f>IF($A107="","",COUNTIFS(Başvuru!$I:$I,Toplantı!$B$7,Başvuru!$D:$D,$A$107))</f>
        <v/>
      </c>
      <c r="F107" s="176" t="str">
        <f>IF($A107="","",COUNTIFS(Başvuru!$I:$I,Toplantı!$B$8,Başvuru!$D:$D,$A$107))</f>
        <v/>
      </c>
      <c r="G107" s="176" t="str">
        <f>IF($A107="","",COUNTIFS(Başvuru!$I:$I,Toplantı!$B$9,Başvuru!$D:$D,$A$107))</f>
        <v/>
      </c>
      <c r="H107" s="176" t="str">
        <f>IF($A107="","",COUNTIFS(Başvuru!$I:$I,Toplantı!$B$10,Başvuru!$D:$D,$A$107))</f>
        <v/>
      </c>
      <c r="I107" s="176" t="str">
        <f>IF($A107="","",COUNTIFS(Başvuru!$I:$I,Toplantı!$B$11,Başvuru!$D:$D,$A$107))</f>
        <v/>
      </c>
      <c r="J107" s="176" t="str">
        <f>IF($A107="","",COUNTIFS(Başvuru!$I:$I,Toplantı!$B$12,Başvuru!$D:$D,$A$107))</f>
        <v/>
      </c>
      <c r="K107" s="176" t="str">
        <f>IF($A107="","",COUNTIFS(Başvuru!$I:$I,Toplantı!$B$13,Başvuru!$D:$D,$A$107))</f>
        <v/>
      </c>
      <c r="L107" s="176" t="str">
        <f>IF($A107="","",COUNTIFS(Başvuru!$I:$I,Toplantı!$B$14,Başvuru!$D:$D,$A$107))</f>
        <v/>
      </c>
      <c r="M107" s="176" t="str">
        <f>IF($A107="","",COUNTIFS(Başvuru!$I:$I,Toplantı!$B$15,Başvuru!$D:$D,$A$107))</f>
        <v/>
      </c>
      <c r="N107" s="176" t="str">
        <f>IF($A107="","",COUNTIFS(Başvuru!$I:$I,Toplantı!$B$16,Başvuru!$D:$D,$A$107))</f>
        <v/>
      </c>
      <c r="O107" s="176" t="str">
        <f>IF($A107="","",COUNTIFS(Başvuru!$I:$I,Toplantı!$B$17,Başvuru!$D:$D,$A$107))</f>
        <v/>
      </c>
      <c r="P107" s="176" t="str">
        <f>IF($A107="","",COUNTIFS(Başvuru!$I:$I,Toplantı!$B$18,Başvuru!$D:$D,$A$107))</f>
        <v/>
      </c>
      <c r="Q107" s="176" t="str">
        <f>IF($A107="","",COUNTIFS(Başvuru!$I:$I,Toplantı!$B$19,Başvuru!$D:$D,$A$107))</f>
        <v/>
      </c>
      <c r="R107" s="176" t="str">
        <f>IF($A107="","",COUNTIFS(Başvuru!$I:$I,Toplantı!$B$20,Başvuru!$D:$D,$A$107))</f>
        <v/>
      </c>
      <c r="S107" s="177">
        <f t="shared" si="3"/>
        <v>0</v>
      </c>
    </row>
    <row r="108" spans="1:19" x14ac:dyDescent="0.25">
      <c r="A108" s="175" t="str">
        <f>IF(Birim!C110="","",Birim!C110)</f>
        <v/>
      </c>
      <c r="B108" s="176" t="str">
        <f>IF($A108="","",COUNTIFS(Başvuru!$I:$I,Toplantı!$B$4,Başvuru!$D:$D,$A$108))</f>
        <v/>
      </c>
      <c r="C108" s="176" t="str">
        <f>IF($A108="","",COUNTIFS(Başvuru!$I:$I,Toplantı!$B$5,Başvuru!$D:$D,$A$108))</f>
        <v/>
      </c>
      <c r="D108" s="176" t="str">
        <f>IF($A108="","",COUNTIFS(Başvuru!$I:$I,Toplantı!$B$6,Başvuru!$D:$D,$A$108))</f>
        <v/>
      </c>
      <c r="E108" s="176" t="str">
        <f>IF($A108="","",COUNTIFS(Başvuru!$I:$I,Toplantı!$B$7,Başvuru!$D:$D,$A$108))</f>
        <v/>
      </c>
      <c r="F108" s="176" t="str">
        <f>IF($A108="","",COUNTIFS(Başvuru!$I:$I,Toplantı!$B$8,Başvuru!$D:$D,$A$108))</f>
        <v/>
      </c>
      <c r="G108" s="176" t="str">
        <f>IF($A108="","",COUNTIFS(Başvuru!$I:$I,Toplantı!$B$9,Başvuru!$D:$D,$A$108))</f>
        <v/>
      </c>
      <c r="H108" s="176" t="str">
        <f>IF($A108="","",COUNTIFS(Başvuru!$I:$I,Toplantı!$B$10,Başvuru!$D:$D,$A$108))</f>
        <v/>
      </c>
      <c r="I108" s="176" t="str">
        <f>IF($A108="","",COUNTIFS(Başvuru!$I:$I,Toplantı!$B$11,Başvuru!$D:$D,$A$108))</f>
        <v/>
      </c>
      <c r="J108" s="176" t="str">
        <f>IF($A108="","",COUNTIFS(Başvuru!$I:$I,Toplantı!$B$12,Başvuru!$D:$D,$A$108))</f>
        <v/>
      </c>
      <c r="K108" s="176" t="str">
        <f>IF($A108="","",COUNTIFS(Başvuru!$I:$I,Toplantı!$B$13,Başvuru!$D:$D,$A$108))</f>
        <v/>
      </c>
      <c r="L108" s="176" t="str">
        <f>IF($A108="","",COUNTIFS(Başvuru!$I:$I,Toplantı!$B$14,Başvuru!$D:$D,$A$108))</f>
        <v/>
      </c>
      <c r="M108" s="176" t="str">
        <f>IF($A108="","",COUNTIFS(Başvuru!$I:$I,Toplantı!$B$15,Başvuru!$D:$D,$A$108))</f>
        <v/>
      </c>
      <c r="N108" s="176" t="str">
        <f>IF($A108="","",COUNTIFS(Başvuru!$I:$I,Toplantı!$B$16,Başvuru!$D:$D,$A$108))</f>
        <v/>
      </c>
      <c r="O108" s="176" t="str">
        <f>IF($A108="","",COUNTIFS(Başvuru!$I:$I,Toplantı!$B$17,Başvuru!$D:$D,$A$108))</f>
        <v/>
      </c>
      <c r="P108" s="176" t="str">
        <f>IF($A108="","",COUNTIFS(Başvuru!$I:$I,Toplantı!$B$18,Başvuru!$D:$D,$A$108))</f>
        <v/>
      </c>
      <c r="Q108" s="176" t="str">
        <f>IF($A108="","",COUNTIFS(Başvuru!$I:$I,Toplantı!$B$19,Başvuru!$D:$D,$A$108))</f>
        <v/>
      </c>
      <c r="R108" s="176" t="str">
        <f>IF($A108="","",COUNTIFS(Başvuru!$I:$I,Toplantı!$B$20,Başvuru!$D:$D,$A$108))</f>
        <v/>
      </c>
      <c r="S108" s="177">
        <f t="shared" si="3"/>
        <v>0</v>
      </c>
    </row>
    <row r="109" spans="1:19" x14ac:dyDescent="0.25">
      <c r="A109" s="175" t="str">
        <f>IF(Birim!C111="","",Birim!C111)</f>
        <v/>
      </c>
      <c r="B109" s="176" t="str">
        <f>IF($A109="","",COUNTIFS(Başvuru!$I:$I,Toplantı!$B$4,Başvuru!$D:$D,$A$109))</f>
        <v/>
      </c>
      <c r="C109" s="176" t="str">
        <f>IF($A109="","",COUNTIFS(Başvuru!$I:$I,Toplantı!$B$5,Başvuru!$D:$D,$A$109))</f>
        <v/>
      </c>
      <c r="D109" s="176" t="str">
        <f>IF($A109="","",COUNTIFS(Başvuru!$I:$I,Toplantı!$B$6,Başvuru!$D:$D,$A$109))</f>
        <v/>
      </c>
      <c r="E109" s="176" t="str">
        <f>IF($A109="","",COUNTIFS(Başvuru!$I:$I,Toplantı!$B$7,Başvuru!$D:$D,$A$109))</f>
        <v/>
      </c>
      <c r="F109" s="176" t="str">
        <f>IF($A109="","",COUNTIFS(Başvuru!$I:$I,Toplantı!$B$8,Başvuru!$D:$D,$A$109))</f>
        <v/>
      </c>
      <c r="G109" s="176" t="str">
        <f>IF($A109="","",COUNTIFS(Başvuru!$I:$I,Toplantı!$B$9,Başvuru!$D:$D,$A$109))</f>
        <v/>
      </c>
      <c r="H109" s="176" t="str">
        <f>IF($A109="","",COUNTIFS(Başvuru!$I:$I,Toplantı!$B$10,Başvuru!$D:$D,$A$109))</f>
        <v/>
      </c>
      <c r="I109" s="176" t="str">
        <f>IF($A109="","",COUNTIFS(Başvuru!$I:$I,Toplantı!$B$11,Başvuru!$D:$D,$A$109))</f>
        <v/>
      </c>
      <c r="J109" s="176" t="str">
        <f>IF($A109="","",COUNTIFS(Başvuru!$I:$I,Toplantı!$B$12,Başvuru!$D:$D,$A$109))</f>
        <v/>
      </c>
      <c r="K109" s="176" t="str">
        <f>IF($A109="","",COUNTIFS(Başvuru!$I:$I,Toplantı!$B$13,Başvuru!$D:$D,$A$109))</f>
        <v/>
      </c>
      <c r="L109" s="176" t="str">
        <f>IF($A109="","",COUNTIFS(Başvuru!$I:$I,Toplantı!$B$14,Başvuru!$D:$D,$A$109))</f>
        <v/>
      </c>
      <c r="M109" s="176" t="str">
        <f>IF($A109="","",COUNTIFS(Başvuru!$I:$I,Toplantı!$B$15,Başvuru!$D:$D,$A$109))</f>
        <v/>
      </c>
      <c r="N109" s="176" t="str">
        <f>IF($A109="","",COUNTIFS(Başvuru!$I:$I,Toplantı!$B$16,Başvuru!$D:$D,$A$109))</f>
        <v/>
      </c>
      <c r="O109" s="176" t="str">
        <f>IF($A109="","",COUNTIFS(Başvuru!$I:$I,Toplantı!$B$17,Başvuru!$D:$D,$A$109))</f>
        <v/>
      </c>
      <c r="P109" s="176" t="str">
        <f>IF($A109="","",COUNTIFS(Başvuru!$I:$I,Toplantı!$B$18,Başvuru!$D:$D,$A$109))</f>
        <v/>
      </c>
      <c r="Q109" s="176" t="str">
        <f>IF($A109="","",COUNTIFS(Başvuru!$I:$I,Toplantı!$B$19,Başvuru!$D:$D,$A$109))</f>
        <v/>
      </c>
      <c r="R109" s="176" t="str">
        <f>IF($A109="","",COUNTIFS(Başvuru!$I:$I,Toplantı!$B$20,Başvuru!$D:$D,$A$109))</f>
        <v/>
      </c>
      <c r="S109" s="177">
        <f t="shared" si="3"/>
        <v>0</v>
      </c>
    </row>
    <row r="110" spans="1:19" x14ac:dyDescent="0.25">
      <c r="A110" s="175" t="str">
        <f>IF(Birim!C112="","",Birim!C112)</f>
        <v/>
      </c>
      <c r="B110" s="176" t="str">
        <f>IF($A110="","",COUNTIFS(Başvuru!$I:$I,Toplantı!$B$4,Başvuru!$D:$D,$A$110))</f>
        <v/>
      </c>
      <c r="C110" s="176" t="str">
        <f>IF($A110="","",COUNTIFS(Başvuru!$I:$I,Toplantı!$B$5,Başvuru!$D:$D,$A$110))</f>
        <v/>
      </c>
      <c r="D110" s="176" t="str">
        <f>IF($A110="","",COUNTIFS(Başvuru!$I:$I,Toplantı!$B$6,Başvuru!$D:$D,$A$110))</f>
        <v/>
      </c>
      <c r="E110" s="176" t="str">
        <f>IF($A110="","",COUNTIFS(Başvuru!$I:$I,Toplantı!$B$7,Başvuru!$D:$D,$A$110))</f>
        <v/>
      </c>
      <c r="F110" s="176" t="str">
        <f>IF($A110="","",COUNTIFS(Başvuru!$I:$I,Toplantı!$B$8,Başvuru!$D:$D,$A$110))</f>
        <v/>
      </c>
      <c r="G110" s="176" t="str">
        <f>IF($A110="","",COUNTIFS(Başvuru!$I:$I,Toplantı!$B$9,Başvuru!$D:$D,$A$110))</f>
        <v/>
      </c>
      <c r="H110" s="176" t="str">
        <f>IF($A110="","",COUNTIFS(Başvuru!$I:$I,Toplantı!$B$10,Başvuru!$D:$D,$A$110))</f>
        <v/>
      </c>
      <c r="I110" s="176" t="str">
        <f>IF($A110="","",COUNTIFS(Başvuru!$I:$I,Toplantı!$B$11,Başvuru!$D:$D,$A$110))</f>
        <v/>
      </c>
      <c r="J110" s="176" t="str">
        <f>IF($A110="","",COUNTIFS(Başvuru!$I:$I,Toplantı!$B$12,Başvuru!$D:$D,$A$110))</f>
        <v/>
      </c>
      <c r="K110" s="176" t="str">
        <f>IF($A110="","",COUNTIFS(Başvuru!$I:$I,Toplantı!$B$13,Başvuru!$D:$D,$A$110))</f>
        <v/>
      </c>
      <c r="L110" s="176" t="str">
        <f>IF($A110="","",COUNTIFS(Başvuru!$I:$I,Toplantı!$B$14,Başvuru!$D:$D,$A$110))</f>
        <v/>
      </c>
      <c r="M110" s="176" t="str">
        <f>IF($A110="","",COUNTIFS(Başvuru!$I:$I,Toplantı!$B$15,Başvuru!$D:$D,$A$110))</f>
        <v/>
      </c>
      <c r="N110" s="176" t="str">
        <f>IF($A110="","",COUNTIFS(Başvuru!$I:$I,Toplantı!$B$16,Başvuru!$D:$D,$A$110))</f>
        <v/>
      </c>
      <c r="O110" s="176" t="str">
        <f>IF($A110="","",COUNTIFS(Başvuru!$I:$I,Toplantı!$B$17,Başvuru!$D:$D,$A$110))</f>
        <v/>
      </c>
      <c r="P110" s="176" t="str">
        <f>IF($A110="","",COUNTIFS(Başvuru!$I:$I,Toplantı!$B$18,Başvuru!$D:$D,$A$110))</f>
        <v/>
      </c>
      <c r="Q110" s="176" t="str">
        <f>IF($A110="","",COUNTIFS(Başvuru!$I:$I,Toplantı!$B$19,Başvuru!$D:$D,$A$110))</f>
        <v/>
      </c>
      <c r="R110" s="176" t="str">
        <f>IF($A110="","",COUNTIFS(Başvuru!$I:$I,Toplantı!$B$20,Başvuru!$D:$D,$A$110))</f>
        <v/>
      </c>
      <c r="S110" s="177">
        <f t="shared" si="3"/>
        <v>0</v>
      </c>
    </row>
    <row r="111" spans="1:19" x14ac:dyDescent="0.25">
      <c r="A111" s="175" t="str">
        <f>IF(Birim!C113="","",Birim!C113)</f>
        <v/>
      </c>
      <c r="B111" s="176" t="str">
        <f>IF($A111="","",COUNTIFS(Başvuru!$I:$I,Toplantı!$B$4,Başvuru!$D:$D,$A$111))</f>
        <v/>
      </c>
      <c r="C111" s="176" t="str">
        <f>IF($A111="","",COUNTIFS(Başvuru!$I:$I,Toplantı!$B$5,Başvuru!$D:$D,$A$111))</f>
        <v/>
      </c>
      <c r="D111" s="176" t="str">
        <f>IF($A111="","",COUNTIFS(Başvuru!$I:$I,Toplantı!$B$6,Başvuru!$D:$D,$A$111))</f>
        <v/>
      </c>
      <c r="E111" s="176" t="str">
        <f>IF($A111="","",COUNTIFS(Başvuru!$I:$I,Toplantı!$B$7,Başvuru!$D:$D,$A$111))</f>
        <v/>
      </c>
      <c r="F111" s="176" t="str">
        <f>IF($A111="","",COUNTIFS(Başvuru!$I:$I,Toplantı!$B$8,Başvuru!$D:$D,$A$111))</f>
        <v/>
      </c>
      <c r="G111" s="176" t="str">
        <f>IF($A111="","",COUNTIFS(Başvuru!$I:$I,Toplantı!$B$9,Başvuru!$D:$D,$A$111))</f>
        <v/>
      </c>
      <c r="H111" s="176" t="str">
        <f>IF($A111="","",COUNTIFS(Başvuru!$I:$I,Toplantı!$B$10,Başvuru!$D:$D,$A$111))</f>
        <v/>
      </c>
      <c r="I111" s="176" t="str">
        <f>IF($A111="","",COUNTIFS(Başvuru!$I:$I,Toplantı!$B$11,Başvuru!$D:$D,$A$111))</f>
        <v/>
      </c>
      <c r="J111" s="176" t="str">
        <f>IF($A111="","",COUNTIFS(Başvuru!$I:$I,Toplantı!$B$12,Başvuru!$D:$D,$A$111))</f>
        <v/>
      </c>
      <c r="K111" s="176" t="str">
        <f>IF($A111="","",COUNTIFS(Başvuru!$I:$I,Toplantı!$B$13,Başvuru!$D:$D,$A$111))</f>
        <v/>
      </c>
      <c r="L111" s="176" t="str">
        <f>IF($A111="","",COUNTIFS(Başvuru!$I:$I,Toplantı!$B$14,Başvuru!$D:$D,$A$111))</f>
        <v/>
      </c>
      <c r="M111" s="176" t="str">
        <f>IF($A111="","",COUNTIFS(Başvuru!$I:$I,Toplantı!$B$15,Başvuru!$D:$D,$A$111))</f>
        <v/>
      </c>
      <c r="N111" s="176" t="str">
        <f>IF($A111="","",COUNTIFS(Başvuru!$I:$I,Toplantı!$B$16,Başvuru!$D:$D,$A$111))</f>
        <v/>
      </c>
      <c r="O111" s="176" t="str">
        <f>IF($A111="","",COUNTIFS(Başvuru!$I:$I,Toplantı!$B$17,Başvuru!$D:$D,$A$111))</f>
        <v/>
      </c>
      <c r="P111" s="176" t="str">
        <f>IF($A111="","",COUNTIFS(Başvuru!$I:$I,Toplantı!$B$18,Başvuru!$D:$D,$A$111))</f>
        <v/>
      </c>
      <c r="Q111" s="176" t="str">
        <f>IF($A111="","",COUNTIFS(Başvuru!$I:$I,Toplantı!$B$19,Başvuru!$D:$D,$A$111))</f>
        <v/>
      </c>
      <c r="R111" s="176" t="str">
        <f>IF($A111="","",COUNTIFS(Başvuru!$I:$I,Toplantı!$B$20,Başvuru!$D:$D,$A$111))</f>
        <v/>
      </c>
      <c r="S111" s="177">
        <f t="shared" si="3"/>
        <v>0</v>
      </c>
    </row>
    <row r="112" spans="1:19" x14ac:dyDescent="0.25">
      <c r="A112" s="175" t="str">
        <f>IF(Birim!C114="","",Birim!C114)</f>
        <v/>
      </c>
      <c r="B112" s="176" t="str">
        <f>IF($A112="","",COUNTIFS(Başvuru!$I:$I,Toplantı!$B$4,Başvuru!$D:$D,$A$112))</f>
        <v/>
      </c>
      <c r="C112" s="176" t="str">
        <f>IF($A112="","",COUNTIFS(Başvuru!$I:$I,Toplantı!$B$5,Başvuru!$D:$D,$A$112))</f>
        <v/>
      </c>
      <c r="D112" s="176" t="str">
        <f>IF($A112="","",COUNTIFS(Başvuru!$I:$I,Toplantı!$B$6,Başvuru!$D:$D,$A$112))</f>
        <v/>
      </c>
      <c r="E112" s="176" t="str">
        <f>IF($A112="","",COUNTIFS(Başvuru!$I:$I,Toplantı!$B$7,Başvuru!$D:$D,$A$112))</f>
        <v/>
      </c>
      <c r="F112" s="176" t="str">
        <f>IF($A112="","",COUNTIFS(Başvuru!$I:$I,Toplantı!$B$8,Başvuru!$D:$D,$A$112))</f>
        <v/>
      </c>
      <c r="G112" s="176" t="str">
        <f>IF($A112="","",COUNTIFS(Başvuru!$I:$I,Toplantı!$B$9,Başvuru!$D:$D,$A$112))</f>
        <v/>
      </c>
      <c r="H112" s="176" t="str">
        <f>IF($A112="","",COUNTIFS(Başvuru!$I:$I,Toplantı!$B$10,Başvuru!$D:$D,$A$112))</f>
        <v/>
      </c>
      <c r="I112" s="176" t="str">
        <f>IF($A112="","",COUNTIFS(Başvuru!$I:$I,Toplantı!$B$11,Başvuru!$D:$D,$A$112))</f>
        <v/>
      </c>
      <c r="J112" s="176" t="str">
        <f>IF($A112="","",COUNTIFS(Başvuru!$I:$I,Toplantı!$B$12,Başvuru!$D:$D,$A$112))</f>
        <v/>
      </c>
      <c r="K112" s="176" t="str">
        <f>IF($A112="","",COUNTIFS(Başvuru!$I:$I,Toplantı!$B$13,Başvuru!$D:$D,$A$112))</f>
        <v/>
      </c>
      <c r="L112" s="176" t="str">
        <f>IF($A112="","",COUNTIFS(Başvuru!$I:$I,Toplantı!$B$14,Başvuru!$D:$D,$A$112))</f>
        <v/>
      </c>
      <c r="M112" s="176" t="str">
        <f>IF($A112="","",COUNTIFS(Başvuru!$I:$I,Toplantı!$B$15,Başvuru!$D:$D,$A$112))</f>
        <v/>
      </c>
      <c r="N112" s="176" t="str">
        <f>IF($A112="","",COUNTIFS(Başvuru!$I:$I,Toplantı!$B$16,Başvuru!$D:$D,$A$112))</f>
        <v/>
      </c>
      <c r="O112" s="176" t="str">
        <f>IF($A112="","",COUNTIFS(Başvuru!$I:$I,Toplantı!$B$17,Başvuru!$D:$D,$A$112))</f>
        <v/>
      </c>
      <c r="P112" s="176" t="str">
        <f>IF($A112="","",COUNTIFS(Başvuru!$I:$I,Toplantı!$B$18,Başvuru!$D:$D,$A$112))</f>
        <v/>
      </c>
      <c r="Q112" s="176" t="str">
        <f>IF($A112="","",COUNTIFS(Başvuru!$I:$I,Toplantı!$B$19,Başvuru!$D:$D,$A$112))</f>
        <v/>
      </c>
      <c r="R112" s="176" t="str">
        <f>IF($A112="","",COUNTIFS(Başvuru!$I:$I,Toplantı!$B$20,Başvuru!$D:$D,$A$112))</f>
        <v/>
      </c>
      <c r="S112" s="177">
        <f t="shared" si="3"/>
        <v>0</v>
      </c>
    </row>
    <row r="113" spans="1:19" x14ac:dyDescent="0.25">
      <c r="A113" s="175" t="str">
        <f>IF(Birim!C115="","",Birim!C115)</f>
        <v/>
      </c>
      <c r="B113" s="176" t="str">
        <f>IF($A113="","",COUNTIFS(Başvuru!$I:$I,Toplantı!$B$4,Başvuru!$D:$D,$A$113))</f>
        <v/>
      </c>
      <c r="C113" s="176" t="str">
        <f>IF($A113="","",COUNTIFS(Başvuru!$I:$I,Toplantı!$B$5,Başvuru!$D:$D,$A$113))</f>
        <v/>
      </c>
      <c r="D113" s="176" t="str">
        <f>IF($A113="","",COUNTIFS(Başvuru!$I:$I,Toplantı!$B$6,Başvuru!$D:$D,$A$113))</f>
        <v/>
      </c>
      <c r="E113" s="176" t="str">
        <f>IF($A113="","",COUNTIFS(Başvuru!$I:$I,Toplantı!$B$7,Başvuru!$D:$D,$A$113))</f>
        <v/>
      </c>
      <c r="F113" s="176" t="str">
        <f>IF($A113="","",COUNTIFS(Başvuru!$I:$I,Toplantı!$B$8,Başvuru!$D:$D,$A$113))</f>
        <v/>
      </c>
      <c r="G113" s="176" t="str">
        <f>IF($A113="","",COUNTIFS(Başvuru!$I:$I,Toplantı!$B$9,Başvuru!$D:$D,$A$113))</f>
        <v/>
      </c>
      <c r="H113" s="176" t="str">
        <f>IF($A113="","",COUNTIFS(Başvuru!$I:$I,Toplantı!$B$10,Başvuru!$D:$D,$A$113))</f>
        <v/>
      </c>
      <c r="I113" s="176" t="str">
        <f>IF($A113="","",COUNTIFS(Başvuru!$I:$I,Toplantı!$B$11,Başvuru!$D:$D,$A$113))</f>
        <v/>
      </c>
      <c r="J113" s="176" t="str">
        <f>IF($A113="","",COUNTIFS(Başvuru!$I:$I,Toplantı!$B$12,Başvuru!$D:$D,$A$113))</f>
        <v/>
      </c>
      <c r="K113" s="176" t="str">
        <f>IF($A113="","",COUNTIFS(Başvuru!$I:$I,Toplantı!$B$13,Başvuru!$D:$D,$A$113))</f>
        <v/>
      </c>
      <c r="L113" s="176" t="str">
        <f>IF($A113="","",COUNTIFS(Başvuru!$I:$I,Toplantı!$B$14,Başvuru!$D:$D,$A$113))</f>
        <v/>
      </c>
      <c r="M113" s="176" t="str">
        <f>IF($A113="","",COUNTIFS(Başvuru!$I:$I,Toplantı!$B$15,Başvuru!$D:$D,$A$113))</f>
        <v/>
      </c>
      <c r="N113" s="176" t="str">
        <f>IF($A113="","",COUNTIFS(Başvuru!$I:$I,Toplantı!$B$16,Başvuru!$D:$D,$A$113))</f>
        <v/>
      </c>
      <c r="O113" s="176" t="str">
        <f>IF($A113="","",COUNTIFS(Başvuru!$I:$I,Toplantı!$B$17,Başvuru!$D:$D,$A$113))</f>
        <v/>
      </c>
      <c r="P113" s="176" t="str">
        <f>IF($A113="","",COUNTIFS(Başvuru!$I:$I,Toplantı!$B$18,Başvuru!$D:$D,$A$113))</f>
        <v/>
      </c>
      <c r="Q113" s="176" t="str">
        <f>IF($A113="","",COUNTIFS(Başvuru!$I:$I,Toplantı!$B$19,Başvuru!$D:$D,$A$113))</f>
        <v/>
      </c>
      <c r="R113" s="176" t="str">
        <f>IF($A113="","",COUNTIFS(Başvuru!$I:$I,Toplantı!$B$20,Başvuru!$D:$D,$A$113))</f>
        <v/>
      </c>
      <c r="S113" s="177">
        <f t="shared" si="3"/>
        <v>0</v>
      </c>
    </row>
    <row r="114" spans="1:19" x14ac:dyDescent="0.25">
      <c r="A114" s="175" t="str">
        <f>IF(Birim!C116="","",Birim!C116)</f>
        <v/>
      </c>
      <c r="B114" s="176" t="str">
        <f>IF($A114="","",COUNTIFS(Başvuru!$I:$I,Toplantı!$B$4,Başvuru!$D:$D,$A$114))</f>
        <v/>
      </c>
      <c r="C114" s="176" t="str">
        <f>IF($A114="","",COUNTIFS(Başvuru!$I:$I,Toplantı!$B$5,Başvuru!$D:$D,$A$114))</f>
        <v/>
      </c>
      <c r="D114" s="176" t="str">
        <f>IF($A114="","",COUNTIFS(Başvuru!$I:$I,Toplantı!$B$6,Başvuru!$D:$D,$A$114))</f>
        <v/>
      </c>
      <c r="E114" s="176" t="str">
        <f>IF($A114="","",COUNTIFS(Başvuru!$I:$I,Toplantı!$B$7,Başvuru!$D:$D,$A$114))</f>
        <v/>
      </c>
      <c r="F114" s="176" t="str">
        <f>IF($A114="","",COUNTIFS(Başvuru!$I:$I,Toplantı!$B$8,Başvuru!$D:$D,$A$114))</f>
        <v/>
      </c>
      <c r="G114" s="176" t="str">
        <f>IF($A114="","",COUNTIFS(Başvuru!$I:$I,Toplantı!$B$9,Başvuru!$D:$D,$A$114))</f>
        <v/>
      </c>
      <c r="H114" s="176" t="str">
        <f>IF($A114="","",COUNTIFS(Başvuru!$I:$I,Toplantı!$B$10,Başvuru!$D:$D,$A$114))</f>
        <v/>
      </c>
      <c r="I114" s="176" t="str">
        <f>IF($A114="","",COUNTIFS(Başvuru!$I:$I,Toplantı!$B$11,Başvuru!$D:$D,$A$114))</f>
        <v/>
      </c>
      <c r="J114" s="176" t="str">
        <f>IF($A114="","",COUNTIFS(Başvuru!$I:$I,Toplantı!$B$12,Başvuru!$D:$D,$A$114))</f>
        <v/>
      </c>
      <c r="K114" s="176" t="str">
        <f>IF($A114="","",COUNTIFS(Başvuru!$I:$I,Toplantı!$B$13,Başvuru!$D:$D,$A$114))</f>
        <v/>
      </c>
      <c r="L114" s="176" t="str">
        <f>IF($A114="","",COUNTIFS(Başvuru!$I:$I,Toplantı!$B$14,Başvuru!$D:$D,$A$114))</f>
        <v/>
      </c>
      <c r="M114" s="176" t="str">
        <f>IF($A114="","",COUNTIFS(Başvuru!$I:$I,Toplantı!$B$15,Başvuru!$D:$D,$A$114))</f>
        <v/>
      </c>
      <c r="N114" s="176" t="str">
        <f>IF($A114="","",COUNTIFS(Başvuru!$I:$I,Toplantı!$B$16,Başvuru!$D:$D,$A$114))</f>
        <v/>
      </c>
      <c r="O114" s="176" t="str">
        <f>IF($A114="","",COUNTIFS(Başvuru!$I:$I,Toplantı!$B$17,Başvuru!$D:$D,$A$114))</f>
        <v/>
      </c>
      <c r="P114" s="176" t="str">
        <f>IF($A114="","",COUNTIFS(Başvuru!$I:$I,Toplantı!$B$18,Başvuru!$D:$D,$A$114))</f>
        <v/>
      </c>
      <c r="Q114" s="176" t="str">
        <f>IF($A114="","",COUNTIFS(Başvuru!$I:$I,Toplantı!$B$19,Başvuru!$D:$D,$A$114))</f>
        <v/>
      </c>
      <c r="R114" s="176" t="str">
        <f>IF($A114="","",COUNTIFS(Başvuru!$I:$I,Toplantı!$B$20,Başvuru!$D:$D,$A$114))</f>
        <v/>
      </c>
      <c r="S114" s="177">
        <f t="shared" si="3"/>
        <v>0</v>
      </c>
    </row>
    <row r="115" spans="1:19" x14ac:dyDescent="0.25">
      <c r="A115" s="175" t="str">
        <f>IF(Birim!C117="","",Birim!C117)</f>
        <v/>
      </c>
      <c r="B115" s="176" t="str">
        <f>IF($A115="","",COUNTIFS(Başvuru!$I:$I,Toplantı!$B$4,Başvuru!$D:$D,$A$115))</f>
        <v/>
      </c>
      <c r="C115" s="176" t="str">
        <f>IF($A115="","",COUNTIFS(Başvuru!$I:$I,Toplantı!$B$5,Başvuru!$D:$D,$A$115))</f>
        <v/>
      </c>
      <c r="D115" s="176" t="str">
        <f>IF($A115="","",COUNTIFS(Başvuru!$I:$I,Toplantı!$B$6,Başvuru!$D:$D,$A$115))</f>
        <v/>
      </c>
      <c r="E115" s="176" t="str">
        <f>IF($A115="","",COUNTIFS(Başvuru!$I:$I,Toplantı!$B$7,Başvuru!$D:$D,$A$115))</f>
        <v/>
      </c>
      <c r="F115" s="176" t="str">
        <f>IF($A115="","",COUNTIFS(Başvuru!$I:$I,Toplantı!$B$8,Başvuru!$D:$D,$A$115))</f>
        <v/>
      </c>
      <c r="G115" s="176" t="str">
        <f>IF($A115="","",COUNTIFS(Başvuru!$I:$I,Toplantı!$B$9,Başvuru!$D:$D,$A$115))</f>
        <v/>
      </c>
      <c r="H115" s="176" t="str">
        <f>IF($A115="","",COUNTIFS(Başvuru!$I:$I,Toplantı!$B$10,Başvuru!$D:$D,$A$115))</f>
        <v/>
      </c>
      <c r="I115" s="176" t="str">
        <f>IF($A115="","",COUNTIFS(Başvuru!$I:$I,Toplantı!$B$11,Başvuru!$D:$D,$A$115))</f>
        <v/>
      </c>
      <c r="J115" s="176" t="str">
        <f>IF($A115="","",COUNTIFS(Başvuru!$I:$I,Toplantı!$B$12,Başvuru!$D:$D,$A$115))</f>
        <v/>
      </c>
      <c r="K115" s="176" t="str">
        <f>IF($A115="","",COUNTIFS(Başvuru!$I:$I,Toplantı!$B$13,Başvuru!$D:$D,$A$115))</f>
        <v/>
      </c>
      <c r="L115" s="176" t="str">
        <f>IF($A115="","",COUNTIFS(Başvuru!$I:$I,Toplantı!$B$14,Başvuru!$D:$D,$A$115))</f>
        <v/>
      </c>
      <c r="M115" s="176" t="str">
        <f>IF($A115="","",COUNTIFS(Başvuru!$I:$I,Toplantı!$B$15,Başvuru!$D:$D,$A$115))</f>
        <v/>
      </c>
      <c r="N115" s="176" t="str">
        <f>IF($A115="","",COUNTIFS(Başvuru!$I:$I,Toplantı!$B$16,Başvuru!$D:$D,$A$115))</f>
        <v/>
      </c>
      <c r="O115" s="176" t="str">
        <f>IF($A115="","",COUNTIFS(Başvuru!$I:$I,Toplantı!$B$17,Başvuru!$D:$D,$A$115))</f>
        <v/>
      </c>
      <c r="P115" s="176" t="str">
        <f>IF($A115="","",COUNTIFS(Başvuru!$I:$I,Toplantı!$B$18,Başvuru!$D:$D,$A$115))</f>
        <v/>
      </c>
      <c r="Q115" s="176" t="str">
        <f>IF($A115="","",COUNTIFS(Başvuru!$I:$I,Toplantı!$B$19,Başvuru!$D:$D,$A$115))</f>
        <v/>
      </c>
      <c r="R115" s="176" t="str">
        <f>IF($A115="","",COUNTIFS(Başvuru!$I:$I,Toplantı!$B$20,Başvuru!$D:$D,$A$115))</f>
        <v/>
      </c>
      <c r="S115" s="177">
        <f t="shared" si="3"/>
        <v>0</v>
      </c>
    </row>
    <row r="116" spans="1:19" x14ac:dyDescent="0.25">
      <c r="A116" s="175" t="str">
        <f>IF(Birim!C118="","",Birim!C118)</f>
        <v/>
      </c>
      <c r="B116" s="176" t="str">
        <f>IF($A116="","",COUNTIFS(Başvuru!$I:$I,Toplantı!$B$4,Başvuru!$D:$D,$A$116))</f>
        <v/>
      </c>
      <c r="C116" s="176" t="str">
        <f>IF($A116="","",COUNTIFS(Başvuru!$I:$I,Toplantı!$B$5,Başvuru!$D:$D,$A$116))</f>
        <v/>
      </c>
      <c r="D116" s="176" t="str">
        <f>IF($A116="","",COUNTIFS(Başvuru!$I:$I,Toplantı!$B$6,Başvuru!$D:$D,$A$116))</f>
        <v/>
      </c>
      <c r="E116" s="176" t="str">
        <f>IF($A116="","",COUNTIFS(Başvuru!$I:$I,Toplantı!$B$7,Başvuru!$D:$D,$A$116))</f>
        <v/>
      </c>
      <c r="F116" s="176" t="str">
        <f>IF($A116="","",COUNTIFS(Başvuru!$I:$I,Toplantı!$B$8,Başvuru!$D:$D,$A$116))</f>
        <v/>
      </c>
      <c r="G116" s="176" t="str">
        <f>IF($A116="","",COUNTIFS(Başvuru!$I:$I,Toplantı!$B$9,Başvuru!$D:$D,$A$116))</f>
        <v/>
      </c>
      <c r="H116" s="176" t="str">
        <f>IF($A116="","",COUNTIFS(Başvuru!$I:$I,Toplantı!$B$10,Başvuru!$D:$D,$A$116))</f>
        <v/>
      </c>
      <c r="I116" s="176" t="str">
        <f>IF($A116="","",COUNTIFS(Başvuru!$I:$I,Toplantı!$B$11,Başvuru!$D:$D,$A$116))</f>
        <v/>
      </c>
      <c r="J116" s="176" t="str">
        <f>IF($A116="","",COUNTIFS(Başvuru!$I:$I,Toplantı!$B$12,Başvuru!$D:$D,$A$116))</f>
        <v/>
      </c>
      <c r="K116" s="176" t="str">
        <f>IF($A116="","",COUNTIFS(Başvuru!$I:$I,Toplantı!$B$13,Başvuru!$D:$D,$A$116))</f>
        <v/>
      </c>
      <c r="L116" s="176" t="str">
        <f>IF($A116="","",COUNTIFS(Başvuru!$I:$I,Toplantı!$B$14,Başvuru!$D:$D,$A$116))</f>
        <v/>
      </c>
      <c r="M116" s="176" t="str">
        <f>IF($A116="","",COUNTIFS(Başvuru!$I:$I,Toplantı!$B$15,Başvuru!$D:$D,$A$116))</f>
        <v/>
      </c>
      <c r="N116" s="176" t="str">
        <f>IF($A116="","",COUNTIFS(Başvuru!$I:$I,Toplantı!$B$16,Başvuru!$D:$D,$A$116))</f>
        <v/>
      </c>
      <c r="O116" s="176" t="str">
        <f>IF($A116="","",COUNTIFS(Başvuru!$I:$I,Toplantı!$B$17,Başvuru!$D:$D,$A$116))</f>
        <v/>
      </c>
      <c r="P116" s="176" t="str">
        <f>IF($A116="","",COUNTIFS(Başvuru!$I:$I,Toplantı!$B$18,Başvuru!$D:$D,$A$116))</f>
        <v/>
      </c>
      <c r="Q116" s="176" t="str">
        <f>IF($A116="","",COUNTIFS(Başvuru!$I:$I,Toplantı!$B$19,Başvuru!$D:$D,$A$116))</f>
        <v/>
      </c>
      <c r="R116" s="176" t="str">
        <f>IF($A116="","",COUNTIFS(Başvuru!$I:$I,Toplantı!$B$20,Başvuru!$D:$D,$A$116))</f>
        <v/>
      </c>
      <c r="S116" s="177">
        <f t="shared" si="3"/>
        <v>0</v>
      </c>
    </row>
    <row r="117" spans="1:19" x14ac:dyDescent="0.25">
      <c r="A117" s="175" t="str">
        <f>IF(Birim!C119="","",Birim!C119)</f>
        <v/>
      </c>
      <c r="B117" s="176" t="str">
        <f>IF($A117="","",COUNTIFS(Başvuru!$I:$I,Toplantı!$B$4,Başvuru!$D:$D,$A$117))</f>
        <v/>
      </c>
      <c r="C117" s="176" t="str">
        <f>IF($A117="","",COUNTIFS(Başvuru!$I:$I,Toplantı!$B$5,Başvuru!$D:$D,$A$117))</f>
        <v/>
      </c>
      <c r="D117" s="176" t="str">
        <f>IF($A117="","",COUNTIFS(Başvuru!$I:$I,Toplantı!$B$6,Başvuru!$D:$D,$A$117))</f>
        <v/>
      </c>
      <c r="E117" s="176" t="str">
        <f>IF($A117="","",COUNTIFS(Başvuru!$I:$I,Toplantı!$B$7,Başvuru!$D:$D,$A$117))</f>
        <v/>
      </c>
      <c r="F117" s="176" t="str">
        <f>IF($A117="","",COUNTIFS(Başvuru!$I:$I,Toplantı!$B$8,Başvuru!$D:$D,$A$117))</f>
        <v/>
      </c>
      <c r="G117" s="176" t="str">
        <f>IF($A117="","",COUNTIFS(Başvuru!$I:$I,Toplantı!$B$9,Başvuru!$D:$D,$A$117))</f>
        <v/>
      </c>
      <c r="H117" s="176" t="str">
        <f>IF($A117="","",COUNTIFS(Başvuru!$I:$I,Toplantı!$B$10,Başvuru!$D:$D,$A$117))</f>
        <v/>
      </c>
      <c r="I117" s="176" t="str">
        <f>IF($A117="","",COUNTIFS(Başvuru!$I:$I,Toplantı!$B$11,Başvuru!$D:$D,$A$117))</f>
        <v/>
      </c>
      <c r="J117" s="176" t="str">
        <f>IF($A117="","",COUNTIFS(Başvuru!$I:$I,Toplantı!$B$12,Başvuru!$D:$D,$A$117))</f>
        <v/>
      </c>
      <c r="K117" s="176" t="str">
        <f>IF($A117="","",COUNTIFS(Başvuru!$I:$I,Toplantı!$B$13,Başvuru!$D:$D,$A$117))</f>
        <v/>
      </c>
      <c r="L117" s="176" t="str">
        <f>IF($A117="","",COUNTIFS(Başvuru!$I:$I,Toplantı!$B$14,Başvuru!$D:$D,$A$117))</f>
        <v/>
      </c>
      <c r="M117" s="176" t="str">
        <f>IF($A117="","",COUNTIFS(Başvuru!$I:$I,Toplantı!$B$15,Başvuru!$D:$D,$A$117))</f>
        <v/>
      </c>
      <c r="N117" s="176" t="str">
        <f>IF($A117="","",COUNTIFS(Başvuru!$I:$I,Toplantı!$B$16,Başvuru!$D:$D,$A$117))</f>
        <v/>
      </c>
      <c r="O117" s="176" t="str">
        <f>IF($A117="","",COUNTIFS(Başvuru!$I:$I,Toplantı!$B$17,Başvuru!$D:$D,$A$117))</f>
        <v/>
      </c>
      <c r="P117" s="176" t="str">
        <f>IF($A117="","",COUNTIFS(Başvuru!$I:$I,Toplantı!$B$18,Başvuru!$D:$D,$A$117))</f>
        <v/>
      </c>
      <c r="Q117" s="176" t="str">
        <f>IF($A117="","",COUNTIFS(Başvuru!$I:$I,Toplantı!$B$19,Başvuru!$D:$D,$A$117))</f>
        <v/>
      </c>
      <c r="R117" s="176" t="str">
        <f>IF($A117="","",COUNTIFS(Başvuru!$I:$I,Toplantı!$B$20,Başvuru!$D:$D,$A$117))</f>
        <v/>
      </c>
      <c r="S117" s="177">
        <f t="shared" si="3"/>
        <v>0</v>
      </c>
    </row>
    <row r="118" spans="1:19" x14ac:dyDescent="0.25">
      <c r="A118" s="175" t="str">
        <f>IF(Birim!C120="","",Birim!C120)</f>
        <v/>
      </c>
      <c r="B118" s="176" t="str">
        <f>IF($A118="","",COUNTIFS(Başvuru!$I:$I,Toplantı!$B$4,Başvuru!$D:$D,$A$118))</f>
        <v/>
      </c>
      <c r="C118" s="176" t="str">
        <f>IF($A118="","",COUNTIFS(Başvuru!$I:$I,Toplantı!$B$5,Başvuru!$D:$D,$A$118))</f>
        <v/>
      </c>
      <c r="D118" s="176" t="str">
        <f>IF($A118="","",COUNTIFS(Başvuru!$I:$I,Toplantı!$B$6,Başvuru!$D:$D,$A$118))</f>
        <v/>
      </c>
      <c r="E118" s="176" t="str">
        <f>IF($A118="","",COUNTIFS(Başvuru!$I:$I,Toplantı!$B$7,Başvuru!$D:$D,$A$118))</f>
        <v/>
      </c>
      <c r="F118" s="176" t="str">
        <f>IF($A118="","",COUNTIFS(Başvuru!$I:$I,Toplantı!$B$8,Başvuru!$D:$D,$A$118))</f>
        <v/>
      </c>
      <c r="G118" s="176" t="str">
        <f>IF($A118="","",COUNTIFS(Başvuru!$I:$I,Toplantı!$B$9,Başvuru!$D:$D,$A$118))</f>
        <v/>
      </c>
      <c r="H118" s="176" t="str">
        <f>IF($A118="","",COUNTIFS(Başvuru!$I:$I,Toplantı!$B$10,Başvuru!$D:$D,$A$118))</f>
        <v/>
      </c>
      <c r="I118" s="176" t="str">
        <f>IF($A118="","",COUNTIFS(Başvuru!$I:$I,Toplantı!$B$11,Başvuru!$D:$D,$A$118))</f>
        <v/>
      </c>
      <c r="J118" s="176" t="str">
        <f>IF($A118="","",COUNTIFS(Başvuru!$I:$I,Toplantı!$B$12,Başvuru!$D:$D,$A$118))</f>
        <v/>
      </c>
      <c r="K118" s="176" t="str">
        <f>IF($A118="","",COUNTIFS(Başvuru!$I:$I,Toplantı!$B$13,Başvuru!$D:$D,$A$118))</f>
        <v/>
      </c>
      <c r="L118" s="176" t="str">
        <f>IF($A118="","",COUNTIFS(Başvuru!$I:$I,Toplantı!$B$14,Başvuru!$D:$D,$A$118))</f>
        <v/>
      </c>
      <c r="M118" s="176" t="str">
        <f>IF($A118="","",COUNTIFS(Başvuru!$I:$I,Toplantı!$B$15,Başvuru!$D:$D,$A$118))</f>
        <v/>
      </c>
      <c r="N118" s="176" t="str">
        <f>IF($A118="","",COUNTIFS(Başvuru!$I:$I,Toplantı!$B$16,Başvuru!$D:$D,$A$118))</f>
        <v/>
      </c>
      <c r="O118" s="176" t="str">
        <f>IF($A118="","",COUNTIFS(Başvuru!$I:$I,Toplantı!$B$17,Başvuru!$D:$D,$A$118))</f>
        <v/>
      </c>
      <c r="P118" s="176" t="str">
        <f>IF($A118="","",COUNTIFS(Başvuru!$I:$I,Toplantı!$B$18,Başvuru!$D:$D,$A$118))</f>
        <v/>
      </c>
      <c r="Q118" s="176" t="str">
        <f>IF($A118="","",COUNTIFS(Başvuru!$I:$I,Toplantı!$B$19,Başvuru!$D:$D,$A$118))</f>
        <v/>
      </c>
      <c r="R118" s="176" t="str">
        <f>IF($A118="","",COUNTIFS(Başvuru!$I:$I,Toplantı!$B$20,Başvuru!$D:$D,$A$118))</f>
        <v/>
      </c>
      <c r="S118" s="177">
        <f t="shared" si="3"/>
        <v>0</v>
      </c>
    </row>
    <row r="119" spans="1:19" x14ac:dyDescent="0.25">
      <c r="A119" s="175" t="str">
        <f>IF(Birim!C121="","",Birim!C121)</f>
        <v/>
      </c>
      <c r="B119" s="176" t="str">
        <f>IF($A119="","",COUNTIFS(Başvuru!$I:$I,Toplantı!$B$4,Başvuru!$D:$D,$A$119))</f>
        <v/>
      </c>
      <c r="C119" s="176" t="str">
        <f>IF($A119="","",COUNTIFS(Başvuru!$I:$I,Toplantı!$B$5,Başvuru!$D:$D,$A$119))</f>
        <v/>
      </c>
      <c r="D119" s="176" t="str">
        <f>IF($A119="","",COUNTIFS(Başvuru!$I:$I,Toplantı!$B$6,Başvuru!$D:$D,$A$119))</f>
        <v/>
      </c>
      <c r="E119" s="176" t="str">
        <f>IF($A119="","",COUNTIFS(Başvuru!$I:$I,Toplantı!$B$7,Başvuru!$D:$D,$A$119))</f>
        <v/>
      </c>
      <c r="F119" s="176" t="str">
        <f>IF($A119="","",COUNTIFS(Başvuru!$I:$I,Toplantı!$B$8,Başvuru!$D:$D,$A$119))</f>
        <v/>
      </c>
      <c r="G119" s="176" t="str">
        <f>IF($A119="","",COUNTIFS(Başvuru!$I:$I,Toplantı!$B$9,Başvuru!$D:$D,$A$119))</f>
        <v/>
      </c>
      <c r="H119" s="176" t="str">
        <f>IF($A119="","",COUNTIFS(Başvuru!$I:$I,Toplantı!$B$10,Başvuru!$D:$D,$A$119))</f>
        <v/>
      </c>
      <c r="I119" s="176" t="str">
        <f>IF($A119="","",COUNTIFS(Başvuru!$I:$I,Toplantı!$B$11,Başvuru!$D:$D,$A$119))</f>
        <v/>
      </c>
      <c r="J119" s="176" t="str">
        <f>IF($A119="","",COUNTIFS(Başvuru!$I:$I,Toplantı!$B$12,Başvuru!$D:$D,$A$119))</f>
        <v/>
      </c>
      <c r="K119" s="176" t="str">
        <f>IF($A119="","",COUNTIFS(Başvuru!$I:$I,Toplantı!$B$13,Başvuru!$D:$D,$A$119))</f>
        <v/>
      </c>
      <c r="L119" s="176" t="str">
        <f>IF($A119="","",COUNTIFS(Başvuru!$I:$I,Toplantı!$B$14,Başvuru!$D:$D,$A$119))</f>
        <v/>
      </c>
      <c r="M119" s="176" t="str">
        <f>IF($A119="","",COUNTIFS(Başvuru!$I:$I,Toplantı!$B$15,Başvuru!$D:$D,$A$119))</f>
        <v/>
      </c>
      <c r="N119" s="176" t="str">
        <f>IF($A119="","",COUNTIFS(Başvuru!$I:$I,Toplantı!$B$16,Başvuru!$D:$D,$A$119))</f>
        <v/>
      </c>
      <c r="O119" s="176" t="str">
        <f>IF($A119="","",COUNTIFS(Başvuru!$I:$I,Toplantı!$B$17,Başvuru!$D:$D,$A$119))</f>
        <v/>
      </c>
      <c r="P119" s="176" t="str">
        <f>IF($A119="","",COUNTIFS(Başvuru!$I:$I,Toplantı!$B$18,Başvuru!$D:$D,$A$119))</f>
        <v/>
      </c>
      <c r="Q119" s="176" t="str">
        <f>IF($A119="","",COUNTIFS(Başvuru!$I:$I,Toplantı!$B$19,Başvuru!$D:$D,$A$119))</f>
        <v/>
      </c>
      <c r="R119" s="176" t="str">
        <f>IF($A119="","",COUNTIFS(Başvuru!$I:$I,Toplantı!$B$20,Başvuru!$D:$D,$A$119))</f>
        <v/>
      </c>
      <c r="S119" s="177">
        <f t="shared" si="3"/>
        <v>0</v>
      </c>
    </row>
    <row r="120" spans="1:19" x14ac:dyDescent="0.25">
      <c r="A120" s="175" t="str">
        <f>IF(Birim!C122="","",Birim!C122)</f>
        <v/>
      </c>
      <c r="B120" s="176" t="str">
        <f>IF($A120="","",COUNTIFS(Başvuru!$I:$I,Toplantı!$B$4,Başvuru!$D:$D,$A$120))</f>
        <v/>
      </c>
      <c r="C120" s="176" t="str">
        <f>IF($A120="","",COUNTIFS(Başvuru!$I:$I,Toplantı!$B$5,Başvuru!$D:$D,$A$120))</f>
        <v/>
      </c>
      <c r="D120" s="176" t="str">
        <f>IF($A120="","",COUNTIFS(Başvuru!$I:$I,Toplantı!$B$6,Başvuru!$D:$D,$A$120))</f>
        <v/>
      </c>
      <c r="E120" s="176" t="str">
        <f>IF($A120="","",COUNTIFS(Başvuru!$I:$I,Toplantı!$B$7,Başvuru!$D:$D,$A$120))</f>
        <v/>
      </c>
      <c r="F120" s="176" t="str">
        <f>IF($A120="","",COUNTIFS(Başvuru!$I:$I,Toplantı!$B$8,Başvuru!$D:$D,$A$120))</f>
        <v/>
      </c>
      <c r="G120" s="176" t="str">
        <f>IF($A120="","",COUNTIFS(Başvuru!$I:$I,Toplantı!$B$9,Başvuru!$D:$D,$A$120))</f>
        <v/>
      </c>
      <c r="H120" s="176" t="str">
        <f>IF($A120="","",COUNTIFS(Başvuru!$I:$I,Toplantı!$B$10,Başvuru!$D:$D,$A$120))</f>
        <v/>
      </c>
      <c r="I120" s="176" t="str">
        <f>IF($A120="","",COUNTIFS(Başvuru!$I:$I,Toplantı!$B$11,Başvuru!$D:$D,$A$120))</f>
        <v/>
      </c>
      <c r="J120" s="176" t="str">
        <f>IF($A120="","",COUNTIFS(Başvuru!$I:$I,Toplantı!$B$12,Başvuru!$D:$D,$A$120))</f>
        <v/>
      </c>
      <c r="K120" s="176" t="str">
        <f>IF($A120="","",COUNTIFS(Başvuru!$I:$I,Toplantı!$B$13,Başvuru!$D:$D,$A$120))</f>
        <v/>
      </c>
      <c r="L120" s="176" t="str">
        <f>IF($A120="","",COUNTIFS(Başvuru!$I:$I,Toplantı!$B$14,Başvuru!$D:$D,$A$120))</f>
        <v/>
      </c>
      <c r="M120" s="176" t="str">
        <f>IF($A120="","",COUNTIFS(Başvuru!$I:$I,Toplantı!$B$15,Başvuru!$D:$D,$A$120))</f>
        <v/>
      </c>
      <c r="N120" s="176" t="str">
        <f>IF($A120="","",COUNTIFS(Başvuru!$I:$I,Toplantı!$B$16,Başvuru!$D:$D,$A$120))</f>
        <v/>
      </c>
      <c r="O120" s="176" t="str">
        <f>IF($A120="","",COUNTIFS(Başvuru!$I:$I,Toplantı!$B$17,Başvuru!$D:$D,$A$120))</f>
        <v/>
      </c>
      <c r="P120" s="176" t="str">
        <f>IF($A120="","",COUNTIFS(Başvuru!$I:$I,Toplantı!$B$18,Başvuru!$D:$D,$A$120))</f>
        <v/>
      </c>
      <c r="Q120" s="176" t="str">
        <f>IF($A120="","",COUNTIFS(Başvuru!$I:$I,Toplantı!$B$19,Başvuru!$D:$D,$A$120))</f>
        <v/>
      </c>
      <c r="R120" s="176" t="str">
        <f>IF($A120="","",COUNTIFS(Başvuru!$I:$I,Toplantı!$B$20,Başvuru!$D:$D,$A$120))</f>
        <v/>
      </c>
      <c r="S120" s="177">
        <f t="shared" si="3"/>
        <v>0</v>
      </c>
    </row>
    <row r="121" spans="1:19" x14ac:dyDescent="0.25">
      <c r="A121" s="175" t="str">
        <f>IF(Birim!C123="","",Birim!C123)</f>
        <v/>
      </c>
      <c r="B121" s="176" t="str">
        <f>IF($A121="","",COUNTIFS(Başvuru!$I:$I,Toplantı!$B$4,Başvuru!$D:$D,$A$121))</f>
        <v/>
      </c>
      <c r="C121" s="176" t="str">
        <f>IF($A121="","",COUNTIFS(Başvuru!$I:$I,Toplantı!$B$5,Başvuru!$D:$D,$A$121))</f>
        <v/>
      </c>
      <c r="D121" s="176" t="str">
        <f>IF($A121="","",COUNTIFS(Başvuru!$I:$I,Toplantı!$B$6,Başvuru!$D:$D,$A$121))</f>
        <v/>
      </c>
      <c r="E121" s="176" t="str">
        <f>IF($A121="","",COUNTIFS(Başvuru!$I:$I,Toplantı!$B$7,Başvuru!$D:$D,$A$121))</f>
        <v/>
      </c>
      <c r="F121" s="176" t="str">
        <f>IF($A121="","",COUNTIFS(Başvuru!$I:$I,Toplantı!$B$8,Başvuru!$D:$D,$A$121))</f>
        <v/>
      </c>
      <c r="G121" s="176" t="str">
        <f>IF($A121="","",COUNTIFS(Başvuru!$I:$I,Toplantı!$B$9,Başvuru!$D:$D,$A$121))</f>
        <v/>
      </c>
      <c r="H121" s="176" t="str">
        <f>IF($A121="","",COUNTIFS(Başvuru!$I:$I,Toplantı!$B$10,Başvuru!$D:$D,$A$121))</f>
        <v/>
      </c>
      <c r="I121" s="176" t="str">
        <f>IF($A121="","",COUNTIFS(Başvuru!$I:$I,Toplantı!$B$11,Başvuru!$D:$D,$A$121))</f>
        <v/>
      </c>
      <c r="J121" s="176" t="str">
        <f>IF($A121="","",COUNTIFS(Başvuru!$I:$I,Toplantı!$B$12,Başvuru!$D:$D,$A$121))</f>
        <v/>
      </c>
      <c r="K121" s="176" t="str">
        <f>IF($A121="","",COUNTIFS(Başvuru!$I:$I,Toplantı!$B$13,Başvuru!$D:$D,$A$121))</f>
        <v/>
      </c>
      <c r="L121" s="176" t="str">
        <f>IF($A121="","",COUNTIFS(Başvuru!$I:$I,Toplantı!$B$14,Başvuru!$D:$D,$A$121))</f>
        <v/>
      </c>
      <c r="M121" s="176" t="str">
        <f>IF($A121="","",COUNTIFS(Başvuru!$I:$I,Toplantı!$B$15,Başvuru!$D:$D,$A$121))</f>
        <v/>
      </c>
      <c r="N121" s="176" t="str">
        <f>IF($A121="","",COUNTIFS(Başvuru!$I:$I,Toplantı!$B$16,Başvuru!$D:$D,$A$121))</f>
        <v/>
      </c>
      <c r="O121" s="176" t="str">
        <f>IF($A121="","",COUNTIFS(Başvuru!$I:$I,Toplantı!$B$17,Başvuru!$D:$D,$A$121))</f>
        <v/>
      </c>
      <c r="P121" s="176" t="str">
        <f>IF($A121="","",COUNTIFS(Başvuru!$I:$I,Toplantı!$B$18,Başvuru!$D:$D,$A$121))</f>
        <v/>
      </c>
      <c r="Q121" s="176" t="str">
        <f>IF($A121="","",COUNTIFS(Başvuru!$I:$I,Toplantı!$B$19,Başvuru!$D:$D,$A$121))</f>
        <v/>
      </c>
      <c r="R121" s="176" t="str">
        <f>IF($A121="","",COUNTIFS(Başvuru!$I:$I,Toplantı!$B$20,Başvuru!$D:$D,$A$121))</f>
        <v/>
      </c>
      <c r="S121" s="177">
        <f t="shared" si="3"/>
        <v>0</v>
      </c>
    </row>
    <row r="122" spans="1:19" x14ac:dyDescent="0.25">
      <c r="A122" s="175" t="str">
        <f>IF(Birim!C124="","",Birim!C124)</f>
        <v/>
      </c>
      <c r="B122" s="176" t="str">
        <f>IF($A122="","",COUNTIFS(Başvuru!$I:$I,Toplantı!$B$4,Başvuru!$D:$D,$A$122))</f>
        <v/>
      </c>
      <c r="C122" s="176" t="str">
        <f>IF($A122="","",COUNTIFS(Başvuru!$I:$I,Toplantı!$B$5,Başvuru!$D:$D,$A$122))</f>
        <v/>
      </c>
      <c r="D122" s="176" t="str">
        <f>IF($A122="","",COUNTIFS(Başvuru!$I:$I,Toplantı!$B$6,Başvuru!$D:$D,$A$122))</f>
        <v/>
      </c>
      <c r="E122" s="176" t="str">
        <f>IF($A122="","",COUNTIFS(Başvuru!$I:$I,Toplantı!$B$7,Başvuru!$D:$D,$A$122))</f>
        <v/>
      </c>
      <c r="F122" s="176" t="str">
        <f>IF($A122="","",COUNTIFS(Başvuru!$I:$I,Toplantı!$B$8,Başvuru!$D:$D,$A$122))</f>
        <v/>
      </c>
      <c r="G122" s="176" t="str">
        <f>IF($A122="","",COUNTIFS(Başvuru!$I:$I,Toplantı!$B$9,Başvuru!$D:$D,$A$122))</f>
        <v/>
      </c>
      <c r="H122" s="176" t="str">
        <f>IF($A122="","",COUNTIFS(Başvuru!$I:$I,Toplantı!$B$10,Başvuru!$D:$D,$A$122))</f>
        <v/>
      </c>
      <c r="I122" s="176" t="str">
        <f>IF($A122="","",COUNTIFS(Başvuru!$I:$I,Toplantı!$B$11,Başvuru!$D:$D,$A$122))</f>
        <v/>
      </c>
      <c r="J122" s="176" t="str">
        <f>IF($A122="","",COUNTIFS(Başvuru!$I:$I,Toplantı!$B$12,Başvuru!$D:$D,$A$122))</f>
        <v/>
      </c>
      <c r="K122" s="176" t="str">
        <f>IF($A122="","",COUNTIFS(Başvuru!$I:$I,Toplantı!$B$13,Başvuru!$D:$D,$A$122))</f>
        <v/>
      </c>
      <c r="L122" s="176" t="str">
        <f>IF($A122="","",COUNTIFS(Başvuru!$I:$I,Toplantı!$B$14,Başvuru!$D:$D,$A$122))</f>
        <v/>
      </c>
      <c r="M122" s="176" t="str">
        <f>IF($A122="","",COUNTIFS(Başvuru!$I:$I,Toplantı!$B$15,Başvuru!$D:$D,$A$122))</f>
        <v/>
      </c>
      <c r="N122" s="176" t="str">
        <f>IF($A122="","",COUNTIFS(Başvuru!$I:$I,Toplantı!$B$16,Başvuru!$D:$D,$A$122))</f>
        <v/>
      </c>
      <c r="O122" s="176" t="str">
        <f>IF($A122="","",COUNTIFS(Başvuru!$I:$I,Toplantı!$B$17,Başvuru!$D:$D,$A$122))</f>
        <v/>
      </c>
      <c r="P122" s="176" t="str">
        <f>IF($A122="","",COUNTIFS(Başvuru!$I:$I,Toplantı!$B$18,Başvuru!$D:$D,$A$122))</f>
        <v/>
      </c>
      <c r="Q122" s="176" t="str">
        <f>IF($A122="","",COUNTIFS(Başvuru!$I:$I,Toplantı!$B$19,Başvuru!$D:$D,$A$122))</f>
        <v/>
      </c>
      <c r="R122" s="176" t="str">
        <f>IF($A122="","",COUNTIFS(Başvuru!$I:$I,Toplantı!$B$20,Başvuru!$D:$D,$A$122))</f>
        <v/>
      </c>
      <c r="S122" s="177">
        <f t="shared" si="3"/>
        <v>0</v>
      </c>
    </row>
    <row r="123" spans="1:19" x14ac:dyDescent="0.25">
      <c r="A123" s="175" t="str">
        <f>IF(Birim!C125="","",Birim!C125)</f>
        <v/>
      </c>
      <c r="B123" s="176" t="str">
        <f>IF($A123="","",COUNTIFS(Başvuru!$I:$I,Toplantı!$B$4,Başvuru!$D:$D,$A$123))</f>
        <v/>
      </c>
      <c r="C123" s="176" t="str">
        <f>IF($A123="","",COUNTIFS(Başvuru!$I:$I,Toplantı!$B$5,Başvuru!$D:$D,$A$123))</f>
        <v/>
      </c>
      <c r="D123" s="176" t="str">
        <f>IF($A123="","",COUNTIFS(Başvuru!$I:$I,Toplantı!$B$6,Başvuru!$D:$D,$A$123))</f>
        <v/>
      </c>
      <c r="E123" s="176" t="str">
        <f>IF($A123="","",COUNTIFS(Başvuru!$I:$I,Toplantı!$B$7,Başvuru!$D:$D,$A$123))</f>
        <v/>
      </c>
      <c r="F123" s="176" t="str">
        <f>IF($A123="","",COUNTIFS(Başvuru!$I:$I,Toplantı!$B$8,Başvuru!$D:$D,$A$123))</f>
        <v/>
      </c>
      <c r="G123" s="176" t="str">
        <f>IF($A123="","",COUNTIFS(Başvuru!$I:$I,Toplantı!$B$9,Başvuru!$D:$D,$A$123))</f>
        <v/>
      </c>
      <c r="H123" s="176" t="str">
        <f>IF($A123="","",COUNTIFS(Başvuru!$I:$I,Toplantı!$B$10,Başvuru!$D:$D,$A$123))</f>
        <v/>
      </c>
      <c r="I123" s="176" t="str">
        <f>IF($A123="","",COUNTIFS(Başvuru!$I:$I,Toplantı!$B$11,Başvuru!$D:$D,$A$123))</f>
        <v/>
      </c>
      <c r="J123" s="176" t="str">
        <f>IF($A123="","",COUNTIFS(Başvuru!$I:$I,Toplantı!$B$12,Başvuru!$D:$D,$A$123))</f>
        <v/>
      </c>
      <c r="K123" s="176" t="str">
        <f>IF($A123="","",COUNTIFS(Başvuru!$I:$I,Toplantı!$B$13,Başvuru!$D:$D,$A$123))</f>
        <v/>
      </c>
      <c r="L123" s="176" t="str">
        <f>IF($A123="","",COUNTIFS(Başvuru!$I:$I,Toplantı!$B$14,Başvuru!$D:$D,$A$123))</f>
        <v/>
      </c>
      <c r="M123" s="176" t="str">
        <f>IF($A123="","",COUNTIFS(Başvuru!$I:$I,Toplantı!$B$15,Başvuru!$D:$D,$A$123))</f>
        <v/>
      </c>
      <c r="N123" s="176" t="str">
        <f>IF($A123="","",COUNTIFS(Başvuru!$I:$I,Toplantı!$B$16,Başvuru!$D:$D,$A$123))</f>
        <v/>
      </c>
      <c r="O123" s="176" t="str">
        <f>IF($A123="","",COUNTIFS(Başvuru!$I:$I,Toplantı!$B$17,Başvuru!$D:$D,$A$123))</f>
        <v/>
      </c>
      <c r="P123" s="176" t="str">
        <f>IF($A123="","",COUNTIFS(Başvuru!$I:$I,Toplantı!$B$18,Başvuru!$D:$D,$A$123))</f>
        <v/>
      </c>
      <c r="Q123" s="176" t="str">
        <f>IF($A123="","",COUNTIFS(Başvuru!$I:$I,Toplantı!$B$19,Başvuru!$D:$D,$A$123))</f>
        <v/>
      </c>
      <c r="R123" s="176" t="str">
        <f>IF($A123="","",COUNTIFS(Başvuru!$I:$I,Toplantı!$B$20,Başvuru!$D:$D,$A$123))</f>
        <v/>
      </c>
      <c r="S123" s="177">
        <f t="shared" si="3"/>
        <v>0</v>
      </c>
    </row>
    <row r="124" spans="1:19" x14ac:dyDescent="0.25">
      <c r="A124" s="175" t="str">
        <f>IF(Birim!C126="","",Birim!C126)</f>
        <v/>
      </c>
      <c r="B124" s="176" t="str">
        <f>IF($A124="","",COUNTIFS(Başvuru!$I:$I,Toplantı!$B$4,Başvuru!$D:$D,$A$124))</f>
        <v/>
      </c>
      <c r="C124" s="176" t="str">
        <f>IF($A124="","",COUNTIFS(Başvuru!$I:$I,Toplantı!$B$5,Başvuru!$D:$D,$A$124))</f>
        <v/>
      </c>
      <c r="D124" s="176" t="str">
        <f>IF($A124="","",COUNTIFS(Başvuru!$I:$I,Toplantı!$B$6,Başvuru!$D:$D,$A$124))</f>
        <v/>
      </c>
      <c r="E124" s="176" t="str">
        <f>IF($A124="","",COUNTIFS(Başvuru!$I:$I,Toplantı!$B$7,Başvuru!$D:$D,$A$124))</f>
        <v/>
      </c>
      <c r="F124" s="176" t="str">
        <f>IF($A124="","",COUNTIFS(Başvuru!$I:$I,Toplantı!$B$8,Başvuru!$D:$D,$A$124))</f>
        <v/>
      </c>
      <c r="G124" s="176" t="str">
        <f>IF($A124="","",COUNTIFS(Başvuru!$I:$I,Toplantı!$B$9,Başvuru!$D:$D,$A$124))</f>
        <v/>
      </c>
      <c r="H124" s="176" t="str">
        <f>IF($A124="","",COUNTIFS(Başvuru!$I:$I,Toplantı!$B$10,Başvuru!$D:$D,$A$124))</f>
        <v/>
      </c>
      <c r="I124" s="176" t="str">
        <f>IF($A124="","",COUNTIFS(Başvuru!$I:$I,Toplantı!$B$11,Başvuru!$D:$D,$A$124))</f>
        <v/>
      </c>
      <c r="J124" s="176" t="str">
        <f>IF($A124="","",COUNTIFS(Başvuru!$I:$I,Toplantı!$B$12,Başvuru!$D:$D,$A$124))</f>
        <v/>
      </c>
      <c r="K124" s="176" t="str">
        <f>IF($A124="","",COUNTIFS(Başvuru!$I:$I,Toplantı!$B$13,Başvuru!$D:$D,$A$124))</f>
        <v/>
      </c>
      <c r="L124" s="176" t="str">
        <f>IF($A124="","",COUNTIFS(Başvuru!$I:$I,Toplantı!$B$14,Başvuru!$D:$D,$A$124))</f>
        <v/>
      </c>
      <c r="M124" s="176" t="str">
        <f>IF($A124="","",COUNTIFS(Başvuru!$I:$I,Toplantı!$B$15,Başvuru!$D:$D,$A$124))</f>
        <v/>
      </c>
      <c r="N124" s="176" t="str">
        <f>IF($A124="","",COUNTIFS(Başvuru!$I:$I,Toplantı!$B$16,Başvuru!$D:$D,$A$124))</f>
        <v/>
      </c>
      <c r="O124" s="176" t="str">
        <f>IF($A124="","",COUNTIFS(Başvuru!$I:$I,Toplantı!$B$17,Başvuru!$D:$D,$A$124))</f>
        <v/>
      </c>
      <c r="P124" s="176" t="str">
        <f>IF($A124="","",COUNTIFS(Başvuru!$I:$I,Toplantı!$B$18,Başvuru!$D:$D,$A$124))</f>
        <v/>
      </c>
      <c r="Q124" s="176" t="str">
        <f>IF($A124="","",COUNTIFS(Başvuru!$I:$I,Toplantı!$B$19,Başvuru!$D:$D,$A$124))</f>
        <v/>
      </c>
      <c r="R124" s="176" t="str">
        <f>IF($A124="","",COUNTIFS(Başvuru!$I:$I,Toplantı!$B$20,Başvuru!$D:$D,$A$124))</f>
        <v/>
      </c>
      <c r="S124" s="177">
        <f t="shared" si="3"/>
        <v>0</v>
      </c>
    </row>
    <row r="125" spans="1:19" x14ac:dyDescent="0.25">
      <c r="A125" s="175" t="str">
        <f>IF(Birim!C127="","",Birim!C127)</f>
        <v/>
      </c>
      <c r="B125" s="176" t="str">
        <f>IF($A125="","",COUNTIFS(Başvuru!$I:$I,Toplantı!$B$4,Başvuru!$D:$D,$A$125))</f>
        <v/>
      </c>
      <c r="C125" s="176" t="str">
        <f>IF($A125="","",COUNTIFS(Başvuru!$I:$I,Toplantı!$B$5,Başvuru!$D:$D,$A$125))</f>
        <v/>
      </c>
      <c r="D125" s="176" t="str">
        <f>IF($A125="","",COUNTIFS(Başvuru!$I:$I,Toplantı!$B$6,Başvuru!$D:$D,$A$125))</f>
        <v/>
      </c>
      <c r="E125" s="176" t="str">
        <f>IF($A125="","",COUNTIFS(Başvuru!$I:$I,Toplantı!$B$7,Başvuru!$D:$D,$A$125))</f>
        <v/>
      </c>
      <c r="F125" s="176" t="str">
        <f>IF($A125="","",COUNTIFS(Başvuru!$I:$I,Toplantı!$B$8,Başvuru!$D:$D,$A$125))</f>
        <v/>
      </c>
      <c r="G125" s="176" t="str">
        <f>IF($A125="","",COUNTIFS(Başvuru!$I:$I,Toplantı!$B$9,Başvuru!$D:$D,$A$125))</f>
        <v/>
      </c>
      <c r="H125" s="176" t="str">
        <f>IF($A125="","",COUNTIFS(Başvuru!$I:$I,Toplantı!$B$10,Başvuru!$D:$D,$A$125))</f>
        <v/>
      </c>
      <c r="I125" s="176" t="str">
        <f>IF($A125="","",COUNTIFS(Başvuru!$I:$I,Toplantı!$B$11,Başvuru!$D:$D,$A$125))</f>
        <v/>
      </c>
      <c r="J125" s="176" t="str">
        <f>IF($A125="","",COUNTIFS(Başvuru!$I:$I,Toplantı!$B$12,Başvuru!$D:$D,$A$125))</f>
        <v/>
      </c>
      <c r="K125" s="176" t="str">
        <f>IF($A125="","",COUNTIFS(Başvuru!$I:$I,Toplantı!$B$13,Başvuru!$D:$D,$A$125))</f>
        <v/>
      </c>
      <c r="L125" s="176" t="str">
        <f>IF($A125="","",COUNTIFS(Başvuru!$I:$I,Toplantı!$B$14,Başvuru!$D:$D,$A$125))</f>
        <v/>
      </c>
      <c r="M125" s="176" t="str">
        <f>IF($A125="","",COUNTIFS(Başvuru!$I:$I,Toplantı!$B$15,Başvuru!$D:$D,$A$125))</f>
        <v/>
      </c>
      <c r="N125" s="176" t="str">
        <f>IF($A125="","",COUNTIFS(Başvuru!$I:$I,Toplantı!$B$16,Başvuru!$D:$D,$A$125))</f>
        <v/>
      </c>
      <c r="O125" s="176" t="str">
        <f>IF($A125="","",COUNTIFS(Başvuru!$I:$I,Toplantı!$B$17,Başvuru!$D:$D,$A$125))</f>
        <v/>
      </c>
      <c r="P125" s="176" t="str">
        <f>IF($A125="","",COUNTIFS(Başvuru!$I:$I,Toplantı!$B$18,Başvuru!$D:$D,$A$125))</f>
        <v/>
      </c>
      <c r="Q125" s="176" t="str">
        <f>IF($A125="","",COUNTIFS(Başvuru!$I:$I,Toplantı!$B$19,Başvuru!$D:$D,$A$125))</f>
        <v/>
      </c>
      <c r="R125" s="176" t="str">
        <f>IF($A125="","",COUNTIFS(Başvuru!$I:$I,Toplantı!$B$20,Başvuru!$D:$D,$A$125))</f>
        <v/>
      </c>
      <c r="S125" s="177">
        <f t="shared" si="3"/>
        <v>0</v>
      </c>
    </row>
    <row r="126" spans="1:19" x14ac:dyDescent="0.25">
      <c r="A126" s="175" t="str">
        <f>IF(Birim!C128="","",Birim!C128)</f>
        <v/>
      </c>
      <c r="B126" s="176" t="str">
        <f>IF($A126="","",COUNTIFS(Başvuru!$I:$I,Toplantı!$B$4,Başvuru!$D:$D,$A$126))</f>
        <v/>
      </c>
      <c r="C126" s="176" t="str">
        <f>IF($A126="","",COUNTIFS(Başvuru!$I:$I,Toplantı!$B$5,Başvuru!$D:$D,$A$126))</f>
        <v/>
      </c>
      <c r="D126" s="176" t="str">
        <f>IF($A126="","",COUNTIFS(Başvuru!$I:$I,Toplantı!$B$6,Başvuru!$D:$D,$A$126))</f>
        <v/>
      </c>
      <c r="E126" s="176" t="str">
        <f>IF($A126="","",COUNTIFS(Başvuru!$I:$I,Toplantı!$B$7,Başvuru!$D:$D,$A$126))</f>
        <v/>
      </c>
      <c r="F126" s="176" t="str">
        <f>IF($A126="","",COUNTIFS(Başvuru!$I:$I,Toplantı!$B$8,Başvuru!$D:$D,$A$126))</f>
        <v/>
      </c>
      <c r="G126" s="176" t="str">
        <f>IF($A126="","",COUNTIFS(Başvuru!$I:$I,Toplantı!$B$9,Başvuru!$D:$D,$A$126))</f>
        <v/>
      </c>
      <c r="H126" s="176" t="str">
        <f>IF($A126="","",COUNTIFS(Başvuru!$I:$I,Toplantı!$B$10,Başvuru!$D:$D,$A$126))</f>
        <v/>
      </c>
      <c r="I126" s="176" t="str">
        <f>IF($A126="","",COUNTIFS(Başvuru!$I:$I,Toplantı!$B$11,Başvuru!$D:$D,$A$126))</f>
        <v/>
      </c>
      <c r="J126" s="176" t="str">
        <f>IF($A126="","",COUNTIFS(Başvuru!$I:$I,Toplantı!$B$12,Başvuru!$D:$D,$A$126))</f>
        <v/>
      </c>
      <c r="K126" s="176" t="str">
        <f>IF($A126="","",COUNTIFS(Başvuru!$I:$I,Toplantı!$B$13,Başvuru!$D:$D,$A$126))</f>
        <v/>
      </c>
      <c r="L126" s="176" t="str">
        <f>IF($A126="","",COUNTIFS(Başvuru!$I:$I,Toplantı!$B$14,Başvuru!$D:$D,$A$126))</f>
        <v/>
      </c>
      <c r="M126" s="176" t="str">
        <f>IF($A126="","",COUNTIFS(Başvuru!$I:$I,Toplantı!$B$15,Başvuru!$D:$D,$A$126))</f>
        <v/>
      </c>
      <c r="N126" s="176" t="str">
        <f>IF($A126="","",COUNTIFS(Başvuru!$I:$I,Toplantı!$B$16,Başvuru!$D:$D,$A$126))</f>
        <v/>
      </c>
      <c r="O126" s="176" t="str">
        <f>IF($A126="","",COUNTIFS(Başvuru!$I:$I,Toplantı!$B$17,Başvuru!$D:$D,$A$126))</f>
        <v/>
      </c>
      <c r="P126" s="176" t="str">
        <f>IF($A126="","",COUNTIFS(Başvuru!$I:$I,Toplantı!$B$18,Başvuru!$D:$D,$A$126))</f>
        <v/>
      </c>
      <c r="Q126" s="176" t="str">
        <f>IF($A126="","",COUNTIFS(Başvuru!$I:$I,Toplantı!$B$19,Başvuru!$D:$D,$A$126))</f>
        <v/>
      </c>
      <c r="R126" s="176" t="str">
        <f>IF($A126="","",COUNTIFS(Başvuru!$I:$I,Toplantı!$B$20,Başvuru!$D:$D,$A$126))</f>
        <v/>
      </c>
      <c r="S126" s="177">
        <f t="shared" si="3"/>
        <v>0</v>
      </c>
    </row>
    <row r="127" spans="1:19" x14ac:dyDescent="0.25">
      <c r="A127" s="175" t="str">
        <f>IF(Birim!C129="","",Birim!C129)</f>
        <v/>
      </c>
      <c r="B127" s="176" t="str">
        <f>IF($A127="","",COUNTIFS(Başvuru!$I:$I,Toplantı!$B$4,Başvuru!$D:$D,$A$127))</f>
        <v/>
      </c>
      <c r="C127" s="176" t="str">
        <f>IF($A127="","",COUNTIFS(Başvuru!$I:$I,Toplantı!$B$5,Başvuru!$D:$D,$A$127))</f>
        <v/>
      </c>
      <c r="D127" s="176" t="str">
        <f>IF($A127="","",COUNTIFS(Başvuru!$I:$I,Toplantı!$B$6,Başvuru!$D:$D,$A$127))</f>
        <v/>
      </c>
      <c r="E127" s="176" t="str">
        <f>IF($A127="","",COUNTIFS(Başvuru!$I:$I,Toplantı!$B$7,Başvuru!$D:$D,$A$127))</f>
        <v/>
      </c>
      <c r="F127" s="176" t="str">
        <f>IF($A127="","",COUNTIFS(Başvuru!$I:$I,Toplantı!$B$8,Başvuru!$D:$D,$A$127))</f>
        <v/>
      </c>
      <c r="G127" s="176" t="str">
        <f>IF($A127="","",COUNTIFS(Başvuru!$I:$I,Toplantı!$B$9,Başvuru!$D:$D,$A$127))</f>
        <v/>
      </c>
      <c r="H127" s="176" t="str">
        <f>IF($A127="","",COUNTIFS(Başvuru!$I:$I,Toplantı!$B$10,Başvuru!$D:$D,$A$127))</f>
        <v/>
      </c>
      <c r="I127" s="176" t="str">
        <f>IF($A127="","",COUNTIFS(Başvuru!$I:$I,Toplantı!$B$11,Başvuru!$D:$D,$A$127))</f>
        <v/>
      </c>
      <c r="J127" s="176" t="str">
        <f>IF($A127="","",COUNTIFS(Başvuru!$I:$I,Toplantı!$B$12,Başvuru!$D:$D,$A$127))</f>
        <v/>
      </c>
      <c r="K127" s="176" t="str">
        <f>IF($A127="","",COUNTIFS(Başvuru!$I:$I,Toplantı!$B$13,Başvuru!$D:$D,$A$127))</f>
        <v/>
      </c>
      <c r="L127" s="176" t="str">
        <f>IF($A127="","",COUNTIFS(Başvuru!$I:$I,Toplantı!$B$14,Başvuru!$D:$D,$A$127))</f>
        <v/>
      </c>
      <c r="M127" s="176" t="str">
        <f>IF($A127="","",COUNTIFS(Başvuru!$I:$I,Toplantı!$B$15,Başvuru!$D:$D,$A$127))</f>
        <v/>
      </c>
      <c r="N127" s="176" t="str">
        <f>IF($A127="","",COUNTIFS(Başvuru!$I:$I,Toplantı!$B$16,Başvuru!$D:$D,$A$127))</f>
        <v/>
      </c>
      <c r="O127" s="176" t="str">
        <f>IF($A127="","",COUNTIFS(Başvuru!$I:$I,Toplantı!$B$17,Başvuru!$D:$D,$A$127))</f>
        <v/>
      </c>
      <c r="P127" s="176" t="str">
        <f>IF($A127="","",COUNTIFS(Başvuru!$I:$I,Toplantı!$B$18,Başvuru!$D:$D,$A$127))</f>
        <v/>
      </c>
      <c r="Q127" s="176" t="str">
        <f>IF($A127="","",COUNTIFS(Başvuru!$I:$I,Toplantı!$B$19,Başvuru!$D:$D,$A$127))</f>
        <v/>
      </c>
      <c r="R127" s="176" t="str">
        <f>IF($A127="","",COUNTIFS(Başvuru!$I:$I,Toplantı!$B$20,Başvuru!$D:$D,$A$127))</f>
        <v/>
      </c>
      <c r="S127" s="177">
        <f t="shared" si="3"/>
        <v>0</v>
      </c>
    </row>
    <row r="128" spans="1:19" x14ac:dyDescent="0.25">
      <c r="A128" s="175" t="str">
        <f>IF(Birim!C130="","",Birim!C130)</f>
        <v/>
      </c>
      <c r="B128" s="176" t="str">
        <f>IF($A128="","",COUNTIFS(Başvuru!$I:$I,Toplantı!$B$4,Başvuru!$D:$D,$A$128))</f>
        <v/>
      </c>
      <c r="C128" s="176" t="str">
        <f>IF($A128="","",COUNTIFS(Başvuru!$I:$I,Toplantı!$B$5,Başvuru!$D:$D,$A$128))</f>
        <v/>
      </c>
      <c r="D128" s="176" t="str">
        <f>IF($A128="","",COUNTIFS(Başvuru!$I:$I,Toplantı!$B$6,Başvuru!$D:$D,$A$128))</f>
        <v/>
      </c>
      <c r="E128" s="176" t="str">
        <f>IF($A128="","",COUNTIFS(Başvuru!$I:$I,Toplantı!$B$7,Başvuru!$D:$D,$A$128))</f>
        <v/>
      </c>
      <c r="F128" s="176" t="str">
        <f>IF($A128="","",COUNTIFS(Başvuru!$I:$I,Toplantı!$B$8,Başvuru!$D:$D,$A$128))</f>
        <v/>
      </c>
      <c r="G128" s="176" t="str">
        <f>IF($A128="","",COUNTIFS(Başvuru!$I:$I,Toplantı!$B$9,Başvuru!$D:$D,$A$128))</f>
        <v/>
      </c>
      <c r="H128" s="176" t="str">
        <f>IF($A128="","",COUNTIFS(Başvuru!$I:$I,Toplantı!$B$10,Başvuru!$D:$D,$A$128))</f>
        <v/>
      </c>
      <c r="I128" s="176" t="str">
        <f>IF($A128="","",COUNTIFS(Başvuru!$I:$I,Toplantı!$B$11,Başvuru!$D:$D,$A$128))</f>
        <v/>
      </c>
      <c r="J128" s="176" t="str">
        <f>IF($A128="","",COUNTIFS(Başvuru!$I:$I,Toplantı!$B$12,Başvuru!$D:$D,$A$128))</f>
        <v/>
      </c>
      <c r="K128" s="176" t="str">
        <f>IF($A128="","",COUNTIFS(Başvuru!$I:$I,Toplantı!$B$13,Başvuru!$D:$D,$A$128))</f>
        <v/>
      </c>
      <c r="L128" s="176" t="str">
        <f>IF($A128="","",COUNTIFS(Başvuru!$I:$I,Toplantı!$B$14,Başvuru!$D:$D,$A$128))</f>
        <v/>
      </c>
      <c r="M128" s="176" t="str">
        <f>IF($A128="","",COUNTIFS(Başvuru!$I:$I,Toplantı!$B$15,Başvuru!$D:$D,$A$128))</f>
        <v/>
      </c>
      <c r="N128" s="176" t="str">
        <f>IF($A128="","",COUNTIFS(Başvuru!$I:$I,Toplantı!$B$16,Başvuru!$D:$D,$A$128))</f>
        <v/>
      </c>
      <c r="O128" s="176" t="str">
        <f>IF($A128="","",COUNTIFS(Başvuru!$I:$I,Toplantı!$B$17,Başvuru!$D:$D,$A$128))</f>
        <v/>
      </c>
      <c r="P128" s="176" t="str">
        <f>IF($A128="","",COUNTIFS(Başvuru!$I:$I,Toplantı!$B$18,Başvuru!$D:$D,$A$128))</f>
        <v/>
      </c>
      <c r="Q128" s="176" t="str">
        <f>IF($A128="","",COUNTIFS(Başvuru!$I:$I,Toplantı!$B$19,Başvuru!$D:$D,$A$128))</f>
        <v/>
      </c>
      <c r="R128" s="176" t="str">
        <f>IF($A128="","",COUNTIFS(Başvuru!$I:$I,Toplantı!$B$20,Başvuru!$D:$D,$A$128))</f>
        <v/>
      </c>
      <c r="S128" s="177">
        <f t="shared" si="3"/>
        <v>0</v>
      </c>
    </row>
    <row r="129" spans="1:19" x14ac:dyDescent="0.25">
      <c r="A129" s="175" t="str">
        <f>IF(Birim!C131="","",Birim!C131)</f>
        <v/>
      </c>
      <c r="B129" s="176" t="str">
        <f>IF($A129="","",COUNTIFS(Başvuru!$I:$I,Toplantı!$B$4,Başvuru!$D:$D,$A$129))</f>
        <v/>
      </c>
      <c r="C129" s="176" t="str">
        <f>IF($A129="","",COUNTIFS(Başvuru!$I:$I,Toplantı!$B$5,Başvuru!$D:$D,$A$129))</f>
        <v/>
      </c>
      <c r="D129" s="176" t="str">
        <f>IF($A129="","",COUNTIFS(Başvuru!$I:$I,Toplantı!$B$6,Başvuru!$D:$D,$A$129))</f>
        <v/>
      </c>
      <c r="E129" s="176" t="str">
        <f>IF($A129="","",COUNTIFS(Başvuru!$I:$I,Toplantı!$B$7,Başvuru!$D:$D,$A$129))</f>
        <v/>
      </c>
      <c r="F129" s="176" t="str">
        <f>IF($A129="","",COUNTIFS(Başvuru!$I:$I,Toplantı!$B$8,Başvuru!$D:$D,$A$129))</f>
        <v/>
      </c>
      <c r="G129" s="176" t="str">
        <f>IF($A129="","",COUNTIFS(Başvuru!$I:$I,Toplantı!$B$9,Başvuru!$D:$D,$A$129))</f>
        <v/>
      </c>
      <c r="H129" s="176" t="str">
        <f>IF($A129="","",COUNTIFS(Başvuru!$I:$I,Toplantı!$B$10,Başvuru!$D:$D,$A$129))</f>
        <v/>
      </c>
      <c r="I129" s="176" t="str">
        <f>IF($A129="","",COUNTIFS(Başvuru!$I:$I,Toplantı!$B$11,Başvuru!$D:$D,$A$129))</f>
        <v/>
      </c>
      <c r="J129" s="176" t="str">
        <f>IF($A129="","",COUNTIFS(Başvuru!$I:$I,Toplantı!$B$12,Başvuru!$D:$D,$A$129))</f>
        <v/>
      </c>
      <c r="K129" s="176" t="str">
        <f>IF($A129="","",COUNTIFS(Başvuru!$I:$I,Toplantı!$B$13,Başvuru!$D:$D,$A$129))</f>
        <v/>
      </c>
      <c r="L129" s="176" t="str">
        <f>IF($A129="","",COUNTIFS(Başvuru!$I:$I,Toplantı!$B$14,Başvuru!$D:$D,$A$129))</f>
        <v/>
      </c>
      <c r="M129" s="176" t="str">
        <f>IF($A129="","",COUNTIFS(Başvuru!$I:$I,Toplantı!$B$15,Başvuru!$D:$D,$A$129))</f>
        <v/>
      </c>
      <c r="N129" s="176" t="str">
        <f>IF($A129="","",COUNTIFS(Başvuru!$I:$I,Toplantı!$B$16,Başvuru!$D:$D,$A$129))</f>
        <v/>
      </c>
      <c r="O129" s="176" t="str">
        <f>IF($A129="","",COUNTIFS(Başvuru!$I:$I,Toplantı!$B$17,Başvuru!$D:$D,$A$129))</f>
        <v/>
      </c>
      <c r="P129" s="176" t="str">
        <f>IF($A129="","",COUNTIFS(Başvuru!$I:$I,Toplantı!$B$18,Başvuru!$D:$D,$A$129))</f>
        <v/>
      </c>
      <c r="Q129" s="176" t="str">
        <f>IF($A129="","",COUNTIFS(Başvuru!$I:$I,Toplantı!$B$19,Başvuru!$D:$D,$A$129))</f>
        <v/>
      </c>
      <c r="R129" s="176" t="str">
        <f>IF($A129="","",COUNTIFS(Başvuru!$I:$I,Toplantı!$B$20,Başvuru!$D:$D,$A$129))</f>
        <v/>
      </c>
      <c r="S129" s="177">
        <f t="shared" si="3"/>
        <v>0</v>
      </c>
    </row>
    <row r="130" spans="1:19" x14ac:dyDescent="0.25">
      <c r="A130" s="175" t="str">
        <f>IF(Birim!C132="","",Birim!C132)</f>
        <v/>
      </c>
      <c r="B130" s="176" t="str">
        <f>IF($A130="","",COUNTIFS(Başvuru!$I:$I,Toplantı!$B$4,Başvuru!$D:$D,$A$130))</f>
        <v/>
      </c>
      <c r="C130" s="176" t="str">
        <f>IF($A130="","",COUNTIFS(Başvuru!$I:$I,Toplantı!$B$5,Başvuru!$D:$D,$A$130))</f>
        <v/>
      </c>
      <c r="D130" s="176" t="str">
        <f>IF($A130="","",COUNTIFS(Başvuru!$I:$I,Toplantı!$B$6,Başvuru!$D:$D,$A$130))</f>
        <v/>
      </c>
      <c r="E130" s="176" t="str">
        <f>IF($A130="","",COUNTIFS(Başvuru!$I:$I,Toplantı!$B$7,Başvuru!$D:$D,$A$130))</f>
        <v/>
      </c>
      <c r="F130" s="176" t="str">
        <f>IF($A130="","",COUNTIFS(Başvuru!$I:$I,Toplantı!$B$8,Başvuru!$D:$D,$A$130))</f>
        <v/>
      </c>
      <c r="G130" s="176" t="str">
        <f>IF($A130="","",COUNTIFS(Başvuru!$I:$I,Toplantı!$B$9,Başvuru!$D:$D,$A$130))</f>
        <v/>
      </c>
      <c r="H130" s="176" t="str">
        <f>IF($A130="","",COUNTIFS(Başvuru!$I:$I,Toplantı!$B$10,Başvuru!$D:$D,$A$130))</f>
        <v/>
      </c>
      <c r="I130" s="176" t="str">
        <f>IF($A130="","",COUNTIFS(Başvuru!$I:$I,Toplantı!$B$11,Başvuru!$D:$D,$A$130))</f>
        <v/>
      </c>
      <c r="J130" s="176" t="str">
        <f>IF($A130="","",COUNTIFS(Başvuru!$I:$I,Toplantı!$B$12,Başvuru!$D:$D,$A$130))</f>
        <v/>
      </c>
      <c r="K130" s="176" t="str">
        <f>IF($A130="","",COUNTIFS(Başvuru!$I:$I,Toplantı!$B$13,Başvuru!$D:$D,$A$130))</f>
        <v/>
      </c>
      <c r="L130" s="176" t="str">
        <f>IF($A130="","",COUNTIFS(Başvuru!$I:$I,Toplantı!$B$14,Başvuru!$D:$D,$A$130))</f>
        <v/>
      </c>
      <c r="M130" s="176" t="str">
        <f>IF($A130="","",COUNTIFS(Başvuru!$I:$I,Toplantı!$B$15,Başvuru!$D:$D,$A$130))</f>
        <v/>
      </c>
      <c r="N130" s="176" t="str">
        <f>IF($A130="","",COUNTIFS(Başvuru!$I:$I,Toplantı!$B$16,Başvuru!$D:$D,$A$130))</f>
        <v/>
      </c>
      <c r="O130" s="176" t="str">
        <f>IF($A130="","",COUNTIFS(Başvuru!$I:$I,Toplantı!$B$17,Başvuru!$D:$D,$A$130))</f>
        <v/>
      </c>
      <c r="P130" s="176" t="str">
        <f>IF($A130="","",COUNTIFS(Başvuru!$I:$I,Toplantı!$B$18,Başvuru!$D:$D,$A$130))</f>
        <v/>
      </c>
      <c r="Q130" s="176" t="str">
        <f>IF($A130="","",COUNTIFS(Başvuru!$I:$I,Toplantı!$B$19,Başvuru!$D:$D,$A$130))</f>
        <v/>
      </c>
      <c r="R130" s="176" t="str">
        <f>IF($A130="","",COUNTIFS(Başvuru!$I:$I,Toplantı!$B$20,Başvuru!$D:$D,$A$130))</f>
        <v/>
      </c>
      <c r="S130" s="177">
        <f t="shared" si="3"/>
        <v>0</v>
      </c>
    </row>
    <row r="131" spans="1:19" x14ac:dyDescent="0.25">
      <c r="A131" s="175" t="str">
        <f>IF(Birim!C133="","",Birim!C133)</f>
        <v/>
      </c>
      <c r="B131" s="176" t="str">
        <f>IF($A131="","",COUNTIFS(Başvuru!$I:$I,Toplantı!$B$4,Başvuru!$D:$D,$A$131))</f>
        <v/>
      </c>
      <c r="C131" s="176" t="str">
        <f>IF($A131="","",COUNTIFS(Başvuru!$I:$I,Toplantı!$B$5,Başvuru!$D:$D,$A$131))</f>
        <v/>
      </c>
      <c r="D131" s="176" t="str">
        <f>IF($A131="","",COUNTIFS(Başvuru!$I:$I,Toplantı!$B$6,Başvuru!$D:$D,$A$131))</f>
        <v/>
      </c>
      <c r="E131" s="176" t="str">
        <f>IF($A131="","",COUNTIFS(Başvuru!$I:$I,Toplantı!$B$7,Başvuru!$D:$D,$A$131))</f>
        <v/>
      </c>
      <c r="F131" s="176" t="str">
        <f>IF($A131="","",COUNTIFS(Başvuru!$I:$I,Toplantı!$B$8,Başvuru!$D:$D,$A$131))</f>
        <v/>
      </c>
      <c r="G131" s="176" t="str">
        <f>IF($A131="","",COUNTIFS(Başvuru!$I:$I,Toplantı!$B$9,Başvuru!$D:$D,$A$131))</f>
        <v/>
      </c>
      <c r="H131" s="176" t="str">
        <f>IF($A131="","",COUNTIFS(Başvuru!$I:$I,Toplantı!$B$10,Başvuru!$D:$D,$A$131))</f>
        <v/>
      </c>
      <c r="I131" s="176" t="str">
        <f>IF($A131="","",COUNTIFS(Başvuru!$I:$I,Toplantı!$B$11,Başvuru!$D:$D,$A$131))</f>
        <v/>
      </c>
      <c r="J131" s="176" t="str">
        <f>IF($A131="","",COUNTIFS(Başvuru!$I:$I,Toplantı!$B$12,Başvuru!$D:$D,$A$131))</f>
        <v/>
      </c>
      <c r="K131" s="176" t="str">
        <f>IF($A131="","",COUNTIFS(Başvuru!$I:$I,Toplantı!$B$13,Başvuru!$D:$D,$A$131))</f>
        <v/>
      </c>
      <c r="L131" s="176" t="str">
        <f>IF($A131="","",COUNTIFS(Başvuru!$I:$I,Toplantı!$B$14,Başvuru!$D:$D,$A$131))</f>
        <v/>
      </c>
      <c r="M131" s="176" t="str">
        <f>IF($A131="","",COUNTIFS(Başvuru!$I:$I,Toplantı!$B$15,Başvuru!$D:$D,$A$131))</f>
        <v/>
      </c>
      <c r="N131" s="176" t="str">
        <f>IF($A131="","",COUNTIFS(Başvuru!$I:$I,Toplantı!$B$16,Başvuru!$D:$D,$A$131))</f>
        <v/>
      </c>
      <c r="O131" s="176" t="str">
        <f>IF($A131="","",COUNTIFS(Başvuru!$I:$I,Toplantı!$B$17,Başvuru!$D:$D,$A$131))</f>
        <v/>
      </c>
      <c r="P131" s="176" t="str">
        <f>IF($A131="","",COUNTIFS(Başvuru!$I:$I,Toplantı!$B$18,Başvuru!$D:$D,$A$131))</f>
        <v/>
      </c>
      <c r="Q131" s="176" t="str">
        <f>IF($A131="","",COUNTIFS(Başvuru!$I:$I,Toplantı!$B$19,Başvuru!$D:$D,$A$131))</f>
        <v/>
      </c>
      <c r="R131" s="176" t="str">
        <f>IF($A131="","",COUNTIFS(Başvuru!$I:$I,Toplantı!$B$20,Başvuru!$D:$D,$A$131))</f>
        <v/>
      </c>
      <c r="S131" s="177">
        <f t="shared" si="3"/>
        <v>0</v>
      </c>
    </row>
    <row r="132" spans="1:19" x14ac:dyDescent="0.25">
      <c r="A132" s="175" t="str">
        <f>IF(Birim!C134="","",Birim!C134)</f>
        <v/>
      </c>
      <c r="B132" s="176" t="str">
        <f>IF($A132="","",COUNTIFS(Başvuru!$I:$I,Toplantı!$B$4,Başvuru!$D:$D,$A$132))</f>
        <v/>
      </c>
      <c r="C132" s="176" t="str">
        <f>IF($A132="","",COUNTIFS(Başvuru!$I:$I,Toplantı!$B$5,Başvuru!$D:$D,$A$132))</f>
        <v/>
      </c>
      <c r="D132" s="176" t="str">
        <f>IF($A132="","",COUNTIFS(Başvuru!$I:$I,Toplantı!$B$6,Başvuru!$D:$D,$A$132))</f>
        <v/>
      </c>
      <c r="E132" s="176" t="str">
        <f>IF($A132="","",COUNTIFS(Başvuru!$I:$I,Toplantı!$B$7,Başvuru!$D:$D,$A$132))</f>
        <v/>
      </c>
      <c r="F132" s="176" t="str">
        <f>IF($A132="","",COUNTIFS(Başvuru!$I:$I,Toplantı!$B$8,Başvuru!$D:$D,$A$132))</f>
        <v/>
      </c>
      <c r="G132" s="176" t="str">
        <f>IF($A132="","",COUNTIFS(Başvuru!$I:$I,Toplantı!$B$9,Başvuru!$D:$D,$A$132))</f>
        <v/>
      </c>
      <c r="H132" s="176" t="str">
        <f>IF($A132="","",COUNTIFS(Başvuru!$I:$I,Toplantı!$B$10,Başvuru!$D:$D,$A$132))</f>
        <v/>
      </c>
      <c r="I132" s="176" t="str">
        <f>IF($A132="","",COUNTIFS(Başvuru!$I:$I,Toplantı!$B$11,Başvuru!$D:$D,$A$132))</f>
        <v/>
      </c>
      <c r="J132" s="176" t="str">
        <f>IF($A132="","",COUNTIFS(Başvuru!$I:$I,Toplantı!$B$12,Başvuru!$D:$D,$A$132))</f>
        <v/>
      </c>
      <c r="K132" s="176" t="str">
        <f>IF($A132="","",COUNTIFS(Başvuru!$I:$I,Toplantı!$B$13,Başvuru!$D:$D,$A$132))</f>
        <v/>
      </c>
      <c r="L132" s="176" t="str">
        <f>IF($A132="","",COUNTIFS(Başvuru!$I:$I,Toplantı!$B$14,Başvuru!$D:$D,$A$132))</f>
        <v/>
      </c>
      <c r="M132" s="176" t="str">
        <f>IF($A132="","",COUNTIFS(Başvuru!$I:$I,Toplantı!$B$15,Başvuru!$D:$D,$A$132))</f>
        <v/>
      </c>
      <c r="N132" s="176" t="str">
        <f>IF($A132="","",COUNTIFS(Başvuru!$I:$I,Toplantı!$B$16,Başvuru!$D:$D,$A$132))</f>
        <v/>
      </c>
      <c r="O132" s="176" t="str">
        <f>IF($A132="","",COUNTIFS(Başvuru!$I:$I,Toplantı!$B$17,Başvuru!$D:$D,$A$132))</f>
        <v/>
      </c>
      <c r="P132" s="176" t="str">
        <f>IF($A132="","",COUNTIFS(Başvuru!$I:$I,Toplantı!$B$18,Başvuru!$D:$D,$A$132))</f>
        <v/>
      </c>
      <c r="Q132" s="176" t="str">
        <f>IF($A132="","",COUNTIFS(Başvuru!$I:$I,Toplantı!$B$19,Başvuru!$D:$D,$A$132))</f>
        <v/>
      </c>
      <c r="R132" s="176" t="str">
        <f>IF($A132="","",COUNTIFS(Başvuru!$I:$I,Toplantı!$B$20,Başvuru!$D:$D,$A$132))</f>
        <v/>
      </c>
      <c r="S132" s="177">
        <f t="shared" ref="S132:S153" si="4">SUM(B132:R132)</f>
        <v>0</v>
      </c>
    </row>
    <row r="133" spans="1:19" x14ac:dyDescent="0.25">
      <c r="A133" s="175" t="str">
        <f>IF(Birim!C135="","",Birim!C135)</f>
        <v/>
      </c>
      <c r="B133" s="176" t="str">
        <f>IF($A133="","",COUNTIFS(Başvuru!$I:$I,Toplantı!$B$4,Başvuru!$D:$D,$A$133))</f>
        <v/>
      </c>
      <c r="C133" s="176" t="str">
        <f>IF($A133="","",COUNTIFS(Başvuru!$I:$I,Toplantı!$B$5,Başvuru!$D:$D,$A$133))</f>
        <v/>
      </c>
      <c r="D133" s="176" t="str">
        <f>IF($A133="","",COUNTIFS(Başvuru!$I:$I,Toplantı!$B$6,Başvuru!$D:$D,$A$133))</f>
        <v/>
      </c>
      <c r="E133" s="176" t="str">
        <f>IF($A133="","",COUNTIFS(Başvuru!$I:$I,Toplantı!$B$7,Başvuru!$D:$D,$A$133))</f>
        <v/>
      </c>
      <c r="F133" s="176" t="str">
        <f>IF($A133="","",COUNTIFS(Başvuru!$I:$I,Toplantı!$B$8,Başvuru!$D:$D,$A$133))</f>
        <v/>
      </c>
      <c r="G133" s="176" t="str">
        <f>IF($A133="","",COUNTIFS(Başvuru!$I:$I,Toplantı!$B$9,Başvuru!$D:$D,$A$133))</f>
        <v/>
      </c>
      <c r="H133" s="176" t="str">
        <f>IF($A133="","",COUNTIFS(Başvuru!$I:$I,Toplantı!$B$10,Başvuru!$D:$D,$A$133))</f>
        <v/>
      </c>
      <c r="I133" s="176" t="str">
        <f>IF($A133="","",COUNTIFS(Başvuru!$I:$I,Toplantı!$B$11,Başvuru!$D:$D,$A$133))</f>
        <v/>
      </c>
      <c r="J133" s="176" t="str">
        <f>IF($A133="","",COUNTIFS(Başvuru!$I:$I,Toplantı!$B$12,Başvuru!$D:$D,$A$133))</f>
        <v/>
      </c>
      <c r="K133" s="176" t="str">
        <f>IF($A133="","",COUNTIFS(Başvuru!$I:$I,Toplantı!$B$13,Başvuru!$D:$D,$A$133))</f>
        <v/>
      </c>
      <c r="L133" s="176" t="str">
        <f>IF($A133="","",COUNTIFS(Başvuru!$I:$I,Toplantı!$B$14,Başvuru!$D:$D,$A$133))</f>
        <v/>
      </c>
      <c r="M133" s="176" t="str">
        <f>IF($A133="","",COUNTIFS(Başvuru!$I:$I,Toplantı!$B$15,Başvuru!$D:$D,$A$133))</f>
        <v/>
      </c>
      <c r="N133" s="176" t="str">
        <f>IF($A133="","",COUNTIFS(Başvuru!$I:$I,Toplantı!$B$16,Başvuru!$D:$D,$A$133))</f>
        <v/>
      </c>
      <c r="O133" s="176" t="str">
        <f>IF($A133="","",COUNTIFS(Başvuru!$I:$I,Toplantı!$B$17,Başvuru!$D:$D,$A$133))</f>
        <v/>
      </c>
      <c r="P133" s="176" t="str">
        <f>IF($A133="","",COUNTIFS(Başvuru!$I:$I,Toplantı!$B$18,Başvuru!$D:$D,$A$133))</f>
        <v/>
      </c>
      <c r="Q133" s="176" t="str">
        <f>IF($A133="","",COUNTIFS(Başvuru!$I:$I,Toplantı!$B$19,Başvuru!$D:$D,$A$133))</f>
        <v/>
      </c>
      <c r="R133" s="176" t="str">
        <f>IF($A133="","",COUNTIFS(Başvuru!$I:$I,Toplantı!$B$20,Başvuru!$D:$D,$A$133))</f>
        <v/>
      </c>
      <c r="S133" s="177">
        <f t="shared" si="4"/>
        <v>0</v>
      </c>
    </row>
    <row r="134" spans="1:19" x14ac:dyDescent="0.25">
      <c r="A134" s="175" t="str">
        <f>IF(Birim!C136="","",Birim!C136)</f>
        <v/>
      </c>
      <c r="B134" s="176" t="str">
        <f>IF($A134="","",COUNTIFS(Başvuru!$I:$I,Toplantı!$B$4,Başvuru!$D:$D,$A$134))</f>
        <v/>
      </c>
      <c r="C134" s="176" t="str">
        <f>IF($A134="","",COUNTIFS(Başvuru!$I:$I,Toplantı!$B$5,Başvuru!$D:$D,$A$134))</f>
        <v/>
      </c>
      <c r="D134" s="176" t="str">
        <f>IF($A134="","",COUNTIFS(Başvuru!$I:$I,Toplantı!$B$6,Başvuru!$D:$D,$A$134))</f>
        <v/>
      </c>
      <c r="E134" s="176" t="str">
        <f>IF($A134="","",COUNTIFS(Başvuru!$I:$I,Toplantı!$B$7,Başvuru!$D:$D,$A$134))</f>
        <v/>
      </c>
      <c r="F134" s="176" t="str">
        <f>IF($A134="","",COUNTIFS(Başvuru!$I:$I,Toplantı!$B$8,Başvuru!$D:$D,$A$134))</f>
        <v/>
      </c>
      <c r="G134" s="176" t="str">
        <f>IF($A134="","",COUNTIFS(Başvuru!$I:$I,Toplantı!$B$9,Başvuru!$D:$D,$A$134))</f>
        <v/>
      </c>
      <c r="H134" s="176" t="str">
        <f>IF($A134="","",COUNTIFS(Başvuru!$I:$I,Toplantı!$B$10,Başvuru!$D:$D,$A$134))</f>
        <v/>
      </c>
      <c r="I134" s="176" t="str">
        <f>IF($A134="","",COUNTIFS(Başvuru!$I:$I,Toplantı!$B$11,Başvuru!$D:$D,$A$134))</f>
        <v/>
      </c>
      <c r="J134" s="176" t="str">
        <f>IF($A134="","",COUNTIFS(Başvuru!$I:$I,Toplantı!$B$12,Başvuru!$D:$D,$A$134))</f>
        <v/>
      </c>
      <c r="K134" s="176" t="str">
        <f>IF($A134="","",COUNTIFS(Başvuru!$I:$I,Toplantı!$B$13,Başvuru!$D:$D,$A$134))</f>
        <v/>
      </c>
      <c r="L134" s="176" t="str">
        <f>IF($A134="","",COUNTIFS(Başvuru!$I:$I,Toplantı!$B$14,Başvuru!$D:$D,$A$134))</f>
        <v/>
      </c>
      <c r="M134" s="176" t="str">
        <f>IF($A134="","",COUNTIFS(Başvuru!$I:$I,Toplantı!$B$15,Başvuru!$D:$D,$A$134))</f>
        <v/>
      </c>
      <c r="N134" s="176" t="str">
        <f>IF($A134="","",COUNTIFS(Başvuru!$I:$I,Toplantı!$B$16,Başvuru!$D:$D,$A$134))</f>
        <v/>
      </c>
      <c r="O134" s="176" t="str">
        <f>IF($A134="","",COUNTIFS(Başvuru!$I:$I,Toplantı!$B$17,Başvuru!$D:$D,$A$134))</f>
        <v/>
      </c>
      <c r="P134" s="176" t="str">
        <f>IF($A134="","",COUNTIFS(Başvuru!$I:$I,Toplantı!$B$18,Başvuru!$D:$D,$A$134))</f>
        <v/>
      </c>
      <c r="Q134" s="176" t="str">
        <f>IF($A134="","",COUNTIFS(Başvuru!$I:$I,Toplantı!$B$19,Başvuru!$D:$D,$A$134))</f>
        <v/>
      </c>
      <c r="R134" s="176" t="str">
        <f>IF($A134="","",COUNTIFS(Başvuru!$I:$I,Toplantı!$B$20,Başvuru!$D:$D,$A$134))</f>
        <v/>
      </c>
      <c r="S134" s="177">
        <f t="shared" si="4"/>
        <v>0</v>
      </c>
    </row>
    <row r="135" spans="1:19" x14ac:dyDescent="0.25">
      <c r="A135" s="175" t="str">
        <f>IF(Birim!C137="","",Birim!C137)</f>
        <v/>
      </c>
      <c r="B135" s="176" t="str">
        <f>IF($A135="","",COUNTIFS(Başvuru!$I:$I,Toplantı!$B$4,Başvuru!$D:$D,$A$135))</f>
        <v/>
      </c>
      <c r="C135" s="176" t="str">
        <f>IF($A135="","",COUNTIFS(Başvuru!$I:$I,Toplantı!$B$5,Başvuru!$D:$D,$A$135))</f>
        <v/>
      </c>
      <c r="D135" s="176" t="str">
        <f>IF($A135="","",COUNTIFS(Başvuru!$I:$I,Toplantı!$B$6,Başvuru!$D:$D,$A$135))</f>
        <v/>
      </c>
      <c r="E135" s="176" t="str">
        <f>IF($A135="","",COUNTIFS(Başvuru!$I:$I,Toplantı!$B$7,Başvuru!$D:$D,$A$135))</f>
        <v/>
      </c>
      <c r="F135" s="176" t="str">
        <f>IF($A135="","",COUNTIFS(Başvuru!$I:$I,Toplantı!$B$8,Başvuru!$D:$D,$A$135))</f>
        <v/>
      </c>
      <c r="G135" s="176" t="str">
        <f>IF($A135="","",COUNTIFS(Başvuru!$I:$I,Toplantı!$B$9,Başvuru!$D:$D,$A$135))</f>
        <v/>
      </c>
      <c r="H135" s="176" t="str">
        <f>IF($A135="","",COUNTIFS(Başvuru!$I:$I,Toplantı!$B$10,Başvuru!$D:$D,$A$135))</f>
        <v/>
      </c>
      <c r="I135" s="176" t="str">
        <f>IF($A135="","",COUNTIFS(Başvuru!$I:$I,Toplantı!$B$11,Başvuru!$D:$D,$A$135))</f>
        <v/>
      </c>
      <c r="J135" s="176" t="str">
        <f>IF($A135="","",COUNTIFS(Başvuru!$I:$I,Toplantı!$B$12,Başvuru!$D:$D,$A$135))</f>
        <v/>
      </c>
      <c r="K135" s="176" t="str">
        <f>IF($A135="","",COUNTIFS(Başvuru!$I:$I,Toplantı!$B$13,Başvuru!$D:$D,$A$135))</f>
        <v/>
      </c>
      <c r="L135" s="176" t="str">
        <f>IF($A135="","",COUNTIFS(Başvuru!$I:$I,Toplantı!$B$14,Başvuru!$D:$D,$A$135))</f>
        <v/>
      </c>
      <c r="M135" s="176" t="str">
        <f>IF($A135="","",COUNTIFS(Başvuru!$I:$I,Toplantı!$B$15,Başvuru!$D:$D,$A$135))</f>
        <v/>
      </c>
      <c r="N135" s="176" t="str">
        <f>IF($A135="","",COUNTIFS(Başvuru!$I:$I,Toplantı!$B$16,Başvuru!$D:$D,$A$135))</f>
        <v/>
      </c>
      <c r="O135" s="176" t="str">
        <f>IF($A135="","",COUNTIFS(Başvuru!$I:$I,Toplantı!$B$17,Başvuru!$D:$D,$A$135))</f>
        <v/>
      </c>
      <c r="P135" s="176" t="str">
        <f>IF($A135="","",COUNTIFS(Başvuru!$I:$I,Toplantı!$B$18,Başvuru!$D:$D,$A$135))</f>
        <v/>
      </c>
      <c r="Q135" s="176" t="str">
        <f>IF($A135="","",COUNTIFS(Başvuru!$I:$I,Toplantı!$B$19,Başvuru!$D:$D,$A$135))</f>
        <v/>
      </c>
      <c r="R135" s="176" t="str">
        <f>IF($A135="","",COUNTIFS(Başvuru!$I:$I,Toplantı!$B$20,Başvuru!$D:$D,$A$135))</f>
        <v/>
      </c>
      <c r="S135" s="177">
        <f t="shared" si="4"/>
        <v>0</v>
      </c>
    </row>
    <row r="136" spans="1:19" x14ac:dyDescent="0.25">
      <c r="A136" s="175" t="str">
        <f>IF(Birim!C138="","",Birim!C138)</f>
        <v/>
      </c>
      <c r="B136" s="176" t="str">
        <f>IF($A136="","",COUNTIFS(Başvuru!$I:$I,Toplantı!$B$4,Başvuru!$D:$D,$A$136))</f>
        <v/>
      </c>
      <c r="C136" s="176" t="str">
        <f>IF($A136="","",COUNTIFS(Başvuru!$I:$I,Toplantı!$B$5,Başvuru!$D:$D,$A$136))</f>
        <v/>
      </c>
      <c r="D136" s="176" t="str">
        <f>IF($A136="","",COUNTIFS(Başvuru!$I:$I,Toplantı!$B$6,Başvuru!$D:$D,$A$136))</f>
        <v/>
      </c>
      <c r="E136" s="176" t="str">
        <f>IF($A136="","",COUNTIFS(Başvuru!$I:$I,Toplantı!$B$7,Başvuru!$D:$D,$A$136))</f>
        <v/>
      </c>
      <c r="F136" s="176" t="str">
        <f>IF($A136="","",COUNTIFS(Başvuru!$I:$I,Toplantı!$B$8,Başvuru!$D:$D,$A$136))</f>
        <v/>
      </c>
      <c r="G136" s="176" t="str">
        <f>IF($A136="","",COUNTIFS(Başvuru!$I:$I,Toplantı!$B$9,Başvuru!$D:$D,$A$136))</f>
        <v/>
      </c>
      <c r="H136" s="176" t="str">
        <f>IF($A136="","",COUNTIFS(Başvuru!$I:$I,Toplantı!$B$10,Başvuru!$D:$D,$A$136))</f>
        <v/>
      </c>
      <c r="I136" s="176" t="str">
        <f>IF($A136="","",COUNTIFS(Başvuru!$I:$I,Toplantı!$B$11,Başvuru!$D:$D,$A$136))</f>
        <v/>
      </c>
      <c r="J136" s="176" t="str">
        <f>IF($A136="","",COUNTIFS(Başvuru!$I:$I,Toplantı!$B$12,Başvuru!$D:$D,$A$136))</f>
        <v/>
      </c>
      <c r="K136" s="176" t="str">
        <f>IF($A136="","",COUNTIFS(Başvuru!$I:$I,Toplantı!$B$13,Başvuru!$D:$D,$A$136))</f>
        <v/>
      </c>
      <c r="L136" s="176" t="str">
        <f>IF($A136="","",COUNTIFS(Başvuru!$I:$I,Toplantı!$B$14,Başvuru!$D:$D,$A$136))</f>
        <v/>
      </c>
      <c r="M136" s="176" t="str">
        <f>IF($A136="","",COUNTIFS(Başvuru!$I:$I,Toplantı!$B$15,Başvuru!$D:$D,$A$136))</f>
        <v/>
      </c>
      <c r="N136" s="176" t="str">
        <f>IF($A136="","",COUNTIFS(Başvuru!$I:$I,Toplantı!$B$16,Başvuru!$D:$D,$A$136))</f>
        <v/>
      </c>
      <c r="O136" s="176" t="str">
        <f>IF($A136="","",COUNTIFS(Başvuru!$I:$I,Toplantı!$B$17,Başvuru!$D:$D,$A$136))</f>
        <v/>
      </c>
      <c r="P136" s="176" t="str">
        <f>IF($A136="","",COUNTIFS(Başvuru!$I:$I,Toplantı!$B$18,Başvuru!$D:$D,$A$136))</f>
        <v/>
      </c>
      <c r="Q136" s="176" t="str">
        <f>IF($A136="","",COUNTIFS(Başvuru!$I:$I,Toplantı!$B$19,Başvuru!$D:$D,$A$136))</f>
        <v/>
      </c>
      <c r="R136" s="176" t="str">
        <f>IF($A136="","",COUNTIFS(Başvuru!$I:$I,Toplantı!$B$20,Başvuru!$D:$D,$A$136))</f>
        <v/>
      </c>
      <c r="S136" s="177">
        <f t="shared" si="4"/>
        <v>0</v>
      </c>
    </row>
    <row r="137" spans="1:19" x14ac:dyDescent="0.25">
      <c r="A137" s="175" t="str">
        <f>IF(Birim!C139="","",Birim!C139)</f>
        <v/>
      </c>
      <c r="B137" s="176" t="str">
        <f>IF($A137="","",COUNTIFS(Başvuru!$I:$I,Toplantı!$B$4,Başvuru!$D:$D,$A$137))</f>
        <v/>
      </c>
      <c r="C137" s="176" t="str">
        <f>IF($A137="","",COUNTIFS(Başvuru!$I:$I,Toplantı!$B$5,Başvuru!$D:$D,$A$137))</f>
        <v/>
      </c>
      <c r="D137" s="176" t="str">
        <f>IF($A137="","",COUNTIFS(Başvuru!$I:$I,Toplantı!$B$6,Başvuru!$D:$D,$A$137))</f>
        <v/>
      </c>
      <c r="E137" s="176" t="str">
        <f>IF($A137="","",COUNTIFS(Başvuru!$I:$I,Toplantı!$B$7,Başvuru!$D:$D,$A$137))</f>
        <v/>
      </c>
      <c r="F137" s="176" t="str">
        <f>IF($A137="","",COUNTIFS(Başvuru!$I:$I,Toplantı!$B$8,Başvuru!$D:$D,$A$137))</f>
        <v/>
      </c>
      <c r="G137" s="176" t="str">
        <f>IF($A137="","",COUNTIFS(Başvuru!$I:$I,Toplantı!$B$9,Başvuru!$D:$D,$A$137))</f>
        <v/>
      </c>
      <c r="H137" s="176" t="str">
        <f>IF($A137="","",COUNTIFS(Başvuru!$I:$I,Toplantı!$B$10,Başvuru!$D:$D,$A$137))</f>
        <v/>
      </c>
      <c r="I137" s="176" t="str">
        <f>IF($A137="","",COUNTIFS(Başvuru!$I:$I,Toplantı!$B$11,Başvuru!$D:$D,$A$137))</f>
        <v/>
      </c>
      <c r="J137" s="176" t="str">
        <f>IF($A137="","",COUNTIFS(Başvuru!$I:$I,Toplantı!$B$12,Başvuru!$D:$D,$A$137))</f>
        <v/>
      </c>
      <c r="K137" s="176" t="str">
        <f>IF($A137="","",COUNTIFS(Başvuru!$I:$I,Toplantı!$B$13,Başvuru!$D:$D,$A$137))</f>
        <v/>
      </c>
      <c r="L137" s="176" t="str">
        <f>IF($A137="","",COUNTIFS(Başvuru!$I:$I,Toplantı!$B$14,Başvuru!$D:$D,$A$137))</f>
        <v/>
      </c>
      <c r="M137" s="176" t="str">
        <f>IF($A137="","",COUNTIFS(Başvuru!$I:$I,Toplantı!$B$15,Başvuru!$D:$D,$A$137))</f>
        <v/>
      </c>
      <c r="N137" s="176" t="str">
        <f>IF($A137="","",COUNTIFS(Başvuru!$I:$I,Toplantı!$B$16,Başvuru!$D:$D,$A$137))</f>
        <v/>
      </c>
      <c r="O137" s="176" t="str">
        <f>IF($A137="","",COUNTIFS(Başvuru!$I:$I,Toplantı!$B$17,Başvuru!$D:$D,$A$137))</f>
        <v/>
      </c>
      <c r="P137" s="176" t="str">
        <f>IF($A137="","",COUNTIFS(Başvuru!$I:$I,Toplantı!$B$18,Başvuru!$D:$D,$A$137))</f>
        <v/>
      </c>
      <c r="Q137" s="176" t="str">
        <f>IF($A137="","",COUNTIFS(Başvuru!$I:$I,Toplantı!$B$19,Başvuru!$D:$D,$A$137))</f>
        <v/>
      </c>
      <c r="R137" s="176" t="str">
        <f>IF($A137="","",COUNTIFS(Başvuru!$I:$I,Toplantı!$B$20,Başvuru!$D:$D,$A$137))</f>
        <v/>
      </c>
      <c r="S137" s="177">
        <f t="shared" si="4"/>
        <v>0</v>
      </c>
    </row>
    <row r="138" spans="1:19" x14ac:dyDescent="0.25">
      <c r="A138" s="175" t="str">
        <f>IF(Birim!C140="","",Birim!C140)</f>
        <v/>
      </c>
      <c r="B138" s="176" t="str">
        <f>IF($A138="","",COUNTIFS(Başvuru!$I:$I,Toplantı!$B$4,Başvuru!$D:$D,$A$138))</f>
        <v/>
      </c>
      <c r="C138" s="176" t="str">
        <f>IF($A138="","",COUNTIFS(Başvuru!$I:$I,Toplantı!$B$5,Başvuru!$D:$D,$A$138))</f>
        <v/>
      </c>
      <c r="D138" s="176" t="str">
        <f>IF($A138="","",COUNTIFS(Başvuru!$I:$I,Toplantı!$B$6,Başvuru!$D:$D,$A$138))</f>
        <v/>
      </c>
      <c r="E138" s="176" t="str">
        <f>IF($A138="","",COUNTIFS(Başvuru!$I:$I,Toplantı!$B$7,Başvuru!$D:$D,$A$138))</f>
        <v/>
      </c>
      <c r="F138" s="176" t="str">
        <f>IF($A138="","",COUNTIFS(Başvuru!$I:$I,Toplantı!$B$8,Başvuru!$D:$D,$A$138))</f>
        <v/>
      </c>
      <c r="G138" s="176" t="str">
        <f>IF($A138="","",COUNTIFS(Başvuru!$I:$I,Toplantı!$B$9,Başvuru!$D:$D,$A$138))</f>
        <v/>
      </c>
      <c r="H138" s="176" t="str">
        <f>IF($A138="","",COUNTIFS(Başvuru!$I:$I,Toplantı!$B$10,Başvuru!$D:$D,$A$138))</f>
        <v/>
      </c>
      <c r="I138" s="176" t="str">
        <f>IF($A138="","",COUNTIFS(Başvuru!$I:$I,Toplantı!$B$11,Başvuru!$D:$D,$A$138))</f>
        <v/>
      </c>
      <c r="J138" s="176" t="str">
        <f>IF($A138="","",COUNTIFS(Başvuru!$I:$I,Toplantı!$B$12,Başvuru!$D:$D,$A$138))</f>
        <v/>
      </c>
      <c r="K138" s="176" t="str">
        <f>IF($A138="","",COUNTIFS(Başvuru!$I:$I,Toplantı!$B$13,Başvuru!$D:$D,$A$138))</f>
        <v/>
      </c>
      <c r="L138" s="176" t="str">
        <f>IF($A138="","",COUNTIFS(Başvuru!$I:$I,Toplantı!$B$14,Başvuru!$D:$D,$A$138))</f>
        <v/>
      </c>
      <c r="M138" s="176" t="str">
        <f>IF($A138="","",COUNTIFS(Başvuru!$I:$I,Toplantı!$B$15,Başvuru!$D:$D,$A$138))</f>
        <v/>
      </c>
      <c r="N138" s="176" t="str">
        <f>IF($A138="","",COUNTIFS(Başvuru!$I:$I,Toplantı!$B$16,Başvuru!$D:$D,$A$138))</f>
        <v/>
      </c>
      <c r="O138" s="176" t="str">
        <f>IF($A138="","",COUNTIFS(Başvuru!$I:$I,Toplantı!$B$17,Başvuru!$D:$D,$A$138))</f>
        <v/>
      </c>
      <c r="P138" s="176" t="str">
        <f>IF($A138="","",COUNTIFS(Başvuru!$I:$I,Toplantı!$B$18,Başvuru!$D:$D,$A$138))</f>
        <v/>
      </c>
      <c r="Q138" s="176" t="str">
        <f>IF($A138="","",COUNTIFS(Başvuru!$I:$I,Toplantı!$B$19,Başvuru!$D:$D,$A$138))</f>
        <v/>
      </c>
      <c r="R138" s="176" t="str">
        <f>IF($A138="","",COUNTIFS(Başvuru!$I:$I,Toplantı!$B$20,Başvuru!$D:$D,$A$138))</f>
        <v/>
      </c>
      <c r="S138" s="177">
        <f t="shared" si="4"/>
        <v>0</v>
      </c>
    </row>
    <row r="139" spans="1:19" x14ac:dyDescent="0.25">
      <c r="A139" s="175" t="str">
        <f>IF(Birim!C141="","",Birim!C141)</f>
        <v/>
      </c>
      <c r="B139" s="176" t="str">
        <f>IF($A139="","",COUNTIFS(Başvuru!$I:$I,Toplantı!$B$4,Başvuru!$D:$D,$A$139))</f>
        <v/>
      </c>
      <c r="C139" s="176" t="str">
        <f>IF($A139="","",COUNTIFS(Başvuru!$I:$I,Toplantı!$B$5,Başvuru!$D:$D,$A$139))</f>
        <v/>
      </c>
      <c r="D139" s="176" t="str">
        <f>IF($A139="","",COUNTIFS(Başvuru!$I:$I,Toplantı!$B$6,Başvuru!$D:$D,$A$139))</f>
        <v/>
      </c>
      <c r="E139" s="176" t="str">
        <f>IF($A139="","",COUNTIFS(Başvuru!$I:$I,Toplantı!$B$7,Başvuru!$D:$D,$A$139))</f>
        <v/>
      </c>
      <c r="F139" s="176" t="str">
        <f>IF($A139="","",COUNTIFS(Başvuru!$I:$I,Toplantı!$B$8,Başvuru!$D:$D,$A$139))</f>
        <v/>
      </c>
      <c r="G139" s="176" t="str">
        <f>IF($A139="","",COUNTIFS(Başvuru!$I:$I,Toplantı!$B$9,Başvuru!$D:$D,$A$139))</f>
        <v/>
      </c>
      <c r="H139" s="176" t="str">
        <f>IF($A139="","",COUNTIFS(Başvuru!$I:$I,Toplantı!$B$10,Başvuru!$D:$D,$A$139))</f>
        <v/>
      </c>
      <c r="I139" s="176" t="str">
        <f>IF($A139="","",COUNTIFS(Başvuru!$I:$I,Toplantı!$B$11,Başvuru!$D:$D,$A$139))</f>
        <v/>
      </c>
      <c r="J139" s="176" t="str">
        <f>IF($A139="","",COUNTIFS(Başvuru!$I:$I,Toplantı!$B$12,Başvuru!$D:$D,$A$139))</f>
        <v/>
      </c>
      <c r="K139" s="176" t="str">
        <f>IF($A139="","",COUNTIFS(Başvuru!$I:$I,Toplantı!$B$13,Başvuru!$D:$D,$A$139))</f>
        <v/>
      </c>
      <c r="L139" s="176" t="str">
        <f>IF($A139="","",COUNTIFS(Başvuru!$I:$I,Toplantı!$B$14,Başvuru!$D:$D,$A$139))</f>
        <v/>
      </c>
      <c r="M139" s="176" t="str">
        <f>IF($A139="","",COUNTIFS(Başvuru!$I:$I,Toplantı!$B$15,Başvuru!$D:$D,$A$139))</f>
        <v/>
      </c>
      <c r="N139" s="176" t="str">
        <f>IF($A139="","",COUNTIFS(Başvuru!$I:$I,Toplantı!$B$16,Başvuru!$D:$D,$A$139))</f>
        <v/>
      </c>
      <c r="O139" s="176" t="str">
        <f>IF($A139="","",COUNTIFS(Başvuru!$I:$I,Toplantı!$B$17,Başvuru!$D:$D,$A$139))</f>
        <v/>
      </c>
      <c r="P139" s="176" t="str">
        <f>IF($A139="","",COUNTIFS(Başvuru!$I:$I,Toplantı!$B$18,Başvuru!$D:$D,$A$139))</f>
        <v/>
      </c>
      <c r="Q139" s="176" t="str">
        <f>IF($A139="","",COUNTIFS(Başvuru!$I:$I,Toplantı!$B$19,Başvuru!$D:$D,$A$139))</f>
        <v/>
      </c>
      <c r="R139" s="176" t="str">
        <f>IF($A139="","",COUNTIFS(Başvuru!$I:$I,Toplantı!$B$20,Başvuru!$D:$D,$A$139))</f>
        <v/>
      </c>
      <c r="S139" s="177">
        <f t="shared" si="4"/>
        <v>0</v>
      </c>
    </row>
    <row r="140" spans="1:19" x14ac:dyDescent="0.25">
      <c r="A140" s="175" t="str">
        <f>IF(Birim!C142="","",Birim!C142)</f>
        <v/>
      </c>
      <c r="B140" s="176" t="str">
        <f>IF($A140="","",COUNTIFS(Başvuru!$I:$I,Toplantı!$B$4,Başvuru!$D:$D,$A$140))</f>
        <v/>
      </c>
      <c r="C140" s="176" t="str">
        <f>IF($A140="","",COUNTIFS(Başvuru!$I:$I,Toplantı!$B$5,Başvuru!$D:$D,$A$140))</f>
        <v/>
      </c>
      <c r="D140" s="176" t="str">
        <f>IF($A140="","",COUNTIFS(Başvuru!$I:$I,Toplantı!$B$6,Başvuru!$D:$D,$A$140))</f>
        <v/>
      </c>
      <c r="E140" s="176" t="str">
        <f>IF($A140="","",COUNTIFS(Başvuru!$I:$I,Toplantı!$B$7,Başvuru!$D:$D,$A$140))</f>
        <v/>
      </c>
      <c r="F140" s="176" t="str">
        <f>IF($A140="","",COUNTIFS(Başvuru!$I:$I,Toplantı!$B$8,Başvuru!$D:$D,$A$140))</f>
        <v/>
      </c>
      <c r="G140" s="176" t="str">
        <f>IF($A140="","",COUNTIFS(Başvuru!$I:$I,Toplantı!$B$9,Başvuru!$D:$D,$A$140))</f>
        <v/>
      </c>
      <c r="H140" s="176" t="str">
        <f>IF($A140="","",COUNTIFS(Başvuru!$I:$I,Toplantı!$B$10,Başvuru!$D:$D,$A$140))</f>
        <v/>
      </c>
      <c r="I140" s="176" t="str">
        <f>IF($A140="","",COUNTIFS(Başvuru!$I:$I,Toplantı!$B$11,Başvuru!$D:$D,$A$140))</f>
        <v/>
      </c>
      <c r="J140" s="176" t="str">
        <f>IF($A140="","",COUNTIFS(Başvuru!$I:$I,Toplantı!$B$12,Başvuru!$D:$D,$A$140))</f>
        <v/>
      </c>
      <c r="K140" s="176" t="str">
        <f>IF($A140="","",COUNTIFS(Başvuru!$I:$I,Toplantı!$B$13,Başvuru!$D:$D,$A$140))</f>
        <v/>
      </c>
      <c r="L140" s="176" t="str">
        <f>IF($A140="","",COUNTIFS(Başvuru!$I:$I,Toplantı!$B$14,Başvuru!$D:$D,$A$140))</f>
        <v/>
      </c>
      <c r="M140" s="176" t="str">
        <f>IF($A140="","",COUNTIFS(Başvuru!$I:$I,Toplantı!$B$15,Başvuru!$D:$D,$A$140))</f>
        <v/>
      </c>
      <c r="N140" s="176" t="str">
        <f>IF($A140="","",COUNTIFS(Başvuru!$I:$I,Toplantı!$B$16,Başvuru!$D:$D,$A$140))</f>
        <v/>
      </c>
      <c r="O140" s="176" t="str">
        <f>IF($A140="","",COUNTIFS(Başvuru!$I:$I,Toplantı!$B$17,Başvuru!$D:$D,$A$140))</f>
        <v/>
      </c>
      <c r="P140" s="176" t="str">
        <f>IF($A140="","",COUNTIFS(Başvuru!$I:$I,Toplantı!$B$18,Başvuru!$D:$D,$A$140))</f>
        <v/>
      </c>
      <c r="Q140" s="176" t="str">
        <f>IF($A140="","",COUNTIFS(Başvuru!$I:$I,Toplantı!$B$19,Başvuru!$D:$D,$A$140))</f>
        <v/>
      </c>
      <c r="R140" s="176" t="str">
        <f>IF($A140="","",COUNTIFS(Başvuru!$I:$I,Toplantı!$B$20,Başvuru!$D:$D,$A$140))</f>
        <v/>
      </c>
      <c r="S140" s="177">
        <f t="shared" si="4"/>
        <v>0</v>
      </c>
    </row>
    <row r="141" spans="1:19" x14ac:dyDescent="0.25">
      <c r="A141" s="175" t="str">
        <f>IF(Birim!C143="","",Birim!C143)</f>
        <v/>
      </c>
      <c r="B141" s="176" t="str">
        <f>IF($A141="","",COUNTIFS(Başvuru!$I:$I,Toplantı!$B$4,Başvuru!$D:$D,$A$141))</f>
        <v/>
      </c>
      <c r="C141" s="176" t="str">
        <f>IF($A141="","",COUNTIFS(Başvuru!$I:$I,Toplantı!$B$5,Başvuru!$D:$D,$A$141))</f>
        <v/>
      </c>
      <c r="D141" s="176" t="str">
        <f>IF($A141="","",COUNTIFS(Başvuru!$I:$I,Toplantı!$B$6,Başvuru!$D:$D,$A$141))</f>
        <v/>
      </c>
      <c r="E141" s="176" t="str">
        <f>IF($A141="","",COUNTIFS(Başvuru!$I:$I,Toplantı!$B$7,Başvuru!$D:$D,$A$141))</f>
        <v/>
      </c>
      <c r="F141" s="176" t="str">
        <f>IF($A141="","",COUNTIFS(Başvuru!$I:$I,Toplantı!$B$8,Başvuru!$D:$D,$A$141))</f>
        <v/>
      </c>
      <c r="G141" s="176" t="str">
        <f>IF($A141="","",COUNTIFS(Başvuru!$I:$I,Toplantı!$B$9,Başvuru!$D:$D,$A$141))</f>
        <v/>
      </c>
      <c r="H141" s="176" t="str">
        <f>IF($A141="","",COUNTIFS(Başvuru!$I:$I,Toplantı!$B$10,Başvuru!$D:$D,$A$141))</f>
        <v/>
      </c>
      <c r="I141" s="176" t="str">
        <f>IF($A141="","",COUNTIFS(Başvuru!$I:$I,Toplantı!$B$11,Başvuru!$D:$D,$A$141))</f>
        <v/>
      </c>
      <c r="J141" s="176" t="str">
        <f>IF($A141="","",COUNTIFS(Başvuru!$I:$I,Toplantı!$B$12,Başvuru!$D:$D,$A$141))</f>
        <v/>
      </c>
      <c r="K141" s="176" t="str">
        <f>IF($A141="","",COUNTIFS(Başvuru!$I:$I,Toplantı!$B$13,Başvuru!$D:$D,$A$141))</f>
        <v/>
      </c>
      <c r="L141" s="176" t="str">
        <f>IF($A141="","",COUNTIFS(Başvuru!$I:$I,Toplantı!$B$14,Başvuru!$D:$D,$A$141))</f>
        <v/>
      </c>
      <c r="M141" s="176" t="str">
        <f>IF($A141="","",COUNTIFS(Başvuru!$I:$I,Toplantı!$B$15,Başvuru!$D:$D,$A$141))</f>
        <v/>
      </c>
      <c r="N141" s="176" t="str">
        <f>IF($A141="","",COUNTIFS(Başvuru!$I:$I,Toplantı!$B$16,Başvuru!$D:$D,$A$141))</f>
        <v/>
      </c>
      <c r="O141" s="176" t="str">
        <f>IF($A141="","",COUNTIFS(Başvuru!$I:$I,Toplantı!$B$17,Başvuru!$D:$D,$A$141))</f>
        <v/>
      </c>
      <c r="P141" s="176" t="str">
        <f>IF($A141="","",COUNTIFS(Başvuru!$I:$I,Toplantı!$B$18,Başvuru!$D:$D,$A$141))</f>
        <v/>
      </c>
      <c r="Q141" s="176" t="str">
        <f>IF($A141="","",COUNTIFS(Başvuru!$I:$I,Toplantı!$B$19,Başvuru!$D:$D,$A$141))</f>
        <v/>
      </c>
      <c r="R141" s="176" t="str">
        <f>IF($A141="","",COUNTIFS(Başvuru!$I:$I,Toplantı!$B$20,Başvuru!$D:$D,$A$141))</f>
        <v/>
      </c>
      <c r="S141" s="177">
        <f t="shared" si="4"/>
        <v>0</v>
      </c>
    </row>
    <row r="142" spans="1:19" x14ac:dyDescent="0.25">
      <c r="A142" s="175" t="str">
        <f>IF(Birim!C144="","",Birim!C144)</f>
        <v/>
      </c>
      <c r="B142" s="176" t="str">
        <f>IF($A142="","",COUNTIFS(Başvuru!$I:$I,Toplantı!$B$4,Başvuru!$D:$D,$A$142))</f>
        <v/>
      </c>
      <c r="C142" s="176" t="str">
        <f>IF($A142="","",COUNTIFS(Başvuru!$I:$I,Toplantı!$B$5,Başvuru!$D:$D,$A$142))</f>
        <v/>
      </c>
      <c r="D142" s="176" t="str">
        <f>IF($A142="","",COUNTIFS(Başvuru!$I:$I,Toplantı!$B$6,Başvuru!$D:$D,$A$142))</f>
        <v/>
      </c>
      <c r="E142" s="176" t="str">
        <f>IF($A142="","",COUNTIFS(Başvuru!$I:$I,Toplantı!$B$7,Başvuru!$D:$D,$A$142))</f>
        <v/>
      </c>
      <c r="F142" s="176" t="str">
        <f>IF($A142="","",COUNTIFS(Başvuru!$I:$I,Toplantı!$B$8,Başvuru!$D:$D,$A$142))</f>
        <v/>
      </c>
      <c r="G142" s="176" t="str">
        <f>IF($A142="","",COUNTIFS(Başvuru!$I:$I,Toplantı!$B$9,Başvuru!$D:$D,$A$142))</f>
        <v/>
      </c>
      <c r="H142" s="176" t="str">
        <f>IF($A142="","",COUNTIFS(Başvuru!$I:$I,Toplantı!$B$10,Başvuru!$D:$D,$A$142))</f>
        <v/>
      </c>
      <c r="I142" s="176" t="str">
        <f>IF($A142="","",COUNTIFS(Başvuru!$I:$I,Toplantı!$B$11,Başvuru!$D:$D,$A$142))</f>
        <v/>
      </c>
      <c r="J142" s="176" t="str">
        <f>IF($A142="","",COUNTIFS(Başvuru!$I:$I,Toplantı!$B$12,Başvuru!$D:$D,$A$142))</f>
        <v/>
      </c>
      <c r="K142" s="176" t="str">
        <f>IF($A142="","",COUNTIFS(Başvuru!$I:$I,Toplantı!$B$13,Başvuru!$D:$D,$A$142))</f>
        <v/>
      </c>
      <c r="L142" s="176" t="str">
        <f>IF($A142="","",COUNTIFS(Başvuru!$I:$I,Toplantı!$B$14,Başvuru!$D:$D,$A$142))</f>
        <v/>
      </c>
      <c r="M142" s="176" t="str">
        <f>IF($A142="","",COUNTIFS(Başvuru!$I:$I,Toplantı!$B$15,Başvuru!$D:$D,$A$142))</f>
        <v/>
      </c>
      <c r="N142" s="176" t="str">
        <f>IF($A142="","",COUNTIFS(Başvuru!$I:$I,Toplantı!$B$16,Başvuru!$D:$D,$A$142))</f>
        <v/>
      </c>
      <c r="O142" s="176" t="str">
        <f>IF($A142="","",COUNTIFS(Başvuru!$I:$I,Toplantı!$B$17,Başvuru!$D:$D,$A$142))</f>
        <v/>
      </c>
      <c r="P142" s="176" t="str">
        <f>IF($A142="","",COUNTIFS(Başvuru!$I:$I,Toplantı!$B$18,Başvuru!$D:$D,$A$142))</f>
        <v/>
      </c>
      <c r="Q142" s="176" t="str">
        <f>IF($A142="","",COUNTIFS(Başvuru!$I:$I,Toplantı!$B$19,Başvuru!$D:$D,$A$142))</f>
        <v/>
      </c>
      <c r="R142" s="176" t="str">
        <f>IF($A142="","",COUNTIFS(Başvuru!$I:$I,Toplantı!$B$20,Başvuru!$D:$D,$A$142))</f>
        <v/>
      </c>
      <c r="S142" s="177">
        <f t="shared" si="4"/>
        <v>0</v>
      </c>
    </row>
    <row r="143" spans="1:19" x14ac:dyDescent="0.25">
      <c r="A143" s="175" t="str">
        <f>IF(Birim!C145="","",Birim!C145)</f>
        <v/>
      </c>
      <c r="B143" s="176" t="str">
        <f>IF($A143="","",COUNTIFS(Başvuru!$I:$I,Toplantı!$B$4,Başvuru!$D:$D,$A$143))</f>
        <v/>
      </c>
      <c r="C143" s="176" t="str">
        <f>IF($A143="","",COUNTIFS(Başvuru!$I:$I,Toplantı!$B$5,Başvuru!$D:$D,$A$143))</f>
        <v/>
      </c>
      <c r="D143" s="176" t="str">
        <f>IF($A143="","",COUNTIFS(Başvuru!$I:$I,Toplantı!$B$6,Başvuru!$D:$D,$A$143))</f>
        <v/>
      </c>
      <c r="E143" s="176" t="str">
        <f>IF($A143="","",COUNTIFS(Başvuru!$I:$I,Toplantı!$B$7,Başvuru!$D:$D,$A$143))</f>
        <v/>
      </c>
      <c r="F143" s="176" t="str">
        <f>IF($A143="","",COUNTIFS(Başvuru!$I:$I,Toplantı!$B$8,Başvuru!$D:$D,$A$143))</f>
        <v/>
      </c>
      <c r="G143" s="176" t="str">
        <f>IF($A143="","",COUNTIFS(Başvuru!$I:$I,Toplantı!$B$9,Başvuru!$D:$D,$A$143))</f>
        <v/>
      </c>
      <c r="H143" s="176" t="str">
        <f>IF($A143="","",COUNTIFS(Başvuru!$I:$I,Toplantı!$B$10,Başvuru!$D:$D,$A$143))</f>
        <v/>
      </c>
      <c r="I143" s="176" t="str">
        <f>IF($A143="","",COUNTIFS(Başvuru!$I:$I,Toplantı!$B$11,Başvuru!$D:$D,$A$143))</f>
        <v/>
      </c>
      <c r="J143" s="176" t="str">
        <f>IF($A143="","",COUNTIFS(Başvuru!$I:$I,Toplantı!$B$12,Başvuru!$D:$D,$A$143))</f>
        <v/>
      </c>
      <c r="K143" s="176" t="str">
        <f>IF($A143="","",COUNTIFS(Başvuru!$I:$I,Toplantı!$B$13,Başvuru!$D:$D,$A$143))</f>
        <v/>
      </c>
      <c r="L143" s="176" t="str">
        <f>IF($A143="","",COUNTIFS(Başvuru!$I:$I,Toplantı!$B$14,Başvuru!$D:$D,$A$143))</f>
        <v/>
      </c>
      <c r="M143" s="176" t="str">
        <f>IF($A143="","",COUNTIFS(Başvuru!$I:$I,Toplantı!$B$15,Başvuru!$D:$D,$A$143))</f>
        <v/>
      </c>
      <c r="N143" s="176" t="str">
        <f>IF($A143="","",COUNTIFS(Başvuru!$I:$I,Toplantı!$B$16,Başvuru!$D:$D,$A$143))</f>
        <v/>
      </c>
      <c r="O143" s="176" t="str">
        <f>IF($A143="","",COUNTIFS(Başvuru!$I:$I,Toplantı!$B$17,Başvuru!$D:$D,$A$143))</f>
        <v/>
      </c>
      <c r="P143" s="176" t="str">
        <f>IF($A143="","",COUNTIFS(Başvuru!$I:$I,Toplantı!$B$18,Başvuru!$D:$D,$A$143))</f>
        <v/>
      </c>
      <c r="Q143" s="176" t="str">
        <f>IF($A143="","",COUNTIFS(Başvuru!$I:$I,Toplantı!$B$19,Başvuru!$D:$D,$A$143))</f>
        <v/>
      </c>
      <c r="R143" s="176" t="str">
        <f>IF($A143="","",COUNTIFS(Başvuru!$I:$I,Toplantı!$B$20,Başvuru!$D:$D,$A$143))</f>
        <v/>
      </c>
      <c r="S143" s="177">
        <f t="shared" si="4"/>
        <v>0</v>
      </c>
    </row>
    <row r="144" spans="1:19" x14ac:dyDescent="0.25">
      <c r="A144" s="175" t="str">
        <f>IF(Birim!C146="","",Birim!C146)</f>
        <v/>
      </c>
      <c r="B144" s="176" t="str">
        <f>IF($A144="","",COUNTIFS(Başvuru!$I:$I,Toplantı!$B$4,Başvuru!$D:$D,$A$144))</f>
        <v/>
      </c>
      <c r="C144" s="176" t="str">
        <f>IF($A144="","",COUNTIFS(Başvuru!$I:$I,Toplantı!$B$5,Başvuru!$D:$D,$A$144))</f>
        <v/>
      </c>
      <c r="D144" s="176" t="str">
        <f>IF($A144="","",COUNTIFS(Başvuru!$I:$I,Toplantı!$B$6,Başvuru!$D:$D,$A$144))</f>
        <v/>
      </c>
      <c r="E144" s="176" t="str">
        <f>IF($A144="","",COUNTIFS(Başvuru!$I:$I,Toplantı!$B$7,Başvuru!$D:$D,$A$144))</f>
        <v/>
      </c>
      <c r="F144" s="176" t="str">
        <f>IF($A144="","",COUNTIFS(Başvuru!$I:$I,Toplantı!$B$8,Başvuru!$D:$D,$A$144))</f>
        <v/>
      </c>
      <c r="G144" s="176" t="str">
        <f>IF($A144="","",COUNTIFS(Başvuru!$I:$I,Toplantı!$B$9,Başvuru!$D:$D,$A$144))</f>
        <v/>
      </c>
      <c r="H144" s="176" t="str">
        <f>IF($A144="","",COUNTIFS(Başvuru!$I:$I,Toplantı!$B$10,Başvuru!$D:$D,$A$144))</f>
        <v/>
      </c>
      <c r="I144" s="176" t="str">
        <f>IF($A144="","",COUNTIFS(Başvuru!$I:$I,Toplantı!$B$11,Başvuru!$D:$D,$A$144))</f>
        <v/>
      </c>
      <c r="J144" s="176" t="str">
        <f>IF($A144="","",COUNTIFS(Başvuru!$I:$I,Toplantı!$B$12,Başvuru!$D:$D,$A$144))</f>
        <v/>
      </c>
      <c r="K144" s="176" t="str">
        <f>IF($A144="","",COUNTIFS(Başvuru!$I:$I,Toplantı!$B$13,Başvuru!$D:$D,$A$144))</f>
        <v/>
      </c>
      <c r="L144" s="176" t="str">
        <f>IF($A144="","",COUNTIFS(Başvuru!$I:$I,Toplantı!$B$14,Başvuru!$D:$D,$A$144))</f>
        <v/>
      </c>
      <c r="M144" s="176" t="str">
        <f>IF($A144="","",COUNTIFS(Başvuru!$I:$I,Toplantı!$B$15,Başvuru!$D:$D,$A$144))</f>
        <v/>
      </c>
      <c r="N144" s="176" t="str">
        <f>IF($A144="","",COUNTIFS(Başvuru!$I:$I,Toplantı!$B$16,Başvuru!$D:$D,$A$144))</f>
        <v/>
      </c>
      <c r="O144" s="176" t="str">
        <f>IF($A144="","",COUNTIFS(Başvuru!$I:$I,Toplantı!$B$17,Başvuru!$D:$D,$A$144))</f>
        <v/>
      </c>
      <c r="P144" s="176" t="str">
        <f>IF($A144="","",COUNTIFS(Başvuru!$I:$I,Toplantı!$B$18,Başvuru!$D:$D,$A$144))</f>
        <v/>
      </c>
      <c r="Q144" s="176" t="str">
        <f>IF($A144="","",COUNTIFS(Başvuru!$I:$I,Toplantı!$B$19,Başvuru!$D:$D,$A$144))</f>
        <v/>
      </c>
      <c r="R144" s="176" t="str">
        <f>IF($A144="","",COUNTIFS(Başvuru!$I:$I,Toplantı!$B$20,Başvuru!$D:$D,$A$144))</f>
        <v/>
      </c>
      <c r="S144" s="177">
        <f t="shared" si="4"/>
        <v>0</v>
      </c>
    </row>
    <row r="145" spans="1:19" x14ac:dyDescent="0.25">
      <c r="A145" s="175" t="str">
        <f>IF(Birim!C147="","",Birim!C147)</f>
        <v/>
      </c>
      <c r="B145" s="176" t="str">
        <f>IF($A145="","",COUNTIFS(Başvuru!$I:$I,Toplantı!$B$4,Başvuru!$D:$D,$A$145))</f>
        <v/>
      </c>
      <c r="C145" s="176" t="str">
        <f>IF($A145="","",COUNTIFS(Başvuru!$I:$I,Toplantı!$B$5,Başvuru!$D:$D,$A$145))</f>
        <v/>
      </c>
      <c r="D145" s="176" t="str">
        <f>IF($A145="","",COUNTIFS(Başvuru!$I:$I,Toplantı!$B$6,Başvuru!$D:$D,$A$145))</f>
        <v/>
      </c>
      <c r="E145" s="176" t="str">
        <f>IF($A145="","",COUNTIFS(Başvuru!$I:$I,Toplantı!$B$7,Başvuru!$D:$D,$A$145))</f>
        <v/>
      </c>
      <c r="F145" s="176" t="str">
        <f>IF($A145="","",COUNTIFS(Başvuru!$I:$I,Toplantı!$B$8,Başvuru!$D:$D,$A$145))</f>
        <v/>
      </c>
      <c r="G145" s="176" t="str">
        <f>IF($A145="","",COUNTIFS(Başvuru!$I:$I,Toplantı!$B$9,Başvuru!$D:$D,$A$145))</f>
        <v/>
      </c>
      <c r="H145" s="176" t="str">
        <f>IF($A145="","",COUNTIFS(Başvuru!$I:$I,Toplantı!$B$10,Başvuru!$D:$D,$A$145))</f>
        <v/>
      </c>
      <c r="I145" s="176" t="str">
        <f>IF($A145="","",COUNTIFS(Başvuru!$I:$I,Toplantı!$B$11,Başvuru!$D:$D,$A$145))</f>
        <v/>
      </c>
      <c r="J145" s="176" t="str">
        <f>IF($A145="","",COUNTIFS(Başvuru!$I:$I,Toplantı!$B$12,Başvuru!$D:$D,$A$145))</f>
        <v/>
      </c>
      <c r="K145" s="176" t="str">
        <f>IF($A145="","",COUNTIFS(Başvuru!$I:$I,Toplantı!$B$13,Başvuru!$D:$D,$A$145))</f>
        <v/>
      </c>
      <c r="L145" s="176" t="str">
        <f>IF($A145="","",COUNTIFS(Başvuru!$I:$I,Toplantı!$B$14,Başvuru!$D:$D,$A$145))</f>
        <v/>
      </c>
      <c r="M145" s="176" t="str">
        <f>IF($A145="","",COUNTIFS(Başvuru!$I:$I,Toplantı!$B$15,Başvuru!$D:$D,$A$145))</f>
        <v/>
      </c>
      <c r="N145" s="176" t="str">
        <f>IF($A145="","",COUNTIFS(Başvuru!$I:$I,Toplantı!$B$16,Başvuru!$D:$D,$A$145))</f>
        <v/>
      </c>
      <c r="O145" s="176" t="str">
        <f>IF($A145="","",COUNTIFS(Başvuru!$I:$I,Toplantı!$B$17,Başvuru!$D:$D,$A$145))</f>
        <v/>
      </c>
      <c r="P145" s="176" t="str">
        <f>IF($A145="","",COUNTIFS(Başvuru!$I:$I,Toplantı!$B$18,Başvuru!$D:$D,$A$145))</f>
        <v/>
      </c>
      <c r="Q145" s="176" t="str">
        <f>IF($A145="","",COUNTIFS(Başvuru!$I:$I,Toplantı!$B$19,Başvuru!$D:$D,$A$145))</f>
        <v/>
      </c>
      <c r="R145" s="176" t="str">
        <f>IF($A145="","",COUNTIFS(Başvuru!$I:$I,Toplantı!$B$20,Başvuru!$D:$D,$A$145))</f>
        <v/>
      </c>
      <c r="S145" s="177">
        <f t="shared" si="4"/>
        <v>0</v>
      </c>
    </row>
    <row r="146" spans="1:19" x14ac:dyDescent="0.25">
      <c r="A146" s="175" t="str">
        <f>IF(Birim!C148="","",Birim!C148)</f>
        <v/>
      </c>
      <c r="B146" s="176" t="str">
        <f>IF($A146="","",COUNTIFS(Başvuru!$I:$I,Toplantı!$B$4,Başvuru!$D:$D,$A$146))</f>
        <v/>
      </c>
      <c r="C146" s="176" t="str">
        <f>IF($A146="","",COUNTIFS(Başvuru!$I:$I,Toplantı!$B$5,Başvuru!$D:$D,$A$146))</f>
        <v/>
      </c>
      <c r="D146" s="176" t="str">
        <f>IF($A146="","",COUNTIFS(Başvuru!$I:$I,Toplantı!$B$6,Başvuru!$D:$D,$A$146))</f>
        <v/>
      </c>
      <c r="E146" s="176" t="str">
        <f>IF($A146="","",COUNTIFS(Başvuru!$I:$I,Toplantı!$B$7,Başvuru!$D:$D,$A$146))</f>
        <v/>
      </c>
      <c r="F146" s="176" t="str">
        <f>IF($A146="","",COUNTIFS(Başvuru!$I:$I,Toplantı!$B$8,Başvuru!$D:$D,$A$146))</f>
        <v/>
      </c>
      <c r="G146" s="176" t="str">
        <f>IF($A146="","",COUNTIFS(Başvuru!$I:$I,Toplantı!$B$9,Başvuru!$D:$D,$A$146))</f>
        <v/>
      </c>
      <c r="H146" s="176" t="str">
        <f>IF($A146="","",COUNTIFS(Başvuru!$I:$I,Toplantı!$B$10,Başvuru!$D:$D,$A$146))</f>
        <v/>
      </c>
      <c r="I146" s="176" t="str">
        <f>IF($A146="","",COUNTIFS(Başvuru!$I:$I,Toplantı!$B$11,Başvuru!$D:$D,$A$146))</f>
        <v/>
      </c>
      <c r="J146" s="176" t="str">
        <f>IF($A146="","",COUNTIFS(Başvuru!$I:$I,Toplantı!$B$12,Başvuru!$D:$D,$A$146))</f>
        <v/>
      </c>
      <c r="K146" s="176" t="str">
        <f>IF($A146="","",COUNTIFS(Başvuru!$I:$I,Toplantı!$B$13,Başvuru!$D:$D,$A$146))</f>
        <v/>
      </c>
      <c r="L146" s="176" t="str">
        <f>IF($A146="","",COUNTIFS(Başvuru!$I:$I,Toplantı!$B$14,Başvuru!$D:$D,$A$146))</f>
        <v/>
      </c>
      <c r="M146" s="176" t="str">
        <f>IF($A146="","",COUNTIFS(Başvuru!$I:$I,Toplantı!$B$15,Başvuru!$D:$D,$A$146))</f>
        <v/>
      </c>
      <c r="N146" s="176" t="str">
        <f>IF($A146="","",COUNTIFS(Başvuru!$I:$I,Toplantı!$B$16,Başvuru!$D:$D,$A$146))</f>
        <v/>
      </c>
      <c r="O146" s="176" t="str">
        <f>IF($A146="","",COUNTIFS(Başvuru!$I:$I,Toplantı!$B$17,Başvuru!$D:$D,$A$146))</f>
        <v/>
      </c>
      <c r="P146" s="176" t="str">
        <f>IF($A146="","",COUNTIFS(Başvuru!$I:$I,Toplantı!$B$18,Başvuru!$D:$D,$A$146))</f>
        <v/>
      </c>
      <c r="Q146" s="176" t="str">
        <f>IF($A146="","",COUNTIFS(Başvuru!$I:$I,Toplantı!$B$19,Başvuru!$D:$D,$A$146))</f>
        <v/>
      </c>
      <c r="R146" s="176" t="str">
        <f>IF($A146="","",COUNTIFS(Başvuru!$I:$I,Toplantı!$B$20,Başvuru!$D:$D,$A$146))</f>
        <v/>
      </c>
      <c r="S146" s="177">
        <f t="shared" si="4"/>
        <v>0</v>
      </c>
    </row>
    <row r="147" spans="1:19" x14ac:dyDescent="0.25">
      <c r="A147" s="175" t="str">
        <f>IF(Birim!C149="","",Birim!C149)</f>
        <v/>
      </c>
      <c r="B147" s="176" t="str">
        <f>IF($A147="","",COUNTIFS(Başvuru!$I:$I,Toplantı!$B$4,Başvuru!$D:$D,$A$147))</f>
        <v/>
      </c>
      <c r="C147" s="176" t="str">
        <f>IF($A147="","",COUNTIFS(Başvuru!$I:$I,Toplantı!$B$5,Başvuru!$D:$D,$A$147))</f>
        <v/>
      </c>
      <c r="D147" s="176" t="str">
        <f>IF($A147="","",COUNTIFS(Başvuru!$I:$I,Toplantı!$B$6,Başvuru!$D:$D,$A$147))</f>
        <v/>
      </c>
      <c r="E147" s="176" t="str">
        <f>IF($A147="","",COUNTIFS(Başvuru!$I:$I,Toplantı!$B$7,Başvuru!$D:$D,$A$147))</f>
        <v/>
      </c>
      <c r="F147" s="176" t="str">
        <f>IF($A147="","",COUNTIFS(Başvuru!$I:$I,Toplantı!$B$8,Başvuru!$D:$D,$A$147))</f>
        <v/>
      </c>
      <c r="G147" s="176" t="str">
        <f>IF($A147="","",COUNTIFS(Başvuru!$I:$I,Toplantı!$B$9,Başvuru!$D:$D,$A$147))</f>
        <v/>
      </c>
      <c r="H147" s="176" t="str">
        <f>IF($A147="","",COUNTIFS(Başvuru!$I:$I,Toplantı!$B$10,Başvuru!$D:$D,$A$147))</f>
        <v/>
      </c>
      <c r="I147" s="176" t="str">
        <f>IF($A147="","",COUNTIFS(Başvuru!$I:$I,Toplantı!$B$11,Başvuru!$D:$D,$A$147))</f>
        <v/>
      </c>
      <c r="J147" s="176" t="str">
        <f>IF($A147="","",COUNTIFS(Başvuru!$I:$I,Toplantı!$B$12,Başvuru!$D:$D,$A$147))</f>
        <v/>
      </c>
      <c r="K147" s="176" t="str">
        <f>IF($A147="","",COUNTIFS(Başvuru!$I:$I,Toplantı!$B$13,Başvuru!$D:$D,$A$147))</f>
        <v/>
      </c>
      <c r="L147" s="176" t="str">
        <f>IF($A147="","",COUNTIFS(Başvuru!$I:$I,Toplantı!$B$14,Başvuru!$D:$D,$A$147))</f>
        <v/>
      </c>
      <c r="M147" s="176" t="str">
        <f>IF($A147="","",COUNTIFS(Başvuru!$I:$I,Toplantı!$B$15,Başvuru!$D:$D,$A$147))</f>
        <v/>
      </c>
      <c r="N147" s="176" t="str">
        <f>IF($A147="","",COUNTIFS(Başvuru!$I:$I,Toplantı!$B$16,Başvuru!$D:$D,$A$147))</f>
        <v/>
      </c>
      <c r="O147" s="176" t="str">
        <f>IF($A147="","",COUNTIFS(Başvuru!$I:$I,Toplantı!$B$17,Başvuru!$D:$D,$A$147))</f>
        <v/>
      </c>
      <c r="P147" s="176" t="str">
        <f>IF($A147="","",COUNTIFS(Başvuru!$I:$I,Toplantı!$B$18,Başvuru!$D:$D,$A$147))</f>
        <v/>
      </c>
      <c r="Q147" s="176" t="str">
        <f>IF($A147="","",COUNTIFS(Başvuru!$I:$I,Toplantı!$B$19,Başvuru!$D:$D,$A$147))</f>
        <v/>
      </c>
      <c r="R147" s="176" t="str">
        <f>IF($A147="","",COUNTIFS(Başvuru!$I:$I,Toplantı!$B$20,Başvuru!$D:$D,$A$147))</f>
        <v/>
      </c>
      <c r="S147" s="177">
        <f t="shared" si="4"/>
        <v>0</v>
      </c>
    </row>
    <row r="148" spans="1:19" x14ac:dyDescent="0.25">
      <c r="A148" s="175" t="str">
        <f>IF(Birim!C150="","",Birim!C150)</f>
        <v/>
      </c>
      <c r="B148" s="176" t="str">
        <f>IF($A148="","",COUNTIFS(Başvuru!$I:$I,Toplantı!$B$4,Başvuru!$D:$D,$A$148))</f>
        <v/>
      </c>
      <c r="C148" s="176" t="str">
        <f>IF($A148="","",COUNTIFS(Başvuru!$I:$I,Toplantı!$B$5,Başvuru!$D:$D,$A$148))</f>
        <v/>
      </c>
      <c r="D148" s="176" t="str">
        <f>IF($A148="","",COUNTIFS(Başvuru!$I:$I,Toplantı!$B$6,Başvuru!$D:$D,$A$148))</f>
        <v/>
      </c>
      <c r="E148" s="176" t="str">
        <f>IF($A148="","",COUNTIFS(Başvuru!$I:$I,Toplantı!$B$7,Başvuru!$D:$D,$A$148))</f>
        <v/>
      </c>
      <c r="F148" s="176" t="str">
        <f>IF($A148="","",COUNTIFS(Başvuru!$I:$I,Toplantı!$B$8,Başvuru!$D:$D,$A$148))</f>
        <v/>
      </c>
      <c r="G148" s="176" t="str">
        <f>IF($A148="","",COUNTIFS(Başvuru!$I:$I,Toplantı!$B$9,Başvuru!$D:$D,$A$148))</f>
        <v/>
      </c>
      <c r="H148" s="176" t="str">
        <f>IF($A148="","",COUNTIFS(Başvuru!$I:$I,Toplantı!$B$10,Başvuru!$D:$D,$A$148))</f>
        <v/>
      </c>
      <c r="I148" s="176" t="str">
        <f>IF($A148="","",COUNTIFS(Başvuru!$I:$I,Toplantı!$B$11,Başvuru!$D:$D,$A$148))</f>
        <v/>
      </c>
      <c r="J148" s="176" t="str">
        <f>IF($A148="","",COUNTIFS(Başvuru!$I:$I,Toplantı!$B$12,Başvuru!$D:$D,$A$148))</f>
        <v/>
      </c>
      <c r="K148" s="176" t="str">
        <f>IF($A148="","",COUNTIFS(Başvuru!$I:$I,Toplantı!$B$13,Başvuru!$D:$D,$A$148))</f>
        <v/>
      </c>
      <c r="L148" s="176" t="str">
        <f>IF($A148="","",COUNTIFS(Başvuru!$I:$I,Toplantı!$B$14,Başvuru!$D:$D,$A$148))</f>
        <v/>
      </c>
      <c r="M148" s="176" t="str">
        <f>IF($A148="","",COUNTIFS(Başvuru!$I:$I,Toplantı!$B$15,Başvuru!$D:$D,$A$148))</f>
        <v/>
      </c>
      <c r="N148" s="176" t="str">
        <f>IF($A148="","",COUNTIFS(Başvuru!$I:$I,Toplantı!$B$16,Başvuru!$D:$D,$A$148))</f>
        <v/>
      </c>
      <c r="O148" s="176" t="str">
        <f>IF($A148="","",COUNTIFS(Başvuru!$I:$I,Toplantı!$B$17,Başvuru!$D:$D,$A$148))</f>
        <v/>
      </c>
      <c r="P148" s="176" t="str">
        <f>IF($A148="","",COUNTIFS(Başvuru!$I:$I,Toplantı!$B$18,Başvuru!$D:$D,$A$148))</f>
        <v/>
      </c>
      <c r="Q148" s="176" t="str">
        <f>IF($A148="","",COUNTIFS(Başvuru!$I:$I,Toplantı!$B$19,Başvuru!$D:$D,$A$148))</f>
        <v/>
      </c>
      <c r="R148" s="176" t="str">
        <f>IF($A148="","",COUNTIFS(Başvuru!$I:$I,Toplantı!$B$20,Başvuru!$D:$D,$A$148))</f>
        <v/>
      </c>
      <c r="S148" s="177">
        <f t="shared" si="4"/>
        <v>0</v>
      </c>
    </row>
    <row r="149" spans="1:19" x14ac:dyDescent="0.25">
      <c r="A149" s="175" t="str">
        <f>IF(Birim!C151="","",Birim!C151)</f>
        <v/>
      </c>
      <c r="B149" s="176" t="str">
        <f>IF($A149="","",COUNTIFS(Başvuru!$I:$I,Toplantı!$B$4,Başvuru!$D:$D,$A$149))</f>
        <v/>
      </c>
      <c r="C149" s="176" t="str">
        <f>IF($A149="","",COUNTIFS(Başvuru!$I:$I,Toplantı!$B$5,Başvuru!$D:$D,$A$149))</f>
        <v/>
      </c>
      <c r="D149" s="176" t="str">
        <f>IF($A149="","",COUNTIFS(Başvuru!$I:$I,Toplantı!$B$6,Başvuru!$D:$D,$A$149))</f>
        <v/>
      </c>
      <c r="E149" s="176" t="str">
        <f>IF($A149="","",COUNTIFS(Başvuru!$I:$I,Toplantı!$B$7,Başvuru!$D:$D,$A$149))</f>
        <v/>
      </c>
      <c r="F149" s="176" t="str">
        <f>IF($A149="","",COUNTIFS(Başvuru!$I:$I,Toplantı!$B$8,Başvuru!$D:$D,$A$149))</f>
        <v/>
      </c>
      <c r="G149" s="176" t="str">
        <f>IF($A149="","",COUNTIFS(Başvuru!$I:$I,Toplantı!$B$9,Başvuru!$D:$D,$A$149))</f>
        <v/>
      </c>
      <c r="H149" s="176" t="str">
        <f>IF($A149="","",COUNTIFS(Başvuru!$I:$I,Toplantı!$B$10,Başvuru!$D:$D,$A$149))</f>
        <v/>
      </c>
      <c r="I149" s="176" t="str">
        <f>IF($A149="","",COUNTIFS(Başvuru!$I:$I,Toplantı!$B$11,Başvuru!$D:$D,$A$149))</f>
        <v/>
      </c>
      <c r="J149" s="176" t="str">
        <f>IF($A149="","",COUNTIFS(Başvuru!$I:$I,Toplantı!$B$12,Başvuru!$D:$D,$A$149))</f>
        <v/>
      </c>
      <c r="K149" s="176" t="str">
        <f>IF($A149="","",COUNTIFS(Başvuru!$I:$I,Toplantı!$B$13,Başvuru!$D:$D,$A$149))</f>
        <v/>
      </c>
      <c r="L149" s="176" t="str">
        <f>IF($A149="","",COUNTIFS(Başvuru!$I:$I,Toplantı!$B$14,Başvuru!$D:$D,$A$149))</f>
        <v/>
      </c>
      <c r="M149" s="176" t="str">
        <f>IF($A149="","",COUNTIFS(Başvuru!$I:$I,Toplantı!$B$15,Başvuru!$D:$D,$A$149))</f>
        <v/>
      </c>
      <c r="N149" s="176" t="str">
        <f>IF($A149="","",COUNTIFS(Başvuru!$I:$I,Toplantı!$B$16,Başvuru!$D:$D,$A$149))</f>
        <v/>
      </c>
      <c r="O149" s="176" t="str">
        <f>IF($A149="","",COUNTIFS(Başvuru!$I:$I,Toplantı!$B$17,Başvuru!$D:$D,$A$149))</f>
        <v/>
      </c>
      <c r="P149" s="176" t="str">
        <f>IF($A149="","",COUNTIFS(Başvuru!$I:$I,Toplantı!$B$18,Başvuru!$D:$D,$A$149))</f>
        <v/>
      </c>
      <c r="Q149" s="176" t="str">
        <f>IF($A149="","",COUNTIFS(Başvuru!$I:$I,Toplantı!$B$19,Başvuru!$D:$D,$A$149))</f>
        <v/>
      </c>
      <c r="R149" s="176" t="str">
        <f>IF($A149="","",COUNTIFS(Başvuru!$I:$I,Toplantı!$B$20,Başvuru!$D:$D,$A$149))</f>
        <v/>
      </c>
      <c r="S149" s="177">
        <f t="shared" si="4"/>
        <v>0</v>
      </c>
    </row>
    <row r="150" spans="1:19" x14ac:dyDescent="0.25">
      <c r="A150" s="175" t="str">
        <f>IF(Birim!C152="","",Birim!C152)</f>
        <v/>
      </c>
      <c r="B150" s="176" t="str">
        <f>IF($A150="","",COUNTIFS(Başvuru!$I:$I,Toplantı!$B$4,Başvuru!$D:$D,$A$150))</f>
        <v/>
      </c>
      <c r="C150" s="176" t="str">
        <f>IF($A150="","",COUNTIFS(Başvuru!$I:$I,Toplantı!$B$5,Başvuru!$D:$D,$A$150))</f>
        <v/>
      </c>
      <c r="D150" s="176" t="str">
        <f>IF($A150="","",COUNTIFS(Başvuru!$I:$I,Toplantı!$B$6,Başvuru!$D:$D,$A$150))</f>
        <v/>
      </c>
      <c r="E150" s="176" t="str">
        <f>IF($A150="","",COUNTIFS(Başvuru!$I:$I,Toplantı!$B$7,Başvuru!$D:$D,$A$150))</f>
        <v/>
      </c>
      <c r="F150" s="176" t="str">
        <f>IF($A150="","",COUNTIFS(Başvuru!$I:$I,Toplantı!$B$8,Başvuru!$D:$D,$A$150))</f>
        <v/>
      </c>
      <c r="G150" s="176" t="str">
        <f>IF($A150="","",COUNTIFS(Başvuru!$I:$I,Toplantı!$B$9,Başvuru!$D:$D,$A$150))</f>
        <v/>
      </c>
      <c r="H150" s="176" t="str">
        <f>IF($A150="","",COUNTIFS(Başvuru!$I:$I,Toplantı!$B$10,Başvuru!$D:$D,$A$150))</f>
        <v/>
      </c>
      <c r="I150" s="176" t="str">
        <f>IF($A150="","",COUNTIFS(Başvuru!$I:$I,Toplantı!$B$11,Başvuru!$D:$D,$A$150))</f>
        <v/>
      </c>
      <c r="J150" s="176" t="str">
        <f>IF($A150="","",COUNTIFS(Başvuru!$I:$I,Toplantı!$B$12,Başvuru!$D:$D,$A$150))</f>
        <v/>
      </c>
      <c r="K150" s="176" t="str">
        <f>IF($A150="","",COUNTIFS(Başvuru!$I:$I,Toplantı!$B$13,Başvuru!$D:$D,$A$150))</f>
        <v/>
      </c>
      <c r="L150" s="176" t="str">
        <f>IF($A150="","",COUNTIFS(Başvuru!$I:$I,Toplantı!$B$14,Başvuru!$D:$D,$A$150))</f>
        <v/>
      </c>
      <c r="M150" s="176" t="str">
        <f>IF($A150="","",COUNTIFS(Başvuru!$I:$I,Toplantı!$B$15,Başvuru!$D:$D,$A$150))</f>
        <v/>
      </c>
      <c r="N150" s="176" t="str">
        <f>IF($A150="","",COUNTIFS(Başvuru!$I:$I,Toplantı!$B$16,Başvuru!$D:$D,$A$150))</f>
        <v/>
      </c>
      <c r="O150" s="176" t="str">
        <f>IF($A150="","",COUNTIFS(Başvuru!$I:$I,Toplantı!$B$17,Başvuru!$D:$D,$A$150))</f>
        <v/>
      </c>
      <c r="P150" s="176" t="str">
        <f>IF($A150="","",COUNTIFS(Başvuru!$I:$I,Toplantı!$B$18,Başvuru!$D:$D,$A$150))</f>
        <v/>
      </c>
      <c r="Q150" s="176" t="str">
        <f>IF($A150="","",COUNTIFS(Başvuru!$I:$I,Toplantı!$B$19,Başvuru!$D:$D,$A$150))</f>
        <v/>
      </c>
      <c r="R150" s="176" t="str">
        <f>IF($A150="","",COUNTIFS(Başvuru!$I:$I,Toplantı!$B$20,Başvuru!$D:$D,$A$150))</f>
        <v/>
      </c>
      <c r="S150" s="177">
        <f t="shared" si="4"/>
        <v>0</v>
      </c>
    </row>
    <row r="151" spans="1:19" x14ac:dyDescent="0.25">
      <c r="A151" s="175" t="str">
        <f>IF(Birim!C153="","",Birim!C153)</f>
        <v/>
      </c>
      <c r="B151" s="176" t="str">
        <f>IF($A151="","",COUNTIFS(Başvuru!$I:$I,Toplantı!$B$4,Başvuru!$D:$D,$A$151))</f>
        <v/>
      </c>
      <c r="C151" s="176" t="str">
        <f>IF($A151="","",COUNTIFS(Başvuru!$I:$I,Toplantı!$B$5,Başvuru!$D:$D,$A$151))</f>
        <v/>
      </c>
      <c r="D151" s="176" t="str">
        <f>IF($A151="","",COUNTIFS(Başvuru!$I:$I,Toplantı!$B$6,Başvuru!$D:$D,$A$151))</f>
        <v/>
      </c>
      <c r="E151" s="176" t="str">
        <f>IF($A151="","",COUNTIFS(Başvuru!$I:$I,Toplantı!$B$7,Başvuru!$D:$D,$A$151))</f>
        <v/>
      </c>
      <c r="F151" s="176" t="str">
        <f>IF($A151="","",COUNTIFS(Başvuru!$I:$I,Toplantı!$B$8,Başvuru!$D:$D,$A$151))</f>
        <v/>
      </c>
      <c r="G151" s="176" t="str">
        <f>IF($A151="","",COUNTIFS(Başvuru!$I:$I,Toplantı!$B$9,Başvuru!$D:$D,$A$151))</f>
        <v/>
      </c>
      <c r="H151" s="176" t="str">
        <f>IF($A151="","",COUNTIFS(Başvuru!$I:$I,Toplantı!$B$10,Başvuru!$D:$D,$A$151))</f>
        <v/>
      </c>
      <c r="I151" s="176" t="str">
        <f>IF($A151="","",COUNTIFS(Başvuru!$I:$I,Toplantı!$B$11,Başvuru!$D:$D,$A$151))</f>
        <v/>
      </c>
      <c r="J151" s="176" t="str">
        <f>IF($A151="","",COUNTIFS(Başvuru!$I:$I,Toplantı!$B$12,Başvuru!$D:$D,$A$151))</f>
        <v/>
      </c>
      <c r="K151" s="176" t="str">
        <f>IF($A151="","",COUNTIFS(Başvuru!$I:$I,Toplantı!$B$13,Başvuru!$D:$D,$A$151))</f>
        <v/>
      </c>
      <c r="L151" s="176" t="str">
        <f>IF($A151="","",COUNTIFS(Başvuru!$I:$I,Toplantı!$B$14,Başvuru!$D:$D,$A$151))</f>
        <v/>
      </c>
      <c r="M151" s="176" t="str">
        <f>IF($A151="","",COUNTIFS(Başvuru!$I:$I,Toplantı!$B$15,Başvuru!$D:$D,$A$151))</f>
        <v/>
      </c>
      <c r="N151" s="176" t="str">
        <f>IF($A151="","",COUNTIFS(Başvuru!$I:$I,Toplantı!$B$16,Başvuru!$D:$D,$A$151))</f>
        <v/>
      </c>
      <c r="O151" s="176" t="str">
        <f>IF($A151="","",COUNTIFS(Başvuru!$I:$I,Toplantı!$B$17,Başvuru!$D:$D,$A$151))</f>
        <v/>
      </c>
      <c r="P151" s="176" t="str">
        <f>IF($A151="","",COUNTIFS(Başvuru!$I:$I,Toplantı!$B$18,Başvuru!$D:$D,$A$151))</f>
        <v/>
      </c>
      <c r="Q151" s="176" t="str">
        <f>IF($A151="","",COUNTIFS(Başvuru!$I:$I,Toplantı!$B$19,Başvuru!$D:$D,$A$151))</f>
        <v/>
      </c>
      <c r="R151" s="176" t="str">
        <f>IF($A151="","",COUNTIFS(Başvuru!$I:$I,Toplantı!$B$20,Başvuru!$D:$D,$A$151))</f>
        <v/>
      </c>
      <c r="S151" s="177">
        <f t="shared" si="4"/>
        <v>0</v>
      </c>
    </row>
    <row r="152" spans="1:19" x14ac:dyDescent="0.25">
      <c r="A152" s="175" t="str">
        <f>IF(Birim!C154="","",Birim!C154)</f>
        <v/>
      </c>
      <c r="B152" s="176" t="str">
        <f>IF($A152="","",COUNTIFS(Başvuru!$I:$I,Toplantı!$B$4,Başvuru!$D:$D,$A$152))</f>
        <v/>
      </c>
      <c r="C152" s="176" t="str">
        <f>IF($A152="","",COUNTIFS(Başvuru!$I:$I,Toplantı!$B$5,Başvuru!$D:$D,$A$152))</f>
        <v/>
      </c>
      <c r="D152" s="176" t="str">
        <f>IF($A152="","",COUNTIFS(Başvuru!$I:$I,Toplantı!$B$6,Başvuru!$D:$D,$A$152))</f>
        <v/>
      </c>
      <c r="E152" s="176" t="str">
        <f>IF($A152="","",COUNTIFS(Başvuru!$I:$I,Toplantı!$B$7,Başvuru!$D:$D,$A$152))</f>
        <v/>
      </c>
      <c r="F152" s="176" t="str">
        <f>IF($A152="","",COUNTIFS(Başvuru!$I:$I,Toplantı!$B$8,Başvuru!$D:$D,$A$152))</f>
        <v/>
      </c>
      <c r="G152" s="176" t="str">
        <f>IF($A152="","",COUNTIFS(Başvuru!$I:$I,Toplantı!$B$9,Başvuru!$D:$D,$A$152))</f>
        <v/>
      </c>
      <c r="H152" s="176" t="str">
        <f>IF($A152="","",COUNTIFS(Başvuru!$I:$I,Toplantı!$B$10,Başvuru!$D:$D,$A$152))</f>
        <v/>
      </c>
      <c r="I152" s="176" t="str">
        <f>IF($A152="","",COUNTIFS(Başvuru!$I:$I,Toplantı!$B$11,Başvuru!$D:$D,$A$152))</f>
        <v/>
      </c>
      <c r="J152" s="176" t="str">
        <f>IF($A152="","",COUNTIFS(Başvuru!$I:$I,Toplantı!$B$12,Başvuru!$D:$D,$A$152))</f>
        <v/>
      </c>
      <c r="K152" s="176" t="str">
        <f>IF($A152="","",COUNTIFS(Başvuru!$I:$I,Toplantı!$B$13,Başvuru!$D:$D,$A$152))</f>
        <v/>
      </c>
      <c r="L152" s="176" t="str">
        <f>IF($A152="","",COUNTIFS(Başvuru!$I:$I,Toplantı!$B$14,Başvuru!$D:$D,$A$152))</f>
        <v/>
      </c>
      <c r="M152" s="176" t="str">
        <f>IF($A152="","",COUNTIFS(Başvuru!$I:$I,Toplantı!$B$15,Başvuru!$D:$D,$A$152))</f>
        <v/>
      </c>
      <c r="N152" s="176" t="str">
        <f>IF($A152="","",COUNTIFS(Başvuru!$I:$I,Toplantı!$B$16,Başvuru!$D:$D,$A$152))</f>
        <v/>
      </c>
      <c r="O152" s="176" t="str">
        <f>IF($A152="","",COUNTIFS(Başvuru!$I:$I,Toplantı!$B$17,Başvuru!$D:$D,$A$152))</f>
        <v/>
      </c>
      <c r="P152" s="176" t="str">
        <f>IF($A152="","",COUNTIFS(Başvuru!$I:$I,Toplantı!$B$18,Başvuru!$D:$D,$A$152))</f>
        <v/>
      </c>
      <c r="Q152" s="176" t="str">
        <f>IF($A152="","",COUNTIFS(Başvuru!$I:$I,Toplantı!$B$19,Başvuru!$D:$D,$A$152))</f>
        <v/>
      </c>
      <c r="R152" s="176" t="str">
        <f>IF($A152="","",COUNTIFS(Başvuru!$I:$I,Toplantı!$B$20,Başvuru!$D:$D,$A$152))</f>
        <v/>
      </c>
      <c r="S152" s="177">
        <f t="shared" si="4"/>
        <v>0</v>
      </c>
    </row>
    <row r="153" spans="1:19" x14ac:dyDescent="0.25">
      <c r="A153" s="175" t="str">
        <f>IF(Birim!C155="","",Birim!C155)</f>
        <v/>
      </c>
      <c r="B153" s="176" t="str">
        <f>IF($A153="","",COUNTIFS(Başvuru!$I:$I,Toplantı!$B$4,Başvuru!$D:$D,$A$153))</f>
        <v/>
      </c>
      <c r="C153" s="176" t="str">
        <f>IF($A153="","",COUNTIFS(Başvuru!$I:$I,Toplantı!$B$5,Başvuru!$D:$D,$A$153))</f>
        <v/>
      </c>
      <c r="D153" s="176" t="str">
        <f>IF($A153="","",COUNTIFS(Başvuru!$I:$I,Toplantı!$B$6,Başvuru!$D:$D,$A$153))</f>
        <v/>
      </c>
      <c r="E153" s="176" t="str">
        <f>IF($A153="","",COUNTIFS(Başvuru!$I:$I,Toplantı!$B$7,Başvuru!$D:$D,$A$153))</f>
        <v/>
      </c>
      <c r="F153" s="176" t="str">
        <f>IF($A153="","",COUNTIFS(Başvuru!$I:$I,Toplantı!$B$8,Başvuru!$D:$D,$A$153))</f>
        <v/>
      </c>
      <c r="G153" s="176" t="str">
        <f>IF($A153="","",COUNTIFS(Başvuru!$I:$I,Toplantı!$B$9,Başvuru!$D:$D,$A$153))</f>
        <v/>
      </c>
      <c r="H153" s="176" t="str">
        <f>IF($A153="","",COUNTIFS(Başvuru!$I:$I,Toplantı!$B$10,Başvuru!$D:$D,$A$153))</f>
        <v/>
      </c>
      <c r="I153" s="176" t="str">
        <f>IF($A153="","",COUNTIFS(Başvuru!$I:$I,Toplantı!$B$11,Başvuru!$D:$D,$A$153))</f>
        <v/>
      </c>
      <c r="J153" s="176" t="str">
        <f>IF($A153="","",COUNTIFS(Başvuru!$I:$I,Toplantı!$B$12,Başvuru!$D:$D,$A$153))</f>
        <v/>
      </c>
      <c r="K153" s="176" t="str">
        <f>IF($A153="","",COUNTIFS(Başvuru!$I:$I,Toplantı!$B$13,Başvuru!$D:$D,$A$153))</f>
        <v/>
      </c>
      <c r="L153" s="176" t="str">
        <f>IF($A153="","",COUNTIFS(Başvuru!$I:$I,Toplantı!$B$14,Başvuru!$D:$D,$A$153))</f>
        <v/>
      </c>
      <c r="M153" s="176" t="str">
        <f>IF($A153="","",COUNTIFS(Başvuru!$I:$I,Toplantı!$B$15,Başvuru!$D:$D,$A$153))</f>
        <v/>
      </c>
      <c r="N153" s="176" t="str">
        <f>IF($A153="","",COUNTIFS(Başvuru!$I:$I,Toplantı!$B$16,Başvuru!$D:$D,$A$153))</f>
        <v/>
      </c>
      <c r="O153" s="176" t="str">
        <f>IF($A153="","",COUNTIFS(Başvuru!$I:$I,Toplantı!$B$17,Başvuru!$D:$D,$A$153))</f>
        <v/>
      </c>
      <c r="P153" s="176" t="str">
        <f>IF($A153="","",COUNTIFS(Başvuru!$I:$I,Toplantı!$B$18,Başvuru!$D:$D,$A$153))</f>
        <v/>
      </c>
      <c r="Q153" s="176" t="str">
        <f>IF($A153="","",COUNTIFS(Başvuru!$I:$I,Toplantı!$B$19,Başvuru!$D:$D,$A$153))</f>
        <v/>
      </c>
      <c r="R153" s="176" t="str">
        <f>IF($A153="","",COUNTIFS(Başvuru!$I:$I,Toplantı!$B$20,Başvuru!$D:$D,$A$153))</f>
        <v/>
      </c>
      <c r="S153" s="177">
        <f t="shared" si="4"/>
        <v>0</v>
      </c>
    </row>
    <row r="154" spans="1:19" x14ac:dyDescent="0.25">
      <c r="A154" s="175" t="s">
        <v>4</v>
      </c>
      <c r="B154" s="176">
        <f t="shared" ref="B154:S154" si="5">SUM(B4:B153)</f>
        <v>55</v>
      </c>
      <c r="C154" s="176">
        <f t="shared" si="5"/>
        <v>45</v>
      </c>
      <c r="D154" s="176">
        <f t="shared" si="5"/>
        <v>45</v>
      </c>
      <c r="E154" s="176">
        <f t="shared" si="5"/>
        <v>45</v>
      </c>
      <c r="F154" s="176">
        <f t="shared" si="5"/>
        <v>35</v>
      </c>
      <c r="G154" s="176">
        <f t="shared" si="5"/>
        <v>47</v>
      </c>
      <c r="H154" s="176">
        <f t="shared" si="5"/>
        <v>40</v>
      </c>
      <c r="I154" s="176">
        <f t="shared" si="5"/>
        <v>40</v>
      </c>
      <c r="J154" s="176">
        <f t="shared" si="5"/>
        <v>48</v>
      </c>
      <c r="K154" s="176">
        <f t="shared" si="5"/>
        <v>52</v>
      </c>
      <c r="L154" s="176">
        <f t="shared" si="5"/>
        <v>40</v>
      </c>
      <c r="M154" s="176">
        <f t="shared" si="5"/>
        <v>46</v>
      </c>
      <c r="N154" s="176">
        <f t="shared" si="5"/>
        <v>50</v>
      </c>
      <c r="O154" s="176">
        <f t="shared" si="5"/>
        <v>51</v>
      </c>
      <c r="P154" s="176">
        <f t="shared" si="5"/>
        <v>34</v>
      </c>
      <c r="Q154" s="176">
        <f t="shared" si="5"/>
        <v>27</v>
      </c>
      <c r="R154" s="176">
        <f t="shared" si="5"/>
        <v>0</v>
      </c>
      <c r="S154" s="177">
        <f t="shared" si="5"/>
        <v>700</v>
      </c>
    </row>
    <row r="156" spans="1:19" x14ac:dyDescent="0.25">
      <c r="A156" t="s">
        <v>4408</v>
      </c>
    </row>
  </sheetData>
  <mergeCells count="2">
    <mergeCell ref="A1:S1"/>
    <mergeCell ref="A2:S2"/>
  </mergeCells>
  <conditionalFormatting sqref="B4:R153">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2:S506"/>
  <sheetViews>
    <sheetView showGridLines="0" showZeros="0" zoomScaleNormal="100" workbookViewId="0">
      <pane xSplit="2" ySplit="5" topLeftCell="C274" activePane="bottomRight" state="frozen"/>
      <selection pane="topRight" activeCell="C1" sqref="C1"/>
      <selection pane="bottomLeft" activeCell="A301" sqref="A301"/>
      <selection pane="bottomRight" activeCell="C193" sqref="C193"/>
    </sheetView>
  </sheetViews>
  <sheetFormatPr defaultColWidth="8.7109375" defaultRowHeight="23.25" customHeight="1" x14ac:dyDescent="0.25"/>
  <cols>
    <col min="1" max="1" width="3" customWidth="1"/>
    <col min="2" max="2" width="6.28515625" customWidth="1"/>
    <col min="3" max="3" width="34.85546875" customWidth="1"/>
    <col min="4" max="4" width="10" customWidth="1"/>
    <col min="5" max="5" width="8" customWidth="1"/>
    <col min="6" max="16" width="10" customWidth="1"/>
    <col min="17" max="17" width="36" hidden="1" customWidth="1"/>
    <col min="18" max="19" width="10" hidden="1" customWidth="1"/>
  </cols>
  <sheetData>
    <row r="2" spans="2:19" ht="23.25" customHeight="1" x14ac:dyDescent="0.25">
      <c r="B2" s="224" t="s">
        <v>4409</v>
      </c>
      <c r="C2" s="224"/>
      <c r="D2" s="224"/>
      <c r="E2" s="224"/>
      <c r="F2" s="224"/>
      <c r="G2" s="224"/>
      <c r="H2" s="224"/>
      <c r="I2" s="224"/>
      <c r="J2" s="224"/>
      <c r="K2" s="224"/>
      <c r="L2" s="224"/>
      <c r="M2" s="224"/>
      <c r="N2" s="224"/>
      <c r="O2" s="224"/>
      <c r="P2" s="224"/>
    </row>
    <row r="3" spans="2:19" ht="23.25" customHeight="1" x14ac:dyDescent="0.25">
      <c r="B3" s="225" t="s">
        <v>4390</v>
      </c>
      <c r="C3" s="225"/>
      <c r="D3" s="225"/>
      <c r="E3" s="225"/>
      <c r="F3" s="225"/>
      <c r="G3" s="225"/>
      <c r="H3" s="225"/>
      <c r="I3" s="225"/>
      <c r="J3" s="225"/>
      <c r="K3" s="225"/>
      <c r="L3" s="225"/>
      <c r="M3" s="225"/>
      <c r="N3" s="225"/>
      <c r="O3" s="225"/>
      <c r="P3" s="225"/>
    </row>
    <row r="5" spans="2:19" ht="23.25" customHeight="1" x14ac:dyDescent="0.25">
      <c r="B5" s="147" t="s">
        <v>4391</v>
      </c>
      <c r="C5" s="148" t="s">
        <v>4392</v>
      </c>
      <c r="D5" s="149" t="s">
        <v>4</v>
      </c>
      <c r="E5" s="147" t="s">
        <v>4393</v>
      </c>
      <c r="F5" s="150" t="s">
        <v>4394</v>
      </c>
      <c r="G5" s="150" t="s">
        <v>4395</v>
      </c>
      <c r="H5" s="150" t="s">
        <v>4396</v>
      </c>
      <c r="I5" s="150" t="s">
        <v>4397</v>
      </c>
      <c r="J5" s="151" t="s">
        <v>77</v>
      </c>
      <c r="K5" s="152" t="s">
        <v>4398</v>
      </c>
      <c r="L5" s="153" t="s">
        <v>218</v>
      </c>
      <c r="M5" s="154" t="s">
        <v>206</v>
      </c>
      <c r="N5" s="155" t="s">
        <v>172</v>
      </c>
      <c r="O5" s="156" t="s">
        <v>4399</v>
      </c>
      <c r="P5" s="157" t="s">
        <v>4400</v>
      </c>
      <c r="Q5" s="158" t="s">
        <v>4401</v>
      </c>
      <c r="R5" s="158" t="s">
        <v>4402</v>
      </c>
      <c r="S5" s="158" t="s">
        <v>4403</v>
      </c>
    </row>
    <row r="6" spans="2:19" ht="23.25" customHeight="1" x14ac:dyDescent="0.25">
      <c r="B6" s="159">
        <v>1</v>
      </c>
      <c r="C6" s="160" t="str">
        <f>IFERROR(INDEX($Q$6:$Q$505,MATCH(1,$S$6:$S$505,0)),"")</f>
        <v>Prof. Dr. Meltem Gülhan HALİL</v>
      </c>
      <c r="D6" s="161">
        <f>IF(C6="","",COUNTIFS(Başvuru!$C:$C,C6,Başvuru!$A:$A,"&lt;&gt;"&amp;"",Başvuru!$F:$F,"&lt;&gt;"&amp;""))</f>
        <v>17</v>
      </c>
      <c r="E6" s="159" t="str">
        <f>IF(C6="","-",IF(D6&gt;0,TEXT(D6/(COUNTIFS(Başvuru!$A:$A,"&lt;&gt;",Başvuru!$F:$F,"&lt;&gt;")-1)*100,"0.0")&amp;"%","-"))</f>
        <v>02%</v>
      </c>
      <c r="F6" s="162">
        <f>IF(C6="","",COUNTIFS(Başvuru!$C:$C,C6,Başvuru!$G:$G,"Bireysel Araştırma",Başvuru!$A:$A,"&lt;&gt;"&amp;"",Başvuru!$F:$F,"&lt;&gt;"&amp;""))</f>
        <v>15</v>
      </c>
      <c r="G6" s="162">
        <f>IF(C6="","",COUNTIFS(Başvuru!$C:$C,C6,Başvuru!$G:$G,"Uzmanlık Tezi",Başvuru!$A:$A,"&lt;&gt;"&amp;"",Başvuru!$F:$F,"&lt;&gt;"&amp;""))</f>
        <v>1</v>
      </c>
      <c r="H6" s="162">
        <f>IF(C6="","",COUNTIFS(Başvuru!$C:$C,C6,Başvuru!$G:$G,"Doktora Tezi",Başvuru!$A:$A,"&lt;&gt;"&amp;"",Başvuru!$F:$F,"&lt;&gt;"&amp;""))</f>
        <v>1</v>
      </c>
      <c r="I6" s="162">
        <f>IF(C6="","",COUNTIFS(Başvuru!$C:$C,C6,Başvuru!$G:$G,"Yüksek Lisans Tezi",Başvuru!$A:$A,"&lt;&gt;"&amp;"",Başvuru!$F:$F,"&lt;&gt;"&amp;""))</f>
        <v>0</v>
      </c>
      <c r="J6" s="163">
        <f>IF(C6="","",COUNTIFS(Başvuru!$C:$C,C6,Başvuru!$L:$L,"ONAY",Başvuru!$A:$A,"&lt;&gt;"&amp;"",Başvuru!$F:$F,"&lt;&gt;"&amp;""))</f>
        <v>7</v>
      </c>
      <c r="K6" s="164">
        <f>IF(C6="","",COUNTIFS(Başvuru!$C:$C,C6,Başvuru!$L:$L,"DÜZELTME",Başvuru!$A:$A,"&lt;&gt;"&amp;"",Başvuru!$F:$F,"&lt;&gt;"&amp;""))</f>
        <v>4</v>
      </c>
      <c r="L6" s="165">
        <f>IF(C6="","",COUNTIFS(Başvuru!$C:$C,C6,Başvuru!$L:$L,"KAEK",Başvuru!$A:$A,"&lt;&gt;"&amp;"",Başvuru!$F:$F,"&lt;&gt;"&amp;""))</f>
        <v>0</v>
      </c>
      <c r="M6" s="166">
        <f>IF(C6="","",COUNTIFS(Başvuru!$C:$C,C6,Başvuru!$L:$L,"GÖRÜŞ",Başvuru!$A:$A,"&lt;&gt;"&amp;"",Başvuru!$F:$F,"&lt;&gt;"&amp;""))</f>
        <v>4</v>
      </c>
      <c r="N6" s="167">
        <f>IF(C6="","",COUNTIFS(Başvuru!$C:$C,C6,Başvuru!$L:$L,"RET",Başvuru!$A:$A,"&lt;&gt;"&amp;"",Başvuru!$F:$F,"&lt;&gt;"&amp;""))</f>
        <v>2</v>
      </c>
      <c r="O6" s="168">
        <f>IF(C6="","",COUNTIFS(Başvuru!$C:$C,C6,Başvuru!$L:$L,"KAPSAM DIŞI",Başvuru!$A:$A,"&lt;&gt;"&amp;"",Başvuru!$F:$F,"&lt;&gt;"&amp;""))</f>
        <v>0</v>
      </c>
      <c r="P6" s="169">
        <f>IF(C6="","",COUNTIFS(Başvuru!$C:$C,C6,Başvuru!$L:$L,"GERİ ÇEKİLDİ",Başvuru!$A:$A,"&lt;&gt;"&amp;"",Başvuru!$F:$F,"&lt;&gt;"&amp;""))</f>
        <v>0</v>
      </c>
      <c r="Q6" s="170" t="str">
        <f t="array" ref="Q6">IFERROR(INDEX(Başvuru!$C$2:$C$3000, MATCH(0, COUNTIF($Q$5:Q5, Başvuru!$C$2:$C$3000) + IF(Başvuru!$C$2:$C$3000="",1,0), 0)), "")</f>
        <v>Dr. Vet. Hek. Özgür Doğuş EROL DUYAR</v>
      </c>
      <c r="R6" s="171">
        <f>IF(Q6="","",COUNTIFS(Başvuru!$C:$C,Q6,Başvuru!$A:$A,"&lt;&gt;"&amp;"",Başvuru!$F:$F,"&lt;&gt;"&amp;""))</f>
        <v>1</v>
      </c>
      <c r="S6" s="171">
        <f>IF(R6="","",RANK(R6,$R$6:$R$505,0)+COUNTIF($R$6:R6,R6)-1)</f>
        <v>148</v>
      </c>
    </row>
    <row r="7" spans="2:19" ht="23.25" customHeight="1" x14ac:dyDescent="0.25">
      <c r="B7" s="159">
        <v>2</v>
      </c>
      <c r="C7" s="160" t="str">
        <f>IFERROR(INDEX($Q$6:$Q$505,MATCH(2,$S$6:$S$505,0)),"")</f>
        <v>Prof. Dr. Deniz ÇAĞDAŞ AYVAZ</v>
      </c>
      <c r="D7" s="161">
        <f>IF(C7="","",COUNTIFS(Başvuru!$C:$C,C7,Başvuru!$A:$A,"&lt;&gt;"&amp;"",Başvuru!$F:$F,"&lt;&gt;"&amp;""))</f>
        <v>13</v>
      </c>
      <c r="E7" s="159" t="str">
        <f>IF(C7="","-",IF(D7&gt;0,TEXT(D7/(COUNTIFS(Başvuru!$A:$A,"&lt;&gt;",Başvuru!$F:$F,"&lt;&gt;")-1)*100,"0.0")&amp;"%","-"))</f>
        <v>02%</v>
      </c>
      <c r="F7" s="162">
        <f>IF(C7="","",COUNTIFS(Başvuru!$C:$C,C7,Başvuru!$G:$G,"Bireysel Araştırma",Başvuru!$A:$A,"&lt;&gt;"&amp;"",Başvuru!$F:$F,"&lt;&gt;"&amp;""))</f>
        <v>12</v>
      </c>
      <c r="G7" s="162">
        <f>IF(C7="","",COUNTIFS(Başvuru!$C:$C,C7,Başvuru!$G:$G,"Uzmanlık Tezi",Başvuru!$A:$A,"&lt;&gt;"&amp;"",Başvuru!$F:$F,"&lt;&gt;"&amp;""))</f>
        <v>0</v>
      </c>
      <c r="H7" s="162">
        <f>IF(C7="","",COUNTIFS(Başvuru!$C:$C,C7,Başvuru!$G:$G,"Doktora Tezi",Başvuru!$A:$A,"&lt;&gt;"&amp;"",Başvuru!$F:$F,"&lt;&gt;"&amp;""))</f>
        <v>0</v>
      </c>
      <c r="I7" s="162">
        <f>IF(C7="","",COUNTIFS(Başvuru!$C:$C,C7,Başvuru!$G:$G,"Yüksek Lisans Tezi",Başvuru!$A:$A,"&lt;&gt;"&amp;"",Başvuru!$F:$F,"&lt;&gt;"&amp;""))</f>
        <v>1</v>
      </c>
      <c r="J7" s="163">
        <f>IF(C7="","",COUNTIFS(Başvuru!$C:$C,C7,Başvuru!$L:$L,"ONAY",Başvuru!$A:$A,"&lt;&gt;"&amp;"",Başvuru!$F:$F,"&lt;&gt;"&amp;""))</f>
        <v>7</v>
      </c>
      <c r="K7" s="164">
        <f>IF(C7="","",COUNTIFS(Başvuru!$C:$C,C7,Başvuru!$L:$L,"DÜZELTME",Başvuru!$A:$A,"&lt;&gt;"&amp;"",Başvuru!$F:$F,"&lt;&gt;"&amp;""))</f>
        <v>4</v>
      </c>
      <c r="L7" s="165">
        <f>IF(C7="","",COUNTIFS(Başvuru!$C:$C,C7,Başvuru!$L:$L,"KAEK",Başvuru!$A:$A,"&lt;&gt;"&amp;"",Başvuru!$F:$F,"&lt;&gt;"&amp;""))</f>
        <v>0</v>
      </c>
      <c r="M7" s="166">
        <f>IF(C7="","",COUNTIFS(Başvuru!$C:$C,C7,Başvuru!$L:$L,"GÖRÜŞ",Başvuru!$A:$A,"&lt;&gt;"&amp;"",Başvuru!$F:$F,"&lt;&gt;"&amp;""))</f>
        <v>0</v>
      </c>
      <c r="N7" s="167">
        <f>IF(C7="","",COUNTIFS(Başvuru!$C:$C,C7,Başvuru!$L:$L,"RET",Başvuru!$A:$A,"&lt;&gt;"&amp;"",Başvuru!$F:$F,"&lt;&gt;"&amp;""))</f>
        <v>0</v>
      </c>
      <c r="O7" s="168">
        <f>IF(C7="","",COUNTIFS(Başvuru!$C:$C,C7,Başvuru!$L:$L,"KAPSAM DIŞI",Başvuru!$A:$A,"&lt;&gt;"&amp;"",Başvuru!$F:$F,"&lt;&gt;"&amp;""))</f>
        <v>0</v>
      </c>
      <c r="P7" s="169">
        <f>IF(C7="","",COUNTIFS(Başvuru!$C:$C,C7,Başvuru!$L:$L,"GERİ ÇEKİLDİ",Başvuru!$A:$A,"&lt;&gt;"&amp;"",Başvuru!$F:$F,"&lt;&gt;"&amp;""))</f>
        <v>0</v>
      </c>
      <c r="Q7" s="170" t="str">
        <f t="array" ref="Q7">IFERROR(INDEX(Başvuru!$C$2:$C$3000, MATCH(0, COUNTIF($Q$5:Q6, Başvuru!$C$2:$C$3000) + IF(Başvuru!$C$2:$C$3000="",1,0), 0)), "")</f>
        <v>Prof. Dr. Esra BİRBEN</v>
      </c>
      <c r="R7" s="171">
        <f>IF(Q7="","",COUNTIFS(Başvuru!$C:$C,Q7,Başvuru!$A:$A,"&lt;&gt;"&amp;"",Başvuru!$F:$F,"&lt;&gt;"&amp;""))</f>
        <v>1</v>
      </c>
      <c r="S7" s="171">
        <f>IF(R7="","",RANK(R7,$R$6:$R$505,0)+COUNTIF($R$6:R7,R7)-1)</f>
        <v>149</v>
      </c>
    </row>
    <row r="8" spans="2:19" ht="23.25" customHeight="1" x14ac:dyDescent="0.25">
      <c r="B8" s="159">
        <v>3</v>
      </c>
      <c r="C8" s="160" t="str">
        <f>IFERROR(INDEX($Q$6:$Q$505,MATCH(3,$S$6:$S$505,0)),"")</f>
        <v>Prof. Dr. Taylan KAV</v>
      </c>
      <c r="D8" s="161">
        <f>IF(C8="","",COUNTIFS(Başvuru!$C:$C,C8,Başvuru!$A:$A,"&lt;&gt;"&amp;"",Başvuru!$F:$F,"&lt;&gt;"&amp;""))</f>
        <v>11</v>
      </c>
      <c r="E8" s="159" t="str">
        <f>IF(C8="","-",IF(D8&gt;0,TEXT(D8/(COUNTIFS(Başvuru!$A:$A,"&lt;&gt;",Başvuru!$F:$F,"&lt;&gt;")-1)*100,"0.0")&amp;"%","-"))</f>
        <v>02%</v>
      </c>
      <c r="F8" s="162">
        <f>IF(C8="","",COUNTIFS(Başvuru!$C:$C,C8,Başvuru!$G:$G,"Bireysel Araştırma",Başvuru!$A:$A,"&lt;&gt;"&amp;"",Başvuru!$F:$F,"&lt;&gt;"&amp;""))</f>
        <v>10</v>
      </c>
      <c r="G8" s="162">
        <f>IF(C8="","",COUNTIFS(Başvuru!$C:$C,C8,Başvuru!$G:$G,"Uzmanlık Tezi",Başvuru!$A:$A,"&lt;&gt;"&amp;"",Başvuru!$F:$F,"&lt;&gt;"&amp;""))</f>
        <v>1</v>
      </c>
      <c r="H8" s="162">
        <f>IF(C8="","",COUNTIFS(Başvuru!$C:$C,C8,Başvuru!$G:$G,"Doktora Tezi",Başvuru!$A:$A,"&lt;&gt;"&amp;"",Başvuru!$F:$F,"&lt;&gt;"&amp;""))</f>
        <v>0</v>
      </c>
      <c r="I8" s="162">
        <f>IF(C8="","",COUNTIFS(Başvuru!$C:$C,C8,Başvuru!$G:$G,"Yüksek Lisans Tezi",Başvuru!$A:$A,"&lt;&gt;"&amp;"",Başvuru!$F:$F,"&lt;&gt;"&amp;""))</f>
        <v>0</v>
      </c>
      <c r="J8" s="163">
        <f>IF(C8="","",COUNTIFS(Başvuru!$C:$C,C8,Başvuru!$L:$L,"ONAY",Başvuru!$A:$A,"&lt;&gt;"&amp;"",Başvuru!$F:$F,"&lt;&gt;"&amp;""))</f>
        <v>5</v>
      </c>
      <c r="K8" s="164">
        <f>IF(C8="","",COUNTIFS(Başvuru!$C:$C,C8,Başvuru!$L:$L,"DÜZELTME",Başvuru!$A:$A,"&lt;&gt;"&amp;"",Başvuru!$F:$F,"&lt;&gt;"&amp;""))</f>
        <v>4</v>
      </c>
      <c r="L8" s="165">
        <f>IF(C8="","",COUNTIFS(Başvuru!$C:$C,C8,Başvuru!$L:$L,"KAEK",Başvuru!$A:$A,"&lt;&gt;"&amp;"",Başvuru!$F:$F,"&lt;&gt;"&amp;""))</f>
        <v>0</v>
      </c>
      <c r="M8" s="166">
        <f>IF(C8="","",COUNTIFS(Başvuru!$C:$C,C8,Başvuru!$L:$L,"GÖRÜŞ",Başvuru!$A:$A,"&lt;&gt;"&amp;"",Başvuru!$F:$F,"&lt;&gt;"&amp;""))</f>
        <v>0</v>
      </c>
      <c r="N8" s="167">
        <f>IF(C8="","",COUNTIFS(Başvuru!$C:$C,C8,Başvuru!$L:$L,"RET",Başvuru!$A:$A,"&lt;&gt;"&amp;"",Başvuru!$F:$F,"&lt;&gt;"&amp;""))</f>
        <v>0</v>
      </c>
      <c r="O8" s="168">
        <f>IF(C8="","",COUNTIFS(Başvuru!$C:$C,C8,Başvuru!$L:$L,"KAPSAM DIŞI",Başvuru!$A:$A,"&lt;&gt;"&amp;"",Başvuru!$F:$F,"&lt;&gt;"&amp;""))</f>
        <v>0</v>
      </c>
      <c r="P8" s="169">
        <f>IF(C8="","",COUNTIFS(Başvuru!$C:$C,C8,Başvuru!$L:$L,"GERİ ÇEKİLDİ",Başvuru!$A:$A,"&lt;&gt;"&amp;"",Başvuru!$F:$F,"&lt;&gt;"&amp;""))</f>
        <v>0</v>
      </c>
      <c r="Q8" s="170" t="str">
        <f t="array" ref="Q8">IFERROR(INDEX(Başvuru!$C$2:$C$3000, MATCH(0, COUNTIF($Q$5:Q7, Başvuru!$C$2:$C$3000) + IF(Başvuru!$C$2:$C$3000="",1,0), 0)), "")</f>
        <v>Doç. Dr. Gamze DURHAN</v>
      </c>
      <c r="R8" s="171">
        <f>IF(Q8="","",COUNTIFS(Başvuru!$C:$C,Q8,Başvuru!$A:$A,"&lt;&gt;"&amp;"",Başvuru!$F:$F,"&lt;&gt;"&amp;""))</f>
        <v>4</v>
      </c>
      <c r="S8" s="171">
        <f>IF(R8="","",RANK(R8,$R$6:$R$505,0)+COUNTIF($R$6:R8,R8)-1)</f>
        <v>30</v>
      </c>
    </row>
    <row r="9" spans="2:19" ht="23.25" customHeight="1" x14ac:dyDescent="0.25">
      <c r="B9" s="159">
        <v>4</v>
      </c>
      <c r="C9" s="160" t="str">
        <f>IFERROR(INDEX($Q$6:$Q$505,MATCH(4,$S$6:$S$505,0)),"")</f>
        <v>Doç. Dr. Mert EŞME</v>
      </c>
      <c r="D9" s="161">
        <f>IF(C9="","",COUNTIFS(Başvuru!$C:$C,C9,Başvuru!$A:$A,"&lt;&gt;"&amp;"",Başvuru!$F:$F,"&lt;&gt;"&amp;""))</f>
        <v>10</v>
      </c>
      <c r="E9" s="159" t="str">
        <f>IF(C9="","-",IF(D9&gt;0,TEXT(D9/(COUNTIFS(Başvuru!$A:$A,"&lt;&gt;",Başvuru!$F:$F,"&lt;&gt;")-1)*100,"0.0")&amp;"%","-"))</f>
        <v>01%</v>
      </c>
      <c r="F9" s="162">
        <f>IF(C9="","",COUNTIFS(Başvuru!$C:$C,C9,Başvuru!$G:$G,"Bireysel Araştırma",Başvuru!$A:$A,"&lt;&gt;"&amp;"",Başvuru!$F:$F,"&lt;&gt;"&amp;""))</f>
        <v>9</v>
      </c>
      <c r="G9" s="162">
        <f>IF(C9="","",COUNTIFS(Başvuru!$C:$C,C9,Başvuru!$G:$G,"Uzmanlık Tezi",Başvuru!$A:$A,"&lt;&gt;"&amp;"",Başvuru!$F:$F,"&lt;&gt;"&amp;""))</f>
        <v>1</v>
      </c>
      <c r="H9" s="162">
        <f>IF(C9="","",COUNTIFS(Başvuru!$C:$C,C9,Başvuru!$G:$G,"Doktora Tezi",Başvuru!$A:$A,"&lt;&gt;"&amp;"",Başvuru!$F:$F,"&lt;&gt;"&amp;""))</f>
        <v>0</v>
      </c>
      <c r="I9" s="162">
        <f>IF(C9="","",COUNTIFS(Başvuru!$C:$C,C9,Başvuru!$G:$G,"Yüksek Lisans Tezi",Başvuru!$A:$A,"&lt;&gt;"&amp;"",Başvuru!$F:$F,"&lt;&gt;"&amp;""))</f>
        <v>0</v>
      </c>
      <c r="J9" s="163">
        <f>IF(C9="","",COUNTIFS(Başvuru!$C:$C,C9,Başvuru!$L:$L,"ONAY",Başvuru!$A:$A,"&lt;&gt;"&amp;"",Başvuru!$F:$F,"&lt;&gt;"&amp;""))</f>
        <v>5</v>
      </c>
      <c r="K9" s="164">
        <f>IF(C9="","",COUNTIFS(Başvuru!$C:$C,C9,Başvuru!$L:$L,"DÜZELTME",Başvuru!$A:$A,"&lt;&gt;"&amp;"",Başvuru!$F:$F,"&lt;&gt;"&amp;""))</f>
        <v>2</v>
      </c>
      <c r="L9" s="165">
        <f>IF(C9="","",COUNTIFS(Başvuru!$C:$C,C9,Başvuru!$L:$L,"KAEK",Başvuru!$A:$A,"&lt;&gt;"&amp;"",Başvuru!$F:$F,"&lt;&gt;"&amp;""))</f>
        <v>0</v>
      </c>
      <c r="M9" s="166">
        <f>IF(C9="","",COUNTIFS(Başvuru!$C:$C,C9,Başvuru!$L:$L,"GÖRÜŞ",Başvuru!$A:$A,"&lt;&gt;"&amp;"",Başvuru!$F:$F,"&lt;&gt;"&amp;""))</f>
        <v>2</v>
      </c>
      <c r="N9" s="167">
        <f>IF(C9="","",COUNTIFS(Başvuru!$C:$C,C9,Başvuru!$L:$L,"RET",Başvuru!$A:$A,"&lt;&gt;"&amp;"",Başvuru!$F:$F,"&lt;&gt;"&amp;""))</f>
        <v>0</v>
      </c>
      <c r="O9" s="168">
        <f>IF(C9="","",COUNTIFS(Başvuru!$C:$C,C9,Başvuru!$L:$L,"KAPSAM DIŞI",Başvuru!$A:$A,"&lt;&gt;"&amp;"",Başvuru!$F:$F,"&lt;&gt;"&amp;""))</f>
        <v>1</v>
      </c>
      <c r="P9" s="169">
        <f>IF(C9="","",COUNTIFS(Başvuru!$C:$C,C9,Başvuru!$L:$L,"GERİ ÇEKİLDİ",Başvuru!$A:$A,"&lt;&gt;"&amp;"",Başvuru!$F:$F,"&lt;&gt;"&amp;""))</f>
        <v>0</v>
      </c>
      <c r="Q9" s="170" t="str">
        <f t="array" ref="Q9">IFERROR(INDEX(Başvuru!$C$2:$C$3000, MATCH(0, COUNTIF($Q$5:Q8, Başvuru!$C$2:$C$3000) + IF(Başvuru!$C$2:$C$3000="",1,0), 0)), "")</f>
        <v>Prof. Dr. Bayram ŞAHİN</v>
      </c>
      <c r="R9" s="171">
        <f>IF(Q9="","",COUNTIFS(Başvuru!$C:$C,Q9,Başvuru!$A:$A,"&lt;&gt;"&amp;"",Başvuru!$F:$F,"&lt;&gt;"&amp;""))</f>
        <v>2</v>
      </c>
      <c r="S9" s="171">
        <f>IF(R9="","",RANK(R9,$R$6:$R$505,0)+COUNTIF($R$6:R9,R9)-1)</f>
        <v>76</v>
      </c>
    </row>
    <row r="10" spans="2:19" ht="23.25" customHeight="1" x14ac:dyDescent="0.25">
      <c r="B10" s="159">
        <v>5</v>
      </c>
      <c r="C10" s="160" t="str">
        <f>IFERROR(INDEX($Q$6:$Q$505,MATCH(5,$S$6:$S$505,0)),"")</f>
        <v>Prof. Dr. Yasemin ÖZSÜREKCİ</v>
      </c>
      <c r="D10" s="161">
        <f>IF(C10="","",COUNTIFS(Başvuru!$C:$C,C10,Başvuru!$A:$A,"&lt;&gt;"&amp;"",Başvuru!$F:$F,"&lt;&gt;"&amp;""))</f>
        <v>9</v>
      </c>
      <c r="E10" s="159" t="str">
        <f>IF(C10="","-",IF(D10&gt;0,TEXT(D10/(COUNTIFS(Başvuru!$A:$A,"&lt;&gt;",Başvuru!$F:$F,"&lt;&gt;")-1)*100,"0.0")&amp;"%","-"))</f>
        <v>01%</v>
      </c>
      <c r="F10" s="162">
        <f>IF(C10="","",COUNTIFS(Başvuru!$C:$C,C10,Başvuru!$G:$G,"Bireysel Araştırma",Başvuru!$A:$A,"&lt;&gt;"&amp;"",Başvuru!$F:$F,"&lt;&gt;"&amp;""))</f>
        <v>8</v>
      </c>
      <c r="G10" s="162">
        <f>IF(C10="","",COUNTIFS(Başvuru!$C:$C,C10,Başvuru!$G:$G,"Uzmanlık Tezi",Başvuru!$A:$A,"&lt;&gt;"&amp;"",Başvuru!$F:$F,"&lt;&gt;"&amp;""))</f>
        <v>1</v>
      </c>
      <c r="H10" s="162">
        <f>IF(C10="","",COUNTIFS(Başvuru!$C:$C,C10,Başvuru!$G:$G,"Doktora Tezi",Başvuru!$A:$A,"&lt;&gt;"&amp;"",Başvuru!$F:$F,"&lt;&gt;"&amp;""))</f>
        <v>0</v>
      </c>
      <c r="I10" s="162">
        <f>IF(C10="","",COUNTIFS(Başvuru!$C:$C,C10,Başvuru!$G:$G,"Yüksek Lisans Tezi",Başvuru!$A:$A,"&lt;&gt;"&amp;"",Başvuru!$F:$F,"&lt;&gt;"&amp;""))</f>
        <v>0</v>
      </c>
      <c r="J10" s="163">
        <f>IF(C10="","",COUNTIFS(Başvuru!$C:$C,C10,Başvuru!$L:$L,"ONAY",Başvuru!$A:$A,"&lt;&gt;"&amp;"",Başvuru!$F:$F,"&lt;&gt;"&amp;""))</f>
        <v>4</v>
      </c>
      <c r="K10" s="164">
        <f>IF(C10="","",COUNTIFS(Başvuru!$C:$C,C10,Başvuru!$L:$L,"DÜZELTME",Başvuru!$A:$A,"&lt;&gt;"&amp;"",Başvuru!$F:$F,"&lt;&gt;"&amp;""))</f>
        <v>3</v>
      </c>
      <c r="L10" s="165">
        <f>IF(C10="","",COUNTIFS(Başvuru!$C:$C,C10,Başvuru!$L:$L,"KAEK",Başvuru!$A:$A,"&lt;&gt;"&amp;"",Başvuru!$F:$F,"&lt;&gt;"&amp;""))</f>
        <v>0</v>
      </c>
      <c r="M10" s="166">
        <f>IF(C10="","",COUNTIFS(Başvuru!$C:$C,C10,Başvuru!$L:$L,"GÖRÜŞ",Başvuru!$A:$A,"&lt;&gt;"&amp;"",Başvuru!$F:$F,"&lt;&gt;"&amp;""))</f>
        <v>1</v>
      </c>
      <c r="N10" s="167">
        <f>IF(C10="","",COUNTIFS(Başvuru!$C:$C,C10,Başvuru!$L:$L,"RET",Başvuru!$A:$A,"&lt;&gt;"&amp;"",Başvuru!$F:$F,"&lt;&gt;"&amp;""))</f>
        <v>1</v>
      </c>
      <c r="O10" s="168">
        <f>IF(C10="","",COUNTIFS(Başvuru!$C:$C,C10,Başvuru!$L:$L,"KAPSAM DIŞI",Başvuru!$A:$A,"&lt;&gt;"&amp;"",Başvuru!$F:$F,"&lt;&gt;"&amp;""))</f>
        <v>0</v>
      </c>
      <c r="P10" s="169">
        <f>IF(C10="","",COUNTIFS(Başvuru!$C:$C,C10,Başvuru!$L:$L,"GERİ ÇEKİLDİ",Başvuru!$A:$A,"&lt;&gt;"&amp;"",Başvuru!$F:$F,"&lt;&gt;"&amp;""))</f>
        <v>0</v>
      </c>
      <c r="Q10" s="170" t="str">
        <f t="array" ref="Q10">IFERROR(INDEX(Başvuru!$C$2:$C$3000, MATCH(0, COUNTIF($Q$5:Q9, Başvuru!$C$2:$C$3000) + IF(Başvuru!$C$2:$C$3000="",1,0), 0)), "")</f>
        <v>Prof. Dr. Ömür ÇELİKBIÇAK</v>
      </c>
      <c r="R10" s="171">
        <f>IF(Q10="","",COUNTIFS(Başvuru!$C:$C,Q10,Başvuru!$A:$A,"&lt;&gt;"&amp;"",Başvuru!$F:$F,"&lt;&gt;"&amp;""))</f>
        <v>1</v>
      </c>
      <c r="S10" s="171">
        <f>IF(R10="","",RANK(R10,$R$6:$R$505,0)+COUNTIF($R$6:R10,R10)-1)</f>
        <v>150</v>
      </c>
    </row>
    <row r="11" spans="2:19" ht="23.25" customHeight="1" x14ac:dyDescent="0.25">
      <c r="B11" s="159">
        <v>6</v>
      </c>
      <c r="C11" s="160" t="str">
        <f>IFERROR(INDEX($Q$6:$Q$505,MATCH(6,$S$6:$S$505,0)),"")</f>
        <v>Prof. Dr. Salih Kutay DEMİRKAN</v>
      </c>
      <c r="D11" s="161">
        <f>IF(C11="","",COUNTIFS(Başvuru!$C:$C,C11,Başvuru!$A:$A,"&lt;&gt;"&amp;"",Başvuru!$F:$F,"&lt;&gt;"&amp;""))</f>
        <v>9</v>
      </c>
      <c r="E11" s="159" t="str">
        <f>IF(C11="","-",IF(D11&gt;0,TEXT(D11/(COUNTIFS(Başvuru!$A:$A,"&lt;&gt;",Başvuru!$F:$F,"&lt;&gt;")-1)*100,"0.0")&amp;"%","-"))</f>
        <v>01%</v>
      </c>
      <c r="F11" s="162">
        <f>IF(C11="","",COUNTIFS(Başvuru!$C:$C,C11,Başvuru!$G:$G,"Bireysel Araştırma",Başvuru!$A:$A,"&lt;&gt;"&amp;"",Başvuru!$F:$F,"&lt;&gt;"&amp;""))</f>
        <v>4</v>
      </c>
      <c r="G11" s="162">
        <f>IF(C11="","",COUNTIFS(Başvuru!$C:$C,C11,Başvuru!$G:$G,"Uzmanlık Tezi",Başvuru!$A:$A,"&lt;&gt;"&amp;"",Başvuru!$F:$F,"&lt;&gt;"&amp;""))</f>
        <v>2</v>
      </c>
      <c r="H11" s="162">
        <f>IF(C11="","",COUNTIFS(Başvuru!$C:$C,C11,Başvuru!$G:$G,"Doktora Tezi",Başvuru!$A:$A,"&lt;&gt;"&amp;"",Başvuru!$F:$F,"&lt;&gt;"&amp;""))</f>
        <v>3</v>
      </c>
      <c r="I11" s="162">
        <f>IF(C11="","",COUNTIFS(Başvuru!$C:$C,C11,Başvuru!$G:$G,"Yüksek Lisans Tezi",Başvuru!$A:$A,"&lt;&gt;"&amp;"",Başvuru!$F:$F,"&lt;&gt;"&amp;""))</f>
        <v>0</v>
      </c>
      <c r="J11" s="163">
        <f>IF(C11="","",COUNTIFS(Başvuru!$C:$C,C11,Başvuru!$L:$L,"ONAY",Başvuru!$A:$A,"&lt;&gt;"&amp;"",Başvuru!$F:$F,"&lt;&gt;"&amp;""))</f>
        <v>3</v>
      </c>
      <c r="K11" s="164">
        <f>IF(C11="","",COUNTIFS(Başvuru!$C:$C,C11,Başvuru!$L:$L,"DÜZELTME",Başvuru!$A:$A,"&lt;&gt;"&amp;"",Başvuru!$F:$F,"&lt;&gt;"&amp;""))</f>
        <v>4</v>
      </c>
      <c r="L11" s="165">
        <f>IF(C11="","",COUNTIFS(Başvuru!$C:$C,C11,Başvuru!$L:$L,"KAEK",Başvuru!$A:$A,"&lt;&gt;"&amp;"",Başvuru!$F:$F,"&lt;&gt;"&amp;""))</f>
        <v>0</v>
      </c>
      <c r="M11" s="166">
        <f>IF(C11="","",COUNTIFS(Başvuru!$C:$C,C11,Başvuru!$L:$L,"GÖRÜŞ",Başvuru!$A:$A,"&lt;&gt;"&amp;"",Başvuru!$F:$F,"&lt;&gt;"&amp;""))</f>
        <v>1</v>
      </c>
      <c r="N11" s="167">
        <f>IF(C11="","",COUNTIFS(Başvuru!$C:$C,C11,Başvuru!$L:$L,"RET",Başvuru!$A:$A,"&lt;&gt;"&amp;"",Başvuru!$F:$F,"&lt;&gt;"&amp;""))</f>
        <v>0</v>
      </c>
      <c r="O11" s="168">
        <f>IF(C11="","",COUNTIFS(Başvuru!$C:$C,C11,Başvuru!$L:$L,"KAPSAM DIŞI",Başvuru!$A:$A,"&lt;&gt;"&amp;"",Başvuru!$F:$F,"&lt;&gt;"&amp;""))</f>
        <v>0</v>
      </c>
      <c r="P11" s="169">
        <f>IF(C11="","",COUNTIFS(Başvuru!$C:$C,C11,Başvuru!$L:$L,"GERİ ÇEKİLDİ",Başvuru!$A:$A,"&lt;&gt;"&amp;"",Başvuru!$F:$F,"&lt;&gt;"&amp;""))</f>
        <v>0</v>
      </c>
      <c r="Q11" s="170" t="str">
        <f t="array" ref="Q11">IFERROR(INDEX(Başvuru!$C$2:$C$3000, MATCH(0, COUNTIF($Q$5:Q10, Başvuru!$C$2:$C$3000) + IF(Başvuru!$C$2:$C$3000="",1,0), 0)), "")</f>
        <v>Prof. Dr. Meltem Gülhan HALİL</v>
      </c>
      <c r="R11" s="171">
        <f>IF(Q11="","",COUNTIFS(Başvuru!$C:$C,Q11,Başvuru!$A:$A,"&lt;&gt;"&amp;"",Başvuru!$F:$F,"&lt;&gt;"&amp;""))</f>
        <v>17</v>
      </c>
      <c r="S11" s="171">
        <f>IF(R11="","",RANK(R11,$R$6:$R$505,0)+COUNTIF($R$6:R11,R11)-1)</f>
        <v>1</v>
      </c>
    </row>
    <row r="12" spans="2:19" ht="23.25" customHeight="1" x14ac:dyDescent="0.25">
      <c r="B12" s="159">
        <v>7</v>
      </c>
      <c r="C12" s="160" t="str">
        <f>IFERROR(INDEX($Q$6:$Q$505,MATCH(7,$S$6:$S$505,0)),"")</f>
        <v>Dr. Öğr. Üyesi Figen BEZCİ AYGÜN</v>
      </c>
      <c r="D12" s="161">
        <f>IF(C12="","",COUNTIFS(Başvuru!$C:$C,C12,Başvuru!$A:$A,"&lt;&gt;"&amp;"",Başvuru!$F:$F,"&lt;&gt;"&amp;""))</f>
        <v>8</v>
      </c>
      <c r="E12" s="159" t="str">
        <f>IF(C12="","-",IF(D12&gt;0,TEXT(D12/(COUNTIFS(Başvuru!$A:$A,"&lt;&gt;",Başvuru!$F:$F,"&lt;&gt;")-1)*100,"0.0")&amp;"%","-"))</f>
        <v>01%</v>
      </c>
      <c r="F12" s="162">
        <f>IF(C12="","",COUNTIFS(Başvuru!$C:$C,C12,Başvuru!$G:$G,"Bireysel Araştırma",Başvuru!$A:$A,"&lt;&gt;"&amp;"",Başvuru!$F:$F,"&lt;&gt;"&amp;""))</f>
        <v>8</v>
      </c>
      <c r="G12" s="162">
        <f>IF(C12="","",COUNTIFS(Başvuru!$C:$C,C12,Başvuru!$G:$G,"Uzmanlık Tezi",Başvuru!$A:$A,"&lt;&gt;"&amp;"",Başvuru!$F:$F,"&lt;&gt;"&amp;""))</f>
        <v>0</v>
      </c>
      <c r="H12" s="162">
        <f>IF(C12="","",COUNTIFS(Başvuru!$C:$C,C12,Başvuru!$G:$G,"Doktora Tezi",Başvuru!$A:$A,"&lt;&gt;"&amp;"",Başvuru!$F:$F,"&lt;&gt;"&amp;""))</f>
        <v>0</v>
      </c>
      <c r="I12" s="162">
        <f>IF(C12="","",COUNTIFS(Başvuru!$C:$C,C12,Başvuru!$G:$G,"Yüksek Lisans Tezi",Başvuru!$A:$A,"&lt;&gt;"&amp;"",Başvuru!$F:$F,"&lt;&gt;"&amp;""))</f>
        <v>0</v>
      </c>
      <c r="J12" s="163">
        <f>IF(C12="","",COUNTIFS(Başvuru!$C:$C,C12,Başvuru!$L:$L,"ONAY",Başvuru!$A:$A,"&lt;&gt;"&amp;"",Başvuru!$F:$F,"&lt;&gt;"&amp;""))</f>
        <v>3</v>
      </c>
      <c r="K12" s="164">
        <f>IF(C12="","",COUNTIFS(Başvuru!$C:$C,C12,Başvuru!$L:$L,"DÜZELTME",Başvuru!$A:$A,"&lt;&gt;"&amp;"",Başvuru!$F:$F,"&lt;&gt;"&amp;""))</f>
        <v>1</v>
      </c>
      <c r="L12" s="165">
        <f>IF(C12="","",COUNTIFS(Başvuru!$C:$C,C12,Başvuru!$L:$L,"KAEK",Başvuru!$A:$A,"&lt;&gt;"&amp;"",Başvuru!$F:$F,"&lt;&gt;"&amp;""))</f>
        <v>0</v>
      </c>
      <c r="M12" s="166">
        <f>IF(C12="","",COUNTIFS(Başvuru!$C:$C,C12,Başvuru!$L:$L,"GÖRÜŞ",Başvuru!$A:$A,"&lt;&gt;"&amp;"",Başvuru!$F:$F,"&lt;&gt;"&amp;""))</f>
        <v>0</v>
      </c>
      <c r="N12" s="167">
        <f>IF(C12="","",COUNTIFS(Başvuru!$C:$C,C12,Başvuru!$L:$L,"RET",Başvuru!$A:$A,"&lt;&gt;"&amp;"",Başvuru!$F:$F,"&lt;&gt;"&amp;""))</f>
        <v>0</v>
      </c>
      <c r="O12" s="168">
        <f>IF(C12="","",COUNTIFS(Başvuru!$C:$C,C12,Başvuru!$L:$L,"KAPSAM DIŞI",Başvuru!$A:$A,"&lt;&gt;"&amp;"",Başvuru!$F:$F,"&lt;&gt;"&amp;""))</f>
        <v>0</v>
      </c>
      <c r="P12" s="169">
        <f>IF(C12="","",COUNTIFS(Başvuru!$C:$C,C12,Başvuru!$L:$L,"GERİ ÇEKİLDİ",Başvuru!$A:$A,"&lt;&gt;"&amp;"",Başvuru!$F:$F,"&lt;&gt;"&amp;""))</f>
        <v>0</v>
      </c>
      <c r="Q12" s="170" t="str">
        <f t="array" ref="Q12">IFERROR(INDEX(Başvuru!$C$2:$C$3000, MATCH(0, COUNTIF($Q$5:Q11, Başvuru!$C$2:$C$3000) + IF(Başvuru!$C$2:$C$3000="",1,0), 0)), "")</f>
        <v>Doç. Dr. Ayhan EYMİRLİ</v>
      </c>
      <c r="R12" s="171">
        <f>IF(Q12="","",COUNTIFS(Başvuru!$C:$C,Q12,Başvuru!$A:$A,"&lt;&gt;"&amp;"",Başvuru!$F:$F,"&lt;&gt;"&amp;""))</f>
        <v>1</v>
      </c>
      <c r="S12" s="171">
        <f>IF(R12="","",RANK(R12,$R$6:$R$505,0)+COUNTIF($R$6:R12,R12)-1)</f>
        <v>151</v>
      </c>
    </row>
    <row r="13" spans="2:19" ht="23.25" customHeight="1" x14ac:dyDescent="0.25">
      <c r="B13" s="159">
        <v>8</v>
      </c>
      <c r="C13" s="160" t="str">
        <f>IFERROR(INDEX($Q$6:$Q$505,MATCH(8,$S$6:$S$505,0)),"")</f>
        <v>Dr. Öğr. Üyesi Gonca ÖZTEN DERE</v>
      </c>
      <c r="D13" s="161">
        <f>IF(C13="","",COUNTIFS(Başvuru!$C:$C,C13,Başvuru!$A:$A,"&lt;&gt;"&amp;"",Başvuru!$F:$F,"&lt;&gt;"&amp;""))</f>
        <v>8</v>
      </c>
      <c r="E13" s="159" t="str">
        <f>IF(C13="","-",IF(D13&gt;0,TEXT(D13/(COUNTIFS(Başvuru!$A:$A,"&lt;&gt;",Başvuru!$F:$F,"&lt;&gt;")-1)*100,"0.0")&amp;"%","-"))</f>
        <v>01%</v>
      </c>
      <c r="F13" s="162">
        <f>IF(C13="","",COUNTIFS(Başvuru!$C:$C,C13,Başvuru!$G:$G,"Bireysel Araştırma",Başvuru!$A:$A,"&lt;&gt;"&amp;"",Başvuru!$F:$F,"&lt;&gt;"&amp;""))</f>
        <v>8</v>
      </c>
      <c r="G13" s="162">
        <f>IF(C13="","",COUNTIFS(Başvuru!$C:$C,C13,Başvuru!$G:$G,"Uzmanlık Tezi",Başvuru!$A:$A,"&lt;&gt;"&amp;"",Başvuru!$F:$F,"&lt;&gt;"&amp;""))</f>
        <v>0</v>
      </c>
      <c r="H13" s="162">
        <f>IF(C13="","",COUNTIFS(Başvuru!$C:$C,C13,Başvuru!$G:$G,"Doktora Tezi",Başvuru!$A:$A,"&lt;&gt;"&amp;"",Başvuru!$F:$F,"&lt;&gt;"&amp;""))</f>
        <v>0</v>
      </c>
      <c r="I13" s="162">
        <f>IF(C13="","",COUNTIFS(Başvuru!$C:$C,C13,Başvuru!$G:$G,"Yüksek Lisans Tezi",Başvuru!$A:$A,"&lt;&gt;"&amp;"",Başvuru!$F:$F,"&lt;&gt;"&amp;""))</f>
        <v>0</v>
      </c>
      <c r="J13" s="163">
        <f>IF(C13="","",COUNTIFS(Başvuru!$C:$C,C13,Başvuru!$L:$L,"ONAY",Başvuru!$A:$A,"&lt;&gt;"&amp;"",Başvuru!$F:$F,"&lt;&gt;"&amp;""))</f>
        <v>5</v>
      </c>
      <c r="K13" s="164">
        <f>IF(C13="","",COUNTIFS(Başvuru!$C:$C,C13,Başvuru!$L:$L,"DÜZELTME",Başvuru!$A:$A,"&lt;&gt;"&amp;"",Başvuru!$F:$F,"&lt;&gt;"&amp;""))</f>
        <v>2</v>
      </c>
      <c r="L13" s="165">
        <f>IF(C13="","",COUNTIFS(Başvuru!$C:$C,C13,Başvuru!$L:$L,"KAEK",Başvuru!$A:$A,"&lt;&gt;"&amp;"",Başvuru!$F:$F,"&lt;&gt;"&amp;""))</f>
        <v>0</v>
      </c>
      <c r="M13" s="166">
        <f>IF(C13="","",COUNTIFS(Başvuru!$C:$C,C13,Başvuru!$L:$L,"GÖRÜŞ",Başvuru!$A:$A,"&lt;&gt;"&amp;"",Başvuru!$F:$F,"&lt;&gt;"&amp;""))</f>
        <v>0</v>
      </c>
      <c r="N13" s="167">
        <f>IF(C13="","",COUNTIFS(Başvuru!$C:$C,C13,Başvuru!$L:$L,"RET",Başvuru!$A:$A,"&lt;&gt;"&amp;"",Başvuru!$F:$F,"&lt;&gt;"&amp;""))</f>
        <v>1</v>
      </c>
      <c r="O13" s="168">
        <f>IF(C13="","",COUNTIFS(Başvuru!$C:$C,C13,Başvuru!$L:$L,"KAPSAM DIŞI",Başvuru!$A:$A,"&lt;&gt;"&amp;"",Başvuru!$F:$F,"&lt;&gt;"&amp;""))</f>
        <v>0</v>
      </c>
      <c r="P13" s="169">
        <f>IF(C13="","",COUNTIFS(Başvuru!$C:$C,C13,Başvuru!$L:$L,"GERİ ÇEKİLDİ",Başvuru!$A:$A,"&lt;&gt;"&amp;"",Başvuru!$F:$F,"&lt;&gt;"&amp;""))</f>
        <v>0</v>
      </c>
      <c r="Q13" s="170" t="str">
        <f t="array" ref="Q13">IFERROR(INDEX(Başvuru!$C$2:$C$3000, MATCH(0, COUNTIF($Q$5:Q12, Başvuru!$C$2:$C$3000) + IF(Başvuru!$C$2:$C$3000="",1,0), 0)), "")</f>
        <v>Doç. Dr. Nursel ÇALIK BAŞARAN</v>
      </c>
      <c r="R13" s="171">
        <f>IF(Q13="","",COUNTIFS(Başvuru!$C:$C,Q13,Başvuru!$A:$A,"&lt;&gt;"&amp;"",Başvuru!$F:$F,"&lt;&gt;"&amp;""))</f>
        <v>2</v>
      </c>
      <c r="S13" s="171">
        <f>IF(R13="","",RANK(R13,$R$6:$R$505,0)+COUNTIF($R$6:R13,R13)-1)</f>
        <v>77</v>
      </c>
    </row>
    <row r="14" spans="2:19" ht="23.25" customHeight="1" x14ac:dyDescent="0.25">
      <c r="B14" s="159">
        <v>9</v>
      </c>
      <c r="C14" s="160" t="str">
        <f>IFERROR(INDEX($Q$6:$Q$505,MATCH(9,$S$6:$S$505,0)),"")</f>
        <v>Prof. Dr. Mehmet AYVAZ</v>
      </c>
      <c r="D14" s="161">
        <f>IF(C14="","",COUNTIFS(Başvuru!$C:$C,C14,Başvuru!$A:$A,"&lt;&gt;"&amp;"",Başvuru!$F:$F,"&lt;&gt;"&amp;""))</f>
        <v>8</v>
      </c>
      <c r="E14" s="159" t="str">
        <f>IF(C14="","-",IF(D14&gt;0,TEXT(D14/(COUNTIFS(Başvuru!$A:$A,"&lt;&gt;",Başvuru!$F:$F,"&lt;&gt;")-1)*100,"0.0")&amp;"%","-"))</f>
        <v>01%</v>
      </c>
      <c r="F14" s="162">
        <f>IF(C14="","",COUNTIFS(Başvuru!$C:$C,C14,Başvuru!$G:$G,"Bireysel Araştırma",Başvuru!$A:$A,"&lt;&gt;"&amp;"",Başvuru!$F:$F,"&lt;&gt;"&amp;""))</f>
        <v>8</v>
      </c>
      <c r="G14" s="162">
        <f>IF(C14="","",COUNTIFS(Başvuru!$C:$C,C14,Başvuru!$G:$G,"Uzmanlık Tezi",Başvuru!$A:$A,"&lt;&gt;"&amp;"",Başvuru!$F:$F,"&lt;&gt;"&amp;""))</f>
        <v>0</v>
      </c>
      <c r="H14" s="162">
        <f>IF(C14="","",COUNTIFS(Başvuru!$C:$C,C14,Başvuru!$G:$G,"Doktora Tezi",Başvuru!$A:$A,"&lt;&gt;"&amp;"",Başvuru!$F:$F,"&lt;&gt;"&amp;""))</f>
        <v>0</v>
      </c>
      <c r="I14" s="162">
        <f>IF(C14="","",COUNTIFS(Başvuru!$C:$C,C14,Başvuru!$G:$G,"Yüksek Lisans Tezi",Başvuru!$A:$A,"&lt;&gt;"&amp;"",Başvuru!$F:$F,"&lt;&gt;"&amp;""))</f>
        <v>0</v>
      </c>
      <c r="J14" s="163">
        <f>IF(C14="","",COUNTIFS(Başvuru!$C:$C,C14,Başvuru!$L:$L,"ONAY",Başvuru!$A:$A,"&lt;&gt;"&amp;"",Başvuru!$F:$F,"&lt;&gt;"&amp;""))</f>
        <v>3</v>
      </c>
      <c r="K14" s="164">
        <f>IF(C14="","",COUNTIFS(Başvuru!$C:$C,C14,Başvuru!$L:$L,"DÜZELTME",Başvuru!$A:$A,"&lt;&gt;"&amp;"",Başvuru!$F:$F,"&lt;&gt;"&amp;""))</f>
        <v>4</v>
      </c>
      <c r="L14" s="165">
        <f>IF(C14="","",COUNTIFS(Başvuru!$C:$C,C14,Başvuru!$L:$L,"KAEK",Başvuru!$A:$A,"&lt;&gt;"&amp;"",Başvuru!$F:$F,"&lt;&gt;"&amp;""))</f>
        <v>0</v>
      </c>
      <c r="M14" s="166">
        <f>IF(C14="","",COUNTIFS(Başvuru!$C:$C,C14,Başvuru!$L:$L,"GÖRÜŞ",Başvuru!$A:$A,"&lt;&gt;"&amp;"",Başvuru!$F:$F,"&lt;&gt;"&amp;""))</f>
        <v>0</v>
      </c>
      <c r="N14" s="167">
        <f>IF(C14="","",COUNTIFS(Başvuru!$C:$C,C14,Başvuru!$L:$L,"RET",Başvuru!$A:$A,"&lt;&gt;"&amp;"",Başvuru!$F:$F,"&lt;&gt;"&amp;""))</f>
        <v>0</v>
      </c>
      <c r="O14" s="168">
        <f>IF(C14="","",COUNTIFS(Başvuru!$C:$C,C14,Başvuru!$L:$L,"KAPSAM DIŞI",Başvuru!$A:$A,"&lt;&gt;"&amp;"",Başvuru!$F:$F,"&lt;&gt;"&amp;""))</f>
        <v>1</v>
      </c>
      <c r="P14" s="169">
        <f>IF(C14="","",COUNTIFS(Başvuru!$C:$C,C14,Başvuru!$L:$L,"GERİ ÇEKİLDİ",Başvuru!$A:$A,"&lt;&gt;"&amp;"",Başvuru!$F:$F,"&lt;&gt;"&amp;""))</f>
        <v>0</v>
      </c>
      <c r="Q14" s="170" t="str">
        <f t="array" ref="Q14">IFERROR(INDEX(Başvuru!$C$2:$C$3000, MATCH(0, COUNTIF($Q$5:Q13, Başvuru!$C$2:$C$3000) + IF(Başvuru!$C$2:$C$3000="",1,0), 0)), "")</f>
        <v>Öğr. Gör. Dr. Buket KILIÇ</v>
      </c>
      <c r="R14" s="171">
        <f>IF(Q14="","",COUNTIFS(Başvuru!$C:$C,Q14,Başvuru!$A:$A,"&lt;&gt;"&amp;"",Başvuru!$F:$F,"&lt;&gt;"&amp;""))</f>
        <v>2</v>
      </c>
      <c r="S14" s="171">
        <f>IF(R14="","",RANK(R14,$R$6:$R$505,0)+COUNTIF($R$6:R14,R14)-1)</f>
        <v>78</v>
      </c>
    </row>
    <row r="15" spans="2:19" ht="23.25" customHeight="1" x14ac:dyDescent="0.25">
      <c r="B15" s="159">
        <v>10</v>
      </c>
      <c r="C15" s="160" t="str">
        <f>IFERROR(INDEX($Q$6:$Q$505,MATCH(10,$S$6:$S$505,0)),"")</f>
        <v>Prof. Dr. Mustafa CANKURTARAN</v>
      </c>
      <c r="D15" s="161">
        <f>IF(C15="","",COUNTIFS(Başvuru!$C:$C,C15,Başvuru!$A:$A,"&lt;&gt;"&amp;"",Başvuru!$F:$F,"&lt;&gt;"&amp;""))</f>
        <v>8</v>
      </c>
      <c r="E15" s="159" t="str">
        <f>IF(C15="","-",IF(D15&gt;0,TEXT(D15/(COUNTIFS(Başvuru!$A:$A,"&lt;&gt;",Başvuru!$F:$F,"&lt;&gt;")-1)*100,"0.0")&amp;"%","-"))</f>
        <v>01%</v>
      </c>
      <c r="F15" s="162">
        <f>IF(C15="","",COUNTIFS(Başvuru!$C:$C,C15,Başvuru!$G:$G,"Bireysel Araştırma",Başvuru!$A:$A,"&lt;&gt;"&amp;"",Başvuru!$F:$F,"&lt;&gt;"&amp;""))</f>
        <v>8</v>
      </c>
      <c r="G15" s="162">
        <f>IF(C15="","",COUNTIFS(Başvuru!$C:$C,C15,Başvuru!$G:$G,"Uzmanlık Tezi",Başvuru!$A:$A,"&lt;&gt;"&amp;"",Başvuru!$F:$F,"&lt;&gt;"&amp;""))</f>
        <v>0</v>
      </c>
      <c r="H15" s="162">
        <f>IF(C15="","",COUNTIFS(Başvuru!$C:$C,C15,Başvuru!$G:$G,"Doktora Tezi",Başvuru!$A:$A,"&lt;&gt;"&amp;"",Başvuru!$F:$F,"&lt;&gt;"&amp;""))</f>
        <v>0</v>
      </c>
      <c r="I15" s="162">
        <f>IF(C15="","",COUNTIFS(Başvuru!$C:$C,C15,Başvuru!$G:$G,"Yüksek Lisans Tezi",Başvuru!$A:$A,"&lt;&gt;"&amp;"",Başvuru!$F:$F,"&lt;&gt;"&amp;""))</f>
        <v>0</v>
      </c>
      <c r="J15" s="163">
        <f>IF(C15="","",COUNTIFS(Başvuru!$C:$C,C15,Başvuru!$L:$L,"ONAY",Başvuru!$A:$A,"&lt;&gt;"&amp;"",Başvuru!$F:$F,"&lt;&gt;"&amp;""))</f>
        <v>1</v>
      </c>
      <c r="K15" s="164">
        <f>IF(C15="","",COUNTIFS(Başvuru!$C:$C,C15,Başvuru!$L:$L,"DÜZELTME",Başvuru!$A:$A,"&lt;&gt;"&amp;"",Başvuru!$F:$F,"&lt;&gt;"&amp;""))</f>
        <v>1</v>
      </c>
      <c r="L15" s="165">
        <f>IF(C15="","",COUNTIFS(Başvuru!$C:$C,C15,Başvuru!$L:$L,"KAEK",Başvuru!$A:$A,"&lt;&gt;"&amp;"",Başvuru!$F:$F,"&lt;&gt;"&amp;""))</f>
        <v>0</v>
      </c>
      <c r="M15" s="166">
        <f>IF(C15="","",COUNTIFS(Başvuru!$C:$C,C15,Başvuru!$L:$L,"GÖRÜŞ",Başvuru!$A:$A,"&lt;&gt;"&amp;"",Başvuru!$F:$F,"&lt;&gt;"&amp;""))</f>
        <v>0</v>
      </c>
      <c r="N15" s="167">
        <f>IF(C15="","",COUNTIFS(Başvuru!$C:$C,C15,Başvuru!$L:$L,"RET",Başvuru!$A:$A,"&lt;&gt;"&amp;"",Başvuru!$F:$F,"&lt;&gt;"&amp;""))</f>
        <v>0</v>
      </c>
      <c r="O15" s="168">
        <f>IF(C15="","",COUNTIFS(Başvuru!$C:$C,C15,Başvuru!$L:$L,"KAPSAM DIŞI",Başvuru!$A:$A,"&lt;&gt;"&amp;"",Başvuru!$F:$F,"&lt;&gt;"&amp;""))</f>
        <v>5</v>
      </c>
      <c r="P15" s="169">
        <f>IF(C15="","",COUNTIFS(Başvuru!$C:$C,C15,Başvuru!$L:$L,"GERİ ÇEKİLDİ",Başvuru!$A:$A,"&lt;&gt;"&amp;"",Başvuru!$F:$F,"&lt;&gt;"&amp;""))</f>
        <v>0</v>
      </c>
      <c r="Q15" s="170" t="str">
        <f t="array" ref="Q15">IFERROR(INDEX(Başvuru!$C$2:$C$3000, MATCH(0, COUNTIF($Q$5:Q14, Başvuru!$C$2:$C$3000) + IF(Başvuru!$C$2:$C$3000="",1,0), 0)), "")</f>
        <v>Prof. Dr. Yakut AKYÖN YILMAZ</v>
      </c>
      <c r="R15" s="171">
        <f>IF(Q15="","",COUNTIFS(Başvuru!$C:$C,Q15,Başvuru!$A:$A,"&lt;&gt;"&amp;"",Başvuru!$F:$F,"&lt;&gt;"&amp;""))</f>
        <v>1</v>
      </c>
      <c r="S15" s="171">
        <f>IF(R15="","",RANK(R15,$R$6:$R$505,0)+COUNTIF($R$6:R15,R15)-1)</f>
        <v>152</v>
      </c>
    </row>
    <row r="16" spans="2:19" ht="23.25" customHeight="1" x14ac:dyDescent="0.25">
      <c r="B16" s="159">
        <v>11</v>
      </c>
      <c r="C16" s="160" t="str">
        <f>IFERROR(INDEX($Q$6:$Q$505,MATCH(11,$S$6:$S$505,0)),"")</f>
        <v>Doç. Dr. Cafer BALCI</v>
      </c>
      <c r="D16" s="161">
        <f>IF(C16="","",COUNTIFS(Başvuru!$C:$C,C16,Başvuru!$A:$A,"&lt;&gt;"&amp;"",Başvuru!$F:$F,"&lt;&gt;"&amp;""))</f>
        <v>8</v>
      </c>
      <c r="E16" s="159" t="str">
        <f>IF(C16="","-",IF(D16&gt;0,TEXT(D16/(COUNTIFS(Başvuru!$A:$A,"&lt;&gt;",Başvuru!$F:$F,"&lt;&gt;")-1)*100,"0.0")&amp;"%","-"))</f>
        <v>01%</v>
      </c>
      <c r="F16" s="162">
        <f>IF(C16="","",COUNTIFS(Başvuru!$C:$C,C16,Başvuru!$G:$G,"Bireysel Araştırma",Başvuru!$A:$A,"&lt;&gt;"&amp;"",Başvuru!$F:$F,"&lt;&gt;"&amp;""))</f>
        <v>8</v>
      </c>
      <c r="G16" s="162">
        <f>IF(C16="","",COUNTIFS(Başvuru!$C:$C,C16,Başvuru!$G:$G,"Uzmanlık Tezi",Başvuru!$A:$A,"&lt;&gt;"&amp;"",Başvuru!$F:$F,"&lt;&gt;"&amp;""))</f>
        <v>0</v>
      </c>
      <c r="H16" s="162">
        <f>IF(C16="","",COUNTIFS(Başvuru!$C:$C,C16,Başvuru!$G:$G,"Doktora Tezi",Başvuru!$A:$A,"&lt;&gt;"&amp;"",Başvuru!$F:$F,"&lt;&gt;"&amp;""))</f>
        <v>0</v>
      </c>
      <c r="I16" s="162">
        <f>IF(C16="","",COUNTIFS(Başvuru!$C:$C,C16,Başvuru!$G:$G,"Yüksek Lisans Tezi",Başvuru!$A:$A,"&lt;&gt;"&amp;"",Başvuru!$F:$F,"&lt;&gt;"&amp;""))</f>
        <v>0</v>
      </c>
      <c r="J16" s="163">
        <f>IF(C16="","",COUNTIFS(Başvuru!$C:$C,C16,Başvuru!$L:$L,"ONAY",Başvuru!$A:$A,"&lt;&gt;"&amp;"",Başvuru!$F:$F,"&lt;&gt;"&amp;""))</f>
        <v>3</v>
      </c>
      <c r="K16" s="164">
        <f>IF(C16="","",COUNTIFS(Başvuru!$C:$C,C16,Başvuru!$L:$L,"DÜZELTME",Başvuru!$A:$A,"&lt;&gt;"&amp;"",Başvuru!$F:$F,"&lt;&gt;"&amp;""))</f>
        <v>3</v>
      </c>
      <c r="L16" s="165">
        <f>IF(C16="","",COUNTIFS(Başvuru!$C:$C,C16,Başvuru!$L:$L,"KAEK",Başvuru!$A:$A,"&lt;&gt;"&amp;"",Başvuru!$F:$F,"&lt;&gt;"&amp;""))</f>
        <v>0</v>
      </c>
      <c r="M16" s="166">
        <f>IF(C16="","",COUNTIFS(Başvuru!$C:$C,C16,Başvuru!$L:$L,"GÖRÜŞ",Başvuru!$A:$A,"&lt;&gt;"&amp;"",Başvuru!$F:$F,"&lt;&gt;"&amp;""))</f>
        <v>1</v>
      </c>
      <c r="N16" s="167">
        <f>IF(C16="","",COUNTIFS(Başvuru!$C:$C,C16,Başvuru!$L:$L,"RET",Başvuru!$A:$A,"&lt;&gt;"&amp;"",Başvuru!$F:$F,"&lt;&gt;"&amp;""))</f>
        <v>0</v>
      </c>
      <c r="O16" s="168">
        <f>IF(C16="","",COUNTIFS(Başvuru!$C:$C,C16,Başvuru!$L:$L,"KAPSAM DIŞI",Başvuru!$A:$A,"&lt;&gt;"&amp;"",Başvuru!$F:$F,"&lt;&gt;"&amp;""))</f>
        <v>0</v>
      </c>
      <c r="P16" s="169">
        <f>IF(C16="","",COUNTIFS(Başvuru!$C:$C,C16,Başvuru!$L:$L,"GERİ ÇEKİLDİ",Başvuru!$A:$A,"&lt;&gt;"&amp;"",Başvuru!$F:$F,"&lt;&gt;"&amp;""))</f>
        <v>0</v>
      </c>
      <c r="Q16" s="170" t="str">
        <f t="array" ref="Q16">IFERROR(INDEX(Başvuru!$C$2:$C$3000, MATCH(0, COUNTIF($Q$5:Q15, Başvuru!$C$2:$C$3000) + IF(Başvuru!$C$2:$C$3000="",1,0), 0)), "")</f>
        <v>Prof. Dr. Ömer KARADAĞ</v>
      </c>
      <c r="R16" s="171">
        <f>IF(Q16="","",COUNTIFS(Başvuru!$C:$C,Q16,Başvuru!$A:$A,"&lt;&gt;"&amp;"",Başvuru!$F:$F,"&lt;&gt;"&amp;""))</f>
        <v>4</v>
      </c>
      <c r="S16" s="171">
        <f>IF(R16="","",RANK(R16,$R$6:$R$505,0)+COUNTIF($R$6:R16,R16)-1)</f>
        <v>31</v>
      </c>
    </row>
    <row r="17" spans="2:19" ht="23.25" customHeight="1" x14ac:dyDescent="0.25">
      <c r="B17" s="159">
        <v>12</v>
      </c>
      <c r="C17" s="160" t="str">
        <f>IFERROR(INDEX($Q$6:$Q$505,MATCH(12,$S$6:$S$505,0)),"")</f>
        <v>Doç. Dr. Utku AKGÖR</v>
      </c>
      <c r="D17" s="161">
        <f>IF(C17="","",COUNTIFS(Başvuru!$C:$C,C17,Başvuru!$A:$A,"&lt;&gt;"&amp;"",Başvuru!$F:$F,"&lt;&gt;"&amp;""))</f>
        <v>7</v>
      </c>
      <c r="E17" s="159" t="str">
        <f>IF(C17="","-",IF(D17&gt;0,TEXT(D17/(COUNTIFS(Başvuru!$A:$A,"&lt;&gt;",Başvuru!$F:$F,"&lt;&gt;")-1)*100,"0.0")&amp;"%","-"))</f>
        <v>01%</v>
      </c>
      <c r="F17" s="162">
        <f>IF(C17="","",COUNTIFS(Başvuru!$C:$C,C17,Başvuru!$G:$G,"Bireysel Araştırma",Başvuru!$A:$A,"&lt;&gt;"&amp;"",Başvuru!$F:$F,"&lt;&gt;"&amp;""))</f>
        <v>6</v>
      </c>
      <c r="G17" s="162">
        <f>IF(C17="","",COUNTIFS(Başvuru!$C:$C,C17,Başvuru!$G:$G,"Uzmanlık Tezi",Başvuru!$A:$A,"&lt;&gt;"&amp;"",Başvuru!$F:$F,"&lt;&gt;"&amp;""))</f>
        <v>1</v>
      </c>
      <c r="H17" s="162">
        <f>IF(C17="","",COUNTIFS(Başvuru!$C:$C,C17,Başvuru!$G:$G,"Doktora Tezi",Başvuru!$A:$A,"&lt;&gt;"&amp;"",Başvuru!$F:$F,"&lt;&gt;"&amp;""))</f>
        <v>0</v>
      </c>
      <c r="I17" s="162">
        <f>IF(C17="","",COUNTIFS(Başvuru!$C:$C,C17,Başvuru!$G:$G,"Yüksek Lisans Tezi",Başvuru!$A:$A,"&lt;&gt;"&amp;"",Başvuru!$F:$F,"&lt;&gt;"&amp;""))</f>
        <v>0</v>
      </c>
      <c r="J17" s="163">
        <f>IF(C17="","",COUNTIFS(Başvuru!$C:$C,C17,Başvuru!$L:$L,"ONAY",Başvuru!$A:$A,"&lt;&gt;"&amp;"",Başvuru!$F:$F,"&lt;&gt;"&amp;""))</f>
        <v>4</v>
      </c>
      <c r="K17" s="164">
        <f>IF(C17="","",COUNTIFS(Başvuru!$C:$C,C17,Başvuru!$L:$L,"DÜZELTME",Başvuru!$A:$A,"&lt;&gt;"&amp;"",Başvuru!$F:$F,"&lt;&gt;"&amp;""))</f>
        <v>2</v>
      </c>
      <c r="L17" s="165">
        <f>IF(C17="","",COUNTIFS(Başvuru!$C:$C,C17,Başvuru!$L:$L,"KAEK",Başvuru!$A:$A,"&lt;&gt;"&amp;"",Başvuru!$F:$F,"&lt;&gt;"&amp;""))</f>
        <v>0</v>
      </c>
      <c r="M17" s="166">
        <f>IF(C17="","",COUNTIFS(Başvuru!$C:$C,C17,Başvuru!$L:$L,"GÖRÜŞ",Başvuru!$A:$A,"&lt;&gt;"&amp;"",Başvuru!$F:$F,"&lt;&gt;"&amp;""))</f>
        <v>0</v>
      </c>
      <c r="N17" s="167">
        <f>IF(C17="","",COUNTIFS(Başvuru!$C:$C,C17,Başvuru!$L:$L,"RET",Başvuru!$A:$A,"&lt;&gt;"&amp;"",Başvuru!$F:$F,"&lt;&gt;"&amp;""))</f>
        <v>1</v>
      </c>
      <c r="O17" s="168">
        <f>IF(C17="","",COUNTIFS(Başvuru!$C:$C,C17,Başvuru!$L:$L,"KAPSAM DIŞI",Başvuru!$A:$A,"&lt;&gt;"&amp;"",Başvuru!$F:$F,"&lt;&gt;"&amp;""))</f>
        <v>0</v>
      </c>
      <c r="P17" s="169">
        <f>IF(C17="","",COUNTIFS(Başvuru!$C:$C,C17,Başvuru!$L:$L,"GERİ ÇEKİLDİ",Başvuru!$A:$A,"&lt;&gt;"&amp;"",Başvuru!$F:$F,"&lt;&gt;"&amp;""))</f>
        <v>0</v>
      </c>
      <c r="Q17" s="170" t="str">
        <f t="array" ref="Q17">IFERROR(INDEX(Başvuru!$C$2:$C$3000, MATCH(0, COUNTIF($Q$5:Q16, Başvuru!$C$2:$C$3000) + IF(Başvuru!$C$2:$C$3000="",1,0), 0)), "")</f>
        <v>Prof. Dr. N. Dilara ZEYBEK</v>
      </c>
      <c r="R17" s="171">
        <f>IF(Q17="","",COUNTIFS(Başvuru!$C:$C,Q17,Başvuru!$A:$A,"&lt;&gt;"&amp;"",Başvuru!$F:$F,"&lt;&gt;"&amp;""))</f>
        <v>1</v>
      </c>
      <c r="S17" s="171">
        <f>IF(R17="","",RANK(R17,$R$6:$R$505,0)+COUNTIF($R$6:R17,R17)-1)</f>
        <v>153</v>
      </c>
    </row>
    <row r="18" spans="2:19" ht="23.25" customHeight="1" x14ac:dyDescent="0.25">
      <c r="B18" s="159">
        <v>13</v>
      </c>
      <c r="C18" s="160" t="str">
        <f>IFERROR(INDEX($Q$6:$Q$505,MATCH(13,$S$6:$S$505,0)),"")</f>
        <v>Prof. Dr. Burcu Balam DOĞU</v>
      </c>
      <c r="D18" s="161">
        <f>IF(C18="","",COUNTIFS(Başvuru!$C:$C,C18,Başvuru!$A:$A,"&lt;&gt;"&amp;"",Başvuru!$F:$F,"&lt;&gt;"&amp;""))</f>
        <v>7</v>
      </c>
      <c r="E18" s="159" t="str">
        <f>IF(C18="","-",IF(D18&gt;0,TEXT(D18/(COUNTIFS(Başvuru!$A:$A,"&lt;&gt;",Başvuru!$F:$F,"&lt;&gt;")-1)*100,"0.0")&amp;"%","-"))</f>
        <v>01%</v>
      </c>
      <c r="F18" s="162">
        <f>IF(C18="","",COUNTIFS(Başvuru!$C:$C,C18,Başvuru!$G:$G,"Bireysel Araştırma",Başvuru!$A:$A,"&lt;&gt;"&amp;"",Başvuru!$F:$F,"&lt;&gt;"&amp;""))</f>
        <v>7</v>
      </c>
      <c r="G18" s="162">
        <f>IF(C18="","",COUNTIFS(Başvuru!$C:$C,C18,Başvuru!$G:$G,"Uzmanlık Tezi",Başvuru!$A:$A,"&lt;&gt;"&amp;"",Başvuru!$F:$F,"&lt;&gt;"&amp;""))</f>
        <v>0</v>
      </c>
      <c r="H18" s="162">
        <f>IF(C18="","",COUNTIFS(Başvuru!$C:$C,C18,Başvuru!$G:$G,"Doktora Tezi",Başvuru!$A:$A,"&lt;&gt;"&amp;"",Başvuru!$F:$F,"&lt;&gt;"&amp;""))</f>
        <v>0</v>
      </c>
      <c r="I18" s="162">
        <f>IF(C18="","",COUNTIFS(Başvuru!$C:$C,C18,Başvuru!$G:$G,"Yüksek Lisans Tezi",Başvuru!$A:$A,"&lt;&gt;"&amp;"",Başvuru!$F:$F,"&lt;&gt;"&amp;""))</f>
        <v>0</v>
      </c>
      <c r="J18" s="163">
        <f>IF(C18="","",COUNTIFS(Başvuru!$C:$C,C18,Başvuru!$L:$L,"ONAY",Başvuru!$A:$A,"&lt;&gt;"&amp;"",Başvuru!$F:$F,"&lt;&gt;"&amp;""))</f>
        <v>2</v>
      </c>
      <c r="K18" s="164">
        <f>IF(C18="","",COUNTIFS(Başvuru!$C:$C,C18,Başvuru!$L:$L,"DÜZELTME",Başvuru!$A:$A,"&lt;&gt;"&amp;"",Başvuru!$F:$F,"&lt;&gt;"&amp;""))</f>
        <v>5</v>
      </c>
      <c r="L18" s="165">
        <f>IF(C18="","",COUNTIFS(Başvuru!$C:$C,C18,Başvuru!$L:$L,"KAEK",Başvuru!$A:$A,"&lt;&gt;"&amp;"",Başvuru!$F:$F,"&lt;&gt;"&amp;""))</f>
        <v>0</v>
      </c>
      <c r="M18" s="166">
        <f>IF(C18="","",COUNTIFS(Başvuru!$C:$C,C18,Başvuru!$L:$L,"GÖRÜŞ",Başvuru!$A:$A,"&lt;&gt;"&amp;"",Başvuru!$F:$F,"&lt;&gt;"&amp;""))</f>
        <v>0</v>
      </c>
      <c r="N18" s="167">
        <f>IF(C18="","",COUNTIFS(Başvuru!$C:$C,C18,Başvuru!$L:$L,"RET",Başvuru!$A:$A,"&lt;&gt;"&amp;"",Başvuru!$F:$F,"&lt;&gt;"&amp;""))</f>
        <v>0</v>
      </c>
      <c r="O18" s="168">
        <f>IF(C18="","",COUNTIFS(Başvuru!$C:$C,C18,Başvuru!$L:$L,"KAPSAM DIŞI",Başvuru!$A:$A,"&lt;&gt;"&amp;"",Başvuru!$F:$F,"&lt;&gt;"&amp;""))</f>
        <v>0</v>
      </c>
      <c r="P18" s="169">
        <f>IF(C18="","",COUNTIFS(Başvuru!$C:$C,C18,Başvuru!$L:$L,"GERİ ÇEKİLDİ",Başvuru!$A:$A,"&lt;&gt;"&amp;"",Başvuru!$F:$F,"&lt;&gt;"&amp;""))</f>
        <v>0</v>
      </c>
      <c r="Q18" s="170" t="str">
        <f t="array" ref="Q18">IFERROR(INDEX(Başvuru!$C$2:$C$3000, MATCH(0, COUNTIF($Q$5:Q17, Başvuru!$C$2:$C$3000) + IF(Başvuru!$C$2:$C$3000="",1,0), 0)), "")</f>
        <v>Prof. Dr. Orhan ODABAŞI</v>
      </c>
      <c r="R18" s="171">
        <f>IF(Q18="","",COUNTIFS(Başvuru!$C:$C,Q18,Başvuru!$A:$A,"&lt;&gt;"&amp;"",Başvuru!$F:$F,"&lt;&gt;"&amp;""))</f>
        <v>1</v>
      </c>
      <c r="S18" s="171">
        <f>IF(R18="","",RANK(R18,$R$6:$R$505,0)+COUNTIF($R$6:R18,R18)-1)</f>
        <v>154</v>
      </c>
    </row>
    <row r="19" spans="2:19" ht="23.25" customHeight="1" x14ac:dyDescent="0.25">
      <c r="B19" s="159">
        <v>14</v>
      </c>
      <c r="C19" s="160" t="str">
        <f>IFERROR(INDEX($Q$6:$Q$505,MATCH(14,$S$6:$S$505,0)),"")</f>
        <v>Doç. Dr. Cem ÇÖTELİ</v>
      </c>
      <c r="D19" s="161">
        <f>IF(C19="","",COUNTIFS(Başvuru!$C:$C,C19,Başvuru!$A:$A,"&lt;&gt;"&amp;"",Başvuru!$F:$F,"&lt;&gt;"&amp;""))</f>
        <v>7</v>
      </c>
      <c r="E19" s="159" t="str">
        <f>IF(C19="","-",IF(D19&gt;0,TEXT(D19/(COUNTIFS(Başvuru!$A:$A,"&lt;&gt;",Başvuru!$F:$F,"&lt;&gt;")-1)*100,"0.0")&amp;"%","-"))</f>
        <v>01%</v>
      </c>
      <c r="F19" s="162">
        <f>IF(C19="","",COUNTIFS(Başvuru!$C:$C,C19,Başvuru!$G:$G,"Bireysel Araştırma",Başvuru!$A:$A,"&lt;&gt;"&amp;"",Başvuru!$F:$F,"&lt;&gt;"&amp;""))</f>
        <v>7</v>
      </c>
      <c r="G19" s="162">
        <f>IF(C19="","",COUNTIFS(Başvuru!$C:$C,C19,Başvuru!$G:$G,"Uzmanlık Tezi",Başvuru!$A:$A,"&lt;&gt;"&amp;"",Başvuru!$F:$F,"&lt;&gt;"&amp;""))</f>
        <v>0</v>
      </c>
      <c r="H19" s="162">
        <f>IF(C19="","",COUNTIFS(Başvuru!$C:$C,C19,Başvuru!$G:$G,"Doktora Tezi",Başvuru!$A:$A,"&lt;&gt;"&amp;"",Başvuru!$F:$F,"&lt;&gt;"&amp;""))</f>
        <v>0</v>
      </c>
      <c r="I19" s="162">
        <f>IF(C19="","",COUNTIFS(Başvuru!$C:$C,C19,Başvuru!$G:$G,"Yüksek Lisans Tezi",Başvuru!$A:$A,"&lt;&gt;"&amp;"",Başvuru!$F:$F,"&lt;&gt;"&amp;""))</f>
        <v>0</v>
      </c>
      <c r="J19" s="163">
        <f>IF(C19="","",COUNTIFS(Başvuru!$C:$C,C19,Başvuru!$L:$L,"ONAY",Başvuru!$A:$A,"&lt;&gt;"&amp;"",Başvuru!$F:$F,"&lt;&gt;"&amp;""))</f>
        <v>3</v>
      </c>
      <c r="K19" s="164">
        <f>IF(C19="","",COUNTIFS(Başvuru!$C:$C,C19,Başvuru!$L:$L,"DÜZELTME",Başvuru!$A:$A,"&lt;&gt;"&amp;"",Başvuru!$F:$F,"&lt;&gt;"&amp;""))</f>
        <v>2</v>
      </c>
      <c r="L19" s="165">
        <f>IF(C19="","",COUNTIFS(Başvuru!$C:$C,C19,Başvuru!$L:$L,"KAEK",Başvuru!$A:$A,"&lt;&gt;"&amp;"",Başvuru!$F:$F,"&lt;&gt;"&amp;""))</f>
        <v>2</v>
      </c>
      <c r="M19" s="166">
        <f>IF(C19="","",COUNTIFS(Başvuru!$C:$C,C19,Başvuru!$L:$L,"GÖRÜŞ",Başvuru!$A:$A,"&lt;&gt;"&amp;"",Başvuru!$F:$F,"&lt;&gt;"&amp;""))</f>
        <v>0</v>
      </c>
      <c r="N19" s="167">
        <f>IF(C19="","",COUNTIFS(Başvuru!$C:$C,C19,Başvuru!$L:$L,"RET",Başvuru!$A:$A,"&lt;&gt;"&amp;"",Başvuru!$F:$F,"&lt;&gt;"&amp;""))</f>
        <v>0</v>
      </c>
      <c r="O19" s="168">
        <f>IF(C19="","",COUNTIFS(Başvuru!$C:$C,C19,Başvuru!$L:$L,"KAPSAM DIŞI",Başvuru!$A:$A,"&lt;&gt;"&amp;"",Başvuru!$F:$F,"&lt;&gt;"&amp;""))</f>
        <v>0</v>
      </c>
      <c r="P19" s="169">
        <f>IF(C19="","",COUNTIFS(Başvuru!$C:$C,C19,Başvuru!$L:$L,"GERİ ÇEKİLDİ",Başvuru!$A:$A,"&lt;&gt;"&amp;"",Başvuru!$F:$F,"&lt;&gt;"&amp;""))</f>
        <v>0</v>
      </c>
      <c r="Q19" s="170" t="str">
        <f t="array" ref="Q19">IFERROR(INDEX(Başvuru!$C$2:$C$3000, MATCH(0, COUNTIF($Q$5:Q18, Başvuru!$C$2:$C$3000) + IF(Başvuru!$C$2:$C$3000="",1,0), 0)), "")</f>
        <v>Dr. Öğr. Üyesi Yiğitcan KARANFİL</v>
      </c>
      <c r="R19" s="171">
        <f>IF(Q19="","",COUNTIFS(Başvuru!$C:$C,Q19,Başvuru!$A:$A,"&lt;&gt;"&amp;"",Başvuru!$F:$F,"&lt;&gt;"&amp;""))</f>
        <v>3</v>
      </c>
      <c r="S19" s="171">
        <f>IF(R19="","",RANK(R19,$R$6:$R$505,0)+COUNTIF($R$6:R19,R19)-1)</f>
        <v>48</v>
      </c>
    </row>
    <row r="20" spans="2:19" ht="23.25" customHeight="1" x14ac:dyDescent="0.25">
      <c r="B20" s="159">
        <v>15</v>
      </c>
      <c r="C20" s="160" t="str">
        <f>IFERROR(INDEX($Q$6:$Q$505,MATCH(15,$S$6:$S$505,0)),"")</f>
        <v>Prof. Dr. Gül KARAKAYA</v>
      </c>
      <c r="D20" s="161">
        <f>IF(C20="","",COUNTIFS(Başvuru!$C:$C,C20,Başvuru!$A:$A,"&lt;&gt;"&amp;"",Başvuru!$F:$F,"&lt;&gt;"&amp;""))</f>
        <v>6</v>
      </c>
      <c r="E20" s="159" t="str">
        <f>IF(C20="","-",IF(D20&gt;0,TEXT(D20/(COUNTIFS(Başvuru!$A:$A,"&lt;&gt;",Başvuru!$F:$F,"&lt;&gt;")-1)*100,"0.0")&amp;"%","-"))</f>
        <v>01%</v>
      </c>
      <c r="F20" s="162">
        <f>IF(C20="","",COUNTIFS(Başvuru!$C:$C,C20,Başvuru!$G:$G,"Bireysel Araştırma",Başvuru!$A:$A,"&lt;&gt;"&amp;"",Başvuru!$F:$F,"&lt;&gt;"&amp;""))</f>
        <v>6</v>
      </c>
      <c r="G20" s="162">
        <f>IF(C20="","",COUNTIFS(Başvuru!$C:$C,C20,Başvuru!$G:$G,"Uzmanlık Tezi",Başvuru!$A:$A,"&lt;&gt;"&amp;"",Başvuru!$F:$F,"&lt;&gt;"&amp;""))</f>
        <v>0</v>
      </c>
      <c r="H20" s="162">
        <f>IF(C20="","",COUNTIFS(Başvuru!$C:$C,C20,Başvuru!$G:$G,"Doktora Tezi",Başvuru!$A:$A,"&lt;&gt;"&amp;"",Başvuru!$F:$F,"&lt;&gt;"&amp;""))</f>
        <v>0</v>
      </c>
      <c r="I20" s="162">
        <f>IF(C20="","",COUNTIFS(Başvuru!$C:$C,C20,Başvuru!$G:$G,"Yüksek Lisans Tezi",Başvuru!$A:$A,"&lt;&gt;"&amp;"",Başvuru!$F:$F,"&lt;&gt;"&amp;""))</f>
        <v>0</v>
      </c>
      <c r="J20" s="163">
        <f>IF(C20="","",COUNTIFS(Başvuru!$C:$C,C20,Başvuru!$L:$L,"ONAY",Başvuru!$A:$A,"&lt;&gt;"&amp;"",Başvuru!$F:$F,"&lt;&gt;"&amp;""))</f>
        <v>4</v>
      </c>
      <c r="K20" s="164">
        <f>IF(C20="","",COUNTIFS(Başvuru!$C:$C,C20,Başvuru!$L:$L,"DÜZELTME",Başvuru!$A:$A,"&lt;&gt;"&amp;"",Başvuru!$F:$F,"&lt;&gt;"&amp;""))</f>
        <v>1</v>
      </c>
      <c r="L20" s="165">
        <f>IF(C20="","",COUNTIFS(Başvuru!$C:$C,C20,Başvuru!$L:$L,"KAEK",Başvuru!$A:$A,"&lt;&gt;"&amp;"",Başvuru!$F:$F,"&lt;&gt;"&amp;""))</f>
        <v>0</v>
      </c>
      <c r="M20" s="166">
        <f>IF(C20="","",COUNTIFS(Başvuru!$C:$C,C20,Başvuru!$L:$L,"GÖRÜŞ",Başvuru!$A:$A,"&lt;&gt;"&amp;"",Başvuru!$F:$F,"&lt;&gt;"&amp;""))</f>
        <v>0</v>
      </c>
      <c r="N20" s="167">
        <f>IF(C20="","",COUNTIFS(Başvuru!$C:$C,C20,Başvuru!$L:$L,"RET",Başvuru!$A:$A,"&lt;&gt;"&amp;"",Başvuru!$F:$F,"&lt;&gt;"&amp;""))</f>
        <v>0</v>
      </c>
      <c r="O20" s="168">
        <f>IF(C20="","",COUNTIFS(Başvuru!$C:$C,C20,Başvuru!$L:$L,"KAPSAM DIŞI",Başvuru!$A:$A,"&lt;&gt;"&amp;"",Başvuru!$F:$F,"&lt;&gt;"&amp;""))</f>
        <v>0</v>
      </c>
      <c r="P20" s="169">
        <f>IF(C20="","",COUNTIFS(Başvuru!$C:$C,C20,Başvuru!$L:$L,"GERİ ÇEKİLDİ",Başvuru!$A:$A,"&lt;&gt;"&amp;"",Başvuru!$F:$F,"&lt;&gt;"&amp;""))</f>
        <v>0</v>
      </c>
      <c r="Q20" s="170" t="str">
        <f t="array" ref="Q20">IFERROR(INDEX(Başvuru!$C$2:$C$3000, MATCH(0, COUNTIF($Q$5:Q19, Başvuru!$C$2:$C$3000) + IF(Başvuru!$C$2:$C$3000="",1,0), 0)), "")</f>
        <v>Prof. Dr. Ali Fuat KALYONCU</v>
      </c>
      <c r="R20" s="171">
        <f>IF(Q20="","",COUNTIFS(Başvuru!$C:$C,Q20,Başvuru!$A:$A,"&lt;&gt;"&amp;"",Başvuru!$F:$F,"&lt;&gt;"&amp;""))</f>
        <v>4</v>
      </c>
      <c r="S20" s="171">
        <f>IF(R20="","",RANK(R20,$R$6:$R$505,0)+COUNTIF($R$6:R20,R20)-1)</f>
        <v>32</v>
      </c>
    </row>
    <row r="21" spans="2:19" ht="23.25" customHeight="1" x14ac:dyDescent="0.25">
      <c r="B21" s="159">
        <v>16</v>
      </c>
      <c r="C21" s="160" t="str">
        <f>IFERROR(INDEX($Q$6:$Q$505,MATCH(16,$S$6:$S$505,0)),"")</f>
        <v>Prof. Dr. Tutku SOYER</v>
      </c>
      <c r="D21" s="161">
        <f>IF(C21="","",COUNTIFS(Başvuru!$C:$C,C21,Başvuru!$A:$A,"&lt;&gt;"&amp;"",Başvuru!$F:$F,"&lt;&gt;"&amp;""))</f>
        <v>6</v>
      </c>
      <c r="E21" s="159" t="str">
        <f>IF(C21="","-",IF(D21&gt;0,TEXT(D21/(COUNTIFS(Başvuru!$A:$A,"&lt;&gt;",Başvuru!$F:$F,"&lt;&gt;")-1)*100,"0.0")&amp;"%","-"))</f>
        <v>01%</v>
      </c>
      <c r="F21" s="162">
        <f>IF(C21="","",COUNTIFS(Başvuru!$C:$C,C21,Başvuru!$G:$G,"Bireysel Araştırma",Başvuru!$A:$A,"&lt;&gt;"&amp;"",Başvuru!$F:$F,"&lt;&gt;"&amp;""))</f>
        <v>5</v>
      </c>
      <c r="G21" s="162">
        <f>IF(C21="","",COUNTIFS(Başvuru!$C:$C,C21,Başvuru!$G:$G,"Uzmanlık Tezi",Başvuru!$A:$A,"&lt;&gt;"&amp;"",Başvuru!$F:$F,"&lt;&gt;"&amp;""))</f>
        <v>1</v>
      </c>
      <c r="H21" s="162">
        <f>IF(C21="","",COUNTIFS(Başvuru!$C:$C,C21,Başvuru!$G:$G,"Doktora Tezi",Başvuru!$A:$A,"&lt;&gt;"&amp;"",Başvuru!$F:$F,"&lt;&gt;"&amp;""))</f>
        <v>0</v>
      </c>
      <c r="I21" s="162">
        <f>IF(C21="","",COUNTIFS(Başvuru!$C:$C,C21,Başvuru!$G:$G,"Yüksek Lisans Tezi",Başvuru!$A:$A,"&lt;&gt;"&amp;"",Başvuru!$F:$F,"&lt;&gt;"&amp;""))</f>
        <v>0</v>
      </c>
      <c r="J21" s="163">
        <f>IF(C21="","",COUNTIFS(Başvuru!$C:$C,C21,Başvuru!$L:$L,"ONAY",Başvuru!$A:$A,"&lt;&gt;"&amp;"",Başvuru!$F:$F,"&lt;&gt;"&amp;""))</f>
        <v>3</v>
      </c>
      <c r="K21" s="164">
        <f>IF(C21="","",COUNTIFS(Başvuru!$C:$C,C21,Başvuru!$L:$L,"DÜZELTME",Başvuru!$A:$A,"&lt;&gt;"&amp;"",Başvuru!$F:$F,"&lt;&gt;"&amp;""))</f>
        <v>3</v>
      </c>
      <c r="L21" s="165">
        <f>IF(C21="","",COUNTIFS(Başvuru!$C:$C,C21,Başvuru!$L:$L,"KAEK",Başvuru!$A:$A,"&lt;&gt;"&amp;"",Başvuru!$F:$F,"&lt;&gt;"&amp;""))</f>
        <v>0</v>
      </c>
      <c r="M21" s="166">
        <f>IF(C21="","",COUNTIFS(Başvuru!$C:$C,C21,Başvuru!$L:$L,"GÖRÜŞ",Başvuru!$A:$A,"&lt;&gt;"&amp;"",Başvuru!$F:$F,"&lt;&gt;"&amp;""))</f>
        <v>0</v>
      </c>
      <c r="N21" s="167">
        <f>IF(C21="","",COUNTIFS(Başvuru!$C:$C,C21,Başvuru!$L:$L,"RET",Başvuru!$A:$A,"&lt;&gt;"&amp;"",Başvuru!$F:$F,"&lt;&gt;"&amp;""))</f>
        <v>0</v>
      </c>
      <c r="O21" s="168">
        <f>IF(C21="","",COUNTIFS(Başvuru!$C:$C,C21,Başvuru!$L:$L,"KAPSAM DIŞI",Başvuru!$A:$A,"&lt;&gt;"&amp;"",Başvuru!$F:$F,"&lt;&gt;"&amp;""))</f>
        <v>0</v>
      </c>
      <c r="P21" s="169">
        <f>IF(C21="","",COUNTIFS(Başvuru!$C:$C,C21,Başvuru!$L:$L,"GERİ ÇEKİLDİ",Başvuru!$A:$A,"&lt;&gt;"&amp;"",Başvuru!$F:$F,"&lt;&gt;"&amp;""))</f>
        <v>0</v>
      </c>
      <c r="Q21" s="170" t="str">
        <f t="array" ref="Q21">IFERROR(INDEX(Başvuru!$C$2:$C$3000, MATCH(0, COUNTIF($Q$5:Q20, Başvuru!$C$2:$C$3000) + IF(Başvuru!$C$2:$C$3000="",1,0), 0)), "")</f>
        <v>Prof. Dr. Gül KARAKAYA</v>
      </c>
      <c r="R21" s="171">
        <f>IF(Q21="","",COUNTIFS(Başvuru!$C:$C,Q21,Başvuru!$A:$A,"&lt;&gt;"&amp;"",Başvuru!$F:$F,"&lt;&gt;"&amp;""))</f>
        <v>6</v>
      </c>
      <c r="S21" s="171">
        <f>IF(R21="","",RANK(R21,$R$6:$R$505,0)+COUNTIF($R$6:R21,R21)-1)</f>
        <v>15</v>
      </c>
    </row>
    <row r="22" spans="2:19" ht="23.25" customHeight="1" x14ac:dyDescent="0.25">
      <c r="B22" s="159">
        <v>17</v>
      </c>
      <c r="C22" s="160" t="str">
        <f>IFERROR(INDEX($Q$6:$Q$505,MATCH(17,$S$6:$S$505,0)),"")</f>
        <v>Prof. Dr. Neşe DERİCİOĞLU</v>
      </c>
      <c r="D22" s="161">
        <f>IF(C22="","",COUNTIFS(Başvuru!$C:$C,C22,Başvuru!$A:$A,"&lt;&gt;"&amp;"",Başvuru!$F:$F,"&lt;&gt;"&amp;""))</f>
        <v>6</v>
      </c>
      <c r="E22" s="159" t="str">
        <f>IF(C22="","-",IF(D22&gt;0,TEXT(D22/(COUNTIFS(Başvuru!$A:$A,"&lt;&gt;",Başvuru!$F:$F,"&lt;&gt;")-1)*100,"0.0")&amp;"%","-"))</f>
        <v>01%</v>
      </c>
      <c r="F22" s="162">
        <f>IF(C22="","",COUNTIFS(Başvuru!$C:$C,C22,Başvuru!$G:$G,"Bireysel Araştırma",Başvuru!$A:$A,"&lt;&gt;"&amp;"",Başvuru!$F:$F,"&lt;&gt;"&amp;""))</f>
        <v>6</v>
      </c>
      <c r="G22" s="162">
        <f>IF(C22="","",COUNTIFS(Başvuru!$C:$C,C22,Başvuru!$G:$G,"Uzmanlık Tezi",Başvuru!$A:$A,"&lt;&gt;"&amp;"",Başvuru!$F:$F,"&lt;&gt;"&amp;""))</f>
        <v>0</v>
      </c>
      <c r="H22" s="162">
        <f>IF(C22="","",COUNTIFS(Başvuru!$C:$C,C22,Başvuru!$G:$G,"Doktora Tezi",Başvuru!$A:$A,"&lt;&gt;"&amp;"",Başvuru!$F:$F,"&lt;&gt;"&amp;""))</f>
        <v>0</v>
      </c>
      <c r="I22" s="162">
        <f>IF(C22="","",COUNTIFS(Başvuru!$C:$C,C22,Başvuru!$G:$G,"Yüksek Lisans Tezi",Başvuru!$A:$A,"&lt;&gt;"&amp;"",Başvuru!$F:$F,"&lt;&gt;"&amp;""))</f>
        <v>0</v>
      </c>
      <c r="J22" s="163">
        <f>IF(C22="","",COUNTIFS(Başvuru!$C:$C,C22,Başvuru!$L:$L,"ONAY",Başvuru!$A:$A,"&lt;&gt;"&amp;"",Başvuru!$F:$F,"&lt;&gt;"&amp;""))</f>
        <v>5</v>
      </c>
      <c r="K22" s="164">
        <f>IF(C22="","",COUNTIFS(Başvuru!$C:$C,C22,Başvuru!$L:$L,"DÜZELTME",Başvuru!$A:$A,"&lt;&gt;"&amp;"",Başvuru!$F:$F,"&lt;&gt;"&amp;""))</f>
        <v>1</v>
      </c>
      <c r="L22" s="165">
        <f>IF(C22="","",COUNTIFS(Başvuru!$C:$C,C22,Başvuru!$L:$L,"KAEK",Başvuru!$A:$A,"&lt;&gt;"&amp;"",Başvuru!$F:$F,"&lt;&gt;"&amp;""))</f>
        <v>0</v>
      </c>
      <c r="M22" s="166">
        <f>IF(C22="","",COUNTIFS(Başvuru!$C:$C,C22,Başvuru!$L:$L,"GÖRÜŞ",Başvuru!$A:$A,"&lt;&gt;"&amp;"",Başvuru!$F:$F,"&lt;&gt;"&amp;""))</f>
        <v>0</v>
      </c>
      <c r="N22" s="167">
        <f>IF(C22="","",COUNTIFS(Başvuru!$C:$C,C22,Başvuru!$L:$L,"RET",Başvuru!$A:$A,"&lt;&gt;"&amp;"",Başvuru!$F:$F,"&lt;&gt;"&amp;""))</f>
        <v>0</v>
      </c>
      <c r="O22" s="168">
        <f>IF(C22="","",COUNTIFS(Başvuru!$C:$C,C22,Başvuru!$L:$L,"KAPSAM DIŞI",Başvuru!$A:$A,"&lt;&gt;"&amp;"",Başvuru!$F:$F,"&lt;&gt;"&amp;""))</f>
        <v>0</v>
      </c>
      <c r="P22" s="169">
        <f>IF(C22="","",COUNTIFS(Başvuru!$C:$C,C22,Başvuru!$L:$L,"GERİ ÇEKİLDİ",Başvuru!$A:$A,"&lt;&gt;"&amp;"",Başvuru!$F:$F,"&lt;&gt;"&amp;""))</f>
        <v>0</v>
      </c>
      <c r="Q22" s="170" t="str">
        <f t="array" ref="Q22">IFERROR(INDEX(Başvuru!$C$2:$C$3000, MATCH(0, COUNTIF($Q$5:Q21, Başvuru!$C$2:$C$3000) + IF(Başvuru!$C$2:$C$3000="",1,0), 0)), "")</f>
        <v>Prof. Dr. Banu KILIÇASLAN</v>
      </c>
      <c r="R22" s="171">
        <f>IF(Q22="","",COUNTIFS(Başvuru!$C:$C,Q22,Başvuru!$A:$A,"&lt;&gt;"&amp;"",Başvuru!$F:$F,"&lt;&gt;"&amp;""))</f>
        <v>1</v>
      </c>
      <c r="S22" s="171">
        <f>IF(R22="","",RANK(R22,$R$6:$R$505,0)+COUNTIF($R$6:R22,R22)-1)</f>
        <v>155</v>
      </c>
    </row>
    <row r="23" spans="2:19" ht="23.25" customHeight="1" x14ac:dyDescent="0.25">
      <c r="B23" s="159">
        <v>18</v>
      </c>
      <c r="C23" s="160" t="str">
        <f>IFERROR(INDEX($Q$6:$Q$505,MATCH(18,$S$6:$S$505,0)),"")</f>
        <v>Doç. Dr. Süleyman Nahit ŞENDUR</v>
      </c>
      <c r="D23" s="161">
        <f>IF(C23="","",COUNTIFS(Başvuru!$C:$C,C23,Başvuru!$A:$A,"&lt;&gt;"&amp;"",Başvuru!$F:$F,"&lt;&gt;"&amp;""))</f>
        <v>6</v>
      </c>
      <c r="E23" s="159" t="str">
        <f>IF(C23="","-",IF(D23&gt;0,TEXT(D23/(COUNTIFS(Başvuru!$A:$A,"&lt;&gt;",Başvuru!$F:$F,"&lt;&gt;")-1)*100,"0.0")&amp;"%","-"))</f>
        <v>01%</v>
      </c>
      <c r="F23" s="162">
        <f>IF(C23="","",COUNTIFS(Başvuru!$C:$C,C23,Başvuru!$G:$G,"Bireysel Araştırma",Başvuru!$A:$A,"&lt;&gt;"&amp;"",Başvuru!$F:$F,"&lt;&gt;"&amp;""))</f>
        <v>5</v>
      </c>
      <c r="G23" s="162">
        <f>IF(C23="","",COUNTIFS(Başvuru!$C:$C,C23,Başvuru!$G:$G,"Uzmanlık Tezi",Başvuru!$A:$A,"&lt;&gt;"&amp;"",Başvuru!$F:$F,"&lt;&gt;"&amp;""))</f>
        <v>1</v>
      </c>
      <c r="H23" s="162">
        <f>IF(C23="","",COUNTIFS(Başvuru!$C:$C,C23,Başvuru!$G:$G,"Doktora Tezi",Başvuru!$A:$A,"&lt;&gt;"&amp;"",Başvuru!$F:$F,"&lt;&gt;"&amp;""))</f>
        <v>0</v>
      </c>
      <c r="I23" s="162">
        <f>IF(C23="","",COUNTIFS(Başvuru!$C:$C,C23,Başvuru!$G:$G,"Yüksek Lisans Tezi",Başvuru!$A:$A,"&lt;&gt;"&amp;"",Başvuru!$F:$F,"&lt;&gt;"&amp;""))</f>
        <v>0</v>
      </c>
      <c r="J23" s="163">
        <f>IF(C23="","",COUNTIFS(Başvuru!$C:$C,C23,Başvuru!$L:$L,"ONAY",Başvuru!$A:$A,"&lt;&gt;"&amp;"",Başvuru!$F:$F,"&lt;&gt;"&amp;""))</f>
        <v>6</v>
      </c>
      <c r="K23" s="164">
        <f>IF(C23="","",COUNTIFS(Başvuru!$C:$C,C23,Başvuru!$L:$L,"DÜZELTME",Başvuru!$A:$A,"&lt;&gt;"&amp;"",Başvuru!$F:$F,"&lt;&gt;"&amp;""))</f>
        <v>0</v>
      </c>
      <c r="L23" s="165">
        <f>IF(C23="","",COUNTIFS(Başvuru!$C:$C,C23,Başvuru!$L:$L,"KAEK",Başvuru!$A:$A,"&lt;&gt;"&amp;"",Başvuru!$F:$F,"&lt;&gt;"&amp;""))</f>
        <v>0</v>
      </c>
      <c r="M23" s="166">
        <f>IF(C23="","",COUNTIFS(Başvuru!$C:$C,C23,Başvuru!$L:$L,"GÖRÜŞ",Başvuru!$A:$A,"&lt;&gt;"&amp;"",Başvuru!$F:$F,"&lt;&gt;"&amp;""))</f>
        <v>0</v>
      </c>
      <c r="N23" s="167">
        <f>IF(C23="","",COUNTIFS(Başvuru!$C:$C,C23,Başvuru!$L:$L,"RET",Başvuru!$A:$A,"&lt;&gt;"&amp;"",Başvuru!$F:$F,"&lt;&gt;"&amp;""))</f>
        <v>0</v>
      </c>
      <c r="O23" s="168">
        <f>IF(C23="","",COUNTIFS(Başvuru!$C:$C,C23,Başvuru!$L:$L,"KAPSAM DIŞI",Başvuru!$A:$A,"&lt;&gt;"&amp;"",Başvuru!$F:$F,"&lt;&gt;"&amp;""))</f>
        <v>0</v>
      </c>
      <c r="P23" s="169">
        <f>IF(C23="","",COUNTIFS(Başvuru!$C:$C,C23,Başvuru!$L:$L,"GERİ ÇEKİLDİ",Başvuru!$A:$A,"&lt;&gt;"&amp;"",Başvuru!$F:$F,"&lt;&gt;"&amp;""))</f>
        <v>0</v>
      </c>
      <c r="Q23" s="170" t="str">
        <f t="array" ref="Q23">IFERROR(INDEX(Başvuru!$C$2:$C$3000, MATCH(0, COUNTIF($Q$5:Q22, Başvuru!$C$2:$C$3000) + IF(Başvuru!$C$2:$C$3000="",1,0), 0)), "")</f>
        <v>Doç. Dr. Ulaş KUMBASAR</v>
      </c>
      <c r="R23" s="171">
        <f>IF(Q23="","",COUNTIFS(Başvuru!$C:$C,Q23,Başvuru!$A:$A,"&lt;&gt;"&amp;"",Başvuru!$F:$F,"&lt;&gt;"&amp;""))</f>
        <v>1</v>
      </c>
      <c r="S23" s="171">
        <f>IF(R23="","",RANK(R23,$R$6:$R$505,0)+COUNTIF($R$6:R23,R23)-1)</f>
        <v>156</v>
      </c>
    </row>
    <row r="24" spans="2:19" ht="23.25" customHeight="1" x14ac:dyDescent="0.25">
      <c r="B24" s="159">
        <v>19</v>
      </c>
      <c r="C24" s="160" t="str">
        <f>IFERROR(INDEX($Q$6:$Q$505,MATCH(19,$S$6:$S$505,0)),"")</f>
        <v>Prof. Dr. Özlem TEKŞAM</v>
      </c>
      <c r="D24" s="161">
        <f>IF(C24="","",COUNTIFS(Başvuru!$C:$C,C24,Başvuru!$A:$A,"&lt;&gt;"&amp;"",Başvuru!$F:$F,"&lt;&gt;"&amp;""))</f>
        <v>6</v>
      </c>
      <c r="E24" s="159" t="str">
        <f>IF(C24="","-",IF(D24&gt;0,TEXT(D24/(COUNTIFS(Başvuru!$A:$A,"&lt;&gt;",Başvuru!$F:$F,"&lt;&gt;")-1)*100,"0.0")&amp;"%","-"))</f>
        <v>01%</v>
      </c>
      <c r="F24" s="162">
        <f>IF(C24="","",COUNTIFS(Başvuru!$C:$C,C24,Başvuru!$G:$G,"Bireysel Araştırma",Başvuru!$A:$A,"&lt;&gt;"&amp;"",Başvuru!$F:$F,"&lt;&gt;"&amp;""))</f>
        <v>4</v>
      </c>
      <c r="G24" s="162">
        <f>IF(C24="","",COUNTIFS(Başvuru!$C:$C,C24,Başvuru!$G:$G,"Uzmanlık Tezi",Başvuru!$A:$A,"&lt;&gt;"&amp;"",Başvuru!$F:$F,"&lt;&gt;"&amp;""))</f>
        <v>2</v>
      </c>
      <c r="H24" s="162">
        <f>IF(C24="","",COUNTIFS(Başvuru!$C:$C,C24,Başvuru!$G:$G,"Doktora Tezi",Başvuru!$A:$A,"&lt;&gt;"&amp;"",Başvuru!$F:$F,"&lt;&gt;"&amp;""))</f>
        <v>0</v>
      </c>
      <c r="I24" s="162">
        <f>IF(C24="","",COUNTIFS(Başvuru!$C:$C,C24,Başvuru!$G:$G,"Yüksek Lisans Tezi",Başvuru!$A:$A,"&lt;&gt;"&amp;"",Başvuru!$F:$F,"&lt;&gt;"&amp;""))</f>
        <v>0</v>
      </c>
      <c r="J24" s="163">
        <f>IF(C24="","",COUNTIFS(Başvuru!$C:$C,C24,Başvuru!$L:$L,"ONAY",Başvuru!$A:$A,"&lt;&gt;"&amp;"",Başvuru!$F:$F,"&lt;&gt;"&amp;""))</f>
        <v>4</v>
      </c>
      <c r="K24" s="164">
        <f>IF(C24="","",COUNTIFS(Başvuru!$C:$C,C24,Başvuru!$L:$L,"DÜZELTME",Başvuru!$A:$A,"&lt;&gt;"&amp;"",Başvuru!$F:$F,"&lt;&gt;"&amp;""))</f>
        <v>1</v>
      </c>
      <c r="L24" s="165">
        <f>IF(C24="","",COUNTIFS(Başvuru!$C:$C,C24,Başvuru!$L:$L,"KAEK",Başvuru!$A:$A,"&lt;&gt;"&amp;"",Başvuru!$F:$F,"&lt;&gt;"&amp;""))</f>
        <v>0</v>
      </c>
      <c r="M24" s="166">
        <f>IF(C24="","",COUNTIFS(Başvuru!$C:$C,C24,Başvuru!$L:$L,"GÖRÜŞ",Başvuru!$A:$A,"&lt;&gt;"&amp;"",Başvuru!$F:$F,"&lt;&gt;"&amp;""))</f>
        <v>0</v>
      </c>
      <c r="N24" s="167">
        <f>IF(C24="","",COUNTIFS(Başvuru!$C:$C,C24,Başvuru!$L:$L,"RET",Başvuru!$A:$A,"&lt;&gt;"&amp;"",Başvuru!$F:$F,"&lt;&gt;"&amp;""))</f>
        <v>0</v>
      </c>
      <c r="O24" s="168">
        <f>IF(C24="","",COUNTIFS(Başvuru!$C:$C,C24,Başvuru!$L:$L,"KAPSAM DIŞI",Başvuru!$A:$A,"&lt;&gt;"&amp;"",Başvuru!$F:$F,"&lt;&gt;"&amp;""))</f>
        <v>0</v>
      </c>
      <c r="P24" s="169">
        <f>IF(C24="","",COUNTIFS(Başvuru!$C:$C,C24,Başvuru!$L:$L,"GERİ ÇEKİLDİ",Başvuru!$A:$A,"&lt;&gt;"&amp;"",Başvuru!$F:$F,"&lt;&gt;"&amp;""))</f>
        <v>0</v>
      </c>
      <c r="Q24" s="170" t="str">
        <f t="array" ref="Q24">IFERROR(INDEX(Başvuru!$C$2:$C$3000, MATCH(0, COUNTIF($Q$5:Q23, Başvuru!$C$2:$C$3000) + IF(Başvuru!$C$2:$C$3000="",1,0), 0)), "")</f>
        <v>Dr. Öğr. Üyesi Figen BEZCİ AYGÜN</v>
      </c>
      <c r="R24" s="171">
        <f>IF(Q24="","",COUNTIFS(Başvuru!$C:$C,Q24,Başvuru!$A:$A,"&lt;&gt;"&amp;"",Başvuru!$F:$F,"&lt;&gt;"&amp;""))</f>
        <v>8</v>
      </c>
      <c r="S24" s="171">
        <f>IF(R24="","",RANK(R24,$R$6:$R$505,0)+COUNTIF($R$6:R24,R24)-1)</f>
        <v>7</v>
      </c>
    </row>
    <row r="25" spans="2:19" ht="23.25" customHeight="1" x14ac:dyDescent="0.25">
      <c r="B25" s="159">
        <v>20</v>
      </c>
      <c r="C25" s="160" t="str">
        <f>IFERROR(INDEX($Q$6:$Q$505,MATCH(20,$S$6:$S$505,0)),"")</f>
        <v>Doç. Dr. Levent KILIÇ</v>
      </c>
      <c r="D25" s="161">
        <f>IF(C25="","",COUNTIFS(Başvuru!$C:$C,C25,Başvuru!$A:$A,"&lt;&gt;"&amp;"",Başvuru!$F:$F,"&lt;&gt;"&amp;""))</f>
        <v>5</v>
      </c>
      <c r="E25" s="159" t="str">
        <f>IF(C25="","-",IF(D25&gt;0,TEXT(D25/(COUNTIFS(Başvuru!$A:$A,"&lt;&gt;",Başvuru!$F:$F,"&lt;&gt;")-1)*100,"0.0")&amp;"%","-"))</f>
        <v>01%</v>
      </c>
      <c r="F25" s="162">
        <f>IF(C25="","",COUNTIFS(Başvuru!$C:$C,C25,Başvuru!$G:$G,"Bireysel Araştırma",Başvuru!$A:$A,"&lt;&gt;"&amp;"",Başvuru!$F:$F,"&lt;&gt;"&amp;""))</f>
        <v>4</v>
      </c>
      <c r="G25" s="162">
        <f>IF(C25="","",COUNTIFS(Başvuru!$C:$C,C25,Başvuru!$G:$G,"Uzmanlık Tezi",Başvuru!$A:$A,"&lt;&gt;"&amp;"",Başvuru!$F:$F,"&lt;&gt;"&amp;""))</f>
        <v>1</v>
      </c>
      <c r="H25" s="162">
        <f>IF(C25="","",COUNTIFS(Başvuru!$C:$C,C25,Başvuru!$G:$G,"Doktora Tezi",Başvuru!$A:$A,"&lt;&gt;"&amp;"",Başvuru!$F:$F,"&lt;&gt;"&amp;""))</f>
        <v>0</v>
      </c>
      <c r="I25" s="162">
        <f>IF(C25="","",COUNTIFS(Başvuru!$C:$C,C25,Başvuru!$G:$G,"Yüksek Lisans Tezi",Başvuru!$A:$A,"&lt;&gt;"&amp;"",Başvuru!$F:$F,"&lt;&gt;"&amp;""))</f>
        <v>0</v>
      </c>
      <c r="J25" s="163">
        <f>IF(C25="","",COUNTIFS(Başvuru!$C:$C,C25,Başvuru!$L:$L,"ONAY",Başvuru!$A:$A,"&lt;&gt;"&amp;"",Başvuru!$F:$F,"&lt;&gt;"&amp;""))</f>
        <v>2</v>
      </c>
      <c r="K25" s="164">
        <f>IF(C25="","",COUNTIFS(Başvuru!$C:$C,C25,Başvuru!$L:$L,"DÜZELTME",Başvuru!$A:$A,"&lt;&gt;"&amp;"",Başvuru!$F:$F,"&lt;&gt;"&amp;""))</f>
        <v>1</v>
      </c>
      <c r="L25" s="165">
        <f>IF(C25="","",COUNTIFS(Başvuru!$C:$C,C25,Başvuru!$L:$L,"KAEK",Başvuru!$A:$A,"&lt;&gt;"&amp;"",Başvuru!$F:$F,"&lt;&gt;"&amp;""))</f>
        <v>0</v>
      </c>
      <c r="M25" s="166">
        <f>IF(C25="","",COUNTIFS(Başvuru!$C:$C,C25,Başvuru!$L:$L,"GÖRÜŞ",Başvuru!$A:$A,"&lt;&gt;"&amp;"",Başvuru!$F:$F,"&lt;&gt;"&amp;""))</f>
        <v>1</v>
      </c>
      <c r="N25" s="167">
        <f>IF(C25="","",COUNTIFS(Başvuru!$C:$C,C25,Başvuru!$L:$L,"RET",Başvuru!$A:$A,"&lt;&gt;"&amp;"",Başvuru!$F:$F,"&lt;&gt;"&amp;""))</f>
        <v>0</v>
      </c>
      <c r="O25" s="168">
        <f>IF(C25="","",COUNTIFS(Başvuru!$C:$C,C25,Başvuru!$L:$L,"KAPSAM DIŞI",Başvuru!$A:$A,"&lt;&gt;"&amp;"",Başvuru!$F:$F,"&lt;&gt;"&amp;""))</f>
        <v>0</v>
      </c>
      <c r="P25" s="169">
        <f>IF(C25="","",COUNTIFS(Başvuru!$C:$C,C25,Başvuru!$L:$L,"GERİ ÇEKİLDİ",Başvuru!$A:$A,"&lt;&gt;"&amp;"",Başvuru!$F:$F,"&lt;&gt;"&amp;""))</f>
        <v>0</v>
      </c>
      <c r="Q25" s="170" t="str">
        <f t="array" ref="Q25">IFERROR(INDEX(Başvuru!$C$2:$C$3000, MATCH(0, COUNTIF($Q$5:Q24, Başvuru!$C$2:$C$3000) + IF(Başvuru!$C$2:$C$3000="",1,0), 0)), "")</f>
        <v>Prof. Dr. Oğuz IŞIK</v>
      </c>
      <c r="R25" s="171">
        <f>IF(Q25="","",COUNTIFS(Başvuru!$C:$C,Q25,Başvuru!$A:$A,"&lt;&gt;"&amp;"",Başvuru!$F:$F,"&lt;&gt;"&amp;""))</f>
        <v>3</v>
      </c>
      <c r="S25" s="171">
        <f>IF(R25="","",RANK(R25,$R$6:$R$505,0)+COUNTIF($R$6:R25,R25)-1)</f>
        <v>49</v>
      </c>
    </row>
    <row r="26" spans="2:19" ht="23.25" customHeight="1" x14ac:dyDescent="0.25">
      <c r="B26" s="159">
        <v>21</v>
      </c>
      <c r="C26" s="160" t="str">
        <f>IFERROR(INDEX($Q$6:$Q$505,MATCH(21,$S$6:$S$505,0)),"")</f>
        <v>Doç. Dr. Erdem FADILOĞLU</v>
      </c>
      <c r="D26" s="161">
        <f>IF(C26="","",COUNTIFS(Başvuru!$C:$C,C26,Başvuru!$A:$A,"&lt;&gt;"&amp;"",Başvuru!$F:$F,"&lt;&gt;"&amp;""))</f>
        <v>5</v>
      </c>
      <c r="E26" s="159" t="str">
        <f>IF(C26="","-",IF(D26&gt;0,TEXT(D26/(COUNTIFS(Başvuru!$A:$A,"&lt;&gt;",Başvuru!$F:$F,"&lt;&gt;")-1)*100,"0.0")&amp;"%","-"))</f>
        <v>01%</v>
      </c>
      <c r="F26" s="162">
        <f>IF(C26="","",COUNTIFS(Başvuru!$C:$C,C26,Başvuru!$G:$G,"Bireysel Araştırma",Başvuru!$A:$A,"&lt;&gt;"&amp;"",Başvuru!$F:$F,"&lt;&gt;"&amp;""))</f>
        <v>3</v>
      </c>
      <c r="G26" s="162">
        <f>IF(C26="","",COUNTIFS(Başvuru!$C:$C,C26,Başvuru!$G:$G,"Uzmanlık Tezi",Başvuru!$A:$A,"&lt;&gt;"&amp;"",Başvuru!$F:$F,"&lt;&gt;"&amp;""))</f>
        <v>2</v>
      </c>
      <c r="H26" s="162">
        <f>IF(C26="","",COUNTIFS(Başvuru!$C:$C,C26,Başvuru!$G:$G,"Doktora Tezi",Başvuru!$A:$A,"&lt;&gt;"&amp;"",Başvuru!$F:$F,"&lt;&gt;"&amp;""))</f>
        <v>0</v>
      </c>
      <c r="I26" s="162">
        <f>IF(C26="","",COUNTIFS(Başvuru!$C:$C,C26,Başvuru!$G:$G,"Yüksek Lisans Tezi",Başvuru!$A:$A,"&lt;&gt;"&amp;"",Başvuru!$F:$F,"&lt;&gt;"&amp;""))</f>
        <v>0</v>
      </c>
      <c r="J26" s="163">
        <f>IF(C26="","",COUNTIFS(Başvuru!$C:$C,C26,Başvuru!$L:$L,"ONAY",Başvuru!$A:$A,"&lt;&gt;"&amp;"",Başvuru!$F:$F,"&lt;&gt;"&amp;""))</f>
        <v>1</v>
      </c>
      <c r="K26" s="164">
        <f>IF(C26="","",COUNTIFS(Başvuru!$C:$C,C26,Başvuru!$L:$L,"DÜZELTME",Başvuru!$A:$A,"&lt;&gt;"&amp;"",Başvuru!$F:$F,"&lt;&gt;"&amp;""))</f>
        <v>3</v>
      </c>
      <c r="L26" s="165">
        <f>IF(C26="","",COUNTIFS(Başvuru!$C:$C,C26,Başvuru!$L:$L,"KAEK",Başvuru!$A:$A,"&lt;&gt;"&amp;"",Başvuru!$F:$F,"&lt;&gt;"&amp;""))</f>
        <v>0</v>
      </c>
      <c r="M26" s="166">
        <f>IF(C26="","",COUNTIFS(Başvuru!$C:$C,C26,Başvuru!$L:$L,"GÖRÜŞ",Başvuru!$A:$A,"&lt;&gt;"&amp;"",Başvuru!$F:$F,"&lt;&gt;"&amp;""))</f>
        <v>0</v>
      </c>
      <c r="N26" s="167">
        <f>IF(C26="","",COUNTIFS(Başvuru!$C:$C,C26,Başvuru!$L:$L,"RET",Başvuru!$A:$A,"&lt;&gt;"&amp;"",Başvuru!$F:$F,"&lt;&gt;"&amp;""))</f>
        <v>0</v>
      </c>
      <c r="O26" s="168">
        <f>IF(C26="","",COUNTIFS(Başvuru!$C:$C,C26,Başvuru!$L:$L,"KAPSAM DIŞI",Başvuru!$A:$A,"&lt;&gt;"&amp;"",Başvuru!$F:$F,"&lt;&gt;"&amp;""))</f>
        <v>0</v>
      </c>
      <c r="P26" s="169">
        <f>IF(C26="","",COUNTIFS(Başvuru!$C:$C,C26,Başvuru!$L:$L,"GERİ ÇEKİLDİ",Başvuru!$A:$A,"&lt;&gt;"&amp;"",Başvuru!$F:$F,"&lt;&gt;"&amp;""))</f>
        <v>0</v>
      </c>
      <c r="Q26" s="170" t="str">
        <f t="array" ref="Q26">IFERROR(INDEX(Başvuru!$C$2:$C$3000, MATCH(0, COUNTIF($Q$5:Q25, Başvuru!$C$2:$C$3000) + IF(Başvuru!$C$2:$C$3000="",1,0), 0)), "")</f>
        <v>Doç. Dr. Dilek ÜNAL</v>
      </c>
      <c r="R26" s="171">
        <f>IF(Q26="","",COUNTIFS(Başvuru!$C:$C,Q26,Başvuru!$A:$A,"&lt;&gt;"&amp;"",Başvuru!$F:$F,"&lt;&gt;"&amp;""))</f>
        <v>4</v>
      </c>
      <c r="S26" s="171">
        <f>IF(R26="","",RANK(R26,$R$6:$R$505,0)+COUNTIF($R$6:R26,R26)-1)</f>
        <v>33</v>
      </c>
    </row>
    <row r="27" spans="2:19" ht="23.25" customHeight="1" x14ac:dyDescent="0.25">
      <c r="B27" s="159">
        <v>22</v>
      </c>
      <c r="C27" s="160" t="str">
        <f>IFERROR(INDEX($Q$6:$Q$505,MATCH(22,$S$6:$S$505,0)),"")</f>
        <v>Dr. Öğr. Üyesi Burcu KELLECİ ÇAKIR</v>
      </c>
      <c r="D27" s="161">
        <f>IF(C27="","",COUNTIFS(Başvuru!$C:$C,C27,Başvuru!$A:$A,"&lt;&gt;"&amp;"",Başvuru!$F:$F,"&lt;&gt;"&amp;""))</f>
        <v>5</v>
      </c>
      <c r="E27" s="159" t="str">
        <f>IF(C27="","-",IF(D27&gt;0,TEXT(D27/(COUNTIFS(Başvuru!$A:$A,"&lt;&gt;",Başvuru!$F:$F,"&lt;&gt;")-1)*100,"0.0")&amp;"%","-"))</f>
        <v>01%</v>
      </c>
      <c r="F27" s="162">
        <f>IF(C27="","",COUNTIFS(Başvuru!$C:$C,C27,Başvuru!$G:$G,"Bireysel Araştırma",Başvuru!$A:$A,"&lt;&gt;"&amp;"",Başvuru!$F:$F,"&lt;&gt;"&amp;""))</f>
        <v>4</v>
      </c>
      <c r="G27" s="162">
        <f>IF(C27="","",COUNTIFS(Başvuru!$C:$C,C27,Başvuru!$G:$G,"Uzmanlık Tezi",Başvuru!$A:$A,"&lt;&gt;"&amp;"",Başvuru!$F:$F,"&lt;&gt;"&amp;""))</f>
        <v>0</v>
      </c>
      <c r="H27" s="162">
        <f>IF(C27="","",COUNTIFS(Başvuru!$C:$C,C27,Başvuru!$G:$G,"Doktora Tezi",Başvuru!$A:$A,"&lt;&gt;"&amp;"",Başvuru!$F:$F,"&lt;&gt;"&amp;""))</f>
        <v>0</v>
      </c>
      <c r="I27" s="162">
        <f>IF(C27="","",COUNTIFS(Başvuru!$C:$C,C27,Başvuru!$G:$G,"Yüksek Lisans Tezi",Başvuru!$A:$A,"&lt;&gt;"&amp;"",Başvuru!$F:$F,"&lt;&gt;"&amp;""))</f>
        <v>1</v>
      </c>
      <c r="J27" s="163">
        <f>IF(C27="","",COUNTIFS(Başvuru!$C:$C,C27,Başvuru!$L:$L,"ONAY",Başvuru!$A:$A,"&lt;&gt;"&amp;"",Başvuru!$F:$F,"&lt;&gt;"&amp;""))</f>
        <v>4</v>
      </c>
      <c r="K27" s="164">
        <f>IF(C27="","",COUNTIFS(Başvuru!$C:$C,C27,Başvuru!$L:$L,"DÜZELTME",Başvuru!$A:$A,"&lt;&gt;"&amp;"",Başvuru!$F:$F,"&lt;&gt;"&amp;""))</f>
        <v>1</v>
      </c>
      <c r="L27" s="165">
        <f>IF(C27="","",COUNTIFS(Başvuru!$C:$C,C27,Başvuru!$L:$L,"KAEK",Başvuru!$A:$A,"&lt;&gt;"&amp;"",Başvuru!$F:$F,"&lt;&gt;"&amp;""))</f>
        <v>0</v>
      </c>
      <c r="M27" s="166">
        <f>IF(C27="","",COUNTIFS(Başvuru!$C:$C,C27,Başvuru!$L:$L,"GÖRÜŞ",Başvuru!$A:$A,"&lt;&gt;"&amp;"",Başvuru!$F:$F,"&lt;&gt;"&amp;""))</f>
        <v>0</v>
      </c>
      <c r="N27" s="167">
        <f>IF(C27="","",COUNTIFS(Başvuru!$C:$C,C27,Başvuru!$L:$L,"RET",Başvuru!$A:$A,"&lt;&gt;"&amp;"",Başvuru!$F:$F,"&lt;&gt;"&amp;""))</f>
        <v>0</v>
      </c>
      <c r="O27" s="168">
        <f>IF(C27="","",COUNTIFS(Başvuru!$C:$C,C27,Başvuru!$L:$L,"KAPSAM DIŞI",Başvuru!$A:$A,"&lt;&gt;"&amp;"",Başvuru!$F:$F,"&lt;&gt;"&amp;""))</f>
        <v>0</v>
      </c>
      <c r="P27" s="169">
        <f>IF(C27="","",COUNTIFS(Başvuru!$C:$C,C27,Başvuru!$L:$L,"GERİ ÇEKİLDİ",Başvuru!$A:$A,"&lt;&gt;"&amp;"",Başvuru!$F:$F,"&lt;&gt;"&amp;""))</f>
        <v>0</v>
      </c>
      <c r="Q27" s="170" t="str">
        <f t="array" ref="Q27">IFERROR(INDEX(Başvuru!$C$2:$C$3000, MATCH(0, COUNTIF($Q$5:Q26, Başvuru!$C$2:$C$3000) + IF(Başvuru!$C$2:$C$3000="",1,0), 0)), "")</f>
        <v>Prof. Dr. Emre TOSUN</v>
      </c>
      <c r="R27" s="171">
        <f>IF(Q27="","",COUNTIFS(Başvuru!$C:$C,Q27,Başvuru!$A:$A,"&lt;&gt;"&amp;"",Başvuru!$F:$F,"&lt;&gt;"&amp;""))</f>
        <v>1</v>
      </c>
      <c r="S27" s="171">
        <f>IF(R27="","",RANK(R27,$R$6:$R$505,0)+COUNTIF($R$6:R27,R27)-1)</f>
        <v>157</v>
      </c>
    </row>
    <row r="28" spans="2:19" ht="23.25" customHeight="1" x14ac:dyDescent="0.25">
      <c r="B28" s="159">
        <v>23</v>
      </c>
      <c r="C28" s="160" t="str">
        <f>IFERROR(INDEX($Q$6:$Q$505,MATCH(23,$S$6:$S$505,0)),"")</f>
        <v>Doç. Dr. Ezgi ATİK</v>
      </c>
      <c r="D28" s="161">
        <f>IF(C28="","",COUNTIFS(Başvuru!$C:$C,C28,Başvuru!$A:$A,"&lt;&gt;"&amp;"",Başvuru!$F:$F,"&lt;&gt;"&amp;""))</f>
        <v>5</v>
      </c>
      <c r="E28" s="159" t="str">
        <f>IF(C28="","-",IF(D28&gt;0,TEXT(D28/(COUNTIFS(Başvuru!$A:$A,"&lt;&gt;",Başvuru!$F:$F,"&lt;&gt;")-1)*100,"0.0")&amp;"%","-"))</f>
        <v>01%</v>
      </c>
      <c r="F28" s="162">
        <f>IF(C28="","",COUNTIFS(Başvuru!$C:$C,C28,Başvuru!$G:$G,"Bireysel Araştırma",Başvuru!$A:$A,"&lt;&gt;"&amp;"",Başvuru!$F:$F,"&lt;&gt;"&amp;""))</f>
        <v>5</v>
      </c>
      <c r="G28" s="162">
        <f>IF(C28="","",COUNTIFS(Başvuru!$C:$C,C28,Başvuru!$G:$G,"Uzmanlık Tezi",Başvuru!$A:$A,"&lt;&gt;"&amp;"",Başvuru!$F:$F,"&lt;&gt;"&amp;""))</f>
        <v>0</v>
      </c>
      <c r="H28" s="162">
        <f>IF(C28="","",COUNTIFS(Başvuru!$C:$C,C28,Başvuru!$G:$G,"Doktora Tezi",Başvuru!$A:$A,"&lt;&gt;"&amp;"",Başvuru!$F:$F,"&lt;&gt;"&amp;""))</f>
        <v>0</v>
      </c>
      <c r="I28" s="162">
        <f>IF(C28="","",COUNTIFS(Başvuru!$C:$C,C28,Başvuru!$G:$G,"Yüksek Lisans Tezi",Başvuru!$A:$A,"&lt;&gt;"&amp;"",Başvuru!$F:$F,"&lt;&gt;"&amp;""))</f>
        <v>0</v>
      </c>
      <c r="J28" s="163">
        <f>IF(C28="","",COUNTIFS(Başvuru!$C:$C,C28,Başvuru!$L:$L,"ONAY",Başvuru!$A:$A,"&lt;&gt;"&amp;"",Başvuru!$F:$F,"&lt;&gt;"&amp;""))</f>
        <v>4</v>
      </c>
      <c r="K28" s="164">
        <f>IF(C28="","",COUNTIFS(Başvuru!$C:$C,C28,Başvuru!$L:$L,"DÜZELTME",Başvuru!$A:$A,"&lt;&gt;"&amp;"",Başvuru!$F:$F,"&lt;&gt;"&amp;""))</f>
        <v>1</v>
      </c>
      <c r="L28" s="165">
        <f>IF(C28="","",COUNTIFS(Başvuru!$C:$C,C28,Başvuru!$L:$L,"KAEK",Başvuru!$A:$A,"&lt;&gt;"&amp;"",Başvuru!$F:$F,"&lt;&gt;"&amp;""))</f>
        <v>0</v>
      </c>
      <c r="M28" s="166">
        <f>IF(C28="","",COUNTIFS(Başvuru!$C:$C,C28,Başvuru!$L:$L,"GÖRÜŞ",Başvuru!$A:$A,"&lt;&gt;"&amp;"",Başvuru!$F:$F,"&lt;&gt;"&amp;""))</f>
        <v>0</v>
      </c>
      <c r="N28" s="167">
        <f>IF(C28="","",COUNTIFS(Başvuru!$C:$C,C28,Başvuru!$L:$L,"RET",Başvuru!$A:$A,"&lt;&gt;"&amp;"",Başvuru!$F:$F,"&lt;&gt;"&amp;""))</f>
        <v>0</v>
      </c>
      <c r="O28" s="168">
        <f>IF(C28="","",COUNTIFS(Başvuru!$C:$C,C28,Başvuru!$L:$L,"KAPSAM DIŞI",Başvuru!$A:$A,"&lt;&gt;"&amp;"",Başvuru!$F:$F,"&lt;&gt;"&amp;""))</f>
        <v>0</v>
      </c>
      <c r="P28" s="169">
        <f>IF(C28="","",COUNTIFS(Başvuru!$C:$C,C28,Başvuru!$L:$L,"GERİ ÇEKİLDİ",Başvuru!$A:$A,"&lt;&gt;"&amp;"",Başvuru!$F:$F,"&lt;&gt;"&amp;""))</f>
        <v>0</v>
      </c>
      <c r="Q28" s="170" t="str">
        <f t="array" ref="Q28">IFERROR(INDEX(Başvuru!$C$2:$C$3000, MATCH(0, COUNTIF($Q$5:Q27, Başvuru!$C$2:$C$3000) + IF(Başvuru!$C$2:$C$3000="",1,0), 0)), "")</f>
        <v>Prof. Dr. Seza ÖZEN</v>
      </c>
      <c r="R28" s="171">
        <f>IF(Q28="","",COUNTIFS(Başvuru!$C:$C,Q28,Başvuru!$A:$A,"&lt;&gt;"&amp;"",Başvuru!$F:$F,"&lt;&gt;"&amp;""))</f>
        <v>3</v>
      </c>
      <c r="S28" s="171">
        <f>IF(R28="","",RANK(R28,$R$6:$R$505,0)+COUNTIF($R$6:R28,R28)-1)</f>
        <v>50</v>
      </c>
    </row>
    <row r="29" spans="2:19" ht="23.25" customHeight="1" x14ac:dyDescent="0.25">
      <c r="B29" s="159">
        <v>24</v>
      </c>
      <c r="C29" s="160" t="str">
        <f>IFERROR(INDEX($Q$6:$Q$505,MATCH(24,$S$6:$S$505,0)),"")</f>
        <v>Doç. Dr. İrem KOÇ</v>
      </c>
      <c r="D29" s="161">
        <f>IF(C29="","",COUNTIFS(Başvuru!$C:$C,C29,Başvuru!$A:$A,"&lt;&gt;"&amp;"",Başvuru!$F:$F,"&lt;&gt;"&amp;""))</f>
        <v>5</v>
      </c>
      <c r="E29" s="159" t="str">
        <f>IF(C29="","-",IF(D29&gt;0,TEXT(D29/(COUNTIFS(Başvuru!$A:$A,"&lt;&gt;",Başvuru!$F:$F,"&lt;&gt;")-1)*100,"0.0")&amp;"%","-"))</f>
        <v>01%</v>
      </c>
      <c r="F29" s="162">
        <f>IF(C29="","",COUNTIFS(Başvuru!$C:$C,C29,Başvuru!$G:$G,"Bireysel Araştırma",Başvuru!$A:$A,"&lt;&gt;"&amp;"",Başvuru!$F:$F,"&lt;&gt;"&amp;""))</f>
        <v>5</v>
      </c>
      <c r="G29" s="162">
        <f>IF(C29="","",COUNTIFS(Başvuru!$C:$C,C29,Başvuru!$G:$G,"Uzmanlık Tezi",Başvuru!$A:$A,"&lt;&gt;"&amp;"",Başvuru!$F:$F,"&lt;&gt;"&amp;""))</f>
        <v>0</v>
      </c>
      <c r="H29" s="162">
        <f>IF(C29="","",COUNTIFS(Başvuru!$C:$C,C29,Başvuru!$G:$G,"Doktora Tezi",Başvuru!$A:$A,"&lt;&gt;"&amp;"",Başvuru!$F:$F,"&lt;&gt;"&amp;""))</f>
        <v>0</v>
      </c>
      <c r="I29" s="162">
        <f>IF(C29="","",COUNTIFS(Başvuru!$C:$C,C29,Başvuru!$G:$G,"Yüksek Lisans Tezi",Başvuru!$A:$A,"&lt;&gt;"&amp;"",Başvuru!$F:$F,"&lt;&gt;"&amp;""))</f>
        <v>0</v>
      </c>
      <c r="J29" s="163">
        <f>IF(C29="","",COUNTIFS(Başvuru!$C:$C,C29,Başvuru!$L:$L,"ONAY",Başvuru!$A:$A,"&lt;&gt;"&amp;"",Başvuru!$F:$F,"&lt;&gt;"&amp;""))</f>
        <v>4</v>
      </c>
      <c r="K29" s="164">
        <f>IF(C29="","",COUNTIFS(Başvuru!$C:$C,C29,Başvuru!$L:$L,"DÜZELTME",Başvuru!$A:$A,"&lt;&gt;"&amp;"",Başvuru!$F:$F,"&lt;&gt;"&amp;""))</f>
        <v>1</v>
      </c>
      <c r="L29" s="165">
        <f>IF(C29="","",COUNTIFS(Başvuru!$C:$C,C29,Başvuru!$L:$L,"KAEK",Başvuru!$A:$A,"&lt;&gt;"&amp;"",Başvuru!$F:$F,"&lt;&gt;"&amp;""))</f>
        <v>0</v>
      </c>
      <c r="M29" s="166">
        <f>IF(C29="","",COUNTIFS(Başvuru!$C:$C,C29,Başvuru!$L:$L,"GÖRÜŞ",Başvuru!$A:$A,"&lt;&gt;"&amp;"",Başvuru!$F:$F,"&lt;&gt;"&amp;""))</f>
        <v>0</v>
      </c>
      <c r="N29" s="167">
        <f>IF(C29="","",COUNTIFS(Başvuru!$C:$C,C29,Başvuru!$L:$L,"RET",Başvuru!$A:$A,"&lt;&gt;"&amp;"",Başvuru!$F:$F,"&lt;&gt;"&amp;""))</f>
        <v>0</v>
      </c>
      <c r="O29" s="168">
        <f>IF(C29="","",COUNTIFS(Başvuru!$C:$C,C29,Başvuru!$L:$L,"KAPSAM DIŞI",Başvuru!$A:$A,"&lt;&gt;"&amp;"",Başvuru!$F:$F,"&lt;&gt;"&amp;""))</f>
        <v>0</v>
      </c>
      <c r="P29" s="169">
        <f>IF(C29="","",COUNTIFS(Başvuru!$C:$C,C29,Başvuru!$L:$L,"GERİ ÇEKİLDİ",Başvuru!$A:$A,"&lt;&gt;"&amp;"",Başvuru!$F:$F,"&lt;&gt;"&amp;""))</f>
        <v>0</v>
      </c>
      <c r="Q29" s="170" t="str">
        <f t="array" ref="Q29">IFERROR(INDEX(Başvuru!$C$2:$C$3000, MATCH(0, COUNTIF($Q$5:Q28, Başvuru!$C$2:$C$3000) + IF(Başvuru!$C$2:$C$3000="",1,0), 0)), "")</f>
        <v>Dr. Öğr. Üyesi Gonca ÖZTEN DERE</v>
      </c>
      <c r="R29" s="171">
        <f>IF(Q29="","",COUNTIFS(Başvuru!$C:$C,Q29,Başvuru!$A:$A,"&lt;&gt;"&amp;"",Başvuru!$F:$F,"&lt;&gt;"&amp;""))</f>
        <v>8</v>
      </c>
      <c r="S29" s="171">
        <f>IF(R29="","",RANK(R29,$R$6:$R$505,0)+COUNTIF($R$6:R29,R29)-1)</f>
        <v>8</v>
      </c>
    </row>
    <row r="30" spans="2:19" ht="23.25" customHeight="1" x14ac:dyDescent="0.25">
      <c r="B30" s="159">
        <v>25</v>
      </c>
      <c r="C30" s="160" t="str">
        <f>IFERROR(INDEX($Q$6:$Q$505,MATCH(25,$S$6:$S$505,0)),"")</f>
        <v>Prof. Dr. Alp ÇETİN</v>
      </c>
      <c r="D30" s="161">
        <f>IF(C30="","",COUNTIFS(Başvuru!$C:$C,C30,Başvuru!$A:$A,"&lt;&gt;"&amp;"",Başvuru!$F:$F,"&lt;&gt;"&amp;""))</f>
        <v>5</v>
      </c>
      <c r="E30" s="159" t="str">
        <f>IF(C30="","-",IF(D30&gt;0,TEXT(D30/(COUNTIFS(Başvuru!$A:$A,"&lt;&gt;",Başvuru!$F:$F,"&lt;&gt;")-1)*100,"0.0")&amp;"%","-"))</f>
        <v>01%</v>
      </c>
      <c r="F30" s="162">
        <f>IF(C30="","",COUNTIFS(Başvuru!$C:$C,C30,Başvuru!$G:$G,"Bireysel Araştırma",Başvuru!$A:$A,"&lt;&gt;"&amp;"",Başvuru!$F:$F,"&lt;&gt;"&amp;""))</f>
        <v>4</v>
      </c>
      <c r="G30" s="162">
        <f>IF(C30="","",COUNTIFS(Başvuru!$C:$C,C30,Başvuru!$G:$G,"Uzmanlık Tezi",Başvuru!$A:$A,"&lt;&gt;"&amp;"",Başvuru!$F:$F,"&lt;&gt;"&amp;""))</f>
        <v>1</v>
      </c>
      <c r="H30" s="162">
        <f>IF(C30="","",COUNTIFS(Başvuru!$C:$C,C30,Başvuru!$G:$G,"Doktora Tezi",Başvuru!$A:$A,"&lt;&gt;"&amp;"",Başvuru!$F:$F,"&lt;&gt;"&amp;""))</f>
        <v>0</v>
      </c>
      <c r="I30" s="162">
        <f>IF(C30="","",COUNTIFS(Başvuru!$C:$C,C30,Başvuru!$G:$G,"Yüksek Lisans Tezi",Başvuru!$A:$A,"&lt;&gt;"&amp;"",Başvuru!$F:$F,"&lt;&gt;"&amp;""))</f>
        <v>0</v>
      </c>
      <c r="J30" s="163">
        <f>IF(C30="","",COUNTIFS(Başvuru!$C:$C,C30,Başvuru!$L:$L,"ONAY",Başvuru!$A:$A,"&lt;&gt;"&amp;"",Başvuru!$F:$F,"&lt;&gt;"&amp;""))</f>
        <v>1</v>
      </c>
      <c r="K30" s="164">
        <f>IF(C30="","",COUNTIFS(Başvuru!$C:$C,C30,Başvuru!$L:$L,"DÜZELTME",Başvuru!$A:$A,"&lt;&gt;"&amp;"",Başvuru!$F:$F,"&lt;&gt;"&amp;""))</f>
        <v>1</v>
      </c>
      <c r="L30" s="165">
        <f>IF(C30="","",COUNTIFS(Başvuru!$C:$C,C30,Başvuru!$L:$L,"KAEK",Başvuru!$A:$A,"&lt;&gt;"&amp;"",Başvuru!$F:$F,"&lt;&gt;"&amp;""))</f>
        <v>0</v>
      </c>
      <c r="M30" s="166">
        <f>IF(C30="","",COUNTIFS(Başvuru!$C:$C,C30,Başvuru!$L:$L,"GÖRÜŞ",Başvuru!$A:$A,"&lt;&gt;"&amp;"",Başvuru!$F:$F,"&lt;&gt;"&amp;""))</f>
        <v>0</v>
      </c>
      <c r="N30" s="167">
        <f>IF(C30="","",COUNTIFS(Başvuru!$C:$C,C30,Başvuru!$L:$L,"RET",Başvuru!$A:$A,"&lt;&gt;"&amp;"",Başvuru!$F:$F,"&lt;&gt;"&amp;""))</f>
        <v>2</v>
      </c>
      <c r="O30" s="168">
        <f>IF(C30="","",COUNTIFS(Başvuru!$C:$C,C30,Başvuru!$L:$L,"KAPSAM DIŞI",Başvuru!$A:$A,"&lt;&gt;"&amp;"",Başvuru!$F:$F,"&lt;&gt;"&amp;""))</f>
        <v>0</v>
      </c>
      <c r="P30" s="169">
        <f>IF(C30="","",COUNTIFS(Başvuru!$C:$C,C30,Başvuru!$L:$L,"GERİ ÇEKİLDİ",Başvuru!$A:$A,"&lt;&gt;"&amp;"",Başvuru!$F:$F,"&lt;&gt;"&amp;""))</f>
        <v>0</v>
      </c>
      <c r="Q30" s="170" t="str">
        <f t="array" ref="Q30">IFERROR(INDEX(Başvuru!$C$2:$C$3000, MATCH(0, COUNTIF($Q$5:Q29, Başvuru!$C$2:$C$3000) + IF(Başvuru!$C$2:$C$3000="",1,0), 0)), "")</f>
        <v>Prof. Dr. Hikmet YORGUN</v>
      </c>
      <c r="R30" s="171">
        <f>IF(Q30="","",COUNTIFS(Başvuru!$C:$C,Q30,Başvuru!$A:$A,"&lt;&gt;"&amp;"",Başvuru!$F:$F,"&lt;&gt;"&amp;""))</f>
        <v>2</v>
      </c>
      <c r="S30" s="171">
        <f>IF(R30="","",RANK(R30,$R$6:$R$505,0)+COUNTIF($R$6:R30,R30)-1)</f>
        <v>79</v>
      </c>
    </row>
    <row r="31" spans="2:19" ht="23.25" customHeight="1" x14ac:dyDescent="0.25">
      <c r="B31" s="159">
        <v>26</v>
      </c>
      <c r="C31" s="160" t="str">
        <f>IFERROR(INDEX($Q$6:$Q$505,MATCH(26,$S$6:$S$505,0)),"")</f>
        <v>Doç. Dr. Duygu AYHAN BAŞER</v>
      </c>
      <c r="D31" s="161">
        <f>IF(C31="","",COUNTIFS(Başvuru!$C:$C,C31,Başvuru!$A:$A,"&lt;&gt;"&amp;"",Başvuru!$F:$F,"&lt;&gt;"&amp;""))</f>
        <v>5</v>
      </c>
      <c r="E31" s="159" t="str">
        <f>IF(C31="","-",IF(D31&gt;0,TEXT(D31/(COUNTIFS(Başvuru!$A:$A,"&lt;&gt;",Başvuru!$F:$F,"&lt;&gt;")-1)*100,"0.0")&amp;"%","-"))</f>
        <v>01%</v>
      </c>
      <c r="F31" s="162">
        <f>IF(C31="","",COUNTIFS(Başvuru!$C:$C,C31,Başvuru!$G:$G,"Bireysel Araştırma",Başvuru!$A:$A,"&lt;&gt;"&amp;"",Başvuru!$F:$F,"&lt;&gt;"&amp;""))</f>
        <v>4</v>
      </c>
      <c r="G31" s="162">
        <f>IF(C31="","",COUNTIFS(Başvuru!$C:$C,C31,Başvuru!$G:$G,"Uzmanlık Tezi",Başvuru!$A:$A,"&lt;&gt;"&amp;"",Başvuru!$F:$F,"&lt;&gt;"&amp;""))</f>
        <v>1</v>
      </c>
      <c r="H31" s="162">
        <f>IF(C31="","",COUNTIFS(Başvuru!$C:$C,C31,Başvuru!$G:$G,"Doktora Tezi",Başvuru!$A:$A,"&lt;&gt;"&amp;"",Başvuru!$F:$F,"&lt;&gt;"&amp;""))</f>
        <v>0</v>
      </c>
      <c r="I31" s="162">
        <f>IF(C31="","",COUNTIFS(Başvuru!$C:$C,C31,Başvuru!$G:$G,"Yüksek Lisans Tezi",Başvuru!$A:$A,"&lt;&gt;"&amp;"",Başvuru!$F:$F,"&lt;&gt;"&amp;""))</f>
        <v>0</v>
      </c>
      <c r="J31" s="163">
        <f>IF(C31="","",COUNTIFS(Başvuru!$C:$C,C31,Başvuru!$L:$L,"ONAY",Başvuru!$A:$A,"&lt;&gt;"&amp;"",Başvuru!$F:$F,"&lt;&gt;"&amp;""))</f>
        <v>2</v>
      </c>
      <c r="K31" s="164">
        <f>IF(C31="","",COUNTIFS(Başvuru!$C:$C,C31,Başvuru!$L:$L,"DÜZELTME",Başvuru!$A:$A,"&lt;&gt;"&amp;"",Başvuru!$F:$F,"&lt;&gt;"&amp;""))</f>
        <v>1</v>
      </c>
      <c r="L31" s="165">
        <f>IF(C31="","",COUNTIFS(Başvuru!$C:$C,C31,Başvuru!$L:$L,"KAEK",Başvuru!$A:$A,"&lt;&gt;"&amp;"",Başvuru!$F:$F,"&lt;&gt;"&amp;""))</f>
        <v>0</v>
      </c>
      <c r="M31" s="166">
        <f>IF(C31="","",COUNTIFS(Başvuru!$C:$C,C31,Başvuru!$L:$L,"GÖRÜŞ",Başvuru!$A:$A,"&lt;&gt;"&amp;"",Başvuru!$F:$F,"&lt;&gt;"&amp;""))</f>
        <v>0</v>
      </c>
      <c r="N31" s="167">
        <f>IF(C31="","",COUNTIFS(Başvuru!$C:$C,C31,Başvuru!$L:$L,"RET",Başvuru!$A:$A,"&lt;&gt;"&amp;"",Başvuru!$F:$F,"&lt;&gt;"&amp;""))</f>
        <v>2</v>
      </c>
      <c r="O31" s="168">
        <f>IF(C31="","",COUNTIFS(Başvuru!$C:$C,C31,Başvuru!$L:$L,"KAPSAM DIŞI",Başvuru!$A:$A,"&lt;&gt;"&amp;"",Başvuru!$F:$F,"&lt;&gt;"&amp;""))</f>
        <v>0</v>
      </c>
      <c r="P31" s="169">
        <f>IF(C31="","",COUNTIFS(Başvuru!$C:$C,C31,Başvuru!$L:$L,"GERİ ÇEKİLDİ",Başvuru!$A:$A,"&lt;&gt;"&amp;"",Başvuru!$F:$F,"&lt;&gt;"&amp;""))</f>
        <v>0</v>
      </c>
      <c r="Q31" s="170" t="str">
        <f t="array" ref="Q31">IFERROR(INDEX(Başvuru!$C$2:$C$3000, MATCH(0, COUNTIF($Q$5:Q30, Başvuru!$C$2:$C$3000) + IF(Başvuru!$C$2:$C$3000="",1,0), 0)), "")</f>
        <v>Doç. Dr. Levent KILIÇ</v>
      </c>
      <c r="R31" s="171">
        <f>IF(Q31="","",COUNTIFS(Başvuru!$C:$C,Q31,Başvuru!$A:$A,"&lt;&gt;"&amp;"",Başvuru!$F:$F,"&lt;&gt;"&amp;""))</f>
        <v>5</v>
      </c>
      <c r="S31" s="171">
        <f>IF(R31="","",RANK(R31,$R$6:$R$505,0)+COUNTIF($R$6:R31,R31)-1)</f>
        <v>20</v>
      </c>
    </row>
    <row r="32" spans="2:19" ht="23.25" customHeight="1" x14ac:dyDescent="0.25">
      <c r="B32" s="159">
        <v>27</v>
      </c>
      <c r="C32" s="160" t="str">
        <f>IFERROR(INDEX($Q$6:$Q$505,MATCH(27,$S$6:$S$505,0)),"")</f>
        <v>Prof. Dr. Şule ÜNAL CANGÜL</v>
      </c>
      <c r="D32" s="161">
        <f>IF(C32="","",COUNTIFS(Başvuru!$C:$C,C32,Başvuru!$A:$A,"&lt;&gt;"&amp;"",Başvuru!$F:$F,"&lt;&gt;"&amp;""))</f>
        <v>5</v>
      </c>
      <c r="E32" s="159" t="str">
        <f>IF(C32="","-",IF(D32&gt;0,TEXT(D32/(COUNTIFS(Başvuru!$A:$A,"&lt;&gt;",Başvuru!$F:$F,"&lt;&gt;")-1)*100,"0.0")&amp;"%","-"))</f>
        <v>01%</v>
      </c>
      <c r="F32" s="162">
        <f>IF(C32="","",COUNTIFS(Başvuru!$C:$C,C32,Başvuru!$G:$G,"Bireysel Araştırma",Başvuru!$A:$A,"&lt;&gt;"&amp;"",Başvuru!$F:$F,"&lt;&gt;"&amp;""))</f>
        <v>4</v>
      </c>
      <c r="G32" s="162">
        <f>IF(C32="","",COUNTIFS(Başvuru!$C:$C,C32,Başvuru!$G:$G,"Uzmanlık Tezi",Başvuru!$A:$A,"&lt;&gt;"&amp;"",Başvuru!$F:$F,"&lt;&gt;"&amp;""))</f>
        <v>1</v>
      </c>
      <c r="H32" s="162">
        <f>IF(C32="","",COUNTIFS(Başvuru!$C:$C,C32,Başvuru!$G:$G,"Doktora Tezi",Başvuru!$A:$A,"&lt;&gt;"&amp;"",Başvuru!$F:$F,"&lt;&gt;"&amp;""))</f>
        <v>0</v>
      </c>
      <c r="I32" s="162">
        <f>IF(C32="","",COUNTIFS(Başvuru!$C:$C,C32,Başvuru!$G:$G,"Yüksek Lisans Tezi",Başvuru!$A:$A,"&lt;&gt;"&amp;"",Başvuru!$F:$F,"&lt;&gt;"&amp;""))</f>
        <v>0</v>
      </c>
      <c r="J32" s="163">
        <f>IF(C32="","",COUNTIFS(Başvuru!$C:$C,C32,Başvuru!$L:$L,"ONAY",Başvuru!$A:$A,"&lt;&gt;"&amp;"",Başvuru!$F:$F,"&lt;&gt;"&amp;""))</f>
        <v>2</v>
      </c>
      <c r="K32" s="164">
        <f>IF(C32="","",COUNTIFS(Başvuru!$C:$C,C32,Başvuru!$L:$L,"DÜZELTME",Başvuru!$A:$A,"&lt;&gt;"&amp;"",Başvuru!$F:$F,"&lt;&gt;"&amp;""))</f>
        <v>2</v>
      </c>
      <c r="L32" s="165">
        <f>IF(C32="","",COUNTIFS(Başvuru!$C:$C,C32,Başvuru!$L:$L,"KAEK",Başvuru!$A:$A,"&lt;&gt;"&amp;"",Başvuru!$F:$F,"&lt;&gt;"&amp;""))</f>
        <v>1</v>
      </c>
      <c r="M32" s="166">
        <f>IF(C32="","",COUNTIFS(Başvuru!$C:$C,C32,Başvuru!$L:$L,"GÖRÜŞ",Başvuru!$A:$A,"&lt;&gt;"&amp;"",Başvuru!$F:$F,"&lt;&gt;"&amp;""))</f>
        <v>0</v>
      </c>
      <c r="N32" s="167">
        <f>IF(C32="","",COUNTIFS(Başvuru!$C:$C,C32,Başvuru!$L:$L,"RET",Başvuru!$A:$A,"&lt;&gt;"&amp;"",Başvuru!$F:$F,"&lt;&gt;"&amp;""))</f>
        <v>0</v>
      </c>
      <c r="O32" s="168">
        <f>IF(C32="","",COUNTIFS(Başvuru!$C:$C,C32,Başvuru!$L:$L,"KAPSAM DIŞI",Başvuru!$A:$A,"&lt;&gt;"&amp;"",Başvuru!$F:$F,"&lt;&gt;"&amp;""))</f>
        <v>0</v>
      </c>
      <c r="P32" s="169">
        <f>IF(C32="","",COUNTIFS(Başvuru!$C:$C,C32,Başvuru!$L:$L,"GERİ ÇEKİLDİ",Başvuru!$A:$A,"&lt;&gt;"&amp;"",Başvuru!$F:$F,"&lt;&gt;"&amp;""))</f>
        <v>0</v>
      </c>
      <c r="Q32" s="170" t="str">
        <f t="array" ref="Q32">IFERROR(INDEX(Başvuru!$C$2:$C$3000, MATCH(0, COUNTIF($Q$5:Q31, Başvuru!$C$2:$C$3000) + IF(Başvuru!$C$2:$C$3000="",1,0), 0)), "")</f>
        <v>Prof. Dr. Kudret AYTEMİR</v>
      </c>
      <c r="R32" s="171">
        <f>IF(Q32="","",COUNTIFS(Başvuru!$C:$C,Q32,Başvuru!$A:$A,"&lt;&gt;"&amp;"",Başvuru!$F:$F,"&lt;&gt;"&amp;""))</f>
        <v>3</v>
      </c>
      <c r="S32" s="171">
        <f>IF(R32="","",RANK(R32,$R$6:$R$505,0)+COUNTIF($R$6:R32,R32)-1)</f>
        <v>51</v>
      </c>
    </row>
    <row r="33" spans="2:19" ht="23.25" customHeight="1" x14ac:dyDescent="0.25">
      <c r="B33" s="159">
        <v>28</v>
      </c>
      <c r="C33" s="160" t="str">
        <f>IFERROR(INDEX($Q$6:$Q$505,MATCH(28,$S$6:$S$505,0)),"")</f>
        <v>Prof. Dr. Murat GÜLTEKİN</v>
      </c>
      <c r="D33" s="161">
        <f>IF(C33="","",COUNTIFS(Başvuru!$C:$C,C33,Başvuru!$A:$A,"&lt;&gt;"&amp;"",Başvuru!$F:$F,"&lt;&gt;"&amp;""))</f>
        <v>5</v>
      </c>
      <c r="E33" s="159" t="str">
        <f>IF(C33="","-",IF(D33&gt;0,TEXT(D33/(COUNTIFS(Başvuru!$A:$A,"&lt;&gt;",Başvuru!$F:$F,"&lt;&gt;")-1)*100,"0.0")&amp;"%","-"))</f>
        <v>01%</v>
      </c>
      <c r="F33" s="162">
        <f>IF(C33="","",COUNTIFS(Başvuru!$C:$C,C33,Başvuru!$G:$G,"Bireysel Araştırma",Başvuru!$A:$A,"&lt;&gt;"&amp;"",Başvuru!$F:$F,"&lt;&gt;"&amp;""))</f>
        <v>5</v>
      </c>
      <c r="G33" s="162">
        <f>IF(C33="","",COUNTIFS(Başvuru!$C:$C,C33,Başvuru!$G:$G,"Uzmanlık Tezi",Başvuru!$A:$A,"&lt;&gt;"&amp;"",Başvuru!$F:$F,"&lt;&gt;"&amp;""))</f>
        <v>0</v>
      </c>
      <c r="H33" s="162">
        <f>IF(C33="","",COUNTIFS(Başvuru!$C:$C,C33,Başvuru!$G:$G,"Doktora Tezi",Başvuru!$A:$A,"&lt;&gt;"&amp;"",Başvuru!$F:$F,"&lt;&gt;"&amp;""))</f>
        <v>0</v>
      </c>
      <c r="I33" s="162">
        <f>IF(C33="","",COUNTIFS(Başvuru!$C:$C,C33,Başvuru!$G:$G,"Yüksek Lisans Tezi",Başvuru!$A:$A,"&lt;&gt;"&amp;"",Başvuru!$F:$F,"&lt;&gt;"&amp;""))</f>
        <v>0</v>
      </c>
      <c r="J33" s="163">
        <f>IF(C33="","",COUNTIFS(Başvuru!$C:$C,C33,Başvuru!$L:$L,"ONAY",Başvuru!$A:$A,"&lt;&gt;"&amp;"",Başvuru!$F:$F,"&lt;&gt;"&amp;""))</f>
        <v>1</v>
      </c>
      <c r="K33" s="164">
        <f>IF(C33="","",COUNTIFS(Başvuru!$C:$C,C33,Başvuru!$L:$L,"DÜZELTME",Başvuru!$A:$A,"&lt;&gt;"&amp;"",Başvuru!$F:$F,"&lt;&gt;"&amp;""))</f>
        <v>0</v>
      </c>
      <c r="L33" s="165">
        <f>IF(C33="","",COUNTIFS(Başvuru!$C:$C,C33,Başvuru!$L:$L,"KAEK",Başvuru!$A:$A,"&lt;&gt;"&amp;"",Başvuru!$F:$F,"&lt;&gt;"&amp;""))</f>
        <v>2</v>
      </c>
      <c r="M33" s="166">
        <f>IF(C33="","",COUNTIFS(Başvuru!$C:$C,C33,Başvuru!$L:$L,"GÖRÜŞ",Başvuru!$A:$A,"&lt;&gt;"&amp;"",Başvuru!$F:$F,"&lt;&gt;"&amp;""))</f>
        <v>1</v>
      </c>
      <c r="N33" s="167">
        <f>IF(C33="","",COUNTIFS(Başvuru!$C:$C,C33,Başvuru!$L:$L,"RET",Başvuru!$A:$A,"&lt;&gt;"&amp;"",Başvuru!$F:$F,"&lt;&gt;"&amp;""))</f>
        <v>1</v>
      </c>
      <c r="O33" s="168">
        <f>IF(C33="","",COUNTIFS(Başvuru!$C:$C,C33,Başvuru!$L:$L,"KAPSAM DIŞI",Başvuru!$A:$A,"&lt;&gt;"&amp;"",Başvuru!$F:$F,"&lt;&gt;"&amp;""))</f>
        <v>0</v>
      </c>
      <c r="P33" s="169">
        <f>IF(C33="","",COUNTIFS(Başvuru!$C:$C,C33,Başvuru!$L:$L,"GERİ ÇEKİLDİ",Başvuru!$A:$A,"&lt;&gt;"&amp;"",Başvuru!$F:$F,"&lt;&gt;"&amp;""))</f>
        <v>0</v>
      </c>
      <c r="Q33" s="170" t="str">
        <f t="array" ref="Q33">IFERROR(INDEX(Başvuru!$C$2:$C$3000, MATCH(0, COUNTIF($Q$5:Q32, Başvuru!$C$2:$C$3000) + IF(Başvuru!$C$2:$C$3000="",1,0), 0)), "")</f>
        <v>Prof. Dr. Ebru DAMADOĞLU</v>
      </c>
      <c r="R33" s="171">
        <f>IF(Q33="","",COUNTIFS(Başvuru!$C:$C,Q33,Başvuru!$A:$A,"&lt;&gt;"&amp;"",Başvuru!$F:$F,"&lt;&gt;"&amp;""))</f>
        <v>3</v>
      </c>
      <c r="S33" s="171">
        <f>IF(R33="","",RANK(R33,$R$6:$R$505,0)+COUNTIF($R$6:R33,R33)-1)</f>
        <v>52</v>
      </c>
    </row>
    <row r="34" spans="2:19" ht="23.25" customHeight="1" x14ac:dyDescent="0.25">
      <c r="B34" s="159">
        <v>29</v>
      </c>
      <c r="C34" s="160" t="str">
        <f>IFERROR(INDEX($Q$6:$Q$505,MATCH(29,$S$6:$S$505,0)),"")</f>
        <v>Prof. Dr. Umut KALYONCU</v>
      </c>
      <c r="D34" s="161">
        <f>IF(C34="","",COUNTIFS(Başvuru!$C:$C,C34,Başvuru!$A:$A,"&lt;&gt;"&amp;"",Başvuru!$F:$F,"&lt;&gt;"&amp;""))</f>
        <v>5</v>
      </c>
      <c r="E34" s="159" t="str">
        <f>IF(C34="","-",IF(D34&gt;0,TEXT(D34/(COUNTIFS(Başvuru!$A:$A,"&lt;&gt;",Başvuru!$F:$F,"&lt;&gt;")-1)*100,"0.0")&amp;"%","-"))</f>
        <v>01%</v>
      </c>
      <c r="F34" s="162">
        <f>IF(C34="","",COUNTIFS(Başvuru!$C:$C,C34,Başvuru!$G:$G,"Bireysel Araştırma",Başvuru!$A:$A,"&lt;&gt;"&amp;"",Başvuru!$F:$F,"&lt;&gt;"&amp;""))</f>
        <v>4</v>
      </c>
      <c r="G34" s="162">
        <f>IF(C34="","",COUNTIFS(Başvuru!$C:$C,C34,Başvuru!$G:$G,"Uzmanlık Tezi",Başvuru!$A:$A,"&lt;&gt;"&amp;"",Başvuru!$F:$F,"&lt;&gt;"&amp;""))</f>
        <v>1</v>
      </c>
      <c r="H34" s="162">
        <f>IF(C34="","",COUNTIFS(Başvuru!$C:$C,C34,Başvuru!$G:$G,"Doktora Tezi",Başvuru!$A:$A,"&lt;&gt;"&amp;"",Başvuru!$F:$F,"&lt;&gt;"&amp;""))</f>
        <v>0</v>
      </c>
      <c r="I34" s="162">
        <f>IF(C34="","",COUNTIFS(Başvuru!$C:$C,C34,Başvuru!$G:$G,"Yüksek Lisans Tezi",Başvuru!$A:$A,"&lt;&gt;"&amp;"",Başvuru!$F:$F,"&lt;&gt;"&amp;""))</f>
        <v>0</v>
      </c>
      <c r="J34" s="163">
        <f>IF(C34="","",COUNTIFS(Başvuru!$C:$C,C34,Başvuru!$L:$L,"ONAY",Başvuru!$A:$A,"&lt;&gt;"&amp;"",Başvuru!$F:$F,"&lt;&gt;"&amp;""))</f>
        <v>2</v>
      </c>
      <c r="K34" s="164">
        <f>IF(C34="","",COUNTIFS(Başvuru!$C:$C,C34,Başvuru!$L:$L,"DÜZELTME",Başvuru!$A:$A,"&lt;&gt;"&amp;"",Başvuru!$F:$F,"&lt;&gt;"&amp;""))</f>
        <v>1</v>
      </c>
      <c r="L34" s="165">
        <f>IF(C34="","",COUNTIFS(Başvuru!$C:$C,C34,Başvuru!$L:$L,"KAEK",Başvuru!$A:$A,"&lt;&gt;"&amp;"",Başvuru!$F:$F,"&lt;&gt;"&amp;""))</f>
        <v>0</v>
      </c>
      <c r="M34" s="166">
        <f>IF(C34="","",COUNTIFS(Başvuru!$C:$C,C34,Başvuru!$L:$L,"GÖRÜŞ",Başvuru!$A:$A,"&lt;&gt;"&amp;"",Başvuru!$F:$F,"&lt;&gt;"&amp;""))</f>
        <v>0</v>
      </c>
      <c r="N34" s="167">
        <f>IF(C34="","",COUNTIFS(Başvuru!$C:$C,C34,Başvuru!$L:$L,"RET",Başvuru!$A:$A,"&lt;&gt;"&amp;"",Başvuru!$F:$F,"&lt;&gt;"&amp;""))</f>
        <v>1</v>
      </c>
      <c r="O34" s="168">
        <f>IF(C34="","",COUNTIFS(Başvuru!$C:$C,C34,Başvuru!$L:$L,"KAPSAM DIŞI",Başvuru!$A:$A,"&lt;&gt;"&amp;"",Başvuru!$F:$F,"&lt;&gt;"&amp;""))</f>
        <v>0</v>
      </c>
      <c r="P34" s="169">
        <f>IF(C34="","",COUNTIFS(Başvuru!$C:$C,C34,Başvuru!$L:$L,"GERİ ÇEKİLDİ",Başvuru!$A:$A,"&lt;&gt;"&amp;"",Başvuru!$F:$F,"&lt;&gt;"&amp;""))</f>
        <v>0</v>
      </c>
      <c r="Q34" s="170" t="str">
        <f t="array" ref="Q34">IFERROR(INDEX(Başvuru!$C$2:$C$3000, MATCH(0, COUNTIF($Q$5:Q33, Başvuru!$C$2:$C$3000) + IF(Başvuru!$C$2:$C$3000="",1,0), 0)), "")</f>
        <v>Öğr. Gör. Dr. Bahattin PASLI</v>
      </c>
      <c r="R34" s="171">
        <f>IF(Q34="","",COUNTIFS(Başvuru!$C:$C,Q34,Başvuru!$A:$A,"&lt;&gt;"&amp;"",Başvuru!$F:$F,"&lt;&gt;"&amp;""))</f>
        <v>2</v>
      </c>
      <c r="S34" s="171">
        <f>IF(R34="","",RANK(R34,$R$6:$R$505,0)+COUNTIF($R$6:R34,R34)-1)</f>
        <v>80</v>
      </c>
    </row>
    <row r="35" spans="2:19" ht="23.25" customHeight="1" x14ac:dyDescent="0.25">
      <c r="B35" s="159">
        <v>30</v>
      </c>
      <c r="C35" s="160" t="str">
        <f>IFERROR(INDEX($Q$6:$Q$505,MATCH(30,$S$6:$S$505,0)),"")</f>
        <v>Doç. Dr. Gamze DURHAN</v>
      </c>
      <c r="D35" s="161">
        <f>IF(C35="","",COUNTIFS(Başvuru!$C:$C,C35,Başvuru!$A:$A,"&lt;&gt;"&amp;"",Başvuru!$F:$F,"&lt;&gt;"&amp;""))</f>
        <v>4</v>
      </c>
      <c r="E35" s="159" t="str">
        <f>IF(C35="","-",IF(D35&gt;0,TEXT(D35/(COUNTIFS(Başvuru!$A:$A,"&lt;&gt;",Başvuru!$F:$F,"&lt;&gt;")-1)*100,"0.0")&amp;"%","-"))</f>
        <v>01%</v>
      </c>
      <c r="F35" s="162">
        <f>IF(C35="","",COUNTIFS(Başvuru!$C:$C,C35,Başvuru!$G:$G,"Bireysel Araştırma",Başvuru!$A:$A,"&lt;&gt;"&amp;"",Başvuru!$F:$F,"&lt;&gt;"&amp;""))</f>
        <v>3</v>
      </c>
      <c r="G35" s="162">
        <f>IF(C35="","",COUNTIFS(Başvuru!$C:$C,C35,Başvuru!$G:$G,"Uzmanlık Tezi",Başvuru!$A:$A,"&lt;&gt;"&amp;"",Başvuru!$F:$F,"&lt;&gt;"&amp;""))</f>
        <v>1</v>
      </c>
      <c r="H35" s="162">
        <f>IF(C35="","",COUNTIFS(Başvuru!$C:$C,C35,Başvuru!$G:$G,"Doktora Tezi",Başvuru!$A:$A,"&lt;&gt;"&amp;"",Başvuru!$F:$F,"&lt;&gt;"&amp;""))</f>
        <v>0</v>
      </c>
      <c r="I35" s="162">
        <f>IF(C35="","",COUNTIFS(Başvuru!$C:$C,C35,Başvuru!$G:$G,"Yüksek Lisans Tezi",Başvuru!$A:$A,"&lt;&gt;"&amp;"",Başvuru!$F:$F,"&lt;&gt;"&amp;""))</f>
        <v>0</v>
      </c>
      <c r="J35" s="163">
        <f>IF(C35="","",COUNTIFS(Başvuru!$C:$C,C35,Başvuru!$L:$L,"ONAY",Başvuru!$A:$A,"&lt;&gt;"&amp;"",Başvuru!$F:$F,"&lt;&gt;"&amp;""))</f>
        <v>3</v>
      </c>
      <c r="K35" s="164">
        <f>IF(C35="","",COUNTIFS(Başvuru!$C:$C,C35,Başvuru!$L:$L,"DÜZELTME",Başvuru!$A:$A,"&lt;&gt;"&amp;"",Başvuru!$F:$F,"&lt;&gt;"&amp;""))</f>
        <v>0</v>
      </c>
      <c r="L35" s="165">
        <f>IF(C35="","",COUNTIFS(Başvuru!$C:$C,C35,Başvuru!$L:$L,"KAEK",Başvuru!$A:$A,"&lt;&gt;"&amp;"",Başvuru!$F:$F,"&lt;&gt;"&amp;""))</f>
        <v>0</v>
      </c>
      <c r="M35" s="166">
        <f>IF(C35="","",COUNTIFS(Başvuru!$C:$C,C35,Başvuru!$L:$L,"GÖRÜŞ",Başvuru!$A:$A,"&lt;&gt;"&amp;"",Başvuru!$F:$F,"&lt;&gt;"&amp;""))</f>
        <v>0</v>
      </c>
      <c r="N35" s="167">
        <f>IF(C35="","",COUNTIFS(Başvuru!$C:$C,C35,Başvuru!$L:$L,"RET",Başvuru!$A:$A,"&lt;&gt;"&amp;"",Başvuru!$F:$F,"&lt;&gt;"&amp;""))</f>
        <v>0</v>
      </c>
      <c r="O35" s="168">
        <f>IF(C35="","",COUNTIFS(Başvuru!$C:$C,C35,Başvuru!$L:$L,"KAPSAM DIŞI",Başvuru!$A:$A,"&lt;&gt;"&amp;"",Başvuru!$F:$F,"&lt;&gt;"&amp;""))</f>
        <v>0</v>
      </c>
      <c r="P35" s="169">
        <f>IF(C35="","",COUNTIFS(Başvuru!$C:$C,C35,Başvuru!$L:$L,"GERİ ÇEKİLDİ",Başvuru!$A:$A,"&lt;&gt;"&amp;"",Başvuru!$F:$F,"&lt;&gt;"&amp;""))</f>
        <v>0</v>
      </c>
      <c r="Q35" s="170" t="str">
        <f t="array" ref="Q35">IFERROR(INDEX(Başvuru!$C$2:$C$3000, MATCH(0, COUNTIF($Q$5:Q34, Başvuru!$C$2:$C$3000) + IF(Başvuru!$C$2:$C$3000="",1,0), 0)), "")</f>
        <v>Prof. Dr. Müzeyyen Pınar ÖZGEN KIRATLI</v>
      </c>
      <c r="R35" s="171">
        <f>IF(Q35="","",COUNTIFS(Başvuru!$C:$C,Q35,Başvuru!$A:$A,"&lt;&gt;"&amp;"",Başvuru!$F:$F,"&lt;&gt;"&amp;""))</f>
        <v>1</v>
      </c>
      <c r="S35" s="171">
        <f>IF(R35="","",RANK(R35,$R$6:$R$505,0)+COUNTIF($R$6:R35,R35)-1)</f>
        <v>158</v>
      </c>
    </row>
    <row r="36" spans="2:19" ht="23.25" customHeight="1" x14ac:dyDescent="0.25">
      <c r="B36" s="159">
        <v>31</v>
      </c>
      <c r="C36" s="160" t="str">
        <f>IFERROR(INDEX($Q$6:$Q$505,MATCH(31,$S$6:$S$505,0)),"")</f>
        <v>Prof. Dr. Ömer KARADAĞ</v>
      </c>
      <c r="D36" s="161">
        <f>IF(C36="","",COUNTIFS(Başvuru!$C:$C,C36,Başvuru!$A:$A,"&lt;&gt;"&amp;"",Başvuru!$F:$F,"&lt;&gt;"&amp;""))</f>
        <v>4</v>
      </c>
      <c r="E36" s="159" t="str">
        <f>IF(C36="","-",IF(D36&gt;0,TEXT(D36/(COUNTIFS(Başvuru!$A:$A,"&lt;&gt;",Başvuru!$F:$F,"&lt;&gt;")-1)*100,"0.0")&amp;"%","-"))</f>
        <v>01%</v>
      </c>
      <c r="F36" s="162">
        <f>IF(C36="","",COUNTIFS(Başvuru!$C:$C,C36,Başvuru!$G:$G,"Bireysel Araştırma",Başvuru!$A:$A,"&lt;&gt;"&amp;"",Başvuru!$F:$F,"&lt;&gt;"&amp;""))</f>
        <v>4</v>
      </c>
      <c r="G36" s="162">
        <f>IF(C36="","",COUNTIFS(Başvuru!$C:$C,C36,Başvuru!$G:$G,"Uzmanlık Tezi",Başvuru!$A:$A,"&lt;&gt;"&amp;"",Başvuru!$F:$F,"&lt;&gt;"&amp;""))</f>
        <v>0</v>
      </c>
      <c r="H36" s="162">
        <f>IF(C36="","",COUNTIFS(Başvuru!$C:$C,C36,Başvuru!$G:$G,"Doktora Tezi",Başvuru!$A:$A,"&lt;&gt;"&amp;"",Başvuru!$F:$F,"&lt;&gt;"&amp;""))</f>
        <v>0</v>
      </c>
      <c r="I36" s="162">
        <f>IF(C36="","",COUNTIFS(Başvuru!$C:$C,C36,Başvuru!$G:$G,"Yüksek Lisans Tezi",Başvuru!$A:$A,"&lt;&gt;"&amp;"",Başvuru!$F:$F,"&lt;&gt;"&amp;""))</f>
        <v>0</v>
      </c>
      <c r="J36" s="163">
        <f>IF(C36="","",COUNTIFS(Başvuru!$C:$C,C36,Başvuru!$L:$L,"ONAY",Başvuru!$A:$A,"&lt;&gt;"&amp;"",Başvuru!$F:$F,"&lt;&gt;"&amp;""))</f>
        <v>3</v>
      </c>
      <c r="K36" s="164">
        <f>IF(C36="","",COUNTIFS(Başvuru!$C:$C,C36,Başvuru!$L:$L,"DÜZELTME",Başvuru!$A:$A,"&lt;&gt;"&amp;"",Başvuru!$F:$F,"&lt;&gt;"&amp;""))</f>
        <v>1</v>
      </c>
      <c r="L36" s="165">
        <f>IF(C36="","",COUNTIFS(Başvuru!$C:$C,C36,Başvuru!$L:$L,"KAEK",Başvuru!$A:$A,"&lt;&gt;"&amp;"",Başvuru!$F:$F,"&lt;&gt;"&amp;""))</f>
        <v>0</v>
      </c>
      <c r="M36" s="166">
        <f>IF(C36="","",COUNTIFS(Başvuru!$C:$C,C36,Başvuru!$L:$L,"GÖRÜŞ",Başvuru!$A:$A,"&lt;&gt;"&amp;"",Başvuru!$F:$F,"&lt;&gt;"&amp;""))</f>
        <v>0</v>
      </c>
      <c r="N36" s="167">
        <f>IF(C36="","",COUNTIFS(Başvuru!$C:$C,C36,Başvuru!$L:$L,"RET",Başvuru!$A:$A,"&lt;&gt;"&amp;"",Başvuru!$F:$F,"&lt;&gt;"&amp;""))</f>
        <v>0</v>
      </c>
      <c r="O36" s="168">
        <f>IF(C36="","",COUNTIFS(Başvuru!$C:$C,C36,Başvuru!$L:$L,"KAPSAM DIŞI",Başvuru!$A:$A,"&lt;&gt;"&amp;"",Başvuru!$F:$F,"&lt;&gt;"&amp;""))</f>
        <v>0</v>
      </c>
      <c r="P36" s="169">
        <f>IF(C36="","",COUNTIFS(Başvuru!$C:$C,C36,Başvuru!$L:$L,"GERİ ÇEKİLDİ",Başvuru!$A:$A,"&lt;&gt;"&amp;"",Başvuru!$F:$F,"&lt;&gt;"&amp;""))</f>
        <v>0</v>
      </c>
      <c r="Q36" s="170" t="str">
        <f t="array" ref="Q36">IFERROR(INDEX(Başvuru!$C$2:$C$3000, MATCH(0, COUNTIF($Q$5:Q35, Başvuru!$C$2:$C$3000) + IF(Başvuru!$C$2:$C$3000="",1,0), 0)), "")</f>
        <v>Prof. Dr. Yasemin ÖZSÜREKCİ</v>
      </c>
      <c r="R36" s="171">
        <f>IF(Q36="","",COUNTIFS(Başvuru!$C:$C,Q36,Başvuru!$A:$A,"&lt;&gt;"&amp;"",Başvuru!$F:$F,"&lt;&gt;"&amp;""))</f>
        <v>9</v>
      </c>
      <c r="S36" s="171">
        <f>IF(R36="","",RANK(R36,$R$6:$R$505,0)+COUNTIF($R$6:R36,R36)-1)</f>
        <v>5</v>
      </c>
    </row>
    <row r="37" spans="2:19" ht="23.25" customHeight="1" x14ac:dyDescent="0.25">
      <c r="B37" s="159">
        <v>32</v>
      </c>
      <c r="C37" s="160" t="str">
        <f>IFERROR(INDEX($Q$6:$Q$505,MATCH(32,$S$6:$S$505,0)),"")</f>
        <v>Prof. Dr. Ali Fuat KALYONCU</v>
      </c>
      <c r="D37" s="161">
        <f>IF(C37="","",COUNTIFS(Başvuru!$C:$C,C37,Başvuru!$A:$A,"&lt;&gt;"&amp;"",Başvuru!$F:$F,"&lt;&gt;"&amp;""))</f>
        <v>4</v>
      </c>
      <c r="E37" s="159" t="str">
        <f>IF(C37="","-",IF(D37&gt;0,TEXT(D37/(COUNTIFS(Başvuru!$A:$A,"&lt;&gt;",Başvuru!$F:$F,"&lt;&gt;")-1)*100,"0.0")&amp;"%","-"))</f>
        <v>01%</v>
      </c>
      <c r="F37" s="162">
        <f>IF(C37="","",COUNTIFS(Başvuru!$C:$C,C37,Başvuru!$G:$G,"Bireysel Araştırma",Başvuru!$A:$A,"&lt;&gt;"&amp;"",Başvuru!$F:$F,"&lt;&gt;"&amp;""))</f>
        <v>4</v>
      </c>
      <c r="G37" s="162">
        <f>IF(C37="","",COUNTIFS(Başvuru!$C:$C,C37,Başvuru!$G:$G,"Uzmanlık Tezi",Başvuru!$A:$A,"&lt;&gt;"&amp;"",Başvuru!$F:$F,"&lt;&gt;"&amp;""))</f>
        <v>0</v>
      </c>
      <c r="H37" s="162">
        <f>IF(C37="","",COUNTIFS(Başvuru!$C:$C,C37,Başvuru!$G:$G,"Doktora Tezi",Başvuru!$A:$A,"&lt;&gt;"&amp;"",Başvuru!$F:$F,"&lt;&gt;"&amp;""))</f>
        <v>0</v>
      </c>
      <c r="I37" s="162">
        <f>IF(C37="","",COUNTIFS(Başvuru!$C:$C,C37,Başvuru!$G:$G,"Yüksek Lisans Tezi",Başvuru!$A:$A,"&lt;&gt;"&amp;"",Başvuru!$F:$F,"&lt;&gt;"&amp;""))</f>
        <v>0</v>
      </c>
      <c r="J37" s="163">
        <f>IF(C37="","",COUNTIFS(Başvuru!$C:$C,C37,Başvuru!$L:$L,"ONAY",Başvuru!$A:$A,"&lt;&gt;"&amp;"",Başvuru!$F:$F,"&lt;&gt;"&amp;""))</f>
        <v>0</v>
      </c>
      <c r="K37" s="164">
        <f>IF(C37="","",COUNTIFS(Başvuru!$C:$C,C37,Başvuru!$L:$L,"DÜZELTME",Başvuru!$A:$A,"&lt;&gt;"&amp;"",Başvuru!$F:$F,"&lt;&gt;"&amp;""))</f>
        <v>3</v>
      </c>
      <c r="L37" s="165">
        <f>IF(C37="","",COUNTIFS(Başvuru!$C:$C,C37,Başvuru!$L:$L,"KAEK",Başvuru!$A:$A,"&lt;&gt;"&amp;"",Başvuru!$F:$F,"&lt;&gt;"&amp;""))</f>
        <v>0</v>
      </c>
      <c r="M37" s="166">
        <f>IF(C37="","",COUNTIFS(Başvuru!$C:$C,C37,Başvuru!$L:$L,"GÖRÜŞ",Başvuru!$A:$A,"&lt;&gt;"&amp;"",Başvuru!$F:$F,"&lt;&gt;"&amp;""))</f>
        <v>0</v>
      </c>
      <c r="N37" s="167">
        <f>IF(C37="","",COUNTIFS(Başvuru!$C:$C,C37,Başvuru!$L:$L,"RET",Başvuru!$A:$A,"&lt;&gt;"&amp;"",Başvuru!$F:$F,"&lt;&gt;"&amp;""))</f>
        <v>1</v>
      </c>
      <c r="O37" s="168">
        <f>IF(C37="","",COUNTIFS(Başvuru!$C:$C,C37,Başvuru!$L:$L,"KAPSAM DIŞI",Başvuru!$A:$A,"&lt;&gt;"&amp;"",Başvuru!$F:$F,"&lt;&gt;"&amp;""))</f>
        <v>0</v>
      </c>
      <c r="P37" s="169">
        <f>IF(C37="","",COUNTIFS(Başvuru!$C:$C,C37,Başvuru!$L:$L,"GERİ ÇEKİLDİ",Başvuru!$A:$A,"&lt;&gt;"&amp;"",Başvuru!$F:$F,"&lt;&gt;"&amp;""))</f>
        <v>0</v>
      </c>
      <c r="Q37" s="170" t="str">
        <f t="array" ref="Q37">IFERROR(INDEX(Başvuru!$C$2:$C$3000, MATCH(0, COUNTIF($Q$5:Q36, Başvuru!$C$2:$C$3000) + IF(Başvuru!$C$2:$C$3000="",1,0), 0)), "")</f>
        <v>Öğr. Gör. Dr. Burçay TELLİOĞLU</v>
      </c>
      <c r="R37" s="171">
        <f>IF(Q37="","",COUNTIFS(Başvuru!$C:$C,Q37,Başvuru!$A:$A,"&lt;&gt;"&amp;"",Başvuru!$F:$F,"&lt;&gt;"&amp;""))</f>
        <v>1</v>
      </c>
      <c r="S37" s="171">
        <f>IF(R37="","",RANK(R37,$R$6:$R$505,0)+COUNTIF($R$6:R37,R37)-1)</f>
        <v>159</v>
      </c>
    </row>
    <row r="38" spans="2:19" ht="23.25" customHeight="1" x14ac:dyDescent="0.25">
      <c r="B38" s="159">
        <v>33</v>
      </c>
      <c r="C38" s="160" t="str">
        <f>IFERROR(INDEX($Q$6:$Q$505,MATCH(33,$S$6:$S$505,0)),"")</f>
        <v>Doç. Dr. Dilek ÜNAL</v>
      </c>
      <c r="D38" s="161">
        <f>IF(C38="","",COUNTIFS(Başvuru!$C:$C,C38,Başvuru!$A:$A,"&lt;&gt;"&amp;"",Başvuru!$F:$F,"&lt;&gt;"&amp;""))</f>
        <v>4</v>
      </c>
      <c r="E38" s="159" t="str">
        <f>IF(C38="","-",IF(D38&gt;0,TEXT(D38/(COUNTIFS(Başvuru!$A:$A,"&lt;&gt;",Başvuru!$F:$F,"&lt;&gt;")-1)*100,"0.0")&amp;"%","-"))</f>
        <v>01%</v>
      </c>
      <c r="F38" s="162">
        <f>IF(C38="","",COUNTIFS(Başvuru!$C:$C,C38,Başvuru!$G:$G,"Bireysel Araştırma",Başvuru!$A:$A,"&lt;&gt;"&amp;"",Başvuru!$F:$F,"&lt;&gt;"&amp;""))</f>
        <v>2</v>
      </c>
      <c r="G38" s="162">
        <f>IF(C38="","",COUNTIFS(Başvuru!$C:$C,C38,Başvuru!$G:$G,"Uzmanlık Tezi",Başvuru!$A:$A,"&lt;&gt;"&amp;"",Başvuru!$F:$F,"&lt;&gt;"&amp;""))</f>
        <v>2</v>
      </c>
      <c r="H38" s="162">
        <f>IF(C38="","",COUNTIFS(Başvuru!$C:$C,C38,Başvuru!$G:$G,"Doktora Tezi",Başvuru!$A:$A,"&lt;&gt;"&amp;"",Başvuru!$F:$F,"&lt;&gt;"&amp;""))</f>
        <v>0</v>
      </c>
      <c r="I38" s="162">
        <f>IF(C38="","",COUNTIFS(Başvuru!$C:$C,C38,Başvuru!$G:$G,"Yüksek Lisans Tezi",Başvuru!$A:$A,"&lt;&gt;"&amp;"",Başvuru!$F:$F,"&lt;&gt;"&amp;""))</f>
        <v>0</v>
      </c>
      <c r="J38" s="163">
        <f>IF(C38="","",COUNTIFS(Başvuru!$C:$C,C38,Başvuru!$L:$L,"ONAY",Başvuru!$A:$A,"&lt;&gt;"&amp;"",Başvuru!$F:$F,"&lt;&gt;"&amp;""))</f>
        <v>1</v>
      </c>
      <c r="K38" s="164">
        <f>IF(C38="","",COUNTIFS(Başvuru!$C:$C,C38,Başvuru!$L:$L,"DÜZELTME",Başvuru!$A:$A,"&lt;&gt;"&amp;"",Başvuru!$F:$F,"&lt;&gt;"&amp;""))</f>
        <v>3</v>
      </c>
      <c r="L38" s="165">
        <f>IF(C38="","",COUNTIFS(Başvuru!$C:$C,C38,Başvuru!$L:$L,"KAEK",Başvuru!$A:$A,"&lt;&gt;"&amp;"",Başvuru!$F:$F,"&lt;&gt;"&amp;""))</f>
        <v>0</v>
      </c>
      <c r="M38" s="166">
        <f>IF(C38="","",COUNTIFS(Başvuru!$C:$C,C38,Başvuru!$L:$L,"GÖRÜŞ",Başvuru!$A:$A,"&lt;&gt;"&amp;"",Başvuru!$F:$F,"&lt;&gt;"&amp;""))</f>
        <v>0</v>
      </c>
      <c r="N38" s="167">
        <f>IF(C38="","",COUNTIFS(Başvuru!$C:$C,C38,Başvuru!$L:$L,"RET",Başvuru!$A:$A,"&lt;&gt;"&amp;"",Başvuru!$F:$F,"&lt;&gt;"&amp;""))</f>
        <v>0</v>
      </c>
      <c r="O38" s="168">
        <f>IF(C38="","",COUNTIFS(Başvuru!$C:$C,C38,Başvuru!$L:$L,"KAPSAM DIŞI",Başvuru!$A:$A,"&lt;&gt;"&amp;"",Başvuru!$F:$F,"&lt;&gt;"&amp;""))</f>
        <v>0</v>
      </c>
      <c r="P38" s="169">
        <f>IF(C38="","",COUNTIFS(Başvuru!$C:$C,C38,Başvuru!$L:$L,"GERİ ÇEKİLDİ",Başvuru!$A:$A,"&lt;&gt;"&amp;"",Başvuru!$F:$F,"&lt;&gt;"&amp;""))</f>
        <v>0</v>
      </c>
      <c r="Q38" s="170" t="str">
        <f t="array" ref="Q38">IFERROR(INDEX(Başvuru!$C$2:$C$3000, MATCH(0, COUNTIF($Q$5:Q37, Başvuru!$C$2:$C$3000) + IF(Başvuru!$C$2:$C$3000="",1,0), 0)), "")</f>
        <v>Doç. Dr. Hande GÖRÜCÜ COŞKUNER</v>
      </c>
      <c r="R38" s="171">
        <f>IF(Q38="","",COUNTIFS(Başvuru!$C:$C,Q38,Başvuru!$A:$A,"&lt;&gt;"&amp;"",Başvuru!$F:$F,"&lt;&gt;"&amp;""))</f>
        <v>2</v>
      </c>
      <c r="S38" s="171">
        <f>IF(R38="","",RANK(R38,$R$6:$R$505,0)+COUNTIF($R$6:R38,R38)-1)</f>
        <v>81</v>
      </c>
    </row>
    <row r="39" spans="2:19" ht="23.25" customHeight="1" x14ac:dyDescent="0.25">
      <c r="B39" s="159">
        <v>34</v>
      </c>
      <c r="C39" s="160" t="str">
        <f>IFERROR(INDEX($Q$6:$Q$505,MATCH(34,$S$6:$S$505,0)),"")</f>
        <v>Prof. Dr. Fatma Gökçem YILDIZ SARIKAYA</v>
      </c>
      <c r="D39" s="161">
        <f>IF(C39="","",COUNTIFS(Başvuru!$C:$C,C39,Başvuru!$A:$A,"&lt;&gt;"&amp;"",Başvuru!$F:$F,"&lt;&gt;"&amp;""))</f>
        <v>4</v>
      </c>
      <c r="E39" s="159" t="str">
        <f>IF(C39="","-",IF(D39&gt;0,TEXT(D39/(COUNTIFS(Başvuru!$A:$A,"&lt;&gt;",Başvuru!$F:$F,"&lt;&gt;")-1)*100,"0.0")&amp;"%","-"))</f>
        <v>01%</v>
      </c>
      <c r="F39" s="162">
        <f>IF(C39="","",COUNTIFS(Başvuru!$C:$C,C39,Başvuru!$G:$G,"Bireysel Araştırma",Başvuru!$A:$A,"&lt;&gt;"&amp;"",Başvuru!$F:$F,"&lt;&gt;"&amp;""))</f>
        <v>4</v>
      </c>
      <c r="G39" s="162">
        <f>IF(C39="","",COUNTIFS(Başvuru!$C:$C,C39,Başvuru!$G:$G,"Uzmanlık Tezi",Başvuru!$A:$A,"&lt;&gt;"&amp;"",Başvuru!$F:$F,"&lt;&gt;"&amp;""))</f>
        <v>0</v>
      </c>
      <c r="H39" s="162">
        <f>IF(C39="","",COUNTIFS(Başvuru!$C:$C,C39,Başvuru!$G:$G,"Doktora Tezi",Başvuru!$A:$A,"&lt;&gt;"&amp;"",Başvuru!$F:$F,"&lt;&gt;"&amp;""))</f>
        <v>0</v>
      </c>
      <c r="I39" s="162">
        <f>IF(C39="","",COUNTIFS(Başvuru!$C:$C,C39,Başvuru!$G:$G,"Yüksek Lisans Tezi",Başvuru!$A:$A,"&lt;&gt;"&amp;"",Başvuru!$F:$F,"&lt;&gt;"&amp;""))</f>
        <v>0</v>
      </c>
      <c r="J39" s="163">
        <f>IF(C39="","",COUNTIFS(Başvuru!$C:$C,C39,Başvuru!$L:$L,"ONAY",Başvuru!$A:$A,"&lt;&gt;"&amp;"",Başvuru!$F:$F,"&lt;&gt;"&amp;""))</f>
        <v>3</v>
      </c>
      <c r="K39" s="164">
        <f>IF(C39="","",COUNTIFS(Başvuru!$C:$C,C39,Başvuru!$L:$L,"DÜZELTME",Başvuru!$A:$A,"&lt;&gt;"&amp;"",Başvuru!$F:$F,"&lt;&gt;"&amp;""))</f>
        <v>0</v>
      </c>
      <c r="L39" s="165">
        <f>IF(C39="","",COUNTIFS(Başvuru!$C:$C,C39,Başvuru!$L:$L,"KAEK",Başvuru!$A:$A,"&lt;&gt;"&amp;"",Başvuru!$F:$F,"&lt;&gt;"&amp;""))</f>
        <v>0</v>
      </c>
      <c r="M39" s="166">
        <f>IF(C39="","",COUNTIFS(Başvuru!$C:$C,C39,Başvuru!$L:$L,"GÖRÜŞ",Başvuru!$A:$A,"&lt;&gt;"&amp;"",Başvuru!$F:$F,"&lt;&gt;"&amp;""))</f>
        <v>1</v>
      </c>
      <c r="N39" s="167">
        <f>IF(C39="","",COUNTIFS(Başvuru!$C:$C,C39,Başvuru!$L:$L,"RET",Başvuru!$A:$A,"&lt;&gt;"&amp;"",Başvuru!$F:$F,"&lt;&gt;"&amp;""))</f>
        <v>0</v>
      </c>
      <c r="O39" s="168">
        <f>IF(C39="","",COUNTIFS(Başvuru!$C:$C,C39,Başvuru!$L:$L,"KAPSAM DIŞI",Başvuru!$A:$A,"&lt;&gt;"&amp;"",Başvuru!$F:$F,"&lt;&gt;"&amp;""))</f>
        <v>0</v>
      </c>
      <c r="P39" s="169">
        <f>IF(C39="","",COUNTIFS(Başvuru!$C:$C,C39,Başvuru!$L:$L,"GERİ ÇEKİLDİ",Başvuru!$A:$A,"&lt;&gt;"&amp;"",Başvuru!$F:$F,"&lt;&gt;"&amp;""))</f>
        <v>0</v>
      </c>
      <c r="Q39" s="170" t="str">
        <f t="array" ref="Q39">IFERROR(INDEX(Başvuru!$C$2:$C$3000, MATCH(0, COUNTIF($Q$5:Q38, Başvuru!$C$2:$C$3000) + IF(Başvuru!$C$2:$C$3000="",1,0), 0)), "")</f>
        <v>Doç. Dr. Saliha ESENBOĞA</v>
      </c>
      <c r="R39" s="171">
        <f>IF(Q39="","",COUNTIFS(Başvuru!$C:$C,Q39,Başvuru!$A:$A,"&lt;&gt;"&amp;"",Başvuru!$F:$F,"&lt;&gt;"&amp;""))</f>
        <v>2</v>
      </c>
      <c r="S39" s="171">
        <f>IF(R39="","",RANK(R39,$R$6:$R$505,0)+COUNTIF($R$6:R39,R39)-1)</f>
        <v>82</v>
      </c>
    </row>
    <row r="40" spans="2:19" ht="23.25" customHeight="1" x14ac:dyDescent="0.25">
      <c r="B40" s="159">
        <v>35</v>
      </c>
      <c r="C40" s="160" t="str">
        <f>IFERROR(INDEX($Q$6:$Q$505,MATCH(35,$S$6:$S$505,0)),"")</f>
        <v>Dr. Öğr. Üyesi Serkan UYSAL</v>
      </c>
      <c r="D40" s="161">
        <f>IF(C40="","",COUNTIFS(Başvuru!$C:$C,C40,Başvuru!$A:$A,"&lt;&gt;"&amp;"",Başvuru!$F:$F,"&lt;&gt;"&amp;""))</f>
        <v>4</v>
      </c>
      <c r="E40" s="159" t="str">
        <f>IF(C40="","-",IF(D40&gt;0,TEXT(D40/(COUNTIFS(Başvuru!$A:$A,"&lt;&gt;",Başvuru!$F:$F,"&lt;&gt;")-1)*100,"0.0")&amp;"%","-"))</f>
        <v>01%</v>
      </c>
      <c r="F40" s="162">
        <f>IF(C40="","",COUNTIFS(Başvuru!$C:$C,C40,Başvuru!$G:$G,"Bireysel Araştırma",Başvuru!$A:$A,"&lt;&gt;"&amp;"",Başvuru!$F:$F,"&lt;&gt;"&amp;""))</f>
        <v>4</v>
      </c>
      <c r="G40" s="162">
        <f>IF(C40="","",COUNTIFS(Başvuru!$C:$C,C40,Başvuru!$G:$G,"Uzmanlık Tezi",Başvuru!$A:$A,"&lt;&gt;"&amp;"",Başvuru!$F:$F,"&lt;&gt;"&amp;""))</f>
        <v>0</v>
      </c>
      <c r="H40" s="162">
        <f>IF(C40="","",COUNTIFS(Başvuru!$C:$C,C40,Başvuru!$G:$G,"Doktora Tezi",Başvuru!$A:$A,"&lt;&gt;"&amp;"",Başvuru!$F:$F,"&lt;&gt;"&amp;""))</f>
        <v>0</v>
      </c>
      <c r="I40" s="162">
        <f>IF(C40="","",COUNTIFS(Başvuru!$C:$C,C40,Başvuru!$G:$G,"Yüksek Lisans Tezi",Başvuru!$A:$A,"&lt;&gt;"&amp;"",Başvuru!$F:$F,"&lt;&gt;"&amp;""))</f>
        <v>0</v>
      </c>
      <c r="J40" s="163">
        <f>IF(C40="","",COUNTIFS(Başvuru!$C:$C,C40,Başvuru!$L:$L,"ONAY",Başvuru!$A:$A,"&lt;&gt;"&amp;"",Başvuru!$F:$F,"&lt;&gt;"&amp;""))</f>
        <v>3</v>
      </c>
      <c r="K40" s="164">
        <f>IF(C40="","",COUNTIFS(Başvuru!$C:$C,C40,Başvuru!$L:$L,"DÜZELTME",Başvuru!$A:$A,"&lt;&gt;"&amp;"",Başvuru!$F:$F,"&lt;&gt;"&amp;""))</f>
        <v>1</v>
      </c>
      <c r="L40" s="165">
        <f>IF(C40="","",COUNTIFS(Başvuru!$C:$C,C40,Başvuru!$L:$L,"KAEK",Başvuru!$A:$A,"&lt;&gt;"&amp;"",Başvuru!$F:$F,"&lt;&gt;"&amp;""))</f>
        <v>0</v>
      </c>
      <c r="M40" s="166">
        <f>IF(C40="","",COUNTIFS(Başvuru!$C:$C,C40,Başvuru!$L:$L,"GÖRÜŞ",Başvuru!$A:$A,"&lt;&gt;"&amp;"",Başvuru!$F:$F,"&lt;&gt;"&amp;""))</f>
        <v>0</v>
      </c>
      <c r="N40" s="167">
        <f>IF(C40="","",COUNTIFS(Başvuru!$C:$C,C40,Başvuru!$L:$L,"RET",Başvuru!$A:$A,"&lt;&gt;"&amp;"",Başvuru!$F:$F,"&lt;&gt;"&amp;""))</f>
        <v>0</v>
      </c>
      <c r="O40" s="168">
        <f>IF(C40="","",COUNTIFS(Başvuru!$C:$C,C40,Başvuru!$L:$L,"KAPSAM DIŞI",Başvuru!$A:$A,"&lt;&gt;"&amp;"",Başvuru!$F:$F,"&lt;&gt;"&amp;""))</f>
        <v>0</v>
      </c>
      <c r="P40" s="169">
        <f>IF(C40="","",COUNTIFS(Başvuru!$C:$C,C40,Başvuru!$L:$L,"GERİ ÇEKİLDİ",Başvuru!$A:$A,"&lt;&gt;"&amp;"",Başvuru!$F:$F,"&lt;&gt;"&amp;""))</f>
        <v>0</v>
      </c>
      <c r="Q40" s="170" t="str">
        <f t="array" ref="Q40">IFERROR(INDEX(Başvuru!$C$2:$C$3000, MATCH(0, COUNTIF($Q$5:Q39, Başvuru!$C$2:$C$3000) + IF(Başvuru!$C$2:$C$3000="",1,0), 0)), "")</f>
        <v>Dr. Öğr. Üyesi Ahmet KIVRAK</v>
      </c>
      <c r="R40" s="171">
        <f>IF(Q40="","",COUNTIFS(Başvuru!$C:$C,Q40,Başvuru!$A:$A,"&lt;&gt;"&amp;"",Başvuru!$F:$F,"&lt;&gt;"&amp;""))</f>
        <v>3</v>
      </c>
      <c r="S40" s="171">
        <f>IF(R40="","",RANK(R40,$R$6:$R$505,0)+COUNTIF($R$6:R40,R40)-1)</f>
        <v>53</v>
      </c>
    </row>
    <row r="41" spans="2:19" ht="23.25" customHeight="1" x14ac:dyDescent="0.25">
      <c r="B41" s="159">
        <v>36</v>
      </c>
      <c r="C41" s="160" t="str">
        <f>IFERROR(INDEX($Q$6:$Q$505,MATCH(36,$S$6:$S$505,0)),"")</f>
        <v>Doç. Dr. Kübra AYKAÇ</v>
      </c>
      <c r="D41" s="161">
        <f>IF(C41="","",COUNTIFS(Başvuru!$C:$C,C41,Başvuru!$A:$A,"&lt;&gt;"&amp;"",Başvuru!$F:$F,"&lt;&gt;"&amp;""))</f>
        <v>4</v>
      </c>
      <c r="E41" s="159" t="str">
        <f>IF(C41="","-",IF(D41&gt;0,TEXT(D41/(COUNTIFS(Başvuru!$A:$A,"&lt;&gt;",Başvuru!$F:$F,"&lt;&gt;")-1)*100,"0.0")&amp;"%","-"))</f>
        <v>01%</v>
      </c>
      <c r="F41" s="162">
        <f>IF(C41="","",COUNTIFS(Başvuru!$C:$C,C41,Başvuru!$G:$G,"Bireysel Araştırma",Başvuru!$A:$A,"&lt;&gt;"&amp;"",Başvuru!$F:$F,"&lt;&gt;"&amp;""))</f>
        <v>3</v>
      </c>
      <c r="G41" s="162">
        <f>IF(C41="","",COUNTIFS(Başvuru!$C:$C,C41,Başvuru!$G:$G,"Uzmanlık Tezi",Başvuru!$A:$A,"&lt;&gt;"&amp;"",Başvuru!$F:$F,"&lt;&gt;"&amp;""))</f>
        <v>1</v>
      </c>
      <c r="H41" s="162">
        <f>IF(C41="","",COUNTIFS(Başvuru!$C:$C,C41,Başvuru!$G:$G,"Doktora Tezi",Başvuru!$A:$A,"&lt;&gt;"&amp;"",Başvuru!$F:$F,"&lt;&gt;"&amp;""))</f>
        <v>0</v>
      </c>
      <c r="I41" s="162">
        <f>IF(C41="","",COUNTIFS(Başvuru!$C:$C,C41,Başvuru!$G:$G,"Yüksek Lisans Tezi",Başvuru!$A:$A,"&lt;&gt;"&amp;"",Başvuru!$F:$F,"&lt;&gt;"&amp;""))</f>
        <v>0</v>
      </c>
      <c r="J41" s="163">
        <f>IF(C41="","",COUNTIFS(Başvuru!$C:$C,C41,Başvuru!$L:$L,"ONAY",Başvuru!$A:$A,"&lt;&gt;"&amp;"",Başvuru!$F:$F,"&lt;&gt;"&amp;""))</f>
        <v>1</v>
      </c>
      <c r="K41" s="164">
        <f>IF(C41="","",COUNTIFS(Başvuru!$C:$C,C41,Başvuru!$L:$L,"DÜZELTME",Başvuru!$A:$A,"&lt;&gt;"&amp;"",Başvuru!$F:$F,"&lt;&gt;"&amp;""))</f>
        <v>3</v>
      </c>
      <c r="L41" s="165">
        <f>IF(C41="","",COUNTIFS(Başvuru!$C:$C,C41,Başvuru!$L:$L,"KAEK",Başvuru!$A:$A,"&lt;&gt;"&amp;"",Başvuru!$F:$F,"&lt;&gt;"&amp;""))</f>
        <v>0</v>
      </c>
      <c r="M41" s="166">
        <f>IF(C41="","",COUNTIFS(Başvuru!$C:$C,C41,Başvuru!$L:$L,"GÖRÜŞ",Başvuru!$A:$A,"&lt;&gt;"&amp;"",Başvuru!$F:$F,"&lt;&gt;"&amp;""))</f>
        <v>0</v>
      </c>
      <c r="N41" s="167">
        <f>IF(C41="","",COUNTIFS(Başvuru!$C:$C,C41,Başvuru!$L:$L,"RET",Başvuru!$A:$A,"&lt;&gt;"&amp;"",Başvuru!$F:$F,"&lt;&gt;"&amp;""))</f>
        <v>0</v>
      </c>
      <c r="O41" s="168">
        <f>IF(C41="","",COUNTIFS(Başvuru!$C:$C,C41,Başvuru!$L:$L,"KAPSAM DIŞI",Başvuru!$A:$A,"&lt;&gt;"&amp;"",Başvuru!$F:$F,"&lt;&gt;"&amp;""))</f>
        <v>0</v>
      </c>
      <c r="P41" s="169">
        <f>IF(C41="","",COUNTIFS(Başvuru!$C:$C,C41,Başvuru!$L:$L,"GERİ ÇEKİLDİ",Başvuru!$A:$A,"&lt;&gt;"&amp;"",Başvuru!$F:$F,"&lt;&gt;"&amp;""))</f>
        <v>0</v>
      </c>
      <c r="Q41" s="170" t="str">
        <f t="array" ref="Q41">IFERROR(INDEX(Başvuru!$C$2:$C$3000, MATCH(0, COUNTIF($Q$5:Q40, Başvuru!$C$2:$C$3000) + IF(Başvuru!$C$2:$C$3000="",1,0), 0)), "")</f>
        <v>Prof. Dr. Bülent ALTUN</v>
      </c>
      <c r="R41" s="171">
        <f>IF(Q41="","",COUNTIFS(Başvuru!$C:$C,Q41,Başvuru!$A:$A,"&lt;&gt;"&amp;"",Başvuru!$F:$F,"&lt;&gt;"&amp;""))</f>
        <v>1</v>
      </c>
      <c r="S41" s="171">
        <f>IF(R41="","",RANK(R41,$R$6:$R$505,0)+COUNTIF($R$6:R41,R41)-1)</f>
        <v>160</v>
      </c>
    </row>
    <row r="42" spans="2:19" ht="23.25" customHeight="1" x14ac:dyDescent="0.25">
      <c r="B42" s="159">
        <v>37</v>
      </c>
      <c r="C42" s="160" t="str">
        <f>IFERROR(INDEX($Q$6:$Q$505,MATCH(37,$S$6:$S$505,0)),"")</f>
        <v>Prof. Dr. Çağrı Mesut TEMUÇİN</v>
      </c>
      <c r="D42" s="161">
        <f>IF(C42="","",COUNTIFS(Başvuru!$C:$C,C42,Başvuru!$A:$A,"&lt;&gt;"&amp;"",Başvuru!$F:$F,"&lt;&gt;"&amp;""))</f>
        <v>4</v>
      </c>
      <c r="E42" s="159" t="str">
        <f>IF(C42="","-",IF(D42&gt;0,TEXT(D42/(COUNTIFS(Başvuru!$A:$A,"&lt;&gt;",Başvuru!$F:$F,"&lt;&gt;")-1)*100,"0.0")&amp;"%","-"))</f>
        <v>01%</v>
      </c>
      <c r="F42" s="162">
        <f>IF(C42="","",COUNTIFS(Başvuru!$C:$C,C42,Başvuru!$G:$G,"Bireysel Araştırma",Başvuru!$A:$A,"&lt;&gt;"&amp;"",Başvuru!$F:$F,"&lt;&gt;"&amp;""))</f>
        <v>4</v>
      </c>
      <c r="G42" s="162">
        <f>IF(C42="","",COUNTIFS(Başvuru!$C:$C,C42,Başvuru!$G:$G,"Uzmanlık Tezi",Başvuru!$A:$A,"&lt;&gt;"&amp;"",Başvuru!$F:$F,"&lt;&gt;"&amp;""))</f>
        <v>0</v>
      </c>
      <c r="H42" s="162">
        <f>IF(C42="","",COUNTIFS(Başvuru!$C:$C,C42,Başvuru!$G:$G,"Doktora Tezi",Başvuru!$A:$A,"&lt;&gt;"&amp;"",Başvuru!$F:$F,"&lt;&gt;"&amp;""))</f>
        <v>0</v>
      </c>
      <c r="I42" s="162">
        <f>IF(C42="","",COUNTIFS(Başvuru!$C:$C,C42,Başvuru!$G:$G,"Yüksek Lisans Tezi",Başvuru!$A:$A,"&lt;&gt;"&amp;"",Başvuru!$F:$F,"&lt;&gt;"&amp;""))</f>
        <v>0</v>
      </c>
      <c r="J42" s="163">
        <f>IF(C42="","",COUNTIFS(Başvuru!$C:$C,C42,Başvuru!$L:$L,"ONAY",Başvuru!$A:$A,"&lt;&gt;"&amp;"",Başvuru!$F:$F,"&lt;&gt;"&amp;""))</f>
        <v>3</v>
      </c>
      <c r="K42" s="164">
        <f>IF(C42="","",COUNTIFS(Başvuru!$C:$C,C42,Başvuru!$L:$L,"DÜZELTME",Başvuru!$A:$A,"&lt;&gt;"&amp;"",Başvuru!$F:$F,"&lt;&gt;"&amp;""))</f>
        <v>1</v>
      </c>
      <c r="L42" s="165">
        <f>IF(C42="","",COUNTIFS(Başvuru!$C:$C,C42,Başvuru!$L:$L,"KAEK",Başvuru!$A:$A,"&lt;&gt;"&amp;"",Başvuru!$F:$F,"&lt;&gt;"&amp;""))</f>
        <v>0</v>
      </c>
      <c r="M42" s="166">
        <f>IF(C42="","",COUNTIFS(Başvuru!$C:$C,C42,Başvuru!$L:$L,"GÖRÜŞ",Başvuru!$A:$A,"&lt;&gt;"&amp;"",Başvuru!$F:$F,"&lt;&gt;"&amp;""))</f>
        <v>0</v>
      </c>
      <c r="N42" s="167">
        <f>IF(C42="","",COUNTIFS(Başvuru!$C:$C,C42,Başvuru!$L:$L,"RET",Başvuru!$A:$A,"&lt;&gt;"&amp;"",Başvuru!$F:$F,"&lt;&gt;"&amp;""))</f>
        <v>0</v>
      </c>
      <c r="O42" s="168">
        <f>IF(C42="","",COUNTIFS(Başvuru!$C:$C,C42,Başvuru!$L:$L,"KAPSAM DIŞI",Başvuru!$A:$A,"&lt;&gt;"&amp;"",Başvuru!$F:$F,"&lt;&gt;"&amp;""))</f>
        <v>0</v>
      </c>
      <c r="P42" s="169">
        <f>IF(C42="","",COUNTIFS(Başvuru!$C:$C,C42,Başvuru!$L:$L,"GERİ ÇEKİLDİ",Başvuru!$A:$A,"&lt;&gt;"&amp;"",Başvuru!$F:$F,"&lt;&gt;"&amp;""))</f>
        <v>0</v>
      </c>
      <c r="Q42" s="170" t="str">
        <f t="array" ref="Q42">IFERROR(INDEX(Başvuru!$C$2:$C$3000, MATCH(0, COUNTIF($Q$5:Q41, Başvuru!$C$2:$C$3000) + IF(Başvuru!$C$2:$C$3000="",1,0), 0)), "")</f>
        <v>Prof. Dr. Dilek ASLAN</v>
      </c>
      <c r="R42" s="171">
        <f>IF(Q42="","",COUNTIFS(Başvuru!$C:$C,Q42,Başvuru!$A:$A,"&lt;&gt;"&amp;"",Başvuru!$F:$F,"&lt;&gt;"&amp;""))</f>
        <v>3</v>
      </c>
      <c r="S42" s="171">
        <f>IF(R42="","",RANK(R42,$R$6:$R$505,0)+COUNTIF($R$6:R42,R42)-1)</f>
        <v>54</v>
      </c>
    </row>
    <row r="43" spans="2:19" ht="23.25" customHeight="1" x14ac:dyDescent="0.25">
      <c r="B43" s="159">
        <v>38</v>
      </c>
      <c r="C43" s="160" t="str">
        <f>IFERROR(INDEX($Q$6:$Q$505,MATCH(38,$S$6:$S$505,0)),"")</f>
        <v>Prof. Dr. Ayşe KİN İŞLER</v>
      </c>
      <c r="D43" s="161">
        <f>IF(C43="","",COUNTIFS(Başvuru!$C:$C,C43,Başvuru!$A:$A,"&lt;&gt;"&amp;"",Başvuru!$F:$F,"&lt;&gt;"&amp;""))</f>
        <v>4</v>
      </c>
      <c r="E43" s="159" t="str">
        <f>IF(C43="","-",IF(D43&gt;0,TEXT(D43/(COUNTIFS(Başvuru!$A:$A,"&lt;&gt;",Başvuru!$F:$F,"&lt;&gt;")-1)*100,"0.0")&amp;"%","-"))</f>
        <v>01%</v>
      </c>
      <c r="F43" s="162">
        <f>IF(C43="","",COUNTIFS(Başvuru!$C:$C,C43,Başvuru!$G:$G,"Bireysel Araştırma",Başvuru!$A:$A,"&lt;&gt;"&amp;"",Başvuru!$F:$F,"&lt;&gt;"&amp;""))</f>
        <v>1</v>
      </c>
      <c r="G43" s="162">
        <f>IF(C43="","",COUNTIFS(Başvuru!$C:$C,C43,Başvuru!$G:$G,"Uzmanlık Tezi",Başvuru!$A:$A,"&lt;&gt;"&amp;"",Başvuru!$F:$F,"&lt;&gt;"&amp;""))</f>
        <v>0</v>
      </c>
      <c r="H43" s="162">
        <f>IF(C43="","",COUNTIFS(Başvuru!$C:$C,C43,Başvuru!$G:$G,"Doktora Tezi",Başvuru!$A:$A,"&lt;&gt;"&amp;"",Başvuru!$F:$F,"&lt;&gt;"&amp;""))</f>
        <v>1</v>
      </c>
      <c r="I43" s="162">
        <f>IF(C43="","",COUNTIFS(Başvuru!$C:$C,C43,Başvuru!$G:$G,"Yüksek Lisans Tezi",Başvuru!$A:$A,"&lt;&gt;"&amp;"",Başvuru!$F:$F,"&lt;&gt;"&amp;""))</f>
        <v>2</v>
      </c>
      <c r="J43" s="163">
        <f>IF(C43="","",COUNTIFS(Başvuru!$C:$C,C43,Başvuru!$L:$L,"ONAY",Başvuru!$A:$A,"&lt;&gt;"&amp;"",Başvuru!$F:$F,"&lt;&gt;"&amp;""))</f>
        <v>2</v>
      </c>
      <c r="K43" s="164">
        <f>IF(C43="","",COUNTIFS(Başvuru!$C:$C,C43,Başvuru!$L:$L,"DÜZELTME",Başvuru!$A:$A,"&lt;&gt;"&amp;"",Başvuru!$F:$F,"&lt;&gt;"&amp;""))</f>
        <v>2</v>
      </c>
      <c r="L43" s="165">
        <f>IF(C43="","",COUNTIFS(Başvuru!$C:$C,C43,Başvuru!$L:$L,"KAEK",Başvuru!$A:$A,"&lt;&gt;"&amp;"",Başvuru!$F:$F,"&lt;&gt;"&amp;""))</f>
        <v>0</v>
      </c>
      <c r="M43" s="166">
        <f>IF(C43="","",COUNTIFS(Başvuru!$C:$C,C43,Başvuru!$L:$L,"GÖRÜŞ",Başvuru!$A:$A,"&lt;&gt;"&amp;"",Başvuru!$F:$F,"&lt;&gt;"&amp;""))</f>
        <v>0</v>
      </c>
      <c r="N43" s="167">
        <f>IF(C43="","",COUNTIFS(Başvuru!$C:$C,C43,Başvuru!$L:$L,"RET",Başvuru!$A:$A,"&lt;&gt;"&amp;"",Başvuru!$F:$F,"&lt;&gt;"&amp;""))</f>
        <v>0</v>
      </c>
      <c r="O43" s="168">
        <f>IF(C43="","",COUNTIFS(Başvuru!$C:$C,C43,Başvuru!$L:$L,"KAPSAM DIŞI",Başvuru!$A:$A,"&lt;&gt;"&amp;"",Başvuru!$F:$F,"&lt;&gt;"&amp;""))</f>
        <v>0</v>
      </c>
      <c r="P43" s="169">
        <f>IF(C43="","",COUNTIFS(Başvuru!$C:$C,C43,Başvuru!$L:$L,"GERİ ÇEKİLDİ",Başvuru!$A:$A,"&lt;&gt;"&amp;"",Başvuru!$F:$F,"&lt;&gt;"&amp;""))</f>
        <v>0</v>
      </c>
      <c r="Q43" s="170" t="str">
        <f t="array" ref="Q43">IFERROR(INDEX(Başvuru!$C$2:$C$3000, MATCH(0, COUNTIF($Q$5:Q42, Başvuru!$C$2:$C$3000) + IF(Başvuru!$C$2:$C$3000="",1,0), 0)), "")</f>
        <v>Prof. Dr. Ali DÜZOVA</v>
      </c>
      <c r="R43" s="171">
        <f>IF(Q43="","",COUNTIFS(Başvuru!$C:$C,Q43,Başvuru!$A:$A,"&lt;&gt;"&amp;"",Başvuru!$F:$F,"&lt;&gt;"&amp;""))</f>
        <v>1</v>
      </c>
      <c r="S43" s="171">
        <f>IF(R43="","",RANK(R43,$R$6:$R$505,0)+COUNTIF($R$6:R43,R43)-1)</f>
        <v>161</v>
      </c>
    </row>
    <row r="44" spans="2:19" ht="23.25" customHeight="1" x14ac:dyDescent="0.25">
      <c r="B44" s="159">
        <v>39</v>
      </c>
      <c r="C44" s="160" t="str">
        <f>IFERROR(INDEX($Q$6:$Q$505,MATCH(39,$S$6:$S$505,0)),"")</f>
        <v>Prof. Dr. Hatice Yasemin BALABAN</v>
      </c>
      <c r="D44" s="161">
        <f>IF(C44="","",COUNTIFS(Başvuru!$C:$C,C44,Başvuru!$A:$A,"&lt;&gt;"&amp;"",Başvuru!$F:$F,"&lt;&gt;"&amp;""))</f>
        <v>4</v>
      </c>
      <c r="E44" s="159" t="str">
        <f>IF(C44="","-",IF(D44&gt;0,TEXT(D44/(COUNTIFS(Başvuru!$A:$A,"&lt;&gt;",Başvuru!$F:$F,"&lt;&gt;")-1)*100,"0.0")&amp;"%","-"))</f>
        <v>01%</v>
      </c>
      <c r="F44" s="162">
        <f>IF(C44="","",COUNTIFS(Başvuru!$C:$C,C44,Başvuru!$G:$G,"Bireysel Araştırma",Başvuru!$A:$A,"&lt;&gt;"&amp;"",Başvuru!$F:$F,"&lt;&gt;"&amp;""))</f>
        <v>4</v>
      </c>
      <c r="G44" s="162">
        <f>IF(C44="","",COUNTIFS(Başvuru!$C:$C,C44,Başvuru!$G:$G,"Uzmanlık Tezi",Başvuru!$A:$A,"&lt;&gt;"&amp;"",Başvuru!$F:$F,"&lt;&gt;"&amp;""))</f>
        <v>0</v>
      </c>
      <c r="H44" s="162">
        <f>IF(C44="","",COUNTIFS(Başvuru!$C:$C,C44,Başvuru!$G:$G,"Doktora Tezi",Başvuru!$A:$A,"&lt;&gt;"&amp;"",Başvuru!$F:$F,"&lt;&gt;"&amp;""))</f>
        <v>0</v>
      </c>
      <c r="I44" s="162">
        <f>IF(C44="","",COUNTIFS(Başvuru!$C:$C,C44,Başvuru!$G:$G,"Yüksek Lisans Tezi",Başvuru!$A:$A,"&lt;&gt;"&amp;"",Başvuru!$F:$F,"&lt;&gt;"&amp;""))</f>
        <v>0</v>
      </c>
      <c r="J44" s="163">
        <f>IF(C44="","",COUNTIFS(Başvuru!$C:$C,C44,Başvuru!$L:$L,"ONAY",Başvuru!$A:$A,"&lt;&gt;"&amp;"",Başvuru!$F:$F,"&lt;&gt;"&amp;""))</f>
        <v>0</v>
      </c>
      <c r="K44" s="164">
        <f>IF(C44="","",COUNTIFS(Başvuru!$C:$C,C44,Başvuru!$L:$L,"DÜZELTME",Başvuru!$A:$A,"&lt;&gt;"&amp;"",Başvuru!$F:$F,"&lt;&gt;"&amp;""))</f>
        <v>2</v>
      </c>
      <c r="L44" s="165">
        <f>IF(C44="","",COUNTIFS(Başvuru!$C:$C,C44,Başvuru!$L:$L,"KAEK",Başvuru!$A:$A,"&lt;&gt;"&amp;"",Başvuru!$F:$F,"&lt;&gt;"&amp;""))</f>
        <v>0</v>
      </c>
      <c r="M44" s="166">
        <f>IF(C44="","",COUNTIFS(Başvuru!$C:$C,C44,Başvuru!$L:$L,"GÖRÜŞ",Başvuru!$A:$A,"&lt;&gt;"&amp;"",Başvuru!$F:$F,"&lt;&gt;"&amp;""))</f>
        <v>0</v>
      </c>
      <c r="N44" s="167">
        <f>IF(C44="","",COUNTIFS(Başvuru!$C:$C,C44,Başvuru!$L:$L,"RET",Başvuru!$A:$A,"&lt;&gt;"&amp;"",Başvuru!$F:$F,"&lt;&gt;"&amp;""))</f>
        <v>1</v>
      </c>
      <c r="O44" s="168">
        <f>IF(C44="","",COUNTIFS(Başvuru!$C:$C,C44,Başvuru!$L:$L,"KAPSAM DIŞI",Başvuru!$A:$A,"&lt;&gt;"&amp;"",Başvuru!$F:$F,"&lt;&gt;"&amp;""))</f>
        <v>1</v>
      </c>
      <c r="P44" s="169">
        <f>IF(C44="","",COUNTIFS(Başvuru!$C:$C,C44,Başvuru!$L:$L,"GERİ ÇEKİLDİ",Başvuru!$A:$A,"&lt;&gt;"&amp;"",Başvuru!$F:$F,"&lt;&gt;"&amp;""))</f>
        <v>0</v>
      </c>
      <c r="Q44" s="170" t="str">
        <f t="array" ref="Q44">IFERROR(INDEX(Başvuru!$C$2:$C$3000, MATCH(0, COUNTIF($Q$5:Q43, Başvuru!$C$2:$C$3000) + IF(Başvuru!$C$2:$C$3000="",1,0), 0)), "")</f>
        <v>Prof. Dr. Petek KORKUSUZ</v>
      </c>
      <c r="R44" s="171">
        <f>IF(Q44="","",COUNTIFS(Başvuru!$C:$C,Q44,Başvuru!$A:$A,"&lt;&gt;"&amp;"",Başvuru!$F:$F,"&lt;&gt;"&amp;""))</f>
        <v>1</v>
      </c>
      <c r="S44" s="171">
        <f>IF(R44="","",RANK(R44,$R$6:$R$505,0)+COUNTIF($R$6:R44,R44)-1)</f>
        <v>162</v>
      </c>
    </row>
    <row r="45" spans="2:19" ht="23.25" customHeight="1" x14ac:dyDescent="0.25">
      <c r="B45" s="159">
        <v>40</v>
      </c>
      <c r="C45" s="160" t="str">
        <f>IFERROR(INDEX($Q$6:$Q$505,MATCH(40,$S$6:$S$505,0)),"")</f>
        <v>Prof. Dr. Deniz DOĞRU ERSÖZ</v>
      </c>
      <c r="D45" s="161">
        <f>IF(C45="","",COUNTIFS(Başvuru!$C:$C,C45,Başvuru!$A:$A,"&lt;&gt;"&amp;"",Başvuru!$F:$F,"&lt;&gt;"&amp;""))</f>
        <v>4</v>
      </c>
      <c r="E45" s="159" t="str">
        <f>IF(C45="","-",IF(D45&gt;0,TEXT(D45/(COUNTIFS(Başvuru!$A:$A,"&lt;&gt;",Başvuru!$F:$F,"&lt;&gt;")-1)*100,"0.0")&amp;"%","-"))</f>
        <v>01%</v>
      </c>
      <c r="F45" s="162">
        <f>IF(C45="","",COUNTIFS(Başvuru!$C:$C,C45,Başvuru!$G:$G,"Bireysel Araştırma",Başvuru!$A:$A,"&lt;&gt;"&amp;"",Başvuru!$F:$F,"&lt;&gt;"&amp;""))</f>
        <v>4</v>
      </c>
      <c r="G45" s="162">
        <f>IF(C45="","",COUNTIFS(Başvuru!$C:$C,C45,Başvuru!$G:$G,"Uzmanlık Tezi",Başvuru!$A:$A,"&lt;&gt;"&amp;"",Başvuru!$F:$F,"&lt;&gt;"&amp;""))</f>
        <v>0</v>
      </c>
      <c r="H45" s="162">
        <f>IF(C45="","",COUNTIFS(Başvuru!$C:$C,C45,Başvuru!$G:$G,"Doktora Tezi",Başvuru!$A:$A,"&lt;&gt;"&amp;"",Başvuru!$F:$F,"&lt;&gt;"&amp;""))</f>
        <v>0</v>
      </c>
      <c r="I45" s="162">
        <f>IF(C45="","",COUNTIFS(Başvuru!$C:$C,C45,Başvuru!$G:$G,"Yüksek Lisans Tezi",Başvuru!$A:$A,"&lt;&gt;"&amp;"",Başvuru!$F:$F,"&lt;&gt;"&amp;""))</f>
        <v>0</v>
      </c>
      <c r="J45" s="163">
        <f>IF(C45="","",COUNTIFS(Başvuru!$C:$C,C45,Başvuru!$L:$L,"ONAY",Başvuru!$A:$A,"&lt;&gt;"&amp;"",Başvuru!$F:$F,"&lt;&gt;"&amp;""))</f>
        <v>1</v>
      </c>
      <c r="K45" s="164">
        <f>IF(C45="","",COUNTIFS(Başvuru!$C:$C,C45,Başvuru!$L:$L,"DÜZELTME",Başvuru!$A:$A,"&lt;&gt;"&amp;"",Başvuru!$F:$F,"&lt;&gt;"&amp;""))</f>
        <v>0</v>
      </c>
      <c r="L45" s="165">
        <f>IF(C45="","",COUNTIFS(Başvuru!$C:$C,C45,Başvuru!$L:$L,"KAEK",Başvuru!$A:$A,"&lt;&gt;"&amp;"",Başvuru!$F:$F,"&lt;&gt;"&amp;""))</f>
        <v>3</v>
      </c>
      <c r="M45" s="166">
        <f>IF(C45="","",COUNTIFS(Başvuru!$C:$C,C45,Başvuru!$L:$L,"GÖRÜŞ",Başvuru!$A:$A,"&lt;&gt;"&amp;"",Başvuru!$F:$F,"&lt;&gt;"&amp;""))</f>
        <v>0</v>
      </c>
      <c r="N45" s="167">
        <f>IF(C45="","",COUNTIFS(Başvuru!$C:$C,C45,Başvuru!$L:$L,"RET",Başvuru!$A:$A,"&lt;&gt;"&amp;"",Başvuru!$F:$F,"&lt;&gt;"&amp;""))</f>
        <v>0</v>
      </c>
      <c r="O45" s="168">
        <f>IF(C45="","",COUNTIFS(Başvuru!$C:$C,C45,Başvuru!$L:$L,"KAPSAM DIŞI",Başvuru!$A:$A,"&lt;&gt;"&amp;"",Başvuru!$F:$F,"&lt;&gt;"&amp;""))</f>
        <v>0</v>
      </c>
      <c r="P45" s="169">
        <f>IF(C45="","",COUNTIFS(Başvuru!$C:$C,C45,Başvuru!$L:$L,"GERİ ÇEKİLDİ",Başvuru!$A:$A,"&lt;&gt;"&amp;"",Başvuru!$F:$F,"&lt;&gt;"&amp;""))</f>
        <v>0</v>
      </c>
      <c r="Q45" s="170" t="str">
        <f t="array" ref="Q45">IFERROR(INDEX(Başvuru!$C$2:$C$3000, MATCH(0, COUNTIF($Q$5:Q44, Başvuru!$C$2:$C$3000) + IF(Başvuru!$C$2:$C$3000="",1,0), 0)), "")</f>
        <v>Prof. Dr. Sibel ERSOY EVANS</v>
      </c>
      <c r="R45" s="171">
        <f>IF(Q45="","",COUNTIFS(Başvuru!$C:$C,Q45,Başvuru!$A:$A,"&lt;&gt;"&amp;"",Başvuru!$F:$F,"&lt;&gt;"&amp;""))</f>
        <v>1</v>
      </c>
      <c r="S45" s="171">
        <f>IF(R45="","",RANK(R45,$R$6:$R$505,0)+COUNTIF($R$6:R45,R45)-1)</f>
        <v>163</v>
      </c>
    </row>
    <row r="46" spans="2:19" ht="23.25" customHeight="1" x14ac:dyDescent="0.25">
      <c r="B46" s="159">
        <v>41</v>
      </c>
      <c r="C46" s="160" t="str">
        <f>IFERROR(INDEX($Q$6:$Q$505,MATCH(41,$S$6:$S$505,0)),"")</f>
        <v>Doç. Dr. Mesut ALTAN</v>
      </c>
      <c r="D46" s="161">
        <f>IF(C46="","",COUNTIFS(Başvuru!$C:$C,C46,Başvuru!$A:$A,"&lt;&gt;"&amp;"",Başvuru!$F:$F,"&lt;&gt;"&amp;""))</f>
        <v>4</v>
      </c>
      <c r="E46" s="159" t="str">
        <f>IF(C46="","-",IF(D46&gt;0,TEXT(D46/(COUNTIFS(Başvuru!$A:$A,"&lt;&gt;",Başvuru!$F:$F,"&lt;&gt;")-1)*100,"0.0")&amp;"%","-"))</f>
        <v>01%</v>
      </c>
      <c r="F46" s="162">
        <f>IF(C46="","",COUNTIFS(Başvuru!$C:$C,C46,Başvuru!$G:$G,"Bireysel Araştırma",Başvuru!$A:$A,"&lt;&gt;"&amp;"",Başvuru!$F:$F,"&lt;&gt;"&amp;""))</f>
        <v>4</v>
      </c>
      <c r="G46" s="162">
        <f>IF(C46="","",COUNTIFS(Başvuru!$C:$C,C46,Başvuru!$G:$G,"Uzmanlık Tezi",Başvuru!$A:$A,"&lt;&gt;"&amp;"",Başvuru!$F:$F,"&lt;&gt;"&amp;""))</f>
        <v>0</v>
      </c>
      <c r="H46" s="162">
        <f>IF(C46="","",COUNTIFS(Başvuru!$C:$C,C46,Başvuru!$G:$G,"Doktora Tezi",Başvuru!$A:$A,"&lt;&gt;"&amp;"",Başvuru!$F:$F,"&lt;&gt;"&amp;""))</f>
        <v>0</v>
      </c>
      <c r="I46" s="162">
        <f>IF(C46="","",COUNTIFS(Başvuru!$C:$C,C46,Başvuru!$G:$G,"Yüksek Lisans Tezi",Başvuru!$A:$A,"&lt;&gt;"&amp;"",Başvuru!$F:$F,"&lt;&gt;"&amp;""))</f>
        <v>0</v>
      </c>
      <c r="J46" s="163">
        <f>IF(C46="","",COUNTIFS(Başvuru!$C:$C,C46,Başvuru!$L:$L,"ONAY",Başvuru!$A:$A,"&lt;&gt;"&amp;"",Başvuru!$F:$F,"&lt;&gt;"&amp;""))</f>
        <v>4</v>
      </c>
      <c r="K46" s="164">
        <f>IF(C46="","",COUNTIFS(Başvuru!$C:$C,C46,Başvuru!$L:$L,"DÜZELTME",Başvuru!$A:$A,"&lt;&gt;"&amp;"",Başvuru!$F:$F,"&lt;&gt;"&amp;""))</f>
        <v>0</v>
      </c>
      <c r="L46" s="165">
        <f>IF(C46="","",COUNTIFS(Başvuru!$C:$C,C46,Başvuru!$L:$L,"KAEK",Başvuru!$A:$A,"&lt;&gt;"&amp;"",Başvuru!$F:$F,"&lt;&gt;"&amp;""))</f>
        <v>0</v>
      </c>
      <c r="M46" s="166">
        <f>IF(C46="","",COUNTIFS(Başvuru!$C:$C,C46,Başvuru!$L:$L,"GÖRÜŞ",Başvuru!$A:$A,"&lt;&gt;"&amp;"",Başvuru!$F:$F,"&lt;&gt;"&amp;""))</f>
        <v>0</v>
      </c>
      <c r="N46" s="167">
        <f>IF(C46="","",COUNTIFS(Başvuru!$C:$C,C46,Başvuru!$L:$L,"RET",Başvuru!$A:$A,"&lt;&gt;"&amp;"",Başvuru!$F:$F,"&lt;&gt;"&amp;""))</f>
        <v>0</v>
      </c>
      <c r="O46" s="168">
        <f>IF(C46="","",COUNTIFS(Başvuru!$C:$C,C46,Başvuru!$L:$L,"KAPSAM DIŞI",Başvuru!$A:$A,"&lt;&gt;"&amp;"",Başvuru!$F:$F,"&lt;&gt;"&amp;""))</f>
        <v>0</v>
      </c>
      <c r="P46" s="169">
        <f>IF(C46="","",COUNTIFS(Başvuru!$C:$C,C46,Başvuru!$L:$L,"GERİ ÇEKİLDİ",Başvuru!$A:$A,"&lt;&gt;"&amp;"",Başvuru!$F:$F,"&lt;&gt;"&amp;""))</f>
        <v>0</v>
      </c>
      <c r="Q46" s="170" t="str">
        <f t="array" ref="Q46">IFERROR(INDEX(Başvuru!$C$2:$C$3000, MATCH(0, COUNTIF($Q$5:Q45, Başvuru!$C$2:$C$3000) + IF(Başvuru!$C$2:$C$3000="",1,0), 0)), "")</f>
        <v>Prof. Dr. Oya ÖZDEMİR</v>
      </c>
      <c r="R46" s="171">
        <f>IF(Q46="","",COUNTIFS(Başvuru!$C:$C,Q46,Başvuru!$A:$A,"&lt;&gt;"&amp;"",Başvuru!$F:$F,"&lt;&gt;"&amp;""))</f>
        <v>1</v>
      </c>
      <c r="S46" s="171">
        <f>IF(R46="","",RANK(R46,$R$6:$R$505,0)+COUNTIF($R$6:R46,R46)-1)</f>
        <v>164</v>
      </c>
    </row>
    <row r="47" spans="2:19" ht="23.25" customHeight="1" x14ac:dyDescent="0.25">
      <c r="B47" s="159">
        <v>42</v>
      </c>
      <c r="C47" s="160" t="str">
        <f>IFERROR(INDEX($Q$6:$Q$505,MATCH(42,$S$6:$S$505,0)),"")</f>
        <v>Dr. Öğr. Üyesi Aycan UYSAL</v>
      </c>
      <c r="D47" s="161">
        <f>IF(C47="","",COUNTIFS(Başvuru!$C:$C,C47,Başvuru!$A:$A,"&lt;&gt;"&amp;"",Başvuru!$F:$F,"&lt;&gt;"&amp;""))</f>
        <v>4</v>
      </c>
      <c r="E47" s="159" t="str">
        <f>IF(C47="","-",IF(D47&gt;0,TEXT(D47/(COUNTIFS(Başvuru!$A:$A,"&lt;&gt;",Başvuru!$F:$F,"&lt;&gt;")-1)*100,"0.0")&amp;"%","-"))</f>
        <v>01%</v>
      </c>
      <c r="F47" s="162">
        <f>IF(C47="","",COUNTIFS(Başvuru!$C:$C,C47,Başvuru!$G:$G,"Bireysel Araştırma",Başvuru!$A:$A,"&lt;&gt;"&amp;"",Başvuru!$F:$F,"&lt;&gt;"&amp;""))</f>
        <v>3</v>
      </c>
      <c r="G47" s="162">
        <f>IF(C47="","",COUNTIFS(Başvuru!$C:$C,C47,Başvuru!$G:$G,"Uzmanlık Tezi",Başvuru!$A:$A,"&lt;&gt;"&amp;"",Başvuru!$F:$F,"&lt;&gt;"&amp;""))</f>
        <v>1</v>
      </c>
      <c r="H47" s="162">
        <f>IF(C47="","",COUNTIFS(Başvuru!$C:$C,C47,Başvuru!$G:$G,"Doktora Tezi",Başvuru!$A:$A,"&lt;&gt;"&amp;"",Başvuru!$F:$F,"&lt;&gt;"&amp;""))</f>
        <v>0</v>
      </c>
      <c r="I47" s="162">
        <f>IF(C47="","",COUNTIFS(Başvuru!$C:$C,C47,Başvuru!$G:$G,"Yüksek Lisans Tezi",Başvuru!$A:$A,"&lt;&gt;"&amp;"",Başvuru!$F:$F,"&lt;&gt;"&amp;""))</f>
        <v>0</v>
      </c>
      <c r="J47" s="163">
        <f>IF(C47="","",COUNTIFS(Başvuru!$C:$C,C47,Başvuru!$L:$L,"ONAY",Başvuru!$A:$A,"&lt;&gt;"&amp;"",Başvuru!$F:$F,"&lt;&gt;"&amp;""))</f>
        <v>4</v>
      </c>
      <c r="K47" s="164">
        <f>IF(C47="","",COUNTIFS(Başvuru!$C:$C,C47,Başvuru!$L:$L,"DÜZELTME",Başvuru!$A:$A,"&lt;&gt;"&amp;"",Başvuru!$F:$F,"&lt;&gt;"&amp;""))</f>
        <v>0</v>
      </c>
      <c r="L47" s="165">
        <f>IF(C47="","",COUNTIFS(Başvuru!$C:$C,C47,Başvuru!$L:$L,"KAEK",Başvuru!$A:$A,"&lt;&gt;"&amp;"",Başvuru!$F:$F,"&lt;&gt;"&amp;""))</f>
        <v>0</v>
      </c>
      <c r="M47" s="166">
        <f>IF(C47="","",COUNTIFS(Başvuru!$C:$C,C47,Başvuru!$L:$L,"GÖRÜŞ",Başvuru!$A:$A,"&lt;&gt;"&amp;"",Başvuru!$F:$F,"&lt;&gt;"&amp;""))</f>
        <v>0</v>
      </c>
      <c r="N47" s="167">
        <f>IF(C47="","",COUNTIFS(Başvuru!$C:$C,C47,Başvuru!$L:$L,"RET",Başvuru!$A:$A,"&lt;&gt;"&amp;"",Başvuru!$F:$F,"&lt;&gt;"&amp;""))</f>
        <v>0</v>
      </c>
      <c r="O47" s="168">
        <f>IF(C47="","",COUNTIFS(Başvuru!$C:$C,C47,Başvuru!$L:$L,"KAPSAM DIŞI",Başvuru!$A:$A,"&lt;&gt;"&amp;"",Başvuru!$F:$F,"&lt;&gt;"&amp;""))</f>
        <v>0</v>
      </c>
      <c r="P47" s="169">
        <f>IF(C47="","",COUNTIFS(Başvuru!$C:$C,C47,Başvuru!$L:$L,"GERİ ÇEKİLDİ",Başvuru!$A:$A,"&lt;&gt;"&amp;"",Başvuru!$F:$F,"&lt;&gt;"&amp;""))</f>
        <v>0</v>
      </c>
      <c r="Q47" s="170" t="str">
        <f t="array" ref="Q47">IFERROR(INDEX(Başvuru!$C$2:$C$3000, MATCH(0, COUNTIF($Q$5:Q46, Başvuru!$C$2:$C$3000) + IF(Başvuru!$C$2:$C$3000="",1,0), 0)), "")</f>
        <v>Prof. Dr. Bahar GÜÇİZ DOĞAN</v>
      </c>
      <c r="R47" s="171">
        <f>IF(Q47="","",COUNTIFS(Başvuru!$C:$C,Q47,Başvuru!$A:$A,"&lt;&gt;"&amp;"",Başvuru!$F:$F,"&lt;&gt;"&amp;""))</f>
        <v>1</v>
      </c>
      <c r="S47" s="171">
        <f>IF(R47="","",RANK(R47,$R$6:$R$505,0)+COUNTIF($R$6:R47,R47)-1)</f>
        <v>165</v>
      </c>
    </row>
    <row r="48" spans="2:19" ht="23.25" customHeight="1" x14ac:dyDescent="0.25">
      <c r="B48" s="159">
        <v>43</v>
      </c>
      <c r="C48" s="160" t="str">
        <f>IFERROR(INDEX($Q$6:$Q$505,MATCH(43,$S$6:$S$505,0)),"")</f>
        <v>Dr. Öğr. Üyesi Selen ADİLOĞLU</v>
      </c>
      <c r="D48" s="161">
        <f>IF(C48="","",COUNTIFS(Başvuru!$C:$C,C48,Başvuru!$A:$A,"&lt;&gt;"&amp;"",Başvuru!$F:$F,"&lt;&gt;"&amp;""))</f>
        <v>4</v>
      </c>
      <c r="E48" s="159" t="str">
        <f>IF(C48="","-",IF(D48&gt;0,TEXT(D48/(COUNTIFS(Başvuru!$A:$A,"&lt;&gt;",Başvuru!$F:$F,"&lt;&gt;")-1)*100,"0.0")&amp;"%","-"))</f>
        <v>01%</v>
      </c>
      <c r="F48" s="162">
        <f>IF(C48="","",COUNTIFS(Başvuru!$C:$C,C48,Başvuru!$G:$G,"Bireysel Araştırma",Başvuru!$A:$A,"&lt;&gt;"&amp;"",Başvuru!$F:$F,"&lt;&gt;"&amp;""))</f>
        <v>4</v>
      </c>
      <c r="G48" s="162">
        <f>IF(C48="","",COUNTIFS(Başvuru!$C:$C,C48,Başvuru!$G:$G,"Uzmanlık Tezi",Başvuru!$A:$A,"&lt;&gt;"&amp;"",Başvuru!$F:$F,"&lt;&gt;"&amp;""))</f>
        <v>0</v>
      </c>
      <c r="H48" s="162">
        <f>IF(C48="","",COUNTIFS(Başvuru!$C:$C,C48,Başvuru!$G:$G,"Doktora Tezi",Başvuru!$A:$A,"&lt;&gt;"&amp;"",Başvuru!$F:$F,"&lt;&gt;"&amp;""))</f>
        <v>0</v>
      </c>
      <c r="I48" s="162">
        <f>IF(C48="","",COUNTIFS(Başvuru!$C:$C,C48,Başvuru!$G:$G,"Yüksek Lisans Tezi",Başvuru!$A:$A,"&lt;&gt;"&amp;"",Başvuru!$F:$F,"&lt;&gt;"&amp;""))</f>
        <v>0</v>
      </c>
      <c r="J48" s="163">
        <f>IF(C48="","",COUNTIFS(Başvuru!$C:$C,C48,Başvuru!$L:$L,"ONAY",Başvuru!$A:$A,"&lt;&gt;"&amp;"",Başvuru!$F:$F,"&lt;&gt;"&amp;""))</f>
        <v>1</v>
      </c>
      <c r="K48" s="164">
        <f>IF(C48="","",COUNTIFS(Başvuru!$C:$C,C48,Başvuru!$L:$L,"DÜZELTME",Başvuru!$A:$A,"&lt;&gt;"&amp;"",Başvuru!$F:$F,"&lt;&gt;"&amp;""))</f>
        <v>3</v>
      </c>
      <c r="L48" s="165">
        <f>IF(C48="","",COUNTIFS(Başvuru!$C:$C,C48,Başvuru!$L:$L,"KAEK",Başvuru!$A:$A,"&lt;&gt;"&amp;"",Başvuru!$F:$F,"&lt;&gt;"&amp;""))</f>
        <v>0</v>
      </c>
      <c r="M48" s="166">
        <f>IF(C48="","",COUNTIFS(Başvuru!$C:$C,C48,Başvuru!$L:$L,"GÖRÜŞ",Başvuru!$A:$A,"&lt;&gt;"&amp;"",Başvuru!$F:$F,"&lt;&gt;"&amp;""))</f>
        <v>0</v>
      </c>
      <c r="N48" s="167">
        <f>IF(C48="","",COUNTIFS(Başvuru!$C:$C,C48,Başvuru!$L:$L,"RET",Başvuru!$A:$A,"&lt;&gt;"&amp;"",Başvuru!$F:$F,"&lt;&gt;"&amp;""))</f>
        <v>0</v>
      </c>
      <c r="O48" s="168">
        <f>IF(C48="","",COUNTIFS(Başvuru!$C:$C,C48,Başvuru!$L:$L,"KAPSAM DIŞI",Başvuru!$A:$A,"&lt;&gt;"&amp;"",Başvuru!$F:$F,"&lt;&gt;"&amp;""))</f>
        <v>0</v>
      </c>
      <c r="P48" s="169">
        <f>IF(C48="","",COUNTIFS(Başvuru!$C:$C,C48,Başvuru!$L:$L,"GERİ ÇEKİLDİ",Başvuru!$A:$A,"&lt;&gt;"&amp;"",Başvuru!$F:$F,"&lt;&gt;"&amp;""))</f>
        <v>0</v>
      </c>
      <c r="Q48" s="170" t="str">
        <f t="array" ref="Q48">IFERROR(INDEX(Başvuru!$C$2:$C$3000, MATCH(0, COUNTIF($Q$5:Q47, Başvuru!$C$2:$C$3000) + IF(Başvuru!$C$2:$C$3000="",1,0), 0)), "")</f>
        <v>Doç. Dr. Erdem FADILOĞLU</v>
      </c>
      <c r="R48" s="171">
        <f>IF(Q48="","",COUNTIFS(Başvuru!$C:$C,Q48,Başvuru!$A:$A,"&lt;&gt;"&amp;"",Başvuru!$F:$F,"&lt;&gt;"&amp;""))</f>
        <v>5</v>
      </c>
      <c r="S48" s="171">
        <f>IF(R48="","",RANK(R48,$R$6:$R$505,0)+COUNTIF($R$6:R48,R48)-1)</f>
        <v>21</v>
      </c>
    </row>
    <row r="49" spans="2:19" ht="23.25" customHeight="1" x14ac:dyDescent="0.25">
      <c r="B49" s="159">
        <v>44</v>
      </c>
      <c r="C49" s="160" t="str">
        <f>IFERROR(INDEX($Q$6:$Q$505,MATCH(44,$S$6:$S$505,0)),"")</f>
        <v>Doç. Dr. Hilal AKSOY</v>
      </c>
      <c r="D49" s="161">
        <f>IF(C49="","",COUNTIFS(Başvuru!$C:$C,C49,Başvuru!$A:$A,"&lt;&gt;"&amp;"",Başvuru!$F:$F,"&lt;&gt;"&amp;""))</f>
        <v>4</v>
      </c>
      <c r="E49" s="159" t="str">
        <f>IF(C49="","-",IF(D49&gt;0,TEXT(D49/(COUNTIFS(Başvuru!$A:$A,"&lt;&gt;",Başvuru!$F:$F,"&lt;&gt;")-1)*100,"0.0")&amp;"%","-"))</f>
        <v>01%</v>
      </c>
      <c r="F49" s="162">
        <f>IF(C49="","",COUNTIFS(Başvuru!$C:$C,C49,Başvuru!$G:$G,"Bireysel Araştırma",Başvuru!$A:$A,"&lt;&gt;"&amp;"",Başvuru!$F:$F,"&lt;&gt;"&amp;""))</f>
        <v>1</v>
      </c>
      <c r="G49" s="162">
        <f>IF(C49="","",COUNTIFS(Başvuru!$C:$C,C49,Başvuru!$G:$G,"Uzmanlık Tezi",Başvuru!$A:$A,"&lt;&gt;"&amp;"",Başvuru!$F:$F,"&lt;&gt;"&amp;""))</f>
        <v>3</v>
      </c>
      <c r="H49" s="162">
        <f>IF(C49="","",COUNTIFS(Başvuru!$C:$C,C49,Başvuru!$G:$G,"Doktora Tezi",Başvuru!$A:$A,"&lt;&gt;"&amp;"",Başvuru!$F:$F,"&lt;&gt;"&amp;""))</f>
        <v>0</v>
      </c>
      <c r="I49" s="162">
        <f>IF(C49="","",COUNTIFS(Başvuru!$C:$C,C49,Başvuru!$G:$G,"Yüksek Lisans Tezi",Başvuru!$A:$A,"&lt;&gt;"&amp;"",Başvuru!$F:$F,"&lt;&gt;"&amp;""))</f>
        <v>0</v>
      </c>
      <c r="J49" s="163">
        <f>IF(C49="","",COUNTIFS(Başvuru!$C:$C,C49,Başvuru!$L:$L,"ONAY",Başvuru!$A:$A,"&lt;&gt;"&amp;"",Başvuru!$F:$F,"&lt;&gt;"&amp;""))</f>
        <v>1</v>
      </c>
      <c r="K49" s="164">
        <f>IF(C49="","",COUNTIFS(Başvuru!$C:$C,C49,Başvuru!$L:$L,"DÜZELTME",Başvuru!$A:$A,"&lt;&gt;"&amp;"",Başvuru!$F:$F,"&lt;&gt;"&amp;""))</f>
        <v>2</v>
      </c>
      <c r="L49" s="165">
        <f>IF(C49="","",COUNTIFS(Başvuru!$C:$C,C49,Başvuru!$L:$L,"KAEK",Başvuru!$A:$A,"&lt;&gt;"&amp;"",Başvuru!$F:$F,"&lt;&gt;"&amp;""))</f>
        <v>0</v>
      </c>
      <c r="M49" s="166">
        <f>IF(C49="","",COUNTIFS(Başvuru!$C:$C,C49,Başvuru!$L:$L,"GÖRÜŞ",Başvuru!$A:$A,"&lt;&gt;"&amp;"",Başvuru!$F:$F,"&lt;&gt;"&amp;""))</f>
        <v>1</v>
      </c>
      <c r="N49" s="167">
        <f>IF(C49="","",COUNTIFS(Başvuru!$C:$C,C49,Başvuru!$L:$L,"RET",Başvuru!$A:$A,"&lt;&gt;"&amp;"",Başvuru!$F:$F,"&lt;&gt;"&amp;""))</f>
        <v>0</v>
      </c>
      <c r="O49" s="168">
        <f>IF(C49="","",COUNTIFS(Başvuru!$C:$C,C49,Başvuru!$L:$L,"KAPSAM DIŞI",Başvuru!$A:$A,"&lt;&gt;"&amp;"",Başvuru!$F:$F,"&lt;&gt;"&amp;""))</f>
        <v>0</v>
      </c>
      <c r="P49" s="169">
        <f>IF(C49="","",COUNTIFS(Başvuru!$C:$C,C49,Başvuru!$L:$L,"GERİ ÇEKİLDİ",Başvuru!$A:$A,"&lt;&gt;"&amp;"",Başvuru!$F:$F,"&lt;&gt;"&amp;""))</f>
        <v>0</v>
      </c>
      <c r="Q49" s="170" t="str">
        <f t="array" ref="Q49">IFERROR(INDEX(Başvuru!$C$2:$C$3000, MATCH(0, COUNTIF($Q$5:Q48, Başvuru!$C$2:$C$3000) + IF(Başvuru!$C$2:$C$3000="",1,0), 0)), "")</f>
        <v>Prof. Dr. Mehmet Akif TOPÇUOĞLU</v>
      </c>
      <c r="R49" s="171">
        <f>IF(Q49="","",COUNTIFS(Başvuru!$C:$C,Q49,Başvuru!$A:$A,"&lt;&gt;"&amp;"",Başvuru!$F:$F,"&lt;&gt;"&amp;""))</f>
        <v>1</v>
      </c>
      <c r="S49" s="171">
        <f>IF(R49="","",RANK(R49,$R$6:$R$505,0)+COUNTIF($R$6:R49,R49)-1)</f>
        <v>166</v>
      </c>
    </row>
    <row r="50" spans="2:19" ht="23.25" customHeight="1" x14ac:dyDescent="0.25">
      <c r="B50" s="159">
        <v>45</v>
      </c>
      <c r="C50" s="160" t="str">
        <f>IFERROR(INDEX($Q$6:$Q$505,MATCH(45,$S$6:$S$505,0)),"")</f>
        <v>Dr. Öğr. Üyesi Ece ÖZOĞUL</v>
      </c>
      <c r="D50" s="161">
        <f>IF(C50="","",COUNTIFS(Başvuru!$C:$C,C50,Başvuru!$A:$A,"&lt;&gt;"&amp;"",Başvuru!$F:$F,"&lt;&gt;"&amp;""))</f>
        <v>4</v>
      </c>
      <c r="E50" s="159" t="str">
        <f>IF(C50="","-",IF(D50&gt;0,TEXT(D50/(COUNTIFS(Başvuru!$A:$A,"&lt;&gt;",Başvuru!$F:$F,"&lt;&gt;")-1)*100,"0.0")&amp;"%","-"))</f>
        <v>01%</v>
      </c>
      <c r="F50" s="162">
        <f>IF(C50="","",COUNTIFS(Başvuru!$C:$C,C50,Başvuru!$G:$G,"Bireysel Araştırma",Başvuru!$A:$A,"&lt;&gt;"&amp;"",Başvuru!$F:$F,"&lt;&gt;"&amp;""))</f>
        <v>4</v>
      </c>
      <c r="G50" s="162">
        <f>IF(C50="","",COUNTIFS(Başvuru!$C:$C,C50,Başvuru!$G:$G,"Uzmanlık Tezi",Başvuru!$A:$A,"&lt;&gt;"&amp;"",Başvuru!$F:$F,"&lt;&gt;"&amp;""))</f>
        <v>0</v>
      </c>
      <c r="H50" s="162">
        <f>IF(C50="","",COUNTIFS(Başvuru!$C:$C,C50,Başvuru!$G:$G,"Doktora Tezi",Başvuru!$A:$A,"&lt;&gt;"&amp;"",Başvuru!$F:$F,"&lt;&gt;"&amp;""))</f>
        <v>0</v>
      </c>
      <c r="I50" s="162">
        <f>IF(C50="","",COUNTIFS(Başvuru!$C:$C,C50,Başvuru!$G:$G,"Yüksek Lisans Tezi",Başvuru!$A:$A,"&lt;&gt;"&amp;"",Başvuru!$F:$F,"&lt;&gt;"&amp;""))</f>
        <v>0</v>
      </c>
      <c r="J50" s="163">
        <f>IF(C50="","",COUNTIFS(Başvuru!$C:$C,C50,Başvuru!$L:$L,"ONAY",Başvuru!$A:$A,"&lt;&gt;"&amp;"",Başvuru!$F:$F,"&lt;&gt;"&amp;""))</f>
        <v>3</v>
      </c>
      <c r="K50" s="164">
        <f>IF(C50="","",COUNTIFS(Başvuru!$C:$C,C50,Başvuru!$L:$L,"DÜZELTME",Başvuru!$A:$A,"&lt;&gt;"&amp;"",Başvuru!$F:$F,"&lt;&gt;"&amp;""))</f>
        <v>1</v>
      </c>
      <c r="L50" s="165">
        <f>IF(C50="","",COUNTIFS(Başvuru!$C:$C,C50,Başvuru!$L:$L,"KAEK",Başvuru!$A:$A,"&lt;&gt;"&amp;"",Başvuru!$F:$F,"&lt;&gt;"&amp;""))</f>
        <v>0</v>
      </c>
      <c r="M50" s="166">
        <f>IF(C50="","",COUNTIFS(Başvuru!$C:$C,C50,Başvuru!$L:$L,"GÖRÜŞ",Başvuru!$A:$A,"&lt;&gt;"&amp;"",Başvuru!$F:$F,"&lt;&gt;"&amp;""))</f>
        <v>0</v>
      </c>
      <c r="N50" s="167">
        <f>IF(C50="","",COUNTIFS(Başvuru!$C:$C,C50,Başvuru!$L:$L,"RET",Başvuru!$A:$A,"&lt;&gt;"&amp;"",Başvuru!$F:$F,"&lt;&gt;"&amp;""))</f>
        <v>0</v>
      </c>
      <c r="O50" s="168">
        <f>IF(C50="","",COUNTIFS(Başvuru!$C:$C,C50,Başvuru!$L:$L,"KAPSAM DIŞI",Başvuru!$A:$A,"&lt;&gt;"&amp;"",Başvuru!$F:$F,"&lt;&gt;"&amp;""))</f>
        <v>0</v>
      </c>
      <c r="P50" s="169">
        <f>IF(C50="","",COUNTIFS(Başvuru!$C:$C,C50,Başvuru!$L:$L,"GERİ ÇEKİLDİ",Başvuru!$A:$A,"&lt;&gt;"&amp;"",Başvuru!$F:$F,"&lt;&gt;"&amp;""))</f>
        <v>0</v>
      </c>
      <c r="Q50" s="170" t="str">
        <f t="array" ref="Q50">IFERROR(INDEX(Başvuru!$C$2:$C$3000, MATCH(0, COUNTIF($Q$5:Q49, Başvuru!$C$2:$C$3000) + IF(Başvuru!$C$2:$C$3000="",1,0), 0)), "")</f>
        <v>Doç. Dr. Başak YALICI ARMAĞAN</v>
      </c>
      <c r="R50" s="171">
        <f>IF(Q50="","",COUNTIFS(Başvuru!$C:$C,Q50,Başvuru!$A:$A,"&lt;&gt;"&amp;"",Başvuru!$F:$F,"&lt;&gt;"&amp;""))</f>
        <v>3</v>
      </c>
      <c r="S50" s="171">
        <f>IF(R50="","",RANK(R50,$R$6:$R$505,0)+COUNTIF($R$6:R50,R50)-1)</f>
        <v>55</v>
      </c>
    </row>
    <row r="51" spans="2:19" ht="23.25" customHeight="1" x14ac:dyDescent="0.25">
      <c r="B51" s="159">
        <v>46</v>
      </c>
      <c r="C51" s="160" t="str">
        <f>IFERROR(INDEX($Q$6:$Q$505,MATCH(46,$S$6:$S$505,0)),"")</f>
        <v>Prof. Dr. Ümit Yavuz MALKAN</v>
      </c>
      <c r="D51" s="161">
        <f>IF(C51="","",COUNTIFS(Başvuru!$C:$C,C51,Başvuru!$A:$A,"&lt;&gt;"&amp;"",Başvuru!$F:$F,"&lt;&gt;"&amp;""))</f>
        <v>4</v>
      </c>
      <c r="E51" s="159" t="str">
        <f>IF(C51="","-",IF(D51&gt;0,TEXT(D51/(COUNTIFS(Başvuru!$A:$A,"&lt;&gt;",Başvuru!$F:$F,"&lt;&gt;")-1)*100,"0.0")&amp;"%","-"))</f>
        <v>01%</v>
      </c>
      <c r="F51" s="162">
        <f>IF(C51="","",COUNTIFS(Başvuru!$C:$C,C51,Başvuru!$G:$G,"Bireysel Araştırma",Başvuru!$A:$A,"&lt;&gt;"&amp;"",Başvuru!$F:$F,"&lt;&gt;"&amp;""))</f>
        <v>4</v>
      </c>
      <c r="G51" s="162">
        <f>IF(C51="","",COUNTIFS(Başvuru!$C:$C,C51,Başvuru!$G:$G,"Uzmanlık Tezi",Başvuru!$A:$A,"&lt;&gt;"&amp;"",Başvuru!$F:$F,"&lt;&gt;"&amp;""))</f>
        <v>0</v>
      </c>
      <c r="H51" s="162">
        <f>IF(C51="","",COUNTIFS(Başvuru!$C:$C,C51,Başvuru!$G:$G,"Doktora Tezi",Başvuru!$A:$A,"&lt;&gt;"&amp;"",Başvuru!$F:$F,"&lt;&gt;"&amp;""))</f>
        <v>0</v>
      </c>
      <c r="I51" s="162">
        <f>IF(C51="","",COUNTIFS(Başvuru!$C:$C,C51,Başvuru!$G:$G,"Yüksek Lisans Tezi",Başvuru!$A:$A,"&lt;&gt;"&amp;"",Başvuru!$F:$F,"&lt;&gt;"&amp;""))</f>
        <v>0</v>
      </c>
      <c r="J51" s="163">
        <f>IF(C51="","",COUNTIFS(Başvuru!$C:$C,C51,Başvuru!$L:$L,"ONAY",Başvuru!$A:$A,"&lt;&gt;"&amp;"",Başvuru!$F:$F,"&lt;&gt;"&amp;""))</f>
        <v>3</v>
      </c>
      <c r="K51" s="164">
        <f>IF(C51="","",COUNTIFS(Başvuru!$C:$C,C51,Başvuru!$L:$L,"DÜZELTME",Başvuru!$A:$A,"&lt;&gt;"&amp;"",Başvuru!$F:$F,"&lt;&gt;"&amp;""))</f>
        <v>1</v>
      </c>
      <c r="L51" s="165">
        <f>IF(C51="","",COUNTIFS(Başvuru!$C:$C,C51,Başvuru!$L:$L,"KAEK",Başvuru!$A:$A,"&lt;&gt;"&amp;"",Başvuru!$F:$F,"&lt;&gt;"&amp;""))</f>
        <v>0</v>
      </c>
      <c r="M51" s="166">
        <f>IF(C51="","",COUNTIFS(Başvuru!$C:$C,C51,Başvuru!$L:$L,"GÖRÜŞ",Başvuru!$A:$A,"&lt;&gt;"&amp;"",Başvuru!$F:$F,"&lt;&gt;"&amp;""))</f>
        <v>0</v>
      </c>
      <c r="N51" s="167">
        <f>IF(C51="","",COUNTIFS(Başvuru!$C:$C,C51,Başvuru!$L:$L,"RET",Başvuru!$A:$A,"&lt;&gt;"&amp;"",Başvuru!$F:$F,"&lt;&gt;"&amp;""))</f>
        <v>0</v>
      </c>
      <c r="O51" s="168">
        <f>IF(C51="","",COUNTIFS(Başvuru!$C:$C,C51,Başvuru!$L:$L,"KAPSAM DIŞI",Başvuru!$A:$A,"&lt;&gt;"&amp;"",Başvuru!$F:$F,"&lt;&gt;"&amp;""))</f>
        <v>0</v>
      </c>
      <c r="P51" s="169">
        <f>IF(C51="","",COUNTIFS(Başvuru!$C:$C,C51,Başvuru!$L:$L,"GERİ ÇEKİLDİ",Başvuru!$A:$A,"&lt;&gt;"&amp;"",Başvuru!$F:$F,"&lt;&gt;"&amp;""))</f>
        <v>0</v>
      </c>
      <c r="Q51" s="170" t="str">
        <f t="array" ref="Q51">IFERROR(INDEX(Başvuru!$C$2:$C$3000, MATCH(0, COUNTIF($Q$5:Q50, Başvuru!$C$2:$C$3000) + IF(Başvuru!$C$2:$C$3000="",1,0), 0)), "")</f>
        <v>Doç. Dr. Neslihan AKDOĞAN</v>
      </c>
      <c r="R51" s="171">
        <f>IF(Q51="","",COUNTIFS(Başvuru!$C:$C,Q51,Başvuru!$A:$A,"&lt;&gt;"&amp;"",Başvuru!$F:$F,"&lt;&gt;"&amp;""))</f>
        <v>1</v>
      </c>
      <c r="S51" s="171">
        <f>IF(R51="","",RANK(R51,$R$6:$R$505,0)+COUNTIF($R$6:R51,R51)-1)</f>
        <v>167</v>
      </c>
    </row>
    <row r="52" spans="2:19" ht="23.25" customHeight="1" x14ac:dyDescent="0.25">
      <c r="B52" s="159">
        <v>47</v>
      </c>
      <c r="C52" s="160" t="str">
        <f>IFERROR(INDEX($Q$6:$Q$505,MATCH(47,$S$6:$S$505,0)),"")</f>
        <v>Doç. Dr. Ahmet KIVRAK</v>
      </c>
      <c r="D52" s="161">
        <f>IF(C52="","",COUNTIFS(Başvuru!$C:$C,C52,Başvuru!$A:$A,"&lt;&gt;"&amp;"",Başvuru!$F:$F,"&lt;&gt;"&amp;""))</f>
        <v>4</v>
      </c>
      <c r="E52" s="159" t="str">
        <f>IF(C52="","-",IF(D52&gt;0,TEXT(D52/(COUNTIFS(Başvuru!$A:$A,"&lt;&gt;",Başvuru!$F:$F,"&lt;&gt;")-1)*100,"0.0")&amp;"%","-"))</f>
        <v>01%</v>
      </c>
      <c r="F52" s="162">
        <f>IF(C52="","",COUNTIFS(Başvuru!$C:$C,C52,Başvuru!$G:$G,"Bireysel Araştırma",Başvuru!$A:$A,"&lt;&gt;"&amp;"",Başvuru!$F:$F,"&lt;&gt;"&amp;""))</f>
        <v>4</v>
      </c>
      <c r="G52" s="162">
        <f>IF(C52="","",COUNTIFS(Başvuru!$C:$C,C52,Başvuru!$G:$G,"Uzmanlık Tezi",Başvuru!$A:$A,"&lt;&gt;"&amp;"",Başvuru!$F:$F,"&lt;&gt;"&amp;""))</f>
        <v>0</v>
      </c>
      <c r="H52" s="162">
        <f>IF(C52="","",COUNTIFS(Başvuru!$C:$C,C52,Başvuru!$G:$G,"Doktora Tezi",Başvuru!$A:$A,"&lt;&gt;"&amp;"",Başvuru!$F:$F,"&lt;&gt;"&amp;""))</f>
        <v>0</v>
      </c>
      <c r="I52" s="162">
        <f>IF(C52="","",COUNTIFS(Başvuru!$C:$C,C52,Başvuru!$G:$G,"Yüksek Lisans Tezi",Başvuru!$A:$A,"&lt;&gt;"&amp;"",Başvuru!$F:$F,"&lt;&gt;"&amp;""))</f>
        <v>0</v>
      </c>
      <c r="J52" s="163">
        <f>IF(C52="","",COUNTIFS(Başvuru!$C:$C,C52,Başvuru!$L:$L,"ONAY",Başvuru!$A:$A,"&lt;&gt;"&amp;"",Başvuru!$F:$F,"&lt;&gt;"&amp;""))</f>
        <v>3</v>
      </c>
      <c r="K52" s="164">
        <f>IF(C52="","",COUNTIFS(Başvuru!$C:$C,C52,Başvuru!$L:$L,"DÜZELTME",Başvuru!$A:$A,"&lt;&gt;"&amp;"",Başvuru!$F:$F,"&lt;&gt;"&amp;""))</f>
        <v>1</v>
      </c>
      <c r="L52" s="165">
        <f>IF(C52="","",COUNTIFS(Başvuru!$C:$C,C52,Başvuru!$L:$L,"KAEK",Başvuru!$A:$A,"&lt;&gt;"&amp;"",Başvuru!$F:$F,"&lt;&gt;"&amp;""))</f>
        <v>0</v>
      </c>
      <c r="M52" s="166">
        <f>IF(C52="","",COUNTIFS(Başvuru!$C:$C,C52,Başvuru!$L:$L,"GÖRÜŞ",Başvuru!$A:$A,"&lt;&gt;"&amp;"",Başvuru!$F:$F,"&lt;&gt;"&amp;""))</f>
        <v>0</v>
      </c>
      <c r="N52" s="167">
        <f>IF(C52="","",COUNTIFS(Başvuru!$C:$C,C52,Başvuru!$L:$L,"RET",Başvuru!$A:$A,"&lt;&gt;"&amp;"",Başvuru!$F:$F,"&lt;&gt;"&amp;""))</f>
        <v>0</v>
      </c>
      <c r="O52" s="168">
        <f>IF(C52="","",COUNTIFS(Başvuru!$C:$C,C52,Başvuru!$L:$L,"KAPSAM DIŞI",Başvuru!$A:$A,"&lt;&gt;"&amp;"",Başvuru!$F:$F,"&lt;&gt;"&amp;""))</f>
        <v>0</v>
      </c>
      <c r="P52" s="169">
        <f>IF(C52="","",COUNTIFS(Başvuru!$C:$C,C52,Başvuru!$L:$L,"GERİ ÇEKİLDİ",Başvuru!$A:$A,"&lt;&gt;"&amp;"",Başvuru!$F:$F,"&lt;&gt;"&amp;""))</f>
        <v>0</v>
      </c>
      <c r="Q52" s="170" t="str">
        <f t="array" ref="Q52">IFERROR(INDEX(Başvuru!$C$2:$C$3000, MATCH(0, COUNTIF($Q$5:Q51, Başvuru!$C$2:$C$3000) + IF(Başvuru!$C$2:$C$3000="",1,0), 0)), "")</f>
        <v>Prof. Dr. Deniz ÇAĞDAŞ AYVAZ</v>
      </c>
      <c r="R52" s="171">
        <f>IF(Q52="","",COUNTIFS(Başvuru!$C:$C,Q52,Başvuru!$A:$A,"&lt;&gt;"&amp;"",Başvuru!$F:$F,"&lt;&gt;"&amp;""))</f>
        <v>13</v>
      </c>
      <c r="S52" s="171">
        <f>IF(R52="","",RANK(R52,$R$6:$R$505,0)+COUNTIF($R$6:R52,R52)-1)</f>
        <v>2</v>
      </c>
    </row>
    <row r="53" spans="2:19" ht="23.25" customHeight="1" x14ac:dyDescent="0.25">
      <c r="B53" s="159">
        <v>48</v>
      </c>
      <c r="C53" s="160" t="str">
        <f>IFERROR(INDEX($Q$6:$Q$505,MATCH(48,$S$6:$S$505,0)),"")</f>
        <v>Dr. Öğr. Üyesi Yiğitcan KARANFİL</v>
      </c>
      <c r="D53" s="161">
        <f>IF(C53="","",COUNTIFS(Başvuru!$C:$C,C53,Başvuru!$A:$A,"&lt;&gt;"&amp;"",Başvuru!$F:$F,"&lt;&gt;"&amp;""))</f>
        <v>3</v>
      </c>
      <c r="E53" s="159" t="str">
        <f>IF(C53="","-",IF(D53&gt;0,TEXT(D53/(COUNTIFS(Başvuru!$A:$A,"&lt;&gt;",Başvuru!$F:$F,"&lt;&gt;")-1)*100,"0.0")&amp;"%","-"))</f>
        <v>00%</v>
      </c>
      <c r="F53" s="162">
        <f>IF(C53="","",COUNTIFS(Başvuru!$C:$C,C53,Başvuru!$G:$G,"Bireysel Araştırma",Başvuru!$A:$A,"&lt;&gt;"&amp;"",Başvuru!$F:$F,"&lt;&gt;"&amp;""))</f>
        <v>3</v>
      </c>
      <c r="G53" s="162">
        <f>IF(C53="","",COUNTIFS(Başvuru!$C:$C,C53,Başvuru!$G:$G,"Uzmanlık Tezi",Başvuru!$A:$A,"&lt;&gt;"&amp;"",Başvuru!$F:$F,"&lt;&gt;"&amp;""))</f>
        <v>0</v>
      </c>
      <c r="H53" s="162">
        <f>IF(C53="","",COUNTIFS(Başvuru!$C:$C,C53,Başvuru!$G:$G,"Doktora Tezi",Başvuru!$A:$A,"&lt;&gt;"&amp;"",Başvuru!$F:$F,"&lt;&gt;"&amp;""))</f>
        <v>0</v>
      </c>
      <c r="I53" s="162">
        <f>IF(C53="","",COUNTIFS(Başvuru!$C:$C,C53,Başvuru!$G:$G,"Yüksek Lisans Tezi",Başvuru!$A:$A,"&lt;&gt;"&amp;"",Başvuru!$F:$F,"&lt;&gt;"&amp;""))</f>
        <v>0</v>
      </c>
      <c r="J53" s="163">
        <f>IF(C53="","",COUNTIFS(Başvuru!$C:$C,C53,Başvuru!$L:$L,"ONAY",Başvuru!$A:$A,"&lt;&gt;"&amp;"",Başvuru!$F:$F,"&lt;&gt;"&amp;""))</f>
        <v>3</v>
      </c>
      <c r="K53" s="164">
        <f>IF(C53="","",COUNTIFS(Başvuru!$C:$C,C53,Başvuru!$L:$L,"DÜZELTME",Başvuru!$A:$A,"&lt;&gt;"&amp;"",Başvuru!$F:$F,"&lt;&gt;"&amp;""))</f>
        <v>0</v>
      </c>
      <c r="L53" s="165">
        <f>IF(C53="","",COUNTIFS(Başvuru!$C:$C,C53,Başvuru!$L:$L,"KAEK",Başvuru!$A:$A,"&lt;&gt;"&amp;"",Başvuru!$F:$F,"&lt;&gt;"&amp;""))</f>
        <v>0</v>
      </c>
      <c r="M53" s="166">
        <f>IF(C53="","",COUNTIFS(Başvuru!$C:$C,C53,Başvuru!$L:$L,"GÖRÜŞ",Başvuru!$A:$A,"&lt;&gt;"&amp;"",Başvuru!$F:$F,"&lt;&gt;"&amp;""))</f>
        <v>0</v>
      </c>
      <c r="N53" s="167">
        <f>IF(C53="","",COUNTIFS(Başvuru!$C:$C,C53,Başvuru!$L:$L,"RET",Başvuru!$A:$A,"&lt;&gt;"&amp;"",Başvuru!$F:$F,"&lt;&gt;"&amp;""))</f>
        <v>0</v>
      </c>
      <c r="O53" s="168">
        <f>IF(C53="","",COUNTIFS(Başvuru!$C:$C,C53,Başvuru!$L:$L,"KAPSAM DIŞI",Başvuru!$A:$A,"&lt;&gt;"&amp;"",Başvuru!$F:$F,"&lt;&gt;"&amp;""))</f>
        <v>0</v>
      </c>
      <c r="P53" s="169">
        <f>IF(C53="","",COUNTIFS(Başvuru!$C:$C,C53,Başvuru!$L:$L,"GERİ ÇEKİLDİ",Başvuru!$A:$A,"&lt;&gt;"&amp;"",Başvuru!$F:$F,"&lt;&gt;"&amp;""))</f>
        <v>0</v>
      </c>
      <c r="Q53" s="170" t="str">
        <f t="array" ref="Q53">IFERROR(INDEX(Başvuru!$C$2:$C$3000, MATCH(0, COUNTIF($Q$5:Q52, Başvuru!$C$2:$C$3000) + IF(Başvuru!$C$2:$C$3000="",1,0), 0)), "")</f>
        <v>Prof. Dr. Tutku SOYER</v>
      </c>
      <c r="R53" s="171">
        <f>IF(Q53="","",COUNTIFS(Başvuru!$C:$C,Q53,Başvuru!$A:$A,"&lt;&gt;"&amp;"",Başvuru!$F:$F,"&lt;&gt;"&amp;""))</f>
        <v>6</v>
      </c>
      <c r="S53" s="171">
        <f>IF(R53="","",RANK(R53,$R$6:$R$505,0)+COUNTIF($R$6:R53,R53)-1)</f>
        <v>16</v>
      </c>
    </row>
    <row r="54" spans="2:19" ht="23.25" customHeight="1" x14ac:dyDescent="0.25">
      <c r="B54" s="159">
        <v>49</v>
      </c>
      <c r="C54" s="160" t="str">
        <f>IFERROR(INDEX($Q$6:$Q$505,MATCH(49,$S$6:$S$505,0)),"")</f>
        <v>Prof. Dr. Oğuz IŞIK</v>
      </c>
      <c r="D54" s="161">
        <f>IF(C54="","",COUNTIFS(Başvuru!$C:$C,C54,Başvuru!$A:$A,"&lt;&gt;"&amp;"",Başvuru!$F:$F,"&lt;&gt;"&amp;""))</f>
        <v>3</v>
      </c>
      <c r="E54" s="159" t="str">
        <f>IF(C54="","-",IF(D54&gt;0,TEXT(D54/(COUNTIFS(Başvuru!$A:$A,"&lt;&gt;",Başvuru!$F:$F,"&lt;&gt;")-1)*100,"0.0")&amp;"%","-"))</f>
        <v>00%</v>
      </c>
      <c r="F54" s="162">
        <f>IF(C54="","",COUNTIFS(Başvuru!$C:$C,C54,Başvuru!$G:$G,"Bireysel Araştırma",Başvuru!$A:$A,"&lt;&gt;"&amp;"",Başvuru!$F:$F,"&lt;&gt;"&amp;""))</f>
        <v>0</v>
      </c>
      <c r="G54" s="162">
        <f>IF(C54="","",COUNTIFS(Başvuru!$C:$C,C54,Başvuru!$G:$G,"Uzmanlık Tezi",Başvuru!$A:$A,"&lt;&gt;"&amp;"",Başvuru!$F:$F,"&lt;&gt;"&amp;""))</f>
        <v>0</v>
      </c>
      <c r="H54" s="162">
        <f>IF(C54="","",COUNTIFS(Başvuru!$C:$C,C54,Başvuru!$G:$G,"Doktora Tezi",Başvuru!$A:$A,"&lt;&gt;"&amp;"",Başvuru!$F:$F,"&lt;&gt;"&amp;""))</f>
        <v>3</v>
      </c>
      <c r="I54" s="162">
        <f>IF(C54="","",COUNTIFS(Başvuru!$C:$C,C54,Başvuru!$G:$G,"Yüksek Lisans Tezi",Başvuru!$A:$A,"&lt;&gt;"&amp;"",Başvuru!$F:$F,"&lt;&gt;"&amp;""))</f>
        <v>0</v>
      </c>
      <c r="J54" s="163">
        <f>IF(C54="","",COUNTIFS(Başvuru!$C:$C,C54,Başvuru!$L:$L,"ONAY",Başvuru!$A:$A,"&lt;&gt;"&amp;"",Başvuru!$F:$F,"&lt;&gt;"&amp;""))</f>
        <v>1</v>
      </c>
      <c r="K54" s="164">
        <f>IF(C54="","",COUNTIFS(Başvuru!$C:$C,C54,Başvuru!$L:$L,"DÜZELTME",Başvuru!$A:$A,"&lt;&gt;"&amp;"",Başvuru!$F:$F,"&lt;&gt;"&amp;""))</f>
        <v>2</v>
      </c>
      <c r="L54" s="165">
        <f>IF(C54="","",COUNTIFS(Başvuru!$C:$C,C54,Başvuru!$L:$L,"KAEK",Başvuru!$A:$A,"&lt;&gt;"&amp;"",Başvuru!$F:$F,"&lt;&gt;"&amp;""))</f>
        <v>0</v>
      </c>
      <c r="M54" s="166">
        <f>IF(C54="","",COUNTIFS(Başvuru!$C:$C,C54,Başvuru!$L:$L,"GÖRÜŞ",Başvuru!$A:$A,"&lt;&gt;"&amp;"",Başvuru!$F:$F,"&lt;&gt;"&amp;""))</f>
        <v>0</v>
      </c>
      <c r="N54" s="167">
        <f>IF(C54="","",COUNTIFS(Başvuru!$C:$C,C54,Başvuru!$L:$L,"RET",Başvuru!$A:$A,"&lt;&gt;"&amp;"",Başvuru!$F:$F,"&lt;&gt;"&amp;""))</f>
        <v>0</v>
      </c>
      <c r="O54" s="168">
        <f>IF(C54="","",COUNTIFS(Başvuru!$C:$C,C54,Başvuru!$L:$L,"KAPSAM DIŞI",Başvuru!$A:$A,"&lt;&gt;"&amp;"",Başvuru!$F:$F,"&lt;&gt;"&amp;""))</f>
        <v>0</v>
      </c>
      <c r="P54" s="169">
        <f>IF(C54="","",COUNTIFS(Başvuru!$C:$C,C54,Başvuru!$L:$L,"GERİ ÇEKİLDİ",Başvuru!$A:$A,"&lt;&gt;"&amp;"",Başvuru!$F:$F,"&lt;&gt;"&amp;""))</f>
        <v>0</v>
      </c>
      <c r="Q54" s="170" t="str">
        <f t="array" ref="Q54">IFERROR(INDEX(Başvuru!$C$2:$C$3000, MATCH(0, COUNTIF($Q$5:Q53, Başvuru!$C$2:$C$3000) + IF(Başvuru!$C$2:$C$3000="",1,0), 0)), "")</f>
        <v>Prof. Dr. Mehmet AYVAZ</v>
      </c>
      <c r="R54" s="171">
        <f>IF(Q54="","",COUNTIFS(Başvuru!$C:$C,Q54,Başvuru!$A:$A,"&lt;&gt;"&amp;"",Başvuru!$F:$F,"&lt;&gt;"&amp;""))</f>
        <v>8</v>
      </c>
      <c r="S54" s="171">
        <f>IF(R54="","",RANK(R54,$R$6:$R$505,0)+COUNTIF($R$6:R54,R54)-1)</f>
        <v>9</v>
      </c>
    </row>
    <row r="55" spans="2:19" ht="23.25" customHeight="1" x14ac:dyDescent="0.25">
      <c r="B55" s="159">
        <v>50</v>
      </c>
      <c r="C55" s="160" t="str">
        <f>IFERROR(INDEX($Q$6:$Q$505,MATCH(50,$S$6:$S$505,0)),"")</f>
        <v>Prof. Dr. Seza ÖZEN</v>
      </c>
      <c r="D55" s="161">
        <f>IF(C55="","",COUNTIFS(Başvuru!$C:$C,C55,Başvuru!$A:$A,"&lt;&gt;"&amp;"",Başvuru!$F:$F,"&lt;&gt;"&amp;""))</f>
        <v>3</v>
      </c>
      <c r="E55" s="159" t="str">
        <f>IF(C55="","-",IF(D55&gt;0,TEXT(D55/(COUNTIFS(Başvuru!$A:$A,"&lt;&gt;",Başvuru!$F:$F,"&lt;&gt;")-1)*100,"0.0")&amp;"%","-"))</f>
        <v>00%</v>
      </c>
      <c r="F55" s="162">
        <f>IF(C55="","",COUNTIFS(Başvuru!$C:$C,C55,Başvuru!$G:$G,"Bireysel Araştırma",Başvuru!$A:$A,"&lt;&gt;"&amp;"",Başvuru!$F:$F,"&lt;&gt;"&amp;""))</f>
        <v>3</v>
      </c>
      <c r="G55" s="162">
        <f>IF(C55="","",COUNTIFS(Başvuru!$C:$C,C55,Başvuru!$G:$G,"Uzmanlık Tezi",Başvuru!$A:$A,"&lt;&gt;"&amp;"",Başvuru!$F:$F,"&lt;&gt;"&amp;""))</f>
        <v>0</v>
      </c>
      <c r="H55" s="162">
        <f>IF(C55="","",COUNTIFS(Başvuru!$C:$C,C55,Başvuru!$G:$G,"Doktora Tezi",Başvuru!$A:$A,"&lt;&gt;"&amp;"",Başvuru!$F:$F,"&lt;&gt;"&amp;""))</f>
        <v>0</v>
      </c>
      <c r="I55" s="162">
        <f>IF(C55="","",COUNTIFS(Başvuru!$C:$C,C55,Başvuru!$G:$G,"Yüksek Lisans Tezi",Başvuru!$A:$A,"&lt;&gt;"&amp;"",Başvuru!$F:$F,"&lt;&gt;"&amp;""))</f>
        <v>0</v>
      </c>
      <c r="J55" s="163">
        <f>IF(C55="","",COUNTIFS(Başvuru!$C:$C,C55,Başvuru!$L:$L,"ONAY",Başvuru!$A:$A,"&lt;&gt;"&amp;"",Başvuru!$F:$F,"&lt;&gt;"&amp;""))</f>
        <v>0</v>
      </c>
      <c r="K55" s="164">
        <f>IF(C55="","",COUNTIFS(Başvuru!$C:$C,C55,Başvuru!$L:$L,"DÜZELTME",Başvuru!$A:$A,"&lt;&gt;"&amp;"",Başvuru!$F:$F,"&lt;&gt;"&amp;""))</f>
        <v>2</v>
      </c>
      <c r="L55" s="165">
        <f>IF(C55="","",COUNTIFS(Başvuru!$C:$C,C55,Başvuru!$L:$L,"KAEK",Başvuru!$A:$A,"&lt;&gt;"&amp;"",Başvuru!$F:$F,"&lt;&gt;"&amp;""))</f>
        <v>0</v>
      </c>
      <c r="M55" s="166">
        <f>IF(C55="","",COUNTIFS(Başvuru!$C:$C,C55,Başvuru!$L:$L,"GÖRÜŞ",Başvuru!$A:$A,"&lt;&gt;"&amp;"",Başvuru!$F:$F,"&lt;&gt;"&amp;""))</f>
        <v>1</v>
      </c>
      <c r="N55" s="167">
        <f>IF(C55="","",COUNTIFS(Başvuru!$C:$C,C55,Başvuru!$L:$L,"RET",Başvuru!$A:$A,"&lt;&gt;"&amp;"",Başvuru!$F:$F,"&lt;&gt;"&amp;""))</f>
        <v>0</v>
      </c>
      <c r="O55" s="168">
        <f>IF(C55="","",COUNTIFS(Başvuru!$C:$C,C55,Başvuru!$L:$L,"KAPSAM DIŞI",Başvuru!$A:$A,"&lt;&gt;"&amp;"",Başvuru!$F:$F,"&lt;&gt;"&amp;""))</f>
        <v>0</v>
      </c>
      <c r="P55" s="169">
        <f>IF(C55="","",COUNTIFS(Başvuru!$C:$C,C55,Başvuru!$L:$L,"GERİ ÇEKİLDİ",Başvuru!$A:$A,"&lt;&gt;"&amp;"",Başvuru!$F:$F,"&lt;&gt;"&amp;""))</f>
        <v>0</v>
      </c>
      <c r="Q55" s="170" t="str">
        <f t="array" ref="Q55">IFERROR(INDEX(Başvuru!$C$2:$C$3000, MATCH(0, COUNTIF($Q$5:Q54, Başvuru!$C$2:$C$3000) + IF(Başvuru!$C$2:$C$3000="",1,0), 0)), "")</f>
        <v>Prof. Dr. Salih Kutay DEMİRKAN</v>
      </c>
      <c r="R55" s="171">
        <f>IF(Q55="","",COUNTIFS(Başvuru!$C:$C,Q55,Başvuru!$A:$A,"&lt;&gt;"&amp;"",Başvuru!$F:$F,"&lt;&gt;"&amp;""))</f>
        <v>9</v>
      </c>
      <c r="S55" s="171">
        <f>IF(R55="","",RANK(R55,$R$6:$R$505,0)+COUNTIF($R$6:R55,R55)-1)</f>
        <v>6</v>
      </c>
    </row>
    <row r="56" spans="2:19" ht="23.25" customHeight="1" x14ac:dyDescent="0.25">
      <c r="B56" s="159">
        <v>51</v>
      </c>
      <c r="C56" s="160" t="str">
        <f>IFERROR(INDEX($Q$6:$Q$505,MATCH(51,$S$6:$S$505,0)),"")</f>
        <v>Prof. Dr. Kudret AYTEMİR</v>
      </c>
      <c r="D56" s="161">
        <f>IF(C56="","",COUNTIFS(Başvuru!$C:$C,C56,Başvuru!$A:$A,"&lt;&gt;"&amp;"",Başvuru!$F:$F,"&lt;&gt;"&amp;""))</f>
        <v>3</v>
      </c>
      <c r="E56" s="159" t="str">
        <f>IF(C56="","-",IF(D56&gt;0,TEXT(D56/(COUNTIFS(Başvuru!$A:$A,"&lt;&gt;",Başvuru!$F:$F,"&lt;&gt;")-1)*100,"0.0")&amp;"%","-"))</f>
        <v>00%</v>
      </c>
      <c r="F56" s="162">
        <f>IF(C56="","",COUNTIFS(Başvuru!$C:$C,C56,Başvuru!$G:$G,"Bireysel Araştırma",Başvuru!$A:$A,"&lt;&gt;"&amp;"",Başvuru!$F:$F,"&lt;&gt;"&amp;""))</f>
        <v>2</v>
      </c>
      <c r="G56" s="162">
        <f>IF(C56="","",COUNTIFS(Başvuru!$C:$C,C56,Başvuru!$G:$G,"Uzmanlık Tezi",Başvuru!$A:$A,"&lt;&gt;"&amp;"",Başvuru!$F:$F,"&lt;&gt;"&amp;""))</f>
        <v>1</v>
      </c>
      <c r="H56" s="162">
        <f>IF(C56="","",COUNTIFS(Başvuru!$C:$C,C56,Başvuru!$G:$G,"Doktora Tezi",Başvuru!$A:$A,"&lt;&gt;"&amp;"",Başvuru!$F:$F,"&lt;&gt;"&amp;""))</f>
        <v>0</v>
      </c>
      <c r="I56" s="162">
        <f>IF(C56="","",COUNTIFS(Başvuru!$C:$C,C56,Başvuru!$G:$G,"Yüksek Lisans Tezi",Başvuru!$A:$A,"&lt;&gt;"&amp;"",Başvuru!$F:$F,"&lt;&gt;"&amp;""))</f>
        <v>0</v>
      </c>
      <c r="J56" s="163">
        <f>IF(C56="","",COUNTIFS(Başvuru!$C:$C,C56,Başvuru!$L:$L,"ONAY",Başvuru!$A:$A,"&lt;&gt;"&amp;"",Başvuru!$F:$F,"&lt;&gt;"&amp;""))</f>
        <v>2</v>
      </c>
      <c r="K56" s="164">
        <f>IF(C56="","",COUNTIFS(Başvuru!$C:$C,C56,Başvuru!$L:$L,"DÜZELTME",Başvuru!$A:$A,"&lt;&gt;"&amp;"",Başvuru!$F:$F,"&lt;&gt;"&amp;""))</f>
        <v>0</v>
      </c>
      <c r="L56" s="165">
        <f>IF(C56="","",COUNTIFS(Başvuru!$C:$C,C56,Başvuru!$L:$L,"KAEK",Başvuru!$A:$A,"&lt;&gt;"&amp;"",Başvuru!$F:$F,"&lt;&gt;"&amp;""))</f>
        <v>1</v>
      </c>
      <c r="M56" s="166">
        <f>IF(C56="","",COUNTIFS(Başvuru!$C:$C,C56,Başvuru!$L:$L,"GÖRÜŞ",Başvuru!$A:$A,"&lt;&gt;"&amp;"",Başvuru!$F:$F,"&lt;&gt;"&amp;""))</f>
        <v>0</v>
      </c>
      <c r="N56" s="167">
        <f>IF(C56="","",COUNTIFS(Başvuru!$C:$C,C56,Başvuru!$L:$L,"RET",Başvuru!$A:$A,"&lt;&gt;"&amp;"",Başvuru!$F:$F,"&lt;&gt;"&amp;""))</f>
        <v>0</v>
      </c>
      <c r="O56" s="168">
        <f>IF(C56="","",COUNTIFS(Başvuru!$C:$C,C56,Başvuru!$L:$L,"KAPSAM DIŞI",Başvuru!$A:$A,"&lt;&gt;"&amp;"",Başvuru!$F:$F,"&lt;&gt;"&amp;""))</f>
        <v>0</v>
      </c>
      <c r="P56" s="169">
        <f>IF(C56="","",COUNTIFS(Başvuru!$C:$C,C56,Başvuru!$L:$L,"GERİ ÇEKİLDİ",Başvuru!$A:$A,"&lt;&gt;"&amp;"",Başvuru!$F:$F,"&lt;&gt;"&amp;""))</f>
        <v>0</v>
      </c>
      <c r="Q56" s="170" t="str">
        <f t="array" ref="Q56">IFERROR(INDEX(Başvuru!$C$2:$C$3000, MATCH(0, COUNTIF($Q$5:Q55, Başvuru!$C$2:$C$3000) + IF(Başvuru!$C$2:$C$3000="",1,0), 0)), "")</f>
        <v>Prof. Dr. Hasan Serkan DOĞAN</v>
      </c>
      <c r="R56" s="171">
        <f>IF(Q56="","",COUNTIFS(Başvuru!$C:$C,Q56,Başvuru!$A:$A,"&lt;&gt;"&amp;"",Başvuru!$F:$F,"&lt;&gt;"&amp;""))</f>
        <v>3</v>
      </c>
      <c r="S56" s="171">
        <f>IF(R56="","",RANK(R56,$R$6:$R$505,0)+COUNTIF($R$6:R56,R56)-1)</f>
        <v>56</v>
      </c>
    </row>
    <row r="57" spans="2:19" ht="23.25" customHeight="1" x14ac:dyDescent="0.25">
      <c r="B57" s="159">
        <v>52</v>
      </c>
      <c r="C57" s="160" t="str">
        <f>IFERROR(INDEX($Q$6:$Q$505,MATCH(52,$S$6:$S$505,0)),"")</f>
        <v>Prof. Dr. Ebru DAMADOĞLU</v>
      </c>
      <c r="D57" s="161">
        <f>IF(C57="","",COUNTIFS(Başvuru!$C:$C,C57,Başvuru!$A:$A,"&lt;&gt;"&amp;"",Başvuru!$F:$F,"&lt;&gt;"&amp;""))</f>
        <v>3</v>
      </c>
      <c r="E57" s="159" t="str">
        <f>IF(C57="","-",IF(D57&gt;0,TEXT(D57/(COUNTIFS(Başvuru!$A:$A,"&lt;&gt;",Başvuru!$F:$F,"&lt;&gt;")-1)*100,"0.0")&amp;"%","-"))</f>
        <v>00%</v>
      </c>
      <c r="F57" s="162">
        <f>IF(C57="","",COUNTIFS(Başvuru!$C:$C,C57,Başvuru!$G:$G,"Bireysel Araştırma",Başvuru!$A:$A,"&lt;&gt;"&amp;"",Başvuru!$F:$F,"&lt;&gt;"&amp;""))</f>
        <v>3</v>
      </c>
      <c r="G57" s="162">
        <f>IF(C57="","",COUNTIFS(Başvuru!$C:$C,C57,Başvuru!$G:$G,"Uzmanlık Tezi",Başvuru!$A:$A,"&lt;&gt;"&amp;"",Başvuru!$F:$F,"&lt;&gt;"&amp;""))</f>
        <v>0</v>
      </c>
      <c r="H57" s="162">
        <f>IF(C57="","",COUNTIFS(Başvuru!$C:$C,C57,Başvuru!$G:$G,"Doktora Tezi",Başvuru!$A:$A,"&lt;&gt;"&amp;"",Başvuru!$F:$F,"&lt;&gt;"&amp;""))</f>
        <v>0</v>
      </c>
      <c r="I57" s="162">
        <f>IF(C57="","",COUNTIFS(Başvuru!$C:$C,C57,Başvuru!$G:$G,"Yüksek Lisans Tezi",Başvuru!$A:$A,"&lt;&gt;"&amp;"",Başvuru!$F:$F,"&lt;&gt;"&amp;""))</f>
        <v>0</v>
      </c>
      <c r="J57" s="163">
        <f>IF(C57="","",COUNTIFS(Başvuru!$C:$C,C57,Başvuru!$L:$L,"ONAY",Başvuru!$A:$A,"&lt;&gt;"&amp;"",Başvuru!$F:$F,"&lt;&gt;"&amp;""))</f>
        <v>3</v>
      </c>
      <c r="K57" s="164">
        <f>IF(C57="","",COUNTIFS(Başvuru!$C:$C,C57,Başvuru!$L:$L,"DÜZELTME",Başvuru!$A:$A,"&lt;&gt;"&amp;"",Başvuru!$F:$F,"&lt;&gt;"&amp;""))</f>
        <v>0</v>
      </c>
      <c r="L57" s="165">
        <f>IF(C57="","",COUNTIFS(Başvuru!$C:$C,C57,Başvuru!$L:$L,"KAEK",Başvuru!$A:$A,"&lt;&gt;"&amp;"",Başvuru!$F:$F,"&lt;&gt;"&amp;""))</f>
        <v>0</v>
      </c>
      <c r="M57" s="166">
        <f>IF(C57="","",COUNTIFS(Başvuru!$C:$C,C57,Başvuru!$L:$L,"GÖRÜŞ",Başvuru!$A:$A,"&lt;&gt;"&amp;"",Başvuru!$F:$F,"&lt;&gt;"&amp;""))</f>
        <v>0</v>
      </c>
      <c r="N57" s="167">
        <f>IF(C57="","",COUNTIFS(Başvuru!$C:$C,C57,Başvuru!$L:$L,"RET",Başvuru!$A:$A,"&lt;&gt;"&amp;"",Başvuru!$F:$F,"&lt;&gt;"&amp;""))</f>
        <v>0</v>
      </c>
      <c r="O57" s="168">
        <f>IF(C57="","",COUNTIFS(Başvuru!$C:$C,C57,Başvuru!$L:$L,"KAPSAM DIŞI",Başvuru!$A:$A,"&lt;&gt;"&amp;"",Başvuru!$F:$F,"&lt;&gt;"&amp;""))</f>
        <v>0</v>
      </c>
      <c r="P57" s="169">
        <f>IF(C57="","",COUNTIFS(Başvuru!$C:$C,C57,Başvuru!$L:$L,"GERİ ÇEKİLDİ",Başvuru!$A:$A,"&lt;&gt;"&amp;"",Başvuru!$F:$F,"&lt;&gt;"&amp;""))</f>
        <v>0</v>
      </c>
      <c r="Q57" s="170" t="str">
        <f t="array" ref="Q57">IFERROR(INDEX(Başvuru!$C$2:$C$3000, MATCH(0, COUNTIF($Q$5:Q56, Başvuru!$C$2:$C$3000) + IF(Başvuru!$C$2:$C$3000="",1,0), 0)), "")</f>
        <v>Prof. Dr. Kıvanç AKÇA</v>
      </c>
      <c r="R57" s="171">
        <f>IF(Q57="","",COUNTIFS(Başvuru!$C:$C,Q57,Başvuru!$A:$A,"&lt;&gt;"&amp;"",Başvuru!$F:$F,"&lt;&gt;"&amp;""))</f>
        <v>2</v>
      </c>
      <c r="S57" s="171">
        <f>IF(R57="","",RANK(R57,$R$6:$R$505,0)+COUNTIF($R$6:R57,R57)-1)</f>
        <v>83</v>
      </c>
    </row>
    <row r="58" spans="2:19" ht="23.25" customHeight="1" x14ac:dyDescent="0.25">
      <c r="B58" s="159">
        <v>53</v>
      </c>
      <c r="C58" s="160" t="str">
        <f>IFERROR(INDEX($Q$6:$Q$505,MATCH(53,$S$6:$S$505,0)),"")</f>
        <v>Dr. Öğr. Üyesi Ahmet KIVRAK</v>
      </c>
      <c r="D58" s="161">
        <f>IF(C58="","",COUNTIFS(Başvuru!$C:$C,C58,Başvuru!$A:$A,"&lt;&gt;"&amp;"",Başvuru!$F:$F,"&lt;&gt;"&amp;""))</f>
        <v>3</v>
      </c>
      <c r="E58" s="159" t="str">
        <f>IF(C58="","-",IF(D58&gt;0,TEXT(D58/(COUNTIFS(Başvuru!$A:$A,"&lt;&gt;",Başvuru!$F:$F,"&lt;&gt;")-1)*100,"0.0")&amp;"%","-"))</f>
        <v>00%</v>
      </c>
      <c r="F58" s="162">
        <f>IF(C58="","",COUNTIFS(Başvuru!$C:$C,C58,Başvuru!$G:$G,"Bireysel Araştırma",Başvuru!$A:$A,"&lt;&gt;"&amp;"",Başvuru!$F:$F,"&lt;&gt;"&amp;""))</f>
        <v>2</v>
      </c>
      <c r="G58" s="162">
        <f>IF(C58="","",COUNTIFS(Başvuru!$C:$C,C58,Başvuru!$G:$G,"Uzmanlık Tezi",Başvuru!$A:$A,"&lt;&gt;"&amp;"",Başvuru!$F:$F,"&lt;&gt;"&amp;""))</f>
        <v>1</v>
      </c>
      <c r="H58" s="162">
        <f>IF(C58="","",COUNTIFS(Başvuru!$C:$C,C58,Başvuru!$G:$G,"Doktora Tezi",Başvuru!$A:$A,"&lt;&gt;"&amp;"",Başvuru!$F:$F,"&lt;&gt;"&amp;""))</f>
        <v>0</v>
      </c>
      <c r="I58" s="162">
        <f>IF(C58="","",COUNTIFS(Başvuru!$C:$C,C58,Başvuru!$G:$G,"Yüksek Lisans Tezi",Başvuru!$A:$A,"&lt;&gt;"&amp;"",Başvuru!$F:$F,"&lt;&gt;"&amp;""))</f>
        <v>0</v>
      </c>
      <c r="J58" s="163">
        <f>IF(C58="","",COUNTIFS(Başvuru!$C:$C,C58,Başvuru!$L:$L,"ONAY",Başvuru!$A:$A,"&lt;&gt;"&amp;"",Başvuru!$F:$F,"&lt;&gt;"&amp;""))</f>
        <v>2</v>
      </c>
      <c r="K58" s="164">
        <f>IF(C58="","",COUNTIFS(Başvuru!$C:$C,C58,Başvuru!$L:$L,"DÜZELTME",Başvuru!$A:$A,"&lt;&gt;"&amp;"",Başvuru!$F:$F,"&lt;&gt;"&amp;""))</f>
        <v>1</v>
      </c>
      <c r="L58" s="165">
        <f>IF(C58="","",COUNTIFS(Başvuru!$C:$C,C58,Başvuru!$L:$L,"KAEK",Başvuru!$A:$A,"&lt;&gt;"&amp;"",Başvuru!$F:$F,"&lt;&gt;"&amp;""))</f>
        <v>0</v>
      </c>
      <c r="M58" s="166">
        <f>IF(C58="","",COUNTIFS(Başvuru!$C:$C,C58,Başvuru!$L:$L,"GÖRÜŞ",Başvuru!$A:$A,"&lt;&gt;"&amp;"",Başvuru!$F:$F,"&lt;&gt;"&amp;""))</f>
        <v>0</v>
      </c>
      <c r="N58" s="167">
        <f>IF(C58="","",COUNTIFS(Başvuru!$C:$C,C58,Başvuru!$L:$L,"RET",Başvuru!$A:$A,"&lt;&gt;"&amp;"",Başvuru!$F:$F,"&lt;&gt;"&amp;""))</f>
        <v>0</v>
      </c>
      <c r="O58" s="168">
        <f>IF(C58="","",COUNTIFS(Başvuru!$C:$C,C58,Başvuru!$L:$L,"KAPSAM DIŞI",Başvuru!$A:$A,"&lt;&gt;"&amp;"",Başvuru!$F:$F,"&lt;&gt;"&amp;""))</f>
        <v>0</v>
      </c>
      <c r="P58" s="169">
        <f>IF(C58="","",COUNTIFS(Başvuru!$C:$C,C58,Başvuru!$L:$L,"GERİ ÇEKİLDİ",Başvuru!$A:$A,"&lt;&gt;"&amp;"",Başvuru!$F:$F,"&lt;&gt;"&amp;""))</f>
        <v>0</v>
      </c>
      <c r="Q58" s="170" t="str">
        <f t="array" ref="Q58">IFERROR(INDEX(Başvuru!$C$2:$C$3000, MATCH(0, COUNTIF($Q$5:Q57, Başvuru!$C$2:$C$3000) + IF(Başvuru!$C$2:$C$3000="",1,0), 0)), "")</f>
        <v>Dr. Öğr. Üyesi Burcu KELLECİ ÇAKIR</v>
      </c>
      <c r="R58" s="171">
        <f>IF(Q58="","",COUNTIFS(Başvuru!$C:$C,Q58,Başvuru!$A:$A,"&lt;&gt;"&amp;"",Başvuru!$F:$F,"&lt;&gt;"&amp;""))</f>
        <v>5</v>
      </c>
      <c r="S58" s="171">
        <f>IF(R58="","",RANK(R58,$R$6:$R$505,0)+COUNTIF($R$6:R58,R58)-1)</f>
        <v>22</v>
      </c>
    </row>
    <row r="59" spans="2:19" ht="23.25" customHeight="1" x14ac:dyDescent="0.25">
      <c r="B59" s="159">
        <v>54</v>
      </c>
      <c r="C59" s="160" t="str">
        <f>IFERROR(INDEX($Q$6:$Q$505,MATCH(54,$S$6:$S$505,0)),"")</f>
        <v>Prof. Dr. Dilek ASLAN</v>
      </c>
      <c r="D59" s="161">
        <f>IF(C59="","",COUNTIFS(Başvuru!$C:$C,C59,Başvuru!$A:$A,"&lt;&gt;"&amp;"",Başvuru!$F:$F,"&lt;&gt;"&amp;""))</f>
        <v>3</v>
      </c>
      <c r="E59" s="159" t="str">
        <f>IF(C59="","-",IF(D59&gt;0,TEXT(D59/(COUNTIFS(Başvuru!$A:$A,"&lt;&gt;",Başvuru!$F:$F,"&lt;&gt;")-1)*100,"0.0")&amp;"%","-"))</f>
        <v>00%</v>
      </c>
      <c r="F59" s="162">
        <f>IF(C59="","",COUNTIFS(Başvuru!$C:$C,C59,Başvuru!$G:$G,"Bireysel Araştırma",Başvuru!$A:$A,"&lt;&gt;"&amp;"",Başvuru!$F:$F,"&lt;&gt;"&amp;""))</f>
        <v>0</v>
      </c>
      <c r="G59" s="162">
        <f>IF(C59="","",COUNTIFS(Başvuru!$C:$C,C59,Başvuru!$G:$G,"Uzmanlık Tezi",Başvuru!$A:$A,"&lt;&gt;"&amp;"",Başvuru!$F:$F,"&lt;&gt;"&amp;""))</f>
        <v>2</v>
      </c>
      <c r="H59" s="162">
        <f>IF(C59="","",COUNTIFS(Başvuru!$C:$C,C59,Başvuru!$G:$G,"Doktora Tezi",Başvuru!$A:$A,"&lt;&gt;"&amp;"",Başvuru!$F:$F,"&lt;&gt;"&amp;""))</f>
        <v>1</v>
      </c>
      <c r="I59" s="162">
        <f>IF(C59="","",COUNTIFS(Başvuru!$C:$C,C59,Başvuru!$G:$G,"Yüksek Lisans Tezi",Başvuru!$A:$A,"&lt;&gt;"&amp;"",Başvuru!$F:$F,"&lt;&gt;"&amp;""))</f>
        <v>0</v>
      </c>
      <c r="J59" s="163">
        <f>IF(C59="","",COUNTIFS(Başvuru!$C:$C,C59,Başvuru!$L:$L,"ONAY",Başvuru!$A:$A,"&lt;&gt;"&amp;"",Başvuru!$F:$F,"&lt;&gt;"&amp;""))</f>
        <v>3</v>
      </c>
      <c r="K59" s="164">
        <f>IF(C59="","",COUNTIFS(Başvuru!$C:$C,C59,Başvuru!$L:$L,"DÜZELTME",Başvuru!$A:$A,"&lt;&gt;"&amp;"",Başvuru!$F:$F,"&lt;&gt;"&amp;""))</f>
        <v>0</v>
      </c>
      <c r="L59" s="165">
        <f>IF(C59="","",COUNTIFS(Başvuru!$C:$C,C59,Başvuru!$L:$L,"KAEK",Başvuru!$A:$A,"&lt;&gt;"&amp;"",Başvuru!$F:$F,"&lt;&gt;"&amp;""))</f>
        <v>0</v>
      </c>
      <c r="M59" s="166">
        <f>IF(C59="","",COUNTIFS(Başvuru!$C:$C,C59,Başvuru!$L:$L,"GÖRÜŞ",Başvuru!$A:$A,"&lt;&gt;"&amp;"",Başvuru!$F:$F,"&lt;&gt;"&amp;""))</f>
        <v>0</v>
      </c>
      <c r="N59" s="167">
        <f>IF(C59="","",COUNTIFS(Başvuru!$C:$C,C59,Başvuru!$L:$L,"RET",Başvuru!$A:$A,"&lt;&gt;"&amp;"",Başvuru!$F:$F,"&lt;&gt;"&amp;""))</f>
        <v>0</v>
      </c>
      <c r="O59" s="168">
        <f>IF(C59="","",COUNTIFS(Başvuru!$C:$C,C59,Başvuru!$L:$L,"KAPSAM DIŞI",Başvuru!$A:$A,"&lt;&gt;"&amp;"",Başvuru!$F:$F,"&lt;&gt;"&amp;""))</f>
        <v>0</v>
      </c>
      <c r="P59" s="169">
        <f>IF(C59="","",COUNTIFS(Başvuru!$C:$C,C59,Başvuru!$L:$L,"GERİ ÇEKİLDİ",Başvuru!$A:$A,"&lt;&gt;"&amp;"",Başvuru!$F:$F,"&lt;&gt;"&amp;""))</f>
        <v>0</v>
      </c>
      <c r="Q59" s="170" t="str">
        <f t="array" ref="Q59">IFERROR(INDEX(Başvuru!$C$2:$C$3000, MATCH(0, COUNTIF($Q$5:Q58, Başvuru!$C$2:$C$3000) + IF(Başvuru!$C$2:$C$3000="",1,0), 0)), "")</f>
        <v>Prof. Dr. Fatma Gökçem YILDIZ SARIKAYA</v>
      </c>
      <c r="R59" s="171">
        <f>IF(Q59="","",COUNTIFS(Başvuru!$C:$C,Q59,Başvuru!$A:$A,"&lt;&gt;"&amp;"",Başvuru!$F:$F,"&lt;&gt;"&amp;""))</f>
        <v>4</v>
      </c>
      <c r="S59" s="171">
        <f>IF(R59="","",RANK(R59,$R$6:$R$505,0)+COUNTIF($R$6:R59,R59)-1)</f>
        <v>34</v>
      </c>
    </row>
    <row r="60" spans="2:19" ht="23.25" customHeight="1" x14ac:dyDescent="0.25">
      <c r="B60" s="159">
        <v>55</v>
      </c>
      <c r="C60" s="160" t="str">
        <f>IFERROR(INDEX($Q$6:$Q$505,MATCH(55,$S$6:$S$505,0)),"")</f>
        <v>Doç. Dr. Başak YALICI ARMAĞAN</v>
      </c>
      <c r="D60" s="161">
        <f>IF(C60="","",COUNTIFS(Başvuru!$C:$C,C60,Başvuru!$A:$A,"&lt;&gt;"&amp;"",Başvuru!$F:$F,"&lt;&gt;"&amp;""))</f>
        <v>3</v>
      </c>
      <c r="E60" s="159" t="str">
        <f>IF(C60="","-",IF(D60&gt;0,TEXT(D60/(COUNTIFS(Başvuru!$A:$A,"&lt;&gt;",Başvuru!$F:$F,"&lt;&gt;")-1)*100,"0.0")&amp;"%","-"))</f>
        <v>00%</v>
      </c>
      <c r="F60" s="162">
        <f>IF(C60="","",COUNTIFS(Başvuru!$C:$C,C60,Başvuru!$G:$G,"Bireysel Araştırma",Başvuru!$A:$A,"&lt;&gt;"&amp;"",Başvuru!$F:$F,"&lt;&gt;"&amp;""))</f>
        <v>1</v>
      </c>
      <c r="G60" s="162">
        <f>IF(C60="","",COUNTIFS(Başvuru!$C:$C,C60,Başvuru!$G:$G,"Uzmanlık Tezi",Başvuru!$A:$A,"&lt;&gt;"&amp;"",Başvuru!$F:$F,"&lt;&gt;"&amp;""))</f>
        <v>2</v>
      </c>
      <c r="H60" s="162">
        <f>IF(C60="","",COUNTIFS(Başvuru!$C:$C,C60,Başvuru!$G:$G,"Doktora Tezi",Başvuru!$A:$A,"&lt;&gt;"&amp;"",Başvuru!$F:$F,"&lt;&gt;"&amp;""))</f>
        <v>0</v>
      </c>
      <c r="I60" s="162">
        <f>IF(C60="","",COUNTIFS(Başvuru!$C:$C,C60,Başvuru!$G:$G,"Yüksek Lisans Tezi",Başvuru!$A:$A,"&lt;&gt;"&amp;"",Başvuru!$F:$F,"&lt;&gt;"&amp;""))</f>
        <v>0</v>
      </c>
      <c r="J60" s="163">
        <f>IF(C60="","",COUNTIFS(Başvuru!$C:$C,C60,Başvuru!$L:$L,"ONAY",Başvuru!$A:$A,"&lt;&gt;"&amp;"",Başvuru!$F:$F,"&lt;&gt;"&amp;""))</f>
        <v>1</v>
      </c>
      <c r="K60" s="164">
        <f>IF(C60="","",COUNTIFS(Başvuru!$C:$C,C60,Başvuru!$L:$L,"DÜZELTME",Başvuru!$A:$A,"&lt;&gt;"&amp;"",Başvuru!$F:$F,"&lt;&gt;"&amp;""))</f>
        <v>1</v>
      </c>
      <c r="L60" s="165">
        <f>IF(C60="","",COUNTIFS(Başvuru!$C:$C,C60,Başvuru!$L:$L,"KAEK",Başvuru!$A:$A,"&lt;&gt;"&amp;"",Başvuru!$F:$F,"&lt;&gt;"&amp;""))</f>
        <v>1</v>
      </c>
      <c r="M60" s="166">
        <f>IF(C60="","",COUNTIFS(Başvuru!$C:$C,C60,Başvuru!$L:$L,"GÖRÜŞ",Başvuru!$A:$A,"&lt;&gt;"&amp;"",Başvuru!$F:$F,"&lt;&gt;"&amp;""))</f>
        <v>0</v>
      </c>
      <c r="N60" s="167">
        <f>IF(C60="","",COUNTIFS(Başvuru!$C:$C,C60,Başvuru!$L:$L,"RET",Başvuru!$A:$A,"&lt;&gt;"&amp;"",Başvuru!$F:$F,"&lt;&gt;"&amp;""))</f>
        <v>0</v>
      </c>
      <c r="O60" s="168">
        <f>IF(C60="","",COUNTIFS(Başvuru!$C:$C,C60,Başvuru!$L:$L,"KAPSAM DIŞI",Başvuru!$A:$A,"&lt;&gt;"&amp;"",Başvuru!$F:$F,"&lt;&gt;"&amp;""))</f>
        <v>0</v>
      </c>
      <c r="P60" s="169">
        <f>IF(C60="","",COUNTIFS(Başvuru!$C:$C,C60,Başvuru!$L:$L,"GERİ ÇEKİLDİ",Başvuru!$A:$A,"&lt;&gt;"&amp;"",Başvuru!$F:$F,"&lt;&gt;"&amp;""))</f>
        <v>0</v>
      </c>
      <c r="Q60" s="170" t="str">
        <f t="array" ref="Q60">IFERROR(INDEX(Başvuru!$C$2:$C$3000, MATCH(0, COUNTIF($Q$5:Q59, Başvuru!$C$2:$C$3000) + IF(Başvuru!$C$2:$C$3000="",1,0), 0)), "")</f>
        <v>Prof. Dr. Cengiz KILIÇ</v>
      </c>
      <c r="R60" s="171">
        <f>IF(Q60="","",COUNTIFS(Başvuru!$C:$C,Q60,Başvuru!$A:$A,"&lt;&gt;"&amp;"",Başvuru!$F:$F,"&lt;&gt;"&amp;""))</f>
        <v>2</v>
      </c>
      <c r="S60" s="171">
        <f>IF(R60="","",RANK(R60,$R$6:$R$505,0)+COUNTIF($R$6:R60,R60)-1)</f>
        <v>84</v>
      </c>
    </row>
    <row r="61" spans="2:19" ht="23.25" customHeight="1" x14ac:dyDescent="0.25">
      <c r="B61" s="159">
        <v>56</v>
      </c>
      <c r="C61" s="160" t="str">
        <f>IFERROR(INDEX($Q$6:$Q$505,MATCH(56,$S$6:$S$505,0)),"")</f>
        <v>Prof. Dr. Hasan Serkan DOĞAN</v>
      </c>
      <c r="D61" s="161">
        <f>IF(C61="","",COUNTIFS(Başvuru!$C:$C,C61,Başvuru!$A:$A,"&lt;&gt;"&amp;"",Başvuru!$F:$F,"&lt;&gt;"&amp;""))</f>
        <v>3</v>
      </c>
      <c r="E61" s="159" t="str">
        <f>IF(C61="","-",IF(D61&gt;0,TEXT(D61/(COUNTIFS(Başvuru!$A:$A,"&lt;&gt;",Başvuru!$F:$F,"&lt;&gt;")-1)*100,"0.0")&amp;"%","-"))</f>
        <v>00%</v>
      </c>
      <c r="F61" s="162">
        <f>IF(C61="","",COUNTIFS(Başvuru!$C:$C,C61,Başvuru!$G:$G,"Bireysel Araştırma",Başvuru!$A:$A,"&lt;&gt;"&amp;"",Başvuru!$F:$F,"&lt;&gt;"&amp;""))</f>
        <v>2</v>
      </c>
      <c r="G61" s="162">
        <f>IF(C61="","",COUNTIFS(Başvuru!$C:$C,C61,Başvuru!$G:$G,"Uzmanlık Tezi",Başvuru!$A:$A,"&lt;&gt;"&amp;"",Başvuru!$F:$F,"&lt;&gt;"&amp;""))</f>
        <v>1</v>
      </c>
      <c r="H61" s="162">
        <f>IF(C61="","",COUNTIFS(Başvuru!$C:$C,C61,Başvuru!$G:$G,"Doktora Tezi",Başvuru!$A:$A,"&lt;&gt;"&amp;"",Başvuru!$F:$F,"&lt;&gt;"&amp;""))</f>
        <v>0</v>
      </c>
      <c r="I61" s="162">
        <f>IF(C61="","",COUNTIFS(Başvuru!$C:$C,C61,Başvuru!$G:$G,"Yüksek Lisans Tezi",Başvuru!$A:$A,"&lt;&gt;"&amp;"",Başvuru!$F:$F,"&lt;&gt;"&amp;""))</f>
        <v>0</v>
      </c>
      <c r="J61" s="163">
        <f>IF(C61="","",COUNTIFS(Başvuru!$C:$C,C61,Başvuru!$L:$L,"ONAY",Başvuru!$A:$A,"&lt;&gt;"&amp;"",Başvuru!$F:$F,"&lt;&gt;"&amp;""))</f>
        <v>1</v>
      </c>
      <c r="K61" s="164">
        <f>IF(C61="","",COUNTIFS(Başvuru!$C:$C,C61,Başvuru!$L:$L,"DÜZELTME",Başvuru!$A:$A,"&lt;&gt;"&amp;"",Başvuru!$F:$F,"&lt;&gt;"&amp;""))</f>
        <v>1</v>
      </c>
      <c r="L61" s="165">
        <f>IF(C61="","",COUNTIFS(Başvuru!$C:$C,C61,Başvuru!$L:$L,"KAEK",Başvuru!$A:$A,"&lt;&gt;"&amp;"",Başvuru!$F:$F,"&lt;&gt;"&amp;""))</f>
        <v>0</v>
      </c>
      <c r="M61" s="166">
        <f>IF(C61="","",COUNTIFS(Başvuru!$C:$C,C61,Başvuru!$L:$L,"GÖRÜŞ",Başvuru!$A:$A,"&lt;&gt;"&amp;"",Başvuru!$F:$F,"&lt;&gt;"&amp;""))</f>
        <v>0</v>
      </c>
      <c r="N61" s="167">
        <f>IF(C61="","",COUNTIFS(Başvuru!$C:$C,C61,Başvuru!$L:$L,"RET",Başvuru!$A:$A,"&lt;&gt;"&amp;"",Başvuru!$F:$F,"&lt;&gt;"&amp;""))</f>
        <v>0</v>
      </c>
      <c r="O61" s="168">
        <f>IF(C61="","",COUNTIFS(Başvuru!$C:$C,C61,Başvuru!$L:$L,"KAPSAM DIŞI",Başvuru!$A:$A,"&lt;&gt;"&amp;"",Başvuru!$F:$F,"&lt;&gt;"&amp;""))</f>
        <v>0</v>
      </c>
      <c r="P61" s="169">
        <f>IF(C61="","",COUNTIFS(Başvuru!$C:$C,C61,Başvuru!$L:$L,"GERİ ÇEKİLDİ",Başvuru!$A:$A,"&lt;&gt;"&amp;"",Başvuru!$F:$F,"&lt;&gt;"&amp;""))</f>
        <v>0</v>
      </c>
      <c r="Q61" s="170" t="str">
        <f t="array" ref="Q61">IFERROR(INDEX(Başvuru!$C$2:$C$3000, MATCH(0, COUNTIF($Q$5:Q60, Başvuru!$C$2:$C$3000) + IF(Başvuru!$C$2:$C$3000="",1,0), 0)), "")</f>
        <v>Dr. Öğr. Üyesi Serkan UYSAL</v>
      </c>
      <c r="R61" s="171">
        <f>IF(Q61="","",COUNTIFS(Başvuru!$C:$C,Q61,Başvuru!$A:$A,"&lt;&gt;"&amp;"",Başvuru!$F:$F,"&lt;&gt;"&amp;""))</f>
        <v>4</v>
      </c>
      <c r="S61" s="171">
        <f>IF(R61="","",RANK(R61,$R$6:$R$505,0)+COUNTIF($R$6:R61,R61)-1)</f>
        <v>35</v>
      </c>
    </row>
    <row r="62" spans="2:19" ht="23.25" customHeight="1" x14ac:dyDescent="0.25">
      <c r="B62" s="159">
        <v>57</v>
      </c>
      <c r="C62" s="160" t="str">
        <f>IFERROR(INDEX($Q$6:$Q$505,MATCH(57,$S$6:$S$505,0)),"")</f>
        <v>Prof. Dr. Sıddika Songül YALÇIN</v>
      </c>
      <c r="D62" s="161">
        <f>IF(C62="","",COUNTIFS(Başvuru!$C:$C,C62,Başvuru!$A:$A,"&lt;&gt;"&amp;"",Başvuru!$F:$F,"&lt;&gt;"&amp;""))</f>
        <v>3</v>
      </c>
      <c r="E62" s="159" t="str">
        <f>IF(C62="","-",IF(D62&gt;0,TEXT(D62/(COUNTIFS(Başvuru!$A:$A,"&lt;&gt;",Başvuru!$F:$F,"&lt;&gt;")-1)*100,"0.0")&amp;"%","-"))</f>
        <v>00%</v>
      </c>
      <c r="F62" s="162">
        <f>IF(C62="","",COUNTIFS(Başvuru!$C:$C,C62,Başvuru!$G:$G,"Bireysel Araştırma",Başvuru!$A:$A,"&lt;&gt;"&amp;"",Başvuru!$F:$F,"&lt;&gt;"&amp;""))</f>
        <v>2</v>
      </c>
      <c r="G62" s="162">
        <f>IF(C62="","",COUNTIFS(Başvuru!$C:$C,C62,Başvuru!$G:$G,"Uzmanlık Tezi",Başvuru!$A:$A,"&lt;&gt;"&amp;"",Başvuru!$F:$F,"&lt;&gt;"&amp;""))</f>
        <v>0</v>
      </c>
      <c r="H62" s="162">
        <f>IF(C62="","",COUNTIFS(Başvuru!$C:$C,C62,Başvuru!$G:$G,"Doktora Tezi",Başvuru!$A:$A,"&lt;&gt;"&amp;"",Başvuru!$F:$F,"&lt;&gt;"&amp;""))</f>
        <v>1</v>
      </c>
      <c r="I62" s="162">
        <f>IF(C62="","",COUNTIFS(Başvuru!$C:$C,C62,Başvuru!$G:$G,"Yüksek Lisans Tezi",Başvuru!$A:$A,"&lt;&gt;"&amp;"",Başvuru!$F:$F,"&lt;&gt;"&amp;""))</f>
        <v>0</v>
      </c>
      <c r="J62" s="163">
        <f>IF(C62="","",COUNTIFS(Başvuru!$C:$C,C62,Başvuru!$L:$L,"ONAY",Başvuru!$A:$A,"&lt;&gt;"&amp;"",Başvuru!$F:$F,"&lt;&gt;"&amp;""))</f>
        <v>3</v>
      </c>
      <c r="K62" s="164">
        <f>IF(C62="","",COUNTIFS(Başvuru!$C:$C,C62,Başvuru!$L:$L,"DÜZELTME",Başvuru!$A:$A,"&lt;&gt;"&amp;"",Başvuru!$F:$F,"&lt;&gt;"&amp;""))</f>
        <v>0</v>
      </c>
      <c r="L62" s="165">
        <f>IF(C62="","",COUNTIFS(Başvuru!$C:$C,C62,Başvuru!$L:$L,"KAEK",Başvuru!$A:$A,"&lt;&gt;"&amp;"",Başvuru!$F:$F,"&lt;&gt;"&amp;""))</f>
        <v>0</v>
      </c>
      <c r="M62" s="166">
        <f>IF(C62="","",COUNTIFS(Başvuru!$C:$C,C62,Başvuru!$L:$L,"GÖRÜŞ",Başvuru!$A:$A,"&lt;&gt;"&amp;"",Başvuru!$F:$F,"&lt;&gt;"&amp;""))</f>
        <v>0</v>
      </c>
      <c r="N62" s="167">
        <f>IF(C62="","",COUNTIFS(Başvuru!$C:$C,C62,Başvuru!$L:$L,"RET",Başvuru!$A:$A,"&lt;&gt;"&amp;"",Başvuru!$F:$F,"&lt;&gt;"&amp;""))</f>
        <v>0</v>
      </c>
      <c r="O62" s="168">
        <f>IF(C62="","",COUNTIFS(Başvuru!$C:$C,C62,Başvuru!$L:$L,"KAPSAM DIŞI",Başvuru!$A:$A,"&lt;&gt;"&amp;"",Başvuru!$F:$F,"&lt;&gt;"&amp;""))</f>
        <v>0</v>
      </c>
      <c r="P62" s="169">
        <f>IF(C62="","",COUNTIFS(Başvuru!$C:$C,C62,Başvuru!$L:$L,"GERİ ÇEKİLDİ",Başvuru!$A:$A,"&lt;&gt;"&amp;"",Başvuru!$F:$F,"&lt;&gt;"&amp;""))</f>
        <v>0</v>
      </c>
      <c r="Q62" s="170" t="str">
        <f t="array" ref="Q62">IFERROR(INDEX(Başvuru!$C$2:$C$3000, MATCH(0, COUNTIF($Q$5:Q61, Başvuru!$C$2:$C$3000) + IF(Başvuru!$C$2:$C$3000="",1,0), 0)), "")</f>
        <v>Arş. Gör. Dr. Aycan UYSAL</v>
      </c>
      <c r="R62" s="171">
        <f>IF(Q62="","",COUNTIFS(Başvuru!$C:$C,Q62,Başvuru!$A:$A,"&lt;&gt;"&amp;"",Başvuru!$F:$F,"&lt;&gt;"&amp;""))</f>
        <v>1</v>
      </c>
      <c r="S62" s="171">
        <f>IF(R62="","",RANK(R62,$R$6:$R$505,0)+COUNTIF($R$6:R62,R62)-1)</f>
        <v>168</v>
      </c>
    </row>
    <row r="63" spans="2:19" ht="23.25" customHeight="1" x14ac:dyDescent="0.25">
      <c r="B63" s="159">
        <v>58</v>
      </c>
      <c r="C63" s="160" t="str">
        <f>IFERROR(INDEX($Q$6:$Q$505,MATCH(58,$S$6:$S$505,0)),"")</f>
        <v>Doç. Dr. Hacı Hasan YETER</v>
      </c>
      <c r="D63" s="161">
        <f>IF(C63="","",COUNTIFS(Başvuru!$C:$C,C63,Başvuru!$A:$A,"&lt;&gt;"&amp;"",Başvuru!$F:$F,"&lt;&gt;"&amp;""))</f>
        <v>3</v>
      </c>
      <c r="E63" s="159" t="str">
        <f>IF(C63="","-",IF(D63&gt;0,TEXT(D63/(COUNTIFS(Başvuru!$A:$A,"&lt;&gt;",Başvuru!$F:$F,"&lt;&gt;")-1)*100,"0.0")&amp;"%","-"))</f>
        <v>00%</v>
      </c>
      <c r="F63" s="162">
        <f>IF(C63="","",COUNTIFS(Başvuru!$C:$C,C63,Başvuru!$G:$G,"Bireysel Araştırma",Başvuru!$A:$A,"&lt;&gt;"&amp;"",Başvuru!$F:$F,"&lt;&gt;"&amp;""))</f>
        <v>3</v>
      </c>
      <c r="G63" s="162">
        <f>IF(C63="","",COUNTIFS(Başvuru!$C:$C,C63,Başvuru!$G:$G,"Uzmanlık Tezi",Başvuru!$A:$A,"&lt;&gt;"&amp;"",Başvuru!$F:$F,"&lt;&gt;"&amp;""))</f>
        <v>0</v>
      </c>
      <c r="H63" s="162">
        <f>IF(C63="","",COUNTIFS(Başvuru!$C:$C,C63,Başvuru!$G:$G,"Doktora Tezi",Başvuru!$A:$A,"&lt;&gt;"&amp;"",Başvuru!$F:$F,"&lt;&gt;"&amp;""))</f>
        <v>0</v>
      </c>
      <c r="I63" s="162">
        <f>IF(C63="","",COUNTIFS(Başvuru!$C:$C,C63,Başvuru!$G:$G,"Yüksek Lisans Tezi",Başvuru!$A:$A,"&lt;&gt;"&amp;"",Başvuru!$F:$F,"&lt;&gt;"&amp;""))</f>
        <v>0</v>
      </c>
      <c r="J63" s="163">
        <f>IF(C63="","",COUNTIFS(Başvuru!$C:$C,C63,Başvuru!$L:$L,"ONAY",Başvuru!$A:$A,"&lt;&gt;"&amp;"",Başvuru!$F:$F,"&lt;&gt;"&amp;""))</f>
        <v>3</v>
      </c>
      <c r="K63" s="164">
        <f>IF(C63="","",COUNTIFS(Başvuru!$C:$C,C63,Başvuru!$L:$L,"DÜZELTME",Başvuru!$A:$A,"&lt;&gt;"&amp;"",Başvuru!$F:$F,"&lt;&gt;"&amp;""))</f>
        <v>0</v>
      </c>
      <c r="L63" s="165">
        <f>IF(C63="","",COUNTIFS(Başvuru!$C:$C,C63,Başvuru!$L:$L,"KAEK",Başvuru!$A:$A,"&lt;&gt;"&amp;"",Başvuru!$F:$F,"&lt;&gt;"&amp;""))</f>
        <v>0</v>
      </c>
      <c r="M63" s="166">
        <f>IF(C63="","",COUNTIFS(Başvuru!$C:$C,C63,Başvuru!$L:$L,"GÖRÜŞ",Başvuru!$A:$A,"&lt;&gt;"&amp;"",Başvuru!$F:$F,"&lt;&gt;"&amp;""))</f>
        <v>0</v>
      </c>
      <c r="N63" s="167">
        <f>IF(C63="","",COUNTIFS(Başvuru!$C:$C,C63,Başvuru!$L:$L,"RET",Başvuru!$A:$A,"&lt;&gt;"&amp;"",Başvuru!$F:$F,"&lt;&gt;"&amp;""))</f>
        <v>0</v>
      </c>
      <c r="O63" s="168">
        <f>IF(C63="","",COUNTIFS(Başvuru!$C:$C,C63,Başvuru!$L:$L,"KAPSAM DIŞI",Başvuru!$A:$A,"&lt;&gt;"&amp;"",Başvuru!$F:$F,"&lt;&gt;"&amp;""))</f>
        <v>0</v>
      </c>
      <c r="P63" s="169">
        <f>IF(C63="","",COUNTIFS(Başvuru!$C:$C,C63,Başvuru!$L:$L,"GERİ ÇEKİLDİ",Başvuru!$A:$A,"&lt;&gt;"&amp;"",Başvuru!$F:$F,"&lt;&gt;"&amp;""))</f>
        <v>0</v>
      </c>
      <c r="Q63" s="170" t="str">
        <f t="array" ref="Q63">IFERROR(INDEX(Başvuru!$C$2:$C$3000, MATCH(0, COUNTIF($Q$5:Q62, Başvuru!$C$2:$C$3000) + IF(Başvuru!$C$2:$C$3000="",1,0), 0)), "")</f>
        <v>Doç. Dr. Ekim GÜMELER</v>
      </c>
      <c r="R63" s="171">
        <f>IF(Q63="","",COUNTIFS(Başvuru!$C:$C,Q63,Başvuru!$A:$A,"&lt;&gt;"&amp;"",Başvuru!$F:$F,"&lt;&gt;"&amp;""))</f>
        <v>1</v>
      </c>
      <c r="S63" s="171">
        <f>IF(R63="","",RANK(R63,$R$6:$R$505,0)+COUNTIF($R$6:R63,R63)-1)</f>
        <v>169</v>
      </c>
    </row>
    <row r="64" spans="2:19" ht="23.25" customHeight="1" x14ac:dyDescent="0.25">
      <c r="B64" s="159">
        <v>59</v>
      </c>
      <c r="C64" s="160" t="str">
        <f>IFERROR(INDEX($Q$6:$Q$505,MATCH(59,$S$6:$S$505,0)),"")</f>
        <v>Prof. Dr. Ayşe Tomris ERBAŞ</v>
      </c>
      <c r="D64" s="161">
        <f>IF(C64="","",COUNTIFS(Başvuru!$C:$C,C64,Başvuru!$A:$A,"&lt;&gt;"&amp;"",Başvuru!$F:$F,"&lt;&gt;"&amp;""))</f>
        <v>3</v>
      </c>
      <c r="E64" s="159" t="str">
        <f>IF(C64="","-",IF(D64&gt;0,TEXT(D64/(COUNTIFS(Başvuru!$A:$A,"&lt;&gt;",Başvuru!$F:$F,"&lt;&gt;")-1)*100,"0.0")&amp;"%","-"))</f>
        <v>00%</v>
      </c>
      <c r="F64" s="162">
        <f>IF(C64="","",COUNTIFS(Başvuru!$C:$C,C64,Başvuru!$G:$G,"Bireysel Araştırma",Başvuru!$A:$A,"&lt;&gt;"&amp;"",Başvuru!$F:$F,"&lt;&gt;"&amp;""))</f>
        <v>3</v>
      </c>
      <c r="G64" s="162">
        <f>IF(C64="","",COUNTIFS(Başvuru!$C:$C,C64,Başvuru!$G:$G,"Uzmanlık Tezi",Başvuru!$A:$A,"&lt;&gt;"&amp;"",Başvuru!$F:$F,"&lt;&gt;"&amp;""))</f>
        <v>0</v>
      </c>
      <c r="H64" s="162">
        <f>IF(C64="","",COUNTIFS(Başvuru!$C:$C,C64,Başvuru!$G:$G,"Doktora Tezi",Başvuru!$A:$A,"&lt;&gt;"&amp;"",Başvuru!$F:$F,"&lt;&gt;"&amp;""))</f>
        <v>0</v>
      </c>
      <c r="I64" s="162">
        <f>IF(C64="","",COUNTIFS(Başvuru!$C:$C,C64,Başvuru!$G:$G,"Yüksek Lisans Tezi",Başvuru!$A:$A,"&lt;&gt;"&amp;"",Başvuru!$F:$F,"&lt;&gt;"&amp;""))</f>
        <v>0</v>
      </c>
      <c r="J64" s="163">
        <f>IF(C64="","",COUNTIFS(Başvuru!$C:$C,C64,Başvuru!$L:$L,"ONAY",Başvuru!$A:$A,"&lt;&gt;"&amp;"",Başvuru!$F:$F,"&lt;&gt;"&amp;""))</f>
        <v>3</v>
      </c>
      <c r="K64" s="164">
        <f>IF(C64="","",COUNTIFS(Başvuru!$C:$C,C64,Başvuru!$L:$L,"DÜZELTME",Başvuru!$A:$A,"&lt;&gt;"&amp;"",Başvuru!$F:$F,"&lt;&gt;"&amp;""))</f>
        <v>0</v>
      </c>
      <c r="L64" s="165">
        <f>IF(C64="","",COUNTIFS(Başvuru!$C:$C,C64,Başvuru!$L:$L,"KAEK",Başvuru!$A:$A,"&lt;&gt;"&amp;"",Başvuru!$F:$F,"&lt;&gt;"&amp;""))</f>
        <v>0</v>
      </c>
      <c r="M64" s="166">
        <f>IF(C64="","",COUNTIFS(Başvuru!$C:$C,C64,Başvuru!$L:$L,"GÖRÜŞ",Başvuru!$A:$A,"&lt;&gt;"&amp;"",Başvuru!$F:$F,"&lt;&gt;"&amp;""))</f>
        <v>0</v>
      </c>
      <c r="N64" s="167">
        <f>IF(C64="","",COUNTIFS(Başvuru!$C:$C,C64,Başvuru!$L:$L,"RET",Başvuru!$A:$A,"&lt;&gt;"&amp;"",Başvuru!$F:$F,"&lt;&gt;"&amp;""))</f>
        <v>0</v>
      </c>
      <c r="O64" s="168">
        <f>IF(C64="","",COUNTIFS(Başvuru!$C:$C,C64,Başvuru!$L:$L,"KAPSAM DIŞI",Başvuru!$A:$A,"&lt;&gt;"&amp;"",Başvuru!$F:$F,"&lt;&gt;"&amp;""))</f>
        <v>0</v>
      </c>
      <c r="P64" s="169">
        <f>IF(C64="","",COUNTIFS(Başvuru!$C:$C,C64,Başvuru!$L:$L,"GERİ ÇEKİLDİ",Başvuru!$A:$A,"&lt;&gt;"&amp;"",Başvuru!$F:$F,"&lt;&gt;"&amp;""))</f>
        <v>0</v>
      </c>
      <c r="Q64" s="170" t="str">
        <f t="array" ref="Q64">IFERROR(INDEX(Başvuru!$C$2:$C$3000, MATCH(0, COUNTIF($Q$5:Q63, Başvuru!$C$2:$C$3000) + IF(Başvuru!$C$2:$C$3000="",1,0), 0)), "")</f>
        <v>Prof. Dr. Ömer UĞUR</v>
      </c>
      <c r="R64" s="171">
        <f>IF(Q64="","",COUNTIFS(Başvuru!$C:$C,Q64,Başvuru!$A:$A,"&lt;&gt;"&amp;"",Başvuru!$F:$F,"&lt;&gt;"&amp;""))</f>
        <v>1</v>
      </c>
      <c r="S64" s="171">
        <f>IF(R64="","",RANK(R64,$R$6:$R$505,0)+COUNTIF($R$6:R64,R64)-1)</f>
        <v>170</v>
      </c>
    </row>
    <row r="65" spans="2:19" ht="23.25" customHeight="1" x14ac:dyDescent="0.25">
      <c r="B65" s="159">
        <v>60</v>
      </c>
      <c r="C65" s="160" t="str">
        <f>IFERROR(INDEX($Q$6:$Q$505,MATCH(60,$S$6:$S$505,0)),"")</f>
        <v>Dr. Öğr. Üyesi Murat ÇAĞAN</v>
      </c>
      <c r="D65" s="161">
        <f>IF(C65="","",COUNTIFS(Başvuru!$C:$C,C65,Başvuru!$A:$A,"&lt;&gt;"&amp;"",Başvuru!$F:$F,"&lt;&gt;"&amp;""))</f>
        <v>3</v>
      </c>
      <c r="E65" s="159" t="str">
        <f>IF(C65="","-",IF(D65&gt;0,TEXT(D65/(COUNTIFS(Başvuru!$A:$A,"&lt;&gt;",Başvuru!$F:$F,"&lt;&gt;")-1)*100,"0.0")&amp;"%","-"))</f>
        <v>00%</v>
      </c>
      <c r="F65" s="162">
        <f>IF(C65="","",COUNTIFS(Başvuru!$C:$C,C65,Başvuru!$G:$G,"Bireysel Araştırma",Başvuru!$A:$A,"&lt;&gt;"&amp;"",Başvuru!$F:$F,"&lt;&gt;"&amp;""))</f>
        <v>1</v>
      </c>
      <c r="G65" s="162">
        <f>IF(C65="","",COUNTIFS(Başvuru!$C:$C,C65,Başvuru!$G:$G,"Uzmanlık Tezi",Başvuru!$A:$A,"&lt;&gt;"&amp;"",Başvuru!$F:$F,"&lt;&gt;"&amp;""))</f>
        <v>2</v>
      </c>
      <c r="H65" s="162">
        <f>IF(C65="","",COUNTIFS(Başvuru!$C:$C,C65,Başvuru!$G:$G,"Doktora Tezi",Başvuru!$A:$A,"&lt;&gt;"&amp;"",Başvuru!$F:$F,"&lt;&gt;"&amp;""))</f>
        <v>0</v>
      </c>
      <c r="I65" s="162">
        <f>IF(C65="","",COUNTIFS(Başvuru!$C:$C,C65,Başvuru!$G:$G,"Yüksek Lisans Tezi",Başvuru!$A:$A,"&lt;&gt;"&amp;"",Başvuru!$F:$F,"&lt;&gt;"&amp;""))</f>
        <v>0</v>
      </c>
      <c r="J65" s="163">
        <f>IF(C65="","",COUNTIFS(Başvuru!$C:$C,C65,Başvuru!$L:$L,"ONAY",Başvuru!$A:$A,"&lt;&gt;"&amp;"",Başvuru!$F:$F,"&lt;&gt;"&amp;""))</f>
        <v>2</v>
      </c>
      <c r="K65" s="164">
        <f>IF(C65="","",COUNTIFS(Başvuru!$C:$C,C65,Başvuru!$L:$L,"DÜZELTME",Başvuru!$A:$A,"&lt;&gt;"&amp;"",Başvuru!$F:$F,"&lt;&gt;"&amp;""))</f>
        <v>1</v>
      </c>
      <c r="L65" s="165">
        <f>IF(C65="","",COUNTIFS(Başvuru!$C:$C,C65,Başvuru!$L:$L,"KAEK",Başvuru!$A:$A,"&lt;&gt;"&amp;"",Başvuru!$F:$F,"&lt;&gt;"&amp;""))</f>
        <v>0</v>
      </c>
      <c r="M65" s="166">
        <f>IF(C65="","",COUNTIFS(Başvuru!$C:$C,C65,Başvuru!$L:$L,"GÖRÜŞ",Başvuru!$A:$A,"&lt;&gt;"&amp;"",Başvuru!$F:$F,"&lt;&gt;"&amp;""))</f>
        <v>0</v>
      </c>
      <c r="N65" s="167">
        <f>IF(C65="","",COUNTIFS(Başvuru!$C:$C,C65,Başvuru!$L:$L,"RET",Başvuru!$A:$A,"&lt;&gt;"&amp;"",Başvuru!$F:$F,"&lt;&gt;"&amp;""))</f>
        <v>0</v>
      </c>
      <c r="O65" s="168">
        <f>IF(C65="","",COUNTIFS(Başvuru!$C:$C,C65,Başvuru!$L:$L,"KAPSAM DIŞI",Başvuru!$A:$A,"&lt;&gt;"&amp;"",Başvuru!$F:$F,"&lt;&gt;"&amp;""))</f>
        <v>0</v>
      </c>
      <c r="P65" s="169">
        <f>IF(C65="","",COUNTIFS(Başvuru!$C:$C,C65,Başvuru!$L:$L,"GERİ ÇEKİLDİ",Başvuru!$A:$A,"&lt;&gt;"&amp;"",Başvuru!$F:$F,"&lt;&gt;"&amp;""))</f>
        <v>0</v>
      </c>
      <c r="Q65" s="170" t="str">
        <f t="array" ref="Q65">IFERROR(INDEX(Başvuru!$C$2:$C$3000, MATCH(0, COUNTIF($Q$5:Q64, Başvuru!$C$2:$C$3000) + IF(Başvuru!$C$2:$C$3000="",1,0), 0)), "")</f>
        <v>Dr. Natalia RAKİSLOVA</v>
      </c>
      <c r="R65" s="171">
        <f>IF(Q65="","",COUNTIFS(Başvuru!$C:$C,Q65,Başvuru!$A:$A,"&lt;&gt;"&amp;"",Başvuru!$F:$F,"&lt;&gt;"&amp;""))</f>
        <v>1</v>
      </c>
      <c r="S65" s="171">
        <f>IF(R65="","",RANK(R65,$R$6:$R$505,0)+COUNTIF($R$6:R65,R65)-1)</f>
        <v>171</v>
      </c>
    </row>
    <row r="66" spans="2:19" ht="23.25" customHeight="1" x14ac:dyDescent="0.25">
      <c r="B66" s="159">
        <v>61</v>
      </c>
      <c r="C66" s="160" t="str">
        <f>IFERROR(INDEX($Q$6:$Q$505,MATCH(61,$S$6:$S$505,0)),"")</f>
        <v>Prof. Dr. Hülya DEMİR</v>
      </c>
      <c r="D66" s="161">
        <f>IF(C66="","",COUNTIFS(Başvuru!$C:$C,C66,Başvuru!$A:$A,"&lt;&gt;"&amp;"",Başvuru!$F:$F,"&lt;&gt;"&amp;""))</f>
        <v>3</v>
      </c>
      <c r="E66" s="159" t="str">
        <f>IF(C66="","-",IF(D66&gt;0,TEXT(D66/(COUNTIFS(Başvuru!$A:$A,"&lt;&gt;",Başvuru!$F:$F,"&lt;&gt;")-1)*100,"0.0")&amp;"%","-"))</f>
        <v>00%</v>
      </c>
      <c r="F66" s="162">
        <f>IF(C66="","",COUNTIFS(Başvuru!$C:$C,C66,Başvuru!$G:$G,"Bireysel Araştırma",Başvuru!$A:$A,"&lt;&gt;"&amp;"",Başvuru!$F:$F,"&lt;&gt;"&amp;""))</f>
        <v>3</v>
      </c>
      <c r="G66" s="162">
        <f>IF(C66="","",COUNTIFS(Başvuru!$C:$C,C66,Başvuru!$G:$G,"Uzmanlık Tezi",Başvuru!$A:$A,"&lt;&gt;"&amp;"",Başvuru!$F:$F,"&lt;&gt;"&amp;""))</f>
        <v>0</v>
      </c>
      <c r="H66" s="162">
        <f>IF(C66="","",COUNTIFS(Başvuru!$C:$C,C66,Başvuru!$G:$G,"Doktora Tezi",Başvuru!$A:$A,"&lt;&gt;"&amp;"",Başvuru!$F:$F,"&lt;&gt;"&amp;""))</f>
        <v>0</v>
      </c>
      <c r="I66" s="162">
        <f>IF(C66="","",COUNTIFS(Başvuru!$C:$C,C66,Başvuru!$G:$G,"Yüksek Lisans Tezi",Başvuru!$A:$A,"&lt;&gt;"&amp;"",Başvuru!$F:$F,"&lt;&gt;"&amp;""))</f>
        <v>0</v>
      </c>
      <c r="J66" s="163">
        <f>IF(C66="","",COUNTIFS(Başvuru!$C:$C,C66,Başvuru!$L:$L,"ONAY",Başvuru!$A:$A,"&lt;&gt;"&amp;"",Başvuru!$F:$F,"&lt;&gt;"&amp;""))</f>
        <v>1</v>
      </c>
      <c r="K66" s="164">
        <f>IF(C66="","",COUNTIFS(Başvuru!$C:$C,C66,Başvuru!$L:$L,"DÜZELTME",Başvuru!$A:$A,"&lt;&gt;"&amp;"",Başvuru!$F:$F,"&lt;&gt;"&amp;""))</f>
        <v>0</v>
      </c>
      <c r="L66" s="165">
        <f>IF(C66="","",COUNTIFS(Başvuru!$C:$C,C66,Başvuru!$L:$L,"KAEK",Başvuru!$A:$A,"&lt;&gt;"&amp;"",Başvuru!$F:$F,"&lt;&gt;"&amp;""))</f>
        <v>0</v>
      </c>
      <c r="M66" s="166">
        <f>IF(C66="","",COUNTIFS(Başvuru!$C:$C,C66,Başvuru!$L:$L,"GÖRÜŞ",Başvuru!$A:$A,"&lt;&gt;"&amp;"",Başvuru!$F:$F,"&lt;&gt;"&amp;""))</f>
        <v>0</v>
      </c>
      <c r="N66" s="167">
        <f>IF(C66="","",COUNTIFS(Başvuru!$C:$C,C66,Başvuru!$L:$L,"RET",Başvuru!$A:$A,"&lt;&gt;"&amp;"",Başvuru!$F:$F,"&lt;&gt;"&amp;""))</f>
        <v>0</v>
      </c>
      <c r="O66" s="168">
        <f>IF(C66="","",COUNTIFS(Başvuru!$C:$C,C66,Başvuru!$L:$L,"KAPSAM DIŞI",Başvuru!$A:$A,"&lt;&gt;"&amp;"",Başvuru!$F:$F,"&lt;&gt;"&amp;""))</f>
        <v>0</v>
      </c>
      <c r="P66" s="169">
        <f>IF(C66="","",COUNTIFS(Başvuru!$C:$C,C66,Başvuru!$L:$L,"GERİ ÇEKİLDİ",Başvuru!$A:$A,"&lt;&gt;"&amp;"",Başvuru!$F:$F,"&lt;&gt;"&amp;""))</f>
        <v>0</v>
      </c>
      <c r="Q66" s="170" t="str">
        <f t="array" ref="Q66">IFERROR(INDEX(Başvuru!$C$2:$C$3000, MATCH(0, COUNTIF($Q$5:Q65, Başvuru!$C$2:$C$3000) + IF(Başvuru!$C$2:$C$3000="",1,0), 0)), "")</f>
        <v>Doç. Dr. İlker ERTUĞRUL</v>
      </c>
      <c r="R66" s="171">
        <f>IF(Q66="","",COUNTIFS(Başvuru!$C:$C,Q66,Başvuru!$A:$A,"&lt;&gt;"&amp;"",Başvuru!$F:$F,"&lt;&gt;"&amp;""))</f>
        <v>1</v>
      </c>
      <c r="S66" s="171">
        <f>IF(R66="","",RANK(R66,$R$6:$R$505,0)+COUNTIF($R$6:R66,R66)-1)</f>
        <v>172</v>
      </c>
    </row>
    <row r="67" spans="2:19" ht="23.25" customHeight="1" x14ac:dyDescent="0.25">
      <c r="B67" s="159">
        <v>62</v>
      </c>
      <c r="C67" s="160" t="str">
        <f>IFERROR(INDEX($Q$6:$Q$505,MATCH(62,$S$6:$S$505,0)),"")</f>
        <v>Dr. Öğr. Üyesi Emre KARA</v>
      </c>
      <c r="D67" s="161">
        <f>IF(C67="","",COUNTIFS(Başvuru!$C:$C,C67,Başvuru!$A:$A,"&lt;&gt;"&amp;"",Başvuru!$F:$F,"&lt;&gt;"&amp;""))</f>
        <v>3</v>
      </c>
      <c r="E67" s="159" t="str">
        <f>IF(C67="","-",IF(D67&gt;0,TEXT(D67/(COUNTIFS(Başvuru!$A:$A,"&lt;&gt;",Başvuru!$F:$F,"&lt;&gt;")-1)*100,"0.0")&amp;"%","-"))</f>
        <v>00%</v>
      </c>
      <c r="F67" s="162">
        <f>IF(C67="","",COUNTIFS(Başvuru!$C:$C,C67,Başvuru!$G:$G,"Bireysel Araştırma",Başvuru!$A:$A,"&lt;&gt;"&amp;"",Başvuru!$F:$F,"&lt;&gt;"&amp;""))</f>
        <v>2</v>
      </c>
      <c r="G67" s="162">
        <f>IF(C67="","",COUNTIFS(Başvuru!$C:$C,C67,Başvuru!$G:$G,"Uzmanlık Tezi",Başvuru!$A:$A,"&lt;&gt;"&amp;"",Başvuru!$F:$F,"&lt;&gt;"&amp;""))</f>
        <v>0</v>
      </c>
      <c r="H67" s="162">
        <f>IF(C67="","",COUNTIFS(Başvuru!$C:$C,C67,Başvuru!$G:$G,"Doktora Tezi",Başvuru!$A:$A,"&lt;&gt;"&amp;"",Başvuru!$F:$F,"&lt;&gt;"&amp;""))</f>
        <v>0</v>
      </c>
      <c r="I67" s="162">
        <f>IF(C67="","",COUNTIFS(Başvuru!$C:$C,C67,Başvuru!$G:$G,"Yüksek Lisans Tezi",Başvuru!$A:$A,"&lt;&gt;"&amp;"",Başvuru!$F:$F,"&lt;&gt;"&amp;""))</f>
        <v>1</v>
      </c>
      <c r="J67" s="163">
        <f>IF(C67="","",COUNTIFS(Başvuru!$C:$C,C67,Başvuru!$L:$L,"ONAY",Başvuru!$A:$A,"&lt;&gt;"&amp;"",Başvuru!$F:$F,"&lt;&gt;"&amp;""))</f>
        <v>1</v>
      </c>
      <c r="K67" s="164">
        <f>IF(C67="","",COUNTIFS(Başvuru!$C:$C,C67,Başvuru!$L:$L,"DÜZELTME",Başvuru!$A:$A,"&lt;&gt;"&amp;"",Başvuru!$F:$F,"&lt;&gt;"&amp;""))</f>
        <v>2</v>
      </c>
      <c r="L67" s="165">
        <f>IF(C67="","",COUNTIFS(Başvuru!$C:$C,C67,Başvuru!$L:$L,"KAEK",Başvuru!$A:$A,"&lt;&gt;"&amp;"",Başvuru!$F:$F,"&lt;&gt;"&amp;""))</f>
        <v>0</v>
      </c>
      <c r="M67" s="166">
        <f>IF(C67="","",COUNTIFS(Başvuru!$C:$C,C67,Başvuru!$L:$L,"GÖRÜŞ",Başvuru!$A:$A,"&lt;&gt;"&amp;"",Başvuru!$F:$F,"&lt;&gt;"&amp;""))</f>
        <v>0</v>
      </c>
      <c r="N67" s="167">
        <f>IF(C67="","",COUNTIFS(Başvuru!$C:$C,C67,Başvuru!$L:$L,"RET",Başvuru!$A:$A,"&lt;&gt;"&amp;"",Başvuru!$F:$F,"&lt;&gt;"&amp;""))</f>
        <v>0</v>
      </c>
      <c r="O67" s="168">
        <f>IF(C67="","",COUNTIFS(Başvuru!$C:$C,C67,Başvuru!$L:$L,"KAPSAM DIŞI",Başvuru!$A:$A,"&lt;&gt;"&amp;"",Başvuru!$F:$F,"&lt;&gt;"&amp;""))</f>
        <v>0</v>
      </c>
      <c r="P67" s="169">
        <f>IF(C67="","",COUNTIFS(Başvuru!$C:$C,C67,Başvuru!$L:$L,"GERİ ÇEKİLDİ",Başvuru!$A:$A,"&lt;&gt;"&amp;"",Başvuru!$F:$F,"&lt;&gt;"&amp;""))</f>
        <v>0</v>
      </c>
      <c r="Q67" s="170" t="str">
        <f t="array" ref="Q67">IFERROR(INDEX(Başvuru!$C$2:$C$3000, MATCH(0, COUNTIF($Q$5:Q66, Başvuru!$C$2:$C$3000) + IF(Başvuru!$C$2:$C$3000="",1,0), 0)), "")</f>
        <v>Prof. Dr. Sıddika Songül YALÇIN</v>
      </c>
      <c r="R67" s="171">
        <f>IF(Q67="","",COUNTIFS(Başvuru!$C:$C,Q67,Başvuru!$A:$A,"&lt;&gt;"&amp;"",Başvuru!$F:$F,"&lt;&gt;"&amp;""))</f>
        <v>3</v>
      </c>
      <c r="S67" s="171">
        <f>IF(R67="","",RANK(R67,$R$6:$R$505,0)+COUNTIF($R$6:R67,R67)-1)</f>
        <v>57</v>
      </c>
    </row>
    <row r="68" spans="2:19" ht="23.25" customHeight="1" x14ac:dyDescent="0.25">
      <c r="B68" s="159">
        <v>63</v>
      </c>
      <c r="C68" s="160" t="str">
        <f>IFERROR(INDEX($Q$6:$Q$505,MATCH(63,$S$6:$S$505,0)),"")</f>
        <v>Doç. Dr. Tekin AKSU</v>
      </c>
      <c r="D68" s="161">
        <f>IF(C68="","",COUNTIFS(Başvuru!$C:$C,C68,Başvuru!$A:$A,"&lt;&gt;"&amp;"",Başvuru!$F:$F,"&lt;&gt;"&amp;""))</f>
        <v>3</v>
      </c>
      <c r="E68" s="159" t="str">
        <f>IF(C68="","-",IF(D68&gt;0,TEXT(D68/(COUNTIFS(Başvuru!$A:$A,"&lt;&gt;",Başvuru!$F:$F,"&lt;&gt;")-1)*100,"0.0")&amp;"%","-"))</f>
        <v>00%</v>
      </c>
      <c r="F68" s="162">
        <f>IF(C68="","",COUNTIFS(Başvuru!$C:$C,C68,Başvuru!$G:$G,"Bireysel Araştırma",Başvuru!$A:$A,"&lt;&gt;"&amp;"",Başvuru!$F:$F,"&lt;&gt;"&amp;""))</f>
        <v>2</v>
      </c>
      <c r="G68" s="162">
        <f>IF(C68="","",COUNTIFS(Başvuru!$C:$C,C68,Başvuru!$G:$G,"Uzmanlık Tezi",Başvuru!$A:$A,"&lt;&gt;"&amp;"",Başvuru!$F:$F,"&lt;&gt;"&amp;""))</f>
        <v>1</v>
      </c>
      <c r="H68" s="162">
        <f>IF(C68="","",COUNTIFS(Başvuru!$C:$C,C68,Başvuru!$G:$G,"Doktora Tezi",Başvuru!$A:$A,"&lt;&gt;"&amp;"",Başvuru!$F:$F,"&lt;&gt;"&amp;""))</f>
        <v>0</v>
      </c>
      <c r="I68" s="162">
        <f>IF(C68="","",COUNTIFS(Başvuru!$C:$C,C68,Başvuru!$G:$G,"Yüksek Lisans Tezi",Başvuru!$A:$A,"&lt;&gt;"&amp;"",Başvuru!$F:$F,"&lt;&gt;"&amp;""))</f>
        <v>0</v>
      </c>
      <c r="J68" s="163">
        <f>IF(C68="","",COUNTIFS(Başvuru!$C:$C,C68,Başvuru!$L:$L,"ONAY",Başvuru!$A:$A,"&lt;&gt;"&amp;"",Başvuru!$F:$F,"&lt;&gt;"&amp;""))</f>
        <v>0</v>
      </c>
      <c r="K68" s="164">
        <f>IF(C68="","",COUNTIFS(Başvuru!$C:$C,C68,Başvuru!$L:$L,"DÜZELTME",Başvuru!$A:$A,"&lt;&gt;"&amp;"",Başvuru!$F:$F,"&lt;&gt;"&amp;""))</f>
        <v>2</v>
      </c>
      <c r="L68" s="165">
        <f>IF(C68="","",COUNTIFS(Başvuru!$C:$C,C68,Başvuru!$L:$L,"KAEK",Başvuru!$A:$A,"&lt;&gt;"&amp;"",Başvuru!$F:$F,"&lt;&gt;"&amp;""))</f>
        <v>0</v>
      </c>
      <c r="M68" s="166">
        <f>IF(C68="","",COUNTIFS(Başvuru!$C:$C,C68,Başvuru!$L:$L,"GÖRÜŞ",Başvuru!$A:$A,"&lt;&gt;"&amp;"",Başvuru!$F:$F,"&lt;&gt;"&amp;""))</f>
        <v>0</v>
      </c>
      <c r="N68" s="167">
        <f>IF(C68="","",COUNTIFS(Başvuru!$C:$C,C68,Başvuru!$L:$L,"RET",Başvuru!$A:$A,"&lt;&gt;"&amp;"",Başvuru!$F:$F,"&lt;&gt;"&amp;""))</f>
        <v>0</v>
      </c>
      <c r="O68" s="168">
        <f>IF(C68="","",COUNTIFS(Başvuru!$C:$C,C68,Başvuru!$L:$L,"KAPSAM DIŞI",Başvuru!$A:$A,"&lt;&gt;"&amp;"",Başvuru!$F:$F,"&lt;&gt;"&amp;""))</f>
        <v>0</v>
      </c>
      <c r="P68" s="169">
        <f>IF(C68="","",COUNTIFS(Başvuru!$C:$C,C68,Başvuru!$L:$L,"GERİ ÇEKİLDİ",Başvuru!$A:$A,"&lt;&gt;"&amp;"",Başvuru!$F:$F,"&lt;&gt;"&amp;""))</f>
        <v>0</v>
      </c>
      <c r="Q68" s="170" t="str">
        <f t="array" ref="Q68">IFERROR(INDEX(Başvuru!$C$2:$C$3000, MATCH(0, COUNTIF($Q$5:Q67, Başvuru!$C$2:$C$3000) + IF(Başvuru!$C$2:$C$3000="",1,0), 0)), "")</f>
        <v>Dr. Öğr. Üyesi Gökçen AKÇİÇEK</v>
      </c>
      <c r="R68" s="171">
        <f>IF(Q68="","",COUNTIFS(Başvuru!$C:$C,Q68,Başvuru!$A:$A,"&lt;&gt;"&amp;"",Başvuru!$F:$F,"&lt;&gt;"&amp;""))</f>
        <v>1</v>
      </c>
      <c r="S68" s="171">
        <f>IF(R68="","",RANK(R68,$R$6:$R$505,0)+COUNTIF($R$6:R68,R68)-1)</f>
        <v>173</v>
      </c>
    </row>
    <row r="69" spans="2:19" ht="23.25" customHeight="1" x14ac:dyDescent="0.25">
      <c r="B69" s="159">
        <v>64</v>
      </c>
      <c r="C69" s="160" t="str">
        <f>IFERROR(INDEX($Q$6:$Q$505,MATCH(64,$S$6:$S$505,0)),"")</f>
        <v>Prof. Dr. Özgür UĞURLUOĞLU</v>
      </c>
      <c r="D69" s="161">
        <f>IF(C69="","",COUNTIFS(Başvuru!$C:$C,C69,Başvuru!$A:$A,"&lt;&gt;"&amp;"",Başvuru!$F:$F,"&lt;&gt;"&amp;""))</f>
        <v>3</v>
      </c>
      <c r="E69" s="159" t="str">
        <f>IF(C69="","-",IF(D69&gt;0,TEXT(D69/(COUNTIFS(Başvuru!$A:$A,"&lt;&gt;",Başvuru!$F:$F,"&lt;&gt;")-1)*100,"0.0")&amp;"%","-"))</f>
        <v>00%</v>
      </c>
      <c r="F69" s="162">
        <f>IF(C69="","",COUNTIFS(Başvuru!$C:$C,C69,Başvuru!$G:$G,"Bireysel Araştırma",Başvuru!$A:$A,"&lt;&gt;"&amp;"",Başvuru!$F:$F,"&lt;&gt;"&amp;""))</f>
        <v>0</v>
      </c>
      <c r="G69" s="162">
        <f>IF(C69="","",COUNTIFS(Başvuru!$C:$C,C69,Başvuru!$G:$G,"Uzmanlık Tezi",Başvuru!$A:$A,"&lt;&gt;"&amp;"",Başvuru!$F:$F,"&lt;&gt;"&amp;""))</f>
        <v>0</v>
      </c>
      <c r="H69" s="162">
        <f>IF(C69="","",COUNTIFS(Başvuru!$C:$C,C69,Başvuru!$G:$G,"Doktora Tezi",Başvuru!$A:$A,"&lt;&gt;"&amp;"",Başvuru!$F:$F,"&lt;&gt;"&amp;""))</f>
        <v>3</v>
      </c>
      <c r="I69" s="162">
        <f>IF(C69="","",COUNTIFS(Başvuru!$C:$C,C69,Başvuru!$G:$G,"Yüksek Lisans Tezi",Başvuru!$A:$A,"&lt;&gt;"&amp;"",Başvuru!$F:$F,"&lt;&gt;"&amp;""))</f>
        <v>0</v>
      </c>
      <c r="J69" s="163">
        <f>IF(C69="","",COUNTIFS(Başvuru!$C:$C,C69,Başvuru!$L:$L,"ONAY",Başvuru!$A:$A,"&lt;&gt;"&amp;"",Başvuru!$F:$F,"&lt;&gt;"&amp;""))</f>
        <v>1</v>
      </c>
      <c r="K69" s="164">
        <f>IF(C69="","",COUNTIFS(Başvuru!$C:$C,C69,Başvuru!$L:$L,"DÜZELTME",Başvuru!$A:$A,"&lt;&gt;"&amp;"",Başvuru!$F:$F,"&lt;&gt;"&amp;""))</f>
        <v>1</v>
      </c>
      <c r="L69" s="165">
        <f>IF(C69="","",COUNTIFS(Başvuru!$C:$C,C69,Başvuru!$L:$L,"KAEK",Başvuru!$A:$A,"&lt;&gt;"&amp;"",Başvuru!$F:$F,"&lt;&gt;"&amp;""))</f>
        <v>0</v>
      </c>
      <c r="M69" s="166">
        <f>IF(C69="","",COUNTIFS(Başvuru!$C:$C,C69,Başvuru!$L:$L,"GÖRÜŞ",Başvuru!$A:$A,"&lt;&gt;"&amp;"",Başvuru!$F:$F,"&lt;&gt;"&amp;""))</f>
        <v>1</v>
      </c>
      <c r="N69" s="167">
        <f>IF(C69="","",COUNTIFS(Başvuru!$C:$C,C69,Başvuru!$L:$L,"RET",Başvuru!$A:$A,"&lt;&gt;"&amp;"",Başvuru!$F:$F,"&lt;&gt;"&amp;""))</f>
        <v>0</v>
      </c>
      <c r="O69" s="168">
        <f>IF(C69="","",COUNTIFS(Başvuru!$C:$C,C69,Başvuru!$L:$L,"KAPSAM DIŞI",Başvuru!$A:$A,"&lt;&gt;"&amp;"",Başvuru!$F:$F,"&lt;&gt;"&amp;""))</f>
        <v>0</v>
      </c>
      <c r="P69" s="169">
        <f>IF(C69="","",COUNTIFS(Başvuru!$C:$C,C69,Başvuru!$L:$L,"GERİ ÇEKİLDİ",Başvuru!$A:$A,"&lt;&gt;"&amp;"",Başvuru!$F:$F,"&lt;&gt;"&amp;""))</f>
        <v>0</v>
      </c>
      <c r="Q69" s="170" t="str">
        <f t="array" ref="Q69">IFERROR(INDEX(Başvuru!$C$2:$C$3000, MATCH(0, COUNTIF($Q$5:Q68, Başvuru!$C$2:$C$3000) + IF(Başvuru!$C$2:$C$3000="",1,0), 0)), "")</f>
        <v>Doç. Dr. Ezgi ATİK</v>
      </c>
      <c r="R69" s="171">
        <f>IF(Q69="","",COUNTIFS(Başvuru!$C:$C,Q69,Başvuru!$A:$A,"&lt;&gt;"&amp;"",Başvuru!$F:$F,"&lt;&gt;"&amp;""))</f>
        <v>5</v>
      </c>
      <c r="S69" s="171">
        <f>IF(R69="","",RANK(R69,$R$6:$R$505,0)+COUNTIF($R$6:R69,R69)-1)</f>
        <v>23</v>
      </c>
    </row>
    <row r="70" spans="2:19" ht="23.25" customHeight="1" x14ac:dyDescent="0.25">
      <c r="B70" s="159">
        <v>65</v>
      </c>
      <c r="C70" s="160" t="str">
        <f>IFERROR(INDEX($Q$6:$Q$505,MATCH(65,$S$6:$S$505,0)),"")</f>
        <v>Prof. Dr. Fadime İrsel TEZER FİLİK</v>
      </c>
      <c r="D70" s="161">
        <f>IF(C70="","",COUNTIFS(Başvuru!$C:$C,C70,Başvuru!$A:$A,"&lt;&gt;"&amp;"",Başvuru!$F:$F,"&lt;&gt;"&amp;""))</f>
        <v>3</v>
      </c>
      <c r="E70" s="159" t="str">
        <f>IF(C70="","-",IF(D70&gt;0,TEXT(D70/(COUNTIFS(Başvuru!$A:$A,"&lt;&gt;",Başvuru!$F:$F,"&lt;&gt;")-1)*100,"0.0")&amp;"%","-"))</f>
        <v>00%</v>
      </c>
      <c r="F70" s="162">
        <f>IF(C70="","",COUNTIFS(Başvuru!$C:$C,C70,Başvuru!$G:$G,"Bireysel Araştırma",Başvuru!$A:$A,"&lt;&gt;"&amp;"",Başvuru!$F:$F,"&lt;&gt;"&amp;""))</f>
        <v>1</v>
      </c>
      <c r="G70" s="162">
        <f>IF(C70="","",COUNTIFS(Başvuru!$C:$C,C70,Başvuru!$G:$G,"Uzmanlık Tezi",Başvuru!$A:$A,"&lt;&gt;"&amp;"",Başvuru!$F:$F,"&lt;&gt;"&amp;""))</f>
        <v>2</v>
      </c>
      <c r="H70" s="162">
        <f>IF(C70="","",COUNTIFS(Başvuru!$C:$C,C70,Başvuru!$G:$G,"Doktora Tezi",Başvuru!$A:$A,"&lt;&gt;"&amp;"",Başvuru!$F:$F,"&lt;&gt;"&amp;""))</f>
        <v>0</v>
      </c>
      <c r="I70" s="162">
        <f>IF(C70="","",COUNTIFS(Başvuru!$C:$C,C70,Başvuru!$G:$G,"Yüksek Lisans Tezi",Başvuru!$A:$A,"&lt;&gt;"&amp;"",Başvuru!$F:$F,"&lt;&gt;"&amp;""))</f>
        <v>0</v>
      </c>
      <c r="J70" s="163">
        <f>IF(C70="","",COUNTIFS(Başvuru!$C:$C,C70,Başvuru!$L:$L,"ONAY",Başvuru!$A:$A,"&lt;&gt;"&amp;"",Başvuru!$F:$F,"&lt;&gt;"&amp;""))</f>
        <v>3</v>
      </c>
      <c r="K70" s="164">
        <f>IF(C70="","",COUNTIFS(Başvuru!$C:$C,C70,Başvuru!$L:$L,"DÜZELTME",Başvuru!$A:$A,"&lt;&gt;"&amp;"",Başvuru!$F:$F,"&lt;&gt;"&amp;""))</f>
        <v>0</v>
      </c>
      <c r="L70" s="165">
        <f>IF(C70="","",COUNTIFS(Başvuru!$C:$C,C70,Başvuru!$L:$L,"KAEK",Başvuru!$A:$A,"&lt;&gt;"&amp;"",Başvuru!$F:$F,"&lt;&gt;"&amp;""))</f>
        <v>0</v>
      </c>
      <c r="M70" s="166">
        <f>IF(C70="","",COUNTIFS(Başvuru!$C:$C,C70,Başvuru!$L:$L,"GÖRÜŞ",Başvuru!$A:$A,"&lt;&gt;"&amp;"",Başvuru!$F:$F,"&lt;&gt;"&amp;""))</f>
        <v>0</v>
      </c>
      <c r="N70" s="167">
        <f>IF(C70="","",COUNTIFS(Başvuru!$C:$C,C70,Başvuru!$L:$L,"RET",Başvuru!$A:$A,"&lt;&gt;"&amp;"",Başvuru!$F:$F,"&lt;&gt;"&amp;""))</f>
        <v>0</v>
      </c>
      <c r="O70" s="168">
        <f>IF(C70="","",COUNTIFS(Başvuru!$C:$C,C70,Başvuru!$L:$L,"KAPSAM DIŞI",Başvuru!$A:$A,"&lt;&gt;"&amp;"",Başvuru!$F:$F,"&lt;&gt;"&amp;""))</f>
        <v>0</v>
      </c>
      <c r="P70" s="169">
        <f>IF(C70="","",COUNTIFS(Başvuru!$C:$C,C70,Başvuru!$L:$L,"GERİ ÇEKİLDİ",Başvuru!$A:$A,"&lt;&gt;"&amp;"",Başvuru!$F:$F,"&lt;&gt;"&amp;""))</f>
        <v>0</v>
      </c>
      <c r="Q70" s="170" t="str">
        <f t="array" ref="Q70">IFERROR(INDEX(Başvuru!$C$2:$C$3000, MATCH(0, COUNTIF($Q$5:Q69, Başvuru!$C$2:$C$3000) + IF(Başvuru!$C$2:$C$3000="",1,0), 0)), "")</f>
        <v>Prof. Dr. Özlem BOYBEYİ</v>
      </c>
      <c r="R70" s="171">
        <f>IF(Q70="","",COUNTIFS(Başvuru!$C:$C,Q70,Başvuru!$A:$A,"&lt;&gt;"&amp;"",Başvuru!$F:$F,"&lt;&gt;"&amp;""))</f>
        <v>1</v>
      </c>
      <c r="S70" s="171">
        <f>IF(R70="","",RANK(R70,$R$6:$R$505,0)+COUNTIF($R$6:R70,R70)-1)</f>
        <v>174</v>
      </c>
    </row>
    <row r="71" spans="2:19" ht="23.25" customHeight="1" x14ac:dyDescent="0.25">
      <c r="B71" s="159">
        <v>66</v>
      </c>
      <c r="C71" s="160" t="str">
        <f>IFERROR(INDEX($Q$6:$Q$505,MATCH(66,$S$6:$S$505,0)),"")</f>
        <v>Doç. Dr. Hayriye HIZARCIOĞLU GÜLŞEN</v>
      </c>
      <c r="D71" s="161">
        <f>IF(C71="","",COUNTIFS(Başvuru!$C:$C,C71,Başvuru!$A:$A,"&lt;&gt;"&amp;"",Başvuru!$F:$F,"&lt;&gt;"&amp;""))</f>
        <v>3</v>
      </c>
      <c r="E71" s="159" t="str">
        <f>IF(C71="","-",IF(D71&gt;0,TEXT(D71/(COUNTIFS(Başvuru!$A:$A,"&lt;&gt;",Başvuru!$F:$F,"&lt;&gt;")-1)*100,"0.0")&amp;"%","-"))</f>
        <v>00%</v>
      </c>
      <c r="F71" s="162">
        <f>IF(C71="","",COUNTIFS(Başvuru!$C:$C,C71,Başvuru!$G:$G,"Bireysel Araştırma",Başvuru!$A:$A,"&lt;&gt;"&amp;"",Başvuru!$F:$F,"&lt;&gt;"&amp;""))</f>
        <v>3</v>
      </c>
      <c r="G71" s="162">
        <f>IF(C71="","",COUNTIFS(Başvuru!$C:$C,C71,Başvuru!$G:$G,"Uzmanlık Tezi",Başvuru!$A:$A,"&lt;&gt;"&amp;"",Başvuru!$F:$F,"&lt;&gt;"&amp;""))</f>
        <v>0</v>
      </c>
      <c r="H71" s="162">
        <f>IF(C71="","",COUNTIFS(Başvuru!$C:$C,C71,Başvuru!$G:$G,"Doktora Tezi",Başvuru!$A:$A,"&lt;&gt;"&amp;"",Başvuru!$F:$F,"&lt;&gt;"&amp;""))</f>
        <v>0</v>
      </c>
      <c r="I71" s="162">
        <f>IF(C71="","",COUNTIFS(Başvuru!$C:$C,C71,Başvuru!$G:$G,"Yüksek Lisans Tezi",Başvuru!$A:$A,"&lt;&gt;"&amp;"",Başvuru!$F:$F,"&lt;&gt;"&amp;""))</f>
        <v>0</v>
      </c>
      <c r="J71" s="163">
        <f>IF(C71="","",COUNTIFS(Başvuru!$C:$C,C71,Başvuru!$L:$L,"ONAY",Başvuru!$A:$A,"&lt;&gt;"&amp;"",Başvuru!$F:$F,"&lt;&gt;"&amp;""))</f>
        <v>3</v>
      </c>
      <c r="K71" s="164">
        <f>IF(C71="","",COUNTIFS(Başvuru!$C:$C,C71,Başvuru!$L:$L,"DÜZELTME",Başvuru!$A:$A,"&lt;&gt;"&amp;"",Başvuru!$F:$F,"&lt;&gt;"&amp;""))</f>
        <v>0</v>
      </c>
      <c r="L71" s="165">
        <f>IF(C71="","",COUNTIFS(Başvuru!$C:$C,C71,Başvuru!$L:$L,"KAEK",Başvuru!$A:$A,"&lt;&gt;"&amp;"",Başvuru!$F:$F,"&lt;&gt;"&amp;""))</f>
        <v>0</v>
      </c>
      <c r="M71" s="166">
        <f>IF(C71="","",COUNTIFS(Başvuru!$C:$C,C71,Başvuru!$L:$L,"GÖRÜŞ",Başvuru!$A:$A,"&lt;&gt;"&amp;"",Başvuru!$F:$F,"&lt;&gt;"&amp;""))</f>
        <v>0</v>
      </c>
      <c r="N71" s="167">
        <f>IF(C71="","",COUNTIFS(Başvuru!$C:$C,C71,Başvuru!$L:$L,"RET",Başvuru!$A:$A,"&lt;&gt;"&amp;"",Başvuru!$F:$F,"&lt;&gt;"&amp;""))</f>
        <v>0</v>
      </c>
      <c r="O71" s="168">
        <f>IF(C71="","",COUNTIFS(Başvuru!$C:$C,C71,Başvuru!$L:$L,"KAPSAM DIŞI",Başvuru!$A:$A,"&lt;&gt;"&amp;"",Başvuru!$F:$F,"&lt;&gt;"&amp;""))</f>
        <v>0</v>
      </c>
      <c r="P71" s="169">
        <f>IF(C71="","",COUNTIFS(Başvuru!$C:$C,C71,Başvuru!$L:$L,"GERİ ÇEKİLDİ",Başvuru!$A:$A,"&lt;&gt;"&amp;"",Başvuru!$F:$F,"&lt;&gt;"&amp;""))</f>
        <v>0</v>
      </c>
      <c r="Q71" s="170" t="str">
        <f t="array" ref="Q71">IFERROR(INDEX(Başvuru!$C$2:$C$3000, MATCH(0, COUNTIF($Q$5:Q70, Başvuru!$C$2:$C$3000) + IF(Başvuru!$C$2:$C$3000="",1,0), 0)), "")</f>
        <v>Prof. Dr. Ülkü ÜNDEĞER BUCURGAT</v>
      </c>
      <c r="R71" s="171">
        <f>IF(Q71="","",COUNTIFS(Başvuru!$C:$C,Q71,Başvuru!$A:$A,"&lt;&gt;"&amp;"",Başvuru!$F:$F,"&lt;&gt;"&amp;""))</f>
        <v>1</v>
      </c>
      <c r="S71" s="171">
        <f>IF(R71="","",RANK(R71,$R$6:$R$505,0)+COUNTIF($R$6:R71,R71)-1)</f>
        <v>175</v>
      </c>
    </row>
    <row r="72" spans="2:19" ht="23.25" customHeight="1" x14ac:dyDescent="0.25">
      <c r="B72" s="159">
        <v>67</v>
      </c>
      <c r="C72" s="160" t="str">
        <f>IFERROR(INDEX($Q$6:$Q$505,MATCH(67,$S$6:$S$505,0)),"")</f>
        <v>Dr. Öğr. Üyesi Gizem ÜREL DEMİR</v>
      </c>
      <c r="D72" s="161">
        <f>IF(C72="","",COUNTIFS(Başvuru!$C:$C,C72,Başvuru!$A:$A,"&lt;&gt;"&amp;"",Başvuru!$F:$F,"&lt;&gt;"&amp;""))</f>
        <v>3</v>
      </c>
      <c r="E72" s="159" t="str">
        <f>IF(C72="","-",IF(D72&gt;0,TEXT(D72/(COUNTIFS(Başvuru!$A:$A,"&lt;&gt;",Başvuru!$F:$F,"&lt;&gt;")-1)*100,"0.0")&amp;"%","-"))</f>
        <v>00%</v>
      </c>
      <c r="F72" s="162">
        <f>IF(C72="","",COUNTIFS(Başvuru!$C:$C,C72,Başvuru!$G:$G,"Bireysel Araştırma",Başvuru!$A:$A,"&lt;&gt;"&amp;"",Başvuru!$F:$F,"&lt;&gt;"&amp;""))</f>
        <v>3</v>
      </c>
      <c r="G72" s="162">
        <f>IF(C72="","",COUNTIFS(Başvuru!$C:$C,C72,Başvuru!$G:$G,"Uzmanlık Tezi",Başvuru!$A:$A,"&lt;&gt;"&amp;"",Başvuru!$F:$F,"&lt;&gt;"&amp;""))</f>
        <v>0</v>
      </c>
      <c r="H72" s="162">
        <f>IF(C72="","",COUNTIFS(Başvuru!$C:$C,C72,Başvuru!$G:$G,"Doktora Tezi",Başvuru!$A:$A,"&lt;&gt;"&amp;"",Başvuru!$F:$F,"&lt;&gt;"&amp;""))</f>
        <v>0</v>
      </c>
      <c r="I72" s="162">
        <f>IF(C72="","",COUNTIFS(Başvuru!$C:$C,C72,Başvuru!$G:$G,"Yüksek Lisans Tezi",Başvuru!$A:$A,"&lt;&gt;"&amp;"",Başvuru!$F:$F,"&lt;&gt;"&amp;""))</f>
        <v>0</v>
      </c>
      <c r="J72" s="163">
        <f>IF(C72="","",COUNTIFS(Başvuru!$C:$C,C72,Başvuru!$L:$L,"ONAY",Başvuru!$A:$A,"&lt;&gt;"&amp;"",Başvuru!$F:$F,"&lt;&gt;"&amp;""))</f>
        <v>3</v>
      </c>
      <c r="K72" s="164">
        <f>IF(C72="","",COUNTIFS(Başvuru!$C:$C,C72,Başvuru!$L:$L,"DÜZELTME",Başvuru!$A:$A,"&lt;&gt;"&amp;"",Başvuru!$F:$F,"&lt;&gt;"&amp;""))</f>
        <v>0</v>
      </c>
      <c r="L72" s="165">
        <f>IF(C72="","",COUNTIFS(Başvuru!$C:$C,C72,Başvuru!$L:$L,"KAEK",Başvuru!$A:$A,"&lt;&gt;"&amp;"",Başvuru!$F:$F,"&lt;&gt;"&amp;""))</f>
        <v>0</v>
      </c>
      <c r="M72" s="166">
        <f>IF(C72="","",COUNTIFS(Başvuru!$C:$C,C72,Başvuru!$L:$L,"GÖRÜŞ",Başvuru!$A:$A,"&lt;&gt;"&amp;"",Başvuru!$F:$F,"&lt;&gt;"&amp;""))</f>
        <v>0</v>
      </c>
      <c r="N72" s="167">
        <f>IF(C72="","",COUNTIFS(Başvuru!$C:$C,C72,Başvuru!$L:$L,"RET",Başvuru!$A:$A,"&lt;&gt;"&amp;"",Başvuru!$F:$F,"&lt;&gt;"&amp;""))</f>
        <v>0</v>
      </c>
      <c r="O72" s="168">
        <f>IF(C72="","",COUNTIFS(Başvuru!$C:$C,C72,Başvuru!$L:$L,"KAPSAM DIŞI",Başvuru!$A:$A,"&lt;&gt;"&amp;"",Başvuru!$F:$F,"&lt;&gt;"&amp;""))</f>
        <v>0</v>
      </c>
      <c r="P72" s="169">
        <f>IF(C72="","",COUNTIFS(Başvuru!$C:$C,C72,Başvuru!$L:$L,"GERİ ÇEKİLDİ",Başvuru!$A:$A,"&lt;&gt;"&amp;"",Başvuru!$F:$F,"&lt;&gt;"&amp;""))</f>
        <v>0</v>
      </c>
      <c r="Q72" s="170" t="str">
        <f t="array" ref="Q72">IFERROR(INDEX(Başvuru!$C$2:$C$3000, MATCH(0, COUNTIF($Q$5:Q71, Başvuru!$C$2:$C$3000) + IF(Başvuru!$C$2:$C$3000="",1,0), 0)), "")</f>
        <v>Doç. Dr. Erdal SAĞ</v>
      </c>
      <c r="R72" s="171">
        <f>IF(Q72="","",COUNTIFS(Başvuru!$C:$C,Q72,Başvuru!$A:$A,"&lt;&gt;"&amp;"",Başvuru!$F:$F,"&lt;&gt;"&amp;""))</f>
        <v>2</v>
      </c>
      <c r="S72" s="171">
        <f>IF(R72="","",RANK(R72,$R$6:$R$505,0)+COUNTIF($R$6:R72,R72)-1)</f>
        <v>85</v>
      </c>
    </row>
    <row r="73" spans="2:19" ht="23.25" customHeight="1" x14ac:dyDescent="0.25">
      <c r="B73" s="159">
        <v>68</v>
      </c>
      <c r="C73" s="160" t="str">
        <f>IFERROR(INDEX($Q$6:$Q$505,MATCH(68,$S$6:$S$505,0)),"")</f>
        <v>Prof. Dr. Hakan GÖKER</v>
      </c>
      <c r="D73" s="161">
        <f>IF(C73="","",COUNTIFS(Başvuru!$C:$C,C73,Başvuru!$A:$A,"&lt;&gt;"&amp;"",Başvuru!$F:$F,"&lt;&gt;"&amp;""))</f>
        <v>3</v>
      </c>
      <c r="E73" s="159" t="str">
        <f>IF(C73="","-",IF(D73&gt;0,TEXT(D73/(COUNTIFS(Başvuru!$A:$A,"&lt;&gt;",Başvuru!$F:$F,"&lt;&gt;")-1)*100,"0.0")&amp;"%","-"))</f>
        <v>00%</v>
      </c>
      <c r="F73" s="162">
        <f>IF(C73="","",COUNTIFS(Başvuru!$C:$C,C73,Başvuru!$G:$G,"Bireysel Araştırma",Başvuru!$A:$A,"&lt;&gt;"&amp;"",Başvuru!$F:$F,"&lt;&gt;"&amp;""))</f>
        <v>3</v>
      </c>
      <c r="G73" s="162">
        <f>IF(C73="","",COUNTIFS(Başvuru!$C:$C,C73,Başvuru!$G:$G,"Uzmanlık Tezi",Başvuru!$A:$A,"&lt;&gt;"&amp;"",Başvuru!$F:$F,"&lt;&gt;"&amp;""))</f>
        <v>0</v>
      </c>
      <c r="H73" s="162">
        <f>IF(C73="","",COUNTIFS(Başvuru!$C:$C,C73,Başvuru!$G:$G,"Doktora Tezi",Başvuru!$A:$A,"&lt;&gt;"&amp;"",Başvuru!$F:$F,"&lt;&gt;"&amp;""))</f>
        <v>0</v>
      </c>
      <c r="I73" s="162">
        <f>IF(C73="","",COUNTIFS(Başvuru!$C:$C,C73,Başvuru!$G:$G,"Yüksek Lisans Tezi",Başvuru!$A:$A,"&lt;&gt;"&amp;"",Başvuru!$F:$F,"&lt;&gt;"&amp;""))</f>
        <v>0</v>
      </c>
      <c r="J73" s="163">
        <f>IF(C73="","",COUNTIFS(Başvuru!$C:$C,C73,Başvuru!$L:$L,"ONAY",Başvuru!$A:$A,"&lt;&gt;"&amp;"",Başvuru!$F:$F,"&lt;&gt;"&amp;""))</f>
        <v>1</v>
      </c>
      <c r="K73" s="164">
        <f>IF(C73="","",COUNTIFS(Başvuru!$C:$C,C73,Başvuru!$L:$L,"DÜZELTME",Başvuru!$A:$A,"&lt;&gt;"&amp;"",Başvuru!$F:$F,"&lt;&gt;"&amp;""))</f>
        <v>2</v>
      </c>
      <c r="L73" s="165">
        <f>IF(C73="","",COUNTIFS(Başvuru!$C:$C,C73,Başvuru!$L:$L,"KAEK",Başvuru!$A:$A,"&lt;&gt;"&amp;"",Başvuru!$F:$F,"&lt;&gt;"&amp;""))</f>
        <v>0</v>
      </c>
      <c r="M73" s="166">
        <f>IF(C73="","",COUNTIFS(Başvuru!$C:$C,C73,Başvuru!$L:$L,"GÖRÜŞ",Başvuru!$A:$A,"&lt;&gt;"&amp;"",Başvuru!$F:$F,"&lt;&gt;"&amp;""))</f>
        <v>0</v>
      </c>
      <c r="N73" s="167">
        <f>IF(C73="","",COUNTIFS(Başvuru!$C:$C,C73,Başvuru!$L:$L,"RET",Başvuru!$A:$A,"&lt;&gt;"&amp;"",Başvuru!$F:$F,"&lt;&gt;"&amp;""))</f>
        <v>0</v>
      </c>
      <c r="O73" s="168">
        <f>IF(C73="","",COUNTIFS(Başvuru!$C:$C,C73,Başvuru!$L:$L,"KAPSAM DIŞI",Başvuru!$A:$A,"&lt;&gt;"&amp;"",Başvuru!$F:$F,"&lt;&gt;"&amp;""))</f>
        <v>0</v>
      </c>
      <c r="P73" s="169">
        <f>IF(C73="","",COUNTIFS(Başvuru!$C:$C,C73,Başvuru!$L:$L,"GERİ ÇEKİLDİ",Başvuru!$A:$A,"&lt;&gt;"&amp;"",Başvuru!$F:$F,"&lt;&gt;"&amp;""))</f>
        <v>0</v>
      </c>
      <c r="Q73" s="170" t="str">
        <f t="array" ref="Q73">IFERROR(INDEX(Başvuru!$C$2:$C$3000, MATCH(0, COUNTIF($Q$5:Q72, Başvuru!$C$2:$C$3000) + IF(Başvuru!$C$2:$C$3000="",1,0), 0)), "")</f>
        <v>Prof. Dr. Taner YILMAZ</v>
      </c>
      <c r="R73" s="171">
        <f>IF(Q73="","",COUNTIFS(Başvuru!$C:$C,Q73,Başvuru!$A:$A,"&lt;&gt;"&amp;"",Başvuru!$F:$F,"&lt;&gt;"&amp;""))</f>
        <v>2</v>
      </c>
      <c r="S73" s="171">
        <f>IF(R73="","",RANK(R73,$R$6:$R$505,0)+COUNTIF($R$6:R73,R73)-1)</f>
        <v>86</v>
      </c>
    </row>
    <row r="74" spans="2:19" ht="23.25" customHeight="1" x14ac:dyDescent="0.25">
      <c r="B74" s="159">
        <v>69</v>
      </c>
      <c r="C74" s="160" t="str">
        <f>IFERROR(INDEX($Q$6:$Q$505,MATCH(69,$S$6:$S$505,0)),"")</f>
        <v>Prof. Dr. Sinem AKGÜL</v>
      </c>
      <c r="D74" s="161">
        <f>IF(C74="","",COUNTIFS(Başvuru!$C:$C,C74,Başvuru!$A:$A,"&lt;&gt;"&amp;"",Başvuru!$F:$F,"&lt;&gt;"&amp;""))</f>
        <v>3</v>
      </c>
      <c r="E74" s="159" t="str">
        <f>IF(C74="","-",IF(D74&gt;0,TEXT(D74/(COUNTIFS(Başvuru!$A:$A,"&lt;&gt;",Başvuru!$F:$F,"&lt;&gt;")-1)*100,"0.0")&amp;"%","-"))</f>
        <v>00%</v>
      </c>
      <c r="F74" s="162">
        <f>IF(C74="","",COUNTIFS(Başvuru!$C:$C,C74,Başvuru!$G:$G,"Bireysel Araştırma",Başvuru!$A:$A,"&lt;&gt;"&amp;"",Başvuru!$F:$F,"&lt;&gt;"&amp;""))</f>
        <v>2</v>
      </c>
      <c r="G74" s="162">
        <f>IF(C74="","",COUNTIFS(Başvuru!$C:$C,C74,Başvuru!$G:$G,"Uzmanlık Tezi",Başvuru!$A:$A,"&lt;&gt;"&amp;"",Başvuru!$F:$F,"&lt;&gt;"&amp;""))</f>
        <v>1</v>
      </c>
      <c r="H74" s="162">
        <f>IF(C74="","",COUNTIFS(Başvuru!$C:$C,C74,Başvuru!$G:$G,"Doktora Tezi",Başvuru!$A:$A,"&lt;&gt;"&amp;"",Başvuru!$F:$F,"&lt;&gt;"&amp;""))</f>
        <v>0</v>
      </c>
      <c r="I74" s="162">
        <f>IF(C74="","",COUNTIFS(Başvuru!$C:$C,C74,Başvuru!$G:$G,"Yüksek Lisans Tezi",Başvuru!$A:$A,"&lt;&gt;"&amp;"",Başvuru!$F:$F,"&lt;&gt;"&amp;""))</f>
        <v>0</v>
      </c>
      <c r="J74" s="163">
        <f>IF(C74="","",COUNTIFS(Başvuru!$C:$C,C74,Başvuru!$L:$L,"ONAY",Başvuru!$A:$A,"&lt;&gt;"&amp;"",Başvuru!$F:$F,"&lt;&gt;"&amp;""))</f>
        <v>1</v>
      </c>
      <c r="K74" s="164">
        <f>IF(C74="","",COUNTIFS(Başvuru!$C:$C,C74,Başvuru!$L:$L,"DÜZELTME",Başvuru!$A:$A,"&lt;&gt;"&amp;"",Başvuru!$F:$F,"&lt;&gt;"&amp;""))</f>
        <v>1</v>
      </c>
      <c r="L74" s="165">
        <f>IF(C74="","",COUNTIFS(Başvuru!$C:$C,C74,Başvuru!$L:$L,"KAEK",Başvuru!$A:$A,"&lt;&gt;"&amp;"",Başvuru!$F:$F,"&lt;&gt;"&amp;""))</f>
        <v>1</v>
      </c>
      <c r="M74" s="166">
        <f>IF(C74="","",COUNTIFS(Başvuru!$C:$C,C74,Başvuru!$L:$L,"GÖRÜŞ",Başvuru!$A:$A,"&lt;&gt;"&amp;"",Başvuru!$F:$F,"&lt;&gt;"&amp;""))</f>
        <v>0</v>
      </c>
      <c r="N74" s="167">
        <f>IF(C74="","",COUNTIFS(Başvuru!$C:$C,C74,Başvuru!$L:$L,"RET",Başvuru!$A:$A,"&lt;&gt;"&amp;"",Başvuru!$F:$F,"&lt;&gt;"&amp;""))</f>
        <v>0</v>
      </c>
      <c r="O74" s="168">
        <f>IF(C74="","",COUNTIFS(Başvuru!$C:$C,C74,Başvuru!$L:$L,"KAPSAM DIŞI",Başvuru!$A:$A,"&lt;&gt;"&amp;"",Başvuru!$F:$F,"&lt;&gt;"&amp;""))</f>
        <v>0</v>
      </c>
      <c r="P74" s="169">
        <f>IF(C74="","",COUNTIFS(Başvuru!$C:$C,C74,Başvuru!$L:$L,"GERİ ÇEKİLDİ",Başvuru!$A:$A,"&lt;&gt;"&amp;"",Başvuru!$F:$F,"&lt;&gt;"&amp;""))</f>
        <v>0</v>
      </c>
      <c r="Q74" s="170" t="str">
        <f t="array" ref="Q74">IFERROR(INDEX(Başvuru!$C$2:$C$3000, MATCH(0, COUNTIF($Q$5:Q73, Başvuru!$C$2:$C$3000) + IF(Başvuru!$C$2:$C$3000="",1,0), 0)), "")</f>
        <v>Prof. Dr. Neşe DERİCİOĞLU</v>
      </c>
      <c r="R74" s="171">
        <f>IF(Q74="","",COUNTIFS(Başvuru!$C:$C,Q74,Başvuru!$A:$A,"&lt;&gt;"&amp;"",Başvuru!$F:$F,"&lt;&gt;"&amp;""))</f>
        <v>6</v>
      </c>
      <c r="S74" s="171">
        <f>IF(R74="","",RANK(R74,$R$6:$R$505,0)+COUNTIF($R$6:R74,R74)-1)</f>
        <v>17</v>
      </c>
    </row>
    <row r="75" spans="2:19" ht="23.25" customHeight="1" x14ac:dyDescent="0.25">
      <c r="B75" s="159">
        <v>70</v>
      </c>
      <c r="C75" s="160" t="str">
        <f>IFERROR(INDEX($Q$6:$Q$505,MATCH(70,$S$6:$S$505,0)),"")</f>
        <v>Prof. Dr. Sibel DOĞAN GÜNAYDIN</v>
      </c>
      <c r="D75" s="161">
        <f>IF(C75="","",COUNTIFS(Başvuru!$C:$C,C75,Başvuru!$A:$A,"&lt;&gt;"&amp;"",Başvuru!$F:$F,"&lt;&gt;"&amp;""))</f>
        <v>3</v>
      </c>
      <c r="E75" s="159" t="str">
        <f>IF(C75="","-",IF(D75&gt;0,TEXT(D75/(COUNTIFS(Başvuru!$A:$A,"&lt;&gt;",Başvuru!$F:$F,"&lt;&gt;")-1)*100,"0.0")&amp;"%","-"))</f>
        <v>00%</v>
      </c>
      <c r="F75" s="162">
        <f>IF(C75="","",COUNTIFS(Başvuru!$C:$C,C75,Başvuru!$G:$G,"Bireysel Araştırma",Başvuru!$A:$A,"&lt;&gt;"&amp;"",Başvuru!$F:$F,"&lt;&gt;"&amp;""))</f>
        <v>2</v>
      </c>
      <c r="G75" s="162">
        <f>IF(C75="","",COUNTIFS(Başvuru!$C:$C,C75,Başvuru!$G:$G,"Uzmanlık Tezi",Başvuru!$A:$A,"&lt;&gt;"&amp;"",Başvuru!$F:$F,"&lt;&gt;"&amp;""))</f>
        <v>1</v>
      </c>
      <c r="H75" s="162">
        <f>IF(C75="","",COUNTIFS(Başvuru!$C:$C,C75,Başvuru!$G:$G,"Doktora Tezi",Başvuru!$A:$A,"&lt;&gt;"&amp;"",Başvuru!$F:$F,"&lt;&gt;"&amp;""))</f>
        <v>0</v>
      </c>
      <c r="I75" s="162">
        <f>IF(C75="","",COUNTIFS(Başvuru!$C:$C,C75,Başvuru!$G:$G,"Yüksek Lisans Tezi",Başvuru!$A:$A,"&lt;&gt;"&amp;"",Başvuru!$F:$F,"&lt;&gt;"&amp;""))</f>
        <v>0</v>
      </c>
      <c r="J75" s="163">
        <f>IF(C75="","",COUNTIFS(Başvuru!$C:$C,C75,Başvuru!$L:$L,"ONAY",Başvuru!$A:$A,"&lt;&gt;"&amp;"",Başvuru!$F:$F,"&lt;&gt;"&amp;""))</f>
        <v>1</v>
      </c>
      <c r="K75" s="164">
        <f>IF(C75="","",COUNTIFS(Başvuru!$C:$C,C75,Başvuru!$L:$L,"DÜZELTME",Başvuru!$A:$A,"&lt;&gt;"&amp;"",Başvuru!$F:$F,"&lt;&gt;"&amp;""))</f>
        <v>2</v>
      </c>
      <c r="L75" s="165">
        <f>IF(C75="","",COUNTIFS(Başvuru!$C:$C,C75,Başvuru!$L:$L,"KAEK",Başvuru!$A:$A,"&lt;&gt;"&amp;"",Başvuru!$F:$F,"&lt;&gt;"&amp;""))</f>
        <v>0</v>
      </c>
      <c r="M75" s="166">
        <f>IF(C75="","",COUNTIFS(Başvuru!$C:$C,C75,Başvuru!$L:$L,"GÖRÜŞ",Başvuru!$A:$A,"&lt;&gt;"&amp;"",Başvuru!$F:$F,"&lt;&gt;"&amp;""))</f>
        <v>0</v>
      </c>
      <c r="N75" s="167">
        <f>IF(C75="","",COUNTIFS(Başvuru!$C:$C,C75,Başvuru!$L:$L,"RET",Başvuru!$A:$A,"&lt;&gt;"&amp;"",Başvuru!$F:$F,"&lt;&gt;"&amp;""))</f>
        <v>0</v>
      </c>
      <c r="O75" s="168">
        <f>IF(C75="","",COUNTIFS(Başvuru!$C:$C,C75,Başvuru!$L:$L,"KAPSAM DIŞI",Başvuru!$A:$A,"&lt;&gt;"&amp;"",Başvuru!$F:$F,"&lt;&gt;"&amp;""))</f>
        <v>0</v>
      </c>
      <c r="P75" s="169">
        <f>IF(C75="","",COUNTIFS(Başvuru!$C:$C,C75,Başvuru!$L:$L,"GERİ ÇEKİLDİ",Başvuru!$A:$A,"&lt;&gt;"&amp;"",Başvuru!$F:$F,"&lt;&gt;"&amp;""))</f>
        <v>0</v>
      </c>
      <c r="Q75" s="170" t="str">
        <f t="array" ref="Q75">IFERROR(INDEX(Başvuru!$C$2:$C$3000, MATCH(0, COUNTIF($Q$5:Q74, Başvuru!$C$2:$C$3000) + IF(Başvuru!$C$2:$C$3000="",1,0), 0)), "")</f>
        <v>Doç. Dr. Mert EŞME</v>
      </c>
      <c r="R75" s="171">
        <f>IF(Q75="","",COUNTIFS(Başvuru!$C:$C,Q75,Başvuru!$A:$A,"&lt;&gt;"&amp;"",Başvuru!$F:$F,"&lt;&gt;"&amp;""))</f>
        <v>10</v>
      </c>
      <c r="S75" s="171">
        <f>IF(R75="","",RANK(R75,$R$6:$R$505,0)+COUNTIF($R$6:R75,R75)-1)</f>
        <v>4</v>
      </c>
    </row>
    <row r="76" spans="2:19" ht="23.25" customHeight="1" x14ac:dyDescent="0.25">
      <c r="B76" s="159">
        <v>71</v>
      </c>
      <c r="C76" s="160" t="str">
        <f>IFERROR(INDEX($Q$6:$Q$505,MATCH(71,$S$6:$S$505,0)),"")</f>
        <v>Prof. Dr. Meryem Aslı TUNCER</v>
      </c>
      <c r="D76" s="161">
        <f>IF(C76="","",COUNTIFS(Başvuru!$C:$C,C76,Başvuru!$A:$A,"&lt;&gt;"&amp;"",Başvuru!$F:$F,"&lt;&gt;"&amp;""))</f>
        <v>3</v>
      </c>
      <c r="E76" s="159" t="str">
        <f>IF(C76="","-",IF(D76&gt;0,TEXT(D76/(COUNTIFS(Başvuru!$A:$A,"&lt;&gt;",Başvuru!$F:$F,"&lt;&gt;")-1)*100,"0.0")&amp;"%","-"))</f>
        <v>00%</v>
      </c>
      <c r="F76" s="162">
        <f>IF(C76="","",COUNTIFS(Başvuru!$C:$C,C76,Başvuru!$G:$G,"Bireysel Araştırma",Başvuru!$A:$A,"&lt;&gt;"&amp;"",Başvuru!$F:$F,"&lt;&gt;"&amp;""))</f>
        <v>1</v>
      </c>
      <c r="G76" s="162">
        <f>IF(C76="","",COUNTIFS(Başvuru!$C:$C,C76,Başvuru!$G:$G,"Uzmanlık Tezi",Başvuru!$A:$A,"&lt;&gt;"&amp;"",Başvuru!$F:$F,"&lt;&gt;"&amp;""))</f>
        <v>2</v>
      </c>
      <c r="H76" s="162">
        <f>IF(C76="","",COUNTIFS(Başvuru!$C:$C,C76,Başvuru!$G:$G,"Doktora Tezi",Başvuru!$A:$A,"&lt;&gt;"&amp;"",Başvuru!$F:$F,"&lt;&gt;"&amp;""))</f>
        <v>0</v>
      </c>
      <c r="I76" s="162">
        <f>IF(C76="","",COUNTIFS(Başvuru!$C:$C,C76,Başvuru!$G:$G,"Yüksek Lisans Tezi",Başvuru!$A:$A,"&lt;&gt;"&amp;"",Başvuru!$F:$F,"&lt;&gt;"&amp;""))</f>
        <v>0</v>
      </c>
      <c r="J76" s="163">
        <f>IF(C76="","",COUNTIFS(Başvuru!$C:$C,C76,Başvuru!$L:$L,"ONAY",Başvuru!$A:$A,"&lt;&gt;"&amp;"",Başvuru!$F:$F,"&lt;&gt;"&amp;""))</f>
        <v>2</v>
      </c>
      <c r="K76" s="164">
        <f>IF(C76="","",COUNTIFS(Başvuru!$C:$C,C76,Başvuru!$L:$L,"DÜZELTME",Başvuru!$A:$A,"&lt;&gt;"&amp;"",Başvuru!$F:$F,"&lt;&gt;"&amp;""))</f>
        <v>1</v>
      </c>
      <c r="L76" s="165">
        <f>IF(C76="","",COUNTIFS(Başvuru!$C:$C,C76,Başvuru!$L:$L,"KAEK",Başvuru!$A:$A,"&lt;&gt;"&amp;"",Başvuru!$F:$F,"&lt;&gt;"&amp;""))</f>
        <v>0</v>
      </c>
      <c r="M76" s="166">
        <f>IF(C76="","",COUNTIFS(Başvuru!$C:$C,C76,Başvuru!$L:$L,"GÖRÜŞ",Başvuru!$A:$A,"&lt;&gt;"&amp;"",Başvuru!$F:$F,"&lt;&gt;"&amp;""))</f>
        <v>0</v>
      </c>
      <c r="N76" s="167">
        <f>IF(C76="","",COUNTIFS(Başvuru!$C:$C,C76,Başvuru!$L:$L,"RET",Başvuru!$A:$A,"&lt;&gt;"&amp;"",Başvuru!$F:$F,"&lt;&gt;"&amp;""))</f>
        <v>0</v>
      </c>
      <c r="O76" s="168">
        <f>IF(C76="","",COUNTIFS(Başvuru!$C:$C,C76,Başvuru!$L:$L,"KAPSAM DIŞI",Başvuru!$A:$A,"&lt;&gt;"&amp;"",Başvuru!$F:$F,"&lt;&gt;"&amp;""))</f>
        <v>0</v>
      </c>
      <c r="P76" s="169">
        <f>IF(C76="","",COUNTIFS(Başvuru!$C:$C,C76,Başvuru!$L:$L,"GERİ ÇEKİLDİ",Başvuru!$A:$A,"&lt;&gt;"&amp;"",Başvuru!$F:$F,"&lt;&gt;"&amp;""))</f>
        <v>0</v>
      </c>
      <c r="Q76" s="170" t="str">
        <f t="array" ref="Q76">IFERROR(INDEX(Başvuru!$C$2:$C$3000, MATCH(0, COUNTIF($Q$5:Q75, Başvuru!$C$2:$C$3000) + IF(Başvuru!$C$2:$C$3000="",1,0), 0)), "")</f>
        <v>Prof. Dr. Salih AKSU</v>
      </c>
      <c r="R76" s="171">
        <f>IF(Q76="","",COUNTIFS(Başvuru!$C:$C,Q76,Başvuru!$A:$A,"&lt;&gt;"&amp;"",Başvuru!$F:$F,"&lt;&gt;"&amp;""))</f>
        <v>2</v>
      </c>
      <c r="S76" s="171">
        <f>IF(R76="","",RANK(R76,$R$6:$R$505,0)+COUNTIF($R$6:R76,R76)-1)</f>
        <v>87</v>
      </c>
    </row>
    <row r="77" spans="2:19" ht="23.25" customHeight="1" x14ac:dyDescent="0.25">
      <c r="B77" s="159">
        <v>72</v>
      </c>
      <c r="C77" s="160" t="str">
        <f>IFERROR(INDEX($Q$6:$Q$505,MATCH(72,$S$6:$S$505,0)),"")</f>
        <v>Doç. Dr. Melis PEHLİVANTÜRK KIZILKAN</v>
      </c>
      <c r="D77" s="161">
        <f>IF(C77="","",COUNTIFS(Başvuru!$C:$C,C77,Başvuru!$A:$A,"&lt;&gt;"&amp;"",Başvuru!$F:$F,"&lt;&gt;"&amp;""))</f>
        <v>3</v>
      </c>
      <c r="E77" s="159" t="str">
        <f>IF(C77="","-",IF(D77&gt;0,TEXT(D77/(COUNTIFS(Başvuru!$A:$A,"&lt;&gt;",Başvuru!$F:$F,"&lt;&gt;")-1)*100,"0.0")&amp;"%","-"))</f>
        <v>00%</v>
      </c>
      <c r="F77" s="162">
        <f>IF(C77="","",COUNTIFS(Başvuru!$C:$C,C77,Başvuru!$G:$G,"Bireysel Araştırma",Başvuru!$A:$A,"&lt;&gt;"&amp;"",Başvuru!$F:$F,"&lt;&gt;"&amp;""))</f>
        <v>2</v>
      </c>
      <c r="G77" s="162">
        <f>IF(C77="","",COUNTIFS(Başvuru!$C:$C,C77,Başvuru!$G:$G,"Uzmanlık Tezi",Başvuru!$A:$A,"&lt;&gt;"&amp;"",Başvuru!$F:$F,"&lt;&gt;"&amp;""))</f>
        <v>0</v>
      </c>
      <c r="H77" s="162">
        <f>IF(C77="","",COUNTIFS(Başvuru!$C:$C,C77,Başvuru!$G:$G,"Doktora Tezi",Başvuru!$A:$A,"&lt;&gt;"&amp;"",Başvuru!$F:$F,"&lt;&gt;"&amp;""))</f>
        <v>1</v>
      </c>
      <c r="I77" s="162">
        <f>IF(C77="","",COUNTIFS(Başvuru!$C:$C,C77,Başvuru!$G:$G,"Yüksek Lisans Tezi",Başvuru!$A:$A,"&lt;&gt;"&amp;"",Başvuru!$F:$F,"&lt;&gt;"&amp;""))</f>
        <v>0</v>
      </c>
      <c r="J77" s="163">
        <f>IF(C77="","",COUNTIFS(Başvuru!$C:$C,C77,Başvuru!$L:$L,"ONAY",Başvuru!$A:$A,"&lt;&gt;"&amp;"",Başvuru!$F:$F,"&lt;&gt;"&amp;""))</f>
        <v>0</v>
      </c>
      <c r="K77" s="164">
        <f>IF(C77="","",COUNTIFS(Başvuru!$C:$C,C77,Başvuru!$L:$L,"DÜZELTME",Başvuru!$A:$A,"&lt;&gt;"&amp;"",Başvuru!$F:$F,"&lt;&gt;"&amp;""))</f>
        <v>2</v>
      </c>
      <c r="L77" s="165">
        <f>IF(C77="","",COUNTIFS(Başvuru!$C:$C,C77,Başvuru!$L:$L,"KAEK",Başvuru!$A:$A,"&lt;&gt;"&amp;"",Başvuru!$F:$F,"&lt;&gt;"&amp;""))</f>
        <v>0</v>
      </c>
      <c r="M77" s="166">
        <f>IF(C77="","",COUNTIFS(Başvuru!$C:$C,C77,Başvuru!$L:$L,"GÖRÜŞ",Başvuru!$A:$A,"&lt;&gt;"&amp;"",Başvuru!$F:$F,"&lt;&gt;"&amp;""))</f>
        <v>0</v>
      </c>
      <c r="N77" s="167">
        <f>IF(C77="","",COUNTIFS(Başvuru!$C:$C,C77,Başvuru!$L:$L,"RET",Başvuru!$A:$A,"&lt;&gt;"&amp;"",Başvuru!$F:$F,"&lt;&gt;"&amp;""))</f>
        <v>0</v>
      </c>
      <c r="O77" s="168">
        <f>IF(C77="","",COUNTIFS(Başvuru!$C:$C,C77,Başvuru!$L:$L,"KAPSAM DIŞI",Başvuru!$A:$A,"&lt;&gt;"&amp;"",Başvuru!$F:$F,"&lt;&gt;"&amp;""))</f>
        <v>0</v>
      </c>
      <c r="P77" s="169">
        <f>IF(C77="","",COUNTIFS(Başvuru!$C:$C,C77,Başvuru!$L:$L,"GERİ ÇEKİLDİ",Başvuru!$A:$A,"&lt;&gt;"&amp;"",Başvuru!$F:$F,"&lt;&gt;"&amp;""))</f>
        <v>0</v>
      </c>
      <c r="Q77" s="170" t="str">
        <f t="array" ref="Q77">IFERROR(INDEX(Başvuru!$C$2:$C$3000, MATCH(0, COUNTIF($Q$5:Q76, Başvuru!$C$2:$C$3000) + IF(Başvuru!$C$2:$C$3000="",1,0), 0)), "")</f>
        <v>Prof. Dr. Güliz Nigar GÜNCÜ</v>
      </c>
      <c r="R77" s="171">
        <f>IF(Q77="","",COUNTIFS(Başvuru!$C:$C,Q77,Başvuru!$A:$A,"&lt;&gt;"&amp;"",Başvuru!$F:$F,"&lt;&gt;"&amp;""))</f>
        <v>1</v>
      </c>
      <c r="S77" s="171">
        <f>IF(R77="","",RANK(R77,$R$6:$R$505,0)+COUNTIF($R$6:R77,R77)-1)</f>
        <v>176</v>
      </c>
    </row>
    <row r="78" spans="2:19" ht="23.25" customHeight="1" x14ac:dyDescent="0.25">
      <c r="B78" s="159">
        <v>73</v>
      </c>
      <c r="C78" s="160" t="str">
        <f>IFERROR(INDEX($Q$6:$Q$505,MATCH(73,$S$6:$S$505,0)),"")</f>
        <v>Doç. Dr. Melike OCAK</v>
      </c>
      <c r="D78" s="161">
        <f>IF(C78="","",COUNTIFS(Başvuru!$C:$C,C78,Başvuru!$A:$A,"&lt;&gt;"&amp;"",Başvuru!$F:$F,"&lt;&gt;"&amp;""))</f>
        <v>3</v>
      </c>
      <c r="E78" s="159" t="str">
        <f>IF(C78="","-",IF(D78&gt;0,TEXT(D78/(COUNTIFS(Başvuru!$A:$A,"&lt;&gt;",Başvuru!$F:$F,"&lt;&gt;")-1)*100,"0.0")&amp;"%","-"))</f>
        <v>00%</v>
      </c>
      <c r="F78" s="162">
        <f>IF(C78="","",COUNTIFS(Başvuru!$C:$C,C78,Başvuru!$G:$G,"Bireysel Araştırma",Başvuru!$A:$A,"&lt;&gt;"&amp;"",Başvuru!$F:$F,"&lt;&gt;"&amp;""))</f>
        <v>3</v>
      </c>
      <c r="G78" s="162">
        <f>IF(C78="","",COUNTIFS(Başvuru!$C:$C,C78,Başvuru!$G:$G,"Uzmanlık Tezi",Başvuru!$A:$A,"&lt;&gt;"&amp;"",Başvuru!$F:$F,"&lt;&gt;"&amp;""))</f>
        <v>0</v>
      </c>
      <c r="H78" s="162">
        <f>IF(C78="","",COUNTIFS(Başvuru!$C:$C,C78,Başvuru!$G:$G,"Doktora Tezi",Başvuru!$A:$A,"&lt;&gt;"&amp;"",Başvuru!$F:$F,"&lt;&gt;"&amp;""))</f>
        <v>0</v>
      </c>
      <c r="I78" s="162">
        <f>IF(C78="","",COUNTIFS(Başvuru!$C:$C,C78,Başvuru!$G:$G,"Yüksek Lisans Tezi",Başvuru!$A:$A,"&lt;&gt;"&amp;"",Başvuru!$F:$F,"&lt;&gt;"&amp;""))</f>
        <v>0</v>
      </c>
      <c r="J78" s="163">
        <f>IF(C78="","",COUNTIFS(Başvuru!$C:$C,C78,Başvuru!$L:$L,"ONAY",Başvuru!$A:$A,"&lt;&gt;"&amp;"",Başvuru!$F:$F,"&lt;&gt;"&amp;""))</f>
        <v>2</v>
      </c>
      <c r="K78" s="164">
        <f>IF(C78="","",COUNTIFS(Başvuru!$C:$C,C78,Başvuru!$L:$L,"DÜZELTME",Başvuru!$A:$A,"&lt;&gt;"&amp;"",Başvuru!$F:$F,"&lt;&gt;"&amp;""))</f>
        <v>1</v>
      </c>
      <c r="L78" s="165">
        <f>IF(C78="","",COUNTIFS(Başvuru!$C:$C,C78,Başvuru!$L:$L,"KAEK",Başvuru!$A:$A,"&lt;&gt;"&amp;"",Başvuru!$F:$F,"&lt;&gt;"&amp;""))</f>
        <v>0</v>
      </c>
      <c r="M78" s="166">
        <f>IF(C78="","",COUNTIFS(Başvuru!$C:$C,C78,Başvuru!$L:$L,"GÖRÜŞ",Başvuru!$A:$A,"&lt;&gt;"&amp;"",Başvuru!$F:$F,"&lt;&gt;"&amp;""))</f>
        <v>0</v>
      </c>
      <c r="N78" s="167">
        <f>IF(C78="","",COUNTIFS(Başvuru!$C:$C,C78,Başvuru!$L:$L,"RET",Başvuru!$A:$A,"&lt;&gt;"&amp;"",Başvuru!$F:$F,"&lt;&gt;"&amp;""))</f>
        <v>0</v>
      </c>
      <c r="O78" s="168">
        <f>IF(C78="","",COUNTIFS(Başvuru!$C:$C,C78,Başvuru!$L:$L,"KAPSAM DIŞI",Başvuru!$A:$A,"&lt;&gt;"&amp;"",Başvuru!$F:$F,"&lt;&gt;"&amp;""))</f>
        <v>0</v>
      </c>
      <c r="P78" s="169">
        <f>IF(C78="","",COUNTIFS(Başvuru!$C:$C,C78,Başvuru!$L:$L,"GERİ ÇEKİLDİ",Başvuru!$A:$A,"&lt;&gt;"&amp;"",Başvuru!$F:$F,"&lt;&gt;"&amp;""))</f>
        <v>0</v>
      </c>
      <c r="Q78" s="170" t="str">
        <f t="array" ref="Q78">IFERROR(INDEX(Başvuru!$C$2:$C$3000, MATCH(0, COUNTIF($Q$5:Q77, Başvuru!$C$2:$C$3000) + IF(Başvuru!$C$2:$C$3000="",1,0), 0)), "")</f>
        <v>Doç. Dr. İrem KOÇ</v>
      </c>
      <c r="R78" s="171">
        <f>IF(Q78="","",COUNTIFS(Başvuru!$C:$C,Q78,Başvuru!$A:$A,"&lt;&gt;"&amp;"",Başvuru!$F:$F,"&lt;&gt;"&amp;""))</f>
        <v>5</v>
      </c>
      <c r="S78" s="171">
        <f>IF(R78="","",RANK(R78,$R$6:$R$505,0)+COUNTIF($R$6:R78,R78)-1)</f>
        <v>24</v>
      </c>
    </row>
    <row r="79" spans="2:19" ht="23.25" customHeight="1" x14ac:dyDescent="0.25">
      <c r="B79" s="159">
        <v>74</v>
      </c>
      <c r="C79" s="160" t="str">
        <f>IFERROR(INDEX($Q$6:$Q$505,MATCH(74,$S$6:$S$505,0)),"")</f>
        <v>Prof. Dr. Selin AYTAÇ EYÜPOĞLU</v>
      </c>
      <c r="D79" s="161">
        <f>IF(C79="","",COUNTIFS(Başvuru!$C:$C,C79,Başvuru!$A:$A,"&lt;&gt;"&amp;"",Başvuru!$F:$F,"&lt;&gt;"&amp;""))</f>
        <v>3</v>
      </c>
      <c r="E79" s="159" t="str">
        <f>IF(C79="","-",IF(D79&gt;0,TEXT(D79/(COUNTIFS(Başvuru!$A:$A,"&lt;&gt;",Başvuru!$F:$F,"&lt;&gt;")-1)*100,"0.0")&amp;"%","-"))</f>
        <v>00%</v>
      </c>
      <c r="F79" s="162">
        <f>IF(C79="","",COUNTIFS(Başvuru!$C:$C,C79,Başvuru!$G:$G,"Bireysel Araştırma",Başvuru!$A:$A,"&lt;&gt;"&amp;"",Başvuru!$F:$F,"&lt;&gt;"&amp;""))</f>
        <v>3</v>
      </c>
      <c r="G79" s="162">
        <f>IF(C79="","",COUNTIFS(Başvuru!$C:$C,C79,Başvuru!$G:$G,"Uzmanlık Tezi",Başvuru!$A:$A,"&lt;&gt;"&amp;"",Başvuru!$F:$F,"&lt;&gt;"&amp;""))</f>
        <v>0</v>
      </c>
      <c r="H79" s="162">
        <f>IF(C79="","",COUNTIFS(Başvuru!$C:$C,C79,Başvuru!$G:$G,"Doktora Tezi",Başvuru!$A:$A,"&lt;&gt;"&amp;"",Başvuru!$F:$F,"&lt;&gt;"&amp;""))</f>
        <v>0</v>
      </c>
      <c r="I79" s="162">
        <f>IF(C79="","",COUNTIFS(Başvuru!$C:$C,C79,Başvuru!$G:$G,"Yüksek Lisans Tezi",Başvuru!$A:$A,"&lt;&gt;"&amp;"",Başvuru!$F:$F,"&lt;&gt;"&amp;""))</f>
        <v>0</v>
      </c>
      <c r="J79" s="163">
        <f>IF(C79="","",COUNTIFS(Başvuru!$C:$C,C79,Başvuru!$L:$L,"ONAY",Başvuru!$A:$A,"&lt;&gt;"&amp;"",Başvuru!$F:$F,"&lt;&gt;"&amp;""))</f>
        <v>2</v>
      </c>
      <c r="K79" s="164">
        <f>IF(C79="","",COUNTIFS(Başvuru!$C:$C,C79,Başvuru!$L:$L,"DÜZELTME",Başvuru!$A:$A,"&lt;&gt;"&amp;"",Başvuru!$F:$F,"&lt;&gt;"&amp;""))</f>
        <v>1</v>
      </c>
      <c r="L79" s="165">
        <f>IF(C79="","",COUNTIFS(Başvuru!$C:$C,C79,Başvuru!$L:$L,"KAEK",Başvuru!$A:$A,"&lt;&gt;"&amp;"",Başvuru!$F:$F,"&lt;&gt;"&amp;""))</f>
        <v>0</v>
      </c>
      <c r="M79" s="166">
        <f>IF(C79="","",COUNTIFS(Başvuru!$C:$C,C79,Başvuru!$L:$L,"GÖRÜŞ",Başvuru!$A:$A,"&lt;&gt;"&amp;"",Başvuru!$F:$F,"&lt;&gt;"&amp;""))</f>
        <v>0</v>
      </c>
      <c r="N79" s="167">
        <f>IF(C79="","",COUNTIFS(Başvuru!$C:$C,C79,Başvuru!$L:$L,"RET",Başvuru!$A:$A,"&lt;&gt;"&amp;"",Başvuru!$F:$F,"&lt;&gt;"&amp;""))</f>
        <v>0</v>
      </c>
      <c r="O79" s="168">
        <f>IF(C79="","",COUNTIFS(Başvuru!$C:$C,C79,Başvuru!$L:$L,"KAPSAM DIŞI",Başvuru!$A:$A,"&lt;&gt;"&amp;"",Başvuru!$F:$F,"&lt;&gt;"&amp;""))</f>
        <v>0</v>
      </c>
      <c r="P79" s="169">
        <f>IF(C79="","",COUNTIFS(Başvuru!$C:$C,C79,Başvuru!$L:$L,"GERİ ÇEKİLDİ",Başvuru!$A:$A,"&lt;&gt;"&amp;"",Başvuru!$F:$F,"&lt;&gt;"&amp;""))</f>
        <v>0</v>
      </c>
      <c r="Q79" s="170" t="str">
        <f t="array" ref="Q79">IFERROR(INDEX(Başvuru!$C$2:$C$3000, MATCH(0, COUNTIF($Q$5:Q78, Başvuru!$C$2:$C$3000) + IF(Başvuru!$C$2:$C$3000="",1,0), 0)), "")</f>
        <v>Doç. Dr. Hacı Hasan YETER</v>
      </c>
      <c r="R79" s="171">
        <f>IF(Q79="","",COUNTIFS(Başvuru!$C:$C,Q79,Başvuru!$A:$A,"&lt;&gt;"&amp;"",Başvuru!$F:$F,"&lt;&gt;"&amp;""))</f>
        <v>3</v>
      </c>
      <c r="S79" s="171">
        <f>IF(R79="","",RANK(R79,$R$6:$R$505,0)+COUNTIF($R$6:R79,R79)-1)</f>
        <v>58</v>
      </c>
    </row>
    <row r="80" spans="2:19" ht="23.25" customHeight="1" x14ac:dyDescent="0.25">
      <c r="B80" s="159">
        <v>75</v>
      </c>
      <c r="C80" s="160" t="str">
        <f>IFERROR(INDEX($Q$6:$Q$505,MATCH(75,$S$6:$S$505,0)),"")</f>
        <v>Prof. Dr. Özge UYSAL SOYER</v>
      </c>
      <c r="D80" s="161">
        <f>IF(C80="","",COUNTIFS(Başvuru!$C:$C,C80,Başvuru!$A:$A,"&lt;&gt;"&amp;"",Başvuru!$F:$F,"&lt;&gt;"&amp;""))</f>
        <v>3</v>
      </c>
      <c r="E80" s="159" t="str">
        <f>IF(C80="","-",IF(D80&gt;0,TEXT(D80/(COUNTIFS(Başvuru!$A:$A,"&lt;&gt;",Başvuru!$F:$F,"&lt;&gt;")-1)*100,"0.0")&amp;"%","-"))</f>
        <v>00%</v>
      </c>
      <c r="F80" s="162">
        <f>IF(C80="","",COUNTIFS(Başvuru!$C:$C,C80,Başvuru!$G:$G,"Bireysel Araştırma",Başvuru!$A:$A,"&lt;&gt;"&amp;"",Başvuru!$F:$F,"&lt;&gt;"&amp;""))</f>
        <v>3</v>
      </c>
      <c r="G80" s="162">
        <f>IF(C80="","",COUNTIFS(Başvuru!$C:$C,C80,Başvuru!$G:$G,"Uzmanlık Tezi",Başvuru!$A:$A,"&lt;&gt;"&amp;"",Başvuru!$F:$F,"&lt;&gt;"&amp;""))</f>
        <v>0</v>
      </c>
      <c r="H80" s="162">
        <f>IF(C80="","",COUNTIFS(Başvuru!$C:$C,C80,Başvuru!$G:$G,"Doktora Tezi",Başvuru!$A:$A,"&lt;&gt;"&amp;"",Başvuru!$F:$F,"&lt;&gt;"&amp;""))</f>
        <v>0</v>
      </c>
      <c r="I80" s="162">
        <f>IF(C80="","",COUNTIFS(Başvuru!$C:$C,C80,Başvuru!$G:$G,"Yüksek Lisans Tezi",Başvuru!$A:$A,"&lt;&gt;"&amp;"",Başvuru!$F:$F,"&lt;&gt;"&amp;""))</f>
        <v>0</v>
      </c>
      <c r="J80" s="163">
        <f>IF(C80="","",COUNTIFS(Başvuru!$C:$C,C80,Başvuru!$L:$L,"ONAY",Başvuru!$A:$A,"&lt;&gt;"&amp;"",Başvuru!$F:$F,"&lt;&gt;"&amp;""))</f>
        <v>0</v>
      </c>
      <c r="K80" s="164">
        <f>IF(C80="","",COUNTIFS(Başvuru!$C:$C,C80,Başvuru!$L:$L,"DÜZELTME",Başvuru!$A:$A,"&lt;&gt;"&amp;"",Başvuru!$F:$F,"&lt;&gt;"&amp;""))</f>
        <v>0</v>
      </c>
      <c r="L80" s="165">
        <f>IF(C80="","",COUNTIFS(Başvuru!$C:$C,C80,Başvuru!$L:$L,"KAEK",Başvuru!$A:$A,"&lt;&gt;"&amp;"",Başvuru!$F:$F,"&lt;&gt;"&amp;""))</f>
        <v>0</v>
      </c>
      <c r="M80" s="166">
        <f>IF(C80="","",COUNTIFS(Başvuru!$C:$C,C80,Başvuru!$L:$L,"GÖRÜŞ",Başvuru!$A:$A,"&lt;&gt;"&amp;"",Başvuru!$F:$F,"&lt;&gt;"&amp;""))</f>
        <v>0</v>
      </c>
      <c r="N80" s="167">
        <f>IF(C80="","",COUNTIFS(Başvuru!$C:$C,C80,Başvuru!$L:$L,"RET",Başvuru!$A:$A,"&lt;&gt;"&amp;"",Başvuru!$F:$F,"&lt;&gt;"&amp;""))</f>
        <v>1</v>
      </c>
      <c r="O80" s="168">
        <f>IF(C80="","",COUNTIFS(Başvuru!$C:$C,C80,Başvuru!$L:$L,"KAPSAM DIŞI",Başvuru!$A:$A,"&lt;&gt;"&amp;"",Başvuru!$F:$F,"&lt;&gt;"&amp;""))</f>
        <v>0</v>
      </c>
      <c r="P80" s="169">
        <f>IF(C80="","",COUNTIFS(Başvuru!$C:$C,C80,Başvuru!$L:$L,"GERİ ÇEKİLDİ",Başvuru!$A:$A,"&lt;&gt;"&amp;"",Başvuru!$F:$F,"&lt;&gt;"&amp;""))</f>
        <v>0</v>
      </c>
      <c r="Q80" s="170" t="str">
        <f t="array" ref="Q80">IFERROR(INDEX(Başvuru!$C$2:$C$3000, MATCH(0, COUNTIF($Q$5:Q79, Başvuru!$C$2:$C$3000) + IF(Başvuru!$C$2:$C$3000="",1,0), 0)), "")</f>
        <v>Doç. Dr. Kübra AYKAÇ</v>
      </c>
      <c r="R80" s="171">
        <f>IF(Q80="","",COUNTIFS(Başvuru!$C:$C,Q80,Başvuru!$A:$A,"&lt;&gt;"&amp;"",Başvuru!$F:$F,"&lt;&gt;"&amp;""))</f>
        <v>4</v>
      </c>
      <c r="S80" s="171">
        <f>IF(R80="","",RANK(R80,$R$6:$R$505,0)+COUNTIF($R$6:R80,R80)-1)</f>
        <v>36</v>
      </c>
    </row>
    <row r="81" spans="2:19" ht="23.25" customHeight="1" x14ac:dyDescent="0.25">
      <c r="B81" s="159">
        <v>76</v>
      </c>
      <c r="C81" s="160" t="str">
        <f>IFERROR(INDEX($Q$6:$Q$505,MATCH(76,$S$6:$S$505,0)),"")</f>
        <v>Prof. Dr. Bayram ŞAHİN</v>
      </c>
      <c r="D81" s="161">
        <f>IF(C81="","",COUNTIFS(Başvuru!$C:$C,C81,Başvuru!$A:$A,"&lt;&gt;"&amp;"",Başvuru!$F:$F,"&lt;&gt;"&amp;""))</f>
        <v>2</v>
      </c>
      <c r="E81" s="159" t="str">
        <f>IF(C81="","-",IF(D81&gt;0,TEXT(D81/(COUNTIFS(Başvuru!$A:$A,"&lt;&gt;",Başvuru!$F:$F,"&lt;&gt;")-1)*100,"0.0")&amp;"%","-"))</f>
        <v>00%</v>
      </c>
      <c r="F81" s="162">
        <f>IF(C81="","",COUNTIFS(Başvuru!$C:$C,C81,Başvuru!$G:$G,"Bireysel Araştırma",Başvuru!$A:$A,"&lt;&gt;"&amp;"",Başvuru!$F:$F,"&lt;&gt;"&amp;""))</f>
        <v>0</v>
      </c>
      <c r="G81" s="162">
        <f>IF(C81="","",COUNTIFS(Başvuru!$C:$C,C81,Başvuru!$G:$G,"Uzmanlık Tezi",Başvuru!$A:$A,"&lt;&gt;"&amp;"",Başvuru!$F:$F,"&lt;&gt;"&amp;""))</f>
        <v>0</v>
      </c>
      <c r="H81" s="162">
        <f>IF(C81="","",COUNTIFS(Başvuru!$C:$C,C81,Başvuru!$G:$G,"Doktora Tezi",Başvuru!$A:$A,"&lt;&gt;"&amp;"",Başvuru!$F:$F,"&lt;&gt;"&amp;""))</f>
        <v>1</v>
      </c>
      <c r="I81" s="162">
        <f>IF(C81="","",COUNTIFS(Başvuru!$C:$C,C81,Başvuru!$G:$G,"Yüksek Lisans Tezi",Başvuru!$A:$A,"&lt;&gt;"&amp;"",Başvuru!$F:$F,"&lt;&gt;"&amp;""))</f>
        <v>1</v>
      </c>
      <c r="J81" s="163">
        <f>IF(C81="","",COUNTIFS(Başvuru!$C:$C,C81,Başvuru!$L:$L,"ONAY",Başvuru!$A:$A,"&lt;&gt;"&amp;"",Başvuru!$F:$F,"&lt;&gt;"&amp;""))</f>
        <v>0</v>
      </c>
      <c r="K81" s="164">
        <f>IF(C81="","",COUNTIFS(Başvuru!$C:$C,C81,Başvuru!$L:$L,"DÜZELTME",Başvuru!$A:$A,"&lt;&gt;"&amp;"",Başvuru!$F:$F,"&lt;&gt;"&amp;""))</f>
        <v>1</v>
      </c>
      <c r="L81" s="165">
        <f>IF(C81="","",COUNTIFS(Başvuru!$C:$C,C81,Başvuru!$L:$L,"KAEK",Başvuru!$A:$A,"&lt;&gt;"&amp;"",Başvuru!$F:$F,"&lt;&gt;"&amp;""))</f>
        <v>0</v>
      </c>
      <c r="M81" s="166">
        <f>IF(C81="","",COUNTIFS(Başvuru!$C:$C,C81,Başvuru!$L:$L,"GÖRÜŞ",Başvuru!$A:$A,"&lt;&gt;"&amp;"",Başvuru!$F:$F,"&lt;&gt;"&amp;""))</f>
        <v>0</v>
      </c>
      <c r="N81" s="167">
        <f>IF(C81="","",COUNTIFS(Başvuru!$C:$C,C81,Başvuru!$L:$L,"RET",Başvuru!$A:$A,"&lt;&gt;"&amp;"",Başvuru!$F:$F,"&lt;&gt;"&amp;""))</f>
        <v>1</v>
      </c>
      <c r="O81" s="168">
        <f>IF(C81="","",COUNTIFS(Başvuru!$C:$C,C81,Başvuru!$L:$L,"KAPSAM DIŞI",Başvuru!$A:$A,"&lt;&gt;"&amp;"",Başvuru!$F:$F,"&lt;&gt;"&amp;""))</f>
        <v>0</v>
      </c>
      <c r="P81" s="169">
        <f>IF(C81="","",COUNTIFS(Başvuru!$C:$C,C81,Başvuru!$L:$L,"GERİ ÇEKİLDİ",Başvuru!$A:$A,"&lt;&gt;"&amp;"",Başvuru!$F:$F,"&lt;&gt;"&amp;""))</f>
        <v>0</v>
      </c>
      <c r="Q81" s="170" t="str">
        <f t="array" ref="Q81">IFERROR(INDEX(Başvuru!$C$2:$C$3000, MATCH(0, COUNTIF($Q$5:Q80, Başvuru!$C$2:$C$3000) + IF(Başvuru!$C$2:$C$3000="",1,0), 0)), "")</f>
        <v>Doç. Dr. Emel ISIYEL</v>
      </c>
      <c r="R81" s="171">
        <f>IF(Q81="","",COUNTIFS(Başvuru!$C:$C,Q81,Başvuru!$A:$A,"&lt;&gt;"&amp;"",Başvuru!$F:$F,"&lt;&gt;"&amp;""))</f>
        <v>1</v>
      </c>
      <c r="S81" s="171">
        <f>IF(R81="","",RANK(R81,$R$6:$R$505,0)+COUNTIF($R$6:R81,R81)-1)</f>
        <v>177</v>
      </c>
    </row>
    <row r="82" spans="2:19" ht="23.25" customHeight="1" x14ac:dyDescent="0.25">
      <c r="B82" s="159">
        <v>77</v>
      </c>
      <c r="C82" s="160" t="str">
        <f>IFERROR(INDEX($Q$6:$Q$505,MATCH(77,$S$6:$S$505,0)),"")</f>
        <v>Doç. Dr. Nursel ÇALIK BAŞARAN</v>
      </c>
      <c r="D82" s="161">
        <f>IF(C82="","",COUNTIFS(Başvuru!$C:$C,C82,Başvuru!$A:$A,"&lt;&gt;"&amp;"",Başvuru!$F:$F,"&lt;&gt;"&amp;""))</f>
        <v>2</v>
      </c>
      <c r="E82" s="159" t="str">
        <f>IF(C82="","-",IF(D82&gt;0,TEXT(D82/(COUNTIFS(Başvuru!$A:$A,"&lt;&gt;",Başvuru!$F:$F,"&lt;&gt;")-1)*100,"0.0")&amp;"%","-"))</f>
        <v>00%</v>
      </c>
      <c r="F82" s="162">
        <f>IF(C82="","",COUNTIFS(Başvuru!$C:$C,C82,Başvuru!$G:$G,"Bireysel Araştırma",Başvuru!$A:$A,"&lt;&gt;"&amp;"",Başvuru!$F:$F,"&lt;&gt;"&amp;""))</f>
        <v>1</v>
      </c>
      <c r="G82" s="162">
        <f>IF(C82="","",COUNTIFS(Başvuru!$C:$C,C82,Başvuru!$G:$G,"Uzmanlık Tezi",Başvuru!$A:$A,"&lt;&gt;"&amp;"",Başvuru!$F:$F,"&lt;&gt;"&amp;""))</f>
        <v>1</v>
      </c>
      <c r="H82" s="162">
        <f>IF(C82="","",COUNTIFS(Başvuru!$C:$C,C82,Başvuru!$G:$G,"Doktora Tezi",Başvuru!$A:$A,"&lt;&gt;"&amp;"",Başvuru!$F:$F,"&lt;&gt;"&amp;""))</f>
        <v>0</v>
      </c>
      <c r="I82" s="162">
        <f>IF(C82="","",COUNTIFS(Başvuru!$C:$C,C82,Başvuru!$G:$G,"Yüksek Lisans Tezi",Başvuru!$A:$A,"&lt;&gt;"&amp;"",Başvuru!$F:$F,"&lt;&gt;"&amp;""))</f>
        <v>0</v>
      </c>
      <c r="J82" s="163">
        <f>IF(C82="","",COUNTIFS(Başvuru!$C:$C,C82,Başvuru!$L:$L,"ONAY",Başvuru!$A:$A,"&lt;&gt;"&amp;"",Başvuru!$F:$F,"&lt;&gt;"&amp;""))</f>
        <v>2</v>
      </c>
      <c r="K82" s="164">
        <f>IF(C82="","",COUNTIFS(Başvuru!$C:$C,C82,Başvuru!$L:$L,"DÜZELTME",Başvuru!$A:$A,"&lt;&gt;"&amp;"",Başvuru!$F:$F,"&lt;&gt;"&amp;""))</f>
        <v>0</v>
      </c>
      <c r="L82" s="165">
        <f>IF(C82="","",COUNTIFS(Başvuru!$C:$C,C82,Başvuru!$L:$L,"KAEK",Başvuru!$A:$A,"&lt;&gt;"&amp;"",Başvuru!$F:$F,"&lt;&gt;"&amp;""))</f>
        <v>0</v>
      </c>
      <c r="M82" s="166">
        <f>IF(C82="","",COUNTIFS(Başvuru!$C:$C,C82,Başvuru!$L:$L,"GÖRÜŞ",Başvuru!$A:$A,"&lt;&gt;"&amp;"",Başvuru!$F:$F,"&lt;&gt;"&amp;""))</f>
        <v>0</v>
      </c>
      <c r="N82" s="167">
        <f>IF(C82="","",COUNTIFS(Başvuru!$C:$C,C82,Başvuru!$L:$L,"RET",Başvuru!$A:$A,"&lt;&gt;"&amp;"",Başvuru!$F:$F,"&lt;&gt;"&amp;""))</f>
        <v>0</v>
      </c>
      <c r="O82" s="168">
        <f>IF(C82="","",COUNTIFS(Başvuru!$C:$C,C82,Başvuru!$L:$L,"KAPSAM DIŞI",Başvuru!$A:$A,"&lt;&gt;"&amp;"",Başvuru!$F:$F,"&lt;&gt;"&amp;""))</f>
        <v>0</v>
      </c>
      <c r="P82" s="169">
        <f>IF(C82="","",COUNTIFS(Başvuru!$C:$C,C82,Başvuru!$L:$L,"GERİ ÇEKİLDİ",Başvuru!$A:$A,"&lt;&gt;"&amp;"",Başvuru!$F:$F,"&lt;&gt;"&amp;""))</f>
        <v>0</v>
      </c>
      <c r="Q82" s="170" t="str">
        <f t="array" ref="Q82">IFERROR(INDEX(Başvuru!$C$2:$C$3000, MATCH(0, COUNTIF($Q$5:Q81, Başvuru!$C$2:$C$3000) + IF(Başvuru!$C$2:$C$3000="",1,0), 0)), "")</f>
        <v>Prof. Dr. Ayşe Tomris ERBAŞ</v>
      </c>
      <c r="R82" s="171">
        <f>IF(Q82="","",COUNTIFS(Başvuru!$C:$C,Q82,Başvuru!$A:$A,"&lt;&gt;"&amp;"",Başvuru!$F:$F,"&lt;&gt;"&amp;""))</f>
        <v>3</v>
      </c>
      <c r="S82" s="171">
        <f>IF(R82="","",RANK(R82,$R$6:$R$505,0)+COUNTIF($R$6:R82,R82)-1)</f>
        <v>59</v>
      </c>
    </row>
    <row r="83" spans="2:19" ht="23.25" customHeight="1" x14ac:dyDescent="0.25">
      <c r="B83" s="159">
        <v>78</v>
      </c>
      <c r="C83" s="160" t="str">
        <f>IFERROR(INDEX($Q$6:$Q$505,MATCH(78,$S$6:$S$505,0)),"")</f>
        <v>Öğr. Gör. Dr. Buket KILIÇ</v>
      </c>
      <c r="D83" s="161">
        <f>IF(C83="","",COUNTIFS(Başvuru!$C:$C,C83,Başvuru!$A:$A,"&lt;&gt;"&amp;"",Başvuru!$F:$F,"&lt;&gt;"&amp;""))</f>
        <v>2</v>
      </c>
      <c r="E83" s="159" t="str">
        <f>IF(C83="","-",IF(D83&gt;0,TEXT(D83/(COUNTIFS(Başvuru!$A:$A,"&lt;&gt;",Başvuru!$F:$F,"&lt;&gt;")-1)*100,"0.0")&amp;"%","-"))</f>
        <v>00%</v>
      </c>
      <c r="F83" s="162">
        <f>IF(C83="","",COUNTIFS(Başvuru!$C:$C,C83,Başvuru!$G:$G,"Bireysel Araştırma",Başvuru!$A:$A,"&lt;&gt;"&amp;"",Başvuru!$F:$F,"&lt;&gt;"&amp;""))</f>
        <v>2</v>
      </c>
      <c r="G83" s="162">
        <f>IF(C83="","",COUNTIFS(Başvuru!$C:$C,C83,Başvuru!$G:$G,"Uzmanlık Tezi",Başvuru!$A:$A,"&lt;&gt;"&amp;"",Başvuru!$F:$F,"&lt;&gt;"&amp;""))</f>
        <v>0</v>
      </c>
      <c r="H83" s="162">
        <f>IF(C83="","",COUNTIFS(Başvuru!$C:$C,C83,Başvuru!$G:$G,"Doktora Tezi",Başvuru!$A:$A,"&lt;&gt;"&amp;"",Başvuru!$F:$F,"&lt;&gt;"&amp;""))</f>
        <v>0</v>
      </c>
      <c r="I83" s="162">
        <f>IF(C83="","",COUNTIFS(Başvuru!$C:$C,C83,Başvuru!$G:$G,"Yüksek Lisans Tezi",Başvuru!$A:$A,"&lt;&gt;"&amp;"",Başvuru!$F:$F,"&lt;&gt;"&amp;""))</f>
        <v>0</v>
      </c>
      <c r="J83" s="163">
        <f>IF(C83="","",COUNTIFS(Başvuru!$C:$C,C83,Başvuru!$L:$L,"ONAY",Başvuru!$A:$A,"&lt;&gt;"&amp;"",Başvuru!$F:$F,"&lt;&gt;"&amp;""))</f>
        <v>2</v>
      </c>
      <c r="K83" s="164">
        <f>IF(C83="","",COUNTIFS(Başvuru!$C:$C,C83,Başvuru!$L:$L,"DÜZELTME",Başvuru!$A:$A,"&lt;&gt;"&amp;"",Başvuru!$F:$F,"&lt;&gt;"&amp;""))</f>
        <v>0</v>
      </c>
      <c r="L83" s="165">
        <f>IF(C83="","",COUNTIFS(Başvuru!$C:$C,C83,Başvuru!$L:$L,"KAEK",Başvuru!$A:$A,"&lt;&gt;"&amp;"",Başvuru!$F:$F,"&lt;&gt;"&amp;""))</f>
        <v>0</v>
      </c>
      <c r="M83" s="166">
        <f>IF(C83="","",COUNTIFS(Başvuru!$C:$C,C83,Başvuru!$L:$L,"GÖRÜŞ",Başvuru!$A:$A,"&lt;&gt;"&amp;"",Başvuru!$F:$F,"&lt;&gt;"&amp;""))</f>
        <v>0</v>
      </c>
      <c r="N83" s="167">
        <f>IF(C83="","",COUNTIFS(Başvuru!$C:$C,C83,Başvuru!$L:$L,"RET",Başvuru!$A:$A,"&lt;&gt;"&amp;"",Başvuru!$F:$F,"&lt;&gt;"&amp;""))</f>
        <v>0</v>
      </c>
      <c r="O83" s="168">
        <f>IF(C83="","",COUNTIFS(Başvuru!$C:$C,C83,Başvuru!$L:$L,"KAPSAM DIŞI",Başvuru!$A:$A,"&lt;&gt;"&amp;"",Başvuru!$F:$F,"&lt;&gt;"&amp;""))</f>
        <v>0</v>
      </c>
      <c r="P83" s="169">
        <f>IF(C83="","",COUNTIFS(Başvuru!$C:$C,C83,Başvuru!$L:$L,"GERİ ÇEKİLDİ",Başvuru!$A:$A,"&lt;&gt;"&amp;"",Başvuru!$F:$F,"&lt;&gt;"&amp;""))</f>
        <v>0</v>
      </c>
      <c r="Q83" s="170" t="str">
        <f t="array" ref="Q83">IFERROR(INDEX(Başvuru!$C$2:$C$3000, MATCH(0, COUNTIF($Q$5:Q82, Başvuru!$C$2:$C$3000) + IF(Başvuru!$C$2:$C$3000="",1,0), 0)), "")</f>
        <v>Doç. Dr. Aslıhan AYKARA</v>
      </c>
      <c r="R83" s="171">
        <f>IF(Q83="","",COUNTIFS(Başvuru!$C:$C,Q83,Başvuru!$A:$A,"&lt;&gt;"&amp;"",Başvuru!$F:$F,"&lt;&gt;"&amp;""))</f>
        <v>2</v>
      </c>
      <c r="S83" s="171">
        <f>IF(R83="","",RANK(R83,$R$6:$R$505,0)+COUNTIF($R$6:R83,R83)-1)</f>
        <v>88</v>
      </c>
    </row>
    <row r="84" spans="2:19" ht="23.25" customHeight="1" x14ac:dyDescent="0.25">
      <c r="B84" s="159">
        <v>79</v>
      </c>
      <c r="C84" s="160" t="str">
        <f>IFERROR(INDEX($Q$6:$Q$505,MATCH(79,$S$6:$S$505,0)),"")</f>
        <v>Prof. Dr. Hikmet YORGUN</v>
      </c>
      <c r="D84" s="161">
        <f>IF(C84="","",COUNTIFS(Başvuru!$C:$C,C84,Başvuru!$A:$A,"&lt;&gt;"&amp;"",Başvuru!$F:$F,"&lt;&gt;"&amp;""))</f>
        <v>2</v>
      </c>
      <c r="E84" s="159" t="str">
        <f>IF(C84="","-",IF(D84&gt;0,TEXT(D84/(COUNTIFS(Başvuru!$A:$A,"&lt;&gt;",Başvuru!$F:$F,"&lt;&gt;")-1)*100,"0.0")&amp;"%","-"))</f>
        <v>00%</v>
      </c>
      <c r="F84" s="162">
        <f>IF(C84="","",COUNTIFS(Başvuru!$C:$C,C84,Başvuru!$G:$G,"Bireysel Araştırma",Başvuru!$A:$A,"&lt;&gt;"&amp;"",Başvuru!$F:$F,"&lt;&gt;"&amp;""))</f>
        <v>1</v>
      </c>
      <c r="G84" s="162">
        <f>IF(C84="","",COUNTIFS(Başvuru!$C:$C,C84,Başvuru!$G:$G,"Uzmanlık Tezi",Başvuru!$A:$A,"&lt;&gt;"&amp;"",Başvuru!$F:$F,"&lt;&gt;"&amp;""))</f>
        <v>1</v>
      </c>
      <c r="H84" s="162">
        <f>IF(C84="","",COUNTIFS(Başvuru!$C:$C,C84,Başvuru!$G:$G,"Doktora Tezi",Başvuru!$A:$A,"&lt;&gt;"&amp;"",Başvuru!$F:$F,"&lt;&gt;"&amp;""))</f>
        <v>0</v>
      </c>
      <c r="I84" s="162">
        <f>IF(C84="","",COUNTIFS(Başvuru!$C:$C,C84,Başvuru!$G:$G,"Yüksek Lisans Tezi",Başvuru!$A:$A,"&lt;&gt;"&amp;"",Başvuru!$F:$F,"&lt;&gt;"&amp;""))</f>
        <v>0</v>
      </c>
      <c r="J84" s="163">
        <f>IF(C84="","",COUNTIFS(Başvuru!$C:$C,C84,Başvuru!$L:$L,"ONAY",Başvuru!$A:$A,"&lt;&gt;"&amp;"",Başvuru!$F:$F,"&lt;&gt;"&amp;""))</f>
        <v>2</v>
      </c>
      <c r="K84" s="164">
        <f>IF(C84="","",COUNTIFS(Başvuru!$C:$C,C84,Başvuru!$L:$L,"DÜZELTME",Başvuru!$A:$A,"&lt;&gt;"&amp;"",Başvuru!$F:$F,"&lt;&gt;"&amp;""))</f>
        <v>0</v>
      </c>
      <c r="L84" s="165">
        <f>IF(C84="","",COUNTIFS(Başvuru!$C:$C,C84,Başvuru!$L:$L,"KAEK",Başvuru!$A:$A,"&lt;&gt;"&amp;"",Başvuru!$F:$F,"&lt;&gt;"&amp;""))</f>
        <v>0</v>
      </c>
      <c r="M84" s="166">
        <f>IF(C84="","",COUNTIFS(Başvuru!$C:$C,C84,Başvuru!$L:$L,"GÖRÜŞ",Başvuru!$A:$A,"&lt;&gt;"&amp;"",Başvuru!$F:$F,"&lt;&gt;"&amp;""))</f>
        <v>0</v>
      </c>
      <c r="N84" s="167">
        <f>IF(C84="","",COUNTIFS(Başvuru!$C:$C,C84,Başvuru!$L:$L,"RET",Başvuru!$A:$A,"&lt;&gt;"&amp;"",Başvuru!$F:$F,"&lt;&gt;"&amp;""))</f>
        <v>0</v>
      </c>
      <c r="O84" s="168">
        <f>IF(C84="","",COUNTIFS(Başvuru!$C:$C,C84,Başvuru!$L:$L,"KAPSAM DIŞI",Başvuru!$A:$A,"&lt;&gt;"&amp;"",Başvuru!$F:$F,"&lt;&gt;"&amp;""))</f>
        <v>0</v>
      </c>
      <c r="P84" s="169">
        <f>IF(C84="","",COUNTIFS(Başvuru!$C:$C,C84,Başvuru!$L:$L,"GERİ ÇEKİLDİ",Başvuru!$A:$A,"&lt;&gt;"&amp;"",Başvuru!$F:$F,"&lt;&gt;"&amp;""))</f>
        <v>0</v>
      </c>
      <c r="Q84" s="170" t="str">
        <f t="array" ref="Q84">IFERROR(INDEX(Başvuru!$C$2:$C$3000, MATCH(0, COUNTIF($Q$5:Q83, Başvuru!$C$2:$C$3000) + IF(Başvuru!$C$2:$C$3000="",1,0), 0)), "")</f>
        <v>Prof. Dr. Hakan Hıfzı TÜZ</v>
      </c>
      <c r="R84" s="171">
        <f>IF(Q84="","",COUNTIFS(Başvuru!$C:$C,Q84,Başvuru!$A:$A,"&lt;&gt;"&amp;"",Başvuru!$F:$F,"&lt;&gt;"&amp;""))</f>
        <v>2</v>
      </c>
      <c r="S84" s="171">
        <f>IF(R84="","",RANK(R84,$R$6:$R$505,0)+COUNTIF($R$6:R84,R84)-1)</f>
        <v>89</v>
      </c>
    </row>
    <row r="85" spans="2:19" ht="23.25" customHeight="1" x14ac:dyDescent="0.25">
      <c r="B85" s="159">
        <v>80</v>
      </c>
      <c r="C85" s="160" t="str">
        <f>IFERROR(INDEX($Q$6:$Q$505,MATCH(80,$S$6:$S$505,0)),"")</f>
        <v>Öğr. Gör. Dr. Bahattin PASLI</v>
      </c>
      <c r="D85" s="161">
        <f>IF(C85="","",COUNTIFS(Başvuru!$C:$C,C85,Başvuru!$A:$A,"&lt;&gt;"&amp;"",Başvuru!$F:$F,"&lt;&gt;"&amp;""))</f>
        <v>2</v>
      </c>
      <c r="E85" s="159" t="str">
        <f>IF(C85="","-",IF(D85&gt;0,TEXT(D85/(COUNTIFS(Başvuru!$A:$A,"&lt;&gt;",Başvuru!$F:$F,"&lt;&gt;")-1)*100,"0.0")&amp;"%","-"))</f>
        <v>00%</v>
      </c>
      <c r="F85" s="162">
        <f>IF(C85="","",COUNTIFS(Başvuru!$C:$C,C85,Başvuru!$G:$G,"Bireysel Araştırma",Başvuru!$A:$A,"&lt;&gt;"&amp;"",Başvuru!$F:$F,"&lt;&gt;"&amp;""))</f>
        <v>2</v>
      </c>
      <c r="G85" s="162">
        <f>IF(C85="","",COUNTIFS(Başvuru!$C:$C,C85,Başvuru!$G:$G,"Uzmanlık Tezi",Başvuru!$A:$A,"&lt;&gt;"&amp;"",Başvuru!$F:$F,"&lt;&gt;"&amp;""))</f>
        <v>0</v>
      </c>
      <c r="H85" s="162">
        <f>IF(C85="","",COUNTIFS(Başvuru!$C:$C,C85,Başvuru!$G:$G,"Doktora Tezi",Başvuru!$A:$A,"&lt;&gt;"&amp;"",Başvuru!$F:$F,"&lt;&gt;"&amp;""))</f>
        <v>0</v>
      </c>
      <c r="I85" s="162">
        <f>IF(C85="","",COUNTIFS(Başvuru!$C:$C,C85,Başvuru!$G:$G,"Yüksek Lisans Tezi",Başvuru!$A:$A,"&lt;&gt;"&amp;"",Başvuru!$F:$F,"&lt;&gt;"&amp;""))</f>
        <v>0</v>
      </c>
      <c r="J85" s="163">
        <f>IF(C85="","",COUNTIFS(Başvuru!$C:$C,C85,Başvuru!$L:$L,"ONAY",Başvuru!$A:$A,"&lt;&gt;"&amp;"",Başvuru!$F:$F,"&lt;&gt;"&amp;""))</f>
        <v>2</v>
      </c>
      <c r="K85" s="164">
        <f>IF(C85="","",COUNTIFS(Başvuru!$C:$C,C85,Başvuru!$L:$L,"DÜZELTME",Başvuru!$A:$A,"&lt;&gt;"&amp;"",Başvuru!$F:$F,"&lt;&gt;"&amp;""))</f>
        <v>0</v>
      </c>
      <c r="L85" s="165">
        <f>IF(C85="","",COUNTIFS(Başvuru!$C:$C,C85,Başvuru!$L:$L,"KAEK",Başvuru!$A:$A,"&lt;&gt;"&amp;"",Başvuru!$F:$F,"&lt;&gt;"&amp;""))</f>
        <v>0</v>
      </c>
      <c r="M85" s="166">
        <f>IF(C85="","",COUNTIFS(Başvuru!$C:$C,C85,Başvuru!$L:$L,"GÖRÜŞ",Başvuru!$A:$A,"&lt;&gt;"&amp;"",Başvuru!$F:$F,"&lt;&gt;"&amp;""))</f>
        <v>0</v>
      </c>
      <c r="N85" s="167">
        <f>IF(C85="","",COUNTIFS(Başvuru!$C:$C,C85,Başvuru!$L:$L,"RET",Başvuru!$A:$A,"&lt;&gt;"&amp;"",Başvuru!$F:$F,"&lt;&gt;"&amp;""))</f>
        <v>0</v>
      </c>
      <c r="O85" s="168">
        <f>IF(C85="","",COUNTIFS(Başvuru!$C:$C,C85,Başvuru!$L:$L,"KAPSAM DIŞI",Başvuru!$A:$A,"&lt;&gt;"&amp;"",Başvuru!$F:$F,"&lt;&gt;"&amp;""))</f>
        <v>0</v>
      </c>
      <c r="P85" s="169">
        <f>IF(C85="","",COUNTIFS(Başvuru!$C:$C,C85,Başvuru!$L:$L,"GERİ ÇEKİLDİ",Başvuru!$A:$A,"&lt;&gt;"&amp;"",Başvuru!$F:$F,"&lt;&gt;"&amp;""))</f>
        <v>0</v>
      </c>
      <c r="Q85" s="170" t="str">
        <f t="array" ref="Q85">IFERROR(INDEX(Başvuru!$C$2:$C$3000, MATCH(0, COUNTIF($Q$5:Q84, Başvuru!$C$2:$C$3000) + IF(Başvuru!$C$2:$C$3000="",1,0), 0)), "")</f>
        <v>Dr. Öğr. Üyesi Burkay UTKU</v>
      </c>
      <c r="R85" s="171">
        <f>IF(Q85="","",COUNTIFS(Başvuru!$C:$C,Q85,Başvuru!$A:$A,"&lt;&gt;"&amp;"",Başvuru!$F:$F,"&lt;&gt;"&amp;""))</f>
        <v>1</v>
      </c>
      <c r="S85" s="171">
        <f>IF(R85="","",RANK(R85,$R$6:$R$505,0)+COUNTIF($R$6:R85,R85)-1)</f>
        <v>178</v>
      </c>
    </row>
    <row r="86" spans="2:19" ht="23.25" customHeight="1" x14ac:dyDescent="0.25">
      <c r="B86" s="159">
        <v>81</v>
      </c>
      <c r="C86" s="160" t="str">
        <f>IFERROR(INDEX($Q$6:$Q$505,MATCH(81,$S$6:$S$505,0)),"")</f>
        <v>Doç. Dr. Hande GÖRÜCÜ COŞKUNER</v>
      </c>
      <c r="D86" s="161">
        <f>IF(C86="","",COUNTIFS(Başvuru!$C:$C,C86,Başvuru!$A:$A,"&lt;&gt;"&amp;"",Başvuru!$F:$F,"&lt;&gt;"&amp;""))</f>
        <v>2</v>
      </c>
      <c r="E86" s="159" t="str">
        <f>IF(C86="","-",IF(D86&gt;0,TEXT(D86/(COUNTIFS(Başvuru!$A:$A,"&lt;&gt;",Başvuru!$F:$F,"&lt;&gt;")-1)*100,"0.0")&amp;"%","-"))</f>
        <v>00%</v>
      </c>
      <c r="F86" s="162">
        <f>IF(C86="","",COUNTIFS(Başvuru!$C:$C,C86,Başvuru!$G:$G,"Bireysel Araştırma",Başvuru!$A:$A,"&lt;&gt;"&amp;"",Başvuru!$F:$F,"&lt;&gt;"&amp;""))</f>
        <v>2</v>
      </c>
      <c r="G86" s="162">
        <f>IF(C86="","",COUNTIFS(Başvuru!$C:$C,C86,Başvuru!$G:$G,"Uzmanlık Tezi",Başvuru!$A:$A,"&lt;&gt;"&amp;"",Başvuru!$F:$F,"&lt;&gt;"&amp;""))</f>
        <v>0</v>
      </c>
      <c r="H86" s="162">
        <f>IF(C86="","",COUNTIFS(Başvuru!$C:$C,C86,Başvuru!$G:$G,"Doktora Tezi",Başvuru!$A:$A,"&lt;&gt;"&amp;"",Başvuru!$F:$F,"&lt;&gt;"&amp;""))</f>
        <v>0</v>
      </c>
      <c r="I86" s="162">
        <f>IF(C86="","",COUNTIFS(Başvuru!$C:$C,C86,Başvuru!$G:$G,"Yüksek Lisans Tezi",Başvuru!$A:$A,"&lt;&gt;"&amp;"",Başvuru!$F:$F,"&lt;&gt;"&amp;""))</f>
        <v>0</v>
      </c>
      <c r="J86" s="163">
        <f>IF(C86="","",COUNTIFS(Başvuru!$C:$C,C86,Başvuru!$L:$L,"ONAY",Başvuru!$A:$A,"&lt;&gt;"&amp;"",Başvuru!$F:$F,"&lt;&gt;"&amp;""))</f>
        <v>0</v>
      </c>
      <c r="K86" s="164">
        <f>IF(C86="","",COUNTIFS(Başvuru!$C:$C,C86,Başvuru!$L:$L,"DÜZELTME",Başvuru!$A:$A,"&lt;&gt;"&amp;"",Başvuru!$F:$F,"&lt;&gt;"&amp;""))</f>
        <v>0</v>
      </c>
      <c r="L86" s="165">
        <f>IF(C86="","",COUNTIFS(Başvuru!$C:$C,C86,Başvuru!$L:$L,"KAEK",Başvuru!$A:$A,"&lt;&gt;"&amp;"",Başvuru!$F:$F,"&lt;&gt;"&amp;""))</f>
        <v>1</v>
      </c>
      <c r="M86" s="166">
        <f>IF(C86="","",COUNTIFS(Başvuru!$C:$C,C86,Başvuru!$L:$L,"GÖRÜŞ",Başvuru!$A:$A,"&lt;&gt;"&amp;"",Başvuru!$F:$F,"&lt;&gt;"&amp;""))</f>
        <v>0</v>
      </c>
      <c r="N86" s="167">
        <f>IF(C86="","",COUNTIFS(Başvuru!$C:$C,C86,Başvuru!$L:$L,"RET",Başvuru!$A:$A,"&lt;&gt;"&amp;"",Başvuru!$F:$F,"&lt;&gt;"&amp;""))</f>
        <v>1</v>
      </c>
      <c r="O86" s="168">
        <f>IF(C86="","",COUNTIFS(Başvuru!$C:$C,C86,Başvuru!$L:$L,"KAPSAM DIŞI",Başvuru!$A:$A,"&lt;&gt;"&amp;"",Başvuru!$F:$F,"&lt;&gt;"&amp;""))</f>
        <v>0</v>
      </c>
      <c r="P86" s="169">
        <f>IF(C86="","",COUNTIFS(Başvuru!$C:$C,C86,Başvuru!$L:$L,"GERİ ÇEKİLDİ",Başvuru!$A:$A,"&lt;&gt;"&amp;"",Başvuru!$F:$F,"&lt;&gt;"&amp;""))</f>
        <v>0</v>
      </c>
      <c r="Q86" s="170" t="str">
        <f t="array" ref="Q86">IFERROR(INDEX(Başvuru!$C$2:$C$3000, MATCH(0, COUNTIF($Q$5:Q85, Başvuru!$C$2:$C$3000) + IF(Başvuru!$C$2:$C$3000="",1,0), 0)), "")</f>
        <v>Doç. Dr. Burcu ERSÖZ ALAN</v>
      </c>
      <c r="R86" s="171">
        <f>IF(Q86="","",COUNTIFS(Başvuru!$C:$C,Q86,Başvuru!$A:$A,"&lt;&gt;"&amp;"",Başvuru!$F:$F,"&lt;&gt;"&amp;""))</f>
        <v>2</v>
      </c>
      <c r="S86" s="171">
        <f>IF(R86="","",RANK(R86,$R$6:$R$505,0)+COUNTIF($R$6:R86,R86)-1)</f>
        <v>90</v>
      </c>
    </row>
    <row r="87" spans="2:19" ht="23.25" customHeight="1" x14ac:dyDescent="0.25">
      <c r="B87" s="159">
        <v>82</v>
      </c>
      <c r="C87" s="160" t="str">
        <f>IFERROR(INDEX($Q$6:$Q$505,MATCH(82,$S$6:$S$505,0)),"")</f>
        <v>Doç. Dr. Saliha ESENBOĞA</v>
      </c>
      <c r="D87" s="161">
        <f>IF(C87="","",COUNTIFS(Başvuru!$C:$C,C87,Başvuru!$A:$A,"&lt;&gt;"&amp;"",Başvuru!$F:$F,"&lt;&gt;"&amp;""))</f>
        <v>2</v>
      </c>
      <c r="E87" s="159" t="str">
        <f>IF(C87="","-",IF(D87&gt;0,TEXT(D87/(COUNTIFS(Başvuru!$A:$A,"&lt;&gt;",Başvuru!$F:$F,"&lt;&gt;")-1)*100,"0.0")&amp;"%","-"))</f>
        <v>00%</v>
      </c>
      <c r="F87" s="162">
        <f>IF(C87="","",COUNTIFS(Başvuru!$C:$C,C87,Başvuru!$G:$G,"Bireysel Araştırma",Başvuru!$A:$A,"&lt;&gt;"&amp;"",Başvuru!$F:$F,"&lt;&gt;"&amp;""))</f>
        <v>2</v>
      </c>
      <c r="G87" s="162">
        <f>IF(C87="","",COUNTIFS(Başvuru!$C:$C,C87,Başvuru!$G:$G,"Uzmanlık Tezi",Başvuru!$A:$A,"&lt;&gt;"&amp;"",Başvuru!$F:$F,"&lt;&gt;"&amp;""))</f>
        <v>0</v>
      </c>
      <c r="H87" s="162">
        <f>IF(C87="","",COUNTIFS(Başvuru!$C:$C,C87,Başvuru!$G:$G,"Doktora Tezi",Başvuru!$A:$A,"&lt;&gt;"&amp;"",Başvuru!$F:$F,"&lt;&gt;"&amp;""))</f>
        <v>0</v>
      </c>
      <c r="I87" s="162">
        <f>IF(C87="","",COUNTIFS(Başvuru!$C:$C,C87,Başvuru!$G:$G,"Yüksek Lisans Tezi",Başvuru!$A:$A,"&lt;&gt;"&amp;"",Başvuru!$F:$F,"&lt;&gt;"&amp;""))</f>
        <v>0</v>
      </c>
      <c r="J87" s="163">
        <f>IF(C87="","",COUNTIFS(Başvuru!$C:$C,C87,Başvuru!$L:$L,"ONAY",Başvuru!$A:$A,"&lt;&gt;"&amp;"",Başvuru!$F:$F,"&lt;&gt;"&amp;""))</f>
        <v>1</v>
      </c>
      <c r="K87" s="164">
        <f>IF(C87="","",COUNTIFS(Başvuru!$C:$C,C87,Başvuru!$L:$L,"DÜZELTME",Başvuru!$A:$A,"&lt;&gt;"&amp;"",Başvuru!$F:$F,"&lt;&gt;"&amp;""))</f>
        <v>1</v>
      </c>
      <c r="L87" s="165">
        <f>IF(C87="","",COUNTIFS(Başvuru!$C:$C,C87,Başvuru!$L:$L,"KAEK",Başvuru!$A:$A,"&lt;&gt;"&amp;"",Başvuru!$F:$F,"&lt;&gt;"&amp;""))</f>
        <v>0</v>
      </c>
      <c r="M87" s="166">
        <f>IF(C87="","",COUNTIFS(Başvuru!$C:$C,C87,Başvuru!$L:$L,"GÖRÜŞ",Başvuru!$A:$A,"&lt;&gt;"&amp;"",Başvuru!$F:$F,"&lt;&gt;"&amp;""))</f>
        <v>0</v>
      </c>
      <c r="N87" s="167">
        <f>IF(C87="","",COUNTIFS(Başvuru!$C:$C,C87,Başvuru!$L:$L,"RET",Başvuru!$A:$A,"&lt;&gt;"&amp;"",Başvuru!$F:$F,"&lt;&gt;"&amp;""))</f>
        <v>0</v>
      </c>
      <c r="O87" s="168">
        <f>IF(C87="","",COUNTIFS(Başvuru!$C:$C,C87,Başvuru!$L:$L,"KAPSAM DIŞI",Başvuru!$A:$A,"&lt;&gt;"&amp;"",Başvuru!$F:$F,"&lt;&gt;"&amp;""))</f>
        <v>0</v>
      </c>
      <c r="P87" s="169">
        <f>IF(C87="","",COUNTIFS(Başvuru!$C:$C,C87,Başvuru!$L:$L,"GERİ ÇEKİLDİ",Başvuru!$A:$A,"&lt;&gt;"&amp;"",Başvuru!$F:$F,"&lt;&gt;"&amp;""))</f>
        <v>0</v>
      </c>
      <c r="Q87" s="170" t="str">
        <f t="array" ref="Q87">IFERROR(INDEX(Başvuru!$C$2:$C$3000, MATCH(0, COUNTIF($Q$5:Q86, Başvuru!$C$2:$C$3000) + IF(Başvuru!$C$2:$C$3000="",1,0), 0)), "")</f>
        <v>Prof. Dr. Selçuk DAĞDELEN</v>
      </c>
      <c r="R87" s="171">
        <f>IF(Q87="","",COUNTIFS(Başvuru!$C:$C,Q87,Başvuru!$A:$A,"&lt;&gt;"&amp;"",Başvuru!$F:$F,"&lt;&gt;"&amp;""))</f>
        <v>1</v>
      </c>
      <c r="S87" s="171">
        <f>IF(R87="","",RANK(R87,$R$6:$R$505,0)+COUNTIF($R$6:R87,R87)-1)</f>
        <v>179</v>
      </c>
    </row>
    <row r="88" spans="2:19" ht="23.25" customHeight="1" x14ac:dyDescent="0.25">
      <c r="B88" s="159">
        <v>83</v>
      </c>
      <c r="C88" s="160" t="str">
        <f>IFERROR(INDEX($Q$6:$Q$505,MATCH(83,$S$6:$S$505,0)),"")</f>
        <v>Prof. Dr. Kıvanç AKÇA</v>
      </c>
      <c r="D88" s="161">
        <f>IF(C88="","",COUNTIFS(Başvuru!$C:$C,C88,Başvuru!$A:$A,"&lt;&gt;"&amp;"",Başvuru!$F:$F,"&lt;&gt;"&amp;""))</f>
        <v>2</v>
      </c>
      <c r="E88" s="159" t="str">
        <f>IF(C88="","-",IF(D88&gt;0,TEXT(D88/(COUNTIFS(Başvuru!$A:$A,"&lt;&gt;",Başvuru!$F:$F,"&lt;&gt;")-1)*100,"0.0")&amp;"%","-"))</f>
        <v>00%</v>
      </c>
      <c r="F88" s="162">
        <f>IF(C88="","",COUNTIFS(Başvuru!$C:$C,C88,Başvuru!$G:$G,"Bireysel Araştırma",Başvuru!$A:$A,"&lt;&gt;"&amp;"",Başvuru!$F:$F,"&lt;&gt;"&amp;""))</f>
        <v>2</v>
      </c>
      <c r="G88" s="162">
        <f>IF(C88="","",COUNTIFS(Başvuru!$C:$C,C88,Başvuru!$G:$G,"Uzmanlık Tezi",Başvuru!$A:$A,"&lt;&gt;"&amp;"",Başvuru!$F:$F,"&lt;&gt;"&amp;""))</f>
        <v>0</v>
      </c>
      <c r="H88" s="162">
        <f>IF(C88="","",COUNTIFS(Başvuru!$C:$C,C88,Başvuru!$G:$G,"Doktora Tezi",Başvuru!$A:$A,"&lt;&gt;"&amp;"",Başvuru!$F:$F,"&lt;&gt;"&amp;""))</f>
        <v>0</v>
      </c>
      <c r="I88" s="162">
        <f>IF(C88="","",COUNTIFS(Başvuru!$C:$C,C88,Başvuru!$G:$G,"Yüksek Lisans Tezi",Başvuru!$A:$A,"&lt;&gt;"&amp;"",Başvuru!$F:$F,"&lt;&gt;"&amp;""))</f>
        <v>0</v>
      </c>
      <c r="J88" s="163">
        <f>IF(C88="","",COUNTIFS(Başvuru!$C:$C,C88,Başvuru!$L:$L,"ONAY",Başvuru!$A:$A,"&lt;&gt;"&amp;"",Başvuru!$F:$F,"&lt;&gt;"&amp;""))</f>
        <v>1</v>
      </c>
      <c r="K88" s="164">
        <f>IF(C88="","",COUNTIFS(Başvuru!$C:$C,C88,Başvuru!$L:$L,"DÜZELTME",Başvuru!$A:$A,"&lt;&gt;"&amp;"",Başvuru!$F:$F,"&lt;&gt;"&amp;""))</f>
        <v>0</v>
      </c>
      <c r="L88" s="165">
        <f>IF(C88="","",COUNTIFS(Başvuru!$C:$C,C88,Başvuru!$L:$L,"KAEK",Başvuru!$A:$A,"&lt;&gt;"&amp;"",Başvuru!$F:$F,"&lt;&gt;"&amp;""))</f>
        <v>0</v>
      </c>
      <c r="M88" s="166">
        <f>IF(C88="","",COUNTIFS(Başvuru!$C:$C,C88,Başvuru!$L:$L,"GÖRÜŞ",Başvuru!$A:$A,"&lt;&gt;"&amp;"",Başvuru!$F:$F,"&lt;&gt;"&amp;""))</f>
        <v>1</v>
      </c>
      <c r="N88" s="167">
        <f>IF(C88="","",COUNTIFS(Başvuru!$C:$C,C88,Başvuru!$L:$L,"RET",Başvuru!$A:$A,"&lt;&gt;"&amp;"",Başvuru!$F:$F,"&lt;&gt;"&amp;""))</f>
        <v>0</v>
      </c>
      <c r="O88" s="168">
        <f>IF(C88="","",COUNTIFS(Başvuru!$C:$C,C88,Başvuru!$L:$L,"KAPSAM DIŞI",Başvuru!$A:$A,"&lt;&gt;"&amp;"",Başvuru!$F:$F,"&lt;&gt;"&amp;""))</f>
        <v>0</v>
      </c>
      <c r="P88" s="169">
        <f>IF(C88="","",COUNTIFS(Başvuru!$C:$C,C88,Başvuru!$L:$L,"GERİ ÇEKİLDİ",Başvuru!$A:$A,"&lt;&gt;"&amp;"",Başvuru!$F:$F,"&lt;&gt;"&amp;""))</f>
        <v>0</v>
      </c>
      <c r="Q88" s="170" t="str">
        <f t="array" ref="Q88">IFERROR(INDEX(Başvuru!$C$2:$C$3000, MATCH(0, COUNTIF($Q$5:Q87, Başvuru!$C$2:$C$3000) + IF(Başvuru!$C$2:$C$3000="",1,0), 0)), "")</f>
        <v>Öğr. Gör. Dr. Aytekin İDİKUT</v>
      </c>
      <c r="R88" s="171">
        <f>IF(Q88="","",COUNTIFS(Başvuru!$C:$C,Q88,Başvuru!$A:$A,"&lt;&gt;"&amp;"",Başvuru!$F:$F,"&lt;&gt;"&amp;""))</f>
        <v>2</v>
      </c>
      <c r="S88" s="171">
        <f>IF(R88="","",RANK(R88,$R$6:$R$505,0)+COUNTIF($R$6:R88,R88)-1)</f>
        <v>91</v>
      </c>
    </row>
    <row r="89" spans="2:19" ht="23.25" customHeight="1" x14ac:dyDescent="0.25">
      <c r="B89" s="159">
        <v>84</v>
      </c>
      <c r="C89" s="160" t="str">
        <f>IFERROR(INDEX($Q$6:$Q$505,MATCH(84,$S$6:$S$505,0)),"")</f>
        <v>Prof. Dr. Cengiz KILIÇ</v>
      </c>
      <c r="D89" s="161">
        <f>IF(C89="","",COUNTIFS(Başvuru!$C:$C,C89,Başvuru!$A:$A,"&lt;&gt;"&amp;"",Başvuru!$F:$F,"&lt;&gt;"&amp;""))</f>
        <v>2</v>
      </c>
      <c r="E89" s="159" t="str">
        <f>IF(C89="","-",IF(D89&gt;0,TEXT(D89/(COUNTIFS(Başvuru!$A:$A,"&lt;&gt;",Başvuru!$F:$F,"&lt;&gt;")-1)*100,"0.0")&amp;"%","-"))</f>
        <v>00%</v>
      </c>
      <c r="F89" s="162">
        <f>IF(C89="","",COUNTIFS(Başvuru!$C:$C,C89,Başvuru!$G:$G,"Bireysel Araştırma",Başvuru!$A:$A,"&lt;&gt;"&amp;"",Başvuru!$F:$F,"&lt;&gt;"&amp;""))</f>
        <v>0</v>
      </c>
      <c r="G89" s="162">
        <f>IF(C89="","",COUNTIFS(Başvuru!$C:$C,C89,Başvuru!$G:$G,"Uzmanlık Tezi",Başvuru!$A:$A,"&lt;&gt;"&amp;"",Başvuru!$F:$F,"&lt;&gt;"&amp;""))</f>
        <v>2</v>
      </c>
      <c r="H89" s="162">
        <f>IF(C89="","",COUNTIFS(Başvuru!$C:$C,C89,Başvuru!$G:$G,"Doktora Tezi",Başvuru!$A:$A,"&lt;&gt;"&amp;"",Başvuru!$F:$F,"&lt;&gt;"&amp;""))</f>
        <v>0</v>
      </c>
      <c r="I89" s="162">
        <f>IF(C89="","",COUNTIFS(Başvuru!$C:$C,C89,Başvuru!$G:$G,"Yüksek Lisans Tezi",Başvuru!$A:$A,"&lt;&gt;"&amp;"",Başvuru!$F:$F,"&lt;&gt;"&amp;""))</f>
        <v>0</v>
      </c>
      <c r="J89" s="163">
        <f>IF(C89="","",COUNTIFS(Başvuru!$C:$C,C89,Başvuru!$L:$L,"ONAY",Başvuru!$A:$A,"&lt;&gt;"&amp;"",Başvuru!$F:$F,"&lt;&gt;"&amp;""))</f>
        <v>0</v>
      </c>
      <c r="K89" s="164">
        <f>IF(C89="","",COUNTIFS(Başvuru!$C:$C,C89,Başvuru!$L:$L,"DÜZELTME",Başvuru!$A:$A,"&lt;&gt;"&amp;"",Başvuru!$F:$F,"&lt;&gt;"&amp;""))</f>
        <v>2</v>
      </c>
      <c r="L89" s="165">
        <f>IF(C89="","",COUNTIFS(Başvuru!$C:$C,C89,Başvuru!$L:$L,"KAEK",Başvuru!$A:$A,"&lt;&gt;"&amp;"",Başvuru!$F:$F,"&lt;&gt;"&amp;""))</f>
        <v>0</v>
      </c>
      <c r="M89" s="166">
        <f>IF(C89="","",COUNTIFS(Başvuru!$C:$C,C89,Başvuru!$L:$L,"GÖRÜŞ",Başvuru!$A:$A,"&lt;&gt;"&amp;"",Başvuru!$F:$F,"&lt;&gt;"&amp;""))</f>
        <v>0</v>
      </c>
      <c r="N89" s="167">
        <f>IF(C89="","",COUNTIFS(Başvuru!$C:$C,C89,Başvuru!$L:$L,"RET",Başvuru!$A:$A,"&lt;&gt;"&amp;"",Başvuru!$F:$F,"&lt;&gt;"&amp;""))</f>
        <v>0</v>
      </c>
      <c r="O89" s="168">
        <f>IF(C89="","",COUNTIFS(Başvuru!$C:$C,C89,Başvuru!$L:$L,"KAPSAM DIŞI",Başvuru!$A:$A,"&lt;&gt;"&amp;"",Başvuru!$F:$F,"&lt;&gt;"&amp;""))</f>
        <v>0</v>
      </c>
      <c r="P89" s="169">
        <f>IF(C89="","",COUNTIFS(Başvuru!$C:$C,C89,Başvuru!$L:$L,"GERİ ÇEKİLDİ",Başvuru!$A:$A,"&lt;&gt;"&amp;"",Başvuru!$F:$F,"&lt;&gt;"&amp;""))</f>
        <v>0</v>
      </c>
      <c r="Q89" s="170" t="str">
        <f t="array" ref="Q89">IFERROR(INDEX(Başvuru!$C$2:$C$3000, MATCH(0, COUNTIF($Q$5:Q88, Başvuru!$C$2:$C$3000) + IF(Başvuru!$C$2:$C$3000="",1,0), 0)), "")</f>
        <v>Dr. Öğr. Üyesi Murat ÇAĞAN</v>
      </c>
      <c r="R89" s="171">
        <f>IF(Q89="","",COUNTIFS(Başvuru!$C:$C,Q89,Başvuru!$A:$A,"&lt;&gt;"&amp;"",Başvuru!$F:$F,"&lt;&gt;"&amp;""))</f>
        <v>3</v>
      </c>
      <c r="S89" s="171">
        <f>IF(R89="","",RANK(R89,$R$6:$R$505,0)+COUNTIF($R$6:R89,R89)-1)</f>
        <v>60</v>
      </c>
    </row>
    <row r="90" spans="2:19" ht="23.25" customHeight="1" x14ac:dyDescent="0.25">
      <c r="B90" s="159">
        <v>85</v>
      </c>
      <c r="C90" s="160" t="str">
        <f>IFERROR(INDEX($Q$6:$Q$505,MATCH(85,$S$6:$S$505,0)),"")</f>
        <v>Doç. Dr. Erdal SAĞ</v>
      </c>
      <c r="D90" s="161">
        <f>IF(C90="","",COUNTIFS(Başvuru!$C:$C,C90,Başvuru!$A:$A,"&lt;&gt;"&amp;"",Başvuru!$F:$F,"&lt;&gt;"&amp;""))</f>
        <v>2</v>
      </c>
      <c r="E90" s="159" t="str">
        <f>IF(C90="","-",IF(D90&gt;0,TEXT(D90/(COUNTIFS(Başvuru!$A:$A,"&lt;&gt;",Başvuru!$F:$F,"&lt;&gt;")-1)*100,"0.0")&amp;"%","-"))</f>
        <v>00%</v>
      </c>
      <c r="F90" s="162">
        <f>IF(C90="","",COUNTIFS(Başvuru!$C:$C,C90,Başvuru!$G:$G,"Bireysel Araştırma",Başvuru!$A:$A,"&lt;&gt;"&amp;"",Başvuru!$F:$F,"&lt;&gt;"&amp;""))</f>
        <v>1</v>
      </c>
      <c r="G90" s="162">
        <f>IF(C90="","",COUNTIFS(Başvuru!$C:$C,C90,Başvuru!$G:$G,"Uzmanlık Tezi",Başvuru!$A:$A,"&lt;&gt;"&amp;"",Başvuru!$F:$F,"&lt;&gt;"&amp;""))</f>
        <v>1</v>
      </c>
      <c r="H90" s="162">
        <f>IF(C90="","",COUNTIFS(Başvuru!$C:$C,C90,Başvuru!$G:$G,"Doktora Tezi",Başvuru!$A:$A,"&lt;&gt;"&amp;"",Başvuru!$F:$F,"&lt;&gt;"&amp;""))</f>
        <v>0</v>
      </c>
      <c r="I90" s="162">
        <f>IF(C90="","",COUNTIFS(Başvuru!$C:$C,C90,Başvuru!$G:$G,"Yüksek Lisans Tezi",Başvuru!$A:$A,"&lt;&gt;"&amp;"",Başvuru!$F:$F,"&lt;&gt;"&amp;""))</f>
        <v>0</v>
      </c>
      <c r="J90" s="163">
        <f>IF(C90="","",COUNTIFS(Başvuru!$C:$C,C90,Başvuru!$L:$L,"ONAY",Başvuru!$A:$A,"&lt;&gt;"&amp;"",Başvuru!$F:$F,"&lt;&gt;"&amp;""))</f>
        <v>0</v>
      </c>
      <c r="K90" s="164">
        <f>IF(C90="","",COUNTIFS(Başvuru!$C:$C,C90,Başvuru!$L:$L,"DÜZELTME",Başvuru!$A:$A,"&lt;&gt;"&amp;"",Başvuru!$F:$F,"&lt;&gt;"&amp;""))</f>
        <v>2</v>
      </c>
      <c r="L90" s="165">
        <f>IF(C90="","",COUNTIFS(Başvuru!$C:$C,C90,Başvuru!$L:$L,"KAEK",Başvuru!$A:$A,"&lt;&gt;"&amp;"",Başvuru!$F:$F,"&lt;&gt;"&amp;""))</f>
        <v>0</v>
      </c>
      <c r="M90" s="166">
        <f>IF(C90="","",COUNTIFS(Başvuru!$C:$C,C90,Başvuru!$L:$L,"GÖRÜŞ",Başvuru!$A:$A,"&lt;&gt;"&amp;"",Başvuru!$F:$F,"&lt;&gt;"&amp;""))</f>
        <v>0</v>
      </c>
      <c r="N90" s="167">
        <f>IF(C90="","",COUNTIFS(Başvuru!$C:$C,C90,Başvuru!$L:$L,"RET",Başvuru!$A:$A,"&lt;&gt;"&amp;"",Başvuru!$F:$F,"&lt;&gt;"&amp;""))</f>
        <v>0</v>
      </c>
      <c r="O90" s="168">
        <f>IF(C90="","",COUNTIFS(Başvuru!$C:$C,C90,Başvuru!$L:$L,"KAPSAM DIŞI",Başvuru!$A:$A,"&lt;&gt;"&amp;"",Başvuru!$F:$F,"&lt;&gt;"&amp;""))</f>
        <v>0</v>
      </c>
      <c r="P90" s="169">
        <f>IF(C90="","",COUNTIFS(Başvuru!$C:$C,C90,Başvuru!$L:$L,"GERİ ÇEKİLDİ",Başvuru!$A:$A,"&lt;&gt;"&amp;"",Başvuru!$F:$F,"&lt;&gt;"&amp;""))</f>
        <v>0</v>
      </c>
      <c r="Q90" s="170" t="str">
        <f t="array" ref="Q90">IFERROR(INDEX(Başvuru!$C$2:$C$3000, MATCH(0, COUNTIF($Q$5:Q89, Başvuru!$C$2:$C$3000) + IF(Başvuru!$C$2:$C$3000="",1,0), 0)), "")</f>
        <v>Doç. Dr. Utku AKGÖR</v>
      </c>
      <c r="R90" s="171">
        <f>IF(Q90="","",COUNTIFS(Başvuru!$C:$C,Q90,Başvuru!$A:$A,"&lt;&gt;"&amp;"",Başvuru!$F:$F,"&lt;&gt;"&amp;""))</f>
        <v>7</v>
      </c>
      <c r="S90" s="171">
        <f>IF(R90="","",RANK(R90,$R$6:$R$505,0)+COUNTIF($R$6:R90,R90)-1)</f>
        <v>12</v>
      </c>
    </row>
    <row r="91" spans="2:19" ht="23.25" customHeight="1" x14ac:dyDescent="0.25">
      <c r="B91" s="159">
        <v>86</v>
      </c>
      <c r="C91" s="160" t="str">
        <f>IFERROR(INDEX($Q$6:$Q$505,MATCH(86,$S$6:$S$505,0)),"")</f>
        <v>Prof. Dr. Taner YILMAZ</v>
      </c>
      <c r="D91" s="161">
        <f>IF(C91="","",COUNTIFS(Başvuru!$C:$C,C91,Başvuru!$A:$A,"&lt;&gt;"&amp;"",Başvuru!$F:$F,"&lt;&gt;"&amp;""))</f>
        <v>2</v>
      </c>
      <c r="E91" s="159" t="str">
        <f>IF(C91="","-",IF(D91&gt;0,TEXT(D91/(COUNTIFS(Başvuru!$A:$A,"&lt;&gt;",Başvuru!$F:$F,"&lt;&gt;")-1)*100,"0.0")&amp;"%","-"))</f>
        <v>00%</v>
      </c>
      <c r="F91" s="162">
        <f>IF(C91="","",COUNTIFS(Başvuru!$C:$C,C91,Başvuru!$G:$G,"Bireysel Araştırma",Başvuru!$A:$A,"&lt;&gt;"&amp;"",Başvuru!$F:$F,"&lt;&gt;"&amp;""))</f>
        <v>2</v>
      </c>
      <c r="G91" s="162">
        <f>IF(C91="","",COUNTIFS(Başvuru!$C:$C,C91,Başvuru!$G:$G,"Uzmanlık Tezi",Başvuru!$A:$A,"&lt;&gt;"&amp;"",Başvuru!$F:$F,"&lt;&gt;"&amp;""))</f>
        <v>0</v>
      </c>
      <c r="H91" s="162">
        <f>IF(C91="","",COUNTIFS(Başvuru!$C:$C,C91,Başvuru!$G:$G,"Doktora Tezi",Başvuru!$A:$A,"&lt;&gt;"&amp;"",Başvuru!$F:$F,"&lt;&gt;"&amp;""))</f>
        <v>0</v>
      </c>
      <c r="I91" s="162">
        <f>IF(C91="","",COUNTIFS(Başvuru!$C:$C,C91,Başvuru!$G:$G,"Yüksek Lisans Tezi",Başvuru!$A:$A,"&lt;&gt;"&amp;"",Başvuru!$F:$F,"&lt;&gt;"&amp;""))</f>
        <v>0</v>
      </c>
      <c r="J91" s="163">
        <f>IF(C91="","",COUNTIFS(Başvuru!$C:$C,C91,Başvuru!$L:$L,"ONAY",Başvuru!$A:$A,"&lt;&gt;"&amp;"",Başvuru!$F:$F,"&lt;&gt;"&amp;""))</f>
        <v>2</v>
      </c>
      <c r="K91" s="164">
        <f>IF(C91="","",COUNTIFS(Başvuru!$C:$C,C91,Başvuru!$L:$L,"DÜZELTME",Başvuru!$A:$A,"&lt;&gt;"&amp;"",Başvuru!$F:$F,"&lt;&gt;"&amp;""))</f>
        <v>0</v>
      </c>
      <c r="L91" s="165">
        <f>IF(C91="","",COUNTIFS(Başvuru!$C:$C,C91,Başvuru!$L:$L,"KAEK",Başvuru!$A:$A,"&lt;&gt;"&amp;"",Başvuru!$F:$F,"&lt;&gt;"&amp;""))</f>
        <v>0</v>
      </c>
      <c r="M91" s="166">
        <f>IF(C91="","",COUNTIFS(Başvuru!$C:$C,C91,Başvuru!$L:$L,"GÖRÜŞ",Başvuru!$A:$A,"&lt;&gt;"&amp;"",Başvuru!$F:$F,"&lt;&gt;"&amp;""))</f>
        <v>0</v>
      </c>
      <c r="N91" s="167">
        <f>IF(C91="","",COUNTIFS(Başvuru!$C:$C,C91,Başvuru!$L:$L,"RET",Başvuru!$A:$A,"&lt;&gt;"&amp;"",Başvuru!$F:$F,"&lt;&gt;"&amp;""))</f>
        <v>0</v>
      </c>
      <c r="O91" s="168">
        <f>IF(C91="","",COUNTIFS(Başvuru!$C:$C,C91,Başvuru!$L:$L,"KAPSAM DIŞI",Başvuru!$A:$A,"&lt;&gt;"&amp;"",Başvuru!$F:$F,"&lt;&gt;"&amp;""))</f>
        <v>0</v>
      </c>
      <c r="P91" s="169">
        <f>IF(C91="","",COUNTIFS(Başvuru!$C:$C,C91,Başvuru!$L:$L,"GERİ ÇEKİLDİ",Başvuru!$A:$A,"&lt;&gt;"&amp;"",Başvuru!$F:$F,"&lt;&gt;"&amp;""))</f>
        <v>0</v>
      </c>
      <c r="Q91" s="170" t="str">
        <f t="array" ref="Q91">IFERROR(INDEX(Başvuru!$C$2:$C$3000, MATCH(0, COUNTIF($Q$5:Q90, Başvuru!$C$2:$C$3000) + IF(Başvuru!$C$2:$C$3000="",1,0), 0)), "")</f>
        <v>Arş. Gör. Dt. Dilara KARA</v>
      </c>
      <c r="R91" s="171">
        <f>IF(Q91="","",COUNTIFS(Başvuru!$C:$C,Q91,Başvuru!$A:$A,"&lt;&gt;"&amp;"",Başvuru!$F:$F,"&lt;&gt;"&amp;""))</f>
        <v>1</v>
      </c>
      <c r="S91" s="171">
        <f>IF(R91="","",RANK(R91,$R$6:$R$505,0)+COUNTIF($R$6:R91,R91)-1)</f>
        <v>180</v>
      </c>
    </row>
    <row r="92" spans="2:19" ht="23.25" customHeight="1" x14ac:dyDescent="0.25">
      <c r="B92" s="159">
        <v>87</v>
      </c>
      <c r="C92" s="160" t="str">
        <f>IFERROR(INDEX($Q$6:$Q$505,MATCH(87,$S$6:$S$505,0)),"")</f>
        <v>Prof. Dr. Salih AKSU</v>
      </c>
      <c r="D92" s="161">
        <f>IF(C92="","",COUNTIFS(Başvuru!$C:$C,C92,Başvuru!$A:$A,"&lt;&gt;"&amp;"",Başvuru!$F:$F,"&lt;&gt;"&amp;""))</f>
        <v>2</v>
      </c>
      <c r="E92" s="159" t="str">
        <f>IF(C92="","-",IF(D92&gt;0,TEXT(D92/(COUNTIFS(Başvuru!$A:$A,"&lt;&gt;",Başvuru!$F:$F,"&lt;&gt;")-1)*100,"0.0")&amp;"%","-"))</f>
        <v>00%</v>
      </c>
      <c r="F92" s="162">
        <f>IF(C92="","",COUNTIFS(Başvuru!$C:$C,C92,Başvuru!$G:$G,"Bireysel Araştırma",Başvuru!$A:$A,"&lt;&gt;"&amp;"",Başvuru!$F:$F,"&lt;&gt;"&amp;""))</f>
        <v>2</v>
      </c>
      <c r="G92" s="162">
        <f>IF(C92="","",COUNTIFS(Başvuru!$C:$C,C92,Başvuru!$G:$G,"Uzmanlık Tezi",Başvuru!$A:$A,"&lt;&gt;"&amp;"",Başvuru!$F:$F,"&lt;&gt;"&amp;""))</f>
        <v>0</v>
      </c>
      <c r="H92" s="162">
        <f>IF(C92="","",COUNTIFS(Başvuru!$C:$C,C92,Başvuru!$G:$G,"Doktora Tezi",Başvuru!$A:$A,"&lt;&gt;"&amp;"",Başvuru!$F:$F,"&lt;&gt;"&amp;""))</f>
        <v>0</v>
      </c>
      <c r="I92" s="162">
        <f>IF(C92="","",COUNTIFS(Başvuru!$C:$C,C92,Başvuru!$G:$G,"Yüksek Lisans Tezi",Başvuru!$A:$A,"&lt;&gt;"&amp;"",Başvuru!$F:$F,"&lt;&gt;"&amp;""))</f>
        <v>0</v>
      </c>
      <c r="J92" s="163">
        <f>IF(C92="","",COUNTIFS(Başvuru!$C:$C,C92,Başvuru!$L:$L,"ONAY",Başvuru!$A:$A,"&lt;&gt;"&amp;"",Başvuru!$F:$F,"&lt;&gt;"&amp;""))</f>
        <v>2</v>
      </c>
      <c r="K92" s="164">
        <f>IF(C92="","",COUNTIFS(Başvuru!$C:$C,C92,Başvuru!$L:$L,"DÜZELTME",Başvuru!$A:$A,"&lt;&gt;"&amp;"",Başvuru!$F:$F,"&lt;&gt;"&amp;""))</f>
        <v>0</v>
      </c>
      <c r="L92" s="165">
        <f>IF(C92="","",COUNTIFS(Başvuru!$C:$C,C92,Başvuru!$L:$L,"KAEK",Başvuru!$A:$A,"&lt;&gt;"&amp;"",Başvuru!$F:$F,"&lt;&gt;"&amp;""))</f>
        <v>0</v>
      </c>
      <c r="M92" s="166">
        <f>IF(C92="","",COUNTIFS(Başvuru!$C:$C,C92,Başvuru!$L:$L,"GÖRÜŞ",Başvuru!$A:$A,"&lt;&gt;"&amp;"",Başvuru!$F:$F,"&lt;&gt;"&amp;""))</f>
        <v>0</v>
      </c>
      <c r="N92" s="167">
        <f>IF(C92="","",COUNTIFS(Başvuru!$C:$C,C92,Başvuru!$L:$L,"RET",Başvuru!$A:$A,"&lt;&gt;"&amp;"",Başvuru!$F:$F,"&lt;&gt;"&amp;""))</f>
        <v>0</v>
      </c>
      <c r="O92" s="168">
        <f>IF(C92="","",COUNTIFS(Başvuru!$C:$C,C92,Başvuru!$L:$L,"KAPSAM DIŞI",Başvuru!$A:$A,"&lt;&gt;"&amp;"",Başvuru!$F:$F,"&lt;&gt;"&amp;""))</f>
        <v>0</v>
      </c>
      <c r="P92" s="169">
        <f>IF(C92="","",COUNTIFS(Başvuru!$C:$C,C92,Başvuru!$L:$L,"GERİ ÇEKİLDİ",Başvuru!$A:$A,"&lt;&gt;"&amp;"",Başvuru!$F:$F,"&lt;&gt;"&amp;""))</f>
        <v>0</v>
      </c>
      <c r="Q92" s="170" t="str">
        <f t="array" ref="Q92">IFERROR(INDEX(Başvuru!$C$2:$C$3000, MATCH(0, COUNTIF($Q$5:Q91, Başvuru!$C$2:$C$3000) + IF(Başvuru!$C$2:$C$3000="",1,0), 0)), "")</f>
        <v>Arş. Gör. Dr. Sebiha Şükran GÜNDEŞLİ</v>
      </c>
      <c r="R92" s="171">
        <f>IF(Q92="","",COUNTIFS(Başvuru!$C:$C,Q92,Başvuru!$A:$A,"&lt;&gt;"&amp;"",Başvuru!$F:$F,"&lt;&gt;"&amp;""))</f>
        <v>2</v>
      </c>
      <c r="S92" s="171">
        <f>IF(R92="","",RANK(R92,$R$6:$R$505,0)+COUNTIF($R$6:R92,R92)-1)</f>
        <v>92</v>
      </c>
    </row>
    <row r="93" spans="2:19" ht="23.25" customHeight="1" x14ac:dyDescent="0.25">
      <c r="B93" s="159">
        <v>88</v>
      </c>
      <c r="C93" s="160" t="str">
        <f>IFERROR(INDEX($Q$6:$Q$505,MATCH(88,$S$6:$S$505,0)),"")</f>
        <v>Doç. Dr. Aslıhan AYKARA</v>
      </c>
      <c r="D93" s="161">
        <f>IF(C93="","",COUNTIFS(Başvuru!$C:$C,C93,Başvuru!$A:$A,"&lt;&gt;"&amp;"",Başvuru!$F:$F,"&lt;&gt;"&amp;""))</f>
        <v>2</v>
      </c>
      <c r="E93" s="159" t="str">
        <f>IF(C93="","-",IF(D93&gt;0,TEXT(D93/(COUNTIFS(Başvuru!$A:$A,"&lt;&gt;",Başvuru!$F:$F,"&lt;&gt;")-1)*100,"0.0")&amp;"%","-"))</f>
        <v>00%</v>
      </c>
      <c r="F93" s="162">
        <f>IF(C93="","",COUNTIFS(Başvuru!$C:$C,C93,Başvuru!$G:$G,"Bireysel Araştırma",Başvuru!$A:$A,"&lt;&gt;"&amp;"",Başvuru!$F:$F,"&lt;&gt;"&amp;""))</f>
        <v>0</v>
      </c>
      <c r="G93" s="162">
        <f>IF(C93="","",COUNTIFS(Başvuru!$C:$C,C93,Başvuru!$G:$G,"Uzmanlık Tezi",Başvuru!$A:$A,"&lt;&gt;"&amp;"",Başvuru!$F:$F,"&lt;&gt;"&amp;""))</f>
        <v>0</v>
      </c>
      <c r="H93" s="162">
        <f>IF(C93="","",COUNTIFS(Başvuru!$C:$C,C93,Başvuru!$G:$G,"Doktora Tezi",Başvuru!$A:$A,"&lt;&gt;"&amp;"",Başvuru!$F:$F,"&lt;&gt;"&amp;""))</f>
        <v>2</v>
      </c>
      <c r="I93" s="162">
        <f>IF(C93="","",COUNTIFS(Başvuru!$C:$C,C93,Başvuru!$G:$G,"Yüksek Lisans Tezi",Başvuru!$A:$A,"&lt;&gt;"&amp;"",Başvuru!$F:$F,"&lt;&gt;"&amp;""))</f>
        <v>0</v>
      </c>
      <c r="J93" s="163">
        <f>IF(C93="","",COUNTIFS(Başvuru!$C:$C,C93,Başvuru!$L:$L,"ONAY",Başvuru!$A:$A,"&lt;&gt;"&amp;"",Başvuru!$F:$F,"&lt;&gt;"&amp;""))</f>
        <v>2</v>
      </c>
      <c r="K93" s="164">
        <f>IF(C93="","",COUNTIFS(Başvuru!$C:$C,C93,Başvuru!$L:$L,"DÜZELTME",Başvuru!$A:$A,"&lt;&gt;"&amp;"",Başvuru!$F:$F,"&lt;&gt;"&amp;""))</f>
        <v>0</v>
      </c>
      <c r="L93" s="165">
        <f>IF(C93="","",COUNTIFS(Başvuru!$C:$C,C93,Başvuru!$L:$L,"KAEK",Başvuru!$A:$A,"&lt;&gt;"&amp;"",Başvuru!$F:$F,"&lt;&gt;"&amp;""))</f>
        <v>0</v>
      </c>
      <c r="M93" s="166">
        <f>IF(C93="","",COUNTIFS(Başvuru!$C:$C,C93,Başvuru!$L:$L,"GÖRÜŞ",Başvuru!$A:$A,"&lt;&gt;"&amp;"",Başvuru!$F:$F,"&lt;&gt;"&amp;""))</f>
        <v>0</v>
      </c>
      <c r="N93" s="167">
        <f>IF(C93="","",COUNTIFS(Başvuru!$C:$C,C93,Başvuru!$L:$L,"RET",Başvuru!$A:$A,"&lt;&gt;"&amp;"",Başvuru!$F:$F,"&lt;&gt;"&amp;""))</f>
        <v>0</v>
      </c>
      <c r="O93" s="168">
        <f>IF(C93="","",COUNTIFS(Başvuru!$C:$C,C93,Başvuru!$L:$L,"KAPSAM DIŞI",Başvuru!$A:$A,"&lt;&gt;"&amp;"",Başvuru!$F:$F,"&lt;&gt;"&amp;""))</f>
        <v>0</v>
      </c>
      <c r="P93" s="169">
        <f>IF(C93="","",COUNTIFS(Başvuru!$C:$C,C93,Başvuru!$L:$L,"GERİ ÇEKİLDİ",Başvuru!$A:$A,"&lt;&gt;"&amp;"",Başvuru!$F:$F,"&lt;&gt;"&amp;""))</f>
        <v>0</v>
      </c>
      <c r="Q93" s="170" t="str">
        <f t="array" ref="Q93">IFERROR(INDEX(Başvuru!$C$2:$C$3000, MATCH(0, COUNTIF($Q$5:Q92, Başvuru!$C$2:$C$3000) + IF(Başvuru!$C$2:$C$3000="",1,0), 0)), "")</f>
        <v>Prof. Dr. Çağrı Mesut TEMUÇİN</v>
      </c>
      <c r="R93" s="171">
        <f>IF(Q93="","",COUNTIFS(Başvuru!$C:$C,Q93,Başvuru!$A:$A,"&lt;&gt;"&amp;"",Başvuru!$F:$F,"&lt;&gt;"&amp;""))</f>
        <v>4</v>
      </c>
      <c r="S93" s="171">
        <f>IF(R93="","",RANK(R93,$R$6:$R$505,0)+COUNTIF($R$6:R93,R93)-1)</f>
        <v>37</v>
      </c>
    </row>
    <row r="94" spans="2:19" ht="23.25" customHeight="1" x14ac:dyDescent="0.25">
      <c r="B94" s="159">
        <v>89</v>
      </c>
      <c r="C94" s="160" t="str">
        <f>IFERROR(INDEX($Q$6:$Q$505,MATCH(89,$S$6:$S$505,0)),"")</f>
        <v>Prof. Dr. Hakan Hıfzı TÜZ</v>
      </c>
      <c r="D94" s="161">
        <f>IF(C94="","",COUNTIFS(Başvuru!$C:$C,C94,Başvuru!$A:$A,"&lt;&gt;"&amp;"",Başvuru!$F:$F,"&lt;&gt;"&amp;""))</f>
        <v>2</v>
      </c>
      <c r="E94" s="159" t="str">
        <f>IF(C94="","-",IF(D94&gt;0,TEXT(D94/(COUNTIFS(Başvuru!$A:$A,"&lt;&gt;",Başvuru!$F:$F,"&lt;&gt;")-1)*100,"0.0")&amp;"%","-"))</f>
        <v>00%</v>
      </c>
      <c r="F94" s="162">
        <f>IF(C94="","",COUNTIFS(Başvuru!$C:$C,C94,Başvuru!$G:$G,"Bireysel Araştırma",Başvuru!$A:$A,"&lt;&gt;"&amp;"",Başvuru!$F:$F,"&lt;&gt;"&amp;""))</f>
        <v>1</v>
      </c>
      <c r="G94" s="162">
        <f>IF(C94="","",COUNTIFS(Başvuru!$C:$C,C94,Başvuru!$G:$G,"Uzmanlık Tezi",Başvuru!$A:$A,"&lt;&gt;"&amp;"",Başvuru!$F:$F,"&lt;&gt;"&amp;""))</f>
        <v>1</v>
      </c>
      <c r="H94" s="162">
        <f>IF(C94="","",COUNTIFS(Başvuru!$C:$C,C94,Başvuru!$G:$G,"Doktora Tezi",Başvuru!$A:$A,"&lt;&gt;"&amp;"",Başvuru!$F:$F,"&lt;&gt;"&amp;""))</f>
        <v>0</v>
      </c>
      <c r="I94" s="162">
        <f>IF(C94="","",COUNTIFS(Başvuru!$C:$C,C94,Başvuru!$G:$G,"Yüksek Lisans Tezi",Başvuru!$A:$A,"&lt;&gt;"&amp;"",Başvuru!$F:$F,"&lt;&gt;"&amp;""))</f>
        <v>0</v>
      </c>
      <c r="J94" s="163">
        <f>IF(C94="","",COUNTIFS(Başvuru!$C:$C,C94,Başvuru!$L:$L,"ONAY",Başvuru!$A:$A,"&lt;&gt;"&amp;"",Başvuru!$F:$F,"&lt;&gt;"&amp;""))</f>
        <v>2</v>
      </c>
      <c r="K94" s="164">
        <f>IF(C94="","",COUNTIFS(Başvuru!$C:$C,C94,Başvuru!$L:$L,"DÜZELTME",Başvuru!$A:$A,"&lt;&gt;"&amp;"",Başvuru!$F:$F,"&lt;&gt;"&amp;""))</f>
        <v>0</v>
      </c>
      <c r="L94" s="165">
        <f>IF(C94="","",COUNTIFS(Başvuru!$C:$C,C94,Başvuru!$L:$L,"KAEK",Başvuru!$A:$A,"&lt;&gt;"&amp;"",Başvuru!$F:$F,"&lt;&gt;"&amp;""))</f>
        <v>0</v>
      </c>
      <c r="M94" s="166">
        <f>IF(C94="","",COUNTIFS(Başvuru!$C:$C,C94,Başvuru!$L:$L,"GÖRÜŞ",Başvuru!$A:$A,"&lt;&gt;"&amp;"",Başvuru!$F:$F,"&lt;&gt;"&amp;""))</f>
        <v>0</v>
      </c>
      <c r="N94" s="167">
        <f>IF(C94="","",COUNTIFS(Başvuru!$C:$C,C94,Başvuru!$L:$L,"RET",Başvuru!$A:$A,"&lt;&gt;"&amp;"",Başvuru!$F:$F,"&lt;&gt;"&amp;""))</f>
        <v>0</v>
      </c>
      <c r="O94" s="168">
        <f>IF(C94="","",COUNTIFS(Başvuru!$C:$C,C94,Başvuru!$L:$L,"KAPSAM DIŞI",Başvuru!$A:$A,"&lt;&gt;"&amp;"",Başvuru!$F:$F,"&lt;&gt;"&amp;""))</f>
        <v>0</v>
      </c>
      <c r="P94" s="169">
        <f>IF(C94="","",COUNTIFS(Başvuru!$C:$C,C94,Başvuru!$L:$L,"GERİ ÇEKİLDİ",Başvuru!$A:$A,"&lt;&gt;"&amp;"",Başvuru!$F:$F,"&lt;&gt;"&amp;""))</f>
        <v>0</v>
      </c>
      <c r="Q94" s="170" t="str">
        <f t="array" ref="Q94">IFERROR(INDEX(Başvuru!$C$2:$C$3000, MATCH(0, COUNTIF($Q$5:Q93, Başvuru!$C$2:$C$3000) + IF(Başvuru!$C$2:$C$3000="",1,0), 0)), "")</f>
        <v>Dr. Öğr. Üyesi Irmak OCAK</v>
      </c>
      <c r="R94" s="171">
        <f>IF(Q94="","",COUNTIFS(Başvuru!$C:$C,Q94,Başvuru!$A:$A,"&lt;&gt;"&amp;"",Başvuru!$F:$F,"&lt;&gt;"&amp;""))</f>
        <v>1</v>
      </c>
      <c r="S94" s="171">
        <f>IF(R94="","",RANK(R94,$R$6:$R$505,0)+COUNTIF($R$6:R94,R94)-1)</f>
        <v>181</v>
      </c>
    </row>
    <row r="95" spans="2:19" ht="23.25" customHeight="1" x14ac:dyDescent="0.25">
      <c r="B95" s="159">
        <v>90</v>
      </c>
      <c r="C95" s="160" t="str">
        <f>IFERROR(INDEX($Q$6:$Q$505,MATCH(90,$S$6:$S$505,0)),"")</f>
        <v>Doç. Dr. Burcu ERSÖZ ALAN</v>
      </c>
      <c r="D95" s="161">
        <f>IF(C95="","",COUNTIFS(Başvuru!$C:$C,C95,Başvuru!$A:$A,"&lt;&gt;"&amp;"",Başvuru!$F:$F,"&lt;&gt;"&amp;""))</f>
        <v>2</v>
      </c>
      <c r="E95" s="159" t="str">
        <f>IF(C95="","-",IF(D95&gt;0,TEXT(D95/(COUNTIFS(Başvuru!$A:$A,"&lt;&gt;",Başvuru!$F:$F,"&lt;&gt;")-1)*100,"0.0")&amp;"%","-"))</f>
        <v>00%</v>
      </c>
      <c r="F95" s="162">
        <f>IF(C95="","",COUNTIFS(Başvuru!$C:$C,C95,Başvuru!$G:$G,"Bireysel Araştırma",Başvuru!$A:$A,"&lt;&gt;"&amp;"",Başvuru!$F:$F,"&lt;&gt;"&amp;""))</f>
        <v>0</v>
      </c>
      <c r="G95" s="162">
        <f>IF(C95="","",COUNTIFS(Başvuru!$C:$C,C95,Başvuru!$G:$G,"Uzmanlık Tezi",Başvuru!$A:$A,"&lt;&gt;"&amp;"",Başvuru!$F:$F,"&lt;&gt;"&amp;""))</f>
        <v>2</v>
      </c>
      <c r="H95" s="162">
        <f>IF(C95="","",COUNTIFS(Başvuru!$C:$C,C95,Başvuru!$G:$G,"Doktora Tezi",Başvuru!$A:$A,"&lt;&gt;"&amp;"",Başvuru!$F:$F,"&lt;&gt;"&amp;""))</f>
        <v>0</v>
      </c>
      <c r="I95" s="162">
        <f>IF(C95="","",COUNTIFS(Başvuru!$C:$C,C95,Başvuru!$G:$G,"Yüksek Lisans Tezi",Başvuru!$A:$A,"&lt;&gt;"&amp;"",Başvuru!$F:$F,"&lt;&gt;"&amp;""))</f>
        <v>0</v>
      </c>
      <c r="J95" s="163">
        <f>IF(C95="","",COUNTIFS(Başvuru!$C:$C,C95,Başvuru!$L:$L,"ONAY",Başvuru!$A:$A,"&lt;&gt;"&amp;"",Başvuru!$F:$F,"&lt;&gt;"&amp;""))</f>
        <v>2</v>
      </c>
      <c r="K95" s="164">
        <f>IF(C95="","",COUNTIFS(Başvuru!$C:$C,C95,Başvuru!$L:$L,"DÜZELTME",Başvuru!$A:$A,"&lt;&gt;"&amp;"",Başvuru!$F:$F,"&lt;&gt;"&amp;""))</f>
        <v>0</v>
      </c>
      <c r="L95" s="165">
        <f>IF(C95="","",COUNTIFS(Başvuru!$C:$C,C95,Başvuru!$L:$L,"KAEK",Başvuru!$A:$A,"&lt;&gt;"&amp;"",Başvuru!$F:$F,"&lt;&gt;"&amp;""))</f>
        <v>0</v>
      </c>
      <c r="M95" s="166">
        <f>IF(C95="","",COUNTIFS(Başvuru!$C:$C,C95,Başvuru!$L:$L,"GÖRÜŞ",Başvuru!$A:$A,"&lt;&gt;"&amp;"",Başvuru!$F:$F,"&lt;&gt;"&amp;""))</f>
        <v>0</v>
      </c>
      <c r="N95" s="167">
        <f>IF(C95="","",COUNTIFS(Başvuru!$C:$C,C95,Başvuru!$L:$L,"RET",Başvuru!$A:$A,"&lt;&gt;"&amp;"",Başvuru!$F:$F,"&lt;&gt;"&amp;""))</f>
        <v>0</v>
      </c>
      <c r="O95" s="168">
        <f>IF(C95="","",COUNTIFS(Başvuru!$C:$C,C95,Başvuru!$L:$L,"KAPSAM DIŞI",Başvuru!$A:$A,"&lt;&gt;"&amp;"",Başvuru!$F:$F,"&lt;&gt;"&amp;""))</f>
        <v>0</v>
      </c>
      <c r="P95" s="169">
        <f>IF(C95="","",COUNTIFS(Başvuru!$C:$C,C95,Başvuru!$L:$L,"GERİ ÇEKİLDİ",Başvuru!$A:$A,"&lt;&gt;"&amp;"",Başvuru!$F:$F,"&lt;&gt;"&amp;""))</f>
        <v>0</v>
      </c>
      <c r="Q95" s="170" t="str">
        <f t="array" ref="Q95">IFERROR(INDEX(Başvuru!$C$2:$C$3000, MATCH(0, COUNTIF($Q$5:Q94, Başvuru!$C$2:$C$3000) + IF(Başvuru!$C$2:$C$3000="",1,0), 0)), "")</f>
        <v>Prof. Dr. Ayşe KİN İŞLER</v>
      </c>
      <c r="R95" s="171">
        <f>IF(Q95="","",COUNTIFS(Başvuru!$C:$C,Q95,Başvuru!$A:$A,"&lt;&gt;"&amp;"",Başvuru!$F:$F,"&lt;&gt;"&amp;""))</f>
        <v>4</v>
      </c>
      <c r="S95" s="171">
        <f>IF(R95="","",RANK(R95,$R$6:$R$505,0)+COUNTIF($R$6:R95,R95)-1)</f>
        <v>38</v>
      </c>
    </row>
    <row r="96" spans="2:19" ht="23.25" customHeight="1" x14ac:dyDescent="0.25">
      <c r="B96" s="159">
        <v>91</v>
      </c>
      <c r="C96" s="160" t="str">
        <f>IFERROR(INDEX($Q$6:$Q$505,MATCH(91,$S$6:$S$505,0)),"")</f>
        <v>Öğr. Gör. Dr. Aytekin İDİKUT</v>
      </c>
      <c r="D96" s="161">
        <f>IF(C96="","",COUNTIFS(Başvuru!$C:$C,C96,Başvuru!$A:$A,"&lt;&gt;"&amp;"",Başvuru!$F:$F,"&lt;&gt;"&amp;""))</f>
        <v>2</v>
      </c>
      <c r="E96" s="159" t="str">
        <f>IF(C96="","-",IF(D96&gt;0,TEXT(D96/(COUNTIFS(Başvuru!$A:$A,"&lt;&gt;",Başvuru!$F:$F,"&lt;&gt;")-1)*100,"0.0")&amp;"%","-"))</f>
        <v>00%</v>
      </c>
      <c r="F96" s="162">
        <f>IF(C96="","",COUNTIFS(Başvuru!$C:$C,C96,Başvuru!$G:$G,"Bireysel Araştırma",Başvuru!$A:$A,"&lt;&gt;"&amp;"",Başvuru!$F:$F,"&lt;&gt;"&amp;""))</f>
        <v>2</v>
      </c>
      <c r="G96" s="162">
        <f>IF(C96="","",COUNTIFS(Başvuru!$C:$C,C96,Başvuru!$G:$G,"Uzmanlık Tezi",Başvuru!$A:$A,"&lt;&gt;"&amp;"",Başvuru!$F:$F,"&lt;&gt;"&amp;""))</f>
        <v>0</v>
      </c>
      <c r="H96" s="162">
        <f>IF(C96="","",COUNTIFS(Başvuru!$C:$C,C96,Başvuru!$G:$G,"Doktora Tezi",Başvuru!$A:$A,"&lt;&gt;"&amp;"",Başvuru!$F:$F,"&lt;&gt;"&amp;""))</f>
        <v>0</v>
      </c>
      <c r="I96" s="162">
        <f>IF(C96="","",COUNTIFS(Başvuru!$C:$C,C96,Başvuru!$G:$G,"Yüksek Lisans Tezi",Başvuru!$A:$A,"&lt;&gt;"&amp;"",Başvuru!$F:$F,"&lt;&gt;"&amp;""))</f>
        <v>0</v>
      </c>
      <c r="J96" s="163">
        <f>IF(C96="","",COUNTIFS(Başvuru!$C:$C,C96,Başvuru!$L:$L,"ONAY",Başvuru!$A:$A,"&lt;&gt;"&amp;"",Başvuru!$F:$F,"&lt;&gt;"&amp;""))</f>
        <v>1</v>
      </c>
      <c r="K96" s="164">
        <f>IF(C96="","",COUNTIFS(Başvuru!$C:$C,C96,Başvuru!$L:$L,"DÜZELTME",Başvuru!$A:$A,"&lt;&gt;"&amp;"",Başvuru!$F:$F,"&lt;&gt;"&amp;""))</f>
        <v>1</v>
      </c>
      <c r="L96" s="165">
        <f>IF(C96="","",COUNTIFS(Başvuru!$C:$C,C96,Başvuru!$L:$L,"KAEK",Başvuru!$A:$A,"&lt;&gt;"&amp;"",Başvuru!$F:$F,"&lt;&gt;"&amp;""))</f>
        <v>0</v>
      </c>
      <c r="M96" s="166">
        <f>IF(C96="","",COUNTIFS(Başvuru!$C:$C,C96,Başvuru!$L:$L,"GÖRÜŞ",Başvuru!$A:$A,"&lt;&gt;"&amp;"",Başvuru!$F:$F,"&lt;&gt;"&amp;""))</f>
        <v>0</v>
      </c>
      <c r="N96" s="167">
        <f>IF(C96="","",COUNTIFS(Başvuru!$C:$C,C96,Başvuru!$L:$L,"RET",Başvuru!$A:$A,"&lt;&gt;"&amp;"",Başvuru!$F:$F,"&lt;&gt;"&amp;""))</f>
        <v>0</v>
      </c>
      <c r="O96" s="168">
        <f>IF(C96="","",COUNTIFS(Başvuru!$C:$C,C96,Başvuru!$L:$L,"KAPSAM DIŞI",Başvuru!$A:$A,"&lt;&gt;"&amp;"",Başvuru!$F:$F,"&lt;&gt;"&amp;""))</f>
        <v>0</v>
      </c>
      <c r="P96" s="169">
        <f>IF(C96="","",COUNTIFS(Başvuru!$C:$C,C96,Başvuru!$L:$L,"GERİ ÇEKİLDİ",Başvuru!$A:$A,"&lt;&gt;"&amp;"",Başvuru!$F:$F,"&lt;&gt;"&amp;""))</f>
        <v>0</v>
      </c>
      <c r="Q96" s="170" t="str">
        <f t="array" ref="Q96">IFERROR(INDEX(Başvuru!$C$2:$C$3000, MATCH(0, COUNTIF($Q$5:Q95, Başvuru!$C$2:$C$3000) + IF(Başvuru!$C$2:$C$3000="",1,0), 0)), "")</f>
        <v>Prof. Dr. Alp ÇETİN</v>
      </c>
      <c r="R96" s="171">
        <f>IF(Q96="","",COUNTIFS(Başvuru!$C:$C,Q96,Başvuru!$A:$A,"&lt;&gt;"&amp;"",Başvuru!$F:$F,"&lt;&gt;"&amp;""))</f>
        <v>5</v>
      </c>
      <c r="S96" s="171">
        <f>IF(R96="","",RANK(R96,$R$6:$R$505,0)+COUNTIF($R$6:R96,R96)-1)</f>
        <v>25</v>
      </c>
    </row>
    <row r="97" spans="2:19" ht="23.25" customHeight="1" x14ac:dyDescent="0.25">
      <c r="B97" s="159">
        <v>92</v>
      </c>
      <c r="C97" s="160" t="str">
        <f>IFERROR(INDEX($Q$6:$Q$505,MATCH(92,$S$6:$S$505,0)),"")</f>
        <v>Arş. Gör. Dr. Sebiha Şükran GÜNDEŞLİ</v>
      </c>
      <c r="D97" s="161">
        <f>IF(C97="","",COUNTIFS(Başvuru!$C:$C,C97,Başvuru!$A:$A,"&lt;&gt;"&amp;"",Başvuru!$F:$F,"&lt;&gt;"&amp;""))</f>
        <v>2</v>
      </c>
      <c r="E97" s="159" t="str">
        <f>IF(C97="","-",IF(D97&gt;0,TEXT(D97/(COUNTIFS(Başvuru!$A:$A,"&lt;&gt;",Başvuru!$F:$F,"&lt;&gt;")-1)*100,"0.0")&amp;"%","-"))</f>
        <v>00%</v>
      </c>
      <c r="F97" s="162">
        <f>IF(C97="","",COUNTIFS(Başvuru!$C:$C,C97,Başvuru!$G:$G,"Bireysel Araştırma",Başvuru!$A:$A,"&lt;&gt;"&amp;"",Başvuru!$F:$F,"&lt;&gt;"&amp;""))</f>
        <v>2</v>
      </c>
      <c r="G97" s="162">
        <f>IF(C97="","",COUNTIFS(Başvuru!$C:$C,C97,Başvuru!$G:$G,"Uzmanlık Tezi",Başvuru!$A:$A,"&lt;&gt;"&amp;"",Başvuru!$F:$F,"&lt;&gt;"&amp;""))</f>
        <v>0</v>
      </c>
      <c r="H97" s="162">
        <f>IF(C97="","",COUNTIFS(Başvuru!$C:$C,C97,Başvuru!$G:$G,"Doktora Tezi",Başvuru!$A:$A,"&lt;&gt;"&amp;"",Başvuru!$F:$F,"&lt;&gt;"&amp;""))</f>
        <v>0</v>
      </c>
      <c r="I97" s="162">
        <f>IF(C97="","",COUNTIFS(Başvuru!$C:$C,C97,Başvuru!$G:$G,"Yüksek Lisans Tezi",Başvuru!$A:$A,"&lt;&gt;"&amp;"",Başvuru!$F:$F,"&lt;&gt;"&amp;""))</f>
        <v>0</v>
      </c>
      <c r="J97" s="163">
        <f>IF(C97="","",COUNTIFS(Başvuru!$C:$C,C97,Başvuru!$L:$L,"ONAY",Başvuru!$A:$A,"&lt;&gt;"&amp;"",Başvuru!$F:$F,"&lt;&gt;"&amp;""))</f>
        <v>1</v>
      </c>
      <c r="K97" s="164">
        <f>IF(C97="","",COUNTIFS(Başvuru!$C:$C,C97,Başvuru!$L:$L,"DÜZELTME",Başvuru!$A:$A,"&lt;&gt;"&amp;"",Başvuru!$F:$F,"&lt;&gt;"&amp;""))</f>
        <v>1</v>
      </c>
      <c r="L97" s="165">
        <f>IF(C97="","",COUNTIFS(Başvuru!$C:$C,C97,Başvuru!$L:$L,"KAEK",Başvuru!$A:$A,"&lt;&gt;"&amp;"",Başvuru!$F:$F,"&lt;&gt;"&amp;""))</f>
        <v>0</v>
      </c>
      <c r="M97" s="166">
        <f>IF(C97="","",COUNTIFS(Başvuru!$C:$C,C97,Başvuru!$L:$L,"GÖRÜŞ",Başvuru!$A:$A,"&lt;&gt;"&amp;"",Başvuru!$F:$F,"&lt;&gt;"&amp;""))</f>
        <v>0</v>
      </c>
      <c r="N97" s="167">
        <f>IF(C97="","",COUNTIFS(Başvuru!$C:$C,C97,Başvuru!$L:$L,"RET",Başvuru!$A:$A,"&lt;&gt;"&amp;"",Başvuru!$F:$F,"&lt;&gt;"&amp;""))</f>
        <v>0</v>
      </c>
      <c r="O97" s="168">
        <f>IF(C97="","",COUNTIFS(Başvuru!$C:$C,C97,Başvuru!$L:$L,"KAPSAM DIŞI",Başvuru!$A:$A,"&lt;&gt;"&amp;"",Başvuru!$F:$F,"&lt;&gt;"&amp;""))</f>
        <v>0</v>
      </c>
      <c r="P97" s="169">
        <f>IF(C97="","",COUNTIFS(Başvuru!$C:$C,C97,Başvuru!$L:$L,"GERİ ÇEKİLDİ",Başvuru!$A:$A,"&lt;&gt;"&amp;"",Başvuru!$F:$F,"&lt;&gt;"&amp;""))</f>
        <v>0</v>
      </c>
      <c r="Q97" s="170" t="str">
        <f t="array" ref="Q97">IFERROR(INDEX(Başvuru!$C$2:$C$3000, MATCH(0, COUNTIF($Q$5:Q96, Başvuru!$C$2:$C$3000) + IF(Başvuru!$C$2:$C$3000="",1,0), 0)), "")</f>
        <v>Doç. Dr. Ceren GÜNENÇ BEŞER</v>
      </c>
      <c r="R97" s="171">
        <f>IF(Q97="","",COUNTIFS(Başvuru!$C:$C,Q97,Başvuru!$A:$A,"&lt;&gt;"&amp;"",Başvuru!$F:$F,"&lt;&gt;"&amp;""))</f>
        <v>2</v>
      </c>
      <c r="S97" s="171">
        <f>IF(R97="","",RANK(R97,$R$6:$R$505,0)+COUNTIF($R$6:R97,R97)-1)</f>
        <v>93</v>
      </c>
    </row>
    <row r="98" spans="2:19" ht="23.25" customHeight="1" x14ac:dyDescent="0.25">
      <c r="B98" s="159">
        <v>93</v>
      </c>
      <c r="C98" s="160" t="str">
        <f>IFERROR(INDEX($Q$6:$Q$505,MATCH(93,$S$6:$S$505,0)),"")</f>
        <v>Doç. Dr. Ceren GÜNENÇ BEŞER</v>
      </c>
      <c r="D98" s="161">
        <f>IF(C98="","",COUNTIFS(Başvuru!$C:$C,C98,Başvuru!$A:$A,"&lt;&gt;"&amp;"",Başvuru!$F:$F,"&lt;&gt;"&amp;""))</f>
        <v>2</v>
      </c>
      <c r="E98" s="159" t="str">
        <f>IF(C98="","-",IF(D98&gt;0,TEXT(D98/(COUNTIFS(Başvuru!$A:$A,"&lt;&gt;",Başvuru!$F:$F,"&lt;&gt;")-1)*100,"0.0")&amp;"%","-"))</f>
        <v>00%</v>
      </c>
      <c r="F98" s="162">
        <f>IF(C98="","",COUNTIFS(Başvuru!$C:$C,C98,Başvuru!$G:$G,"Bireysel Araştırma",Başvuru!$A:$A,"&lt;&gt;"&amp;"",Başvuru!$F:$F,"&lt;&gt;"&amp;""))</f>
        <v>0</v>
      </c>
      <c r="G98" s="162">
        <f>IF(C98="","",COUNTIFS(Başvuru!$C:$C,C98,Başvuru!$G:$G,"Uzmanlık Tezi",Başvuru!$A:$A,"&lt;&gt;"&amp;"",Başvuru!$F:$F,"&lt;&gt;"&amp;""))</f>
        <v>0</v>
      </c>
      <c r="H98" s="162">
        <f>IF(C98="","",COUNTIFS(Başvuru!$C:$C,C98,Başvuru!$G:$G,"Doktora Tezi",Başvuru!$A:$A,"&lt;&gt;"&amp;"",Başvuru!$F:$F,"&lt;&gt;"&amp;""))</f>
        <v>1</v>
      </c>
      <c r="I98" s="162">
        <f>IF(C98="","",COUNTIFS(Başvuru!$C:$C,C98,Başvuru!$G:$G,"Yüksek Lisans Tezi",Başvuru!$A:$A,"&lt;&gt;"&amp;"",Başvuru!$F:$F,"&lt;&gt;"&amp;""))</f>
        <v>1</v>
      </c>
      <c r="J98" s="163">
        <f>IF(C98="","",COUNTIFS(Başvuru!$C:$C,C98,Başvuru!$L:$L,"ONAY",Başvuru!$A:$A,"&lt;&gt;"&amp;"",Başvuru!$F:$F,"&lt;&gt;"&amp;""))</f>
        <v>2</v>
      </c>
      <c r="K98" s="164">
        <f>IF(C98="","",COUNTIFS(Başvuru!$C:$C,C98,Başvuru!$L:$L,"DÜZELTME",Başvuru!$A:$A,"&lt;&gt;"&amp;"",Başvuru!$F:$F,"&lt;&gt;"&amp;""))</f>
        <v>0</v>
      </c>
      <c r="L98" s="165">
        <f>IF(C98="","",COUNTIFS(Başvuru!$C:$C,C98,Başvuru!$L:$L,"KAEK",Başvuru!$A:$A,"&lt;&gt;"&amp;"",Başvuru!$F:$F,"&lt;&gt;"&amp;""))</f>
        <v>0</v>
      </c>
      <c r="M98" s="166">
        <f>IF(C98="","",COUNTIFS(Başvuru!$C:$C,C98,Başvuru!$L:$L,"GÖRÜŞ",Başvuru!$A:$A,"&lt;&gt;"&amp;"",Başvuru!$F:$F,"&lt;&gt;"&amp;""))</f>
        <v>0</v>
      </c>
      <c r="N98" s="167">
        <f>IF(C98="","",COUNTIFS(Başvuru!$C:$C,C98,Başvuru!$L:$L,"RET",Başvuru!$A:$A,"&lt;&gt;"&amp;"",Başvuru!$F:$F,"&lt;&gt;"&amp;""))</f>
        <v>0</v>
      </c>
      <c r="O98" s="168">
        <f>IF(C98="","",COUNTIFS(Başvuru!$C:$C,C98,Başvuru!$L:$L,"KAPSAM DIŞI",Başvuru!$A:$A,"&lt;&gt;"&amp;"",Başvuru!$F:$F,"&lt;&gt;"&amp;""))</f>
        <v>0</v>
      </c>
      <c r="P98" s="169">
        <f>IF(C98="","",COUNTIFS(Başvuru!$C:$C,C98,Başvuru!$L:$L,"GERİ ÇEKİLDİ",Başvuru!$A:$A,"&lt;&gt;"&amp;"",Başvuru!$F:$F,"&lt;&gt;"&amp;""))</f>
        <v>0</v>
      </c>
      <c r="Q98" s="170" t="str">
        <f t="array" ref="Q98">IFERROR(INDEX(Başvuru!$C$2:$C$3000, MATCH(0, COUNTIF($Q$5:Q97, Başvuru!$C$2:$C$3000) + IF(Başvuru!$C$2:$C$3000="",1,0), 0)), "")</f>
        <v>Prof. Dr. Hatice Yasemin BALABAN</v>
      </c>
      <c r="R98" s="171">
        <f>IF(Q98="","",COUNTIFS(Başvuru!$C:$C,Q98,Başvuru!$A:$A,"&lt;&gt;"&amp;"",Başvuru!$F:$F,"&lt;&gt;"&amp;""))</f>
        <v>4</v>
      </c>
      <c r="S98" s="171">
        <f>IF(R98="","",RANK(R98,$R$6:$R$505,0)+COUNTIF($R$6:R98,R98)-1)</f>
        <v>39</v>
      </c>
    </row>
    <row r="99" spans="2:19" ht="23.25" customHeight="1" x14ac:dyDescent="0.25">
      <c r="B99" s="159">
        <v>94</v>
      </c>
      <c r="C99" s="160" t="str">
        <f>IFERROR(INDEX($Q$6:$Q$505,MATCH(94,$S$6:$S$505,0)),"")</f>
        <v>Prof. Dr. Rıza Köksal ÖZGÜL</v>
      </c>
      <c r="D99" s="161">
        <f>IF(C99="","",COUNTIFS(Başvuru!$C:$C,C99,Başvuru!$A:$A,"&lt;&gt;"&amp;"",Başvuru!$F:$F,"&lt;&gt;"&amp;""))</f>
        <v>2</v>
      </c>
      <c r="E99" s="159" t="str">
        <f>IF(C99="","-",IF(D99&gt;0,TEXT(D99/(COUNTIFS(Başvuru!$A:$A,"&lt;&gt;",Başvuru!$F:$F,"&lt;&gt;")-1)*100,"0.0")&amp;"%","-"))</f>
        <v>00%</v>
      </c>
      <c r="F99" s="162">
        <f>IF(C99="","",COUNTIFS(Başvuru!$C:$C,C99,Başvuru!$G:$G,"Bireysel Araştırma",Başvuru!$A:$A,"&lt;&gt;"&amp;"",Başvuru!$F:$F,"&lt;&gt;"&amp;""))</f>
        <v>1</v>
      </c>
      <c r="G99" s="162">
        <f>IF(C99="","",COUNTIFS(Başvuru!$C:$C,C99,Başvuru!$G:$G,"Uzmanlık Tezi",Başvuru!$A:$A,"&lt;&gt;"&amp;"",Başvuru!$F:$F,"&lt;&gt;"&amp;""))</f>
        <v>0</v>
      </c>
      <c r="H99" s="162">
        <f>IF(C99="","",COUNTIFS(Başvuru!$C:$C,C99,Başvuru!$G:$G,"Doktora Tezi",Başvuru!$A:$A,"&lt;&gt;"&amp;"",Başvuru!$F:$F,"&lt;&gt;"&amp;""))</f>
        <v>0</v>
      </c>
      <c r="I99" s="162">
        <f>IF(C99="","",COUNTIFS(Başvuru!$C:$C,C99,Başvuru!$G:$G,"Yüksek Lisans Tezi",Başvuru!$A:$A,"&lt;&gt;"&amp;"",Başvuru!$F:$F,"&lt;&gt;"&amp;""))</f>
        <v>1</v>
      </c>
      <c r="J99" s="163">
        <f>IF(C99="","",COUNTIFS(Başvuru!$C:$C,C99,Başvuru!$L:$L,"ONAY",Başvuru!$A:$A,"&lt;&gt;"&amp;"",Başvuru!$F:$F,"&lt;&gt;"&amp;""))</f>
        <v>0</v>
      </c>
      <c r="K99" s="164">
        <f>IF(C99="","",COUNTIFS(Başvuru!$C:$C,C99,Başvuru!$L:$L,"DÜZELTME",Başvuru!$A:$A,"&lt;&gt;"&amp;"",Başvuru!$F:$F,"&lt;&gt;"&amp;""))</f>
        <v>2</v>
      </c>
      <c r="L99" s="165">
        <f>IF(C99="","",COUNTIFS(Başvuru!$C:$C,C99,Başvuru!$L:$L,"KAEK",Başvuru!$A:$A,"&lt;&gt;"&amp;"",Başvuru!$F:$F,"&lt;&gt;"&amp;""))</f>
        <v>0</v>
      </c>
      <c r="M99" s="166">
        <f>IF(C99="","",COUNTIFS(Başvuru!$C:$C,C99,Başvuru!$L:$L,"GÖRÜŞ",Başvuru!$A:$A,"&lt;&gt;"&amp;"",Başvuru!$F:$F,"&lt;&gt;"&amp;""))</f>
        <v>0</v>
      </c>
      <c r="N99" s="167">
        <f>IF(C99="","",COUNTIFS(Başvuru!$C:$C,C99,Başvuru!$L:$L,"RET",Başvuru!$A:$A,"&lt;&gt;"&amp;"",Başvuru!$F:$F,"&lt;&gt;"&amp;""))</f>
        <v>0</v>
      </c>
      <c r="O99" s="168">
        <f>IF(C99="","",COUNTIFS(Başvuru!$C:$C,C99,Başvuru!$L:$L,"KAPSAM DIŞI",Başvuru!$A:$A,"&lt;&gt;"&amp;"",Başvuru!$F:$F,"&lt;&gt;"&amp;""))</f>
        <v>0</v>
      </c>
      <c r="P99" s="169">
        <f>IF(C99="","",COUNTIFS(Başvuru!$C:$C,C99,Başvuru!$L:$L,"GERİ ÇEKİLDİ",Başvuru!$A:$A,"&lt;&gt;"&amp;"",Başvuru!$F:$F,"&lt;&gt;"&amp;""))</f>
        <v>0</v>
      </c>
      <c r="Q99" s="170" t="str">
        <f t="array" ref="Q99">IFERROR(INDEX(Başvuru!$C$2:$C$3000, MATCH(0, COUNTIF($Q$5:Q98, Başvuru!$C$2:$C$3000) + IF(Başvuru!$C$2:$C$3000="",1,0), 0)), "")</f>
        <v>Doç. Dr. Serra ÖRSTEN</v>
      </c>
      <c r="R99" s="171">
        <f>IF(Q99="","",COUNTIFS(Başvuru!$C:$C,Q99,Başvuru!$A:$A,"&lt;&gt;"&amp;"",Başvuru!$F:$F,"&lt;&gt;"&amp;""))</f>
        <v>1</v>
      </c>
      <c r="S99" s="171">
        <f>IF(R99="","",RANK(R99,$R$6:$R$505,0)+COUNTIF($R$6:R99,R99)-1)</f>
        <v>182</v>
      </c>
    </row>
    <row r="100" spans="2:19" ht="23.25" customHeight="1" x14ac:dyDescent="0.25">
      <c r="B100" s="159">
        <v>95</v>
      </c>
      <c r="C100" s="160" t="str">
        <f>IFERROR(INDEX($Q$6:$Q$505,MATCH(95,$S$6:$S$505,0)),"")</f>
        <v>Doç. Dr. Ceren ÖZKUL KOÇAK</v>
      </c>
      <c r="D100" s="161">
        <f>IF(C100="","",COUNTIFS(Başvuru!$C:$C,C100,Başvuru!$A:$A,"&lt;&gt;"&amp;"",Başvuru!$F:$F,"&lt;&gt;"&amp;""))</f>
        <v>2</v>
      </c>
      <c r="E100" s="159" t="str">
        <f>IF(C100="","-",IF(D100&gt;0,TEXT(D100/(COUNTIFS(Başvuru!$A:$A,"&lt;&gt;",Başvuru!$F:$F,"&lt;&gt;")-1)*100,"0.0")&amp;"%","-"))</f>
        <v>00%</v>
      </c>
      <c r="F100" s="162">
        <f>IF(C100="","",COUNTIFS(Başvuru!$C:$C,C100,Başvuru!$G:$G,"Bireysel Araştırma",Başvuru!$A:$A,"&lt;&gt;"&amp;"",Başvuru!$F:$F,"&lt;&gt;"&amp;""))</f>
        <v>1</v>
      </c>
      <c r="G100" s="162">
        <f>IF(C100="","",COUNTIFS(Başvuru!$C:$C,C100,Başvuru!$G:$G,"Uzmanlık Tezi",Başvuru!$A:$A,"&lt;&gt;"&amp;"",Başvuru!$F:$F,"&lt;&gt;"&amp;""))</f>
        <v>0</v>
      </c>
      <c r="H100" s="162">
        <f>IF(C100="","",COUNTIFS(Başvuru!$C:$C,C100,Başvuru!$G:$G,"Doktora Tezi",Başvuru!$A:$A,"&lt;&gt;"&amp;"",Başvuru!$F:$F,"&lt;&gt;"&amp;""))</f>
        <v>1</v>
      </c>
      <c r="I100" s="162">
        <f>IF(C100="","",COUNTIFS(Başvuru!$C:$C,C100,Başvuru!$G:$G,"Yüksek Lisans Tezi",Başvuru!$A:$A,"&lt;&gt;"&amp;"",Başvuru!$F:$F,"&lt;&gt;"&amp;""))</f>
        <v>0</v>
      </c>
      <c r="J100" s="163">
        <f>IF(C100="","",COUNTIFS(Başvuru!$C:$C,C100,Başvuru!$L:$L,"ONAY",Başvuru!$A:$A,"&lt;&gt;"&amp;"",Başvuru!$F:$F,"&lt;&gt;"&amp;""))</f>
        <v>0</v>
      </c>
      <c r="K100" s="164">
        <f>IF(C100="","",COUNTIFS(Başvuru!$C:$C,C100,Başvuru!$L:$L,"DÜZELTME",Başvuru!$A:$A,"&lt;&gt;"&amp;"",Başvuru!$F:$F,"&lt;&gt;"&amp;""))</f>
        <v>2</v>
      </c>
      <c r="L100" s="165">
        <f>IF(C100="","",COUNTIFS(Başvuru!$C:$C,C100,Başvuru!$L:$L,"KAEK",Başvuru!$A:$A,"&lt;&gt;"&amp;"",Başvuru!$F:$F,"&lt;&gt;"&amp;""))</f>
        <v>0</v>
      </c>
      <c r="M100" s="166">
        <f>IF(C100="","",COUNTIFS(Başvuru!$C:$C,C100,Başvuru!$L:$L,"GÖRÜŞ",Başvuru!$A:$A,"&lt;&gt;"&amp;"",Başvuru!$F:$F,"&lt;&gt;"&amp;""))</f>
        <v>0</v>
      </c>
      <c r="N100" s="167">
        <f>IF(C100="","",COUNTIFS(Başvuru!$C:$C,C100,Başvuru!$L:$L,"RET",Başvuru!$A:$A,"&lt;&gt;"&amp;"",Başvuru!$F:$F,"&lt;&gt;"&amp;""))</f>
        <v>0</v>
      </c>
      <c r="O100" s="168">
        <f>IF(C100="","",COUNTIFS(Başvuru!$C:$C,C100,Başvuru!$L:$L,"KAPSAM DIŞI",Başvuru!$A:$A,"&lt;&gt;"&amp;"",Başvuru!$F:$F,"&lt;&gt;"&amp;""))</f>
        <v>0</v>
      </c>
      <c r="P100" s="169">
        <f>IF(C100="","",COUNTIFS(Başvuru!$C:$C,C100,Başvuru!$L:$L,"GERİ ÇEKİLDİ",Başvuru!$A:$A,"&lt;&gt;"&amp;"",Başvuru!$F:$F,"&lt;&gt;"&amp;""))</f>
        <v>0</v>
      </c>
      <c r="Q100" s="170" t="str">
        <f t="array" ref="Q100">IFERROR(INDEX(Başvuru!$C$2:$C$3000, MATCH(0, COUNTIF($Q$5:Q99, Başvuru!$C$2:$C$3000) + IF(Başvuru!$C$2:$C$3000="",1,0), 0)), "")</f>
        <v>Dr. Öğr. Üyesi Hilal AKDEMİR AKTAŞ</v>
      </c>
      <c r="R100" s="171">
        <f>IF(Q100="","",COUNTIFS(Başvuru!$C:$C,Q100,Başvuru!$A:$A,"&lt;&gt;"&amp;"",Başvuru!$F:$F,"&lt;&gt;"&amp;""))</f>
        <v>1</v>
      </c>
      <c r="S100" s="171">
        <f>IF(R100="","",RANK(R100,$R$6:$R$505,0)+COUNTIF($R$6:R100,R100)-1)</f>
        <v>183</v>
      </c>
    </row>
    <row r="101" spans="2:19" ht="23.25" customHeight="1" x14ac:dyDescent="0.25">
      <c r="B101" s="159">
        <v>96</v>
      </c>
      <c r="C101" s="160" t="str">
        <f>IFERROR(INDEX($Q$6:$Q$505,MATCH(96,$S$6:$S$505,0)),"")</f>
        <v>Dr. Öğr. Üyesi Ayşe METE YEŞİL</v>
      </c>
      <c r="D101" s="161">
        <f>IF(C101="","",COUNTIFS(Başvuru!$C:$C,C101,Başvuru!$A:$A,"&lt;&gt;"&amp;"",Başvuru!$F:$F,"&lt;&gt;"&amp;""))</f>
        <v>2</v>
      </c>
      <c r="E101" s="159" t="str">
        <f>IF(C101="","-",IF(D101&gt;0,TEXT(D101/(COUNTIFS(Başvuru!$A:$A,"&lt;&gt;",Başvuru!$F:$F,"&lt;&gt;")-1)*100,"0.0")&amp;"%","-"))</f>
        <v>00%</v>
      </c>
      <c r="F101" s="162">
        <f>IF(C101="","",COUNTIFS(Başvuru!$C:$C,C101,Başvuru!$G:$G,"Bireysel Araştırma",Başvuru!$A:$A,"&lt;&gt;"&amp;"",Başvuru!$F:$F,"&lt;&gt;"&amp;""))</f>
        <v>1</v>
      </c>
      <c r="G101" s="162">
        <f>IF(C101="","",COUNTIFS(Başvuru!$C:$C,C101,Başvuru!$G:$G,"Uzmanlık Tezi",Başvuru!$A:$A,"&lt;&gt;"&amp;"",Başvuru!$F:$F,"&lt;&gt;"&amp;""))</f>
        <v>1</v>
      </c>
      <c r="H101" s="162">
        <f>IF(C101="","",COUNTIFS(Başvuru!$C:$C,C101,Başvuru!$G:$G,"Doktora Tezi",Başvuru!$A:$A,"&lt;&gt;"&amp;"",Başvuru!$F:$F,"&lt;&gt;"&amp;""))</f>
        <v>0</v>
      </c>
      <c r="I101" s="162">
        <f>IF(C101="","",COUNTIFS(Başvuru!$C:$C,C101,Başvuru!$G:$G,"Yüksek Lisans Tezi",Başvuru!$A:$A,"&lt;&gt;"&amp;"",Başvuru!$F:$F,"&lt;&gt;"&amp;""))</f>
        <v>0</v>
      </c>
      <c r="J101" s="163">
        <f>IF(C101="","",COUNTIFS(Başvuru!$C:$C,C101,Başvuru!$L:$L,"ONAY",Başvuru!$A:$A,"&lt;&gt;"&amp;"",Başvuru!$F:$F,"&lt;&gt;"&amp;""))</f>
        <v>0</v>
      </c>
      <c r="K101" s="164">
        <f>IF(C101="","",COUNTIFS(Başvuru!$C:$C,C101,Başvuru!$L:$L,"DÜZELTME",Başvuru!$A:$A,"&lt;&gt;"&amp;"",Başvuru!$F:$F,"&lt;&gt;"&amp;""))</f>
        <v>2</v>
      </c>
      <c r="L101" s="165">
        <f>IF(C101="","",COUNTIFS(Başvuru!$C:$C,C101,Başvuru!$L:$L,"KAEK",Başvuru!$A:$A,"&lt;&gt;"&amp;"",Başvuru!$F:$F,"&lt;&gt;"&amp;""))</f>
        <v>0</v>
      </c>
      <c r="M101" s="166">
        <f>IF(C101="","",COUNTIFS(Başvuru!$C:$C,C101,Başvuru!$L:$L,"GÖRÜŞ",Başvuru!$A:$A,"&lt;&gt;"&amp;"",Başvuru!$F:$F,"&lt;&gt;"&amp;""))</f>
        <v>0</v>
      </c>
      <c r="N101" s="167">
        <f>IF(C101="","",COUNTIFS(Başvuru!$C:$C,C101,Başvuru!$L:$L,"RET",Başvuru!$A:$A,"&lt;&gt;"&amp;"",Başvuru!$F:$F,"&lt;&gt;"&amp;""))</f>
        <v>0</v>
      </c>
      <c r="O101" s="168">
        <f>IF(C101="","",COUNTIFS(Başvuru!$C:$C,C101,Başvuru!$L:$L,"KAPSAM DIŞI",Başvuru!$A:$A,"&lt;&gt;"&amp;"",Başvuru!$F:$F,"&lt;&gt;"&amp;""))</f>
        <v>0</v>
      </c>
      <c r="P101" s="169">
        <f>IF(C101="","",COUNTIFS(Başvuru!$C:$C,C101,Başvuru!$L:$L,"GERİ ÇEKİLDİ",Başvuru!$A:$A,"&lt;&gt;"&amp;"",Başvuru!$F:$F,"&lt;&gt;"&amp;""))</f>
        <v>0</v>
      </c>
      <c r="Q101" s="170" t="str">
        <f t="array" ref="Q101">IFERROR(INDEX(Başvuru!$C$2:$C$3000, MATCH(0, COUNTIF($Q$5:Q100, Başvuru!$C$2:$C$3000) + IF(Başvuru!$C$2:$C$3000="",1,0), 0)), "")</f>
        <v>Prof. Dr. Rıza Köksal ÖZGÜL</v>
      </c>
      <c r="R101" s="171">
        <f>IF(Q101="","",COUNTIFS(Başvuru!$C:$C,Q101,Başvuru!$A:$A,"&lt;&gt;"&amp;"",Başvuru!$F:$F,"&lt;&gt;"&amp;""))</f>
        <v>2</v>
      </c>
      <c r="S101" s="171">
        <f>IF(R101="","",RANK(R101,$R$6:$R$505,0)+COUNTIF($R$6:R101,R101)-1)</f>
        <v>94</v>
      </c>
    </row>
    <row r="102" spans="2:19" ht="23.25" customHeight="1" x14ac:dyDescent="0.25">
      <c r="B102" s="159">
        <v>97</v>
      </c>
      <c r="C102" s="160" t="str">
        <f>IFERROR(INDEX($Q$6:$Q$505,MATCH(97,$S$6:$S$505,0)),"")</f>
        <v>Prof. Dr. Serdar ÖZER</v>
      </c>
      <c r="D102" s="161">
        <f>IF(C102="","",COUNTIFS(Başvuru!$C:$C,C102,Başvuru!$A:$A,"&lt;&gt;"&amp;"",Başvuru!$F:$F,"&lt;&gt;"&amp;""))</f>
        <v>2</v>
      </c>
      <c r="E102" s="159" t="str">
        <f>IF(C102="","-",IF(D102&gt;0,TEXT(D102/(COUNTIFS(Başvuru!$A:$A,"&lt;&gt;",Başvuru!$F:$F,"&lt;&gt;")-1)*100,"0.0")&amp;"%","-"))</f>
        <v>00%</v>
      </c>
      <c r="F102" s="162">
        <f>IF(C102="","",COUNTIFS(Başvuru!$C:$C,C102,Başvuru!$G:$G,"Bireysel Araştırma",Başvuru!$A:$A,"&lt;&gt;"&amp;"",Başvuru!$F:$F,"&lt;&gt;"&amp;""))</f>
        <v>1</v>
      </c>
      <c r="G102" s="162">
        <f>IF(C102="","",COUNTIFS(Başvuru!$C:$C,C102,Başvuru!$G:$G,"Uzmanlık Tezi",Başvuru!$A:$A,"&lt;&gt;"&amp;"",Başvuru!$F:$F,"&lt;&gt;"&amp;""))</f>
        <v>1</v>
      </c>
      <c r="H102" s="162">
        <f>IF(C102="","",COUNTIFS(Başvuru!$C:$C,C102,Başvuru!$G:$G,"Doktora Tezi",Başvuru!$A:$A,"&lt;&gt;"&amp;"",Başvuru!$F:$F,"&lt;&gt;"&amp;""))</f>
        <v>0</v>
      </c>
      <c r="I102" s="162">
        <f>IF(C102="","",COUNTIFS(Başvuru!$C:$C,C102,Başvuru!$G:$G,"Yüksek Lisans Tezi",Başvuru!$A:$A,"&lt;&gt;"&amp;"",Başvuru!$F:$F,"&lt;&gt;"&amp;""))</f>
        <v>0</v>
      </c>
      <c r="J102" s="163">
        <f>IF(C102="","",COUNTIFS(Başvuru!$C:$C,C102,Başvuru!$L:$L,"ONAY",Başvuru!$A:$A,"&lt;&gt;"&amp;"",Başvuru!$F:$F,"&lt;&gt;"&amp;""))</f>
        <v>1</v>
      </c>
      <c r="K102" s="164">
        <f>IF(C102="","",COUNTIFS(Başvuru!$C:$C,C102,Başvuru!$L:$L,"DÜZELTME",Başvuru!$A:$A,"&lt;&gt;"&amp;"",Başvuru!$F:$F,"&lt;&gt;"&amp;""))</f>
        <v>0</v>
      </c>
      <c r="L102" s="165">
        <f>IF(C102="","",COUNTIFS(Başvuru!$C:$C,C102,Başvuru!$L:$L,"KAEK",Başvuru!$A:$A,"&lt;&gt;"&amp;"",Başvuru!$F:$F,"&lt;&gt;"&amp;""))</f>
        <v>0</v>
      </c>
      <c r="M102" s="166">
        <f>IF(C102="","",COUNTIFS(Başvuru!$C:$C,C102,Başvuru!$L:$L,"GÖRÜŞ",Başvuru!$A:$A,"&lt;&gt;"&amp;"",Başvuru!$F:$F,"&lt;&gt;"&amp;""))</f>
        <v>0</v>
      </c>
      <c r="N102" s="167">
        <f>IF(C102="","",COUNTIFS(Başvuru!$C:$C,C102,Başvuru!$L:$L,"RET",Başvuru!$A:$A,"&lt;&gt;"&amp;"",Başvuru!$F:$F,"&lt;&gt;"&amp;""))</f>
        <v>1</v>
      </c>
      <c r="O102" s="168">
        <f>IF(C102="","",COUNTIFS(Başvuru!$C:$C,C102,Başvuru!$L:$L,"KAPSAM DIŞI",Başvuru!$A:$A,"&lt;&gt;"&amp;"",Başvuru!$F:$F,"&lt;&gt;"&amp;""))</f>
        <v>0</v>
      </c>
      <c r="P102" s="169">
        <f>IF(C102="","",COUNTIFS(Başvuru!$C:$C,C102,Başvuru!$L:$L,"GERİ ÇEKİLDİ",Başvuru!$A:$A,"&lt;&gt;"&amp;"",Başvuru!$F:$F,"&lt;&gt;"&amp;""))</f>
        <v>0</v>
      </c>
      <c r="Q102" s="170" t="str">
        <f t="array" ref="Q102">IFERROR(INDEX(Başvuru!$C$2:$C$3000, MATCH(0, COUNTIF($Q$5:Q101, Başvuru!$C$2:$C$3000) + IF(Başvuru!$C$2:$C$3000="",1,0), 0)), "")</f>
        <v>Doç. Dr. Süleyman Nahit ŞENDUR</v>
      </c>
      <c r="R102" s="171">
        <f>IF(Q102="","",COUNTIFS(Başvuru!$C:$C,Q102,Başvuru!$A:$A,"&lt;&gt;"&amp;"",Başvuru!$F:$F,"&lt;&gt;"&amp;""))</f>
        <v>6</v>
      </c>
      <c r="S102" s="171">
        <f>IF(R102="","",RANK(R102,$R$6:$R$505,0)+COUNTIF($R$6:R102,R102)-1)</f>
        <v>18</v>
      </c>
    </row>
    <row r="103" spans="2:19" ht="23.25" customHeight="1" x14ac:dyDescent="0.25">
      <c r="B103" s="159">
        <v>98</v>
      </c>
      <c r="C103" s="160" t="str">
        <f>IFERROR(INDEX($Q$6:$Q$505,MATCH(98,$S$6:$S$505,0)),"")</f>
        <v>Prof. Dr. Yahya BÜYÜKAŞIK</v>
      </c>
      <c r="D103" s="161">
        <f>IF(C103="","",COUNTIFS(Başvuru!$C:$C,C103,Başvuru!$A:$A,"&lt;&gt;"&amp;"",Başvuru!$F:$F,"&lt;&gt;"&amp;""))</f>
        <v>2</v>
      </c>
      <c r="E103" s="159" t="str">
        <f>IF(C103="","-",IF(D103&gt;0,TEXT(D103/(COUNTIFS(Başvuru!$A:$A,"&lt;&gt;",Başvuru!$F:$F,"&lt;&gt;")-1)*100,"0.0")&amp;"%","-"))</f>
        <v>00%</v>
      </c>
      <c r="F103" s="162">
        <f>IF(C103="","",COUNTIFS(Başvuru!$C:$C,C103,Başvuru!$G:$G,"Bireysel Araştırma",Başvuru!$A:$A,"&lt;&gt;"&amp;"",Başvuru!$F:$F,"&lt;&gt;"&amp;""))</f>
        <v>1</v>
      </c>
      <c r="G103" s="162">
        <f>IF(C103="","",COUNTIFS(Başvuru!$C:$C,C103,Başvuru!$G:$G,"Uzmanlık Tezi",Başvuru!$A:$A,"&lt;&gt;"&amp;"",Başvuru!$F:$F,"&lt;&gt;"&amp;""))</f>
        <v>1</v>
      </c>
      <c r="H103" s="162">
        <f>IF(C103="","",COUNTIFS(Başvuru!$C:$C,C103,Başvuru!$G:$G,"Doktora Tezi",Başvuru!$A:$A,"&lt;&gt;"&amp;"",Başvuru!$F:$F,"&lt;&gt;"&amp;""))</f>
        <v>0</v>
      </c>
      <c r="I103" s="162">
        <f>IF(C103="","",COUNTIFS(Başvuru!$C:$C,C103,Başvuru!$G:$G,"Yüksek Lisans Tezi",Başvuru!$A:$A,"&lt;&gt;"&amp;"",Başvuru!$F:$F,"&lt;&gt;"&amp;""))</f>
        <v>0</v>
      </c>
      <c r="J103" s="163">
        <f>IF(C103="","",COUNTIFS(Başvuru!$C:$C,C103,Başvuru!$L:$L,"ONAY",Başvuru!$A:$A,"&lt;&gt;"&amp;"",Başvuru!$F:$F,"&lt;&gt;"&amp;""))</f>
        <v>2</v>
      </c>
      <c r="K103" s="164">
        <f>IF(C103="","",COUNTIFS(Başvuru!$C:$C,C103,Başvuru!$L:$L,"DÜZELTME",Başvuru!$A:$A,"&lt;&gt;"&amp;"",Başvuru!$F:$F,"&lt;&gt;"&amp;""))</f>
        <v>0</v>
      </c>
      <c r="L103" s="165">
        <f>IF(C103="","",COUNTIFS(Başvuru!$C:$C,C103,Başvuru!$L:$L,"KAEK",Başvuru!$A:$A,"&lt;&gt;"&amp;"",Başvuru!$F:$F,"&lt;&gt;"&amp;""))</f>
        <v>0</v>
      </c>
      <c r="M103" s="166">
        <f>IF(C103="","",COUNTIFS(Başvuru!$C:$C,C103,Başvuru!$L:$L,"GÖRÜŞ",Başvuru!$A:$A,"&lt;&gt;"&amp;"",Başvuru!$F:$F,"&lt;&gt;"&amp;""))</f>
        <v>0</v>
      </c>
      <c r="N103" s="167">
        <f>IF(C103="","",COUNTIFS(Başvuru!$C:$C,C103,Başvuru!$L:$L,"RET",Başvuru!$A:$A,"&lt;&gt;"&amp;"",Başvuru!$F:$F,"&lt;&gt;"&amp;""))</f>
        <v>0</v>
      </c>
      <c r="O103" s="168">
        <f>IF(C103="","",COUNTIFS(Başvuru!$C:$C,C103,Başvuru!$L:$L,"KAPSAM DIŞI",Başvuru!$A:$A,"&lt;&gt;"&amp;"",Başvuru!$F:$F,"&lt;&gt;"&amp;""))</f>
        <v>0</v>
      </c>
      <c r="P103" s="169">
        <f>IF(C103="","",COUNTIFS(Başvuru!$C:$C,C103,Başvuru!$L:$L,"GERİ ÇEKİLDİ",Başvuru!$A:$A,"&lt;&gt;"&amp;"",Başvuru!$F:$F,"&lt;&gt;"&amp;""))</f>
        <v>0</v>
      </c>
      <c r="Q103" s="170" t="str">
        <f t="array" ref="Q103">IFERROR(INDEX(Başvuru!$C$2:$C$3000, MATCH(0, COUNTIF($Q$5:Q102, Başvuru!$C$2:$C$3000) + IF(Başvuru!$C$2:$C$3000="",1,0), 0)), "")</f>
        <v>Prof. Dr. Yavuz AYHAN</v>
      </c>
      <c r="R103" s="171">
        <f>IF(Q103="","",COUNTIFS(Başvuru!$C:$C,Q103,Başvuru!$A:$A,"&lt;&gt;"&amp;"",Başvuru!$F:$F,"&lt;&gt;"&amp;""))</f>
        <v>1</v>
      </c>
      <c r="S103" s="171">
        <f>IF(R103="","",RANK(R103,$R$6:$R$505,0)+COUNTIF($R$6:R103,R103)-1)</f>
        <v>184</v>
      </c>
    </row>
    <row r="104" spans="2:19" ht="23.25" customHeight="1" x14ac:dyDescent="0.25">
      <c r="B104" s="159">
        <v>99</v>
      </c>
      <c r="C104" s="160" t="str">
        <f>IFERROR(INDEX($Q$6:$Q$505,MATCH(99,$S$6:$S$505,0)),"")</f>
        <v>Prof. Dr. Aygin EKİNCİOĞLU</v>
      </c>
      <c r="D104" s="161">
        <f>IF(C104="","",COUNTIFS(Başvuru!$C:$C,C104,Başvuru!$A:$A,"&lt;&gt;"&amp;"",Başvuru!$F:$F,"&lt;&gt;"&amp;""))</f>
        <v>2</v>
      </c>
      <c r="E104" s="159" t="str">
        <f>IF(C104="","-",IF(D104&gt;0,TEXT(D104/(COUNTIFS(Başvuru!$A:$A,"&lt;&gt;",Başvuru!$F:$F,"&lt;&gt;")-1)*100,"0.0")&amp;"%","-"))</f>
        <v>00%</v>
      </c>
      <c r="F104" s="162">
        <f>IF(C104="","",COUNTIFS(Başvuru!$C:$C,C104,Başvuru!$G:$G,"Bireysel Araştırma",Başvuru!$A:$A,"&lt;&gt;"&amp;"",Başvuru!$F:$F,"&lt;&gt;"&amp;""))</f>
        <v>1</v>
      </c>
      <c r="G104" s="162">
        <f>IF(C104="","",COUNTIFS(Başvuru!$C:$C,C104,Başvuru!$G:$G,"Uzmanlık Tezi",Başvuru!$A:$A,"&lt;&gt;"&amp;"",Başvuru!$F:$F,"&lt;&gt;"&amp;""))</f>
        <v>1</v>
      </c>
      <c r="H104" s="162">
        <f>IF(C104="","",COUNTIFS(Başvuru!$C:$C,C104,Başvuru!$G:$G,"Doktora Tezi",Başvuru!$A:$A,"&lt;&gt;"&amp;"",Başvuru!$F:$F,"&lt;&gt;"&amp;""))</f>
        <v>0</v>
      </c>
      <c r="I104" s="162">
        <f>IF(C104="","",COUNTIFS(Başvuru!$C:$C,C104,Başvuru!$G:$G,"Yüksek Lisans Tezi",Başvuru!$A:$A,"&lt;&gt;"&amp;"",Başvuru!$F:$F,"&lt;&gt;"&amp;""))</f>
        <v>0</v>
      </c>
      <c r="J104" s="163">
        <f>IF(C104="","",COUNTIFS(Başvuru!$C:$C,C104,Başvuru!$L:$L,"ONAY",Başvuru!$A:$A,"&lt;&gt;"&amp;"",Başvuru!$F:$F,"&lt;&gt;"&amp;""))</f>
        <v>0</v>
      </c>
      <c r="K104" s="164">
        <f>IF(C104="","",COUNTIFS(Başvuru!$C:$C,C104,Başvuru!$L:$L,"DÜZELTME",Başvuru!$A:$A,"&lt;&gt;"&amp;"",Başvuru!$F:$F,"&lt;&gt;"&amp;""))</f>
        <v>1</v>
      </c>
      <c r="L104" s="165">
        <f>IF(C104="","",COUNTIFS(Başvuru!$C:$C,C104,Başvuru!$L:$L,"KAEK",Başvuru!$A:$A,"&lt;&gt;"&amp;"",Başvuru!$F:$F,"&lt;&gt;"&amp;""))</f>
        <v>0</v>
      </c>
      <c r="M104" s="166">
        <f>IF(C104="","",COUNTIFS(Başvuru!$C:$C,C104,Başvuru!$L:$L,"GÖRÜŞ",Başvuru!$A:$A,"&lt;&gt;"&amp;"",Başvuru!$F:$F,"&lt;&gt;"&amp;""))</f>
        <v>1</v>
      </c>
      <c r="N104" s="167">
        <f>IF(C104="","",COUNTIFS(Başvuru!$C:$C,C104,Başvuru!$L:$L,"RET",Başvuru!$A:$A,"&lt;&gt;"&amp;"",Başvuru!$F:$F,"&lt;&gt;"&amp;""))</f>
        <v>0</v>
      </c>
      <c r="O104" s="168">
        <f>IF(C104="","",COUNTIFS(Başvuru!$C:$C,C104,Başvuru!$L:$L,"KAPSAM DIŞI",Başvuru!$A:$A,"&lt;&gt;"&amp;"",Başvuru!$F:$F,"&lt;&gt;"&amp;""))</f>
        <v>0</v>
      </c>
      <c r="P104" s="169">
        <f>IF(C104="","",COUNTIFS(Başvuru!$C:$C,C104,Başvuru!$L:$L,"GERİ ÇEKİLDİ",Başvuru!$A:$A,"&lt;&gt;"&amp;"",Başvuru!$F:$F,"&lt;&gt;"&amp;""))</f>
        <v>0</v>
      </c>
      <c r="Q104" s="170" t="str">
        <f t="array" ref="Q104">IFERROR(INDEX(Başvuru!$C$2:$C$3000, MATCH(0, COUNTIF($Q$5:Q103, Başvuru!$C$2:$C$3000) + IF(Başvuru!$C$2:$C$3000="",1,0), 0)), "")</f>
        <v>Doç. Dr. Ceren ÖZKUL KOÇAK</v>
      </c>
      <c r="R104" s="171">
        <f>IF(Q104="","",COUNTIFS(Başvuru!$C:$C,Q104,Başvuru!$A:$A,"&lt;&gt;"&amp;"",Başvuru!$F:$F,"&lt;&gt;"&amp;""))</f>
        <v>2</v>
      </c>
      <c r="S104" s="171">
        <f>IF(R104="","",RANK(R104,$R$6:$R$505,0)+COUNTIF($R$6:R104,R104)-1)</f>
        <v>95</v>
      </c>
    </row>
    <row r="105" spans="2:19" ht="23.25" customHeight="1" x14ac:dyDescent="0.25">
      <c r="B105" s="159">
        <v>100</v>
      </c>
      <c r="C105" s="160" t="str">
        <f>IFERROR(INDEX($Q$6:$Q$505,MATCH(100,$S$6:$S$505,0)),"")</f>
        <v>Dr. Öğr. Üyesi Arda ÇETİNKAYA</v>
      </c>
      <c r="D105" s="161">
        <f>IF(C105="","",COUNTIFS(Başvuru!$C:$C,C105,Başvuru!$A:$A,"&lt;&gt;"&amp;"",Başvuru!$F:$F,"&lt;&gt;"&amp;""))</f>
        <v>2</v>
      </c>
      <c r="E105" s="159" t="str">
        <f>IF(C105="","-",IF(D105&gt;0,TEXT(D105/(COUNTIFS(Başvuru!$A:$A,"&lt;&gt;",Başvuru!$F:$F,"&lt;&gt;")-1)*100,"0.0")&amp;"%","-"))</f>
        <v>00%</v>
      </c>
      <c r="F105" s="162">
        <f>IF(C105="","",COUNTIFS(Başvuru!$C:$C,C105,Başvuru!$G:$G,"Bireysel Araştırma",Başvuru!$A:$A,"&lt;&gt;"&amp;"",Başvuru!$F:$F,"&lt;&gt;"&amp;""))</f>
        <v>0</v>
      </c>
      <c r="G105" s="162">
        <f>IF(C105="","",COUNTIFS(Başvuru!$C:$C,C105,Başvuru!$G:$G,"Uzmanlık Tezi",Başvuru!$A:$A,"&lt;&gt;"&amp;"",Başvuru!$F:$F,"&lt;&gt;"&amp;""))</f>
        <v>1</v>
      </c>
      <c r="H105" s="162">
        <f>IF(C105="","",COUNTIFS(Başvuru!$C:$C,C105,Başvuru!$G:$G,"Doktora Tezi",Başvuru!$A:$A,"&lt;&gt;"&amp;"",Başvuru!$F:$F,"&lt;&gt;"&amp;""))</f>
        <v>0</v>
      </c>
      <c r="I105" s="162">
        <f>IF(C105="","",COUNTIFS(Başvuru!$C:$C,C105,Başvuru!$G:$G,"Yüksek Lisans Tezi",Başvuru!$A:$A,"&lt;&gt;"&amp;"",Başvuru!$F:$F,"&lt;&gt;"&amp;""))</f>
        <v>1</v>
      </c>
      <c r="J105" s="163">
        <f>IF(C105="","",COUNTIFS(Başvuru!$C:$C,C105,Başvuru!$L:$L,"ONAY",Başvuru!$A:$A,"&lt;&gt;"&amp;"",Başvuru!$F:$F,"&lt;&gt;"&amp;""))</f>
        <v>2</v>
      </c>
      <c r="K105" s="164">
        <f>IF(C105="","",COUNTIFS(Başvuru!$C:$C,C105,Başvuru!$L:$L,"DÜZELTME",Başvuru!$A:$A,"&lt;&gt;"&amp;"",Başvuru!$F:$F,"&lt;&gt;"&amp;""))</f>
        <v>0</v>
      </c>
      <c r="L105" s="165">
        <f>IF(C105="","",COUNTIFS(Başvuru!$C:$C,C105,Başvuru!$L:$L,"KAEK",Başvuru!$A:$A,"&lt;&gt;"&amp;"",Başvuru!$F:$F,"&lt;&gt;"&amp;""))</f>
        <v>0</v>
      </c>
      <c r="M105" s="166">
        <f>IF(C105="","",COUNTIFS(Başvuru!$C:$C,C105,Başvuru!$L:$L,"GÖRÜŞ",Başvuru!$A:$A,"&lt;&gt;"&amp;"",Başvuru!$F:$F,"&lt;&gt;"&amp;""))</f>
        <v>0</v>
      </c>
      <c r="N105" s="167">
        <f>IF(C105="","",COUNTIFS(Başvuru!$C:$C,C105,Başvuru!$L:$L,"RET",Başvuru!$A:$A,"&lt;&gt;"&amp;"",Başvuru!$F:$F,"&lt;&gt;"&amp;""))</f>
        <v>0</v>
      </c>
      <c r="O105" s="168">
        <f>IF(C105="","",COUNTIFS(Başvuru!$C:$C,C105,Başvuru!$L:$L,"KAPSAM DIŞI",Başvuru!$A:$A,"&lt;&gt;"&amp;"",Başvuru!$F:$F,"&lt;&gt;"&amp;""))</f>
        <v>0</v>
      </c>
      <c r="P105" s="169">
        <f>IF(C105="","",COUNTIFS(Başvuru!$C:$C,C105,Başvuru!$L:$L,"GERİ ÇEKİLDİ",Başvuru!$A:$A,"&lt;&gt;"&amp;"",Başvuru!$F:$F,"&lt;&gt;"&amp;""))</f>
        <v>0</v>
      </c>
      <c r="Q105" s="170" t="str">
        <f t="array" ref="Q105">IFERROR(INDEX(Başvuru!$C$2:$C$3000, MATCH(0, COUNTIF($Q$5:Q104, Başvuru!$C$2:$C$3000) + IF(Başvuru!$C$2:$C$3000="",1,0), 0)), "")</f>
        <v>Dr. Öğr. Üyesi Ayşe METE YEŞİL</v>
      </c>
      <c r="R105" s="171">
        <f>IF(Q105="","",COUNTIFS(Başvuru!$C:$C,Q105,Başvuru!$A:$A,"&lt;&gt;"&amp;"",Başvuru!$F:$F,"&lt;&gt;"&amp;""))</f>
        <v>2</v>
      </c>
      <c r="S105" s="171">
        <f>IF(R105="","",RANK(R105,$R$6:$R$505,0)+COUNTIF($R$6:R105,R105)-1)</f>
        <v>96</v>
      </c>
    </row>
    <row r="106" spans="2:19" ht="23.25" customHeight="1" x14ac:dyDescent="0.25">
      <c r="B106" s="159">
        <v>101</v>
      </c>
      <c r="C106" s="160" t="str">
        <f>IFERROR(INDEX($Q$6:$Q$505,MATCH(101,$S$6:$S$505,0)),"")</f>
        <v>Dr. Öğr. Üyesi Ergin EROĞLU</v>
      </c>
      <c r="D106" s="161">
        <f>IF(C106="","",COUNTIFS(Başvuru!$C:$C,C106,Başvuru!$A:$A,"&lt;&gt;"&amp;"",Başvuru!$F:$F,"&lt;&gt;"&amp;""))</f>
        <v>2</v>
      </c>
      <c r="E106" s="159" t="str">
        <f>IF(C106="","-",IF(D106&gt;0,TEXT(D106/(COUNTIFS(Başvuru!$A:$A,"&lt;&gt;",Başvuru!$F:$F,"&lt;&gt;")-1)*100,"0.0")&amp;"%","-"))</f>
        <v>00%</v>
      </c>
      <c r="F106" s="162">
        <f>IF(C106="","",COUNTIFS(Başvuru!$C:$C,C106,Başvuru!$G:$G,"Bireysel Araştırma",Başvuru!$A:$A,"&lt;&gt;"&amp;"",Başvuru!$F:$F,"&lt;&gt;"&amp;""))</f>
        <v>2</v>
      </c>
      <c r="G106" s="162">
        <f>IF(C106="","",COUNTIFS(Başvuru!$C:$C,C106,Başvuru!$G:$G,"Uzmanlık Tezi",Başvuru!$A:$A,"&lt;&gt;"&amp;"",Başvuru!$F:$F,"&lt;&gt;"&amp;""))</f>
        <v>0</v>
      </c>
      <c r="H106" s="162">
        <f>IF(C106="","",COUNTIFS(Başvuru!$C:$C,C106,Başvuru!$G:$G,"Doktora Tezi",Başvuru!$A:$A,"&lt;&gt;"&amp;"",Başvuru!$F:$F,"&lt;&gt;"&amp;""))</f>
        <v>0</v>
      </c>
      <c r="I106" s="162">
        <f>IF(C106="","",COUNTIFS(Başvuru!$C:$C,C106,Başvuru!$G:$G,"Yüksek Lisans Tezi",Başvuru!$A:$A,"&lt;&gt;"&amp;"",Başvuru!$F:$F,"&lt;&gt;"&amp;""))</f>
        <v>0</v>
      </c>
      <c r="J106" s="163">
        <f>IF(C106="","",COUNTIFS(Başvuru!$C:$C,C106,Başvuru!$L:$L,"ONAY",Başvuru!$A:$A,"&lt;&gt;"&amp;"",Başvuru!$F:$F,"&lt;&gt;"&amp;""))</f>
        <v>1</v>
      </c>
      <c r="K106" s="164">
        <f>IF(C106="","",COUNTIFS(Başvuru!$C:$C,C106,Başvuru!$L:$L,"DÜZELTME",Başvuru!$A:$A,"&lt;&gt;"&amp;"",Başvuru!$F:$F,"&lt;&gt;"&amp;""))</f>
        <v>1</v>
      </c>
      <c r="L106" s="165">
        <f>IF(C106="","",COUNTIFS(Başvuru!$C:$C,C106,Başvuru!$L:$L,"KAEK",Başvuru!$A:$A,"&lt;&gt;"&amp;"",Başvuru!$F:$F,"&lt;&gt;"&amp;""))</f>
        <v>0</v>
      </c>
      <c r="M106" s="166">
        <f>IF(C106="","",COUNTIFS(Başvuru!$C:$C,C106,Başvuru!$L:$L,"GÖRÜŞ",Başvuru!$A:$A,"&lt;&gt;"&amp;"",Başvuru!$F:$F,"&lt;&gt;"&amp;""))</f>
        <v>0</v>
      </c>
      <c r="N106" s="167">
        <f>IF(C106="","",COUNTIFS(Başvuru!$C:$C,C106,Başvuru!$L:$L,"RET",Başvuru!$A:$A,"&lt;&gt;"&amp;"",Başvuru!$F:$F,"&lt;&gt;"&amp;""))</f>
        <v>0</v>
      </c>
      <c r="O106" s="168">
        <f>IF(C106="","",COUNTIFS(Başvuru!$C:$C,C106,Başvuru!$L:$L,"KAPSAM DIŞI",Başvuru!$A:$A,"&lt;&gt;"&amp;"",Başvuru!$F:$F,"&lt;&gt;"&amp;""))</f>
        <v>0</v>
      </c>
      <c r="P106" s="169">
        <f>IF(C106="","",COUNTIFS(Başvuru!$C:$C,C106,Başvuru!$L:$L,"GERİ ÇEKİLDİ",Başvuru!$A:$A,"&lt;&gt;"&amp;"",Başvuru!$F:$F,"&lt;&gt;"&amp;""))</f>
        <v>0</v>
      </c>
      <c r="Q106" s="170" t="str">
        <f t="array" ref="Q106">IFERROR(INDEX(Başvuru!$C$2:$C$3000, MATCH(0, COUNTIF($Q$5:Q105, Başvuru!$C$2:$C$3000) + IF(Başvuru!$C$2:$C$3000="",1,0), 0)), "")</f>
        <v>Prof. Dr. Dilşad FOTO ÖZDEMİR</v>
      </c>
      <c r="R106" s="171">
        <f>IF(Q106="","",COUNTIFS(Başvuru!$C:$C,Q106,Başvuru!$A:$A,"&lt;&gt;"&amp;"",Başvuru!$F:$F,"&lt;&gt;"&amp;""))</f>
        <v>1</v>
      </c>
      <c r="S106" s="171">
        <f>IF(R106="","",RANK(R106,$R$6:$R$505,0)+COUNTIF($R$6:R106,R106)-1)</f>
        <v>185</v>
      </c>
    </row>
    <row r="107" spans="2:19" ht="23.25" customHeight="1" x14ac:dyDescent="0.25">
      <c r="B107" s="159">
        <v>102</v>
      </c>
      <c r="C107" s="160" t="str">
        <f>IFERROR(INDEX($Q$6:$Q$505,MATCH(102,$S$6:$S$505,0)),"")</f>
        <v>Prof. Dr. Nagehan EMİRALİOĞLU ORDUKAYA</v>
      </c>
      <c r="D107" s="161">
        <f>IF(C107="","",COUNTIFS(Başvuru!$C:$C,C107,Başvuru!$A:$A,"&lt;&gt;"&amp;"",Başvuru!$F:$F,"&lt;&gt;"&amp;""))</f>
        <v>2</v>
      </c>
      <c r="E107" s="159" t="str">
        <f>IF(C107="","-",IF(D107&gt;0,TEXT(D107/(COUNTIFS(Başvuru!$A:$A,"&lt;&gt;",Başvuru!$F:$F,"&lt;&gt;")-1)*100,"0.0")&amp;"%","-"))</f>
        <v>00%</v>
      </c>
      <c r="F107" s="162">
        <f>IF(C107="","",COUNTIFS(Başvuru!$C:$C,C107,Başvuru!$G:$G,"Bireysel Araştırma",Başvuru!$A:$A,"&lt;&gt;"&amp;"",Başvuru!$F:$F,"&lt;&gt;"&amp;""))</f>
        <v>1</v>
      </c>
      <c r="G107" s="162">
        <f>IF(C107="","",COUNTIFS(Başvuru!$C:$C,C107,Başvuru!$G:$G,"Uzmanlık Tezi",Başvuru!$A:$A,"&lt;&gt;"&amp;"",Başvuru!$F:$F,"&lt;&gt;"&amp;""))</f>
        <v>1</v>
      </c>
      <c r="H107" s="162">
        <f>IF(C107="","",COUNTIFS(Başvuru!$C:$C,C107,Başvuru!$G:$G,"Doktora Tezi",Başvuru!$A:$A,"&lt;&gt;"&amp;"",Başvuru!$F:$F,"&lt;&gt;"&amp;""))</f>
        <v>0</v>
      </c>
      <c r="I107" s="162">
        <f>IF(C107="","",COUNTIFS(Başvuru!$C:$C,C107,Başvuru!$G:$G,"Yüksek Lisans Tezi",Başvuru!$A:$A,"&lt;&gt;"&amp;"",Başvuru!$F:$F,"&lt;&gt;"&amp;""))</f>
        <v>0</v>
      </c>
      <c r="J107" s="163">
        <f>IF(C107="","",COUNTIFS(Başvuru!$C:$C,C107,Başvuru!$L:$L,"ONAY",Başvuru!$A:$A,"&lt;&gt;"&amp;"",Başvuru!$F:$F,"&lt;&gt;"&amp;""))</f>
        <v>1</v>
      </c>
      <c r="K107" s="164">
        <f>IF(C107="","",COUNTIFS(Başvuru!$C:$C,C107,Başvuru!$L:$L,"DÜZELTME",Başvuru!$A:$A,"&lt;&gt;"&amp;"",Başvuru!$F:$F,"&lt;&gt;"&amp;""))</f>
        <v>1</v>
      </c>
      <c r="L107" s="165">
        <f>IF(C107="","",COUNTIFS(Başvuru!$C:$C,C107,Başvuru!$L:$L,"KAEK",Başvuru!$A:$A,"&lt;&gt;"&amp;"",Başvuru!$F:$F,"&lt;&gt;"&amp;""))</f>
        <v>0</v>
      </c>
      <c r="M107" s="166">
        <f>IF(C107="","",COUNTIFS(Başvuru!$C:$C,C107,Başvuru!$L:$L,"GÖRÜŞ",Başvuru!$A:$A,"&lt;&gt;"&amp;"",Başvuru!$F:$F,"&lt;&gt;"&amp;""))</f>
        <v>0</v>
      </c>
      <c r="N107" s="167">
        <f>IF(C107="","",COUNTIFS(Başvuru!$C:$C,C107,Başvuru!$L:$L,"RET",Başvuru!$A:$A,"&lt;&gt;"&amp;"",Başvuru!$F:$F,"&lt;&gt;"&amp;""))</f>
        <v>0</v>
      </c>
      <c r="O107" s="168">
        <f>IF(C107="","",COUNTIFS(Başvuru!$C:$C,C107,Başvuru!$L:$L,"KAPSAM DIŞI",Başvuru!$A:$A,"&lt;&gt;"&amp;"",Başvuru!$F:$F,"&lt;&gt;"&amp;""))</f>
        <v>0</v>
      </c>
      <c r="P107" s="169">
        <f>IF(C107="","",COUNTIFS(Başvuru!$C:$C,C107,Başvuru!$L:$L,"GERİ ÇEKİLDİ",Başvuru!$A:$A,"&lt;&gt;"&amp;"",Başvuru!$F:$F,"&lt;&gt;"&amp;""))</f>
        <v>0</v>
      </c>
      <c r="Q107" s="170" t="str">
        <f t="array" ref="Q107">IFERROR(INDEX(Başvuru!$C$2:$C$3000, MATCH(0, COUNTIF($Q$5:Q106, Başvuru!$C$2:$C$3000) + IF(Başvuru!$C$2:$C$3000="",1,0), 0)), "")</f>
        <v>Prof. Dr. Serdar ÖZER</v>
      </c>
      <c r="R107" s="171">
        <f>IF(Q107="","",COUNTIFS(Başvuru!$C:$C,Q107,Başvuru!$A:$A,"&lt;&gt;"&amp;"",Başvuru!$F:$F,"&lt;&gt;"&amp;""))</f>
        <v>2</v>
      </c>
      <c r="S107" s="171">
        <f>IF(R107="","",RANK(R107,$R$6:$R$505,0)+COUNTIF($R$6:R107,R107)-1)</f>
        <v>97</v>
      </c>
    </row>
    <row r="108" spans="2:19" ht="23.25" customHeight="1" x14ac:dyDescent="0.25">
      <c r="B108" s="159">
        <v>103</v>
      </c>
      <c r="C108" s="160" t="str">
        <f>IFERROR(INDEX($Q$6:$Q$505,MATCH(103,$S$6:$S$505,0)),"")</f>
        <v>Dr. Öğr. Üyesi Barış KAFA</v>
      </c>
      <c r="D108" s="161">
        <f>IF(C108="","",COUNTIFS(Başvuru!$C:$C,C108,Başvuru!$A:$A,"&lt;&gt;"&amp;"",Başvuru!$F:$F,"&lt;&gt;"&amp;""))</f>
        <v>2</v>
      </c>
      <c r="E108" s="159" t="str">
        <f>IF(C108="","-",IF(D108&gt;0,TEXT(D108/(COUNTIFS(Başvuru!$A:$A,"&lt;&gt;",Başvuru!$F:$F,"&lt;&gt;")-1)*100,"0.0")&amp;"%","-"))</f>
        <v>00%</v>
      </c>
      <c r="F108" s="162">
        <f>IF(C108="","",COUNTIFS(Başvuru!$C:$C,C108,Başvuru!$G:$G,"Bireysel Araştırma",Başvuru!$A:$A,"&lt;&gt;"&amp;"",Başvuru!$F:$F,"&lt;&gt;"&amp;""))</f>
        <v>2</v>
      </c>
      <c r="G108" s="162">
        <f>IF(C108="","",COUNTIFS(Başvuru!$C:$C,C108,Başvuru!$G:$G,"Uzmanlık Tezi",Başvuru!$A:$A,"&lt;&gt;"&amp;"",Başvuru!$F:$F,"&lt;&gt;"&amp;""))</f>
        <v>0</v>
      </c>
      <c r="H108" s="162">
        <f>IF(C108="","",COUNTIFS(Başvuru!$C:$C,C108,Başvuru!$G:$G,"Doktora Tezi",Başvuru!$A:$A,"&lt;&gt;"&amp;"",Başvuru!$F:$F,"&lt;&gt;"&amp;""))</f>
        <v>0</v>
      </c>
      <c r="I108" s="162">
        <f>IF(C108="","",COUNTIFS(Başvuru!$C:$C,C108,Başvuru!$G:$G,"Yüksek Lisans Tezi",Başvuru!$A:$A,"&lt;&gt;"&amp;"",Başvuru!$F:$F,"&lt;&gt;"&amp;""))</f>
        <v>0</v>
      </c>
      <c r="J108" s="163">
        <f>IF(C108="","",COUNTIFS(Başvuru!$C:$C,C108,Başvuru!$L:$L,"ONAY",Başvuru!$A:$A,"&lt;&gt;"&amp;"",Başvuru!$F:$F,"&lt;&gt;"&amp;""))</f>
        <v>1</v>
      </c>
      <c r="K108" s="164">
        <f>IF(C108="","",COUNTIFS(Başvuru!$C:$C,C108,Başvuru!$L:$L,"DÜZELTME",Başvuru!$A:$A,"&lt;&gt;"&amp;"",Başvuru!$F:$F,"&lt;&gt;"&amp;""))</f>
        <v>1</v>
      </c>
      <c r="L108" s="165">
        <f>IF(C108="","",COUNTIFS(Başvuru!$C:$C,C108,Başvuru!$L:$L,"KAEK",Başvuru!$A:$A,"&lt;&gt;"&amp;"",Başvuru!$F:$F,"&lt;&gt;"&amp;""))</f>
        <v>0</v>
      </c>
      <c r="M108" s="166">
        <f>IF(C108="","",COUNTIFS(Başvuru!$C:$C,C108,Başvuru!$L:$L,"GÖRÜŞ",Başvuru!$A:$A,"&lt;&gt;"&amp;"",Başvuru!$F:$F,"&lt;&gt;"&amp;""))</f>
        <v>0</v>
      </c>
      <c r="N108" s="167">
        <f>IF(C108="","",COUNTIFS(Başvuru!$C:$C,C108,Başvuru!$L:$L,"RET",Başvuru!$A:$A,"&lt;&gt;"&amp;"",Başvuru!$F:$F,"&lt;&gt;"&amp;""))</f>
        <v>0</v>
      </c>
      <c r="O108" s="168">
        <f>IF(C108="","",COUNTIFS(Başvuru!$C:$C,C108,Başvuru!$L:$L,"KAPSAM DIŞI",Başvuru!$A:$A,"&lt;&gt;"&amp;"",Başvuru!$F:$F,"&lt;&gt;"&amp;""))</f>
        <v>0</v>
      </c>
      <c r="P108" s="169">
        <f>IF(C108="","",COUNTIFS(Başvuru!$C:$C,C108,Başvuru!$L:$L,"GERİ ÇEKİLDİ",Başvuru!$A:$A,"&lt;&gt;"&amp;"",Başvuru!$F:$F,"&lt;&gt;"&amp;""))</f>
        <v>0</v>
      </c>
      <c r="Q108" s="170" t="str">
        <f t="array" ref="Q108">IFERROR(INDEX(Başvuru!$C$2:$C$3000, MATCH(0, COUNTIF($Q$5:Q107, Başvuru!$C$2:$C$3000) + IF(Başvuru!$C$2:$C$3000="",1,0), 0)), "")</f>
        <v>Prof. Dr. Yahya BÜYÜKAŞIK</v>
      </c>
      <c r="R108" s="171">
        <f>IF(Q108="","",COUNTIFS(Başvuru!$C:$C,Q108,Başvuru!$A:$A,"&lt;&gt;"&amp;"",Başvuru!$F:$F,"&lt;&gt;"&amp;""))</f>
        <v>2</v>
      </c>
      <c r="S108" s="171">
        <f>IF(R108="","",RANK(R108,$R$6:$R$505,0)+COUNTIF($R$6:R108,R108)-1)</f>
        <v>98</v>
      </c>
    </row>
    <row r="109" spans="2:19" ht="23.25" customHeight="1" x14ac:dyDescent="0.25">
      <c r="B109" s="159">
        <v>104</v>
      </c>
      <c r="C109" s="160" t="str">
        <f>IFERROR(INDEX($Q$6:$Q$505,MATCH(104,$S$6:$S$505,0)),"")</f>
        <v>Doç. Dr. Burcu HATİBOĞLU</v>
      </c>
      <c r="D109" s="161">
        <f>IF(C109="","",COUNTIFS(Başvuru!$C:$C,C109,Başvuru!$A:$A,"&lt;&gt;"&amp;"",Başvuru!$F:$F,"&lt;&gt;"&amp;""))</f>
        <v>2</v>
      </c>
      <c r="E109" s="159" t="str">
        <f>IF(C109="","-",IF(D109&gt;0,TEXT(D109/(COUNTIFS(Başvuru!$A:$A,"&lt;&gt;",Başvuru!$F:$F,"&lt;&gt;")-1)*100,"0.0")&amp;"%","-"))</f>
        <v>00%</v>
      </c>
      <c r="F109" s="162">
        <f>IF(C109="","",COUNTIFS(Başvuru!$C:$C,C109,Başvuru!$G:$G,"Bireysel Araştırma",Başvuru!$A:$A,"&lt;&gt;"&amp;"",Başvuru!$F:$F,"&lt;&gt;"&amp;""))</f>
        <v>0</v>
      </c>
      <c r="G109" s="162">
        <f>IF(C109="","",COUNTIFS(Başvuru!$C:$C,C109,Başvuru!$G:$G,"Uzmanlık Tezi",Başvuru!$A:$A,"&lt;&gt;"&amp;"",Başvuru!$F:$F,"&lt;&gt;"&amp;""))</f>
        <v>0</v>
      </c>
      <c r="H109" s="162">
        <f>IF(C109="","",COUNTIFS(Başvuru!$C:$C,C109,Başvuru!$G:$G,"Doktora Tezi",Başvuru!$A:$A,"&lt;&gt;"&amp;"",Başvuru!$F:$F,"&lt;&gt;"&amp;""))</f>
        <v>2</v>
      </c>
      <c r="I109" s="162">
        <f>IF(C109="","",COUNTIFS(Başvuru!$C:$C,C109,Başvuru!$G:$G,"Yüksek Lisans Tezi",Başvuru!$A:$A,"&lt;&gt;"&amp;"",Başvuru!$F:$F,"&lt;&gt;"&amp;""))</f>
        <v>0</v>
      </c>
      <c r="J109" s="163">
        <f>IF(C109="","",COUNTIFS(Başvuru!$C:$C,C109,Başvuru!$L:$L,"ONAY",Başvuru!$A:$A,"&lt;&gt;"&amp;"",Başvuru!$F:$F,"&lt;&gt;"&amp;""))</f>
        <v>2</v>
      </c>
      <c r="K109" s="164">
        <f>IF(C109="","",COUNTIFS(Başvuru!$C:$C,C109,Başvuru!$L:$L,"DÜZELTME",Başvuru!$A:$A,"&lt;&gt;"&amp;"",Başvuru!$F:$F,"&lt;&gt;"&amp;""))</f>
        <v>0</v>
      </c>
      <c r="L109" s="165">
        <f>IF(C109="","",COUNTIFS(Başvuru!$C:$C,C109,Başvuru!$L:$L,"KAEK",Başvuru!$A:$A,"&lt;&gt;"&amp;"",Başvuru!$F:$F,"&lt;&gt;"&amp;""))</f>
        <v>0</v>
      </c>
      <c r="M109" s="166">
        <f>IF(C109="","",COUNTIFS(Başvuru!$C:$C,C109,Başvuru!$L:$L,"GÖRÜŞ",Başvuru!$A:$A,"&lt;&gt;"&amp;"",Başvuru!$F:$F,"&lt;&gt;"&amp;""))</f>
        <v>0</v>
      </c>
      <c r="N109" s="167">
        <f>IF(C109="","",COUNTIFS(Başvuru!$C:$C,C109,Başvuru!$L:$L,"RET",Başvuru!$A:$A,"&lt;&gt;"&amp;"",Başvuru!$F:$F,"&lt;&gt;"&amp;""))</f>
        <v>0</v>
      </c>
      <c r="O109" s="168">
        <f>IF(C109="","",COUNTIFS(Başvuru!$C:$C,C109,Başvuru!$L:$L,"KAPSAM DIŞI",Başvuru!$A:$A,"&lt;&gt;"&amp;"",Başvuru!$F:$F,"&lt;&gt;"&amp;""))</f>
        <v>0</v>
      </c>
      <c r="P109" s="169">
        <f>IF(C109="","",COUNTIFS(Başvuru!$C:$C,C109,Başvuru!$L:$L,"GERİ ÇEKİLDİ",Başvuru!$A:$A,"&lt;&gt;"&amp;"",Başvuru!$F:$F,"&lt;&gt;"&amp;""))</f>
        <v>0</v>
      </c>
      <c r="Q109" s="170" t="str">
        <f t="array" ref="Q109">IFERROR(INDEX(Başvuru!$C$2:$C$3000, MATCH(0, COUNTIF($Q$5:Q108, Başvuru!$C$2:$C$3000) + IF(Başvuru!$C$2:$C$3000="",1,0), 0)), "")</f>
        <v>Prof. Dr. Aygin EKİNCİOĞLU</v>
      </c>
      <c r="R109" s="171">
        <f>IF(Q109="","",COUNTIFS(Başvuru!$C:$C,Q109,Başvuru!$A:$A,"&lt;&gt;"&amp;"",Başvuru!$F:$F,"&lt;&gt;"&amp;""))</f>
        <v>2</v>
      </c>
      <c r="S109" s="171">
        <f>IF(R109="","",RANK(R109,$R$6:$R$505,0)+COUNTIF($R$6:R109,R109)-1)</f>
        <v>99</v>
      </c>
    </row>
    <row r="110" spans="2:19" ht="23.25" customHeight="1" x14ac:dyDescent="0.25">
      <c r="B110" s="159">
        <v>105</v>
      </c>
      <c r="C110" s="160" t="str">
        <f>IFERROR(INDEX($Q$6:$Q$505,MATCH(105,$S$6:$S$505,0)),"")</f>
        <v>Doç. Dr. Duygu GÜLSEREN</v>
      </c>
      <c r="D110" s="161">
        <f>IF(C110="","",COUNTIFS(Başvuru!$C:$C,C110,Başvuru!$A:$A,"&lt;&gt;"&amp;"",Başvuru!$F:$F,"&lt;&gt;"&amp;""))</f>
        <v>2</v>
      </c>
      <c r="E110" s="159" t="str">
        <f>IF(C110="","-",IF(D110&gt;0,TEXT(D110/(COUNTIFS(Başvuru!$A:$A,"&lt;&gt;",Başvuru!$F:$F,"&lt;&gt;")-1)*100,"0.0")&amp;"%","-"))</f>
        <v>00%</v>
      </c>
      <c r="F110" s="162">
        <f>IF(C110="","",COUNTIFS(Başvuru!$C:$C,C110,Başvuru!$G:$G,"Bireysel Araştırma",Başvuru!$A:$A,"&lt;&gt;"&amp;"",Başvuru!$F:$F,"&lt;&gt;"&amp;""))</f>
        <v>2</v>
      </c>
      <c r="G110" s="162">
        <f>IF(C110="","",COUNTIFS(Başvuru!$C:$C,C110,Başvuru!$G:$G,"Uzmanlık Tezi",Başvuru!$A:$A,"&lt;&gt;"&amp;"",Başvuru!$F:$F,"&lt;&gt;"&amp;""))</f>
        <v>0</v>
      </c>
      <c r="H110" s="162">
        <f>IF(C110="","",COUNTIFS(Başvuru!$C:$C,C110,Başvuru!$G:$G,"Doktora Tezi",Başvuru!$A:$A,"&lt;&gt;"&amp;"",Başvuru!$F:$F,"&lt;&gt;"&amp;""))</f>
        <v>0</v>
      </c>
      <c r="I110" s="162">
        <f>IF(C110="","",COUNTIFS(Başvuru!$C:$C,C110,Başvuru!$G:$G,"Yüksek Lisans Tezi",Başvuru!$A:$A,"&lt;&gt;"&amp;"",Başvuru!$F:$F,"&lt;&gt;"&amp;""))</f>
        <v>0</v>
      </c>
      <c r="J110" s="163">
        <f>IF(C110="","",COUNTIFS(Başvuru!$C:$C,C110,Başvuru!$L:$L,"ONAY",Başvuru!$A:$A,"&lt;&gt;"&amp;"",Başvuru!$F:$F,"&lt;&gt;"&amp;""))</f>
        <v>2</v>
      </c>
      <c r="K110" s="164">
        <f>IF(C110="","",COUNTIFS(Başvuru!$C:$C,C110,Başvuru!$L:$L,"DÜZELTME",Başvuru!$A:$A,"&lt;&gt;"&amp;"",Başvuru!$F:$F,"&lt;&gt;"&amp;""))</f>
        <v>0</v>
      </c>
      <c r="L110" s="165">
        <f>IF(C110="","",COUNTIFS(Başvuru!$C:$C,C110,Başvuru!$L:$L,"KAEK",Başvuru!$A:$A,"&lt;&gt;"&amp;"",Başvuru!$F:$F,"&lt;&gt;"&amp;""))</f>
        <v>0</v>
      </c>
      <c r="M110" s="166">
        <f>IF(C110="","",COUNTIFS(Başvuru!$C:$C,C110,Başvuru!$L:$L,"GÖRÜŞ",Başvuru!$A:$A,"&lt;&gt;"&amp;"",Başvuru!$F:$F,"&lt;&gt;"&amp;""))</f>
        <v>0</v>
      </c>
      <c r="N110" s="167">
        <f>IF(C110="","",COUNTIFS(Başvuru!$C:$C,C110,Başvuru!$L:$L,"RET",Başvuru!$A:$A,"&lt;&gt;"&amp;"",Başvuru!$F:$F,"&lt;&gt;"&amp;""))</f>
        <v>0</v>
      </c>
      <c r="O110" s="168">
        <f>IF(C110="","",COUNTIFS(Başvuru!$C:$C,C110,Başvuru!$L:$L,"KAPSAM DIŞI",Başvuru!$A:$A,"&lt;&gt;"&amp;"",Başvuru!$F:$F,"&lt;&gt;"&amp;""))</f>
        <v>0</v>
      </c>
      <c r="P110" s="169">
        <f>IF(C110="","",COUNTIFS(Başvuru!$C:$C,C110,Başvuru!$L:$L,"GERİ ÇEKİLDİ",Başvuru!$A:$A,"&lt;&gt;"&amp;"",Başvuru!$F:$F,"&lt;&gt;"&amp;""))</f>
        <v>0</v>
      </c>
      <c r="Q110" s="170" t="str">
        <f t="array" ref="Q110">IFERROR(INDEX(Başvuru!$C$2:$C$3000, MATCH(0, COUNTIF($Q$5:Q109, Başvuru!$C$2:$C$3000) + IF(Başvuru!$C$2:$C$3000="",1,0), 0)), "")</f>
        <v>Dr. Öğr. Üyesi Arda ÇETİNKAYA</v>
      </c>
      <c r="R110" s="171">
        <f>IF(Q110="","",COUNTIFS(Başvuru!$C:$C,Q110,Başvuru!$A:$A,"&lt;&gt;"&amp;"",Başvuru!$F:$F,"&lt;&gt;"&amp;""))</f>
        <v>2</v>
      </c>
      <c r="S110" s="171">
        <f>IF(R110="","",RANK(R110,$R$6:$R$505,0)+COUNTIF($R$6:R110,R110)-1)</f>
        <v>100</v>
      </c>
    </row>
    <row r="111" spans="2:19" ht="23.25" customHeight="1" x14ac:dyDescent="0.25">
      <c r="B111" s="159">
        <v>106</v>
      </c>
      <c r="C111" s="160" t="str">
        <f>IFERROR(INDEX($Q$6:$Q$505,MATCH(106,$S$6:$S$505,0)),"")</f>
        <v>Prof. Dr. Serdar TEKGÜL</v>
      </c>
      <c r="D111" s="161">
        <f>IF(C111="","",COUNTIFS(Başvuru!$C:$C,C111,Başvuru!$A:$A,"&lt;&gt;"&amp;"",Başvuru!$F:$F,"&lt;&gt;"&amp;""))</f>
        <v>2</v>
      </c>
      <c r="E111" s="159" t="str">
        <f>IF(C111="","-",IF(D111&gt;0,TEXT(D111/(COUNTIFS(Başvuru!$A:$A,"&lt;&gt;",Başvuru!$F:$F,"&lt;&gt;")-1)*100,"0.0")&amp;"%","-"))</f>
        <v>00%</v>
      </c>
      <c r="F111" s="162">
        <f>IF(C111="","",COUNTIFS(Başvuru!$C:$C,C111,Başvuru!$G:$G,"Bireysel Araştırma",Başvuru!$A:$A,"&lt;&gt;"&amp;"",Başvuru!$F:$F,"&lt;&gt;"&amp;""))</f>
        <v>2</v>
      </c>
      <c r="G111" s="162">
        <f>IF(C111="","",COUNTIFS(Başvuru!$C:$C,C111,Başvuru!$G:$G,"Uzmanlık Tezi",Başvuru!$A:$A,"&lt;&gt;"&amp;"",Başvuru!$F:$F,"&lt;&gt;"&amp;""))</f>
        <v>0</v>
      </c>
      <c r="H111" s="162">
        <f>IF(C111="","",COUNTIFS(Başvuru!$C:$C,C111,Başvuru!$G:$G,"Doktora Tezi",Başvuru!$A:$A,"&lt;&gt;"&amp;"",Başvuru!$F:$F,"&lt;&gt;"&amp;""))</f>
        <v>0</v>
      </c>
      <c r="I111" s="162">
        <f>IF(C111="","",COUNTIFS(Başvuru!$C:$C,C111,Başvuru!$G:$G,"Yüksek Lisans Tezi",Başvuru!$A:$A,"&lt;&gt;"&amp;"",Başvuru!$F:$F,"&lt;&gt;"&amp;""))</f>
        <v>0</v>
      </c>
      <c r="J111" s="163">
        <f>IF(C111="","",COUNTIFS(Başvuru!$C:$C,C111,Başvuru!$L:$L,"ONAY",Başvuru!$A:$A,"&lt;&gt;"&amp;"",Başvuru!$F:$F,"&lt;&gt;"&amp;""))</f>
        <v>1</v>
      </c>
      <c r="K111" s="164">
        <f>IF(C111="","",COUNTIFS(Başvuru!$C:$C,C111,Başvuru!$L:$L,"DÜZELTME",Başvuru!$A:$A,"&lt;&gt;"&amp;"",Başvuru!$F:$F,"&lt;&gt;"&amp;""))</f>
        <v>1</v>
      </c>
      <c r="L111" s="165">
        <f>IF(C111="","",COUNTIFS(Başvuru!$C:$C,C111,Başvuru!$L:$L,"KAEK",Başvuru!$A:$A,"&lt;&gt;"&amp;"",Başvuru!$F:$F,"&lt;&gt;"&amp;""))</f>
        <v>0</v>
      </c>
      <c r="M111" s="166">
        <f>IF(C111="","",COUNTIFS(Başvuru!$C:$C,C111,Başvuru!$L:$L,"GÖRÜŞ",Başvuru!$A:$A,"&lt;&gt;"&amp;"",Başvuru!$F:$F,"&lt;&gt;"&amp;""))</f>
        <v>0</v>
      </c>
      <c r="N111" s="167">
        <f>IF(C111="","",COUNTIFS(Başvuru!$C:$C,C111,Başvuru!$L:$L,"RET",Başvuru!$A:$A,"&lt;&gt;"&amp;"",Başvuru!$F:$F,"&lt;&gt;"&amp;""))</f>
        <v>0</v>
      </c>
      <c r="O111" s="168">
        <f>IF(C111="","",COUNTIFS(Başvuru!$C:$C,C111,Başvuru!$L:$L,"KAPSAM DIŞI",Başvuru!$A:$A,"&lt;&gt;"&amp;"",Başvuru!$F:$F,"&lt;&gt;"&amp;""))</f>
        <v>0</v>
      </c>
      <c r="P111" s="169">
        <f>IF(C111="","",COUNTIFS(Başvuru!$C:$C,C111,Başvuru!$L:$L,"GERİ ÇEKİLDİ",Başvuru!$A:$A,"&lt;&gt;"&amp;"",Başvuru!$F:$F,"&lt;&gt;"&amp;""))</f>
        <v>0</v>
      </c>
      <c r="Q111" s="170" t="str">
        <f t="array" ref="Q111">IFERROR(INDEX(Başvuru!$C$2:$C$3000, MATCH(0, COUNTIF($Q$5:Q110, Başvuru!$C$2:$C$3000) + IF(Başvuru!$C$2:$C$3000="",1,0), 0)), "")</f>
        <v>Dr. Öğr. Üyesi Ergin EROĞLU</v>
      </c>
      <c r="R111" s="171">
        <f>IF(Q111="","",COUNTIFS(Başvuru!$C:$C,Q111,Başvuru!$A:$A,"&lt;&gt;"&amp;"",Başvuru!$F:$F,"&lt;&gt;"&amp;""))</f>
        <v>2</v>
      </c>
      <c r="S111" s="171">
        <f>IF(R111="","",RANK(R111,$R$6:$R$505,0)+COUNTIF($R$6:R111,R111)-1)</f>
        <v>101</v>
      </c>
    </row>
    <row r="112" spans="2:19" ht="23.25" customHeight="1" x14ac:dyDescent="0.25">
      <c r="B112" s="159">
        <v>107</v>
      </c>
      <c r="C112" s="160" t="str">
        <f>IFERROR(INDEX($Q$6:$Q$505,MATCH(107,$S$6:$S$505,0)),"")</f>
        <v>Doç. Dr. İzzet FİDANCI</v>
      </c>
      <c r="D112" s="161">
        <f>IF(C112="","",COUNTIFS(Başvuru!$C:$C,C112,Başvuru!$A:$A,"&lt;&gt;"&amp;"",Başvuru!$F:$F,"&lt;&gt;"&amp;""))</f>
        <v>2</v>
      </c>
      <c r="E112" s="159" t="str">
        <f>IF(C112="","-",IF(D112&gt;0,TEXT(D112/(COUNTIFS(Başvuru!$A:$A,"&lt;&gt;",Başvuru!$F:$F,"&lt;&gt;")-1)*100,"0.0")&amp;"%","-"))</f>
        <v>00%</v>
      </c>
      <c r="F112" s="162">
        <f>IF(C112="","",COUNTIFS(Başvuru!$C:$C,C112,Başvuru!$G:$G,"Bireysel Araştırma",Başvuru!$A:$A,"&lt;&gt;"&amp;"",Başvuru!$F:$F,"&lt;&gt;"&amp;""))</f>
        <v>2</v>
      </c>
      <c r="G112" s="162">
        <f>IF(C112="","",COUNTIFS(Başvuru!$C:$C,C112,Başvuru!$G:$G,"Uzmanlık Tezi",Başvuru!$A:$A,"&lt;&gt;"&amp;"",Başvuru!$F:$F,"&lt;&gt;"&amp;""))</f>
        <v>0</v>
      </c>
      <c r="H112" s="162">
        <f>IF(C112="","",COUNTIFS(Başvuru!$C:$C,C112,Başvuru!$G:$G,"Doktora Tezi",Başvuru!$A:$A,"&lt;&gt;"&amp;"",Başvuru!$F:$F,"&lt;&gt;"&amp;""))</f>
        <v>0</v>
      </c>
      <c r="I112" s="162">
        <f>IF(C112="","",COUNTIFS(Başvuru!$C:$C,C112,Başvuru!$G:$G,"Yüksek Lisans Tezi",Başvuru!$A:$A,"&lt;&gt;"&amp;"",Başvuru!$F:$F,"&lt;&gt;"&amp;""))</f>
        <v>0</v>
      </c>
      <c r="J112" s="163">
        <f>IF(C112="","",COUNTIFS(Başvuru!$C:$C,C112,Başvuru!$L:$L,"ONAY",Başvuru!$A:$A,"&lt;&gt;"&amp;"",Başvuru!$F:$F,"&lt;&gt;"&amp;""))</f>
        <v>0</v>
      </c>
      <c r="K112" s="164">
        <f>IF(C112="","",COUNTIFS(Başvuru!$C:$C,C112,Başvuru!$L:$L,"DÜZELTME",Başvuru!$A:$A,"&lt;&gt;"&amp;"",Başvuru!$F:$F,"&lt;&gt;"&amp;""))</f>
        <v>2</v>
      </c>
      <c r="L112" s="165">
        <f>IF(C112="","",COUNTIFS(Başvuru!$C:$C,C112,Başvuru!$L:$L,"KAEK",Başvuru!$A:$A,"&lt;&gt;"&amp;"",Başvuru!$F:$F,"&lt;&gt;"&amp;""))</f>
        <v>0</v>
      </c>
      <c r="M112" s="166">
        <f>IF(C112="","",COUNTIFS(Başvuru!$C:$C,C112,Başvuru!$L:$L,"GÖRÜŞ",Başvuru!$A:$A,"&lt;&gt;"&amp;"",Başvuru!$F:$F,"&lt;&gt;"&amp;""))</f>
        <v>0</v>
      </c>
      <c r="N112" s="167">
        <f>IF(C112="","",COUNTIFS(Başvuru!$C:$C,C112,Başvuru!$L:$L,"RET",Başvuru!$A:$A,"&lt;&gt;"&amp;"",Başvuru!$F:$F,"&lt;&gt;"&amp;""))</f>
        <v>0</v>
      </c>
      <c r="O112" s="168">
        <f>IF(C112="","",COUNTIFS(Başvuru!$C:$C,C112,Başvuru!$L:$L,"KAPSAM DIŞI",Başvuru!$A:$A,"&lt;&gt;"&amp;"",Başvuru!$F:$F,"&lt;&gt;"&amp;""))</f>
        <v>0</v>
      </c>
      <c r="P112" s="169">
        <f>IF(C112="","",COUNTIFS(Başvuru!$C:$C,C112,Başvuru!$L:$L,"GERİ ÇEKİLDİ",Başvuru!$A:$A,"&lt;&gt;"&amp;"",Başvuru!$F:$F,"&lt;&gt;"&amp;""))</f>
        <v>0</v>
      </c>
      <c r="Q112" s="170" t="str">
        <f t="array" ref="Q112">IFERROR(INDEX(Başvuru!$C$2:$C$3000, MATCH(0, COUNTIF($Q$5:Q111, Başvuru!$C$2:$C$3000) + IF(Başvuru!$C$2:$C$3000="",1,0), 0)), "")</f>
        <v>Prof. Dr. Hülya DEMİR</v>
      </c>
      <c r="R112" s="171">
        <f>IF(Q112="","",COUNTIFS(Başvuru!$C:$C,Q112,Başvuru!$A:$A,"&lt;&gt;"&amp;"",Başvuru!$F:$F,"&lt;&gt;"&amp;""))</f>
        <v>3</v>
      </c>
      <c r="S112" s="171">
        <f>IF(R112="","",RANK(R112,$R$6:$R$505,0)+COUNTIF($R$6:R112,R112)-1)</f>
        <v>61</v>
      </c>
    </row>
    <row r="113" spans="2:19" ht="23.25" customHeight="1" x14ac:dyDescent="0.25">
      <c r="B113" s="159">
        <v>108</v>
      </c>
      <c r="C113" s="160" t="str">
        <f>IFERROR(INDEX($Q$6:$Q$505,MATCH(108,$S$6:$S$505,0)),"")</f>
        <v>Dr. Öğr. Üyesi Aybüke USLU TEKCE</v>
      </c>
      <c r="D113" s="161">
        <f>IF(C113="","",COUNTIFS(Başvuru!$C:$C,C113,Başvuru!$A:$A,"&lt;&gt;"&amp;"",Başvuru!$F:$F,"&lt;&gt;"&amp;""))</f>
        <v>2</v>
      </c>
      <c r="E113" s="159" t="str">
        <f>IF(C113="","-",IF(D113&gt;0,TEXT(D113/(COUNTIFS(Başvuru!$A:$A,"&lt;&gt;",Başvuru!$F:$F,"&lt;&gt;")-1)*100,"0.0")&amp;"%","-"))</f>
        <v>00%</v>
      </c>
      <c r="F113" s="162">
        <f>IF(C113="","",COUNTIFS(Başvuru!$C:$C,C113,Başvuru!$G:$G,"Bireysel Araştırma",Başvuru!$A:$A,"&lt;&gt;"&amp;"",Başvuru!$F:$F,"&lt;&gt;"&amp;""))</f>
        <v>2</v>
      </c>
      <c r="G113" s="162">
        <f>IF(C113="","",COUNTIFS(Başvuru!$C:$C,C113,Başvuru!$G:$G,"Uzmanlık Tezi",Başvuru!$A:$A,"&lt;&gt;"&amp;"",Başvuru!$F:$F,"&lt;&gt;"&amp;""))</f>
        <v>0</v>
      </c>
      <c r="H113" s="162">
        <f>IF(C113="","",COUNTIFS(Başvuru!$C:$C,C113,Başvuru!$G:$G,"Doktora Tezi",Başvuru!$A:$A,"&lt;&gt;"&amp;"",Başvuru!$F:$F,"&lt;&gt;"&amp;""))</f>
        <v>0</v>
      </c>
      <c r="I113" s="162">
        <f>IF(C113="","",COUNTIFS(Başvuru!$C:$C,C113,Başvuru!$G:$G,"Yüksek Lisans Tezi",Başvuru!$A:$A,"&lt;&gt;"&amp;"",Başvuru!$F:$F,"&lt;&gt;"&amp;""))</f>
        <v>0</v>
      </c>
      <c r="J113" s="163">
        <f>IF(C113="","",COUNTIFS(Başvuru!$C:$C,C113,Başvuru!$L:$L,"ONAY",Başvuru!$A:$A,"&lt;&gt;"&amp;"",Başvuru!$F:$F,"&lt;&gt;"&amp;""))</f>
        <v>1</v>
      </c>
      <c r="K113" s="164">
        <f>IF(C113="","",COUNTIFS(Başvuru!$C:$C,C113,Başvuru!$L:$L,"DÜZELTME",Başvuru!$A:$A,"&lt;&gt;"&amp;"",Başvuru!$F:$F,"&lt;&gt;"&amp;""))</f>
        <v>0</v>
      </c>
      <c r="L113" s="165">
        <f>IF(C113="","",COUNTIFS(Başvuru!$C:$C,C113,Başvuru!$L:$L,"KAEK",Başvuru!$A:$A,"&lt;&gt;"&amp;"",Başvuru!$F:$F,"&lt;&gt;"&amp;""))</f>
        <v>0</v>
      </c>
      <c r="M113" s="166">
        <f>IF(C113="","",COUNTIFS(Başvuru!$C:$C,C113,Başvuru!$L:$L,"GÖRÜŞ",Başvuru!$A:$A,"&lt;&gt;"&amp;"",Başvuru!$F:$F,"&lt;&gt;"&amp;""))</f>
        <v>0</v>
      </c>
      <c r="N113" s="167">
        <f>IF(C113="","",COUNTIFS(Başvuru!$C:$C,C113,Başvuru!$L:$L,"RET",Başvuru!$A:$A,"&lt;&gt;"&amp;"",Başvuru!$F:$F,"&lt;&gt;"&amp;""))</f>
        <v>0</v>
      </c>
      <c r="O113" s="168">
        <f>IF(C113="","",COUNTIFS(Başvuru!$C:$C,C113,Başvuru!$L:$L,"KAPSAM DIŞI",Başvuru!$A:$A,"&lt;&gt;"&amp;"",Başvuru!$F:$F,"&lt;&gt;"&amp;""))</f>
        <v>0</v>
      </c>
      <c r="P113" s="169">
        <f>IF(C113="","",COUNTIFS(Başvuru!$C:$C,C113,Başvuru!$L:$L,"GERİ ÇEKİLDİ",Başvuru!$A:$A,"&lt;&gt;"&amp;"",Başvuru!$F:$F,"&lt;&gt;"&amp;""))</f>
        <v>0</v>
      </c>
      <c r="Q113" s="170" t="str">
        <f t="array" ref="Q113">IFERROR(INDEX(Başvuru!$C$2:$C$3000, MATCH(0, COUNTIF($Q$5:Q112, Başvuru!$C$2:$C$3000) + IF(Başvuru!$C$2:$C$3000="",1,0), 0)), "")</f>
        <v>Doç. Dr. Seda Hanife OĞUZ BAYKAL</v>
      </c>
      <c r="R113" s="171">
        <f>IF(Q113="","",COUNTIFS(Başvuru!$C:$C,Q113,Başvuru!$A:$A,"&lt;&gt;"&amp;"",Başvuru!$F:$F,"&lt;&gt;"&amp;""))</f>
        <v>1</v>
      </c>
      <c r="S113" s="171">
        <f>IF(R113="","",RANK(R113,$R$6:$R$505,0)+COUNTIF($R$6:R113,R113)-1)</f>
        <v>186</v>
      </c>
    </row>
    <row r="114" spans="2:19" ht="23.25" customHeight="1" x14ac:dyDescent="0.25">
      <c r="B114" s="159">
        <v>109</v>
      </c>
      <c r="C114" s="160" t="str">
        <f>IFERROR(INDEX($Q$6:$Q$505,MATCH(109,$S$6:$S$505,0)),"")</f>
        <v>Dr. Öğr. Üyesi Muhammed Çağrı KÜLEKCİ</v>
      </c>
      <c r="D114" s="161">
        <f>IF(C114="","",COUNTIFS(Başvuru!$C:$C,C114,Başvuru!$A:$A,"&lt;&gt;"&amp;"",Başvuru!$F:$F,"&lt;&gt;"&amp;""))</f>
        <v>2</v>
      </c>
      <c r="E114" s="159" t="str">
        <f>IF(C114="","-",IF(D114&gt;0,TEXT(D114/(COUNTIFS(Başvuru!$A:$A,"&lt;&gt;",Başvuru!$F:$F,"&lt;&gt;")-1)*100,"0.0")&amp;"%","-"))</f>
        <v>00%</v>
      </c>
      <c r="F114" s="162">
        <f>IF(C114="","",COUNTIFS(Başvuru!$C:$C,C114,Başvuru!$G:$G,"Bireysel Araştırma",Başvuru!$A:$A,"&lt;&gt;"&amp;"",Başvuru!$F:$F,"&lt;&gt;"&amp;""))</f>
        <v>2</v>
      </c>
      <c r="G114" s="162">
        <f>IF(C114="","",COUNTIFS(Başvuru!$C:$C,C114,Başvuru!$G:$G,"Uzmanlık Tezi",Başvuru!$A:$A,"&lt;&gt;"&amp;"",Başvuru!$F:$F,"&lt;&gt;"&amp;""))</f>
        <v>0</v>
      </c>
      <c r="H114" s="162">
        <f>IF(C114="","",COUNTIFS(Başvuru!$C:$C,C114,Başvuru!$G:$G,"Doktora Tezi",Başvuru!$A:$A,"&lt;&gt;"&amp;"",Başvuru!$F:$F,"&lt;&gt;"&amp;""))</f>
        <v>0</v>
      </c>
      <c r="I114" s="162">
        <f>IF(C114="","",COUNTIFS(Başvuru!$C:$C,C114,Başvuru!$G:$G,"Yüksek Lisans Tezi",Başvuru!$A:$A,"&lt;&gt;"&amp;"",Başvuru!$F:$F,"&lt;&gt;"&amp;""))</f>
        <v>0</v>
      </c>
      <c r="J114" s="163">
        <f>IF(C114="","",COUNTIFS(Başvuru!$C:$C,C114,Başvuru!$L:$L,"ONAY",Başvuru!$A:$A,"&lt;&gt;"&amp;"",Başvuru!$F:$F,"&lt;&gt;"&amp;""))</f>
        <v>0</v>
      </c>
      <c r="K114" s="164">
        <f>IF(C114="","",COUNTIFS(Başvuru!$C:$C,C114,Başvuru!$L:$L,"DÜZELTME",Başvuru!$A:$A,"&lt;&gt;"&amp;"",Başvuru!$F:$F,"&lt;&gt;"&amp;""))</f>
        <v>1</v>
      </c>
      <c r="L114" s="165">
        <f>IF(C114="","",COUNTIFS(Başvuru!$C:$C,C114,Başvuru!$L:$L,"KAEK",Başvuru!$A:$A,"&lt;&gt;"&amp;"",Başvuru!$F:$F,"&lt;&gt;"&amp;""))</f>
        <v>0</v>
      </c>
      <c r="M114" s="166">
        <f>IF(C114="","",COUNTIFS(Başvuru!$C:$C,C114,Başvuru!$L:$L,"GÖRÜŞ",Başvuru!$A:$A,"&lt;&gt;"&amp;"",Başvuru!$F:$F,"&lt;&gt;"&amp;""))</f>
        <v>0</v>
      </c>
      <c r="N114" s="167">
        <f>IF(C114="","",COUNTIFS(Başvuru!$C:$C,C114,Başvuru!$L:$L,"RET",Başvuru!$A:$A,"&lt;&gt;"&amp;"",Başvuru!$F:$F,"&lt;&gt;"&amp;""))</f>
        <v>1</v>
      </c>
      <c r="O114" s="168">
        <f>IF(C114="","",COUNTIFS(Başvuru!$C:$C,C114,Başvuru!$L:$L,"KAPSAM DIŞI",Başvuru!$A:$A,"&lt;&gt;"&amp;"",Başvuru!$F:$F,"&lt;&gt;"&amp;""))</f>
        <v>0</v>
      </c>
      <c r="P114" s="169">
        <f>IF(C114="","",COUNTIFS(Başvuru!$C:$C,C114,Başvuru!$L:$L,"GERİ ÇEKİLDİ",Başvuru!$A:$A,"&lt;&gt;"&amp;"",Başvuru!$F:$F,"&lt;&gt;"&amp;""))</f>
        <v>0</v>
      </c>
      <c r="Q114" s="170" t="str">
        <f t="array" ref="Q114">IFERROR(INDEX(Başvuru!$C$2:$C$3000, MATCH(0, COUNTIF($Q$5:Q113, Başvuru!$C$2:$C$3000) + IF(Başvuru!$C$2:$C$3000="",1,0), 0)), "")</f>
        <v>Prof. Dr. Deniz DOĞRU ERSÖZ</v>
      </c>
      <c r="R114" s="171">
        <f>IF(Q114="","",COUNTIFS(Başvuru!$C:$C,Q114,Başvuru!$A:$A,"&lt;&gt;"&amp;"",Başvuru!$F:$F,"&lt;&gt;"&amp;""))</f>
        <v>4</v>
      </c>
      <c r="S114" s="171">
        <f>IF(R114="","",RANK(R114,$R$6:$R$505,0)+COUNTIF($R$6:R114,R114)-1)</f>
        <v>40</v>
      </c>
    </row>
    <row r="115" spans="2:19" ht="23.25" customHeight="1" x14ac:dyDescent="0.25">
      <c r="B115" s="159">
        <v>110</v>
      </c>
      <c r="C115" s="160" t="str">
        <f>IFERROR(INDEX($Q$6:$Q$505,MATCH(110,$S$6:$S$505,0)),"")</f>
        <v>Arş. Gör. Dr. Şükran BAYRAK</v>
      </c>
      <c r="D115" s="161">
        <f>IF(C115="","",COUNTIFS(Başvuru!$C:$C,C115,Başvuru!$A:$A,"&lt;&gt;"&amp;"",Başvuru!$F:$F,"&lt;&gt;"&amp;""))</f>
        <v>2</v>
      </c>
      <c r="E115" s="159" t="str">
        <f>IF(C115="","-",IF(D115&gt;0,TEXT(D115/(COUNTIFS(Başvuru!$A:$A,"&lt;&gt;",Başvuru!$F:$F,"&lt;&gt;")-1)*100,"0.0")&amp;"%","-"))</f>
        <v>00%</v>
      </c>
      <c r="F115" s="162">
        <f>IF(C115="","",COUNTIFS(Başvuru!$C:$C,C115,Başvuru!$G:$G,"Bireysel Araştırma",Başvuru!$A:$A,"&lt;&gt;"&amp;"",Başvuru!$F:$F,"&lt;&gt;"&amp;""))</f>
        <v>2</v>
      </c>
      <c r="G115" s="162">
        <f>IF(C115="","",COUNTIFS(Başvuru!$C:$C,C115,Başvuru!$G:$G,"Uzmanlık Tezi",Başvuru!$A:$A,"&lt;&gt;"&amp;"",Başvuru!$F:$F,"&lt;&gt;"&amp;""))</f>
        <v>0</v>
      </c>
      <c r="H115" s="162">
        <f>IF(C115="","",COUNTIFS(Başvuru!$C:$C,C115,Başvuru!$G:$G,"Doktora Tezi",Başvuru!$A:$A,"&lt;&gt;"&amp;"",Başvuru!$F:$F,"&lt;&gt;"&amp;""))</f>
        <v>0</v>
      </c>
      <c r="I115" s="162">
        <f>IF(C115="","",COUNTIFS(Başvuru!$C:$C,C115,Başvuru!$G:$G,"Yüksek Lisans Tezi",Başvuru!$A:$A,"&lt;&gt;"&amp;"",Başvuru!$F:$F,"&lt;&gt;"&amp;""))</f>
        <v>0</v>
      </c>
      <c r="J115" s="163">
        <f>IF(C115="","",COUNTIFS(Başvuru!$C:$C,C115,Başvuru!$L:$L,"ONAY",Başvuru!$A:$A,"&lt;&gt;"&amp;"",Başvuru!$F:$F,"&lt;&gt;"&amp;""))</f>
        <v>1</v>
      </c>
      <c r="K115" s="164">
        <f>IF(C115="","",COUNTIFS(Başvuru!$C:$C,C115,Başvuru!$L:$L,"DÜZELTME",Başvuru!$A:$A,"&lt;&gt;"&amp;"",Başvuru!$F:$F,"&lt;&gt;"&amp;""))</f>
        <v>1</v>
      </c>
      <c r="L115" s="165">
        <f>IF(C115="","",COUNTIFS(Başvuru!$C:$C,C115,Başvuru!$L:$L,"KAEK",Başvuru!$A:$A,"&lt;&gt;"&amp;"",Başvuru!$F:$F,"&lt;&gt;"&amp;""))</f>
        <v>0</v>
      </c>
      <c r="M115" s="166">
        <f>IF(C115="","",COUNTIFS(Başvuru!$C:$C,C115,Başvuru!$L:$L,"GÖRÜŞ",Başvuru!$A:$A,"&lt;&gt;"&amp;"",Başvuru!$F:$F,"&lt;&gt;"&amp;""))</f>
        <v>0</v>
      </c>
      <c r="N115" s="167">
        <f>IF(C115="","",COUNTIFS(Başvuru!$C:$C,C115,Başvuru!$L:$L,"RET",Başvuru!$A:$A,"&lt;&gt;"&amp;"",Başvuru!$F:$F,"&lt;&gt;"&amp;""))</f>
        <v>0</v>
      </c>
      <c r="O115" s="168">
        <f>IF(C115="","",COUNTIFS(Başvuru!$C:$C,C115,Başvuru!$L:$L,"KAPSAM DIŞI",Başvuru!$A:$A,"&lt;&gt;"&amp;"",Başvuru!$F:$F,"&lt;&gt;"&amp;""))</f>
        <v>0</v>
      </c>
      <c r="P115" s="169">
        <f>IF(C115="","",COUNTIFS(Başvuru!$C:$C,C115,Başvuru!$L:$L,"GERİ ÇEKİLDİ",Başvuru!$A:$A,"&lt;&gt;"&amp;"",Başvuru!$F:$F,"&lt;&gt;"&amp;""))</f>
        <v>0</v>
      </c>
      <c r="Q115" s="170" t="str">
        <f t="array" ref="Q115">IFERROR(INDEX(Başvuru!$C$2:$C$3000, MATCH(0, COUNTIF($Q$5:Q114, Başvuru!$C$2:$C$3000) + IF(Başvuru!$C$2:$C$3000="",1,0), 0)), "")</f>
        <v>Dr. Öğr. Üyesi Emre KARA</v>
      </c>
      <c r="R115" s="171">
        <f>IF(Q115="","",COUNTIFS(Başvuru!$C:$C,Q115,Başvuru!$A:$A,"&lt;&gt;"&amp;"",Başvuru!$F:$F,"&lt;&gt;"&amp;""))</f>
        <v>3</v>
      </c>
      <c r="S115" s="171">
        <f>IF(R115="","",RANK(R115,$R$6:$R$505,0)+COUNTIF($R$6:R115,R115)-1)</f>
        <v>62</v>
      </c>
    </row>
    <row r="116" spans="2:19" ht="23.25" customHeight="1" x14ac:dyDescent="0.25">
      <c r="B116" s="159">
        <v>111</v>
      </c>
      <c r="C116" s="160" t="str">
        <f>IFERROR(INDEX($Q$6:$Q$505,MATCH(111,$S$6:$S$505,0)),"")</f>
        <v>Dr. Öğr. Üyesi Hatice BOYACIOĞLU ERDEN</v>
      </c>
      <c r="D116" s="161">
        <f>IF(C116="","",COUNTIFS(Başvuru!$C:$C,C116,Başvuru!$A:$A,"&lt;&gt;"&amp;"",Başvuru!$F:$F,"&lt;&gt;"&amp;""))</f>
        <v>2</v>
      </c>
      <c r="E116" s="159" t="str">
        <f>IF(C116="","-",IF(D116&gt;0,TEXT(D116/(COUNTIFS(Başvuru!$A:$A,"&lt;&gt;",Başvuru!$F:$F,"&lt;&gt;")-1)*100,"0.0")&amp;"%","-"))</f>
        <v>00%</v>
      </c>
      <c r="F116" s="162">
        <f>IF(C116="","",COUNTIFS(Başvuru!$C:$C,C116,Başvuru!$G:$G,"Bireysel Araştırma",Başvuru!$A:$A,"&lt;&gt;"&amp;"",Başvuru!$F:$F,"&lt;&gt;"&amp;""))</f>
        <v>1</v>
      </c>
      <c r="G116" s="162">
        <f>IF(C116="","",COUNTIFS(Başvuru!$C:$C,C116,Başvuru!$G:$G,"Uzmanlık Tezi",Başvuru!$A:$A,"&lt;&gt;"&amp;"",Başvuru!$F:$F,"&lt;&gt;"&amp;""))</f>
        <v>1</v>
      </c>
      <c r="H116" s="162">
        <f>IF(C116="","",COUNTIFS(Başvuru!$C:$C,C116,Başvuru!$G:$G,"Doktora Tezi",Başvuru!$A:$A,"&lt;&gt;"&amp;"",Başvuru!$F:$F,"&lt;&gt;"&amp;""))</f>
        <v>0</v>
      </c>
      <c r="I116" s="162">
        <f>IF(C116="","",COUNTIFS(Başvuru!$C:$C,C116,Başvuru!$G:$G,"Yüksek Lisans Tezi",Başvuru!$A:$A,"&lt;&gt;"&amp;"",Başvuru!$F:$F,"&lt;&gt;"&amp;""))</f>
        <v>0</v>
      </c>
      <c r="J116" s="163">
        <f>IF(C116="","",COUNTIFS(Başvuru!$C:$C,C116,Başvuru!$L:$L,"ONAY",Başvuru!$A:$A,"&lt;&gt;"&amp;"",Başvuru!$F:$F,"&lt;&gt;"&amp;""))</f>
        <v>1</v>
      </c>
      <c r="K116" s="164">
        <f>IF(C116="","",COUNTIFS(Başvuru!$C:$C,C116,Başvuru!$L:$L,"DÜZELTME",Başvuru!$A:$A,"&lt;&gt;"&amp;"",Başvuru!$F:$F,"&lt;&gt;"&amp;""))</f>
        <v>0</v>
      </c>
      <c r="L116" s="165">
        <f>IF(C116="","",COUNTIFS(Başvuru!$C:$C,C116,Başvuru!$L:$L,"KAEK",Başvuru!$A:$A,"&lt;&gt;"&amp;"",Başvuru!$F:$F,"&lt;&gt;"&amp;""))</f>
        <v>0</v>
      </c>
      <c r="M116" s="166">
        <f>IF(C116="","",COUNTIFS(Başvuru!$C:$C,C116,Başvuru!$L:$L,"GÖRÜŞ",Başvuru!$A:$A,"&lt;&gt;"&amp;"",Başvuru!$F:$F,"&lt;&gt;"&amp;""))</f>
        <v>0</v>
      </c>
      <c r="N116" s="167">
        <f>IF(C116="","",COUNTIFS(Başvuru!$C:$C,C116,Başvuru!$L:$L,"RET",Başvuru!$A:$A,"&lt;&gt;"&amp;"",Başvuru!$F:$F,"&lt;&gt;"&amp;""))</f>
        <v>0</v>
      </c>
      <c r="O116" s="168">
        <f>IF(C116="","",COUNTIFS(Başvuru!$C:$C,C116,Başvuru!$L:$L,"KAPSAM DIŞI",Başvuru!$A:$A,"&lt;&gt;"&amp;"",Başvuru!$F:$F,"&lt;&gt;"&amp;""))</f>
        <v>0</v>
      </c>
      <c r="P116" s="169">
        <f>IF(C116="","",COUNTIFS(Başvuru!$C:$C,C116,Başvuru!$L:$L,"GERİ ÇEKİLDİ",Başvuru!$A:$A,"&lt;&gt;"&amp;"",Başvuru!$F:$F,"&lt;&gt;"&amp;""))</f>
        <v>0</v>
      </c>
      <c r="Q116" s="170" t="str">
        <f t="array" ref="Q116">IFERROR(INDEX(Başvuru!$C$2:$C$3000, MATCH(0, COUNTIF($Q$5:Q115, Başvuru!$C$2:$C$3000) + IF(Başvuru!$C$2:$C$3000="",1,0), 0)), "")</f>
        <v>Prof. Dr. Nagehan EMİRALİOĞLU ORDUKAYA</v>
      </c>
      <c r="R116" s="171">
        <f>IF(Q116="","",COUNTIFS(Başvuru!$C:$C,Q116,Başvuru!$A:$A,"&lt;&gt;"&amp;"",Başvuru!$F:$F,"&lt;&gt;"&amp;""))</f>
        <v>2</v>
      </c>
      <c r="S116" s="171">
        <f>IF(R116="","",RANK(R116,$R$6:$R$505,0)+COUNTIF($R$6:R116,R116)-1)</f>
        <v>102</v>
      </c>
    </row>
    <row r="117" spans="2:19" ht="23.25" customHeight="1" x14ac:dyDescent="0.25">
      <c r="B117" s="159">
        <v>112</v>
      </c>
      <c r="C117" s="160" t="str">
        <f>IFERROR(INDEX($Q$6:$Q$505,MATCH(112,$S$6:$S$505,0)),"")</f>
        <v>Prof. Dr. Murat TUNCEL</v>
      </c>
      <c r="D117" s="161">
        <f>IF(C117="","",COUNTIFS(Başvuru!$C:$C,C117,Başvuru!$A:$A,"&lt;&gt;"&amp;"",Başvuru!$F:$F,"&lt;&gt;"&amp;""))</f>
        <v>2</v>
      </c>
      <c r="E117" s="159" t="str">
        <f>IF(C117="","-",IF(D117&gt;0,TEXT(D117/(COUNTIFS(Başvuru!$A:$A,"&lt;&gt;",Başvuru!$F:$F,"&lt;&gt;")-1)*100,"0.0")&amp;"%","-"))</f>
        <v>00%</v>
      </c>
      <c r="F117" s="162">
        <f>IF(C117="","",COUNTIFS(Başvuru!$C:$C,C117,Başvuru!$G:$G,"Bireysel Araştırma",Başvuru!$A:$A,"&lt;&gt;"&amp;"",Başvuru!$F:$F,"&lt;&gt;"&amp;""))</f>
        <v>1</v>
      </c>
      <c r="G117" s="162">
        <f>IF(C117="","",COUNTIFS(Başvuru!$C:$C,C117,Başvuru!$G:$G,"Uzmanlık Tezi",Başvuru!$A:$A,"&lt;&gt;"&amp;"",Başvuru!$F:$F,"&lt;&gt;"&amp;""))</f>
        <v>1</v>
      </c>
      <c r="H117" s="162">
        <f>IF(C117="","",COUNTIFS(Başvuru!$C:$C,C117,Başvuru!$G:$G,"Doktora Tezi",Başvuru!$A:$A,"&lt;&gt;"&amp;"",Başvuru!$F:$F,"&lt;&gt;"&amp;""))</f>
        <v>0</v>
      </c>
      <c r="I117" s="162">
        <f>IF(C117="","",COUNTIFS(Başvuru!$C:$C,C117,Başvuru!$G:$G,"Yüksek Lisans Tezi",Başvuru!$A:$A,"&lt;&gt;"&amp;"",Başvuru!$F:$F,"&lt;&gt;"&amp;""))</f>
        <v>0</v>
      </c>
      <c r="J117" s="163">
        <f>IF(C117="","",COUNTIFS(Başvuru!$C:$C,C117,Başvuru!$L:$L,"ONAY",Başvuru!$A:$A,"&lt;&gt;"&amp;"",Başvuru!$F:$F,"&lt;&gt;"&amp;""))</f>
        <v>1</v>
      </c>
      <c r="K117" s="164">
        <f>IF(C117="","",COUNTIFS(Başvuru!$C:$C,C117,Başvuru!$L:$L,"DÜZELTME",Başvuru!$A:$A,"&lt;&gt;"&amp;"",Başvuru!$F:$F,"&lt;&gt;"&amp;""))</f>
        <v>0</v>
      </c>
      <c r="L117" s="165">
        <f>IF(C117="","",COUNTIFS(Başvuru!$C:$C,C117,Başvuru!$L:$L,"KAEK",Başvuru!$A:$A,"&lt;&gt;"&amp;"",Başvuru!$F:$F,"&lt;&gt;"&amp;""))</f>
        <v>0</v>
      </c>
      <c r="M117" s="166">
        <f>IF(C117="","",COUNTIFS(Başvuru!$C:$C,C117,Başvuru!$L:$L,"GÖRÜŞ",Başvuru!$A:$A,"&lt;&gt;"&amp;"",Başvuru!$F:$F,"&lt;&gt;"&amp;""))</f>
        <v>0</v>
      </c>
      <c r="N117" s="167">
        <f>IF(C117="","",COUNTIFS(Başvuru!$C:$C,C117,Başvuru!$L:$L,"RET",Başvuru!$A:$A,"&lt;&gt;"&amp;"",Başvuru!$F:$F,"&lt;&gt;"&amp;""))</f>
        <v>1</v>
      </c>
      <c r="O117" s="168">
        <f>IF(C117="","",COUNTIFS(Başvuru!$C:$C,C117,Başvuru!$L:$L,"KAPSAM DIŞI",Başvuru!$A:$A,"&lt;&gt;"&amp;"",Başvuru!$F:$F,"&lt;&gt;"&amp;""))</f>
        <v>0</v>
      </c>
      <c r="P117" s="169">
        <f>IF(C117="","",COUNTIFS(Başvuru!$C:$C,C117,Başvuru!$L:$L,"GERİ ÇEKİLDİ",Başvuru!$A:$A,"&lt;&gt;"&amp;"",Başvuru!$F:$F,"&lt;&gt;"&amp;""))</f>
        <v>0</v>
      </c>
      <c r="Q117" s="170" t="str">
        <f t="array" ref="Q117">IFERROR(INDEX(Başvuru!$C$2:$C$3000, MATCH(0, COUNTIF($Q$5:Q116, Başvuru!$C$2:$C$3000) + IF(Başvuru!$C$2:$C$3000="",1,0), 0)), "")</f>
        <v>Doç. Dr. Gölşah KÖK</v>
      </c>
      <c r="R117" s="171">
        <f>IF(Q117="","",COUNTIFS(Başvuru!$C:$C,Q117,Başvuru!$A:$A,"&lt;&gt;"&amp;"",Başvuru!$F:$F,"&lt;&gt;"&amp;""))</f>
        <v>1</v>
      </c>
      <c r="S117" s="171">
        <f>IF(R117="","",RANK(R117,$R$6:$R$505,0)+COUNTIF($R$6:R117,R117)-1)</f>
        <v>187</v>
      </c>
    </row>
    <row r="118" spans="2:19" ht="23.25" customHeight="1" x14ac:dyDescent="0.25">
      <c r="B118" s="159">
        <v>113</v>
      </c>
      <c r="C118" s="160" t="str">
        <f>IFERROR(INDEX($Q$6:$Q$505,MATCH(113,$S$6:$S$505,0)),"")</f>
        <v>Doç. Dr. Adalet Elçin YILDIZ</v>
      </c>
      <c r="D118" s="161">
        <f>IF(C118="","",COUNTIFS(Başvuru!$C:$C,C118,Başvuru!$A:$A,"&lt;&gt;"&amp;"",Başvuru!$F:$F,"&lt;&gt;"&amp;""))</f>
        <v>2</v>
      </c>
      <c r="E118" s="159" t="str">
        <f>IF(C118="","-",IF(D118&gt;0,TEXT(D118/(COUNTIFS(Başvuru!$A:$A,"&lt;&gt;",Başvuru!$F:$F,"&lt;&gt;")-1)*100,"0.0")&amp;"%","-"))</f>
        <v>00%</v>
      </c>
      <c r="F118" s="162">
        <f>IF(C118="","",COUNTIFS(Başvuru!$C:$C,C118,Başvuru!$G:$G,"Bireysel Araştırma",Başvuru!$A:$A,"&lt;&gt;"&amp;"",Başvuru!$F:$F,"&lt;&gt;"&amp;""))</f>
        <v>1</v>
      </c>
      <c r="G118" s="162">
        <f>IF(C118="","",COUNTIFS(Başvuru!$C:$C,C118,Başvuru!$G:$G,"Uzmanlık Tezi",Başvuru!$A:$A,"&lt;&gt;"&amp;"",Başvuru!$F:$F,"&lt;&gt;"&amp;""))</f>
        <v>1</v>
      </c>
      <c r="H118" s="162">
        <f>IF(C118="","",COUNTIFS(Başvuru!$C:$C,C118,Başvuru!$G:$G,"Doktora Tezi",Başvuru!$A:$A,"&lt;&gt;"&amp;"",Başvuru!$F:$F,"&lt;&gt;"&amp;""))</f>
        <v>0</v>
      </c>
      <c r="I118" s="162">
        <f>IF(C118="","",COUNTIFS(Başvuru!$C:$C,C118,Başvuru!$G:$G,"Yüksek Lisans Tezi",Başvuru!$A:$A,"&lt;&gt;"&amp;"",Başvuru!$F:$F,"&lt;&gt;"&amp;""))</f>
        <v>0</v>
      </c>
      <c r="J118" s="163">
        <f>IF(C118="","",COUNTIFS(Başvuru!$C:$C,C118,Başvuru!$L:$L,"ONAY",Başvuru!$A:$A,"&lt;&gt;"&amp;"",Başvuru!$F:$F,"&lt;&gt;"&amp;""))</f>
        <v>0</v>
      </c>
      <c r="K118" s="164">
        <f>IF(C118="","",COUNTIFS(Başvuru!$C:$C,C118,Başvuru!$L:$L,"DÜZELTME",Başvuru!$A:$A,"&lt;&gt;"&amp;"",Başvuru!$F:$F,"&lt;&gt;"&amp;""))</f>
        <v>2</v>
      </c>
      <c r="L118" s="165">
        <f>IF(C118="","",COUNTIFS(Başvuru!$C:$C,C118,Başvuru!$L:$L,"KAEK",Başvuru!$A:$A,"&lt;&gt;"&amp;"",Başvuru!$F:$F,"&lt;&gt;"&amp;""))</f>
        <v>0</v>
      </c>
      <c r="M118" s="166">
        <f>IF(C118="","",COUNTIFS(Başvuru!$C:$C,C118,Başvuru!$L:$L,"GÖRÜŞ",Başvuru!$A:$A,"&lt;&gt;"&amp;"",Başvuru!$F:$F,"&lt;&gt;"&amp;""))</f>
        <v>0</v>
      </c>
      <c r="N118" s="167">
        <f>IF(C118="","",COUNTIFS(Başvuru!$C:$C,C118,Başvuru!$L:$L,"RET",Başvuru!$A:$A,"&lt;&gt;"&amp;"",Başvuru!$F:$F,"&lt;&gt;"&amp;""))</f>
        <v>0</v>
      </c>
      <c r="O118" s="168">
        <f>IF(C118="","",COUNTIFS(Başvuru!$C:$C,C118,Başvuru!$L:$L,"KAPSAM DIŞI",Başvuru!$A:$A,"&lt;&gt;"&amp;"",Başvuru!$F:$F,"&lt;&gt;"&amp;""))</f>
        <v>0</v>
      </c>
      <c r="P118" s="169">
        <f>IF(C118="","",COUNTIFS(Başvuru!$C:$C,C118,Başvuru!$L:$L,"GERİ ÇEKİLDİ",Başvuru!$A:$A,"&lt;&gt;"&amp;"",Başvuru!$F:$F,"&lt;&gt;"&amp;""))</f>
        <v>0</v>
      </c>
      <c r="Q118" s="170" t="str">
        <f t="array" ref="Q118">IFERROR(INDEX(Başvuru!$C$2:$C$3000, MATCH(0, COUNTIF($Q$5:Q117, Başvuru!$C$2:$C$3000) + IF(Başvuru!$C$2:$C$3000="",1,0), 0)), "")</f>
        <v>Öğr. Gör. Dr. Pınar ÖZDEMİR YAŞAR</v>
      </c>
      <c r="R118" s="171">
        <f>IF(Q118="","",COUNTIFS(Başvuru!$C:$C,Q118,Başvuru!$A:$A,"&lt;&gt;"&amp;"",Başvuru!$F:$F,"&lt;&gt;"&amp;""))</f>
        <v>1</v>
      </c>
      <c r="S118" s="171">
        <f>IF(R118="","",RANK(R118,$R$6:$R$505,0)+COUNTIF($R$6:R118,R118)-1)</f>
        <v>188</v>
      </c>
    </row>
    <row r="119" spans="2:19" ht="23.25" customHeight="1" x14ac:dyDescent="0.25">
      <c r="B119" s="159">
        <v>114</v>
      </c>
      <c r="C119" s="160" t="str">
        <f>IFERROR(INDEX($Q$6:$Q$505,MATCH(114,$S$6:$S$505,0)),"")</f>
        <v>Doç. Dr. İdil Rana USER KILIÇ</v>
      </c>
      <c r="D119" s="161">
        <f>IF(C119="","",COUNTIFS(Başvuru!$C:$C,C119,Başvuru!$A:$A,"&lt;&gt;"&amp;"",Başvuru!$F:$F,"&lt;&gt;"&amp;""))</f>
        <v>2</v>
      </c>
      <c r="E119" s="159" t="str">
        <f>IF(C119="","-",IF(D119&gt;0,TEXT(D119/(COUNTIFS(Başvuru!$A:$A,"&lt;&gt;",Başvuru!$F:$F,"&lt;&gt;")-1)*100,"0.0")&amp;"%","-"))</f>
        <v>00%</v>
      </c>
      <c r="F119" s="162">
        <f>IF(C119="","",COUNTIFS(Başvuru!$C:$C,C119,Başvuru!$G:$G,"Bireysel Araştırma",Başvuru!$A:$A,"&lt;&gt;"&amp;"",Başvuru!$F:$F,"&lt;&gt;"&amp;""))</f>
        <v>2</v>
      </c>
      <c r="G119" s="162">
        <f>IF(C119="","",COUNTIFS(Başvuru!$C:$C,C119,Başvuru!$G:$G,"Uzmanlık Tezi",Başvuru!$A:$A,"&lt;&gt;"&amp;"",Başvuru!$F:$F,"&lt;&gt;"&amp;""))</f>
        <v>0</v>
      </c>
      <c r="H119" s="162">
        <f>IF(C119="","",COUNTIFS(Başvuru!$C:$C,C119,Başvuru!$G:$G,"Doktora Tezi",Başvuru!$A:$A,"&lt;&gt;"&amp;"",Başvuru!$F:$F,"&lt;&gt;"&amp;""))</f>
        <v>0</v>
      </c>
      <c r="I119" s="162">
        <f>IF(C119="","",COUNTIFS(Başvuru!$C:$C,C119,Başvuru!$G:$G,"Yüksek Lisans Tezi",Başvuru!$A:$A,"&lt;&gt;"&amp;"",Başvuru!$F:$F,"&lt;&gt;"&amp;""))</f>
        <v>0</v>
      </c>
      <c r="J119" s="163">
        <f>IF(C119="","",COUNTIFS(Başvuru!$C:$C,C119,Başvuru!$L:$L,"ONAY",Başvuru!$A:$A,"&lt;&gt;"&amp;"",Başvuru!$F:$F,"&lt;&gt;"&amp;""))</f>
        <v>2</v>
      </c>
      <c r="K119" s="164">
        <f>IF(C119="","",COUNTIFS(Başvuru!$C:$C,C119,Başvuru!$L:$L,"DÜZELTME",Başvuru!$A:$A,"&lt;&gt;"&amp;"",Başvuru!$F:$F,"&lt;&gt;"&amp;""))</f>
        <v>0</v>
      </c>
      <c r="L119" s="165">
        <f>IF(C119="","",COUNTIFS(Başvuru!$C:$C,C119,Başvuru!$L:$L,"KAEK",Başvuru!$A:$A,"&lt;&gt;"&amp;"",Başvuru!$F:$F,"&lt;&gt;"&amp;""))</f>
        <v>0</v>
      </c>
      <c r="M119" s="166">
        <f>IF(C119="","",COUNTIFS(Başvuru!$C:$C,C119,Başvuru!$L:$L,"GÖRÜŞ",Başvuru!$A:$A,"&lt;&gt;"&amp;"",Başvuru!$F:$F,"&lt;&gt;"&amp;""))</f>
        <v>0</v>
      </c>
      <c r="N119" s="167">
        <f>IF(C119="","",COUNTIFS(Başvuru!$C:$C,C119,Başvuru!$L:$L,"RET",Başvuru!$A:$A,"&lt;&gt;"&amp;"",Başvuru!$F:$F,"&lt;&gt;"&amp;""))</f>
        <v>0</v>
      </c>
      <c r="O119" s="168">
        <f>IF(C119="","",COUNTIFS(Başvuru!$C:$C,C119,Başvuru!$L:$L,"KAPSAM DIŞI",Başvuru!$A:$A,"&lt;&gt;"&amp;"",Başvuru!$F:$F,"&lt;&gt;"&amp;""))</f>
        <v>0</v>
      </c>
      <c r="P119" s="169">
        <f>IF(C119="","",COUNTIFS(Başvuru!$C:$C,C119,Başvuru!$L:$L,"GERİ ÇEKİLDİ",Başvuru!$A:$A,"&lt;&gt;"&amp;"",Başvuru!$F:$F,"&lt;&gt;"&amp;""))</f>
        <v>0</v>
      </c>
      <c r="Q119" s="170" t="str">
        <f t="array" ref="Q119">IFERROR(INDEX(Başvuru!$C$2:$C$3000, MATCH(0, COUNTIF($Q$5:Q118, Başvuru!$C$2:$C$3000) + IF(Başvuru!$C$2:$C$3000="",1,0), 0)), "")</f>
        <v>Dr. Öğr. Üyesi Barış KAFA</v>
      </c>
      <c r="R119" s="171">
        <f>IF(Q119="","",COUNTIFS(Başvuru!$C:$C,Q119,Başvuru!$A:$A,"&lt;&gt;"&amp;"",Başvuru!$F:$F,"&lt;&gt;"&amp;""))</f>
        <v>2</v>
      </c>
      <c r="S119" s="171">
        <f>IF(R119="","",RANK(R119,$R$6:$R$505,0)+COUNTIF($R$6:R119,R119)-1)</f>
        <v>103</v>
      </c>
    </row>
    <row r="120" spans="2:19" ht="23.25" customHeight="1" x14ac:dyDescent="0.25">
      <c r="B120" s="159">
        <v>115</v>
      </c>
      <c r="C120" s="160" t="str">
        <f>IFERROR(INDEX($Q$6:$Q$505,MATCH(115,$S$6:$S$505,0)),"")</f>
        <v>Prof. Dr. Betül ÇELEBİ SALTIK</v>
      </c>
      <c r="D120" s="161">
        <f>IF(C120="","",COUNTIFS(Başvuru!$C:$C,C120,Başvuru!$A:$A,"&lt;&gt;"&amp;"",Başvuru!$F:$F,"&lt;&gt;"&amp;""))</f>
        <v>2</v>
      </c>
      <c r="E120" s="159" t="str">
        <f>IF(C120="","-",IF(D120&gt;0,TEXT(D120/(COUNTIFS(Başvuru!$A:$A,"&lt;&gt;",Başvuru!$F:$F,"&lt;&gt;")-1)*100,"0.0")&amp;"%","-"))</f>
        <v>00%</v>
      </c>
      <c r="F120" s="162">
        <f>IF(C120="","",COUNTIFS(Başvuru!$C:$C,C120,Başvuru!$G:$G,"Bireysel Araştırma",Başvuru!$A:$A,"&lt;&gt;"&amp;"",Başvuru!$F:$F,"&lt;&gt;"&amp;""))</f>
        <v>2</v>
      </c>
      <c r="G120" s="162">
        <f>IF(C120="","",COUNTIFS(Başvuru!$C:$C,C120,Başvuru!$G:$G,"Uzmanlık Tezi",Başvuru!$A:$A,"&lt;&gt;"&amp;"",Başvuru!$F:$F,"&lt;&gt;"&amp;""))</f>
        <v>0</v>
      </c>
      <c r="H120" s="162">
        <f>IF(C120="","",COUNTIFS(Başvuru!$C:$C,C120,Başvuru!$G:$G,"Doktora Tezi",Başvuru!$A:$A,"&lt;&gt;"&amp;"",Başvuru!$F:$F,"&lt;&gt;"&amp;""))</f>
        <v>0</v>
      </c>
      <c r="I120" s="162">
        <f>IF(C120="","",COUNTIFS(Başvuru!$C:$C,C120,Başvuru!$G:$G,"Yüksek Lisans Tezi",Başvuru!$A:$A,"&lt;&gt;"&amp;"",Başvuru!$F:$F,"&lt;&gt;"&amp;""))</f>
        <v>0</v>
      </c>
      <c r="J120" s="163">
        <f>IF(C120="","",COUNTIFS(Başvuru!$C:$C,C120,Başvuru!$L:$L,"ONAY",Başvuru!$A:$A,"&lt;&gt;"&amp;"",Başvuru!$F:$F,"&lt;&gt;"&amp;""))</f>
        <v>2</v>
      </c>
      <c r="K120" s="164">
        <f>IF(C120="","",COUNTIFS(Başvuru!$C:$C,C120,Başvuru!$L:$L,"DÜZELTME",Başvuru!$A:$A,"&lt;&gt;"&amp;"",Başvuru!$F:$F,"&lt;&gt;"&amp;""))</f>
        <v>0</v>
      </c>
      <c r="L120" s="165">
        <f>IF(C120="","",COUNTIFS(Başvuru!$C:$C,C120,Başvuru!$L:$L,"KAEK",Başvuru!$A:$A,"&lt;&gt;"&amp;"",Başvuru!$F:$F,"&lt;&gt;"&amp;""))</f>
        <v>0</v>
      </c>
      <c r="M120" s="166">
        <f>IF(C120="","",COUNTIFS(Başvuru!$C:$C,C120,Başvuru!$L:$L,"GÖRÜŞ",Başvuru!$A:$A,"&lt;&gt;"&amp;"",Başvuru!$F:$F,"&lt;&gt;"&amp;""))</f>
        <v>0</v>
      </c>
      <c r="N120" s="167">
        <f>IF(C120="","",COUNTIFS(Başvuru!$C:$C,C120,Başvuru!$L:$L,"RET",Başvuru!$A:$A,"&lt;&gt;"&amp;"",Başvuru!$F:$F,"&lt;&gt;"&amp;""))</f>
        <v>0</v>
      </c>
      <c r="O120" s="168">
        <f>IF(C120="","",COUNTIFS(Başvuru!$C:$C,C120,Başvuru!$L:$L,"KAPSAM DIŞI",Başvuru!$A:$A,"&lt;&gt;"&amp;"",Başvuru!$F:$F,"&lt;&gt;"&amp;""))</f>
        <v>0</v>
      </c>
      <c r="P120" s="169">
        <f>IF(C120="","",COUNTIFS(Başvuru!$C:$C,C120,Başvuru!$L:$L,"GERİ ÇEKİLDİ",Başvuru!$A:$A,"&lt;&gt;"&amp;"",Başvuru!$F:$F,"&lt;&gt;"&amp;""))</f>
        <v>0</v>
      </c>
      <c r="Q120" s="170" t="str">
        <f t="array" ref="Q120">IFERROR(INDEX(Başvuru!$C$2:$C$3000, MATCH(0, COUNTIF($Q$5:Q119, Başvuru!$C$2:$C$3000) + IF(Başvuru!$C$2:$C$3000="",1,0), 0)), "")</f>
        <v>Doç. Dr. Burcu HATİBOĞLU</v>
      </c>
      <c r="R120" s="171">
        <f>IF(Q120="","",COUNTIFS(Başvuru!$C:$C,Q120,Başvuru!$A:$A,"&lt;&gt;"&amp;"",Başvuru!$F:$F,"&lt;&gt;"&amp;""))</f>
        <v>2</v>
      </c>
      <c r="S120" s="171">
        <f>IF(R120="","",RANK(R120,$R$6:$R$505,0)+COUNTIF($R$6:R120,R120)-1)</f>
        <v>104</v>
      </c>
    </row>
    <row r="121" spans="2:19" ht="23.25" customHeight="1" x14ac:dyDescent="0.25">
      <c r="B121" s="159">
        <v>116</v>
      </c>
      <c r="C121" s="160" t="str">
        <f>IFERROR(INDEX($Q$6:$Q$505,MATCH(116,$S$6:$S$505,0)),"")</f>
        <v>Dr. Öğr. Üyesi Gökhan AYIK</v>
      </c>
      <c r="D121" s="161">
        <f>IF(C121="","",COUNTIFS(Başvuru!$C:$C,C121,Başvuru!$A:$A,"&lt;&gt;"&amp;"",Başvuru!$F:$F,"&lt;&gt;"&amp;""))</f>
        <v>2</v>
      </c>
      <c r="E121" s="159" t="str">
        <f>IF(C121="","-",IF(D121&gt;0,TEXT(D121/(COUNTIFS(Başvuru!$A:$A,"&lt;&gt;",Başvuru!$F:$F,"&lt;&gt;")-1)*100,"0.0")&amp;"%","-"))</f>
        <v>00%</v>
      </c>
      <c r="F121" s="162">
        <f>IF(C121="","",COUNTIFS(Başvuru!$C:$C,C121,Başvuru!$G:$G,"Bireysel Araştırma",Başvuru!$A:$A,"&lt;&gt;"&amp;"",Başvuru!$F:$F,"&lt;&gt;"&amp;""))</f>
        <v>2</v>
      </c>
      <c r="G121" s="162">
        <f>IF(C121="","",COUNTIFS(Başvuru!$C:$C,C121,Başvuru!$G:$G,"Uzmanlık Tezi",Başvuru!$A:$A,"&lt;&gt;"&amp;"",Başvuru!$F:$F,"&lt;&gt;"&amp;""))</f>
        <v>0</v>
      </c>
      <c r="H121" s="162">
        <f>IF(C121="","",COUNTIFS(Başvuru!$C:$C,C121,Başvuru!$G:$G,"Doktora Tezi",Başvuru!$A:$A,"&lt;&gt;"&amp;"",Başvuru!$F:$F,"&lt;&gt;"&amp;""))</f>
        <v>0</v>
      </c>
      <c r="I121" s="162">
        <f>IF(C121="","",COUNTIFS(Başvuru!$C:$C,C121,Başvuru!$G:$G,"Yüksek Lisans Tezi",Başvuru!$A:$A,"&lt;&gt;"&amp;"",Başvuru!$F:$F,"&lt;&gt;"&amp;""))</f>
        <v>0</v>
      </c>
      <c r="J121" s="163">
        <f>IF(C121="","",COUNTIFS(Başvuru!$C:$C,C121,Başvuru!$L:$L,"ONAY",Başvuru!$A:$A,"&lt;&gt;"&amp;"",Başvuru!$F:$F,"&lt;&gt;"&amp;""))</f>
        <v>1</v>
      </c>
      <c r="K121" s="164">
        <f>IF(C121="","",COUNTIFS(Başvuru!$C:$C,C121,Başvuru!$L:$L,"DÜZELTME",Başvuru!$A:$A,"&lt;&gt;"&amp;"",Başvuru!$F:$F,"&lt;&gt;"&amp;""))</f>
        <v>0</v>
      </c>
      <c r="L121" s="165">
        <f>IF(C121="","",COUNTIFS(Başvuru!$C:$C,C121,Başvuru!$L:$L,"KAEK",Başvuru!$A:$A,"&lt;&gt;"&amp;"",Başvuru!$F:$F,"&lt;&gt;"&amp;""))</f>
        <v>1</v>
      </c>
      <c r="M121" s="166">
        <f>IF(C121="","",COUNTIFS(Başvuru!$C:$C,C121,Başvuru!$L:$L,"GÖRÜŞ",Başvuru!$A:$A,"&lt;&gt;"&amp;"",Başvuru!$F:$F,"&lt;&gt;"&amp;""))</f>
        <v>0</v>
      </c>
      <c r="N121" s="167">
        <f>IF(C121="","",COUNTIFS(Başvuru!$C:$C,C121,Başvuru!$L:$L,"RET",Başvuru!$A:$A,"&lt;&gt;"&amp;"",Başvuru!$F:$F,"&lt;&gt;"&amp;""))</f>
        <v>0</v>
      </c>
      <c r="O121" s="168">
        <f>IF(C121="","",COUNTIFS(Başvuru!$C:$C,C121,Başvuru!$L:$L,"KAPSAM DIŞI",Başvuru!$A:$A,"&lt;&gt;"&amp;"",Başvuru!$F:$F,"&lt;&gt;"&amp;""))</f>
        <v>0</v>
      </c>
      <c r="P121" s="169">
        <f>IF(C121="","",COUNTIFS(Başvuru!$C:$C,C121,Başvuru!$L:$L,"GERİ ÇEKİLDİ",Başvuru!$A:$A,"&lt;&gt;"&amp;"",Başvuru!$F:$F,"&lt;&gt;"&amp;""))</f>
        <v>0</v>
      </c>
      <c r="Q121" s="170" t="str">
        <f t="array" ref="Q121">IFERROR(INDEX(Başvuru!$C$2:$C$3000, MATCH(0, COUNTIF($Q$5:Q120, Başvuru!$C$2:$C$3000) + IF(Başvuru!$C$2:$C$3000="",1,0), 0)), "")</f>
        <v>Dr. Öğr. Üyesi Hanife Merva PARLAK</v>
      </c>
      <c r="R121" s="171">
        <f>IF(Q121="","",COUNTIFS(Başvuru!$C:$C,Q121,Başvuru!$A:$A,"&lt;&gt;"&amp;"",Başvuru!$F:$F,"&lt;&gt;"&amp;""))</f>
        <v>1</v>
      </c>
      <c r="S121" s="171">
        <f>IF(R121="","",RANK(R121,$R$6:$R$505,0)+COUNTIF($R$6:R121,R121)-1)</f>
        <v>189</v>
      </c>
    </row>
    <row r="122" spans="2:19" ht="23.25" customHeight="1" x14ac:dyDescent="0.25">
      <c r="B122" s="159">
        <v>117</v>
      </c>
      <c r="C122" s="160" t="str">
        <f>IFERROR(INDEX($Q$6:$Q$505,MATCH(117,$S$6:$S$505,0)),"")</f>
        <v>Prof. Dr. Güliz AKTAŞ</v>
      </c>
      <c r="D122" s="161">
        <f>IF(C122="","",COUNTIFS(Başvuru!$C:$C,C122,Başvuru!$A:$A,"&lt;&gt;"&amp;"",Başvuru!$F:$F,"&lt;&gt;"&amp;""))</f>
        <v>2</v>
      </c>
      <c r="E122" s="159" t="str">
        <f>IF(C122="","-",IF(D122&gt;0,TEXT(D122/(COUNTIFS(Başvuru!$A:$A,"&lt;&gt;",Başvuru!$F:$F,"&lt;&gt;")-1)*100,"0.0")&amp;"%","-"))</f>
        <v>00%</v>
      </c>
      <c r="F122" s="162">
        <f>IF(C122="","",COUNTIFS(Başvuru!$C:$C,C122,Başvuru!$G:$G,"Bireysel Araştırma",Başvuru!$A:$A,"&lt;&gt;"&amp;"",Başvuru!$F:$F,"&lt;&gt;"&amp;""))</f>
        <v>0</v>
      </c>
      <c r="G122" s="162">
        <f>IF(C122="","",COUNTIFS(Başvuru!$C:$C,C122,Başvuru!$G:$G,"Uzmanlık Tezi",Başvuru!$A:$A,"&lt;&gt;"&amp;"",Başvuru!$F:$F,"&lt;&gt;"&amp;""))</f>
        <v>2</v>
      </c>
      <c r="H122" s="162">
        <f>IF(C122="","",COUNTIFS(Başvuru!$C:$C,C122,Başvuru!$G:$G,"Doktora Tezi",Başvuru!$A:$A,"&lt;&gt;"&amp;"",Başvuru!$F:$F,"&lt;&gt;"&amp;""))</f>
        <v>0</v>
      </c>
      <c r="I122" s="162">
        <f>IF(C122="","",COUNTIFS(Başvuru!$C:$C,C122,Başvuru!$G:$G,"Yüksek Lisans Tezi",Başvuru!$A:$A,"&lt;&gt;"&amp;"",Başvuru!$F:$F,"&lt;&gt;"&amp;""))</f>
        <v>0</v>
      </c>
      <c r="J122" s="163">
        <f>IF(C122="","",COUNTIFS(Başvuru!$C:$C,C122,Başvuru!$L:$L,"ONAY",Başvuru!$A:$A,"&lt;&gt;"&amp;"",Başvuru!$F:$F,"&lt;&gt;"&amp;""))</f>
        <v>2</v>
      </c>
      <c r="K122" s="164">
        <f>IF(C122="","",COUNTIFS(Başvuru!$C:$C,C122,Başvuru!$L:$L,"DÜZELTME",Başvuru!$A:$A,"&lt;&gt;"&amp;"",Başvuru!$F:$F,"&lt;&gt;"&amp;""))</f>
        <v>0</v>
      </c>
      <c r="L122" s="165">
        <f>IF(C122="","",COUNTIFS(Başvuru!$C:$C,C122,Başvuru!$L:$L,"KAEK",Başvuru!$A:$A,"&lt;&gt;"&amp;"",Başvuru!$F:$F,"&lt;&gt;"&amp;""))</f>
        <v>0</v>
      </c>
      <c r="M122" s="166">
        <f>IF(C122="","",COUNTIFS(Başvuru!$C:$C,C122,Başvuru!$L:$L,"GÖRÜŞ",Başvuru!$A:$A,"&lt;&gt;"&amp;"",Başvuru!$F:$F,"&lt;&gt;"&amp;""))</f>
        <v>0</v>
      </c>
      <c r="N122" s="167">
        <f>IF(C122="","",COUNTIFS(Başvuru!$C:$C,C122,Başvuru!$L:$L,"RET",Başvuru!$A:$A,"&lt;&gt;"&amp;"",Başvuru!$F:$F,"&lt;&gt;"&amp;""))</f>
        <v>0</v>
      </c>
      <c r="O122" s="168">
        <f>IF(C122="","",COUNTIFS(Başvuru!$C:$C,C122,Başvuru!$L:$L,"KAPSAM DIŞI",Başvuru!$A:$A,"&lt;&gt;"&amp;"",Başvuru!$F:$F,"&lt;&gt;"&amp;""))</f>
        <v>0</v>
      </c>
      <c r="P122" s="169">
        <f>IF(C122="","",COUNTIFS(Başvuru!$C:$C,C122,Başvuru!$L:$L,"GERİ ÇEKİLDİ",Başvuru!$A:$A,"&lt;&gt;"&amp;"",Başvuru!$F:$F,"&lt;&gt;"&amp;""))</f>
        <v>0</v>
      </c>
      <c r="Q122" s="170" t="str">
        <f t="array" ref="Q122">IFERROR(INDEX(Başvuru!$C$2:$C$3000, MATCH(0, COUNTIF($Q$5:Q121, Başvuru!$C$2:$C$3000) + IF(Başvuru!$C$2:$C$3000="",1,0), 0)), "")</f>
        <v>Prof. Dr. Hatice DOĞAN BUZOĞLU</v>
      </c>
      <c r="R122" s="171">
        <f>IF(Q122="","",COUNTIFS(Başvuru!$C:$C,Q122,Başvuru!$A:$A,"&lt;&gt;"&amp;"",Başvuru!$F:$F,"&lt;&gt;"&amp;""))</f>
        <v>1</v>
      </c>
      <c r="S122" s="171">
        <f>IF(R122="","",RANK(R122,$R$6:$R$505,0)+COUNTIF($R$6:R122,R122)-1)</f>
        <v>190</v>
      </c>
    </row>
    <row r="123" spans="2:19" ht="23.25" customHeight="1" x14ac:dyDescent="0.25">
      <c r="B123" s="159">
        <v>118</v>
      </c>
      <c r="C123" s="160" t="str">
        <f>IFERROR(INDEX($Q$6:$Q$505,MATCH(118,$S$6:$S$505,0)),"")</f>
        <v>Prof. Dr. Seda Banu AKINCI</v>
      </c>
      <c r="D123" s="161">
        <f>IF(C123="","",COUNTIFS(Başvuru!$C:$C,C123,Başvuru!$A:$A,"&lt;&gt;"&amp;"",Başvuru!$F:$F,"&lt;&gt;"&amp;""))</f>
        <v>2</v>
      </c>
      <c r="E123" s="159" t="str">
        <f>IF(C123="","-",IF(D123&gt;0,TEXT(D123/(COUNTIFS(Başvuru!$A:$A,"&lt;&gt;",Başvuru!$F:$F,"&lt;&gt;")-1)*100,"0.0")&amp;"%","-"))</f>
        <v>00%</v>
      </c>
      <c r="F123" s="162">
        <f>IF(C123="","",COUNTIFS(Başvuru!$C:$C,C123,Başvuru!$G:$G,"Bireysel Araştırma",Başvuru!$A:$A,"&lt;&gt;"&amp;"",Başvuru!$F:$F,"&lt;&gt;"&amp;""))</f>
        <v>2</v>
      </c>
      <c r="G123" s="162">
        <f>IF(C123="","",COUNTIFS(Başvuru!$C:$C,C123,Başvuru!$G:$G,"Uzmanlık Tezi",Başvuru!$A:$A,"&lt;&gt;"&amp;"",Başvuru!$F:$F,"&lt;&gt;"&amp;""))</f>
        <v>0</v>
      </c>
      <c r="H123" s="162">
        <f>IF(C123="","",COUNTIFS(Başvuru!$C:$C,C123,Başvuru!$G:$G,"Doktora Tezi",Başvuru!$A:$A,"&lt;&gt;"&amp;"",Başvuru!$F:$F,"&lt;&gt;"&amp;""))</f>
        <v>0</v>
      </c>
      <c r="I123" s="162">
        <f>IF(C123="","",COUNTIFS(Başvuru!$C:$C,C123,Başvuru!$G:$G,"Yüksek Lisans Tezi",Başvuru!$A:$A,"&lt;&gt;"&amp;"",Başvuru!$F:$F,"&lt;&gt;"&amp;""))</f>
        <v>0</v>
      </c>
      <c r="J123" s="163">
        <f>IF(C123="","",COUNTIFS(Başvuru!$C:$C,C123,Başvuru!$L:$L,"ONAY",Başvuru!$A:$A,"&lt;&gt;"&amp;"",Başvuru!$F:$F,"&lt;&gt;"&amp;""))</f>
        <v>2</v>
      </c>
      <c r="K123" s="164">
        <f>IF(C123="","",COUNTIFS(Başvuru!$C:$C,C123,Başvuru!$L:$L,"DÜZELTME",Başvuru!$A:$A,"&lt;&gt;"&amp;"",Başvuru!$F:$F,"&lt;&gt;"&amp;""))</f>
        <v>0</v>
      </c>
      <c r="L123" s="165">
        <f>IF(C123="","",COUNTIFS(Başvuru!$C:$C,C123,Başvuru!$L:$L,"KAEK",Başvuru!$A:$A,"&lt;&gt;"&amp;"",Başvuru!$F:$F,"&lt;&gt;"&amp;""))</f>
        <v>0</v>
      </c>
      <c r="M123" s="166">
        <f>IF(C123="","",COUNTIFS(Başvuru!$C:$C,C123,Başvuru!$L:$L,"GÖRÜŞ",Başvuru!$A:$A,"&lt;&gt;"&amp;"",Başvuru!$F:$F,"&lt;&gt;"&amp;""))</f>
        <v>0</v>
      </c>
      <c r="N123" s="167">
        <f>IF(C123="","",COUNTIFS(Başvuru!$C:$C,C123,Başvuru!$L:$L,"RET",Başvuru!$A:$A,"&lt;&gt;"&amp;"",Başvuru!$F:$F,"&lt;&gt;"&amp;""))</f>
        <v>0</v>
      </c>
      <c r="O123" s="168">
        <f>IF(C123="","",COUNTIFS(Başvuru!$C:$C,C123,Başvuru!$L:$L,"KAPSAM DIŞI",Başvuru!$A:$A,"&lt;&gt;"&amp;"",Başvuru!$F:$F,"&lt;&gt;"&amp;""))</f>
        <v>0</v>
      </c>
      <c r="P123" s="169">
        <f>IF(C123="","",COUNTIFS(Başvuru!$C:$C,C123,Başvuru!$L:$L,"GERİ ÇEKİLDİ",Başvuru!$A:$A,"&lt;&gt;"&amp;"",Başvuru!$F:$F,"&lt;&gt;"&amp;""))</f>
        <v>0</v>
      </c>
      <c r="Q123" s="170" t="str">
        <f t="array" ref="Q123">IFERROR(INDEX(Başvuru!$C$2:$C$3000, MATCH(0, COUNTIF($Q$5:Q122, Başvuru!$C$2:$C$3000) + IF(Başvuru!$C$2:$C$3000="",1,0), 0)), "")</f>
        <v>Doç. Dr. Almıla Gülsün PAMUK</v>
      </c>
      <c r="R123" s="171">
        <f>IF(Q123="","",COUNTIFS(Başvuru!$C:$C,Q123,Başvuru!$A:$A,"&lt;&gt;"&amp;"",Başvuru!$F:$F,"&lt;&gt;"&amp;""))</f>
        <v>1</v>
      </c>
      <c r="S123" s="171">
        <f>IF(R123="","",RANK(R123,$R$6:$R$505,0)+COUNTIF($R$6:R123,R123)-1)</f>
        <v>191</v>
      </c>
    </row>
    <row r="124" spans="2:19" ht="23.25" customHeight="1" x14ac:dyDescent="0.25">
      <c r="B124" s="159">
        <v>119</v>
      </c>
      <c r="C124" s="160" t="str">
        <f>IFERROR(INDEX($Q$6:$Q$505,MATCH(119,$S$6:$S$505,0)),"")</f>
        <v>Prof. Dr. Bülent Enis ŞEKEREL</v>
      </c>
      <c r="D124" s="161">
        <f>IF(C124="","",COUNTIFS(Başvuru!$C:$C,C124,Başvuru!$A:$A,"&lt;&gt;"&amp;"",Başvuru!$F:$F,"&lt;&gt;"&amp;""))</f>
        <v>2</v>
      </c>
      <c r="E124" s="159" t="str">
        <f>IF(C124="","-",IF(D124&gt;0,TEXT(D124/(COUNTIFS(Başvuru!$A:$A,"&lt;&gt;",Başvuru!$F:$F,"&lt;&gt;")-1)*100,"0.0")&amp;"%","-"))</f>
        <v>00%</v>
      </c>
      <c r="F124" s="162">
        <f>IF(C124="","",COUNTIFS(Başvuru!$C:$C,C124,Başvuru!$G:$G,"Bireysel Araştırma",Başvuru!$A:$A,"&lt;&gt;"&amp;"",Başvuru!$F:$F,"&lt;&gt;"&amp;""))</f>
        <v>2</v>
      </c>
      <c r="G124" s="162">
        <f>IF(C124="","",COUNTIFS(Başvuru!$C:$C,C124,Başvuru!$G:$G,"Uzmanlık Tezi",Başvuru!$A:$A,"&lt;&gt;"&amp;"",Başvuru!$F:$F,"&lt;&gt;"&amp;""))</f>
        <v>0</v>
      </c>
      <c r="H124" s="162">
        <f>IF(C124="","",COUNTIFS(Başvuru!$C:$C,C124,Başvuru!$G:$G,"Doktora Tezi",Başvuru!$A:$A,"&lt;&gt;"&amp;"",Başvuru!$F:$F,"&lt;&gt;"&amp;""))</f>
        <v>0</v>
      </c>
      <c r="I124" s="162">
        <f>IF(C124="","",COUNTIFS(Başvuru!$C:$C,C124,Başvuru!$G:$G,"Yüksek Lisans Tezi",Başvuru!$A:$A,"&lt;&gt;"&amp;"",Başvuru!$F:$F,"&lt;&gt;"&amp;""))</f>
        <v>0</v>
      </c>
      <c r="J124" s="163">
        <f>IF(C124="","",COUNTIFS(Başvuru!$C:$C,C124,Başvuru!$L:$L,"ONAY",Başvuru!$A:$A,"&lt;&gt;"&amp;"",Başvuru!$F:$F,"&lt;&gt;"&amp;""))</f>
        <v>2</v>
      </c>
      <c r="K124" s="164">
        <f>IF(C124="","",COUNTIFS(Başvuru!$C:$C,C124,Başvuru!$L:$L,"DÜZELTME",Başvuru!$A:$A,"&lt;&gt;"&amp;"",Başvuru!$F:$F,"&lt;&gt;"&amp;""))</f>
        <v>0</v>
      </c>
      <c r="L124" s="165">
        <f>IF(C124="","",COUNTIFS(Başvuru!$C:$C,C124,Başvuru!$L:$L,"KAEK",Başvuru!$A:$A,"&lt;&gt;"&amp;"",Başvuru!$F:$F,"&lt;&gt;"&amp;""))</f>
        <v>0</v>
      </c>
      <c r="M124" s="166">
        <f>IF(C124="","",COUNTIFS(Başvuru!$C:$C,C124,Başvuru!$L:$L,"GÖRÜŞ",Başvuru!$A:$A,"&lt;&gt;"&amp;"",Başvuru!$F:$F,"&lt;&gt;"&amp;""))</f>
        <v>0</v>
      </c>
      <c r="N124" s="167">
        <f>IF(C124="","",COUNTIFS(Başvuru!$C:$C,C124,Başvuru!$L:$L,"RET",Başvuru!$A:$A,"&lt;&gt;"&amp;"",Başvuru!$F:$F,"&lt;&gt;"&amp;""))</f>
        <v>0</v>
      </c>
      <c r="O124" s="168">
        <f>IF(C124="","",COUNTIFS(Başvuru!$C:$C,C124,Başvuru!$L:$L,"KAPSAM DIŞI",Başvuru!$A:$A,"&lt;&gt;"&amp;"",Başvuru!$F:$F,"&lt;&gt;"&amp;""))</f>
        <v>0</v>
      </c>
      <c r="P124" s="169">
        <f>IF(C124="","",COUNTIFS(Başvuru!$C:$C,C124,Başvuru!$L:$L,"GERİ ÇEKİLDİ",Başvuru!$A:$A,"&lt;&gt;"&amp;"",Başvuru!$F:$F,"&lt;&gt;"&amp;""))</f>
        <v>0</v>
      </c>
      <c r="Q124" s="170" t="str">
        <f t="array" ref="Q124">IFERROR(INDEX(Başvuru!$C$2:$C$3000, MATCH(0, COUNTIF($Q$5:Q123, Başvuru!$C$2:$C$3000) + IF(Başvuru!$C$2:$C$3000="",1,0), 0)), "")</f>
        <v>Doç. Dr. Gamze ATAY</v>
      </c>
      <c r="R124" s="171">
        <f>IF(Q124="","",COUNTIFS(Başvuru!$C:$C,Q124,Başvuru!$A:$A,"&lt;&gt;"&amp;"",Başvuru!$F:$F,"&lt;&gt;"&amp;""))</f>
        <v>1</v>
      </c>
      <c r="S124" s="171">
        <f>IF(R124="","",RANK(R124,$R$6:$R$505,0)+COUNTIF($R$6:R124,R124)-1)</f>
        <v>192</v>
      </c>
    </row>
    <row r="125" spans="2:19" ht="23.25" customHeight="1" x14ac:dyDescent="0.25">
      <c r="B125" s="159">
        <v>120</v>
      </c>
      <c r="C125" s="160" t="str">
        <f>IFERROR(INDEX($Q$6:$Q$505,MATCH(120,$S$6:$S$505,0)),"")</f>
        <v>Doç. Dr. Leman AKCAN YILDIZ</v>
      </c>
      <c r="D125" s="161">
        <f>IF(C125="","",COUNTIFS(Başvuru!$C:$C,C125,Başvuru!$A:$A,"&lt;&gt;"&amp;"",Başvuru!$F:$F,"&lt;&gt;"&amp;""))</f>
        <v>2</v>
      </c>
      <c r="E125" s="159" t="str">
        <f>IF(C125="","-",IF(D125&gt;0,TEXT(D125/(COUNTIFS(Başvuru!$A:$A,"&lt;&gt;",Başvuru!$F:$F,"&lt;&gt;")-1)*100,"0.0")&amp;"%","-"))</f>
        <v>00%</v>
      </c>
      <c r="F125" s="162">
        <f>IF(C125="","",COUNTIFS(Başvuru!$C:$C,C125,Başvuru!$G:$G,"Bireysel Araştırma",Başvuru!$A:$A,"&lt;&gt;"&amp;"",Başvuru!$F:$F,"&lt;&gt;"&amp;""))</f>
        <v>2</v>
      </c>
      <c r="G125" s="162">
        <f>IF(C125="","",COUNTIFS(Başvuru!$C:$C,C125,Başvuru!$G:$G,"Uzmanlık Tezi",Başvuru!$A:$A,"&lt;&gt;"&amp;"",Başvuru!$F:$F,"&lt;&gt;"&amp;""))</f>
        <v>0</v>
      </c>
      <c r="H125" s="162">
        <f>IF(C125="","",COUNTIFS(Başvuru!$C:$C,C125,Başvuru!$G:$G,"Doktora Tezi",Başvuru!$A:$A,"&lt;&gt;"&amp;"",Başvuru!$F:$F,"&lt;&gt;"&amp;""))</f>
        <v>0</v>
      </c>
      <c r="I125" s="162">
        <f>IF(C125="","",COUNTIFS(Başvuru!$C:$C,C125,Başvuru!$G:$G,"Yüksek Lisans Tezi",Başvuru!$A:$A,"&lt;&gt;"&amp;"",Başvuru!$F:$F,"&lt;&gt;"&amp;""))</f>
        <v>0</v>
      </c>
      <c r="J125" s="163">
        <f>IF(C125="","",COUNTIFS(Başvuru!$C:$C,C125,Başvuru!$L:$L,"ONAY",Başvuru!$A:$A,"&lt;&gt;"&amp;"",Başvuru!$F:$F,"&lt;&gt;"&amp;""))</f>
        <v>2</v>
      </c>
      <c r="K125" s="164">
        <f>IF(C125="","",COUNTIFS(Başvuru!$C:$C,C125,Başvuru!$L:$L,"DÜZELTME",Başvuru!$A:$A,"&lt;&gt;"&amp;"",Başvuru!$F:$F,"&lt;&gt;"&amp;""))</f>
        <v>0</v>
      </c>
      <c r="L125" s="165">
        <f>IF(C125="","",COUNTIFS(Başvuru!$C:$C,C125,Başvuru!$L:$L,"KAEK",Başvuru!$A:$A,"&lt;&gt;"&amp;"",Başvuru!$F:$F,"&lt;&gt;"&amp;""))</f>
        <v>0</v>
      </c>
      <c r="M125" s="166">
        <f>IF(C125="","",COUNTIFS(Başvuru!$C:$C,C125,Başvuru!$L:$L,"GÖRÜŞ",Başvuru!$A:$A,"&lt;&gt;"&amp;"",Başvuru!$F:$F,"&lt;&gt;"&amp;""))</f>
        <v>0</v>
      </c>
      <c r="N125" s="167">
        <f>IF(C125="","",COUNTIFS(Başvuru!$C:$C,C125,Başvuru!$L:$L,"RET",Başvuru!$A:$A,"&lt;&gt;"&amp;"",Başvuru!$F:$F,"&lt;&gt;"&amp;""))</f>
        <v>0</v>
      </c>
      <c r="O125" s="168">
        <f>IF(C125="","",COUNTIFS(Başvuru!$C:$C,C125,Başvuru!$L:$L,"KAPSAM DIŞI",Başvuru!$A:$A,"&lt;&gt;"&amp;"",Başvuru!$F:$F,"&lt;&gt;"&amp;""))</f>
        <v>0</v>
      </c>
      <c r="P125" s="169">
        <f>IF(C125="","",COUNTIFS(Başvuru!$C:$C,C125,Başvuru!$L:$L,"GERİ ÇEKİLDİ",Başvuru!$A:$A,"&lt;&gt;"&amp;"",Başvuru!$F:$F,"&lt;&gt;"&amp;""))</f>
        <v>0</v>
      </c>
      <c r="Q125" s="170" t="str">
        <f t="array" ref="Q125">IFERROR(INDEX(Başvuru!$C$2:$C$3000, MATCH(0, COUNTIF($Q$5:Q124, Başvuru!$C$2:$C$3000) + IF(Başvuru!$C$2:$C$3000="",1,0), 0)), "")</f>
        <v>Doç. Dr. Hilal KORKMAZ</v>
      </c>
      <c r="R125" s="171">
        <f>IF(Q125="","",COUNTIFS(Başvuru!$C:$C,Q125,Başvuru!$A:$A,"&lt;&gt;"&amp;"",Başvuru!$F:$F,"&lt;&gt;"&amp;""))</f>
        <v>1</v>
      </c>
      <c r="S125" s="171">
        <f>IF(R125="","",RANK(R125,$R$6:$R$505,0)+COUNTIF($R$6:R125,R125)-1)</f>
        <v>193</v>
      </c>
    </row>
    <row r="126" spans="2:19" ht="23.25" customHeight="1" x14ac:dyDescent="0.25">
      <c r="B126" s="159">
        <v>121</v>
      </c>
      <c r="C126" s="160" t="str">
        <f>IFERROR(INDEX($Q$6:$Q$505,MATCH(121,$S$6:$S$505,0)),"")</f>
        <v>Prof. Dr. Ali Rıza TÜMER</v>
      </c>
      <c r="D126" s="161">
        <f>IF(C126="","",COUNTIFS(Başvuru!$C:$C,C126,Başvuru!$A:$A,"&lt;&gt;"&amp;"",Başvuru!$F:$F,"&lt;&gt;"&amp;""))</f>
        <v>2</v>
      </c>
      <c r="E126" s="159" t="str">
        <f>IF(C126="","-",IF(D126&gt;0,TEXT(D126/(COUNTIFS(Başvuru!$A:$A,"&lt;&gt;",Başvuru!$F:$F,"&lt;&gt;")-1)*100,"0.0")&amp;"%","-"))</f>
        <v>00%</v>
      </c>
      <c r="F126" s="162">
        <f>IF(C126="","",COUNTIFS(Başvuru!$C:$C,C126,Başvuru!$G:$G,"Bireysel Araştırma",Başvuru!$A:$A,"&lt;&gt;"&amp;"",Başvuru!$F:$F,"&lt;&gt;"&amp;""))</f>
        <v>1</v>
      </c>
      <c r="G126" s="162">
        <f>IF(C126="","",COUNTIFS(Başvuru!$C:$C,C126,Başvuru!$G:$G,"Uzmanlık Tezi",Başvuru!$A:$A,"&lt;&gt;"&amp;"",Başvuru!$F:$F,"&lt;&gt;"&amp;""))</f>
        <v>1</v>
      </c>
      <c r="H126" s="162">
        <f>IF(C126="","",COUNTIFS(Başvuru!$C:$C,C126,Başvuru!$G:$G,"Doktora Tezi",Başvuru!$A:$A,"&lt;&gt;"&amp;"",Başvuru!$F:$F,"&lt;&gt;"&amp;""))</f>
        <v>0</v>
      </c>
      <c r="I126" s="162">
        <f>IF(C126="","",COUNTIFS(Başvuru!$C:$C,C126,Başvuru!$G:$G,"Yüksek Lisans Tezi",Başvuru!$A:$A,"&lt;&gt;"&amp;"",Başvuru!$F:$F,"&lt;&gt;"&amp;""))</f>
        <v>0</v>
      </c>
      <c r="J126" s="163">
        <f>IF(C126="","",COUNTIFS(Başvuru!$C:$C,C126,Başvuru!$L:$L,"ONAY",Başvuru!$A:$A,"&lt;&gt;"&amp;"",Başvuru!$F:$F,"&lt;&gt;"&amp;""))</f>
        <v>2</v>
      </c>
      <c r="K126" s="164">
        <f>IF(C126="","",COUNTIFS(Başvuru!$C:$C,C126,Başvuru!$L:$L,"DÜZELTME",Başvuru!$A:$A,"&lt;&gt;"&amp;"",Başvuru!$F:$F,"&lt;&gt;"&amp;""))</f>
        <v>0</v>
      </c>
      <c r="L126" s="165">
        <f>IF(C126="","",COUNTIFS(Başvuru!$C:$C,C126,Başvuru!$L:$L,"KAEK",Başvuru!$A:$A,"&lt;&gt;"&amp;"",Başvuru!$F:$F,"&lt;&gt;"&amp;""))</f>
        <v>0</v>
      </c>
      <c r="M126" s="166">
        <f>IF(C126="","",COUNTIFS(Başvuru!$C:$C,C126,Başvuru!$L:$L,"GÖRÜŞ",Başvuru!$A:$A,"&lt;&gt;"&amp;"",Başvuru!$F:$F,"&lt;&gt;"&amp;""))</f>
        <v>0</v>
      </c>
      <c r="N126" s="167">
        <f>IF(C126="","",COUNTIFS(Başvuru!$C:$C,C126,Başvuru!$L:$L,"RET",Başvuru!$A:$A,"&lt;&gt;"&amp;"",Başvuru!$F:$F,"&lt;&gt;"&amp;""))</f>
        <v>0</v>
      </c>
      <c r="O126" s="168">
        <f>IF(C126="","",COUNTIFS(Başvuru!$C:$C,C126,Başvuru!$L:$L,"KAPSAM DIŞI",Başvuru!$A:$A,"&lt;&gt;"&amp;"",Başvuru!$F:$F,"&lt;&gt;"&amp;""))</f>
        <v>0</v>
      </c>
      <c r="P126" s="169">
        <f>IF(C126="","",COUNTIFS(Başvuru!$C:$C,C126,Başvuru!$L:$L,"GERİ ÇEKİLDİ",Başvuru!$A:$A,"&lt;&gt;"&amp;"",Başvuru!$F:$F,"&lt;&gt;"&amp;""))</f>
        <v>0</v>
      </c>
      <c r="Q126" s="170" t="str">
        <f t="array" ref="Q126">IFERROR(INDEX(Başvuru!$C$2:$C$3000, MATCH(0, COUNTIF($Q$5:Q125, Başvuru!$C$2:$C$3000) + IF(Başvuru!$C$2:$C$3000="",1,0), 0)), "")</f>
        <v>Doç. Dr. Derman BAŞARAN</v>
      </c>
      <c r="R126" s="171">
        <f>IF(Q126="","",COUNTIFS(Başvuru!$C:$C,Q126,Başvuru!$A:$A,"&lt;&gt;"&amp;"",Başvuru!$F:$F,"&lt;&gt;"&amp;""))</f>
        <v>1</v>
      </c>
      <c r="S126" s="171">
        <f>IF(R126="","",RANK(R126,$R$6:$R$505,0)+COUNTIF($R$6:R126,R126)-1)</f>
        <v>194</v>
      </c>
    </row>
    <row r="127" spans="2:19" ht="23.25" customHeight="1" x14ac:dyDescent="0.25">
      <c r="B127" s="159">
        <v>122</v>
      </c>
      <c r="C127" s="160" t="str">
        <f>IFERROR(INDEX($Q$6:$Q$505,MATCH(122,$S$6:$S$505,0)),"")</f>
        <v>Prof. Dr. İnci Nur SALTIK</v>
      </c>
      <c r="D127" s="161">
        <f>IF(C127="","",COUNTIFS(Başvuru!$C:$C,C127,Başvuru!$A:$A,"&lt;&gt;"&amp;"",Başvuru!$F:$F,"&lt;&gt;"&amp;""))</f>
        <v>2</v>
      </c>
      <c r="E127" s="159" t="str">
        <f>IF(C127="","-",IF(D127&gt;0,TEXT(D127/(COUNTIFS(Başvuru!$A:$A,"&lt;&gt;",Başvuru!$F:$F,"&lt;&gt;")-1)*100,"0.0")&amp;"%","-"))</f>
        <v>00%</v>
      </c>
      <c r="F127" s="162">
        <f>IF(C127="","",COUNTIFS(Başvuru!$C:$C,C127,Başvuru!$G:$G,"Bireysel Araştırma",Başvuru!$A:$A,"&lt;&gt;"&amp;"",Başvuru!$F:$F,"&lt;&gt;"&amp;""))</f>
        <v>2</v>
      </c>
      <c r="G127" s="162">
        <f>IF(C127="","",COUNTIFS(Başvuru!$C:$C,C127,Başvuru!$G:$G,"Uzmanlık Tezi",Başvuru!$A:$A,"&lt;&gt;"&amp;"",Başvuru!$F:$F,"&lt;&gt;"&amp;""))</f>
        <v>0</v>
      </c>
      <c r="H127" s="162">
        <f>IF(C127="","",COUNTIFS(Başvuru!$C:$C,C127,Başvuru!$G:$G,"Doktora Tezi",Başvuru!$A:$A,"&lt;&gt;"&amp;"",Başvuru!$F:$F,"&lt;&gt;"&amp;""))</f>
        <v>0</v>
      </c>
      <c r="I127" s="162">
        <f>IF(C127="","",COUNTIFS(Başvuru!$C:$C,C127,Başvuru!$G:$G,"Yüksek Lisans Tezi",Başvuru!$A:$A,"&lt;&gt;"&amp;"",Başvuru!$F:$F,"&lt;&gt;"&amp;""))</f>
        <v>0</v>
      </c>
      <c r="J127" s="163">
        <f>IF(C127="","",COUNTIFS(Başvuru!$C:$C,C127,Başvuru!$L:$L,"ONAY",Başvuru!$A:$A,"&lt;&gt;"&amp;"",Başvuru!$F:$F,"&lt;&gt;"&amp;""))</f>
        <v>1</v>
      </c>
      <c r="K127" s="164">
        <f>IF(C127="","",COUNTIFS(Başvuru!$C:$C,C127,Başvuru!$L:$L,"DÜZELTME",Başvuru!$A:$A,"&lt;&gt;"&amp;"",Başvuru!$F:$F,"&lt;&gt;"&amp;""))</f>
        <v>1</v>
      </c>
      <c r="L127" s="165">
        <f>IF(C127="","",COUNTIFS(Başvuru!$C:$C,C127,Başvuru!$L:$L,"KAEK",Başvuru!$A:$A,"&lt;&gt;"&amp;"",Başvuru!$F:$F,"&lt;&gt;"&amp;""))</f>
        <v>0</v>
      </c>
      <c r="M127" s="166">
        <f>IF(C127="","",COUNTIFS(Başvuru!$C:$C,C127,Başvuru!$L:$L,"GÖRÜŞ",Başvuru!$A:$A,"&lt;&gt;"&amp;"",Başvuru!$F:$F,"&lt;&gt;"&amp;""))</f>
        <v>0</v>
      </c>
      <c r="N127" s="167">
        <f>IF(C127="","",COUNTIFS(Başvuru!$C:$C,C127,Başvuru!$L:$L,"RET",Başvuru!$A:$A,"&lt;&gt;"&amp;"",Başvuru!$F:$F,"&lt;&gt;"&amp;""))</f>
        <v>0</v>
      </c>
      <c r="O127" s="168">
        <f>IF(C127="","",COUNTIFS(Başvuru!$C:$C,C127,Başvuru!$L:$L,"KAPSAM DIŞI",Başvuru!$A:$A,"&lt;&gt;"&amp;"",Başvuru!$F:$F,"&lt;&gt;"&amp;""))</f>
        <v>0</v>
      </c>
      <c r="P127" s="169">
        <f>IF(C127="","",COUNTIFS(Başvuru!$C:$C,C127,Başvuru!$L:$L,"GERİ ÇEKİLDİ",Başvuru!$A:$A,"&lt;&gt;"&amp;"",Başvuru!$F:$F,"&lt;&gt;"&amp;""))</f>
        <v>0</v>
      </c>
      <c r="Q127" s="170" t="str">
        <f t="array" ref="Q127">IFERROR(INDEX(Başvuru!$C$2:$C$3000, MATCH(0, COUNTIF($Q$5:Q126, Başvuru!$C$2:$C$3000) + IF(Başvuru!$C$2:$C$3000="",1,0), 0)), "")</f>
        <v>Doç. Dr. Duygu GÜLSEREN</v>
      </c>
      <c r="R127" s="171">
        <f>IF(Q127="","",COUNTIFS(Başvuru!$C:$C,Q127,Başvuru!$A:$A,"&lt;&gt;"&amp;"",Başvuru!$F:$F,"&lt;&gt;"&amp;""))</f>
        <v>2</v>
      </c>
      <c r="S127" s="171">
        <f>IF(R127="","",RANK(R127,$R$6:$R$505,0)+COUNTIF($R$6:R127,R127)-1)</f>
        <v>105</v>
      </c>
    </row>
    <row r="128" spans="2:19" ht="23.25" customHeight="1" x14ac:dyDescent="0.25">
      <c r="B128" s="159">
        <v>123</v>
      </c>
      <c r="C128" s="160" t="str">
        <f>IFERROR(INDEX($Q$6:$Q$505,MATCH(123,$S$6:$S$505,0)),"")</f>
        <v>Doç. Dr. Oğuz Abdullah UYAROĞLU</v>
      </c>
      <c r="D128" s="161">
        <f>IF(C128="","",COUNTIFS(Başvuru!$C:$C,C128,Başvuru!$A:$A,"&lt;&gt;"&amp;"",Başvuru!$F:$F,"&lt;&gt;"&amp;""))</f>
        <v>2</v>
      </c>
      <c r="E128" s="159" t="str">
        <f>IF(C128="","-",IF(D128&gt;0,TEXT(D128/(COUNTIFS(Başvuru!$A:$A,"&lt;&gt;",Başvuru!$F:$F,"&lt;&gt;")-1)*100,"0.0")&amp;"%","-"))</f>
        <v>00%</v>
      </c>
      <c r="F128" s="162">
        <f>IF(C128="","",COUNTIFS(Başvuru!$C:$C,C128,Başvuru!$G:$G,"Bireysel Araştırma",Başvuru!$A:$A,"&lt;&gt;"&amp;"",Başvuru!$F:$F,"&lt;&gt;"&amp;""))</f>
        <v>2</v>
      </c>
      <c r="G128" s="162">
        <f>IF(C128="","",COUNTIFS(Başvuru!$C:$C,C128,Başvuru!$G:$G,"Uzmanlık Tezi",Başvuru!$A:$A,"&lt;&gt;"&amp;"",Başvuru!$F:$F,"&lt;&gt;"&amp;""))</f>
        <v>0</v>
      </c>
      <c r="H128" s="162">
        <f>IF(C128="","",COUNTIFS(Başvuru!$C:$C,C128,Başvuru!$G:$G,"Doktora Tezi",Başvuru!$A:$A,"&lt;&gt;"&amp;"",Başvuru!$F:$F,"&lt;&gt;"&amp;""))</f>
        <v>0</v>
      </c>
      <c r="I128" s="162">
        <f>IF(C128="","",COUNTIFS(Başvuru!$C:$C,C128,Başvuru!$G:$G,"Yüksek Lisans Tezi",Başvuru!$A:$A,"&lt;&gt;"&amp;"",Başvuru!$F:$F,"&lt;&gt;"&amp;""))</f>
        <v>0</v>
      </c>
      <c r="J128" s="163">
        <f>IF(C128="","",COUNTIFS(Başvuru!$C:$C,C128,Başvuru!$L:$L,"ONAY",Başvuru!$A:$A,"&lt;&gt;"&amp;"",Başvuru!$F:$F,"&lt;&gt;"&amp;""))</f>
        <v>1</v>
      </c>
      <c r="K128" s="164">
        <f>IF(C128="","",COUNTIFS(Başvuru!$C:$C,C128,Başvuru!$L:$L,"DÜZELTME",Başvuru!$A:$A,"&lt;&gt;"&amp;"",Başvuru!$F:$F,"&lt;&gt;"&amp;""))</f>
        <v>1</v>
      </c>
      <c r="L128" s="165">
        <f>IF(C128="","",COUNTIFS(Başvuru!$C:$C,C128,Başvuru!$L:$L,"KAEK",Başvuru!$A:$A,"&lt;&gt;"&amp;"",Başvuru!$F:$F,"&lt;&gt;"&amp;""))</f>
        <v>0</v>
      </c>
      <c r="M128" s="166">
        <f>IF(C128="","",COUNTIFS(Başvuru!$C:$C,C128,Başvuru!$L:$L,"GÖRÜŞ",Başvuru!$A:$A,"&lt;&gt;"&amp;"",Başvuru!$F:$F,"&lt;&gt;"&amp;""))</f>
        <v>0</v>
      </c>
      <c r="N128" s="167">
        <f>IF(C128="","",COUNTIFS(Başvuru!$C:$C,C128,Başvuru!$L:$L,"RET",Başvuru!$A:$A,"&lt;&gt;"&amp;"",Başvuru!$F:$F,"&lt;&gt;"&amp;""))</f>
        <v>0</v>
      </c>
      <c r="O128" s="168">
        <f>IF(C128="","",COUNTIFS(Başvuru!$C:$C,C128,Başvuru!$L:$L,"KAPSAM DIŞI",Başvuru!$A:$A,"&lt;&gt;"&amp;"",Başvuru!$F:$F,"&lt;&gt;"&amp;""))</f>
        <v>0</v>
      </c>
      <c r="P128" s="169">
        <f>IF(C128="","",COUNTIFS(Başvuru!$C:$C,C128,Başvuru!$L:$L,"GERİ ÇEKİLDİ",Başvuru!$A:$A,"&lt;&gt;"&amp;"",Başvuru!$F:$F,"&lt;&gt;"&amp;""))</f>
        <v>0</v>
      </c>
      <c r="Q128" s="170" t="str">
        <f t="array" ref="Q128">IFERROR(INDEX(Başvuru!$C$2:$C$3000, MATCH(0, COUNTIF($Q$5:Q127, Başvuru!$C$2:$C$3000) + IF(Başvuru!$C$2:$C$3000="",1,0), 0)), "")</f>
        <v>Prof. Dr. Egemen TURHAN</v>
      </c>
      <c r="R128" s="171">
        <f>IF(Q128="","",COUNTIFS(Başvuru!$C:$C,Q128,Başvuru!$A:$A,"&lt;&gt;"&amp;"",Başvuru!$F:$F,"&lt;&gt;"&amp;""))</f>
        <v>1</v>
      </c>
      <c r="S128" s="171">
        <f>IF(R128="","",RANK(R128,$R$6:$R$505,0)+COUNTIF($R$6:R128,R128)-1)</f>
        <v>195</v>
      </c>
    </row>
    <row r="129" spans="2:19" ht="23.25" customHeight="1" x14ac:dyDescent="0.25">
      <c r="B129" s="159">
        <v>124</v>
      </c>
      <c r="C129" s="160" t="str">
        <f>IFERROR(INDEX($Q$6:$Q$505,MATCH(124,$S$6:$S$505,0)),"")</f>
        <v>Prof. Dr. Bilge VOLKAN SALANCI</v>
      </c>
      <c r="D129" s="161">
        <f>IF(C129="","",COUNTIFS(Başvuru!$C:$C,C129,Başvuru!$A:$A,"&lt;&gt;"&amp;"",Başvuru!$F:$F,"&lt;&gt;"&amp;""))</f>
        <v>2</v>
      </c>
      <c r="E129" s="159" t="str">
        <f>IF(C129="","-",IF(D129&gt;0,TEXT(D129/(COUNTIFS(Başvuru!$A:$A,"&lt;&gt;",Başvuru!$F:$F,"&lt;&gt;")-1)*100,"0.0")&amp;"%","-"))</f>
        <v>00%</v>
      </c>
      <c r="F129" s="162">
        <f>IF(C129="","",COUNTIFS(Başvuru!$C:$C,C129,Başvuru!$G:$G,"Bireysel Araştırma",Başvuru!$A:$A,"&lt;&gt;"&amp;"",Başvuru!$F:$F,"&lt;&gt;"&amp;""))</f>
        <v>1</v>
      </c>
      <c r="G129" s="162">
        <f>IF(C129="","",COUNTIFS(Başvuru!$C:$C,C129,Başvuru!$G:$G,"Uzmanlık Tezi",Başvuru!$A:$A,"&lt;&gt;"&amp;"",Başvuru!$F:$F,"&lt;&gt;"&amp;""))</f>
        <v>1</v>
      </c>
      <c r="H129" s="162">
        <f>IF(C129="","",COUNTIFS(Başvuru!$C:$C,C129,Başvuru!$G:$G,"Doktora Tezi",Başvuru!$A:$A,"&lt;&gt;"&amp;"",Başvuru!$F:$F,"&lt;&gt;"&amp;""))</f>
        <v>0</v>
      </c>
      <c r="I129" s="162">
        <f>IF(C129="","",COUNTIFS(Başvuru!$C:$C,C129,Başvuru!$G:$G,"Yüksek Lisans Tezi",Başvuru!$A:$A,"&lt;&gt;"&amp;"",Başvuru!$F:$F,"&lt;&gt;"&amp;""))</f>
        <v>0</v>
      </c>
      <c r="J129" s="163">
        <f>IF(C129="","",COUNTIFS(Başvuru!$C:$C,C129,Başvuru!$L:$L,"ONAY",Başvuru!$A:$A,"&lt;&gt;"&amp;"",Başvuru!$F:$F,"&lt;&gt;"&amp;""))</f>
        <v>2</v>
      </c>
      <c r="K129" s="164">
        <f>IF(C129="","",COUNTIFS(Başvuru!$C:$C,C129,Başvuru!$L:$L,"DÜZELTME",Başvuru!$A:$A,"&lt;&gt;"&amp;"",Başvuru!$F:$F,"&lt;&gt;"&amp;""))</f>
        <v>0</v>
      </c>
      <c r="L129" s="165">
        <f>IF(C129="","",COUNTIFS(Başvuru!$C:$C,C129,Başvuru!$L:$L,"KAEK",Başvuru!$A:$A,"&lt;&gt;"&amp;"",Başvuru!$F:$F,"&lt;&gt;"&amp;""))</f>
        <v>0</v>
      </c>
      <c r="M129" s="166">
        <f>IF(C129="","",COUNTIFS(Başvuru!$C:$C,C129,Başvuru!$L:$L,"GÖRÜŞ",Başvuru!$A:$A,"&lt;&gt;"&amp;"",Başvuru!$F:$F,"&lt;&gt;"&amp;""))</f>
        <v>0</v>
      </c>
      <c r="N129" s="167">
        <f>IF(C129="","",COUNTIFS(Başvuru!$C:$C,C129,Başvuru!$L:$L,"RET",Başvuru!$A:$A,"&lt;&gt;"&amp;"",Başvuru!$F:$F,"&lt;&gt;"&amp;""))</f>
        <v>0</v>
      </c>
      <c r="O129" s="168">
        <f>IF(C129="","",COUNTIFS(Başvuru!$C:$C,C129,Başvuru!$L:$L,"KAPSAM DIŞI",Başvuru!$A:$A,"&lt;&gt;"&amp;"",Başvuru!$F:$F,"&lt;&gt;"&amp;""))</f>
        <v>0</v>
      </c>
      <c r="P129" s="169">
        <f>IF(C129="","",COUNTIFS(Başvuru!$C:$C,C129,Başvuru!$L:$L,"GERİ ÇEKİLDİ",Başvuru!$A:$A,"&lt;&gt;"&amp;"",Başvuru!$F:$F,"&lt;&gt;"&amp;""))</f>
        <v>0</v>
      </c>
      <c r="Q129" s="170" t="str">
        <f t="array" ref="Q129">IFERROR(INDEX(Başvuru!$C$2:$C$3000, MATCH(0, COUNTIF($Q$5:Q128, Başvuru!$C$2:$C$3000) + IF(Başvuru!$C$2:$C$3000="",1,0), 0)), "")</f>
        <v>Prof. Dr. Sevinç SARINÇ</v>
      </c>
      <c r="R129" s="171">
        <f>IF(Q129="","",COUNTIFS(Başvuru!$C:$C,Q129,Başvuru!$A:$A,"&lt;&gt;"&amp;"",Başvuru!$F:$F,"&lt;&gt;"&amp;""))</f>
        <v>1</v>
      </c>
      <c r="S129" s="171">
        <f>IF(R129="","",RANK(R129,$R$6:$R$505,0)+COUNTIF($R$6:R129,R129)-1)</f>
        <v>196</v>
      </c>
    </row>
    <row r="130" spans="2:19" ht="23.25" customHeight="1" x14ac:dyDescent="0.25">
      <c r="B130" s="159">
        <v>125</v>
      </c>
      <c r="C130" s="160" t="str">
        <f>IFERROR(INDEX($Q$6:$Q$505,MATCH(125,$S$6:$S$505,0)),"")</f>
        <v>Doç. Dr. Oytun PORTAKAL AKÇİN</v>
      </c>
      <c r="D130" s="161">
        <f>IF(C130="","",COUNTIFS(Başvuru!$C:$C,C130,Başvuru!$A:$A,"&lt;&gt;"&amp;"",Başvuru!$F:$F,"&lt;&gt;"&amp;""))</f>
        <v>2</v>
      </c>
      <c r="E130" s="159" t="str">
        <f>IF(C130="","-",IF(D130&gt;0,TEXT(D130/(COUNTIFS(Başvuru!$A:$A,"&lt;&gt;",Başvuru!$F:$F,"&lt;&gt;")-1)*100,"0.0")&amp;"%","-"))</f>
        <v>00%</v>
      </c>
      <c r="F130" s="162">
        <f>IF(C130="","",COUNTIFS(Başvuru!$C:$C,C130,Başvuru!$G:$G,"Bireysel Araştırma",Başvuru!$A:$A,"&lt;&gt;"&amp;"",Başvuru!$F:$F,"&lt;&gt;"&amp;""))</f>
        <v>1</v>
      </c>
      <c r="G130" s="162">
        <f>IF(C130="","",COUNTIFS(Başvuru!$C:$C,C130,Başvuru!$G:$G,"Uzmanlık Tezi",Başvuru!$A:$A,"&lt;&gt;"&amp;"",Başvuru!$F:$F,"&lt;&gt;"&amp;""))</f>
        <v>1</v>
      </c>
      <c r="H130" s="162">
        <f>IF(C130="","",COUNTIFS(Başvuru!$C:$C,C130,Başvuru!$G:$G,"Doktora Tezi",Başvuru!$A:$A,"&lt;&gt;"&amp;"",Başvuru!$F:$F,"&lt;&gt;"&amp;""))</f>
        <v>0</v>
      </c>
      <c r="I130" s="162">
        <f>IF(C130="","",COUNTIFS(Başvuru!$C:$C,C130,Başvuru!$G:$G,"Yüksek Lisans Tezi",Başvuru!$A:$A,"&lt;&gt;"&amp;"",Başvuru!$F:$F,"&lt;&gt;"&amp;""))</f>
        <v>0</v>
      </c>
      <c r="J130" s="163">
        <f>IF(C130="","",COUNTIFS(Başvuru!$C:$C,C130,Başvuru!$L:$L,"ONAY",Başvuru!$A:$A,"&lt;&gt;"&amp;"",Başvuru!$F:$F,"&lt;&gt;"&amp;""))</f>
        <v>0</v>
      </c>
      <c r="K130" s="164">
        <f>IF(C130="","",COUNTIFS(Başvuru!$C:$C,C130,Başvuru!$L:$L,"DÜZELTME",Başvuru!$A:$A,"&lt;&gt;"&amp;"",Başvuru!$F:$F,"&lt;&gt;"&amp;""))</f>
        <v>1</v>
      </c>
      <c r="L130" s="165">
        <f>IF(C130="","",COUNTIFS(Başvuru!$C:$C,C130,Başvuru!$L:$L,"KAEK",Başvuru!$A:$A,"&lt;&gt;"&amp;"",Başvuru!$F:$F,"&lt;&gt;"&amp;""))</f>
        <v>0</v>
      </c>
      <c r="M130" s="166">
        <f>IF(C130="","",COUNTIFS(Başvuru!$C:$C,C130,Başvuru!$L:$L,"GÖRÜŞ",Başvuru!$A:$A,"&lt;&gt;"&amp;"",Başvuru!$F:$F,"&lt;&gt;"&amp;""))</f>
        <v>0</v>
      </c>
      <c r="N130" s="167">
        <f>IF(C130="","",COUNTIFS(Başvuru!$C:$C,C130,Başvuru!$L:$L,"RET",Başvuru!$A:$A,"&lt;&gt;"&amp;"",Başvuru!$F:$F,"&lt;&gt;"&amp;""))</f>
        <v>1</v>
      </c>
      <c r="O130" s="168">
        <f>IF(C130="","",COUNTIFS(Başvuru!$C:$C,C130,Başvuru!$L:$L,"KAPSAM DIŞI",Başvuru!$A:$A,"&lt;&gt;"&amp;"",Başvuru!$F:$F,"&lt;&gt;"&amp;""))</f>
        <v>0</v>
      </c>
      <c r="P130" s="169">
        <f>IF(C130="","",COUNTIFS(Başvuru!$C:$C,C130,Başvuru!$L:$L,"GERİ ÇEKİLDİ",Başvuru!$A:$A,"&lt;&gt;"&amp;"",Başvuru!$F:$F,"&lt;&gt;"&amp;""))</f>
        <v>0</v>
      </c>
      <c r="Q130" s="170" t="str">
        <f t="array" ref="Q130">IFERROR(INDEX(Başvuru!$C$2:$C$3000, MATCH(0, COUNTIF($Q$5:Q129, Başvuru!$C$2:$C$3000) + IF(Başvuru!$C$2:$C$3000="",1,0), 0)), "")</f>
        <v>Prof. Dr. Serdar TEKGÜL</v>
      </c>
      <c r="R130" s="171">
        <f>IF(Q130="","",COUNTIFS(Başvuru!$C:$C,Q130,Başvuru!$A:$A,"&lt;&gt;"&amp;"",Başvuru!$F:$F,"&lt;&gt;"&amp;""))</f>
        <v>2</v>
      </c>
      <c r="S130" s="171">
        <f>IF(R130="","",RANK(R130,$R$6:$R$505,0)+COUNTIF($R$6:R130,R130)-1)</f>
        <v>106</v>
      </c>
    </row>
    <row r="131" spans="2:19" ht="23.25" customHeight="1" x14ac:dyDescent="0.25">
      <c r="B131" s="159">
        <v>126</v>
      </c>
      <c r="C131" s="160" t="str">
        <f>IFERROR(INDEX($Q$6:$Q$505,MATCH(126,$S$6:$S$505,0)),"")</f>
        <v>Prof. Dr. Hüseyin Gencay KEÇELİ</v>
      </c>
      <c r="D131" s="161">
        <f>IF(C131="","",COUNTIFS(Başvuru!$C:$C,C131,Başvuru!$A:$A,"&lt;&gt;"&amp;"",Başvuru!$F:$F,"&lt;&gt;"&amp;""))</f>
        <v>2</v>
      </c>
      <c r="E131" s="159" t="str">
        <f>IF(C131="","-",IF(D131&gt;0,TEXT(D131/(COUNTIFS(Başvuru!$A:$A,"&lt;&gt;",Başvuru!$F:$F,"&lt;&gt;")-1)*100,"0.0")&amp;"%","-"))</f>
        <v>00%</v>
      </c>
      <c r="F131" s="162">
        <f>IF(C131="","",COUNTIFS(Başvuru!$C:$C,C131,Başvuru!$G:$G,"Bireysel Araştırma",Başvuru!$A:$A,"&lt;&gt;"&amp;"",Başvuru!$F:$F,"&lt;&gt;"&amp;""))</f>
        <v>1</v>
      </c>
      <c r="G131" s="162">
        <f>IF(C131="","",COUNTIFS(Başvuru!$C:$C,C131,Başvuru!$G:$G,"Uzmanlık Tezi",Başvuru!$A:$A,"&lt;&gt;"&amp;"",Başvuru!$F:$F,"&lt;&gt;"&amp;""))</f>
        <v>1</v>
      </c>
      <c r="H131" s="162">
        <f>IF(C131="","",COUNTIFS(Başvuru!$C:$C,C131,Başvuru!$G:$G,"Doktora Tezi",Başvuru!$A:$A,"&lt;&gt;"&amp;"",Başvuru!$F:$F,"&lt;&gt;"&amp;""))</f>
        <v>0</v>
      </c>
      <c r="I131" s="162">
        <f>IF(C131="","",COUNTIFS(Başvuru!$C:$C,C131,Başvuru!$G:$G,"Yüksek Lisans Tezi",Başvuru!$A:$A,"&lt;&gt;"&amp;"",Başvuru!$F:$F,"&lt;&gt;"&amp;""))</f>
        <v>0</v>
      </c>
      <c r="J131" s="163">
        <f>IF(C131="","",COUNTIFS(Başvuru!$C:$C,C131,Başvuru!$L:$L,"ONAY",Başvuru!$A:$A,"&lt;&gt;"&amp;"",Başvuru!$F:$F,"&lt;&gt;"&amp;""))</f>
        <v>1</v>
      </c>
      <c r="K131" s="164">
        <f>IF(C131="","",COUNTIFS(Başvuru!$C:$C,C131,Başvuru!$L:$L,"DÜZELTME",Başvuru!$A:$A,"&lt;&gt;"&amp;"",Başvuru!$F:$F,"&lt;&gt;"&amp;""))</f>
        <v>1</v>
      </c>
      <c r="L131" s="165">
        <f>IF(C131="","",COUNTIFS(Başvuru!$C:$C,C131,Başvuru!$L:$L,"KAEK",Başvuru!$A:$A,"&lt;&gt;"&amp;"",Başvuru!$F:$F,"&lt;&gt;"&amp;""))</f>
        <v>0</v>
      </c>
      <c r="M131" s="166">
        <f>IF(C131="","",COUNTIFS(Başvuru!$C:$C,C131,Başvuru!$L:$L,"GÖRÜŞ",Başvuru!$A:$A,"&lt;&gt;"&amp;"",Başvuru!$F:$F,"&lt;&gt;"&amp;""))</f>
        <v>0</v>
      </c>
      <c r="N131" s="167">
        <f>IF(C131="","",COUNTIFS(Başvuru!$C:$C,C131,Başvuru!$L:$L,"RET",Başvuru!$A:$A,"&lt;&gt;"&amp;"",Başvuru!$F:$F,"&lt;&gt;"&amp;""))</f>
        <v>0</v>
      </c>
      <c r="O131" s="168">
        <f>IF(C131="","",COUNTIFS(Başvuru!$C:$C,C131,Başvuru!$L:$L,"KAPSAM DIŞI",Başvuru!$A:$A,"&lt;&gt;"&amp;"",Başvuru!$F:$F,"&lt;&gt;"&amp;""))</f>
        <v>0</v>
      </c>
      <c r="P131" s="169">
        <f>IF(C131="","",COUNTIFS(Başvuru!$C:$C,C131,Başvuru!$L:$L,"GERİ ÇEKİLDİ",Başvuru!$A:$A,"&lt;&gt;"&amp;"",Başvuru!$F:$F,"&lt;&gt;"&amp;""))</f>
        <v>0</v>
      </c>
      <c r="Q131" s="170" t="str">
        <f t="array" ref="Q131">IFERROR(INDEX(Başvuru!$C$2:$C$3000, MATCH(0, COUNTIF($Q$5:Q130, Başvuru!$C$2:$C$3000) + IF(Başvuru!$C$2:$C$3000="",1,0), 0)), "")</f>
        <v>Doç. Dr. Mesut ALTAN</v>
      </c>
      <c r="R131" s="171">
        <f>IF(Q131="","",COUNTIFS(Başvuru!$C:$C,Q131,Başvuru!$A:$A,"&lt;&gt;"&amp;"",Başvuru!$F:$F,"&lt;&gt;"&amp;""))</f>
        <v>4</v>
      </c>
      <c r="S131" s="171">
        <f>IF(R131="","",RANK(R131,$R$6:$R$505,0)+COUNTIF($R$6:R131,R131)-1)</f>
        <v>41</v>
      </c>
    </row>
    <row r="132" spans="2:19" ht="23.25" customHeight="1" x14ac:dyDescent="0.25">
      <c r="B132" s="159">
        <v>127</v>
      </c>
      <c r="C132" s="160" t="str">
        <f>IFERROR(INDEX($Q$6:$Q$505,MATCH(127,$S$6:$S$505,0)),"")</f>
        <v>Dr. Öğr. Üyesi Hayri Can ÖZDEN</v>
      </c>
      <c r="D132" s="161">
        <f>IF(C132="","",COUNTIFS(Başvuru!$C:$C,C132,Başvuru!$A:$A,"&lt;&gt;"&amp;"",Başvuru!$F:$F,"&lt;&gt;"&amp;""))</f>
        <v>2</v>
      </c>
      <c r="E132" s="159" t="str">
        <f>IF(C132="","-",IF(D132&gt;0,TEXT(D132/(COUNTIFS(Başvuru!$A:$A,"&lt;&gt;",Başvuru!$F:$F,"&lt;&gt;")-1)*100,"0.0")&amp;"%","-"))</f>
        <v>00%</v>
      </c>
      <c r="F132" s="162">
        <f>IF(C132="","",COUNTIFS(Başvuru!$C:$C,C132,Başvuru!$G:$G,"Bireysel Araştırma",Başvuru!$A:$A,"&lt;&gt;"&amp;"",Başvuru!$F:$F,"&lt;&gt;"&amp;""))</f>
        <v>2</v>
      </c>
      <c r="G132" s="162">
        <f>IF(C132="","",COUNTIFS(Başvuru!$C:$C,C132,Başvuru!$G:$G,"Uzmanlık Tezi",Başvuru!$A:$A,"&lt;&gt;"&amp;"",Başvuru!$F:$F,"&lt;&gt;"&amp;""))</f>
        <v>0</v>
      </c>
      <c r="H132" s="162">
        <f>IF(C132="","",COUNTIFS(Başvuru!$C:$C,C132,Başvuru!$G:$G,"Doktora Tezi",Başvuru!$A:$A,"&lt;&gt;"&amp;"",Başvuru!$F:$F,"&lt;&gt;"&amp;""))</f>
        <v>0</v>
      </c>
      <c r="I132" s="162">
        <f>IF(C132="","",COUNTIFS(Başvuru!$C:$C,C132,Başvuru!$G:$G,"Yüksek Lisans Tezi",Başvuru!$A:$A,"&lt;&gt;"&amp;"",Başvuru!$F:$F,"&lt;&gt;"&amp;""))</f>
        <v>0</v>
      </c>
      <c r="J132" s="163">
        <f>IF(C132="","",COUNTIFS(Başvuru!$C:$C,C132,Başvuru!$L:$L,"ONAY",Başvuru!$A:$A,"&lt;&gt;"&amp;"",Başvuru!$F:$F,"&lt;&gt;"&amp;""))</f>
        <v>0</v>
      </c>
      <c r="K132" s="164">
        <f>IF(C132="","",COUNTIFS(Başvuru!$C:$C,C132,Başvuru!$L:$L,"DÜZELTME",Başvuru!$A:$A,"&lt;&gt;"&amp;"",Başvuru!$F:$F,"&lt;&gt;"&amp;""))</f>
        <v>2</v>
      </c>
      <c r="L132" s="165">
        <f>IF(C132="","",COUNTIFS(Başvuru!$C:$C,C132,Başvuru!$L:$L,"KAEK",Başvuru!$A:$A,"&lt;&gt;"&amp;"",Başvuru!$F:$F,"&lt;&gt;"&amp;""))</f>
        <v>0</v>
      </c>
      <c r="M132" s="166">
        <f>IF(C132="","",COUNTIFS(Başvuru!$C:$C,C132,Başvuru!$L:$L,"GÖRÜŞ",Başvuru!$A:$A,"&lt;&gt;"&amp;"",Başvuru!$F:$F,"&lt;&gt;"&amp;""))</f>
        <v>0</v>
      </c>
      <c r="N132" s="167">
        <f>IF(C132="","",COUNTIFS(Başvuru!$C:$C,C132,Başvuru!$L:$L,"RET",Başvuru!$A:$A,"&lt;&gt;"&amp;"",Başvuru!$F:$F,"&lt;&gt;"&amp;""))</f>
        <v>0</v>
      </c>
      <c r="O132" s="168">
        <f>IF(C132="","",COUNTIFS(Başvuru!$C:$C,C132,Başvuru!$L:$L,"KAPSAM DIŞI",Başvuru!$A:$A,"&lt;&gt;"&amp;"",Başvuru!$F:$F,"&lt;&gt;"&amp;""))</f>
        <v>0</v>
      </c>
      <c r="P132" s="169">
        <f>IF(C132="","",COUNTIFS(Başvuru!$C:$C,C132,Başvuru!$L:$L,"GERİ ÇEKİLDİ",Başvuru!$A:$A,"&lt;&gt;"&amp;"",Başvuru!$F:$F,"&lt;&gt;"&amp;""))</f>
        <v>0</v>
      </c>
      <c r="Q132" s="170" t="str">
        <f t="array" ref="Q132">IFERROR(INDEX(Başvuru!$C$2:$C$3000, MATCH(0, COUNTIF($Q$5:Q131, Başvuru!$C$2:$C$3000) + IF(Başvuru!$C$2:$C$3000="",1,0), 0)), "")</f>
        <v>Doç. Dr. İzzet FİDANCI</v>
      </c>
      <c r="R132" s="171">
        <f>IF(Q132="","",COUNTIFS(Başvuru!$C:$C,Q132,Başvuru!$A:$A,"&lt;&gt;"&amp;"",Başvuru!$F:$F,"&lt;&gt;"&amp;""))</f>
        <v>2</v>
      </c>
      <c r="S132" s="171">
        <f>IF(R132="","",RANK(R132,$R$6:$R$505,0)+COUNTIF($R$6:R132,R132)-1)</f>
        <v>107</v>
      </c>
    </row>
    <row r="133" spans="2:19" ht="23.25" customHeight="1" x14ac:dyDescent="0.25">
      <c r="B133" s="159">
        <v>128</v>
      </c>
      <c r="C133" s="160" t="str">
        <f>IFERROR(INDEX($Q$6:$Q$505,MATCH(128,$S$6:$S$505,0)),"")</f>
        <v>Doç. Dr. Galip Gencay ÜSTÜN</v>
      </c>
      <c r="D133" s="161">
        <f>IF(C133="","",COUNTIFS(Başvuru!$C:$C,C133,Başvuru!$A:$A,"&lt;&gt;"&amp;"",Başvuru!$F:$F,"&lt;&gt;"&amp;""))</f>
        <v>2</v>
      </c>
      <c r="E133" s="159" t="str">
        <f>IF(C133="","-",IF(D133&gt;0,TEXT(D133/(COUNTIFS(Başvuru!$A:$A,"&lt;&gt;",Başvuru!$F:$F,"&lt;&gt;")-1)*100,"0.0")&amp;"%","-"))</f>
        <v>00%</v>
      </c>
      <c r="F133" s="162">
        <f>IF(C133="","",COUNTIFS(Başvuru!$C:$C,C133,Başvuru!$G:$G,"Bireysel Araştırma",Başvuru!$A:$A,"&lt;&gt;"&amp;"",Başvuru!$F:$F,"&lt;&gt;"&amp;""))</f>
        <v>2</v>
      </c>
      <c r="G133" s="162">
        <f>IF(C133="","",COUNTIFS(Başvuru!$C:$C,C133,Başvuru!$G:$G,"Uzmanlık Tezi",Başvuru!$A:$A,"&lt;&gt;"&amp;"",Başvuru!$F:$F,"&lt;&gt;"&amp;""))</f>
        <v>0</v>
      </c>
      <c r="H133" s="162">
        <f>IF(C133="","",COUNTIFS(Başvuru!$C:$C,C133,Başvuru!$G:$G,"Doktora Tezi",Başvuru!$A:$A,"&lt;&gt;"&amp;"",Başvuru!$F:$F,"&lt;&gt;"&amp;""))</f>
        <v>0</v>
      </c>
      <c r="I133" s="162">
        <f>IF(C133="","",COUNTIFS(Başvuru!$C:$C,C133,Başvuru!$G:$G,"Yüksek Lisans Tezi",Başvuru!$A:$A,"&lt;&gt;"&amp;"",Başvuru!$F:$F,"&lt;&gt;"&amp;""))</f>
        <v>0</v>
      </c>
      <c r="J133" s="163">
        <f>IF(C133="","",COUNTIFS(Başvuru!$C:$C,C133,Başvuru!$L:$L,"ONAY",Başvuru!$A:$A,"&lt;&gt;"&amp;"",Başvuru!$F:$F,"&lt;&gt;"&amp;""))</f>
        <v>1</v>
      </c>
      <c r="K133" s="164">
        <f>IF(C133="","",COUNTIFS(Başvuru!$C:$C,C133,Başvuru!$L:$L,"DÜZELTME",Başvuru!$A:$A,"&lt;&gt;"&amp;"",Başvuru!$F:$F,"&lt;&gt;"&amp;""))</f>
        <v>0</v>
      </c>
      <c r="L133" s="165">
        <f>IF(C133="","",COUNTIFS(Başvuru!$C:$C,C133,Başvuru!$L:$L,"KAEK",Başvuru!$A:$A,"&lt;&gt;"&amp;"",Başvuru!$F:$F,"&lt;&gt;"&amp;""))</f>
        <v>1</v>
      </c>
      <c r="M133" s="166">
        <f>IF(C133="","",COUNTIFS(Başvuru!$C:$C,C133,Başvuru!$L:$L,"GÖRÜŞ",Başvuru!$A:$A,"&lt;&gt;"&amp;"",Başvuru!$F:$F,"&lt;&gt;"&amp;""))</f>
        <v>0</v>
      </c>
      <c r="N133" s="167">
        <f>IF(C133="","",COUNTIFS(Başvuru!$C:$C,C133,Başvuru!$L:$L,"RET",Başvuru!$A:$A,"&lt;&gt;"&amp;"",Başvuru!$F:$F,"&lt;&gt;"&amp;""))</f>
        <v>0</v>
      </c>
      <c r="O133" s="168">
        <f>IF(C133="","",COUNTIFS(Başvuru!$C:$C,C133,Başvuru!$L:$L,"KAPSAM DIŞI",Başvuru!$A:$A,"&lt;&gt;"&amp;"",Başvuru!$F:$F,"&lt;&gt;"&amp;""))</f>
        <v>0</v>
      </c>
      <c r="P133" s="169">
        <f>IF(C133="","",COUNTIFS(Başvuru!$C:$C,C133,Başvuru!$L:$L,"GERİ ÇEKİLDİ",Başvuru!$A:$A,"&lt;&gt;"&amp;"",Başvuru!$F:$F,"&lt;&gt;"&amp;""))</f>
        <v>0</v>
      </c>
      <c r="Q133" s="170" t="str">
        <f t="array" ref="Q133">IFERROR(INDEX(Başvuru!$C$2:$C$3000, MATCH(0, COUNTIF($Q$5:Q132, Başvuru!$C$2:$C$3000) + IF(Başvuru!$C$2:$C$3000="",1,0), 0)), "")</f>
        <v>Doç. Dr. Basri GÜLBAKAN</v>
      </c>
      <c r="R133" s="171">
        <f>IF(Q133="","",COUNTIFS(Başvuru!$C:$C,Q133,Başvuru!$A:$A,"&lt;&gt;"&amp;"",Başvuru!$F:$F,"&lt;&gt;"&amp;""))</f>
        <v>1</v>
      </c>
      <c r="S133" s="171">
        <f>IF(R133="","",RANK(R133,$R$6:$R$505,0)+COUNTIF($R$6:R133,R133)-1)</f>
        <v>197</v>
      </c>
    </row>
    <row r="134" spans="2:19" ht="23.25" customHeight="1" x14ac:dyDescent="0.25">
      <c r="B134" s="159">
        <v>129</v>
      </c>
      <c r="C134" s="160" t="str">
        <f>IFERROR(INDEX($Q$6:$Q$505,MATCH(129,$S$6:$S$505,0)),"")</f>
        <v>Doç. Dr. Cem ŞİMŞEK</v>
      </c>
      <c r="D134" s="161">
        <f>IF(C134="","",COUNTIFS(Başvuru!$C:$C,C134,Başvuru!$A:$A,"&lt;&gt;"&amp;"",Başvuru!$F:$F,"&lt;&gt;"&amp;""))</f>
        <v>2</v>
      </c>
      <c r="E134" s="159" t="str">
        <f>IF(C134="","-",IF(D134&gt;0,TEXT(D134/(COUNTIFS(Başvuru!$A:$A,"&lt;&gt;",Başvuru!$F:$F,"&lt;&gt;")-1)*100,"0.0")&amp;"%","-"))</f>
        <v>00%</v>
      </c>
      <c r="F134" s="162">
        <f>IF(C134="","",COUNTIFS(Başvuru!$C:$C,C134,Başvuru!$G:$G,"Bireysel Araştırma",Başvuru!$A:$A,"&lt;&gt;"&amp;"",Başvuru!$F:$F,"&lt;&gt;"&amp;""))</f>
        <v>2</v>
      </c>
      <c r="G134" s="162">
        <f>IF(C134="","",COUNTIFS(Başvuru!$C:$C,C134,Başvuru!$G:$G,"Uzmanlık Tezi",Başvuru!$A:$A,"&lt;&gt;"&amp;"",Başvuru!$F:$F,"&lt;&gt;"&amp;""))</f>
        <v>0</v>
      </c>
      <c r="H134" s="162">
        <f>IF(C134="","",COUNTIFS(Başvuru!$C:$C,C134,Başvuru!$G:$G,"Doktora Tezi",Başvuru!$A:$A,"&lt;&gt;"&amp;"",Başvuru!$F:$F,"&lt;&gt;"&amp;""))</f>
        <v>0</v>
      </c>
      <c r="I134" s="162">
        <f>IF(C134="","",COUNTIFS(Başvuru!$C:$C,C134,Başvuru!$G:$G,"Yüksek Lisans Tezi",Başvuru!$A:$A,"&lt;&gt;"&amp;"",Başvuru!$F:$F,"&lt;&gt;"&amp;""))</f>
        <v>0</v>
      </c>
      <c r="J134" s="163">
        <f>IF(C134="","",COUNTIFS(Başvuru!$C:$C,C134,Başvuru!$L:$L,"ONAY",Başvuru!$A:$A,"&lt;&gt;"&amp;"",Başvuru!$F:$F,"&lt;&gt;"&amp;""))</f>
        <v>0</v>
      </c>
      <c r="K134" s="164">
        <f>IF(C134="","",COUNTIFS(Başvuru!$C:$C,C134,Başvuru!$L:$L,"DÜZELTME",Başvuru!$A:$A,"&lt;&gt;"&amp;"",Başvuru!$F:$F,"&lt;&gt;"&amp;""))</f>
        <v>2</v>
      </c>
      <c r="L134" s="165">
        <f>IF(C134="","",COUNTIFS(Başvuru!$C:$C,C134,Başvuru!$L:$L,"KAEK",Başvuru!$A:$A,"&lt;&gt;"&amp;"",Başvuru!$F:$F,"&lt;&gt;"&amp;""))</f>
        <v>0</v>
      </c>
      <c r="M134" s="166">
        <f>IF(C134="","",COUNTIFS(Başvuru!$C:$C,C134,Başvuru!$L:$L,"GÖRÜŞ",Başvuru!$A:$A,"&lt;&gt;"&amp;"",Başvuru!$F:$F,"&lt;&gt;"&amp;""))</f>
        <v>0</v>
      </c>
      <c r="N134" s="167">
        <f>IF(C134="","",COUNTIFS(Başvuru!$C:$C,C134,Başvuru!$L:$L,"RET",Başvuru!$A:$A,"&lt;&gt;"&amp;"",Başvuru!$F:$F,"&lt;&gt;"&amp;""))</f>
        <v>0</v>
      </c>
      <c r="O134" s="168">
        <f>IF(C134="","",COUNTIFS(Başvuru!$C:$C,C134,Başvuru!$L:$L,"KAPSAM DIŞI",Başvuru!$A:$A,"&lt;&gt;"&amp;"",Başvuru!$F:$F,"&lt;&gt;"&amp;""))</f>
        <v>0</v>
      </c>
      <c r="P134" s="169">
        <f>IF(C134="","",COUNTIFS(Başvuru!$C:$C,C134,Başvuru!$L:$L,"GERİ ÇEKİLDİ",Başvuru!$A:$A,"&lt;&gt;"&amp;"",Başvuru!$F:$F,"&lt;&gt;"&amp;""))</f>
        <v>0</v>
      </c>
      <c r="Q134" s="170" t="str">
        <f t="array" ref="Q134">IFERROR(INDEX(Başvuru!$C$2:$C$3000, MATCH(0, COUNTIF($Q$5:Q133, Başvuru!$C$2:$C$3000) + IF(Başvuru!$C$2:$C$3000="",1,0), 0)), "")</f>
        <v>Dr. Öğr. Üyesi Merva PARLAK</v>
      </c>
      <c r="R134" s="171">
        <f>IF(Q134="","",COUNTIFS(Başvuru!$C:$C,Q134,Başvuru!$A:$A,"&lt;&gt;"&amp;"",Başvuru!$F:$F,"&lt;&gt;"&amp;""))</f>
        <v>1</v>
      </c>
      <c r="S134" s="171">
        <f>IF(R134="","",RANK(R134,$R$6:$R$505,0)+COUNTIF($R$6:R134,R134)-1)</f>
        <v>198</v>
      </c>
    </row>
    <row r="135" spans="2:19" ht="23.25" customHeight="1" x14ac:dyDescent="0.25">
      <c r="B135" s="159">
        <v>130</v>
      </c>
      <c r="C135" s="160" t="str">
        <f>IFERROR(INDEX($Q$6:$Q$505,MATCH(130,$S$6:$S$505,0)),"")</f>
        <v>Prof. Dr. Hakan UZUN</v>
      </c>
      <c r="D135" s="161">
        <f>IF(C135="","",COUNTIFS(Başvuru!$C:$C,C135,Başvuru!$A:$A,"&lt;&gt;"&amp;"",Başvuru!$F:$F,"&lt;&gt;"&amp;""))</f>
        <v>2</v>
      </c>
      <c r="E135" s="159" t="str">
        <f>IF(C135="","-",IF(D135&gt;0,TEXT(D135/(COUNTIFS(Başvuru!$A:$A,"&lt;&gt;",Başvuru!$F:$F,"&lt;&gt;")-1)*100,"0.0")&amp;"%","-"))</f>
        <v>00%</v>
      </c>
      <c r="F135" s="162">
        <f>IF(C135="","",COUNTIFS(Başvuru!$C:$C,C135,Başvuru!$G:$G,"Bireysel Araştırma",Başvuru!$A:$A,"&lt;&gt;"&amp;"",Başvuru!$F:$F,"&lt;&gt;"&amp;""))</f>
        <v>2</v>
      </c>
      <c r="G135" s="162">
        <f>IF(C135="","",COUNTIFS(Başvuru!$C:$C,C135,Başvuru!$G:$G,"Uzmanlık Tezi",Başvuru!$A:$A,"&lt;&gt;"&amp;"",Başvuru!$F:$F,"&lt;&gt;"&amp;""))</f>
        <v>0</v>
      </c>
      <c r="H135" s="162">
        <f>IF(C135="","",COUNTIFS(Başvuru!$C:$C,C135,Başvuru!$G:$G,"Doktora Tezi",Başvuru!$A:$A,"&lt;&gt;"&amp;"",Başvuru!$F:$F,"&lt;&gt;"&amp;""))</f>
        <v>0</v>
      </c>
      <c r="I135" s="162">
        <f>IF(C135="","",COUNTIFS(Başvuru!$C:$C,C135,Başvuru!$G:$G,"Yüksek Lisans Tezi",Başvuru!$A:$A,"&lt;&gt;"&amp;"",Başvuru!$F:$F,"&lt;&gt;"&amp;""))</f>
        <v>0</v>
      </c>
      <c r="J135" s="163">
        <f>IF(C135="","",COUNTIFS(Başvuru!$C:$C,C135,Başvuru!$L:$L,"ONAY",Başvuru!$A:$A,"&lt;&gt;"&amp;"",Başvuru!$F:$F,"&lt;&gt;"&amp;""))</f>
        <v>1</v>
      </c>
      <c r="K135" s="164">
        <f>IF(C135="","",COUNTIFS(Başvuru!$C:$C,C135,Başvuru!$L:$L,"DÜZELTME",Başvuru!$A:$A,"&lt;&gt;"&amp;"",Başvuru!$F:$F,"&lt;&gt;"&amp;""))</f>
        <v>1</v>
      </c>
      <c r="L135" s="165">
        <f>IF(C135="","",COUNTIFS(Başvuru!$C:$C,C135,Başvuru!$L:$L,"KAEK",Başvuru!$A:$A,"&lt;&gt;"&amp;"",Başvuru!$F:$F,"&lt;&gt;"&amp;""))</f>
        <v>0</v>
      </c>
      <c r="M135" s="166">
        <f>IF(C135="","",COUNTIFS(Başvuru!$C:$C,C135,Başvuru!$L:$L,"GÖRÜŞ",Başvuru!$A:$A,"&lt;&gt;"&amp;"",Başvuru!$F:$F,"&lt;&gt;"&amp;""))</f>
        <v>0</v>
      </c>
      <c r="N135" s="167">
        <f>IF(C135="","",COUNTIFS(Başvuru!$C:$C,C135,Başvuru!$L:$L,"RET",Başvuru!$A:$A,"&lt;&gt;"&amp;"",Başvuru!$F:$F,"&lt;&gt;"&amp;""))</f>
        <v>0</v>
      </c>
      <c r="O135" s="168">
        <f>IF(C135="","",COUNTIFS(Başvuru!$C:$C,C135,Başvuru!$L:$L,"KAPSAM DIŞI",Başvuru!$A:$A,"&lt;&gt;"&amp;"",Başvuru!$F:$F,"&lt;&gt;"&amp;""))</f>
        <v>0</v>
      </c>
      <c r="P135" s="169">
        <f>IF(C135="","",COUNTIFS(Başvuru!$C:$C,C135,Başvuru!$L:$L,"GERİ ÇEKİLDİ",Başvuru!$A:$A,"&lt;&gt;"&amp;"",Başvuru!$F:$F,"&lt;&gt;"&amp;""))</f>
        <v>0</v>
      </c>
      <c r="Q135" s="170" t="str">
        <f t="array" ref="Q135">IFERROR(INDEX(Başvuru!$C$2:$C$3000, MATCH(0, COUNTIF($Q$5:Q134, Başvuru!$C$2:$C$3000) + IF(Başvuru!$C$2:$C$3000="",1,0), 0)), "")</f>
        <v>Prof. Dr. Mustafa Barış GÜNCÜ</v>
      </c>
      <c r="R135" s="171">
        <f>IF(Q135="","",COUNTIFS(Başvuru!$C:$C,Q135,Başvuru!$A:$A,"&lt;&gt;"&amp;"",Başvuru!$F:$F,"&lt;&gt;"&amp;""))</f>
        <v>1</v>
      </c>
      <c r="S135" s="171">
        <f>IF(R135="","",RANK(R135,$R$6:$R$505,0)+COUNTIF($R$6:R135,R135)-1)</f>
        <v>199</v>
      </c>
    </row>
    <row r="136" spans="2:19" ht="23.25" customHeight="1" x14ac:dyDescent="0.25">
      <c r="B136" s="159">
        <v>131</v>
      </c>
      <c r="C136" s="160" t="str">
        <f>IFERROR(INDEX($Q$6:$Q$505,MATCH(131,$S$6:$S$505,0)),"")</f>
        <v>Doç. Dr. Eda Ezgi ASLANTAŞ</v>
      </c>
      <c r="D136" s="161">
        <f>IF(C136="","",COUNTIFS(Başvuru!$C:$C,C136,Başvuru!$A:$A,"&lt;&gt;"&amp;"",Başvuru!$F:$F,"&lt;&gt;"&amp;""))</f>
        <v>2</v>
      </c>
      <c r="E136" s="159" t="str">
        <f>IF(C136="","-",IF(D136&gt;0,TEXT(D136/(COUNTIFS(Başvuru!$A:$A,"&lt;&gt;",Başvuru!$F:$F,"&lt;&gt;")-1)*100,"0.0")&amp;"%","-"))</f>
        <v>00%</v>
      </c>
      <c r="F136" s="162">
        <f>IF(C136="","",COUNTIFS(Başvuru!$C:$C,C136,Başvuru!$G:$G,"Bireysel Araştırma",Başvuru!$A:$A,"&lt;&gt;"&amp;"",Başvuru!$F:$F,"&lt;&gt;"&amp;""))</f>
        <v>2</v>
      </c>
      <c r="G136" s="162">
        <f>IF(C136="","",COUNTIFS(Başvuru!$C:$C,C136,Başvuru!$G:$G,"Uzmanlık Tezi",Başvuru!$A:$A,"&lt;&gt;"&amp;"",Başvuru!$F:$F,"&lt;&gt;"&amp;""))</f>
        <v>0</v>
      </c>
      <c r="H136" s="162">
        <f>IF(C136="","",COUNTIFS(Başvuru!$C:$C,C136,Başvuru!$G:$G,"Doktora Tezi",Başvuru!$A:$A,"&lt;&gt;"&amp;"",Başvuru!$F:$F,"&lt;&gt;"&amp;""))</f>
        <v>0</v>
      </c>
      <c r="I136" s="162">
        <f>IF(C136="","",COUNTIFS(Başvuru!$C:$C,C136,Başvuru!$G:$G,"Yüksek Lisans Tezi",Başvuru!$A:$A,"&lt;&gt;"&amp;"",Başvuru!$F:$F,"&lt;&gt;"&amp;""))</f>
        <v>0</v>
      </c>
      <c r="J136" s="163">
        <f>IF(C136="","",COUNTIFS(Başvuru!$C:$C,C136,Başvuru!$L:$L,"ONAY",Başvuru!$A:$A,"&lt;&gt;"&amp;"",Başvuru!$F:$F,"&lt;&gt;"&amp;""))</f>
        <v>2</v>
      </c>
      <c r="K136" s="164">
        <f>IF(C136="","",COUNTIFS(Başvuru!$C:$C,C136,Başvuru!$L:$L,"DÜZELTME",Başvuru!$A:$A,"&lt;&gt;"&amp;"",Başvuru!$F:$F,"&lt;&gt;"&amp;""))</f>
        <v>0</v>
      </c>
      <c r="L136" s="165">
        <f>IF(C136="","",COUNTIFS(Başvuru!$C:$C,C136,Başvuru!$L:$L,"KAEK",Başvuru!$A:$A,"&lt;&gt;"&amp;"",Başvuru!$F:$F,"&lt;&gt;"&amp;""))</f>
        <v>0</v>
      </c>
      <c r="M136" s="166">
        <f>IF(C136="","",COUNTIFS(Başvuru!$C:$C,C136,Başvuru!$L:$L,"GÖRÜŞ",Başvuru!$A:$A,"&lt;&gt;"&amp;"",Başvuru!$F:$F,"&lt;&gt;"&amp;""))</f>
        <v>0</v>
      </c>
      <c r="N136" s="167">
        <f>IF(C136="","",COUNTIFS(Başvuru!$C:$C,C136,Başvuru!$L:$L,"RET",Başvuru!$A:$A,"&lt;&gt;"&amp;"",Başvuru!$F:$F,"&lt;&gt;"&amp;""))</f>
        <v>0</v>
      </c>
      <c r="O136" s="168">
        <f>IF(C136="","",COUNTIFS(Başvuru!$C:$C,C136,Başvuru!$L:$L,"KAPSAM DIŞI",Başvuru!$A:$A,"&lt;&gt;"&amp;"",Başvuru!$F:$F,"&lt;&gt;"&amp;""))</f>
        <v>0</v>
      </c>
      <c r="P136" s="169">
        <f>IF(C136="","",COUNTIFS(Başvuru!$C:$C,C136,Başvuru!$L:$L,"GERİ ÇEKİLDİ",Başvuru!$A:$A,"&lt;&gt;"&amp;"",Başvuru!$F:$F,"&lt;&gt;"&amp;""))</f>
        <v>0</v>
      </c>
      <c r="Q136" s="170" t="str">
        <f t="array" ref="Q136">IFERROR(INDEX(Başvuru!$C$2:$C$3000, MATCH(0, COUNTIF($Q$5:Q135, Başvuru!$C$2:$C$3000) + IF(Başvuru!$C$2:$C$3000="",1,0), 0)), "")</f>
        <v>Dr. Öğr. Üyesi Aybüke USLU TEKCE</v>
      </c>
      <c r="R136" s="171">
        <f>IF(Q136="","",COUNTIFS(Başvuru!$C:$C,Q136,Başvuru!$A:$A,"&lt;&gt;"&amp;"",Başvuru!$F:$F,"&lt;&gt;"&amp;""))</f>
        <v>2</v>
      </c>
      <c r="S136" s="171">
        <f>IF(R136="","",RANK(R136,$R$6:$R$505,0)+COUNTIF($R$6:R136,R136)-1)</f>
        <v>108</v>
      </c>
    </row>
    <row r="137" spans="2:19" ht="23.25" customHeight="1" x14ac:dyDescent="0.25">
      <c r="B137" s="159">
        <v>132</v>
      </c>
      <c r="C137" s="160" t="str">
        <f>IFERROR(INDEX($Q$6:$Q$505,MATCH(132,$S$6:$S$505,0)),"")</f>
        <v>Doç. Dr. Gülçin TELLİ DİZMAN</v>
      </c>
      <c r="D137" s="161">
        <f>IF(C137="","",COUNTIFS(Başvuru!$C:$C,C137,Başvuru!$A:$A,"&lt;&gt;"&amp;"",Başvuru!$F:$F,"&lt;&gt;"&amp;""))</f>
        <v>2</v>
      </c>
      <c r="E137" s="159" t="str">
        <f>IF(C137="","-",IF(D137&gt;0,TEXT(D137/(COUNTIFS(Başvuru!$A:$A,"&lt;&gt;",Başvuru!$F:$F,"&lt;&gt;")-1)*100,"0.0")&amp;"%","-"))</f>
        <v>00%</v>
      </c>
      <c r="F137" s="162">
        <f>IF(C137="","",COUNTIFS(Başvuru!$C:$C,C137,Başvuru!$G:$G,"Bireysel Araştırma",Başvuru!$A:$A,"&lt;&gt;"&amp;"",Başvuru!$F:$F,"&lt;&gt;"&amp;""))</f>
        <v>1</v>
      </c>
      <c r="G137" s="162">
        <f>IF(C137="","",COUNTIFS(Başvuru!$C:$C,C137,Başvuru!$G:$G,"Uzmanlık Tezi",Başvuru!$A:$A,"&lt;&gt;"&amp;"",Başvuru!$F:$F,"&lt;&gt;"&amp;""))</f>
        <v>1</v>
      </c>
      <c r="H137" s="162">
        <f>IF(C137="","",COUNTIFS(Başvuru!$C:$C,C137,Başvuru!$G:$G,"Doktora Tezi",Başvuru!$A:$A,"&lt;&gt;"&amp;"",Başvuru!$F:$F,"&lt;&gt;"&amp;""))</f>
        <v>0</v>
      </c>
      <c r="I137" s="162">
        <f>IF(C137="","",COUNTIFS(Başvuru!$C:$C,C137,Başvuru!$G:$G,"Yüksek Lisans Tezi",Başvuru!$A:$A,"&lt;&gt;"&amp;"",Başvuru!$F:$F,"&lt;&gt;"&amp;""))</f>
        <v>0</v>
      </c>
      <c r="J137" s="163">
        <f>IF(C137="","",COUNTIFS(Başvuru!$C:$C,C137,Başvuru!$L:$L,"ONAY",Başvuru!$A:$A,"&lt;&gt;"&amp;"",Başvuru!$F:$F,"&lt;&gt;"&amp;""))</f>
        <v>2</v>
      </c>
      <c r="K137" s="164">
        <f>IF(C137="","",COUNTIFS(Başvuru!$C:$C,C137,Başvuru!$L:$L,"DÜZELTME",Başvuru!$A:$A,"&lt;&gt;"&amp;"",Başvuru!$F:$F,"&lt;&gt;"&amp;""))</f>
        <v>0</v>
      </c>
      <c r="L137" s="165">
        <f>IF(C137="","",COUNTIFS(Başvuru!$C:$C,C137,Başvuru!$L:$L,"KAEK",Başvuru!$A:$A,"&lt;&gt;"&amp;"",Başvuru!$F:$F,"&lt;&gt;"&amp;""))</f>
        <v>0</v>
      </c>
      <c r="M137" s="166">
        <f>IF(C137="","",COUNTIFS(Başvuru!$C:$C,C137,Başvuru!$L:$L,"GÖRÜŞ",Başvuru!$A:$A,"&lt;&gt;"&amp;"",Başvuru!$F:$F,"&lt;&gt;"&amp;""))</f>
        <v>0</v>
      </c>
      <c r="N137" s="167">
        <f>IF(C137="","",COUNTIFS(Başvuru!$C:$C,C137,Başvuru!$L:$L,"RET",Başvuru!$A:$A,"&lt;&gt;"&amp;"",Başvuru!$F:$F,"&lt;&gt;"&amp;""))</f>
        <v>0</v>
      </c>
      <c r="O137" s="168">
        <f>IF(C137="","",COUNTIFS(Başvuru!$C:$C,C137,Başvuru!$L:$L,"KAPSAM DIŞI",Başvuru!$A:$A,"&lt;&gt;"&amp;"",Başvuru!$F:$F,"&lt;&gt;"&amp;""))</f>
        <v>0</v>
      </c>
      <c r="P137" s="169">
        <f>IF(C137="","",COUNTIFS(Başvuru!$C:$C,C137,Başvuru!$L:$L,"GERİ ÇEKİLDİ",Başvuru!$A:$A,"&lt;&gt;"&amp;"",Başvuru!$F:$F,"&lt;&gt;"&amp;""))</f>
        <v>0</v>
      </c>
      <c r="Q137" s="170" t="str">
        <f t="array" ref="Q137">IFERROR(INDEX(Başvuru!$C$2:$C$3000, MATCH(0, COUNTIF($Q$5:Q136, Başvuru!$C$2:$C$3000) + IF(Başvuru!$C$2:$C$3000="",1,0), 0)), "")</f>
        <v>Dr. Öğr. Üyesi Muhammed Çağrı KÜLEKCİ</v>
      </c>
      <c r="R137" s="171">
        <f>IF(Q137="","",COUNTIFS(Başvuru!$C:$C,Q137,Başvuru!$A:$A,"&lt;&gt;"&amp;"",Başvuru!$F:$F,"&lt;&gt;"&amp;""))</f>
        <v>2</v>
      </c>
      <c r="S137" s="171">
        <f>IF(R137="","",RANK(R137,$R$6:$R$505,0)+COUNTIF($R$6:R137,R137)-1)</f>
        <v>109</v>
      </c>
    </row>
    <row r="138" spans="2:19" ht="23.25" customHeight="1" x14ac:dyDescent="0.25">
      <c r="B138" s="159">
        <v>133</v>
      </c>
      <c r="C138" s="160" t="str">
        <f>IFERROR(INDEX($Q$6:$Q$505,MATCH(133,$S$6:$S$505,0)),"")</f>
        <v>Doç. Dr. Barış SEZER</v>
      </c>
      <c r="D138" s="161">
        <f>IF(C138="","",COUNTIFS(Başvuru!$C:$C,C138,Başvuru!$A:$A,"&lt;&gt;"&amp;"",Başvuru!$F:$F,"&lt;&gt;"&amp;""))</f>
        <v>2</v>
      </c>
      <c r="E138" s="159" t="str">
        <f>IF(C138="","-",IF(D138&gt;0,TEXT(D138/(COUNTIFS(Başvuru!$A:$A,"&lt;&gt;",Başvuru!$F:$F,"&lt;&gt;")-1)*100,"0.0")&amp;"%","-"))</f>
        <v>00%</v>
      </c>
      <c r="F138" s="162">
        <f>IF(C138="","",COUNTIFS(Başvuru!$C:$C,C138,Başvuru!$G:$G,"Bireysel Araştırma",Başvuru!$A:$A,"&lt;&gt;"&amp;"",Başvuru!$F:$F,"&lt;&gt;"&amp;""))</f>
        <v>1</v>
      </c>
      <c r="G138" s="162">
        <f>IF(C138="","",COUNTIFS(Başvuru!$C:$C,C138,Başvuru!$G:$G,"Uzmanlık Tezi",Başvuru!$A:$A,"&lt;&gt;"&amp;"",Başvuru!$F:$F,"&lt;&gt;"&amp;""))</f>
        <v>0</v>
      </c>
      <c r="H138" s="162">
        <f>IF(C138="","",COUNTIFS(Başvuru!$C:$C,C138,Başvuru!$G:$G,"Doktora Tezi",Başvuru!$A:$A,"&lt;&gt;"&amp;"",Başvuru!$F:$F,"&lt;&gt;"&amp;""))</f>
        <v>1</v>
      </c>
      <c r="I138" s="162">
        <f>IF(C138="","",COUNTIFS(Başvuru!$C:$C,C138,Başvuru!$G:$G,"Yüksek Lisans Tezi",Başvuru!$A:$A,"&lt;&gt;"&amp;"",Başvuru!$F:$F,"&lt;&gt;"&amp;""))</f>
        <v>0</v>
      </c>
      <c r="J138" s="163">
        <f>IF(C138="","",COUNTIFS(Başvuru!$C:$C,C138,Başvuru!$L:$L,"ONAY",Başvuru!$A:$A,"&lt;&gt;"&amp;"",Başvuru!$F:$F,"&lt;&gt;"&amp;""))</f>
        <v>2</v>
      </c>
      <c r="K138" s="164">
        <f>IF(C138="","",COUNTIFS(Başvuru!$C:$C,C138,Başvuru!$L:$L,"DÜZELTME",Başvuru!$A:$A,"&lt;&gt;"&amp;"",Başvuru!$F:$F,"&lt;&gt;"&amp;""))</f>
        <v>0</v>
      </c>
      <c r="L138" s="165">
        <f>IF(C138="","",COUNTIFS(Başvuru!$C:$C,C138,Başvuru!$L:$L,"KAEK",Başvuru!$A:$A,"&lt;&gt;"&amp;"",Başvuru!$F:$F,"&lt;&gt;"&amp;""))</f>
        <v>0</v>
      </c>
      <c r="M138" s="166">
        <f>IF(C138="","",COUNTIFS(Başvuru!$C:$C,C138,Başvuru!$L:$L,"GÖRÜŞ",Başvuru!$A:$A,"&lt;&gt;"&amp;"",Başvuru!$F:$F,"&lt;&gt;"&amp;""))</f>
        <v>0</v>
      </c>
      <c r="N138" s="167">
        <f>IF(C138="","",COUNTIFS(Başvuru!$C:$C,C138,Başvuru!$L:$L,"RET",Başvuru!$A:$A,"&lt;&gt;"&amp;"",Başvuru!$F:$F,"&lt;&gt;"&amp;""))</f>
        <v>0</v>
      </c>
      <c r="O138" s="168">
        <f>IF(C138="","",COUNTIFS(Başvuru!$C:$C,C138,Başvuru!$L:$L,"KAPSAM DIŞI",Başvuru!$A:$A,"&lt;&gt;"&amp;"",Başvuru!$F:$F,"&lt;&gt;"&amp;""))</f>
        <v>0</v>
      </c>
      <c r="P138" s="169">
        <f>IF(C138="","",COUNTIFS(Başvuru!$C:$C,C138,Başvuru!$L:$L,"GERİ ÇEKİLDİ",Başvuru!$A:$A,"&lt;&gt;"&amp;"",Başvuru!$F:$F,"&lt;&gt;"&amp;""))</f>
        <v>0</v>
      </c>
      <c r="Q138" s="170" t="str">
        <f t="array" ref="Q138">IFERROR(INDEX(Başvuru!$C$2:$C$3000, MATCH(0, COUNTIF($Q$5:Q137, Başvuru!$C$2:$C$3000) + IF(Başvuru!$C$2:$C$3000="",1,0), 0)), "")</f>
        <v>Doç. Dr. Tekin AKSU</v>
      </c>
      <c r="R138" s="171">
        <f>IF(Q138="","",COUNTIFS(Başvuru!$C:$C,Q138,Başvuru!$A:$A,"&lt;&gt;"&amp;"",Başvuru!$F:$F,"&lt;&gt;"&amp;""))</f>
        <v>3</v>
      </c>
      <c r="S138" s="171">
        <f>IF(R138="","",RANK(R138,$R$6:$R$505,0)+COUNTIF($R$6:R138,R138)-1)</f>
        <v>63</v>
      </c>
    </row>
    <row r="139" spans="2:19" ht="23.25" customHeight="1" x14ac:dyDescent="0.25">
      <c r="B139" s="159">
        <v>134</v>
      </c>
      <c r="C139" s="160" t="str">
        <f>IFERROR(INDEX($Q$6:$Q$505,MATCH(134,$S$6:$S$505,0)),"")</f>
        <v>Prof. Dr. Şevket Murat ÖZBEK</v>
      </c>
      <c r="D139" s="161">
        <f>IF(C139="","",COUNTIFS(Başvuru!$C:$C,C139,Başvuru!$A:$A,"&lt;&gt;"&amp;"",Başvuru!$F:$F,"&lt;&gt;"&amp;""))</f>
        <v>2</v>
      </c>
      <c r="E139" s="159" t="str">
        <f>IF(C139="","-",IF(D139&gt;0,TEXT(D139/(COUNTIFS(Başvuru!$A:$A,"&lt;&gt;",Başvuru!$F:$F,"&lt;&gt;")-1)*100,"0.0")&amp;"%","-"))</f>
        <v>00%</v>
      </c>
      <c r="F139" s="162">
        <f>IF(C139="","",COUNTIFS(Başvuru!$C:$C,C139,Başvuru!$G:$G,"Bireysel Araştırma",Başvuru!$A:$A,"&lt;&gt;"&amp;"",Başvuru!$F:$F,"&lt;&gt;"&amp;""))</f>
        <v>1</v>
      </c>
      <c r="G139" s="162">
        <f>IF(C139="","",COUNTIFS(Başvuru!$C:$C,C139,Başvuru!$G:$G,"Uzmanlık Tezi",Başvuru!$A:$A,"&lt;&gt;"&amp;"",Başvuru!$F:$F,"&lt;&gt;"&amp;""))</f>
        <v>1</v>
      </c>
      <c r="H139" s="162">
        <f>IF(C139="","",COUNTIFS(Başvuru!$C:$C,C139,Başvuru!$G:$G,"Doktora Tezi",Başvuru!$A:$A,"&lt;&gt;"&amp;"",Başvuru!$F:$F,"&lt;&gt;"&amp;""))</f>
        <v>0</v>
      </c>
      <c r="I139" s="162">
        <f>IF(C139="","",COUNTIFS(Başvuru!$C:$C,C139,Başvuru!$G:$G,"Yüksek Lisans Tezi",Başvuru!$A:$A,"&lt;&gt;"&amp;"",Başvuru!$F:$F,"&lt;&gt;"&amp;""))</f>
        <v>0</v>
      </c>
      <c r="J139" s="163">
        <f>IF(C139="","",COUNTIFS(Başvuru!$C:$C,C139,Başvuru!$L:$L,"ONAY",Başvuru!$A:$A,"&lt;&gt;"&amp;"",Başvuru!$F:$F,"&lt;&gt;"&amp;""))</f>
        <v>1</v>
      </c>
      <c r="K139" s="164">
        <f>IF(C139="","",COUNTIFS(Başvuru!$C:$C,C139,Başvuru!$L:$L,"DÜZELTME",Başvuru!$A:$A,"&lt;&gt;"&amp;"",Başvuru!$F:$F,"&lt;&gt;"&amp;""))</f>
        <v>1</v>
      </c>
      <c r="L139" s="165">
        <f>IF(C139="","",COUNTIFS(Başvuru!$C:$C,C139,Başvuru!$L:$L,"KAEK",Başvuru!$A:$A,"&lt;&gt;"&amp;"",Başvuru!$F:$F,"&lt;&gt;"&amp;""))</f>
        <v>0</v>
      </c>
      <c r="M139" s="166">
        <f>IF(C139="","",COUNTIFS(Başvuru!$C:$C,C139,Başvuru!$L:$L,"GÖRÜŞ",Başvuru!$A:$A,"&lt;&gt;"&amp;"",Başvuru!$F:$F,"&lt;&gt;"&amp;""))</f>
        <v>0</v>
      </c>
      <c r="N139" s="167">
        <f>IF(C139="","",COUNTIFS(Başvuru!$C:$C,C139,Başvuru!$L:$L,"RET",Başvuru!$A:$A,"&lt;&gt;"&amp;"",Başvuru!$F:$F,"&lt;&gt;"&amp;""))</f>
        <v>0</v>
      </c>
      <c r="O139" s="168">
        <f>IF(C139="","",COUNTIFS(Başvuru!$C:$C,C139,Başvuru!$L:$L,"KAPSAM DIŞI",Başvuru!$A:$A,"&lt;&gt;"&amp;"",Başvuru!$F:$F,"&lt;&gt;"&amp;""))</f>
        <v>0</v>
      </c>
      <c r="P139" s="169">
        <f>IF(C139="","",COUNTIFS(Başvuru!$C:$C,C139,Başvuru!$L:$L,"GERİ ÇEKİLDİ",Başvuru!$A:$A,"&lt;&gt;"&amp;"",Başvuru!$F:$F,"&lt;&gt;"&amp;""))</f>
        <v>0</v>
      </c>
      <c r="Q139" s="170" t="str">
        <f t="array" ref="Q139">IFERROR(INDEX(Başvuru!$C$2:$C$3000, MATCH(0, COUNTIF($Q$5:Q138, Başvuru!$C$2:$C$3000) + IF(Başvuru!$C$2:$C$3000="",1,0), 0)), "")</f>
        <v>Öğr. Gör. Dr. Helin YÜCEDAĞ GÜNDOĞDU</v>
      </c>
      <c r="R139" s="171">
        <f>IF(Q139="","",COUNTIFS(Başvuru!$C:$C,Q139,Başvuru!$A:$A,"&lt;&gt;"&amp;"",Başvuru!$F:$F,"&lt;&gt;"&amp;""))</f>
        <v>1</v>
      </c>
      <c r="S139" s="171">
        <f>IF(R139="","",RANK(R139,$R$6:$R$505,0)+COUNTIF($R$6:R139,R139)-1)</f>
        <v>200</v>
      </c>
    </row>
    <row r="140" spans="2:19" ht="23.25" customHeight="1" x14ac:dyDescent="0.25">
      <c r="B140" s="159">
        <v>135</v>
      </c>
      <c r="C140" s="160" t="str">
        <f>IFERROR(INDEX($Q$6:$Q$505,MATCH(135,$S$6:$S$505,0)),"")</f>
        <v>Prof. Dr. Filiz ÜZÜMCÜGİL</v>
      </c>
      <c r="D140" s="161">
        <f>IF(C140="","",COUNTIFS(Başvuru!$C:$C,C140,Başvuru!$A:$A,"&lt;&gt;"&amp;"",Başvuru!$F:$F,"&lt;&gt;"&amp;""))</f>
        <v>2</v>
      </c>
      <c r="E140" s="159" t="str">
        <f>IF(C140="","-",IF(D140&gt;0,TEXT(D140/(COUNTIFS(Başvuru!$A:$A,"&lt;&gt;",Başvuru!$F:$F,"&lt;&gt;")-1)*100,"0.0")&amp;"%","-"))</f>
        <v>00%</v>
      </c>
      <c r="F140" s="162">
        <f>IF(C140="","",COUNTIFS(Başvuru!$C:$C,C140,Başvuru!$G:$G,"Bireysel Araştırma",Başvuru!$A:$A,"&lt;&gt;"&amp;"",Başvuru!$F:$F,"&lt;&gt;"&amp;""))</f>
        <v>0</v>
      </c>
      <c r="G140" s="162">
        <f>IF(C140="","",COUNTIFS(Başvuru!$C:$C,C140,Başvuru!$G:$G,"Uzmanlık Tezi",Başvuru!$A:$A,"&lt;&gt;"&amp;"",Başvuru!$F:$F,"&lt;&gt;"&amp;""))</f>
        <v>2</v>
      </c>
      <c r="H140" s="162">
        <f>IF(C140="","",COUNTIFS(Başvuru!$C:$C,C140,Başvuru!$G:$G,"Doktora Tezi",Başvuru!$A:$A,"&lt;&gt;"&amp;"",Başvuru!$F:$F,"&lt;&gt;"&amp;""))</f>
        <v>0</v>
      </c>
      <c r="I140" s="162">
        <f>IF(C140="","",COUNTIFS(Başvuru!$C:$C,C140,Başvuru!$G:$G,"Yüksek Lisans Tezi",Başvuru!$A:$A,"&lt;&gt;"&amp;"",Başvuru!$F:$F,"&lt;&gt;"&amp;""))</f>
        <v>0</v>
      </c>
      <c r="J140" s="163">
        <f>IF(C140="","",COUNTIFS(Başvuru!$C:$C,C140,Başvuru!$L:$L,"ONAY",Başvuru!$A:$A,"&lt;&gt;"&amp;"",Başvuru!$F:$F,"&lt;&gt;"&amp;""))</f>
        <v>2</v>
      </c>
      <c r="K140" s="164">
        <f>IF(C140="","",COUNTIFS(Başvuru!$C:$C,C140,Başvuru!$L:$L,"DÜZELTME",Başvuru!$A:$A,"&lt;&gt;"&amp;"",Başvuru!$F:$F,"&lt;&gt;"&amp;""))</f>
        <v>0</v>
      </c>
      <c r="L140" s="165">
        <f>IF(C140="","",COUNTIFS(Başvuru!$C:$C,C140,Başvuru!$L:$L,"KAEK",Başvuru!$A:$A,"&lt;&gt;"&amp;"",Başvuru!$F:$F,"&lt;&gt;"&amp;""))</f>
        <v>0</v>
      </c>
      <c r="M140" s="166">
        <f>IF(C140="","",COUNTIFS(Başvuru!$C:$C,C140,Başvuru!$L:$L,"GÖRÜŞ",Başvuru!$A:$A,"&lt;&gt;"&amp;"",Başvuru!$F:$F,"&lt;&gt;"&amp;""))</f>
        <v>0</v>
      </c>
      <c r="N140" s="167">
        <f>IF(C140="","",COUNTIFS(Başvuru!$C:$C,C140,Başvuru!$L:$L,"RET",Başvuru!$A:$A,"&lt;&gt;"&amp;"",Başvuru!$F:$F,"&lt;&gt;"&amp;""))</f>
        <v>0</v>
      </c>
      <c r="O140" s="168">
        <f>IF(C140="","",COUNTIFS(Başvuru!$C:$C,C140,Başvuru!$L:$L,"KAPSAM DIŞI",Başvuru!$A:$A,"&lt;&gt;"&amp;"",Başvuru!$F:$F,"&lt;&gt;"&amp;""))</f>
        <v>0</v>
      </c>
      <c r="P140" s="169">
        <f>IF(C140="","",COUNTIFS(Başvuru!$C:$C,C140,Başvuru!$L:$L,"GERİ ÇEKİLDİ",Başvuru!$A:$A,"&lt;&gt;"&amp;"",Başvuru!$F:$F,"&lt;&gt;"&amp;""))</f>
        <v>0</v>
      </c>
      <c r="Q140" s="170" t="str">
        <f t="array" ref="Q140">IFERROR(INDEX(Başvuru!$C$2:$C$3000, MATCH(0, COUNTIF($Q$5:Q139, Başvuru!$C$2:$C$3000) + IF(Başvuru!$C$2:$C$3000="",1,0), 0)), "")</f>
        <v>Dr. Öğr. Üyesi Özge YAVUZ SARI</v>
      </c>
      <c r="R140" s="171">
        <f>IF(Q140="","",COUNTIFS(Başvuru!$C:$C,Q140,Başvuru!$A:$A,"&lt;&gt;"&amp;"",Başvuru!$F:$F,"&lt;&gt;"&amp;""))</f>
        <v>1</v>
      </c>
      <c r="S140" s="171">
        <f>IF(R140="","",RANK(R140,$R$6:$R$505,0)+COUNTIF($R$6:R140,R140)-1)</f>
        <v>201</v>
      </c>
    </row>
    <row r="141" spans="2:19" ht="23.25" customHeight="1" x14ac:dyDescent="0.25">
      <c r="B141" s="159">
        <v>136</v>
      </c>
      <c r="C141" s="160" t="str">
        <f>IFERROR(INDEX($Q$6:$Q$505,MATCH(136,$S$6:$S$505,0)),"")</f>
        <v>Dr. Öğr. Üyesi Sehend DEBBAĞ</v>
      </c>
      <c r="D141" s="161">
        <f>IF(C141="","",COUNTIFS(Başvuru!$C:$C,C141,Başvuru!$A:$A,"&lt;&gt;"&amp;"",Başvuru!$F:$F,"&lt;&gt;"&amp;""))</f>
        <v>2</v>
      </c>
      <c r="E141" s="159" t="str">
        <f>IF(C141="","-",IF(D141&gt;0,TEXT(D141/(COUNTIFS(Başvuru!$A:$A,"&lt;&gt;",Başvuru!$F:$F,"&lt;&gt;")-1)*100,"0.0")&amp;"%","-"))</f>
        <v>00%</v>
      </c>
      <c r="F141" s="162">
        <f>IF(C141="","",COUNTIFS(Başvuru!$C:$C,C141,Başvuru!$G:$G,"Bireysel Araştırma",Başvuru!$A:$A,"&lt;&gt;"&amp;"",Başvuru!$F:$F,"&lt;&gt;"&amp;""))</f>
        <v>2</v>
      </c>
      <c r="G141" s="162">
        <f>IF(C141="","",COUNTIFS(Başvuru!$C:$C,C141,Başvuru!$G:$G,"Uzmanlık Tezi",Başvuru!$A:$A,"&lt;&gt;"&amp;"",Başvuru!$F:$F,"&lt;&gt;"&amp;""))</f>
        <v>0</v>
      </c>
      <c r="H141" s="162">
        <f>IF(C141="","",COUNTIFS(Başvuru!$C:$C,C141,Başvuru!$G:$G,"Doktora Tezi",Başvuru!$A:$A,"&lt;&gt;"&amp;"",Başvuru!$F:$F,"&lt;&gt;"&amp;""))</f>
        <v>0</v>
      </c>
      <c r="I141" s="162">
        <f>IF(C141="","",COUNTIFS(Başvuru!$C:$C,C141,Başvuru!$G:$G,"Yüksek Lisans Tezi",Başvuru!$A:$A,"&lt;&gt;"&amp;"",Başvuru!$F:$F,"&lt;&gt;"&amp;""))</f>
        <v>0</v>
      </c>
      <c r="J141" s="163">
        <f>IF(C141="","",COUNTIFS(Başvuru!$C:$C,C141,Başvuru!$L:$L,"ONAY",Başvuru!$A:$A,"&lt;&gt;"&amp;"",Başvuru!$F:$F,"&lt;&gt;"&amp;""))</f>
        <v>0</v>
      </c>
      <c r="K141" s="164">
        <f>IF(C141="","",COUNTIFS(Başvuru!$C:$C,C141,Başvuru!$L:$L,"DÜZELTME",Başvuru!$A:$A,"&lt;&gt;"&amp;"",Başvuru!$F:$F,"&lt;&gt;"&amp;""))</f>
        <v>2</v>
      </c>
      <c r="L141" s="165">
        <f>IF(C141="","",COUNTIFS(Başvuru!$C:$C,C141,Başvuru!$L:$L,"KAEK",Başvuru!$A:$A,"&lt;&gt;"&amp;"",Başvuru!$F:$F,"&lt;&gt;"&amp;""))</f>
        <v>0</v>
      </c>
      <c r="M141" s="166">
        <f>IF(C141="","",COUNTIFS(Başvuru!$C:$C,C141,Başvuru!$L:$L,"GÖRÜŞ",Başvuru!$A:$A,"&lt;&gt;"&amp;"",Başvuru!$F:$F,"&lt;&gt;"&amp;""))</f>
        <v>0</v>
      </c>
      <c r="N141" s="167">
        <f>IF(C141="","",COUNTIFS(Başvuru!$C:$C,C141,Başvuru!$L:$L,"RET",Başvuru!$A:$A,"&lt;&gt;"&amp;"",Başvuru!$F:$F,"&lt;&gt;"&amp;""))</f>
        <v>0</v>
      </c>
      <c r="O141" s="168">
        <f>IF(C141="","",COUNTIFS(Başvuru!$C:$C,C141,Başvuru!$L:$L,"KAPSAM DIŞI",Başvuru!$A:$A,"&lt;&gt;"&amp;"",Başvuru!$F:$F,"&lt;&gt;"&amp;""))</f>
        <v>0</v>
      </c>
      <c r="P141" s="169">
        <f>IF(C141="","",COUNTIFS(Başvuru!$C:$C,C141,Başvuru!$L:$L,"GERİ ÇEKİLDİ",Başvuru!$A:$A,"&lt;&gt;"&amp;"",Başvuru!$F:$F,"&lt;&gt;"&amp;""))</f>
        <v>0</v>
      </c>
      <c r="Q141" s="170" t="str">
        <f t="array" ref="Q141">IFERROR(INDEX(Başvuru!$C$2:$C$3000, MATCH(0, COUNTIF($Q$5:Q140, Başvuru!$C$2:$C$3000) + IF(Başvuru!$C$2:$C$3000="",1,0), 0)), "")</f>
        <v>Arş. Gör. Dr. Şükran BAYRAK</v>
      </c>
      <c r="R141" s="171">
        <f>IF(Q141="","",COUNTIFS(Başvuru!$C:$C,Q141,Başvuru!$A:$A,"&lt;&gt;"&amp;"",Başvuru!$F:$F,"&lt;&gt;"&amp;""))</f>
        <v>2</v>
      </c>
      <c r="S141" s="171">
        <f>IF(R141="","",RANK(R141,$R$6:$R$505,0)+COUNTIF($R$6:R141,R141)-1)</f>
        <v>110</v>
      </c>
    </row>
    <row r="142" spans="2:19" ht="23.25" customHeight="1" x14ac:dyDescent="0.25">
      <c r="B142" s="159">
        <v>137</v>
      </c>
      <c r="C142" s="160" t="str">
        <f>IFERROR(INDEX($Q$6:$Q$505,MATCH(137,$S$6:$S$505,0)),"")</f>
        <v>Prof. Dr. Okan Bülent YILDIZ</v>
      </c>
      <c r="D142" s="161">
        <f>IF(C142="","",COUNTIFS(Başvuru!$C:$C,C142,Başvuru!$A:$A,"&lt;&gt;"&amp;"",Başvuru!$F:$F,"&lt;&gt;"&amp;""))</f>
        <v>2</v>
      </c>
      <c r="E142" s="159" t="str">
        <f>IF(C142="","-",IF(D142&gt;0,TEXT(D142/(COUNTIFS(Başvuru!$A:$A,"&lt;&gt;",Başvuru!$F:$F,"&lt;&gt;")-1)*100,"0.0")&amp;"%","-"))</f>
        <v>00%</v>
      </c>
      <c r="F142" s="162">
        <f>IF(C142="","",COUNTIFS(Başvuru!$C:$C,C142,Başvuru!$G:$G,"Bireysel Araştırma",Başvuru!$A:$A,"&lt;&gt;"&amp;"",Başvuru!$F:$F,"&lt;&gt;"&amp;""))</f>
        <v>2</v>
      </c>
      <c r="G142" s="162">
        <f>IF(C142="","",COUNTIFS(Başvuru!$C:$C,C142,Başvuru!$G:$G,"Uzmanlık Tezi",Başvuru!$A:$A,"&lt;&gt;"&amp;"",Başvuru!$F:$F,"&lt;&gt;"&amp;""))</f>
        <v>0</v>
      </c>
      <c r="H142" s="162">
        <f>IF(C142="","",COUNTIFS(Başvuru!$C:$C,C142,Başvuru!$G:$G,"Doktora Tezi",Başvuru!$A:$A,"&lt;&gt;"&amp;"",Başvuru!$F:$F,"&lt;&gt;"&amp;""))</f>
        <v>0</v>
      </c>
      <c r="I142" s="162">
        <f>IF(C142="","",COUNTIFS(Başvuru!$C:$C,C142,Başvuru!$G:$G,"Yüksek Lisans Tezi",Başvuru!$A:$A,"&lt;&gt;"&amp;"",Başvuru!$F:$F,"&lt;&gt;"&amp;""))</f>
        <v>0</v>
      </c>
      <c r="J142" s="163">
        <f>IF(C142="","",COUNTIFS(Başvuru!$C:$C,C142,Başvuru!$L:$L,"ONAY",Başvuru!$A:$A,"&lt;&gt;"&amp;"",Başvuru!$F:$F,"&lt;&gt;"&amp;""))</f>
        <v>0</v>
      </c>
      <c r="K142" s="164">
        <f>IF(C142="","",COUNTIFS(Başvuru!$C:$C,C142,Başvuru!$L:$L,"DÜZELTME",Başvuru!$A:$A,"&lt;&gt;"&amp;"",Başvuru!$F:$F,"&lt;&gt;"&amp;""))</f>
        <v>2</v>
      </c>
      <c r="L142" s="165">
        <f>IF(C142="","",COUNTIFS(Başvuru!$C:$C,C142,Başvuru!$L:$L,"KAEK",Başvuru!$A:$A,"&lt;&gt;"&amp;"",Başvuru!$F:$F,"&lt;&gt;"&amp;""))</f>
        <v>0</v>
      </c>
      <c r="M142" s="166">
        <f>IF(C142="","",COUNTIFS(Başvuru!$C:$C,C142,Başvuru!$L:$L,"GÖRÜŞ",Başvuru!$A:$A,"&lt;&gt;"&amp;"",Başvuru!$F:$F,"&lt;&gt;"&amp;""))</f>
        <v>0</v>
      </c>
      <c r="N142" s="167">
        <f>IF(C142="","",COUNTIFS(Başvuru!$C:$C,C142,Başvuru!$L:$L,"RET",Başvuru!$A:$A,"&lt;&gt;"&amp;"",Başvuru!$F:$F,"&lt;&gt;"&amp;""))</f>
        <v>0</v>
      </c>
      <c r="O142" s="168">
        <f>IF(C142="","",COUNTIFS(Başvuru!$C:$C,C142,Başvuru!$L:$L,"KAPSAM DIŞI",Başvuru!$A:$A,"&lt;&gt;"&amp;"",Başvuru!$F:$F,"&lt;&gt;"&amp;""))</f>
        <v>0</v>
      </c>
      <c r="P142" s="169">
        <f>IF(C142="","",COUNTIFS(Başvuru!$C:$C,C142,Başvuru!$L:$L,"GERİ ÇEKİLDİ",Başvuru!$A:$A,"&lt;&gt;"&amp;"",Başvuru!$F:$F,"&lt;&gt;"&amp;""))</f>
        <v>0</v>
      </c>
      <c r="Q142" s="170" t="str">
        <f t="array" ref="Q142">IFERROR(INDEX(Başvuru!$C$2:$C$3000, MATCH(0, COUNTIF($Q$5:Q141, Başvuru!$C$2:$C$3000) + IF(Başvuru!$C$2:$C$3000="",1,0), 0)), "")</f>
        <v>Prof. Dr. Jale KARAKAYA</v>
      </c>
      <c r="R142" s="171">
        <f>IF(Q142="","",COUNTIFS(Başvuru!$C:$C,Q142,Başvuru!$A:$A,"&lt;&gt;"&amp;"",Başvuru!$F:$F,"&lt;&gt;"&amp;""))</f>
        <v>1</v>
      </c>
      <c r="S142" s="171">
        <f>IF(R142="","",RANK(R142,$R$6:$R$505,0)+COUNTIF($R$6:R142,R142)-1)</f>
        <v>202</v>
      </c>
    </row>
    <row r="143" spans="2:19" ht="23.25" customHeight="1" x14ac:dyDescent="0.25">
      <c r="B143" s="159">
        <v>138</v>
      </c>
      <c r="C143" s="160" t="str">
        <f>IFERROR(INDEX($Q$6:$Q$505,MATCH(138,$S$6:$S$505,0)),"")</f>
        <v>Prof. Dr. Saniye EKİNCİ</v>
      </c>
      <c r="D143" s="161">
        <f>IF(C143="","",COUNTIFS(Başvuru!$C:$C,C143,Başvuru!$A:$A,"&lt;&gt;"&amp;"",Başvuru!$F:$F,"&lt;&gt;"&amp;""))</f>
        <v>2</v>
      </c>
      <c r="E143" s="159" t="str">
        <f>IF(C143="","-",IF(D143&gt;0,TEXT(D143/(COUNTIFS(Başvuru!$A:$A,"&lt;&gt;",Başvuru!$F:$F,"&lt;&gt;")-1)*100,"0.0")&amp;"%","-"))</f>
        <v>00%</v>
      </c>
      <c r="F143" s="162">
        <f>IF(C143="","",COUNTIFS(Başvuru!$C:$C,C143,Başvuru!$G:$G,"Bireysel Araştırma",Başvuru!$A:$A,"&lt;&gt;"&amp;"",Başvuru!$F:$F,"&lt;&gt;"&amp;""))</f>
        <v>2</v>
      </c>
      <c r="G143" s="162">
        <f>IF(C143="","",COUNTIFS(Başvuru!$C:$C,C143,Başvuru!$G:$G,"Uzmanlık Tezi",Başvuru!$A:$A,"&lt;&gt;"&amp;"",Başvuru!$F:$F,"&lt;&gt;"&amp;""))</f>
        <v>0</v>
      </c>
      <c r="H143" s="162">
        <f>IF(C143="","",COUNTIFS(Başvuru!$C:$C,C143,Başvuru!$G:$G,"Doktora Tezi",Başvuru!$A:$A,"&lt;&gt;"&amp;"",Başvuru!$F:$F,"&lt;&gt;"&amp;""))</f>
        <v>0</v>
      </c>
      <c r="I143" s="162">
        <f>IF(C143="","",COUNTIFS(Başvuru!$C:$C,C143,Başvuru!$G:$G,"Yüksek Lisans Tezi",Başvuru!$A:$A,"&lt;&gt;"&amp;"",Başvuru!$F:$F,"&lt;&gt;"&amp;""))</f>
        <v>0</v>
      </c>
      <c r="J143" s="163">
        <f>IF(C143="","",COUNTIFS(Başvuru!$C:$C,C143,Başvuru!$L:$L,"ONAY",Başvuru!$A:$A,"&lt;&gt;"&amp;"",Başvuru!$F:$F,"&lt;&gt;"&amp;""))</f>
        <v>1</v>
      </c>
      <c r="K143" s="164">
        <f>IF(C143="","",COUNTIFS(Başvuru!$C:$C,C143,Başvuru!$L:$L,"DÜZELTME",Başvuru!$A:$A,"&lt;&gt;"&amp;"",Başvuru!$F:$F,"&lt;&gt;"&amp;""))</f>
        <v>1</v>
      </c>
      <c r="L143" s="165">
        <f>IF(C143="","",COUNTIFS(Başvuru!$C:$C,C143,Başvuru!$L:$L,"KAEK",Başvuru!$A:$A,"&lt;&gt;"&amp;"",Başvuru!$F:$F,"&lt;&gt;"&amp;""))</f>
        <v>0</v>
      </c>
      <c r="M143" s="166">
        <f>IF(C143="","",COUNTIFS(Başvuru!$C:$C,C143,Başvuru!$L:$L,"GÖRÜŞ",Başvuru!$A:$A,"&lt;&gt;"&amp;"",Başvuru!$F:$F,"&lt;&gt;"&amp;""))</f>
        <v>0</v>
      </c>
      <c r="N143" s="167">
        <f>IF(C143="","",COUNTIFS(Başvuru!$C:$C,C143,Başvuru!$L:$L,"RET",Başvuru!$A:$A,"&lt;&gt;"&amp;"",Başvuru!$F:$F,"&lt;&gt;"&amp;""))</f>
        <v>0</v>
      </c>
      <c r="O143" s="168">
        <f>IF(C143="","",COUNTIFS(Başvuru!$C:$C,C143,Başvuru!$L:$L,"KAPSAM DIŞI",Başvuru!$A:$A,"&lt;&gt;"&amp;"",Başvuru!$F:$F,"&lt;&gt;"&amp;""))</f>
        <v>0</v>
      </c>
      <c r="P143" s="169">
        <f>IF(C143="","",COUNTIFS(Başvuru!$C:$C,C143,Başvuru!$L:$L,"GERİ ÇEKİLDİ",Başvuru!$A:$A,"&lt;&gt;"&amp;"",Başvuru!$F:$F,"&lt;&gt;"&amp;""))</f>
        <v>0</v>
      </c>
      <c r="Q143" s="170" t="str">
        <f t="array" ref="Q143">IFERROR(INDEX(Başvuru!$C$2:$C$3000, MATCH(0, COUNTIF($Q$5:Q142, Başvuru!$C$2:$C$3000) + IF(Başvuru!$C$2:$C$3000="",1,0), 0)), "")</f>
        <v>Dr. Öğr. Üyesi Aycan UYSAL</v>
      </c>
      <c r="R143" s="171">
        <f>IF(Q143="","",COUNTIFS(Başvuru!$C:$C,Q143,Başvuru!$A:$A,"&lt;&gt;"&amp;"",Başvuru!$F:$F,"&lt;&gt;"&amp;""))</f>
        <v>4</v>
      </c>
      <c r="S143" s="171">
        <f>IF(R143="","",RANK(R143,$R$6:$R$505,0)+COUNTIF($R$6:R143,R143)-1)</f>
        <v>42</v>
      </c>
    </row>
    <row r="144" spans="2:19" ht="23.25" customHeight="1" x14ac:dyDescent="0.25">
      <c r="B144" s="159">
        <v>139</v>
      </c>
      <c r="C144" s="160" t="str">
        <f>IFERROR(INDEX($Q$6:$Q$505,MATCH(139,$S$6:$S$505,0)),"")</f>
        <v>Prof. Dr. Levent SENNAROĞLU</v>
      </c>
      <c r="D144" s="161">
        <f>IF(C144="","",COUNTIFS(Başvuru!$C:$C,C144,Başvuru!$A:$A,"&lt;&gt;"&amp;"",Başvuru!$F:$F,"&lt;&gt;"&amp;""))</f>
        <v>2</v>
      </c>
      <c r="E144" s="159" t="str">
        <f>IF(C144="","-",IF(D144&gt;0,TEXT(D144/(COUNTIFS(Başvuru!$A:$A,"&lt;&gt;",Başvuru!$F:$F,"&lt;&gt;")-1)*100,"0.0")&amp;"%","-"))</f>
        <v>00%</v>
      </c>
      <c r="F144" s="162">
        <f>IF(C144="","",COUNTIFS(Başvuru!$C:$C,C144,Başvuru!$G:$G,"Bireysel Araştırma",Başvuru!$A:$A,"&lt;&gt;"&amp;"",Başvuru!$F:$F,"&lt;&gt;"&amp;""))</f>
        <v>2</v>
      </c>
      <c r="G144" s="162">
        <f>IF(C144="","",COUNTIFS(Başvuru!$C:$C,C144,Başvuru!$G:$G,"Uzmanlık Tezi",Başvuru!$A:$A,"&lt;&gt;"&amp;"",Başvuru!$F:$F,"&lt;&gt;"&amp;""))</f>
        <v>0</v>
      </c>
      <c r="H144" s="162">
        <f>IF(C144="","",COUNTIFS(Başvuru!$C:$C,C144,Başvuru!$G:$G,"Doktora Tezi",Başvuru!$A:$A,"&lt;&gt;"&amp;"",Başvuru!$F:$F,"&lt;&gt;"&amp;""))</f>
        <v>0</v>
      </c>
      <c r="I144" s="162">
        <f>IF(C144="","",COUNTIFS(Başvuru!$C:$C,C144,Başvuru!$G:$G,"Yüksek Lisans Tezi",Başvuru!$A:$A,"&lt;&gt;"&amp;"",Başvuru!$F:$F,"&lt;&gt;"&amp;""))</f>
        <v>0</v>
      </c>
      <c r="J144" s="163">
        <f>IF(C144="","",COUNTIFS(Başvuru!$C:$C,C144,Başvuru!$L:$L,"ONAY",Başvuru!$A:$A,"&lt;&gt;"&amp;"",Başvuru!$F:$F,"&lt;&gt;"&amp;""))</f>
        <v>2</v>
      </c>
      <c r="K144" s="164">
        <f>IF(C144="","",COUNTIFS(Başvuru!$C:$C,C144,Başvuru!$L:$L,"DÜZELTME",Başvuru!$A:$A,"&lt;&gt;"&amp;"",Başvuru!$F:$F,"&lt;&gt;"&amp;""))</f>
        <v>0</v>
      </c>
      <c r="L144" s="165">
        <f>IF(C144="","",COUNTIFS(Başvuru!$C:$C,C144,Başvuru!$L:$L,"KAEK",Başvuru!$A:$A,"&lt;&gt;"&amp;"",Başvuru!$F:$F,"&lt;&gt;"&amp;""))</f>
        <v>0</v>
      </c>
      <c r="M144" s="166">
        <f>IF(C144="","",COUNTIFS(Başvuru!$C:$C,C144,Başvuru!$L:$L,"GÖRÜŞ",Başvuru!$A:$A,"&lt;&gt;"&amp;"",Başvuru!$F:$F,"&lt;&gt;"&amp;""))</f>
        <v>0</v>
      </c>
      <c r="N144" s="167">
        <f>IF(C144="","",COUNTIFS(Başvuru!$C:$C,C144,Başvuru!$L:$L,"RET",Başvuru!$A:$A,"&lt;&gt;"&amp;"",Başvuru!$F:$F,"&lt;&gt;"&amp;""))</f>
        <v>0</v>
      </c>
      <c r="O144" s="168">
        <f>IF(C144="","",COUNTIFS(Başvuru!$C:$C,C144,Başvuru!$L:$L,"KAPSAM DIŞI",Başvuru!$A:$A,"&lt;&gt;"&amp;"",Başvuru!$F:$F,"&lt;&gt;"&amp;""))</f>
        <v>0</v>
      </c>
      <c r="P144" s="169">
        <f>IF(C144="","",COUNTIFS(Başvuru!$C:$C,C144,Başvuru!$L:$L,"GERİ ÇEKİLDİ",Başvuru!$A:$A,"&lt;&gt;"&amp;"",Başvuru!$F:$F,"&lt;&gt;"&amp;""))</f>
        <v>0</v>
      </c>
      <c r="Q144" s="170" t="str">
        <f t="array" ref="Q144">IFERROR(INDEX(Başvuru!$C$2:$C$3000, MATCH(0, COUNTIF($Q$5:Q143, Başvuru!$C$2:$C$3000) + IF(Başvuru!$C$2:$C$3000="",1,0), 0)), "")</f>
        <v>Prof. Dr. Mustafa CANKURTARAN</v>
      </c>
      <c r="R144" s="171">
        <f>IF(Q144="","",COUNTIFS(Başvuru!$C:$C,Q144,Başvuru!$A:$A,"&lt;&gt;"&amp;"",Başvuru!$F:$F,"&lt;&gt;"&amp;""))</f>
        <v>8</v>
      </c>
      <c r="S144" s="171">
        <f>IF(R144="","",RANK(R144,$R$6:$R$505,0)+COUNTIF($R$6:R144,R144)-1)</f>
        <v>10</v>
      </c>
    </row>
    <row r="145" spans="2:19" ht="23.25" customHeight="1" x14ac:dyDescent="0.25">
      <c r="B145" s="159">
        <v>140</v>
      </c>
      <c r="C145" s="160" t="str">
        <f>IFERROR(INDEX($Q$6:$Q$505,MATCH(140,$S$6:$S$505,0)),"")</f>
        <v>Prof. Dr. Uğur ÜNLÜTÜRK</v>
      </c>
      <c r="D145" s="161">
        <f>IF(C145="","",COUNTIFS(Başvuru!$C:$C,C145,Başvuru!$A:$A,"&lt;&gt;"&amp;"",Başvuru!$F:$F,"&lt;&gt;"&amp;""))</f>
        <v>2</v>
      </c>
      <c r="E145" s="159" t="str">
        <f>IF(C145="","-",IF(D145&gt;0,TEXT(D145/(COUNTIFS(Başvuru!$A:$A,"&lt;&gt;",Başvuru!$F:$F,"&lt;&gt;")-1)*100,"0.0")&amp;"%","-"))</f>
        <v>00%</v>
      </c>
      <c r="F145" s="162">
        <f>IF(C145="","",COUNTIFS(Başvuru!$C:$C,C145,Başvuru!$G:$G,"Bireysel Araştırma",Başvuru!$A:$A,"&lt;&gt;"&amp;"",Başvuru!$F:$F,"&lt;&gt;"&amp;""))</f>
        <v>2</v>
      </c>
      <c r="G145" s="162">
        <f>IF(C145="","",COUNTIFS(Başvuru!$C:$C,C145,Başvuru!$G:$G,"Uzmanlık Tezi",Başvuru!$A:$A,"&lt;&gt;"&amp;"",Başvuru!$F:$F,"&lt;&gt;"&amp;""))</f>
        <v>0</v>
      </c>
      <c r="H145" s="162">
        <f>IF(C145="","",COUNTIFS(Başvuru!$C:$C,C145,Başvuru!$G:$G,"Doktora Tezi",Başvuru!$A:$A,"&lt;&gt;"&amp;"",Başvuru!$F:$F,"&lt;&gt;"&amp;""))</f>
        <v>0</v>
      </c>
      <c r="I145" s="162">
        <f>IF(C145="","",COUNTIFS(Başvuru!$C:$C,C145,Başvuru!$G:$G,"Yüksek Lisans Tezi",Başvuru!$A:$A,"&lt;&gt;"&amp;"",Başvuru!$F:$F,"&lt;&gt;"&amp;""))</f>
        <v>0</v>
      </c>
      <c r="J145" s="163">
        <f>IF(C145="","",COUNTIFS(Başvuru!$C:$C,C145,Başvuru!$L:$L,"ONAY",Başvuru!$A:$A,"&lt;&gt;"&amp;"",Başvuru!$F:$F,"&lt;&gt;"&amp;""))</f>
        <v>1</v>
      </c>
      <c r="K145" s="164">
        <f>IF(C145="","",COUNTIFS(Başvuru!$C:$C,C145,Başvuru!$L:$L,"DÜZELTME",Başvuru!$A:$A,"&lt;&gt;"&amp;"",Başvuru!$F:$F,"&lt;&gt;"&amp;""))</f>
        <v>1</v>
      </c>
      <c r="L145" s="165">
        <f>IF(C145="","",COUNTIFS(Başvuru!$C:$C,C145,Başvuru!$L:$L,"KAEK",Başvuru!$A:$A,"&lt;&gt;"&amp;"",Başvuru!$F:$F,"&lt;&gt;"&amp;""))</f>
        <v>0</v>
      </c>
      <c r="M145" s="166">
        <f>IF(C145="","",COUNTIFS(Başvuru!$C:$C,C145,Başvuru!$L:$L,"GÖRÜŞ",Başvuru!$A:$A,"&lt;&gt;"&amp;"",Başvuru!$F:$F,"&lt;&gt;"&amp;""))</f>
        <v>0</v>
      </c>
      <c r="N145" s="167">
        <f>IF(C145="","",COUNTIFS(Başvuru!$C:$C,C145,Başvuru!$L:$L,"RET",Başvuru!$A:$A,"&lt;&gt;"&amp;"",Başvuru!$F:$F,"&lt;&gt;"&amp;""))</f>
        <v>0</v>
      </c>
      <c r="O145" s="168">
        <f>IF(C145="","",COUNTIFS(Başvuru!$C:$C,C145,Başvuru!$L:$L,"KAPSAM DIŞI",Başvuru!$A:$A,"&lt;&gt;"&amp;"",Başvuru!$F:$F,"&lt;&gt;"&amp;""))</f>
        <v>0</v>
      </c>
      <c r="P145" s="169">
        <f>IF(C145="","",COUNTIFS(Başvuru!$C:$C,C145,Başvuru!$L:$L,"GERİ ÇEKİLDİ",Başvuru!$A:$A,"&lt;&gt;"&amp;"",Başvuru!$F:$F,"&lt;&gt;"&amp;""))</f>
        <v>0</v>
      </c>
      <c r="Q145" s="170" t="str">
        <f t="array" ref="Q145">IFERROR(INDEX(Başvuru!$C$2:$C$3000, MATCH(0, COUNTIF($Q$5:Q144, Başvuru!$C$2:$C$3000) + IF(Başvuru!$C$2:$C$3000="",1,0), 0)), "")</f>
        <v>Dr. Öğr. Üyesi Hatice BOYACIOĞLU ERDEN</v>
      </c>
      <c r="R145" s="171">
        <f>IF(Q145="","",COUNTIFS(Başvuru!$C:$C,Q145,Başvuru!$A:$A,"&lt;&gt;"&amp;"",Başvuru!$F:$F,"&lt;&gt;"&amp;""))</f>
        <v>2</v>
      </c>
      <c r="S145" s="171">
        <f>IF(R145="","",RANK(R145,$R$6:$R$505,0)+COUNTIF($R$6:R145,R145)-1)</f>
        <v>111</v>
      </c>
    </row>
    <row r="146" spans="2:19" ht="23.25" customHeight="1" x14ac:dyDescent="0.25">
      <c r="B146" s="159">
        <v>141</v>
      </c>
      <c r="C146" s="160" t="str">
        <f>IFERROR(INDEX($Q$6:$Q$505,MATCH(141,$S$6:$S$505,0)),"")</f>
        <v>Doç. Dr. Şahin HANALİOĞLU</v>
      </c>
      <c r="D146" s="161">
        <f>IF(C146="","",COUNTIFS(Başvuru!$C:$C,C146,Başvuru!$A:$A,"&lt;&gt;"&amp;"",Başvuru!$F:$F,"&lt;&gt;"&amp;""))</f>
        <v>2</v>
      </c>
      <c r="E146" s="159" t="str">
        <f>IF(C146="","-",IF(D146&gt;0,TEXT(D146/(COUNTIFS(Başvuru!$A:$A,"&lt;&gt;",Başvuru!$F:$F,"&lt;&gt;")-1)*100,"0.0")&amp;"%","-"))</f>
        <v>00%</v>
      </c>
      <c r="F146" s="162">
        <f>IF(C146="","",COUNTIFS(Başvuru!$C:$C,C146,Başvuru!$G:$G,"Bireysel Araştırma",Başvuru!$A:$A,"&lt;&gt;"&amp;"",Başvuru!$F:$F,"&lt;&gt;"&amp;""))</f>
        <v>1</v>
      </c>
      <c r="G146" s="162">
        <f>IF(C146="","",COUNTIFS(Başvuru!$C:$C,C146,Başvuru!$G:$G,"Uzmanlık Tezi",Başvuru!$A:$A,"&lt;&gt;"&amp;"",Başvuru!$F:$F,"&lt;&gt;"&amp;""))</f>
        <v>1</v>
      </c>
      <c r="H146" s="162">
        <f>IF(C146="","",COUNTIFS(Başvuru!$C:$C,C146,Başvuru!$G:$G,"Doktora Tezi",Başvuru!$A:$A,"&lt;&gt;"&amp;"",Başvuru!$F:$F,"&lt;&gt;"&amp;""))</f>
        <v>0</v>
      </c>
      <c r="I146" s="162">
        <f>IF(C146="","",COUNTIFS(Başvuru!$C:$C,C146,Başvuru!$G:$G,"Yüksek Lisans Tezi",Başvuru!$A:$A,"&lt;&gt;"&amp;"",Başvuru!$F:$F,"&lt;&gt;"&amp;""))</f>
        <v>0</v>
      </c>
      <c r="J146" s="163">
        <f>IF(C146="","",COUNTIFS(Başvuru!$C:$C,C146,Başvuru!$L:$L,"ONAY",Başvuru!$A:$A,"&lt;&gt;"&amp;"",Başvuru!$F:$F,"&lt;&gt;"&amp;""))</f>
        <v>1</v>
      </c>
      <c r="K146" s="164">
        <f>IF(C146="","",COUNTIFS(Başvuru!$C:$C,C146,Başvuru!$L:$L,"DÜZELTME",Başvuru!$A:$A,"&lt;&gt;"&amp;"",Başvuru!$F:$F,"&lt;&gt;"&amp;""))</f>
        <v>1</v>
      </c>
      <c r="L146" s="165">
        <f>IF(C146="","",COUNTIFS(Başvuru!$C:$C,C146,Başvuru!$L:$L,"KAEK",Başvuru!$A:$A,"&lt;&gt;"&amp;"",Başvuru!$F:$F,"&lt;&gt;"&amp;""))</f>
        <v>0</v>
      </c>
      <c r="M146" s="166">
        <f>IF(C146="","",COUNTIFS(Başvuru!$C:$C,C146,Başvuru!$L:$L,"GÖRÜŞ",Başvuru!$A:$A,"&lt;&gt;"&amp;"",Başvuru!$F:$F,"&lt;&gt;"&amp;""))</f>
        <v>0</v>
      </c>
      <c r="N146" s="167">
        <f>IF(C146="","",COUNTIFS(Başvuru!$C:$C,C146,Başvuru!$L:$L,"RET",Başvuru!$A:$A,"&lt;&gt;"&amp;"",Başvuru!$F:$F,"&lt;&gt;"&amp;""))</f>
        <v>0</v>
      </c>
      <c r="O146" s="168">
        <f>IF(C146="","",COUNTIFS(Başvuru!$C:$C,C146,Başvuru!$L:$L,"KAPSAM DIŞI",Başvuru!$A:$A,"&lt;&gt;"&amp;"",Başvuru!$F:$F,"&lt;&gt;"&amp;""))</f>
        <v>0</v>
      </c>
      <c r="P146" s="169">
        <f>IF(C146="","",COUNTIFS(Başvuru!$C:$C,C146,Başvuru!$L:$L,"GERİ ÇEKİLDİ",Başvuru!$A:$A,"&lt;&gt;"&amp;"",Başvuru!$F:$F,"&lt;&gt;"&amp;""))</f>
        <v>0</v>
      </c>
      <c r="Q146" s="170" t="str">
        <f t="array" ref="Q146">IFERROR(INDEX(Başvuru!$C$2:$C$3000, MATCH(0, COUNTIF($Q$5:Q145, Başvuru!$C$2:$C$3000) + IF(Başvuru!$C$2:$C$3000="",1,0), 0)), "")</f>
        <v>Dr. Öğr. Üyesi Ezgi DOĞAN CÖMERT</v>
      </c>
      <c r="R146" s="171">
        <f>IF(Q146="","",COUNTIFS(Başvuru!$C:$C,Q146,Başvuru!$A:$A,"&lt;&gt;"&amp;"",Başvuru!$F:$F,"&lt;&gt;"&amp;""))</f>
        <v>1</v>
      </c>
      <c r="S146" s="171">
        <f>IF(R146="","",RANK(R146,$R$6:$R$505,0)+COUNTIF($R$6:R146,R146)-1)</f>
        <v>203</v>
      </c>
    </row>
    <row r="147" spans="2:19" ht="23.25" customHeight="1" x14ac:dyDescent="0.25">
      <c r="B147" s="159">
        <v>142</v>
      </c>
      <c r="C147" s="160" t="str">
        <f>IFERROR(INDEX($Q$6:$Q$505,MATCH(142,$S$6:$S$505,0)),"")</f>
        <v>Arş. Gör. Dr. Eymen YILMAZ</v>
      </c>
      <c r="D147" s="161">
        <f>IF(C147="","",COUNTIFS(Başvuru!$C:$C,C147,Başvuru!$A:$A,"&lt;&gt;"&amp;"",Başvuru!$F:$F,"&lt;&gt;"&amp;""))</f>
        <v>2</v>
      </c>
      <c r="E147" s="159" t="str">
        <f>IF(C147="","-",IF(D147&gt;0,TEXT(D147/(COUNTIFS(Başvuru!$A:$A,"&lt;&gt;",Başvuru!$F:$F,"&lt;&gt;")-1)*100,"0.0")&amp;"%","-"))</f>
        <v>00%</v>
      </c>
      <c r="F147" s="162">
        <f>IF(C147="","",COUNTIFS(Başvuru!$C:$C,C147,Başvuru!$G:$G,"Bireysel Araştırma",Başvuru!$A:$A,"&lt;&gt;"&amp;"",Başvuru!$F:$F,"&lt;&gt;"&amp;""))</f>
        <v>2</v>
      </c>
      <c r="G147" s="162">
        <f>IF(C147="","",COUNTIFS(Başvuru!$C:$C,C147,Başvuru!$G:$G,"Uzmanlık Tezi",Başvuru!$A:$A,"&lt;&gt;"&amp;"",Başvuru!$F:$F,"&lt;&gt;"&amp;""))</f>
        <v>0</v>
      </c>
      <c r="H147" s="162">
        <f>IF(C147="","",COUNTIFS(Başvuru!$C:$C,C147,Başvuru!$G:$G,"Doktora Tezi",Başvuru!$A:$A,"&lt;&gt;"&amp;"",Başvuru!$F:$F,"&lt;&gt;"&amp;""))</f>
        <v>0</v>
      </c>
      <c r="I147" s="162">
        <f>IF(C147="","",COUNTIFS(Başvuru!$C:$C,C147,Başvuru!$G:$G,"Yüksek Lisans Tezi",Başvuru!$A:$A,"&lt;&gt;"&amp;"",Başvuru!$F:$F,"&lt;&gt;"&amp;""))</f>
        <v>0</v>
      </c>
      <c r="J147" s="163">
        <f>IF(C147="","",COUNTIFS(Başvuru!$C:$C,C147,Başvuru!$L:$L,"ONAY",Başvuru!$A:$A,"&lt;&gt;"&amp;"",Başvuru!$F:$F,"&lt;&gt;"&amp;""))</f>
        <v>2</v>
      </c>
      <c r="K147" s="164">
        <f>IF(C147="","",COUNTIFS(Başvuru!$C:$C,C147,Başvuru!$L:$L,"DÜZELTME",Başvuru!$A:$A,"&lt;&gt;"&amp;"",Başvuru!$F:$F,"&lt;&gt;"&amp;""))</f>
        <v>0</v>
      </c>
      <c r="L147" s="165">
        <f>IF(C147="","",COUNTIFS(Başvuru!$C:$C,C147,Başvuru!$L:$L,"KAEK",Başvuru!$A:$A,"&lt;&gt;"&amp;"",Başvuru!$F:$F,"&lt;&gt;"&amp;""))</f>
        <v>0</v>
      </c>
      <c r="M147" s="166">
        <f>IF(C147="","",COUNTIFS(Başvuru!$C:$C,C147,Başvuru!$L:$L,"GÖRÜŞ",Başvuru!$A:$A,"&lt;&gt;"&amp;"",Başvuru!$F:$F,"&lt;&gt;"&amp;""))</f>
        <v>0</v>
      </c>
      <c r="N147" s="167">
        <f>IF(C147="","",COUNTIFS(Başvuru!$C:$C,C147,Başvuru!$L:$L,"RET",Başvuru!$A:$A,"&lt;&gt;"&amp;"",Başvuru!$F:$F,"&lt;&gt;"&amp;""))</f>
        <v>0</v>
      </c>
      <c r="O147" s="168">
        <f>IF(C147="","",COUNTIFS(Başvuru!$C:$C,C147,Başvuru!$L:$L,"KAPSAM DIŞI",Başvuru!$A:$A,"&lt;&gt;"&amp;"",Başvuru!$F:$F,"&lt;&gt;"&amp;""))</f>
        <v>0</v>
      </c>
      <c r="P147" s="169">
        <f>IF(C147="","",COUNTIFS(Başvuru!$C:$C,C147,Başvuru!$L:$L,"GERİ ÇEKİLDİ",Başvuru!$A:$A,"&lt;&gt;"&amp;"",Başvuru!$F:$F,"&lt;&gt;"&amp;""))</f>
        <v>0</v>
      </c>
      <c r="Q147" s="170" t="str">
        <f t="array" ref="Q147">IFERROR(INDEX(Başvuru!$C$2:$C$3000, MATCH(0, COUNTIF($Q$5:Q146, Başvuru!$C$2:$C$3000) + IF(Başvuru!$C$2:$C$3000="",1,0), 0)), "")</f>
        <v>Dr. Öğr. Üyesi Salih Eren MERAL</v>
      </c>
      <c r="R147" s="171">
        <f>IF(Q147="","",COUNTIFS(Başvuru!$C:$C,Q147,Başvuru!$A:$A,"&lt;&gt;"&amp;"",Başvuru!$F:$F,"&lt;&gt;"&amp;""))</f>
        <v>1</v>
      </c>
      <c r="S147" s="171">
        <f>IF(R147="","",RANK(R147,$R$6:$R$505,0)+COUNTIF($R$6:R147,R147)-1)</f>
        <v>204</v>
      </c>
    </row>
    <row r="148" spans="2:19" ht="23.25" customHeight="1" x14ac:dyDescent="0.25">
      <c r="B148" s="159">
        <v>143</v>
      </c>
      <c r="C148" s="160" t="str">
        <f>IFERROR(INDEX($Q$6:$Q$505,MATCH(143,$S$6:$S$505,0)),"")</f>
        <v>Prof. Dr. Ahmet SERPER</v>
      </c>
      <c r="D148" s="161">
        <f>IF(C148="","",COUNTIFS(Başvuru!$C:$C,C148,Başvuru!$A:$A,"&lt;&gt;"&amp;"",Başvuru!$F:$F,"&lt;&gt;"&amp;""))</f>
        <v>2</v>
      </c>
      <c r="E148" s="159" t="str">
        <f>IF(C148="","-",IF(D148&gt;0,TEXT(D148/(COUNTIFS(Başvuru!$A:$A,"&lt;&gt;",Başvuru!$F:$F,"&lt;&gt;")-1)*100,"0.0")&amp;"%","-"))</f>
        <v>00%</v>
      </c>
      <c r="F148" s="162">
        <f>IF(C148="","",COUNTIFS(Başvuru!$C:$C,C148,Başvuru!$G:$G,"Bireysel Araştırma",Başvuru!$A:$A,"&lt;&gt;"&amp;"",Başvuru!$F:$F,"&lt;&gt;"&amp;""))</f>
        <v>0</v>
      </c>
      <c r="G148" s="162">
        <f>IF(C148="","",COUNTIFS(Başvuru!$C:$C,C148,Başvuru!$G:$G,"Uzmanlık Tezi",Başvuru!$A:$A,"&lt;&gt;"&amp;"",Başvuru!$F:$F,"&lt;&gt;"&amp;""))</f>
        <v>2</v>
      </c>
      <c r="H148" s="162">
        <f>IF(C148="","",COUNTIFS(Başvuru!$C:$C,C148,Başvuru!$G:$G,"Doktora Tezi",Başvuru!$A:$A,"&lt;&gt;"&amp;"",Başvuru!$F:$F,"&lt;&gt;"&amp;""))</f>
        <v>0</v>
      </c>
      <c r="I148" s="162">
        <f>IF(C148="","",COUNTIFS(Başvuru!$C:$C,C148,Başvuru!$G:$G,"Yüksek Lisans Tezi",Başvuru!$A:$A,"&lt;&gt;"&amp;"",Başvuru!$F:$F,"&lt;&gt;"&amp;""))</f>
        <v>0</v>
      </c>
      <c r="J148" s="163">
        <f>IF(C148="","",COUNTIFS(Başvuru!$C:$C,C148,Başvuru!$L:$L,"ONAY",Başvuru!$A:$A,"&lt;&gt;"&amp;"",Başvuru!$F:$F,"&lt;&gt;"&amp;""))</f>
        <v>0</v>
      </c>
      <c r="K148" s="164">
        <f>IF(C148="","",COUNTIFS(Başvuru!$C:$C,C148,Başvuru!$L:$L,"DÜZELTME",Başvuru!$A:$A,"&lt;&gt;"&amp;"",Başvuru!$F:$F,"&lt;&gt;"&amp;""))</f>
        <v>0</v>
      </c>
      <c r="L148" s="165">
        <f>IF(C148="","",COUNTIFS(Başvuru!$C:$C,C148,Başvuru!$L:$L,"KAEK",Başvuru!$A:$A,"&lt;&gt;"&amp;"",Başvuru!$F:$F,"&lt;&gt;"&amp;""))</f>
        <v>0</v>
      </c>
      <c r="M148" s="166">
        <f>IF(C148="","",COUNTIFS(Başvuru!$C:$C,C148,Başvuru!$L:$L,"GÖRÜŞ",Başvuru!$A:$A,"&lt;&gt;"&amp;"",Başvuru!$F:$F,"&lt;&gt;"&amp;""))</f>
        <v>0</v>
      </c>
      <c r="N148" s="167">
        <f>IF(C148="","",COUNTIFS(Başvuru!$C:$C,C148,Başvuru!$L:$L,"RET",Başvuru!$A:$A,"&lt;&gt;"&amp;"",Başvuru!$F:$F,"&lt;&gt;"&amp;""))</f>
        <v>1</v>
      </c>
      <c r="O148" s="168">
        <f>IF(C148="","",COUNTIFS(Başvuru!$C:$C,C148,Başvuru!$L:$L,"KAPSAM DIŞI",Başvuru!$A:$A,"&lt;&gt;"&amp;"",Başvuru!$F:$F,"&lt;&gt;"&amp;""))</f>
        <v>1</v>
      </c>
      <c r="P148" s="169">
        <f>IF(C148="","",COUNTIFS(Başvuru!$C:$C,C148,Başvuru!$L:$L,"GERİ ÇEKİLDİ",Başvuru!$A:$A,"&lt;&gt;"&amp;"",Başvuru!$F:$F,"&lt;&gt;"&amp;""))</f>
        <v>0</v>
      </c>
      <c r="Q148" s="170" t="str">
        <f t="array" ref="Q148">IFERROR(INDEX(Başvuru!$C$2:$C$3000, MATCH(0, COUNTIF($Q$5:Q147, Başvuru!$C$2:$C$3000) + IF(Başvuru!$C$2:$C$3000="",1,0), 0)), "")</f>
        <v>Prof. Dr. Murat TUNCEL</v>
      </c>
      <c r="R148" s="171">
        <f>IF(Q148="","",COUNTIFS(Başvuru!$C:$C,Q148,Başvuru!$A:$A,"&lt;&gt;"&amp;"",Başvuru!$F:$F,"&lt;&gt;"&amp;""))</f>
        <v>2</v>
      </c>
      <c r="S148" s="171">
        <f>IF(R148="","",RANK(R148,$R$6:$R$505,0)+COUNTIF($R$6:R148,R148)-1)</f>
        <v>112</v>
      </c>
    </row>
    <row r="149" spans="2:19" ht="23.25" customHeight="1" x14ac:dyDescent="0.25">
      <c r="B149" s="159">
        <v>144</v>
      </c>
      <c r="C149" s="160" t="str">
        <f>IFERROR(INDEX($Q$6:$Q$505,MATCH(144,$S$6:$S$505,0)),"")</f>
        <v>Doç. Dr. Fatima AERTS KAYA</v>
      </c>
      <c r="D149" s="161">
        <f>IF(C149="","",COUNTIFS(Başvuru!$C:$C,C149,Başvuru!$A:$A,"&lt;&gt;"&amp;"",Başvuru!$F:$F,"&lt;&gt;"&amp;""))</f>
        <v>2</v>
      </c>
      <c r="E149" s="159" t="str">
        <f>IF(C149="","-",IF(D149&gt;0,TEXT(D149/(COUNTIFS(Başvuru!$A:$A,"&lt;&gt;",Başvuru!$F:$F,"&lt;&gt;")-1)*100,"0.0")&amp;"%","-"))</f>
        <v>00%</v>
      </c>
      <c r="F149" s="162">
        <f>IF(C149="","",COUNTIFS(Başvuru!$C:$C,C149,Başvuru!$G:$G,"Bireysel Araştırma",Başvuru!$A:$A,"&lt;&gt;"&amp;"",Başvuru!$F:$F,"&lt;&gt;"&amp;""))</f>
        <v>0</v>
      </c>
      <c r="G149" s="162">
        <f>IF(C149="","",COUNTIFS(Başvuru!$C:$C,C149,Başvuru!$G:$G,"Uzmanlık Tezi",Başvuru!$A:$A,"&lt;&gt;"&amp;"",Başvuru!$F:$F,"&lt;&gt;"&amp;""))</f>
        <v>0</v>
      </c>
      <c r="H149" s="162">
        <f>IF(C149="","",COUNTIFS(Başvuru!$C:$C,C149,Başvuru!$G:$G,"Doktora Tezi",Başvuru!$A:$A,"&lt;&gt;"&amp;"",Başvuru!$F:$F,"&lt;&gt;"&amp;""))</f>
        <v>0</v>
      </c>
      <c r="I149" s="162">
        <f>IF(C149="","",COUNTIFS(Başvuru!$C:$C,C149,Başvuru!$G:$G,"Yüksek Lisans Tezi",Başvuru!$A:$A,"&lt;&gt;"&amp;"",Başvuru!$F:$F,"&lt;&gt;"&amp;""))</f>
        <v>2</v>
      </c>
      <c r="J149" s="163">
        <f>IF(C149="","",COUNTIFS(Başvuru!$C:$C,C149,Başvuru!$L:$L,"ONAY",Başvuru!$A:$A,"&lt;&gt;"&amp;"",Başvuru!$F:$F,"&lt;&gt;"&amp;""))</f>
        <v>2</v>
      </c>
      <c r="K149" s="164">
        <f>IF(C149="","",COUNTIFS(Başvuru!$C:$C,C149,Başvuru!$L:$L,"DÜZELTME",Başvuru!$A:$A,"&lt;&gt;"&amp;"",Başvuru!$F:$F,"&lt;&gt;"&amp;""))</f>
        <v>0</v>
      </c>
      <c r="L149" s="165">
        <f>IF(C149="","",COUNTIFS(Başvuru!$C:$C,C149,Başvuru!$L:$L,"KAEK",Başvuru!$A:$A,"&lt;&gt;"&amp;"",Başvuru!$F:$F,"&lt;&gt;"&amp;""))</f>
        <v>0</v>
      </c>
      <c r="M149" s="166">
        <f>IF(C149="","",COUNTIFS(Başvuru!$C:$C,C149,Başvuru!$L:$L,"GÖRÜŞ",Başvuru!$A:$A,"&lt;&gt;"&amp;"",Başvuru!$F:$F,"&lt;&gt;"&amp;""))</f>
        <v>0</v>
      </c>
      <c r="N149" s="167">
        <f>IF(C149="","",COUNTIFS(Başvuru!$C:$C,C149,Başvuru!$L:$L,"RET",Başvuru!$A:$A,"&lt;&gt;"&amp;"",Başvuru!$F:$F,"&lt;&gt;"&amp;""))</f>
        <v>0</v>
      </c>
      <c r="O149" s="168">
        <f>IF(C149="","",COUNTIFS(Başvuru!$C:$C,C149,Başvuru!$L:$L,"KAPSAM DIŞI",Başvuru!$A:$A,"&lt;&gt;"&amp;"",Başvuru!$F:$F,"&lt;&gt;"&amp;""))</f>
        <v>0</v>
      </c>
      <c r="P149" s="169">
        <f>IF(C149="","",COUNTIFS(Başvuru!$C:$C,C149,Başvuru!$L:$L,"GERİ ÇEKİLDİ",Başvuru!$A:$A,"&lt;&gt;"&amp;"",Başvuru!$F:$F,"&lt;&gt;"&amp;""))</f>
        <v>0</v>
      </c>
      <c r="Q149" s="170" t="str">
        <f t="array" ref="Q149">IFERROR(INDEX(Başvuru!$C$2:$C$3000, MATCH(0, COUNTIF($Q$5:Q148, Başvuru!$C$2:$C$3000) + IF(Başvuru!$C$2:$C$3000="",1,0), 0)), "")</f>
        <v>Prof. Dr. Özgür UĞURLUOĞLU</v>
      </c>
      <c r="R149" s="171">
        <f>IF(Q149="","",COUNTIFS(Başvuru!$C:$C,Q149,Başvuru!$A:$A,"&lt;&gt;"&amp;"",Başvuru!$F:$F,"&lt;&gt;"&amp;""))</f>
        <v>3</v>
      </c>
      <c r="S149" s="171">
        <f>IF(R149="","",RANK(R149,$R$6:$R$505,0)+COUNTIF($R$6:R149,R149)-1)</f>
        <v>64</v>
      </c>
    </row>
    <row r="150" spans="2:19" ht="23.25" customHeight="1" x14ac:dyDescent="0.25">
      <c r="B150" s="159">
        <v>145</v>
      </c>
      <c r="C150" s="160" t="str">
        <f>IFERROR(INDEX($Q$6:$Q$505,MATCH(145,$S$6:$S$505,0)),"")</f>
        <v>Arş. Gör. Dr. Kadir İNTAŞ</v>
      </c>
      <c r="D150" s="161">
        <f>IF(C150="","",COUNTIFS(Başvuru!$C:$C,C150,Başvuru!$A:$A,"&lt;&gt;"&amp;"",Başvuru!$F:$F,"&lt;&gt;"&amp;""))</f>
        <v>2</v>
      </c>
      <c r="E150" s="159" t="str">
        <f>IF(C150="","-",IF(D150&gt;0,TEXT(D150/(COUNTIFS(Başvuru!$A:$A,"&lt;&gt;",Başvuru!$F:$F,"&lt;&gt;")-1)*100,"0.0")&amp;"%","-"))</f>
        <v>00%</v>
      </c>
      <c r="F150" s="162">
        <f>IF(C150="","",COUNTIFS(Başvuru!$C:$C,C150,Başvuru!$G:$G,"Bireysel Araştırma",Başvuru!$A:$A,"&lt;&gt;"&amp;"",Başvuru!$F:$F,"&lt;&gt;"&amp;""))</f>
        <v>2</v>
      </c>
      <c r="G150" s="162">
        <f>IF(C150="","",COUNTIFS(Başvuru!$C:$C,C150,Başvuru!$G:$G,"Uzmanlık Tezi",Başvuru!$A:$A,"&lt;&gt;"&amp;"",Başvuru!$F:$F,"&lt;&gt;"&amp;""))</f>
        <v>0</v>
      </c>
      <c r="H150" s="162">
        <f>IF(C150="","",COUNTIFS(Başvuru!$C:$C,C150,Başvuru!$G:$G,"Doktora Tezi",Başvuru!$A:$A,"&lt;&gt;"&amp;"",Başvuru!$F:$F,"&lt;&gt;"&amp;""))</f>
        <v>0</v>
      </c>
      <c r="I150" s="162">
        <f>IF(C150="","",COUNTIFS(Başvuru!$C:$C,C150,Başvuru!$G:$G,"Yüksek Lisans Tezi",Başvuru!$A:$A,"&lt;&gt;"&amp;"",Başvuru!$F:$F,"&lt;&gt;"&amp;""))</f>
        <v>0</v>
      </c>
      <c r="J150" s="163">
        <f>IF(C150="","",COUNTIFS(Başvuru!$C:$C,C150,Başvuru!$L:$L,"ONAY",Başvuru!$A:$A,"&lt;&gt;"&amp;"",Başvuru!$F:$F,"&lt;&gt;"&amp;""))</f>
        <v>2</v>
      </c>
      <c r="K150" s="164">
        <f>IF(C150="","",COUNTIFS(Başvuru!$C:$C,C150,Başvuru!$L:$L,"DÜZELTME",Başvuru!$A:$A,"&lt;&gt;"&amp;"",Başvuru!$F:$F,"&lt;&gt;"&amp;""))</f>
        <v>0</v>
      </c>
      <c r="L150" s="165">
        <f>IF(C150="","",COUNTIFS(Başvuru!$C:$C,C150,Başvuru!$L:$L,"KAEK",Başvuru!$A:$A,"&lt;&gt;"&amp;"",Başvuru!$F:$F,"&lt;&gt;"&amp;""))</f>
        <v>0</v>
      </c>
      <c r="M150" s="166">
        <f>IF(C150="","",COUNTIFS(Başvuru!$C:$C,C150,Başvuru!$L:$L,"GÖRÜŞ",Başvuru!$A:$A,"&lt;&gt;"&amp;"",Başvuru!$F:$F,"&lt;&gt;"&amp;""))</f>
        <v>0</v>
      </c>
      <c r="N150" s="167">
        <f>IF(C150="","",COUNTIFS(Başvuru!$C:$C,C150,Başvuru!$L:$L,"RET",Başvuru!$A:$A,"&lt;&gt;"&amp;"",Başvuru!$F:$F,"&lt;&gt;"&amp;""))</f>
        <v>0</v>
      </c>
      <c r="O150" s="168">
        <f>IF(C150="","",COUNTIFS(Başvuru!$C:$C,C150,Başvuru!$L:$L,"KAPSAM DIŞI",Başvuru!$A:$A,"&lt;&gt;"&amp;"",Başvuru!$F:$F,"&lt;&gt;"&amp;""))</f>
        <v>0</v>
      </c>
      <c r="P150" s="169">
        <f>IF(C150="","",COUNTIFS(Başvuru!$C:$C,C150,Başvuru!$L:$L,"GERİ ÇEKİLDİ",Başvuru!$A:$A,"&lt;&gt;"&amp;"",Başvuru!$F:$F,"&lt;&gt;"&amp;""))</f>
        <v>0</v>
      </c>
      <c r="Q150" s="170" t="str">
        <f t="array" ref="Q150">IFERROR(INDEX(Başvuru!$C$2:$C$3000, MATCH(0, COUNTIF($Q$5:Q149, Başvuru!$C$2:$C$3000) + IF(Başvuru!$C$2:$C$3000="",1,0), 0)), "")</f>
        <v>Doç. Dr. Adalet Elçin YILDIZ</v>
      </c>
      <c r="R150" s="171">
        <f>IF(Q150="","",COUNTIFS(Başvuru!$C:$C,Q150,Başvuru!$A:$A,"&lt;&gt;"&amp;"",Başvuru!$F:$F,"&lt;&gt;"&amp;""))</f>
        <v>2</v>
      </c>
      <c r="S150" s="171">
        <f>IF(R150="","",RANK(R150,$R$6:$R$505,0)+COUNTIF($R$6:R150,R150)-1)</f>
        <v>113</v>
      </c>
    </row>
    <row r="151" spans="2:19" ht="23.25" customHeight="1" x14ac:dyDescent="0.25">
      <c r="B151" s="159">
        <v>146</v>
      </c>
      <c r="C151" s="160" t="str">
        <f>IFERROR(INDEX($Q$6:$Q$505,MATCH(146,$S$6:$S$505,0)),"")</f>
        <v>Dr. Öğr. Üyesi Sinan BALCI</v>
      </c>
      <c r="D151" s="161">
        <f>IF(C151="","",COUNTIFS(Başvuru!$C:$C,C151,Başvuru!$A:$A,"&lt;&gt;"&amp;"",Başvuru!$F:$F,"&lt;&gt;"&amp;""))</f>
        <v>2</v>
      </c>
      <c r="E151" s="159" t="str">
        <f>IF(C151="","-",IF(D151&gt;0,TEXT(D151/(COUNTIFS(Başvuru!$A:$A,"&lt;&gt;",Başvuru!$F:$F,"&lt;&gt;")-1)*100,"0.0")&amp;"%","-"))</f>
        <v>00%</v>
      </c>
      <c r="F151" s="162">
        <f>IF(C151="","",COUNTIFS(Başvuru!$C:$C,C151,Başvuru!$G:$G,"Bireysel Araştırma",Başvuru!$A:$A,"&lt;&gt;"&amp;"",Başvuru!$F:$F,"&lt;&gt;"&amp;""))</f>
        <v>2</v>
      </c>
      <c r="G151" s="162">
        <f>IF(C151="","",COUNTIFS(Başvuru!$C:$C,C151,Başvuru!$G:$G,"Uzmanlık Tezi",Başvuru!$A:$A,"&lt;&gt;"&amp;"",Başvuru!$F:$F,"&lt;&gt;"&amp;""))</f>
        <v>0</v>
      </c>
      <c r="H151" s="162">
        <f>IF(C151="","",COUNTIFS(Başvuru!$C:$C,C151,Başvuru!$G:$G,"Doktora Tezi",Başvuru!$A:$A,"&lt;&gt;"&amp;"",Başvuru!$F:$F,"&lt;&gt;"&amp;""))</f>
        <v>0</v>
      </c>
      <c r="I151" s="162">
        <f>IF(C151="","",COUNTIFS(Başvuru!$C:$C,C151,Başvuru!$G:$G,"Yüksek Lisans Tezi",Başvuru!$A:$A,"&lt;&gt;"&amp;"",Başvuru!$F:$F,"&lt;&gt;"&amp;""))</f>
        <v>0</v>
      </c>
      <c r="J151" s="163">
        <f>IF(C151="","",COUNTIFS(Başvuru!$C:$C,C151,Başvuru!$L:$L,"ONAY",Başvuru!$A:$A,"&lt;&gt;"&amp;"",Başvuru!$F:$F,"&lt;&gt;"&amp;""))</f>
        <v>1</v>
      </c>
      <c r="K151" s="164">
        <f>IF(C151="","",COUNTIFS(Başvuru!$C:$C,C151,Başvuru!$L:$L,"DÜZELTME",Başvuru!$A:$A,"&lt;&gt;"&amp;"",Başvuru!$F:$F,"&lt;&gt;"&amp;""))</f>
        <v>0</v>
      </c>
      <c r="L151" s="165">
        <f>IF(C151="","",COUNTIFS(Başvuru!$C:$C,C151,Başvuru!$L:$L,"KAEK",Başvuru!$A:$A,"&lt;&gt;"&amp;"",Başvuru!$F:$F,"&lt;&gt;"&amp;""))</f>
        <v>0</v>
      </c>
      <c r="M151" s="166">
        <f>IF(C151="","",COUNTIFS(Başvuru!$C:$C,C151,Başvuru!$L:$L,"GÖRÜŞ",Başvuru!$A:$A,"&lt;&gt;"&amp;"",Başvuru!$F:$F,"&lt;&gt;"&amp;""))</f>
        <v>0</v>
      </c>
      <c r="N151" s="167">
        <f>IF(C151="","",COUNTIFS(Başvuru!$C:$C,C151,Başvuru!$L:$L,"RET",Başvuru!$A:$A,"&lt;&gt;"&amp;"",Başvuru!$F:$F,"&lt;&gt;"&amp;""))</f>
        <v>0</v>
      </c>
      <c r="O151" s="168">
        <f>IF(C151="","",COUNTIFS(Başvuru!$C:$C,C151,Başvuru!$L:$L,"KAPSAM DIŞI",Başvuru!$A:$A,"&lt;&gt;"&amp;"",Başvuru!$F:$F,"&lt;&gt;"&amp;""))</f>
        <v>0</v>
      </c>
      <c r="P151" s="169">
        <f>IF(C151="","",COUNTIFS(Başvuru!$C:$C,C151,Başvuru!$L:$L,"GERİ ÇEKİLDİ",Başvuru!$A:$A,"&lt;&gt;"&amp;"",Başvuru!$F:$F,"&lt;&gt;"&amp;""))</f>
        <v>0</v>
      </c>
      <c r="Q151" s="170" t="str">
        <f t="array" ref="Q151">IFERROR(INDEX(Başvuru!$C$2:$C$3000, MATCH(0, COUNTIF($Q$5:Q150, Başvuru!$C$2:$C$3000) + IF(Başvuru!$C$2:$C$3000="",1,0), 0)), "")</f>
        <v>Doç. Dr. Duygu AYHAN BAŞER</v>
      </c>
      <c r="R151" s="171">
        <f>IF(Q151="","",COUNTIFS(Başvuru!$C:$C,Q151,Başvuru!$A:$A,"&lt;&gt;"&amp;"",Başvuru!$F:$F,"&lt;&gt;"&amp;""))</f>
        <v>5</v>
      </c>
      <c r="S151" s="171">
        <f>IF(R151="","",RANK(R151,$R$6:$R$505,0)+COUNTIF($R$6:R151,R151)-1)</f>
        <v>26</v>
      </c>
    </row>
    <row r="152" spans="2:19" ht="23.25" customHeight="1" x14ac:dyDescent="0.25">
      <c r="B152" s="159">
        <v>147</v>
      </c>
      <c r="C152" s="160" t="str">
        <f>IFERROR(INDEX($Q$6:$Q$505,MATCH(147,$S$6:$S$505,0)),"")</f>
        <v>Prof. Dr. Ali AKDOĞAN</v>
      </c>
      <c r="D152" s="161">
        <f>IF(C152="","",COUNTIFS(Başvuru!$C:$C,C152,Başvuru!$A:$A,"&lt;&gt;"&amp;"",Başvuru!$F:$F,"&lt;&gt;"&amp;""))</f>
        <v>2</v>
      </c>
      <c r="E152" s="159" t="str">
        <f>IF(C152="","-",IF(D152&gt;0,TEXT(D152/(COUNTIFS(Başvuru!$A:$A,"&lt;&gt;",Başvuru!$F:$F,"&lt;&gt;")-1)*100,"0.0")&amp;"%","-"))</f>
        <v>00%</v>
      </c>
      <c r="F152" s="162">
        <f>IF(C152="","",COUNTIFS(Başvuru!$C:$C,C152,Başvuru!$G:$G,"Bireysel Araştırma",Başvuru!$A:$A,"&lt;&gt;"&amp;"",Başvuru!$F:$F,"&lt;&gt;"&amp;""))</f>
        <v>2</v>
      </c>
      <c r="G152" s="162">
        <f>IF(C152="","",COUNTIFS(Başvuru!$C:$C,C152,Başvuru!$G:$G,"Uzmanlık Tezi",Başvuru!$A:$A,"&lt;&gt;"&amp;"",Başvuru!$F:$F,"&lt;&gt;"&amp;""))</f>
        <v>0</v>
      </c>
      <c r="H152" s="162">
        <f>IF(C152="","",COUNTIFS(Başvuru!$C:$C,C152,Başvuru!$G:$G,"Doktora Tezi",Başvuru!$A:$A,"&lt;&gt;"&amp;"",Başvuru!$F:$F,"&lt;&gt;"&amp;""))</f>
        <v>0</v>
      </c>
      <c r="I152" s="162">
        <f>IF(C152="","",COUNTIFS(Başvuru!$C:$C,C152,Başvuru!$G:$G,"Yüksek Lisans Tezi",Başvuru!$A:$A,"&lt;&gt;"&amp;"",Başvuru!$F:$F,"&lt;&gt;"&amp;""))</f>
        <v>0</v>
      </c>
      <c r="J152" s="163">
        <f>IF(C152="","",COUNTIFS(Başvuru!$C:$C,C152,Başvuru!$L:$L,"ONAY",Başvuru!$A:$A,"&lt;&gt;"&amp;"",Başvuru!$F:$F,"&lt;&gt;"&amp;""))</f>
        <v>0</v>
      </c>
      <c r="K152" s="164">
        <f>IF(C152="","",COUNTIFS(Başvuru!$C:$C,C152,Başvuru!$L:$L,"DÜZELTME",Başvuru!$A:$A,"&lt;&gt;"&amp;"",Başvuru!$F:$F,"&lt;&gt;"&amp;""))</f>
        <v>0</v>
      </c>
      <c r="L152" s="165">
        <f>IF(C152="","",COUNTIFS(Başvuru!$C:$C,C152,Başvuru!$L:$L,"KAEK",Başvuru!$A:$A,"&lt;&gt;"&amp;"",Başvuru!$F:$F,"&lt;&gt;"&amp;""))</f>
        <v>0</v>
      </c>
      <c r="M152" s="166">
        <f>IF(C152="","",COUNTIFS(Başvuru!$C:$C,C152,Başvuru!$L:$L,"GÖRÜŞ",Başvuru!$A:$A,"&lt;&gt;"&amp;"",Başvuru!$F:$F,"&lt;&gt;"&amp;""))</f>
        <v>0</v>
      </c>
      <c r="N152" s="167">
        <f>IF(C152="","",COUNTIFS(Başvuru!$C:$C,C152,Başvuru!$L:$L,"RET",Başvuru!$A:$A,"&lt;&gt;"&amp;"",Başvuru!$F:$F,"&lt;&gt;"&amp;""))</f>
        <v>0</v>
      </c>
      <c r="O152" s="168">
        <f>IF(C152="","",COUNTIFS(Başvuru!$C:$C,C152,Başvuru!$L:$L,"KAPSAM DIŞI",Başvuru!$A:$A,"&lt;&gt;"&amp;"",Başvuru!$F:$F,"&lt;&gt;"&amp;""))</f>
        <v>0</v>
      </c>
      <c r="P152" s="169">
        <f>IF(C152="","",COUNTIFS(Başvuru!$C:$C,C152,Başvuru!$L:$L,"GERİ ÇEKİLDİ",Başvuru!$A:$A,"&lt;&gt;"&amp;"",Başvuru!$F:$F,"&lt;&gt;"&amp;""))</f>
        <v>0</v>
      </c>
      <c r="Q152" s="170" t="str">
        <f t="array" ref="Q152">IFERROR(INDEX(Başvuru!$C$2:$C$3000, MATCH(0, COUNTIF($Q$5:Q151, Başvuru!$C$2:$C$3000) + IF(Başvuru!$C$2:$C$3000="",1,0), 0)), "")</f>
        <v>Doç. Dr. İdil Rana USER KILIÇ</v>
      </c>
      <c r="R152" s="171">
        <f>IF(Q152="","",COUNTIFS(Başvuru!$C:$C,Q152,Başvuru!$A:$A,"&lt;&gt;"&amp;"",Başvuru!$F:$F,"&lt;&gt;"&amp;""))</f>
        <v>2</v>
      </c>
      <c r="S152" s="171">
        <f>IF(R152="","",RANK(R152,$R$6:$R$505,0)+COUNTIF($R$6:R152,R152)-1)</f>
        <v>114</v>
      </c>
    </row>
    <row r="153" spans="2:19" ht="23.25" customHeight="1" x14ac:dyDescent="0.25">
      <c r="B153" s="159">
        <v>148</v>
      </c>
      <c r="C153" s="160" t="str">
        <f>IFERROR(INDEX($Q$6:$Q$505,MATCH(148,$S$6:$S$505,0)),"")</f>
        <v>Dr. Vet. Hek. Özgür Doğuş EROL DUYAR</v>
      </c>
      <c r="D153" s="161">
        <f>IF(C153="","",COUNTIFS(Başvuru!$C:$C,C153,Başvuru!$A:$A,"&lt;&gt;"&amp;"",Başvuru!$F:$F,"&lt;&gt;"&amp;""))</f>
        <v>1</v>
      </c>
      <c r="E153" s="159" t="str">
        <f>IF(C153="","-",IF(D153&gt;0,TEXT(D153/(COUNTIFS(Başvuru!$A:$A,"&lt;&gt;",Başvuru!$F:$F,"&lt;&gt;")-1)*100,"0.0")&amp;"%","-"))</f>
        <v>00%</v>
      </c>
      <c r="F153" s="162">
        <f>IF(C153="","",COUNTIFS(Başvuru!$C:$C,C153,Başvuru!$G:$G,"Bireysel Araştırma",Başvuru!$A:$A,"&lt;&gt;"&amp;"",Başvuru!$F:$F,"&lt;&gt;"&amp;""))</f>
        <v>1</v>
      </c>
      <c r="G153" s="162">
        <f>IF(C153="","",COUNTIFS(Başvuru!$C:$C,C153,Başvuru!$G:$G,"Uzmanlık Tezi",Başvuru!$A:$A,"&lt;&gt;"&amp;"",Başvuru!$F:$F,"&lt;&gt;"&amp;""))</f>
        <v>0</v>
      </c>
      <c r="H153" s="162">
        <f>IF(C153="","",COUNTIFS(Başvuru!$C:$C,C153,Başvuru!$G:$G,"Doktora Tezi",Başvuru!$A:$A,"&lt;&gt;"&amp;"",Başvuru!$F:$F,"&lt;&gt;"&amp;""))</f>
        <v>0</v>
      </c>
      <c r="I153" s="162">
        <f>IF(C153="","",COUNTIFS(Başvuru!$C:$C,C153,Başvuru!$G:$G,"Yüksek Lisans Tezi",Başvuru!$A:$A,"&lt;&gt;"&amp;"",Başvuru!$F:$F,"&lt;&gt;"&amp;""))</f>
        <v>0</v>
      </c>
      <c r="J153" s="163">
        <f>IF(C153="","",COUNTIFS(Başvuru!$C:$C,C153,Başvuru!$L:$L,"ONAY",Başvuru!$A:$A,"&lt;&gt;"&amp;"",Başvuru!$F:$F,"&lt;&gt;"&amp;""))</f>
        <v>1</v>
      </c>
      <c r="K153" s="164">
        <f>IF(C153="","",COUNTIFS(Başvuru!$C:$C,C153,Başvuru!$L:$L,"DÜZELTME",Başvuru!$A:$A,"&lt;&gt;"&amp;"",Başvuru!$F:$F,"&lt;&gt;"&amp;""))</f>
        <v>0</v>
      </c>
      <c r="L153" s="165">
        <f>IF(C153="","",COUNTIFS(Başvuru!$C:$C,C153,Başvuru!$L:$L,"KAEK",Başvuru!$A:$A,"&lt;&gt;"&amp;"",Başvuru!$F:$F,"&lt;&gt;"&amp;""))</f>
        <v>0</v>
      </c>
      <c r="M153" s="166">
        <f>IF(C153="","",COUNTIFS(Başvuru!$C:$C,C153,Başvuru!$L:$L,"GÖRÜŞ",Başvuru!$A:$A,"&lt;&gt;"&amp;"",Başvuru!$F:$F,"&lt;&gt;"&amp;""))</f>
        <v>0</v>
      </c>
      <c r="N153" s="167">
        <f>IF(C153="","",COUNTIFS(Başvuru!$C:$C,C153,Başvuru!$L:$L,"RET",Başvuru!$A:$A,"&lt;&gt;"&amp;"",Başvuru!$F:$F,"&lt;&gt;"&amp;""))</f>
        <v>0</v>
      </c>
      <c r="O153" s="168">
        <f>IF(C153="","",COUNTIFS(Başvuru!$C:$C,C153,Başvuru!$L:$L,"KAPSAM DIŞI",Başvuru!$A:$A,"&lt;&gt;"&amp;"",Başvuru!$F:$F,"&lt;&gt;"&amp;""))</f>
        <v>0</v>
      </c>
      <c r="P153" s="169">
        <f>IF(C153="","",COUNTIFS(Başvuru!$C:$C,C153,Başvuru!$L:$L,"GERİ ÇEKİLDİ",Başvuru!$A:$A,"&lt;&gt;"&amp;"",Başvuru!$F:$F,"&lt;&gt;"&amp;""))</f>
        <v>0</v>
      </c>
      <c r="Q153" s="170" t="str">
        <f t="array" ref="Q153">IFERROR(INDEX(Başvuru!$C$2:$C$3000, MATCH(0, COUNTIF($Q$5:Q152, Başvuru!$C$2:$C$3000) + IF(Başvuru!$C$2:$C$3000="",1,0), 0)), "")</f>
        <v>Doç. Dr. Bengisu AKARSU GÜVEN</v>
      </c>
      <c r="R153" s="171">
        <f>IF(Q153="","",COUNTIFS(Başvuru!$C:$C,Q153,Başvuru!$A:$A,"&lt;&gt;"&amp;"",Başvuru!$F:$F,"&lt;&gt;"&amp;""))</f>
        <v>1</v>
      </c>
      <c r="S153" s="171">
        <f>IF(R153="","",RANK(R153,$R$6:$R$505,0)+COUNTIF($R$6:R153,R153)-1)</f>
        <v>205</v>
      </c>
    </row>
    <row r="154" spans="2:19" ht="23.25" customHeight="1" x14ac:dyDescent="0.25">
      <c r="B154" s="159">
        <v>149</v>
      </c>
      <c r="C154" s="160" t="str">
        <f>IFERROR(INDEX($Q$6:$Q$505,MATCH(149,$S$6:$S$505,0)),"")</f>
        <v>Prof. Dr. Esra BİRBEN</v>
      </c>
      <c r="D154" s="161">
        <f>IF(C154="","",COUNTIFS(Başvuru!$C:$C,C154,Başvuru!$A:$A,"&lt;&gt;"&amp;"",Başvuru!$F:$F,"&lt;&gt;"&amp;""))</f>
        <v>1</v>
      </c>
      <c r="E154" s="159" t="str">
        <f>IF(C154="","-",IF(D154&gt;0,TEXT(D154/(COUNTIFS(Başvuru!$A:$A,"&lt;&gt;",Başvuru!$F:$F,"&lt;&gt;")-1)*100,"0.0")&amp;"%","-"))</f>
        <v>00%</v>
      </c>
      <c r="F154" s="162">
        <f>IF(C154="","",COUNTIFS(Başvuru!$C:$C,C154,Başvuru!$G:$G,"Bireysel Araştırma",Başvuru!$A:$A,"&lt;&gt;"&amp;"",Başvuru!$F:$F,"&lt;&gt;"&amp;""))</f>
        <v>1</v>
      </c>
      <c r="G154" s="162">
        <f>IF(C154="","",COUNTIFS(Başvuru!$C:$C,C154,Başvuru!$G:$G,"Uzmanlık Tezi",Başvuru!$A:$A,"&lt;&gt;"&amp;"",Başvuru!$F:$F,"&lt;&gt;"&amp;""))</f>
        <v>0</v>
      </c>
      <c r="H154" s="162">
        <f>IF(C154="","",COUNTIFS(Başvuru!$C:$C,C154,Başvuru!$G:$G,"Doktora Tezi",Başvuru!$A:$A,"&lt;&gt;"&amp;"",Başvuru!$F:$F,"&lt;&gt;"&amp;""))</f>
        <v>0</v>
      </c>
      <c r="I154" s="162">
        <f>IF(C154="","",COUNTIFS(Başvuru!$C:$C,C154,Başvuru!$G:$G,"Yüksek Lisans Tezi",Başvuru!$A:$A,"&lt;&gt;"&amp;"",Başvuru!$F:$F,"&lt;&gt;"&amp;""))</f>
        <v>0</v>
      </c>
      <c r="J154" s="163">
        <f>IF(C154="","",COUNTIFS(Başvuru!$C:$C,C154,Başvuru!$L:$L,"ONAY",Başvuru!$A:$A,"&lt;&gt;"&amp;"",Başvuru!$F:$F,"&lt;&gt;"&amp;""))</f>
        <v>1</v>
      </c>
      <c r="K154" s="164">
        <f>IF(C154="","",COUNTIFS(Başvuru!$C:$C,C154,Başvuru!$L:$L,"DÜZELTME",Başvuru!$A:$A,"&lt;&gt;"&amp;"",Başvuru!$F:$F,"&lt;&gt;"&amp;""))</f>
        <v>0</v>
      </c>
      <c r="L154" s="165">
        <f>IF(C154="","",COUNTIFS(Başvuru!$C:$C,C154,Başvuru!$L:$L,"KAEK",Başvuru!$A:$A,"&lt;&gt;"&amp;"",Başvuru!$F:$F,"&lt;&gt;"&amp;""))</f>
        <v>0</v>
      </c>
      <c r="M154" s="166">
        <f>IF(C154="","",COUNTIFS(Başvuru!$C:$C,C154,Başvuru!$L:$L,"GÖRÜŞ",Başvuru!$A:$A,"&lt;&gt;"&amp;"",Başvuru!$F:$F,"&lt;&gt;"&amp;""))</f>
        <v>0</v>
      </c>
      <c r="N154" s="167">
        <f>IF(C154="","",COUNTIFS(Başvuru!$C:$C,C154,Başvuru!$L:$L,"RET",Başvuru!$A:$A,"&lt;&gt;"&amp;"",Başvuru!$F:$F,"&lt;&gt;"&amp;""))</f>
        <v>0</v>
      </c>
      <c r="O154" s="168">
        <f>IF(C154="","",COUNTIFS(Başvuru!$C:$C,C154,Başvuru!$L:$L,"KAPSAM DIŞI",Başvuru!$A:$A,"&lt;&gt;"&amp;"",Başvuru!$F:$F,"&lt;&gt;"&amp;""))</f>
        <v>0</v>
      </c>
      <c r="P154" s="169">
        <f>IF(C154="","",COUNTIFS(Başvuru!$C:$C,C154,Başvuru!$L:$L,"GERİ ÇEKİLDİ",Başvuru!$A:$A,"&lt;&gt;"&amp;"",Başvuru!$F:$F,"&lt;&gt;"&amp;""))</f>
        <v>0</v>
      </c>
      <c r="Q154" s="170" t="str">
        <f t="array" ref="Q154">IFERROR(INDEX(Başvuru!$C$2:$C$3000, MATCH(0, COUNTIF($Q$5:Q153, Başvuru!$C$2:$C$3000) + IF(Başvuru!$C$2:$C$3000="",1,0), 0)), "")</f>
        <v>Prof. Dr. Ali DURSUN</v>
      </c>
      <c r="R154" s="171">
        <f>IF(Q154="","",COUNTIFS(Başvuru!$C:$C,Q154,Başvuru!$A:$A,"&lt;&gt;"&amp;"",Başvuru!$F:$F,"&lt;&gt;"&amp;""))</f>
        <v>1</v>
      </c>
      <c r="S154" s="171">
        <f>IF(R154="","",RANK(R154,$R$6:$R$505,0)+COUNTIF($R$6:R154,R154)-1)</f>
        <v>206</v>
      </c>
    </row>
    <row r="155" spans="2:19" ht="23.25" customHeight="1" x14ac:dyDescent="0.25">
      <c r="B155" s="159">
        <v>150</v>
      </c>
      <c r="C155" s="160" t="str">
        <f>IFERROR(INDEX($Q$6:$Q$505,MATCH(150,$S$6:$S$505,0)),"")</f>
        <v>Prof. Dr. Ömür ÇELİKBIÇAK</v>
      </c>
      <c r="D155" s="161">
        <f>IF(C155="","",COUNTIFS(Başvuru!$C:$C,C155,Başvuru!$A:$A,"&lt;&gt;"&amp;"",Başvuru!$F:$F,"&lt;&gt;"&amp;""))</f>
        <v>1</v>
      </c>
      <c r="E155" s="159" t="str">
        <f>IF(C155="","-",IF(D155&gt;0,TEXT(D155/(COUNTIFS(Başvuru!$A:$A,"&lt;&gt;",Başvuru!$F:$F,"&lt;&gt;")-1)*100,"0.0")&amp;"%","-"))</f>
        <v>00%</v>
      </c>
      <c r="F155" s="162">
        <f>IF(C155="","",COUNTIFS(Başvuru!$C:$C,C155,Başvuru!$G:$G,"Bireysel Araştırma",Başvuru!$A:$A,"&lt;&gt;"&amp;"",Başvuru!$F:$F,"&lt;&gt;"&amp;""))</f>
        <v>0</v>
      </c>
      <c r="G155" s="162">
        <f>IF(C155="","",COUNTIFS(Başvuru!$C:$C,C155,Başvuru!$G:$G,"Uzmanlık Tezi",Başvuru!$A:$A,"&lt;&gt;"&amp;"",Başvuru!$F:$F,"&lt;&gt;"&amp;""))</f>
        <v>0</v>
      </c>
      <c r="H155" s="162">
        <f>IF(C155="","",COUNTIFS(Başvuru!$C:$C,C155,Başvuru!$G:$G,"Doktora Tezi",Başvuru!$A:$A,"&lt;&gt;"&amp;"",Başvuru!$F:$F,"&lt;&gt;"&amp;""))</f>
        <v>1</v>
      </c>
      <c r="I155" s="162">
        <f>IF(C155="","",COUNTIFS(Başvuru!$C:$C,C155,Başvuru!$G:$G,"Yüksek Lisans Tezi",Başvuru!$A:$A,"&lt;&gt;"&amp;"",Başvuru!$F:$F,"&lt;&gt;"&amp;""))</f>
        <v>0</v>
      </c>
      <c r="J155" s="163">
        <f>IF(C155="","",COUNTIFS(Başvuru!$C:$C,C155,Başvuru!$L:$L,"ONAY",Başvuru!$A:$A,"&lt;&gt;"&amp;"",Başvuru!$F:$F,"&lt;&gt;"&amp;""))</f>
        <v>0</v>
      </c>
      <c r="K155" s="164">
        <f>IF(C155="","",COUNTIFS(Başvuru!$C:$C,C155,Başvuru!$L:$L,"DÜZELTME",Başvuru!$A:$A,"&lt;&gt;"&amp;"",Başvuru!$F:$F,"&lt;&gt;"&amp;""))</f>
        <v>1</v>
      </c>
      <c r="L155" s="165">
        <f>IF(C155="","",COUNTIFS(Başvuru!$C:$C,C155,Başvuru!$L:$L,"KAEK",Başvuru!$A:$A,"&lt;&gt;"&amp;"",Başvuru!$F:$F,"&lt;&gt;"&amp;""))</f>
        <v>0</v>
      </c>
      <c r="M155" s="166">
        <f>IF(C155="","",COUNTIFS(Başvuru!$C:$C,C155,Başvuru!$L:$L,"GÖRÜŞ",Başvuru!$A:$A,"&lt;&gt;"&amp;"",Başvuru!$F:$F,"&lt;&gt;"&amp;""))</f>
        <v>0</v>
      </c>
      <c r="N155" s="167">
        <f>IF(C155="","",COUNTIFS(Başvuru!$C:$C,C155,Başvuru!$L:$L,"RET",Başvuru!$A:$A,"&lt;&gt;"&amp;"",Başvuru!$F:$F,"&lt;&gt;"&amp;""))</f>
        <v>0</v>
      </c>
      <c r="O155" s="168">
        <f>IF(C155="","",COUNTIFS(Başvuru!$C:$C,C155,Başvuru!$L:$L,"KAPSAM DIŞI",Başvuru!$A:$A,"&lt;&gt;"&amp;"",Başvuru!$F:$F,"&lt;&gt;"&amp;""))</f>
        <v>0</v>
      </c>
      <c r="P155" s="169">
        <f>IF(C155="","",COUNTIFS(Başvuru!$C:$C,C155,Başvuru!$L:$L,"GERİ ÇEKİLDİ",Başvuru!$A:$A,"&lt;&gt;"&amp;"",Başvuru!$F:$F,"&lt;&gt;"&amp;""))</f>
        <v>0</v>
      </c>
      <c r="Q155" s="170" t="str">
        <f t="array" ref="Q155">IFERROR(INDEX(Başvuru!$C$2:$C$3000, MATCH(0, COUNTIF($Q$5:Q154, Başvuru!$C$2:$C$3000) + IF(Başvuru!$C$2:$C$3000="",1,0), 0)), "")</f>
        <v>Prof. Dr. Mert ÇALIŞ</v>
      </c>
      <c r="R155" s="171">
        <f>IF(Q155="","",COUNTIFS(Başvuru!$C:$C,Q155,Başvuru!$A:$A,"&lt;&gt;"&amp;"",Başvuru!$F:$F,"&lt;&gt;"&amp;""))</f>
        <v>1</v>
      </c>
      <c r="S155" s="171">
        <f>IF(R155="","",RANK(R155,$R$6:$R$505,0)+COUNTIF($R$6:R155,R155)-1)</f>
        <v>207</v>
      </c>
    </row>
    <row r="156" spans="2:19" ht="23.25" customHeight="1" x14ac:dyDescent="0.25">
      <c r="B156" s="159">
        <v>151</v>
      </c>
      <c r="C156" s="160" t="str">
        <f>IFERROR(INDEX($Q$6:$Q$505,MATCH(151,$S$6:$S$505,0)),"")</f>
        <v>Doç. Dr. Ayhan EYMİRLİ</v>
      </c>
      <c r="D156" s="161">
        <f>IF(C156="","",COUNTIFS(Başvuru!$C:$C,C156,Başvuru!$A:$A,"&lt;&gt;"&amp;"",Başvuru!$F:$F,"&lt;&gt;"&amp;""))</f>
        <v>1</v>
      </c>
      <c r="E156" s="159" t="str">
        <f>IF(C156="","-",IF(D156&gt;0,TEXT(D156/(COUNTIFS(Başvuru!$A:$A,"&lt;&gt;",Başvuru!$F:$F,"&lt;&gt;")-1)*100,"0.0")&amp;"%","-"))</f>
        <v>00%</v>
      </c>
      <c r="F156" s="162">
        <f>IF(C156="","",COUNTIFS(Başvuru!$C:$C,C156,Başvuru!$G:$G,"Bireysel Araştırma",Başvuru!$A:$A,"&lt;&gt;"&amp;"",Başvuru!$F:$F,"&lt;&gt;"&amp;""))</f>
        <v>0</v>
      </c>
      <c r="G156" s="162">
        <f>IF(C156="","",COUNTIFS(Başvuru!$C:$C,C156,Başvuru!$G:$G,"Uzmanlık Tezi",Başvuru!$A:$A,"&lt;&gt;"&amp;"",Başvuru!$F:$F,"&lt;&gt;"&amp;""))</f>
        <v>1</v>
      </c>
      <c r="H156" s="162">
        <f>IF(C156="","",COUNTIFS(Başvuru!$C:$C,C156,Başvuru!$G:$G,"Doktora Tezi",Başvuru!$A:$A,"&lt;&gt;"&amp;"",Başvuru!$F:$F,"&lt;&gt;"&amp;""))</f>
        <v>0</v>
      </c>
      <c r="I156" s="162">
        <f>IF(C156="","",COUNTIFS(Başvuru!$C:$C,C156,Başvuru!$G:$G,"Yüksek Lisans Tezi",Başvuru!$A:$A,"&lt;&gt;"&amp;"",Başvuru!$F:$F,"&lt;&gt;"&amp;""))</f>
        <v>0</v>
      </c>
      <c r="J156" s="163">
        <f>IF(C156="","",COUNTIFS(Başvuru!$C:$C,C156,Başvuru!$L:$L,"ONAY",Başvuru!$A:$A,"&lt;&gt;"&amp;"",Başvuru!$F:$F,"&lt;&gt;"&amp;""))</f>
        <v>1</v>
      </c>
      <c r="K156" s="164">
        <f>IF(C156="","",COUNTIFS(Başvuru!$C:$C,C156,Başvuru!$L:$L,"DÜZELTME",Başvuru!$A:$A,"&lt;&gt;"&amp;"",Başvuru!$F:$F,"&lt;&gt;"&amp;""))</f>
        <v>0</v>
      </c>
      <c r="L156" s="165">
        <f>IF(C156="","",COUNTIFS(Başvuru!$C:$C,C156,Başvuru!$L:$L,"KAEK",Başvuru!$A:$A,"&lt;&gt;"&amp;"",Başvuru!$F:$F,"&lt;&gt;"&amp;""))</f>
        <v>0</v>
      </c>
      <c r="M156" s="166">
        <f>IF(C156="","",COUNTIFS(Başvuru!$C:$C,C156,Başvuru!$L:$L,"GÖRÜŞ",Başvuru!$A:$A,"&lt;&gt;"&amp;"",Başvuru!$F:$F,"&lt;&gt;"&amp;""))</f>
        <v>0</v>
      </c>
      <c r="N156" s="167">
        <f>IF(C156="","",COUNTIFS(Başvuru!$C:$C,C156,Başvuru!$L:$L,"RET",Başvuru!$A:$A,"&lt;&gt;"&amp;"",Başvuru!$F:$F,"&lt;&gt;"&amp;""))</f>
        <v>0</v>
      </c>
      <c r="O156" s="168">
        <f>IF(C156="","",COUNTIFS(Başvuru!$C:$C,C156,Başvuru!$L:$L,"KAPSAM DIŞI",Başvuru!$A:$A,"&lt;&gt;"&amp;"",Başvuru!$F:$F,"&lt;&gt;"&amp;""))</f>
        <v>0</v>
      </c>
      <c r="P156" s="169">
        <f>IF(C156="","",COUNTIFS(Başvuru!$C:$C,C156,Başvuru!$L:$L,"GERİ ÇEKİLDİ",Başvuru!$A:$A,"&lt;&gt;"&amp;"",Başvuru!$F:$F,"&lt;&gt;"&amp;""))</f>
        <v>0</v>
      </c>
      <c r="Q156" s="170" t="str">
        <f t="array" ref="Q156">IFERROR(INDEX(Başvuru!$C$2:$C$3000, MATCH(0, COUNTIF($Q$5:Q155, Başvuru!$C$2:$C$3000) + IF(Başvuru!$C$2:$C$3000="",1,0), 0)), "")</f>
        <v>Dr. Öğr. Üyesi Gözde ÖZER</v>
      </c>
      <c r="R156" s="171">
        <f>IF(Q156="","",COUNTIFS(Başvuru!$C:$C,Q156,Başvuru!$A:$A,"&lt;&gt;"&amp;"",Başvuru!$F:$F,"&lt;&gt;"&amp;""))</f>
        <v>1</v>
      </c>
      <c r="S156" s="171">
        <f>IF(R156="","",RANK(R156,$R$6:$R$505,0)+COUNTIF($R$6:R156,R156)-1)</f>
        <v>208</v>
      </c>
    </row>
    <row r="157" spans="2:19" ht="23.25" customHeight="1" x14ac:dyDescent="0.25">
      <c r="B157" s="159">
        <v>152</v>
      </c>
      <c r="C157" s="160" t="str">
        <f>IFERROR(INDEX($Q$6:$Q$505,MATCH(152,$S$6:$S$505,0)),"")</f>
        <v>Prof. Dr. Yakut AKYÖN YILMAZ</v>
      </c>
      <c r="D157" s="161">
        <f>IF(C157="","",COUNTIFS(Başvuru!$C:$C,C157,Başvuru!$A:$A,"&lt;&gt;"&amp;"",Başvuru!$F:$F,"&lt;&gt;"&amp;""))</f>
        <v>1</v>
      </c>
      <c r="E157" s="159" t="str">
        <f>IF(C157="","-",IF(D157&gt;0,TEXT(D157/(COUNTIFS(Başvuru!$A:$A,"&lt;&gt;",Başvuru!$F:$F,"&lt;&gt;")-1)*100,"0.0")&amp;"%","-"))</f>
        <v>00%</v>
      </c>
      <c r="F157" s="162">
        <f>IF(C157="","",COUNTIFS(Başvuru!$C:$C,C157,Başvuru!$G:$G,"Bireysel Araştırma",Başvuru!$A:$A,"&lt;&gt;"&amp;"",Başvuru!$F:$F,"&lt;&gt;"&amp;""))</f>
        <v>0</v>
      </c>
      <c r="G157" s="162">
        <f>IF(C157="","",COUNTIFS(Başvuru!$C:$C,C157,Başvuru!$G:$G,"Uzmanlık Tezi",Başvuru!$A:$A,"&lt;&gt;"&amp;"",Başvuru!$F:$F,"&lt;&gt;"&amp;""))</f>
        <v>0</v>
      </c>
      <c r="H157" s="162">
        <f>IF(C157="","",COUNTIFS(Başvuru!$C:$C,C157,Başvuru!$G:$G,"Doktora Tezi",Başvuru!$A:$A,"&lt;&gt;"&amp;"",Başvuru!$F:$F,"&lt;&gt;"&amp;""))</f>
        <v>1</v>
      </c>
      <c r="I157" s="162">
        <f>IF(C157="","",COUNTIFS(Başvuru!$C:$C,C157,Başvuru!$G:$G,"Yüksek Lisans Tezi",Başvuru!$A:$A,"&lt;&gt;"&amp;"",Başvuru!$F:$F,"&lt;&gt;"&amp;""))</f>
        <v>0</v>
      </c>
      <c r="J157" s="163">
        <f>IF(C157="","",COUNTIFS(Başvuru!$C:$C,C157,Başvuru!$L:$L,"ONAY",Başvuru!$A:$A,"&lt;&gt;"&amp;"",Başvuru!$F:$F,"&lt;&gt;"&amp;""))</f>
        <v>0</v>
      </c>
      <c r="K157" s="164">
        <f>IF(C157="","",COUNTIFS(Başvuru!$C:$C,C157,Başvuru!$L:$L,"DÜZELTME",Başvuru!$A:$A,"&lt;&gt;"&amp;"",Başvuru!$F:$F,"&lt;&gt;"&amp;""))</f>
        <v>1</v>
      </c>
      <c r="L157" s="165">
        <f>IF(C157="","",COUNTIFS(Başvuru!$C:$C,C157,Başvuru!$L:$L,"KAEK",Başvuru!$A:$A,"&lt;&gt;"&amp;"",Başvuru!$F:$F,"&lt;&gt;"&amp;""))</f>
        <v>0</v>
      </c>
      <c r="M157" s="166">
        <f>IF(C157="","",COUNTIFS(Başvuru!$C:$C,C157,Başvuru!$L:$L,"GÖRÜŞ",Başvuru!$A:$A,"&lt;&gt;"&amp;"",Başvuru!$F:$F,"&lt;&gt;"&amp;""))</f>
        <v>0</v>
      </c>
      <c r="N157" s="167">
        <f>IF(C157="","",COUNTIFS(Başvuru!$C:$C,C157,Başvuru!$L:$L,"RET",Başvuru!$A:$A,"&lt;&gt;"&amp;"",Başvuru!$F:$F,"&lt;&gt;"&amp;""))</f>
        <v>0</v>
      </c>
      <c r="O157" s="168">
        <f>IF(C157="","",COUNTIFS(Başvuru!$C:$C,C157,Başvuru!$L:$L,"KAPSAM DIŞI",Başvuru!$A:$A,"&lt;&gt;"&amp;"",Başvuru!$F:$F,"&lt;&gt;"&amp;""))</f>
        <v>0</v>
      </c>
      <c r="P157" s="169">
        <f>IF(C157="","",COUNTIFS(Başvuru!$C:$C,C157,Başvuru!$L:$L,"GERİ ÇEKİLDİ",Başvuru!$A:$A,"&lt;&gt;"&amp;"",Başvuru!$F:$F,"&lt;&gt;"&amp;""))</f>
        <v>0</v>
      </c>
      <c r="Q157" s="170" t="str">
        <f t="array" ref="Q157">IFERROR(INDEX(Başvuru!$C$2:$C$3000, MATCH(0, COUNTIF($Q$5:Q156, Başvuru!$C$2:$C$3000) + IF(Başvuru!$C$2:$C$3000="",1,0), 0)), "")</f>
        <v>Prof. Dr. Betül ÇELEBİ SALTIK</v>
      </c>
      <c r="R157" s="171">
        <f>IF(Q157="","",COUNTIFS(Başvuru!$C:$C,Q157,Başvuru!$A:$A,"&lt;&gt;"&amp;"",Başvuru!$F:$F,"&lt;&gt;"&amp;""))</f>
        <v>2</v>
      </c>
      <c r="S157" s="171">
        <f>IF(R157="","",RANK(R157,$R$6:$R$505,0)+COUNTIF($R$6:R157,R157)-1)</f>
        <v>115</v>
      </c>
    </row>
    <row r="158" spans="2:19" ht="23.25" customHeight="1" x14ac:dyDescent="0.25">
      <c r="B158" s="159">
        <v>153</v>
      </c>
      <c r="C158" s="160" t="str">
        <f>IFERROR(INDEX($Q$6:$Q$505,MATCH(153,$S$6:$S$505,0)),"")</f>
        <v>Prof. Dr. N. Dilara ZEYBEK</v>
      </c>
      <c r="D158" s="161">
        <f>IF(C158="","",COUNTIFS(Başvuru!$C:$C,C158,Başvuru!$A:$A,"&lt;&gt;"&amp;"",Başvuru!$F:$F,"&lt;&gt;"&amp;""))</f>
        <v>1</v>
      </c>
      <c r="E158" s="159" t="str">
        <f>IF(C158="","-",IF(D158&gt;0,TEXT(D158/(COUNTIFS(Başvuru!$A:$A,"&lt;&gt;",Başvuru!$F:$F,"&lt;&gt;")-1)*100,"0.0")&amp;"%","-"))</f>
        <v>00%</v>
      </c>
      <c r="F158" s="162">
        <f>IF(C158="","",COUNTIFS(Başvuru!$C:$C,C158,Başvuru!$G:$G,"Bireysel Araştırma",Başvuru!$A:$A,"&lt;&gt;"&amp;"",Başvuru!$F:$F,"&lt;&gt;"&amp;""))</f>
        <v>0</v>
      </c>
      <c r="G158" s="162">
        <f>IF(C158="","",COUNTIFS(Başvuru!$C:$C,C158,Başvuru!$G:$G,"Uzmanlık Tezi",Başvuru!$A:$A,"&lt;&gt;"&amp;"",Başvuru!$F:$F,"&lt;&gt;"&amp;""))</f>
        <v>1</v>
      </c>
      <c r="H158" s="162">
        <f>IF(C158="","",COUNTIFS(Başvuru!$C:$C,C158,Başvuru!$G:$G,"Doktora Tezi",Başvuru!$A:$A,"&lt;&gt;"&amp;"",Başvuru!$F:$F,"&lt;&gt;"&amp;""))</f>
        <v>0</v>
      </c>
      <c r="I158" s="162">
        <f>IF(C158="","",COUNTIFS(Başvuru!$C:$C,C158,Başvuru!$G:$G,"Yüksek Lisans Tezi",Başvuru!$A:$A,"&lt;&gt;"&amp;"",Başvuru!$F:$F,"&lt;&gt;"&amp;""))</f>
        <v>0</v>
      </c>
      <c r="J158" s="163">
        <f>IF(C158="","",COUNTIFS(Başvuru!$C:$C,C158,Başvuru!$L:$L,"ONAY",Başvuru!$A:$A,"&lt;&gt;"&amp;"",Başvuru!$F:$F,"&lt;&gt;"&amp;""))</f>
        <v>0</v>
      </c>
      <c r="K158" s="164">
        <f>IF(C158="","",COUNTIFS(Başvuru!$C:$C,C158,Başvuru!$L:$L,"DÜZELTME",Başvuru!$A:$A,"&lt;&gt;"&amp;"",Başvuru!$F:$F,"&lt;&gt;"&amp;""))</f>
        <v>0</v>
      </c>
      <c r="L158" s="165">
        <f>IF(C158="","",COUNTIFS(Başvuru!$C:$C,C158,Başvuru!$L:$L,"KAEK",Başvuru!$A:$A,"&lt;&gt;"&amp;"",Başvuru!$F:$F,"&lt;&gt;"&amp;""))</f>
        <v>0</v>
      </c>
      <c r="M158" s="166">
        <f>IF(C158="","",COUNTIFS(Başvuru!$C:$C,C158,Başvuru!$L:$L,"GÖRÜŞ",Başvuru!$A:$A,"&lt;&gt;"&amp;"",Başvuru!$F:$F,"&lt;&gt;"&amp;""))</f>
        <v>0</v>
      </c>
      <c r="N158" s="167">
        <f>IF(C158="","",COUNTIFS(Başvuru!$C:$C,C158,Başvuru!$L:$L,"RET",Başvuru!$A:$A,"&lt;&gt;"&amp;"",Başvuru!$F:$F,"&lt;&gt;"&amp;""))</f>
        <v>0</v>
      </c>
      <c r="O158" s="168">
        <f>IF(C158="","",COUNTIFS(Başvuru!$C:$C,C158,Başvuru!$L:$L,"KAPSAM DIŞI",Başvuru!$A:$A,"&lt;&gt;"&amp;"",Başvuru!$F:$F,"&lt;&gt;"&amp;""))</f>
        <v>1</v>
      </c>
      <c r="P158" s="169">
        <f>IF(C158="","",COUNTIFS(Başvuru!$C:$C,C158,Başvuru!$L:$L,"GERİ ÇEKİLDİ",Başvuru!$A:$A,"&lt;&gt;"&amp;"",Başvuru!$F:$F,"&lt;&gt;"&amp;""))</f>
        <v>0</v>
      </c>
      <c r="Q158" s="170" t="str">
        <f t="array" ref="Q158">IFERROR(INDEX(Başvuru!$C$2:$C$3000, MATCH(0, COUNTIF($Q$5:Q157, Başvuru!$C$2:$C$3000) + IF(Başvuru!$C$2:$C$3000="",1,0), 0)), "")</f>
        <v>Prof. Dr. Şehnaz ALP</v>
      </c>
      <c r="R158" s="171">
        <f>IF(Q158="","",COUNTIFS(Başvuru!$C:$C,Q158,Başvuru!$A:$A,"&lt;&gt;"&amp;"",Başvuru!$F:$F,"&lt;&gt;"&amp;""))</f>
        <v>1</v>
      </c>
      <c r="S158" s="171">
        <f>IF(R158="","",RANK(R158,$R$6:$R$505,0)+COUNTIF($R$6:R158,R158)-1)</f>
        <v>209</v>
      </c>
    </row>
    <row r="159" spans="2:19" ht="23.25" customHeight="1" x14ac:dyDescent="0.25">
      <c r="B159" s="159">
        <v>154</v>
      </c>
      <c r="C159" s="160" t="str">
        <f>IFERROR(INDEX($Q$6:$Q$505,MATCH(154,$S$6:$S$505,0)),"")</f>
        <v>Prof. Dr. Orhan ODABAŞI</v>
      </c>
      <c r="D159" s="161">
        <f>IF(C159="","",COUNTIFS(Başvuru!$C:$C,C159,Başvuru!$A:$A,"&lt;&gt;"&amp;"",Başvuru!$F:$F,"&lt;&gt;"&amp;""))</f>
        <v>1</v>
      </c>
      <c r="E159" s="159" t="str">
        <f>IF(C159="","-",IF(D159&gt;0,TEXT(D159/(COUNTIFS(Başvuru!$A:$A,"&lt;&gt;",Başvuru!$F:$F,"&lt;&gt;")-1)*100,"0.0")&amp;"%","-"))</f>
        <v>00%</v>
      </c>
      <c r="F159" s="162">
        <f>IF(C159="","",COUNTIFS(Başvuru!$C:$C,C159,Başvuru!$G:$G,"Bireysel Araştırma",Başvuru!$A:$A,"&lt;&gt;"&amp;"",Başvuru!$F:$F,"&lt;&gt;"&amp;""))</f>
        <v>0</v>
      </c>
      <c r="G159" s="162">
        <f>IF(C159="","",COUNTIFS(Başvuru!$C:$C,C159,Başvuru!$G:$G,"Uzmanlık Tezi",Başvuru!$A:$A,"&lt;&gt;"&amp;"",Başvuru!$F:$F,"&lt;&gt;"&amp;""))</f>
        <v>0</v>
      </c>
      <c r="H159" s="162">
        <f>IF(C159="","",COUNTIFS(Başvuru!$C:$C,C159,Başvuru!$G:$G,"Doktora Tezi",Başvuru!$A:$A,"&lt;&gt;"&amp;"",Başvuru!$F:$F,"&lt;&gt;"&amp;""))</f>
        <v>0</v>
      </c>
      <c r="I159" s="162">
        <f>IF(C159="","",COUNTIFS(Başvuru!$C:$C,C159,Başvuru!$G:$G,"Yüksek Lisans Tezi",Başvuru!$A:$A,"&lt;&gt;"&amp;"",Başvuru!$F:$F,"&lt;&gt;"&amp;""))</f>
        <v>1</v>
      </c>
      <c r="J159" s="163">
        <f>IF(C159="","",COUNTIFS(Başvuru!$C:$C,C159,Başvuru!$L:$L,"ONAY",Başvuru!$A:$A,"&lt;&gt;"&amp;"",Başvuru!$F:$F,"&lt;&gt;"&amp;""))</f>
        <v>0</v>
      </c>
      <c r="K159" s="164">
        <f>IF(C159="","",COUNTIFS(Başvuru!$C:$C,C159,Başvuru!$L:$L,"DÜZELTME",Başvuru!$A:$A,"&lt;&gt;"&amp;"",Başvuru!$F:$F,"&lt;&gt;"&amp;""))</f>
        <v>1</v>
      </c>
      <c r="L159" s="165">
        <f>IF(C159="","",COUNTIFS(Başvuru!$C:$C,C159,Başvuru!$L:$L,"KAEK",Başvuru!$A:$A,"&lt;&gt;"&amp;"",Başvuru!$F:$F,"&lt;&gt;"&amp;""))</f>
        <v>0</v>
      </c>
      <c r="M159" s="166">
        <f>IF(C159="","",COUNTIFS(Başvuru!$C:$C,C159,Başvuru!$L:$L,"GÖRÜŞ",Başvuru!$A:$A,"&lt;&gt;"&amp;"",Başvuru!$F:$F,"&lt;&gt;"&amp;""))</f>
        <v>0</v>
      </c>
      <c r="N159" s="167">
        <f>IF(C159="","",COUNTIFS(Başvuru!$C:$C,C159,Başvuru!$L:$L,"RET",Başvuru!$A:$A,"&lt;&gt;"&amp;"",Başvuru!$F:$F,"&lt;&gt;"&amp;""))</f>
        <v>0</v>
      </c>
      <c r="O159" s="168">
        <f>IF(C159="","",COUNTIFS(Başvuru!$C:$C,C159,Başvuru!$L:$L,"KAPSAM DIŞI",Başvuru!$A:$A,"&lt;&gt;"&amp;"",Başvuru!$F:$F,"&lt;&gt;"&amp;""))</f>
        <v>0</v>
      </c>
      <c r="P159" s="169">
        <f>IF(C159="","",COUNTIFS(Başvuru!$C:$C,C159,Başvuru!$L:$L,"GERİ ÇEKİLDİ",Başvuru!$A:$A,"&lt;&gt;"&amp;"",Başvuru!$F:$F,"&lt;&gt;"&amp;""))</f>
        <v>0</v>
      </c>
      <c r="Q159" s="170" t="str">
        <f t="array" ref="Q159">IFERROR(INDEX(Başvuru!$C$2:$C$3000, MATCH(0, COUNTIF($Q$5:Q158, Başvuru!$C$2:$C$3000) + IF(Başvuru!$C$2:$C$3000="",1,0), 0)), "")</f>
        <v>Prof. Dr. Bora GÜLHAN</v>
      </c>
      <c r="R159" s="171">
        <f>IF(Q159="","",COUNTIFS(Başvuru!$C:$C,Q159,Başvuru!$A:$A,"&lt;&gt;"&amp;"",Başvuru!$F:$F,"&lt;&gt;"&amp;""))</f>
        <v>1</v>
      </c>
      <c r="S159" s="171">
        <f>IF(R159="","",RANK(R159,$R$6:$R$505,0)+COUNTIF($R$6:R159,R159)-1)</f>
        <v>210</v>
      </c>
    </row>
    <row r="160" spans="2:19" ht="23.25" customHeight="1" x14ac:dyDescent="0.25">
      <c r="B160" s="159">
        <v>155</v>
      </c>
      <c r="C160" s="160" t="str">
        <f>IFERROR(INDEX($Q$6:$Q$505,MATCH(155,$S$6:$S$505,0)),"")</f>
        <v>Prof. Dr. Banu KILIÇASLAN</v>
      </c>
      <c r="D160" s="161">
        <f>IF(C160="","",COUNTIFS(Başvuru!$C:$C,C160,Başvuru!$A:$A,"&lt;&gt;"&amp;"",Başvuru!$F:$F,"&lt;&gt;"&amp;""))</f>
        <v>1</v>
      </c>
      <c r="E160" s="159" t="str">
        <f>IF(C160="","-",IF(D160&gt;0,TEXT(D160/(COUNTIFS(Başvuru!$A:$A,"&lt;&gt;",Başvuru!$F:$F,"&lt;&gt;")-1)*100,"0.0")&amp;"%","-"))</f>
        <v>00%</v>
      </c>
      <c r="F160" s="162">
        <f>IF(C160="","",COUNTIFS(Başvuru!$C:$C,C160,Başvuru!$G:$G,"Bireysel Araştırma",Başvuru!$A:$A,"&lt;&gt;"&amp;"",Başvuru!$F:$F,"&lt;&gt;"&amp;""))</f>
        <v>0</v>
      </c>
      <c r="G160" s="162">
        <f>IF(C160="","",COUNTIFS(Başvuru!$C:$C,C160,Başvuru!$G:$G,"Uzmanlık Tezi",Başvuru!$A:$A,"&lt;&gt;"&amp;"",Başvuru!$F:$F,"&lt;&gt;"&amp;""))</f>
        <v>1</v>
      </c>
      <c r="H160" s="162">
        <f>IF(C160="","",COUNTIFS(Başvuru!$C:$C,C160,Başvuru!$G:$G,"Doktora Tezi",Başvuru!$A:$A,"&lt;&gt;"&amp;"",Başvuru!$F:$F,"&lt;&gt;"&amp;""))</f>
        <v>0</v>
      </c>
      <c r="I160" s="162">
        <f>IF(C160="","",COUNTIFS(Başvuru!$C:$C,C160,Başvuru!$G:$G,"Yüksek Lisans Tezi",Başvuru!$A:$A,"&lt;&gt;"&amp;"",Başvuru!$F:$F,"&lt;&gt;"&amp;""))</f>
        <v>0</v>
      </c>
      <c r="J160" s="163">
        <f>IF(C160="","",COUNTIFS(Başvuru!$C:$C,C160,Başvuru!$L:$L,"ONAY",Başvuru!$A:$A,"&lt;&gt;"&amp;"",Başvuru!$F:$F,"&lt;&gt;"&amp;""))</f>
        <v>0</v>
      </c>
      <c r="K160" s="164">
        <f>IF(C160="","",COUNTIFS(Başvuru!$C:$C,C160,Başvuru!$L:$L,"DÜZELTME",Başvuru!$A:$A,"&lt;&gt;"&amp;"",Başvuru!$F:$F,"&lt;&gt;"&amp;""))</f>
        <v>1</v>
      </c>
      <c r="L160" s="165">
        <f>IF(C160="","",COUNTIFS(Başvuru!$C:$C,C160,Başvuru!$L:$L,"KAEK",Başvuru!$A:$A,"&lt;&gt;"&amp;"",Başvuru!$F:$F,"&lt;&gt;"&amp;""))</f>
        <v>0</v>
      </c>
      <c r="M160" s="166">
        <f>IF(C160="","",COUNTIFS(Başvuru!$C:$C,C160,Başvuru!$L:$L,"GÖRÜŞ",Başvuru!$A:$A,"&lt;&gt;"&amp;"",Başvuru!$F:$F,"&lt;&gt;"&amp;""))</f>
        <v>0</v>
      </c>
      <c r="N160" s="167">
        <f>IF(C160="","",COUNTIFS(Başvuru!$C:$C,C160,Başvuru!$L:$L,"RET",Başvuru!$A:$A,"&lt;&gt;"&amp;"",Başvuru!$F:$F,"&lt;&gt;"&amp;""))</f>
        <v>0</v>
      </c>
      <c r="O160" s="168">
        <f>IF(C160="","",COUNTIFS(Başvuru!$C:$C,C160,Başvuru!$L:$L,"KAPSAM DIŞI",Başvuru!$A:$A,"&lt;&gt;"&amp;"",Başvuru!$F:$F,"&lt;&gt;"&amp;""))</f>
        <v>0</v>
      </c>
      <c r="P160" s="169">
        <f>IF(C160="","",COUNTIFS(Başvuru!$C:$C,C160,Başvuru!$L:$L,"GERİ ÇEKİLDİ",Başvuru!$A:$A,"&lt;&gt;"&amp;"",Başvuru!$F:$F,"&lt;&gt;"&amp;""))</f>
        <v>0</v>
      </c>
      <c r="Q160" s="170" t="str">
        <f t="array" ref="Q160">IFERROR(INDEX(Başvuru!$C$2:$C$3000, MATCH(0, COUNTIF($Q$5:Q159, Başvuru!$C$2:$C$3000) + IF(Başvuru!$C$2:$C$3000="",1,0), 0)), "")</f>
        <v>Doç. Dr. Sevtap ARSLAN SARIKAYA</v>
      </c>
      <c r="R160" s="171">
        <f>IF(Q160="","",COUNTIFS(Başvuru!$C:$C,Q160,Başvuru!$A:$A,"&lt;&gt;"&amp;"",Başvuru!$F:$F,"&lt;&gt;"&amp;""))</f>
        <v>1</v>
      </c>
      <c r="S160" s="171">
        <f>IF(R160="","",RANK(R160,$R$6:$R$505,0)+COUNTIF($R$6:R160,R160)-1)</f>
        <v>211</v>
      </c>
    </row>
    <row r="161" spans="2:19" ht="23.25" customHeight="1" x14ac:dyDescent="0.25">
      <c r="B161" s="159">
        <v>156</v>
      </c>
      <c r="C161" s="160" t="str">
        <f>IFERROR(INDEX($Q$6:$Q$505,MATCH(156,$S$6:$S$505,0)),"")</f>
        <v>Doç. Dr. Ulaş KUMBASAR</v>
      </c>
      <c r="D161" s="161">
        <f>IF(C161="","",COUNTIFS(Başvuru!$C:$C,C161,Başvuru!$A:$A,"&lt;&gt;"&amp;"",Başvuru!$F:$F,"&lt;&gt;"&amp;""))</f>
        <v>1</v>
      </c>
      <c r="E161" s="159" t="str">
        <f>IF(C161="","-",IF(D161&gt;0,TEXT(D161/(COUNTIFS(Başvuru!$A:$A,"&lt;&gt;",Başvuru!$F:$F,"&lt;&gt;")-1)*100,"0.0")&amp;"%","-"))</f>
        <v>00%</v>
      </c>
      <c r="F161" s="162">
        <f>IF(C161="","",COUNTIFS(Başvuru!$C:$C,C161,Başvuru!$G:$G,"Bireysel Araştırma",Başvuru!$A:$A,"&lt;&gt;"&amp;"",Başvuru!$F:$F,"&lt;&gt;"&amp;""))</f>
        <v>1</v>
      </c>
      <c r="G161" s="162">
        <f>IF(C161="","",COUNTIFS(Başvuru!$C:$C,C161,Başvuru!$G:$G,"Uzmanlık Tezi",Başvuru!$A:$A,"&lt;&gt;"&amp;"",Başvuru!$F:$F,"&lt;&gt;"&amp;""))</f>
        <v>0</v>
      </c>
      <c r="H161" s="162">
        <f>IF(C161="","",COUNTIFS(Başvuru!$C:$C,C161,Başvuru!$G:$G,"Doktora Tezi",Başvuru!$A:$A,"&lt;&gt;"&amp;"",Başvuru!$F:$F,"&lt;&gt;"&amp;""))</f>
        <v>0</v>
      </c>
      <c r="I161" s="162">
        <f>IF(C161="","",COUNTIFS(Başvuru!$C:$C,C161,Başvuru!$G:$G,"Yüksek Lisans Tezi",Başvuru!$A:$A,"&lt;&gt;"&amp;"",Başvuru!$F:$F,"&lt;&gt;"&amp;""))</f>
        <v>0</v>
      </c>
      <c r="J161" s="163">
        <f>IF(C161="","",COUNTIFS(Başvuru!$C:$C,C161,Başvuru!$L:$L,"ONAY",Başvuru!$A:$A,"&lt;&gt;"&amp;"",Başvuru!$F:$F,"&lt;&gt;"&amp;""))</f>
        <v>1</v>
      </c>
      <c r="K161" s="164">
        <f>IF(C161="","",COUNTIFS(Başvuru!$C:$C,C161,Başvuru!$L:$L,"DÜZELTME",Başvuru!$A:$A,"&lt;&gt;"&amp;"",Başvuru!$F:$F,"&lt;&gt;"&amp;""))</f>
        <v>0</v>
      </c>
      <c r="L161" s="165">
        <f>IF(C161="","",COUNTIFS(Başvuru!$C:$C,C161,Başvuru!$L:$L,"KAEK",Başvuru!$A:$A,"&lt;&gt;"&amp;"",Başvuru!$F:$F,"&lt;&gt;"&amp;""))</f>
        <v>0</v>
      </c>
      <c r="M161" s="166">
        <f>IF(C161="","",COUNTIFS(Başvuru!$C:$C,C161,Başvuru!$L:$L,"GÖRÜŞ",Başvuru!$A:$A,"&lt;&gt;"&amp;"",Başvuru!$F:$F,"&lt;&gt;"&amp;""))</f>
        <v>0</v>
      </c>
      <c r="N161" s="167">
        <f>IF(C161="","",COUNTIFS(Başvuru!$C:$C,C161,Başvuru!$L:$L,"RET",Başvuru!$A:$A,"&lt;&gt;"&amp;"",Başvuru!$F:$F,"&lt;&gt;"&amp;""))</f>
        <v>0</v>
      </c>
      <c r="O161" s="168">
        <f>IF(C161="","",COUNTIFS(Başvuru!$C:$C,C161,Başvuru!$L:$L,"KAPSAM DIŞI",Başvuru!$A:$A,"&lt;&gt;"&amp;"",Başvuru!$F:$F,"&lt;&gt;"&amp;""))</f>
        <v>0</v>
      </c>
      <c r="P161" s="169">
        <f>IF(C161="","",COUNTIFS(Başvuru!$C:$C,C161,Başvuru!$L:$L,"GERİ ÇEKİLDİ",Başvuru!$A:$A,"&lt;&gt;"&amp;"",Başvuru!$F:$F,"&lt;&gt;"&amp;""))</f>
        <v>0</v>
      </c>
      <c r="Q161" s="170" t="str">
        <f t="array" ref="Q161">IFERROR(INDEX(Başvuru!$C$2:$C$3000, MATCH(0, COUNTIF($Q$5:Q160, Başvuru!$C$2:$C$3000) + IF(Başvuru!$C$2:$C$3000="",1,0), 0)), "")</f>
        <v>Doç. Dr. Zeynep TÜZÜN GÜN</v>
      </c>
      <c r="R161" s="171">
        <f>IF(Q161="","",COUNTIFS(Başvuru!$C:$C,Q161,Başvuru!$A:$A,"&lt;&gt;"&amp;"",Başvuru!$F:$F,"&lt;&gt;"&amp;""))</f>
        <v>1</v>
      </c>
      <c r="S161" s="171">
        <f>IF(R161="","",RANK(R161,$R$6:$R$505,0)+COUNTIF($R$6:R161,R161)-1)</f>
        <v>212</v>
      </c>
    </row>
    <row r="162" spans="2:19" ht="23.25" customHeight="1" x14ac:dyDescent="0.25">
      <c r="B162" s="159">
        <v>157</v>
      </c>
      <c r="C162" s="160" t="str">
        <f>IFERROR(INDEX($Q$6:$Q$505,MATCH(157,$S$6:$S$505,0)),"")</f>
        <v>Prof. Dr. Emre TOSUN</v>
      </c>
      <c r="D162" s="161">
        <f>IF(C162="","",COUNTIFS(Başvuru!$C:$C,C162,Başvuru!$A:$A,"&lt;&gt;"&amp;"",Başvuru!$F:$F,"&lt;&gt;"&amp;""))</f>
        <v>1</v>
      </c>
      <c r="E162" s="159" t="str">
        <f>IF(C162="","-",IF(D162&gt;0,TEXT(D162/(COUNTIFS(Başvuru!$A:$A,"&lt;&gt;",Başvuru!$F:$F,"&lt;&gt;")-1)*100,"0.0")&amp;"%","-"))</f>
        <v>00%</v>
      </c>
      <c r="F162" s="162">
        <f>IF(C162="","",COUNTIFS(Başvuru!$C:$C,C162,Başvuru!$G:$G,"Bireysel Araştırma",Başvuru!$A:$A,"&lt;&gt;"&amp;"",Başvuru!$F:$F,"&lt;&gt;"&amp;""))</f>
        <v>1</v>
      </c>
      <c r="G162" s="162">
        <f>IF(C162="","",COUNTIFS(Başvuru!$C:$C,C162,Başvuru!$G:$G,"Uzmanlık Tezi",Başvuru!$A:$A,"&lt;&gt;"&amp;"",Başvuru!$F:$F,"&lt;&gt;"&amp;""))</f>
        <v>0</v>
      </c>
      <c r="H162" s="162">
        <f>IF(C162="","",COUNTIFS(Başvuru!$C:$C,C162,Başvuru!$G:$G,"Doktora Tezi",Başvuru!$A:$A,"&lt;&gt;"&amp;"",Başvuru!$F:$F,"&lt;&gt;"&amp;""))</f>
        <v>0</v>
      </c>
      <c r="I162" s="162">
        <f>IF(C162="","",COUNTIFS(Başvuru!$C:$C,C162,Başvuru!$G:$G,"Yüksek Lisans Tezi",Başvuru!$A:$A,"&lt;&gt;"&amp;"",Başvuru!$F:$F,"&lt;&gt;"&amp;""))</f>
        <v>0</v>
      </c>
      <c r="J162" s="163">
        <f>IF(C162="","",COUNTIFS(Başvuru!$C:$C,C162,Başvuru!$L:$L,"ONAY",Başvuru!$A:$A,"&lt;&gt;"&amp;"",Başvuru!$F:$F,"&lt;&gt;"&amp;""))</f>
        <v>0</v>
      </c>
      <c r="K162" s="164">
        <f>IF(C162="","",COUNTIFS(Başvuru!$C:$C,C162,Başvuru!$L:$L,"DÜZELTME",Başvuru!$A:$A,"&lt;&gt;"&amp;"",Başvuru!$F:$F,"&lt;&gt;"&amp;""))</f>
        <v>0</v>
      </c>
      <c r="L162" s="165">
        <f>IF(C162="","",COUNTIFS(Başvuru!$C:$C,C162,Başvuru!$L:$L,"KAEK",Başvuru!$A:$A,"&lt;&gt;"&amp;"",Başvuru!$F:$F,"&lt;&gt;"&amp;""))</f>
        <v>0</v>
      </c>
      <c r="M162" s="166">
        <f>IF(C162="","",COUNTIFS(Başvuru!$C:$C,C162,Başvuru!$L:$L,"GÖRÜŞ",Başvuru!$A:$A,"&lt;&gt;"&amp;"",Başvuru!$F:$F,"&lt;&gt;"&amp;""))</f>
        <v>1</v>
      </c>
      <c r="N162" s="167">
        <f>IF(C162="","",COUNTIFS(Başvuru!$C:$C,C162,Başvuru!$L:$L,"RET",Başvuru!$A:$A,"&lt;&gt;"&amp;"",Başvuru!$F:$F,"&lt;&gt;"&amp;""))</f>
        <v>0</v>
      </c>
      <c r="O162" s="168">
        <f>IF(C162="","",COUNTIFS(Başvuru!$C:$C,C162,Başvuru!$L:$L,"KAPSAM DIŞI",Başvuru!$A:$A,"&lt;&gt;"&amp;"",Başvuru!$F:$F,"&lt;&gt;"&amp;""))</f>
        <v>0</v>
      </c>
      <c r="P162" s="169">
        <f>IF(C162="","",COUNTIFS(Başvuru!$C:$C,C162,Başvuru!$L:$L,"GERİ ÇEKİLDİ",Başvuru!$A:$A,"&lt;&gt;"&amp;"",Başvuru!$F:$F,"&lt;&gt;"&amp;""))</f>
        <v>0</v>
      </c>
      <c r="Q162" s="170" t="str">
        <f t="array" ref="Q162">IFERROR(INDEX(Başvuru!$C$2:$C$3000, MATCH(0, COUNTIF($Q$5:Q161, Başvuru!$C$2:$C$3000) + IF(Başvuru!$C$2:$C$3000="",1,0), 0)), "")</f>
        <v>Prof. Dr. Fadime İrsel TEZER FİLİK</v>
      </c>
      <c r="R162" s="171">
        <f>IF(Q162="","",COUNTIFS(Başvuru!$C:$C,Q162,Başvuru!$A:$A,"&lt;&gt;"&amp;"",Başvuru!$F:$F,"&lt;&gt;"&amp;""))</f>
        <v>3</v>
      </c>
      <c r="S162" s="171">
        <f>IF(R162="","",RANK(R162,$R$6:$R$505,0)+COUNTIF($R$6:R162,R162)-1)</f>
        <v>65</v>
      </c>
    </row>
    <row r="163" spans="2:19" ht="23.25" customHeight="1" x14ac:dyDescent="0.25">
      <c r="B163" s="159">
        <v>158</v>
      </c>
      <c r="C163" s="160" t="str">
        <f>IFERROR(INDEX($Q$6:$Q$505,MATCH(158,$S$6:$S$505,0)),"")</f>
        <v>Prof. Dr. Müzeyyen Pınar ÖZGEN KIRATLI</v>
      </c>
      <c r="D163" s="161">
        <f>IF(C163="","",COUNTIFS(Başvuru!$C:$C,C163,Başvuru!$A:$A,"&lt;&gt;"&amp;"",Başvuru!$F:$F,"&lt;&gt;"&amp;""))</f>
        <v>1</v>
      </c>
      <c r="E163" s="159" t="str">
        <f>IF(C163="","-",IF(D163&gt;0,TEXT(D163/(COUNTIFS(Başvuru!$A:$A,"&lt;&gt;",Başvuru!$F:$F,"&lt;&gt;")-1)*100,"0.0")&amp;"%","-"))</f>
        <v>00%</v>
      </c>
      <c r="F163" s="162">
        <f>IF(C163="","",COUNTIFS(Başvuru!$C:$C,C163,Başvuru!$G:$G,"Bireysel Araştırma",Başvuru!$A:$A,"&lt;&gt;"&amp;"",Başvuru!$F:$F,"&lt;&gt;"&amp;""))</f>
        <v>1</v>
      </c>
      <c r="G163" s="162">
        <f>IF(C163="","",COUNTIFS(Başvuru!$C:$C,C163,Başvuru!$G:$G,"Uzmanlık Tezi",Başvuru!$A:$A,"&lt;&gt;"&amp;"",Başvuru!$F:$F,"&lt;&gt;"&amp;""))</f>
        <v>0</v>
      </c>
      <c r="H163" s="162">
        <f>IF(C163="","",COUNTIFS(Başvuru!$C:$C,C163,Başvuru!$G:$G,"Doktora Tezi",Başvuru!$A:$A,"&lt;&gt;"&amp;"",Başvuru!$F:$F,"&lt;&gt;"&amp;""))</f>
        <v>0</v>
      </c>
      <c r="I163" s="162">
        <f>IF(C163="","",COUNTIFS(Başvuru!$C:$C,C163,Başvuru!$G:$G,"Yüksek Lisans Tezi",Başvuru!$A:$A,"&lt;&gt;"&amp;"",Başvuru!$F:$F,"&lt;&gt;"&amp;""))</f>
        <v>0</v>
      </c>
      <c r="J163" s="163">
        <f>IF(C163="","",COUNTIFS(Başvuru!$C:$C,C163,Başvuru!$L:$L,"ONAY",Başvuru!$A:$A,"&lt;&gt;"&amp;"",Başvuru!$F:$F,"&lt;&gt;"&amp;""))</f>
        <v>1</v>
      </c>
      <c r="K163" s="164">
        <f>IF(C163="","",COUNTIFS(Başvuru!$C:$C,C163,Başvuru!$L:$L,"DÜZELTME",Başvuru!$A:$A,"&lt;&gt;"&amp;"",Başvuru!$F:$F,"&lt;&gt;"&amp;""))</f>
        <v>0</v>
      </c>
      <c r="L163" s="165">
        <f>IF(C163="","",COUNTIFS(Başvuru!$C:$C,C163,Başvuru!$L:$L,"KAEK",Başvuru!$A:$A,"&lt;&gt;"&amp;"",Başvuru!$F:$F,"&lt;&gt;"&amp;""))</f>
        <v>0</v>
      </c>
      <c r="M163" s="166">
        <f>IF(C163="","",COUNTIFS(Başvuru!$C:$C,C163,Başvuru!$L:$L,"GÖRÜŞ",Başvuru!$A:$A,"&lt;&gt;"&amp;"",Başvuru!$F:$F,"&lt;&gt;"&amp;""))</f>
        <v>0</v>
      </c>
      <c r="N163" s="167">
        <f>IF(C163="","",COUNTIFS(Başvuru!$C:$C,C163,Başvuru!$L:$L,"RET",Başvuru!$A:$A,"&lt;&gt;"&amp;"",Başvuru!$F:$F,"&lt;&gt;"&amp;""))</f>
        <v>0</v>
      </c>
      <c r="O163" s="168">
        <f>IF(C163="","",COUNTIFS(Başvuru!$C:$C,C163,Başvuru!$L:$L,"KAPSAM DIŞI",Başvuru!$A:$A,"&lt;&gt;"&amp;"",Başvuru!$F:$F,"&lt;&gt;"&amp;""))</f>
        <v>0</v>
      </c>
      <c r="P163" s="169">
        <f>IF(C163="","",COUNTIFS(Başvuru!$C:$C,C163,Başvuru!$L:$L,"GERİ ÇEKİLDİ",Başvuru!$A:$A,"&lt;&gt;"&amp;"",Başvuru!$F:$F,"&lt;&gt;"&amp;""))</f>
        <v>0</v>
      </c>
      <c r="Q163" s="170" t="str">
        <f t="array" ref="Q163">IFERROR(INDEX(Başvuru!$C$2:$C$3000, MATCH(0, COUNTIF($Q$5:Q162, Başvuru!$C$2:$C$3000) + IF(Başvuru!$C$2:$C$3000="",1,0), 0)), "")</f>
        <v>Doç. Dr. Kevser NALBANT</v>
      </c>
      <c r="R163" s="171">
        <f>IF(Q163="","",COUNTIFS(Başvuru!$C:$C,Q163,Başvuru!$A:$A,"&lt;&gt;"&amp;"",Başvuru!$F:$F,"&lt;&gt;"&amp;""))</f>
        <v>1</v>
      </c>
      <c r="S163" s="171">
        <f>IF(R163="","",RANK(R163,$R$6:$R$505,0)+COUNTIF($R$6:R163,R163)-1)</f>
        <v>213</v>
      </c>
    </row>
    <row r="164" spans="2:19" ht="23.25" customHeight="1" x14ac:dyDescent="0.25">
      <c r="B164" s="159">
        <v>159</v>
      </c>
      <c r="C164" s="160" t="str">
        <f>IFERROR(INDEX($Q$6:$Q$505,MATCH(159,$S$6:$S$505,0)),"")</f>
        <v>Öğr. Gör. Dr. Burçay TELLİOĞLU</v>
      </c>
      <c r="D164" s="161">
        <f>IF(C164="","",COUNTIFS(Başvuru!$C:$C,C164,Başvuru!$A:$A,"&lt;&gt;"&amp;"",Başvuru!$F:$F,"&lt;&gt;"&amp;""))</f>
        <v>1</v>
      </c>
      <c r="E164" s="159" t="str">
        <f>IF(C164="","-",IF(D164&gt;0,TEXT(D164/(COUNTIFS(Başvuru!$A:$A,"&lt;&gt;",Başvuru!$F:$F,"&lt;&gt;")-1)*100,"0.0")&amp;"%","-"))</f>
        <v>00%</v>
      </c>
      <c r="F164" s="162">
        <f>IF(C164="","",COUNTIFS(Başvuru!$C:$C,C164,Başvuru!$G:$G,"Bireysel Araştırma",Başvuru!$A:$A,"&lt;&gt;"&amp;"",Başvuru!$F:$F,"&lt;&gt;"&amp;""))</f>
        <v>1</v>
      </c>
      <c r="G164" s="162">
        <f>IF(C164="","",COUNTIFS(Başvuru!$C:$C,C164,Başvuru!$G:$G,"Uzmanlık Tezi",Başvuru!$A:$A,"&lt;&gt;"&amp;"",Başvuru!$F:$F,"&lt;&gt;"&amp;""))</f>
        <v>0</v>
      </c>
      <c r="H164" s="162">
        <f>IF(C164="","",COUNTIFS(Başvuru!$C:$C,C164,Başvuru!$G:$G,"Doktora Tezi",Başvuru!$A:$A,"&lt;&gt;"&amp;"",Başvuru!$F:$F,"&lt;&gt;"&amp;""))</f>
        <v>0</v>
      </c>
      <c r="I164" s="162">
        <f>IF(C164="","",COUNTIFS(Başvuru!$C:$C,C164,Başvuru!$G:$G,"Yüksek Lisans Tezi",Başvuru!$A:$A,"&lt;&gt;"&amp;"",Başvuru!$F:$F,"&lt;&gt;"&amp;""))</f>
        <v>0</v>
      </c>
      <c r="J164" s="163">
        <f>IF(C164="","",COUNTIFS(Başvuru!$C:$C,C164,Başvuru!$L:$L,"ONAY",Başvuru!$A:$A,"&lt;&gt;"&amp;"",Başvuru!$F:$F,"&lt;&gt;"&amp;""))</f>
        <v>0</v>
      </c>
      <c r="K164" s="164">
        <f>IF(C164="","",COUNTIFS(Başvuru!$C:$C,C164,Başvuru!$L:$L,"DÜZELTME",Başvuru!$A:$A,"&lt;&gt;"&amp;"",Başvuru!$F:$F,"&lt;&gt;"&amp;""))</f>
        <v>0</v>
      </c>
      <c r="L164" s="165">
        <f>IF(C164="","",COUNTIFS(Başvuru!$C:$C,C164,Başvuru!$L:$L,"KAEK",Başvuru!$A:$A,"&lt;&gt;"&amp;"",Başvuru!$F:$F,"&lt;&gt;"&amp;""))</f>
        <v>0</v>
      </c>
      <c r="M164" s="166">
        <f>IF(C164="","",COUNTIFS(Başvuru!$C:$C,C164,Başvuru!$L:$L,"GÖRÜŞ",Başvuru!$A:$A,"&lt;&gt;"&amp;"",Başvuru!$F:$F,"&lt;&gt;"&amp;""))</f>
        <v>1</v>
      </c>
      <c r="N164" s="167">
        <f>IF(C164="","",COUNTIFS(Başvuru!$C:$C,C164,Başvuru!$L:$L,"RET",Başvuru!$A:$A,"&lt;&gt;"&amp;"",Başvuru!$F:$F,"&lt;&gt;"&amp;""))</f>
        <v>0</v>
      </c>
      <c r="O164" s="168">
        <f>IF(C164="","",COUNTIFS(Başvuru!$C:$C,C164,Başvuru!$L:$L,"KAPSAM DIŞI",Başvuru!$A:$A,"&lt;&gt;"&amp;"",Başvuru!$F:$F,"&lt;&gt;"&amp;""))</f>
        <v>0</v>
      </c>
      <c r="P164" s="169">
        <f>IF(C164="","",COUNTIFS(Başvuru!$C:$C,C164,Başvuru!$L:$L,"GERİ ÇEKİLDİ",Başvuru!$A:$A,"&lt;&gt;"&amp;"",Başvuru!$F:$F,"&lt;&gt;"&amp;""))</f>
        <v>0</v>
      </c>
      <c r="Q164" s="170" t="str">
        <f t="array" ref="Q164">IFERROR(INDEX(Başvuru!$C$2:$C$3000, MATCH(0, COUNTIF($Q$5:Q163, Başvuru!$C$2:$C$3000) + IF(Başvuru!$C$2:$C$3000="",1,0), 0)), "")</f>
        <v>Prof. Dr. Özlem TEKŞAM</v>
      </c>
      <c r="R164" s="171">
        <f>IF(Q164="","",COUNTIFS(Başvuru!$C:$C,Q164,Başvuru!$A:$A,"&lt;&gt;"&amp;"",Başvuru!$F:$F,"&lt;&gt;"&amp;""))</f>
        <v>6</v>
      </c>
      <c r="S164" s="171">
        <f>IF(R164="","",RANK(R164,$R$6:$R$505,0)+COUNTIF($R$6:R164,R164)-1)</f>
        <v>19</v>
      </c>
    </row>
    <row r="165" spans="2:19" ht="23.25" customHeight="1" x14ac:dyDescent="0.25">
      <c r="B165" s="159">
        <v>160</v>
      </c>
      <c r="C165" s="160" t="str">
        <f>IFERROR(INDEX($Q$6:$Q$505,MATCH(160,$S$6:$S$505,0)),"")</f>
        <v>Prof. Dr. Bülent ALTUN</v>
      </c>
      <c r="D165" s="161">
        <f>IF(C165="","",COUNTIFS(Başvuru!$C:$C,C165,Başvuru!$A:$A,"&lt;&gt;"&amp;"",Başvuru!$F:$F,"&lt;&gt;"&amp;""))</f>
        <v>1</v>
      </c>
      <c r="E165" s="159" t="str">
        <f>IF(C165="","-",IF(D165&gt;0,TEXT(D165/(COUNTIFS(Başvuru!$A:$A,"&lt;&gt;",Başvuru!$F:$F,"&lt;&gt;")-1)*100,"0.0")&amp;"%","-"))</f>
        <v>00%</v>
      </c>
      <c r="F165" s="162">
        <f>IF(C165="","",COUNTIFS(Başvuru!$C:$C,C165,Başvuru!$G:$G,"Bireysel Araştırma",Başvuru!$A:$A,"&lt;&gt;"&amp;"",Başvuru!$F:$F,"&lt;&gt;"&amp;""))</f>
        <v>1</v>
      </c>
      <c r="G165" s="162">
        <f>IF(C165="","",COUNTIFS(Başvuru!$C:$C,C165,Başvuru!$G:$G,"Uzmanlık Tezi",Başvuru!$A:$A,"&lt;&gt;"&amp;"",Başvuru!$F:$F,"&lt;&gt;"&amp;""))</f>
        <v>0</v>
      </c>
      <c r="H165" s="162">
        <f>IF(C165="","",COUNTIFS(Başvuru!$C:$C,C165,Başvuru!$G:$G,"Doktora Tezi",Başvuru!$A:$A,"&lt;&gt;"&amp;"",Başvuru!$F:$F,"&lt;&gt;"&amp;""))</f>
        <v>0</v>
      </c>
      <c r="I165" s="162">
        <f>IF(C165="","",COUNTIFS(Başvuru!$C:$C,C165,Başvuru!$G:$G,"Yüksek Lisans Tezi",Başvuru!$A:$A,"&lt;&gt;"&amp;"",Başvuru!$F:$F,"&lt;&gt;"&amp;""))</f>
        <v>0</v>
      </c>
      <c r="J165" s="163">
        <f>IF(C165="","",COUNTIFS(Başvuru!$C:$C,C165,Başvuru!$L:$L,"ONAY",Başvuru!$A:$A,"&lt;&gt;"&amp;"",Başvuru!$F:$F,"&lt;&gt;"&amp;""))</f>
        <v>1</v>
      </c>
      <c r="K165" s="164">
        <f>IF(C165="","",COUNTIFS(Başvuru!$C:$C,C165,Başvuru!$L:$L,"DÜZELTME",Başvuru!$A:$A,"&lt;&gt;"&amp;"",Başvuru!$F:$F,"&lt;&gt;"&amp;""))</f>
        <v>0</v>
      </c>
      <c r="L165" s="165">
        <f>IF(C165="","",COUNTIFS(Başvuru!$C:$C,C165,Başvuru!$L:$L,"KAEK",Başvuru!$A:$A,"&lt;&gt;"&amp;"",Başvuru!$F:$F,"&lt;&gt;"&amp;""))</f>
        <v>0</v>
      </c>
      <c r="M165" s="166">
        <f>IF(C165="","",COUNTIFS(Başvuru!$C:$C,C165,Başvuru!$L:$L,"GÖRÜŞ",Başvuru!$A:$A,"&lt;&gt;"&amp;"",Başvuru!$F:$F,"&lt;&gt;"&amp;""))</f>
        <v>0</v>
      </c>
      <c r="N165" s="167">
        <f>IF(C165="","",COUNTIFS(Başvuru!$C:$C,C165,Başvuru!$L:$L,"RET",Başvuru!$A:$A,"&lt;&gt;"&amp;"",Başvuru!$F:$F,"&lt;&gt;"&amp;""))</f>
        <v>0</v>
      </c>
      <c r="O165" s="168">
        <f>IF(C165="","",COUNTIFS(Başvuru!$C:$C,C165,Başvuru!$L:$L,"KAPSAM DIŞI",Başvuru!$A:$A,"&lt;&gt;"&amp;"",Başvuru!$F:$F,"&lt;&gt;"&amp;""))</f>
        <v>0</v>
      </c>
      <c r="P165" s="169">
        <f>IF(C165="","",COUNTIFS(Başvuru!$C:$C,C165,Başvuru!$L:$L,"GERİ ÇEKİLDİ",Başvuru!$A:$A,"&lt;&gt;"&amp;"",Başvuru!$F:$F,"&lt;&gt;"&amp;""))</f>
        <v>0</v>
      </c>
      <c r="Q165" s="170" t="str">
        <f t="array" ref="Q165">IFERROR(INDEX(Başvuru!$C$2:$C$3000, MATCH(0, COUNTIF($Q$5:Q164, Başvuru!$C$2:$C$3000) + IF(Başvuru!$C$2:$C$3000="",1,0), 0)), "")</f>
        <v>Dr. Öğr. Üyesi Gökhan AYIK</v>
      </c>
      <c r="R165" s="171">
        <f>IF(Q165="","",COUNTIFS(Başvuru!$C:$C,Q165,Başvuru!$A:$A,"&lt;&gt;"&amp;"",Başvuru!$F:$F,"&lt;&gt;"&amp;""))</f>
        <v>2</v>
      </c>
      <c r="S165" s="171">
        <f>IF(R165="","",RANK(R165,$R$6:$R$505,0)+COUNTIF($R$6:R165,R165)-1)</f>
        <v>116</v>
      </c>
    </row>
    <row r="166" spans="2:19" ht="23.25" customHeight="1" x14ac:dyDescent="0.25">
      <c r="B166" s="159">
        <v>161</v>
      </c>
      <c r="C166" s="160" t="str">
        <f>IFERROR(INDEX($Q$6:$Q$505,MATCH(161,$S$6:$S$505,0)),"")</f>
        <v>Prof. Dr. Ali DÜZOVA</v>
      </c>
      <c r="D166" s="161">
        <f>IF(C166="","",COUNTIFS(Başvuru!$C:$C,C166,Başvuru!$A:$A,"&lt;&gt;"&amp;"",Başvuru!$F:$F,"&lt;&gt;"&amp;""))</f>
        <v>1</v>
      </c>
      <c r="E166" s="159" t="str">
        <f>IF(C166="","-",IF(D166&gt;0,TEXT(D166/(COUNTIFS(Başvuru!$A:$A,"&lt;&gt;",Başvuru!$F:$F,"&lt;&gt;")-1)*100,"0.0")&amp;"%","-"))</f>
        <v>00%</v>
      </c>
      <c r="F166" s="162">
        <f>IF(C166="","",COUNTIFS(Başvuru!$C:$C,C166,Başvuru!$G:$G,"Bireysel Araştırma",Başvuru!$A:$A,"&lt;&gt;"&amp;"",Başvuru!$F:$F,"&lt;&gt;"&amp;""))</f>
        <v>1</v>
      </c>
      <c r="G166" s="162">
        <f>IF(C166="","",COUNTIFS(Başvuru!$C:$C,C166,Başvuru!$G:$G,"Uzmanlık Tezi",Başvuru!$A:$A,"&lt;&gt;"&amp;"",Başvuru!$F:$F,"&lt;&gt;"&amp;""))</f>
        <v>0</v>
      </c>
      <c r="H166" s="162">
        <f>IF(C166="","",COUNTIFS(Başvuru!$C:$C,C166,Başvuru!$G:$G,"Doktora Tezi",Başvuru!$A:$A,"&lt;&gt;"&amp;"",Başvuru!$F:$F,"&lt;&gt;"&amp;""))</f>
        <v>0</v>
      </c>
      <c r="I166" s="162">
        <f>IF(C166="","",COUNTIFS(Başvuru!$C:$C,C166,Başvuru!$G:$G,"Yüksek Lisans Tezi",Başvuru!$A:$A,"&lt;&gt;"&amp;"",Başvuru!$F:$F,"&lt;&gt;"&amp;""))</f>
        <v>0</v>
      </c>
      <c r="J166" s="163">
        <f>IF(C166="","",COUNTIFS(Başvuru!$C:$C,C166,Başvuru!$L:$L,"ONAY",Başvuru!$A:$A,"&lt;&gt;"&amp;"",Başvuru!$F:$F,"&lt;&gt;"&amp;""))</f>
        <v>1</v>
      </c>
      <c r="K166" s="164">
        <f>IF(C166="","",COUNTIFS(Başvuru!$C:$C,C166,Başvuru!$L:$L,"DÜZELTME",Başvuru!$A:$A,"&lt;&gt;"&amp;"",Başvuru!$F:$F,"&lt;&gt;"&amp;""))</f>
        <v>0</v>
      </c>
      <c r="L166" s="165">
        <f>IF(C166="","",COUNTIFS(Başvuru!$C:$C,C166,Başvuru!$L:$L,"KAEK",Başvuru!$A:$A,"&lt;&gt;"&amp;"",Başvuru!$F:$F,"&lt;&gt;"&amp;""))</f>
        <v>0</v>
      </c>
      <c r="M166" s="166">
        <f>IF(C166="","",COUNTIFS(Başvuru!$C:$C,C166,Başvuru!$L:$L,"GÖRÜŞ",Başvuru!$A:$A,"&lt;&gt;"&amp;"",Başvuru!$F:$F,"&lt;&gt;"&amp;""))</f>
        <v>0</v>
      </c>
      <c r="N166" s="167">
        <f>IF(C166="","",COUNTIFS(Başvuru!$C:$C,C166,Başvuru!$L:$L,"RET",Başvuru!$A:$A,"&lt;&gt;"&amp;"",Başvuru!$F:$F,"&lt;&gt;"&amp;""))</f>
        <v>0</v>
      </c>
      <c r="O166" s="168">
        <f>IF(C166="","",COUNTIFS(Başvuru!$C:$C,C166,Başvuru!$L:$L,"KAPSAM DIŞI",Başvuru!$A:$A,"&lt;&gt;"&amp;"",Başvuru!$F:$F,"&lt;&gt;"&amp;""))</f>
        <v>0</v>
      </c>
      <c r="P166" s="169">
        <f>IF(C166="","",COUNTIFS(Başvuru!$C:$C,C166,Başvuru!$L:$L,"GERİ ÇEKİLDİ",Başvuru!$A:$A,"&lt;&gt;"&amp;"",Başvuru!$F:$F,"&lt;&gt;"&amp;""))</f>
        <v>0</v>
      </c>
      <c r="Q166" s="170" t="str">
        <f t="array" ref="Q166">IFERROR(INDEX(Başvuru!$C$2:$C$3000, MATCH(0, COUNTIF($Q$5:Q165, Başvuru!$C$2:$C$3000) + IF(Başvuru!$C$2:$C$3000="",1,0), 0)), "")</f>
        <v>Öğr. Gör. Dr. Esin ALPDÜNDAR BULUT</v>
      </c>
      <c r="R166" s="171">
        <f>IF(Q166="","",COUNTIFS(Başvuru!$C:$C,Q166,Başvuru!$A:$A,"&lt;&gt;"&amp;"",Başvuru!$F:$F,"&lt;&gt;"&amp;""))</f>
        <v>1</v>
      </c>
      <c r="S166" s="171">
        <f>IF(R166="","",RANK(R166,$R$6:$R$505,0)+COUNTIF($R$6:R166,R166)-1)</f>
        <v>214</v>
      </c>
    </row>
    <row r="167" spans="2:19" ht="23.25" customHeight="1" x14ac:dyDescent="0.25">
      <c r="B167" s="159">
        <v>162</v>
      </c>
      <c r="C167" s="160" t="str">
        <f>IFERROR(INDEX($Q$6:$Q$505,MATCH(162,$S$6:$S$505,0)),"")</f>
        <v>Prof. Dr. Petek KORKUSUZ</v>
      </c>
      <c r="D167" s="161">
        <f>IF(C167="","",COUNTIFS(Başvuru!$C:$C,C167,Başvuru!$A:$A,"&lt;&gt;"&amp;"",Başvuru!$F:$F,"&lt;&gt;"&amp;""))</f>
        <v>1</v>
      </c>
      <c r="E167" s="159" t="str">
        <f>IF(C167="","-",IF(D167&gt;0,TEXT(D167/(COUNTIFS(Başvuru!$A:$A,"&lt;&gt;",Başvuru!$F:$F,"&lt;&gt;")-1)*100,"0.0")&amp;"%","-"))</f>
        <v>00%</v>
      </c>
      <c r="F167" s="162">
        <f>IF(C167="","",COUNTIFS(Başvuru!$C:$C,C167,Başvuru!$G:$G,"Bireysel Araştırma",Başvuru!$A:$A,"&lt;&gt;"&amp;"",Başvuru!$F:$F,"&lt;&gt;"&amp;""))</f>
        <v>1</v>
      </c>
      <c r="G167" s="162">
        <f>IF(C167="","",COUNTIFS(Başvuru!$C:$C,C167,Başvuru!$G:$G,"Uzmanlık Tezi",Başvuru!$A:$A,"&lt;&gt;"&amp;"",Başvuru!$F:$F,"&lt;&gt;"&amp;""))</f>
        <v>0</v>
      </c>
      <c r="H167" s="162">
        <f>IF(C167="","",COUNTIFS(Başvuru!$C:$C,C167,Başvuru!$G:$G,"Doktora Tezi",Başvuru!$A:$A,"&lt;&gt;"&amp;"",Başvuru!$F:$F,"&lt;&gt;"&amp;""))</f>
        <v>0</v>
      </c>
      <c r="I167" s="162">
        <f>IF(C167="","",COUNTIFS(Başvuru!$C:$C,C167,Başvuru!$G:$G,"Yüksek Lisans Tezi",Başvuru!$A:$A,"&lt;&gt;"&amp;"",Başvuru!$F:$F,"&lt;&gt;"&amp;""))</f>
        <v>0</v>
      </c>
      <c r="J167" s="163">
        <f>IF(C167="","",COUNTIFS(Başvuru!$C:$C,C167,Başvuru!$L:$L,"ONAY",Başvuru!$A:$A,"&lt;&gt;"&amp;"",Başvuru!$F:$F,"&lt;&gt;"&amp;""))</f>
        <v>0</v>
      </c>
      <c r="K167" s="164">
        <f>IF(C167="","",COUNTIFS(Başvuru!$C:$C,C167,Başvuru!$L:$L,"DÜZELTME",Başvuru!$A:$A,"&lt;&gt;"&amp;"",Başvuru!$F:$F,"&lt;&gt;"&amp;""))</f>
        <v>1</v>
      </c>
      <c r="L167" s="165">
        <f>IF(C167="","",COUNTIFS(Başvuru!$C:$C,C167,Başvuru!$L:$L,"KAEK",Başvuru!$A:$A,"&lt;&gt;"&amp;"",Başvuru!$F:$F,"&lt;&gt;"&amp;""))</f>
        <v>0</v>
      </c>
      <c r="M167" s="166">
        <f>IF(C167="","",COUNTIFS(Başvuru!$C:$C,C167,Başvuru!$L:$L,"GÖRÜŞ",Başvuru!$A:$A,"&lt;&gt;"&amp;"",Başvuru!$F:$F,"&lt;&gt;"&amp;""))</f>
        <v>0</v>
      </c>
      <c r="N167" s="167">
        <f>IF(C167="","",COUNTIFS(Başvuru!$C:$C,C167,Başvuru!$L:$L,"RET",Başvuru!$A:$A,"&lt;&gt;"&amp;"",Başvuru!$F:$F,"&lt;&gt;"&amp;""))</f>
        <v>0</v>
      </c>
      <c r="O167" s="168">
        <f>IF(C167="","",COUNTIFS(Başvuru!$C:$C,C167,Başvuru!$L:$L,"KAPSAM DIŞI",Başvuru!$A:$A,"&lt;&gt;"&amp;"",Başvuru!$F:$F,"&lt;&gt;"&amp;""))</f>
        <v>0</v>
      </c>
      <c r="P167" s="169">
        <f>IF(C167="","",COUNTIFS(Başvuru!$C:$C,C167,Başvuru!$L:$L,"GERİ ÇEKİLDİ",Başvuru!$A:$A,"&lt;&gt;"&amp;"",Başvuru!$F:$F,"&lt;&gt;"&amp;""))</f>
        <v>0</v>
      </c>
      <c r="Q167" s="170" t="str">
        <f t="array" ref="Q167">IFERROR(INDEX(Başvuru!$C$2:$C$3000, MATCH(0, COUNTIF($Q$5:Q166, Başvuru!$C$2:$C$3000) + IF(Başvuru!$C$2:$C$3000="",1,0), 0)), "")</f>
        <v>Prof. Dr. Güliz AKTAŞ</v>
      </c>
      <c r="R167" s="171">
        <f>IF(Q167="","",COUNTIFS(Başvuru!$C:$C,Q167,Başvuru!$A:$A,"&lt;&gt;"&amp;"",Başvuru!$F:$F,"&lt;&gt;"&amp;""))</f>
        <v>2</v>
      </c>
      <c r="S167" s="171">
        <f>IF(R167="","",RANK(R167,$R$6:$R$505,0)+COUNTIF($R$6:R167,R167)-1)</f>
        <v>117</v>
      </c>
    </row>
    <row r="168" spans="2:19" ht="23.25" customHeight="1" x14ac:dyDescent="0.25">
      <c r="B168" s="159">
        <v>163</v>
      </c>
      <c r="C168" s="160" t="str">
        <f>IFERROR(INDEX($Q$6:$Q$505,MATCH(163,$S$6:$S$505,0)),"")</f>
        <v>Prof. Dr. Sibel ERSOY EVANS</v>
      </c>
      <c r="D168" s="161">
        <f>IF(C168="","",COUNTIFS(Başvuru!$C:$C,C168,Başvuru!$A:$A,"&lt;&gt;"&amp;"",Başvuru!$F:$F,"&lt;&gt;"&amp;""))</f>
        <v>1</v>
      </c>
      <c r="E168" s="159" t="str">
        <f>IF(C168="","-",IF(D168&gt;0,TEXT(D168/(COUNTIFS(Başvuru!$A:$A,"&lt;&gt;",Başvuru!$F:$F,"&lt;&gt;")-1)*100,"0.0")&amp;"%","-"))</f>
        <v>00%</v>
      </c>
      <c r="F168" s="162">
        <f>IF(C168="","",COUNTIFS(Başvuru!$C:$C,C168,Başvuru!$G:$G,"Bireysel Araştırma",Başvuru!$A:$A,"&lt;&gt;"&amp;"",Başvuru!$F:$F,"&lt;&gt;"&amp;""))</f>
        <v>1</v>
      </c>
      <c r="G168" s="162">
        <f>IF(C168="","",COUNTIFS(Başvuru!$C:$C,C168,Başvuru!$G:$G,"Uzmanlık Tezi",Başvuru!$A:$A,"&lt;&gt;"&amp;"",Başvuru!$F:$F,"&lt;&gt;"&amp;""))</f>
        <v>0</v>
      </c>
      <c r="H168" s="162">
        <f>IF(C168="","",COUNTIFS(Başvuru!$C:$C,C168,Başvuru!$G:$G,"Doktora Tezi",Başvuru!$A:$A,"&lt;&gt;"&amp;"",Başvuru!$F:$F,"&lt;&gt;"&amp;""))</f>
        <v>0</v>
      </c>
      <c r="I168" s="162">
        <f>IF(C168="","",COUNTIFS(Başvuru!$C:$C,C168,Başvuru!$G:$G,"Yüksek Lisans Tezi",Başvuru!$A:$A,"&lt;&gt;"&amp;"",Başvuru!$F:$F,"&lt;&gt;"&amp;""))</f>
        <v>0</v>
      </c>
      <c r="J168" s="163">
        <f>IF(C168="","",COUNTIFS(Başvuru!$C:$C,C168,Başvuru!$L:$L,"ONAY",Başvuru!$A:$A,"&lt;&gt;"&amp;"",Başvuru!$F:$F,"&lt;&gt;"&amp;""))</f>
        <v>0</v>
      </c>
      <c r="K168" s="164">
        <f>IF(C168="","",COUNTIFS(Başvuru!$C:$C,C168,Başvuru!$L:$L,"DÜZELTME",Başvuru!$A:$A,"&lt;&gt;"&amp;"",Başvuru!$F:$F,"&lt;&gt;"&amp;""))</f>
        <v>0</v>
      </c>
      <c r="L168" s="165">
        <f>IF(C168="","",COUNTIFS(Başvuru!$C:$C,C168,Başvuru!$L:$L,"KAEK",Başvuru!$A:$A,"&lt;&gt;"&amp;"",Başvuru!$F:$F,"&lt;&gt;"&amp;""))</f>
        <v>0</v>
      </c>
      <c r="M168" s="166">
        <f>IF(C168="","",COUNTIFS(Başvuru!$C:$C,C168,Başvuru!$L:$L,"GÖRÜŞ",Başvuru!$A:$A,"&lt;&gt;"&amp;"",Başvuru!$F:$F,"&lt;&gt;"&amp;""))</f>
        <v>1</v>
      </c>
      <c r="N168" s="167">
        <f>IF(C168="","",COUNTIFS(Başvuru!$C:$C,C168,Başvuru!$L:$L,"RET",Başvuru!$A:$A,"&lt;&gt;"&amp;"",Başvuru!$F:$F,"&lt;&gt;"&amp;""))</f>
        <v>0</v>
      </c>
      <c r="O168" s="168">
        <f>IF(C168="","",COUNTIFS(Başvuru!$C:$C,C168,Başvuru!$L:$L,"KAPSAM DIŞI",Başvuru!$A:$A,"&lt;&gt;"&amp;"",Başvuru!$F:$F,"&lt;&gt;"&amp;""))</f>
        <v>0</v>
      </c>
      <c r="P168" s="169">
        <f>IF(C168="","",COUNTIFS(Başvuru!$C:$C,C168,Başvuru!$L:$L,"GERİ ÇEKİLDİ",Başvuru!$A:$A,"&lt;&gt;"&amp;"",Başvuru!$F:$F,"&lt;&gt;"&amp;""))</f>
        <v>0</v>
      </c>
      <c r="Q168" s="170" t="str">
        <f t="array" ref="Q168">IFERROR(INDEX(Başvuru!$C$2:$C$3000, MATCH(0, COUNTIF($Q$5:Q167, Başvuru!$C$2:$C$3000) + IF(Başvuru!$C$2:$C$3000="",1,0), 0)), "")</f>
        <v>Prof. Dr. Şule ÜNAL CANGÜL</v>
      </c>
      <c r="R168" s="171">
        <f>IF(Q168="","",COUNTIFS(Başvuru!$C:$C,Q168,Başvuru!$A:$A,"&lt;&gt;"&amp;"",Başvuru!$F:$F,"&lt;&gt;"&amp;""))</f>
        <v>5</v>
      </c>
      <c r="S168" s="171">
        <f>IF(R168="","",RANK(R168,$R$6:$R$505,0)+COUNTIF($R$6:R168,R168)-1)</f>
        <v>27</v>
      </c>
    </row>
    <row r="169" spans="2:19" ht="23.25" customHeight="1" x14ac:dyDescent="0.25">
      <c r="B169" s="159">
        <v>164</v>
      </c>
      <c r="C169" s="160" t="str">
        <f>IFERROR(INDEX($Q$6:$Q$505,MATCH(164,$S$6:$S$505,0)),"")</f>
        <v>Prof. Dr. Oya ÖZDEMİR</v>
      </c>
      <c r="D169" s="161">
        <f>IF(C169="","",COUNTIFS(Başvuru!$C:$C,C169,Başvuru!$A:$A,"&lt;&gt;"&amp;"",Başvuru!$F:$F,"&lt;&gt;"&amp;""))</f>
        <v>1</v>
      </c>
      <c r="E169" s="159" t="str">
        <f>IF(C169="","-",IF(D169&gt;0,TEXT(D169/(COUNTIFS(Başvuru!$A:$A,"&lt;&gt;",Başvuru!$F:$F,"&lt;&gt;")-1)*100,"0.0")&amp;"%","-"))</f>
        <v>00%</v>
      </c>
      <c r="F169" s="162">
        <f>IF(C169="","",COUNTIFS(Başvuru!$C:$C,C169,Başvuru!$G:$G,"Bireysel Araştırma",Başvuru!$A:$A,"&lt;&gt;"&amp;"",Başvuru!$F:$F,"&lt;&gt;"&amp;""))</f>
        <v>0</v>
      </c>
      <c r="G169" s="162">
        <f>IF(C169="","",COUNTIFS(Başvuru!$C:$C,C169,Başvuru!$G:$G,"Uzmanlık Tezi",Başvuru!$A:$A,"&lt;&gt;"&amp;"",Başvuru!$F:$F,"&lt;&gt;"&amp;""))</f>
        <v>1</v>
      </c>
      <c r="H169" s="162">
        <f>IF(C169="","",COUNTIFS(Başvuru!$C:$C,C169,Başvuru!$G:$G,"Doktora Tezi",Başvuru!$A:$A,"&lt;&gt;"&amp;"",Başvuru!$F:$F,"&lt;&gt;"&amp;""))</f>
        <v>0</v>
      </c>
      <c r="I169" s="162">
        <f>IF(C169="","",COUNTIFS(Başvuru!$C:$C,C169,Başvuru!$G:$G,"Yüksek Lisans Tezi",Başvuru!$A:$A,"&lt;&gt;"&amp;"",Başvuru!$F:$F,"&lt;&gt;"&amp;""))</f>
        <v>0</v>
      </c>
      <c r="J169" s="163">
        <f>IF(C169="","",COUNTIFS(Başvuru!$C:$C,C169,Başvuru!$L:$L,"ONAY",Başvuru!$A:$A,"&lt;&gt;"&amp;"",Başvuru!$F:$F,"&lt;&gt;"&amp;""))</f>
        <v>1</v>
      </c>
      <c r="K169" s="164">
        <f>IF(C169="","",COUNTIFS(Başvuru!$C:$C,C169,Başvuru!$L:$L,"DÜZELTME",Başvuru!$A:$A,"&lt;&gt;"&amp;"",Başvuru!$F:$F,"&lt;&gt;"&amp;""))</f>
        <v>0</v>
      </c>
      <c r="L169" s="165">
        <f>IF(C169="","",COUNTIFS(Başvuru!$C:$C,C169,Başvuru!$L:$L,"KAEK",Başvuru!$A:$A,"&lt;&gt;"&amp;"",Başvuru!$F:$F,"&lt;&gt;"&amp;""))</f>
        <v>0</v>
      </c>
      <c r="M169" s="166">
        <f>IF(C169="","",COUNTIFS(Başvuru!$C:$C,C169,Başvuru!$L:$L,"GÖRÜŞ",Başvuru!$A:$A,"&lt;&gt;"&amp;"",Başvuru!$F:$F,"&lt;&gt;"&amp;""))</f>
        <v>0</v>
      </c>
      <c r="N169" s="167">
        <f>IF(C169="","",COUNTIFS(Başvuru!$C:$C,C169,Başvuru!$L:$L,"RET",Başvuru!$A:$A,"&lt;&gt;"&amp;"",Başvuru!$F:$F,"&lt;&gt;"&amp;""))</f>
        <v>0</v>
      </c>
      <c r="O169" s="168">
        <f>IF(C169="","",COUNTIFS(Başvuru!$C:$C,C169,Başvuru!$L:$L,"KAPSAM DIŞI",Başvuru!$A:$A,"&lt;&gt;"&amp;"",Başvuru!$F:$F,"&lt;&gt;"&amp;""))</f>
        <v>0</v>
      </c>
      <c r="P169" s="169">
        <f>IF(C169="","",COUNTIFS(Başvuru!$C:$C,C169,Başvuru!$L:$L,"GERİ ÇEKİLDİ",Başvuru!$A:$A,"&lt;&gt;"&amp;"",Başvuru!$F:$F,"&lt;&gt;"&amp;""))</f>
        <v>0</v>
      </c>
      <c r="Q169" s="170" t="str">
        <f t="array" ref="Q169">IFERROR(INDEX(Başvuru!$C$2:$C$3000, MATCH(0, COUNTIF($Q$5:Q168, Başvuru!$C$2:$C$3000) + IF(Başvuru!$C$2:$C$3000="",1,0), 0)), "")</f>
        <v>Prof. Dr. Seda Banu AKINCI</v>
      </c>
      <c r="R169" s="171">
        <f>IF(Q169="","",COUNTIFS(Başvuru!$C:$C,Q169,Başvuru!$A:$A,"&lt;&gt;"&amp;"",Başvuru!$F:$F,"&lt;&gt;"&amp;""))</f>
        <v>2</v>
      </c>
      <c r="S169" s="171">
        <f>IF(R169="","",RANK(R169,$R$6:$R$505,0)+COUNTIF($R$6:R169,R169)-1)</f>
        <v>118</v>
      </c>
    </row>
    <row r="170" spans="2:19" ht="23.25" customHeight="1" x14ac:dyDescent="0.25">
      <c r="B170" s="159">
        <v>165</v>
      </c>
      <c r="C170" s="160" t="str">
        <f>IFERROR(INDEX($Q$6:$Q$505,MATCH(165,$S$6:$S$505,0)),"")</f>
        <v>Prof. Dr. Bahar GÜÇİZ DOĞAN</v>
      </c>
      <c r="D170" s="161">
        <f>IF(C170="","",COUNTIFS(Başvuru!$C:$C,C170,Başvuru!$A:$A,"&lt;&gt;"&amp;"",Başvuru!$F:$F,"&lt;&gt;"&amp;""))</f>
        <v>1</v>
      </c>
      <c r="E170" s="159" t="str">
        <f>IF(C170="","-",IF(D170&gt;0,TEXT(D170/(COUNTIFS(Başvuru!$A:$A,"&lt;&gt;",Başvuru!$F:$F,"&lt;&gt;")-1)*100,"0.0")&amp;"%","-"))</f>
        <v>00%</v>
      </c>
      <c r="F170" s="162">
        <f>IF(C170="","",COUNTIFS(Başvuru!$C:$C,C170,Başvuru!$G:$G,"Bireysel Araştırma",Başvuru!$A:$A,"&lt;&gt;"&amp;"",Başvuru!$F:$F,"&lt;&gt;"&amp;""))</f>
        <v>1</v>
      </c>
      <c r="G170" s="162">
        <f>IF(C170="","",COUNTIFS(Başvuru!$C:$C,C170,Başvuru!$G:$G,"Uzmanlık Tezi",Başvuru!$A:$A,"&lt;&gt;"&amp;"",Başvuru!$F:$F,"&lt;&gt;"&amp;""))</f>
        <v>0</v>
      </c>
      <c r="H170" s="162">
        <f>IF(C170="","",COUNTIFS(Başvuru!$C:$C,C170,Başvuru!$G:$G,"Doktora Tezi",Başvuru!$A:$A,"&lt;&gt;"&amp;"",Başvuru!$F:$F,"&lt;&gt;"&amp;""))</f>
        <v>0</v>
      </c>
      <c r="I170" s="162">
        <f>IF(C170="","",COUNTIFS(Başvuru!$C:$C,C170,Başvuru!$G:$G,"Yüksek Lisans Tezi",Başvuru!$A:$A,"&lt;&gt;"&amp;"",Başvuru!$F:$F,"&lt;&gt;"&amp;""))</f>
        <v>0</v>
      </c>
      <c r="J170" s="163">
        <f>IF(C170="","",COUNTIFS(Başvuru!$C:$C,C170,Başvuru!$L:$L,"ONAY",Başvuru!$A:$A,"&lt;&gt;"&amp;"",Başvuru!$F:$F,"&lt;&gt;"&amp;""))</f>
        <v>0</v>
      </c>
      <c r="K170" s="164">
        <f>IF(C170="","",COUNTIFS(Başvuru!$C:$C,C170,Başvuru!$L:$L,"DÜZELTME",Başvuru!$A:$A,"&lt;&gt;"&amp;"",Başvuru!$F:$F,"&lt;&gt;"&amp;""))</f>
        <v>1</v>
      </c>
      <c r="L170" s="165">
        <f>IF(C170="","",COUNTIFS(Başvuru!$C:$C,C170,Başvuru!$L:$L,"KAEK",Başvuru!$A:$A,"&lt;&gt;"&amp;"",Başvuru!$F:$F,"&lt;&gt;"&amp;""))</f>
        <v>0</v>
      </c>
      <c r="M170" s="166">
        <f>IF(C170="","",COUNTIFS(Başvuru!$C:$C,C170,Başvuru!$L:$L,"GÖRÜŞ",Başvuru!$A:$A,"&lt;&gt;"&amp;"",Başvuru!$F:$F,"&lt;&gt;"&amp;""))</f>
        <v>0</v>
      </c>
      <c r="N170" s="167">
        <f>IF(C170="","",COUNTIFS(Başvuru!$C:$C,C170,Başvuru!$L:$L,"RET",Başvuru!$A:$A,"&lt;&gt;"&amp;"",Başvuru!$F:$F,"&lt;&gt;"&amp;""))</f>
        <v>0</v>
      </c>
      <c r="O170" s="168">
        <f>IF(C170="","",COUNTIFS(Başvuru!$C:$C,C170,Başvuru!$L:$L,"KAPSAM DIŞI",Başvuru!$A:$A,"&lt;&gt;"&amp;"",Başvuru!$F:$F,"&lt;&gt;"&amp;""))</f>
        <v>0</v>
      </c>
      <c r="P170" s="169">
        <f>IF(C170="","",COUNTIFS(Başvuru!$C:$C,C170,Başvuru!$L:$L,"GERİ ÇEKİLDİ",Başvuru!$A:$A,"&lt;&gt;"&amp;"",Başvuru!$F:$F,"&lt;&gt;"&amp;""))</f>
        <v>0</v>
      </c>
      <c r="Q170" s="170" t="str">
        <f t="array" ref="Q170">IFERROR(INDEX(Başvuru!$C$2:$C$3000, MATCH(0, COUNTIF($Q$5:Q169, Başvuru!$C$2:$C$3000) + IF(Başvuru!$C$2:$C$3000="",1,0), 0)), "")</f>
        <v>Doç. Dr. Başak AKÇA</v>
      </c>
      <c r="R170" s="171">
        <f>IF(Q170="","",COUNTIFS(Başvuru!$C:$C,Q170,Başvuru!$A:$A,"&lt;&gt;"&amp;"",Başvuru!$F:$F,"&lt;&gt;"&amp;""))</f>
        <v>1</v>
      </c>
      <c r="S170" s="171">
        <f>IF(R170="","",RANK(R170,$R$6:$R$505,0)+COUNTIF($R$6:R170,R170)-1)</f>
        <v>215</v>
      </c>
    </row>
    <row r="171" spans="2:19" ht="23.25" customHeight="1" x14ac:dyDescent="0.25">
      <c r="B171" s="159">
        <v>166</v>
      </c>
      <c r="C171" s="160" t="str">
        <f>IFERROR(INDEX($Q$6:$Q$505,MATCH(166,$S$6:$S$505,0)),"")</f>
        <v>Prof. Dr. Mehmet Akif TOPÇUOĞLU</v>
      </c>
      <c r="D171" s="161">
        <f>IF(C171="","",COUNTIFS(Başvuru!$C:$C,C171,Başvuru!$A:$A,"&lt;&gt;"&amp;"",Başvuru!$F:$F,"&lt;&gt;"&amp;""))</f>
        <v>1</v>
      </c>
      <c r="E171" s="159" t="str">
        <f>IF(C171="","-",IF(D171&gt;0,TEXT(D171/(COUNTIFS(Başvuru!$A:$A,"&lt;&gt;",Başvuru!$F:$F,"&lt;&gt;")-1)*100,"0.0")&amp;"%","-"))</f>
        <v>00%</v>
      </c>
      <c r="F171" s="162">
        <f>IF(C171="","",COUNTIFS(Başvuru!$C:$C,C171,Başvuru!$G:$G,"Bireysel Araştırma",Başvuru!$A:$A,"&lt;&gt;"&amp;"",Başvuru!$F:$F,"&lt;&gt;"&amp;""))</f>
        <v>1</v>
      </c>
      <c r="G171" s="162">
        <f>IF(C171="","",COUNTIFS(Başvuru!$C:$C,C171,Başvuru!$G:$G,"Uzmanlık Tezi",Başvuru!$A:$A,"&lt;&gt;"&amp;"",Başvuru!$F:$F,"&lt;&gt;"&amp;""))</f>
        <v>0</v>
      </c>
      <c r="H171" s="162">
        <f>IF(C171="","",COUNTIFS(Başvuru!$C:$C,C171,Başvuru!$G:$G,"Doktora Tezi",Başvuru!$A:$A,"&lt;&gt;"&amp;"",Başvuru!$F:$F,"&lt;&gt;"&amp;""))</f>
        <v>0</v>
      </c>
      <c r="I171" s="162">
        <f>IF(C171="","",COUNTIFS(Başvuru!$C:$C,C171,Başvuru!$G:$G,"Yüksek Lisans Tezi",Başvuru!$A:$A,"&lt;&gt;"&amp;"",Başvuru!$F:$F,"&lt;&gt;"&amp;""))</f>
        <v>0</v>
      </c>
      <c r="J171" s="163">
        <f>IF(C171="","",COUNTIFS(Başvuru!$C:$C,C171,Başvuru!$L:$L,"ONAY",Başvuru!$A:$A,"&lt;&gt;"&amp;"",Başvuru!$F:$F,"&lt;&gt;"&amp;""))</f>
        <v>1</v>
      </c>
      <c r="K171" s="164">
        <f>IF(C171="","",COUNTIFS(Başvuru!$C:$C,C171,Başvuru!$L:$L,"DÜZELTME",Başvuru!$A:$A,"&lt;&gt;"&amp;"",Başvuru!$F:$F,"&lt;&gt;"&amp;""))</f>
        <v>0</v>
      </c>
      <c r="L171" s="165">
        <f>IF(C171="","",COUNTIFS(Başvuru!$C:$C,C171,Başvuru!$L:$L,"KAEK",Başvuru!$A:$A,"&lt;&gt;"&amp;"",Başvuru!$F:$F,"&lt;&gt;"&amp;""))</f>
        <v>0</v>
      </c>
      <c r="M171" s="166">
        <f>IF(C171="","",COUNTIFS(Başvuru!$C:$C,C171,Başvuru!$L:$L,"GÖRÜŞ",Başvuru!$A:$A,"&lt;&gt;"&amp;"",Başvuru!$F:$F,"&lt;&gt;"&amp;""))</f>
        <v>0</v>
      </c>
      <c r="N171" s="167">
        <f>IF(C171="","",COUNTIFS(Başvuru!$C:$C,C171,Başvuru!$L:$L,"RET",Başvuru!$A:$A,"&lt;&gt;"&amp;"",Başvuru!$F:$F,"&lt;&gt;"&amp;""))</f>
        <v>0</v>
      </c>
      <c r="O171" s="168">
        <f>IF(C171="","",COUNTIFS(Başvuru!$C:$C,C171,Başvuru!$L:$L,"KAPSAM DIŞI",Başvuru!$A:$A,"&lt;&gt;"&amp;"",Başvuru!$F:$F,"&lt;&gt;"&amp;""))</f>
        <v>0</v>
      </c>
      <c r="P171" s="169">
        <f>IF(C171="","",COUNTIFS(Başvuru!$C:$C,C171,Başvuru!$L:$L,"GERİ ÇEKİLDİ",Başvuru!$A:$A,"&lt;&gt;"&amp;"",Başvuru!$F:$F,"&lt;&gt;"&amp;""))</f>
        <v>0</v>
      </c>
      <c r="Q171" s="170" t="str">
        <f t="array" ref="Q171">IFERROR(INDEX(Başvuru!$C$2:$C$3000, MATCH(0, COUNTIF($Q$5:Q170, Başvuru!$C$2:$C$3000) + IF(Başvuru!$C$2:$C$3000="",1,0), 0)), "")</f>
        <v>Prof. Dr. Mehmet Cemalettin AKSOY</v>
      </c>
      <c r="R171" s="171">
        <f>IF(Q171="","",COUNTIFS(Başvuru!$C:$C,Q171,Başvuru!$A:$A,"&lt;&gt;"&amp;"",Başvuru!$F:$F,"&lt;&gt;"&amp;""))</f>
        <v>1</v>
      </c>
      <c r="S171" s="171">
        <f>IF(R171="","",RANK(R171,$R$6:$R$505,0)+COUNTIF($R$6:R171,R171)-1)</f>
        <v>216</v>
      </c>
    </row>
    <row r="172" spans="2:19" ht="23.25" customHeight="1" x14ac:dyDescent="0.25">
      <c r="B172" s="159">
        <v>167</v>
      </c>
      <c r="C172" s="160" t="str">
        <f>IFERROR(INDEX($Q$6:$Q$505,MATCH(167,$S$6:$S$505,0)),"")</f>
        <v>Doç. Dr. Neslihan AKDOĞAN</v>
      </c>
      <c r="D172" s="161">
        <f>IF(C172="","",COUNTIFS(Başvuru!$C:$C,C172,Başvuru!$A:$A,"&lt;&gt;"&amp;"",Başvuru!$F:$F,"&lt;&gt;"&amp;""))</f>
        <v>1</v>
      </c>
      <c r="E172" s="159" t="str">
        <f>IF(C172="","-",IF(D172&gt;0,TEXT(D172/(COUNTIFS(Başvuru!$A:$A,"&lt;&gt;",Başvuru!$F:$F,"&lt;&gt;")-1)*100,"0.0")&amp;"%","-"))</f>
        <v>00%</v>
      </c>
      <c r="F172" s="162">
        <f>IF(C172="","",COUNTIFS(Başvuru!$C:$C,C172,Başvuru!$G:$G,"Bireysel Araştırma",Başvuru!$A:$A,"&lt;&gt;"&amp;"",Başvuru!$F:$F,"&lt;&gt;"&amp;""))</f>
        <v>0</v>
      </c>
      <c r="G172" s="162">
        <f>IF(C172="","",COUNTIFS(Başvuru!$C:$C,C172,Başvuru!$G:$G,"Uzmanlık Tezi",Başvuru!$A:$A,"&lt;&gt;"&amp;"",Başvuru!$F:$F,"&lt;&gt;"&amp;""))</f>
        <v>1</v>
      </c>
      <c r="H172" s="162">
        <f>IF(C172="","",COUNTIFS(Başvuru!$C:$C,C172,Başvuru!$G:$G,"Doktora Tezi",Başvuru!$A:$A,"&lt;&gt;"&amp;"",Başvuru!$F:$F,"&lt;&gt;"&amp;""))</f>
        <v>0</v>
      </c>
      <c r="I172" s="162">
        <f>IF(C172="","",COUNTIFS(Başvuru!$C:$C,C172,Başvuru!$G:$G,"Yüksek Lisans Tezi",Başvuru!$A:$A,"&lt;&gt;"&amp;"",Başvuru!$F:$F,"&lt;&gt;"&amp;""))</f>
        <v>0</v>
      </c>
      <c r="J172" s="163">
        <f>IF(C172="","",COUNTIFS(Başvuru!$C:$C,C172,Başvuru!$L:$L,"ONAY",Başvuru!$A:$A,"&lt;&gt;"&amp;"",Başvuru!$F:$F,"&lt;&gt;"&amp;""))</f>
        <v>1</v>
      </c>
      <c r="K172" s="164">
        <f>IF(C172="","",COUNTIFS(Başvuru!$C:$C,C172,Başvuru!$L:$L,"DÜZELTME",Başvuru!$A:$A,"&lt;&gt;"&amp;"",Başvuru!$F:$F,"&lt;&gt;"&amp;""))</f>
        <v>0</v>
      </c>
      <c r="L172" s="165">
        <f>IF(C172="","",COUNTIFS(Başvuru!$C:$C,C172,Başvuru!$L:$L,"KAEK",Başvuru!$A:$A,"&lt;&gt;"&amp;"",Başvuru!$F:$F,"&lt;&gt;"&amp;""))</f>
        <v>0</v>
      </c>
      <c r="M172" s="166">
        <f>IF(C172="","",COUNTIFS(Başvuru!$C:$C,C172,Başvuru!$L:$L,"GÖRÜŞ",Başvuru!$A:$A,"&lt;&gt;"&amp;"",Başvuru!$F:$F,"&lt;&gt;"&amp;""))</f>
        <v>0</v>
      </c>
      <c r="N172" s="167">
        <f>IF(C172="","",COUNTIFS(Başvuru!$C:$C,C172,Başvuru!$L:$L,"RET",Başvuru!$A:$A,"&lt;&gt;"&amp;"",Başvuru!$F:$F,"&lt;&gt;"&amp;""))</f>
        <v>0</v>
      </c>
      <c r="O172" s="168">
        <f>IF(C172="","",COUNTIFS(Başvuru!$C:$C,C172,Başvuru!$L:$L,"KAPSAM DIŞI",Başvuru!$A:$A,"&lt;&gt;"&amp;"",Başvuru!$F:$F,"&lt;&gt;"&amp;""))</f>
        <v>0</v>
      </c>
      <c r="P172" s="169">
        <f>IF(C172="","",COUNTIFS(Başvuru!$C:$C,C172,Başvuru!$L:$L,"GERİ ÇEKİLDİ",Başvuru!$A:$A,"&lt;&gt;"&amp;"",Başvuru!$F:$F,"&lt;&gt;"&amp;""))</f>
        <v>0</v>
      </c>
      <c r="Q172" s="170" t="str">
        <f t="array" ref="Q172">IFERROR(INDEX(Başvuru!$C$2:$C$3000, MATCH(0, COUNTIF($Q$5:Q171, Başvuru!$C$2:$C$3000) + IF(Başvuru!$C$2:$C$3000="",1,0), 0)), "")</f>
        <v>Prof. Dr. Murat GÜLTEKİN</v>
      </c>
      <c r="R172" s="171">
        <f>IF(Q172="","",COUNTIFS(Başvuru!$C:$C,Q172,Başvuru!$A:$A,"&lt;&gt;"&amp;"",Başvuru!$F:$F,"&lt;&gt;"&amp;""))</f>
        <v>5</v>
      </c>
      <c r="S172" s="171">
        <f>IF(R172="","",RANK(R172,$R$6:$R$505,0)+COUNTIF($R$6:R172,R172)-1)</f>
        <v>28</v>
      </c>
    </row>
    <row r="173" spans="2:19" ht="23.25" customHeight="1" x14ac:dyDescent="0.25">
      <c r="B173" s="159">
        <v>168</v>
      </c>
      <c r="C173" s="160" t="str">
        <f>IFERROR(INDEX($Q$6:$Q$505,MATCH(168,$S$6:$S$505,0)),"")</f>
        <v>Arş. Gör. Dr. Aycan UYSAL</v>
      </c>
      <c r="D173" s="161">
        <f>IF(C173="","",COUNTIFS(Başvuru!$C:$C,C173,Başvuru!$A:$A,"&lt;&gt;"&amp;"",Başvuru!$F:$F,"&lt;&gt;"&amp;""))</f>
        <v>1</v>
      </c>
      <c r="E173" s="159" t="str">
        <f>IF(C173="","-",IF(D173&gt;0,TEXT(D173/(COUNTIFS(Başvuru!$A:$A,"&lt;&gt;",Başvuru!$F:$F,"&lt;&gt;")-1)*100,"0.0")&amp;"%","-"))</f>
        <v>00%</v>
      </c>
      <c r="F173" s="162">
        <f>IF(C173="","",COUNTIFS(Başvuru!$C:$C,C173,Başvuru!$G:$G,"Bireysel Araştırma",Başvuru!$A:$A,"&lt;&gt;"&amp;"",Başvuru!$F:$F,"&lt;&gt;"&amp;""))</f>
        <v>1</v>
      </c>
      <c r="G173" s="162">
        <f>IF(C173="","",COUNTIFS(Başvuru!$C:$C,C173,Başvuru!$G:$G,"Uzmanlık Tezi",Başvuru!$A:$A,"&lt;&gt;"&amp;"",Başvuru!$F:$F,"&lt;&gt;"&amp;""))</f>
        <v>0</v>
      </c>
      <c r="H173" s="162">
        <f>IF(C173="","",COUNTIFS(Başvuru!$C:$C,C173,Başvuru!$G:$G,"Doktora Tezi",Başvuru!$A:$A,"&lt;&gt;"&amp;"",Başvuru!$F:$F,"&lt;&gt;"&amp;""))</f>
        <v>0</v>
      </c>
      <c r="I173" s="162">
        <f>IF(C173="","",COUNTIFS(Başvuru!$C:$C,C173,Başvuru!$G:$G,"Yüksek Lisans Tezi",Başvuru!$A:$A,"&lt;&gt;"&amp;"",Başvuru!$F:$F,"&lt;&gt;"&amp;""))</f>
        <v>0</v>
      </c>
      <c r="J173" s="163">
        <f>IF(C173="","",COUNTIFS(Başvuru!$C:$C,C173,Başvuru!$L:$L,"ONAY",Başvuru!$A:$A,"&lt;&gt;"&amp;"",Başvuru!$F:$F,"&lt;&gt;"&amp;""))</f>
        <v>0</v>
      </c>
      <c r="K173" s="164">
        <f>IF(C173="","",COUNTIFS(Başvuru!$C:$C,C173,Başvuru!$L:$L,"DÜZELTME",Başvuru!$A:$A,"&lt;&gt;"&amp;"",Başvuru!$F:$F,"&lt;&gt;"&amp;""))</f>
        <v>1</v>
      </c>
      <c r="L173" s="165">
        <f>IF(C173="","",COUNTIFS(Başvuru!$C:$C,C173,Başvuru!$L:$L,"KAEK",Başvuru!$A:$A,"&lt;&gt;"&amp;"",Başvuru!$F:$F,"&lt;&gt;"&amp;""))</f>
        <v>0</v>
      </c>
      <c r="M173" s="166">
        <f>IF(C173="","",COUNTIFS(Başvuru!$C:$C,C173,Başvuru!$L:$L,"GÖRÜŞ",Başvuru!$A:$A,"&lt;&gt;"&amp;"",Başvuru!$F:$F,"&lt;&gt;"&amp;""))</f>
        <v>0</v>
      </c>
      <c r="N173" s="167">
        <f>IF(C173="","",COUNTIFS(Başvuru!$C:$C,C173,Başvuru!$L:$L,"RET",Başvuru!$A:$A,"&lt;&gt;"&amp;"",Başvuru!$F:$F,"&lt;&gt;"&amp;""))</f>
        <v>0</v>
      </c>
      <c r="O173" s="168">
        <f>IF(C173="","",COUNTIFS(Başvuru!$C:$C,C173,Başvuru!$L:$L,"KAPSAM DIŞI",Başvuru!$A:$A,"&lt;&gt;"&amp;"",Başvuru!$F:$F,"&lt;&gt;"&amp;""))</f>
        <v>0</v>
      </c>
      <c r="P173" s="169">
        <f>IF(C173="","",COUNTIFS(Başvuru!$C:$C,C173,Başvuru!$L:$L,"GERİ ÇEKİLDİ",Başvuru!$A:$A,"&lt;&gt;"&amp;"",Başvuru!$F:$F,"&lt;&gt;"&amp;""))</f>
        <v>0</v>
      </c>
      <c r="Q173" s="170" t="str">
        <f t="array" ref="Q173">IFERROR(INDEX(Başvuru!$C$2:$C$3000, MATCH(0, COUNTIF($Q$5:Q172, Başvuru!$C$2:$C$3000) + IF(Başvuru!$C$2:$C$3000="",1,0), 0)), "")</f>
        <v>Dr. Öğr. Üyesi Selen ADİLOĞLU</v>
      </c>
      <c r="R173" s="171">
        <f>IF(Q173="","",COUNTIFS(Başvuru!$C:$C,Q173,Başvuru!$A:$A,"&lt;&gt;"&amp;"",Başvuru!$F:$F,"&lt;&gt;"&amp;""))</f>
        <v>4</v>
      </c>
      <c r="S173" s="171">
        <f>IF(R173="","",RANK(R173,$R$6:$R$505,0)+COUNTIF($R$6:R173,R173)-1)</f>
        <v>43</v>
      </c>
    </row>
    <row r="174" spans="2:19" ht="23.25" customHeight="1" x14ac:dyDescent="0.25">
      <c r="B174" s="159">
        <v>169</v>
      </c>
      <c r="C174" s="160" t="str">
        <f>IFERROR(INDEX($Q$6:$Q$505,MATCH(169,$S$6:$S$505,0)),"")</f>
        <v>Doç. Dr. Ekim GÜMELER</v>
      </c>
      <c r="D174" s="161">
        <f>IF(C174="","",COUNTIFS(Başvuru!$C:$C,C174,Başvuru!$A:$A,"&lt;&gt;"&amp;"",Başvuru!$F:$F,"&lt;&gt;"&amp;""))</f>
        <v>1</v>
      </c>
      <c r="E174" s="159" t="str">
        <f>IF(C174="","-",IF(D174&gt;0,TEXT(D174/(COUNTIFS(Başvuru!$A:$A,"&lt;&gt;",Başvuru!$F:$F,"&lt;&gt;")-1)*100,"0.0")&amp;"%","-"))</f>
        <v>00%</v>
      </c>
      <c r="F174" s="162">
        <f>IF(C174="","",COUNTIFS(Başvuru!$C:$C,C174,Başvuru!$G:$G,"Bireysel Araştırma",Başvuru!$A:$A,"&lt;&gt;"&amp;"",Başvuru!$F:$F,"&lt;&gt;"&amp;""))</f>
        <v>0</v>
      </c>
      <c r="G174" s="162">
        <f>IF(C174="","",COUNTIFS(Başvuru!$C:$C,C174,Başvuru!$G:$G,"Uzmanlık Tezi",Başvuru!$A:$A,"&lt;&gt;"&amp;"",Başvuru!$F:$F,"&lt;&gt;"&amp;""))</f>
        <v>1</v>
      </c>
      <c r="H174" s="162">
        <f>IF(C174="","",COUNTIFS(Başvuru!$C:$C,C174,Başvuru!$G:$G,"Doktora Tezi",Başvuru!$A:$A,"&lt;&gt;"&amp;"",Başvuru!$F:$F,"&lt;&gt;"&amp;""))</f>
        <v>0</v>
      </c>
      <c r="I174" s="162">
        <f>IF(C174="","",COUNTIFS(Başvuru!$C:$C,C174,Başvuru!$G:$G,"Yüksek Lisans Tezi",Başvuru!$A:$A,"&lt;&gt;"&amp;"",Başvuru!$F:$F,"&lt;&gt;"&amp;""))</f>
        <v>0</v>
      </c>
      <c r="J174" s="163">
        <f>IF(C174="","",COUNTIFS(Başvuru!$C:$C,C174,Başvuru!$L:$L,"ONAY",Başvuru!$A:$A,"&lt;&gt;"&amp;"",Başvuru!$F:$F,"&lt;&gt;"&amp;""))</f>
        <v>1</v>
      </c>
      <c r="K174" s="164">
        <f>IF(C174="","",COUNTIFS(Başvuru!$C:$C,C174,Başvuru!$L:$L,"DÜZELTME",Başvuru!$A:$A,"&lt;&gt;"&amp;"",Başvuru!$F:$F,"&lt;&gt;"&amp;""))</f>
        <v>0</v>
      </c>
      <c r="L174" s="165">
        <f>IF(C174="","",COUNTIFS(Başvuru!$C:$C,C174,Başvuru!$L:$L,"KAEK",Başvuru!$A:$A,"&lt;&gt;"&amp;"",Başvuru!$F:$F,"&lt;&gt;"&amp;""))</f>
        <v>0</v>
      </c>
      <c r="M174" s="166">
        <f>IF(C174="","",COUNTIFS(Başvuru!$C:$C,C174,Başvuru!$L:$L,"GÖRÜŞ",Başvuru!$A:$A,"&lt;&gt;"&amp;"",Başvuru!$F:$F,"&lt;&gt;"&amp;""))</f>
        <v>0</v>
      </c>
      <c r="N174" s="167">
        <f>IF(C174="","",COUNTIFS(Başvuru!$C:$C,C174,Başvuru!$L:$L,"RET",Başvuru!$A:$A,"&lt;&gt;"&amp;"",Başvuru!$F:$F,"&lt;&gt;"&amp;""))</f>
        <v>0</v>
      </c>
      <c r="O174" s="168">
        <f>IF(C174="","",COUNTIFS(Başvuru!$C:$C,C174,Başvuru!$L:$L,"KAPSAM DIŞI",Başvuru!$A:$A,"&lt;&gt;"&amp;"",Başvuru!$F:$F,"&lt;&gt;"&amp;""))</f>
        <v>0</v>
      </c>
      <c r="P174" s="169">
        <f>IF(C174="","",COUNTIFS(Başvuru!$C:$C,C174,Başvuru!$L:$L,"GERİ ÇEKİLDİ",Başvuru!$A:$A,"&lt;&gt;"&amp;"",Başvuru!$F:$F,"&lt;&gt;"&amp;""))</f>
        <v>0</v>
      </c>
      <c r="Q174" s="170" t="str">
        <f t="array" ref="Q174">IFERROR(INDEX(Başvuru!$C$2:$C$3000, MATCH(0, COUNTIF($Q$5:Q173, Başvuru!$C$2:$C$3000) + IF(Başvuru!$C$2:$C$3000="",1,0), 0)), "")</f>
        <v>Prof. Dr. Bülent Enis ŞEKEREL</v>
      </c>
      <c r="R174" s="171">
        <f>IF(Q174="","",COUNTIFS(Başvuru!$C:$C,Q174,Başvuru!$A:$A,"&lt;&gt;"&amp;"",Başvuru!$F:$F,"&lt;&gt;"&amp;""))</f>
        <v>2</v>
      </c>
      <c r="S174" s="171">
        <f>IF(R174="","",RANK(R174,$R$6:$R$505,0)+COUNTIF($R$6:R174,R174)-1)</f>
        <v>119</v>
      </c>
    </row>
    <row r="175" spans="2:19" ht="23.25" customHeight="1" x14ac:dyDescent="0.25">
      <c r="B175" s="159">
        <v>170</v>
      </c>
      <c r="C175" s="160" t="str">
        <f>IFERROR(INDEX($Q$6:$Q$505,MATCH(170,$S$6:$S$505,0)),"")</f>
        <v>Prof. Dr. Ömer UĞUR</v>
      </c>
      <c r="D175" s="161">
        <f>IF(C175="","",COUNTIFS(Başvuru!$C:$C,C175,Başvuru!$A:$A,"&lt;&gt;"&amp;"",Başvuru!$F:$F,"&lt;&gt;"&amp;""))</f>
        <v>1</v>
      </c>
      <c r="E175" s="159" t="str">
        <f>IF(C175="","-",IF(D175&gt;0,TEXT(D175/(COUNTIFS(Başvuru!$A:$A,"&lt;&gt;",Başvuru!$F:$F,"&lt;&gt;")-1)*100,"0.0")&amp;"%","-"))</f>
        <v>00%</v>
      </c>
      <c r="F175" s="162">
        <f>IF(C175="","",COUNTIFS(Başvuru!$C:$C,C175,Başvuru!$G:$G,"Bireysel Araştırma",Başvuru!$A:$A,"&lt;&gt;"&amp;"",Başvuru!$F:$F,"&lt;&gt;"&amp;""))</f>
        <v>1</v>
      </c>
      <c r="G175" s="162">
        <f>IF(C175="","",COUNTIFS(Başvuru!$C:$C,C175,Başvuru!$G:$G,"Uzmanlık Tezi",Başvuru!$A:$A,"&lt;&gt;"&amp;"",Başvuru!$F:$F,"&lt;&gt;"&amp;""))</f>
        <v>0</v>
      </c>
      <c r="H175" s="162">
        <f>IF(C175="","",COUNTIFS(Başvuru!$C:$C,C175,Başvuru!$G:$G,"Doktora Tezi",Başvuru!$A:$A,"&lt;&gt;"&amp;"",Başvuru!$F:$F,"&lt;&gt;"&amp;""))</f>
        <v>0</v>
      </c>
      <c r="I175" s="162">
        <f>IF(C175="","",COUNTIFS(Başvuru!$C:$C,C175,Başvuru!$G:$G,"Yüksek Lisans Tezi",Başvuru!$A:$A,"&lt;&gt;"&amp;"",Başvuru!$F:$F,"&lt;&gt;"&amp;""))</f>
        <v>0</v>
      </c>
      <c r="J175" s="163">
        <f>IF(C175="","",COUNTIFS(Başvuru!$C:$C,C175,Başvuru!$L:$L,"ONAY",Başvuru!$A:$A,"&lt;&gt;"&amp;"",Başvuru!$F:$F,"&lt;&gt;"&amp;""))</f>
        <v>1</v>
      </c>
      <c r="K175" s="164">
        <f>IF(C175="","",COUNTIFS(Başvuru!$C:$C,C175,Başvuru!$L:$L,"DÜZELTME",Başvuru!$A:$A,"&lt;&gt;"&amp;"",Başvuru!$F:$F,"&lt;&gt;"&amp;""))</f>
        <v>0</v>
      </c>
      <c r="L175" s="165">
        <f>IF(C175="","",COUNTIFS(Başvuru!$C:$C,C175,Başvuru!$L:$L,"KAEK",Başvuru!$A:$A,"&lt;&gt;"&amp;"",Başvuru!$F:$F,"&lt;&gt;"&amp;""))</f>
        <v>0</v>
      </c>
      <c r="M175" s="166">
        <f>IF(C175="","",COUNTIFS(Başvuru!$C:$C,C175,Başvuru!$L:$L,"GÖRÜŞ",Başvuru!$A:$A,"&lt;&gt;"&amp;"",Başvuru!$F:$F,"&lt;&gt;"&amp;""))</f>
        <v>0</v>
      </c>
      <c r="N175" s="167">
        <f>IF(C175="","",COUNTIFS(Başvuru!$C:$C,C175,Başvuru!$L:$L,"RET",Başvuru!$A:$A,"&lt;&gt;"&amp;"",Başvuru!$F:$F,"&lt;&gt;"&amp;""))</f>
        <v>0</v>
      </c>
      <c r="O175" s="168">
        <f>IF(C175="","",COUNTIFS(Başvuru!$C:$C,C175,Başvuru!$L:$L,"KAPSAM DIŞI",Başvuru!$A:$A,"&lt;&gt;"&amp;"",Başvuru!$F:$F,"&lt;&gt;"&amp;""))</f>
        <v>0</v>
      </c>
      <c r="P175" s="169">
        <f>IF(C175="","",COUNTIFS(Başvuru!$C:$C,C175,Başvuru!$L:$L,"GERİ ÇEKİLDİ",Başvuru!$A:$A,"&lt;&gt;"&amp;"",Başvuru!$F:$F,"&lt;&gt;"&amp;""))</f>
        <v>0</v>
      </c>
      <c r="Q175" s="170" t="str">
        <f t="array" ref="Q175">IFERROR(INDEX(Başvuru!$C$2:$C$3000, MATCH(0, COUNTIF($Q$5:Q174, Başvuru!$C$2:$C$3000) + IF(Başvuru!$C$2:$C$3000="",1,0), 0)), "")</f>
        <v>Doç. Dr. Leman AKCAN YILDIZ</v>
      </c>
      <c r="R175" s="171">
        <f>IF(Q175="","",COUNTIFS(Başvuru!$C:$C,Q175,Başvuru!$A:$A,"&lt;&gt;"&amp;"",Başvuru!$F:$F,"&lt;&gt;"&amp;""))</f>
        <v>2</v>
      </c>
      <c r="S175" s="171">
        <f>IF(R175="","",RANK(R175,$R$6:$R$505,0)+COUNTIF($R$6:R175,R175)-1)</f>
        <v>120</v>
      </c>
    </row>
    <row r="176" spans="2:19" ht="23.25" customHeight="1" x14ac:dyDescent="0.25">
      <c r="B176" s="159">
        <v>171</v>
      </c>
      <c r="C176" s="160" t="str">
        <f>IFERROR(INDEX($Q$6:$Q$505,MATCH(171,$S$6:$S$505,0)),"")</f>
        <v>Dr. Natalia RAKİSLOVA</v>
      </c>
      <c r="D176" s="161">
        <f>IF(C176="","",COUNTIFS(Başvuru!$C:$C,C176,Başvuru!$A:$A,"&lt;&gt;"&amp;"",Başvuru!$F:$F,"&lt;&gt;"&amp;""))</f>
        <v>1</v>
      </c>
      <c r="E176" s="159" t="str">
        <f>IF(C176="","-",IF(D176&gt;0,TEXT(D176/(COUNTIFS(Başvuru!$A:$A,"&lt;&gt;",Başvuru!$F:$F,"&lt;&gt;")-1)*100,"0.0")&amp;"%","-"))</f>
        <v>00%</v>
      </c>
      <c r="F176" s="162">
        <f>IF(C176="","",COUNTIFS(Başvuru!$C:$C,C176,Başvuru!$G:$G,"Bireysel Araştırma",Başvuru!$A:$A,"&lt;&gt;"&amp;"",Başvuru!$F:$F,"&lt;&gt;"&amp;""))</f>
        <v>1</v>
      </c>
      <c r="G176" s="162">
        <f>IF(C176="","",COUNTIFS(Başvuru!$C:$C,C176,Başvuru!$G:$G,"Uzmanlık Tezi",Başvuru!$A:$A,"&lt;&gt;"&amp;"",Başvuru!$F:$F,"&lt;&gt;"&amp;""))</f>
        <v>0</v>
      </c>
      <c r="H176" s="162">
        <f>IF(C176="","",COUNTIFS(Başvuru!$C:$C,C176,Başvuru!$G:$G,"Doktora Tezi",Başvuru!$A:$A,"&lt;&gt;"&amp;"",Başvuru!$F:$F,"&lt;&gt;"&amp;""))</f>
        <v>0</v>
      </c>
      <c r="I176" s="162">
        <f>IF(C176="","",COUNTIFS(Başvuru!$C:$C,C176,Başvuru!$G:$G,"Yüksek Lisans Tezi",Başvuru!$A:$A,"&lt;&gt;"&amp;"",Başvuru!$F:$F,"&lt;&gt;"&amp;""))</f>
        <v>0</v>
      </c>
      <c r="J176" s="163">
        <f>IF(C176="","",COUNTIFS(Başvuru!$C:$C,C176,Başvuru!$L:$L,"ONAY",Başvuru!$A:$A,"&lt;&gt;"&amp;"",Başvuru!$F:$F,"&lt;&gt;"&amp;""))</f>
        <v>0</v>
      </c>
      <c r="K176" s="164">
        <f>IF(C176="","",COUNTIFS(Başvuru!$C:$C,C176,Başvuru!$L:$L,"DÜZELTME",Başvuru!$A:$A,"&lt;&gt;"&amp;"",Başvuru!$F:$F,"&lt;&gt;"&amp;""))</f>
        <v>1</v>
      </c>
      <c r="L176" s="165">
        <f>IF(C176="","",COUNTIFS(Başvuru!$C:$C,C176,Başvuru!$L:$L,"KAEK",Başvuru!$A:$A,"&lt;&gt;"&amp;"",Başvuru!$F:$F,"&lt;&gt;"&amp;""))</f>
        <v>0</v>
      </c>
      <c r="M176" s="166">
        <f>IF(C176="","",COUNTIFS(Başvuru!$C:$C,C176,Başvuru!$L:$L,"GÖRÜŞ",Başvuru!$A:$A,"&lt;&gt;"&amp;"",Başvuru!$F:$F,"&lt;&gt;"&amp;""))</f>
        <v>0</v>
      </c>
      <c r="N176" s="167">
        <f>IF(C176="","",COUNTIFS(Başvuru!$C:$C,C176,Başvuru!$L:$L,"RET",Başvuru!$A:$A,"&lt;&gt;"&amp;"",Başvuru!$F:$F,"&lt;&gt;"&amp;""))</f>
        <v>0</v>
      </c>
      <c r="O176" s="168">
        <f>IF(C176="","",COUNTIFS(Başvuru!$C:$C,C176,Başvuru!$L:$L,"KAPSAM DIŞI",Başvuru!$A:$A,"&lt;&gt;"&amp;"",Başvuru!$F:$F,"&lt;&gt;"&amp;""))</f>
        <v>0</v>
      </c>
      <c r="P176" s="169">
        <f>IF(C176="","",COUNTIFS(Başvuru!$C:$C,C176,Başvuru!$L:$L,"GERİ ÇEKİLDİ",Başvuru!$A:$A,"&lt;&gt;"&amp;"",Başvuru!$F:$F,"&lt;&gt;"&amp;""))</f>
        <v>0</v>
      </c>
      <c r="Q176" s="170" t="str">
        <f t="array" ref="Q176">IFERROR(INDEX(Başvuru!$C$2:$C$3000, MATCH(0, COUNTIF($Q$5:Q175, Başvuru!$C$2:$C$3000) + IF(Başvuru!$C$2:$C$3000="",1,0), 0)), "")</f>
        <v>Prof. Dr. Ali Rıza TÜMER</v>
      </c>
      <c r="R176" s="171">
        <f>IF(Q176="","",COUNTIFS(Başvuru!$C:$C,Q176,Başvuru!$A:$A,"&lt;&gt;"&amp;"",Başvuru!$F:$F,"&lt;&gt;"&amp;""))</f>
        <v>2</v>
      </c>
      <c r="S176" s="171">
        <f>IF(R176="","",RANK(R176,$R$6:$R$505,0)+COUNTIF($R$6:R176,R176)-1)</f>
        <v>121</v>
      </c>
    </row>
    <row r="177" spans="2:19" ht="23.25" customHeight="1" x14ac:dyDescent="0.25">
      <c r="B177" s="159">
        <v>172</v>
      </c>
      <c r="C177" s="160" t="str">
        <f>IFERROR(INDEX($Q$6:$Q$505,MATCH(172,$S$6:$S$505,0)),"")</f>
        <v>Doç. Dr. İlker ERTUĞRUL</v>
      </c>
      <c r="D177" s="161">
        <f>IF(C177="","",COUNTIFS(Başvuru!$C:$C,C177,Başvuru!$A:$A,"&lt;&gt;"&amp;"",Başvuru!$F:$F,"&lt;&gt;"&amp;""))</f>
        <v>1</v>
      </c>
      <c r="E177" s="159" t="str">
        <f>IF(C177="","-",IF(D177&gt;0,TEXT(D177/(COUNTIFS(Başvuru!$A:$A,"&lt;&gt;",Başvuru!$F:$F,"&lt;&gt;")-1)*100,"0.0")&amp;"%","-"))</f>
        <v>00%</v>
      </c>
      <c r="F177" s="162">
        <f>IF(C177="","",COUNTIFS(Başvuru!$C:$C,C177,Başvuru!$G:$G,"Bireysel Araştırma",Başvuru!$A:$A,"&lt;&gt;"&amp;"",Başvuru!$F:$F,"&lt;&gt;"&amp;""))</f>
        <v>1</v>
      </c>
      <c r="G177" s="162">
        <f>IF(C177="","",COUNTIFS(Başvuru!$C:$C,C177,Başvuru!$G:$G,"Uzmanlık Tezi",Başvuru!$A:$A,"&lt;&gt;"&amp;"",Başvuru!$F:$F,"&lt;&gt;"&amp;""))</f>
        <v>0</v>
      </c>
      <c r="H177" s="162">
        <f>IF(C177="","",COUNTIFS(Başvuru!$C:$C,C177,Başvuru!$G:$G,"Doktora Tezi",Başvuru!$A:$A,"&lt;&gt;"&amp;"",Başvuru!$F:$F,"&lt;&gt;"&amp;""))</f>
        <v>0</v>
      </c>
      <c r="I177" s="162">
        <f>IF(C177="","",COUNTIFS(Başvuru!$C:$C,C177,Başvuru!$G:$G,"Yüksek Lisans Tezi",Başvuru!$A:$A,"&lt;&gt;"&amp;"",Başvuru!$F:$F,"&lt;&gt;"&amp;""))</f>
        <v>0</v>
      </c>
      <c r="J177" s="163">
        <f>IF(C177="","",COUNTIFS(Başvuru!$C:$C,C177,Başvuru!$L:$L,"ONAY",Başvuru!$A:$A,"&lt;&gt;"&amp;"",Başvuru!$F:$F,"&lt;&gt;"&amp;""))</f>
        <v>0</v>
      </c>
      <c r="K177" s="164">
        <f>IF(C177="","",COUNTIFS(Başvuru!$C:$C,C177,Başvuru!$L:$L,"DÜZELTME",Başvuru!$A:$A,"&lt;&gt;"&amp;"",Başvuru!$F:$F,"&lt;&gt;"&amp;""))</f>
        <v>1</v>
      </c>
      <c r="L177" s="165">
        <f>IF(C177="","",COUNTIFS(Başvuru!$C:$C,C177,Başvuru!$L:$L,"KAEK",Başvuru!$A:$A,"&lt;&gt;"&amp;"",Başvuru!$F:$F,"&lt;&gt;"&amp;""))</f>
        <v>0</v>
      </c>
      <c r="M177" s="166">
        <f>IF(C177="","",COUNTIFS(Başvuru!$C:$C,C177,Başvuru!$L:$L,"GÖRÜŞ",Başvuru!$A:$A,"&lt;&gt;"&amp;"",Başvuru!$F:$F,"&lt;&gt;"&amp;""))</f>
        <v>0</v>
      </c>
      <c r="N177" s="167">
        <f>IF(C177="","",COUNTIFS(Başvuru!$C:$C,C177,Başvuru!$L:$L,"RET",Başvuru!$A:$A,"&lt;&gt;"&amp;"",Başvuru!$F:$F,"&lt;&gt;"&amp;""))</f>
        <v>0</v>
      </c>
      <c r="O177" s="168">
        <f>IF(C177="","",COUNTIFS(Başvuru!$C:$C,C177,Başvuru!$L:$L,"KAPSAM DIŞI",Başvuru!$A:$A,"&lt;&gt;"&amp;"",Başvuru!$F:$F,"&lt;&gt;"&amp;""))</f>
        <v>0</v>
      </c>
      <c r="P177" s="169">
        <f>IF(C177="","",COUNTIFS(Başvuru!$C:$C,C177,Başvuru!$L:$L,"GERİ ÇEKİLDİ",Başvuru!$A:$A,"&lt;&gt;"&amp;"",Başvuru!$F:$F,"&lt;&gt;"&amp;""))</f>
        <v>0</v>
      </c>
      <c r="Q177" s="170" t="str">
        <f t="array" ref="Q177">IFERROR(INDEX(Başvuru!$C$2:$C$3000, MATCH(0, COUNTIF($Q$5:Q176, Başvuru!$C$2:$C$3000) + IF(Başvuru!$C$2:$C$3000="",1,0), 0)), "")</f>
        <v>Prof. Dr. Burcu Balam DOĞU</v>
      </c>
      <c r="R177" s="171">
        <f>IF(Q177="","",COUNTIFS(Başvuru!$C:$C,Q177,Başvuru!$A:$A,"&lt;&gt;"&amp;"",Başvuru!$F:$F,"&lt;&gt;"&amp;""))</f>
        <v>7</v>
      </c>
      <c r="S177" s="171">
        <f>IF(R177="","",RANK(R177,$R$6:$R$505,0)+COUNTIF($R$6:R177,R177)-1)</f>
        <v>13</v>
      </c>
    </row>
    <row r="178" spans="2:19" ht="23.25" customHeight="1" x14ac:dyDescent="0.25">
      <c r="B178" s="159">
        <v>173</v>
      </c>
      <c r="C178" s="160" t="str">
        <f>IFERROR(INDEX($Q$6:$Q$505,MATCH(173,$S$6:$S$505,0)),"")</f>
        <v>Dr. Öğr. Üyesi Gökçen AKÇİÇEK</v>
      </c>
      <c r="D178" s="161">
        <f>IF(C178="","",COUNTIFS(Başvuru!$C:$C,C178,Başvuru!$A:$A,"&lt;&gt;"&amp;"",Başvuru!$F:$F,"&lt;&gt;"&amp;""))</f>
        <v>1</v>
      </c>
      <c r="E178" s="159" t="str">
        <f>IF(C178="","-",IF(D178&gt;0,TEXT(D178/(COUNTIFS(Başvuru!$A:$A,"&lt;&gt;",Başvuru!$F:$F,"&lt;&gt;")-1)*100,"0.0")&amp;"%","-"))</f>
        <v>00%</v>
      </c>
      <c r="F178" s="162">
        <f>IF(C178="","",COUNTIFS(Başvuru!$C:$C,C178,Başvuru!$G:$G,"Bireysel Araştırma",Başvuru!$A:$A,"&lt;&gt;"&amp;"",Başvuru!$F:$F,"&lt;&gt;"&amp;""))</f>
        <v>0</v>
      </c>
      <c r="G178" s="162">
        <f>IF(C178="","",COUNTIFS(Başvuru!$C:$C,C178,Başvuru!$G:$G,"Uzmanlık Tezi",Başvuru!$A:$A,"&lt;&gt;"&amp;"",Başvuru!$F:$F,"&lt;&gt;"&amp;""))</f>
        <v>1</v>
      </c>
      <c r="H178" s="162">
        <f>IF(C178="","",COUNTIFS(Başvuru!$C:$C,C178,Başvuru!$G:$G,"Doktora Tezi",Başvuru!$A:$A,"&lt;&gt;"&amp;"",Başvuru!$F:$F,"&lt;&gt;"&amp;""))</f>
        <v>0</v>
      </c>
      <c r="I178" s="162">
        <f>IF(C178="","",COUNTIFS(Başvuru!$C:$C,C178,Başvuru!$G:$G,"Yüksek Lisans Tezi",Başvuru!$A:$A,"&lt;&gt;"&amp;"",Başvuru!$F:$F,"&lt;&gt;"&amp;""))</f>
        <v>0</v>
      </c>
      <c r="J178" s="163">
        <f>IF(C178="","",COUNTIFS(Başvuru!$C:$C,C178,Başvuru!$L:$L,"ONAY",Başvuru!$A:$A,"&lt;&gt;"&amp;"",Başvuru!$F:$F,"&lt;&gt;"&amp;""))</f>
        <v>1</v>
      </c>
      <c r="K178" s="164">
        <f>IF(C178="","",COUNTIFS(Başvuru!$C:$C,C178,Başvuru!$L:$L,"DÜZELTME",Başvuru!$A:$A,"&lt;&gt;"&amp;"",Başvuru!$F:$F,"&lt;&gt;"&amp;""))</f>
        <v>0</v>
      </c>
      <c r="L178" s="165">
        <f>IF(C178="","",COUNTIFS(Başvuru!$C:$C,C178,Başvuru!$L:$L,"KAEK",Başvuru!$A:$A,"&lt;&gt;"&amp;"",Başvuru!$F:$F,"&lt;&gt;"&amp;""))</f>
        <v>0</v>
      </c>
      <c r="M178" s="166">
        <f>IF(C178="","",COUNTIFS(Başvuru!$C:$C,C178,Başvuru!$L:$L,"GÖRÜŞ",Başvuru!$A:$A,"&lt;&gt;"&amp;"",Başvuru!$F:$F,"&lt;&gt;"&amp;""))</f>
        <v>0</v>
      </c>
      <c r="N178" s="167">
        <f>IF(C178="","",COUNTIFS(Başvuru!$C:$C,C178,Başvuru!$L:$L,"RET",Başvuru!$A:$A,"&lt;&gt;"&amp;"",Başvuru!$F:$F,"&lt;&gt;"&amp;""))</f>
        <v>0</v>
      </c>
      <c r="O178" s="168">
        <f>IF(C178="","",COUNTIFS(Başvuru!$C:$C,C178,Başvuru!$L:$L,"KAPSAM DIŞI",Başvuru!$A:$A,"&lt;&gt;"&amp;"",Başvuru!$F:$F,"&lt;&gt;"&amp;""))</f>
        <v>0</v>
      </c>
      <c r="P178" s="169">
        <f>IF(C178="","",COUNTIFS(Başvuru!$C:$C,C178,Başvuru!$L:$L,"GERİ ÇEKİLDİ",Başvuru!$A:$A,"&lt;&gt;"&amp;"",Başvuru!$F:$F,"&lt;&gt;"&amp;""))</f>
        <v>0</v>
      </c>
      <c r="Q178" s="170" t="str">
        <f t="array" ref="Q178">IFERROR(INDEX(Başvuru!$C$2:$C$3000, MATCH(0, COUNTIF($Q$5:Q177, Başvuru!$C$2:$C$3000) + IF(Başvuru!$C$2:$C$3000="",1,0), 0)), "")</f>
        <v>Doç. Dr. Emel Tuğba ATAMAN DURUEL</v>
      </c>
      <c r="R178" s="171">
        <f>IF(Q178="","",COUNTIFS(Başvuru!$C:$C,Q178,Başvuru!$A:$A,"&lt;&gt;"&amp;"",Başvuru!$F:$F,"&lt;&gt;"&amp;""))</f>
        <v>1</v>
      </c>
      <c r="S178" s="171">
        <f>IF(R178="","",RANK(R178,$R$6:$R$505,0)+COUNTIF($R$6:R178,R178)-1)</f>
        <v>217</v>
      </c>
    </row>
    <row r="179" spans="2:19" ht="23.25" customHeight="1" x14ac:dyDescent="0.25">
      <c r="B179" s="159">
        <v>174</v>
      </c>
      <c r="C179" s="160" t="str">
        <f>IFERROR(INDEX($Q$6:$Q$505,MATCH(174,$S$6:$S$505,0)),"")</f>
        <v>Prof. Dr. Özlem BOYBEYİ</v>
      </c>
      <c r="D179" s="161">
        <f>IF(C179="","",COUNTIFS(Başvuru!$C:$C,C179,Başvuru!$A:$A,"&lt;&gt;"&amp;"",Başvuru!$F:$F,"&lt;&gt;"&amp;""))</f>
        <v>1</v>
      </c>
      <c r="E179" s="159" t="str">
        <f>IF(C179="","-",IF(D179&gt;0,TEXT(D179/(COUNTIFS(Başvuru!$A:$A,"&lt;&gt;",Başvuru!$F:$F,"&lt;&gt;")-1)*100,"0.0")&amp;"%","-"))</f>
        <v>00%</v>
      </c>
      <c r="F179" s="162">
        <f>IF(C179="","",COUNTIFS(Başvuru!$C:$C,C179,Başvuru!$G:$G,"Bireysel Araştırma",Başvuru!$A:$A,"&lt;&gt;"&amp;"",Başvuru!$F:$F,"&lt;&gt;"&amp;""))</f>
        <v>1</v>
      </c>
      <c r="G179" s="162">
        <f>IF(C179="","",COUNTIFS(Başvuru!$C:$C,C179,Başvuru!$G:$G,"Uzmanlık Tezi",Başvuru!$A:$A,"&lt;&gt;"&amp;"",Başvuru!$F:$F,"&lt;&gt;"&amp;""))</f>
        <v>0</v>
      </c>
      <c r="H179" s="162">
        <f>IF(C179="","",COUNTIFS(Başvuru!$C:$C,C179,Başvuru!$G:$G,"Doktora Tezi",Başvuru!$A:$A,"&lt;&gt;"&amp;"",Başvuru!$F:$F,"&lt;&gt;"&amp;""))</f>
        <v>0</v>
      </c>
      <c r="I179" s="162">
        <f>IF(C179="","",COUNTIFS(Başvuru!$C:$C,C179,Başvuru!$G:$G,"Yüksek Lisans Tezi",Başvuru!$A:$A,"&lt;&gt;"&amp;"",Başvuru!$F:$F,"&lt;&gt;"&amp;""))</f>
        <v>0</v>
      </c>
      <c r="J179" s="163">
        <f>IF(C179="","",COUNTIFS(Başvuru!$C:$C,C179,Başvuru!$L:$L,"ONAY",Başvuru!$A:$A,"&lt;&gt;"&amp;"",Başvuru!$F:$F,"&lt;&gt;"&amp;""))</f>
        <v>0</v>
      </c>
      <c r="K179" s="164">
        <f>IF(C179="","",COUNTIFS(Başvuru!$C:$C,C179,Başvuru!$L:$L,"DÜZELTME",Başvuru!$A:$A,"&lt;&gt;"&amp;"",Başvuru!$F:$F,"&lt;&gt;"&amp;""))</f>
        <v>1</v>
      </c>
      <c r="L179" s="165">
        <f>IF(C179="","",COUNTIFS(Başvuru!$C:$C,C179,Başvuru!$L:$L,"KAEK",Başvuru!$A:$A,"&lt;&gt;"&amp;"",Başvuru!$F:$F,"&lt;&gt;"&amp;""))</f>
        <v>0</v>
      </c>
      <c r="M179" s="166">
        <f>IF(C179="","",COUNTIFS(Başvuru!$C:$C,C179,Başvuru!$L:$L,"GÖRÜŞ",Başvuru!$A:$A,"&lt;&gt;"&amp;"",Başvuru!$F:$F,"&lt;&gt;"&amp;""))</f>
        <v>0</v>
      </c>
      <c r="N179" s="167">
        <f>IF(C179="","",COUNTIFS(Başvuru!$C:$C,C179,Başvuru!$L:$L,"RET",Başvuru!$A:$A,"&lt;&gt;"&amp;"",Başvuru!$F:$F,"&lt;&gt;"&amp;""))</f>
        <v>0</v>
      </c>
      <c r="O179" s="168">
        <f>IF(C179="","",COUNTIFS(Başvuru!$C:$C,C179,Başvuru!$L:$L,"KAPSAM DIŞI",Başvuru!$A:$A,"&lt;&gt;"&amp;"",Başvuru!$F:$F,"&lt;&gt;"&amp;""))</f>
        <v>0</v>
      </c>
      <c r="P179" s="169">
        <f>IF(C179="","",COUNTIFS(Başvuru!$C:$C,C179,Başvuru!$L:$L,"GERİ ÇEKİLDİ",Başvuru!$A:$A,"&lt;&gt;"&amp;"",Başvuru!$F:$F,"&lt;&gt;"&amp;""))</f>
        <v>0</v>
      </c>
      <c r="Q179" s="170" t="str">
        <f t="array" ref="Q179">IFERROR(INDEX(Başvuru!$C$2:$C$3000, MATCH(0, COUNTIF($Q$5:Q178, Başvuru!$C$2:$C$3000) + IF(Başvuru!$C$2:$C$3000="",1,0), 0)), "")</f>
        <v>Doç. Dr. Hayriye HIZARCIOĞLU GÜLŞEN</v>
      </c>
      <c r="R179" s="171">
        <f>IF(Q179="","",COUNTIFS(Başvuru!$C:$C,Q179,Başvuru!$A:$A,"&lt;&gt;"&amp;"",Başvuru!$F:$F,"&lt;&gt;"&amp;""))</f>
        <v>3</v>
      </c>
      <c r="S179" s="171">
        <f>IF(R179="","",RANK(R179,$R$6:$R$505,0)+COUNTIF($R$6:R179,R179)-1)</f>
        <v>66</v>
      </c>
    </row>
    <row r="180" spans="2:19" ht="23.25" customHeight="1" x14ac:dyDescent="0.25">
      <c r="B180" s="159">
        <v>175</v>
      </c>
      <c r="C180" s="160" t="str">
        <f>IFERROR(INDEX($Q$6:$Q$505,MATCH(175,$S$6:$S$505,0)),"")</f>
        <v>Prof. Dr. Ülkü ÜNDEĞER BUCURGAT</v>
      </c>
      <c r="D180" s="161">
        <f>IF(C180="","",COUNTIFS(Başvuru!$C:$C,C180,Başvuru!$A:$A,"&lt;&gt;"&amp;"",Başvuru!$F:$F,"&lt;&gt;"&amp;""))</f>
        <v>1</v>
      </c>
      <c r="E180" s="159" t="str">
        <f>IF(C180="","-",IF(D180&gt;0,TEXT(D180/(COUNTIFS(Başvuru!$A:$A,"&lt;&gt;",Başvuru!$F:$F,"&lt;&gt;")-1)*100,"0.0")&amp;"%","-"))</f>
        <v>00%</v>
      </c>
      <c r="F180" s="162">
        <f>IF(C180="","",COUNTIFS(Başvuru!$C:$C,C180,Başvuru!$G:$G,"Bireysel Araştırma",Başvuru!$A:$A,"&lt;&gt;"&amp;"",Başvuru!$F:$F,"&lt;&gt;"&amp;""))</f>
        <v>0</v>
      </c>
      <c r="G180" s="162">
        <f>IF(C180="","",COUNTIFS(Başvuru!$C:$C,C180,Başvuru!$G:$G,"Uzmanlık Tezi",Başvuru!$A:$A,"&lt;&gt;"&amp;"",Başvuru!$F:$F,"&lt;&gt;"&amp;""))</f>
        <v>0</v>
      </c>
      <c r="H180" s="162">
        <f>IF(C180="","",COUNTIFS(Başvuru!$C:$C,C180,Başvuru!$G:$G,"Doktora Tezi",Başvuru!$A:$A,"&lt;&gt;"&amp;"",Başvuru!$F:$F,"&lt;&gt;"&amp;""))</f>
        <v>1</v>
      </c>
      <c r="I180" s="162">
        <f>IF(C180="","",COUNTIFS(Başvuru!$C:$C,C180,Başvuru!$G:$G,"Yüksek Lisans Tezi",Başvuru!$A:$A,"&lt;&gt;"&amp;"",Başvuru!$F:$F,"&lt;&gt;"&amp;""))</f>
        <v>0</v>
      </c>
      <c r="J180" s="163">
        <f>IF(C180="","",COUNTIFS(Başvuru!$C:$C,C180,Başvuru!$L:$L,"ONAY",Başvuru!$A:$A,"&lt;&gt;"&amp;"",Başvuru!$F:$F,"&lt;&gt;"&amp;""))</f>
        <v>0</v>
      </c>
      <c r="K180" s="164">
        <f>IF(C180="","",COUNTIFS(Başvuru!$C:$C,C180,Başvuru!$L:$L,"DÜZELTME",Başvuru!$A:$A,"&lt;&gt;"&amp;"",Başvuru!$F:$F,"&lt;&gt;"&amp;""))</f>
        <v>1</v>
      </c>
      <c r="L180" s="165">
        <f>IF(C180="","",COUNTIFS(Başvuru!$C:$C,C180,Başvuru!$L:$L,"KAEK",Başvuru!$A:$A,"&lt;&gt;"&amp;"",Başvuru!$F:$F,"&lt;&gt;"&amp;""))</f>
        <v>0</v>
      </c>
      <c r="M180" s="166">
        <f>IF(C180="","",COUNTIFS(Başvuru!$C:$C,C180,Başvuru!$L:$L,"GÖRÜŞ",Başvuru!$A:$A,"&lt;&gt;"&amp;"",Başvuru!$F:$F,"&lt;&gt;"&amp;""))</f>
        <v>0</v>
      </c>
      <c r="N180" s="167">
        <f>IF(C180="","",COUNTIFS(Başvuru!$C:$C,C180,Başvuru!$L:$L,"RET",Başvuru!$A:$A,"&lt;&gt;"&amp;"",Başvuru!$F:$F,"&lt;&gt;"&amp;""))</f>
        <v>0</v>
      </c>
      <c r="O180" s="168">
        <f>IF(C180="","",COUNTIFS(Başvuru!$C:$C,C180,Başvuru!$L:$L,"KAPSAM DIŞI",Başvuru!$A:$A,"&lt;&gt;"&amp;"",Başvuru!$F:$F,"&lt;&gt;"&amp;""))</f>
        <v>0</v>
      </c>
      <c r="P180" s="169">
        <f>IF(C180="","",COUNTIFS(Başvuru!$C:$C,C180,Başvuru!$L:$L,"GERİ ÇEKİLDİ",Başvuru!$A:$A,"&lt;&gt;"&amp;"",Başvuru!$F:$F,"&lt;&gt;"&amp;""))</f>
        <v>0</v>
      </c>
      <c r="Q180" s="170" t="str">
        <f t="array" ref="Q180">IFERROR(INDEX(Başvuru!$C$2:$C$3000, MATCH(0, COUNTIF($Q$5:Q179, Başvuru!$C$2:$C$3000) + IF(Başvuru!$C$2:$C$3000="",1,0), 0)), "")</f>
        <v>Dr. Öğr. Üyesi Gizem ÜREL DEMİR</v>
      </c>
      <c r="R180" s="171">
        <f>IF(Q180="","",COUNTIFS(Başvuru!$C:$C,Q180,Başvuru!$A:$A,"&lt;&gt;"&amp;"",Başvuru!$F:$F,"&lt;&gt;"&amp;""))</f>
        <v>3</v>
      </c>
      <c r="S180" s="171">
        <f>IF(R180="","",RANK(R180,$R$6:$R$505,0)+COUNTIF($R$6:R180,R180)-1)</f>
        <v>67</v>
      </c>
    </row>
    <row r="181" spans="2:19" ht="23.25" customHeight="1" x14ac:dyDescent="0.25">
      <c r="B181" s="159">
        <v>176</v>
      </c>
      <c r="C181" s="160" t="str">
        <f>IFERROR(INDEX($Q$6:$Q$505,MATCH(176,$S$6:$S$505,0)),"")</f>
        <v>Prof. Dr. Güliz Nigar GÜNCÜ</v>
      </c>
      <c r="D181" s="161">
        <f>IF(C181="","",COUNTIFS(Başvuru!$C:$C,C181,Başvuru!$A:$A,"&lt;&gt;"&amp;"",Başvuru!$F:$F,"&lt;&gt;"&amp;""))</f>
        <v>1</v>
      </c>
      <c r="E181" s="159" t="str">
        <f>IF(C181="","-",IF(D181&gt;0,TEXT(D181/(COUNTIFS(Başvuru!$A:$A,"&lt;&gt;",Başvuru!$F:$F,"&lt;&gt;")-1)*100,"0.0")&amp;"%","-"))</f>
        <v>00%</v>
      </c>
      <c r="F181" s="162">
        <f>IF(C181="","",COUNTIFS(Başvuru!$C:$C,C181,Başvuru!$G:$G,"Bireysel Araştırma",Başvuru!$A:$A,"&lt;&gt;"&amp;"",Başvuru!$F:$F,"&lt;&gt;"&amp;""))</f>
        <v>0</v>
      </c>
      <c r="G181" s="162">
        <f>IF(C181="","",COUNTIFS(Başvuru!$C:$C,C181,Başvuru!$G:$G,"Uzmanlık Tezi",Başvuru!$A:$A,"&lt;&gt;"&amp;"",Başvuru!$F:$F,"&lt;&gt;"&amp;""))</f>
        <v>1</v>
      </c>
      <c r="H181" s="162">
        <f>IF(C181="","",COUNTIFS(Başvuru!$C:$C,C181,Başvuru!$G:$G,"Doktora Tezi",Başvuru!$A:$A,"&lt;&gt;"&amp;"",Başvuru!$F:$F,"&lt;&gt;"&amp;""))</f>
        <v>0</v>
      </c>
      <c r="I181" s="162">
        <f>IF(C181="","",COUNTIFS(Başvuru!$C:$C,C181,Başvuru!$G:$G,"Yüksek Lisans Tezi",Başvuru!$A:$A,"&lt;&gt;"&amp;"",Başvuru!$F:$F,"&lt;&gt;"&amp;""))</f>
        <v>0</v>
      </c>
      <c r="J181" s="163">
        <f>IF(C181="","",COUNTIFS(Başvuru!$C:$C,C181,Başvuru!$L:$L,"ONAY",Başvuru!$A:$A,"&lt;&gt;"&amp;"",Başvuru!$F:$F,"&lt;&gt;"&amp;""))</f>
        <v>0</v>
      </c>
      <c r="K181" s="164">
        <f>IF(C181="","",COUNTIFS(Başvuru!$C:$C,C181,Başvuru!$L:$L,"DÜZELTME",Başvuru!$A:$A,"&lt;&gt;"&amp;"",Başvuru!$F:$F,"&lt;&gt;"&amp;""))</f>
        <v>1</v>
      </c>
      <c r="L181" s="165">
        <f>IF(C181="","",COUNTIFS(Başvuru!$C:$C,C181,Başvuru!$L:$L,"KAEK",Başvuru!$A:$A,"&lt;&gt;"&amp;"",Başvuru!$F:$F,"&lt;&gt;"&amp;""))</f>
        <v>0</v>
      </c>
      <c r="M181" s="166">
        <f>IF(C181="","",COUNTIFS(Başvuru!$C:$C,C181,Başvuru!$L:$L,"GÖRÜŞ",Başvuru!$A:$A,"&lt;&gt;"&amp;"",Başvuru!$F:$F,"&lt;&gt;"&amp;""))</f>
        <v>0</v>
      </c>
      <c r="N181" s="167">
        <f>IF(C181="","",COUNTIFS(Başvuru!$C:$C,C181,Başvuru!$L:$L,"RET",Başvuru!$A:$A,"&lt;&gt;"&amp;"",Başvuru!$F:$F,"&lt;&gt;"&amp;""))</f>
        <v>0</v>
      </c>
      <c r="O181" s="168">
        <f>IF(C181="","",COUNTIFS(Başvuru!$C:$C,C181,Başvuru!$L:$L,"KAPSAM DIŞI",Başvuru!$A:$A,"&lt;&gt;"&amp;"",Başvuru!$F:$F,"&lt;&gt;"&amp;""))</f>
        <v>0</v>
      </c>
      <c r="P181" s="169">
        <f>IF(C181="","",COUNTIFS(Başvuru!$C:$C,C181,Başvuru!$L:$L,"GERİ ÇEKİLDİ",Başvuru!$A:$A,"&lt;&gt;"&amp;"",Başvuru!$F:$F,"&lt;&gt;"&amp;""))</f>
        <v>0</v>
      </c>
      <c r="Q181" s="170" t="str">
        <f t="array" ref="Q181">IFERROR(INDEX(Başvuru!$C$2:$C$3000, MATCH(0, COUNTIF($Q$5:Q180, Başvuru!$C$2:$C$3000) + IF(Başvuru!$C$2:$C$3000="",1,0), 0)), "")</f>
        <v>Dr. Öğr. Üyesi Sefa Burak ÇAM</v>
      </c>
      <c r="R181" s="171">
        <f>IF(Q181="","",COUNTIFS(Başvuru!$C:$C,Q181,Başvuru!$A:$A,"&lt;&gt;"&amp;"",Başvuru!$F:$F,"&lt;&gt;"&amp;""))</f>
        <v>1</v>
      </c>
      <c r="S181" s="171">
        <f>IF(R181="","",RANK(R181,$R$6:$R$505,0)+COUNTIF($R$6:R181,R181)-1)</f>
        <v>218</v>
      </c>
    </row>
    <row r="182" spans="2:19" ht="23.25" customHeight="1" x14ac:dyDescent="0.25">
      <c r="B182" s="159">
        <v>177</v>
      </c>
      <c r="C182" s="160" t="str">
        <f>IFERROR(INDEX($Q$6:$Q$505,MATCH(177,$S$6:$S$505,0)),"")</f>
        <v>Doç. Dr. Emel ISIYEL</v>
      </c>
      <c r="D182" s="161">
        <f>IF(C182="","",COUNTIFS(Başvuru!$C:$C,C182,Başvuru!$A:$A,"&lt;&gt;"&amp;"",Başvuru!$F:$F,"&lt;&gt;"&amp;""))</f>
        <v>1</v>
      </c>
      <c r="E182" s="159" t="str">
        <f>IF(C182="","-",IF(D182&gt;0,TEXT(D182/(COUNTIFS(Başvuru!$A:$A,"&lt;&gt;",Başvuru!$F:$F,"&lt;&gt;")-1)*100,"0.0")&amp;"%","-"))</f>
        <v>00%</v>
      </c>
      <c r="F182" s="162">
        <f>IF(C182="","",COUNTIFS(Başvuru!$C:$C,C182,Başvuru!$G:$G,"Bireysel Araştırma",Başvuru!$A:$A,"&lt;&gt;"&amp;"",Başvuru!$F:$F,"&lt;&gt;"&amp;""))</f>
        <v>0</v>
      </c>
      <c r="G182" s="162">
        <f>IF(C182="","",COUNTIFS(Başvuru!$C:$C,C182,Başvuru!$G:$G,"Uzmanlık Tezi",Başvuru!$A:$A,"&lt;&gt;"&amp;"",Başvuru!$F:$F,"&lt;&gt;"&amp;""))</f>
        <v>1</v>
      </c>
      <c r="H182" s="162">
        <f>IF(C182="","",COUNTIFS(Başvuru!$C:$C,C182,Başvuru!$G:$G,"Doktora Tezi",Başvuru!$A:$A,"&lt;&gt;"&amp;"",Başvuru!$F:$F,"&lt;&gt;"&amp;""))</f>
        <v>0</v>
      </c>
      <c r="I182" s="162">
        <f>IF(C182="","",COUNTIFS(Başvuru!$C:$C,C182,Başvuru!$G:$G,"Yüksek Lisans Tezi",Başvuru!$A:$A,"&lt;&gt;"&amp;"",Başvuru!$F:$F,"&lt;&gt;"&amp;""))</f>
        <v>0</v>
      </c>
      <c r="J182" s="163">
        <f>IF(C182="","",COUNTIFS(Başvuru!$C:$C,C182,Başvuru!$L:$L,"ONAY",Başvuru!$A:$A,"&lt;&gt;"&amp;"",Başvuru!$F:$F,"&lt;&gt;"&amp;""))</f>
        <v>0</v>
      </c>
      <c r="K182" s="164">
        <f>IF(C182="","",COUNTIFS(Başvuru!$C:$C,C182,Başvuru!$L:$L,"DÜZELTME",Başvuru!$A:$A,"&lt;&gt;"&amp;"",Başvuru!$F:$F,"&lt;&gt;"&amp;""))</f>
        <v>1</v>
      </c>
      <c r="L182" s="165">
        <f>IF(C182="","",COUNTIFS(Başvuru!$C:$C,C182,Başvuru!$L:$L,"KAEK",Başvuru!$A:$A,"&lt;&gt;"&amp;"",Başvuru!$F:$F,"&lt;&gt;"&amp;""))</f>
        <v>0</v>
      </c>
      <c r="M182" s="166">
        <f>IF(C182="","",COUNTIFS(Başvuru!$C:$C,C182,Başvuru!$L:$L,"GÖRÜŞ",Başvuru!$A:$A,"&lt;&gt;"&amp;"",Başvuru!$F:$F,"&lt;&gt;"&amp;""))</f>
        <v>0</v>
      </c>
      <c r="N182" s="167">
        <f>IF(C182="","",COUNTIFS(Başvuru!$C:$C,C182,Başvuru!$L:$L,"RET",Başvuru!$A:$A,"&lt;&gt;"&amp;"",Başvuru!$F:$F,"&lt;&gt;"&amp;""))</f>
        <v>0</v>
      </c>
      <c r="O182" s="168">
        <f>IF(C182="","",COUNTIFS(Başvuru!$C:$C,C182,Başvuru!$L:$L,"KAPSAM DIŞI",Başvuru!$A:$A,"&lt;&gt;"&amp;"",Başvuru!$F:$F,"&lt;&gt;"&amp;""))</f>
        <v>0</v>
      </c>
      <c r="P182" s="169">
        <f>IF(C182="","",COUNTIFS(Başvuru!$C:$C,C182,Başvuru!$L:$L,"GERİ ÇEKİLDİ",Başvuru!$A:$A,"&lt;&gt;"&amp;"",Başvuru!$F:$F,"&lt;&gt;"&amp;""))</f>
        <v>0</v>
      </c>
      <c r="Q182" s="170" t="str">
        <f t="array" ref="Q182">IFERROR(INDEX(Başvuru!$C$2:$C$3000, MATCH(0, COUNTIF($Q$5:Q181, Başvuru!$C$2:$C$3000) + IF(Başvuru!$C$2:$C$3000="",1,0), 0)), "")</f>
        <v>Doç. Dr. Fatma Gonca ELDEM</v>
      </c>
      <c r="R182" s="171">
        <f>IF(Q182="","",COUNTIFS(Başvuru!$C:$C,Q182,Başvuru!$A:$A,"&lt;&gt;"&amp;"",Başvuru!$F:$F,"&lt;&gt;"&amp;""))</f>
        <v>1</v>
      </c>
      <c r="S182" s="171">
        <f>IF(R182="","",RANK(R182,$R$6:$R$505,0)+COUNTIF($R$6:R182,R182)-1)</f>
        <v>219</v>
      </c>
    </row>
    <row r="183" spans="2:19" ht="23.25" customHeight="1" x14ac:dyDescent="0.25">
      <c r="B183" s="159">
        <v>178</v>
      </c>
      <c r="C183" s="160" t="str">
        <f>IFERROR(INDEX($Q$6:$Q$505,MATCH(178,$S$6:$S$505,0)),"")</f>
        <v>Dr. Öğr. Üyesi Burkay UTKU</v>
      </c>
      <c r="D183" s="161">
        <f>IF(C183="","",COUNTIFS(Başvuru!$C:$C,C183,Başvuru!$A:$A,"&lt;&gt;"&amp;"",Başvuru!$F:$F,"&lt;&gt;"&amp;""))</f>
        <v>1</v>
      </c>
      <c r="E183" s="159" t="str">
        <f>IF(C183="","-",IF(D183&gt;0,TEXT(D183/(COUNTIFS(Başvuru!$A:$A,"&lt;&gt;",Başvuru!$F:$F,"&lt;&gt;")-1)*100,"0.0")&amp;"%","-"))</f>
        <v>00%</v>
      </c>
      <c r="F183" s="162">
        <f>IF(C183="","",COUNTIFS(Başvuru!$C:$C,C183,Başvuru!$G:$G,"Bireysel Araştırma",Başvuru!$A:$A,"&lt;&gt;"&amp;"",Başvuru!$F:$F,"&lt;&gt;"&amp;""))</f>
        <v>1</v>
      </c>
      <c r="G183" s="162">
        <f>IF(C183="","",COUNTIFS(Başvuru!$C:$C,C183,Başvuru!$G:$G,"Uzmanlık Tezi",Başvuru!$A:$A,"&lt;&gt;"&amp;"",Başvuru!$F:$F,"&lt;&gt;"&amp;""))</f>
        <v>0</v>
      </c>
      <c r="H183" s="162">
        <f>IF(C183="","",COUNTIFS(Başvuru!$C:$C,C183,Başvuru!$G:$G,"Doktora Tezi",Başvuru!$A:$A,"&lt;&gt;"&amp;"",Başvuru!$F:$F,"&lt;&gt;"&amp;""))</f>
        <v>0</v>
      </c>
      <c r="I183" s="162">
        <f>IF(C183="","",COUNTIFS(Başvuru!$C:$C,C183,Başvuru!$G:$G,"Yüksek Lisans Tezi",Başvuru!$A:$A,"&lt;&gt;"&amp;"",Başvuru!$F:$F,"&lt;&gt;"&amp;""))</f>
        <v>0</v>
      </c>
      <c r="J183" s="163">
        <f>IF(C183="","",COUNTIFS(Başvuru!$C:$C,C183,Başvuru!$L:$L,"ONAY",Başvuru!$A:$A,"&lt;&gt;"&amp;"",Başvuru!$F:$F,"&lt;&gt;"&amp;""))</f>
        <v>0</v>
      </c>
      <c r="K183" s="164">
        <f>IF(C183="","",COUNTIFS(Başvuru!$C:$C,C183,Başvuru!$L:$L,"DÜZELTME",Başvuru!$A:$A,"&lt;&gt;"&amp;"",Başvuru!$F:$F,"&lt;&gt;"&amp;""))</f>
        <v>1</v>
      </c>
      <c r="L183" s="165">
        <f>IF(C183="","",COUNTIFS(Başvuru!$C:$C,C183,Başvuru!$L:$L,"KAEK",Başvuru!$A:$A,"&lt;&gt;"&amp;"",Başvuru!$F:$F,"&lt;&gt;"&amp;""))</f>
        <v>0</v>
      </c>
      <c r="M183" s="166">
        <f>IF(C183="","",COUNTIFS(Başvuru!$C:$C,C183,Başvuru!$L:$L,"GÖRÜŞ",Başvuru!$A:$A,"&lt;&gt;"&amp;"",Başvuru!$F:$F,"&lt;&gt;"&amp;""))</f>
        <v>0</v>
      </c>
      <c r="N183" s="167">
        <f>IF(C183="","",COUNTIFS(Başvuru!$C:$C,C183,Başvuru!$L:$L,"RET",Başvuru!$A:$A,"&lt;&gt;"&amp;"",Başvuru!$F:$F,"&lt;&gt;"&amp;""))</f>
        <v>0</v>
      </c>
      <c r="O183" s="168">
        <f>IF(C183="","",COUNTIFS(Başvuru!$C:$C,C183,Başvuru!$L:$L,"KAPSAM DIŞI",Başvuru!$A:$A,"&lt;&gt;"&amp;"",Başvuru!$F:$F,"&lt;&gt;"&amp;""))</f>
        <v>0</v>
      </c>
      <c r="P183" s="169">
        <f>IF(C183="","",COUNTIFS(Başvuru!$C:$C,C183,Başvuru!$L:$L,"GERİ ÇEKİLDİ",Başvuru!$A:$A,"&lt;&gt;"&amp;"",Başvuru!$F:$F,"&lt;&gt;"&amp;""))</f>
        <v>0</v>
      </c>
      <c r="Q183" s="170" t="str">
        <f t="array" ref="Q183">IFERROR(INDEX(Başvuru!$C$2:$C$3000, MATCH(0, COUNTIF($Q$5:Q182, Başvuru!$C$2:$C$3000) + IF(Başvuru!$C$2:$C$3000="",1,0), 0)), "")</f>
        <v>Prof. Dr. İnci Nur SALTIK</v>
      </c>
      <c r="R183" s="171">
        <f>IF(Q183="","",COUNTIFS(Başvuru!$C:$C,Q183,Başvuru!$A:$A,"&lt;&gt;"&amp;"",Başvuru!$F:$F,"&lt;&gt;"&amp;""))</f>
        <v>2</v>
      </c>
      <c r="S183" s="171">
        <f>IF(R183="","",RANK(R183,$R$6:$R$505,0)+COUNTIF($R$6:R183,R183)-1)</f>
        <v>122</v>
      </c>
    </row>
    <row r="184" spans="2:19" ht="23.25" customHeight="1" x14ac:dyDescent="0.25">
      <c r="B184" s="159">
        <v>179</v>
      </c>
      <c r="C184" s="160" t="str">
        <f>IFERROR(INDEX($Q$6:$Q$505,MATCH(179,$S$6:$S$505,0)),"")</f>
        <v>Prof. Dr. Selçuk DAĞDELEN</v>
      </c>
      <c r="D184" s="161">
        <f>IF(C184="","",COUNTIFS(Başvuru!$C:$C,C184,Başvuru!$A:$A,"&lt;&gt;"&amp;"",Başvuru!$F:$F,"&lt;&gt;"&amp;""))</f>
        <v>1</v>
      </c>
      <c r="E184" s="159" t="str">
        <f>IF(C184="","-",IF(D184&gt;0,TEXT(D184/(COUNTIFS(Başvuru!$A:$A,"&lt;&gt;",Başvuru!$F:$F,"&lt;&gt;")-1)*100,"0.0")&amp;"%","-"))</f>
        <v>00%</v>
      </c>
      <c r="F184" s="162">
        <f>IF(C184="","",COUNTIFS(Başvuru!$C:$C,C184,Başvuru!$G:$G,"Bireysel Araştırma",Başvuru!$A:$A,"&lt;&gt;"&amp;"",Başvuru!$F:$F,"&lt;&gt;"&amp;""))</f>
        <v>1</v>
      </c>
      <c r="G184" s="162">
        <f>IF(C184="","",COUNTIFS(Başvuru!$C:$C,C184,Başvuru!$G:$G,"Uzmanlık Tezi",Başvuru!$A:$A,"&lt;&gt;"&amp;"",Başvuru!$F:$F,"&lt;&gt;"&amp;""))</f>
        <v>0</v>
      </c>
      <c r="H184" s="162">
        <f>IF(C184="","",COUNTIFS(Başvuru!$C:$C,C184,Başvuru!$G:$G,"Doktora Tezi",Başvuru!$A:$A,"&lt;&gt;"&amp;"",Başvuru!$F:$F,"&lt;&gt;"&amp;""))</f>
        <v>0</v>
      </c>
      <c r="I184" s="162">
        <f>IF(C184="","",COUNTIFS(Başvuru!$C:$C,C184,Başvuru!$G:$G,"Yüksek Lisans Tezi",Başvuru!$A:$A,"&lt;&gt;"&amp;"",Başvuru!$F:$F,"&lt;&gt;"&amp;""))</f>
        <v>0</v>
      </c>
      <c r="J184" s="163">
        <f>IF(C184="","",COUNTIFS(Başvuru!$C:$C,C184,Başvuru!$L:$L,"ONAY",Başvuru!$A:$A,"&lt;&gt;"&amp;"",Başvuru!$F:$F,"&lt;&gt;"&amp;""))</f>
        <v>1</v>
      </c>
      <c r="K184" s="164">
        <f>IF(C184="","",COUNTIFS(Başvuru!$C:$C,C184,Başvuru!$L:$L,"DÜZELTME",Başvuru!$A:$A,"&lt;&gt;"&amp;"",Başvuru!$F:$F,"&lt;&gt;"&amp;""))</f>
        <v>0</v>
      </c>
      <c r="L184" s="165">
        <f>IF(C184="","",COUNTIFS(Başvuru!$C:$C,C184,Başvuru!$L:$L,"KAEK",Başvuru!$A:$A,"&lt;&gt;"&amp;"",Başvuru!$F:$F,"&lt;&gt;"&amp;""))</f>
        <v>0</v>
      </c>
      <c r="M184" s="166">
        <f>IF(C184="","",COUNTIFS(Başvuru!$C:$C,C184,Başvuru!$L:$L,"GÖRÜŞ",Başvuru!$A:$A,"&lt;&gt;"&amp;"",Başvuru!$F:$F,"&lt;&gt;"&amp;""))</f>
        <v>0</v>
      </c>
      <c r="N184" s="167">
        <f>IF(C184="","",COUNTIFS(Başvuru!$C:$C,C184,Başvuru!$L:$L,"RET",Başvuru!$A:$A,"&lt;&gt;"&amp;"",Başvuru!$F:$F,"&lt;&gt;"&amp;""))</f>
        <v>0</v>
      </c>
      <c r="O184" s="168">
        <f>IF(C184="","",COUNTIFS(Başvuru!$C:$C,C184,Başvuru!$L:$L,"KAPSAM DIŞI",Başvuru!$A:$A,"&lt;&gt;"&amp;"",Başvuru!$F:$F,"&lt;&gt;"&amp;""))</f>
        <v>0</v>
      </c>
      <c r="P184" s="169">
        <f>IF(C184="","",COUNTIFS(Başvuru!$C:$C,C184,Başvuru!$L:$L,"GERİ ÇEKİLDİ",Başvuru!$A:$A,"&lt;&gt;"&amp;"",Başvuru!$F:$F,"&lt;&gt;"&amp;""))</f>
        <v>0</v>
      </c>
      <c r="Q184" s="170" t="str">
        <f t="array" ref="Q184">IFERROR(INDEX(Başvuru!$C$2:$C$3000, MATCH(0, COUNTIF($Q$5:Q183, Başvuru!$C$2:$C$3000) + IF(Başvuru!$C$2:$C$3000="",1,0), 0)), "")</f>
        <v>Doç. Dr. Hilal AKSOY</v>
      </c>
      <c r="R184" s="171">
        <f>IF(Q184="","",COUNTIFS(Başvuru!$C:$C,Q184,Başvuru!$A:$A,"&lt;&gt;"&amp;"",Başvuru!$F:$F,"&lt;&gt;"&amp;""))</f>
        <v>4</v>
      </c>
      <c r="S184" s="171">
        <f>IF(R184="","",RANK(R184,$R$6:$R$505,0)+COUNTIF($R$6:R184,R184)-1)</f>
        <v>44</v>
      </c>
    </row>
    <row r="185" spans="2:19" ht="23.25" customHeight="1" x14ac:dyDescent="0.25">
      <c r="B185" s="159">
        <v>180</v>
      </c>
      <c r="C185" s="160" t="str">
        <f>IFERROR(INDEX($Q$6:$Q$505,MATCH(180,$S$6:$S$505,0)),"")</f>
        <v>Arş. Gör. Dt. Dilara KARA</v>
      </c>
      <c r="D185" s="161">
        <f>IF(C185="","",COUNTIFS(Başvuru!$C:$C,C185,Başvuru!$A:$A,"&lt;&gt;"&amp;"",Başvuru!$F:$F,"&lt;&gt;"&amp;""))</f>
        <v>1</v>
      </c>
      <c r="E185" s="159" t="str">
        <f>IF(C185="","-",IF(D185&gt;0,TEXT(D185/(COUNTIFS(Başvuru!$A:$A,"&lt;&gt;",Başvuru!$F:$F,"&lt;&gt;")-1)*100,"0.0")&amp;"%","-"))</f>
        <v>00%</v>
      </c>
      <c r="F185" s="162">
        <f>IF(C185="","",COUNTIFS(Başvuru!$C:$C,C185,Başvuru!$G:$G,"Bireysel Araştırma",Başvuru!$A:$A,"&lt;&gt;"&amp;"",Başvuru!$F:$F,"&lt;&gt;"&amp;""))</f>
        <v>1</v>
      </c>
      <c r="G185" s="162">
        <f>IF(C185="","",COUNTIFS(Başvuru!$C:$C,C185,Başvuru!$G:$G,"Uzmanlık Tezi",Başvuru!$A:$A,"&lt;&gt;"&amp;"",Başvuru!$F:$F,"&lt;&gt;"&amp;""))</f>
        <v>0</v>
      </c>
      <c r="H185" s="162">
        <f>IF(C185="","",COUNTIFS(Başvuru!$C:$C,C185,Başvuru!$G:$G,"Doktora Tezi",Başvuru!$A:$A,"&lt;&gt;"&amp;"",Başvuru!$F:$F,"&lt;&gt;"&amp;""))</f>
        <v>0</v>
      </c>
      <c r="I185" s="162">
        <f>IF(C185="","",COUNTIFS(Başvuru!$C:$C,C185,Başvuru!$G:$G,"Yüksek Lisans Tezi",Başvuru!$A:$A,"&lt;&gt;"&amp;"",Başvuru!$F:$F,"&lt;&gt;"&amp;""))</f>
        <v>0</v>
      </c>
      <c r="J185" s="163">
        <f>IF(C185="","",COUNTIFS(Başvuru!$C:$C,C185,Başvuru!$L:$L,"ONAY",Başvuru!$A:$A,"&lt;&gt;"&amp;"",Başvuru!$F:$F,"&lt;&gt;"&amp;""))</f>
        <v>1</v>
      </c>
      <c r="K185" s="164">
        <f>IF(C185="","",COUNTIFS(Başvuru!$C:$C,C185,Başvuru!$L:$L,"DÜZELTME",Başvuru!$A:$A,"&lt;&gt;"&amp;"",Başvuru!$F:$F,"&lt;&gt;"&amp;""))</f>
        <v>0</v>
      </c>
      <c r="L185" s="165">
        <f>IF(C185="","",COUNTIFS(Başvuru!$C:$C,C185,Başvuru!$L:$L,"KAEK",Başvuru!$A:$A,"&lt;&gt;"&amp;"",Başvuru!$F:$F,"&lt;&gt;"&amp;""))</f>
        <v>0</v>
      </c>
      <c r="M185" s="166">
        <f>IF(C185="","",COUNTIFS(Başvuru!$C:$C,C185,Başvuru!$L:$L,"GÖRÜŞ",Başvuru!$A:$A,"&lt;&gt;"&amp;"",Başvuru!$F:$F,"&lt;&gt;"&amp;""))</f>
        <v>0</v>
      </c>
      <c r="N185" s="167">
        <f>IF(C185="","",COUNTIFS(Başvuru!$C:$C,C185,Başvuru!$L:$L,"RET",Başvuru!$A:$A,"&lt;&gt;"&amp;"",Başvuru!$F:$F,"&lt;&gt;"&amp;""))</f>
        <v>0</v>
      </c>
      <c r="O185" s="168">
        <f>IF(C185="","",COUNTIFS(Başvuru!$C:$C,C185,Başvuru!$L:$L,"KAPSAM DIŞI",Başvuru!$A:$A,"&lt;&gt;"&amp;"",Başvuru!$F:$F,"&lt;&gt;"&amp;""))</f>
        <v>0</v>
      </c>
      <c r="P185" s="169">
        <f>IF(C185="","",COUNTIFS(Başvuru!$C:$C,C185,Başvuru!$L:$L,"GERİ ÇEKİLDİ",Başvuru!$A:$A,"&lt;&gt;"&amp;"",Başvuru!$F:$F,"&lt;&gt;"&amp;""))</f>
        <v>0</v>
      </c>
      <c r="Q185" s="170" t="str">
        <f t="array" ref="Q185">IFERROR(INDEX(Başvuru!$C$2:$C$3000, MATCH(0, COUNTIF($Q$5:Q184, Başvuru!$C$2:$C$3000) + IF(Başvuru!$C$2:$C$3000="",1,0), 0)), "")</f>
        <v>Prof. Dr. Taylan KAV</v>
      </c>
      <c r="R185" s="171">
        <f>IF(Q185="","",COUNTIFS(Başvuru!$C:$C,Q185,Başvuru!$A:$A,"&lt;&gt;"&amp;"",Başvuru!$F:$F,"&lt;&gt;"&amp;""))</f>
        <v>11</v>
      </c>
      <c r="S185" s="171">
        <f>IF(R185="","",RANK(R185,$R$6:$R$505,0)+COUNTIF($R$6:R185,R185)-1)</f>
        <v>3</v>
      </c>
    </row>
    <row r="186" spans="2:19" ht="23.25" customHeight="1" x14ac:dyDescent="0.25">
      <c r="B186" s="159">
        <v>181</v>
      </c>
      <c r="C186" s="160" t="str">
        <f>IFERROR(INDEX($Q$6:$Q$505,MATCH(181,$S$6:$S$505,0)),"")</f>
        <v>Dr. Öğr. Üyesi Irmak OCAK</v>
      </c>
      <c r="D186" s="161">
        <f>IF(C186="","",COUNTIFS(Başvuru!$C:$C,C186,Başvuru!$A:$A,"&lt;&gt;"&amp;"",Başvuru!$F:$F,"&lt;&gt;"&amp;""))</f>
        <v>1</v>
      </c>
      <c r="E186" s="159" t="str">
        <f>IF(C186="","-",IF(D186&gt;0,TEXT(D186/(COUNTIFS(Başvuru!$A:$A,"&lt;&gt;",Başvuru!$F:$F,"&lt;&gt;")-1)*100,"0.0")&amp;"%","-"))</f>
        <v>00%</v>
      </c>
      <c r="F186" s="162">
        <f>IF(C186="","",COUNTIFS(Başvuru!$C:$C,C186,Başvuru!$G:$G,"Bireysel Araştırma",Başvuru!$A:$A,"&lt;&gt;"&amp;"",Başvuru!$F:$F,"&lt;&gt;"&amp;""))</f>
        <v>1</v>
      </c>
      <c r="G186" s="162">
        <f>IF(C186="","",COUNTIFS(Başvuru!$C:$C,C186,Başvuru!$G:$G,"Uzmanlık Tezi",Başvuru!$A:$A,"&lt;&gt;"&amp;"",Başvuru!$F:$F,"&lt;&gt;"&amp;""))</f>
        <v>0</v>
      </c>
      <c r="H186" s="162">
        <f>IF(C186="","",COUNTIFS(Başvuru!$C:$C,C186,Başvuru!$G:$G,"Doktora Tezi",Başvuru!$A:$A,"&lt;&gt;"&amp;"",Başvuru!$F:$F,"&lt;&gt;"&amp;""))</f>
        <v>0</v>
      </c>
      <c r="I186" s="162">
        <f>IF(C186="","",COUNTIFS(Başvuru!$C:$C,C186,Başvuru!$G:$G,"Yüksek Lisans Tezi",Başvuru!$A:$A,"&lt;&gt;"&amp;"",Başvuru!$F:$F,"&lt;&gt;"&amp;""))</f>
        <v>0</v>
      </c>
      <c r="J186" s="163">
        <f>IF(C186="","",COUNTIFS(Başvuru!$C:$C,C186,Başvuru!$L:$L,"ONAY",Başvuru!$A:$A,"&lt;&gt;"&amp;"",Başvuru!$F:$F,"&lt;&gt;"&amp;""))</f>
        <v>1</v>
      </c>
      <c r="K186" s="164">
        <f>IF(C186="","",COUNTIFS(Başvuru!$C:$C,C186,Başvuru!$L:$L,"DÜZELTME",Başvuru!$A:$A,"&lt;&gt;"&amp;"",Başvuru!$F:$F,"&lt;&gt;"&amp;""))</f>
        <v>0</v>
      </c>
      <c r="L186" s="165">
        <f>IF(C186="","",COUNTIFS(Başvuru!$C:$C,C186,Başvuru!$L:$L,"KAEK",Başvuru!$A:$A,"&lt;&gt;"&amp;"",Başvuru!$F:$F,"&lt;&gt;"&amp;""))</f>
        <v>0</v>
      </c>
      <c r="M186" s="166">
        <f>IF(C186="","",COUNTIFS(Başvuru!$C:$C,C186,Başvuru!$L:$L,"GÖRÜŞ",Başvuru!$A:$A,"&lt;&gt;"&amp;"",Başvuru!$F:$F,"&lt;&gt;"&amp;""))</f>
        <v>0</v>
      </c>
      <c r="N186" s="167">
        <f>IF(C186="","",COUNTIFS(Başvuru!$C:$C,C186,Başvuru!$L:$L,"RET",Başvuru!$A:$A,"&lt;&gt;"&amp;"",Başvuru!$F:$F,"&lt;&gt;"&amp;""))</f>
        <v>0</v>
      </c>
      <c r="O186" s="168">
        <f>IF(C186="","",COUNTIFS(Başvuru!$C:$C,C186,Başvuru!$L:$L,"KAPSAM DIŞI",Başvuru!$A:$A,"&lt;&gt;"&amp;"",Başvuru!$F:$F,"&lt;&gt;"&amp;""))</f>
        <v>0</v>
      </c>
      <c r="P186" s="169">
        <f>IF(C186="","",COUNTIFS(Başvuru!$C:$C,C186,Başvuru!$L:$L,"GERİ ÇEKİLDİ",Başvuru!$A:$A,"&lt;&gt;"&amp;"",Başvuru!$F:$F,"&lt;&gt;"&amp;""))</f>
        <v>0</v>
      </c>
      <c r="Q186" s="170" t="str">
        <f t="array" ref="Q186">IFERROR(INDEX(Başvuru!$C$2:$C$3000, MATCH(0, COUNTIF($Q$5:Q185, Başvuru!$C$2:$C$3000) + IF(Başvuru!$C$2:$C$3000="",1,0), 0)), "")</f>
        <v>Prof. Dr. Zafer Selçuk TUNCER</v>
      </c>
      <c r="R186" s="171">
        <f>IF(Q186="","",COUNTIFS(Başvuru!$C:$C,Q186,Başvuru!$A:$A,"&lt;&gt;"&amp;"",Başvuru!$F:$F,"&lt;&gt;"&amp;""))</f>
        <v>1</v>
      </c>
      <c r="S186" s="171">
        <f>IF(R186="","",RANK(R186,$R$6:$R$505,0)+COUNTIF($R$6:R186,R186)-1)</f>
        <v>220</v>
      </c>
    </row>
    <row r="187" spans="2:19" ht="23.25" customHeight="1" x14ac:dyDescent="0.25">
      <c r="B187" s="159">
        <v>182</v>
      </c>
      <c r="C187" s="160" t="str">
        <f>IFERROR(INDEX($Q$6:$Q$505,MATCH(182,$S$6:$S$505,0)),"")</f>
        <v>Doç. Dr. Serra ÖRSTEN</v>
      </c>
      <c r="D187" s="161">
        <f>IF(C187="","",COUNTIFS(Başvuru!$C:$C,C187,Başvuru!$A:$A,"&lt;&gt;"&amp;"",Başvuru!$F:$F,"&lt;&gt;"&amp;""))</f>
        <v>1</v>
      </c>
      <c r="E187" s="159" t="str">
        <f>IF(C187="","-",IF(D187&gt;0,TEXT(D187/(COUNTIFS(Başvuru!$A:$A,"&lt;&gt;",Başvuru!$F:$F,"&lt;&gt;")-1)*100,"0.0")&amp;"%","-"))</f>
        <v>00%</v>
      </c>
      <c r="F187" s="162">
        <f>IF(C187="","",COUNTIFS(Başvuru!$C:$C,C187,Başvuru!$G:$G,"Bireysel Araştırma",Başvuru!$A:$A,"&lt;&gt;"&amp;"",Başvuru!$F:$F,"&lt;&gt;"&amp;""))</f>
        <v>1</v>
      </c>
      <c r="G187" s="162">
        <f>IF(C187="","",COUNTIFS(Başvuru!$C:$C,C187,Başvuru!$G:$G,"Uzmanlık Tezi",Başvuru!$A:$A,"&lt;&gt;"&amp;"",Başvuru!$F:$F,"&lt;&gt;"&amp;""))</f>
        <v>0</v>
      </c>
      <c r="H187" s="162">
        <f>IF(C187="","",COUNTIFS(Başvuru!$C:$C,C187,Başvuru!$G:$G,"Doktora Tezi",Başvuru!$A:$A,"&lt;&gt;"&amp;"",Başvuru!$F:$F,"&lt;&gt;"&amp;""))</f>
        <v>0</v>
      </c>
      <c r="I187" s="162">
        <f>IF(C187="","",COUNTIFS(Başvuru!$C:$C,C187,Başvuru!$G:$G,"Yüksek Lisans Tezi",Başvuru!$A:$A,"&lt;&gt;"&amp;"",Başvuru!$F:$F,"&lt;&gt;"&amp;""))</f>
        <v>0</v>
      </c>
      <c r="J187" s="163">
        <f>IF(C187="","",COUNTIFS(Başvuru!$C:$C,C187,Başvuru!$L:$L,"ONAY",Başvuru!$A:$A,"&lt;&gt;"&amp;"",Başvuru!$F:$F,"&lt;&gt;"&amp;""))</f>
        <v>0</v>
      </c>
      <c r="K187" s="164">
        <f>IF(C187="","",COUNTIFS(Başvuru!$C:$C,C187,Başvuru!$L:$L,"DÜZELTME",Başvuru!$A:$A,"&lt;&gt;"&amp;"",Başvuru!$F:$F,"&lt;&gt;"&amp;""))</f>
        <v>1</v>
      </c>
      <c r="L187" s="165">
        <f>IF(C187="","",COUNTIFS(Başvuru!$C:$C,C187,Başvuru!$L:$L,"KAEK",Başvuru!$A:$A,"&lt;&gt;"&amp;"",Başvuru!$F:$F,"&lt;&gt;"&amp;""))</f>
        <v>0</v>
      </c>
      <c r="M187" s="166">
        <f>IF(C187="","",COUNTIFS(Başvuru!$C:$C,C187,Başvuru!$L:$L,"GÖRÜŞ",Başvuru!$A:$A,"&lt;&gt;"&amp;"",Başvuru!$F:$F,"&lt;&gt;"&amp;""))</f>
        <v>0</v>
      </c>
      <c r="N187" s="167">
        <f>IF(C187="","",COUNTIFS(Başvuru!$C:$C,C187,Başvuru!$L:$L,"RET",Başvuru!$A:$A,"&lt;&gt;"&amp;"",Başvuru!$F:$F,"&lt;&gt;"&amp;""))</f>
        <v>0</v>
      </c>
      <c r="O187" s="168">
        <f>IF(C187="","",COUNTIFS(Başvuru!$C:$C,C187,Başvuru!$L:$L,"KAPSAM DIŞI",Başvuru!$A:$A,"&lt;&gt;"&amp;"",Başvuru!$F:$F,"&lt;&gt;"&amp;""))</f>
        <v>0</v>
      </c>
      <c r="P187" s="169">
        <f>IF(C187="","",COUNTIFS(Başvuru!$C:$C,C187,Başvuru!$L:$L,"GERİ ÇEKİLDİ",Başvuru!$A:$A,"&lt;&gt;"&amp;"",Başvuru!$F:$F,"&lt;&gt;"&amp;""))</f>
        <v>0</v>
      </c>
      <c r="Q187" s="170" t="str">
        <f t="array" ref="Q187">IFERROR(INDEX(Başvuru!$C$2:$C$3000, MATCH(0, COUNTIF($Q$5:Q186, Başvuru!$C$2:$C$3000) + IF(Başvuru!$C$2:$C$3000="",1,0), 0)), "")</f>
        <v>Prof. Dr. Fatma Visal OKUR</v>
      </c>
      <c r="R187" s="171">
        <f>IF(Q187="","",COUNTIFS(Başvuru!$C:$C,Q187,Başvuru!$A:$A,"&lt;&gt;"&amp;"",Başvuru!$F:$F,"&lt;&gt;"&amp;""))</f>
        <v>1</v>
      </c>
      <c r="S187" s="171">
        <f>IF(R187="","",RANK(R187,$R$6:$R$505,0)+COUNTIF($R$6:R187,R187)-1)</f>
        <v>221</v>
      </c>
    </row>
    <row r="188" spans="2:19" ht="23.25" customHeight="1" x14ac:dyDescent="0.25">
      <c r="B188" s="159">
        <v>183</v>
      </c>
      <c r="C188" s="160" t="str">
        <f>IFERROR(INDEX($Q$6:$Q$505,MATCH(183,$S$6:$S$505,0)),"")</f>
        <v>Dr. Öğr. Üyesi Hilal AKDEMİR AKTAŞ</v>
      </c>
      <c r="D188" s="161">
        <f>IF(C188="","",COUNTIFS(Başvuru!$C:$C,C188,Başvuru!$A:$A,"&lt;&gt;"&amp;"",Başvuru!$F:$F,"&lt;&gt;"&amp;""))</f>
        <v>1</v>
      </c>
      <c r="E188" s="159" t="str">
        <f>IF(C188="","-",IF(D188&gt;0,TEXT(D188/(COUNTIFS(Başvuru!$A:$A,"&lt;&gt;",Başvuru!$F:$F,"&lt;&gt;")-1)*100,"0.0")&amp;"%","-"))</f>
        <v>00%</v>
      </c>
      <c r="F188" s="162">
        <f>IF(C188="","",COUNTIFS(Başvuru!$C:$C,C188,Başvuru!$G:$G,"Bireysel Araştırma",Başvuru!$A:$A,"&lt;&gt;"&amp;"",Başvuru!$F:$F,"&lt;&gt;"&amp;""))</f>
        <v>1</v>
      </c>
      <c r="G188" s="162">
        <f>IF(C188="","",COUNTIFS(Başvuru!$C:$C,C188,Başvuru!$G:$G,"Uzmanlık Tezi",Başvuru!$A:$A,"&lt;&gt;"&amp;"",Başvuru!$F:$F,"&lt;&gt;"&amp;""))</f>
        <v>0</v>
      </c>
      <c r="H188" s="162">
        <f>IF(C188="","",COUNTIFS(Başvuru!$C:$C,C188,Başvuru!$G:$G,"Doktora Tezi",Başvuru!$A:$A,"&lt;&gt;"&amp;"",Başvuru!$F:$F,"&lt;&gt;"&amp;""))</f>
        <v>0</v>
      </c>
      <c r="I188" s="162">
        <f>IF(C188="","",COUNTIFS(Başvuru!$C:$C,C188,Başvuru!$G:$G,"Yüksek Lisans Tezi",Başvuru!$A:$A,"&lt;&gt;"&amp;"",Başvuru!$F:$F,"&lt;&gt;"&amp;""))</f>
        <v>0</v>
      </c>
      <c r="J188" s="163">
        <f>IF(C188="","",COUNTIFS(Başvuru!$C:$C,C188,Başvuru!$L:$L,"ONAY",Başvuru!$A:$A,"&lt;&gt;"&amp;"",Başvuru!$F:$F,"&lt;&gt;"&amp;""))</f>
        <v>0</v>
      </c>
      <c r="K188" s="164">
        <f>IF(C188="","",COUNTIFS(Başvuru!$C:$C,C188,Başvuru!$L:$L,"DÜZELTME",Başvuru!$A:$A,"&lt;&gt;"&amp;"",Başvuru!$F:$F,"&lt;&gt;"&amp;""))</f>
        <v>1</v>
      </c>
      <c r="L188" s="165">
        <f>IF(C188="","",COUNTIFS(Başvuru!$C:$C,C188,Başvuru!$L:$L,"KAEK",Başvuru!$A:$A,"&lt;&gt;"&amp;"",Başvuru!$F:$F,"&lt;&gt;"&amp;""))</f>
        <v>0</v>
      </c>
      <c r="M188" s="166">
        <f>IF(C188="","",COUNTIFS(Başvuru!$C:$C,C188,Başvuru!$L:$L,"GÖRÜŞ",Başvuru!$A:$A,"&lt;&gt;"&amp;"",Başvuru!$F:$F,"&lt;&gt;"&amp;""))</f>
        <v>0</v>
      </c>
      <c r="N188" s="167">
        <f>IF(C188="","",COUNTIFS(Başvuru!$C:$C,C188,Başvuru!$L:$L,"RET",Başvuru!$A:$A,"&lt;&gt;"&amp;"",Başvuru!$F:$F,"&lt;&gt;"&amp;""))</f>
        <v>0</v>
      </c>
      <c r="O188" s="168">
        <f>IF(C188="","",COUNTIFS(Başvuru!$C:$C,C188,Başvuru!$L:$L,"KAPSAM DIŞI",Başvuru!$A:$A,"&lt;&gt;"&amp;"",Başvuru!$F:$F,"&lt;&gt;"&amp;""))</f>
        <v>0</v>
      </c>
      <c r="P188" s="169">
        <f>IF(C188="","",COUNTIFS(Başvuru!$C:$C,C188,Başvuru!$L:$L,"GERİ ÇEKİLDİ",Başvuru!$A:$A,"&lt;&gt;"&amp;"",Başvuru!$F:$F,"&lt;&gt;"&amp;""))</f>
        <v>0</v>
      </c>
      <c r="Q188" s="170" t="str">
        <f t="array" ref="Q188">IFERROR(INDEX(Başvuru!$C$2:$C$3000, MATCH(0, COUNTIF($Q$5:Q187, Başvuru!$C$2:$C$3000) + IF(Başvuru!$C$2:$C$3000="",1,0), 0)), "")</f>
        <v>Arş. Gör. Dr. Tuğçe TAŞKINDERE ABBASOĞLU</v>
      </c>
      <c r="R188" s="171">
        <f>IF(Q188="","",COUNTIFS(Başvuru!$C:$C,Q188,Başvuru!$A:$A,"&lt;&gt;"&amp;"",Başvuru!$F:$F,"&lt;&gt;"&amp;""))</f>
        <v>1</v>
      </c>
      <c r="S188" s="171">
        <f>IF(R188="","",RANK(R188,$R$6:$R$505,0)+COUNTIF($R$6:R188,R188)-1)</f>
        <v>222</v>
      </c>
    </row>
    <row r="189" spans="2:19" ht="23.25" customHeight="1" x14ac:dyDescent="0.25">
      <c r="B189" s="159">
        <v>184</v>
      </c>
      <c r="C189" s="160" t="str">
        <f>IFERROR(INDEX($Q$6:$Q$505,MATCH(184,$S$6:$S$505,0)),"")</f>
        <v>Prof. Dr. Yavuz AYHAN</v>
      </c>
      <c r="D189" s="161">
        <f>IF(C189="","",COUNTIFS(Başvuru!$C:$C,C189,Başvuru!$A:$A,"&lt;&gt;"&amp;"",Başvuru!$F:$F,"&lt;&gt;"&amp;""))</f>
        <v>1</v>
      </c>
      <c r="E189" s="159" t="str">
        <f>IF(C189="","-",IF(D189&gt;0,TEXT(D189/(COUNTIFS(Başvuru!$A:$A,"&lt;&gt;",Başvuru!$F:$F,"&lt;&gt;")-1)*100,"0.0")&amp;"%","-"))</f>
        <v>00%</v>
      </c>
      <c r="F189" s="162">
        <f>IF(C189="","",COUNTIFS(Başvuru!$C:$C,C189,Başvuru!$G:$G,"Bireysel Araştırma",Başvuru!$A:$A,"&lt;&gt;"&amp;"",Başvuru!$F:$F,"&lt;&gt;"&amp;""))</f>
        <v>1</v>
      </c>
      <c r="G189" s="162">
        <f>IF(C189="","",COUNTIFS(Başvuru!$C:$C,C189,Başvuru!$G:$G,"Uzmanlık Tezi",Başvuru!$A:$A,"&lt;&gt;"&amp;"",Başvuru!$F:$F,"&lt;&gt;"&amp;""))</f>
        <v>0</v>
      </c>
      <c r="H189" s="162">
        <f>IF(C189="","",COUNTIFS(Başvuru!$C:$C,C189,Başvuru!$G:$G,"Doktora Tezi",Başvuru!$A:$A,"&lt;&gt;"&amp;"",Başvuru!$F:$F,"&lt;&gt;"&amp;""))</f>
        <v>0</v>
      </c>
      <c r="I189" s="162">
        <f>IF(C189="","",COUNTIFS(Başvuru!$C:$C,C189,Başvuru!$G:$G,"Yüksek Lisans Tezi",Başvuru!$A:$A,"&lt;&gt;"&amp;"",Başvuru!$F:$F,"&lt;&gt;"&amp;""))</f>
        <v>0</v>
      </c>
      <c r="J189" s="163">
        <f>IF(C189="","",COUNTIFS(Başvuru!$C:$C,C189,Başvuru!$L:$L,"ONAY",Başvuru!$A:$A,"&lt;&gt;"&amp;"",Başvuru!$F:$F,"&lt;&gt;"&amp;""))</f>
        <v>0</v>
      </c>
      <c r="K189" s="164">
        <f>IF(C189="","",COUNTIFS(Başvuru!$C:$C,C189,Başvuru!$L:$L,"DÜZELTME",Başvuru!$A:$A,"&lt;&gt;"&amp;"",Başvuru!$F:$F,"&lt;&gt;"&amp;""))</f>
        <v>1</v>
      </c>
      <c r="L189" s="165">
        <f>IF(C189="","",COUNTIFS(Başvuru!$C:$C,C189,Başvuru!$L:$L,"KAEK",Başvuru!$A:$A,"&lt;&gt;"&amp;"",Başvuru!$F:$F,"&lt;&gt;"&amp;""))</f>
        <v>0</v>
      </c>
      <c r="M189" s="166">
        <f>IF(C189="","",COUNTIFS(Başvuru!$C:$C,C189,Başvuru!$L:$L,"GÖRÜŞ",Başvuru!$A:$A,"&lt;&gt;"&amp;"",Başvuru!$F:$F,"&lt;&gt;"&amp;""))</f>
        <v>0</v>
      </c>
      <c r="N189" s="167">
        <f>IF(C189="","",COUNTIFS(Başvuru!$C:$C,C189,Başvuru!$L:$L,"RET",Başvuru!$A:$A,"&lt;&gt;"&amp;"",Başvuru!$F:$F,"&lt;&gt;"&amp;""))</f>
        <v>0</v>
      </c>
      <c r="O189" s="168">
        <f>IF(C189="","",COUNTIFS(Başvuru!$C:$C,C189,Başvuru!$L:$L,"KAPSAM DIŞI",Başvuru!$A:$A,"&lt;&gt;"&amp;"",Başvuru!$F:$F,"&lt;&gt;"&amp;""))</f>
        <v>0</v>
      </c>
      <c r="P189" s="169">
        <f>IF(C189="","",COUNTIFS(Başvuru!$C:$C,C189,Başvuru!$L:$L,"GERİ ÇEKİLDİ",Başvuru!$A:$A,"&lt;&gt;"&amp;"",Başvuru!$F:$F,"&lt;&gt;"&amp;""))</f>
        <v>0</v>
      </c>
      <c r="Q189" s="170" t="str">
        <f t="array" ref="Q189">IFERROR(INDEX(Başvuru!$C$2:$C$3000, MATCH(0, COUNTIF($Q$5:Q188, Başvuru!$C$2:$C$3000) + IF(Başvuru!$C$2:$C$3000="",1,0), 0)), "")</f>
        <v>Prof. Dr. Emel UZUNOĞLU ÖZYÜREK</v>
      </c>
      <c r="R189" s="171">
        <f>IF(Q189="","",COUNTIFS(Başvuru!$C:$C,Q189,Başvuru!$A:$A,"&lt;&gt;"&amp;"",Başvuru!$F:$F,"&lt;&gt;"&amp;""))</f>
        <v>1</v>
      </c>
      <c r="S189" s="171">
        <f>IF(R189="","",RANK(R189,$R$6:$R$505,0)+COUNTIF($R$6:R189,R189)-1)</f>
        <v>223</v>
      </c>
    </row>
    <row r="190" spans="2:19" ht="23.25" customHeight="1" x14ac:dyDescent="0.25">
      <c r="B190" s="159">
        <v>185</v>
      </c>
      <c r="C190" s="160" t="str">
        <f>IFERROR(INDEX($Q$6:$Q$505,MATCH(185,$S$6:$S$505,0)),"")</f>
        <v>Prof. Dr. Dilşad FOTO ÖZDEMİR</v>
      </c>
      <c r="D190" s="161">
        <f>IF(C190="","",COUNTIFS(Başvuru!$C:$C,C190,Başvuru!$A:$A,"&lt;&gt;"&amp;"",Başvuru!$F:$F,"&lt;&gt;"&amp;""))</f>
        <v>1</v>
      </c>
      <c r="E190" s="159" t="str">
        <f>IF(C190="","-",IF(D190&gt;0,TEXT(D190/(COUNTIFS(Başvuru!$A:$A,"&lt;&gt;",Başvuru!$F:$F,"&lt;&gt;")-1)*100,"0.0")&amp;"%","-"))</f>
        <v>00%</v>
      </c>
      <c r="F190" s="162">
        <f>IF(C190="","",COUNTIFS(Başvuru!$C:$C,C190,Başvuru!$G:$G,"Bireysel Araştırma",Başvuru!$A:$A,"&lt;&gt;"&amp;"",Başvuru!$F:$F,"&lt;&gt;"&amp;""))</f>
        <v>0</v>
      </c>
      <c r="G190" s="162">
        <f>IF(C190="","",COUNTIFS(Başvuru!$C:$C,C190,Başvuru!$G:$G,"Uzmanlık Tezi",Başvuru!$A:$A,"&lt;&gt;"&amp;"",Başvuru!$F:$F,"&lt;&gt;"&amp;""))</f>
        <v>1</v>
      </c>
      <c r="H190" s="162">
        <f>IF(C190="","",COUNTIFS(Başvuru!$C:$C,C190,Başvuru!$G:$G,"Doktora Tezi",Başvuru!$A:$A,"&lt;&gt;"&amp;"",Başvuru!$F:$F,"&lt;&gt;"&amp;""))</f>
        <v>0</v>
      </c>
      <c r="I190" s="162">
        <f>IF(C190="","",COUNTIFS(Başvuru!$C:$C,C190,Başvuru!$G:$G,"Yüksek Lisans Tezi",Başvuru!$A:$A,"&lt;&gt;"&amp;"",Başvuru!$F:$F,"&lt;&gt;"&amp;""))</f>
        <v>0</v>
      </c>
      <c r="J190" s="163">
        <f>IF(C190="","",COUNTIFS(Başvuru!$C:$C,C190,Başvuru!$L:$L,"ONAY",Başvuru!$A:$A,"&lt;&gt;"&amp;"",Başvuru!$F:$F,"&lt;&gt;"&amp;""))</f>
        <v>1</v>
      </c>
      <c r="K190" s="164">
        <f>IF(C190="","",COUNTIFS(Başvuru!$C:$C,C190,Başvuru!$L:$L,"DÜZELTME",Başvuru!$A:$A,"&lt;&gt;"&amp;"",Başvuru!$F:$F,"&lt;&gt;"&amp;""))</f>
        <v>0</v>
      </c>
      <c r="L190" s="165">
        <f>IF(C190="","",COUNTIFS(Başvuru!$C:$C,C190,Başvuru!$L:$L,"KAEK",Başvuru!$A:$A,"&lt;&gt;"&amp;"",Başvuru!$F:$F,"&lt;&gt;"&amp;""))</f>
        <v>0</v>
      </c>
      <c r="M190" s="166">
        <f>IF(C190="","",COUNTIFS(Başvuru!$C:$C,C190,Başvuru!$L:$L,"GÖRÜŞ",Başvuru!$A:$A,"&lt;&gt;"&amp;"",Başvuru!$F:$F,"&lt;&gt;"&amp;""))</f>
        <v>0</v>
      </c>
      <c r="N190" s="167">
        <f>IF(C190="","",COUNTIFS(Başvuru!$C:$C,C190,Başvuru!$L:$L,"RET",Başvuru!$A:$A,"&lt;&gt;"&amp;"",Başvuru!$F:$F,"&lt;&gt;"&amp;""))</f>
        <v>0</v>
      </c>
      <c r="O190" s="168">
        <f>IF(C190="","",COUNTIFS(Başvuru!$C:$C,C190,Başvuru!$L:$L,"KAPSAM DIŞI",Başvuru!$A:$A,"&lt;&gt;"&amp;"",Başvuru!$F:$F,"&lt;&gt;"&amp;""))</f>
        <v>0</v>
      </c>
      <c r="P190" s="169">
        <f>IF(C190="","",COUNTIFS(Başvuru!$C:$C,C190,Başvuru!$L:$L,"GERİ ÇEKİLDİ",Başvuru!$A:$A,"&lt;&gt;"&amp;"",Başvuru!$F:$F,"&lt;&gt;"&amp;""))</f>
        <v>0</v>
      </c>
      <c r="Q190" s="170" t="str">
        <f t="array" ref="Q190">IFERROR(INDEX(Başvuru!$C$2:$C$3000, MATCH(0, COUNTIF($Q$5:Q189, Başvuru!$C$2:$C$3000) + IF(Başvuru!$C$2:$C$3000="",1,0), 0)), "")</f>
        <v>Prof. Dr. Devrim AKDEMİR</v>
      </c>
      <c r="R190" s="171">
        <f>IF(Q190="","",COUNTIFS(Başvuru!$C:$C,Q190,Başvuru!$A:$A,"&lt;&gt;"&amp;"",Başvuru!$F:$F,"&lt;&gt;"&amp;""))</f>
        <v>1</v>
      </c>
      <c r="S190" s="171">
        <f>IF(R190="","",RANK(R190,$R$6:$R$505,0)+COUNTIF($R$6:R190,R190)-1)</f>
        <v>224</v>
      </c>
    </row>
    <row r="191" spans="2:19" ht="23.25" customHeight="1" x14ac:dyDescent="0.25">
      <c r="B191" s="159">
        <v>186</v>
      </c>
      <c r="C191" s="160" t="str">
        <f>IFERROR(INDEX($Q$6:$Q$505,MATCH(186,$S$6:$S$505,0)),"")</f>
        <v>Doç. Dr. Seda Hanife OĞUZ BAYKAL</v>
      </c>
      <c r="D191" s="161">
        <f>IF(C191="","",COUNTIFS(Başvuru!$C:$C,C191,Başvuru!$A:$A,"&lt;&gt;"&amp;"",Başvuru!$F:$F,"&lt;&gt;"&amp;""))</f>
        <v>1</v>
      </c>
      <c r="E191" s="159" t="str">
        <f>IF(C191="","-",IF(D191&gt;0,TEXT(D191/(COUNTIFS(Başvuru!$A:$A,"&lt;&gt;",Başvuru!$F:$F,"&lt;&gt;")-1)*100,"0.0")&amp;"%","-"))</f>
        <v>00%</v>
      </c>
      <c r="F191" s="162">
        <f>IF(C191="","",COUNTIFS(Başvuru!$C:$C,C191,Başvuru!$G:$G,"Bireysel Araştırma",Başvuru!$A:$A,"&lt;&gt;"&amp;"",Başvuru!$F:$F,"&lt;&gt;"&amp;""))</f>
        <v>1</v>
      </c>
      <c r="G191" s="162">
        <f>IF(C191="","",COUNTIFS(Başvuru!$C:$C,C191,Başvuru!$G:$G,"Uzmanlık Tezi",Başvuru!$A:$A,"&lt;&gt;"&amp;"",Başvuru!$F:$F,"&lt;&gt;"&amp;""))</f>
        <v>0</v>
      </c>
      <c r="H191" s="162">
        <f>IF(C191="","",COUNTIFS(Başvuru!$C:$C,C191,Başvuru!$G:$G,"Doktora Tezi",Başvuru!$A:$A,"&lt;&gt;"&amp;"",Başvuru!$F:$F,"&lt;&gt;"&amp;""))</f>
        <v>0</v>
      </c>
      <c r="I191" s="162">
        <f>IF(C191="","",COUNTIFS(Başvuru!$C:$C,C191,Başvuru!$G:$G,"Yüksek Lisans Tezi",Başvuru!$A:$A,"&lt;&gt;"&amp;"",Başvuru!$F:$F,"&lt;&gt;"&amp;""))</f>
        <v>0</v>
      </c>
      <c r="J191" s="163">
        <f>IF(C191="","",COUNTIFS(Başvuru!$C:$C,C191,Başvuru!$L:$L,"ONAY",Başvuru!$A:$A,"&lt;&gt;"&amp;"",Başvuru!$F:$F,"&lt;&gt;"&amp;""))</f>
        <v>1</v>
      </c>
      <c r="K191" s="164">
        <f>IF(C191="","",COUNTIFS(Başvuru!$C:$C,C191,Başvuru!$L:$L,"DÜZELTME",Başvuru!$A:$A,"&lt;&gt;"&amp;"",Başvuru!$F:$F,"&lt;&gt;"&amp;""))</f>
        <v>0</v>
      </c>
      <c r="L191" s="165">
        <f>IF(C191="","",COUNTIFS(Başvuru!$C:$C,C191,Başvuru!$L:$L,"KAEK",Başvuru!$A:$A,"&lt;&gt;"&amp;"",Başvuru!$F:$F,"&lt;&gt;"&amp;""))</f>
        <v>0</v>
      </c>
      <c r="M191" s="166">
        <f>IF(C191="","",COUNTIFS(Başvuru!$C:$C,C191,Başvuru!$L:$L,"GÖRÜŞ",Başvuru!$A:$A,"&lt;&gt;"&amp;"",Başvuru!$F:$F,"&lt;&gt;"&amp;""))</f>
        <v>0</v>
      </c>
      <c r="N191" s="167">
        <f>IF(C191="","",COUNTIFS(Başvuru!$C:$C,C191,Başvuru!$L:$L,"RET",Başvuru!$A:$A,"&lt;&gt;"&amp;"",Başvuru!$F:$F,"&lt;&gt;"&amp;""))</f>
        <v>0</v>
      </c>
      <c r="O191" s="168">
        <f>IF(C191="","",COUNTIFS(Başvuru!$C:$C,C191,Başvuru!$L:$L,"KAPSAM DIŞI",Başvuru!$A:$A,"&lt;&gt;"&amp;"",Başvuru!$F:$F,"&lt;&gt;"&amp;""))</f>
        <v>0</v>
      </c>
      <c r="P191" s="169">
        <f>IF(C191="","",COUNTIFS(Başvuru!$C:$C,C191,Başvuru!$L:$L,"GERİ ÇEKİLDİ",Başvuru!$A:$A,"&lt;&gt;"&amp;"",Başvuru!$F:$F,"&lt;&gt;"&amp;""))</f>
        <v>0</v>
      </c>
      <c r="Q191" s="170" t="str">
        <f t="array" ref="Q191">IFERROR(INDEX(Başvuru!$C$2:$C$3000, MATCH(0, COUNTIF($Q$5:Q190, Başvuru!$C$2:$C$3000) + IF(Başvuru!$C$2:$C$3000="",1,0), 0)), "")</f>
        <v>Dr. Öğr. Üyesi Onur İNCE</v>
      </c>
      <c r="R191" s="171">
        <f>IF(Q191="","",COUNTIFS(Başvuru!$C:$C,Q191,Başvuru!$A:$A,"&lt;&gt;"&amp;"",Başvuru!$F:$F,"&lt;&gt;"&amp;""))</f>
        <v>1</v>
      </c>
      <c r="S191" s="171">
        <f>IF(R191="","",RANK(R191,$R$6:$R$505,0)+COUNTIF($R$6:R191,R191)-1)</f>
        <v>225</v>
      </c>
    </row>
    <row r="192" spans="2:19" ht="23.25" customHeight="1" x14ac:dyDescent="0.25">
      <c r="B192" s="159">
        <v>187</v>
      </c>
      <c r="C192" s="160" t="str">
        <f>IFERROR(INDEX($Q$6:$Q$505,MATCH(187,$S$6:$S$505,0)),"")</f>
        <v>Doç. Dr. Gölşah KÖK</v>
      </c>
      <c r="D192" s="161">
        <f>IF(C192="","",COUNTIFS(Başvuru!$C:$C,C192,Başvuru!$A:$A,"&lt;&gt;"&amp;"",Başvuru!$F:$F,"&lt;&gt;"&amp;""))</f>
        <v>1</v>
      </c>
      <c r="E192" s="159" t="str">
        <f>IF(C192="","-",IF(D192&gt;0,TEXT(D192/(COUNTIFS(Başvuru!$A:$A,"&lt;&gt;",Başvuru!$F:$F,"&lt;&gt;")-1)*100,"0.0")&amp;"%","-"))</f>
        <v>00%</v>
      </c>
      <c r="F192" s="162">
        <f>IF(C192="","",COUNTIFS(Başvuru!$C:$C,C192,Başvuru!$G:$G,"Bireysel Araştırma",Başvuru!$A:$A,"&lt;&gt;"&amp;"",Başvuru!$F:$F,"&lt;&gt;"&amp;""))</f>
        <v>1</v>
      </c>
      <c r="G192" s="162">
        <f>IF(C192="","",COUNTIFS(Başvuru!$C:$C,C192,Başvuru!$G:$G,"Uzmanlık Tezi",Başvuru!$A:$A,"&lt;&gt;"&amp;"",Başvuru!$F:$F,"&lt;&gt;"&amp;""))</f>
        <v>0</v>
      </c>
      <c r="H192" s="162">
        <f>IF(C192="","",COUNTIFS(Başvuru!$C:$C,C192,Başvuru!$G:$G,"Doktora Tezi",Başvuru!$A:$A,"&lt;&gt;"&amp;"",Başvuru!$F:$F,"&lt;&gt;"&amp;""))</f>
        <v>0</v>
      </c>
      <c r="I192" s="162">
        <f>IF(C192="","",COUNTIFS(Başvuru!$C:$C,C192,Başvuru!$G:$G,"Yüksek Lisans Tezi",Başvuru!$A:$A,"&lt;&gt;"&amp;"",Başvuru!$F:$F,"&lt;&gt;"&amp;""))</f>
        <v>0</v>
      </c>
      <c r="J192" s="163">
        <f>IF(C192="","",COUNTIFS(Başvuru!$C:$C,C192,Başvuru!$L:$L,"ONAY",Başvuru!$A:$A,"&lt;&gt;"&amp;"",Başvuru!$F:$F,"&lt;&gt;"&amp;""))</f>
        <v>1</v>
      </c>
      <c r="K192" s="164">
        <f>IF(C192="","",COUNTIFS(Başvuru!$C:$C,C192,Başvuru!$L:$L,"DÜZELTME",Başvuru!$A:$A,"&lt;&gt;"&amp;"",Başvuru!$F:$F,"&lt;&gt;"&amp;""))</f>
        <v>0</v>
      </c>
      <c r="L192" s="165">
        <f>IF(C192="","",COUNTIFS(Başvuru!$C:$C,C192,Başvuru!$L:$L,"KAEK",Başvuru!$A:$A,"&lt;&gt;"&amp;"",Başvuru!$F:$F,"&lt;&gt;"&amp;""))</f>
        <v>0</v>
      </c>
      <c r="M192" s="166">
        <f>IF(C192="","",COUNTIFS(Başvuru!$C:$C,C192,Başvuru!$L:$L,"GÖRÜŞ",Başvuru!$A:$A,"&lt;&gt;"&amp;"",Başvuru!$F:$F,"&lt;&gt;"&amp;""))</f>
        <v>0</v>
      </c>
      <c r="N192" s="167">
        <f>IF(C192="","",COUNTIFS(Başvuru!$C:$C,C192,Başvuru!$L:$L,"RET",Başvuru!$A:$A,"&lt;&gt;"&amp;"",Başvuru!$F:$F,"&lt;&gt;"&amp;""))</f>
        <v>0</v>
      </c>
      <c r="O192" s="168">
        <f>IF(C192="","",COUNTIFS(Başvuru!$C:$C,C192,Başvuru!$L:$L,"KAPSAM DIŞI",Başvuru!$A:$A,"&lt;&gt;"&amp;"",Başvuru!$F:$F,"&lt;&gt;"&amp;""))</f>
        <v>0</v>
      </c>
      <c r="P192" s="169">
        <f>IF(C192="","",COUNTIFS(Başvuru!$C:$C,C192,Başvuru!$L:$L,"GERİ ÇEKİLDİ",Başvuru!$A:$A,"&lt;&gt;"&amp;"",Başvuru!$F:$F,"&lt;&gt;"&amp;""))</f>
        <v>0</v>
      </c>
      <c r="Q192" s="170" t="str">
        <f t="array" ref="Q192">IFERROR(INDEX(Başvuru!$C$2:$C$3000, MATCH(0, COUNTIF($Q$5:Q191, Başvuru!$C$2:$C$3000) + IF(Başvuru!$C$2:$C$3000="",1,0), 0)), "")</f>
        <v>Öğr. Gör. Dr. Berrin BABAOĞLU</v>
      </c>
      <c r="R192" s="171">
        <f>IF(Q192="","",COUNTIFS(Başvuru!$C:$C,Q192,Başvuru!$A:$A,"&lt;&gt;"&amp;"",Başvuru!$F:$F,"&lt;&gt;"&amp;""))</f>
        <v>1</v>
      </c>
      <c r="S192" s="171">
        <f>IF(R192="","",RANK(R192,$R$6:$R$505,0)+COUNTIF($R$6:R192,R192)-1)</f>
        <v>226</v>
      </c>
    </row>
    <row r="193" spans="2:19" ht="23.25" customHeight="1" x14ac:dyDescent="0.25">
      <c r="B193" s="159">
        <v>188</v>
      </c>
      <c r="C193" s="160" t="str">
        <f>IFERROR(INDEX($Q$6:$Q$505,MATCH(188,$S$6:$S$505,0)),"")</f>
        <v>Öğr. Gör. Dr. Pınar ÖZDEMİR YAŞAR</v>
      </c>
      <c r="D193" s="161">
        <f>IF(C193="","",COUNTIFS(Başvuru!$C:$C,C193,Başvuru!$A:$A,"&lt;&gt;"&amp;"",Başvuru!$F:$F,"&lt;&gt;"&amp;""))</f>
        <v>1</v>
      </c>
      <c r="E193" s="159" t="str">
        <f>IF(C193="","-",IF(D193&gt;0,TEXT(D193/(COUNTIFS(Başvuru!$A:$A,"&lt;&gt;",Başvuru!$F:$F,"&lt;&gt;")-1)*100,"0.0")&amp;"%","-"))</f>
        <v>00%</v>
      </c>
      <c r="F193" s="162">
        <f>IF(C193="","",COUNTIFS(Başvuru!$C:$C,C193,Başvuru!$G:$G,"Bireysel Araştırma",Başvuru!$A:$A,"&lt;&gt;"&amp;"",Başvuru!$F:$F,"&lt;&gt;"&amp;""))</f>
        <v>1</v>
      </c>
      <c r="G193" s="162">
        <f>IF(C193="","",COUNTIFS(Başvuru!$C:$C,C193,Başvuru!$G:$G,"Uzmanlık Tezi",Başvuru!$A:$A,"&lt;&gt;"&amp;"",Başvuru!$F:$F,"&lt;&gt;"&amp;""))</f>
        <v>0</v>
      </c>
      <c r="H193" s="162">
        <f>IF(C193="","",COUNTIFS(Başvuru!$C:$C,C193,Başvuru!$G:$G,"Doktora Tezi",Başvuru!$A:$A,"&lt;&gt;"&amp;"",Başvuru!$F:$F,"&lt;&gt;"&amp;""))</f>
        <v>0</v>
      </c>
      <c r="I193" s="162">
        <f>IF(C193="","",COUNTIFS(Başvuru!$C:$C,C193,Başvuru!$G:$G,"Yüksek Lisans Tezi",Başvuru!$A:$A,"&lt;&gt;"&amp;"",Başvuru!$F:$F,"&lt;&gt;"&amp;""))</f>
        <v>0</v>
      </c>
      <c r="J193" s="163">
        <f>IF(C193="","",COUNTIFS(Başvuru!$C:$C,C193,Başvuru!$L:$L,"ONAY",Başvuru!$A:$A,"&lt;&gt;"&amp;"",Başvuru!$F:$F,"&lt;&gt;"&amp;""))</f>
        <v>0</v>
      </c>
      <c r="K193" s="164">
        <f>IF(C193="","",COUNTIFS(Başvuru!$C:$C,C193,Başvuru!$L:$L,"DÜZELTME",Başvuru!$A:$A,"&lt;&gt;"&amp;"",Başvuru!$F:$F,"&lt;&gt;"&amp;""))</f>
        <v>0</v>
      </c>
      <c r="L193" s="165">
        <f>IF(C193="","",COUNTIFS(Başvuru!$C:$C,C193,Başvuru!$L:$L,"KAEK",Başvuru!$A:$A,"&lt;&gt;"&amp;"",Başvuru!$F:$F,"&lt;&gt;"&amp;""))</f>
        <v>1</v>
      </c>
      <c r="M193" s="166">
        <f>IF(C193="","",COUNTIFS(Başvuru!$C:$C,C193,Başvuru!$L:$L,"GÖRÜŞ",Başvuru!$A:$A,"&lt;&gt;"&amp;"",Başvuru!$F:$F,"&lt;&gt;"&amp;""))</f>
        <v>0</v>
      </c>
      <c r="N193" s="167">
        <f>IF(C193="","",COUNTIFS(Başvuru!$C:$C,C193,Başvuru!$L:$L,"RET",Başvuru!$A:$A,"&lt;&gt;"&amp;"",Başvuru!$F:$F,"&lt;&gt;"&amp;""))</f>
        <v>0</v>
      </c>
      <c r="O193" s="168">
        <f>IF(C193="","",COUNTIFS(Başvuru!$C:$C,C193,Başvuru!$L:$L,"KAPSAM DIŞI",Başvuru!$A:$A,"&lt;&gt;"&amp;"",Başvuru!$F:$F,"&lt;&gt;"&amp;""))</f>
        <v>0</v>
      </c>
      <c r="P193" s="169">
        <f>IF(C193="","",COUNTIFS(Başvuru!$C:$C,C193,Başvuru!$L:$L,"GERİ ÇEKİLDİ",Başvuru!$A:$A,"&lt;&gt;"&amp;"",Başvuru!$F:$F,"&lt;&gt;"&amp;""))</f>
        <v>0</v>
      </c>
      <c r="Q193" s="170" t="str">
        <f t="array" ref="Q193">IFERROR(INDEX(Başvuru!$C$2:$C$3000, MATCH(0, COUNTIF($Q$5:Q192, Başvuru!$C$2:$C$3000) + IF(Başvuru!$C$2:$C$3000="",1,0), 0)), "")</f>
        <v>Prof. Dr. Hakan GÖKER</v>
      </c>
      <c r="R193" s="171">
        <f>IF(Q193="","",COUNTIFS(Başvuru!$C:$C,Q193,Başvuru!$A:$A,"&lt;&gt;"&amp;"",Başvuru!$F:$F,"&lt;&gt;"&amp;""))</f>
        <v>3</v>
      </c>
      <c r="S193" s="171">
        <f>IF(R193="","",RANK(R193,$R$6:$R$505,0)+COUNTIF($R$6:R193,R193)-1)</f>
        <v>68</v>
      </c>
    </row>
    <row r="194" spans="2:19" ht="23.25" customHeight="1" x14ac:dyDescent="0.25">
      <c r="B194" s="159">
        <v>189</v>
      </c>
      <c r="C194" s="160" t="str">
        <f>IFERROR(INDEX($Q$6:$Q$505,MATCH(189,$S$6:$S$505,0)),"")</f>
        <v>Dr. Öğr. Üyesi Hanife Merva PARLAK</v>
      </c>
      <c r="D194" s="161">
        <f>IF(C194="","",COUNTIFS(Başvuru!$C:$C,C194,Başvuru!$A:$A,"&lt;&gt;"&amp;"",Başvuru!$F:$F,"&lt;&gt;"&amp;""))</f>
        <v>1</v>
      </c>
      <c r="E194" s="159" t="str">
        <f>IF(C194="","-",IF(D194&gt;0,TEXT(D194/(COUNTIFS(Başvuru!$A:$A,"&lt;&gt;",Başvuru!$F:$F,"&lt;&gt;")-1)*100,"0.0")&amp;"%","-"))</f>
        <v>00%</v>
      </c>
      <c r="F194" s="162">
        <f>IF(C194="","",COUNTIFS(Başvuru!$C:$C,C194,Başvuru!$G:$G,"Bireysel Araştırma",Başvuru!$A:$A,"&lt;&gt;"&amp;"",Başvuru!$F:$F,"&lt;&gt;"&amp;""))</f>
        <v>1</v>
      </c>
      <c r="G194" s="162">
        <f>IF(C194="","",COUNTIFS(Başvuru!$C:$C,C194,Başvuru!$G:$G,"Uzmanlık Tezi",Başvuru!$A:$A,"&lt;&gt;"&amp;"",Başvuru!$F:$F,"&lt;&gt;"&amp;""))</f>
        <v>0</v>
      </c>
      <c r="H194" s="162">
        <f>IF(C194="","",COUNTIFS(Başvuru!$C:$C,C194,Başvuru!$G:$G,"Doktora Tezi",Başvuru!$A:$A,"&lt;&gt;"&amp;"",Başvuru!$F:$F,"&lt;&gt;"&amp;""))</f>
        <v>0</v>
      </c>
      <c r="I194" s="162">
        <f>IF(C194="","",COUNTIFS(Başvuru!$C:$C,C194,Başvuru!$G:$G,"Yüksek Lisans Tezi",Başvuru!$A:$A,"&lt;&gt;"&amp;"",Başvuru!$F:$F,"&lt;&gt;"&amp;""))</f>
        <v>0</v>
      </c>
      <c r="J194" s="163">
        <f>IF(C194="","",COUNTIFS(Başvuru!$C:$C,C194,Başvuru!$L:$L,"ONAY",Başvuru!$A:$A,"&lt;&gt;"&amp;"",Başvuru!$F:$F,"&lt;&gt;"&amp;""))</f>
        <v>1</v>
      </c>
      <c r="K194" s="164">
        <f>IF(C194="","",COUNTIFS(Başvuru!$C:$C,C194,Başvuru!$L:$L,"DÜZELTME",Başvuru!$A:$A,"&lt;&gt;"&amp;"",Başvuru!$F:$F,"&lt;&gt;"&amp;""))</f>
        <v>0</v>
      </c>
      <c r="L194" s="165">
        <f>IF(C194="","",COUNTIFS(Başvuru!$C:$C,C194,Başvuru!$L:$L,"KAEK",Başvuru!$A:$A,"&lt;&gt;"&amp;"",Başvuru!$F:$F,"&lt;&gt;"&amp;""))</f>
        <v>0</v>
      </c>
      <c r="M194" s="166">
        <f>IF(C194="","",COUNTIFS(Başvuru!$C:$C,C194,Başvuru!$L:$L,"GÖRÜŞ",Başvuru!$A:$A,"&lt;&gt;"&amp;"",Başvuru!$F:$F,"&lt;&gt;"&amp;""))</f>
        <v>0</v>
      </c>
      <c r="N194" s="167">
        <f>IF(C194="","",COUNTIFS(Başvuru!$C:$C,C194,Başvuru!$L:$L,"RET",Başvuru!$A:$A,"&lt;&gt;"&amp;"",Başvuru!$F:$F,"&lt;&gt;"&amp;""))</f>
        <v>0</v>
      </c>
      <c r="O194" s="168">
        <f>IF(C194="","",COUNTIFS(Başvuru!$C:$C,C194,Başvuru!$L:$L,"KAPSAM DIŞI",Başvuru!$A:$A,"&lt;&gt;"&amp;"",Başvuru!$F:$F,"&lt;&gt;"&amp;""))</f>
        <v>0</v>
      </c>
      <c r="P194" s="169">
        <f>IF(C194="","",COUNTIFS(Başvuru!$C:$C,C194,Başvuru!$L:$L,"GERİ ÇEKİLDİ",Başvuru!$A:$A,"&lt;&gt;"&amp;"",Başvuru!$F:$F,"&lt;&gt;"&amp;""))</f>
        <v>0</v>
      </c>
      <c r="Q194" s="170" t="str">
        <f t="array" ref="Q194">IFERROR(INDEX(Başvuru!$C$2:$C$3000, MATCH(0, COUNTIF($Q$5:Q193, Başvuru!$C$2:$C$3000) + IF(Başvuru!$C$2:$C$3000="",1,0), 0)), "")</f>
        <v>Prof. Dr. Sinem AKGÜL</v>
      </c>
      <c r="R194" s="171">
        <f>IF(Q194="","",COUNTIFS(Başvuru!$C:$C,Q194,Başvuru!$A:$A,"&lt;&gt;"&amp;"",Başvuru!$F:$F,"&lt;&gt;"&amp;""))</f>
        <v>3</v>
      </c>
      <c r="S194" s="171">
        <f>IF(R194="","",RANK(R194,$R$6:$R$505,0)+COUNTIF($R$6:R194,R194)-1)</f>
        <v>69</v>
      </c>
    </row>
    <row r="195" spans="2:19" ht="23.25" customHeight="1" x14ac:dyDescent="0.25">
      <c r="B195" s="159">
        <v>190</v>
      </c>
      <c r="C195" s="160" t="str">
        <f>IFERROR(INDEX($Q$6:$Q$505,MATCH(190,$S$6:$S$505,0)),"")</f>
        <v>Prof. Dr. Hatice DOĞAN BUZOĞLU</v>
      </c>
      <c r="D195" s="161">
        <f>IF(C195="","",COUNTIFS(Başvuru!$C:$C,C195,Başvuru!$A:$A,"&lt;&gt;"&amp;"",Başvuru!$F:$F,"&lt;&gt;"&amp;""))</f>
        <v>1</v>
      </c>
      <c r="E195" s="159" t="str">
        <f>IF(C195="","-",IF(D195&gt;0,TEXT(D195/(COUNTIFS(Başvuru!$A:$A,"&lt;&gt;",Başvuru!$F:$F,"&lt;&gt;")-1)*100,"0.0")&amp;"%","-"))</f>
        <v>00%</v>
      </c>
      <c r="F195" s="162">
        <f>IF(C195="","",COUNTIFS(Başvuru!$C:$C,C195,Başvuru!$G:$G,"Bireysel Araştırma",Başvuru!$A:$A,"&lt;&gt;"&amp;"",Başvuru!$F:$F,"&lt;&gt;"&amp;""))</f>
        <v>0</v>
      </c>
      <c r="G195" s="162">
        <f>IF(C195="","",COUNTIFS(Başvuru!$C:$C,C195,Başvuru!$G:$G,"Uzmanlık Tezi",Başvuru!$A:$A,"&lt;&gt;"&amp;"",Başvuru!$F:$F,"&lt;&gt;"&amp;""))</f>
        <v>0</v>
      </c>
      <c r="H195" s="162">
        <f>IF(C195="","",COUNTIFS(Başvuru!$C:$C,C195,Başvuru!$G:$G,"Doktora Tezi",Başvuru!$A:$A,"&lt;&gt;"&amp;"",Başvuru!$F:$F,"&lt;&gt;"&amp;""))</f>
        <v>1</v>
      </c>
      <c r="I195" s="162">
        <f>IF(C195="","",COUNTIFS(Başvuru!$C:$C,C195,Başvuru!$G:$G,"Yüksek Lisans Tezi",Başvuru!$A:$A,"&lt;&gt;"&amp;"",Başvuru!$F:$F,"&lt;&gt;"&amp;""))</f>
        <v>0</v>
      </c>
      <c r="J195" s="163">
        <f>IF(C195="","",COUNTIFS(Başvuru!$C:$C,C195,Başvuru!$L:$L,"ONAY",Başvuru!$A:$A,"&lt;&gt;"&amp;"",Başvuru!$F:$F,"&lt;&gt;"&amp;""))</f>
        <v>1</v>
      </c>
      <c r="K195" s="164">
        <f>IF(C195="","",COUNTIFS(Başvuru!$C:$C,C195,Başvuru!$L:$L,"DÜZELTME",Başvuru!$A:$A,"&lt;&gt;"&amp;"",Başvuru!$F:$F,"&lt;&gt;"&amp;""))</f>
        <v>0</v>
      </c>
      <c r="L195" s="165">
        <f>IF(C195="","",COUNTIFS(Başvuru!$C:$C,C195,Başvuru!$L:$L,"KAEK",Başvuru!$A:$A,"&lt;&gt;"&amp;"",Başvuru!$F:$F,"&lt;&gt;"&amp;""))</f>
        <v>0</v>
      </c>
      <c r="M195" s="166">
        <f>IF(C195="","",COUNTIFS(Başvuru!$C:$C,C195,Başvuru!$L:$L,"GÖRÜŞ",Başvuru!$A:$A,"&lt;&gt;"&amp;"",Başvuru!$F:$F,"&lt;&gt;"&amp;""))</f>
        <v>0</v>
      </c>
      <c r="N195" s="167">
        <f>IF(C195="","",COUNTIFS(Başvuru!$C:$C,C195,Başvuru!$L:$L,"RET",Başvuru!$A:$A,"&lt;&gt;"&amp;"",Başvuru!$F:$F,"&lt;&gt;"&amp;""))</f>
        <v>0</v>
      </c>
      <c r="O195" s="168">
        <f>IF(C195="","",COUNTIFS(Başvuru!$C:$C,C195,Başvuru!$L:$L,"KAPSAM DIŞI",Başvuru!$A:$A,"&lt;&gt;"&amp;"",Başvuru!$F:$F,"&lt;&gt;"&amp;""))</f>
        <v>0</v>
      </c>
      <c r="P195" s="169">
        <f>IF(C195="","",COUNTIFS(Başvuru!$C:$C,C195,Başvuru!$L:$L,"GERİ ÇEKİLDİ",Başvuru!$A:$A,"&lt;&gt;"&amp;"",Başvuru!$F:$F,"&lt;&gt;"&amp;""))</f>
        <v>0</v>
      </c>
      <c r="Q195" s="170" t="str">
        <f t="array" ref="Q195">IFERROR(INDEX(Başvuru!$C$2:$C$3000, MATCH(0, COUNTIF($Q$5:Q194, Başvuru!$C$2:$C$3000) + IF(Başvuru!$C$2:$C$3000="",1,0), 0)), "")</f>
        <v>Doç. Dr. Cem ÇÖTELİ</v>
      </c>
      <c r="R195" s="171">
        <f>IF(Q195="","",COUNTIFS(Başvuru!$C:$C,Q195,Başvuru!$A:$A,"&lt;&gt;"&amp;"",Başvuru!$F:$F,"&lt;&gt;"&amp;""))</f>
        <v>7</v>
      </c>
      <c r="S195" s="171">
        <f>IF(R195="","",RANK(R195,$R$6:$R$505,0)+COUNTIF($R$6:R195,R195)-1)</f>
        <v>14</v>
      </c>
    </row>
    <row r="196" spans="2:19" ht="23.25" customHeight="1" x14ac:dyDescent="0.25">
      <c r="B196" s="159">
        <v>191</v>
      </c>
      <c r="C196" s="160" t="str">
        <f>IFERROR(INDEX($Q$6:$Q$505,MATCH(191,$S$6:$S$505,0)),"")</f>
        <v>Doç. Dr. Almıla Gülsün PAMUK</v>
      </c>
      <c r="D196" s="161">
        <f>IF(C196="","",COUNTIFS(Başvuru!$C:$C,C196,Başvuru!$A:$A,"&lt;&gt;"&amp;"",Başvuru!$F:$F,"&lt;&gt;"&amp;""))</f>
        <v>1</v>
      </c>
      <c r="E196" s="159" t="str">
        <f>IF(C196="","-",IF(D196&gt;0,TEXT(D196/(COUNTIFS(Başvuru!$A:$A,"&lt;&gt;",Başvuru!$F:$F,"&lt;&gt;")-1)*100,"0.0")&amp;"%","-"))</f>
        <v>00%</v>
      </c>
      <c r="F196" s="162">
        <f>IF(C196="","",COUNTIFS(Başvuru!$C:$C,C196,Başvuru!$G:$G,"Bireysel Araştırma",Başvuru!$A:$A,"&lt;&gt;"&amp;"",Başvuru!$F:$F,"&lt;&gt;"&amp;""))</f>
        <v>0</v>
      </c>
      <c r="G196" s="162">
        <f>IF(C196="","",COUNTIFS(Başvuru!$C:$C,C196,Başvuru!$G:$G,"Uzmanlık Tezi",Başvuru!$A:$A,"&lt;&gt;"&amp;"",Başvuru!$F:$F,"&lt;&gt;"&amp;""))</f>
        <v>1</v>
      </c>
      <c r="H196" s="162">
        <f>IF(C196="","",COUNTIFS(Başvuru!$C:$C,C196,Başvuru!$G:$G,"Doktora Tezi",Başvuru!$A:$A,"&lt;&gt;"&amp;"",Başvuru!$F:$F,"&lt;&gt;"&amp;""))</f>
        <v>0</v>
      </c>
      <c r="I196" s="162">
        <f>IF(C196="","",COUNTIFS(Başvuru!$C:$C,C196,Başvuru!$G:$G,"Yüksek Lisans Tezi",Başvuru!$A:$A,"&lt;&gt;"&amp;"",Başvuru!$F:$F,"&lt;&gt;"&amp;""))</f>
        <v>0</v>
      </c>
      <c r="J196" s="163">
        <f>IF(C196="","",COUNTIFS(Başvuru!$C:$C,C196,Başvuru!$L:$L,"ONAY",Başvuru!$A:$A,"&lt;&gt;"&amp;"",Başvuru!$F:$F,"&lt;&gt;"&amp;""))</f>
        <v>0</v>
      </c>
      <c r="K196" s="164">
        <f>IF(C196="","",COUNTIFS(Başvuru!$C:$C,C196,Başvuru!$L:$L,"DÜZELTME",Başvuru!$A:$A,"&lt;&gt;"&amp;"",Başvuru!$F:$F,"&lt;&gt;"&amp;""))</f>
        <v>1</v>
      </c>
      <c r="L196" s="165">
        <f>IF(C196="","",COUNTIFS(Başvuru!$C:$C,C196,Başvuru!$L:$L,"KAEK",Başvuru!$A:$A,"&lt;&gt;"&amp;"",Başvuru!$F:$F,"&lt;&gt;"&amp;""))</f>
        <v>0</v>
      </c>
      <c r="M196" s="166">
        <f>IF(C196="","",COUNTIFS(Başvuru!$C:$C,C196,Başvuru!$L:$L,"GÖRÜŞ",Başvuru!$A:$A,"&lt;&gt;"&amp;"",Başvuru!$F:$F,"&lt;&gt;"&amp;""))</f>
        <v>0</v>
      </c>
      <c r="N196" s="167">
        <f>IF(C196="","",COUNTIFS(Başvuru!$C:$C,C196,Başvuru!$L:$L,"RET",Başvuru!$A:$A,"&lt;&gt;"&amp;"",Başvuru!$F:$F,"&lt;&gt;"&amp;""))</f>
        <v>0</v>
      </c>
      <c r="O196" s="168">
        <f>IF(C196="","",COUNTIFS(Başvuru!$C:$C,C196,Başvuru!$L:$L,"KAPSAM DIŞI",Başvuru!$A:$A,"&lt;&gt;"&amp;"",Başvuru!$F:$F,"&lt;&gt;"&amp;""))</f>
        <v>0</v>
      </c>
      <c r="P196" s="169">
        <f>IF(C196="","",COUNTIFS(Başvuru!$C:$C,C196,Başvuru!$L:$L,"GERİ ÇEKİLDİ",Başvuru!$A:$A,"&lt;&gt;"&amp;"",Başvuru!$F:$F,"&lt;&gt;"&amp;""))</f>
        <v>0</v>
      </c>
      <c r="Q196" s="170" t="str">
        <f t="array" ref="Q196">IFERROR(INDEX(Başvuru!$C$2:$C$3000, MATCH(0, COUNTIF($Q$5:Q195, Başvuru!$C$2:$C$3000) + IF(Başvuru!$C$2:$C$3000="",1,0), 0)), "")</f>
        <v>Doç. Dr. Oğuz Abdullah UYAROĞLU</v>
      </c>
      <c r="R196" s="171">
        <f>IF(Q196="","",COUNTIFS(Başvuru!$C:$C,Q196,Başvuru!$A:$A,"&lt;&gt;"&amp;"",Başvuru!$F:$F,"&lt;&gt;"&amp;""))</f>
        <v>2</v>
      </c>
      <c r="S196" s="171">
        <f>IF(R196="","",RANK(R196,$R$6:$R$505,0)+COUNTIF($R$6:R196,R196)-1)</f>
        <v>123</v>
      </c>
    </row>
    <row r="197" spans="2:19" ht="23.25" customHeight="1" x14ac:dyDescent="0.25">
      <c r="B197" s="159">
        <v>192</v>
      </c>
      <c r="C197" s="160" t="str">
        <f>IFERROR(INDEX($Q$6:$Q$505,MATCH(192,$S$6:$S$505,0)),"")</f>
        <v>Doç. Dr. Gamze ATAY</v>
      </c>
      <c r="D197" s="161">
        <f>IF(C197="","",COUNTIFS(Başvuru!$C:$C,C197,Başvuru!$A:$A,"&lt;&gt;"&amp;"",Başvuru!$F:$F,"&lt;&gt;"&amp;""))</f>
        <v>1</v>
      </c>
      <c r="E197" s="159" t="str">
        <f>IF(C197="","-",IF(D197&gt;0,TEXT(D197/(COUNTIFS(Başvuru!$A:$A,"&lt;&gt;",Başvuru!$F:$F,"&lt;&gt;")-1)*100,"0.0")&amp;"%","-"))</f>
        <v>00%</v>
      </c>
      <c r="F197" s="162">
        <f>IF(C197="","",COUNTIFS(Başvuru!$C:$C,C197,Başvuru!$G:$G,"Bireysel Araştırma",Başvuru!$A:$A,"&lt;&gt;"&amp;"",Başvuru!$F:$F,"&lt;&gt;"&amp;""))</f>
        <v>0</v>
      </c>
      <c r="G197" s="162">
        <f>IF(C197="","",COUNTIFS(Başvuru!$C:$C,C197,Başvuru!$G:$G,"Uzmanlık Tezi",Başvuru!$A:$A,"&lt;&gt;"&amp;"",Başvuru!$F:$F,"&lt;&gt;"&amp;""))</f>
        <v>1</v>
      </c>
      <c r="H197" s="162">
        <f>IF(C197="","",COUNTIFS(Başvuru!$C:$C,C197,Başvuru!$G:$G,"Doktora Tezi",Başvuru!$A:$A,"&lt;&gt;"&amp;"",Başvuru!$F:$F,"&lt;&gt;"&amp;""))</f>
        <v>0</v>
      </c>
      <c r="I197" s="162">
        <f>IF(C197="","",COUNTIFS(Başvuru!$C:$C,C197,Başvuru!$G:$G,"Yüksek Lisans Tezi",Başvuru!$A:$A,"&lt;&gt;"&amp;"",Başvuru!$F:$F,"&lt;&gt;"&amp;""))</f>
        <v>0</v>
      </c>
      <c r="J197" s="163">
        <f>IF(C197="","",COUNTIFS(Başvuru!$C:$C,C197,Başvuru!$L:$L,"ONAY",Başvuru!$A:$A,"&lt;&gt;"&amp;"",Başvuru!$F:$F,"&lt;&gt;"&amp;""))</f>
        <v>0</v>
      </c>
      <c r="K197" s="164">
        <f>IF(C197="","",COUNTIFS(Başvuru!$C:$C,C197,Başvuru!$L:$L,"DÜZELTME",Başvuru!$A:$A,"&lt;&gt;"&amp;"",Başvuru!$F:$F,"&lt;&gt;"&amp;""))</f>
        <v>1</v>
      </c>
      <c r="L197" s="165">
        <f>IF(C197="","",COUNTIFS(Başvuru!$C:$C,C197,Başvuru!$L:$L,"KAEK",Başvuru!$A:$A,"&lt;&gt;"&amp;"",Başvuru!$F:$F,"&lt;&gt;"&amp;""))</f>
        <v>0</v>
      </c>
      <c r="M197" s="166">
        <f>IF(C197="","",COUNTIFS(Başvuru!$C:$C,C197,Başvuru!$L:$L,"GÖRÜŞ",Başvuru!$A:$A,"&lt;&gt;"&amp;"",Başvuru!$F:$F,"&lt;&gt;"&amp;""))</f>
        <v>0</v>
      </c>
      <c r="N197" s="167">
        <f>IF(C197="","",COUNTIFS(Başvuru!$C:$C,C197,Başvuru!$L:$L,"RET",Başvuru!$A:$A,"&lt;&gt;"&amp;"",Başvuru!$F:$F,"&lt;&gt;"&amp;""))</f>
        <v>0</v>
      </c>
      <c r="O197" s="168">
        <f>IF(C197="","",COUNTIFS(Başvuru!$C:$C,C197,Başvuru!$L:$L,"KAPSAM DIŞI",Başvuru!$A:$A,"&lt;&gt;"&amp;"",Başvuru!$F:$F,"&lt;&gt;"&amp;""))</f>
        <v>0</v>
      </c>
      <c r="P197" s="169">
        <f>IF(C197="","",COUNTIFS(Başvuru!$C:$C,C197,Başvuru!$L:$L,"GERİ ÇEKİLDİ",Başvuru!$A:$A,"&lt;&gt;"&amp;"",Başvuru!$F:$F,"&lt;&gt;"&amp;""))</f>
        <v>0</v>
      </c>
      <c r="Q197" s="170" t="str">
        <f t="array" ref="Q197">IFERROR(INDEX(Başvuru!$C$2:$C$3000, MATCH(0, COUNTIF($Q$5:Q196, Başvuru!$C$2:$C$3000) + IF(Başvuru!$C$2:$C$3000="",1,0), 0)), "")</f>
        <v>Prof. Dr. Bilge VOLKAN SALANCI</v>
      </c>
      <c r="R197" s="171">
        <f>IF(Q197="","",COUNTIFS(Başvuru!$C:$C,Q197,Başvuru!$A:$A,"&lt;&gt;"&amp;"",Başvuru!$F:$F,"&lt;&gt;"&amp;""))</f>
        <v>2</v>
      </c>
      <c r="S197" s="171">
        <f>IF(R197="","",RANK(R197,$R$6:$R$505,0)+COUNTIF($R$6:R197,R197)-1)</f>
        <v>124</v>
      </c>
    </row>
    <row r="198" spans="2:19" ht="23.25" customHeight="1" x14ac:dyDescent="0.25">
      <c r="B198" s="159">
        <v>193</v>
      </c>
      <c r="C198" s="160" t="str">
        <f>IFERROR(INDEX($Q$6:$Q$505,MATCH(193,$S$6:$S$505,0)),"")</f>
        <v>Doç. Dr. Hilal KORKMAZ</v>
      </c>
      <c r="D198" s="161">
        <f>IF(C198="","",COUNTIFS(Başvuru!$C:$C,C198,Başvuru!$A:$A,"&lt;&gt;"&amp;"",Başvuru!$F:$F,"&lt;&gt;"&amp;""))</f>
        <v>1</v>
      </c>
      <c r="E198" s="159" t="str">
        <f>IF(C198="","-",IF(D198&gt;0,TEXT(D198/(COUNTIFS(Başvuru!$A:$A,"&lt;&gt;",Başvuru!$F:$F,"&lt;&gt;")-1)*100,"0.0")&amp;"%","-"))</f>
        <v>00%</v>
      </c>
      <c r="F198" s="162">
        <f>IF(C198="","",COUNTIFS(Başvuru!$C:$C,C198,Başvuru!$G:$G,"Bireysel Araştırma",Başvuru!$A:$A,"&lt;&gt;"&amp;"",Başvuru!$F:$F,"&lt;&gt;"&amp;""))</f>
        <v>1</v>
      </c>
      <c r="G198" s="162">
        <f>IF(C198="","",COUNTIFS(Başvuru!$C:$C,C198,Başvuru!$G:$G,"Uzmanlık Tezi",Başvuru!$A:$A,"&lt;&gt;"&amp;"",Başvuru!$F:$F,"&lt;&gt;"&amp;""))</f>
        <v>0</v>
      </c>
      <c r="H198" s="162">
        <f>IF(C198="","",COUNTIFS(Başvuru!$C:$C,C198,Başvuru!$G:$G,"Doktora Tezi",Başvuru!$A:$A,"&lt;&gt;"&amp;"",Başvuru!$F:$F,"&lt;&gt;"&amp;""))</f>
        <v>0</v>
      </c>
      <c r="I198" s="162">
        <f>IF(C198="","",COUNTIFS(Başvuru!$C:$C,C198,Başvuru!$G:$G,"Yüksek Lisans Tezi",Başvuru!$A:$A,"&lt;&gt;"&amp;"",Başvuru!$F:$F,"&lt;&gt;"&amp;""))</f>
        <v>0</v>
      </c>
      <c r="J198" s="163">
        <f>IF(C198="","",COUNTIFS(Başvuru!$C:$C,C198,Başvuru!$L:$L,"ONAY",Başvuru!$A:$A,"&lt;&gt;"&amp;"",Başvuru!$F:$F,"&lt;&gt;"&amp;""))</f>
        <v>0</v>
      </c>
      <c r="K198" s="164">
        <f>IF(C198="","",COUNTIFS(Başvuru!$C:$C,C198,Başvuru!$L:$L,"DÜZELTME",Başvuru!$A:$A,"&lt;&gt;"&amp;"",Başvuru!$F:$F,"&lt;&gt;"&amp;""))</f>
        <v>1</v>
      </c>
      <c r="L198" s="165">
        <f>IF(C198="","",COUNTIFS(Başvuru!$C:$C,C198,Başvuru!$L:$L,"KAEK",Başvuru!$A:$A,"&lt;&gt;"&amp;"",Başvuru!$F:$F,"&lt;&gt;"&amp;""))</f>
        <v>0</v>
      </c>
      <c r="M198" s="166">
        <f>IF(C198="","",COUNTIFS(Başvuru!$C:$C,C198,Başvuru!$L:$L,"GÖRÜŞ",Başvuru!$A:$A,"&lt;&gt;"&amp;"",Başvuru!$F:$F,"&lt;&gt;"&amp;""))</f>
        <v>0</v>
      </c>
      <c r="N198" s="167">
        <f>IF(C198="","",COUNTIFS(Başvuru!$C:$C,C198,Başvuru!$L:$L,"RET",Başvuru!$A:$A,"&lt;&gt;"&amp;"",Başvuru!$F:$F,"&lt;&gt;"&amp;""))</f>
        <v>0</v>
      </c>
      <c r="O198" s="168">
        <f>IF(C198="","",COUNTIFS(Başvuru!$C:$C,C198,Başvuru!$L:$L,"KAPSAM DIŞI",Başvuru!$A:$A,"&lt;&gt;"&amp;"",Başvuru!$F:$F,"&lt;&gt;"&amp;""))</f>
        <v>0</v>
      </c>
      <c r="P198" s="169">
        <f>IF(C198="","",COUNTIFS(Başvuru!$C:$C,C198,Başvuru!$L:$L,"GERİ ÇEKİLDİ",Başvuru!$A:$A,"&lt;&gt;"&amp;"",Başvuru!$F:$F,"&lt;&gt;"&amp;""))</f>
        <v>0</v>
      </c>
      <c r="Q198" s="170" t="str">
        <f t="array" ref="Q198">IFERROR(INDEX(Başvuru!$C$2:$C$3000, MATCH(0, COUNTIF($Q$5:Q197, Başvuru!$C$2:$C$3000) + IF(Başvuru!$C$2:$C$3000="",1,0), 0)), "")</f>
        <v>Prof. Dr. Filiz YALÇIN</v>
      </c>
      <c r="R198" s="171">
        <f>IF(Q198="","",COUNTIFS(Başvuru!$C:$C,Q198,Başvuru!$A:$A,"&lt;&gt;"&amp;"",Başvuru!$F:$F,"&lt;&gt;"&amp;""))</f>
        <v>1</v>
      </c>
      <c r="S198" s="171">
        <f>IF(R198="","",RANK(R198,$R$6:$R$505,0)+COUNTIF($R$6:R198,R198)-1)</f>
        <v>227</v>
      </c>
    </row>
    <row r="199" spans="2:19" ht="23.25" customHeight="1" x14ac:dyDescent="0.25">
      <c r="B199" s="159">
        <v>194</v>
      </c>
      <c r="C199" s="160" t="str">
        <f>IFERROR(INDEX($Q$6:$Q$505,MATCH(194,$S$6:$S$505,0)),"")</f>
        <v>Doç. Dr. Derman BAŞARAN</v>
      </c>
      <c r="D199" s="161">
        <f>IF(C199="","",COUNTIFS(Başvuru!$C:$C,C199,Başvuru!$A:$A,"&lt;&gt;"&amp;"",Başvuru!$F:$F,"&lt;&gt;"&amp;""))</f>
        <v>1</v>
      </c>
      <c r="E199" s="159" t="str">
        <f>IF(C199="","-",IF(D199&gt;0,TEXT(D199/(COUNTIFS(Başvuru!$A:$A,"&lt;&gt;",Başvuru!$F:$F,"&lt;&gt;")-1)*100,"0.0")&amp;"%","-"))</f>
        <v>00%</v>
      </c>
      <c r="F199" s="162">
        <f>IF(C199="","",COUNTIFS(Başvuru!$C:$C,C199,Başvuru!$G:$G,"Bireysel Araştırma",Başvuru!$A:$A,"&lt;&gt;"&amp;"",Başvuru!$F:$F,"&lt;&gt;"&amp;""))</f>
        <v>1</v>
      </c>
      <c r="G199" s="162">
        <f>IF(C199="","",COUNTIFS(Başvuru!$C:$C,C199,Başvuru!$G:$G,"Uzmanlık Tezi",Başvuru!$A:$A,"&lt;&gt;"&amp;"",Başvuru!$F:$F,"&lt;&gt;"&amp;""))</f>
        <v>0</v>
      </c>
      <c r="H199" s="162">
        <f>IF(C199="","",COUNTIFS(Başvuru!$C:$C,C199,Başvuru!$G:$G,"Doktora Tezi",Başvuru!$A:$A,"&lt;&gt;"&amp;"",Başvuru!$F:$F,"&lt;&gt;"&amp;""))</f>
        <v>0</v>
      </c>
      <c r="I199" s="162">
        <f>IF(C199="","",COUNTIFS(Başvuru!$C:$C,C199,Başvuru!$G:$G,"Yüksek Lisans Tezi",Başvuru!$A:$A,"&lt;&gt;"&amp;"",Başvuru!$F:$F,"&lt;&gt;"&amp;""))</f>
        <v>0</v>
      </c>
      <c r="J199" s="163">
        <f>IF(C199="","",COUNTIFS(Başvuru!$C:$C,C199,Başvuru!$L:$L,"ONAY",Başvuru!$A:$A,"&lt;&gt;"&amp;"",Başvuru!$F:$F,"&lt;&gt;"&amp;""))</f>
        <v>1</v>
      </c>
      <c r="K199" s="164">
        <f>IF(C199="","",COUNTIFS(Başvuru!$C:$C,C199,Başvuru!$L:$L,"DÜZELTME",Başvuru!$A:$A,"&lt;&gt;"&amp;"",Başvuru!$F:$F,"&lt;&gt;"&amp;""))</f>
        <v>0</v>
      </c>
      <c r="L199" s="165">
        <f>IF(C199="","",COUNTIFS(Başvuru!$C:$C,C199,Başvuru!$L:$L,"KAEK",Başvuru!$A:$A,"&lt;&gt;"&amp;"",Başvuru!$F:$F,"&lt;&gt;"&amp;""))</f>
        <v>0</v>
      </c>
      <c r="M199" s="166">
        <f>IF(C199="","",COUNTIFS(Başvuru!$C:$C,C199,Başvuru!$L:$L,"GÖRÜŞ",Başvuru!$A:$A,"&lt;&gt;"&amp;"",Başvuru!$F:$F,"&lt;&gt;"&amp;""))</f>
        <v>0</v>
      </c>
      <c r="N199" s="167">
        <f>IF(C199="","",COUNTIFS(Başvuru!$C:$C,C199,Başvuru!$L:$L,"RET",Başvuru!$A:$A,"&lt;&gt;"&amp;"",Başvuru!$F:$F,"&lt;&gt;"&amp;""))</f>
        <v>0</v>
      </c>
      <c r="O199" s="168">
        <f>IF(C199="","",COUNTIFS(Başvuru!$C:$C,C199,Başvuru!$L:$L,"KAPSAM DIŞI",Başvuru!$A:$A,"&lt;&gt;"&amp;"",Başvuru!$F:$F,"&lt;&gt;"&amp;""))</f>
        <v>0</v>
      </c>
      <c r="P199" s="169">
        <f>IF(C199="","",COUNTIFS(Başvuru!$C:$C,C199,Başvuru!$L:$L,"GERİ ÇEKİLDİ",Başvuru!$A:$A,"&lt;&gt;"&amp;"",Başvuru!$F:$F,"&lt;&gt;"&amp;""))</f>
        <v>0</v>
      </c>
      <c r="Q199" s="170" t="str">
        <f t="array" ref="Q199">IFERROR(INDEX(Başvuru!$C$2:$C$3000, MATCH(0, COUNTIF($Q$5:Q198, Başvuru!$C$2:$C$3000) + IF(Başvuru!$C$2:$C$3000="",1,0), 0)), "")</f>
        <v>Prof. Dr. Cavit Işık YAVUZ</v>
      </c>
      <c r="R199" s="171">
        <f>IF(Q199="","",COUNTIFS(Başvuru!$C:$C,Q199,Başvuru!$A:$A,"&lt;&gt;"&amp;"",Başvuru!$F:$F,"&lt;&gt;"&amp;""))</f>
        <v>1</v>
      </c>
      <c r="S199" s="171">
        <f>IF(R199="","",RANK(R199,$R$6:$R$505,0)+COUNTIF($R$6:R199,R199)-1)</f>
        <v>228</v>
      </c>
    </row>
    <row r="200" spans="2:19" ht="23.25" customHeight="1" x14ac:dyDescent="0.25">
      <c r="B200" s="159">
        <v>195</v>
      </c>
      <c r="C200" s="160" t="str">
        <f>IFERROR(INDEX($Q$6:$Q$505,MATCH(195,$S$6:$S$505,0)),"")</f>
        <v>Prof. Dr. Egemen TURHAN</v>
      </c>
      <c r="D200" s="161">
        <f>IF(C200="","",COUNTIFS(Başvuru!$C:$C,C200,Başvuru!$A:$A,"&lt;&gt;"&amp;"",Başvuru!$F:$F,"&lt;&gt;"&amp;""))</f>
        <v>1</v>
      </c>
      <c r="E200" s="159" t="str">
        <f>IF(C200="","-",IF(D200&gt;0,TEXT(D200/(COUNTIFS(Başvuru!$A:$A,"&lt;&gt;",Başvuru!$F:$F,"&lt;&gt;")-1)*100,"0.0")&amp;"%","-"))</f>
        <v>00%</v>
      </c>
      <c r="F200" s="162">
        <f>IF(C200="","",COUNTIFS(Başvuru!$C:$C,C200,Başvuru!$G:$G,"Bireysel Araştırma",Başvuru!$A:$A,"&lt;&gt;"&amp;"",Başvuru!$F:$F,"&lt;&gt;"&amp;""))</f>
        <v>0</v>
      </c>
      <c r="G200" s="162">
        <f>IF(C200="","",COUNTIFS(Başvuru!$C:$C,C200,Başvuru!$G:$G,"Uzmanlık Tezi",Başvuru!$A:$A,"&lt;&gt;"&amp;"",Başvuru!$F:$F,"&lt;&gt;"&amp;""))</f>
        <v>0</v>
      </c>
      <c r="H200" s="162">
        <f>IF(C200="","",COUNTIFS(Başvuru!$C:$C,C200,Başvuru!$G:$G,"Doktora Tezi",Başvuru!$A:$A,"&lt;&gt;"&amp;"",Başvuru!$F:$F,"&lt;&gt;"&amp;""))</f>
        <v>0</v>
      </c>
      <c r="I200" s="162">
        <f>IF(C200="","",COUNTIFS(Başvuru!$C:$C,C200,Başvuru!$G:$G,"Yüksek Lisans Tezi",Başvuru!$A:$A,"&lt;&gt;"&amp;"",Başvuru!$F:$F,"&lt;&gt;"&amp;""))</f>
        <v>1</v>
      </c>
      <c r="J200" s="163">
        <f>IF(C200="","",COUNTIFS(Başvuru!$C:$C,C200,Başvuru!$L:$L,"ONAY",Başvuru!$A:$A,"&lt;&gt;"&amp;"",Başvuru!$F:$F,"&lt;&gt;"&amp;""))</f>
        <v>0</v>
      </c>
      <c r="K200" s="164">
        <f>IF(C200="","",COUNTIFS(Başvuru!$C:$C,C200,Başvuru!$L:$L,"DÜZELTME",Başvuru!$A:$A,"&lt;&gt;"&amp;"",Başvuru!$F:$F,"&lt;&gt;"&amp;""))</f>
        <v>1</v>
      </c>
      <c r="L200" s="165">
        <f>IF(C200="","",COUNTIFS(Başvuru!$C:$C,C200,Başvuru!$L:$L,"KAEK",Başvuru!$A:$A,"&lt;&gt;"&amp;"",Başvuru!$F:$F,"&lt;&gt;"&amp;""))</f>
        <v>0</v>
      </c>
      <c r="M200" s="166">
        <f>IF(C200="","",COUNTIFS(Başvuru!$C:$C,C200,Başvuru!$L:$L,"GÖRÜŞ",Başvuru!$A:$A,"&lt;&gt;"&amp;"",Başvuru!$F:$F,"&lt;&gt;"&amp;""))</f>
        <v>0</v>
      </c>
      <c r="N200" s="167">
        <f>IF(C200="","",COUNTIFS(Başvuru!$C:$C,C200,Başvuru!$L:$L,"RET",Başvuru!$A:$A,"&lt;&gt;"&amp;"",Başvuru!$F:$F,"&lt;&gt;"&amp;""))</f>
        <v>0</v>
      </c>
      <c r="O200" s="168">
        <f>IF(C200="","",COUNTIFS(Başvuru!$C:$C,C200,Başvuru!$L:$L,"KAPSAM DIŞI",Başvuru!$A:$A,"&lt;&gt;"&amp;"",Başvuru!$F:$F,"&lt;&gt;"&amp;""))</f>
        <v>0</v>
      </c>
      <c r="P200" s="169">
        <f>IF(C200="","",COUNTIFS(Başvuru!$C:$C,C200,Başvuru!$L:$L,"GERİ ÇEKİLDİ",Başvuru!$A:$A,"&lt;&gt;"&amp;"",Başvuru!$F:$F,"&lt;&gt;"&amp;""))</f>
        <v>0</v>
      </c>
      <c r="Q200" s="170" t="str">
        <f t="array" ref="Q200">IFERROR(INDEX(Başvuru!$C$2:$C$3000, MATCH(0, COUNTIF($Q$5:Q199, Başvuru!$C$2:$C$3000) + IF(Başvuru!$C$2:$C$3000="",1,0), 0)), "")</f>
        <v>Dr. Öğr. Üyesi Burçe ATAÇ MOGOL</v>
      </c>
      <c r="R200" s="171">
        <f>IF(Q200="","",COUNTIFS(Başvuru!$C:$C,Q200,Başvuru!$A:$A,"&lt;&gt;"&amp;"",Başvuru!$F:$F,"&lt;&gt;"&amp;""))</f>
        <v>1</v>
      </c>
      <c r="S200" s="171">
        <f>IF(R200="","",RANK(R200,$R$6:$R$505,0)+COUNTIF($R$6:R200,R200)-1)</f>
        <v>229</v>
      </c>
    </row>
    <row r="201" spans="2:19" ht="23.25" customHeight="1" x14ac:dyDescent="0.25">
      <c r="B201" s="159">
        <v>196</v>
      </c>
      <c r="C201" s="160" t="str">
        <f>IFERROR(INDEX($Q$6:$Q$505,MATCH(196,$S$6:$S$505,0)),"")</f>
        <v>Prof. Dr. Sevinç SARINÇ</v>
      </c>
      <c r="D201" s="161">
        <f>IF(C201="","",COUNTIFS(Başvuru!$C:$C,C201,Başvuru!$A:$A,"&lt;&gt;"&amp;"",Başvuru!$F:$F,"&lt;&gt;"&amp;""))</f>
        <v>1</v>
      </c>
      <c r="E201" s="159" t="str">
        <f>IF(C201="","-",IF(D201&gt;0,TEXT(D201/(COUNTIFS(Başvuru!$A:$A,"&lt;&gt;",Başvuru!$F:$F,"&lt;&gt;")-1)*100,"0.0")&amp;"%","-"))</f>
        <v>00%</v>
      </c>
      <c r="F201" s="162">
        <f>IF(C201="","",COUNTIFS(Başvuru!$C:$C,C201,Başvuru!$G:$G,"Bireysel Araştırma",Başvuru!$A:$A,"&lt;&gt;"&amp;"",Başvuru!$F:$F,"&lt;&gt;"&amp;""))</f>
        <v>0</v>
      </c>
      <c r="G201" s="162">
        <f>IF(C201="","",COUNTIFS(Başvuru!$C:$C,C201,Başvuru!$G:$G,"Uzmanlık Tezi",Başvuru!$A:$A,"&lt;&gt;"&amp;"",Başvuru!$F:$F,"&lt;&gt;"&amp;""))</f>
        <v>1</v>
      </c>
      <c r="H201" s="162">
        <f>IF(C201="","",COUNTIFS(Başvuru!$C:$C,C201,Başvuru!$G:$G,"Doktora Tezi",Başvuru!$A:$A,"&lt;&gt;"&amp;"",Başvuru!$F:$F,"&lt;&gt;"&amp;""))</f>
        <v>0</v>
      </c>
      <c r="I201" s="162">
        <f>IF(C201="","",COUNTIFS(Başvuru!$C:$C,C201,Başvuru!$G:$G,"Yüksek Lisans Tezi",Başvuru!$A:$A,"&lt;&gt;"&amp;"",Başvuru!$F:$F,"&lt;&gt;"&amp;""))</f>
        <v>0</v>
      </c>
      <c r="J201" s="163">
        <f>IF(C201="","",COUNTIFS(Başvuru!$C:$C,C201,Başvuru!$L:$L,"ONAY",Başvuru!$A:$A,"&lt;&gt;"&amp;"",Başvuru!$F:$F,"&lt;&gt;"&amp;""))</f>
        <v>0</v>
      </c>
      <c r="K201" s="164">
        <f>IF(C201="","",COUNTIFS(Başvuru!$C:$C,C201,Başvuru!$L:$L,"DÜZELTME",Başvuru!$A:$A,"&lt;&gt;"&amp;"",Başvuru!$F:$F,"&lt;&gt;"&amp;""))</f>
        <v>1</v>
      </c>
      <c r="L201" s="165">
        <f>IF(C201="","",COUNTIFS(Başvuru!$C:$C,C201,Başvuru!$L:$L,"KAEK",Başvuru!$A:$A,"&lt;&gt;"&amp;"",Başvuru!$F:$F,"&lt;&gt;"&amp;""))</f>
        <v>0</v>
      </c>
      <c r="M201" s="166">
        <f>IF(C201="","",COUNTIFS(Başvuru!$C:$C,C201,Başvuru!$L:$L,"GÖRÜŞ",Başvuru!$A:$A,"&lt;&gt;"&amp;"",Başvuru!$F:$F,"&lt;&gt;"&amp;""))</f>
        <v>0</v>
      </c>
      <c r="N201" s="167">
        <f>IF(C201="","",COUNTIFS(Başvuru!$C:$C,C201,Başvuru!$L:$L,"RET",Başvuru!$A:$A,"&lt;&gt;"&amp;"",Başvuru!$F:$F,"&lt;&gt;"&amp;""))</f>
        <v>0</v>
      </c>
      <c r="O201" s="168">
        <f>IF(C201="","",COUNTIFS(Başvuru!$C:$C,C201,Başvuru!$L:$L,"KAPSAM DIŞI",Başvuru!$A:$A,"&lt;&gt;"&amp;"",Başvuru!$F:$F,"&lt;&gt;"&amp;""))</f>
        <v>0</v>
      </c>
      <c r="P201" s="169">
        <f>IF(C201="","",COUNTIFS(Başvuru!$C:$C,C201,Başvuru!$L:$L,"GERİ ÇEKİLDİ",Başvuru!$A:$A,"&lt;&gt;"&amp;"",Başvuru!$F:$F,"&lt;&gt;"&amp;""))</f>
        <v>0</v>
      </c>
      <c r="Q201" s="170" t="str">
        <f t="array" ref="Q201">IFERROR(INDEX(Başvuru!$C$2:$C$3000, MATCH(0, COUNTIF($Q$5:Q200, Başvuru!$C$2:$C$3000) + IF(Başvuru!$C$2:$C$3000="",1,0), 0)), "")</f>
        <v>Doç. Dr. Cafer BALCI</v>
      </c>
      <c r="R201" s="171">
        <f>IF(Q201="","",COUNTIFS(Başvuru!$C:$C,Q201,Başvuru!$A:$A,"&lt;&gt;"&amp;"",Başvuru!$F:$F,"&lt;&gt;"&amp;""))</f>
        <v>8</v>
      </c>
      <c r="S201" s="171">
        <f>IF(R201="","",RANK(R201,$R$6:$R$505,0)+COUNTIF($R$6:R201,R201)-1)</f>
        <v>11</v>
      </c>
    </row>
    <row r="202" spans="2:19" ht="23.25" customHeight="1" x14ac:dyDescent="0.25">
      <c r="B202" s="159">
        <v>197</v>
      </c>
      <c r="C202" s="160" t="str">
        <f>IFERROR(INDEX($Q$6:$Q$505,MATCH(197,$S$6:$S$505,0)),"")</f>
        <v>Doç. Dr. Basri GÜLBAKAN</v>
      </c>
      <c r="D202" s="161">
        <f>IF(C202="","",COUNTIFS(Başvuru!$C:$C,C202,Başvuru!$A:$A,"&lt;&gt;"&amp;"",Başvuru!$F:$F,"&lt;&gt;"&amp;""))</f>
        <v>1</v>
      </c>
      <c r="E202" s="159" t="str">
        <f>IF(C202="","-",IF(D202&gt;0,TEXT(D202/(COUNTIFS(Başvuru!$A:$A,"&lt;&gt;",Başvuru!$F:$F,"&lt;&gt;")-1)*100,"0.0")&amp;"%","-"))</f>
        <v>00%</v>
      </c>
      <c r="F202" s="162">
        <f>IF(C202="","",COUNTIFS(Başvuru!$C:$C,C202,Başvuru!$G:$G,"Bireysel Araştırma",Başvuru!$A:$A,"&lt;&gt;"&amp;"",Başvuru!$F:$F,"&lt;&gt;"&amp;""))</f>
        <v>0</v>
      </c>
      <c r="G202" s="162">
        <f>IF(C202="","",COUNTIFS(Başvuru!$C:$C,C202,Başvuru!$G:$G,"Uzmanlık Tezi",Başvuru!$A:$A,"&lt;&gt;"&amp;"",Başvuru!$F:$F,"&lt;&gt;"&amp;""))</f>
        <v>0</v>
      </c>
      <c r="H202" s="162">
        <f>IF(C202="","",COUNTIFS(Başvuru!$C:$C,C202,Başvuru!$G:$G,"Doktora Tezi",Başvuru!$A:$A,"&lt;&gt;"&amp;"",Başvuru!$F:$F,"&lt;&gt;"&amp;""))</f>
        <v>0</v>
      </c>
      <c r="I202" s="162">
        <f>IF(C202="","",COUNTIFS(Başvuru!$C:$C,C202,Başvuru!$G:$G,"Yüksek Lisans Tezi",Başvuru!$A:$A,"&lt;&gt;"&amp;"",Başvuru!$F:$F,"&lt;&gt;"&amp;""))</f>
        <v>1</v>
      </c>
      <c r="J202" s="163">
        <f>IF(C202="","",COUNTIFS(Başvuru!$C:$C,C202,Başvuru!$L:$L,"ONAY",Başvuru!$A:$A,"&lt;&gt;"&amp;"",Başvuru!$F:$F,"&lt;&gt;"&amp;""))</f>
        <v>0</v>
      </c>
      <c r="K202" s="164">
        <f>IF(C202="","",COUNTIFS(Başvuru!$C:$C,C202,Başvuru!$L:$L,"DÜZELTME",Başvuru!$A:$A,"&lt;&gt;"&amp;"",Başvuru!$F:$F,"&lt;&gt;"&amp;""))</f>
        <v>1</v>
      </c>
      <c r="L202" s="165">
        <f>IF(C202="","",COUNTIFS(Başvuru!$C:$C,C202,Başvuru!$L:$L,"KAEK",Başvuru!$A:$A,"&lt;&gt;"&amp;"",Başvuru!$F:$F,"&lt;&gt;"&amp;""))</f>
        <v>0</v>
      </c>
      <c r="M202" s="166">
        <f>IF(C202="","",COUNTIFS(Başvuru!$C:$C,C202,Başvuru!$L:$L,"GÖRÜŞ",Başvuru!$A:$A,"&lt;&gt;"&amp;"",Başvuru!$F:$F,"&lt;&gt;"&amp;""))</f>
        <v>0</v>
      </c>
      <c r="N202" s="167">
        <f>IF(C202="","",COUNTIFS(Başvuru!$C:$C,C202,Başvuru!$L:$L,"RET",Başvuru!$A:$A,"&lt;&gt;"&amp;"",Başvuru!$F:$F,"&lt;&gt;"&amp;""))</f>
        <v>0</v>
      </c>
      <c r="O202" s="168">
        <f>IF(C202="","",COUNTIFS(Başvuru!$C:$C,C202,Başvuru!$L:$L,"KAPSAM DIŞI",Başvuru!$A:$A,"&lt;&gt;"&amp;"",Başvuru!$F:$F,"&lt;&gt;"&amp;""))</f>
        <v>0</v>
      </c>
      <c r="P202" s="169">
        <f>IF(C202="","",COUNTIFS(Başvuru!$C:$C,C202,Başvuru!$L:$L,"GERİ ÇEKİLDİ",Başvuru!$A:$A,"&lt;&gt;"&amp;"",Başvuru!$F:$F,"&lt;&gt;"&amp;""))</f>
        <v>0</v>
      </c>
      <c r="Q202" s="170" t="str">
        <f t="array" ref="Q202">IFERROR(INDEX(Başvuru!$C$2:$C$3000, MATCH(0, COUNTIF($Q$5:Q201, Başvuru!$C$2:$C$3000) + IF(Başvuru!$C$2:$C$3000="",1,0), 0)), "")</f>
        <v>Prof. Dr. Sibel DOĞAN GÜNAYDIN</v>
      </c>
      <c r="R202" s="171">
        <f>IF(Q202="","",COUNTIFS(Başvuru!$C:$C,Q202,Başvuru!$A:$A,"&lt;&gt;"&amp;"",Başvuru!$F:$F,"&lt;&gt;"&amp;""))</f>
        <v>3</v>
      </c>
      <c r="S202" s="171">
        <f>IF(R202="","",RANK(R202,$R$6:$R$505,0)+COUNTIF($R$6:R202,R202)-1)</f>
        <v>70</v>
      </c>
    </row>
    <row r="203" spans="2:19" ht="23.25" customHeight="1" x14ac:dyDescent="0.25">
      <c r="B203" s="159">
        <v>198</v>
      </c>
      <c r="C203" s="160" t="str">
        <f>IFERROR(INDEX($Q$6:$Q$505,MATCH(198,$S$6:$S$505,0)),"")</f>
        <v>Dr. Öğr. Üyesi Merva PARLAK</v>
      </c>
      <c r="D203" s="161">
        <f>IF(C203="","",COUNTIFS(Başvuru!$C:$C,C203,Başvuru!$A:$A,"&lt;&gt;"&amp;"",Başvuru!$F:$F,"&lt;&gt;"&amp;""))</f>
        <v>1</v>
      </c>
      <c r="E203" s="159" t="str">
        <f>IF(C203="","-",IF(D203&gt;0,TEXT(D203/(COUNTIFS(Başvuru!$A:$A,"&lt;&gt;",Başvuru!$F:$F,"&lt;&gt;")-1)*100,"0.0")&amp;"%","-"))</f>
        <v>00%</v>
      </c>
      <c r="F203" s="162">
        <f>IF(C203="","",COUNTIFS(Başvuru!$C:$C,C203,Başvuru!$G:$G,"Bireysel Araştırma",Başvuru!$A:$A,"&lt;&gt;"&amp;"",Başvuru!$F:$F,"&lt;&gt;"&amp;""))</f>
        <v>1</v>
      </c>
      <c r="G203" s="162">
        <f>IF(C203="","",COUNTIFS(Başvuru!$C:$C,C203,Başvuru!$G:$G,"Uzmanlık Tezi",Başvuru!$A:$A,"&lt;&gt;"&amp;"",Başvuru!$F:$F,"&lt;&gt;"&amp;""))</f>
        <v>0</v>
      </c>
      <c r="H203" s="162">
        <f>IF(C203="","",COUNTIFS(Başvuru!$C:$C,C203,Başvuru!$G:$G,"Doktora Tezi",Başvuru!$A:$A,"&lt;&gt;"&amp;"",Başvuru!$F:$F,"&lt;&gt;"&amp;""))</f>
        <v>0</v>
      </c>
      <c r="I203" s="162">
        <f>IF(C203="","",COUNTIFS(Başvuru!$C:$C,C203,Başvuru!$G:$G,"Yüksek Lisans Tezi",Başvuru!$A:$A,"&lt;&gt;"&amp;"",Başvuru!$F:$F,"&lt;&gt;"&amp;""))</f>
        <v>0</v>
      </c>
      <c r="J203" s="163">
        <f>IF(C203="","",COUNTIFS(Başvuru!$C:$C,C203,Başvuru!$L:$L,"ONAY",Başvuru!$A:$A,"&lt;&gt;"&amp;"",Başvuru!$F:$F,"&lt;&gt;"&amp;""))</f>
        <v>1</v>
      </c>
      <c r="K203" s="164">
        <f>IF(C203="","",COUNTIFS(Başvuru!$C:$C,C203,Başvuru!$L:$L,"DÜZELTME",Başvuru!$A:$A,"&lt;&gt;"&amp;"",Başvuru!$F:$F,"&lt;&gt;"&amp;""))</f>
        <v>0</v>
      </c>
      <c r="L203" s="165">
        <f>IF(C203="","",COUNTIFS(Başvuru!$C:$C,C203,Başvuru!$L:$L,"KAEK",Başvuru!$A:$A,"&lt;&gt;"&amp;"",Başvuru!$F:$F,"&lt;&gt;"&amp;""))</f>
        <v>0</v>
      </c>
      <c r="M203" s="166">
        <f>IF(C203="","",COUNTIFS(Başvuru!$C:$C,C203,Başvuru!$L:$L,"GÖRÜŞ",Başvuru!$A:$A,"&lt;&gt;"&amp;"",Başvuru!$F:$F,"&lt;&gt;"&amp;""))</f>
        <v>0</v>
      </c>
      <c r="N203" s="167">
        <f>IF(C203="","",COUNTIFS(Başvuru!$C:$C,C203,Başvuru!$L:$L,"RET",Başvuru!$A:$A,"&lt;&gt;"&amp;"",Başvuru!$F:$F,"&lt;&gt;"&amp;""))</f>
        <v>0</v>
      </c>
      <c r="O203" s="168">
        <f>IF(C203="","",COUNTIFS(Başvuru!$C:$C,C203,Başvuru!$L:$L,"KAPSAM DIŞI",Başvuru!$A:$A,"&lt;&gt;"&amp;"",Başvuru!$F:$F,"&lt;&gt;"&amp;""))</f>
        <v>0</v>
      </c>
      <c r="P203" s="169">
        <f>IF(C203="","",COUNTIFS(Başvuru!$C:$C,C203,Başvuru!$L:$L,"GERİ ÇEKİLDİ",Başvuru!$A:$A,"&lt;&gt;"&amp;"",Başvuru!$F:$F,"&lt;&gt;"&amp;""))</f>
        <v>0</v>
      </c>
      <c r="Q203" s="170" t="str">
        <f t="array" ref="Q203">IFERROR(INDEX(Başvuru!$C$2:$C$3000, MATCH(0, COUNTIF($Q$5:Q202, Başvuru!$C$2:$C$3000) + IF(Başvuru!$C$2:$C$3000="",1,0), 0)), "")</f>
        <v>Doç. Dr. Cansu ÖZŞİN ÖZLER</v>
      </c>
      <c r="R203" s="171">
        <f>IF(Q203="","",COUNTIFS(Başvuru!$C:$C,Q203,Başvuru!$A:$A,"&lt;&gt;"&amp;"",Başvuru!$F:$F,"&lt;&gt;"&amp;""))</f>
        <v>1</v>
      </c>
      <c r="S203" s="171">
        <f>IF(R203="","",RANK(R203,$R$6:$R$505,0)+COUNTIF($R$6:R203,R203)-1)</f>
        <v>230</v>
      </c>
    </row>
    <row r="204" spans="2:19" ht="23.25" customHeight="1" x14ac:dyDescent="0.25">
      <c r="B204" s="159">
        <v>199</v>
      </c>
      <c r="C204" s="160" t="str">
        <f>IFERROR(INDEX($Q$6:$Q$505,MATCH(199,$S$6:$S$505,0)),"")</f>
        <v>Prof. Dr. Mustafa Barış GÜNCÜ</v>
      </c>
      <c r="D204" s="161">
        <f>IF(C204="","",COUNTIFS(Başvuru!$C:$C,C204,Başvuru!$A:$A,"&lt;&gt;"&amp;"",Başvuru!$F:$F,"&lt;&gt;"&amp;""))</f>
        <v>1</v>
      </c>
      <c r="E204" s="159" t="str">
        <f>IF(C204="","-",IF(D204&gt;0,TEXT(D204/(COUNTIFS(Başvuru!$A:$A,"&lt;&gt;",Başvuru!$F:$F,"&lt;&gt;")-1)*100,"0.0")&amp;"%","-"))</f>
        <v>00%</v>
      </c>
      <c r="F204" s="162">
        <f>IF(C204="","",COUNTIFS(Başvuru!$C:$C,C204,Başvuru!$G:$G,"Bireysel Araştırma",Başvuru!$A:$A,"&lt;&gt;"&amp;"",Başvuru!$F:$F,"&lt;&gt;"&amp;""))</f>
        <v>0</v>
      </c>
      <c r="G204" s="162">
        <f>IF(C204="","",COUNTIFS(Başvuru!$C:$C,C204,Başvuru!$G:$G,"Uzmanlık Tezi",Başvuru!$A:$A,"&lt;&gt;"&amp;"",Başvuru!$F:$F,"&lt;&gt;"&amp;""))</f>
        <v>1</v>
      </c>
      <c r="H204" s="162">
        <f>IF(C204="","",COUNTIFS(Başvuru!$C:$C,C204,Başvuru!$G:$G,"Doktora Tezi",Başvuru!$A:$A,"&lt;&gt;"&amp;"",Başvuru!$F:$F,"&lt;&gt;"&amp;""))</f>
        <v>0</v>
      </c>
      <c r="I204" s="162">
        <f>IF(C204="","",COUNTIFS(Başvuru!$C:$C,C204,Başvuru!$G:$G,"Yüksek Lisans Tezi",Başvuru!$A:$A,"&lt;&gt;"&amp;"",Başvuru!$F:$F,"&lt;&gt;"&amp;""))</f>
        <v>0</v>
      </c>
      <c r="J204" s="163">
        <f>IF(C204="","",COUNTIFS(Başvuru!$C:$C,C204,Başvuru!$L:$L,"ONAY",Başvuru!$A:$A,"&lt;&gt;"&amp;"",Başvuru!$F:$F,"&lt;&gt;"&amp;""))</f>
        <v>0</v>
      </c>
      <c r="K204" s="164">
        <f>IF(C204="","",COUNTIFS(Başvuru!$C:$C,C204,Başvuru!$L:$L,"DÜZELTME",Başvuru!$A:$A,"&lt;&gt;"&amp;"",Başvuru!$F:$F,"&lt;&gt;"&amp;""))</f>
        <v>0</v>
      </c>
      <c r="L204" s="165">
        <f>IF(C204="","",COUNTIFS(Başvuru!$C:$C,C204,Başvuru!$L:$L,"KAEK",Başvuru!$A:$A,"&lt;&gt;"&amp;"",Başvuru!$F:$F,"&lt;&gt;"&amp;""))</f>
        <v>0</v>
      </c>
      <c r="M204" s="166">
        <f>IF(C204="","",COUNTIFS(Başvuru!$C:$C,C204,Başvuru!$L:$L,"GÖRÜŞ",Başvuru!$A:$A,"&lt;&gt;"&amp;"",Başvuru!$F:$F,"&lt;&gt;"&amp;""))</f>
        <v>1</v>
      </c>
      <c r="N204" s="167">
        <f>IF(C204="","",COUNTIFS(Başvuru!$C:$C,C204,Başvuru!$L:$L,"RET",Başvuru!$A:$A,"&lt;&gt;"&amp;"",Başvuru!$F:$F,"&lt;&gt;"&amp;""))</f>
        <v>0</v>
      </c>
      <c r="O204" s="168">
        <f>IF(C204="","",COUNTIFS(Başvuru!$C:$C,C204,Başvuru!$L:$L,"KAPSAM DIŞI",Başvuru!$A:$A,"&lt;&gt;"&amp;"",Başvuru!$F:$F,"&lt;&gt;"&amp;""))</f>
        <v>0</v>
      </c>
      <c r="P204" s="169">
        <f>IF(C204="","",COUNTIFS(Başvuru!$C:$C,C204,Başvuru!$L:$L,"GERİ ÇEKİLDİ",Başvuru!$A:$A,"&lt;&gt;"&amp;"",Başvuru!$F:$F,"&lt;&gt;"&amp;""))</f>
        <v>0</v>
      </c>
      <c r="Q204" s="170" t="str">
        <f t="array" ref="Q204">IFERROR(INDEX(Başvuru!$C$2:$C$3000, MATCH(0, COUNTIF($Q$5:Q203, Başvuru!$C$2:$C$3000) + IF(Başvuru!$C$2:$C$3000="",1,0), 0)), "")</f>
        <v>Öğr. Gör. Dr. Tuğçe TAŞKINDERE ABBASOĞLU</v>
      </c>
      <c r="R204" s="171">
        <f>IF(Q204="","",COUNTIFS(Başvuru!$C:$C,Q204,Başvuru!$A:$A,"&lt;&gt;"&amp;"",Başvuru!$F:$F,"&lt;&gt;"&amp;""))</f>
        <v>1</v>
      </c>
      <c r="S204" s="171">
        <f>IF(R204="","",RANK(R204,$R$6:$R$505,0)+COUNTIF($R$6:R204,R204)-1)</f>
        <v>231</v>
      </c>
    </row>
    <row r="205" spans="2:19" ht="23.25" customHeight="1" x14ac:dyDescent="0.25">
      <c r="B205" s="159">
        <v>200</v>
      </c>
      <c r="C205" s="160" t="str">
        <f>IFERROR(INDEX($Q$6:$Q$505,MATCH(200,$S$6:$S$505,0)),"")</f>
        <v>Öğr. Gör. Dr. Helin YÜCEDAĞ GÜNDOĞDU</v>
      </c>
      <c r="D205" s="161">
        <f>IF(C205="","",COUNTIFS(Başvuru!$C:$C,C205,Başvuru!$A:$A,"&lt;&gt;"&amp;"",Başvuru!$F:$F,"&lt;&gt;"&amp;""))</f>
        <v>1</v>
      </c>
      <c r="E205" s="159" t="str">
        <f>IF(C205="","-",IF(D205&gt;0,TEXT(D205/(COUNTIFS(Başvuru!$A:$A,"&lt;&gt;",Başvuru!$F:$F,"&lt;&gt;")-1)*100,"0.0")&amp;"%","-"))</f>
        <v>00%</v>
      </c>
      <c r="F205" s="162">
        <f>IF(C205="","",COUNTIFS(Başvuru!$C:$C,C205,Başvuru!$G:$G,"Bireysel Araştırma",Başvuru!$A:$A,"&lt;&gt;"&amp;"",Başvuru!$F:$F,"&lt;&gt;"&amp;""))</f>
        <v>1</v>
      </c>
      <c r="G205" s="162">
        <f>IF(C205="","",COUNTIFS(Başvuru!$C:$C,C205,Başvuru!$G:$G,"Uzmanlık Tezi",Başvuru!$A:$A,"&lt;&gt;"&amp;"",Başvuru!$F:$F,"&lt;&gt;"&amp;""))</f>
        <v>0</v>
      </c>
      <c r="H205" s="162">
        <f>IF(C205="","",COUNTIFS(Başvuru!$C:$C,C205,Başvuru!$G:$G,"Doktora Tezi",Başvuru!$A:$A,"&lt;&gt;"&amp;"",Başvuru!$F:$F,"&lt;&gt;"&amp;""))</f>
        <v>0</v>
      </c>
      <c r="I205" s="162">
        <f>IF(C205="","",COUNTIFS(Başvuru!$C:$C,C205,Başvuru!$G:$G,"Yüksek Lisans Tezi",Başvuru!$A:$A,"&lt;&gt;"&amp;"",Başvuru!$F:$F,"&lt;&gt;"&amp;""))</f>
        <v>0</v>
      </c>
      <c r="J205" s="163">
        <f>IF(C205="","",COUNTIFS(Başvuru!$C:$C,C205,Başvuru!$L:$L,"ONAY",Başvuru!$A:$A,"&lt;&gt;"&amp;"",Başvuru!$F:$F,"&lt;&gt;"&amp;""))</f>
        <v>1</v>
      </c>
      <c r="K205" s="164">
        <f>IF(C205="","",COUNTIFS(Başvuru!$C:$C,C205,Başvuru!$L:$L,"DÜZELTME",Başvuru!$A:$A,"&lt;&gt;"&amp;"",Başvuru!$F:$F,"&lt;&gt;"&amp;""))</f>
        <v>0</v>
      </c>
      <c r="L205" s="165">
        <f>IF(C205="","",COUNTIFS(Başvuru!$C:$C,C205,Başvuru!$L:$L,"KAEK",Başvuru!$A:$A,"&lt;&gt;"&amp;"",Başvuru!$F:$F,"&lt;&gt;"&amp;""))</f>
        <v>0</v>
      </c>
      <c r="M205" s="166">
        <f>IF(C205="","",COUNTIFS(Başvuru!$C:$C,C205,Başvuru!$L:$L,"GÖRÜŞ",Başvuru!$A:$A,"&lt;&gt;"&amp;"",Başvuru!$F:$F,"&lt;&gt;"&amp;""))</f>
        <v>0</v>
      </c>
      <c r="N205" s="167">
        <f>IF(C205="","",COUNTIFS(Başvuru!$C:$C,C205,Başvuru!$L:$L,"RET",Başvuru!$A:$A,"&lt;&gt;"&amp;"",Başvuru!$F:$F,"&lt;&gt;"&amp;""))</f>
        <v>0</v>
      </c>
      <c r="O205" s="168">
        <f>IF(C205="","",COUNTIFS(Başvuru!$C:$C,C205,Başvuru!$L:$L,"KAPSAM DIŞI",Başvuru!$A:$A,"&lt;&gt;"&amp;"",Başvuru!$F:$F,"&lt;&gt;"&amp;""))</f>
        <v>0</v>
      </c>
      <c r="P205" s="169">
        <f>IF(C205="","",COUNTIFS(Başvuru!$C:$C,C205,Başvuru!$L:$L,"GERİ ÇEKİLDİ",Başvuru!$A:$A,"&lt;&gt;"&amp;"",Başvuru!$F:$F,"&lt;&gt;"&amp;""))</f>
        <v>0</v>
      </c>
      <c r="Q205" s="170" t="str">
        <f t="array" ref="Q205">IFERROR(INDEX(Başvuru!$C$2:$C$3000, MATCH(0, COUNTIF($Q$5:Q204, Başvuru!$C$2:$C$3000) + IF(Başvuru!$C$2:$C$3000="",1,0), 0)), "")</f>
        <v>Dr. Öğr. Üyesi Selin ARDALI DÜZGÜN</v>
      </c>
      <c r="R205" s="171">
        <f>IF(Q205="","",COUNTIFS(Başvuru!$C:$C,Q205,Başvuru!$A:$A,"&lt;&gt;"&amp;"",Başvuru!$F:$F,"&lt;&gt;"&amp;""))</f>
        <v>1</v>
      </c>
      <c r="S205" s="171">
        <f>IF(R205="","",RANK(R205,$R$6:$R$505,0)+COUNTIF($R$6:R205,R205)-1)</f>
        <v>232</v>
      </c>
    </row>
    <row r="206" spans="2:19" ht="23.25" customHeight="1" x14ac:dyDescent="0.25">
      <c r="B206" s="159">
        <v>201</v>
      </c>
      <c r="C206" s="160" t="str">
        <f>IFERROR(INDEX($Q$6:$Q$505,MATCH(201,$S$6:$S$505,0)),"")</f>
        <v>Dr. Öğr. Üyesi Özge YAVUZ SARI</v>
      </c>
      <c r="D206" s="161">
        <f>IF(C206="","",COUNTIFS(Başvuru!$C:$C,C206,Başvuru!$A:$A,"&lt;&gt;"&amp;"",Başvuru!$F:$F,"&lt;&gt;"&amp;""))</f>
        <v>1</v>
      </c>
      <c r="E206" s="159" t="str">
        <f>IF(C206="","-",IF(D206&gt;0,TEXT(D206/(COUNTIFS(Başvuru!$A:$A,"&lt;&gt;",Başvuru!$F:$F,"&lt;&gt;")-1)*100,"0.0")&amp;"%","-"))</f>
        <v>00%</v>
      </c>
      <c r="F206" s="162">
        <f>IF(C206="","",COUNTIFS(Başvuru!$C:$C,C206,Başvuru!$G:$G,"Bireysel Araştırma",Başvuru!$A:$A,"&lt;&gt;"&amp;"",Başvuru!$F:$F,"&lt;&gt;"&amp;""))</f>
        <v>1</v>
      </c>
      <c r="G206" s="162">
        <f>IF(C206="","",COUNTIFS(Başvuru!$C:$C,C206,Başvuru!$G:$G,"Uzmanlık Tezi",Başvuru!$A:$A,"&lt;&gt;"&amp;"",Başvuru!$F:$F,"&lt;&gt;"&amp;""))</f>
        <v>0</v>
      </c>
      <c r="H206" s="162">
        <f>IF(C206="","",COUNTIFS(Başvuru!$C:$C,C206,Başvuru!$G:$G,"Doktora Tezi",Başvuru!$A:$A,"&lt;&gt;"&amp;"",Başvuru!$F:$F,"&lt;&gt;"&amp;""))</f>
        <v>0</v>
      </c>
      <c r="I206" s="162">
        <f>IF(C206="","",COUNTIFS(Başvuru!$C:$C,C206,Başvuru!$G:$G,"Yüksek Lisans Tezi",Başvuru!$A:$A,"&lt;&gt;"&amp;"",Başvuru!$F:$F,"&lt;&gt;"&amp;""))</f>
        <v>0</v>
      </c>
      <c r="J206" s="163">
        <f>IF(C206="","",COUNTIFS(Başvuru!$C:$C,C206,Başvuru!$L:$L,"ONAY",Başvuru!$A:$A,"&lt;&gt;"&amp;"",Başvuru!$F:$F,"&lt;&gt;"&amp;""))</f>
        <v>1</v>
      </c>
      <c r="K206" s="164">
        <f>IF(C206="","",COUNTIFS(Başvuru!$C:$C,C206,Başvuru!$L:$L,"DÜZELTME",Başvuru!$A:$A,"&lt;&gt;"&amp;"",Başvuru!$F:$F,"&lt;&gt;"&amp;""))</f>
        <v>0</v>
      </c>
      <c r="L206" s="165">
        <f>IF(C206="","",COUNTIFS(Başvuru!$C:$C,C206,Başvuru!$L:$L,"KAEK",Başvuru!$A:$A,"&lt;&gt;"&amp;"",Başvuru!$F:$F,"&lt;&gt;"&amp;""))</f>
        <v>0</v>
      </c>
      <c r="M206" s="166">
        <f>IF(C206="","",COUNTIFS(Başvuru!$C:$C,C206,Başvuru!$L:$L,"GÖRÜŞ",Başvuru!$A:$A,"&lt;&gt;"&amp;"",Başvuru!$F:$F,"&lt;&gt;"&amp;""))</f>
        <v>0</v>
      </c>
      <c r="N206" s="167">
        <f>IF(C206="","",COUNTIFS(Başvuru!$C:$C,C206,Başvuru!$L:$L,"RET",Başvuru!$A:$A,"&lt;&gt;"&amp;"",Başvuru!$F:$F,"&lt;&gt;"&amp;""))</f>
        <v>0</v>
      </c>
      <c r="O206" s="168">
        <f>IF(C206="","",COUNTIFS(Başvuru!$C:$C,C206,Başvuru!$L:$L,"KAPSAM DIŞI",Başvuru!$A:$A,"&lt;&gt;"&amp;"",Başvuru!$F:$F,"&lt;&gt;"&amp;""))</f>
        <v>0</v>
      </c>
      <c r="P206" s="169">
        <f>IF(C206="","",COUNTIFS(Başvuru!$C:$C,C206,Başvuru!$L:$L,"GERİ ÇEKİLDİ",Başvuru!$A:$A,"&lt;&gt;"&amp;"",Başvuru!$F:$F,"&lt;&gt;"&amp;""))</f>
        <v>0</v>
      </c>
      <c r="Q206" s="170" t="str">
        <f t="array" ref="Q206">IFERROR(INDEX(Başvuru!$C$2:$C$3000, MATCH(0, COUNTIF($Q$5:Q205, Başvuru!$C$2:$C$3000) + IF(Başvuru!$C$2:$C$3000="",1,0), 0)), "")</f>
        <v>Prof. Dr. Meryem Aslı TUNCER</v>
      </c>
      <c r="R206" s="171">
        <f>IF(Q206="","",COUNTIFS(Başvuru!$C:$C,Q206,Başvuru!$A:$A,"&lt;&gt;"&amp;"",Başvuru!$F:$F,"&lt;&gt;"&amp;""))</f>
        <v>3</v>
      </c>
      <c r="S206" s="171">
        <f>IF(R206="","",RANK(R206,$R$6:$R$505,0)+COUNTIF($R$6:R206,R206)-1)</f>
        <v>71</v>
      </c>
    </row>
    <row r="207" spans="2:19" ht="23.25" customHeight="1" x14ac:dyDescent="0.25">
      <c r="B207" s="159">
        <v>202</v>
      </c>
      <c r="C207" s="160" t="str">
        <f>IFERROR(INDEX($Q$6:$Q$505,MATCH(202,$S$6:$S$505,0)),"")</f>
        <v>Prof. Dr. Jale KARAKAYA</v>
      </c>
      <c r="D207" s="161">
        <f>IF(C207="","",COUNTIFS(Başvuru!$C:$C,C207,Başvuru!$A:$A,"&lt;&gt;"&amp;"",Başvuru!$F:$F,"&lt;&gt;"&amp;""))</f>
        <v>1</v>
      </c>
      <c r="E207" s="159" t="str">
        <f>IF(C207="","-",IF(D207&gt;0,TEXT(D207/(COUNTIFS(Başvuru!$A:$A,"&lt;&gt;",Başvuru!$F:$F,"&lt;&gt;")-1)*100,"0.0")&amp;"%","-"))</f>
        <v>00%</v>
      </c>
      <c r="F207" s="162">
        <f>IF(C207="","",COUNTIFS(Başvuru!$C:$C,C207,Başvuru!$G:$G,"Bireysel Araştırma",Başvuru!$A:$A,"&lt;&gt;"&amp;"",Başvuru!$F:$F,"&lt;&gt;"&amp;""))</f>
        <v>1</v>
      </c>
      <c r="G207" s="162">
        <f>IF(C207="","",COUNTIFS(Başvuru!$C:$C,C207,Başvuru!$G:$G,"Uzmanlık Tezi",Başvuru!$A:$A,"&lt;&gt;"&amp;"",Başvuru!$F:$F,"&lt;&gt;"&amp;""))</f>
        <v>0</v>
      </c>
      <c r="H207" s="162">
        <f>IF(C207="","",COUNTIFS(Başvuru!$C:$C,C207,Başvuru!$G:$G,"Doktora Tezi",Başvuru!$A:$A,"&lt;&gt;"&amp;"",Başvuru!$F:$F,"&lt;&gt;"&amp;""))</f>
        <v>0</v>
      </c>
      <c r="I207" s="162">
        <f>IF(C207="","",COUNTIFS(Başvuru!$C:$C,C207,Başvuru!$G:$G,"Yüksek Lisans Tezi",Başvuru!$A:$A,"&lt;&gt;"&amp;"",Başvuru!$F:$F,"&lt;&gt;"&amp;""))</f>
        <v>0</v>
      </c>
      <c r="J207" s="163">
        <f>IF(C207="","",COUNTIFS(Başvuru!$C:$C,C207,Başvuru!$L:$L,"ONAY",Başvuru!$A:$A,"&lt;&gt;"&amp;"",Başvuru!$F:$F,"&lt;&gt;"&amp;""))</f>
        <v>0</v>
      </c>
      <c r="K207" s="164">
        <f>IF(C207="","",COUNTIFS(Başvuru!$C:$C,C207,Başvuru!$L:$L,"DÜZELTME",Başvuru!$A:$A,"&lt;&gt;"&amp;"",Başvuru!$F:$F,"&lt;&gt;"&amp;""))</f>
        <v>0</v>
      </c>
      <c r="L207" s="165">
        <f>IF(C207="","",COUNTIFS(Başvuru!$C:$C,C207,Başvuru!$L:$L,"KAEK",Başvuru!$A:$A,"&lt;&gt;"&amp;"",Başvuru!$F:$F,"&lt;&gt;"&amp;""))</f>
        <v>0</v>
      </c>
      <c r="M207" s="166">
        <f>IF(C207="","",COUNTIFS(Başvuru!$C:$C,C207,Başvuru!$L:$L,"GÖRÜŞ",Başvuru!$A:$A,"&lt;&gt;"&amp;"",Başvuru!$F:$F,"&lt;&gt;"&amp;""))</f>
        <v>1</v>
      </c>
      <c r="N207" s="167">
        <f>IF(C207="","",COUNTIFS(Başvuru!$C:$C,C207,Başvuru!$L:$L,"RET",Başvuru!$A:$A,"&lt;&gt;"&amp;"",Başvuru!$F:$F,"&lt;&gt;"&amp;""))</f>
        <v>0</v>
      </c>
      <c r="O207" s="168">
        <f>IF(C207="","",COUNTIFS(Başvuru!$C:$C,C207,Başvuru!$L:$L,"KAPSAM DIŞI",Başvuru!$A:$A,"&lt;&gt;"&amp;"",Başvuru!$F:$F,"&lt;&gt;"&amp;""))</f>
        <v>0</v>
      </c>
      <c r="P207" s="169">
        <f>IF(C207="","",COUNTIFS(Başvuru!$C:$C,C207,Başvuru!$L:$L,"GERİ ÇEKİLDİ",Başvuru!$A:$A,"&lt;&gt;"&amp;"",Başvuru!$F:$F,"&lt;&gt;"&amp;""))</f>
        <v>0</v>
      </c>
      <c r="Q207" s="170" t="str">
        <f t="array" ref="Q207">IFERROR(INDEX(Başvuru!$C$2:$C$3000, MATCH(0, COUNTIF($Q$5:Q206, Başvuru!$C$2:$C$3000) + IF(Başvuru!$C$2:$C$3000="",1,0), 0)), "")</f>
        <v>Doç. Dr. Oytun PORTAKAL AKÇİN</v>
      </c>
      <c r="R207" s="171">
        <f>IF(Q207="","",COUNTIFS(Başvuru!$C:$C,Q207,Başvuru!$A:$A,"&lt;&gt;"&amp;"",Başvuru!$F:$F,"&lt;&gt;"&amp;""))</f>
        <v>2</v>
      </c>
      <c r="S207" s="171">
        <f>IF(R207="","",RANK(R207,$R$6:$R$505,0)+COUNTIF($R$6:R207,R207)-1)</f>
        <v>125</v>
      </c>
    </row>
    <row r="208" spans="2:19" ht="23.25" customHeight="1" x14ac:dyDescent="0.25">
      <c r="B208" s="159">
        <v>203</v>
      </c>
      <c r="C208" s="160" t="str">
        <f>IFERROR(INDEX($Q$6:$Q$505,MATCH(203,$S$6:$S$505,0)),"")</f>
        <v>Dr. Öğr. Üyesi Ezgi DOĞAN CÖMERT</v>
      </c>
      <c r="D208" s="161">
        <f>IF(C208="","",COUNTIFS(Başvuru!$C:$C,C208,Başvuru!$A:$A,"&lt;&gt;"&amp;"",Başvuru!$F:$F,"&lt;&gt;"&amp;""))</f>
        <v>1</v>
      </c>
      <c r="E208" s="159" t="str">
        <f>IF(C208="","-",IF(D208&gt;0,TEXT(D208/(COUNTIFS(Başvuru!$A:$A,"&lt;&gt;",Başvuru!$F:$F,"&lt;&gt;")-1)*100,"0.0")&amp;"%","-"))</f>
        <v>00%</v>
      </c>
      <c r="F208" s="162">
        <f>IF(C208="","",COUNTIFS(Başvuru!$C:$C,C208,Başvuru!$G:$G,"Bireysel Araştırma",Başvuru!$A:$A,"&lt;&gt;"&amp;"",Başvuru!$F:$F,"&lt;&gt;"&amp;""))</f>
        <v>1</v>
      </c>
      <c r="G208" s="162">
        <f>IF(C208="","",COUNTIFS(Başvuru!$C:$C,C208,Başvuru!$G:$G,"Uzmanlık Tezi",Başvuru!$A:$A,"&lt;&gt;"&amp;"",Başvuru!$F:$F,"&lt;&gt;"&amp;""))</f>
        <v>0</v>
      </c>
      <c r="H208" s="162">
        <f>IF(C208="","",COUNTIFS(Başvuru!$C:$C,C208,Başvuru!$G:$G,"Doktora Tezi",Başvuru!$A:$A,"&lt;&gt;"&amp;"",Başvuru!$F:$F,"&lt;&gt;"&amp;""))</f>
        <v>0</v>
      </c>
      <c r="I208" s="162">
        <f>IF(C208="","",COUNTIFS(Başvuru!$C:$C,C208,Başvuru!$G:$G,"Yüksek Lisans Tezi",Başvuru!$A:$A,"&lt;&gt;"&amp;"",Başvuru!$F:$F,"&lt;&gt;"&amp;""))</f>
        <v>0</v>
      </c>
      <c r="J208" s="163">
        <f>IF(C208="","",COUNTIFS(Başvuru!$C:$C,C208,Başvuru!$L:$L,"ONAY",Başvuru!$A:$A,"&lt;&gt;"&amp;"",Başvuru!$F:$F,"&lt;&gt;"&amp;""))</f>
        <v>1</v>
      </c>
      <c r="K208" s="164">
        <f>IF(C208="","",COUNTIFS(Başvuru!$C:$C,C208,Başvuru!$L:$L,"DÜZELTME",Başvuru!$A:$A,"&lt;&gt;"&amp;"",Başvuru!$F:$F,"&lt;&gt;"&amp;""))</f>
        <v>0</v>
      </c>
      <c r="L208" s="165">
        <f>IF(C208="","",COUNTIFS(Başvuru!$C:$C,C208,Başvuru!$L:$L,"KAEK",Başvuru!$A:$A,"&lt;&gt;"&amp;"",Başvuru!$F:$F,"&lt;&gt;"&amp;""))</f>
        <v>0</v>
      </c>
      <c r="M208" s="166">
        <f>IF(C208="","",COUNTIFS(Başvuru!$C:$C,C208,Başvuru!$L:$L,"GÖRÜŞ",Başvuru!$A:$A,"&lt;&gt;"&amp;"",Başvuru!$F:$F,"&lt;&gt;"&amp;""))</f>
        <v>0</v>
      </c>
      <c r="N208" s="167">
        <f>IF(C208="","",COUNTIFS(Başvuru!$C:$C,C208,Başvuru!$L:$L,"RET",Başvuru!$A:$A,"&lt;&gt;"&amp;"",Başvuru!$F:$F,"&lt;&gt;"&amp;""))</f>
        <v>0</v>
      </c>
      <c r="O208" s="168">
        <f>IF(C208="","",COUNTIFS(Başvuru!$C:$C,C208,Başvuru!$L:$L,"KAPSAM DIŞI",Başvuru!$A:$A,"&lt;&gt;"&amp;"",Başvuru!$F:$F,"&lt;&gt;"&amp;""))</f>
        <v>0</v>
      </c>
      <c r="P208" s="169">
        <f>IF(C208="","",COUNTIFS(Başvuru!$C:$C,C208,Başvuru!$L:$L,"GERİ ÇEKİLDİ",Başvuru!$A:$A,"&lt;&gt;"&amp;"",Başvuru!$F:$F,"&lt;&gt;"&amp;""))</f>
        <v>0</v>
      </c>
      <c r="Q208" s="170" t="str">
        <f t="array" ref="Q208">IFERROR(INDEX(Başvuru!$C$2:$C$3000, MATCH(0, COUNTIF($Q$5:Q207, Başvuru!$C$2:$C$3000) + IF(Başvuru!$C$2:$C$3000="",1,0), 0)), "")</f>
        <v>Prof. Dr. Hüseyin Gencay KEÇELİ</v>
      </c>
      <c r="R208" s="171">
        <f>IF(Q208="","",COUNTIFS(Başvuru!$C:$C,Q208,Başvuru!$A:$A,"&lt;&gt;"&amp;"",Başvuru!$F:$F,"&lt;&gt;"&amp;""))</f>
        <v>2</v>
      </c>
      <c r="S208" s="171">
        <f>IF(R208="","",RANK(R208,$R$6:$R$505,0)+COUNTIF($R$6:R208,R208)-1)</f>
        <v>126</v>
      </c>
    </row>
    <row r="209" spans="2:19" ht="23.25" customHeight="1" x14ac:dyDescent="0.25">
      <c r="B209" s="159">
        <v>204</v>
      </c>
      <c r="C209" s="160" t="str">
        <f>IFERROR(INDEX($Q$6:$Q$505,MATCH(204,$S$6:$S$505,0)),"")</f>
        <v>Dr. Öğr. Üyesi Salih Eren MERAL</v>
      </c>
      <c r="D209" s="161">
        <f>IF(C209="","",COUNTIFS(Başvuru!$C:$C,C209,Başvuru!$A:$A,"&lt;&gt;"&amp;"",Başvuru!$F:$F,"&lt;&gt;"&amp;""))</f>
        <v>1</v>
      </c>
      <c r="E209" s="159" t="str">
        <f>IF(C209="","-",IF(D209&gt;0,TEXT(D209/(COUNTIFS(Başvuru!$A:$A,"&lt;&gt;",Başvuru!$F:$F,"&lt;&gt;")-1)*100,"0.0")&amp;"%","-"))</f>
        <v>00%</v>
      </c>
      <c r="F209" s="162">
        <f>IF(C209="","",COUNTIFS(Başvuru!$C:$C,C209,Başvuru!$G:$G,"Bireysel Araştırma",Başvuru!$A:$A,"&lt;&gt;"&amp;"",Başvuru!$F:$F,"&lt;&gt;"&amp;""))</f>
        <v>1</v>
      </c>
      <c r="G209" s="162">
        <f>IF(C209="","",COUNTIFS(Başvuru!$C:$C,C209,Başvuru!$G:$G,"Uzmanlık Tezi",Başvuru!$A:$A,"&lt;&gt;"&amp;"",Başvuru!$F:$F,"&lt;&gt;"&amp;""))</f>
        <v>0</v>
      </c>
      <c r="H209" s="162">
        <f>IF(C209="","",COUNTIFS(Başvuru!$C:$C,C209,Başvuru!$G:$G,"Doktora Tezi",Başvuru!$A:$A,"&lt;&gt;"&amp;"",Başvuru!$F:$F,"&lt;&gt;"&amp;""))</f>
        <v>0</v>
      </c>
      <c r="I209" s="162">
        <f>IF(C209="","",COUNTIFS(Başvuru!$C:$C,C209,Başvuru!$G:$G,"Yüksek Lisans Tezi",Başvuru!$A:$A,"&lt;&gt;"&amp;"",Başvuru!$F:$F,"&lt;&gt;"&amp;""))</f>
        <v>0</v>
      </c>
      <c r="J209" s="163">
        <f>IF(C209="","",COUNTIFS(Başvuru!$C:$C,C209,Başvuru!$L:$L,"ONAY",Başvuru!$A:$A,"&lt;&gt;"&amp;"",Başvuru!$F:$F,"&lt;&gt;"&amp;""))</f>
        <v>1</v>
      </c>
      <c r="K209" s="164">
        <f>IF(C209="","",COUNTIFS(Başvuru!$C:$C,C209,Başvuru!$L:$L,"DÜZELTME",Başvuru!$A:$A,"&lt;&gt;"&amp;"",Başvuru!$F:$F,"&lt;&gt;"&amp;""))</f>
        <v>0</v>
      </c>
      <c r="L209" s="165">
        <f>IF(C209="","",COUNTIFS(Başvuru!$C:$C,C209,Başvuru!$L:$L,"KAEK",Başvuru!$A:$A,"&lt;&gt;"&amp;"",Başvuru!$F:$F,"&lt;&gt;"&amp;""))</f>
        <v>0</v>
      </c>
      <c r="M209" s="166">
        <f>IF(C209="","",COUNTIFS(Başvuru!$C:$C,C209,Başvuru!$L:$L,"GÖRÜŞ",Başvuru!$A:$A,"&lt;&gt;"&amp;"",Başvuru!$F:$F,"&lt;&gt;"&amp;""))</f>
        <v>0</v>
      </c>
      <c r="N209" s="167">
        <f>IF(C209="","",COUNTIFS(Başvuru!$C:$C,C209,Başvuru!$L:$L,"RET",Başvuru!$A:$A,"&lt;&gt;"&amp;"",Başvuru!$F:$F,"&lt;&gt;"&amp;""))</f>
        <v>0</v>
      </c>
      <c r="O209" s="168">
        <f>IF(C209="","",COUNTIFS(Başvuru!$C:$C,C209,Başvuru!$L:$L,"KAPSAM DIŞI",Başvuru!$A:$A,"&lt;&gt;"&amp;"",Başvuru!$F:$F,"&lt;&gt;"&amp;""))</f>
        <v>0</v>
      </c>
      <c r="P209" s="169">
        <f>IF(C209="","",COUNTIFS(Başvuru!$C:$C,C209,Başvuru!$L:$L,"GERİ ÇEKİLDİ",Başvuru!$A:$A,"&lt;&gt;"&amp;"",Başvuru!$F:$F,"&lt;&gt;"&amp;""))</f>
        <v>0</v>
      </c>
      <c r="Q209" s="170" t="str">
        <f t="array" ref="Q209">IFERROR(INDEX(Başvuru!$C$2:$C$3000, MATCH(0, COUNTIF($Q$5:Q208, Başvuru!$C$2:$C$3000) + IF(Başvuru!$C$2:$C$3000="",1,0), 0)), "")</f>
        <v>Prof. Dr. Kasım KARATAŞ</v>
      </c>
      <c r="R209" s="171">
        <f>IF(Q209="","",COUNTIFS(Başvuru!$C:$C,Q209,Başvuru!$A:$A,"&lt;&gt;"&amp;"",Başvuru!$F:$F,"&lt;&gt;"&amp;""))</f>
        <v>1</v>
      </c>
      <c r="S209" s="171">
        <f>IF(R209="","",RANK(R209,$R$6:$R$505,0)+COUNTIF($R$6:R209,R209)-1)</f>
        <v>233</v>
      </c>
    </row>
    <row r="210" spans="2:19" ht="23.25" customHeight="1" x14ac:dyDescent="0.25">
      <c r="B210" s="159">
        <v>205</v>
      </c>
      <c r="C210" s="160" t="str">
        <f>IFERROR(INDEX($Q$6:$Q$505,MATCH(205,$S$6:$S$505,0)),"")</f>
        <v>Doç. Dr. Bengisu AKARSU GÜVEN</v>
      </c>
      <c r="D210" s="161">
        <f>IF(C210="","",COUNTIFS(Başvuru!$C:$C,C210,Başvuru!$A:$A,"&lt;&gt;"&amp;"",Başvuru!$F:$F,"&lt;&gt;"&amp;""))</f>
        <v>1</v>
      </c>
      <c r="E210" s="159" t="str">
        <f>IF(C210="","-",IF(D210&gt;0,TEXT(D210/(COUNTIFS(Başvuru!$A:$A,"&lt;&gt;",Başvuru!$F:$F,"&lt;&gt;")-1)*100,"0.0")&amp;"%","-"))</f>
        <v>00%</v>
      </c>
      <c r="F210" s="162">
        <f>IF(C210="","",COUNTIFS(Başvuru!$C:$C,C210,Başvuru!$G:$G,"Bireysel Araştırma",Başvuru!$A:$A,"&lt;&gt;"&amp;"",Başvuru!$F:$F,"&lt;&gt;"&amp;""))</f>
        <v>1</v>
      </c>
      <c r="G210" s="162">
        <f>IF(C210="","",COUNTIFS(Başvuru!$C:$C,C210,Başvuru!$G:$G,"Uzmanlık Tezi",Başvuru!$A:$A,"&lt;&gt;"&amp;"",Başvuru!$F:$F,"&lt;&gt;"&amp;""))</f>
        <v>0</v>
      </c>
      <c r="H210" s="162">
        <f>IF(C210="","",COUNTIFS(Başvuru!$C:$C,C210,Başvuru!$G:$G,"Doktora Tezi",Başvuru!$A:$A,"&lt;&gt;"&amp;"",Başvuru!$F:$F,"&lt;&gt;"&amp;""))</f>
        <v>0</v>
      </c>
      <c r="I210" s="162">
        <f>IF(C210="","",COUNTIFS(Başvuru!$C:$C,C210,Başvuru!$G:$G,"Yüksek Lisans Tezi",Başvuru!$A:$A,"&lt;&gt;"&amp;"",Başvuru!$F:$F,"&lt;&gt;"&amp;""))</f>
        <v>0</v>
      </c>
      <c r="J210" s="163">
        <f>IF(C210="","",COUNTIFS(Başvuru!$C:$C,C210,Başvuru!$L:$L,"ONAY",Başvuru!$A:$A,"&lt;&gt;"&amp;"",Başvuru!$F:$F,"&lt;&gt;"&amp;""))</f>
        <v>0</v>
      </c>
      <c r="K210" s="164">
        <f>IF(C210="","",COUNTIFS(Başvuru!$C:$C,C210,Başvuru!$L:$L,"DÜZELTME",Başvuru!$A:$A,"&lt;&gt;"&amp;"",Başvuru!$F:$F,"&lt;&gt;"&amp;""))</f>
        <v>1</v>
      </c>
      <c r="L210" s="165">
        <f>IF(C210="","",COUNTIFS(Başvuru!$C:$C,C210,Başvuru!$L:$L,"KAEK",Başvuru!$A:$A,"&lt;&gt;"&amp;"",Başvuru!$F:$F,"&lt;&gt;"&amp;""))</f>
        <v>0</v>
      </c>
      <c r="M210" s="166">
        <f>IF(C210="","",COUNTIFS(Başvuru!$C:$C,C210,Başvuru!$L:$L,"GÖRÜŞ",Başvuru!$A:$A,"&lt;&gt;"&amp;"",Başvuru!$F:$F,"&lt;&gt;"&amp;""))</f>
        <v>0</v>
      </c>
      <c r="N210" s="167">
        <f>IF(C210="","",COUNTIFS(Başvuru!$C:$C,C210,Başvuru!$L:$L,"RET",Başvuru!$A:$A,"&lt;&gt;"&amp;"",Başvuru!$F:$F,"&lt;&gt;"&amp;""))</f>
        <v>0</v>
      </c>
      <c r="O210" s="168">
        <f>IF(C210="","",COUNTIFS(Başvuru!$C:$C,C210,Başvuru!$L:$L,"KAPSAM DIŞI",Başvuru!$A:$A,"&lt;&gt;"&amp;"",Başvuru!$F:$F,"&lt;&gt;"&amp;""))</f>
        <v>0</v>
      </c>
      <c r="P210" s="169">
        <f>IF(C210="","",COUNTIFS(Başvuru!$C:$C,C210,Başvuru!$L:$L,"GERİ ÇEKİLDİ",Başvuru!$A:$A,"&lt;&gt;"&amp;"",Başvuru!$F:$F,"&lt;&gt;"&amp;""))</f>
        <v>0</v>
      </c>
      <c r="Q210" s="170" t="str">
        <f t="array" ref="Q210">IFERROR(INDEX(Başvuru!$C$2:$C$3000, MATCH(0, COUNTIF($Q$5:Q209, Başvuru!$C$2:$C$3000) + IF(Başvuru!$C$2:$C$3000="",1,0), 0)), "")</f>
        <v>Dr. Öğr. Üyesi Hayri Can ÖZDEN</v>
      </c>
      <c r="R210" s="171">
        <f>IF(Q210="","",COUNTIFS(Başvuru!$C:$C,Q210,Başvuru!$A:$A,"&lt;&gt;"&amp;"",Başvuru!$F:$F,"&lt;&gt;"&amp;""))</f>
        <v>2</v>
      </c>
      <c r="S210" s="171">
        <f>IF(R210="","",RANK(R210,$R$6:$R$505,0)+COUNTIF($R$6:R210,R210)-1)</f>
        <v>127</v>
      </c>
    </row>
    <row r="211" spans="2:19" ht="23.25" customHeight="1" x14ac:dyDescent="0.25">
      <c r="B211" s="159">
        <v>206</v>
      </c>
      <c r="C211" s="160" t="str">
        <f>IFERROR(INDEX($Q$6:$Q$505,MATCH(206,$S$6:$S$505,0)),"")</f>
        <v>Prof. Dr. Ali DURSUN</v>
      </c>
      <c r="D211" s="161">
        <f>IF(C211="","",COUNTIFS(Başvuru!$C:$C,C211,Başvuru!$A:$A,"&lt;&gt;"&amp;"",Başvuru!$F:$F,"&lt;&gt;"&amp;""))</f>
        <v>1</v>
      </c>
      <c r="E211" s="159" t="str">
        <f>IF(C211="","-",IF(D211&gt;0,TEXT(D211/(COUNTIFS(Başvuru!$A:$A,"&lt;&gt;",Başvuru!$F:$F,"&lt;&gt;")-1)*100,"0.0")&amp;"%","-"))</f>
        <v>00%</v>
      </c>
      <c r="F211" s="162">
        <f>IF(C211="","",COUNTIFS(Başvuru!$C:$C,C211,Başvuru!$G:$G,"Bireysel Araştırma",Başvuru!$A:$A,"&lt;&gt;"&amp;"",Başvuru!$F:$F,"&lt;&gt;"&amp;""))</f>
        <v>1</v>
      </c>
      <c r="G211" s="162">
        <f>IF(C211="","",COUNTIFS(Başvuru!$C:$C,C211,Başvuru!$G:$G,"Uzmanlık Tezi",Başvuru!$A:$A,"&lt;&gt;"&amp;"",Başvuru!$F:$F,"&lt;&gt;"&amp;""))</f>
        <v>0</v>
      </c>
      <c r="H211" s="162">
        <f>IF(C211="","",COUNTIFS(Başvuru!$C:$C,C211,Başvuru!$G:$G,"Doktora Tezi",Başvuru!$A:$A,"&lt;&gt;"&amp;"",Başvuru!$F:$F,"&lt;&gt;"&amp;""))</f>
        <v>0</v>
      </c>
      <c r="I211" s="162">
        <f>IF(C211="","",COUNTIFS(Başvuru!$C:$C,C211,Başvuru!$G:$G,"Yüksek Lisans Tezi",Başvuru!$A:$A,"&lt;&gt;"&amp;"",Başvuru!$F:$F,"&lt;&gt;"&amp;""))</f>
        <v>0</v>
      </c>
      <c r="J211" s="163">
        <f>IF(C211="","",COUNTIFS(Başvuru!$C:$C,C211,Başvuru!$L:$L,"ONAY",Başvuru!$A:$A,"&lt;&gt;"&amp;"",Başvuru!$F:$F,"&lt;&gt;"&amp;""))</f>
        <v>0</v>
      </c>
      <c r="K211" s="164">
        <f>IF(C211="","",COUNTIFS(Başvuru!$C:$C,C211,Başvuru!$L:$L,"DÜZELTME",Başvuru!$A:$A,"&lt;&gt;"&amp;"",Başvuru!$F:$F,"&lt;&gt;"&amp;""))</f>
        <v>1</v>
      </c>
      <c r="L211" s="165">
        <f>IF(C211="","",COUNTIFS(Başvuru!$C:$C,C211,Başvuru!$L:$L,"KAEK",Başvuru!$A:$A,"&lt;&gt;"&amp;"",Başvuru!$F:$F,"&lt;&gt;"&amp;""))</f>
        <v>0</v>
      </c>
      <c r="M211" s="166">
        <f>IF(C211="","",COUNTIFS(Başvuru!$C:$C,C211,Başvuru!$L:$L,"GÖRÜŞ",Başvuru!$A:$A,"&lt;&gt;"&amp;"",Başvuru!$F:$F,"&lt;&gt;"&amp;""))</f>
        <v>0</v>
      </c>
      <c r="N211" s="167">
        <f>IF(C211="","",COUNTIFS(Başvuru!$C:$C,C211,Başvuru!$L:$L,"RET",Başvuru!$A:$A,"&lt;&gt;"&amp;"",Başvuru!$F:$F,"&lt;&gt;"&amp;""))</f>
        <v>0</v>
      </c>
      <c r="O211" s="168">
        <f>IF(C211="","",COUNTIFS(Başvuru!$C:$C,C211,Başvuru!$L:$L,"KAPSAM DIŞI",Başvuru!$A:$A,"&lt;&gt;"&amp;"",Başvuru!$F:$F,"&lt;&gt;"&amp;""))</f>
        <v>0</v>
      </c>
      <c r="P211" s="169">
        <f>IF(C211="","",COUNTIFS(Başvuru!$C:$C,C211,Başvuru!$L:$L,"GERİ ÇEKİLDİ",Başvuru!$A:$A,"&lt;&gt;"&amp;"",Başvuru!$F:$F,"&lt;&gt;"&amp;""))</f>
        <v>0</v>
      </c>
      <c r="Q211" s="170" t="str">
        <f t="array" ref="Q211">IFERROR(INDEX(Başvuru!$C$2:$C$3000, MATCH(0, COUNTIF($Q$5:Q210, Başvuru!$C$2:$C$3000) + IF(Başvuru!$C$2:$C$3000="",1,0), 0)), "")</f>
        <v>Dr. Öğr. Üyesi Ece ÖZOĞUL</v>
      </c>
      <c r="R211" s="171">
        <f>IF(Q211="","",COUNTIFS(Başvuru!$C:$C,Q211,Başvuru!$A:$A,"&lt;&gt;"&amp;"",Başvuru!$F:$F,"&lt;&gt;"&amp;""))</f>
        <v>4</v>
      </c>
      <c r="S211" s="171">
        <f>IF(R211="","",RANK(R211,$R$6:$R$505,0)+COUNTIF($R$6:R211,R211)-1)</f>
        <v>45</v>
      </c>
    </row>
    <row r="212" spans="2:19" ht="23.25" customHeight="1" x14ac:dyDescent="0.25">
      <c r="B212" s="159">
        <v>207</v>
      </c>
      <c r="C212" s="160" t="str">
        <f>IFERROR(INDEX($Q$6:$Q$505,MATCH(207,$S$6:$S$505,0)),"")</f>
        <v>Prof. Dr. Mert ÇALIŞ</v>
      </c>
      <c r="D212" s="161">
        <f>IF(C212="","",COUNTIFS(Başvuru!$C:$C,C212,Başvuru!$A:$A,"&lt;&gt;"&amp;"",Başvuru!$F:$F,"&lt;&gt;"&amp;""))</f>
        <v>1</v>
      </c>
      <c r="E212" s="159" t="str">
        <f>IF(C212="","-",IF(D212&gt;0,TEXT(D212/(COUNTIFS(Başvuru!$A:$A,"&lt;&gt;",Başvuru!$F:$F,"&lt;&gt;")-1)*100,"0.0")&amp;"%","-"))</f>
        <v>00%</v>
      </c>
      <c r="F212" s="162">
        <f>IF(C212="","",COUNTIFS(Başvuru!$C:$C,C212,Başvuru!$G:$G,"Bireysel Araştırma",Başvuru!$A:$A,"&lt;&gt;"&amp;"",Başvuru!$F:$F,"&lt;&gt;"&amp;""))</f>
        <v>0</v>
      </c>
      <c r="G212" s="162">
        <f>IF(C212="","",COUNTIFS(Başvuru!$C:$C,C212,Başvuru!$G:$G,"Uzmanlık Tezi",Başvuru!$A:$A,"&lt;&gt;"&amp;"",Başvuru!$F:$F,"&lt;&gt;"&amp;""))</f>
        <v>1</v>
      </c>
      <c r="H212" s="162">
        <f>IF(C212="","",COUNTIFS(Başvuru!$C:$C,C212,Başvuru!$G:$G,"Doktora Tezi",Başvuru!$A:$A,"&lt;&gt;"&amp;"",Başvuru!$F:$F,"&lt;&gt;"&amp;""))</f>
        <v>0</v>
      </c>
      <c r="I212" s="162">
        <f>IF(C212="","",COUNTIFS(Başvuru!$C:$C,C212,Başvuru!$G:$G,"Yüksek Lisans Tezi",Başvuru!$A:$A,"&lt;&gt;"&amp;"",Başvuru!$F:$F,"&lt;&gt;"&amp;""))</f>
        <v>0</v>
      </c>
      <c r="J212" s="163">
        <f>IF(C212="","",COUNTIFS(Başvuru!$C:$C,C212,Başvuru!$L:$L,"ONAY",Başvuru!$A:$A,"&lt;&gt;"&amp;"",Başvuru!$F:$F,"&lt;&gt;"&amp;""))</f>
        <v>1</v>
      </c>
      <c r="K212" s="164">
        <f>IF(C212="","",COUNTIFS(Başvuru!$C:$C,C212,Başvuru!$L:$L,"DÜZELTME",Başvuru!$A:$A,"&lt;&gt;"&amp;"",Başvuru!$F:$F,"&lt;&gt;"&amp;""))</f>
        <v>0</v>
      </c>
      <c r="L212" s="165">
        <f>IF(C212="","",COUNTIFS(Başvuru!$C:$C,C212,Başvuru!$L:$L,"KAEK",Başvuru!$A:$A,"&lt;&gt;"&amp;"",Başvuru!$F:$F,"&lt;&gt;"&amp;""))</f>
        <v>0</v>
      </c>
      <c r="M212" s="166">
        <f>IF(C212="","",COUNTIFS(Başvuru!$C:$C,C212,Başvuru!$L:$L,"GÖRÜŞ",Başvuru!$A:$A,"&lt;&gt;"&amp;"",Başvuru!$F:$F,"&lt;&gt;"&amp;""))</f>
        <v>0</v>
      </c>
      <c r="N212" s="167">
        <f>IF(C212="","",COUNTIFS(Başvuru!$C:$C,C212,Başvuru!$L:$L,"RET",Başvuru!$A:$A,"&lt;&gt;"&amp;"",Başvuru!$F:$F,"&lt;&gt;"&amp;""))</f>
        <v>0</v>
      </c>
      <c r="O212" s="168">
        <f>IF(C212="","",COUNTIFS(Başvuru!$C:$C,C212,Başvuru!$L:$L,"KAPSAM DIŞI",Başvuru!$A:$A,"&lt;&gt;"&amp;"",Başvuru!$F:$F,"&lt;&gt;"&amp;""))</f>
        <v>0</v>
      </c>
      <c r="P212" s="169">
        <f>IF(C212="","",COUNTIFS(Başvuru!$C:$C,C212,Başvuru!$L:$L,"GERİ ÇEKİLDİ",Başvuru!$A:$A,"&lt;&gt;"&amp;"",Başvuru!$F:$F,"&lt;&gt;"&amp;""))</f>
        <v>0</v>
      </c>
      <c r="Q212" s="170" t="str">
        <f t="array" ref="Q212">IFERROR(INDEX(Başvuru!$C$2:$C$3000, MATCH(0, COUNTIF($Q$5:Q211, Başvuru!$C$2:$C$3000) + IF(Başvuru!$C$2:$C$3000="",1,0), 0)), "")</f>
        <v>Doç. Dr. Galip Gencay ÜSTÜN</v>
      </c>
      <c r="R212" s="171">
        <f>IF(Q212="","",COUNTIFS(Başvuru!$C:$C,Q212,Başvuru!$A:$A,"&lt;&gt;"&amp;"",Başvuru!$F:$F,"&lt;&gt;"&amp;""))</f>
        <v>2</v>
      </c>
      <c r="S212" s="171">
        <f>IF(R212="","",RANK(R212,$R$6:$R$505,0)+COUNTIF($R$6:R212,R212)-1)</f>
        <v>128</v>
      </c>
    </row>
    <row r="213" spans="2:19" ht="23.25" customHeight="1" x14ac:dyDescent="0.25">
      <c r="B213" s="159">
        <v>208</v>
      </c>
      <c r="C213" s="160" t="str">
        <f>IFERROR(INDEX($Q$6:$Q$505,MATCH(208,$S$6:$S$505,0)),"")</f>
        <v>Dr. Öğr. Üyesi Gözde ÖZER</v>
      </c>
      <c r="D213" s="161">
        <f>IF(C213="","",COUNTIFS(Başvuru!$C:$C,C213,Başvuru!$A:$A,"&lt;&gt;"&amp;"",Başvuru!$F:$F,"&lt;&gt;"&amp;""))</f>
        <v>1</v>
      </c>
      <c r="E213" s="159" t="str">
        <f>IF(C213="","-",IF(D213&gt;0,TEXT(D213/(COUNTIFS(Başvuru!$A:$A,"&lt;&gt;",Başvuru!$F:$F,"&lt;&gt;")-1)*100,"0.0")&amp;"%","-"))</f>
        <v>00%</v>
      </c>
      <c r="F213" s="162">
        <f>IF(C213="","",COUNTIFS(Başvuru!$C:$C,C213,Başvuru!$G:$G,"Bireysel Araştırma",Başvuru!$A:$A,"&lt;&gt;"&amp;"",Başvuru!$F:$F,"&lt;&gt;"&amp;""))</f>
        <v>1</v>
      </c>
      <c r="G213" s="162">
        <f>IF(C213="","",COUNTIFS(Başvuru!$C:$C,C213,Başvuru!$G:$G,"Uzmanlık Tezi",Başvuru!$A:$A,"&lt;&gt;"&amp;"",Başvuru!$F:$F,"&lt;&gt;"&amp;""))</f>
        <v>0</v>
      </c>
      <c r="H213" s="162">
        <f>IF(C213="","",COUNTIFS(Başvuru!$C:$C,C213,Başvuru!$G:$G,"Doktora Tezi",Başvuru!$A:$A,"&lt;&gt;"&amp;"",Başvuru!$F:$F,"&lt;&gt;"&amp;""))</f>
        <v>0</v>
      </c>
      <c r="I213" s="162">
        <f>IF(C213="","",COUNTIFS(Başvuru!$C:$C,C213,Başvuru!$G:$G,"Yüksek Lisans Tezi",Başvuru!$A:$A,"&lt;&gt;"&amp;"",Başvuru!$F:$F,"&lt;&gt;"&amp;""))</f>
        <v>0</v>
      </c>
      <c r="J213" s="163">
        <f>IF(C213="","",COUNTIFS(Başvuru!$C:$C,C213,Başvuru!$L:$L,"ONAY",Başvuru!$A:$A,"&lt;&gt;"&amp;"",Başvuru!$F:$F,"&lt;&gt;"&amp;""))</f>
        <v>1</v>
      </c>
      <c r="K213" s="164">
        <f>IF(C213="","",COUNTIFS(Başvuru!$C:$C,C213,Başvuru!$L:$L,"DÜZELTME",Başvuru!$A:$A,"&lt;&gt;"&amp;"",Başvuru!$F:$F,"&lt;&gt;"&amp;""))</f>
        <v>0</v>
      </c>
      <c r="L213" s="165">
        <f>IF(C213="","",COUNTIFS(Başvuru!$C:$C,C213,Başvuru!$L:$L,"KAEK",Başvuru!$A:$A,"&lt;&gt;"&amp;"",Başvuru!$F:$F,"&lt;&gt;"&amp;""))</f>
        <v>0</v>
      </c>
      <c r="M213" s="166">
        <f>IF(C213="","",COUNTIFS(Başvuru!$C:$C,C213,Başvuru!$L:$L,"GÖRÜŞ",Başvuru!$A:$A,"&lt;&gt;"&amp;"",Başvuru!$F:$F,"&lt;&gt;"&amp;""))</f>
        <v>0</v>
      </c>
      <c r="N213" s="167">
        <f>IF(C213="","",COUNTIFS(Başvuru!$C:$C,C213,Başvuru!$L:$L,"RET",Başvuru!$A:$A,"&lt;&gt;"&amp;"",Başvuru!$F:$F,"&lt;&gt;"&amp;""))</f>
        <v>0</v>
      </c>
      <c r="O213" s="168">
        <f>IF(C213="","",COUNTIFS(Başvuru!$C:$C,C213,Başvuru!$L:$L,"KAPSAM DIŞI",Başvuru!$A:$A,"&lt;&gt;"&amp;"",Başvuru!$F:$F,"&lt;&gt;"&amp;""))</f>
        <v>0</v>
      </c>
      <c r="P213" s="169">
        <f>IF(C213="","",COUNTIFS(Başvuru!$C:$C,C213,Başvuru!$L:$L,"GERİ ÇEKİLDİ",Başvuru!$A:$A,"&lt;&gt;"&amp;"",Başvuru!$F:$F,"&lt;&gt;"&amp;""))</f>
        <v>0</v>
      </c>
      <c r="Q213" s="170" t="str">
        <f t="array" ref="Q213">IFERROR(INDEX(Başvuru!$C$2:$C$3000, MATCH(0, COUNTIF($Q$5:Q212, Başvuru!$C$2:$C$3000) + IF(Başvuru!$C$2:$C$3000="",1,0), 0)), "")</f>
        <v>Dr. Öğr. Üyesi Evrim ÜNVER</v>
      </c>
      <c r="R213" s="171">
        <f>IF(Q213="","",COUNTIFS(Başvuru!$C:$C,Q213,Başvuru!$A:$A,"&lt;&gt;"&amp;"",Başvuru!$F:$F,"&lt;&gt;"&amp;""))</f>
        <v>1</v>
      </c>
      <c r="S213" s="171">
        <f>IF(R213="","",RANK(R213,$R$6:$R$505,0)+COUNTIF($R$6:R213,R213)-1)</f>
        <v>234</v>
      </c>
    </row>
    <row r="214" spans="2:19" ht="23.25" customHeight="1" x14ac:dyDescent="0.25">
      <c r="B214" s="159">
        <v>209</v>
      </c>
      <c r="C214" s="160" t="str">
        <f>IFERROR(INDEX($Q$6:$Q$505,MATCH(209,$S$6:$S$505,0)),"")</f>
        <v>Prof. Dr. Şehnaz ALP</v>
      </c>
      <c r="D214" s="161">
        <f>IF(C214="","",COUNTIFS(Başvuru!$C:$C,C214,Başvuru!$A:$A,"&lt;&gt;"&amp;"",Başvuru!$F:$F,"&lt;&gt;"&amp;""))</f>
        <v>1</v>
      </c>
      <c r="E214" s="159" t="str">
        <f>IF(C214="","-",IF(D214&gt;0,TEXT(D214/(COUNTIFS(Başvuru!$A:$A,"&lt;&gt;",Başvuru!$F:$F,"&lt;&gt;")-1)*100,"0.0")&amp;"%","-"))</f>
        <v>00%</v>
      </c>
      <c r="F214" s="162">
        <f>IF(C214="","",COUNTIFS(Başvuru!$C:$C,C214,Başvuru!$G:$G,"Bireysel Araştırma",Başvuru!$A:$A,"&lt;&gt;"&amp;"",Başvuru!$F:$F,"&lt;&gt;"&amp;""))</f>
        <v>0</v>
      </c>
      <c r="G214" s="162">
        <f>IF(C214="","",COUNTIFS(Başvuru!$C:$C,C214,Başvuru!$G:$G,"Uzmanlık Tezi",Başvuru!$A:$A,"&lt;&gt;"&amp;"",Başvuru!$F:$F,"&lt;&gt;"&amp;""))</f>
        <v>1</v>
      </c>
      <c r="H214" s="162">
        <f>IF(C214="","",COUNTIFS(Başvuru!$C:$C,C214,Başvuru!$G:$G,"Doktora Tezi",Başvuru!$A:$A,"&lt;&gt;"&amp;"",Başvuru!$F:$F,"&lt;&gt;"&amp;""))</f>
        <v>0</v>
      </c>
      <c r="I214" s="162">
        <f>IF(C214="","",COUNTIFS(Başvuru!$C:$C,C214,Başvuru!$G:$G,"Yüksek Lisans Tezi",Başvuru!$A:$A,"&lt;&gt;"&amp;"",Başvuru!$F:$F,"&lt;&gt;"&amp;""))</f>
        <v>0</v>
      </c>
      <c r="J214" s="163">
        <f>IF(C214="","",COUNTIFS(Başvuru!$C:$C,C214,Başvuru!$L:$L,"ONAY",Başvuru!$A:$A,"&lt;&gt;"&amp;"",Başvuru!$F:$F,"&lt;&gt;"&amp;""))</f>
        <v>1</v>
      </c>
      <c r="K214" s="164">
        <f>IF(C214="","",COUNTIFS(Başvuru!$C:$C,C214,Başvuru!$L:$L,"DÜZELTME",Başvuru!$A:$A,"&lt;&gt;"&amp;"",Başvuru!$F:$F,"&lt;&gt;"&amp;""))</f>
        <v>0</v>
      </c>
      <c r="L214" s="165">
        <f>IF(C214="","",COUNTIFS(Başvuru!$C:$C,C214,Başvuru!$L:$L,"KAEK",Başvuru!$A:$A,"&lt;&gt;"&amp;"",Başvuru!$F:$F,"&lt;&gt;"&amp;""))</f>
        <v>0</v>
      </c>
      <c r="M214" s="166">
        <f>IF(C214="","",COUNTIFS(Başvuru!$C:$C,C214,Başvuru!$L:$L,"GÖRÜŞ",Başvuru!$A:$A,"&lt;&gt;"&amp;"",Başvuru!$F:$F,"&lt;&gt;"&amp;""))</f>
        <v>0</v>
      </c>
      <c r="N214" s="167">
        <f>IF(C214="","",COUNTIFS(Başvuru!$C:$C,C214,Başvuru!$L:$L,"RET",Başvuru!$A:$A,"&lt;&gt;"&amp;"",Başvuru!$F:$F,"&lt;&gt;"&amp;""))</f>
        <v>0</v>
      </c>
      <c r="O214" s="168">
        <f>IF(C214="","",COUNTIFS(Başvuru!$C:$C,C214,Başvuru!$L:$L,"KAPSAM DIŞI",Başvuru!$A:$A,"&lt;&gt;"&amp;"",Başvuru!$F:$F,"&lt;&gt;"&amp;""))</f>
        <v>0</v>
      </c>
      <c r="P214" s="169">
        <f>IF(C214="","",COUNTIFS(Başvuru!$C:$C,C214,Başvuru!$L:$L,"GERİ ÇEKİLDİ",Başvuru!$A:$A,"&lt;&gt;"&amp;"",Başvuru!$F:$F,"&lt;&gt;"&amp;""))</f>
        <v>0</v>
      </c>
      <c r="Q214" s="170" t="str">
        <f t="array" ref="Q214">IFERROR(INDEX(Başvuru!$C$2:$C$3000, MATCH(0, COUNTIF($Q$5:Q213, Başvuru!$C$2:$C$3000) + IF(Başvuru!$C$2:$C$3000="",1,0), 0)), "")</f>
        <v>Doç. Dr. Cem ŞİMŞEK</v>
      </c>
      <c r="R214" s="171">
        <f>IF(Q214="","",COUNTIFS(Başvuru!$C:$C,Q214,Başvuru!$A:$A,"&lt;&gt;"&amp;"",Başvuru!$F:$F,"&lt;&gt;"&amp;""))</f>
        <v>2</v>
      </c>
      <c r="S214" s="171">
        <f>IF(R214="","",RANK(R214,$R$6:$R$505,0)+COUNTIF($R$6:R214,R214)-1)</f>
        <v>129</v>
      </c>
    </row>
    <row r="215" spans="2:19" ht="23.25" customHeight="1" x14ac:dyDescent="0.25">
      <c r="B215" s="159">
        <v>210</v>
      </c>
      <c r="C215" s="160" t="str">
        <f>IFERROR(INDEX($Q$6:$Q$505,MATCH(210,$S$6:$S$505,0)),"")</f>
        <v>Prof. Dr. Bora GÜLHAN</v>
      </c>
      <c r="D215" s="161">
        <f>IF(C215="","",COUNTIFS(Başvuru!$C:$C,C215,Başvuru!$A:$A,"&lt;&gt;"&amp;"",Başvuru!$F:$F,"&lt;&gt;"&amp;""))</f>
        <v>1</v>
      </c>
      <c r="E215" s="159" t="str">
        <f>IF(C215="","-",IF(D215&gt;0,TEXT(D215/(COUNTIFS(Başvuru!$A:$A,"&lt;&gt;",Başvuru!$F:$F,"&lt;&gt;")-1)*100,"0.0")&amp;"%","-"))</f>
        <v>00%</v>
      </c>
      <c r="F215" s="162">
        <f>IF(C215="","",COUNTIFS(Başvuru!$C:$C,C215,Başvuru!$G:$G,"Bireysel Araştırma",Başvuru!$A:$A,"&lt;&gt;"&amp;"",Başvuru!$F:$F,"&lt;&gt;"&amp;""))</f>
        <v>0</v>
      </c>
      <c r="G215" s="162">
        <f>IF(C215="","",COUNTIFS(Başvuru!$C:$C,C215,Başvuru!$G:$G,"Uzmanlık Tezi",Başvuru!$A:$A,"&lt;&gt;"&amp;"",Başvuru!$F:$F,"&lt;&gt;"&amp;""))</f>
        <v>1</v>
      </c>
      <c r="H215" s="162">
        <f>IF(C215="","",COUNTIFS(Başvuru!$C:$C,C215,Başvuru!$G:$G,"Doktora Tezi",Başvuru!$A:$A,"&lt;&gt;"&amp;"",Başvuru!$F:$F,"&lt;&gt;"&amp;""))</f>
        <v>0</v>
      </c>
      <c r="I215" s="162">
        <f>IF(C215="","",COUNTIFS(Başvuru!$C:$C,C215,Başvuru!$G:$G,"Yüksek Lisans Tezi",Başvuru!$A:$A,"&lt;&gt;"&amp;"",Başvuru!$F:$F,"&lt;&gt;"&amp;""))</f>
        <v>0</v>
      </c>
      <c r="J215" s="163">
        <f>IF(C215="","",COUNTIFS(Başvuru!$C:$C,C215,Başvuru!$L:$L,"ONAY",Başvuru!$A:$A,"&lt;&gt;"&amp;"",Başvuru!$F:$F,"&lt;&gt;"&amp;""))</f>
        <v>1</v>
      </c>
      <c r="K215" s="164">
        <f>IF(C215="","",COUNTIFS(Başvuru!$C:$C,C215,Başvuru!$L:$L,"DÜZELTME",Başvuru!$A:$A,"&lt;&gt;"&amp;"",Başvuru!$F:$F,"&lt;&gt;"&amp;""))</f>
        <v>0</v>
      </c>
      <c r="L215" s="165">
        <f>IF(C215="","",COUNTIFS(Başvuru!$C:$C,C215,Başvuru!$L:$L,"KAEK",Başvuru!$A:$A,"&lt;&gt;"&amp;"",Başvuru!$F:$F,"&lt;&gt;"&amp;""))</f>
        <v>0</v>
      </c>
      <c r="M215" s="166">
        <f>IF(C215="","",COUNTIFS(Başvuru!$C:$C,C215,Başvuru!$L:$L,"GÖRÜŞ",Başvuru!$A:$A,"&lt;&gt;"&amp;"",Başvuru!$F:$F,"&lt;&gt;"&amp;""))</f>
        <v>0</v>
      </c>
      <c r="N215" s="167">
        <f>IF(C215="","",COUNTIFS(Başvuru!$C:$C,C215,Başvuru!$L:$L,"RET",Başvuru!$A:$A,"&lt;&gt;"&amp;"",Başvuru!$F:$F,"&lt;&gt;"&amp;""))</f>
        <v>0</v>
      </c>
      <c r="O215" s="168">
        <f>IF(C215="","",COUNTIFS(Başvuru!$C:$C,C215,Başvuru!$L:$L,"KAPSAM DIŞI",Başvuru!$A:$A,"&lt;&gt;"&amp;"",Başvuru!$F:$F,"&lt;&gt;"&amp;""))</f>
        <v>0</v>
      </c>
      <c r="P215" s="169">
        <f>IF(C215="","",COUNTIFS(Başvuru!$C:$C,C215,Başvuru!$L:$L,"GERİ ÇEKİLDİ",Başvuru!$A:$A,"&lt;&gt;"&amp;"",Başvuru!$F:$F,"&lt;&gt;"&amp;""))</f>
        <v>0</v>
      </c>
      <c r="Q215" s="170" t="str">
        <f t="array" ref="Q215">IFERROR(INDEX(Başvuru!$C$2:$C$3000, MATCH(0, COUNTIF($Q$5:Q214, Başvuru!$C$2:$C$3000) + IF(Başvuru!$C$2:$C$3000="",1,0), 0)), "")</f>
        <v>Doç. Dr. Özlem DİKMETAŞ SANDIKÇI</v>
      </c>
      <c r="R215" s="171">
        <f>IF(Q215="","",COUNTIFS(Başvuru!$C:$C,Q215,Başvuru!$A:$A,"&lt;&gt;"&amp;"",Başvuru!$F:$F,"&lt;&gt;"&amp;""))</f>
        <v>1</v>
      </c>
      <c r="S215" s="171">
        <f>IF(R215="","",RANK(R215,$R$6:$R$505,0)+COUNTIF($R$6:R215,R215)-1)</f>
        <v>235</v>
      </c>
    </row>
    <row r="216" spans="2:19" ht="23.25" customHeight="1" x14ac:dyDescent="0.25">
      <c r="B216" s="159">
        <v>211</v>
      </c>
      <c r="C216" s="160" t="str">
        <f>IFERROR(INDEX($Q$6:$Q$505,MATCH(211,$S$6:$S$505,0)),"")</f>
        <v>Doç. Dr. Sevtap ARSLAN SARIKAYA</v>
      </c>
      <c r="D216" s="161">
        <f>IF(C216="","",COUNTIFS(Başvuru!$C:$C,C216,Başvuru!$A:$A,"&lt;&gt;"&amp;"",Başvuru!$F:$F,"&lt;&gt;"&amp;""))</f>
        <v>1</v>
      </c>
      <c r="E216" s="159" t="str">
        <f>IF(C216="","-",IF(D216&gt;0,TEXT(D216/(COUNTIFS(Başvuru!$A:$A,"&lt;&gt;",Başvuru!$F:$F,"&lt;&gt;")-1)*100,"0.0")&amp;"%","-"))</f>
        <v>00%</v>
      </c>
      <c r="F216" s="162">
        <f>IF(C216="","",COUNTIFS(Başvuru!$C:$C,C216,Başvuru!$G:$G,"Bireysel Araştırma",Başvuru!$A:$A,"&lt;&gt;"&amp;"",Başvuru!$F:$F,"&lt;&gt;"&amp;""))</f>
        <v>0</v>
      </c>
      <c r="G216" s="162">
        <f>IF(C216="","",COUNTIFS(Başvuru!$C:$C,C216,Başvuru!$G:$G,"Uzmanlık Tezi",Başvuru!$A:$A,"&lt;&gt;"&amp;"",Başvuru!$F:$F,"&lt;&gt;"&amp;""))</f>
        <v>1</v>
      </c>
      <c r="H216" s="162">
        <f>IF(C216="","",COUNTIFS(Başvuru!$C:$C,C216,Başvuru!$G:$G,"Doktora Tezi",Başvuru!$A:$A,"&lt;&gt;"&amp;"",Başvuru!$F:$F,"&lt;&gt;"&amp;""))</f>
        <v>0</v>
      </c>
      <c r="I216" s="162">
        <f>IF(C216="","",COUNTIFS(Başvuru!$C:$C,C216,Başvuru!$G:$G,"Yüksek Lisans Tezi",Başvuru!$A:$A,"&lt;&gt;"&amp;"",Başvuru!$F:$F,"&lt;&gt;"&amp;""))</f>
        <v>0</v>
      </c>
      <c r="J216" s="163">
        <f>IF(C216="","",COUNTIFS(Başvuru!$C:$C,C216,Başvuru!$L:$L,"ONAY",Başvuru!$A:$A,"&lt;&gt;"&amp;"",Başvuru!$F:$F,"&lt;&gt;"&amp;""))</f>
        <v>1</v>
      </c>
      <c r="K216" s="164">
        <f>IF(C216="","",COUNTIFS(Başvuru!$C:$C,C216,Başvuru!$L:$L,"DÜZELTME",Başvuru!$A:$A,"&lt;&gt;"&amp;"",Başvuru!$F:$F,"&lt;&gt;"&amp;""))</f>
        <v>0</v>
      </c>
      <c r="L216" s="165">
        <f>IF(C216="","",COUNTIFS(Başvuru!$C:$C,C216,Başvuru!$L:$L,"KAEK",Başvuru!$A:$A,"&lt;&gt;"&amp;"",Başvuru!$F:$F,"&lt;&gt;"&amp;""))</f>
        <v>0</v>
      </c>
      <c r="M216" s="166">
        <f>IF(C216="","",COUNTIFS(Başvuru!$C:$C,C216,Başvuru!$L:$L,"GÖRÜŞ",Başvuru!$A:$A,"&lt;&gt;"&amp;"",Başvuru!$F:$F,"&lt;&gt;"&amp;""))</f>
        <v>0</v>
      </c>
      <c r="N216" s="167">
        <f>IF(C216="","",COUNTIFS(Başvuru!$C:$C,C216,Başvuru!$L:$L,"RET",Başvuru!$A:$A,"&lt;&gt;"&amp;"",Başvuru!$F:$F,"&lt;&gt;"&amp;""))</f>
        <v>0</v>
      </c>
      <c r="O216" s="168">
        <f>IF(C216="","",COUNTIFS(Başvuru!$C:$C,C216,Başvuru!$L:$L,"KAPSAM DIŞI",Başvuru!$A:$A,"&lt;&gt;"&amp;"",Başvuru!$F:$F,"&lt;&gt;"&amp;""))</f>
        <v>0</v>
      </c>
      <c r="P216" s="169">
        <f>IF(C216="","",COUNTIFS(Başvuru!$C:$C,C216,Başvuru!$L:$L,"GERİ ÇEKİLDİ",Başvuru!$A:$A,"&lt;&gt;"&amp;"",Başvuru!$F:$F,"&lt;&gt;"&amp;""))</f>
        <v>0</v>
      </c>
      <c r="Q216" s="170" t="str">
        <f t="array" ref="Q216">IFERROR(INDEX(Başvuru!$C$2:$C$3000, MATCH(0, COUNTIF($Q$5:Q215, Başvuru!$C$2:$C$3000) + IF(Başvuru!$C$2:$C$3000="",1,0), 0)), "")</f>
        <v>Prof. Dr. Hakan UZUN</v>
      </c>
      <c r="R216" s="171">
        <f>IF(Q216="","",COUNTIFS(Başvuru!$C:$C,Q216,Başvuru!$A:$A,"&lt;&gt;"&amp;"",Başvuru!$F:$F,"&lt;&gt;"&amp;""))</f>
        <v>2</v>
      </c>
      <c r="S216" s="171">
        <f>IF(R216="","",RANK(R216,$R$6:$R$505,0)+COUNTIF($R$6:R216,R216)-1)</f>
        <v>130</v>
      </c>
    </row>
    <row r="217" spans="2:19" ht="23.25" customHeight="1" x14ac:dyDescent="0.25">
      <c r="B217" s="159">
        <v>212</v>
      </c>
      <c r="C217" s="160" t="str">
        <f>IFERROR(INDEX($Q$6:$Q$505,MATCH(212,$S$6:$S$505,0)),"")</f>
        <v>Doç. Dr. Zeynep TÜZÜN GÜN</v>
      </c>
      <c r="D217" s="161">
        <f>IF(C217="","",COUNTIFS(Başvuru!$C:$C,C217,Başvuru!$A:$A,"&lt;&gt;"&amp;"",Başvuru!$F:$F,"&lt;&gt;"&amp;""))</f>
        <v>1</v>
      </c>
      <c r="E217" s="159" t="str">
        <f>IF(C217="","-",IF(D217&gt;0,TEXT(D217/(COUNTIFS(Başvuru!$A:$A,"&lt;&gt;",Başvuru!$F:$F,"&lt;&gt;")-1)*100,"0.0")&amp;"%","-"))</f>
        <v>00%</v>
      </c>
      <c r="F217" s="162">
        <f>IF(C217="","",COUNTIFS(Başvuru!$C:$C,C217,Başvuru!$G:$G,"Bireysel Araştırma",Başvuru!$A:$A,"&lt;&gt;"&amp;"",Başvuru!$F:$F,"&lt;&gt;"&amp;""))</f>
        <v>1</v>
      </c>
      <c r="G217" s="162">
        <f>IF(C217="","",COUNTIFS(Başvuru!$C:$C,C217,Başvuru!$G:$G,"Uzmanlık Tezi",Başvuru!$A:$A,"&lt;&gt;"&amp;"",Başvuru!$F:$F,"&lt;&gt;"&amp;""))</f>
        <v>0</v>
      </c>
      <c r="H217" s="162">
        <f>IF(C217="","",COUNTIFS(Başvuru!$C:$C,C217,Başvuru!$G:$G,"Doktora Tezi",Başvuru!$A:$A,"&lt;&gt;"&amp;"",Başvuru!$F:$F,"&lt;&gt;"&amp;""))</f>
        <v>0</v>
      </c>
      <c r="I217" s="162">
        <f>IF(C217="","",COUNTIFS(Başvuru!$C:$C,C217,Başvuru!$G:$G,"Yüksek Lisans Tezi",Başvuru!$A:$A,"&lt;&gt;"&amp;"",Başvuru!$F:$F,"&lt;&gt;"&amp;""))</f>
        <v>0</v>
      </c>
      <c r="J217" s="163">
        <f>IF(C217="","",COUNTIFS(Başvuru!$C:$C,C217,Başvuru!$L:$L,"ONAY",Başvuru!$A:$A,"&lt;&gt;"&amp;"",Başvuru!$F:$F,"&lt;&gt;"&amp;""))</f>
        <v>0</v>
      </c>
      <c r="K217" s="164">
        <f>IF(C217="","",COUNTIFS(Başvuru!$C:$C,C217,Başvuru!$L:$L,"DÜZELTME",Başvuru!$A:$A,"&lt;&gt;"&amp;"",Başvuru!$F:$F,"&lt;&gt;"&amp;""))</f>
        <v>1</v>
      </c>
      <c r="L217" s="165">
        <f>IF(C217="","",COUNTIFS(Başvuru!$C:$C,C217,Başvuru!$L:$L,"KAEK",Başvuru!$A:$A,"&lt;&gt;"&amp;"",Başvuru!$F:$F,"&lt;&gt;"&amp;""))</f>
        <v>0</v>
      </c>
      <c r="M217" s="166">
        <f>IF(C217="","",COUNTIFS(Başvuru!$C:$C,C217,Başvuru!$L:$L,"GÖRÜŞ",Başvuru!$A:$A,"&lt;&gt;"&amp;"",Başvuru!$F:$F,"&lt;&gt;"&amp;""))</f>
        <v>0</v>
      </c>
      <c r="N217" s="167">
        <f>IF(C217="","",COUNTIFS(Başvuru!$C:$C,C217,Başvuru!$L:$L,"RET",Başvuru!$A:$A,"&lt;&gt;"&amp;"",Başvuru!$F:$F,"&lt;&gt;"&amp;""))</f>
        <v>0</v>
      </c>
      <c r="O217" s="168">
        <f>IF(C217="","",COUNTIFS(Başvuru!$C:$C,C217,Başvuru!$L:$L,"KAPSAM DIŞI",Başvuru!$A:$A,"&lt;&gt;"&amp;"",Başvuru!$F:$F,"&lt;&gt;"&amp;""))</f>
        <v>0</v>
      </c>
      <c r="P217" s="169">
        <f>IF(C217="","",COUNTIFS(Başvuru!$C:$C,C217,Başvuru!$L:$L,"GERİ ÇEKİLDİ",Başvuru!$A:$A,"&lt;&gt;"&amp;"",Başvuru!$F:$F,"&lt;&gt;"&amp;""))</f>
        <v>0</v>
      </c>
      <c r="Q217" s="170" t="str">
        <f t="array" ref="Q217">IFERROR(INDEX(Başvuru!$C$2:$C$3000, MATCH(0, COUNTIF($Q$5:Q216, Başvuru!$C$2:$C$3000) + IF(Başvuru!$C$2:$C$3000="",1,0), 0)), "")</f>
        <v>Prof. Dr. Gülten GÜVENÇ
Doç. Dr. Gölşah KÖK</v>
      </c>
      <c r="R217" s="171">
        <f>IF(Q217="","",COUNTIFS(Başvuru!$C:$C,Q217,Başvuru!$A:$A,"&lt;&gt;"&amp;"",Başvuru!$F:$F,"&lt;&gt;"&amp;""))</f>
        <v>1</v>
      </c>
      <c r="S217" s="171">
        <f>IF(R217="","",RANK(R217,$R$6:$R$505,0)+COUNTIF($R$6:R217,R217)-1)</f>
        <v>236</v>
      </c>
    </row>
    <row r="218" spans="2:19" ht="23.25" customHeight="1" x14ac:dyDescent="0.25">
      <c r="B218" s="159">
        <v>213</v>
      </c>
      <c r="C218" s="160" t="str">
        <f>IFERROR(INDEX($Q$6:$Q$505,MATCH(213,$S$6:$S$505,0)),"")</f>
        <v>Doç. Dr. Kevser NALBANT</v>
      </c>
      <c r="D218" s="161">
        <f>IF(C218="","",COUNTIFS(Başvuru!$C:$C,C218,Başvuru!$A:$A,"&lt;&gt;"&amp;"",Başvuru!$F:$F,"&lt;&gt;"&amp;""))</f>
        <v>1</v>
      </c>
      <c r="E218" s="159" t="str">
        <f>IF(C218="","-",IF(D218&gt;0,TEXT(D218/(COUNTIFS(Başvuru!$A:$A,"&lt;&gt;",Başvuru!$F:$F,"&lt;&gt;")-1)*100,"0.0")&amp;"%","-"))</f>
        <v>00%</v>
      </c>
      <c r="F218" s="162">
        <f>IF(C218="","",COUNTIFS(Başvuru!$C:$C,C218,Başvuru!$G:$G,"Bireysel Araştırma",Başvuru!$A:$A,"&lt;&gt;"&amp;"",Başvuru!$F:$F,"&lt;&gt;"&amp;""))</f>
        <v>1</v>
      </c>
      <c r="G218" s="162">
        <f>IF(C218="","",COUNTIFS(Başvuru!$C:$C,C218,Başvuru!$G:$G,"Uzmanlık Tezi",Başvuru!$A:$A,"&lt;&gt;"&amp;"",Başvuru!$F:$F,"&lt;&gt;"&amp;""))</f>
        <v>0</v>
      </c>
      <c r="H218" s="162">
        <f>IF(C218="","",COUNTIFS(Başvuru!$C:$C,C218,Başvuru!$G:$G,"Doktora Tezi",Başvuru!$A:$A,"&lt;&gt;"&amp;"",Başvuru!$F:$F,"&lt;&gt;"&amp;""))</f>
        <v>0</v>
      </c>
      <c r="I218" s="162">
        <f>IF(C218="","",COUNTIFS(Başvuru!$C:$C,C218,Başvuru!$G:$G,"Yüksek Lisans Tezi",Başvuru!$A:$A,"&lt;&gt;"&amp;"",Başvuru!$F:$F,"&lt;&gt;"&amp;""))</f>
        <v>0</v>
      </c>
      <c r="J218" s="163">
        <f>IF(C218="","",COUNTIFS(Başvuru!$C:$C,C218,Başvuru!$L:$L,"ONAY",Başvuru!$A:$A,"&lt;&gt;"&amp;"",Başvuru!$F:$F,"&lt;&gt;"&amp;""))</f>
        <v>0</v>
      </c>
      <c r="K218" s="164">
        <f>IF(C218="","",COUNTIFS(Başvuru!$C:$C,C218,Başvuru!$L:$L,"DÜZELTME",Başvuru!$A:$A,"&lt;&gt;"&amp;"",Başvuru!$F:$F,"&lt;&gt;"&amp;""))</f>
        <v>1</v>
      </c>
      <c r="L218" s="165">
        <f>IF(C218="","",COUNTIFS(Başvuru!$C:$C,C218,Başvuru!$L:$L,"KAEK",Başvuru!$A:$A,"&lt;&gt;"&amp;"",Başvuru!$F:$F,"&lt;&gt;"&amp;""))</f>
        <v>0</v>
      </c>
      <c r="M218" s="166">
        <f>IF(C218="","",COUNTIFS(Başvuru!$C:$C,C218,Başvuru!$L:$L,"GÖRÜŞ",Başvuru!$A:$A,"&lt;&gt;"&amp;"",Başvuru!$F:$F,"&lt;&gt;"&amp;""))</f>
        <v>0</v>
      </c>
      <c r="N218" s="167">
        <f>IF(C218="","",COUNTIFS(Başvuru!$C:$C,C218,Başvuru!$L:$L,"RET",Başvuru!$A:$A,"&lt;&gt;"&amp;"",Başvuru!$F:$F,"&lt;&gt;"&amp;""))</f>
        <v>0</v>
      </c>
      <c r="O218" s="168">
        <f>IF(C218="","",COUNTIFS(Başvuru!$C:$C,C218,Başvuru!$L:$L,"KAPSAM DIŞI",Başvuru!$A:$A,"&lt;&gt;"&amp;"",Başvuru!$F:$F,"&lt;&gt;"&amp;""))</f>
        <v>0</v>
      </c>
      <c r="P218" s="169">
        <f>IF(C218="","",COUNTIFS(Başvuru!$C:$C,C218,Başvuru!$L:$L,"GERİ ÇEKİLDİ",Başvuru!$A:$A,"&lt;&gt;"&amp;"",Başvuru!$F:$F,"&lt;&gt;"&amp;""))</f>
        <v>0</v>
      </c>
      <c r="Q218" s="170" t="str">
        <f t="array" ref="Q218">IFERROR(INDEX(Başvuru!$C$2:$C$3000, MATCH(0, COUNTIF($Q$5:Q217, Başvuru!$C$2:$C$3000) + IF(Başvuru!$C$2:$C$3000="",1,0), 0)), "")</f>
        <v>Prof. Dr. Ebru AYPAR</v>
      </c>
      <c r="R218" s="171">
        <f>IF(Q218="","",COUNTIFS(Başvuru!$C:$C,Q218,Başvuru!$A:$A,"&lt;&gt;"&amp;"",Başvuru!$F:$F,"&lt;&gt;"&amp;""))</f>
        <v>1</v>
      </c>
      <c r="S218" s="171">
        <f>IF(R218="","",RANK(R218,$R$6:$R$505,0)+COUNTIF($R$6:R218,R218)-1)</f>
        <v>237</v>
      </c>
    </row>
    <row r="219" spans="2:19" ht="23.25" customHeight="1" x14ac:dyDescent="0.25">
      <c r="B219" s="159">
        <v>214</v>
      </c>
      <c r="C219" s="160" t="str">
        <f>IFERROR(INDEX($Q$6:$Q$505,MATCH(214,$S$6:$S$505,0)),"")</f>
        <v>Öğr. Gör. Dr. Esin ALPDÜNDAR BULUT</v>
      </c>
      <c r="D219" s="161">
        <f>IF(C219="","",COUNTIFS(Başvuru!$C:$C,C219,Başvuru!$A:$A,"&lt;&gt;"&amp;"",Başvuru!$F:$F,"&lt;&gt;"&amp;""))</f>
        <v>1</v>
      </c>
      <c r="E219" s="159" t="str">
        <f>IF(C219="","-",IF(D219&gt;0,TEXT(D219/(COUNTIFS(Başvuru!$A:$A,"&lt;&gt;",Başvuru!$F:$F,"&lt;&gt;")-1)*100,"0.0")&amp;"%","-"))</f>
        <v>00%</v>
      </c>
      <c r="F219" s="162">
        <f>IF(C219="","",COUNTIFS(Başvuru!$C:$C,C219,Başvuru!$G:$G,"Bireysel Araştırma",Başvuru!$A:$A,"&lt;&gt;"&amp;"",Başvuru!$F:$F,"&lt;&gt;"&amp;""))</f>
        <v>1</v>
      </c>
      <c r="G219" s="162">
        <f>IF(C219="","",COUNTIFS(Başvuru!$C:$C,C219,Başvuru!$G:$G,"Uzmanlık Tezi",Başvuru!$A:$A,"&lt;&gt;"&amp;"",Başvuru!$F:$F,"&lt;&gt;"&amp;""))</f>
        <v>0</v>
      </c>
      <c r="H219" s="162">
        <f>IF(C219="","",COUNTIFS(Başvuru!$C:$C,C219,Başvuru!$G:$G,"Doktora Tezi",Başvuru!$A:$A,"&lt;&gt;"&amp;"",Başvuru!$F:$F,"&lt;&gt;"&amp;""))</f>
        <v>0</v>
      </c>
      <c r="I219" s="162">
        <f>IF(C219="","",COUNTIFS(Başvuru!$C:$C,C219,Başvuru!$G:$G,"Yüksek Lisans Tezi",Başvuru!$A:$A,"&lt;&gt;"&amp;"",Başvuru!$F:$F,"&lt;&gt;"&amp;""))</f>
        <v>0</v>
      </c>
      <c r="J219" s="163">
        <f>IF(C219="","",COUNTIFS(Başvuru!$C:$C,C219,Başvuru!$L:$L,"ONAY",Başvuru!$A:$A,"&lt;&gt;"&amp;"",Başvuru!$F:$F,"&lt;&gt;"&amp;""))</f>
        <v>0</v>
      </c>
      <c r="K219" s="164">
        <f>IF(C219="","",COUNTIFS(Başvuru!$C:$C,C219,Başvuru!$L:$L,"DÜZELTME",Başvuru!$A:$A,"&lt;&gt;"&amp;"",Başvuru!$F:$F,"&lt;&gt;"&amp;""))</f>
        <v>1</v>
      </c>
      <c r="L219" s="165">
        <f>IF(C219="","",COUNTIFS(Başvuru!$C:$C,C219,Başvuru!$L:$L,"KAEK",Başvuru!$A:$A,"&lt;&gt;"&amp;"",Başvuru!$F:$F,"&lt;&gt;"&amp;""))</f>
        <v>0</v>
      </c>
      <c r="M219" s="166">
        <f>IF(C219="","",COUNTIFS(Başvuru!$C:$C,C219,Başvuru!$L:$L,"GÖRÜŞ",Başvuru!$A:$A,"&lt;&gt;"&amp;"",Başvuru!$F:$F,"&lt;&gt;"&amp;""))</f>
        <v>0</v>
      </c>
      <c r="N219" s="167">
        <f>IF(C219="","",COUNTIFS(Başvuru!$C:$C,C219,Başvuru!$L:$L,"RET",Başvuru!$A:$A,"&lt;&gt;"&amp;"",Başvuru!$F:$F,"&lt;&gt;"&amp;""))</f>
        <v>0</v>
      </c>
      <c r="O219" s="168">
        <f>IF(C219="","",COUNTIFS(Başvuru!$C:$C,C219,Başvuru!$L:$L,"KAPSAM DIŞI",Başvuru!$A:$A,"&lt;&gt;"&amp;"",Başvuru!$F:$F,"&lt;&gt;"&amp;""))</f>
        <v>0</v>
      </c>
      <c r="P219" s="169">
        <f>IF(C219="","",COUNTIFS(Başvuru!$C:$C,C219,Başvuru!$L:$L,"GERİ ÇEKİLDİ",Başvuru!$A:$A,"&lt;&gt;"&amp;"",Başvuru!$F:$F,"&lt;&gt;"&amp;""))</f>
        <v>0</v>
      </c>
      <c r="Q219" s="170" t="str">
        <f t="array" ref="Q219">IFERROR(INDEX(Başvuru!$C$2:$C$3000, MATCH(0, COUNTIF($Q$5:Q218, Başvuru!$C$2:$C$3000) + IF(Başvuru!$C$2:$C$3000="",1,0), 0)), "")</f>
        <v>Prof. Dr. Umut KALYONCU</v>
      </c>
      <c r="R219" s="171">
        <f>IF(Q219="","",COUNTIFS(Başvuru!$C:$C,Q219,Başvuru!$A:$A,"&lt;&gt;"&amp;"",Başvuru!$F:$F,"&lt;&gt;"&amp;""))</f>
        <v>5</v>
      </c>
      <c r="S219" s="171">
        <f>IF(R219="","",RANK(R219,$R$6:$R$505,0)+COUNTIF($R$6:R219,R219)-1)</f>
        <v>29</v>
      </c>
    </row>
    <row r="220" spans="2:19" ht="23.25" customHeight="1" x14ac:dyDescent="0.25">
      <c r="B220" s="159">
        <v>215</v>
      </c>
      <c r="C220" s="160" t="str">
        <f>IFERROR(INDEX($Q$6:$Q$505,MATCH(215,$S$6:$S$505,0)),"")</f>
        <v>Doç. Dr. Başak AKÇA</v>
      </c>
      <c r="D220" s="161">
        <f>IF(C220="","",COUNTIFS(Başvuru!$C:$C,C220,Başvuru!$A:$A,"&lt;&gt;"&amp;"",Başvuru!$F:$F,"&lt;&gt;"&amp;""))</f>
        <v>1</v>
      </c>
      <c r="E220" s="159" t="str">
        <f>IF(C220="","-",IF(D220&gt;0,TEXT(D220/(COUNTIFS(Başvuru!$A:$A,"&lt;&gt;",Başvuru!$F:$F,"&lt;&gt;")-1)*100,"0.0")&amp;"%","-"))</f>
        <v>00%</v>
      </c>
      <c r="F220" s="162">
        <f>IF(C220="","",COUNTIFS(Başvuru!$C:$C,C220,Başvuru!$G:$G,"Bireysel Araştırma",Başvuru!$A:$A,"&lt;&gt;"&amp;"",Başvuru!$F:$F,"&lt;&gt;"&amp;""))</f>
        <v>0</v>
      </c>
      <c r="G220" s="162">
        <f>IF(C220="","",COUNTIFS(Başvuru!$C:$C,C220,Başvuru!$G:$G,"Uzmanlık Tezi",Başvuru!$A:$A,"&lt;&gt;"&amp;"",Başvuru!$F:$F,"&lt;&gt;"&amp;""))</f>
        <v>1</v>
      </c>
      <c r="H220" s="162">
        <f>IF(C220="","",COUNTIFS(Başvuru!$C:$C,C220,Başvuru!$G:$G,"Doktora Tezi",Başvuru!$A:$A,"&lt;&gt;"&amp;"",Başvuru!$F:$F,"&lt;&gt;"&amp;""))</f>
        <v>0</v>
      </c>
      <c r="I220" s="162">
        <f>IF(C220="","",COUNTIFS(Başvuru!$C:$C,C220,Başvuru!$G:$G,"Yüksek Lisans Tezi",Başvuru!$A:$A,"&lt;&gt;"&amp;"",Başvuru!$F:$F,"&lt;&gt;"&amp;""))</f>
        <v>0</v>
      </c>
      <c r="J220" s="163">
        <f>IF(C220="","",COUNTIFS(Başvuru!$C:$C,C220,Başvuru!$L:$L,"ONAY",Başvuru!$A:$A,"&lt;&gt;"&amp;"",Başvuru!$F:$F,"&lt;&gt;"&amp;""))</f>
        <v>0</v>
      </c>
      <c r="K220" s="164">
        <f>IF(C220="","",COUNTIFS(Başvuru!$C:$C,C220,Başvuru!$L:$L,"DÜZELTME",Başvuru!$A:$A,"&lt;&gt;"&amp;"",Başvuru!$F:$F,"&lt;&gt;"&amp;""))</f>
        <v>0</v>
      </c>
      <c r="L220" s="165">
        <f>IF(C220="","",COUNTIFS(Başvuru!$C:$C,C220,Başvuru!$L:$L,"KAEK",Başvuru!$A:$A,"&lt;&gt;"&amp;"",Başvuru!$F:$F,"&lt;&gt;"&amp;""))</f>
        <v>0</v>
      </c>
      <c r="M220" s="166">
        <f>IF(C220="","",COUNTIFS(Başvuru!$C:$C,C220,Başvuru!$L:$L,"GÖRÜŞ",Başvuru!$A:$A,"&lt;&gt;"&amp;"",Başvuru!$F:$F,"&lt;&gt;"&amp;""))</f>
        <v>1</v>
      </c>
      <c r="N220" s="167">
        <f>IF(C220="","",COUNTIFS(Başvuru!$C:$C,C220,Başvuru!$L:$L,"RET",Başvuru!$A:$A,"&lt;&gt;"&amp;"",Başvuru!$F:$F,"&lt;&gt;"&amp;""))</f>
        <v>0</v>
      </c>
      <c r="O220" s="168">
        <f>IF(C220="","",COUNTIFS(Başvuru!$C:$C,C220,Başvuru!$L:$L,"KAPSAM DIŞI",Başvuru!$A:$A,"&lt;&gt;"&amp;"",Başvuru!$F:$F,"&lt;&gt;"&amp;""))</f>
        <v>0</v>
      </c>
      <c r="P220" s="169">
        <f>IF(C220="","",COUNTIFS(Başvuru!$C:$C,C220,Başvuru!$L:$L,"GERİ ÇEKİLDİ",Başvuru!$A:$A,"&lt;&gt;"&amp;"",Başvuru!$F:$F,"&lt;&gt;"&amp;""))</f>
        <v>0</v>
      </c>
      <c r="Q220" s="170" t="str">
        <f t="array" ref="Q220">IFERROR(INDEX(Başvuru!$C$2:$C$3000, MATCH(0, COUNTIF($Q$5:Q219, Başvuru!$C$2:$C$3000) + IF(Başvuru!$C$2:$C$3000="",1,0), 0)), "")</f>
        <v>Prof. Dr. Erdem KARABULUT</v>
      </c>
      <c r="R220" s="171">
        <f>IF(Q220="","",COUNTIFS(Başvuru!$C:$C,Q220,Başvuru!$A:$A,"&lt;&gt;"&amp;"",Başvuru!$F:$F,"&lt;&gt;"&amp;""))</f>
        <v>1</v>
      </c>
      <c r="S220" s="171">
        <f>IF(R220="","",RANK(R220,$R$6:$R$505,0)+COUNTIF($R$6:R220,R220)-1)</f>
        <v>238</v>
      </c>
    </row>
    <row r="221" spans="2:19" ht="23.25" customHeight="1" x14ac:dyDescent="0.25">
      <c r="B221" s="159">
        <v>216</v>
      </c>
      <c r="C221" s="160" t="str">
        <f>IFERROR(INDEX($Q$6:$Q$505,MATCH(216,$S$6:$S$505,0)),"")</f>
        <v>Prof. Dr. Mehmet Cemalettin AKSOY</v>
      </c>
      <c r="D221" s="161">
        <f>IF(C221="","",COUNTIFS(Başvuru!$C:$C,C221,Başvuru!$A:$A,"&lt;&gt;"&amp;"",Başvuru!$F:$F,"&lt;&gt;"&amp;""))</f>
        <v>1</v>
      </c>
      <c r="E221" s="159" t="str">
        <f>IF(C221="","-",IF(D221&gt;0,TEXT(D221/(COUNTIFS(Başvuru!$A:$A,"&lt;&gt;",Başvuru!$F:$F,"&lt;&gt;")-1)*100,"0.0")&amp;"%","-"))</f>
        <v>00%</v>
      </c>
      <c r="F221" s="162">
        <f>IF(C221="","",COUNTIFS(Başvuru!$C:$C,C221,Başvuru!$G:$G,"Bireysel Araştırma",Başvuru!$A:$A,"&lt;&gt;"&amp;"",Başvuru!$F:$F,"&lt;&gt;"&amp;""))</f>
        <v>1</v>
      </c>
      <c r="G221" s="162">
        <f>IF(C221="","",COUNTIFS(Başvuru!$C:$C,C221,Başvuru!$G:$G,"Uzmanlık Tezi",Başvuru!$A:$A,"&lt;&gt;"&amp;"",Başvuru!$F:$F,"&lt;&gt;"&amp;""))</f>
        <v>0</v>
      </c>
      <c r="H221" s="162">
        <f>IF(C221="","",COUNTIFS(Başvuru!$C:$C,C221,Başvuru!$G:$G,"Doktora Tezi",Başvuru!$A:$A,"&lt;&gt;"&amp;"",Başvuru!$F:$F,"&lt;&gt;"&amp;""))</f>
        <v>0</v>
      </c>
      <c r="I221" s="162">
        <f>IF(C221="","",COUNTIFS(Başvuru!$C:$C,C221,Başvuru!$G:$G,"Yüksek Lisans Tezi",Başvuru!$A:$A,"&lt;&gt;"&amp;"",Başvuru!$F:$F,"&lt;&gt;"&amp;""))</f>
        <v>0</v>
      </c>
      <c r="J221" s="163">
        <f>IF(C221="","",COUNTIFS(Başvuru!$C:$C,C221,Başvuru!$L:$L,"ONAY",Başvuru!$A:$A,"&lt;&gt;"&amp;"",Başvuru!$F:$F,"&lt;&gt;"&amp;""))</f>
        <v>0</v>
      </c>
      <c r="K221" s="164">
        <f>IF(C221="","",COUNTIFS(Başvuru!$C:$C,C221,Başvuru!$L:$L,"DÜZELTME",Başvuru!$A:$A,"&lt;&gt;"&amp;"",Başvuru!$F:$F,"&lt;&gt;"&amp;""))</f>
        <v>1</v>
      </c>
      <c r="L221" s="165">
        <f>IF(C221="","",COUNTIFS(Başvuru!$C:$C,C221,Başvuru!$L:$L,"KAEK",Başvuru!$A:$A,"&lt;&gt;"&amp;"",Başvuru!$F:$F,"&lt;&gt;"&amp;""))</f>
        <v>0</v>
      </c>
      <c r="M221" s="166">
        <f>IF(C221="","",COUNTIFS(Başvuru!$C:$C,C221,Başvuru!$L:$L,"GÖRÜŞ",Başvuru!$A:$A,"&lt;&gt;"&amp;"",Başvuru!$F:$F,"&lt;&gt;"&amp;""))</f>
        <v>0</v>
      </c>
      <c r="N221" s="167">
        <f>IF(C221="","",COUNTIFS(Başvuru!$C:$C,C221,Başvuru!$L:$L,"RET",Başvuru!$A:$A,"&lt;&gt;"&amp;"",Başvuru!$F:$F,"&lt;&gt;"&amp;""))</f>
        <v>0</v>
      </c>
      <c r="O221" s="168">
        <f>IF(C221="","",COUNTIFS(Başvuru!$C:$C,C221,Başvuru!$L:$L,"KAPSAM DIŞI",Başvuru!$A:$A,"&lt;&gt;"&amp;"",Başvuru!$F:$F,"&lt;&gt;"&amp;""))</f>
        <v>0</v>
      </c>
      <c r="P221" s="169">
        <f>IF(C221="","",COUNTIFS(Başvuru!$C:$C,C221,Başvuru!$L:$L,"GERİ ÇEKİLDİ",Başvuru!$A:$A,"&lt;&gt;"&amp;"",Başvuru!$F:$F,"&lt;&gt;"&amp;""))</f>
        <v>0</v>
      </c>
      <c r="Q221" s="170" t="str">
        <f t="array" ref="Q221">IFERROR(INDEX(Başvuru!$C$2:$C$3000, MATCH(0, COUNTIF($Q$5:Q220, Başvuru!$C$2:$C$3000) + IF(Başvuru!$C$2:$C$3000="",1,0), 0)), "")</f>
        <v>Doç. Dr. Nezih AKKAPULU</v>
      </c>
      <c r="R221" s="171">
        <f>IF(Q221="","",COUNTIFS(Başvuru!$C:$C,Q221,Başvuru!$A:$A,"&lt;&gt;"&amp;"",Başvuru!$F:$F,"&lt;&gt;"&amp;""))</f>
        <v>1</v>
      </c>
      <c r="S221" s="171">
        <f>IF(R221="","",RANK(R221,$R$6:$R$505,0)+COUNTIF($R$6:R221,R221)-1)</f>
        <v>239</v>
      </c>
    </row>
    <row r="222" spans="2:19" ht="23.25" customHeight="1" x14ac:dyDescent="0.25">
      <c r="B222" s="159">
        <v>217</v>
      </c>
      <c r="C222" s="160" t="str">
        <f>IFERROR(INDEX($Q$6:$Q$505,MATCH(217,$S$6:$S$505,0)),"")</f>
        <v>Doç. Dr. Emel Tuğba ATAMAN DURUEL</v>
      </c>
      <c r="D222" s="161">
        <f>IF(C222="","",COUNTIFS(Başvuru!$C:$C,C222,Başvuru!$A:$A,"&lt;&gt;"&amp;"",Başvuru!$F:$F,"&lt;&gt;"&amp;""))</f>
        <v>1</v>
      </c>
      <c r="E222" s="159" t="str">
        <f>IF(C222="","-",IF(D222&gt;0,TEXT(D222/(COUNTIFS(Başvuru!$A:$A,"&lt;&gt;",Başvuru!$F:$F,"&lt;&gt;")-1)*100,"0.0")&amp;"%","-"))</f>
        <v>00%</v>
      </c>
      <c r="F222" s="162">
        <f>IF(C222="","",COUNTIFS(Başvuru!$C:$C,C222,Başvuru!$G:$G,"Bireysel Araştırma",Başvuru!$A:$A,"&lt;&gt;"&amp;"",Başvuru!$F:$F,"&lt;&gt;"&amp;""))</f>
        <v>0</v>
      </c>
      <c r="G222" s="162">
        <f>IF(C222="","",COUNTIFS(Başvuru!$C:$C,C222,Başvuru!$G:$G,"Uzmanlık Tezi",Başvuru!$A:$A,"&lt;&gt;"&amp;"",Başvuru!$F:$F,"&lt;&gt;"&amp;""))</f>
        <v>1</v>
      </c>
      <c r="H222" s="162">
        <f>IF(C222="","",COUNTIFS(Başvuru!$C:$C,C222,Başvuru!$G:$G,"Doktora Tezi",Başvuru!$A:$A,"&lt;&gt;"&amp;"",Başvuru!$F:$F,"&lt;&gt;"&amp;""))</f>
        <v>0</v>
      </c>
      <c r="I222" s="162">
        <f>IF(C222="","",COUNTIFS(Başvuru!$C:$C,C222,Başvuru!$G:$G,"Yüksek Lisans Tezi",Başvuru!$A:$A,"&lt;&gt;"&amp;"",Başvuru!$F:$F,"&lt;&gt;"&amp;""))</f>
        <v>0</v>
      </c>
      <c r="J222" s="163">
        <f>IF(C222="","",COUNTIFS(Başvuru!$C:$C,C222,Başvuru!$L:$L,"ONAY",Başvuru!$A:$A,"&lt;&gt;"&amp;"",Başvuru!$F:$F,"&lt;&gt;"&amp;""))</f>
        <v>0</v>
      </c>
      <c r="K222" s="164">
        <f>IF(C222="","",COUNTIFS(Başvuru!$C:$C,C222,Başvuru!$L:$L,"DÜZELTME",Başvuru!$A:$A,"&lt;&gt;"&amp;"",Başvuru!$F:$F,"&lt;&gt;"&amp;""))</f>
        <v>1</v>
      </c>
      <c r="L222" s="165">
        <f>IF(C222="","",COUNTIFS(Başvuru!$C:$C,C222,Başvuru!$L:$L,"KAEK",Başvuru!$A:$A,"&lt;&gt;"&amp;"",Başvuru!$F:$F,"&lt;&gt;"&amp;""))</f>
        <v>0</v>
      </c>
      <c r="M222" s="166">
        <f>IF(C222="","",COUNTIFS(Başvuru!$C:$C,C222,Başvuru!$L:$L,"GÖRÜŞ",Başvuru!$A:$A,"&lt;&gt;"&amp;"",Başvuru!$F:$F,"&lt;&gt;"&amp;""))</f>
        <v>0</v>
      </c>
      <c r="N222" s="167">
        <f>IF(C222="","",COUNTIFS(Başvuru!$C:$C,C222,Başvuru!$L:$L,"RET",Başvuru!$A:$A,"&lt;&gt;"&amp;"",Başvuru!$F:$F,"&lt;&gt;"&amp;""))</f>
        <v>0</v>
      </c>
      <c r="O222" s="168">
        <f>IF(C222="","",COUNTIFS(Başvuru!$C:$C,C222,Başvuru!$L:$L,"KAPSAM DIŞI",Başvuru!$A:$A,"&lt;&gt;"&amp;"",Başvuru!$F:$F,"&lt;&gt;"&amp;""))</f>
        <v>0</v>
      </c>
      <c r="P222" s="169">
        <f>IF(C222="","",COUNTIFS(Başvuru!$C:$C,C222,Başvuru!$L:$L,"GERİ ÇEKİLDİ",Başvuru!$A:$A,"&lt;&gt;"&amp;"",Başvuru!$F:$F,"&lt;&gt;"&amp;""))</f>
        <v>0</v>
      </c>
      <c r="Q222" s="170" t="str">
        <f t="array" ref="Q222">IFERROR(INDEX(Başvuru!$C$2:$C$3000, MATCH(0, COUNTIF($Q$5:Q221, Başvuru!$C$2:$C$3000) + IF(Başvuru!$C$2:$C$3000="",1,0), 0)), "")</f>
        <v>Prof. Dr. Gökçen ÇOBAN ÇİFÇİ</v>
      </c>
      <c r="R222" s="171">
        <f>IF(Q222="","",COUNTIFS(Başvuru!$C:$C,Q222,Başvuru!$A:$A,"&lt;&gt;"&amp;"",Başvuru!$F:$F,"&lt;&gt;"&amp;""))</f>
        <v>1</v>
      </c>
      <c r="S222" s="171">
        <f>IF(R222="","",RANK(R222,$R$6:$R$505,0)+COUNTIF($R$6:R222,R222)-1)</f>
        <v>240</v>
      </c>
    </row>
    <row r="223" spans="2:19" ht="23.25" customHeight="1" x14ac:dyDescent="0.25">
      <c r="B223" s="159">
        <v>218</v>
      </c>
      <c r="C223" s="160" t="str">
        <f>IFERROR(INDEX($Q$6:$Q$505,MATCH(218,$S$6:$S$505,0)),"")</f>
        <v>Dr. Öğr. Üyesi Sefa Burak ÇAM</v>
      </c>
      <c r="D223" s="161">
        <f>IF(C223="","",COUNTIFS(Başvuru!$C:$C,C223,Başvuru!$A:$A,"&lt;&gt;"&amp;"",Başvuru!$F:$F,"&lt;&gt;"&amp;""))</f>
        <v>1</v>
      </c>
      <c r="E223" s="159" t="str">
        <f>IF(C223="","-",IF(D223&gt;0,TEXT(D223/(COUNTIFS(Başvuru!$A:$A,"&lt;&gt;",Başvuru!$F:$F,"&lt;&gt;")-1)*100,"0.0")&amp;"%","-"))</f>
        <v>00%</v>
      </c>
      <c r="F223" s="162">
        <f>IF(C223="","",COUNTIFS(Başvuru!$C:$C,C223,Başvuru!$G:$G,"Bireysel Araştırma",Başvuru!$A:$A,"&lt;&gt;"&amp;"",Başvuru!$F:$F,"&lt;&gt;"&amp;""))</f>
        <v>0</v>
      </c>
      <c r="G223" s="162">
        <f>IF(C223="","",COUNTIFS(Başvuru!$C:$C,C223,Başvuru!$G:$G,"Uzmanlık Tezi",Başvuru!$A:$A,"&lt;&gt;"&amp;"",Başvuru!$F:$F,"&lt;&gt;"&amp;""))</f>
        <v>1</v>
      </c>
      <c r="H223" s="162">
        <f>IF(C223="","",COUNTIFS(Başvuru!$C:$C,C223,Başvuru!$G:$G,"Doktora Tezi",Başvuru!$A:$A,"&lt;&gt;"&amp;"",Başvuru!$F:$F,"&lt;&gt;"&amp;""))</f>
        <v>0</v>
      </c>
      <c r="I223" s="162">
        <f>IF(C223="","",COUNTIFS(Başvuru!$C:$C,C223,Başvuru!$G:$G,"Yüksek Lisans Tezi",Başvuru!$A:$A,"&lt;&gt;"&amp;"",Başvuru!$F:$F,"&lt;&gt;"&amp;""))</f>
        <v>0</v>
      </c>
      <c r="J223" s="163">
        <f>IF(C223="","",COUNTIFS(Başvuru!$C:$C,C223,Başvuru!$L:$L,"ONAY",Başvuru!$A:$A,"&lt;&gt;"&amp;"",Başvuru!$F:$F,"&lt;&gt;"&amp;""))</f>
        <v>0</v>
      </c>
      <c r="K223" s="164">
        <f>IF(C223="","",COUNTIFS(Başvuru!$C:$C,C223,Başvuru!$L:$L,"DÜZELTME",Başvuru!$A:$A,"&lt;&gt;"&amp;"",Başvuru!$F:$F,"&lt;&gt;"&amp;""))</f>
        <v>0</v>
      </c>
      <c r="L223" s="165">
        <f>IF(C223="","",COUNTIFS(Başvuru!$C:$C,C223,Başvuru!$L:$L,"KAEK",Başvuru!$A:$A,"&lt;&gt;"&amp;"",Başvuru!$F:$F,"&lt;&gt;"&amp;""))</f>
        <v>0</v>
      </c>
      <c r="M223" s="166">
        <f>IF(C223="","",COUNTIFS(Başvuru!$C:$C,C223,Başvuru!$L:$L,"GÖRÜŞ",Başvuru!$A:$A,"&lt;&gt;"&amp;"",Başvuru!$F:$F,"&lt;&gt;"&amp;""))</f>
        <v>0</v>
      </c>
      <c r="N223" s="167">
        <f>IF(C223="","",COUNTIFS(Başvuru!$C:$C,C223,Başvuru!$L:$L,"RET",Başvuru!$A:$A,"&lt;&gt;"&amp;"",Başvuru!$F:$F,"&lt;&gt;"&amp;""))</f>
        <v>0</v>
      </c>
      <c r="O223" s="168">
        <f>IF(C223="","",COUNTIFS(Başvuru!$C:$C,C223,Başvuru!$L:$L,"KAPSAM DIŞI",Başvuru!$A:$A,"&lt;&gt;"&amp;"",Başvuru!$F:$F,"&lt;&gt;"&amp;""))</f>
        <v>1</v>
      </c>
      <c r="P223" s="169">
        <f>IF(C223="","",COUNTIFS(Başvuru!$C:$C,C223,Başvuru!$L:$L,"GERİ ÇEKİLDİ",Başvuru!$A:$A,"&lt;&gt;"&amp;"",Başvuru!$F:$F,"&lt;&gt;"&amp;""))</f>
        <v>0</v>
      </c>
      <c r="Q223" s="170" t="str">
        <f t="array" ref="Q223">IFERROR(INDEX(Başvuru!$C$2:$C$3000, MATCH(0, COUNTIF($Q$5:Q222, Başvuru!$C$2:$C$3000) + IF(Başvuru!$C$2:$C$3000="",1,0), 0)), "")</f>
        <v>Dr. Öğr. Gör. Buket KILIÇ</v>
      </c>
      <c r="R223" s="171">
        <f>IF(Q223="","",COUNTIFS(Başvuru!$C:$C,Q223,Başvuru!$A:$A,"&lt;&gt;"&amp;"",Başvuru!$F:$F,"&lt;&gt;"&amp;""))</f>
        <v>1</v>
      </c>
      <c r="S223" s="171">
        <f>IF(R223="","",RANK(R223,$R$6:$R$505,0)+COUNTIF($R$6:R223,R223)-1)</f>
        <v>241</v>
      </c>
    </row>
    <row r="224" spans="2:19" ht="23.25" customHeight="1" x14ac:dyDescent="0.25">
      <c r="B224" s="159">
        <v>219</v>
      </c>
      <c r="C224" s="160" t="str">
        <f>IFERROR(INDEX($Q$6:$Q$505,MATCH(219,$S$6:$S$505,0)),"")</f>
        <v>Doç. Dr. Fatma Gonca ELDEM</v>
      </c>
      <c r="D224" s="161">
        <f>IF(C224="","",COUNTIFS(Başvuru!$C:$C,C224,Başvuru!$A:$A,"&lt;&gt;"&amp;"",Başvuru!$F:$F,"&lt;&gt;"&amp;""))</f>
        <v>1</v>
      </c>
      <c r="E224" s="159" t="str">
        <f>IF(C224="","-",IF(D224&gt;0,TEXT(D224/(COUNTIFS(Başvuru!$A:$A,"&lt;&gt;",Başvuru!$F:$F,"&lt;&gt;")-1)*100,"0.0")&amp;"%","-"))</f>
        <v>00%</v>
      </c>
      <c r="F224" s="162">
        <f>IF(C224="","",COUNTIFS(Başvuru!$C:$C,C224,Başvuru!$G:$G,"Bireysel Araştırma",Başvuru!$A:$A,"&lt;&gt;"&amp;"",Başvuru!$F:$F,"&lt;&gt;"&amp;""))</f>
        <v>1</v>
      </c>
      <c r="G224" s="162">
        <f>IF(C224="","",COUNTIFS(Başvuru!$C:$C,C224,Başvuru!$G:$G,"Uzmanlık Tezi",Başvuru!$A:$A,"&lt;&gt;"&amp;"",Başvuru!$F:$F,"&lt;&gt;"&amp;""))</f>
        <v>0</v>
      </c>
      <c r="H224" s="162">
        <f>IF(C224="","",COUNTIFS(Başvuru!$C:$C,C224,Başvuru!$G:$G,"Doktora Tezi",Başvuru!$A:$A,"&lt;&gt;"&amp;"",Başvuru!$F:$F,"&lt;&gt;"&amp;""))</f>
        <v>0</v>
      </c>
      <c r="I224" s="162">
        <f>IF(C224="","",COUNTIFS(Başvuru!$C:$C,C224,Başvuru!$G:$G,"Yüksek Lisans Tezi",Başvuru!$A:$A,"&lt;&gt;"&amp;"",Başvuru!$F:$F,"&lt;&gt;"&amp;""))</f>
        <v>0</v>
      </c>
      <c r="J224" s="163">
        <f>IF(C224="","",COUNTIFS(Başvuru!$C:$C,C224,Başvuru!$L:$L,"ONAY",Başvuru!$A:$A,"&lt;&gt;"&amp;"",Başvuru!$F:$F,"&lt;&gt;"&amp;""))</f>
        <v>0</v>
      </c>
      <c r="K224" s="164">
        <f>IF(C224="","",COUNTIFS(Başvuru!$C:$C,C224,Başvuru!$L:$L,"DÜZELTME",Başvuru!$A:$A,"&lt;&gt;"&amp;"",Başvuru!$F:$F,"&lt;&gt;"&amp;""))</f>
        <v>1</v>
      </c>
      <c r="L224" s="165">
        <f>IF(C224="","",COUNTIFS(Başvuru!$C:$C,C224,Başvuru!$L:$L,"KAEK",Başvuru!$A:$A,"&lt;&gt;"&amp;"",Başvuru!$F:$F,"&lt;&gt;"&amp;""))</f>
        <v>0</v>
      </c>
      <c r="M224" s="166">
        <f>IF(C224="","",COUNTIFS(Başvuru!$C:$C,C224,Başvuru!$L:$L,"GÖRÜŞ",Başvuru!$A:$A,"&lt;&gt;"&amp;"",Başvuru!$F:$F,"&lt;&gt;"&amp;""))</f>
        <v>0</v>
      </c>
      <c r="N224" s="167">
        <f>IF(C224="","",COUNTIFS(Başvuru!$C:$C,C224,Başvuru!$L:$L,"RET",Başvuru!$A:$A,"&lt;&gt;"&amp;"",Başvuru!$F:$F,"&lt;&gt;"&amp;""))</f>
        <v>0</v>
      </c>
      <c r="O224" s="168">
        <f>IF(C224="","",COUNTIFS(Başvuru!$C:$C,C224,Başvuru!$L:$L,"KAPSAM DIŞI",Başvuru!$A:$A,"&lt;&gt;"&amp;"",Başvuru!$F:$F,"&lt;&gt;"&amp;""))</f>
        <v>0</v>
      </c>
      <c r="P224" s="169">
        <f>IF(C224="","",COUNTIFS(Başvuru!$C:$C,C224,Başvuru!$L:$L,"GERİ ÇEKİLDİ",Başvuru!$A:$A,"&lt;&gt;"&amp;"",Başvuru!$F:$F,"&lt;&gt;"&amp;""))</f>
        <v>0</v>
      </c>
      <c r="Q224" s="170" t="str">
        <f t="array" ref="Q224">IFERROR(INDEX(Başvuru!$C$2:$C$3000, MATCH(0, COUNTIF($Q$5:Q223, Başvuru!$C$2:$C$3000) + IF(Başvuru!$C$2:$C$3000="",1,0), 0)), "")</f>
        <v>Prof. Dr. Ömrüm UZUN</v>
      </c>
      <c r="R224" s="171">
        <f>IF(Q224="","",COUNTIFS(Başvuru!$C:$C,Q224,Başvuru!$A:$A,"&lt;&gt;"&amp;"",Başvuru!$F:$F,"&lt;&gt;"&amp;""))</f>
        <v>1</v>
      </c>
      <c r="S224" s="171">
        <f>IF(R224="","",RANK(R224,$R$6:$R$505,0)+COUNTIF($R$6:R224,R224)-1)</f>
        <v>242</v>
      </c>
    </row>
    <row r="225" spans="2:19" ht="23.25" customHeight="1" x14ac:dyDescent="0.25">
      <c r="B225" s="159">
        <v>220</v>
      </c>
      <c r="C225" s="160" t="str">
        <f>IFERROR(INDEX($Q$6:$Q$505,MATCH(220,$S$6:$S$505,0)),"")</f>
        <v>Prof. Dr. Zafer Selçuk TUNCER</v>
      </c>
      <c r="D225" s="161">
        <f>IF(C225="","",COUNTIFS(Başvuru!$C:$C,C225,Başvuru!$A:$A,"&lt;&gt;"&amp;"",Başvuru!$F:$F,"&lt;&gt;"&amp;""))</f>
        <v>1</v>
      </c>
      <c r="E225" s="159" t="str">
        <f>IF(C225="","-",IF(D225&gt;0,TEXT(D225/(COUNTIFS(Başvuru!$A:$A,"&lt;&gt;",Başvuru!$F:$F,"&lt;&gt;")-1)*100,"0.0")&amp;"%","-"))</f>
        <v>00%</v>
      </c>
      <c r="F225" s="162">
        <f>IF(C225="","",COUNTIFS(Başvuru!$C:$C,C225,Başvuru!$G:$G,"Bireysel Araştırma",Başvuru!$A:$A,"&lt;&gt;"&amp;"",Başvuru!$F:$F,"&lt;&gt;"&amp;""))</f>
        <v>1</v>
      </c>
      <c r="G225" s="162">
        <f>IF(C225="","",COUNTIFS(Başvuru!$C:$C,C225,Başvuru!$G:$G,"Uzmanlık Tezi",Başvuru!$A:$A,"&lt;&gt;"&amp;"",Başvuru!$F:$F,"&lt;&gt;"&amp;""))</f>
        <v>0</v>
      </c>
      <c r="H225" s="162">
        <f>IF(C225="","",COUNTIFS(Başvuru!$C:$C,C225,Başvuru!$G:$G,"Doktora Tezi",Başvuru!$A:$A,"&lt;&gt;"&amp;"",Başvuru!$F:$F,"&lt;&gt;"&amp;""))</f>
        <v>0</v>
      </c>
      <c r="I225" s="162">
        <f>IF(C225="","",COUNTIFS(Başvuru!$C:$C,C225,Başvuru!$G:$G,"Yüksek Lisans Tezi",Başvuru!$A:$A,"&lt;&gt;"&amp;"",Başvuru!$F:$F,"&lt;&gt;"&amp;""))</f>
        <v>0</v>
      </c>
      <c r="J225" s="163">
        <f>IF(C225="","",COUNTIFS(Başvuru!$C:$C,C225,Başvuru!$L:$L,"ONAY",Başvuru!$A:$A,"&lt;&gt;"&amp;"",Başvuru!$F:$F,"&lt;&gt;"&amp;""))</f>
        <v>0</v>
      </c>
      <c r="K225" s="164">
        <f>IF(C225="","",COUNTIFS(Başvuru!$C:$C,C225,Başvuru!$L:$L,"DÜZELTME",Başvuru!$A:$A,"&lt;&gt;"&amp;"",Başvuru!$F:$F,"&lt;&gt;"&amp;""))</f>
        <v>0</v>
      </c>
      <c r="L225" s="165">
        <f>IF(C225="","",COUNTIFS(Başvuru!$C:$C,C225,Başvuru!$L:$L,"KAEK",Başvuru!$A:$A,"&lt;&gt;"&amp;"",Başvuru!$F:$F,"&lt;&gt;"&amp;""))</f>
        <v>0</v>
      </c>
      <c r="M225" s="166">
        <f>IF(C225="","",COUNTIFS(Başvuru!$C:$C,C225,Başvuru!$L:$L,"GÖRÜŞ",Başvuru!$A:$A,"&lt;&gt;"&amp;"",Başvuru!$F:$F,"&lt;&gt;"&amp;""))</f>
        <v>0</v>
      </c>
      <c r="N225" s="167">
        <f>IF(C225="","",COUNTIFS(Başvuru!$C:$C,C225,Başvuru!$L:$L,"RET",Başvuru!$A:$A,"&lt;&gt;"&amp;"",Başvuru!$F:$F,"&lt;&gt;"&amp;""))</f>
        <v>1</v>
      </c>
      <c r="O225" s="168">
        <f>IF(C225="","",COUNTIFS(Başvuru!$C:$C,C225,Başvuru!$L:$L,"KAPSAM DIŞI",Başvuru!$A:$A,"&lt;&gt;"&amp;"",Başvuru!$F:$F,"&lt;&gt;"&amp;""))</f>
        <v>0</v>
      </c>
      <c r="P225" s="169">
        <f>IF(C225="","",COUNTIFS(Başvuru!$C:$C,C225,Başvuru!$L:$L,"GERİ ÇEKİLDİ",Başvuru!$A:$A,"&lt;&gt;"&amp;"",Başvuru!$F:$F,"&lt;&gt;"&amp;""))</f>
        <v>0</v>
      </c>
      <c r="Q225" s="170" t="str">
        <f t="array" ref="Q225">IFERROR(INDEX(Başvuru!$C$2:$C$3000, MATCH(0, COUNTIF($Q$5:Q224, Başvuru!$C$2:$C$3000) + IF(Başvuru!$C$2:$C$3000="",1,0), 0)), "")</f>
        <v>Doç. Dr. Nagihan KOÇ</v>
      </c>
      <c r="R225" s="171">
        <f>IF(Q225="","",COUNTIFS(Başvuru!$C:$C,Q225,Başvuru!$A:$A,"&lt;&gt;"&amp;"",Başvuru!$F:$F,"&lt;&gt;"&amp;""))</f>
        <v>1</v>
      </c>
      <c r="S225" s="171">
        <f>IF(R225="","",RANK(R225,$R$6:$R$505,0)+COUNTIF($R$6:R225,R225)-1)</f>
        <v>243</v>
      </c>
    </row>
    <row r="226" spans="2:19" ht="23.25" customHeight="1" x14ac:dyDescent="0.25">
      <c r="B226" s="159">
        <v>221</v>
      </c>
      <c r="C226" s="160" t="str">
        <f>IFERROR(INDEX($Q$6:$Q$505,MATCH(221,$S$6:$S$505,0)),"")</f>
        <v>Prof. Dr. Fatma Visal OKUR</v>
      </c>
      <c r="D226" s="161">
        <f>IF(C226="","",COUNTIFS(Başvuru!$C:$C,C226,Başvuru!$A:$A,"&lt;&gt;"&amp;"",Başvuru!$F:$F,"&lt;&gt;"&amp;""))</f>
        <v>1</v>
      </c>
      <c r="E226" s="159" t="str">
        <f>IF(C226="","-",IF(D226&gt;0,TEXT(D226/(COUNTIFS(Başvuru!$A:$A,"&lt;&gt;",Başvuru!$F:$F,"&lt;&gt;")-1)*100,"0.0")&amp;"%","-"))</f>
        <v>00%</v>
      </c>
      <c r="F226" s="162">
        <f>IF(C226="","",COUNTIFS(Başvuru!$C:$C,C226,Başvuru!$G:$G,"Bireysel Araştırma",Başvuru!$A:$A,"&lt;&gt;"&amp;"",Başvuru!$F:$F,"&lt;&gt;"&amp;""))</f>
        <v>1</v>
      </c>
      <c r="G226" s="162">
        <f>IF(C226="","",COUNTIFS(Başvuru!$C:$C,C226,Başvuru!$G:$G,"Uzmanlık Tezi",Başvuru!$A:$A,"&lt;&gt;"&amp;"",Başvuru!$F:$F,"&lt;&gt;"&amp;""))</f>
        <v>0</v>
      </c>
      <c r="H226" s="162">
        <f>IF(C226="","",COUNTIFS(Başvuru!$C:$C,C226,Başvuru!$G:$G,"Doktora Tezi",Başvuru!$A:$A,"&lt;&gt;"&amp;"",Başvuru!$F:$F,"&lt;&gt;"&amp;""))</f>
        <v>0</v>
      </c>
      <c r="I226" s="162">
        <f>IF(C226="","",COUNTIFS(Başvuru!$C:$C,C226,Başvuru!$G:$G,"Yüksek Lisans Tezi",Başvuru!$A:$A,"&lt;&gt;"&amp;"",Başvuru!$F:$F,"&lt;&gt;"&amp;""))</f>
        <v>0</v>
      </c>
      <c r="J226" s="163">
        <f>IF(C226="","",COUNTIFS(Başvuru!$C:$C,C226,Başvuru!$L:$L,"ONAY",Başvuru!$A:$A,"&lt;&gt;"&amp;"",Başvuru!$F:$F,"&lt;&gt;"&amp;""))</f>
        <v>0</v>
      </c>
      <c r="K226" s="164">
        <f>IF(C226="","",COUNTIFS(Başvuru!$C:$C,C226,Başvuru!$L:$L,"DÜZELTME",Başvuru!$A:$A,"&lt;&gt;"&amp;"",Başvuru!$F:$F,"&lt;&gt;"&amp;""))</f>
        <v>1</v>
      </c>
      <c r="L226" s="165">
        <f>IF(C226="","",COUNTIFS(Başvuru!$C:$C,C226,Başvuru!$L:$L,"KAEK",Başvuru!$A:$A,"&lt;&gt;"&amp;"",Başvuru!$F:$F,"&lt;&gt;"&amp;""))</f>
        <v>0</v>
      </c>
      <c r="M226" s="166">
        <f>IF(C226="","",COUNTIFS(Başvuru!$C:$C,C226,Başvuru!$L:$L,"GÖRÜŞ",Başvuru!$A:$A,"&lt;&gt;"&amp;"",Başvuru!$F:$F,"&lt;&gt;"&amp;""))</f>
        <v>0</v>
      </c>
      <c r="N226" s="167">
        <f>IF(C226="","",COUNTIFS(Başvuru!$C:$C,C226,Başvuru!$L:$L,"RET",Başvuru!$A:$A,"&lt;&gt;"&amp;"",Başvuru!$F:$F,"&lt;&gt;"&amp;""))</f>
        <v>0</v>
      </c>
      <c r="O226" s="168">
        <f>IF(C226="","",COUNTIFS(Başvuru!$C:$C,C226,Başvuru!$L:$L,"KAPSAM DIŞI",Başvuru!$A:$A,"&lt;&gt;"&amp;"",Başvuru!$F:$F,"&lt;&gt;"&amp;""))</f>
        <v>0</v>
      </c>
      <c r="P226" s="169">
        <f>IF(C226="","",COUNTIFS(Başvuru!$C:$C,C226,Başvuru!$L:$L,"GERİ ÇEKİLDİ",Başvuru!$A:$A,"&lt;&gt;"&amp;"",Başvuru!$F:$F,"&lt;&gt;"&amp;""))</f>
        <v>0</v>
      </c>
      <c r="Q226" s="170" t="str">
        <f t="array" ref="Q226">IFERROR(INDEX(Başvuru!$C$2:$C$3000, MATCH(0, COUNTIF($Q$5:Q225, Başvuru!$C$2:$C$3000) + IF(Başvuru!$C$2:$C$3000="",1,0), 0)), "")</f>
        <v>Dr. Öğr. Üyesi Süleyman BULUT</v>
      </c>
      <c r="R226" s="171">
        <f>IF(Q226="","",COUNTIFS(Başvuru!$C:$C,Q226,Başvuru!$A:$A,"&lt;&gt;"&amp;"",Başvuru!$F:$F,"&lt;&gt;"&amp;""))</f>
        <v>1</v>
      </c>
      <c r="S226" s="171">
        <f>IF(R226="","",RANK(R226,$R$6:$R$505,0)+COUNTIF($R$6:R226,R226)-1)</f>
        <v>244</v>
      </c>
    </row>
    <row r="227" spans="2:19" ht="23.25" customHeight="1" x14ac:dyDescent="0.25">
      <c r="B227" s="159">
        <v>222</v>
      </c>
      <c r="C227" s="160" t="str">
        <f>IFERROR(INDEX($Q$6:$Q$505,MATCH(222,$S$6:$S$505,0)),"")</f>
        <v>Arş. Gör. Dr. Tuğçe TAŞKINDERE ABBASOĞLU</v>
      </c>
      <c r="D227" s="161">
        <f>IF(C227="","",COUNTIFS(Başvuru!$C:$C,C227,Başvuru!$A:$A,"&lt;&gt;"&amp;"",Başvuru!$F:$F,"&lt;&gt;"&amp;""))</f>
        <v>1</v>
      </c>
      <c r="E227" s="159" t="str">
        <f>IF(C227="","-",IF(D227&gt;0,TEXT(D227/(COUNTIFS(Başvuru!$A:$A,"&lt;&gt;",Başvuru!$F:$F,"&lt;&gt;")-1)*100,"0.0")&amp;"%","-"))</f>
        <v>00%</v>
      </c>
      <c r="F227" s="162">
        <f>IF(C227="","",COUNTIFS(Başvuru!$C:$C,C227,Başvuru!$G:$G,"Bireysel Araştırma",Başvuru!$A:$A,"&lt;&gt;"&amp;"",Başvuru!$F:$F,"&lt;&gt;"&amp;""))</f>
        <v>1</v>
      </c>
      <c r="G227" s="162">
        <f>IF(C227="","",COUNTIFS(Başvuru!$C:$C,C227,Başvuru!$G:$G,"Uzmanlık Tezi",Başvuru!$A:$A,"&lt;&gt;"&amp;"",Başvuru!$F:$F,"&lt;&gt;"&amp;""))</f>
        <v>0</v>
      </c>
      <c r="H227" s="162">
        <f>IF(C227="","",COUNTIFS(Başvuru!$C:$C,C227,Başvuru!$G:$G,"Doktora Tezi",Başvuru!$A:$A,"&lt;&gt;"&amp;"",Başvuru!$F:$F,"&lt;&gt;"&amp;""))</f>
        <v>0</v>
      </c>
      <c r="I227" s="162">
        <f>IF(C227="","",COUNTIFS(Başvuru!$C:$C,C227,Başvuru!$G:$G,"Yüksek Lisans Tezi",Başvuru!$A:$A,"&lt;&gt;"&amp;"",Başvuru!$F:$F,"&lt;&gt;"&amp;""))</f>
        <v>0</v>
      </c>
      <c r="J227" s="163">
        <f>IF(C227="","",COUNTIFS(Başvuru!$C:$C,C227,Başvuru!$L:$L,"ONAY",Başvuru!$A:$A,"&lt;&gt;"&amp;"",Başvuru!$F:$F,"&lt;&gt;"&amp;""))</f>
        <v>0</v>
      </c>
      <c r="K227" s="164">
        <f>IF(C227="","",COUNTIFS(Başvuru!$C:$C,C227,Başvuru!$L:$L,"DÜZELTME",Başvuru!$A:$A,"&lt;&gt;"&amp;"",Başvuru!$F:$F,"&lt;&gt;"&amp;""))</f>
        <v>1</v>
      </c>
      <c r="L227" s="165">
        <f>IF(C227="","",COUNTIFS(Başvuru!$C:$C,C227,Başvuru!$L:$L,"KAEK",Başvuru!$A:$A,"&lt;&gt;"&amp;"",Başvuru!$F:$F,"&lt;&gt;"&amp;""))</f>
        <v>0</v>
      </c>
      <c r="M227" s="166">
        <f>IF(C227="","",COUNTIFS(Başvuru!$C:$C,C227,Başvuru!$L:$L,"GÖRÜŞ",Başvuru!$A:$A,"&lt;&gt;"&amp;"",Başvuru!$F:$F,"&lt;&gt;"&amp;""))</f>
        <v>0</v>
      </c>
      <c r="N227" s="167">
        <f>IF(C227="","",COUNTIFS(Başvuru!$C:$C,C227,Başvuru!$L:$L,"RET",Başvuru!$A:$A,"&lt;&gt;"&amp;"",Başvuru!$F:$F,"&lt;&gt;"&amp;""))</f>
        <v>0</v>
      </c>
      <c r="O227" s="168">
        <f>IF(C227="","",COUNTIFS(Başvuru!$C:$C,C227,Başvuru!$L:$L,"KAPSAM DIŞI",Başvuru!$A:$A,"&lt;&gt;"&amp;"",Başvuru!$F:$F,"&lt;&gt;"&amp;""))</f>
        <v>0</v>
      </c>
      <c r="P227" s="169">
        <f>IF(C227="","",COUNTIFS(Başvuru!$C:$C,C227,Başvuru!$L:$L,"GERİ ÇEKİLDİ",Başvuru!$A:$A,"&lt;&gt;"&amp;"",Başvuru!$F:$F,"&lt;&gt;"&amp;""))</f>
        <v>0</v>
      </c>
      <c r="Q227" s="170" t="str">
        <f t="array" ref="Q227">IFERROR(INDEX(Başvuru!$C$2:$C$3000, MATCH(0, COUNTIF($Q$5:Q226, Başvuru!$C$2:$C$3000) + IF(Başvuru!$C$2:$C$3000="",1,0), 0)), "")</f>
        <v>Dr. Öğr. Üyesi Ahmet Gürkan ERDEMİR</v>
      </c>
      <c r="R227" s="171">
        <f>IF(Q227="","",COUNTIFS(Başvuru!$C:$C,Q227,Başvuru!$A:$A,"&lt;&gt;"&amp;"",Başvuru!$F:$F,"&lt;&gt;"&amp;""))</f>
        <v>1</v>
      </c>
      <c r="S227" s="171">
        <f>IF(R227="","",RANK(R227,$R$6:$R$505,0)+COUNTIF($R$6:R227,R227)-1)</f>
        <v>245</v>
      </c>
    </row>
    <row r="228" spans="2:19" ht="23.25" customHeight="1" x14ac:dyDescent="0.25">
      <c r="B228" s="159">
        <v>223</v>
      </c>
      <c r="C228" s="160" t="str">
        <f>IFERROR(INDEX($Q$6:$Q$505,MATCH(223,$S$6:$S$505,0)),"")</f>
        <v>Prof. Dr. Emel UZUNOĞLU ÖZYÜREK</v>
      </c>
      <c r="D228" s="161">
        <f>IF(C228="","",COUNTIFS(Başvuru!$C:$C,C228,Başvuru!$A:$A,"&lt;&gt;"&amp;"",Başvuru!$F:$F,"&lt;&gt;"&amp;""))</f>
        <v>1</v>
      </c>
      <c r="E228" s="159" t="str">
        <f>IF(C228="","-",IF(D228&gt;0,TEXT(D228/(COUNTIFS(Başvuru!$A:$A,"&lt;&gt;",Başvuru!$F:$F,"&lt;&gt;")-1)*100,"0.0")&amp;"%","-"))</f>
        <v>00%</v>
      </c>
      <c r="F228" s="162">
        <f>IF(C228="","",COUNTIFS(Başvuru!$C:$C,C228,Başvuru!$G:$G,"Bireysel Araştırma",Başvuru!$A:$A,"&lt;&gt;"&amp;"",Başvuru!$F:$F,"&lt;&gt;"&amp;""))</f>
        <v>1</v>
      </c>
      <c r="G228" s="162">
        <f>IF(C228="","",COUNTIFS(Başvuru!$C:$C,C228,Başvuru!$G:$G,"Uzmanlık Tezi",Başvuru!$A:$A,"&lt;&gt;"&amp;"",Başvuru!$F:$F,"&lt;&gt;"&amp;""))</f>
        <v>0</v>
      </c>
      <c r="H228" s="162">
        <f>IF(C228="","",COUNTIFS(Başvuru!$C:$C,C228,Başvuru!$G:$G,"Doktora Tezi",Başvuru!$A:$A,"&lt;&gt;"&amp;"",Başvuru!$F:$F,"&lt;&gt;"&amp;""))</f>
        <v>0</v>
      </c>
      <c r="I228" s="162">
        <f>IF(C228="","",COUNTIFS(Başvuru!$C:$C,C228,Başvuru!$G:$G,"Yüksek Lisans Tezi",Başvuru!$A:$A,"&lt;&gt;"&amp;"",Başvuru!$F:$F,"&lt;&gt;"&amp;""))</f>
        <v>0</v>
      </c>
      <c r="J228" s="163">
        <f>IF(C228="","",COUNTIFS(Başvuru!$C:$C,C228,Başvuru!$L:$L,"ONAY",Başvuru!$A:$A,"&lt;&gt;"&amp;"",Başvuru!$F:$F,"&lt;&gt;"&amp;""))</f>
        <v>1</v>
      </c>
      <c r="K228" s="164">
        <f>IF(C228="","",COUNTIFS(Başvuru!$C:$C,C228,Başvuru!$L:$L,"DÜZELTME",Başvuru!$A:$A,"&lt;&gt;"&amp;"",Başvuru!$F:$F,"&lt;&gt;"&amp;""))</f>
        <v>0</v>
      </c>
      <c r="L228" s="165">
        <f>IF(C228="","",COUNTIFS(Başvuru!$C:$C,C228,Başvuru!$L:$L,"KAEK",Başvuru!$A:$A,"&lt;&gt;"&amp;"",Başvuru!$F:$F,"&lt;&gt;"&amp;""))</f>
        <v>0</v>
      </c>
      <c r="M228" s="166">
        <f>IF(C228="","",COUNTIFS(Başvuru!$C:$C,C228,Başvuru!$L:$L,"GÖRÜŞ",Başvuru!$A:$A,"&lt;&gt;"&amp;"",Başvuru!$F:$F,"&lt;&gt;"&amp;""))</f>
        <v>0</v>
      </c>
      <c r="N228" s="167">
        <f>IF(C228="","",COUNTIFS(Başvuru!$C:$C,C228,Başvuru!$L:$L,"RET",Başvuru!$A:$A,"&lt;&gt;"&amp;"",Başvuru!$F:$F,"&lt;&gt;"&amp;""))</f>
        <v>0</v>
      </c>
      <c r="O228" s="168">
        <f>IF(C228="","",COUNTIFS(Başvuru!$C:$C,C228,Başvuru!$L:$L,"KAPSAM DIŞI",Başvuru!$A:$A,"&lt;&gt;"&amp;"",Başvuru!$F:$F,"&lt;&gt;"&amp;""))</f>
        <v>0</v>
      </c>
      <c r="P228" s="169">
        <f>IF(C228="","",COUNTIFS(Başvuru!$C:$C,C228,Başvuru!$L:$L,"GERİ ÇEKİLDİ",Başvuru!$A:$A,"&lt;&gt;"&amp;"",Başvuru!$F:$F,"&lt;&gt;"&amp;""))</f>
        <v>0</v>
      </c>
      <c r="Q228" s="170" t="str">
        <f t="array" ref="Q228">IFERROR(INDEX(Başvuru!$C$2:$C$3000, MATCH(0, COUNTIF($Q$5:Q227, Başvuru!$C$2:$C$3000) + IF(Başvuru!$C$2:$C$3000="",1,0), 0)), "")</f>
        <v>Doç. Dr. Rahşan GÖÇMEN</v>
      </c>
      <c r="R228" s="171">
        <f>IF(Q228="","",COUNTIFS(Başvuru!$C:$C,Q228,Başvuru!$A:$A,"&lt;&gt;"&amp;"",Başvuru!$F:$F,"&lt;&gt;"&amp;""))</f>
        <v>1</v>
      </c>
      <c r="S228" s="171">
        <f>IF(R228="","",RANK(R228,$R$6:$R$505,0)+COUNTIF($R$6:R228,R228)-1)</f>
        <v>246</v>
      </c>
    </row>
    <row r="229" spans="2:19" ht="23.25" customHeight="1" x14ac:dyDescent="0.25">
      <c r="B229" s="159">
        <v>224</v>
      </c>
      <c r="C229" s="160" t="str">
        <f>IFERROR(INDEX($Q$6:$Q$505,MATCH(224,$S$6:$S$505,0)),"")</f>
        <v>Prof. Dr. Devrim AKDEMİR</v>
      </c>
      <c r="D229" s="161">
        <f>IF(C229="","",COUNTIFS(Başvuru!$C:$C,C229,Başvuru!$A:$A,"&lt;&gt;"&amp;"",Başvuru!$F:$F,"&lt;&gt;"&amp;""))</f>
        <v>1</v>
      </c>
      <c r="E229" s="159" t="str">
        <f>IF(C229="","-",IF(D229&gt;0,TEXT(D229/(COUNTIFS(Başvuru!$A:$A,"&lt;&gt;",Başvuru!$F:$F,"&lt;&gt;")-1)*100,"0.0")&amp;"%","-"))</f>
        <v>00%</v>
      </c>
      <c r="F229" s="162">
        <f>IF(C229="","",COUNTIFS(Başvuru!$C:$C,C229,Başvuru!$G:$G,"Bireysel Araştırma",Başvuru!$A:$A,"&lt;&gt;"&amp;"",Başvuru!$F:$F,"&lt;&gt;"&amp;""))</f>
        <v>0</v>
      </c>
      <c r="G229" s="162">
        <f>IF(C229="","",COUNTIFS(Başvuru!$C:$C,C229,Başvuru!$G:$G,"Uzmanlık Tezi",Başvuru!$A:$A,"&lt;&gt;"&amp;"",Başvuru!$F:$F,"&lt;&gt;"&amp;""))</f>
        <v>1</v>
      </c>
      <c r="H229" s="162">
        <f>IF(C229="","",COUNTIFS(Başvuru!$C:$C,C229,Başvuru!$G:$G,"Doktora Tezi",Başvuru!$A:$A,"&lt;&gt;"&amp;"",Başvuru!$F:$F,"&lt;&gt;"&amp;""))</f>
        <v>0</v>
      </c>
      <c r="I229" s="162">
        <f>IF(C229="","",COUNTIFS(Başvuru!$C:$C,C229,Başvuru!$G:$G,"Yüksek Lisans Tezi",Başvuru!$A:$A,"&lt;&gt;"&amp;"",Başvuru!$F:$F,"&lt;&gt;"&amp;""))</f>
        <v>0</v>
      </c>
      <c r="J229" s="163">
        <f>IF(C229="","",COUNTIFS(Başvuru!$C:$C,C229,Başvuru!$L:$L,"ONAY",Başvuru!$A:$A,"&lt;&gt;"&amp;"",Başvuru!$F:$F,"&lt;&gt;"&amp;""))</f>
        <v>0</v>
      </c>
      <c r="K229" s="164">
        <f>IF(C229="","",COUNTIFS(Başvuru!$C:$C,C229,Başvuru!$L:$L,"DÜZELTME",Başvuru!$A:$A,"&lt;&gt;"&amp;"",Başvuru!$F:$F,"&lt;&gt;"&amp;""))</f>
        <v>1</v>
      </c>
      <c r="L229" s="165">
        <f>IF(C229="","",COUNTIFS(Başvuru!$C:$C,C229,Başvuru!$L:$L,"KAEK",Başvuru!$A:$A,"&lt;&gt;"&amp;"",Başvuru!$F:$F,"&lt;&gt;"&amp;""))</f>
        <v>0</v>
      </c>
      <c r="M229" s="166">
        <f>IF(C229="","",COUNTIFS(Başvuru!$C:$C,C229,Başvuru!$L:$L,"GÖRÜŞ",Başvuru!$A:$A,"&lt;&gt;"&amp;"",Başvuru!$F:$F,"&lt;&gt;"&amp;""))</f>
        <v>0</v>
      </c>
      <c r="N229" s="167">
        <f>IF(C229="","",COUNTIFS(Başvuru!$C:$C,C229,Başvuru!$L:$L,"RET",Başvuru!$A:$A,"&lt;&gt;"&amp;"",Başvuru!$F:$F,"&lt;&gt;"&amp;""))</f>
        <v>0</v>
      </c>
      <c r="O229" s="168">
        <f>IF(C229="","",COUNTIFS(Başvuru!$C:$C,C229,Başvuru!$L:$L,"KAPSAM DIŞI",Başvuru!$A:$A,"&lt;&gt;"&amp;"",Başvuru!$F:$F,"&lt;&gt;"&amp;""))</f>
        <v>0</v>
      </c>
      <c r="P229" s="169">
        <f>IF(C229="","",COUNTIFS(Başvuru!$C:$C,C229,Başvuru!$L:$L,"GERİ ÇEKİLDİ",Başvuru!$A:$A,"&lt;&gt;"&amp;"",Başvuru!$F:$F,"&lt;&gt;"&amp;""))</f>
        <v>0</v>
      </c>
      <c r="Q229" s="170" t="str">
        <f t="array" ref="Q229">IFERROR(INDEX(Başvuru!$C$2:$C$3000, MATCH(0, COUNTIF($Q$5:Q228, Başvuru!$C$2:$C$3000) + IF(Başvuru!$C$2:$C$3000="",1,0), 0)), "")</f>
        <v>Prof. Dr. Pergin ATİLLA</v>
      </c>
      <c r="R229" s="171">
        <f>IF(Q229="","",COUNTIFS(Başvuru!$C:$C,Q229,Başvuru!$A:$A,"&lt;&gt;"&amp;"",Başvuru!$F:$F,"&lt;&gt;"&amp;""))</f>
        <v>1</v>
      </c>
      <c r="S229" s="171">
        <f>IF(R229="","",RANK(R229,$R$6:$R$505,0)+COUNTIF($R$6:R229,R229)-1)</f>
        <v>247</v>
      </c>
    </row>
    <row r="230" spans="2:19" ht="23.25" customHeight="1" x14ac:dyDescent="0.25">
      <c r="B230" s="159">
        <v>225</v>
      </c>
      <c r="C230" s="160" t="str">
        <f>IFERROR(INDEX($Q$6:$Q$505,MATCH(225,$S$6:$S$505,0)),"")</f>
        <v>Dr. Öğr. Üyesi Onur İNCE</v>
      </c>
      <c r="D230" s="161">
        <f>IF(C230="","",COUNTIFS(Başvuru!$C:$C,C230,Başvuru!$A:$A,"&lt;&gt;"&amp;"",Başvuru!$F:$F,"&lt;&gt;"&amp;""))</f>
        <v>1</v>
      </c>
      <c r="E230" s="159" t="str">
        <f>IF(C230="","-",IF(D230&gt;0,TEXT(D230/(COUNTIFS(Başvuru!$A:$A,"&lt;&gt;",Başvuru!$F:$F,"&lt;&gt;")-1)*100,"0.0")&amp;"%","-"))</f>
        <v>00%</v>
      </c>
      <c r="F230" s="162">
        <f>IF(C230="","",COUNTIFS(Başvuru!$C:$C,C230,Başvuru!$G:$G,"Bireysel Araştırma",Başvuru!$A:$A,"&lt;&gt;"&amp;"",Başvuru!$F:$F,"&lt;&gt;"&amp;""))</f>
        <v>0</v>
      </c>
      <c r="G230" s="162">
        <f>IF(C230="","",COUNTIFS(Başvuru!$C:$C,C230,Başvuru!$G:$G,"Uzmanlık Tezi",Başvuru!$A:$A,"&lt;&gt;"&amp;"",Başvuru!$F:$F,"&lt;&gt;"&amp;""))</f>
        <v>1</v>
      </c>
      <c r="H230" s="162">
        <f>IF(C230="","",COUNTIFS(Başvuru!$C:$C,C230,Başvuru!$G:$G,"Doktora Tezi",Başvuru!$A:$A,"&lt;&gt;"&amp;"",Başvuru!$F:$F,"&lt;&gt;"&amp;""))</f>
        <v>0</v>
      </c>
      <c r="I230" s="162">
        <f>IF(C230="","",COUNTIFS(Başvuru!$C:$C,C230,Başvuru!$G:$G,"Yüksek Lisans Tezi",Başvuru!$A:$A,"&lt;&gt;"&amp;"",Başvuru!$F:$F,"&lt;&gt;"&amp;""))</f>
        <v>0</v>
      </c>
      <c r="J230" s="163">
        <f>IF(C230="","",COUNTIFS(Başvuru!$C:$C,C230,Başvuru!$L:$L,"ONAY",Başvuru!$A:$A,"&lt;&gt;"&amp;"",Başvuru!$F:$F,"&lt;&gt;"&amp;""))</f>
        <v>1</v>
      </c>
      <c r="K230" s="164">
        <f>IF(C230="","",COUNTIFS(Başvuru!$C:$C,C230,Başvuru!$L:$L,"DÜZELTME",Başvuru!$A:$A,"&lt;&gt;"&amp;"",Başvuru!$F:$F,"&lt;&gt;"&amp;""))</f>
        <v>0</v>
      </c>
      <c r="L230" s="165">
        <f>IF(C230="","",COUNTIFS(Başvuru!$C:$C,C230,Başvuru!$L:$L,"KAEK",Başvuru!$A:$A,"&lt;&gt;"&amp;"",Başvuru!$F:$F,"&lt;&gt;"&amp;""))</f>
        <v>0</v>
      </c>
      <c r="M230" s="166">
        <f>IF(C230="","",COUNTIFS(Başvuru!$C:$C,C230,Başvuru!$L:$L,"GÖRÜŞ",Başvuru!$A:$A,"&lt;&gt;"&amp;"",Başvuru!$F:$F,"&lt;&gt;"&amp;""))</f>
        <v>0</v>
      </c>
      <c r="N230" s="167">
        <f>IF(C230="","",COUNTIFS(Başvuru!$C:$C,C230,Başvuru!$L:$L,"RET",Başvuru!$A:$A,"&lt;&gt;"&amp;"",Başvuru!$F:$F,"&lt;&gt;"&amp;""))</f>
        <v>0</v>
      </c>
      <c r="O230" s="168">
        <f>IF(C230="","",COUNTIFS(Başvuru!$C:$C,C230,Başvuru!$L:$L,"KAPSAM DIŞI",Başvuru!$A:$A,"&lt;&gt;"&amp;"",Başvuru!$F:$F,"&lt;&gt;"&amp;""))</f>
        <v>0</v>
      </c>
      <c r="P230" s="169">
        <f>IF(C230="","",COUNTIFS(Başvuru!$C:$C,C230,Başvuru!$L:$L,"GERİ ÇEKİLDİ",Başvuru!$A:$A,"&lt;&gt;"&amp;"",Başvuru!$F:$F,"&lt;&gt;"&amp;""))</f>
        <v>0</v>
      </c>
      <c r="Q230" s="170" t="str">
        <f t="array" ref="Q230">IFERROR(INDEX(Başvuru!$C$2:$C$3000, MATCH(0, COUNTIF($Q$5:Q229, Başvuru!$C$2:$C$3000) + IF(Başvuru!$C$2:$C$3000="",1,0), 0)), "")</f>
        <v>Prof. Dr. Abdullah Ruhi SOYLU</v>
      </c>
      <c r="R230" s="171">
        <f>IF(Q230="","",COUNTIFS(Başvuru!$C:$C,Q230,Başvuru!$A:$A,"&lt;&gt;"&amp;"",Başvuru!$F:$F,"&lt;&gt;"&amp;""))</f>
        <v>1</v>
      </c>
      <c r="S230" s="171">
        <f>IF(R230="","",RANK(R230,$R$6:$R$505,0)+COUNTIF($R$6:R230,R230)-1)</f>
        <v>248</v>
      </c>
    </row>
    <row r="231" spans="2:19" ht="23.25" customHeight="1" x14ac:dyDescent="0.25">
      <c r="B231" s="159">
        <v>226</v>
      </c>
      <c r="C231" s="160" t="str">
        <f>IFERROR(INDEX($Q$6:$Q$505,MATCH(226,$S$6:$S$505,0)),"")</f>
        <v>Öğr. Gör. Dr. Berrin BABAOĞLU</v>
      </c>
      <c r="D231" s="161">
        <f>IF(C231="","",COUNTIFS(Başvuru!$C:$C,C231,Başvuru!$A:$A,"&lt;&gt;"&amp;"",Başvuru!$F:$F,"&lt;&gt;"&amp;""))</f>
        <v>1</v>
      </c>
      <c r="E231" s="159" t="str">
        <f>IF(C231="","-",IF(D231&gt;0,TEXT(D231/(COUNTIFS(Başvuru!$A:$A,"&lt;&gt;",Başvuru!$F:$F,"&lt;&gt;")-1)*100,"0.0")&amp;"%","-"))</f>
        <v>00%</v>
      </c>
      <c r="F231" s="162">
        <f>IF(C231="","",COUNTIFS(Başvuru!$C:$C,C231,Başvuru!$G:$G,"Bireysel Araştırma",Başvuru!$A:$A,"&lt;&gt;"&amp;"",Başvuru!$F:$F,"&lt;&gt;"&amp;""))</f>
        <v>0</v>
      </c>
      <c r="G231" s="162">
        <f>IF(C231="","",COUNTIFS(Başvuru!$C:$C,C231,Başvuru!$G:$G,"Uzmanlık Tezi",Başvuru!$A:$A,"&lt;&gt;"&amp;"",Başvuru!$F:$F,"&lt;&gt;"&amp;""))</f>
        <v>1</v>
      </c>
      <c r="H231" s="162">
        <f>IF(C231="","",COUNTIFS(Başvuru!$C:$C,C231,Başvuru!$G:$G,"Doktora Tezi",Başvuru!$A:$A,"&lt;&gt;"&amp;"",Başvuru!$F:$F,"&lt;&gt;"&amp;""))</f>
        <v>0</v>
      </c>
      <c r="I231" s="162">
        <f>IF(C231="","",COUNTIFS(Başvuru!$C:$C,C231,Başvuru!$G:$G,"Yüksek Lisans Tezi",Başvuru!$A:$A,"&lt;&gt;"&amp;"",Başvuru!$F:$F,"&lt;&gt;"&amp;""))</f>
        <v>0</v>
      </c>
      <c r="J231" s="163">
        <f>IF(C231="","",COUNTIFS(Başvuru!$C:$C,C231,Başvuru!$L:$L,"ONAY",Başvuru!$A:$A,"&lt;&gt;"&amp;"",Başvuru!$F:$F,"&lt;&gt;"&amp;""))</f>
        <v>0</v>
      </c>
      <c r="K231" s="164">
        <f>IF(C231="","",COUNTIFS(Başvuru!$C:$C,C231,Başvuru!$L:$L,"DÜZELTME",Başvuru!$A:$A,"&lt;&gt;"&amp;"",Başvuru!$F:$F,"&lt;&gt;"&amp;""))</f>
        <v>1</v>
      </c>
      <c r="L231" s="165">
        <f>IF(C231="","",COUNTIFS(Başvuru!$C:$C,C231,Başvuru!$L:$L,"KAEK",Başvuru!$A:$A,"&lt;&gt;"&amp;"",Başvuru!$F:$F,"&lt;&gt;"&amp;""))</f>
        <v>0</v>
      </c>
      <c r="M231" s="166">
        <f>IF(C231="","",COUNTIFS(Başvuru!$C:$C,C231,Başvuru!$L:$L,"GÖRÜŞ",Başvuru!$A:$A,"&lt;&gt;"&amp;"",Başvuru!$F:$F,"&lt;&gt;"&amp;""))</f>
        <v>0</v>
      </c>
      <c r="N231" s="167">
        <f>IF(C231="","",COUNTIFS(Başvuru!$C:$C,C231,Başvuru!$L:$L,"RET",Başvuru!$A:$A,"&lt;&gt;"&amp;"",Başvuru!$F:$F,"&lt;&gt;"&amp;""))</f>
        <v>0</v>
      </c>
      <c r="O231" s="168">
        <f>IF(C231="","",COUNTIFS(Başvuru!$C:$C,C231,Başvuru!$L:$L,"KAPSAM DIŞI",Başvuru!$A:$A,"&lt;&gt;"&amp;"",Başvuru!$F:$F,"&lt;&gt;"&amp;""))</f>
        <v>0</v>
      </c>
      <c r="P231" s="169">
        <f>IF(C231="","",COUNTIFS(Başvuru!$C:$C,C231,Başvuru!$L:$L,"GERİ ÇEKİLDİ",Başvuru!$A:$A,"&lt;&gt;"&amp;"",Başvuru!$F:$F,"&lt;&gt;"&amp;""))</f>
        <v>0</v>
      </c>
      <c r="Q231" s="170" t="str">
        <f t="array" ref="Q231">IFERROR(INDEX(Başvuru!$C$2:$C$3000, MATCH(0, COUNTIF($Q$5:Q230, Başvuru!$C$2:$C$3000) + IF(Başvuru!$C$2:$C$3000="",1,0), 0)), "")</f>
        <v>Doç. Dr. Eda Ezgi ASLANTAŞ</v>
      </c>
      <c r="R231" s="171">
        <f>IF(Q231="","",COUNTIFS(Başvuru!$C:$C,Q231,Başvuru!$A:$A,"&lt;&gt;"&amp;"",Başvuru!$F:$F,"&lt;&gt;"&amp;""))</f>
        <v>2</v>
      </c>
      <c r="S231" s="171">
        <f>IF(R231="","",RANK(R231,$R$6:$R$505,0)+COUNTIF($R$6:R231,R231)-1)</f>
        <v>131</v>
      </c>
    </row>
    <row r="232" spans="2:19" ht="23.25" customHeight="1" x14ac:dyDescent="0.25">
      <c r="B232" s="159">
        <v>227</v>
      </c>
      <c r="C232" s="160" t="str">
        <f>IFERROR(INDEX($Q$6:$Q$505,MATCH(227,$S$6:$S$505,0)),"")</f>
        <v>Prof. Dr. Filiz YALÇIN</v>
      </c>
      <c r="D232" s="161">
        <f>IF(C232="","",COUNTIFS(Başvuru!$C:$C,C232,Başvuru!$A:$A,"&lt;&gt;"&amp;"",Başvuru!$F:$F,"&lt;&gt;"&amp;""))</f>
        <v>1</v>
      </c>
      <c r="E232" s="159" t="str">
        <f>IF(C232="","-",IF(D232&gt;0,TEXT(D232/(COUNTIFS(Başvuru!$A:$A,"&lt;&gt;",Başvuru!$F:$F,"&lt;&gt;")-1)*100,"0.0")&amp;"%","-"))</f>
        <v>00%</v>
      </c>
      <c r="F232" s="162">
        <f>IF(C232="","",COUNTIFS(Başvuru!$C:$C,C232,Başvuru!$G:$G,"Bireysel Araştırma",Başvuru!$A:$A,"&lt;&gt;"&amp;"",Başvuru!$F:$F,"&lt;&gt;"&amp;""))</f>
        <v>1</v>
      </c>
      <c r="G232" s="162">
        <f>IF(C232="","",COUNTIFS(Başvuru!$C:$C,C232,Başvuru!$G:$G,"Uzmanlık Tezi",Başvuru!$A:$A,"&lt;&gt;"&amp;"",Başvuru!$F:$F,"&lt;&gt;"&amp;""))</f>
        <v>0</v>
      </c>
      <c r="H232" s="162">
        <f>IF(C232="","",COUNTIFS(Başvuru!$C:$C,C232,Başvuru!$G:$G,"Doktora Tezi",Başvuru!$A:$A,"&lt;&gt;"&amp;"",Başvuru!$F:$F,"&lt;&gt;"&amp;""))</f>
        <v>0</v>
      </c>
      <c r="I232" s="162">
        <f>IF(C232="","",COUNTIFS(Başvuru!$C:$C,C232,Başvuru!$G:$G,"Yüksek Lisans Tezi",Başvuru!$A:$A,"&lt;&gt;"&amp;"",Başvuru!$F:$F,"&lt;&gt;"&amp;""))</f>
        <v>0</v>
      </c>
      <c r="J232" s="163">
        <f>IF(C232="","",COUNTIFS(Başvuru!$C:$C,C232,Başvuru!$L:$L,"ONAY",Başvuru!$A:$A,"&lt;&gt;"&amp;"",Başvuru!$F:$F,"&lt;&gt;"&amp;""))</f>
        <v>0</v>
      </c>
      <c r="K232" s="164">
        <f>IF(C232="","",COUNTIFS(Başvuru!$C:$C,C232,Başvuru!$L:$L,"DÜZELTME",Başvuru!$A:$A,"&lt;&gt;"&amp;"",Başvuru!$F:$F,"&lt;&gt;"&amp;""))</f>
        <v>1</v>
      </c>
      <c r="L232" s="165">
        <f>IF(C232="","",COUNTIFS(Başvuru!$C:$C,C232,Başvuru!$L:$L,"KAEK",Başvuru!$A:$A,"&lt;&gt;"&amp;"",Başvuru!$F:$F,"&lt;&gt;"&amp;""))</f>
        <v>0</v>
      </c>
      <c r="M232" s="166">
        <f>IF(C232="","",COUNTIFS(Başvuru!$C:$C,C232,Başvuru!$L:$L,"GÖRÜŞ",Başvuru!$A:$A,"&lt;&gt;"&amp;"",Başvuru!$F:$F,"&lt;&gt;"&amp;""))</f>
        <v>0</v>
      </c>
      <c r="N232" s="167">
        <f>IF(C232="","",COUNTIFS(Başvuru!$C:$C,C232,Başvuru!$L:$L,"RET",Başvuru!$A:$A,"&lt;&gt;"&amp;"",Başvuru!$F:$F,"&lt;&gt;"&amp;""))</f>
        <v>0</v>
      </c>
      <c r="O232" s="168">
        <f>IF(C232="","",COUNTIFS(Başvuru!$C:$C,C232,Başvuru!$L:$L,"KAPSAM DIŞI",Başvuru!$A:$A,"&lt;&gt;"&amp;"",Başvuru!$F:$F,"&lt;&gt;"&amp;""))</f>
        <v>0</v>
      </c>
      <c r="P232" s="169">
        <f>IF(C232="","",COUNTIFS(Başvuru!$C:$C,C232,Başvuru!$L:$L,"GERİ ÇEKİLDİ",Başvuru!$A:$A,"&lt;&gt;"&amp;"",Başvuru!$F:$F,"&lt;&gt;"&amp;""))</f>
        <v>0</v>
      </c>
      <c r="Q232" s="170" t="str">
        <f t="array" ref="Q232">IFERROR(INDEX(Başvuru!$C$2:$C$3000, MATCH(0, COUNTIF($Q$5:Q231, Başvuru!$C$2:$C$3000) + IF(Başvuru!$C$2:$C$3000="",1,0), 0)), "")</f>
        <v>Öğr. Gör. Dt. Diler DENİZ</v>
      </c>
      <c r="R232" s="171">
        <f>IF(Q232="","",COUNTIFS(Başvuru!$C:$C,Q232,Başvuru!$A:$A,"&lt;&gt;"&amp;"",Başvuru!$F:$F,"&lt;&gt;"&amp;""))</f>
        <v>1</v>
      </c>
      <c r="S232" s="171">
        <f>IF(R232="","",RANK(R232,$R$6:$R$505,0)+COUNTIF($R$6:R232,R232)-1)</f>
        <v>249</v>
      </c>
    </row>
    <row r="233" spans="2:19" ht="23.25" customHeight="1" x14ac:dyDescent="0.25">
      <c r="B233" s="159">
        <v>228</v>
      </c>
      <c r="C233" s="160" t="str">
        <f>IFERROR(INDEX($Q$6:$Q$505,MATCH(228,$S$6:$S$505,0)),"")</f>
        <v>Prof. Dr. Cavit Işık YAVUZ</v>
      </c>
      <c r="D233" s="161">
        <f>IF(C233="","",COUNTIFS(Başvuru!$C:$C,C233,Başvuru!$A:$A,"&lt;&gt;"&amp;"",Başvuru!$F:$F,"&lt;&gt;"&amp;""))</f>
        <v>1</v>
      </c>
      <c r="E233" s="159" t="str">
        <f>IF(C233="","-",IF(D233&gt;0,TEXT(D233/(COUNTIFS(Başvuru!$A:$A,"&lt;&gt;",Başvuru!$F:$F,"&lt;&gt;")-1)*100,"0.0")&amp;"%","-"))</f>
        <v>00%</v>
      </c>
      <c r="F233" s="162">
        <f>IF(C233="","",COUNTIFS(Başvuru!$C:$C,C233,Başvuru!$G:$G,"Bireysel Araştırma",Başvuru!$A:$A,"&lt;&gt;"&amp;"",Başvuru!$F:$F,"&lt;&gt;"&amp;""))</f>
        <v>1</v>
      </c>
      <c r="G233" s="162">
        <f>IF(C233="","",COUNTIFS(Başvuru!$C:$C,C233,Başvuru!$G:$G,"Uzmanlık Tezi",Başvuru!$A:$A,"&lt;&gt;"&amp;"",Başvuru!$F:$F,"&lt;&gt;"&amp;""))</f>
        <v>0</v>
      </c>
      <c r="H233" s="162">
        <f>IF(C233="","",COUNTIFS(Başvuru!$C:$C,C233,Başvuru!$G:$G,"Doktora Tezi",Başvuru!$A:$A,"&lt;&gt;"&amp;"",Başvuru!$F:$F,"&lt;&gt;"&amp;""))</f>
        <v>0</v>
      </c>
      <c r="I233" s="162">
        <f>IF(C233="","",COUNTIFS(Başvuru!$C:$C,C233,Başvuru!$G:$G,"Yüksek Lisans Tezi",Başvuru!$A:$A,"&lt;&gt;"&amp;"",Başvuru!$F:$F,"&lt;&gt;"&amp;""))</f>
        <v>0</v>
      </c>
      <c r="J233" s="163">
        <f>IF(C233="","",COUNTIFS(Başvuru!$C:$C,C233,Başvuru!$L:$L,"ONAY",Başvuru!$A:$A,"&lt;&gt;"&amp;"",Başvuru!$F:$F,"&lt;&gt;"&amp;""))</f>
        <v>1</v>
      </c>
      <c r="K233" s="164">
        <f>IF(C233="","",COUNTIFS(Başvuru!$C:$C,C233,Başvuru!$L:$L,"DÜZELTME",Başvuru!$A:$A,"&lt;&gt;"&amp;"",Başvuru!$F:$F,"&lt;&gt;"&amp;""))</f>
        <v>0</v>
      </c>
      <c r="L233" s="165">
        <f>IF(C233="","",COUNTIFS(Başvuru!$C:$C,C233,Başvuru!$L:$L,"KAEK",Başvuru!$A:$A,"&lt;&gt;"&amp;"",Başvuru!$F:$F,"&lt;&gt;"&amp;""))</f>
        <v>0</v>
      </c>
      <c r="M233" s="166">
        <f>IF(C233="","",COUNTIFS(Başvuru!$C:$C,C233,Başvuru!$L:$L,"GÖRÜŞ",Başvuru!$A:$A,"&lt;&gt;"&amp;"",Başvuru!$F:$F,"&lt;&gt;"&amp;""))</f>
        <v>0</v>
      </c>
      <c r="N233" s="167">
        <f>IF(C233="","",COUNTIFS(Başvuru!$C:$C,C233,Başvuru!$L:$L,"RET",Başvuru!$A:$A,"&lt;&gt;"&amp;"",Başvuru!$F:$F,"&lt;&gt;"&amp;""))</f>
        <v>0</v>
      </c>
      <c r="O233" s="168">
        <f>IF(C233="","",COUNTIFS(Başvuru!$C:$C,C233,Başvuru!$L:$L,"KAPSAM DIŞI",Başvuru!$A:$A,"&lt;&gt;"&amp;"",Başvuru!$F:$F,"&lt;&gt;"&amp;""))</f>
        <v>0</v>
      </c>
      <c r="P233" s="169">
        <f>IF(C233="","",COUNTIFS(Başvuru!$C:$C,C233,Başvuru!$L:$L,"GERİ ÇEKİLDİ",Başvuru!$A:$A,"&lt;&gt;"&amp;"",Başvuru!$F:$F,"&lt;&gt;"&amp;""))</f>
        <v>0</v>
      </c>
      <c r="Q233" s="170" t="str">
        <f t="array" ref="Q233">IFERROR(INDEX(Başvuru!$C$2:$C$3000, MATCH(0, COUNTIF($Q$5:Q232, Başvuru!$C$2:$C$3000) + IF(Başvuru!$C$2:$C$3000="",1,0), 0)), "")</f>
        <v>Prof. Dr. İncilay LAY</v>
      </c>
      <c r="R233" s="171">
        <f>IF(Q233="","",COUNTIFS(Başvuru!$C:$C,Q233,Başvuru!$A:$A,"&lt;&gt;"&amp;"",Başvuru!$F:$F,"&lt;&gt;"&amp;""))</f>
        <v>1</v>
      </c>
      <c r="S233" s="171">
        <f>IF(R233="","",RANK(R233,$R$6:$R$505,0)+COUNTIF($R$6:R233,R233)-1)</f>
        <v>250</v>
      </c>
    </row>
    <row r="234" spans="2:19" ht="23.25" customHeight="1" x14ac:dyDescent="0.25">
      <c r="B234" s="159">
        <v>229</v>
      </c>
      <c r="C234" s="160" t="str">
        <f>IFERROR(INDEX($Q$6:$Q$505,MATCH(229,$S$6:$S$505,0)),"")</f>
        <v>Dr. Öğr. Üyesi Burçe ATAÇ MOGOL</v>
      </c>
      <c r="D234" s="161">
        <f>IF(C234="","",COUNTIFS(Başvuru!$C:$C,C234,Başvuru!$A:$A,"&lt;&gt;"&amp;"",Başvuru!$F:$F,"&lt;&gt;"&amp;""))</f>
        <v>1</v>
      </c>
      <c r="E234" s="159" t="str">
        <f>IF(C234="","-",IF(D234&gt;0,TEXT(D234/(COUNTIFS(Başvuru!$A:$A,"&lt;&gt;",Başvuru!$F:$F,"&lt;&gt;")-1)*100,"0.0")&amp;"%","-"))</f>
        <v>00%</v>
      </c>
      <c r="F234" s="162">
        <f>IF(C234="","",COUNTIFS(Başvuru!$C:$C,C234,Başvuru!$G:$G,"Bireysel Araştırma",Başvuru!$A:$A,"&lt;&gt;"&amp;"",Başvuru!$F:$F,"&lt;&gt;"&amp;""))</f>
        <v>0</v>
      </c>
      <c r="G234" s="162">
        <f>IF(C234="","",COUNTIFS(Başvuru!$C:$C,C234,Başvuru!$G:$G,"Uzmanlık Tezi",Başvuru!$A:$A,"&lt;&gt;"&amp;"",Başvuru!$F:$F,"&lt;&gt;"&amp;""))</f>
        <v>0</v>
      </c>
      <c r="H234" s="162">
        <f>IF(C234="","",COUNTIFS(Başvuru!$C:$C,C234,Başvuru!$G:$G,"Doktora Tezi",Başvuru!$A:$A,"&lt;&gt;"&amp;"",Başvuru!$F:$F,"&lt;&gt;"&amp;""))</f>
        <v>0</v>
      </c>
      <c r="I234" s="162">
        <f>IF(C234="","",COUNTIFS(Başvuru!$C:$C,C234,Başvuru!$G:$G,"Yüksek Lisans Tezi",Başvuru!$A:$A,"&lt;&gt;"&amp;"",Başvuru!$F:$F,"&lt;&gt;"&amp;""))</f>
        <v>1</v>
      </c>
      <c r="J234" s="163">
        <f>IF(C234="","",COUNTIFS(Başvuru!$C:$C,C234,Başvuru!$L:$L,"ONAY",Başvuru!$A:$A,"&lt;&gt;"&amp;"",Başvuru!$F:$F,"&lt;&gt;"&amp;""))</f>
        <v>0</v>
      </c>
      <c r="K234" s="164">
        <f>IF(C234="","",COUNTIFS(Başvuru!$C:$C,C234,Başvuru!$L:$L,"DÜZELTME",Başvuru!$A:$A,"&lt;&gt;"&amp;"",Başvuru!$F:$F,"&lt;&gt;"&amp;""))</f>
        <v>1</v>
      </c>
      <c r="L234" s="165">
        <f>IF(C234="","",COUNTIFS(Başvuru!$C:$C,C234,Başvuru!$L:$L,"KAEK",Başvuru!$A:$A,"&lt;&gt;"&amp;"",Başvuru!$F:$F,"&lt;&gt;"&amp;""))</f>
        <v>0</v>
      </c>
      <c r="M234" s="166">
        <f>IF(C234="","",COUNTIFS(Başvuru!$C:$C,C234,Başvuru!$L:$L,"GÖRÜŞ",Başvuru!$A:$A,"&lt;&gt;"&amp;"",Başvuru!$F:$F,"&lt;&gt;"&amp;""))</f>
        <v>0</v>
      </c>
      <c r="N234" s="167">
        <f>IF(C234="","",COUNTIFS(Başvuru!$C:$C,C234,Başvuru!$L:$L,"RET",Başvuru!$A:$A,"&lt;&gt;"&amp;"",Başvuru!$F:$F,"&lt;&gt;"&amp;""))</f>
        <v>0</v>
      </c>
      <c r="O234" s="168">
        <f>IF(C234="","",COUNTIFS(Başvuru!$C:$C,C234,Başvuru!$L:$L,"KAPSAM DIŞI",Başvuru!$A:$A,"&lt;&gt;"&amp;"",Başvuru!$F:$F,"&lt;&gt;"&amp;""))</f>
        <v>0</v>
      </c>
      <c r="P234" s="169">
        <f>IF(C234="","",COUNTIFS(Başvuru!$C:$C,C234,Başvuru!$L:$L,"GERİ ÇEKİLDİ",Başvuru!$A:$A,"&lt;&gt;"&amp;"",Başvuru!$F:$F,"&lt;&gt;"&amp;""))</f>
        <v>0</v>
      </c>
      <c r="Q234" s="170" t="str">
        <f t="array" ref="Q234">IFERROR(INDEX(Başvuru!$C$2:$C$3000, MATCH(0, COUNTIF($Q$5:Q233, Başvuru!$C$2:$C$3000) + IF(Başvuru!$C$2:$C$3000="",1,0), 0)), "")</f>
        <v>Doç. Dr. Şükran Gülin EVİNÇ</v>
      </c>
      <c r="R234" s="171">
        <f>IF(Q234="","",COUNTIFS(Başvuru!$C:$C,Q234,Başvuru!$A:$A,"&lt;&gt;"&amp;"",Başvuru!$F:$F,"&lt;&gt;"&amp;""))</f>
        <v>1</v>
      </c>
      <c r="S234" s="171">
        <f>IF(R234="","",RANK(R234,$R$6:$R$505,0)+COUNTIF($R$6:R234,R234)-1)</f>
        <v>251</v>
      </c>
    </row>
    <row r="235" spans="2:19" ht="23.25" customHeight="1" x14ac:dyDescent="0.25">
      <c r="B235" s="159">
        <v>230</v>
      </c>
      <c r="C235" s="160" t="str">
        <f>IFERROR(INDEX($Q$6:$Q$505,MATCH(230,$S$6:$S$505,0)),"")</f>
        <v>Doç. Dr. Cansu ÖZŞİN ÖZLER</v>
      </c>
      <c r="D235" s="161">
        <f>IF(C235="","",COUNTIFS(Başvuru!$C:$C,C235,Başvuru!$A:$A,"&lt;&gt;"&amp;"",Başvuru!$F:$F,"&lt;&gt;"&amp;""))</f>
        <v>1</v>
      </c>
      <c r="E235" s="159" t="str">
        <f>IF(C235="","-",IF(D235&gt;0,TEXT(D235/(COUNTIFS(Başvuru!$A:$A,"&lt;&gt;",Başvuru!$F:$F,"&lt;&gt;")-1)*100,"0.0")&amp;"%","-"))</f>
        <v>00%</v>
      </c>
      <c r="F235" s="162">
        <f>IF(C235="","",COUNTIFS(Başvuru!$C:$C,C235,Başvuru!$G:$G,"Bireysel Araştırma",Başvuru!$A:$A,"&lt;&gt;"&amp;"",Başvuru!$F:$F,"&lt;&gt;"&amp;""))</f>
        <v>0</v>
      </c>
      <c r="G235" s="162">
        <f>IF(C235="","",COUNTIFS(Başvuru!$C:$C,C235,Başvuru!$G:$G,"Uzmanlık Tezi",Başvuru!$A:$A,"&lt;&gt;"&amp;"",Başvuru!$F:$F,"&lt;&gt;"&amp;""))</f>
        <v>1</v>
      </c>
      <c r="H235" s="162">
        <f>IF(C235="","",COUNTIFS(Başvuru!$C:$C,C235,Başvuru!$G:$G,"Doktora Tezi",Başvuru!$A:$A,"&lt;&gt;"&amp;"",Başvuru!$F:$F,"&lt;&gt;"&amp;""))</f>
        <v>0</v>
      </c>
      <c r="I235" s="162">
        <f>IF(C235="","",COUNTIFS(Başvuru!$C:$C,C235,Başvuru!$G:$G,"Yüksek Lisans Tezi",Başvuru!$A:$A,"&lt;&gt;"&amp;"",Başvuru!$F:$F,"&lt;&gt;"&amp;""))</f>
        <v>0</v>
      </c>
      <c r="J235" s="163">
        <f>IF(C235="","",COUNTIFS(Başvuru!$C:$C,C235,Başvuru!$L:$L,"ONAY",Başvuru!$A:$A,"&lt;&gt;"&amp;"",Başvuru!$F:$F,"&lt;&gt;"&amp;""))</f>
        <v>1</v>
      </c>
      <c r="K235" s="164">
        <f>IF(C235="","",COUNTIFS(Başvuru!$C:$C,C235,Başvuru!$L:$L,"DÜZELTME",Başvuru!$A:$A,"&lt;&gt;"&amp;"",Başvuru!$F:$F,"&lt;&gt;"&amp;""))</f>
        <v>0</v>
      </c>
      <c r="L235" s="165">
        <f>IF(C235="","",COUNTIFS(Başvuru!$C:$C,C235,Başvuru!$L:$L,"KAEK",Başvuru!$A:$A,"&lt;&gt;"&amp;"",Başvuru!$F:$F,"&lt;&gt;"&amp;""))</f>
        <v>0</v>
      </c>
      <c r="M235" s="166">
        <f>IF(C235="","",COUNTIFS(Başvuru!$C:$C,C235,Başvuru!$L:$L,"GÖRÜŞ",Başvuru!$A:$A,"&lt;&gt;"&amp;"",Başvuru!$F:$F,"&lt;&gt;"&amp;""))</f>
        <v>0</v>
      </c>
      <c r="N235" s="167">
        <f>IF(C235="","",COUNTIFS(Başvuru!$C:$C,C235,Başvuru!$L:$L,"RET",Başvuru!$A:$A,"&lt;&gt;"&amp;"",Başvuru!$F:$F,"&lt;&gt;"&amp;""))</f>
        <v>0</v>
      </c>
      <c r="O235" s="168">
        <f>IF(C235="","",COUNTIFS(Başvuru!$C:$C,C235,Başvuru!$L:$L,"KAPSAM DIŞI",Başvuru!$A:$A,"&lt;&gt;"&amp;"",Başvuru!$F:$F,"&lt;&gt;"&amp;""))</f>
        <v>0</v>
      </c>
      <c r="P235" s="169">
        <f>IF(C235="","",COUNTIFS(Başvuru!$C:$C,C235,Başvuru!$L:$L,"GERİ ÇEKİLDİ",Başvuru!$A:$A,"&lt;&gt;"&amp;"",Başvuru!$F:$F,"&lt;&gt;"&amp;""))</f>
        <v>0</v>
      </c>
      <c r="Q235" s="170" t="str">
        <f t="array" ref="Q235">IFERROR(INDEX(Başvuru!$C$2:$C$3000, MATCH(0, COUNTIF($Q$5:Q234, Başvuru!$C$2:$C$3000) + IF(Başvuru!$C$2:$C$3000="",1,0), 0)), "")</f>
        <v>Prof. Dr. Melek Dilek TURGUT</v>
      </c>
      <c r="R235" s="171">
        <f>IF(Q235="","",COUNTIFS(Başvuru!$C:$C,Q235,Başvuru!$A:$A,"&lt;&gt;"&amp;"",Başvuru!$F:$F,"&lt;&gt;"&amp;""))</f>
        <v>1</v>
      </c>
      <c r="S235" s="171">
        <f>IF(R235="","",RANK(R235,$R$6:$R$505,0)+COUNTIF($R$6:R235,R235)-1)</f>
        <v>252</v>
      </c>
    </row>
    <row r="236" spans="2:19" ht="23.25" customHeight="1" x14ac:dyDescent="0.25">
      <c r="B236" s="159">
        <v>231</v>
      </c>
      <c r="C236" s="160" t="str">
        <f>IFERROR(INDEX($Q$6:$Q$505,MATCH(231,$S$6:$S$505,0)),"")</f>
        <v>Öğr. Gör. Dr. Tuğçe TAŞKINDERE ABBASOĞLU</v>
      </c>
      <c r="D236" s="161">
        <f>IF(C236="","",COUNTIFS(Başvuru!$C:$C,C236,Başvuru!$A:$A,"&lt;&gt;"&amp;"",Başvuru!$F:$F,"&lt;&gt;"&amp;""))</f>
        <v>1</v>
      </c>
      <c r="E236" s="159" t="str">
        <f>IF(C236="","-",IF(D236&gt;0,TEXT(D236/(COUNTIFS(Başvuru!$A:$A,"&lt;&gt;",Başvuru!$F:$F,"&lt;&gt;")-1)*100,"0.0")&amp;"%","-"))</f>
        <v>00%</v>
      </c>
      <c r="F236" s="162">
        <f>IF(C236="","",COUNTIFS(Başvuru!$C:$C,C236,Başvuru!$G:$G,"Bireysel Araştırma",Başvuru!$A:$A,"&lt;&gt;"&amp;"",Başvuru!$F:$F,"&lt;&gt;"&amp;""))</f>
        <v>1</v>
      </c>
      <c r="G236" s="162">
        <f>IF(C236="","",COUNTIFS(Başvuru!$C:$C,C236,Başvuru!$G:$G,"Uzmanlık Tezi",Başvuru!$A:$A,"&lt;&gt;"&amp;"",Başvuru!$F:$F,"&lt;&gt;"&amp;""))</f>
        <v>0</v>
      </c>
      <c r="H236" s="162">
        <f>IF(C236="","",COUNTIFS(Başvuru!$C:$C,C236,Başvuru!$G:$G,"Doktora Tezi",Başvuru!$A:$A,"&lt;&gt;"&amp;"",Başvuru!$F:$F,"&lt;&gt;"&amp;""))</f>
        <v>0</v>
      </c>
      <c r="I236" s="162">
        <f>IF(C236="","",COUNTIFS(Başvuru!$C:$C,C236,Başvuru!$G:$G,"Yüksek Lisans Tezi",Başvuru!$A:$A,"&lt;&gt;"&amp;"",Başvuru!$F:$F,"&lt;&gt;"&amp;""))</f>
        <v>0</v>
      </c>
      <c r="J236" s="163">
        <f>IF(C236="","",COUNTIFS(Başvuru!$C:$C,C236,Başvuru!$L:$L,"ONAY",Başvuru!$A:$A,"&lt;&gt;"&amp;"",Başvuru!$F:$F,"&lt;&gt;"&amp;""))</f>
        <v>1</v>
      </c>
      <c r="K236" s="164">
        <f>IF(C236="","",COUNTIFS(Başvuru!$C:$C,C236,Başvuru!$L:$L,"DÜZELTME",Başvuru!$A:$A,"&lt;&gt;"&amp;"",Başvuru!$F:$F,"&lt;&gt;"&amp;""))</f>
        <v>0</v>
      </c>
      <c r="L236" s="165">
        <f>IF(C236="","",COUNTIFS(Başvuru!$C:$C,C236,Başvuru!$L:$L,"KAEK",Başvuru!$A:$A,"&lt;&gt;"&amp;"",Başvuru!$F:$F,"&lt;&gt;"&amp;""))</f>
        <v>0</v>
      </c>
      <c r="M236" s="166">
        <f>IF(C236="","",COUNTIFS(Başvuru!$C:$C,C236,Başvuru!$L:$L,"GÖRÜŞ",Başvuru!$A:$A,"&lt;&gt;"&amp;"",Başvuru!$F:$F,"&lt;&gt;"&amp;""))</f>
        <v>0</v>
      </c>
      <c r="N236" s="167">
        <f>IF(C236="","",COUNTIFS(Başvuru!$C:$C,C236,Başvuru!$L:$L,"RET",Başvuru!$A:$A,"&lt;&gt;"&amp;"",Başvuru!$F:$F,"&lt;&gt;"&amp;""))</f>
        <v>0</v>
      </c>
      <c r="O236" s="168">
        <f>IF(C236="","",COUNTIFS(Başvuru!$C:$C,C236,Başvuru!$L:$L,"KAPSAM DIŞI",Başvuru!$A:$A,"&lt;&gt;"&amp;"",Başvuru!$F:$F,"&lt;&gt;"&amp;""))</f>
        <v>0</v>
      </c>
      <c r="P236" s="169">
        <f>IF(C236="","",COUNTIFS(Başvuru!$C:$C,C236,Başvuru!$L:$L,"GERİ ÇEKİLDİ",Başvuru!$A:$A,"&lt;&gt;"&amp;"",Başvuru!$F:$F,"&lt;&gt;"&amp;""))</f>
        <v>0</v>
      </c>
      <c r="Q236" s="170" t="str">
        <f t="array" ref="Q236">IFERROR(INDEX(Başvuru!$C$2:$C$3000, MATCH(0, COUNTIF($Q$5:Q235, Başvuru!$C$2:$C$3000) + IF(Başvuru!$C$2:$C$3000="",1,0), 0)), "")</f>
        <v>Doç. Dr. Burak ARDIÇLI</v>
      </c>
      <c r="R236" s="171">
        <f>IF(Q236="","",COUNTIFS(Başvuru!$C:$C,Q236,Başvuru!$A:$A,"&lt;&gt;"&amp;"",Başvuru!$F:$F,"&lt;&gt;"&amp;""))</f>
        <v>1</v>
      </c>
      <c r="S236" s="171">
        <f>IF(R236="","",RANK(R236,$R$6:$R$505,0)+COUNTIF($R$6:R236,R236)-1)</f>
        <v>253</v>
      </c>
    </row>
    <row r="237" spans="2:19" ht="23.25" customHeight="1" x14ac:dyDescent="0.25">
      <c r="B237" s="159">
        <v>232</v>
      </c>
      <c r="C237" s="160" t="str">
        <f>IFERROR(INDEX($Q$6:$Q$505,MATCH(232,$S$6:$S$505,0)),"")</f>
        <v>Dr. Öğr. Üyesi Selin ARDALI DÜZGÜN</v>
      </c>
      <c r="D237" s="161">
        <f>IF(C237="","",COUNTIFS(Başvuru!$C:$C,C237,Başvuru!$A:$A,"&lt;&gt;"&amp;"",Başvuru!$F:$F,"&lt;&gt;"&amp;""))</f>
        <v>1</v>
      </c>
      <c r="E237" s="159" t="str">
        <f>IF(C237="","-",IF(D237&gt;0,TEXT(D237/(COUNTIFS(Başvuru!$A:$A,"&lt;&gt;",Başvuru!$F:$F,"&lt;&gt;")-1)*100,"0.0")&amp;"%","-"))</f>
        <v>00%</v>
      </c>
      <c r="F237" s="162">
        <f>IF(C237="","",COUNTIFS(Başvuru!$C:$C,C237,Başvuru!$G:$G,"Bireysel Araştırma",Başvuru!$A:$A,"&lt;&gt;"&amp;"",Başvuru!$F:$F,"&lt;&gt;"&amp;""))</f>
        <v>1</v>
      </c>
      <c r="G237" s="162">
        <f>IF(C237="","",COUNTIFS(Başvuru!$C:$C,C237,Başvuru!$G:$G,"Uzmanlık Tezi",Başvuru!$A:$A,"&lt;&gt;"&amp;"",Başvuru!$F:$F,"&lt;&gt;"&amp;""))</f>
        <v>0</v>
      </c>
      <c r="H237" s="162">
        <f>IF(C237="","",COUNTIFS(Başvuru!$C:$C,C237,Başvuru!$G:$G,"Doktora Tezi",Başvuru!$A:$A,"&lt;&gt;"&amp;"",Başvuru!$F:$F,"&lt;&gt;"&amp;""))</f>
        <v>0</v>
      </c>
      <c r="I237" s="162">
        <f>IF(C237="","",COUNTIFS(Başvuru!$C:$C,C237,Başvuru!$G:$G,"Yüksek Lisans Tezi",Başvuru!$A:$A,"&lt;&gt;"&amp;"",Başvuru!$F:$F,"&lt;&gt;"&amp;""))</f>
        <v>0</v>
      </c>
      <c r="J237" s="163">
        <f>IF(C237="","",COUNTIFS(Başvuru!$C:$C,C237,Başvuru!$L:$L,"ONAY",Başvuru!$A:$A,"&lt;&gt;"&amp;"",Başvuru!$F:$F,"&lt;&gt;"&amp;""))</f>
        <v>1</v>
      </c>
      <c r="K237" s="164">
        <f>IF(C237="","",COUNTIFS(Başvuru!$C:$C,C237,Başvuru!$L:$L,"DÜZELTME",Başvuru!$A:$A,"&lt;&gt;"&amp;"",Başvuru!$F:$F,"&lt;&gt;"&amp;""))</f>
        <v>0</v>
      </c>
      <c r="L237" s="165">
        <f>IF(C237="","",COUNTIFS(Başvuru!$C:$C,C237,Başvuru!$L:$L,"KAEK",Başvuru!$A:$A,"&lt;&gt;"&amp;"",Başvuru!$F:$F,"&lt;&gt;"&amp;""))</f>
        <v>0</v>
      </c>
      <c r="M237" s="166">
        <f>IF(C237="","",COUNTIFS(Başvuru!$C:$C,C237,Başvuru!$L:$L,"GÖRÜŞ",Başvuru!$A:$A,"&lt;&gt;"&amp;"",Başvuru!$F:$F,"&lt;&gt;"&amp;""))</f>
        <v>0</v>
      </c>
      <c r="N237" s="167">
        <f>IF(C237="","",COUNTIFS(Başvuru!$C:$C,C237,Başvuru!$L:$L,"RET",Başvuru!$A:$A,"&lt;&gt;"&amp;"",Başvuru!$F:$F,"&lt;&gt;"&amp;""))</f>
        <v>0</v>
      </c>
      <c r="O237" s="168">
        <f>IF(C237="","",COUNTIFS(Başvuru!$C:$C,C237,Başvuru!$L:$L,"KAPSAM DIŞI",Başvuru!$A:$A,"&lt;&gt;"&amp;"",Başvuru!$F:$F,"&lt;&gt;"&amp;""))</f>
        <v>0</v>
      </c>
      <c r="P237" s="169">
        <f>IF(C237="","",COUNTIFS(Başvuru!$C:$C,C237,Başvuru!$L:$L,"GERİ ÇEKİLDİ",Başvuru!$A:$A,"&lt;&gt;"&amp;"",Başvuru!$F:$F,"&lt;&gt;"&amp;""))</f>
        <v>0</v>
      </c>
      <c r="Q237" s="170" t="str">
        <f t="array" ref="Q237">IFERROR(INDEX(Başvuru!$C$2:$C$3000, MATCH(0, COUNTIF($Q$5:Q236, Başvuru!$C$2:$C$3000) + IF(Başvuru!$C$2:$C$3000="",1,0), 0)), "")</f>
        <v>Prof. Dr. Şevkiye Selin AYTAÇ EYÜPOĞLU</v>
      </c>
      <c r="R237" s="171">
        <f>IF(Q237="","",COUNTIFS(Başvuru!$C:$C,Q237,Başvuru!$A:$A,"&lt;&gt;"&amp;"",Başvuru!$F:$F,"&lt;&gt;"&amp;""))</f>
        <v>1</v>
      </c>
      <c r="S237" s="171">
        <f>IF(R237="","",RANK(R237,$R$6:$R$505,0)+COUNTIF($R$6:R237,R237)-1)</f>
        <v>254</v>
      </c>
    </row>
    <row r="238" spans="2:19" ht="23.25" customHeight="1" x14ac:dyDescent="0.25">
      <c r="B238" s="159">
        <v>233</v>
      </c>
      <c r="C238" s="160" t="str">
        <f>IFERROR(INDEX($Q$6:$Q$505,MATCH(233,$S$6:$S$505,0)),"")</f>
        <v>Prof. Dr. Kasım KARATAŞ</v>
      </c>
      <c r="D238" s="161">
        <f>IF(C238="","",COUNTIFS(Başvuru!$C:$C,C238,Başvuru!$A:$A,"&lt;&gt;"&amp;"",Başvuru!$F:$F,"&lt;&gt;"&amp;""))</f>
        <v>1</v>
      </c>
      <c r="E238" s="159" t="str">
        <f>IF(C238="","-",IF(D238&gt;0,TEXT(D238/(COUNTIFS(Başvuru!$A:$A,"&lt;&gt;",Başvuru!$F:$F,"&lt;&gt;")-1)*100,"0.0")&amp;"%","-"))</f>
        <v>00%</v>
      </c>
      <c r="F238" s="162">
        <f>IF(C238="","",COUNTIFS(Başvuru!$C:$C,C238,Başvuru!$G:$G,"Bireysel Araştırma",Başvuru!$A:$A,"&lt;&gt;"&amp;"",Başvuru!$F:$F,"&lt;&gt;"&amp;""))</f>
        <v>1</v>
      </c>
      <c r="G238" s="162">
        <f>IF(C238="","",COUNTIFS(Başvuru!$C:$C,C238,Başvuru!$G:$G,"Uzmanlık Tezi",Başvuru!$A:$A,"&lt;&gt;"&amp;"",Başvuru!$F:$F,"&lt;&gt;"&amp;""))</f>
        <v>0</v>
      </c>
      <c r="H238" s="162">
        <f>IF(C238="","",COUNTIFS(Başvuru!$C:$C,C238,Başvuru!$G:$G,"Doktora Tezi",Başvuru!$A:$A,"&lt;&gt;"&amp;"",Başvuru!$F:$F,"&lt;&gt;"&amp;""))</f>
        <v>0</v>
      </c>
      <c r="I238" s="162">
        <f>IF(C238="","",COUNTIFS(Başvuru!$C:$C,C238,Başvuru!$G:$G,"Yüksek Lisans Tezi",Başvuru!$A:$A,"&lt;&gt;"&amp;"",Başvuru!$F:$F,"&lt;&gt;"&amp;""))</f>
        <v>0</v>
      </c>
      <c r="J238" s="163">
        <f>IF(C238="","",COUNTIFS(Başvuru!$C:$C,C238,Başvuru!$L:$L,"ONAY",Başvuru!$A:$A,"&lt;&gt;"&amp;"",Başvuru!$F:$F,"&lt;&gt;"&amp;""))</f>
        <v>0</v>
      </c>
      <c r="K238" s="164">
        <f>IF(C238="","",COUNTIFS(Başvuru!$C:$C,C238,Başvuru!$L:$L,"DÜZELTME",Başvuru!$A:$A,"&lt;&gt;"&amp;"",Başvuru!$F:$F,"&lt;&gt;"&amp;""))</f>
        <v>1</v>
      </c>
      <c r="L238" s="165">
        <f>IF(C238="","",COUNTIFS(Başvuru!$C:$C,C238,Başvuru!$L:$L,"KAEK",Başvuru!$A:$A,"&lt;&gt;"&amp;"",Başvuru!$F:$F,"&lt;&gt;"&amp;""))</f>
        <v>0</v>
      </c>
      <c r="M238" s="166">
        <f>IF(C238="","",COUNTIFS(Başvuru!$C:$C,C238,Başvuru!$L:$L,"GÖRÜŞ",Başvuru!$A:$A,"&lt;&gt;"&amp;"",Başvuru!$F:$F,"&lt;&gt;"&amp;""))</f>
        <v>0</v>
      </c>
      <c r="N238" s="167">
        <f>IF(C238="","",COUNTIFS(Başvuru!$C:$C,C238,Başvuru!$L:$L,"RET",Başvuru!$A:$A,"&lt;&gt;"&amp;"",Başvuru!$F:$F,"&lt;&gt;"&amp;""))</f>
        <v>0</v>
      </c>
      <c r="O238" s="168">
        <f>IF(C238="","",COUNTIFS(Başvuru!$C:$C,C238,Başvuru!$L:$L,"KAPSAM DIŞI",Başvuru!$A:$A,"&lt;&gt;"&amp;"",Başvuru!$F:$F,"&lt;&gt;"&amp;""))</f>
        <v>0</v>
      </c>
      <c r="P238" s="169">
        <f>IF(C238="","",COUNTIFS(Başvuru!$C:$C,C238,Başvuru!$L:$L,"GERİ ÇEKİLDİ",Başvuru!$A:$A,"&lt;&gt;"&amp;"",Başvuru!$F:$F,"&lt;&gt;"&amp;""))</f>
        <v>0</v>
      </c>
      <c r="Q238" s="170" t="str">
        <f t="array" ref="Q238">IFERROR(INDEX(Başvuru!$C$2:$C$3000, MATCH(0, COUNTIF($Q$5:Q237, Başvuru!$C$2:$C$3000) + IF(Başvuru!$C$2:$C$3000="",1,0), 0)), "")</f>
        <v>Prof. Dr. Elmas Ebru YALÇIN</v>
      </c>
      <c r="R238" s="171">
        <f>IF(Q238="","",COUNTIFS(Başvuru!$C:$C,Q238,Başvuru!$A:$A,"&lt;&gt;"&amp;"",Başvuru!$F:$F,"&lt;&gt;"&amp;""))</f>
        <v>1</v>
      </c>
      <c r="S238" s="171">
        <f>IF(R238="","",RANK(R238,$R$6:$R$505,0)+COUNTIF($R$6:R238,R238)-1)</f>
        <v>255</v>
      </c>
    </row>
    <row r="239" spans="2:19" ht="23.25" customHeight="1" x14ac:dyDescent="0.25">
      <c r="B239" s="159">
        <v>234</v>
      </c>
      <c r="C239" s="160" t="str">
        <f>IFERROR(INDEX($Q$6:$Q$505,MATCH(234,$S$6:$S$505,0)),"")</f>
        <v>Dr. Öğr. Üyesi Evrim ÜNVER</v>
      </c>
      <c r="D239" s="161">
        <f>IF(C239="","",COUNTIFS(Başvuru!$C:$C,C239,Başvuru!$A:$A,"&lt;&gt;"&amp;"",Başvuru!$F:$F,"&lt;&gt;"&amp;""))</f>
        <v>1</v>
      </c>
      <c r="E239" s="159" t="str">
        <f>IF(C239="","-",IF(D239&gt;0,TEXT(D239/(COUNTIFS(Başvuru!$A:$A,"&lt;&gt;",Başvuru!$F:$F,"&lt;&gt;")-1)*100,"0.0")&amp;"%","-"))</f>
        <v>00%</v>
      </c>
      <c r="F239" s="162">
        <f>IF(C239="","",COUNTIFS(Başvuru!$C:$C,C239,Başvuru!$G:$G,"Bireysel Araştırma",Başvuru!$A:$A,"&lt;&gt;"&amp;"",Başvuru!$F:$F,"&lt;&gt;"&amp;""))</f>
        <v>1</v>
      </c>
      <c r="G239" s="162">
        <f>IF(C239="","",COUNTIFS(Başvuru!$C:$C,C239,Başvuru!$G:$G,"Uzmanlık Tezi",Başvuru!$A:$A,"&lt;&gt;"&amp;"",Başvuru!$F:$F,"&lt;&gt;"&amp;""))</f>
        <v>0</v>
      </c>
      <c r="H239" s="162">
        <f>IF(C239="","",COUNTIFS(Başvuru!$C:$C,C239,Başvuru!$G:$G,"Doktora Tezi",Başvuru!$A:$A,"&lt;&gt;"&amp;"",Başvuru!$F:$F,"&lt;&gt;"&amp;""))</f>
        <v>0</v>
      </c>
      <c r="I239" s="162">
        <f>IF(C239="","",COUNTIFS(Başvuru!$C:$C,C239,Başvuru!$G:$G,"Yüksek Lisans Tezi",Başvuru!$A:$A,"&lt;&gt;"&amp;"",Başvuru!$F:$F,"&lt;&gt;"&amp;""))</f>
        <v>0</v>
      </c>
      <c r="J239" s="163">
        <f>IF(C239="","",COUNTIFS(Başvuru!$C:$C,C239,Başvuru!$L:$L,"ONAY",Başvuru!$A:$A,"&lt;&gt;"&amp;"",Başvuru!$F:$F,"&lt;&gt;"&amp;""))</f>
        <v>1</v>
      </c>
      <c r="K239" s="164">
        <f>IF(C239="","",COUNTIFS(Başvuru!$C:$C,C239,Başvuru!$L:$L,"DÜZELTME",Başvuru!$A:$A,"&lt;&gt;"&amp;"",Başvuru!$F:$F,"&lt;&gt;"&amp;""))</f>
        <v>0</v>
      </c>
      <c r="L239" s="165">
        <f>IF(C239="","",COUNTIFS(Başvuru!$C:$C,C239,Başvuru!$L:$L,"KAEK",Başvuru!$A:$A,"&lt;&gt;"&amp;"",Başvuru!$F:$F,"&lt;&gt;"&amp;""))</f>
        <v>0</v>
      </c>
      <c r="M239" s="166">
        <f>IF(C239="","",COUNTIFS(Başvuru!$C:$C,C239,Başvuru!$L:$L,"GÖRÜŞ",Başvuru!$A:$A,"&lt;&gt;"&amp;"",Başvuru!$F:$F,"&lt;&gt;"&amp;""))</f>
        <v>0</v>
      </c>
      <c r="N239" s="167">
        <f>IF(C239="","",COUNTIFS(Başvuru!$C:$C,C239,Başvuru!$L:$L,"RET",Başvuru!$A:$A,"&lt;&gt;"&amp;"",Başvuru!$F:$F,"&lt;&gt;"&amp;""))</f>
        <v>0</v>
      </c>
      <c r="O239" s="168">
        <f>IF(C239="","",COUNTIFS(Başvuru!$C:$C,C239,Başvuru!$L:$L,"KAPSAM DIŞI",Başvuru!$A:$A,"&lt;&gt;"&amp;"",Başvuru!$F:$F,"&lt;&gt;"&amp;""))</f>
        <v>0</v>
      </c>
      <c r="P239" s="169">
        <f>IF(C239="","",COUNTIFS(Başvuru!$C:$C,C239,Başvuru!$L:$L,"GERİ ÇEKİLDİ",Başvuru!$A:$A,"&lt;&gt;"&amp;"",Başvuru!$F:$F,"&lt;&gt;"&amp;""))</f>
        <v>0</v>
      </c>
      <c r="Q239" s="170" t="str">
        <f t="array" ref="Q239">IFERROR(INDEX(Başvuru!$C$2:$C$3000, MATCH(0, COUNTIF($Q$5:Q238, Başvuru!$C$2:$C$3000) + IF(Başvuru!$C$2:$C$3000="",1,0), 0)), "")</f>
        <v>Doç. Dr. Kısmet ÇIKI</v>
      </c>
      <c r="R239" s="171">
        <f>IF(Q239="","",COUNTIFS(Başvuru!$C:$C,Q239,Başvuru!$A:$A,"&lt;&gt;"&amp;"",Başvuru!$F:$F,"&lt;&gt;"&amp;""))</f>
        <v>1</v>
      </c>
      <c r="S239" s="171">
        <f>IF(R239="","",RANK(R239,$R$6:$R$505,0)+COUNTIF($R$6:R239,R239)-1)</f>
        <v>256</v>
      </c>
    </row>
    <row r="240" spans="2:19" ht="23.25" customHeight="1" x14ac:dyDescent="0.25">
      <c r="B240" s="159">
        <v>235</v>
      </c>
      <c r="C240" s="160" t="str">
        <f>IFERROR(INDEX($Q$6:$Q$505,MATCH(235,$S$6:$S$505,0)),"")</f>
        <v>Doç. Dr. Özlem DİKMETAŞ SANDIKÇI</v>
      </c>
      <c r="D240" s="161">
        <f>IF(C240="","",COUNTIFS(Başvuru!$C:$C,C240,Başvuru!$A:$A,"&lt;&gt;"&amp;"",Başvuru!$F:$F,"&lt;&gt;"&amp;""))</f>
        <v>1</v>
      </c>
      <c r="E240" s="159" t="str">
        <f>IF(C240="","-",IF(D240&gt;0,TEXT(D240/(COUNTIFS(Başvuru!$A:$A,"&lt;&gt;",Başvuru!$F:$F,"&lt;&gt;")-1)*100,"0.0")&amp;"%","-"))</f>
        <v>00%</v>
      </c>
      <c r="F240" s="162">
        <f>IF(C240="","",COUNTIFS(Başvuru!$C:$C,C240,Başvuru!$G:$G,"Bireysel Araştırma",Başvuru!$A:$A,"&lt;&gt;"&amp;"",Başvuru!$F:$F,"&lt;&gt;"&amp;""))</f>
        <v>1</v>
      </c>
      <c r="G240" s="162">
        <f>IF(C240="","",COUNTIFS(Başvuru!$C:$C,C240,Başvuru!$G:$G,"Uzmanlık Tezi",Başvuru!$A:$A,"&lt;&gt;"&amp;"",Başvuru!$F:$F,"&lt;&gt;"&amp;""))</f>
        <v>0</v>
      </c>
      <c r="H240" s="162">
        <f>IF(C240="","",COUNTIFS(Başvuru!$C:$C,C240,Başvuru!$G:$G,"Doktora Tezi",Başvuru!$A:$A,"&lt;&gt;"&amp;"",Başvuru!$F:$F,"&lt;&gt;"&amp;""))</f>
        <v>0</v>
      </c>
      <c r="I240" s="162">
        <f>IF(C240="","",COUNTIFS(Başvuru!$C:$C,C240,Başvuru!$G:$G,"Yüksek Lisans Tezi",Başvuru!$A:$A,"&lt;&gt;"&amp;"",Başvuru!$F:$F,"&lt;&gt;"&amp;""))</f>
        <v>0</v>
      </c>
      <c r="J240" s="163">
        <f>IF(C240="","",COUNTIFS(Başvuru!$C:$C,C240,Başvuru!$L:$L,"ONAY",Başvuru!$A:$A,"&lt;&gt;"&amp;"",Başvuru!$F:$F,"&lt;&gt;"&amp;""))</f>
        <v>1</v>
      </c>
      <c r="K240" s="164">
        <f>IF(C240="","",COUNTIFS(Başvuru!$C:$C,C240,Başvuru!$L:$L,"DÜZELTME",Başvuru!$A:$A,"&lt;&gt;"&amp;"",Başvuru!$F:$F,"&lt;&gt;"&amp;""))</f>
        <v>0</v>
      </c>
      <c r="L240" s="165">
        <f>IF(C240="","",COUNTIFS(Başvuru!$C:$C,C240,Başvuru!$L:$L,"KAEK",Başvuru!$A:$A,"&lt;&gt;"&amp;"",Başvuru!$F:$F,"&lt;&gt;"&amp;""))</f>
        <v>0</v>
      </c>
      <c r="M240" s="166">
        <f>IF(C240="","",COUNTIFS(Başvuru!$C:$C,C240,Başvuru!$L:$L,"GÖRÜŞ",Başvuru!$A:$A,"&lt;&gt;"&amp;"",Başvuru!$F:$F,"&lt;&gt;"&amp;""))</f>
        <v>0</v>
      </c>
      <c r="N240" s="167">
        <f>IF(C240="","",COUNTIFS(Başvuru!$C:$C,C240,Başvuru!$L:$L,"RET",Başvuru!$A:$A,"&lt;&gt;"&amp;"",Başvuru!$F:$F,"&lt;&gt;"&amp;""))</f>
        <v>0</v>
      </c>
      <c r="O240" s="168">
        <f>IF(C240="","",COUNTIFS(Başvuru!$C:$C,C240,Başvuru!$L:$L,"KAPSAM DIŞI",Başvuru!$A:$A,"&lt;&gt;"&amp;"",Başvuru!$F:$F,"&lt;&gt;"&amp;""))</f>
        <v>0</v>
      </c>
      <c r="P240" s="169">
        <f>IF(C240="","",COUNTIFS(Başvuru!$C:$C,C240,Başvuru!$L:$L,"GERİ ÇEKİLDİ",Başvuru!$A:$A,"&lt;&gt;"&amp;"",Başvuru!$F:$F,"&lt;&gt;"&amp;""))</f>
        <v>0</v>
      </c>
      <c r="Q240" s="170" t="str">
        <f t="array" ref="Q240">IFERROR(INDEX(Başvuru!$C$2:$C$3000, MATCH(0, COUNTIF($Q$5:Q239, Başvuru!$C$2:$C$3000) + IF(Başvuru!$C$2:$C$3000="",1,0), 0)), "")</f>
        <v>Prof. Dr. Alp USUBÜTÜN</v>
      </c>
      <c r="R240" s="171">
        <f>IF(Q240="","",COUNTIFS(Başvuru!$C:$C,Q240,Başvuru!$A:$A,"&lt;&gt;"&amp;"",Başvuru!$F:$F,"&lt;&gt;"&amp;""))</f>
        <v>1</v>
      </c>
      <c r="S240" s="171">
        <f>IF(R240="","",RANK(R240,$R$6:$R$505,0)+COUNTIF($R$6:R240,R240)-1)</f>
        <v>257</v>
      </c>
    </row>
    <row r="241" spans="2:19" ht="23.25" customHeight="1" x14ac:dyDescent="0.25">
      <c r="B241" s="159">
        <v>236</v>
      </c>
      <c r="C241" s="172" t="str">
        <f>IFERROR(INDEX($Q$6:$Q$505,MATCH(236,$S$6:$S$505,0)),"")</f>
        <v>Prof. Dr. Gülten GÜVENÇ
Doç. Dr. Gölşah KÖK</v>
      </c>
      <c r="D241" s="161">
        <f>IF(C241="","",COUNTIFS(Başvuru!$C:$C,C241,Başvuru!$A:$A,"&lt;&gt;"&amp;"",Başvuru!$F:$F,"&lt;&gt;"&amp;""))</f>
        <v>1</v>
      </c>
      <c r="E241" s="159" t="str">
        <f>IF(C241="","-",IF(D241&gt;0,TEXT(D241/(COUNTIFS(Başvuru!$A:$A,"&lt;&gt;",Başvuru!$F:$F,"&lt;&gt;")-1)*100,"0.0")&amp;"%","-"))</f>
        <v>00%</v>
      </c>
      <c r="F241" s="162">
        <f>IF(C241="","",COUNTIFS(Başvuru!$C:$C,C241,Başvuru!$G:$G,"Bireysel Araştırma",Başvuru!$A:$A,"&lt;&gt;"&amp;"",Başvuru!$F:$F,"&lt;&gt;"&amp;""))</f>
        <v>1</v>
      </c>
      <c r="G241" s="162">
        <f>IF(C241="","",COUNTIFS(Başvuru!$C:$C,C241,Başvuru!$G:$G,"Uzmanlık Tezi",Başvuru!$A:$A,"&lt;&gt;"&amp;"",Başvuru!$F:$F,"&lt;&gt;"&amp;""))</f>
        <v>0</v>
      </c>
      <c r="H241" s="162">
        <f>IF(C241="","",COUNTIFS(Başvuru!$C:$C,C241,Başvuru!$G:$G,"Doktora Tezi",Başvuru!$A:$A,"&lt;&gt;"&amp;"",Başvuru!$F:$F,"&lt;&gt;"&amp;""))</f>
        <v>0</v>
      </c>
      <c r="I241" s="162">
        <f>IF(C241="","",COUNTIFS(Başvuru!$C:$C,C241,Başvuru!$G:$G,"Yüksek Lisans Tezi",Başvuru!$A:$A,"&lt;&gt;"&amp;"",Başvuru!$F:$F,"&lt;&gt;"&amp;""))</f>
        <v>0</v>
      </c>
      <c r="J241" s="163">
        <f>IF(C241="","",COUNTIFS(Başvuru!$C:$C,C241,Başvuru!$L:$L,"ONAY",Başvuru!$A:$A,"&lt;&gt;"&amp;"",Başvuru!$F:$F,"&lt;&gt;"&amp;""))</f>
        <v>0</v>
      </c>
      <c r="K241" s="164">
        <f>IF(C241="","",COUNTIFS(Başvuru!$C:$C,C241,Başvuru!$L:$L,"DÜZELTME",Başvuru!$A:$A,"&lt;&gt;"&amp;"",Başvuru!$F:$F,"&lt;&gt;"&amp;""))</f>
        <v>1</v>
      </c>
      <c r="L241" s="165">
        <f>IF(C241="","",COUNTIFS(Başvuru!$C:$C,C241,Başvuru!$L:$L,"KAEK",Başvuru!$A:$A,"&lt;&gt;"&amp;"",Başvuru!$F:$F,"&lt;&gt;"&amp;""))</f>
        <v>0</v>
      </c>
      <c r="M241" s="166">
        <f>IF(C241="","",COUNTIFS(Başvuru!$C:$C,C241,Başvuru!$L:$L,"GÖRÜŞ",Başvuru!$A:$A,"&lt;&gt;"&amp;"",Başvuru!$F:$F,"&lt;&gt;"&amp;""))</f>
        <v>0</v>
      </c>
      <c r="N241" s="167">
        <f>IF(C241="","",COUNTIFS(Başvuru!$C:$C,C241,Başvuru!$L:$L,"RET",Başvuru!$A:$A,"&lt;&gt;"&amp;"",Başvuru!$F:$F,"&lt;&gt;"&amp;""))</f>
        <v>0</v>
      </c>
      <c r="O241" s="168">
        <f>IF(C241="","",COUNTIFS(Başvuru!$C:$C,C241,Başvuru!$L:$L,"KAPSAM DIŞI",Başvuru!$A:$A,"&lt;&gt;"&amp;"",Başvuru!$F:$F,"&lt;&gt;"&amp;""))</f>
        <v>0</v>
      </c>
      <c r="P241" s="169">
        <f>IF(C241="","",COUNTIFS(Başvuru!$C:$C,C241,Başvuru!$L:$L,"GERİ ÇEKİLDİ",Başvuru!$A:$A,"&lt;&gt;"&amp;"",Başvuru!$F:$F,"&lt;&gt;"&amp;""))</f>
        <v>0</v>
      </c>
      <c r="Q241" s="170" t="str">
        <f t="array" ref="Q241">IFERROR(INDEX(Başvuru!$C$2:$C$3000, MATCH(0, COUNTIF($Q$5:Q240, Başvuru!$C$2:$C$3000) + IF(Başvuru!$C$2:$C$3000="",1,0), 0)), "")</f>
        <v>Prof. Dr. Ümit Yavuz MALKAN</v>
      </c>
      <c r="R241" s="171">
        <f>IF(Q241="","",COUNTIFS(Başvuru!$C:$C,Q241,Başvuru!$A:$A,"&lt;&gt;"&amp;"",Başvuru!$F:$F,"&lt;&gt;"&amp;""))</f>
        <v>4</v>
      </c>
      <c r="S241" s="171">
        <f>IF(R241="","",RANK(R241,$R$6:$R$505,0)+COUNTIF($R$6:R241,R241)-1)</f>
        <v>46</v>
      </c>
    </row>
    <row r="242" spans="2:19" ht="23.25" customHeight="1" x14ac:dyDescent="0.25">
      <c r="B242" s="159">
        <v>237</v>
      </c>
      <c r="C242" s="160" t="str">
        <f>IFERROR(INDEX($Q$6:$Q$505,MATCH(237,$S$6:$S$505,0)),"")</f>
        <v>Prof. Dr. Ebru AYPAR</v>
      </c>
      <c r="D242" s="161">
        <f>IF(C242="","",COUNTIFS(Başvuru!$C:$C,C242,Başvuru!$A:$A,"&lt;&gt;"&amp;"",Başvuru!$F:$F,"&lt;&gt;"&amp;""))</f>
        <v>1</v>
      </c>
      <c r="E242" s="159" t="str">
        <f>IF(C242="","-",IF(D242&gt;0,TEXT(D242/(COUNTIFS(Başvuru!$A:$A,"&lt;&gt;",Başvuru!$F:$F,"&lt;&gt;")-1)*100,"0.0")&amp;"%","-"))</f>
        <v>00%</v>
      </c>
      <c r="F242" s="162">
        <f>IF(C242="","",COUNTIFS(Başvuru!$C:$C,C242,Başvuru!$G:$G,"Bireysel Araştırma",Başvuru!$A:$A,"&lt;&gt;"&amp;"",Başvuru!$F:$F,"&lt;&gt;"&amp;""))</f>
        <v>0</v>
      </c>
      <c r="G242" s="162">
        <f>IF(C242="","",COUNTIFS(Başvuru!$C:$C,C242,Başvuru!$G:$G,"Uzmanlık Tezi",Başvuru!$A:$A,"&lt;&gt;"&amp;"",Başvuru!$F:$F,"&lt;&gt;"&amp;""))</f>
        <v>1</v>
      </c>
      <c r="H242" s="162">
        <f>IF(C242="","",COUNTIFS(Başvuru!$C:$C,C242,Başvuru!$G:$G,"Doktora Tezi",Başvuru!$A:$A,"&lt;&gt;"&amp;"",Başvuru!$F:$F,"&lt;&gt;"&amp;""))</f>
        <v>0</v>
      </c>
      <c r="I242" s="162">
        <f>IF(C242="","",COUNTIFS(Başvuru!$C:$C,C242,Başvuru!$G:$G,"Yüksek Lisans Tezi",Başvuru!$A:$A,"&lt;&gt;"&amp;"",Başvuru!$F:$F,"&lt;&gt;"&amp;""))</f>
        <v>0</v>
      </c>
      <c r="J242" s="163">
        <f>IF(C242="","",COUNTIFS(Başvuru!$C:$C,C242,Başvuru!$L:$L,"ONAY",Başvuru!$A:$A,"&lt;&gt;"&amp;"",Başvuru!$F:$F,"&lt;&gt;"&amp;""))</f>
        <v>1</v>
      </c>
      <c r="K242" s="164">
        <f>IF(C242="","",COUNTIFS(Başvuru!$C:$C,C242,Başvuru!$L:$L,"DÜZELTME",Başvuru!$A:$A,"&lt;&gt;"&amp;"",Başvuru!$F:$F,"&lt;&gt;"&amp;""))</f>
        <v>0</v>
      </c>
      <c r="L242" s="165">
        <f>IF(C242="","",COUNTIFS(Başvuru!$C:$C,C242,Başvuru!$L:$L,"KAEK",Başvuru!$A:$A,"&lt;&gt;"&amp;"",Başvuru!$F:$F,"&lt;&gt;"&amp;""))</f>
        <v>0</v>
      </c>
      <c r="M242" s="166">
        <f>IF(C242="","",COUNTIFS(Başvuru!$C:$C,C242,Başvuru!$L:$L,"GÖRÜŞ",Başvuru!$A:$A,"&lt;&gt;"&amp;"",Başvuru!$F:$F,"&lt;&gt;"&amp;""))</f>
        <v>0</v>
      </c>
      <c r="N242" s="167">
        <f>IF(C242="","",COUNTIFS(Başvuru!$C:$C,C242,Başvuru!$L:$L,"RET",Başvuru!$A:$A,"&lt;&gt;"&amp;"",Başvuru!$F:$F,"&lt;&gt;"&amp;""))</f>
        <v>0</v>
      </c>
      <c r="O242" s="168">
        <f>IF(C242="","",COUNTIFS(Başvuru!$C:$C,C242,Başvuru!$L:$L,"KAPSAM DIŞI",Başvuru!$A:$A,"&lt;&gt;"&amp;"",Başvuru!$F:$F,"&lt;&gt;"&amp;""))</f>
        <v>0</v>
      </c>
      <c r="P242" s="169">
        <f>IF(C242="","",COUNTIFS(Başvuru!$C:$C,C242,Başvuru!$L:$L,"GERİ ÇEKİLDİ",Başvuru!$A:$A,"&lt;&gt;"&amp;"",Başvuru!$F:$F,"&lt;&gt;"&amp;""))</f>
        <v>0</v>
      </c>
      <c r="Q242" s="170" t="str">
        <f t="array" ref="Q242">IFERROR(INDEX(Başvuru!$C$2:$C$3000, MATCH(0, COUNTIF($Q$5:Q241, Başvuru!$C$2:$C$3000) + IF(Başvuru!$C$2:$C$3000="",1,0), 0)), "")</f>
        <v>Doç. Dr. Eda Didem KURT ŞÜKÜR</v>
      </c>
      <c r="R242" s="171">
        <f>IF(Q242="","",COUNTIFS(Başvuru!$C:$C,Q242,Başvuru!$A:$A,"&lt;&gt;"&amp;"",Başvuru!$F:$F,"&lt;&gt;"&amp;""))</f>
        <v>1</v>
      </c>
      <c r="S242" s="171">
        <f>IF(R242="","",RANK(R242,$R$6:$R$505,0)+COUNTIF($R$6:R242,R242)-1)</f>
        <v>258</v>
      </c>
    </row>
    <row r="243" spans="2:19" ht="23.25" customHeight="1" x14ac:dyDescent="0.25">
      <c r="B243" s="159">
        <v>238</v>
      </c>
      <c r="C243" s="160" t="str">
        <f>IFERROR(INDEX($Q$6:$Q$505,MATCH(238,$S$6:$S$505,0)),"")</f>
        <v>Prof. Dr. Erdem KARABULUT</v>
      </c>
      <c r="D243" s="161">
        <f>IF(C243="","",COUNTIFS(Başvuru!$C:$C,C243,Başvuru!$A:$A,"&lt;&gt;"&amp;"",Başvuru!$F:$F,"&lt;&gt;"&amp;""))</f>
        <v>1</v>
      </c>
      <c r="E243" s="159" t="str">
        <f>IF(C243="","-",IF(D243&gt;0,TEXT(D243/(COUNTIFS(Başvuru!$A:$A,"&lt;&gt;",Başvuru!$F:$F,"&lt;&gt;")-1)*100,"0.0")&amp;"%","-"))</f>
        <v>00%</v>
      </c>
      <c r="F243" s="162">
        <f>IF(C243="","",COUNTIFS(Başvuru!$C:$C,C243,Başvuru!$G:$G,"Bireysel Araştırma",Başvuru!$A:$A,"&lt;&gt;"&amp;"",Başvuru!$F:$F,"&lt;&gt;"&amp;""))</f>
        <v>0</v>
      </c>
      <c r="G243" s="162">
        <f>IF(C243="","",COUNTIFS(Başvuru!$C:$C,C243,Başvuru!$G:$G,"Uzmanlık Tezi",Başvuru!$A:$A,"&lt;&gt;"&amp;"",Başvuru!$F:$F,"&lt;&gt;"&amp;""))</f>
        <v>0</v>
      </c>
      <c r="H243" s="162">
        <f>IF(C243="","",COUNTIFS(Başvuru!$C:$C,C243,Başvuru!$G:$G,"Doktora Tezi",Başvuru!$A:$A,"&lt;&gt;"&amp;"",Başvuru!$F:$F,"&lt;&gt;"&amp;""))</f>
        <v>1</v>
      </c>
      <c r="I243" s="162">
        <f>IF(C243="","",COUNTIFS(Başvuru!$C:$C,C243,Başvuru!$G:$G,"Yüksek Lisans Tezi",Başvuru!$A:$A,"&lt;&gt;"&amp;"",Başvuru!$F:$F,"&lt;&gt;"&amp;""))</f>
        <v>0</v>
      </c>
      <c r="J243" s="163">
        <f>IF(C243="","",COUNTIFS(Başvuru!$C:$C,C243,Başvuru!$L:$L,"ONAY",Başvuru!$A:$A,"&lt;&gt;"&amp;"",Başvuru!$F:$F,"&lt;&gt;"&amp;""))</f>
        <v>1</v>
      </c>
      <c r="K243" s="164">
        <f>IF(C243="","",COUNTIFS(Başvuru!$C:$C,C243,Başvuru!$L:$L,"DÜZELTME",Başvuru!$A:$A,"&lt;&gt;"&amp;"",Başvuru!$F:$F,"&lt;&gt;"&amp;""))</f>
        <v>0</v>
      </c>
      <c r="L243" s="165">
        <f>IF(C243="","",COUNTIFS(Başvuru!$C:$C,C243,Başvuru!$L:$L,"KAEK",Başvuru!$A:$A,"&lt;&gt;"&amp;"",Başvuru!$F:$F,"&lt;&gt;"&amp;""))</f>
        <v>0</v>
      </c>
      <c r="M243" s="166">
        <f>IF(C243="","",COUNTIFS(Başvuru!$C:$C,C243,Başvuru!$L:$L,"GÖRÜŞ",Başvuru!$A:$A,"&lt;&gt;"&amp;"",Başvuru!$F:$F,"&lt;&gt;"&amp;""))</f>
        <v>0</v>
      </c>
      <c r="N243" s="167">
        <f>IF(C243="","",COUNTIFS(Başvuru!$C:$C,C243,Başvuru!$L:$L,"RET",Başvuru!$A:$A,"&lt;&gt;"&amp;"",Başvuru!$F:$F,"&lt;&gt;"&amp;""))</f>
        <v>0</v>
      </c>
      <c r="O243" s="168">
        <f>IF(C243="","",COUNTIFS(Başvuru!$C:$C,C243,Başvuru!$L:$L,"KAPSAM DIŞI",Başvuru!$A:$A,"&lt;&gt;"&amp;"",Başvuru!$F:$F,"&lt;&gt;"&amp;""))</f>
        <v>0</v>
      </c>
      <c r="P243" s="169">
        <f>IF(C243="","",COUNTIFS(Başvuru!$C:$C,C243,Başvuru!$L:$L,"GERİ ÇEKİLDİ",Başvuru!$A:$A,"&lt;&gt;"&amp;"",Başvuru!$F:$F,"&lt;&gt;"&amp;""))</f>
        <v>0</v>
      </c>
      <c r="Q243" s="170" t="str">
        <f t="array" ref="Q243">IFERROR(INDEX(Başvuru!$C$2:$C$3000, MATCH(0, COUNTIF($Q$5:Q242, Başvuru!$C$2:$C$3000) + IF(Başvuru!$C$2:$C$3000="",1,0), 0)), "")</f>
        <v>Prof. Dr. M. Özgür UYANIK</v>
      </c>
      <c r="R243" s="171">
        <f>IF(Q243="","",COUNTIFS(Başvuru!$C:$C,Q243,Başvuru!$A:$A,"&lt;&gt;"&amp;"",Başvuru!$F:$F,"&lt;&gt;"&amp;""))</f>
        <v>1</v>
      </c>
      <c r="S243" s="171">
        <f>IF(R243="","",RANK(R243,$R$6:$R$505,0)+COUNTIF($R$6:R243,R243)-1)</f>
        <v>259</v>
      </c>
    </row>
    <row r="244" spans="2:19" ht="23.25" customHeight="1" x14ac:dyDescent="0.25">
      <c r="B244" s="159">
        <v>239</v>
      </c>
      <c r="C244" s="160" t="str">
        <f>IFERROR(INDEX($Q$6:$Q$505,MATCH(239,$S$6:$S$505,0)),"")</f>
        <v>Doç. Dr. Nezih AKKAPULU</v>
      </c>
      <c r="D244" s="161">
        <f>IF(C244="","",COUNTIFS(Başvuru!$C:$C,C244,Başvuru!$A:$A,"&lt;&gt;"&amp;"",Başvuru!$F:$F,"&lt;&gt;"&amp;""))</f>
        <v>1</v>
      </c>
      <c r="E244" s="159" t="str">
        <f>IF(C244="","-",IF(D244&gt;0,TEXT(D244/(COUNTIFS(Başvuru!$A:$A,"&lt;&gt;",Başvuru!$F:$F,"&lt;&gt;")-1)*100,"0.0")&amp;"%","-"))</f>
        <v>00%</v>
      </c>
      <c r="F244" s="162">
        <f>IF(C244="","",COUNTIFS(Başvuru!$C:$C,C244,Başvuru!$G:$G,"Bireysel Araştırma",Başvuru!$A:$A,"&lt;&gt;"&amp;"",Başvuru!$F:$F,"&lt;&gt;"&amp;""))</f>
        <v>1</v>
      </c>
      <c r="G244" s="162">
        <f>IF(C244="","",COUNTIFS(Başvuru!$C:$C,C244,Başvuru!$G:$G,"Uzmanlık Tezi",Başvuru!$A:$A,"&lt;&gt;"&amp;"",Başvuru!$F:$F,"&lt;&gt;"&amp;""))</f>
        <v>0</v>
      </c>
      <c r="H244" s="162">
        <f>IF(C244="","",COUNTIFS(Başvuru!$C:$C,C244,Başvuru!$G:$G,"Doktora Tezi",Başvuru!$A:$A,"&lt;&gt;"&amp;"",Başvuru!$F:$F,"&lt;&gt;"&amp;""))</f>
        <v>0</v>
      </c>
      <c r="I244" s="162">
        <f>IF(C244="","",COUNTIFS(Başvuru!$C:$C,C244,Başvuru!$G:$G,"Yüksek Lisans Tezi",Başvuru!$A:$A,"&lt;&gt;"&amp;"",Başvuru!$F:$F,"&lt;&gt;"&amp;""))</f>
        <v>0</v>
      </c>
      <c r="J244" s="163">
        <f>IF(C244="","",COUNTIFS(Başvuru!$C:$C,C244,Başvuru!$L:$L,"ONAY",Başvuru!$A:$A,"&lt;&gt;"&amp;"",Başvuru!$F:$F,"&lt;&gt;"&amp;""))</f>
        <v>1</v>
      </c>
      <c r="K244" s="164">
        <f>IF(C244="","",COUNTIFS(Başvuru!$C:$C,C244,Başvuru!$L:$L,"DÜZELTME",Başvuru!$A:$A,"&lt;&gt;"&amp;"",Başvuru!$F:$F,"&lt;&gt;"&amp;""))</f>
        <v>0</v>
      </c>
      <c r="L244" s="165">
        <f>IF(C244="","",COUNTIFS(Başvuru!$C:$C,C244,Başvuru!$L:$L,"KAEK",Başvuru!$A:$A,"&lt;&gt;"&amp;"",Başvuru!$F:$F,"&lt;&gt;"&amp;""))</f>
        <v>0</v>
      </c>
      <c r="M244" s="166">
        <f>IF(C244="","",COUNTIFS(Başvuru!$C:$C,C244,Başvuru!$L:$L,"GÖRÜŞ",Başvuru!$A:$A,"&lt;&gt;"&amp;"",Başvuru!$F:$F,"&lt;&gt;"&amp;""))</f>
        <v>0</v>
      </c>
      <c r="N244" s="167">
        <f>IF(C244="","",COUNTIFS(Başvuru!$C:$C,C244,Başvuru!$L:$L,"RET",Başvuru!$A:$A,"&lt;&gt;"&amp;"",Başvuru!$F:$F,"&lt;&gt;"&amp;""))</f>
        <v>0</v>
      </c>
      <c r="O244" s="168">
        <f>IF(C244="","",COUNTIFS(Başvuru!$C:$C,C244,Başvuru!$L:$L,"KAPSAM DIŞI",Başvuru!$A:$A,"&lt;&gt;"&amp;"",Başvuru!$F:$F,"&lt;&gt;"&amp;""))</f>
        <v>0</v>
      </c>
      <c r="P244" s="169">
        <f>IF(C244="","",COUNTIFS(Başvuru!$C:$C,C244,Başvuru!$L:$L,"GERİ ÇEKİLDİ",Başvuru!$A:$A,"&lt;&gt;"&amp;"",Başvuru!$F:$F,"&lt;&gt;"&amp;""))</f>
        <v>0</v>
      </c>
      <c r="Q244" s="170" t="str">
        <f t="array" ref="Q244">IFERROR(INDEX(Başvuru!$C$2:$C$3000, MATCH(0, COUNTIF($Q$5:Q243, Başvuru!$C$2:$C$3000) + IF(Başvuru!$C$2:$C$3000="",1,0), 0)), "")</f>
        <v>Dr. Öğr. Üyesi Leyla HUSEYNOVA TERZİ</v>
      </c>
      <c r="R244" s="171">
        <f>IF(Q244="","",COUNTIFS(Başvuru!$C:$C,Q244,Başvuru!$A:$A,"&lt;&gt;"&amp;"",Başvuru!$F:$F,"&lt;&gt;"&amp;""))</f>
        <v>1</v>
      </c>
      <c r="S244" s="171">
        <f>IF(R244="","",RANK(R244,$R$6:$R$505,0)+COUNTIF($R$6:R244,R244)-1)</f>
        <v>260</v>
      </c>
    </row>
    <row r="245" spans="2:19" ht="23.25" customHeight="1" x14ac:dyDescent="0.25">
      <c r="B245" s="159">
        <v>240</v>
      </c>
      <c r="C245" s="160" t="str">
        <f>IFERROR(INDEX($Q$6:$Q$505,MATCH(240,$S$6:$S$505,0)),"")</f>
        <v>Prof. Dr. Gökçen ÇOBAN ÇİFÇİ</v>
      </c>
      <c r="D245" s="161">
        <f>IF(C245="","",COUNTIFS(Başvuru!$C:$C,C245,Başvuru!$A:$A,"&lt;&gt;"&amp;"",Başvuru!$F:$F,"&lt;&gt;"&amp;""))</f>
        <v>1</v>
      </c>
      <c r="E245" s="159" t="str">
        <f>IF(C245="","-",IF(D245&gt;0,TEXT(D245/(COUNTIFS(Başvuru!$A:$A,"&lt;&gt;",Başvuru!$F:$F,"&lt;&gt;")-1)*100,"0.0")&amp;"%","-"))</f>
        <v>00%</v>
      </c>
      <c r="F245" s="162">
        <f>IF(C245="","",COUNTIFS(Başvuru!$C:$C,C245,Başvuru!$G:$G,"Bireysel Araştırma",Başvuru!$A:$A,"&lt;&gt;"&amp;"",Başvuru!$F:$F,"&lt;&gt;"&amp;""))</f>
        <v>0</v>
      </c>
      <c r="G245" s="162">
        <f>IF(C245="","",COUNTIFS(Başvuru!$C:$C,C245,Başvuru!$G:$G,"Uzmanlık Tezi",Başvuru!$A:$A,"&lt;&gt;"&amp;"",Başvuru!$F:$F,"&lt;&gt;"&amp;""))</f>
        <v>1</v>
      </c>
      <c r="H245" s="162">
        <f>IF(C245="","",COUNTIFS(Başvuru!$C:$C,C245,Başvuru!$G:$G,"Doktora Tezi",Başvuru!$A:$A,"&lt;&gt;"&amp;"",Başvuru!$F:$F,"&lt;&gt;"&amp;""))</f>
        <v>0</v>
      </c>
      <c r="I245" s="162">
        <f>IF(C245="","",COUNTIFS(Başvuru!$C:$C,C245,Başvuru!$G:$G,"Yüksek Lisans Tezi",Başvuru!$A:$A,"&lt;&gt;"&amp;"",Başvuru!$F:$F,"&lt;&gt;"&amp;""))</f>
        <v>0</v>
      </c>
      <c r="J245" s="163">
        <f>IF(C245="","",COUNTIFS(Başvuru!$C:$C,C245,Başvuru!$L:$L,"ONAY",Başvuru!$A:$A,"&lt;&gt;"&amp;"",Başvuru!$F:$F,"&lt;&gt;"&amp;""))</f>
        <v>0</v>
      </c>
      <c r="K245" s="164">
        <f>IF(C245="","",COUNTIFS(Başvuru!$C:$C,C245,Başvuru!$L:$L,"DÜZELTME",Başvuru!$A:$A,"&lt;&gt;"&amp;"",Başvuru!$F:$F,"&lt;&gt;"&amp;""))</f>
        <v>1</v>
      </c>
      <c r="L245" s="165">
        <f>IF(C245="","",COUNTIFS(Başvuru!$C:$C,C245,Başvuru!$L:$L,"KAEK",Başvuru!$A:$A,"&lt;&gt;"&amp;"",Başvuru!$F:$F,"&lt;&gt;"&amp;""))</f>
        <v>0</v>
      </c>
      <c r="M245" s="166">
        <f>IF(C245="","",COUNTIFS(Başvuru!$C:$C,C245,Başvuru!$L:$L,"GÖRÜŞ",Başvuru!$A:$A,"&lt;&gt;"&amp;"",Başvuru!$F:$F,"&lt;&gt;"&amp;""))</f>
        <v>0</v>
      </c>
      <c r="N245" s="167">
        <f>IF(C245="","",COUNTIFS(Başvuru!$C:$C,C245,Başvuru!$L:$L,"RET",Başvuru!$A:$A,"&lt;&gt;"&amp;"",Başvuru!$F:$F,"&lt;&gt;"&amp;""))</f>
        <v>0</v>
      </c>
      <c r="O245" s="168">
        <f>IF(C245="","",COUNTIFS(Başvuru!$C:$C,C245,Başvuru!$L:$L,"KAPSAM DIŞI",Başvuru!$A:$A,"&lt;&gt;"&amp;"",Başvuru!$F:$F,"&lt;&gt;"&amp;""))</f>
        <v>0</v>
      </c>
      <c r="P245" s="169">
        <f>IF(C245="","",COUNTIFS(Başvuru!$C:$C,C245,Başvuru!$L:$L,"GERİ ÇEKİLDİ",Başvuru!$A:$A,"&lt;&gt;"&amp;"",Başvuru!$F:$F,"&lt;&gt;"&amp;""))</f>
        <v>0</v>
      </c>
      <c r="Q245" s="170" t="str">
        <f t="array" ref="Q245">IFERROR(INDEX(Başvuru!$C$2:$C$3000, MATCH(0, COUNTIF($Q$5:Q244, Başvuru!$C$2:$C$3000) + IF(Başvuru!$C$2:$C$3000="",1,0), 0)), "")</f>
        <v>Prof. Dr. Tarık TUNCAY</v>
      </c>
      <c r="R245" s="171">
        <f>IF(Q245="","",COUNTIFS(Başvuru!$C:$C,Q245,Başvuru!$A:$A,"&lt;&gt;"&amp;"",Başvuru!$F:$F,"&lt;&gt;"&amp;""))</f>
        <v>1</v>
      </c>
      <c r="S245" s="171">
        <f>IF(R245="","",RANK(R245,$R$6:$R$505,0)+COUNTIF($R$6:R245,R245)-1)</f>
        <v>261</v>
      </c>
    </row>
    <row r="246" spans="2:19" ht="23.25" customHeight="1" x14ac:dyDescent="0.25">
      <c r="B246" s="159">
        <v>241</v>
      </c>
      <c r="C246" s="160" t="str">
        <f>IFERROR(INDEX($Q$6:$Q$505,MATCH(241,$S$6:$S$505,0)),"")</f>
        <v>Dr. Öğr. Gör. Buket KILIÇ</v>
      </c>
      <c r="D246" s="161">
        <f>IF(C246="","",COUNTIFS(Başvuru!$C:$C,C246,Başvuru!$A:$A,"&lt;&gt;"&amp;"",Başvuru!$F:$F,"&lt;&gt;"&amp;""))</f>
        <v>1</v>
      </c>
      <c r="E246" s="159" t="str">
        <f>IF(C246="","-",IF(D246&gt;0,TEXT(D246/(COUNTIFS(Başvuru!$A:$A,"&lt;&gt;",Başvuru!$F:$F,"&lt;&gt;")-1)*100,"0.0")&amp;"%","-"))</f>
        <v>00%</v>
      </c>
      <c r="F246" s="162">
        <f>IF(C246="","",COUNTIFS(Başvuru!$C:$C,C246,Başvuru!$G:$G,"Bireysel Araştırma",Başvuru!$A:$A,"&lt;&gt;"&amp;"",Başvuru!$F:$F,"&lt;&gt;"&amp;""))</f>
        <v>1</v>
      </c>
      <c r="G246" s="162">
        <f>IF(C246="","",COUNTIFS(Başvuru!$C:$C,C246,Başvuru!$G:$G,"Uzmanlık Tezi",Başvuru!$A:$A,"&lt;&gt;"&amp;"",Başvuru!$F:$F,"&lt;&gt;"&amp;""))</f>
        <v>0</v>
      </c>
      <c r="H246" s="162">
        <f>IF(C246="","",COUNTIFS(Başvuru!$C:$C,C246,Başvuru!$G:$G,"Doktora Tezi",Başvuru!$A:$A,"&lt;&gt;"&amp;"",Başvuru!$F:$F,"&lt;&gt;"&amp;""))</f>
        <v>0</v>
      </c>
      <c r="I246" s="162">
        <f>IF(C246="","",COUNTIFS(Başvuru!$C:$C,C246,Başvuru!$G:$G,"Yüksek Lisans Tezi",Başvuru!$A:$A,"&lt;&gt;"&amp;"",Başvuru!$F:$F,"&lt;&gt;"&amp;""))</f>
        <v>0</v>
      </c>
      <c r="J246" s="163">
        <f>IF(C246="","",COUNTIFS(Başvuru!$C:$C,C246,Başvuru!$L:$L,"ONAY",Başvuru!$A:$A,"&lt;&gt;"&amp;"",Başvuru!$F:$F,"&lt;&gt;"&amp;""))</f>
        <v>1</v>
      </c>
      <c r="K246" s="164">
        <f>IF(C246="","",COUNTIFS(Başvuru!$C:$C,C246,Başvuru!$L:$L,"DÜZELTME",Başvuru!$A:$A,"&lt;&gt;"&amp;"",Başvuru!$F:$F,"&lt;&gt;"&amp;""))</f>
        <v>0</v>
      </c>
      <c r="L246" s="165">
        <f>IF(C246="","",COUNTIFS(Başvuru!$C:$C,C246,Başvuru!$L:$L,"KAEK",Başvuru!$A:$A,"&lt;&gt;"&amp;"",Başvuru!$F:$F,"&lt;&gt;"&amp;""))</f>
        <v>0</v>
      </c>
      <c r="M246" s="166">
        <f>IF(C246="","",COUNTIFS(Başvuru!$C:$C,C246,Başvuru!$L:$L,"GÖRÜŞ",Başvuru!$A:$A,"&lt;&gt;"&amp;"",Başvuru!$F:$F,"&lt;&gt;"&amp;""))</f>
        <v>0</v>
      </c>
      <c r="N246" s="167">
        <f>IF(C246="","",COUNTIFS(Başvuru!$C:$C,C246,Başvuru!$L:$L,"RET",Başvuru!$A:$A,"&lt;&gt;"&amp;"",Başvuru!$F:$F,"&lt;&gt;"&amp;""))</f>
        <v>0</v>
      </c>
      <c r="O246" s="168">
        <f>IF(C246="","",COUNTIFS(Başvuru!$C:$C,C246,Başvuru!$L:$L,"KAPSAM DIŞI",Başvuru!$A:$A,"&lt;&gt;"&amp;"",Başvuru!$F:$F,"&lt;&gt;"&amp;""))</f>
        <v>0</v>
      </c>
      <c r="P246" s="169">
        <f>IF(C246="","",COUNTIFS(Başvuru!$C:$C,C246,Başvuru!$L:$L,"GERİ ÇEKİLDİ",Başvuru!$A:$A,"&lt;&gt;"&amp;"",Başvuru!$F:$F,"&lt;&gt;"&amp;""))</f>
        <v>0</v>
      </c>
      <c r="Q246" s="170" t="str">
        <f t="array" ref="Q246">IFERROR(INDEX(Başvuru!$C$2:$C$3000, MATCH(0, COUNTIF($Q$5:Q245, Başvuru!$C$2:$C$3000) + IF(Başvuru!$C$2:$C$3000="",1,0), 0)), "")</f>
        <v>Arş. Gör. Dr. Şeyma KAHRAMAN</v>
      </c>
      <c r="R246" s="171">
        <f>IF(Q246="","",COUNTIFS(Başvuru!$C:$C,Q246,Başvuru!$A:$A,"&lt;&gt;"&amp;"",Başvuru!$F:$F,"&lt;&gt;"&amp;""))</f>
        <v>1</v>
      </c>
      <c r="S246" s="171">
        <f>IF(R246="","",RANK(R246,$R$6:$R$505,0)+COUNTIF($R$6:R246,R246)-1)</f>
        <v>262</v>
      </c>
    </row>
    <row r="247" spans="2:19" ht="23.25" customHeight="1" x14ac:dyDescent="0.25">
      <c r="B247" s="159">
        <v>242</v>
      </c>
      <c r="C247" s="160" t="str">
        <f>IFERROR(INDEX($Q$6:$Q$505,MATCH(242,$S$6:$S$505,0)),"")</f>
        <v>Prof. Dr. Ömrüm UZUN</v>
      </c>
      <c r="D247" s="161">
        <f>IF(C247="","",COUNTIFS(Başvuru!$C:$C,C247,Başvuru!$A:$A,"&lt;&gt;"&amp;"",Başvuru!$F:$F,"&lt;&gt;"&amp;""))</f>
        <v>1</v>
      </c>
      <c r="E247" s="159" t="str">
        <f>IF(C247="","-",IF(D247&gt;0,TEXT(D247/(COUNTIFS(Başvuru!$A:$A,"&lt;&gt;",Başvuru!$F:$F,"&lt;&gt;")-1)*100,"0.0")&amp;"%","-"))</f>
        <v>00%</v>
      </c>
      <c r="F247" s="162">
        <f>IF(C247="","",COUNTIFS(Başvuru!$C:$C,C247,Başvuru!$G:$G,"Bireysel Araştırma",Başvuru!$A:$A,"&lt;&gt;"&amp;"",Başvuru!$F:$F,"&lt;&gt;"&amp;""))</f>
        <v>1</v>
      </c>
      <c r="G247" s="162">
        <f>IF(C247="","",COUNTIFS(Başvuru!$C:$C,C247,Başvuru!$G:$G,"Uzmanlık Tezi",Başvuru!$A:$A,"&lt;&gt;"&amp;"",Başvuru!$F:$F,"&lt;&gt;"&amp;""))</f>
        <v>0</v>
      </c>
      <c r="H247" s="162">
        <f>IF(C247="","",COUNTIFS(Başvuru!$C:$C,C247,Başvuru!$G:$G,"Doktora Tezi",Başvuru!$A:$A,"&lt;&gt;"&amp;"",Başvuru!$F:$F,"&lt;&gt;"&amp;""))</f>
        <v>0</v>
      </c>
      <c r="I247" s="162">
        <f>IF(C247="","",COUNTIFS(Başvuru!$C:$C,C247,Başvuru!$G:$G,"Yüksek Lisans Tezi",Başvuru!$A:$A,"&lt;&gt;"&amp;"",Başvuru!$F:$F,"&lt;&gt;"&amp;""))</f>
        <v>0</v>
      </c>
      <c r="J247" s="163">
        <f>IF(C247="","",COUNTIFS(Başvuru!$C:$C,C247,Başvuru!$L:$L,"ONAY",Başvuru!$A:$A,"&lt;&gt;"&amp;"",Başvuru!$F:$F,"&lt;&gt;"&amp;""))</f>
        <v>1</v>
      </c>
      <c r="K247" s="164">
        <f>IF(C247="","",COUNTIFS(Başvuru!$C:$C,C247,Başvuru!$L:$L,"DÜZELTME",Başvuru!$A:$A,"&lt;&gt;"&amp;"",Başvuru!$F:$F,"&lt;&gt;"&amp;""))</f>
        <v>0</v>
      </c>
      <c r="L247" s="165">
        <f>IF(C247="","",COUNTIFS(Başvuru!$C:$C,C247,Başvuru!$L:$L,"KAEK",Başvuru!$A:$A,"&lt;&gt;"&amp;"",Başvuru!$F:$F,"&lt;&gt;"&amp;""))</f>
        <v>0</v>
      </c>
      <c r="M247" s="166">
        <f>IF(C247="","",COUNTIFS(Başvuru!$C:$C,C247,Başvuru!$L:$L,"GÖRÜŞ",Başvuru!$A:$A,"&lt;&gt;"&amp;"",Başvuru!$F:$F,"&lt;&gt;"&amp;""))</f>
        <v>0</v>
      </c>
      <c r="N247" s="167">
        <f>IF(C247="","",COUNTIFS(Başvuru!$C:$C,C247,Başvuru!$L:$L,"RET",Başvuru!$A:$A,"&lt;&gt;"&amp;"",Başvuru!$F:$F,"&lt;&gt;"&amp;""))</f>
        <v>0</v>
      </c>
      <c r="O247" s="168">
        <f>IF(C247="","",COUNTIFS(Başvuru!$C:$C,C247,Başvuru!$L:$L,"KAPSAM DIŞI",Başvuru!$A:$A,"&lt;&gt;"&amp;"",Başvuru!$F:$F,"&lt;&gt;"&amp;""))</f>
        <v>0</v>
      </c>
      <c r="P247" s="169">
        <f>IF(C247="","",COUNTIFS(Başvuru!$C:$C,C247,Başvuru!$L:$L,"GERİ ÇEKİLDİ",Başvuru!$A:$A,"&lt;&gt;"&amp;"",Başvuru!$F:$F,"&lt;&gt;"&amp;""))</f>
        <v>0</v>
      </c>
      <c r="Q247" s="170" t="str">
        <f t="array" ref="Q247">IFERROR(INDEX(Başvuru!$C$2:$C$3000, MATCH(0, COUNTIF($Q$5:Q246, Başvuru!$C$2:$C$3000) + IF(Başvuru!$C$2:$C$3000="",1,0), 0)), "")</f>
        <v>Doç. Dr. Ayşe Bikem KARGI</v>
      </c>
      <c r="R247" s="171">
        <f>IF(Q247="","",COUNTIFS(Başvuru!$C:$C,Q247,Başvuru!$A:$A,"&lt;&gt;"&amp;"",Başvuru!$F:$F,"&lt;&gt;"&amp;""))</f>
        <v>1</v>
      </c>
      <c r="S247" s="171">
        <f>IF(R247="","",RANK(R247,$R$6:$R$505,0)+COUNTIF($R$6:R247,R247)-1)</f>
        <v>263</v>
      </c>
    </row>
    <row r="248" spans="2:19" ht="23.25" customHeight="1" x14ac:dyDescent="0.25">
      <c r="B248" s="159">
        <v>243</v>
      </c>
      <c r="C248" s="160" t="str">
        <f>IFERROR(INDEX($Q$6:$Q$505,MATCH(243,$S$6:$S$505,0)),"")</f>
        <v>Doç. Dr. Nagihan KOÇ</v>
      </c>
      <c r="D248" s="161">
        <f>IF(C248="","",COUNTIFS(Başvuru!$C:$C,C248,Başvuru!$A:$A,"&lt;&gt;"&amp;"",Başvuru!$F:$F,"&lt;&gt;"&amp;""))</f>
        <v>1</v>
      </c>
      <c r="E248" s="159" t="str">
        <f>IF(C248="","-",IF(D248&gt;0,TEXT(D248/(COUNTIFS(Başvuru!$A:$A,"&lt;&gt;",Başvuru!$F:$F,"&lt;&gt;")-1)*100,"0.0")&amp;"%","-"))</f>
        <v>00%</v>
      </c>
      <c r="F248" s="162">
        <f>IF(C248="","",COUNTIFS(Başvuru!$C:$C,C248,Başvuru!$G:$G,"Bireysel Araştırma",Başvuru!$A:$A,"&lt;&gt;"&amp;"",Başvuru!$F:$F,"&lt;&gt;"&amp;""))</f>
        <v>0</v>
      </c>
      <c r="G248" s="162">
        <f>IF(C248="","",COUNTIFS(Başvuru!$C:$C,C248,Başvuru!$G:$G,"Uzmanlık Tezi",Başvuru!$A:$A,"&lt;&gt;"&amp;"",Başvuru!$F:$F,"&lt;&gt;"&amp;""))</f>
        <v>1</v>
      </c>
      <c r="H248" s="162">
        <f>IF(C248="","",COUNTIFS(Başvuru!$C:$C,C248,Başvuru!$G:$G,"Doktora Tezi",Başvuru!$A:$A,"&lt;&gt;"&amp;"",Başvuru!$F:$F,"&lt;&gt;"&amp;""))</f>
        <v>0</v>
      </c>
      <c r="I248" s="162">
        <f>IF(C248="","",COUNTIFS(Başvuru!$C:$C,C248,Başvuru!$G:$G,"Yüksek Lisans Tezi",Başvuru!$A:$A,"&lt;&gt;"&amp;"",Başvuru!$F:$F,"&lt;&gt;"&amp;""))</f>
        <v>0</v>
      </c>
      <c r="J248" s="163">
        <f>IF(C248="","",COUNTIFS(Başvuru!$C:$C,C248,Başvuru!$L:$L,"ONAY",Başvuru!$A:$A,"&lt;&gt;"&amp;"",Başvuru!$F:$F,"&lt;&gt;"&amp;""))</f>
        <v>1</v>
      </c>
      <c r="K248" s="164">
        <f>IF(C248="","",COUNTIFS(Başvuru!$C:$C,C248,Başvuru!$L:$L,"DÜZELTME",Başvuru!$A:$A,"&lt;&gt;"&amp;"",Başvuru!$F:$F,"&lt;&gt;"&amp;""))</f>
        <v>0</v>
      </c>
      <c r="L248" s="165">
        <f>IF(C248="","",COUNTIFS(Başvuru!$C:$C,C248,Başvuru!$L:$L,"KAEK",Başvuru!$A:$A,"&lt;&gt;"&amp;"",Başvuru!$F:$F,"&lt;&gt;"&amp;""))</f>
        <v>0</v>
      </c>
      <c r="M248" s="166">
        <f>IF(C248="","",COUNTIFS(Başvuru!$C:$C,C248,Başvuru!$L:$L,"GÖRÜŞ",Başvuru!$A:$A,"&lt;&gt;"&amp;"",Başvuru!$F:$F,"&lt;&gt;"&amp;""))</f>
        <v>0</v>
      </c>
      <c r="N248" s="167">
        <f>IF(C248="","",COUNTIFS(Başvuru!$C:$C,C248,Başvuru!$L:$L,"RET",Başvuru!$A:$A,"&lt;&gt;"&amp;"",Başvuru!$F:$F,"&lt;&gt;"&amp;""))</f>
        <v>0</v>
      </c>
      <c r="O248" s="168">
        <f>IF(C248="","",COUNTIFS(Başvuru!$C:$C,C248,Başvuru!$L:$L,"KAPSAM DIŞI",Başvuru!$A:$A,"&lt;&gt;"&amp;"",Başvuru!$F:$F,"&lt;&gt;"&amp;""))</f>
        <v>0</v>
      </c>
      <c r="P248" s="169">
        <f>IF(C248="","",COUNTIFS(Başvuru!$C:$C,C248,Başvuru!$L:$L,"GERİ ÇEKİLDİ",Başvuru!$A:$A,"&lt;&gt;"&amp;"",Başvuru!$F:$F,"&lt;&gt;"&amp;""))</f>
        <v>0</v>
      </c>
      <c r="Q248" s="170" t="str">
        <f t="array" ref="Q248">IFERROR(INDEX(Başvuru!$C$2:$C$3000, MATCH(0, COUNTIF($Q$5:Q247, Başvuru!$C$2:$C$3000) + IF(Başvuru!$C$2:$C$3000="",1,0), 0)), "")</f>
        <v>Prof. Dr. Pelin Özlem ŞİMŞEK KİPER</v>
      </c>
      <c r="R248" s="171">
        <f>IF(Q248="","",COUNTIFS(Başvuru!$C:$C,Q248,Başvuru!$A:$A,"&lt;&gt;"&amp;"",Başvuru!$F:$F,"&lt;&gt;"&amp;""))</f>
        <v>1</v>
      </c>
      <c r="S248" s="171">
        <f>IF(R248="","",RANK(R248,$R$6:$R$505,0)+COUNTIF($R$6:R248,R248)-1)</f>
        <v>264</v>
      </c>
    </row>
    <row r="249" spans="2:19" ht="23.25" customHeight="1" x14ac:dyDescent="0.25">
      <c r="B249" s="159">
        <v>244</v>
      </c>
      <c r="C249" s="160" t="str">
        <f>IFERROR(INDEX($Q$6:$Q$505,MATCH(244,$S$6:$S$505,0)),"")</f>
        <v>Dr. Öğr. Üyesi Süleyman BULUT</v>
      </c>
      <c r="D249" s="161">
        <f>IF(C249="","",COUNTIFS(Başvuru!$C:$C,C249,Başvuru!$A:$A,"&lt;&gt;"&amp;"",Başvuru!$F:$F,"&lt;&gt;"&amp;""))</f>
        <v>1</v>
      </c>
      <c r="E249" s="159" t="str">
        <f>IF(C249="","-",IF(D249&gt;0,TEXT(D249/(COUNTIFS(Başvuru!$A:$A,"&lt;&gt;",Başvuru!$F:$F,"&lt;&gt;")-1)*100,"0.0")&amp;"%","-"))</f>
        <v>00%</v>
      </c>
      <c r="F249" s="162">
        <f>IF(C249="","",COUNTIFS(Başvuru!$C:$C,C249,Başvuru!$G:$G,"Bireysel Araştırma",Başvuru!$A:$A,"&lt;&gt;"&amp;"",Başvuru!$F:$F,"&lt;&gt;"&amp;""))</f>
        <v>0</v>
      </c>
      <c r="G249" s="162">
        <f>IF(C249="","",COUNTIFS(Başvuru!$C:$C,C249,Başvuru!$G:$G,"Uzmanlık Tezi",Başvuru!$A:$A,"&lt;&gt;"&amp;"",Başvuru!$F:$F,"&lt;&gt;"&amp;""))</f>
        <v>0</v>
      </c>
      <c r="H249" s="162">
        <f>IF(C249="","",COUNTIFS(Başvuru!$C:$C,C249,Başvuru!$G:$G,"Doktora Tezi",Başvuru!$A:$A,"&lt;&gt;"&amp;"",Başvuru!$F:$F,"&lt;&gt;"&amp;""))</f>
        <v>0</v>
      </c>
      <c r="I249" s="162">
        <f>IF(C249="","",COUNTIFS(Başvuru!$C:$C,C249,Başvuru!$G:$G,"Yüksek Lisans Tezi",Başvuru!$A:$A,"&lt;&gt;"&amp;"",Başvuru!$F:$F,"&lt;&gt;"&amp;""))</f>
        <v>1</v>
      </c>
      <c r="J249" s="163">
        <f>IF(C249="","",COUNTIFS(Başvuru!$C:$C,C249,Başvuru!$L:$L,"ONAY",Başvuru!$A:$A,"&lt;&gt;"&amp;"",Başvuru!$F:$F,"&lt;&gt;"&amp;""))</f>
        <v>0</v>
      </c>
      <c r="K249" s="164">
        <f>IF(C249="","",COUNTIFS(Başvuru!$C:$C,C249,Başvuru!$L:$L,"DÜZELTME",Başvuru!$A:$A,"&lt;&gt;"&amp;"",Başvuru!$F:$F,"&lt;&gt;"&amp;""))</f>
        <v>1</v>
      </c>
      <c r="L249" s="165">
        <f>IF(C249="","",COUNTIFS(Başvuru!$C:$C,C249,Başvuru!$L:$L,"KAEK",Başvuru!$A:$A,"&lt;&gt;"&amp;"",Başvuru!$F:$F,"&lt;&gt;"&amp;""))</f>
        <v>0</v>
      </c>
      <c r="M249" s="166">
        <f>IF(C249="","",COUNTIFS(Başvuru!$C:$C,C249,Başvuru!$L:$L,"GÖRÜŞ",Başvuru!$A:$A,"&lt;&gt;"&amp;"",Başvuru!$F:$F,"&lt;&gt;"&amp;""))</f>
        <v>0</v>
      </c>
      <c r="N249" s="167">
        <f>IF(C249="","",COUNTIFS(Başvuru!$C:$C,C249,Başvuru!$L:$L,"RET",Başvuru!$A:$A,"&lt;&gt;"&amp;"",Başvuru!$F:$F,"&lt;&gt;"&amp;""))</f>
        <v>0</v>
      </c>
      <c r="O249" s="168">
        <f>IF(C249="","",COUNTIFS(Başvuru!$C:$C,C249,Başvuru!$L:$L,"KAPSAM DIŞI",Başvuru!$A:$A,"&lt;&gt;"&amp;"",Başvuru!$F:$F,"&lt;&gt;"&amp;""))</f>
        <v>0</v>
      </c>
      <c r="P249" s="169">
        <f>IF(C249="","",COUNTIFS(Başvuru!$C:$C,C249,Başvuru!$L:$L,"GERİ ÇEKİLDİ",Başvuru!$A:$A,"&lt;&gt;"&amp;"",Başvuru!$F:$F,"&lt;&gt;"&amp;""))</f>
        <v>0</v>
      </c>
      <c r="Q249" s="170" t="str">
        <f t="array" ref="Q249">IFERROR(INDEX(Başvuru!$C$2:$C$3000, MATCH(0, COUNTIF($Q$5:Q248, Başvuru!$C$2:$C$3000) + IF(Başvuru!$C$2:$C$3000="",1,0), 0)), "")</f>
        <v>Doç. Dr. Gülçin TELLİ DİZMAN</v>
      </c>
      <c r="R249" s="171">
        <f>IF(Q249="","",COUNTIFS(Başvuru!$C:$C,Q249,Başvuru!$A:$A,"&lt;&gt;"&amp;"",Başvuru!$F:$F,"&lt;&gt;"&amp;""))</f>
        <v>2</v>
      </c>
      <c r="S249" s="171">
        <f>IF(R249="","",RANK(R249,$R$6:$R$505,0)+COUNTIF($R$6:R249,R249)-1)</f>
        <v>132</v>
      </c>
    </row>
    <row r="250" spans="2:19" ht="23.25" customHeight="1" x14ac:dyDescent="0.25">
      <c r="B250" s="159">
        <v>245</v>
      </c>
      <c r="C250" s="160" t="str">
        <f>IFERROR(INDEX($Q$6:$Q$505,MATCH(245,$S$6:$S$505,0)),"")</f>
        <v>Dr. Öğr. Üyesi Ahmet Gürkan ERDEMİR</v>
      </c>
      <c r="D250" s="161">
        <f>IF(C250="","",COUNTIFS(Başvuru!$C:$C,C250,Başvuru!$A:$A,"&lt;&gt;"&amp;"",Başvuru!$F:$F,"&lt;&gt;"&amp;""))</f>
        <v>1</v>
      </c>
      <c r="E250" s="159" t="str">
        <f>IF(C250="","-",IF(D250&gt;0,TEXT(D250/(COUNTIFS(Başvuru!$A:$A,"&lt;&gt;",Başvuru!$F:$F,"&lt;&gt;")-1)*100,"0.0")&amp;"%","-"))</f>
        <v>00%</v>
      </c>
      <c r="F250" s="162">
        <f>IF(C250="","",COUNTIFS(Başvuru!$C:$C,C250,Başvuru!$G:$G,"Bireysel Araştırma",Başvuru!$A:$A,"&lt;&gt;"&amp;"",Başvuru!$F:$F,"&lt;&gt;"&amp;""))</f>
        <v>1</v>
      </c>
      <c r="G250" s="162">
        <f>IF(C250="","",COUNTIFS(Başvuru!$C:$C,C250,Başvuru!$G:$G,"Uzmanlık Tezi",Başvuru!$A:$A,"&lt;&gt;"&amp;"",Başvuru!$F:$F,"&lt;&gt;"&amp;""))</f>
        <v>0</v>
      </c>
      <c r="H250" s="162">
        <f>IF(C250="","",COUNTIFS(Başvuru!$C:$C,C250,Başvuru!$G:$G,"Doktora Tezi",Başvuru!$A:$A,"&lt;&gt;"&amp;"",Başvuru!$F:$F,"&lt;&gt;"&amp;""))</f>
        <v>0</v>
      </c>
      <c r="I250" s="162">
        <f>IF(C250="","",COUNTIFS(Başvuru!$C:$C,C250,Başvuru!$G:$G,"Yüksek Lisans Tezi",Başvuru!$A:$A,"&lt;&gt;"&amp;"",Başvuru!$F:$F,"&lt;&gt;"&amp;""))</f>
        <v>0</v>
      </c>
      <c r="J250" s="163">
        <f>IF(C250="","",COUNTIFS(Başvuru!$C:$C,C250,Başvuru!$L:$L,"ONAY",Başvuru!$A:$A,"&lt;&gt;"&amp;"",Başvuru!$F:$F,"&lt;&gt;"&amp;""))</f>
        <v>1</v>
      </c>
      <c r="K250" s="164">
        <f>IF(C250="","",COUNTIFS(Başvuru!$C:$C,C250,Başvuru!$L:$L,"DÜZELTME",Başvuru!$A:$A,"&lt;&gt;"&amp;"",Başvuru!$F:$F,"&lt;&gt;"&amp;""))</f>
        <v>0</v>
      </c>
      <c r="L250" s="165">
        <f>IF(C250="","",COUNTIFS(Başvuru!$C:$C,C250,Başvuru!$L:$L,"KAEK",Başvuru!$A:$A,"&lt;&gt;"&amp;"",Başvuru!$F:$F,"&lt;&gt;"&amp;""))</f>
        <v>0</v>
      </c>
      <c r="M250" s="166">
        <f>IF(C250="","",COUNTIFS(Başvuru!$C:$C,C250,Başvuru!$L:$L,"GÖRÜŞ",Başvuru!$A:$A,"&lt;&gt;"&amp;"",Başvuru!$F:$F,"&lt;&gt;"&amp;""))</f>
        <v>0</v>
      </c>
      <c r="N250" s="167">
        <f>IF(C250="","",COUNTIFS(Başvuru!$C:$C,C250,Başvuru!$L:$L,"RET",Başvuru!$A:$A,"&lt;&gt;"&amp;"",Başvuru!$F:$F,"&lt;&gt;"&amp;""))</f>
        <v>0</v>
      </c>
      <c r="O250" s="168">
        <f>IF(C250="","",COUNTIFS(Başvuru!$C:$C,C250,Başvuru!$L:$L,"KAPSAM DIŞI",Başvuru!$A:$A,"&lt;&gt;"&amp;"",Başvuru!$F:$F,"&lt;&gt;"&amp;""))</f>
        <v>0</v>
      </c>
      <c r="P250" s="169">
        <f>IF(C250="","",COUNTIFS(Başvuru!$C:$C,C250,Başvuru!$L:$L,"GERİ ÇEKİLDİ",Başvuru!$A:$A,"&lt;&gt;"&amp;"",Başvuru!$F:$F,"&lt;&gt;"&amp;""))</f>
        <v>0</v>
      </c>
      <c r="Q250" s="170" t="str">
        <f t="array" ref="Q250">IFERROR(INDEX(Başvuru!$C$2:$C$3000, MATCH(0, COUNTIF($Q$5:Q249, Başvuru!$C$2:$C$3000) + IF(Başvuru!$C$2:$C$3000="",1,0), 0)), "")</f>
        <v>Prof. Dr. Alper AKTAŞ</v>
      </c>
      <c r="R250" s="171">
        <f>IF(Q250="","",COUNTIFS(Başvuru!$C:$C,Q250,Başvuru!$A:$A,"&lt;&gt;"&amp;"",Başvuru!$F:$F,"&lt;&gt;"&amp;""))</f>
        <v>1</v>
      </c>
      <c r="S250" s="171">
        <f>IF(R250="","",RANK(R250,$R$6:$R$505,0)+COUNTIF($R$6:R250,R250)-1)</f>
        <v>265</v>
      </c>
    </row>
    <row r="251" spans="2:19" ht="23.25" customHeight="1" x14ac:dyDescent="0.25">
      <c r="B251" s="159">
        <v>246</v>
      </c>
      <c r="C251" s="160" t="str">
        <f>IFERROR(INDEX($Q$6:$Q$505,MATCH(246,$S$6:$S$505,0)),"")</f>
        <v>Doç. Dr. Rahşan GÖÇMEN</v>
      </c>
      <c r="D251" s="161">
        <f>IF(C251="","",COUNTIFS(Başvuru!$C:$C,C251,Başvuru!$A:$A,"&lt;&gt;"&amp;"",Başvuru!$F:$F,"&lt;&gt;"&amp;""))</f>
        <v>1</v>
      </c>
      <c r="E251" s="159" t="str">
        <f>IF(C251="","-",IF(D251&gt;0,TEXT(D251/(COUNTIFS(Başvuru!$A:$A,"&lt;&gt;",Başvuru!$F:$F,"&lt;&gt;")-1)*100,"0.0")&amp;"%","-"))</f>
        <v>00%</v>
      </c>
      <c r="F251" s="162">
        <f>IF(C251="","",COUNTIFS(Başvuru!$C:$C,C251,Başvuru!$G:$G,"Bireysel Araştırma",Başvuru!$A:$A,"&lt;&gt;"&amp;"",Başvuru!$F:$F,"&lt;&gt;"&amp;""))</f>
        <v>1</v>
      </c>
      <c r="G251" s="162">
        <f>IF(C251="","",COUNTIFS(Başvuru!$C:$C,C251,Başvuru!$G:$G,"Uzmanlık Tezi",Başvuru!$A:$A,"&lt;&gt;"&amp;"",Başvuru!$F:$F,"&lt;&gt;"&amp;""))</f>
        <v>0</v>
      </c>
      <c r="H251" s="162">
        <f>IF(C251="","",COUNTIFS(Başvuru!$C:$C,C251,Başvuru!$G:$G,"Doktora Tezi",Başvuru!$A:$A,"&lt;&gt;"&amp;"",Başvuru!$F:$F,"&lt;&gt;"&amp;""))</f>
        <v>0</v>
      </c>
      <c r="I251" s="162">
        <f>IF(C251="","",COUNTIFS(Başvuru!$C:$C,C251,Başvuru!$G:$G,"Yüksek Lisans Tezi",Başvuru!$A:$A,"&lt;&gt;"&amp;"",Başvuru!$F:$F,"&lt;&gt;"&amp;""))</f>
        <v>0</v>
      </c>
      <c r="J251" s="163">
        <f>IF(C251="","",COUNTIFS(Başvuru!$C:$C,C251,Başvuru!$L:$L,"ONAY",Başvuru!$A:$A,"&lt;&gt;"&amp;"",Başvuru!$F:$F,"&lt;&gt;"&amp;""))</f>
        <v>1</v>
      </c>
      <c r="K251" s="164">
        <f>IF(C251="","",COUNTIFS(Başvuru!$C:$C,C251,Başvuru!$L:$L,"DÜZELTME",Başvuru!$A:$A,"&lt;&gt;"&amp;"",Başvuru!$F:$F,"&lt;&gt;"&amp;""))</f>
        <v>0</v>
      </c>
      <c r="L251" s="165">
        <f>IF(C251="","",COUNTIFS(Başvuru!$C:$C,C251,Başvuru!$L:$L,"KAEK",Başvuru!$A:$A,"&lt;&gt;"&amp;"",Başvuru!$F:$F,"&lt;&gt;"&amp;""))</f>
        <v>0</v>
      </c>
      <c r="M251" s="166">
        <f>IF(C251="","",COUNTIFS(Başvuru!$C:$C,C251,Başvuru!$L:$L,"GÖRÜŞ",Başvuru!$A:$A,"&lt;&gt;"&amp;"",Başvuru!$F:$F,"&lt;&gt;"&amp;""))</f>
        <v>0</v>
      </c>
      <c r="N251" s="167">
        <f>IF(C251="","",COUNTIFS(Başvuru!$C:$C,C251,Başvuru!$L:$L,"RET",Başvuru!$A:$A,"&lt;&gt;"&amp;"",Başvuru!$F:$F,"&lt;&gt;"&amp;""))</f>
        <v>0</v>
      </c>
      <c r="O251" s="168">
        <f>IF(C251="","",COUNTIFS(Başvuru!$C:$C,C251,Başvuru!$L:$L,"KAPSAM DIŞI",Başvuru!$A:$A,"&lt;&gt;"&amp;"",Başvuru!$F:$F,"&lt;&gt;"&amp;""))</f>
        <v>0</v>
      </c>
      <c r="P251" s="169">
        <f>IF(C251="","",COUNTIFS(Başvuru!$C:$C,C251,Başvuru!$L:$L,"GERİ ÇEKİLDİ",Başvuru!$A:$A,"&lt;&gt;"&amp;"",Başvuru!$F:$F,"&lt;&gt;"&amp;""))</f>
        <v>0</v>
      </c>
      <c r="Q251" s="170" t="str">
        <f t="array" ref="Q251">IFERROR(INDEX(Başvuru!$C$2:$C$3000, MATCH(0, COUNTIF($Q$5:Q250, Başvuru!$C$2:$C$3000) + IF(Başvuru!$C$2:$C$3000="",1,0), 0)), "")</f>
        <v>Doç. Dr. Barış SEZER</v>
      </c>
      <c r="R251" s="171">
        <f>IF(Q251="","",COUNTIFS(Başvuru!$C:$C,Q251,Başvuru!$A:$A,"&lt;&gt;"&amp;"",Başvuru!$F:$F,"&lt;&gt;"&amp;""))</f>
        <v>2</v>
      </c>
      <c r="S251" s="171">
        <f>IF(R251="","",RANK(R251,$R$6:$R$505,0)+COUNTIF($R$6:R251,R251)-1)</f>
        <v>133</v>
      </c>
    </row>
    <row r="252" spans="2:19" ht="23.25" customHeight="1" x14ac:dyDescent="0.25">
      <c r="B252" s="159">
        <v>247</v>
      </c>
      <c r="C252" s="160" t="str">
        <f>IFERROR(INDEX($Q$6:$Q$505,MATCH(247,$S$6:$S$505,0)),"")</f>
        <v>Prof. Dr. Pergin ATİLLA</v>
      </c>
      <c r="D252" s="161">
        <f>IF(C252="","",COUNTIFS(Başvuru!$C:$C,C252,Başvuru!$A:$A,"&lt;&gt;"&amp;"",Başvuru!$F:$F,"&lt;&gt;"&amp;""))</f>
        <v>1</v>
      </c>
      <c r="E252" s="159" t="str">
        <f>IF(C252="","-",IF(D252&gt;0,TEXT(D252/(COUNTIFS(Başvuru!$A:$A,"&lt;&gt;",Başvuru!$F:$F,"&lt;&gt;")-1)*100,"0.0")&amp;"%","-"))</f>
        <v>00%</v>
      </c>
      <c r="F252" s="162">
        <f>IF(C252="","",COUNTIFS(Başvuru!$C:$C,C252,Başvuru!$G:$G,"Bireysel Araştırma",Başvuru!$A:$A,"&lt;&gt;"&amp;"",Başvuru!$F:$F,"&lt;&gt;"&amp;""))</f>
        <v>0</v>
      </c>
      <c r="G252" s="162">
        <f>IF(C252="","",COUNTIFS(Başvuru!$C:$C,C252,Başvuru!$G:$G,"Uzmanlık Tezi",Başvuru!$A:$A,"&lt;&gt;"&amp;"",Başvuru!$F:$F,"&lt;&gt;"&amp;""))</f>
        <v>1</v>
      </c>
      <c r="H252" s="162">
        <f>IF(C252="","",COUNTIFS(Başvuru!$C:$C,C252,Başvuru!$G:$G,"Doktora Tezi",Başvuru!$A:$A,"&lt;&gt;"&amp;"",Başvuru!$F:$F,"&lt;&gt;"&amp;""))</f>
        <v>0</v>
      </c>
      <c r="I252" s="162">
        <f>IF(C252="","",COUNTIFS(Başvuru!$C:$C,C252,Başvuru!$G:$G,"Yüksek Lisans Tezi",Başvuru!$A:$A,"&lt;&gt;"&amp;"",Başvuru!$F:$F,"&lt;&gt;"&amp;""))</f>
        <v>0</v>
      </c>
      <c r="J252" s="163">
        <f>IF(C252="","",COUNTIFS(Başvuru!$C:$C,C252,Başvuru!$L:$L,"ONAY",Başvuru!$A:$A,"&lt;&gt;"&amp;"",Başvuru!$F:$F,"&lt;&gt;"&amp;""))</f>
        <v>0</v>
      </c>
      <c r="K252" s="164">
        <f>IF(C252="","",COUNTIFS(Başvuru!$C:$C,C252,Başvuru!$L:$L,"DÜZELTME",Başvuru!$A:$A,"&lt;&gt;"&amp;"",Başvuru!$F:$F,"&lt;&gt;"&amp;""))</f>
        <v>1</v>
      </c>
      <c r="L252" s="165">
        <f>IF(C252="","",COUNTIFS(Başvuru!$C:$C,C252,Başvuru!$L:$L,"KAEK",Başvuru!$A:$A,"&lt;&gt;"&amp;"",Başvuru!$F:$F,"&lt;&gt;"&amp;""))</f>
        <v>0</v>
      </c>
      <c r="M252" s="166">
        <f>IF(C252="","",COUNTIFS(Başvuru!$C:$C,C252,Başvuru!$L:$L,"GÖRÜŞ",Başvuru!$A:$A,"&lt;&gt;"&amp;"",Başvuru!$F:$F,"&lt;&gt;"&amp;""))</f>
        <v>0</v>
      </c>
      <c r="N252" s="167">
        <f>IF(C252="","",COUNTIFS(Başvuru!$C:$C,C252,Başvuru!$L:$L,"RET",Başvuru!$A:$A,"&lt;&gt;"&amp;"",Başvuru!$F:$F,"&lt;&gt;"&amp;""))</f>
        <v>0</v>
      </c>
      <c r="O252" s="168">
        <f>IF(C252="","",COUNTIFS(Başvuru!$C:$C,C252,Başvuru!$L:$L,"KAPSAM DIŞI",Başvuru!$A:$A,"&lt;&gt;"&amp;"",Başvuru!$F:$F,"&lt;&gt;"&amp;""))</f>
        <v>0</v>
      </c>
      <c r="P252" s="169">
        <f>IF(C252="","",COUNTIFS(Başvuru!$C:$C,C252,Başvuru!$L:$L,"GERİ ÇEKİLDİ",Başvuru!$A:$A,"&lt;&gt;"&amp;"",Başvuru!$F:$F,"&lt;&gt;"&amp;""))</f>
        <v>0</v>
      </c>
      <c r="Q252" s="170" t="str">
        <f t="array" ref="Q252">IFERROR(INDEX(Başvuru!$C$2:$C$3000, MATCH(0, COUNTIF($Q$5:Q251, Başvuru!$C$2:$C$3000) + IF(Başvuru!$C$2:$C$3000="",1,0), 0)), "")</f>
        <v>Prof. Dr. Melih Önder BABAOĞLU</v>
      </c>
      <c r="R252" s="171">
        <f>IF(Q252="","",COUNTIFS(Başvuru!$C:$C,Q252,Başvuru!$A:$A,"&lt;&gt;"&amp;"",Başvuru!$F:$F,"&lt;&gt;"&amp;""))</f>
        <v>1</v>
      </c>
      <c r="S252" s="171">
        <f>IF(R252="","",RANK(R252,$R$6:$R$505,0)+COUNTIF($R$6:R252,R252)-1)</f>
        <v>266</v>
      </c>
    </row>
    <row r="253" spans="2:19" ht="23.25" customHeight="1" x14ac:dyDescent="0.25">
      <c r="B253" s="159">
        <v>248</v>
      </c>
      <c r="C253" s="160" t="str">
        <f>IFERROR(INDEX($Q$6:$Q$505,MATCH(248,$S$6:$S$505,0)),"")</f>
        <v>Prof. Dr. Abdullah Ruhi SOYLU</v>
      </c>
      <c r="D253" s="161">
        <f>IF(C253="","",COUNTIFS(Başvuru!$C:$C,C253,Başvuru!$A:$A,"&lt;&gt;"&amp;"",Başvuru!$F:$F,"&lt;&gt;"&amp;""))</f>
        <v>1</v>
      </c>
      <c r="E253" s="159" t="str">
        <f>IF(C253="","-",IF(D253&gt;0,TEXT(D253/(COUNTIFS(Başvuru!$A:$A,"&lt;&gt;",Başvuru!$F:$F,"&lt;&gt;")-1)*100,"0.0")&amp;"%","-"))</f>
        <v>00%</v>
      </c>
      <c r="F253" s="162">
        <f>IF(C253="","",COUNTIFS(Başvuru!$C:$C,C253,Başvuru!$G:$G,"Bireysel Araştırma",Başvuru!$A:$A,"&lt;&gt;"&amp;"",Başvuru!$F:$F,"&lt;&gt;"&amp;""))</f>
        <v>0</v>
      </c>
      <c r="G253" s="162">
        <f>IF(C253="","",COUNTIFS(Başvuru!$C:$C,C253,Başvuru!$G:$G,"Uzmanlık Tezi",Başvuru!$A:$A,"&lt;&gt;"&amp;"",Başvuru!$F:$F,"&lt;&gt;"&amp;""))</f>
        <v>0</v>
      </c>
      <c r="H253" s="162">
        <f>IF(C253="","",COUNTIFS(Başvuru!$C:$C,C253,Başvuru!$G:$G,"Doktora Tezi",Başvuru!$A:$A,"&lt;&gt;"&amp;"",Başvuru!$F:$F,"&lt;&gt;"&amp;""))</f>
        <v>1</v>
      </c>
      <c r="I253" s="162">
        <f>IF(C253="","",COUNTIFS(Başvuru!$C:$C,C253,Başvuru!$G:$G,"Yüksek Lisans Tezi",Başvuru!$A:$A,"&lt;&gt;"&amp;"",Başvuru!$F:$F,"&lt;&gt;"&amp;""))</f>
        <v>0</v>
      </c>
      <c r="J253" s="163">
        <f>IF(C253="","",COUNTIFS(Başvuru!$C:$C,C253,Başvuru!$L:$L,"ONAY",Başvuru!$A:$A,"&lt;&gt;"&amp;"",Başvuru!$F:$F,"&lt;&gt;"&amp;""))</f>
        <v>1</v>
      </c>
      <c r="K253" s="164">
        <f>IF(C253="","",COUNTIFS(Başvuru!$C:$C,C253,Başvuru!$L:$L,"DÜZELTME",Başvuru!$A:$A,"&lt;&gt;"&amp;"",Başvuru!$F:$F,"&lt;&gt;"&amp;""))</f>
        <v>0</v>
      </c>
      <c r="L253" s="165">
        <f>IF(C253="","",COUNTIFS(Başvuru!$C:$C,C253,Başvuru!$L:$L,"KAEK",Başvuru!$A:$A,"&lt;&gt;"&amp;"",Başvuru!$F:$F,"&lt;&gt;"&amp;""))</f>
        <v>0</v>
      </c>
      <c r="M253" s="166">
        <f>IF(C253="","",COUNTIFS(Başvuru!$C:$C,C253,Başvuru!$L:$L,"GÖRÜŞ",Başvuru!$A:$A,"&lt;&gt;"&amp;"",Başvuru!$F:$F,"&lt;&gt;"&amp;""))</f>
        <v>0</v>
      </c>
      <c r="N253" s="167">
        <f>IF(C253="","",COUNTIFS(Başvuru!$C:$C,C253,Başvuru!$L:$L,"RET",Başvuru!$A:$A,"&lt;&gt;"&amp;"",Başvuru!$F:$F,"&lt;&gt;"&amp;""))</f>
        <v>0</v>
      </c>
      <c r="O253" s="168">
        <f>IF(C253="","",COUNTIFS(Başvuru!$C:$C,C253,Başvuru!$L:$L,"KAPSAM DIŞI",Başvuru!$A:$A,"&lt;&gt;"&amp;"",Başvuru!$F:$F,"&lt;&gt;"&amp;""))</f>
        <v>0</v>
      </c>
      <c r="P253" s="169">
        <f>IF(C253="","",COUNTIFS(Başvuru!$C:$C,C253,Başvuru!$L:$L,"GERİ ÇEKİLDİ",Başvuru!$A:$A,"&lt;&gt;"&amp;"",Başvuru!$F:$F,"&lt;&gt;"&amp;""))</f>
        <v>0</v>
      </c>
      <c r="Q253" s="170" t="str">
        <f t="array" ref="Q253">IFERROR(INDEX(Başvuru!$C$2:$C$3000, MATCH(0, COUNTIF($Q$5:Q252, Başvuru!$C$2:$C$3000) + IF(Başvuru!$C$2:$C$3000="",1,0), 0)), "")</f>
        <v>Dr. Öğr. Üyesi Oğuzhan KATAR</v>
      </c>
      <c r="R253" s="171">
        <f>IF(Q253="","",COUNTIFS(Başvuru!$C:$C,Q253,Başvuru!$A:$A,"&lt;&gt;"&amp;"",Başvuru!$F:$F,"&lt;&gt;"&amp;""))</f>
        <v>1</v>
      </c>
      <c r="S253" s="171">
        <f>IF(R253="","",RANK(R253,$R$6:$R$505,0)+COUNTIF($R$6:R253,R253)-1)</f>
        <v>267</v>
      </c>
    </row>
    <row r="254" spans="2:19" ht="23.25" customHeight="1" x14ac:dyDescent="0.25">
      <c r="B254" s="159">
        <v>249</v>
      </c>
      <c r="C254" s="160" t="str">
        <f>IFERROR(INDEX($Q$6:$Q$505,MATCH(249,$S$6:$S$505,0)),"")</f>
        <v>Öğr. Gör. Dt. Diler DENİZ</v>
      </c>
      <c r="D254" s="161">
        <f>IF(C254="","",COUNTIFS(Başvuru!$C:$C,C254,Başvuru!$A:$A,"&lt;&gt;"&amp;"",Başvuru!$F:$F,"&lt;&gt;"&amp;""))</f>
        <v>1</v>
      </c>
      <c r="E254" s="159" t="str">
        <f>IF(C254="","-",IF(D254&gt;0,TEXT(D254/(COUNTIFS(Başvuru!$A:$A,"&lt;&gt;",Başvuru!$F:$F,"&lt;&gt;")-1)*100,"0.0")&amp;"%","-"))</f>
        <v>00%</v>
      </c>
      <c r="F254" s="162">
        <f>IF(C254="","",COUNTIFS(Başvuru!$C:$C,C254,Başvuru!$G:$G,"Bireysel Araştırma",Başvuru!$A:$A,"&lt;&gt;"&amp;"",Başvuru!$F:$F,"&lt;&gt;"&amp;""))</f>
        <v>1</v>
      </c>
      <c r="G254" s="162">
        <f>IF(C254="","",COUNTIFS(Başvuru!$C:$C,C254,Başvuru!$G:$G,"Uzmanlık Tezi",Başvuru!$A:$A,"&lt;&gt;"&amp;"",Başvuru!$F:$F,"&lt;&gt;"&amp;""))</f>
        <v>0</v>
      </c>
      <c r="H254" s="162">
        <f>IF(C254="","",COUNTIFS(Başvuru!$C:$C,C254,Başvuru!$G:$G,"Doktora Tezi",Başvuru!$A:$A,"&lt;&gt;"&amp;"",Başvuru!$F:$F,"&lt;&gt;"&amp;""))</f>
        <v>0</v>
      </c>
      <c r="I254" s="162">
        <f>IF(C254="","",COUNTIFS(Başvuru!$C:$C,C254,Başvuru!$G:$G,"Yüksek Lisans Tezi",Başvuru!$A:$A,"&lt;&gt;"&amp;"",Başvuru!$F:$F,"&lt;&gt;"&amp;""))</f>
        <v>0</v>
      </c>
      <c r="J254" s="163">
        <f>IF(C254="","",COUNTIFS(Başvuru!$C:$C,C254,Başvuru!$L:$L,"ONAY",Başvuru!$A:$A,"&lt;&gt;"&amp;"",Başvuru!$F:$F,"&lt;&gt;"&amp;""))</f>
        <v>1</v>
      </c>
      <c r="K254" s="164">
        <f>IF(C254="","",COUNTIFS(Başvuru!$C:$C,C254,Başvuru!$L:$L,"DÜZELTME",Başvuru!$A:$A,"&lt;&gt;"&amp;"",Başvuru!$F:$F,"&lt;&gt;"&amp;""))</f>
        <v>0</v>
      </c>
      <c r="L254" s="165">
        <f>IF(C254="","",COUNTIFS(Başvuru!$C:$C,C254,Başvuru!$L:$L,"KAEK",Başvuru!$A:$A,"&lt;&gt;"&amp;"",Başvuru!$F:$F,"&lt;&gt;"&amp;""))</f>
        <v>0</v>
      </c>
      <c r="M254" s="166">
        <f>IF(C254="","",COUNTIFS(Başvuru!$C:$C,C254,Başvuru!$L:$L,"GÖRÜŞ",Başvuru!$A:$A,"&lt;&gt;"&amp;"",Başvuru!$F:$F,"&lt;&gt;"&amp;""))</f>
        <v>0</v>
      </c>
      <c r="N254" s="167">
        <f>IF(C254="","",COUNTIFS(Başvuru!$C:$C,C254,Başvuru!$L:$L,"RET",Başvuru!$A:$A,"&lt;&gt;"&amp;"",Başvuru!$F:$F,"&lt;&gt;"&amp;""))</f>
        <v>0</v>
      </c>
      <c r="O254" s="168">
        <f>IF(C254="","",COUNTIFS(Başvuru!$C:$C,C254,Başvuru!$L:$L,"KAPSAM DIŞI",Başvuru!$A:$A,"&lt;&gt;"&amp;"",Başvuru!$F:$F,"&lt;&gt;"&amp;""))</f>
        <v>0</v>
      </c>
      <c r="P254" s="169">
        <f>IF(C254="","",COUNTIFS(Başvuru!$C:$C,C254,Başvuru!$L:$L,"GERİ ÇEKİLDİ",Başvuru!$A:$A,"&lt;&gt;"&amp;"",Başvuru!$F:$F,"&lt;&gt;"&amp;""))</f>
        <v>0</v>
      </c>
      <c r="Q254" s="170" t="str">
        <f t="array" ref="Q254">IFERROR(INDEX(Başvuru!$C$2:$C$3000, MATCH(0, COUNTIF($Q$5:Q253, Başvuru!$C$2:$C$3000) + IF(Başvuru!$C$2:$C$3000="",1,0), 0)), "")</f>
        <v>Doç. Dr. Ahmet KIVRAK</v>
      </c>
      <c r="R254" s="171">
        <f>IF(Q254="","",COUNTIFS(Başvuru!$C:$C,Q254,Başvuru!$A:$A,"&lt;&gt;"&amp;"",Başvuru!$F:$F,"&lt;&gt;"&amp;""))</f>
        <v>4</v>
      </c>
      <c r="S254" s="171">
        <f>IF(R254="","",RANK(R254,$R$6:$R$505,0)+COUNTIF($R$6:R254,R254)-1)</f>
        <v>47</v>
      </c>
    </row>
    <row r="255" spans="2:19" ht="23.25" customHeight="1" x14ac:dyDescent="0.25">
      <c r="B255" s="159">
        <v>250</v>
      </c>
      <c r="C255" s="160" t="str">
        <f>IFERROR(INDEX($Q$6:$Q$505,MATCH(250,$S$6:$S$505,0)),"")</f>
        <v>Prof. Dr. İncilay LAY</v>
      </c>
      <c r="D255" s="161">
        <f>IF(C255="","",COUNTIFS(Başvuru!$C:$C,C255,Başvuru!$A:$A,"&lt;&gt;"&amp;"",Başvuru!$F:$F,"&lt;&gt;"&amp;""))</f>
        <v>1</v>
      </c>
      <c r="E255" s="159" t="str">
        <f>IF(C255="","-",IF(D255&gt;0,TEXT(D255/(COUNTIFS(Başvuru!$A:$A,"&lt;&gt;",Başvuru!$F:$F,"&lt;&gt;")-1)*100,"0.0")&amp;"%","-"))</f>
        <v>00%</v>
      </c>
      <c r="F255" s="162">
        <f>IF(C255="","",COUNTIFS(Başvuru!$C:$C,C255,Başvuru!$G:$G,"Bireysel Araştırma",Başvuru!$A:$A,"&lt;&gt;"&amp;"",Başvuru!$F:$F,"&lt;&gt;"&amp;""))</f>
        <v>0</v>
      </c>
      <c r="G255" s="162">
        <f>IF(C255="","",COUNTIFS(Başvuru!$C:$C,C255,Başvuru!$G:$G,"Uzmanlık Tezi",Başvuru!$A:$A,"&lt;&gt;"&amp;"",Başvuru!$F:$F,"&lt;&gt;"&amp;""))</f>
        <v>1</v>
      </c>
      <c r="H255" s="162">
        <f>IF(C255="","",COUNTIFS(Başvuru!$C:$C,C255,Başvuru!$G:$G,"Doktora Tezi",Başvuru!$A:$A,"&lt;&gt;"&amp;"",Başvuru!$F:$F,"&lt;&gt;"&amp;""))</f>
        <v>0</v>
      </c>
      <c r="I255" s="162">
        <f>IF(C255="","",COUNTIFS(Başvuru!$C:$C,C255,Başvuru!$G:$G,"Yüksek Lisans Tezi",Başvuru!$A:$A,"&lt;&gt;"&amp;"",Başvuru!$F:$F,"&lt;&gt;"&amp;""))</f>
        <v>0</v>
      </c>
      <c r="J255" s="163">
        <f>IF(C255="","",COUNTIFS(Başvuru!$C:$C,C255,Başvuru!$L:$L,"ONAY",Başvuru!$A:$A,"&lt;&gt;"&amp;"",Başvuru!$F:$F,"&lt;&gt;"&amp;""))</f>
        <v>0</v>
      </c>
      <c r="K255" s="164">
        <f>IF(C255="","",COUNTIFS(Başvuru!$C:$C,C255,Başvuru!$L:$L,"DÜZELTME",Başvuru!$A:$A,"&lt;&gt;"&amp;"",Başvuru!$F:$F,"&lt;&gt;"&amp;""))</f>
        <v>1</v>
      </c>
      <c r="L255" s="165">
        <f>IF(C255="","",COUNTIFS(Başvuru!$C:$C,C255,Başvuru!$L:$L,"KAEK",Başvuru!$A:$A,"&lt;&gt;"&amp;"",Başvuru!$F:$F,"&lt;&gt;"&amp;""))</f>
        <v>0</v>
      </c>
      <c r="M255" s="166">
        <f>IF(C255="","",COUNTIFS(Başvuru!$C:$C,C255,Başvuru!$L:$L,"GÖRÜŞ",Başvuru!$A:$A,"&lt;&gt;"&amp;"",Başvuru!$F:$F,"&lt;&gt;"&amp;""))</f>
        <v>0</v>
      </c>
      <c r="N255" s="167">
        <f>IF(C255="","",COUNTIFS(Başvuru!$C:$C,C255,Başvuru!$L:$L,"RET",Başvuru!$A:$A,"&lt;&gt;"&amp;"",Başvuru!$F:$F,"&lt;&gt;"&amp;""))</f>
        <v>0</v>
      </c>
      <c r="O255" s="168">
        <f>IF(C255="","",COUNTIFS(Başvuru!$C:$C,C255,Başvuru!$L:$L,"KAPSAM DIŞI",Başvuru!$A:$A,"&lt;&gt;"&amp;"",Başvuru!$F:$F,"&lt;&gt;"&amp;""))</f>
        <v>0</v>
      </c>
      <c r="P255" s="169">
        <f>IF(C255="","",COUNTIFS(Başvuru!$C:$C,C255,Başvuru!$L:$L,"GERİ ÇEKİLDİ",Başvuru!$A:$A,"&lt;&gt;"&amp;"",Başvuru!$F:$F,"&lt;&gt;"&amp;""))</f>
        <v>0</v>
      </c>
      <c r="Q255" s="170" t="str">
        <f t="array" ref="Q255">IFERROR(INDEX(Başvuru!$C$2:$C$3000, MATCH(0, COUNTIF($Q$5:Q254, Başvuru!$C$2:$C$3000) + IF(Başvuru!$C$2:$C$3000="",1,0), 0)), "")</f>
        <v>Arş. Gör. Dr. Ozan KAPLAN</v>
      </c>
      <c r="R255" s="171">
        <f>IF(Q255="","",COUNTIFS(Başvuru!$C:$C,Q255,Başvuru!$A:$A,"&lt;&gt;"&amp;"",Başvuru!$F:$F,"&lt;&gt;"&amp;""))</f>
        <v>1</v>
      </c>
      <c r="S255" s="171">
        <f>IF(R255="","",RANK(R255,$R$6:$R$505,0)+COUNTIF($R$6:R255,R255)-1)</f>
        <v>268</v>
      </c>
    </row>
    <row r="256" spans="2:19" ht="23.25" customHeight="1" x14ac:dyDescent="0.25">
      <c r="B256" s="159">
        <v>251</v>
      </c>
      <c r="C256" s="160" t="str">
        <f>IFERROR(INDEX($Q$6:$Q$505,MATCH(251,$S$6:$S$505,0)),"")</f>
        <v>Doç. Dr. Şükran Gülin EVİNÇ</v>
      </c>
      <c r="D256" s="161">
        <f>IF(C256="","",COUNTIFS(Başvuru!$C:$C,C256,Başvuru!$A:$A,"&lt;&gt;"&amp;"",Başvuru!$F:$F,"&lt;&gt;"&amp;""))</f>
        <v>1</v>
      </c>
      <c r="E256" s="159" t="str">
        <f>IF(C256="","-",IF(D256&gt;0,TEXT(D256/(COUNTIFS(Başvuru!$A:$A,"&lt;&gt;",Başvuru!$F:$F,"&lt;&gt;")-1)*100,"0.0")&amp;"%","-"))</f>
        <v>00%</v>
      </c>
      <c r="F256" s="162">
        <f>IF(C256="","",COUNTIFS(Başvuru!$C:$C,C256,Başvuru!$G:$G,"Bireysel Araştırma",Başvuru!$A:$A,"&lt;&gt;"&amp;"",Başvuru!$F:$F,"&lt;&gt;"&amp;""))</f>
        <v>1</v>
      </c>
      <c r="G256" s="162">
        <f>IF(C256="","",COUNTIFS(Başvuru!$C:$C,C256,Başvuru!$G:$G,"Uzmanlık Tezi",Başvuru!$A:$A,"&lt;&gt;"&amp;"",Başvuru!$F:$F,"&lt;&gt;"&amp;""))</f>
        <v>0</v>
      </c>
      <c r="H256" s="162">
        <f>IF(C256="","",COUNTIFS(Başvuru!$C:$C,C256,Başvuru!$G:$G,"Doktora Tezi",Başvuru!$A:$A,"&lt;&gt;"&amp;"",Başvuru!$F:$F,"&lt;&gt;"&amp;""))</f>
        <v>0</v>
      </c>
      <c r="I256" s="162">
        <f>IF(C256="","",COUNTIFS(Başvuru!$C:$C,C256,Başvuru!$G:$G,"Yüksek Lisans Tezi",Başvuru!$A:$A,"&lt;&gt;"&amp;"",Başvuru!$F:$F,"&lt;&gt;"&amp;""))</f>
        <v>0</v>
      </c>
      <c r="J256" s="163">
        <f>IF(C256="","",COUNTIFS(Başvuru!$C:$C,C256,Başvuru!$L:$L,"ONAY",Başvuru!$A:$A,"&lt;&gt;"&amp;"",Başvuru!$F:$F,"&lt;&gt;"&amp;""))</f>
        <v>1</v>
      </c>
      <c r="K256" s="164">
        <f>IF(C256="","",COUNTIFS(Başvuru!$C:$C,C256,Başvuru!$L:$L,"DÜZELTME",Başvuru!$A:$A,"&lt;&gt;"&amp;"",Başvuru!$F:$F,"&lt;&gt;"&amp;""))</f>
        <v>0</v>
      </c>
      <c r="L256" s="165">
        <f>IF(C256="","",COUNTIFS(Başvuru!$C:$C,C256,Başvuru!$L:$L,"KAEK",Başvuru!$A:$A,"&lt;&gt;"&amp;"",Başvuru!$F:$F,"&lt;&gt;"&amp;""))</f>
        <v>0</v>
      </c>
      <c r="M256" s="166">
        <f>IF(C256="","",COUNTIFS(Başvuru!$C:$C,C256,Başvuru!$L:$L,"GÖRÜŞ",Başvuru!$A:$A,"&lt;&gt;"&amp;"",Başvuru!$F:$F,"&lt;&gt;"&amp;""))</f>
        <v>0</v>
      </c>
      <c r="N256" s="167">
        <f>IF(C256="","",COUNTIFS(Başvuru!$C:$C,C256,Başvuru!$L:$L,"RET",Başvuru!$A:$A,"&lt;&gt;"&amp;"",Başvuru!$F:$F,"&lt;&gt;"&amp;""))</f>
        <v>0</v>
      </c>
      <c r="O256" s="168">
        <f>IF(C256="","",COUNTIFS(Başvuru!$C:$C,C256,Başvuru!$L:$L,"KAPSAM DIŞI",Başvuru!$A:$A,"&lt;&gt;"&amp;"",Başvuru!$F:$F,"&lt;&gt;"&amp;""))</f>
        <v>0</v>
      </c>
      <c r="P256" s="169">
        <f>IF(C256="","",COUNTIFS(Başvuru!$C:$C,C256,Başvuru!$L:$L,"GERİ ÇEKİLDİ",Başvuru!$A:$A,"&lt;&gt;"&amp;"",Başvuru!$F:$F,"&lt;&gt;"&amp;""))</f>
        <v>0</v>
      </c>
      <c r="Q256" s="170" t="str">
        <f t="array" ref="Q256">IFERROR(INDEX(Başvuru!$C$2:$C$3000, MATCH(0, COUNTIF($Q$5:Q255, Başvuru!$C$2:$C$3000) + IF(Başvuru!$C$2:$C$3000="",1,0), 0)), "")</f>
        <v>Dr. Öğr. Üyesi Emre MUTLU</v>
      </c>
      <c r="R256" s="171">
        <f>IF(Q256="","",COUNTIFS(Başvuru!$C:$C,Q256,Başvuru!$A:$A,"&lt;&gt;"&amp;"",Başvuru!$F:$F,"&lt;&gt;"&amp;""))</f>
        <v>1</v>
      </c>
      <c r="S256" s="171">
        <f>IF(R256="","",RANK(R256,$R$6:$R$505,0)+COUNTIF($R$6:R256,R256)-1)</f>
        <v>269</v>
      </c>
    </row>
    <row r="257" spans="2:19" ht="23.25" customHeight="1" x14ac:dyDescent="0.25">
      <c r="B257" s="159">
        <v>252</v>
      </c>
      <c r="C257" s="160" t="str">
        <f>IFERROR(INDEX($Q$6:$Q$505,MATCH(252,$S$6:$S$505,0)),"")</f>
        <v>Prof. Dr. Melek Dilek TURGUT</v>
      </c>
      <c r="D257" s="161">
        <f>IF(C257="","",COUNTIFS(Başvuru!$C:$C,C257,Başvuru!$A:$A,"&lt;&gt;"&amp;"",Başvuru!$F:$F,"&lt;&gt;"&amp;""))</f>
        <v>1</v>
      </c>
      <c r="E257" s="159" t="str">
        <f>IF(C257="","-",IF(D257&gt;0,TEXT(D257/(COUNTIFS(Başvuru!$A:$A,"&lt;&gt;",Başvuru!$F:$F,"&lt;&gt;")-1)*100,"0.0")&amp;"%","-"))</f>
        <v>00%</v>
      </c>
      <c r="F257" s="162">
        <f>IF(C257="","",COUNTIFS(Başvuru!$C:$C,C257,Başvuru!$G:$G,"Bireysel Araştırma",Başvuru!$A:$A,"&lt;&gt;"&amp;"",Başvuru!$F:$F,"&lt;&gt;"&amp;""))</f>
        <v>1</v>
      </c>
      <c r="G257" s="162">
        <f>IF(C257="","",COUNTIFS(Başvuru!$C:$C,C257,Başvuru!$G:$G,"Uzmanlık Tezi",Başvuru!$A:$A,"&lt;&gt;"&amp;"",Başvuru!$F:$F,"&lt;&gt;"&amp;""))</f>
        <v>0</v>
      </c>
      <c r="H257" s="162">
        <f>IF(C257="","",COUNTIFS(Başvuru!$C:$C,C257,Başvuru!$G:$G,"Doktora Tezi",Başvuru!$A:$A,"&lt;&gt;"&amp;"",Başvuru!$F:$F,"&lt;&gt;"&amp;""))</f>
        <v>0</v>
      </c>
      <c r="I257" s="162">
        <f>IF(C257="","",COUNTIFS(Başvuru!$C:$C,C257,Başvuru!$G:$G,"Yüksek Lisans Tezi",Başvuru!$A:$A,"&lt;&gt;"&amp;"",Başvuru!$F:$F,"&lt;&gt;"&amp;""))</f>
        <v>0</v>
      </c>
      <c r="J257" s="163">
        <f>IF(C257="","",COUNTIFS(Başvuru!$C:$C,C257,Başvuru!$L:$L,"ONAY",Başvuru!$A:$A,"&lt;&gt;"&amp;"",Başvuru!$F:$F,"&lt;&gt;"&amp;""))</f>
        <v>1</v>
      </c>
      <c r="K257" s="164">
        <f>IF(C257="","",COUNTIFS(Başvuru!$C:$C,C257,Başvuru!$L:$L,"DÜZELTME",Başvuru!$A:$A,"&lt;&gt;"&amp;"",Başvuru!$F:$F,"&lt;&gt;"&amp;""))</f>
        <v>0</v>
      </c>
      <c r="L257" s="165">
        <f>IF(C257="","",COUNTIFS(Başvuru!$C:$C,C257,Başvuru!$L:$L,"KAEK",Başvuru!$A:$A,"&lt;&gt;"&amp;"",Başvuru!$F:$F,"&lt;&gt;"&amp;""))</f>
        <v>0</v>
      </c>
      <c r="M257" s="166">
        <f>IF(C257="","",COUNTIFS(Başvuru!$C:$C,C257,Başvuru!$L:$L,"GÖRÜŞ",Başvuru!$A:$A,"&lt;&gt;"&amp;"",Başvuru!$F:$F,"&lt;&gt;"&amp;""))</f>
        <v>0</v>
      </c>
      <c r="N257" s="167">
        <f>IF(C257="","",COUNTIFS(Başvuru!$C:$C,C257,Başvuru!$L:$L,"RET",Başvuru!$A:$A,"&lt;&gt;"&amp;"",Başvuru!$F:$F,"&lt;&gt;"&amp;""))</f>
        <v>0</v>
      </c>
      <c r="O257" s="168">
        <f>IF(C257="","",COUNTIFS(Başvuru!$C:$C,C257,Başvuru!$L:$L,"KAPSAM DIŞI",Başvuru!$A:$A,"&lt;&gt;"&amp;"",Başvuru!$F:$F,"&lt;&gt;"&amp;""))</f>
        <v>0</v>
      </c>
      <c r="P257" s="169">
        <f>IF(C257="","",COUNTIFS(Başvuru!$C:$C,C257,Başvuru!$L:$L,"GERİ ÇEKİLDİ",Başvuru!$A:$A,"&lt;&gt;"&amp;"",Başvuru!$F:$F,"&lt;&gt;"&amp;""))</f>
        <v>0</v>
      </c>
      <c r="Q257" s="170" t="str">
        <f t="array" ref="Q257">IFERROR(INDEX(Başvuru!$C$2:$C$3000, MATCH(0, COUNTIF($Q$5:Q256, Başvuru!$C$2:$C$3000) + IF(Başvuru!$C$2:$C$3000="",1,0), 0)), "")</f>
        <v>Prof. Dr. Lale KARAKOÇ SÖKMENSÜER</v>
      </c>
      <c r="R257" s="171">
        <f>IF(Q257="","",COUNTIFS(Başvuru!$C:$C,Q257,Başvuru!$A:$A,"&lt;&gt;"&amp;"",Başvuru!$F:$F,"&lt;&gt;"&amp;""))</f>
        <v>1</v>
      </c>
      <c r="S257" s="171">
        <f>IF(R257="","",RANK(R257,$R$6:$R$505,0)+COUNTIF($R$6:R257,R257)-1)</f>
        <v>270</v>
      </c>
    </row>
    <row r="258" spans="2:19" ht="23.25" customHeight="1" x14ac:dyDescent="0.25">
      <c r="B258" s="159">
        <v>253</v>
      </c>
      <c r="C258" s="160" t="str">
        <f>IFERROR(INDEX($Q$6:$Q$505,MATCH(253,$S$6:$S$505,0)),"")</f>
        <v>Doç. Dr. Burak ARDIÇLI</v>
      </c>
      <c r="D258" s="161">
        <f>IF(C258="","",COUNTIFS(Başvuru!$C:$C,C258,Başvuru!$A:$A,"&lt;&gt;"&amp;"",Başvuru!$F:$F,"&lt;&gt;"&amp;""))</f>
        <v>1</v>
      </c>
      <c r="E258" s="159" t="str">
        <f>IF(C258="","-",IF(D258&gt;0,TEXT(D258/(COUNTIFS(Başvuru!$A:$A,"&lt;&gt;",Başvuru!$F:$F,"&lt;&gt;")-1)*100,"0.0")&amp;"%","-"))</f>
        <v>00%</v>
      </c>
      <c r="F258" s="162">
        <f>IF(C258="","",COUNTIFS(Başvuru!$C:$C,C258,Başvuru!$G:$G,"Bireysel Araştırma",Başvuru!$A:$A,"&lt;&gt;"&amp;"",Başvuru!$F:$F,"&lt;&gt;"&amp;""))</f>
        <v>1</v>
      </c>
      <c r="G258" s="162">
        <f>IF(C258="","",COUNTIFS(Başvuru!$C:$C,C258,Başvuru!$G:$G,"Uzmanlık Tezi",Başvuru!$A:$A,"&lt;&gt;"&amp;"",Başvuru!$F:$F,"&lt;&gt;"&amp;""))</f>
        <v>0</v>
      </c>
      <c r="H258" s="162">
        <f>IF(C258="","",COUNTIFS(Başvuru!$C:$C,C258,Başvuru!$G:$G,"Doktora Tezi",Başvuru!$A:$A,"&lt;&gt;"&amp;"",Başvuru!$F:$F,"&lt;&gt;"&amp;""))</f>
        <v>0</v>
      </c>
      <c r="I258" s="162">
        <f>IF(C258="","",COUNTIFS(Başvuru!$C:$C,C258,Başvuru!$G:$G,"Yüksek Lisans Tezi",Başvuru!$A:$A,"&lt;&gt;"&amp;"",Başvuru!$F:$F,"&lt;&gt;"&amp;""))</f>
        <v>0</v>
      </c>
      <c r="J258" s="163">
        <f>IF(C258="","",COUNTIFS(Başvuru!$C:$C,C258,Başvuru!$L:$L,"ONAY",Başvuru!$A:$A,"&lt;&gt;"&amp;"",Başvuru!$F:$F,"&lt;&gt;"&amp;""))</f>
        <v>1</v>
      </c>
      <c r="K258" s="164">
        <f>IF(C258="","",COUNTIFS(Başvuru!$C:$C,C258,Başvuru!$L:$L,"DÜZELTME",Başvuru!$A:$A,"&lt;&gt;"&amp;"",Başvuru!$F:$F,"&lt;&gt;"&amp;""))</f>
        <v>0</v>
      </c>
      <c r="L258" s="165">
        <f>IF(C258="","",COUNTIFS(Başvuru!$C:$C,C258,Başvuru!$L:$L,"KAEK",Başvuru!$A:$A,"&lt;&gt;"&amp;"",Başvuru!$F:$F,"&lt;&gt;"&amp;""))</f>
        <v>0</v>
      </c>
      <c r="M258" s="166">
        <f>IF(C258="","",COUNTIFS(Başvuru!$C:$C,C258,Başvuru!$L:$L,"GÖRÜŞ",Başvuru!$A:$A,"&lt;&gt;"&amp;"",Başvuru!$F:$F,"&lt;&gt;"&amp;""))</f>
        <v>0</v>
      </c>
      <c r="N258" s="167">
        <f>IF(C258="","",COUNTIFS(Başvuru!$C:$C,C258,Başvuru!$L:$L,"RET",Başvuru!$A:$A,"&lt;&gt;"&amp;"",Başvuru!$F:$F,"&lt;&gt;"&amp;""))</f>
        <v>0</v>
      </c>
      <c r="O258" s="168">
        <f>IF(C258="","",COUNTIFS(Başvuru!$C:$C,C258,Başvuru!$L:$L,"KAPSAM DIŞI",Başvuru!$A:$A,"&lt;&gt;"&amp;"",Başvuru!$F:$F,"&lt;&gt;"&amp;""))</f>
        <v>0</v>
      </c>
      <c r="P258" s="169">
        <f>IF(C258="","",COUNTIFS(Başvuru!$C:$C,C258,Başvuru!$L:$L,"GERİ ÇEKİLDİ",Başvuru!$A:$A,"&lt;&gt;"&amp;"",Başvuru!$F:$F,"&lt;&gt;"&amp;""))</f>
        <v>0</v>
      </c>
      <c r="Q258" s="170" t="str">
        <f t="array" ref="Q258">IFERROR(INDEX(Başvuru!$C$2:$C$3000, MATCH(0, COUNTIF($Q$5:Q257, Başvuru!$C$2:$C$3000) + IF(Başvuru!$C$2:$C$3000="",1,0), 0)), "")</f>
        <v>Prof. Dr. Şevket Murat ÖZBEK</v>
      </c>
      <c r="R258" s="171">
        <f>IF(Q258="","",COUNTIFS(Başvuru!$C:$C,Q258,Başvuru!$A:$A,"&lt;&gt;"&amp;"",Başvuru!$F:$F,"&lt;&gt;"&amp;""))</f>
        <v>2</v>
      </c>
      <c r="S258" s="171">
        <f>IF(R258="","",RANK(R258,$R$6:$R$505,0)+COUNTIF($R$6:R258,R258)-1)</f>
        <v>134</v>
      </c>
    </row>
    <row r="259" spans="2:19" ht="23.25" customHeight="1" x14ac:dyDescent="0.25">
      <c r="B259" s="159">
        <v>254</v>
      </c>
      <c r="C259" s="160" t="str">
        <f>IFERROR(INDEX($Q$6:$Q$505,MATCH(254,$S$6:$S$505,0)),"")</f>
        <v>Prof. Dr. Şevkiye Selin AYTAÇ EYÜPOĞLU</v>
      </c>
      <c r="D259" s="161">
        <f>IF(C259="","",COUNTIFS(Başvuru!$C:$C,C259,Başvuru!$A:$A,"&lt;&gt;"&amp;"",Başvuru!$F:$F,"&lt;&gt;"&amp;""))</f>
        <v>1</v>
      </c>
      <c r="E259" s="159" t="str">
        <f>IF(C259="","-",IF(D259&gt;0,TEXT(D259/(COUNTIFS(Başvuru!$A:$A,"&lt;&gt;",Başvuru!$F:$F,"&lt;&gt;")-1)*100,"0.0")&amp;"%","-"))</f>
        <v>00%</v>
      </c>
      <c r="F259" s="162">
        <f>IF(C259="","",COUNTIFS(Başvuru!$C:$C,C259,Başvuru!$G:$G,"Bireysel Araştırma",Başvuru!$A:$A,"&lt;&gt;"&amp;"",Başvuru!$F:$F,"&lt;&gt;"&amp;""))</f>
        <v>0</v>
      </c>
      <c r="G259" s="162">
        <f>IF(C259="","",COUNTIFS(Başvuru!$C:$C,C259,Başvuru!$G:$G,"Uzmanlık Tezi",Başvuru!$A:$A,"&lt;&gt;"&amp;"",Başvuru!$F:$F,"&lt;&gt;"&amp;""))</f>
        <v>1</v>
      </c>
      <c r="H259" s="162">
        <f>IF(C259="","",COUNTIFS(Başvuru!$C:$C,C259,Başvuru!$G:$G,"Doktora Tezi",Başvuru!$A:$A,"&lt;&gt;"&amp;"",Başvuru!$F:$F,"&lt;&gt;"&amp;""))</f>
        <v>0</v>
      </c>
      <c r="I259" s="162">
        <f>IF(C259="","",COUNTIFS(Başvuru!$C:$C,C259,Başvuru!$G:$G,"Yüksek Lisans Tezi",Başvuru!$A:$A,"&lt;&gt;"&amp;"",Başvuru!$F:$F,"&lt;&gt;"&amp;""))</f>
        <v>0</v>
      </c>
      <c r="J259" s="163">
        <f>IF(C259="","",COUNTIFS(Başvuru!$C:$C,C259,Başvuru!$L:$L,"ONAY",Başvuru!$A:$A,"&lt;&gt;"&amp;"",Başvuru!$F:$F,"&lt;&gt;"&amp;""))</f>
        <v>1</v>
      </c>
      <c r="K259" s="164">
        <f>IF(C259="","",COUNTIFS(Başvuru!$C:$C,C259,Başvuru!$L:$L,"DÜZELTME",Başvuru!$A:$A,"&lt;&gt;"&amp;"",Başvuru!$F:$F,"&lt;&gt;"&amp;""))</f>
        <v>0</v>
      </c>
      <c r="L259" s="165">
        <f>IF(C259="","",COUNTIFS(Başvuru!$C:$C,C259,Başvuru!$L:$L,"KAEK",Başvuru!$A:$A,"&lt;&gt;"&amp;"",Başvuru!$F:$F,"&lt;&gt;"&amp;""))</f>
        <v>0</v>
      </c>
      <c r="M259" s="166">
        <f>IF(C259="","",COUNTIFS(Başvuru!$C:$C,C259,Başvuru!$L:$L,"GÖRÜŞ",Başvuru!$A:$A,"&lt;&gt;"&amp;"",Başvuru!$F:$F,"&lt;&gt;"&amp;""))</f>
        <v>0</v>
      </c>
      <c r="N259" s="167">
        <f>IF(C259="","",COUNTIFS(Başvuru!$C:$C,C259,Başvuru!$L:$L,"RET",Başvuru!$A:$A,"&lt;&gt;"&amp;"",Başvuru!$F:$F,"&lt;&gt;"&amp;""))</f>
        <v>0</v>
      </c>
      <c r="O259" s="168">
        <f>IF(C259="","",COUNTIFS(Başvuru!$C:$C,C259,Başvuru!$L:$L,"KAPSAM DIŞI",Başvuru!$A:$A,"&lt;&gt;"&amp;"",Başvuru!$F:$F,"&lt;&gt;"&amp;""))</f>
        <v>0</v>
      </c>
      <c r="P259" s="169">
        <f>IF(C259="","",COUNTIFS(Başvuru!$C:$C,C259,Başvuru!$L:$L,"GERİ ÇEKİLDİ",Başvuru!$A:$A,"&lt;&gt;"&amp;"",Başvuru!$F:$F,"&lt;&gt;"&amp;""))</f>
        <v>0</v>
      </c>
      <c r="Q259" s="170" t="str">
        <f t="array" ref="Q259">IFERROR(INDEX(Başvuru!$C$2:$C$3000, MATCH(0, COUNTIF($Q$5:Q258, Başvuru!$C$2:$C$3000) + IF(Başvuru!$C$2:$C$3000="",1,0), 0)), "")</f>
        <v>Dr. Öğr. Üyesi Neslihan TAŞ</v>
      </c>
      <c r="R259" s="171">
        <f>IF(Q259="","",COUNTIFS(Başvuru!$C:$C,Q259,Başvuru!$A:$A,"&lt;&gt;"&amp;"",Başvuru!$F:$F,"&lt;&gt;"&amp;""))</f>
        <v>1</v>
      </c>
      <c r="S259" s="171">
        <f>IF(R259="","",RANK(R259,$R$6:$R$505,0)+COUNTIF($R$6:R259,R259)-1)</f>
        <v>271</v>
      </c>
    </row>
    <row r="260" spans="2:19" ht="23.25" customHeight="1" x14ac:dyDescent="0.25">
      <c r="B260" s="159">
        <v>255</v>
      </c>
      <c r="C260" s="160" t="str">
        <f>IFERROR(INDEX($Q$6:$Q$505,MATCH(255,$S$6:$S$505,0)),"")</f>
        <v>Prof. Dr. Elmas Ebru YALÇIN</v>
      </c>
      <c r="D260" s="161">
        <f>IF(C260="","",COUNTIFS(Başvuru!$C:$C,C260,Başvuru!$A:$A,"&lt;&gt;"&amp;"",Başvuru!$F:$F,"&lt;&gt;"&amp;""))</f>
        <v>1</v>
      </c>
      <c r="E260" s="159" t="str">
        <f>IF(C260="","-",IF(D260&gt;0,TEXT(D260/(COUNTIFS(Başvuru!$A:$A,"&lt;&gt;",Başvuru!$F:$F,"&lt;&gt;")-1)*100,"0.0")&amp;"%","-"))</f>
        <v>00%</v>
      </c>
      <c r="F260" s="162">
        <f>IF(C260="","",COUNTIFS(Başvuru!$C:$C,C260,Başvuru!$G:$G,"Bireysel Araştırma",Başvuru!$A:$A,"&lt;&gt;"&amp;"",Başvuru!$F:$F,"&lt;&gt;"&amp;""))</f>
        <v>1</v>
      </c>
      <c r="G260" s="162">
        <f>IF(C260="","",COUNTIFS(Başvuru!$C:$C,C260,Başvuru!$G:$G,"Uzmanlık Tezi",Başvuru!$A:$A,"&lt;&gt;"&amp;"",Başvuru!$F:$F,"&lt;&gt;"&amp;""))</f>
        <v>0</v>
      </c>
      <c r="H260" s="162">
        <f>IF(C260="","",COUNTIFS(Başvuru!$C:$C,C260,Başvuru!$G:$G,"Doktora Tezi",Başvuru!$A:$A,"&lt;&gt;"&amp;"",Başvuru!$F:$F,"&lt;&gt;"&amp;""))</f>
        <v>0</v>
      </c>
      <c r="I260" s="162">
        <f>IF(C260="","",COUNTIFS(Başvuru!$C:$C,C260,Başvuru!$G:$G,"Yüksek Lisans Tezi",Başvuru!$A:$A,"&lt;&gt;"&amp;"",Başvuru!$F:$F,"&lt;&gt;"&amp;""))</f>
        <v>0</v>
      </c>
      <c r="J260" s="163">
        <f>IF(C260="","",COUNTIFS(Başvuru!$C:$C,C260,Başvuru!$L:$L,"ONAY",Başvuru!$A:$A,"&lt;&gt;"&amp;"",Başvuru!$F:$F,"&lt;&gt;"&amp;""))</f>
        <v>1</v>
      </c>
      <c r="K260" s="164">
        <f>IF(C260="","",COUNTIFS(Başvuru!$C:$C,C260,Başvuru!$L:$L,"DÜZELTME",Başvuru!$A:$A,"&lt;&gt;"&amp;"",Başvuru!$F:$F,"&lt;&gt;"&amp;""))</f>
        <v>0</v>
      </c>
      <c r="L260" s="165">
        <f>IF(C260="","",COUNTIFS(Başvuru!$C:$C,C260,Başvuru!$L:$L,"KAEK",Başvuru!$A:$A,"&lt;&gt;"&amp;"",Başvuru!$F:$F,"&lt;&gt;"&amp;""))</f>
        <v>0</v>
      </c>
      <c r="M260" s="166">
        <f>IF(C260="","",COUNTIFS(Başvuru!$C:$C,C260,Başvuru!$L:$L,"GÖRÜŞ",Başvuru!$A:$A,"&lt;&gt;"&amp;"",Başvuru!$F:$F,"&lt;&gt;"&amp;""))</f>
        <v>0</v>
      </c>
      <c r="N260" s="167">
        <f>IF(C260="","",COUNTIFS(Başvuru!$C:$C,C260,Başvuru!$L:$L,"RET",Başvuru!$A:$A,"&lt;&gt;"&amp;"",Başvuru!$F:$F,"&lt;&gt;"&amp;""))</f>
        <v>0</v>
      </c>
      <c r="O260" s="168">
        <f>IF(C260="","",COUNTIFS(Başvuru!$C:$C,C260,Başvuru!$L:$L,"KAPSAM DIŞI",Başvuru!$A:$A,"&lt;&gt;"&amp;"",Başvuru!$F:$F,"&lt;&gt;"&amp;""))</f>
        <v>0</v>
      </c>
      <c r="P260" s="169">
        <f>IF(C260="","",COUNTIFS(Başvuru!$C:$C,C260,Başvuru!$L:$L,"GERİ ÇEKİLDİ",Başvuru!$A:$A,"&lt;&gt;"&amp;"",Başvuru!$F:$F,"&lt;&gt;"&amp;""))</f>
        <v>0</v>
      </c>
      <c r="Q260" s="170" t="str">
        <f t="array" ref="Q260">IFERROR(INDEX(Başvuru!$C$2:$C$3000, MATCH(0, COUNTIF($Q$5:Q259, Başvuru!$C$2:$C$3000) + IF(Başvuru!$C$2:$C$3000="",1,0), 0)), "")</f>
        <v>Prof. Dr. Ülfet Pınar ERKEKOĞLU</v>
      </c>
      <c r="R260" s="171">
        <f>IF(Q260="","",COUNTIFS(Başvuru!$C:$C,Q260,Başvuru!$A:$A,"&lt;&gt;"&amp;"",Başvuru!$F:$F,"&lt;&gt;"&amp;""))</f>
        <v>1</v>
      </c>
      <c r="S260" s="171">
        <f>IF(R260="","",RANK(R260,$R$6:$R$505,0)+COUNTIF($R$6:R260,R260)-1)</f>
        <v>272</v>
      </c>
    </row>
    <row r="261" spans="2:19" ht="23.25" customHeight="1" x14ac:dyDescent="0.25">
      <c r="B261" s="159">
        <v>256</v>
      </c>
      <c r="C261" s="160" t="str">
        <f>IFERROR(INDEX($Q$6:$Q$505,MATCH(256,$S$6:$S$505,0)),"")</f>
        <v>Doç. Dr. Kısmet ÇIKI</v>
      </c>
      <c r="D261" s="161">
        <f>IF(C261="","",COUNTIFS(Başvuru!$C:$C,C261,Başvuru!$A:$A,"&lt;&gt;"&amp;"",Başvuru!$F:$F,"&lt;&gt;"&amp;""))</f>
        <v>1</v>
      </c>
      <c r="E261" s="159" t="str">
        <f>IF(C261="","-",IF(D261&gt;0,TEXT(D261/(COUNTIFS(Başvuru!$A:$A,"&lt;&gt;",Başvuru!$F:$F,"&lt;&gt;")-1)*100,"0.0")&amp;"%","-"))</f>
        <v>00%</v>
      </c>
      <c r="F261" s="162">
        <f>IF(C261="","",COUNTIFS(Başvuru!$C:$C,C261,Başvuru!$G:$G,"Bireysel Araştırma",Başvuru!$A:$A,"&lt;&gt;"&amp;"",Başvuru!$F:$F,"&lt;&gt;"&amp;""))</f>
        <v>1</v>
      </c>
      <c r="G261" s="162">
        <f>IF(C261="","",COUNTIFS(Başvuru!$C:$C,C261,Başvuru!$G:$G,"Uzmanlık Tezi",Başvuru!$A:$A,"&lt;&gt;"&amp;"",Başvuru!$F:$F,"&lt;&gt;"&amp;""))</f>
        <v>0</v>
      </c>
      <c r="H261" s="162">
        <f>IF(C261="","",COUNTIFS(Başvuru!$C:$C,C261,Başvuru!$G:$G,"Doktora Tezi",Başvuru!$A:$A,"&lt;&gt;"&amp;"",Başvuru!$F:$F,"&lt;&gt;"&amp;""))</f>
        <v>0</v>
      </c>
      <c r="I261" s="162">
        <f>IF(C261="","",COUNTIFS(Başvuru!$C:$C,C261,Başvuru!$G:$G,"Yüksek Lisans Tezi",Başvuru!$A:$A,"&lt;&gt;"&amp;"",Başvuru!$F:$F,"&lt;&gt;"&amp;""))</f>
        <v>0</v>
      </c>
      <c r="J261" s="163">
        <f>IF(C261="","",COUNTIFS(Başvuru!$C:$C,C261,Başvuru!$L:$L,"ONAY",Başvuru!$A:$A,"&lt;&gt;"&amp;"",Başvuru!$F:$F,"&lt;&gt;"&amp;""))</f>
        <v>0</v>
      </c>
      <c r="K261" s="164">
        <f>IF(C261="","",COUNTIFS(Başvuru!$C:$C,C261,Başvuru!$L:$L,"DÜZELTME",Başvuru!$A:$A,"&lt;&gt;"&amp;"",Başvuru!$F:$F,"&lt;&gt;"&amp;""))</f>
        <v>1</v>
      </c>
      <c r="L261" s="165">
        <f>IF(C261="","",COUNTIFS(Başvuru!$C:$C,C261,Başvuru!$L:$L,"KAEK",Başvuru!$A:$A,"&lt;&gt;"&amp;"",Başvuru!$F:$F,"&lt;&gt;"&amp;""))</f>
        <v>0</v>
      </c>
      <c r="M261" s="166">
        <f>IF(C261="","",COUNTIFS(Başvuru!$C:$C,C261,Başvuru!$L:$L,"GÖRÜŞ",Başvuru!$A:$A,"&lt;&gt;"&amp;"",Başvuru!$F:$F,"&lt;&gt;"&amp;""))</f>
        <v>0</v>
      </c>
      <c r="N261" s="167">
        <f>IF(C261="","",COUNTIFS(Başvuru!$C:$C,C261,Başvuru!$L:$L,"RET",Başvuru!$A:$A,"&lt;&gt;"&amp;"",Başvuru!$F:$F,"&lt;&gt;"&amp;""))</f>
        <v>0</v>
      </c>
      <c r="O261" s="168">
        <f>IF(C261="","",COUNTIFS(Başvuru!$C:$C,C261,Başvuru!$L:$L,"KAPSAM DIŞI",Başvuru!$A:$A,"&lt;&gt;"&amp;"",Başvuru!$F:$F,"&lt;&gt;"&amp;""))</f>
        <v>0</v>
      </c>
      <c r="P261" s="169">
        <f>IF(C261="","",COUNTIFS(Başvuru!$C:$C,C261,Başvuru!$L:$L,"GERİ ÇEKİLDİ",Başvuru!$A:$A,"&lt;&gt;"&amp;"",Başvuru!$F:$F,"&lt;&gt;"&amp;""))</f>
        <v>0</v>
      </c>
      <c r="Q261" s="170" t="str">
        <f t="array" ref="Q261">IFERROR(INDEX(Başvuru!$C$2:$C$3000, MATCH(0, COUNTIF($Q$5:Q260, Başvuru!$C$2:$C$3000) + IF(Başvuru!$C$2:$C$3000="",1,0), 0)), "")</f>
        <v>Prof. Dr. Filiz ÜZÜMCÜGİL</v>
      </c>
      <c r="R261" s="171">
        <f>IF(Q261="","",COUNTIFS(Başvuru!$C:$C,Q261,Başvuru!$A:$A,"&lt;&gt;"&amp;"",Başvuru!$F:$F,"&lt;&gt;"&amp;""))</f>
        <v>2</v>
      </c>
      <c r="S261" s="171">
        <f>IF(R261="","",RANK(R261,$R$6:$R$505,0)+COUNTIF($R$6:R261,R261)-1)</f>
        <v>135</v>
      </c>
    </row>
    <row r="262" spans="2:19" ht="23.25" customHeight="1" x14ac:dyDescent="0.25">
      <c r="B262" s="159">
        <v>257</v>
      </c>
      <c r="C262" s="160" t="str">
        <f>IFERROR(INDEX($Q$6:$Q$505,MATCH(257,$S$6:$S$505,0)),"")</f>
        <v>Prof. Dr. Alp USUBÜTÜN</v>
      </c>
      <c r="D262" s="161">
        <f>IF(C262="","",COUNTIFS(Başvuru!$C:$C,C262,Başvuru!$A:$A,"&lt;&gt;"&amp;"",Başvuru!$F:$F,"&lt;&gt;"&amp;""))</f>
        <v>1</v>
      </c>
      <c r="E262" s="159" t="str">
        <f>IF(C262="","-",IF(D262&gt;0,TEXT(D262/(COUNTIFS(Başvuru!$A:$A,"&lt;&gt;",Başvuru!$F:$F,"&lt;&gt;")-1)*100,"0.0")&amp;"%","-"))</f>
        <v>00%</v>
      </c>
      <c r="F262" s="162">
        <f>IF(C262="","",COUNTIFS(Başvuru!$C:$C,C262,Başvuru!$G:$G,"Bireysel Araştırma",Başvuru!$A:$A,"&lt;&gt;"&amp;"",Başvuru!$F:$F,"&lt;&gt;"&amp;""))</f>
        <v>1</v>
      </c>
      <c r="G262" s="162">
        <f>IF(C262="","",COUNTIFS(Başvuru!$C:$C,C262,Başvuru!$G:$G,"Uzmanlık Tezi",Başvuru!$A:$A,"&lt;&gt;"&amp;"",Başvuru!$F:$F,"&lt;&gt;"&amp;""))</f>
        <v>0</v>
      </c>
      <c r="H262" s="162">
        <f>IF(C262="","",COUNTIFS(Başvuru!$C:$C,C262,Başvuru!$G:$G,"Doktora Tezi",Başvuru!$A:$A,"&lt;&gt;"&amp;"",Başvuru!$F:$F,"&lt;&gt;"&amp;""))</f>
        <v>0</v>
      </c>
      <c r="I262" s="162">
        <f>IF(C262="","",COUNTIFS(Başvuru!$C:$C,C262,Başvuru!$G:$G,"Yüksek Lisans Tezi",Başvuru!$A:$A,"&lt;&gt;"&amp;"",Başvuru!$F:$F,"&lt;&gt;"&amp;""))</f>
        <v>0</v>
      </c>
      <c r="J262" s="163">
        <f>IF(C262="","",COUNTIFS(Başvuru!$C:$C,C262,Başvuru!$L:$L,"ONAY",Başvuru!$A:$A,"&lt;&gt;"&amp;"",Başvuru!$F:$F,"&lt;&gt;"&amp;""))</f>
        <v>1</v>
      </c>
      <c r="K262" s="164">
        <f>IF(C262="","",COUNTIFS(Başvuru!$C:$C,C262,Başvuru!$L:$L,"DÜZELTME",Başvuru!$A:$A,"&lt;&gt;"&amp;"",Başvuru!$F:$F,"&lt;&gt;"&amp;""))</f>
        <v>0</v>
      </c>
      <c r="L262" s="165">
        <f>IF(C262="","",COUNTIFS(Başvuru!$C:$C,C262,Başvuru!$L:$L,"KAEK",Başvuru!$A:$A,"&lt;&gt;"&amp;"",Başvuru!$F:$F,"&lt;&gt;"&amp;""))</f>
        <v>0</v>
      </c>
      <c r="M262" s="166">
        <f>IF(C262="","",COUNTIFS(Başvuru!$C:$C,C262,Başvuru!$L:$L,"GÖRÜŞ",Başvuru!$A:$A,"&lt;&gt;"&amp;"",Başvuru!$F:$F,"&lt;&gt;"&amp;""))</f>
        <v>0</v>
      </c>
      <c r="N262" s="167">
        <f>IF(C262="","",COUNTIFS(Başvuru!$C:$C,C262,Başvuru!$L:$L,"RET",Başvuru!$A:$A,"&lt;&gt;"&amp;"",Başvuru!$F:$F,"&lt;&gt;"&amp;""))</f>
        <v>0</v>
      </c>
      <c r="O262" s="168">
        <f>IF(C262="","",COUNTIFS(Başvuru!$C:$C,C262,Başvuru!$L:$L,"KAPSAM DIŞI",Başvuru!$A:$A,"&lt;&gt;"&amp;"",Başvuru!$F:$F,"&lt;&gt;"&amp;""))</f>
        <v>0</v>
      </c>
      <c r="P262" s="169">
        <f>IF(C262="","",COUNTIFS(Başvuru!$C:$C,C262,Başvuru!$L:$L,"GERİ ÇEKİLDİ",Başvuru!$A:$A,"&lt;&gt;"&amp;"",Başvuru!$F:$F,"&lt;&gt;"&amp;""))</f>
        <v>0</v>
      </c>
      <c r="Q262" s="170" t="str">
        <f t="array" ref="Q262">IFERROR(INDEX(Başvuru!$C$2:$C$3000, MATCH(0, COUNTIF($Q$5:Q261, Başvuru!$C$2:$C$3000) + IF(Başvuru!$C$2:$C$3000="",1,0), 0)), "")</f>
        <v>Prof. Dr. Ömür ÇAĞLAR</v>
      </c>
      <c r="R262" s="171">
        <f>IF(Q262="","",COUNTIFS(Başvuru!$C:$C,Q262,Başvuru!$A:$A,"&lt;&gt;"&amp;"",Başvuru!$F:$F,"&lt;&gt;"&amp;""))</f>
        <v>1</v>
      </c>
      <c r="S262" s="171">
        <f>IF(R262="","",RANK(R262,$R$6:$R$505,0)+COUNTIF($R$6:R262,R262)-1)</f>
        <v>273</v>
      </c>
    </row>
    <row r="263" spans="2:19" ht="23.25" customHeight="1" x14ac:dyDescent="0.25">
      <c r="B263" s="159">
        <v>258</v>
      </c>
      <c r="C263" s="160" t="str">
        <f>IFERROR(INDEX($Q$6:$Q$505,MATCH(258,$S$6:$S$505,0)),"")</f>
        <v>Doç. Dr. Eda Didem KURT ŞÜKÜR</v>
      </c>
      <c r="D263" s="161">
        <f>IF(C263="","",COUNTIFS(Başvuru!$C:$C,C263,Başvuru!$A:$A,"&lt;&gt;"&amp;"",Başvuru!$F:$F,"&lt;&gt;"&amp;""))</f>
        <v>1</v>
      </c>
      <c r="E263" s="159" t="str">
        <f>IF(C263="","-",IF(D263&gt;0,TEXT(D263/(COUNTIFS(Başvuru!$A:$A,"&lt;&gt;",Başvuru!$F:$F,"&lt;&gt;")-1)*100,"0.0")&amp;"%","-"))</f>
        <v>00%</v>
      </c>
      <c r="F263" s="162">
        <f>IF(C263="","",COUNTIFS(Başvuru!$C:$C,C263,Başvuru!$G:$G,"Bireysel Araştırma",Başvuru!$A:$A,"&lt;&gt;"&amp;"",Başvuru!$F:$F,"&lt;&gt;"&amp;""))</f>
        <v>0</v>
      </c>
      <c r="G263" s="162">
        <f>IF(C263="","",COUNTIFS(Başvuru!$C:$C,C263,Başvuru!$G:$G,"Uzmanlık Tezi",Başvuru!$A:$A,"&lt;&gt;"&amp;"",Başvuru!$F:$F,"&lt;&gt;"&amp;""))</f>
        <v>1</v>
      </c>
      <c r="H263" s="162">
        <f>IF(C263="","",COUNTIFS(Başvuru!$C:$C,C263,Başvuru!$G:$G,"Doktora Tezi",Başvuru!$A:$A,"&lt;&gt;"&amp;"",Başvuru!$F:$F,"&lt;&gt;"&amp;""))</f>
        <v>0</v>
      </c>
      <c r="I263" s="162">
        <f>IF(C263="","",COUNTIFS(Başvuru!$C:$C,C263,Başvuru!$G:$G,"Yüksek Lisans Tezi",Başvuru!$A:$A,"&lt;&gt;"&amp;"",Başvuru!$F:$F,"&lt;&gt;"&amp;""))</f>
        <v>0</v>
      </c>
      <c r="J263" s="163">
        <f>IF(C263="","",COUNTIFS(Başvuru!$C:$C,C263,Başvuru!$L:$L,"ONAY",Başvuru!$A:$A,"&lt;&gt;"&amp;"",Başvuru!$F:$F,"&lt;&gt;"&amp;""))</f>
        <v>1</v>
      </c>
      <c r="K263" s="164">
        <f>IF(C263="","",COUNTIFS(Başvuru!$C:$C,C263,Başvuru!$L:$L,"DÜZELTME",Başvuru!$A:$A,"&lt;&gt;"&amp;"",Başvuru!$F:$F,"&lt;&gt;"&amp;""))</f>
        <v>0</v>
      </c>
      <c r="L263" s="165">
        <f>IF(C263="","",COUNTIFS(Başvuru!$C:$C,C263,Başvuru!$L:$L,"KAEK",Başvuru!$A:$A,"&lt;&gt;"&amp;"",Başvuru!$F:$F,"&lt;&gt;"&amp;""))</f>
        <v>0</v>
      </c>
      <c r="M263" s="166">
        <f>IF(C263="","",COUNTIFS(Başvuru!$C:$C,C263,Başvuru!$L:$L,"GÖRÜŞ",Başvuru!$A:$A,"&lt;&gt;"&amp;"",Başvuru!$F:$F,"&lt;&gt;"&amp;""))</f>
        <v>0</v>
      </c>
      <c r="N263" s="167">
        <f>IF(C263="","",COUNTIFS(Başvuru!$C:$C,C263,Başvuru!$L:$L,"RET",Başvuru!$A:$A,"&lt;&gt;"&amp;"",Başvuru!$F:$F,"&lt;&gt;"&amp;""))</f>
        <v>0</v>
      </c>
      <c r="O263" s="168">
        <f>IF(C263="","",COUNTIFS(Başvuru!$C:$C,C263,Başvuru!$L:$L,"KAPSAM DIŞI",Başvuru!$A:$A,"&lt;&gt;"&amp;"",Başvuru!$F:$F,"&lt;&gt;"&amp;""))</f>
        <v>0</v>
      </c>
      <c r="P263" s="169">
        <f>IF(C263="","",COUNTIFS(Başvuru!$C:$C,C263,Başvuru!$L:$L,"GERİ ÇEKİLDİ",Başvuru!$A:$A,"&lt;&gt;"&amp;"",Başvuru!$F:$F,"&lt;&gt;"&amp;""))</f>
        <v>0</v>
      </c>
      <c r="Q263" s="170" t="str">
        <f t="array" ref="Q263">IFERROR(INDEX(Başvuru!$C$2:$C$3000, MATCH(0, COUNTIF($Q$5:Q262, Başvuru!$C$2:$C$3000) + IF(Başvuru!$C$2:$C$3000="",1,0), 0)), "")</f>
        <v>Doç. Dr. Songül ÇINAROĞLU</v>
      </c>
      <c r="R263" s="171">
        <f>IF(Q263="","",COUNTIFS(Başvuru!$C:$C,Q263,Başvuru!$A:$A,"&lt;&gt;"&amp;"",Başvuru!$F:$F,"&lt;&gt;"&amp;""))</f>
        <v>1</v>
      </c>
      <c r="S263" s="171">
        <f>IF(R263="","",RANK(R263,$R$6:$R$505,0)+COUNTIF($R$6:R263,R263)-1)</f>
        <v>274</v>
      </c>
    </row>
    <row r="264" spans="2:19" ht="23.25" customHeight="1" x14ac:dyDescent="0.25">
      <c r="B264" s="159">
        <v>259</v>
      </c>
      <c r="C264" s="160" t="str">
        <f>IFERROR(INDEX($Q$6:$Q$505,MATCH(259,$S$6:$S$505,0)),"")</f>
        <v>Prof. Dr. M. Özgür UYANIK</v>
      </c>
      <c r="D264" s="161">
        <f>IF(C264="","",COUNTIFS(Başvuru!$C:$C,C264,Başvuru!$A:$A,"&lt;&gt;"&amp;"",Başvuru!$F:$F,"&lt;&gt;"&amp;""))</f>
        <v>1</v>
      </c>
      <c r="E264" s="159" t="str">
        <f>IF(C264="","-",IF(D264&gt;0,TEXT(D264/(COUNTIFS(Başvuru!$A:$A,"&lt;&gt;",Başvuru!$F:$F,"&lt;&gt;")-1)*100,"0.0")&amp;"%","-"))</f>
        <v>00%</v>
      </c>
      <c r="F264" s="162">
        <f>IF(C264="","",COUNTIFS(Başvuru!$C:$C,C264,Başvuru!$G:$G,"Bireysel Araştırma",Başvuru!$A:$A,"&lt;&gt;"&amp;"",Başvuru!$F:$F,"&lt;&gt;"&amp;""))</f>
        <v>1</v>
      </c>
      <c r="G264" s="162">
        <f>IF(C264="","",COUNTIFS(Başvuru!$C:$C,C264,Başvuru!$G:$G,"Uzmanlık Tezi",Başvuru!$A:$A,"&lt;&gt;"&amp;"",Başvuru!$F:$F,"&lt;&gt;"&amp;""))</f>
        <v>0</v>
      </c>
      <c r="H264" s="162">
        <f>IF(C264="","",COUNTIFS(Başvuru!$C:$C,C264,Başvuru!$G:$G,"Doktora Tezi",Başvuru!$A:$A,"&lt;&gt;"&amp;"",Başvuru!$F:$F,"&lt;&gt;"&amp;""))</f>
        <v>0</v>
      </c>
      <c r="I264" s="162">
        <f>IF(C264="","",COUNTIFS(Başvuru!$C:$C,C264,Başvuru!$G:$G,"Yüksek Lisans Tezi",Başvuru!$A:$A,"&lt;&gt;"&amp;"",Başvuru!$F:$F,"&lt;&gt;"&amp;""))</f>
        <v>0</v>
      </c>
      <c r="J264" s="163">
        <f>IF(C264="","",COUNTIFS(Başvuru!$C:$C,C264,Başvuru!$L:$L,"ONAY",Başvuru!$A:$A,"&lt;&gt;"&amp;"",Başvuru!$F:$F,"&lt;&gt;"&amp;""))</f>
        <v>1</v>
      </c>
      <c r="K264" s="164">
        <f>IF(C264="","",COUNTIFS(Başvuru!$C:$C,C264,Başvuru!$L:$L,"DÜZELTME",Başvuru!$A:$A,"&lt;&gt;"&amp;"",Başvuru!$F:$F,"&lt;&gt;"&amp;""))</f>
        <v>0</v>
      </c>
      <c r="L264" s="165">
        <f>IF(C264="","",COUNTIFS(Başvuru!$C:$C,C264,Başvuru!$L:$L,"KAEK",Başvuru!$A:$A,"&lt;&gt;"&amp;"",Başvuru!$F:$F,"&lt;&gt;"&amp;""))</f>
        <v>0</v>
      </c>
      <c r="M264" s="166">
        <f>IF(C264="","",COUNTIFS(Başvuru!$C:$C,C264,Başvuru!$L:$L,"GÖRÜŞ",Başvuru!$A:$A,"&lt;&gt;"&amp;"",Başvuru!$F:$F,"&lt;&gt;"&amp;""))</f>
        <v>0</v>
      </c>
      <c r="N264" s="167">
        <f>IF(C264="","",COUNTIFS(Başvuru!$C:$C,C264,Başvuru!$L:$L,"RET",Başvuru!$A:$A,"&lt;&gt;"&amp;"",Başvuru!$F:$F,"&lt;&gt;"&amp;""))</f>
        <v>0</v>
      </c>
      <c r="O264" s="168">
        <f>IF(C264="","",COUNTIFS(Başvuru!$C:$C,C264,Başvuru!$L:$L,"KAPSAM DIŞI",Başvuru!$A:$A,"&lt;&gt;"&amp;"",Başvuru!$F:$F,"&lt;&gt;"&amp;""))</f>
        <v>0</v>
      </c>
      <c r="P264" s="169">
        <f>IF(C264="","",COUNTIFS(Başvuru!$C:$C,C264,Başvuru!$L:$L,"GERİ ÇEKİLDİ",Başvuru!$A:$A,"&lt;&gt;"&amp;"",Başvuru!$F:$F,"&lt;&gt;"&amp;""))</f>
        <v>0</v>
      </c>
      <c r="Q264" s="170" t="str">
        <f t="array" ref="Q264">IFERROR(INDEX(Başvuru!$C$2:$C$3000, MATCH(0, COUNTIF($Q$5:Q263, Başvuru!$C$2:$C$3000) + IF(Başvuru!$C$2:$C$3000="",1,0), 0)), "")</f>
        <v>Dr. Öğr. Üyesi Sehend DEBBAĞ</v>
      </c>
      <c r="R264" s="171">
        <f>IF(Q264="","",COUNTIFS(Başvuru!$C:$C,Q264,Başvuru!$A:$A,"&lt;&gt;"&amp;"",Başvuru!$F:$F,"&lt;&gt;"&amp;""))</f>
        <v>2</v>
      </c>
      <c r="S264" s="171">
        <f>IF(R264="","",RANK(R264,$R$6:$R$505,0)+COUNTIF($R$6:R264,R264)-1)</f>
        <v>136</v>
      </c>
    </row>
    <row r="265" spans="2:19" ht="23.25" customHeight="1" x14ac:dyDescent="0.25">
      <c r="B265" s="159">
        <v>260</v>
      </c>
      <c r="C265" s="160" t="str">
        <f>IFERROR(INDEX($Q$6:$Q$505,MATCH(260,$S$6:$S$505,0)),"")</f>
        <v>Dr. Öğr. Üyesi Leyla HUSEYNOVA TERZİ</v>
      </c>
      <c r="D265" s="161">
        <f>IF(C265="","",COUNTIFS(Başvuru!$C:$C,C265,Başvuru!$A:$A,"&lt;&gt;"&amp;"",Başvuru!$F:$F,"&lt;&gt;"&amp;""))</f>
        <v>1</v>
      </c>
      <c r="E265" s="159" t="str">
        <f>IF(C265="","-",IF(D265&gt;0,TEXT(D265/(COUNTIFS(Başvuru!$A:$A,"&lt;&gt;",Başvuru!$F:$F,"&lt;&gt;")-1)*100,"0.0")&amp;"%","-"))</f>
        <v>00%</v>
      </c>
      <c r="F265" s="162">
        <f>IF(C265="","",COUNTIFS(Başvuru!$C:$C,C265,Başvuru!$G:$G,"Bireysel Araştırma",Başvuru!$A:$A,"&lt;&gt;"&amp;"",Başvuru!$F:$F,"&lt;&gt;"&amp;""))</f>
        <v>1</v>
      </c>
      <c r="G265" s="162">
        <f>IF(C265="","",COUNTIFS(Başvuru!$C:$C,C265,Başvuru!$G:$G,"Uzmanlık Tezi",Başvuru!$A:$A,"&lt;&gt;"&amp;"",Başvuru!$F:$F,"&lt;&gt;"&amp;""))</f>
        <v>0</v>
      </c>
      <c r="H265" s="162">
        <f>IF(C265="","",COUNTIFS(Başvuru!$C:$C,C265,Başvuru!$G:$G,"Doktora Tezi",Başvuru!$A:$A,"&lt;&gt;"&amp;"",Başvuru!$F:$F,"&lt;&gt;"&amp;""))</f>
        <v>0</v>
      </c>
      <c r="I265" s="162">
        <f>IF(C265="","",COUNTIFS(Başvuru!$C:$C,C265,Başvuru!$G:$G,"Yüksek Lisans Tezi",Başvuru!$A:$A,"&lt;&gt;"&amp;"",Başvuru!$F:$F,"&lt;&gt;"&amp;""))</f>
        <v>0</v>
      </c>
      <c r="J265" s="163">
        <f>IF(C265="","",COUNTIFS(Başvuru!$C:$C,C265,Başvuru!$L:$L,"ONAY",Başvuru!$A:$A,"&lt;&gt;"&amp;"",Başvuru!$F:$F,"&lt;&gt;"&amp;""))</f>
        <v>1</v>
      </c>
      <c r="K265" s="164">
        <f>IF(C265="","",COUNTIFS(Başvuru!$C:$C,C265,Başvuru!$L:$L,"DÜZELTME",Başvuru!$A:$A,"&lt;&gt;"&amp;"",Başvuru!$F:$F,"&lt;&gt;"&amp;""))</f>
        <v>0</v>
      </c>
      <c r="L265" s="165">
        <f>IF(C265="","",COUNTIFS(Başvuru!$C:$C,C265,Başvuru!$L:$L,"KAEK",Başvuru!$A:$A,"&lt;&gt;"&amp;"",Başvuru!$F:$F,"&lt;&gt;"&amp;""))</f>
        <v>0</v>
      </c>
      <c r="M265" s="166">
        <f>IF(C265="","",COUNTIFS(Başvuru!$C:$C,C265,Başvuru!$L:$L,"GÖRÜŞ",Başvuru!$A:$A,"&lt;&gt;"&amp;"",Başvuru!$F:$F,"&lt;&gt;"&amp;""))</f>
        <v>0</v>
      </c>
      <c r="N265" s="167">
        <f>IF(C265="","",COUNTIFS(Başvuru!$C:$C,C265,Başvuru!$L:$L,"RET",Başvuru!$A:$A,"&lt;&gt;"&amp;"",Başvuru!$F:$F,"&lt;&gt;"&amp;""))</f>
        <v>0</v>
      </c>
      <c r="O265" s="168">
        <f>IF(C265="","",COUNTIFS(Başvuru!$C:$C,C265,Başvuru!$L:$L,"KAPSAM DIŞI",Başvuru!$A:$A,"&lt;&gt;"&amp;"",Başvuru!$F:$F,"&lt;&gt;"&amp;""))</f>
        <v>0</v>
      </c>
      <c r="P265" s="169">
        <f>IF(C265="","",COUNTIFS(Başvuru!$C:$C,C265,Başvuru!$L:$L,"GERİ ÇEKİLDİ",Başvuru!$A:$A,"&lt;&gt;"&amp;"",Başvuru!$F:$F,"&lt;&gt;"&amp;""))</f>
        <v>0</v>
      </c>
      <c r="Q265" s="170" t="str">
        <f t="array" ref="Q265">IFERROR(INDEX(Başvuru!$C$2:$C$3000, MATCH(0, COUNTIF($Q$5:Q264, Başvuru!$C$2:$C$3000) + IF(Başvuru!$C$2:$C$3000="",1,0), 0)), "")</f>
        <v>Dr. Öğr. Üyesi Yağmur Deniz YILDIRIM</v>
      </c>
      <c r="R265" s="171">
        <f>IF(Q265="","",COUNTIFS(Başvuru!$C:$C,Q265,Başvuru!$A:$A,"&lt;&gt;"&amp;"",Başvuru!$F:$F,"&lt;&gt;"&amp;""))</f>
        <v>1</v>
      </c>
      <c r="S265" s="171">
        <f>IF(R265="","",RANK(R265,$R$6:$R$505,0)+COUNTIF($R$6:R265,R265)-1)</f>
        <v>275</v>
      </c>
    </row>
    <row r="266" spans="2:19" ht="23.25" customHeight="1" x14ac:dyDescent="0.25">
      <c r="B266" s="159">
        <v>261</v>
      </c>
      <c r="C266" s="160" t="str">
        <f>IFERROR(INDEX($Q$6:$Q$505,MATCH(261,$S$6:$S$505,0)),"")</f>
        <v>Prof. Dr. Tarık TUNCAY</v>
      </c>
      <c r="D266" s="161">
        <f>IF(C266="","",COUNTIFS(Başvuru!$C:$C,C266,Başvuru!$A:$A,"&lt;&gt;"&amp;"",Başvuru!$F:$F,"&lt;&gt;"&amp;""))</f>
        <v>1</v>
      </c>
      <c r="E266" s="159" t="str">
        <f>IF(C266="","-",IF(D266&gt;0,TEXT(D266/(COUNTIFS(Başvuru!$A:$A,"&lt;&gt;",Başvuru!$F:$F,"&lt;&gt;")-1)*100,"0.0")&amp;"%","-"))</f>
        <v>00%</v>
      </c>
      <c r="F266" s="162">
        <f>IF(C266="","",COUNTIFS(Başvuru!$C:$C,C266,Başvuru!$G:$G,"Bireysel Araştırma",Başvuru!$A:$A,"&lt;&gt;"&amp;"",Başvuru!$F:$F,"&lt;&gt;"&amp;""))</f>
        <v>1</v>
      </c>
      <c r="G266" s="162">
        <f>IF(C266="","",COUNTIFS(Başvuru!$C:$C,C266,Başvuru!$G:$G,"Uzmanlık Tezi",Başvuru!$A:$A,"&lt;&gt;"&amp;"",Başvuru!$F:$F,"&lt;&gt;"&amp;""))</f>
        <v>0</v>
      </c>
      <c r="H266" s="162">
        <f>IF(C266="","",COUNTIFS(Başvuru!$C:$C,C266,Başvuru!$G:$G,"Doktora Tezi",Başvuru!$A:$A,"&lt;&gt;"&amp;"",Başvuru!$F:$F,"&lt;&gt;"&amp;""))</f>
        <v>0</v>
      </c>
      <c r="I266" s="162">
        <f>IF(C266="","",COUNTIFS(Başvuru!$C:$C,C266,Başvuru!$G:$G,"Yüksek Lisans Tezi",Başvuru!$A:$A,"&lt;&gt;"&amp;"",Başvuru!$F:$F,"&lt;&gt;"&amp;""))</f>
        <v>0</v>
      </c>
      <c r="J266" s="163">
        <f>IF(C266="","",COUNTIFS(Başvuru!$C:$C,C266,Başvuru!$L:$L,"ONAY",Başvuru!$A:$A,"&lt;&gt;"&amp;"",Başvuru!$F:$F,"&lt;&gt;"&amp;""))</f>
        <v>0</v>
      </c>
      <c r="K266" s="164">
        <f>IF(C266="","",COUNTIFS(Başvuru!$C:$C,C266,Başvuru!$L:$L,"DÜZELTME",Başvuru!$A:$A,"&lt;&gt;"&amp;"",Başvuru!$F:$F,"&lt;&gt;"&amp;""))</f>
        <v>1</v>
      </c>
      <c r="L266" s="165">
        <f>IF(C266="","",COUNTIFS(Başvuru!$C:$C,C266,Başvuru!$L:$L,"KAEK",Başvuru!$A:$A,"&lt;&gt;"&amp;"",Başvuru!$F:$F,"&lt;&gt;"&amp;""))</f>
        <v>0</v>
      </c>
      <c r="M266" s="166">
        <f>IF(C266="","",COUNTIFS(Başvuru!$C:$C,C266,Başvuru!$L:$L,"GÖRÜŞ",Başvuru!$A:$A,"&lt;&gt;"&amp;"",Başvuru!$F:$F,"&lt;&gt;"&amp;""))</f>
        <v>0</v>
      </c>
      <c r="N266" s="167">
        <f>IF(C266="","",COUNTIFS(Başvuru!$C:$C,C266,Başvuru!$L:$L,"RET",Başvuru!$A:$A,"&lt;&gt;"&amp;"",Başvuru!$F:$F,"&lt;&gt;"&amp;""))</f>
        <v>0</v>
      </c>
      <c r="O266" s="168">
        <f>IF(C266="","",COUNTIFS(Başvuru!$C:$C,C266,Başvuru!$L:$L,"KAPSAM DIŞI",Başvuru!$A:$A,"&lt;&gt;"&amp;"",Başvuru!$F:$F,"&lt;&gt;"&amp;""))</f>
        <v>0</v>
      </c>
      <c r="P266" s="169">
        <f>IF(C266="","",COUNTIFS(Başvuru!$C:$C,C266,Başvuru!$L:$L,"GERİ ÇEKİLDİ",Başvuru!$A:$A,"&lt;&gt;"&amp;"",Başvuru!$F:$F,"&lt;&gt;"&amp;""))</f>
        <v>0</v>
      </c>
      <c r="Q266" s="170" t="str">
        <f t="array" ref="Q266">IFERROR(INDEX(Başvuru!$C$2:$C$3000, MATCH(0, COUNTIF($Q$5:Q265, Başvuru!$C$2:$C$3000) + IF(Başvuru!$C$2:$C$3000="",1,0), 0)), "")</f>
        <v>Prof. Dr. Bülent ATİLLA</v>
      </c>
      <c r="R266" s="171">
        <f>IF(Q266="","",COUNTIFS(Başvuru!$C:$C,Q266,Başvuru!$A:$A,"&lt;&gt;"&amp;"",Başvuru!$F:$F,"&lt;&gt;"&amp;""))</f>
        <v>1</v>
      </c>
      <c r="S266" s="171">
        <f>IF(R266="","",RANK(R266,$R$6:$R$505,0)+COUNTIF($R$6:R266,R266)-1)</f>
        <v>276</v>
      </c>
    </row>
    <row r="267" spans="2:19" ht="23.25" customHeight="1" x14ac:dyDescent="0.25">
      <c r="B267" s="159">
        <v>262</v>
      </c>
      <c r="C267" s="160" t="str">
        <f>IFERROR(INDEX($Q$6:$Q$505,MATCH(262,$S$6:$S$505,0)),"")</f>
        <v>Arş. Gör. Dr. Şeyma KAHRAMAN</v>
      </c>
      <c r="D267" s="161">
        <f>IF(C267="","",COUNTIFS(Başvuru!$C:$C,C267,Başvuru!$A:$A,"&lt;&gt;"&amp;"",Başvuru!$F:$F,"&lt;&gt;"&amp;""))</f>
        <v>1</v>
      </c>
      <c r="E267" s="159" t="str">
        <f>IF(C267="","-",IF(D267&gt;0,TEXT(D267/(COUNTIFS(Başvuru!$A:$A,"&lt;&gt;",Başvuru!$F:$F,"&lt;&gt;")-1)*100,"0.0")&amp;"%","-"))</f>
        <v>00%</v>
      </c>
      <c r="F267" s="162">
        <f>IF(C267="","",COUNTIFS(Başvuru!$C:$C,C267,Başvuru!$G:$G,"Bireysel Araştırma",Başvuru!$A:$A,"&lt;&gt;"&amp;"",Başvuru!$F:$F,"&lt;&gt;"&amp;""))</f>
        <v>1</v>
      </c>
      <c r="G267" s="162">
        <f>IF(C267="","",COUNTIFS(Başvuru!$C:$C,C267,Başvuru!$G:$G,"Uzmanlık Tezi",Başvuru!$A:$A,"&lt;&gt;"&amp;"",Başvuru!$F:$F,"&lt;&gt;"&amp;""))</f>
        <v>0</v>
      </c>
      <c r="H267" s="162">
        <f>IF(C267="","",COUNTIFS(Başvuru!$C:$C,C267,Başvuru!$G:$G,"Doktora Tezi",Başvuru!$A:$A,"&lt;&gt;"&amp;"",Başvuru!$F:$F,"&lt;&gt;"&amp;""))</f>
        <v>0</v>
      </c>
      <c r="I267" s="162">
        <f>IF(C267="","",COUNTIFS(Başvuru!$C:$C,C267,Başvuru!$G:$G,"Yüksek Lisans Tezi",Başvuru!$A:$A,"&lt;&gt;"&amp;"",Başvuru!$F:$F,"&lt;&gt;"&amp;""))</f>
        <v>0</v>
      </c>
      <c r="J267" s="163">
        <f>IF(C267="","",COUNTIFS(Başvuru!$C:$C,C267,Başvuru!$L:$L,"ONAY",Başvuru!$A:$A,"&lt;&gt;"&amp;"",Başvuru!$F:$F,"&lt;&gt;"&amp;""))</f>
        <v>0</v>
      </c>
      <c r="K267" s="164">
        <f>IF(C267="","",COUNTIFS(Başvuru!$C:$C,C267,Başvuru!$L:$L,"DÜZELTME",Başvuru!$A:$A,"&lt;&gt;"&amp;"",Başvuru!$F:$F,"&lt;&gt;"&amp;""))</f>
        <v>0</v>
      </c>
      <c r="L267" s="165">
        <f>IF(C267="","",COUNTIFS(Başvuru!$C:$C,C267,Başvuru!$L:$L,"KAEK",Başvuru!$A:$A,"&lt;&gt;"&amp;"",Başvuru!$F:$F,"&lt;&gt;"&amp;""))</f>
        <v>0</v>
      </c>
      <c r="M267" s="166">
        <f>IF(C267="","",COUNTIFS(Başvuru!$C:$C,C267,Başvuru!$L:$L,"GÖRÜŞ",Başvuru!$A:$A,"&lt;&gt;"&amp;"",Başvuru!$F:$F,"&lt;&gt;"&amp;""))</f>
        <v>0</v>
      </c>
      <c r="N267" s="167">
        <f>IF(C267="","",COUNTIFS(Başvuru!$C:$C,C267,Başvuru!$L:$L,"RET",Başvuru!$A:$A,"&lt;&gt;"&amp;"",Başvuru!$F:$F,"&lt;&gt;"&amp;""))</f>
        <v>0</v>
      </c>
      <c r="O267" s="168">
        <f>IF(C267="","",COUNTIFS(Başvuru!$C:$C,C267,Başvuru!$L:$L,"KAPSAM DIŞI",Başvuru!$A:$A,"&lt;&gt;"&amp;"",Başvuru!$F:$F,"&lt;&gt;"&amp;""))</f>
        <v>1</v>
      </c>
      <c r="P267" s="169">
        <f>IF(C267="","",COUNTIFS(Başvuru!$C:$C,C267,Başvuru!$L:$L,"GERİ ÇEKİLDİ",Başvuru!$A:$A,"&lt;&gt;"&amp;"",Başvuru!$F:$F,"&lt;&gt;"&amp;""))</f>
        <v>0</v>
      </c>
      <c r="Q267" s="170" t="str">
        <f t="array" ref="Q267">IFERROR(INDEX(Başvuru!$C$2:$C$3000, MATCH(0, COUNTIF($Q$5:Q266, Başvuru!$C$2:$C$3000) + IF(Başvuru!$C$2:$C$3000="",1,0), 0)), "")</f>
        <v>Dr. Öğr. Üyesi Nur Berna ÇELİK ERTAŞ</v>
      </c>
      <c r="R267" s="171">
        <f>IF(Q267="","",COUNTIFS(Başvuru!$C:$C,Q267,Başvuru!$A:$A,"&lt;&gt;"&amp;"",Başvuru!$F:$F,"&lt;&gt;"&amp;""))</f>
        <v>1</v>
      </c>
      <c r="S267" s="171">
        <f>IF(R267="","",RANK(R267,$R$6:$R$505,0)+COUNTIF($R$6:R267,R267)-1)</f>
        <v>277</v>
      </c>
    </row>
    <row r="268" spans="2:19" ht="23.25" customHeight="1" x14ac:dyDescent="0.25">
      <c r="B268" s="159">
        <v>263</v>
      </c>
      <c r="C268" s="160" t="str">
        <f>IFERROR(INDEX($Q$6:$Q$505,MATCH(263,$S$6:$S$505,0)),"")</f>
        <v>Doç. Dr. Ayşe Bikem KARGI</v>
      </c>
      <c r="D268" s="161">
        <f>IF(C268="","",COUNTIFS(Başvuru!$C:$C,C268,Başvuru!$A:$A,"&lt;&gt;"&amp;"",Başvuru!$F:$F,"&lt;&gt;"&amp;""))</f>
        <v>1</v>
      </c>
      <c r="E268" s="159" t="str">
        <f>IF(C268="","-",IF(D268&gt;0,TEXT(D268/(COUNTIFS(Başvuru!$A:$A,"&lt;&gt;",Başvuru!$F:$F,"&lt;&gt;")-1)*100,"0.0")&amp;"%","-"))</f>
        <v>00%</v>
      </c>
      <c r="F268" s="162">
        <f>IF(C268="","",COUNTIFS(Başvuru!$C:$C,C268,Başvuru!$G:$G,"Bireysel Araştırma",Başvuru!$A:$A,"&lt;&gt;"&amp;"",Başvuru!$F:$F,"&lt;&gt;"&amp;""))</f>
        <v>0</v>
      </c>
      <c r="G268" s="162">
        <f>IF(C268="","",COUNTIFS(Başvuru!$C:$C,C268,Başvuru!$G:$G,"Uzmanlık Tezi",Başvuru!$A:$A,"&lt;&gt;"&amp;"",Başvuru!$F:$F,"&lt;&gt;"&amp;""))</f>
        <v>0</v>
      </c>
      <c r="H268" s="162">
        <f>IF(C268="","",COUNTIFS(Başvuru!$C:$C,C268,Başvuru!$G:$G,"Doktora Tezi",Başvuru!$A:$A,"&lt;&gt;"&amp;"",Başvuru!$F:$F,"&lt;&gt;"&amp;""))</f>
        <v>1</v>
      </c>
      <c r="I268" s="162">
        <f>IF(C268="","",COUNTIFS(Başvuru!$C:$C,C268,Başvuru!$G:$G,"Yüksek Lisans Tezi",Başvuru!$A:$A,"&lt;&gt;"&amp;"",Başvuru!$F:$F,"&lt;&gt;"&amp;""))</f>
        <v>0</v>
      </c>
      <c r="J268" s="163">
        <f>IF(C268="","",COUNTIFS(Başvuru!$C:$C,C268,Başvuru!$L:$L,"ONAY",Başvuru!$A:$A,"&lt;&gt;"&amp;"",Başvuru!$F:$F,"&lt;&gt;"&amp;""))</f>
        <v>1</v>
      </c>
      <c r="K268" s="164">
        <f>IF(C268="","",COUNTIFS(Başvuru!$C:$C,C268,Başvuru!$L:$L,"DÜZELTME",Başvuru!$A:$A,"&lt;&gt;"&amp;"",Başvuru!$F:$F,"&lt;&gt;"&amp;""))</f>
        <v>0</v>
      </c>
      <c r="L268" s="165">
        <f>IF(C268="","",COUNTIFS(Başvuru!$C:$C,C268,Başvuru!$L:$L,"KAEK",Başvuru!$A:$A,"&lt;&gt;"&amp;"",Başvuru!$F:$F,"&lt;&gt;"&amp;""))</f>
        <v>0</v>
      </c>
      <c r="M268" s="166">
        <f>IF(C268="","",COUNTIFS(Başvuru!$C:$C,C268,Başvuru!$L:$L,"GÖRÜŞ",Başvuru!$A:$A,"&lt;&gt;"&amp;"",Başvuru!$F:$F,"&lt;&gt;"&amp;""))</f>
        <v>0</v>
      </c>
      <c r="N268" s="167">
        <f>IF(C268="","",COUNTIFS(Başvuru!$C:$C,C268,Başvuru!$L:$L,"RET",Başvuru!$A:$A,"&lt;&gt;"&amp;"",Başvuru!$F:$F,"&lt;&gt;"&amp;""))</f>
        <v>0</v>
      </c>
      <c r="O268" s="168">
        <f>IF(C268="","",COUNTIFS(Başvuru!$C:$C,C268,Başvuru!$L:$L,"KAPSAM DIŞI",Başvuru!$A:$A,"&lt;&gt;"&amp;"",Başvuru!$F:$F,"&lt;&gt;"&amp;""))</f>
        <v>0</v>
      </c>
      <c r="P268" s="169">
        <f>IF(C268="","",COUNTIFS(Başvuru!$C:$C,C268,Başvuru!$L:$L,"GERİ ÇEKİLDİ",Başvuru!$A:$A,"&lt;&gt;"&amp;"",Başvuru!$F:$F,"&lt;&gt;"&amp;""))</f>
        <v>0</v>
      </c>
      <c r="Q268" s="170" t="str">
        <f t="array" ref="Q268">IFERROR(INDEX(Başvuru!$C$2:$C$3000, MATCH(0, COUNTIF($Q$5:Q267, Başvuru!$C$2:$C$3000) + IF(Başvuru!$C$2:$C$3000="",1,0), 0)), "")</f>
        <v>Dr. Öğr. Üyesi Aslı ALKAN</v>
      </c>
      <c r="R268" s="171">
        <f>IF(Q268="","",COUNTIFS(Başvuru!$C:$C,Q268,Başvuru!$A:$A,"&lt;&gt;"&amp;"",Başvuru!$F:$F,"&lt;&gt;"&amp;""))</f>
        <v>1</v>
      </c>
      <c r="S268" s="171">
        <f>IF(R268="","",RANK(R268,$R$6:$R$505,0)+COUNTIF($R$6:R268,R268)-1)</f>
        <v>278</v>
      </c>
    </row>
    <row r="269" spans="2:19" ht="23.25" customHeight="1" x14ac:dyDescent="0.25">
      <c r="B269" s="159">
        <v>264</v>
      </c>
      <c r="C269" s="160" t="str">
        <f>IFERROR(INDEX($Q$6:$Q$505,MATCH(264,$S$6:$S$505,0)),"")</f>
        <v>Prof. Dr. Pelin Özlem ŞİMŞEK KİPER</v>
      </c>
      <c r="D269" s="161">
        <f>IF(C269="","",COUNTIFS(Başvuru!$C:$C,C269,Başvuru!$A:$A,"&lt;&gt;"&amp;"",Başvuru!$F:$F,"&lt;&gt;"&amp;""))</f>
        <v>1</v>
      </c>
      <c r="E269" s="159" t="str">
        <f>IF(C269="","-",IF(D269&gt;0,TEXT(D269/(COUNTIFS(Başvuru!$A:$A,"&lt;&gt;",Başvuru!$F:$F,"&lt;&gt;")-1)*100,"0.0")&amp;"%","-"))</f>
        <v>00%</v>
      </c>
      <c r="F269" s="162">
        <f>IF(C269="","",COUNTIFS(Başvuru!$C:$C,C269,Başvuru!$G:$G,"Bireysel Araştırma",Başvuru!$A:$A,"&lt;&gt;"&amp;"",Başvuru!$F:$F,"&lt;&gt;"&amp;""))</f>
        <v>1</v>
      </c>
      <c r="G269" s="162">
        <f>IF(C269="","",COUNTIFS(Başvuru!$C:$C,C269,Başvuru!$G:$G,"Uzmanlık Tezi",Başvuru!$A:$A,"&lt;&gt;"&amp;"",Başvuru!$F:$F,"&lt;&gt;"&amp;""))</f>
        <v>0</v>
      </c>
      <c r="H269" s="162">
        <f>IF(C269="","",COUNTIFS(Başvuru!$C:$C,C269,Başvuru!$G:$G,"Doktora Tezi",Başvuru!$A:$A,"&lt;&gt;"&amp;"",Başvuru!$F:$F,"&lt;&gt;"&amp;""))</f>
        <v>0</v>
      </c>
      <c r="I269" s="162">
        <f>IF(C269="","",COUNTIFS(Başvuru!$C:$C,C269,Başvuru!$G:$G,"Yüksek Lisans Tezi",Başvuru!$A:$A,"&lt;&gt;"&amp;"",Başvuru!$F:$F,"&lt;&gt;"&amp;""))</f>
        <v>0</v>
      </c>
      <c r="J269" s="163">
        <f>IF(C269="","",COUNTIFS(Başvuru!$C:$C,C269,Başvuru!$L:$L,"ONAY",Başvuru!$A:$A,"&lt;&gt;"&amp;"",Başvuru!$F:$F,"&lt;&gt;"&amp;""))</f>
        <v>1</v>
      </c>
      <c r="K269" s="164">
        <f>IF(C269="","",COUNTIFS(Başvuru!$C:$C,C269,Başvuru!$L:$L,"DÜZELTME",Başvuru!$A:$A,"&lt;&gt;"&amp;"",Başvuru!$F:$F,"&lt;&gt;"&amp;""))</f>
        <v>0</v>
      </c>
      <c r="L269" s="165">
        <f>IF(C269="","",COUNTIFS(Başvuru!$C:$C,C269,Başvuru!$L:$L,"KAEK",Başvuru!$A:$A,"&lt;&gt;"&amp;"",Başvuru!$F:$F,"&lt;&gt;"&amp;""))</f>
        <v>0</v>
      </c>
      <c r="M269" s="166">
        <f>IF(C269="","",COUNTIFS(Başvuru!$C:$C,C269,Başvuru!$L:$L,"GÖRÜŞ",Başvuru!$A:$A,"&lt;&gt;"&amp;"",Başvuru!$F:$F,"&lt;&gt;"&amp;""))</f>
        <v>0</v>
      </c>
      <c r="N269" s="167">
        <f>IF(C269="","",COUNTIFS(Başvuru!$C:$C,C269,Başvuru!$L:$L,"RET",Başvuru!$A:$A,"&lt;&gt;"&amp;"",Başvuru!$F:$F,"&lt;&gt;"&amp;""))</f>
        <v>0</v>
      </c>
      <c r="O269" s="168">
        <f>IF(C269="","",COUNTIFS(Başvuru!$C:$C,C269,Başvuru!$L:$L,"KAPSAM DIŞI",Başvuru!$A:$A,"&lt;&gt;"&amp;"",Başvuru!$F:$F,"&lt;&gt;"&amp;""))</f>
        <v>0</v>
      </c>
      <c r="P269" s="169">
        <f>IF(C269="","",COUNTIFS(Başvuru!$C:$C,C269,Başvuru!$L:$L,"GERİ ÇEKİLDİ",Başvuru!$A:$A,"&lt;&gt;"&amp;"",Başvuru!$F:$F,"&lt;&gt;"&amp;""))</f>
        <v>0</v>
      </c>
      <c r="Q269" s="170" t="str">
        <f t="array" ref="Q269">IFERROR(INDEX(Başvuru!$C$2:$C$3000, MATCH(0, COUNTIF($Q$5:Q268, Başvuru!$C$2:$C$3000) + IF(Başvuru!$C$2:$C$3000="",1,0), 0)), "")</f>
        <v>Prof. Dr. Gülen Eda ÜTİNE</v>
      </c>
      <c r="R269" s="171">
        <f>IF(Q269="","",COUNTIFS(Başvuru!$C:$C,Q269,Başvuru!$A:$A,"&lt;&gt;"&amp;"",Başvuru!$F:$F,"&lt;&gt;"&amp;""))</f>
        <v>1</v>
      </c>
      <c r="S269" s="171">
        <f>IF(R269="","",RANK(R269,$R$6:$R$505,0)+COUNTIF($R$6:R269,R269)-1)</f>
        <v>279</v>
      </c>
    </row>
    <row r="270" spans="2:19" ht="23.25" customHeight="1" x14ac:dyDescent="0.25">
      <c r="B270" s="159">
        <v>265</v>
      </c>
      <c r="C270" s="160" t="str">
        <f>IFERROR(INDEX($Q$6:$Q$505,MATCH(265,$S$6:$S$505,0)),"")</f>
        <v>Prof. Dr. Alper AKTAŞ</v>
      </c>
      <c r="D270" s="161">
        <f>IF(C270="","",COUNTIFS(Başvuru!$C:$C,C270,Başvuru!$A:$A,"&lt;&gt;"&amp;"",Başvuru!$F:$F,"&lt;&gt;"&amp;""))</f>
        <v>1</v>
      </c>
      <c r="E270" s="159" t="str">
        <f>IF(C270="","-",IF(D270&gt;0,TEXT(D270/(COUNTIFS(Başvuru!$A:$A,"&lt;&gt;",Başvuru!$F:$F,"&lt;&gt;")-1)*100,"0.0")&amp;"%","-"))</f>
        <v>00%</v>
      </c>
      <c r="F270" s="162">
        <f>IF(C270="","",COUNTIFS(Başvuru!$C:$C,C270,Başvuru!$G:$G,"Bireysel Araştırma",Başvuru!$A:$A,"&lt;&gt;"&amp;"",Başvuru!$F:$F,"&lt;&gt;"&amp;""))</f>
        <v>1</v>
      </c>
      <c r="G270" s="162">
        <f>IF(C270="","",COUNTIFS(Başvuru!$C:$C,C270,Başvuru!$G:$G,"Uzmanlık Tezi",Başvuru!$A:$A,"&lt;&gt;"&amp;"",Başvuru!$F:$F,"&lt;&gt;"&amp;""))</f>
        <v>0</v>
      </c>
      <c r="H270" s="162">
        <f>IF(C270="","",COUNTIFS(Başvuru!$C:$C,C270,Başvuru!$G:$G,"Doktora Tezi",Başvuru!$A:$A,"&lt;&gt;"&amp;"",Başvuru!$F:$F,"&lt;&gt;"&amp;""))</f>
        <v>0</v>
      </c>
      <c r="I270" s="162">
        <f>IF(C270="","",COUNTIFS(Başvuru!$C:$C,C270,Başvuru!$G:$G,"Yüksek Lisans Tezi",Başvuru!$A:$A,"&lt;&gt;"&amp;"",Başvuru!$F:$F,"&lt;&gt;"&amp;""))</f>
        <v>0</v>
      </c>
      <c r="J270" s="163">
        <f>IF(C270="","",COUNTIFS(Başvuru!$C:$C,C270,Başvuru!$L:$L,"ONAY",Başvuru!$A:$A,"&lt;&gt;"&amp;"",Başvuru!$F:$F,"&lt;&gt;"&amp;""))</f>
        <v>1</v>
      </c>
      <c r="K270" s="164">
        <f>IF(C270="","",COUNTIFS(Başvuru!$C:$C,C270,Başvuru!$L:$L,"DÜZELTME",Başvuru!$A:$A,"&lt;&gt;"&amp;"",Başvuru!$F:$F,"&lt;&gt;"&amp;""))</f>
        <v>0</v>
      </c>
      <c r="L270" s="165">
        <f>IF(C270="","",COUNTIFS(Başvuru!$C:$C,C270,Başvuru!$L:$L,"KAEK",Başvuru!$A:$A,"&lt;&gt;"&amp;"",Başvuru!$F:$F,"&lt;&gt;"&amp;""))</f>
        <v>0</v>
      </c>
      <c r="M270" s="166">
        <f>IF(C270="","",COUNTIFS(Başvuru!$C:$C,C270,Başvuru!$L:$L,"GÖRÜŞ",Başvuru!$A:$A,"&lt;&gt;"&amp;"",Başvuru!$F:$F,"&lt;&gt;"&amp;""))</f>
        <v>0</v>
      </c>
      <c r="N270" s="167">
        <f>IF(C270="","",COUNTIFS(Başvuru!$C:$C,C270,Başvuru!$L:$L,"RET",Başvuru!$A:$A,"&lt;&gt;"&amp;"",Başvuru!$F:$F,"&lt;&gt;"&amp;""))</f>
        <v>0</v>
      </c>
      <c r="O270" s="168">
        <f>IF(C270="","",COUNTIFS(Başvuru!$C:$C,C270,Başvuru!$L:$L,"KAPSAM DIŞI",Başvuru!$A:$A,"&lt;&gt;"&amp;"",Başvuru!$F:$F,"&lt;&gt;"&amp;""))</f>
        <v>0</v>
      </c>
      <c r="P270" s="169">
        <f>IF(C270="","",COUNTIFS(Başvuru!$C:$C,C270,Başvuru!$L:$L,"GERİ ÇEKİLDİ",Başvuru!$A:$A,"&lt;&gt;"&amp;"",Başvuru!$F:$F,"&lt;&gt;"&amp;""))</f>
        <v>0</v>
      </c>
      <c r="Q270" s="170" t="str">
        <f t="array" ref="Q270">IFERROR(INDEX(Başvuru!$C$2:$C$3000, MATCH(0, COUNTIF($Q$5:Q269, Başvuru!$C$2:$C$3000) + IF(Başvuru!$C$2:$C$3000="",1,0), 0)), "")</f>
        <v>Doç. Dr. Muhammed Bahaddin DURAK</v>
      </c>
      <c r="R270" s="171">
        <f>IF(Q270="","",COUNTIFS(Başvuru!$C:$C,Q270,Başvuru!$A:$A,"&lt;&gt;"&amp;"",Başvuru!$F:$F,"&lt;&gt;"&amp;""))</f>
        <v>1</v>
      </c>
      <c r="S270" s="171">
        <f>IF(R270="","",RANK(R270,$R$6:$R$505,0)+COUNTIF($R$6:R270,R270)-1)</f>
        <v>280</v>
      </c>
    </row>
    <row r="271" spans="2:19" ht="23.25" customHeight="1" x14ac:dyDescent="0.25">
      <c r="B271" s="159">
        <v>266</v>
      </c>
      <c r="C271" s="160" t="str">
        <f>IFERROR(INDEX($Q$6:$Q$505,MATCH(266,$S$6:$S$505,0)),"")</f>
        <v>Prof. Dr. Melih Önder BABAOĞLU</v>
      </c>
      <c r="D271" s="161">
        <f>IF(C271="","",COUNTIFS(Başvuru!$C:$C,C271,Başvuru!$A:$A,"&lt;&gt;"&amp;"",Başvuru!$F:$F,"&lt;&gt;"&amp;""))</f>
        <v>1</v>
      </c>
      <c r="E271" s="159" t="str">
        <f>IF(C271="","-",IF(D271&gt;0,TEXT(D271/(COUNTIFS(Başvuru!$A:$A,"&lt;&gt;",Başvuru!$F:$F,"&lt;&gt;")-1)*100,"0.0")&amp;"%","-"))</f>
        <v>00%</v>
      </c>
      <c r="F271" s="162">
        <f>IF(C271="","",COUNTIFS(Başvuru!$C:$C,C271,Başvuru!$G:$G,"Bireysel Araştırma",Başvuru!$A:$A,"&lt;&gt;"&amp;"",Başvuru!$F:$F,"&lt;&gt;"&amp;""))</f>
        <v>0</v>
      </c>
      <c r="G271" s="162">
        <f>IF(C271="","",COUNTIFS(Başvuru!$C:$C,C271,Başvuru!$G:$G,"Uzmanlık Tezi",Başvuru!$A:$A,"&lt;&gt;"&amp;"",Başvuru!$F:$F,"&lt;&gt;"&amp;""))</f>
        <v>1</v>
      </c>
      <c r="H271" s="162">
        <f>IF(C271="","",COUNTIFS(Başvuru!$C:$C,C271,Başvuru!$G:$G,"Doktora Tezi",Başvuru!$A:$A,"&lt;&gt;"&amp;"",Başvuru!$F:$F,"&lt;&gt;"&amp;""))</f>
        <v>0</v>
      </c>
      <c r="I271" s="162">
        <f>IF(C271="","",COUNTIFS(Başvuru!$C:$C,C271,Başvuru!$G:$G,"Yüksek Lisans Tezi",Başvuru!$A:$A,"&lt;&gt;"&amp;"",Başvuru!$F:$F,"&lt;&gt;"&amp;""))</f>
        <v>0</v>
      </c>
      <c r="J271" s="163">
        <f>IF(C271="","",COUNTIFS(Başvuru!$C:$C,C271,Başvuru!$L:$L,"ONAY",Başvuru!$A:$A,"&lt;&gt;"&amp;"",Başvuru!$F:$F,"&lt;&gt;"&amp;""))</f>
        <v>1</v>
      </c>
      <c r="K271" s="164">
        <f>IF(C271="","",COUNTIFS(Başvuru!$C:$C,C271,Başvuru!$L:$L,"DÜZELTME",Başvuru!$A:$A,"&lt;&gt;"&amp;"",Başvuru!$F:$F,"&lt;&gt;"&amp;""))</f>
        <v>0</v>
      </c>
      <c r="L271" s="165">
        <f>IF(C271="","",COUNTIFS(Başvuru!$C:$C,C271,Başvuru!$L:$L,"KAEK",Başvuru!$A:$A,"&lt;&gt;"&amp;"",Başvuru!$F:$F,"&lt;&gt;"&amp;""))</f>
        <v>0</v>
      </c>
      <c r="M271" s="166">
        <f>IF(C271="","",COUNTIFS(Başvuru!$C:$C,C271,Başvuru!$L:$L,"GÖRÜŞ",Başvuru!$A:$A,"&lt;&gt;"&amp;"",Başvuru!$F:$F,"&lt;&gt;"&amp;""))</f>
        <v>0</v>
      </c>
      <c r="N271" s="167">
        <f>IF(C271="","",COUNTIFS(Başvuru!$C:$C,C271,Başvuru!$L:$L,"RET",Başvuru!$A:$A,"&lt;&gt;"&amp;"",Başvuru!$F:$F,"&lt;&gt;"&amp;""))</f>
        <v>0</v>
      </c>
      <c r="O271" s="168">
        <f>IF(C271="","",COUNTIFS(Başvuru!$C:$C,C271,Başvuru!$L:$L,"KAPSAM DIŞI",Başvuru!$A:$A,"&lt;&gt;"&amp;"",Başvuru!$F:$F,"&lt;&gt;"&amp;""))</f>
        <v>0</v>
      </c>
      <c r="P271" s="169">
        <f>IF(C271="","",COUNTIFS(Başvuru!$C:$C,C271,Başvuru!$L:$L,"GERİ ÇEKİLDİ",Başvuru!$A:$A,"&lt;&gt;"&amp;"",Başvuru!$F:$F,"&lt;&gt;"&amp;""))</f>
        <v>0</v>
      </c>
      <c r="Q271" s="170" t="str">
        <f t="array" ref="Q271">IFERROR(INDEX(Başvuru!$C$2:$C$3000, MATCH(0, COUNTIF($Q$5:Q270, Başvuru!$C$2:$C$3000) + IF(Başvuru!$C$2:$C$3000="",1,0), 0)), "")</f>
        <v>Prof. Dr. Okan Bülent YILDIZ</v>
      </c>
      <c r="R271" s="171">
        <f>IF(Q271="","",COUNTIFS(Başvuru!$C:$C,Q271,Başvuru!$A:$A,"&lt;&gt;"&amp;"",Başvuru!$F:$F,"&lt;&gt;"&amp;""))</f>
        <v>2</v>
      </c>
      <c r="S271" s="171">
        <f>IF(R271="","",RANK(R271,$R$6:$R$505,0)+COUNTIF($R$6:R271,R271)-1)</f>
        <v>137</v>
      </c>
    </row>
    <row r="272" spans="2:19" ht="23.25" customHeight="1" x14ac:dyDescent="0.25">
      <c r="B272" s="159">
        <v>267</v>
      </c>
      <c r="C272" s="160" t="str">
        <f>IFERROR(INDEX($Q$6:$Q$505,MATCH(267,$S$6:$S$505,0)),"")</f>
        <v>Dr. Öğr. Üyesi Oğuzhan KATAR</v>
      </c>
      <c r="D272" s="161">
        <f>IF(C272="","",COUNTIFS(Başvuru!$C:$C,C272,Başvuru!$A:$A,"&lt;&gt;"&amp;"",Başvuru!$F:$F,"&lt;&gt;"&amp;""))</f>
        <v>1</v>
      </c>
      <c r="E272" s="159" t="str">
        <f>IF(C272="","-",IF(D272&gt;0,TEXT(D272/(COUNTIFS(Başvuru!$A:$A,"&lt;&gt;",Başvuru!$F:$F,"&lt;&gt;")-1)*100,"0.0")&amp;"%","-"))</f>
        <v>00%</v>
      </c>
      <c r="F272" s="162">
        <f>IF(C272="","",COUNTIFS(Başvuru!$C:$C,C272,Başvuru!$G:$G,"Bireysel Araştırma",Başvuru!$A:$A,"&lt;&gt;"&amp;"",Başvuru!$F:$F,"&lt;&gt;"&amp;""))</f>
        <v>1</v>
      </c>
      <c r="G272" s="162">
        <f>IF(C272="","",COUNTIFS(Başvuru!$C:$C,C272,Başvuru!$G:$G,"Uzmanlık Tezi",Başvuru!$A:$A,"&lt;&gt;"&amp;"",Başvuru!$F:$F,"&lt;&gt;"&amp;""))</f>
        <v>0</v>
      </c>
      <c r="H272" s="162">
        <f>IF(C272="","",COUNTIFS(Başvuru!$C:$C,C272,Başvuru!$G:$G,"Doktora Tezi",Başvuru!$A:$A,"&lt;&gt;"&amp;"",Başvuru!$F:$F,"&lt;&gt;"&amp;""))</f>
        <v>0</v>
      </c>
      <c r="I272" s="162">
        <f>IF(C272="","",COUNTIFS(Başvuru!$C:$C,C272,Başvuru!$G:$G,"Yüksek Lisans Tezi",Başvuru!$A:$A,"&lt;&gt;"&amp;"",Başvuru!$F:$F,"&lt;&gt;"&amp;""))</f>
        <v>0</v>
      </c>
      <c r="J272" s="163">
        <f>IF(C272="","",COUNTIFS(Başvuru!$C:$C,C272,Başvuru!$L:$L,"ONAY",Başvuru!$A:$A,"&lt;&gt;"&amp;"",Başvuru!$F:$F,"&lt;&gt;"&amp;""))</f>
        <v>1</v>
      </c>
      <c r="K272" s="164">
        <f>IF(C272="","",COUNTIFS(Başvuru!$C:$C,C272,Başvuru!$L:$L,"DÜZELTME",Başvuru!$A:$A,"&lt;&gt;"&amp;"",Başvuru!$F:$F,"&lt;&gt;"&amp;""))</f>
        <v>0</v>
      </c>
      <c r="L272" s="165">
        <f>IF(C272="","",COUNTIFS(Başvuru!$C:$C,C272,Başvuru!$L:$L,"KAEK",Başvuru!$A:$A,"&lt;&gt;"&amp;"",Başvuru!$F:$F,"&lt;&gt;"&amp;""))</f>
        <v>0</v>
      </c>
      <c r="M272" s="166">
        <f>IF(C272="","",COUNTIFS(Başvuru!$C:$C,C272,Başvuru!$L:$L,"GÖRÜŞ",Başvuru!$A:$A,"&lt;&gt;"&amp;"",Başvuru!$F:$F,"&lt;&gt;"&amp;""))</f>
        <v>0</v>
      </c>
      <c r="N272" s="167">
        <f>IF(C272="","",COUNTIFS(Başvuru!$C:$C,C272,Başvuru!$L:$L,"RET",Başvuru!$A:$A,"&lt;&gt;"&amp;"",Başvuru!$F:$F,"&lt;&gt;"&amp;""))</f>
        <v>0</v>
      </c>
      <c r="O272" s="168">
        <f>IF(C272="","",COUNTIFS(Başvuru!$C:$C,C272,Başvuru!$L:$L,"KAPSAM DIŞI",Başvuru!$A:$A,"&lt;&gt;"&amp;"",Başvuru!$F:$F,"&lt;&gt;"&amp;""))</f>
        <v>0</v>
      </c>
      <c r="P272" s="169">
        <f>IF(C272="","",COUNTIFS(Başvuru!$C:$C,C272,Başvuru!$L:$L,"GERİ ÇEKİLDİ",Başvuru!$A:$A,"&lt;&gt;"&amp;"",Başvuru!$F:$F,"&lt;&gt;"&amp;""))</f>
        <v>0</v>
      </c>
      <c r="Q272" s="170" t="str">
        <f t="array" ref="Q272">IFERROR(INDEX(Başvuru!$C$2:$C$3000, MATCH(0, COUNTIF($Q$5:Q271, Başvuru!$C$2:$C$3000) + IF(Başvuru!$C$2:$C$3000="",1,0), 0)), "")</f>
        <v>Prof. Dr. Saniye EKİNCİ</v>
      </c>
      <c r="R272" s="171">
        <f>IF(Q272="","",COUNTIFS(Başvuru!$C:$C,Q272,Başvuru!$A:$A,"&lt;&gt;"&amp;"",Başvuru!$F:$F,"&lt;&gt;"&amp;""))</f>
        <v>2</v>
      </c>
      <c r="S272" s="171">
        <f>IF(R272="","",RANK(R272,$R$6:$R$505,0)+COUNTIF($R$6:R272,R272)-1)</f>
        <v>138</v>
      </c>
    </row>
    <row r="273" spans="2:19" ht="23.25" customHeight="1" x14ac:dyDescent="0.25">
      <c r="B273" s="159">
        <v>268</v>
      </c>
      <c r="C273" s="160" t="str">
        <f>IFERROR(INDEX($Q$6:$Q$505,MATCH(268,$S$6:$S$505,0)),"")</f>
        <v>Arş. Gör. Dr. Ozan KAPLAN</v>
      </c>
      <c r="D273" s="161">
        <f>IF(C273="","",COUNTIFS(Başvuru!$C:$C,C273,Başvuru!$A:$A,"&lt;&gt;"&amp;"",Başvuru!$F:$F,"&lt;&gt;"&amp;""))</f>
        <v>1</v>
      </c>
      <c r="E273" s="159" t="str">
        <f>IF(C273="","-",IF(D273&gt;0,TEXT(D273/(COUNTIFS(Başvuru!$A:$A,"&lt;&gt;",Başvuru!$F:$F,"&lt;&gt;")-1)*100,"0.0")&amp;"%","-"))</f>
        <v>00%</v>
      </c>
      <c r="F273" s="162">
        <f>IF(C273="","",COUNTIFS(Başvuru!$C:$C,C273,Başvuru!$G:$G,"Bireysel Araştırma",Başvuru!$A:$A,"&lt;&gt;"&amp;"",Başvuru!$F:$F,"&lt;&gt;"&amp;""))</f>
        <v>1</v>
      </c>
      <c r="G273" s="162">
        <f>IF(C273="","",COUNTIFS(Başvuru!$C:$C,C273,Başvuru!$G:$G,"Uzmanlık Tezi",Başvuru!$A:$A,"&lt;&gt;"&amp;"",Başvuru!$F:$F,"&lt;&gt;"&amp;""))</f>
        <v>0</v>
      </c>
      <c r="H273" s="162">
        <f>IF(C273="","",COUNTIFS(Başvuru!$C:$C,C273,Başvuru!$G:$G,"Doktora Tezi",Başvuru!$A:$A,"&lt;&gt;"&amp;"",Başvuru!$F:$F,"&lt;&gt;"&amp;""))</f>
        <v>0</v>
      </c>
      <c r="I273" s="162">
        <f>IF(C273="","",COUNTIFS(Başvuru!$C:$C,C273,Başvuru!$G:$G,"Yüksek Lisans Tezi",Başvuru!$A:$A,"&lt;&gt;"&amp;"",Başvuru!$F:$F,"&lt;&gt;"&amp;""))</f>
        <v>0</v>
      </c>
      <c r="J273" s="163">
        <f>IF(C273="","",COUNTIFS(Başvuru!$C:$C,C273,Başvuru!$L:$L,"ONAY",Başvuru!$A:$A,"&lt;&gt;"&amp;"",Başvuru!$F:$F,"&lt;&gt;"&amp;""))</f>
        <v>0</v>
      </c>
      <c r="K273" s="164">
        <f>IF(C273="","",COUNTIFS(Başvuru!$C:$C,C273,Başvuru!$L:$L,"DÜZELTME",Başvuru!$A:$A,"&lt;&gt;"&amp;"",Başvuru!$F:$F,"&lt;&gt;"&amp;""))</f>
        <v>0</v>
      </c>
      <c r="L273" s="165">
        <f>IF(C273="","",COUNTIFS(Başvuru!$C:$C,C273,Başvuru!$L:$L,"KAEK",Başvuru!$A:$A,"&lt;&gt;"&amp;"",Başvuru!$F:$F,"&lt;&gt;"&amp;""))</f>
        <v>0</v>
      </c>
      <c r="M273" s="166">
        <f>IF(C273="","",COUNTIFS(Başvuru!$C:$C,C273,Başvuru!$L:$L,"GÖRÜŞ",Başvuru!$A:$A,"&lt;&gt;"&amp;"",Başvuru!$F:$F,"&lt;&gt;"&amp;""))</f>
        <v>1</v>
      </c>
      <c r="N273" s="167">
        <f>IF(C273="","",COUNTIFS(Başvuru!$C:$C,C273,Başvuru!$L:$L,"RET",Başvuru!$A:$A,"&lt;&gt;"&amp;"",Başvuru!$F:$F,"&lt;&gt;"&amp;""))</f>
        <v>0</v>
      </c>
      <c r="O273" s="168">
        <f>IF(C273="","",COUNTIFS(Başvuru!$C:$C,C273,Başvuru!$L:$L,"KAPSAM DIŞI",Başvuru!$A:$A,"&lt;&gt;"&amp;"",Başvuru!$F:$F,"&lt;&gt;"&amp;""))</f>
        <v>0</v>
      </c>
      <c r="P273" s="169">
        <f>IF(C273="","",COUNTIFS(Başvuru!$C:$C,C273,Başvuru!$L:$L,"GERİ ÇEKİLDİ",Başvuru!$A:$A,"&lt;&gt;"&amp;"",Başvuru!$F:$F,"&lt;&gt;"&amp;""))</f>
        <v>0</v>
      </c>
      <c r="Q273" s="170" t="str">
        <f t="array" ref="Q273">IFERROR(INDEX(Başvuru!$C$2:$C$3000, MATCH(0, COUNTIF($Q$5:Q272, Başvuru!$C$2:$C$3000) + IF(Başvuru!$C$2:$C$3000="",1,0), 0)), "")</f>
        <v>Prof. Dr. Gülay SAİN GÜVEN</v>
      </c>
      <c r="R273" s="171">
        <f>IF(Q273="","",COUNTIFS(Başvuru!$C:$C,Q273,Başvuru!$A:$A,"&lt;&gt;"&amp;"",Başvuru!$F:$F,"&lt;&gt;"&amp;""))</f>
        <v>1</v>
      </c>
      <c r="S273" s="171">
        <f>IF(R273="","",RANK(R273,$R$6:$R$505,0)+COUNTIF($R$6:R273,R273)-1)</f>
        <v>281</v>
      </c>
    </row>
    <row r="274" spans="2:19" ht="23.25" customHeight="1" x14ac:dyDescent="0.25">
      <c r="B274" s="159">
        <v>269</v>
      </c>
      <c r="C274" s="160" t="str">
        <f>IFERROR(INDEX($Q$6:$Q$505,MATCH(269,$S$6:$S$505,0)),"")</f>
        <v>Dr. Öğr. Üyesi Emre MUTLU</v>
      </c>
      <c r="D274" s="161">
        <f>IF(C274="","",COUNTIFS(Başvuru!$C:$C,C274,Başvuru!$A:$A,"&lt;&gt;"&amp;"",Başvuru!$F:$F,"&lt;&gt;"&amp;""))</f>
        <v>1</v>
      </c>
      <c r="E274" s="159" t="str">
        <f>IF(C274="","-",IF(D274&gt;0,TEXT(D274/(COUNTIFS(Başvuru!$A:$A,"&lt;&gt;",Başvuru!$F:$F,"&lt;&gt;")-1)*100,"0.0")&amp;"%","-"))</f>
        <v>00%</v>
      </c>
      <c r="F274" s="162">
        <f>IF(C274="","",COUNTIFS(Başvuru!$C:$C,C274,Başvuru!$G:$G,"Bireysel Araştırma",Başvuru!$A:$A,"&lt;&gt;"&amp;"",Başvuru!$F:$F,"&lt;&gt;"&amp;""))</f>
        <v>1</v>
      </c>
      <c r="G274" s="162">
        <f>IF(C274="","",COUNTIFS(Başvuru!$C:$C,C274,Başvuru!$G:$G,"Uzmanlık Tezi",Başvuru!$A:$A,"&lt;&gt;"&amp;"",Başvuru!$F:$F,"&lt;&gt;"&amp;""))</f>
        <v>0</v>
      </c>
      <c r="H274" s="162">
        <f>IF(C274="","",COUNTIFS(Başvuru!$C:$C,C274,Başvuru!$G:$G,"Doktora Tezi",Başvuru!$A:$A,"&lt;&gt;"&amp;"",Başvuru!$F:$F,"&lt;&gt;"&amp;""))</f>
        <v>0</v>
      </c>
      <c r="I274" s="162">
        <f>IF(C274="","",COUNTIFS(Başvuru!$C:$C,C274,Başvuru!$G:$G,"Yüksek Lisans Tezi",Başvuru!$A:$A,"&lt;&gt;"&amp;"",Başvuru!$F:$F,"&lt;&gt;"&amp;""))</f>
        <v>0</v>
      </c>
      <c r="J274" s="163">
        <f>IF(C274="","",COUNTIFS(Başvuru!$C:$C,C274,Başvuru!$L:$L,"ONAY",Başvuru!$A:$A,"&lt;&gt;"&amp;"",Başvuru!$F:$F,"&lt;&gt;"&amp;""))</f>
        <v>1</v>
      </c>
      <c r="K274" s="164">
        <f>IF(C274="","",COUNTIFS(Başvuru!$C:$C,C274,Başvuru!$L:$L,"DÜZELTME",Başvuru!$A:$A,"&lt;&gt;"&amp;"",Başvuru!$F:$F,"&lt;&gt;"&amp;""))</f>
        <v>0</v>
      </c>
      <c r="L274" s="165">
        <f>IF(C274="","",COUNTIFS(Başvuru!$C:$C,C274,Başvuru!$L:$L,"KAEK",Başvuru!$A:$A,"&lt;&gt;"&amp;"",Başvuru!$F:$F,"&lt;&gt;"&amp;""))</f>
        <v>0</v>
      </c>
      <c r="M274" s="166">
        <f>IF(C274="","",COUNTIFS(Başvuru!$C:$C,C274,Başvuru!$L:$L,"GÖRÜŞ",Başvuru!$A:$A,"&lt;&gt;"&amp;"",Başvuru!$F:$F,"&lt;&gt;"&amp;""))</f>
        <v>0</v>
      </c>
      <c r="N274" s="167">
        <f>IF(C274="","",COUNTIFS(Başvuru!$C:$C,C274,Başvuru!$L:$L,"RET",Başvuru!$A:$A,"&lt;&gt;"&amp;"",Başvuru!$F:$F,"&lt;&gt;"&amp;""))</f>
        <v>0</v>
      </c>
      <c r="O274" s="168">
        <f>IF(C274="","",COUNTIFS(Başvuru!$C:$C,C274,Başvuru!$L:$L,"KAPSAM DIŞI",Başvuru!$A:$A,"&lt;&gt;"&amp;"",Başvuru!$F:$F,"&lt;&gt;"&amp;""))</f>
        <v>0</v>
      </c>
      <c r="P274" s="169">
        <f>IF(C274="","",COUNTIFS(Başvuru!$C:$C,C274,Başvuru!$L:$L,"GERİ ÇEKİLDİ",Başvuru!$A:$A,"&lt;&gt;"&amp;"",Başvuru!$F:$F,"&lt;&gt;"&amp;""))</f>
        <v>0</v>
      </c>
      <c r="Q274" s="170" t="str">
        <f t="array" ref="Q274">IFERROR(INDEX(Başvuru!$C$2:$C$3000, MATCH(0, COUNTIF($Q$5:Q273, Başvuru!$C$2:$C$3000) + IF(Başvuru!$C$2:$C$3000="",1,0), 0)), "")</f>
        <v>Prof. Dr. Levent SENNAROĞLU</v>
      </c>
      <c r="R274" s="171">
        <f>IF(Q274="","",COUNTIFS(Başvuru!$C:$C,Q274,Başvuru!$A:$A,"&lt;&gt;"&amp;"",Başvuru!$F:$F,"&lt;&gt;"&amp;""))</f>
        <v>2</v>
      </c>
      <c r="S274" s="171">
        <f>IF(R274="","",RANK(R274,$R$6:$R$505,0)+COUNTIF($R$6:R274,R274)-1)</f>
        <v>139</v>
      </c>
    </row>
    <row r="275" spans="2:19" ht="23.25" customHeight="1" x14ac:dyDescent="0.25">
      <c r="B275" s="159">
        <v>270</v>
      </c>
      <c r="C275" s="160" t="str">
        <f>IFERROR(INDEX($Q$6:$Q$505,MATCH(270,$S$6:$S$505,0)),"")</f>
        <v>Prof. Dr. Lale KARAKOÇ SÖKMENSÜER</v>
      </c>
      <c r="D275" s="161">
        <f>IF(C275="","",COUNTIFS(Başvuru!$C:$C,C275,Başvuru!$A:$A,"&lt;&gt;"&amp;"",Başvuru!$F:$F,"&lt;&gt;"&amp;""))</f>
        <v>1</v>
      </c>
      <c r="E275" s="159" t="str">
        <f>IF(C275="","-",IF(D275&gt;0,TEXT(D275/(COUNTIFS(Başvuru!$A:$A,"&lt;&gt;",Başvuru!$F:$F,"&lt;&gt;")-1)*100,"0.0")&amp;"%","-"))</f>
        <v>00%</v>
      </c>
      <c r="F275" s="162">
        <f>IF(C275="","",COUNTIFS(Başvuru!$C:$C,C275,Başvuru!$G:$G,"Bireysel Araştırma",Başvuru!$A:$A,"&lt;&gt;"&amp;"",Başvuru!$F:$F,"&lt;&gt;"&amp;""))</f>
        <v>0</v>
      </c>
      <c r="G275" s="162">
        <f>IF(C275="","",COUNTIFS(Başvuru!$C:$C,C275,Başvuru!$G:$G,"Uzmanlık Tezi",Başvuru!$A:$A,"&lt;&gt;"&amp;"",Başvuru!$F:$F,"&lt;&gt;"&amp;""))</f>
        <v>1</v>
      </c>
      <c r="H275" s="162">
        <f>IF(C275="","",COUNTIFS(Başvuru!$C:$C,C275,Başvuru!$G:$G,"Doktora Tezi",Başvuru!$A:$A,"&lt;&gt;"&amp;"",Başvuru!$F:$F,"&lt;&gt;"&amp;""))</f>
        <v>0</v>
      </c>
      <c r="I275" s="162">
        <f>IF(C275="","",COUNTIFS(Başvuru!$C:$C,C275,Başvuru!$G:$G,"Yüksek Lisans Tezi",Başvuru!$A:$A,"&lt;&gt;"&amp;"",Başvuru!$F:$F,"&lt;&gt;"&amp;""))</f>
        <v>0</v>
      </c>
      <c r="J275" s="163">
        <f>IF(C275="","",COUNTIFS(Başvuru!$C:$C,C275,Başvuru!$L:$L,"ONAY",Başvuru!$A:$A,"&lt;&gt;"&amp;"",Başvuru!$F:$F,"&lt;&gt;"&amp;""))</f>
        <v>0</v>
      </c>
      <c r="K275" s="164">
        <f>IF(C275="","",COUNTIFS(Başvuru!$C:$C,C275,Başvuru!$L:$L,"DÜZELTME",Başvuru!$A:$A,"&lt;&gt;"&amp;"",Başvuru!$F:$F,"&lt;&gt;"&amp;""))</f>
        <v>1</v>
      </c>
      <c r="L275" s="165">
        <f>IF(C275="","",COUNTIFS(Başvuru!$C:$C,C275,Başvuru!$L:$L,"KAEK",Başvuru!$A:$A,"&lt;&gt;"&amp;"",Başvuru!$F:$F,"&lt;&gt;"&amp;""))</f>
        <v>0</v>
      </c>
      <c r="M275" s="166">
        <f>IF(C275="","",COUNTIFS(Başvuru!$C:$C,C275,Başvuru!$L:$L,"GÖRÜŞ",Başvuru!$A:$A,"&lt;&gt;"&amp;"",Başvuru!$F:$F,"&lt;&gt;"&amp;""))</f>
        <v>0</v>
      </c>
      <c r="N275" s="167">
        <f>IF(C275="","",COUNTIFS(Başvuru!$C:$C,C275,Başvuru!$L:$L,"RET",Başvuru!$A:$A,"&lt;&gt;"&amp;"",Başvuru!$F:$F,"&lt;&gt;"&amp;""))</f>
        <v>0</v>
      </c>
      <c r="O275" s="168">
        <f>IF(C275="","",COUNTIFS(Başvuru!$C:$C,C275,Başvuru!$L:$L,"KAPSAM DIŞI",Başvuru!$A:$A,"&lt;&gt;"&amp;"",Başvuru!$F:$F,"&lt;&gt;"&amp;""))</f>
        <v>0</v>
      </c>
      <c r="P275" s="169">
        <f>IF(C275="","",COUNTIFS(Başvuru!$C:$C,C275,Başvuru!$L:$L,"GERİ ÇEKİLDİ",Başvuru!$A:$A,"&lt;&gt;"&amp;"",Başvuru!$F:$F,"&lt;&gt;"&amp;""))</f>
        <v>0</v>
      </c>
      <c r="Q275" s="170" t="str">
        <f t="array" ref="Q275">IFERROR(INDEX(Başvuru!$C$2:$C$3000, MATCH(0, COUNTIF($Q$5:Q274, Başvuru!$C$2:$C$3000) + IF(Başvuru!$C$2:$C$3000="",1,0), 0)), "")</f>
        <v>Prof. Dr. Uğur ÜNLÜTÜRK</v>
      </c>
      <c r="R275" s="171">
        <f>IF(Q275="","",COUNTIFS(Başvuru!$C:$C,Q275,Başvuru!$A:$A,"&lt;&gt;"&amp;"",Başvuru!$F:$F,"&lt;&gt;"&amp;""))</f>
        <v>2</v>
      </c>
      <c r="S275" s="171">
        <f>IF(R275="","",RANK(R275,$R$6:$R$505,0)+COUNTIF($R$6:R275,R275)-1)</f>
        <v>140</v>
      </c>
    </row>
    <row r="276" spans="2:19" ht="23.25" customHeight="1" x14ac:dyDescent="0.25">
      <c r="B276" s="159">
        <v>271</v>
      </c>
      <c r="C276" s="160" t="str">
        <f>IFERROR(INDEX($Q$6:$Q$505,MATCH(271,$S$6:$S$505,0)),"")</f>
        <v>Dr. Öğr. Üyesi Neslihan TAŞ</v>
      </c>
      <c r="D276" s="161">
        <f>IF(C276="","",COUNTIFS(Başvuru!$C:$C,C276,Başvuru!$A:$A,"&lt;&gt;"&amp;"",Başvuru!$F:$F,"&lt;&gt;"&amp;""))</f>
        <v>1</v>
      </c>
      <c r="E276" s="159" t="str">
        <f>IF(C276="","-",IF(D276&gt;0,TEXT(D276/(COUNTIFS(Başvuru!$A:$A,"&lt;&gt;",Başvuru!$F:$F,"&lt;&gt;")-1)*100,"0.0")&amp;"%","-"))</f>
        <v>00%</v>
      </c>
      <c r="F276" s="162">
        <f>IF(C276="","",COUNTIFS(Başvuru!$C:$C,C276,Başvuru!$G:$G,"Bireysel Araştırma",Başvuru!$A:$A,"&lt;&gt;"&amp;"",Başvuru!$F:$F,"&lt;&gt;"&amp;""))</f>
        <v>0</v>
      </c>
      <c r="G276" s="162">
        <f>IF(C276="","",COUNTIFS(Başvuru!$C:$C,C276,Başvuru!$G:$G,"Uzmanlık Tezi",Başvuru!$A:$A,"&lt;&gt;"&amp;"",Başvuru!$F:$F,"&lt;&gt;"&amp;""))</f>
        <v>0</v>
      </c>
      <c r="H276" s="162">
        <f>IF(C276="","",COUNTIFS(Başvuru!$C:$C,C276,Başvuru!$G:$G,"Doktora Tezi",Başvuru!$A:$A,"&lt;&gt;"&amp;"",Başvuru!$F:$F,"&lt;&gt;"&amp;""))</f>
        <v>0</v>
      </c>
      <c r="I276" s="162">
        <f>IF(C276="","",COUNTIFS(Başvuru!$C:$C,C276,Başvuru!$G:$G,"Yüksek Lisans Tezi",Başvuru!$A:$A,"&lt;&gt;"&amp;"",Başvuru!$F:$F,"&lt;&gt;"&amp;""))</f>
        <v>1</v>
      </c>
      <c r="J276" s="163">
        <f>IF(C276="","",COUNTIFS(Başvuru!$C:$C,C276,Başvuru!$L:$L,"ONAY",Başvuru!$A:$A,"&lt;&gt;"&amp;"",Başvuru!$F:$F,"&lt;&gt;"&amp;""))</f>
        <v>0</v>
      </c>
      <c r="K276" s="164">
        <f>IF(C276="","",COUNTIFS(Başvuru!$C:$C,C276,Başvuru!$L:$L,"DÜZELTME",Başvuru!$A:$A,"&lt;&gt;"&amp;"",Başvuru!$F:$F,"&lt;&gt;"&amp;""))</f>
        <v>1</v>
      </c>
      <c r="L276" s="165">
        <f>IF(C276="","",COUNTIFS(Başvuru!$C:$C,C276,Başvuru!$L:$L,"KAEK",Başvuru!$A:$A,"&lt;&gt;"&amp;"",Başvuru!$F:$F,"&lt;&gt;"&amp;""))</f>
        <v>0</v>
      </c>
      <c r="M276" s="166">
        <f>IF(C276="","",COUNTIFS(Başvuru!$C:$C,C276,Başvuru!$L:$L,"GÖRÜŞ",Başvuru!$A:$A,"&lt;&gt;"&amp;"",Başvuru!$F:$F,"&lt;&gt;"&amp;""))</f>
        <v>0</v>
      </c>
      <c r="N276" s="167">
        <f>IF(C276="","",COUNTIFS(Başvuru!$C:$C,C276,Başvuru!$L:$L,"RET",Başvuru!$A:$A,"&lt;&gt;"&amp;"",Başvuru!$F:$F,"&lt;&gt;"&amp;""))</f>
        <v>0</v>
      </c>
      <c r="O276" s="168">
        <f>IF(C276="","",COUNTIFS(Başvuru!$C:$C,C276,Başvuru!$L:$L,"KAPSAM DIŞI",Başvuru!$A:$A,"&lt;&gt;"&amp;"",Başvuru!$F:$F,"&lt;&gt;"&amp;""))</f>
        <v>0</v>
      </c>
      <c r="P276" s="169">
        <f>IF(C276="","",COUNTIFS(Başvuru!$C:$C,C276,Başvuru!$L:$L,"GERİ ÇEKİLDİ",Başvuru!$A:$A,"&lt;&gt;"&amp;"",Başvuru!$F:$F,"&lt;&gt;"&amp;""))</f>
        <v>0</v>
      </c>
      <c r="Q276" s="170" t="str">
        <f t="array" ref="Q276">IFERROR(INDEX(Başvuru!$C$2:$C$3000, MATCH(0, COUNTIF($Q$5:Q275, Başvuru!$C$2:$C$3000) + IF(Başvuru!$C$2:$C$3000="",1,0), 0)), "")</f>
        <v>Doç. Dr. Melis PEHLİVANTÜRK KIZILKAN</v>
      </c>
      <c r="R276" s="171">
        <f>IF(Q276="","",COUNTIFS(Başvuru!$C:$C,Q276,Başvuru!$A:$A,"&lt;&gt;"&amp;"",Başvuru!$F:$F,"&lt;&gt;"&amp;""))</f>
        <v>3</v>
      </c>
      <c r="S276" s="171">
        <f>IF(R276="","",RANK(R276,$R$6:$R$505,0)+COUNTIF($R$6:R276,R276)-1)</f>
        <v>72</v>
      </c>
    </row>
    <row r="277" spans="2:19" ht="23.25" customHeight="1" x14ac:dyDescent="0.25">
      <c r="B277" s="159">
        <v>272</v>
      </c>
      <c r="C277" s="160" t="str">
        <f>IFERROR(INDEX($Q$6:$Q$505,MATCH(272,$S$6:$S$505,0)),"")</f>
        <v>Prof. Dr. Ülfet Pınar ERKEKOĞLU</v>
      </c>
      <c r="D277" s="161">
        <f>IF(C277="","",COUNTIFS(Başvuru!$C:$C,C277,Başvuru!$A:$A,"&lt;&gt;"&amp;"",Başvuru!$F:$F,"&lt;&gt;"&amp;""))</f>
        <v>1</v>
      </c>
      <c r="E277" s="159" t="str">
        <f>IF(C277="","-",IF(D277&gt;0,TEXT(D277/(COUNTIFS(Başvuru!$A:$A,"&lt;&gt;",Başvuru!$F:$F,"&lt;&gt;")-1)*100,"0.0")&amp;"%","-"))</f>
        <v>00%</v>
      </c>
      <c r="F277" s="162">
        <f>IF(C277="","",COUNTIFS(Başvuru!$C:$C,C277,Başvuru!$G:$G,"Bireysel Araştırma",Başvuru!$A:$A,"&lt;&gt;"&amp;"",Başvuru!$F:$F,"&lt;&gt;"&amp;""))</f>
        <v>1</v>
      </c>
      <c r="G277" s="162">
        <f>IF(C277="","",COUNTIFS(Başvuru!$C:$C,C277,Başvuru!$G:$G,"Uzmanlık Tezi",Başvuru!$A:$A,"&lt;&gt;"&amp;"",Başvuru!$F:$F,"&lt;&gt;"&amp;""))</f>
        <v>0</v>
      </c>
      <c r="H277" s="162">
        <f>IF(C277="","",COUNTIFS(Başvuru!$C:$C,C277,Başvuru!$G:$G,"Doktora Tezi",Başvuru!$A:$A,"&lt;&gt;"&amp;"",Başvuru!$F:$F,"&lt;&gt;"&amp;""))</f>
        <v>0</v>
      </c>
      <c r="I277" s="162">
        <f>IF(C277="","",COUNTIFS(Başvuru!$C:$C,C277,Başvuru!$G:$G,"Yüksek Lisans Tezi",Başvuru!$A:$A,"&lt;&gt;"&amp;"",Başvuru!$F:$F,"&lt;&gt;"&amp;""))</f>
        <v>0</v>
      </c>
      <c r="J277" s="163">
        <f>IF(C277="","",COUNTIFS(Başvuru!$C:$C,C277,Başvuru!$L:$L,"ONAY",Başvuru!$A:$A,"&lt;&gt;"&amp;"",Başvuru!$F:$F,"&lt;&gt;"&amp;""))</f>
        <v>0</v>
      </c>
      <c r="K277" s="164">
        <f>IF(C277="","",COUNTIFS(Başvuru!$C:$C,C277,Başvuru!$L:$L,"DÜZELTME",Başvuru!$A:$A,"&lt;&gt;"&amp;"",Başvuru!$F:$F,"&lt;&gt;"&amp;""))</f>
        <v>0</v>
      </c>
      <c r="L277" s="165">
        <f>IF(C277="","",COUNTIFS(Başvuru!$C:$C,C277,Başvuru!$L:$L,"KAEK",Başvuru!$A:$A,"&lt;&gt;"&amp;"",Başvuru!$F:$F,"&lt;&gt;"&amp;""))</f>
        <v>0</v>
      </c>
      <c r="M277" s="166">
        <f>IF(C277="","",COUNTIFS(Başvuru!$C:$C,C277,Başvuru!$L:$L,"GÖRÜŞ",Başvuru!$A:$A,"&lt;&gt;"&amp;"",Başvuru!$F:$F,"&lt;&gt;"&amp;""))</f>
        <v>1</v>
      </c>
      <c r="N277" s="167">
        <f>IF(C277="","",COUNTIFS(Başvuru!$C:$C,C277,Başvuru!$L:$L,"RET",Başvuru!$A:$A,"&lt;&gt;"&amp;"",Başvuru!$F:$F,"&lt;&gt;"&amp;""))</f>
        <v>0</v>
      </c>
      <c r="O277" s="168">
        <f>IF(C277="","",COUNTIFS(Başvuru!$C:$C,C277,Başvuru!$L:$L,"KAPSAM DIŞI",Başvuru!$A:$A,"&lt;&gt;"&amp;"",Başvuru!$F:$F,"&lt;&gt;"&amp;""))</f>
        <v>0</v>
      </c>
      <c r="P277" s="169">
        <f>IF(C277="","",COUNTIFS(Başvuru!$C:$C,C277,Başvuru!$L:$L,"GERİ ÇEKİLDİ",Başvuru!$A:$A,"&lt;&gt;"&amp;"",Başvuru!$F:$F,"&lt;&gt;"&amp;""))</f>
        <v>0</v>
      </c>
      <c r="Q277" s="170" t="str">
        <f t="array" ref="Q277">IFERROR(INDEX(Başvuru!$C$2:$C$3000, MATCH(0, COUNTIF($Q$5:Q276, Başvuru!$C$2:$C$3000) + IF(Başvuru!$C$2:$C$3000="",1,0), 0)), "")</f>
        <v>Prof. Dr. Banu SANCAK</v>
      </c>
      <c r="R277" s="171">
        <f>IF(Q277="","",COUNTIFS(Başvuru!$C:$C,Q277,Başvuru!$A:$A,"&lt;&gt;"&amp;"",Başvuru!$F:$F,"&lt;&gt;"&amp;""))</f>
        <v>1</v>
      </c>
      <c r="S277" s="171">
        <f>IF(R277="","",RANK(R277,$R$6:$R$505,0)+COUNTIF($R$6:R277,R277)-1)</f>
        <v>282</v>
      </c>
    </row>
    <row r="278" spans="2:19" ht="23.25" customHeight="1" x14ac:dyDescent="0.25">
      <c r="B278" s="159">
        <v>273</v>
      </c>
      <c r="C278" s="160" t="str">
        <f>IFERROR(INDEX($Q$6:$Q$505,MATCH(273,$S$6:$S$505,0)),"")</f>
        <v>Prof. Dr. Ömür ÇAĞLAR</v>
      </c>
      <c r="D278" s="161">
        <f>IF(C278="","",COUNTIFS(Başvuru!$C:$C,C278,Başvuru!$A:$A,"&lt;&gt;"&amp;"",Başvuru!$F:$F,"&lt;&gt;"&amp;""))</f>
        <v>1</v>
      </c>
      <c r="E278" s="159" t="str">
        <f>IF(C278="","-",IF(D278&gt;0,TEXT(D278/(COUNTIFS(Başvuru!$A:$A,"&lt;&gt;",Başvuru!$F:$F,"&lt;&gt;")-1)*100,"0.0")&amp;"%","-"))</f>
        <v>00%</v>
      </c>
      <c r="F278" s="162">
        <f>IF(C278="","",COUNTIFS(Başvuru!$C:$C,C278,Başvuru!$G:$G,"Bireysel Araştırma",Başvuru!$A:$A,"&lt;&gt;"&amp;"",Başvuru!$F:$F,"&lt;&gt;"&amp;""))</f>
        <v>1</v>
      </c>
      <c r="G278" s="162">
        <f>IF(C278="","",COUNTIFS(Başvuru!$C:$C,C278,Başvuru!$G:$G,"Uzmanlık Tezi",Başvuru!$A:$A,"&lt;&gt;"&amp;"",Başvuru!$F:$F,"&lt;&gt;"&amp;""))</f>
        <v>0</v>
      </c>
      <c r="H278" s="162">
        <f>IF(C278="","",COUNTIFS(Başvuru!$C:$C,C278,Başvuru!$G:$G,"Doktora Tezi",Başvuru!$A:$A,"&lt;&gt;"&amp;"",Başvuru!$F:$F,"&lt;&gt;"&amp;""))</f>
        <v>0</v>
      </c>
      <c r="I278" s="162">
        <f>IF(C278="","",COUNTIFS(Başvuru!$C:$C,C278,Başvuru!$G:$G,"Yüksek Lisans Tezi",Başvuru!$A:$A,"&lt;&gt;"&amp;"",Başvuru!$F:$F,"&lt;&gt;"&amp;""))</f>
        <v>0</v>
      </c>
      <c r="J278" s="163">
        <f>IF(C278="","",COUNTIFS(Başvuru!$C:$C,C278,Başvuru!$L:$L,"ONAY",Başvuru!$A:$A,"&lt;&gt;"&amp;"",Başvuru!$F:$F,"&lt;&gt;"&amp;""))</f>
        <v>1</v>
      </c>
      <c r="K278" s="164">
        <f>IF(C278="","",COUNTIFS(Başvuru!$C:$C,C278,Başvuru!$L:$L,"DÜZELTME",Başvuru!$A:$A,"&lt;&gt;"&amp;"",Başvuru!$F:$F,"&lt;&gt;"&amp;""))</f>
        <v>0</v>
      </c>
      <c r="L278" s="165">
        <f>IF(C278="","",COUNTIFS(Başvuru!$C:$C,C278,Başvuru!$L:$L,"KAEK",Başvuru!$A:$A,"&lt;&gt;"&amp;"",Başvuru!$F:$F,"&lt;&gt;"&amp;""))</f>
        <v>0</v>
      </c>
      <c r="M278" s="166">
        <f>IF(C278="","",COUNTIFS(Başvuru!$C:$C,C278,Başvuru!$L:$L,"GÖRÜŞ",Başvuru!$A:$A,"&lt;&gt;"&amp;"",Başvuru!$F:$F,"&lt;&gt;"&amp;""))</f>
        <v>0</v>
      </c>
      <c r="N278" s="167">
        <f>IF(C278="","",COUNTIFS(Başvuru!$C:$C,C278,Başvuru!$L:$L,"RET",Başvuru!$A:$A,"&lt;&gt;"&amp;"",Başvuru!$F:$F,"&lt;&gt;"&amp;""))</f>
        <v>0</v>
      </c>
      <c r="O278" s="168">
        <f>IF(C278="","",COUNTIFS(Başvuru!$C:$C,C278,Başvuru!$L:$L,"KAPSAM DIŞI",Başvuru!$A:$A,"&lt;&gt;"&amp;"",Başvuru!$F:$F,"&lt;&gt;"&amp;""))</f>
        <v>0</v>
      </c>
      <c r="P278" s="169">
        <f>IF(C278="","",COUNTIFS(Başvuru!$C:$C,C278,Başvuru!$L:$L,"GERİ ÇEKİLDİ",Başvuru!$A:$A,"&lt;&gt;"&amp;"",Başvuru!$F:$F,"&lt;&gt;"&amp;""))</f>
        <v>0</v>
      </c>
      <c r="Q278" s="170" t="str">
        <f t="array" ref="Q278">IFERROR(INDEX(Başvuru!$C$2:$C$3000, MATCH(0, COUNTIF($Q$5:Q277, Başvuru!$C$2:$C$3000) + IF(Başvuru!$C$2:$C$3000="",1,0), 0)), "")</f>
        <v>Doç. Dr. Eylem TOPBAŞ</v>
      </c>
      <c r="R278" s="171">
        <f>IF(Q278="","",COUNTIFS(Başvuru!$C:$C,Q278,Başvuru!$A:$A,"&lt;&gt;"&amp;"",Başvuru!$F:$F,"&lt;&gt;"&amp;""))</f>
        <v>1</v>
      </c>
      <c r="S278" s="171">
        <f>IF(R278="","",RANK(R278,$R$6:$R$505,0)+COUNTIF($R$6:R278,R278)-1)</f>
        <v>283</v>
      </c>
    </row>
    <row r="279" spans="2:19" ht="23.25" customHeight="1" x14ac:dyDescent="0.25">
      <c r="B279" s="159">
        <v>274</v>
      </c>
      <c r="C279" s="160" t="str">
        <f>IFERROR(INDEX($Q$6:$Q$505,MATCH(274,$S$6:$S$505,0)),"")</f>
        <v>Doç. Dr. Songül ÇINAROĞLU</v>
      </c>
      <c r="D279" s="161">
        <f>IF(C279="","",COUNTIFS(Başvuru!$C:$C,C279,Başvuru!$A:$A,"&lt;&gt;"&amp;"",Başvuru!$F:$F,"&lt;&gt;"&amp;""))</f>
        <v>1</v>
      </c>
      <c r="E279" s="159" t="str">
        <f>IF(C279="","-",IF(D279&gt;0,TEXT(D279/(COUNTIFS(Başvuru!$A:$A,"&lt;&gt;",Başvuru!$F:$F,"&lt;&gt;")-1)*100,"0.0")&amp;"%","-"))</f>
        <v>00%</v>
      </c>
      <c r="F279" s="162">
        <f>IF(C279="","",COUNTIFS(Başvuru!$C:$C,C279,Başvuru!$G:$G,"Bireysel Araştırma",Başvuru!$A:$A,"&lt;&gt;"&amp;"",Başvuru!$F:$F,"&lt;&gt;"&amp;""))</f>
        <v>0</v>
      </c>
      <c r="G279" s="162">
        <f>IF(C279="","",COUNTIFS(Başvuru!$C:$C,C279,Başvuru!$G:$G,"Uzmanlık Tezi",Başvuru!$A:$A,"&lt;&gt;"&amp;"",Başvuru!$F:$F,"&lt;&gt;"&amp;""))</f>
        <v>0</v>
      </c>
      <c r="H279" s="162">
        <f>IF(C279="","",COUNTIFS(Başvuru!$C:$C,C279,Başvuru!$G:$G,"Doktora Tezi",Başvuru!$A:$A,"&lt;&gt;"&amp;"",Başvuru!$F:$F,"&lt;&gt;"&amp;""))</f>
        <v>1</v>
      </c>
      <c r="I279" s="162">
        <f>IF(C279="","",COUNTIFS(Başvuru!$C:$C,C279,Başvuru!$G:$G,"Yüksek Lisans Tezi",Başvuru!$A:$A,"&lt;&gt;"&amp;"",Başvuru!$F:$F,"&lt;&gt;"&amp;""))</f>
        <v>0</v>
      </c>
      <c r="J279" s="163">
        <f>IF(C279="","",COUNTIFS(Başvuru!$C:$C,C279,Başvuru!$L:$L,"ONAY",Başvuru!$A:$A,"&lt;&gt;"&amp;"",Başvuru!$F:$F,"&lt;&gt;"&amp;""))</f>
        <v>1</v>
      </c>
      <c r="K279" s="164">
        <f>IF(C279="","",COUNTIFS(Başvuru!$C:$C,C279,Başvuru!$L:$L,"DÜZELTME",Başvuru!$A:$A,"&lt;&gt;"&amp;"",Başvuru!$F:$F,"&lt;&gt;"&amp;""))</f>
        <v>0</v>
      </c>
      <c r="L279" s="165">
        <f>IF(C279="","",COUNTIFS(Başvuru!$C:$C,C279,Başvuru!$L:$L,"KAEK",Başvuru!$A:$A,"&lt;&gt;"&amp;"",Başvuru!$F:$F,"&lt;&gt;"&amp;""))</f>
        <v>0</v>
      </c>
      <c r="M279" s="166">
        <f>IF(C279="","",COUNTIFS(Başvuru!$C:$C,C279,Başvuru!$L:$L,"GÖRÜŞ",Başvuru!$A:$A,"&lt;&gt;"&amp;"",Başvuru!$F:$F,"&lt;&gt;"&amp;""))</f>
        <v>0</v>
      </c>
      <c r="N279" s="167">
        <f>IF(C279="","",COUNTIFS(Başvuru!$C:$C,C279,Başvuru!$L:$L,"RET",Başvuru!$A:$A,"&lt;&gt;"&amp;"",Başvuru!$F:$F,"&lt;&gt;"&amp;""))</f>
        <v>0</v>
      </c>
      <c r="O279" s="168">
        <f>IF(C279="","",COUNTIFS(Başvuru!$C:$C,C279,Başvuru!$L:$L,"KAPSAM DIŞI",Başvuru!$A:$A,"&lt;&gt;"&amp;"",Başvuru!$F:$F,"&lt;&gt;"&amp;""))</f>
        <v>0</v>
      </c>
      <c r="P279" s="169">
        <f>IF(C279="","",COUNTIFS(Başvuru!$C:$C,C279,Başvuru!$L:$L,"GERİ ÇEKİLDİ",Başvuru!$A:$A,"&lt;&gt;"&amp;"",Başvuru!$F:$F,"&lt;&gt;"&amp;""))</f>
        <v>0</v>
      </c>
      <c r="Q279" s="170" t="str">
        <f t="array" ref="Q279">IFERROR(INDEX(Başvuru!$C$2:$C$3000, MATCH(0, COUNTIF($Q$5:Q278, Başvuru!$C$2:$C$3000) + IF(Başvuru!$C$2:$C$3000="",1,0), 0)), "")</f>
        <v>Dr. Öğr. Üyesi Cenk Ahmet AKCAN</v>
      </c>
      <c r="R279" s="171">
        <f>IF(Q279="","",COUNTIFS(Başvuru!$C:$C,Q279,Başvuru!$A:$A,"&lt;&gt;"&amp;"",Başvuru!$F:$F,"&lt;&gt;"&amp;""))</f>
        <v>1</v>
      </c>
      <c r="S279" s="171">
        <f>IF(R279="","",RANK(R279,$R$6:$R$505,0)+COUNTIF($R$6:R279,R279)-1)</f>
        <v>284</v>
      </c>
    </row>
    <row r="280" spans="2:19" ht="23.25" customHeight="1" x14ac:dyDescent="0.25">
      <c r="B280" s="159">
        <v>275</v>
      </c>
      <c r="C280" s="160" t="str">
        <f>IFERROR(INDEX($Q$6:$Q$505,MATCH(275,$S$6:$S$505,0)),"")</f>
        <v>Dr. Öğr. Üyesi Yağmur Deniz YILDIRIM</v>
      </c>
      <c r="D280" s="161">
        <f>IF(C280="","",COUNTIFS(Başvuru!$C:$C,C280,Başvuru!$A:$A,"&lt;&gt;"&amp;"",Başvuru!$F:$F,"&lt;&gt;"&amp;""))</f>
        <v>1</v>
      </c>
      <c r="E280" s="159" t="str">
        <f>IF(C280="","-",IF(D280&gt;0,TEXT(D280/(COUNTIFS(Başvuru!$A:$A,"&lt;&gt;",Başvuru!$F:$F,"&lt;&gt;")-1)*100,"0.0")&amp;"%","-"))</f>
        <v>00%</v>
      </c>
      <c r="F280" s="162">
        <f>IF(C280="","",COUNTIFS(Başvuru!$C:$C,C280,Başvuru!$G:$G,"Bireysel Araştırma",Başvuru!$A:$A,"&lt;&gt;"&amp;"",Başvuru!$F:$F,"&lt;&gt;"&amp;""))</f>
        <v>0</v>
      </c>
      <c r="G280" s="162">
        <f>IF(C280="","",COUNTIFS(Başvuru!$C:$C,C280,Başvuru!$G:$G,"Uzmanlık Tezi",Başvuru!$A:$A,"&lt;&gt;"&amp;"",Başvuru!$F:$F,"&lt;&gt;"&amp;""))</f>
        <v>1</v>
      </c>
      <c r="H280" s="162">
        <f>IF(C280="","",COUNTIFS(Başvuru!$C:$C,C280,Başvuru!$G:$G,"Doktora Tezi",Başvuru!$A:$A,"&lt;&gt;"&amp;"",Başvuru!$F:$F,"&lt;&gt;"&amp;""))</f>
        <v>0</v>
      </c>
      <c r="I280" s="162">
        <f>IF(C280="","",COUNTIFS(Başvuru!$C:$C,C280,Başvuru!$G:$G,"Yüksek Lisans Tezi",Başvuru!$A:$A,"&lt;&gt;"&amp;"",Başvuru!$F:$F,"&lt;&gt;"&amp;""))</f>
        <v>0</v>
      </c>
      <c r="J280" s="163">
        <f>IF(C280="","",COUNTIFS(Başvuru!$C:$C,C280,Başvuru!$L:$L,"ONAY",Başvuru!$A:$A,"&lt;&gt;"&amp;"",Başvuru!$F:$F,"&lt;&gt;"&amp;""))</f>
        <v>0</v>
      </c>
      <c r="K280" s="164">
        <f>IF(C280="","",COUNTIFS(Başvuru!$C:$C,C280,Başvuru!$L:$L,"DÜZELTME",Başvuru!$A:$A,"&lt;&gt;"&amp;"",Başvuru!$F:$F,"&lt;&gt;"&amp;""))</f>
        <v>1</v>
      </c>
      <c r="L280" s="165">
        <f>IF(C280="","",COUNTIFS(Başvuru!$C:$C,C280,Başvuru!$L:$L,"KAEK",Başvuru!$A:$A,"&lt;&gt;"&amp;"",Başvuru!$F:$F,"&lt;&gt;"&amp;""))</f>
        <v>0</v>
      </c>
      <c r="M280" s="166">
        <f>IF(C280="","",COUNTIFS(Başvuru!$C:$C,C280,Başvuru!$L:$L,"GÖRÜŞ",Başvuru!$A:$A,"&lt;&gt;"&amp;"",Başvuru!$F:$F,"&lt;&gt;"&amp;""))</f>
        <v>0</v>
      </c>
      <c r="N280" s="167">
        <f>IF(C280="","",COUNTIFS(Başvuru!$C:$C,C280,Başvuru!$L:$L,"RET",Başvuru!$A:$A,"&lt;&gt;"&amp;"",Başvuru!$F:$F,"&lt;&gt;"&amp;""))</f>
        <v>0</v>
      </c>
      <c r="O280" s="168">
        <f>IF(C280="","",COUNTIFS(Başvuru!$C:$C,C280,Başvuru!$L:$L,"KAPSAM DIŞI",Başvuru!$A:$A,"&lt;&gt;"&amp;"",Başvuru!$F:$F,"&lt;&gt;"&amp;""))</f>
        <v>0</v>
      </c>
      <c r="P280" s="169">
        <f>IF(C280="","",COUNTIFS(Başvuru!$C:$C,C280,Başvuru!$L:$L,"GERİ ÇEKİLDİ",Başvuru!$A:$A,"&lt;&gt;"&amp;"",Başvuru!$F:$F,"&lt;&gt;"&amp;""))</f>
        <v>0</v>
      </c>
      <c r="Q280" s="170" t="str">
        <f t="array" ref="Q280">IFERROR(INDEX(Başvuru!$C$2:$C$3000, MATCH(0, COUNTIF($Q$5:Q279, Başvuru!$C$2:$C$3000) + IF(Başvuru!$C$2:$C$3000="",1,0), 0)), "")</f>
        <v>Prof. Dr. Hande TAYLAN ŞEKEROĞLU</v>
      </c>
      <c r="R280" s="171">
        <f>IF(Q280="","",COUNTIFS(Başvuru!$C:$C,Q280,Başvuru!$A:$A,"&lt;&gt;"&amp;"",Başvuru!$F:$F,"&lt;&gt;"&amp;""))</f>
        <v>1</v>
      </c>
      <c r="S280" s="171">
        <f>IF(R280="","",RANK(R280,$R$6:$R$505,0)+COUNTIF($R$6:R280,R280)-1)</f>
        <v>285</v>
      </c>
    </row>
    <row r="281" spans="2:19" ht="23.25" customHeight="1" x14ac:dyDescent="0.25">
      <c r="B281" s="159">
        <v>276</v>
      </c>
      <c r="C281" s="160" t="str">
        <f>IFERROR(INDEX($Q$6:$Q$505,MATCH(276,$S$6:$S$505,0)),"")</f>
        <v>Prof. Dr. Bülent ATİLLA</v>
      </c>
      <c r="D281" s="161">
        <f>IF(C281="","",COUNTIFS(Başvuru!$C:$C,C281,Başvuru!$A:$A,"&lt;&gt;"&amp;"",Başvuru!$F:$F,"&lt;&gt;"&amp;""))</f>
        <v>1</v>
      </c>
      <c r="E281" s="159" t="str">
        <f>IF(C281="","-",IF(D281&gt;0,TEXT(D281/(COUNTIFS(Başvuru!$A:$A,"&lt;&gt;",Başvuru!$F:$F,"&lt;&gt;")-1)*100,"0.0")&amp;"%","-"))</f>
        <v>00%</v>
      </c>
      <c r="F281" s="162">
        <f>IF(C281="","",COUNTIFS(Başvuru!$C:$C,C281,Başvuru!$G:$G,"Bireysel Araştırma",Başvuru!$A:$A,"&lt;&gt;"&amp;"",Başvuru!$F:$F,"&lt;&gt;"&amp;""))</f>
        <v>1</v>
      </c>
      <c r="G281" s="162">
        <f>IF(C281="","",COUNTIFS(Başvuru!$C:$C,C281,Başvuru!$G:$G,"Uzmanlık Tezi",Başvuru!$A:$A,"&lt;&gt;"&amp;"",Başvuru!$F:$F,"&lt;&gt;"&amp;""))</f>
        <v>0</v>
      </c>
      <c r="H281" s="162">
        <f>IF(C281="","",COUNTIFS(Başvuru!$C:$C,C281,Başvuru!$G:$G,"Doktora Tezi",Başvuru!$A:$A,"&lt;&gt;"&amp;"",Başvuru!$F:$F,"&lt;&gt;"&amp;""))</f>
        <v>0</v>
      </c>
      <c r="I281" s="162">
        <f>IF(C281="","",COUNTIFS(Başvuru!$C:$C,C281,Başvuru!$G:$G,"Yüksek Lisans Tezi",Başvuru!$A:$A,"&lt;&gt;"&amp;"",Başvuru!$F:$F,"&lt;&gt;"&amp;""))</f>
        <v>0</v>
      </c>
      <c r="J281" s="163">
        <f>IF(C281="","",COUNTIFS(Başvuru!$C:$C,C281,Başvuru!$L:$L,"ONAY",Başvuru!$A:$A,"&lt;&gt;"&amp;"",Başvuru!$F:$F,"&lt;&gt;"&amp;""))</f>
        <v>0</v>
      </c>
      <c r="K281" s="164">
        <f>IF(C281="","",COUNTIFS(Başvuru!$C:$C,C281,Başvuru!$L:$L,"DÜZELTME",Başvuru!$A:$A,"&lt;&gt;"&amp;"",Başvuru!$F:$F,"&lt;&gt;"&amp;""))</f>
        <v>1</v>
      </c>
      <c r="L281" s="165">
        <f>IF(C281="","",COUNTIFS(Başvuru!$C:$C,C281,Başvuru!$L:$L,"KAEK",Başvuru!$A:$A,"&lt;&gt;"&amp;"",Başvuru!$F:$F,"&lt;&gt;"&amp;""))</f>
        <v>0</v>
      </c>
      <c r="M281" s="166">
        <f>IF(C281="","",COUNTIFS(Başvuru!$C:$C,C281,Başvuru!$L:$L,"GÖRÜŞ",Başvuru!$A:$A,"&lt;&gt;"&amp;"",Başvuru!$F:$F,"&lt;&gt;"&amp;""))</f>
        <v>0</v>
      </c>
      <c r="N281" s="167">
        <f>IF(C281="","",COUNTIFS(Başvuru!$C:$C,C281,Başvuru!$L:$L,"RET",Başvuru!$A:$A,"&lt;&gt;"&amp;"",Başvuru!$F:$F,"&lt;&gt;"&amp;""))</f>
        <v>0</v>
      </c>
      <c r="O281" s="168">
        <f>IF(C281="","",COUNTIFS(Başvuru!$C:$C,C281,Başvuru!$L:$L,"KAPSAM DIŞI",Başvuru!$A:$A,"&lt;&gt;"&amp;"",Başvuru!$F:$F,"&lt;&gt;"&amp;""))</f>
        <v>0</v>
      </c>
      <c r="P281" s="169">
        <f>IF(C281="","",COUNTIFS(Başvuru!$C:$C,C281,Başvuru!$L:$L,"GERİ ÇEKİLDİ",Başvuru!$A:$A,"&lt;&gt;"&amp;"",Başvuru!$F:$F,"&lt;&gt;"&amp;""))</f>
        <v>0</v>
      </c>
      <c r="Q281" s="170" t="str">
        <f t="array" ref="Q281">IFERROR(INDEX(Başvuru!$C$2:$C$3000, MATCH(0, COUNTIF($Q$5:Q280, Başvuru!$C$2:$C$3000) + IF(Başvuru!$C$2:$C$3000="",1,0), 0)), "")</f>
        <v>Dr. Öğr. Üyesi Bekir ERDEVE</v>
      </c>
      <c r="R281" s="171">
        <f>IF(Q281="","",COUNTIFS(Başvuru!$C:$C,Q281,Başvuru!$A:$A,"&lt;&gt;"&amp;"",Başvuru!$F:$F,"&lt;&gt;"&amp;""))</f>
        <v>1</v>
      </c>
      <c r="S281" s="171">
        <f>IF(R281="","",RANK(R281,$R$6:$R$505,0)+COUNTIF($R$6:R281,R281)-1)</f>
        <v>286</v>
      </c>
    </row>
    <row r="282" spans="2:19" ht="23.25" customHeight="1" x14ac:dyDescent="0.25">
      <c r="B282" s="159">
        <v>277</v>
      </c>
      <c r="C282" s="160" t="str">
        <f>IFERROR(INDEX($Q$6:$Q$505,MATCH(277,$S$6:$S$505,0)),"")</f>
        <v>Dr. Öğr. Üyesi Nur Berna ÇELİK ERTAŞ</v>
      </c>
      <c r="D282" s="161">
        <f>IF(C282="","",COUNTIFS(Başvuru!$C:$C,C282,Başvuru!$A:$A,"&lt;&gt;"&amp;"",Başvuru!$F:$F,"&lt;&gt;"&amp;""))</f>
        <v>1</v>
      </c>
      <c r="E282" s="159" t="str">
        <f>IF(C282="","-",IF(D282&gt;0,TEXT(D282/(COUNTIFS(Başvuru!$A:$A,"&lt;&gt;",Başvuru!$F:$F,"&lt;&gt;")-1)*100,"0.0")&amp;"%","-"))</f>
        <v>00%</v>
      </c>
      <c r="F282" s="162">
        <f>IF(C282="","",COUNTIFS(Başvuru!$C:$C,C282,Başvuru!$G:$G,"Bireysel Araştırma",Başvuru!$A:$A,"&lt;&gt;"&amp;"",Başvuru!$F:$F,"&lt;&gt;"&amp;""))</f>
        <v>1</v>
      </c>
      <c r="G282" s="162">
        <f>IF(C282="","",COUNTIFS(Başvuru!$C:$C,C282,Başvuru!$G:$G,"Uzmanlık Tezi",Başvuru!$A:$A,"&lt;&gt;"&amp;"",Başvuru!$F:$F,"&lt;&gt;"&amp;""))</f>
        <v>0</v>
      </c>
      <c r="H282" s="162">
        <f>IF(C282="","",COUNTIFS(Başvuru!$C:$C,C282,Başvuru!$G:$G,"Doktora Tezi",Başvuru!$A:$A,"&lt;&gt;"&amp;"",Başvuru!$F:$F,"&lt;&gt;"&amp;""))</f>
        <v>0</v>
      </c>
      <c r="I282" s="162">
        <f>IF(C282="","",COUNTIFS(Başvuru!$C:$C,C282,Başvuru!$G:$G,"Yüksek Lisans Tezi",Başvuru!$A:$A,"&lt;&gt;"&amp;"",Başvuru!$F:$F,"&lt;&gt;"&amp;""))</f>
        <v>0</v>
      </c>
      <c r="J282" s="163">
        <f>IF(C282="","",COUNTIFS(Başvuru!$C:$C,C282,Başvuru!$L:$L,"ONAY",Başvuru!$A:$A,"&lt;&gt;"&amp;"",Başvuru!$F:$F,"&lt;&gt;"&amp;""))</f>
        <v>1</v>
      </c>
      <c r="K282" s="164">
        <f>IF(C282="","",COUNTIFS(Başvuru!$C:$C,C282,Başvuru!$L:$L,"DÜZELTME",Başvuru!$A:$A,"&lt;&gt;"&amp;"",Başvuru!$F:$F,"&lt;&gt;"&amp;""))</f>
        <v>0</v>
      </c>
      <c r="L282" s="165">
        <f>IF(C282="","",COUNTIFS(Başvuru!$C:$C,C282,Başvuru!$L:$L,"KAEK",Başvuru!$A:$A,"&lt;&gt;"&amp;"",Başvuru!$F:$F,"&lt;&gt;"&amp;""))</f>
        <v>0</v>
      </c>
      <c r="M282" s="166">
        <f>IF(C282="","",COUNTIFS(Başvuru!$C:$C,C282,Başvuru!$L:$L,"GÖRÜŞ",Başvuru!$A:$A,"&lt;&gt;"&amp;"",Başvuru!$F:$F,"&lt;&gt;"&amp;""))</f>
        <v>0</v>
      </c>
      <c r="N282" s="167">
        <f>IF(C282="","",COUNTIFS(Başvuru!$C:$C,C282,Başvuru!$L:$L,"RET",Başvuru!$A:$A,"&lt;&gt;"&amp;"",Başvuru!$F:$F,"&lt;&gt;"&amp;""))</f>
        <v>0</v>
      </c>
      <c r="O282" s="168">
        <f>IF(C282="","",COUNTIFS(Başvuru!$C:$C,C282,Başvuru!$L:$L,"KAPSAM DIŞI",Başvuru!$A:$A,"&lt;&gt;"&amp;"",Başvuru!$F:$F,"&lt;&gt;"&amp;""))</f>
        <v>0</v>
      </c>
      <c r="P282" s="169">
        <f>IF(C282="","",COUNTIFS(Başvuru!$C:$C,C282,Başvuru!$L:$L,"GERİ ÇEKİLDİ",Başvuru!$A:$A,"&lt;&gt;"&amp;"",Başvuru!$F:$F,"&lt;&gt;"&amp;""))</f>
        <v>0</v>
      </c>
      <c r="Q282" s="170" t="str">
        <f t="array" ref="Q282">IFERROR(INDEX(Başvuru!$C$2:$C$3000, MATCH(0, COUNTIF($Q$5:Q281, Başvuru!$C$2:$C$3000) + IF(Başvuru!$C$2:$C$3000="",1,0), 0)), "")</f>
        <v>Doç. Dr. Şahin HANALİOĞLU</v>
      </c>
      <c r="R282" s="171">
        <f>IF(Q282="","",COUNTIFS(Başvuru!$C:$C,Q282,Başvuru!$A:$A,"&lt;&gt;"&amp;"",Başvuru!$F:$F,"&lt;&gt;"&amp;""))</f>
        <v>2</v>
      </c>
      <c r="S282" s="171">
        <f>IF(R282="","",RANK(R282,$R$6:$R$505,0)+COUNTIF($R$6:R282,R282)-1)</f>
        <v>141</v>
      </c>
    </row>
    <row r="283" spans="2:19" ht="23.25" customHeight="1" x14ac:dyDescent="0.25">
      <c r="B283" s="159">
        <v>278</v>
      </c>
      <c r="C283" s="160" t="str">
        <f>IFERROR(INDEX($Q$6:$Q$505,MATCH(278,$S$6:$S$505,0)),"")</f>
        <v>Dr. Öğr. Üyesi Aslı ALKAN</v>
      </c>
      <c r="D283" s="161">
        <f>IF(C283="","",COUNTIFS(Başvuru!$C:$C,C283,Başvuru!$A:$A,"&lt;&gt;"&amp;"",Başvuru!$F:$F,"&lt;&gt;"&amp;""))</f>
        <v>1</v>
      </c>
      <c r="E283" s="159" t="str">
        <f>IF(C283="","-",IF(D283&gt;0,TEXT(D283/(COUNTIFS(Başvuru!$A:$A,"&lt;&gt;",Başvuru!$F:$F,"&lt;&gt;")-1)*100,"0.0")&amp;"%","-"))</f>
        <v>00%</v>
      </c>
      <c r="F283" s="162">
        <f>IF(C283="","",COUNTIFS(Başvuru!$C:$C,C283,Başvuru!$G:$G,"Bireysel Araştırma",Başvuru!$A:$A,"&lt;&gt;"&amp;"",Başvuru!$F:$F,"&lt;&gt;"&amp;""))</f>
        <v>0</v>
      </c>
      <c r="G283" s="162">
        <f>IF(C283="","",COUNTIFS(Başvuru!$C:$C,C283,Başvuru!$G:$G,"Uzmanlık Tezi",Başvuru!$A:$A,"&lt;&gt;"&amp;"",Başvuru!$F:$F,"&lt;&gt;"&amp;""))</f>
        <v>1</v>
      </c>
      <c r="H283" s="162">
        <f>IF(C283="","",COUNTIFS(Başvuru!$C:$C,C283,Başvuru!$G:$G,"Doktora Tezi",Başvuru!$A:$A,"&lt;&gt;"&amp;"",Başvuru!$F:$F,"&lt;&gt;"&amp;""))</f>
        <v>0</v>
      </c>
      <c r="I283" s="162">
        <f>IF(C283="","",COUNTIFS(Başvuru!$C:$C,C283,Başvuru!$G:$G,"Yüksek Lisans Tezi",Başvuru!$A:$A,"&lt;&gt;"&amp;"",Başvuru!$F:$F,"&lt;&gt;"&amp;""))</f>
        <v>0</v>
      </c>
      <c r="J283" s="163">
        <f>IF(C283="","",COUNTIFS(Başvuru!$C:$C,C283,Başvuru!$L:$L,"ONAY",Başvuru!$A:$A,"&lt;&gt;"&amp;"",Başvuru!$F:$F,"&lt;&gt;"&amp;""))</f>
        <v>1</v>
      </c>
      <c r="K283" s="164">
        <f>IF(C283="","",COUNTIFS(Başvuru!$C:$C,C283,Başvuru!$L:$L,"DÜZELTME",Başvuru!$A:$A,"&lt;&gt;"&amp;"",Başvuru!$F:$F,"&lt;&gt;"&amp;""))</f>
        <v>0</v>
      </c>
      <c r="L283" s="165">
        <f>IF(C283="","",COUNTIFS(Başvuru!$C:$C,C283,Başvuru!$L:$L,"KAEK",Başvuru!$A:$A,"&lt;&gt;"&amp;"",Başvuru!$F:$F,"&lt;&gt;"&amp;""))</f>
        <v>0</v>
      </c>
      <c r="M283" s="166">
        <f>IF(C283="","",COUNTIFS(Başvuru!$C:$C,C283,Başvuru!$L:$L,"GÖRÜŞ",Başvuru!$A:$A,"&lt;&gt;"&amp;"",Başvuru!$F:$F,"&lt;&gt;"&amp;""))</f>
        <v>0</v>
      </c>
      <c r="N283" s="167">
        <f>IF(C283="","",COUNTIFS(Başvuru!$C:$C,C283,Başvuru!$L:$L,"RET",Başvuru!$A:$A,"&lt;&gt;"&amp;"",Başvuru!$F:$F,"&lt;&gt;"&amp;""))</f>
        <v>0</v>
      </c>
      <c r="O283" s="168">
        <f>IF(C283="","",COUNTIFS(Başvuru!$C:$C,C283,Başvuru!$L:$L,"KAPSAM DIŞI",Başvuru!$A:$A,"&lt;&gt;"&amp;"",Başvuru!$F:$F,"&lt;&gt;"&amp;""))</f>
        <v>0</v>
      </c>
      <c r="P283" s="169">
        <f>IF(C283="","",COUNTIFS(Başvuru!$C:$C,C283,Başvuru!$L:$L,"GERİ ÇEKİLDİ",Başvuru!$A:$A,"&lt;&gt;"&amp;"",Başvuru!$F:$F,"&lt;&gt;"&amp;""))</f>
        <v>0</v>
      </c>
      <c r="Q283" s="170" t="str">
        <f t="array" ref="Q283">IFERROR(INDEX(Başvuru!$C$2:$C$3000, MATCH(0, COUNTIF($Q$5:Q282, Başvuru!$C$2:$C$3000) + IF(Başvuru!$C$2:$C$3000="",1,0), 0)), "")</f>
        <v>Prof. Dr. Mustafa BERKER</v>
      </c>
      <c r="R283" s="171">
        <f>IF(Q283="","",COUNTIFS(Başvuru!$C:$C,Q283,Başvuru!$A:$A,"&lt;&gt;"&amp;"",Başvuru!$F:$F,"&lt;&gt;"&amp;""))</f>
        <v>1</v>
      </c>
      <c r="S283" s="171">
        <f>IF(R283="","",RANK(R283,$R$6:$R$505,0)+COUNTIF($R$6:R283,R283)-1)</f>
        <v>287</v>
      </c>
    </row>
    <row r="284" spans="2:19" ht="23.25" customHeight="1" x14ac:dyDescent="0.25">
      <c r="B284" s="159">
        <v>279</v>
      </c>
      <c r="C284" s="160" t="str">
        <f>IFERROR(INDEX($Q$6:$Q$505,MATCH(279,$S$6:$S$505,0)),"")</f>
        <v>Prof. Dr. Gülen Eda ÜTİNE</v>
      </c>
      <c r="D284" s="161">
        <f>IF(C284="","",COUNTIFS(Başvuru!$C:$C,C284,Başvuru!$A:$A,"&lt;&gt;"&amp;"",Başvuru!$F:$F,"&lt;&gt;"&amp;""))</f>
        <v>1</v>
      </c>
      <c r="E284" s="159" t="str">
        <f>IF(C284="","-",IF(D284&gt;0,TEXT(D284/(COUNTIFS(Başvuru!$A:$A,"&lt;&gt;",Başvuru!$F:$F,"&lt;&gt;")-1)*100,"0.0")&amp;"%","-"))</f>
        <v>00%</v>
      </c>
      <c r="F284" s="162">
        <f>IF(C284="","",COUNTIFS(Başvuru!$C:$C,C284,Başvuru!$G:$G,"Bireysel Araştırma",Başvuru!$A:$A,"&lt;&gt;"&amp;"",Başvuru!$F:$F,"&lt;&gt;"&amp;""))</f>
        <v>0</v>
      </c>
      <c r="G284" s="162">
        <f>IF(C284="","",COUNTIFS(Başvuru!$C:$C,C284,Başvuru!$G:$G,"Uzmanlık Tezi",Başvuru!$A:$A,"&lt;&gt;"&amp;"",Başvuru!$F:$F,"&lt;&gt;"&amp;""))</f>
        <v>1</v>
      </c>
      <c r="H284" s="162">
        <f>IF(C284="","",COUNTIFS(Başvuru!$C:$C,C284,Başvuru!$G:$G,"Doktora Tezi",Başvuru!$A:$A,"&lt;&gt;"&amp;"",Başvuru!$F:$F,"&lt;&gt;"&amp;""))</f>
        <v>0</v>
      </c>
      <c r="I284" s="162">
        <f>IF(C284="","",COUNTIFS(Başvuru!$C:$C,C284,Başvuru!$G:$G,"Yüksek Lisans Tezi",Başvuru!$A:$A,"&lt;&gt;"&amp;"",Başvuru!$F:$F,"&lt;&gt;"&amp;""))</f>
        <v>0</v>
      </c>
      <c r="J284" s="163">
        <f>IF(C284="","",COUNTIFS(Başvuru!$C:$C,C284,Başvuru!$L:$L,"ONAY",Başvuru!$A:$A,"&lt;&gt;"&amp;"",Başvuru!$F:$F,"&lt;&gt;"&amp;""))</f>
        <v>1</v>
      </c>
      <c r="K284" s="164">
        <f>IF(C284="","",COUNTIFS(Başvuru!$C:$C,C284,Başvuru!$L:$L,"DÜZELTME",Başvuru!$A:$A,"&lt;&gt;"&amp;"",Başvuru!$F:$F,"&lt;&gt;"&amp;""))</f>
        <v>0</v>
      </c>
      <c r="L284" s="165">
        <f>IF(C284="","",COUNTIFS(Başvuru!$C:$C,C284,Başvuru!$L:$L,"KAEK",Başvuru!$A:$A,"&lt;&gt;"&amp;"",Başvuru!$F:$F,"&lt;&gt;"&amp;""))</f>
        <v>0</v>
      </c>
      <c r="M284" s="166">
        <f>IF(C284="","",COUNTIFS(Başvuru!$C:$C,C284,Başvuru!$L:$L,"GÖRÜŞ",Başvuru!$A:$A,"&lt;&gt;"&amp;"",Başvuru!$F:$F,"&lt;&gt;"&amp;""))</f>
        <v>0</v>
      </c>
      <c r="N284" s="167">
        <f>IF(C284="","",COUNTIFS(Başvuru!$C:$C,C284,Başvuru!$L:$L,"RET",Başvuru!$A:$A,"&lt;&gt;"&amp;"",Başvuru!$F:$F,"&lt;&gt;"&amp;""))</f>
        <v>0</v>
      </c>
      <c r="O284" s="168">
        <f>IF(C284="","",COUNTIFS(Başvuru!$C:$C,C284,Başvuru!$L:$L,"KAPSAM DIŞI",Başvuru!$A:$A,"&lt;&gt;"&amp;"",Başvuru!$F:$F,"&lt;&gt;"&amp;""))</f>
        <v>0</v>
      </c>
      <c r="P284" s="169">
        <f>IF(C284="","",COUNTIFS(Başvuru!$C:$C,C284,Başvuru!$L:$L,"GERİ ÇEKİLDİ",Başvuru!$A:$A,"&lt;&gt;"&amp;"",Başvuru!$F:$F,"&lt;&gt;"&amp;""))</f>
        <v>0</v>
      </c>
      <c r="Q284" s="170" t="str">
        <f t="array" ref="Q284">IFERROR(INDEX(Başvuru!$C$2:$C$3000, MATCH(0, COUNTIF($Q$5:Q283, Başvuru!$C$2:$C$3000) + IF(Başvuru!$C$2:$C$3000="",1,0), 0)), "")</f>
        <v>Doç. Dr. Evren SERTALP</v>
      </c>
      <c r="R284" s="171">
        <f>IF(Q284="","",COUNTIFS(Başvuru!$C:$C,Q284,Başvuru!$A:$A,"&lt;&gt;"&amp;"",Başvuru!$F:$F,"&lt;&gt;"&amp;""))</f>
        <v>1</v>
      </c>
      <c r="S284" s="171">
        <f>IF(R284="","",RANK(R284,$R$6:$R$505,0)+COUNTIF($R$6:R284,R284)-1)</f>
        <v>288</v>
      </c>
    </row>
    <row r="285" spans="2:19" ht="23.25" customHeight="1" x14ac:dyDescent="0.25">
      <c r="B285" s="159">
        <v>280</v>
      </c>
      <c r="C285" s="160" t="str">
        <f>IFERROR(INDEX($Q$6:$Q$505,MATCH(280,$S$6:$S$505,0)),"")</f>
        <v>Doç. Dr. Muhammed Bahaddin DURAK</v>
      </c>
      <c r="D285" s="161">
        <f>IF(C285="","",COUNTIFS(Başvuru!$C:$C,C285,Başvuru!$A:$A,"&lt;&gt;"&amp;"",Başvuru!$F:$F,"&lt;&gt;"&amp;""))</f>
        <v>1</v>
      </c>
      <c r="E285" s="159" t="str">
        <f>IF(C285="","-",IF(D285&gt;0,TEXT(D285/(COUNTIFS(Başvuru!$A:$A,"&lt;&gt;",Başvuru!$F:$F,"&lt;&gt;")-1)*100,"0.0")&amp;"%","-"))</f>
        <v>00%</v>
      </c>
      <c r="F285" s="162">
        <f>IF(C285="","",COUNTIFS(Başvuru!$C:$C,C285,Başvuru!$G:$G,"Bireysel Araştırma",Başvuru!$A:$A,"&lt;&gt;"&amp;"",Başvuru!$F:$F,"&lt;&gt;"&amp;""))</f>
        <v>0</v>
      </c>
      <c r="G285" s="162">
        <f>IF(C285="","",COUNTIFS(Başvuru!$C:$C,C285,Başvuru!$G:$G,"Uzmanlık Tezi",Başvuru!$A:$A,"&lt;&gt;"&amp;"",Başvuru!$F:$F,"&lt;&gt;"&amp;""))</f>
        <v>1</v>
      </c>
      <c r="H285" s="162">
        <f>IF(C285="","",COUNTIFS(Başvuru!$C:$C,C285,Başvuru!$G:$G,"Doktora Tezi",Başvuru!$A:$A,"&lt;&gt;"&amp;"",Başvuru!$F:$F,"&lt;&gt;"&amp;""))</f>
        <v>0</v>
      </c>
      <c r="I285" s="162">
        <f>IF(C285="","",COUNTIFS(Başvuru!$C:$C,C285,Başvuru!$G:$G,"Yüksek Lisans Tezi",Başvuru!$A:$A,"&lt;&gt;"&amp;"",Başvuru!$F:$F,"&lt;&gt;"&amp;""))</f>
        <v>0</v>
      </c>
      <c r="J285" s="163">
        <f>IF(C285="","",COUNTIFS(Başvuru!$C:$C,C285,Başvuru!$L:$L,"ONAY",Başvuru!$A:$A,"&lt;&gt;"&amp;"",Başvuru!$F:$F,"&lt;&gt;"&amp;""))</f>
        <v>1</v>
      </c>
      <c r="K285" s="164">
        <f>IF(C285="","",COUNTIFS(Başvuru!$C:$C,C285,Başvuru!$L:$L,"DÜZELTME",Başvuru!$A:$A,"&lt;&gt;"&amp;"",Başvuru!$F:$F,"&lt;&gt;"&amp;""))</f>
        <v>0</v>
      </c>
      <c r="L285" s="165">
        <f>IF(C285="","",COUNTIFS(Başvuru!$C:$C,C285,Başvuru!$L:$L,"KAEK",Başvuru!$A:$A,"&lt;&gt;"&amp;"",Başvuru!$F:$F,"&lt;&gt;"&amp;""))</f>
        <v>0</v>
      </c>
      <c r="M285" s="166">
        <f>IF(C285="","",COUNTIFS(Başvuru!$C:$C,C285,Başvuru!$L:$L,"GÖRÜŞ",Başvuru!$A:$A,"&lt;&gt;"&amp;"",Başvuru!$F:$F,"&lt;&gt;"&amp;""))</f>
        <v>0</v>
      </c>
      <c r="N285" s="167">
        <f>IF(C285="","",COUNTIFS(Başvuru!$C:$C,C285,Başvuru!$L:$L,"RET",Başvuru!$A:$A,"&lt;&gt;"&amp;"",Başvuru!$F:$F,"&lt;&gt;"&amp;""))</f>
        <v>0</v>
      </c>
      <c r="O285" s="168">
        <f>IF(C285="","",COUNTIFS(Başvuru!$C:$C,C285,Başvuru!$L:$L,"KAPSAM DIŞI",Başvuru!$A:$A,"&lt;&gt;"&amp;"",Başvuru!$F:$F,"&lt;&gt;"&amp;""))</f>
        <v>0</v>
      </c>
      <c r="P285" s="169">
        <f>IF(C285="","",COUNTIFS(Başvuru!$C:$C,C285,Başvuru!$L:$L,"GERİ ÇEKİLDİ",Başvuru!$A:$A,"&lt;&gt;"&amp;"",Başvuru!$F:$F,"&lt;&gt;"&amp;""))</f>
        <v>0</v>
      </c>
      <c r="Q285" s="170" t="str">
        <f t="array" ref="Q285">IFERROR(INDEX(Başvuru!$C$2:$C$3000, MATCH(0, COUNTIF($Q$5:Q284, Başvuru!$C$2:$C$3000) + IF(Başvuru!$C$2:$C$3000="",1,0), 0)), "")</f>
        <v>Prof. Dr. Ömer Alper GÜRLEK</v>
      </c>
      <c r="R285" s="171">
        <f>IF(Q285="","",COUNTIFS(Başvuru!$C:$C,Q285,Başvuru!$A:$A,"&lt;&gt;"&amp;"",Başvuru!$F:$F,"&lt;&gt;"&amp;""))</f>
        <v>1</v>
      </c>
      <c r="S285" s="171">
        <f>IF(R285="","",RANK(R285,$R$6:$R$505,0)+COUNTIF($R$6:R285,R285)-1)</f>
        <v>289</v>
      </c>
    </row>
    <row r="286" spans="2:19" ht="23.25" customHeight="1" x14ac:dyDescent="0.25">
      <c r="B286" s="159">
        <v>281</v>
      </c>
      <c r="C286" s="160" t="str">
        <f>IFERROR(INDEX($Q$6:$Q$505,MATCH(281,$S$6:$S$505,0)),"")</f>
        <v>Prof. Dr. Gülay SAİN GÜVEN</v>
      </c>
      <c r="D286" s="161">
        <f>IF(C286="","",COUNTIFS(Başvuru!$C:$C,C286,Başvuru!$A:$A,"&lt;&gt;"&amp;"",Başvuru!$F:$F,"&lt;&gt;"&amp;""))</f>
        <v>1</v>
      </c>
      <c r="E286" s="159" t="str">
        <f>IF(C286="","-",IF(D286&gt;0,TEXT(D286/(COUNTIFS(Başvuru!$A:$A,"&lt;&gt;",Başvuru!$F:$F,"&lt;&gt;")-1)*100,"0.0")&amp;"%","-"))</f>
        <v>00%</v>
      </c>
      <c r="F286" s="162">
        <f>IF(C286="","",COUNTIFS(Başvuru!$C:$C,C286,Başvuru!$G:$G,"Bireysel Araştırma",Başvuru!$A:$A,"&lt;&gt;"&amp;"",Başvuru!$F:$F,"&lt;&gt;"&amp;""))</f>
        <v>1</v>
      </c>
      <c r="G286" s="162">
        <f>IF(C286="","",COUNTIFS(Başvuru!$C:$C,C286,Başvuru!$G:$G,"Uzmanlık Tezi",Başvuru!$A:$A,"&lt;&gt;"&amp;"",Başvuru!$F:$F,"&lt;&gt;"&amp;""))</f>
        <v>0</v>
      </c>
      <c r="H286" s="162">
        <f>IF(C286="","",COUNTIFS(Başvuru!$C:$C,C286,Başvuru!$G:$G,"Doktora Tezi",Başvuru!$A:$A,"&lt;&gt;"&amp;"",Başvuru!$F:$F,"&lt;&gt;"&amp;""))</f>
        <v>0</v>
      </c>
      <c r="I286" s="162">
        <f>IF(C286="","",COUNTIFS(Başvuru!$C:$C,C286,Başvuru!$G:$G,"Yüksek Lisans Tezi",Başvuru!$A:$A,"&lt;&gt;"&amp;"",Başvuru!$F:$F,"&lt;&gt;"&amp;""))</f>
        <v>0</v>
      </c>
      <c r="J286" s="163">
        <f>IF(C286="","",COUNTIFS(Başvuru!$C:$C,C286,Başvuru!$L:$L,"ONAY",Başvuru!$A:$A,"&lt;&gt;"&amp;"",Başvuru!$F:$F,"&lt;&gt;"&amp;""))</f>
        <v>1</v>
      </c>
      <c r="K286" s="164">
        <f>IF(C286="","",COUNTIFS(Başvuru!$C:$C,C286,Başvuru!$L:$L,"DÜZELTME",Başvuru!$A:$A,"&lt;&gt;"&amp;"",Başvuru!$F:$F,"&lt;&gt;"&amp;""))</f>
        <v>0</v>
      </c>
      <c r="L286" s="165">
        <f>IF(C286="","",COUNTIFS(Başvuru!$C:$C,C286,Başvuru!$L:$L,"KAEK",Başvuru!$A:$A,"&lt;&gt;"&amp;"",Başvuru!$F:$F,"&lt;&gt;"&amp;""))</f>
        <v>0</v>
      </c>
      <c r="M286" s="166">
        <f>IF(C286="","",COUNTIFS(Başvuru!$C:$C,C286,Başvuru!$L:$L,"GÖRÜŞ",Başvuru!$A:$A,"&lt;&gt;"&amp;"",Başvuru!$F:$F,"&lt;&gt;"&amp;""))</f>
        <v>0</v>
      </c>
      <c r="N286" s="167">
        <f>IF(C286="","",COUNTIFS(Başvuru!$C:$C,C286,Başvuru!$L:$L,"RET",Başvuru!$A:$A,"&lt;&gt;"&amp;"",Başvuru!$F:$F,"&lt;&gt;"&amp;""))</f>
        <v>0</v>
      </c>
      <c r="O286" s="168">
        <f>IF(C286="","",COUNTIFS(Başvuru!$C:$C,C286,Başvuru!$L:$L,"KAPSAM DIŞI",Başvuru!$A:$A,"&lt;&gt;"&amp;"",Başvuru!$F:$F,"&lt;&gt;"&amp;""))</f>
        <v>0</v>
      </c>
      <c r="P286" s="169">
        <f>IF(C286="","",COUNTIFS(Başvuru!$C:$C,C286,Başvuru!$L:$L,"GERİ ÇEKİLDİ",Başvuru!$A:$A,"&lt;&gt;"&amp;"",Başvuru!$F:$F,"&lt;&gt;"&amp;""))</f>
        <v>0</v>
      </c>
      <c r="Q286" s="170" t="str">
        <f t="array" ref="Q286">IFERROR(INDEX(Başvuru!$C$2:$C$3000, MATCH(0, COUNTIF($Q$5:Q285, Başvuru!$C$2:$C$3000) + IF(Başvuru!$C$2:$C$3000="",1,0), 0)), "")</f>
        <v>Doç. Dr. Nursel AKKAYA</v>
      </c>
      <c r="R286" s="171">
        <f>IF(Q286="","",COUNTIFS(Başvuru!$C:$C,Q286,Başvuru!$A:$A,"&lt;&gt;"&amp;"",Başvuru!$F:$F,"&lt;&gt;"&amp;""))</f>
        <v>1</v>
      </c>
      <c r="S286" s="171">
        <f>IF(R286="","",RANK(R286,$R$6:$R$505,0)+COUNTIF($R$6:R286,R286)-1)</f>
        <v>290</v>
      </c>
    </row>
    <row r="287" spans="2:19" ht="23.25" customHeight="1" x14ac:dyDescent="0.25">
      <c r="B287" s="159">
        <v>282</v>
      </c>
      <c r="C287" s="160" t="str">
        <f>IFERROR(INDEX($Q$6:$Q$505,MATCH(282,$S$6:$S$505,0)),"")</f>
        <v>Prof. Dr. Banu SANCAK</v>
      </c>
      <c r="D287" s="161">
        <f>IF(C287="","",COUNTIFS(Başvuru!$C:$C,C287,Başvuru!$A:$A,"&lt;&gt;"&amp;"",Başvuru!$F:$F,"&lt;&gt;"&amp;""))</f>
        <v>1</v>
      </c>
      <c r="E287" s="159" t="str">
        <f>IF(C287="","-",IF(D287&gt;0,TEXT(D287/(COUNTIFS(Başvuru!$A:$A,"&lt;&gt;",Başvuru!$F:$F,"&lt;&gt;")-1)*100,"0.0")&amp;"%","-"))</f>
        <v>00%</v>
      </c>
      <c r="F287" s="162">
        <f>IF(C287="","",COUNTIFS(Başvuru!$C:$C,C287,Başvuru!$G:$G,"Bireysel Araştırma",Başvuru!$A:$A,"&lt;&gt;"&amp;"",Başvuru!$F:$F,"&lt;&gt;"&amp;""))</f>
        <v>1</v>
      </c>
      <c r="G287" s="162">
        <f>IF(C287="","",COUNTIFS(Başvuru!$C:$C,C287,Başvuru!$G:$G,"Uzmanlık Tezi",Başvuru!$A:$A,"&lt;&gt;"&amp;"",Başvuru!$F:$F,"&lt;&gt;"&amp;""))</f>
        <v>0</v>
      </c>
      <c r="H287" s="162">
        <f>IF(C287="","",COUNTIFS(Başvuru!$C:$C,C287,Başvuru!$G:$G,"Doktora Tezi",Başvuru!$A:$A,"&lt;&gt;"&amp;"",Başvuru!$F:$F,"&lt;&gt;"&amp;""))</f>
        <v>0</v>
      </c>
      <c r="I287" s="162">
        <f>IF(C287="","",COUNTIFS(Başvuru!$C:$C,C287,Başvuru!$G:$G,"Yüksek Lisans Tezi",Başvuru!$A:$A,"&lt;&gt;"&amp;"",Başvuru!$F:$F,"&lt;&gt;"&amp;""))</f>
        <v>0</v>
      </c>
      <c r="J287" s="163">
        <f>IF(C287="","",COUNTIFS(Başvuru!$C:$C,C287,Başvuru!$L:$L,"ONAY",Başvuru!$A:$A,"&lt;&gt;"&amp;"",Başvuru!$F:$F,"&lt;&gt;"&amp;""))</f>
        <v>1</v>
      </c>
      <c r="K287" s="164">
        <f>IF(C287="","",COUNTIFS(Başvuru!$C:$C,C287,Başvuru!$L:$L,"DÜZELTME",Başvuru!$A:$A,"&lt;&gt;"&amp;"",Başvuru!$F:$F,"&lt;&gt;"&amp;""))</f>
        <v>0</v>
      </c>
      <c r="L287" s="165">
        <f>IF(C287="","",COUNTIFS(Başvuru!$C:$C,C287,Başvuru!$L:$L,"KAEK",Başvuru!$A:$A,"&lt;&gt;"&amp;"",Başvuru!$F:$F,"&lt;&gt;"&amp;""))</f>
        <v>0</v>
      </c>
      <c r="M287" s="166">
        <f>IF(C287="","",COUNTIFS(Başvuru!$C:$C,C287,Başvuru!$L:$L,"GÖRÜŞ",Başvuru!$A:$A,"&lt;&gt;"&amp;"",Başvuru!$F:$F,"&lt;&gt;"&amp;""))</f>
        <v>0</v>
      </c>
      <c r="N287" s="167">
        <f>IF(C287="","",COUNTIFS(Başvuru!$C:$C,C287,Başvuru!$L:$L,"RET",Başvuru!$A:$A,"&lt;&gt;"&amp;"",Başvuru!$F:$F,"&lt;&gt;"&amp;""))</f>
        <v>0</v>
      </c>
      <c r="O287" s="168">
        <f>IF(C287="","",COUNTIFS(Başvuru!$C:$C,C287,Başvuru!$L:$L,"KAPSAM DIŞI",Başvuru!$A:$A,"&lt;&gt;"&amp;"",Başvuru!$F:$F,"&lt;&gt;"&amp;""))</f>
        <v>0</v>
      </c>
      <c r="P287" s="169">
        <f>IF(C287="","",COUNTIFS(Başvuru!$C:$C,C287,Başvuru!$L:$L,"GERİ ÇEKİLDİ",Başvuru!$A:$A,"&lt;&gt;"&amp;"",Başvuru!$F:$F,"&lt;&gt;"&amp;""))</f>
        <v>0</v>
      </c>
      <c r="Q287" s="170" t="str">
        <f t="array" ref="Q287">IFERROR(INDEX(Başvuru!$C$2:$C$3000, MATCH(0, COUNTIF($Q$5:Q286, Başvuru!$C$2:$C$3000) + IF(Başvuru!$C$2:$C$3000="",1,0), 0)), "")</f>
        <v>Öğr. Gör. Dr. Kemal SARUHAN</v>
      </c>
      <c r="R287" s="171">
        <f>IF(Q287="","",COUNTIFS(Başvuru!$C:$C,Q287,Başvuru!$A:$A,"&lt;&gt;"&amp;"",Başvuru!$F:$F,"&lt;&gt;"&amp;""))</f>
        <v>1</v>
      </c>
      <c r="S287" s="171">
        <f>IF(R287="","",RANK(R287,$R$6:$R$505,0)+COUNTIF($R$6:R287,R287)-1)</f>
        <v>291</v>
      </c>
    </row>
    <row r="288" spans="2:19" ht="23.25" customHeight="1" x14ac:dyDescent="0.25">
      <c r="B288" s="159">
        <v>283</v>
      </c>
      <c r="C288" s="160" t="str">
        <f>IFERROR(INDEX($Q$6:$Q$505,MATCH(283,$S$6:$S$505,0)),"")</f>
        <v>Doç. Dr. Eylem TOPBAŞ</v>
      </c>
      <c r="D288" s="161">
        <f>IF(C288="","",COUNTIFS(Başvuru!$C:$C,C288,Başvuru!$A:$A,"&lt;&gt;"&amp;"",Başvuru!$F:$F,"&lt;&gt;"&amp;""))</f>
        <v>1</v>
      </c>
      <c r="E288" s="159" t="str">
        <f>IF(C288="","-",IF(D288&gt;0,TEXT(D288/(COUNTIFS(Başvuru!$A:$A,"&lt;&gt;",Başvuru!$F:$F,"&lt;&gt;")-1)*100,"0.0")&amp;"%","-"))</f>
        <v>00%</v>
      </c>
      <c r="F288" s="162">
        <f>IF(C288="","",COUNTIFS(Başvuru!$C:$C,C288,Başvuru!$G:$G,"Bireysel Araştırma",Başvuru!$A:$A,"&lt;&gt;"&amp;"",Başvuru!$F:$F,"&lt;&gt;"&amp;""))</f>
        <v>0</v>
      </c>
      <c r="G288" s="162">
        <f>IF(C288="","",COUNTIFS(Başvuru!$C:$C,C288,Başvuru!$G:$G,"Uzmanlık Tezi",Başvuru!$A:$A,"&lt;&gt;"&amp;"",Başvuru!$F:$F,"&lt;&gt;"&amp;""))</f>
        <v>0</v>
      </c>
      <c r="H288" s="162">
        <f>IF(C288="","",COUNTIFS(Başvuru!$C:$C,C288,Başvuru!$G:$G,"Doktora Tezi",Başvuru!$A:$A,"&lt;&gt;"&amp;"",Başvuru!$F:$F,"&lt;&gt;"&amp;""))</f>
        <v>0</v>
      </c>
      <c r="I288" s="162">
        <f>IF(C288="","",COUNTIFS(Başvuru!$C:$C,C288,Başvuru!$G:$G,"Yüksek Lisans Tezi",Başvuru!$A:$A,"&lt;&gt;"&amp;"",Başvuru!$F:$F,"&lt;&gt;"&amp;""))</f>
        <v>1</v>
      </c>
      <c r="J288" s="163">
        <f>IF(C288="","",COUNTIFS(Başvuru!$C:$C,C288,Başvuru!$L:$L,"ONAY",Başvuru!$A:$A,"&lt;&gt;"&amp;"",Başvuru!$F:$F,"&lt;&gt;"&amp;""))</f>
        <v>0</v>
      </c>
      <c r="K288" s="164">
        <f>IF(C288="","",COUNTIFS(Başvuru!$C:$C,C288,Başvuru!$L:$L,"DÜZELTME",Başvuru!$A:$A,"&lt;&gt;"&amp;"",Başvuru!$F:$F,"&lt;&gt;"&amp;""))</f>
        <v>0</v>
      </c>
      <c r="L288" s="165">
        <f>IF(C288="","",COUNTIFS(Başvuru!$C:$C,C288,Başvuru!$L:$L,"KAEK",Başvuru!$A:$A,"&lt;&gt;"&amp;"",Başvuru!$F:$F,"&lt;&gt;"&amp;""))</f>
        <v>1</v>
      </c>
      <c r="M288" s="166">
        <f>IF(C288="","",COUNTIFS(Başvuru!$C:$C,C288,Başvuru!$L:$L,"GÖRÜŞ",Başvuru!$A:$A,"&lt;&gt;"&amp;"",Başvuru!$F:$F,"&lt;&gt;"&amp;""))</f>
        <v>0</v>
      </c>
      <c r="N288" s="167">
        <f>IF(C288="","",COUNTIFS(Başvuru!$C:$C,C288,Başvuru!$L:$L,"RET",Başvuru!$A:$A,"&lt;&gt;"&amp;"",Başvuru!$F:$F,"&lt;&gt;"&amp;""))</f>
        <v>0</v>
      </c>
      <c r="O288" s="168">
        <f>IF(C288="","",COUNTIFS(Başvuru!$C:$C,C288,Başvuru!$L:$L,"KAPSAM DIŞI",Başvuru!$A:$A,"&lt;&gt;"&amp;"",Başvuru!$F:$F,"&lt;&gt;"&amp;""))</f>
        <v>0</v>
      </c>
      <c r="P288" s="169">
        <f>IF(C288="","",COUNTIFS(Başvuru!$C:$C,C288,Başvuru!$L:$L,"GERİ ÇEKİLDİ",Başvuru!$A:$A,"&lt;&gt;"&amp;"",Başvuru!$F:$F,"&lt;&gt;"&amp;""))</f>
        <v>0</v>
      </c>
      <c r="Q288" s="170" t="str">
        <f t="array" ref="Q288">IFERROR(INDEX(Başvuru!$C$2:$C$3000, MATCH(0, COUNTIF($Q$5:Q287, Başvuru!$C$2:$C$3000) + IF(Başvuru!$C$2:$C$3000="",1,0), 0)), "")</f>
        <v>Arş. Gör. Dr. Eymen YILMAZ</v>
      </c>
      <c r="R288" s="171">
        <f>IF(Q288="","",COUNTIFS(Başvuru!$C:$C,Q288,Başvuru!$A:$A,"&lt;&gt;"&amp;"",Başvuru!$F:$F,"&lt;&gt;"&amp;""))</f>
        <v>2</v>
      </c>
      <c r="S288" s="171">
        <f>IF(R288="","",RANK(R288,$R$6:$R$505,0)+COUNTIF($R$6:R288,R288)-1)</f>
        <v>142</v>
      </c>
    </row>
    <row r="289" spans="2:19" ht="23.25" customHeight="1" x14ac:dyDescent="0.25">
      <c r="B289" s="159">
        <v>284</v>
      </c>
      <c r="C289" s="160" t="str">
        <f>IFERROR(INDEX($Q$6:$Q$505,MATCH(284,$S$6:$S$505,0)),"")</f>
        <v>Dr. Öğr. Üyesi Cenk Ahmet AKCAN</v>
      </c>
      <c r="D289" s="161">
        <f>IF(C289="","",COUNTIFS(Başvuru!$C:$C,C289,Başvuru!$A:$A,"&lt;&gt;"&amp;"",Başvuru!$F:$F,"&lt;&gt;"&amp;""))</f>
        <v>1</v>
      </c>
      <c r="E289" s="159" t="str">
        <f>IF(C289="","-",IF(D289&gt;0,TEXT(D289/(COUNTIFS(Başvuru!$A:$A,"&lt;&gt;",Başvuru!$F:$F,"&lt;&gt;")-1)*100,"0.0")&amp;"%","-"))</f>
        <v>00%</v>
      </c>
      <c r="F289" s="162">
        <f>IF(C289="","",COUNTIFS(Başvuru!$C:$C,C289,Başvuru!$G:$G,"Bireysel Araştırma",Başvuru!$A:$A,"&lt;&gt;"&amp;"",Başvuru!$F:$F,"&lt;&gt;"&amp;""))</f>
        <v>1</v>
      </c>
      <c r="G289" s="162">
        <f>IF(C289="","",COUNTIFS(Başvuru!$C:$C,C289,Başvuru!$G:$G,"Uzmanlık Tezi",Başvuru!$A:$A,"&lt;&gt;"&amp;"",Başvuru!$F:$F,"&lt;&gt;"&amp;""))</f>
        <v>0</v>
      </c>
      <c r="H289" s="162">
        <f>IF(C289="","",COUNTIFS(Başvuru!$C:$C,C289,Başvuru!$G:$G,"Doktora Tezi",Başvuru!$A:$A,"&lt;&gt;"&amp;"",Başvuru!$F:$F,"&lt;&gt;"&amp;""))</f>
        <v>0</v>
      </c>
      <c r="I289" s="162">
        <f>IF(C289="","",COUNTIFS(Başvuru!$C:$C,C289,Başvuru!$G:$G,"Yüksek Lisans Tezi",Başvuru!$A:$A,"&lt;&gt;"&amp;"",Başvuru!$F:$F,"&lt;&gt;"&amp;""))</f>
        <v>0</v>
      </c>
      <c r="J289" s="163">
        <f>IF(C289="","",COUNTIFS(Başvuru!$C:$C,C289,Başvuru!$L:$L,"ONAY",Başvuru!$A:$A,"&lt;&gt;"&amp;"",Başvuru!$F:$F,"&lt;&gt;"&amp;""))</f>
        <v>1</v>
      </c>
      <c r="K289" s="164">
        <f>IF(C289="","",COUNTIFS(Başvuru!$C:$C,C289,Başvuru!$L:$L,"DÜZELTME",Başvuru!$A:$A,"&lt;&gt;"&amp;"",Başvuru!$F:$F,"&lt;&gt;"&amp;""))</f>
        <v>0</v>
      </c>
      <c r="L289" s="165">
        <f>IF(C289="","",COUNTIFS(Başvuru!$C:$C,C289,Başvuru!$L:$L,"KAEK",Başvuru!$A:$A,"&lt;&gt;"&amp;"",Başvuru!$F:$F,"&lt;&gt;"&amp;""))</f>
        <v>0</v>
      </c>
      <c r="M289" s="166">
        <f>IF(C289="","",COUNTIFS(Başvuru!$C:$C,C289,Başvuru!$L:$L,"GÖRÜŞ",Başvuru!$A:$A,"&lt;&gt;"&amp;"",Başvuru!$F:$F,"&lt;&gt;"&amp;""))</f>
        <v>0</v>
      </c>
      <c r="N289" s="167">
        <f>IF(C289="","",COUNTIFS(Başvuru!$C:$C,C289,Başvuru!$L:$L,"RET",Başvuru!$A:$A,"&lt;&gt;"&amp;"",Başvuru!$F:$F,"&lt;&gt;"&amp;""))</f>
        <v>0</v>
      </c>
      <c r="O289" s="168">
        <f>IF(C289="","",COUNTIFS(Başvuru!$C:$C,C289,Başvuru!$L:$L,"KAPSAM DIŞI",Başvuru!$A:$A,"&lt;&gt;"&amp;"",Başvuru!$F:$F,"&lt;&gt;"&amp;""))</f>
        <v>0</v>
      </c>
      <c r="P289" s="169">
        <f>IF(C289="","",COUNTIFS(Başvuru!$C:$C,C289,Başvuru!$L:$L,"GERİ ÇEKİLDİ",Başvuru!$A:$A,"&lt;&gt;"&amp;"",Başvuru!$F:$F,"&lt;&gt;"&amp;""))</f>
        <v>0</v>
      </c>
      <c r="Q289" s="170" t="str">
        <f t="array" ref="Q289">IFERROR(INDEX(Başvuru!$C$2:$C$3000, MATCH(0, COUNTIF($Q$5:Q288, Başvuru!$C$2:$C$3000) + IF(Başvuru!$C$2:$C$3000="",1,0), 0)), "")</f>
        <v>Dr. Öğr. Gör. Tuğçe TAŞKINDERE ABBASOĞLU</v>
      </c>
      <c r="R289" s="171">
        <f>IF(Q289="","",COUNTIFS(Başvuru!$C:$C,Q289,Başvuru!$A:$A,"&lt;&gt;"&amp;"",Başvuru!$F:$F,"&lt;&gt;"&amp;""))</f>
        <v>1</v>
      </c>
      <c r="S289" s="171">
        <f>IF(R289="","",RANK(R289,$R$6:$R$505,0)+COUNTIF($R$6:R289,R289)-1)</f>
        <v>292</v>
      </c>
    </row>
    <row r="290" spans="2:19" ht="23.25" customHeight="1" x14ac:dyDescent="0.25">
      <c r="B290" s="159">
        <v>285</v>
      </c>
      <c r="C290" s="160" t="str">
        <f>IFERROR(INDEX($Q$6:$Q$505,MATCH(285,$S$6:$S$505,0)),"")</f>
        <v>Prof. Dr. Hande TAYLAN ŞEKEROĞLU</v>
      </c>
      <c r="D290" s="161">
        <f>IF(C290="","",COUNTIFS(Başvuru!$C:$C,C290,Başvuru!$A:$A,"&lt;&gt;"&amp;"",Başvuru!$F:$F,"&lt;&gt;"&amp;""))</f>
        <v>1</v>
      </c>
      <c r="E290" s="159" t="str">
        <f>IF(C290="","-",IF(D290&gt;0,TEXT(D290/(COUNTIFS(Başvuru!$A:$A,"&lt;&gt;",Başvuru!$F:$F,"&lt;&gt;")-1)*100,"0.0")&amp;"%","-"))</f>
        <v>00%</v>
      </c>
      <c r="F290" s="162">
        <f>IF(C290="","",COUNTIFS(Başvuru!$C:$C,C290,Başvuru!$G:$G,"Bireysel Araştırma",Başvuru!$A:$A,"&lt;&gt;"&amp;"",Başvuru!$F:$F,"&lt;&gt;"&amp;""))</f>
        <v>1</v>
      </c>
      <c r="G290" s="162">
        <f>IF(C290="","",COUNTIFS(Başvuru!$C:$C,C290,Başvuru!$G:$G,"Uzmanlık Tezi",Başvuru!$A:$A,"&lt;&gt;"&amp;"",Başvuru!$F:$F,"&lt;&gt;"&amp;""))</f>
        <v>0</v>
      </c>
      <c r="H290" s="162">
        <f>IF(C290="","",COUNTIFS(Başvuru!$C:$C,C290,Başvuru!$G:$G,"Doktora Tezi",Başvuru!$A:$A,"&lt;&gt;"&amp;"",Başvuru!$F:$F,"&lt;&gt;"&amp;""))</f>
        <v>0</v>
      </c>
      <c r="I290" s="162">
        <f>IF(C290="","",COUNTIFS(Başvuru!$C:$C,C290,Başvuru!$G:$G,"Yüksek Lisans Tezi",Başvuru!$A:$A,"&lt;&gt;"&amp;"",Başvuru!$F:$F,"&lt;&gt;"&amp;""))</f>
        <v>0</v>
      </c>
      <c r="J290" s="163">
        <f>IF(C290="","",COUNTIFS(Başvuru!$C:$C,C290,Başvuru!$L:$L,"ONAY",Başvuru!$A:$A,"&lt;&gt;"&amp;"",Başvuru!$F:$F,"&lt;&gt;"&amp;""))</f>
        <v>0</v>
      </c>
      <c r="K290" s="164">
        <f>IF(C290="","",COUNTIFS(Başvuru!$C:$C,C290,Başvuru!$L:$L,"DÜZELTME",Başvuru!$A:$A,"&lt;&gt;"&amp;"",Başvuru!$F:$F,"&lt;&gt;"&amp;""))</f>
        <v>0</v>
      </c>
      <c r="L290" s="165">
        <f>IF(C290="","",COUNTIFS(Başvuru!$C:$C,C290,Başvuru!$L:$L,"KAEK",Başvuru!$A:$A,"&lt;&gt;"&amp;"",Başvuru!$F:$F,"&lt;&gt;"&amp;""))</f>
        <v>1</v>
      </c>
      <c r="M290" s="166">
        <f>IF(C290="","",COUNTIFS(Başvuru!$C:$C,C290,Başvuru!$L:$L,"GÖRÜŞ",Başvuru!$A:$A,"&lt;&gt;"&amp;"",Başvuru!$F:$F,"&lt;&gt;"&amp;""))</f>
        <v>0</v>
      </c>
      <c r="N290" s="167">
        <f>IF(C290="","",COUNTIFS(Başvuru!$C:$C,C290,Başvuru!$L:$L,"RET",Başvuru!$A:$A,"&lt;&gt;"&amp;"",Başvuru!$F:$F,"&lt;&gt;"&amp;""))</f>
        <v>0</v>
      </c>
      <c r="O290" s="168">
        <f>IF(C290="","",COUNTIFS(Başvuru!$C:$C,C290,Başvuru!$L:$L,"KAPSAM DIŞI",Başvuru!$A:$A,"&lt;&gt;"&amp;"",Başvuru!$F:$F,"&lt;&gt;"&amp;""))</f>
        <v>0</v>
      </c>
      <c r="P290" s="169">
        <f>IF(C290="","",COUNTIFS(Başvuru!$C:$C,C290,Başvuru!$L:$L,"GERİ ÇEKİLDİ",Başvuru!$A:$A,"&lt;&gt;"&amp;"",Başvuru!$F:$F,"&lt;&gt;"&amp;""))</f>
        <v>0</v>
      </c>
      <c r="Q290" s="170" t="str">
        <f t="array" ref="Q290">IFERROR(INDEX(Başvuru!$C$2:$C$3000, MATCH(0, COUNTIF($Q$5:Q289, Başvuru!$C$2:$C$3000) + IF(Başvuru!$C$2:$C$3000="",1,0), 0)), "")</f>
        <v>Prof. Dr. Lokman UZUN</v>
      </c>
      <c r="R290" s="171">
        <f>IF(Q290="","",COUNTIFS(Başvuru!$C:$C,Q290,Başvuru!$A:$A,"&lt;&gt;"&amp;"",Başvuru!$F:$F,"&lt;&gt;"&amp;""))</f>
        <v>1</v>
      </c>
      <c r="S290" s="171">
        <f>IF(R290="","",RANK(R290,$R$6:$R$505,0)+COUNTIF($R$6:R290,R290)-1)</f>
        <v>293</v>
      </c>
    </row>
    <row r="291" spans="2:19" ht="23.25" customHeight="1" x14ac:dyDescent="0.25">
      <c r="B291" s="159">
        <v>286</v>
      </c>
      <c r="C291" s="160" t="str">
        <f>IFERROR(INDEX($Q$6:$Q$505,MATCH(286,$S$6:$S$505,0)),"")</f>
        <v>Dr. Öğr. Üyesi Bekir ERDEVE</v>
      </c>
      <c r="D291" s="161">
        <f>IF(C291="","",COUNTIFS(Başvuru!$C:$C,C291,Başvuru!$A:$A,"&lt;&gt;"&amp;"",Başvuru!$F:$F,"&lt;&gt;"&amp;""))</f>
        <v>1</v>
      </c>
      <c r="E291" s="159" t="str">
        <f>IF(C291="","-",IF(D291&gt;0,TEXT(D291/(COUNTIFS(Başvuru!$A:$A,"&lt;&gt;",Başvuru!$F:$F,"&lt;&gt;")-1)*100,"0.0")&amp;"%","-"))</f>
        <v>00%</v>
      </c>
      <c r="F291" s="162">
        <f>IF(C291="","",COUNTIFS(Başvuru!$C:$C,C291,Başvuru!$G:$G,"Bireysel Araştırma",Başvuru!$A:$A,"&lt;&gt;"&amp;"",Başvuru!$F:$F,"&lt;&gt;"&amp;""))</f>
        <v>1</v>
      </c>
      <c r="G291" s="162">
        <f>IF(C291="","",COUNTIFS(Başvuru!$C:$C,C291,Başvuru!$G:$G,"Uzmanlık Tezi",Başvuru!$A:$A,"&lt;&gt;"&amp;"",Başvuru!$F:$F,"&lt;&gt;"&amp;""))</f>
        <v>0</v>
      </c>
      <c r="H291" s="162">
        <f>IF(C291="","",COUNTIFS(Başvuru!$C:$C,C291,Başvuru!$G:$G,"Doktora Tezi",Başvuru!$A:$A,"&lt;&gt;"&amp;"",Başvuru!$F:$F,"&lt;&gt;"&amp;""))</f>
        <v>0</v>
      </c>
      <c r="I291" s="162">
        <f>IF(C291="","",COUNTIFS(Başvuru!$C:$C,C291,Başvuru!$G:$G,"Yüksek Lisans Tezi",Başvuru!$A:$A,"&lt;&gt;"&amp;"",Başvuru!$F:$F,"&lt;&gt;"&amp;""))</f>
        <v>0</v>
      </c>
      <c r="J291" s="163">
        <f>IF(C291="","",COUNTIFS(Başvuru!$C:$C,C291,Başvuru!$L:$L,"ONAY",Başvuru!$A:$A,"&lt;&gt;"&amp;"",Başvuru!$F:$F,"&lt;&gt;"&amp;""))</f>
        <v>0</v>
      </c>
      <c r="K291" s="164">
        <f>IF(C291="","",COUNTIFS(Başvuru!$C:$C,C291,Başvuru!$L:$L,"DÜZELTME",Başvuru!$A:$A,"&lt;&gt;"&amp;"",Başvuru!$F:$F,"&lt;&gt;"&amp;""))</f>
        <v>1</v>
      </c>
      <c r="L291" s="165">
        <f>IF(C291="","",COUNTIFS(Başvuru!$C:$C,C291,Başvuru!$L:$L,"KAEK",Başvuru!$A:$A,"&lt;&gt;"&amp;"",Başvuru!$F:$F,"&lt;&gt;"&amp;""))</f>
        <v>0</v>
      </c>
      <c r="M291" s="166">
        <f>IF(C291="","",COUNTIFS(Başvuru!$C:$C,C291,Başvuru!$L:$L,"GÖRÜŞ",Başvuru!$A:$A,"&lt;&gt;"&amp;"",Başvuru!$F:$F,"&lt;&gt;"&amp;""))</f>
        <v>0</v>
      </c>
      <c r="N291" s="167">
        <f>IF(C291="","",COUNTIFS(Başvuru!$C:$C,C291,Başvuru!$L:$L,"RET",Başvuru!$A:$A,"&lt;&gt;"&amp;"",Başvuru!$F:$F,"&lt;&gt;"&amp;""))</f>
        <v>0</v>
      </c>
      <c r="O291" s="168">
        <f>IF(C291="","",COUNTIFS(Başvuru!$C:$C,C291,Başvuru!$L:$L,"KAPSAM DIŞI",Başvuru!$A:$A,"&lt;&gt;"&amp;"",Başvuru!$F:$F,"&lt;&gt;"&amp;""))</f>
        <v>0</v>
      </c>
      <c r="P291" s="169">
        <f>IF(C291="","",COUNTIFS(Başvuru!$C:$C,C291,Başvuru!$L:$L,"GERİ ÇEKİLDİ",Başvuru!$A:$A,"&lt;&gt;"&amp;"",Başvuru!$F:$F,"&lt;&gt;"&amp;""))</f>
        <v>0</v>
      </c>
      <c r="Q291" s="170" t="str">
        <f t="array" ref="Q291">IFERROR(INDEX(Başvuru!$C$2:$C$3000, MATCH(0, COUNTIF($Q$5:Q290, Başvuru!$C$2:$C$3000) + IF(Başvuru!$C$2:$C$3000="",1,0), 0)), "")</f>
        <v>Doç. Dr. Melike OCAK</v>
      </c>
      <c r="R291" s="171">
        <f>IF(Q291="","",COUNTIFS(Başvuru!$C:$C,Q291,Başvuru!$A:$A,"&lt;&gt;"&amp;"",Başvuru!$F:$F,"&lt;&gt;"&amp;""))</f>
        <v>3</v>
      </c>
      <c r="S291" s="171">
        <f>IF(R291="","",RANK(R291,$R$6:$R$505,0)+COUNTIF($R$6:R291,R291)-1)</f>
        <v>73</v>
      </c>
    </row>
    <row r="292" spans="2:19" ht="23.25" customHeight="1" x14ac:dyDescent="0.25">
      <c r="B292" s="159">
        <v>287</v>
      </c>
      <c r="C292" s="160" t="str">
        <f>IFERROR(INDEX($Q$6:$Q$505,MATCH(287,$S$6:$S$505,0)),"")</f>
        <v>Prof. Dr. Mustafa BERKER</v>
      </c>
      <c r="D292" s="161">
        <f>IF(C292="","",COUNTIFS(Başvuru!$C:$C,C292,Başvuru!$A:$A,"&lt;&gt;"&amp;"",Başvuru!$F:$F,"&lt;&gt;"&amp;""))</f>
        <v>1</v>
      </c>
      <c r="E292" s="159" t="str">
        <f>IF(C292="","-",IF(D292&gt;0,TEXT(D292/(COUNTIFS(Başvuru!$A:$A,"&lt;&gt;",Başvuru!$F:$F,"&lt;&gt;")-1)*100,"0.0")&amp;"%","-"))</f>
        <v>00%</v>
      </c>
      <c r="F292" s="162">
        <f>IF(C292="","",COUNTIFS(Başvuru!$C:$C,C292,Başvuru!$G:$G,"Bireysel Araştırma",Başvuru!$A:$A,"&lt;&gt;"&amp;"",Başvuru!$F:$F,"&lt;&gt;"&amp;""))</f>
        <v>0</v>
      </c>
      <c r="G292" s="162">
        <f>IF(C292="","",COUNTIFS(Başvuru!$C:$C,C292,Başvuru!$G:$G,"Uzmanlık Tezi",Başvuru!$A:$A,"&lt;&gt;"&amp;"",Başvuru!$F:$F,"&lt;&gt;"&amp;""))</f>
        <v>0</v>
      </c>
      <c r="H292" s="162">
        <f>IF(C292="","",COUNTIFS(Başvuru!$C:$C,C292,Başvuru!$G:$G,"Doktora Tezi",Başvuru!$A:$A,"&lt;&gt;"&amp;"",Başvuru!$F:$F,"&lt;&gt;"&amp;""))</f>
        <v>0</v>
      </c>
      <c r="I292" s="162">
        <f>IF(C292="","",COUNTIFS(Başvuru!$C:$C,C292,Başvuru!$G:$G,"Yüksek Lisans Tezi",Başvuru!$A:$A,"&lt;&gt;"&amp;"",Başvuru!$F:$F,"&lt;&gt;"&amp;""))</f>
        <v>1</v>
      </c>
      <c r="J292" s="163">
        <f>IF(C292="","",COUNTIFS(Başvuru!$C:$C,C292,Başvuru!$L:$L,"ONAY",Başvuru!$A:$A,"&lt;&gt;"&amp;"",Başvuru!$F:$F,"&lt;&gt;"&amp;""))</f>
        <v>1</v>
      </c>
      <c r="K292" s="164">
        <f>IF(C292="","",COUNTIFS(Başvuru!$C:$C,C292,Başvuru!$L:$L,"DÜZELTME",Başvuru!$A:$A,"&lt;&gt;"&amp;"",Başvuru!$F:$F,"&lt;&gt;"&amp;""))</f>
        <v>0</v>
      </c>
      <c r="L292" s="165">
        <f>IF(C292="","",COUNTIFS(Başvuru!$C:$C,C292,Başvuru!$L:$L,"KAEK",Başvuru!$A:$A,"&lt;&gt;"&amp;"",Başvuru!$F:$F,"&lt;&gt;"&amp;""))</f>
        <v>0</v>
      </c>
      <c r="M292" s="166">
        <f>IF(C292="","",COUNTIFS(Başvuru!$C:$C,C292,Başvuru!$L:$L,"GÖRÜŞ",Başvuru!$A:$A,"&lt;&gt;"&amp;"",Başvuru!$F:$F,"&lt;&gt;"&amp;""))</f>
        <v>0</v>
      </c>
      <c r="N292" s="167">
        <f>IF(C292="","",COUNTIFS(Başvuru!$C:$C,C292,Başvuru!$L:$L,"RET",Başvuru!$A:$A,"&lt;&gt;"&amp;"",Başvuru!$F:$F,"&lt;&gt;"&amp;""))</f>
        <v>0</v>
      </c>
      <c r="O292" s="168">
        <f>IF(C292="","",COUNTIFS(Başvuru!$C:$C,C292,Başvuru!$L:$L,"KAPSAM DIŞI",Başvuru!$A:$A,"&lt;&gt;"&amp;"",Başvuru!$F:$F,"&lt;&gt;"&amp;""))</f>
        <v>0</v>
      </c>
      <c r="P292" s="169">
        <f>IF(C292="","",COUNTIFS(Başvuru!$C:$C,C292,Başvuru!$L:$L,"GERİ ÇEKİLDİ",Başvuru!$A:$A,"&lt;&gt;"&amp;"",Başvuru!$F:$F,"&lt;&gt;"&amp;""))</f>
        <v>0</v>
      </c>
      <c r="Q292" s="170" t="str">
        <f t="array" ref="Q292">IFERROR(INDEX(Başvuru!$C$2:$C$3000, MATCH(0, COUNTIF($Q$5:Q291, Başvuru!$C$2:$C$3000) + IF(Başvuru!$C$2:$C$3000="",1,0), 0)), "")</f>
        <v>Arş. Gör. Dr. Pınar YAVUZ TAZE</v>
      </c>
      <c r="R292" s="171">
        <f>IF(Q292="","",COUNTIFS(Başvuru!$C:$C,Q292,Başvuru!$A:$A,"&lt;&gt;"&amp;"",Başvuru!$F:$F,"&lt;&gt;"&amp;""))</f>
        <v>1</v>
      </c>
      <c r="S292" s="171">
        <f>IF(R292="","",RANK(R292,$R$6:$R$505,0)+COUNTIF($R$6:R292,R292)-1)</f>
        <v>294</v>
      </c>
    </row>
    <row r="293" spans="2:19" ht="23.25" customHeight="1" x14ac:dyDescent="0.25">
      <c r="B293" s="159">
        <v>288</v>
      </c>
      <c r="C293" s="160" t="str">
        <f>IFERROR(INDEX($Q$6:$Q$505,MATCH(288,$S$6:$S$505,0)),"")</f>
        <v>Doç. Dr. Evren SERTALP</v>
      </c>
      <c r="D293" s="161">
        <f>IF(C293="","",COUNTIFS(Başvuru!$C:$C,C293,Başvuru!$A:$A,"&lt;&gt;"&amp;"",Başvuru!$F:$F,"&lt;&gt;"&amp;""))</f>
        <v>1</v>
      </c>
      <c r="E293" s="159" t="str">
        <f>IF(C293="","-",IF(D293&gt;0,TEXT(D293/(COUNTIFS(Başvuru!$A:$A,"&lt;&gt;",Başvuru!$F:$F,"&lt;&gt;")-1)*100,"0.0")&amp;"%","-"))</f>
        <v>00%</v>
      </c>
      <c r="F293" s="162">
        <f>IF(C293="","",COUNTIFS(Başvuru!$C:$C,C293,Başvuru!$G:$G,"Bireysel Araştırma",Başvuru!$A:$A,"&lt;&gt;"&amp;"",Başvuru!$F:$F,"&lt;&gt;"&amp;""))</f>
        <v>0</v>
      </c>
      <c r="G293" s="162">
        <f>IF(C293="","",COUNTIFS(Başvuru!$C:$C,C293,Başvuru!$G:$G,"Uzmanlık Tezi",Başvuru!$A:$A,"&lt;&gt;"&amp;"",Başvuru!$F:$F,"&lt;&gt;"&amp;""))</f>
        <v>0</v>
      </c>
      <c r="H293" s="162">
        <f>IF(C293="","",COUNTIFS(Başvuru!$C:$C,C293,Başvuru!$G:$G,"Doktora Tezi",Başvuru!$A:$A,"&lt;&gt;"&amp;"",Başvuru!$F:$F,"&lt;&gt;"&amp;""))</f>
        <v>0</v>
      </c>
      <c r="I293" s="162">
        <f>IF(C293="","",COUNTIFS(Başvuru!$C:$C,C293,Başvuru!$G:$G,"Yüksek Lisans Tezi",Başvuru!$A:$A,"&lt;&gt;"&amp;"",Başvuru!$F:$F,"&lt;&gt;"&amp;""))</f>
        <v>1</v>
      </c>
      <c r="J293" s="163">
        <f>IF(C293="","",COUNTIFS(Başvuru!$C:$C,C293,Başvuru!$L:$L,"ONAY",Başvuru!$A:$A,"&lt;&gt;"&amp;"",Başvuru!$F:$F,"&lt;&gt;"&amp;""))</f>
        <v>0</v>
      </c>
      <c r="K293" s="164">
        <f>IF(C293="","",COUNTIFS(Başvuru!$C:$C,C293,Başvuru!$L:$L,"DÜZELTME",Başvuru!$A:$A,"&lt;&gt;"&amp;"",Başvuru!$F:$F,"&lt;&gt;"&amp;""))</f>
        <v>1</v>
      </c>
      <c r="L293" s="165">
        <f>IF(C293="","",COUNTIFS(Başvuru!$C:$C,C293,Başvuru!$L:$L,"KAEK",Başvuru!$A:$A,"&lt;&gt;"&amp;"",Başvuru!$F:$F,"&lt;&gt;"&amp;""))</f>
        <v>0</v>
      </c>
      <c r="M293" s="166">
        <f>IF(C293="","",COUNTIFS(Başvuru!$C:$C,C293,Başvuru!$L:$L,"GÖRÜŞ",Başvuru!$A:$A,"&lt;&gt;"&amp;"",Başvuru!$F:$F,"&lt;&gt;"&amp;""))</f>
        <v>0</v>
      </c>
      <c r="N293" s="167">
        <f>IF(C293="","",COUNTIFS(Başvuru!$C:$C,C293,Başvuru!$L:$L,"RET",Başvuru!$A:$A,"&lt;&gt;"&amp;"",Başvuru!$F:$F,"&lt;&gt;"&amp;""))</f>
        <v>0</v>
      </c>
      <c r="O293" s="168">
        <f>IF(C293="","",COUNTIFS(Başvuru!$C:$C,C293,Başvuru!$L:$L,"KAPSAM DIŞI",Başvuru!$A:$A,"&lt;&gt;"&amp;"",Başvuru!$F:$F,"&lt;&gt;"&amp;""))</f>
        <v>0</v>
      </c>
      <c r="P293" s="169">
        <f>IF(C293="","",COUNTIFS(Başvuru!$C:$C,C293,Başvuru!$L:$L,"GERİ ÇEKİLDİ",Başvuru!$A:$A,"&lt;&gt;"&amp;"",Başvuru!$F:$F,"&lt;&gt;"&amp;""))</f>
        <v>0</v>
      </c>
      <c r="Q293" s="170" t="str">
        <f t="array" ref="Q293">IFERROR(INDEX(Başvuru!$C$2:$C$3000, MATCH(0, COUNTIF($Q$5:Q292, Başvuru!$C$2:$C$3000) + IF(Başvuru!$C$2:$C$3000="",1,0), 0)), "")</f>
        <v>Prof. Dr. Levent ÖZÇAKAR</v>
      </c>
      <c r="R293" s="171">
        <f>IF(Q293="","",COUNTIFS(Başvuru!$C:$C,Q293,Başvuru!$A:$A,"&lt;&gt;"&amp;"",Başvuru!$F:$F,"&lt;&gt;"&amp;""))</f>
        <v>1</v>
      </c>
      <c r="S293" s="171">
        <f>IF(R293="","",RANK(R293,$R$6:$R$505,0)+COUNTIF($R$6:R293,R293)-1)</f>
        <v>295</v>
      </c>
    </row>
    <row r="294" spans="2:19" ht="23.25" customHeight="1" x14ac:dyDescent="0.25">
      <c r="B294" s="159">
        <v>289</v>
      </c>
      <c r="C294" s="160" t="str">
        <f>IFERROR(INDEX($Q$6:$Q$505,MATCH(289,$S$6:$S$505,0)),"")</f>
        <v>Prof. Dr. Ömer Alper GÜRLEK</v>
      </c>
      <c r="D294" s="161">
        <f>IF(C294="","",COUNTIFS(Başvuru!$C:$C,C294,Başvuru!$A:$A,"&lt;&gt;"&amp;"",Başvuru!$F:$F,"&lt;&gt;"&amp;""))</f>
        <v>1</v>
      </c>
      <c r="E294" s="159" t="str">
        <f>IF(C294="","-",IF(D294&gt;0,TEXT(D294/(COUNTIFS(Başvuru!$A:$A,"&lt;&gt;",Başvuru!$F:$F,"&lt;&gt;")-1)*100,"0.0")&amp;"%","-"))</f>
        <v>00%</v>
      </c>
      <c r="F294" s="162">
        <f>IF(C294="","",COUNTIFS(Başvuru!$C:$C,C294,Başvuru!$G:$G,"Bireysel Araştırma",Başvuru!$A:$A,"&lt;&gt;"&amp;"",Başvuru!$F:$F,"&lt;&gt;"&amp;""))</f>
        <v>1</v>
      </c>
      <c r="G294" s="162">
        <f>IF(C294="","",COUNTIFS(Başvuru!$C:$C,C294,Başvuru!$G:$G,"Uzmanlık Tezi",Başvuru!$A:$A,"&lt;&gt;"&amp;"",Başvuru!$F:$F,"&lt;&gt;"&amp;""))</f>
        <v>0</v>
      </c>
      <c r="H294" s="162">
        <f>IF(C294="","",COUNTIFS(Başvuru!$C:$C,C294,Başvuru!$G:$G,"Doktora Tezi",Başvuru!$A:$A,"&lt;&gt;"&amp;"",Başvuru!$F:$F,"&lt;&gt;"&amp;""))</f>
        <v>0</v>
      </c>
      <c r="I294" s="162">
        <f>IF(C294="","",COUNTIFS(Başvuru!$C:$C,C294,Başvuru!$G:$G,"Yüksek Lisans Tezi",Başvuru!$A:$A,"&lt;&gt;"&amp;"",Başvuru!$F:$F,"&lt;&gt;"&amp;""))</f>
        <v>0</v>
      </c>
      <c r="J294" s="163">
        <f>IF(C294="","",COUNTIFS(Başvuru!$C:$C,C294,Başvuru!$L:$L,"ONAY",Başvuru!$A:$A,"&lt;&gt;"&amp;"",Başvuru!$F:$F,"&lt;&gt;"&amp;""))</f>
        <v>0</v>
      </c>
      <c r="K294" s="164">
        <f>IF(C294="","",COUNTIFS(Başvuru!$C:$C,C294,Başvuru!$L:$L,"DÜZELTME",Başvuru!$A:$A,"&lt;&gt;"&amp;"",Başvuru!$F:$F,"&lt;&gt;"&amp;""))</f>
        <v>1</v>
      </c>
      <c r="L294" s="165">
        <f>IF(C294="","",COUNTIFS(Başvuru!$C:$C,C294,Başvuru!$L:$L,"KAEK",Başvuru!$A:$A,"&lt;&gt;"&amp;"",Başvuru!$F:$F,"&lt;&gt;"&amp;""))</f>
        <v>0</v>
      </c>
      <c r="M294" s="166">
        <f>IF(C294="","",COUNTIFS(Başvuru!$C:$C,C294,Başvuru!$L:$L,"GÖRÜŞ",Başvuru!$A:$A,"&lt;&gt;"&amp;"",Başvuru!$F:$F,"&lt;&gt;"&amp;""))</f>
        <v>0</v>
      </c>
      <c r="N294" s="167">
        <f>IF(C294="","",COUNTIFS(Başvuru!$C:$C,C294,Başvuru!$L:$L,"RET",Başvuru!$A:$A,"&lt;&gt;"&amp;"",Başvuru!$F:$F,"&lt;&gt;"&amp;""))</f>
        <v>0</v>
      </c>
      <c r="O294" s="168">
        <f>IF(C294="","",COUNTIFS(Başvuru!$C:$C,C294,Başvuru!$L:$L,"KAPSAM DIŞI",Başvuru!$A:$A,"&lt;&gt;"&amp;"",Başvuru!$F:$F,"&lt;&gt;"&amp;""))</f>
        <v>0</v>
      </c>
      <c r="P294" s="169">
        <f>IF(C294="","",COUNTIFS(Başvuru!$C:$C,C294,Başvuru!$L:$L,"GERİ ÇEKİLDİ",Başvuru!$A:$A,"&lt;&gt;"&amp;"",Başvuru!$F:$F,"&lt;&gt;"&amp;""))</f>
        <v>0</v>
      </c>
      <c r="Q294" s="170" t="str">
        <f t="array" ref="Q294">IFERROR(INDEX(Başvuru!$C$2:$C$3000, MATCH(0, COUNTIF($Q$5:Q293, Başvuru!$C$2:$C$3000) + IF(Başvuru!$C$2:$C$3000="",1,0), 0)), "")</f>
        <v>Doç. Dr. Elif Günay BULUT</v>
      </c>
      <c r="R294" s="171">
        <f>IF(Q294="","",COUNTIFS(Başvuru!$C:$C,Q294,Başvuru!$A:$A,"&lt;&gt;"&amp;"",Başvuru!$F:$F,"&lt;&gt;"&amp;""))</f>
        <v>1</v>
      </c>
      <c r="S294" s="171">
        <f>IF(R294="","",RANK(R294,$R$6:$R$505,0)+COUNTIF($R$6:R294,R294)-1)</f>
        <v>296</v>
      </c>
    </row>
    <row r="295" spans="2:19" ht="23.25" customHeight="1" x14ac:dyDescent="0.25">
      <c r="B295" s="159">
        <v>290</v>
      </c>
      <c r="C295" s="160" t="str">
        <f>IFERROR(INDEX($Q$6:$Q$505,MATCH(290,$S$6:$S$505,0)),"")</f>
        <v>Doç. Dr. Nursel AKKAYA</v>
      </c>
      <c r="D295" s="161">
        <f>IF(C295="","",COUNTIFS(Başvuru!$C:$C,C295,Başvuru!$A:$A,"&lt;&gt;"&amp;"",Başvuru!$F:$F,"&lt;&gt;"&amp;""))</f>
        <v>1</v>
      </c>
      <c r="E295" s="159" t="str">
        <f>IF(C295="","-",IF(D295&gt;0,TEXT(D295/(COUNTIFS(Başvuru!$A:$A,"&lt;&gt;",Başvuru!$F:$F,"&lt;&gt;")-1)*100,"0.0")&amp;"%","-"))</f>
        <v>00%</v>
      </c>
      <c r="F295" s="162">
        <f>IF(C295="","",COUNTIFS(Başvuru!$C:$C,C295,Başvuru!$G:$G,"Bireysel Araştırma",Başvuru!$A:$A,"&lt;&gt;"&amp;"",Başvuru!$F:$F,"&lt;&gt;"&amp;""))</f>
        <v>0</v>
      </c>
      <c r="G295" s="162">
        <f>IF(C295="","",COUNTIFS(Başvuru!$C:$C,C295,Başvuru!$G:$G,"Uzmanlık Tezi",Başvuru!$A:$A,"&lt;&gt;"&amp;"",Başvuru!$F:$F,"&lt;&gt;"&amp;""))</f>
        <v>1</v>
      </c>
      <c r="H295" s="162">
        <f>IF(C295="","",COUNTIFS(Başvuru!$C:$C,C295,Başvuru!$G:$G,"Doktora Tezi",Başvuru!$A:$A,"&lt;&gt;"&amp;"",Başvuru!$F:$F,"&lt;&gt;"&amp;""))</f>
        <v>0</v>
      </c>
      <c r="I295" s="162">
        <f>IF(C295="","",COUNTIFS(Başvuru!$C:$C,C295,Başvuru!$G:$G,"Yüksek Lisans Tezi",Başvuru!$A:$A,"&lt;&gt;"&amp;"",Başvuru!$F:$F,"&lt;&gt;"&amp;""))</f>
        <v>0</v>
      </c>
      <c r="J295" s="163">
        <f>IF(C295="","",COUNTIFS(Başvuru!$C:$C,C295,Başvuru!$L:$L,"ONAY",Başvuru!$A:$A,"&lt;&gt;"&amp;"",Başvuru!$F:$F,"&lt;&gt;"&amp;""))</f>
        <v>1</v>
      </c>
      <c r="K295" s="164">
        <f>IF(C295="","",COUNTIFS(Başvuru!$C:$C,C295,Başvuru!$L:$L,"DÜZELTME",Başvuru!$A:$A,"&lt;&gt;"&amp;"",Başvuru!$F:$F,"&lt;&gt;"&amp;""))</f>
        <v>0</v>
      </c>
      <c r="L295" s="165">
        <f>IF(C295="","",COUNTIFS(Başvuru!$C:$C,C295,Başvuru!$L:$L,"KAEK",Başvuru!$A:$A,"&lt;&gt;"&amp;"",Başvuru!$F:$F,"&lt;&gt;"&amp;""))</f>
        <v>0</v>
      </c>
      <c r="M295" s="166">
        <f>IF(C295="","",COUNTIFS(Başvuru!$C:$C,C295,Başvuru!$L:$L,"GÖRÜŞ",Başvuru!$A:$A,"&lt;&gt;"&amp;"",Başvuru!$F:$F,"&lt;&gt;"&amp;""))</f>
        <v>0</v>
      </c>
      <c r="N295" s="167">
        <f>IF(C295="","",COUNTIFS(Başvuru!$C:$C,C295,Başvuru!$L:$L,"RET",Başvuru!$A:$A,"&lt;&gt;"&amp;"",Başvuru!$F:$F,"&lt;&gt;"&amp;""))</f>
        <v>0</v>
      </c>
      <c r="O295" s="168">
        <f>IF(C295="","",COUNTIFS(Başvuru!$C:$C,C295,Başvuru!$L:$L,"KAPSAM DIŞI",Başvuru!$A:$A,"&lt;&gt;"&amp;"",Başvuru!$F:$F,"&lt;&gt;"&amp;""))</f>
        <v>0</v>
      </c>
      <c r="P295" s="169">
        <f>IF(C295="","",COUNTIFS(Başvuru!$C:$C,C295,Başvuru!$L:$L,"GERİ ÇEKİLDİ",Başvuru!$A:$A,"&lt;&gt;"&amp;"",Başvuru!$F:$F,"&lt;&gt;"&amp;""))</f>
        <v>0</v>
      </c>
      <c r="Q295" s="170" t="str">
        <f t="array" ref="Q295">IFERROR(INDEX(Başvuru!$C$2:$C$3000, MATCH(0, COUNTIF($Q$5:Q294, Başvuru!$C$2:$C$3000) + IF(Başvuru!$C$2:$C$3000="",1,0), 0)), "")</f>
        <v>Prof. Dr. Ahmet SERPER</v>
      </c>
      <c r="R295" s="171">
        <f>IF(Q295="","",COUNTIFS(Başvuru!$C:$C,Q295,Başvuru!$A:$A,"&lt;&gt;"&amp;"",Başvuru!$F:$F,"&lt;&gt;"&amp;""))</f>
        <v>2</v>
      </c>
      <c r="S295" s="171">
        <f>IF(R295="","",RANK(R295,$R$6:$R$505,0)+COUNTIF($R$6:R295,R295)-1)</f>
        <v>143</v>
      </c>
    </row>
    <row r="296" spans="2:19" ht="23.25" customHeight="1" x14ac:dyDescent="0.25">
      <c r="B296" s="159">
        <v>291</v>
      </c>
      <c r="C296" s="160" t="str">
        <f>IFERROR(INDEX($Q$6:$Q$505,MATCH(291,$S$6:$S$505,0)),"")</f>
        <v>Öğr. Gör. Dr. Kemal SARUHAN</v>
      </c>
      <c r="D296" s="161">
        <f>IF(C296="","",COUNTIFS(Başvuru!$C:$C,C296,Başvuru!$A:$A,"&lt;&gt;"&amp;"",Başvuru!$F:$F,"&lt;&gt;"&amp;""))</f>
        <v>1</v>
      </c>
      <c r="E296" s="159" t="str">
        <f>IF(C296="","-",IF(D296&gt;0,TEXT(D296/(COUNTIFS(Başvuru!$A:$A,"&lt;&gt;",Başvuru!$F:$F,"&lt;&gt;")-1)*100,"0.0")&amp;"%","-"))</f>
        <v>00%</v>
      </c>
      <c r="F296" s="162">
        <f>IF(C296="","",COUNTIFS(Başvuru!$C:$C,C296,Başvuru!$G:$G,"Bireysel Araştırma",Başvuru!$A:$A,"&lt;&gt;"&amp;"",Başvuru!$F:$F,"&lt;&gt;"&amp;""))</f>
        <v>1</v>
      </c>
      <c r="G296" s="162">
        <f>IF(C296="","",COUNTIFS(Başvuru!$C:$C,C296,Başvuru!$G:$G,"Uzmanlık Tezi",Başvuru!$A:$A,"&lt;&gt;"&amp;"",Başvuru!$F:$F,"&lt;&gt;"&amp;""))</f>
        <v>0</v>
      </c>
      <c r="H296" s="162">
        <f>IF(C296="","",COUNTIFS(Başvuru!$C:$C,C296,Başvuru!$G:$G,"Doktora Tezi",Başvuru!$A:$A,"&lt;&gt;"&amp;"",Başvuru!$F:$F,"&lt;&gt;"&amp;""))</f>
        <v>0</v>
      </c>
      <c r="I296" s="162">
        <f>IF(C296="","",COUNTIFS(Başvuru!$C:$C,C296,Başvuru!$G:$G,"Yüksek Lisans Tezi",Başvuru!$A:$A,"&lt;&gt;"&amp;"",Başvuru!$F:$F,"&lt;&gt;"&amp;""))</f>
        <v>0</v>
      </c>
      <c r="J296" s="163">
        <f>IF(C296="","",COUNTIFS(Başvuru!$C:$C,C296,Başvuru!$L:$L,"ONAY",Başvuru!$A:$A,"&lt;&gt;"&amp;"",Başvuru!$F:$F,"&lt;&gt;"&amp;""))</f>
        <v>1</v>
      </c>
      <c r="K296" s="164">
        <f>IF(C296="","",COUNTIFS(Başvuru!$C:$C,C296,Başvuru!$L:$L,"DÜZELTME",Başvuru!$A:$A,"&lt;&gt;"&amp;"",Başvuru!$F:$F,"&lt;&gt;"&amp;""))</f>
        <v>0</v>
      </c>
      <c r="L296" s="165">
        <f>IF(C296="","",COUNTIFS(Başvuru!$C:$C,C296,Başvuru!$L:$L,"KAEK",Başvuru!$A:$A,"&lt;&gt;"&amp;"",Başvuru!$F:$F,"&lt;&gt;"&amp;""))</f>
        <v>0</v>
      </c>
      <c r="M296" s="166">
        <f>IF(C296="","",COUNTIFS(Başvuru!$C:$C,C296,Başvuru!$L:$L,"GÖRÜŞ",Başvuru!$A:$A,"&lt;&gt;"&amp;"",Başvuru!$F:$F,"&lt;&gt;"&amp;""))</f>
        <v>0</v>
      </c>
      <c r="N296" s="167">
        <f>IF(C296="","",COUNTIFS(Başvuru!$C:$C,C296,Başvuru!$L:$L,"RET",Başvuru!$A:$A,"&lt;&gt;"&amp;"",Başvuru!$F:$F,"&lt;&gt;"&amp;""))</f>
        <v>0</v>
      </c>
      <c r="O296" s="168">
        <f>IF(C296="","",COUNTIFS(Başvuru!$C:$C,C296,Başvuru!$L:$L,"KAPSAM DIŞI",Başvuru!$A:$A,"&lt;&gt;"&amp;"",Başvuru!$F:$F,"&lt;&gt;"&amp;""))</f>
        <v>0</v>
      </c>
      <c r="P296" s="169">
        <f>IF(C296="","",COUNTIFS(Başvuru!$C:$C,C296,Başvuru!$L:$L,"GERİ ÇEKİLDİ",Başvuru!$A:$A,"&lt;&gt;"&amp;"",Başvuru!$F:$F,"&lt;&gt;"&amp;""))</f>
        <v>0</v>
      </c>
      <c r="Q296" s="170" t="str">
        <f t="array" ref="Q296">IFERROR(INDEX(Başvuru!$C$2:$C$3000, MATCH(0, COUNTIF($Q$5:Q295, Başvuru!$C$2:$C$3000) + IF(Başvuru!$C$2:$C$3000="",1,0), 0)), "")</f>
        <v>Doç. Dr. İsmail UYANIK</v>
      </c>
      <c r="R296" s="171">
        <f>IF(Q296="","",COUNTIFS(Başvuru!$C:$C,Q296,Başvuru!$A:$A,"&lt;&gt;"&amp;"",Başvuru!$F:$F,"&lt;&gt;"&amp;""))</f>
        <v>1</v>
      </c>
      <c r="S296" s="171">
        <f>IF(R296="","",RANK(R296,$R$6:$R$505,0)+COUNTIF($R$6:R296,R296)-1)</f>
        <v>297</v>
      </c>
    </row>
    <row r="297" spans="2:19" ht="23.25" customHeight="1" x14ac:dyDescent="0.25">
      <c r="B297" s="159">
        <v>292</v>
      </c>
      <c r="C297" s="160" t="str">
        <f>IFERROR(INDEX($Q$6:$Q$505,MATCH(292,$S$6:$S$505,0)),"")</f>
        <v>Dr. Öğr. Gör. Tuğçe TAŞKINDERE ABBASOĞLU</v>
      </c>
      <c r="D297" s="161">
        <f>IF(C297="","",COUNTIFS(Başvuru!$C:$C,C297,Başvuru!$A:$A,"&lt;&gt;"&amp;"",Başvuru!$F:$F,"&lt;&gt;"&amp;""))</f>
        <v>1</v>
      </c>
      <c r="E297" s="159" t="str">
        <f>IF(C297="","-",IF(D297&gt;0,TEXT(D297/(COUNTIFS(Başvuru!$A:$A,"&lt;&gt;",Başvuru!$F:$F,"&lt;&gt;")-1)*100,"0.0")&amp;"%","-"))</f>
        <v>00%</v>
      </c>
      <c r="F297" s="162">
        <f>IF(C297="","",COUNTIFS(Başvuru!$C:$C,C297,Başvuru!$G:$G,"Bireysel Araştırma",Başvuru!$A:$A,"&lt;&gt;"&amp;"",Başvuru!$F:$F,"&lt;&gt;"&amp;""))</f>
        <v>1</v>
      </c>
      <c r="G297" s="162">
        <f>IF(C297="","",COUNTIFS(Başvuru!$C:$C,C297,Başvuru!$G:$G,"Uzmanlık Tezi",Başvuru!$A:$A,"&lt;&gt;"&amp;"",Başvuru!$F:$F,"&lt;&gt;"&amp;""))</f>
        <v>0</v>
      </c>
      <c r="H297" s="162">
        <f>IF(C297="","",COUNTIFS(Başvuru!$C:$C,C297,Başvuru!$G:$G,"Doktora Tezi",Başvuru!$A:$A,"&lt;&gt;"&amp;"",Başvuru!$F:$F,"&lt;&gt;"&amp;""))</f>
        <v>0</v>
      </c>
      <c r="I297" s="162">
        <f>IF(C297="","",COUNTIFS(Başvuru!$C:$C,C297,Başvuru!$G:$G,"Yüksek Lisans Tezi",Başvuru!$A:$A,"&lt;&gt;"&amp;"",Başvuru!$F:$F,"&lt;&gt;"&amp;""))</f>
        <v>0</v>
      </c>
      <c r="J297" s="163">
        <f>IF(C297="","",COUNTIFS(Başvuru!$C:$C,C297,Başvuru!$L:$L,"ONAY",Başvuru!$A:$A,"&lt;&gt;"&amp;"",Başvuru!$F:$F,"&lt;&gt;"&amp;""))</f>
        <v>1</v>
      </c>
      <c r="K297" s="164">
        <f>IF(C297="","",COUNTIFS(Başvuru!$C:$C,C297,Başvuru!$L:$L,"DÜZELTME",Başvuru!$A:$A,"&lt;&gt;"&amp;"",Başvuru!$F:$F,"&lt;&gt;"&amp;""))</f>
        <v>0</v>
      </c>
      <c r="L297" s="165">
        <f>IF(C297="","",COUNTIFS(Başvuru!$C:$C,C297,Başvuru!$L:$L,"KAEK",Başvuru!$A:$A,"&lt;&gt;"&amp;"",Başvuru!$F:$F,"&lt;&gt;"&amp;""))</f>
        <v>0</v>
      </c>
      <c r="M297" s="166">
        <f>IF(C297="","",COUNTIFS(Başvuru!$C:$C,C297,Başvuru!$L:$L,"GÖRÜŞ",Başvuru!$A:$A,"&lt;&gt;"&amp;"",Başvuru!$F:$F,"&lt;&gt;"&amp;""))</f>
        <v>0</v>
      </c>
      <c r="N297" s="167">
        <f>IF(C297="","",COUNTIFS(Başvuru!$C:$C,C297,Başvuru!$L:$L,"RET",Başvuru!$A:$A,"&lt;&gt;"&amp;"",Başvuru!$F:$F,"&lt;&gt;"&amp;""))</f>
        <v>0</v>
      </c>
      <c r="O297" s="168">
        <f>IF(C297="","",COUNTIFS(Başvuru!$C:$C,C297,Başvuru!$L:$L,"KAPSAM DIŞI",Başvuru!$A:$A,"&lt;&gt;"&amp;"",Başvuru!$F:$F,"&lt;&gt;"&amp;""))</f>
        <v>0</v>
      </c>
      <c r="P297" s="169">
        <f>IF(C297="","",COUNTIFS(Başvuru!$C:$C,C297,Başvuru!$L:$L,"GERİ ÇEKİLDİ",Başvuru!$A:$A,"&lt;&gt;"&amp;"",Başvuru!$F:$F,"&lt;&gt;"&amp;""))</f>
        <v>0</v>
      </c>
      <c r="Q297" s="170" t="str">
        <f t="array" ref="Q297">IFERROR(INDEX(Başvuru!$C$2:$C$3000, MATCH(0, COUNTIF($Q$5:Q296, Başvuru!$C$2:$C$3000) + IF(Başvuru!$C$2:$C$3000="",1,0), 0)), "")</f>
        <v>Prof. Dr. Selin AYTAÇ EYÜPOĞLU</v>
      </c>
      <c r="R297" s="171">
        <f>IF(Q297="","",COUNTIFS(Başvuru!$C:$C,Q297,Başvuru!$A:$A,"&lt;&gt;"&amp;"",Başvuru!$F:$F,"&lt;&gt;"&amp;""))</f>
        <v>3</v>
      </c>
      <c r="S297" s="171">
        <f>IF(R297="","",RANK(R297,$R$6:$R$505,0)+COUNTIF($R$6:R297,R297)-1)</f>
        <v>74</v>
      </c>
    </row>
    <row r="298" spans="2:19" ht="23.25" customHeight="1" x14ac:dyDescent="0.25">
      <c r="B298" s="159">
        <v>293</v>
      </c>
      <c r="C298" s="160" t="str">
        <f>IFERROR(INDEX($Q$6:$Q$505,MATCH(293,$S$6:$S$505,0)),"")</f>
        <v>Prof. Dr. Lokman UZUN</v>
      </c>
      <c r="D298" s="161">
        <f>IF(C298="","",COUNTIFS(Başvuru!$C:$C,C298,Başvuru!$A:$A,"&lt;&gt;"&amp;"",Başvuru!$F:$F,"&lt;&gt;"&amp;""))</f>
        <v>1</v>
      </c>
      <c r="E298" s="159" t="str">
        <f>IF(C298="","-",IF(D298&gt;0,TEXT(D298/(COUNTIFS(Başvuru!$A:$A,"&lt;&gt;",Başvuru!$F:$F,"&lt;&gt;")-1)*100,"0.0")&amp;"%","-"))</f>
        <v>00%</v>
      </c>
      <c r="F298" s="162">
        <f>IF(C298="","",COUNTIFS(Başvuru!$C:$C,C298,Başvuru!$G:$G,"Bireysel Araştırma",Başvuru!$A:$A,"&lt;&gt;"&amp;"",Başvuru!$F:$F,"&lt;&gt;"&amp;""))</f>
        <v>1</v>
      </c>
      <c r="G298" s="162">
        <f>IF(C298="","",COUNTIFS(Başvuru!$C:$C,C298,Başvuru!$G:$G,"Uzmanlık Tezi",Başvuru!$A:$A,"&lt;&gt;"&amp;"",Başvuru!$F:$F,"&lt;&gt;"&amp;""))</f>
        <v>0</v>
      </c>
      <c r="H298" s="162">
        <f>IF(C298="","",COUNTIFS(Başvuru!$C:$C,C298,Başvuru!$G:$G,"Doktora Tezi",Başvuru!$A:$A,"&lt;&gt;"&amp;"",Başvuru!$F:$F,"&lt;&gt;"&amp;""))</f>
        <v>0</v>
      </c>
      <c r="I298" s="162">
        <f>IF(C298="","",COUNTIFS(Başvuru!$C:$C,C298,Başvuru!$G:$G,"Yüksek Lisans Tezi",Başvuru!$A:$A,"&lt;&gt;"&amp;"",Başvuru!$F:$F,"&lt;&gt;"&amp;""))</f>
        <v>0</v>
      </c>
      <c r="J298" s="163">
        <f>IF(C298="","",COUNTIFS(Başvuru!$C:$C,C298,Başvuru!$L:$L,"ONAY",Başvuru!$A:$A,"&lt;&gt;"&amp;"",Başvuru!$F:$F,"&lt;&gt;"&amp;""))</f>
        <v>0</v>
      </c>
      <c r="K298" s="164">
        <f>IF(C298="","",COUNTIFS(Başvuru!$C:$C,C298,Başvuru!$L:$L,"DÜZELTME",Başvuru!$A:$A,"&lt;&gt;"&amp;"",Başvuru!$F:$F,"&lt;&gt;"&amp;""))</f>
        <v>0</v>
      </c>
      <c r="L298" s="165">
        <f>IF(C298="","",COUNTIFS(Başvuru!$C:$C,C298,Başvuru!$L:$L,"KAEK",Başvuru!$A:$A,"&lt;&gt;"&amp;"",Başvuru!$F:$F,"&lt;&gt;"&amp;""))</f>
        <v>0</v>
      </c>
      <c r="M298" s="166">
        <f>IF(C298="","",COUNTIFS(Başvuru!$C:$C,C298,Başvuru!$L:$L,"GÖRÜŞ",Başvuru!$A:$A,"&lt;&gt;"&amp;"",Başvuru!$F:$F,"&lt;&gt;"&amp;""))</f>
        <v>0</v>
      </c>
      <c r="N298" s="167">
        <f>IF(C298="","",COUNTIFS(Başvuru!$C:$C,C298,Başvuru!$L:$L,"RET",Başvuru!$A:$A,"&lt;&gt;"&amp;"",Başvuru!$F:$F,"&lt;&gt;"&amp;""))</f>
        <v>0</v>
      </c>
      <c r="O298" s="168">
        <f>IF(C298="","",COUNTIFS(Başvuru!$C:$C,C298,Başvuru!$L:$L,"KAPSAM DIŞI",Başvuru!$A:$A,"&lt;&gt;"&amp;"",Başvuru!$F:$F,"&lt;&gt;"&amp;""))</f>
        <v>1</v>
      </c>
      <c r="P298" s="169">
        <f>IF(C298="","",COUNTIFS(Başvuru!$C:$C,C298,Başvuru!$L:$L,"GERİ ÇEKİLDİ",Başvuru!$A:$A,"&lt;&gt;"&amp;"",Başvuru!$F:$F,"&lt;&gt;"&amp;""))</f>
        <v>0</v>
      </c>
      <c r="Q298" s="170" t="str">
        <f t="array" ref="Q298">IFERROR(INDEX(Başvuru!$C$2:$C$3000, MATCH(0, COUNTIF($Q$5:Q297, Başvuru!$C$2:$C$3000) + IF(Başvuru!$C$2:$C$3000="",1,0), 0)), "")</f>
        <v>Prof. Dr. B. Barış KUŞKONMAZ</v>
      </c>
      <c r="R298" s="171">
        <f>IF(Q298="","",COUNTIFS(Başvuru!$C:$C,Q298,Başvuru!$A:$A,"&lt;&gt;"&amp;"",Başvuru!$F:$F,"&lt;&gt;"&amp;""))</f>
        <v>1</v>
      </c>
      <c r="S298" s="171">
        <f>IF(R298="","",RANK(R298,$R$6:$R$505,0)+COUNTIF($R$6:R298,R298)-1)</f>
        <v>298</v>
      </c>
    </row>
    <row r="299" spans="2:19" ht="23.25" customHeight="1" x14ac:dyDescent="0.25">
      <c r="B299" s="159">
        <v>294</v>
      </c>
      <c r="C299" s="160" t="str">
        <f>IFERROR(INDEX($Q$6:$Q$505,MATCH(294,$S$6:$S$505,0)),"")</f>
        <v>Arş. Gör. Dr. Pınar YAVUZ TAZE</v>
      </c>
      <c r="D299" s="161">
        <f>IF(C299="","",COUNTIFS(Başvuru!$C:$C,C299,Başvuru!$A:$A,"&lt;&gt;"&amp;"",Başvuru!$F:$F,"&lt;&gt;"&amp;""))</f>
        <v>1</v>
      </c>
      <c r="E299" s="159" t="str">
        <f>IF(C299="","-",IF(D299&gt;0,TEXT(D299/(COUNTIFS(Başvuru!$A:$A,"&lt;&gt;",Başvuru!$F:$F,"&lt;&gt;")-1)*100,"0.0")&amp;"%","-"))</f>
        <v>00%</v>
      </c>
      <c r="F299" s="162">
        <f>IF(C299="","",COUNTIFS(Başvuru!$C:$C,C299,Başvuru!$G:$G,"Bireysel Araştırma",Başvuru!$A:$A,"&lt;&gt;"&amp;"",Başvuru!$F:$F,"&lt;&gt;"&amp;""))</f>
        <v>1</v>
      </c>
      <c r="G299" s="162">
        <f>IF(C299="","",COUNTIFS(Başvuru!$C:$C,C299,Başvuru!$G:$G,"Uzmanlık Tezi",Başvuru!$A:$A,"&lt;&gt;"&amp;"",Başvuru!$F:$F,"&lt;&gt;"&amp;""))</f>
        <v>0</v>
      </c>
      <c r="H299" s="162">
        <f>IF(C299="","",COUNTIFS(Başvuru!$C:$C,C299,Başvuru!$G:$G,"Doktora Tezi",Başvuru!$A:$A,"&lt;&gt;"&amp;"",Başvuru!$F:$F,"&lt;&gt;"&amp;""))</f>
        <v>0</v>
      </c>
      <c r="I299" s="162">
        <f>IF(C299="","",COUNTIFS(Başvuru!$C:$C,C299,Başvuru!$G:$G,"Yüksek Lisans Tezi",Başvuru!$A:$A,"&lt;&gt;"&amp;"",Başvuru!$F:$F,"&lt;&gt;"&amp;""))</f>
        <v>0</v>
      </c>
      <c r="J299" s="163">
        <f>IF(C299="","",COUNTIFS(Başvuru!$C:$C,C299,Başvuru!$L:$L,"ONAY",Başvuru!$A:$A,"&lt;&gt;"&amp;"",Başvuru!$F:$F,"&lt;&gt;"&amp;""))</f>
        <v>1</v>
      </c>
      <c r="K299" s="164">
        <f>IF(C299="","",COUNTIFS(Başvuru!$C:$C,C299,Başvuru!$L:$L,"DÜZELTME",Başvuru!$A:$A,"&lt;&gt;"&amp;"",Başvuru!$F:$F,"&lt;&gt;"&amp;""))</f>
        <v>0</v>
      </c>
      <c r="L299" s="165">
        <f>IF(C299="","",COUNTIFS(Başvuru!$C:$C,C299,Başvuru!$L:$L,"KAEK",Başvuru!$A:$A,"&lt;&gt;"&amp;"",Başvuru!$F:$F,"&lt;&gt;"&amp;""))</f>
        <v>0</v>
      </c>
      <c r="M299" s="166">
        <f>IF(C299="","",COUNTIFS(Başvuru!$C:$C,C299,Başvuru!$L:$L,"GÖRÜŞ",Başvuru!$A:$A,"&lt;&gt;"&amp;"",Başvuru!$F:$F,"&lt;&gt;"&amp;""))</f>
        <v>0</v>
      </c>
      <c r="N299" s="167">
        <f>IF(C299="","",COUNTIFS(Başvuru!$C:$C,C299,Başvuru!$L:$L,"RET",Başvuru!$A:$A,"&lt;&gt;"&amp;"",Başvuru!$F:$F,"&lt;&gt;"&amp;""))</f>
        <v>0</v>
      </c>
      <c r="O299" s="168">
        <f>IF(C299="","",COUNTIFS(Başvuru!$C:$C,C299,Başvuru!$L:$L,"KAPSAM DIŞI",Başvuru!$A:$A,"&lt;&gt;"&amp;"",Başvuru!$F:$F,"&lt;&gt;"&amp;""))</f>
        <v>0</v>
      </c>
      <c r="P299" s="169">
        <f>IF(C299="","",COUNTIFS(Başvuru!$C:$C,C299,Başvuru!$L:$L,"GERİ ÇEKİLDİ",Başvuru!$A:$A,"&lt;&gt;"&amp;"",Başvuru!$F:$F,"&lt;&gt;"&amp;""))</f>
        <v>0</v>
      </c>
      <c r="Q299" s="170" t="str">
        <f t="array" ref="Q299">IFERROR(INDEX(Başvuru!$C$2:$C$3000, MATCH(0, COUNTIF($Q$5:Q298, Başvuru!$C$2:$C$3000) + IF(Başvuru!$C$2:$C$3000="",1,0), 0)), "")</f>
        <v>Prof. Dr. Yelda BİLGİNER</v>
      </c>
      <c r="R299" s="171">
        <f>IF(Q299="","",COUNTIFS(Başvuru!$C:$C,Q299,Başvuru!$A:$A,"&lt;&gt;"&amp;"",Başvuru!$F:$F,"&lt;&gt;"&amp;""))</f>
        <v>1</v>
      </c>
      <c r="S299" s="171">
        <f>IF(R299="","",RANK(R299,$R$6:$R$505,0)+COUNTIF($R$6:R299,R299)-1)</f>
        <v>299</v>
      </c>
    </row>
    <row r="300" spans="2:19" ht="23.25" customHeight="1" x14ac:dyDescent="0.25">
      <c r="B300" s="159">
        <v>295</v>
      </c>
      <c r="C300" s="160" t="str">
        <f>IFERROR(INDEX($Q$6:$Q$505,MATCH(295,$S$6:$S$505,0)),"")</f>
        <v>Prof. Dr. Levent ÖZÇAKAR</v>
      </c>
      <c r="D300" s="161">
        <f>IF(C300="","",COUNTIFS(Başvuru!$C:$C,C300,Başvuru!$A:$A,"&lt;&gt;"&amp;"",Başvuru!$F:$F,"&lt;&gt;"&amp;""))</f>
        <v>1</v>
      </c>
      <c r="E300" s="159" t="str">
        <f>IF(C300="","-",IF(D300&gt;0,TEXT(D300/(COUNTIFS(Başvuru!$A:$A,"&lt;&gt;",Başvuru!$F:$F,"&lt;&gt;")-1)*100,"0.0")&amp;"%","-"))</f>
        <v>00%</v>
      </c>
      <c r="F300" s="162">
        <f>IF(C300="","",COUNTIFS(Başvuru!$C:$C,C300,Başvuru!$G:$G,"Bireysel Araştırma",Başvuru!$A:$A,"&lt;&gt;"&amp;"",Başvuru!$F:$F,"&lt;&gt;"&amp;""))</f>
        <v>0</v>
      </c>
      <c r="G300" s="162">
        <f>IF(C300="","",COUNTIFS(Başvuru!$C:$C,C300,Başvuru!$G:$G,"Uzmanlık Tezi",Başvuru!$A:$A,"&lt;&gt;"&amp;"",Başvuru!$F:$F,"&lt;&gt;"&amp;""))</f>
        <v>1</v>
      </c>
      <c r="H300" s="162">
        <f>IF(C300="","",COUNTIFS(Başvuru!$C:$C,C300,Başvuru!$G:$G,"Doktora Tezi",Başvuru!$A:$A,"&lt;&gt;"&amp;"",Başvuru!$F:$F,"&lt;&gt;"&amp;""))</f>
        <v>0</v>
      </c>
      <c r="I300" s="162">
        <f>IF(C300="","",COUNTIFS(Başvuru!$C:$C,C300,Başvuru!$G:$G,"Yüksek Lisans Tezi",Başvuru!$A:$A,"&lt;&gt;"&amp;"",Başvuru!$F:$F,"&lt;&gt;"&amp;""))</f>
        <v>0</v>
      </c>
      <c r="J300" s="163">
        <f>IF(C300="","",COUNTIFS(Başvuru!$C:$C,C300,Başvuru!$L:$L,"ONAY",Başvuru!$A:$A,"&lt;&gt;"&amp;"",Başvuru!$F:$F,"&lt;&gt;"&amp;""))</f>
        <v>0</v>
      </c>
      <c r="K300" s="164">
        <f>IF(C300="","",COUNTIFS(Başvuru!$C:$C,C300,Başvuru!$L:$L,"DÜZELTME",Başvuru!$A:$A,"&lt;&gt;"&amp;"",Başvuru!$F:$F,"&lt;&gt;"&amp;""))</f>
        <v>1</v>
      </c>
      <c r="L300" s="165">
        <f>IF(C300="","",COUNTIFS(Başvuru!$C:$C,C300,Başvuru!$L:$L,"KAEK",Başvuru!$A:$A,"&lt;&gt;"&amp;"",Başvuru!$F:$F,"&lt;&gt;"&amp;""))</f>
        <v>0</v>
      </c>
      <c r="M300" s="166">
        <f>IF(C300="","",COUNTIFS(Başvuru!$C:$C,C300,Başvuru!$L:$L,"GÖRÜŞ",Başvuru!$A:$A,"&lt;&gt;"&amp;"",Başvuru!$F:$F,"&lt;&gt;"&amp;""))</f>
        <v>0</v>
      </c>
      <c r="N300" s="167">
        <f>IF(C300="","",COUNTIFS(Başvuru!$C:$C,C300,Başvuru!$L:$L,"RET",Başvuru!$A:$A,"&lt;&gt;"&amp;"",Başvuru!$F:$F,"&lt;&gt;"&amp;""))</f>
        <v>0</v>
      </c>
      <c r="O300" s="168">
        <f>IF(C300="","",COUNTIFS(Başvuru!$C:$C,C300,Başvuru!$L:$L,"KAPSAM DIŞI",Başvuru!$A:$A,"&lt;&gt;"&amp;"",Başvuru!$F:$F,"&lt;&gt;"&amp;""))</f>
        <v>0</v>
      </c>
      <c r="P300" s="169">
        <f>IF(C300="","",COUNTIFS(Başvuru!$C:$C,C300,Başvuru!$L:$L,"GERİ ÇEKİLDİ",Başvuru!$A:$A,"&lt;&gt;"&amp;"",Başvuru!$F:$F,"&lt;&gt;"&amp;""))</f>
        <v>0</v>
      </c>
      <c r="Q300" s="170" t="str">
        <f t="array" ref="Q300">IFERROR(INDEX(Başvuru!$C$2:$C$3000, MATCH(0, COUNTIF($Q$5:Q299, Başvuru!$C$2:$C$3000) + IF(Başvuru!$C$2:$C$3000="",1,0), 0)), "")</f>
        <v>Dr. Öğr. Üyesi Aslı Şan DAĞLI GÜL</v>
      </c>
      <c r="R300" s="171">
        <f>IF(Q300="","",COUNTIFS(Başvuru!$C:$C,Q300,Başvuru!$A:$A,"&lt;&gt;"&amp;"",Başvuru!$F:$F,"&lt;&gt;"&amp;""))</f>
        <v>1</v>
      </c>
      <c r="S300" s="171">
        <f>IF(R300="","",RANK(R300,$R$6:$R$505,0)+COUNTIF($R$6:R300,R300)-1)</f>
        <v>300</v>
      </c>
    </row>
    <row r="301" spans="2:19" ht="23.25" customHeight="1" x14ac:dyDescent="0.25">
      <c r="B301" s="159">
        <v>296</v>
      </c>
      <c r="C301" s="160" t="str">
        <f>IFERROR(INDEX($Q$6:$Q$505,MATCH(296,$S$6:$S$505,0)),"")</f>
        <v>Doç. Dr. Elif Günay BULUT</v>
      </c>
      <c r="D301" s="161">
        <f>IF(C301="","",COUNTIFS(Başvuru!$C:$C,C301,Başvuru!$A:$A,"&lt;&gt;"&amp;"",Başvuru!$F:$F,"&lt;&gt;"&amp;""))</f>
        <v>1</v>
      </c>
      <c r="E301" s="159" t="str">
        <f>IF(C301="","-",IF(D301&gt;0,TEXT(D301/(COUNTIFS(Başvuru!$A:$A,"&lt;&gt;",Başvuru!$F:$F,"&lt;&gt;")-1)*100,"0.0")&amp;"%","-"))</f>
        <v>00%</v>
      </c>
      <c r="F301" s="162">
        <f>IF(C301="","",COUNTIFS(Başvuru!$C:$C,C301,Başvuru!$G:$G,"Bireysel Araştırma",Başvuru!$A:$A,"&lt;&gt;"&amp;"",Başvuru!$F:$F,"&lt;&gt;"&amp;""))</f>
        <v>1</v>
      </c>
      <c r="G301" s="162">
        <f>IF(C301="","",COUNTIFS(Başvuru!$C:$C,C301,Başvuru!$G:$G,"Uzmanlık Tezi",Başvuru!$A:$A,"&lt;&gt;"&amp;"",Başvuru!$F:$F,"&lt;&gt;"&amp;""))</f>
        <v>0</v>
      </c>
      <c r="H301" s="162">
        <f>IF(C301="","",COUNTIFS(Başvuru!$C:$C,C301,Başvuru!$G:$G,"Doktora Tezi",Başvuru!$A:$A,"&lt;&gt;"&amp;"",Başvuru!$F:$F,"&lt;&gt;"&amp;""))</f>
        <v>0</v>
      </c>
      <c r="I301" s="162">
        <f>IF(C301="","",COUNTIFS(Başvuru!$C:$C,C301,Başvuru!$G:$G,"Yüksek Lisans Tezi",Başvuru!$A:$A,"&lt;&gt;"&amp;"",Başvuru!$F:$F,"&lt;&gt;"&amp;""))</f>
        <v>0</v>
      </c>
      <c r="J301" s="163">
        <f>IF(C301="","",COUNTIFS(Başvuru!$C:$C,C301,Başvuru!$L:$L,"ONAY",Başvuru!$A:$A,"&lt;&gt;"&amp;"",Başvuru!$F:$F,"&lt;&gt;"&amp;""))</f>
        <v>0</v>
      </c>
      <c r="K301" s="164">
        <f>IF(C301="","",COUNTIFS(Başvuru!$C:$C,C301,Başvuru!$L:$L,"DÜZELTME",Başvuru!$A:$A,"&lt;&gt;"&amp;"",Başvuru!$F:$F,"&lt;&gt;"&amp;""))</f>
        <v>1</v>
      </c>
      <c r="L301" s="165">
        <f>IF(C301="","",COUNTIFS(Başvuru!$C:$C,C301,Başvuru!$L:$L,"KAEK",Başvuru!$A:$A,"&lt;&gt;"&amp;"",Başvuru!$F:$F,"&lt;&gt;"&amp;""))</f>
        <v>0</v>
      </c>
      <c r="M301" s="166">
        <f>IF(C301="","",COUNTIFS(Başvuru!$C:$C,C301,Başvuru!$L:$L,"GÖRÜŞ",Başvuru!$A:$A,"&lt;&gt;"&amp;"",Başvuru!$F:$F,"&lt;&gt;"&amp;""))</f>
        <v>0</v>
      </c>
      <c r="N301" s="167">
        <f>IF(C301="","",COUNTIFS(Başvuru!$C:$C,C301,Başvuru!$L:$L,"RET",Başvuru!$A:$A,"&lt;&gt;"&amp;"",Başvuru!$F:$F,"&lt;&gt;"&amp;""))</f>
        <v>0</v>
      </c>
      <c r="O301" s="168">
        <f>IF(C301="","",COUNTIFS(Başvuru!$C:$C,C301,Başvuru!$L:$L,"KAPSAM DIŞI",Başvuru!$A:$A,"&lt;&gt;"&amp;"",Başvuru!$F:$F,"&lt;&gt;"&amp;""))</f>
        <v>0</v>
      </c>
      <c r="P301" s="169">
        <f>IF(C301="","",COUNTIFS(Başvuru!$C:$C,C301,Başvuru!$L:$L,"GERİ ÇEKİLDİ",Başvuru!$A:$A,"&lt;&gt;"&amp;"",Başvuru!$F:$F,"&lt;&gt;"&amp;""))</f>
        <v>0</v>
      </c>
      <c r="Q301" s="170" t="str">
        <f t="array" ref="Q301">IFERROR(INDEX(Başvuru!$C$2:$C$3000, MATCH(0, COUNTIF($Q$5:Q300, Başvuru!$C$2:$C$3000) + IF(Başvuru!$C$2:$C$3000="",1,0), 0)), "")</f>
        <v>Doç. Dr. Fatima AERTS KAYA</v>
      </c>
      <c r="R301" s="171">
        <f>IF(Q301="","",COUNTIFS(Başvuru!$C:$C,Q301,Başvuru!$A:$A,"&lt;&gt;"&amp;"",Başvuru!$F:$F,"&lt;&gt;"&amp;""))</f>
        <v>2</v>
      </c>
      <c r="S301" s="171">
        <f>IF(R301="","",RANK(R301,$R$6:$R$505,0)+COUNTIF($R$6:R301,R301)-1)</f>
        <v>144</v>
      </c>
    </row>
    <row r="302" spans="2:19" ht="23.25" customHeight="1" x14ac:dyDescent="0.25">
      <c r="B302" s="159">
        <v>297</v>
      </c>
      <c r="C302" s="160" t="str">
        <f>IFERROR(INDEX($Q$6:$Q$505,MATCH(297,$S$6:$S$505,0)),"")</f>
        <v>Doç. Dr. İsmail UYANIK</v>
      </c>
      <c r="D302" s="161">
        <f>IF(C302="","",COUNTIFS(Başvuru!$C:$C,C302,Başvuru!$A:$A,"&lt;&gt;"&amp;"",Başvuru!$F:$F,"&lt;&gt;"&amp;""))</f>
        <v>1</v>
      </c>
      <c r="E302" s="159" t="str">
        <f>IF(C302="","-",IF(D302&gt;0,TEXT(D302/(COUNTIFS(Başvuru!$A:$A,"&lt;&gt;",Başvuru!$F:$F,"&lt;&gt;")-1)*100,"0.0")&amp;"%","-"))</f>
        <v>00%</v>
      </c>
      <c r="F302" s="162">
        <f>IF(C302="","",COUNTIFS(Başvuru!$C:$C,C302,Başvuru!$G:$G,"Bireysel Araştırma",Başvuru!$A:$A,"&lt;&gt;"&amp;"",Başvuru!$F:$F,"&lt;&gt;"&amp;""))</f>
        <v>1</v>
      </c>
      <c r="G302" s="162">
        <f>IF(C302="","",COUNTIFS(Başvuru!$C:$C,C302,Başvuru!$G:$G,"Uzmanlık Tezi",Başvuru!$A:$A,"&lt;&gt;"&amp;"",Başvuru!$F:$F,"&lt;&gt;"&amp;""))</f>
        <v>0</v>
      </c>
      <c r="H302" s="162">
        <f>IF(C302="","",COUNTIFS(Başvuru!$C:$C,C302,Başvuru!$G:$G,"Doktora Tezi",Başvuru!$A:$A,"&lt;&gt;"&amp;"",Başvuru!$F:$F,"&lt;&gt;"&amp;""))</f>
        <v>0</v>
      </c>
      <c r="I302" s="162">
        <f>IF(C302="","",COUNTIFS(Başvuru!$C:$C,C302,Başvuru!$G:$G,"Yüksek Lisans Tezi",Başvuru!$A:$A,"&lt;&gt;"&amp;"",Başvuru!$F:$F,"&lt;&gt;"&amp;""))</f>
        <v>0</v>
      </c>
      <c r="J302" s="163">
        <f>IF(C302="","",COUNTIFS(Başvuru!$C:$C,C302,Başvuru!$L:$L,"ONAY",Başvuru!$A:$A,"&lt;&gt;"&amp;"",Başvuru!$F:$F,"&lt;&gt;"&amp;""))</f>
        <v>0</v>
      </c>
      <c r="K302" s="164">
        <f>IF(C302="","",COUNTIFS(Başvuru!$C:$C,C302,Başvuru!$L:$L,"DÜZELTME",Başvuru!$A:$A,"&lt;&gt;"&amp;"",Başvuru!$F:$F,"&lt;&gt;"&amp;""))</f>
        <v>1</v>
      </c>
      <c r="L302" s="165">
        <f>IF(C302="","",COUNTIFS(Başvuru!$C:$C,C302,Başvuru!$L:$L,"KAEK",Başvuru!$A:$A,"&lt;&gt;"&amp;"",Başvuru!$F:$F,"&lt;&gt;"&amp;""))</f>
        <v>0</v>
      </c>
      <c r="M302" s="166">
        <f>IF(C302="","",COUNTIFS(Başvuru!$C:$C,C302,Başvuru!$L:$L,"GÖRÜŞ",Başvuru!$A:$A,"&lt;&gt;"&amp;"",Başvuru!$F:$F,"&lt;&gt;"&amp;""))</f>
        <v>0</v>
      </c>
      <c r="N302" s="167">
        <f>IF(C302="","",COUNTIFS(Başvuru!$C:$C,C302,Başvuru!$L:$L,"RET",Başvuru!$A:$A,"&lt;&gt;"&amp;"",Başvuru!$F:$F,"&lt;&gt;"&amp;""))</f>
        <v>0</v>
      </c>
      <c r="O302" s="168">
        <f>IF(C302="","",COUNTIFS(Başvuru!$C:$C,C302,Başvuru!$L:$L,"KAPSAM DIŞI",Başvuru!$A:$A,"&lt;&gt;"&amp;"",Başvuru!$F:$F,"&lt;&gt;"&amp;""))</f>
        <v>0</v>
      </c>
      <c r="P302" s="169">
        <f>IF(C302="","",COUNTIFS(Başvuru!$C:$C,C302,Başvuru!$L:$L,"GERİ ÇEKİLDİ",Başvuru!$A:$A,"&lt;&gt;"&amp;"",Başvuru!$F:$F,"&lt;&gt;"&amp;""))</f>
        <v>0</v>
      </c>
      <c r="Q302" s="170" t="str">
        <f t="array" ref="Q302">IFERROR(INDEX(Başvuru!$C$2:$C$3000, MATCH(0, COUNTIF($Q$5:Q301, Başvuru!$C$2:$C$3000) + IF(Başvuru!$C$2:$C$3000="",1,0), 0)), "")</f>
        <v>Prof. Dr. İlker ERTUĞRUL</v>
      </c>
      <c r="R302" s="171">
        <f>IF(Q302="","",COUNTIFS(Başvuru!$C:$C,Q302,Başvuru!$A:$A,"&lt;&gt;"&amp;"",Başvuru!$F:$F,"&lt;&gt;"&amp;""))</f>
        <v>1</v>
      </c>
      <c r="S302" s="171">
        <f>IF(R302="","",RANK(R302,$R$6:$R$505,0)+COUNTIF($R$6:R302,R302)-1)</f>
        <v>301</v>
      </c>
    </row>
    <row r="303" spans="2:19" ht="23.25" customHeight="1" x14ac:dyDescent="0.25">
      <c r="B303" s="159">
        <v>298</v>
      </c>
      <c r="C303" s="160" t="str">
        <f>IFERROR(INDEX($Q$6:$Q$505,MATCH(298,$S$6:$S$505,0)),"")</f>
        <v>Prof. Dr. B. Barış KUŞKONMAZ</v>
      </c>
      <c r="D303" s="161">
        <f>IF(C303="","",COUNTIFS(Başvuru!$C:$C,C303,Başvuru!$A:$A,"&lt;&gt;"&amp;"",Başvuru!$F:$F,"&lt;&gt;"&amp;""))</f>
        <v>1</v>
      </c>
      <c r="E303" s="159" t="str">
        <f>IF(C303="","-",IF(D303&gt;0,TEXT(D303/(COUNTIFS(Başvuru!$A:$A,"&lt;&gt;",Başvuru!$F:$F,"&lt;&gt;")-1)*100,"0.0")&amp;"%","-"))</f>
        <v>00%</v>
      </c>
      <c r="F303" s="162">
        <f>IF(C303="","",COUNTIFS(Başvuru!$C:$C,C303,Başvuru!$G:$G,"Bireysel Araştırma",Başvuru!$A:$A,"&lt;&gt;"&amp;"",Başvuru!$F:$F,"&lt;&gt;"&amp;""))</f>
        <v>1</v>
      </c>
      <c r="G303" s="162">
        <f>IF(C303="","",COUNTIFS(Başvuru!$C:$C,C303,Başvuru!$G:$G,"Uzmanlık Tezi",Başvuru!$A:$A,"&lt;&gt;"&amp;"",Başvuru!$F:$F,"&lt;&gt;"&amp;""))</f>
        <v>0</v>
      </c>
      <c r="H303" s="162">
        <f>IF(C303="","",COUNTIFS(Başvuru!$C:$C,C303,Başvuru!$G:$G,"Doktora Tezi",Başvuru!$A:$A,"&lt;&gt;"&amp;"",Başvuru!$F:$F,"&lt;&gt;"&amp;""))</f>
        <v>0</v>
      </c>
      <c r="I303" s="162">
        <f>IF(C303="","",COUNTIFS(Başvuru!$C:$C,C303,Başvuru!$G:$G,"Yüksek Lisans Tezi",Başvuru!$A:$A,"&lt;&gt;"&amp;"",Başvuru!$F:$F,"&lt;&gt;"&amp;""))</f>
        <v>0</v>
      </c>
      <c r="J303" s="163">
        <f>IF(C303="","",COUNTIFS(Başvuru!$C:$C,C303,Başvuru!$L:$L,"ONAY",Başvuru!$A:$A,"&lt;&gt;"&amp;"",Başvuru!$F:$F,"&lt;&gt;"&amp;""))</f>
        <v>1</v>
      </c>
      <c r="K303" s="164">
        <f>IF(C303="","",COUNTIFS(Başvuru!$C:$C,C303,Başvuru!$L:$L,"DÜZELTME",Başvuru!$A:$A,"&lt;&gt;"&amp;"",Başvuru!$F:$F,"&lt;&gt;"&amp;""))</f>
        <v>0</v>
      </c>
      <c r="L303" s="165">
        <f>IF(C303="","",COUNTIFS(Başvuru!$C:$C,C303,Başvuru!$L:$L,"KAEK",Başvuru!$A:$A,"&lt;&gt;"&amp;"",Başvuru!$F:$F,"&lt;&gt;"&amp;""))</f>
        <v>0</v>
      </c>
      <c r="M303" s="166">
        <f>IF(C303="","",COUNTIFS(Başvuru!$C:$C,C303,Başvuru!$L:$L,"GÖRÜŞ",Başvuru!$A:$A,"&lt;&gt;"&amp;"",Başvuru!$F:$F,"&lt;&gt;"&amp;""))</f>
        <v>0</v>
      </c>
      <c r="N303" s="167">
        <f>IF(C303="","",COUNTIFS(Başvuru!$C:$C,C303,Başvuru!$L:$L,"RET",Başvuru!$A:$A,"&lt;&gt;"&amp;"",Başvuru!$F:$F,"&lt;&gt;"&amp;""))</f>
        <v>0</v>
      </c>
      <c r="O303" s="168">
        <f>IF(C303="","",COUNTIFS(Başvuru!$C:$C,C303,Başvuru!$L:$L,"KAPSAM DIŞI",Başvuru!$A:$A,"&lt;&gt;"&amp;"",Başvuru!$F:$F,"&lt;&gt;"&amp;""))</f>
        <v>0</v>
      </c>
      <c r="P303" s="169">
        <f>IF(C303="","",COUNTIFS(Başvuru!$C:$C,C303,Başvuru!$L:$L,"GERİ ÇEKİLDİ",Başvuru!$A:$A,"&lt;&gt;"&amp;"",Başvuru!$F:$F,"&lt;&gt;"&amp;""))</f>
        <v>0</v>
      </c>
      <c r="Q303" s="170" t="str">
        <f t="array" ref="Q303">IFERROR(INDEX(Başvuru!$C$2:$C$3000, MATCH(0, COUNTIF($Q$5:Q302, Başvuru!$C$2:$C$3000) + IF(Başvuru!$C$2:$C$3000="",1,0), 0)), "")</f>
        <v>Prof. Dr. Uzay KOÇ VURAL</v>
      </c>
      <c r="R303" s="171">
        <f>IF(Q303="","",COUNTIFS(Başvuru!$C:$C,Q303,Başvuru!$A:$A,"&lt;&gt;"&amp;"",Başvuru!$F:$F,"&lt;&gt;"&amp;""))</f>
        <v>1</v>
      </c>
      <c r="S303" s="171">
        <f>IF(R303="","",RANK(R303,$R$6:$R$505,0)+COUNTIF($R$6:R303,R303)-1)</f>
        <v>302</v>
      </c>
    </row>
    <row r="304" spans="2:19" ht="23.25" customHeight="1" x14ac:dyDescent="0.25">
      <c r="B304" s="159">
        <v>299</v>
      </c>
      <c r="C304" s="160" t="str">
        <f>IFERROR(INDEX($Q$6:$Q$505,MATCH(299,$S$6:$S$505,0)),"")</f>
        <v>Prof. Dr. Yelda BİLGİNER</v>
      </c>
      <c r="D304" s="161">
        <f>IF(C304="","",COUNTIFS(Başvuru!$C:$C,C304,Başvuru!$A:$A,"&lt;&gt;"&amp;"",Başvuru!$F:$F,"&lt;&gt;"&amp;""))</f>
        <v>1</v>
      </c>
      <c r="E304" s="159" t="str">
        <f>IF(C304="","-",IF(D304&gt;0,TEXT(D304/(COUNTIFS(Başvuru!$A:$A,"&lt;&gt;",Başvuru!$F:$F,"&lt;&gt;")-1)*100,"0.0")&amp;"%","-"))</f>
        <v>00%</v>
      </c>
      <c r="F304" s="162">
        <f>IF(C304="","",COUNTIFS(Başvuru!$C:$C,C304,Başvuru!$G:$G,"Bireysel Araştırma",Başvuru!$A:$A,"&lt;&gt;"&amp;"",Başvuru!$F:$F,"&lt;&gt;"&amp;""))</f>
        <v>1</v>
      </c>
      <c r="G304" s="162">
        <f>IF(C304="","",COUNTIFS(Başvuru!$C:$C,C304,Başvuru!$G:$G,"Uzmanlık Tezi",Başvuru!$A:$A,"&lt;&gt;"&amp;"",Başvuru!$F:$F,"&lt;&gt;"&amp;""))</f>
        <v>0</v>
      </c>
      <c r="H304" s="162">
        <f>IF(C304="","",COUNTIFS(Başvuru!$C:$C,C304,Başvuru!$G:$G,"Doktora Tezi",Başvuru!$A:$A,"&lt;&gt;"&amp;"",Başvuru!$F:$F,"&lt;&gt;"&amp;""))</f>
        <v>0</v>
      </c>
      <c r="I304" s="162">
        <f>IF(C304="","",COUNTIFS(Başvuru!$C:$C,C304,Başvuru!$G:$G,"Yüksek Lisans Tezi",Başvuru!$A:$A,"&lt;&gt;"&amp;"",Başvuru!$F:$F,"&lt;&gt;"&amp;""))</f>
        <v>0</v>
      </c>
      <c r="J304" s="163">
        <f>IF(C304="","",COUNTIFS(Başvuru!$C:$C,C304,Başvuru!$L:$L,"ONAY",Başvuru!$A:$A,"&lt;&gt;"&amp;"",Başvuru!$F:$F,"&lt;&gt;"&amp;""))</f>
        <v>1</v>
      </c>
      <c r="K304" s="164">
        <f>IF(C304="","",COUNTIFS(Başvuru!$C:$C,C304,Başvuru!$L:$L,"DÜZELTME",Başvuru!$A:$A,"&lt;&gt;"&amp;"",Başvuru!$F:$F,"&lt;&gt;"&amp;""))</f>
        <v>0</v>
      </c>
      <c r="L304" s="165">
        <f>IF(C304="","",COUNTIFS(Başvuru!$C:$C,C304,Başvuru!$L:$L,"KAEK",Başvuru!$A:$A,"&lt;&gt;"&amp;"",Başvuru!$F:$F,"&lt;&gt;"&amp;""))</f>
        <v>0</v>
      </c>
      <c r="M304" s="166">
        <f>IF(C304="","",COUNTIFS(Başvuru!$C:$C,C304,Başvuru!$L:$L,"GÖRÜŞ",Başvuru!$A:$A,"&lt;&gt;"&amp;"",Başvuru!$F:$F,"&lt;&gt;"&amp;""))</f>
        <v>0</v>
      </c>
      <c r="N304" s="167">
        <f>IF(C304="","",COUNTIFS(Başvuru!$C:$C,C304,Başvuru!$L:$L,"RET",Başvuru!$A:$A,"&lt;&gt;"&amp;"",Başvuru!$F:$F,"&lt;&gt;"&amp;""))</f>
        <v>0</v>
      </c>
      <c r="O304" s="168">
        <f>IF(C304="","",COUNTIFS(Başvuru!$C:$C,C304,Başvuru!$L:$L,"KAPSAM DIŞI",Başvuru!$A:$A,"&lt;&gt;"&amp;"",Başvuru!$F:$F,"&lt;&gt;"&amp;""))</f>
        <v>0</v>
      </c>
      <c r="P304" s="169">
        <f>IF(C304="","",COUNTIFS(Başvuru!$C:$C,C304,Başvuru!$L:$L,"GERİ ÇEKİLDİ",Başvuru!$A:$A,"&lt;&gt;"&amp;"",Başvuru!$F:$F,"&lt;&gt;"&amp;""))</f>
        <v>0</v>
      </c>
      <c r="Q304" s="170" t="str">
        <f t="array" ref="Q304">IFERROR(INDEX(Başvuru!$C$2:$C$3000, MATCH(0, COUNTIF($Q$5:Q303, Başvuru!$C$2:$C$3000) + IF(Başvuru!$C$2:$C$3000="",1,0), 0)), "")</f>
        <v>Prof. Dr. Reyhan ATASÜ TOPÇUOĞLU</v>
      </c>
      <c r="R304" s="171">
        <f>IF(Q304="","",COUNTIFS(Başvuru!$C:$C,Q304,Başvuru!$A:$A,"&lt;&gt;"&amp;"",Başvuru!$F:$F,"&lt;&gt;"&amp;""))</f>
        <v>1</v>
      </c>
      <c r="S304" s="171">
        <f>IF(R304="","",RANK(R304,$R$6:$R$505,0)+COUNTIF($R$6:R304,R304)-1)</f>
        <v>303</v>
      </c>
    </row>
    <row r="305" spans="2:19" ht="23.25" customHeight="1" x14ac:dyDescent="0.25">
      <c r="B305" s="159">
        <v>300</v>
      </c>
      <c r="C305" s="160" t="str">
        <f>IFERROR(INDEX($Q$6:$Q$505,MATCH(300,$S$6:$S$505,0)),"")</f>
        <v>Dr. Öğr. Üyesi Aslı Şan DAĞLI GÜL</v>
      </c>
      <c r="D305" s="161">
        <f>IF(C305="","",COUNTIFS(Başvuru!$C:$C,C305,Başvuru!$A:$A,"&lt;&gt;"&amp;"",Başvuru!$F:$F,"&lt;&gt;"&amp;""))</f>
        <v>1</v>
      </c>
      <c r="E305" s="159" t="str">
        <f>IF(C305="","-",IF(D305&gt;0,TEXT(D305/(COUNTIFS(Başvuru!$A:$A,"&lt;&gt;",Başvuru!$F:$F,"&lt;&gt;")-1)*100,"0.0")&amp;"%","-"))</f>
        <v>00%</v>
      </c>
      <c r="F305" s="162">
        <f>IF(C305="","",COUNTIFS(Başvuru!$C:$C,C305,Başvuru!$G:$G,"Bireysel Araştırma",Başvuru!$A:$A,"&lt;&gt;"&amp;"",Başvuru!$F:$F,"&lt;&gt;"&amp;""))</f>
        <v>1</v>
      </c>
      <c r="G305" s="162">
        <f>IF(C305="","",COUNTIFS(Başvuru!$C:$C,C305,Başvuru!$G:$G,"Uzmanlık Tezi",Başvuru!$A:$A,"&lt;&gt;"&amp;"",Başvuru!$F:$F,"&lt;&gt;"&amp;""))</f>
        <v>0</v>
      </c>
      <c r="H305" s="162">
        <f>IF(C305="","",COUNTIFS(Başvuru!$C:$C,C305,Başvuru!$G:$G,"Doktora Tezi",Başvuru!$A:$A,"&lt;&gt;"&amp;"",Başvuru!$F:$F,"&lt;&gt;"&amp;""))</f>
        <v>0</v>
      </c>
      <c r="I305" s="162">
        <f>IF(C305="","",COUNTIFS(Başvuru!$C:$C,C305,Başvuru!$G:$G,"Yüksek Lisans Tezi",Başvuru!$A:$A,"&lt;&gt;"&amp;"",Başvuru!$F:$F,"&lt;&gt;"&amp;""))</f>
        <v>0</v>
      </c>
      <c r="J305" s="163">
        <f>IF(C305="","",COUNTIFS(Başvuru!$C:$C,C305,Başvuru!$L:$L,"ONAY",Başvuru!$A:$A,"&lt;&gt;"&amp;"",Başvuru!$F:$F,"&lt;&gt;"&amp;""))</f>
        <v>0</v>
      </c>
      <c r="K305" s="164">
        <f>IF(C305="","",COUNTIFS(Başvuru!$C:$C,C305,Başvuru!$L:$L,"DÜZELTME",Başvuru!$A:$A,"&lt;&gt;"&amp;"",Başvuru!$F:$F,"&lt;&gt;"&amp;""))</f>
        <v>1</v>
      </c>
      <c r="L305" s="165">
        <f>IF(C305="","",COUNTIFS(Başvuru!$C:$C,C305,Başvuru!$L:$L,"KAEK",Başvuru!$A:$A,"&lt;&gt;"&amp;"",Başvuru!$F:$F,"&lt;&gt;"&amp;""))</f>
        <v>0</v>
      </c>
      <c r="M305" s="166">
        <f>IF(C305="","",COUNTIFS(Başvuru!$C:$C,C305,Başvuru!$L:$L,"GÖRÜŞ",Başvuru!$A:$A,"&lt;&gt;"&amp;"",Başvuru!$F:$F,"&lt;&gt;"&amp;""))</f>
        <v>0</v>
      </c>
      <c r="N305" s="167">
        <f>IF(C305="","",COUNTIFS(Başvuru!$C:$C,C305,Başvuru!$L:$L,"RET",Başvuru!$A:$A,"&lt;&gt;"&amp;"",Başvuru!$F:$F,"&lt;&gt;"&amp;""))</f>
        <v>0</v>
      </c>
      <c r="O305" s="168">
        <f>IF(C305="","",COUNTIFS(Başvuru!$C:$C,C305,Başvuru!$L:$L,"KAPSAM DIŞI",Başvuru!$A:$A,"&lt;&gt;"&amp;"",Başvuru!$F:$F,"&lt;&gt;"&amp;""))</f>
        <v>0</v>
      </c>
      <c r="P305" s="169">
        <f>IF(C305="","",COUNTIFS(Başvuru!$C:$C,C305,Başvuru!$L:$L,"GERİ ÇEKİLDİ",Başvuru!$A:$A,"&lt;&gt;"&amp;"",Başvuru!$F:$F,"&lt;&gt;"&amp;""))</f>
        <v>0</v>
      </c>
      <c r="Q305" s="170" t="str">
        <f t="array" ref="Q305">IFERROR(INDEX(Başvuru!$C$2:$C$3000, MATCH(0, COUNTIF($Q$5:Q304, Başvuru!$C$2:$C$3000) + IF(Başvuru!$C$2:$C$3000="",1,0), 0)), "")</f>
        <v>Dr. Öğr. Üyesi Yavuz Kemal ARIBAŞ</v>
      </c>
      <c r="R305" s="171">
        <f>IF(Q305="","",COUNTIFS(Başvuru!$C:$C,Q305,Başvuru!$A:$A,"&lt;&gt;"&amp;"",Başvuru!$F:$F,"&lt;&gt;"&amp;""))</f>
        <v>1</v>
      </c>
      <c r="S305" s="171">
        <f>IF(R305="","",RANK(R305,$R$6:$R$505,0)+COUNTIF($R$6:R305,R305)-1)</f>
        <v>304</v>
      </c>
    </row>
    <row r="306" spans="2:19" ht="23.25" customHeight="1" x14ac:dyDescent="0.25">
      <c r="B306" s="159">
        <v>301</v>
      </c>
      <c r="C306" s="160" t="str">
        <f>IFERROR(INDEX($Q$6:$Q$505,MATCH(301,$S$6:$S$505,0)),"")</f>
        <v>Prof. Dr. İlker ERTUĞRUL</v>
      </c>
      <c r="D306" s="161">
        <f>IF(C306="","",COUNTIFS(Başvuru!$C:$C,C306,Başvuru!$A:$A,"&lt;&gt;"&amp;"",Başvuru!$F:$F,"&lt;&gt;"&amp;""))</f>
        <v>1</v>
      </c>
      <c r="E306" s="159" t="str">
        <f>IF(C306="","-",IF(D306&gt;0,TEXT(D306/(COUNTIFS(Başvuru!$A:$A,"&lt;&gt;",Başvuru!$F:$F,"&lt;&gt;")-1)*100,"0.0")&amp;"%","-"))</f>
        <v>00%</v>
      </c>
      <c r="F306" s="162">
        <f>IF(C306="","",COUNTIFS(Başvuru!$C:$C,C306,Başvuru!$G:$G,"Bireysel Araştırma",Başvuru!$A:$A,"&lt;&gt;"&amp;"",Başvuru!$F:$F,"&lt;&gt;"&amp;""))</f>
        <v>1</v>
      </c>
      <c r="G306" s="162">
        <f>IF(C306="","",COUNTIFS(Başvuru!$C:$C,C306,Başvuru!$G:$G,"Uzmanlık Tezi",Başvuru!$A:$A,"&lt;&gt;"&amp;"",Başvuru!$F:$F,"&lt;&gt;"&amp;""))</f>
        <v>0</v>
      </c>
      <c r="H306" s="162">
        <f>IF(C306="","",COUNTIFS(Başvuru!$C:$C,C306,Başvuru!$G:$G,"Doktora Tezi",Başvuru!$A:$A,"&lt;&gt;"&amp;"",Başvuru!$F:$F,"&lt;&gt;"&amp;""))</f>
        <v>0</v>
      </c>
      <c r="I306" s="162">
        <f>IF(C306="","",COUNTIFS(Başvuru!$C:$C,C306,Başvuru!$G:$G,"Yüksek Lisans Tezi",Başvuru!$A:$A,"&lt;&gt;"&amp;"",Başvuru!$F:$F,"&lt;&gt;"&amp;""))</f>
        <v>0</v>
      </c>
      <c r="J306" s="163">
        <f>IF(C306="","",COUNTIFS(Başvuru!$C:$C,C306,Başvuru!$L:$L,"ONAY",Başvuru!$A:$A,"&lt;&gt;"&amp;"",Başvuru!$F:$F,"&lt;&gt;"&amp;""))</f>
        <v>1</v>
      </c>
      <c r="K306" s="164">
        <f>IF(C306="","",COUNTIFS(Başvuru!$C:$C,C306,Başvuru!$L:$L,"DÜZELTME",Başvuru!$A:$A,"&lt;&gt;"&amp;"",Başvuru!$F:$F,"&lt;&gt;"&amp;""))</f>
        <v>0</v>
      </c>
      <c r="L306" s="165">
        <f>IF(C306="","",COUNTIFS(Başvuru!$C:$C,C306,Başvuru!$L:$L,"KAEK",Başvuru!$A:$A,"&lt;&gt;"&amp;"",Başvuru!$F:$F,"&lt;&gt;"&amp;""))</f>
        <v>0</v>
      </c>
      <c r="M306" s="166">
        <f>IF(C306="","",COUNTIFS(Başvuru!$C:$C,C306,Başvuru!$L:$L,"GÖRÜŞ",Başvuru!$A:$A,"&lt;&gt;"&amp;"",Başvuru!$F:$F,"&lt;&gt;"&amp;""))</f>
        <v>0</v>
      </c>
      <c r="N306" s="167">
        <f>IF(C306="","",COUNTIFS(Başvuru!$C:$C,C306,Başvuru!$L:$L,"RET",Başvuru!$A:$A,"&lt;&gt;"&amp;"",Başvuru!$F:$F,"&lt;&gt;"&amp;""))</f>
        <v>0</v>
      </c>
      <c r="O306" s="168">
        <f>IF(C306="","",COUNTIFS(Başvuru!$C:$C,C306,Başvuru!$L:$L,"KAPSAM DIŞI",Başvuru!$A:$A,"&lt;&gt;"&amp;"",Başvuru!$F:$F,"&lt;&gt;"&amp;""))</f>
        <v>0</v>
      </c>
      <c r="P306" s="169">
        <f>IF(C306="","",COUNTIFS(Başvuru!$C:$C,C306,Başvuru!$L:$L,"GERİ ÇEKİLDİ",Başvuru!$A:$A,"&lt;&gt;"&amp;"",Başvuru!$F:$F,"&lt;&gt;"&amp;""))</f>
        <v>0</v>
      </c>
      <c r="Q306" s="170" t="str">
        <f t="array" ref="Q306">IFERROR(INDEX(Başvuru!$C$2:$C$3000, MATCH(0, COUNTIF($Q$5:Q305, Başvuru!$C$2:$C$3000) + IF(Başvuru!$C$2:$C$3000="",1,0), 0)), "")</f>
        <v>Dr. Öğr. Üyesi Aydın Onur GERÇEK</v>
      </c>
      <c r="R306" s="171">
        <f>IF(Q306="","",COUNTIFS(Başvuru!$C:$C,Q306,Başvuru!$A:$A,"&lt;&gt;"&amp;"",Başvuru!$F:$F,"&lt;&gt;"&amp;""))</f>
        <v>1</v>
      </c>
      <c r="S306" s="171">
        <f>IF(R306="","",RANK(R306,$R$6:$R$505,0)+COUNTIF($R$6:R306,R306)-1)</f>
        <v>305</v>
      </c>
    </row>
    <row r="307" spans="2:19" ht="23.25" customHeight="1" x14ac:dyDescent="0.25">
      <c r="B307" s="159">
        <v>302</v>
      </c>
      <c r="C307" s="160" t="str">
        <f>IFERROR(INDEX($Q$6:$Q$505,MATCH(302,$S$6:$S$505,0)),"")</f>
        <v>Prof. Dr. Uzay KOÇ VURAL</v>
      </c>
      <c r="D307" s="161">
        <f>IF(C307="","",COUNTIFS(Başvuru!$C:$C,C307,Başvuru!$A:$A,"&lt;&gt;"&amp;"",Başvuru!$F:$F,"&lt;&gt;"&amp;""))</f>
        <v>1</v>
      </c>
      <c r="E307" s="159" t="str">
        <f>IF(C307="","-",IF(D307&gt;0,TEXT(D307/(COUNTIFS(Başvuru!$A:$A,"&lt;&gt;",Başvuru!$F:$F,"&lt;&gt;")-1)*100,"0.0")&amp;"%","-"))</f>
        <v>00%</v>
      </c>
      <c r="F307" s="162">
        <f>IF(C307="","",COUNTIFS(Başvuru!$C:$C,C307,Başvuru!$G:$G,"Bireysel Araştırma",Başvuru!$A:$A,"&lt;&gt;"&amp;"",Başvuru!$F:$F,"&lt;&gt;"&amp;""))</f>
        <v>1</v>
      </c>
      <c r="G307" s="162">
        <f>IF(C307="","",COUNTIFS(Başvuru!$C:$C,C307,Başvuru!$G:$G,"Uzmanlık Tezi",Başvuru!$A:$A,"&lt;&gt;"&amp;"",Başvuru!$F:$F,"&lt;&gt;"&amp;""))</f>
        <v>0</v>
      </c>
      <c r="H307" s="162">
        <f>IF(C307="","",COUNTIFS(Başvuru!$C:$C,C307,Başvuru!$G:$G,"Doktora Tezi",Başvuru!$A:$A,"&lt;&gt;"&amp;"",Başvuru!$F:$F,"&lt;&gt;"&amp;""))</f>
        <v>0</v>
      </c>
      <c r="I307" s="162">
        <f>IF(C307="","",COUNTIFS(Başvuru!$C:$C,C307,Başvuru!$G:$G,"Yüksek Lisans Tezi",Başvuru!$A:$A,"&lt;&gt;"&amp;"",Başvuru!$F:$F,"&lt;&gt;"&amp;""))</f>
        <v>0</v>
      </c>
      <c r="J307" s="163">
        <f>IF(C307="","",COUNTIFS(Başvuru!$C:$C,C307,Başvuru!$L:$L,"ONAY",Başvuru!$A:$A,"&lt;&gt;"&amp;"",Başvuru!$F:$F,"&lt;&gt;"&amp;""))</f>
        <v>1</v>
      </c>
      <c r="K307" s="164">
        <f>IF(C307="","",COUNTIFS(Başvuru!$C:$C,C307,Başvuru!$L:$L,"DÜZELTME",Başvuru!$A:$A,"&lt;&gt;"&amp;"",Başvuru!$F:$F,"&lt;&gt;"&amp;""))</f>
        <v>0</v>
      </c>
      <c r="L307" s="165">
        <f>IF(C307="","",COUNTIFS(Başvuru!$C:$C,C307,Başvuru!$L:$L,"KAEK",Başvuru!$A:$A,"&lt;&gt;"&amp;"",Başvuru!$F:$F,"&lt;&gt;"&amp;""))</f>
        <v>0</v>
      </c>
      <c r="M307" s="166">
        <f>IF(C307="","",COUNTIFS(Başvuru!$C:$C,C307,Başvuru!$L:$L,"GÖRÜŞ",Başvuru!$A:$A,"&lt;&gt;"&amp;"",Başvuru!$F:$F,"&lt;&gt;"&amp;""))</f>
        <v>0</v>
      </c>
      <c r="N307" s="167">
        <f>IF(C307="","",COUNTIFS(Başvuru!$C:$C,C307,Başvuru!$L:$L,"RET",Başvuru!$A:$A,"&lt;&gt;"&amp;"",Başvuru!$F:$F,"&lt;&gt;"&amp;""))</f>
        <v>0</v>
      </c>
      <c r="O307" s="168">
        <f>IF(C307="","",COUNTIFS(Başvuru!$C:$C,C307,Başvuru!$L:$L,"KAPSAM DIŞI",Başvuru!$A:$A,"&lt;&gt;"&amp;"",Başvuru!$F:$F,"&lt;&gt;"&amp;""))</f>
        <v>0</v>
      </c>
      <c r="P307" s="169">
        <f>IF(C307="","",COUNTIFS(Başvuru!$C:$C,C307,Başvuru!$L:$L,"GERİ ÇEKİLDİ",Başvuru!$A:$A,"&lt;&gt;"&amp;"",Başvuru!$F:$F,"&lt;&gt;"&amp;""))</f>
        <v>0</v>
      </c>
      <c r="Q307" s="170" t="str">
        <f t="array" ref="Q307">IFERROR(INDEX(Başvuru!$C$2:$C$3000, MATCH(0, COUNTIF($Q$5:Q306, Başvuru!$C$2:$C$3000) + IF(Başvuru!$C$2:$C$3000="",1,0), 0)), "")</f>
        <v>Prof. Dr. Selis ÖNEL KAYRAN</v>
      </c>
      <c r="R307" s="171">
        <f>IF(Q307="","",COUNTIFS(Başvuru!$C:$C,Q307,Başvuru!$A:$A,"&lt;&gt;"&amp;"",Başvuru!$F:$F,"&lt;&gt;"&amp;""))</f>
        <v>1</v>
      </c>
      <c r="S307" s="171">
        <f>IF(R307="","",RANK(R307,$R$6:$R$505,0)+COUNTIF($R$6:R307,R307)-1)</f>
        <v>306</v>
      </c>
    </row>
    <row r="308" spans="2:19" ht="23.25" customHeight="1" x14ac:dyDescent="0.25">
      <c r="B308" s="159">
        <v>303</v>
      </c>
      <c r="C308" s="160" t="str">
        <f>IFERROR(INDEX($Q$6:$Q$505,MATCH(303,$S$6:$S$505,0)),"")</f>
        <v>Prof. Dr. Reyhan ATASÜ TOPÇUOĞLU</v>
      </c>
      <c r="D308" s="161">
        <f>IF(C308="","",COUNTIFS(Başvuru!$C:$C,C308,Başvuru!$A:$A,"&lt;&gt;"&amp;"",Başvuru!$F:$F,"&lt;&gt;"&amp;""))</f>
        <v>1</v>
      </c>
      <c r="E308" s="159" t="str">
        <f>IF(C308="","-",IF(D308&gt;0,TEXT(D308/(COUNTIFS(Başvuru!$A:$A,"&lt;&gt;",Başvuru!$F:$F,"&lt;&gt;")-1)*100,"0.0")&amp;"%","-"))</f>
        <v>00%</v>
      </c>
      <c r="F308" s="162">
        <f>IF(C308="","",COUNTIFS(Başvuru!$C:$C,C308,Başvuru!$G:$G,"Bireysel Araştırma",Başvuru!$A:$A,"&lt;&gt;"&amp;"",Başvuru!$F:$F,"&lt;&gt;"&amp;""))</f>
        <v>0</v>
      </c>
      <c r="G308" s="162">
        <f>IF(C308="","",COUNTIFS(Başvuru!$C:$C,C308,Başvuru!$G:$G,"Uzmanlık Tezi",Başvuru!$A:$A,"&lt;&gt;"&amp;"",Başvuru!$F:$F,"&lt;&gt;"&amp;""))</f>
        <v>0</v>
      </c>
      <c r="H308" s="162">
        <f>IF(C308="","",COUNTIFS(Başvuru!$C:$C,C308,Başvuru!$G:$G,"Doktora Tezi",Başvuru!$A:$A,"&lt;&gt;"&amp;"",Başvuru!$F:$F,"&lt;&gt;"&amp;""))</f>
        <v>1</v>
      </c>
      <c r="I308" s="162">
        <f>IF(C308="","",COUNTIFS(Başvuru!$C:$C,C308,Başvuru!$G:$G,"Yüksek Lisans Tezi",Başvuru!$A:$A,"&lt;&gt;"&amp;"",Başvuru!$F:$F,"&lt;&gt;"&amp;""))</f>
        <v>0</v>
      </c>
      <c r="J308" s="163">
        <f>IF(C308="","",COUNTIFS(Başvuru!$C:$C,C308,Başvuru!$L:$L,"ONAY",Başvuru!$A:$A,"&lt;&gt;"&amp;"",Başvuru!$F:$F,"&lt;&gt;"&amp;""))</f>
        <v>0</v>
      </c>
      <c r="K308" s="164">
        <f>IF(C308="","",COUNTIFS(Başvuru!$C:$C,C308,Başvuru!$L:$L,"DÜZELTME",Başvuru!$A:$A,"&lt;&gt;"&amp;"",Başvuru!$F:$F,"&lt;&gt;"&amp;""))</f>
        <v>1</v>
      </c>
      <c r="L308" s="165">
        <f>IF(C308="","",COUNTIFS(Başvuru!$C:$C,C308,Başvuru!$L:$L,"KAEK",Başvuru!$A:$A,"&lt;&gt;"&amp;"",Başvuru!$F:$F,"&lt;&gt;"&amp;""))</f>
        <v>0</v>
      </c>
      <c r="M308" s="166">
        <f>IF(C308="","",COUNTIFS(Başvuru!$C:$C,C308,Başvuru!$L:$L,"GÖRÜŞ",Başvuru!$A:$A,"&lt;&gt;"&amp;"",Başvuru!$F:$F,"&lt;&gt;"&amp;""))</f>
        <v>0</v>
      </c>
      <c r="N308" s="167">
        <f>IF(C308="","",COUNTIFS(Başvuru!$C:$C,C308,Başvuru!$L:$L,"RET",Başvuru!$A:$A,"&lt;&gt;"&amp;"",Başvuru!$F:$F,"&lt;&gt;"&amp;""))</f>
        <v>0</v>
      </c>
      <c r="O308" s="168">
        <f>IF(C308="","",COUNTIFS(Başvuru!$C:$C,C308,Başvuru!$L:$L,"KAPSAM DIŞI",Başvuru!$A:$A,"&lt;&gt;"&amp;"",Başvuru!$F:$F,"&lt;&gt;"&amp;""))</f>
        <v>0</v>
      </c>
      <c r="P308" s="169">
        <f>IF(C308="","",COUNTIFS(Başvuru!$C:$C,C308,Başvuru!$L:$L,"GERİ ÇEKİLDİ",Başvuru!$A:$A,"&lt;&gt;"&amp;"",Başvuru!$F:$F,"&lt;&gt;"&amp;""))</f>
        <v>0</v>
      </c>
      <c r="Q308" s="170" t="str">
        <f t="array" ref="Q308">IFERROR(INDEX(Başvuru!$C$2:$C$3000, MATCH(0, COUNTIF($Q$5:Q307, Başvuru!$C$2:$C$3000) + IF(Başvuru!$C$2:$C$3000="",1,0), 0)), "")</f>
        <v>Doç. Dr. Ülkühan ÖZTOPRAK</v>
      </c>
      <c r="R308" s="171">
        <f>IF(Q308="","",COUNTIFS(Başvuru!$C:$C,Q308,Başvuru!$A:$A,"&lt;&gt;"&amp;"",Başvuru!$F:$F,"&lt;&gt;"&amp;""))</f>
        <v>1</v>
      </c>
      <c r="S308" s="171">
        <f>IF(R308="","",RANK(R308,$R$6:$R$505,0)+COUNTIF($R$6:R308,R308)-1)</f>
        <v>307</v>
      </c>
    </row>
    <row r="309" spans="2:19" ht="23.25" customHeight="1" x14ac:dyDescent="0.25">
      <c r="B309" s="159">
        <v>304</v>
      </c>
      <c r="C309" s="160" t="str">
        <f>IFERROR(INDEX($Q$6:$Q$505,MATCH(304,$S$6:$S$505,0)),"")</f>
        <v>Dr. Öğr. Üyesi Yavuz Kemal ARIBAŞ</v>
      </c>
      <c r="D309" s="161">
        <f>IF(C309="","",COUNTIFS(Başvuru!$C:$C,C309,Başvuru!$A:$A,"&lt;&gt;"&amp;"",Başvuru!$F:$F,"&lt;&gt;"&amp;""))</f>
        <v>1</v>
      </c>
      <c r="E309" s="159" t="str">
        <f>IF(C309="","-",IF(D309&gt;0,TEXT(D309/(COUNTIFS(Başvuru!$A:$A,"&lt;&gt;",Başvuru!$F:$F,"&lt;&gt;")-1)*100,"0.0")&amp;"%","-"))</f>
        <v>00%</v>
      </c>
      <c r="F309" s="162">
        <f>IF(C309="","",COUNTIFS(Başvuru!$C:$C,C309,Başvuru!$G:$G,"Bireysel Araştırma",Başvuru!$A:$A,"&lt;&gt;"&amp;"",Başvuru!$F:$F,"&lt;&gt;"&amp;""))</f>
        <v>1</v>
      </c>
      <c r="G309" s="162">
        <f>IF(C309="","",COUNTIFS(Başvuru!$C:$C,C309,Başvuru!$G:$G,"Uzmanlık Tezi",Başvuru!$A:$A,"&lt;&gt;"&amp;"",Başvuru!$F:$F,"&lt;&gt;"&amp;""))</f>
        <v>0</v>
      </c>
      <c r="H309" s="162">
        <f>IF(C309="","",COUNTIFS(Başvuru!$C:$C,C309,Başvuru!$G:$G,"Doktora Tezi",Başvuru!$A:$A,"&lt;&gt;"&amp;"",Başvuru!$F:$F,"&lt;&gt;"&amp;""))</f>
        <v>0</v>
      </c>
      <c r="I309" s="162">
        <f>IF(C309="","",COUNTIFS(Başvuru!$C:$C,C309,Başvuru!$G:$G,"Yüksek Lisans Tezi",Başvuru!$A:$A,"&lt;&gt;"&amp;"",Başvuru!$F:$F,"&lt;&gt;"&amp;""))</f>
        <v>0</v>
      </c>
      <c r="J309" s="163">
        <f>IF(C309="","",COUNTIFS(Başvuru!$C:$C,C309,Başvuru!$L:$L,"ONAY",Başvuru!$A:$A,"&lt;&gt;"&amp;"",Başvuru!$F:$F,"&lt;&gt;"&amp;""))</f>
        <v>0</v>
      </c>
      <c r="K309" s="164">
        <f>IF(C309="","",COUNTIFS(Başvuru!$C:$C,C309,Başvuru!$L:$L,"DÜZELTME",Başvuru!$A:$A,"&lt;&gt;"&amp;"",Başvuru!$F:$F,"&lt;&gt;"&amp;""))</f>
        <v>0</v>
      </c>
      <c r="L309" s="165">
        <f>IF(C309="","",COUNTIFS(Başvuru!$C:$C,C309,Başvuru!$L:$L,"KAEK",Başvuru!$A:$A,"&lt;&gt;"&amp;"",Başvuru!$F:$F,"&lt;&gt;"&amp;""))</f>
        <v>0</v>
      </c>
      <c r="M309" s="166">
        <f>IF(C309="","",COUNTIFS(Başvuru!$C:$C,C309,Başvuru!$L:$L,"GÖRÜŞ",Başvuru!$A:$A,"&lt;&gt;"&amp;"",Başvuru!$F:$F,"&lt;&gt;"&amp;""))</f>
        <v>0</v>
      </c>
      <c r="N309" s="167">
        <f>IF(C309="","",COUNTIFS(Başvuru!$C:$C,C309,Başvuru!$L:$L,"RET",Başvuru!$A:$A,"&lt;&gt;"&amp;"",Başvuru!$F:$F,"&lt;&gt;"&amp;""))</f>
        <v>1</v>
      </c>
      <c r="O309" s="168">
        <f>IF(C309="","",COUNTIFS(Başvuru!$C:$C,C309,Başvuru!$L:$L,"KAPSAM DIŞI",Başvuru!$A:$A,"&lt;&gt;"&amp;"",Başvuru!$F:$F,"&lt;&gt;"&amp;""))</f>
        <v>0</v>
      </c>
      <c r="P309" s="169">
        <f>IF(C309="","",COUNTIFS(Başvuru!$C:$C,C309,Başvuru!$L:$L,"GERİ ÇEKİLDİ",Başvuru!$A:$A,"&lt;&gt;"&amp;"",Başvuru!$F:$F,"&lt;&gt;"&amp;""))</f>
        <v>0</v>
      </c>
      <c r="Q309" s="170" t="str">
        <f t="array" ref="Q309">IFERROR(INDEX(Başvuru!$C$2:$C$3000, MATCH(0, COUNTIF($Q$5:Q308, Başvuru!$C$2:$C$3000) + IF(Başvuru!$C$2:$C$3000="",1,0), 0)), "")</f>
        <v>Dr. Öğr. Üyesi Eylem Şerife KALKAN</v>
      </c>
      <c r="R309" s="171">
        <f>IF(Q309="","",COUNTIFS(Başvuru!$C:$C,Q309,Başvuru!$A:$A,"&lt;&gt;"&amp;"",Başvuru!$F:$F,"&lt;&gt;"&amp;""))</f>
        <v>1</v>
      </c>
      <c r="S309" s="171">
        <f>IF(R309="","",RANK(R309,$R$6:$R$505,0)+COUNTIF($R$6:R309,R309)-1)</f>
        <v>308</v>
      </c>
    </row>
    <row r="310" spans="2:19" ht="23.25" customHeight="1" x14ac:dyDescent="0.25">
      <c r="B310" s="159">
        <v>305</v>
      </c>
      <c r="C310" s="160" t="str">
        <f>IFERROR(INDEX($Q$6:$Q$505,MATCH(305,$S$6:$S$505,0)),"")</f>
        <v>Dr. Öğr. Üyesi Aydın Onur GERÇEK</v>
      </c>
      <c r="D310" s="161">
        <f>IF(C310="","",COUNTIFS(Başvuru!$C:$C,C310,Başvuru!$A:$A,"&lt;&gt;"&amp;"",Başvuru!$F:$F,"&lt;&gt;"&amp;""))</f>
        <v>1</v>
      </c>
      <c r="E310" s="159" t="str">
        <f>IF(C310="","-",IF(D310&gt;0,TEXT(D310/(COUNTIFS(Başvuru!$A:$A,"&lt;&gt;",Başvuru!$F:$F,"&lt;&gt;")-1)*100,"0.0")&amp;"%","-"))</f>
        <v>00%</v>
      </c>
      <c r="F310" s="162">
        <f>IF(C310="","",COUNTIFS(Başvuru!$C:$C,C310,Başvuru!$G:$G,"Bireysel Araştırma",Başvuru!$A:$A,"&lt;&gt;"&amp;"",Başvuru!$F:$F,"&lt;&gt;"&amp;""))</f>
        <v>1</v>
      </c>
      <c r="G310" s="162">
        <f>IF(C310="","",COUNTIFS(Başvuru!$C:$C,C310,Başvuru!$G:$G,"Uzmanlık Tezi",Başvuru!$A:$A,"&lt;&gt;"&amp;"",Başvuru!$F:$F,"&lt;&gt;"&amp;""))</f>
        <v>0</v>
      </c>
      <c r="H310" s="162">
        <f>IF(C310="","",COUNTIFS(Başvuru!$C:$C,C310,Başvuru!$G:$G,"Doktora Tezi",Başvuru!$A:$A,"&lt;&gt;"&amp;"",Başvuru!$F:$F,"&lt;&gt;"&amp;""))</f>
        <v>0</v>
      </c>
      <c r="I310" s="162">
        <f>IF(C310="","",COUNTIFS(Başvuru!$C:$C,C310,Başvuru!$G:$G,"Yüksek Lisans Tezi",Başvuru!$A:$A,"&lt;&gt;"&amp;"",Başvuru!$F:$F,"&lt;&gt;"&amp;""))</f>
        <v>0</v>
      </c>
      <c r="J310" s="163">
        <f>IF(C310="","",COUNTIFS(Başvuru!$C:$C,C310,Başvuru!$L:$L,"ONAY",Başvuru!$A:$A,"&lt;&gt;"&amp;"",Başvuru!$F:$F,"&lt;&gt;"&amp;""))</f>
        <v>1</v>
      </c>
      <c r="K310" s="164">
        <f>IF(C310="","",COUNTIFS(Başvuru!$C:$C,C310,Başvuru!$L:$L,"DÜZELTME",Başvuru!$A:$A,"&lt;&gt;"&amp;"",Başvuru!$F:$F,"&lt;&gt;"&amp;""))</f>
        <v>0</v>
      </c>
      <c r="L310" s="165">
        <f>IF(C310="","",COUNTIFS(Başvuru!$C:$C,C310,Başvuru!$L:$L,"KAEK",Başvuru!$A:$A,"&lt;&gt;"&amp;"",Başvuru!$F:$F,"&lt;&gt;"&amp;""))</f>
        <v>0</v>
      </c>
      <c r="M310" s="166">
        <f>IF(C310="","",COUNTIFS(Başvuru!$C:$C,C310,Başvuru!$L:$L,"GÖRÜŞ",Başvuru!$A:$A,"&lt;&gt;"&amp;"",Başvuru!$F:$F,"&lt;&gt;"&amp;""))</f>
        <v>0</v>
      </c>
      <c r="N310" s="167">
        <f>IF(C310="","",COUNTIFS(Başvuru!$C:$C,C310,Başvuru!$L:$L,"RET",Başvuru!$A:$A,"&lt;&gt;"&amp;"",Başvuru!$F:$F,"&lt;&gt;"&amp;""))</f>
        <v>0</v>
      </c>
      <c r="O310" s="168">
        <f>IF(C310="","",COUNTIFS(Başvuru!$C:$C,C310,Başvuru!$L:$L,"KAPSAM DIŞI",Başvuru!$A:$A,"&lt;&gt;"&amp;"",Başvuru!$F:$F,"&lt;&gt;"&amp;""))</f>
        <v>0</v>
      </c>
      <c r="P310" s="169">
        <f>IF(C310="","",COUNTIFS(Başvuru!$C:$C,C310,Başvuru!$L:$L,"GERİ ÇEKİLDİ",Başvuru!$A:$A,"&lt;&gt;"&amp;"",Başvuru!$F:$F,"&lt;&gt;"&amp;""))</f>
        <v>0</v>
      </c>
      <c r="Q310" s="170" t="str">
        <f t="array" ref="Q310">IFERROR(INDEX(Başvuru!$C$2:$C$3000, MATCH(0, COUNTIF($Q$5:Q309, Başvuru!$C$2:$C$3000) + IF(Başvuru!$C$2:$C$3000="",1,0), 0)), "")</f>
        <v>Dr. Öğr. Üyesi Gülden OLGUN</v>
      </c>
      <c r="R310" s="171">
        <f>IF(Q310="","",COUNTIFS(Başvuru!$C:$C,Q310,Başvuru!$A:$A,"&lt;&gt;"&amp;"",Başvuru!$F:$F,"&lt;&gt;"&amp;""))</f>
        <v>1</v>
      </c>
      <c r="S310" s="171">
        <f>IF(R310="","",RANK(R310,$R$6:$R$505,0)+COUNTIF($R$6:R310,R310)-1)</f>
        <v>309</v>
      </c>
    </row>
    <row r="311" spans="2:19" ht="23.25" customHeight="1" x14ac:dyDescent="0.25">
      <c r="B311" s="159">
        <v>306</v>
      </c>
      <c r="C311" s="160" t="str">
        <f>IFERROR(INDEX($Q$6:$Q$505,MATCH(306,$S$6:$S$505,0)),"")</f>
        <v>Prof. Dr. Selis ÖNEL KAYRAN</v>
      </c>
      <c r="D311" s="161">
        <f>IF(C311="","",COUNTIFS(Başvuru!$C:$C,C311,Başvuru!$A:$A,"&lt;&gt;"&amp;"",Başvuru!$F:$F,"&lt;&gt;"&amp;""))</f>
        <v>1</v>
      </c>
      <c r="E311" s="159" t="str">
        <f>IF(C311="","-",IF(D311&gt;0,TEXT(D311/(COUNTIFS(Başvuru!$A:$A,"&lt;&gt;",Başvuru!$F:$F,"&lt;&gt;")-1)*100,"0.0")&amp;"%","-"))</f>
        <v>00%</v>
      </c>
      <c r="F311" s="162">
        <f>IF(C311="","",COUNTIFS(Başvuru!$C:$C,C311,Başvuru!$G:$G,"Bireysel Araştırma",Başvuru!$A:$A,"&lt;&gt;"&amp;"",Başvuru!$F:$F,"&lt;&gt;"&amp;""))</f>
        <v>0</v>
      </c>
      <c r="G311" s="162">
        <f>IF(C311="","",COUNTIFS(Başvuru!$C:$C,C311,Başvuru!$G:$G,"Uzmanlık Tezi",Başvuru!$A:$A,"&lt;&gt;"&amp;"",Başvuru!$F:$F,"&lt;&gt;"&amp;""))</f>
        <v>0</v>
      </c>
      <c r="H311" s="162">
        <f>IF(C311="","",COUNTIFS(Başvuru!$C:$C,C311,Başvuru!$G:$G,"Doktora Tezi",Başvuru!$A:$A,"&lt;&gt;"&amp;"",Başvuru!$F:$F,"&lt;&gt;"&amp;""))</f>
        <v>1</v>
      </c>
      <c r="I311" s="162">
        <f>IF(C311="","",COUNTIFS(Başvuru!$C:$C,C311,Başvuru!$G:$G,"Yüksek Lisans Tezi",Başvuru!$A:$A,"&lt;&gt;"&amp;"",Başvuru!$F:$F,"&lt;&gt;"&amp;""))</f>
        <v>0</v>
      </c>
      <c r="J311" s="163">
        <f>IF(C311="","",COUNTIFS(Başvuru!$C:$C,C311,Başvuru!$L:$L,"ONAY",Başvuru!$A:$A,"&lt;&gt;"&amp;"",Başvuru!$F:$F,"&lt;&gt;"&amp;""))</f>
        <v>0</v>
      </c>
      <c r="K311" s="164">
        <f>IF(C311="","",COUNTIFS(Başvuru!$C:$C,C311,Başvuru!$L:$L,"DÜZELTME",Başvuru!$A:$A,"&lt;&gt;"&amp;"",Başvuru!$F:$F,"&lt;&gt;"&amp;""))</f>
        <v>1</v>
      </c>
      <c r="L311" s="165">
        <f>IF(C311="","",COUNTIFS(Başvuru!$C:$C,C311,Başvuru!$L:$L,"KAEK",Başvuru!$A:$A,"&lt;&gt;"&amp;"",Başvuru!$F:$F,"&lt;&gt;"&amp;""))</f>
        <v>0</v>
      </c>
      <c r="M311" s="166">
        <f>IF(C311="","",COUNTIFS(Başvuru!$C:$C,C311,Başvuru!$L:$L,"GÖRÜŞ",Başvuru!$A:$A,"&lt;&gt;"&amp;"",Başvuru!$F:$F,"&lt;&gt;"&amp;""))</f>
        <v>0</v>
      </c>
      <c r="N311" s="167">
        <f>IF(C311="","",COUNTIFS(Başvuru!$C:$C,C311,Başvuru!$L:$L,"RET",Başvuru!$A:$A,"&lt;&gt;"&amp;"",Başvuru!$F:$F,"&lt;&gt;"&amp;""))</f>
        <v>0</v>
      </c>
      <c r="O311" s="168">
        <f>IF(C311="","",COUNTIFS(Başvuru!$C:$C,C311,Başvuru!$L:$L,"KAPSAM DIŞI",Başvuru!$A:$A,"&lt;&gt;"&amp;"",Başvuru!$F:$F,"&lt;&gt;"&amp;""))</f>
        <v>0</v>
      </c>
      <c r="P311" s="169">
        <f>IF(C311="","",COUNTIFS(Başvuru!$C:$C,C311,Başvuru!$L:$L,"GERİ ÇEKİLDİ",Başvuru!$A:$A,"&lt;&gt;"&amp;"",Başvuru!$F:$F,"&lt;&gt;"&amp;""))</f>
        <v>0</v>
      </c>
      <c r="Q311" s="170" t="str">
        <f t="array" ref="Q311">IFERROR(INDEX(Başvuru!$C$2:$C$3000, MATCH(0, COUNTIF($Q$5:Q310, Başvuru!$C$2:$C$3000) + IF(Başvuru!$C$2:$C$3000="",1,0), 0)), "")</f>
        <v>Arş. Gör. Dr. Kadir İNTAŞ</v>
      </c>
      <c r="R311" s="171">
        <f>IF(Q311="","",COUNTIFS(Başvuru!$C:$C,Q311,Başvuru!$A:$A,"&lt;&gt;"&amp;"",Başvuru!$F:$F,"&lt;&gt;"&amp;""))</f>
        <v>2</v>
      </c>
      <c r="S311" s="171">
        <f>IF(R311="","",RANK(R311,$R$6:$R$505,0)+COUNTIF($R$6:R311,R311)-1)</f>
        <v>145</v>
      </c>
    </row>
    <row r="312" spans="2:19" ht="23.25" customHeight="1" x14ac:dyDescent="0.25">
      <c r="B312" s="159">
        <v>307</v>
      </c>
      <c r="C312" s="160" t="str">
        <f>IFERROR(INDEX($Q$6:$Q$505,MATCH(307,$S$6:$S$505,0)),"")</f>
        <v>Doç. Dr. Ülkühan ÖZTOPRAK</v>
      </c>
      <c r="D312" s="161">
        <f>IF(C312="","",COUNTIFS(Başvuru!$C:$C,C312,Başvuru!$A:$A,"&lt;&gt;"&amp;"",Başvuru!$F:$F,"&lt;&gt;"&amp;""))</f>
        <v>1</v>
      </c>
      <c r="E312" s="159" t="str">
        <f>IF(C312="","-",IF(D312&gt;0,TEXT(D312/(COUNTIFS(Başvuru!$A:$A,"&lt;&gt;",Başvuru!$F:$F,"&lt;&gt;")-1)*100,"0.0")&amp;"%","-"))</f>
        <v>00%</v>
      </c>
      <c r="F312" s="162">
        <f>IF(C312="","",COUNTIFS(Başvuru!$C:$C,C312,Başvuru!$G:$G,"Bireysel Araştırma",Başvuru!$A:$A,"&lt;&gt;"&amp;"",Başvuru!$F:$F,"&lt;&gt;"&amp;""))</f>
        <v>1</v>
      </c>
      <c r="G312" s="162">
        <f>IF(C312="","",COUNTIFS(Başvuru!$C:$C,C312,Başvuru!$G:$G,"Uzmanlık Tezi",Başvuru!$A:$A,"&lt;&gt;"&amp;"",Başvuru!$F:$F,"&lt;&gt;"&amp;""))</f>
        <v>0</v>
      </c>
      <c r="H312" s="162">
        <f>IF(C312="","",COUNTIFS(Başvuru!$C:$C,C312,Başvuru!$G:$G,"Doktora Tezi",Başvuru!$A:$A,"&lt;&gt;"&amp;"",Başvuru!$F:$F,"&lt;&gt;"&amp;""))</f>
        <v>0</v>
      </c>
      <c r="I312" s="162">
        <f>IF(C312="","",COUNTIFS(Başvuru!$C:$C,C312,Başvuru!$G:$G,"Yüksek Lisans Tezi",Başvuru!$A:$A,"&lt;&gt;"&amp;"",Başvuru!$F:$F,"&lt;&gt;"&amp;""))</f>
        <v>0</v>
      </c>
      <c r="J312" s="163">
        <f>IF(C312="","",COUNTIFS(Başvuru!$C:$C,C312,Başvuru!$L:$L,"ONAY",Başvuru!$A:$A,"&lt;&gt;"&amp;"",Başvuru!$F:$F,"&lt;&gt;"&amp;""))</f>
        <v>1</v>
      </c>
      <c r="K312" s="164">
        <f>IF(C312="","",COUNTIFS(Başvuru!$C:$C,C312,Başvuru!$L:$L,"DÜZELTME",Başvuru!$A:$A,"&lt;&gt;"&amp;"",Başvuru!$F:$F,"&lt;&gt;"&amp;""))</f>
        <v>0</v>
      </c>
      <c r="L312" s="165">
        <f>IF(C312="","",COUNTIFS(Başvuru!$C:$C,C312,Başvuru!$L:$L,"KAEK",Başvuru!$A:$A,"&lt;&gt;"&amp;"",Başvuru!$F:$F,"&lt;&gt;"&amp;""))</f>
        <v>0</v>
      </c>
      <c r="M312" s="166">
        <f>IF(C312="","",COUNTIFS(Başvuru!$C:$C,C312,Başvuru!$L:$L,"GÖRÜŞ",Başvuru!$A:$A,"&lt;&gt;"&amp;"",Başvuru!$F:$F,"&lt;&gt;"&amp;""))</f>
        <v>0</v>
      </c>
      <c r="N312" s="167">
        <f>IF(C312="","",COUNTIFS(Başvuru!$C:$C,C312,Başvuru!$L:$L,"RET",Başvuru!$A:$A,"&lt;&gt;"&amp;"",Başvuru!$F:$F,"&lt;&gt;"&amp;""))</f>
        <v>0</v>
      </c>
      <c r="O312" s="168">
        <f>IF(C312="","",COUNTIFS(Başvuru!$C:$C,C312,Başvuru!$L:$L,"KAPSAM DIŞI",Başvuru!$A:$A,"&lt;&gt;"&amp;"",Başvuru!$F:$F,"&lt;&gt;"&amp;""))</f>
        <v>0</v>
      </c>
      <c r="P312" s="169">
        <f>IF(C312="","",COUNTIFS(Başvuru!$C:$C,C312,Başvuru!$L:$L,"GERİ ÇEKİLDİ",Başvuru!$A:$A,"&lt;&gt;"&amp;"",Başvuru!$F:$F,"&lt;&gt;"&amp;""))</f>
        <v>0</v>
      </c>
      <c r="Q312" s="170" t="str">
        <f t="array" ref="Q312">IFERROR(INDEX(Başvuru!$C$2:$C$3000, MATCH(0, COUNTIF($Q$5:Q311, Başvuru!$C$2:$C$3000) + IF(Başvuru!$C$2:$C$3000="",1,0), 0)), "")</f>
        <v>Prof. Dr. Şükrü Alpan CİNEMRE</v>
      </c>
      <c r="R312" s="171">
        <f>IF(Q312="","",COUNTIFS(Başvuru!$C:$C,Q312,Başvuru!$A:$A,"&lt;&gt;"&amp;"",Başvuru!$F:$F,"&lt;&gt;"&amp;""))</f>
        <v>1</v>
      </c>
      <c r="S312" s="171">
        <f>IF(R312="","",RANK(R312,$R$6:$R$505,0)+COUNTIF($R$6:R312,R312)-1)</f>
        <v>310</v>
      </c>
    </row>
    <row r="313" spans="2:19" ht="23.25" customHeight="1" x14ac:dyDescent="0.25">
      <c r="B313" s="159">
        <v>308</v>
      </c>
      <c r="C313" s="160" t="str">
        <f>IFERROR(INDEX($Q$6:$Q$505,MATCH(308,$S$6:$S$505,0)),"")</f>
        <v>Dr. Öğr. Üyesi Eylem Şerife KALKAN</v>
      </c>
      <c r="D313" s="161">
        <f>IF(C313="","",COUNTIFS(Başvuru!$C:$C,C313,Başvuru!$A:$A,"&lt;&gt;"&amp;"",Başvuru!$F:$F,"&lt;&gt;"&amp;""))</f>
        <v>1</v>
      </c>
      <c r="E313" s="159" t="str">
        <f>IF(C313="","-",IF(D313&gt;0,TEXT(D313/(COUNTIFS(Başvuru!$A:$A,"&lt;&gt;",Başvuru!$F:$F,"&lt;&gt;")-1)*100,"0.0")&amp;"%","-"))</f>
        <v>00%</v>
      </c>
      <c r="F313" s="162">
        <f>IF(C313="","",COUNTIFS(Başvuru!$C:$C,C313,Başvuru!$G:$G,"Bireysel Araştırma",Başvuru!$A:$A,"&lt;&gt;"&amp;"",Başvuru!$F:$F,"&lt;&gt;"&amp;""))</f>
        <v>1</v>
      </c>
      <c r="G313" s="162">
        <f>IF(C313="","",COUNTIFS(Başvuru!$C:$C,C313,Başvuru!$G:$G,"Uzmanlık Tezi",Başvuru!$A:$A,"&lt;&gt;"&amp;"",Başvuru!$F:$F,"&lt;&gt;"&amp;""))</f>
        <v>0</v>
      </c>
      <c r="H313" s="162">
        <f>IF(C313="","",COUNTIFS(Başvuru!$C:$C,C313,Başvuru!$G:$G,"Doktora Tezi",Başvuru!$A:$A,"&lt;&gt;"&amp;"",Başvuru!$F:$F,"&lt;&gt;"&amp;""))</f>
        <v>0</v>
      </c>
      <c r="I313" s="162">
        <f>IF(C313="","",COUNTIFS(Başvuru!$C:$C,C313,Başvuru!$G:$G,"Yüksek Lisans Tezi",Başvuru!$A:$A,"&lt;&gt;"&amp;"",Başvuru!$F:$F,"&lt;&gt;"&amp;""))</f>
        <v>0</v>
      </c>
      <c r="J313" s="163">
        <f>IF(C313="","",COUNTIFS(Başvuru!$C:$C,C313,Başvuru!$L:$L,"ONAY",Başvuru!$A:$A,"&lt;&gt;"&amp;"",Başvuru!$F:$F,"&lt;&gt;"&amp;""))</f>
        <v>1</v>
      </c>
      <c r="K313" s="164">
        <f>IF(C313="","",COUNTIFS(Başvuru!$C:$C,C313,Başvuru!$L:$L,"DÜZELTME",Başvuru!$A:$A,"&lt;&gt;"&amp;"",Başvuru!$F:$F,"&lt;&gt;"&amp;""))</f>
        <v>0</v>
      </c>
      <c r="L313" s="165">
        <f>IF(C313="","",COUNTIFS(Başvuru!$C:$C,C313,Başvuru!$L:$L,"KAEK",Başvuru!$A:$A,"&lt;&gt;"&amp;"",Başvuru!$F:$F,"&lt;&gt;"&amp;""))</f>
        <v>0</v>
      </c>
      <c r="M313" s="166">
        <f>IF(C313="","",COUNTIFS(Başvuru!$C:$C,C313,Başvuru!$L:$L,"GÖRÜŞ",Başvuru!$A:$A,"&lt;&gt;"&amp;"",Başvuru!$F:$F,"&lt;&gt;"&amp;""))</f>
        <v>0</v>
      </c>
      <c r="N313" s="167">
        <f>IF(C313="","",COUNTIFS(Başvuru!$C:$C,C313,Başvuru!$L:$L,"RET",Başvuru!$A:$A,"&lt;&gt;"&amp;"",Başvuru!$F:$F,"&lt;&gt;"&amp;""))</f>
        <v>0</v>
      </c>
      <c r="O313" s="168">
        <f>IF(C313="","",COUNTIFS(Başvuru!$C:$C,C313,Başvuru!$L:$L,"KAPSAM DIŞI",Başvuru!$A:$A,"&lt;&gt;"&amp;"",Başvuru!$F:$F,"&lt;&gt;"&amp;""))</f>
        <v>0</v>
      </c>
      <c r="P313" s="169">
        <f>IF(C313="","",COUNTIFS(Başvuru!$C:$C,C313,Başvuru!$L:$L,"GERİ ÇEKİLDİ",Başvuru!$A:$A,"&lt;&gt;"&amp;"",Başvuru!$F:$F,"&lt;&gt;"&amp;""))</f>
        <v>0</v>
      </c>
      <c r="Q313" s="170" t="str">
        <f t="array" ref="Q313">IFERROR(INDEX(Başvuru!$C$2:$C$3000, MATCH(0, COUNTIF($Q$5:Q312, Başvuru!$C$2:$C$3000) + IF(Başvuru!$C$2:$C$3000="",1,0), 0)), "")</f>
        <v>Doç. Dr. Ferdi ÇAY</v>
      </c>
      <c r="R313" s="171">
        <f>IF(Q313="","",COUNTIFS(Başvuru!$C:$C,Q313,Başvuru!$A:$A,"&lt;&gt;"&amp;"",Başvuru!$F:$F,"&lt;&gt;"&amp;""))</f>
        <v>1</v>
      </c>
      <c r="S313" s="171">
        <f>IF(R313="","",RANK(R313,$R$6:$R$505,0)+COUNTIF($R$6:R313,R313)-1)</f>
        <v>311</v>
      </c>
    </row>
    <row r="314" spans="2:19" ht="23.25" customHeight="1" x14ac:dyDescent="0.25">
      <c r="B314" s="159">
        <v>309</v>
      </c>
      <c r="C314" s="160" t="str">
        <f>IFERROR(INDEX($Q$6:$Q$505,MATCH(309,$S$6:$S$505,0)),"")</f>
        <v>Dr. Öğr. Üyesi Gülden OLGUN</v>
      </c>
      <c r="D314" s="161">
        <f>IF(C314="","",COUNTIFS(Başvuru!$C:$C,C314,Başvuru!$A:$A,"&lt;&gt;"&amp;"",Başvuru!$F:$F,"&lt;&gt;"&amp;""))</f>
        <v>1</v>
      </c>
      <c r="E314" s="159" t="str">
        <f>IF(C314="","-",IF(D314&gt;0,TEXT(D314/(COUNTIFS(Başvuru!$A:$A,"&lt;&gt;",Başvuru!$F:$F,"&lt;&gt;")-1)*100,"0.0")&amp;"%","-"))</f>
        <v>00%</v>
      </c>
      <c r="F314" s="162">
        <f>IF(C314="","",COUNTIFS(Başvuru!$C:$C,C314,Başvuru!$G:$G,"Bireysel Araştırma",Başvuru!$A:$A,"&lt;&gt;"&amp;"",Başvuru!$F:$F,"&lt;&gt;"&amp;""))</f>
        <v>1</v>
      </c>
      <c r="G314" s="162">
        <f>IF(C314="","",COUNTIFS(Başvuru!$C:$C,C314,Başvuru!$G:$G,"Uzmanlık Tezi",Başvuru!$A:$A,"&lt;&gt;"&amp;"",Başvuru!$F:$F,"&lt;&gt;"&amp;""))</f>
        <v>0</v>
      </c>
      <c r="H314" s="162">
        <f>IF(C314="","",COUNTIFS(Başvuru!$C:$C,C314,Başvuru!$G:$G,"Doktora Tezi",Başvuru!$A:$A,"&lt;&gt;"&amp;"",Başvuru!$F:$F,"&lt;&gt;"&amp;""))</f>
        <v>0</v>
      </c>
      <c r="I314" s="162">
        <f>IF(C314="","",COUNTIFS(Başvuru!$C:$C,C314,Başvuru!$G:$G,"Yüksek Lisans Tezi",Başvuru!$A:$A,"&lt;&gt;"&amp;"",Başvuru!$F:$F,"&lt;&gt;"&amp;""))</f>
        <v>0</v>
      </c>
      <c r="J314" s="163">
        <f>IF(C314="","",COUNTIFS(Başvuru!$C:$C,C314,Başvuru!$L:$L,"ONAY",Başvuru!$A:$A,"&lt;&gt;"&amp;"",Başvuru!$F:$F,"&lt;&gt;"&amp;""))</f>
        <v>0</v>
      </c>
      <c r="K314" s="164">
        <f>IF(C314="","",COUNTIFS(Başvuru!$C:$C,C314,Başvuru!$L:$L,"DÜZELTME",Başvuru!$A:$A,"&lt;&gt;"&amp;"",Başvuru!$F:$F,"&lt;&gt;"&amp;""))</f>
        <v>0</v>
      </c>
      <c r="L314" s="165">
        <f>IF(C314="","",COUNTIFS(Başvuru!$C:$C,C314,Başvuru!$L:$L,"KAEK",Başvuru!$A:$A,"&lt;&gt;"&amp;"",Başvuru!$F:$F,"&lt;&gt;"&amp;""))</f>
        <v>0</v>
      </c>
      <c r="M314" s="166">
        <f>IF(C314="","",COUNTIFS(Başvuru!$C:$C,C314,Başvuru!$L:$L,"GÖRÜŞ",Başvuru!$A:$A,"&lt;&gt;"&amp;"",Başvuru!$F:$F,"&lt;&gt;"&amp;""))</f>
        <v>0</v>
      </c>
      <c r="N314" s="167">
        <f>IF(C314="","",COUNTIFS(Başvuru!$C:$C,C314,Başvuru!$L:$L,"RET",Başvuru!$A:$A,"&lt;&gt;"&amp;"",Başvuru!$F:$F,"&lt;&gt;"&amp;""))</f>
        <v>0</v>
      </c>
      <c r="O314" s="168">
        <f>IF(C314="","",COUNTIFS(Başvuru!$C:$C,C314,Başvuru!$L:$L,"KAPSAM DIŞI",Başvuru!$A:$A,"&lt;&gt;"&amp;"",Başvuru!$F:$F,"&lt;&gt;"&amp;""))</f>
        <v>1</v>
      </c>
      <c r="P314" s="169">
        <f>IF(C314="","",COUNTIFS(Başvuru!$C:$C,C314,Başvuru!$L:$L,"GERİ ÇEKİLDİ",Başvuru!$A:$A,"&lt;&gt;"&amp;"",Başvuru!$F:$F,"&lt;&gt;"&amp;""))</f>
        <v>0</v>
      </c>
      <c r="Q314" s="170" t="str">
        <f t="array" ref="Q314">IFERROR(INDEX(Başvuru!$C$2:$C$3000, MATCH(0, COUNTIF($Q$5:Q313, Başvuru!$C$2:$C$3000) + IF(Başvuru!$C$2:$C$3000="",1,0), 0)), "")</f>
        <v>Doç. Dr. Ahmet Erim PAMUK</v>
      </c>
      <c r="R314" s="171">
        <f>IF(Q314="","",COUNTIFS(Başvuru!$C:$C,Q314,Başvuru!$A:$A,"&lt;&gt;"&amp;"",Başvuru!$F:$F,"&lt;&gt;"&amp;""))</f>
        <v>1</v>
      </c>
      <c r="S314" s="171">
        <f>IF(R314="","",RANK(R314,$R$6:$R$505,0)+COUNTIF($R$6:R314,R314)-1)</f>
        <v>312</v>
      </c>
    </row>
    <row r="315" spans="2:19" ht="23.25" customHeight="1" x14ac:dyDescent="0.25">
      <c r="B315" s="159">
        <v>310</v>
      </c>
      <c r="C315" s="160" t="str">
        <f>IFERROR(INDEX($Q$6:$Q$505,MATCH(310,$S$6:$S$505,0)),"")</f>
        <v>Prof. Dr. Şükrü Alpan CİNEMRE</v>
      </c>
      <c r="D315" s="161">
        <f>IF(C315="","",COUNTIFS(Başvuru!$C:$C,C315,Başvuru!$A:$A,"&lt;&gt;"&amp;"",Başvuru!$F:$F,"&lt;&gt;"&amp;""))</f>
        <v>1</v>
      </c>
      <c r="E315" s="159" t="str">
        <f>IF(C315="","-",IF(D315&gt;0,TEXT(D315/(COUNTIFS(Başvuru!$A:$A,"&lt;&gt;",Başvuru!$F:$F,"&lt;&gt;")-1)*100,"0.0")&amp;"%","-"))</f>
        <v>00%</v>
      </c>
      <c r="F315" s="162">
        <f>IF(C315="","",COUNTIFS(Başvuru!$C:$C,C315,Başvuru!$G:$G,"Bireysel Araştırma",Başvuru!$A:$A,"&lt;&gt;"&amp;"",Başvuru!$F:$F,"&lt;&gt;"&amp;""))</f>
        <v>0</v>
      </c>
      <c r="G315" s="162">
        <f>IF(C315="","",COUNTIFS(Başvuru!$C:$C,C315,Başvuru!$G:$G,"Uzmanlık Tezi",Başvuru!$A:$A,"&lt;&gt;"&amp;"",Başvuru!$F:$F,"&lt;&gt;"&amp;""))</f>
        <v>0</v>
      </c>
      <c r="H315" s="162">
        <f>IF(C315="","",COUNTIFS(Başvuru!$C:$C,C315,Başvuru!$G:$G,"Doktora Tezi",Başvuru!$A:$A,"&lt;&gt;"&amp;"",Başvuru!$F:$F,"&lt;&gt;"&amp;""))</f>
        <v>0</v>
      </c>
      <c r="I315" s="162">
        <f>IF(C315="","",COUNTIFS(Başvuru!$C:$C,C315,Başvuru!$G:$G,"Yüksek Lisans Tezi",Başvuru!$A:$A,"&lt;&gt;"&amp;"",Başvuru!$F:$F,"&lt;&gt;"&amp;""))</f>
        <v>1</v>
      </c>
      <c r="J315" s="163">
        <f>IF(C315="","",COUNTIFS(Başvuru!$C:$C,C315,Başvuru!$L:$L,"ONAY",Başvuru!$A:$A,"&lt;&gt;"&amp;"",Başvuru!$F:$F,"&lt;&gt;"&amp;""))</f>
        <v>1</v>
      </c>
      <c r="K315" s="164">
        <f>IF(C315="","",COUNTIFS(Başvuru!$C:$C,C315,Başvuru!$L:$L,"DÜZELTME",Başvuru!$A:$A,"&lt;&gt;"&amp;"",Başvuru!$F:$F,"&lt;&gt;"&amp;""))</f>
        <v>0</v>
      </c>
      <c r="L315" s="165">
        <f>IF(C315="","",COUNTIFS(Başvuru!$C:$C,C315,Başvuru!$L:$L,"KAEK",Başvuru!$A:$A,"&lt;&gt;"&amp;"",Başvuru!$F:$F,"&lt;&gt;"&amp;""))</f>
        <v>0</v>
      </c>
      <c r="M315" s="166">
        <f>IF(C315="","",COUNTIFS(Başvuru!$C:$C,C315,Başvuru!$L:$L,"GÖRÜŞ",Başvuru!$A:$A,"&lt;&gt;"&amp;"",Başvuru!$F:$F,"&lt;&gt;"&amp;""))</f>
        <v>0</v>
      </c>
      <c r="N315" s="167">
        <f>IF(C315="","",COUNTIFS(Başvuru!$C:$C,C315,Başvuru!$L:$L,"RET",Başvuru!$A:$A,"&lt;&gt;"&amp;"",Başvuru!$F:$F,"&lt;&gt;"&amp;""))</f>
        <v>0</v>
      </c>
      <c r="O315" s="168">
        <f>IF(C315="","",COUNTIFS(Başvuru!$C:$C,C315,Başvuru!$L:$L,"KAPSAM DIŞI",Başvuru!$A:$A,"&lt;&gt;"&amp;"",Başvuru!$F:$F,"&lt;&gt;"&amp;""))</f>
        <v>0</v>
      </c>
      <c r="P315" s="169">
        <f>IF(C315="","",COUNTIFS(Başvuru!$C:$C,C315,Başvuru!$L:$L,"GERİ ÇEKİLDİ",Başvuru!$A:$A,"&lt;&gt;"&amp;"",Başvuru!$F:$F,"&lt;&gt;"&amp;""))</f>
        <v>0</v>
      </c>
      <c r="Q315" s="170" t="str">
        <f t="array" ref="Q315">IFERROR(INDEX(Başvuru!$C$2:$C$3000, MATCH(0, COUNTIF($Q$5:Q314, Başvuru!$C$2:$C$3000) + IF(Başvuru!$C$2:$C$3000="",1,0), 0)), "")</f>
        <v>Doç. Dr. Yasemin GÜZEL</v>
      </c>
      <c r="R315" s="171">
        <f>IF(Q315="","",COUNTIFS(Başvuru!$C:$C,Q315,Başvuru!$A:$A,"&lt;&gt;"&amp;"",Başvuru!$F:$F,"&lt;&gt;"&amp;""))</f>
        <v>1</v>
      </c>
      <c r="S315" s="171">
        <f>IF(R315="","",RANK(R315,$R$6:$R$505,0)+COUNTIF($R$6:R315,R315)-1)</f>
        <v>313</v>
      </c>
    </row>
    <row r="316" spans="2:19" ht="23.25" customHeight="1" x14ac:dyDescent="0.25">
      <c r="B316" s="159">
        <v>311</v>
      </c>
      <c r="C316" s="160" t="str">
        <f>IFERROR(INDEX($Q$6:$Q$505,MATCH(311,$S$6:$S$505,0)),"")</f>
        <v>Doç. Dr. Ferdi ÇAY</v>
      </c>
      <c r="D316" s="161">
        <f>IF(C316="","",COUNTIFS(Başvuru!$C:$C,C316,Başvuru!$A:$A,"&lt;&gt;"&amp;"",Başvuru!$F:$F,"&lt;&gt;"&amp;""))</f>
        <v>1</v>
      </c>
      <c r="E316" s="159" t="str">
        <f>IF(C316="","-",IF(D316&gt;0,TEXT(D316/(COUNTIFS(Başvuru!$A:$A,"&lt;&gt;",Başvuru!$F:$F,"&lt;&gt;")-1)*100,"0.0")&amp;"%","-"))</f>
        <v>00%</v>
      </c>
      <c r="F316" s="162">
        <f>IF(C316="","",COUNTIFS(Başvuru!$C:$C,C316,Başvuru!$G:$G,"Bireysel Araştırma",Başvuru!$A:$A,"&lt;&gt;"&amp;"",Başvuru!$F:$F,"&lt;&gt;"&amp;""))</f>
        <v>1</v>
      </c>
      <c r="G316" s="162">
        <f>IF(C316="","",COUNTIFS(Başvuru!$C:$C,C316,Başvuru!$G:$G,"Uzmanlık Tezi",Başvuru!$A:$A,"&lt;&gt;"&amp;"",Başvuru!$F:$F,"&lt;&gt;"&amp;""))</f>
        <v>0</v>
      </c>
      <c r="H316" s="162">
        <f>IF(C316="","",COUNTIFS(Başvuru!$C:$C,C316,Başvuru!$G:$G,"Doktora Tezi",Başvuru!$A:$A,"&lt;&gt;"&amp;"",Başvuru!$F:$F,"&lt;&gt;"&amp;""))</f>
        <v>0</v>
      </c>
      <c r="I316" s="162">
        <f>IF(C316="","",COUNTIFS(Başvuru!$C:$C,C316,Başvuru!$G:$G,"Yüksek Lisans Tezi",Başvuru!$A:$A,"&lt;&gt;"&amp;"",Başvuru!$F:$F,"&lt;&gt;"&amp;""))</f>
        <v>0</v>
      </c>
      <c r="J316" s="163">
        <f>IF(C316="","",COUNTIFS(Başvuru!$C:$C,C316,Başvuru!$L:$L,"ONAY",Başvuru!$A:$A,"&lt;&gt;"&amp;"",Başvuru!$F:$F,"&lt;&gt;"&amp;""))</f>
        <v>0</v>
      </c>
      <c r="K316" s="164">
        <f>IF(C316="","",COUNTIFS(Başvuru!$C:$C,C316,Başvuru!$L:$L,"DÜZELTME",Başvuru!$A:$A,"&lt;&gt;"&amp;"",Başvuru!$F:$F,"&lt;&gt;"&amp;""))</f>
        <v>1</v>
      </c>
      <c r="L316" s="165">
        <f>IF(C316="","",COUNTIFS(Başvuru!$C:$C,C316,Başvuru!$L:$L,"KAEK",Başvuru!$A:$A,"&lt;&gt;"&amp;"",Başvuru!$F:$F,"&lt;&gt;"&amp;""))</f>
        <v>0</v>
      </c>
      <c r="M316" s="166">
        <f>IF(C316="","",COUNTIFS(Başvuru!$C:$C,C316,Başvuru!$L:$L,"GÖRÜŞ",Başvuru!$A:$A,"&lt;&gt;"&amp;"",Başvuru!$F:$F,"&lt;&gt;"&amp;""))</f>
        <v>0</v>
      </c>
      <c r="N316" s="167">
        <f>IF(C316="","",COUNTIFS(Başvuru!$C:$C,C316,Başvuru!$L:$L,"RET",Başvuru!$A:$A,"&lt;&gt;"&amp;"",Başvuru!$F:$F,"&lt;&gt;"&amp;""))</f>
        <v>0</v>
      </c>
      <c r="O316" s="168">
        <f>IF(C316="","",COUNTIFS(Başvuru!$C:$C,C316,Başvuru!$L:$L,"KAPSAM DIŞI",Başvuru!$A:$A,"&lt;&gt;"&amp;"",Başvuru!$F:$F,"&lt;&gt;"&amp;""))</f>
        <v>0</v>
      </c>
      <c r="P316" s="169">
        <f>IF(C316="","",COUNTIFS(Başvuru!$C:$C,C316,Başvuru!$L:$L,"GERİ ÇEKİLDİ",Başvuru!$A:$A,"&lt;&gt;"&amp;"",Başvuru!$F:$F,"&lt;&gt;"&amp;""))</f>
        <v>0</v>
      </c>
      <c r="Q316" s="170" t="str">
        <f t="array" ref="Q316">IFERROR(INDEX(Başvuru!$C$2:$C$3000, MATCH(0, COUNTIF($Q$5:Q315, Başvuru!$C$2:$C$3000) + IF(Başvuru!$C$2:$C$3000="",1,0), 0)), "")</f>
        <v>Dr. Öğr. Üyesi Sinan BALCI</v>
      </c>
      <c r="R316" s="171">
        <f>IF(Q316="","",COUNTIFS(Başvuru!$C:$C,Q316,Başvuru!$A:$A,"&lt;&gt;"&amp;"",Başvuru!$F:$F,"&lt;&gt;"&amp;""))</f>
        <v>2</v>
      </c>
      <c r="S316" s="171">
        <f>IF(R316="","",RANK(R316,$R$6:$R$505,0)+COUNTIF($R$6:R316,R316)-1)</f>
        <v>146</v>
      </c>
    </row>
    <row r="317" spans="2:19" ht="23.25" customHeight="1" x14ac:dyDescent="0.25">
      <c r="B317" s="159">
        <v>312</v>
      </c>
      <c r="C317" s="160" t="str">
        <f>IFERROR(INDEX($Q$6:$Q$505,MATCH(312,$S$6:$S$505,0)),"")</f>
        <v>Doç. Dr. Ahmet Erim PAMUK</v>
      </c>
      <c r="D317" s="161">
        <f>IF(C317="","",COUNTIFS(Başvuru!$C:$C,C317,Başvuru!$A:$A,"&lt;&gt;"&amp;"",Başvuru!$F:$F,"&lt;&gt;"&amp;""))</f>
        <v>1</v>
      </c>
      <c r="E317" s="159" t="str">
        <f>IF(C317="","-",IF(D317&gt;0,TEXT(D317/(COUNTIFS(Başvuru!$A:$A,"&lt;&gt;",Başvuru!$F:$F,"&lt;&gt;")-1)*100,"0.0")&amp;"%","-"))</f>
        <v>00%</v>
      </c>
      <c r="F317" s="162">
        <f>IF(C317="","",COUNTIFS(Başvuru!$C:$C,C317,Başvuru!$G:$G,"Bireysel Araştırma",Başvuru!$A:$A,"&lt;&gt;"&amp;"",Başvuru!$F:$F,"&lt;&gt;"&amp;""))</f>
        <v>1</v>
      </c>
      <c r="G317" s="162">
        <f>IF(C317="","",COUNTIFS(Başvuru!$C:$C,C317,Başvuru!$G:$G,"Uzmanlık Tezi",Başvuru!$A:$A,"&lt;&gt;"&amp;"",Başvuru!$F:$F,"&lt;&gt;"&amp;""))</f>
        <v>0</v>
      </c>
      <c r="H317" s="162">
        <f>IF(C317="","",COUNTIFS(Başvuru!$C:$C,C317,Başvuru!$G:$G,"Doktora Tezi",Başvuru!$A:$A,"&lt;&gt;"&amp;"",Başvuru!$F:$F,"&lt;&gt;"&amp;""))</f>
        <v>0</v>
      </c>
      <c r="I317" s="162">
        <f>IF(C317="","",COUNTIFS(Başvuru!$C:$C,C317,Başvuru!$G:$G,"Yüksek Lisans Tezi",Başvuru!$A:$A,"&lt;&gt;"&amp;"",Başvuru!$F:$F,"&lt;&gt;"&amp;""))</f>
        <v>0</v>
      </c>
      <c r="J317" s="163">
        <f>IF(C317="","",COUNTIFS(Başvuru!$C:$C,C317,Başvuru!$L:$L,"ONAY",Başvuru!$A:$A,"&lt;&gt;"&amp;"",Başvuru!$F:$F,"&lt;&gt;"&amp;""))</f>
        <v>0</v>
      </c>
      <c r="K317" s="164">
        <f>IF(C317="","",COUNTIFS(Başvuru!$C:$C,C317,Başvuru!$L:$L,"DÜZELTME",Başvuru!$A:$A,"&lt;&gt;"&amp;"",Başvuru!$F:$F,"&lt;&gt;"&amp;""))</f>
        <v>1</v>
      </c>
      <c r="L317" s="165">
        <f>IF(C317="","",COUNTIFS(Başvuru!$C:$C,C317,Başvuru!$L:$L,"KAEK",Başvuru!$A:$A,"&lt;&gt;"&amp;"",Başvuru!$F:$F,"&lt;&gt;"&amp;""))</f>
        <v>0</v>
      </c>
      <c r="M317" s="166">
        <f>IF(C317="","",COUNTIFS(Başvuru!$C:$C,C317,Başvuru!$L:$L,"GÖRÜŞ",Başvuru!$A:$A,"&lt;&gt;"&amp;"",Başvuru!$F:$F,"&lt;&gt;"&amp;""))</f>
        <v>0</v>
      </c>
      <c r="N317" s="167">
        <f>IF(C317="","",COUNTIFS(Başvuru!$C:$C,C317,Başvuru!$L:$L,"RET",Başvuru!$A:$A,"&lt;&gt;"&amp;"",Başvuru!$F:$F,"&lt;&gt;"&amp;""))</f>
        <v>0</v>
      </c>
      <c r="O317" s="168">
        <f>IF(C317="","",COUNTIFS(Başvuru!$C:$C,C317,Başvuru!$L:$L,"KAPSAM DIŞI",Başvuru!$A:$A,"&lt;&gt;"&amp;"",Başvuru!$F:$F,"&lt;&gt;"&amp;""))</f>
        <v>0</v>
      </c>
      <c r="P317" s="169">
        <f>IF(C317="","",COUNTIFS(Başvuru!$C:$C,C317,Başvuru!$L:$L,"GERİ ÇEKİLDİ",Başvuru!$A:$A,"&lt;&gt;"&amp;"",Başvuru!$F:$F,"&lt;&gt;"&amp;""))</f>
        <v>0</v>
      </c>
      <c r="Q317" s="170" t="str">
        <f t="array" ref="Q317">IFERROR(INDEX(Başvuru!$C$2:$C$3000, MATCH(0, COUNTIF($Q$5:Q316, Başvuru!$C$2:$C$3000) + IF(Başvuru!$C$2:$C$3000="",1,0), 0)), "")</f>
        <v>Arş. Gör. Dr. Oğuzhan SERİN</v>
      </c>
      <c r="R317" s="171">
        <f>IF(Q317="","",COUNTIFS(Başvuru!$C:$C,Q317,Başvuru!$A:$A,"&lt;&gt;"&amp;"",Başvuru!$F:$F,"&lt;&gt;"&amp;""))</f>
        <v>1</v>
      </c>
      <c r="S317" s="171">
        <f>IF(R317="","",RANK(R317,$R$6:$R$505,0)+COUNTIF($R$6:R317,R317)-1)</f>
        <v>314</v>
      </c>
    </row>
    <row r="318" spans="2:19" ht="23.25" customHeight="1" x14ac:dyDescent="0.25">
      <c r="B318" s="159">
        <v>313</v>
      </c>
      <c r="C318" s="160" t="str">
        <f>IFERROR(INDEX($Q$6:$Q$505,MATCH(313,$S$6:$S$505,0)),"")</f>
        <v>Doç. Dr. Yasemin GÜZEL</v>
      </c>
      <c r="D318" s="161">
        <f>IF(C318="","",COUNTIFS(Başvuru!$C:$C,C318,Başvuru!$A:$A,"&lt;&gt;"&amp;"",Başvuru!$F:$F,"&lt;&gt;"&amp;""))</f>
        <v>1</v>
      </c>
      <c r="E318" s="159" t="str">
        <f>IF(C318="","-",IF(D318&gt;0,TEXT(D318/(COUNTIFS(Başvuru!$A:$A,"&lt;&gt;",Başvuru!$F:$F,"&lt;&gt;")-1)*100,"0.0")&amp;"%","-"))</f>
        <v>00%</v>
      </c>
      <c r="F318" s="162">
        <f>IF(C318="","",COUNTIFS(Başvuru!$C:$C,C318,Başvuru!$G:$G,"Bireysel Araştırma",Başvuru!$A:$A,"&lt;&gt;"&amp;"",Başvuru!$F:$F,"&lt;&gt;"&amp;""))</f>
        <v>1</v>
      </c>
      <c r="G318" s="162">
        <f>IF(C318="","",COUNTIFS(Başvuru!$C:$C,C318,Başvuru!$G:$G,"Uzmanlık Tezi",Başvuru!$A:$A,"&lt;&gt;"&amp;"",Başvuru!$F:$F,"&lt;&gt;"&amp;""))</f>
        <v>0</v>
      </c>
      <c r="H318" s="162">
        <f>IF(C318="","",COUNTIFS(Başvuru!$C:$C,C318,Başvuru!$G:$G,"Doktora Tezi",Başvuru!$A:$A,"&lt;&gt;"&amp;"",Başvuru!$F:$F,"&lt;&gt;"&amp;""))</f>
        <v>0</v>
      </c>
      <c r="I318" s="162">
        <f>IF(C318="","",COUNTIFS(Başvuru!$C:$C,C318,Başvuru!$G:$G,"Yüksek Lisans Tezi",Başvuru!$A:$A,"&lt;&gt;"&amp;"",Başvuru!$F:$F,"&lt;&gt;"&amp;""))</f>
        <v>0</v>
      </c>
      <c r="J318" s="163">
        <f>IF(C318="","",COUNTIFS(Başvuru!$C:$C,C318,Başvuru!$L:$L,"ONAY",Başvuru!$A:$A,"&lt;&gt;"&amp;"",Başvuru!$F:$F,"&lt;&gt;"&amp;""))</f>
        <v>1</v>
      </c>
      <c r="K318" s="164">
        <f>IF(C318="","",COUNTIFS(Başvuru!$C:$C,C318,Başvuru!$L:$L,"DÜZELTME",Başvuru!$A:$A,"&lt;&gt;"&amp;"",Başvuru!$F:$F,"&lt;&gt;"&amp;""))</f>
        <v>0</v>
      </c>
      <c r="L318" s="165">
        <f>IF(C318="","",COUNTIFS(Başvuru!$C:$C,C318,Başvuru!$L:$L,"KAEK",Başvuru!$A:$A,"&lt;&gt;"&amp;"",Başvuru!$F:$F,"&lt;&gt;"&amp;""))</f>
        <v>0</v>
      </c>
      <c r="M318" s="166">
        <f>IF(C318="","",COUNTIFS(Başvuru!$C:$C,C318,Başvuru!$L:$L,"GÖRÜŞ",Başvuru!$A:$A,"&lt;&gt;"&amp;"",Başvuru!$F:$F,"&lt;&gt;"&amp;""))</f>
        <v>0</v>
      </c>
      <c r="N318" s="167">
        <f>IF(C318="","",COUNTIFS(Başvuru!$C:$C,C318,Başvuru!$L:$L,"RET",Başvuru!$A:$A,"&lt;&gt;"&amp;"",Başvuru!$F:$F,"&lt;&gt;"&amp;""))</f>
        <v>0</v>
      </c>
      <c r="O318" s="168">
        <f>IF(C318="","",COUNTIFS(Başvuru!$C:$C,C318,Başvuru!$L:$L,"KAPSAM DIŞI",Başvuru!$A:$A,"&lt;&gt;"&amp;"",Başvuru!$F:$F,"&lt;&gt;"&amp;""))</f>
        <v>0</v>
      </c>
      <c r="P318" s="169">
        <f>IF(C318="","",COUNTIFS(Başvuru!$C:$C,C318,Başvuru!$L:$L,"GERİ ÇEKİLDİ",Başvuru!$A:$A,"&lt;&gt;"&amp;"",Başvuru!$F:$F,"&lt;&gt;"&amp;""))</f>
        <v>0</v>
      </c>
      <c r="Q318" s="170" t="str">
        <f t="array" ref="Q318">IFERROR(INDEX(Başvuru!$C$2:$C$3000, MATCH(0, COUNTIF($Q$5:Q317, Başvuru!$C$2:$C$3000) + IF(Başvuru!$C$2:$C$3000="",1,0), 0)), "")</f>
        <v>Dr. Öğr. Üyesi Sevinç ASKERBEYLİ ÖRS</v>
      </c>
      <c r="R318" s="171">
        <f>IF(Q318="","",COUNTIFS(Başvuru!$C:$C,Q318,Başvuru!$A:$A,"&lt;&gt;"&amp;"",Başvuru!$F:$F,"&lt;&gt;"&amp;""))</f>
        <v>1</v>
      </c>
      <c r="S318" s="171">
        <f>IF(R318="","",RANK(R318,$R$6:$R$505,0)+COUNTIF($R$6:R318,R318)-1)</f>
        <v>315</v>
      </c>
    </row>
    <row r="319" spans="2:19" ht="23.25" customHeight="1" x14ac:dyDescent="0.25">
      <c r="B319" s="159">
        <v>314</v>
      </c>
      <c r="C319" s="160" t="str">
        <f>IFERROR(INDEX($Q$6:$Q$505,MATCH(314,$S$6:$S$505,0)),"")</f>
        <v>Arş. Gör. Dr. Oğuzhan SERİN</v>
      </c>
      <c r="D319" s="161">
        <f>IF(C319="","",COUNTIFS(Başvuru!$C:$C,C319,Başvuru!$A:$A,"&lt;&gt;"&amp;"",Başvuru!$F:$F,"&lt;&gt;"&amp;""))</f>
        <v>1</v>
      </c>
      <c r="E319" s="159" t="str">
        <f>IF(C319="","-",IF(D319&gt;0,TEXT(D319/(COUNTIFS(Başvuru!$A:$A,"&lt;&gt;",Başvuru!$F:$F,"&lt;&gt;")-1)*100,"0.0")&amp;"%","-"))</f>
        <v>00%</v>
      </c>
      <c r="F319" s="162">
        <f>IF(C319="","",COUNTIFS(Başvuru!$C:$C,C319,Başvuru!$G:$G,"Bireysel Araştırma",Başvuru!$A:$A,"&lt;&gt;"&amp;"",Başvuru!$F:$F,"&lt;&gt;"&amp;""))</f>
        <v>1</v>
      </c>
      <c r="G319" s="162">
        <f>IF(C319="","",COUNTIFS(Başvuru!$C:$C,C319,Başvuru!$G:$G,"Uzmanlık Tezi",Başvuru!$A:$A,"&lt;&gt;"&amp;"",Başvuru!$F:$F,"&lt;&gt;"&amp;""))</f>
        <v>0</v>
      </c>
      <c r="H319" s="162">
        <f>IF(C319="","",COUNTIFS(Başvuru!$C:$C,C319,Başvuru!$G:$G,"Doktora Tezi",Başvuru!$A:$A,"&lt;&gt;"&amp;"",Başvuru!$F:$F,"&lt;&gt;"&amp;""))</f>
        <v>0</v>
      </c>
      <c r="I319" s="162">
        <f>IF(C319="","",COUNTIFS(Başvuru!$C:$C,C319,Başvuru!$G:$G,"Yüksek Lisans Tezi",Başvuru!$A:$A,"&lt;&gt;"&amp;"",Başvuru!$F:$F,"&lt;&gt;"&amp;""))</f>
        <v>0</v>
      </c>
      <c r="J319" s="163">
        <f>IF(C319="","",COUNTIFS(Başvuru!$C:$C,C319,Başvuru!$L:$L,"ONAY",Başvuru!$A:$A,"&lt;&gt;"&amp;"",Başvuru!$F:$F,"&lt;&gt;"&amp;""))</f>
        <v>1</v>
      </c>
      <c r="K319" s="164">
        <f>IF(C319="","",COUNTIFS(Başvuru!$C:$C,C319,Başvuru!$L:$L,"DÜZELTME",Başvuru!$A:$A,"&lt;&gt;"&amp;"",Başvuru!$F:$F,"&lt;&gt;"&amp;""))</f>
        <v>0</v>
      </c>
      <c r="L319" s="165">
        <f>IF(C319="","",COUNTIFS(Başvuru!$C:$C,C319,Başvuru!$L:$L,"KAEK",Başvuru!$A:$A,"&lt;&gt;"&amp;"",Başvuru!$F:$F,"&lt;&gt;"&amp;""))</f>
        <v>0</v>
      </c>
      <c r="M319" s="166">
        <f>IF(C319="","",COUNTIFS(Başvuru!$C:$C,C319,Başvuru!$L:$L,"GÖRÜŞ",Başvuru!$A:$A,"&lt;&gt;"&amp;"",Başvuru!$F:$F,"&lt;&gt;"&amp;""))</f>
        <v>0</v>
      </c>
      <c r="N319" s="167">
        <f>IF(C319="","",COUNTIFS(Başvuru!$C:$C,C319,Başvuru!$L:$L,"RET",Başvuru!$A:$A,"&lt;&gt;"&amp;"",Başvuru!$F:$F,"&lt;&gt;"&amp;""))</f>
        <v>0</v>
      </c>
      <c r="O319" s="168">
        <f>IF(C319="","",COUNTIFS(Başvuru!$C:$C,C319,Başvuru!$L:$L,"KAPSAM DIŞI",Başvuru!$A:$A,"&lt;&gt;"&amp;"",Başvuru!$F:$F,"&lt;&gt;"&amp;""))</f>
        <v>0</v>
      </c>
      <c r="P319" s="169">
        <f>IF(C319="","",COUNTIFS(Başvuru!$C:$C,C319,Başvuru!$L:$L,"GERİ ÇEKİLDİ",Başvuru!$A:$A,"&lt;&gt;"&amp;"",Başvuru!$F:$F,"&lt;&gt;"&amp;""))</f>
        <v>0</v>
      </c>
      <c r="Q319" s="170" t="str">
        <f t="array" ref="Q319">IFERROR(INDEX(Başvuru!$C$2:$C$3000, MATCH(0, COUNTIF($Q$5:Q318, Başvuru!$C$2:$C$3000) + IF(Başvuru!$C$2:$C$3000="",1,0), 0)), "")</f>
        <v>Dr. Öğr. Üyesi Yasin SARIKAYA</v>
      </c>
      <c r="R319" s="171">
        <f>IF(Q319="","",COUNTIFS(Başvuru!$C:$C,Q319,Başvuru!$A:$A,"&lt;&gt;"&amp;"",Başvuru!$F:$F,"&lt;&gt;"&amp;""))</f>
        <v>1</v>
      </c>
      <c r="S319" s="171">
        <f>IF(R319="","",RANK(R319,$R$6:$R$505,0)+COUNTIF($R$6:R319,R319)-1)</f>
        <v>316</v>
      </c>
    </row>
    <row r="320" spans="2:19" ht="23.25" customHeight="1" x14ac:dyDescent="0.25">
      <c r="B320" s="159">
        <v>315</v>
      </c>
      <c r="C320" s="160" t="str">
        <f>IFERROR(INDEX($Q$6:$Q$505,MATCH(315,$S$6:$S$505,0)),"")</f>
        <v>Dr. Öğr. Üyesi Sevinç ASKERBEYLİ ÖRS</v>
      </c>
      <c r="D320" s="161">
        <f>IF(C320="","",COUNTIFS(Başvuru!$C:$C,C320,Başvuru!$A:$A,"&lt;&gt;"&amp;"",Başvuru!$F:$F,"&lt;&gt;"&amp;""))</f>
        <v>1</v>
      </c>
      <c r="E320" s="159" t="str">
        <f>IF(C320="","-",IF(D320&gt;0,TEXT(D320/(COUNTIFS(Başvuru!$A:$A,"&lt;&gt;",Başvuru!$F:$F,"&lt;&gt;")-1)*100,"0.0")&amp;"%","-"))</f>
        <v>00%</v>
      </c>
      <c r="F320" s="162">
        <f>IF(C320="","",COUNTIFS(Başvuru!$C:$C,C320,Başvuru!$G:$G,"Bireysel Araştırma",Başvuru!$A:$A,"&lt;&gt;"&amp;"",Başvuru!$F:$F,"&lt;&gt;"&amp;""))</f>
        <v>0</v>
      </c>
      <c r="G320" s="162">
        <f>IF(C320="","",COUNTIFS(Başvuru!$C:$C,C320,Başvuru!$G:$G,"Uzmanlık Tezi",Başvuru!$A:$A,"&lt;&gt;"&amp;"",Başvuru!$F:$F,"&lt;&gt;"&amp;""))</f>
        <v>1</v>
      </c>
      <c r="H320" s="162">
        <f>IF(C320="","",COUNTIFS(Başvuru!$C:$C,C320,Başvuru!$G:$G,"Doktora Tezi",Başvuru!$A:$A,"&lt;&gt;"&amp;"",Başvuru!$F:$F,"&lt;&gt;"&amp;""))</f>
        <v>0</v>
      </c>
      <c r="I320" s="162">
        <f>IF(C320="","",COUNTIFS(Başvuru!$C:$C,C320,Başvuru!$G:$G,"Yüksek Lisans Tezi",Başvuru!$A:$A,"&lt;&gt;"&amp;"",Başvuru!$F:$F,"&lt;&gt;"&amp;""))</f>
        <v>0</v>
      </c>
      <c r="J320" s="163">
        <f>IF(C320="","",COUNTIFS(Başvuru!$C:$C,C320,Başvuru!$L:$L,"ONAY",Başvuru!$A:$A,"&lt;&gt;"&amp;"",Başvuru!$F:$F,"&lt;&gt;"&amp;""))</f>
        <v>1</v>
      </c>
      <c r="K320" s="164">
        <f>IF(C320="","",COUNTIFS(Başvuru!$C:$C,C320,Başvuru!$L:$L,"DÜZELTME",Başvuru!$A:$A,"&lt;&gt;"&amp;"",Başvuru!$F:$F,"&lt;&gt;"&amp;""))</f>
        <v>0</v>
      </c>
      <c r="L320" s="165">
        <f>IF(C320="","",COUNTIFS(Başvuru!$C:$C,C320,Başvuru!$L:$L,"KAEK",Başvuru!$A:$A,"&lt;&gt;"&amp;"",Başvuru!$F:$F,"&lt;&gt;"&amp;""))</f>
        <v>0</v>
      </c>
      <c r="M320" s="166">
        <f>IF(C320="","",COUNTIFS(Başvuru!$C:$C,C320,Başvuru!$L:$L,"GÖRÜŞ",Başvuru!$A:$A,"&lt;&gt;"&amp;"",Başvuru!$F:$F,"&lt;&gt;"&amp;""))</f>
        <v>0</v>
      </c>
      <c r="N320" s="167">
        <f>IF(C320="","",COUNTIFS(Başvuru!$C:$C,C320,Başvuru!$L:$L,"RET",Başvuru!$A:$A,"&lt;&gt;"&amp;"",Başvuru!$F:$F,"&lt;&gt;"&amp;""))</f>
        <v>0</v>
      </c>
      <c r="O320" s="168">
        <f>IF(C320="","",COUNTIFS(Başvuru!$C:$C,C320,Başvuru!$L:$L,"KAPSAM DIŞI",Başvuru!$A:$A,"&lt;&gt;"&amp;"",Başvuru!$F:$F,"&lt;&gt;"&amp;""))</f>
        <v>0</v>
      </c>
      <c r="P320" s="169">
        <f>IF(C320="","",COUNTIFS(Başvuru!$C:$C,C320,Başvuru!$L:$L,"GERİ ÇEKİLDİ",Başvuru!$A:$A,"&lt;&gt;"&amp;"",Başvuru!$F:$F,"&lt;&gt;"&amp;""))</f>
        <v>0</v>
      </c>
      <c r="Q320" s="170" t="str">
        <f t="array" ref="Q320">IFERROR(INDEX(Başvuru!$C$2:$C$3000, MATCH(0, COUNTIF($Q$5:Q319, Başvuru!$C$2:$C$3000) + IF(Başvuru!$C$2:$C$3000="",1,0), 0)), "")</f>
        <v>Doç. Dr. Halide Özge BAŞARAN</v>
      </c>
      <c r="R320" s="171">
        <f>IF(Q320="","",COUNTIFS(Başvuru!$C:$C,Q320,Başvuru!$A:$A,"&lt;&gt;"&amp;"",Başvuru!$F:$F,"&lt;&gt;"&amp;""))</f>
        <v>1</v>
      </c>
      <c r="S320" s="171">
        <f>IF(R320="","",RANK(R320,$R$6:$R$505,0)+COUNTIF($R$6:R320,R320)-1)</f>
        <v>317</v>
      </c>
    </row>
    <row r="321" spans="2:19" ht="23.25" customHeight="1" x14ac:dyDescent="0.25">
      <c r="B321" s="159">
        <v>316</v>
      </c>
      <c r="C321" s="160" t="str">
        <f>IFERROR(INDEX($Q$6:$Q$505,MATCH(316,$S$6:$S$505,0)),"")</f>
        <v>Dr. Öğr. Üyesi Yasin SARIKAYA</v>
      </c>
      <c r="D321" s="161">
        <f>IF(C321="","",COUNTIFS(Başvuru!$C:$C,C321,Başvuru!$A:$A,"&lt;&gt;"&amp;"",Başvuru!$F:$F,"&lt;&gt;"&amp;""))</f>
        <v>1</v>
      </c>
      <c r="E321" s="159" t="str">
        <f>IF(C321="","-",IF(D321&gt;0,TEXT(D321/(COUNTIFS(Başvuru!$A:$A,"&lt;&gt;",Başvuru!$F:$F,"&lt;&gt;")-1)*100,"0.0")&amp;"%","-"))</f>
        <v>00%</v>
      </c>
      <c r="F321" s="162">
        <f>IF(C321="","",COUNTIFS(Başvuru!$C:$C,C321,Başvuru!$G:$G,"Bireysel Araştırma",Başvuru!$A:$A,"&lt;&gt;"&amp;"",Başvuru!$F:$F,"&lt;&gt;"&amp;""))</f>
        <v>1</v>
      </c>
      <c r="G321" s="162">
        <f>IF(C321="","",COUNTIFS(Başvuru!$C:$C,C321,Başvuru!$G:$G,"Uzmanlık Tezi",Başvuru!$A:$A,"&lt;&gt;"&amp;"",Başvuru!$F:$F,"&lt;&gt;"&amp;""))</f>
        <v>0</v>
      </c>
      <c r="H321" s="162">
        <f>IF(C321="","",COUNTIFS(Başvuru!$C:$C,C321,Başvuru!$G:$G,"Doktora Tezi",Başvuru!$A:$A,"&lt;&gt;"&amp;"",Başvuru!$F:$F,"&lt;&gt;"&amp;""))</f>
        <v>0</v>
      </c>
      <c r="I321" s="162">
        <f>IF(C321="","",COUNTIFS(Başvuru!$C:$C,C321,Başvuru!$G:$G,"Yüksek Lisans Tezi",Başvuru!$A:$A,"&lt;&gt;"&amp;"",Başvuru!$F:$F,"&lt;&gt;"&amp;""))</f>
        <v>0</v>
      </c>
      <c r="J321" s="163">
        <f>IF(C321="","",COUNTIFS(Başvuru!$C:$C,C321,Başvuru!$L:$L,"ONAY",Başvuru!$A:$A,"&lt;&gt;"&amp;"",Başvuru!$F:$F,"&lt;&gt;"&amp;""))</f>
        <v>1</v>
      </c>
      <c r="K321" s="164">
        <f>IF(C321="","",COUNTIFS(Başvuru!$C:$C,C321,Başvuru!$L:$L,"DÜZELTME",Başvuru!$A:$A,"&lt;&gt;"&amp;"",Başvuru!$F:$F,"&lt;&gt;"&amp;""))</f>
        <v>0</v>
      </c>
      <c r="L321" s="165">
        <f>IF(C321="","",COUNTIFS(Başvuru!$C:$C,C321,Başvuru!$L:$L,"KAEK",Başvuru!$A:$A,"&lt;&gt;"&amp;"",Başvuru!$F:$F,"&lt;&gt;"&amp;""))</f>
        <v>0</v>
      </c>
      <c r="M321" s="166">
        <f>IF(C321="","",COUNTIFS(Başvuru!$C:$C,C321,Başvuru!$L:$L,"GÖRÜŞ",Başvuru!$A:$A,"&lt;&gt;"&amp;"",Başvuru!$F:$F,"&lt;&gt;"&amp;""))</f>
        <v>0</v>
      </c>
      <c r="N321" s="167">
        <f>IF(C321="","",COUNTIFS(Başvuru!$C:$C,C321,Başvuru!$L:$L,"RET",Başvuru!$A:$A,"&lt;&gt;"&amp;"",Başvuru!$F:$F,"&lt;&gt;"&amp;""))</f>
        <v>0</v>
      </c>
      <c r="O321" s="168">
        <f>IF(C321="","",COUNTIFS(Başvuru!$C:$C,C321,Başvuru!$L:$L,"KAPSAM DIŞI",Başvuru!$A:$A,"&lt;&gt;"&amp;"",Başvuru!$F:$F,"&lt;&gt;"&amp;""))</f>
        <v>0</v>
      </c>
      <c r="P321" s="169">
        <f>IF(C321="","",COUNTIFS(Başvuru!$C:$C,C321,Başvuru!$L:$L,"GERİ ÇEKİLDİ",Başvuru!$A:$A,"&lt;&gt;"&amp;"",Başvuru!$F:$F,"&lt;&gt;"&amp;""))</f>
        <v>0</v>
      </c>
      <c r="Q321" s="170" t="str">
        <f t="array" ref="Q321">IFERROR(INDEX(Başvuru!$C$2:$C$3000, MATCH(0, COUNTIF($Q$5:Q320, Başvuru!$C$2:$C$3000) + IF(Başvuru!$C$2:$C$3000="",1,0), 0)), "")</f>
        <v>Prof. Dr. Serap AYDIN</v>
      </c>
      <c r="R321" s="171">
        <f>IF(Q321="","",COUNTIFS(Başvuru!$C:$C,Q321,Başvuru!$A:$A,"&lt;&gt;"&amp;"",Başvuru!$F:$F,"&lt;&gt;"&amp;""))</f>
        <v>1</v>
      </c>
      <c r="S321" s="171">
        <f>IF(R321="","",RANK(R321,$R$6:$R$505,0)+COUNTIF($R$6:R321,R321)-1)</f>
        <v>318</v>
      </c>
    </row>
    <row r="322" spans="2:19" ht="23.25" customHeight="1" x14ac:dyDescent="0.25">
      <c r="B322" s="159">
        <v>317</v>
      </c>
      <c r="C322" s="160" t="str">
        <f>IFERROR(INDEX($Q$6:$Q$505,MATCH(317,$S$6:$S$505,0)),"")</f>
        <v>Doç. Dr. Halide Özge BAŞARAN</v>
      </c>
      <c r="D322" s="161">
        <f>IF(C322="","",COUNTIFS(Başvuru!$C:$C,C322,Başvuru!$A:$A,"&lt;&gt;"&amp;"",Başvuru!$F:$F,"&lt;&gt;"&amp;""))</f>
        <v>1</v>
      </c>
      <c r="E322" s="159" t="str">
        <f>IF(C322="","-",IF(D322&gt;0,TEXT(D322/(COUNTIFS(Başvuru!$A:$A,"&lt;&gt;",Başvuru!$F:$F,"&lt;&gt;")-1)*100,"0.0")&amp;"%","-"))</f>
        <v>00%</v>
      </c>
      <c r="F322" s="162">
        <f>IF(C322="","",COUNTIFS(Başvuru!$C:$C,C322,Başvuru!$G:$G,"Bireysel Araştırma",Başvuru!$A:$A,"&lt;&gt;"&amp;"",Başvuru!$F:$F,"&lt;&gt;"&amp;""))</f>
        <v>1</v>
      </c>
      <c r="G322" s="162">
        <f>IF(C322="","",COUNTIFS(Başvuru!$C:$C,C322,Başvuru!$G:$G,"Uzmanlık Tezi",Başvuru!$A:$A,"&lt;&gt;"&amp;"",Başvuru!$F:$F,"&lt;&gt;"&amp;""))</f>
        <v>0</v>
      </c>
      <c r="H322" s="162">
        <f>IF(C322="","",COUNTIFS(Başvuru!$C:$C,C322,Başvuru!$G:$G,"Doktora Tezi",Başvuru!$A:$A,"&lt;&gt;"&amp;"",Başvuru!$F:$F,"&lt;&gt;"&amp;""))</f>
        <v>0</v>
      </c>
      <c r="I322" s="162">
        <f>IF(C322="","",COUNTIFS(Başvuru!$C:$C,C322,Başvuru!$G:$G,"Yüksek Lisans Tezi",Başvuru!$A:$A,"&lt;&gt;"&amp;"",Başvuru!$F:$F,"&lt;&gt;"&amp;""))</f>
        <v>0</v>
      </c>
      <c r="J322" s="163">
        <f>IF(C322="","",COUNTIFS(Başvuru!$C:$C,C322,Başvuru!$L:$L,"ONAY",Başvuru!$A:$A,"&lt;&gt;"&amp;"",Başvuru!$F:$F,"&lt;&gt;"&amp;""))</f>
        <v>1</v>
      </c>
      <c r="K322" s="164">
        <f>IF(C322="","",COUNTIFS(Başvuru!$C:$C,C322,Başvuru!$L:$L,"DÜZELTME",Başvuru!$A:$A,"&lt;&gt;"&amp;"",Başvuru!$F:$F,"&lt;&gt;"&amp;""))</f>
        <v>0</v>
      </c>
      <c r="L322" s="165">
        <f>IF(C322="","",COUNTIFS(Başvuru!$C:$C,C322,Başvuru!$L:$L,"KAEK",Başvuru!$A:$A,"&lt;&gt;"&amp;"",Başvuru!$F:$F,"&lt;&gt;"&amp;""))</f>
        <v>0</v>
      </c>
      <c r="M322" s="166">
        <f>IF(C322="","",COUNTIFS(Başvuru!$C:$C,C322,Başvuru!$L:$L,"GÖRÜŞ",Başvuru!$A:$A,"&lt;&gt;"&amp;"",Başvuru!$F:$F,"&lt;&gt;"&amp;""))</f>
        <v>0</v>
      </c>
      <c r="N322" s="167">
        <f>IF(C322="","",COUNTIFS(Başvuru!$C:$C,C322,Başvuru!$L:$L,"RET",Başvuru!$A:$A,"&lt;&gt;"&amp;"",Başvuru!$F:$F,"&lt;&gt;"&amp;""))</f>
        <v>0</v>
      </c>
      <c r="O322" s="168">
        <f>IF(C322="","",COUNTIFS(Başvuru!$C:$C,C322,Başvuru!$L:$L,"KAPSAM DIŞI",Başvuru!$A:$A,"&lt;&gt;"&amp;"",Başvuru!$F:$F,"&lt;&gt;"&amp;""))</f>
        <v>0</v>
      </c>
      <c r="P322" s="169">
        <f>IF(C322="","",COUNTIFS(Başvuru!$C:$C,C322,Başvuru!$L:$L,"GERİ ÇEKİLDİ",Başvuru!$A:$A,"&lt;&gt;"&amp;"",Başvuru!$F:$F,"&lt;&gt;"&amp;""))</f>
        <v>0</v>
      </c>
      <c r="Q322" s="170" t="str">
        <f t="array" ref="Q322">IFERROR(INDEX(Başvuru!$C$2:$C$3000, MATCH(0, COUNTIF($Q$5:Q321, Başvuru!$C$2:$C$3000) + IF(Başvuru!$C$2:$C$3000="",1,0), 0)), "")</f>
        <v>Prof. Dr. Göknur HALİLOĞLU</v>
      </c>
      <c r="R322" s="171">
        <f>IF(Q322="","",COUNTIFS(Başvuru!$C:$C,Q322,Başvuru!$A:$A,"&lt;&gt;"&amp;"",Başvuru!$F:$F,"&lt;&gt;"&amp;""))</f>
        <v>1</v>
      </c>
      <c r="S322" s="171">
        <f>IF(R322="","",RANK(R322,$R$6:$R$505,0)+COUNTIF($R$6:R322,R322)-1)</f>
        <v>319</v>
      </c>
    </row>
    <row r="323" spans="2:19" ht="23.25" customHeight="1" x14ac:dyDescent="0.25">
      <c r="B323" s="159">
        <v>318</v>
      </c>
      <c r="C323" s="160" t="str">
        <f>IFERROR(INDEX($Q$6:$Q$505,MATCH(318,$S$6:$S$505,0)),"")</f>
        <v>Prof. Dr. Serap AYDIN</v>
      </c>
      <c r="D323" s="161">
        <f>IF(C323="","",COUNTIFS(Başvuru!$C:$C,C323,Başvuru!$A:$A,"&lt;&gt;"&amp;"",Başvuru!$F:$F,"&lt;&gt;"&amp;""))</f>
        <v>1</v>
      </c>
      <c r="E323" s="159" t="str">
        <f>IF(C323="","-",IF(D323&gt;0,TEXT(D323/(COUNTIFS(Başvuru!$A:$A,"&lt;&gt;",Başvuru!$F:$F,"&lt;&gt;")-1)*100,"0.0")&amp;"%","-"))</f>
        <v>00%</v>
      </c>
      <c r="F323" s="162">
        <f>IF(C323="","",COUNTIFS(Başvuru!$C:$C,C323,Başvuru!$G:$G,"Bireysel Araştırma",Başvuru!$A:$A,"&lt;&gt;"&amp;"",Başvuru!$F:$F,"&lt;&gt;"&amp;""))</f>
        <v>1</v>
      </c>
      <c r="G323" s="162">
        <f>IF(C323="","",COUNTIFS(Başvuru!$C:$C,C323,Başvuru!$G:$G,"Uzmanlık Tezi",Başvuru!$A:$A,"&lt;&gt;"&amp;"",Başvuru!$F:$F,"&lt;&gt;"&amp;""))</f>
        <v>0</v>
      </c>
      <c r="H323" s="162">
        <f>IF(C323="","",COUNTIFS(Başvuru!$C:$C,C323,Başvuru!$G:$G,"Doktora Tezi",Başvuru!$A:$A,"&lt;&gt;"&amp;"",Başvuru!$F:$F,"&lt;&gt;"&amp;""))</f>
        <v>0</v>
      </c>
      <c r="I323" s="162">
        <f>IF(C323="","",COUNTIFS(Başvuru!$C:$C,C323,Başvuru!$G:$G,"Yüksek Lisans Tezi",Başvuru!$A:$A,"&lt;&gt;"&amp;"",Başvuru!$F:$F,"&lt;&gt;"&amp;""))</f>
        <v>0</v>
      </c>
      <c r="J323" s="163">
        <f>IF(C323="","",COUNTIFS(Başvuru!$C:$C,C323,Başvuru!$L:$L,"ONAY",Başvuru!$A:$A,"&lt;&gt;"&amp;"",Başvuru!$F:$F,"&lt;&gt;"&amp;""))</f>
        <v>1</v>
      </c>
      <c r="K323" s="164">
        <f>IF(C323="","",COUNTIFS(Başvuru!$C:$C,C323,Başvuru!$L:$L,"DÜZELTME",Başvuru!$A:$A,"&lt;&gt;"&amp;"",Başvuru!$F:$F,"&lt;&gt;"&amp;""))</f>
        <v>0</v>
      </c>
      <c r="L323" s="165">
        <f>IF(C323="","",COUNTIFS(Başvuru!$C:$C,C323,Başvuru!$L:$L,"KAEK",Başvuru!$A:$A,"&lt;&gt;"&amp;"",Başvuru!$F:$F,"&lt;&gt;"&amp;""))</f>
        <v>0</v>
      </c>
      <c r="M323" s="166">
        <f>IF(C323="","",COUNTIFS(Başvuru!$C:$C,C323,Başvuru!$L:$L,"GÖRÜŞ",Başvuru!$A:$A,"&lt;&gt;"&amp;"",Başvuru!$F:$F,"&lt;&gt;"&amp;""))</f>
        <v>0</v>
      </c>
      <c r="N323" s="167">
        <f>IF(C323="","",COUNTIFS(Başvuru!$C:$C,C323,Başvuru!$L:$L,"RET",Başvuru!$A:$A,"&lt;&gt;"&amp;"",Başvuru!$F:$F,"&lt;&gt;"&amp;""))</f>
        <v>0</v>
      </c>
      <c r="O323" s="168">
        <f>IF(C323="","",COUNTIFS(Başvuru!$C:$C,C323,Başvuru!$L:$L,"KAPSAM DIŞI",Başvuru!$A:$A,"&lt;&gt;"&amp;"",Başvuru!$F:$F,"&lt;&gt;"&amp;""))</f>
        <v>0</v>
      </c>
      <c r="P323" s="169">
        <f>IF(C323="","",COUNTIFS(Başvuru!$C:$C,C323,Başvuru!$L:$L,"GERİ ÇEKİLDİ",Başvuru!$A:$A,"&lt;&gt;"&amp;"",Başvuru!$F:$F,"&lt;&gt;"&amp;""))</f>
        <v>0</v>
      </c>
      <c r="Q323" s="170" t="str">
        <f t="array" ref="Q323">IFERROR(INDEX(Başvuru!$C$2:$C$3000, MATCH(0, COUNTIF($Q$5:Q322, Başvuru!$C$2:$C$3000) + IF(Başvuru!$C$2:$C$3000="",1,0), 0)), "")</f>
        <v>Dr. Öğr. Üyesi Müge DEMİR</v>
      </c>
      <c r="R323" s="171">
        <f>IF(Q323="","",COUNTIFS(Başvuru!$C:$C,Q323,Başvuru!$A:$A,"&lt;&gt;"&amp;"",Başvuru!$F:$F,"&lt;&gt;"&amp;""))</f>
        <v>1</v>
      </c>
      <c r="S323" s="171">
        <f>IF(R323="","",RANK(R323,$R$6:$R$505,0)+COUNTIF($R$6:R323,R323)-1)</f>
        <v>320</v>
      </c>
    </row>
    <row r="324" spans="2:19" ht="23.25" customHeight="1" x14ac:dyDescent="0.25">
      <c r="B324" s="159">
        <v>319</v>
      </c>
      <c r="C324" s="160" t="str">
        <f>IFERROR(INDEX($Q$6:$Q$505,MATCH(319,$S$6:$S$505,0)),"")</f>
        <v>Prof. Dr. Göknur HALİLOĞLU</v>
      </c>
      <c r="D324" s="161">
        <f>IF(C324="","",COUNTIFS(Başvuru!$C:$C,C324,Başvuru!$A:$A,"&lt;&gt;"&amp;"",Başvuru!$F:$F,"&lt;&gt;"&amp;""))</f>
        <v>1</v>
      </c>
      <c r="E324" s="159" t="str">
        <f>IF(C324="","-",IF(D324&gt;0,TEXT(D324/(COUNTIFS(Başvuru!$A:$A,"&lt;&gt;",Başvuru!$F:$F,"&lt;&gt;")-1)*100,"0.0")&amp;"%","-"))</f>
        <v>00%</v>
      </c>
      <c r="F324" s="162">
        <f>IF(C324="","",COUNTIFS(Başvuru!$C:$C,C324,Başvuru!$G:$G,"Bireysel Araştırma",Başvuru!$A:$A,"&lt;&gt;"&amp;"",Başvuru!$F:$F,"&lt;&gt;"&amp;""))</f>
        <v>1</v>
      </c>
      <c r="G324" s="162">
        <f>IF(C324="","",COUNTIFS(Başvuru!$C:$C,C324,Başvuru!$G:$G,"Uzmanlık Tezi",Başvuru!$A:$A,"&lt;&gt;"&amp;"",Başvuru!$F:$F,"&lt;&gt;"&amp;""))</f>
        <v>0</v>
      </c>
      <c r="H324" s="162">
        <f>IF(C324="","",COUNTIFS(Başvuru!$C:$C,C324,Başvuru!$G:$G,"Doktora Tezi",Başvuru!$A:$A,"&lt;&gt;"&amp;"",Başvuru!$F:$F,"&lt;&gt;"&amp;""))</f>
        <v>0</v>
      </c>
      <c r="I324" s="162">
        <f>IF(C324="","",COUNTIFS(Başvuru!$C:$C,C324,Başvuru!$G:$G,"Yüksek Lisans Tezi",Başvuru!$A:$A,"&lt;&gt;"&amp;"",Başvuru!$F:$F,"&lt;&gt;"&amp;""))</f>
        <v>0</v>
      </c>
      <c r="J324" s="163">
        <f>IF(C324="","",COUNTIFS(Başvuru!$C:$C,C324,Başvuru!$L:$L,"ONAY",Başvuru!$A:$A,"&lt;&gt;"&amp;"",Başvuru!$F:$F,"&lt;&gt;"&amp;""))</f>
        <v>0</v>
      </c>
      <c r="K324" s="164">
        <f>IF(C324="","",COUNTIFS(Başvuru!$C:$C,C324,Başvuru!$L:$L,"DÜZELTME",Başvuru!$A:$A,"&lt;&gt;"&amp;"",Başvuru!$F:$F,"&lt;&gt;"&amp;""))</f>
        <v>0</v>
      </c>
      <c r="L324" s="165">
        <f>IF(C324="","",COUNTIFS(Başvuru!$C:$C,C324,Başvuru!$L:$L,"KAEK",Başvuru!$A:$A,"&lt;&gt;"&amp;"",Başvuru!$F:$F,"&lt;&gt;"&amp;""))</f>
        <v>0</v>
      </c>
      <c r="M324" s="166">
        <f>IF(C324="","",COUNTIFS(Başvuru!$C:$C,C324,Başvuru!$L:$L,"GÖRÜŞ",Başvuru!$A:$A,"&lt;&gt;"&amp;"",Başvuru!$F:$F,"&lt;&gt;"&amp;""))</f>
        <v>0</v>
      </c>
      <c r="N324" s="167">
        <f>IF(C324="","",COUNTIFS(Başvuru!$C:$C,C324,Başvuru!$L:$L,"RET",Başvuru!$A:$A,"&lt;&gt;"&amp;"",Başvuru!$F:$F,"&lt;&gt;"&amp;""))</f>
        <v>0</v>
      </c>
      <c r="O324" s="168">
        <f>IF(C324="","",COUNTIFS(Başvuru!$C:$C,C324,Başvuru!$L:$L,"KAPSAM DIŞI",Başvuru!$A:$A,"&lt;&gt;"&amp;"",Başvuru!$F:$F,"&lt;&gt;"&amp;""))</f>
        <v>0</v>
      </c>
      <c r="P324" s="169">
        <f>IF(C324="","",COUNTIFS(Başvuru!$C:$C,C324,Başvuru!$L:$L,"GERİ ÇEKİLDİ",Başvuru!$A:$A,"&lt;&gt;"&amp;"",Başvuru!$F:$F,"&lt;&gt;"&amp;""))</f>
        <v>0</v>
      </c>
      <c r="Q324" s="170" t="str">
        <f t="array" ref="Q324">IFERROR(INDEX(Başvuru!$C$2:$C$3000, MATCH(0, COUNTIF($Q$5:Q323, Başvuru!$C$2:$C$3000) + IF(Başvuru!$C$2:$C$3000="",1,0), 0)), "")</f>
        <v>Prof. Dr. Arzu TOPELİ İSKİT</v>
      </c>
      <c r="R324" s="171">
        <f>IF(Q324="","",COUNTIFS(Başvuru!$C:$C,Q324,Başvuru!$A:$A,"&lt;&gt;"&amp;"",Başvuru!$F:$F,"&lt;&gt;"&amp;""))</f>
        <v>1</v>
      </c>
      <c r="S324" s="171">
        <f>IF(R324="","",RANK(R324,$R$6:$R$505,0)+COUNTIF($R$6:R324,R324)-1)</f>
        <v>321</v>
      </c>
    </row>
    <row r="325" spans="2:19" ht="23.25" customHeight="1" x14ac:dyDescent="0.25">
      <c r="B325" s="159">
        <v>320</v>
      </c>
      <c r="C325" s="160" t="str">
        <f>IFERROR(INDEX($Q$6:$Q$505,MATCH(320,$S$6:$S$505,0)),"")</f>
        <v>Dr. Öğr. Üyesi Müge DEMİR</v>
      </c>
      <c r="D325" s="161">
        <f>IF(C325="","",COUNTIFS(Başvuru!$C:$C,C325,Başvuru!$A:$A,"&lt;&gt;"&amp;"",Başvuru!$F:$F,"&lt;&gt;"&amp;""))</f>
        <v>1</v>
      </c>
      <c r="E325" s="159" t="str">
        <f>IF(C325="","-",IF(D325&gt;0,TEXT(D325/(COUNTIFS(Başvuru!$A:$A,"&lt;&gt;",Başvuru!$F:$F,"&lt;&gt;")-1)*100,"0.0")&amp;"%","-"))</f>
        <v>00%</v>
      </c>
      <c r="F325" s="162">
        <f>IF(C325="","",COUNTIFS(Başvuru!$C:$C,C325,Başvuru!$G:$G,"Bireysel Araştırma",Başvuru!$A:$A,"&lt;&gt;"&amp;"",Başvuru!$F:$F,"&lt;&gt;"&amp;""))</f>
        <v>0</v>
      </c>
      <c r="G325" s="162">
        <f>IF(C325="","",COUNTIFS(Başvuru!$C:$C,C325,Başvuru!$G:$G,"Uzmanlık Tezi",Başvuru!$A:$A,"&lt;&gt;"&amp;"",Başvuru!$F:$F,"&lt;&gt;"&amp;""))</f>
        <v>0</v>
      </c>
      <c r="H325" s="162">
        <f>IF(C325="","",COUNTIFS(Başvuru!$C:$C,C325,Başvuru!$G:$G,"Doktora Tezi",Başvuru!$A:$A,"&lt;&gt;"&amp;"",Başvuru!$F:$F,"&lt;&gt;"&amp;""))</f>
        <v>1</v>
      </c>
      <c r="I325" s="162">
        <f>IF(C325="","",COUNTIFS(Başvuru!$C:$C,C325,Başvuru!$G:$G,"Yüksek Lisans Tezi",Başvuru!$A:$A,"&lt;&gt;"&amp;"",Başvuru!$F:$F,"&lt;&gt;"&amp;""))</f>
        <v>0</v>
      </c>
      <c r="J325" s="163">
        <f>IF(C325="","",COUNTIFS(Başvuru!$C:$C,C325,Başvuru!$L:$L,"ONAY",Başvuru!$A:$A,"&lt;&gt;"&amp;"",Başvuru!$F:$F,"&lt;&gt;"&amp;""))</f>
        <v>1</v>
      </c>
      <c r="K325" s="164">
        <f>IF(C325="","",COUNTIFS(Başvuru!$C:$C,C325,Başvuru!$L:$L,"DÜZELTME",Başvuru!$A:$A,"&lt;&gt;"&amp;"",Başvuru!$F:$F,"&lt;&gt;"&amp;""))</f>
        <v>0</v>
      </c>
      <c r="L325" s="165">
        <f>IF(C325="","",COUNTIFS(Başvuru!$C:$C,C325,Başvuru!$L:$L,"KAEK",Başvuru!$A:$A,"&lt;&gt;"&amp;"",Başvuru!$F:$F,"&lt;&gt;"&amp;""))</f>
        <v>0</v>
      </c>
      <c r="M325" s="166">
        <f>IF(C325="","",COUNTIFS(Başvuru!$C:$C,C325,Başvuru!$L:$L,"GÖRÜŞ",Başvuru!$A:$A,"&lt;&gt;"&amp;"",Başvuru!$F:$F,"&lt;&gt;"&amp;""))</f>
        <v>0</v>
      </c>
      <c r="N325" s="167">
        <f>IF(C325="","",COUNTIFS(Başvuru!$C:$C,C325,Başvuru!$L:$L,"RET",Başvuru!$A:$A,"&lt;&gt;"&amp;"",Başvuru!$F:$F,"&lt;&gt;"&amp;""))</f>
        <v>0</v>
      </c>
      <c r="O325" s="168">
        <f>IF(C325="","",COUNTIFS(Başvuru!$C:$C,C325,Başvuru!$L:$L,"KAPSAM DIŞI",Başvuru!$A:$A,"&lt;&gt;"&amp;"",Başvuru!$F:$F,"&lt;&gt;"&amp;""))</f>
        <v>0</v>
      </c>
      <c r="P325" s="169">
        <f>IF(C325="","",COUNTIFS(Başvuru!$C:$C,C325,Başvuru!$L:$L,"GERİ ÇEKİLDİ",Başvuru!$A:$A,"&lt;&gt;"&amp;"",Başvuru!$F:$F,"&lt;&gt;"&amp;""))</f>
        <v>0</v>
      </c>
      <c r="Q325" s="170" t="str">
        <f t="array" ref="Q325">IFERROR(INDEX(Başvuru!$C$2:$C$3000, MATCH(0, COUNTIF($Q$5:Q324, Başvuru!$C$2:$C$3000) + IF(Başvuru!$C$2:$C$3000="",1,0), 0)), "")</f>
        <v>Prof. Dr. Ümit Murat ŞAHİNER</v>
      </c>
      <c r="R325" s="171">
        <f>IF(Q325="","",COUNTIFS(Başvuru!$C:$C,Q325,Başvuru!$A:$A,"&lt;&gt;"&amp;"",Başvuru!$F:$F,"&lt;&gt;"&amp;""))</f>
        <v>1</v>
      </c>
      <c r="S325" s="171">
        <f>IF(R325="","",RANK(R325,$R$6:$R$505,0)+COUNTIF($R$6:R325,R325)-1)</f>
        <v>322</v>
      </c>
    </row>
    <row r="326" spans="2:19" ht="23.25" customHeight="1" x14ac:dyDescent="0.25">
      <c r="B326" s="159">
        <v>321</v>
      </c>
      <c r="C326" s="160" t="str">
        <f>IFERROR(INDEX($Q$6:$Q$505,MATCH(321,$S$6:$S$505,0)),"")</f>
        <v>Prof. Dr. Arzu TOPELİ İSKİT</v>
      </c>
      <c r="D326" s="161">
        <f>IF(C326="","",COUNTIFS(Başvuru!$C:$C,C326,Başvuru!$A:$A,"&lt;&gt;"&amp;"",Başvuru!$F:$F,"&lt;&gt;"&amp;""))</f>
        <v>1</v>
      </c>
      <c r="E326" s="159" t="str">
        <f>IF(C326="","-",IF(D326&gt;0,TEXT(D326/(COUNTIFS(Başvuru!$A:$A,"&lt;&gt;",Başvuru!$F:$F,"&lt;&gt;")-1)*100,"0.0")&amp;"%","-"))</f>
        <v>00%</v>
      </c>
      <c r="F326" s="162">
        <f>IF(C326="","",COUNTIFS(Başvuru!$C:$C,C326,Başvuru!$G:$G,"Bireysel Araştırma",Başvuru!$A:$A,"&lt;&gt;"&amp;"",Başvuru!$F:$F,"&lt;&gt;"&amp;""))</f>
        <v>1</v>
      </c>
      <c r="G326" s="162">
        <f>IF(C326="","",COUNTIFS(Başvuru!$C:$C,C326,Başvuru!$G:$G,"Uzmanlık Tezi",Başvuru!$A:$A,"&lt;&gt;"&amp;"",Başvuru!$F:$F,"&lt;&gt;"&amp;""))</f>
        <v>0</v>
      </c>
      <c r="H326" s="162">
        <f>IF(C326="","",COUNTIFS(Başvuru!$C:$C,C326,Başvuru!$G:$G,"Doktora Tezi",Başvuru!$A:$A,"&lt;&gt;"&amp;"",Başvuru!$F:$F,"&lt;&gt;"&amp;""))</f>
        <v>0</v>
      </c>
      <c r="I326" s="162">
        <f>IF(C326="","",COUNTIFS(Başvuru!$C:$C,C326,Başvuru!$G:$G,"Yüksek Lisans Tezi",Başvuru!$A:$A,"&lt;&gt;"&amp;"",Başvuru!$F:$F,"&lt;&gt;"&amp;""))</f>
        <v>0</v>
      </c>
      <c r="J326" s="163">
        <f>IF(C326="","",COUNTIFS(Başvuru!$C:$C,C326,Başvuru!$L:$L,"ONAY",Başvuru!$A:$A,"&lt;&gt;"&amp;"",Başvuru!$F:$F,"&lt;&gt;"&amp;""))</f>
        <v>0</v>
      </c>
      <c r="K326" s="164">
        <f>IF(C326="","",COUNTIFS(Başvuru!$C:$C,C326,Başvuru!$L:$L,"DÜZELTME",Başvuru!$A:$A,"&lt;&gt;"&amp;"",Başvuru!$F:$F,"&lt;&gt;"&amp;""))</f>
        <v>0</v>
      </c>
      <c r="L326" s="165">
        <f>IF(C326="","",COUNTIFS(Başvuru!$C:$C,C326,Başvuru!$L:$L,"KAEK",Başvuru!$A:$A,"&lt;&gt;"&amp;"",Başvuru!$F:$F,"&lt;&gt;"&amp;""))</f>
        <v>0</v>
      </c>
      <c r="M326" s="166">
        <f>IF(C326="","",COUNTIFS(Başvuru!$C:$C,C326,Başvuru!$L:$L,"GÖRÜŞ",Başvuru!$A:$A,"&lt;&gt;"&amp;"",Başvuru!$F:$F,"&lt;&gt;"&amp;""))</f>
        <v>0</v>
      </c>
      <c r="N326" s="167">
        <f>IF(C326="","",COUNTIFS(Başvuru!$C:$C,C326,Başvuru!$L:$L,"RET",Başvuru!$A:$A,"&lt;&gt;"&amp;"",Başvuru!$F:$F,"&lt;&gt;"&amp;""))</f>
        <v>0</v>
      </c>
      <c r="O326" s="168">
        <f>IF(C326="","",COUNTIFS(Başvuru!$C:$C,C326,Başvuru!$L:$L,"KAPSAM DIŞI",Başvuru!$A:$A,"&lt;&gt;"&amp;"",Başvuru!$F:$F,"&lt;&gt;"&amp;""))</f>
        <v>0</v>
      </c>
      <c r="P326" s="169">
        <f>IF(C326="","",COUNTIFS(Başvuru!$C:$C,C326,Başvuru!$L:$L,"GERİ ÇEKİLDİ",Başvuru!$A:$A,"&lt;&gt;"&amp;"",Başvuru!$F:$F,"&lt;&gt;"&amp;""))</f>
        <v>0</v>
      </c>
      <c r="Q326" s="170" t="str">
        <f t="array" ref="Q326">IFERROR(INDEX(Başvuru!$C$2:$C$3000, MATCH(0, COUNTIF($Q$5:Q325, Başvuru!$C$2:$C$3000) + IF(Başvuru!$C$2:$C$3000="",1,0), 0)), "")</f>
        <v>Prof. Dr. Ali AKDOĞAN</v>
      </c>
      <c r="R326" s="171">
        <f>IF(Q326="","",COUNTIFS(Başvuru!$C:$C,Q326,Başvuru!$A:$A,"&lt;&gt;"&amp;"",Başvuru!$F:$F,"&lt;&gt;"&amp;""))</f>
        <v>2</v>
      </c>
      <c r="S326" s="171">
        <f>IF(R326="","",RANK(R326,$R$6:$R$505,0)+COUNTIF($R$6:R326,R326)-1)</f>
        <v>147</v>
      </c>
    </row>
    <row r="327" spans="2:19" ht="23.25" customHeight="1" x14ac:dyDescent="0.25">
      <c r="B327" s="159">
        <v>322</v>
      </c>
      <c r="C327" s="160" t="str">
        <f>IFERROR(INDEX($Q$6:$Q$505,MATCH(322,$S$6:$S$505,0)),"")</f>
        <v>Prof. Dr. Ümit Murat ŞAHİNER</v>
      </c>
      <c r="D327" s="161">
        <f>IF(C327="","",COUNTIFS(Başvuru!$C:$C,C327,Başvuru!$A:$A,"&lt;&gt;"&amp;"",Başvuru!$F:$F,"&lt;&gt;"&amp;""))</f>
        <v>1</v>
      </c>
      <c r="E327" s="159" t="str">
        <f>IF(C327="","-",IF(D327&gt;0,TEXT(D327/(COUNTIFS(Başvuru!$A:$A,"&lt;&gt;",Başvuru!$F:$F,"&lt;&gt;")-1)*100,"0.0")&amp;"%","-"))</f>
        <v>00%</v>
      </c>
      <c r="F327" s="162">
        <f>IF(C327="","",COUNTIFS(Başvuru!$C:$C,C327,Başvuru!$G:$G,"Bireysel Araştırma",Başvuru!$A:$A,"&lt;&gt;"&amp;"",Başvuru!$F:$F,"&lt;&gt;"&amp;""))</f>
        <v>1</v>
      </c>
      <c r="G327" s="162">
        <f>IF(C327="","",COUNTIFS(Başvuru!$C:$C,C327,Başvuru!$G:$G,"Uzmanlık Tezi",Başvuru!$A:$A,"&lt;&gt;"&amp;"",Başvuru!$F:$F,"&lt;&gt;"&amp;""))</f>
        <v>0</v>
      </c>
      <c r="H327" s="162">
        <f>IF(C327="","",COUNTIFS(Başvuru!$C:$C,C327,Başvuru!$G:$G,"Doktora Tezi",Başvuru!$A:$A,"&lt;&gt;"&amp;"",Başvuru!$F:$F,"&lt;&gt;"&amp;""))</f>
        <v>0</v>
      </c>
      <c r="I327" s="162">
        <f>IF(C327="","",COUNTIFS(Başvuru!$C:$C,C327,Başvuru!$G:$G,"Yüksek Lisans Tezi",Başvuru!$A:$A,"&lt;&gt;"&amp;"",Başvuru!$F:$F,"&lt;&gt;"&amp;""))</f>
        <v>0</v>
      </c>
      <c r="J327" s="163">
        <f>IF(C327="","",COUNTIFS(Başvuru!$C:$C,C327,Başvuru!$L:$L,"ONAY",Başvuru!$A:$A,"&lt;&gt;"&amp;"",Başvuru!$F:$F,"&lt;&gt;"&amp;""))</f>
        <v>1</v>
      </c>
      <c r="K327" s="164">
        <f>IF(C327="","",COUNTIFS(Başvuru!$C:$C,C327,Başvuru!$L:$L,"DÜZELTME",Başvuru!$A:$A,"&lt;&gt;"&amp;"",Başvuru!$F:$F,"&lt;&gt;"&amp;""))</f>
        <v>0</v>
      </c>
      <c r="L327" s="165">
        <f>IF(C327="","",COUNTIFS(Başvuru!$C:$C,C327,Başvuru!$L:$L,"KAEK",Başvuru!$A:$A,"&lt;&gt;"&amp;"",Başvuru!$F:$F,"&lt;&gt;"&amp;""))</f>
        <v>0</v>
      </c>
      <c r="M327" s="166">
        <f>IF(C327="","",COUNTIFS(Başvuru!$C:$C,C327,Başvuru!$L:$L,"GÖRÜŞ",Başvuru!$A:$A,"&lt;&gt;"&amp;"",Başvuru!$F:$F,"&lt;&gt;"&amp;""))</f>
        <v>0</v>
      </c>
      <c r="N327" s="167">
        <f>IF(C327="","",COUNTIFS(Başvuru!$C:$C,C327,Başvuru!$L:$L,"RET",Başvuru!$A:$A,"&lt;&gt;"&amp;"",Başvuru!$F:$F,"&lt;&gt;"&amp;""))</f>
        <v>0</v>
      </c>
      <c r="O327" s="168">
        <f>IF(C327="","",COUNTIFS(Başvuru!$C:$C,C327,Başvuru!$L:$L,"KAPSAM DIŞI",Başvuru!$A:$A,"&lt;&gt;"&amp;"",Başvuru!$F:$F,"&lt;&gt;"&amp;""))</f>
        <v>0</v>
      </c>
      <c r="P327" s="169">
        <f>IF(C327="","",COUNTIFS(Başvuru!$C:$C,C327,Başvuru!$L:$L,"GERİ ÇEKİLDİ",Başvuru!$A:$A,"&lt;&gt;"&amp;"",Başvuru!$F:$F,"&lt;&gt;"&amp;""))</f>
        <v>0</v>
      </c>
      <c r="Q327" s="170" t="str">
        <f t="array" ref="Q327">IFERROR(INDEX(Başvuru!$C$2:$C$3000, MATCH(0, COUNTIF($Q$5:Q326, Başvuru!$C$2:$C$3000) + IF(Başvuru!$C$2:$C$3000="",1,0), 0)), "")</f>
        <v>Prof. Dr. Meryem UZAMIŞ TEKÇİÇEK</v>
      </c>
      <c r="R327" s="171">
        <f>IF(Q327="","",COUNTIFS(Başvuru!$C:$C,Q327,Başvuru!$A:$A,"&lt;&gt;"&amp;"",Başvuru!$F:$F,"&lt;&gt;"&amp;""))</f>
        <v>1</v>
      </c>
      <c r="S327" s="171">
        <f>IF(R327="","",RANK(R327,$R$6:$R$505,0)+COUNTIF($R$6:R327,R327)-1)</f>
        <v>323</v>
      </c>
    </row>
    <row r="328" spans="2:19" ht="23.25" customHeight="1" x14ac:dyDescent="0.25">
      <c r="B328" s="159">
        <v>323</v>
      </c>
      <c r="C328" s="160" t="str">
        <f>IFERROR(INDEX($Q$6:$Q$505,MATCH(323,$S$6:$S$505,0)),"")</f>
        <v>Prof. Dr. Meryem UZAMIŞ TEKÇİÇEK</v>
      </c>
      <c r="D328" s="161">
        <f>IF(C328="","",COUNTIFS(Başvuru!$C:$C,C328,Başvuru!$A:$A,"&lt;&gt;"&amp;"",Başvuru!$F:$F,"&lt;&gt;"&amp;""))</f>
        <v>1</v>
      </c>
      <c r="E328" s="159" t="str">
        <f>IF(C328="","-",IF(D328&gt;0,TEXT(D328/(COUNTIFS(Başvuru!$A:$A,"&lt;&gt;",Başvuru!$F:$F,"&lt;&gt;")-1)*100,"0.0")&amp;"%","-"))</f>
        <v>00%</v>
      </c>
      <c r="F328" s="162">
        <f>IF(C328="","",COUNTIFS(Başvuru!$C:$C,C328,Başvuru!$G:$G,"Bireysel Araştırma",Başvuru!$A:$A,"&lt;&gt;"&amp;"",Başvuru!$F:$F,"&lt;&gt;"&amp;""))</f>
        <v>0</v>
      </c>
      <c r="G328" s="162">
        <f>IF(C328="","",COUNTIFS(Başvuru!$C:$C,C328,Başvuru!$G:$G,"Uzmanlık Tezi",Başvuru!$A:$A,"&lt;&gt;"&amp;"",Başvuru!$F:$F,"&lt;&gt;"&amp;""))</f>
        <v>1</v>
      </c>
      <c r="H328" s="162">
        <f>IF(C328="","",COUNTIFS(Başvuru!$C:$C,C328,Başvuru!$G:$G,"Doktora Tezi",Başvuru!$A:$A,"&lt;&gt;"&amp;"",Başvuru!$F:$F,"&lt;&gt;"&amp;""))</f>
        <v>0</v>
      </c>
      <c r="I328" s="162">
        <f>IF(C328="","",COUNTIFS(Başvuru!$C:$C,C328,Başvuru!$G:$G,"Yüksek Lisans Tezi",Başvuru!$A:$A,"&lt;&gt;"&amp;"",Başvuru!$F:$F,"&lt;&gt;"&amp;""))</f>
        <v>0</v>
      </c>
      <c r="J328" s="163">
        <f>IF(C328="","",COUNTIFS(Başvuru!$C:$C,C328,Başvuru!$L:$L,"ONAY",Başvuru!$A:$A,"&lt;&gt;"&amp;"",Başvuru!$F:$F,"&lt;&gt;"&amp;""))</f>
        <v>1</v>
      </c>
      <c r="K328" s="164">
        <f>IF(C328="","",COUNTIFS(Başvuru!$C:$C,C328,Başvuru!$L:$L,"DÜZELTME",Başvuru!$A:$A,"&lt;&gt;"&amp;"",Başvuru!$F:$F,"&lt;&gt;"&amp;""))</f>
        <v>0</v>
      </c>
      <c r="L328" s="165">
        <f>IF(C328="","",COUNTIFS(Başvuru!$C:$C,C328,Başvuru!$L:$L,"KAEK",Başvuru!$A:$A,"&lt;&gt;"&amp;"",Başvuru!$F:$F,"&lt;&gt;"&amp;""))</f>
        <v>0</v>
      </c>
      <c r="M328" s="166">
        <f>IF(C328="","",COUNTIFS(Başvuru!$C:$C,C328,Başvuru!$L:$L,"GÖRÜŞ",Başvuru!$A:$A,"&lt;&gt;"&amp;"",Başvuru!$F:$F,"&lt;&gt;"&amp;""))</f>
        <v>0</v>
      </c>
      <c r="N328" s="167">
        <f>IF(C328="","",COUNTIFS(Başvuru!$C:$C,C328,Başvuru!$L:$L,"RET",Başvuru!$A:$A,"&lt;&gt;"&amp;"",Başvuru!$F:$F,"&lt;&gt;"&amp;""))</f>
        <v>0</v>
      </c>
      <c r="O328" s="168">
        <f>IF(C328="","",COUNTIFS(Başvuru!$C:$C,C328,Başvuru!$L:$L,"KAPSAM DIŞI",Başvuru!$A:$A,"&lt;&gt;"&amp;"",Başvuru!$F:$F,"&lt;&gt;"&amp;""))</f>
        <v>0</v>
      </c>
      <c r="P328" s="169">
        <f>IF(C328="","",COUNTIFS(Başvuru!$C:$C,C328,Başvuru!$L:$L,"GERİ ÇEKİLDİ",Başvuru!$A:$A,"&lt;&gt;"&amp;"",Başvuru!$F:$F,"&lt;&gt;"&amp;""))</f>
        <v>0</v>
      </c>
      <c r="Q328" s="170" t="str">
        <f t="array" ref="Q328">IFERROR(INDEX(Başvuru!$C$2:$C$3000, MATCH(0, COUNTIF($Q$5:Q327, Başvuru!$C$2:$C$3000) + IF(Başvuru!$C$2:$C$3000="",1,0), 0)), "")</f>
        <v>Prof. Dr. Özge UYSAL SOYER</v>
      </c>
      <c r="R328" s="171">
        <f>IF(Q328="","",COUNTIFS(Başvuru!$C:$C,Q328,Başvuru!$A:$A,"&lt;&gt;"&amp;"",Başvuru!$F:$F,"&lt;&gt;"&amp;""))</f>
        <v>3</v>
      </c>
      <c r="S328" s="171">
        <f>IF(R328="","",RANK(R328,$R$6:$R$505,0)+COUNTIF($R$6:R328,R328)-1)</f>
        <v>75</v>
      </c>
    </row>
    <row r="329" spans="2:19" ht="23.25" customHeight="1" x14ac:dyDescent="0.25">
      <c r="B329" s="159">
        <v>324</v>
      </c>
      <c r="C329" s="160" t="str">
        <f>IFERROR(INDEX($Q$6:$Q$505,MATCH(324,$S$6:$S$505,0)),"")</f>
        <v>Arş. Gör. Dr. İsmail Çağrı ÖZÜTOK</v>
      </c>
      <c r="D329" s="161">
        <f>IF(C329="","",COUNTIFS(Başvuru!$C:$C,C329,Başvuru!$A:$A,"&lt;&gt;"&amp;"",Başvuru!$F:$F,"&lt;&gt;"&amp;""))</f>
        <v>1</v>
      </c>
      <c r="E329" s="159" t="str">
        <f>IF(C329="","-",IF(D329&gt;0,TEXT(D329/(COUNTIFS(Başvuru!$A:$A,"&lt;&gt;",Başvuru!$F:$F,"&lt;&gt;")-1)*100,"0.0")&amp;"%","-"))</f>
        <v>00%</v>
      </c>
      <c r="F329" s="162">
        <f>IF(C329="","",COUNTIFS(Başvuru!$C:$C,C329,Başvuru!$G:$G,"Bireysel Araştırma",Başvuru!$A:$A,"&lt;&gt;"&amp;"",Başvuru!$F:$F,"&lt;&gt;"&amp;""))</f>
        <v>1</v>
      </c>
      <c r="G329" s="162">
        <f>IF(C329="","",COUNTIFS(Başvuru!$C:$C,C329,Başvuru!$G:$G,"Uzmanlık Tezi",Başvuru!$A:$A,"&lt;&gt;"&amp;"",Başvuru!$F:$F,"&lt;&gt;"&amp;""))</f>
        <v>0</v>
      </c>
      <c r="H329" s="162">
        <f>IF(C329="","",COUNTIFS(Başvuru!$C:$C,C329,Başvuru!$G:$G,"Doktora Tezi",Başvuru!$A:$A,"&lt;&gt;"&amp;"",Başvuru!$F:$F,"&lt;&gt;"&amp;""))</f>
        <v>0</v>
      </c>
      <c r="I329" s="162">
        <f>IF(C329="","",COUNTIFS(Başvuru!$C:$C,C329,Başvuru!$G:$G,"Yüksek Lisans Tezi",Başvuru!$A:$A,"&lt;&gt;"&amp;"",Başvuru!$F:$F,"&lt;&gt;"&amp;""))</f>
        <v>0</v>
      </c>
      <c r="J329" s="163">
        <f>IF(C329="","",COUNTIFS(Başvuru!$C:$C,C329,Başvuru!$L:$L,"ONAY",Başvuru!$A:$A,"&lt;&gt;"&amp;"",Başvuru!$F:$F,"&lt;&gt;"&amp;""))</f>
        <v>1</v>
      </c>
      <c r="K329" s="164">
        <f>IF(C329="","",COUNTIFS(Başvuru!$C:$C,C329,Başvuru!$L:$L,"DÜZELTME",Başvuru!$A:$A,"&lt;&gt;"&amp;"",Başvuru!$F:$F,"&lt;&gt;"&amp;""))</f>
        <v>0</v>
      </c>
      <c r="L329" s="165">
        <f>IF(C329="","",COUNTIFS(Başvuru!$C:$C,C329,Başvuru!$L:$L,"KAEK",Başvuru!$A:$A,"&lt;&gt;"&amp;"",Başvuru!$F:$F,"&lt;&gt;"&amp;""))</f>
        <v>0</v>
      </c>
      <c r="M329" s="166">
        <f>IF(C329="","",COUNTIFS(Başvuru!$C:$C,C329,Başvuru!$L:$L,"GÖRÜŞ",Başvuru!$A:$A,"&lt;&gt;"&amp;"",Başvuru!$F:$F,"&lt;&gt;"&amp;""))</f>
        <v>0</v>
      </c>
      <c r="N329" s="167">
        <f>IF(C329="","",COUNTIFS(Başvuru!$C:$C,C329,Başvuru!$L:$L,"RET",Başvuru!$A:$A,"&lt;&gt;"&amp;"",Başvuru!$F:$F,"&lt;&gt;"&amp;""))</f>
        <v>0</v>
      </c>
      <c r="O329" s="168">
        <f>IF(C329="","",COUNTIFS(Başvuru!$C:$C,C329,Başvuru!$L:$L,"KAPSAM DIŞI",Başvuru!$A:$A,"&lt;&gt;"&amp;"",Başvuru!$F:$F,"&lt;&gt;"&amp;""))</f>
        <v>0</v>
      </c>
      <c r="P329" s="169">
        <f>IF(C329="","",COUNTIFS(Başvuru!$C:$C,C329,Başvuru!$L:$L,"GERİ ÇEKİLDİ",Başvuru!$A:$A,"&lt;&gt;"&amp;"",Başvuru!$F:$F,"&lt;&gt;"&amp;""))</f>
        <v>0</v>
      </c>
      <c r="Q329" s="170" t="str">
        <f t="array" ref="Q329">IFERROR(INDEX(Başvuru!$C$2:$C$3000, MATCH(0, COUNTIF($Q$5:Q328, Başvuru!$C$2:$C$3000) + IF(Başvuru!$C$2:$C$3000="",1,0), 0)), "")</f>
        <v>Arş. Gör. Dr. İsmail Çağrı ÖZÜTOK</v>
      </c>
      <c r="R329" s="171">
        <f>IF(Q329="","",COUNTIFS(Başvuru!$C:$C,Q329,Başvuru!$A:$A,"&lt;&gt;"&amp;"",Başvuru!$F:$F,"&lt;&gt;"&amp;""))</f>
        <v>1</v>
      </c>
      <c r="S329" s="171">
        <f>IF(R329="","",RANK(R329,$R$6:$R$505,0)+COUNTIF($R$6:R329,R329)-1)</f>
        <v>324</v>
      </c>
    </row>
    <row r="330" spans="2:19" ht="23.25" customHeight="1" x14ac:dyDescent="0.25">
      <c r="B330" s="159">
        <v>325</v>
      </c>
      <c r="C330" s="160" t="str">
        <f>IFERROR(INDEX($Q$6:$Q$505,MATCH(325,$S$6:$S$505,0)),"")</f>
        <v>Dr. Öğr. Üyesi Bengi ÖZTÜRK</v>
      </c>
      <c r="D330" s="161">
        <f>IF(C330="","",COUNTIFS(Başvuru!$C:$C,C330,Başvuru!$A:$A,"&lt;&gt;"&amp;"",Başvuru!$F:$F,"&lt;&gt;"&amp;""))</f>
        <v>1</v>
      </c>
      <c r="E330" s="159" t="str">
        <f>IF(C330="","-",IF(D330&gt;0,TEXT(D330/(COUNTIFS(Başvuru!$A:$A,"&lt;&gt;",Başvuru!$F:$F,"&lt;&gt;")-1)*100,"0.0")&amp;"%","-"))</f>
        <v>00%</v>
      </c>
      <c r="F330" s="162">
        <f>IF(C330="","",COUNTIFS(Başvuru!$C:$C,C330,Başvuru!$G:$G,"Bireysel Araştırma",Başvuru!$A:$A,"&lt;&gt;"&amp;"",Başvuru!$F:$F,"&lt;&gt;"&amp;""))</f>
        <v>1</v>
      </c>
      <c r="G330" s="162">
        <f>IF(C330="","",COUNTIFS(Başvuru!$C:$C,C330,Başvuru!$G:$G,"Uzmanlık Tezi",Başvuru!$A:$A,"&lt;&gt;"&amp;"",Başvuru!$F:$F,"&lt;&gt;"&amp;""))</f>
        <v>0</v>
      </c>
      <c r="H330" s="162">
        <f>IF(C330="","",COUNTIFS(Başvuru!$C:$C,C330,Başvuru!$G:$G,"Doktora Tezi",Başvuru!$A:$A,"&lt;&gt;"&amp;"",Başvuru!$F:$F,"&lt;&gt;"&amp;""))</f>
        <v>0</v>
      </c>
      <c r="I330" s="162">
        <f>IF(C330="","",COUNTIFS(Başvuru!$C:$C,C330,Başvuru!$G:$G,"Yüksek Lisans Tezi",Başvuru!$A:$A,"&lt;&gt;"&amp;"",Başvuru!$F:$F,"&lt;&gt;"&amp;""))</f>
        <v>0</v>
      </c>
      <c r="J330" s="163">
        <f>IF(C330="","",COUNTIFS(Başvuru!$C:$C,C330,Başvuru!$L:$L,"ONAY",Başvuru!$A:$A,"&lt;&gt;"&amp;"",Başvuru!$F:$F,"&lt;&gt;"&amp;""))</f>
        <v>1</v>
      </c>
      <c r="K330" s="164">
        <f>IF(C330="","",COUNTIFS(Başvuru!$C:$C,C330,Başvuru!$L:$L,"DÜZELTME",Başvuru!$A:$A,"&lt;&gt;"&amp;"",Başvuru!$F:$F,"&lt;&gt;"&amp;""))</f>
        <v>0</v>
      </c>
      <c r="L330" s="165">
        <f>IF(C330="","",COUNTIFS(Başvuru!$C:$C,C330,Başvuru!$L:$L,"KAEK",Başvuru!$A:$A,"&lt;&gt;"&amp;"",Başvuru!$F:$F,"&lt;&gt;"&amp;""))</f>
        <v>0</v>
      </c>
      <c r="M330" s="166">
        <f>IF(C330="","",COUNTIFS(Başvuru!$C:$C,C330,Başvuru!$L:$L,"GÖRÜŞ",Başvuru!$A:$A,"&lt;&gt;"&amp;"",Başvuru!$F:$F,"&lt;&gt;"&amp;""))</f>
        <v>0</v>
      </c>
      <c r="N330" s="167">
        <f>IF(C330="","",COUNTIFS(Başvuru!$C:$C,C330,Başvuru!$L:$L,"RET",Başvuru!$A:$A,"&lt;&gt;"&amp;"",Başvuru!$F:$F,"&lt;&gt;"&amp;""))</f>
        <v>0</v>
      </c>
      <c r="O330" s="168">
        <f>IF(C330="","",COUNTIFS(Başvuru!$C:$C,C330,Başvuru!$L:$L,"KAPSAM DIŞI",Başvuru!$A:$A,"&lt;&gt;"&amp;"",Başvuru!$F:$F,"&lt;&gt;"&amp;""))</f>
        <v>0</v>
      </c>
      <c r="P330" s="169">
        <f>IF(C330="","",COUNTIFS(Başvuru!$C:$C,C330,Başvuru!$L:$L,"GERİ ÇEKİLDİ",Başvuru!$A:$A,"&lt;&gt;"&amp;"",Başvuru!$F:$F,"&lt;&gt;"&amp;""))</f>
        <v>0</v>
      </c>
      <c r="Q330" s="170" t="str">
        <f t="array" ref="Q330">IFERROR(INDEX(Başvuru!$C$2:$C$3000, MATCH(0, COUNTIF($Q$5:Q329, Başvuru!$C$2:$C$3000) + IF(Başvuru!$C$2:$C$3000="",1,0), 0)), "")</f>
        <v>Dr. Öğr. Üyesi Bengi ÖZTÜRK</v>
      </c>
      <c r="R330" s="171">
        <f>IF(Q330="","",COUNTIFS(Başvuru!$C:$C,Q330,Başvuru!$A:$A,"&lt;&gt;"&amp;"",Başvuru!$F:$F,"&lt;&gt;"&amp;""))</f>
        <v>1</v>
      </c>
      <c r="S330" s="171">
        <f>IF(R330="","",RANK(R330,$R$6:$R$505,0)+COUNTIF($R$6:R330,R330)-1)</f>
        <v>325</v>
      </c>
    </row>
    <row r="331" spans="2:19" ht="23.25" customHeight="1" x14ac:dyDescent="0.25">
      <c r="B331" s="159">
        <v>326</v>
      </c>
      <c r="C331" s="160" t="str">
        <f>IFERROR(INDEX($Q$6:$Q$505,MATCH(326,$S$6:$S$505,0)),"")</f>
        <v>Prof. Dr. Turgut Emrah BOZKURT</v>
      </c>
      <c r="D331" s="161">
        <f>IF(C331="","",COUNTIFS(Başvuru!$C:$C,C331,Başvuru!$A:$A,"&lt;&gt;"&amp;"",Başvuru!$F:$F,"&lt;&gt;"&amp;""))</f>
        <v>1</v>
      </c>
      <c r="E331" s="159" t="str">
        <f>IF(C331="","-",IF(D331&gt;0,TEXT(D331/(COUNTIFS(Başvuru!$A:$A,"&lt;&gt;",Başvuru!$F:$F,"&lt;&gt;")-1)*100,"0.0")&amp;"%","-"))</f>
        <v>00%</v>
      </c>
      <c r="F331" s="162">
        <f>IF(C331="","",COUNTIFS(Başvuru!$C:$C,C331,Başvuru!$G:$G,"Bireysel Araştırma",Başvuru!$A:$A,"&lt;&gt;"&amp;"",Başvuru!$F:$F,"&lt;&gt;"&amp;""))</f>
        <v>1</v>
      </c>
      <c r="G331" s="162">
        <f>IF(C331="","",COUNTIFS(Başvuru!$C:$C,C331,Başvuru!$G:$G,"Uzmanlık Tezi",Başvuru!$A:$A,"&lt;&gt;"&amp;"",Başvuru!$F:$F,"&lt;&gt;"&amp;""))</f>
        <v>0</v>
      </c>
      <c r="H331" s="162">
        <f>IF(C331="","",COUNTIFS(Başvuru!$C:$C,C331,Başvuru!$G:$G,"Doktora Tezi",Başvuru!$A:$A,"&lt;&gt;"&amp;"",Başvuru!$F:$F,"&lt;&gt;"&amp;""))</f>
        <v>0</v>
      </c>
      <c r="I331" s="162">
        <f>IF(C331="","",COUNTIFS(Başvuru!$C:$C,C331,Başvuru!$G:$G,"Yüksek Lisans Tezi",Başvuru!$A:$A,"&lt;&gt;"&amp;"",Başvuru!$F:$F,"&lt;&gt;"&amp;""))</f>
        <v>0</v>
      </c>
      <c r="J331" s="163">
        <f>IF(C331="","",COUNTIFS(Başvuru!$C:$C,C331,Başvuru!$L:$L,"ONAY",Başvuru!$A:$A,"&lt;&gt;"&amp;"",Başvuru!$F:$F,"&lt;&gt;"&amp;""))</f>
        <v>0</v>
      </c>
      <c r="K331" s="164">
        <f>IF(C331="","",COUNTIFS(Başvuru!$C:$C,C331,Başvuru!$L:$L,"DÜZELTME",Başvuru!$A:$A,"&lt;&gt;"&amp;"",Başvuru!$F:$F,"&lt;&gt;"&amp;""))</f>
        <v>0</v>
      </c>
      <c r="L331" s="165">
        <f>IF(C331="","",COUNTIFS(Başvuru!$C:$C,C331,Başvuru!$L:$L,"KAEK",Başvuru!$A:$A,"&lt;&gt;"&amp;"",Başvuru!$F:$F,"&lt;&gt;"&amp;""))</f>
        <v>0</v>
      </c>
      <c r="M331" s="166">
        <f>IF(C331="","",COUNTIFS(Başvuru!$C:$C,C331,Başvuru!$L:$L,"GÖRÜŞ",Başvuru!$A:$A,"&lt;&gt;"&amp;"",Başvuru!$F:$F,"&lt;&gt;"&amp;""))</f>
        <v>0</v>
      </c>
      <c r="N331" s="167">
        <f>IF(C331="","",COUNTIFS(Başvuru!$C:$C,C331,Başvuru!$L:$L,"RET",Başvuru!$A:$A,"&lt;&gt;"&amp;"",Başvuru!$F:$F,"&lt;&gt;"&amp;""))</f>
        <v>0</v>
      </c>
      <c r="O331" s="168">
        <f>IF(C331="","",COUNTIFS(Başvuru!$C:$C,C331,Başvuru!$L:$L,"KAPSAM DIŞI",Başvuru!$A:$A,"&lt;&gt;"&amp;"",Başvuru!$F:$F,"&lt;&gt;"&amp;""))</f>
        <v>0</v>
      </c>
      <c r="P331" s="169">
        <f>IF(C331="","",COUNTIFS(Başvuru!$C:$C,C331,Başvuru!$L:$L,"GERİ ÇEKİLDİ",Başvuru!$A:$A,"&lt;&gt;"&amp;"",Başvuru!$F:$F,"&lt;&gt;"&amp;""))</f>
        <v>0</v>
      </c>
      <c r="Q331" s="170" t="str">
        <f t="array" ref="Q331">IFERROR(INDEX(Başvuru!$C$2:$C$3000, MATCH(0, COUNTIF($Q$5:Q330, Başvuru!$C$2:$C$3000) + IF(Başvuru!$C$2:$C$3000="",1,0), 0)), "")</f>
        <v>Prof. Dr. Turgut Emrah BOZKURT</v>
      </c>
      <c r="R331" s="171">
        <f>IF(Q331="","",COUNTIFS(Başvuru!$C:$C,Q331,Başvuru!$A:$A,"&lt;&gt;"&amp;"",Başvuru!$F:$F,"&lt;&gt;"&amp;""))</f>
        <v>1</v>
      </c>
      <c r="S331" s="171">
        <f>IF(R331="","",RANK(R331,$R$6:$R$505,0)+COUNTIF($R$6:R331,R331)-1)</f>
        <v>326</v>
      </c>
    </row>
    <row r="332" spans="2:19" ht="23.25" customHeight="1" x14ac:dyDescent="0.25">
      <c r="B332" s="159">
        <v>327</v>
      </c>
      <c r="C332" s="160" t="str">
        <f>IFERROR(INDEX($Q$6:$Q$505,MATCH(327,$S$6:$S$505,0)),"")</f>
        <v>Doç. Dr. Murat KARA</v>
      </c>
      <c r="D332" s="161">
        <f>IF(C332="","",COUNTIFS(Başvuru!$C:$C,C332,Başvuru!$A:$A,"&lt;&gt;"&amp;"",Başvuru!$F:$F,"&lt;&gt;"&amp;""))</f>
        <v>1</v>
      </c>
      <c r="E332" s="159" t="str">
        <f>IF(C332="","-",IF(D332&gt;0,TEXT(D332/(COUNTIFS(Başvuru!$A:$A,"&lt;&gt;",Başvuru!$F:$F,"&lt;&gt;")-1)*100,"0.0")&amp;"%","-"))</f>
        <v>00%</v>
      </c>
      <c r="F332" s="162">
        <f>IF(C332="","",COUNTIFS(Başvuru!$C:$C,C332,Başvuru!$G:$G,"Bireysel Araştırma",Başvuru!$A:$A,"&lt;&gt;"&amp;"",Başvuru!$F:$F,"&lt;&gt;"&amp;""))</f>
        <v>0</v>
      </c>
      <c r="G332" s="162">
        <f>IF(C332="","",COUNTIFS(Başvuru!$C:$C,C332,Başvuru!$G:$G,"Uzmanlık Tezi",Başvuru!$A:$A,"&lt;&gt;"&amp;"",Başvuru!$F:$F,"&lt;&gt;"&amp;""))</f>
        <v>1</v>
      </c>
      <c r="H332" s="162">
        <f>IF(C332="","",COUNTIFS(Başvuru!$C:$C,C332,Başvuru!$G:$G,"Doktora Tezi",Başvuru!$A:$A,"&lt;&gt;"&amp;"",Başvuru!$F:$F,"&lt;&gt;"&amp;""))</f>
        <v>0</v>
      </c>
      <c r="I332" s="162">
        <f>IF(C332="","",COUNTIFS(Başvuru!$C:$C,C332,Başvuru!$G:$G,"Yüksek Lisans Tezi",Başvuru!$A:$A,"&lt;&gt;"&amp;"",Başvuru!$F:$F,"&lt;&gt;"&amp;""))</f>
        <v>0</v>
      </c>
      <c r="J332" s="163">
        <f>IF(C332="","",COUNTIFS(Başvuru!$C:$C,C332,Başvuru!$L:$L,"ONAY",Başvuru!$A:$A,"&lt;&gt;"&amp;"",Başvuru!$F:$F,"&lt;&gt;"&amp;""))</f>
        <v>1</v>
      </c>
      <c r="K332" s="164">
        <f>IF(C332="","",COUNTIFS(Başvuru!$C:$C,C332,Başvuru!$L:$L,"DÜZELTME",Başvuru!$A:$A,"&lt;&gt;"&amp;"",Başvuru!$F:$F,"&lt;&gt;"&amp;""))</f>
        <v>0</v>
      </c>
      <c r="L332" s="165">
        <f>IF(C332="","",COUNTIFS(Başvuru!$C:$C,C332,Başvuru!$L:$L,"KAEK",Başvuru!$A:$A,"&lt;&gt;"&amp;"",Başvuru!$F:$F,"&lt;&gt;"&amp;""))</f>
        <v>0</v>
      </c>
      <c r="M332" s="166">
        <f>IF(C332="","",COUNTIFS(Başvuru!$C:$C,C332,Başvuru!$L:$L,"GÖRÜŞ",Başvuru!$A:$A,"&lt;&gt;"&amp;"",Başvuru!$F:$F,"&lt;&gt;"&amp;""))</f>
        <v>0</v>
      </c>
      <c r="N332" s="167">
        <f>IF(C332="","",COUNTIFS(Başvuru!$C:$C,C332,Başvuru!$L:$L,"RET",Başvuru!$A:$A,"&lt;&gt;"&amp;"",Başvuru!$F:$F,"&lt;&gt;"&amp;""))</f>
        <v>0</v>
      </c>
      <c r="O332" s="168">
        <f>IF(C332="","",COUNTIFS(Başvuru!$C:$C,C332,Başvuru!$L:$L,"KAPSAM DIŞI",Başvuru!$A:$A,"&lt;&gt;"&amp;"",Başvuru!$F:$F,"&lt;&gt;"&amp;""))</f>
        <v>0</v>
      </c>
      <c r="P332" s="169">
        <f>IF(C332="","",COUNTIFS(Başvuru!$C:$C,C332,Başvuru!$L:$L,"GERİ ÇEKİLDİ",Başvuru!$A:$A,"&lt;&gt;"&amp;"",Başvuru!$F:$F,"&lt;&gt;"&amp;""))</f>
        <v>0</v>
      </c>
      <c r="Q332" s="170" t="str">
        <f t="array" ref="Q332">IFERROR(INDEX(Başvuru!$C$2:$C$3000, MATCH(0, COUNTIF($Q$5:Q331, Başvuru!$C$2:$C$3000) + IF(Başvuru!$C$2:$C$3000="",1,0), 0)), "")</f>
        <v>Doç. Dr. Murat KARA</v>
      </c>
      <c r="R332" s="171">
        <f>IF(Q332="","",COUNTIFS(Başvuru!$C:$C,Q332,Başvuru!$A:$A,"&lt;&gt;"&amp;"",Başvuru!$F:$F,"&lt;&gt;"&amp;""))</f>
        <v>1</v>
      </c>
      <c r="S332" s="171">
        <f>IF(R332="","",RANK(R332,$R$6:$R$505,0)+COUNTIF($R$6:R332,R332)-1)</f>
        <v>327</v>
      </c>
    </row>
    <row r="333" spans="2:19" ht="23.25" customHeight="1" x14ac:dyDescent="0.25">
      <c r="B333" s="159">
        <v>328</v>
      </c>
      <c r="C333" s="160" t="str">
        <f>IFERROR(INDEX($Q$6:$Q$505,MATCH(328,$S$6:$S$505,0)),"")</f>
        <v>Prof. Dr. Esra Burcu SAĞLAM</v>
      </c>
      <c r="D333" s="161">
        <f>IF(C333="","",COUNTIFS(Başvuru!$C:$C,C333,Başvuru!$A:$A,"&lt;&gt;"&amp;"",Başvuru!$F:$F,"&lt;&gt;"&amp;""))</f>
        <v>1</v>
      </c>
      <c r="E333" s="159" t="str">
        <f>IF(C333="","-",IF(D333&gt;0,TEXT(D333/(COUNTIFS(Başvuru!$A:$A,"&lt;&gt;",Başvuru!$F:$F,"&lt;&gt;")-1)*100,"0.0")&amp;"%","-"))</f>
        <v>00%</v>
      </c>
      <c r="F333" s="162">
        <f>IF(C333="","",COUNTIFS(Başvuru!$C:$C,C333,Başvuru!$G:$G,"Bireysel Araştırma",Başvuru!$A:$A,"&lt;&gt;"&amp;"",Başvuru!$F:$F,"&lt;&gt;"&amp;""))</f>
        <v>1</v>
      </c>
      <c r="G333" s="162">
        <f>IF(C333="","",COUNTIFS(Başvuru!$C:$C,C333,Başvuru!$G:$G,"Uzmanlık Tezi",Başvuru!$A:$A,"&lt;&gt;"&amp;"",Başvuru!$F:$F,"&lt;&gt;"&amp;""))</f>
        <v>0</v>
      </c>
      <c r="H333" s="162">
        <f>IF(C333="","",COUNTIFS(Başvuru!$C:$C,C333,Başvuru!$G:$G,"Doktora Tezi",Başvuru!$A:$A,"&lt;&gt;"&amp;"",Başvuru!$F:$F,"&lt;&gt;"&amp;""))</f>
        <v>0</v>
      </c>
      <c r="I333" s="162">
        <f>IF(C333="","",COUNTIFS(Başvuru!$C:$C,C333,Başvuru!$G:$G,"Yüksek Lisans Tezi",Başvuru!$A:$A,"&lt;&gt;"&amp;"",Başvuru!$F:$F,"&lt;&gt;"&amp;""))</f>
        <v>0</v>
      </c>
      <c r="J333" s="163">
        <f>IF(C333="","",COUNTIFS(Başvuru!$C:$C,C333,Başvuru!$L:$L,"ONAY",Başvuru!$A:$A,"&lt;&gt;"&amp;"",Başvuru!$F:$F,"&lt;&gt;"&amp;""))</f>
        <v>0</v>
      </c>
      <c r="K333" s="164">
        <f>IF(C333="","",COUNTIFS(Başvuru!$C:$C,C333,Başvuru!$L:$L,"DÜZELTME",Başvuru!$A:$A,"&lt;&gt;"&amp;"",Başvuru!$F:$F,"&lt;&gt;"&amp;""))</f>
        <v>0</v>
      </c>
      <c r="L333" s="165">
        <f>IF(C333="","",COUNTIFS(Başvuru!$C:$C,C333,Başvuru!$L:$L,"KAEK",Başvuru!$A:$A,"&lt;&gt;"&amp;"",Başvuru!$F:$F,"&lt;&gt;"&amp;""))</f>
        <v>0</v>
      </c>
      <c r="M333" s="166">
        <f>IF(C333="","",COUNTIFS(Başvuru!$C:$C,C333,Başvuru!$L:$L,"GÖRÜŞ",Başvuru!$A:$A,"&lt;&gt;"&amp;"",Başvuru!$F:$F,"&lt;&gt;"&amp;""))</f>
        <v>0</v>
      </c>
      <c r="N333" s="167">
        <f>IF(C333="","",COUNTIFS(Başvuru!$C:$C,C333,Başvuru!$L:$L,"RET",Başvuru!$A:$A,"&lt;&gt;"&amp;"",Başvuru!$F:$F,"&lt;&gt;"&amp;""))</f>
        <v>0</v>
      </c>
      <c r="O333" s="168">
        <f>IF(C333="","",COUNTIFS(Başvuru!$C:$C,C333,Başvuru!$L:$L,"KAPSAM DIŞI",Başvuru!$A:$A,"&lt;&gt;"&amp;"",Başvuru!$F:$F,"&lt;&gt;"&amp;""))</f>
        <v>0</v>
      </c>
      <c r="P333" s="169">
        <f>IF(C333="","",COUNTIFS(Başvuru!$C:$C,C333,Başvuru!$L:$L,"GERİ ÇEKİLDİ",Başvuru!$A:$A,"&lt;&gt;"&amp;"",Başvuru!$F:$F,"&lt;&gt;"&amp;""))</f>
        <v>0</v>
      </c>
      <c r="Q333" s="170" t="str">
        <f t="array" ref="Q333">IFERROR(INDEX(Başvuru!$C$2:$C$3000, MATCH(0, COUNTIF($Q$5:Q332, Başvuru!$C$2:$C$3000) + IF(Başvuru!$C$2:$C$3000="",1,0), 0)), "")</f>
        <v>Prof. Dr. Esra Burcu SAĞLAM</v>
      </c>
      <c r="R333" s="171">
        <f>IF(Q333="","",COUNTIFS(Başvuru!$C:$C,Q333,Başvuru!$A:$A,"&lt;&gt;"&amp;"",Başvuru!$F:$F,"&lt;&gt;"&amp;""))</f>
        <v>1</v>
      </c>
      <c r="S333" s="171">
        <f>IF(R333="","",RANK(R333,$R$6:$R$505,0)+COUNTIF($R$6:R333,R333)-1)</f>
        <v>328</v>
      </c>
    </row>
    <row r="334" spans="2:19" ht="23.25" customHeight="1" x14ac:dyDescent="0.25">
      <c r="B334" s="159">
        <v>329</v>
      </c>
      <c r="C334" s="160" t="str">
        <f>IFERROR(INDEX($Q$6:$Q$505,MATCH(329,$S$6:$S$505,0)),"")</f>
        <v>Prof. Dr. Münip Gökhan TUNÇBİLEK</v>
      </c>
      <c r="D334" s="161">
        <f>IF(C334="","",COUNTIFS(Başvuru!$C:$C,C334,Başvuru!$A:$A,"&lt;&gt;"&amp;"",Başvuru!$F:$F,"&lt;&gt;"&amp;""))</f>
        <v>1</v>
      </c>
      <c r="E334" s="159" t="str">
        <f>IF(C334="","-",IF(D334&gt;0,TEXT(D334/(COUNTIFS(Başvuru!$A:$A,"&lt;&gt;",Başvuru!$F:$F,"&lt;&gt;")-1)*100,"0.0")&amp;"%","-"))</f>
        <v>00%</v>
      </c>
      <c r="F334" s="162">
        <f>IF(C334="","",COUNTIFS(Başvuru!$C:$C,C334,Başvuru!$G:$G,"Bireysel Araştırma",Başvuru!$A:$A,"&lt;&gt;"&amp;"",Başvuru!$F:$F,"&lt;&gt;"&amp;""))</f>
        <v>0</v>
      </c>
      <c r="G334" s="162">
        <f>IF(C334="","",COUNTIFS(Başvuru!$C:$C,C334,Başvuru!$G:$G,"Uzmanlık Tezi",Başvuru!$A:$A,"&lt;&gt;"&amp;"",Başvuru!$F:$F,"&lt;&gt;"&amp;""))</f>
        <v>1</v>
      </c>
      <c r="H334" s="162">
        <f>IF(C334="","",COUNTIFS(Başvuru!$C:$C,C334,Başvuru!$G:$G,"Doktora Tezi",Başvuru!$A:$A,"&lt;&gt;"&amp;"",Başvuru!$F:$F,"&lt;&gt;"&amp;""))</f>
        <v>0</v>
      </c>
      <c r="I334" s="162">
        <f>IF(C334="","",COUNTIFS(Başvuru!$C:$C,C334,Başvuru!$G:$G,"Yüksek Lisans Tezi",Başvuru!$A:$A,"&lt;&gt;"&amp;"",Başvuru!$F:$F,"&lt;&gt;"&amp;""))</f>
        <v>0</v>
      </c>
      <c r="J334" s="163">
        <f>IF(C334="","",COUNTIFS(Başvuru!$C:$C,C334,Başvuru!$L:$L,"ONAY",Başvuru!$A:$A,"&lt;&gt;"&amp;"",Başvuru!$F:$F,"&lt;&gt;"&amp;""))</f>
        <v>1</v>
      </c>
      <c r="K334" s="164">
        <f>IF(C334="","",COUNTIFS(Başvuru!$C:$C,C334,Başvuru!$L:$L,"DÜZELTME",Başvuru!$A:$A,"&lt;&gt;"&amp;"",Başvuru!$F:$F,"&lt;&gt;"&amp;""))</f>
        <v>0</v>
      </c>
      <c r="L334" s="165">
        <f>IF(C334="","",COUNTIFS(Başvuru!$C:$C,C334,Başvuru!$L:$L,"KAEK",Başvuru!$A:$A,"&lt;&gt;"&amp;"",Başvuru!$F:$F,"&lt;&gt;"&amp;""))</f>
        <v>0</v>
      </c>
      <c r="M334" s="166">
        <f>IF(C334="","",COUNTIFS(Başvuru!$C:$C,C334,Başvuru!$L:$L,"GÖRÜŞ",Başvuru!$A:$A,"&lt;&gt;"&amp;"",Başvuru!$F:$F,"&lt;&gt;"&amp;""))</f>
        <v>0</v>
      </c>
      <c r="N334" s="167">
        <f>IF(C334="","",COUNTIFS(Başvuru!$C:$C,C334,Başvuru!$L:$L,"RET",Başvuru!$A:$A,"&lt;&gt;"&amp;"",Başvuru!$F:$F,"&lt;&gt;"&amp;""))</f>
        <v>0</v>
      </c>
      <c r="O334" s="168">
        <f>IF(C334="","",COUNTIFS(Başvuru!$C:$C,C334,Başvuru!$L:$L,"KAPSAM DIŞI",Başvuru!$A:$A,"&lt;&gt;"&amp;"",Başvuru!$F:$F,"&lt;&gt;"&amp;""))</f>
        <v>0</v>
      </c>
      <c r="P334" s="169">
        <f>IF(C334="","",COUNTIFS(Başvuru!$C:$C,C334,Başvuru!$L:$L,"GERİ ÇEKİLDİ",Başvuru!$A:$A,"&lt;&gt;"&amp;"",Başvuru!$F:$F,"&lt;&gt;"&amp;""))</f>
        <v>0</v>
      </c>
      <c r="Q334" s="170" t="str">
        <f t="array" ref="Q334">IFERROR(INDEX(Başvuru!$C$2:$C$3000, MATCH(0, COUNTIF($Q$5:Q333, Başvuru!$C$2:$C$3000) + IF(Başvuru!$C$2:$C$3000="",1,0), 0)), "")</f>
        <v>Prof. Dr. Münip Gökhan TUNÇBİLEK</v>
      </c>
      <c r="R334" s="171">
        <f>IF(Q334="","",COUNTIFS(Başvuru!$C:$C,Q334,Başvuru!$A:$A,"&lt;&gt;"&amp;"",Başvuru!$F:$F,"&lt;&gt;"&amp;""))</f>
        <v>1</v>
      </c>
      <c r="S334" s="171">
        <f>IF(R334="","",RANK(R334,$R$6:$R$505,0)+COUNTIF($R$6:R334,R334)-1)</f>
        <v>329</v>
      </c>
    </row>
    <row r="335" spans="2:19" ht="23.25" customHeight="1" x14ac:dyDescent="0.25">
      <c r="B335" s="159">
        <v>330</v>
      </c>
      <c r="C335" s="160" t="str">
        <f>IFERROR(INDEX($Q$6:$Q$505,MATCH(330,$S$6:$S$505,0)),"")</f>
        <v>Arş. Gör. Dr. İzzet Türkalp AKBAŞLI</v>
      </c>
      <c r="D335" s="161">
        <f>IF(C335="","",COUNTIFS(Başvuru!$C:$C,C335,Başvuru!$A:$A,"&lt;&gt;"&amp;"",Başvuru!$F:$F,"&lt;&gt;"&amp;""))</f>
        <v>1</v>
      </c>
      <c r="E335" s="159" t="str">
        <f>IF(C335="","-",IF(D335&gt;0,TEXT(D335/(COUNTIFS(Başvuru!$A:$A,"&lt;&gt;",Başvuru!$F:$F,"&lt;&gt;")-1)*100,"0.0")&amp;"%","-"))</f>
        <v>00%</v>
      </c>
      <c r="F335" s="162">
        <f>IF(C335="","",COUNTIFS(Başvuru!$C:$C,C335,Başvuru!$G:$G,"Bireysel Araştırma",Başvuru!$A:$A,"&lt;&gt;"&amp;"",Başvuru!$F:$F,"&lt;&gt;"&amp;""))</f>
        <v>1</v>
      </c>
      <c r="G335" s="162">
        <f>IF(C335="","",COUNTIFS(Başvuru!$C:$C,C335,Başvuru!$G:$G,"Uzmanlık Tezi",Başvuru!$A:$A,"&lt;&gt;"&amp;"",Başvuru!$F:$F,"&lt;&gt;"&amp;""))</f>
        <v>0</v>
      </c>
      <c r="H335" s="162">
        <f>IF(C335="","",COUNTIFS(Başvuru!$C:$C,C335,Başvuru!$G:$G,"Doktora Tezi",Başvuru!$A:$A,"&lt;&gt;"&amp;"",Başvuru!$F:$F,"&lt;&gt;"&amp;""))</f>
        <v>0</v>
      </c>
      <c r="I335" s="162">
        <f>IF(C335="","",COUNTIFS(Başvuru!$C:$C,C335,Başvuru!$G:$G,"Yüksek Lisans Tezi",Başvuru!$A:$A,"&lt;&gt;"&amp;"",Başvuru!$F:$F,"&lt;&gt;"&amp;""))</f>
        <v>0</v>
      </c>
      <c r="J335" s="163">
        <f>IF(C335="","",COUNTIFS(Başvuru!$C:$C,C335,Başvuru!$L:$L,"ONAY",Başvuru!$A:$A,"&lt;&gt;"&amp;"",Başvuru!$F:$F,"&lt;&gt;"&amp;""))</f>
        <v>0</v>
      </c>
      <c r="K335" s="164">
        <f>IF(C335="","",COUNTIFS(Başvuru!$C:$C,C335,Başvuru!$L:$L,"DÜZELTME",Başvuru!$A:$A,"&lt;&gt;"&amp;"",Başvuru!$F:$F,"&lt;&gt;"&amp;""))</f>
        <v>0</v>
      </c>
      <c r="L335" s="165">
        <f>IF(C335="","",COUNTIFS(Başvuru!$C:$C,C335,Başvuru!$L:$L,"KAEK",Başvuru!$A:$A,"&lt;&gt;"&amp;"",Başvuru!$F:$F,"&lt;&gt;"&amp;""))</f>
        <v>0</v>
      </c>
      <c r="M335" s="166">
        <f>IF(C335="","",COUNTIFS(Başvuru!$C:$C,C335,Başvuru!$L:$L,"GÖRÜŞ",Başvuru!$A:$A,"&lt;&gt;"&amp;"",Başvuru!$F:$F,"&lt;&gt;"&amp;""))</f>
        <v>0</v>
      </c>
      <c r="N335" s="167">
        <f>IF(C335="","",COUNTIFS(Başvuru!$C:$C,C335,Başvuru!$L:$L,"RET",Başvuru!$A:$A,"&lt;&gt;"&amp;"",Başvuru!$F:$F,"&lt;&gt;"&amp;""))</f>
        <v>0</v>
      </c>
      <c r="O335" s="168">
        <f>IF(C335="","",COUNTIFS(Başvuru!$C:$C,C335,Başvuru!$L:$L,"KAPSAM DIŞI",Başvuru!$A:$A,"&lt;&gt;"&amp;"",Başvuru!$F:$F,"&lt;&gt;"&amp;""))</f>
        <v>0</v>
      </c>
      <c r="P335" s="169">
        <f>IF(C335="","",COUNTIFS(Başvuru!$C:$C,C335,Başvuru!$L:$L,"GERİ ÇEKİLDİ",Başvuru!$A:$A,"&lt;&gt;"&amp;"",Başvuru!$F:$F,"&lt;&gt;"&amp;""))</f>
        <v>0</v>
      </c>
      <c r="Q335" s="170" t="str">
        <f t="array" ref="Q335">IFERROR(INDEX(Başvuru!$C$2:$C$3000, MATCH(0, COUNTIF($Q$5:Q334, Başvuru!$C$2:$C$3000) + IF(Başvuru!$C$2:$C$3000="",1,0), 0)), "")</f>
        <v>Arş. Gör. Dr. İzzet Türkalp AKBAŞLI</v>
      </c>
      <c r="R335" s="171">
        <f>IF(Q335="","",COUNTIFS(Başvuru!$C:$C,Q335,Başvuru!$A:$A,"&lt;&gt;"&amp;"",Başvuru!$F:$F,"&lt;&gt;"&amp;""))</f>
        <v>1</v>
      </c>
      <c r="S335" s="171">
        <f>IF(R335="","",RANK(R335,$R$6:$R$505,0)+COUNTIF($R$6:R335,R335)-1)</f>
        <v>330</v>
      </c>
    </row>
    <row r="336" spans="2:19" ht="23.25" customHeight="1" x14ac:dyDescent="0.25">
      <c r="B336" s="159">
        <v>331</v>
      </c>
      <c r="C336" s="160" t="str">
        <f>IFERROR(INDEX($Q$6:$Q$505,MATCH(331,$S$6:$S$505,0)),"")</f>
        <v>Prof. Dr. Oğuz KUŞCU</v>
      </c>
      <c r="D336" s="161">
        <f>IF(C336="","",COUNTIFS(Başvuru!$C:$C,C336,Başvuru!$A:$A,"&lt;&gt;"&amp;"",Başvuru!$F:$F,"&lt;&gt;"&amp;""))</f>
        <v>1</v>
      </c>
      <c r="E336" s="159" t="str">
        <f>IF(C336="","-",IF(D336&gt;0,TEXT(D336/(COUNTIFS(Başvuru!$A:$A,"&lt;&gt;",Başvuru!$F:$F,"&lt;&gt;")-1)*100,"0.0")&amp;"%","-"))</f>
        <v>00%</v>
      </c>
      <c r="F336" s="162">
        <f>IF(C336="","",COUNTIFS(Başvuru!$C:$C,C336,Başvuru!$G:$G,"Bireysel Araştırma",Başvuru!$A:$A,"&lt;&gt;"&amp;"",Başvuru!$F:$F,"&lt;&gt;"&amp;""))</f>
        <v>1</v>
      </c>
      <c r="G336" s="162">
        <f>IF(C336="","",COUNTIFS(Başvuru!$C:$C,C336,Başvuru!$G:$G,"Uzmanlık Tezi",Başvuru!$A:$A,"&lt;&gt;"&amp;"",Başvuru!$F:$F,"&lt;&gt;"&amp;""))</f>
        <v>0</v>
      </c>
      <c r="H336" s="162">
        <f>IF(C336="","",COUNTIFS(Başvuru!$C:$C,C336,Başvuru!$G:$G,"Doktora Tezi",Başvuru!$A:$A,"&lt;&gt;"&amp;"",Başvuru!$F:$F,"&lt;&gt;"&amp;""))</f>
        <v>0</v>
      </c>
      <c r="I336" s="162">
        <f>IF(C336="","",COUNTIFS(Başvuru!$C:$C,C336,Başvuru!$G:$G,"Yüksek Lisans Tezi",Başvuru!$A:$A,"&lt;&gt;"&amp;"",Başvuru!$F:$F,"&lt;&gt;"&amp;""))</f>
        <v>0</v>
      </c>
      <c r="J336" s="163">
        <f>IF(C336="","",COUNTIFS(Başvuru!$C:$C,C336,Başvuru!$L:$L,"ONAY",Başvuru!$A:$A,"&lt;&gt;"&amp;"",Başvuru!$F:$F,"&lt;&gt;"&amp;""))</f>
        <v>0</v>
      </c>
      <c r="K336" s="164">
        <f>IF(C336="","",COUNTIFS(Başvuru!$C:$C,C336,Başvuru!$L:$L,"DÜZELTME",Başvuru!$A:$A,"&lt;&gt;"&amp;"",Başvuru!$F:$F,"&lt;&gt;"&amp;""))</f>
        <v>0</v>
      </c>
      <c r="L336" s="165">
        <f>IF(C336="","",COUNTIFS(Başvuru!$C:$C,C336,Başvuru!$L:$L,"KAEK",Başvuru!$A:$A,"&lt;&gt;"&amp;"",Başvuru!$F:$F,"&lt;&gt;"&amp;""))</f>
        <v>0</v>
      </c>
      <c r="M336" s="166">
        <f>IF(C336="","",COUNTIFS(Başvuru!$C:$C,C336,Başvuru!$L:$L,"GÖRÜŞ",Başvuru!$A:$A,"&lt;&gt;"&amp;"",Başvuru!$F:$F,"&lt;&gt;"&amp;""))</f>
        <v>0</v>
      </c>
      <c r="N336" s="167">
        <f>IF(C336="","",COUNTIFS(Başvuru!$C:$C,C336,Başvuru!$L:$L,"RET",Başvuru!$A:$A,"&lt;&gt;"&amp;"",Başvuru!$F:$F,"&lt;&gt;"&amp;""))</f>
        <v>0</v>
      </c>
      <c r="O336" s="168">
        <f>IF(C336="","",COUNTIFS(Başvuru!$C:$C,C336,Başvuru!$L:$L,"KAPSAM DIŞI",Başvuru!$A:$A,"&lt;&gt;"&amp;"",Başvuru!$F:$F,"&lt;&gt;"&amp;""))</f>
        <v>0</v>
      </c>
      <c r="P336" s="169">
        <f>IF(C336="","",COUNTIFS(Başvuru!$C:$C,C336,Başvuru!$L:$L,"GERİ ÇEKİLDİ",Başvuru!$A:$A,"&lt;&gt;"&amp;"",Başvuru!$F:$F,"&lt;&gt;"&amp;""))</f>
        <v>0</v>
      </c>
      <c r="Q336" s="170" t="str">
        <f t="array" ref="Q336">IFERROR(INDEX(Başvuru!$C$2:$C$3000, MATCH(0, COUNTIF($Q$5:Q335, Başvuru!$C$2:$C$3000) + IF(Başvuru!$C$2:$C$3000="",1,0), 0)), "")</f>
        <v>Prof. Dr. Oğuz KUŞCU</v>
      </c>
      <c r="R336" s="171">
        <f>IF(Q336="","",COUNTIFS(Başvuru!$C:$C,Q336,Başvuru!$A:$A,"&lt;&gt;"&amp;"",Başvuru!$F:$F,"&lt;&gt;"&amp;""))</f>
        <v>1</v>
      </c>
      <c r="S336" s="171">
        <f>IF(R336="","",RANK(R336,$R$6:$R$505,0)+COUNTIF($R$6:R336,R336)-1)</f>
        <v>331</v>
      </c>
    </row>
    <row r="337" spans="2:19" ht="23.25" customHeight="1" x14ac:dyDescent="0.25">
      <c r="B337" s="159">
        <v>332</v>
      </c>
      <c r="C337" s="160" t="str">
        <f>IFERROR(INDEX($Q$6:$Q$505,MATCH(332,$S$6:$S$505,0)),"")</f>
        <v>Prof. Dr. Sadi KAPLAN</v>
      </c>
      <c r="D337" s="161">
        <f>IF(C337="","",COUNTIFS(Başvuru!$C:$C,C337,Başvuru!$A:$A,"&lt;&gt;"&amp;"",Başvuru!$F:$F,"&lt;&gt;"&amp;""))</f>
        <v>1</v>
      </c>
      <c r="E337" s="159" t="str">
        <f>IF(C337="","-",IF(D337&gt;0,TEXT(D337/(COUNTIFS(Başvuru!$A:$A,"&lt;&gt;",Başvuru!$F:$F,"&lt;&gt;")-1)*100,"0.0")&amp;"%","-"))</f>
        <v>00%</v>
      </c>
      <c r="F337" s="162">
        <f>IF(C337="","",COUNTIFS(Başvuru!$C:$C,C337,Başvuru!$G:$G,"Bireysel Araştırma",Başvuru!$A:$A,"&lt;&gt;"&amp;"",Başvuru!$F:$F,"&lt;&gt;"&amp;""))</f>
        <v>0</v>
      </c>
      <c r="G337" s="162">
        <f>IF(C337="","",COUNTIFS(Başvuru!$C:$C,C337,Başvuru!$G:$G,"Uzmanlık Tezi",Başvuru!$A:$A,"&lt;&gt;"&amp;"",Başvuru!$F:$F,"&lt;&gt;"&amp;""))</f>
        <v>1</v>
      </c>
      <c r="H337" s="162">
        <f>IF(C337="","",COUNTIFS(Başvuru!$C:$C,C337,Başvuru!$G:$G,"Doktora Tezi",Başvuru!$A:$A,"&lt;&gt;"&amp;"",Başvuru!$F:$F,"&lt;&gt;"&amp;""))</f>
        <v>0</v>
      </c>
      <c r="I337" s="162">
        <f>IF(C337="","",COUNTIFS(Başvuru!$C:$C,C337,Başvuru!$G:$G,"Yüksek Lisans Tezi",Başvuru!$A:$A,"&lt;&gt;"&amp;"",Başvuru!$F:$F,"&lt;&gt;"&amp;""))</f>
        <v>0</v>
      </c>
      <c r="J337" s="163">
        <f>IF(C337="","",COUNTIFS(Başvuru!$C:$C,C337,Başvuru!$L:$L,"ONAY",Başvuru!$A:$A,"&lt;&gt;"&amp;"",Başvuru!$F:$F,"&lt;&gt;"&amp;""))</f>
        <v>0</v>
      </c>
      <c r="K337" s="164">
        <f>IF(C337="","",COUNTIFS(Başvuru!$C:$C,C337,Başvuru!$L:$L,"DÜZELTME",Başvuru!$A:$A,"&lt;&gt;"&amp;"",Başvuru!$F:$F,"&lt;&gt;"&amp;""))</f>
        <v>0</v>
      </c>
      <c r="L337" s="165">
        <f>IF(C337="","",COUNTIFS(Başvuru!$C:$C,C337,Başvuru!$L:$L,"KAEK",Başvuru!$A:$A,"&lt;&gt;"&amp;"",Başvuru!$F:$F,"&lt;&gt;"&amp;""))</f>
        <v>0</v>
      </c>
      <c r="M337" s="166">
        <f>IF(C337="","",COUNTIFS(Başvuru!$C:$C,C337,Başvuru!$L:$L,"GÖRÜŞ",Başvuru!$A:$A,"&lt;&gt;"&amp;"",Başvuru!$F:$F,"&lt;&gt;"&amp;""))</f>
        <v>0</v>
      </c>
      <c r="N337" s="167">
        <f>IF(C337="","",COUNTIFS(Başvuru!$C:$C,C337,Başvuru!$L:$L,"RET",Başvuru!$A:$A,"&lt;&gt;"&amp;"",Başvuru!$F:$F,"&lt;&gt;"&amp;""))</f>
        <v>0</v>
      </c>
      <c r="O337" s="168">
        <f>IF(C337="","",COUNTIFS(Başvuru!$C:$C,C337,Başvuru!$L:$L,"KAPSAM DIŞI",Başvuru!$A:$A,"&lt;&gt;"&amp;"",Başvuru!$F:$F,"&lt;&gt;"&amp;""))</f>
        <v>0</v>
      </c>
      <c r="P337" s="169">
        <f>IF(C337="","",COUNTIFS(Başvuru!$C:$C,C337,Başvuru!$L:$L,"GERİ ÇEKİLDİ",Başvuru!$A:$A,"&lt;&gt;"&amp;"",Başvuru!$F:$F,"&lt;&gt;"&amp;""))</f>
        <v>0</v>
      </c>
      <c r="Q337" s="170" t="str">
        <f t="array" ref="Q337">IFERROR(INDEX(Başvuru!$C$2:$C$3000, MATCH(0, COUNTIF($Q$5:Q336, Başvuru!$C$2:$C$3000) + IF(Başvuru!$C$2:$C$3000="",1,0), 0)), "")</f>
        <v>Prof. Dr. Sadi KAPLAN</v>
      </c>
      <c r="R337" s="171">
        <f>IF(Q337="","",COUNTIFS(Başvuru!$C:$C,Q337,Başvuru!$A:$A,"&lt;&gt;"&amp;"",Başvuru!$F:$F,"&lt;&gt;"&amp;""))</f>
        <v>1</v>
      </c>
      <c r="S337" s="171">
        <f>IF(R337="","",RANK(R337,$R$6:$R$505,0)+COUNTIF($R$6:R337,R337)-1)</f>
        <v>332</v>
      </c>
    </row>
    <row r="338" spans="2:19" ht="23.25" customHeight="1" x14ac:dyDescent="0.25">
      <c r="B338" s="159">
        <v>333</v>
      </c>
      <c r="C338" s="160" t="str">
        <f>IFERROR(INDEX($Q$6:$Q$505,MATCH(333,$S$6:$S$505,0)),"")</f>
        <v>Doç. Dr. Nadir YALÇIN</v>
      </c>
      <c r="D338" s="161">
        <f>IF(C338="","",COUNTIFS(Başvuru!$C:$C,C338,Başvuru!$A:$A,"&lt;&gt;"&amp;"",Başvuru!$F:$F,"&lt;&gt;"&amp;""))</f>
        <v>1</v>
      </c>
      <c r="E338" s="159" t="str">
        <f>IF(C338="","-",IF(D338&gt;0,TEXT(D338/(COUNTIFS(Başvuru!$A:$A,"&lt;&gt;",Başvuru!$F:$F,"&lt;&gt;")-1)*100,"0.0")&amp;"%","-"))</f>
        <v>00%</v>
      </c>
      <c r="F338" s="162">
        <f>IF(C338="","",COUNTIFS(Başvuru!$C:$C,C338,Başvuru!$G:$G,"Bireysel Araştırma",Başvuru!$A:$A,"&lt;&gt;"&amp;"",Başvuru!$F:$F,"&lt;&gt;"&amp;""))</f>
        <v>1</v>
      </c>
      <c r="G338" s="162">
        <f>IF(C338="","",COUNTIFS(Başvuru!$C:$C,C338,Başvuru!$G:$G,"Uzmanlık Tezi",Başvuru!$A:$A,"&lt;&gt;"&amp;"",Başvuru!$F:$F,"&lt;&gt;"&amp;""))</f>
        <v>0</v>
      </c>
      <c r="H338" s="162">
        <f>IF(C338="","",COUNTIFS(Başvuru!$C:$C,C338,Başvuru!$G:$G,"Doktora Tezi",Başvuru!$A:$A,"&lt;&gt;"&amp;"",Başvuru!$F:$F,"&lt;&gt;"&amp;""))</f>
        <v>0</v>
      </c>
      <c r="I338" s="162">
        <f>IF(C338="","",COUNTIFS(Başvuru!$C:$C,C338,Başvuru!$G:$G,"Yüksek Lisans Tezi",Başvuru!$A:$A,"&lt;&gt;"&amp;"",Başvuru!$F:$F,"&lt;&gt;"&amp;""))</f>
        <v>0</v>
      </c>
      <c r="J338" s="163">
        <f>IF(C338="","",COUNTIFS(Başvuru!$C:$C,C338,Başvuru!$L:$L,"ONAY",Başvuru!$A:$A,"&lt;&gt;"&amp;"",Başvuru!$F:$F,"&lt;&gt;"&amp;""))</f>
        <v>0</v>
      </c>
      <c r="K338" s="164">
        <f>IF(C338="","",COUNTIFS(Başvuru!$C:$C,C338,Başvuru!$L:$L,"DÜZELTME",Başvuru!$A:$A,"&lt;&gt;"&amp;"",Başvuru!$F:$F,"&lt;&gt;"&amp;""))</f>
        <v>0</v>
      </c>
      <c r="L338" s="165">
        <f>IF(C338="","",COUNTIFS(Başvuru!$C:$C,C338,Başvuru!$L:$L,"KAEK",Başvuru!$A:$A,"&lt;&gt;"&amp;"",Başvuru!$F:$F,"&lt;&gt;"&amp;""))</f>
        <v>0</v>
      </c>
      <c r="M338" s="166">
        <f>IF(C338="","",COUNTIFS(Başvuru!$C:$C,C338,Başvuru!$L:$L,"GÖRÜŞ",Başvuru!$A:$A,"&lt;&gt;"&amp;"",Başvuru!$F:$F,"&lt;&gt;"&amp;""))</f>
        <v>0</v>
      </c>
      <c r="N338" s="167">
        <f>IF(C338="","",COUNTIFS(Başvuru!$C:$C,C338,Başvuru!$L:$L,"RET",Başvuru!$A:$A,"&lt;&gt;"&amp;"",Başvuru!$F:$F,"&lt;&gt;"&amp;""))</f>
        <v>0</v>
      </c>
      <c r="O338" s="168">
        <f>IF(C338="","",COUNTIFS(Başvuru!$C:$C,C338,Başvuru!$L:$L,"KAPSAM DIŞI",Başvuru!$A:$A,"&lt;&gt;"&amp;"",Başvuru!$F:$F,"&lt;&gt;"&amp;""))</f>
        <v>0</v>
      </c>
      <c r="P338" s="169">
        <f>IF(C338="","",COUNTIFS(Başvuru!$C:$C,C338,Başvuru!$L:$L,"GERİ ÇEKİLDİ",Başvuru!$A:$A,"&lt;&gt;"&amp;"",Başvuru!$F:$F,"&lt;&gt;"&amp;""))</f>
        <v>0</v>
      </c>
      <c r="Q338" s="170" t="str">
        <f t="array" ref="Q338">IFERROR(INDEX(Başvuru!$C$2:$C$3000, MATCH(0, COUNTIF($Q$5:Q337, Başvuru!$C$2:$C$3000) + IF(Başvuru!$C$2:$C$3000="",1,0), 0)), "")</f>
        <v>Doç. Dr. Nadir YALÇIN</v>
      </c>
      <c r="R338" s="171">
        <f>IF(Q338="","",COUNTIFS(Başvuru!$C:$C,Q338,Başvuru!$A:$A,"&lt;&gt;"&amp;"",Başvuru!$F:$F,"&lt;&gt;"&amp;""))</f>
        <v>1</v>
      </c>
      <c r="S338" s="171">
        <f>IF(R338="","",RANK(R338,$R$6:$R$505,0)+COUNTIF($R$6:R338,R338)-1)</f>
        <v>333</v>
      </c>
    </row>
    <row r="339" spans="2:19" ht="23.25" customHeight="1" x14ac:dyDescent="0.25">
      <c r="B339" s="159">
        <v>334</v>
      </c>
      <c r="C339" s="160" t="str">
        <f>IFERROR(INDEX($Q$6:$Q$505,MATCH(334,$S$6:$S$505,0)),"")</f>
        <v>Prof. Dr. Mustafa Kerem VURAL</v>
      </c>
      <c r="D339" s="161">
        <f>IF(C339="","",COUNTIFS(Başvuru!$C:$C,C339,Başvuru!$A:$A,"&lt;&gt;"&amp;"",Başvuru!$F:$F,"&lt;&gt;"&amp;""))</f>
        <v>1</v>
      </c>
      <c r="E339" s="159" t="str">
        <f>IF(C339="","-",IF(D339&gt;0,TEXT(D339/(COUNTIFS(Başvuru!$A:$A,"&lt;&gt;",Başvuru!$F:$F,"&lt;&gt;")-1)*100,"0.0")&amp;"%","-"))</f>
        <v>00%</v>
      </c>
      <c r="F339" s="162">
        <f>IF(C339="","",COUNTIFS(Başvuru!$C:$C,C339,Başvuru!$G:$G,"Bireysel Araştırma",Başvuru!$A:$A,"&lt;&gt;"&amp;"",Başvuru!$F:$F,"&lt;&gt;"&amp;""))</f>
        <v>0</v>
      </c>
      <c r="G339" s="162">
        <f>IF(C339="","",COUNTIFS(Başvuru!$C:$C,C339,Başvuru!$G:$G,"Uzmanlık Tezi",Başvuru!$A:$A,"&lt;&gt;"&amp;"",Başvuru!$F:$F,"&lt;&gt;"&amp;""))</f>
        <v>1</v>
      </c>
      <c r="H339" s="162">
        <f>IF(C339="","",COUNTIFS(Başvuru!$C:$C,C339,Başvuru!$G:$G,"Doktora Tezi",Başvuru!$A:$A,"&lt;&gt;"&amp;"",Başvuru!$F:$F,"&lt;&gt;"&amp;""))</f>
        <v>0</v>
      </c>
      <c r="I339" s="162">
        <f>IF(C339="","",COUNTIFS(Başvuru!$C:$C,C339,Başvuru!$G:$G,"Yüksek Lisans Tezi",Başvuru!$A:$A,"&lt;&gt;"&amp;"",Başvuru!$F:$F,"&lt;&gt;"&amp;""))</f>
        <v>0</v>
      </c>
      <c r="J339" s="163">
        <f>IF(C339="","",COUNTIFS(Başvuru!$C:$C,C339,Başvuru!$L:$L,"ONAY",Başvuru!$A:$A,"&lt;&gt;"&amp;"",Başvuru!$F:$F,"&lt;&gt;"&amp;""))</f>
        <v>0</v>
      </c>
      <c r="K339" s="164">
        <f>IF(C339="","",COUNTIFS(Başvuru!$C:$C,C339,Başvuru!$L:$L,"DÜZELTME",Başvuru!$A:$A,"&lt;&gt;"&amp;"",Başvuru!$F:$F,"&lt;&gt;"&amp;""))</f>
        <v>0</v>
      </c>
      <c r="L339" s="165">
        <f>IF(C339="","",COUNTIFS(Başvuru!$C:$C,C339,Başvuru!$L:$L,"KAEK",Başvuru!$A:$A,"&lt;&gt;"&amp;"",Başvuru!$F:$F,"&lt;&gt;"&amp;""))</f>
        <v>0</v>
      </c>
      <c r="M339" s="166">
        <f>IF(C339="","",COUNTIFS(Başvuru!$C:$C,C339,Başvuru!$L:$L,"GÖRÜŞ",Başvuru!$A:$A,"&lt;&gt;"&amp;"",Başvuru!$F:$F,"&lt;&gt;"&amp;""))</f>
        <v>0</v>
      </c>
      <c r="N339" s="167">
        <f>IF(C339="","",COUNTIFS(Başvuru!$C:$C,C339,Başvuru!$L:$L,"RET",Başvuru!$A:$A,"&lt;&gt;"&amp;"",Başvuru!$F:$F,"&lt;&gt;"&amp;""))</f>
        <v>0</v>
      </c>
      <c r="O339" s="168">
        <f>IF(C339="","",COUNTIFS(Başvuru!$C:$C,C339,Başvuru!$L:$L,"KAPSAM DIŞI",Başvuru!$A:$A,"&lt;&gt;"&amp;"",Başvuru!$F:$F,"&lt;&gt;"&amp;""))</f>
        <v>0</v>
      </c>
      <c r="P339" s="169">
        <f>IF(C339="","",COUNTIFS(Başvuru!$C:$C,C339,Başvuru!$L:$L,"GERİ ÇEKİLDİ",Başvuru!$A:$A,"&lt;&gt;"&amp;"",Başvuru!$F:$F,"&lt;&gt;"&amp;""))</f>
        <v>0</v>
      </c>
      <c r="Q339" s="170" t="str">
        <f t="array" ref="Q339">IFERROR(INDEX(Başvuru!$C$2:$C$3000, MATCH(0, COUNTIF($Q$5:Q338, Başvuru!$C$2:$C$3000) + IF(Başvuru!$C$2:$C$3000="",1,0), 0)), "")</f>
        <v>Prof. Dr. Mustafa Kerem VURAL</v>
      </c>
      <c r="R339" s="171">
        <f>IF(Q339="","",COUNTIFS(Başvuru!$C:$C,Q339,Başvuru!$A:$A,"&lt;&gt;"&amp;"",Başvuru!$F:$F,"&lt;&gt;"&amp;""))</f>
        <v>1</v>
      </c>
      <c r="S339" s="171">
        <f>IF(R339="","",RANK(R339,$R$6:$R$505,0)+COUNTIF($R$6:R339,R339)-1)</f>
        <v>334</v>
      </c>
    </row>
    <row r="340" spans="2:19" ht="23.25" customHeight="1" x14ac:dyDescent="0.25">
      <c r="B340" s="159">
        <v>335</v>
      </c>
      <c r="C340" s="160" t="str">
        <f>IFERROR(INDEX($Q$6:$Q$505,MATCH(335,$S$6:$S$505,0)),"")</f>
        <v>Doç. Dr. Elif SOYAK AYTEKİN</v>
      </c>
      <c r="D340" s="161">
        <f>IF(C340="","",COUNTIFS(Başvuru!$C:$C,C340,Başvuru!$A:$A,"&lt;&gt;"&amp;"",Başvuru!$F:$F,"&lt;&gt;"&amp;""))</f>
        <v>1</v>
      </c>
      <c r="E340" s="159" t="str">
        <f>IF(C340="","-",IF(D340&gt;0,TEXT(D340/(COUNTIFS(Başvuru!$A:$A,"&lt;&gt;",Başvuru!$F:$F,"&lt;&gt;")-1)*100,"0.0")&amp;"%","-"))</f>
        <v>00%</v>
      </c>
      <c r="F340" s="162">
        <f>IF(C340="","",COUNTIFS(Başvuru!$C:$C,C340,Başvuru!$G:$G,"Bireysel Araştırma",Başvuru!$A:$A,"&lt;&gt;"&amp;"",Başvuru!$F:$F,"&lt;&gt;"&amp;""))</f>
        <v>0</v>
      </c>
      <c r="G340" s="162">
        <f>IF(C340="","",COUNTIFS(Başvuru!$C:$C,C340,Başvuru!$G:$G,"Uzmanlık Tezi",Başvuru!$A:$A,"&lt;&gt;"&amp;"",Başvuru!$F:$F,"&lt;&gt;"&amp;""))</f>
        <v>1</v>
      </c>
      <c r="H340" s="162">
        <f>IF(C340="","",COUNTIFS(Başvuru!$C:$C,C340,Başvuru!$G:$G,"Doktora Tezi",Başvuru!$A:$A,"&lt;&gt;"&amp;"",Başvuru!$F:$F,"&lt;&gt;"&amp;""))</f>
        <v>0</v>
      </c>
      <c r="I340" s="162">
        <f>IF(C340="","",COUNTIFS(Başvuru!$C:$C,C340,Başvuru!$G:$G,"Yüksek Lisans Tezi",Başvuru!$A:$A,"&lt;&gt;"&amp;"",Başvuru!$F:$F,"&lt;&gt;"&amp;""))</f>
        <v>0</v>
      </c>
      <c r="J340" s="163">
        <f>IF(C340="","",COUNTIFS(Başvuru!$C:$C,C340,Başvuru!$L:$L,"ONAY",Başvuru!$A:$A,"&lt;&gt;"&amp;"",Başvuru!$F:$F,"&lt;&gt;"&amp;""))</f>
        <v>0</v>
      </c>
      <c r="K340" s="164">
        <f>IF(C340="","",COUNTIFS(Başvuru!$C:$C,C340,Başvuru!$L:$L,"DÜZELTME",Başvuru!$A:$A,"&lt;&gt;"&amp;"",Başvuru!$F:$F,"&lt;&gt;"&amp;""))</f>
        <v>0</v>
      </c>
      <c r="L340" s="165">
        <f>IF(C340="","",COUNTIFS(Başvuru!$C:$C,C340,Başvuru!$L:$L,"KAEK",Başvuru!$A:$A,"&lt;&gt;"&amp;"",Başvuru!$F:$F,"&lt;&gt;"&amp;""))</f>
        <v>0</v>
      </c>
      <c r="M340" s="166">
        <f>IF(C340="","",COUNTIFS(Başvuru!$C:$C,C340,Başvuru!$L:$L,"GÖRÜŞ",Başvuru!$A:$A,"&lt;&gt;"&amp;"",Başvuru!$F:$F,"&lt;&gt;"&amp;""))</f>
        <v>0</v>
      </c>
      <c r="N340" s="167">
        <f>IF(C340="","",COUNTIFS(Başvuru!$C:$C,C340,Başvuru!$L:$L,"RET",Başvuru!$A:$A,"&lt;&gt;"&amp;"",Başvuru!$F:$F,"&lt;&gt;"&amp;""))</f>
        <v>0</v>
      </c>
      <c r="O340" s="168">
        <f>IF(C340="","",COUNTIFS(Başvuru!$C:$C,C340,Başvuru!$L:$L,"KAPSAM DIŞI",Başvuru!$A:$A,"&lt;&gt;"&amp;"",Başvuru!$F:$F,"&lt;&gt;"&amp;""))</f>
        <v>0</v>
      </c>
      <c r="P340" s="169">
        <f>IF(C340="","",COUNTIFS(Başvuru!$C:$C,C340,Başvuru!$L:$L,"GERİ ÇEKİLDİ",Başvuru!$A:$A,"&lt;&gt;"&amp;"",Başvuru!$F:$F,"&lt;&gt;"&amp;""))</f>
        <v>0</v>
      </c>
      <c r="Q340" s="170" t="str">
        <f t="array" ref="Q340">IFERROR(INDEX(Başvuru!$C$2:$C$3000, MATCH(0, COUNTIF($Q$5:Q339, Başvuru!$C$2:$C$3000) + IF(Başvuru!$C$2:$C$3000="",1,0), 0)), "")</f>
        <v>Doç. Dr. Elif SOYAK AYTEKİN</v>
      </c>
      <c r="R340" s="171">
        <f>IF(Q340="","",COUNTIFS(Başvuru!$C:$C,Q340,Başvuru!$A:$A,"&lt;&gt;"&amp;"",Başvuru!$F:$F,"&lt;&gt;"&amp;""))</f>
        <v>1</v>
      </c>
      <c r="S340" s="171">
        <f>IF(R340="","",RANK(R340,$R$6:$R$505,0)+COUNTIF($R$6:R340,R340)-1)</f>
        <v>335</v>
      </c>
    </row>
    <row r="341" spans="2:19" ht="23.25" customHeight="1" x14ac:dyDescent="0.25">
      <c r="B341" s="159">
        <v>336</v>
      </c>
      <c r="C341" s="160" t="str">
        <f>IFERROR(INDEX($Q$6:$Q$505,MATCH(336,$S$6:$S$505,0)),"")</f>
        <v>Doç. Dr. Gözde HONDUR</v>
      </c>
      <c r="D341" s="161">
        <f>IF(C341="","",COUNTIFS(Başvuru!$C:$C,C341,Başvuru!$A:$A,"&lt;&gt;"&amp;"",Başvuru!$F:$F,"&lt;&gt;"&amp;""))</f>
        <v>1</v>
      </c>
      <c r="E341" s="159" t="str">
        <f>IF(C341="","-",IF(D341&gt;0,TEXT(D341/(COUNTIFS(Başvuru!$A:$A,"&lt;&gt;",Başvuru!$F:$F,"&lt;&gt;")-1)*100,"0.0")&amp;"%","-"))</f>
        <v>00%</v>
      </c>
      <c r="F341" s="162">
        <f>IF(C341="","",COUNTIFS(Başvuru!$C:$C,C341,Başvuru!$G:$G,"Bireysel Araştırma",Başvuru!$A:$A,"&lt;&gt;"&amp;"",Başvuru!$F:$F,"&lt;&gt;"&amp;""))</f>
        <v>1</v>
      </c>
      <c r="G341" s="162">
        <f>IF(C341="","",COUNTIFS(Başvuru!$C:$C,C341,Başvuru!$G:$G,"Uzmanlık Tezi",Başvuru!$A:$A,"&lt;&gt;"&amp;"",Başvuru!$F:$F,"&lt;&gt;"&amp;""))</f>
        <v>0</v>
      </c>
      <c r="H341" s="162">
        <f>IF(C341="","",COUNTIFS(Başvuru!$C:$C,C341,Başvuru!$G:$G,"Doktora Tezi",Başvuru!$A:$A,"&lt;&gt;"&amp;"",Başvuru!$F:$F,"&lt;&gt;"&amp;""))</f>
        <v>0</v>
      </c>
      <c r="I341" s="162">
        <f>IF(C341="","",COUNTIFS(Başvuru!$C:$C,C341,Başvuru!$G:$G,"Yüksek Lisans Tezi",Başvuru!$A:$A,"&lt;&gt;"&amp;"",Başvuru!$F:$F,"&lt;&gt;"&amp;""))</f>
        <v>0</v>
      </c>
      <c r="J341" s="163">
        <f>IF(C341="","",COUNTIFS(Başvuru!$C:$C,C341,Başvuru!$L:$L,"ONAY",Başvuru!$A:$A,"&lt;&gt;"&amp;"",Başvuru!$F:$F,"&lt;&gt;"&amp;""))</f>
        <v>0</v>
      </c>
      <c r="K341" s="164">
        <f>IF(C341="","",COUNTIFS(Başvuru!$C:$C,C341,Başvuru!$L:$L,"DÜZELTME",Başvuru!$A:$A,"&lt;&gt;"&amp;"",Başvuru!$F:$F,"&lt;&gt;"&amp;""))</f>
        <v>0</v>
      </c>
      <c r="L341" s="165">
        <f>IF(C341="","",COUNTIFS(Başvuru!$C:$C,C341,Başvuru!$L:$L,"KAEK",Başvuru!$A:$A,"&lt;&gt;"&amp;"",Başvuru!$F:$F,"&lt;&gt;"&amp;""))</f>
        <v>0</v>
      </c>
      <c r="M341" s="166">
        <f>IF(C341="","",COUNTIFS(Başvuru!$C:$C,C341,Başvuru!$L:$L,"GÖRÜŞ",Başvuru!$A:$A,"&lt;&gt;"&amp;"",Başvuru!$F:$F,"&lt;&gt;"&amp;""))</f>
        <v>0</v>
      </c>
      <c r="N341" s="167">
        <f>IF(C341="","",COUNTIFS(Başvuru!$C:$C,C341,Başvuru!$L:$L,"RET",Başvuru!$A:$A,"&lt;&gt;"&amp;"",Başvuru!$F:$F,"&lt;&gt;"&amp;""))</f>
        <v>0</v>
      </c>
      <c r="O341" s="168">
        <f>IF(C341="","",COUNTIFS(Başvuru!$C:$C,C341,Başvuru!$L:$L,"KAPSAM DIŞI",Başvuru!$A:$A,"&lt;&gt;"&amp;"",Başvuru!$F:$F,"&lt;&gt;"&amp;""))</f>
        <v>0</v>
      </c>
      <c r="P341" s="169">
        <f>IF(C341="","",COUNTIFS(Başvuru!$C:$C,C341,Başvuru!$L:$L,"GERİ ÇEKİLDİ",Başvuru!$A:$A,"&lt;&gt;"&amp;"",Başvuru!$F:$F,"&lt;&gt;"&amp;""))</f>
        <v>0</v>
      </c>
      <c r="Q341" s="170" t="str">
        <f t="array" ref="Q341">IFERROR(INDEX(Başvuru!$C$2:$C$3000, MATCH(0, COUNTIF($Q$5:Q340, Başvuru!$C$2:$C$3000) + IF(Başvuru!$C$2:$C$3000="",1,0), 0)), "")</f>
        <v>Doç. Dr. Gözde HONDUR</v>
      </c>
      <c r="R341" s="171">
        <f>IF(Q341="","",COUNTIFS(Başvuru!$C:$C,Q341,Başvuru!$A:$A,"&lt;&gt;"&amp;"",Başvuru!$F:$F,"&lt;&gt;"&amp;""))</f>
        <v>1</v>
      </c>
      <c r="S341" s="171">
        <f>IF(R341="","",RANK(R341,$R$6:$R$505,0)+COUNTIF($R$6:R341,R341)-1)</f>
        <v>336</v>
      </c>
    </row>
    <row r="342" spans="2:19" ht="23.25" customHeight="1" x14ac:dyDescent="0.25">
      <c r="B342" s="159">
        <v>337</v>
      </c>
      <c r="C342" s="160" t="str">
        <f>IFERROR(INDEX($Q$6:$Q$505,MATCH(337,$S$6:$S$505,0)),"")</f>
        <v>Prof. Dr. Faruk ÖZTÜRK</v>
      </c>
      <c r="D342" s="161">
        <f>IF(C342="","",COUNTIFS(Başvuru!$C:$C,C342,Başvuru!$A:$A,"&lt;&gt;"&amp;"",Başvuru!$F:$F,"&lt;&gt;"&amp;""))</f>
        <v>1</v>
      </c>
      <c r="E342" s="159" t="str">
        <f>IF(C342="","-",IF(D342&gt;0,TEXT(D342/(COUNTIFS(Başvuru!$A:$A,"&lt;&gt;",Başvuru!$F:$F,"&lt;&gt;")-1)*100,"0.0")&amp;"%","-"))</f>
        <v>00%</v>
      </c>
      <c r="F342" s="162">
        <f>IF(C342="","",COUNTIFS(Başvuru!$C:$C,C342,Başvuru!$G:$G,"Bireysel Araştırma",Başvuru!$A:$A,"&lt;&gt;"&amp;"",Başvuru!$F:$F,"&lt;&gt;"&amp;""))</f>
        <v>0</v>
      </c>
      <c r="G342" s="162">
        <f>IF(C342="","",COUNTIFS(Başvuru!$C:$C,C342,Başvuru!$G:$G,"Uzmanlık Tezi",Başvuru!$A:$A,"&lt;&gt;"&amp;"",Başvuru!$F:$F,"&lt;&gt;"&amp;""))</f>
        <v>1</v>
      </c>
      <c r="H342" s="162">
        <f>IF(C342="","",COUNTIFS(Başvuru!$C:$C,C342,Başvuru!$G:$G,"Doktora Tezi",Başvuru!$A:$A,"&lt;&gt;"&amp;"",Başvuru!$F:$F,"&lt;&gt;"&amp;""))</f>
        <v>0</v>
      </c>
      <c r="I342" s="162">
        <f>IF(C342="","",COUNTIFS(Başvuru!$C:$C,C342,Başvuru!$G:$G,"Yüksek Lisans Tezi",Başvuru!$A:$A,"&lt;&gt;"&amp;"",Başvuru!$F:$F,"&lt;&gt;"&amp;""))</f>
        <v>0</v>
      </c>
      <c r="J342" s="163">
        <f>IF(C342="","",COUNTIFS(Başvuru!$C:$C,C342,Başvuru!$L:$L,"ONAY",Başvuru!$A:$A,"&lt;&gt;"&amp;"",Başvuru!$F:$F,"&lt;&gt;"&amp;""))</f>
        <v>0</v>
      </c>
      <c r="K342" s="164">
        <f>IF(C342="","",COUNTIFS(Başvuru!$C:$C,C342,Başvuru!$L:$L,"DÜZELTME",Başvuru!$A:$A,"&lt;&gt;"&amp;"",Başvuru!$F:$F,"&lt;&gt;"&amp;""))</f>
        <v>0</v>
      </c>
      <c r="L342" s="165">
        <f>IF(C342="","",COUNTIFS(Başvuru!$C:$C,C342,Başvuru!$L:$L,"KAEK",Başvuru!$A:$A,"&lt;&gt;"&amp;"",Başvuru!$F:$F,"&lt;&gt;"&amp;""))</f>
        <v>0</v>
      </c>
      <c r="M342" s="166">
        <f>IF(C342="","",COUNTIFS(Başvuru!$C:$C,C342,Başvuru!$L:$L,"GÖRÜŞ",Başvuru!$A:$A,"&lt;&gt;"&amp;"",Başvuru!$F:$F,"&lt;&gt;"&amp;""))</f>
        <v>0</v>
      </c>
      <c r="N342" s="167">
        <f>IF(C342="","",COUNTIFS(Başvuru!$C:$C,C342,Başvuru!$L:$L,"RET",Başvuru!$A:$A,"&lt;&gt;"&amp;"",Başvuru!$F:$F,"&lt;&gt;"&amp;""))</f>
        <v>0</v>
      </c>
      <c r="O342" s="168">
        <f>IF(C342="","",COUNTIFS(Başvuru!$C:$C,C342,Başvuru!$L:$L,"KAPSAM DIŞI",Başvuru!$A:$A,"&lt;&gt;"&amp;"",Başvuru!$F:$F,"&lt;&gt;"&amp;""))</f>
        <v>0</v>
      </c>
      <c r="P342" s="169">
        <f>IF(C342="","",COUNTIFS(Başvuru!$C:$C,C342,Başvuru!$L:$L,"GERİ ÇEKİLDİ",Başvuru!$A:$A,"&lt;&gt;"&amp;"",Başvuru!$F:$F,"&lt;&gt;"&amp;""))</f>
        <v>0</v>
      </c>
      <c r="Q342" s="170" t="str">
        <f t="array" ref="Q342">IFERROR(INDEX(Başvuru!$C$2:$C$3000, MATCH(0, COUNTIF($Q$5:Q341, Başvuru!$C$2:$C$3000) + IF(Başvuru!$C$2:$C$3000="",1,0), 0)), "")</f>
        <v>Prof. Dr. Faruk ÖZTÜRK</v>
      </c>
      <c r="R342" s="171">
        <f>IF(Q342="","",COUNTIFS(Başvuru!$C:$C,Q342,Başvuru!$A:$A,"&lt;&gt;"&amp;"",Başvuru!$F:$F,"&lt;&gt;"&amp;""))</f>
        <v>1</v>
      </c>
      <c r="S342" s="171">
        <f>IF(R342="","",RANK(R342,$R$6:$R$505,0)+COUNTIF($R$6:R342,R342)-1)</f>
        <v>337</v>
      </c>
    </row>
    <row r="343" spans="2:19" ht="23.25" customHeight="1" x14ac:dyDescent="0.25">
      <c r="B343" s="159">
        <v>338</v>
      </c>
      <c r="C343" s="160" t="str">
        <f>IFERROR(INDEX($Q$6:$Q$505,MATCH(338,$S$6:$S$505,0)),"")</f>
        <v/>
      </c>
      <c r="D343" s="161" t="str">
        <f>IF(C343="","",COUNTIFS(Başvuru!$C:$C,C343,Başvuru!$A:$A,"&lt;&gt;"&amp;"",Başvuru!$F:$F,"&lt;&gt;"&amp;""))</f>
        <v/>
      </c>
      <c r="E343" s="159" t="str">
        <f>IF(C343="","-",IF(D343&gt;0,TEXT(D343/(COUNTIFS(Başvuru!$A:$A,"&lt;&gt;",Başvuru!$F:$F,"&lt;&gt;")-1)*100,"0.0")&amp;"%","-"))</f>
        <v>-</v>
      </c>
      <c r="F343" s="162" t="str">
        <f>IF(C343="","",COUNTIFS(Başvuru!$C:$C,C343,Başvuru!$G:$G,"Bireysel Araştırma",Başvuru!$A:$A,"&lt;&gt;"&amp;"",Başvuru!$F:$F,"&lt;&gt;"&amp;""))</f>
        <v/>
      </c>
      <c r="G343" s="162" t="str">
        <f>IF(C343="","",COUNTIFS(Başvuru!$C:$C,C343,Başvuru!$G:$G,"Uzmanlık Tezi",Başvuru!$A:$A,"&lt;&gt;"&amp;"",Başvuru!$F:$F,"&lt;&gt;"&amp;""))</f>
        <v/>
      </c>
      <c r="H343" s="162" t="str">
        <f>IF(C343="","",COUNTIFS(Başvuru!$C:$C,C343,Başvuru!$G:$G,"Doktora Tezi",Başvuru!$A:$A,"&lt;&gt;"&amp;"",Başvuru!$F:$F,"&lt;&gt;"&amp;""))</f>
        <v/>
      </c>
      <c r="I343" s="162" t="str">
        <f>IF(C343="","",COUNTIFS(Başvuru!$C:$C,C343,Başvuru!$G:$G,"Yüksek Lisans Tezi",Başvuru!$A:$A,"&lt;&gt;"&amp;"",Başvuru!$F:$F,"&lt;&gt;"&amp;""))</f>
        <v/>
      </c>
      <c r="J343" s="163" t="str">
        <f>IF(C343="","",COUNTIFS(Başvuru!$C:$C,C343,Başvuru!$L:$L,"ONAY",Başvuru!$A:$A,"&lt;&gt;"&amp;"",Başvuru!$F:$F,"&lt;&gt;"&amp;""))</f>
        <v/>
      </c>
      <c r="K343" s="164" t="str">
        <f>IF(C343="","",COUNTIFS(Başvuru!$C:$C,C343,Başvuru!$L:$L,"DÜZELTME",Başvuru!$A:$A,"&lt;&gt;"&amp;"",Başvuru!$F:$F,"&lt;&gt;"&amp;""))</f>
        <v/>
      </c>
      <c r="L343" s="165" t="str">
        <f>IF(C343="","",COUNTIFS(Başvuru!$C:$C,C343,Başvuru!$L:$L,"KAEK",Başvuru!$A:$A,"&lt;&gt;"&amp;"",Başvuru!$F:$F,"&lt;&gt;"&amp;""))</f>
        <v/>
      </c>
      <c r="M343" s="166" t="str">
        <f>IF(C343="","",COUNTIFS(Başvuru!$C:$C,C343,Başvuru!$L:$L,"GÖRÜŞ",Başvuru!$A:$A,"&lt;&gt;"&amp;"",Başvuru!$F:$F,"&lt;&gt;"&amp;""))</f>
        <v/>
      </c>
      <c r="N343" s="167" t="str">
        <f>IF(C343="","",COUNTIFS(Başvuru!$C:$C,C343,Başvuru!$L:$L,"RET",Başvuru!$A:$A,"&lt;&gt;"&amp;"",Başvuru!$F:$F,"&lt;&gt;"&amp;""))</f>
        <v/>
      </c>
      <c r="O343" s="168" t="str">
        <f>IF(C343="","",COUNTIFS(Başvuru!$C:$C,C343,Başvuru!$L:$L,"KAPSAM DIŞI",Başvuru!$A:$A,"&lt;&gt;"&amp;"",Başvuru!$F:$F,"&lt;&gt;"&amp;""))</f>
        <v/>
      </c>
      <c r="P343" s="169" t="str">
        <f>IF(C343="","",COUNTIFS(Başvuru!$C:$C,C343,Başvuru!$L:$L,"GERİ ÇEKİLDİ",Başvuru!$A:$A,"&lt;&gt;"&amp;"",Başvuru!$F:$F,"&lt;&gt;"&amp;""))</f>
        <v/>
      </c>
      <c r="Q343" s="170" t="str">
        <f t="array" ref="Q343">IFERROR(INDEX(Başvuru!$C$2:$C$3000, MATCH(0, COUNTIF($Q$5:Q342, Başvuru!$C$2:$C$3000) + IF(Başvuru!$C$2:$C$3000="",1,0), 0)), "")</f>
        <v/>
      </c>
      <c r="R343" s="171" t="str">
        <f>IF(Q343="","",COUNTIFS(Başvuru!$C:$C,Q343,Başvuru!$A:$A,"&lt;&gt;"&amp;"",Başvuru!$F:$F,"&lt;&gt;"&amp;""))</f>
        <v/>
      </c>
      <c r="S343" s="171" t="str">
        <f>IF(R343="","",RANK(R343,$R$6:$R$505,0)+COUNTIF($R$6:R343,R343)-1)</f>
        <v/>
      </c>
    </row>
    <row r="344" spans="2:19" ht="23.25" customHeight="1" x14ac:dyDescent="0.25">
      <c r="B344" s="159">
        <v>339</v>
      </c>
      <c r="C344" s="160" t="str">
        <f>IFERROR(INDEX($Q$6:$Q$505,MATCH(339,$S$6:$S$505,0)),"")</f>
        <v/>
      </c>
      <c r="D344" s="161" t="str">
        <f>IF(C344="","",COUNTIFS(Başvuru!$C:$C,C344,Başvuru!$A:$A,"&lt;&gt;"&amp;"",Başvuru!$F:$F,"&lt;&gt;"&amp;""))</f>
        <v/>
      </c>
      <c r="E344" s="159" t="str">
        <f>IF(C344="","-",IF(D344&gt;0,TEXT(D344/(COUNTIFS(Başvuru!$A:$A,"&lt;&gt;",Başvuru!$F:$F,"&lt;&gt;")-1)*100,"0.0")&amp;"%","-"))</f>
        <v>-</v>
      </c>
      <c r="F344" s="162" t="str">
        <f>IF(C344="","",COUNTIFS(Başvuru!$C:$C,C344,Başvuru!$G:$G,"Bireysel Araştırma",Başvuru!$A:$A,"&lt;&gt;"&amp;"",Başvuru!$F:$F,"&lt;&gt;"&amp;""))</f>
        <v/>
      </c>
      <c r="G344" s="162" t="str">
        <f>IF(C344="","",COUNTIFS(Başvuru!$C:$C,C344,Başvuru!$G:$G,"Uzmanlık Tezi",Başvuru!$A:$A,"&lt;&gt;"&amp;"",Başvuru!$F:$F,"&lt;&gt;"&amp;""))</f>
        <v/>
      </c>
      <c r="H344" s="162" t="str">
        <f>IF(C344="","",COUNTIFS(Başvuru!$C:$C,C344,Başvuru!$G:$G,"Doktora Tezi",Başvuru!$A:$A,"&lt;&gt;"&amp;"",Başvuru!$F:$F,"&lt;&gt;"&amp;""))</f>
        <v/>
      </c>
      <c r="I344" s="162" t="str">
        <f>IF(C344="","",COUNTIFS(Başvuru!$C:$C,C344,Başvuru!$G:$G,"Yüksek Lisans Tezi",Başvuru!$A:$A,"&lt;&gt;"&amp;"",Başvuru!$F:$F,"&lt;&gt;"&amp;""))</f>
        <v/>
      </c>
      <c r="J344" s="163" t="str">
        <f>IF(C344="","",COUNTIFS(Başvuru!$C:$C,C344,Başvuru!$L:$L,"ONAY",Başvuru!$A:$A,"&lt;&gt;"&amp;"",Başvuru!$F:$F,"&lt;&gt;"&amp;""))</f>
        <v/>
      </c>
      <c r="K344" s="164" t="str">
        <f>IF(C344="","",COUNTIFS(Başvuru!$C:$C,C344,Başvuru!$L:$L,"DÜZELTME",Başvuru!$A:$A,"&lt;&gt;"&amp;"",Başvuru!$F:$F,"&lt;&gt;"&amp;""))</f>
        <v/>
      </c>
      <c r="L344" s="165" t="str">
        <f>IF(C344="","",COUNTIFS(Başvuru!$C:$C,C344,Başvuru!$L:$L,"KAEK",Başvuru!$A:$A,"&lt;&gt;"&amp;"",Başvuru!$F:$F,"&lt;&gt;"&amp;""))</f>
        <v/>
      </c>
      <c r="M344" s="166" t="str">
        <f>IF(C344="","",COUNTIFS(Başvuru!$C:$C,C344,Başvuru!$L:$L,"GÖRÜŞ",Başvuru!$A:$A,"&lt;&gt;"&amp;"",Başvuru!$F:$F,"&lt;&gt;"&amp;""))</f>
        <v/>
      </c>
      <c r="N344" s="167" t="str">
        <f>IF(C344="","",COUNTIFS(Başvuru!$C:$C,C344,Başvuru!$L:$L,"RET",Başvuru!$A:$A,"&lt;&gt;"&amp;"",Başvuru!$F:$F,"&lt;&gt;"&amp;""))</f>
        <v/>
      </c>
      <c r="O344" s="168" t="str">
        <f>IF(C344="","",COUNTIFS(Başvuru!$C:$C,C344,Başvuru!$L:$L,"KAPSAM DIŞI",Başvuru!$A:$A,"&lt;&gt;"&amp;"",Başvuru!$F:$F,"&lt;&gt;"&amp;""))</f>
        <v/>
      </c>
      <c r="P344" s="169" t="str">
        <f>IF(C344="","",COUNTIFS(Başvuru!$C:$C,C344,Başvuru!$L:$L,"GERİ ÇEKİLDİ",Başvuru!$A:$A,"&lt;&gt;"&amp;"",Başvuru!$F:$F,"&lt;&gt;"&amp;""))</f>
        <v/>
      </c>
      <c r="Q344" s="170" t="str">
        <f t="array" ref="Q344">IFERROR(INDEX(Başvuru!$C$2:$C$3000, MATCH(0, COUNTIF($Q$5:Q343, Başvuru!$C$2:$C$3000) + IF(Başvuru!$C$2:$C$3000="",1,0), 0)), "")</f>
        <v/>
      </c>
      <c r="R344" s="171" t="str">
        <f>IF(Q344="","",COUNTIFS(Başvuru!$C:$C,Q344,Başvuru!$A:$A,"&lt;&gt;"&amp;"",Başvuru!$F:$F,"&lt;&gt;"&amp;""))</f>
        <v/>
      </c>
      <c r="S344" s="171" t="str">
        <f>IF(R344="","",RANK(R344,$R$6:$R$505,0)+COUNTIF($R$6:R344,R344)-1)</f>
        <v/>
      </c>
    </row>
    <row r="345" spans="2:19" ht="23.25" customHeight="1" x14ac:dyDescent="0.25">
      <c r="B345" s="159">
        <v>340</v>
      </c>
      <c r="C345" s="160" t="str">
        <f>IFERROR(INDEX($Q$6:$Q$505,MATCH(340,$S$6:$S$505,0)),"")</f>
        <v/>
      </c>
      <c r="D345" s="161" t="str">
        <f>IF(C345="","",COUNTIFS(Başvuru!$C:$C,C345,Başvuru!$A:$A,"&lt;&gt;"&amp;"",Başvuru!$F:$F,"&lt;&gt;"&amp;""))</f>
        <v/>
      </c>
      <c r="E345" s="159" t="str">
        <f>IF(C345="","-",IF(D345&gt;0,TEXT(D345/(COUNTIFS(Başvuru!$A:$A,"&lt;&gt;",Başvuru!$F:$F,"&lt;&gt;")-1)*100,"0.0")&amp;"%","-"))</f>
        <v>-</v>
      </c>
      <c r="F345" s="162" t="str">
        <f>IF(C345="","",COUNTIFS(Başvuru!$C:$C,C345,Başvuru!$G:$G,"Bireysel Araştırma",Başvuru!$A:$A,"&lt;&gt;"&amp;"",Başvuru!$F:$F,"&lt;&gt;"&amp;""))</f>
        <v/>
      </c>
      <c r="G345" s="162" t="str">
        <f>IF(C345="","",COUNTIFS(Başvuru!$C:$C,C345,Başvuru!$G:$G,"Uzmanlık Tezi",Başvuru!$A:$A,"&lt;&gt;"&amp;"",Başvuru!$F:$F,"&lt;&gt;"&amp;""))</f>
        <v/>
      </c>
      <c r="H345" s="162" t="str">
        <f>IF(C345="","",COUNTIFS(Başvuru!$C:$C,C345,Başvuru!$G:$G,"Doktora Tezi",Başvuru!$A:$A,"&lt;&gt;"&amp;"",Başvuru!$F:$F,"&lt;&gt;"&amp;""))</f>
        <v/>
      </c>
      <c r="I345" s="162" t="str">
        <f>IF(C345="","",COUNTIFS(Başvuru!$C:$C,C345,Başvuru!$G:$G,"Yüksek Lisans Tezi",Başvuru!$A:$A,"&lt;&gt;"&amp;"",Başvuru!$F:$F,"&lt;&gt;"&amp;""))</f>
        <v/>
      </c>
      <c r="J345" s="163" t="str">
        <f>IF(C345="","",COUNTIFS(Başvuru!$C:$C,C345,Başvuru!$L:$L,"ONAY",Başvuru!$A:$A,"&lt;&gt;"&amp;"",Başvuru!$F:$F,"&lt;&gt;"&amp;""))</f>
        <v/>
      </c>
      <c r="K345" s="164" t="str">
        <f>IF(C345="","",COUNTIFS(Başvuru!$C:$C,C345,Başvuru!$L:$L,"DÜZELTME",Başvuru!$A:$A,"&lt;&gt;"&amp;"",Başvuru!$F:$F,"&lt;&gt;"&amp;""))</f>
        <v/>
      </c>
      <c r="L345" s="165" t="str">
        <f>IF(C345="","",COUNTIFS(Başvuru!$C:$C,C345,Başvuru!$L:$L,"KAEK",Başvuru!$A:$A,"&lt;&gt;"&amp;"",Başvuru!$F:$F,"&lt;&gt;"&amp;""))</f>
        <v/>
      </c>
      <c r="M345" s="166" t="str">
        <f>IF(C345="","",COUNTIFS(Başvuru!$C:$C,C345,Başvuru!$L:$L,"GÖRÜŞ",Başvuru!$A:$A,"&lt;&gt;"&amp;"",Başvuru!$F:$F,"&lt;&gt;"&amp;""))</f>
        <v/>
      </c>
      <c r="N345" s="167" t="str">
        <f>IF(C345="","",COUNTIFS(Başvuru!$C:$C,C345,Başvuru!$L:$L,"RET",Başvuru!$A:$A,"&lt;&gt;"&amp;"",Başvuru!$F:$F,"&lt;&gt;"&amp;""))</f>
        <v/>
      </c>
      <c r="O345" s="168" t="str">
        <f>IF(C345="","",COUNTIFS(Başvuru!$C:$C,C345,Başvuru!$L:$L,"KAPSAM DIŞI",Başvuru!$A:$A,"&lt;&gt;"&amp;"",Başvuru!$F:$F,"&lt;&gt;"&amp;""))</f>
        <v/>
      </c>
      <c r="P345" s="169" t="str">
        <f>IF(C345="","",COUNTIFS(Başvuru!$C:$C,C345,Başvuru!$L:$L,"GERİ ÇEKİLDİ",Başvuru!$A:$A,"&lt;&gt;"&amp;"",Başvuru!$F:$F,"&lt;&gt;"&amp;""))</f>
        <v/>
      </c>
      <c r="Q345" s="170" t="str">
        <f t="array" ref="Q345">IFERROR(INDEX(Başvuru!$C$2:$C$3000, MATCH(0, COUNTIF($Q$5:Q344, Başvuru!$C$2:$C$3000) + IF(Başvuru!$C$2:$C$3000="",1,0), 0)), "")</f>
        <v/>
      </c>
      <c r="R345" s="171" t="str">
        <f>IF(Q345="","",COUNTIFS(Başvuru!$C:$C,Q345,Başvuru!$A:$A,"&lt;&gt;"&amp;"",Başvuru!$F:$F,"&lt;&gt;"&amp;""))</f>
        <v/>
      </c>
      <c r="S345" s="171" t="str">
        <f>IF(R345="","",RANK(R345,$R$6:$R$505,0)+COUNTIF($R$6:R345,R345)-1)</f>
        <v/>
      </c>
    </row>
    <row r="346" spans="2:19" ht="23.25" customHeight="1" x14ac:dyDescent="0.25">
      <c r="B346" s="159">
        <v>341</v>
      </c>
      <c r="C346" s="160" t="str">
        <f>IFERROR(INDEX($Q$6:$Q$505,MATCH(341,$S$6:$S$505,0)),"")</f>
        <v/>
      </c>
      <c r="D346" s="161" t="str">
        <f>IF(C346="","",COUNTIFS(Başvuru!$C:$C,C346,Başvuru!$A:$A,"&lt;&gt;"&amp;"",Başvuru!$F:$F,"&lt;&gt;"&amp;""))</f>
        <v/>
      </c>
      <c r="E346" s="159" t="str">
        <f>IF(C346="","-",IF(D346&gt;0,TEXT(D346/(COUNTIFS(Başvuru!$A:$A,"&lt;&gt;",Başvuru!$F:$F,"&lt;&gt;")-1)*100,"0.0")&amp;"%","-"))</f>
        <v>-</v>
      </c>
      <c r="F346" s="162" t="str">
        <f>IF(C346="","",COUNTIFS(Başvuru!$C:$C,C346,Başvuru!$G:$G,"Bireysel Araştırma",Başvuru!$A:$A,"&lt;&gt;"&amp;"",Başvuru!$F:$F,"&lt;&gt;"&amp;""))</f>
        <v/>
      </c>
      <c r="G346" s="162" t="str">
        <f>IF(C346="","",COUNTIFS(Başvuru!$C:$C,C346,Başvuru!$G:$G,"Uzmanlık Tezi",Başvuru!$A:$A,"&lt;&gt;"&amp;"",Başvuru!$F:$F,"&lt;&gt;"&amp;""))</f>
        <v/>
      </c>
      <c r="H346" s="162" t="str">
        <f>IF(C346="","",COUNTIFS(Başvuru!$C:$C,C346,Başvuru!$G:$G,"Doktora Tezi",Başvuru!$A:$A,"&lt;&gt;"&amp;"",Başvuru!$F:$F,"&lt;&gt;"&amp;""))</f>
        <v/>
      </c>
      <c r="I346" s="162" t="str">
        <f>IF(C346="","",COUNTIFS(Başvuru!$C:$C,C346,Başvuru!$G:$G,"Yüksek Lisans Tezi",Başvuru!$A:$A,"&lt;&gt;"&amp;"",Başvuru!$F:$F,"&lt;&gt;"&amp;""))</f>
        <v/>
      </c>
      <c r="J346" s="163" t="str">
        <f>IF(C346="","",COUNTIFS(Başvuru!$C:$C,C346,Başvuru!$L:$L,"ONAY",Başvuru!$A:$A,"&lt;&gt;"&amp;"",Başvuru!$F:$F,"&lt;&gt;"&amp;""))</f>
        <v/>
      </c>
      <c r="K346" s="164" t="str">
        <f>IF(C346="","",COUNTIFS(Başvuru!$C:$C,C346,Başvuru!$L:$L,"DÜZELTME",Başvuru!$A:$A,"&lt;&gt;"&amp;"",Başvuru!$F:$F,"&lt;&gt;"&amp;""))</f>
        <v/>
      </c>
      <c r="L346" s="165" t="str">
        <f>IF(C346="","",COUNTIFS(Başvuru!$C:$C,C346,Başvuru!$L:$L,"KAEK",Başvuru!$A:$A,"&lt;&gt;"&amp;"",Başvuru!$F:$F,"&lt;&gt;"&amp;""))</f>
        <v/>
      </c>
      <c r="M346" s="166" t="str">
        <f>IF(C346="","",COUNTIFS(Başvuru!$C:$C,C346,Başvuru!$L:$L,"GÖRÜŞ",Başvuru!$A:$A,"&lt;&gt;"&amp;"",Başvuru!$F:$F,"&lt;&gt;"&amp;""))</f>
        <v/>
      </c>
      <c r="N346" s="167" t="str">
        <f>IF(C346="","",COUNTIFS(Başvuru!$C:$C,C346,Başvuru!$L:$L,"RET",Başvuru!$A:$A,"&lt;&gt;"&amp;"",Başvuru!$F:$F,"&lt;&gt;"&amp;""))</f>
        <v/>
      </c>
      <c r="O346" s="168" t="str">
        <f>IF(C346="","",COUNTIFS(Başvuru!$C:$C,C346,Başvuru!$L:$L,"KAPSAM DIŞI",Başvuru!$A:$A,"&lt;&gt;"&amp;"",Başvuru!$F:$F,"&lt;&gt;"&amp;""))</f>
        <v/>
      </c>
      <c r="P346" s="169" t="str">
        <f>IF(C346="","",COUNTIFS(Başvuru!$C:$C,C346,Başvuru!$L:$L,"GERİ ÇEKİLDİ",Başvuru!$A:$A,"&lt;&gt;"&amp;"",Başvuru!$F:$F,"&lt;&gt;"&amp;""))</f>
        <v/>
      </c>
      <c r="Q346" s="170" t="str">
        <f t="array" ref="Q346">IFERROR(INDEX(Başvuru!$C$2:$C$3000, MATCH(0, COUNTIF($Q$5:Q345, Başvuru!$C$2:$C$3000) + IF(Başvuru!$C$2:$C$3000="",1,0), 0)), "")</f>
        <v/>
      </c>
      <c r="R346" s="171" t="str">
        <f>IF(Q346="","",COUNTIFS(Başvuru!$C:$C,Q346,Başvuru!$A:$A,"&lt;&gt;"&amp;"",Başvuru!$F:$F,"&lt;&gt;"&amp;""))</f>
        <v/>
      </c>
      <c r="S346" s="171" t="str">
        <f>IF(R346="","",RANK(R346,$R$6:$R$505,0)+COUNTIF($R$6:R346,R346)-1)</f>
        <v/>
      </c>
    </row>
    <row r="347" spans="2:19" ht="23.25" customHeight="1" x14ac:dyDescent="0.25">
      <c r="B347" s="159">
        <v>342</v>
      </c>
      <c r="C347" s="160" t="str">
        <f>IFERROR(INDEX($Q$6:$Q$505,MATCH(342,$S$6:$S$505,0)),"")</f>
        <v/>
      </c>
      <c r="D347" s="161" t="str">
        <f>IF(C347="","",COUNTIFS(Başvuru!$C:$C,C347,Başvuru!$A:$A,"&lt;&gt;"&amp;"",Başvuru!$F:$F,"&lt;&gt;"&amp;""))</f>
        <v/>
      </c>
      <c r="E347" s="159" t="str">
        <f>IF(C347="","-",IF(D347&gt;0,TEXT(D347/(COUNTIFS(Başvuru!$A:$A,"&lt;&gt;",Başvuru!$F:$F,"&lt;&gt;")-1)*100,"0.0")&amp;"%","-"))</f>
        <v>-</v>
      </c>
      <c r="F347" s="162" t="str">
        <f>IF(C347="","",COUNTIFS(Başvuru!$C:$C,C347,Başvuru!$G:$G,"Bireysel Araştırma",Başvuru!$A:$A,"&lt;&gt;"&amp;"",Başvuru!$F:$F,"&lt;&gt;"&amp;""))</f>
        <v/>
      </c>
      <c r="G347" s="162" t="str">
        <f>IF(C347="","",COUNTIFS(Başvuru!$C:$C,C347,Başvuru!$G:$G,"Uzmanlık Tezi",Başvuru!$A:$A,"&lt;&gt;"&amp;"",Başvuru!$F:$F,"&lt;&gt;"&amp;""))</f>
        <v/>
      </c>
      <c r="H347" s="162" t="str">
        <f>IF(C347="","",COUNTIFS(Başvuru!$C:$C,C347,Başvuru!$G:$G,"Doktora Tezi",Başvuru!$A:$A,"&lt;&gt;"&amp;"",Başvuru!$F:$F,"&lt;&gt;"&amp;""))</f>
        <v/>
      </c>
      <c r="I347" s="162" t="str">
        <f>IF(C347="","",COUNTIFS(Başvuru!$C:$C,C347,Başvuru!$G:$G,"Yüksek Lisans Tezi",Başvuru!$A:$A,"&lt;&gt;"&amp;"",Başvuru!$F:$F,"&lt;&gt;"&amp;""))</f>
        <v/>
      </c>
      <c r="J347" s="163" t="str">
        <f>IF(C347="","",COUNTIFS(Başvuru!$C:$C,C347,Başvuru!$L:$L,"ONAY",Başvuru!$A:$A,"&lt;&gt;"&amp;"",Başvuru!$F:$F,"&lt;&gt;"&amp;""))</f>
        <v/>
      </c>
      <c r="K347" s="164" t="str">
        <f>IF(C347="","",COUNTIFS(Başvuru!$C:$C,C347,Başvuru!$L:$L,"DÜZELTME",Başvuru!$A:$A,"&lt;&gt;"&amp;"",Başvuru!$F:$F,"&lt;&gt;"&amp;""))</f>
        <v/>
      </c>
      <c r="L347" s="165" t="str">
        <f>IF(C347="","",COUNTIFS(Başvuru!$C:$C,C347,Başvuru!$L:$L,"KAEK",Başvuru!$A:$A,"&lt;&gt;"&amp;"",Başvuru!$F:$F,"&lt;&gt;"&amp;""))</f>
        <v/>
      </c>
      <c r="M347" s="166" t="str">
        <f>IF(C347="","",COUNTIFS(Başvuru!$C:$C,C347,Başvuru!$L:$L,"GÖRÜŞ",Başvuru!$A:$A,"&lt;&gt;"&amp;"",Başvuru!$F:$F,"&lt;&gt;"&amp;""))</f>
        <v/>
      </c>
      <c r="N347" s="167" t="str">
        <f>IF(C347="","",COUNTIFS(Başvuru!$C:$C,C347,Başvuru!$L:$L,"RET",Başvuru!$A:$A,"&lt;&gt;"&amp;"",Başvuru!$F:$F,"&lt;&gt;"&amp;""))</f>
        <v/>
      </c>
      <c r="O347" s="168" t="str">
        <f>IF(C347="","",COUNTIFS(Başvuru!$C:$C,C347,Başvuru!$L:$L,"KAPSAM DIŞI",Başvuru!$A:$A,"&lt;&gt;"&amp;"",Başvuru!$F:$F,"&lt;&gt;"&amp;""))</f>
        <v/>
      </c>
      <c r="P347" s="169" t="str">
        <f>IF(C347="","",COUNTIFS(Başvuru!$C:$C,C347,Başvuru!$L:$L,"GERİ ÇEKİLDİ",Başvuru!$A:$A,"&lt;&gt;"&amp;"",Başvuru!$F:$F,"&lt;&gt;"&amp;""))</f>
        <v/>
      </c>
      <c r="Q347" s="170" t="str">
        <f t="array" ref="Q347">IFERROR(INDEX(Başvuru!$C$2:$C$3000, MATCH(0, COUNTIF($Q$5:Q346, Başvuru!$C$2:$C$3000) + IF(Başvuru!$C$2:$C$3000="",1,0), 0)), "")</f>
        <v/>
      </c>
      <c r="R347" s="171" t="str">
        <f>IF(Q347="","",COUNTIFS(Başvuru!$C:$C,Q347,Başvuru!$A:$A,"&lt;&gt;"&amp;"",Başvuru!$F:$F,"&lt;&gt;"&amp;""))</f>
        <v/>
      </c>
      <c r="S347" s="171" t="str">
        <f>IF(R347="","",RANK(R347,$R$6:$R$505,0)+COUNTIF($R$6:R347,R347)-1)</f>
        <v/>
      </c>
    </row>
    <row r="348" spans="2:19" ht="23.25" customHeight="1" x14ac:dyDescent="0.25">
      <c r="B348" s="159">
        <v>343</v>
      </c>
      <c r="C348" s="160" t="str">
        <f>IFERROR(INDEX($Q$6:$Q$505,MATCH(343,$S$6:$S$505,0)),"")</f>
        <v/>
      </c>
      <c r="D348" s="161" t="str">
        <f>IF(C348="","",COUNTIFS(Başvuru!$C:$C,C348,Başvuru!$A:$A,"&lt;&gt;"&amp;"",Başvuru!$F:$F,"&lt;&gt;"&amp;""))</f>
        <v/>
      </c>
      <c r="E348" s="159" t="str">
        <f>IF(C348="","-",IF(D348&gt;0,TEXT(D348/(COUNTIFS(Başvuru!$A:$A,"&lt;&gt;",Başvuru!$F:$F,"&lt;&gt;")-1)*100,"0.0")&amp;"%","-"))</f>
        <v>-</v>
      </c>
      <c r="F348" s="162" t="str">
        <f>IF(C348="","",COUNTIFS(Başvuru!$C:$C,C348,Başvuru!$G:$G,"Bireysel Araştırma",Başvuru!$A:$A,"&lt;&gt;"&amp;"",Başvuru!$F:$F,"&lt;&gt;"&amp;""))</f>
        <v/>
      </c>
      <c r="G348" s="162" t="str">
        <f>IF(C348="","",COUNTIFS(Başvuru!$C:$C,C348,Başvuru!$G:$G,"Uzmanlık Tezi",Başvuru!$A:$A,"&lt;&gt;"&amp;"",Başvuru!$F:$F,"&lt;&gt;"&amp;""))</f>
        <v/>
      </c>
      <c r="H348" s="162" t="str">
        <f>IF(C348="","",COUNTIFS(Başvuru!$C:$C,C348,Başvuru!$G:$G,"Doktora Tezi",Başvuru!$A:$A,"&lt;&gt;"&amp;"",Başvuru!$F:$F,"&lt;&gt;"&amp;""))</f>
        <v/>
      </c>
      <c r="I348" s="162" t="str">
        <f>IF(C348="","",COUNTIFS(Başvuru!$C:$C,C348,Başvuru!$G:$G,"Yüksek Lisans Tezi",Başvuru!$A:$A,"&lt;&gt;"&amp;"",Başvuru!$F:$F,"&lt;&gt;"&amp;""))</f>
        <v/>
      </c>
      <c r="J348" s="163" t="str">
        <f>IF(C348="","",COUNTIFS(Başvuru!$C:$C,C348,Başvuru!$L:$L,"ONAY",Başvuru!$A:$A,"&lt;&gt;"&amp;"",Başvuru!$F:$F,"&lt;&gt;"&amp;""))</f>
        <v/>
      </c>
      <c r="K348" s="164" t="str">
        <f>IF(C348="","",COUNTIFS(Başvuru!$C:$C,C348,Başvuru!$L:$L,"DÜZELTME",Başvuru!$A:$A,"&lt;&gt;"&amp;"",Başvuru!$F:$F,"&lt;&gt;"&amp;""))</f>
        <v/>
      </c>
      <c r="L348" s="165" t="str">
        <f>IF(C348="","",COUNTIFS(Başvuru!$C:$C,C348,Başvuru!$L:$L,"KAEK",Başvuru!$A:$A,"&lt;&gt;"&amp;"",Başvuru!$F:$F,"&lt;&gt;"&amp;""))</f>
        <v/>
      </c>
      <c r="M348" s="166" t="str">
        <f>IF(C348="","",COUNTIFS(Başvuru!$C:$C,C348,Başvuru!$L:$L,"GÖRÜŞ",Başvuru!$A:$A,"&lt;&gt;"&amp;"",Başvuru!$F:$F,"&lt;&gt;"&amp;""))</f>
        <v/>
      </c>
      <c r="N348" s="167" t="str">
        <f>IF(C348="","",COUNTIFS(Başvuru!$C:$C,C348,Başvuru!$L:$L,"RET",Başvuru!$A:$A,"&lt;&gt;"&amp;"",Başvuru!$F:$F,"&lt;&gt;"&amp;""))</f>
        <v/>
      </c>
      <c r="O348" s="168" t="str">
        <f>IF(C348="","",COUNTIFS(Başvuru!$C:$C,C348,Başvuru!$L:$L,"KAPSAM DIŞI",Başvuru!$A:$A,"&lt;&gt;"&amp;"",Başvuru!$F:$F,"&lt;&gt;"&amp;""))</f>
        <v/>
      </c>
      <c r="P348" s="169" t="str">
        <f>IF(C348="","",COUNTIFS(Başvuru!$C:$C,C348,Başvuru!$L:$L,"GERİ ÇEKİLDİ",Başvuru!$A:$A,"&lt;&gt;"&amp;"",Başvuru!$F:$F,"&lt;&gt;"&amp;""))</f>
        <v/>
      </c>
      <c r="Q348" s="170" t="str">
        <f t="array" ref="Q348">IFERROR(INDEX(Başvuru!$C$2:$C$3000, MATCH(0, COUNTIF($Q$5:Q347, Başvuru!$C$2:$C$3000) + IF(Başvuru!$C$2:$C$3000="",1,0), 0)), "")</f>
        <v/>
      </c>
      <c r="R348" s="171" t="str">
        <f>IF(Q348="","",COUNTIFS(Başvuru!$C:$C,Q348,Başvuru!$A:$A,"&lt;&gt;"&amp;"",Başvuru!$F:$F,"&lt;&gt;"&amp;""))</f>
        <v/>
      </c>
      <c r="S348" s="171" t="str">
        <f>IF(R348="","",RANK(R348,$R$6:$R$505,0)+COUNTIF($R$6:R348,R348)-1)</f>
        <v/>
      </c>
    </row>
    <row r="349" spans="2:19" ht="23.25" customHeight="1" x14ac:dyDescent="0.25">
      <c r="B349" s="159">
        <v>344</v>
      </c>
      <c r="C349" s="160" t="str">
        <f>IFERROR(INDEX($Q$6:$Q$505,MATCH(344,$S$6:$S$505,0)),"")</f>
        <v/>
      </c>
      <c r="D349" s="161" t="str">
        <f>IF(C349="","",COUNTIFS(Başvuru!$C:$C,C349,Başvuru!$A:$A,"&lt;&gt;"&amp;"",Başvuru!$F:$F,"&lt;&gt;"&amp;""))</f>
        <v/>
      </c>
      <c r="E349" s="159" t="str">
        <f>IF(C349="","-",IF(D349&gt;0,TEXT(D349/(COUNTIFS(Başvuru!$A:$A,"&lt;&gt;",Başvuru!$F:$F,"&lt;&gt;")-1)*100,"0.0")&amp;"%","-"))</f>
        <v>-</v>
      </c>
      <c r="F349" s="162" t="str">
        <f>IF(C349="","",COUNTIFS(Başvuru!$C:$C,C349,Başvuru!$G:$G,"Bireysel Araştırma",Başvuru!$A:$A,"&lt;&gt;"&amp;"",Başvuru!$F:$F,"&lt;&gt;"&amp;""))</f>
        <v/>
      </c>
      <c r="G349" s="162" t="str">
        <f>IF(C349="","",COUNTIFS(Başvuru!$C:$C,C349,Başvuru!$G:$G,"Uzmanlık Tezi",Başvuru!$A:$A,"&lt;&gt;"&amp;"",Başvuru!$F:$F,"&lt;&gt;"&amp;""))</f>
        <v/>
      </c>
      <c r="H349" s="162" t="str">
        <f>IF(C349="","",COUNTIFS(Başvuru!$C:$C,C349,Başvuru!$G:$G,"Doktora Tezi",Başvuru!$A:$A,"&lt;&gt;"&amp;"",Başvuru!$F:$F,"&lt;&gt;"&amp;""))</f>
        <v/>
      </c>
      <c r="I349" s="162" t="str">
        <f>IF(C349="","",COUNTIFS(Başvuru!$C:$C,C349,Başvuru!$G:$G,"Yüksek Lisans Tezi",Başvuru!$A:$A,"&lt;&gt;"&amp;"",Başvuru!$F:$F,"&lt;&gt;"&amp;""))</f>
        <v/>
      </c>
      <c r="J349" s="163" t="str">
        <f>IF(C349="","",COUNTIFS(Başvuru!$C:$C,C349,Başvuru!$L:$L,"ONAY",Başvuru!$A:$A,"&lt;&gt;"&amp;"",Başvuru!$F:$F,"&lt;&gt;"&amp;""))</f>
        <v/>
      </c>
      <c r="K349" s="164" t="str">
        <f>IF(C349="","",COUNTIFS(Başvuru!$C:$C,C349,Başvuru!$L:$L,"DÜZELTME",Başvuru!$A:$A,"&lt;&gt;"&amp;"",Başvuru!$F:$F,"&lt;&gt;"&amp;""))</f>
        <v/>
      </c>
      <c r="L349" s="165" t="str">
        <f>IF(C349="","",COUNTIFS(Başvuru!$C:$C,C349,Başvuru!$L:$L,"KAEK",Başvuru!$A:$A,"&lt;&gt;"&amp;"",Başvuru!$F:$F,"&lt;&gt;"&amp;""))</f>
        <v/>
      </c>
      <c r="M349" s="166" t="str">
        <f>IF(C349="","",COUNTIFS(Başvuru!$C:$C,C349,Başvuru!$L:$L,"GÖRÜŞ",Başvuru!$A:$A,"&lt;&gt;"&amp;"",Başvuru!$F:$F,"&lt;&gt;"&amp;""))</f>
        <v/>
      </c>
      <c r="N349" s="167" t="str">
        <f>IF(C349="","",COUNTIFS(Başvuru!$C:$C,C349,Başvuru!$L:$L,"RET",Başvuru!$A:$A,"&lt;&gt;"&amp;"",Başvuru!$F:$F,"&lt;&gt;"&amp;""))</f>
        <v/>
      </c>
      <c r="O349" s="168" t="str">
        <f>IF(C349="","",COUNTIFS(Başvuru!$C:$C,C349,Başvuru!$L:$L,"KAPSAM DIŞI",Başvuru!$A:$A,"&lt;&gt;"&amp;"",Başvuru!$F:$F,"&lt;&gt;"&amp;""))</f>
        <v/>
      </c>
      <c r="P349" s="169" t="str">
        <f>IF(C349="","",COUNTIFS(Başvuru!$C:$C,C349,Başvuru!$L:$L,"GERİ ÇEKİLDİ",Başvuru!$A:$A,"&lt;&gt;"&amp;"",Başvuru!$F:$F,"&lt;&gt;"&amp;""))</f>
        <v/>
      </c>
      <c r="Q349" s="170" t="str">
        <f t="array" ref="Q349">IFERROR(INDEX(Başvuru!$C$2:$C$3000, MATCH(0, COUNTIF($Q$5:Q348, Başvuru!$C$2:$C$3000) + IF(Başvuru!$C$2:$C$3000="",1,0), 0)), "")</f>
        <v/>
      </c>
      <c r="R349" s="171" t="str">
        <f>IF(Q349="","",COUNTIFS(Başvuru!$C:$C,Q349,Başvuru!$A:$A,"&lt;&gt;"&amp;"",Başvuru!$F:$F,"&lt;&gt;"&amp;""))</f>
        <v/>
      </c>
      <c r="S349" s="171" t="str">
        <f>IF(R349="","",RANK(R349,$R$6:$R$505,0)+COUNTIF($R$6:R349,R349)-1)</f>
        <v/>
      </c>
    </row>
    <row r="350" spans="2:19" ht="23.25" customHeight="1" x14ac:dyDescent="0.25">
      <c r="B350" s="159">
        <v>345</v>
      </c>
      <c r="C350" s="160" t="str">
        <f>IFERROR(INDEX($Q$6:$Q$505,MATCH(345,$S$6:$S$505,0)),"")</f>
        <v/>
      </c>
      <c r="D350" s="161" t="str">
        <f>IF(C350="","",COUNTIFS(Başvuru!$C:$C,C350,Başvuru!$A:$A,"&lt;&gt;"&amp;"",Başvuru!$F:$F,"&lt;&gt;"&amp;""))</f>
        <v/>
      </c>
      <c r="E350" s="159" t="str">
        <f>IF(C350="","-",IF(D350&gt;0,TEXT(D350/(COUNTIFS(Başvuru!$A:$A,"&lt;&gt;",Başvuru!$F:$F,"&lt;&gt;")-1)*100,"0.0")&amp;"%","-"))</f>
        <v>-</v>
      </c>
      <c r="F350" s="162" t="str">
        <f>IF(C350="","",COUNTIFS(Başvuru!$C:$C,C350,Başvuru!$G:$G,"Bireysel Araştırma",Başvuru!$A:$A,"&lt;&gt;"&amp;"",Başvuru!$F:$F,"&lt;&gt;"&amp;""))</f>
        <v/>
      </c>
      <c r="G350" s="162" t="str">
        <f>IF(C350="","",COUNTIFS(Başvuru!$C:$C,C350,Başvuru!$G:$G,"Uzmanlık Tezi",Başvuru!$A:$A,"&lt;&gt;"&amp;"",Başvuru!$F:$F,"&lt;&gt;"&amp;""))</f>
        <v/>
      </c>
      <c r="H350" s="162" t="str">
        <f>IF(C350="","",COUNTIFS(Başvuru!$C:$C,C350,Başvuru!$G:$G,"Doktora Tezi",Başvuru!$A:$A,"&lt;&gt;"&amp;"",Başvuru!$F:$F,"&lt;&gt;"&amp;""))</f>
        <v/>
      </c>
      <c r="I350" s="162" t="str">
        <f>IF(C350="","",COUNTIFS(Başvuru!$C:$C,C350,Başvuru!$G:$G,"Yüksek Lisans Tezi",Başvuru!$A:$A,"&lt;&gt;"&amp;"",Başvuru!$F:$F,"&lt;&gt;"&amp;""))</f>
        <v/>
      </c>
      <c r="J350" s="163" t="str">
        <f>IF(C350="","",COUNTIFS(Başvuru!$C:$C,C350,Başvuru!$L:$L,"ONAY",Başvuru!$A:$A,"&lt;&gt;"&amp;"",Başvuru!$F:$F,"&lt;&gt;"&amp;""))</f>
        <v/>
      </c>
      <c r="K350" s="164" t="str">
        <f>IF(C350="","",COUNTIFS(Başvuru!$C:$C,C350,Başvuru!$L:$L,"DÜZELTME",Başvuru!$A:$A,"&lt;&gt;"&amp;"",Başvuru!$F:$F,"&lt;&gt;"&amp;""))</f>
        <v/>
      </c>
      <c r="L350" s="165" t="str">
        <f>IF(C350="","",COUNTIFS(Başvuru!$C:$C,C350,Başvuru!$L:$L,"KAEK",Başvuru!$A:$A,"&lt;&gt;"&amp;"",Başvuru!$F:$F,"&lt;&gt;"&amp;""))</f>
        <v/>
      </c>
      <c r="M350" s="166" t="str">
        <f>IF(C350="","",COUNTIFS(Başvuru!$C:$C,C350,Başvuru!$L:$L,"GÖRÜŞ",Başvuru!$A:$A,"&lt;&gt;"&amp;"",Başvuru!$F:$F,"&lt;&gt;"&amp;""))</f>
        <v/>
      </c>
      <c r="N350" s="167" t="str">
        <f>IF(C350="","",COUNTIFS(Başvuru!$C:$C,C350,Başvuru!$L:$L,"RET",Başvuru!$A:$A,"&lt;&gt;"&amp;"",Başvuru!$F:$F,"&lt;&gt;"&amp;""))</f>
        <v/>
      </c>
      <c r="O350" s="168" t="str">
        <f>IF(C350="","",COUNTIFS(Başvuru!$C:$C,C350,Başvuru!$L:$L,"KAPSAM DIŞI",Başvuru!$A:$A,"&lt;&gt;"&amp;"",Başvuru!$F:$F,"&lt;&gt;"&amp;""))</f>
        <v/>
      </c>
      <c r="P350" s="169" t="str">
        <f>IF(C350="","",COUNTIFS(Başvuru!$C:$C,C350,Başvuru!$L:$L,"GERİ ÇEKİLDİ",Başvuru!$A:$A,"&lt;&gt;"&amp;"",Başvuru!$F:$F,"&lt;&gt;"&amp;""))</f>
        <v/>
      </c>
      <c r="Q350" s="170" t="str">
        <f t="array" ref="Q350">IFERROR(INDEX(Başvuru!$C$2:$C$3000, MATCH(0, COUNTIF($Q$5:Q349, Başvuru!$C$2:$C$3000) + IF(Başvuru!$C$2:$C$3000="",1,0), 0)), "")</f>
        <v/>
      </c>
      <c r="R350" s="171" t="str">
        <f>IF(Q350="","",COUNTIFS(Başvuru!$C:$C,Q350,Başvuru!$A:$A,"&lt;&gt;"&amp;"",Başvuru!$F:$F,"&lt;&gt;"&amp;""))</f>
        <v/>
      </c>
      <c r="S350" s="171" t="str">
        <f>IF(R350="","",RANK(R350,$R$6:$R$505,0)+COUNTIF($R$6:R350,R350)-1)</f>
        <v/>
      </c>
    </row>
    <row r="351" spans="2:19" ht="23.25" customHeight="1" x14ac:dyDescent="0.25">
      <c r="B351" s="159">
        <v>346</v>
      </c>
      <c r="C351" s="160" t="str">
        <f>IFERROR(INDEX($Q$6:$Q$505,MATCH(346,$S$6:$S$505,0)),"")</f>
        <v/>
      </c>
      <c r="D351" s="161" t="str">
        <f>IF(C351="","",COUNTIFS(Başvuru!$C:$C,C351,Başvuru!$A:$A,"&lt;&gt;"&amp;"",Başvuru!$F:$F,"&lt;&gt;"&amp;""))</f>
        <v/>
      </c>
      <c r="E351" s="159" t="str">
        <f>IF(C351="","-",IF(D351&gt;0,TEXT(D351/(COUNTIFS(Başvuru!$A:$A,"&lt;&gt;",Başvuru!$F:$F,"&lt;&gt;")-1)*100,"0.0")&amp;"%","-"))</f>
        <v>-</v>
      </c>
      <c r="F351" s="162" t="str">
        <f>IF(C351="","",COUNTIFS(Başvuru!$C:$C,C351,Başvuru!$G:$G,"Bireysel Araştırma",Başvuru!$A:$A,"&lt;&gt;"&amp;"",Başvuru!$F:$F,"&lt;&gt;"&amp;""))</f>
        <v/>
      </c>
      <c r="G351" s="162" t="str">
        <f>IF(C351="","",COUNTIFS(Başvuru!$C:$C,C351,Başvuru!$G:$G,"Uzmanlık Tezi",Başvuru!$A:$A,"&lt;&gt;"&amp;"",Başvuru!$F:$F,"&lt;&gt;"&amp;""))</f>
        <v/>
      </c>
      <c r="H351" s="162" t="str">
        <f>IF(C351="","",COUNTIFS(Başvuru!$C:$C,C351,Başvuru!$G:$G,"Doktora Tezi",Başvuru!$A:$A,"&lt;&gt;"&amp;"",Başvuru!$F:$F,"&lt;&gt;"&amp;""))</f>
        <v/>
      </c>
      <c r="I351" s="162" t="str">
        <f>IF(C351="","",COUNTIFS(Başvuru!$C:$C,C351,Başvuru!$G:$G,"Yüksek Lisans Tezi",Başvuru!$A:$A,"&lt;&gt;"&amp;"",Başvuru!$F:$F,"&lt;&gt;"&amp;""))</f>
        <v/>
      </c>
      <c r="J351" s="163" t="str">
        <f>IF(C351="","",COUNTIFS(Başvuru!$C:$C,C351,Başvuru!$L:$L,"ONAY",Başvuru!$A:$A,"&lt;&gt;"&amp;"",Başvuru!$F:$F,"&lt;&gt;"&amp;""))</f>
        <v/>
      </c>
      <c r="K351" s="164" t="str">
        <f>IF(C351="","",COUNTIFS(Başvuru!$C:$C,C351,Başvuru!$L:$L,"DÜZELTME",Başvuru!$A:$A,"&lt;&gt;"&amp;"",Başvuru!$F:$F,"&lt;&gt;"&amp;""))</f>
        <v/>
      </c>
      <c r="L351" s="165" t="str">
        <f>IF(C351="","",COUNTIFS(Başvuru!$C:$C,C351,Başvuru!$L:$L,"KAEK",Başvuru!$A:$A,"&lt;&gt;"&amp;"",Başvuru!$F:$F,"&lt;&gt;"&amp;""))</f>
        <v/>
      </c>
      <c r="M351" s="166" t="str">
        <f>IF(C351="","",COUNTIFS(Başvuru!$C:$C,C351,Başvuru!$L:$L,"GÖRÜŞ",Başvuru!$A:$A,"&lt;&gt;"&amp;"",Başvuru!$F:$F,"&lt;&gt;"&amp;""))</f>
        <v/>
      </c>
      <c r="N351" s="167" t="str">
        <f>IF(C351="","",COUNTIFS(Başvuru!$C:$C,C351,Başvuru!$L:$L,"RET",Başvuru!$A:$A,"&lt;&gt;"&amp;"",Başvuru!$F:$F,"&lt;&gt;"&amp;""))</f>
        <v/>
      </c>
      <c r="O351" s="168" t="str">
        <f>IF(C351="","",COUNTIFS(Başvuru!$C:$C,C351,Başvuru!$L:$L,"KAPSAM DIŞI",Başvuru!$A:$A,"&lt;&gt;"&amp;"",Başvuru!$F:$F,"&lt;&gt;"&amp;""))</f>
        <v/>
      </c>
      <c r="P351" s="169" t="str">
        <f>IF(C351="","",COUNTIFS(Başvuru!$C:$C,C351,Başvuru!$L:$L,"GERİ ÇEKİLDİ",Başvuru!$A:$A,"&lt;&gt;"&amp;"",Başvuru!$F:$F,"&lt;&gt;"&amp;""))</f>
        <v/>
      </c>
      <c r="Q351" s="170" t="str">
        <f t="array" ref="Q351">IFERROR(INDEX(Başvuru!$C$2:$C$3000, MATCH(0, COUNTIF($Q$5:Q350, Başvuru!$C$2:$C$3000) + IF(Başvuru!$C$2:$C$3000="",1,0), 0)), "")</f>
        <v/>
      </c>
      <c r="R351" s="171" t="str">
        <f>IF(Q351="","",COUNTIFS(Başvuru!$C:$C,Q351,Başvuru!$A:$A,"&lt;&gt;"&amp;"",Başvuru!$F:$F,"&lt;&gt;"&amp;""))</f>
        <v/>
      </c>
      <c r="S351" s="171" t="str">
        <f>IF(R351="","",RANK(R351,$R$6:$R$505,0)+COUNTIF($R$6:R351,R351)-1)</f>
        <v/>
      </c>
    </row>
    <row r="352" spans="2:19" ht="23.25" customHeight="1" x14ac:dyDescent="0.25">
      <c r="B352" s="159">
        <v>347</v>
      </c>
      <c r="C352" s="160" t="str">
        <f>IFERROR(INDEX($Q$6:$Q$505,MATCH(347,$S$6:$S$505,0)),"")</f>
        <v/>
      </c>
      <c r="D352" s="161" t="str">
        <f>IF(C352="","",COUNTIFS(Başvuru!$C:$C,C352,Başvuru!$A:$A,"&lt;&gt;"&amp;"",Başvuru!$F:$F,"&lt;&gt;"&amp;""))</f>
        <v/>
      </c>
      <c r="E352" s="159" t="str">
        <f>IF(C352="","-",IF(D352&gt;0,TEXT(D352/(COUNTIFS(Başvuru!$A:$A,"&lt;&gt;",Başvuru!$F:$F,"&lt;&gt;")-1)*100,"0.0")&amp;"%","-"))</f>
        <v>-</v>
      </c>
      <c r="F352" s="162" t="str">
        <f>IF(C352="","",COUNTIFS(Başvuru!$C:$C,C352,Başvuru!$G:$G,"Bireysel Araştırma",Başvuru!$A:$A,"&lt;&gt;"&amp;"",Başvuru!$F:$F,"&lt;&gt;"&amp;""))</f>
        <v/>
      </c>
      <c r="G352" s="162" t="str">
        <f>IF(C352="","",COUNTIFS(Başvuru!$C:$C,C352,Başvuru!$G:$G,"Uzmanlık Tezi",Başvuru!$A:$A,"&lt;&gt;"&amp;"",Başvuru!$F:$F,"&lt;&gt;"&amp;""))</f>
        <v/>
      </c>
      <c r="H352" s="162" t="str">
        <f>IF(C352="","",COUNTIFS(Başvuru!$C:$C,C352,Başvuru!$G:$G,"Doktora Tezi",Başvuru!$A:$A,"&lt;&gt;"&amp;"",Başvuru!$F:$F,"&lt;&gt;"&amp;""))</f>
        <v/>
      </c>
      <c r="I352" s="162" t="str">
        <f>IF(C352="","",COUNTIFS(Başvuru!$C:$C,C352,Başvuru!$G:$G,"Yüksek Lisans Tezi",Başvuru!$A:$A,"&lt;&gt;"&amp;"",Başvuru!$F:$F,"&lt;&gt;"&amp;""))</f>
        <v/>
      </c>
      <c r="J352" s="163" t="str">
        <f>IF(C352="","",COUNTIFS(Başvuru!$C:$C,C352,Başvuru!$L:$L,"ONAY",Başvuru!$A:$A,"&lt;&gt;"&amp;"",Başvuru!$F:$F,"&lt;&gt;"&amp;""))</f>
        <v/>
      </c>
      <c r="K352" s="164" t="str">
        <f>IF(C352="","",COUNTIFS(Başvuru!$C:$C,C352,Başvuru!$L:$L,"DÜZELTME",Başvuru!$A:$A,"&lt;&gt;"&amp;"",Başvuru!$F:$F,"&lt;&gt;"&amp;""))</f>
        <v/>
      </c>
      <c r="L352" s="165" t="str">
        <f>IF(C352="","",COUNTIFS(Başvuru!$C:$C,C352,Başvuru!$L:$L,"KAEK",Başvuru!$A:$A,"&lt;&gt;"&amp;"",Başvuru!$F:$F,"&lt;&gt;"&amp;""))</f>
        <v/>
      </c>
      <c r="M352" s="166" t="str">
        <f>IF(C352="","",COUNTIFS(Başvuru!$C:$C,C352,Başvuru!$L:$L,"GÖRÜŞ",Başvuru!$A:$A,"&lt;&gt;"&amp;"",Başvuru!$F:$F,"&lt;&gt;"&amp;""))</f>
        <v/>
      </c>
      <c r="N352" s="167" t="str">
        <f>IF(C352="","",COUNTIFS(Başvuru!$C:$C,C352,Başvuru!$L:$L,"RET",Başvuru!$A:$A,"&lt;&gt;"&amp;"",Başvuru!$F:$F,"&lt;&gt;"&amp;""))</f>
        <v/>
      </c>
      <c r="O352" s="168" t="str">
        <f>IF(C352="","",COUNTIFS(Başvuru!$C:$C,C352,Başvuru!$L:$L,"KAPSAM DIŞI",Başvuru!$A:$A,"&lt;&gt;"&amp;"",Başvuru!$F:$F,"&lt;&gt;"&amp;""))</f>
        <v/>
      </c>
      <c r="P352" s="169" t="str">
        <f>IF(C352="","",COUNTIFS(Başvuru!$C:$C,C352,Başvuru!$L:$L,"GERİ ÇEKİLDİ",Başvuru!$A:$A,"&lt;&gt;"&amp;"",Başvuru!$F:$F,"&lt;&gt;"&amp;""))</f>
        <v/>
      </c>
      <c r="Q352" s="170" t="str">
        <f t="array" ref="Q352">IFERROR(INDEX(Başvuru!$C$2:$C$3000, MATCH(0, COUNTIF($Q$5:Q351, Başvuru!$C$2:$C$3000) + IF(Başvuru!$C$2:$C$3000="",1,0), 0)), "")</f>
        <v/>
      </c>
      <c r="R352" s="171" t="str">
        <f>IF(Q352="","",COUNTIFS(Başvuru!$C:$C,Q352,Başvuru!$A:$A,"&lt;&gt;"&amp;"",Başvuru!$F:$F,"&lt;&gt;"&amp;""))</f>
        <v/>
      </c>
      <c r="S352" s="171" t="str">
        <f>IF(R352="","",RANK(R352,$R$6:$R$505,0)+COUNTIF($R$6:R352,R352)-1)</f>
        <v/>
      </c>
    </row>
    <row r="353" spans="2:19" ht="23.25" customHeight="1" x14ac:dyDescent="0.25">
      <c r="B353" s="159">
        <v>348</v>
      </c>
      <c r="C353" s="160" t="str">
        <f>IFERROR(INDEX($Q$6:$Q$505,MATCH(348,$S$6:$S$505,0)),"")</f>
        <v/>
      </c>
      <c r="D353" s="161" t="str">
        <f>IF(C353="","",COUNTIFS(Başvuru!$C:$C,C353,Başvuru!$A:$A,"&lt;&gt;"&amp;"",Başvuru!$F:$F,"&lt;&gt;"&amp;""))</f>
        <v/>
      </c>
      <c r="E353" s="159" t="str">
        <f>IF(C353="","-",IF(D353&gt;0,TEXT(D353/(COUNTIFS(Başvuru!$A:$A,"&lt;&gt;",Başvuru!$F:$F,"&lt;&gt;")-1)*100,"0.0")&amp;"%","-"))</f>
        <v>-</v>
      </c>
      <c r="F353" s="162" t="str">
        <f>IF(C353="","",COUNTIFS(Başvuru!$C:$C,C353,Başvuru!$G:$G,"Bireysel Araştırma",Başvuru!$A:$A,"&lt;&gt;"&amp;"",Başvuru!$F:$F,"&lt;&gt;"&amp;""))</f>
        <v/>
      </c>
      <c r="G353" s="162" t="str">
        <f>IF(C353="","",COUNTIFS(Başvuru!$C:$C,C353,Başvuru!$G:$G,"Uzmanlık Tezi",Başvuru!$A:$A,"&lt;&gt;"&amp;"",Başvuru!$F:$F,"&lt;&gt;"&amp;""))</f>
        <v/>
      </c>
      <c r="H353" s="162" t="str">
        <f>IF(C353="","",COUNTIFS(Başvuru!$C:$C,C353,Başvuru!$G:$G,"Doktora Tezi",Başvuru!$A:$A,"&lt;&gt;"&amp;"",Başvuru!$F:$F,"&lt;&gt;"&amp;""))</f>
        <v/>
      </c>
      <c r="I353" s="162" t="str">
        <f>IF(C353="","",COUNTIFS(Başvuru!$C:$C,C353,Başvuru!$G:$G,"Yüksek Lisans Tezi",Başvuru!$A:$A,"&lt;&gt;"&amp;"",Başvuru!$F:$F,"&lt;&gt;"&amp;""))</f>
        <v/>
      </c>
      <c r="J353" s="163" t="str">
        <f>IF(C353="","",COUNTIFS(Başvuru!$C:$C,C353,Başvuru!$L:$L,"ONAY",Başvuru!$A:$A,"&lt;&gt;"&amp;"",Başvuru!$F:$F,"&lt;&gt;"&amp;""))</f>
        <v/>
      </c>
      <c r="K353" s="164" t="str">
        <f>IF(C353="","",COUNTIFS(Başvuru!$C:$C,C353,Başvuru!$L:$L,"DÜZELTME",Başvuru!$A:$A,"&lt;&gt;"&amp;"",Başvuru!$F:$F,"&lt;&gt;"&amp;""))</f>
        <v/>
      </c>
      <c r="L353" s="165" t="str">
        <f>IF(C353="","",COUNTIFS(Başvuru!$C:$C,C353,Başvuru!$L:$L,"KAEK",Başvuru!$A:$A,"&lt;&gt;"&amp;"",Başvuru!$F:$F,"&lt;&gt;"&amp;""))</f>
        <v/>
      </c>
      <c r="M353" s="166" t="str">
        <f>IF(C353="","",COUNTIFS(Başvuru!$C:$C,C353,Başvuru!$L:$L,"GÖRÜŞ",Başvuru!$A:$A,"&lt;&gt;"&amp;"",Başvuru!$F:$F,"&lt;&gt;"&amp;""))</f>
        <v/>
      </c>
      <c r="N353" s="167" t="str">
        <f>IF(C353="","",COUNTIFS(Başvuru!$C:$C,C353,Başvuru!$L:$L,"RET",Başvuru!$A:$A,"&lt;&gt;"&amp;"",Başvuru!$F:$F,"&lt;&gt;"&amp;""))</f>
        <v/>
      </c>
      <c r="O353" s="168" t="str">
        <f>IF(C353="","",COUNTIFS(Başvuru!$C:$C,C353,Başvuru!$L:$L,"KAPSAM DIŞI",Başvuru!$A:$A,"&lt;&gt;"&amp;"",Başvuru!$F:$F,"&lt;&gt;"&amp;""))</f>
        <v/>
      </c>
      <c r="P353" s="169" t="str">
        <f>IF(C353="","",COUNTIFS(Başvuru!$C:$C,C353,Başvuru!$L:$L,"GERİ ÇEKİLDİ",Başvuru!$A:$A,"&lt;&gt;"&amp;"",Başvuru!$F:$F,"&lt;&gt;"&amp;""))</f>
        <v/>
      </c>
      <c r="Q353" s="170" t="str">
        <f t="array" ref="Q353">IFERROR(INDEX(Başvuru!$C$2:$C$3000, MATCH(0, COUNTIF($Q$5:Q352, Başvuru!$C$2:$C$3000) + IF(Başvuru!$C$2:$C$3000="",1,0), 0)), "")</f>
        <v/>
      </c>
      <c r="R353" s="171" t="str">
        <f>IF(Q353="","",COUNTIFS(Başvuru!$C:$C,Q353,Başvuru!$A:$A,"&lt;&gt;"&amp;"",Başvuru!$F:$F,"&lt;&gt;"&amp;""))</f>
        <v/>
      </c>
      <c r="S353" s="171" t="str">
        <f>IF(R353="","",RANK(R353,$R$6:$R$505,0)+COUNTIF($R$6:R353,R353)-1)</f>
        <v/>
      </c>
    </row>
    <row r="354" spans="2:19" ht="23.25" customHeight="1" x14ac:dyDescent="0.25">
      <c r="B354" s="159">
        <v>349</v>
      </c>
      <c r="C354" s="160" t="str">
        <f>IFERROR(INDEX($Q$6:$Q$505,MATCH(349,$S$6:$S$505,0)),"")</f>
        <v/>
      </c>
      <c r="D354" s="161" t="str">
        <f>IF(C354="","",COUNTIFS(Başvuru!$C:$C,C354,Başvuru!$A:$A,"&lt;&gt;"&amp;"",Başvuru!$F:$F,"&lt;&gt;"&amp;""))</f>
        <v/>
      </c>
      <c r="E354" s="159" t="str">
        <f>IF(C354="","-",IF(D354&gt;0,TEXT(D354/(COUNTIFS(Başvuru!$A:$A,"&lt;&gt;",Başvuru!$F:$F,"&lt;&gt;")-1)*100,"0.0")&amp;"%","-"))</f>
        <v>-</v>
      </c>
      <c r="F354" s="162" t="str">
        <f>IF(C354="","",COUNTIFS(Başvuru!$C:$C,C354,Başvuru!$G:$G,"Bireysel Araştırma",Başvuru!$A:$A,"&lt;&gt;"&amp;"",Başvuru!$F:$F,"&lt;&gt;"&amp;""))</f>
        <v/>
      </c>
      <c r="G354" s="162" t="str">
        <f>IF(C354="","",COUNTIFS(Başvuru!$C:$C,C354,Başvuru!$G:$G,"Uzmanlık Tezi",Başvuru!$A:$A,"&lt;&gt;"&amp;"",Başvuru!$F:$F,"&lt;&gt;"&amp;""))</f>
        <v/>
      </c>
      <c r="H354" s="162" t="str">
        <f>IF(C354="","",COUNTIFS(Başvuru!$C:$C,C354,Başvuru!$G:$G,"Doktora Tezi",Başvuru!$A:$A,"&lt;&gt;"&amp;"",Başvuru!$F:$F,"&lt;&gt;"&amp;""))</f>
        <v/>
      </c>
      <c r="I354" s="162" t="str">
        <f>IF(C354="","",COUNTIFS(Başvuru!$C:$C,C354,Başvuru!$G:$G,"Yüksek Lisans Tezi",Başvuru!$A:$A,"&lt;&gt;"&amp;"",Başvuru!$F:$F,"&lt;&gt;"&amp;""))</f>
        <v/>
      </c>
      <c r="J354" s="163" t="str">
        <f>IF(C354="","",COUNTIFS(Başvuru!$C:$C,C354,Başvuru!$L:$L,"ONAY",Başvuru!$A:$A,"&lt;&gt;"&amp;"",Başvuru!$F:$F,"&lt;&gt;"&amp;""))</f>
        <v/>
      </c>
      <c r="K354" s="164" t="str">
        <f>IF(C354="","",COUNTIFS(Başvuru!$C:$C,C354,Başvuru!$L:$L,"DÜZELTME",Başvuru!$A:$A,"&lt;&gt;"&amp;"",Başvuru!$F:$F,"&lt;&gt;"&amp;""))</f>
        <v/>
      </c>
      <c r="L354" s="165" t="str">
        <f>IF(C354="","",COUNTIFS(Başvuru!$C:$C,C354,Başvuru!$L:$L,"KAEK",Başvuru!$A:$A,"&lt;&gt;"&amp;"",Başvuru!$F:$F,"&lt;&gt;"&amp;""))</f>
        <v/>
      </c>
      <c r="M354" s="166" t="str">
        <f>IF(C354="","",COUNTIFS(Başvuru!$C:$C,C354,Başvuru!$L:$L,"GÖRÜŞ",Başvuru!$A:$A,"&lt;&gt;"&amp;"",Başvuru!$F:$F,"&lt;&gt;"&amp;""))</f>
        <v/>
      </c>
      <c r="N354" s="167" t="str">
        <f>IF(C354="","",COUNTIFS(Başvuru!$C:$C,C354,Başvuru!$L:$L,"RET",Başvuru!$A:$A,"&lt;&gt;"&amp;"",Başvuru!$F:$F,"&lt;&gt;"&amp;""))</f>
        <v/>
      </c>
      <c r="O354" s="168" t="str">
        <f>IF(C354="","",COUNTIFS(Başvuru!$C:$C,C354,Başvuru!$L:$L,"KAPSAM DIŞI",Başvuru!$A:$A,"&lt;&gt;"&amp;"",Başvuru!$F:$F,"&lt;&gt;"&amp;""))</f>
        <v/>
      </c>
      <c r="P354" s="169" t="str">
        <f>IF(C354="","",COUNTIFS(Başvuru!$C:$C,C354,Başvuru!$L:$L,"GERİ ÇEKİLDİ",Başvuru!$A:$A,"&lt;&gt;"&amp;"",Başvuru!$F:$F,"&lt;&gt;"&amp;""))</f>
        <v/>
      </c>
      <c r="Q354" s="170" t="str">
        <f t="array" ref="Q354">IFERROR(INDEX(Başvuru!$C$2:$C$3000, MATCH(0, COUNTIF($Q$5:Q353, Başvuru!$C$2:$C$3000) + IF(Başvuru!$C$2:$C$3000="",1,0), 0)), "")</f>
        <v/>
      </c>
      <c r="R354" s="171" t="str">
        <f>IF(Q354="","",COUNTIFS(Başvuru!$C:$C,Q354,Başvuru!$A:$A,"&lt;&gt;"&amp;"",Başvuru!$F:$F,"&lt;&gt;"&amp;""))</f>
        <v/>
      </c>
      <c r="S354" s="171" t="str">
        <f>IF(R354="","",RANK(R354,$R$6:$R$505,0)+COUNTIF($R$6:R354,R354)-1)</f>
        <v/>
      </c>
    </row>
    <row r="355" spans="2:19" ht="23.25" customHeight="1" x14ac:dyDescent="0.25">
      <c r="B355" s="159">
        <v>350</v>
      </c>
      <c r="C355" s="160" t="str">
        <f>IFERROR(INDEX($Q$6:$Q$505,MATCH(350,$S$6:$S$505,0)),"")</f>
        <v/>
      </c>
      <c r="D355" s="161" t="str">
        <f>IF(C355="","",COUNTIFS(Başvuru!$C:$C,C355,Başvuru!$A:$A,"&lt;&gt;"&amp;"",Başvuru!$F:$F,"&lt;&gt;"&amp;""))</f>
        <v/>
      </c>
      <c r="E355" s="159" t="str">
        <f>IF(C355="","-",IF(D355&gt;0,TEXT(D355/(COUNTIFS(Başvuru!$A:$A,"&lt;&gt;",Başvuru!$F:$F,"&lt;&gt;")-1)*100,"0.0")&amp;"%","-"))</f>
        <v>-</v>
      </c>
      <c r="F355" s="162" t="str">
        <f>IF(C355="","",COUNTIFS(Başvuru!$C:$C,C355,Başvuru!$G:$G,"Bireysel Araştırma",Başvuru!$A:$A,"&lt;&gt;"&amp;"",Başvuru!$F:$F,"&lt;&gt;"&amp;""))</f>
        <v/>
      </c>
      <c r="G355" s="162" t="str">
        <f>IF(C355="","",COUNTIFS(Başvuru!$C:$C,C355,Başvuru!$G:$G,"Uzmanlık Tezi",Başvuru!$A:$A,"&lt;&gt;"&amp;"",Başvuru!$F:$F,"&lt;&gt;"&amp;""))</f>
        <v/>
      </c>
      <c r="H355" s="162" t="str">
        <f>IF(C355="","",COUNTIFS(Başvuru!$C:$C,C355,Başvuru!$G:$G,"Doktora Tezi",Başvuru!$A:$A,"&lt;&gt;"&amp;"",Başvuru!$F:$F,"&lt;&gt;"&amp;""))</f>
        <v/>
      </c>
      <c r="I355" s="162" t="str">
        <f>IF(C355="","",COUNTIFS(Başvuru!$C:$C,C355,Başvuru!$G:$G,"Yüksek Lisans Tezi",Başvuru!$A:$A,"&lt;&gt;"&amp;"",Başvuru!$F:$F,"&lt;&gt;"&amp;""))</f>
        <v/>
      </c>
      <c r="J355" s="163" t="str">
        <f>IF(C355="","",COUNTIFS(Başvuru!$C:$C,C355,Başvuru!$L:$L,"ONAY",Başvuru!$A:$A,"&lt;&gt;"&amp;"",Başvuru!$F:$F,"&lt;&gt;"&amp;""))</f>
        <v/>
      </c>
      <c r="K355" s="164" t="str">
        <f>IF(C355="","",COUNTIFS(Başvuru!$C:$C,C355,Başvuru!$L:$L,"DÜZELTME",Başvuru!$A:$A,"&lt;&gt;"&amp;"",Başvuru!$F:$F,"&lt;&gt;"&amp;""))</f>
        <v/>
      </c>
      <c r="L355" s="165" t="str">
        <f>IF(C355="","",COUNTIFS(Başvuru!$C:$C,C355,Başvuru!$L:$L,"KAEK",Başvuru!$A:$A,"&lt;&gt;"&amp;"",Başvuru!$F:$F,"&lt;&gt;"&amp;""))</f>
        <v/>
      </c>
      <c r="M355" s="166" t="str">
        <f>IF(C355="","",COUNTIFS(Başvuru!$C:$C,C355,Başvuru!$L:$L,"GÖRÜŞ",Başvuru!$A:$A,"&lt;&gt;"&amp;"",Başvuru!$F:$F,"&lt;&gt;"&amp;""))</f>
        <v/>
      </c>
      <c r="N355" s="167" t="str">
        <f>IF(C355="","",COUNTIFS(Başvuru!$C:$C,C355,Başvuru!$L:$L,"RET",Başvuru!$A:$A,"&lt;&gt;"&amp;"",Başvuru!$F:$F,"&lt;&gt;"&amp;""))</f>
        <v/>
      </c>
      <c r="O355" s="168" t="str">
        <f>IF(C355="","",COUNTIFS(Başvuru!$C:$C,C355,Başvuru!$L:$L,"KAPSAM DIŞI",Başvuru!$A:$A,"&lt;&gt;"&amp;"",Başvuru!$F:$F,"&lt;&gt;"&amp;""))</f>
        <v/>
      </c>
      <c r="P355" s="169" t="str">
        <f>IF(C355="","",COUNTIFS(Başvuru!$C:$C,C355,Başvuru!$L:$L,"GERİ ÇEKİLDİ",Başvuru!$A:$A,"&lt;&gt;"&amp;"",Başvuru!$F:$F,"&lt;&gt;"&amp;""))</f>
        <v/>
      </c>
      <c r="Q355" s="170" t="str">
        <f t="array" ref="Q355">IFERROR(INDEX(Başvuru!$C$2:$C$3000, MATCH(0, COUNTIF($Q$5:Q354, Başvuru!$C$2:$C$3000) + IF(Başvuru!$C$2:$C$3000="",1,0), 0)), "")</f>
        <v/>
      </c>
      <c r="R355" s="171" t="str">
        <f>IF(Q355="","",COUNTIFS(Başvuru!$C:$C,Q355,Başvuru!$A:$A,"&lt;&gt;"&amp;"",Başvuru!$F:$F,"&lt;&gt;"&amp;""))</f>
        <v/>
      </c>
      <c r="S355" s="171" t="str">
        <f>IF(R355="","",RANK(R355,$R$6:$R$505,0)+COUNTIF($R$6:R355,R355)-1)</f>
        <v/>
      </c>
    </row>
    <row r="356" spans="2:19" ht="23.25" customHeight="1" x14ac:dyDescent="0.25">
      <c r="B356" s="159">
        <v>351</v>
      </c>
      <c r="C356" s="160" t="str">
        <f>IFERROR(INDEX($Q$6:$Q$505,MATCH(351,$S$6:$S$505,0)),"")</f>
        <v/>
      </c>
      <c r="D356" s="161" t="str">
        <f>IF(C356="","",COUNTIFS(Başvuru!$C:$C,C356,Başvuru!$A:$A,"&lt;&gt;"&amp;"",Başvuru!$F:$F,"&lt;&gt;"&amp;""))</f>
        <v/>
      </c>
      <c r="E356" s="159" t="str">
        <f>IF(C356="","-",IF(D356&gt;0,TEXT(D356/(COUNTIFS(Başvuru!$A:$A,"&lt;&gt;",Başvuru!$F:$F,"&lt;&gt;")-1)*100,"0.0")&amp;"%","-"))</f>
        <v>-</v>
      </c>
      <c r="F356" s="162" t="str">
        <f>IF(C356="","",COUNTIFS(Başvuru!$C:$C,C356,Başvuru!$G:$G,"Bireysel Araştırma",Başvuru!$A:$A,"&lt;&gt;"&amp;"",Başvuru!$F:$F,"&lt;&gt;"&amp;""))</f>
        <v/>
      </c>
      <c r="G356" s="162" t="str">
        <f>IF(C356="","",COUNTIFS(Başvuru!$C:$C,C356,Başvuru!$G:$G,"Uzmanlık Tezi",Başvuru!$A:$A,"&lt;&gt;"&amp;"",Başvuru!$F:$F,"&lt;&gt;"&amp;""))</f>
        <v/>
      </c>
      <c r="H356" s="162" t="str">
        <f>IF(C356="","",COUNTIFS(Başvuru!$C:$C,C356,Başvuru!$G:$G,"Doktora Tezi",Başvuru!$A:$A,"&lt;&gt;"&amp;"",Başvuru!$F:$F,"&lt;&gt;"&amp;""))</f>
        <v/>
      </c>
      <c r="I356" s="162" t="str">
        <f>IF(C356="","",COUNTIFS(Başvuru!$C:$C,C356,Başvuru!$G:$G,"Yüksek Lisans Tezi",Başvuru!$A:$A,"&lt;&gt;"&amp;"",Başvuru!$F:$F,"&lt;&gt;"&amp;""))</f>
        <v/>
      </c>
      <c r="J356" s="163" t="str">
        <f>IF(C356="","",COUNTIFS(Başvuru!$C:$C,C356,Başvuru!$L:$L,"ONAY",Başvuru!$A:$A,"&lt;&gt;"&amp;"",Başvuru!$F:$F,"&lt;&gt;"&amp;""))</f>
        <v/>
      </c>
      <c r="K356" s="164" t="str">
        <f>IF(C356="","",COUNTIFS(Başvuru!$C:$C,C356,Başvuru!$L:$L,"DÜZELTME",Başvuru!$A:$A,"&lt;&gt;"&amp;"",Başvuru!$F:$F,"&lt;&gt;"&amp;""))</f>
        <v/>
      </c>
      <c r="L356" s="165" t="str">
        <f>IF(C356="","",COUNTIFS(Başvuru!$C:$C,C356,Başvuru!$L:$L,"KAEK",Başvuru!$A:$A,"&lt;&gt;"&amp;"",Başvuru!$F:$F,"&lt;&gt;"&amp;""))</f>
        <v/>
      </c>
      <c r="M356" s="166" t="str">
        <f>IF(C356="","",COUNTIFS(Başvuru!$C:$C,C356,Başvuru!$L:$L,"GÖRÜŞ",Başvuru!$A:$A,"&lt;&gt;"&amp;"",Başvuru!$F:$F,"&lt;&gt;"&amp;""))</f>
        <v/>
      </c>
      <c r="N356" s="167" t="str">
        <f>IF(C356="","",COUNTIFS(Başvuru!$C:$C,C356,Başvuru!$L:$L,"RET",Başvuru!$A:$A,"&lt;&gt;"&amp;"",Başvuru!$F:$F,"&lt;&gt;"&amp;""))</f>
        <v/>
      </c>
      <c r="O356" s="168" t="str">
        <f>IF(C356="","",COUNTIFS(Başvuru!$C:$C,C356,Başvuru!$L:$L,"KAPSAM DIŞI",Başvuru!$A:$A,"&lt;&gt;"&amp;"",Başvuru!$F:$F,"&lt;&gt;"&amp;""))</f>
        <v/>
      </c>
      <c r="P356" s="169" t="str">
        <f>IF(C356="","",COUNTIFS(Başvuru!$C:$C,C356,Başvuru!$L:$L,"GERİ ÇEKİLDİ",Başvuru!$A:$A,"&lt;&gt;"&amp;"",Başvuru!$F:$F,"&lt;&gt;"&amp;""))</f>
        <v/>
      </c>
      <c r="Q356" s="170" t="str">
        <f t="array" ref="Q356">IFERROR(INDEX(Başvuru!$C$2:$C$3000, MATCH(0, COUNTIF($Q$5:Q355, Başvuru!$C$2:$C$3000) + IF(Başvuru!$C$2:$C$3000="",1,0), 0)), "")</f>
        <v/>
      </c>
      <c r="R356" s="171" t="str">
        <f>IF(Q356="","",COUNTIFS(Başvuru!$C:$C,Q356,Başvuru!$A:$A,"&lt;&gt;"&amp;"",Başvuru!$F:$F,"&lt;&gt;"&amp;""))</f>
        <v/>
      </c>
      <c r="S356" s="171" t="str">
        <f>IF(R356="","",RANK(R356,$R$6:$R$505,0)+COUNTIF($R$6:R356,R356)-1)</f>
        <v/>
      </c>
    </row>
    <row r="357" spans="2:19" ht="23.25" customHeight="1" x14ac:dyDescent="0.25">
      <c r="B357" s="159">
        <v>352</v>
      </c>
      <c r="C357" s="160" t="str">
        <f>IFERROR(INDEX($Q$6:$Q$505,MATCH(352,$S$6:$S$505,0)),"")</f>
        <v/>
      </c>
      <c r="D357" s="161" t="str">
        <f>IF(C357="","",COUNTIFS(Başvuru!$C:$C,C357,Başvuru!$A:$A,"&lt;&gt;"&amp;"",Başvuru!$F:$F,"&lt;&gt;"&amp;""))</f>
        <v/>
      </c>
      <c r="E357" s="159" t="str">
        <f>IF(C357="","-",IF(D357&gt;0,TEXT(D357/(COUNTIFS(Başvuru!$A:$A,"&lt;&gt;",Başvuru!$F:$F,"&lt;&gt;")-1)*100,"0.0")&amp;"%","-"))</f>
        <v>-</v>
      </c>
      <c r="F357" s="162" t="str">
        <f>IF(C357="","",COUNTIFS(Başvuru!$C:$C,C357,Başvuru!$G:$G,"Bireysel Araştırma",Başvuru!$A:$A,"&lt;&gt;"&amp;"",Başvuru!$F:$F,"&lt;&gt;"&amp;""))</f>
        <v/>
      </c>
      <c r="G357" s="162" t="str">
        <f>IF(C357="","",COUNTIFS(Başvuru!$C:$C,C357,Başvuru!$G:$G,"Uzmanlık Tezi",Başvuru!$A:$A,"&lt;&gt;"&amp;"",Başvuru!$F:$F,"&lt;&gt;"&amp;""))</f>
        <v/>
      </c>
      <c r="H357" s="162" t="str">
        <f>IF(C357="","",COUNTIFS(Başvuru!$C:$C,C357,Başvuru!$G:$G,"Doktora Tezi",Başvuru!$A:$A,"&lt;&gt;"&amp;"",Başvuru!$F:$F,"&lt;&gt;"&amp;""))</f>
        <v/>
      </c>
      <c r="I357" s="162" t="str">
        <f>IF(C357="","",COUNTIFS(Başvuru!$C:$C,C357,Başvuru!$G:$G,"Yüksek Lisans Tezi",Başvuru!$A:$A,"&lt;&gt;"&amp;"",Başvuru!$F:$F,"&lt;&gt;"&amp;""))</f>
        <v/>
      </c>
      <c r="J357" s="163" t="str">
        <f>IF(C357="","",COUNTIFS(Başvuru!$C:$C,C357,Başvuru!$L:$L,"ONAY",Başvuru!$A:$A,"&lt;&gt;"&amp;"",Başvuru!$F:$F,"&lt;&gt;"&amp;""))</f>
        <v/>
      </c>
      <c r="K357" s="164" t="str">
        <f>IF(C357="","",COUNTIFS(Başvuru!$C:$C,C357,Başvuru!$L:$L,"DÜZELTME",Başvuru!$A:$A,"&lt;&gt;"&amp;"",Başvuru!$F:$F,"&lt;&gt;"&amp;""))</f>
        <v/>
      </c>
      <c r="L357" s="165" t="str">
        <f>IF(C357="","",COUNTIFS(Başvuru!$C:$C,C357,Başvuru!$L:$L,"KAEK",Başvuru!$A:$A,"&lt;&gt;"&amp;"",Başvuru!$F:$F,"&lt;&gt;"&amp;""))</f>
        <v/>
      </c>
      <c r="M357" s="166" t="str">
        <f>IF(C357="","",COUNTIFS(Başvuru!$C:$C,C357,Başvuru!$L:$L,"GÖRÜŞ",Başvuru!$A:$A,"&lt;&gt;"&amp;"",Başvuru!$F:$F,"&lt;&gt;"&amp;""))</f>
        <v/>
      </c>
      <c r="N357" s="167" t="str">
        <f>IF(C357="","",COUNTIFS(Başvuru!$C:$C,C357,Başvuru!$L:$L,"RET",Başvuru!$A:$A,"&lt;&gt;"&amp;"",Başvuru!$F:$F,"&lt;&gt;"&amp;""))</f>
        <v/>
      </c>
      <c r="O357" s="168" t="str">
        <f>IF(C357="","",COUNTIFS(Başvuru!$C:$C,C357,Başvuru!$L:$L,"KAPSAM DIŞI",Başvuru!$A:$A,"&lt;&gt;"&amp;"",Başvuru!$F:$F,"&lt;&gt;"&amp;""))</f>
        <v/>
      </c>
      <c r="P357" s="169" t="str">
        <f>IF(C357="","",COUNTIFS(Başvuru!$C:$C,C357,Başvuru!$L:$L,"GERİ ÇEKİLDİ",Başvuru!$A:$A,"&lt;&gt;"&amp;"",Başvuru!$F:$F,"&lt;&gt;"&amp;""))</f>
        <v/>
      </c>
      <c r="Q357" s="170" t="str">
        <f t="array" ref="Q357">IFERROR(INDEX(Başvuru!$C$2:$C$3000, MATCH(0, COUNTIF($Q$5:Q356, Başvuru!$C$2:$C$3000) + IF(Başvuru!$C$2:$C$3000="",1,0), 0)), "")</f>
        <v/>
      </c>
      <c r="R357" s="171" t="str">
        <f>IF(Q357="","",COUNTIFS(Başvuru!$C:$C,Q357,Başvuru!$A:$A,"&lt;&gt;"&amp;"",Başvuru!$F:$F,"&lt;&gt;"&amp;""))</f>
        <v/>
      </c>
      <c r="S357" s="171" t="str">
        <f>IF(R357="","",RANK(R357,$R$6:$R$505,0)+COUNTIF($R$6:R357,R357)-1)</f>
        <v/>
      </c>
    </row>
    <row r="358" spans="2:19" ht="23.25" customHeight="1" x14ac:dyDescent="0.25">
      <c r="B358" s="159">
        <v>353</v>
      </c>
      <c r="C358" s="160" t="str">
        <f>IFERROR(INDEX($Q$6:$Q$505,MATCH(353,$S$6:$S$505,0)),"")</f>
        <v/>
      </c>
      <c r="D358" s="161" t="str">
        <f>IF(C358="","",COUNTIFS(Başvuru!$C:$C,C358,Başvuru!$A:$A,"&lt;&gt;"&amp;"",Başvuru!$F:$F,"&lt;&gt;"&amp;""))</f>
        <v/>
      </c>
      <c r="E358" s="159" t="str">
        <f>IF(C358="","-",IF(D358&gt;0,TEXT(D358/(COUNTIFS(Başvuru!$A:$A,"&lt;&gt;",Başvuru!$F:$F,"&lt;&gt;")-1)*100,"0.0")&amp;"%","-"))</f>
        <v>-</v>
      </c>
      <c r="F358" s="162" t="str">
        <f>IF(C358="","",COUNTIFS(Başvuru!$C:$C,C358,Başvuru!$G:$G,"Bireysel Araştırma",Başvuru!$A:$A,"&lt;&gt;"&amp;"",Başvuru!$F:$F,"&lt;&gt;"&amp;""))</f>
        <v/>
      </c>
      <c r="G358" s="162" t="str">
        <f>IF(C358="","",COUNTIFS(Başvuru!$C:$C,C358,Başvuru!$G:$G,"Uzmanlık Tezi",Başvuru!$A:$A,"&lt;&gt;"&amp;"",Başvuru!$F:$F,"&lt;&gt;"&amp;""))</f>
        <v/>
      </c>
      <c r="H358" s="162" t="str">
        <f>IF(C358="","",COUNTIFS(Başvuru!$C:$C,C358,Başvuru!$G:$G,"Doktora Tezi",Başvuru!$A:$A,"&lt;&gt;"&amp;"",Başvuru!$F:$F,"&lt;&gt;"&amp;""))</f>
        <v/>
      </c>
      <c r="I358" s="162" t="str">
        <f>IF(C358="","",COUNTIFS(Başvuru!$C:$C,C358,Başvuru!$G:$G,"Yüksek Lisans Tezi",Başvuru!$A:$A,"&lt;&gt;"&amp;"",Başvuru!$F:$F,"&lt;&gt;"&amp;""))</f>
        <v/>
      </c>
      <c r="J358" s="163" t="str">
        <f>IF(C358="","",COUNTIFS(Başvuru!$C:$C,C358,Başvuru!$L:$L,"ONAY",Başvuru!$A:$A,"&lt;&gt;"&amp;"",Başvuru!$F:$F,"&lt;&gt;"&amp;""))</f>
        <v/>
      </c>
      <c r="K358" s="164" t="str">
        <f>IF(C358="","",COUNTIFS(Başvuru!$C:$C,C358,Başvuru!$L:$L,"DÜZELTME",Başvuru!$A:$A,"&lt;&gt;"&amp;"",Başvuru!$F:$F,"&lt;&gt;"&amp;""))</f>
        <v/>
      </c>
      <c r="L358" s="165" t="str">
        <f>IF(C358="","",COUNTIFS(Başvuru!$C:$C,C358,Başvuru!$L:$L,"KAEK",Başvuru!$A:$A,"&lt;&gt;"&amp;"",Başvuru!$F:$F,"&lt;&gt;"&amp;""))</f>
        <v/>
      </c>
      <c r="M358" s="166" t="str">
        <f>IF(C358="","",COUNTIFS(Başvuru!$C:$C,C358,Başvuru!$L:$L,"GÖRÜŞ",Başvuru!$A:$A,"&lt;&gt;"&amp;"",Başvuru!$F:$F,"&lt;&gt;"&amp;""))</f>
        <v/>
      </c>
      <c r="N358" s="167" t="str">
        <f>IF(C358="","",COUNTIFS(Başvuru!$C:$C,C358,Başvuru!$L:$L,"RET",Başvuru!$A:$A,"&lt;&gt;"&amp;"",Başvuru!$F:$F,"&lt;&gt;"&amp;""))</f>
        <v/>
      </c>
      <c r="O358" s="168" t="str">
        <f>IF(C358="","",COUNTIFS(Başvuru!$C:$C,C358,Başvuru!$L:$L,"KAPSAM DIŞI",Başvuru!$A:$A,"&lt;&gt;"&amp;"",Başvuru!$F:$F,"&lt;&gt;"&amp;""))</f>
        <v/>
      </c>
      <c r="P358" s="169" t="str">
        <f>IF(C358="","",COUNTIFS(Başvuru!$C:$C,C358,Başvuru!$L:$L,"GERİ ÇEKİLDİ",Başvuru!$A:$A,"&lt;&gt;"&amp;"",Başvuru!$F:$F,"&lt;&gt;"&amp;""))</f>
        <v/>
      </c>
      <c r="Q358" s="170" t="str">
        <f t="array" ref="Q358">IFERROR(INDEX(Başvuru!$C$2:$C$3000, MATCH(0, COUNTIF($Q$5:Q357, Başvuru!$C$2:$C$3000) + IF(Başvuru!$C$2:$C$3000="",1,0), 0)), "")</f>
        <v/>
      </c>
      <c r="R358" s="171" t="str">
        <f>IF(Q358="","",COUNTIFS(Başvuru!$C:$C,Q358,Başvuru!$A:$A,"&lt;&gt;"&amp;"",Başvuru!$F:$F,"&lt;&gt;"&amp;""))</f>
        <v/>
      </c>
      <c r="S358" s="171" t="str">
        <f>IF(R358="","",RANK(R358,$R$6:$R$505,0)+COUNTIF($R$6:R358,R358)-1)</f>
        <v/>
      </c>
    </row>
    <row r="359" spans="2:19" ht="23.25" customHeight="1" x14ac:dyDescent="0.25">
      <c r="B359" s="159">
        <v>354</v>
      </c>
      <c r="C359" s="160" t="str">
        <f>IFERROR(INDEX($Q$6:$Q$505,MATCH(354,$S$6:$S$505,0)),"")</f>
        <v/>
      </c>
      <c r="D359" s="161" t="str">
        <f>IF(C359="","",COUNTIFS(Başvuru!$C:$C,C359,Başvuru!$A:$A,"&lt;&gt;"&amp;"",Başvuru!$F:$F,"&lt;&gt;"&amp;""))</f>
        <v/>
      </c>
      <c r="E359" s="159" t="str">
        <f>IF(C359="","-",IF(D359&gt;0,TEXT(D359/(COUNTIFS(Başvuru!$A:$A,"&lt;&gt;",Başvuru!$F:$F,"&lt;&gt;")-1)*100,"0.0")&amp;"%","-"))</f>
        <v>-</v>
      </c>
      <c r="F359" s="162" t="str">
        <f>IF(C359="","",COUNTIFS(Başvuru!$C:$C,C359,Başvuru!$G:$G,"Bireysel Araştırma",Başvuru!$A:$A,"&lt;&gt;"&amp;"",Başvuru!$F:$F,"&lt;&gt;"&amp;""))</f>
        <v/>
      </c>
      <c r="G359" s="162" t="str">
        <f>IF(C359="","",COUNTIFS(Başvuru!$C:$C,C359,Başvuru!$G:$G,"Uzmanlık Tezi",Başvuru!$A:$A,"&lt;&gt;"&amp;"",Başvuru!$F:$F,"&lt;&gt;"&amp;""))</f>
        <v/>
      </c>
      <c r="H359" s="162" t="str">
        <f>IF(C359="","",COUNTIFS(Başvuru!$C:$C,C359,Başvuru!$G:$G,"Doktora Tezi",Başvuru!$A:$A,"&lt;&gt;"&amp;"",Başvuru!$F:$F,"&lt;&gt;"&amp;""))</f>
        <v/>
      </c>
      <c r="I359" s="162" t="str">
        <f>IF(C359="","",COUNTIFS(Başvuru!$C:$C,C359,Başvuru!$G:$G,"Yüksek Lisans Tezi",Başvuru!$A:$A,"&lt;&gt;"&amp;"",Başvuru!$F:$F,"&lt;&gt;"&amp;""))</f>
        <v/>
      </c>
      <c r="J359" s="163" t="str">
        <f>IF(C359="","",COUNTIFS(Başvuru!$C:$C,C359,Başvuru!$L:$L,"ONAY",Başvuru!$A:$A,"&lt;&gt;"&amp;"",Başvuru!$F:$F,"&lt;&gt;"&amp;""))</f>
        <v/>
      </c>
      <c r="K359" s="164" t="str">
        <f>IF(C359="","",COUNTIFS(Başvuru!$C:$C,C359,Başvuru!$L:$L,"DÜZELTME",Başvuru!$A:$A,"&lt;&gt;"&amp;"",Başvuru!$F:$F,"&lt;&gt;"&amp;""))</f>
        <v/>
      </c>
      <c r="L359" s="165" t="str">
        <f>IF(C359="","",COUNTIFS(Başvuru!$C:$C,C359,Başvuru!$L:$L,"KAEK",Başvuru!$A:$A,"&lt;&gt;"&amp;"",Başvuru!$F:$F,"&lt;&gt;"&amp;""))</f>
        <v/>
      </c>
      <c r="M359" s="166" t="str">
        <f>IF(C359="","",COUNTIFS(Başvuru!$C:$C,C359,Başvuru!$L:$L,"GÖRÜŞ",Başvuru!$A:$A,"&lt;&gt;"&amp;"",Başvuru!$F:$F,"&lt;&gt;"&amp;""))</f>
        <v/>
      </c>
      <c r="N359" s="167" t="str">
        <f>IF(C359="","",COUNTIFS(Başvuru!$C:$C,C359,Başvuru!$L:$L,"RET",Başvuru!$A:$A,"&lt;&gt;"&amp;"",Başvuru!$F:$F,"&lt;&gt;"&amp;""))</f>
        <v/>
      </c>
      <c r="O359" s="168" t="str">
        <f>IF(C359="","",COUNTIFS(Başvuru!$C:$C,C359,Başvuru!$L:$L,"KAPSAM DIŞI",Başvuru!$A:$A,"&lt;&gt;"&amp;"",Başvuru!$F:$F,"&lt;&gt;"&amp;""))</f>
        <v/>
      </c>
      <c r="P359" s="169" t="str">
        <f>IF(C359="","",COUNTIFS(Başvuru!$C:$C,C359,Başvuru!$L:$L,"GERİ ÇEKİLDİ",Başvuru!$A:$A,"&lt;&gt;"&amp;"",Başvuru!$F:$F,"&lt;&gt;"&amp;""))</f>
        <v/>
      </c>
      <c r="Q359" s="170" t="str">
        <f t="array" ref="Q359">IFERROR(INDEX(Başvuru!$C$2:$C$3000, MATCH(0, COUNTIF($Q$5:Q358, Başvuru!$C$2:$C$3000) + IF(Başvuru!$C$2:$C$3000="",1,0), 0)), "")</f>
        <v/>
      </c>
      <c r="R359" s="171" t="str">
        <f>IF(Q359="","",COUNTIFS(Başvuru!$C:$C,Q359,Başvuru!$A:$A,"&lt;&gt;"&amp;"",Başvuru!$F:$F,"&lt;&gt;"&amp;""))</f>
        <v/>
      </c>
      <c r="S359" s="171" t="str">
        <f>IF(R359="","",RANK(R359,$R$6:$R$505,0)+COUNTIF($R$6:R359,R359)-1)</f>
        <v/>
      </c>
    </row>
    <row r="360" spans="2:19" ht="23.25" customHeight="1" x14ac:dyDescent="0.25">
      <c r="B360" s="159">
        <v>355</v>
      </c>
      <c r="C360" s="160" t="str">
        <f>IFERROR(INDEX($Q$6:$Q$505,MATCH(355,$S$6:$S$505,0)),"")</f>
        <v/>
      </c>
      <c r="D360" s="161" t="str">
        <f>IF(C360="","",COUNTIFS(Başvuru!$C:$C,C360,Başvuru!$A:$A,"&lt;&gt;"&amp;"",Başvuru!$F:$F,"&lt;&gt;"&amp;""))</f>
        <v/>
      </c>
      <c r="E360" s="159" t="str">
        <f>IF(C360="","-",IF(D360&gt;0,TEXT(D360/(COUNTIFS(Başvuru!$A:$A,"&lt;&gt;",Başvuru!$F:$F,"&lt;&gt;")-1)*100,"0.0")&amp;"%","-"))</f>
        <v>-</v>
      </c>
      <c r="F360" s="162" t="str">
        <f>IF(C360="","",COUNTIFS(Başvuru!$C:$C,C360,Başvuru!$G:$G,"Bireysel Araştırma",Başvuru!$A:$A,"&lt;&gt;"&amp;"",Başvuru!$F:$F,"&lt;&gt;"&amp;""))</f>
        <v/>
      </c>
      <c r="G360" s="162" t="str">
        <f>IF(C360="","",COUNTIFS(Başvuru!$C:$C,C360,Başvuru!$G:$G,"Uzmanlık Tezi",Başvuru!$A:$A,"&lt;&gt;"&amp;"",Başvuru!$F:$F,"&lt;&gt;"&amp;""))</f>
        <v/>
      </c>
      <c r="H360" s="162" t="str">
        <f>IF(C360="","",COUNTIFS(Başvuru!$C:$C,C360,Başvuru!$G:$G,"Doktora Tezi",Başvuru!$A:$A,"&lt;&gt;"&amp;"",Başvuru!$F:$F,"&lt;&gt;"&amp;""))</f>
        <v/>
      </c>
      <c r="I360" s="162" t="str">
        <f>IF(C360="","",COUNTIFS(Başvuru!$C:$C,C360,Başvuru!$G:$G,"Yüksek Lisans Tezi",Başvuru!$A:$A,"&lt;&gt;"&amp;"",Başvuru!$F:$F,"&lt;&gt;"&amp;""))</f>
        <v/>
      </c>
      <c r="J360" s="163" t="str">
        <f>IF(C360="","",COUNTIFS(Başvuru!$C:$C,C360,Başvuru!$L:$L,"ONAY",Başvuru!$A:$A,"&lt;&gt;"&amp;"",Başvuru!$F:$F,"&lt;&gt;"&amp;""))</f>
        <v/>
      </c>
      <c r="K360" s="164" t="str">
        <f>IF(C360="","",COUNTIFS(Başvuru!$C:$C,C360,Başvuru!$L:$L,"DÜZELTME",Başvuru!$A:$A,"&lt;&gt;"&amp;"",Başvuru!$F:$F,"&lt;&gt;"&amp;""))</f>
        <v/>
      </c>
      <c r="L360" s="165" t="str">
        <f>IF(C360="","",COUNTIFS(Başvuru!$C:$C,C360,Başvuru!$L:$L,"KAEK",Başvuru!$A:$A,"&lt;&gt;"&amp;"",Başvuru!$F:$F,"&lt;&gt;"&amp;""))</f>
        <v/>
      </c>
      <c r="M360" s="166" t="str">
        <f>IF(C360="","",COUNTIFS(Başvuru!$C:$C,C360,Başvuru!$L:$L,"GÖRÜŞ",Başvuru!$A:$A,"&lt;&gt;"&amp;"",Başvuru!$F:$F,"&lt;&gt;"&amp;""))</f>
        <v/>
      </c>
      <c r="N360" s="167" t="str">
        <f>IF(C360="","",COUNTIFS(Başvuru!$C:$C,C360,Başvuru!$L:$L,"RET",Başvuru!$A:$A,"&lt;&gt;"&amp;"",Başvuru!$F:$F,"&lt;&gt;"&amp;""))</f>
        <v/>
      </c>
      <c r="O360" s="168" t="str">
        <f>IF(C360="","",COUNTIFS(Başvuru!$C:$C,C360,Başvuru!$L:$L,"KAPSAM DIŞI",Başvuru!$A:$A,"&lt;&gt;"&amp;"",Başvuru!$F:$F,"&lt;&gt;"&amp;""))</f>
        <v/>
      </c>
      <c r="P360" s="169" t="str">
        <f>IF(C360="","",COUNTIFS(Başvuru!$C:$C,C360,Başvuru!$L:$L,"GERİ ÇEKİLDİ",Başvuru!$A:$A,"&lt;&gt;"&amp;"",Başvuru!$F:$F,"&lt;&gt;"&amp;""))</f>
        <v/>
      </c>
      <c r="Q360" s="170" t="str">
        <f t="array" ref="Q360">IFERROR(INDEX(Başvuru!$C$2:$C$3000, MATCH(0, COUNTIF($Q$5:Q359, Başvuru!$C$2:$C$3000) + IF(Başvuru!$C$2:$C$3000="",1,0), 0)), "")</f>
        <v/>
      </c>
      <c r="R360" s="171" t="str">
        <f>IF(Q360="","",COUNTIFS(Başvuru!$C:$C,Q360,Başvuru!$A:$A,"&lt;&gt;"&amp;"",Başvuru!$F:$F,"&lt;&gt;"&amp;""))</f>
        <v/>
      </c>
      <c r="S360" s="171" t="str">
        <f>IF(R360="","",RANK(R360,$R$6:$R$505,0)+COUNTIF($R$6:R360,R360)-1)</f>
        <v/>
      </c>
    </row>
    <row r="361" spans="2:19" ht="23.25" customHeight="1" x14ac:dyDescent="0.25">
      <c r="B361" s="159">
        <v>356</v>
      </c>
      <c r="C361" s="160" t="str">
        <f>IFERROR(INDEX($Q$6:$Q$505,MATCH(356,$S$6:$S$505,0)),"")</f>
        <v/>
      </c>
      <c r="D361" s="161" t="str">
        <f>IF(C361="","",COUNTIFS(Başvuru!$C:$C,C361,Başvuru!$A:$A,"&lt;&gt;"&amp;"",Başvuru!$F:$F,"&lt;&gt;"&amp;""))</f>
        <v/>
      </c>
      <c r="E361" s="159" t="str">
        <f>IF(C361="","-",IF(D361&gt;0,TEXT(D361/(COUNTIFS(Başvuru!$A:$A,"&lt;&gt;",Başvuru!$F:$F,"&lt;&gt;")-1)*100,"0.0")&amp;"%","-"))</f>
        <v>-</v>
      </c>
      <c r="F361" s="162" t="str">
        <f>IF(C361="","",COUNTIFS(Başvuru!$C:$C,C361,Başvuru!$G:$G,"Bireysel Araştırma",Başvuru!$A:$A,"&lt;&gt;"&amp;"",Başvuru!$F:$F,"&lt;&gt;"&amp;""))</f>
        <v/>
      </c>
      <c r="G361" s="162" t="str">
        <f>IF(C361="","",COUNTIFS(Başvuru!$C:$C,C361,Başvuru!$G:$G,"Uzmanlık Tezi",Başvuru!$A:$A,"&lt;&gt;"&amp;"",Başvuru!$F:$F,"&lt;&gt;"&amp;""))</f>
        <v/>
      </c>
      <c r="H361" s="162" t="str">
        <f>IF(C361="","",COUNTIFS(Başvuru!$C:$C,C361,Başvuru!$G:$G,"Doktora Tezi",Başvuru!$A:$A,"&lt;&gt;"&amp;"",Başvuru!$F:$F,"&lt;&gt;"&amp;""))</f>
        <v/>
      </c>
      <c r="I361" s="162" t="str">
        <f>IF(C361="","",COUNTIFS(Başvuru!$C:$C,C361,Başvuru!$G:$G,"Yüksek Lisans Tezi",Başvuru!$A:$A,"&lt;&gt;"&amp;"",Başvuru!$F:$F,"&lt;&gt;"&amp;""))</f>
        <v/>
      </c>
      <c r="J361" s="163" t="str">
        <f>IF(C361="","",COUNTIFS(Başvuru!$C:$C,C361,Başvuru!$L:$L,"ONAY",Başvuru!$A:$A,"&lt;&gt;"&amp;"",Başvuru!$F:$F,"&lt;&gt;"&amp;""))</f>
        <v/>
      </c>
      <c r="K361" s="164" t="str">
        <f>IF(C361="","",COUNTIFS(Başvuru!$C:$C,C361,Başvuru!$L:$L,"DÜZELTME",Başvuru!$A:$A,"&lt;&gt;"&amp;"",Başvuru!$F:$F,"&lt;&gt;"&amp;""))</f>
        <v/>
      </c>
      <c r="L361" s="165" t="str">
        <f>IF(C361="","",COUNTIFS(Başvuru!$C:$C,C361,Başvuru!$L:$L,"KAEK",Başvuru!$A:$A,"&lt;&gt;"&amp;"",Başvuru!$F:$F,"&lt;&gt;"&amp;""))</f>
        <v/>
      </c>
      <c r="M361" s="166" t="str">
        <f>IF(C361="","",COUNTIFS(Başvuru!$C:$C,C361,Başvuru!$L:$L,"GÖRÜŞ",Başvuru!$A:$A,"&lt;&gt;"&amp;"",Başvuru!$F:$F,"&lt;&gt;"&amp;""))</f>
        <v/>
      </c>
      <c r="N361" s="167" t="str">
        <f>IF(C361="","",COUNTIFS(Başvuru!$C:$C,C361,Başvuru!$L:$L,"RET",Başvuru!$A:$A,"&lt;&gt;"&amp;"",Başvuru!$F:$F,"&lt;&gt;"&amp;""))</f>
        <v/>
      </c>
      <c r="O361" s="168" t="str">
        <f>IF(C361="","",COUNTIFS(Başvuru!$C:$C,C361,Başvuru!$L:$L,"KAPSAM DIŞI",Başvuru!$A:$A,"&lt;&gt;"&amp;"",Başvuru!$F:$F,"&lt;&gt;"&amp;""))</f>
        <v/>
      </c>
      <c r="P361" s="169" t="str">
        <f>IF(C361="","",COUNTIFS(Başvuru!$C:$C,C361,Başvuru!$L:$L,"GERİ ÇEKİLDİ",Başvuru!$A:$A,"&lt;&gt;"&amp;"",Başvuru!$F:$F,"&lt;&gt;"&amp;""))</f>
        <v/>
      </c>
      <c r="Q361" s="170" t="str">
        <f t="array" ref="Q361">IFERROR(INDEX(Başvuru!$C$2:$C$3000, MATCH(0, COUNTIF($Q$5:Q360, Başvuru!$C$2:$C$3000) + IF(Başvuru!$C$2:$C$3000="",1,0), 0)), "")</f>
        <v/>
      </c>
      <c r="R361" s="171" t="str">
        <f>IF(Q361="","",COUNTIFS(Başvuru!$C:$C,Q361,Başvuru!$A:$A,"&lt;&gt;"&amp;"",Başvuru!$F:$F,"&lt;&gt;"&amp;""))</f>
        <v/>
      </c>
      <c r="S361" s="171" t="str">
        <f>IF(R361="","",RANK(R361,$R$6:$R$505,0)+COUNTIF($R$6:R361,R361)-1)</f>
        <v/>
      </c>
    </row>
    <row r="362" spans="2:19" ht="23.25" customHeight="1" x14ac:dyDescent="0.25">
      <c r="B362" s="159">
        <v>357</v>
      </c>
      <c r="C362" s="160" t="str">
        <f>IFERROR(INDEX($Q$6:$Q$505,MATCH(357,$S$6:$S$505,0)),"")</f>
        <v/>
      </c>
      <c r="D362" s="161" t="str">
        <f>IF(C362="","",COUNTIFS(Başvuru!$C:$C,C362,Başvuru!$A:$A,"&lt;&gt;"&amp;"",Başvuru!$F:$F,"&lt;&gt;"&amp;""))</f>
        <v/>
      </c>
      <c r="E362" s="159" t="str">
        <f>IF(C362="","-",IF(D362&gt;0,TEXT(D362/(COUNTIFS(Başvuru!$A:$A,"&lt;&gt;",Başvuru!$F:$F,"&lt;&gt;")-1)*100,"0.0")&amp;"%","-"))</f>
        <v>-</v>
      </c>
      <c r="F362" s="162" t="str">
        <f>IF(C362="","",COUNTIFS(Başvuru!$C:$C,C362,Başvuru!$G:$G,"Bireysel Araştırma",Başvuru!$A:$A,"&lt;&gt;"&amp;"",Başvuru!$F:$F,"&lt;&gt;"&amp;""))</f>
        <v/>
      </c>
      <c r="G362" s="162" t="str">
        <f>IF(C362="","",COUNTIFS(Başvuru!$C:$C,C362,Başvuru!$G:$G,"Uzmanlık Tezi",Başvuru!$A:$A,"&lt;&gt;"&amp;"",Başvuru!$F:$F,"&lt;&gt;"&amp;""))</f>
        <v/>
      </c>
      <c r="H362" s="162" t="str">
        <f>IF(C362="","",COUNTIFS(Başvuru!$C:$C,C362,Başvuru!$G:$G,"Doktora Tezi",Başvuru!$A:$A,"&lt;&gt;"&amp;"",Başvuru!$F:$F,"&lt;&gt;"&amp;""))</f>
        <v/>
      </c>
      <c r="I362" s="162" t="str">
        <f>IF(C362="","",COUNTIFS(Başvuru!$C:$C,C362,Başvuru!$G:$G,"Yüksek Lisans Tezi",Başvuru!$A:$A,"&lt;&gt;"&amp;"",Başvuru!$F:$F,"&lt;&gt;"&amp;""))</f>
        <v/>
      </c>
      <c r="J362" s="163" t="str">
        <f>IF(C362="","",COUNTIFS(Başvuru!$C:$C,C362,Başvuru!$L:$L,"ONAY",Başvuru!$A:$A,"&lt;&gt;"&amp;"",Başvuru!$F:$F,"&lt;&gt;"&amp;""))</f>
        <v/>
      </c>
      <c r="K362" s="164" t="str">
        <f>IF(C362="","",COUNTIFS(Başvuru!$C:$C,C362,Başvuru!$L:$L,"DÜZELTME",Başvuru!$A:$A,"&lt;&gt;"&amp;"",Başvuru!$F:$F,"&lt;&gt;"&amp;""))</f>
        <v/>
      </c>
      <c r="L362" s="165" t="str">
        <f>IF(C362="","",COUNTIFS(Başvuru!$C:$C,C362,Başvuru!$L:$L,"KAEK",Başvuru!$A:$A,"&lt;&gt;"&amp;"",Başvuru!$F:$F,"&lt;&gt;"&amp;""))</f>
        <v/>
      </c>
      <c r="M362" s="166" t="str">
        <f>IF(C362="","",COUNTIFS(Başvuru!$C:$C,C362,Başvuru!$L:$L,"GÖRÜŞ",Başvuru!$A:$A,"&lt;&gt;"&amp;"",Başvuru!$F:$F,"&lt;&gt;"&amp;""))</f>
        <v/>
      </c>
      <c r="N362" s="167" t="str">
        <f>IF(C362="","",COUNTIFS(Başvuru!$C:$C,C362,Başvuru!$L:$L,"RET",Başvuru!$A:$A,"&lt;&gt;"&amp;"",Başvuru!$F:$F,"&lt;&gt;"&amp;""))</f>
        <v/>
      </c>
      <c r="O362" s="168" t="str">
        <f>IF(C362="","",COUNTIFS(Başvuru!$C:$C,C362,Başvuru!$L:$L,"KAPSAM DIŞI",Başvuru!$A:$A,"&lt;&gt;"&amp;"",Başvuru!$F:$F,"&lt;&gt;"&amp;""))</f>
        <v/>
      </c>
      <c r="P362" s="169" t="str">
        <f>IF(C362="","",COUNTIFS(Başvuru!$C:$C,C362,Başvuru!$L:$L,"GERİ ÇEKİLDİ",Başvuru!$A:$A,"&lt;&gt;"&amp;"",Başvuru!$F:$F,"&lt;&gt;"&amp;""))</f>
        <v/>
      </c>
      <c r="Q362" s="170" t="str">
        <f t="array" ref="Q362">IFERROR(INDEX(Başvuru!$C$2:$C$3000, MATCH(0, COUNTIF($Q$5:Q361, Başvuru!$C$2:$C$3000) + IF(Başvuru!$C$2:$C$3000="",1,0), 0)), "")</f>
        <v/>
      </c>
      <c r="R362" s="171" t="str">
        <f>IF(Q362="","",COUNTIFS(Başvuru!$C:$C,Q362,Başvuru!$A:$A,"&lt;&gt;"&amp;"",Başvuru!$F:$F,"&lt;&gt;"&amp;""))</f>
        <v/>
      </c>
      <c r="S362" s="171" t="str">
        <f>IF(R362="","",RANK(R362,$R$6:$R$505,0)+COUNTIF($R$6:R362,R362)-1)</f>
        <v/>
      </c>
    </row>
    <row r="363" spans="2:19" ht="23.25" customHeight="1" x14ac:dyDescent="0.25">
      <c r="B363" s="159">
        <v>358</v>
      </c>
      <c r="C363" s="160" t="str">
        <f>IFERROR(INDEX($Q$6:$Q$505,MATCH(358,$S$6:$S$505,0)),"")</f>
        <v/>
      </c>
      <c r="D363" s="161" t="str">
        <f>IF(C363="","",COUNTIFS(Başvuru!$C:$C,C363,Başvuru!$A:$A,"&lt;&gt;"&amp;"",Başvuru!$F:$F,"&lt;&gt;"&amp;""))</f>
        <v/>
      </c>
      <c r="E363" s="159" t="str">
        <f>IF(C363="","-",IF(D363&gt;0,TEXT(D363/(COUNTIFS(Başvuru!$A:$A,"&lt;&gt;",Başvuru!$F:$F,"&lt;&gt;")-1)*100,"0.0")&amp;"%","-"))</f>
        <v>-</v>
      </c>
      <c r="F363" s="162" t="str">
        <f>IF(C363="","",COUNTIFS(Başvuru!$C:$C,C363,Başvuru!$G:$G,"Bireysel Araştırma",Başvuru!$A:$A,"&lt;&gt;"&amp;"",Başvuru!$F:$F,"&lt;&gt;"&amp;""))</f>
        <v/>
      </c>
      <c r="G363" s="162" t="str">
        <f>IF(C363="","",COUNTIFS(Başvuru!$C:$C,C363,Başvuru!$G:$G,"Uzmanlık Tezi",Başvuru!$A:$A,"&lt;&gt;"&amp;"",Başvuru!$F:$F,"&lt;&gt;"&amp;""))</f>
        <v/>
      </c>
      <c r="H363" s="162" t="str">
        <f>IF(C363="","",COUNTIFS(Başvuru!$C:$C,C363,Başvuru!$G:$G,"Doktora Tezi",Başvuru!$A:$A,"&lt;&gt;"&amp;"",Başvuru!$F:$F,"&lt;&gt;"&amp;""))</f>
        <v/>
      </c>
      <c r="I363" s="162" t="str">
        <f>IF(C363="","",COUNTIFS(Başvuru!$C:$C,C363,Başvuru!$G:$G,"Yüksek Lisans Tezi",Başvuru!$A:$A,"&lt;&gt;"&amp;"",Başvuru!$F:$F,"&lt;&gt;"&amp;""))</f>
        <v/>
      </c>
      <c r="J363" s="163" t="str">
        <f>IF(C363="","",COUNTIFS(Başvuru!$C:$C,C363,Başvuru!$L:$L,"ONAY",Başvuru!$A:$A,"&lt;&gt;"&amp;"",Başvuru!$F:$F,"&lt;&gt;"&amp;""))</f>
        <v/>
      </c>
      <c r="K363" s="164" t="str">
        <f>IF(C363="","",COUNTIFS(Başvuru!$C:$C,C363,Başvuru!$L:$L,"DÜZELTME",Başvuru!$A:$A,"&lt;&gt;"&amp;"",Başvuru!$F:$F,"&lt;&gt;"&amp;""))</f>
        <v/>
      </c>
      <c r="L363" s="165" t="str">
        <f>IF(C363="","",COUNTIFS(Başvuru!$C:$C,C363,Başvuru!$L:$L,"KAEK",Başvuru!$A:$A,"&lt;&gt;"&amp;"",Başvuru!$F:$F,"&lt;&gt;"&amp;""))</f>
        <v/>
      </c>
      <c r="M363" s="166" t="str">
        <f>IF(C363="","",COUNTIFS(Başvuru!$C:$C,C363,Başvuru!$L:$L,"GÖRÜŞ",Başvuru!$A:$A,"&lt;&gt;"&amp;"",Başvuru!$F:$F,"&lt;&gt;"&amp;""))</f>
        <v/>
      </c>
      <c r="N363" s="167" t="str">
        <f>IF(C363="","",COUNTIFS(Başvuru!$C:$C,C363,Başvuru!$L:$L,"RET",Başvuru!$A:$A,"&lt;&gt;"&amp;"",Başvuru!$F:$F,"&lt;&gt;"&amp;""))</f>
        <v/>
      </c>
      <c r="O363" s="168" t="str">
        <f>IF(C363="","",COUNTIFS(Başvuru!$C:$C,C363,Başvuru!$L:$L,"KAPSAM DIŞI",Başvuru!$A:$A,"&lt;&gt;"&amp;"",Başvuru!$F:$F,"&lt;&gt;"&amp;""))</f>
        <v/>
      </c>
      <c r="P363" s="169" t="str">
        <f>IF(C363="","",COUNTIFS(Başvuru!$C:$C,C363,Başvuru!$L:$L,"GERİ ÇEKİLDİ",Başvuru!$A:$A,"&lt;&gt;"&amp;"",Başvuru!$F:$F,"&lt;&gt;"&amp;""))</f>
        <v/>
      </c>
      <c r="Q363" s="170" t="str">
        <f t="array" ref="Q363">IFERROR(INDEX(Başvuru!$C$2:$C$3000, MATCH(0, COUNTIF($Q$5:Q362, Başvuru!$C$2:$C$3000) + IF(Başvuru!$C$2:$C$3000="",1,0), 0)), "")</f>
        <v/>
      </c>
      <c r="R363" s="171" t="str">
        <f>IF(Q363="","",COUNTIFS(Başvuru!$C:$C,Q363,Başvuru!$A:$A,"&lt;&gt;"&amp;"",Başvuru!$F:$F,"&lt;&gt;"&amp;""))</f>
        <v/>
      </c>
      <c r="S363" s="171" t="str">
        <f>IF(R363="","",RANK(R363,$R$6:$R$505,0)+COUNTIF($R$6:R363,R363)-1)</f>
        <v/>
      </c>
    </row>
    <row r="364" spans="2:19" ht="23.25" customHeight="1" x14ac:dyDescent="0.25">
      <c r="B364" s="159">
        <v>359</v>
      </c>
      <c r="C364" s="160" t="str">
        <f>IFERROR(INDEX($Q$6:$Q$505,MATCH(359,$S$6:$S$505,0)),"")</f>
        <v/>
      </c>
      <c r="D364" s="161" t="str">
        <f>IF(C364="","",COUNTIFS(Başvuru!$C:$C,C364,Başvuru!$A:$A,"&lt;&gt;"&amp;"",Başvuru!$F:$F,"&lt;&gt;"&amp;""))</f>
        <v/>
      </c>
      <c r="E364" s="159" t="str">
        <f>IF(C364="","-",IF(D364&gt;0,TEXT(D364/(COUNTIFS(Başvuru!$A:$A,"&lt;&gt;",Başvuru!$F:$F,"&lt;&gt;")-1)*100,"0.0")&amp;"%","-"))</f>
        <v>-</v>
      </c>
      <c r="F364" s="162" t="str">
        <f>IF(C364="","",COUNTIFS(Başvuru!$C:$C,C364,Başvuru!$G:$G,"Bireysel Araştırma",Başvuru!$A:$A,"&lt;&gt;"&amp;"",Başvuru!$F:$F,"&lt;&gt;"&amp;""))</f>
        <v/>
      </c>
      <c r="G364" s="162" t="str">
        <f>IF(C364="","",COUNTIFS(Başvuru!$C:$C,C364,Başvuru!$G:$G,"Uzmanlık Tezi",Başvuru!$A:$A,"&lt;&gt;"&amp;"",Başvuru!$F:$F,"&lt;&gt;"&amp;""))</f>
        <v/>
      </c>
      <c r="H364" s="162" t="str">
        <f>IF(C364="","",COUNTIFS(Başvuru!$C:$C,C364,Başvuru!$G:$G,"Doktora Tezi",Başvuru!$A:$A,"&lt;&gt;"&amp;"",Başvuru!$F:$F,"&lt;&gt;"&amp;""))</f>
        <v/>
      </c>
      <c r="I364" s="162" t="str">
        <f>IF(C364="","",COUNTIFS(Başvuru!$C:$C,C364,Başvuru!$G:$G,"Yüksek Lisans Tezi",Başvuru!$A:$A,"&lt;&gt;"&amp;"",Başvuru!$F:$F,"&lt;&gt;"&amp;""))</f>
        <v/>
      </c>
      <c r="J364" s="163" t="str">
        <f>IF(C364="","",COUNTIFS(Başvuru!$C:$C,C364,Başvuru!$L:$L,"ONAY",Başvuru!$A:$A,"&lt;&gt;"&amp;"",Başvuru!$F:$F,"&lt;&gt;"&amp;""))</f>
        <v/>
      </c>
      <c r="K364" s="164" t="str">
        <f>IF(C364="","",COUNTIFS(Başvuru!$C:$C,C364,Başvuru!$L:$L,"DÜZELTME",Başvuru!$A:$A,"&lt;&gt;"&amp;"",Başvuru!$F:$F,"&lt;&gt;"&amp;""))</f>
        <v/>
      </c>
      <c r="L364" s="165" t="str">
        <f>IF(C364="","",COUNTIFS(Başvuru!$C:$C,C364,Başvuru!$L:$L,"KAEK",Başvuru!$A:$A,"&lt;&gt;"&amp;"",Başvuru!$F:$F,"&lt;&gt;"&amp;""))</f>
        <v/>
      </c>
      <c r="M364" s="166" t="str">
        <f>IF(C364="","",COUNTIFS(Başvuru!$C:$C,C364,Başvuru!$L:$L,"GÖRÜŞ",Başvuru!$A:$A,"&lt;&gt;"&amp;"",Başvuru!$F:$F,"&lt;&gt;"&amp;""))</f>
        <v/>
      </c>
      <c r="N364" s="167" t="str">
        <f>IF(C364="","",COUNTIFS(Başvuru!$C:$C,C364,Başvuru!$L:$L,"RET",Başvuru!$A:$A,"&lt;&gt;"&amp;"",Başvuru!$F:$F,"&lt;&gt;"&amp;""))</f>
        <v/>
      </c>
      <c r="O364" s="168" t="str">
        <f>IF(C364="","",COUNTIFS(Başvuru!$C:$C,C364,Başvuru!$L:$L,"KAPSAM DIŞI",Başvuru!$A:$A,"&lt;&gt;"&amp;"",Başvuru!$F:$F,"&lt;&gt;"&amp;""))</f>
        <v/>
      </c>
      <c r="P364" s="169" t="str">
        <f>IF(C364="","",COUNTIFS(Başvuru!$C:$C,C364,Başvuru!$L:$L,"GERİ ÇEKİLDİ",Başvuru!$A:$A,"&lt;&gt;"&amp;"",Başvuru!$F:$F,"&lt;&gt;"&amp;""))</f>
        <v/>
      </c>
      <c r="Q364" s="170" t="str">
        <f t="array" ref="Q364">IFERROR(INDEX(Başvuru!$C$2:$C$3000, MATCH(0, COUNTIF($Q$5:Q363, Başvuru!$C$2:$C$3000) + IF(Başvuru!$C$2:$C$3000="",1,0), 0)), "")</f>
        <v/>
      </c>
      <c r="R364" s="171" t="str">
        <f>IF(Q364="","",COUNTIFS(Başvuru!$C:$C,Q364,Başvuru!$A:$A,"&lt;&gt;"&amp;"",Başvuru!$F:$F,"&lt;&gt;"&amp;""))</f>
        <v/>
      </c>
      <c r="S364" s="171" t="str">
        <f>IF(R364="","",RANK(R364,$R$6:$R$505,0)+COUNTIF($R$6:R364,R364)-1)</f>
        <v/>
      </c>
    </row>
    <row r="365" spans="2:19" ht="23.25" customHeight="1" x14ac:dyDescent="0.25">
      <c r="B365" s="159">
        <v>360</v>
      </c>
      <c r="C365" s="160" t="str">
        <f>IFERROR(INDEX($Q$6:$Q$505,MATCH(360,$S$6:$S$505,0)),"")</f>
        <v/>
      </c>
      <c r="D365" s="161" t="str">
        <f>IF(C365="","",COUNTIFS(Başvuru!$C:$C,C365,Başvuru!$A:$A,"&lt;&gt;"&amp;"",Başvuru!$F:$F,"&lt;&gt;"&amp;""))</f>
        <v/>
      </c>
      <c r="E365" s="159" t="str">
        <f>IF(C365="","-",IF(D365&gt;0,TEXT(D365/(COUNTIFS(Başvuru!$A:$A,"&lt;&gt;",Başvuru!$F:$F,"&lt;&gt;")-1)*100,"0.0")&amp;"%","-"))</f>
        <v>-</v>
      </c>
      <c r="F365" s="162" t="str">
        <f>IF(C365="","",COUNTIFS(Başvuru!$C:$C,C365,Başvuru!$G:$G,"Bireysel Araştırma",Başvuru!$A:$A,"&lt;&gt;"&amp;"",Başvuru!$F:$F,"&lt;&gt;"&amp;""))</f>
        <v/>
      </c>
      <c r="G365" s="162" t="str">
        <f>IF(C365="","",COUNTIFS(Başvuru!$C:$C,C365,Başvuru!$G:$G,"Uzmanlık Tezi",Başvuru!$A:$A,"&lt;&gt;"&amp;"",Başvuru!$F:$F,"&lt;&gt;"&amp;""))</f>
        <v/>
      </c>
      <c r="H365" s="162" t="str">
        <f>IF(C365="","",COUNTIFS(Başvuru!$C:$C,C365,Başvuru!$G:$G,"Doktora Tezi",Başvuru!$A:$A,"&lt;&gt;"&amp;"",Başvuru!$F:$F,"&lt;&gt;"&amp;""))</f>
        <v/>
      </c>
      <c r="I365" s="162" t="str">
        <f>IF(C365="","",COUNTIFS(Başvuru!$C:$C,C365,Başvuru!$G:$G,"Yüksek Lisans Tezi",Başvuru!$A:$A,"&lt;&gt;"&amp;"",Başvuru!$F:$F,"&lt;&gt;"&amp;""))</f>
        <v/>
      </c>
      <c r="J365" s="163" t="str">
        <f>IF(C365="","",COUNTIFS(Başvuru!$C:$C,C365,Başvuru!$L:$L,"ONAY",Başvuru!$A:$A,"&lt;&gt;"&amp;"",Başvuru!$F:$F,"&lt;&gt;"&amp;""))</f>
        <v/>
      </c>
      <c r="K365" s="164" t="str">
        <f>IF(C365="","",COUNTIFS(Başvuru!$C:$C,C365,Başvuru!$L:$L,"DÜZELTME",Başvuru!$A:$A,"&lt;&gt;"&amp;"",Başvuru!$F:$F,"&lt;&gt;"&amp;""))</f>
        <v/>
      </c>
      <c r="L365" s="165" t="str">
        <f>IF(C365="","",COUNTIFS(Başvuru!$C:$C,C365,Başvuru!$L:$L,"KAEK",Başvuru!$A:$A,"&lt;&gt;"&amp;"",Başvuru!$F:$F,"&lt;&gt;"&amp;""))</f>
        <v/>
      </c>
      <c r="M365" s="166" t="str">
        <f>IF(C365="","",COUNTIFS(Başvuru!$C:$C,C365,Başvuru!$L:$L,"GÖRÜŞ",Başvuru!$A:$A,"&lt;&gt;"&amp;"",Başvuru!$F:$F,"&lt;&gt;"&amp;""))</f>
        <v/>
      </c>
      <c r="N365" s="167" t="str">
        <f>IF(C365="","",COUNTIFS(Başvuru!$C:$C,C365,Başvuru!$L:$L,"RET",Başvuru!$A:$A,"&lt;&gt;"&amp;"",Başvuru!$F:$F,"&lt;&gt;"&amp;""))</f>
        <v/>
      </c>
      <c r="O365" s="168" t="str">
        <f>IF(C365="","",COUNTIFS(Başvuru!$C:$C,C365,Başvuru!$L:$L,"KAPSAM DIŞI",Başvuru!$A:$A,"&lt;&gt;"&amp;"",Başvuru!$F:$F,"&lt;&gt;"&amp;""))</f>
        <v/>
      </c>
      <c r="P365" s="169" t="str">
        <f>IF(C365="","",COUNTIFS(Başvuru!$C:$C,C365,Başvuru!$L:$L,"GERİ ÇEKİLDİ",Başvuru!$A:$A,"&lt;&gt;"&amp;"",Başvuru!$F:$F,"&lt;&gt;"&amp;""))</f>
        <v/>
      </c>
      <c r="Q365" s="170" t="str">
        <f t="array" ref="Q365">IFERROR(INDEX(Başvuru!$C$2:$C$3000, MATCH(0, COUNTIF($Q$5:Q364, Başvuru!$C$2:$C$3000) + IF(Başvuru!$C$2:$C$3000="",1,0), 0)), "")</f>
        <v/>
      </c>
      <c r="R365" s="171" t="str">
        <f>IF(Q365="","",COUNTIFS(Başvuru!$C:$C,Q365,Başvuru!$A:$A,"&lt;&gt;"&amp;"",Başvuru!$F:$F,"&lt;&gt;"&amp;""))</f>
        <v/>
      </c>
      <c r="S365" s="171" t="str">
        <f>IF(R365="","",RANK(R365,$R$6:$R$505,0)+COUNTIF($R$6:R365,R365)-1)</f>
        <v/>
      </c>
    </row>
    <row r="366" spans="2:19" ht="23.25" customHeight="1" x14ac:dyDescent="0.25">
      <c r="B366" s="159">
        <v>361</v>
      </c>
      <c r="C366" s="160" t="str">
        <f>IFERROR(INDEX($Q$6:$Q$505,MATCH(361,$S$6:$S$505,0)),"")</f>
        <v/>
      </c>
      <c r="D366" s="161" t="str">
        <f>IF(C366="","",COUNTIFS(Başvuru!$C:$C,C366,Başvuru!$A:$A,"&lt;&gt;"&amp;"",Başvuru!$F:$F,"&lt;&gt;"&amp;""))</f>
        <v/>
      </c>
      <c r="E366" s="159" t="str">
        <f>IF(C366="","-",IF(D366&gt;0,TEXT(D366/(COUNTIFS(Başvuru!$A:$A,"&lt;&gt;",Başvuru!$F:$F,"&lt;&gt;")-1)*100,"0.0")&amp;"%","-"))</f>
        <v>-</v>
      </c>
      <c r="F366" s="162" t="str">
        <f>IF(C366="","",COUNTIFS(Başvuru!$C:$C,C366,Başvuru!$G:$G,"Bireysel Araştırma",Başvuru!$A:$A,"&lt;&gt;"&amp;"",Başvuru!$F:$F,"&lt;&gt;"&amp;""))</f>
        <v/>
      </c>
      <c r="G366" s="162" t="str">
        <f>IF(C366="","",COUNTIFS(Başvuru!$C:$C,C366,Başvuru!$G:$G,"Uzmanlık Tezi",Başvuru!$A:$A,"&lt;&gt;"&amp;"",Başvuru!$F:$F,"&lt;&gt;"&amp;""))</f>
        <v/>
      </c>
      <c r="H366" s="162" t="str">
        <f>IF(C366="","",COUNTIFS(Başvuru!$C:$C,C366,Başvuru!$G:$G,"Doktora Tezi",Başvuru!$A:$A,"&lt;&gt;"&amp;"",Başvuru!$F:$F,"&lt;&gt;"&amp;""))</f>
        <v/>
      </c>
      <c r="I366" s="162" t="str">
        <f>IF(C366="","",COUNTIFS(Başvuru!$C:$C,C366,Başvuru!$G:$G,"Yüksek Lisans Tezi",Başvuru!$A:$A,"&lt;&gt;"&amp;"",Başvuru!$F:$F,"&lt;&gt;"&amp;""))</f>
        <v/>
      </c>
      <c r="J366" s="163" t="str">
        <f>IF(C366="","",COUNTIFS(Başvuru!$C:$C,C366,Başvuru!$L:$L,"ONAY",Başvuru!$A:$A,"&lt;&gt;"&amp;"",Başvuru!$F:$F,"&lt;&gt;"&amp;""))</f>
        <v/>
      </c>
      <c r="K366" s="164" t="str">
        <f>IF(C366="","",COUNTIFS(Başvuru!$C:$C,C366,Başvuru!$L:$L,"DÜZELTME",Başvuru!$A:$A,"&lt;&gt;"&amp;"",Başvuru!$F:$F,"&lt;&gt;"&amp;""))</f>
        <v/>
      </c>
      <c r="L366" s="165" t="str">
        <f>IF(C366="","",COUNTIFS(Başvuru!$C:$C,C366,Başvuru!$L:$L,"KAEK",Başvuru!$A:$A,"&lt;&gt;"&amp;"",Başvuru!$F:$F,"&lt;&gt;"&amp;""))</f>
        <v/>
      </c>
      <c r="M366" s="166" t="str">
        <f>IF(C366="","",COUNTIFS(Başvuru!$C:$C,C366,Başvuru!$L:$L,"GÖRÜŞ",Başvuru!$A:$A,"&lt;&gt;"&amp;"",Başvuru!$F:$F,"&lt;&gt;"&amp;""))</f>
        <v/>
      </c>
      <c r="N366" s="167" t="str">
        <f>IF(C366="","",COUNTIFS(Başvuru!$C:$C,C366,Başvuru!$L:$L,"RET",Başvuru!$A:$A,"&lt;&gt;"&amp;"",Başvuru!$F:$F,"&lt;&gt;"&amp;""))</f>
        <v/>
      </c>
      <c r="O366" s="168" t="str">
        <f>IF(C366="","",COUNTIFS(Başvuru!$C:$C,C366,Başvuru!$L:$L,"KAPSAM DIŞI",Başvuru!$A:$A,"&lt;&gt;"&amp;"",Başvuru!$F:$F,"&lt;&gt;"&amp;""))</f>
        <v/>
      </c>
      <c r="P366" s="169" t="str">
        <f>IF(C366="","",COUNTIFS(Başvuru!$C:$C,C366,Başvuru!$L:$L,"GERİ ÇEKİLDİ",Başvuru!$A:$A,"&lt;&gt;"&amp;"",Başvuru!$F:$F,"&lt;&gt;"&amp;""))</f>
        <v/>
      </c>
      <c r="Q366" s="170" t="str">
        <f t="array" ref="Q366">IFERROR(INDEX(Başvuru!$C$2:$C$3000, MATCH(0, COUNTIF($Q$5:Q365, Başvuru!$C$2:$C$3000) + IF(Başvuru!$C$2:$C$3000="",1,0), 0)), "")</f>
        <v/>
      </c>
      <c r="R366" s="171" t="str">
        <f>IF(Q366="","",COUNTIFS(Başvuru!$C:$C,Q366,Başvuru!$A:$A,"&lt;&gt;"&amp;"",Başvuru!$F:$F,"&lt;&gt;"&amp;""))</f>
        <v/>
      </c>
      <c r="S366" s="171" t="str">
        <f>IF(R366="","",RANK(R366,$R$6:$R$505,0)+COUNTIF($R$6:R366,R366)-1)</f>
        <v/>
      </c>
    </row>
    <row r="367" spans="2:19" ht="23.25" customHeight="1" x14ac:dyDescent="0.25">
      <c r="B367" s="159">
        <v>362</v>
      </c>
      <c r="C367" s="160" t="str">
        <f>IFERROR(INDEX($Q$6:$Q$505,MATCH(362,$S$6:$S$505,0)),"")</f>
        <v/>
      </c>
      <c r="D367" s="161" t="str">
        <f>IF(C367="","",COUNTIFS(Başvuru!$C:$C,C367,Başvuru!$A:$A,"&lt;&gt;"&amp;"",Başvuru!$F:$F,"&lt;&gt;"&amp;""))</f>
        <v/>
      </c>
      <c r="E367" s="159" t="str">
        <f>IF(C367="","-",IF(D367&gt;0,TEXT(D367/(COUNTIFS(Başvuru!$A:$A,"&lt;&gt;",Başvuru!$F:$F,"&lt;&gt;")-1)*100,"0.0")&amp;"%","-"))</f>
        <v>-</v>
      </c>
      <c r="F367" s="162" t="str">
        <f>IF(C367="","",COUNTIFS(Başvuru!$C:$C,C367,Başvuru!$G:$G,"Bireysel Araştırma",Başvuru!$A:$A,"&lt;&gt;"&amp;"",Başvuru!$F:$F,"&lt;&gt;"&amp;""))</f>
        <v/>
      </c>
      <c r="G367" s="162" t="str">
        <f>IF(C367="","",COUNTIFS(Başvuru!$C:$C,C367,Başvuru!$G:$G,"Uzmanlık Tezi",Başvuru!$A:$A,"&lt;&gt;"&amp;"",Başvuru!$F:$F,"&lt;&gt;"&amp;""))</f>
        <v/>
      </c>
      <c r="H367" s="162" t="str">
        <f>IF(C367="","",COUNTIFS(Başvuru!$C:$C,C367,Başvuru!$G:$G,"Doktora Tezi",Başvuru!$A:$A,"&lt;&gt;"&amp;"",Başvuru!$F:$F,"&lt;&gt;"&amp;""))</f>
        <v/>
      </c>
      <c r="I367" s="162" t="str">
        <f>IF(C367="","",COUNTIFS(Başvuru!$C:$C,C367,Başvuru!$G:$G,"Yüksek Lisans Tezi",Başvuru!$A:$A,"&lt;&gt;"&amp;"",Başvuru!$F:$F,"&lt;&gt;"&amp;""))</f>
        <v/>
      </c>
      <c r="J367" s="163" t="str">
        <f>IF(C367="","",COUNTIFS(Başvuru!$C:$C,C367,Başvuru!$L:$L,"ONAY",Başvuru!$A:$A,"&lt;&gt;"&amp;"",Başvuru!$F:$F,"&lt;&gt;"&amp;""))</f>
        <v/>
      </c>
      <c r="K367" s="164" t="str">
        <f>IF(C367="","",COUNTIFS(Başvuru!$C:$C,C367,Başvuru!$L:$L,"DÜZELTME",Başvuru!$A:$A,"&lt;&gt;"&amp;"",Başvuru!$F:$F,"&lt;&gt;"&amp;""))</f>
        <v/>
      </c>
      <c r="L367" s="165" t="str">
        <f>IF(C367="","",COUNTIFS(Başvuru!$C:$C,C367,Başvuru!$L:$L,"KAEK",Başvuru!$A:$A,"&lt;&gt;"&amp;"",Başvuru!$F:$F,"&lt;&gt;"&amp;""))</f>
        <v/>
      </c>
      <c r="M367" s="166" t="str">
        <f>IF(C367="","",COUNTIFS(Başvuru!$C:$C,C367,Başvuru!$L:$L,"GÖRÜŞ",Başvuru!$A:$A,"&lt;&gt;"&amp;"",Başvuru!$F:$F,"&lt;&gt;"&amp;""))</f>
        <v/>
      </c>
      <c r="N367" s="167" t="str">
        <f>IF(C367="","",COUNTIFS(Başvuru!$C:$C,C367,Başvuru!$L:$L,"RET",Başvuru!$A:$A,"&lt;&gt;"&amp;"",Başvuru!$F:$F,"&lt;&gt;"&amp;""))</f>
        <v/>
      </c>
      <c r="O367" s="168" t="str">
        <f>IF(C367="","",COUNTIFS(Başvuru!$C:$C,C367,Başvuru!$L:$L,"KAPSAM DIŞI",Başvuru!$A:$A,"&lt;&gt;"&amp;"",Başvuru!$F:$F,"&lt;&gt;"&amp;""))</f>
        <v/>
      </c>
      <c r="P367" s="169" t="str">
        <f>IF(C367="","",COUNTIFS(Başvuru!$C:$C,C367,Başvuru!$L:$L,"GERİ ÇEKİLDİ",Başvuru!$A:$A,"&lt;&gt;"&amp;"",Başvuru!$F:$F,"&lt;&gt;"&amp;""))</f>
        <v/>
      </c>
      <c r="Q367" s="170" t="str">
        <f t="array" ref="Q367">IFERROR(INDEX(Başvuru!$C$2:$C$3000, MATCH(0, COUNTIF($Q$5:Q366, Başvuru!$C$2:$C$3000) + IF(Başvuru!$C$2:$C$3000="",1,0), 0)), "")</f>
        <v/>
      </c>
      <c r="R367" s="171" t="str">
        <f>IF(Q367="","",COUNTIFS(Başvuru!$C:$C,Q367,Başvuru!$A:$A,"&lt;&gt;"&amp;"",Başvuru!$F:$F,"&lt;&gt;"&amp;""))</f>
        <v/>
      </c>
      <c r="S367" s="171" t="str">
        <f>IF(R367="","",RANK(R367,$R$6:$R$505,0)+COUNTIF($R$6:R367,R367)-1)</f>
        <v/>
      </c>
    </row>
    <row r="368" spans="2:19" ht="23.25" customHeight="1" x14ac:dyDescent="0.25">
      <c r="B368" s="159">
        <v>363</v>
      </c>
      <c r="C368" s="160" t="str">
        <f>IFERROR(INDEX($Q$6:$Q$505,MATCH(363,$S$6:$S$505,0)),"")</f>
        <v/>
      </c>
      <c r="D368" s="161" t="str">
        <f>IF(C368="","",COUNTIFS(Başvuru!$C:$C,C368,Başvuru!$A:$A,"&lt;&gt;"&amp;"",Başvuru!$F:$F,"&lt;&gt;"&amp;""))</f>
        <v/>
      </c>
      <c r="E368" s="159" t="str">
        <f>IF(C368="","-",IF(D368&gt;0,TEXT(D368/(COUNTIFS(Başvuru!$A:$A,"&lt;&gt;",Başvuru!$F:$F,"&lt;&gt;")-1)*100,"0.0")&amp;"%","-"))</f>
        <v>-</v>
      </c>
      <c r="F368" s="162" t="str">
        <f>IF(C368="","",COUNTIFS(Başvuru!$C:$C,C368,Başvuru!$G:$G,"Bireysel Araştırma",Başvuru!$A:$A,"&lt;&gt;"&amp;"",Başvuru!$F:$F,"&lt;&gt;"&amp;""))</f>
        <v/>
      </c>
      <c r="G368" s="162" t="str">
        <f>IF(C368="","",COUNTIFS(Başvuru!$C:$C,C368,Başvuru!$G:$G,"Uzmanlık Tezi",Başvuru!$A:$A,"&lt;&gt;"&amp;"",Başvuru!$F:$F,"&lt;&gt;"&amp;""))</f>
        <v/>
      </c>
      <c r="H368" s="162" t="str">
        <f>IF(C368="","",COUNTIFS(Başvuru!$C:$C,C368,Başvuru!$G:$G,"Doktora Tezi",Başvuru!$A:$A,"&lt;&gt;"&amp;"",Başvuru!$F:$F,"&lt;&gt;"&amp;""))</f>
        <v/>
      </c>
      <c r="I368" s="162" t="str">
        <f>IF(C368="","",COUNTIFS(Başvuru!$C:$C,C368,Başvuru!$G:$G,"Yüksek Lisans Tezi",Başvuru!$A:$A,"&lt;&gt;"&amp;"",Başvuru!$F:$F,"&lt;&gt;"&amp;""))</f>
        <v/>
      </c>
      <c r="J368" s="163" t="str">
        <f>IF(C368="","",COUNTIFS(Başvuru!$C:$C,C368,Başvuru!$L:$L,"ONAY",Başvuru!$A:$A,"&lt;&gt;"&amp;"",Başvuru!$F:$F,"&lt;&gt;"&amp;""))</f>
        <v/>
      </c>
      <c r="K368" s="164" t="str">
        <f>IF(C368="","",COUNTIFS(Başvuru!$C:$C,C368,Başvuru!$L:$L,"DÜZELTME",Başvuru!$A:$A,"&lt;&gt;"&amp;"",Başvuru!$F:$F,"&lt;&gt;"&amp;""))</f>
        <v/>
      </c>
      <c r="L368" s="165" t="str">
        <f>IF(C368="","",COUNTIFS(Başvuru!$C:$C,C368,Başvuru!$L:$L,"KAEK",Başvuru!$A:$A,"&lt;&gt;"&amp;"",Başvuru!$F:$F,"&lt;&gt;"&amp;""))</f>
        <v/>
      </c>
      <c r="M368" s="166" t="str">
        <f>IF(C368="","",COUNTIFS(Başvuru!$C:$C,C368,Başvuru!$L:$L,"GÖRÜŞ",Başvuru!$A:$A,"&lt;&gt;"&amp;"",Başvuru!$F:$F,"&lt;&gt;"&amp;""))</f>
        <v/>
      </c>
      <c r="N368" s="167" t="str">
        <f>IF(C368="","",COUNTIFS(Başvuru!$C:$C,C368,Başvuru!$L:$L,"RET",Başvuru!$A:$A,"&lt;&gt;"&amp;"",Başvuru!$F:$F,"&lt;&gt;"&amp;""))</f>
        <v/>
      </c>
      <c r="O368" s="168" t="str">
        <f>IF(C368="","",COUNTIFS(Başvuru!$C:$C,C368,Başvuru!$L:$L,"KAPSAM DIŞI",Başvuru!$A:$A,"&lt;&gt;"&amp;"",Başvuru!$F:$F,"&lt;&gt;"&amp;""))</f>
        <v/>
      </c>
      <c r="P368" s="169" t="str">
        <f>IF(C368="","",COUNTIFS(Başvuru!$C:$C,C368,Başvuru!$L:$L,"GERİ ÇEKİLDİ",Başvuru!$A:$A,"&lt;&gt;"&amp;"",Başvuru!$F:$F,"&lt;&gt;"&amp;""))</f>
        <v/>
      </c>
      <c r="Q368" s="170" t="str">
        <f t="array" ref="Q368">IFERROR(INDEX(Başvuru!$C$2:$C$3000, MATCH(0, COUNTIF($Q$5:Q367, Başvuru!$C$2:$C$3000) + IF(Başvuru!$C$2:$C$3000="",1,0), 0)), "")</f>
        <v/>
      </c>
      <c r="R368" s="171" t="str">
        <f>IF(Q368="","",COUNTIFS(Başvuru!$C:$C,Q368,Başvuru!$A:$A,"&lt;&gt;"&amp;"",Başvuru!$F:$F,"&lt;&gt;"&amp;""))</f>
        <v/>
      </c>
      <c r="S368" s="171" t="str">
        <f>IF(R368="","",RANK(R368,$R$6:$R$505,0)+COUNTIF($R$6:R368,R368)-1)</f>
        <v/>
      </c>
    </row>
    <row r="369" spans="2:19" ht="23.25" customHeight="1" x14ac:dyDescent="0.25">
      <c r="B369" s="159">
        <v>364</v>
      </c>
      <c r="C369" s="160" t="str">
        <f>IFERROR(INDEX($Q$6:$Q$505,MATCH(364,$S$6:$S$505,0)),"")</f>
        <v/>
      </c>
      <c r="D369" s="161" t="str">
        <f>IF(C369="","",COUNTIFS(Başvuru!$C:$C,C369,Başvuru!$A:$A,"&lt;&gt;"&amp;"",Başvuru!$F:$F,"&lt;&gt;"&amp;""))</f>
        <v/>
      </c>
      <c r="E369" s="159" t="str">
        <f>IF(C369="","-",IF(D369&gt;0,TEXT(D369/(COUNTIFS(Başvuru!$A:$A,"&lt;&gt;",Başvuru!$F:$F,"&lt;&gt;")-1)*100,"0.0")&amp;"%","-"))</f>
        <v>-</v>
      </c>
      <c r="F369" s="162" t="str">
        <f>IF(C369="","",COUNTIFS(Başvuru!$C:$C,C369,Başvuru!$G:$G,"Bireysel Araştırma",Başvuru!$A:$A,"&lt;&gt;"&amp;"",Başvuru!$F:$F,"&lt;&gt;"&amp;""))</f>
        <v/>
      </c>
      <c r="G369" s="162" t="str">
        <f>IF(C369="","",COUNTIFS(Başvuru!$C:$C,C369,Başvuru!$G:$G,"Uzmanlık Tezi",Başvuru!$A:$A,"&lt;&gt;"&amp;"",Başvuru!$F:$F,"&lt;&gt;"&amp;""))</f>
        <v/>
      </c>
      <c r="H369" s="162" t="str">
        <f>IF(C369="","",COUNTIFS(Başvuru!$C:$C,C369,Başvuru!$G:$G,"Doktora Tezi",Başvuru!$A:$A,"&lt;&gt;"&amp;"",Başvuru!$F:$F,"&lt;&gt;"&amp;""))</f>
        <v/>
      </c>
      <c r="I369" s="162" t="str">
        <f>IF(C369="","",COUNTIFS(Başvuru!$C:$C,C369,Başvuru!$G:$G,"Yüksek Lisans Tezi",Başvuru!$A:$A,"&lt;&gt;"&amp;"",Başvuru!$F:$F,"&lt;&gt;"&amp;""))</f>
        <v/>
      </c>
      <c r="J369" s="163" t="str">
        <f>IF(C369="","",COUNTIFS(Başvuru!$C:$C,C369,Başvuru!$L:$L,"ONAY",Başvuru!$A:$A,"&lt;&gt;"&amp;"",Başvuru!$F:$F,"&lt;&gt;"&amp;""))</f>
        <v/>
      </c>
      <c r="K369" s="164" t="str">
        <f>IF(C369="","",COUNTIFS(Başvuru!$C:$C,C369,Başvuru!$L:$L,"DÜZELTME",Başvuru!$A:$A,"&lt;&gt;"&amp;"",Başvuru!$F:$F,"&lt;&gt;"&amp;""))</f>
        <v/>
      </c>
      <c r="L369" s="165" t="str">
        <f>IF(C369="","",COUNTIFS(Başvuru!$C:$C,C369,Başvuru!$L:$L,"KAEK",Başvuru!$A:$A,"&lt;&gt;"&amp;"",Başvuru!$F:$F,"&lt;&gt;"&amp;""))</f>
        <v/>
      </c>
      <c r="M369" s="166" t="str">
        <f>IF(C369="","",COUNTIFS(Başvuru!$C:$C,C369,Başvuru!$L:$L,"GÖRÜŞ",Başvuru!$A:$A,"&lt;&gt;"&amp;"",Başvuru!$F:$F,"&lt;&gt;"&amp;""))</f>
        <v/>
      </c>
      <c r="N369" s="167" t="str">
        <f>IF(C369="","",COUNTIFS(Başvuru!$C:$C,C369,Başvuru!$L:$L,"RET",Başvuru!$A:$A,"&lt;&gt;"&amp;"",Başvuru!$F:$F,"&lt;&gt;"&amp;""))</f>
        <v/>
      </c>
      <c r="O369" s="168" t="str">
        <f>IF(C369="","",COUNTIFS(Başvuru!$C:$C,C369,Başvuru!$L:$L,"KAPSAM DIŞI",Başvuru!$A:$A,"&lt;&gt;"&amp;"",Başvuru!$F:$F,"&lt;&gt;"&amp;""))</f>
        <v/>
      </c>
      <c r="P369" s="169" t="str">
        <f>IF(C369="","",COUNTIFS(Başvuru!$C:$C,C369,Başvuru!$L:$L,"GERİ ÇEKİLDİ",Başvuru!$A:$A,"&lt;&gt;"&amp;"",Başvuru!$F:$F,"&lt;&gt;"&amp;""))</f>
        <v/>
      </c>
      <c r="Q369" s="170" t="str">
        <f t="array" ref="Q369">IFERROR(INDEX(Başvuru!$C$2:$C$3000, MATCH(0, COUNTIF($Q$5:Q368, Başvuru!$C$2:$C$3000) + IF(Başvuru!$C$2:$C$3000="",1,0), 0)), "")</f>
        <v/>
      </c>
      <c r="R369" s="171" t="str">
        <f>IF(Q369="","",COUNTIFS(Başvuru!$C:$C,Q369,Başvuru!$A:$A,"&lt;&gt;"&amp;"",Başvuru!$F:$F,"&lt;&gt;"&amp;""))</f>
        <v/>
      </c>
      <c r="S369" s="171" t="str">
        <f>IF(R369="","",RANK(R369,$R$6:$R$505,0)+COUNTIF($R$6:R369,R369)-1)</f>
        <v/>
      </c>
    </row>
    <row r="370" spans="2:19" ht="23.25" customHeight="1" x14ac:dyDescent="0.25">
      <c r="B370" s="159">
        <v>365</v>
      </c>
      <c r="C370" s="160" t="str">
        <f>IFERROR(INDEX($Q$6:$Q$505,MATCH(365,$S$6:$S$505,0)),"")</f>
        <v/>
      </c>
      <c r="D370" s="161" t="str">
        <f>IF(C370="","",COUNTIFS(Başvuru!$C:$C,C370,Başvuru!$A:$A,"&lt;&gt;"&amp;"",Başvuru!$F:$F,"&lt;&gt;"&amp;""))</f>
        <v/>
      </c>
      <c r="E370" s="159" t="str">
        <f>IF(C370="","-",IF(D370&gt;0,TEXT(D370/(COUNTIFS(Başvuru!$A:$A,"&lt;&gt;",Başvuru!$F:$F,"&lt;&gt;")-1)*100,"0.0")&amp;"%","-"))</f>
        <v>-</v>
      </c>
      <c r="F370" s="162" t="str">
        <f>IF(C370="","",COUNTIFS(Başvuru!$C:$C,C370,Başvuru!$G:$G,"Bireysel Araştırma",Başvuru!$A:$A,"&lt;&gt;"&amp;"",Başvuru!$F:$F,"&lt;&gt;"&amp;""))</f>
        <v/>
      </c>
      <c r="G370" s="162" t="str">
        <f>IF(C370="","",COUNTIFS(Başvuru!$C:$C,C370,Başvuru!$G:$G,"Uzmanlık Tezi",Başvuru!$A:$A,"&lt;&gt;"&amp;"",Başvuru!$F:$F,"&lt;&gt;"&amp;""))</f>
        <v/>
      </c>
      <c r="H370" s="162" t="str">
        <f>IF(C370="","",COUNTIFS(Başvuru!$C:$C,C370,Başvuru!$G:$G,"Doktora Tezi",Başvuru!$A:$A,"&lt;&gt;"&amp;"",Başvuru!$F:$F,"&lt;&gt;"&amp;""))</f>
        <v/>
      </c>
      <c r="I370" s="162" t="str">
        <f>IF(C370="","",COUNTIFS(Başvuru!$C:$C,C370,Başvuru!$G:$G,"Yüksek Lisans Tezi",Başvuru!$A:$A,"&lt;&gt;"&amp;"",Başvuru!$F:$F,"&lt;&gt;"&amp;""))</f>
        <v/>
      </c>
      <c r="J370" s="163" t="str">
        <f>IF(C370="","",COUNTIFS(Başvuru!$C:$C,C370,Başvuru!$L:$L,"ONAY",Başvuru!$A:$A,"&lt;&gt;"&amp;"",Başvuru!$F:$F,"&lt;&gt;"&amp;""))</f>
        <v/>
      </c>
      <c r="K370" s="164" t="str">
        <f>IF(C370="","",COUNTIFS(Başvuru!$C:$C,C370,Başvuru!$L:$L,"DÜZELTME",Başvuru!$A:$A,"&lt;&gt;"&amp;"",Başvuru!$F:$F,"&lt;&gt;"&amp;""))</f>
        <v/>
      </c>
      <c r="L370" s="165" t="str">
        <f>IF(C370="","",COUNTIFS(Başvuru!$C:$C,C370,Başvuru!$L:$L,"KAEK",Başvuru!$A:$A,"&lt;&gt;"&amp;"",Başvuru!$F:$F,"&lt;&gt;"&amp;""))</f>
        <v/>
      </c>
      <c r="M370" s="166" t="str">
        <f>IF(C370="","",COUNTIFS(Başvuru!$C:$C,C370,Başvuru!$L:$L,"GÖRÜŞ",Başvuru!$A:$A,"&lt;&gt;"&amp;"",Başvuru!$F:$F,"&lt;&gt;"&amp;""))</f>
        <v/>
      </c>
      <c r="N370" s="167" t="str">
        <f>IF(C370="","",COUNTIFS(Başvuru!$C:$C,C370,Başvuru!$L:$L,"RET",Başvuru!$A:$A,"&lt;&gt;"&amp;"",Başvuru!$F:$F,"&lt;&gt;"&amp;""))</f>
        <v/>
      </c>
      <c r="O370" s="168" t="str">
        <f>IF(C370="","",COUNTIFS(Başvuru!$C:$C,C370,Başvuru!$L:$L,"KAPSAM DIŞI",Başvuru!$A:$A,"&lt;&gt;"&amp;"",Başvuru!$F:$F,"&lt;&gt;"&amp;""))</f>
        <v/>
      </c>
      <c r="P370" s="169" t="str">
        <f>IF(C370="","",COUNTIFS(Başvuru!$C:$C,C370,Başvuru!$L:$L,"GERİ ÇEKİLDİ",Başvuru!$A:$A,"&lt;&gt;"&amp;"",Başvuru!$F:$F,"&lt;&gt;"&amp;""))</f>
        <v/>
      </c>
      <c r="Q370" s="170" t="str">
        <f t="array" ref="Q370">IFERROR(INDEX(Başvuru!$C$2:$C$3000, MATCH(0, COUNTIF($Q$5:Q369, Başvuru!$C$2:$C$3000) + IF(Başvuru!$C$2:$C$3000="",1,0), 0)), "")</f>
        <v/>
      </c>
      <c r="R370" s="171" t="str">
        <f>IF(Q370="","",COUNTIFS(Başvuru!$C:$C,Q370,Başvuru!$A:$A,"&lt;&gt;"&amp;"",Başvuru!$F:$F,"&lt;&gt;"&amp;""))</f>
        <v/>
      </c>
      <c r="S370" s="171" t="str">
        <f>IF(R370="","",RANK(R370,$R$6:$R$505,0)+COUNTIF($R$6:R370,R370)-1)</f>
        <v/>
      </c>
    </row>
    <row r="371" spans="2:19" ht="23.25" customHeight="1" x14ac:dyDescent="0.25">
      <c r="B371" s="159">
        <v>366</v>
      </c>
      <c r="C371" s="160" t="str">
        <f>IFERROR(INDEX($Q$6:$Q$505,MATCH(366,$S$6:$S$505,0)),"")</f>
        <v/>
      </c>
      <c r="D371" s="161" t="str">
        <f>IF(C371="","",COUNTIFS(Başvuru!$C:$C,C371,Başvuru!$A:$A,"&lt;&gt;"&amp;"",Başvuru!$F:$F,"&lt;&gt;"&amp;""))</f>
        <v/>
      </c>
      <c r="E371" s="159" t="str">
        <f>IF(C371="","-",IF(D371&gt;0,TEXT(D371/(COUNTIFS(Başvuru!$A:$A,"&lt;&gt;",Başvuru!$F:$F,"&lt;&gt;")-1)*100,"0.0")&amp;"%","-"))</f>
        <v>-</v>
      </c>
      <c r="F371" s="162" t="str">
        <f>IF(C371="","",COUNTIFS(Başvuru!$C:$C,C371,Başvuru!$G:$G,"Bireysel Araştırma",Başvuru!$A:$A,"&lt;&gt;"&amp;"",Başvuru!$F:$F,"&lt;&gt;"&amp;""))</f>
        <v/>
      </c>
      <c r="G371" s="162" t="str">
        <f>IF(C371="","",COUNTIFS(Başvuru!$C:$C,C371,Başvuru!$G:$G,"Uzmanlık Tezi",Başvuru!$A:$A,"&lt;&gt;"&amp;"",Başvuru!$F:$F,"&lt;&gt;"&amp;""))</f>
        <v/>
      </c>
      <c r="H371" s="162" t="str">
        <f>IF(C371="","",COUNTIFS(Başvuru!$C:$C,C371,Başvuru!$G:$G,"Doktora Tezi",Başvuru!$A:$A,"&lt;&gt;"&amp;"",Başvuru!$F:$F,"&lt;&gt;"&amp;""))</f>
        <v/>
      </c>
      <c r="I371" s="162" t="str">
        <f>IF(C371="","",COUNTIFS(Başvuru!$C:$C,C371,Başvuru!$G:$G,"Yüksek Lisans Tezi",Başvuru!$A:$A,"&lt;&gt;"&amp;"",Başvuru!$F:$F,"&lt;&gt;"&amp;""))</f>
        <v/>
      </c>
      <c r="J371" s="163" t="str">
        <f>IF(C371="","",COUNTIFS(Başvuru!$C:$C,C371,Başvuru!$L:$L,"ONAY",Başvuru!$A:$A,"&lt;&gt;"&amp;"",Başvuru!$F:$F,"&lt;&gt;"&amp;""))</f>
        <v/>
      </c>
      <c r="K371" s="164" t="str">
        <f>IF(C371="","",COUNTIFS(Başvuru!$C:$C,C371,Başvuru!$L:$L,"DÜZELTME",Başvuru!$A:$A,"&lt;&gt;"&amp;"",Başvuru!$F:$F,"&lt;&gt;"&amp;""))</f>
        <v/>
      </c>
      <c r="L371" s="165" t="str">
        <f>IF(C371="","",COUNTIFS(Başvuru!$C:$C,C371,Başvuru!$L:$L,"KAEK",Başvuru!$A:$A,"&lt;&gt;"&amp;"",Başvuru!$F:$F,"&lt;&gt;"&amp;""))</f>
        <v/>
      </c>
      <c r="M371" s="166" t="str">
        <f>IF(C371="","",COUNTIFS(Başvuru!$C:$C,C371,Başvuru!$L:$L,"GÖRÜŞ",Başvuru!$A:$A,"&lt;&gt;"&amp;"",Başvuru!$F:$F,"&lt;&gt;"&amp;""))</f>
        <v/>
      </c>
      <c r="N371" s="167" t="str">
        <f>IF(C371="","",COUNTIFS(Başvuru!$C:$C,C371,Başvuru!$L:$L,"RET",Başvuru!$A:$A,"&lt;&gt;"&amp;"",Başvuru!$F:$F,"&lt;&gt;"&amp;""))</f>
        <v/>
      </c>
      <c r="O371" s="168" t="str">
        <f>IF(C371="","",COUNTIFS(Başvuru!$C:$C,C371,Başvuru!$L:$L,"KAPSAM DIŞI",Başvuru!$A:$A,"&lt;&gt;"&amp;"",Başvuru!$F:$F,"&lt;&gt;"&amp;""))</f>
        <v/>
      </c>
      <c r="P371" s="169" t="str">
        <f>IF(C371="","",COUNTIFS(Başvuru!$C:$C,C371,Başvuru!$L:$L,"GERİ ÇEKİLDİ",Başvuru!$A:$A,"&lt;&gt;"&amp;"",Başvuru!$F:$F,"&lt;&gt;"&amp;""))</f>
        <v/>
      </c>
      <c r="Q371" s="170" t="str">
        <f t="array" ref="Q371">IFERROR(INDEX(Başvuru!$C$2:$C$3000, MATCH(0, COUNTIF($Q$5:Q370, Başvuru!$C$2:$C$3000) + IF(Başvuru!$C$2:$C$3000="",1,0), 0)), "")</f>
        <v/>
      </c>
      <c r="R371" s="171" t="str">
        <f>IF(Q371="","",COUNTIFS(Başvuru!$C:$C,Q371,Başvuru!$A:$A,"&lt;&gt;"&amp;"",Başvuru!$F:$F,"&lt;&gt;"&amp;""))</f>
        <v/>
      </c>
      <c r="S371" s="171" t="str">
        <f>IF(R371="","",RANK(R371,$R$6:$R$505,0)+COUNTIF($R$6:R371,R371)-1)</f>
        <v/>
      </c>
    </row>
    <row r="372" spans="2:19" ht="23.25" customHeight="1" x14ac:dyDescent="0.25">
      <c r="B372" s="159">
        <v>367</v>
      </c>
      <c r="C372" s="160" t="str">
        <f>IFERROR(INDEX($Q$6:$Q$505,MATCH(367,$S$6:$S$505,0)),"")</f>
        <v/>
      </c>
      <c r="D372" s="161" t="str">
        <f>IF(C372="","",COUNTIFS(Başvuru!$C:$C,C372,Başvuru!$A:$A,"&lt;&gt;"&amp;"",Başvuru!$F:$F,"&lt;&gt;"&amp;""))</f>
        <v/>
      </c>
      <c r="E372" s="159" t="str">
        <f>IF(C372="","-",IF(D372&gt;0,TEXT(D372/(COUNTIFS(Başvuru!$A:$A,"&lt;&gt;",Başvuru!$F:$F,"&lt;&gt;")-1)*100,"0.0")&amp;"%","-"))</f>
        <v>-</v>
      </c>
      <c r="F372" s="162" t="str">
        <f>IF(C372="","",COUNTIFS(Başvuru!$C:$C,C372,Başvuru!$G:$G,"Bireysel Araştırma",Başvuru!$A:$A,"&lt;&gt;"&amp;"",Başvuru!$F:$F,"&lt;&gt;"&amp;""))</f>
        <v/>
      </c>
      <c r="G372" s="162" t="str">
        <f>IF(C372="","",COUNTIFS(Başvuru!$C:$C,C372,Başvuru!$G:$G,"Uzmanlık Tezi",Başvuru!$A:$A,"&lt;&gt;"&amp;"",Başvuru!$F:$F,"&lt;&gt;"&amp;""))</f>
        <v/>
      </c>
      <c r="H372" s="162" t="str">
        <f>IF(C372="","",COUNTIFS(Başvuru!$C:$C,C372,Başvuru!$G:$G,"Doktora Tezi",Başvuru!$A:$A,"&lt;&gt;"&amp;"",Başvuru!$F:$F,"&lt;&gt;"&amp;""))</f>
        <v/>
      </c>
      <c r="I372" s="162" t="str">
        <f>IF(C372="","",COUNTIFS(Başvuru!$C:$C,C372,Başvuru!$G:$G,"Yüksek Lisans Tezi",Başvuru!$A:$A,"&lt;&gt;"&amp;"",Başvuru!$F:$F,"&lt;&gt;"&amp;""))</f>
        <v/>
      </c>
      <c r="J372" s="163" t="str">
        <f>IF(C372="","",COUNTIFS(Başvuru!$C:$C,C372,Başvuru!$L:$L,"ONAY",Başvuru!$A:$A,"&lt;&gt;"&amp;"",Başvuru!$F:$F,"&lt;&gt;"&amp;""))</f>
        <v/>
      </c>
      <c r="K372" s="164" t="str">
        <f>IF(C372="","",COUNTIFS(Başvuru!$C:$C,C372,Başvuru!$L:$L,"DÜZELTME",Başvuru!$A:$A,"&lt;&gt;"&amp;"",Başvuru!$F:$F,"&lt;&gt;"&amp;""))</f>
        <v/>
      </c>
      <c r="L372" s="165" t="str">
        <f>IF(C372="","",COUNTIFS(Başvuru!$C:$C,C372,Başvuru!$L:$L,"KAEK",Başvuru!$A:$A,"&lt;&gt;"&amp;"",Başvuru!$F:$F,"&lt;&gt;"&amp;""))</f>
        <v/>
      </c>
      <c r="M372" s="166" t="str">
        <f>IF(C372="","",COUNTIFS(Başvuru!$C:$C,C372,Başvuru!$L:$L,"GÖRÜŞ",Başvuru!$A:$A,"&lt;&gt;"&amp;"",Başvuru!$F:$F,"&lt;&gt;"&amp;""))</f>
        <v/>
      </c>
      <c r="N372" s="167" t="str">
        <f>IF(C372="","",COUNTIFS(Başvuru!$C:$C,C372,Başvuru!$L:$L,"RET",Başvuru!$A:$A,"&lt;&gt;"&amp;"",Başvuru!$F:$F,"&lt;&gt;"&amp;""))</f>
        <v/>
      </c>
      <c r="O372" s="168" t="str">
        <f>IF(C372="","",COUNTIFS(Başvuru!$C:$C,C372,Başvuru!$L:$L,"KAPSAM DIŞI",Başvuru!$A:$A,"&lt;&gt;"&amp;"",Başvuru!$F:$F,"&lt;&gt;"&amp;""))</f>
        <v/>
      </c>
      <c r="P372" s="169" t="str">
        <f>IF(C372="","",COUNTIFS(Başvuru!$C:$C,C372,Başvuru!$L:$L,"GERİ ÇEKİLDİ",Başvuru!$A:$A,"&lt;&gt;"&amp;"",Başvuru!$F:$F,"&lt;&gt;"&amp;""))</f>
        <v/>
      </c>
      <c r="Q372" s="170" t="str">
        <f t="array" ref="Q372">IFERROR(INDEX(Başvuru!$C$2:$C$3000, MATCH(0, COUNTIF($Q$5:Q371, Başvuru!$C$2:$C$3000) + IF(Başvuru!$C$2:$C$3000="",1,0), 0)), "")</f>
        <v/>
      </c>
      <c r="R372" s="171" t="str">
        <f>IF(Q372="","",COUNTIFS(Başvuru!$C:$C,Q372,Başvuru!$A:$A,"&lt;&gt;"&amp;"",Başvuru!$F:$F,"&lt;&gt;"&amp;""))</f>
        <v/>
      </c>
      <c r="S372" s="171" t="str">
        <f>IF(R372="","",RANK(R372,$R$6:$R$505,0)+COUNTIF($R$6:R372,R372)-1)</f>
        <v/>
      </c>
    </row>
    <row r="373" spans="2:19" ht="23.25" customHeight="1" x14ac:dyDescent="0.25">
      <c r="B373" s="159">
        <v>368</v>
      </c>
      <c r="C373" s="160" t="str">
        <f>IFERROR(INDEX($Q$6:$Q$505,MATCH(368,$S$6:$S$505,0)),"")</f>
        <v/>
      </c>
      <c r="D373" s="161" t="str">
        <f>IF(C373="","",COUNTIFS(Başvuru!$C:$C,C373,Başvuru!$A:$A,"&lt;&gt;"&amp;"",Başvuru!$F:$F,"&lt;&gt;"&amp;""))</f>
        <v/>
      </c>
      <c r="E373" s="159" t="str">
        <f>IF(C373="","-",IF(D373&gt;0,TEXT(D373/(COUNTIFS(Başvuru!$A:$A,"&lt;&gt;",Başvuru!$F:$F,"&lt;&gt;")-1)*100,"0.0")&amp;"%","-"))</f>
        <v>-</v>
      </c>
      <c r="F373" s="162" t="str">
        <f>IF(C373="","",COUNTIFS(Başvuru!$C:$C,C373,Başvuru!$G:$G,"Bireysel Araştırma",Başvuru!$A:$A,"&lt;&gt;"&amp;"",Başvuru!$F:$F,"&lt;&gt;"&amp;""))</f>
        <v/>
      </c>
      <c r="G373" s="162" t="str">
        <f>IF(C373="","",COUNTIFS(Başvuru!$C:$C,C373,Başvuru!$G:$G,"Uzmanlık Tezi",Başvuru!$A:$A,"&lt;&gt;"&amp;"",Başvuru!$F:$F,"&lt;&gt;"&amp;""))</f>
        <v/>
      </c>
      <c r="H373" s="162" t="str">
        <f>IF(C373="","",COUNTIFS(Başvuru!$C:$C,C373,Başvuru!$G:$G,"Doktora Tezi",Başvuru!$A:$A,"&lt;&gt;"&amp;"",Başvuru!$F:$F,"&lt;&gt;"&amp;""))</f>
        <v/>
      </c>
      <c r="I373" s="162" t="str">
        <f>IF(C373="","",COUNTIFS(Başvuru!$C:$C,C373,Başvuru!$G:$G,"Yüksek Lisans Tezi",Başvuru!$A:$A,"&lt;&gt;"&amp;"",Başvuru!$F:$F,"&lt;&gt;"&amp;""))</f>
        <v/>
      </c>
      <c r="J373" s="163" t="str">
        <f>IF(C373="","",COUNTIFS(Başvuru!$C:$C,C373,Başvuru!$L:$L,"ONAY",Başvuru!$A:$A,"&lt;&gt;"&amp;"",Başvuru!$F:$F,"&lt;&gt;"&amp;""))</f>
        <v/>
      </c>
      <c r="K373" s="164" t="str">
        <f>IF(C373="","",COUNTIFS(Başvuru!$C:$C,C373,Başvuru!$L:$L,"DÜZELTME",Başvuru!$A:$A,"&lt;&gt;"&amp;"",Başvuru!$F:$F,"&lt;&gt;"&amp;""))</f>
        <v/>
      </c>
      <c r="L373" s="165" t="str">
        <f>IF(C373="","",COUNTIFS(Başvuru!$C:$C,C373,Başvuru!$L:$L,"KAEK",Başvuru!$A:$A,"&lt;&gt;"&amp;"",Başvuru!$F:$F,"&lt;&gt;"&amp;""))</f>
        <v/>
      </c>
      <c r="M373" s="166" t="str">
        <f>IF(C373="","",COUNTIFS(Başvuru!$C:$C,C373,Başvuru!$L:$L,"GÖRÜŞ",Başvuru!$A:$A,"&lt;&gt;"&amp;"",Başvuru!$F:$F,"&lt;&gt;"&amp;""))</f>
        <v/>
      </c>
      <c r="N373" s="167" t="str">
        <f>IF(C373="","",COUNTIFS(Başvuru!$C:$C,C373,Başvuru!$L:$L,"RET",Başvuru!$A:$A,"&lt;&gt;"&amp;"",Başvuru!$F:$F,"&lt;&gt;"&amp;""))</f>
        <v/>
      </c>
      <c r="O373" s="168" t="str">
        <f>IF(C373="","",COUNTIFS(Başvuru!$C:$C,C373,Başvuru!$L:$L,"KAPSAM DIŞI",Başvuru!$A:$A,"&lt;&gt;"&amp;"",Başvuru!$F:$F,"&lt;&gt;"&amp;""))</f>
        <v/>
      </c>
      <c r="P373" s="169" t="str">
        <f>IF(C373="","",COUNTIFS(Başvuru!$C:$C,C373,Başvuru!$L:$L,"GERİ ÇEKİLDİ",Başvuru!$A:$A,"&lt;&gt;"&amp;"",Başvuru!$F:$F,"&lt;&gt;"&amp;""))</f>
        <v/>
      </c>
      <c r="Q373" s="170" t="str">
        <f t="array" ref="Q373">IFERROR(INDEX(Başvuru!$C$2:$C$3000, MATCH(0, COUNTIF($Q$5:Q372, Başvuru!$C$2:$C$3000) + IF(Başvuru!$C$2:$C$3000="",1,0), 0)), "")</f>
        <v/>
      </c>
      <c r="R373" s="171" t="str">
        <f>IF(Q373="","",COUNTIFS(Başvuru!$C:$C,Q373,Başvuru!$A:$A,"&lt;&gt;"&amp;"",Başvuru!$F:$F,"&lt;&gt;"&amp;""))</f>
        <v/>
      </c>
      <c r="S373" s="171" t="str">
        <f>IF(R373="","",RANK(R373,$R$6:$R$505,0)+COUNTIF($R$6:R373,R373)-1)</f>
        <v/>
      </c>
    </row>
    <row r="374" spans="2:19" ht="23.25" customHeight="1" x14ac:dyDescent="0.25">
      <c r="B374" s="159">
        <v>369</v>
      </c>
      <c r="C374" s="160" t="str">
        <f>IFERROR(INDEX($Q$6:$Q$505,MATCH(369,$S$6:$S$505,0)),"")</f>
        <v/>
      </c>
      <c r="D374" s="161" t="str">
        <f>IF(C374="","",COUNTIFS(Başvuru!$C:$C,C374,Başvuru!$A:$A,"&lt;&gt;"&amp;"",Başvuru!$F:$F,"&lt;&gt;"&amp;""))</f>
        <v/>
      </c>
      <c r="E374" s="159" t="str">
        <f>IF(C374="","-",IF(D374&gt;0,TEXT(D374/(COUNTIFS(Başvuru!$A:$A,"&lt;&gt;",Başvuru!$F:$F,"&lt;&gt;")-1)*100,"0.0")&amp;"%","-"))</f>
        <v>-</v>
      </c>
      <c r="F374" s="162" t="str">
        <f>IF(C374="","",COUNTIFS(Başvuru!$C:$C,C374,Başvuru!$G:$G,"Bireysel Araştırma",Başvuru!$A:$A,"&lt;&gt;"&amp;"",Başvuru!$F:$F,"&lt;&gt;"&amp;""))</f>
        <v/>
      </c>
      <c r="G374" s="162" t="str">
        <f>IF(C374="","",COUNTIFS(Başvuru!$C:$C,C374,Başvuru!$G:$G,"Uzmanlık Tezi",Başvuru!$A:$A,"&lt;&gt;"&amp;"",Başvuru!$F:$F,"&lt;&gt;"&amp;""))</f>
        <v/>
      </c>
      <c r="H374" s="162" t="str">
        <f>IF(C374="","",COUNTIFS(Başvuru!$C:$C,C374,Başvuru!$G:$G,"Doktora Tezi",Başvuru!$A:$A,"&lt;&gt;"&amp;"",Başvuru!$F:$F,"&lt;&gt;"&amp;""))</f>
        <v/>
      </c>
      <c r="I374" s="162" t="str">
        <f>IF(C374="","",COUNTIFS(Başvuru!$C:$C,C374,Başvuru!$G:$G,"Yüksek Lisans Tezi",Başvuru!$A:$A,"&lt;&gt;"&amp;"",Başvuru!$F:$F,"&lt;&gt;"&amp;""))</f>
        <v/>
      </c>
      <c r="J374" s="163" t="str">
        <f>IF(C374="","",COUNTIFS(Başvuru!$C:$C,C374,Başvuru!$L:$L,"ONAY",Başvuru!$A:$A,"&lt;&gt;"&amp;"",Başvuru!$F:$F,"&lt;&gt;"&amp;""))</f>
        <v/>
      </c>
      <c r="K374" s="164" t="str">
        <f>IF(C374="","",COUNTIFS(Başvuru!$C:$C,C374,Başvuru!$L:$L,"DÜZELTME",Başvuru!$A:$A,"&lt;&gt;"&amp;"",Başvuru!$F:$F,"&lt;&gt;"&amp;""))</f>
        <v/>
      </c>
      <c r="L374" s="165" t="str">
        <f>IF(C374="","",COUNTIFS(Başvuru!$C:$C,C374,Başvuru!$L:$L,"KAEK",Başvuru!$A:$A,"&lt;&gt;"&amp;"",Başvuru!$F:$F,"&lt;&gt;"&amp;""))</f>
        <v/>
      </c>
      <c r="M374" s="166" t="str">
        <f>IF(C374="","",COUNTIFS(Başvuru!$C:$C,C374,Başvuru!$L:$L,"GÖRÜŞ",Başvuru!$A:$A,"&lt;&gt;"&amp;"",Başvuru!$F:$F,"&lt;&gt;"&amp;""))</f>
        <v/>
      </c>
      <c r="N374" s="167" t="str">
        <f>IF(C374="","",COUNTIFS(Başvuru!$C:$C,C374,Başvuru!$L:$L,"RET",Başvuru!$A:$A,"&lt;&gt;"&amp;"",Başvuru!$F:$F,"&lt;&gt;"&amp;""))</f>
        <v/>
      </c>
      <c r="O374" s="168" t="str">
        <f>IF(C374="","",COUNTIFS(Başvuru!$C:$C,C374,Başvuru!$L:$L,"KAPSAM DIŞI",Başvuru!$A:$A,"&lt;&gt;"&amp;"",Başvuru!$F:$F,"&lt;&gt;"&amp;""))</f>
        <v/>
      </c>
      <c r="P374" s="169" t="str">
        <f>IF(C374="","",COUNTIFS(Başvuru!$C:$C,C374,Başvuru!$L:$L,"GERİ ÇEKİLDİ",Başvuru!$A:$A,"&lt;&gt;"&amp;"",Başvuru!$F:$F,"&lt;&gt;"&amp;""))</f>
        <v/>
      </c>
      <c r="Q374" s="170" t="str">
        <f t="array" ref="Q374">IFERROR(INDEX(Başvuru!$C$2:$C$3000, MATCH(0, COUNTIF($Q$5:Q373, Başvuru!$C$2:$C$3000) + IF(Başvuru!$C$2:$C$3000="",1,0), 0)), "")</f>
        <v/>
      </c>
      <c r="R374" s="171" t="str">
        <f>IF(Q374="","",COUNTIFS(Başvuru!$C:$C,Q374,Başvuru!$A:$A,"&lt;&gt;"&amp;"",Başvuru!$F:$F,"&lt;&gt;"&amp;""))</f>
        <v/>
      </c>
      <c r="S374" s="171" t="str">
        <f>IF(R374="","",RANK(R374,$R$6:$R$505,0)+COUNTIF($R$6:R374,R374)-1)</f>
        <v/>
      </c>
    </row>
    <row r="375" spans="2:19" ht="23.25" customHeight="1" x14ac:dyDescent="0.25">
      <c r="B375" s="159">
        <v>370</v>
      </c>
      <c r="C375" s="160" t="str">
        <f>IFERROR(INDEX($Q$6:$Q$505,MATCH(370,$S$6:$S$505,0)),"")</f>
        <v/>
      </c>
      <c r="D375" s="161" t="str">
        <f>IF(C375="","",COUNTIFS(Başvuru!$C:$C,C375,Başvuru!$A:$A,"&lt;&gt;"&amp;"",Başvuru!$F:$F,"&lt;&gt;"&amp;""))</f>
        <v/>
      </c>
      <c r="E375" s="159" t="str">
        <f>IF(C375="","-",IF(D375&gt;0,TEXT(D375/(COUNTIFS(Başvuru!$A:$A,"&lt;&gt;",Başvuru!$F:$F,"&lt;&gt;")-1)*100,"0.0")&amp;"%","-"))</f>
        <v>-</v>
      </c>
      <c r="F375" s="162" t="str">
        <f>IF(C375="","",COUNTIFS(Başvuru!$C:$C,C375,Başvuru!$G:$G,"Bireysel Araştırma",Başvuru!$A:$A,"&lt;&gt;"&amp;"",Başvuru!$F:$F,"&lt;&gt;"&amp;""))</f>
        <v/>
      </c>
      <c r="G375" s="162" t="str">
        <f>IF(C375="","",COUNTIFS(Başvuru!$C:$C,C375,Başvuru!$G:$G,"Uzmanlık Tezi",Başvuru!$A:$A,"&lt;&gt;"&amp;"",Başvuru!$F:$F,"&lt;&gt;"&amp;""))</f>
        <v/>
      </c>
      <c r="H375" s="162" t="str">
        <f>IF(C375="","",COUNTIFS(Başvuru!$C:$C,C375,Başvuru!$G:$G,"Doktora Tezi",Başvuru!$A:$A,"&lt;&gt;"&amp;"",Başvuru!$F:$F,"&lt;&gt;"&amp;""))</f>
        <v/>
      </c>
      <c r="I375" s="162" t="str">
        <f>IF(C375="","",COUNTIFS(Başvuru!$C:$C,C375,Başvuru!$G:$G,"Yüksek Lisans Tezi",Başvuru!$A:$A,"&lt;&gt;"&amp;"",Başvuru!$F:$F,"&lt;&gt;"&amp;""))</f>
        <v/>
      </c>
      <c r="J375" s="163" t="str">
        <f>IF(C375="","",COUNTIFS(Başvuru!$C:$C,C375,Başvuru!$L:$L,"ONAY",Başvuru!$A:$A,"&lt;&gt;"&amp;"",Başvuru!$F:$F,"&lt;&gt;"&amp;""))</f>
        <v/>
      </c>
      <c r="K375" s="164" t="str">
        <f>IF(C375="","",COUNTIFS(Başvuru!$C:$C,C375,Başvuru!$L:$L,"DÜZELTME",Başvuru!$A:$A,"&lt;&gt;"&amp;"",Başvuru!$F:$F,"&lt;&gt;"&amp;""))</f>
        <v/>
      </c>
      <c r="L375" s="165" t="str">
        <f>IF(C375="","",COUNTIFS(Başvuru!$C:$C,C375,Başvuru!$L:$L,"KAEK",Başvuru!$A:$A,"&lt;&gt;"&amp;"",Başvuru!$F:$F,"&lt;&gt;"&amp;""))</f>
        <v/>
      </c>
      <c r="M375" s="166" t="str">
        <f>IF(C375="","",COUNTIFS(Başvuru!$C:$C,C375,Başvuru!$L:$L,"GÖRÜŞ",Başvuru!$A:$A,"&lt;&gt;"&amp;"",Başvuru!$F:$F,"&lt;&gt;"&amp;""))</f>
        <v/>
      </c>
      <c r="N375" s="167" t="str">
        <f>IF(C375="","",COUNTIFS(Başvuru!$C:$C,C375,Başvuru!$L:$L,"RET",Başvuru!$A:$A,"&lt;&gt;"&amp;"",Başvuru!$F:$F,"&lt;&gt;"&amp;""))</f>
        <v/>
      </c>
      <c r="O375" s="168" t="str">
        <f>IF(C375="","",COUNTIFS(Başvuru!$C:$C,C375,Başvuru!$L:$L,"KAPSAM DIŞI",Başvuru!$A:$A,"&lt;&gt;"&amp;"",Başvuru!$F:$F,"&lt;&gt;"&amp;""))</f>
        <v/>
      </c>
      <c r="P375" s="169" t="str">
        <f>IF(C375="","",COUNTIFS(Başvuru!$C:$C,C375,Başvuru!$L:$L,"GERİ ÇEKİLDİ",Başvuru!$A:$A,"&lt;&gt;"&amp;"",Başvuru!$F:$F,"&lt;&gt;"&amp;""))</f>
        <v/>
      </c>
      <c r="Q375" s="170" t="str">
        <f t="array" ref="Q375">IFERROR(INDEX(Başvuru!$C$2:$C$3000, MATCH(0, COUNTIF($Q$5:Q374, Başvuru!$C$2:$C$3000) + IF(Başvuru!$C$2:$C$3000="",1,0), 0)), "")</f>
        <v/>
      </c>
      <c r="R375" s="171" t="str">
        <f>IF(Q375="","",COUNTIFS(Başvuru!$C:$C,Q375,Başvuru!$A:$A,"&lt;&gt;"&amp;"",Başvuru!$F:$F,"&lt;&gt;"&amp;""))</f>
        <v/>
      </c>
      <c r="S375" s="171" t="str">
        <f>IF(R375="","",RANK(R375,$R$6:$R$505,0)+COUNTIF($R$6:R375,R375)-1)</f>
        <v/>
      </c>
    </row>
    <row r="376" spans="2:19" ht="23.25" customHeight="1" x14ac:dyDescent="0.25">
      <c r="B376" s="159">
        <v>371</v>
      </c>
      <c r="C376" s="160" t="str">
        <f>IFERROR(INDEX($Q$6:$Q$505,MATCH(371,$S$6:$S$505,0)),"")</f>
        <v/>
      </c>
      <c r="D376" s="161" t="str">
        <f>IF(C376="","",COUNTIFS(Başvuru!$C:$C,C376,Başvuru!$A:$A,"&lt;&gt;"&amp;"",Başvuru!$F:$F,"&lt;&gt;"&amp;""))</f>
        <v/>
      </c>
      <c r="E376" s="159" t="str">
        <f>IF(C376="","-",IF(D376&gt;0,TEXT(D376/(COUNTIFS(Başvuru!$A:$A,"&lt;&gt;",Başvuru!$F:$F,"&lt;&gt;")-1)*100,"0.0")&amp;"%","-"))</f>
        <v>-</v>
      </c>
      <c r="F376" s="162" t="str">
        <f>IF(C376="","",COUNTIFS(Başvuru!$C:$C,C376,Başvuru!$G:$G,"Bireysel Araştırma",Başvuru!$A:$A,"&lt;&gt;"&amp;"",Başvuru!$F:$F,"&lt;&gt;"&amp;""))</f>
        <v/>
      </c>
      <c r="G376" s="162" t="str">
        <f>IF(C376="","",COUNTIFS(Başvuru!$C:$C,C376,Başvuru!$G:$G,"Uzmanlık Tezi",Başvuru!$A:$A,"&lt;&gt;"&amp;"",Başvuru!$F:$F,"&lt;&gt;"&amp;""))</f>
        <v/>
      </c>
      <c r="H376" s="162" t="str">
        <f>IF(C376="","",COUNTIFS(Başvuru!$C:$C,C376,Başvuru!$G:$G,"Doktora Tezi",Başvuru!$A:$A,"&lt;&gt;"&amp;"",Başvuru!$F:$F,"&lt;&gt;"&amp;""))</f>
        <v/>
      </c>
      <c r="I376" s="162" t="str">
        <f>IF(C376="","",COUNTIFS(Başvuru!$C:$C,C376,Başvuru!$G:$G,"Yüksek Lisans Tezi",Başvuru!$A:$A,"&lt;&gt;"&amp;"",Başvuru!$F:$F,"&lt;&gt;"&amp;""))</f>
        <v/>
      </c>
      <c r="J376" s="163" t="str">
        <f>IF(C376="","",COUNTIFS(Başvuru!$C:$C,C376,Başvuru!$L:$L,"ONAY",Başvuru!$A:$A,"&lt;&gt;"&amp;"",Başvuru!$F:$F,"&lt;&gt;"&amp;""))</f>
        <v/>
      </c>
      <c r="K376" s="164" t="str">
        <f>IF(C376="","",COUNTIFS(Başvuru!$C:$C,C376,Başvuru!$L:$L,"DÜZELTME",Başvuru!$A:$A,"&lt;&gt;"&amp;"",Başvuru!$F:$F,"&lt;&gt;"&amp;""))</f>
        <v/>
      </c>
      <c r="L376" s="165" t="str">
        <f>IF(C376="","",COUNTIFS(Başvuru!$C:$C,C376,Başvuru!$L:$L,"KAEK",Başvuru!$A:$A,"&lt;&gt;"&amp;"",Başvuru!$F:$F,"&lt;&gt;"&amp;""))</f>
        <v/>
      </c>
      <c r="M376" s="166" t="str">
        <f>IF(C376="","",COUNTIFS(Başvuru!$C:$C,C376,Başvuru!$L:$L,"GÖRÜŞ",Başvuru!$A:$A,"&lt;&gt;"&amp;"",Başvuru!$F:$F,"&lt;&gt;"&amp;""))</f>
        <v/>
      </c>
      <c r="N376" s="167" t="str">
        <f>IF(C376="","",COUNTIFS(Başvuru!$C:$C,C376,Başvuru!$L:$L,"RET",Başvuru!$A:$A,"&lt;&gt;"&amp;"",Başvuru!$F:$F,"&lt;&gt;"&amp;""))</f>
        <v/>
      </c>
      <c r="O376" s="168" t="str">
        <f>IF(C376="","",COUNTIFS(Başvuru!$C:$C,C376,Başvuru!$L:$L,"KAPSAM DIŞI",Başvuru!$A:$A,"&lt;&gt;"&amp;"",Başvuru!$F:$F,"&lt;&gt;"&amp;""))</f>
        <v/>
      </c>
      <c r="P376" s="169" t="str">
        <f>IF(C376="","",COUNTIFS(Başvuru!$C:$C,C376,Başvuru!$L:$L,"GERİ ÇEKİLDİ",Başvuru!$A:$A,"&lt;&gt;"&amp;"",Başvuru!$F:$F,"&lt;&gt;"&amp;""))</f>
        <v/>
      </c>
      <c r="Q376" s="170" t="str">
        <f t="array" ref="Q376">IFERROR(INDEX(Başvuru!$C$2:$C$3000, MATCH(0, COUNTIF($Q$5:Q375, Başvuru!$C$2:$C$3000) + IF(Başvuru!$C$2:$C$3000="",1,0), 0)), "")</f>
        <v/>
      </c>
      <c r="R376" s="171" t="str">
        <f>IF(Q376="","",COUNTIFS(Başvuru!$C:$C,Q376,Başvuru!$A:$A,"&lt;&gt;"&amp;"",Başvuru!$F:$F,"&lt;&gt;"&amp;""))</f>
        <v/>
      </c>
      <c r="S376" s="171" t="str">
        <f>IF(R376="","",RANK(R376,$R$6:$R$505,0)+COUNTIF($R$6:R376,R376)-1)</f>
        <v/>
      </c>
    </row>
    <row r="377" spans="2:19" ht="23.25" customHeight="1" x14ac:dyDescent="0.25">
      <c r="B377" s="159">
        <v>372</v>
      </c>
      <c r="C377" s="160" t="str">
        <f>IFERROR(INDEX($Q$6:$Q$505,MATCH(372,$S$6:$S$505,0)),"")</f>
        <v/>
      </c>
      <c r="D377" s="161" t="str">
        <f>IF(C377="","",COUNTIFS(Başvuru!$C:$C,C377,Başvuru!$A:$A,"&lt;&gt;"&amp;"",Başvuru!$F:$F,"&lt;&gt;"&amp;""))</f>
        <v/>
      </c>
      <c r="E377" s="159" t="str">
        <f>IF(C377="","-",IF(D377&gt;0,TEXT(D377/(COUNTIFS(Başvuru!$A:$A,"&lt;&gt;",Başvuru!$F:$F,"&lt;&gt;")-1)*100,"0.0")&amp;"%","-"))</f>
        <v>-</v>
      </c>
      <c r="F377" s="162" t="str">
        <f>IF(C377="","",COUNTIFS(Başvuru!$C:$C,C377,Başvuru!$G:$G,"Bireysel Araştırma",Başvuru!$A:$A,"&lt;&gt;"&amp;"",Başvuru!$F:$F,"&lt;&gt;"&amp;""))</f>
        <v/>
      </c>
      <c r="G377" s="162" t="str">
        <f>IF(C377="","",COUNTIFS(Başvuru!$C:$C,C377,Başvuru!$G:$G,"Uzmanlık Tezi",Başvuru!$A:$A,"&lt;&gt;"&amp;"",Başvuru!$F:$F,"&lt;&gt;"&amp;""))</f>
        <v/>
      </c>
      <c r="H377" s="162" t="str">
        <f>IF(C377="","",COUNTIFS(Başvuru!$C:$C,C377,Başvuru!$G:$G,"Doktora Tezi",Başvuru!$A:$A,"&lt;&gt;"&amp;"",Başvuru!$F:$F,"&lt;&gt;"&amp;""))</f>
        <v/>
      </c>
      <c r="I377" s="162" t="str">
        <f>IF(C377="","",COUNTIFS(Başvuru!$C:$C,C377,Başvuru!$G:$G,"Yüksek Lisans Tezi",Başvuru!$A:$A,"&lt;&gt;"&amp;"",Başvuru!$F:$F,"&lt;&gt;"&amp;""))</f>
        <v/>
      </c>
      <c r="J377" s="163" t="str">
        <f>IF(C377="","",COUNTIFS(Başvuru!$C:$C,C377,Başvuru!$L:$L,"ONAY",Başvuru!$A:$A,"&lt;&gt;"&amp;"",Başvuru!$F:$F,"&lt;&gt;"&amp;""))</f>
        <v/>
      </c>
      <c r="K377" s="164" t="str">
        <f>IF(C377="","",COUNTIFS(Başvuru!$C:$C,C377,Başvuru!$L:$L,"DÜZELTME",Başvuru!$A:$A,"&lt;&gt;"&amp;"",Başvuru!$F:$F,"&lt;&gt;"&amp;""))</f>
        <v/>
      </c>
      <c r="L377" s="165" t="str">
        <f>IF(C377="","",COUNTIFS(Başvuru!$C:$C,C377,Başvuru!$L:$L,"KAEK",Başvuru!$A:$A,"&lt;&gt;"&amp;"",Başvuru!$F:$F,"&lt;&gt;"&amp;""))</f>
        <v/>
      </c>
      <c r="M377" s="166" t="str">
        <f>IF(C377="","",COUNTIFS(Başvuru!$C:$C,C377,Başvuru!$L:$L,"GÖRÜŞ",Başvuru!$A:$A,"&lt;&gt;"&amp;"",Başvuru!$F:$F,"&lt;&gt;"&amp;""))</f>
        <v/>
      </c>
      <c r="N377" s="167" t="str">
        <f>IF(C377="","",COUNTIFS(Başvuru!$C:$C,C377,Başvuru!$L:$L,"RET",Başvuru!$A:$A,"&lt;&gt;"&amp;"",Başvuru!$F:$F,"&lt;&gt;"&amp;""))</f>
        <v/>
      </c>
      <c r="O377" s="168" t="str">
        <f>IF(C377="","",COUNTIFS(Başvuru!$C:$C,C377,Başvuru!$L:$L,"KAPSAM DIŞI",Başvuru!$A:$A,"&lt;&gt;"&amp;"",Başvuru!$F:$F,"&lt;&gt;"&amp;""))</f>
        <v/>
      </c>
      <c r="P377" s="169" t="str">
        <f>IF(C377="","",COUNTIFS(Başvuru!$C:$C,C377,Başvuru!$L:$L,"GERİ ÇEKİLDİ",Başvuru!$A:$A,"&lt;&gt;"&amp;"",Başvuru!$F:$F,"&lt;&gt;"&amp;""))</f>
        <v/>
      </c>
      <c r="Q377" s="170" t="str">
        <f t="array" ref="Q377">IFERROR(INDEX(Başvuru!$C$2:$C$3000, MATCH(0, COUNTIF($Q$5:Q376, Başvuru!$C$2:$C$3000) + IF(Başvuru!$C$2:$C$3000="",1,0), 0)), "")</f>
        <v/>
      </c>
      <c r="R377" s="171" t="str">
        <f>IF(Q377="","",COUNTIFS(Başvuru!$C:$C,Q377,Başvuru!$A:$A,"&lt;&gt;"&amp;"",Başvuru!$F:$F,"&lt;&gt;"&amp;""))</f>
        <v/>
      </c>
      <c r="S377" s="171" t="str">
        <f>IF(R377="","",RANK(R377,$R$6:$R$505,0)+COUNTIF($R$6:R377,R377)-1)</f>
        <v/>
      </c>
    </row>
    <row r="378" spans="2:19" ht="23.25" customHeight="1" x14ac:dyDescent="0.25">
      <c r="B378" s="159">
        <v>373</v>
      </c>
      <c r="C378" s="160" t="str">
        <f>IFERROR(INDEX($Q$6:$Q$505,MATCH(373,$S$6:$S$505,0)),"")</f>
        <v/>
      </c>
      <c r="D378" s="161" t="str">
        <f>IF(C378="","",COUNTIFS(Başvuru!$C:$C,C378,Başvuru!$A:$A,"&lt;&gt;"&amp;"",Başvuru!$F:$F,"&lt;&gt;"&amp;""))</f>
        <v/>
      </c>
      <c r="E378" s="159" t="str">
        <f>IF(C378="","-",IF(D378&gt;0,TEXT(D378/(COUNTIFS(Başvuru!$A:$A,"&lt;&gt;",Başvuru!$F:$F,"&lt;&gt;")-1)*100,"0.0")&amp;"%","-"))</f>
        <v>-</v>
      </c>
      <c r="F378" s="162" t="str">
        <f>IF(C378="","",COUNTIFS(Başvuru!$C:$C,C378,Başvuru!$G:$G,"Bireysel Araştırma",Başvuru!$A:$A,"&lt;&gt;"&amp;"",Başvuru!$F:$F,"&lt;&gt;"&amp;""))</f>
        <v/>
      </c>
      <c r="G378" s="162" t="str">
        <f>IF(C378="","",COUNTIFS(Başvuru!$C:$C,C378,Başvuru!$G:$G,"Uzmanlık Tezi",Başvuru!$A:$A,"&lt;&gt;"&amp;"",Başvuru!$F:$F,"&lt;&gt;"&amp;""))</f>
        <v/>
      </c>
      <c r="H378" s="162" t="str">
        <f>IF(C378="","",COUNTIFS(Başvuru!$C:$C,C378,Başvuru!$G:$G,"Doktora Tezi",Başvuru!$A:$A,"&lt;&gt;"&amp;"",Başvuru!$F:$F,"&lt;&gt;"&amp;""))</f>
        <v/>
      </c>
      <c r="I378" s="162" t="str">
        <f>IF(C378="","",COUNTIFS(Başvuru!$C:$C,C378,Başvuru!$G:$G,"Yüksek Lisans Tezi",Başvuru!$A:$A,"&lt;&gt;"&amp;"",Başvuru!$F:$F,"&lt;&gt;"&amp;""))</f>
        <v/>
      </c>
      <c r="J378" s="163" t="str">
        <f>IF(C378="","",COUNTIFS(Başvuru!$C:$C,C378,Başvuru!$L:$L,"ONAY",Başvuru!$A:$A,"&lt;&gt;"&amp;"",Başvuru!$F:$F,"&lt;&gt;"&amp;""))</f>
        <v/>
      </c>
      <c r="K378" s="164" t="str">
        <f>IF(C378="","",COUNTIFS(Başvuru!$C:$C,C378,Başvuru!$L:$L,"DÜZELTME",Başvuru!$A:$A,"&lt;&gt;"&amp;"",Başvuru!$F:$F,"&lt;&gt;"&amp;""))</f>
        <v/>
      </c>
      <c r="L378" s="165" t="str">
        <f>IF(C378="","",COUNTIFS(Başvuru!$C:$C,C378,Başvuru!$L:$L,"KAEK",Başvuru!$A:$A,"&lt;&gt;"&amp;"",Başvuru!$F:$F,"&lt;&gt;"&amp;""))</f>
        <v/>
      </c>
      <c r="M378" s="166" t="str">
        <f>IF(C378="","",COUNTIFS(Başvuru!$C:$C,C378,Başvuru!$L:$L,"GÖRÜŞ",Başvuru!$A:$A,"&lt;&gt;"&amp;"",Başvuru!$F:$F,"&lt;&gt;"&amp;""))</f>
        <v/>
      </c>
      <c r="N378" s="167" t="str">
        <f>IF(C378="","",COUNTIFS(Başvuru!$C:$C,C378,Başvuru!$L:$L,"RET",Başvuru!$A:$A,"&lt;&gt;"&amp;"",Başvuru!$F:$F,"&lt;&gt;"&amp;""))</f>
        <v/>
      </c>
      <c r="O378" s="168" t="str">
        <f>IF(C378="","",COUNTIFS(Başvuru!$C:$C,C378,Başvuru!$L:$L,"KAPSAM DIŞI",Başvuru!$A:$A,"&lt;&gt;"&amp;"",Başvuru!$F:$F,"&lt;&gt;"&amp;""))</f>
        <v/>
      </c>
      <c r="P378" s="169" t="str">
        <f>IF(C378="","",COUNTIFS(Başvuru!$C:$C,C378,Başvuru!$L:$L,"GERİ ÇEKİLDİ",Başvuru!$A:$A,"&lt;&gt;"&amp;"",Başvuru!$F:$F,"&lt;&gt;"&amp;""))</f>
        <v/>
      </c>
      <c r="Q378" s="170" t="str">
        <f t="array" ref="Q378">IFERROR(INDEX(Başvuru!$C$2:$C$3000, MATCH(0, COUNTIF($Q$5:Q377, Başvuru!$C$2:$C$3000) + IF(Başvuru!$C$2:$C$3000="",1,0), 0)), "")</f>
        <v/>
      </c>
      <c r="R378" s="171" t="str">
        <f>IF(Q378="","",COUNTIFS(Başvuru!$C:$C,Q378,Başvuru!$A:$A,"&lt;&gt;"&amp;"",Başvuru!$F:$F,"&lt;&gt;"&amp;""))</f>
        <v/>
      </c>
      <c r="S378" s="171" t="str">
        <f>IF(R378="","",RANK(R378,$R$6:$R$505,0)+COUNTIF($R$6:R378,R378)-1)</f>
        <v/>
      </c>
    </row>
    <row r="379" spans="2:19" ht="23.25" customHeight="1" x14ac:dyDescent="0.25">
      <c r="B379" s="159">
        <v>374</v>
      </c>
      <c r="C379" s="160" t="str">
        <f>IFERROR(INDEX($Q$6:$Q$505,MATCH(374,$S$6:$S$505,0)),"")</f>
        <v/>
      </c>
      <c r="D379" s="161" t="str">
        <f>IF(C379="","",COUNTIFS(Başvuru!$C:$C,C379,Başvuru!$A:$A,"&lt;&gt;"&amp;"",Başvuru!$F:$F,"&lt;&gt;"&amp;""))</f>
        <v/>
      </c>
      <c r="E379" s="159" t="str">
        <f>IF(C379="","-",IF(D379&gt;0,TEXT(D379/(COUNTIFS(Başvuru!$A:$A,"&lt;&gt;",Başvuru!$F:$F,"&lt;&gt;")-1)*100,"0.0")&amp;"%","-"))</f>
        <v>-</v>
      </c>
      <c r="F379" s="162" t="str">
        <f>IF(C379="","",COUNTIFS(Başvuru!$C:$C,C379,Başvuru!$G:$G,"Bireysel Araştırma",Başvuru!$A:$A,"&lt;&gt;"&amp;"",Başvuru!$F:$F,"&lt;&gt;"&amp;""))</f>
        <v/>
      </c>
      <c r="G379" s="162" t="str">
        <f>IF(C379="","",COUNTIFS(Başvuru!$C:$C,C379,Başvuru!$G:$G,"Uzmanlık Tezi",Başvuru!$A:$A,"&lt;&gt;"&amp;"",Başvuru!$F:$F,"&lt;&gt;"&amp;""))</f>
        <v/>
      </c>
      <c r="H379" s="162" t="str">
        <f>IF(C379="","",COUNTIFS(Başvuru!$C:$C,C379,Başvuru!$G:$G,"Doktora Tezi",Başvuru!$A:$A,"&lt;&gt;"&amp;"",Başvuru!$F:$F,"&lt;&gt;"&amp;""))</f>
        <v/>
      </c>
      <c r="I379" s="162" t="str">
        <f>IF(C379="","",COUNTIFS(Başvuru!$C:$C,C379,Başvuru!$G:$G,"Yüksek Lisans Tezi",Başvuru!$A:$A,"&lt;&gt;"&amp;"",Başvuru!$F:$F,"&lt;&gt;"&amp;""))</f>
        <v/>
      </c>
      <c r="J379" s="163" t="str">
        <f>IF(C379="","",COUNTIFS(Başvuru!$C:$C,C379,Başvuru!$L:$L,"ONAY",Başvuru!$A:$A,"&lt;&gt;"&amp;"",Başvuru!$F:$F,"&lt;&gt;"&amp;""))</f>
        <v/>
      </c>
      <c r="K379" s="164" t="str">
        <f>IF(C379="","",COUNTIFS(Başvuru!$C:$C,C379,Başvuru!$L:$L,"DÜZELTME",Başvuru!$A:$A,"&lt;&gt;"&amp;"",Başvuru!$F:$F,"&lt;&gt;"&amp;""))</f>
        <v/>
      </c>
      <c r="L379" s="165" t="str">
        <f>IF(C379="","",COUNTIFS(Başvuru!$C:$C,C379,Başvuru!$L:$L,"KAEK",Başvuru!$A:$A,"&lt;&gt;"&amp;"",Başvuru!$F:$F,"&lt;&gt;"&amp;""))</f>
        <v/>
      </c>
      <c r="M379" s="166" t="str">
        <f>IF(C379="","",COUNTIFS(Başvuru!$C:$C,C379,Başvuru!$L:$L,"GÖRÜŞ",Başvuru!$A:$A,"&lt;&gt;"&amp;"",Başvuru!$F:$F,"&lt;&gt;"&amp;""))</f>
        <v/>
      </c>
      <c r="N379" s="167" t="str">
        <f>IF(C379="","",COUNTIFS(Başvuru!$C:$C,C379,Başvuru!$L:$L,"RET",Başvuru!$A:$A,"&lt;&gt;"&amp;"",Başvuru!$F:$F,"&lt;&gt;"&amp;""))</f>
        <v/>
      </c>
      <c r="O379" s="168" t="str">
        <f>IF(C379="","",COUNTIFS(Başvuru!$C:$C,C379,Başvuru!$L:$L,"KAPSAM DIŞI",Başvuru!$A:$A,"&lt;&gt;"&amp;"",Başvuru!$F:$F,"&lt;&gt;"&amp;""))</f>
        <v/>
      </c>
      <c r="P379" s="169" t="str">
        <f>IF(C379="","",COUNTIFS(Başvuru!$C:$C,C379,Başvuru!$L:$L,"GERİ ÇEKİLDİ",Başvuru!$A:$A,"&lt;&gt;"&amp;"",Başvuru!$F:$F,"&lt;&gt;"&amp;""))</f>
        <v/>
      </c>
      <c r="Q379" s="170" t="str">
        <f t="array" ref="Q379">IFERROR(INDEX(Başvuru!$C$2:$C$3000, MATCH(0, COUNTIF($Q$5:Q378, Başvuru!$C$2:$C$3000) + IF(Başvuru!$C$2:$C$3000="",1,0), 0)), "")</f>
        <v/>
      </c>
      <c r="R379" s="171" t="str">
        <f>IF(Q379="","",COUNTIFS(Başvuru!$C:$C,Q379,Başvuru!$A:$A,"&lt;&gt;"&amp;"",Başvuru!$F:$F,"&lt;&gt;"&amp;""))</f>
        <v/>
      </c>
      <c r="S379" s="171" t="str">
        <f>IF(R379="","",RANK(R379,$R$6:$R$505,0)+COUNTIF($R$6:R379,R379)-1)</f>
        <v/>
      </c>
    </row>
    <row r="380" spans="2:19" ht="23.25" customHeight="1" x14ac:dyDescent="0.25">
      <c r="B380" s="159">
        <v>375</v>
      </c>
      <c r="C380" s="160" t="str">
        <f>IFERROR(INDEX($Q$6:$Q$505,MATCH(375,$S$6:$S$505,0)),"")</f>
        <v/>
      </c>
      <c r="D380" s="161" t="str">
        <f>IF(C380="","",COUNTIFS(Başvuru!$C:$C,C380,Başvuru!$A:$A,"&lt;&gt;"&amp;"",Başvuru!$F:$F,"&lt;&gt;"&amp;""))</f>
        <v/>
      </c>
      <c r="E380" s="159" t="str">
        <f>IF(C380="","-",IF(D380&gt;0,TEXT(D380/(COUNTIFS(Başvuru!$A:$A,"&lt;&gt;",Başvuru!$F:$F,"&lt;&gt;")-1)*100,"0.0")&amp;"%","-"))</f>
        <v>-</v>
      </c>
      <c r="F380" s="162" t="str">
        <f>IF(C380="","",COUNTIFS(Başvuru!$C:$C,C380,Başvuru!$G:$G,"Bireysel Araştırma",Başvuru!$A:$A,"&lt;&gt;"&amp;"",Başvuru!$F:$F,"&lt;&gt;"&amp;""))</f>
        <v/>
      </c>
      <c r="G380" s="162" t="str">
        <f>IF(C380="","",COUNTIFS(Başvuru!$C:$C,C380,Başvuru!$G:$G,"Uzmanlık Tezi",Başvuru!$A:$A,"&lt;&gt;"&amp;"",Başvuru!$F:$F,"&lt;&gt;"&amp;""))</f>
        <v/>
      </c>
      <c r="H380" s="162" t="str">
        <f>IF(C380="","",COUNTIFS(Başvuru!$C:$C,C380,Başvuru!$G:$G,"Doktora Tezi",Başvuru!$A:$A,"&lt;&gt;"&amp;"",Başvuru!$F:$F,"&lt;&gt;"&amp;""))</f>
        <v/>
      </c>
      <c r="I380" s="162" t="str">
        <f>IF(C380="","",COUNTIFS(Başvuru!$C:$C,C380,Başvuru!$G:$G,"Yüksek Lisans Tezi",Başvuru!$A:$A,"&lt;&gt;"&amp;"",Başvuru!$F:$F,"&lt;&gt;"&amp;""))</f>
        <v/>
      </c>
      <c r="J380" s="163" t="str">
        <f>IF(C380="","",COUNTIFS(Başvuru!$C:$C,C380,Başvuru!$L:$L,"ONAY",Başvuru!$A:$A,"&lt;&gt;"&amp;"",Başvuru!$F:$F,"&lt;&gt;"&amp;""))</f>
        <v/>
      </c>
      <c r="K380" s="164" t="str">
        <f>IF(C380="","",COUNTIFS(Başvuru!$C:$C,C380,Başvuru!$L:$L,"DÜZELTME",Başvuru!$A:$A,"&lt;&gt;"&amp;"",Başvuru!$F:$F,"&lt;&gt;"&amp;""))</f>
        <v/>
      </c>
      <c r="L380" s="165" t="str">
        <f>IF(C380="","",COUNTIFS(Başvuru!$C:$C,C380,Başvuru!$L:$L,"KAEK",Başvuru!$A:$A,"&lt;&gt;"&amp;"",Başvuru!$F:$F,"&lt;&gt;"&amp;""))</f>
        <v/>
      </c>
      <c r="M380" s="166" t="str">
        <f>IF(C380="","",COUNTIFS(Başvuru!$C:$C,C380,Başvuru!$L:$L,"GÖRÜŞ",Başvuru!$A:$A,"&lt;&gt;"&amp;"",Başvuru!$F:$F,"&lt;&gt;"&amp;""))</f>
        <v/>
      </c>
      <c r="N380" s="167" t="str">
        <f>IF(C380="","",COUNTIFS(Başvuru!$C:$C,C380,Başvuru!$L:$L,"RET",Başvuru!$A:$A,"&lt;&gt;"&amp;"",Başvuru!$F:$F,"&lt;&gt;"&amp;""))</f>
        <v/>
      </c>
      <c r="O380" s="168" t="str">
        <f>IF(C380="","",COUNTIFS(Başvuru!$C:$C,C380,Başvuru!$L:$L,"KAPSAM DIŞI",Başvuru!$A:$A,"&lt;&gt;"&amp;"",Başvuru!$F:$F,"&lt;&gt;"&amp;""))</f>
        <v/>
      </c>
      <c r="P380" s="169" t="str">
        <f>IF(C380="","",COUNTIFS(Başvuru!$C:$C,C380,Başvuru!$L:$L,"GERİ ÇEKİLDİ",Başvuru!$A:$A,"&lt;&gt;"&amp;"",Başvuru!$F:$F,"&lt;&gt;"&amp;""))</f>
        <v/>
      </c>
      <c r="Q380" s="170" t="str">
        <f t="array" ref="Q380">IFERROR(INDEX(Başvuru!$C$2:$C$3000, MATCH(0, COUNTIF($Q$5:Q379, Başvuru!$C$2:$C$3000) + IF(Başvuru!$C$2:$C$3000="",1,0), 0)), "")</f>
        <v/>
      </c>
      <c r="R380" s="171" t="str">
        <f>IF(Q380="","",COUNTIFS(Başvuru!$C:$C,Q380,Başvuru!$A:$A,"&lt;&gt;"&amp;"",Başvuru!$F:$F,"&lt;&gt;"&amp;""))</f>
        <v/>
      </c>
      <c r="S380" s="171" t="str">
        <f>IF(R380="","",RANK(R380,$R$6:$R$505,0)+COUNTIF($R$6:R380,R380)-1)</f>
        <v/>
      </c>
    </row>
    <row r="381" spans="2:19" ht="23.25" customHeight="1" x14ac:dyDescent="0.25">
      <c r="B381" s="159">
        <v>376</v>
      </c>
      <c r="C381" s="160" t="str">
        <f>IFERROR(INDEX($Q$6:$Q$505,MATCH(376,$S$6:$S$505,0)),"")</f>
        <v/>
      </c>
      <c r="D381" s="161" t="str">
        <f>IF(C381="","",COUNTIFS(Başvuru!$C:$C,C381,Başvuru!$A:$A,"&lt;&gt;"&amp;"",Başvuru!$F:$F,"&lt;&gt;"&amp;""))</f>
        <v/>
      </c>
      <c r="E381" s="159" t="str">
        <f>IF(C381="","-",IF(D381&gt;0,TEXT(D381/(COUNTIFS(Başvuru!$A:$A,"&lt;&gt;",Başvuru!$F:$F,"&lt;&gt;")-1)*100,"0.0")&amp;"%","-"))</f>
        <v>-</v>
      </c>
      <c r="F381" s="162" t="str">
        <f>IF(C381="","",COUNTIFS(Başvuru!$C:$C,C381,Başvuru!$G:$G,"Bireysel Araştırma",Başvuru!$A:$A,"&lt;&gt;"&amp;"",Başvuru!$F:$F,"&lt;&gt;"&amp;""))</f>
        <v/>
      </c>
      <c r="G381" s="162" t="str">
        <f>IF(C381="","",COUNTIFS(Başvuru!$C:$C,C381,Başvuru!$G:$G,"Uzmanlık Tezi",Başvuru!$A:$A,"&lt;&gt;"&amp;"",Başvuru!$F:$F,"&lt;&gt;"&amp;""))</f>
        <v/>
      </c>
      <c r="H381" s="162" t="str">
        <f>IF(C381="","",COUNTIFS(Başvuru!$C:$C,C381,Başvuru!$G:$G,"Doktora Tezi",Başvuru!$A:$A,"&lt;&gt;"&amp;"",Başvuru!$F:$F,"&lt;&gt;"&amp;""))</f>
        <v/>
      </c>
      <c r="I381" s="162" t="str">
        <f>IF(C381="","",COUNTIFS(Başvuru!$C:$C,C381,Başvuru!$G:$G,"Yüksek Lisans Tezi",Başvuru!$A:$A,"&lt;&gt;"&amp;"",Başvuru!$F:$F,"&lt;&gt;"&amp;""))</f>
        <v/>
      </c>
      <c r="J381" s="163" t="str">
        <f>IF(C381="","",COUNTIFS(Başvuru!$C:$C,C381,Başvuru!$L:$L,"ONAY",Başvuru!$A:$A,"&lt;&gt;"&amp;"",Başvuru!$F:$F,"&lt;&gt;"&amp;""))</f>
        <v/>
      </c>
      <c r="K381" s="164" t="str">
        <f>IF(C381="","",COUNTIFS(Başvuru!$C:$C,C381,Başvuru!$L:$L,"DÜZELTME",Başvuru!$A:$A,"&lt;&gt;"&amp;"",Başvuru!$F:$F,"&lt;&gt;"&amp;""))</f>
        <v/>
      </c>
      <c r="L381" s="165" t="str">
        <f>IF(C381="","",COUNTIFS(Başvuru!$C:$C,C381,Başvuru!$L:$L,"KAEK",Başvuru!$A:$A,"&lt;&gt;"&amp;"",Başvuru!$F:$F,"&lt;&gt;"&amp;""))</f>
        <v/>
      </c>
      <c r="M381" s="166" t="str">
        <f>IF(C381="","",COUNTIFS(Başvuru!$C:$C,C381,Başvuru!$L:$L,"GÖRÜŞ",Başvuru!$A:$A,"&lt;&gt;"&amp;"",Başvuru!$F:$F,"&lt;&gt;"&amp;""))</f>
        <v/>
      </c>
      <c r="N381" s="167" t="str">
        <f>IF(C381="","",COUNTIFS(Başvuru!$C:$C,C381,Başvuru!$L:$L,"RET",Başvuru!$A:$A,"&lt;&gt;"&amp;"",Başvuru!$F:$F,"&lt;&gt;"&amp;""))</f>
        <v/>
      </c>
      <c r="O381" s="168" t="str">
        <f>IF(C381="","",COUNTIFS(Başvuru!$C:$C,C381,Başvuru!$L:$L,"KAPSAM DIŞI",Başvuru!$A:$A,"&lt;&gt;"&amp;"",Başvuru!$F:$F,"&lt;&gt;"&amp;""))</f>
        <v/>
      </c>
      <c r="P381" s="169" t="str">
        <f>IF(C381="","",COUNTIFS(Başvuru!$C:$C,C381,Başvuru!$L:$L,"GERİ ÇEKİLDİ",Başvuru!$A:$A,"&lt;&gt;"&amp;"",Başvuru!$F:$F,"&lt;&gt;"&amp;""))</f>
        <v/>
      </c>
      <c r="Q381" s="170" t="str">
        <f t="array" ref="Q381">IFERROR(INDEX(Başvuru!$C$2:$C$3000, MATCH(0, COUNTIF($Q$5:Q380, Başvuru!$C$2:$C$3000) + IF(Başvuru!$C$2:$C$3000="",1,0), 0)), "")</f>
        <v/>
      </c>
      <c r="R381" s="171" t="str">
        <f>IF(Q381="","",COUNTIFS(Başvuru!$C:$C,Q381,Başvuru!$A:$A,"&lt;&gt;"&amp;"",Başvuru!$F:$F,"&lt;&gt;"&amp;""))</f>
        <v/>
      </c>
      <c r="S381" s="171" t="str">
        <f>IF(R381="","",RANK(R381,$R$6:$R$505,0)+COUNTIF($R$6:R381,R381)-1)</f>
        <v/>
      </c>
    </row>
    <row r="382" spans="2:19" ht="23.25" customHeight="1" x14ac:dyDescent="0.25">
      <c r="B382" s="159">
        <v>377</v>
      </c>
      <c r="C382" s="160" t="str">
        <f>IFERROR(INDEX($Q$6:$Q$505,MATCH(377,$S$6:$S$505,0)),"")</f>
        <v/>
      </c>
      <c r="D382" s="161" t="str">
        <f>IF(C382="","",COUNTIFS(Başvuru!$C:$C,C382,Başvuru!$A:$A,"&lt;&gt;"&amp;"",Başvuru!$F:$F,"&lt;&gt;"&amp;""))</f>
        <v/>
      </c>
      <c r="E382" s="159" t="str">
        <f>IF(C382="","-",IF(D382&gt;0,TEXT(D382/(COUNTIFS(Başvuru!$A:$A,"&lt;&gt;",Başvuru!$F:$F,"&lt;&gt;")-1)*100,"0.0")&amp;"%","-"))</f>
        <v>-</v>
      </c>
      <c r="F382" s="162" t="str">
        <f>IF(C382="","",COUNTIFS(Başvuru!$C:$C,C382,Başvuru!$G:$G,"Bireysel Araştırma",Başvuru!$A:$A,"&lt;&gt;"&amp;"",Başvuru!$F:$F,"&lt;&gt;"&amp;""))</f>
        <v/>
      </c>
      <c r="G382" s="162" t="str">
        <f>IF(C382="","",COUNTIFS(Başvuru!$C:$C,C382,Başvuru!$G:$G,"Uzmanlık Tezi",Başvuru!$A:$A,"&lt;&gt;"&amp;"",Başvuru!$F:$F,"&lt;&gt;"&amp;""))</f>
        <v/>
      </c>
      <c r="H382" s="162" t="str">
        <f>IF(C382="","",COUNTIFS(Başvuru!$C:$C,C382,Başvuru!$G:$G,"Doktora Tezi",Başvuru!$A:$A,"&lt;&gt;"&amp;"",Başvuru!$F:$F,"&lt;&gt;"&amp;""))</f>
        <v/>
      </c>
      <c r="I382" s="162" t="str">
        <f>IF(C382="","",COUNTIFS(Başvuru!$C:$C,C382,Başvuru!$G:$G,"Yüksek Lisans Tezi",Başvuru!$A:$A,"&lt;&gt;"&amp;"",Başvuru!$F:$F,"&lt;&gt;"&amp;""))</f>
        <v/>
      </c>
      <c r="J382" s="163" t="str">
        <f>IF(C382="","",COUNTIFS(Başvuru!$C:$C,C382,Başvuru!$L:$L,"ONAY",Başvuru!$A:$A,"&lt;&gt;"&amp;"",Başvuru!$F:$F,"&lt;&gt;"&amp;""))</f>
        <v/>
      </c>
      <c r="K382" s="164" t="str">
        <f>IF(C382="","",COUNTIFS(Başvuru!$C:$C,C382,Başvuru!$L:$L,"DÜZELTME",Başvuru!$A:$A,"&lt;&gt;"&amp;"",Başvuru!$F:$F,"&lt;&gt;"&amp;""))</f>
        <v/>
      </c>
      <c r="L382" s="165" t="str">
        <f>IF(C382="","",COUNTIFS(Başvuru!$C:$C,C382,Başvuru!$L:$L,"KAEK",Başvuru!$A:$A,"&lt;&gt;"&amp;"",Başvuru!$F:$F,"&lt;&gt;"&amp;""))</f>
        <v/>
      </c>
      <c r="M382" s="166" t="str">
        <f>IF(C382="","",COUNTIFS(Başvuru!$C:$C,C382,Başvuru!$L:$L,"GÖRÜŞ",Başvuru!$A:$A,"&lt;&gt;"&amp;"",Başvuru!$F:$F,"&lt;&gt;"&amp;""))</f>
        <v/>
      </c>
      <c r="N382" s="167" t="str">
        <f>IF(C382="","",COUNTIFS(Başvuru!$C:$C,C382,Başvuru!$L:$L,"RET",Başvuru!$A:$A,"&lt;&gt;"&amp;"",Başvuru!$F:$F,"&lt;&gt;"&amp;""))</f>
        <v/>
      </c>
      <c r="O382" s="168" t="str">
        <f>IF(C382="","",COUNTIFS(Başvuru!$C:$C,C382,Başvuru!$L:$L,"KAPSAM DIŞI",Başvuru!$A:$A,"&lt;&gt;"&amp;"",Başvuru!$F:$F,"&lt;&gt;"&amp;""))</f>
        <v/>
      </c>
      <c r="P382" s="169" t="str">
        <f>IF(C382="","",COUNTIFS(Başvuru!$C:$C,C382,Başvuru!$L:$L,"GERİ ÇEKİLDİ",Başvuru!$A:$A,"&lt;&gt;"&amp;"",Başvuru!$F:$F,"&lt;&gt;"&amp;""))</f>
        <v/>
      </c>
      <c r="Q382" s="170" t="str">
        <f t="array" ref="Q382">IFERROR(INDEX(Başvuru!$C$2:$C$3000, MATCH(0, COUNTIF($Q$5:Q381, Başvuru!$C$2:$C$3000) + IF(Başvuru!$C$2:$C$3000="",1,0), 0)), "")</f>
        <v/>
      </c>
      <c r="R382" s="171" t="str">
        <f>IF(Q382="","",COUNTIFS(Başvuru!$C:$C,Q382,Başvuru!$A:$A,"&lt;&gt;"&amp;"",Başvuru!$F:$F,"&lt;&gt;"&amp;""))</f>
        <v/>
      </c>
      <c r="S382" s="171" t="str">
        <f>IF(R382="","",RANK(R382,$R$6:$R$505,0)+COUNTIF($R$6:R382,R382)-1)</f>
        <v/>
      </c>
    </row>
    <row r="383" spans="2:19" ht="23.25" customHeight="1" x14ac:dyDescent="0.25">
      <c r="B383" s="159">
        <v>378</v>
      </c>
      <c r="C383" s="160" t="str">
        <f>IFERROR(INDEX($Q$6:$Q$505,MATCH(378,$S$6:$S$505,0)),"")</f>
        <v/>
      </c>
      <c r="D383" s="161" t="str">
        <f>IF(C383="","",COUNTIFS(Başvuru!$C:$C,C383,Başvuru!$A:$A,"&lt;&gt;"&amp;"",Başvuru!$F:$F,"&lt;&gt;"&amp;""))</f>
        <v/>
      </c>
      <c r="E383" s="159" t="str">
        <f>IF(C383="","-",IF(D383&gt;0,TEXT(D383/(COUNTIFS(Başvuru!$A:$A,"&lt;&gt;",Başvuru!$F:$F,"&lt;&gt;")-1)*100,"0.0")&amp;"%","-"))</f>
        <v>-</v>
      </c>
      <c r="F383" s="162" t="str">
        <f>IF(C383="","",COUNTIFS(Başvuru!$C:$C,C383,Başvuru!$G:$G,"Bireysel Araştırma",Başvuru!$A:$A,"&lt;&gt;"&amp;"",Başvuru!$F:$F,"&lt;&gt;"&amp;""))</f>
        <v/>
      </c>
      <c r="G383" s="162" t="str">
        <f>IF(C383="","",COUNTIFS(Başvuru!$C:$C,C383,Başvuru!$G:$G,"Uzmanlık Tezi",Başvuru!$A:$A,"&lt;&gt;"&amp;"",Başvuru!$F:$F,"&lt;&gt;"&amp;""))</f>
        <v/>
      </c>
      <c r="H383" s="162" t="str">
        <f>IF(C383="","",COUNTIFS(Başvuru!$C:$C,C383,Başvuru!$G:$G,"Doktora Tezi",Başvuru!$A:$A,"&lt;&gt;"&amp;"",Başvuru!$F:$F,"&lt;&gt;"&amp;""))</f>
        <v/>
      </c>
      <c r="I383" s="162" t="str">
        <f>IF(C383="","",COUNTIFS(Başvuru!$C:$C,C383,Başvuru!$G:$G,"Yüksek Lisans Tezi",Başvuru!$A:$A,"&lt;&gt;"&amp;"",Başvuru!$F:$F,"&lt;&gt;"&amp;""))</f>
        <v/>
      </c>
      <c r="J383" s="163" t="str">
        <f>IF(C383="","",COUNTIFS(Başvuru!$C:$C,C383,Başvuru!$L:$L,"ONAY",Başvuru!$A:$A,"&lt;&gt;"&amp;"",Başvuru!$F:$F,"&lt;&gt;"&amp;""))</f>
        <v/>
      </c>
      <c r="K383" s="164" t="str">
        <f>IF(C383="","",COUNTIFS(Başvuru!$C:$C,C383,Başvuru!$L:$L,"DÜZELTME",Başvuru!$A:$A,"&lt;&gt;"&amp;"",Başvuru!$F:$F,"&lt;&gt;"&amp;""))</f>
        <v/>
      </c>
      <c r="L383" s="165" t="str">
        <f>IF(C383="","",COUNTIFS(Başvuru!$C:$C,C383,Başvuru!$L:$L,"KAEK",Başvuru!$A:$A,"&lt;&gt;"&amp;"",Başvuru!$F:$F,"&lt;&gt;"&amp;""))</f>
        <v/>
      </c>
      <c r="M383" s="166" t="str">
        <f>IF(C383="","",COUNTIFS(Başvuru!$C:$C,C383,Başvuru!$L:$L,"GÖRÜŞ",Başvuru!$A:$A,"&lt;&gt;"&amp;"",Başvuru!$F:$F,"&lt;&gt;"&amp;""))</f>
        <v/>
      </c>
      <c r="N383" s="167" t="str">
        <f>IF(C383="","",COUNTIFS(Başvuru!$C:$C,C383,Başvuru!$L:$L,"RET",Başvuru!$A:$A,"&lt;&gt;"&amp;"",Başvuru!$F:$F,"&lt;&gt;"&amp;""))</f>
        <v/>
      </c>
      <c r="O383" s="168" t="str">
        <f>IF(C383="","",COUNTIFS(Başvuru!$C:$C,C383,Başvuru!$L:$L,"KAPSAM DIŞI",Başvuru!$A:$A,"&lt;&gt;"&amp;"",Başvuru!$F:$F,"&lt;&gt;"&amp;""))</f>
        <v/>
      </c>
      <c r="P383" s="169" t="str">
        <f>IF(C383="","",COUNTIFS(Başvuru!$C:$C,C383,Başvuru!$L:$L,"GERİ ÇEKİLDİ",Başvuru!$A:$A,"&lt;&gt;"&amp;"",Başvuru!$F:$F,"&lt;&gt;"&amp;""))</f>
        <v/>
      </c>
      <c r="Q383" s="170" t="str">
        <f t="array" ref="Q383">IFERROR(INDEX(Başvuru!$C$2:$C$3000, MATCH(0, COUNTIF($Q$5:Q382, Başvuru!$C$2:$C$3000) + IF(Başvuru!$C$2:$C$3000="",1,0), 0)), "")</f>
        <v/>
      </c>
      <c r="R383" s="171" t="str">
        <f>IF(Q383="","",COUNTIFS(Başvuru!$C:$C,Q383,Başvuru!$A:$A,"&lt;&gt;"&amp;"",Başvuru!$F:$F,"&lt;&gt;"&amp;""))</f>
        <v/>
      </c>
      <c r="S383" s="171" t="str">
        <f>IF(R383="","",RANK(R383,$R$6:$R$505,0)+COUNTIF($R$6:R383,R383)-1)</f>
        <v/>
      </c>
    </row>
    <row r="384" spans="2:19" ht="23.25" customHeight="1" x14ac:dyDescent="0.25">
      <c r="B384" s="159">
        <v>379</v>
      </c>
      <c r="C384" s="160" t="str">
        <f>IFERROR(INDEX($Q$6:$Q$505,MATCH(379,$S$6:$S$505,0)),"")</f>
        <v/>
      </c>
      <c r="D384" s="161" t="str">
        <f>IF(C384="","",COUNTIFS(Başvuru!$C:$C,C384,Başvuru!$A:$A,"&lt;&gt;"&amp;"",Başvuru!$F:$F,"&lt;&gt;"&amp;""))</f>
        <v/>
      </c>
      <c r="E384" s="159" t="str">
        <f>IF(C384="","-",IF(D384&gt;0,TEXT(D384/(COUNTIFS(Başvuru!$A:$A,"&lt;&gt;",Başvuru!$F:$F,"&lt;&gt;")-1)*100,"0.0")&amp;"%","-"))</f>
        <v>-</v>
      </c>
      <c r="F384" s="162" t="str">
        <f>IF(C384="","",COUNTIFS(Başvuru!$C:$C,C384,Başvuru!$G:$G,"Bireysel Araştırma",Başvuru!$A:$A,"&lt;&gt;"&amp;"",Başvuru!$F:$F,"&lt;&gt;"&amp;""))</f>
        <v/>
      </c>
      <c r="G384" s="162" t="str">
        <f>IF(C384="","",COUNTIFS(Başvuru!$C:$C,C384,Başvuru!$G:$G,"Uzmanlık Tezi",Başvuru!$A:$A,"&lt;&gt;"&amp;"",Başvuru!$F:$F,"&lt;&gt;"&amp;""))</f>
        <v/>
      </c>
      <c r="H384" s="162" t="str">
        <f>IF(C384="","",COUNTIFS(Başvuru!$C:$C,C384,Başvuru!$G:$G,"Doktora Tezi",Başvuru!$A:$A,"&lt;&gt;"&amp;"",Başvuru!$F:$F,"&lt;&gt;"&amp;""))</f>
        <v/>
      </c>
      <c r="I384" s="162" t="str">
        <f>IF(C384="","",COUNTIFS(Başvuru!$C:$C,C384,Başvuru!$G:$G,"Yüksek Lisans Tezi",Başvuru!$A:$A,"&lt;&gt;"&amp;"",Başvuru!$F:$F,"&lt;&gt;"&amp;""))</f>
        <v/>
      </c>
      <c r="J384" s="163" t="str">
        <f>IF(C384="","",COUNTIFS(Başvuru!$C:$C,C384,Başvuru!$L:$L,"ONAY",Başvuru!$A:$A,"&lt;&gt;"&amp;"",Başvuru!$F:$F,"&lt;&gt;"&amp;""))</f>
        <v/>
      </c>
      <c r="K384" s="164" t="str">
        <f>IF(C384="","",COUNTIFS(Başvuru!$C:$C,C384,Başvuru!$L:$L,"DÜZELTME",Başvuru!$A:$A,"&lt;&gt;"&amp;"",Başvuru!$F:$F,"&lt;&gt;"&amp;""))</f>
        <v/>
      </c>
      <c r="L384" s="165" t="str">
        <f>IF(C384="","",COUNTIFS(Başvuru!$C:$C,C384,Başvuru!$L:$L,"KAEK",Başvuru!$A:$A,"&lt;&gt;"&amp;"",Başvuru!$F:$F,"&lt;&gt;"&amp;""))</f>
        <v/>
      </c>
      <c r="M384" s="166" t="str">
        <f>IF(C384="","",COUNTIFS(Başvuru!$C:$C,C384,Başvuru!$L:$L,"GÖRÜŞ",Başvuru!$A:$A,"&lt;&gt;"&amp;"",Başvuru!$F:$F,"&lt;&gt;"&amp;""))</f>
        <v/>
      </c>
      <c r="N384" s="167" t="str">
        <f>IF(C384="","",COUNTIFS(Başvuru!$C:$C,C384,Başvuru!$L:$L,"RET",Başvuru!$A:$A,"&lt;&gt;"&amp;"",Başvuru!$F:$F,"&lt;&gt;"&amp;""))</f>
        <v/>
      </c>
      <c r="O384" s="168" t="str">
        <f>IF(C384="","",COUNTIFS(Başvuru!$C:$C,C384,Başvuru!$L:$L,"KAPSAM DIŞI",Başvuru!$A:$A,"&lt;&gt;"&amp;"",Başvuru!$F:$F,"&lt;&gt;"&amp;""))</f>
        <v/>
      </c>
      <c r="P384" s="169" t="str">
        <f>IF(C384="","",COUNTIFS(Başvuru!$C:$C,C384,Başvuru!$L:$L,"GERİ ÇEKİLDİ",Başvuru!$A:$A,"&lt;&gt;"&amp;"",Başvuru!$F:$F,"&lt;&gt;"&amp;""))</f>
        <v/>
      </c>
      <c r="Q384" s="170" t="str">
        <f t="array" ref="Q384">IFERROR(INDEX(Başvuru!$C$2:$C$3000, MATCH(0, COUNTIF($Q$5:Q383, Başvuru!$C$2:$C$3000) + IF(Başvuru!$C$2:$C$3000="",1,0), 0)), "")</f>
        <v/>
      </c>
      <c r="R384" s="171" t="str">
        <f>IF(Q384="","",COUNTIFS(Başvuru!$C:$C,Q384,Başvuru!$A:$A,"&lt;&gt;"&amp;"",Başvuru!$F:$F,"&lt;&gt;"&amp;""))</f>
        <v/>
      </c>
      <c r="S384" s="171" t="str">
        <f>IF(R384="","",RANK(R384,$R$6:$R$505,0)+COUNTIF($R$6:R384,R384)-1)</f>
        <v/>
      </c>
    </row>
    <row r="385" spans="2:19" ht="23.25" customHeight="1" x14ac:dyDescent="0.25">
      <c r="B385" s="159">
        <v>380</v>
      </c>
      <c r="C385" s="160" t="str">
        <f>IFERROR(INDEX($Q$6:$Q$505,MATCH(380,$S$6:$S$505,0)),"")</f>
        <v/>
      </c>
      <c r="D385" s="161" t="str">
        <f>IF(C385="","",COUNTIFS(Başvuru!$C:$C,C385,Başvuru!$A:$A,"&lt;&gt;"&amp;"",Başvuru!$F:$F,"&lt;&gt;"&amp;""))</f>
        <v/>
      </c>
      <c r="E385" s="159" t="str">
        <f>IF(C385="","-",IF(D385&gt;0,TEXT(D385/(COUNTIFS(Başvuru!$A:$A,"&lt;&gt;",Başvuru!$F:$F,"&lt;&gt;")-1)*100,"0.0")&amp;"%","-"))</f>
        <v>-</v>
      </c>
      <c r="F385" s="162" t="str">
        <f>IF(C385="","",COUNTIFS(Başvuru!$C:$C,C385,Başvuru!$G:$G,"Bireysel Araştırma",Başvuru!$A:$A,"&lt;&gt;"&amp;"",Başvuru!$F:$F,"&lt;&gt;"&amp;""))</f>
        <v/>
      </c>
      <c r="G385" s="162" t="str">
        <f>IF(C385="","",COUNTIFS(Başvuru!$C:$C,C385,Başvuru!$G:$G,"Uzmanlık Tezi",Başvuru!$A:$A,"&lt;&gt;"&amp;"",Başvuru!$F:$F,"&lt;&gt;"&amp;""))</f>
        <v/>
      </c>
      <c r="H385" s="162" t="str">
        <f>IF(C385="","",COUNTIFS(Başvuru!$C:$C,C385,Başvuru!$G:$G,"Doktora Tezi",Başvuru!$A:$A,"&lt;&gt;"&amp;"",Başvuru!$F:$F,"&lt;&gt;"&amp;""))</f>
        <v/>
      </c>
      <c r="I385" s="162" t="str">
        <f>IF(C385="","",COUNTIFS(Başvuru!$C:$C,C385,Başvuru!$G:$G,"Yüksek Lisans Tezi",Başvuru!$A:$A,"&lt;&gt;"&amp;"",Başvuru!$F:$F,"&lt;&gt;"&amp;""))</f>
        <v/>
      </c>
      <c r="J385" s="163" t="str">
        <f>IF(C385="","",COUNTIFS(Başvuru!$C:$C,C385,Başvuru!$L:$L,"ONAY",Başvuru!$A:$A,"&lt;&gt;"&amp;"",Başvuru!$F:$F,"&lt;&gt;"&amp;""))</f>
        <v/>
      </c>
      <c r="K385" s="164" t="str">
        <f>IF(C385="","",COUNTIFS(Başvuru!$C:$C,C385,Başvuru!$L:$L,"DÜZELTME",Başvuru!$A:$A,"&lt;&gt;"&amp;"",Başvuru!$F:$F,"&lt;&gt;"&amp;""))</f>
        <v/>
      </c>
      <c r="L385" s="165" t="str">
        <f>IF(C385="","",COUNTIFS(Başvuru!$C:$C,C385,Başvuru!$L:$L,"KAEK",Başvuru!$A:$A,"&lt;&gt;"&amp;"",Başvuru!$F:$F,"&lt;&gt;"&amp;""))</f>
        <v/>
      </c>
      <c r="M385" s="166" t="str">
        <f>IF(C385="","",COUNTIFS(Başvuru!$C:$C,C385,Başvuru!$L:$L,"GÖRÜŞ",Başvuru!$A:$A,"&lt;&gt;"&amp;"",Başvuru!$F:$F,"&lt;&gt;"&amp;""))</f>
        <v/>
      </c>
      <c r="N385" s="167" t="str">
        <f>IF(C385="","",COUNTIFS(Başvuru!$C:$C,C385,Başvuru!$L:$L,"RET",Başvuru!$A:$A,"&lt;&gt;"&amp;"",Başvuru!$F:$F,"&lt;&gt;"&amp;""))</f>
        <v/>
      </c>
      <c r="O385" s="168" t="str">
        <f>IF(C385="","",COUNTIFS(Başvuru!$C:$C,C385,Başvuru!$L:$L,"KAPSAM DIŞI",Başvuru!$A:$A,"&lt;&gt;"&amp;"",Başvuru!$F:$F,"&lt;&gt;"&amp;""))</f>
        <v/>
      </c>
      <c r="P385" s="169" t="str">
        <f>IF(C385="","",COUNTIFS(Başvuru!$C:$C,C385,Başvuru!$L:$L,"GERİ ÇEKİLDİ",Başvuru!$A:$A,"&lt;&gt;"&amp;"",Başvuru!$F:$F,"&lt;&gt;"&amp;""))</f>
        <v/>
      </c>
      <c r="Q385" s="170" t="str">
        <f t="array" ref="Q385">IFERROR(INDEX(Başvuru!$C$2:$C$3000, MATCH(0, COUNTIF($Q$5:Q384, Başvuru!$C$2:$C$3000) + IF(Başvuru!$C$2:$C$3000="",1,0), 0)), "")</f>
        <v/>
      </c>
      <c r="R385" s="171" t="str">
        <f>IF(Q385="","",COUNTIFS(Başvuru!$C:$C,Q385,Başvuru!$A:$A,"&lt;&gt;"&amp;"",Başvuru!$F:$F,"&lt;&gt;"&amp;""))</f>
        <v/>
      </c>
      <c r="S385" s="171" t="str">
        <f>IF(R385="","",RANK(R385,$R$6:$R$505,0)+COUNTIF($R$6:R385,R385)-1)</f>
        <v/>
      </c>
    </row>
    <row r="386" spans="2:19" ht="23.25" customHeight="1" x14ac:dyDescent="0.25">
      <c r="B386" s="159">
        <v>381</v>
      </c>
      <c r="C386" s="160" t="str">
        <f>IFERROR(INDEX($Q$6:$Q$505,MATCH(381,$S$6:$S$505,0)),"")</f>
        <v/>
      </c>
      <c r="D386" s="161" t="str">
        <f>IF(C386="","",COUNTIFS(Başvuru!$C:$C,C386,Başvuru!$A:$A,"&lt;&gt;"&amp;"",Başvuru!$F:$F,"&lt;&gt;"&amp;""))</f>
        <v/>
      </c>
      <c r="E386" s="159" t="str">
        <f>IF(C386="","-",IF(D386&gt;0,TEXT(D386/(COUNTIFS(Başvuru!$A:$A,"&lt;&gt;",Başvuru!$F:$F,"&lt;&gt;")-1)*100,"0.0")&amp;"%","-"))</f>
        <v>-</v>
      </c>
      <c r="F386" s="162" t="str">
        <f>IF(C386="","",COUNTIFS(Başvuru!$C:$C,C386,Başvuru!$G:$G,"Bireysel Araştırma",Başvuru!$A:$A,"&lt;&gt;"&amp;"",Başvuru!$F:$F,"&lt;&gt;"&amp;""))</f>
        <v/>
      </c>
      <c r="G386" s="162" t="str">
        <f>IF(C386="","",COUNTIFS(Başvuru!$C:$C,C386,Başvuru!$G:$G,"Uzmanlık Tezi",Başvuru!$A:$A,"&lt;&gt;"&amp;"",Başvuru!$F:$F,"&lt;&gt;"&amp;""))</f>
        <v/>
      </c>
      <c r="H386" s="162" t="str">
        <f>IF(C386="","",COUNTIFS(Başvuru!$C:$C,C386,Başvuru!$G:$G,"Doktora Tezi",Başvuru!$A:$A,"&lt;&gt;"&amp;"",Başvuru!$F:$F,"&lt;&gt;"&amp;""))</f>
        <v/>
      </c>
      <c r="I386" s="162" t="str">
        <f>IF(C386="","",COUNTIFS(Başvuru!$C:$C,C386,Başvuru!$G:$G,"Yüksek Lisans Tezi",Başvuru!$A:$A,"&lt;&gt;"&amp;"",Başvuru!$F:$F,"&lt;&gt;"&amp;""))</f>
        <v/>
      </c>
      <c r="J386" s="163" t="str">
        <f>IF(C386="","",COUNTIFS(Başvuru!$C:$C,C386,Başvuru!$L:$L,"ONAY",Başvuru!$A:$A,"&lt;&gt;"&amp;"",Başvuru!$F:$F,"&lt;&gt;"&amp;""))</f>
        <v/>
      </c>
      <c r="K386" s="164" t="str">
        <f>IF(C386="","",COUNTIFS(Başvuru!$C:$C,C386,Başvuru!$L:$L,"DÜZELTME",Başvuru!$A:$A,"&lt;&gt;"&amp;"",Başvuru!$F:$F,"&lt;&gt;"&amp;""))</f>
        <v/>
      </c>
      <c r="L386" s="165" t="str">
        <f>IF(C386="","",COUNTIFS(Başvuru!$C:$C,C386,Başvuru!$L:$L,"KAEK",Başvuru!$A:$A,"&lt;&gt;"&amp;"",Başvuru!$F:$F,"&lt;&gt;"&amp;""))</f>
        <v/>
      </c>
      <c r="M386" s="166" t="str">
        <f>IF(C386="","",COUNTIFS(Başvuru!$C:$C,C386,Başvuru!$L:$L,"GÖRÜŞ",Başvuru!$A:$A,"&lt;&gt;"&amp;"",Başvuru!$F:$F,"&lt;&gt;"&amp;""))</f>
        <v/>
      </c>
      <c r="N386" s="167" t="str">
        <f>IF(C386="","",COUNTIFS(Başvuru!$C:$C,C386,Başvuru!$L:$L,"RET",Başvuru!$A:$A,"&lt;&gt;"&amp;"",Başvuru!$F:$F,"&lt;&gt;"&amp;""))</f>
        <v/>
      </c>
      <c r="O386" s="168" t="str">
        <f>IF(C386="","",COUNTIFS(Başvuru!$C:$C,C386,Başvuru!$L:$L,"KAPSAM DIŞI",Başvuru!$A:$A,"&lt;&gt;"&amp;"",Başvuru!$F:$F,"&lt;&gt;"&amp;""))</f>
        <v/>
      </c>
      <c r="P386" s="169" t="str">
        <f>IF(C386="","",COUNTIFS(Başvuru!$C:$C,C386,Başvuru!$L:$L,"GERİ ÇEKİLDİ",Başvuru!$A:$A,"&lt;&gt;"&amp;"",Başvuru!$F:$F,"&lt;&gt;"&amp;""))</f>
        <v/>
      </c>
      <c r="Q386" s="170" t="str">
        <f t="array" ref="Q386">IFERROR(INDEX(Başvuru!$C$2:$C$3000, MATCH(0, COUNTIF($Q$5:Q385, Başvuru!$C$2:$C$3000) + IF(Başvuru!$C$2:$C$3000="",1,0), 0)), "")</f>
        <v/>
      </c>
      <c r="R386" s="171" t="str">
        <f>IF(Q386="","",COUNTIFS(Başvuru!$C:$C,Q386,Başvuru!$A:$A,"&lt;&gt;"&amp;"",Başvuru!$F:$F,"&lt;&gt;"&amp;""))</f>
        <v/>
      </c>
      <c r="S386" s="171" t="str">
        <f>IF(R386="","",RANK(R386,$R$6:$R$505,0)+COUNTIF($R$6:R386,R386)-1)</f>
        <v/>
      </c>
    </row>
    <row r="387" spans="2:19" ht="23.25" customHeight="1" x14ac:dyDescent="0.25">
      <c r="B387" s="159">
        <v>382</v>
      </c>
      <c r="C387" s="160" t="str">
        <f>IFERROR(INDEX($Q$6:$Q$505,MATCH(382,$S$6:$S$505,0)),"")</f>
        <v/>
      </c>
      <c r="D387" s="161" t="str">
        <f>IF(C387="","",COUNTIFS(Başvuru!$C:$C,C387,Başvuru!$A:$A,"&lt;&gt;"&amp;"",Başvuru!$F:$F,"&lt;&gt;"&amp;""))</f>
        <v/>
      </c>
      <c r="E387" s="159" t="str">
        <f>IF(C387="","-",IF(D387&gt;0,TEXT(D387/(COUNTIFS(Başvuru!$A:$A,"&lt;&gt;",Başvuru!$F:$F,"&lt;&gt;")-1)*100,"0.0")&amp;"%","-"))</f>
        <v>-</v>
      </c>
      <c r="F387" s="162" t="str">
        <f>IF(C387="","",COUNTIFS(Başvuru!$C:$C,C387,Başvuru!$G:$G,"Bireysel Araştırma",Başvuru!$A:$A,"&lt;&gt;"&amp;"",Başvuru!$F:$F,"&lt;&gt;"&amp;""))</f>
        <v/>
      </c>
      <c r="G387" s="162" t="str">
        <f>IF(C387="","",COUNTIFS(Başvuru!$C:$C,C387,Başvuru!$G:$G,"Uzmanlık Tezi",Başvuru!$A:$A,"&lt;&gt;"&amp;"",Başvuru!$F:$F,"&lt;&gt;"&amp;""))</f>
        <v/>
      </c>
      <c r="H387" s="162" t="str">
        <f>IF(C387="","",COUNTIFS(Başvuru!$C:$C,C387,Başvuru!$G:$G,"Doktora Tezi",Başvuru!$A:$A,"&lt;&gt;"&amp;"",Başvuru!$F:$F,"&lt;&gt;"&amp;""))</f>
        <v/>
      </c>
      <c r="I387" s="162" t="str">
        <f>IF(C387="","",COUNTIFS(Başvuru!$C:$C,C387,Başvuru!$G:$G,"Yüksek Lisans Tezi",Başvuru!$A:$A,"&lt;&gt;"&amp;"",Başvuru!$F:$F,"&lt;&gt;"&amp;""))</f>
        <v/>
      </c>
      <c r="J387" s="163" t="str">
        <f>IF(C387="","",COUNTIFS(Başvuru!$C:$C,C387,Başvuru!$L:$L,"ONAY",Başvuru!$A:$A,"&lt;&gt;"&amp;"",Başvuru!$F:$F,"&lt;&gt;"&amp;""))</f>
        <v/>
      </c>
      <c r="K387" s="164" t="str">
        <f>IF(C387="","",COUNTIFS(Başvuru!$C:$C,C387,Başvuru!$L:$L,"DÜZELTME",Başvuru!$A:$A,"&lt;&gt;"&amp;"",Başvuru!$F:$F,"&lt;&gt;"&amp;""))</f>
        <v/>
      </c>
      <c r="L387" s="165" t="str">
        <f>IF(C387="","",COUNTIFS(Başvuru!$C:$C,C387,Başvuru!$L:$L,"KAEK",Başvuru!$A:$A,"&lt;&gt;"&amp;"",Başvuru!$F:$F,"&lt;&gt;"&amp;""))</f>
        <v/>
      </c>
      <c r="M387" s="166" t="str">
        <f>IF(C387="","",COUNTIFS(Başvuru!$C:$C,C387,Başvuru!$L:$L,"GÖRÜŞ",Başvuru!$A:$A,"&lt;&gt;"&amp;"",Başvuru!$F:$F,"&lt;&gt;"&amp;""))</f>
        <v/>
      </c>
      <c r="N387" s="167" t="str">
        <f>IF(C387="","",COUNTIFS(Başvuru!$C:$C,C387,Başvuru!$L:$L,"RET",Başvuru!$A:$A,"&lt;&gt;"&amp;"",Başvuru!$F:$F,"&lt;&gt;"&amp;""))</f>
        <v/>
      </c>
      <c r="O387" s="168" t="str">
        <f>IF(C387="","",COUNTIFS(Başvuru!$C:$C,C387,Başvuru!$L:$L,"KAPSAM DIŞI",Başvuru!$A:$A,"&lt;&gt;"&amp;"",Başvuru!$F:$F,"&lt;&gt;"&amp;""))</f>
        <v/>
      </c>
      <c r="P387" s="169" t="str">
        <f>IF(C387="","",COUNTIFS(Başvuru!$C:$C,C387,Başvuru!$L:$L,"GERİ ÇEKİLDİ",Başvuru!$A:$A,"&lt;&gt;"&amp;"",Başvuru!$F:$F,"&lt;&gt;"&amp;""))</f>
        <v/>
      </c>
      <c r="Q387" s="170" t="str">
        <f t="array" ref="Q387">IFERROR(INDEX(Başvuru!$C$2:$C$3000, MATCH(0, COUNTIF($Q$5:Q386, Başvuru!$C$2:$C$3000) + IF(Başvuru!$C$2:$C$3000="",1,0), 0)), "")</f>
        <v/>
      </c>
      <c r="R387" s="171" t="str">
        <f>IF(Q387="","",COUNTIFS(Başvuru!$C:$C,Q387,Başvuru!$A:$A,"&lt;&gt;"&amp;"",Başvuru!$F:$F,"&lt;&gt;"&amp;""))</f>
        <v/>
      </c>
      <c r="S387" s="171" t="str">
        <f>IF(R387="","",RANK(R387,$R$6:$R$505,0)+COUNTIF($R$6:R387,R387)-1)</f>
        <v/>
      </c>
    </row>
    <row r="388" spans="2:19" ht="23.25" customHeight="1" x14ac:dyDescent="0.25">
      <c r="B388" s="159">
        <v>383</v>
      </c>
      <c r="C388" s="160" t="str">
        <f>IFERROR(INDEX($Q$6:$Q$505,MATCH(383,$S$6:$S$505,0)),"")</f>
        <v/>
      </c>
      <c r="D388" s="161" t="str">
        <f>IF(C388="","",COUNTIFS(Başvuru!$C:$C,C388,Başvuru!$A:$A,"&lt;&gt;"&amp;"",Başvuru!$F:$F,"&lt;&gt;"&amp;""))</f>
        <v/>
      </c>
      <c r="E388" s="159" t="str">
        <f>IF(C388="","-",IF(D388&gt;0,TEXT(D388/(COUNTIFS(Başvuru!$A:$A,"&lt;&gt;",Başvuru!$F:$F,"&lt;&gt;")-1)*100,"0.0")&amp;"%","-"))</f>
        <v>-</v>
      </c>
      <c r="F388" s="162" t="str">
        <f>IF(C388="","",COUNTIFS(Başvuru!$C:$C,C388,Başvuru!$G:$G,"Bireysel Araştırma",Başvuru!$A:$A,"&lt;&gt;"&amp;"",Başvuru!$F:$F,"&lt;&gt;"&amp;""))</f>
        <v/>
      </c>
      <c r="G388" s="162" t="str">
        <f>IF(C388="","",COUNTIFS(Başvuru!$C:$C,C388,Başvuru!$G:$G,"Uzmanlık Tezi",Başvuru!$A:$A,"&lt;&gt;"&amp;"",Başvuru!$F:$F,"&lt;&gt;"&amp;""))</f>
        <v/>
      </c>
      <c r="H388" s="162" t="str">
        <f>IF(C388="","",COUNTIFS(Başvuru!$C:$C,C388,Başvuru!$G:$G,"Doktora Tezi",Başvuru!$A:$A,"&lt;&gt;"&amp;"",Başvuru!$F:$F,"&lt;&gt;"&amp;""))</f>
        <v/>
      </c>
      <c r="I388" s="162" t="str">
        <f>IF(C388="","",COUNTIFS(Başvuru!$C:$C,C388,Başvuru!$G:$G,"Yüksek Lisans Tezi",Başvuru!$A:$A,"&lt;&gt;"&amp;"",Başvuru!$F:$F,"&lt;&gt;"&amp;""))</f>
        <v/>
      </c>
      <c r="J388" s="163" t="str">
        <f>IF(C388="","",COUNTIFS(Başvuru!$C:$C,C388,Başvuru!$L:$L,"ONAY",Başvuru!$A:$A,"&lt;&gt;"&amp;"",Başvuru!$F:$F,"&lt;&gt;"&amp;""))</f>
        <v/>
      </c>
      <c r="K388" s="164" t="str">
        <f>IF(C388="","",COUNTIFS(Başvuru!$C:$C,C388,Başvuru!$L:$L,"DÜZELTME",Başvuru!$A:$A,"&lt;&gt;"&amp;"",Başvuru!$F:$F,"&lt;&gt;"&amp;""))</f>
        <v/>
      </c>
      <c r="L388" s="165" t="str">
        <f>IF(C388="","",COUNTIFS(Başvuru!$C:$C,C388,Başvuru!$L:$L,"KAEK",Başvuru!$A:$A,"&lt;&gt;"&amp;"",Başvuru!$F:$F,"&lt;&gt;"&amp;""))</f>
        <v/>
      </c>
      <c r="M388" s="166" t="str">
        <f>IF(C388="","",COUNTIFS(Başvuru!$C:$C,C388,Başvuru!$L:$L,"GÖRÜŞ",Başvuru!$A:$A,"&lt;&gt;"&amp;"",Başvuru!$F:$F,"&lt;&gt;"&amp;""))</f>
        <v/>
      </c>
      <c r="N388" s="167" t="str">
        <f>IF(C388="","",COUNTIFS(Başvuru!$C:$C,C388,Başvuru!$L:$L,"RET",Başvuru!$A:$A,"&lt;&gt;"&amp;"",Başvuru!$F:$F,"&lt;&gt;"&amp;""))</f>
        <v/>
      </c>
      <c r="O388" s="168" t="str">
        <f>IF(C388="","",COUNTIFS(Başvuru!$C:$C,C388,Başvuru!$L:$L,"KAPSAM DIŞI",Başvuru!$A:$A,"&lt;&gt;"&amp;"",Başvuru!$F:$F,"&lt;&gt;"&amp;""))</f>
        <v/>
      </c>
      <c r="P388" s="169" t="str">
        <f>IF(C388="","",COUNTIFS(Başvuru!$C:$C,C388,Başvuru!$L:$L,"GERİ ÇEKİLDİ",Başvuru!$A:$A,"&lt;&gt;"&amp;"",Başvuru!$F:$F,"&lt;&gt;"&amp;""))</f>
        <v/>
      </c>
      <c r="Q388" s="170" t="str">
        <f t="array" ref="Q388">IFERROR(INDEX(Başvuru!$C$2:$C$3000, MATCH(0, COUNTIF($Q$5:Q387, Başvuru!$C$2:$C$3000) + IF(Başvuru!$C$2:$C$3000="",1,0), 0)), "")</f>
        <v/>
      </c>
      <c r="R388" s="171" t="str">
        <f>IF(Q388="","",COUNTIFS(Başvuru!$C:$C,Q388,Başvuru!$A:$A,"&lt;&gt;"&amp;"",Başvuru!$F:$F,"&lt;&gt;"&amp;""))</f>
        <v/>
      </c>
      <c r="S388" s="171" t="str">
        <f>IF(R388="","",RANK(R388,$R$6:$R$505,0)+COUNTIF($R$6:R388,R388)-1)</f>
        <v/>
      </c>
    </row>
    <row r="389" spans="2:19" ht="23.25" customHeight="1" x14ac:dyDescent="0.25">
      <c r="B389" s="159">
        <v>384</v>
      </c>
      <c r="C389" s="160" t="str">
        <f>IFERROR(INDEX($Q$6:$Q$505,MATCH(384,$S$6:$S$505,0)),"")</f>
        <v/>
      </c>
      <c r="D389" s="161" t="str">
        <f>IF(C389="","",COUNTIFS(Başvuru!$C:$C,C389,Başvuru!$A:$A,"&lt;&gt;"&amp;"",Başvuru!$F:$F,"&lt;&gt;"&amp;""))</f>
        <v/>
      </c>
      <c r="E389" s="159" t="str">
        <f>IF(C389="","-",IF(D389&gt;0,TEXT(D389/(COUNTIFS(Başvuru!$A:$A,"&lt;&gt;",Başvuru!$F:$F,"&lt;&gt;")-1)*100,"0.0")&amp;"%","-"))</f>
        <v>-</v>
      </c>
      <c r="F389" s="162" t="str">
        <f>IF(C389="","",COUNTIFS(Başvuru!$C:$C,C389,Başvuru!$G:$G,"Bireysel Araştırma",Başvuru!$A:$A,"&lt;&gt;"&amp;"",Başvuru!$F:$F,"&lt;&gt;"&amp;""))</f>
        <v/>
      </c>
      <c r="G389" s="162" t="str">
        <f>IF(C389="","",COUNTIFS(Başvuru!$C:$C,C389,Başvuru!$G:$G,"Uzmanlık Tezi",Başvuru!$A:$A,"&lt;&gt;"&amp;"",Başvuru!$F:$F,"&lt;&gt;"&amp;""))</f>
        <v/>
      </c>
      <c r="H389" s="162" t="str">
        <f>IF(C389="","",COUNTIFS(Başvuru!$C:$C,C389,Başvuru!$G:$G,"Doktora Tezi",Başvuru!$A:$A,"&lt;&gt;"&amp;"",Başvuru!$F:$F,"&lt;&gt;"&amp;""))</f>
        <v/>
      </c>
      <c r="I389" s="162" t="str">
        <f>IF(C389="","",COUNTIFS(Başvuru!$C:$C,C389,Başvuru!$G:$G,"Yüksek Lisans Tezi",Başvuru!$A:$A,"&lt;&gt;"&amp;"",Başvuru!$F:$F,"&lt;&gt;"&amp;""))</f>
        <v/>
      </c>
      <c r="J389" s="163" t="str">
        <f>IF(C389="","",COUNTIFS(Başvuru!$C:$C,C389,Başvuru!$L:$L,"ONAY",Başvuru!$A:$A,"&lt;&gt;"&amp;"",Başvuru!$F:$F,"&lt;&gt;"&amp;""))</f>
        <v/>
      </c>
      <c r="K389" s="164" t="str">
        <f>IF(C389="","",COUNTIFS(Başvuru!$C:$C,C389,Başvuru!$L:$L,"DÜZELTME",Başvuru!$A:$A,"&lt;&gt;"&amp;"",Başvuru!$F:$F,"&lt;&gt;"&amp;""))</f>
        <v/>
      </c>
      <c r="L389" s="165" t="str">
        <f>IF(C389="","",COUNTIFS(Başvuru!$C:$C,C389,Başvuru!$L:$L,"KAEK",Başvuru!$A:$A,"&lt;&gt;"&amp;"",Başvuru!$F:$F,"&lt;&gt;"&amp;""))</f>
        <v/>
      </c>
      <c r="M389" s="166" t="str">
        <f>IF(C389="","",COUNTIFS(Başvuru!$C:$C,C389,Başvuru!$L:$L,"GÖRÜŞ",Başvuru!$A:$A,"&lt;&gt;"&amp;"",Başvuru!$F:$F,"&lt;&gt;"&amp;""))</f>
        <v/>
      </c>
      <c r="N389" s="167" t="str">
        <f>IF(C389="","",COUNTIFS(Başvuru!$C:$C,C389,Başvuru!$L:$L,"RET",Başvuru!$A:$A,"&lt;&gt;"&amp;"",Başvuru!$F:$F,"&lt;&gt;"&amp;""))</f>
        <v/>
      </c>
      <c r="O389" s="168" t="str">
        <f>IF(C389="","",COUNTIFS(Başvuru!$C:$C,C389,Başvuru!$L:$L,"KAPSAM DIŞI",Başvuru!$A:$A,"&lt;&gt;"&amp;"",Başvuru!$F:$F,"&lt;&gt;"&amp;""))</f>
        <v/>
      </c>
      <c r="P389" s="169" t="str">
        <f>IF(C389="","",COUNTIFS(Başvuru!$C:$C,C389,Başvuru!$L:$L,"GERİ ÇEKİLDİ",Başvuru!$A:$A,"&lt;&gt;"&amp;"",Başvuru!$F:$F,"&lt;&gt;"&amp;""))</f>
        <v/>
      </c>
      <c r="Q389" s="170" t="str">
        <f t="array" ref="Q389">IFERROR(INDEX(Başvuru!$C$2:$C$3000, MATCH(0, COUNTIF($Q$5:Q388, Başvuru!$C$2:$C$3000) + IF(Başvuru!$C$2:$C$3000="",1,0), 0)), "")</f>
        <v/>
      </c>
      <c r="R389" s="171" t="str">
        <f>IF(Q389="","",COUNTIFS(Başvuru!$C:$C,Q389,Başvuru!$A:$A,"&lt;&gt;"&amp;"",Başvuru!$F:$F,"&lt;&gt;"&amp;""))</f>
        <v/>
      </c>
      <c r="S389" s="171" t="str">
        <f>IF(R389="","",RANK(R389,$R$6:$R$505,0)+COUNTIF($R$6:R389,R389)-1)</f>
        <v/>
      </c>
    </row>
    <row r="390" spans="2:19" ht="23.25" customHeight="1" x14ac:dyDescent="0.25">
      <c r="B390" s="159">
        <v>385</v>
      </c>
      <c r="C390" s="160" t="str">
        <f>IFERROR(INDEX($Q$6:$Q$505,MATCH(385,$S$6:$S$505,0)),"")</f>
        <v/>
      </c>
      <c r="D390" s="161" t="str">
        <f>IF(C390="","",COUNTIFS(Başvuru!$C:$C,C390,Başvuru!$A:$A,"&lt;&gt;"&amp;"",Başvuru!$F:$F,"&lt;&gt;"&amp;""))</f>
        <v/>
      </c>
      <c r="E390" s="159" t="str">
        <f>IF(C390="","-",IF(D390&gt;0,TEXT(D390/(COUNTIFS(Başvuru!$A:$A,"&lt;&gt;",Başvuru!$F:$F,"&lt;&gt;")-1)*100,"0.0")&amp;"%","-"))</f>
        <v>-</v>
      </c>
      <c r="F390" s="162" t="str">
        <f>IF(C390="","",COUNTIFS(Başvuru!$C:$C,C390,Başvuru!$G:$G,"Bireysel Araştırma",Başvuru!$A:$A,"&lt;&gt;"&amp;"",Başvuru!$F:$F,"&lt;&gt;"&amp;""))</f>
        <v/>
      </c>
      <c r="G390" s="162" t="str">
        <f>IF(C390="","",COUNTIFS(Başvuru!$C:$C,C390,Başvuru!$G:$G,"Uzmanlık Tezi",Başvuru!$A:$A,"&lt;&gt;"&amp;"",Başvuru!$F:$F,"&lt;&gt;"&amp;""))</f>
        <v/>
      </c>
      <c r="H390" s="162" t="str">
        <f>IF(C390="","",COUNTIFS(Başvuru!$C:$C,C390,Başvuru!$G:$G,"Doktora Tezi",Başvuru!$A:$A,"&lt;&gt;"&amp;"",Başvuru!$F:$F,"&lt;&gt;"&amp;""))</f>
        <v/>
      </c>
      <c r="I390" s="162" t="str">
        <f>IF(C390="","",COUNTIFS(Başvuru!$C:$C,C390,Başvuru!$G:$G,"Yüksek Lisans Tezi",Başvuru!$A:$A,"&lt;&gt;"&amp;"",Başvuru!$F:$F,"&lt;&gt;"&amp;""))</f>
        <v/>
      </c>
      <c r="J390" s="163" t="str">
        <f>IF(C390="","",COUNTIFS(Başvuru!$C:$C,C390,Başvuru!$L:$L,"ONAY",Başvuru!$A:$A,"&lt;&gt;"&amp;"",Başvuru!$F:$F,"&lt;&gt;"&amp;""))</f>
        <v/>
      </c>
      <c r="K390" s="164" t="str">
        <f>IF(C390="","",COUNTIFS(Başvuru!$C:$C,C390,Başvuru!$L:$L,"DÜZELTME",Başvuru!$A:$A,"&lt;&gt;"&amp;"",Başvuru!$F:$F,"&lt;&gt;"&amp;""))</f>
        <v/>
      </c>
      <c r="L390" s="165" t="str">
        <f>IF(C390="","",COUNTIFS(Başvuru!$C:$C,C390,Başvuru!$L:$L,"KAEK",Başvuru!$A:$A,"&lt;&gt;"&amp;"",Başvuru!$F:$F,"&lt;&gt;"&amp;""))</f>
        <v/>
      </c>
      <c r="M390" s="166" t="str">
        <f>IF(C390="","",COUNTIFS(Başvuru!$C:$C,C390,Başvuru!$L:$L,"GÖRÜŞ",Başvuru!$A:$A,"&lt;&gt;"&amp;"",Başvuru!$F:$F,"&lt;&gt;"&amp;""))</f>
        <v/>
      </c>
      <c r="N390" s="167" t="str">
        <f>IF(C390="","",COUNTIFS(Başvuru!$C:$C,C390,Başvuru!$L:$L,"RET",Başvuru!$A:$A,"&lt;&gt;"&amp;"",Başvuru!$F:$F,"&lt;&gt;"&amp;""))</f>
        <v/>
      </c>
      <c r="O390" s="168" t="str">
        <f>IF(C390="","",COUNTIFS(Başvuru!$C:$C,C390,Başvuru!$L:$L,"KAPSAM DIŞI",Başvuru!$A:$A,"&lt;&gt;"&amp;"",Başvuru!$F:$F,"&lt;&gt;"&amp;""))</f>
        <v/>
      </c>
      <c r="P390" s="169" t="str">
        <f>IF(C390="","",COUNTIFS(Başvuru!$C:$C,C390,Başvuru!$L:$L,"GERİ ÇEKİLDİ",Başvuru!$A:$A,"&lt;&gt;"&amp;"",Başvuru!$F:$F,"&lt;&gt;"&amp;""))</f>
        <v/>
      </c>
      <c r="Q390" s="170" t="str">
        <f t="array" ref="Q390">IFERROR(INDEX(Başvuru!$C$2:$C$3000, MATCH(0, COUNTIF($Q$5:Q389, Başvuru!$C$2:$C$3000) + IF(Başvuru!$C$2:$C$3000="",1,0), 0)), "")</f>
        <v/>
      </c>
      <c r="R390" s="171" t="str">
        <f>IF(Q390="","",COUNTIFS(Başvuru!$C:$C,Q390,Başvuru!$A:$A,"&lt;&gt;"&amp;"",Başvuru!$F:$F,"&lt;&gt;"&amp;""))</f>
        <v/>
      </c>
      <c r="S390" s="171" t="str">
        <f>IF(R390="","",RANK(R390,$R$6:$R$505,0)+COUNTIF($R$6:R390,R390)-1)</f>
        <v/>
      </c>
    </row>
    <row r="391" spans="2:19" ht="23.25" customHeight="1" x14ac:dyDescent="0.25">
      <c r="B391" s="159">
        <v>386</v>
      </c>
      <c r="C391" s="160" t="str">
        <f>IFERROR(INDEX($Q$6:$Q$505,MATCH(386,$S$6:$S$505,0)),"")</f>
        <v/>
      </c>
      <c r="D391" s="161" t="str">
        <f>IF(C391="","",COUNTIFS(Başvuru!$C:$C,C391,Başvuru!$A:$A,"&lt;&gt;"&amp;"",Başvuru!$F:$F,"&lt;&gt;"&amp;""))</f>
        <v/>
      </c>
      <c r="E391" s="159" t="str">
        <f>IF(C391="","-",IF(D391&gt;0,TEXT(D391/(COUNTIFS(Başvuru!$A:$A,"&lt;&gt;",Başvuru!$F:$F,"&lt;&gt;")-1)*100,"0.0")&amp;"%","-"))</f>
        <v>-</v>
      </c>
      <c r="F391" s="162" t="str">
        <f>IF(C391="","",COUNTIFS(Başvuru!$C:$C,C391,Başvuru!$G:$G,"Bireysel Araştırma",Başvuru!$A:$A,"&lt;&gt;"&amp;"",Başvuru!$F:$F,"&lt;&gt;"&amp;""))</f>
        <v/>
      </c>
      <c r="G391" s="162" t="str">
        <f>IF(C391="","",COUNTIFS(Başvuru!$C:$C,C391,Başvuru!$G:$G,"Uzmanlık Tezi",Başvuru!$A:$A,"&lt;&gt;"&amp;"",Başvuru!$F:$F,"&lt;&gt;"&amp;""))</f>
        <v/>
      </c>
      <c r="H391" s="162" t="str">
        <f>IF(C391="","",COUNTIFS(Başvuru!$C:$C,C391,Başvuru!$G:$G,"Doktora Tezi",Başvuru!$A:$A,"&lt;&gt;"&amp;"",Başvuru!$F:$F,"&lt;&gt;"&amp;""))</f>
        <v/>
      </c>
      <c r="I391" s="162" t="str">
        <f>IF(C391="","",COUNTIFS(Başvuru!$C:$C,C391,Başvuru!$G:$G,"Yüksek Lisans Tezi",Başvuru!$A:$A,"&lt;&gt;"&amp;"",Başvuru!$F:$F,"&lt;&gt;"&amp;""))</f>
        <v/>
      </c>
      <c r="J391" s="163" t="str">
        <f>IF(C391="","",COUNTIFS(Başvuru!$C:$C,C391,Başvuru!$L:$L,"ONAY",Başvuru!$A:$A,"&lt;&gt;"&amp;"",Başvuru!$F:$F,"&lt;&gt;"&amp;""))</f>
        <v/>
      </c>
      <c r="K391" s="164" t="str">
        <f>IF(C391="","",COUNTIFS(Başvuru!$C:$C,C391,Başvuru!$L:$L,"DÜZELTME",Başvuru!$A:$A,"&lt;&gt;"&amp;"",Başvuru!$F:$F,"&lt;&gt;"&amp;""))</f>
        <v/>
      </c>
      <c r="L391" s="165" t="str">
        <f>IF(C391="","",COUNTIFS(Başvuru!$C:$C,C391,Başvuru!$L:$L,"KAEK",Başvuru!$A:$A,"&lt;&gt;"&amp;"",Başvuru!$F:$F,"&lt;&gt;"&amp;""))</f>
        <v/>
      </c>
      <c r="M391" s="166" t="str">
        <f>IF(C391="","",COUNTIFS(Başvuru!$C:$C,C391,Başvuru!$L:$L,"GÖRÜŞ",Başvuru!$A:$A,"&lt;&gt;"&amp;"",Başvuru!$F:$F,"&lt;&gt;"&amp;""))</f>
        <v/>
      </c>
      <c r="N391" s="167" t="str">
        <f>IF(C391="","",COUNTIFS(Başvuru!$C:$C,C391,Başvuru!$L:$L,"RET",Başvuru!$A:$A,"&lt;&gt;"&amp;"",Başvuru!$F:$F,"&lt;&gt;"&amp;""))</f>
        <v/>
      </c>
      <c r="O391" s="168" t="str">
        <f>IF(C391="","",COUNTIFS(Başvuru!$C:$C,C391,Başvuru!$L:$L,"KAPSAM DIŞI",Başvuru!$A:$A,"&lt;&gt;"&amp;"",Başvuru!$F:$F,"&lt;&gt;"&amp;""))</f>
        <v/>
      </c>
      <c r="P391" s="169" t="str">
        <f>IF(C391="","",COUNTIFS(Başvuru!$C:$C,C391,Başvuru!$L:$L,"GERİ ÇEKİLDİ",Başvuru!$A:$A,"&lt;&gt;"&amp;"",Başvuru!$F:$F,"&lt;&gt;"&amp;""))</f>
        <v/>
      </c>
      <c r="Q391" s="170" t="str">
        <f t="array" ref="Q391">IFERROR(INDEX(Başvuru!$C$2:$C$3000, MATCH(0, COUNTIF($Q$5:Q390, Başvuru!$C$2:$C$3000) + IF(Başvuru!$C$2:$C$3000="",1,0), 0)), "")</f>
        <v/>
      </c>
      <c r="R391" s="171" t="str">
        <f>IF(Q391="","",COUNTIFS(Başvuru!$C:$C,Q391,Başvuru!$A:$A,"&lt;&gt;"&amp;"",Başvuru!$F:$F,"&lt;&gt;"&amp;""))</f>
        <v/>
      </c>
      <c r="S391" s="171" t="str">
        <f>IF(R391="","",RANK(R391,$R$6:$R$505,0)+COUNTIF($R$6:R391,R391)-1)</f>
        <v/>
      </c>
    </row>
    <row r="392" spans="2:19" ht="23.25" customHeight="1" x14ac:dyDescent="0.25">
      <c r="B392" s="159">
        <v>387</v>
      </c>
      <c r="C392" s="160" t="str">
        <f>IFERROR(INDEX($Q$6:$Q$505,MATCH(387,$S$6:$S$505,0)),"")</f>
        <v/>
      </c>
      <c r="D392" s="161" t="str">
        <f>IF(C392="","",COUNTIFS(Başvuru!$C:$C,C392,Başvuru!$A:$A,"&lt;&gt;"&amp;"",Başvuru!$F:$F,"&lt;&gt;"&amp;""))</f>
        <v/>
      </c>
      <c r="E392" s="159" t="str">
        <f>IF(C392="","-",IF(D392&gt;0,TEXT(D392/(COUNTIFS(Başvuru!$A:$A,"&lt;&gt;",Başvuru!$F:$F,"&lt;&gt;")-1)*100,"0.0")&amp;"%","-"))</f>
        <v>-</v>
      </c>
      <c r="F392" s="162" t="str">
        <f>IF(C392="","",COUNTIFS(Başvuru!$C:$C,C392,Başvuru!$G:$G,"Bireysel Araştırma",Başvuru!$A:$A,"&lt;&gt;"&amp;"",Başvuru!$F:$F,"&lt;&gt;"&amp;""))</f>
        <v/>
      </c>
      <c r="G392" s="162" t="str">
        <f>IF(C392="","",COUNTIFS(Başvuru!$C:$C,C392,Başvuru!$G:$G,"Uzmanlık Tezi",Başvuru!$A:$A,"&lt;&gt;"&amp;"",Başvuru!$F:$F,"&lt;&gt;"&amp;""))</f>
        <v/>
      </c>
      <c r="H392" s="162" t="str">
        <f>IF(C392="","",COUNTIFS(Başvuru!$C:$C,C392,Başvuru!$G:$G,"Doktora Tezi",Başvuru!$A:$A,"&lt;&gt;"&amp;"",Başvuru!$F:$F,"&lt;&gt;"&amp;""))</f>
        <v/>
      </c>
      <c r="I392" s="162" t="str">
        <f>IF(C392="","",COUNTIFS(Başvuru!$C:$C,C392,Başvuru!$G:$G,"Yüksek Lisans Tezi",Başvuru!$A:$A,"&lt;&gt;"&amp;"",Başvuru!$F:$F,"&lt;&gt;"&amp;""))</f>
        <v/>
      </c>
      <c r="J392" s="163" t="str">
        <f>IF(C392="","",COUNTIFS(Başvuru!$C:$C,C392,Başvuru!$L:$L,"ONAY",Başvuru!$A:$A,"&lt;&gt;"&amp;"",Başvuru!$F:$F,"&lt;&gt;"&amp;""))</f>
        <v/>
      </c>
      <c r="K392" s="164" t="str">
        <f>IF(C392="","",COUNTIFS(Başvuru!$C:$C,C392,Başvuru!$L:$L,"DÜZELTME",Başvuru!$A:$A,"&lt;&gt;"&amp;"",Başvuru!$F:$F,"&lt;&gt;"&amp;""))</f>
        <v/>
      </c>
      <c r="L392" s="165" t="str">
        <f>IF(C392="","",COUNTIFS(Başvuru!$C:$C,C392,Başvuru!$L:$L,"KAEK",Başvuru!$A:$A,"&lt;&gt;"&amp;"",Başvuru!$F:$F,"&lt;&gt;"&amp;""))</f>
        <v/>
      </c>
      <c r="M392" s="166" t="str">
        <f>IF(C392="","",COUNTIFS(Başvuru!$C:$C,C392,Başvuru!$L:$L,"GÖRÜŞ",Başvuru!$A:$A,"&lt;&gt;"&amp;"",Başvuru!$F:$F,"&lt;&gt;"&amp;""))</f>
        <v/>
      </c>
      <c r="N392" s="167" t="str">
        <f>IF(C392="","",COUNTIFS(Başvuru!$C:$C,C392,Başvuru!$L:$L,"RET",Başvuru!$A:$A,"&lt;&gt;"&amp;"",Başvuru!$F:$F,"&lt;&gt;"&amp;""))</f>
        <v/>
      </c>
      <c r="O392" s="168" t="str">
        <f>IF(C392="","",COUNTIFS(Başvuru!$C:$C,C392,Başvuru!$L:$L,"KAPSAM DIŞI",Başvuru!$A:$A,"&lt;&gt;"&amp;"",Başvuru!$F:$F,"&lt;&gt;"&amp;""))</f>
        <v/>
      </c>
      <c r="P392" s="169" t="str">
        <f>IF(C392="","",COUNTIFS(Başvuru!$C:$C,C392,Başvuru!$L:$L,"GERİ ÇEKİLDİ",Başvuru!$A:$A,"&lt;&gt;"&amp;"",Başvuru!$F:$F,"&lt;&gt;"&amp;""))</f>
        <v/>
      </c>
      <c r="Q392" s="170" t="str">
        <f t="array" ref="Q392">IFERROR(INDEX(Başvuru!$C$2:$C$3000, MATCH(0, COUNTIF($Q$5:Q391, Başvuru!$C$2:$C$3000) + IF(Başvuru!$C$2:$C$3000="",1,0), 0)), "")</f>
        <v/>
      </c>
      <c r="R392" s="171" t="str">
        <f>IF(Q392="","",COUNTIFS(Başvuru!$C:$C,Q392,Başvuru!$A:$A,"&lt;&gt;"&amp;"",Başvuru!$F:$F,"&lt;&gt;"&amp;""))</f>
        <v/>
      </c>
      <c r="S392" s="171" t="str">
        <f>IF(R392="","",RANK(R392,$R$6:$R$505,0)+COUNTIF($R$6:R392,R392)-1)</f>
        <v/>
      </c>
    </row>
    <row r="393" spans="2:19" ht="23.25" customHeight="1" x14ac:dyDescent="0.25">
      <c r="B393" s="159">
        <v>388</v>
      </c>
      <c r="C393" s="160" t="str">
        <f>IFERROR(INDEX($Q$6:$Q$505,MATCH(388,$S$6:$S$505,0)),"")</f>
        <v/>
      </c>
      <c r="D393" s="161" t="str">
        <f>IF(C393="","",COUNTIFS(Başvuru!$C:$C,C393,Başvuru!$A:$A,"&lt;&gt;"&amp;"",Başvuru!$F:$F,"&lt;&gt;"&amp;""))</f>
        <v/>
      </c>
      <c r="E393" s="159" t="str">
        <f>IF(C393="","-",IF(D393&gt;0,TEXT(D393/(COUNTIFS(Başvuru!$A:$A,"&lt;&gt;",Başvuru!$F:$F,"&lt;&gt;")-1)*100,"0.0")&amp;"%","-"))</f>
        <v>-</v>
      </c>
      <c r="F393" s="162" t="str">
        <f>IF(C393="","",COUNTIFS(Başvuru!$C:$C,C393,Başvuru!$G:$G,"Bireysel Araştırma",Başvuru!$A:$A,"&lt;&gt;"&amp;"",Başvuru!$F:$F,"&lt;&gt;"&amp;""))</f>
        <v/>
      </c>
      <c r="G393" s="162" t="str">
        <f>IF(C393="","",COUNTIFS(Başvuru!$C:$C,C393,Başvuru!$G:$G,"Uzmanlık Tezi",Başvuru!$A:$A,"&lt;&gt;"&amp;"",Başvuru!$F:$F,"&lt;&gt;"&amp;""))</f>
        <v/>
      </c>
      <c r="H393" s="162" t="str">
        <f>IF(C393="","",COUNTIFS(Başvuru!$C:$C,C393,Başvuru!$G:$G,"Doktora Tezi",Başvuru!$A:$A,"&lt;&gt;"&amp;"",Başvuru!$F:$F,"&lt;&gt;"&amp;""))</f>
        <v/>
      </c>
      <c r="I393" s="162" t="str">
        <f>IF(C393="","",COUNTIFS(Başvuru!$C:$C,C393,Başvuru!$G:$G,"Yüksek Lisans Tezi",Başvuru!$A:$A,"&lt;&gt;"&amp;"",Başvuru!$F:$F,"&lt;&gt;"&amp;""))</f>
        <v/>
      </c>
      <c r="J393" s="163" t="str">
        <f>IF(C393="","",COUNTIFS(Başvuru!$C:$C,C393,Başvuru!$L:$L,"ONAY",Başvuru!$A:$A,"&lt;&gt;"&amp;"",Başvuru!$F:$F,"&lt;&gt;"&amp;""))</f>
        <v/>
      </c>
      <c r="K393" s="164" t="str">
        <f>IF(C393="","",COUNTIFS(Başvuru!$C:$C,C393,Başvuru!$L:$L,"DÜZELTME",Başvuru!$A:$A,"&lt;&gt;"&amp;"",Başvuru!$F:$F,"&lt;&gt;"&amp;""))</f>
        <v/>
      </c>
      <c r="L393" s="165" t="str">
        <f>IF(C393="","",COUNTIFS(Başvuru!$C:$C,C393,Başvuru!$L:$L,"KAEK",Başvuru!$A:$A,"&lt;&gt;"&amp;"",Başvuru!$F:$F,"&lt;&gt;"&amp;""))</f>
        <v/>
      </c>
      <c r="M393" s="166" t="str">
        <f>IF(C393="","",COUNTIFS(Başvuru!$C:$C,C393,Başvuru!$L:$L,"GÖRÜŞ",Başvuru!$A:$A,"&lt;&gt;"&amp;"",Başvuru!$F:$F,"&lt;&gt;"&amp;""))</f>
        <v/>
      </c>
      <c r="N393" s="167" t="str">
        <f>IF(C393="","",COUNTIFS(Başvuru!$C:$C,C393,Başvuru!$L:$L,"RET",Başvuru!$A:$A,"&lt;&gt;"&amp;"",Başvuru!$F:$F,"&lt;&gt;"&amp;""))</f>
        <v/>
      </c>
      <c r="O393" s="168" t="str">
        <f>IF(C393="","",COUNTIFS(Başvuru!$C:$C,C393,Başvuru!$L:$L,"KAPSAM DIŞI",Başvuru!$A:$A,"&lt;&gt;"&amp;"",Başvuru!$F:$F,"&lt;&gt;"&amp;""))</f>
        <v/>
      </c>
      <c r="P393" s="169" t="str">
        <f>IF(C393="","",COUNTIFS(Başvuru!$C:$C,C393,Başvuru!$L:$L,"GERİ ÇEKİLDİ",Başvuru!$A:$A,"&lt;&gt;"&amp;"",Başvuru!$F:$F,"&lt;&gt;"&amp;""))</f>
        <v/>
      </c>
      <c r="Q393" s="170" t="str">
        <f t="array" ref="Q393">IFERROR(INDEX(Başvuru!$C$2:$C$3000, MATCH(0, COUNTIF($Q$5:Q392, Başvuru!$C$2:$C$3000) + IF(Başvuru!$C$2:$C$3000="",1,0), 0)), "")</f>
        <v/>
      </c>
      <c r="R393" s="171" t="str">
        <f>IF(Q393="","",COUNTIFS(Başvuru!$C:$C,Q393,Başvuru!$A:$A,"&lt;&gt;"&amp;"",Başvuru!$F:$F,"&lt;&gt;"&amp;""))</f>
        <v/>
      </c>
      <c r="S393" s="171" t="str">
        <f>IF(R393="","",RANK(R393,$R$6:$R$505,0)+COUNTIF($R$6:R393,R393)-1)</f>
        <v/>
      </c>
    </row>
    <row r="394" spans="2:19" ht="23.25" customHeight="1" x14ac:dyDescent="0.25">
      <c r="B394" s="159">
        <v>389</v>
      </c>
      <c r="C394" s="160" t="str">
        <f>IFERROR(INDEX($Q$6:$Q$505,MATCH(389,$S$6:$S$505,0)),"")</f>
        <v/>
      </c>
      <c r="D394" s="161" t="str">
        <f>IF(C394="","",COUNTIFS(Başvuru!$C:$C,C394,Başvuru!$A:$A,"&lt;&gt;"&amp;"",Başvuru!$F:$F,"&lt;&gt;"&amp;""))</f>
        <v/>
      </c>
      <c r="E394" s="159" t="str">
        <f>IF(C394="","-",IF(D394&gt;0,TEXT(D394/(COUNTIFS(Başvuru!$A:$A,"&lt;&gt;",Başvuru!$F:$F,"&lt;&gt;")-1)*100,"0.0")&amp;"%","-"))</f>
        <v>-</v>
      </c>
      <c r="F394" s="162" t="str">
        <f>IF(C394="","",COUNTIFS(Başvuru!$C:$C,C394,Başvuru!$G:$G,"Bireysel Araştırma",Başvuru!$A:$A,"&lt;&gt;"&amp;"",Başvuru!$F:$F,"&lt;&gt;"&amp;""))</f>
        <v/>
      </c>
      <c r="G394" s="162" t="str">
        <f>IF(C394="","",COUNTIFS(Başvuru!$C:$C,C394,Başvuru!$G:$G,"Uzmanlık Tezi",Başvuru!$A:$A,"&lt;&gt;"&amp;"",Başvuru!$F:$F,"&lt;&gt;"&amp;""))</f>
        <v/>
      </c>
      <c r="H394" s="162" t="str">
        <f>IF(C394="","",COUNTIFS(Başvuru!$C:$C,C394,Başvuru!$G:$G,"Doktora Tezi",Başvuru!$A:$A,"&lt;&gt;"&amp;"",Başvuru!$F:$F,"&lt;&gt;"&amp;""))</f>
        <v/>
      </c>
      <c r="I394" s="162" t="str">
        <f>IF(C394="","",COUNTIFS(Başvuru!$C:$C,C394,Başvuru!$G:$G,"Yüksek Lisans Tezi",Başvuru!$A:$A,"&lt;&gt;"&amp;"",Başvuru!$F:$F,"&lt;&gt;"&amp;""))</f>
        <v/>
      </c>
      <c r="J394" s="163" t="str">
        <f>IF(C394="","",COUNTIFS(Başvuru!$C:$C,C394,Başvuru!$L:$L,"ONAY",Başvuru!$A:$A,"&lt;&gt;"&amp;"",Başvuru!$F:$F,"&lt;&gt;"&amp;""))</f>
        <v/>
      </c>
      <c r="K394" s="164" t="str">
        <f>IF(C394="","",COUNTIFS(Başvuru!$C:$C,C394,Başvuru!$L:$L,"DÜZELTME",Başvuru!$A:$A,"&lt;&gt;"&amp;"",Başvuru!$F:$F,"&lt;&gt;"&amp;""))</f>
        <v/>
      </c>
      <c r="L394" s="165" t="str">
        <f>IF(C394="","",COUNTIFS(Başvuru!$C:$C,C394,Başvuru!$L:$L,"KAEK",Başvuru!$A:$A,"&lt;&gt;"&amp;"",Başvuru!$F:$F,"&lt;&gt;"&amp;""))</f>
        <v/>
      </c>
      <c r="M394" s="166" t="str">
        <f>IF(C394="","",COUNTIFS(Başvuru!$C:$C,C394,Başvuru!$L:$L,"GÖRÜŞ",Başvuru!$A:$A,"&lt;&gt;"&amp;"",Başvuru!$F:$F,"&lt;&gt;"&amp;""))</f>
        <v/>
      </c>
      <c r="N394" s="167" t="str">
        <f>IF(C394="","",COUNTIFS(Başvuru!$C:$C,C394,Başvuru!$L:$L,"RET",Başvuru!$A:$A,"&lt;&gt;"&amp;"",Başvuru!$F:$F,"&lt;&gt;"&amp;""))</f>
        <v/>
      </c>
      <c r="O394" s="168" t="str">
        <f>IF(C394="","",COUNTIFS(Başvuru!$C:$C,C394,Başvuru!$L:$L,"KAPSAM DIŞI",Başvuru!$A:$A,"&lt;&gt;"&amp;"",Başvuru!$F:$F,"&lt;&gt;"&amp;""))</f>
        <v/>
      </c>
      <c r="P394" s="169" t="str">
        <f>IF(C394="","",COUNTIFS(Başvuru!$C:$C,C394,Başvuru!$L:$L,"GERİ ÇEKİLDİ",Başvuru!$A:$A,"&lt;&gt;"&amp;"",Başvuru!$F:$F,"&lt;&gt;"&amp;""))</f>
        <v/>
      </c>
      <c r="Q394" s="170" t="str">
        <f t="array" ref="Q394">IFERROR(INDEX(Başvuru!$C$2:$C$3000, MATCH(0, COUNTIF($Q$5:Q393, Başvuru!$C$2:$C$3000) + IF(Başvuru!$C$2:$C$3000="",1,0), 0)), "")</f>
        <v/>
      </c>
      <c r="R394" s="171" t="str">
        <f>IF(Q394="","",COUNTIFS(Başvuru!$C:$C,Q394,Başvuru!$A:$A,"&lt;&gt;"&amp;"",Başvuru!$F:$F,"&lt;&gt;"&amp;""))</f>
        <v/>
      </c>
      <c r="S394" s="171" t="str">
        <f>IF(R394="","",RANK(R394,$R$6:$R$505,0)+COUNTIF($R$6:R394,R394)-1)</f>
        <v/>
      </c>
    </row>
    <row r="395" spans="2:19" ht="23.25" customHeight="1" x14ac:dyDescent="0.25">
      <c r="B395" s="159">
        <v>390</v>
      </c>
      <c r="C395" s="160" t="str">
        <f>IFERROR(INDEX($Q$6:$Q$505,MATCH(390,$S$6:$S$505,0)),"")</f>
        <v/>
      </c>
      <c r="D395" s="161" t="str">
        <f>IF(C395="","",COUNTIFS(Başvuru!$C:$C,C395,Başvuru!$A:$A,"&lt;&gt;"&amp;"",Başvuru!$F:$F,"&lt;&gt;"&amp;""))</f>
        <v/>
      </c>
      <c r="E395" s="159" t="str">
        <f>IF(C395="","-",IF(D395&gt;0,TEXT(D395/(COUNTIFS(Başvuru!$A:$A,"&lt;&gt;",Başvuru!$F:$F,"&lt;&gt;")-1)*100,"0.0")&amp;"%","-"))</f>
        <v>-</v>
      </c>
      <c r="F395" s="162" t="str">
        <f>IF(C395="","",COUNTIFS(Başvuru!$C:$C,C395,Başvuru!$G:$G,"Bireysel Araştırma",Başvuru!$A:$A,"&lt;&gt;"&amp;"",Başvuru!$F:$F,"&lt;&gt;"&amp;""))</f>
        <v/>
      </c>
      <c r="G395" s="162" t="str">
        <f>IF(C395="","",COUNTIFS(Başvuru!$C:$C,C395,Başvuru!$G:$G,"Uzmanlık Tezi",Başvuru!$A:$A,"&lt;&gt;"&amp;"",Başvuru!$F:$F,"&lt;&gt;"&amp;""))</f>
        <v/>
      </c>
      <c r="H395" s="162" t="str">
        <f>IF(C395="","",COUNTIFS(Başvuru!$C:$C,C395,Başvuru!$G:$G,"Doktora Tezi",Başvuru!$A:$A,"&lt;&gt;"&amp;"",Başvuru!$F:$F,"&lt;&gt;"&amp;""))</f>
        <v/>
      </c>
      <c r="I395" s="162" t="str">
        <f>IF(C395="","",COUNTIFS(Başvuru!$C:$C,C395,Başvuru!$G:$G,"Yüksek Lisans Tezi",Başvuru!$A:$A,"&lt;&gt;"&amp;"",Başvuru!$F:$F,"&lt;&gt;"&amp;""))</f>
        <v/>
      </c>
      <c r="J395" s="163" t="str">
        <f>IF(C395="","",COUNTIFS(Başvuru!$C:$C,C395,Başvuru!$L:$L,"ONAY",Başvuru!$A:$A,"&lt;&gt;"&amp;"",Başvuru!$F:$F,"&lt;&gt;"&amp;""))</f>
        <v/>
      </c>
      <c r="K395" s="164" t="str">
        <f>IF(C395="","",COUNTIFS(Başvuru!$C:$C,C395,Başvuru!$L:$L,"DÜZELTME",Başvuru!$A:$A,"&lt;&gt;"&amp;"",Başvuru!$F:$F,"&lt;&gt;"&amp;""))</f>
        <v/>
      </c>
      <c r="L395" s="165" t="str">
        <f>IF(C395="","",COUNTIFS(Başvuru!$C:$C,C395,Başvuru!$L:$L,"KAEK",Başvuru!$A:$A,"&lt;&gt;"&amp;"",Başvuru!$F:$F,"&lt;&gt;"&amp;""))</f>
        <v/>
      </c>
      <c r="M395" s="166" t="str">
        <f>IF(C395="","",COUNTIFS(Başvuru!$C:$C,C395,Başvuru!$L:$L,"GÖRÜŞ",Başvuru!$A:$A,"&lt;&gt;"&amp;"",Başvuru!$F:$F,"&lt;&gt;"&amp;""))</f>
        <v/>
      </c>
      <c r="N395" s="167" t="str">
        <f>IF(C395="","",COUNTIFS(Başvuru!$C:$C,C395,Başvuru!$L:$L,"RET",Başvuru!$A:$A,"&lt;&gt;"&amp;"",Başvuru!$F:$F,"&lt;&gt;"&amp;""))</f>
        <v/>
      </c>
      <c r="O395" s="168" t="str">
        <f>IF(C395="","",COUNTIFS(Başvuru!$C:$C,C395,Başvuru!$L:$L,"KAPSAM DIŞI",Başvuru!$A:$A,"&lt;&gt;"&amp;"",Başvuru!$F:$F,"&lt;&gt;"&amp;""))</f>
        <v/>
      </c>
      <c r="P395" s="169" t="str">
        <f>IF(C395="","",COUNTIFS(Başvuru!$C:$C,C395,Başvuru!$L:$L,"GERİ ÇEKİLDİ",Başvuru!$A:$A,"&lt;&gt;"&amp;"",Başvuru!$F:$F,"&lt;&gt;"&amp;""))</f>
        <v/>
      </c>
      <c r="Q395" s="170" t="str">
        <f t="array" ref="Q395">IFERROR(INDEX(Başvuru!$C$2:$C$3000, MATCH(0, COUNTIF($Q$5:Q394, Başvuru!$C$2:$C$3000) + IF(Başvuru!$C$2:$C$3000="",1,0), 0)), "")</f>
        <v/>
      </c>
      <c r="R395" s="171" t="str">
        <f>IF(Q395="","",COUNTIFS(Başvuru!$C:$C,Q395,Başvuru!$A:$A,"&lt;&gt;"&amp;"",Başvuru!$F:$F,"&lt;&gt;"&amp;""))</f>
        <v/>
      </c>
      <c r="S395" s="171" t="str">
        <f>IF(R395="","",RANK(R395,$R$6:$R$505,0)+COUNTIF($R$6:R395,R395)-1)</f>
        <v/>
      </c>
    </row>
    <row r="396" spans="2:19" ht="23.25" customHeight="1" x14ac:dyDescent="0.25">
      <c r="B396" s="159">
        <v>391</v>
      </c>
      <c r="C396" s="160" t="str">
        <f>IFERROR(INDEX($Q$6:$Q$505,MATCH(391,$S$6:$S$505,0)),"")</f>
        <v/>
      </c>
      <c r="D396" s="161" t="str">
        <f>IF(C396="","",COUNTIFS(Başvuru!$C:$C,C396,Başvuru!$A:$A,"&lt;&gt;"&amp;"",Başvuru!$F:$F,"&lt;&gt;"&amp;""))</f>
        <v/>
      </c>
      <c r="E396" s="159" t="str">
        <f>IF(C396="","-",IF(D396&gt;0,TEXT(D396/(COUNTIFS(Başvuru!$A:$A,"&lt;&gt;",Başvuru!$F:$F,"&lt;&gt;")-1)*100,"0.0")&amp;"%","-"))</f>
        <v>-</v>
      </c>
      <c r="F396" s="162" t="str">
        <f>IF(C396="","",COUNTIFS(Başvuru!$C:$C,C396,Başvuru!$G:$G,"Bireysel Araştırma",Başvuru!$A:$A,"&lt;&gt;"&amp;"",Başvuru!$F:$F,"&lt;&gt;"&amp;""))</f>
        <v/>
      </c>
      <c r="G396" s="162" t="str">
        <f>IF(C396="","",COUNTIFS(Başvuru!$C:$C,C396,Başvuru!$G:$G,"Uzmanlık Tezi",Başvuru!$A:$A,"&lt;&gt;"&amp;"",Başvuru!$F:$F,"&lt;&gt;"&amp;""))</f>
        <v/>
      </c>
      <c r="H396" s="162" t="str">
        <f>IF(C396="","",COUNTIFS(Başvuru!$C:$C,C396,Başvuru!$G:$G,"Doktora Tezi",Başvuru!$A:$A,"&lt;&gt;"&amp;"",Başvuru!$F:$F,"&lt;&gt;"&amp;""))</f>
        <v/>
      </c>
      <c r="I396" s="162" t="str">
        <f>IF(C396="","",COUNTIFS(Başvuru!$C:$C,C396,Başvuru!$G:$G,"Yüksek Lisans Tezi",Başvuru!$A:$A,"&lt;&gt;"&amp;"",Başvuru!$F:$F,"&lt;&gt;"&amp;""))</f>
        <v/>
      </c>
      <c r="J396" s="163" t="str">
        <f>IF(C396="","",COUNTIFS(Başvuru!$C:$C,C396,Başvuru!$L:$L,"ONAY",Başvuru!$A:$A,"&lt;&gt;"&amp;"",Başvuru!$F:$F,"&lt;&gt;"&amp;""))</f>
        <v/>
      </c>
      <c r="K396" s="164" t="str">
        <f>IF(C396="","",COUNTIFS(Başvuru!$C:$C,C396,Başvuru!$L:$L,"DÜZELTME",Başvuru!$A:$A,"&lt;&gt;"&amp;"",Başvuru!$F:$F,"&lt;&gt;"&amp;""))</f>
        <v/>
      </c>
      <c r="L396" s="165" t="str">
        <f>IF(C396="","",COUNTIFS(Başvuru!$C:$C,C396,Başvuru!$L:$L,"KAEK",Başvuru!$A:$A,"&lt;&gt;"&amp;"",Başvuru!$F:$F,"&lt;&gt;"&amp;""))</f>
        <v/>
      </c>
      <c r="M396" s="166" t="str">
        <f>IF(C396="","",COUNTIFS(Başvuru!$C:$C,C396,Başvuru!$L:$L,"GÖRÜŞ",Başvuru!$A:$A,"&lt;&gt;"&amp;"",Başvuru!$F:$F,"&lt;&gt;"&amp;""))</f>
        <v/>
      </c>
      <c r="N396" s="167" t="str">
        <f>IF(C396="","",COUNTIFS(Başvuru!$C:$C,C396,Başvuru!$L:$L,"RET",Başvuru!$A:$A,"&lt;&gt;"&amp;"",Başvuru!$F:$F,"&lt;&gt;"&amp;""))</f>
        <v/>
      </c>
      <c r="O396" s="168" t="str">
        <f>IF(C396="","",COUNTIFS(Başvuru!$C:$C,C396,Başvuru!$L:$L,"KAPSAM DIŞI",Başvuru!$A:$A,"&lt;&gt;"&amp;"",Başvuru!$F:$F,"&lt;&gt;"&amp;""))</f>
        <v/>
      </c>
      <c r="P396" s="169" t="str">
        <f>IF(C396="","",COUNTIFS(Başvuru!$C:$C,C396,Başvuru!$L:$L,"GERİ ÇEKİLDİ",Başvuru!$A:$A,"&lt;&gt;"&amp;"",Başvuru!$F:$F,"&lt;&gt;"&amp;""))</f>
        <v/>
      </c>
      <c r="Q396" s="170" t="str">
        <f t="array" ref="Q396">IFERROR(INDEX(Başvuru!$C$2:$C$3000, MATCH(0, COUNTIF($Q$5:Q395, Başvuru!$C$2:$C$3000) + IF(Başvuru!$C$2:$C$3000="",1,0), 0)), "")</f>
        <v/>
      </c>
      <c r="R396" s="171" t="str">
        <f>IF(Q396="","",COUNTIFS(Başvuru!$C:$C,Q396,Başvuru!$A:$A,"&lt;&gt;"&amp;"",Başvuru!$F:$F,"&lt;&gt;"&amp;""))</f>
        <v/>
      </c>
      <c r="S396" s="171" t="str">
        <f>IF(R396="","",RANK(R396,$R$6:$R$505,0)+COUNTIF($R$6:R396,R396)-1)</f>
        <v/>
      </c>
    </row>
    <row r="397" spans="2:19" ht="23.25" customHeight="1" x14ac:dyDescent="0.25">
      <c r="B397" s="159">
        <v>392</v>
      </c>
      <c r="C397" s="160" t="str">
        <f>IFERROR(INDEX($Q$6:$Q$505,MATCH(392,$S$6:$S$505,0)),"")</f>
        <v/>
      </c>
      <c r="D397" s="161" t="str">
        <f>IF(C397="","",COUNTIFS(Başvuru!$C:$C,C397,Başvuru!$A:$A,"&lt;&gt;"&amp;"",Başvuru!$F:$F,"&lt;&gt;"&amp;""))</f>
        <v/>
      </c>
      <c r="E397" s="159" t="str">
        <f>IF(C397="","-",IF(D397&gt;0,TEXT(D397/(COUNTIFS(Başvuru!$A:$A,"&lt;&gt;",Başvuru!$F:$F,"&lt;&gt;")-1)*100,"0.0")&amp;"%","-"))</f>
        <v>-</v>
      </c>
      <c r="F397" s="162" t="str">
        <f>IF(C397="","",COUNTIFS(Başvuru!$C:$C,C397,Başvuru!$G:$G,"Bireysel Araştırma",Başvuru!$A:$A,"&lt;&gt;"&amp;"",Başvuru!$F:$F,"&lt;&gt;"&amp;""))</f>
        <v/>
      </c>
      <c r="G397" s="162" t="str">
        <f>IF(C397="","",COUNTIFS(Başvuru!$C:$C,C397,Başvuru!$G:$G,"Uzmanlık Tezi",Başvuru!$A:$A,"&lt;&gt;"&amp;"",Başvuru!$F:$F,"&lt;&gt;"&amp;""))</f>
        <v/>
      </c>
      <c r="H397" s="162" t="str">
        <f>IF(C397="","",COUNTIFS(Başvuru!$C:$C,C397,Başvuru!$G:$G,"Doktora Tezi",Başvuru!$A:$A,"&lt;&gt;"&amp;"",Başvuru!$F:$F,"&lt;&gt;"&amp;""))</f>
        <v/>
      </c>
      <c r="I397" s="162" t="str">
        <f>IF(C397="","",COUNTIFS(Başvuru!$C:$C,C397,Başvuru!$G:$G,"Yüksek Lisans Tezi",Başvuru!$A:$A,"&lt;&gt;"&amp;"",Başvuru!$F:$F,"&lt;&gt;"&amp;""))</f>
        <v/>
      </c>
      <c r="J397" s="163" t="str">
        <f>IF(C397="","",COUNTIFS(Başvuru!$C:$C,C397,Başvuru!$L:$L,"ONAY",Başvuru!$A:$A,"&lt;&gt;"&amp;"",Başvuru!$F:$F,"&lt;&gt;"&amp;""))</f>
        <v/>
      </c>
      <c r="K397" s="164" t="str">
        <f>IF(C397="","",COUNTIFS(Başvuru!$C:$C,C397,Başvuru!$L:$L,"DÜZELTME",Başvuru!$A:$A,"&lt;&gt;"&amp;"",Başvuru!$F:$F,"&lt;&gt;"&amp;""))</f>
        <v/>
      </c>
      <c r="L397" s="165" t="str">
        <f>IF(C397="","",COUNTIFS(Başvuru!$C:$C,C397,Başvuru!$L:$L,"KAEK",Başvuru!$A:$A,"&lt;&gt;"&amp;"",Başvuru!$F:$F,"&lt;&gt;"&amp;""))</f>
        <v/>
      </c>
      <c r="M397" s="166" t="str">
        <f>IF(C397="","",COUNTIFS(Başvuru!$C:$C,C397,Başvuru!$L:$L,"GÖRÜŞ",Başvuru!$A:$A,"&lt;&gt;"&amp;"",Başvuru!$F:$F,"&lt;&gt;"&amp;""))</f>
        <v/>
      </c>
      <c r="N397" s="167" t="str">
        <f>IF(C397="","",COUNTIFS(Başvuru!$C:$C,C397,Başvuru!$L:$L,"RET",Başvuru!$A:$A,"&lt;&gt;"&amp;"",Başvuru!$F:$F,"&lt;&gt;"&amp;""))</f>
        <v/>
      </c>
      <c r="O397" s="168" t="str">
        <f>IF(C397="","",COUNTIFS(Başvuru!$C:$C,C397,Başvuru!$L:$L,"KAPSAM DIŞI",Başvuru!$A:$A,"&lt;&gt;"&amp;"",Başvuru!$F:$F,"&lt;&gt;"&amp;""))</f>
        <v/>
      </c>
      <c r="P397" s="169" t="str">
        <f>IF(C397="","",COUNTIFS(Başvuru!$C:$C,C397,Başvuru!$L:$L,"GERİ ÇEKİLDİ",Başvuru!$A:$A,"&lt;&gt;"&amp;"",Başvuru!$F:$F,"&lt;&gt;"&amp;""))</f>
        <v/>
      </c>
      <c r="Q397" s="170" t="str">
        <f t="array" ref="Q397">IFERROR(INDEX(Başvuru!$C$2:$C$3000, MATCH(0, COUNTIF($Q$5:Q396, Başvuru!$C$2:$C$3000) + IF(Başvuru!$C$2:$C$3000="",1,0), 0)), "")</f>
        <v/>
      </c>
      <c r="R397" s="171" t="str">
        <f>IF(Q397="","",COUNTIFS(Başvuru!$C:$C,Q397,Başvuru!$A:$A,"&lt;&gt;"&amp;"",Başvuru!$F:$F,"&lt;&gt;"&amp;""))</f>
        <v/>
      </c>
      <c r="S397" s="171" t="str">
        <f>IF(R397="","",RANK(R397,$R$6:$R$505,0)+COUNTIF($R$6:R397,R397)-1)</f>
        <v/>
      </c>
    </row>
    <row r="398" spans="2:19" ht="23.25" customHeight="1" x14ac:dyDescent="0.25">
      <c r="B398" s="159">
        <v>393</v>
      </c>
      <c r="C398" s="160" t="str">
        <f>IFERROR(INDEX($Q$6:$Q$505,MATCH(393,$S$6:$S$505,0)),"")</f>
        <v/>
      </c>
      <c r="D398" s="161" t="str">
        <f>IF(C398="","",COUNTIFS(Başvuru!$C:$C,C398,Başvuru!$A:$A,"&lt;&gt;"&amp;"",Başvuru!$F:$F,"&lt;&gt;"&amp;""))</f>
        <v/>
      </c>
      <c r="E398" s="159" t="str">
        <f>IF(C398="","-",IF(D398&gt;0,TEXT(D398/(COUNTIFS(Başvuru!$A:$A,"&lt;&gt;",Başvuru!$F:$F,"&lt;&gt;")-1)*100,"0.0")&amp;"%","-"))</f>
        <v>-</v>
      </c>
      <c r="F398" s="162" t="str">
        <f>IF(C398="","",COUNTIFS(Başvuru!$C:$C,C398,Başvuru!$G:$G,"Bireysel Araştırma",Başvuru!$A:$A,"&lt;&gt;"&amp;"",Başvuru!$F:$F,"&lt;&gt;"&amp;""))</f>
        <v/>
      </c>
      <c r="G398" s="162" t="str">
        <f>IF(C398="","",COUNTIFS(Başvuru!$C:$C,C398,Başvuru!$G:$G,"Uzmanlık Tezi",Başvuru!$A:$A,"&lt;&gt;"&amp;"",Başvuru!$F:$F,"&lt;&gt;"&amp;""))</f>
        <v/>
      </c>
      <c r="H398" s="162" t="str">
        <f>IF(C398="","",COUNTIFS(Başvuru!$C:$C,C398,Başvuru!$G:$G,"Doktora Tezi",Başvuru!$A:$A,"&lt;&gt;"&amp;"",Başvuru!$F:$F,"&lt;&gt;"&amp;""))</f>
        <v/>
      </c>
      <c r="I398" s="162" t="str">
        <f>IF(C398="","",COUNTIFS(Başvuru!$C:$C,C398,Başvuru!$G:$G,"Yüksek Lisans Tezi",Başvuru!$A:$A,"&lt;&gt;"&amp;"",Başvuru!$F:$F,"&lt;&gt;"&amp;""))</f>
        <v/>
      </c>
      <c r="J398" s="163" t="str">
        <f>IF(C398="","",COUNTIFS(Başvuru!$C:$C,C398,Başvuru!$L:$L,"ONAY",Başvuru!$A:$A,"&lt;&gt;"&amp;"",Başvuru!$F:$F,"&lt;&gt;"&amp;""))</f>
        <v/>
      </c>
      <c r="K398" s="164" t="str">
        <f>IF(C398="","",COUNTIFS(Başvuru!$C:$C,C398,Başvuru!$L:$L,"DÜZELTME",Başvuru!$A:$A,"&lt;&gt;"&amp;"",Başvuru!$F:$F,"&lt;&gt;"&amp;""))</f>
        <v/>
      </c>
      <c r="L398" s="165" t="str">
        <f>IF(C398="","",COUNTIFS(Başvuru!$C:$C,C398,Başvuru!$L:$L,"KAEK",Başvuru!$A:$A,"&lt;&gt;"&amp;"",Başvuru!$F:$F,"&lt;&gt;"&amp;""))</f>
        <v/>
      </c>
      <c r="M398" s="166" t="str">
        <f>IF(C398="","",COUNTIFS(Başvuru!$C:$C,C398,Başvuru!$L:$L,"GÖRÜŞ",Başvuru!$A:$A,"&lt;&gt;"&amp;"",Başvuru!$F:$F,"&lt;&gt;"&amp;""))</f>
        <v/>
      </c>
      <c r="N398" s="167" t="str">
        <f>IF(C398="","",COUNTIFS(Başvuru!$C:$C,C398,Başvuru!$L:$L,"RET",Başvuru!$A:$A,"&lt;&gt;"&amp;"",Başvuru!$F:$F,"&lt;&gt;"&amp;""))</f>
        <v/>
      </c>
      <c r="O398" s="168" t="str">
        <f>IF(C398="","",COUNTIFS(Başvuru!$C:$C,C398,Başvuru!$L:$L,"KAPSAM DIŞI",Başvuru!$A:$A,"&lt;&gt;"&amp;"",Başvuru!$F:$F,"&lt;&gt;"&amp;""))</f>
        <v/>
      </c>
      <c r="P398" s="169" t="str">
        <f>IF(C398="","",COUNTIFS(Başvuru!$C:$C,C398,Başvuru!$L:$L,"GERİ ÇEKİLDİ",Başvuru!$A:$A,"&lt;&gt;"&amp;"",Başvuru!$F:$F,"&lt;&gt;"&amp;""))</f>
        <v/>
      </c>
      <c r="Q398" s="170" t="str">
        <f t="array" ref="Q398">IFERROR(INDEX(Başvuru!$C$2:$C$3000, MATCH(0, COUNTIF($Q$5:Q397, Başvuru!$C$2:$C$3000) + IF(Başvuru!$C$2:$C$3000="",1,0), 0)), "")</f>
        <v/>
      </c>
      <c r="R398" s="171" t="str">
        <f>IF(Q398="","",COUNTIFS(Başvuru!$C:$C,Q398,Başvuru!$A:$A,"&lt;&gt;"&amp;"",Başvuru!$F:$F,"&lt;&gt;"&amp;""))</f>
        <v/>
      </c>
      <c r="S398" s="171" t="str">
        <f>IF(R398="","",RANK(R398,$R$6:$R$505,0)+COUNTIF($R$6:R398,R398)-1)</f>
        <v/>
      </c>
    </row>
    <row r="399" spans="2:19" ht="23.25" customHeight="1" x14ac:dyDescent="0.25">
      <c r="B399" s="159">
        <v>394</v>
      </c>
      <c r="C399" s="160" t="str">
        <f>IFERROR(INDEX($Q$6:$Q$505,MATCH(394,$S$6:$S$505,0)),"")</f>
        <v/>
      </c>
      <c r="D399" s="161" t="str">
        <f>IF(C399="","",COUNTIFS(Başvuru!$C:$C,C399,Başvuru!$A:$A,"&lt;&gt;"&amp;"",Başvuru!$F:$F,"&lt;&gt;"&amp;""))</f>
        <v/>
      </c>
      <c r="E399" s="159" t="str">
        <f>IF(C399="","-",IF(D399&gt;0,TEXT(D399/(COUNTIFS(Başvuru!$A:$A,"&lt;&gt;",Başvuru!$F:$F,"&lt;&gt;")-1)*100,"0.0")&amp;"%","-"))</f>
        <v>-</v>
      </c>
      <c r="F399" s="162" t="str">
        <f>IF(C399="","",COUNTIFS(Başvuru!$C:$C,C399,Başvuru!$G:$G,"Bireysel Araştırma",Başvuru!$A:$A,"&lt;&gt;"&amp;"",Başvuru!$F:$F,"&lt;&gt;"&amp;""))</f>
        <v/>
      </c>
      <c r="G399" s="162" t="str">
        <f>IF(C399="","",COUNTIFS(Başvuru!$C:$C,C399,Başvuru!$G:$G,"Uzmanlık Tezi",Başvuru!$A:$A,"&lt;&gt;"&amp;"",Başvuru!$F:$F,"&lt;&gt;"&amp;""))</f>
        <v/>
      </c>
      <c r="H399" s="162" t="str">
        <f>IF(C399="","",COUNTIFS(Başvuru!$C:$C,C399,Başvuru!$G:$G,"Doktora Tezi",Başvuru!$A:$A,"&lt;&gt;"&amp;"",Başvuru!$F:$F,"&lt;&gt;"&amp;""))</f>
        <v/>
      </c>
      <c r="I399" s="162" t="str">
        <f>IF(C399="","",COUNTIFS(Başvuru!$C:$C,C399,Başvuru!$G:$G,"Yüksek Lisans Tezi",Başvuru!$A:$A,"&lt;&gt;"&amp;"",Başvuru!$F:$F,"&lt;&gt;"&amp;""))</f>
        <v/>
      </c>
      <c r="J399" s="163" t="str">
        <f>IF(C399="","",COUNTIFS(Başvuru!$C:$C,C399,Başvuru!$L:$L,"ONAY",Başvuru!$A:$A,"&lt;&gt;"&amp;"",Başvuru!$F:$F,"&lt;&gt;"&amp;""))</f>
        <v/>
      </c>
      <c r="K399" s="164" t="str">
        <f>IF(C399="","",COUNTIFS(Başvuru!$C:$C,C399,Başvuru!$L:$L,"DÜZELTME",Başvuru!$A:$A,"&lt;&gt;"&amp;"",Başvuru!$F:$F,"&lt;&gt;"&amp;""))</f>
        <v/>
      </c>
      <c r="L399" s="165" t="str">
        <f>IF(C399="","",COUNTIFS(Başvuru!$C:$C,C399,Başvuru!$L:$L,"KAEK",Başvuru!$A:$A,"&lt;&gt;"&amp;"",Başvuru!$F:$F,"&lt;&gt;"&amp;""))</f>
        <v/>
      </c>
      <c r="M399" s="166" t="str">
        <f>IF(C399="","",COUNTIFS(Başvuru!$C:$C,C399,Başvuru!$L:$L,"GÖRÜŞ",Başvuru!$A:$A,"&lt;&gt;"&amp;"",Başvuru!$F:$F,"&lt;&gt;"&amp;""))</f>
        <v/>
      </c>
      <c r="N399" s="167" t="str">
        <f>IF(C399="","",COUNTIFS(Başvuru!$C:$C,C399,Başvuru!$L:$L,"RET",Başvuru!$A:$A,"&lt;&gt;"&amp;"",Başvuru!$F:$F,"&lt;&gt;"&amp;""))</f>
        <v/>
      </c>
      <c r="O399" s="168" t="str">
        <f>IF(C399="","",COUNTIFS(Başvuru!$C:$C,C399,Başvuru!$L:$L,"KAPSAM DIŞI",Başvuru!$A:$A,"&lt;&gt;"&amp;"",Başvuru!$F:$F,"&lt;&gt;"&amp;""))</f>
        <v/>
      </c>
      <c r="P399" s="169" t="str">
        <f>IF(C399="","",COUNTIFS(Başvuru!$C:$C,C399,Başvuru!$L:$L,"GERİ ÇEKİLDİ",Başvuru!$A:$A,"&lt;&gt;"&amp;"",Başvuru!$F:$F,"&lt;&gt;"&amp;""))</f>
        <v/>
      </c>
      <c r="Q399" s="170" t="str">
        <f t="array" ref="Q399">IFERROR(INDEX(Başvuru!$C$2:$C$3000, MATCH(0, COUNTIF($Q$5:Q398, Başvuru!$C$2:$C$3000) + IF(Başvuru!$C$2:$C$3000="",1,0), 0)), "")</f>
        <v/>
      </c>
      <c r="R399" s="171" t="str">
        <f>IF(Q399="","",COUNTIFS(Başvuru!$C:$C,Q399,Başvuru!$A:$A,"&lt;&gt;"&amp;"",Başvuru!$F:$F,"&lt;&gt;"&amp;""))</f>
        <v/>
      </c>
      <c r="S399" s="171" t="str">
        <f>IF(R399="","",RANK(R399,$R$6:$R$505,0)+COUNTIF($R$6:R399,R399)-1)</f>
        <v/>
      </c>
    </row>
    <row r="400" spans="2:19" ht="23.25" customHeight="1" x14ac:dyDescent="0.25">
      <c r="B400" s="159">
        <v>395</v>
      </c>
      <c r="C400" s="160" t="str">
        <f>IFERROR(INDEX($Q$6:$Q$505,MATCH(395,$S$6:$S$505,0)),"")</f>
        <v/>
      </c>
      <c r="D400" s="161" t="str">
        <f>IF(C400="","",COUNTIFS(Başvuru!$C:$C,C400,Başvuru!$A:$A,"&lt;&gt;"&amp;"",Başvuru!$F:$F,"&lt;&gt;"&amp;""))</f>
        <v/>
      </c>
      <c r="E400" s="159" t="str">
        <f>IF(C400="","-",IF(D400&gt;0,TEXT(D400/(COUNTIFS(Başvuru!$A:$A,"&lt;&gt;",Başvuru!$F:$F,"&lt;&gt;")-1)*100,"0.0")&amp;"%","-"))</f>
        <v>-</v>
      </c>
      <c r="F400" s="162" t="str">
        <f>IF(C400="","",COUNTIFS(Başvuru!$C:$C,C400,Başvuru!$G:$G,"Bireysel Araştırma",Başvuru!$A:$A,"&lt;&gt;"&amp;"",Başvuru!$F:$F,"&lt;&gt;"&amp;""))</f>
        <v/>
      </c>
      <c r="G400" s="162" t="str">
        <f>IF(C400="","",COUNTIFS(Başvuru!$C:$C,C400,Başvuru!$G:$G,"Uzmanlık Tezi",Başvuru!$A:$A,"&lt;&gt;"&amp;"",Başvuru!$F:$F,"&lt;&gt;"&amp;""))</f>
        <v/>
      </c>
      <c r="H400" s="162" t="str">
        <f>IF(C400="","",COUNTIFS(Başvuru!$C:$C,C400,Başvuru!$G:$G,"Doktora Tezi",Başvuru!$A:$A,"&lt;&gt;"&amp;"",Başvuru!$F:$F,"&lt;&gt;"&amp;""))</f>
        <v/>
      </c>
      <c r="I400" s="162" t="str">
        <f>IF(C400="","",COUNTIFS(Başvuru!$C:$C,C400,Başvuru!$G:$G,"Yüksek Lisans Tezi",Başvuru!$A:$A,"&lt;&gt;"&amp;"",Başvuru!$F:$F,"&lt;&gt;"&amp;""))</f>
        <v/>
      </c>
      <c r="J400" s="163" t="str">
        <f>IF(C400="","",COUNTIFS(Başvuru!$C:$C,C400,Başvuru!$L:$L,"ONAY",Başvuru!$A:$A,"&lt;&gt;"&amp;"",Başvuru!$F:$F,"&lt;&gt;"&amp;""))</f>
        <v/>
      </c>
      <c r="K400" s="164" t="str">
        <f>IF(C400="","",COUNTIFS(Başvuru!$C:$C,C400,Başvuru!$L:$L,"DÜZELTME",Başvuru!$A:$A,"&lt;&gt;"&amp;"",Başvuru!$F:$F,"&lt;&gt;"&amp;""))</f>
        <v/>
      </c>
      <c r="L400" s="165" t="str">
        <f>IF(C400="","",COUNTIFS(Başvuru!$C:$C,C400,Başvuru!$L:$L,"KAEK",Başvuru!$A:$A,"&lt;&gt;"&amp;"",Başvuru!$F:$F,"&lt;&gt;"&amp;""))</f>
        <v/>
      </c>
      <c r="M400" s="166" t="str">
        <f>IF(C400="","",COUNTIFS(Başvuru!$C:$C,C400,Başvuru!$L:$L,"GÖRÜŞ",Başvuru!$A:$A,"&lt;&gt;"&amp;"",Başvuru!$F:$F,"&lt;&gt;"&amp;""))</f>
        <v/>
      </c>
      <c r="N400" s="167" t="str">
        <f>IF(C400="","",COUNTIFS(Başvuru!$C:$C,C400,Başvuru!$L:$L,"RET",Başvuru!$A:$A,"&lt;&gt;"&amp;"",Başvuru!$F:$F,"&lt;&gt;"&amp;""))</f>
        <v/>
      </c>
      <c r="O400" s="168" t="str">
        <f>IF(C400="","",COUNTIFS(Başvuru!$C:$C,C400,Başvuru!$L:$L,"KAPSAM DIŞI",Başvuru!$A:$A,"&lt;&gt;"&amp;"",Başvuru!$F:$F,"&lt;&gt;"&amp;""))</f>
        <v/>
      </c>
      <c r="P400" s="169" t="str">
        <f>IF(C400="","",COUNTIFS(Başvuru!$C:$C,C400,Başvuru!$L:$L,"GERİ ÇEKİLDİ",Başvuru!$A:$A,"&lt;&gt;"&amp;"",Başvuru!$F:$F,"&lt;&gt;"&amp;""))</f>
        <v/>
      </c>
      <c r="Q400" s="170" t="str">
        <f t="array" ref="Q400">IFERROR(INDEX(Başvuru!$C$2:$C$3000, MATCH(0, COUNTIF($Q$5:Q399, Başvuru!$C$2:$C$3000) + IF(Başvuru!$C$2:$C$3000="",1,0), 0)), "")</f>
        <v/>
      </c>
      <c r="R400" s="171" t="str">
        <f>IF(Q400="","",COUNTIFS(Başvuru!$C:$C,Q400,Başvuru!$A:$A,"&lt;&gt;"&amp;"",Başvuru!$F:$F,"&lt;&gt;"&amp;""))</f>
        <v/>
      </c>
      <c r="S400" s="171" t="str">
        <f>IF(R400="","",RANK(R400,$R$6:$R$505,0)+COUNTIF($R$6:R400,R400)-1)</f>
        <v/>
      </c>
    </row>
    <row r="401" spans="2:19" ht="23.25" customHeight="1" x14ac:dyDescent="0.25">
      <c r="B401" s="159">
        <v>396</v>
      </c>
      <c r="C401" s="160" t="str">
        <f>IFERROR(INDEX($Q$6:$Q$505,MATCH(396,$S$6:$S$505,0)),"")</f>
        <v/>
      </c>
      <c r="D401" s="161" t="str">
        <f>IF(C401="","",COUNTIFS(Başvuru!$C:$C,C401,Başvuru!$A:$A,"&lt;&gt;"&amp;"",Başvuru!$F:$F,"&lt;&gt;"&amp;""))</f>
        <v/>
      </c>
      <c r="E401" s="159" t="str">
        <f>IF(C401="","-",IF(D401&gt;0,TEXT(D401/(COUNTIFS(Başvuru!$A:$A,"&lt;&gt;",Başvuru!$F:$F,"&lt;&gt;")-1)*100,"0.0")&amp;"%","-"))</f>
        <v>-</v>
      </c>
      <c r="F401" s="162" t="str">
        <f>IF(C401="","",COUNTIFS(Başvuru!$C:$C,C401,Başvuru!$G:$G,"Bireysel Araştırma",Başvuru!$A:$A,"&lt;&gt;"&amp;"",Başvuru!$F:$F,"&lt;&gt;"&amp;""))</f>
        <v/>
      </c>
      <c r="G401" s="162" t="str">
        <f>IF(C401="","",COUNTIFS(Başvuru!$C:$C,C401,Başvuru!$G:$G,"Uzmanlık Tezi",Başvuru!$A:$A,"&lt;&gt;"&amp;"",Başvuru!$F:$F,"&lt;&gt;"&amp;""))</f>
        <v/>
      </c>
      <c r="H401" s="162" t="str">
        <f>IF(C401="","",COUNTIFS(Başvuru!$C:$C,C401,Başvuru!$G:$G,"Doktora Tezi",Başvuru!$A:$A,"&lt;&gt;"&amp;"",Başvuru!$F:$F,"&lt;&gt;"&amp;""))</f>
        <v/>
      </c>
      <c r="I401" s="162" t="str">
        <f>IF(C401="","",COUNTIFS(Başvuru!$C:$C,C401,Başvuru!$G:$G,"Yüksek Lisans Tezi",Başvuru!$A:$A,"&lt;&gt;"&amp;"",Başvuru!$F:$F,"&lt;&gt;"&amp;""))</f>
        <v/>
      </c>
      <c r="J401" s="163" t="str">
        <f>IF(C401="","",COUNTIFS(Başvuru!$C:$C,C401,Başvuru!$L:$L,"ONAY",Başvuru!$A:$A,"&lt;&gt;"&amp;"",Başvuru!$F:$F,"&lt;&gt;"&amp;""))</f>
        <v/>
      </c>
      <c r="K401" s="164" t="str">
        <f>IF(C401="","",COUNTIFS(Başvuru!$C:$C,C401,Başvuru!$L:$L,"DÜZELTME",Başvuru!$A:$A,"&lt;&gt;"&amp;"",Başvuru!$F:$F,"&lt;&gt;"&amp;""))</f>
        <v/>
      </c>
      <c r="L401" s="165" t="str">
        <f>IF(C401="","",COUNTIFS(Başvuru!$C:$C,C401,Başvuru!$L:$L,"KAEK",Başvuru!$A:$A,"&lt;&gt;"&amp;"",Başvuru!$F:$F,"&lt;&gt;"&amp;""))</f>
        <v/>
      </c>
      <c r="M401" s="166" t="str">
        <f>IF(C401="","",COUNTIFS(Başvuru!$C:$C,C401,Başvuru!$L:$L,"GÖRÜŞ",Başvuru!$A:$A,"&lt;&gt;"&amp;"",Başvuru!$F:$F,"&lt;&gt;"&amp;""))</f>
        <v/>
      </c>
      <c r="N401" s="167" t="str">
        <f>IF(C401="","",COUNTIFS(Başvuru!$C:$C,C401,Başvuru!$L:$L,"RET",Başvuru!$A:$A,"&lt;&gt;"&amp;"",Başvuru!$F:$F,"&lt;&gt;"&amp;""))</f>
        <v/>
      </c>
      <c r="O401" s="168" t="str">
        <f>IF(C401="","",COUNTIFS(Başvuru!$C:$C,C401,Başvuru!$L:$L,"KAPSAM DIŞI",Başvuru!$A:$A,"&lt;&gt;"&amp;"",Başvuru!$F:$F,"&lt;&gt;"&amp;""))</f>
        <v/>
      </c>
      <c r="P401" s="169" t="str">
        <f>IF(C401="","",COUNTIFS(Başvuru!$C:$C,C401,Başvuru!$L:$L,"GERİ ÇEKİLDİ",Başvuru!$A:$A,"&lt;&gt;"&amp;"",Başvuru!$F:$F,"&lt;&gt;"&amp;""))</f>
        <v/>
      </c>
      <c r="Q401" s="170" t="str">
        <f t="array" ref="Q401">IFERROR(INDEX(Başvuru!$C$2:$C$3000, MATCH(0, COUNTIF($Q$5:Q400, Başvuru!$C$2:$C$3000) + IF(Başvuru!$C$2:$C$3000="",1,0), 0)), "")</f>
        <v/>
      </c>
      <c r="R401" s="171" t="str">
        <f>IF(Q401="","",COUNTIFS(Başvuru!$C:$C,Q401,Başvuru!$A:$A,"&lt;&gt;"&amp;"",Başvuru!$F:$F,"&lt;&gt;"&amp;""))</f>
        <v/>
      </c>
      <c r="S401" s="171" t="str">
        <f>IF(R401="","",RANK(R401,$R$6:$R$505,0)+COUNTIF($R$6:R401,R401)-1)</f>
        <v/>
      </c>
    </row>
    <row r="402" spans="2:19" ht="23.25" customHeight="1" x14ac:dyDescent="0.25">
      <c r="B402" s="159">
        <v>397</v>
      </c>
      <c r="C402" s="160" t="str">
        <f>IFERROR(INDEX($Q$6:$Q$505,MATCH(397,$S$6:$S$505,0)),"")</f>
        <v/>
      </c>
      <c r="D402" s="161" t="str">
        <f>IF(C402="","",COUNTIFS(Başvuru!$C:$C,C402,Başvuru!$A:$A,"&lt;&gt;"&amp;"",Başvuru!$F:$F,"&lt;&gt;"&amp;""))</f>
        <v/>
      </c>
      <c r="E402" s="159" t="str">
        <f>IF(C402="","-",IF(D402&gt;0,TEXT(D402/(COUNTIFS(Başvuru!$A:$A,"&lt;&gt;",Başvuru!$F:$F,"&lt;&gt;")-1)*100,"0.0")&amp;"%","-"))</f>
        <v>-</v>
      </c>
      <c r="F402" s="162" t="str">
        <f>IF(C402="","",COUNTIFS(Başvuru!$C:$C,C402,Başvuru!$G:$G,"Bireysel Araştırma",Başvuru!$A:$A,"&lt;&gt;"&amp;"",Başvuru!$F:$F,"&lt;&gt;"&amp;""))</f>
        <v/>
      </c>
      <c r="G402" s="162" t="str">
        <f>IF(C402="","",COUNTIFS(Başvuru!$C:$C,C402,Başvuru!$G:$G,"Uzmanlık Tezi",Başvuru!$A:$A,"&lt;&gt;"&amp;"",Başvuru!$F:$F,"&lt;&gt;"&amp;""))</f>
        <v/>
      </c>
      <c r="H402" s="162" t="str">
        <f>IF(C402="","",COUNTIFS(Başvuru!$C:$C,C402,Başvuru!$G:$G,"Doktora Tezi",Başvuru!$A:$A,"&lt;&gt;"&amp;"",Başvuru!$F:$F,"&lt;&gt;"&amp;""))</f>
        <v/>
      </c>
      <c r="I402" s="162" t="str">
        <f>IF(C402="","",COUNTIFS(Başvuru!$C:$C,C402,Başvuru!$G:$G,"Yüksek Lisans Tezi",Başvuru!$A:$A,"&lt;&gt;"&amp;"",Başvuru!$F:$F,"&lt;&gt;"&amp;""))</f>
        <v/>
      </c>
      <c r="J402" s="163" t="str">
        <f>IF(C402="","",COUNTIFS(Başvuru!$C:$C,C402,Başvuru!$L:$L,"ONAY",Başvuru!$A:$A,"&lt;&gt;"&amp;"",Başvuru!$F:$F,"&lt;&gt;"&amp;""))</f>
        <v/>
      </c>
      <c r="K402" s="164" t="str">
        <f>IF(C402="","",COUNTIFS(Başvuru!$C:$C,C402,Başvuru!$L:$L,"DÜZELTME",Başvuru!$A:$A,"&lt;&gt;"&amp;"",Başvuru!$F:$F,"&lt;&gt;"&amp;""))</f>
        <v/>
      </c>
      <c r="L402" s="165" t="str">
        <f>IF(C402="","",COUNTIFS(Başvuru!$C:$C,C402,Başvuru!$L:$L,"KAEK",Başvuru!$A:$A,"&lt;&gt;"&amp;"",Başvuru!$F:$F,"&lt;&gt;"&amp;""))</f>
        <v/>
      </c>
      <c r="M402" s="166" t="str">
        <f>IF(C402="","",COUNTIFS(Başvuru!$C:$C,C402,Başvuru!$L:$L,"GÖRÜŞ",Başvuru!$A:$A,"&lt;&gt;"&amp;"",Başvuru!$F:$F,"&lt;&gt;"&amp;""))</f>
        <v/>
      </c>
      <c r="N402" s="167" t="str">
        <f>IF(C402="","",COUNTIFS(Başvuru!$C:$C,C402,Başvuru!$L:$L,"RET",Başvuru!$A:$A,"&lt;&gt;"&amp;"",Başvuru!$F:$F,"&lt;&gt;"&amp;""))</f>
        <v/>
      </c>
      <c r="O402" s="168" t="str">
        <f>IF(C402="","",COUNTIFS(Başvuru!$C:$C,C402,Başvuru!$L:$L,"KAPSAM DIŞI",Başvuru!$A:$A,"&lt;&gt;"&amp;"",Başvuru!$F:$F,"&lt;&gt;"&amp;""))</f>
        <v/>
      </c>
      <c r="P402" s="169" t="str">
        <f>IF(C402="","",COUNTIFS(Başvuru!$C:$C,C402,Başvuru!$L:$L,"GERİ ÇEKİLDİ",Başvuru!$A:$A,"&lt;&gt;"&amp;"",Başvuru!$F:$F,"&lt;&gt;"&amp;""))</f>
        <v/>
      </c>
      <c r="Q402" s="170" t="str">
        <f t="array" ref="Q402">IFERROR(INDEX(Başvuru!$C$2:$C$3000, MATCH(0, COUNTIF($Q$5:Q401, Başvuru!$C$2:$C$3000) + IF(Başvuru!$C$2:$C$3000="",1,0), 0)), "")</f>
        <v/>
      </c>
      <c r="R402" s="171" t="str">
        <f>IF(Q402="","",COUNTIFS(Başvuru!$C:$C,Q402,Başvuru!$A:$A,"&lt;&gt;"&amp;"",Başvuru!$F:$F,"&lt;&gt;"&amp;""))</f>
        <v/>
      </c>
      <c r="S402" s="171" t="str">
        <f>IF(R402="","",RANK(R402,$R$6:$R$505,0)+COUNTIF($R$6:R402,R402)-1)</f>
        <v/>
      </c>
    </row>
    <row r="403" spans="2:19" ht="23.25" customHeight="1" x14ac:dyDescent="0.25">
      <c r="B403" s="159">
        <v>398</v>
      </c>
      <c r="C403" s="160" t="str">
        <f>IFERROR(INDEX($Q$6:$Q$505,MATCH(398,$S$6:$S$505,0)),"")</f>
        <v/>
      </c>
      <c r="D403" s="161" t="str">
        <f>IF(C403="","",COUNTIFS(Başvuru!$C:$C,C403,Başvuru!$A:$A,"&lt;&gt;"&amp;"",Başvuru!$F:$F,"&lt;&gt;"&amp;""))</f>
        <v/>
      </c>
      <c r="E403" s="159" t="str">
        <f>IF(C403="","-",IF(D403&gt;0,TEXT(D403/(COUNTIFS(Başvuru!$A:$A,"&lt;&gt;",Başvuru!$F:$F,"&lt;&gt;")-1)*100,"0.0")&amp;"%","-"))</f>
        <v>-</v>
      </c>
      <c r="F403" s="162" t="str">
        <f>IF(C403="","",COUNTIFS(Başvuru!$C:$C,C403,Başvuru!$G:$G,"Bireysel Araştırma",Başvuru!$A:$A,"&lt;&gt;"&amp;"",Başvuru!$F:$F,"&lt;&gt;"&amp;""))</f>
        <v/>
      </c>
      <c r="G403" s="162" t="str">
        <f>IF(C403="","",COUNTIFS(Başvuru!$C:$C,C403,Başvuru!$G:$G,"Uzmanlık Tezi",Başvuru!$A:$A,"&lt;&gt;"&amp;"",Başvuru!$F:$F,"&lt;&gt;"&amp;""))</f>
        <v/>
      </c>
      <c r="H403" s="162" t="str">
        <f>IF(C403="","",COUNTIFS(Başvuru!$C:$C,C403,Başvuru!$G:$G,"Doktora Tezi",Başvuru!$A:$A,"&lt;&gt;"&amp;"",Başvuru!$F:$F,"&lt;&gt;"&amp;""))</f>
        <v/>
      </c>
      <c r="I403" s="162" t="str">
        <f>IF(C403="","",COUNTIFS(Başvuru!$C:$C,C403,Başvuru!$G:$G,"Yüksek Lisans Tezi",Başvuru!$A:$A,"&lt;&gt;"&amp;"",Başvuru!$F:$F,"&lt;&gt;"&amp;""))</f>
        <v/>
      </c>
      <c r="J403" s="163" t="str">
        <f>IF(C403="","",COUNTIFS(Başvuru!$C:$C,C403,Başvuru!$L:$L,"ONAY",Başvuru!$A:$A,"&lt;&gt;"&amp;"",Başvuru!$F:$F,"&lt;&gt;"&amp;""))</f>
        <v/>
      </c>
      <c r="K403" s="164" t="str">
        <f>IF(C403="","",COUNTIFS(Başvuru!$C:$C,C403,Başvuru!$L:$L,"DÜZELTME",Başvuru!$A:$A,"&lt;&gt;"&amp;"",Başvuru!$F:$F,"&lt;&gt;"&amp;""))</f>
        <v/>
      </c>
      <c r="L403" s="165" t="str">
        <f>IF(C403="","",COUNTIFS(Başvuru!$C:$C,C403,Başvuru!$L:$L,"KAEK",Başvuru!$A:$A,"&lt;&gt;"&amp;"",Başvuru!$F:$F,"&lt;&gt;"&amp;""))</f>
        <v/>
      </c>
      <c r="M403" s="166" t="str">
        <f>IF(C403="","",COUNTIFS(Başvuru!$C:$C,C403,Başvuru!$L:$L,"GÖRÜŞ",Başvuru!$A:$A,"&lt;&gt;"&amp;"",Başvuru!$F:$F,"&lt;&gt;"&amp;""))</f>
        <v/>
      </c>
      <c r="N403" s="167" t="str">
        <f>IF(C403="","",COUNTIFS(Başvuru!$C:$C,C403,Başvuru!$L:$L,"RET",Başvuru!$A:$A,"&lt;&gt;"&amp;"",Başvuru!$F:$F,"&lt;&gt;"&amp;""))</f>
        <v/>
      </c>
      <c r="O403" s="168" t="str">
        <f>IF(C403="","",COUNTIFS(Başvuru!$C:$C,C403,Başvuru!$L:$L,"KAPSAM DIŞI",Başvuru!$A:$A,"&lt;&gt;"&amp;"",Başvuru!$F:$F,"&lt;&gt;"&amp;""))</f>
        <v/>
      </c>
      <c r="P403" s="169" t="str">
        <f>IF(C403="","",COUNTIFS(Başvuru!$C:$C,C403,Başvuru!$L:$L,"GERİ ÇEKİLDİ",Başvuru!$A:$A,"&lt;&gt;"&amp;"",Başvuru!$F:$F,"&lt;&gt;"&amp;""))</f>
        <v/>
      </c>
      <c r="Q403" s="170" t="str">
        <f t="array" ref="Q403">IFERROR(INDEX(Başvuru!$C$2:$C$3000, MATCH(0, COUNTIF($Q$5:Q402, Başvuru!$C$2:$C$3000) + IF(Başvuru!$C$2:$C$3000="",1,0), 0)), "")</f>
        <v/>
      </c>
      <c r="R403" s="171" t="str">
        <f>IF(Q403="","",COUNTIFS(Başvuru!$C:$C,Q403,Başvuru!$A:$A,"&lt;&gt;"&amp;"",Başvuru!$F:$F,"&lt;&gt;"&amp;""))</f>
        <v/>
      </c>
      <c r="S403" s="171" t="str">
        <f>IF(R403="","",RANK(R403,$R$6:$R$505,0)+COUNTIF($R$6:R403,R403)-1)</f>
        <v/>
      </c>
    </row>
    <row r="404" spans="2:19" ht="23.25" customHeight="1" x14ac:dyDescent="0.25">
      <c r="B404" s="159">
        <v>399</v>
      </c>
      <c r="C404" s="160" t="str">
        <f>IFERROR(INDEX($Q$6:$Q$505,MATCH(399,$S$6:$S$505,0)),"")</f>
        <v/>
      </c>
      <c r="D404" s="161" t="str">
        <f>IF(C404="","",COUNTIFS(Başvuru!$C:$C,C404,Başvuru!$A:$A,"&lt;&gt;"&amp;"",Başvuru!$F:$F,"&lt;&gt;"&amp;""))</f>
        <v/>
      </c>
      <c r="E404" s="159" t="str">
        <f>IF(C404="","-",IF(D404&gt;0,TEXT(D404/(COUNTIFS(Başvuru!$A:$A,"&lt;&gt;",Başvuru!$F:$F,"&lt;&gt;")-1)*100,"0.0")&amp;"%","-"))</f>
        <v>-</v>
      </c>
      <c r="F404" s="162" t="str">
        <f>IF(C404="","",COUNTIFS(Başvuru!$C:$C,C404,Başvuru!$G:$G,"Bireysel Araştırma",Başvuru!$A:$A,"&lt;&gt;"&amp;"",Başvuru!$F:$F,"&lt;&gt;"&amp;""))</f>
        <v/>
      </c>
      <c r="G404" s="162" t="str">
        <f>IF(C404="","",COUNTIFS(Başvuru!$C:$C,C404,Başvuru!$G:$G,"Uzmanlık Tezi",Başvuru!$A:$A,"&lt;&gt;"&amp;"",Başvuru!$F:$F,"&lt;&gt;"&amp;""))</f>
        <v/>
      </c>
      <c r="H404" s="162" t="str">
        <f>IF(C404="","",COUNTIFS(Başvuru!$C:$C,C404,Başvuru!$G:$G,"Doktora Tezi",Başvuru!$A:$A,"&lt;&gt;"&amp;"",Başvuru!$F:$F,"&lt;&gt;"&amp;""))</f>
        <v/>
      </c>
      <c r="I404" s="162" t="str">
        <f>IF(C404="","",COUNTIFS(Başvuru!$C:$C,C404,Başvuru!$G:$G,"Yüksek Lisans Tezi",Başvuru!$A:$A,"&lt;&gt;"&amp;"",Başvuru!$F:$F,"&lt;&gt;"&amp;""))</f>
        <v/>
      </c>
      <c r="J404" s="163" t="str">
        <f>IF(C404="","",COUNTIFS(Başvuru!$C:$C,C404,Başvuru!$L:$L,"ONAY",Başvuru!$A:$A,"&lt;&gt;"&amp;"",Başvuru!$F:$F,"&lt;&gt;"&amp;""))</f>
        <v/>
      </c>
      <c r="K404" s="164" t="str">
        <f>IF(C404="","",COUNTIFS(Başvuru!$C:$C,C404,Başvuru!$L:$L,"DÜZELTME",Başvuru!$A:$A,"&lt;&gt;"&amp;"",Başvuru!$F:$F,"&lt;&gt;"&amp;""))</f>
        <v/>
      </c>
      <c r="L404" s="165" t="str">
        <f>IF(C404="","",COUNTIFS(Başvuru!$C:$C,C404,Başvuru!$L:$L,"KAEK",Başvuru!$A:$A,"&lt;&gt;"&amp;"",Başvuru!$F:$F,"&lt;&gt;"&amp;""))</f>
        <v/>
      </c>
      <c r="M404" s="166" t="str">
        <f>IF(C404="","",COUNTIFS(Başvuru!$C:$C,C404,Başvuru!$L:$L,"GÖRÜŞ",Başvuru!$A:$A,"&lt;&gt;"&amp;"",Başvuru!$F:$F,"&lt;&gt;"&amp;""))</f>
        <v/>
      </c>
      <c r="N404" s="167" t="str">
        <f>IF(C404="","",COUNTIFS(Başvuru!$C:$C,C404,Başvuru!$L:$L,"RET",Başvuru!$A:$A,"&lt;&gt;"&amp;"",Başvuru!$F:$F,"&lt;&gt;"&amp;""))</f>
        <v/>
      </c>
      <c r="O404" s="168" t="str">
        <f>IF(C404="","",COUNTIFS(Başvuru!$C:$C,C404,Başvuru!$L:$L,"KAPSAM DIŞI",Başvuru!$A:$A,"&lt;&gt;"&amp;"",Başvuru!$F:$F,"&lt;&gt;"&amp;""))</f>
        <v/>
      </c>
      <c r="P404" s="169" t="str">
        <f>IF(C404="","",COUNTIFS(Başvuru!$C:$C,C404,Başvuru!$L:$L,"GERİ ÇEKİLDİ",Başvuru!$A:$A,"&lt;&gt;"&amp;"",Başvuru!$F:$F,"&lt;&gt;"&amp;""))</f>
        <v/>
      </c>
      <c r="Q404" s="170" t="str">
        <f t="array" ref="Q404">IFERROR(INDEX(Başvuru!$C$2:$C$3000, MATCH(0, COUNTIF($Q$5:Q403, Başvuru!$C$2:$C$3000) + IF(Başvuru!$C$2:$C$3000="",1,0), 0)), "")</f>
        <v/>
      </c>
      <c r="R404" s="171" t="str">
        <f>IF(Q404="","",COUNTIFS(Başvuru!$C:$C,Q404,Başvuru!$A:$A,"&lt;&gt;"&amp;"",Başvuru!$F:$F,"&lt;&gt;"&amp;""))</f>
        <v/>
      </c>
      <c r="S404" s="171" t="str">
        <f>IF(R404="","",RANK(R404,$R$6:$R$505,0)+COUNTIF($R$6:R404,R404)-1)</f>
        <v/>
      </c>
    </row>
    <row r="405" spans="2:19" ht="23.25" customHeight="1" x14ac:dyDescent="0.25">
      <c r="B405" s="159">
        <v>400</v>
      </c>
      <c r="C405" s="160" t="str">
        <f>IFERROR(INDEX($Q$6:$Q$505,MATCH(400,$S$6:$S$505,0)),"")</f>
        <v/>
      </c>
      <c r="D405" s="161" t="str">
        <f>IF(C405="","",COUNTIFS(Başvuru!$C:$C,C405,Başvuru!$A:$A,"&lt;&gt;"&amp;"",Başvuru!$F:$F,"&lt;&gt;"&amp;""))</f>
        <v/>
      </c>
      <c r="E405" s="159" t="str">
        <f>IF(C405="","-",IF(D405&gt;0,TEXT(D405/(COUNTIFS(Başvuru!$A:$A,"&lt;&gt;",Başvuru!$F:$F,"&lt;&gt;")-1)*100,"0.0")&amp;"%","-"))</f>
        <v>-</v>
      </c>
      <c r="F405" s="162" t="str">
        <f>IF(C405="","",COUNTIFS(Başvuru!$C:$C,C405,Başvuru!$G:$G,"Bireysel Araştırma",Başvuru!$A:$A,"&lt;&gt;"&amp;"",Başvuru!$F:$F,"&lt;&gt;"&amp;""))</f>
        <v/>
      </c>
      <c r="G405" s="162" t="str">
        <f>IF(C405="","",COUNTIFS(Başvuru!$C:$C,C405,Başvuru!$G:$G,"Uzmanlık Tezi",Başvuru!$A:$A,"&lt;&gt;"&amp;"",Başvuru!$F:$F,"&lt;&gt;"&amp;""))</f>
        <v/>
      </c>
      <c r="H405" s="162" t="str">
        <f>IF(C405="","",COUNTIFS(Başvuru!$C:$C,C405,Başvuru!$G:$G,"Doktora Tezi",Başvuru!$A:$A,"&lt;&gt;"&amp;"",Başvuru!$F:$F,"&lt;&gt;"&amp;""))</f>
        <v/>
      </c>
      <c r="I405" s="162" t="str">
        <f>IF(C405="","",COUNTIFS(Başvuru!$C:$C,C405,Başvuru!$G:$G,"Yüksek Lisans Tezi",Başvuru!$A:$A,"&lt;&gt;"&amp;"",Başvuru!$F:$F,"&lt;&gt;"&amp;""))</f>
        <v/>
      </c>
      <c r="J405" s="163" t="str">
        <f>IF(C405="","",COUNTIFS(Başvuru!$C:$C,C405,Başvuru!$L:$L,"ONAY",Başvuru!$A:$A,"&lt;&gt;"&amp;"",Başvuru!$F:$F,"&lt;&gt;"&amp;""))</f>
        <v/>
      </c>
      <c r="K405" s="164" t="str">
        <f>IF(C405="","",COUNTIFS(Başvuru!$C:$C,C405,Başvuru!$L:$L,"DÜZELTME",Başvuru!$A:$A,"&lt;&gt;"&amp;"",Başvuru!$F:$F,"&lt;&gt;"&amp;""))</f>
        <v/>
      </c>
      <c r="L405" s="165" t="str">
        <f>IF(C405="","",COUNTIFS(Başvuru!$C:$C,C405,Başvuru!$L:$L,"KAEK",Başvuru!$A:$A,"&lt;&gt;"&amp;"",Başvuru!$F:$F,"&lt;&gt;"&amp;""))</f>
        <v/>
      </c>
      <c r="M405" s="166" t="str">
        <f>IF(C405="","",COUNTIFS(Başvuru!$C:$C,C405,Başvuru!$L:$L,"GÖRÜŞ",Başvuru!$A:$A,"&lt;&gt;"&amp;"",Başvuru!$F:$F,"&lt;&gt;"&amp;""))</f>
        <v/>
      </c>
      <c r="N405" s="167" t="str">
        <f>IF(C405="","",COUNTIFS(Başvuru!$C:$C,C405,Başvuru!$L:$L,"RET",Başvuru!$A:$A,"&lt;&gt;"&amp;"",Başvuru!$F:$F,"&lt;&gt;"&amp;""))</f>
        <v/>
      </c>
      <c r="O405" s="168" t="str">
        <f>IF(C405="","",COUNTIFS(Başvuru!$C:$C,C405,Başvuru!$L:$L,"KAPSAM DIŞI",Başvuru!$A:$A,"&lt;&gt;"&amp;"",Başvuru!$F:$F,"&lt;&gt;"&amp;""))</f>
        <v/>
      </c>
      <c r="P405" s="169" t="str">
        <f>IF(C405="","",COUNTIFS(Başvuru!$C:$C,C405,Başvuru!$L:$L,"GERİ ÇEKİLDİ",Başvuru!$A:$A,"&lt;&gt;"&amp;"",Başvuru!$F:$F,"&lt;&gt;"&amp;""))</f>
        <v/>
      </c>
      <c r="Q405" s="170" t="str">
        <f t="array" ref="Q405">IFERROR(INDEX(Başvuru!$C$2:$C$3000, MATCH(0, COUNTIF($Q$5:Q404, Başvuru!$C$2:$C$3000) + IF(Başvuru!$C$2:$C$3000="",1,0), 0)), "")</f>
        <v/>
      </c>
      <c r="R405" s="171" t="str">
        <f>IF(Q405="","",COUNTIFS(Başvuru!$C:$C,Q405,Başvuru!$A:$A,"&lt;&gt;"&amp;"",Başvuru!$F:$F,"&lt;&gt;"&amp;""))</f>
        <v/>
      </c>
      <c r="S405" s="171" t="str">
        <f>IF(R405="","",RANK(R405,$R$6:$R$505,0)+COUNTIF($R$6:R405,R405)-1)</f>
        <v/>
      </c>
    </row>
    <row r="406" spans="2:19" ht="23.25" customHeight="1" x14ac:dyDescent="0.25">
      <c r="B406" s="159">
        <v>401</v>
      </c>
      <c r="C406" s="160" t="str">
        <f>IFERROR(INDEX($Q$6:$Q$505,MATCH(401,$S$6:$S$505,0)),"")</f>
        <v/>
      </c>
      <c r="D406" s="161" t="str">
        <f>IF(C406="","",COUNTIFS(Başvuru!$C:$C,C406,Başvuru!$A:$A,"&lt;&gt;"&amp;"",Başvuru!$F:$F,"&lt;&gt;"&amp;""))</f>
        <v/>
      </c>
      <c r="E406" s="159" t="str">
        <f>IF(C406="","-",IF(D406&gt;0,TEXT(D406/(COUNTIFS(Başvuru!$A:$A,"&lt;&gt;",Başvuru!$F:$F,"&lt;&gt;")-1)*100,"0.0")&amp;"%","-"))</f>
        <v>-</v>
      </c>
      <c r="F406" s="162" t="str">
        <f>IF(C406="","",COUNTIFS(Başvuru!$C:$C,C406,Başvuru!$G:$G,"Bireysel Araştırma",Başvuru!$A:$A,"&lt;&gt;"&amp;"",Başvuru!$F:$F,"&lt;&gt;"&amp;""))</f>
        <v/>
      </c>
      <c r="G406" s="162" t="str">
        <f>IF(C406="","",COUNTIFS(Başvuru!$C:$C,C406,Başvuru!$G:$G,"Uzmanlık Tezi",Başvuru!$A:$A,"&lt;&gt;"&amp;"",Başvuru!$F:$F,"&lt;&gt;"&amp;""))</f>
        <v/>
      </c>
      <c r="H406" s="162" t="str">
        <f>IF(C406="","",COUNTIFS(Başvuru!$C:$C,C406,Başvuru!$G:$G,"Doktora Tezi",Başvuru!$A:$A,"&lt;&gt;"&amp;"",Başvuru!$F:$F,"&lt;&gt;"&amp;""))</f>
        <v/>
      </c>
      <c r="I406" s="162" t="str">
        <f>IF(C406="","",COUNTIFS(Başvuru!$C:$C,C406,Başvuru!$G:$G,"Yüksek Lisans Tezi",Başvuru!$A:$A,"&lt;&gt;"&amp;"",Başvuru!$F:$F,"&lt;&gt;"&amp;""))</f>
        <v/>
      </c>
      <c r="J406" s="163" t="str">
        <f>IF(C406="","",COUNTIFS(Başvuru!$C:$C,C406,Başvuru!$L:$L,"ONAY",Başvuru!$A:$A,"&lt;&gt;"&amp;"",Başvuru!$F:$F,"&lt;&gt;"&amp;""))</f>
        <v/>
      </c>
      <c r="K406" s="164" t="str">
        <f>IF(C406="","",COUNTIFS(Başvuru!$C:$C,C406,Başvuru!$L:$L,"DÜZELTME",Başvuru!$A:$A,"&lt;&gt;"&amp;"",Başvuru!$F:$F,"&lt;&gt;"&amp;""))</f>
        <v/>
      </c>
      <c r="L406" s="165" t="str">
        <f>IF(C406="","",COUNTIFS(Başvuru!$C:$C,C406,Başvuru!$L:$L,"KAEK",Başvuru!$A:$A,"&lt;&gt;"&amp;"",Başvuru!$F:$F,"&lt;&gt;"&amp;""))</f>
        <v/>
      </c>
      <c r="M406" s="166" t="str">
        <f>IF(C406="","",COUNTIFS(Başvuru!$C:$C,C406,Başvuru!$L:$L,"GÖRÜŞ",Başvuru!$A:$A,"&lt;&gt;"&amp;"",Başvuru!$F:$F,"&lt;&gt;"&amp;""))</f>
        <v/>
      </c>
      <c r="N406" s="167" t="str">
        <f>IF(C406="","",COUNTIFS(Başvuru!$C:$C,C406,Başvuru!$L:$L,"RET",Başvuru!$A:$A,"&lt;&gt;"&amp;"",Başvuru!$F:$F,"&lt;&gt;"&amp;""))</f>
        <v/>
      </c>
      <c r="O406" s="168" t="str">
        <f>IF(C406="","",COUNTIFS(Başvuru!$C:$C,C406,Başvuru!$L:$L,"KAPSAM DIŞI",Başvuru!$A:$A,"&lt;&gt;"&amp;"",Başvuru!$F:$F,"&lt;&gt;"&amp;""))</f>
        <v/>
      </c>
      <c r="P406" s="169" t="str">
        <f>IF(C406="","",COUNTIFS(Başvuru!$C:$C,C406,Başvuru!$L:$L,"GERİ ÇEKİLDİ",Başvuru!$A:$A,"&lt;&gt;"&amp;"",Başvuru!$F:$F,"&lt;&gt;"&amp;""))</f>
        <v/>
      </c>
      <c r="Q406" s="170" t="str">
        <f t="array" ref="Q406">IFERROR(INDEX(Başvuru!$C$2:$C$3000, MATCH(0, COUNTIF($Q$5:Q405, Başvuru!$C$2:$C$3000) + IF(Başvuru!$C$2:$C$3000="",1,0), 0)), "")</f>
        <v/>
      </c>
      <c r="R406" s="171" t="str">
        <f>IF(Q406="","",COUNTIFS(Başvuru!$C:$C,Q406,Başvuru!$A:$A,"&lt;&gt;"&amp;"",Başvuru!$F:$F,"&lt;&gt;"&amp;""))</f>
        <v/>
      </c>
      <c r="S406" s="171" t="str">
        <f>IF(R406="","",RANK(R406,$R$6:$R$505,0)+COUNTIF($R$6:R406,R406)-1)</f>
        <v/>
      </c>
    </row>
    <row r="407" spans="2:19" ht="23.25" customHeight="1" x14ac:dyDescent="0.25">
      <c r="B407" s="159">
        <v>402</v>
      </c>
      <c r="C407" s="160" t="str">
        <f>IFERROR(INDEX($Q$6:$Q$505,MATCH(402,$S$6:$S$505,0)),"")</f>
        <v/>
      </c>
      <c r="D407" s="161" t="str">
        <f>IF(C407="","",COUNTIFS(Başvuru!$C:$C,C407,Başvuru!$A:$A,"&lt;&gt;"&amp;"",Başvuru!$F:$F,"&lt;&gt;"&amp;""))</f>
        <v/>
      </c>
      <c r="E407" s="159" t="str">
        <f>IF(C407="","-",IF(D407&gt;0,TEXT(D407/(COUNTIFS(Başvuru!$A:$A,"&lt;&gt;",Başvuru!$F:$F,"&lt;&gt;")-1)*100,"0.0")&amp;"%","-"))</f>
        <v>-</v>
      </c>
      <c r="F407" s="162" t="str">
        <f>IF(C407="","",COUNTIFS(Başvuru!$C:$C,C407,Başvuru!$G:$G,"Bireysel Araştırma",Başvuru!$A:$A,"&lt;&gt;"&amp;"",Başvuru!$F:$F,"&lt;&gt;"&amp;""))</f>
        <v/>
      </c>
      <c r="G407" s="162" t="str">
        <f>IF(C407="","",COUNTIFS(Başvuru!$C:$C,C407,Başvuru!$G:$G,"Uzmanlık Tezi",Başvuru!$A:$A,"&lt;&gt;"&amp;"",Başvuru!$F:$F,"&lt;&gt;"&amp;""))</f>
        <v/>
      </c>
      <c r="H407" s="162" t="str">
        <f>IF(C407="","",COUNTIFS(Başvuru!$C:$C,C407,Başvuru!$G:$G,"Doktora Tezi",Başvuru!$A:$A,"&lt;&gt;"&amp;"",Başvuru!$F:$F,"&lt;&gt;"&amp;""))</f>
        <v/>
      </c>
      <c r="I407" s="162" t="str">
        <f>IF(C407="","",COUNTIFS(Başvuru!$C:$C,C407,Başvuru!$G:$G,"Yüksek Lisans Tezi",Başvuru!$A:$A,"&lt;&gt;"&amp;"",Başvuru!$F:$F,"&lt;&gt;"&amp;""))</f>
        <v/>
      </c>
      <c r="J407" s="163" t="str">
        <f>IF(C407="","",COUNTIFS(Başvuru!$C:$C,C407,Başvuru!$L:$L,"ONAY",Başvuru!$A:$A,"&lt;&gt;"&amp;"",Başvuru!$F:$F,"&lt;&gt;"&amp;""))</f>
        <v/>
      </c>
      <c r="K407" s="164" t="str">
        <f>IF(C407="","",COUNTIFS(Başvuru!$C:$C,C407,Başvuru!$L:$L,"DÜZELTME",Başvuru!$A:$A,"&lt;&gt;"&amp;"",Başvuru!$F:$F,"&lt;&gt;"&amp;""))</f>
        <v/>
      </c>
      <c r="L407" s="165" t="str">
        <f>IF(C407="","",COUNTIFS(Başvuru!$C:$C,C407,Başvuru!$L:$L,"KAEK",Başvuru!$A:$A,"&lt;&gt;"&amp;"",Başvuru!$F:$F,"&lt;&gt;"&amp;""))</f>
        <v/>
      </c>
      <c r="M407" s="166" t="str">
        <f>IF(C407="","",COUNTIFS(Başvuru!$C:$C,C407,Başvuru!$L:$L,"GÖRÜŞ",Başvuru!$A:$A,"&lt;&gt;"&amp;"",Başvuru!$F:$F,"&lt;&gt;"&amp;""))</f>
        <v/>
      </c>
      <c r="N407" s="167" t="str">
        <f>IF(C407="","",COUNTIFS(Başvuru!$C:$C,C407,Başvuru!$L:$L,"RET",Başvuru!$A:$A,"&lt;&gt;"&amp;"",Başvuru!$F:$F,"&lt;&gt;"&amp;""))</f>
        <v/>
      </c>
      <c r="O407" s="168" t="str">
        <f>IF(C407="","",COUNTIFS(Başvuru!$C:$C,C407,Başvuru!$L:$L,"KAPSAM DIŞI",Başvuru!$A:$A,"&lt;&gt;"&amp;"",Başvuru!$F:$F,"&lt;&gt;"&amp;""))</f>
        <v/>
      </c>
      <c r="P407" s="169" t="str">
        <f>IF(C407="","",COUNTIFS(Başvuru!$C:$C,C407,Başvuru!$L:$L,"GERİ ÇEKİLDİ",Başvuru!$A:$A,"&lt;&gt;"&amp;"",Başvuru!$F:$F,"&lt;&gt;"&amp;""))</f>
        <v/>
      </c>
      <c r="Q407" s="170" t="str">
        <f t="array" ref="Q407">IFERROR(INDEX(Başvuru!$C$2:$C$3000, MATCH(0, COUNTIF($Q$5:Q406, Başvuru!$C$2:$C$3000) + IF(Başvuru!$C$2:$C$3000="",1,0), 0)), "")</f>
        <v/>
      </c>
      <c r="R407" s="171" t="str">
        <f>IF(Q407="","",COUNTIFS(Başvuru!$C:$C,Q407,Başvuru!$A:$A,"&lt;&gt;"&amp;"",Başvuru!$F:$F,"&lt;&gt;"&amp;""))</f>
        <v/>
      </c>
      <c r="S407" s="171" t="str">
        <f>IF(R407="","",RANK(R407,$R$6:$R$505,0)+COUNTIF($R$6:R407,R407)-1)</f>
        <v/>
      </c>
    </row>
    <row r="408" spans="2:19" ht="23.25" customHeight="1" x14ac:dyDescent="0.25">
      <c r="B408" s="159">
        <v>403</v>
      </c>
      <c r="C408" s="160" t="str">
        <f>IFERROR(INDEX($Q$6:$Q$505,MATCH(403,$S$6:$S$505,0)),"")</f>
        <v/>
      </c>
      <c r="D408" s="161" t="str">
        <f>IF(C408="","",COUNTIFS(Başvuru!$C:$C,C408,Başvuru!$A:$A,"&lt;&gt;"&amp;"",Başvuru!$F:$F,"&lt;&gt;"&amp;""))</f>
        <v/>
      </c>
      <c r="E408" s="159" t="str">
        <f>IF(C408="","-",IF(D408&gt;0,TEXT(D408/(COUNTIFS(Başvuru!$A:$A,"&lt;&gt;",Başvuru!$F:$F,"&lt;&gt;")-1)*100,"0.0")&amp;"%","-"))</f>
        <v>-</v>
      </c>
      <c r="F408" s="162" t="str">
        <f>IF(C408="","",COUNTIFS(Başvuru!$C:$C,C408,Başvuru!$G:$G,"Bireysel Araştırma",Başvuru!$A:$A,"&lt;&gt;"&amp;"",Başvuru!$F:$F,"&lt;&gt;"&amp;""))</f>
        <v/>
      </c>
      <c r="G408" s="162" t="str">
        <f>IF(C408="","",COUNTIFS(Başvuru!$C:$C,C408,Başvuru!$G:$G,"Uzmanlık Tezi",Başvuru!$A:$A,"&lt;&gt;"&amp;"",Başvuru!$F:$F,"&lt;&gt;"&amp;""))</f>
        <v/>
      </c>
      <c r="H408" s="162" t="str">
        <f>IF(C408="","",COUNTIFS(Başvuru!$C:$C,C408,Başvuru!$G:$G,"Doktora Tezi",Başvuru!$A:$A,"&lt;&gt;"&amp;"",Başvuru!$F:$F,"&lt;&gt;"&amp;""))</f>
        <v/>
      </c>
      <c r="I408" s="162" t="str">
        <f>IF(C408="","",COUNTIFS(Başvuru!$C:$C,C408,Başvuru!$G:$G,"Yüksek Lisans Tezi",Başvuru!$A:$A,"&lt;&gt;"&amp;"",Başvuru!$F:$F,"&lt;&gt;"&amp;""))</f>
        <v/>
      </c>
      <c r="J408" s="163" t="str">
        <f>IF(C408="","",COUNTIFS(Başvuru!$C:$C,C408,Başvuru!$L:$L,"ONAY",Başvuru!$A:$A,"&lt;&gt;"&amp;"",Başvuru!$F:$F,"&lt;&gt;"&amp;""))</f>
        <v/>
      </c>
      <c r="K408" s="164" t="str">
        <f>IF(C408="","",COUNTIFS(Başvuru!$C:$C,C408,Başvuru!$L:$L,"DÜZELTME",Başvuru!$A:$A,"&lt;&gt;"&amp;"",Başvuru!$F:$F,"&lt;&gt;"&amp;""))</f>
        <v/>
      </c>
      <c r="L408" s="165" t="str">
        <f>IF(C408="","",COUNTIFS(Başvuru!$C:$C,C408,Başvuru!$L:$L,"KAEK",Başvuru!$A:$A,"&lt;&gt;"&amp;"",Başvuru!$F:$F,"&lt;&gt;"&amp;""))</f>
        <v/>
      </c>
      <c r="M408" s="166" t="str">
        <f>IF(C408="","",COUNTIFS(Başvuru!$C:$C,C408,Başvuru!$L:$L,"GÖRÜŞ",Başvuru!$A:$A,"&lt;&gt;"&amp;"",Başvuru!$F:$F,"&lt;&gt;"&amp;""))</f>
        <v/>
      </c>
      <c r="N408" s="167" t="str">
        <f>IF(C408="","",COUNTIFS(Başvuru!$C:$C,C408,Başvuru!$L:$L,"RET",Başvuru!$A:$A,"&lt;&gt;"&amp;"",Başvuru!$F:$F,"&lt;&gt;"&amp;""))</f>
        <v/>
      </c>
      <c r="O408" s="168" t="str">
        <f>IF(C408="","",COUNTIFS(Başvuru!$C:$C,C408,Başvuru!$L:$L,"KAPSAM DIŞI",Başvuru!$A:$A,"&lt;&gt;"&amp;"",Başvuru!$F:$F,"&lt;&gt;"&amp;""))</f>
        <v/>
      </c>
      <c r="P408" s="169" t="str">
        <f>IF(C408="","",COUNTIFS(Başvuru!$C:$C,C408,Başvuru!$L:$L,"GERİ ÇEKİLDİ",Başvuru!$A:$A,"&lt;&gt;"&amp;"",Başvuru!$F:$F,"&lt;&gt;"&amp;""))</f>
        <v/>
      </c>
      <c r="Q408" s="170" t="str">
        <f t="array" ref="Q408">IFERROR(INDEX(Başvuru!$C$2:$C$3000, MATCH(0, COUNTIF($Q$5:Q407, Başvuru!$C$2:$C$3000) + IF(Başvuru!$C$2:$C$3000="",1,0), 0)), "")</f>
        <v/>
      </c>
      <c r="R408" s="171" t="str">
        <f>IF(Q408="","",COUNTIFS(Başvuru!$C:$C,Q408,Başvuru!$A:$A,"&lt;&gt;"&amp;"",Başvuru!$F:$F,"&lt;&gt;"&amp;""))</f>
        <v/>
      </c>
      <c r="S408" s="171" t="str">
        <f>IF(R408="","",RANK(R408,$R$6:$R$505,0)+COUNTIF($R$6:R408,R408)-1)</f>
        <v/>
      </c>
    </row>
    <row r="409" spans="2:19" ht="23.25" customHeight="1" x14ac:dyDescent="0.25">
      <c r="B409" s="159">
        <v>404</v>
      </c>
      <c r="C409" s="160" t="str">
        <f>IFERROR(INDEX($Q$6:$Q$505,MATCH(404,$S$6:$S$505,0)),"")</f>
        <v/>
      </c>
      <c r="D409" s="161" t="str">
        <f>IF(C409="","",COUNTIFS(Başvuru!$C:$C,C409,Başvuru!$A:$A,"&lt;&gt;"&amp;"",Başvuru!$F:$F,"&lt;&gt;"&amp;""))</f>
        <v/>
      </c>
      <c r="E409" s="159" t="str">
        <f>IF(C409="","-",IF(D409&gt;0,TEXT(D409/(COUNTIFS(Başvuru!$A:$A,"&lt;&gt;",Başvuru!$F:$F,"&lt;&gt;")-1)*100,"0.0")&amp;"%","-"))</f>
        <v>-</v>
      </c>
      <c r="F409" s="162" t="str">
        <f>IF(C409="","",COUNTIFS(Başvuru!$C:$C,C409,Başvuru!$G:$G,"Bireysel Araştırma",Başvuru!$A:$A,"&lt;&gt;"&amp;"",Başvuru!$F:$F,"&lt;&gt;"&amp;""))</f>
        <v/>
      </c>
      <c r="G409" s="162" t="str">
        <f>IF(C409="","",COUNTIFS(Başvuru!$C:$C,C409,Başvuru!$G:$G,"Uzmanlık Tezi",Başvuru!$A:$A,"&lt;&gt;"&amp;"",Başvuru!$F:$F,"&lt;&gt;"&amp;""))</f>
        <v/>
      </c>
      <c r="H409" s="162" t="str">
        <f>IF(C409="","",COUNTIFS(Başvuru!$C:$C,C409,Başvuru!$G:$G,"Doktora Tezi",Başvuru!$A:$A,"&lt;&gt;"&amp;"",Başvuru!$F:$F,"&lt;&gt;"&amp;""))</f>
        <v/>
      </c>
      <c r="I409" s="162" t="str">
        <f>IF(C409="","",COUNTIFS(Başvuru!$C:$C,C409,Başvuru!$G:$G,"Yüksek Lisans Tezi",Başvuru!$A:$A,"&lt;&gt;"&amp;"",Başvuru!$F:$F,"&lt;&gt;"&amp;""))</f>
        <v/>
      </c>
      <c r="J409" s="163" t="str">
        <f>IF(C409="","",COUNTIFS(Başvuru!$C:$C,C409,Başvuru!$L:$L,"ONAY",Başvuru!$A:$A,"&lt;&gt;"&amp;"",Başvuru!$F:$F,"&lt;&gt;"&amp;""))</f>
        <v/>
      </c>
      <c r="K409" s="164" t="str">
        <f>IF(C409="","",COUNTIFS(Başvuru!$C:$C,C409,Başvuru!$L:$L,"DÜZELTME",Başvuru!$A:$A,"&lt;&gt;"&amp;"",Başvuru!$F:$F,"&lt;&gt;"&amp;""))</f>
        <v/>
      </c>
      <c r="L409" s="165" t="str">
        <f>IF(C409="","",COUNTIFS(Başvuru!$C:$C,C409,Başvuru!$L:$L,"KAEK",Başvuru!$A:$A,"&lt;&gt;"&amp;"",Başvuru!$F:$F,"&lt;&gt;"&amp;""))</f>
        <v/>
      </c>
      <c r="M409" s="166" t="str">
        <f>IF(C409="","",COUNTIFS(Başvuru!$C:$C,C409,Başvuru!$L:$L,"GÖRÜŞ",Başvuru!$A:$A,"&lt;&gt;"&amp;"",Başvuru!$F:$F,"&lt;&gt;"&amp;""))</f>
        <v/>
      </c>
      <c r="N409" s="167" t="str">
        <f>IF(C409="","",COUNTIFS(Başvuru!$C:$C,C409,Başvuru!$L:$L,"RET",Başvuru!$A:$A,"&lt;&gt;"&amp;"",Başvuru!$F:$F,"&lt;&gt;"&amp;""))</f>
        <v/>
      </c>
      <c r="O409" s="168" t="str">
        <f>IF(C409="","",COUNTIFS(Başvuru!$C:$C,C409,Başvuru!$L:$L,"KAPSAM DIŞI",Başvuru!$A:$A,"&lt;&gt;"&amp;"",Başvuru!$F:$F,"&lt;&gt;"&amp;""))</f>
        <v/>
      </c>
      <c r="P409" s="169" t="str">
        <f>IF(C409="","",COUNTIFS(Başvuru!$C:$C,C409,Başvuru!$L:$L,"GERİ ÇEKİLDİ",Başvuru!$A:$A,"&lt;&gt;"&amp;"",Başvuru!$F:$F,"&lt;&gt;"&amp;""))</f>
        <v/>
      </c>
      <c r="Q409" s="170" t="str">
        <f t="array" ref="Q409">IFERROR(INDEX(Başvuru!$C$2:$C$3000, MATCH(0, COUNTIF($Q$5:Q408, Başvuru!$C$2:$C$3000) + IF(Başvuru!$C$2:$C$3000="",1,0), 0)), "")</f>
        <v/>
      </c>
      <c r="R409" s="171" t="str">
        <f>IF(Q409="","",COUNTIFS(Başvuru!$C:$C,Q409,Başvuru!$A:$A,"&lt;&gt;"&amp;"",Başvuru!$F:$F,"&lt;&gt;"&amp;""))</f>
        <v/>
      </c>
      <c r="S409" s="171" t="str">
        <f>IF(R409="","",RANK(R409,$R$6:$R$505,0)+COUNTIF($R$6:R409,R409)-1)</f>
        <v/>
      </c>
    </row>
    <row r="410" spans="2:19" ht="23.25" customHeight="1" x14ac:dyDescent="0.25">
      <c r="B410" s="159">
        <v>405</v>
      </c>
      <c r="C410" s="160" t="str">
        <f>IFERROR(INDEX($Q$6:$Q$505,MATCH(405,$S$6:$S$505,0)),"")</f>
        <v/>
      </c>
      <c r="D410" s="161" t="str">
        <f>IF(C410="","",COUNTIFS(Başvuru!$C:$C,C410,Başvuru!$A:$A,"&lt;&gt;"&amp;"",Başvuru!$F:$F,"&lt;&gt;"&amp;""))</f>
        <v/>
      </c>
      <c r="E410" s="159" t="str">
        <f>IF(C410="","-",IF(D410&gt;0,TEXT(D410/(COUNTIFS(Başvuru!$A:$A,"&lt;&gt;",Başvuru!$F:$F,"&lt;&gt;")-1)*100,"0.0")&amp;"%","-"))</f>
        <v>-</v>
      </c>
      <c r="F410" s="162" t="str">
        <f>IF(C410="","",COUNTIFS(Başvuru!$C:$C,C410,Başvuru!$G:$G,"Bireysel Araştırma",Başvuru!$A:$A,"&lt;&gt;"&amp;"",Başvuru!$F:$F,"&lt;&gt;"&amp;""))</f>
        <v/>
      </c>
      <c r="G410" s="162" t="str">
        <f>IF(C410="","",COUNTIFS(Başvuru!$C:$C,C410,Başvuru!$G:$G,"Uzmanlık Tezi",Başvuru!$A:$A,"&lt;&gt;"&amp;"",Başvuru!$F:$F,"&lt;&gt;"&amp;""))</f>
        <v/>
      </c>
      <c r="H410" s="162" t="str">
        <f>IF(C410="","",COUNTIFS(Başvuru!$C:$C,C410,Başvuru!$G:$G,"Doktora Tezi",Başvuru!$A:$A,"&lt;&gt;"&amp;"",Başvuru!$F:$F,"&lt;&gt;"&amp;""))</f>
        <v/>
      </c>
      <c r="I410" s="162" t="str">
        <f>IF(C410="","",COUNTIFS(Başvuru!$C:$C,C410,Başvuru!$G:$G,"Yüksek Lisans Tezi",Başvuru!$A:$A,"&lt;&gt;"&amp;"",Başvuru!$F:$F,"&lt;&gt;"&amp;""))</f>
        <v/>
      </c>
      <c r="J410" s="163" t="str">
        <f>IF(C410="","",COUNTIFS(Başvuru!$C:$C,C410,Başvuru!$L:$L,"ONAY",Başvuru!$A:$A,"&lt;&gt;"&amp;"",Başvuru!$F:$F,"&lt;&gt;"&amp;""))</f>
        <v/>
      </c>
      <c r="K410" s="164" t="str">
        <f>IF(C410="","",COUNTIFS(Başvuru!$C:$C,C410,Başvuru!$L:$L,"DÜZELTME",Başvuru!$A:$A,"&lt;&gt;"&amp;"",Başvuru!$F:$F,"&lt;&gt;"&amp;""))</f>
        <v/>
      </c>
      <c r="L410" s="165" t="str">
        <f>IF(C410="","",COUNTIFS(Başvuru!$C:$C,C410,Başvuru!$L:$L,"KAEK",Başvuru!$A:$A,"&lt;&gt;"&amp;"",Başvuru!$F:$F,"&lt;&gt;"&amp;""))</f>
        <v/>
      </c>
      <c r="M410" s="166" t="str">
        <f>IF(C410="","",COUNTIFS(Başvuru!$C:$C,C410,Başvuru!$L:$L,"GÖRÜŞ",Başvuru!$A:$A,"&lt;&gt;"&amp;"",Başvuru!$F:$F,"&lt;&gt;"&amp;""))</f>
        <v/>
      </c>
      <c r="N410" s="167" t="str">
        <f>IF(C410="","",COUNTIFS(Başvuru!$C:$C,C410,Başvuru!$L:$L,"RET",Başvuru!$A:$A,"&lt;&gt;"&amp;"",Başvuru!$F:$F,"&lt;&gt;"&amp;""))</f>
        <v/>
      </c>
      <c r="O410" s="168" t="str">
        <f>IF(C410="","",COUNTIFS(Başvuru!$C:$C,C410,Başvuru!$L:$L,"KAPSAM DIŞI",Başvuru!$A:$A,"&lt;&gt;"&amp;"",Başvuru!$F:$F,"&lt;&gt;"&amp;""))</f>
        <v/>
      </c>
      <c r="P410" s="169" t="str">
        <f>IF(C410="","",COUNTIFS(Başvuru!$C:$C,C410,Başvuru!$L:$L,"GERİ ÇEKİLDİ",Başvuru!$A:$A,"&lt;&gt;"&amp;"",Başvuru!$F:$F,"&lt;&gt;"&amp;""))</f>
        <v/>
      </c>
      <c r="Q410" s="170" t="str">
        <f t="array" ref="Q410">IFERROR(INDEX(Başvuru!$C$2:$C$3000, MATCH(0, COUNTIF($Q$5:Q409, Başvuru!$C$2:$C$3000) + IF(Başvuru!$C$2:$C$3000="",1,0), 0)), "")</f>
        <v/>
      </c>
      <c r="R410" s="171" t="str">
        <f>IF(Q410="","",COUNTIFS(Başvuru!$C:$C,Q410,Başvuru!$A:$A,"&lt;&gt;"&amp;"",Başvuru!$F:$F,"&lt;&gt;"&amp;""))</f>
        <v/>
      </c>
      <c r="S410" s="171" t="str">
        <f>IF(R410="","",RANK(R410,$R$6:$R$505,0)+COUNTIF($R$6:R410,R410)-1)</f>
        <v/>
      </c>
    </row>
    <row r="411" spans="2:19" ht="23.25" customHeight="1" x14ac:dyDescent="0.25">
      <c r="B411" s="159">
        <v>406</v>
      </c>
      <c r="C411" s="160" t="str">
        <f>IFERROR(INDEX($Q$6:$Q$505,MATCH(406,$S$6:$S$505,0)),"")</f>
        <v/>
      </c>
      <c r="D411" s="161" t="str">
        <f>IF(C411="","",COUNTIFS(Başvuru!$C:$C,C411,Başvuru!$A:$A,"&lt;&gt;"&amp;"",Başvuru!$F:$F,"&lt;&gt;"&amp;""))</f>
        <v/>
      </c>
      <c r="E411" s="159" t="str">
        <f>IF(C411="","-",IF(D411&gt;0,TEXT(D411/(COUNTIFS(Başvuru!$A:$A,"&lt;&gt;",Başvuru!$F:$F,"&lt;&gt;")-1)*100,"0.0")&amp;"%","-"))</f>
        <v>-</v>
      </c>
      <c r="F411" s="162" t="str">
        <f>IF(C411="","",COUNTIFS(Başvuru!$C:$C,C411,Başvuru!$G:$G,"Bireysel Araştırma",Başvuru!$A:$A,"&lt;&gt;"&amp;"",Başvuru!$F:$F,"&lt;&gt;"&amp;""))</f>
        <v/>
      </c>
      <c r="G411" s="162" t="str">
        <f>IF(C411="","",COUNTIFS(Başvuru!$C:$C,C411,Başvuru!$G:$G,"Uzmanlık Tezi",Başvuru!$A:$A,"&lt;&gt;"&amp;"",Başvuru!$F:$F,"&lt;&gt;"&amp;""))</f>
        <v/>
      </c>
      <c r="H411" s="162" t="str">
        <f>IF(C411="","",COUNTIFS(Başvuru!$C:$C,C411,Başvuru!$G:$G,"Doktora Tezi",Başvuru!$A:$A,"&lt;&gt;"&amp;"",Başvuru!$F:$F,"&lt;&gt;"&amp;""))</f>
        <v/>
      </c>
      <c r="I411" s="162" t="str">
        <f>IF(C411="","",COUNTIFS(Başvuru!$C:$C,C411,Başvuru!$G:$G,"Yüksek Lisans Tezi",Başvuru!$A:$A,"&lt;&gt;"&amp;"",Başvuru!$F:$F,"&lt;&gt;"&amp;""))</f>
        <v/>
      </c>
      <c r="J411" s="163" t="str">
        <f>IF(C411="","",COUNTIFS(Başvuru!$C:$C,C411,Başvuru!$L:$L,"ONAY",Başvuru!$A:$A,"&lt;&gt;"&amp;"",Başvuru!$F:$F,"&lt;&gt;"&amp;""))</f>
        <v/>
      </c>
      <c r="K411" s="164" t="str">
        <f>IF(C411="","",COUNTIFS(Başvuru!$C:$C,C411,Başvuru!$L:$L,"DÜZELTME",Başvuru!$A:$A,"&lt;&gt;"&amp;"",Başvuru!$F:$F,"&lt;&gt;"&amp;""))</f>
        <v/>
      </c>
      <c r="L411" s="165" t="str">
        <f>IF(C411="","",COUNTIFS(Başvuru!$C:$C,C411,Başvuru!$L:$L,"KAEK",Başvuru!$A:$A,"&lt;&gt;"&amp;"",Başvuru!$F:$F,"&lt;&gt;"&amp;""))</f>
        <v/>
      </c>
      <c r="M411" s="166" t="str">
        <f>IF(C411="","",COUNTIFS(Başvuru!$C:$C,C411,Başvuru!$L:$L,"GÖRÜŞ",Başvuru!$A:$A,"&lt;&gt;"&amp;"",Başvuru!$F:$F,"&lt;&gt;"&amp;""))</f>
        <v/>
      </c>
      <c r="N411" s="167" t="str">
        <f>IF(C411="","",COUNTIFS(Başvuru!$C:$C,C411,Başvuru!$L:$L,"RET",Başvuru!$A:$A,"&lt;&gt;"&amp;"",Başvuru!$F:$F,"&lt;&gt;"&amp;""))</f>
        <v/>
      </c>
      <c r="O411" s="168" t="str">
        <f>IF(C411="","",COUNTIFS(Başvuru!$C:$C,C411,Başvuru!$L:$L,"KAPSAM DIŞI",Başvuru!$A:$A,"&lt;&gt;"&amp;"",Başvuru!$F:$F,"&lt;&gt;"&amp;""))</f>
        <v/>
      </c>
      <c r="P411" s="169" t="str">
        <f>IF(C411="","",COUNTIFS(Başvuru!$C:$C,C411,Başvuru!$L:$L,"GERİ ÇEKİLDİ",Başvuru!$A:$A,"&lt;&gt;"&amp;"",Başvuru!$F:$F,"&lt;&gt;"&amp;""))</f>
        <v/>
      </c>
      <c r="Q411" s="170" t="str">
        <f t="array" ref="Q411">IFERROR(INDEX(Başvuru!$C$2:$C$3000, MATCH(0, COUNTIF($Q$5:Q410, Başvuru!$C$2:$C$3000) + IF(Başvuru!$C$2:$C$3000="",1,0), 0)), "")</f>
        <v/>
      </c>
      <c r="R411" s="171" t="str">
        <f>IF(Q411="","",COUNTIFS(Başvuru!$C:$C,Q411,Başvuru!$A:$A,"&lt;&gt;"&amp;"",Başvuru!$F:$F,"&lt;&gt;"&amp;""))</f>
        <v/>
      </c>
      <c r="S411" s="171" t="str">
        <f>IF(R411="","",RANK(R411,$R$6:$R$505,0)+COUNTIF($R$6:R411,R411)-1)</f>
        <v/>
      </c>
    </row>
    <row r="412" spans="2:19" ht="23.25" customHeight="1" x14ac:dyDescent="0.25">
      <c r="B412" s="159">
        <v>407</v>
      </c>
      <c r="C412" s="160" t="str">
        <f>IFERROR(INDEX($Q$6:$Q$505,MATCH(407,$S$6:$S$505,0)),"")</f>
        <v/>
      </c>
      <c r="D412" s="161" t="str">
        <f>IF(C412="","",COUNTIFS(Başvuru!$C:$C,C412,Başvuru!$A:$A,"&lt;&gt;"&amp;"",Başvuru!$F:$F,"&lt;&gt;"&amp;""))</f>
        <v/>
      </c>
      <c r="E412" s="159" t="str">
        <f>IF(C412="","-",IF(D412&gt;0,TEXT(D412/(COUNTIFS(Başvuru!$A:$A,"&lt;&gt;",Başvuru!$F:$F,"&lt;&gt;")-1)*100,"0.0")&amp;"%","-"))</f>
        <v>-</v>
      </c>
      <c r="F412" s="162" t="str">
        <f>IF(C412="","",COUNTIFS(Başvuru!$C:$C,C412,Başvuru!$G:$G,"Bireysel Araştırma",Başvuru!$A:$A,"&lt;&gt;"&amp;"",Başvuru!$F:$F,"&lt;&gt;"&amp;""))</f>
        <v/>
      </c>
      <c r="G412" s="162" t="str">
        <f>IF(C412="","",COUNTIFS(Başvuru!$C:$C,C412,Başvuru!$G:$G,"Uzmanlık Tezi",Başvuru!$A:$A,"&lt;&gt;"&amp;"",Başvuru!$F:$F,"&lt;&gt;"&amp;""))</f>
        <v/>
      </c>
      <c r="H412" s="162" t="str">
        <f>IF(C412="","",COUNTIFS(Başvuru!$C:$C,C412,Başvuru!$G:$G,"Doktora Tezi",Başvuru!$A:$A,"&lt;&gt;"&amp;"",Başvuru!$F:$F,"&lt;&gt;"&amp;""))</f>
        <v/>
      </c>
      <c r="I412" s="162" t="str">
        <f>IF(C412="","",COUNTIFS(Başvuru!$C:$C,C412,Başvuru!$G:$G,"Yüksek Lisans Tezi",Başvuru!$A:$A,"&lt;&gt;"&amp;"",Başvuru!$F:$F,"&lt;&gt;"&amp;""))</f>
        <v/>
      </c>
      <c r="J412" s="163" t="str">
        <f>IF(C412="","",COUNTIFS(Başvuru!$C:$C,C412,Başvuru!$L:$L,"ONAY",Başvuru!$A:$A,"&lt;&gt;"&amp;"",Başvuru!$F:$F,"&lt;&gt;"&amp;""))</f>
        <v/>
      </c>
      <c r="K412" s="164" t="str">
        <f>IF(C412="","",COUNTIFS(Başvuru!$C:$C,C412,Başvuru!$L:$L,"DÜZELTME",Başvuru!$A:$A,"&lt;&gt;"&amp;"",Başvuru!$F:$F,"&lt;&gt;"&amp;""))</f>
        <v/>
      </c>
      <c r="L412" s="165" t="str">
        <f>IF(C412="","",COUNTIFS(Başvuru!$C:$C,C412,Başvuru!$L:$L,"KAEK",Başvuru!$A:$A,"&lt;&gt;"&amp;"",Başvuru!$F:$F,"&lt;&gt;"&amp;""))</f>
        <v/>
      </c>
      <c r="M412" s="166" t="str">
        <f>IF(C412="","",COUNTIFS(Başvuru!$C:$C,C412,Başvuru!$L:$L,"GÖRÜŞ",Başvuru!$A:$A,"&lt;&gt;"&amp;"",Başvuru!$F:$F,"&lt;&gt;"&amp;""))</f>
        <v/>
      </c>
      <c r="N412" s="167" t="str">
        <f>IF(C412="","",COUNTIFS(Başvuru!$C:$C,C412,Başvuru!$L:$L,"RET",Başvuru!$A:$A,"&lt;&gt;"&amp;"",Başvuru!$F:$F,"&lt;&gt;"&amp;""))</f>
        <v/>
      </c>
      <c r="O412" s="168" t="str">
        <f>IF(C412="","",COUNTIFS(Başvuru!$C:$C,C412,Başvuru!$L:$L,"KAPSAM DIŞI",Başvuru!$A:$A,"&lt;&gt;"&amp;"",Başvuru!$F:$F,"&lt;&gt;"&amp;""))</f>
        <v/>
      </c>
      <c r="P412" s="169" t="str">
        <f>IF(C412="","",COUNTIFS(Başvuru!$C:$C,C412,Başvuru!$L:$L,"GERİ ÇEKİLDİ",Başvuru!$A:$A,"&lt;&gt;"&amp;"",Başvuru!$F:$F,"&lt;&gt;"&amp;""))</f>
        <v/>
      </c>
      <c r="Q412" s="170" t="str">
        <f t="array" ref="Q412">IFERROR(INDEX(Başvuru!$C$2:$C$3000, MATCH(0, COUNTIF($Q$5:Q411, Başvuru!$C$2:$C$3000) + IF(Başvuru!$C$2:$C$3000="",1,0), 0)), "")</f>
        <v/>
      </c>
      <c r="R412" s="171" t="str">
        <f>IF(Q412="","",COUNTIFS(Başvuru!$C:$C,Q412,Başvuru!$A:$A,"&lt;&gt;"&amp;"",Başvuru!$F:$F,"&lt;&gt;"&amp;""))</f>
        <v/>
      </c>
      <c r="S412" s="171" t="str">
        <f>IF(R412="","",RANK(R412,$R$6:$R$505,0)+COUNTIF($R$6:R412,R412)-1)</f>
        <v/>
      </c>
    </row>
    <row r="413" spans="2:19" ht="23.25" customHeight="1" x14ac:dyDescent="0.25">
      <c r="B413" s="159">
        <v>408</v>
      </c>
      <c r="C413" s="160" t="str">
        <f>IFERROR(INDEX($Q$6:$Q$505,MATCH(408,$S$6:$S$505,0)),"")</f>
        <v/>
      </c>
      <c r="D413" s="161" t="str">
        <f>IF(C413="","",COUNTIFS(Başvuru!$C:$C,C413,Başvuru!$A:$A,"&lt;&gt;"&amp;"",Başvuru!$F:$F,"&lt;&gt;"&amp;""))</f>
        <v/>
      </c>
      <c r="E413" s="159" t="str">
        <f>IF(C413="","-",IF(D413&gt;0,TEXT(D413/(COUNTIFS(Başvuru!$A:$A,"&lt;&gt;",Başvuru!$F:$F,"&lt;&gt;")-1)*100,"0.0")&amp;"%","-"))</f>
        <v>-</v>
      </c>
      <c r="F413" s="162" t="str">
        <f>IF(C413="","",COUNTIFS(Başvuru!$C:$C,C413,Başvuru!$G:$G,"Bireysel Araştırma",Başvuru!$A:$A,"&lt;&gt;"&amp;"",Başvuru!$F:$F,"&lt;&gt;"&amp;""))</f>
        <v/>
      </c>
      <c r="G413" s="162" t="str">
        <f>IF(C413="","",COUNTIFS(Başvuru!$C:$C,C413,Başvuru!$G:$G,"Uzmanlık Tezi",Başvuru!$A:$A,"&lt;&gt;"&amp;"",Başvuru!$F:$F,"&lt;&gt;"&amp;""))</f>
        <v/>
      </c>
      <c r="H413" s="162" t="str">
        <f>IF(C413="","",COUNTIFS(Başvuru!$C:$C,C413,Başvuru!$G:$G,"Doktora Tezi",Başvuru!$A:$A,"&lt;&gt;"&amp;"",Başvuru!$F:$F,"&lt;&gt;"&amp;""))</f>
        <v/>
      </c>
      <c r="I413" s="162" t="str">
        <f>IF(C413="","",COUNTIFS(Başvuru!$C:$C,C413,Başvuru!$G:$G,"Yüksek Lisans Tezi",Başvuru!$A:$A,"&lt;&gt;"&amp;"",Başvuru!$F:$F,"&lt;&gt;"&amp;""))</f>
        <v/>
      </c>
      <c r="J413" s="163" t="str">
        <f>IF(C413="","",COUNTIFS(Başvuru!$C:$C,C413,Başvuru!$L:$L,"ONAY",Başvuru!$A:$A,"&lt;&gt;"&amp;"",Başvuru!$F:$F,"&lt;&gt;"&amp;""))</f>
        <v/>
      </c>
      <c r="K413" s="164" t="str">
        <f>IF(C413="","",COUNTIFS(Başvuru!$C:$C,C413,Başvuru!$L:$L,"DÜZELTME",Başvuru!$A:$A,"&lt;&gt;"&amp;"",Başvuru!$F:$F,"&lt;&gt;"&amp;""))</f>
        <v/>
      </c>
      <c r="L413" s="165" t="str">
        <f>IF(C413="","",COUNTIFS(Başvuru!$C:$C,C413,Başvuru!$L:$L,"KAEK",Başvuru!$A:$A,"&lt;&gt;"&amp;"",Başvuru!$F:$F,"&lt;&gt;"&amp;""))</f>
        <v/>
      </c>
      <c r="M413" s="166" t="str">
        <f>IF(C413="","",COUNTIFS(Başvuru!$C:$C,C413,Başvuru!$L:$L,"GÖRÜŞ",Başvuru!$A:$A,"&lt;&gt;"&amp;"",Başvuru!$F:$F,"&lt;&gt;"&amp;""))</f>
        <v/>
      </c>
      <c r="N413" s="167" t="str">
        <f>IF(C413="","",COUNTIFS(Başvuru!$C:$C,C413,Başvuru!$L:$L,"RET",Başvuru!$A:$A,"&lt;&gt;"&amp;"",Başvuru!$F:$F,"&lt;&gt;"&amp;""))</f>
        <v/>
      </c>
      <c r="O413" s="168" t="str">
        <f>IF(C413="","",COUNTIFS(Başvuru!$C:$C,C413,Başvuru!$L:$L,"KAPSAM DIŞI",Başvuru!$A:$A,"&lt;&gt;"&amp;"",Başvuru!$F:$F,"&lt;&gt;"&amp;""))</f>
        <v/>
      </c>
      <c r="P413" s="169" t="str">
        <f>IF(C413="","",COUNTIFS(Başvuru!$C:$C,C413,Başvuru!$L:$L,"GERİ ÇEKİLDİ",Başvuru!$A:$A,"&lt;&gt;"&amp;"",Başvuru!$F:$F,"&lt;&gt;"&amp;""))</f>
        <v/>
      </c>
      <c r="Q413" s="170" t="str">
        <f t="array" ref="Q413">IFERROR(INDEX(Başvuru!$C$2:$C$3000, MATCH(0, COUNTIF($Q$5:Q412, Başvuru!$C$2:$C$3000) + IF(Başvuru!$C$2:$C$3000="",1,0), 0)), "")</f>
        <v/>
      </c>
      <c r="R413" s="171" t="str">
        <f>IF(Q413="","",COUNTIFS(Başvuru!$C:$C,Q413,Başvuru!$A:$A,"&lt;&gt;"&amp;"",Başvuru!$F:$F,"&lt;&gt;"&amp;""))</f>
        <v/>
      </c>
      <c r="S413" s="171" t="str">
        <f>IF(R413="","",RANK(R413,$R$6:$R$505,0)+COUNTIF($R$6:R413,R413)-1)</f>
        <v/>
      </c>
    </row>
    <row r="414" spans="2:19" ht="23.25" customHeight="1" x14ac:dyDescent="0.25">
      <c r="B414" s="159">
        <v>409</v>
      </c>
      <c r="C414" s="160" t="str">
        <f>IFERROR(INDEX($Q$6:$Q$505,MATCH(409,$S$6:$S$505,0)),"")</f>
        <v/>
      </c>
      <c r="D414" s="161" t="str">
        <f>IF(C414="","",COUNTIFS(Başvuru!$C:$C,C414,Başvuru!$A:$A,"&lt;&gt;"&amp;"",Başvuru!$F:$F,"&lt;&gt;"&amp;""))</f>
        <v/>
      </c>
      <c r="E414" s="159" t="str">
        <f>IF(C414="","-",IF(D414&gt;0,TEXT(D414/(COUNTIFS(Başvuru!$A:$A,"&lt;&gt;",Başvuru!$F:$F,"&lt;&gt;")-1)*100,"0.0")&amp;"%","-"))</f>
        <v>-</v>
      </c>
      <c r="F414" s="162" t="str">
        <f>IF(C414="","",COUNTIFS(Başvuru!$C:$C,C414,Başvuru!$G:$G,"Bireysel Araştırma",Başvuru!$A:$A,"&lt;&gt;"&amp;"",Başvuru!$F:$F,"&lt;&gt;"&amp;""))</f>
        <v/>
      </c>
      <c r="G414" s="162" t="str">
        <f>IF(C414="","",COUNTIFS(Başvuru!$C:$C,C414,Başvuru!$G:$G,"Uzmanlık Tezi",Başvuru!$A:$A,"&lt;&gt;"&amp;"",Başvuru!$F:$F,"&lt;&gt;"&amp;""))</f>
        <v/>
      </c>
      <c r="H414" s="162" t="str">
        <f>IF(C414="","",COUNTIFS(Başvuru!$C:$C,C414,Başvuru!$G:$G,"Doktora Tezi",Başvuru!$A:$A,"&lt;&gt;"&amp;"",Başvuru!$F:$F,"&lt;&gt;"&amp;""))</f>
        <v/>
      </c>
      <c r="I414" s="162" t="str">
        <f>IF(C414="","",COUNTIFS(Başvuru!$C:$C,C414,Başvuru!$G:$G,"Yüksek Lisans Tezi",Başvuru!$A:$A,"&lt;&gt;"&amp;"",Başvuru!$F:$F,"&lt;&gt;"&amp;""))</f>
        <v/>
      </c>
      <c r="J414" s="163" t="str">
        <f>IF(C414="","",COUNTIFS(Başvuru!$C:$C,C414,Başvuru!$L:$L,"ONAY",Başvuru!$A:$A,"&lt;&gt;"&amp;"",Başvuru!$F:$F,"&lt;&gt;"&amp;""))</f>
        <v/>
      </c>
      <c r="K414" s="164" t="str">
        <f>IF(C414="","",COUNTIFS(Başvuru!$C:$C,C414,Başvuru!$L:$L,"DÜZELTME",Başvuru!$A:$A,"&lt;&gt;"&amp;"",Başvuru!$F:$F,"&lt;&gt;"&amp;""))</f>
        <v/>
      </c>
      <c r="L414" s="165" t="str">
        <f>IF(C414="","",COUNTIFS(Başvuru!$C:$C,C414,Başvuru!$L:$L,"KAEK",Başvuru!$A:$A,"&lt;&gt;"&amp;"",Başvuru!$F:$F,"&lt;&gt;"&amp;""))</f>
        <v/>
      </c>
      <c r="M414" s="166" t="str">
        <f>IF(C414="","",COUNTIFS(Başvuru!$C:$C,C414,Başvuru!$L:$L,"GÖRÜŞ",Başvuru!$A:$A,"&lt;&gt;"&amp;"",Başvuru!$F:$F,"&lt;&gt;"&amp;""))</f>
        <v/>
      </c>
      <c r="N414" s="167" t="str">
        <f>IF(C414="","",COUNTIFS(Başvuru!$C:$C,C414,Başvuru!$L:$L,"RET",Başvuru!$A:$A,"&lt;&gt;"&amp;"",Başvuru!$F:$F,"&lt;&gt;"&amp;""))</f>
        <v/>
      </c>
      <c r="O414" s="168" t="str">
        <f>IF(C414="","",COUNTIFS(Başvuru!$C:$C,C414,Başvuru!$L:$L,"KAPSAM DIŞI",Başvuru!$A:$A,"&lt;&gt;"&amp;"",Başvuru!$F:$F,"&lt;&gt;"&amp;""))</f>
        <v/>
      </c>
      <c r="P414" s="169" t="str">
        <f>IF(C414="","",COUNTIFS(Başvuru!$C:$C,C414,Başvuru!$L:$L,"GERİ ÇEKİLDİ",Başvuru!$A:$A,"&lt;&gt;"&amp;"",Başvuru!$F:$F,"&lt;&gt;"&amp;""))</f>
        <v/>
      </c>
      <c r="Q414" s="170" t="str">
        <f t="array" ref="Q414">IFERROR(INDEX(Başvuru!$C$2:$C$3000, MATCH(0, COUNTIF($Q$5:Q413, Başvuru!$C$2:$C$3000) + IF(Başvuru!$C$2:$C$3000="",1,0), 0)), "")</f>
        <v/>
      </c>
      <c r="R414" s="171" t="str">
        <f>IF(Q414="","",COUNTIFS(Başvuru!$C:$C,Q414,Başvuru!$A:$A,"&lt;&gt;"&amp;"",Başvuru!$F:$F,"&lt;&gt;"&amp;""))</f>
        <v/>
      </c>
      <c r="S414" s="171" t="str">
        <f>IF(R414="","",RANK(R414,$R$6:$R$505,0)+COUNTIF($R$6:R414,R414)-1)</f>
        <v/>
      </c>
    </row>
    <row r="415" spans="2:19" ht="23.25" customHeight="1" x14ac:dyDescent="0.25">
      <c r="B415" s="159">
        <v>410</v>
      </c>
      <c r="C415" s="160" t="str">
        <f>IFERROR(INDEX($Q$6:$Q$505,MATCH(410,$S$6:$S$505,0)),"")</f>
        <v/>
      </c>
      <c r="D415" s="161" t="str">
        <f>IF(C415="","",COUNTIFS(Başvuru!$C:$C,C415,Başvuru!$A:$A,"&lt;&gt;"&amp;"",Başvuru!$F:$F,"&lt;&gt;"&amp;""))</f>
        <v/>
      </c>
      <c r="E415" s="159" t="str">
        <f>IF(C415="","-",IF(D415&gt;0,TEXT(D415/(COUNTIFS(Başvuru!$A:$A,"&lt;&gt;",Başvuru!$F:$F,"&lt;&gt;")-1)*100,"0.0")&amp;"%","-"))</f>
        <v>-</v>
      </c>
      <c r="F415" s="162" t="str">
        <f>IF(C415="","",COUNTIFS(Başvuru!$C:$C,C415,Başvuru!$G:$G,"Bireysel Araştırma",Başvuru!$A:$A,"&lt;&gt;"&amp;"",Başvuru!$F:$F,"&lt;&gt;"&amp;""))</f>
        <v/>
      </c>
      <c r="G415" s="162" t="str">
        <f>IF(C415="","",COUNTIFS(Başvuru!$C:$C,C415,Başvuru!$G:$G,"Uzmanlık Tezi",Başvuru!$A:$A,"&lt;&gt;"&amp;"",Başvuru!$F:$F,"&lt;&gt;"&amp;""))</f>
        <v/>
      </c>
      <c r="H415" s="162" t="str">
        <f>IF(C415="","",COUNTIFS(Başvuru!$C:$C,C415,Başvuru!$G:$G,"Doktora Tezi",Başvuru!$A:$A,"&lt;&gt;"&amp;"",Başvuru!$F:$F,"&lt;&gt;"&amp;""))</f>
        <v/>
      </c>
      <c r="I415" s="162" t="str">
        <f>IF(C415="","",COUNTIFS(Başvuru!$C:$C,C415,Başvuru!$G:$G,"Yüksek Lisans Tezi",Başvuru!$A:$A,"&lt;&gt;"&amp;"",Başvuru!$F:$F,"&lt;&gt;"&amp;""))</f>
        <v/>
      </c>
      <c r="J415" s="163" t="str">
        <f>IF(C415="","",COUNTIFS(Başvuru!$C:$C,C415,Başvuru!$L:$L,"ONAY",Başvuru!$A:$A,"&lt;&gt;"&amp;"",Başvuru!$F:$F,"&lt;&gt;"&amp;""))</f>
        <v/>
      </c>
      <c r="K415" s="164" t="str">
        <f>IF(C415="","",COUNTIFS(Başvuru!$C:$C,C415,Başvuru!$L:$L,"DÜZELTME",Başvuru!$A:$A,"&lt;&gt;"&amp;"",Başvuru!$F:$F,"&lt;&gt;"&amp;""))</f>
        <v/>
      </c>
      <c r="L415" s="165" t="str">
        <f>IF(C415="","",COUNTIFS(Başvuru!$C:$C,C415,Başvuru!$L:$L,"KAEK",Başvuru!$A:$A,"&lt;&gt;"&amp;"",Başvuru!$F:$F,"&lt;&gt;"&amp;""))</f>
        <v/>
      </c>
      <c r="M415" s="166" t="str">
        <f>IF(C415="","",COUNTIFS(Başvuru!$C:$C,C415,Başvuru!$L:$L,"GÖRÜŞ",Başvuru!$A:$A,"&lt;&gt;"&amp;"",Başvuru!$F:$F,"&lt;&gt;"&amp;""))</f>
        <v/>
      </c>
      <c r="N415" s="167" t="str">
        <f>IF(C415="","",COUNTIFS(Başvuru!$C:$C,C415,Başvuru!$L:$L,"RET",Başvuru!$A:$A,"&lt;&gt;"&amp;"",Başvuru!$F:$F,"&lt;&gt;"&amp;""))</f>
        <v/>
      </c>
      <c r="O415" s="168" t="str">
        <f>IF(C415="","",COUNTIFS(Başvuru!$C:$C,C415,Başvuru!$L:$L,"KAPSAM DIŞI",Başvuru!$A:$A,"&lt;&gt;"&amp;"",Başvuru!$F:$F,"&lt;&gt;"&amp;""))</f>
        <v/>
      </c>
      <c r="P415" s="169" t="str">
        <f>IF(C415="","",COUNTIFS(Başvuru!$C:$C,C415,Başvuru!$L:$L,"GERİ ÇEKİLDİ",Başvuru!$A:$A,"&lt;&gt;"&amp;"",Başvuru!$F:$F,"&lt;&gt;"&amp;""))</f>
        <v/>
      </c>
      <c r="Q415" s="170" t="str">
        <f t="array" ref="Q415">IFERROR(INDEX(Başvuru!$C$2:$C$3000, MATCH(0, COUNTIF($Q$5:Q414, Başvuru!$C$2:$C$3000) + IF(Başvuru!$C$2:$C$3000="",1,0), 0)), "")</f>
        <v/>
      </c>
      <c r="R415" s="171" t="str">
        <f>IF(Q415="","",COUNTIFS(Başvuru!$C:$C,Q415,Başvuru!$A:$A,"&lt;&gt;"&amp;"",Başvuru!$F:$F,"&lt;&gt;"&amp;""))</f>
        <v/>
      </c>
      <c r="S415" s="171" t="str">
        <f>IF(R415="","",RANK(R415,$R$6:$R$505,0)+COUNTIF($R$6:R415,R415)-1)</f>
        <v/>
      </c>
    </row>
    <row r="416" spans="2:19" ht="23.25" customHeight="1" x14ac:dyDescent="0.25">
      <c r="B416" s="159">
        <v>411</v>
      </c>
      <c r="C416" s="160" t="str">
        <f>IFERROR(INDEX($Q$6:$Q$505,MATCH(411,$S$6:$S$505,0)),"")</f>
        <v/>
      </c>
      <c r="D416" s="161" t="str">
        <f>IF(C416="","",COUNTIFS(Başvuru!$C:$C,C416,Başvuru!$A:$A,"&lt;&gt;"&amp;"",Başvuru!$F:$F,"&lt;&gt;"&amp;""))</f>
        <v/>
      </c>
      <c r="E416" s="159" t="str">
        <f>IF(C416="","-",IF(D416&gt;0,TEXT(D416/(COUNTIFS(Başvuru!$A:$A,"&lt;&gt;",Başvuru!$F:$F,"&lt;&gt;")-1)*100,"0.0")&amp;"%","-"))</f>
        <v>-</v>
      </c>
      <c r="F416" s="162" t="str">
        <f>IF(C416="","",COUNTIFS(Başvuru!$C:$C,C416,Başvuru!$G:$G,"Bireysel Araştırma",Başvuru!$A:$A,"&lt;&gt;"&amp;"",Başvuru!$F:$F,"&lt;&gt;"&amp;""))</f>
        <v/>
      </c>
      <c r="G416" s="162" t="str">
        <f>IF(C416="","",COUNTIFS(Başvuru!$C:$C,C416,Başvuru!$G:$G,"Uzmanlık Tezi",Başvuru!$A:$A,"&lt;&gt;"&amp;"",Başvuru!$F:$F,"&lt;&gt;"&amp;""))</f>
        <v/>
      </c>
      <c r="H416" s="162" t="str">
        <f>IF(C416="","",COUNTIFS(Başvuru!$C:$C,C416,Başvuru!$G:$G,"Doktora Tezi",Başvuru!$A:$A,"&lt;&gt;"&amp;"",Başvuru!$F:$F,"&lt;&gt;"&amp;""))</f>
        <v/>
      </c>
      <c r="I416" s="162" t="str">
        <f>IF(C416="","",COUNTIFS(Başvuru!$C:$C,C416,Başvuru!$G:$G,"Yüksek Lisans Tezi",Başvuru!$A:$A,"&lt;&gt;"&amp;"",Başvuru!$F:$F,"&lt;&gt;"&amp;""))</f>
        <v/>
      </c>
      <c r="J416" s="163" t="str">
        <f>IF(C416="","",COUNTIFS(Başvuru!$C:$C,C416,Başvuru!$L:$L,"ONAY",Başvuru!$A:$A,"&lt;&gt;"&amp;"",Başvuru!$F:$F,"&lt;&gt;"&amp;""))</f>
        <v/>
      </c>
      <c r="K416" s="164" t="str">
        <f>IF(C416="","",COUNTIFS(Başvuru!$C:$C,C416,Başvuru!$L:$L,"DÜZELTME",Başvuru!$A:$A,"&lt;&gt;"&amp;"",Başvuru!$F:$F,"&lt;&gt;"&amp;""))</f>
        <v/>
      </c>
      <c r="L416" s="165" t="str">
        <f>IF(C416="","",COUNTIFS(Başvuru!$C:$C,C416,Başvuru!$L:$L,"KAEK",Başvuru!$A:$A,"&lt;&gt;"&amp;"",Başvuru!$F:$F,"&lt;&gt;"&amp;""))</f>
        <v/>
      </c>
      <c r="M416" s="166" t="str">
        <f>IF(C416="","",COUNTIFS(Başvuru!$C:$C,C416,Başvuru!$L:$L,"GÖRÜŞ",Başvuru!$A:$A,"&lt;&gt;"&amp;"",Başvuru!$F:$F,"&lt;&gt;"&amp;""))</f>
        <v/>
      </c>
      <c r="N416" s="167" t="str">
        <f>IF(C416="","",COUNTIFS(Başvuru!$C:$C,C416,Başvuru!$L:$L,"RET",Başvuru!$A:$A,"&lt;&gt;"&amp;"",Başvuru!$F:$F,"&lt;&gt;"&amp;""))</f>
        <v/>
      </c>
      <c r="O416" s="168" t="str">
        <f>IF(C416="","",COUNTIFS(Başvuru!$C:$C,C416,Başvuru!$L:$L,"KAPSAM DIŞI",Başvuru!$A:$A,"&lt;&gt;"&amp;"",Başvuru!$F:$F,"&lt;&gt;"&amp;""))</f>
        <v/>
      </c>
      <c r="P416" s="169" t="str">
        <f>IF(C416="","",COUNTIFS(Başvuru!$C:$C,C416,Başvuru!$L:$L,"GERİ ÇEKİLDİ",Başvuru!$A:$A,"&lt;&gt;"&amp;"",Başvuru!$F:$F,"&lt;&gt;"&amp;""))</f>
        <v/>
      </c>
      <c r="Q416" s="170" t="str">
        <f t="array" ref="Q416">IFERROR(INDEX(Başvuru!$C$2:$C$3000, MATCH(0, COUNTIF($Q$5:Q415, Başvuru!$C$2:$C$3000) + IF(Başvuru!$C$2:$C$3000="",1,0), 0)), "")</f>
        <v/>
      </c>
      <c r="R416" s="171" t="str">
        <f>IF(Q416="","",COUNTIFS(Başvuru!$C:$C,Q416,Başvuru!$A:$A,"&lt;&gt;"&amp;"",Başvuru!$F:$F,"&lt;&gt;"&amp;""))</f>
        <v/>
      </c>
      <c r="S416" s="171" t="str">
        <f>IF(R416="","",RANK(R416,$R$6:$R$505,0)+COUNTIF($R$6:R416,R416)-1)</f>
        <v/>
      </c>
    </row>
    <row r="417" spans="2:19" ht="23.25" customHeight="1" x14ac:dyDescent="0.25">
      <c r="B417" s="159">
        <v>412</v>
      </c>
      <c r="C417" s="160" t="str">
        <f>IFERROR(INDEX($Q$6:$Q$505,MATCH(412,$S$6:$S$505,0)),"")</f>
        <v/>
      </c>
      <c r="D417" s="161" t="str">
        <f>IF(C417="","",COUNTIFS(Başvuru!$C:$C,C417,Başvuru!$A:$A,"&lt;&gt;"&amp;"",Başvuru!$F:$F,"&lt;&gt;"&amp;""))</f>
        <v/>
      </c>
      <c r="E417" s="159" t="str">
        <f>IF(C417="","-",IF(D417&gt;0,TEXT(D417/(COUNTIFS(Başvuru!$A:$A,"&lt;&gt;",Başvuru!$F:$F,"&lt;&gt;")-1)*100,"0.0")&amp;"%","-"))</f>
        <v>-</v>
      </c>
      <c r="F417" s="162" t="str">
        <f>IF(C417="","",COUNTIFS(Başvuru!$C:$C,C417,Başvuru!$G:$G,"Bireysel Araştırma",Başvuru!$A:$A,"&lt;&gt;"&amp;"",Başvuru!$F:$F,"&lt;&gt;"&amp;""))</f>
        <v/>
      </c>
      <c r="G417" s="162" t="str">
        <f>IF(C417="","",COUNTIFS(Başvuru!$C:$C,C417,Başvuru!$G:$G,"Uzmanlık Tezi",Başvuru!$A:$A,"&lt;&gt;"&amp;"",Başvuru!$F:$F,"&lt;&gt;"&amp;""))</f>
        <v/>
      </c>
      <c r="H417" s="162" t="str">
        <f>IF(C417="","",COUNTIFS(Başvuru!$C:$C,C417,Başvuru!$G:$G,"Doktora Tezi",Başvuru!$A:$A,"&lt;&gt;"&amp;"",Başvuru!$F:$F,"&lt;&gt;"&amp;""))</f>
        <v/>
      </c>
      <c r="I417" s="162" t="str">
        <f>IF(C417="","",COUNTIFS(Başvuru!$C:$C,C417,Başvuru!$G:$G,"Yüksek Lisans Tezi",Başvuru!$A:$A,"&lt;&gt;"&amp;"",Başvuru!$F:$F,"&lt;&gt;"&amp;""))</f>
        <v/>
      </c>
      <c r="J417" s="163" t="str">
        <f>IF(C417="","",COUNTIFS(Başvuru!$C:$C,C417,Başvuru!$L:$L,"ONAY",Başvuru!$A:$A,"&lt;&gt;"&amp;"",Başvuru!$F:$F,"&lt;&gt;"&amp;""))</f>
        <v/>
      </c>
      <c r="K417" s="164" t="str">
        <f>IF(C417="","",COUNTIFS(Başvuru!$C:$C,C417,Başvuru!$L:$L,"DÜZELTME",Başvuru!$A:$A,"&lt;&gt;"&amp;"",Başvuru!$F:$F,"&lt;&gt;"&amp;""))</f>
        <v/>
      </c>
      <c r="L417" s="165" t="str">
        <f>IF(C417="","",COUNTIFS(Başvuru!$C:$C,C417,Başvuru!$L:$L,"KAEK",Başvuru!$A:$A,"&lt;&gt;"&amp;"",Başvuru!$F:$F,"&lt;&gt;"&amp;""))</f>
        <v/>
      </c>
      <c r="M417" s="166" t="str">
        <f>IF(C417="","",COUNTIFS(Başvuru!$C:$C,C417,Başvuru!$L:$L,"GÖRÜŞ",Başvuru!$A:$A,"&lt;&gt;"&amp;"",Başvuru!$F:$F,"&lt;&gt;"&amp;""))</f>
        <v/>
      </c>
      <c r="N417" s="167" t="str">
        <f>IF(C417="","",COUNTIFS(Başvuru!$C:$C,C417,Başvuru!$L:$L,"RET",Başvuru!$A:$A,"&lt;&gt;"&amp;"",Başvuru!$F:$F,"&lt;&gt;"&amp;""))</f>
        <v/>
      </c>
      <c r="O417" s="168" t="str">
        <f>IF(C417="","",COUNTIFS(Başvuru!$C:$C,C417,Başvuru!$L:$L,"KAPSAM DIŞI",Başvuru!$A:$A,"&lt;&gt;"&amp;"",Başvuru!$F:$F,"&lt;&gt;"&amp;""))</f>
        <v/>
      </c>
      <c r="P417" s="169" t="str">
        <f>IF(C417="","",COUNTIFS(Başvuru!$C:$C,C417,Başvuru!$L:$L,"GERİ ÇEKİLDİ",Başvuru!$A:$A,"&lt;&gt;"&amp;"",Başvuru!$F:$F,"&lt;&gt;"&amp;""))</f>
        <v/>
      </c>
      <c r="Q417" s="170" t="str">
        <f t="array" ref="Q417">IFERROR(INDEX(Başvuru!$C$2:$C$3000, MATCH(0, COUNTIF($Q$5:Q416, Başvuru!$C$2:$C$3000) + IF(Başvuru!$C$2:$C$3000="",1,0), 0)), "")</f>
        <v/>
      </c>
      <c r="R417" s="171" t="str">
        <f>IF(Q417="","",COUNTIFS(Başvuru!$C:$C,Q417,Başvuru!$A:$A,"&lt;&gt;"&amp;"",Başvuru!$F:$F,"&lt;&gt;"&amp;""))</f>
        <v/>
      </c>
      <c r="S417" s="171" t="str">
        <f>IF(R417="","",RANK(R417,$R$6:$R$505,0)+COUNTIF($R$6:R417,R417)-1)</f>
        <v/>
      </c>
    </row>
    <row r="418" spans="2:19" ht="23.25" customHeight="1" x14ac:dyDescent="0.25">
      <c r="B418" s="159">
        <v>413</v>
      </c>
      <c r="C418" s="160" t="str">
        <f>IFERROR(INDEX($Q$6:$Q$505,MATCH(413,$S$6:$S$505,0)),"")</f>
        <v/>
      </c>
      <c r="D418" s="161" t="str">
        <f>IF(C418="","",COUNTIFS(Başvuru!$C:$C,C418,Başvuru!$A:$A,"&lt;&gt;"&amp;"",Başvuru!$F:$F,"&lt;&gt;"&amp;""))</f>
        <v/>
      </c>
      <c r="E418" s="159" t="str">
        <f>IF(C418="","-",IF(D418&gt;0,TEXT(D418/(COUNTIFS(Başvuru!$A:$A,"&lt;&gt;",Başvuru!$F:$F,"&lt;&gt;")-1)*100,"0.0")&amp;"%","-"))</f>
        <v>-</v>
      </c>
      <c r="F418" s="162" t="str">
        <f>IF(C418="","",COUNTIFS(Başvuru!$C:$C,C418,Başvuru!$G:$G,"Bireysel Araştırma",Başvuru!$A:$A,"&lt;&gt;"&amp;"",Başvuru!$F:$F,"&lt;&gt;"&amp;""))</f>
        <v/>
      </c>
      <c r="G418" s="162" t="str">
        <f>IF(C418="","",COUNTIFS(Başvuru!$C:$C,C418,Başvuru!$G:$G,"Uzmanlık Tezi",Başvuru!$A:$A,"&lt;&gt;"&amp;"",Başvuru!$F:$F,"&lt;&gt;"&amp;""))</f>
        <v/>
      </c>
      <c r="H418" s="162" t="str">
        <f>IF(C418="","",COUNTIFS(Başvuru!$C:$C,C418,Başvuru!$G:$G,"Doktora Tezi",Başvuru!$A:$A,"&lt;&gt;"&amp;"",Başvuru!$F:$F,"&lt;&gt;"&amp;""))</f>
        <v/>
      </c>
      <c r="I418" s="162" t="str">
        <f>IF(C418="","",COUNTIFS(Başvuru!$C:$C,C418,Başvuru!$G:$G,"Yüksek Lisans Tezi",Başvuru!$A:$A,"&lt;&gt;"&amp;"",Başvuru!$F:$F,"&lt;&gt;"&amp;""))</f>
        <v/>
      </c>
      <c r="J418" s="163" t="str">
        <f>IF(C418="","",COUNTIFS(Başvuru!$C:$C,C418,Başvuru!$L:$L,"ONAY",Başvuru!$A:$A,"&lt;&gt;"&amp;"",Başvuru!$F:$F,"&lt;&gt;"&amp;""))</f>
        <v/>
      </c>
      <c r="K418" s="164" t="str">
        <f>IF(C418="","",COUNTIFS(Başvuru!$C:$C,C418,Başvuru!$L:$L,"DÜZELTME",Başvuru!$A:$A,"&lt;&gt;"&amp;"",Başvuru!$F:$F,"&lt;&gt;"&amp;""))</f>
        <v/>
      </c>
      <c r="L418" s="165" t="str">
        <f>IF(C418="","",COUNTIFS(Başvuru!$C:$C,C418,Başvuru!$L:$L,"KAEK",Başvuru!$A:$A,"&lt;&gt;"&amp;"",Başvuru!$F:$F,"&lt;&gt;"&amp;""))</f>
        <v/>
      </c>
      <c r="M418" s="166" t="str">
        <f>IF(C418="","",COUNTIFS(Başvuru!$C:$C,C418,Başvuru!$L:$L,"GÖRÜŞ",Başvuru!$A:$A,"&lt;&gt;"&amp;"",Başvuru!$F:$F,"&lt;&gt;"&amp;""))</f>
        <v/>
      </c>
      <c r="N418" s="167" t="str">
        <f>IF(C418="","",COUNTIFS(Başvuru!$C:$C,C418,Başvuru!$L:$L,"RET",Başvuru!$A:$A,"&lt;&gt;"&amp;"",Başvuru!$F:$F,"&lt;&gt;"&amp;""))</f>
        <v/>
      </c>
      <c r="O418" s="168" t="str">
        <f>IF(C418="","",COUNTIFS(Başvuru!$C:$C,C418,Başvuru!$L:$L,"KAPSAM DIŞI",Başvuru!$A:$A,"&lt;&gt;"&amp;"",Başvuru!$F:$F,"&lt;&gt;"&amp;""))</f>
        <v/>
      </c>
      <c r="P418" s="169" t="str">
        <f>IF(C418="","",COUNTIFS(Başvuru!$C:$C,C418,Başvuru!$L:$L,"GERİ ÇEKİLDİ",Başvuru!$A:$A,"&lt;&gt;"&amp;"",Başvuru!$F:$F,"&lt;&gt;"&amp;""))</f>
        <v/>
      </c>
      <c r="Q418" s="170" t="str">
        <f t="array" ref="Q418">IFERROR(INDEX(Başvuru!$C$2:$C$3000, MATCH(0, COUNTIF($Q$5:Q417, Başvuru!$C$2:$C$3000) + IF(Başvuru!$C$2:$C$3000="",1,0), 0)), "")</f>
        <v/>
      </c>
      <c r="R418" s="171" t="str">
        <f>IF(Q418="","",COUNTIFS(Başvuru!$C:$C,Q418,Başvuru!$A:$A,"&lt;&gt;"&amp;"",Başvuru!$F:$F,"&lt;&gt;"&amp;""))</f>
        <v/>
      </c>
      <c r="S418" s="171" t="str">
        <f>IF(R418="","",RANK(R418,$R$6:$R$505,0)+COUNTIF($R$6:R418,R418)-1)</f>
        <v/>
      </c>
    </row>
    <row r="419" spans="2:19" ht="23.25" customHeight="1" x14ac:dyDescent="0.25">
      <c r="B419" s="159">
        <v>414</v>
      </c>
      <c r="C419" s="160" t="str">
        <f>IFERROR(INDEX($Q$6:$Q$505,MATCH(414,$S$6:$S$505,0)),"")</f>
        <v/>
      </c>
      <c r="D419" s="161" t="str">
        <f>IF(C419="","",COUNTIFS(Başvuru!$C:$C,C419,Başvuru!$A:$A,"&lt;&gt;"&amp;"",Başvuru!$F:$F,"&lt;&gt;"&amp;""))</f>
        <v/>
      </c>
      <c r="E419" s="159" t="str">
        <f>IF(C419="","-",IF(D419&gt;0,TEXT(D419/(COUNTIFS(Başvuru!$A:$A,"&lt;&gt;",Başvuru!$F:$F,"&lt;&gt;")-1)*100,"0.0")&amp;"%","-"))</f>
        <v>-</v>
      </c>
      <c r="F419" s="162" t="str">
        <f>IF(C419="","",COUNTIFS(Başvuru!$C:$C,C419,Başvuru!$G:$G,"Bireysel Araştırma",Başvuru!$A:$A,"&lt;&gt;"&amp;"",Başvuru!$F:$F,"&lt;&gt;"&amp;""))</f>
        <v/>
      </c>
      <c r="G419" s="162" t="str">
        <f>IF(C419="","",COUNTIFS(Başvuru!$C:$C,C419,Başvuru!$G:$G,"Uzmanlık Tezi",Başvuru!$A:$A,"&lt;&gt;"&amp;"",Başvuru!$F:$F,"&lt;&gt;"&amp;""))</f>
        <v/>
      </c>
      <c r="H419" s="162" t="str">
        <f>IF(C419="","",COUNTIFS(Başvuru!$C:$C,C419,Başvuru!$G:$G,"Doktora Tezi",Başvuru!$A:$A,"&lt;&gt;"&amp;"",Başvuru!$F:$F,"&lt;&gt;"&amp;""))</f>
        <v/>
      </c>
      <c r="I419" s="162" t="str">
        <f>IF(C419="","",COUNTIFS(Başvuru!$C:$C,C419,Başvuru!$G:$G,"Yüksek Lisans Tezi",Başvuru!$A:$A,"&lt;&gt;"&amp;"",Başvuru!$F:$F,"&lt;&gt;"&amp;""))</f>
        <v/>
      </c>
      <c r="J419" s="163" t="str">
        <f>IF(C419="","",COUNTIFS(Başvuru!$C:$C,C419,Başvuru!$L:$L,"ONAY",Başvuru!$A:$A,"&lt;&gt;"&amp;"",Başvuru!$F:$F,"&lt;&gt;"&amp;""))</f>
        <v/>
      </c>
      <c r="K419" s="164" t="str">
        <f>IF(C419="","",COUNTIFS(Başvuru!$C:$C,C419,Başvuru!$L:$L,"DÜZELTME",Başvuru!$A:$A,"&lt;&gt;"&amp;"",Başvuru!$F:$F,"&lt;&gt;"&amp;""))</f>
        <v/>
      </c>
      <c r="L419" s="165" t="str">
        <f>IF(C419="","",COUNTIFS(Başvuru!$C:$C,C419,Başvuru!$L:$L,"KAEK",Başvuru!$A:$A,"&lt;&gt;"&amp;"",Başvuru!$F:$F,"&lt;&gt;"&amp;""))</f>
        <v/>
      </c>
      <c r="M419" s="166" t="str">
        <f>IF(C419="","",COUNTIFS(Başvuru!$C:$C,C419,Başvuru!$L:$L,"GÖRÜŞ",Başvuru!$A:$A,"&lt;&gt;"&amp;"",Başvuru!$F:$F,"&lt;&gt;"&amp;""))</f>
        <v/>
      </c>
      <c r="N419" s="167" t="str">
        <f>IF(C419="","",COUNTIFS(Başvuru!$C:$C,C419,Başvuru!$L:$L,"RET",Başvuru!$A:$A,"&lt;&gt;"&amp;"",Başvuru!$F:$F,"&lt;&gt;"&amp;""))</f>
        <v/>
      </c>
      <c r="O419" s="168" t="str">
        <f>IF(C419="","",COUNTIFS(Başvuru!$C:$C,C419,Başvuru!$L:$L,"KAPSAM DIŞI",Başvuru!$A:$A,"&lt;&gt;"&amp;"",Başvuru!$F:$F,"&lt;&gt;"&amp;""))</f>
        <v/>
      </c>
      <c r="P419" s="169" t="str">
        <f>IF(C419="","",COUNTIFS(Başvuru!$C:$C,C419,Başvuru!$L:$L,"GERİ ÇEKİLDİ",Başvuru!$A:$A,"&lt;&gt;"&amp;"",Başvuru!$F:$F,"&lt;&gt;"&amp;""))</f>
        <v/>
      </c>
      <c r="Q419" s="170" t="str">
        <f t="array" ref="Q419">IFERROR(INDEX(Başvuru!$C$2:$C$3000, MATCH(0, COUNTIF($Q$5:Q418, Başvuru!$C$2:$C$3000) + IF(Başvuru!$C$2:$C$3000="",1,0), 0)), "")</f>
        <v/>
      </c>
      <c r="R419" s="171" t="str">
        <f>IF(Q419="","",COUNTIFS(Başvuru!$C:$C,Q419,Başvuru!$A:$A,"&lt;&gt;"&amp;"",Başvuru!$F:$F,"&lt;&gt;"&amp;""))</f>
        <v/>
      </c>
      <c r="S419" s="171" t="str">
        <f>IF(R419="","",RANK(R419,$R$6:$R$505,0)+COUNTIF($R$6:R419,R419)-1)</f>
        <v/>
      </c>
    </row>
    <row r="420" spans="2:19" ht="23.25" customHeight="1" x14ac:dyDescent="0.25">
      <c r="B420" s="159">
        <v>415</v>
      </c>
      <c r="C420" s="160" t="str">
        <f>IFERROR(INDEX($Q$6:$Q$505,MATCH(415,$S$6:$S$505,0)),"")</f>
        <v/>
      </c>
      <c r="D420" s="161" t="str">
        <f>IF(C420="","",COUNTIFS(Başvuru!$C:$C,C420,Başvuru!$A:$A,"&lt;&gt;"&amp;"",Başvuru!$F:$F,"&lt;&gt;"&amp;""))</f>
        <v/>
      </c>
      <c r="E420" s="159" t="str">
        <f>IF(C420="","-",IF(D420&gt;0,TEXT(D420/(COUNTIFS(Başvuru!$A:$A,"&lt;&gt;",Başvuru!$F:$F,"&lt;&gt;")-1)*100,"0.0")&amp;"%","-"))</f>
        <v>-</v>
      </c>
      <c r="F420" s="162" t="str">
        <f>IF(C420="","",COUNTIFS(Başvuru!$C:$C,C420,Başvuru!$G:$G,"Bireysel Araştırma",Başvuru!$A:$A,"&lt;&gt;"&amp;"",Başvuru!$F:$F,"&lt;&gt;"&amp;""))</f>
        <v/>
      </c>
      <c r="G420" s="162" t="str">
        <f>IF(C420="","",COUNTIFS(Başvuru!$C:$C,C420,Başvuru!$G:$G,"Uzmanlık Tezi",Başvuru!$A:$A,"&lt;&gt;"&amp;"",Başvuru!$F:$F,"&lt;&gt;"&amp;""))</f>
        <v/>
      </c>
      <c r="H420" s="162" t="str">
        <f>IF(C420="","",COUNTIFS(Başvuru!$C:$C,C420,Başvuru!$G:$G,"Doktora Tezi",Başvuru!$A:$A,"&lt;&gt;"&amp;"",Başvuru!$F:$F,"&lt;&gt;"&amp;""))</f>
        <v/>
      </c>
      <c r="I420" s="162" t="str">
        <f>IF(C420="","",COUNTIFS(Başvuru!$C:$C,C420,Başvuru!$G:$G,"Yüksek Lisans Tezi",Başvuru!$A:$A,"&lt;&gt;"&amp;"",Başvuru!$F:$F,"&lt;&gt;"&amp;""))</f>
        <v/>
      </c>
      <c r="J420" s="163" t="str">
        <f>IF(C420="","",COUNTIFS(Başvuru!$C:$C,C420,Başvuru!$L:$L,"ONAY",Başvuru!$A:$A,"&lt;&gt;"&amp;"",Başvuru!$F:$F,"&lt;&gt;"&amp;""))</f>
        <v/>
      </c>
      <c r="K420" s="164" t="str">
        <f>IF(C420="","",COUNTIFS(Başvuru!$C:$C,C420,Başvuru!$L:$L,"DÜZELTME",Başvuru!$A:$A,"&lt;&gt;"&amp;"",Başvuru!$F:$F,"&lt;&gt;"&amp;""))</f>
        <v/>
      </c>
      <c r="L420" s="165" t="str">
        <f>IF(C420="","",COUNTIFS(Başvuru!$C:$C,C420,Başvuru!$L:$L,"KAEK",Başvuru!$A:$A,"&lt;&gt;"&amp;"",Başvuru!$F:$F,"&lt;&gt;"&amp;""))</f>
        <v/>
      </c>
      <c r="M420" s="166" t="str">
        <f>IF(C420="","",COUNTIFS(Başvuru!$C:$C,C420,Başvuru!$L:$L,"GÖRÜŞ",Başvuru!$A:$A,"&lt;&gt;"&amp;"",Başvuru!$F:$F,"&lt;&gt;"&amp;""))</f>
        <v/>
      </c>
      <c r="N420" s="167" t="str">
        <f>IF(C420="","",COUNTIFS(Başvuru!$C:$C,C420,Başvuru!$L:$L,"RET",Başvuru!$A:$A,"&lt;&gt;"&amp;"",Başvuru!$F:$F,"&lt;&gt;"&amp;""))</f>
        <v/>
      </c>
      <c r="O420" s="168" t="str">
        <f>IF(C420="","",COUNTIFS(Başvuru!$C:$C,C420,Başvuru!$L:$L,"KAPSAM DIŞI",Başvuru!$A:$A,"&lt;&gt;"&amp;"",Başvuru!$F:$F,"&lt;&gt;"&amp;""))</f>
        <v/>
      </c>
      <c r="P420" s="169" t="str">
        <f>IF(C420="","",COUNTIFS(Başvuru!$C:$C,C420,Başvuru!$L:$L,"GERİ ÇEKİLDİ",Başvuru!$A:$A,"&lt;&gt;"&amp;"",Başvuru!$F:$F,"&lt;&gt;"&amp;""))</f>
        <v/>
      </c>
      <c r="Q420" s="170" t="str">
        <f t="array" ref="Q420">IFERROR(INDEX(Başvuru!$C$2:$C$3000, MATCH(0, COUNTIF($Q$5:Q419, Başvuru!$C$2:$C$3000) + IF(Başvuru!$C$2:$C$3000="",1,0), 0)), "")</f>
        <v/>
      </c>
      <c r="R420" s="171" t="str">
        <f>IF(Q420="","",COUNTIFS(Başvuru!$C:$C,Q420,Başvuru!$A:$A,"&lt;&gt;"&amp;"",Başvuru!$F:$F,"&lt;&gt;"&amp;""))</f>
        <v/>
      </c>
      <c r="S420" s="171" t="str">
        <f>IF(R420="","",RANK(R420,$R$6:$R$505,0)+COUNTIF($R$6:R420,R420)-1)</f>
        <v/>
      </c>
    </row>
    <row r="421" spans="2:19" ht="23.25" customHeight="1" x14ac:dyDescent="0.25">
      <c r="B421" s="159">
        <v>416</v>
      </c>
      <c r="C421" s="160" t="str">
        <f>IFERROR(INDEX($Q$6:$Q$505,MATCH(416,$S$6:$S$505,0)),"")</f>
        <v/>
      </c>
      <c r="D421" s="161" t="str">
        <f>IF(C421="","",COUNTIFS(Başvuru!$C:$C,C421,Başvuru!$A:$A,"&lt;&gt;"&amp;"",Başvuru!$F:$F,"&lt;&gt;"&amp;""))</f>
        <v/>
      </c>
      <c r="E421" s="159" t="str">
        <f>IF(C421="","-",IF(D421&gt;0,TEXT(D421/(COUNTIFS(Başvuru!$A:$A,"&lt;&gt;",Başvuru!$F:$F,"&lt;&gt;")-1)*100,"0.0")&amp;"%","-"))</f>
        <v>-</v>
      </c>
      <c r="F421" s="162" t="str">
        <f>IF(C421="","",COUNTIFS(Başvuru!$C:$C,C421,Başvuru!$G:$G,"Bireysel Araştırma",Başvuru!$A:$A,"&lt;&gt;"&amp;"",Başvuru!$F:$F,"&lt;&gt;"&amp;""))</f>
        <v/>
      </c>
      <c r="G421" s="162" t="str">
        <f>IF(C421="","",COUNTIFS(Başvuru!$C:$C,C421,Başvuru!$G:$G,"Uzmanlık Tezi",Başvuru!$A:$A,"&lt;&gt;"&amp;"",Başvuru!$F:$F,"&lt;&gt;"&amp;""))</f>
        <v/>
      </c>
      <c r="H421" s="162" t="str">
        <f>IF(C421="","",COUNTIFS(Başvuru!$C:$C,C421,Başvuru!$G:$G,"Doktora Tezi",Başvuru!$A:$A,"&lt;&gt;"&amp;"",Başvuru!$F:$F,"&lt;&gt;"&amp;""))</f>
        <v/>
      </c>
      <c r="I421" s="162" t="str">
        <f>IF(C421="","",COUNTIFS(Başvuru!$C:$C,C421,Başvuru!$G:$G,"Yüksek Lisans Tezi",Başvuru!$A:$A,"&lt;&gt;"&amp;"",Başvuru!$F:$F,"&lt;&gt;"&amp;""))</f>
        <v/>
      </c>
      <c r="J421" s="163" t="str">
        <f>IF(C421="","",COUNTIFS(Başvuru!$C:$C,C421,Başvuru!$L:$L,"ONAY",Başvuru!$A:$A,"&lt;&gt;"&amp;"",Başvuru!$F:$F,"&lt;&gt;"&amp;""))</f>
        <v/>
      </c>
      <c r="K421" s="164" t="str">
        <f>IF(C421="","",COUNTIFS(Başvuru!$C:$C,C421,Başvuru!$L:$L,"DÜZELTME",Başvuru!$A:$A,"&lt;&gt;"&amp;"",Başvuru!$F:$F,"&lt;&gt;"&amp;""))</f>
        <v/>
      </c>
      <c r="L421" s="165" t="str">
        <f>IF(C421="","",COUNTIFS(Başvuru!$C:$C,C421,Başvuru!$L:$L,"KAEK",Başvuru!$A:$A,"&lt;&gt;"&amp;"",Başvuru!$F:$F,"&lt;&gt;"&amp;""))</f>
        <v/>
      </c>
      <c r="M421" s="166" t="str">
        <f>IF(C421="","",COUNTIFS(Başvuru!$C:$C,C421,Başvuru!$L:$L,"GÖRÜŞ",Başvuru!$A:$A,"&lt;&gt;"&amp;"",Başvuru!$F:$F,"&lt;&gt;"&amp;""))</f>
        <v/>
      </c>
      <c r="N421" s="167" t="str">
        <f>IF(C421="","",COUNTIFS(Başvuru!$C:$C,C421,Başvuru!$L:$L,"RET",Başvuru!$A:$A,"&lt;&gt;"&amp;"",Başvuru!$F:$F,"&lt;&gt;"&amp;""))</f>
        <v/>
      </c>
      <c r="O421" s="168" t="str">
        <f>IF(C421="","",COUNTIFS(Başvuru!$C:$C,C421,Başvuru!$L:$L,"KAPSAM DIŞI",Başvuru!$A:$A,"&lt;&gt;"&amp;"",Başvuru!$F:$F,"&lt;&gt;"&amp;""))</f>
        <v/>
      </c>
      <c r="P421" s="169" t="str">
        <f>IF(C421="","",COUNTIFS(Başvuru!$C:$C,C421,Başvuru!$L:$L,"GERİ ÇEKİLDİ",Başvuru!$A:$A,"&lt;&gt;"&amp;"",Başvuru!$F:$F,"&lt;&gt;"&amp;""))</f>
        <v/>
      </c>
      <c r="Q421" s="170" t="str">
        <f t="array" ref="Q421">IFERROR(INDEX(Başvuru!$C$2:$C$3000, MATCH(0, COUNTIF($Q$5:Q420, Başvuru!$C$2:$C$3000) + IF(Başvuru!$C$2:$C$3000="",1,0), 0)), "")</f>
        <v/>
      </c>
      <c r="R421" s="171" t="str">
        <f>IF(Q421="","",COUNTIFS(Başvuru!$C:$C,Q421,Başvuru!$A:$A,"&lt;&gt;"&amp;"",Başvuru!$F:$F,"&lt;&gt;"&amp;""))</f>
        <v/>
      </c>
      <c r="S421" s="171" t="str">
        <f>IF(R421="","",RANK(R421,$R$6:$R$505,0)+COUNTIF($R$6:R421,R421)-1)</f>
        <v/>
      </c>
    </row>
    <row r="422" spans="2:19" ht="23.25" customHeight="1" x14ac:dyDescent="0.25">
      <c r="B422" s="159">
        <v>417</v>
      </c>
      <c r="C422" s="160" t="str">
        <f>IFERROR(INDEX($Q$6:$Q$505,MATCH(417,$S$6:$S$505,0)),"")</f>
        <v/>
      </c>
      <c r="D422" s="161" t="str">
        <f>IF(C422="","",COUNTIFS(Başvuru!$C:$C,C422,Başvuru!$A:$A,"&lt;&gt;"&amp;"",Başvuru!$F:$F,"&lt;&gt;"&amp;""))</f>
        <v/>
      </c>
      <c r="E422" s="159" t="str">
        <f>IF(C422="","-",IF(D422&gt;0,TEXT(D422/(COUNTIFS(Başvuru!$A:$A,"&lt;&gt;",Başvuru!$F:$F,"&lt;&gt;")-1)*100,"0.0")&amp;"%","-"))</f>
        <v>-</v>
      </c>
      <c r="F422" s="162" t="str">
        <f>IF(C422="","",COUNTIFS(Başvuru!$C:$C,C422,Başvuru!$G:$G,"Bireysel Araştırma",Başvuru!$A:$A,"&lt;&gt;"&amp;"",Başvuru!$F:$F,"&lt;&gt;"&amp;""))</f>
        <v/>
      </c>
      <c r="G422" s="162" t="str">
        <f>IF(C422="","",COUNTIFS(Başvuru!$C:$C,C422,Başvuru!$G:$G,"Uzmanlık Tezi",Başvuru!$A:$A,"&lt;&gt;"&amp;"",Başvuru!$F:$F,"&lt;&gt;"&amp;""))</f>
        <v/>
      </c>
      <c r="H422" s="162" t="str">
        <f>IF(C422="","",COUNTIFS(Başvuru!$C:$C,C422,Başvuru!$G:$G,"Doktora Tezi",Başvuru!$A:$A,"&lt;&gt;"&amp;"",Başvuru!$F:$F,"&lt;&gt;"&amp;""))</f>
        <v/>
      </c>
      <c r="I422" s="162" t="str">
        <f>IF(C422="","",COUNTIFS(Başvuru!$C:$C,C422,Başvuru!$G:$G,"Yüksek Lisans Tezi",Başvuru!$A:$A,"&lt;&gt;"&amp;"",Başvuru!$F:$F,"&lt;&gt;"&amp;""))</f>
        <v/>
      </c>
      <c r="J422" s="163" t="str">
        <f>IF(C422="","",COUNTIFS(Başvuru!$C:$C,C422,Başvuru!$L:$L,"ONAY",Başvuru!$A:$A,"&lt;&gt;"&amp;"",Başvuru!$F:$F,"&lt;&gt;"&amp;""))</f>
        <v/>
      </c>
      <c r="K422" s="164" t="str">
        <f>IF(C422="","",COUNTIFS(Başvuru!$C:$C,C422,Başvuru!$L:$L,"DÜZELTME",Başvuru!$A:$A,"&lt;&gt;"&amp;"",Başvuru!$F:$F,"&lt;&gt;"&amp;""))</f>
        <v/>
      </c>
      <c r="L422" s="165" t="str">
        <f>IF(C422="","",COUNTIFS(Başvuru!$C:$C,C422,Başvuru!$L:$L,"KAEK",Başvuru!$A:$A,"&lt;&gt;"&amp;"",Başvuru!$F:$F,"&lt;&gt;"&amp;""))</f>
        <v/>
      </c>
      <c r="M422" s="166" t="str">
        <f>IF(C422="","",COUNTIFS(Başvuru!$C:$C,C422,Başvuru!$L:$L,"GÖRÜŞ",Başvuru!$A:$A,"&lt;&gt;"&amp;"",Başvuru!$F:$F,"&lt;&gt;"&amp;""))</f>
        <v/>
      </c>
      <c r="N422" s="167" t="str">
        <f>IF(C422="","",COUNTIFS(Başvuru!$C:$C,C422,Başvuru!$L:$L,"RET",Başvuru!$A:$A,"&lt;&gt;"&amp;"",Başvuru!$F:$F,"&lt;&gt;"&amp;""))</f>
        <v/>
      </c>
      <c r="O422" s="168" t="str">
        <f>IF(C422="","",COUNTIFS(Başvuru!$C:$C,C422,Başvuru!$L:$L,"KAPSAM DIŞI",Başvuru!$A:$A,"&lt;&gt;"&amp;"",Başvuru!$F:$F,"&lt;&gt;"&amp;""))</f>
        <v/>
      </c>
      <c r="P422" s="169" t="str">
        <f>IF(C422="","",COUNTIFS(Başvuru!$C:$C,C422,Başvuru!$L:$L,"GERİ ÇEKİLDİ",Başvuru!$A:$A,"&lt;&gt;"&amp;"",Başvuru!$F:$F,"&lt;&gt;"&amp;""))</f>
        <v/>
      </c>
      <c r="Q422" s="170" t="str">
        <f t="array" ref="Q422">IFERROR(INDEX(Başvuru!$C$2:$C$3000, MATCH(0, COUNTIF($Q$5:Q421, Başvuru!$C$2:$C$3000) + IF(Başvuru!$C$2:$C$3000="",1,0), 0)), "")</f>
        <v/>
      </c>
      <c r="R422" s="171" t="str">
        <f>IF(Q422="","",COUNTIFS(Başvuru!$C:$C,Q422,Başvuru!$A:$A,"&lt;&gt;"&amp;"",Başvuru!$F:$F,"&lt;&gt;"&amp;""))</f>
        <v/>
      </c>
      <c r="S422" s="171" t="str">
        <f>IF(R422="","",RANK(R422,$R$6:$R$505,0)+COUNTIF($R$6:R422,R422)-1)</f>
        <v/>
      </c>
    </row>
    <row r="423" spans="2:19" ht="23.25" customHeight="1" x14ac:dyDescent="0.25">
      <c r="B423" s="159">
        <v>418</v>
      </c>
      <c r="C423" s="160" t="str">
        <f>IFERROR(INDEX($Q$6:$Q$505,MATCH(418,$S$6:$S$505,0)),"")</f>
        <v/>
      </c>
      <c r="D423" s="161" t="str">
        <f>IF(C423="","",COUNTIFS(Başvuru!$C:$C,C423,Başvuru!$A:$A,"&lt;&gt;"&amp;"",Başvuru!$F:$F,"&lt;&gt;"&amp;""))</f>
        <v/>
      </c>
      <c r="E423" s="159" t="str">
        <f>IF(C423="","-",IF(D423&gt;0,TEXT(D423/(COUNTIFS(Başvuru!$A:$A,"&lt;&gt;",Başvuru!$F:$F,"&lt;&gt;")-1)*100,"0.0")&amp;"%","-"))</f>
        <v>-</v>
      </c>
      <c r="F423" s="162" t="str">
        <f>IF(C423="","",COUNTIFS(Başvuru!$C:$C,C423,Başvuru!$G:$G,"Bireysel Araştırma",Başvuru!$A:$A,"&lt;&gt;"&amp;"",Başvuru!$F:$F,"&lt;&gt;"&amp;""))</f>
        <v/>
      </c>
      <c r="G423" s="162" t="str">
        <f>IF(C423="","",COUNTIFS(Başvuru!$C:$C,C423,Başvuru!$G:$G,"Uzmanlık Tezi",Başvuru!$A:$A,"&lt;&gt;"&amp;"",Başvuru!$F:$F,"&lt;&gt;"&amp;""))</f>
        <v/>
      </c>
      <c r="H423" s="162" t="str">
        <f>IF(C423="","",COUNTIFS(Başvuru!$C:$C,C423,Başvuru!$G:$G,"Doktora Tezi",Başvuru!$A:$A,"&lt;&gt;"&amp;"",Başvuru!$F:$F,"&lt;&gt;"&amp;""))</f>
        <v/>
      </c>
      <c r="I423" s="162" t="str">
        <f>IF(C423="","",COUNTIFS(Başvuru!$C:$C,C423,Başvuru!$G:$G,"Yüksek Lisans Tezi",Başvuru!$A:$A,"&lt;&gt;"&amp;"",Başvuru!$F:$F,"&lt;&gt;"&amp;""))</f>
        <v/>
      </c>
      <c r="J423" s="163" t="str">
        <f>IF(C423="","",COUNTIFS(Başvuru!$C:$C,C423,Başvuru!$L:$L,"ONAY",Başvuru!$A:$A,"&lt;&gt;"&amp;"",Başvuru!$F:$F,"&lt;&gt;"&amp;""))</f>
        <v/>
      </c>
      <c r="K423" s="164" t="str">
        <f>IF(C423="","",COUNTIFS(Başvuru!$C:$C,C423,Başvuru!$L:$L,"DÜZELTME",Başvuru!$A:$A,"&lt;&gt;"&amp;"",Başvuru!$F:$F,"&lt;&gt;"&amp;""))</f>
        <v/>
      </c>
      <c r="L423" s="165" t="str">
        <f>IF(C423="","",COUNTIFS(Başvuru!$C:$C,C423,Başvuru!$L:$L,"KAEK",Başvuru!$A:$A,"&lt;&gt;"&amp;"",Başvuru!$F:$F,"&lt;&gt;"&amp;""))</f>
        <v/>
      </c>
      <c r="M423" s="166" t="str">
        <f>IF(C423="","",COUNTIFS(Başvuru!$C:$C,C423,Başvuru!$L:$L,"GÖRÜŞ",Başvuru!$A:$A,"&lt;&gt;"&amp;"",Başvuru!$F:$F,"&lt;&gt;"&amp;""))</f>
        <v/>
      </c>
      <c r="N423" s="167" t="str">
        <f>IF(C423="","",COUNTIFS(Başvuru!$C:$C,C423,Başvuru!$L:$L,"RET",Başvuru!$A:$A,"&lt;&gt;"&amp;"",Başvuru!$F:$F,"&lt;&gt;"&amp;""))</f>
        <v/>
      </c>
      <c r="O423" s="168" t="str">
        <f>IF(C423="","",COUNTIFS(Başvuru!$C:$C,C423,Başvuru!$L:$L,"KAPSAM DIŞI",Başvuru!$A:$A,"&lt;&gt;"&amp;"",Başvuru!$F:$F,"&lt;&gt;"&amp;""))</f>
        <v/>
      </c>
      <c r="P423" s="169" t="str">
        <f>IF(C423="","",COUNTIFS(Başvuru!$C:$C,C423,Başvuru!$L:$L,"GERİ ÇEKİLDİ",Başvuru!$A:$A,"&lt;&gt;"&amp;"",Başvuru!$F:$F,"&lt;&gt;"&amp;""))</f>
        <v/>
      </c>
      <c r="Q423" s="170" t="str">
        <f t="array" ref="Q423">IFERROR(INDEX(Başvuru!$C$2:$C$3000, MATCH(0, COUNTIF($Q$5:Q422, Başvuru!$C$2:$C$3000) + IF(Başvuru!$C$2:$C$3000="",1,0), 0)), "")</f>
        <v/>
      </c>
      <c r="R423" s="171" t="str">
        <f>IF(Q423="","",COUNTIFS(Başvuru!$C:$C,Q423,Başvuru!$A:$A,"&lt;&gt;"&amp;"",Başvuru!$F:$F,"&lt;&gt;"&amp;""))</f>
        <v/>
      </c>
      <c r="S423" s="171" t="str">
        <f>IF(R423="","",RANK(R423,$R$6:$R$505,0)+COUNTIF($R$6:R423,R423)-1)</f>
        <v/>
      </c>
    </row>
    <row r="424" spans="2:19" ht="23.25" customHeight="1" x14ac:dyDescent="0.25">
      <c r="B424" s="159">
        <v>419</v>
      </c>
      <c r="C424" s="160" t="str">
        <f>IFERROR(INDEX($Q$6:$Q$505,MATCH(419,$S$6:$S$505,0)),"")</f>
        <v/>
      </c>
      <c r="D424" s="161" t="str">
        <f>IF(C424="","",COUNTIFS(Başvuru!$C:$C,C424,Başvuru!$A:$A,"&lt;&gt;"&amp;"",Başvuru!$F:$F,"&lt;&gt;"&amp;""))</f>
        <v/>
      </c>
      <c r="E424" s="159" t="str">
        <f>IF(C424="","-",IF(D424&gt;0,TEXT(D424/(COUNTIFS(Başvuru!$A:$A,"&lt;&gt;",Başvuru!$F:$F,"&lt;&gt;")-1)*100,"0.0")&amp;"%","-"))</f>
        <v>-</v>
      </c>
      <c r="F424" s="162" t="str">
        <f>IF(C424="","",COUNTIFS(Başvuru!$C:$C,C424,Başvuru!$G:$G,"Bireysel Araştırma",Başvuru!$A:$A,"&lt;&gt;"&amp;"",Başvuru!$F:$F,"&lt;&gt;"&amp;""))</f>
        <v/>
      </c>
      <c r="G424" s="162" t="str">
        <f>IF(C424="","",COUNTIFS(Başvuru!$C:$C,C424,Başvuru!$G:$G,"Uzmanlık Tezi",Başvuru!$A:$A,"&lt;&gt;"&amp;"",Başvuru!$F:$F,"&lt;&gt;"&amp;""))</f>
        <v/>
      </c>
      <c r="H424" s="162" t="str">
        <f>IF(C424="","",COUNTIFS(Başvuru!$C:$C,C424,Başvuru!$G:$G,"Doktora Tezi",Başvuru!$A:$A,"&lt;&gt;"&amp;"",Başvuru!$F:$F,"&lt;&gt;"&amp;""))</f>
        <v/>
      </c>
      <c r="I424" s="162" t="str">
        <f>IF(C424="","",COUNTIFS(Başvuru!$C:$C,C424,Başvuru!$G:$G,"Yüksek Lisans Tezi",Başvuru!$A:$A,"&lt;&gt;"&amp;"",Başvuru!$F:$F,"&lt;&gt;"&amp;""))</f>
        <v/>
      </c>
      <c r="J424" s="163" t="str">
        <f>IF(C424="","",COUNTIFS(Başvuru!$C:$C,C424,Başvuru!$L:$L,"ONAY",Başvuru!$A:$A,"&lt;&gt;"&amp;"",Başvuru!$F:$F,"&lt;&gt;"&amp;""))</f>
        <v/>
      </c>
      <c r="K424" s="164" t="str">
        <f>IF(C424="","",COUNTIFS(Başvuru!$C:$C,C424,Başvuru!$L:$L,"DÜZELTME",Başvuru!$A:$A,"&lt;&gt;"&amp;"",Başvuru!$F:$F,"&lt;&gt;"&amp;""))</f>
        <v/>
      </c>
      <c r="L424" s="165" t="str">
        <f>IF(C424="","",COUNTIFS(Başvuru!$C:$C,C424,Başvuru!$L:$L,"KAEK",Başvuru!$A:$A,"&lt;&gt;"&amp;"",Başvuru!$F:$F,"&lt;&gt;"&amp;""))</f>
        <v/>
      </c>
      <c r="M424" s="166" t="str">
        <f>IF(C424="","",COUNTIFS(Başvuru!$C:$C,C424,Başvuru!$L:$L,"GÖRÜŞ",Başvuru!$A:$A,"&lt;&gt;"&amp;"",Başvuru!$F:$F,"&lt;&gt;"&amp;""))</f>
        <v/>
      </c>
      <c r="N424" s="167" t="str">
        <f>IF(C424="","",COUNTIFS(Başvuru!$C:$C,C424,Başvuru!$L:$L,"RET",Başvuru!$A:$A,"&lt;&gt;"&amp;"",Başvuru!$F:$F,"&lt;&gt;"&amp;""))</f>
        <v/>
      </c>
      <c r="O424" s="168" t="str">
        <f>IF(C424="","",COUNTIFS(Başvuru!$C:$C,C424,Başvuru!$L:$L,"KAPSAM DIŞI",Başvuru!$A:$A,"&lt;&gt;"&amp;"",Başvuru!$F:$F,"&lt;&gt;"&amp;""))</f>
        <v/>
      </c>
      <c r="P424" s="169" t="str">
        <f>IF(C424="","",COUNTIFS(Başvuru!$C:$C,C424,Başvuru!$L:$L,"GERİ ÇEKİLDİ",Başvuru!$A:$A,"&lt;&gt;"&amp;"",Başvuru!$F:$F,"&lt;&gt;"&amp;""))</f>
        <v/>
      </c>
      <c r="Q424" s="170" t="str">
        <f t="array" ref="Q424">IFERROR(INDEX(Başvuru!$C$2:$C$3000, MATCH(0, COUNTIF($Q$5:Q423, Başvuru!$C$2:$C$3000) + IF(Başvuru!$C$2:$C$3000="",1,0), 0)), "")</f>
        <v/>
      </c>
      <c r="R424" s="171" t="str">
        <f>IF(Q424="","",COUNTIFS(Başvuru!$C:$C,Q424,Başvuru!$A:$A,"&lt;&gt;"&amp;"",Başvuru!$F:$F,"&lt;&gt;"&amp;""))</f>
        <v/>
      </c>
      <c r="S424" s="171" t="str">
        <f>IF(R424="","",RANK(R424,$R$6:$R$505,0)+COUNTIF($R$6:R424,R424)-1)</f>
        <v/>
      </c>
    </row>
    <row r="425" spans="2:19" ht="23.25" customHeight="1" x14ac:dyDescent="0.25">
      <c r="B425" s="159">
        <v>420</v>
      </c>
      <c r="C425" s="160" t="str">
        <f>IFERROR(INDEX($Q$6:$Q$505,MATCH(420,$S$6:$S$505,0)),"")</f>
        <v/>
      </c>
      <c r="D425" s="161" t="str">
        <f>IF(C425="","",COUNTIFS(Başvuru!$C:$C,C425,Başvuru!$A:$A,"&lt;&gt;"&amp;"",Başvuru!$F:$F,"&lt;&gt;"&amp;""))</f>
        <v/>
      </c>
      <c r="E425" s="159" t="str">
        <f>IF(C425="","-",IF(D425&gt;0,TEXT(D425/(COUNTIFS(Başvuru!$A:$A,"&lt;&gt;",Başvuru!$F:$F,"&lt;&gt;")-1)*100,"0.0")&amp;"%","-"))</f>
        <v>-</v>
      </c>
      <c r="F425" s="162" t="str">
        <f>IF(C425="","",COUNTIFS(Başvuru!$C:$C,C425,Başvuru!$G:$G,"Bireysel Araştırma",Başvuru!$A:$A,"&lt;&gt;"&amp;"",Başvuru!$F:$F,"&lt;&gt;"&amp;""))</f>
        <v/>
      </c>
      <c r="G425" s="162" t="str">
        <f>IF(C425="","",COUNTIFS(Başvuru!$C:$C,C425,Başvuru!$G:$G,"Uzmanlık Tezi",Başvuru!$A:$A,"&lt;&gt;"&amp;"",Başvuru!$F:$F,"&lt;&gt;"&amp;""))</f>
        <v/>
      </c>
      <c r="H425" s="162" t="str">
        <f>IF(C425="","",COUNTIFS(Başvuru!$C:$C,C425,Başvuru!$G:$G,"Doktora Tezi",Başvuru!$A:$A,"&lt;&gt;"&amp;"",Başvuru!$F:$F,"&lt;&gt;"&amp;""))</f>
        <v/>
      </c>
      <c r="I425" s="162" t="str">
        <f>IF(C425="","",COUNTIFS(Başvuru!$C:$C,C425,Başvuru!$G:$G,"Yüksek Lisans Tezi",Başvuru!$A:$A,"&lt;&gt;"&amp;"",Başvuru!$F:$F,"&lt;&gt;"&amp;""))</f>
        <v/>
      </c>
      <c r="J425" s="163" t="str">
        <f>IF(C425="","",COUNTIFS(Başvuru!$C:$C,C425,Başvuru!$L:$L,"ONAY",Başvuru!$A:$A,"&lt;&gt;"&amp;"",Başvuru!$F:$F,"&lt;&gt;"&amp;""))</f>
        <v/>
      </c>
      <c r="K425" s="164" t="str">
        <f>IF(C425="","",COUNTIFS(Başvuru!$C:$C,C425,Başvuru!$L:$L,"DÜZELTME",Başvuru!$A:$A,"&lt;&gt;"&amp;"",Başvuru!$F:$F,"&lt;&gt;"&amp;""))</f>
        <v/>
      </c>
      <c r="L425" s="165" t="str">
        <f>IF(C425="","",COUNTIFS(Başvuru!$C:$C,C425,Başvuru!$L:$L,"KAEK",Başvuru!$A:$A,"&lt;&gt;"&amp;"",Başvuru!$F:$F,"&lt;&gt;"&amp;""))</f>
        <v/>
      </c>
      <c r="M425" s="166" t="str">
        <f>IF(C425="","",COUNTIFS(Başvuru!$C:$C,C425,Başvuru!$L:$L,"GÖRÜŞ",Başvuru!$A:$A,"&lt;&gt;"&amp;"",Başvuru!$F:$F,"&lt;&gt;"&amp;""))</f>
        <v/>
      </c>
      <c r="N425" s="167" t="str">
        <f>IF(C425="","",COUNTIFS(Başvuru!$C:$C,C425,Başvuru!$L:$L,"RET",Başvuru!$A:$A,"&lt;&gt;"&amp;"",Başvuru!$F:$F,"&lt;&gt;"&amp;""))</f>
        <v/>
      </c>
      <c r="O425" s="168" t="str">
        <f>IF(C425="","",COUNTIFS(Başvuru!$C:$C,C425,Başvuru!$L:$L,"KAPSAM DIŞI",Başvuru!$A:$A,"&lt;&gt;"&amp;"",Başvuru!$F:$F,"&lt;&gt;"&amp;""))</f>
        <v/>
      </c>
      <c r="P425" s="169" t="str">
        <f>IF(C425="","",COUNTIFS(Başvuru!$C:$C,C425,Başvuru!$L:$L,"GERİ ÇEKİLDİ",Başvuru!$A:$A,"&lt;&gt;"&amp;"",Başvuru!$F:$F,"&lt;&gt;"&amp;""))</f>
        <v/>
      </c>
      <c r="Q425" s="170" t="str">
        <f t="array" ref="Q425">IFERROR(INDEX(Başvuru!$C$2:$C$3000, MATCH(0, COUNTIF($Q$5:Q424, Başvuru!$C$2:$C$3000) + IF(Başvuru!$C$2:$C$3000="",1,0), 0)), "")</f>
        <v/>
      </c>
      <c r="R425" s="171" t="str">
        <f>IF(Q425="","",COUNTIFS(Başvuru!$C:$C,Q425,Başvuru!$A:$A,"&lt;&gt;"&amp;"",Başvuru!$F:$F,"&lt;&gt;"&amp;""))</f>
        <v/>
      </c>
      <c r="S425" s="171" t="str">
        <f>IF(R425="","",RANK(R425,$R$6:$R$505,0)+COUNTIF($R$6:R425,R425)-1)</f>
        <v/>
      </c>
    </row>
    <row r="426" spans="2:19" ht="23.25" customHeight="1" x14ac:dyDescent="0.25">
      <c r="B426" s="159">
        <v>421</v>
      </c>
      <c r="C426" s="160" t="str">
        <f>IFERROR(INDEX($Q$6:$Q$505,MATCH(421,$S$6:$S$505,0)),"")</f>
        <v/>
      </c>
      <c r="D426" s="161" t="str">
        <f>IF(C426="","",COUNTIFS(Başvuru!$C:$C,C426,Başvuru!$A:$A,"&lt;&gt;"&amp;"",Başvuru!$F:$F,"&lt;&gt;"&amp;""))</f>
        <v/>
      </c>
      <c r="E426" s="159" t="str">
        <f>IF(C426="","-",IF(D426&gt;0,TEXT(D426/(COUNTIFS(Başvuru!$A:$A,"&lt;&gt;",Başvuru!$F:$F,"&lt;&gt;")-1)*100,"0.0")&amp;"%","-"))</f>
        <v>-</v>
      </c>
      <c r="F426" s="162" t="str">
        <f>IF(C426="","",COUNTIFS(Başvuru!$C:$C,C426,Başvuru!$G:$G,"Bireysel Araştırma",Başvuru!$A:$A,"&lt;&gt;"&amp;"",Başvuru!$F:$F,"&lt;&gt;"&amp;""))</f>
        <v/>
      </c>
      <c r="G426" s="162" t="str">
        <f>IF(C426="","",COUNTIFS(Başvuru!$C:$C,C426,Başvuru!$G:$G,"Uzmanlık Tezi",Başvuru!$A:$A,"&lt;&gt;"&amp;"",Başvuru!$F:$F,"&lt;&gt;"&amp;""))</f>
        <v/>
      </c>
      <c r="H426" s="162" t="str">
        <f>IF(C426="","",COUNTIFS(Başvuru!$C:$C,C426,Başvuru!$G:$G,"Doktora Tezi",Başvuru!$A:$A,"&lt;&gt;"&amp;"",Başvuru!$F:$F,"&lt;&gt;"&amp;""))</f>
        <v/>
      </c>
      <c r="I426" s="162" t="str">
        <f>IF(C426="","",COUNTIFS(Başvuru!$C:$C,C426,Başvuru!$G:$G,"Yüksek Lisans Tezi",Başvuru!$A:$A,"&lt;&gt;"&amp;"",Başvuru!$F:$F,"&lt;&gt;"&amp;""))</f>
        <v/>
      </c>
      <c r="J426" s="163" t="str">
        <f>IF(C426="","",COUNTIFS(Başvuru!$C:$C,C426,Başvuru!$L:$L,"ONAY",Başvuru!$A:$A,"&lt;&gt;"&amp;"",Başvuru!$F:$F,"&lt;&gt;"&amp;""))</f>
        <v/>
      </c>
      <c r="K426" s="164" t="str">
        <f>IF(C426="","",COUNTIFS(Başvuru!$C:$C,C426,Başvuru!$L:$L,"DÜZELTME",Başvuru!$A:$A,"&lt;&gt;"&amp;"",Başvuru!$F:$F,"&lt;&gt;"&amp;""))</f>
        <v/>
      </c>
      <c r="L426" s="165" t="str">
        <f>IF(C426="","",COUNTIFS(Başvuru!$C:$C,C426,Başvuru!$L:$L,"KAEK",Başvuru!$A:$A,"&lt;&gt;"&amp;"",Başvuru!$F:$F,"&lt;&gt;"&amp;""))</f>
        <v/>
      </c>
      <c r="M426" s="166" t="str">
        <f>IF(C426="","",COUNTIFS(Başvuru!$C:$C,C426,Başvuru!$L:$L,"GÖRÜŞ",Başvuru!$A:$A,"&lt;&gt;"&amp;"",Başvuru!$F:$F,"&lt;&gt;"&amp;""))</f>
        <v/>
      </c>
      <c r="N426" s="167" t="str">
        <f>IF(C426="","",COUNTIFS(Başvuru!$C:$C,C426,Başvuru!$L:$L,"RET",Başvuru!$A:$A,"&lt;&gt;"&amp;"",Başvuru!$F:$F,"&lt;&gt;"&amp;""))</f>
        <v/>
      </c>
      <c r="O426" s="168" t="str">
        <f>IF(C426="","",COUNTIFS(Başvuru!$C:$C,C426,Başvuru!$L:$L,"KAPSAM DIŞI",Başvuru!$A:$A,"&lt;&gt;"&amp;"",Başvuru!$F:$F,"&lt;&gt;"&amp;""))</f>
        <v/>
      </c>
      <c r="P426" s="169" t="str">
        <f>IF(C426="","",COUNTIFS(Başvuru!$C:$C,C426,Başvuru!$L:$L,"GERİ ÇEKİLDİ",Başvuru!$A:$A,"&lt;&gt;"&amp;"",Başvuru!$F:$F,"&lt;&gt;"&amp;""))</f>
        <v/>
      </c>
      <c r="Q426" s="170" t="str">
        <f t="array" ref="Q426">IFERROR(INDEX(Başvuru!$C$2:$C$3000, MATCH(0, COUNTIF($Q$5:Q425, Başvuru!$C$2:$C$3000) + IF(Başvuru!$C$2:$C$3000="",1,0), 0)), "")</f>
        <v/>
      </c>
      <c r="R426" s="171" t="str">
        <f>IF(Q426="","",COUNTIFS(Başvuru!$C:$C,Q426,Başvuru!$A:$A,"&lt;&gt;"&amp;"",Başvuru!$F:$F,"&lt;&gt;"&amp;""))</f>
        <v/>
      </c>
      <c r="S426" s="171" t="str">
        <f>IF(R426="","",RANK(R426,$R$6:$R$505,0)+COUNTIF($R$6:R426,R426)-1)</f>
        <v/>
      </c>
    </row>
    <row r="427" spans="2:19" ht="23.25" customHeight="1" x14ac:dyDescent="0.25">
      <c r="B427" s="159">
        <v>422</v>
      </c>
      <c r="C427" s="160" t="str">
        <f>IFERROR(INDEX($Q$6:$Q$505,MATCH(422,$S$6:$S$505,0)),"")</f>
        <v/>
      </c>
      <c r="D427" s="161" t="str">
        <f>IF(C427="","",COUNTIFS(Başvuru!$C:$C,C427,Başvuru!$A:$A,"&lt;&gt;"&amp;"",Başvuru!$F:$F,"&lt;&gt;"&amp;""))</f>
        <v/>
      </c>
      <c r="E427" s="159" t="str">
        <f>IF(C427="","-",IF(D427&gt;0,TEXT(D427/(COUNTIFS(Başvuru!$A:$A,"&lt;&gt;",Başvuru!$F:$F,"&lt;&gt;")-1)*100,"0.0")&amp;"%","-"))</f>
        <v>-</v>
      </c>
      <c r="F427" s="162" t="str">
        <f>IF(C427="","",COUNTIFS(Başvuru!$C:$C,C427,Başvuru!$G:$G,"Bireysel Araştırma",Başvuru!$A:$A,"&lt;&gt;"&amp;"",Başvuru!$F:$F,"&lt;&gt;"&amp;""))</f>
        <v/>
      </c>
      <c r="G427" s="162" t="str">
        <f>IF(C427="","",COUNTIFS(Başvuru!$C:$C,C427,Başvuru!$G:$G,"Uzmanlık Tezi",Başvuru!$A:$A,"&lt;&gt;"&amp;"",Başvuru!$F:$F,"&lt;&gt;"&amp;""))</f>
        <v/>
      </c>
      <c r="H427" s="162" t="str">
        <f>IF(C427="","",COUNTIFS(Başvuru!$C:$C,C427,Başvuru!$G:$G,"Doktora Tezi",Başvuru!$A:$A,"&lt;&gt;"&amp;"",Başvuru!$F:$F,"&lt;&gt;"&amp;""))</f>
        <v/>
      </c>
      <c r="I427" s="162" t="str">
        <f>IF(C427="","",COUNTIFS(Başvuru!$C:$C,C427,Başvuru!$G:$G,"Yüksek Lisans Tezi",Başvuru!$A:$A,"&lt;&gt;"&amp;"",Başvuru!$F:$F,"&lt;&gt;"&amp;""))</f>
        <v/>
      </c>
      <c r="J427" s="163" t="str">
        <f>IF(C427="","",COUNTIFS(Başvuru!$C:$C,C427,Başvuru!$L:$L,"ONAY",Başvuru!$A:$A,"&lt;&gt;"&amp;"",Başvuru!$F:$F,"&lt;&gt;"&amp;""))</f>
        <v/>
      </c>
      <c r="K427" s="164" t="str">
        <f>IF(C427="","",COUNTIFS(Başvuru!$C:$C,C427,Başvuru!$L:$L,"DÜZELTME",Başvuru!$A:$A,"&lt;&gt;"&amp;"",Başvuru!$F:$F,"&lt;&gt;"&amp;""))</f>
        <v/>
      </c>
      <c r="L427" s="165" t="str">
        <f>IF(C427="","",COUNTIFS(Başvuru!$C:$C,C427,Başvuru!$L:$L,"KAEK",Başvuru!$A:$A,"&lt;&gt;"&amp;"",Başvuru!$F:$F,"&lt;&gt;"&amp;""))</f>
        <v/>
      </c>
      <c r="M427" s="166" t="str">
        <f>IF(C427="","",COUNTIFS(Başvuru!$C:$C,C427,Başvuru!$L:$L,"GÖRÜŞ",Başvuru!$A:$A,"&lt;&gt;"&amp;"",Başvuru!$F:$F,"&lt;&gt;"&amp;""))</f>
        <v/>
      </c>
      <c r="N427" s="167" t="str">
        <f>IF(C427="","",COUNTIFS(Başvuru!$C:$C,C427,Başvuru!$L:$L,"RET",Başvuru!$A:$A,"&lt;&gt;"&amp;"",Başvuru!$F:$F,"&lt;&gt;"&amp;""))</f>
        <v/>
      </c>
      <c r="O427" s="168" t="str">
        <f>IF(C427="","",COUNTIFS(Başvuru!$C:$C,C427,Başvuru!$L:$L,"KAPSAM DIŞI",Başvuru!$A:$A,"&lt;&gt;"&amp;"",Başvuru!$F:$F,"&lt;&gt;"&amp;""))</f>
        <v/>
      </c>
      <c r="P427" s="169" t="str">
        <f>IF(C427="","",COUNTIFS(Başvuru!$C:$C,C427,Başvuru!$L:$L,"GERİ ÇEKİLDİ",Başvuru!$A:$A,"&lt;&gt;"&amp;"",Başvuru!$F:$F,"&lt;&gt;"&amp;""))</f>
        <v/>
      </c>
      <c r="Q427" s="170" t="str">
        <f t="array" ref="Q427">IFERROR(INDEX(Başvuru!$C$2:$C$3000, MATCH(0, COUNTIF($Q$5:Q426, Başvuru!$C$2:$C$3000) + IF(Başvuru!$C$2:$C$3000="",1,0), 0)), "")</f>
        <v/>
      </c>
      <c r="R427" s="171" t="str">
        <f>IF(Q427="","",COUNTIFS(Başvuru!$C:$C,Q427,Başvuru!$A:$A,"&lt;&gt;"&amp;"",Başvuru!$F:$F,"&lt;&gt;"&amp;""))</f>
        <v/>
      </c>
      <c r="S427" s="171" t="str">
        <f>IF(R427="","",RANK(R427,$R$6:$R$505,0)+COUNTIF($R$6:R427,R427)-1)</f>
        <v/>
      </c>
    </row>
    <row r="428" spans="2:19" ht="23.25" customHeight="1" x14ac:dyDescent="0.25">
      <c r="B428" s="159">
        <v>423</v>
      </c>
      <c r="C428" s="160" t="str">
        <f>IFERROR(INDEX($Q$6:$Q$505,MATCH(423,$S$6:$S$505,0)),"")</f>
        <v/>
      </c>
      <c r="D428" s="161" t="str">
        <f>IF(C428="","",COUNTIFS(Başvuru!$C:$C,C428,Başvuru!$A:$A,"&lt;&gt;"&amp;"",Başvuru!$F:$F,"&lt;&gt;"&amp;""))</f>
        <v/>
      </c>
      <c r="E428" s="159" t="str">
        <f>IF(C428="","-",IF(D428&gt;0,TEXT(D428/(COUNTIFS(Başvuru!$A:$A,"&lt;&gt;",Başvuru!$F:$F,"&lt;&gt;")-1)*100,"0.0")&amp;"%","-"))</f>
        <v>-</v>
      </c>
      <c r="F428" s="162" t="str">
        <f>IF(C428="","",COUNTIFS(Başvuru!$C:$C,C428,Başvuru!$G:$G,"Bireysel Araştırma",Başvuru!$A:$A,"&lt;&gt;"&amp;"",Başvuru!$F:$F,"&lt;&gt;"&amp;""))</f>
        <v/>
      </c>
      <c r="G428" s="162" t="str">
        <f>IF(C428="","",COUNTIFS(Başvuru!$C:$C,C428,Başvuru!$G:$G,"Uzmanlık Tezi",Başvuru!$A:$A,"&lt;&gt;"&amp;"",Başvuru!$F:$F,"&lt;&gt;"&amp;""))</f>
        <v/>
      </c>
      <c r="H428" s="162" t="str">
        <f>IF(C428="","",COUNTIFS(Başvuru!$C:$C,C428,Başvuru!$G:$G,"Doktora Tezi",Başvuru!$A:$A,"&lt;&gt;"&amp;"",Başvuru!$F:$F,"&lt;&gt;"&amp;""))</f>
        <v/>
      </c>
      <c r="I428" s="162" t="str">
        <f>IF(C428="","",COUNTIFS(Başvuru!$C:$C,C428,Başvuru!$G:$G,"Yüksek Lisans Tezi",Başvuru!$A:$A,"&lt;&gt;"&amp;"",Başvuru!$F:$F,"&lt;&gt;"&amp;""))</f>
        <v/>
      </c>
      <c r="J428" s="163" t="str">
        <f>IF(C428="","",COUNTIFS(Başvuru!$C:$C,C428,Başvuru!$L:$L,"ONAY",Başvuru!$A:$A,"&lt;&gt;"&amp;"",Başvuru!$F:$F,"&lt;&gt;"&amp;""))</f>
        <v/>
      </c>
      <c r="K428" s="164" t="str">
        <f>IF(C428="","",COUNTIFS(Başvuru!$C:$C,C428,Başvuru!$L:$L,"DÜZELTME",Başvuru!$A:$A,"&lt;&gt;"&amp;"",Başvuru!$F:$F,"&lt;&gt;"&amp;""))</f>
        <v/>
      </c>
      <c r="L428" s="165" t="str">
        <f>IF(C428="","",COUNTIFS(Başvuru!$C:$C,C428,Başvuru!$L:$L,"KAEK",Başvuru!$A:$A,"&lt;&gt;"&amp;"",Başvuru!$F:$F,"&lt;&gt;"&amp;""))</f>
        <v/>
      </c>
      <c r="M428" s="166" t="str">
        <f>IF(C428="","",COUNTIFS(Başvuru!$C:$C,C428,Başvuru!$L:$L,"GÖRÜŞ",Başvuru!$A:$A,"&lt;&gt;"&amp;"",Başvuru!$F:$F,"&lt;&gt;"&amp;""))</f>
        <v/>
      </c>
      <c r="N428" s="167" t="str">
        <f>IF(C428="","",COUNTIFS(Başvuru!$C:$C,C428,Başvuru!$L:$L,"RET",Başvuru!$A:$A,"&lt;&gt;"&amp;"",Başvuru!$F:$F,"&lt;&gt;"&amp;""))</f>
        <v/>
      </c>
      <c r="O428" s="168" t="str">
        <f>IF(C428="","",COUNTIFS(Başvuru!$C:$C,C428,Başvuru!$L:$L,"KAPSAM DIŞI",Başvuru!$A:$A,"&lt;&gt;"&amp;"",Başvuru!$F:$F,"&lt;&gt;"&amp;""))</f>
        <v/>
      </c>
      <c r="P428" s="169" t="str">
        <f>IF(C428="","",COUNTIFS(Başvuru!$C:$C,C428,Başvuru!$L:$L,"GERİ ÇEKİLDİ",Başvuru!$A:$A,"&lt;&gt;"&amp;"",Başvuru!$F:$F,"&lt;&gt;"&amp;""))</f>
        <v/>
      </c>
      <c r="Q428" s="170" t="str">
        <f t="array" ref="Q428">IFERROR(INDEX(Başvuru!$C$2:$C$3000, MATCH(0, COUNTIF($Q$5:Q427, Başvuru!$C$2:$C$3000) + IF(Başvuru!$C$2:$C$3000="",1,0), 0)), "")</f>
        <v/>
      </c>
      <c r="R428" s="171" t="str">
        <f>IF(Q428="","",COUNTIFS(Başvuru!$C:$C,Q428,Başvuru!$A:$A,"&lt;&gt;"&amp;"",Başvuru!$F:$F,"&lt;&gt;"&amp;""))</f>
        <v/>
      </c>
      <c r="S428" s="171" t="str">
        <f>IF(R428="","",RANK(R428,$R$6:$R$505,0)+COUNTIF($R$6:R428,R428)-1)</f>
        <v/>
      </c>
    </row>
    <row r="429" spans="2:19" ht="23.25" customHeight="1" x14ac:dyDescent="0.25">
      <c r="B429" s="159">
        <v>424</v>
      </c>
      <c r="C429" s="160" t="str">
        <f>IFERROR(INDEX($Q$6:$Q$505,MATCH(424,$S$6:$S$505,0)),"")</f>
        <v/>
      </c>
      <c r="D429" s="161" t="str">
        <f>IF(C429="","",COUNTIFS(Başvuru!$C:$C,C429,Başvuru!$A:$A,"&lt;&gt;"&amp;"",Başvuru!$F:$F,"&lt;&gt;"&amp;""))</f>
        <v/>
      </c>
      <c r="E429" s="159" t="str">
        <f>IF(C429="","-",IF(D429&gt;0,TEXT(D429/(COUNTIFS(Başvuru!$A:$A,"&lt;&gt;",Başvuru!$F:$F,"&lt;&gt;")-1)*100,"0.0")&amp;"%","-"))</f>
        <v>-</v>
      </c>
      <c r="F429" s="162" t="str">
        <f>IF(C429="","",COUNTIFS(Başvuru!$C:$C,C429,Başvuru!$G:$G,"Bireysel Araştırma",Başvuru!$A:$A,"&lt;&gt;"&amp;"",Başvuru!$F:$F,"&lt;&gt;"&amp;""))</f>
        <v/>
      </c>
      <c r="G429" s="162" t="str">
        <f>IF(C429="","",COUNTIFS(Başvuru!$C:$C,C429,Başvuru!$G:$G,"Uzmanlık Tezi",Başvuru!$A:$A,"&lt;&gt;"&amp;"",Başvuru!$F:$F,"&lt;&gt;"&amp;""))</f>
        <v/>
      </c>
      <c r="H429" s="162" t="str">
        <f>IF(C429="","",COUNTIFS(Başvuru!$C:$C,C429,Başvuru!$G:$G,"Doktora Tezi",Başvuru!$A:$A,"&lt;&gt;"&amp;"",Başvuru!$F:$F,"&lt;&gt;"&amp;""))</f>
        <v/>
      </c>
      <c r="I429" s="162" t="str">
        <f>IF(C429="","",COUNTIFS(Başvuru!$C:$C,C429,Başvuru!$G:$G,"Yüksek Lisans Tezi",Başvuru!$A:$A,"&lt;&gt;"&amp;"",Başvuru!$F:$F,"&lt;&gt;"&amp;""))</f>
        <v/>
      </c>
      <c r="J429" s="163" t="str">
        <f>IF(C429="","",COUNTIFS(Başvuru!$C:$C,C429,Başvuru!$L:$L,"ONAY",Başvuru!$A:$A,"&lt;&gt;"&amp;"",Başvuru!$F:$F,"&lt;&gt;"&amp;""))</f>
        <v/>
      </c>
      <c r="K429" s="164" t="str">
        <f>IF(C429="","",COUNTIFS(Başvuru!$C:$C,C429,Başvuru!$L:$L,"DÜZELTME",Başvuru!$A:$A,"&lt;&gt;"&amp;"",Başvuru!$F:$F,"&lt;&gt;"&amp;""))</f>
        <v/>
      </c>
      <c r="L429" s="165" t="str">
        <f>IF(C429="","",COUNTIFS(Başvuru!$C:$C,C429,Başvuru!$L:$L,"KAEK",Başvuru!$A:$A,"&lt;&gt;"&amp;"",Başvuru!$F:$F,"&lt;&gt;"&amp;""))</f>
        <v/>
      </c>
      <c r="M429" s="166" t="str">
        <f>IF(C429="","",COUNTIFS(Başvuru!$C:$C,C429,Başvuru!$L:$L,"GÖRÜŞ",Başvuru!$A:$A,"&lt;&gt;"&amp;"",Başvuru!$F:$F,"&lt;&gt;"&amp;""))</f>
        <v/>
      </c>
      <c r="N429" s="167" t="str">
        <f>IF(C429="","",COUNTIFS(Başvuru!$C:$C,C429,Başvuru!$L:$L,"RET",Başvuru!$A:$A,"&lt;&gt;"&amp;"",Başvuru!$F:$F,"&lt;&gt;"&amp;""))</f>
        <v/>
      </c>
      <c r="O429" s="168" t="str">
        <f>IF(C429="","",COUNTIFS(Başvuru!$C:$C,C429,Başvuru!$L:$L,"KAPSAM DIŞI",Başvuru!$A:$A,"&lt;&gt;"&amp;"",Başvuru!$F:$F,"&lt;&gt;"&amp;""))</f>
        <v/>
      </c>
      <c r="P429" s="169" t="str">
        <f>IF(C429="","",COUNTIFS(Başvuru!$C:$C,C429,Başvuru!$L:$L,"GERİ ÇEKİLDİ",Başvuru!$A:$A,"&lt;&gt;"&amp;"",Başvuru!$F:$F,"&lt;&gt;"&amp;""))</f>
        <v/>
      </c>
      <c r="Q429" s="170" t="str">
        <f t="array" ref="Q429">IFERROR(INDEX(Başvuru!$C$2:$C$3000, MATCH(0, COUNTIF($Q$5:Q428, Başvuru!$C$2:$C$3000) + IF(Başvuru!$C$2:$C$3000="",1,0), 0)), "")</f>
        <v/>
      </c>
      <c r="R429" s="171" t="str">
        <f>IF(Q429="","",COUNTIFS(Başvuru!$C:$C,Q429,Başvuru!$A:$A,"&lt;&gt;"&amp;"",Başvuru!$F:$F,"&lt;&gt;"&amp;""))</f>
        <v/>
      </c>
      <c r="S429" s="171" t="str">
        <f>IF(R429="","",RANK(R429,$R$6:$R$505,0)+COUNTIF($R$6:R429,R429)-1)</f>
        <v/>
      </c>
    </row>
    <row r="430" spans="2:19" ht="23.25" customHeight="1" x14ac:dyDescent="0.25">
      <c r="B430" s="159">
        <v>425</v>
      </c>
      <c r="C430" s="160" t="str">
        <f>IFERROR(INDEX($Q$6:$Q$505,MATCH(425,$S$6:$S$505,0)),"")</f>
        <v/>
      </c>
      <c r="D430" s="161" t="str">
        <f>IF(C430="","",COUNTIFS(Başvuru!$C:$C,C430,Başvuru!$A:$A,"&lt;&gt;"&amp;"",Başvuru!$F:$F,"&lt;&gt;"&amp;""))</f>
        <v/>
      </c>
      <c r="E430" s="159" t="str">
        <f>IF(C430="","-",IF(D430&gt;0,TEXT(D430/(COUNTIFS(Başvuru!$A:$A,"&lt;&gt;",Başvuru!$F:$F,"&lt;&gt;")-1)*100,"0.0")&amp;"%","-"))</f>
        <v>-</v>
      </c>
      <c r="F430" s="162" t="str">
        <f>IF(C430="","",COUNTIFS(Başvuru!$C:$C,C430,Başvuru!$G:$G,"Bireysel Araştırma",Başvuru!$A:$A,"&lt;&gt;"&amp;"",Başvuru!$F:$F,"&lt;&gt;"&amp;""))</f>
        <v/>
      </c>
      <c r="G430" s="162" t="str">
        <f>IF(C430="","",COUNTIFS(Başvuru!$C:$C,C430,Başvuru!$G:$G,"Uzmanlık Tezi",Başvuru!$A:$A,"&lt;&gt;"&amp;"",Başvuru!$F:$F,"&lt;&gt;"&amp;""))</f>
        <v/>
      </c>
      <c r="H430" s="162" t="str">
        <f>IF(C430="","",COUNTIFS(Başvuru!$C:$C,C430,Başvuru!$G:$G,"Doktora Tezi",Başvuru!$A:$A,"&lt;&gt;"&amp;"",Başvuru!$F:$F,"&lt;&gt;"&amp;""))</f>
        <v/>
      </c>
      <c r="I430" s="162" t="str">
        <f>IF(C430="","",COUNTIFS(Başvuru!$C:$C,C430,Başvuru!$G:$G,"Yüksek Lisans Tezi",Başvuru!$A:$A,"&lt;&gt;"&amp;"",Başvuru!$F:$F,"&lt;&gt;"&amp;""))</f>
        <v/>
      </c>
      <c r="J430" s="163" t="str">
        <f>IF(C430="","",COUNTIFS(Başvuru!$C:$C,C430,Başvuru!$L:$L,"ONAY",Başvuru!$A:$A,"&lt;&gt;"&amp;"",Başvuru!$F:$F,"&lt;&gt;"&amp;""))</f>
        <v/>
      </c>
      <c r="K430" s="164" t="str">
        <f>IF(C430="","",COUNTIFS(Başvuru!$C:$C,C430,Başvuru!$L:$L,"DÜZELTME",Başvuru!$A:$A,"&lt;&gt;"&amp;"",Başvuru!$F:$F,"&lt;&gt;"&amp;""))</f>
        <v/>
      </c>
      <c r="L430" s="165" t="str">
        <f>IF(C430="","",COUNTIFS(Başvuru!$C:$C,C430,Başvuru!$L:$L,"KAEK",Başvuru!$A:$A,"&lt;&gt;"&amp;"",Başvuru!$F:$F,"&lt;&gt;"&amp;""))</f>
        <v/>
      </c>
      <c r="M430" s="166" t="str">
        <f>IF(C430="","",COUNTIFS(Başvuru!$C:$C,C430,Başvuru!$L:$L,"GÖRÜŞ",Başvuru!$A:$A,"&lt;&gt;"&amp;"",Başvuru!$F:$F,"&lt;&gt;"&amp;""))</f>
        <v/>
      </c>
      <c r="N430" s="167" t="str">
        <f>IF(C430="","",COUNTIFS(Başvuru!$C:$C,C430,Başvuru!$L:$L,"RET",Başvuru!$A:$A,"&lt;&gt;"&amp;"",Başvuru!$F:$F,"&lt;&gt;"&amp;""))</f>
        <v/>
      </c>
      <c r="O430" s="168" t="str">
        <f>IF(C430="","",COUNTIFS(Başvuru!$C:$C,C430,Başvuru!$L:$L,"KAPSAM DIŞI",Başvuru!$A:$A,"&lt;&gt;"&amp;"",Başvuru!$F:$F,"&lt;&gt;"&amp;""))</f>
        <v/>
      </c>
      <c r="P430" s="169" t="str">
        <f>IF(C430="","",COUNTIFS(Başvuru!$C:$C,C430,Başvuru!$L:$L,"GERİ ÇEKİLDİ",Başvuru!$A:$A,"&lt;&gt;"&amp;"",Başvuru!$F:$F,"&lt;&gt;"&amp;""))</f>
        <v/>
      </c>
      <c r="Q430" s="170" t="str">
        <f t="array" ref="Q430">IFERROR(INDEX(Başvuru!$C$2:$C$3000, MATCH(0, COUNTIF($Q$5:Q429, Başvuru!$C$2:$C$3000) + IF(Başvuru!$C$2:$C$3000="",1,0), 0)), "")</f>
        <v/>
      </c>
      <c r="R430" s="171" t="str">
        <f>IF(Q430="","",COUNTIFS(Başvuru!$C:$C,Q430,Başvuru!$A:$A,"&lt;&gt;"&amp;"",Başvuru!$F:$F,"&lt;&gt;"&amp;""))</f>
        <v/>
      </c>
      <c r="S430" s="171" t="str">
        <f>IF(R430="","",RANK(R430,$R$6:$R$505,0)+COUNTIF($R$6:R430,R430)-1)</f>
        <v/>
      </c>
    </row>
    <row r="431" spans="2:19" ht="23.25" customHeight="1" x14ac:dyDescent="0.25">
      <c r="B431" s="159">
        <v>426</v>
      </c>
      <c r="C431" s="160" t="str">
        <f>IFERROR(INDEX($Q$6:$Q$505,MATCH(426,$S$6:$S$505,0)),"")</f>
        <v/>
      </c>
      <c r="D431" s="161" t="str">
        <f>IF(C431="","",COUNTIFS(Başvuru!$C:$C,C431,Başvuru!$A:$A,"&lt;&gt;"&amp;"",Başvuru!$F:$F,"&lt;&gt;"&amp;""))</f>
        <v/>
      </c>
      <c r="E431" s="159" t="str">
        <f>IF(C431="","-",IF(D431&gt;0,TEXT(D431/(COUNTIFS(Başvuru!$A:$A,"&lt;&gt;",Başvuru!$F:$F,"&lt;&gt;")-1)*100,"0.0")&amp;"%","-"))</f>
        <v>-</v>
      </c>
      <c r="F431" s="162" t="str">
        <f>IF(C431="","",COUNTIFS(Başvuru!$C:$C,C431,Başvuru!$G:$G,"Bireysel Araştırma",Başvuru!$A:$A,"&lt;&gt;"&amp;"",Başvuru!$F:$F,"&lt;&gt;"&amp;""))</f>
        <v/>
      </c>
      <c r="G431" s="162" t="str">
        <f>IF(C431="","",COUNTIFS(Başvuru!$C:$C,C431,Başvuru!$G:$G,"Uzmanlık Tezi",Başvuru!$A:$A,"&lt;&gt;"&amp;"",Başvuru!$F:$F,"&lt;&gt;"&amp;""))</f>
        <v/>
      </c>
      <c r="H431" s="162" t="str">
        <f>IF(C431="","",COUNTIFS(Başvuru!$C:$C,C431,Başvuru!$G:$G,"Doktora Tezi",Başvuru!$A:$A,"&lt;&gt;"&amp;"",Başvuru!$F:$F,"&lt;&gt;"&amp;""))</f>
        <v/>
      </c>
      <c r="I431" s="162" t="str">
        <f>IF(C431="","",COUNTIFS(Başvuru!$C:$C,C431,Başvuru!$G:$G,"Yüksek Lisans Tezi",Başvuru!$A:$A,"&lt;&gt;"&amp;"",Başvuru!$F:$F,"&lt;&gt;"&amp;""))</f>
        <v/>
      </c>
      <c r="J431" s="163" t="str">
        <f>IF(C431="","",COUNTIFS(Başvuru!$C:$C,C431,Başvuru!$L:$L,"ONAY",Başvuru!$A:$A,"&lt;&gt;"&amp;"",Başvuru!$F:$F,"&lt;&gt;"&amp;""))</f>
        <v/>
      </c>
      <c r="K431" s="164" t="str">
        <f>IF(C431="","",COUNTIFS(Başvuru!$C:$C,C431,Başvuru!$L:$L,"DÜZELTME",Başvuru!$A:$A,"&lt;&gt;"&amp;"",Başvuru!$F:$F,"&lt;&gt;"&amp;""))</f>
        <v/>
      </c>
      <c r="L431" s="165" t="str">
        <f>IF(C431="","",COUNTIFS(Başvuru!$C:$C,C431,Başvuru!$L:$L,"KAEK",Başvuru!$A:$A,"&lt;&gt;"&amp;"",Başvuru!$F:$F,"&lt;&gt;"&amp;""))</f>
        <v/>
      </c>
      <c r="M431" s="166" t="str">
        <f>IF(C431="","",COUNTIFS(Başvuru!$C:$C,C431,Başvuru!$L:$L,"GÖRÜŞ",Başvuru!$A:$A,"&lt;&gt;"&amp;"",Başvuru!$F:$F,"&lt;&gt;"&amp;""))</f>
        <v/>
      </c>
      <c r="N431" s="167" t="str">
        <f>IF(C431="","",COUNTIFS(Başvuru!$C:$C,C431,Başvuru!$L:$L,"RET",Başvuru!$A:$A,"&lt;&gt;"&amp;"",Başvuru!$F:$F,"&lt;&gt;"&amp;""))</f>
        <v/>
      </c>
      <c r="O431" s="168" t="str">
        <f>IF(C431="","",COUNTIFS(Başvuru!$C:$C,C431,Başvuru!$L:$L,"KAPSAM DIŞI",Başvuru!$A:$A,"&lt;&gt;"&amp;"",Başvuru!$F:$F,"&lt;&gt;"&amp;""))</f>
        <v/>
      </c>
      <c r="P431" s="169" t="str">
        <f>IF(C431="","",COUNTIFS(Başvuru!$C:$C,C431,Başvuru!$L:$L,"GERİ ÇEKİLDİ",Başvuru!$A:$A,"&lt;&gt;"&amp;"",Başvuru!$F:$F,"&lt;&gt;"&amp;""))</f>
        <v/>
      </c>
      <c r="Q431" s="170" t="str">
        <f t="array" ref="Q431">IFERROR(INDEX(Başvuru!$C$2:$C$3000, MATCH(0, COUNTIF($Q$5:Q430, Başvuru!$C$2:$C$3000) + IF(Başvuru!$C$2:$C$3000="",1,0), 0)), "")</f>
        <v/>
      </c>
      <c r="R431" s="171" t="str">
        <f>IF(Q431="","",COUNTIFS(Başvuru!$C:$C,Q431,Başvuru!$A:$A,"&lt;&gt;"&amp;"",Başvuru!$F:$F,"&lt;&gt;"&amp;""))</f>
        <v/>
      </c>
      <c r="S431" s="171" t="str">
        <f>IF(R431="","",RANK(R431,$R$6:$R$505,0)+COUNTIF($R$6:R431,R431)-1)</f>
        <v/>
      </c>
    </row>
    <row r="432" spans="2:19" ht="23.25" customHeight="1" x14ac:dyDescent="0.25">
      <c r="B432" s="159">
        <v>427</v>
      </c>
      <c r="C432" s="160" t="str">
        <f>IFERROR(INDEX($Q$6:$Q$505,MATCH(427,$S$6:$S$505,0)),"")</f>
        <v/>
      </c>
      <c r="D432" s="161" t="str">
        <f>IF(C432="","",COUNTIFS(Başvuru!$C:$C,C432,Başvuru!$A:$A,"&lt;&gt;"&amp;"",Başvuru!$F:$F,"&lt;&gt;"&amp;""))</f>
        <v/>
      </c>
      <c r="E432" s="159" t="str">
        <f>IF(C432="","-",IF(D432&gt;0,TEXT(D432/(COUNTIFS(Başvuru!$A:$A,"&lt;&gt;",Başvuru!$F:$F,"&lt;&gt;")-1)*100,"0.0")&amp;"%","-"))</f>
        <v>-</v>
      </c>
      <c r="F432" s="162" t="str">
        <f>IF(C432="","",COUNTIFS(Başvuru!$C:$C,C432,Başvuru!$G:$G,"Bireysel Araştırma",Başvuru!$A:$A,"&lt;&gt;"&amp;"",Başvuru!$F:$F,"&lt;&gt;"&amp;""))</f>
        <v/>
      </c>
      <c r="G432" s="162" t="str">
        <f>IF(C432="","",COUNTIFS(Başvuru!$C:$C,C432,Başvuru!$G:$G,"Uzmanlık Tezi",Başvuru!$A:$A,"&lt;&gt;"&amp;"",Başvuru!$F:$F,"&lt;&gt;"&amp;""))</f>
        <v/>
      </c>
      <c r="H432" s="162" t="str">
        <f>IF(C432="","",COUNTIFS(Başvuru!$C:$C,C432,Başvuru!$G:$G,"Doktora Tezi",Başvuru!$A:$A,"&lt;&gt;"&amp;"",Başvuru!$F:$F,"&lt;&gt;"&amp;""))</f>
        <v/>
      </c>
      <c r="I432" s="162" t="str">
        <f>IF(C432="","",COUNTIFS(Başvuru!$C:$C,C432,Başvuru!$G:$G,"Yüksek Lisans Tezi",Başvuru!$A:$A,"&lt;&gt;"&amp;"",Başvuru!$F:$F,"&lt;&gt;"&amp;""))</f>
        <v/>
      </c>
      <c r="J432" s="163" t="str">
        <f>IF(C432="","",COUNTIFS(Başvuru!$C:$C,C432,Başvuru!$L:$L,"ONAY",Başvuru!$A:$A,"&lt;&gt;"&amp;"",Başvuru!$F:$F,"&lt;&gt;"&amp;""))</f>
        <v/>
      </c>
      <c r="K432" s="164" t="str">
        <f>IF(C432="","",COUNTIFS(Başvuru!$C:$C,C432,Başvuru!$L:$L,"DÜZELTME",Başvuru!$A:$A,"&lt;&gt;"&amp;"",Başvuru!$F:$F,"&lt;&gt;"&amp;""))</f>
        <v/>
      </c>
      <c r="L432" s="165" t="str">
        <f>IF(C432="","",COUNTIFS(Başvuru!$C:$C,C432,Başvuru!$L:$L,"KAEK",Başvuru!$A:$A,"&lt;&gt;"&amp;"",Başvuru!$F:$F,"&lt;&gt;"&amp;""))</f>
        <v/>
      </c>
      <c r="M432" s="166" t="str">
        <f>IF(C432="","",COUNTIFS(Başvuru!$C:$C,C432,Başvuru!$L:$L,"GÖRÜŞ",Başvuru!$A:$A,"&lt;&gt;"&amp;"",Başvuru!$F:$F,"&lt;&gt;"&amp;""))</f>
        <v/>
      </c>
      <c r="N432" s="167" t="str">
        <f>IF(C432="","",COUNTIFS(Başvuru!$C:$C,C432,Başvuru!$L:$L,"RET",Başvuru!$A:$A,"&lt;&gt;"&amp;"",Başvuru!$F:$F,"&lt;&gt;"&amp;""))</f>
        <v/>
      </c>
      <c r="O432" s="168" t="str">
        <f>IF(C432="","",COUNTIFS(Başvuru!$C:$C,C432,Başvuru!$L:$L,"KAPSAM DIŞI",Başvuru!$A:$A,"&lt;&gt;"&amp;"",Başvuru!$F:$F,"&lt;&gt;"&amp;""))</f>
        <v/>
      </c>
      <c r="P432" s="169" t="str">
        <f>IF(C432="","",COUNTIFS(Başvuru!$C:$C,C432,Başvuru!$L:$L,"GERİ ÇEKİLDİ",Başvuru!$A:$A,"&lt;&gt;"&amp;"",Başvuru!$F:$F,"&lt;&gt;"&amp;""))</f>
        <v/>
      </c>
      <c r="Q432" s="170" t="str">
        <f t="array" ref="Q432">IFERROR(INDEX(Başvuru!$C$2:$C$3000, MATCH(0, COUNTIF($Q$5:Q431, Başvuru!$C$2:$C$3000) + IF(Başvuru!$C$2:$C$3000="",1,0), 0)), "")</f>
        <v/>
      </c>
      <c r="R432" s="171" t="str">
        <f>IF(Q432="","",COUNTIFS(Başvuru!$C:$C,Q432,Başvuru!$A:$A,"&lt;&gt;"&amp;"",Başvuru!$F:$F,"&lt;&gt;"&amp;""))</f>
        <v/>
      </c>
      <c r="S432" s="171" t="str">
        <f>IF(R432="","",RANK(R432,$R$6:$R$505,0)+COUNTIF($R$6:R432,R432)-1)</f>
        <v/>
      </c>
    </row>
    <row r="433" spans="2:19" ht="23.25" customHeight="1" x14ac:dyDescent="0.25">
      <c r="B433" s="159">
        <v>428</v>
      </c>
      <c r="C433" s="160" t="str">
        <f>IFERROR(INDEX($Q$6:$Q$505,MATCH(428,$S$6:$S$505,0)),"")</f>
        <v/>
      </c>
      <c r="D433" s="161" t="str">
        <f>IF(C433="","",COUNTIFS(Başvuru!$C:$C,C433,Başvuru!$A:$A,"&lt;&gt;"&amp;"",Başvuru!$F:$F,"&lt;&gt;"&amp;""))</f>
        <v/>
      </c>
      <c r="E433" s="159" t="str">
        <f>IF(C433="","-",IF(D433&gt;0,TEXT(D433/(COUNTIFS(Başvuru!$A:$A,"&lt;&gt;",Başvuru!$F:$F,"&lt;&gt;")-1)*100,"0.0")&amp;"%","-"))</f>
        <v>-</v>
      </c>
      <c r="F433" s="162" t="str">
        <f>IF(C433="","",COUNTIFS(Başvuru!$C:$C,C433,Başvuru!$G:$G,"Bireysel Araştırma",Başvuru!$A:$A,"&lt;&gt;"&amp;"",Başvuru!$F:$F,"&lt;&gt;"&amp;""))</f>
        <v/>
      </c>
      <c r="G433" s="162" t="str">
        <f>IF(C433="","",COUNTIFS(Başvuru!$C:$C,C433,Başvuru!$G:$G,"Uzmanlık Tezi",Başvuru!$A:$A,"&lt;&gt;"&amp;"",Başvuru!$F:$F,"&lt;&gt;"&amp;""))</f>
        <v/>
      </c>
      <c r="H433" s="162" t="str">
        <f>IF(C433="","",COUNTIFS(Başvuru!$C:$C,C433,Başvuru!$G:$G,"Doktora Tezi",Başvuru!$A:$A,"&lt;&gt;"&amp;"",Başvuru!$F:$F,"&lt;&gt;"&amp;""))</f>
        <v/>
      </c>
      <c r="I433" s="162" t="str">
        <f>IF(C433="","",COUNTIFS(Başvuru!$C:$C,C433,Başvuru!$G:$G,"Yüksek Lisans Tezi",Başvuru!$A:$A,"&lt;&gt;"&amp;"",Başvuru!$F:$F,"&lt;&gt;"&amp;""))</f>
        <v/>
      </c>
      <c r="J433" s="163" t="str">
        <f>IF(C433="","",COUNTIFS(Başvuru!$C:$C,C433,Başvuru!$L:$L,"ONAY",Başvuru!$A:$A,"&lt;&gt;"&amp;"",Başvuru!$F:$F,"&lt;&gt;"&amp;""))</f>
        <v/>
      </c>
      <c r="K433" s="164" t="str">
        <f>IF(C433="","",COUNTIFS(Başvuru!$C:$C,C433,Başvuru!$L:$L,"DÜZELTME",Başvuru!$A:$A,"&lt;&gt;"&amp;"",Başvuru!$F:$F,"&lt;&gt;"&amp;""))</f>
        <v/>
      </c>
      <c r="L433" s="165" t="str">
        <f>IF(C433="","",COUNTIFS(Başvuru!$C:$C,C433,Başvuru!$L:$L,"KAEK",Başvuru!$A:$A,"&lt;&gt;"&amp;"",Başvuru!$F:$F,"&lt;&gt;"&amp;""))</f>
        <v/>
      </c>
      <c r="M433" s="166" t="str">
        <f>IF(C433="","",COUNTIFS(Başvuru!$C:$C,C433,Başvuru!$L:$L,"GÖRÜŞ",Başvuru!$A:$A,"&lt;&gt;"&amp;"",Başvuru!$F:$F,"&lt;&gt;"&amp;""))</f>
        <v/>
      </c>
      <c r="N433" s="167" t="str">
        <f>IF(C433="","",COUNTIFS(Başvuru!$C:$C,C433,Başvuru!$L:$L,"RET",Başvuru!$A:$A,"&lt;&gt;"&amp;"",Başvuru!$F:$F,"&lt;&gt;"&amp;""))</f>
        <v/>
      </c>
      <c r="O433" s="168" t="str">
        <f>IF(C433="","",COUNTIFS(Başvuru!$C:$C,C433,Başvuru!$L:$L,"KAPSAM DIŞI",Başvuru!$A:$A,"&lt;&gt;"&amp;"",Başvuru!$F:$F,"&lt;&gt;"&amp;""))</f>
        <v/>
      </c>
      <c r="P433" s="169" t="str">
        <f>IF(C433="","",COUNTIFS(Başvuru!$C:$C,C433,Başvuru!$L:$L,"GERİ ÇEKİLDİ",Başvuru!$A:$A,"&lt;&gt;"&amp;"",Başvuru!$F:$F,"&lt;&gt;"&amp;""))</f>
        <v/>
      </c>
      <c r="Q433" s="170" t="str">
        <f t="array" ref="Q433">IFERROR(INDEX(Başvuru!$C$2:$C$3000, MATCH(0, COUNTIF($Q$5:Q432, Başvuru!$C$2:$C$3000) + IF(Başvuru!$C$2:$C$3000="",1,0), 0)), "")</f>
        <v/>
      </c>
      <c r="R433" s="171" t="str">
        <f>IF(Q433="","",COUNTIFS(Başvuru!$C:$C,Q433,Başvuru!$A:$A,"&lt;&gt;"&amp;"",Başvuru!$F:$F,"&lt;&gt;"&amp;""))</f>
        <v/>
      </c>
      <c r="S433" s="171" t="str">
        <f>IF(R433="","",RANK(R433,$R$6:$R$505,0)+COUNTIF($R$6:R433,R433)-1)</f>
        <v/>
      </c>
    </row>
    <row r="434" spans="2:19" ht="23.25" customHeight="1" x14ac:dyDescent="0.25">
      <c r="B434" s="159">
        <v>429</v>
      </c>
      <c r="C434" s="160" t="str">
        <f>IFERROR(INDEX($Q$6:$Q$505,MATCH(429,$S$6:$S$505,0)),"")</f>
        <v/>
      </c>
      <c r="D434" s="161" t="str">
        <f>IF(C434="","",COUNTIFS(Başvuru!$C:$C,C434,Başvuru!$A:$A,"&lt;&gt;"&amp;"",Başvuru!$F:$F,"&lt;&gt;"&amp;""))</f>
        <v/>
      </c>
      <c r="E434" s="159" t="str">
        <f>IF(C434="","-",IF(D434&gt;0,TEXT(D434/(COUNTIFS(Başvuru!$A:$A,"&lt;&gt;",Başvuru!$F:$F,"&lt;&gt;")-1)*100,"0.0")&amp;"%","-"))</f>
        <v>-</v>
      </c>
      <c r="F434" s="162" t="str">
        <f>IF(C434="","",COUNTIFS(Başvuru!$C:$C,C434,Başvuru!$G:$G,"Bireysel Araştırma",Başvuru!$A:$A,"&lt;&gt;"&amp;"",Başvuru!$F:$F,"&lt;&gt;"&amp;""))</f>
        <v/>
      </c>
      <c r="G434" s="162" t="str">
        <f>IF(C434="","",COUNTIFS(Başvuru!$C:$C,C434,Başvuru!$G:$G,"Uzmanlık Tezi",Başvuru!$A:$A,"&lt;&gt;"&amp;"",Başvuru!$F:$F,"&lt;&gt;"&amp;""))</f>
        <v/>
      </c>
      <c r="H434" s="162" t="str">
        <f>IF(C434="","",COUNTIFS(Başvuru!$C:$C,C434,Başvuru!$G:$G,"Doktora Tezi",Başvuru!$A:$A,"&lt;&gt;"&amp;"",Başvuru!$F:$F,"&lt;&gt;"&amp;""))</f>
        <v/>
      </c>
      <c r="I434" s="162" t="str">
        <f>IF(C434="","",COUNTIFS(Başvuru!$C:$C,C434,Başvuru!$G:$G,"Yüksek Lisans Tezi",Başvuru!$A:$A,"&lt;&gt;"&amp;"",Başvuru!$F:$F,"&lt;&gt;"&amp;""))</f>
        <v/>
      </c>
      <c r="J434" s="163" t="str">
        <f>IF(C434="","",COUNTIFS(Başvuru!$C:$C,C434,Başvuru!$L:$L,"ONAY",Başvuru!$A:$A,"&lt;&gt;"&amp;"",Başvuru!$F:$F,"&lt;&gt;"&amp;""))</f>
        <v/>
      </c>
      <c r="K434" s="164" t="str">
        <f>IF(C434="","",COUNTIFS(Başvuru!$C:$C,C434,Başvuru!$L:$L,"DÜZELTME",Başvuru!$A:$A,"&lt;&gt;"&amp;"",Başvuru!$F:$F,"&lt;&gt;"&amp;""))</f>
        <v/>
      </c>
      <c r="L434" s="165" t="str">
        <f>IF(C434="","",COUNTIFS(Başvuru!$C:$C,C434,Başvuru!$L:$L,"KAEK",Başvuru!$A:$A,"&lt;&gt;"&amp;"",Başvuru!$F:$F,"&lt;&gt;"&amp;""))</f>
        <v/>
      </c>
      <c r="M434" s="166" t="str">
        <f>IF(C434="","",COUNTIFS(Başvuru!$C:$C,C434,Başvuru!$L:$L,"GÖRÜŞ",Başvuru!$A:$A,"&lt;&gt;"&amp;"",Başvuru!$F:$F,"&lt;&gt;"&amp;""))</f>
        <v/>
      </c>
      <c r="N434" s="167" t="str">
        <f>IF(C434="","",COUNTIFS(Başvuru!$C:$C,C434,Başvuru!$L:$L,"RET",Başvuru!$A:$A,"&lt;&gt;"&amp;"",Başvuru!$F:$F,"&lt;&gt;"&amp;""))</f>
        <v/>
      </c>
      <c r="O434" s="168" t="str">
        <f>IF(C434="","",COUNTIFS(Başvuru!$C:$C,C434,Başvuru!$L:$L,"KAPSAM DIŞI",Başvuru!$A:$A,"&lt;&gt;"&amp;"",Başvuru!$F:$F,"&lt;&gt;"&amp;""))</f>
        <v/>
      </c>
      <c r="P434" s="169" t="str">
        <f>IF(C434="","",COUNTIFS(Başvuru!$C:$C,C434,Başvuru!$L:$L,"GERİ ÇEKİLDİ",Başvuru!$A:$A,"&lt;&gt;"&amp;"",Başvuru!$F:$F,"&lt;&gt;"&amp;""))</f>
        <v/>
      </c>
      <c r="Q434" s="170" t="str">
        <f t="array" ref="Q434">IFERROR(INDEX(Başvuru!$C$2:$C$3000, MATCH(0, COUNTIF($Q$5:Q433, Başvuru!$C$2:$C$3000) + IF(Başvuru!$C$2:$C$3000="",1,0), 0)), "")</f>
        <v/>
      </c>
      <c r="R434" s="171" t="str">
        <f>IF(Q434="","",COUNTIFS(Başvuru!$C:$C,Q434,Başvuru!$A:$A,"&lt;&gt;"&amp;"",Başvuru!$F:$F,"&lt;&gt;"&amp;""))</f>
        <v/>
      </c>
      <c r="S434" s="171" t="str">
        <f>IF(R434="","",RANK(R434,$R$6:$R$505,0)+COUNTIF($R$6:R434,R434)-1)</f>
        <v/>
      </c>
    </row>
    <row r="435" spans="2:19" ht="23.25" customHeight="1" x14ac:dyDescent="0.25">
      <c r="B435" s="159">
        <v>430</v>
      </c>
      <c r="C435" s="160" t="str">
        <f>IFERROR(INDEX($Q$6:$Q$505,MATCH(430,$S$6:$S$505,0)),"")</f>
        <v/>
      </c>
      <c r="D435" s="161" t="str">
        <f>IF(C435="","",COUNTIFS(Başvuru!$C:$C,C435,Başvuru!$A:$A,"&lt;&gt;"&amp;"",Başvuru!$F:$F,"&lt;&gt;"&amp;""))</f>
        <v/>
      </c>
      <c r="E435" s="159" t="str">
        <f>IF(C435="","-",IF(D435&gt;0,TEXT(D435/(COUNTIFS(Başvuru!$A:$A,"&lt;&gt;",Başvuru!$F:$F,"&lt;&gt;")-1)*100,"0.0")&amp;"%","-"))</f>
        <v>-</v>
      </c>
      <c r="F435" s="162" t="str">
        <f>IF(C435="","",COUNTIFS(Başvuru!$C:$C,C435,Başvuru!$G:$G,"Bireysel Araştırma",Başvuru!$A:$A,"&lt;&gt;"&amp;"",Başvuru!$F:$F,"&lt;&gt;"&amp;""))</f>
        <v/>
      </c>
      <c r="G435" s="162" t="str">
        <f>IF(C435="","",COUNTIFS(Başvuru!$C:$C,C435,Başvuru!$G:$G,"Uzmanlık Tezi",Başvuru!$A:$A,"&lt;&gt;"&amp;"",Başvuru!$F:$F,"&lt;&gt;"&amp;""))</f>
        <v/>
      </c>
      <c r="H435" s="162" t="str">
        <f>IF(C435="","",COUNTIFS(Başvuru!$C:$C,C435,Başvuru!$G:$G,"Doktora Tezi",Başvuru!$A:$A,"&lt;&gt;"&amp;"",Başvuru!$F:$F,"&lt;&gt;"&amp;""))</f>
        <v/>
      </c>
      <c r="I435" s="162" t="str">
        <f>IF(C435="","",COUNTIFS(Başvuru!$C:$C,C435,Başvuru!$G:$G,"Yüksek Lisans Tezi",Başvuru!$A:$A,"&lt;&gt;"&amp;"",Başvuru!$F:$F,"&lt;&gt;"&amp;""))</f>
        <v/>
      </c>
      <c r="J435" s="163" t="str">
        <f>IF(C435="","",COUNTIFS(Başvuru!$C:$C,C435,Başvuru!$L:$L,"ONAY",Başvuru!$A:$A,"&lt;&gt;"&amp;"",Başvuru!$F:$F,"&lt;&gt;"&amp;""))</f>
        <v/>
      </c>
      <c r="K435" s="164" t="str">
        <f>IF(C435="","",COUNTIFS(Başvuru!$C:$C,C435,Başvuru!$L:$L,"DÜZELTME",Başvuru!$A:$A,"&lt;&gt;"&amp;"",Başvuru!$F:$F,"&lt;&gt;"&amp;""))</f>
        <v/>
      </c>
      <c r="L435" s="165" t="str">
        <f>IF(C435="","",COUNTIFS(Başvuru!$C:$C,C435,Başvuru!$L:$L,"KAEK",Başvuru!$A:$A,"&lt;&gt;"&amp;"",Başvuru!$F:$F,"&lt;&gt;"&amp;""))</f>
        <v/>
      </c>
      <c r="M435" s="166" t="str">
        <f>IF(C435="","",COUNTIFS(Başvuru!$C:$C,C435,Başvuru!$L:$L,"GÖRÜŞ",Başvuru!$A:$A,"&lt;&gt;"&amp;"",Başvuru!$F:$F,"&lt;&gt;"&amp;""))</f>
        <v/>
      </c>
      <c r="N435" s="167" t="str">
        <f>IF(C435="","",COUNTIFS(Başvuru!$C:$C,C435,Başvuru!$L:$L,"RET",Başvuru!$A:$A,"&lt;&gt;"&amp;"",Başvuru!$F:$F,"&lt;&gt;"&amp;""))</f>
        <v/>
      </c>
      <c r="O435" s="168" t="str">
        <f>IF(C435="","",COUNTIFS(Başvuru!$C:$C,C435,Başvuru!$L:$L,"KAPSAM DIŞI",Başvuru!$A:$A,"&lt;&gt;"&amp;"",Başvuru!$F:$F,"&lt;&gt;"&amp;""))</f>
        <v/>
      </c>
      <c r="P435" s="169" t="str">
        <f>IF(C435="","",COUNTIFS(Başvuru!$C:$C,C435,Başvuru!$L:$L,"GERİ ÇEKİLDİ",Başvuru!$A:$A,"&lt;&gt;"&amp;"",Başvuru!$F:$F,"&lt;&gt;"&amp;""))</f>
        <v/>
      </c>
      <c r="Q435" s="170" t="str">
        <f t="array" ref="Q435">IFERROR(INDEX(Başvuru!$C$2:$C$3000, MATCH(0, COUNTIF($Q$5:Q434, Başvuru!$C$2:$C$3000) + IF(Başvuru!$C$2:$C$3000="",1,0), 0)), "")</f>
        <v/>
      </c>
      <c r="R435" s="171" t="str">
        <f>IF(Q435="","",COUNTIFS(Başvuru!$C:$C,Q435,Başvuru!$A:$A,"&lt;&gt;"&amp;"",Başvuru!$F:$F,"&lt;&gt;"&amp;""))</f>
        <v/>
      </c>
      <c r="S435" s="171" t="str">
        <f>IF(R435="","",RANK(R435,$R$6:$R$505,0)+COUNTIF($R$6:R435,R435)-1)</f>
        <v/>
      </c>
    </row>
    <row r="436" spans="2:19" ht="23.25" customHeight="1" x14ac:dyDescent="0.25">
      <c r="B436" s="159">
        <v>431</v>
      </c>
      <c r="C436" s="160" t="str">
        <f>IFERROR(INDEX($Q$6:$Q$505,MATCH(431,$S$6:$S$505,0)),"")</f>
        <v/>
      </c>
      <c r="D436" s="161" t="str">
        <f>IF(C436="","",COUNTIFS(Başvuru!$C:$C,C436,Başvuru!$A:$A,"&lt;&gt;"&amp;"",Başvuru!$F:$F,"&lt;&gt;"&amp;""))</f>
        <v/>
      </c>
      <c r="E436" s="159" t="str">
        <f>IF(C436="","-",IF(D436&gt;0,TEXT(D436/(COUNTIFS(Başvuru!$A:$A,"&lt;&gt;",Başvuru!$F:$F,"&lt;&gt;")-1)*100,"0.0")&amp;"%","-"))</f>
        <v>-</v>
      </c>
      <c r="F436" s="162" t="str">
        <f>IF(C436="","",COUNTIFS(Başvuru!$C:$C,C436,Başvuru!$G:$G,"Bireysel Araştırma",Başvuru!$A:$A,"&lt;&gt;"&amp;"",Başvuru!$F:$F,"&lt;&gt;"&amp;""))</f>
        <v/>
      </c>
      <c r="G436" s="162" t="str">
        <f>IF(C436="","",COUNTIFS(Başvuru!$C:$C,C436,Başvuru!$G:$G,"Uzmanlık Tezi",Başvuru!$A:$A,"&lt;&gt;"&amp;"",Başvuru!$F:$F,"&lt;&gt;"&amp;""))</f>
        <v/>
      </c>
      <c r="H436" s="162" t="str">
        <f>IF(C436="","",COUNTIFS(Başvuru!$C:$C,C436,Başvuru!$G:$G,"Doktora Tezi",Başvuru!$A:$A,"&lt;&gt;"&amp;"",Başvuru!$F:$F,"&lt;&gt;"&amp;""))</f>
        <v/>
      </c>
      <c r="I436" s="162" t="str">
        <f>IF(C436="","",COUNTIFS(Başvuru!$C:$C,C436,Başvuru!$G:$G,"Yüksek Lisans Tezi",Başvuru!$A:$A,"&lt;&gt;"&amp;"",Başvuru!$F:$F,"&lt;&gt;"&amp;""))</f>
        <v/>
      </c>
      <c r="J436" s="163" t="str">
        <f>IF(C436="","",COUNTIFS(Başvuru!$C:$C,C436,Başvuru!$L:$L,"ONAY",Başvuru!$A:$A,"&lt;&gt;"&amp;"",Başvuru!$F:$F,"&lt;&gt;"&amp;""))</f>
        <v/>
      </c>
      <c r="K436" s="164" t="str">
        <f>IF(C436="","",COUNTIFS(Başvuru!$C:$C,C436,Başvuru!$L:$L,"DÜZELTME",Başvuru!$A:$A,"&lt;&gt;"&amp;"",Başvuru!$F:$F,"&lt;&gt;"&amp;""))</f>
        <v/>
      </c>
      <c r="L436" s="165" t="str">
        <f>IF(C436="","",COUNTIFS(Başvuru!$C:$C,C436,Başvuru!$L:$L,"KAEK",Başvuru!$A:$A,"&lt;&gt;"&amp;"",Başvuru!$F:$F,"&lt;&gt;"&amp;""))</f>
        <v/>
      </c>
      <c r="M436" s="166" t="str">
        <f>IF(C436="","",COUNTIFS(Başvuru!$C:$C,C436,Başvuru!$L:$L,"GÖRÜŞ",Başvuru!$A:$A,"&lt;&gt;"&amp;"",Başvuru!$F:$F,"&lt;&gt;"&amp;""))</f>
        <v/>
      </c>
      <c r="N436" s="167" t="str">
        <f>IF(C436="","",COUNTIFS(Başvuru!$C:$C,C436,Başvuru!$L:$L,"RET",Başvuru!$A:$A,"&lt;&gt;"&amp;"",Başvuru!$F:$F,"&lt;&gt;"&amp;""))</f>
        <v/>
      </c>
      <c r="O436" s="168" t="str">
        <f>IF(C436="","",COUNTIFS(Başvuru!$C:$C,C436,Başvuru!$L:$L,"KAPSAM DIŞI",Başvuru!$A:$A,"&lt;&gt;"&amp;"",Başvuru!$F:$F,"&lt;&gt;"&amp;""))</f>
        <v/>
      </c>
      <c r="P436" s="169" t="str">
        <f>IF(C436="","",COUNTIFS(Başvuru!$C:$C,C436,Başvuru!$L:$L,"GERİ ÇEKİLDİ",Başvuru!$A:$A,"&lt;&gt;"&amp;"",Başvuru!$F:$F,"&lt;&gt;"&amp;""))</f>
        <v/>
      </c>
      <c r="Q436" s="170" t="str">
        <f t="array" ref="Q436">IFERROR(INDEX(Başvuru!$C$2:$C$3000, MATCH(0, COUNTIF($Q$5:Q435, Başvuru!$C$2:$C$3000) + IF(Başvuru!$C$2:$C$3000="",1,0), 0)), "")</f>
        <v/>
      </c>
      <c r="R436" s="171" t="str">
        <f>IF(Q436="","",COUNTIFS(Başvuru!$C:$C,Q436,Başvuru!$A:$A,"&lt;&gt;"&amp;"",Başvuru!$F:$F,"&lt;&gt;"&amp;""))</f>
        <v/>
      </c>
      <c r="S436" s="171" t="str">
        <f>IF(R436="","",RANK(R436,$R$6:$R$505,0)+COUNTIF($R$6:R436,R436)-1)</f>
        <v/>
      </c>
    </row>
    <row r="437" spans="2:19" ht="23.25" customHeight="1" x14ac:dyDescent="0.25">
      <c r="B437" s="159">
        <v>432</v>
      </c>
      <c r="C437" s="160" t="str">
        <f>IFERROR(INDEX($Q$6:$Q$505,MATCH(432,$S$6:$S$505,0)),"")</f>
        <v/>
      </c>
      <c r="D437" s="161" t="str">
        <f>IF(C437="","",COUNTIFS(Başvuru!$C:$C,C437,Başvuru!$A:$A,"&lt;&gt;"&amp;"",Başvuru!$F:$F,"&lt;&gt;"&amp;""))</f>
        <v/>
      </c>
      <c r="E437" s="159" t="str">
        <f>IF(C437="","-",IF(D437&gt;0,TEXT(D437/(COUNTIFS(Başvuru!$A:$A,"&lt;&gt;",Başvuru!$F:$F,"&lt;&gt;")-1)*100,"0.0")&amp;"%","-"))</f>
        <v>-</v>
      </c>
      <c r="F437" s="162" t="str">
        <f>IF(C437="","",COUNTIFS(Başvuru!$C:$C,C437,Başvuru!$G:$G,"Bireysel Araştırma",Başvuru!$A:$A,"&lt;&gt;"&amp;"",Başvuru!$F:$F,"&lt;&gt;"&amp;""))</f>
        <v/>
      </c>
      <c r="G437" s="162" t="str">
        <f>IF(C437="","",COUNTIFS(Başvuru!$C:$C,C437,Başvuru!$G:$G,"Uzmanlık Tezi",Başvuru!$A:$A,"&lt;&gt;"&amp;"",Başvuru!$F:$F,"&lt;&gt;"&amp;""))</f>
        <v/>
      </c>
      <c r="H437" s="162" t="str">
        <f>IF(C437="","",COUNTIFS(Başvuru!$C:$C,C437,Başvuru!$G:$G,"Doktora Tezi",Başvuru!$A:$A,"&lt;&gt;"&amp;"",Başvuru!$F:$F,"&lt;&gt;"&amp;""))</f>
        <v/>
      </c>
      <c r="I437" s="162" t="str">
        <f>IF(C437="","",COUNTIFS(Başvuru!$C:$C,C437,Başvuru!$G:$G,"Yüksek Lisans Tezi",Başvuru!$A:$A,"&lt;&gt;"&amp;"",Başvuru!$F:$F,"&lt;&gt;"&amp;""))</f>
        <v/>
      </c>
      <c r="J437" s="163" t="str">
        <f>IF(C437="","",COUNTIFS(Başvuru!$C:$C,C437,Başvuru!$L:$L,"ONAY",Başvuru!$A:$A,"&lt;&gt;"&amp;"",Başvuru!$F:$F,"&lt;&gt;"&amp;""))</f>
        <v/>
      </c>
      <c r="K437" s="164" t="str">
        <f>IF(C437="","",COUNTIFS(Başvuru!$C:$C,C437,Başvuru!$L:$L,"DÜZELTME",Başvuru!$A:$A,"&lt;&gt;"&amp;"",Başvuru!$F:$F,"&lt;&gt;"&amp;""))</f>
        <v/>
      </c>
      <c r="L437" s="165" t="str">
        <f>IF(C437="","",COUNTIFS(Başvuru!$C:$C,C437,Başvuru!$L:$L,"KAEK",Başvuru!$A:$A,"&lt;&gt;"&amp;"",Başvuru!$F:$F,"&lt;&gt;"&amp;""))</f>
        <v/>
      </c>
      <c r="M437" s="166" t="str">
        <f>IF(C437="","",COUNTIFS(Başvuru!$C:$C,C437,Başvuru!$L:$L,"GÖRÜŞ",Başvuru!$A:$A,"&lt;&gt;"&amp;"",Başvuru!$F:$F,"&lt;&gt;"&amp;""))</f>
        <v/>
      </c>
      <c r="N437" s="167" t="str">
        <f>IF(C437="","",COUNTIFS(Başvuru!$C:$C,C437,Başvuru!$L:$L,"RET",Başvuru!$A:$A,"&lt;&gt;"&amp;"",Başvuru!$F:$F,"&lt;&gt;"&amp;""))</f>
        <v/>
      </c>
      <c r="O437" s="168" t="str">
        <f>IF(C437="","",COUNTIFS(Başvuru!$C:$C,C437,Başvuru!$L:$L,"KAPSAM DIŞI",Başvuru!$A:$A,"&lt;&gt;"&amp;"",Başvuru!$F:$F,"&lt;&gt;"&amp;""))</f>
        <v/>
      </c>
      <c r="P437" s="169" t="str">
        <f>IF(C437="","",COUNTIFS(Başvuru!$C:$C,C437,Başvuru!$L:$L,"GERİ ÇEKİLDİ",Başvuru!$A:$A,"&lt;&gt;"&amp;"",Başvuru!$F:$F,"&lt;&gt;"&amp;""))</f>
        <v/>
      </c>
      <c r="Q437" s="170" t="str">
        <f t="array" ref="Q437">IFERROR(INDEX(Başvuru!$C$2:$C$3000, MATCH(0, COUNTIF($Q$5:Q436, Başvuru!$C$2:$C$3000) + IF(Başvuru!$C$2:$C$3000="",1,0), 0)), "")</f>
        <v/>
      </c>
      <c r="R437" s="171" t="str">
        <f>IF(Q437="","",COUNTIFS(Başvuru!$C:$C,Q437,Başvuru!$A:$A,"&lt;&gt;"&amp;"",Başvuru!$F:$F,"&lt;&gt;"&amp;""))</f>
        <v/>
      </c>
      <c r="S437" s="171" t="str">
        <f>IF(R437="","",RANK(R437,$R$6:$R$505,0)+COUNTIF($R$6:R437,R437)-1)</f>
        <v/>
      </c>
    </row>
    <row r="438" spans="2:19" ht="23.25" customHeight="1" x14ac:dyDescent="0.25">
      <c r="B438" s="159">
        <v>433</v>
      </c>
      <c r="C438" s="160" t="str">
        <f>IFERROR(INDEX($Q$6:$Q$505,MATCH(433,$S$6:$S$505,0)),"")</f>
        <v/>
      </c>
      <c r="D438" s="161" t="str">
        <f>IF(C438="","",COUNTIFS(Başvuru!$C:$C,C438,Başvuru!$A:$A,"&lt;&gt;"&amp;"",Başvuru!$F:$F,"&lt;&gt;"&amp;""))</f>
        <v/>
      </c>
      <c r="E438" s="159" t="str">
        <f>IF(C438="","-",IF(D438&gt;0,TEXT(D438/(COUNTIFS(Başvuru!$A:$A,"&lt;&gt;",Başvuru!$F:$F,"&lt;&gt;")-1)*100,"0.0")&amp;"%","-"))</f>
        <v>-</v>
      </c>
      <c r="F438" s="162" t="str">
        <f>IF(C438="","",COUNTIFS(Başvuru!$C:$C,C438,Başvuru!$G:$G,"Bireysel Araştırma",Başvuru!$A:$A,"&lt;&gt;"&amp;"",Başvuru!$F:$F,"&lt;&gt;"&amp;""))</f>
        <v/>
      </c>
      <c r="G438" s="162" t="str">
        <f>IF(C438="","",COUNTIFS(Başvuru!$C:$C,C438,Başvuru!$G:$G,"Uzmanlık Tezi",Başvuru!$A:$A,"&lt;&gt;"&amp;"",Başvuru!$F:$F,"&lt;&gt;"&amp;""))</f>
        <v/>
      </c>
      <c r="H438" s="162" t="str">
        <f>IF(C438="","",COUNTIFS(Başvuru!$C:$C,C438,Başvuru!$G:$G,"Doktora Tezi",Başvuru!$A:$A,"&lt;&gt;"&amp;"",Başvuru!$F:$F,"&lt;&gt;"&amp;""))</f>
        <v/>
      </c>
      <c r="I438" s="162" t="str">
        <f>IF(C438="","",COUNTIFS(Başvuru!$C:$C,C438,Başvuru!$G:$G,"Yüksek Lisans Tezi",Başvuru!$A:$A,"&lt;&gt;"&amp;"",Başvuru!$F:$F,"&lt;&gt;"&amp;""))</f>
        <v/>
      </c>
      <c r="J438" s="163" t="str">
        <f>IF(C438="","",COUNTIFS(Başvuru!$C:$C,C438,Başvuru!$L:$L,"ONAY",Başvuru!$A:$A,"&lt;&gt;"&amp;"",Başvuru!$F:$F,"&lt;&gt;"&amp;""))</f>
        <v/>
      </c>
      <c r="K438" s="164" t="str">
        <f>IF(C438="","",COUNTIFS(Başvuru!$C:$C,C438,Başvuru!$L:$L,"DÜZELTME",Başvuru!$A:$A,"&lt;&gt;"&amp;"",Başvuru!$F:$F,"&lt;&gt;"&amp;""))</f>
        <v/>
      </c>
      <c r="L438" s="165" t="str">
        <f>IF(C438="","",COUNTIFS(Başvuru!$C:$C,C438,Başvuru!$L:$L,"KAEK",Başvuru!$A:$A,"&lt;&gt;"&amp;"",Başvuru!$F:$F,"&lt;&gt;"&amp;""))</f>
        <v/>
      </c>
      <c r="M438" s="166" t="str">
        <f>IF(C438="","",COUNTIFS(Başvuru!$C:$C,C438,Başvuru!$L:$L,"GÖRÜŞ",Başvuru!$A:$A,"&lt;&gt;"&amp;"",Başvuru!$F:$F,"&lt;&gt;"&amp;""))</f>
        <v/>
      </c>
      <c r="N438" s="167" t="str">
        <f>IF(C438="","",COUNTIFS(Başvuru!$C:$C,C438,Başvuru!$L:$L,"RET",Başvuru!$A:$A,"&lt;&gt;"&amp;"",Başvuru!$F:$F,"&lt;&gt;"&amp;""))</f>
        <v/>
      </c>
      <c r="O438" s="168" t="str">
        <f>IF(C438="","",COUNTIFS(Başvuru!$C:$C,C438,Başvuru!$L:$L,"KAPSAM DIŞI",Başvuru!$A:$A,"&lt;&gt;"&amp;"",Başvuru!$F:$F,"&lt;&gt;"&amp;""))</f>
        <v/>
      </c>
      <c r="P438" s="169" t="str">
        <f>IF(C438="","",COUNTIFS(Başvuru!$C:$C,C438,Başvuru!$L:$L,"GERİ ÇEKİLDİ",Başvuru!$A:$A,"&lt;&gt;"&amp;"",Başvuru!$F:$F,"&lt;&gt;"&amp;""))</f>
        <v/>
      </c>
      <c r="Q438" s="170" t="str">
        <f t="array" ref="Q438">IFERROR(INDEX(Başvuru!$C$2:$C$3000, MATCH(0, COUNTIF($Q$5:Q437, Başvuru!$C$2:$C$3000) + IF(Başvuru!$C$2:$C$3000="",1,0), 0)), "")</f>
        <v/>
      </c>
      <c r="R438" s="171" t="str">
        <f>IF(Q438="","",COUNTIFS(Başvuru!$C:$C,Q438,Başvuru!$A:$A,"&lt;&gt;"&amp;"",Başvuru!$F:$F,"&lt;&gt;"&amp;""))</f>
        <v/>
      </c>
      <c r="S438" s="171" t="str">
        <f>IF(R438="","",RANK(R438,$R$6:$R$505,0)+COUNTIF($R$6:R438,R438)-1)</f>
        <v/>
      </c>
    </row>
    <row r="439" spans="2:19" ht="23.25" customHeight="1" x14ac:dyDescent="0.25">
      <c r="B439" s="159">
        <v>434</v>
      </c>
      <c r="C439" s="160" t="str">
        <f>IFERROR(INDEX($Q$6:$Q$505,MATCH(434,$S$6:$S$505,0)),"")</f>
        <v/>
      </c>
      <c r="D439" s="161" t="str">
        <f>IF(C439="","",COUNTIFS(Başvuru!$C:$C,C439,Başvuru!$A:$A,"&lt;&gt;"&amp;"",Başvuru!$F:$F,"&lt;&gt;"&amp;""))</f>
        <v/>
      </c>
      <c r="E439" s="159" t="str">
        <f>IF(C439="","-",IF(D439&gt;0,TEXT(D439/(COUNTIFS(Başvuru!$A:$A,"&lt;&gt;",Başvuru!$F:$F,"&lt;&gt;")-1)*100,"0.0")&amp;"%","-"))</f>
        <v>-</v>
      </c>
      <c r="F439" s="162" t="str">
        <f>IF(C439="","",COUNTIFS(Başvuru!$C:$C,C439,Başvuru!$G:$G,"Bireysel Araştırma",Başvuru!$A:$A,"&lt;&gt;"&amp;"",Başvuru!$F:$F,"&lt;&gt;"&amp;""))</f>
        <v/>
      </c>
      <c r="G439" s="162" t="str">
        <f>IF(C439="","",COUNTIFS(Başvuru!$C:$C,C439,Başvuru!$G:$G,"Uzmanlık Tezi",Başvuru!$A:$A,"&lt;&gt;"&amp;"",Başvuru!$F:$F,"&lt;&gt;"&amp;""))</f>
        <v/>
      </c>
      <c r="H439" s="162" t="str">
        <f>IF(C439="","",COUNTIFS(Başvuru!$C:$C,C439,Başvuru!$G:$G,"Doktora Tezi",Başvuru!$A:$A,"&lt;&gt;"&amp;"",Başvuru!$F:$F,"&lt;&gt;"&amp;""))</f>
        <v/>
      </c>
      <c r="I439" s="162" t="str">
        <f>IF(C439="","",COUNTIFS(Başvuru!$C:$C,C439,Başvuru!$G:$G,"Yüksek Lisans Tezi",Başvuru!$A:$A,"&lt;&gt;"&amp;"",Başvuru!$F:$F,"&lt;&gt;"&amp;""))</f>
        <v/>
      </c>
      <c r="J439" s="163" t="str">
        <f>IF(C439="","",COUNTIFS(Başvuru!$C:$C,C439,Başvuru!$L:$L,"ONAY",Başvuru!$A:$A,"&lt;&gt;"&amp;"",Başvuru!$F:$F,"&lt;&gt;"&amp;""))</f>
        <v/>
      </c>
      <c r="K439" s="164" t="str">
        <f>IF(C439="","",COUNTIFS(Başvuru!$C:$C,C439,Başvuru!$L:$L,"DÜZELTME",Başvuru!$A:$A,"&lt;&gt;"&amp;"",Başvuru!$F:$F,"&lt;&gt;"&amp;""))</f>
        <v/>
      </c>
      <c r="L439" s="165" t="str">
        <f>IF(C439="","",COUNTIFS(Başvuru!$C:$C,C439,Başvuru!$L:$L,"KAEK",Başvuru!$A:$A,"&lt;&gt;"&amp;"",Başvuru!$F:$F,"&lt;&gt;"&amp;""))</f>
        <v/>
      </c>
      <c r="M439" s="166" t="str">
        <f>IF(C439="","",COUNTIFS(Başvuru!$C:$C,C439,Başvuru!$L:$L,"GÖRÜŞ",Başvuru!$A:$A,"&lt;&gt;"&amp;"",Başvuru!$F:$F,"&lt;&gt;"&amp;""))</f>
        <v/>
      </c>
      <c r="N439" s="167" t="str">
        <f>IF(C439="","",COUNTIFS(Başvuru!$C:$C,C439,Başvuru!$L:$L,"RET",Başvuru!$A:$A,"&lt;&gt;"&amp;"",Başvuru!$F:$F,"&lt;&gt;"&amp;""))</f>
        <v/>
      </c>
      <c r="O439" s="168" t="str">
        <f>IF(C439="","",COUNTIFS(Başvuru!$C:$C,C439,Başvuru!$L:$L,"KAPSAM DIŞI",Başvuru!$A:$A,"&lt;&gt;"&amp;"",Başvuru!$F:$F,"&lt;&gt;"&amp;""))</f>
        <v/>
      </c>
      <c r="P439" s="169" t="str">
        <f>IF(C439="","",COUNTIFS(Başvuru!$C:$C,C439,Başvuru!$L:$L,"GERİ ÇEKİLDİ",Başvuru!$A:$A,"&lt;&gt;"&amp;"",Başvuru!$F:$F,"&lt;&gt;"&amp;""))</f>
        <v/>
      </c>
      <c r="Q439" s="170" t="str">
        <f t="array" ref="Q439">IFERROR(INDEX(Başvuru!$C$2:$C$3000, MATCH(0, COUNTIF($Q$5:Q438, Başvuru!$C$2:$C$3000) + IF(Başvuru!$C$2:$C$3000="",1,0), 0)), "")</f>
        <v/>
      </c>
      <c r="R439" s="171" t="str">
        <f>IF(Q439="","",COUNTIFS(Başvuru!$C:$C,Q439,Başvuru!$A:$A,"&lt;&gt;"&amp;"",Başvuru!$F:$F,"&lt;&gt;"&amp;""))</f>
        <v/>
      </c>
      <c r="S439" s="171" t="str">
        <f>IF(R439="","",RANK(R439,$R$6:$R$505,0)+COUNTIF($R$6:R439,R439)-1)</f>
        <v/>
      </c>
    </row>
    <row r="440" spans="2:19" ht="23.25" customHeight="1" x14ac:dyDescent="0.25">
      <c r="B440" s="159">
        <v>435</v>
      </c>
      <c r="C440" s="160" t="str">
        <f>IFERROR(INDEX($Q$6:$Q$505,MATCH(435,$S$6:$S$505,0)),"")</f>
        <v/>
      </c>
      <c r="D440" s="161" t="str">
        <f>IF(C440="","",COUNTIFS(Başvuru!$C:$C,C440,Başvuru!$A:$A,"&lt;&gt;"&amp;"",Başvuru!$F:$F,"&lt;&gt;"&amp;""))</f>
        <v/>
      </c>
      <c r="E440" s="159" t="str">
        <f>IF(C440="","-",IF(D440&gt;0,TEXT(D440/(COUNTIFS(Başvuru!$A:$A,"&lt;&gt;",Başvuru!$F:$F,"&lt;&gt;")-1)*100,"0.0")&amp;"%","-"))</f>
        <v>-</v>
      </c>
      <c r="F440" s="162" t="str">
        <f>IF(C440="","",COUNTIFS(Başvuru!$C:$C,C440,Başvuru!$G:$G,"Bireysel Araştırma",Başvuru!$A:$A,"&lt;&gt;"&amp;"",Başvuru!$F:$F,"&lt;&gt;"&amp;""))</f>
        <v/>
      </c>
      <c r="G440" s="162" t="str">
        <f>IF(C440="","",COUNTIFS(Başvuru!$C:$C,C440,Başvuru!$G:$G,"Uzmanlık Tezi",Başvuru!$A:$A,"&lt;&gt;"&amp;"",Başvuru!$F:$F,"&lt;&gt;"&amp;""))</f>
        <v/>
      </c>
      <c r="H440" s="162" t="str">
        <f>IF(C440="","",COUNTIFS(Başvuru!$C:$C,C440,Başvuru!$G:$G,"Doktora Tezi",Başvuru!$A:$A,"&lt;&gt;"&amp;"",Başvuru!$F:$F,"&lt;&gt;"&amp;""))</f>
        <v/>
      </c>
      <c r="I440" s="162" t="str">
        <f>IF(C440="","",COUNTIFS(Başvuru!$C:$C,C440,Başvuru!$G:$G,"Yüksek Lisans Tezi",Başvuru!$A:$A,"&lt;&gt;"&amp;"",Başvuru!$F:$F,"&lt;&gt;"&amp;""))</f>
        <v/>
      </c>
      <c r="J440" s="163" t="str">
        <f>IF(C440="","",COUNTIFS(Başvuru!$C:$C,C440,Başvuru!$L:$L,"ONAY",Başvuru!$A:$A,"&lt;&gt;"&amp;"",Başvuru!$F:$F,"&lt;&gt;"&amp;""))</f>
        <v/>
      </c>
      <c r="K440" s="164" t="str">
        <f>IF(C440="","",COUNTIFS(Başvuru!$C:$C,C440,Başvuru!$L:$L,"DÜZELTME",Başvuru!$A:$A,"&lt;&gt;"&amp;"",Başvuru!$F:$F,"&lt;&gt;"&amp;""))</f>
        <v/>
      </c>
      <c r="L440" s="165" t="str">
        <f>IF(C440="","",COUNTIFS(Başvuru!$C:$C,C440,Başvuru!$L:$L,"KAEK",Başvuru!$A:$A,"&lt;&gt;"&amp;"",Başvuru!$F:$F,"&lt;&gt;"&amp;""))</f>
        <v/>
      </c>
      <c r="M440" s="166" t="str">
        <f>IF(C440="","",COUNTIFS(Başvuru!$C:$C,C440,Başvuru!$L:$L,"GÖRÜŞ",Başvuru!$A:$A,"&lt;&gt;"&amp;"",Başvuru!$F:$F,"&lt;&gt;"&amp;""))</f>
        <v/>
      </c>
      <c r="N440" s="167" t="str">
        <f>IF(C440="","",COUNTIFS(Başvuru!$C:$C,C440,Başvuru!$L:$L,"RET",Başvuru!$A:$A,"&lt;&gt;"&amp;"",Başvuru!$F:$F,"&lt;&gt;"&amp;""))</f>
        <v/>
      </c>
      <c r="O440" s="168" t="str">
        <f>IF(C440="","",COUNTIFS(Başvuru!$C:$C,C440,Başvuru!$L:$L,"KAPSAM DIŞI",Başvuru!$A:$A,"&lt;&gt;"&amp;"",Başvuru!$F:$F,"&lt;&gt;"&amp;""))</f>
        <v/>
      </c>
      <c r="P440" s="169" t="str">
        <f>IF(C440="","",COUNTIFS(Başvuru!$C:$C,C440,Başvuru!$L:$L,"GERİ ÇEKİLDİ",Başvuru!$A:$A,"&lt;&gt;"&amp;"",Başvuru!$F:$F,"&lt;&gt;"&amp;""))</f>
        <v/>
      </c>
      <c r="Q440" s="170" t="str">
        <f t="array" ref="Q440">IFERROR(INDEX(Başvuru!$C$2:$C$3000, MATCH(0, COUNTIF($Q$5:Q439, Başvuru!$C$2:$C$3000) + IF(Başvuru!$C$2:$C$3000="",1,0), 0)), "")</f>
        <v/>
      </c>
      <c r="R440" s="171" t="str">
        <f>IF(Q440="","",COUNTIFS(Başvuru!$C:$C,Q440,Başvuru!$A:$A,"&lt;&gt;"&amp;"",Başvuru!$F:$F,"&lt;&gt;"&amp;""))</f>
        <v/>
      </c>
      <c r="S440" s="171" t="str">
        <f>IF(R440="","",RANK(R440,$R$6:$R$505,0)+COUNTIF($R$6:R440,R440)-1)</f>
        <v/>
      </c>
    </row>
    <row r="441" spans="2:19" ht="23.25" customHeight="1" x14ac:dyDescent="0.25">
      <c r="B441" s="159">
        <v>436</v>
      </c>
      <c r="C441" s="160" t="str">
        <f>IFERROR(INDEX($Q$6:$Q$505,MATCH(436,$S$6:$S$505,0)),"")</f>
        <v/>
      </c>
      <c r="D441" s="161" t="str">
        <f>IF(C441="","",COUNTIFS(Başvuru!$C:$C,C441,Başvuru!$A:$A,"&lt;&gt;"&amp;"",Başvuru!$F:$F,"&lt;&gt;"&amp;""))</f>
        <v/>
      </c>
      <c r="E441" s="159" t="str">
        <f>IF(C441="","-",IF(D441&gt;0,TEXT(D441/(COUNTIFS(Başvuru!$A:$A,"&lt;&gt;",Başvuru!$F:$F,"&lt;&gt;")-1)*100,"0.0")&amp;"%","-"))</f>
        <v>-</v>
      </c>
      <c r="F441" s="162" t="str">
        <f>IF(C441="","",COUNTIFS(Başvuru!$C:$C,C441,Başvuru!$G:$G,"Bireysel Araştırma",Başvuru!$A:$A,"&lt;&gt;"&amp;"",Başvuru!$F:$F,"&lt;&gt;"&amp;""))</f>
        <v/>
      </c>
      <c r="G441" s="162" t="str">
        <f>IF(C441="","",COUNTIFS(Başvuru!$C:$C,C441,Başvuru!$G:$G,"Uzmanlık Tezi",Başvuru!$A:$A,"&lt;&gt;"&amp;"",Başvuru!$F:$F,"&lt;&gt;"&amp;""))</f>
        <v/>
      </c>
      <c r="H441" s="162" t="str">
        <f>IF(C441="","",COUNTIFS(Başvuru!$C:$C,C441,Başvuru!$G:$G,"Doktora Tezi",Başvuru!$A:$A,"&lt;&gt;"&amp;"",Başvuru!$F:$F,"&lt;&gt;"&amp;""))</f>
        <v/>
      </c>
      <c r="I441" s="162" t="str">
        <f>IF(C441="","",COUNTIFS(Başvuru!$C:$C,C441,Başvuru!$G:$G,"Yüksek Lisans Tezi",Başvuru!$A:$A,"&lt;&gt;"&amp;"",Başvuru!$F:$F,"&lt;&gt;"&amp;""))</f>
        <v/>
      </c>
      <c r="J441" s="163" t="str">
        <f>IF(C441="","",COUNTIFS(Başvuru!$C:$C,C441,Başvuru!$L:$L,"ONAY",Başvuru!$A:$A,"&lt;&gt;"&amp;"",Başvuru!$F:$F,"&lt;&gt;"&amp;""))</f>
        <v/>
      </c>
      <c r="K441" s="164" t="str">
        <f>IF(C441="","",COUNTIFS(Başvuru!$C:$C,C441,Başvuru!$L:$L,"DÜZELTME",Başvuru!$A:$A,"&lt;&gt;"&amp;"",Başvuru!$F:$F,"&lt;&gt;"&amp;""))</f>
        <v/>
      </c>
      <c r="L441" s="165" t="str">
        <f>IF(C441="","",COUNTIFS(Başvuru!$C:$C,C441,Başvuru!$L:$L,"KAEK",Başvuru!$A:$A,"&lt;&gt;"&amp;"",Başvuru!$F:$F,"&lt;&gt;"&amp;""))</f>
        <v/>
      </c>
      <c r="M441" s="166" t="str">
        <f>IF(C441="","",COUNTIFS(Başvuru!$C:$C,C441,Başvuru!$L:$L,"GÖRÜŞ",Başvuru!$A:$A,"&lt;&gt;"&amp;"",Başvuru!$F:$F,"&lt;&gt;"&amp;""))</f>
        <v/>
      </c>
      <c r="N441" s="167" t="str">
        <f>IF(C441="","",COUNTIFS(Başvuru!$C:$C,C441,Başvuru!$L:$L,"RET",Başvuru!$A:$A,"&lt;&gt;"&amp;"",Başvuru!$F:$F,"&lt;&gt;"&amp;""))</f>
        <v/>
      </c>
      <c r="O441" s="168" t="str">
        <f>IF(C441="","",COUNTIFS(Başvuru!$C:$C,C441,Başvuru!$L:$L,"KAPSAM DIŞI",Başvuru!$A:$A,"&lt;&gt;"&amp;"",Başvuru!$F:$F,"&lt;&gt;"&amp;""))</f>
        <v/>
      </c>
      <c r="P441" s="169" t="str">
        <f>IF(C441="","",COUNTIFS(Başvuru!$C:$C,C441,Başvuru!$L:$L,"GERİ ÇEKİLDİ",Başvuru!$A:$A,"&lt;&gt;"&amp;"",Başvuru!$F:$F,"&lt;&gt;"&amp;""))</f>
        <v/>
      </c>
      <c r="Q441" s="170" t="str">
        <f t="array" ref="Q441">IFERROR(INDEX(Başvuru!$C$2:$C$3000, MATCH(0, COUNTIF($Q$5:Q440, Başvuru!$C$2:$C$3000) + IF(Başvuru!$C$2:$C$3000="",1,0), 0)), "")</f>
        <v/>
      </c>
      <c r="R441" s="171" t="str">
        <f>IF(Q441="","",COUNTIFS(Başvuru!$C:$C,Q441,Başvuru!$A:$A,"&lt;&gt;"&amp;"",Başvuru!$F:$F,"&lt;&gt;"&amp;""))</f>
        <v/>
      </c>
      <c r="S441" s="171" t="str">
        <f>IF(R441="","",RANK(R441,$R$6:$R$505,0)+COUNTIF($R$6:R441,R441)-1)</f>
        <v/>
      </c>
    </row>
    <row r="442" spans="2:19" ht="23.25" customHeight="1" x14ac:dyDescent="0.25">
      <c r="B442" s="159">
        <v>437</v>
      </c>
      <c r="C442" s="160" t="str">
        <f>IFERROR(INDEX($Q$6:$Q$505,MATCH(437,$S$6:$S$505,0)),"")</f>
        <v/>
      </c>
      <c r="D442" s="161" t="str">
        <f>IF(C442="","",COUNTIFS(Başvuru!$C:$C,C442,Başvuru!$A:$A,"&lt;&gt;"&amp;"",Başvuru!$F:$F,"&lt;&gt;"&amp;""))</f>
        <v/>
      </c>
      <c r="E442" s="159" t="str">
        <f>IF(C442="","-",IF(D442&gt;0,TEXT(D442/(COUNTIFS(Başvuru!$A:$A,"&lt;&gt;",Başvuru!$F:$F,"&lt;&gt;")-1)*100,"0.0")&amp;"%","-"))</f>
        <v>-</v>
      </c>
      <c r="F442" s="162" t="str">
        <f>IF(C442="","",COUNTIFS(Başvuru!$C:$C,C442,Başvuru!$G:$G,"Bireysel Araştırma",Başvuru!$A:$A,"&lt;&gt;"&amp;"",Başvuru!$F:$F,"&lt;&gt;"&amp;""))</f>
        <v/>
      </c>
      <c r="G442" s="162" t="str">
        <f>IF(C442="","",COUNTIFS(Başvuru!$C:$C,C442,Başvuru!$G:$G,"Uzmanlık Tezi",Başvuru!$A:$A,"&lt;&gt;"&amp;"",Başvuru!$F:$F,"&lt;&gt;"&amp;""))</f>
        <v/>
      </c>
      <c r="H442" s="162" t="str">
        <f>IF(C442="","",COUNTIFS(Başvuru!$C:$C,C442,Başvuru!$G:$G,"Doktora Tezi",Başvuru!$A:$A,"&lt;&gt;"&amp;"",Başvuru!$F:$F,"&lt;&gt;"&amp;""))</f>
        <v/>
      </c>
      <c r="I442" s="162" t="str">
        <f>IF(C442="","",COUNTIFS(Başvuru!$C:$C,C442,Başvuru!$G:$G,"Yüksek Lisans Tezi",Başvuru!$A:$A,"&lt;&gt;"&amp;"",Başvuru!$F:$F,"&lt;&gt;"&amp;""))</f>
        <v/>
      </c>
      <c r="J442" s="163" t="str">
        <f>IF(C442="","",COUNTIFS(Başvuru!$C:$C,C442,Başvuru!$L:$L,"ONAY",Başvuru!$A:$A,"&lt;&gt;"&amp;"",Başvuru!$F:$F,"&lt;&gt;"&amp;""))</f>
        <v/>
      </c>
      <c r="K442" s="164" t="str">
        <f>IF(C442="","",COUNTIFS(Başvuru!$C:$C,C442,Başvuru!$L:$L,"DÜZELTME",Başvuru!$A:$A,"&lt;&gt;"&amp;"",Başvuru!$F:$F,"&lt;&gt;"&amp;""))</f>
        <v/>
      </c>
      <c r="L442" s="165" t="str">
        <f>IF(C442="","",COUNTIFS(Başvuru!$C:$C,C442,Başvuru!$L:$L,"KAEK",Başvuru!$A:$A,"&lt;&gt;"&amp;"",Başvuru!$F:$F,"&lt;&gt;"&amp;""))</f>
        <v/>
      </c>
      <c r="M442" s="166" t="str">
        <f>IF(C442="","",COUNTIFS(Başvuru!$C:$C,C442,Başvuru!$L:$L,"GÖRÜŞ",Başvuru!$A:$A,"&lt;&gt;"&amp;"",Başvuru!$F:$F,"&lt;&gt;"&amp;""))</f>
        <v/>
      </c>
      <c r="N442" s="167" t="str">
        <f>IF(C442="","",COUNTIFS(Başvuru!$C:$C,C442,Başvuru!$L:$L,"RET",Başvuru!$A:$A,"&lt;&gt;"&amp;"",Başvuru!$F:$F,"&lt;&gt;"&amp;""))</f>
        <v/>
      </c>
      <c r="O442" s="168" t="str">
        <f>IF(C442="","",COUNTIFS(Başvuru!$C:$C,C442,Başvuru!$L:$L,"KAPSAM DIŞI",Başvuru!$A:$A,"&lt;&gt;"&amp;"",Başvuru!$F:$F,"&lt;&gt;"&amp;""))</f>
        <v/>
      </c>
      <c r="P442" s="169" t="str">
        <f>IF(C442="","",COUNTIFS(Başvuru!$C:$C,C442,Başvuru!$L:$L,"GERİ ÇEKİLDİ",Başvuru!$A:$A,"&lt;&gt;"&amp;"",Başvuru!$F:$F,"&lt;&gt;"&amp;""))</f>
        <v/>
      </c>
      <c r="Q442" s="170" t="str">
        <f t="array" ref="Q442">IFERROR(INDEX(Başvuru!$C$2:$C$3000, MATCH(0, COUNTIF($Q$5:Q441, Başvuru!$C$2:$C$3000) + IF(Başvuru!$C$2:$C$3000="",1,0), 0)), "")</f>
        <v/>
      </c>
      <c r="R442" s="171" t="str">
        <f>IF(Q442="","",COUNTIFS(Başvuru!$C:$C,Q442,Başvuru!$A:$A,"&lt;&gt;"&amp;"",Başvuru!$F:$F,"&lt;&gt;"&amp;""))</f>
        <v/>
      </c>
      <c r="S442" s="171" t="str">
        <f>IF(R442="","",RANK(R442,$R$6:$R$505,0)+COUNTIF($R$6:R442,R442)-1)</f>
        <v/>
      </c>
    </row>
    <row r="443" spans="2:19" ht="23.25" customHeight="1" x14ac:dyDescent="0.25">
      <c r="B443" s="159">
        <v>438</v>
      </c>
      <c r="C443" s="160" t="str">
        <f>IFERROR(INDEX($Q$6:$Q$505,MATCH(438,$S$6:$S$505,0)),"")</f>
        <v/>
      </c>
      <c r="D443" s="161" t="str">
        <f>IF(C443="","",COUNTIFS(Başvuru!$C:$C,C443,Başvuru!$A:$A,"&lt;&gt;"&amp;"",Başvuru!$F:$F,"&lt;&gt;"&amp;""))</f>
        <v/>
      </c>
      <c r="E443" s="159" t="str">
        <f>IF(C443="","-",IF(D443&gt;0,TEXT(D443/(COUNTIFS(Başvuru!$A:$A,"&lt;&gt;",Başvuru!$F:$F,"&lt;&gt;")-1)*100,"0.0")&amp;"%","-"))</f>
        <v>-</v>
      </c>
      <c r="F443" s="162" t="str">
        <f>IF(C443="","",COUNTIFS(Başvuru!$C:$C,C443,Başvuru!$G:$G,"Bireysel Araştırma",Başvuru!$A:$A,"&lt;&gt;"&amp;"",Başvuru!$F:$F,"&lt;&gt;"&amp;""))</f>
        <v/>
      </c>
      <c r="G443" s="162" t="str">
        <f>IF(C443="","",COUNTIFS(Başvuru!$C:$C,C443,Başvuru!$G:$G,"Uzmanlık Tezi",Başvuru!$A:$A,"&lt;&gt;"&amp;"",Başvuru!$F:$F,"&lt;&gt;"&amp;""))</f>
        <v/>
      </c>
      <c r="H443" s="162" t="str">
        <f>IF(C443="","",COUNTIFS(Başvuru!$C:$C,C443,Başvuru!$G:$G,"Doktora Tezi",Başvuru!$A:$A,"&lt;&gt;"&amp;"",Başvuru!$F:$F,"&lt;&gt;"&amp;""))</f>
        <v/>
      </c>
      <c r="I443" s="162" t="str">
        <f>IF(C443="","",COUNTIFS(Başvuru!$C:$C,C443,Başvuru!$G:$G,"Yüksek Lisans Tezi",Başvuru!$A:$A,"&lt;&gt;"&amp;"",Başvuru!$F:$F,"&lt;&gt;"&amp;""))</f>
        <v/>
      </c>
      <c r="J443" s="163" t="str">
        <f>IF(C443="","",COUNTIFS(Başvuru!$C:$C,C443,Başvuru!$L:$L,"ONAY",Başvuru!$A:$A,"&lt;&gt;"&amp;"",Başvuru!$F:$F,"&lt;&gt;"&amp;""))</f>
        <v/>
      </c>
      <c r="K443" s="164" t="str">
        <f>IF(C443="","",COUNTIFS(Başvuru!$C:$C,C443,Başvuru!$L:$L,"DÜZELTME",Başvuru!$A:$A,"&lt;&gt;"&amp;"",Başvuru!$F:$F,"&lt;&gt;"&amp;""))</f>
        <v/>
      </c>
      <c r="L443" s="165" t="str">
        <f>IF(C443="","",COUNTIFS(Başvuru!$C:$C,C443,Başvuru!$L:$L,"KAEK",Başvuru!$A:$A,"&lt;&gt;"&amp;"",Başvuru!$F:$F,"&lt;&gt;"&amp;""))</f>
        <v/>
      </c>
      <c r="M443" s="166" t="str">
        <f>IF(C443="","",COUNTIFS(Başvuru!$C:$C,C443,Başvuru!$L:$L,"GÖRÜŞ",Başvuru!$A:$A,"&lt;&gt;"&amp;"",Başvuru!$F:$F,"&lt;&gt;"&amp;""))</f>
        <v/>
      </c>
      <c r="N443" s="167" t="str">
        <f>IF(C443="","",COUNTIFS(Başvuru!$C:$C,C443,Başvuru!$L:$L,"RET",Başvuru!$A:$A,"&lt;&gt;"&amp;"",Başvuru!$F:$F,"&lt;&gt;"&amp;""))</f>
        <v/>
      </c>
      <c r="O443" s="168" t="str">
        <f>IF(C443="","",COUNTIFS(Başvuru!$C:$C,C443,Başvuru!$L:$L,"KAPSAM DIŞI",Başvuru!$A:$A,"&lt;&gt;"&amp;"",Başvuru!$F:$F,"&lt;&gt;"&amp;""))</f>
        <v/>
      </c>
      <c r="P443" s="169" t="str">
        <f>IF(C443="","",COUNTIFS(Başvuru!$C:$C,C443,Başvuru!$L:$L,"GERİ ÇEKİLDİ",Başvuru!$A:$A,"&lt;&gt;"&amp;"",Başvuru!$F:$F,"&lt;&gt;"&amp;""))</f>
        <v/>
      </c>
      <c r="Q443" s="170" t="str">
        <f t="array" ref="Q443">IFERROR(INDEX(Başvuru!$C$2:$C$3000, MATCH(0, COUNTIF($Q$5:Q442, Başvuru!$C$2:$C$3000) + IF(Başvuru!$C$2:$C$3000="",1,0), 0)), "")</f>
        <v/>
      </c>
      <c r="R443" s="171" t="str">
        <f>IF(Q443="","",COUNTIFS(Başvuru!$C:$C,Q443,Başvuru!$A:$A,"&lt;&gt;"&amp;"",Başvuru!$F:$F,"&lt;&gt;"&amp;""))</f>
        <v/>
      </c>
      <c r="S443" s="171" t="str">
        <f>IF(R443="","",RANK(R443,$R$6:$R$505,0)+COUNTIF($R$6:R443,R443)-1)</f>
        <v/>
      </c>
    </row>
    <row r="444" spans="2:19" ht="23.25" customHeight="1" x14ac:dyDescent="0.25">
      <c r="B444" s="159">
        <v>439</v>
      </c>
      <c r="C444" s="160" t="str">
        <f>IFERROR(INDEX($Q$6:$Q$505,MATCH(439,$S$6:$S$505,0)),"")</f>
        <v/>
      </c>
      <c r="D444" s="161" t="str">
        <f>IF(C444="","",COUNTIFS(Başvuru!$C:$C,C444,Başvuru!$A:$A,"&lt;&gt;"&amp;"",Başvuru!$F:$F,"&lt;&gt;"&amp;""))</f>
        <v/>
      </c>
      <c r="E444" s="159" t="str">
        <f>IF(C444="","-",IF(D444&gt;0,TEXT(D444/(COUNTIFS(Başvuru!$A:$A,"&lt;&gt;",Başvuru!$F:$F,"&lt;&gt;")-1)*100,"0.0")&amp;"%","-"))</f>
        <v>-</v>
      </c>
      <c r="F444" s="162" t="str">
        <f>IF(C444="","",COUNTIFS(Başvuru!$C:$C,C444,Başvuru!$G:$G,"Bireysel Araştırma",Başvuru!$A:$A,"&lt;&gt;"&amp;"",Başvuru!$F:$F,"&lt;&gt;"&amp;""))</f>
        <v/>
      </c>
      <c r="G444" s="162" t="str">
        <f>IF(C444="","",COUNTIFS(Başvuru!$C:$C,C444,Başvuru!$G:$G,"Uzmanlık Tezi",Başvuru!$A:$A,"&lt;&gt;"&amp;"",Başvuru!$F:$F,"&lt;&gt;"&amp;""))</f>
        <v/>
      </c>
      <c r="H444" s="162" t="str">
        <f>IF(C444="","",COUNTIFS(Başvuru!$C:$C,C444,Başvuru!$G:$G,"Doktora Tezi",Başvuru!$A:$A,"&lt;&gt;"&amp;"",Başvuru!$F:$F,"&lt;&gt;"&amp;""))</f>
        <v/>
      </c>
      <c r="I444" s="162" t="str">
        <f>IF(C444="","",COUNTIFS(Başvuru!$C:$C,C444,Başvuru!$G:$G,"Yüksek Lisans Tezi",Başvuru!$A:$A,"&lt;&gt;"&amp;"",Başvuru!$F:$F,"&lt;&gt;"&amp;""))</f>
        <v/>
      </c>
      <c r="J444" s="163" t="str">
        <f>IF(C444="","",COUNTIFS(Başvuru!$C:$C,C444,Başvuru!$L:$L,"ONAY",Başvuru!$A:$A,"&lt;&gt;"&amp;"",Başvuru!$F:$F,"&lt;&gt;"&amp;""))</f>
        <v/>
      </c>
      <c r="K444" s="164" t="str">
        <f>IF(C444="","",COUNTIFS(Başvuru!$C:$C,C444,Başvuru!$L:$L,"DÜZELTME",Başvuru!$A:$A,"&lt;&gt;"&amp;"",Başvuru!$F:$F,"&lt;&gt;"&amp;""))</f>
        <v/>
      </c>
      <c r="L444" s="165" t="str">
        <f>IF(C444="","",COUNTIFS(Başvuru!$C:$C,C444,Başvuru!$L:$L,"KAEK",Başvuru!$A:$A,"&lt;&gt;"&amp;"",Başvuru!$F:$F,"&lt;&gt;"&amp;""))</f>
        <v/>
      </c>
      <c r="M444" s="166" t="str">
        <f>IF(C444="","",COUNTIFS(Başvuru!$C:$C,C444,Başvuru!$L:$L,"GÖRÜŞ",Başvuru!$A:$A,"&lt;&gt;"&amp;"",Başvuru!$F:$F,"&lt;&gt;"&amp;""))</f>
        <v/>
      </c>
      <c r="N444" s="167" t="str">
        <f>IF(C444="","",COUNTIFS(Başvuru!$C:$C,C444,Başvuru!$L:$L,"RET",Başvuru!$A:$A,"&lt;&gt;"&amp;"",Başvuru!$F:$F,"&lt;&gt;"&amp;""))</f>
        <v/>
      </c>
      <c r="O444" s="168" t="str">
        <f>IF(C444="","",COUNTIFS(Başvuru!$C:$C,C444,Başvuru!$L:$L,"KAPSAM DIŞI",Başvuru!$A:$A,"&lt;&gt;"&amp;"",Başvuru!$F:$F,"&lt;&gt;"&amp;""))</f>
        <v/>
      </c>
      <c r="P444" s="169" t="str">
        <f>IF(C444="","",COUNTIFS(Başvuru!$C:$C,C444,Başvuru!$L:$L,"GERİ ÇEKİLDİ",Başvuru!$A:$A,"&lt;&gt;"&amp;"",Başvuru!$F:$F,"&lt;&gt;"&amp;""))</f>
        <v/>
      </c>
      <c r="Q444" s="170" t="str">
        <f t="array" ref="Q444">IFERROR(INDEX(Başvuru!$C$2:$C$3000, MATCH(0, COUNTIF($Q$5:Q443, Başvuru!$C$2:$C$3000) + IF(Başvuru!$C$2:$C$3000="",1,0), 0)), "")</f>
        <v/>
      </c>
      <c r="R444" s="171" t="str">
        <f>IF(Q444="","",COUNTIFS(Başvuru!$C:$C,Q444,Başvuru!$A:$A,"&lt;&gt;"&amp;"",Başvuru!$F:$F,"&lt;&gt;"&amp;""))</f>
        <v/>
      </c>
      <c r="S444" s="171" t="str">
        <f>IF(R444="","",RANK(R444,$R$6:$R$505,0)+COUNTIF($R$6:R444,R444)-1)</f>
        <v/>
      </c>
    </row>
    <row r="445" spans="2:19" ht="23.25" customHeight="1" x14ac:dyDescent="0.25">
      <c r="B445" s="159">
        <v>440</v>
      </c>
      <c r="C445" s="160" t="str">
        <f>IFERROR(INDEX($Q$6:$Q$505,MATCH(440,$S$6:$S$505,0)),"")</f>
        <v/>
      </c>
      <c r="D445" s="161" t="str">
        <f>IF(C445="","",COUNTIFS(Başvuru!$C:$C,C445,Başvuru!$A:$A,"&lt;&gt;"&amp;"",Başvuru!$F:$F,"&lt;&gt;"&amp;""))</f>
        <v/>
      </c>
      <c r="E445" s="159" t="str">
        <f>IF(C445="","-",IF(D445&gt;0,TEXT(D445/(COUNTIFS(Başvuru!$A:$A,"&lt;&gt;",Başvuru!$F:$F,"&lt;&gt;")-1)*100,"0.0")&amp;"%","-"))</f>
        <v>-</v>
      </c>
      <c r="F445" s="162" t="str">
        <f>IF(C445="","",COUNTIFS(Başvuru!$C:$C,C445,Başvuru!$G:$G,"Bireysel Araştırma",Başvuru!$A:$A,"&lt;&gt;"&amp;"",Başvuru!$F:$F,"&lt;&gt;"&amp;""))</f>
        <v/>
      </c>
      <c r="G445" s="162" t="str">
        <f>IF(C445="","",COUNTIFS(Başvuru!$C:$C,C445,Başvuru!$G:$G,"Uzmanlık Tezi",Başvuru!$A:$A,"&lt;&gt;"&amp;"",Başvuru!$F:$F,"&lt;&gt;"&amp;""))</f>
        <v/>
      </c>
      <c r="H445" s="162" t="str">
        <f>IF(C445="","",COUNTIFS(Başvuru!$C:$C,C445,Başvuru!$G:$G,"Doktora Tezi",Başvuru!$A:$A,"&lt;&gt;"&amp;"",Başvuru!$F:$F,"&lt;&gt;"&amp;""))</f>
        <v/>
      </c>
      <c r="I445" s="162" t="str">
        <f>IF(C445="","",COUNTIFS(Başvuru!$C:$C,C445,Başvuru!$G:$G,"Yüksek Lisans Tezi",Başvuru!$A:$A,"&lt;&gt;"&amp;"",Başvuru!$F:$F,"&lt;&gt;"&amp;""))</f>
        <v/>
      </c>
      <c r="J445" s="163" t="str">
        <f>IF(C445="","",COUNTIFS(Başvuru!$C:$C,C445,Başvuru!$L:$L,"ONAY",Başvuru!$A:$A,"&lt;&gt;"&amp;"",Başvuru!$F:$F,"&lt;&gt;"&amp;""))</f>
        <v/>
      </c>
      <c r="K445" s="164" t="str">
        <f>IF(C445="","",COUNTIFS(Başvuru!$C:$C,C445,Başvuru!$L:$L,"DÜZELTME",Başvuru!$A:$A,"&lt;&gt;"&amp;"",Başvuru!$F:$F,"&lt;&gt;"&amp;""))</f>
        <v/>
      </c>
      <c r="L445" s="165" t="str">
        <f>IF(C445="","",COUNTIFS(Başvuru!$C:$C,C445,Başvuru!$L:$L,"KAEK",Başvuru!$A:$A,"&lt;&gt;"&amp;"",Başvuru!$F:$F,"&lt;&gt;"&amp;""))</f>
        <v/>
      </c>
      <c r="M445" s="166" t="str">
        <f>IF(C445="","",COUNTIFS(Başvuru!$C:$C,C445,Başvuru!$L:$L,"GÖRÜŞ",Başvuru!$A:$A,"&lt;&gt;"&amp;"",Başvuru!$F:$F,"&lt;&gt;"&amp;""))</f>
        <v/>
      </c>
      <c r="N445" s="167" t="str">
        <f>IF(C445="","",COUNTIFS(Başvuru!$C:$C,C445,Başvuru!$L:$L,"RET",Başvuru!$A:$A,"&lt;&gt;"&amp;"",Başvuru!$F:$F,"&lt;&gt;"&amp;""))</f>
        <v/>
      </c>
      <c r="O445" s="168" t="str">
        <f>IF(C445="","",COUNTIFS(Başvuru!$C:$C,C445,Başvuru!$L:$L,"KAPSAM DIŞI",Başvuru!$A:$A,"&lt;&gt;"&amp;"",Başvuru!$F:$F,"&lt;&gt;"&amp;""))</f>
        <v/>
      </c>
      <c r="P445" s="169" t="str">
        <f>IF(C445="","",COUNTIFS(Başvuru!$C:$C,C445,Başvuru!$L:$L,"GERİ ÇEKİLDİ",Başvuru!$A:$A,"&lt;&gt;"&amp;"",Başvuru!$F:$F,"&lt;&gt;"&amp;""))</f>
        <v/>
      </c>
      <c r="Q445" s="170" t="str">
        <f t="array" ref="Q445">IFERROR(INDEX(Başvuru!$C$2:$C$3000, MATCH(0, COUNTIF($Q$5:Q444, Başvuru!$C$2:$C$3000) + IF(Başvuru!$C$2:$C$3000="",1,0), 0)), "")</f>
        <v/>
      </c>
      <c r="R445" s="171" t="str">
        <f>IF(Q445="","",COUNTIFS(Başvuru!$C:$C,Q445,Başvuru!$A:$A,"&lt;&gt;"&amp;"",Başvuru!$F:$F,"&lt;&gt;"&amp;""))</f>
        <v/>
      </c>
      <c r="S445" s="171" t="str">
        <f>IF(R445="","",RANK(R445,$R$6:$R$505,0)+COUNTIF($R$6:R445,R445)-1)</f>
        <v/>
      </c>
    </row>
    <row r="446" spans="2:19" ht="23.25" customHeight="1" x14ac:dyDescent="0.25">
      <c r="B446" s="159">
        <v>441</v>
      </c>
      <c r="C446" s="160" t="str">
        <f>IFERROR(INDEX($Q$6:$Q$505,MATCH(441,$S$6:$S$505,0)),"")</f>
        <v/>
      </c>
      <c r="D446" s="161" t="str">
        <f>IF(C446="","",COUNTIFS(Başvuru!$C:$C,C446,Başvuru!$A:$A,"&lt;&gt;"&amp;"",Başvuru!$F:$F,"&lt;&gt;"&amp;""))</f>
        <v/>
      </c>
      <c r="E446" s="159" t="str">
        <f>IF(C446="","-",IF(D446&gt;0,TEXT(D446/(COUNTIFS(Başvuru!$A:$A,"&lt;&gt;",Başvuru!$F:$F,"&lt;&gt;")-1)*100,"0.0")&amp;"%","-"))</f>
        <v>-</v>
      </c>
      <c r="F446" s="162" t="str">
        <f>IF(C446="","",COUNTIFS(Başvuru!$C:$C,C446,Başvuru!$G:$G,"Bireysel Araştırma",Başvuru!$A:$A,"&lt;&gt;"&amp;"",Başvuru!$F:$F,"&lt;&gt;"&amp;""))</f>
        <v/>
      </c>
      <c r="G446" s="162" t="str">
        <f>IF(C446="","",COUNTIFS(Başvuru!$C:$C,C446,Başvuru!$G:$G,"Uzmanlık Tezi",Başvuru!$A:$A,"&lt;&gt;"&amp;"",Başvuru!$F:$F,"&lt;&gt;"&amp;""))</f>
        <v/>
      </c>
      <c r="H446" s="162" t="str">
        <f>IF(C446="","",COUNTIFS(Başvuru!$C:$C,C446,Başvuru!$G:$G,"Doktora Tezi",Başvuru!$A:$A,"&lt;&gt;"&amp;"",Başvuru!$F:$F,"&lt;&gt;"&amp;""))</f>
        <v/>
      </c>
      <c r="I446" s="162" t="str">
        <f>IF(C446="","",COUNTIFS(Başvuru!$C:$C,C446,Başvuru!$G:$G,"Yüksek Lisans Tezi",Başvuru!$A:$A,"&lt;&gt;"&amp;"",Başvuru!$F:$F,"&lt;&gt;"&amp;""))</f>
        <v/>
      </c>
      <c r="J446" s="163" t="str">
        <f>IF(C446="","",COUNTIFS(Başvuru!$C:$C,C446,Başvuru!$L:$L,"ONAY",Başvuru!$A:$A,"&lt;&gt;"&amp;"",Başvuru!$F:$F,"&lt;&gt;"&amp;""))</f>
        <v/>
      </c>
      <c r="K446" s="164" t="str">
        <f>IF(C446="","",COUNTIFS(Başvuru!$C:$C,C446,Başvuru!$L:$L,"DÜZELTME",Başvuru!$A:$A,"&lt;&gt;"&amp;"",Başvuru!$F:$F,"&lt;&gt;"&amp;""))</f>
        <v/>
      </c>
      <c r="L446" s="165" t="str">
        <f>IF(C446="","",COUNTIFS(Başvuru!$C:$C,C446,Başvuru!$L:$L,"KAEK",Başvuru!$A:$A,"&lt;&gt;"&amp;"",Başvuru!$F:$F,"&lt;&gt;"&amp;""))</f>
        <v/>
      </c>
      <c r="M446" s="166" t="str">
        <f>IF(C446="","",COUNTIFS(Başvuru!$C:$C,C446,Başvuru!$L:$L,"GÖRÜŞ",Başvuru!$A:$A,"&lt;&gt;"&amp;"",Başvuru!$F:$F,"&lt;&gt;"&amp;""))</f>
        <v/>
      </c>
      <c r="N446" s="167" t="str">
        <f>IF(C446="","",COUNTIFS(Başvuru!$C:$C,C446,Başvuru!$L:$L,"RET",Başvuru!$A:$A,"&lt;&gt;"&amp;"",Başvuru!$F:$F,"&lt;&gt;"&amp;""))</f>
        <v/>
      </c>
      <c r="O446" s="168" t="str">
        <f>IF(C446="","",COUNTIFS(Başvuru!$C:$C,C446,Başvuru!$L:$L,"KAPSAM DIŞI",Başvuru!$A:$A,"&lt;&gt;"&amp;"",Başvuru!$F:$F,"&lt;&gt;"&amp;""))</f>
        <v/>
      </c>
      <c r="P446" s="169" t="str">
        <f>IF(C446="","",COUNTIFS(Başvuru!$C:$C,C446,Başvuru!$L:$L,"GERİ ÇEKİLDİ",Başvuru!$A:$A,"&lt;&gt;"&amp;"",Başvuru!$F:$F,"&lt;&gt;"&amp;""))</f>
        <v/>
      </c>
      <c r="Q446" s="170" t="str">
        <f t="array" ref="Q446">IFERROR(INDEX(Başvuru!$C$2:$C$3000, MATCH(0, COUNTIF($Q$5:Q445, Başvuru!$C$2:$C$3000) + IF(Başvuru!$C$2:$C$3000="",1,0), 0)), "")</f>
        <v/>
      </c>
      <c r="R446" s="171" t="str">
        <f>IF(Q446="","",COUNTIFS(Başvuru!$C:$C,Q446,Başvuru!$A:$A,"&lt;&gt;"&amp;"",Başvuru!$F:$F,"&lt;&gt;"&amp;""))</f>
        <v/>
      </c>
      <c r="S446" s="171" t="str">
        <f>IF(R446="","",RANK(R446,$R$6:$R$505,0)+COUNTIF($R$6:R446,R446)-1)</f>
        <v/>
      </c>
    </row>
    <row r="447" spans="2:19" ht="23.25" customHeight="1" x14ac:dyDescent="0.25">
      <c r="B447" s="159">
        <v>442</v>
      </c>
      <c r="C447" s="160" t="str">
        <f>IFERROR(INDEX($Q$6:$Q$505,MATCH(442,$S$6:$S$505,0)),"")</f>
        <v/>
      </c>
      <c r="D447" s="161" t="str">
        <f>IF(C447="","",COUNTIFS(Başvuru!$C:$C,C447,Başvuru!$A:$A,"&lt;&gt;"&amp;"",Başvuru!$F:$F,"&lt;&gt;"&amp;""))</f>
        <v/>
      </c>
      <c r="E447" s="159" t="str">
        <f>IF(C447="","-",IF(D447&gt;0,TEXT(D447/(COUNTIFS(Başvuru!$A:$A,"&lt;&gt;",Başvuru!$F:$F,"&lt;&gt;")-1)*100,"0.0")&amp;"%","-"))</f>
        <v>-</v>
      </c>
      <c r="F447" s="162" t="str">
        <f>IF(C447="","",COUNTIFS(Başvuru!$C:$C,C447,Başvuru!$G:$G,"Bireysel Araştırma",Başvuru!$A:$A,"&lt;&gt;"&amp;"",Başvuru!$F:$F,"&lt;&gt;"&amp;""))</f>
        <v/>
      </c>
      <c r="G447" s="162" t="str">
        <f>IF(C447="","",COUNTIFS(Başvuru!$C:$C,C447,Başvuru!$G:$G,"Uzmanlık Tezi",Başvuru!$A:$A,"&lt;&gt;"&amp;"",Başvuru!$F:$F,"&lt;&gt;"&amp;""))</f>
        <v/>
      </c>
      <c r="H447" s="162" t="str">
        <f>IF(C447="","",COUNTIFS(Başvuru!$C:$C,C447,Başvuru!$G:$G,"Doktora Tezi",Başvuru!$A:$A,"&lt;&gt;"&amp;"",Başvuru!$F:$F,"&lt;&gt;"&amp;""))</f>
        <v/>
      </c>
      <c r="I447" s="162" t="str">
        <f>IF(C447="","",COUNTIFS(Başvuru!$C:$C,C447,Başvuru!$G:$G,"Yüksek Lisans Tezi",Başvuru!$A:$A,"&lt;&gt;"&amp;"",Başvuru!$F:$F,"&lt;&gt;"&amp;""))</f>
        <v/>
      </c>
      <c r="J447" s="163" t="str">
        <f>IF(C447="","",COUNTIFS(Başvuru!$C:$C,C447,Başvuru!$L:$L,"ONAY",Başvuru!$A:$A,"&lt;&gt;"&amp;"",Başvuru!$F:$F,"&lt;&gt;"&amp;""))</f>
        <v/>
      </c>
      <c r="K447" s="164" t="str">
        <f>IF(C447="","",COUNTIFS(Başvuru!$C:$C,C447,Başvuru!$L:$L,"DÜZELTME",Başvuru!$A:$A,"&lt;&gt;"&amp;"",Başvuru!$F:$F,"&lt;&gt;"&amp;""))</f>
        <v/>
      </c>
      <c r="L447" s="165" t="str">
        <f>IF(C447="","",COUNTIFS(Başvuru!$C:$C,C447,Başvuru!$L:$L,"KAEK",Başvuru!$A:$A,"&lt;&gt;"&amp;"",Başvuru!$F:$F,"&lt;&gt;"&amp;""))</f>
        <v/>
      </c>
      <c r="M447" s="166" t="str">
        <f>IF(C447="","",COUNTIFS(Başvuru!$C:$C,C447,Başvuru!$L:$L,"GÖRÜŞ",Başvuru!$A:$A,"&lt;&gt;"&amp;"",Başvuru!$F:$F,"&lt;&gt;"&amp;""))</f>
        <v/>
      </c>
      <c r="N447" s="167" t="str">
        <f>IF(C447="","",COUNTIFS(Başvuru!$C:$C,C447,Başvuru!$L:$L,"RET",Başvuru!$A:$A,"&lt;&gt;"&amp;"",Başvuru!$F:$F,"&lt;&gt;"&amp;""))</f>
        <v/>
      </c>
      <c r="O447" s="168" t="str">
        <f>IF(C447="","",COUNTIFS(Başvuru!$C:$C,C447,Başvuru!$L:$L,"KAPSAM DIŞI",Başvuru!$A:$A,"&lt;&gt;"&amp;"",Başvuru!$F:$F,"&lt;&gt;"&amp;""))</f>
        <v/>
      </c>
      <c r="P447" s="169" t="str">
        <f>IF(C447="","",COUNTIFS(Başvuru!$C:$C,C447,Başvuru!$L:$L,"GERİ ÇEKİLDİ",Başvuru!$A:$A,"&lt;&gt;"&amp;"",Başvuru!$F:$F,"&lt;&gt;"&amp;""))</f>
        <v/>
      </c>
      <c r="Q447" s="170" t="str">
        <f t="array" ref="Q447">IFERROR(INDEX(Başvuru!$C$2:$C$3000, MATCH(0, COUNTIF($Q$5:Q446, Başvuru!$C$2:$C$3000) + IF(Başvuru!$C$2:$C$3000="",1,0), 0)), "")</f>
        <v/>
      </c>
      <c r="R447" s="171" t="str">
        <f>IF(Q447="","",COUNTIFS(Başvuru!$C:$C,Q447,Başvuru!$A:$A,"&lt;&gt;"&amp;"",Başvuru!$F:$F,"&lt;&gt;"&amp;""))</f>
        <v/>
      </c>
      <c r="S447" s="171" t="str">
        <f>IF(R447="","",RANK(R447,$R$6:$R$505,0)+COUNTIF($R$6:R447,R447)-1)</f>
        <v/>
      </c>
    </row>
    <row r="448" spans="2:19" ht="23.25" customHeight="1" x14ac:dyDescent="0.25">
      <c r="B448" s="159">
        <v>443</v>
      </c>
      <c r="C448" s="160" t="str">
        <f>IFERROR(INDEX($Q$6:$Q$505,MATCH(443,$S$6:$S$505,0)),"")</f>
        <v/>
      </c>
      <c r="D448" s="161" t="str">
        <f>IF(C448="","",COUNTIFS(Başvuru!$C:$C,C448,Başvuru!$A:$A,"&lt;&gt;"&amp;"",Başvuru!$F:$F,"&lt;&gt;"&amp;""))</f>
        <v/>
      </c>
      <c r="E448" s="159" t="str">
        <f>IF(C448="","-",IF(D448&gt;0,TEXT(D448/(COUNTIFS(Başvuru!$A:$A,"&lt;&gt;",Başvuru!$F:$F,"&lt;&gt;")-1)*100,"0.0")&amp;"%","-"))</f>
        <v>-</v>
      </c>
      <c r="F448" s="162" t="str">
        <f>IF(C448="","",COUNTIFS(Başvuru!$C:$C,C448,Başvuru!$G:$G,"Bireysel Araştırma",Başvuru!$A:$A,"&lt;&gt;"&amp;"",Başvuru!$F:$F,"&lt;&gt;"&amp;""))</f>
        <v/>
      </c>
      <c r="G448" s="162" t="str">
        <f>IF(C448="","",COUNTIFS(Başvuru!$C:$C,C448,Başvuru!$G:$G,"Uzmanlık Tezi",Başvuru!$A:$A,"&lt;&gt;"&amp;"",Başvuru!$F:$F,"&lt;&gt;"&amp;""))</f>
        <v/>
      </c>
      <c r="H448" s="162" t="str">
        <f>IF(C448="","",COUNTIFS(Başvuru!$C:$C,C448,Başvuru!$G:$G,"Doktora Tezi",Başvuru!$A:$A,"&lt;&gt;"&amp;"",Başvuru!$F:$F,"&lt;&gt;"&amp;""))</f>
        <v/>
      </c>
      <c r="I448" s="162" t="str">
        <f>IF(C448="","",COUNTIFS(Başvuru!$C:$C,C448,Başvuru!$G:$G,"Yüksek Lisans Tezi",Başvuru!$A:$A,"&lt;&gt;"&amp;"",Başvuru!$F:$F,"&lt;&gt;"&amp;""))</f>
        <v/>
      </c>
      <c r="J448" s="163" t="str">
        <f>IF(C448="","",COUNTIFS(Başvuru!$C:$C,C448,Başvuru!$L:$L,"ONAY",Başvuru!$A:$A,"&lt;&gt;"&amp;"",Başvuru!$F:$F,"&lt;&gt;"&amp;""))</f>
        <v/>
      </c>
      <c r="K448" s="164" t="str">
        <f>IF(C448="","",COUNTIFS(Başvuru!$C:$C,C448,Başvuru!$L:$L,"DÜZELTME",Başvuru!$A:$A,"&lt;&gt;"&amp;"",Başvuru!$F:$F,"&lt;&gt;"&amp;""))</f>
        <v/>
      </c>
      <c r="L448" s="165" t="str">
        <f>IF(C448="","",COUNTIFS(Başvuru!$C:$C,C448,Başvuru!$L:$L,"KAEK",Başvuru!$A:$A,"&lt;&gt;"&amp;"",Başvuru!$F:$F,"&lt;&gt;"&amp;""))</f>
        <v/>
      </c>
      <c r="M448" s="166" t="str">
        <f>IF(C448="","",COUNTIFS(Başvuru!$C:$C,C448,Başvuru!$L:$L,"GÖRÜŞ",Başvuru!$A:$A,"&lt;&gt;"&amp;"",Başvuru!$F:$F,"&lt;&gt;"&amp;""))</f>
        <v/>
      </c>
      <c r="N448" s="167" t="str">
        <f>IF(C448="","",COUNTIFS(Başvuru!$C:$C,C448,Başvuru!$L:$L,"RET",Başvuru!$A:$A,"&lt;&gt;"&amp;"",Başvuru!$F:$F,"&lt;&gt;"&amp;""))</f>
        <v/>
      </c>
      <c r="O448" s="168" t="str">
        <f>IF(C448="","",COUNTIFS(Başvuru!$C:$C,C448,Başvuru!$L:$L,"KAPSAM DIŞI",Başvuru!$A:$A,"&lt;&gt;"&amp;"",Başvuru!$F:$F,"&lt;&gt;"&amp;""))</f>
        <v/>
      </c>
      <c r="P448" s="169" t="str">
        <f>IF(C448="","",COUNTIFS(Başvuru!$C:$C,C448,Başvuru!$L:$L,"GERİ ÇEKİLDİ",Başvuru!$A:$A,"&lt;&gt;"&amp;"",Başvuru!$F:$F,"&lt;&gt;"&amp;""))</f>
        <v/>
      </c>
      <c r="Q448" s="170" t="str">
        <f t="array" ref="Q448">IFERROR(INDEX(Başvuru!$C$2:$C$3000, MATCH(0, COUNTIF($Q$5:Q447, Başvuru!$C$2:$C$3000) + IF(Başvuru!$C$2:$C$3000="",1,0), 0)), "")</f>
        <v/>
      </c>
      <c r="R448" s="171" t="str">
        <f>IF(Q448="","",COUNTIFS(Başvuru!$C:$C,Q448,Başvuru!$A:$A,"&lt;&gt;"&amp;"",Başvuru!$F:$F,"&lt;&gt;"&amp;""))</f>
        <v/>
      </c>
      <c r="S448" s="171" t="str">
        <f>IF(R448="","",RANK(R448,$R$6:$R$505,0)+COUNTIF($R$6:R448,R448)-1)</f>
        <v/>
      </c>
    </row>
    <row r="449" spans="2:19" ht="23.25" customHeight="1" x14ac:dyDescent="0.25">
      <c r="B449" s="159">
        <v>444</v>
      </c>
      <c r="C449" s="160" t="str">
        <f>IFERROR(INDEX($Q$6:$Q$505,MATCH(444,$S$6:$S$505,0)),"")</f>
        <v/>
      </c>
      <c r="D449" s="161" t="str">
        <f>IF(C449="","",COUNTIFS(Başvuru!$C:$C,C449,Başvuru!$A:$A,"&lt;&gt;"&amp;"",Başvuru!$F:$F,"&lt;&gt;"&amp;""))</f>
        <v/>
      </c>
      <c r="E449" s="159" t="str">
        <f>IF(C449="","-",IF(D449&gt;0,TEXT(D449/(COUNTIFS(Başvuru!$A:$A,"&lt;&gt;",Başvuru!$F:$F,"&lt;&gt;")-1)*100,"0.0")&amp;"%","-"))</f>
        <v>-</v>
      </c>
      <c r="F449" s="162" t="str">
        <f>IF(C449="","",COUNTIFS(Başvuru!$C:$C,C449,Başvuru!$G:$G,"Bireysel Araştırma",Başvuru!$A:$A,"&lt;&gt;"&amp;"",Başvuru!$F:$F,"&lt;&gt;"&amp;""))</f>
        <v/>
      </c>
      <c r="G449" s="162" t="str">
        <f>IF(C449="","",COUNTIFS(Başvuru!$C:$C,C449,Başvuru!$G:$G,"Uzmanlık Tezi",Başvuru!$A:$A,"&lt;&gt;"&amp;"",Başvuru!$F:$F,"&lt;&gt;"&amp;""))</f>
        <v/>
      </c>
      <c r="H449" s="162" t="str">
        <f>IF(C449="","",COUNTIFS(Başvuru!$C:$C,C449,Başvuru!$G:$G,"Doktora Tezi",Başvuru!$A:$A,"&lt;&gt;"&amp;"",Başvuru!$F:$F,"&lt;&gt;"&amp;""))</f>
        <v/>
      </c>
      <c r="I449" s="162" t="str">
        <f>IF(C449="","",COUNTIFS(Başvuru!$C:$C,C449,Başvuru!$G:$G,"Yüksek Lisans Tezi",Başvuru!$A:$A,"&lt;&gt;"&amp;"",Başvuru!$F:$F,"&lt;&gt;"&amp;""))</f>
        <v/>
      </c>
      <c r="J449" s="163" t="str">
        <f>IF(C449="","",COUNTIFS(Başvuru!$C:$C,C449,Başvuru!$L:$L,"ONAY",Başvuru!$A:$A,"&lt;&gt;"&amp;"",Başvuru!$F:$F,"&lt;&gt;"&amp;""))</f>
        <v/>
      </c>
      <c r="K449" s="164" t="str">
        <f>IF(C449="","",COUNTIFS(Başvuru!$C:$C,C449,Başvuru!$L:$L,"DÜZELTME",Başvuru!$A:$A,"&lt;&gt;"&amp;"",Başvuru!$F:$F,"&lt;&gt;"&amp;""))</f>
        <v/>
      </c>
      <c r="L449" s="165" t="str">
        <f>IF(C449="","",COUNTIFS(Başvuru!$C:$C,C449,Başvuru!$L:$L,"KAEK",Başvuru!$A:$A,"&lt;&gt;"&amp;"",Başvuru!$F:$F,"&lt;&gt;"&amp;""))</f>
        <v/>
      </c>
      <c r="M449" s="166" t="str">
        <f>IF(C449="","",COUNTIFS(Başvuru!$C:$C,C449,Başvuru!$L:$L,"GÖRÜŞ",Başvuru!$A:$A,"&lt;&gt;"&amp;"",Başvuru!$F:$F,"&lt;&gt;"&amp;""))</f>
        <v/>
      </c>
      <c r="N449" s="167" t="str">
        <f>IF(C449="","",COUNTIFS(Başvuru!$C:$C,C449,Başvuru!$L:$L,"RET",Başvuru!$A:$A,"&lt;&gt;"&amp;"",Başvuru!$F:$F,"&lt;&gt;"&amp;""))</f>
        <v/>
      </c>
      <c r="O449" s="168" t="str">
        <f>IF(C449="","",COUNTIFS(Başvuru!$C:$C,C449,Başvuru!$L:$L,"KAPSAM DIŞI",Başvuru!$A:$A,"&lt;&gt;"&amp;"",Başvuru!$F:$F,"&lt;&gt;"&amp;""))</f>
        <v/>
      </c>
      <c r="P449" s="169" t="str">
        <f>IF(C449="","",COUNTIFS(Başvuru!$C:$C,C449,Başvuru!$L:$L,"GERİ ÇEKİLDİ",Başvuru!$A:$A,"&lt;&gt;"&amp;"",Başvuru!$F:$F,"&lt;&gt;"&amp;""))</f>
        <v/>
      </c>
      <c r="Q449" s="170" t="str">
        <f t="array" ref="Q449">IFERROR(INDEX(Başvuru!$C$2:$C$3000, MATCH(0, COUNTIF($Q$5:Q448, Başvuru!$C$2:$C$3000) + IF(Başvuru!$C$2:$C$3000="",1,0), 0)), "")</f>
        <v/>
      </c>
      <c r="R449" s="171" t="str">
        <f>IF(Q449="","",COUNTIFS(Başvuru!$C:$C,Q449,Başvuru!$A:$A,"&lt;&gt;"&amp;"",Başvuru!$F:$F,"&lt;&gt;"&amp;""))</f>
        <v/>
      </c>
      <c r="S449" s="171" t="str">
        <f>IF(R449="","",RANK(R449,$R$6:$R$505,0)+COUNTIF($R$6:R449,R449)-1)</f>
        <v/>
      </c>
    </row>
    <row r="450" spans="2:19" ht="23.25" customHeight="1" x14ac:dyDescent="0.25">
      <c r="B450" s="159">
        <v>445</v>
      </c>
      <c r="C450" s="160" t="str">
        <f>IFERROR(INDEX($Q$6:$Q$505,MATCH(445,$S$6:$S$505,0)),"")</f>
        <v/>
      </c>
      <c r="D450" s="161" t="str">
        <f>IF(C450="","",COUNTIFS(Başvuru!$C:$C,C450,Başvuru!$A:$A,"&lt;&gt;"&amp;"",Başvuru!$F:$F,"&lt;&gt;"&amp;""))</f>
        <v/>
      </c>
      <c r="E450" s="159" t="str">
        <f>IF(C450="","-",IF(D450&gt;0,TEXT(D450/(COUNTIFS(Başvuru!$A:$A,"&lt;&gt;",Başvuru!$F:$F,"&lt;&gt;")-1)*100,"0.0")&amp;"%","-"))</f>
        <v>-</v>
      </c>
      <c r="F450" s="162" t="str">
        <f>IF(C450="","",COUNTIFS(Başvuru!$C:$C,C450,Başvuru!$G:$G,"Bireysel Araştırma",Başvuru!$A:$A,"&lt;&gt;"&amp;"",Başvuru!$F:$F,"&lt;&gt;"&amp;""))</f>
        <v/>
      </c>
      <c r="G450" s="162" t="str">
        <f>IF(C450="","",COUNTIFS(Başvuru!$C:$C,C450,Başvuru!$G:$G,"Uzmanlık Tezi",Başvuru!$A:$A,"&lt;&gt;"&amp;"",Başvuru!$F:$F,"&lt;&gt;"&amp;""))</f>
        <v/>
      </c>
      <c r="H450" s="162" t="str">
        <f>IF(C450="","",COUNTIFS(Başvuru!$C:$C,C450,Başvuru!$G:$G,"Doktora Tezi",Başvuru!$A:$A,"&lt;&gt;"&amp;"",Başvuru!$F:$F,"&lt;&gt;"&amp;""))</f>
        <v/>
      </c>
      <c r="I450" s="162" t="str">
        <f>IF(C450="","",COUNTIFS(Başvuru!$C:$C,C450,Başvuru!$G:$G,"Yüksek Lisans Tezi",Başvuru!$A:$A,"&lt;&gt;"&amp;"",Başvuru!$F:$F,"&lt;&gt;"&amp;""))</f>
        <v/>
      </c>
      <c r="J450" s="163" t="str">
        <f>IF(C450="","",COUNTIFS(Başvuru!$C:$C,C450,Başvuru!$L:$L,"ONAY",Başvuru!$A:$A,"&lt;&gt;"&amp;"",Başvuru!$F:$F,"&lt;&gt;"&amp;""))</f>
        <v/>
      </c>
      <c r="K450" s="164" t="str">
        <f>IF(C450="","",COUNTIFS(Başvuru!$C:$C,C450,Başvuru!$L:$L,"DÜZELTME",Başvuru!$A:$A,"&lt;&gt;"&amp;"",Başvuru!$F:$F,"&lt;&gt;"&amp;""))</f>
        <v/>
      </c>
      <c r="L450" s="165" t="str">
        <f>IF(C450="","",COUNTIFS(Başvuru!$C:$C,C450,Başvuru!$L:$L,"KAEK",Başvuru!$A:$A,"&lt;&gt;"&amp;"",Başvuru!$F:$F,"&lt;&gt;"&amp;""))</f>
        <v/>
      </c>
      <c r="M450" s="166" t="str">
        <f>IF(C450="","",COUNTIFS(Başvuru!$C:$C,C450,Başvuru!$L:$L,"GÖRÜŞ",Başvuru!$A:$A,"&lt;&gt;"&amp;"",Başvuru!$F:$F,"&lt;&gt;"&amp;""))</f>
        <v/>
      </c>
      <c r="N450" s="167" t="str">
        <f>IF(C450="","",COUNTIFS(Başvuru!$C:$C,C450,Başvuru!$L:$L,"RET",Başvuru!$A:$A,"&lt;&gt;"&amp;"",Başvuru!$F:$F,"&lt;&gt;"&amp;""))</f>
        <v/>
      </c>
      <c r="O450" s="168" t="str">
        <f>IF(C450="","",COUNTIFS(Başvuru!$C:$C,C450,Başvuru!$L:$L,"KAPSAM DIŞI",Başvuru!$A:$A,"&lt;&gt;"&amp;"",Başvuru!$F:$F,"&lt;&gt;"&amp;""))</f>
        <v/>
      </c>
      <c r="P450" s="169" t="str">
        <f>IF(C450="","",COUNTIFS(Başvuru!$C:$C,C450,Başvuru!$L:$L,"GERİ ÇEKİLDİ",Başvuru!$A:$A,"&lt;&gt;"&amp;"",Başvuru!$F:$F,"&lt;&gt;"&amp;""))</f>
        <v/>
      </c>
      <c r="Q450" s="170" t="str">
        <f t="array" ref="Q450">IFERROR(INDEX(Başvuru!$C$2:$C$3000, MATCH(0, COUNTIF($Q$5:Q449, Başvuru!$C$2:$C$3000) + IF(Başvuru!$C$2:$C$3000="",1,0), 0)), "")</f>
        <v/>
      </c>
      <c r="R450" s="171" t="str">
        <f>IF(Q450="","",COUNTIFS(Başvuru!$C:$C,Q450,Başvuru!$A:$A,"&lt;&gt;"&amp;"",Başvuru!$F:$F,"&lt;&gt;"&amp;""))</f>
        <v/>
      </c>
      <c r="S450" s="171" t="str">
        <f>IF(R450="","",RANK(R450,$R$6:$R$505,0)+COUNTIF($R$6:R450,R450)-1)</f>
        <v/>
      </c>
    </row>
    <row r="451" spans="2:19" ht="23.25" customHeight="1" x14ac:dyDescent="0.25">
      <c r="B451" s="159">
        <v>446</v>
      </c>
      <c r="C451" s="160" t="str">
        <f>IFERROR(INDEX($Q$6:$Q$505,MATCH(446,$S$6:$S$505,0)),"")</f>
        <v/>
      </c>
      <c r="D451" s="161" t="str">
        <f>IF(C451="","",COUNTIFS(Başvuru!$C:$C,C451,Başvuru!$A:$A,"&lt;&gt;"&amp;"",Başvuru!$F:$F,"&lt;&gt;"&amp;""))</f>
        <v/>
      </c>
      <c r="E451" s="159" t="str">
        <f>IF(C451="","-",IF(D451&gt;0,TEXT(D451/(COUNTIFS(Başvuru!$A:$A,"&lt;&gt;",Başvuru!$F:$F,"&lt;&gt;")-1)*100,"0.0")&amp;"%","-"))</f>
        <v>-</v>
      </c>
      <c r="F451" s="162" t="str">
        <f>IF(C451="","",COUNTIFS(Başvuru!$C:$C,C451,Başvuru!$G:$G,"Bireysel Araştırma",Başvuru!$A:$A,"&lt;&gt;"&amp;"",Başvuru!$F:$F,"&lt;&gt;"&amp;""))</f>
        <v/>
      </c>
      <c r="G451" s="162" t="str">
        <f>IF(C451="","",COUNTIFS(Başvuru!$C:$C,C451,Başvuru!$G:$G,"Uzmanlık Tezi",Başvuru!$A:$A,"&lt;&gt;"&amp;"",Başvuru!$F:$F,"&lt;&gt;"&amp;""))</f>
        <v/>
      </c>
      <c r="H451" s="162" t="str">
        <f>IF(C451="","",COUNTIFS(Başvuru!$C:$C,C451,Başvuru!$G:$G,"Doktora Tezi",Başvuru!$A:$A,"&lt;&gt;"&amp;"",Başvuru!$F:$F,"&lt;&gt;"&amp;""))</f>
        <v/>
      </c>
      <c r="I451" s="162" t="str">
        <f>IF(C451="","",COUNTIFS(Başvuru!$C:$C,C451,Başvuru!$G:$G,"Yüksek Lisans Tezi",Başvuru!$A:$A,"&lt;&gt;"&amp;"",Başvuru!$F:$F,"&lt;&gt;"&amp;""))</f>
        <v/>
      </c>
      <c r="J451" s="163" t="str">
        <f>IF(C451="","",COUNTIFS(Başvuru!$C:$C,C451,Başvuru!$L:$L,"ONAY",Başvuru!$A:$A,"&lt;&gt;"&amp;"",Başvuru!$F:$F,"&lt;&gt;"&amp;""))</f>
        <v/>
      </c>
      <c r="K451" s="164" t="str">
        <f>IF(C451="","",COUNTIFS(Başvuru!$C:$C,C451,Başvuru!$L:$L,"DÜZELTME",Başvuru!$A:$A,"&lt;&gt;"&amp;"",Başvuru!$F:$F,"&lt;&gt;"&amp;""))</f>
        <v/>
      </c>
      <c r="L451" s="165" t="str">
        <f>IF(C451="","",COUNTIFS(Başvuru!$C:$C,C451,Başvuru!$L:$L,"KAEK",Başvuru!$A:$A,"&lt;&gt;"&amp;"",Başvuru!$F:$F,"&lt;&gt;"&amp;""))</f>
        <v/>
      </c>
      <c r="M451" s="166" t="str">
        <f>IF(C451="","",COUNTIFS(Başvuru!$C:$C,C451,Başvuru!$L:$L,"GÖRÜŞ",Başvuru!$A:$A,"&lt;&gt;"&amp;"",Başvuru!$F:$F,"&lt;&gt;"&amp;""))</f>
        <v/>
      </c>
      <c r="N451" s="167" t="str">
        <f>IF(C451="","",COUNTIFS(Başvuru!$C:$C,C451,Başvuru!$L:$L,"RET",Başvuru!$A:$A,"&lt;&gt;"&amp;"",Başvuru!$F:$F,"&lt;&gt;"&amp;""))</f>
        <v/>
      </c>
      <c r="O451" s="168" t="str">
        <f>IF(C451="","",COUNTIFS(Başvuru!$C:$C,C451,Başvuru!$L:$L,"KAPSAM DIŞI",Başvuru!$A:$A,"&lt;&gt;"&amp;"",Başvuru!$F:$F,"&lt;&gt;"&amp;""))</f>
        <v/>
      </c>
      <c r="P451" s="169" t="str">
        <f>IF(C451="","",COUNTIFS(Başvuru!$C:$C,C451,Başvuru!$L:$L,"GERİ ÇEKİLDİ",Başvuru!$A:$A,"&lt;&gt;"&amp;"",Başvuru!$F:$F,"&lt;&gt;"&amp;""))</f>
        <v/>
      </c>
      <c r="Q451" s="170" t="str">
        <f t="array" ref="Q451">IFERROR(INDEX(Başvuru!$C$2:$C$3000, MATCH(0, COUNTIF($Q$5:Q450, Başvuru!$C$2:$C$3000) + IF(Başvuru!$C$2:$C$3000="",1,0), 0)), "")</f>
        <v/>
      </c>
      <c r="R451" s="171" t="str">
        <f>IF(Q451="","",COUNTIFS(Başvuru!$C:$C,Q451,Başvuru!$A:$A,"&lt;&gt;"&amp;"",Başvuru!$F:$F,"&lt;&gt;"&amp;""))</f>
        <v/>
      </c>
      <c r="S451" s="171" t="str">
        <f>IF(R451="","",RANK(R451,$R$6:$R$505,0)+COUNTIF($R$6:R451,R451)-1)</f>
        <v/>
      </c>
    </row>
    <row r="452" spans="2:19" ht="23.25" customHeight="1" x14ac:dyDescent="0.25">
      <c r="B452" s="159">
        <v>447</v>
      </c>
      <c r="C452" s="160" t="str">
        <f>IFERROR(INDEX($Q$6:$Q$505,MATCH(447,$S$6:$S$505,0)),"")</f>
        <v/>
      </c>
      <c r="D452" s="161" t="str">
        <f>IF(C452="","",COUNTIFS(Başvuru!$C:$C,C452,Başvuru!$A:$A,"&lt;&gt;"&amp;"",Başvuru!$F:$F,"&lt;&gt;"&amp;""))</f>
        <v/>
      </c>
      <c r="E452" s="159" t="str">
        <f>IF(C452="","-",IF(D452&gt;0,TEXT(D452/(COUNTIFS(Başvuru!$A:$A,"&lt;&gt;",Başvuru!$F:$F,"&lt;&gt;")-1)*100,"0.0")&amp;"%","-"))</f>
        <v>-</v>
      </c>
      <c r="F452" s="162" t="str">
        <f>IF(C452="","",COUNTIFS(Başvuru!$C:$C,C452,Başvuru!$G:$G,"Bireysel Araştırma",Başvuru!$A:$A,"&lt;&gt;"&amp;"",Başvuru!$F:$F,"&lt;&gt;"&amp;""))</f>
        <v/>
      </c>
      <c r="G452" s="162" t="str">
        <f>IF(C452="","",COUNTIFS(Başvuru!$C:$C,C452,Başvuru!$G:$G,"Uzmanlık Tezi",Başvuru!$A:$A,"&lt;&gt;"&amp;"",Başvuru!$F:$F,"&lt;&gt;"&amp;""))</f>
        <v/>
      </c>
      <c r="H452" s="162" t="str">
        <f>IF(C452="","",COUNTIFS(Başvuru!$C:$C,C452,Başvuru!$G:$G,"Doktora Tezi",Başvuru!$A:$A,"&lt;&gt;"&amp;"",Başvuru!$F:$F,"&lt;&gt;"&amp;""))</f>
        <v/>
      </c>
      <c r="I452" s="162" t="str">
        <f>IF(C452="","",COUNTIFS(Başvuru!$C:$C,C452,Başvuru!$G:$G,"Yüksek Lisans Tezi",Başvuru!$A:$A,"&lt;&gt;"&amp;"",Başvuru!$F:$F,"&lt;&gt;"&amp;""))</f>
        <v/>
      </c>
      <c r="J452" s="163" t="str">
        <f>IF(C452="","",COUNTIFS(Başvuru!$C:$C,C452,Başvuru!$L:$L,"ONAY",Başvuru!$A:$A,"&lt;&gt;"&amp;"",Başvuru!$F:$F,"&lt;&gt;"&amp;""))</f>
        <v/>
      </c>
      <c r="K452" s="164" t="str">
        <f>IF(C452="","",COUNTIFS(Başvuru!$C:$C,C452,Başvuru!$L:$L,"DÜZELTME",Başvuru!$A:$A,"&lt;&gt;"&amp;"",Başvuru!$F:$F,"&lt;&gt;"&amp;""))</f>
        <v/>
      </c>
      <c r="L452" s="165" t="str">
        <f>IF(C452="","",COUNTIFS(Başvuru!$C:$C,C452,Başvuru!$L:$L,"KAEK",Başvuru!$A:$A,"&lt;&gt;"&amp;"",Başvuru!$F:$F,"&lt;&gt;"&amp;""))</f>
        <v/>
      </c>
      <c r="M452" s="166" t="str">
        <f>IF(C452="","",COUNTIFS(Başvuru!$C:$C,C452,Başvuru!$L:$L,"GÖRÜŞ",Başvuru!$A:$A,"&lt;&gt;"&amp;"",Başvuru!$F:$F,"&lt;&gt;"&amp;""))</f>
        <v/>
      </c>
      <c r="N452" s="167" t="str">
        <f>IF(C452="","",COUNTIFS(Başvuru!$C:$C,C452,Başvuru!$L:$L,"RET",Başvuru!$A:$A,"&lt;&gt;"&amp;"",Başvuru!$F:$F,"&lt;&gt;"&amp;""))</f>
        <v/>
      </c>
      <c r="O452" s="168" t="str">
        <f>IF(C452="","",COUNTIFS(Başvuru!$C:$C,C452,Başvuru!$L:$L,"KAPSAM DIŞI",Başvuru!$A:$A,"&lt;&gt;"&amp;"",Başvuru!$F:$F,"&lt;&gt;"&amp;""))</f>
        <v/>
      </c>
      <c r="P452" s="169" t="str">
        <f>IF(C452="","",COUNTIFS(Başvuru!$C:$C,C452,Başvuru!$L:$L,"GERİ ÇEKİLDİ",Başvuru!$A:$A,"&lt;&gt;"&amp;"",Başvuru!$F:$F,"&lt;&gt;"&amp;""))</f>
        <v/>
      </c>
      <c r="Q452" s="170" t="str">
        <f t="array" ref="Q452">IFERROR(INDEX(Başvuru!$C$2:$C$3000, MATCH(0, COUNTIF($Q$5:Q451, Başvuru!$C$2:$C$3000) + IF(Başvuru!$C$2:$C$3000="",1,0), 0)), "")</f>
        <v/>
      </c>
      <c r="R452" s="171" t="str">
        <f>IF(Q452="","",COUNTIFS(Başvuru!$C:$C,Q452,Başvuru!$A:$A,"&lt;&gt;"&amp;"",Başvuru!$F:$F,"&lt;&gt;"&amp;""))</f>
        <v/>
      </c>
      <c r="S452" s="171" t="str">
        <f>IF(R452="","",RANK(R452,$R$6:$R$505,0)+COUNTIF($R$6:R452,R452)-1)</f>
        <v/>
      </c>
    </row>
    <row r="453" spans="2:19" ht="23.25" customHeight="1" x14ac:dyDescent="0.25">
      <c r="B453" s="159">
        <v>448</v>
      </c>
      <c r="C453" s="160" t="str">
        <f>IFERROR(INDEX($Q$6:$Q$505,MATCH(448,$S$6:$S$505,0)),"")</f>
        <v/>
      </c>
      <c r="D453" s="161" t="str">
        <f>IF(C453="","",COUNTIFS(Başvuru!$C:$C,C453,Başvuru!$A:$A,"&lt;&gt;"&amp;"",Başvuru!$F:$F,"&lt;&gt;"&amp;""))</f>
        <v/>
      </c>
      <c r="E453" s="159" t="str">
        <f>IF(C453="","-",IF(D453&gt;0,TEXT(D453/(COUNTIFS(Başvuru!$A:$A,"&lt;&gt;",Başvuru!$F:$F,"&lt;&gt;")-1)*100,"0.0")&amp;"%","-"))</f>
        <v>-</v>
      </c>
      <c r="F453" s="162" t="str">
        <f>IF(C453="","",COUNTIFS(Başvuru!$C:$C,C453,Başvuru!$G:$G,"Bireysel Araştırma",Başvuru!$A:$A,"&lt;&gt;"&amp;"",Başvuru!$F:$F,"&lt;&gt;"&amp;""))</f>
        <v/>
      </c>
      <c r="G453" s="162" t="str">
        <f>IF(C453="","",COUNTIFS(Başvuru!$C:$C,C453,Başvuru!$G:$G,"Uzmanlık Tezi",Başvuru!$A:$A,"&lt;&gt;"&amp;"",Başvuru!$F:$F,"&lt;&gt;"&amp;""))</f>
        <v/>
      </c>
      <c r="H453" s="162" t="str">
        <f>IF(C453="","",COUNTIFS(Başvuru!$C:$C,C453,Başvuru!$G:$G,"Doktora Tezi",Başvuru!$A:$A,"&lt;&gt;"&amp;"",Başvuru!$F:$F,"&lt;&gt;"&amp;""))</f>
        <v/>
      </c>
      <c r="I453" s="162" t="str">
        <f>IF(C453="","",COUNTIFS(Başvuru!$C:$C,C453,Başvuru!$G:$G,"Yüksek Lisans Tezi",Başvuru!$A:$A,"&lt;&gt;"&amp;"",Başvuru!$F:$F,"&lt;&gt;"&amp;""))</f>
        <v/>
      </c>
      <c r="J453" s="163" t="str">
        <f>IF(C453="","",COUNTIFS(Başvuru!$C:$C,C453,Başvuru!$L:$L,"ONAY",Başvuru!$A:$A,"&lt;&gt;"&amp;"",Başvuru!$F:$F,"&lt;&gt;"&amp;""))</f>
        <v/>
      </c>
      <c r="K453" s="164" t="str">
        <f>IF(C453="","",COUNTIFS(Başvuru!$C:$C,C453,Başvuru!$L:$L,"DÜZELTME",Başvuru!$A:$A,"&lt;&gt;"&amp;"",Başvuru!$F:$F,"&lt;&gt;"&amp;""))</f>
        <v/>
      </c>
      <c r="L453" s="165" t="str">
        <f>IF(C453="","",COUNTIFS(Başvuru!$C:$C,C453,Başvuru!$L:$L,"KAEK",Başvuru!$A:$A,"&lt;&gt;"&amp;"",Başvuru!$F:$F,"&lt;&gt;"&amp;""))</f>
        <v/>
      </c>
      <c r="M453" s="166" t="str">
        <f>IF(C453="","",COUNTIFS(Başvuru!$C:$C,C453,Başvuru!$L:$L,"GÖRÜŞ",Başvuru!$A:$A,"&lt;&gt;"&amp;"",Başvuru!$F:$F,"&lt;&gt;"&amp;""))</f>
        <v/>
      </c>
      <c r="N453" s="167" t="str">
        <f>IF(C453="","",COUNTIFS(Başvuru!$C:$C,C453,Başvuru!$L:$L,"RET",Başvuru!$A:$A,"&lt;&gt;"&amp;"",Başvuru!$F:$F,"&lt;&gt;"&amp;""))</f>
        <v/>
      </c>
      <c r="O453" s="168" t="str">
        <f>IF(C453="","",COUNTIFS(Başvuru!$C:$C,C453,Başvuru!$L:$L,"KAPSAM DIŞI",Başvuru!$A:$A,"&lt;&gt;"&amp;"",Başvuru!$F:$F,"&lt;&gt;"&amp;""))</f>
        <v/>
      </c>
      <c r="P453" s="169" t="str">
        <f>IF(C453="","",COUNTIFS(Başvuru!$C:$C,C453,Başvuru!$L:$L,"GERİ ÇEKİLDİ",Başvuru!$A:$A,"&lt;&gt;"&amp;"",Başvuru!$F:$F,"&lt;&gt;"&amp;""))</f>
        <v/>
      </c>
      <c r="Q453" s="170" t="str">
        <f t="array" ref="Q453">IFERROR(INDEX(Başvuru!$C$2:$C$3000, MATCH(0, COUNTIF($Q$5:Q452, Başvuru!$C$2:$C$3000) + IF(Başvuru!$C$2:$C$3000="",1,0), 0)), "")</f>
        <v/>
      </c>
      <c r="R453" s="171" t="str">
        <f>IF(Q453="","",COUNTIFS(Başvuru!$C:$C,Q453,Başvuru!$A:$A,"&lt;&gt;"&amp;"",Başvuru!$F:$F,"&lt;&gt;"&amp;""))</f>
        <v/>
      </c>
      <c r="S453" s="171" t="str">
        <f>IF(R453="","",RANK(R453,$R$6:$R$505,0)+COUNTIF($R$6:R453,R453)-1)</f>
        <v/>
      </c>
    </row>
    <row r="454" spans="2:19" ht="23.25" customHeight="1" x14ac:dyDescent="0.25">
      <c r="B454" s="159">
        <v>449</v>
      </c>
      <c r="C454" s="160" t="str">
        <f>IFERROR(INDEX($Q$6:$Q$505,MATCH(449,$S$6:$S$505,0)),"")</f>
        <v/>
      </c>
      <c r="D454" s="161" t="str">
        <f>IF(C454="","",COUNTIFS(Başvuru!$C:$C,C454,Başvuru!$A:$A,"&lt;&gt;"&amp;"",Başvuru!$F:$F,"&lt;&gt;"&amp;""))</f>
        <v/>
      </c>
      <c r="E454" s="159" t="str">
        <f>IF(C454="","-",IF(D454&gt;0,TEXT(D454/(COUNTIFS(Başvuru!$A:$A,"&lt;&gt;",Başvuru!$F:$F,"&lt;&gt;")-1)*100,"0.0")&amp;"%","-"))</f>
        <v>-</v>
      </c>
      <c r="F454" s="162" t="str">
        <f>IF(C454="","",COUNTIFS(Başvuru!$C:$C,C454,Başvuru!$G:$G,"Bireysel Araştırma",Başvuru!$A:$A,"&lt;&gt;"&amp;"",Başvuru!$F:$F,"&lt;&gt;"&amp;""))</f>
        <v/>
      </c>
      <c r="G454" s="162" t="str">
        <f>IF(C454="","",COUNTIFS(Başvuru!$C:$C,C454,Başvuru!$G:$G,"Uzmanlık Tezi",Başvuru!$A:$A,"&lt;&gt;"&amp;"",Başvuru!$F:$F,"&lt;&gt;"&amp;""))</f>
        <v/>
      </c>
      <c r="H454" s="162" t="str">
        <f>IF(C454="","",COUNTIFS(Başvuru!$C:$C,C454,Başvuru!$G:$G,"Doktora Tezi",Başvuru!$A:$A,"&lt;&gt;"&amp;"",Başvuru!$F:$F,"&lt;&gt;"&amp;""))</f>
        <v/>
      </c>
      <c r="I454" s="162" t="str">
        <f>IF(C454="","",COUNTIFS(Başvuru!$C:$C,C454,Başvuru!$G:$G,"Yüksek Lisans Tezi",Başvuru!$A:$A,"&lt;&gt;"&amp;"",Başvuru!$F:$F,"&lt;&gt;"&amp;""))</f>
        <v/>
      </c>
      <c r="J454" s="163" t="str">
        <f>IF(C454="","",COUNTIFS(Başvuru!$C:$C,C454,Başvuru!$L:$L,"ONAY",Başvuru!$A:$A,"&lt;&gt;"&amp;"",Başvuru!$F:$F,"&lt;&gt;"&amp;""))</f>
        <v/>
      </c>
      <c r="K454" s="164" t="str">
        <f>IF(C454="","",COUNTIFS(Başvuru!$C:$C,C454,Başvuru!$L:$L,"DÜZELTME",Başvuru!$A:$A,"&lt;&gt;"&amp;"",Başvuru!$F:$F,"&lt;&gt;"&amp;""))</f>
        <v/>
      </c>
      <c r="L454" s="165" t="str">
        <f>IF(C454="","",COUNTIFS(Başvuru!$C:$C,C454,Başvuru!$L:$L,"KAEK",Başvuru!$A:$A,"&lt;&gt;"&amp;"",Başvuru!$F:$F,"&lt;&gt;"&amp;""))</f>
        <v/>
      </c>
      <c r="M454" s="166" t="str">
        <f>IF(C454="","",COUNTIFS(Başvuru!$C:$C,C454,Başvuru!$L:$L,"GÖRÜŞ",Başvuru!$A:$A,"&lt;&gt;"&amp;"",Başvuru!$F:$F,"&lt;&gt;"&amp;""))</f>
        <v/>
      </c>
      <c r="N454" s="167" t="str">
        <f>IF(C454="","",COUNTIFS(Başvuru!$C:$C,C454,Başvuru!$L:$L,"RET",Başvuru!$A:$A,"&lt;&gt;"&amp;"",Başvuru!$F:$F,"&lt;&gt;"&amp;""))</f>
        <v/>
      </c>
      <c r="O454" s="168" t="str">
        <f>IF(C454="","",COUNTIFS(Başvuru!$C:$C,C454,Başvuru!$L:$L,"KAPSAM DIŞI",Başvuru!$A:$A,"&lt;&gt;"&amp;"",Başvuru!$F:$F,"&lt;&gt;"&amp;""))</f>
        <v/>
      </c>
      <c r="P454" s="169" t="str">
        <f>IF(C454="","",COUNTIFS(Başvuru!$C:$C,C454,Başvuru!$L:$L,"GERİ ÇEKİLDİ",Başvuru!$A:$A,"&lt;&gt;"&amp;"",Başvuru!$F:$F,"&lt;&gt;"&amp;""))</f>
        <v/>
      </c>
      <c r="Q454" s="170" t="str">
        <f t="array" ref="Q454">IFERROR(INDEX(Başvuru!$C$2:$C$3000, MATCH(0, COUNTIF($Q$5:Q453, Başvuru!$C$2:$C$3000) + IF(Başvuru!$C$2:$C$3000="",1,0), 0)), "")</f>
        <v/>
      </c>
      <c r="R454" s="171" t="str">
        <f>IF(Q454="","",COUNTIFS(Başvuru!$C:$C,Q454,Başvuru!$A:$A,"&lt;&gt;"&amp;"",Başvuru!$F:$F,"&lt;&gt;"&amp;""))</f>
        <v/>
      </c>
      <c r="S454" s="171" t="str">
        <f>IF(R454="","",RANK(R454,$R$6:$R$505,0)+COUNTIF($R$6:R454,R454)-1)</f>
        <v/>
      </c>
    </row>
    <row r="455" spans="2:19" ht="23.25" customHeight="1" x14ac:dyDescent="0.25">
      <c r="B455" s="159">
        <v>450</v>
      </c>
      <c r="C455" s="160" t="str">
        <f>IFERROR(INDEX($Q$6:$Q$505,MATCH(450,$S$6:$S$505,0)),"")</f>
        <v/>
      </c>
      <c r="D455" s="161" t="str">
        <f>IF(C455="","",COUNTIFS(Başvuru!$C:$C,C455,Başvuru!$A:$A,"&lt;&gt;"&amp;"",Başvuru!$F:$F,"&lt;&gt;"&amp;""))</f>
        <v/>
      </c>
      <c r="E455" s="159" t="str">
        <f>IF(C455="","-",IF(D455&gt;0,TEXT(D455/(COUNTIFS(Başvuru!$A:$A,"&lt;&gt;",Başvuru!$F:$F,"&lt;&gt;")-1)*100,"0.0")&amp;"%","-"))</f>
        <v>-</v>
      </c>
      <c r="F455" s="162" t="str">
        <f>IF(C455="","",COUNTIFS(Başvuru!$C:$C,C455,Başvuru!$G:$G,"Bireysel Araştırma",Başvuru!$A:$A,"&lt;&gt;"&amp;"",Başvuru!$F:$F,"&lt;&gt;"&amp;""))</f>
        <v/>
      </c>
      <c r="G455" s="162" t="str">
        <f>IF(C455="","",COUNTIFS(Başvuru!$C:$C,C455,Başvuru!$G:$G,"Uzmanlık Tezi",Başvuru!$A:$A,"&lt;&gt;"&amp;"",Başvuru!$F:$F,"&lt;&gt;"&amp;""))</f>
        <v/>
      </c>
      <c r="H455" s="162" t="str">
        <f>IF(C455="","",COUNTIFS(Başvuru!$C:$C,C455,Başvuru!$G:$G,"Doktora Tezi",Başvuru!$A:$A,"&lt;&gt;"&amp;"",Başvuru!$F:$F,"&lt;&gt;"&amp;""))</f>
        <v/>
      </c>
      <c r="I455" s="162" t="str">
        <f>IF(C455="","",COUNTIFS(Başvuru!$C:$C,C455,Başvuru!$G:$G,"Yüksek Lisans Tezi",Başvuru!$A:$A,"&lt;&gt;"&amp;"",Başvuru!$F:$F,"&lt;&gt;"&amp;""))</f>
        <v/>
      </c>
      <c r="J455" s="163" t="str">
        <f>IF(C455="","",COUNTIFS(Başvuru!$C:$C,C455,Başvuru!$L:$L,"ONAY",Başvuru!$A:$A,"&lt;&gt;"&amp;"",Başvuru!$F:$F,"&lt;&gt;"&amp;""))</f>
        <v/>
      </c>
      <c r="K455" s="164" t="str">
        <f>IF(C455="","",COUNTIFS(Başvuru!$C:$C,C455,Başvuru!$L:$L,"DÜZELTME",Başvuru!$A:$A,"&lt;&gt;"&amp;"",Başvuru!$F:$F,"&lt;&gt;"&amp;""))</f>
        <v/>
      </c>
      <c r="L455" s="165" t="str">
        <f>IF(C455="","",COUNTIFS(Başvuru!$C:$C,C455,Başvuru!$L:$L,"KAEK",Başvuru!$A:$A,"&lt;&gt;"&amp;"",Başvuru!$F:$F,"&lt;&gt;"&amp;""))</f>
        <v/>
      </c>
      <c r="M455" s="166" t="str">
        <f>IF(C455="","",COUNTIFS(Başvuru!$C:$C,C455,Başvuru!$L:$L,"GÖRÜŞ",Başvuru!$A:$A,"&lt;&gt;"&amp;"",Başvuru!$F:$F,"&lt;&gt;"&amp;""))</f>
        <v/>
      </c>
      <c r="N455" s="167" t="str">
        <f>IF(C455="","",COUNTIFS(Başvuru!$C:$C,C455,Başvuru!$L:$L,"RET",Başvuru!$A:$A,"&lt;&gt;"&amp;"",Başvuru!$F:$F,"&lt;&gt;"&amp;""))</f>
        <v/>
      </c>
      <c r="O455" s="168" t="str">
        <f>IF(C455="","",COUNTIFS(Başvuru!$C:$C,C455,Başvuru!$L:$L,"KAPSAM DIŞI",Başvuru!$A:$A,"&lt;&gt;"&amp;"",Başvuru!$F:$F,"&lt;&gt;"&amp;""))</f>
        <v/>
      </c>
      <c r="P455" s="169" t="str">
        <f>IF(C455="","",COUNTIFS(Başvuru!$C:$C,C455,Başvuru!$L:$L,"GERİ ÇEKİLDİ",Başvuru!$A:$A,"&lt;&gt;"&amp;"",Başvuru!$F:$F,"&lt;&gt;"&amp;""))</f>
        <v/>
      </c>
      <c r="Q455" s="170" t="str">
        <f t="array" ref="Q455">IFERROR(INDEX(Başvuru!$C$2:$C$3000, MATCH(0, COUNTIF($Q$5:Q454, Başvuru!$C$2:$C$3000) + IF(Başvuru!$C$2:$C$3000="",1,0), 0)), "")</f>
        <v/>
      </c>
      <c r="R455" s="171" t="str">
        <f>IF(Q455="","",COUNTIFS(Başvuru!$C:$C,Q455,Başvuru!$A:$A,"&lt;&gt;"&amp;"",Başvuru!$F:$F,"&lt;&gt;"&amp;""))</f>
        <v/>
      </c>
      <c r="S455" s="171" t="str">
        <f>IF(R455="","",RANK(R455,$R$6:$R$505,0)+COUNTIF($R$6:R455,R455)-1)</f>
        <v/>
      </c>
    </row>
    <row r="456" spans="2:19" ht="23.25" customHeight="1" x14ac:dyDescent="0.25">
      <c r="B456" s="159">
        <v>451</v>
      </c>
      <c r="C456" s="160" t="str">
        <f>IFERROR(INDEX($Q$6:$Q$505,MATCH(451,$S$6:$S$505,0)),"")</f>
        <v/>
      </c>
      <c r="D456" s="161" t="str">
        <f>IF(C456="","",COUNTIFS(Başvuru!$C:$C,C456,Başvuru!$A:$A,"&lt;&gt;"&amp;"",Başvuru!$F:$F,"&lt;&gt;"&amp;""))</f>
        <v/>
      </c>
      <c r="E456" s="159" t="str">
        <f>IF(C456="","-",IF(D456&gt;0,TEXT(D456/(COUNTIFS(Başvuru!$A:$A,"&lt;&gt;",Başvuru!$F:$F,"&lt;&gt;")-1)*100,"0.0")&amp;"%","-"))</f>
        <v>-</v>
      </c>
      <c r="F456" s="162" t="str">
        <f>IF(C456="","",COUNTIFS(Başvuru!$C:$C,C456,Başvuru!$G:$G,"Bireysel Araştırma",Başvuru!$A:$A,"&lt;&gt;"&amp;"",Başvuru!$F:$F,"&lt;&gt;"&amp;""))</f>
        <v/>
      </c>
      <c r="G456" s="162" t="str">
        <f>IF(C456="","",COUNTIFS(Başvuru!$C:$C,C456,Başvuru!$G:$G,"Uzmanlık Tezi",Başvuru!$A:$A,"&lt;&gt;"&amp;"",Başvuru!$F:$F,"&lt;&gt;"&amp;""))</f>
        <v/>
      </c>
      <c r="H456" s="162" t="str">
        <f>IF(C456="","",COUNTIFS(Başvuru!$C:$C,C456,Başvuru!$G:$G,"Doktora Tezi",Başvuru!$A:$A,"&lt;&gt;"&amp;"",Başvuru!$F:$F,"&lt;&gt;"&amp;""))</f>
        <v/>
      </c>
      <c r="I456" s="162" t="str">
        <f>IF(C456="","",COUNTIFS(Başvuru!$C:$C,C456,Başvuru!$G:$G,"Yüksek Lisans Tezi",Başvuru!$A:$A,"&lt;&gt;"&amp;"",Başvuru!$F:$F,"&lt;&gt;"&amp;""))</f>
        <v/>
      </c>
      <c r="J456" s="163" t="str">
        <f>IF(C456="","",COUNTIFS(Başvuru!$C:$C,C456,Başvuru!$L:$L,"ONAY",Başvuru!$A:$A,"&lt;&gt;"&amp;"",Başvuru!$F:$F,"&lt;&gt;"&amp;""))</f>
        <v/>
      </c>
      <c r="K456" s="164" t="str">
        <f>IF(C456="","",COUNTIFS(Başvuru!$C:$C,C456,Başvuru!$L:$L,"DÜZELTME",Başvuru!$A:$A,"&lt;&gt;"&amp;"",Başvuru!$F:$F,"&lt;&gt;"&amp;""))</f>
        <v/>
      </c>
      <c r="L456" s="165" t="str">
        <f>IF(C456="","",COUNTIFS(Başvuru!$C:$C,C456,Başvuru!$L:$L,"KAEK",Başvuru!$A:$A,"&lt;&gt;"&amp;"",Başvuru!$F:$F,"&lt;&gt;"&amp;""))</f>
        <v/>
      </c>
      <c r="M456" s="166" t="str">
        <f>IF(C456="","",COUNTIFS(Başvuru!$C:$C,C456,Başvuru!$L:$L,"GÖRÜŞ",Başvuru!$A:$A,"&lt;&gt;"&amp;"",Başvuru!$F:$F,"&lt;&gt;"&amp;""))</f>
        <v/>
      </c>
      <c r="N456" s="167" t="str">
        <f>IF(C456="","",COUNTIFS(Başvuru!$C:$C,C456,Başvuru!$L:$L,"RET",Başvuru!$A:$A,"&lt;&gt;"&amp;"",Başvuru!$F:$F,"&lt;&gt;"&amp;""))</f>
        <v/>
      </c>
      <c r="O456" s="168" t="str">
        <f>IF(C456="","",COUNTIFS(Başvuru!$C:$C,C456,Başvuru!$L:$L,"KAPSAM DIŞI",Başvuru!$A:$A,"&lt;&gt;"&amp;"",Başvuru!$F:$F,"&lt;&gt;"&amp;""))</f>
        <v/>
      </c>
      <c r="P456" s="169" t="str">
        <f>IF(C456="","",COUNTIFS(Başvuru!$C:$C,C456,Başvuru!$L:$L,"GERİ ÇEKİLDİ",Başvuru!$A:$A,"&lt;&gt;"&amp;"",Başvuru!$F:$F,"&lt;&gt;"&amp;""))</f>
        <v/>
      </c>
      <c r="Q456" s="170" t="str">
        <f t="array" ref="Q456">IFERROR(INDEX(Başvuru!$C$2:$C$3000, MATCH(0, COUNTIF($Q$5:Q455, Başvuru!$C$2:$C$3000) + IF(Başvuru!$C$2:$C$3000="",1,0), 0)), "")</f>
        <v/>
      </c>
      <c r="R456" s="171" t="str">
        <f>IF(Q456="","",COUNTIFS(Başvuru!$C:$C,Q456,Başvuru!$A:$A,"&lt;&gt;"&amp;"",Başvuru!$F:$F,"&lt;&gt;"&amp;""))</f>
        <v/>
      </c>
      <c r="S456" s="171" t="str">
        <f>IF(R456="","",RANK(R456,$R$6:$R$505,0)+COUNTIF($R$6:R456,R456)-1)</f>
        <v/>
      </c>
    </row>
    <row r="457" spans="2:19" ht="23.25" customHeight="1" x14ac:dyDescent="0.25">
      <c r="B457" s="159">
        <v>452</v>
      </c>
      <c r="C457" s="160" t="str">
        <f>IFERROR(INDEX($Q$6:$Q$505,MATCH(452,$S$6:$S$505,0)),"")</f>
        <v/>
      </c>
      <c r="D457" s="161" t="str">
        <f>IF(C457="","",COUNTIFS(Başvuru!$C:$C,C457,Başvuru!$A:$A,"&lt;&gt;"&amp;"",Başvuru!$F:$F,"&lt;&gt;"&amp;""))</f>
        <v/>
      </c>
      <c r="E457" s="159" t="str">
        <f>IF(C457="","-",IF(D457&gt;0,TEXT(D457/(COUNTIFS(Başvuru!$A:$A,"&lt;&gt;",Başvuru!$F:$F,"&lt;&gt;")-1)*100,"0.0")&amp;"%","-"))</f>
        <v>-</v>
      </c>
      <c r="F457" s="162" t="str">
        <f>IF(C457="","",COUNTIFS(Başvuru!$C:$C,C457,Başvuru!$G:$G,"Bireysel Araştırma",Başvuru!$A:$A,"&lt;&gt;"&amp;"",Başvuru!$F:$F,"&lt;&gt;"&amp;""))</f>
        <v/>
      </c>
      <c r="G457" s="162" t="str">
        <f>IF(C457="","",COUNTIFS(Başvuru!$C:$C,C457,Başvuru!$G:$G,"Uzmanlık Tezi",Başvuru!$A:$A,"&lt;&gt;"&amp;"",Başvuru!$F:$F,"&lt;&gt;"&amp;""))</f>
        <v/>
      </c>
      <c r="H457" s="162" t="str">
        <f>IF(C457="","",COUNTIFS(Başvuru!$C:$C,C457,Başvuru!$G:$G,"Doktora Tezi",Başvuru!$A:$A,"&lt;&gt;"&amp;"",Başvuru!$F:$F,"&lt;&gt;"&amp;""))</f>
        <v/>
      </c>
      <c r="I457" s="162" t="str">
        <f>IF(C457="","",COUNTIFS(Başvuru!$C:$C,C457,Başvuru!$G:$G,"Yüksek Lisans Tezi",Başvuru!$A:$A,"&lt;&gt;"&amp;"",Başvuru!$F:$F,"&lt;&gt;"&amp;""))</f>
        <v/>
      </c>
      <c r="J457" s="163" t="str">
        <f>IF(C457="","",COUNTIFS(Başvuru!$C:$C,C457,Başvuru!$L:$L,"ONAY",Başvuru!$A:$A,"&lt;&gt;"&amp;"",Başvuru!$F:$F,"&lt;&gt;"&amp;""))</f>
        <v/>
      </c>
      <c r="K457" s="164" t="str">
        <f>IF(C457="","",COUNTIFS(Başvuru!$C:$C,C457,Başvuru!$L:$L,"DÜZELTME",Başvuru!$A:$A,"&lt;&gt;"&amp;"",Başvuru!$F:$F,"&lt;&gt;"&amp;""))</f>
        <v/>
      </c>
      <c r="L457" s="165" t="str">
        <f>IF(C457="","",COUNTIFS(Başvuru!$C:$C,C457,Başvuru!$L:$L,"KAEK",Başvuru!$A:$A,"&lt;&gt;"&amp;"",Başvuru!$F:$F,"&lt;&gt;"&amp;""))</f>
        <v/>
      </c>
      <c r="M457" s="166" t="str">
        <f>IF(C457="","",COUNTIFS(Başvuru!$C:$C,C457,Başvuru!$L:$L,"GÖRÜŞ",Başvuru!$A:$A,"&lt;&gt;"&amp;"",Başvuru!$F:$F,"&lt;&gt;"&amp;""))</f>
        <v/>
      </c>
      <c r="N457" s="167" t="str">
        <f>IF(C457="","",COUNTIFS(Başvuru!$C:$C,C457,Başvuru!$L:$L,"RET",Başvuru!$A:$A,"&lt;&gt;"&amp;"",Başvuru!$F:$F,"&lt;&gt;"&amp;""))</f>
        <v/>
      </c>
      <c r="O457" s="168" t="str">
        <f>IF(C457="","",COUNTIFS(Başvuru!$C:$C,C457,Başvuru!$L:$L,"KAPSAM DIŞI",Başvuru!$A:$A,"&lt;&gt;"&amp;"",Başvuru!$F:$F,"&lt;&gt;"&amp;""))</f>
        <v/>
      </c>
      <c r="P457" s="169" t="str">
        <f>IF(C457="","",COUNTIFS(Başvuru!$C:$C,C457,Başvuru!$L:$L,"GERİ ÇEKİLDİ",Başvuru!$A:$A,"&lt;&gt;"&amp;"",Başvuru!$F:$F,"&lt;&gt;"&amp;""))</f>
        <v/>
      </c>
      <c r="Q457" s="170" t="str">
        <f t="array" ref="Q457">IFERROR(INDEX(Başvuru!$C$2:$C$3000, MATCH(0, COUNTIF($Q$5:Q456, Başvuru!$C$2:$C$3000) + IF(Başvuru!$C$2:$C$3000="",1,0), 0)), "")</f>
        <v/>
      </c>
      <c r="R457" s="171" t="str">
        <f>IF(Q457="","",COUNTIFS(Başvuru!$C:$C,Q457,Başvuru!$A:$A,"&lt;&gt;"&amp;"",Başvuru!$F:$F,"&lt;&gt;"&amp;""))</f>
        <v/>
      </c>
      <c r="S457" s="171" t="str">
        <f>IF(R457="","",RANK(R457,$R$6:$R$505,0)+COUNTIF($R$6:R457,R457)-1)</f>
        <v/>
      </c>
    </row>
    <row r="458" spans="2:19" ht="23.25" customHeight="1" x14ac:dyDescent="0.25">
      <c r="B458" s="159">
        <v>453</v>
      </c>
      <c r="C458" s="160" t="str">
        <f>IFERROR(INDEX($Q$6:$Q$505,MATCH(453,$S$6:$S$505,0)),"")</f>
        <v/>
      </c>
      <c r="D458" s="161" t="str">
        <f>IF(C458="","",COUNTIFS(Başvuru!$C:$C,C458,Başvuru!$A:$A,"&lt;&gt;"&amp;"",Başvuru!$F:$F,"&lt;&gt;"&amp;""))</f>
        <v/>
      </c>
      <c r="E458" s="159" t="str">
        <f>IF(C458="","-",IF(D458&gt;0,TEXT(D458/(COUNTIFS(Başvuru!$A:$A,"&lt;&gt;",Başvuru!$F:$F,"&lt;&gt;")-1)*100,"0.0")&amp;"%","-"))</f>
        <v>-</v>
      </c>
      <c r="F458" s="162" t="str">
        <f>IF(C458="","",COUNTIFS(Başvuru!$C:$C,C458,Başvuru!$G:$G,"Bireysel Araştırma",Başvuru!$A:$A,"&lt;&gt;"&amp;"",Başvuru!$F:$F,"&lt;&gt;"&amp;""))</f>
        <v/>
      </c>
      <c r="G458" s="162" t="str">
        <f>IF(C458="","",COUNTIFS(Başvuru!$C:$C,C458,Başvuru!$G:$G,"Uzmanlık Tezi",Başvuru!$A:$A,"&lt;&gt;"&amp;"",Başvuru!$F:$F,"&lt;&gt;"&amp;""))</f>
        <v/>
      </c>
      <c r="H458" s="162" t="str">
        <f>IF(C458="","",COUNTIFS(Başvuru!$C:$C,C458,Başvuru!$G:$G,"Doktora Tezi",Başvuru!$A:$A,"&lt;&gt;"&amp;"",Başvuru!$F:$F,"&lt;&gt;"&amp;""))</f>
        <v/>
      </c>
      <c r="I458" s="162" t="str">
        <f>IF(C458="","",COUNTIFS(Başvuru!$C:$C,C458,Başvuru!$G:$G,"Yüksek Lisans Tezi",Başvuru!$A:$A,"&lt;&gt;"&amp;"",Başvuru!$F:$F,"&lt;&gt;"&amp;""))</f>
        <v/>
      </c>
      <c r="J458" s="163" t="str">
        <f>IF(C458="","",COUNTIFS(Başvuru!$C:$C,C458,Başvuru!$L:$L,"ONAY",Başvuru!$A:$A,"&lt;&gt;"&amp;"",Başvuru!$F:$F,"&lt;&gt;"&amp;""))</f>
        <v/>
      </c>
      <c r="K458" s="164" t="str">
        <f>IF(C458="","",COUNTIFS(Başvuru!$C:$C,C458,Başvuru!$L:$L,"DÜZELTME",Başvuru!$A:$A,"&lt;&gt;"&amp;"",Başvuru!$F:$F,"&lt;&gt;"&amp;""))</f>
        <v/>
      </c>
      <c r="L458" s="165" t="str">
        <f>IF(C458="","",COUNTIFS(Başvuru!$C:$C,C458,Başvuru!$L:$L,"KAEK",Başvuru!$A:$A,"&lt;&gt;"&amp;"",Başvuru!$F:$F,"&lt;&gt;"&amp;""))</f>
        <v/>
      </c>
      <c r="M458" s="166" t="str">
        <f>IF(C458="","",COUNTIFS(Başvuru!$C:$C,C458,Başvuru!$L:$L,"GÖRÜŞ",Başvuru!$A:$A,"&lt;&gt;"&amp;"",Başvuru!$F:$F,"&lt;&gt;"&amp;""))</f>
        <v/>
      </c>
      <c r="N458" s="167" t="str">
        <f>IF(C458="","",COUNTIFS(Başvuru!$C:$C,C458,Başvuru!$L:$L,"RET",Başvuru!$A:$A,"&lt;&gt;"&amp;"",Başvuru!$F:$F,"&lt;&gt;"&amp;""))</f>
        <v/>
      </c>
      <c r="O458" s="168" t="str">
        <f>IF(C458="","",COUNTIFS(Başvuru!$C:$C,C458,Başvuru!$L:$L,"KAPSAM DIŞI",Başvuru!$A:$A,"&lt;&gt;"&amp;"",Başvuru!$F:$F,"&lt;&gt;"&amp;""))</f>
        <v/>
      </c>
      <c r="P458" s="169" t="str">
        <f>IF(C458="","",COUNTIFS(Başvuru!$C:$C,C458,Başvuru!$L:$L,"GERİ ÇEKİLDİ",Başvuru!$A:$A,"&lt;&gt;"&amp;"",Başvuru!$F:$F,"&lt;&gt;"&amp;""))</f>
        <v/>
      </c>
      <c r="Q458" s="170" t="str">
        <f t="array" ref="Q458">IFERROR(INDEX(Başvuru!$C$2:$C$3000, MATCH(0, COUNTIF($Q$5:Q457, Başvuru!$C$2:$C$3000) + IF(Başvuru!$C$2:$C$3000="",1,0), 0)), "")</f>
        <v/>
      </c>
      <c r="R458" s="171" t="str">
        <f>IF(Q458="","",COUNTIFS(Başvuru!$C:$C,Q458,Başvuru!$A:$A,"&lt;&gt;"&amp;"",Başvuru!$F:$F,"&lt;&gt;"&amp;""))</f>
        <v/>
      </c>
      <c r="S458" s="171" t="str">
        <f>IF(R458="","",RANK(R458,$R$6:$R$505,0)+COUNTIF($R$6:R458,R458)-1)</f>
        <v/>
      </c>
    </row>
    <row r="459" spans="2:19" ht="23.25" customHeight="1" x14ac:dyDescent="0.25">
      <c r="B459" s="159">
        <v>454</v>
      </c>
      <c r="C459" s="160" t="str">
        <f>IFERROR(INDEX($Q$6:$Q$505,MATCH(454,$S$6:$S$505,0)),"")</f>
        <v/>
      </c>
      <c r="D459" s="161" t="str">
        <f>IF(C459="","",COUNTIFS(Başvuru!$C:$C,C459,Başvuru!$A:$A,"&lt;&gt;"&amp;"",Başvuru!$F:$F,"&lt;&gt;"&amp;""))</f>
        <v/>
      </c>
      <c r="E459" s="159" t="str">
        <f>IF(C459="","-",IF(D459&gt;0,TEXT(D459/(COUNTIFS(Başvuru!$A:$A,"&lt;&gt;",Başvuru!$F:$F,"&lt;&gt;")-1)*100,"0.0")&amp;"%","-"))</f>
        <v>-</v>
      </c>
      <c r="F459" s="162" t="str">
        <f>IF(C459="","",COUNTIFS(Başvuru!$C:$C,C459,Başvuru!$G:$G,"Bireysel Araştırma",Başvuru!$A:$A,"&lt;&gt;"&amp;"",Başvuru!$F:$F,"&lt;&gt;"&amp;""))</f>
        <v/>
      </c>
      <c r="G459" s="162" t="str">
        <f>IF(C459="","",COUNTIFS(Başvuru!$C:$C,C459,Başvuru!$G:$G,"Uzmanlık Tezi",Başvuru!$A:$A,"&lt;&gt;"&amp;"",Başvuru!$F:$F,"&lt;&gt;"&amp;""))</f>
        <v/>
      </c>
      <c r="H459" s="162" t="str">
        <f>IF(C459="","",COUNTIFS(Başvuru!$C:$C,C459,Başvuru!$G:$G,"Doktora Tezi",Başvuru!$A:$A,"&lt;&gt;"&amp;"",Başvuru!$F:$F,"&lt;&gt;"&amp;""))</f>
        <v/>
      </c>
      <c r="I459" s="162" t="str">
        <f>IF(C459="","",COUNTIFS(Başvuru!$C:$C,C459,Başvuru!$G:$G,"Yüksek Lisans Tezi",Başvuru!$A:$A,"&lt;&gt;"&amp;"",Başvuru!$F:$F,"&lt;&gt;"&amp;""))</f>
        <v/>
      </c>
      <c r="J459" s="163" t="str">
        <f>IF(C459="","",COUNTIFS(Başvuru!$C:$C,C459,Başvuru!$L:$L,"ONAY",Başvuru!$A:$A,"&lt;&gt;"&amp;"",Başvuru!$F:$F,"&lt;&gt;"&amp;""))</f>
        <v/>
      </c>
      <c r="K459" s="164" t="str">
        <f>IF(C459="","",COUNTIFS(Başvuru!$C:$C,C459,Başvuru!$L:$L,"DÜZELTME",Başvuru!$A:$A,"&lt;&gt;"&amp;"",Başvuru!$F:$F,"&lt;&gt;"&amp;""))</f>
        <v/>
      </c>
      <c r="L459" s="165" t="str">
        <f>IF(C459="","",COUNTIFS(Başvuru!$C:$C,C459,Başvuru!$L:$L,"KAEK",Başvuru!$A:$A,"&lt;&gt;"&amp;"",Başvuru!$F:$F,"&lt;&gt;"&amp;""))</f>
        <v/>
      </c>
      <c r="M459" s="166" t="str">
        <f>IF(C459="","",COUNTIFS(Başvuru!$C:$C,C459,Başvuru!$L:$L,"GÖRÜŞ",Başvuru!$A:$A,"&lt;&gt;"&amp;"",Başvuru!$F:$F,"&lt;&gt;"&amp;""))</f>
        <v/>
      </c>
      <c r="N459" s="167" t="str">
        <f>IF(C459="","",COUNTIFS(Başvuru!$C:$C,C459,Başvuru!$L:$L,"RET",Başvuru!$A:$A,"&lt;&gt;"&amp;"",Başvuru!$F:$F,"&lt;&gt;"&amp;""))</f>
        <v/>
      </c>
      <c r="O459" s="168" t="str">
        <f>IF(C459="","",COUNTIFS(Başvuru!$C:$C,C459,Başvuru!$L:$L,"KAPSAM DIŞI",Başvuru!$A:$A,"&lt;&gt;"&amp;"",Başvuru!$F:$F,"&lt;&gt;"&amp;""))</f>
        <v/>
      </c>
      <c r="P459" s="169" t="str">
        <f>IF(C459="","",COUNTIFS(Başvuru!$C:$C,C459,Başvuru!$L:$L,"GERİ ÇEKİLDİ",Başvuru!$A:$A,"&lt;&gt;"&amp;"",Başvuru!$F:$F,"&lt;&gt;"&amp;""))</f>
        <v/>
      </c>
      <c r="Q459" s="170" t="str">
        <f t="array" ref="Q459">IFERROR(INDEX(Başvuru!$C$2:$C$3000, MATCH(0, COUNTIF($Q$5:Q458, Başvuru!$C$2:$C$3000) + IF(Başvuru!$C$2:$C$3000="",1,0), 0)), "")</f>
        <v/>
      </c>
      <c r="R459" s="171" t="str">
        <f>IF(Q459="","",COUNTIFS(Başvuru!$C:$C,Q459,Başvuru!$A:$A,"&lt;&gt;"&amp;"",Başvuru!$F:$F,"&lt;&gt;"&amp;""))</f>
        <v/>
      </c>
      <c r="S459" s="171" t="str">
        <f>IF(R459="","",RANK(R459,$R$6:$R$505,0)+COUNTIF($R$6:R459,R459)-1)</f>
        <v/>
      </c>
    </row>
    <row r="460" spans="2:19" ht="23.25" customHeight="1" x14ac:dyDescent="0.25">
      <c r="B460" s="159">
        <v>455</v>
      </c>
      <c r="C460" s="160" t="str">
        <f>IFERROR(INDEX($Q$6:$Q$505,MATCH(455,$S$6:$S$505,0)),"")</f>
        <v/>
      </c>
      <c r="D460" s="161" t="str">
        <f>IF(C460="","",COUNTIFS(Başvuru!$C:$C,C460,Başvuru!$A:$A,"&lt;&gt;"&amp;"",Başvuru!$F:$F,"&lt;&gt;"&amp;""))</f>
        <v/>
      </c>
      <c r="E460" s="159" t="str">
        <f>IF(C460="","-",IF(D460&gt;0,TEXT(D460/(COUNTIFS(Başvuru!$A:$A,"&lt;&gt;",Başvuru!$F:$F,"&lt;&gt;")-1)*100,"0.0")&amp;"%","-"))</f>
        <v>-</v>
      </c>
      <c r="F460" s="162" t="str">
        <f>IF(C460="","",COUNTIFS(Başvuru!$C:$C,C460,Başvuru!$G:$G,"Bireysel Araştırma",Başvuru!$A:$A,"&lt;&gt;"&amp;"",Başvuru!$F:$F,"&lt;&gt;"&amp;""))</f>
        <v/>
      </c>
      <c r="G460" s="162" t="str">
        <f>IF(C460="","",COUNTIFS(Başvuru!$C:$C,C460,Başvuru!$G:$G,"Uzmanlık Tezi",Başvuru!$A:$A,"&lt;&gt;"&amp;"",Başvuru!$F:$F,"&lt;&gt;"&amp;""))</f>
        <v/>
      </c>
      <c r="H460" s="162" t="str">
        <f>IF(C460="","",COUNTIFS(Başvuru!$C:$C,C460,Başvuru!$G:$G,"Doktora Tezi",Başvuru!$A:$A,"&lt;&gt;"&amp;"",Başvuru!$F:$F,"&lt;&gt;"&amp;""))</f>
        <v/>
      </c>
      <c r="I460" s="162" t="str">
        <f>IF(C460="","",COUNTIFS(Başvuru!$C:$C,C460,Başvuru!$G:$G,"Yüksek Lisans Tezi",Başvuru!$A:$A,"&lt;&gt;"&amp;"",Başvuru!$F:$F,"&lt;&gt;"&amp;""))</f>
        <v/>
      </c>
      <c r="J460" s="163" t="str">
        <f>IF(C460="","",COUNTIFS(Başvuru!$C:$C,C460,Başvuru!$L:$L,"ONAY",Başvuru!$A:$A,"&lt;&gt;"&amp;"",Başvuru!$F:$F,"&lt;&gt;"&amp;""))</f>
        <v/>
      </c>
      <c r="K460" s="164" t="str">
        <f>IF(C460="","",COUNTIFS(Başvuru!$C:$C,C460,Başvuru!$L:$L,"DÜZELTME",Başvuru!$A:$A,"&lt;&gt;"&amp;"",Başvuru!$F:$F,"&lt;&gt;"&amp;""))</f>
        <v/>
      </c>
      <c r="L460" s="165" t="str">
        <f>IF(C460="","",COUNTIFS(Başvuru!$C:$C,C460,Başvuru!$L:$L,"KAEK",Başvuru!$A:$A,"&lt;&gt;"&amp;"",Başvuru!$F:$F,"&lt;&gt;"&amp;""))</f>
        <v/>
      </c>
      <c r="M460" s="166" t="str">
        <f>IF(C460="","",COUNTIFS(Başvuru!$C:$C,C460,Başvuru!$L:$L,"GÖRÜŞ",Başvuru!$A:$A,"&lt;&gt;"&amp;"",Başvuru!$F:$F,"&lt;&gt;"&amp;""))</f>
        <v/>
      </c>
      <c r="N460" s="167" t="str">
        <f>IF(C460="","",COUNTIFS(Başvuru!$C:$C,C460,Başvuru!$L:$L,"RET",Başvuru!$A:$A,"&lt;&gt;"&amp;"",Başvuru!$F:$F,"&lt;&gt;"&amp;""))</f>
        <v/>
      </c>
      <c r="O460" s="168" t="str">
        <f>IF(C460="","",COUNTIFS(Başvuru!$C:$C,C460,Başvuru!$L:$L,"KAPSAM DIŞI",Başvuru!$A:$A,"&lt;&gt;"&amp;"",Başvuru!$F:$F,"&lt;&gt;"&amp;""))</f>
        <v/>
      </c>
      <c r="P460" s="169" t="str">
        <f>IF(C460="","",COUNTIFS(Başvuru!$C:$C,C460,Başvuru!$L:$L,"GERİ ÇEKİLDİ",Başvuru!$A:$A,"&lt;&gt;"&amp;"",Başvuru!$F:$F,"&lt;&gt;"&amp;""))</f>
        <v/>
      </c>
      <c r="Q460" s="170" t="str">
        <f t="array" ref="Q460">IFERROR(INDEX(Başvuru!$C$2:$C$3000, MATCH(0, COUNTIF($Q$5:Q459, Başvuru!$C$2:$C$3000) + IF(Başvuru!$C$2:$C$3000="",1,0), 0)), "")</f>
        <v/>
      </c>
      <c r="R460" s="171" t="str">
        <f>IF(Q460="","",COUNTIFS(Başvuru!$C:$C,Q460,Başvuru!$A:$A,"&lt;&gt;"&amp;"",Başvuru!$F:$F,"&lt;&gt;"&amp;""))</f>
        <v/>
      </c>
      <c r="S460" s="171" t="str">
        <f>IF(R460="","",RANK(R460,$R$6:$R$505,0)+COUNTIF($R$6:R460,R460)-1)</f>
        <v/>
      </c>
    </row>
    <row r="461" spans="2:19" ht="23.25" customHeight="1" x14ac:dyDescent="0.25">
      <c r="B461" s="159">
        <v>456</v>
      </c>
      <c r="C461" s="160" t="str">
        <f>IFERROR(INDEX($Q$6:$Q$505,MATCH(456,$S$6:$S$505,0)),"")</f>
        <v/>
      </c>
      <c r="D461" s="161" t="str">
        <f>IF(C461="","",COUNTIFS(Başvuru!$C:$C,C461,Başvuru!$A:$A,"&lt;&gt;"&amp;"",Başvuru!$F:$F,"&lt;&gt;"&amp;""))</f>
        <v/>
      </c>
      <c r="E461" s="159" t="str">
        <f>IF(C461="","-",IF(D461&gt;0,TEXT(D461/(COUNTIFS(Başvuru!$A:$A,"&lt;&gt;",Başvuru!$F:$F,"&lt;&gt;")-1)*100,"0.0")&amp;"%","-"))</f>
        <v>-</v>
      </c>
      <c r="F461" s="162" t="str">
        <f>IF(C461="","",COUNTIFS(Başvuru!$C:$C,C461,Başvuru!$G:$G,"Bireysel Araştırma",Başvuru!$A:$A,"&lt;&gt;"&amp;"",Başvuru!$F:$F,"&lt;&gt;"&amp;""))</f>
        <v/>
      </c>
      <c r="G461" s="162" t="str">
        <f>IF(C461="","",COUNTIFS(Başvuru!$C:$C,C461,Başvuru!$G:$G,"Uzmanlık Tezi",Başvuru!$A:$A,"&lt;&gt;"&amp;"",Başvuru!$F:$F,"&lt;&gt;"&amp;""))</f>
        <v/>
      </c>
      <c r="H461" s="162" t="str">
        <f>IF(C461="","",COUNTIFS(Başvuru!$C:$C,C461,Başvuru!$G:$G,"Doktora Tezi",Başvuru!$A:$A,"&lt;&gt;"&amp;"",Başvuru!$F:$F,"&lt;&gt;"&amp;""))</f>
        <v/>
      </c>
      <c r="I461" s="162" t="str">
        <f>IF(C461="","",COUNTIFS(Başvuru!$C:$C,C461,Başvuru!$G:$G,"Yüksek Lisans Tezi",Başvuru!$A:$A,"&lt;&gt;"&amp;"",Başvuru!$F:$F,"&lt;&gt;"&amp;""))</f>
        <v/>
      </c>
      <c r="J461" s="163" t="str">
        <f>IF(C461="","",COUNTIFS(Başvuru!$C:$C,C461,Başvuru!$L:$L,"ONAY",Başvuru!$A:$A,"&lt;&gt;"&amp;"",Başvuru!$F:$F,"&lt;&gt;"&amp;""))</f>
        <v/>
      </c>
      <c r="K461" s="164" t="str">
        <f>IF(C461="","",COUNTIFS(Başvuru!$C:$C,C461,Başvuru!$L:$L,"DÜZELTME",Başvuru!$A:$A,"&lt;&gt;"&amp;"",Başvuru!$F:$F,"&lt;&gt;"&amp;""))</f>
        <v/>
      </c>
      <c r="L461" s="165" t="str">
        <f>IF(C461="","",COUNTIFS(Başvuru!$C:$C,C461,Başvuru!$L:$L,"KAEK",Başvuru!$A:$A,"&lt;&gt;"&amp;"",Başvuru!$F:$F,"&lt;&gt;"&amp;""))</f>
        <v/>
      </c>
      <c r="M461" s="166" t="str">
        <f>IF(C461="","",COUNTIFS(Başvuru!$C:$C,C461,Başvuru!$L:$L,"GÖRÜŞ",Başvuru!$A:$A,"&lt;&gt;"&amp;"",Başvuru!$F:$F,"&lt;&gt;"&amp;""))</f>
        <v/>
      </c>
      <c r="N461" s="167" t="str">
        <f>IF(C461="","",COUNTIFS(Başvuru!$C:$C,C461,Başvuru!$L:$L,"RET",Başvuru!$A:$A,"&lt;&gt;"&amp;"",Başvuru!$F:$F,"&lt;&gt;"&amp;""))</f>
        <v/>
      </c>
      <c r="O461" s="168" t="str">
        <f>IF(C461="","",COUNTIFS(Başvuru!$C:$C,C461,Başvuru!$L:$L,"KAPSAM DIŞI",Başvuru!$A:$A,"&lt;&gt;"&amp;"",Başvuru!$F:$F,"&lt;&gt;"&amp;""))</f>
        <v/>
      </c>
      <c r="P461" s="169" t="str">
        <f>IF(C461="","",COUNTIFS(Başvuru!$C:$C,C461,Başvuru!$L:$L,"GERİ ÇEKİLDİ",Başvuru!$A:$A,"&lt;&gt;"&amp;"",Başvuru!$F:$F,"&lt;&gt;"&amp;""))</f>
        <v/>
      </c>
      <c r="Q461" s="170" t="str">
        <f t="array" ref="Q461">IFERROR(INDEX(Başvuru!$C$2:$C$3000, MATCH(0, COUNTIF($Q$5:Q460, Başvuru!$C$2:$C$3000) + IF(Başvuru!$C$2:$C$3000="",1,0), 0)), "")</f>
        <v/>
      </c>
      <c r="R461" s="171" t="str">
        <f>IF(Q461="","",COUNTIFS(Başvuru!$C:$C,Q461,Başvuru!$A:$A,"&lt;&gt;"&amp;"",Başvuru!$F:$F,"&lt;&gt;"&amp;""))</f>
        <v/>
      </c>
      <c r="S461" s="171" t="str">
        <f>IF(R461="","",RANK(R461,$R$6:$R$505,0)+COUNTIF($R$6:R461,R461)-1)</f>
        <v/>
      </c>
    </row>
    <row r="462" spans="2:19" ht="23.25" customHeight="1" x14ac:dyDescent="0.25">
      <c r="B462" s="159">
        <v>457</v>
      </c>
      <c r="C462" s="160" t="str">
        <f>IFERROR(INDEX($Q$6:$Q$505,MATCH(457,$S$6:$S$505,0)),"")</f>
        <v/>
      </c>
      <c r="D462" s="161" t="str">
        <f>IF(C462="","",COUNTIFS(Başvuru!$C:$C,C462,Başvuru!$A:$A,"&lt;&gt;"&amp;"",Başvuru!$F:$F,"&lt;&gt;"&amp;""))</f>
        <v/>
      </c>
      <c r="E462" s="159" t="str">
        <f>IF(C462="","-",IF(D462&gt;0,TEXT(D462/(COUNTIFS(Başvuru!$A:$A,"&lt;&gt;",Başvuru!$F:$F,"&lt;&gt;")-1)*100,"0.0")&amp;"%","-"))</f>
        <v>-</v>
      </c>
      <c r="F462" s="162" t="str">
        <f>IF(C462="","",COUNTIFS(Başvuru!$C:$C,C462,Başvuru!$G:$G,"Bireysel Araştırma",Başvuru!$A:$A,"&lt;&gt;"&amp;"",Başvuru!$F:$F,"&lt;&gt;"&amp;""))</f>
        <v/>
      </c>
      <c r="G462" s="162" t="str">
        <f>IF(C462="","",COUNTIFS(Başvuru!$C:$C,C462,Başvuru!$G:$G,"Uzmanlık Tezi",Başvuru!$A:$A,"&lt;&gt;"&amp;"",Başvuru!$F:$F,"&lt;&gt;"&amp;""))</f>
        <v/>
      </c>
      <c r="H462" s="162" t="str">
        <f>IF(C462="","",COUNTIFS(Başvuru!$C:$C,C462,Başvuru!$G:$G,"Doktora Tezi",Başvuru!$A:$A,"&lt;&gt;"&amp;"",Başvuru!$F:$F,"&lt;&gt;"&amp;""))</f>
        <v/>
      </c>
      <c r="I462" s="162" t="str">
        <f>IF(C462="","",COUNTIFS(Başvuru!$C:$C,C462,Başvuru!$G:$G,"Yüksek Lisans Tezi",Başvuru!$A:$A,"&lt;&gt;"&amp;"",Başvuru!$F:$F,"&lt;&gt;"&amp;""))</f>
        <v/>
      </c>
      <c r="J462" s="163" t="str">
        <f>IF(C462="","",COUNTIFS(Başvuru!$C:$C,C462,Başvuru!$L:$L,"ONAY",Başvuru!$A:$A,"&lt;&gt;"&amp;"",Başvuru!$F:$F,"&lt;&gt;"&amp;""))</f>
        <v/>
      </c>
      <c r="K462" s="164" t="str">
        <f>IF(C462="","",COUNTIFS(Başvuru!$C:$C,C462,Başvuru!$L:$L,"DÜZELTME",Başvuru!$A:$A,"&lt;&gt;"&amp;"",Başvuru!$F:$F,"&lt;&gt;"&amp;""))</f>
        <v/>
      </c>
      <c r="L462" s="165" t="str">
        <f>IF(C462="","",COUNTIFS(Başvuru!$C:$C,C462,Başvuru!$L:$L,"KAEK",Başvuru!$A:$A,"&lt;&gt;"&amp;"",Başvuru!$F:$F,"&lt;&gt;"&amp;""))</f>
        <v/>
      </c>
      <c r="M462" s="166" t="str">
        <f>IF(C462="","",COUNTIFS(Başvuru!$C:$C,C462,Başvuru!$L:$L,"GÖRÜŞ",Başvuru!$A:$A,"&lt;&gt;"&amp;"",Başvuru!$F:$F,"&lt;&gt;"&amp;""))</f>
        <v/>
      </c>
      <c r="N462" s="167" t="str">
        <f>IF(C462="","",COUNTIFS(Başvuru!$C:$C,C462,Başvuru!$L:$L,"RET",Başvuru!$A:$A,"&lt;&gt;"&amp;"",Başvuru!$F:$F,"&lt;&gt;"&amp;""))</f>
        <v/>
      </c>
      <c r="O462" s="168" t="str">
        <f>IF(C462="","",COUNTIFS(Başvuru!$C:$C,C462,Başvuru!$L:$L,"KAPSAM DIŞI",Başvuru!$A:$A,"&lt;&gt;"&amp;"",Başvuru!$F:$F,"&lt;&gt;"&amp;""))</f>
        <v/>
      </c>
      <c r="P462" s="169" t="str">
        <f>IF(C462="","",COUNTIFS(Başvuru!$C:$C,C462,Başvuru!$L:$L,"GERİ ÇEKİLDİ",Başvuru!$A:$A,"&lt;&gt;"&amp;"",Başvuru!$F:$F,"&lt;&gt;"&amp;""))</f>
        <v/>
      </c>
      <c r="Q462" s="170" t="str">
        <f t="array" ref="Q462">IFERROR(INDEX(Başvuru!$C$2:$C$3000, MATCH(0, COUNTIF($Q$5:Q461, Başvuru!$C$2:$C$3000) + IF(Başvuru!$C$2:$C$3000="",1,0), 0)), "")</f>
        <v/>
      </c>
      <c r="R462" s="171" t="str">
        <f>IF(Q462="","",COUNTIFS(Başvuru!$C:$C,Q462,Başvuru!$A:$A,"&lt;&gt;"&amp;"",Başvuru!$F:$F,"&lt;&gt;"&amp;""))</f>
        <v/>
      </c>
      <c r="S462" s="171" t="str">
        <f>IF(R462="","",RANK(R462,$R$6:$R$505,0)+COUNTIF($R$6:R462,R462)-1)</f>
        <v/>
      </c>
    </row>
    <row r="463" spans="2:19" ht="23.25" customHeight="1" x14ac:dyDescent="0.25">
      <c r="B463" s="159">
        <v>458</v>
      </c>
      <c r="C463" s="160" t="str">
        <f>IFERROR(INDEX($Q$6:$Q$505,MATCH(458,$S$6:$S$505,0)),"")</f>
        <v/>
      </c>
      <c r="D463" s="161" t="str">
        <f>IF(C463="","",COUNTIFS(Başvuru!$C:$C,C463,Başvuru!$A:$A,"&lt;&gt;"&amp;"",Başvuru!$F:$F,"&lt;&gt;"&amp;""))</f>
        <v/>
      </c>
      <c r="E463" s="159" t="str">
        <f>IF(C463="","-",IF(D463&gt;0,TEXT(D463/(COUNTIFS(Başvuru!$A:$A,"&lt;&gt;",Başvuru!$F:$F,"&lt;&gt;")-1)*100,"0.0")&amp;"%","-"))</f>
        <v>-</v>
      </c>
      <c r="F463" s="162" t="str">
        <f>IF(C463="","",COUNTIFS(Başvuru!$C:$C,C463,Başvuru!$G:$G,"Bireysel Araştırma",Başvuru!$A:$A,"&lt;&gt;"&amp;"",Başvuru!$F:$F,"&lt;&gt;"&amp;""))</f>
        <v/>
      </c>
      <c r="G463" s="162" t="str">
        <f>IF(C463="","",COUNTIFS(Başvuru!$C:$C,C463,Başvuru!$G:$G,"Uzmanlık Tezi",Başvuru!$A:$A,"&lt;&gt;"&amp;"",Başvuru!$F:$F,"&lt;&gt;"&amp;""))</f>
        <v/>
      </c>
      <c r="H463" s="162" t="str">
        <f>IF(C463="","",COUNTIFS(Başvuru!$C:$C,C463,Başvuru!$G:$G,"Doktora Tezi",Başvuru!$A:$A,"&lt;&gt;"&amp;"",Başvuru!$F:$F,"&lt;&gt;"&amp;""))</f>
        <v/>
      </c>
      <c r="I463" s="162" t="str">
        <f>IF(C463="","",COUNTIFS(Başvuru!$C:$C,C463,Başvuru!$G:$G,"Yüksek Lisans Tezi",Başvuru!$A:$A,"&lt;&gt;"&amp;"",Başvuru!$F:$F,"&lt;&gt;"&amp;""))</f>
        <v/>
      </c>
      <c r="J463" s="163" t="str">
        <f>IF(C463="","",COUNTIFS(Başvuru!$C:$C,C463,Başvuru!$L:$L,"ONAY",Başvuru!$A:$A,"&lt;&gt;"&amp;"",Başvuru!$F:$F,"&lt;&gt;"&amp;""))</f>
        <v/>
      </c>
      <c r="K463" s="164" t="str">
        <f>IF(C463="","",COUNTIFS(Başvuru!$C:$C,C463,Başvuru!$L:$L,"DÜZELTME",Başvuru!$A:$A,"&lt;&gt;"&amp;"",Başvuru!$F:$F,"&lt;&gt;"&amp;""))</f>
        <v/>
      </c>
      <c r="L463" s="165" t="str">
        <f>IF(C463="","",COUNTIFS(Başvuru!$C:$C,C463,Başvuru!$L:$L,"KAEK",Başvuru!$A:$A,"&lt;&gt;"&amp;"",Başvuru!$F:$F,"&lt;&gt;"&amp;""))</f>
        <v/>
      </c>
      <c r="M463" s="166" t="str">
        <f>IF(C463="","",COUNTIFS(Başvuru!$C:$C,C463,Başvuru!$L:$L,"GÖRÜŞ",Başvuru!$A:$A,"&lt;&gt;"&amp;"",Başvuru!$F:$F,"&lt;&gt;"&amp;""))</f>
        <v/>
      </c>
      <c r="N463" s="167" t="str">
        <f>IF(C463="","",COUNTIFS(Başvuru!$C:$C,C463,Başvuru!$L:$L,"RET",Başvuru!$A:$A,"&lt;&gt;"&amp;"",Başvuru!$F:$F,"&lt;&gt;"&amp;""))</f>
        <v/>
      </c>
      <c r="O463" s="168" t="str">
        <f>IF(C463="","",COUNTIFS(Başvuru!$C:$C,C463,Başvuru!$L:$L,"KAPSAM DIŞI",Başvuru!$A:$A,"&lt;&gt;"&amp;"",Başvuru!$F:$F,"&lt;&gt;"&amp;""))</f>
        <v/>
      </c>
      <c r="P463" s="169" t="str">
        <f>IF(C463="","",COUNTIFS(Başvuru!$C:$C,C463,Başvuru!$L:$L,"GERİ ÇEKİLDİ",Başvuru!$A:$A,"&lt;&gt;"&amp;"",Başvuru!$F:$F,"&lt;&gt;"&amp;""))</f>
        <v/>
      </c>
      <c r="Q463" s="170" t="str">
        <f t="array" ref="Q463">IFERROR(INDEX(Başvuru!$C$2:$C$3000, MATCH(0, COUNTIF($Q$5:Q462, Başvuru!$C$2:$C$3000) + IF(Başvuru!$C$2:$C$3000="",1,0), 0)), "")</f>
        <v/>
      </c>
      <c r="R463" s="171" t="str">
        <f>IF(Q463="","",COUNTIFS(Başvuru!$C:$C,Q463,Başvuru!$A:$A,"&lt;&gt;"&amp;"",Başvuru!$F:$F,"&lt;&gt;"&amp;""))</f>
        <v/>
      </c>
      <c r="S463" s="171" t="str">
        <f>IF(R463="","",RANK(R463,$R$6:$R$505,0)+COUNTIF($R$6:R463,R463)-1)</f>
        <v/>
      </c>
    </row>
    <row r="464" spans="2:19" ht="23.25" customHeight="1" x14ac:dyDescent="0.25">
      <c r="B464" s="159">
        <v>459</v>
      </c>
      <c r="C464" s="160" t="str">
        <f>IFERROR(INDEX($Q$6:$Q$505,MATCH(459,$S$6:$S$505,0)),"")</f>
        <v/>
      </c>
      <c r="D464" s="161" t="str">
        <f>IF(C464="","",COUNTIFS(Başvuru!$C:$C,C464,Başvuru!$A:$A,"&lt;&gt;"&amp;"",Başvuru!$F:$F,"&lt;&gt;"&amp;""))</f>
        <v/>
      </c>
      <c r="E464" s="159" t="str">
        <f>IF(C464="","-",IF(D464&gt;0,TEXT(D464/(COUNTIFS(Başvuru!$A:$A,"&lt;&gt;",Başvuru!$F:$F,"&lt;&gt;")-1)*100,"0.0")&amp;"%","-"))</f>
        <v>-</v>
      </c>
      <c r="F464" s="162" t="str">
        <f>IF(C464="","",COUNTIFS(Başvuru!$C:$C,C464,Başvuru!$G:$G,"Bireysel Araştırma",Başvuru!$A:$A,"&lt;&gt;"&amp;"",Başvuru!$F:$F,"&lt;&gt;"&amp;""))</f>
        <v/>
      </c>
      <c r="G464" s="162" t="str">
        <f>IF(C464="","",COUNTIFS(Başvuru!$C:$C,C464,Başvuru!$G:$G,"Uzmanlık Tezi",Başvuru!$A:$A,"&lt;&gt;"&amp;"",Başvuru!$F:$F,"&lt;&gt;"&amp;""))</f>
        <v/>
      </c>
      <c r="H464" s="162" t="str">
        <f>IF(C464="","",COUNTIFS(Başvuru!$C:$C,C464,Başvuru!$G:$G,"Doktora Tezi",Başvuru!$A:$A,"&lt;&gt;"&amp;"",Başvuru!$F:$F,"&lt;&gt;"&amp;""))</f>
        <v/>
      </c>
      <c r="I464" s="162" t="str">
        <f>IF(C464="","",COUNTIFS(Başvuru!$C:$C,C464,Başvuru!$G:$G,"Yüksek Lisans Tezi",Başvuru!$A:$A,"&lt;&gt;"&amp;"",Başvuru!$F:$F,"&lt;&gt;"&amp;""))</f>
        <v/>
      </c>
      <c r="J464" s="163" t="str">
        <f>IF(C464="","",COUNTIFS(Başvuru!$C:$C,C464,Başvuru!$L:$L,"ONAY",Başvuru!$A:$A,"&lt;&gt;"&amp;"",Başvuru!$F:$F,"&lt;&gt;"&amp;""))</f>
        <v/>
      </c>
      <c r="K464" s="164" t="str">
        <f>IF(C464="","",COUNTIFS(Başvuru!$C:$C,C464,Başvuru!$L:$L,"DÜZELTME",Başvuru!$A:$A,"&lt;&gt;"&amp;"",Başvuru!$F:$F,"&lt;&gt;"&amp;""))</f>
        <v/>
      </c>
      <c r="L464" s="165" t="str">
        <f>IF(C464="","",COUNTIFS(Başvuru!$C:$C,C464,Başvuru!$L:$L,"KAEK",Başvuru!$A:$A,"&lt;&gt;"&amp;"",Başvuru!$F:$F,"&lt;&gt;"&amp;""))</f>
        <v/>
      </c>
      <c r="M464" s="166" t="str">
        <f>IF(C464="","",COUNTIFS(Başvuru!$C:$C,C464,Başvuru!$L:$L,"GÖRÜŞ",Başvuru!$A:$A,"&lt;&gt;"&amp;"",Başvuru!$F:$F,"&lt;&gt;"&amp;""))</f>
        <v/>
      </c>
      <c r="N464" s="167" t="str">
        <f>IF(C464="","",COUNTIFS(Başvuru!$C:$C,C464,Başvuru!$L:$L,"RET",Başvuru!$A:$A,"&lt;&gt;"&amp;"",Başvuru!$F:$F,"&lt;&gt;"&amp;""))</f>
        <v/>
      </c>
      <c r="O464" s="168" t="str">
        <f>IF(C464="","",COUNTIFS(Başvuru!$C:$C,C464,Başvuru!$L:$L,"KAPSAM DIŞI",Başvuru!$A:$A,"&lt;&gt;"&amp;"",Başvuru!$F:$F,"&lt;&gt;"&amp;""))</f>
        <v/>
      </c>
      <c r="P464" s="169" t="str">
        <f>IF(C464="","",COUNTIFS(Başvuru!$C:$C,C464,Başvuru!$L:$L,"GERİ ÇEKİLDİ",Başvuru!$A:$A,"&lt;&gt;"&amp;"",Başvuru!$F:$F,"&lt;&gt;"&amp;""))</f>
        <v/>
      </c>
      <c r="Q464" s="170" t="str">
        <f t="array" ref="Q464">IFERROR(INDEX(Başvuru!$C$2:$C$3000, MATCH(0, COUNTIF($Q$5:Q463, Başvuru!$C$2:$C$3000) + IF(Başvuru!$C$2:$C$3000="",1,0), 0)), "")</f>
        <v/>
      </c>
      <c r="R464" s="171" t="str">
        <f>IF(Q464="","",COUNTIFS(Başvuru!$C:$C,Q464,Başvuru!$A:$A,"&lt;&gt;"&amp;"",Başvuru!$F:$F,"&lt;&gt;"&amp;""))</f>
        <v/>
      </c>
      <c r="S464" s="171" t="str">
        <f>IF(R464="","",RANK(R464,$R$6:$R$505,0)+COUNTIF($R$6:R464,R464)-1)</f>
        <v/>
      </c>
    </row>
    <row r="465" spans="2:19" ht="23.25" customHeight="1" x14ac:dyDescent="0.25">
      <c r="B465" s="159">
        <v>460</v>
      </c>
      <c r="C465" s="160" t="str">
        <f>IFERROR(INDEX($Q$6:$Q$505,MATCH(460,$S$6:$S$505,0)),"")</f>
        <v/>
      </c>
      <c r="D465" s="161" t="str">
        <f>IF(C465="","",COUNTIFS(Başvuru!$C:$C,C465,Başvuru!$A:$A,"&lt;&gt;"&amp;"",Başvuru!$F:$F,"&lt;&gt;"&amp;""))</f>
        <v/>
      </c>
      <c r="E465" s="159" t="str">
        <f>IF(C465="","-",IF(D465&gt;0,TEXT(D465/(COUNTIFS(Başvuru!$A:$A,"&lt;&gt;",Başvuru!$F:$F,"&lt;&gt;")-1)*100,"0.0")&amp;"%","-"))</f>
        <v>-</v>
      </c>
      <c r="F465" s="162" t="str">
        <f>IF(C465="","",COUNTIFS(Başvuru!$C:$C,C465,Başvuru!$G:$G,"Bireysel Araştırma",Başvuru!$A:$A,"&lt;&gt;"&amp;"",Başvuru!$F:$F,"&lt;&gt;"&amp;""))</f>
        <v/>
      </c>
      <c r="G465" s="162" t="str">
        <f>IF(C465="","",COUNTIFS(Başvuru!$C:$C,C465,Başvuru!$G:$G,"Uzmanlık Tezi",Başvuru!$A:$A,"&lt;&gt;"&amp;"",Başvuru!$F:$F,"&lt;&gt;"&amp;""))</f>
        <v/>
      </c>
      <c r="H465" s="162" t="str">
        <f>IF(C465="","",COUNTIFS(Başvuru!$C:$C,C465,Başvuru!$G:$G,"Doktora Tezi",Başvuru!$A:$A,"&lt;&gt;"&amp;"",Başvuru!$F:$F,"&lt;&gt;"&amp;""))</f>
        <v/>
      </c>
      <c r="I465" s="162" t="str">
        <f>IF(C465="","",COUNTIFS(Başvuru!$C:$C,C465,Başvuru!$G:$G,"Yüksek Lisans Tezi",Başvuru!$A:$A,"&lt;&gt;"&amp;"",Başvuru!$F:$F,"&lt;&gt;"&amp;""))</f>
        <v/>
      </c>
      <c r="J465" s="163" t="str">
        <f>IF(C465="","",COUNTIFS(Başvuru!$C:$C,C465,Başvuru!$L:$L,"ONAY",Başvuru!$A:$A,"&lt;&gt;"&amp;"",Başvuru!$F:$F,"&lt;&gt;"&amp;""))</f>
        <v/>
      </c>
      <c r="K465" s="164" t="str">
        <f>IF(C465="","",COUNTIFS(Başvuru!$C:$C,C465,Başvuru!$L:$L,"DÜZELTME",Başvuru!$A:$A,"&lt;&gt;"&amp;"",Başvuru!$F:$F,"&lt;&gt;"&amp;""))</f>
        <v/>
      </c>
      <c r="L465" s="165" t="str">
        <f>IF(C465="","",COUNTIFS(Başvuru!$C:$C,C465,Başvuru!$L:$L,"KAEK",Başvuru!$A:$A,"&lt;&gt;"&amp;"",Başvuru!$F:$F,"&lt;&gt;"&amp;""))</f>
        <v/>
      </c>
      <c r="M465" s="166" t="str">
        <f>IF(C465="","",COUNTIFS(Başvuru!$C:$C,C465,Başvuru!$L:$L,"GÖRÜŞ",Başvuru!$A:$A,"&lt;&gt;"&amp;"",Başvuru!$F:$F,"&lt;&gt;"&amp;""))</f>
        <v/>
      </c>
      <c r="N465" s="167" t="str">
        <f>IF(C465="","",COUNTIFS(Başvuru!$C:$C,C465,Başvuru!$L:$L,"RET",Başvuru!$A:$A,"&lt;&gt;"&amp;"",Başvuru!$F:$F,"&lt;&gt;"&amp;""))</f>
        <v/>
      </c>
      <c r="O465" s="168" t="str">
        <f>IF(C465="","",COUNTIFS(Başvuru!$C:$C,C465,Başvuru!$L:$L,"KAPSAM DIŞI",Başvuru!$A:$A,"&lt;&gt;"&amp;"",Başvuru!$F:$F,"&lt;&gt;"&amp;""))</f>
        <v/>
      </c>
      <c r="P465" s="169" t="str">
        <f>IF(C465="","",COUNTIFS(Başvuru!$C:$C,C465,Başvuru!$L:$L,"GERİ ÇEKİLDİ",Başvuru!$A:$A,"&lt;&gt;"&amp;"",Başvuru!$F:$F,"&lt;&gt;"&amp;""))</f>
        <v/>
      </c>
      <c r="Q465" s="170" t="str">
        <f t="array" ref="Q465">IFERROR(INDEX(Başvuru!$C$2:$C$3000, MATCH(0, COUNTIF($Q$5:Q464, Başvuru!$C$2:$C$3000) + IF(Başvuru!$C$2:$C$3000="",1,0), 0)), "")</f>
        <v/>
      </c>
      <c r="R465" s="171" t="str">
        <f>IF(Q465="","",COUNTIFS(Başvuru!$C:$C,Q465,Başvuru!$A:$A,"&lt;&gt;"&amp;"",Başvuru!$F:$F,"&lt;&gt;"&amp;""))</f>
        <v/>
      </c>
      <c r="S465" s="171" t="str">
        <f>IF(R465="","",RANK(R465,$R$6:$R$505,0)+COUNTIF($R$6:R465,R465)-1)</f>
        <v/>
      </c>
    </row>
    <row r="466" spans="2:19" ht="23.25" customHeight="1" x14ac:dyDescent="0.25">
      <c r="B466" s="159">
        <v>461</v>
      </c>
      <c r="C466" s="160" t="str">
        <f>IFERROR(INDEX($Q$6:$Q$505,MATCH(461,$S$6:$S$505,0)),"")</f>
        <v/>
      </c>
      <c r="D466" s="161" t="str">
        <f>IF(C466="","",COUNTIFS(Başvuru!$C:$C,C466,Başvuru!$A:$A,"&lt;&gt;"&amp;"",Başvuru!$F:$F,"&lt;&gt;"&amp;""))</f>
        <v/>
      </c>
      <c r="E466" s="159" t="str">
        <f>IF(C466="","-",IF(D466&gt;0,TEXT(D466/(COUNTIFS(Başvuru!$A:$A,"&lt;&gt;",Başvuru!$F:$F,"&lt;&gt;")-1)*100,"0.0")&amp;"%","-"))</f>
        <v>-</v>
      </c>
      <c r="F466" s="162" t="str">
        <f>IF(C466="","",COUNTIFS(Başvuru!$C:$C,C466,Başvuru!$G:$G,"Bireysel Araştırma",Başvuru!$A:$A,"&lt;&gt;"&amp;"",Başvuru!$F:$F,"&lt;&gt;"&amp;""))</f>
        <v/>
      </c>
      <c r="G466" s="162" t="str">
        <f>IF(C466="","",COUNTIFS(Başvuru!$C:$C,C466,Başvuru!$G:$G,"Uzmanlık Tezi",Başvuru!$A:$A,"&lt;&gt;"&amp;"",Başvuru!$F:$F,"&lt;&gt;"&amp;""))</f>
        <v/>
      </c>
      <c r="H466" s="162" t="str">
        <f>IF(C466="","",COUNTIFS(Başvuru!$C:$C,C466,Başvuru!$G:$G,"Doktora Tezi",Başvuru!$A:$A,"&lt;&gt;"&amp;"",Başvuru!$F:$F,"&lt;&gt;"&amp;""))</f>
        <v/>
      </c>
      <c r="I466" s="162" t="str">
        <f>IF(C466="","",COUNTIFS(Başvuru!$C:$C,C466,Başvuru!$G:$G,"Yüksek Lisans Tezi",Başvuru!$A:$A,"&lt;&gt;"&amp;"",Başvuru!$F:$F,"&lt;&gt;"&amp;""))</f>
        <v/>
      </c>
      <c r="J466" s="163" t="str">
        <f>IF(C466="","",COUNTIFS(Başvuru!$C:$C,C466,Başvuru!$L:$L,"ONAY",Başvuru!$A:$A,"&lt;&gt;"&amp;"",Başvuru!$F:$F,"&lt;&gt;"&amp;""))</f>
        <v/>
      </c>
      <c r="K466" s="164" t="str">
        <f>IF(C466="","",COUNTIFS(Başvuru!$C:$C,C466,Başvuru!$L:$L,"DÜZELTME",Başvuru!$A:$A,"&lt;&gt;"&amp;"",Başvuru!$F:$F,"&lt;&gt;"&amp;""))</f>
        <v/>
      </c>
      <c r="L466" s="165" t="str">
        <f>IF(C466="","",COUNTIFS(Başvuru!$C:$C,C466,Başvuru!$L:$L,"KAEK",Başvuru!$A:$A,"&lt;&gt;"&amp;"",Başvuru!$F:$F,"&lt;&gt;"&amp;""))</f>
        <v/>
      </c>
      <c r="M466" s="166" t="str">
        <f>IF(C466="","",COUNTIFS(Başvuru!$C:$C,C466,Başvuru!$L:$L,"GÖRÜŞ",Başvuru!$A:$A,"&lt;&gt;"&amp;"",Başvuru!$F:$F,"&lt;&gt;"&amp;""))</f>
        <v/>
      </c>
      <c r="N466" s="167" t="str">
        <f>IF(C466="","",COUNTIFS(Başvuru!$C:$C,C466,Başvuru!$L:$L,"RET",Başvuru!$A:$A,"&lt;&gt;"&amp;"",Başvuru!$F:$F,"&lt;&gt;"&amp;""))</f>
        <v/>
      </c>
      <c r="O466" s="168" t="str">
        <f>IF(C466="","",COUNTIFS(Başvuru!$C:$C,C466,Başvuru!$L:$L,"KAPSAM DIŞI",Başvuru!$A:$A,"&lt;&gt;"&amp;"",Başvuru!$F:$F,"&lt;&gt;"&amp;""))</f>
        <v/>
      </c>
      <c r="P466" s="169" t="str">
        <f>IF(C466="","",COUNTIFS(Başvuru!$C:$C,C466,Başvuru!$L:$L,"GERİ ÇEKİLDİ",Başvuru!$A:$A,"&lt;&gt;"&amp;"",Başvuru!$F:$F,"&lt;&gt;"&amp;""))</f>
        <v/>
      </c>
      <c r="Q466" s="170" t="str">
        <f t="array" ref="Q466">IFERROR(INDEX(Başvuru!$C$2:$C$3000, MATCH(0, COUNTIF($Q$5:Q465, Başvuru!$C$2:$C$3000) + IF(Başvuru!$C$2:$C$3000="",1,0), 0)), "")</f>
        <v/>
      </c>
      <c r="R466" s="171" t="str">
        <f>IF(Q466="","",COUNTIFS(Başvuru!$C:$C,Q466,Başvuru!$A:$A,"&lt;&gt;"&amp;"",Başvuru!$F:$F,"&lt;&gt;"&amp;""))</f>
        <v/>
      </c>
      <c r="S466" s="171" t="str">
        <f>IF(R466="","",RANK(R466,$R$6:$R$505,0)+COUNTIF($R$6:R466,R466)-1)</f>
        <v/>
      </c>
    </row>
    <row r="467" spans="2:19" ht="23.25" customHeight="1" x14ac:dyDescent="0.25">
      <c r="B467" s="159">
        <v>462</v>
      </c>
      <c r="C467" s="160" t="str">
        <f>IFERROR(INDEX($Q$6:$Q$505,MATCH(462,$S$6:$S$505,0)),"")</f>
        <v/>
      </c>
      <c r="D467" s="161" t="str">
        <f>IF(C467="","",COUNTIFS(Başvuru!$C:$C,C467,Başvuru!$A:$A,"&lt;&gt;"&amp;"",Başvuru!$F:$F,"&lt;&gt;"&amp;""))</f>
        <v/>
      </c>
      <c r="E467" s="159" t="str">
        <f>IF(C467="","-",IF(D467&gt;0,TEXT(D467/(COUNTIFS(Başvuru!$A:$A,"&lt;&gt;",Başvuru!$F:$F,"&lt;&gt;")-1)*100,"0.0")&amp;"%","-"))</f>
        <v>-</v>
      </c>
      <c r="F467" s="162" t="str">
        <f>IF(C467="","",COUNTIFS(Başvuru!$C:$C,C467,Başvuru!$G:$G,"Bireysel Araştırma",Başvuru!$A:$A,"&lt;&gt;"&amp;"",Başvuru!$F:$F,"&lt;&gt;"&amp;""))</f>
        <v/>
      </c>
      <c r="G467" s="162" t="str">
        <f>IF(C467="","",COUNTIFS(Başvuru!$C:$C,C467,Başvuru!$G:$G,"Uzmanlık Tezi",Başvuru!$A:$A,"&lt;&gt;"&amp;"",Başvuru!$F:$F,"&lt;&gt;"&amp;""))</f>
        <v/>
      </c>
      <c r="H467" s="162" t="str">
        <f>IF(C467="","",COUNTIFS(Başvuru!$C:$C,C467,Başvuru!$G:$G,"Doktora Tezi",Başvuru!$A:$A,"&lt;&gt;"&amp;"",Başvuru!$F:$F,"&lt;&gt;"&amp;""))</f>
        <v/>
      </c>
      <c r="I467" s="162" t="str">
        <f>IF(C467="","",COUNTIFS(Başvuru!$C:$C,C467,Başvuru!$G:$G,"Yüksek Lisans Tezi",Başvuru!$A:$A,"&lt;&gt;"&amp;"",Başvuru!$F:$F,"&lt;&gt;"&amp;""))</f>
        <v/>
      </c>
      <c r="J467" s="163" t="str">
        <f>IF(C467="","",COUNTIFS(Başvuru!$C:$C,C467,Başvuru!$L:$L,"ONAY",Başvuru!$A:$A,"&lt;&gt;"&amp;"",Başvuru!$F:$F,"&lt;&gt;"&amp;""))</f>
        <v/>
      </c>
      <c r="K467" s="164" t="str">
        <f>IF(C467="","",COUNTIFS(Başvuru!$C:$C,C467,Başvuru!$L:$L,"DÜZELTME",Başvuru!$A:$A,"&lt;&gt;"&amp;"",Başvuru!$F:$F,"&lt;&gt;"&amp;""))</f>
        <v/>
      </c>
      <c r="L467" s="165" t="str">
        <f>IF(C467="","",COUNTIFS(Başvuru!$C:$C,C467,Başvuru!$L:$L,"KAEK",Başvuru!$A:$A,"&lt;&gt;"&amp;"",Başvuru!$F:$F,"&lt;&gt;"&amp;""))</f>
        <v/>
      </c>
      <c r="M467" s="166" t="str">
        <f>IF(C467="","",COUNTIFS(Başvuru!$C:$C,C467,Başvuru!$L:$L,"GÖRÜŞ",Başvuru!$A:$A,"&lt;&gt;"&amp;"",Başvuru!$F:$F,"&lt;&gt;"&amp;""))</f>
        <v/>
      </c>
      <c r="N467" s="167" t="str">
        <f>IF(C467="","",COUNTIFS(Başvuru!$C:$C,C467,Başvuru!$L:$L,"RET",Başvuru!$A:$A,"&lt;&gt;"&amp;"",Başvuru!$F:$F,"&lt;&gt;"&amp;""))</f>
        <v/>
      </c>
      <c r="O467" s="168" t="str">
        <f>IF(C467="","",COUNTIFS(Başvuru!$C:$C,C467,Başvuru!$L:$L,"KAPSAM DIŞI",Başvuru!$A:$A,"&lt;&gt;"&amp;"",Başvuru!$F:$F,"&lt;&gt;"&amp;""))</f>
        <v/>
      </c>
      <c r="P467" s="169" t="str">
        <f>IF(C467="","",COUNTIFS(Başvuru!$C:$C,C467,Başvuru!$L:$L,"GERİ ÇEKİLDİ",Başvuru!$A:$A,"&lt;&gt;"&amp;"",Başvuru!$F:$F,"&lt;&gt;"&amp;""))</f>
        <v/>
      </c>
      <c r="Q467" s="170" t="str">
        <f t="array" ref="Q467">IFERROR(INDEX(Başvuru!$C$2:$C$3000, MATCH(0, COUNTIF($Q$5:Q466, Başvuru!$C$2:$C$3000) + IF(Başvuru!$C$2:$C$3000="",1,0), 0)), "")</f>
        <v/>
      </c>
      <c r="R467" s="171" t="str">
        <f>IF(Q467="","",COUNTIFS(Başvuru!$C:$C,Q467,Başvuru!$A:$A,"&lt;&gt;"&amp;"",Başvuru!$F:$F,"&lt;&gt;"&amp;""))</f>
        <v/>
      </c>
      <c r="S467" s="171" t="str">
        <f>IF(R467="","",RANK(R467,$R$6:$R$505,0)+COUNTIF($R$6:R467,R467)-1)</f>
        <v/>
      </c>
    </row>
    <row r="468" spans="2:19" ht="23.25" customHeight="1" x14ac:dyDescent="0.25">
      <c r="B468" s="159">
        <v>463</v>
      </c>
      <c r="C468" s="160" t="str">
        <f>IFERROR(INDEX($Q$6:$Q$505,MATCH(463,$S$6:$S$505,0)),"")</f>
        <v/>
      </c>
      <c r="D468" s="161" t="str">
        <f>IF(C468="","",COUNTIFS(Başvuru!$C:$C,C468,Başvuru!$A:$A,"&lt;&gt;"&amp;"",Başvuru!$F:$F,"&lt;&gt;"&amp;""))</f>
        <v/>
      </c>
      <c r="E468" s="159" t="str">
        <f>IF(C468="","-",IF(D468&gt;0,TEXT(D468/(COUNTIFS(Başvuru!$A:$A,"&lt;&gt;",Başvuru!$F:$F,"&lt;&gt;")-1)*100,"0.0")&amp;"%","-"))</f>
        <v>-</v>
      </c>
      <c r="F468" s="162" t="str">
        <f>IF(C468="","",COUNTIFS(Başvuru!$C:$C,C468,Başvuru!$G:$G,"Bireysel Araştırma",Başvuru!$A:$A,"&lt;&gt;"&amp;"",Başvuru!$F:$F,"&lt;&gt;"&amp;""))</f>
        <v/>
      </c>
      <c r="G468" s="162" t="str">
        <f>IF(C468="","",COUNTIFS(Başvuru!$C:$C,C468,Başvuru!$G:$G,"Uzmanlık Tezi",Başvuru!$A:$A,"&lt;&gt;"&amp;"",Başvuru!$F:$F,"&lt;&gt;"&amp;""))</f>
        <v/>
      </c>
      <c r="H468" s="162" t="str">
        <f>IF(C468="","",COUNTIFS(Başvuru!$C:$C,C468,Başvuru!$G:$G,"Doktora Tezi",Başvuru!$A:$A,"&lt;&gt;"&amp;"",Başvuru!$F:$F,"&lt;&gt;"&amp;""))</f>
        <v/>
      </c>
      <c r="I468" s="162" t="str">
        <f>IF(C468="","",COUNTIFS(Başvuru!$C:$C,C468,Başvuru!$G:$G,"Yüksek Lisans Tezi",Başvuru!$A:$A,"&lt;&gt;"&amp;"",Başvuru!$F:$F,"&lt;&gt;"&amp;""))</f>
        <v/>
      </c>
      <c r="J468" s="163" t="str">
        <f>IF(C468="","",COUNTIFS(Başvuru!$C:$C,C468,Başvuru!$L:$L,"ONAY",Başvuru!$A:$A,"&lt;&gt;"&amp;"",Başvuru!$F:$F,"&lt;&gt;"&amp;""))</f>
        <v/>
      </c>
      <c r="K468" s="164" t="str">
        <f>IF(C468="","",COUNTIFS(Başvuru!$C:$C,C468,Başvuru!$L:$L,"DÜZELTME",Başvuru!$A:$A,"&lt;&gt;"&amp;"",Başvuru!$F:$F,"&lt;&gt;"&amp;""))</f>
        <v/>
      </c>
      <c r="L468" s="165" t="str">
        <f>IF(C468="","",COUNTIFS(Başvuru!$C:$C,C468,Başvuru!$L:$L,"KAEK",Başvuru!$A:$A,"&lt;&gt;"&amp;"",Başvuru!$F:$F,"&lt;&gt;"&amp;""))</f>
        <v/>
      </c>
      <c r="M468" s="166" t="str">
        <f>IF(C468="","",COUNTIFS(Başvuru!$C:$C,C468,Başvuru!$L:$L,"GÖRÜŞ",Başvuru!$A:$A,"&lt;&gt;"&amp;"",Başvuru!$F:$F,"&lt;&gt;"&amp;""))</f>
        <v/>
      </c>
      <c r="N468" s="167" t="str">
        <f>IF(C468="","",COUNTIFS(Başvuru!$C:$C,C468,Başvuru!$L:$L,"RET",Başvuru!$A:$A,"&lt;&gt;"&amp;"",Başvuru!$F:$F,"&lt;&gt;"&amp;""))</f>
        <v/>
      </c>
      <c r="O468" s="168" t="str">
        <f>IF(C468="","",COUNTIFS(Başvuru!$C:$C,C468,Başvuru!$L:$L,"KAPSAM DIŞI",Başvuru!$A:$A,"&lt;&gt;"&amp;"",Başvuru!$F:$F,"&lt;&gt;"&amp;""))</f>
        <v/>
      </c>
      <c r="P468" s="169" t="str">
        <f>IF(C468="","",COUNTIFS(Başvuru!$C:$C,C468,Başvuru!$L:$L,"GERİ ÇEKİLDİ",Başvuru!$A:$A,"&lt;&gt;"&amp;"",Başvuru!$F:$F,"&lt;&gt;"&amp;""))</f>
        <v/>
      </c>
      <c r="Q468" s="170" t="str">
        <f t="array" ref="Q468">IFERROR(INDEX(Başvuru!$C$2:$C$3000, MATCH(0, COUNTIF($Q$5:Q467, Başvuru!$C$2:$C$3000) + IF(Başvuru!$C$2:$C$3000="",1,0), 0)), "")</f>
        <v/>
      </c>
      <c r="R468" s="171" t="str">
        <f>IF(Q468="","",COUNTIFS(Başvuru!$C:$C,Q468,Başvuru!$A:$A,"&lt;&gt;"&amp;"",Başvuru!$F:$F,"&lt;&gt;"&amp;""))</f>
        <v/>
      </c>
      <c r="S468" s="171" t="str">
        <f>IF(R468="","",RANK(R468,$R$6:$R$505,0)+COUNTIF($R$6:R468,R468)-1)</f>
        <v/>
      </c>
    </row>
    <row r="469" spans="2:19" ht="23.25" customHeight="1" x14ac:dyDescent="0.25">
      <c r="B469" s="159">
        <v>464</v>
      </c>
      <c r="C469" s="160" t="str">
        <f>IFERROR(INDEX($Q$6:$Q$505,MATCH(464,$S$6:$S$505,0)),"")</f>
        <v/>
      </c>
      <c r="D469" s="161" t="str">
        <f>IF(C469="","",COUNTIFS(Başvuru!$C:$C,C469,Başvuru!$A:$A,"&lt;&gt;"&amp;"",Başvuru!$F:$F,"&lt;&gt;"&amp;""))</f>
        <v/>
      </c>
      <c r="E469" s="159" t="str">
        <f>IF(C469="","-",IF(D469&gt;0,TEXT(D469/(COUNTIFS(Başvuru!$A:$A,"&lt;&gt;",Başvuru!$F:$F,"&lt;&gt;")-1)*100,"0.0")&amp;"%","-"))</f>
        <v>-</v>
      </c>
      <c r="F469" s="162" t="str">
        <f>IF(C469="","",COUNTIFS(Başvuru!$C:$C,C469,Başvuru!$G:$G,"Bireysel Araştırma",Başvuru!$A:$A,"&lt;&gt;"&amp;"",Başvuru!$F:$F,"&lt;&gt;"&amp;""))</f>
        <v/>
      </c>
      <c r="G469" s="162" t="str">
        <f>IF(C469="","",COUNTIFS(Başvuru!$C:$C,C469,Başvuru!$G:$G,"Uzmanlık Tezi",Başvuru!$A:$A,"&lt;&gt;"&amp;"",Başvuru!$F:$F,"&lt;&gt;"&amp;""))</f>
        <v/>
      </c>
      <c r="H469" s="162" t="str">
        <f>IF(C469="","",COUNTIFS(Başvuru!$C:$C,C469,Başvuru!$G:$G,"Doktora Tezi",Başvuru!$A:$A,"&lt;&gt;"&amp;"",Başvuru!$F:$F,"&lt;&gt;"&amp;""))</f>
        <v/>
      </c>
      <c r="I469" s="162" t="str">
        <f>IF(C469="","",COUNTIFS(Başvuru!$C:$C,C469,Başvuru!$G:$G,"Yüksek Lisans Tezi",Başvuru!$A:$A,"&lt;&gt;"&amp;"",Başvuru!$F:$F,"&lt;&gt;"&amp;""))</f>
        <v/>
      </c>
      <c r="J469" s="163" t="str">
        <f>IF(C469="","",COUNTIFS(Başvuru!$C:$C,C469,Başvuru!$L:$L,"ONAY",Başvuru!$A:$A,"&lt;&gt;"&amp;"",Başvuru!$F:$F,"&lt;&gt;"&amp;""))</f>
        <v/>
      </c>
      <c r="K469" s="164" t="str">
        <f>IF(C469="","",COUNTIFS(Başvuru!$C:$C,C469,Başvuru!$L:$L,"DÜZELTME",Başvuru!$A:$A,"&lt;&gt;"&amp;"",Başvuru!$F:$F,"&lt;&gt;"&amp;""))</f>
        <v/>
      </c>
      <c r="L469" s="165" t="str">
        <f>IF(C469="","",COUNTIFS(Başvuru!$C:$C,C469,Başvuru!$L:$L,"KAEK",Başvuru!$A:$A,"&lt;&gt;"&amp;"",Başvuru!$F:$F,"&lt;&gt;"&amp;""))</f>
        <v/>
      </c>
      <c r="M469" s="166" t="str">
        <f>IF(C469="","",COUNTIFS(Başvuru!$C:$C,C469,Başvuru!$L:$L,"GÖRÜŞ",Başvuru!$A:$A,"&lt;&gt;"&amp;"",Başvuru!$F:$F,"&lt;&gt;"&amp;""))</f>
        <v/>
      </c>
      <c r="N469" s="167" t="str">
        <f>IF(C469="","",COUNTIFS(Başvuru!$C:$C,C469,Başvuru!$L:$L,"RET",Başvuru!$A:$A,"&lt;&gt;"&amp;"",Başvuru!$F:$F,"&lt;&gt;"&amp;""))</f>
        <v/>
      </c>
      <c r="O469" s="168" t="str">
        <f>IF(C469="","",COUNTIFS(Başvuru!$C:$C,C469,Başvuru!$L:$L,"KAPSAM DIŞI",Başvuru!$A:$A,"&lt;&gt;"&amp;"",Başvuru!$F:$F,"&lt;&gt;"&amp;""))</f>
        <v/>
      </c>
      <c r="P469" s="169" t="str">
        <f>IF(C469="","",COUNTIFS(Başvuru!$C:$C,C469,Başvuru!$L:$L,"GERİ ÇEKİLDİ",Başvuru!$A:$A,"&lt;&gt;"&amp;"",Başvuru!$F:$F,"&lt;&gt;"&amp;""))</f>
        <v/>
      </c>
      <c r="Q469" s="170" t="str">
        <f t="array" ref="Q469">IFERROR(INDEX(Başvuru!$C$2:$C$3000, MATCH(0, COUNTIF($Q$5:Q468, Başvuru!$C$2:$C$3000) + IF(Başvuru!$C$2:$C$3000="",1,0), 0)), "")</f>
        <v/>
      </c>
      <c r="R469" s="171" t="str">
        <f>IF(Q469="","",COUNTIFS(Başvuru!$C:$C,Q469,Başvuru!$A:$A,"&lt;&gt;"&amp;"",Başvuru!$F:$F,"&lt;&gt;"&amp;""))</f>
        <v/>
      </c>
      <c r="S469" s="171" t="str">
        <f>IF(R469="","",RANK(R469,$R$6:$R$505,0)+COUNTIF($R$6:R469,R469)-1)</f>
        <v/>
      </c>
    </row>
    <row r="470" spans="2:19" ht="23.25" customHeight="1" x14ac:dyDescent="0.25">
      <c r="B470" s="159">
        <v>465</v>
      </c>
      <c r="C470" s="160" t="str">
        <f>IFERROR(INDEX($Q$6:$Q$505,MATCH(465,$S$6:$S$505,0)),"")</f>
        <v/>
      </c>
      <c r="D470" s="161" t="str">
        <f>IF(C470="","",COUNTIFS(Başvuru!$C:$C,C470,Başvuru!$A:$A,"&lt;&gt;"&amp;"",Başvuru!$F:$F,"&lt;&gt;"&amp;""))</f>
        <v/>
      </c>
      <c r="E470" s="159" t="str">
        <f>IF(C470="","-",IF(D470&gt;0,TEXT(D470/(COUNTIFS(Başvuru!$A:$A,"&lt;&gt;",Başvuru!$F:$F,"&lt;&gt;")-1)*100,"0.0")&amp;"%","-"))</f>
        <v>-</v>
      </c>
      <c r="F470" s="162" t="str">
        <f>IF(C470="","",COUNTIFS(Başvuru!$C:$C,C470,Başvuru!$G:$G,"Bireysel Araştırma",Başvuru!$A:$A,"&lt;&gt;"&amp;"",Başvuru!$F:$F,"&lt;&gt;"&amp;""))</f>
        <v/>
      </c>
      <c r="G470" s="162" t="str">
        <f>IF(C470="","",COUNTIFS(Başvuru!$C:$C,C470,Başvuru!$G:$G,"Uzmanlık Tezi",Başvuru!$A:$A,"&lt;&gt;"&amp;"",Başvuru!$F:$F,"&lt;&gt;"&amp;""))</f>
        <v/>
      </c>
      <c r="H470" s="162" t="str">
        <f>IF(C470="","",COUNTIFS(Başvuru!$C:$C,C470,Başvuru!$G:$G,"Doktora Tezi",Başvuru!$A:$A,"&lt;&gt;"&amp;"",Başvuru!$F:$F,"&lt;&gt;"&amp;""))</f>
        <v/>
      </c>
      <c r="I470" s="162" t="str">
        <f>IF(C470="","",COUNTIFS(Başvuru!$C:$C,C470,Başvuru!$G:$G,"Yüksek Lisans Tezi",Başvuru!$A:$A,"&lt;&gt;"&amp;"",Başvuru!$F:$F,"&lt;&gt;"&amp;""))</f>
        <v/>
      </c>
      <c r="J470" s="163" t="str">
        <f>IF(C470="","",COUNTIFS(Başvuru!$C:$C,C470,Başvuru!$L:$L,"ONAY",Başvuru!$A:$A,"&lt;&gt;"&amp;"",Başvuru!$F:$F,"&lt;&gt;"&amp;""))</f>
        <v/>
      </c>
      <c r="K470" s="164" t="str">
        <f>IF(C470="","",COUNTIFS(Başvuru!$C:$C,C470,Başvuru!$L:$L,"DÜZELTME",Başvuru!$A:$A,"&lt;&gt;"&amp;"",Başvuru!$F:$F,"&lt;&gt;"&amp;""))</f>
        <v/>
      </c>
      <c r="L470" s="165" t="str">
        <f>IF(C470="","",COUNTIFS(Başvuru!$C:$C,C470,Başvuru!$L:$L,"KAEK",Başvuru!$A:$A,"&lt;&gt;"&amp;"",Başvuru!$F:$F,"&lt;&gt;"&amp;""))</f>
        <v/>
      </c>
      <c r="M470" s="166" t="str">
        <f>IF(C470="","",COUNTIFS(Başvuru!$C:$C,C470,Başvuru!$L:$L,"GÖRÜŞ",Başvuru!$A:$A,"&lt;&gt;"&amp;"",Başvuru!$F:$F,"&lt;&gt;"&amp;""))</f>
        <v/>
      </c>
      <c r="N470" s="167" t="str">
        <f>IF(C470="","",COUNTIFS(Başvuru!$C:$C,C470,Başvuru!$L:$L,"RET",Başvuru!$A:$A,"&lt;&gt;"&amp;"",Başvuru!$F:$F,"&lt;&gt;"&amp;""))</f>
        <v/>
      </c>
      <c r="O470" s="168" t="str">
        <f>IF(C470="","",COUNTIFS(Başvuru!$C:$C,C470,Başvuru!$L:$L,"KAPSAM DIŞI",Başvuru!$A:$A,"&lt;&gt;"&amp;"",Başvuru!$F:$F,"&lt;&gt;"&amp;""))</f>
        <v/>
      </c>
      <c r="P470" s="169" t="str">
        <f>IF(C470="","",COUNTIFS(Başvuru!$C:$C,C470,Başvuru!$L:$L,"GERİ ÇEKİLDİ",Başvuru!$A:$A,"&lt;&gt;"&amp;"",Başvuru!$F:$F,"&lt;&gt;"&amp;""))</f>
        <v/>
      </c>
      <c r="Q470" s="170" t="str">
        <f t="array" ref="Q470">IFERROR(INDEX(Başvuru!$C$2:$C$3000, MATCH(0, COUNTIF($Q$5:Q469, Başvuru!$C$2:$C$3000) + IF(Başvuru!$C$2:$C$3000="",1,0), 0)), "")</f>
        <v/>
      </c>
      <c r="R470" s="171" t="str">
        <f>IF(Q470="","",COUNTIFS(Başvuru!$C:$C,Q470,Başvuru!$A:$A,"&lt;&gt;"&amp;"",Başvuru!$F:$F,"&lt;&gt;"&amp;""))</f>
        <v/>
      </c>
      <c r="S470" s="171" t="str">
        <f>IF(R470="","",RANK(R470,$R$6:$R$505,0)+COUNTIF($R$6:R470,R470)-1)</f>
        <v/>
      </c>
    </row>
    <row r="471" spans="2:19" ht="23.25" customHeight="1" x14ac:dyDescent="0.25">
      <c r="B471" s="159">
        <v>466</v>
      </c>
      <c r="C471" s="160" t="str">
        <f>IFERROR(INDEX($Q$6:$Q$505,MATCH(466,$S$6:$S$505,0)),"")</f>
        <v/>
      </c>
      <c r="D471" s="161" t="str">
        <f>IF(C471="","",COUNTIFS(Başvuru!$C:$C,C471,Başvuru!$A:$A,"&lt;&gt;"&amp;"",Başvuru!$F:$F,"&lt;&gt;"&amp;""))</f>
        <v/>
      </c>
      <c r="E471" s="159" t="str">
        <f>IF(C471="","-",IF(D471&gt;0,TEXT(D471/(COUNTIFS(Başvuru!$A:$A,"&lt;&gt;",Başvuru!$F:$F,"&lt;&gt;")-1)*100,"0.0")&amp;"%","-"))</f>
        <v>-</v>
      </c>
      <c r="F471" s="162" t="str">
        <f>IF(C471="","",COUNTIFS(Başvuru!$C:$C,C471,Başvuru!$G:$G,"Bireysel Araştırma",Başvuru!$A:$A,"&lt;&gt;"&amp;"",Başvuru!$F:$F,"&lt;&gt;"&amp;""))</f>
        <v/>
      </c>
      <c r="G471" s="162" t="str">
        <f>IF(C471="","",COUNTIFS(Başvuru!$C:$C,C471,Başvuru!$G:$G,"Uzmanlık Tezi",Başvuru!$A:$A,"&lt;&gt;"&amp;"",Başvuru!$F:$F,"&lt;&gt;"&amp;""))</f>
        <v/>
      </c>
      <c r="H471" s="162" t="str">
        <f>IF(C471="","",COUNTIFS(Başvuru!$C:$C,C471,Başvuru!$G:$G,"Doktora Tezi",Başvuru!$A:$A,"&lt;&gt;"&amp;"",Başvuru!$F:$F,"&lt;&gt;"&amp;""))</f>
        <v/>
      </c>
      <c r="I471" s="162" t="str">
        <f>IF(C471="","",COUNTIFS(Başvuru!$C:$C,C471,Başvuru!$G:$G,"Yüksek Lisans Tezi",Başvuru!$A:$A,"&lt;&gt;"&amp;"",Başvuru!$F:$F,"&lt;&gt;"&amp;""))</f>
        <v/>
      </c>
      <c r="J471" s="163" t="str">
        <f>IF(C471="","",COUNTIFS(Başvuru!$C:$C,C471,Başvuru!$L:$L,"ONAY",Başvuru!$A:$A,"&lt;&gt;"&amp;"",Başvuru!$F:$F,"&lt;&gt;"&amp;""))</f>
        <v/>
      </c>
      <c r="K471" s="164" t="str">
        <f>IF(C471="","",COUNTIFS(Başvuru!$C:$C,C471,Başvuru!$L:$L,"DÜZELTME",Başvuru!$A:$A,"&lt;&gt;"&amp;"",Başvuru!$F:$F,"&lt;&gt;"&amp;""))</f>
        <v/>
      </c>
      <c r="L471" s="165" t="str">
        <f>IF(C471="","",COUNTIFS(Başvuru!$C:$C,C471,Başvuru!$L:$L,"KAEK",Başvuru!$A:$A,"&lt;&gt;"&amp;"",Başvuru!$F:$F,"&lt;&gt;"&amp;""))</f>
        <v/>
      </c>
      <c r="M471" s="166" t="str">
        <f>IF(C471="","",COUNTIFS(Başvuru!$C:$C,C471,Başvuru!$L:$L,"GÖRÜŞ",Başvuru!$A:$A,"&lt;&gt;"&amp;"",Başvuru!$F:$F,"&lt;&gt;"&amp;""))</f>
        <v/>
      </c>
      <c r="N471" s="167" t="str">
        <f>IF(C471="","",COUNTIFS(Başvuru!$C:$C,C471,Başvuru!$L:$L,"RET",Başvuru!$A:$A,"&lt;&gt;"&amp;"",Başvuru!$F:$F,"&lt;&gt;"&amp;""))</f>
        <v/>
      </c>
      <c r="O471" s="168" t="str">
        <f>IF(C471="","",COUNTIFS(Başvuru!$C:$C,C471,Başvuru!$L:$L,"KAPSAM DIŞI",Başvuru!$A:$A,"&lt;&gt;"&amp;"",Başvuru!$F:$F,"&lt;&gt;"&amp;""))</f>
        <v/>
      </c>
      <c r="P471" s="169" t="str">
        <f>IF(C471="","",COUNTIFS(Başvuru!$C:$C,C471,Başvuru!$L:$L,"GERİ ÇEKİLDİ",Başvuru!$A:$A,"&lt;&gt;"&amp;"",Başvuru!$F:$F,"&lt;&gt;"&amp;""))</f>
        <v/>
      </c>
      <c r="Q471" s="170" t="str">
        <f t="array" ref="Q471">IFERROR(INDEX(Başvuru!$C$2:$C$3000, MATCH(0, COUNTIF($Q$5:Q470, Başvuru!$C$2:$C$3000) + IF(Başvuru!$C$2:$C$3000="",1,0), 0)), "")</f>
        <v/>
      </c>
      <c r="R471" s="171" t="str">
        <f>IF(Q471="","",COUNTIFS(Başvuru!$C:$C,Q471,Başvuru!$A:$A,"&lt;&gt;"&amp;"",Başvuru!$F:$F,"&lt;&gt;"&amp;""))</f>
        <v/>
      </c>
      <c r="S471" s="171" t="str">
        <f>IF(R471="","",RANK(R471,$R$6:$R$505,0)+COUNTIF($R$6:R471,R471)-1)</f>
        <v/>
      </c>
    </row>
    <row r="472" spans="2:19" ht="23.25" customHeight="1" x14ac:dyDescent="0.25">
      <c r="B472" s="159">
        <v>467</v>
      </c>
      <c r="C472" s="160" t="str">
        <f>IFERROR(INDEX($Q$6:$Q$505,MATCH(467,$S$6:$S$505,0)),"")</f>
        <v/>
      </c>
      <c r="D472" s="161" t="str">
        <f>IF(C472="","",COUNTIFS(Başvuru!$C:$C,C472,Başvuru!$A:$A,"&lt;&gt;"&amp;"",Başvuru!$F:$F,"&lt;&gt;"&amp;""))</f>
        <v/>
      </c>
      <c r="E472" s="159" t="str">
        <f>IF(C472="","-",IF(D472&gt;0,TEXT(D472/(COUNTIFS(Başvuru!$A:$A,"&lt;&gt;",Başvuru!$F:$F,"&lt;&gt;")-1)*100,"0.0")&amp;"%","-"))</f>
        <v>-</v>
      </c>
      <c r="F472" s="162" t="str">
        <f>IF(C472="","",COUNTIFS(Başvuru!$C:$C,C472,Başvuru!$G:$G,"Bireysel Araştırma",Başvuru!$A:$A,"&lt;&gt;"&amp;"",Başvuru!$F:$F,"&lt;&gt;"&amp;""))</f>
        <v/>
      </c>
      <c r="G472" s="162" t="str">
        <f>IF(C472="","",COUNTIFS(Başvuru!$C:$C,C472,Başvuru!$G:$G,"Uzmanlık Tezi",Başvuru!$A:$A,"&lt;&gt;"&amp;"",Başvuru!$F:$F,"&lt;&gt;"&amp;""))</f>
        <v/>
      </c>
      <c r="H472" s="162" t="str">
        <f>IF(C472="","",COUNTIFS(Başvuru!$C:$C,C472,Başvuru!$G:$G,"Doktora Tezi",Başvuru!$A:$A,"&lt;&gt;"&amp;"",Başvuru!$F:$F,"&lt;&gt;"&amp;""))</f>
        <v/>
      </c>
      <c r="I472" s="162" t="str">
        <f>IF(C472="","",COUNTIFS(Başvuru!$C:$C,C472,Başvuru!$G:$G,"Yüksek Lisans Tezi",Başvuru!$A:$A,"&lt;&gt;"&amp;"",Başvuru!$F:$F,"&lt;&gt;"&amp;""))</f>
        <v/>
      </c>
      <c r="J472" s="163" t="str">
        <f>IF(C472="","",COUNTIFS(Başvuru!$C:$C,C472,Başvuru!$L:$L,"ONAY",Başvuru!$A:$A,"&lt;&gt;"&amp;"",Başvuru!$F:$F,"&lt;&gt;"&amp;""))</f>
        <v/>
      </c>
      <c r="K472" s="164" t="str">
        <f>IF(C472="","",COUNTIFS(Başvuru!$C:$C,C472,Başvuru!$L:$L,"DÜZELTME",Başvuru!$A:$A,"&lt;&gt;"&amp;"",Başvuru!$F:$F,"&lt;&gt;"&amp;""))</f>
        <v/>
      </c>
      <c r="L472" s="165" t="str">
        <f>IF(C472="","",COUNTIFS(Başvuru!$C:$C,C472,Başvuru!$L:$L,"KAEK",Başvuru!$A:$A,"&lt;&gt;"&amp;"",Başvuru!$F:$F,"&lt;&gt;"&amp;""))</f>
        <v/>
      </c>
      <c r="M472" s="166" t="str">
        <f>IF(C472="","",COUNTIFS(Başvuru!$C:$C,C472,Başvuru!$L:$L,"GÖRÜŞ",Başvuru!$A:$A,"&lt;&gt;"&amp;"",Başvuru!$F:$F,"&lt;&gt;"&amp;""))</f>
        <v/>
      </c>
      <c r="N472" s="167" t="str">
        <f>IF(C472="","",COUNTIFS(Başvuru!$C:$C,C472,Başvuru!$L:$L,"RET",Başvuru!$A:$A,"&lt;&gt;"&amp;"",Başvuru!$F:$F,"&lt;&gt;"&amp;""))</f>
        <v/>
      </c>
      <c r="O472" s="168" t="str">
        <f>IF(C472="","",COUNTIFS(Başvuru!$C:$C,C472,Başvuru!$L:$L,"KAPSAM DIŞI",Başvuru!$A:$A,"&lt;&gt;"&amp;"",Başvuru!$F:$F,"&lt;&gt;"&amp;""))</f>
        <v/>
      </c>
      <c r="P472" s="169" t="str">
        <f>IF(C472="","",COUNTIFS(Başvuru!$C:$C,C472,Başvuru!$L:$L,"GERİ ÇEKİLDİ",Başvuru!$A:$A,"&lt;&gt;"&amp;"",Başvuru!$F:$F,"&lt;&gt;"&amp;""))</f>
        <v/>
      </c>
      <c r="Q472" s="170" t="str">
        <f t="array" ref="Q472">IFERROR(INDEX(Başvuru!$C$2:$C$3000, MATCH(0, COUNTIF($Q$5:Q471, Başvuru!$C$2:$C$3000) + IF(Başvuru!$C$2:$C$3000="",1,0), 0)), "")</f>
        <v/>
      </c>
      <c r="R472" s="171" t="str">
        <f>IF(Q472="","",COUNTIFS(Başvuru!$C:$C,Q472,Başvuru!$A:$A,"&lt;&gt;"&amp;"",Başvuru!$F:$F,"&lt;&gt;"&amp;""))</f>
        <v/>
      </c>
      <c r="S472" s="171" t="str">
        <f>IF(R472="","",RANK(R472,$R$6:$R$505,0)+COUNTIF($R$6:R472,R472)-1)</f>
        <v/>
      </c>
    </row>
    <row r="473" spans="2:19" ht="23.25" customHeight="1" x14ac:dyDescent="0.25">
      <c r="B473" s="159">
        <v>468</v>
      </c>
      <c r="C473" s="160" t="str">
        <f>IFERROR(INDEX($Q$6:$Q$505,MATCH(468,$S$6:$S$505,0)),"")</f>
        <v/>
      </c>
      <c r="D473" s="161" t="str">
        <f>IF(C473="","",COUNTIFS(Başvuru!$C:$C,C473,Başvuru!$A:$A,"&lt;&gt;"&amp;"",Başvuru!$F:$F,"&lt;&gt;"&amp;""))</f>
        <v/>
      </c>
      <c r="E473" s="159" t="str">
        <f>IF(C473="","-",IF(D473&gt;0,TEXT(D473/(COUNTIFS(Başvuru!$A:$A,"&lt;&gt;",Başvuru!$F:$F,"&lt;&gt;")-1)*100,"0.0")&amp;"%","-"))</f>
        <v>-</v>
      </c>
      <c r="F473" s="162" t="str">
        <f>IF(C473="","",COUNTIFS(Başvuru!$C:$C,C473,Başvuru!$G:$G,"Bireysel Araştırma",Başvuru!$A:$A,"&lt;&gt;"&amp;"",Başvuru!$F:$F,"&lt;&gt;"&amp;""))</f>
        <v/>
      </c>
      <c r="G473" s="162" t="str">
        <f>IF(C473="","",COUNTIFS(Başvuru!$C:$C,C473,Başvuru!$G:$G,"Uzmanlık Tezi",Başvuru!$A:$A,"&lt;&gt;"&amp;"",Başvuru!$F:$F,"&lt;&gt;"&amp;""))</f>
        <v/>
      </c>
      <c r="H473" s="162" t="str">
        <f>IF(C473="","",COUNTIFS(Başvuru!$C:$C,C473,Başvuru!$G:$G,"Doktora Tezi",Başvuru!$A:$A,"&lt;&gt;"&amp;"",Başvuru!$F:$F,"&lt;&gt;"&amp;""))</f>
        <v/>
      </c>
      <c r="I473" s="162" t="str">
        <f>IF(C473="","",COUNTIFS(Başvuru!$C:$C,C473,Başvuru!$G:$G,"Yüksek Lisans Tezi",Başvuru!$A:$A,"&lt;&gt;"&amp;"",Başvuru!$F:$F,"&lt;&gt;"&amp;""))</f>
        <v/>
      </c>
      <c r="J473" s="163" t="str">
        <f>IF(C473="","",COUNTIFS(Başvuru!$C:$C,C473,Başvuru!$L:$L,"ONAY",Başvuru!$A:$A,"&lt;&gt;"&amp;"",Başvuru!$F:$F,"&lt;&gt;"&amp;""))</f>
        <v/>
      </c>
      <c r="K473" s="164" t="str">
        <f>IF(C473="","",COUNTIFS(Başvuru!$C:$C,C473,Başvuru!$L:$L,"DÜZELTME",Başvuru!$A:$A,"&lt;&gt;"&amp;"",Başvuru!$F:$F,"&lt;&gt;"&amp;""))</f>
        <v/>
      </c>
      <c r="L473" s="165" t="str">
        <f>IF(C473="","",COUNTIFS(Başvuru!$C:$C,C473,Başvuru!$L:$L,"KAEK",Başvuru!$A:$A,"&lt;&gt;"&amp;"",Başvuru!$F:$F,"&lt;&gt;"&amp;""))</f>
        <v/>
      </c>
      <c r="M473" s="166" t="str">
        <f>IF(C473="","",COUNTIFS(Başvuru!$C:$C,C473,Başvuru!$L:$L,"GÖRÜŞ",Başvuru!$A:$A,"&lt;&gt;"&amp;"",Başvuru!$F:$F,"&lt;&gt;"&amp;""))</f>
        <v/>
      </c>
      <c r="N473" s="167" t="str">
        <f>IF(C473="","",COUNTIFS(Başvuru!$C:$C,C473,Başvuru!$L:$L,"RET",Başvuru!$A:$A,"&lt;&gt;"&amp;"",Başvuru!$F:$F,"&lt;&gt;"&amp;""))</f>
        <v/>
      </c>
      <c r="O473" s="168" t="str">
        <f>IF(C473="","",COUNTIFS(Başvuru!$C:$C,C473,Başvuru!$L:$L,"KAPSAM DIŞI",Başvuru!$A:$A,"&lt;&gt;"&amp;"",Başvuru!$F:$F,"&lt;&gt;"&amp;""))</f>
        <v/>
      </c>
      <c r="P473" s="169" t="str">
        <f>IF(C473="","",COUNTIFS(Başvuru!$C:$C,C473,Başvuru!$L:$L,"GERİ ÇEKİLDİ",Başvuru!$A:$A,"&lt;&gt;"&amp;"",Başvuru!$F:$F,"&lt;&gt;"&amp;""))</f>
        <v/>
      </c>
      <c r="Q473" s="170" t="str">
        <f t="array" ref="Q473">IFERROR(INDEX(Başvuru!$C$2:$C$3000, MATCH(0, COUNTIF($Q$5:Q472, Başvuru!$C$2:$C$3000) + IF(Başvuru!$C$2:$C$3000="",1,0), 0)), "")</f>
        <v/>
      </c>
      <c r="R473" s="171" t="str">
        <f>IF(Q473="","",COUNTIFS(Başvuru!$C:$C,Q473,Başvuru!$A:$A,"&lt;&gt;"&amp;"",Başvuru!$F:$F,"&lt;&gt;"&amp;""))</f>
        <v/>
      </c>
      <c r="S473" s="171" t="str">
        <f>IF(R473="","",RANK(R473,$R$6:$R$505,0)+COUNTIF($R$6:R473,R473)-1)</f>
        <v/>
      </c>
    </row>
    <row r="474" spans="2:19" ht="23.25" customHeight="1" x14ac:dyDescent="0.25">
      <c r="B474" s="159">
        <v>469</v>
      </c>
      <c r="C474" s="160" t="str">
        <f>IFERROR(INDEX($Q$6:$Q$505,MATCH(469,$S$6:$S$505,0)),"")</f>
        <v/>
      </c>
      <c r="D474" s="161" t="str">
        <f>IF(C474="","",COUNTIFS(Başvuru!$C:$C,C474,Başvuru!$A:$A,"&lt;&gt;"&amp;"",Başvuru!$F:$F,"&lt;&gt;"&amp;""))</f>
        <v/>
      </c>
      <c r="E474" s="159" t="str">
        <f>IF(C474="","-",IF(D474&gt;0,TEXT(D474/(COUNTIFS(Başvuru!$A:$A,"&lt;&gt;",Başvuru!$F:$F,"&lt;&gt;")-1)*100,"0.0")&amp;"%","-"))</f>
        <v>-</v>
      </c>
      <c r="F474" s="162" t="str">
        <f>IF(C474="","",COUNTIFS(Başvuru!$C:$C,C474,Başvuru!$G:$G,"Bireysel Araştırma",Başvuru!$A:$A,"&lt;&gt;"&amp;"",Başvuru!$F:$F,"&lt;&gt;"&amp;""))</f>
        <v/>
      </c>
      <c r="G474" s="162" t="str">
        <f>IF(C474="","",COUNTIFS(Başvuru!$C:$C,C474,Başvuru!$G:$G,"Uzmanlık Tezi",Başvuru!$A:$A,"&lt;&gt;"&amp;"",Başvuru!$F:$F,"&lt;&gt;"&amp;""))</f>
        <v/>
      </c>
      <c r="H474" s="162" t="str">
        <f>IF(C474="","",COUNTIFS(Başvuru!$C:$C,C474,Başvuru!$G:$G,"Doktora Tezi",Başvuru!$A:$A,"&lt;&gt;"&amp;"",Başvuru!$F:$F,"&lt;&gt;"&amp;""))</f>
        <v/>
      </c>
      <c r="I474" s="162" t="str">
        <f>IF(C474="","",COUNTIFS(Başvuru!$C:$C,C474,Başvuru!$G:$G,"Yüksek Lisans Tezi",Başvuru!$A:$A,"&lt;&gt;"&amp;"",Başvuru!$F:$F,"&lt;&gt;"&amp;""))</f>
        <v/>
      </c>
      <c r="J474" s="163" t="str">
        <f>IF(C474="","",COUNTIFS(Başvuru!$C:$C,C474,Başvuru!$L:$L,"ONAY",Başvuru!$A:$A,"&lt;&gt;"&amp;"",Başvuru!$F:$F,"&lt;&gt;"&amp;""))</f>
        <v/>
      </c>
      <c r="K474" s="164" t="str">
        <f>IF(C474="","",COUNTIFS(Başvuru!$C:$C,C474,Başvuru!$L:$L,"DÜZELTME",Başvuru!$A:$A,"&lt;&gt;"&amp;"",Başvuru!$F:$F,"&lt;&gt;"&amp;""))</f>
        <v/>
      </c>
      <c r="L474" s="165" t="str">
        <f>IF(C474="","",COUNTIFS(Başvuru!$C:$C,C474,Başvuru!$L:$L,"KAEK",Başvuru!$A:$A,"&lt;&gt;"&amp;"",Başvuru!$F:$F,"&lt;&gt;"&amp;""))</f>
        <v/>
      </c>
      <c r="M474" s="166" t="str">
        <f>IF(C474="","",COUNTIFS(Başvuru!$C:$C,C474,Başvuru!$L:$L,"GÖRÜŞ",Başvuru!$A:$A,"&lt;&gt;"&amp;"",Başvuru!$F:$F,"&lt;&gt;"&amp;""))</f>
        <v/>
      </c>
      <c r="N474" s="167" t="str">
        <f>IF(C474="","",COUNTIFS(Başvuru!$C:$C,C474,Başvuru!$L:$L,"RET",Başvuru!$A:$A,"&lt;&gt;"&amp;"",Başvuru!$F:$F,"&lt;&gt;"&amp;""))</f>
        <v/>
      </c>
      <c r="O474" s="168" t="str">
        <f>IF(C474="","",COUNTIFS(Başvuru!$C:$C,C474,Başvuru!$L:$L,"KAPSAM DIŞI",Başvuru!$A:$A,"&lt;&gt;"&amp;"",Başvuru!$F:$F,"&lt;&gt;"&amp;""))</f>
        <v/>
      </c>
      <c r="P474" s="169" t="str">
        <f>IF(C474="","",COUNTIFS(Başvuru!$C:$C,C474,Başvuru!$L:$L,"GERİ ÇEKİLDİ",Başvuru!$A:$A,"&lt;&gt;"&amp;"",Başvuru!$F:$F,"&lt;&gt;"&amp;""))</f>
        <v/>
      </c>
      <c r="Q474" s="170" t="str">
        <f t="array" ref="Q474">IFERROR(INDEX(Başvuru!$C$2:$C$3000, MATCH(0, COUNTIF($Q$5:Q473, Başvuru!$C$2:$C$3000) + IF(Başvuru!$C$2:$C$3000="",1,0), 0)), "")</f>
        <v/>
      </c>
      <c r="R474" s="171" t="str">
        <f>IF(Q474="","",COUNTIFS(Başvuru!$C:$C,Q474,Başvuru!$A:$A,"&lt;&gt;"&amp;"",Başvuru!$F:$F,"&lt;&gt;"&amp;""))</f>
        <v/>
      </c>
      <c r="S474" s="171" t="str">
        <f>IF(R474="","",RANK(R474,$R$6:$R$505,0)+COUNTIF($R$6:R474,R474)-1)</f>
        <v/>
      </c>
    </row>
    <row r="475" spans="2:19" ht="23.25" customHeight="1" x14ac:dyDescent="0.25">
      <c r="B475" s="159">
        <v>470</v>
      </c>
      <c r="C475" s="160" t="str">
        <f>IFERROR(INDEX($Q$6:$Q$505,MATCH(470,$S$6:$S$505,0)),"")</f>
        <v/>
      </c>
      <c r="D475" s="161" t="str">
        <f>IF(C475="","",COUNTIFS(Başvuru!$C:$C,C475,Başvuru!$A:$A,"&lt;&gt;"&amp;"",Başvuru!$F:$F,"&lt;&gt;"&amp;""))</f>
        <v/>
      </c>
      <c r="E475" s="159" t="str">
        <f>IF(C475="","-",IF(D475&gt;0,TEXT(D475/(COUNTIFS(Başvuru!$A:$A,"&lt;&gt;",Başvuru!$F:$F,"&lt;&gt;")-1)*100,"0.0")&amp;"%","-"))</f>
        <v>-</v>
      </c>
      <c r="F475" s="162" t="str">
        <f>IF(C475="","",COUNTIFS(Başvuru!$C:$C,C475,Başvuru!$G:$G,"Bireysel Araştırma",Başvuru!$A:$A,"&lt;&gt;"&amp;"",Başvuru!$F:$F,"&lt;&gt;"&amp;""))</f>
        <v/>
      </c>
      <c r="G475" s="162" t="str">
        <f>IF(C475="","",COUNTIFS(Başvuru!$C:$C,C475,Başvuru!$G:$G,"Uzmanlık Tezi",Başvuru!$A:$A,"&lt;&gt;"&amp;"",Başvuru!$F:$F,"&lt;&gt;"&amp;""))</f>
        <v/>
      </c>
      <c r="H475" s="162" t="str">
        <f>IF(C475="","",COUNTIFS(Başvuru!$C:$C,C475,Başvuru!$G:$G,"Doktora Tezi",Başvuru!$A:$A,"&lt;&gt;"&amp;"",Başvuru!$F:$F,"&lt;&gt;"&amp;""))</f>
        <v/>
      </c>
      <c r="I475" s="162" t="str">
        <f>IF(C475="","",COUNTIFS(Başvuru!$C:$C,C475,Başvuru!$G:$G,"Yüksek Lisans Tezi",Başvuru!$A:$A,"&lt;&gt;"&amp;"",Başvuru!$F:$F,"&lt;&gt;"&amp;""))</f>
        <v/>
      </c>
      <c r="J475" s="163" t="str">
        <f>IF(C475="","",COUNTIFS(Başvuru!$C:$C,C475,Başvuru!$L:$L,"ONAY",Başvuru!$A:$A,"&lt;&gt;"&amp;"",Başvuru!$F:$F,"&lt;&gt;"&amp;""))</f>
        <v/>
      </c>
      <c r="K475" s="164" t="str">
        <f>IF(C475="","",COUNTIFS(Başvuru!$C:$C,C475,Başvuru!$L:$L,"DÜZELTME",Başvuru!$A:$A,"&lt;&gt;"&amp;"",Başvuru!$F:$F,"&lt;&gt;"&amp;""))</f>
        <v/>
      </c>
      <c r="L475" s="165" t="str">
        <f>IF(C475="","",COUNTIFS(Başvuru!$C:$C,C475,Başvuru!$L:$L,"KAEK",Başvuru!$A:$A,"&lt;&gt;"&amp;"",Başvuru!$F:$F,"&lt;&gt;"&amp;""))</f>
        <v/>
      </c>
      <c r="M475" s="166" t="str">
        <f>IF(C475="","",COUNTIFS(Başvuru!$C:$C,C475,Başvuru!$L:$L,"GÖRÜŞ",Başvuru!$A:$A,"&lt;&gt;"&amp;"",Başvuru!$F:$F,"&lt;&gt;"&amp;""))</f>
        <v/>
      </c>
      <c r="N475" s="167" t="str">
        <f>IF(C475="","",COUNTIFS(Başvuru!$C:$C,C475,Başvuru!$L:$L,"RET",Başvuru!$A:$A,"&lt;&gt;"&amp;"",Başvuru!$F:$F,"&lt;&gt;"&amp;""))</f>
        <v/>
      </c>
      <c r="O475" s="168" t="str">
        <f>IF(C475="","",COUNTIFS(Başvuru!$C:$C,C475,Başvuru!$L:$L,"KAPSAM DIŞI",Başvuru!$A:$A,"&lt;&gt;"&amp;"",Başvuru!$F:$F,"&lt;&gt;"&amp;""))</f>
        <v/>
      </c>
      <c r="P475" s="169" t="str">
        <f>IF(C475="","",COUNTIFS(Başvuru!$C:$C,C475,Başvuru!$L:$L,"GERİ ÇEKİLDİ",Başvuru!$A:$A,"&lt;&gt;"&amp;"",Başvuru!$F:$F,"&lt;&gt;"&amp;""))</f>
        <v/>
      </c>
      <c r="Q475" s="170" t="str">
        <f t="array" ref="Q475">IFERROR(INDEX(Başvuru!$C$2:$C$3000, MATCH(0, COUNTIF($Q$5:Q474, Başvuru!$C$2:$C$3000) + IF(Başvuru!$C$2:$C$3000="",1,0), 0)), "")</f>
        <v/>
      </c>
      <c r="R475" s="171" t="str">
        <f>IF(Q475="","",COUNTIFS(Başvuru!$C:$C,Q475,Başvuru!$A:$A,"&lt;&gt;"&amp;"",Başvuru!$F:$F,"&lt;&gt;"&amp;""))</f>
        <v/>
      </c>
      <c r="S475" s="171" t="str">
        <f>IF(R475="","",RANK(R475,$R$6:$R$505,0)+COUNTIF($R$6:R475,R475)-1)</f>
        <v/>
      </c>
    </row>
    <row r="476" spans="2:19" ht="23.25" customHeight="1" x14ac:dyDescent="0.25">
      <c r="B476" s="159">
        <v>471</v>
      </c>
      <c r="C476" s="160" t="str">
        <f>IFERROR(INDEX($Q$6:$Q$505,MATCH(471,$S$6:$S$505,0)),"")</f>
        <v/>
      </c>
      <c r="D476" s="161" t="str">
        <f>IF(C476="","",COUNTIFS(Başvuru!$C:$C,C476,Başvuru!$A:$A,"&lt;&gt;"&amp;"",Başvuru!$F:$F,"&lt;&gt;"&amp;""))</f>
        <v/>
      </c>
      <c r="E476" s="159" t="str">
        <f>IF(C476="","-",IF(D476&gt;0,TEXT(D476/(COUNTIFS(Başvuru!$A:$A,"&lt;&gt;",Başvuru!$F:$F,"&lt;&gt;")-1)*100,"0.0")&amp;"%","-"))</f>
        <v>-</v>
      </c>
      <c r="F476" s="162" t="str">
        <f>IF(C476="","",COUNTIFS(Başvuru!$C:$C,C476,Başvuru!$G:$G,"Bireysel Araştırma",Başvuru!$A:$A,"&lt;&gt;"&amp;"",Başvuru!$F:$F,"&lt;&gt;"&amp;""))</f>
        <v/>
      </c>
      <c r="G476" s="162" t="str">
        <f>IF(C476="","",COUNTIFS(Başvuru!$C:$C,C476,Başvuru!$G:$G,"Uzmanlık Tezi",Başvuru!$A:$A,"&lt;&gt;"&amp;"",Başvuru!$F:$F,"&lt;&gt;"&amp;""))</f>
        <v/>
      </c>
      <c r="H476" s="162" t="str">
        <f>IF(C476="","",COUNTIFS(Başvuru!$C:$C,C476,Başvuru!$G:$G,"Doktora Tezi",Başvuru!$A:$A,"&lt;&gt;"&amp;"",Başvuru!$F:$F,"&lt;&gt;"&amp;""))</f>
        <v/>
      </c>
      <c r="I476" s="162" t="str">
        <f>IF(C476="","",COUNTIFS(Başvuru!$C:$C,C476,Başvuru!$G:$G,"Yüksek Lisans Tezi",Başvuru!$A:$A,"&lt;&gt;"&amp;"",Başvuru!$F:$F,"&lt;&gt;"&amp;""))</f>
        <v/>
      </c>
      <c r="J476" s="163" t="str">
        <f>IF(C476="","",COUNTIFS(Başvuru!$C:$C,C476,Başvuru!$L:$L,"ONAY",Başvuru!$A:$A,"&lt;&gt;"&amp;"",Başvuru!$F:$F,"&lt;&gt;"&amp;""))</f>
        <v/>
      </c>
      <c r="K476" s="164" t="str">
        <f>IF(C476="","",COUNTIFS(Başvuru!$C:$C,C476,Başvuru!$L:$L,"DÜZELTME",Başvuru!$A:$A,"&lt;&gt;"&amp;"",Başvuru!$F:$F,"&lt;&gt;"&amp;""))</f>
        <v/>
      </c>
      <c r="L476" s="165" t="str">
        <f>IF(C476="","",COUNTIFS(Başvuru!$C:$C,C476,Başvuru!$L:$L,"KAEK",Başvuru!$A:$A,"&lt;&gt;"&amp;"",Başvuru!$F:$F,"&lt;&gt;"&amp;""))</f>
        <v/>
      </c>
      <c r="M476" s="166" t="str">
        <f>IF(C476="","",COUNTIFS(Başvuru!$C:$C,C476,Başvuru!$L:$L,"GÖRÜŞ",Başvuru!$A:$A,"&lt;&gt;"&amp;"",Başvuru!$F:$F,"&lt;&gt;"&amp;""))</f>
        <v/>
      </c>
      <c r="N476" s="167" t="str">
        <f>IF(C476="","",COUNTIFS(Başvuru!$C:$C,C476,Başvuru!$L:$L,"RET",Başvuru!$A:$A,"&lt;&gt;"&amp;"",Başvuru!$F:$F,"&lt;&gt;"&amp;""))</f>
        <v/>
      </c>
      <c r="O476" s="168" t="str">
        <f>IF(C476="","",COUNTIFS(Başvuru!$C:$C,C476,Başvuru!$L:$L,"KAPSAM DIŞI",Başvuru!$A:$A,"&lt;&gt;"&amp;"",Başvuru!$F:$F,"&lt;&gt;"&amp;""))</f>
        <v/>
      </c>
      <c r="P476" s="169" t="str">
        <f>IF(C476="","",COUNTIFS(Başvuru!$C:$C,C476,Başvuru!$L:$L,"GERİ ÇEKİLDİ",Başvuru!$A:$A,"&lt;&gt;"&amp;"",Başvuru!$F:$F,"&lt;&gt;"&amp;""))</f>
        <v/>
      </c>
      <c r="Q476" s="170" t="str">
        <f t="array" ref="Q476">IFERROR(INDEX(Başvuru!$C$2:$C$3000, MATCH(0, COUNTIF($Q$5:Q475, Başvuru!$C$2:$C$3000) + IF(Başvuru!$C$2:$C$3000="",1,0), 0)), "")</f>
        <v/>
      </c>
      <c r="R476" s="171" t="str">
        <f>IF(Q476="","",COUNTIFS(Başvuru!$C:$C,Q476,Başvuru!$A:$A,"&lt;&gt;"&amp;"",Başvuru!$F:$F,"&lt;&gt;"&amp;""))</f>
        <v/>
      </c>
      <c r="S476" s="171" t="str">
        <f>IF(R476="","",RANK(R476,$R$6:$R$505,0)+COUNTIF($R$6:R476,R476)-1)</f>
        <v/>
      </c>
    </row>
    <row r="477" spans="2:19" ht="23.25" customHeight="1" x14ac:dyDescent="0.25">
      <c r="B477" s="159">
        <v>472</v>
      </c>
      <c r="C477" s="160" t="str">
        <f>IFERROR(INDEX($Q$6:$Q$505,MATCH(472,$S$6:$S$505,0)),"")</f>
        <v/>
      </c>
      <c r="D477" s="161" t="str">
        <f>IF(C477="","",COUNTIFS(Başvuru!$C:$C,C477,Başvuru!$A:$A,"&lt;&gt;"&amp;"",Başvuru!$F:$F,"&lt;&gt;"&amp;""))</f>
        <v/>
      </c>
      <c r="E477" s="159" t="str">
        <f>IF(C477="","-",IF(D477&gt;0,TEXT(D477/(COUNTIFS(Başvuru!$A:$A,"&lt;&gt;",Başvuru!$F:$F,"&lt;&gt;")-1)*100,"0.0")&amp;"%","-"))</f>
        <v>-</v>
      </c>
      <c r="F477" s="162" t="str">
        <f>IF(C477="","",COUNTIFS(Başvuru!$C:$C,C477,Başvuru!$G:$G,"Bireysel Araştırma",Başvuru!$A:$A,"&lt;&gt;"&amp;"",Başvuru!$F:$F,"&lt;&gt;"&amp;""))</f>
        <v/>
      </c>
      <c r="G477" s="162" t="str">
        <f>IF(C477="","",COUNTIFS(Başvuru!$C:$C,C477,Başvuru!$G:$G,"Uzmanlık Tezi",Başvuru!$A:$A,"&lt;&gt;"&amp;"",Başvuru!$F:$F,"&lt;&gt;"&amp;""))</f>
        <v/>
      </c>
      <c r="H477" s="162" t="str">
        <f>IF(C477="","",COUNTIFS(Başvuru!$C:$C,C477,Başvuru!$G:$G,"Doktora Tezi",Başvuru!$A:$A,"&lt;&gt;"&amp;"",Başvuru!$F:$F,"&lt;&gt;"&amp;""))</f>
        <v/>
      </c>
      <c r="I477" s="162" t="str">
        <f>IF(C477="","",COUNTIFS(Başvuru!$C:$C,C477,Başvuru!$G:$G,"Yüksek Lisans Tezi",Başvuru!$A:$A,"&lt;&gt;"&amp;"",Başvuru!$F:$F,"&lt;&gt;"&amp;""))</f>
        <v/>
      </c>
      <c r="J477" s="163" t="str">
        <f>IF(C477="","",COUNTIFS(Başvuru!$C:$C,C477,Başvuru!$L:$L,"ONAY",Başvuru!$A:$A,"&lt;&gt;"&amp;"",Başvuru!$F:$F,"&lt;&gt;"&amp;""))</f>
        <v/>
      </c>
      <c r="K477" s="164" t="str">
        <f>IF(C477="","",COUNTIFS(Başvuru!$C:$C,C477,Başvuru!$L:$L,"DÜZELTME",Başvuru!$A:$A,"&lt;&gt;"&amp;"",Başvuru!$F:$F,"&lt;&gt;"&amp;""))</f>
        <v/>
      </c>
      <c r="L477" s="165" t="str">
        <f>IF(C477="","",COUNTIFS(Başvuru!$C:$C,C477,Başvuru!$L:$L,"KAEK",Başvuru!$A:$A,"&lt;&gt;"&amp;"",Başvuru!$F:$F,"&lt;&gt;"&amp;""))</f>
        <v/>
      </c>
      <c r="M477" s="166" t="str">
        <f>IF(C477="","",COUNTIFS(Başvuru!$C:$C,C477,Başvuru!$L:$L,"GÖRÜŞ",Başvuru!$A:$A,"&lt;&gt;"&amp;"",Başvuru!$F:$F,"&lt;&gt;"&amp;""))</f>
        <v/>
      </c>
      <c r="N477" s="167" t="str">
        <f>IF(C477="","",COUNTIFS(Başvuru!$C:$C,C477,Başvuru!$L:$L,"RET",Başvuru!$A:$A,"&lt;&gt;"&amp;"",Başvuru!$F:$F,"&lt;&gt;"&amp;""))</f>
        <v/>
      </c>
      <c r="O477" s="168" t="str">
        <f>IF(C477="","",COUNTIFS(Başvuru!$C:$C,C477,Başvuru!$L:$L,"KAPSAM DIŞI",Başvuru!$A:$A,"&lt;&gt;"&amp;"",Başvuru!$F:$F,"&lt;&gt;"&amp;""))</f>
        <v/>
      </c>
      <c r="P477" s="169" t="str">
        <f>IF(C477="","",COUNTIFS(Başvuru!$C:$C,C477,Başvuru!$L:$L,"GERİ ÇEKİLDİ",Başvuru!$A:$A,"&lt;&gt;"&amp;"",Başvuru!$F:$F,"&lt;&gt;"&amp;""))</f>
        <v/>
      </c>
      <c r="Q477" s="170" t="str">
        <f t="array" ref="Q477">IFERROR(INDEX(Başvuru!$C$2:$C$3000, MATCH(0, COUNTIF($Q$5:Q476, Başvuru!$C$2:$C$3000) + IF(Başvuru!$C$2:$C$3000="",1,0), 0)), "")</f>
        <v/>
      </c>
      <c r="R477" s="171" t="str">
        <f>IF(Q477="","",COUNTIFS(Başvuru!$C:$C,Q477,Başvuru!$A:$A,"&lt;&gt;"&amp;"",Başvuru!$F:$F,"&lt;&gt;"&amp;""))</f>
        <v/>
      </c>
      <c r="S477" s="171" t="str">
        <f>IF(R477="","",RANK(R477,$R$6:$R$505,0)+COUNTIF($R$6:R477,R477)-1)</f>
        <v/>
      </c>
    </row>
    <row r="478" spans="2:19" ht="23.25" customHeight="1" x14ac:dyDescent="0.25">
      <c r="B478" s="159">
        <v>473</v>
      </c>
      <c r="C478" s="160" t="str">
        <f>IFERROR(INDEX($Q$6:$Q$505,MATCH(473,$S$6:$S$505,0)),"")</f>
        <v/>
      </c>
      <c r="D478" s="161" t="str">
        <f>IF(C478="","",COUNTIFS(Başvuru!$C:$C,C478,Başvuru!$A:$A,"&lt;&gt;"&amp;"",Başvuru!$F:$F,"&lt;&gt;"&amp;""))</f>
        <v/>
      </c>
      <c r="E478" s="159" t="str">
        <f>IF(C478="","-",IF(D478&gt;0,TEXT(D478/(COUNTIFS(Başvuru!$A:$A,"&lt;&gt;",Başvuru!$F:$F,"&lt;&gt;")-1)*100,"0.0")&amp;"%","-"))</f>
        <v>-</v>
      </c>
      <c r="F478" s="162" t="str">
        <f>IF(C478="","",COUNTIFS(Başvuru!$C:$C,C478,Başvuru!$G:$G,"Bireysel Araştırma",Başvuru!$A:$A,"&lt;&gt;"&amp;"",Başvuru!$F:$F,"&lt;&gt;"&amp;""))</f>
        <v/>
      </c>
      <c r="G478" s="162" t="str">
        <f>IF(C478="","",COUNTIFS(Başvuru!$C:$C,C478,Başvuru!$G:$G,"Uzmanlık Tezi",Başvuru!$A:$A,"&lt;&gt;"&amp;"",Başvuru!$F:$F,"&lt;&gt;"&amp;""))</f>
        <v/>
      </c>
      <c r="H478" s="162" t="str">
        <f>IF(C478="","",COUNTIFS(Başvuru!$C:$C,C478,Başvuru!$G:$G,"Doktora Tezi",Başvuru!$A:$A,"&lt;&gt;"&amp;"",Başvuru!$F:$F,"&lt;&gt;"&amp;""))</f>
        <v/>
      </c>
      <c r="I478" s="162" t="str">
        <f>IF(C478="","",COUNTIFS(Başvuru!$C:$C,C478,Başvuru!$G:$G,"Yüksek Lisans Tezi",Başvuru!$A:$A,"&lt;&gt;"&amp;"",Başvuru!$F:$F,"&lt;&gt;"&amp;""))</f>
        <v/>
      </c>
      <c r="J478" s="163" t="str">
        <f>IF(C478="","",COUNTIFS(Başvuru!$C:$C,C478,Başvuru!$L:$L,"ONAY",Başvuru!$A:$A,"&lt;&gt;"&amp;"",Başvuru!$F:$F,"&lt;&gt;"&amp;""))</f>
        <v/>
      </c>
      <c r="K478" s="164" t="str">
        <f>IF(C478="","",COUNTIFS(Başvuru!$C:$C,C478,Başvuru!$L:$L,"DÜZELTME",Başvuru!$A:$A,"&lt;&gt;"&amp;"",Başvuru!$F:$F,"&lt;&gt;"&amp;""))</f>
        <v/>
      </c>
      <c r="L478" s="165" t="str">
        <f>IF(C478="","",COUNTIFS(Başvuru!$C:$C,C478,Başvuru!$L:$L,"KAEK",Başvuru!$A:$A,"&lt;&gt;"&amp;"",Başvuru!$F:$F,"&lt;&gt;"&amp;""))</f>
        <v/>
      </c>
      <c r="M478" s="166" t="str">
        <f>IF(C478="","",COUNTIFS(Başvuru!$C:$C,C478,Başvuru!$L:$L,"GÖRÜŞ",Başvuru!$A:$A,"&lt;&gt;"&amp;"",Başvuru!$F:$F,"&lt;&gt;"&amp;""))</f>
        <v/>
      </c>
      <c r="N478" s="167" t="str">
        <f>IF(C478="","",COUNTIFS(Başvuru!$C:$C,C478,Başvuru!$L:$L,"RET",Başvuru!$A:$A,"&lt;&gt;"&amp;"",Başvuru!$F:$F,"&lt;&gt;"&amp;""))</f>
        <v/>
      </c>
      <c r="O478" s="168" t="str">
        <f>IF(C478="","",COUNTIFS(Başvuru!$C:$C,C478,Başvuru!$L:$L,"KAPSAM DIŞI",Başvuru!$A:$A,"&lt;&gt;"&amp;"",Başvuru!$F:$F,"&lt;&gt;"&amp;""))</f>
        <v/>
      </c>
      <c r="P478" s="169" t="str">
        <f>IF(C478="","",COUNTIFS(Başvuru!$C:$C,C478,Başvuru!$L:$L,"GERİ ÇEKİLDİ",Başvuru!$A:$A,"&lt;&gt;"&amp;"",Başvuru!$F:$F,"&lt;&gt;"&amp;""))</f>
        <v/>
      </c>
      <c r="Q478" s="170" t="str">
        <f t="array" ref="Q478">IFERROR(INDEX(Başvuru!$C$2:$C$3000, MATCH(0, COUNTIF($Q$5:Q477, Başvuru!$C$2:$C$3000) + IF(Başvuru!$C$2:$C$3000="",1,0), 0)), "")</f>
        <v/>
      </c>
      <c r="R478" s="171" t="str">
        <f>IF(Q478="","",COUNTIFS(Başvuru!$C:$C,Q478,Başvuru!$A:$A,"&lt;&gt;"&amp;"",Başvuru!$F:$F,"&lt;&gt;"&amp;""))</f>
        <v/>
      </c>
      <c r="S478" s="171" t="str">
        <f>IF(R478="","",RANK(R478,$R$6:$R$505,0)+COUNTIF($R$6:R478,R478)-1)</f>
        <v/>
      </c>
    </row>
    <row r="479" spans="2:19" ht="23.25" customHeight="1" x14ac:dyDescent="0.25">
      <c r="B479" s="159">
        <v>474</v>
      </c>
      <c r="C479" s="160" t="str">
        <f>IFERROR(INDEX($Q$6:$Q$505,MATCH(474,$S$6:$S$505,0)),"")</f>
        <v/>
      </c>
      <c r="D479" s="161" t="str">
        <f>IF(C479="","",COUNTIFS(Başvuru!$C:$C,C479,Başvuru!$A:$A,"&lt;&gt;"&amp;"",Başvuru!$F:$F,"&lt;&gt;"&amp;""))</f>
        <v/>
      </c>
      <c r="E479" s="159" t="str">
        <f>IF(C479="","-",IF(D479&gt;0,TEXT(D479/(COUNTIFS(Başvuru!$A:$A,"&lt;&gt;",Başvuru!$F:$F,"&lt;&gt;")-1)*100,"0.0")&amp;"%","-"))</f>
        <v>-</v>
      </c>
      <c r="F479" s="162" t="str">
        <f>IF(C479="","",COUNTIFS(Başvuru!$C:$C,C479,Başvuru!$G:$G,"Bireysel Araştırma",Başvuru!$A:$A,"&lt;&gt;"&amp;"",Başvuru!$F:$F,"&lt;&gt;"&amp;""))</f>
        <v/>
      </c>
      <c r="G479" s="162" t="str">
        <f>IF(C479="","",COUNTIFS(Başvuru!$C:$C,C479,Başvuru!$G:$G,"Uzmanlık Tezi",Başvuru!$A:$A,"&lt;&gt;"&amp;"",Başvuru!$F:$F,"&lt;&gt;"&amp;""))</f>
        <v/>
      </c>
      <c r="H479" s="162" t="str">
        <f>IF(C479="","",COUNTIFS(Başvuru!$C:$C,C479,Başvuru!$G:$G,"Doktora Tezi",Başvuru!$A:$A,"&lt;&gt;"&amp;"",Başvuru!$F:$F,"&lt;&gt;"&amp;""))</f>
        <v/>
      </c>
      <c r="I479" s="162" t="str">
        <f>IF(C479="","",COUNTIFS(Başvuru!$C:$C,C479,Başvuru!$G:$G,"Yüksek Lisans Tezi",Başvuru!$A:$A,"&lt;&gt;"&amp;"",Başvuru!$F:$F,"&lt;&gt;"&amp;""))</f>
        <v/>
      </c>
      <c r="J479" s="163" t="str">
        <f>IF(C479="","",COUNTIFS(Başvuru!$C:$C,C479,Başvuru!$L:$L,"ONAY",Başvuru!$A:$A,"&lt;&gt;"&amp;"",Başvuru!$F:$F,"&lt;&gt;"&amp;""))</f>
        <v/>
      </c>
      <c r="K479" s="164" t="str">
        <f>IF(C479="","",COUNTIFS(Başvuru!$C:$C,C479,Başvuru!$L:$L,"DÜZELTME",Başvuru!$A:$A,"&lt;&gt;"&amp;"",Başvuru!$F:$F,"&lt;&gt;"&amp;""))</f>
        <v/>
      </c>
      <c r="L479" s="165" t="str">
        <f>IF(C479="","",COUNTIFS(Başvuru!$C:$C,C479,Başvuru!$L:$L,"KAEK",Başvuru!$A:$A,"&lt;&gt;"&amp;"",Başvuru!$F:$F,"&lt;&gt;"&amp;""))</f>
        <v/>
      </c>
      <c r="M479" s="166" t="str">
        <f>IF(C479="","",COUNTIFS(Başvuru!$C:$C,C479,Başvuru!$L:$L,"GÖRÜŞ",Başvuru!$A:$A,"&lt;&gt;"&amp;"",Başvuru!$F:$F,"&lt;&gt;"&amp;""))</f>
        <v/>
      </c>
      <c r="N479" s="167" t="str">
        <f>IF(C479="","",COUNTIFS(Başvuru!$C:$C,C479,Başvuru!$L:$L,"RET",Başvuru!$A:$A,"&lt;&gt;"&amp;"",Başvuru!$F:$F,"&lt;&gt;"&amp;""))</f>
        <v/>
      </c>
      <c r="O479" s="168" t="str">
        <f>IF(C479="","",COUNTIFS(Başvuru!$C:$C,C479,Başvuru!$L:$L,"KAPSAM DIŞI",Başvuru!$A:$A,"&lt;&gt;"&amp;"",Başvuru!$F:$F,"&lt;&gt;"&amp;""))</f>
        <v/>
      </c>
      <c r="P479" s="169" t="str">
        <f>IF(C479="","",COUNTIFS(Başvuru!$C:$C,C479,Başvuru!$L:$L,"GERİ ÇEKİLDİ",Başvuru!$A:$A,"&lt;&gt;"&amp;"",Başvuru!$F:$F,"&lt;&gt;"&amp;""))</f>
        <v/>
      </c>
      <c r="Q479" s="170" t="str">
        <f t="array" ref="Q479">IFERROR(INDEX(Başvuru!$C$2:$C$3000, MATCH(0, COUNTIF($Q$5:Q478, Başvuru!$C$2:$C$3000) + IF(Başvuru!$C$2:$C$3000="",1,0), 0)), "")</f>
        <v/>
      </c>
      <c r="R479" s="171" t="str">
        <f>IF(Q479="","",COUNTIFS(Başvuru!$C:$C,Q479,Başvuru!$A:$A,"&lt;&gt;"&amp;"",Başvuru!$F:$F,"&lt;&gt;"&amp;""))</f>
        <v/>
      </c>
      <c r="S479" s="171" t="str">
        <f>IF(R479="","",RANK(R479,$R$6:$R$505,0)+COUNTIF($R$6:R479,R479)-1)</f>
        <v/>
      </c>
    </row>
    <row r="480" spans="2:19" ht="23.25" customHeight="1" x14ac:dyDescent="0.25">
      <c r="B480" s="159">
        <v>475</v>
      </c>
      <c r="C480" s="160" t="str">
        <f>IFERROR(INDEX($Q$6:$Q$505,MATCH(475,$S$6:$S$505,0)),"")</f>
        <v/>
      </c>
      <c r="D480" s="161" t="str">
        <f>IF(C480="","",COUNTIFS(Başvuru!$C:$C,C480,Başvuru!$A:$A,"&lt;&gt;"&amp;"",Başvuru!$F:$F,"&lt;&gt;"&amp;""))</f>
        <v/>
      </c>
      <c r="E480" s="159" t="str">
        <f>IF(C480="","-",IF(D480&gt;0,TEXT(D480/(COUNTIFS(Başvuru!$A:$A,"&lt;&gt;",Başvuru!$F:$F,"&lt;&gt;")-1)*100,"0.0")&amp;"%","-"))</f>
        <v>-</v>
      </c>
      <c r="F480" s="162" t="str">
        <f>IF(C480="","",COUNTIFS(Başvuru!$C:$C,C480,Başvuru!$G:$G,"Bireysel Araştırma",Başvuru!$A:$A,"&lt;&gt;"&amp;"",Başvuru!$F:$F,"&lt;&gt;"&amp;""))</f>
        <v/>
      </c>
      <c r="G480" s="162" t="str">
        <f>IF(C480="","",COUNTIFS(Başvuru!$C:$C,C480,Başvuru!$G:$G,"Uzmanlık Tezi",Başvuru!$A:$A,"&lt;&gt;"&amp;"",Başvuru!$F:$F,"&lt;&gt;"&amp;""))</f>
        <v/>
      </c>
      <c r="H480" s="162" t="str">
        <f>IF(C480="","",COUNTIFS(Başvuru!$C:$C,C480,Başvuru!$G:$G,"Doktora Tezi",Başvuru!$A:$A,"&lt;&gt;"&amp;"",Başvuru!$F:$F,"&lt;&gt;"&amp;""))</f>
        <v/>
      </c>
      <c r="I480" s="162" t="str">
        <f>IF(C480="","",COUNTIFS(Başvuru!$C:$C,C480,Başvuru!$G:$G,"Yüksek Lisans Tezi",Başvuru!$A:$A,"&lt;&gt;"&amp;"",Başvuru!$F:$F,"&lt;&gt;"&amp;""))</f>
        <v/>
      </c>
      <c r="J480" s="163" t="str">
        <f>IF(C480="","",COUNTIFS(Başvuru!$C:$C,C480,Başvuru!$L:$L,"ONAY",Başvuru!$A:$A,"&lt;&gt;"&amp;"",Başvuru!$F:$F,"&lt;&gt;"&amp;""))</f>
        <v/>
      </c>
      <c r="K480" s="164" t="str">
        <f>IF(C480="","",COUNTIFS(Başvuru!$C:$C,C480,Başvuru!$L:$L,"DÜZELTME",Başvuru!$A:$A,"&lt;&gt;"&amp;"",Başvuru!$F:$F,"&lt;&gt;"&amp;""))</f>
        <v/>
      </c>
      <c r="L480" s="165" t="str">
        <f>IF(C480="","",COUNTIFS(Başvuru!$C:$C,C480,Başvuru!$L:$L,"KAEK",Başvuru!$A:$A,"&lt;&gt;"&amp;"",Başvuru!$F:$F,"&lt;&gt;"&amp;""))</f>
        <v/>
      </c>
      <c r="M480" s="166" t="str">
        <f>IF(C480="","",COUNTIFS(Başvuru!$C:$C,C480,Başvuru!$L:$L,"GÖRÜŞ",Başvuru!$A:$A,"&lt;&gt;"&amp;"",Başvuru!$F:$F,"&lt;&gt;"&amp;""))</f>
        <v/>
      </c>
      <c r="N480" s="167" t="str">
        <f>IF(C480="","",COUNTIFS(Başvuru!$C:$C,C480,Başvuru!$L:$L,"RET",Başvuru!$A:$A,"&lt;&gt;"&amp;"",Başvuru!$F:$F,"&lt;&gt;"&amp;""))</f>
        <v/>
      </c>
      <c r="O480" s="168" t="str">
        <f>IF(C480="","",COUNTIFS(Başvuru!$C:$C,C480,Başvuru!$L:$L,"KAPSAM DIŞI",Başvuru!$A:$A,"&lt;&gt;"&amp;"",Başvuru!$F:$F,"&lt;&gt;"&amp;""))</f>
        <v/>
      </c>
      <c r="P480" s="169" t="str">
        <f>IF(C480="","",COUNTIFS(Başvuru!$C:$C,C480,Başvuru!$L:$L,"GERİ ÇEKİLDİ",Başvuru!$A:$A,"&lt;&gt;"&amp;"",Başvuru!$F:$F,"&lt;&gt;"&amp;""))</f>
        <v/>
      </c>
      <c r="Q480" s="170" t="str">
        <f t="array" ref="Q480">IFERROR(INDEX(Başvuru!$C$2:$C$3000, MATCH(0, COUNTIF($Q$5:Q479, Başvuru!$C$2:$C$3000) + IF(Başvuru!$C$2:$C$3000="",1,0), 0)), "")</f>
        <v/>
      </c>
      <c r="R480" s="171" t="str">
        <f>IF(Q480="","",COUNTIFS(Başvuru!$C:$C,Q480,Başvuru!$A:$A,"&lt;&gt;"&amp;"",Başvuru!$F:$F,"&lt;&gt;"&amp;""))</f>
        <v/>
      </c>
      <c r="S480" s="171" t="str">
        <f>IF(R480="","",RANK(R480,$R$6:$R$505,0)+COUNTIF($R$6:R480,R480)-1)</f>
        <v/>
      </c>
    </row>
    <row r="481" spans="2:19" ht="23.25" customHeight="1" x14ac:dyDescent="0.25">
      <c r="B481" s="159">
        <v>476</v>
      </c>
      <c r="C481" s="160" t="str">
        <f>IFERROR(INDEX($Q$6:$Q$505,MATCH(476,$S$6:$S$505,0)),"")</f>
        <v/>
      </c>
      <c r="D481" s="161" t="str">
        <f>IF(C481="","",COUNTIFS(Başvuru!$C:$C,C481,Başvuru!$A:$A,"&lt;&gt;"&amp;"",Başvuru!$F:$F,"&lt;&gt;"&amp;""))</f>
        <v/>
      </c>
      <c r="E481" s="159" t="str">
        <f>IF(C481="","-",IF(D481&gt;0,TEXT(D481/(COUNTIFS(Başvuru!$A:$A,"&lt;&gt;",Başvuru!$F:$F,"&lt;&gt;")-1)*100,"0.0")&amp;"%","-"))</f>
        <v>-</v>
      </c>
      <c r="F481" s="162" t="str">
        <f>IF(C481="","",COUNTIFS(Başvuru!$C:$C,C481,Başvuru!$G:$G,"Bireysel Araştırma",Başvuru!$A:$A,"&lt;&gt;"&amp;"",Başvuru!$F:$F,"&lt;&gt;"&amp;""))</f>
        <v/>
      </c>
      <c r="G481" s="162" t="str">
        <f>IF(C481="","",COUNTIFS(Başvuru!$C:$C,C481,Başvuru!$G:$G,"Uzmanlık Tezi",Başvuru!$A:$A,"&lt;&gt;"&amp;"",Başvuru!$F:$F,"&lt;&gt;"&amp;""))</f>
        <v/>
      </c>
      <c r="H481" s="162" t="str">
        <f>IF(C481="","",COUNTIFS(Başvuru!$C:$C,C481,Başvuru!$G:$G,"Doktora Tezi",Başvuru!$A:$A,"&lt;&gt;"&amp;"",Başvuru!$F:$F,"&lt;&gt;"&amp;""))</f>
        <v/>
      </c>
      <c r="I481" s="162" t="str">
        <f>IF(C481="","",COUNTIFS(Başvuru!$C:$C,C481,Başvuru!$G:$G,"Yüksek Lisans Tezi",Başvuru!$A:$A,"&lt;&gt;"&amp;"",Başvuru!$F:$F,"&lt;&gt;"&amp;""))</f>
        <v/>
      </c>
      <c r="J481" s="163" t="str">
        <f>IF(C481="","",COUNTIFS(Başvuru!$C:$C,C481,Başvuru!$L:$L,"ONAY",Başvuru!$A:$A,"&lt;&gt;"&amp;"",Başvuru!$F:$F,"&lt;&gt;"&amp;""))</f>
        <v/>
      </c>
      <c r="K481" s="164" t="str">
        <f>IF(C481="","",COUNTIFS(Başvuru!$C:$C,C481,Başvuru!$L:$L,"DÜZELTME",Başvuru!$A:$A,"&lt;&gt;"&amp;"",Başvuru!$F:$F,"&lt;&gt;"&amp;""))</f>
        <v/>
      </c>
      <c r="L481" s="165" t="str">
        <f>IF(C481="","",COUNTIFS(Başvuru!$C:$C,C481,Başvuru!$L:$L,"KAEK",Başvuru!$A:$A,"&lt;&gt;"&amp;"",Başvuru!$F:$F,"&lt;&gt;"&amp;""))</f>
        <v/>
      </c>
      <c r="M481" s="166" t="str">
        <f>IF(C481="","",COUNTIFS(Başvuru!$C:$C,C481,Başvuru!$L:$L,"GÖRÜŞ",Başvuru!$A:$A,"&lt;&gt;"&amp;"",Başvuru!$F:$F,"&lt;&gt;"&amp;""))</f>
        <v/>
      </c>
      <c r="N481" s="167" t="str">
        <f>IF(C481="","",COUNTIFS(Başvuru!$C:$C,C481,Başvuru!$L:$L,"RET",Başvuru!$A:$A,"&lt;&gt;"&amp;"",Başvuru!$F:$F,"&lt;&gt;"&amp;""))</f>
        <v/>
      </c>
      <c r="O481" s="168" t="str">
        <f>IF(C481="","",COUNTIFS(Başvuru!$C:$C,C481,Başvuru!$L:$L,"KAPSAM DIŞI",Başvuru!$A:$A,"&lt;&gt;"&amp;"",Başvuru!$F:$F,"&lt;&gt;"&amp;""))</f>
        <v/>
      </c>
      <c r="P481" s="169" t="str">
        <f>IF(C481="","",COUNTIFS(Başvuru!$C:$C,C481,Başvuru!$L:$L,"GERİ ÇEKİLDİ",Başvuru!$A:$A,"&lt;&gt;"&amp;"",Başvuru!$F:$F,"&lt;&gt;"&amp;""))</f>
        <v/>
      </c>
      <c r="Q481" s="170" t="str">
        <f t="array" ref="Q481">IFERROR(INDEX(Başvuru!$C$2:$C$3000, MATCH(0, COUNTIF($Q$5:Q480, Başvuru!$C$2:$C$3000) + IF(Başvuru!$C$2:$C$3000="",1,0), 0)), "")</f>
        <v/>
      </c>
      <c r="R481" s="171" t="str">
        <f>IF(Q481="","",COUNTIFS(Başvuru!$C:$C,Q481,Başvuru!$A:$A,"&lt;&gt;"&amp;"",Başvuru!$F:$F,"&lt;&gt;"&amp;""))</f>
        <v/>
      </c>
      <c r="S481" s="171" t="str">
        <f>IF(R481="","",RANK(R481,$R$6:$R$505,0)+COUNTIF($R$6:R481,R481)-1)</f>
        <v/>
      </c>
    </row>
    <row r="482" spans="2:19" ht="23.25" customHeight="1" x14ac:dyDescent="0.25">
      <c r="B482" s="159">
        <v>477</v>
      </c>
      <c r="C482" s="160" t="str">
        <f>IFERROR(INDEX($Q$6:$Q$505,MATCH(477,$S$6:$S$505,0)),"")</f>
        <v/>
      </c>
      <c r="D482" s="161" t="str">
        <f>IF(C482="","",COUNTIFS(Başvuru!$C:$C,C482,Başvuru!$A:$A,"&lt;&gt;"&amp;"",Başvuru!$F:$F,"&lt;&gt;"&amp;""))</f>
        <v/>
      </c>
      <c r="E482" s="159" t="str">
        <f>IF(C482="","-",IF(D482&gt;0,TEXT(D482/(COUNTIFS(Başvuru!$A:$A,"&lt;&gt;",Başvuru!$F:$F,"&lt;&gt;")-1)*100,"0.0")&amp;"%","-"))</f>
        <v>-</v>
      </c>
      <c r="F482" s="162" t="str">
        <f>IF(C482="","",COUNTIFS(Başvuru!$C:$C,C482,Başvuru!$G:$G,"Bireysel Araştırma",Başvuru!$A:$A,"&lt;&gt;"&amp;"",Başvuru!$F:$F,"&lt;&gt;"&amp;""))</f>
        <v/>
      </c>
      <c r="G482" s="162" t="str">
        <f>IF(C482="","",COUNTIFS(Başvuru!$C:$C,C482,Başvuru!$G:$G,"Uzmanlık Tezi",Başvuru!$A:$A,"&lt;&gt;"&amp;"",Başvuru!$F:$F,"&lt;&gt;"&amp;""))</f>
        <v/>
      </c>
      <c r="H482" s="162" t="str">
        <f>IF(C482="","",COUNTIFS(Başvuru!$C:$C,C482,Başvuru!$G:$G,"Doktora Tezi",Başvuru!$A:$A,"&lt;&gt;"&amp;"",Başvuru!$F:$F,"&lt;&gt;"&amp;""))</f>
        <v/>
      </c>
      <c r="I482" s="162" t="str">
        <f>IF(C482="","",COUNTIFS(Başvuru!$C:$C,C482,Başvuru!$G:$G,"Yüksek Lisans Tezi",Başvuru!$A:$A,"&lt;&gt;"&amp;"",Başvuru!$F:$F,"&lt;&gt;"&amp;""))</f>
        <v/>
      </c>
      <c r="J482" s="163" t="str">
        <f>IF(C482="","",COUNTIFS(Başvuru!$C:$C,C482,Başvuru!$L:$L,"ONAY",Başvuru!$A:$A,"&lt;&gt;"&amp;"",Başvuru!$F:$F,"&lt;&gt;"&amp;""))</f>
        <v/>
      </c>
      <c r="K482" s="164" t="str">
        <f>IF(C482="","",COUNTIFS(Başvuru!$C:$C,C482,Başvuru!$L:$L,"DÜZELTME",Başvuru!$A:$A,"&lt;&gt;"&amp;"",Başvuru!$F:$F,"&lt;&gt;"&amp;""))</f>
        <v/>
      </c>
      <c r="L482" s="165" t="str">
        <f>IF(C482="","",COUNTIFS(Başvuru!$C:$C,C482,Başvuru!$L:$L,"KAEK",Başvuru!$A:$A,"&lt;&gt;"&amp;"",Başvuru!$F:$F,"&lt;&gt;"&amp;""))</f>
        <v/>
      </c>
      <c r="M482" s="166" t="str">
        <f>IF(C482="","",COUNTIFS(Başvuru!$C:$C,C482,Başvuru!$L:$L,"GÖRÜŞ",Başvuru!$A:$A,"&lt;&gt;"&amp;"",Başvuru!$F:$F,"&lt;&gt;"&amp;""))</f>
        <v/>
      </c>
      <c r="N482" s="167" t="str">
        <f>IF(C482="","",COUNTIFS(Başvuru!$C:$C,C482,Başvuru!$L:$L,"RET",Başvuru!$A:$A,"&lt;&gt;"&amp;"",Başvuru!$F:$F,"&lt;&gt;"&amp;""))</f>
        <v/>
      </c>
      <c r="O482" s="168" t="str">
        <f>IF(C482="","",COUNTIFS(Başvuru!$C:$C,C482,Başvuru!$L:$L,"KAPSAM DIŞI",Başvuru!$A:$A,"&lt;&gt;"&amp;"",Başvuru!$F:$F,"&lt;&gt;"&amp;""))</f>
        <v/>
      </c>
      <c r="P482" s="169" t="str">
        <f>IF(C482="","",COUNTIFS(Başvuru!$C:$C,C482,Başvuru!$L:$L,"GERİ ÇEKİLDİ",Başvuru!$A:$A,"&lt;&gt;"&amp;"",Başvuru!$F:$F,"&lt;&gt;"&amp;""))</f>
        <v/>
      </c>
      <c r="Q482" s="170" t="str">
        <f t="array" ref="Q482">IFERROR(INDEX(Başvuru!$C$2:$C$3000, MATCH(0, COUNTIF($Q$5:Q481, Başvuru!$C$2:$C$3000) + IF(Başvuru!$C$2:$C$3000="",1,0), 0)), "")</f>
        <v/>
      </c>
      <c r="R482" s="171" t="str">
        <f>IF(Q482="","",COUNTIFS(Başvuru!$C:$C,Q482,Başvuru!$A:$A,"&lt;&gt;"&amp;"",Başvuru!$F:$F,"&lt;&gt;"&amp;""))</f>
        <v/>
      </c>
      <c r="S482" s="171" t="str">
        <f>IF(R482="","",RANK(R482,$R$6:$R$505,0)+COUNTIF($R$6:R482,R482)-1)</f>
        <v/>
      </c>
    </row>
    <row r="483" spans="2:19" ht="23.25" customHeight="1" x14ac:dyDescent="0.25">
      <c r="B483" s="159">
        <v>478</v>
      </c>
      <c r="C483" s="160" t="str">
        <f>IFERROR(INDEX($Q$6:$Q$505,MATCH(478,$S$6:$S$505,0)),"")</f>
        <v/>
      </c>
      <c r="D483" s="161" t="str">
        <f>IF(C483="","",COUNTIFS(Başvuru!$C:$C,C483,Başvuru!$A:$A,"&lt;&gt;"&amp;"",Başvuru!$F:$F,"&lt;&gt;"&amp;""))</f>
        <v/>
      </c>
      <c r="E483" s="159" t="str">
        <f>IF(C483="","-",IF(D483&gt;0,TEXT(D483/(COUNTIFS(Başvuru!$A:$A,"&lt;&gt;",Başvuru!$F:$F,"&lt;&gt;")-1)*100,"0.0")&amp;"%","-"))</f>
        <v>-</v>
      </c>
      <c r="F483" s="162" t="str">
        <f>IF(C483="","",COUNTIFS(Başvuru!$C:$C,C483,Başvuru!$G:$G,"Bireysel Araştırma",Başvuru!$A:$A,"&lt;&gt;"&amp;"",Başvuru!$F:$F,"&lt;&gt;"&amp;""))</f>
        <v/>
      </c>
      <c r="G483" s="162" t="str">
        <f>IF(C483="","",COUNTIFS(Başvuru!$C:$C,C483,Başvuru!$G:$G,"Uzmanlık Tezi",Başvuru!$A:$A,"&lt;&gt;"&amp;"",Başvuru!$F:$F,"&lt;&gt;"&amp;""))</f>
        <v/>
      </c>
      <c r="H483" s="162" t="str">
        <f>IF(C483="","",COUNTIFS(Başvuru!$C:$C,C483,Başvuru!$G:$G,"Doktora Tezi",Başvuru!$A:$A,"&lt;&gt;"&amp;"",Başvuru!$F:$F,"&lt;&gt;"&amp;""))</f>
        <v/>
      </c>
      <c r="I483" s="162" t="str">
        <f>IF(C483="","",COUNTIFS(Başvuru!$C:$C,C483,Başvuru!$G:$G,"Yüksek Lisans Tezi",Başvuru!$A:$A,"&lt;&gt;"&amp;"",Başvuru!$F:$F,"&lt;&gt;"&amp;""))</f>
        <v/>
      </c>
      <c r="J483" s="163" t="str">
        <f>IF(C483="","",COUNTIFS(Başvuru!$C:$C,C483,Başvuru!$L:$L,"ONAY",Başvuru!$A:$A,"&lt;&gt;"&amp;"",Başvuru!$F:$F,"&lt;&gt;"&amp;""))</f>
        <v/>
      </c>
      <c r="K483" s="164" t="str">
        <f>IF(C483="","",COUNTIFS(Başvuru!$C:$C,C483,Başvuru!$L:$L,"DÜZELTME",Başvuru!$A:$A,"&lt;&gt;"&amp;"",Başvuru!$F:$F,"&lt;&gt;"&amp;""))</f>
        <v/>
      </c>
      <c r="L483" s="165" t="str">
        <f>IF(C483="","",COUNTIFS(Başvuru!$C:$C,C483,Başvuru!$L:$L,"KAEK",Başvuru!$A:$A,"&lt;&gt;"&amp;"",Başvuru!$F:$F,"&lt;&gt;"&amp;""))</f>
        <v/>
      </c>
      <c r="M483" s="166" t="str">
        <f>IF(C483="","",COUNTIFS(Başvuru!$C:$C,C483,Başvuru!$L:$L,"GÖRÜŞ",Başvuru!$A:$A,"&lt;&gt;"&amp;"",Başvuru!$F:$F,"&lt;&gt;"&amp;""))</f>
        <v/>
      </c>
      <c r="N483" s="167" t="str">
        <f>IF(C483="","",COUNTIFS(Başvuru!$C:$C,C483,Başvuru!$L:$L,"RET",Başvuru!$A:$A,"&lt;&gt;"&amp;"",Başvuru!$F:$F,"&lt;&gt;"&amp;""))</f>
        <v/>
      </c>
      <c r="O483" s="168" t="str">
        <f>IF(C483="","",COUNTIFS(Başvuru!$C:$C,C483,Başvuru!$L:$L,"KAPSAM DIŞI",Başvuru!$A:$A,"&lt;&gt;"&amp;"",Başvuru!$F:$F,"&lt;&gt;"&amp;""))</f>
        <v/>
      </c>
      <c r="P483" s="169" t="str">
        <f>IF(C483="","",COUNTIFS(Başvuru!$C:$C,C483,Başvuru!$L:$L,"GERİ ÇEKİLDİ",Başvuru!$A:$A,"&lt;&gt;"&amp;"",Başvuru!$F:$F,"&lt;&gt;"&amp;""))</f>
        <v/>
      </c>
      <c r="Q483" s="170" t="str">
        <f t="array" ref="Q483">IFERROR(INDEX(Başvuru!$C$2:$C$3000, MATCH(0, COUNTIF($Q$5:Q482, Başvuru!$C$2:$C$3000) + IF(Başvuru!$C$2:$C$3000="",1,0), 0)), "")</f>
        <v/>
      </c>
      <c r="R483" s="171" t="str">
        <f>IF(Q483="","",COUNTIFS(Başvuru!$C:$C,Q483,Başvuru!$A:$A,"&lt;&gt;"&amp;"",Başvuru!$F:$F,"&lt;&gt;"&amp;""))</f>
        <v/>
      </c>
      <c r="S483" s="171" t="str">
        <f>IF(R483="","",RANK(R483,$R$6:$R$505,0)+COUNTIF($R$6:R483,R483)-1)</f>
        <v/>
      </c>
    </row>
    <row r="484" spans="2:19" ht="23.25" customHeight="1" x14ac:dyDescent="0.25">
      <c r="B484" s="159">
        <v>479</v>
      </c>
      <c r="C484" s="160" t="str">
        <f>IFERROR(INDEX($Q$6:$Q$505,MATCH(479,$S$6:$S$505,0)),"")</f>
        <v/>
      </c>
      <c r="D484" s="161" t="str">
        <f>IF(C484="","",COUNTIFS(Başvuru!$C:$C,C484,Başvuru!$A:$A,"&lt;&gt;"&amp;"",Başvuru!$F:$F,"&lt;&gt;"&amp;""))</f>
        <v/>
      </c>
      <c r="E484" s="159" t="str">
        <f>IF(C484="","-",IF(D484&gt;0,TEXT(D484/(COUNTIFS(Başvuru!$A:$A,"&lt;&gt;",Başvuru!$F:$F,"&lt;&gt;")-1)*100,"0.0")&amp;"%","-"))</f>
        <v>-</v>
      </c>
      <c r="F484" s="162" t="str">
        <f>IF(C484="","",COUNTIFS(Başvuru!$C:$C,C484,Başvuru!$G:$G,"Bireysel Araştırma",Başvuru!$A:$A,"&lt;&gt;"&amp;"",Başvuru!$F:$F,"&lt;&gt;"&amp;""))</f>
        <v/>
      </c>
      <c r="G484" s="162" t="str">
        <f>IF(C484="","",COUNTIFS(Başvuru!$C:$C,C484,Başvuru!$G:$G,"Uzmanlık Tezi",Başvuru!$A:$A,"&lt;&gt;"&amp;"",Başvuru!$F:$F,"&lt;&gt;"&amp;""))</f>
        <v/>
      </c>
      <c r="H484" s="162" t="str">
        <f>IF(C484="","",COUNTIFS(Başvuru!$C:$C,C484,Başvuru!$G:$G,"Doktora Tezi",Başvuru!$A:$A,"&lt;&gt;"&amp;"",Başvuru!$F:$F,"&lt;&gt;"&amp;""))</f>
        <v/>
      </c>
      <c r="I484" s="162" t="str">
        <f>IF(C484="","",COUNTIFS(Başvuru!$C:$C,C484,Başvuru!$G:$G,"Yüksek Lisans Tezi",Başvuru!$A:$A,"&lt;&gt;"&amp;"",Başvuru!$F:$F,"&lt;&gt;"&amp;""))</f>
        <v/>
      </c>
      <c r="J484" s="163" t="str">
        <f>IF(C484="","",COUNTIFS(Başvuru!$C:$C,C484,Başvuru!$L:$L,"ONAY",Başvuru!$A:$A,"&lt;&gt;"&amp;"",Başvuru!$F:$F,"&lt;&gt;"&amp;""))</f>
        <v/>
      </c>
      <c r="K484" s="164" t="str">
        <f>IF(C484="","",COUNTIFS(Başvuru!$C:$C,C484,Başvuru!$L:$L,"DÜZELTME",Başvuru!$A:$A,"&lt;&gt;"&amp;"",Başvuru!$F:$F,"&lt;&gt;"&amp;""))</f>
        <v/>
      </c>
      <c r="L484" s="165" t="str">
        <f>IF(C484="","",COUNTIFS(Başvuru!$C:$C,C484,Başvuru!$L:$L,"KAEK",Başvuru!$A:$A,"&lt;&gt;"&amp;"",Başvuru!$F:$F,"&lt;&gt;"&amp;""))</f>
        <v/>
      </c>
      <c r="M484" s="166" t="str">
        <f>IF(C484="","",COUNTIFS(Başvuru!$C:$C,C484,Başvuru!$L:$L,"GÖRÜŞ",Başvuru!$A:$A,"&lt;&gt;"&amp;"",Başvuru!$F:$F,"&lt;&gt;"&amp;""))</f>
        <v/>
      </c>
      <c r="N484" s="167" t="str">
        <f>IF(C484="","",COUNTIFS(Başvuru!$C:$C,C484,Başvuru!$L:$L,"RET",Başvuru!$A:$A,"&lt;&gt;"&amp;"",Başvuru!$F:$F,"&lt;&gt;"&amp;""))</f>
        <v/>
      </c>
      <c r="O484" s="168" t="str">
        <f>IF(C484="","",COUNTIFS(Başvuru!$C:$C,C484,Başvuru!$L:$L,"KAPSAM DIŞI",Başvuru!$A:$A,"&lt;&gt;"&amp;"",Başvuru!$F:$F,"&lt;&gt;"&amp;""))</f>
        <v/>
      </c>
      <c r="P484" s="169" t="str">
        <f>IF(C484="","",COUNTIFS(Başvuru!$C:$C,C484,Başvuru!$L:$L,"GERİ ÇEKİLDİ",Başvuru!$A:$A,"&lt;&gt;"&amp;"",Başvuru!$F:$F,"&lt;&gt;"&amp;""))</f>
        <v/>
      </c>
      <c r="Q484" s="170" t="str">
        <f t="array" ref="Q484">IFERROR(INDEX(Başvuru!$C$2:$C$3000, MATCH(0, COUNTIF($Q$5:Q483, Başvuru!$C$2:$C$3000) + IF(Başvuru!$C$2:$C$3000="",1,0), 0)), "")</f>
        <v/>
      </c>
      <c r="R484" s="171" t="str">
        <f>IF(Q484="","",COUNTIFS(Başvuru!$C:$C,Q484,Başvuru!$A:$A,"&lt;&gt;"&amp;"",Başvuru!$F:$F,"&lt;&gt;"&amp;""))</f>
        <v/>
      </c>
      <c r="S484" s="171" t="str">
        <f>IF(R484="","",RANK(R484,$R$6:$R$505,0)+COUNTIF($R$6:R484,R484)-1)</f>
        <v/>
      </c>
    </row>
    <row r="485" spans="2:19" ht="23.25" customHeight="1" x14ac:dyDescent="0.25">
      <c r="B485" s="159">
        <v>480</v>
      </c>
      <c r="C485" s="160" t="str">
        <f>IFERROR(INDEX($Q$6:$Q$505,MATCH(480,$S$6:$S$505,0)),"")</f>
        <v/>
      </c>
      <c r="D485" s="161" t="str">
        <f>IF(C485="","",COUNTIFS(Başvuru!$C:$C,C485,Başvuru!$A:$A,"&lt;&gt;"&amp;"",Başvuru!$F:$F,"&lt;&gt;"&amp;""))</f>
        <v/>
      </c>
      <c r="E485" s="159" t="str">
        <f>IF(C485="","-",IF(D485&gt;0,TEXT(D485/(COUNTIFS(Başvuru!$A:$A,"&lt;&gt;",Başvuru!$F:$F,"&lt;&gt;")-1)*100,"0.0")&amp;"%","-"))</f>
        <v>-</v>
      </c>
      <c r="F485" s="162" t="str">
        <f>IF(C485="","",COUNTIFS(Başvuru!$C:$C,C485,Başvuru!$G:$G,"Bireysel Araştırma",Başvuru!$A:$A,"&lt;&gt;"&amp;"",Başvuru!$F:$F,"&lt;&gt;"&amp;""))</f>
        <v/>
      </c>
      <c r="G485" s="162" t="str">
        <f>IF(C485="","",COUNTIFS(Başvuru!$C:$C,C485,Başvuru!$G:$G,"Uzmanlık Tezi",Başvuru!$A:$A,"&lt;&gt;"&amp;"",Başvuru!$F:$F,"&lt;&gt;"&amp;""))</f>
        <v/>
      </c>
      <c r="H485" s="162" t="str">
        <f>IF(C485="","",COUNTIFS(Başvuru!$C:$C,C485,Başvuru!$G:$G,"Doktora Tezi",Başvuru!$A:$A,"&lt;&gt;"&amp;"",Başvuru!$F:$F,"&lt;&gt;"&amp;""))</f>
        <v/>
      </c>
      <c r="I485" s="162" t="str">
        <f>IF(C485="","",COUNTIFS(Başvuru!$C:$C,C485,Başvuru!$G:$G,"Yüksek Lisans Tezi",Başvuru!$A:$A,"&lt;&gt;"&amp;"",Başvuru!$F:$F,"&lt;&gt;"&amp;""))</f>
        <v/>
      </c>
      <c r="J485" s="163" t="str">
        <f>IF(C485="","",COUNTIFS(Başvuru!$C:$C,C485,Başvuru!$L:$L,"ONAY",Başvuru!$A:$A,"&lt;&gt;"&amp;"",Başvuru!$F:$F,"&lt;&gt;"&amp;""))</f>
        <v/>
      </c>
      <c r="K485" s="164" t="str">
        <f>IF(C485="","",COUNTIFS(Başvuru!$C:$C,C485,Başvuru!$L:$L,"DÜZELTME",Başvuru!$A:$A,"&lt;&gt;"&amp;"",Başvuru!$F:$F,"&lt;&gt;"&amp;""))</f>
        <v/>
      </c>
      <c r="L485" s="165" t="str">
        <f>IF(C485="","",COUNTIFS(Başvuru!$C:$C,C485,Başvuru!$L:$L,"KAEK",Başvuru!$A:$A,"&lt;&gt;"&amp;"",Başvuru!$F:$F,"&lt;&gt;"&amp;""))</f>
        <v/>
      </c>
      <c r="M485" s="166" t="str">
        <f>IF(C485="","",COUNTIFS(Başvuru!$C:$C,C485,Başvuru!$L:$L,"GÖRÜŞ",Başvuru!$A:$A,"&lt;&gt;"&amp;"",Başvuru!$F:$F,"&lt;&gt;"&amp;""))</f>
        <v/>
      </c>
      <c r="N485" s="167" t="str">
        <f>IF(C485="","",COUNTIFS(Başvuru!$C:$C,C485,Başvuru!$L:$L,"RET",Başvuru!$A:$A,"&lt;&gt;"&amp;"",Başvuru!$F:$F,"&lt;&gt;"&amp;""))</f>
        <v/>
      </c>
      <c r="O485" s="168" t="str">
        <f>IF(C485="","",COUNTIFS(Başvuru!$C:$C,C485,Başvuru!$L:$L,"KAPSAM DIŞI",Başvuru!$A:$A,"&lt;&gt;"&amp;"",Başvuru!$F:$F,"&lt;&gt;"&amp;""))</f>
        <v/>
      </c>
      <c r="P485" s="169" t="str">
        <f>IF(C485="","",COUNTIFS(Başvuru!$C:$C,C485,Başvuru!$L:$L,"GERİ ÇEKİLDİ",Başvuru!$A:$A,"&lt;&gt;"&amp;"",Başvuru!$F:$F,"&lt;&gt;"&amp;""))</f>
        <v/>
      </c>
      <c r="Q485" s="170" t="str">
        <f t="array" ref="Q485">IFERROR(INDEX(Başvuru!$C$2:$C$3000, MATCH(0, COUNTIF($Q$5:Q484, Başvuru!$C$2:$C$3000) + IF(Başvuru!$C$2:$C$3000="",1,0), 0)), "")</f>
        <v/>
      </c>
      <c r="R485" s="171" t="str">
        <f>IF(Q485="","",COUNTIFS(Başvuru!$C:$C,Q485,Başvuru!$A:$A,"&lt;&gt;"&amp;"",Başvuru!$F:$F,"&lt;&gt;"&amp;""))</f>
        <v/>
      </c>
      <c r="S485" s="171" t="str">
        <f>IF(R485="","",RANK(R485,$R$6:$R$505,0)+COUNTIF($R$6:R485,R485)-1)</f>
        <v/>
      </c>
    </row>
    <row r="486" spans="2:19" ht="23.25" customHeight="1" x14ac:dyDescent="0.25">
      <c r="B486" s="159">
        <v>481</v>
      </c>
      <c r="C486" s="160" t="str">
        <f>IFERROR(INDEX($Q$6:$Q$505,MATCH(481,$S$6:$S$505,0)),"")</f>
        <v/>
      </c>
      <c r="D486" s="161" t="str">
        <f>IF(C486="","",COUNTIFS(Başvuru!$C:$C,C486,Başvuru!$A:$A,"&lt;&gt;"&amp;"",Başvuru!$F:$F,"&lt;&gt;"&amp;""))</f>
        <v/>
      </c>
      <c r="E486" s="159" t="str">
        <f>IF(C486="","-",IF(D486&gt;0,TEXT(D486/(COUNTIFS(Başvuru!$A:$A,"&lt;&gt;",Başvuru!$F:$F,"&lt;&gt;")-1)*100,"0.0")&amp;"%","-"))</f>
        <v>-</v>
      </c>
      <c r="F486" s="162" t="str">
        <f>IF(C486="","",COUNTIFS(Başvuru!$C:$C,C486,Başvuru!$G:$G,"Bireysel Araştırma",Başvuru!$A:$A,"&lt;&gt;"&amp;"",Başvuru!$F:$F,"&lt;&gt;"&amp;""))</f>
        <v/>
      </c>
      <c r="G486" s="162" t="str">
        <f>IF(C486="","",COUNTIFS(Başvuru!$C:$C,C486,Başvuru!$G:$G,"Uzmanlık Tezi",Başvuru!$A:$A,"&lt;&gt;"&amp;"",Başvuru!$F:$F,"&lt;&gt;"&amp;""))</f>
        <v/>
      </c>
      <c r="H486" s="162" t="str">
        <f>IF(C486="","",COUNTIFS(Başvuru!$C:$C,C486,Başvuru!$G:$G,"Doktora Tezi",Başvuru!$A:$A,"&lt;&gt;"&amp;"",Başvuru!$F:$F,"&lt;&gt;"&amp;""))</f>
        <v/>
      </c>
      <c r="I486" s="162" t="str">
        <f>IF(C486="","",COUNTIFS(Başvuru!$C:$C,C486,Başvuru!$G:$G,"Yüksek Lisans Tezi",Başvuru!$A:$A,"&lt;&gt;"&amp;"",Başvuru!$F:$F,"&lt;&gt;"&amp;""))</f>
        <v/>
      </c>
      <c r="J486" s="163" t="str">
        <f>IF(C486="","",COUNTIFS(Başvuru!$C:$C,C486,Başvuru!$L:$L,"ONAY",Başvuru!$A:$A,"&lt;&gt;"&amp;"",Başvuru!$F:$F,"&lt;&gt;"&amp;""))</f>
        <v/>
      </c>
      <c r="K486" s="164" t="str">
        <f>IF(C486="","",COUNTIFS(Başvuru!$C:$C,C486,Başvuru!$L:$L,"DÜZELTME",Başvuru!$A:$A,"&lt;&gt;"&amp;"",Başvuru!$F:$F,"&lt;&gt;"&amp;""))</f>
        <v/>
      </c>
      <c r="L486" s="165" t="str">
        <f>IF(C486="","",COUNTIFS(Başvuru!$C:$C,C486,Başvuru!$L:$L,"KAEK",Başvuru!$A:$A,"&lt;&gt;"&amp;"",Başvuru!$F:$F,"&lt;&gt;"&amp;""))</f>
        <v/>
      </c>
      <c r="M486" s="166" t="str">
        <f>IF(C486="","",COUNTIFS(Başvuru!$C:$C,C486,Başvuru!$L:$L,"GÖRÜŞ",Başvuru!$A:$A,"&lt;&gt;"&amp;"",Başvuru!$F:$F,"&lt;&gt;"&amp;""))</f>
        <v/>
      </c>
      <c r="N486" s="167" t="str">
        <f>IF(C486="","",COUNTIFS(Başvuru!$C:$C,C486,Başvuru!$L:$L,"RET",Başvuru!$A:$A,"&lt;&gt;"&amp;"",Başvuru!$F:$F,"&lt;&gt;"&amp;""))</f>
        <v/>
      </c>
      <c r="O486" s="168" t="str">
        <f>IF(C486="","",COUNTIFS(Başvuru!$C:$C,C486,Başvuru!$L:$L,"KAPSAM DIŞI",Başvuru!$A:$A,"&lt;&gt;"&amp;"",Başvuru!$F:$F,"&lt;&gt;"&amp;""))</f>
        <v/>
      </c>
      <c r="P486" s="169" t="str">
        <f>IF(C486="","",COUNTIFS(Başvuru!$C:$C,C486,Başvuru!$L:$L,"GERİ ÇEKİLDİ",Başvuru!$A:$A,"&lt;&gt;"&amp;"",Başvuru!$F:$F,"&lt;&gt;"&amp;""))</f>
        <v/>
      </c>
      <c r="Q486" s="170" t="str">
        <f t="array" ref="Q486">IFERROR(INDEX(Başvuru!$C$2:$C$3000, MATCH(0, COUNTIF($Q$5:Q485, Başvuru!$C$2:$C$3000) + IF(Başvuru!$C$2:$C$3000="",1,0), 0)), "")</f>
        <v/>
      </c>
      <c r="R486" s="171" t="str">
        <f>IF(Q486="","",COUNTIFS(Başvuru!$C:$C,Q486,Başvuru!$A:$A,"&lt;&gt;"&amp;"",Başvuru!$F:$F,"&lt;&gt;"&amp;""))</f>
        <v/>
      </c>
      <c r="S486" s="171" t="str">
        <f>IF(R486="","",RANK(R486,$R$6:$R$505,0)+COUNTIF($R$6:R486,R486)-1)</f>
        <v/>
      </c>
    </row>
    <row r="487" spans="2:19" ht="23.25" customHeight="1" x14ac:dyDescent="0.25">
      <c r="B487" s="159">
        <v>482</v>
      </c>
      <c r="C487" s="160" t="str">
        <f>IFERROR(INDEX($Q$6:$Q$505,MATCH(482,$S$6:$S$505,0)),"")</f>
        <v/>
      </c>
      <c r="D487" s="161" t="str">
        <f>IF(C487="","",COUNTIFS(Başvuru!$C:$C,C487,Başvuru!$A:$A,"&lt;&gt;"&amp;"",Başvuru!$F:$F,"&lt;&gt;"&amp;""))</f>
        <v/>
      </c>
      <c r="E487" s="159" t="str">
        <f>IF(C487="","-",IF(D487&gt;0,TEXT(D487/(COUNTIFS(Başvuru!$A:$A,"&lt;&gt;",Başvuru!$F:$F,"&lt;&gt;")-1)*100,"0.0")&amp;"%","-"))</f>
        <v>-</v>
      </c>
      <c r="F487" s="162" t="str">
        <f>IF(C487="","",COUNTIFS(Başvuru!$C:$C,C487,Başvuru!$G:$G,"Bireysel Araştırma",Başvuru!$A:$A,"&lt;&gt;"&amp;"",Başvuru!$F:$F,"&lt;&gt;"&amp;""))</f>
        <v/>
      </c>
      <c r="G487" s="162" t="str">
        <f>IF(C487="","",COUNTIFS(Başvuru!$C:$C,C487,Başvuru!$G:$G,"Uzmanlık Tezi",Başvuru!$A:$A,"&lt;&gt;"&amp;"",Başvuru!$F:$F,"&lt;&gt;"&amp;""))</f>
        <v/>
      </c>
      <c r="H487" s="162" t="str">
        <f>IF(C487="","",COUNTIFS(Başvuru!$C:$C,C487,Başvuru!$G:$G,"Doktora Tezi",Başvuru!$A:$A,"&lt;&gt;"&amp;"",Başvuru!$F:$F,"&lt;&gt;"&amp;""))</f>
        <v/>
      </c>
      <c r="I487" s="162" t="str">
        <f>IF(C487="","",COUNTIFS(Başvuru!$C:$C,C487,Başvuru!$G:$G,"Yüksek Lisans Tezi",Başvuru!$A:$A,"&lt;&gt;"&amp;"",Başvuru!$F:$F,"&lt;&gt;"&amp;""))</f>
        <v/>
      </c>
      <c r="J487" s="163" t="str">
        <f>IF(C487="","",COUNTIFS(Başvuru!$C:$C,C487,Başvuru!$L:$L,"ONAY",Başvuru!$A:$A,"&lt;&gt;"&amp;"",Başvuru!$F:$F,"&lt;&gt;"&amp;""))</f>
        <v/>
      </c>
      <c r="K487" s="164" t="str">
        <f>IF(C487="","",COUNTIFS(Başvuru!$C:$C,C487,Başvuru!$L:$L,"DÜZELTME",Başvuru!$A:$A,"&lt;&gt;"&amp;"",Başvuru!$F:$F,"&lt;&gt;"&amp;""))</f>
        <v/>
      </c>
      <c r="L487" s="165" t="str">
        <f>IF(C487="","",COUNTIFS(Başvuru!$C:$C,C487,Başvuru!$L:$L,"KAEK",Başvuru!$A:$A,"&lt;&gt;"&amp;"",Başvuru!$F:$F,"&lt;&gt;"&amp;""))</f>
        <v/>
      </c>
      <c r="M487" s="166" t="str">
        <f>IF(C487="","",COUNTIFS(Başvuru!$C:$C,C487,Başvuru!$L:$L,"GÖRÜŞ",Başvuru!$A:$A,"&lt;&gt;"&amp;"",Başvuru!$F:$F,"&lt;&gt;"&amp;""))</f>
        <v/>
      </c>
      <c r="N487" s="167" t="str">
        <f>IF(C487="","",COUNTIFS(Başvuru!$C:$C,C487,Başvuru!$L:$L,"RET",Başvuru!$A:$A,"&lt;&gt;"&amp;"",Başvuru!$F:$F,"&lt;&gt;"&amp;""))</f>
        <v/>
      </c>
      <c r="O487" s="168" t="str">
        <f>IF(C487="","",COUNTIFS(Başvuru!$C:$C,C487,Başvuru!$L:$L,"KAPSAM DIŞI",Başvuru!$A:$A,"&lt;&gt;"&amp;"",Başvuru!$F:$F,"&lt;&gt;"&amp;""))</f>
        <v/>
      </c>
      <c r="P487" s="169" t="str">
        <f>IF(C487="","",COUNTIFS(Başvuru!$C:$C,C487,Başvuru!$L:$L,"GERİ ÇEKİLDİ",Başvuru!$A:$A,"&lt;&gt;"&amp;"",Başvuru!$F:$F,"&lt;&gt;"&amp;""))</f>
        <v/>
      </c>
      <c r="Q487" s="170" t="str">
        <f t="array" ref="Q487">IFERROR(INDEX(Başvuru!$C$2:$C$3000, MATCH(0, COUNTIF($Q$5:Q486, Başvuru!$C$2:$C$3000) + IF(Başvuru!$C$2:$C$3000="",1,0), 0)), "")</f>
        <v/>
      </c>
      <c r="R487" s="171" t="str">
        <f>IF(Q487="","",COUNTIFS(Başvuru!$C:$C,Q487,Başvuru!$A:$A,"&lt;&gt;"&amp;"",Başvuru!$F:$F,"&lt;&gt;"&amp;""))</f>
        <v/>
      </c>
      <c r="S487" s="171" t="str">
        <f>IF(R487="","",RANK(R487,$R$6:$R$505,0)+COUNTIF($R$6:R487,R487)-1)</f>
        <v/>
      </c>
    </row>
    <row r="488" spans="2:19" ht="23.25" customHeight="1" x14ac:dyDescent="0.25">
      <c r="B488" s="159">
        <v>483</v>
      </c>
      <c r="C488" s="160" t="str">
        <f>IFERROR(INDEX($Q$6:$Q$505,MATCH(483,$S$6:$S$505,0)),"")</f>
        <v/>
      </c>
      <c r="D488" s="161" t="str">
        <f>IF(C488="","",COUNTIFS(Başvuru!$C:$C,C488,Başvuru!$A:$A,"&lt;&gt;"&amp;"",Başvuru!$F:$F,"&lt;&gt;"&amp;""))</f>
        <v/>
      </c>
      <c r="E488" s="159" t="str">
        <f>IF(C488="","-",IF(D488&gt;0,TEXT(D488/(COUNTIFS(Başvuru!$A:$A,"&lt;&gt;",Başvuru!$F:$F,"&lt;&gt;")-1)*100,"0.0")&amp;"%","-"))</f>
        <v>-</v>
      </c>
      <c r="F488" s="162" t="str">
        <f>IF(C488="","",COUNTIFS(Başvuru!$C:$C,C488,Başvuru!$G:$G,"Bireysel Araştırma",Başvuru!$A:$A,"&lt;&gt;"&amp;"",Başvuru!$F:$F,"&lt;&gt;"&amp;""))</f>
        <v/>
      </c>
      <c r="G488" s="162" t="str">
        <f>IF(C488="","",COUNTIFS(Başvuru!$C:$C,C488,Başvuru!$G:$G,"Uzmanlık Tezi",Başvuru!$A:$A,"&lt;&gt;"&amp;"",Başvuru!$F:$F,"&lt;&gt;"&amp;""))</f>
        <v/>
      </c>
      <c r="H488" s="162" t="str">
        <f>IF(C488="","",COUNTIFS(Başvuru!$C:$C,C488,Başvuru!$G:$G,"Doktora Tezi",Başvuru!$A:$A,"&lt;&gt;"&amp;"",Başvuru!$F:$F,"&lt;&gt;"&amp;""))</f>
        <v/>
      </c>
      <c r="I488" s="162" t="str">
        <f>IF(C488="","",COUNTIFS(Başvuru!$C:$C,C488,Başvuru!$G:$G,"Yüksek Lisans Tezi",Başvuru!$A:$A,"&lt;&gt;"&amp;"",Başvuru!$F:$F,"&lt;&gt;"&amp;""))</f>
        <v/>
      </c>
      <c r="J488" s="163" t="str">
        <f>IF(C488="","",COUNTIFS(Başvuru!$C:$C,C488,Başvuru!$L:$L,"ONAY",Başvuru!$A:$A,"&lt;&gt;"&amp;"",Başvuru!$F:$F,"&lt;&gt;"&amp;""))</f>
        <v/>
      </c>
      <c r="K488" s="164" t="str">
        <f>IF(C488="","",COUNTIFS(Başvuru!$C:$C,C488,Başvuru!$L:$L,"DÜZELTME",Başvuru!$A:$A,"&lt;&gt;"&amp;"",Başvuru!$F:$F,"&lt;&gt;"&amp;""))</f>
        <v/>
      </c>
      <c r="L488" s="165" t="str">
        <f>IF(C488="","",COUNTIFS(Başvuru!$C:$C,C488,Başvuru!$L:$L,"KAEK",Başvuru!$A:$A,"&lt;&gt;"&amp;"",Başvuru!$F:$F,"&lt;&gt;"&amp;""))</f>
        <v/>
      </c>
      <c r="M488" s="166" t="str">
        <f>IF(C488="","",COUNTIFS(Başvuru!$C:$C,C488,Başvuru!$L:$L,"GÖRÜŞ",Başvuru!$A:$A,"&lt;&gt;"&amp;"",Başvuru!$F:$F,"&lt;&gt;"&amp;""))</f>
        <v/>
      </c>
      <c r="N488" s="167" t="str">
        <f>IF(C488="","",COUNTIFS(Başvuru!$C:$C,C488,Başvuru!$L:$L,"RET",Başvuru!$A:$A,"&lt;&gt;"&amp;"",Başvuru!$F:$F,"&lt;&gt;"&amp;""))</f>
        <v/>
      </c>
      <c r="O488" s="168" t="str">
        <f>IF(C488="","",COUNTIFS(Başvuru!$C:$C,C488,Başvuru!$L:$L,"KAPSAM DIŞI",Başvuru!$A:$A,"&lt;&gt;"&amp;"",Başvuru!$F:$F,"&lt;&gt;"&amp;""))</f>
        <v/>
      </c>
      <c r="P488" s="169" t="str">
        <f>IF(C488="","",COUNTIFS(Başvuru!$C:$C,C488,Başvuru!$L:$L,"GERİ ÇEKİLDİ",Başvuru!$A:$A,"&lt;&gt;"&amp;"",Başvuru!$F:$F,"&lt;&gt;"&amp;""))</f>
        <v/>
      </c>
      <c r="Q488" s="170" t="str">
        <f t="array" ref="Q488">IFERROR(INDEX(Başvuru!$C$2:$C$3000, MATCH(0, COUNTIF($Q$5:Q487, Başvuru!$C$2:$C$3000) + IF(Başvuru!$C$2:$C$3000="",1,0), 0)), "")</f>
        <v/>
      </c>
      <c r="R488" s="171" t="str">
        <f>IF(Q488="","",COUNTIFS(Başvuru!$C:$C,Q488,Başvuru!$A:$A,"&lt;&gt;"&amp;"",Başvuru!$F:$F,"&lt;&gt;"&amp;""))</f>
        <v/>
      </c>
      <c r="S488" s="171" t="str">
        <f>IF(R488="","",RANK(R488,$R$6:$R$505,0)+COUNTIF($R$6:R488,R488)-1)</f>
        <v/>
      </c>
    </row>
    <row r="489" spans="2:19" ht="23.25" customHeight="1" x14ac:dyDescent="0.25">
      <c r="B489" s="159">
        <v>484</v>
      </c>
      <c r="C489" s="160" t="str">
        <f>IFERROR(INDEX($Q$6:$Q$505,MATCH(484,$S$6:$S$505,0)),"")</f>
        <v/>
      </c>
      <c r="D489" s="161" t="str">
        <f>IF(C489="","",COUNTIFS(Başvuru!$C:$C,C489,Başvuru!$A:$A,"&lt;&gt;"&amp;"",Başvuru!$F:$F,"&lt;&gt;"&amp;""))</f>
        <v/>
      </c>
      <c r="E489" s="159" t="str">
        <f>IF(C489="","-",IF(D489&gt;0,TEXT(D489/(COUNTIFS(Başvuru!$A:$A,"&lt;&gt;",Başvuru!$F:$F,"&lt;&gt;")-1)*100,"0.0")&amp;"%","-"))</f>
        <v>-</v>
      </c>
      <c r="F489" s="162" t="str">
        <f>IF(C489="","",COUNTIFS(Başvuru!$C:$C,C489,Başvuru!$G:$G,"Bireysel Araştırma",Başvuru!$A:$A,"&lt;&gt;"&amp;"",Başvuru!$F:$F,"&lt;&gt;"&amp;""))</f>
        <v/>
      </c>
      <c r="G489" s="162" t="str">
        <f>IF(C489="","",COUNTIFS(Başvuru!$C:$C,C489,Başvuru!$G:$G,"Uzmanlık Tezi",Başvuru!$A:$A,"&lt;&gt;"&amp;"",Başvuru!$F:$F,"&lt;&gt;"&amp;""))</f>
        <v/>
      </c>
      <c r="H489" s="162" t="str">
        <f>IF(C489="","",COUNTIFS(Başvuru!$C:$C,C489,Başvuru!$G:$G,"Doktora Tezi",Başvuru!$A:$A,"&lt;&gt;"&amp;"",Başvuru!$F:$F,"&lt;&gt;"&amp;""))</f>
        <v/>
      </c>
      <c r="I489" s="162" t="str">
        <f>IF(C489="","",COUNTIFS(Başvuru!$C:$C,C489,Başvuru!$G:$G,"Yüksek Lisans Tezi",Başvuru!$A:$A,"&lt;&gt;"&amp;"",Başvuru!$F:$F,"&lt;&gt;"&amp;""))</f>
        <v/>
      </c>
      <c r="J489" s="163" t="str">
        <f>IF(C489="","",COUNTIFS(Başvuru!$C:$C,C489,Başvuru!$L:$L,"ONAY",Başvuru!$A:$A,"&lt;&gt;"&amp;"",Başvuru!$F:$F,"&lt;&gt;"&amp;""))</f>
        <v/>
      </c>
      <c r="K489" s="164" t="str">
        <f>IF(C489="","",COUNTIFS(Başvuru!$C:$C,C489,Başvuru!$L:$L,"DÜZELTME",Başvuru!$A:$A,"&lt;&gt;"&amp;"",Başvuru!$F:$F,"&lt;&gt;"&amp;""))</f>
        <v/>
      </c>
      <c r="L489" s="165" t="str">
        <f>IF(C489="","",COUNTIFS(Başvuru!$C:$C,C489,Başvuru!$L:$L,"KAEK",Başvuru!$A:$A,"&lt;&gt;"&amp;"",Başvuru!$F:$F,"&lt;&gt;"&amp;""))</f>
        <v/>
      </c>
      <c r="M489" s="166" t="str">
        <f>IF(C489="","",COUNTIFS(Başvuru!$C:$C,C489,Başvuru!$L:$L,"GÖRÜŞ",Başvuru!$A:$A,"&lt;&gt;"&amp;"",Başvuru!$F:$F,"&lt;&gt;"&amp;""))</f>
        <v/>
      </c>
      <c r="N489" s="167" t="str">
        <f>IF(C489="","",COUNTIFS(Başvuru!$C:$C,C489,Başvuru!$L:$L,"RET",Başvuru!$A:$A,"&lt;&gt;"&amp;"",Başvuru!$F:$F,"&lt;&gt;"&amp;""))</f>
        <v/>
      </c>
      <c r="O489" s="168" t="str">
        <f>IF(C489="","",COUNTIFS(Başvuru!$C:$C,C489,Başvuru!$L:$L,"KAPSAM DIŞI",Başvuru!$A:$A,"&lt;&gt;"&amp;"",Başvuru!$F:$F,"&lt;&gt;"&amp;""))</f>
        <v/>
      </c>
      <c r="P489" s="169" t="str">
        <f>IF(C489="","",COUNTIFS(Başvuru!$C:$C,C489,Başvuru!$L:$L,"GERİ ÇEKİLDİ",Başvuru!$A:$A,"&lt;&gt;"&amp;"",Başvuru!$F:$F,"&lt;&gt;"&amp;""))</f>
        <v/>
      </c>
      <c r="Q489" s="170" t="str">
        <f t="array" ref="Q489">IFERROR(INDEX(Başvuru!$C$2:$C$3000, MATCH(0, COUNTIF($Q$5:Q488, Başvuru!$C$2:$C$3000) + IF(Başvuru!$C$2:$C$3000="",1,0), 0)), "")</f>
        <v/>
      </c>
      <c r="R489" s="171" t="str">
        <f>IF(Q489="","",COUNTIFS(Başvuru!$C:$C,Q489,Başvuru!$A:$A,"&lt;&gt;"&amp;"",Başvuru!$F:$F,"&lt;&gt;"&amp;""))</f>
        <v/>
      </c>
      <c r="S489" s="171" t="str">
        <f>IF(R489="","",RANK(R489,$R$6:$R$505,0)+COUNTIF($R$6:R489,R489)-1)</f>
        <v/>
      </c>
    </row>
    <row r="490" spans="2:19" ht="23.25" customHeight="1" x14ac:dyDescent="0.25">
      <c r="B490" s="159">
        <v>485</v>
      </c>
      <c r="C490" s="160" t="str">
        <f>IFERROR(INDEX($Q$6:$Q$505,MATCH(485,$S$6:$S$505,0)),"")</f>
        <v/>
      </c>
      <c r="D490" s="161" t="str">
        <f>IF(C490="","",COUNTIFS(Başvuru!$C:$C,C490,Başvuru!$A:$A,"&lt;&gt;"&amp;"",Başvuru!$F:$F,"&lt;&gt;"&amp;""))</f>
        <v/>
      </c>
      <c r="E490" s="159" t="str">
        <f>IF(C490="","-",IF(D490&gt;0,TEXT(D490/(COUNTIFS(Başvuru!$A:$A,"&lt;&gt;",Başvuru!$F:$F,"&lt;&gt;")-1)*100,"0.0")&amp;"%","-"))</f>
        <v>-</v>
      </c>
      <c r="F490" s="162" t="str">
        <f>IF(C490="","",COUNTIFS(Başvuru!$C:$C,C490,Başvuru!$G:$G,"Bireysel Araştırma",Başvuru!$A:$A,"&lt;&gt;"&amp;"",Başvuru!$F:$F,"&lt;&gt;"&amp;""))</f>
        <v/>
      </c>
      <c r="G490" s="162" t="str">
        <f>IF(C490="","",COUNTIFS(Başvuru!$C:$C,C490,Başvuru!$G:$G,"Uzmanlık Tezi",Başvuru!$A:$A,"&lt;&gt;"&amp;"",Başvuru!$F:$F,"&lt;&gt;"&amp;""))</f>
        <v/>
      </c>
      <c r="H490" s="162" t="str">
        <f>IF(C490="","",COUNTIFS(Başvuru!$C:$C,C490,Başvuru!$G:$G,"Doktora Tezi",Başvuru!$A:$A,"&lt;&gt;"&amp;"",Başvuru!$F:$F,"&lt;&gt;"&amp;""))</f>
        <v/>
      </c>
      <c r="I490" s="162" t="str">
        <f>IF(C490="","",COUNTIFS(Başvuru!$C:$C,C490,Başvuru!$G:$G,"Yüksek Lisans Tezi",Başvuru!$A:$A,"&lt;&gt;"&amp;"",Başvuru!$F:$F,"&lt;&gt;"&amp;""))</f>
        <v/>
      </c>
      <c r="J490" s="163" t="str">
        <f>IF(C490="","",COUNTIFS(Başvuru!$C:$C,C490,Başvuru!$L:$L,"ONAY",Başvuru!$A:$A,"&lt;&gt;"&amp;"",Başvuru!$F:$F,"&lt;&gt;"&amp;""))</f>
        <v/>
      </c>
      <c r="K490" s="164" t="str">
        <f>IF(C490="","",COUNTIFS(Başvuru!$C:$C,C490,Başvuru!$L:$L,"DÜZELTME",Başvuru!$A:$A,"&lt;&gt;"&amp;"",Başvuru!$F:$F,"&lt;&gt;"&amp;""))</f>
        <v/>
      </c>
      <c r="L490" s="165" t="str">
        <f>IF(C490="","",COUNTIFS(Başvuru!$C:$C,C490,Başvuru!$L:$L,"KAEK",Başvuru!$A:$A,"&lt;&gt;"&amp;"",Başvuru!$F:$F,"&lt;&gt;"&amp;""))</f>
        <v/>
      </c>
      <c r="M490" s="166" t="str">
        <f>IF(C490="","",COUNTIFS(Başvuru!$C:$C,C490,Başvuru!$L:$L,"GÖRÜŞ",Başvuru!$A:$A,"&lt;&gt;"&amp;"",Başvuru!$F:$F,"&lt;&gt;"&amp;""))</f>
        <v/>
      </c>
      <c r="N490" s="167" t="str">
        <f>IF(C490="","",COUNTIFS(Başvuru!$C:$C,C490,Başvuru!$L:$L,"RET",Başvuru!$A:$A,"&lt;&gt;"&amp;"",Başvuru!$F:$F,"&lt;&gt;"&amp;""))</f>
        <v/>
      </c>
      <c r="O490" s="168" t="str">
        <f>IF(C490="","",COUNTIFS(Başvuru!$C:$C,C490,Başvuru!$L:$L,"KAPSAM DIŞI",Başvuru!$A:$A,"&lt;&gt;"&amp;"",Başvuru!$F:$F,"&lt;&gt;"&amp;""))</f>
        <v/>
      </c>
      <c r="P490" s="169" t="str">
        <f>IF(C490="","",COUNTIFS(Başvuru!$C:$C,C490,Başvuru!$L:$L,"GERİ ÇEKİLDİ",Başvuru!$A:$A,"&lt;&gt;"&amp;"",Başvuru!$F:$F,"&lt;&gt;"&amp;""))</f>
        <v/>
      </c>
      <c r="Q490" s="170" t="str">
        <f t="array" ref="Q490">IFERROR(INDEX(Başvuru!$C$2:$C$3000, MATCH(0, COUNTIF($Q$5:Q489, Başvuru!$C$2:$C$3000) + IF(Başvuru!$C$2:$C$3000="",1,0), 0)), "")</f>
        <v/>
      </c>
      <c r="R490" s="171" t="str">
        <f>IF(Q490="","",COUNTIFS(Başvuru!$C:$C,Q490,Başvuru!$A:$A,"&lt;&gt;"&amp;"",Başvuru!$F:$F,"&lt;&gt;"&amp;""))</f>
        <v/>
      </c>
      <c r="S490" s="171" t="str">
        <f>IF(R490="","",RANK(R490,$R$6:$R$505,0)+COUNTIF($R$6:R490,R490)-1)</f>
        <v/>
      </c>
    </row>
    <row r="491" spans="2:19" ht="23.25" customHeight="1" x14ac:dyDescent="0.25">
      <c r="B491" s="159">
        <v>486</v>
      </c>
      <c r="C491" s="160" t="str">
        <f>IFERROR(INDEX($Q$6:$Q$505,MATCH(486,$S$6:$S$505,0)),"")</f>
        <v/>
      </c>
      <c r="D491" s="161" t="str">
        <f>IF(C491="","",COUNTIFS(Başvuru!$C:$C,C491,Başvuru!$A:$A,"&lt;&gt;"&amp;"",Başvuru!$F:$F,"&lt;&gt;"&amp;""))</f>
        <v/>
      </c>
      <c r="E491" s="159" t="str">
        <f>IF(C491="","-",IF(D491&gt;0,TEXT(D491/(COUNTIFS(Başvuru!$A:$A,"&lt;&gt;",Başvuru!$F:$F,"&lt;&gt;")-1)*100,"0.0")&amp;"%","-"))</f>
        <v>-</v>
      </c>
      <c r="F491" s="162" t="str">
        <f>IF(C491="","",COUNTIFS(Başvuru!$C:$C,C491,Başvuru!$G:$G,"Bireysel Araştırma",Başvuru!$A:$A,"&lt;&gt;"&amp;"",Başvuru!$F:$F,"&lt;&gt;"&amp;""))</f>
        <v/>
      </c>
      <c r="G491" s="162" t="str">
        <f>IF(C491="","",COUNTIFS(Başvuru!$C:$C,C491,Başvuru!$G:$G,"Uzmanlık Tezi",Başvuru!$A:$A,"&lt;&gt;"&amp;"",Başvuru!$F:$F,"&lt;&gt;"&amp;""))</f>
        <v/>
      </c>
      <c r="H491" s="162" t="str">
        <f>IF(C491="","",COUNTIFS(Başvuru!$C:$C,C491,Başvuru!$G:$G,"Doktora Tezi",Başvuru!$A:$A,"&lt;&gt;"&amp;"",Başvuru!$F:$F,"&lt;&gt;"&amp;""))</f>
        <v/>
      </c>
      <c r="I491" s="162" t="str">
        <f>IF(C491="","",COUNTIFS(Başvuru!$C:$C,C491,Başvuru!$G:$G,"Yüksek Lisans Tezi",Başvuru!$A:$A,"&lt;&gt;"&amp;"",Başvuru!$F:$F,"&lt;&gt;"&amp;""))</f>
        <v/>
      </c>
      <c r="J491" s="163" t="str">
        <f>IF(C491="","",COUNTIFS(Başvuru!$C:$C,C491,Başvuru!$L:$L,"ONAY",Başvuru!$A:$A,"&lt;&gt;"&amp;"",Başvuru!$F:$F,"&lt;&gt;"&amp;""))</f>
        <v/>
      </c>
      <c r="K491" s="164" t="str">
        <f>IF(C491="","",COUNTIFS(Başvuru!$C:$C,C491,Başvuru!$L:$L,"DÜZELTME",Başvuru!$A:$A,"&lt;&gt;"&amp;"",Başvuru!$F:$F,"&lt;&gt;"&amp;""))</f>
        <v/>
      </c>
      <c r="L491" s="165" t="str">
        <f>IF(C491="","",COUNTIFS(Başvuru!$C:$C,C491,Başvuru!$L:$L,"KAEK",Başvuru!$A:$A,"&lt;&gt;"&amp;"",Başvuru!$F:$F,"&lt;&gt;"&amp;""))</f>
        <v/>
      </c>
      <c r="M491" s="166" t="str">
        <f>IF(C491="","",COUNTIFS(Başvuru!$C:$C,C491,Başvuru!$L:$L,"GÖRÜŞ",Başvuru!$A:$A,"&lt;&gt;"&amp;"",Başvuru!$F:$F,"&lt;&gt;"&amp;""))</f>
        <v/>
      </c>
      <c r="N491" s="167" t="str">
        <f>IF(C491="","",COUNTIFS(Başvuru!$C:$C,C491,Başvuru!$L:$L,"RET",Başvuru!$A:$A,"&lt;&gt;"&amp;"",Başvuru!$F:$F,"&lt;&gt;"&amp;""))</f>
        <v/>
      </c>
      <c r="O491" s="168" t="str">
        <f>IF(C491="","",COUNTIFS(Başvuru!$C:$C,C491,Başvuru!$L:$L,"KAPSAM DIŞI",Başvuru!$A:$A,"&lt;&gt;"&amp;"",Başvuru!$F:$F,"&lt;&gt;"&amp;""))</f>
        <v/>
      </c>
      <c r="P491" s="169" t="str">
        <f>IF(C491="","",COUNTIFS(Başvuru!$C:$C,C491,Başvuru!$L:$L,"GERİ ÇEKİLDİ",Başvuru!$A:$A,"&lt;&gt;"&amp;"",Başvuru!$F:$F,"&lt;&gt;"&amp;""))</f>
        <v/>
      </c>
      <c r="Q491" s="170" t="str">
        <f t="array" ref="Q491">IFERROR(INDEX(Başvuru!$C$2:$C$3000, MATCH(0, COUNTIF($Q$5:Q490, Başvuru!$C$2:$C$3000) + IF(Başvuru!$C$2:$C$3000="",1,0), 0)), "")</f>
        <v/>
      </c>
      <c r="R491" s="171" t="str">
        <f>IF(Q491="","",COUNTIFS(Başvuru!$C:$C,Q491,Başvuru!$A:$A,"&lt;&gt;"&amp;"",Başvuru!$F:$F,"&lt;&gt;"&amp;""))</f>
        <v/>
      </c>
      <c r="S491" s="171" t="str">
        <f>IF(R491="","",RANK(R491,$R$6:$R$505,0)+COUNTIF($R$6:R491,R491)-1)</f>
        <v/>
      </c>
    </row>
    <row r="492" spans="2:19" ht="23.25" customHeight="1" x14ac:dyDescent="0.25">
      <c r="B492" s="159">
        <v>487</v>
      </c>
      <c r="C492" s="160" t="str">
        <f>IFERROR(INDEX($Q$6:$Q$505,MATCH(487,$S$6:$S$505,0)),"")</f>
        <v/>
      </c>
      <c r="D492" s="161" t="str">
        <f>IF(C492="","",COUNTIFS(Başvuru!$C:$C,C492,Başvuru!$A:$A,"&lt;&gt;"&amp;"",Başvuru!$F:$F,"&lt;&gt;"&amp;""))</f>
        <v/>
      </c>
      <c r="E492" s="159" t="str">
        <f>IF(C492="","-",IF(D492&gt;0,TEXT(D492/(COUNTIFS(Başvuru!$A:$A,"&lt;&gt;",Başvuru!$F:$F,"&lt;&gt;")-1)*100,"0.0")&amp;"%","-"))</f>
        <v>-</v>
      </c>
      <c r="F492" s="162" t="str">
        <f>IF(C492="","",COUNTIFS(Başvuru!$C:$C,C492,Başvuru!$G:$G,"Bireysel Araştırma",Başvuru!$A:$A,"&lt;&gt;"&amp;"",Başvuru!$F:$F,"&lt;&gt;"&amp;""))</f>
        <v/>
      </c>
      <c r="G492" s="162" t="str">
        <f>IF(C492="","",COUNTIFS(Başvuru!$C:$C,C492,Başvuru!$G:$G,"Uzmanlık Tezi",Başvuru!$A:$A,"&lt;&gt;"&amp;"",Başvuru!$F:$F,"&lt;&gt;"&amp;""))</f>
        <v/>
      </c>
      <c r="H492" s="162" t="str">
        <f>IF(C492="","",COUNTIFS(Başvuru!$C:$C,C492,Başvuru!$G:$G,"Doktora Tezi",Başvuru!$A:$A,"&lt;&gt;"&amp;"",Başvuru!$F:$F,"&lt;&gt;"&amp;""))</f>
        <v/>
      </c>
      <c r="I492" s="162" t="str">
        <f>IF(C492="","",COUNTIFS(Başvuru!$C:$C,C492,Başvuru!$G:$G,"Yüksek Lisans Tezi",Başvuru!$A:$A,"&lt;&gt;"&amp;"",Başvuru!$F:$F,"&lt;&gt;"&amp;""))</f>
        <v/>
      </c>
      <c r="J492" s="163" t="str">
        <f>IF(C492="","",COUNTIFS(Başvuru!$C:$C,C492,Başvuru!$L:$L,"ONAY",Başvuru!$A:$A,"&lt;&gt;"&amp;"",Başvuru!$F:$F,"&lt;&gt;"&amp;""))</f>
        <v/>
      </c>
      <c r="K492" s="164" t="str">
        <f>IF(C492="","",COUNTIFS(Başvuru!$C:$C,C492,Başvuru!$L:$L,"DÜZELTME",Başvuru!$A:$A,"&lt;&gt;"&amp;"",Başvuru!$F:$F,"&lt;&gt;"&amp;""))</f>
        <v/>
      </c>
      <c r="L492" s="165" t="str">
        <f>IF(C492="","",COUNTIFS(Başvuru!$C:$C,C492,Başvuru!$L:$L,"KAEK",Başvuru!$A:$A,"&lt;&gt;"&amp;"",Başvuru!$F:$F,"&lt;&gt;"&amp;""))</f>
        <v/>
      </c>
      <c r="M492" s="166" t="str">
        <f>IF(C492="","",COUNTIFS(Başvuru!$C:$C,C492,Başvuru!$L:$L,"GÖRÜŞ",Başvuru!$A:$A,"&lt;&gt;"&amp;"",Başvuru!$F:$F,"&lt;&gt;"&amp;""))</f>
        <v/>
      </c>
      <c r="N492" s="167" t="str">
        <f>IF(C492="","",COUNTIFS(Başvuru!$C:$C,C492,Başvuru!$L:$L,"RET",Başvuru!$A:$A,"&lt;&gt;"&amp;"",Başvuru!$F:$F,"&lt;&gt;"&amp;""))</f>
        <v/>
      </c>
      <c r="O492" s="168" t="str">
        <f>IF(C492="","",COUNTIFS(Başvuru!$C:$C,C492,Başvuru!$L:$L,"KAPSAM DIŞI",Başvuru!$A:$A,"&lt;&gt;"&amp;"",Başvuru!$F:$F,"&lt;&gt;"&amp;""))</f>
        <v/>
      </c>
      <c r="P492" s="169" t="str">
        <f>IF(C492="","",COUNTIFS(Başvuru!$C:$C,C492,Başvuru!$L:$L,"GERİ ÇEKİLDİ",Başvuru!$A:$A,"&lt;&gt;"&amp;"",Başvuru!$F:$F,"&lt;&gt;"&amp;""))</f>
        <v/>
      </c>
      <c r="Q492" s="170" t="str">
        <f t="array" ref="Q492">IFERROR(INDEX(Başvuru!$C$2:$C$3000, MATCH(0, COUNTIF($Q$5:Q491, Başvuru!$C$2:$C$3000) + IF(Başvuru!$C$2:$C$3000="",1,0), 0)), "")</f>
        <v/>
      </c>
      <c r="R492" s="171" t="str">
        <f>IF(Q492="","",COUNTIFS(Başvuru!$C:$C,Q492,Başvuru!$A:$A,"&lt;&gt;"&amp;"",Başvuru!$F:$F,"&lt;&gt;"&amp;""))</f>
        <v/>
      </c>
      <c r="S492" s="171" t="str">
        <f>IF(R492="","",RANK(R492,$R$6:$R$505,0)+COUNTIF($R$6:R492,R492)-1)</f>
        <v/>
      </c>
    </row>
    <row r="493" spans="2:19" ht="23.25" customHeight="1" x14ac:dyDescent="0.25">
      <c r="B493" s="159">
        <v>488</v>
      </c>
      <c r="C493" s="160" t="str">
        <f>IFERROR(INDEX($Q$6:$Q$505,MATCH(488,$S$6:$S$505,0)),"")</f>
        <v/>
      </c>
      <c r="D493" s="161" t="str">
        <f>IF(C493="","",COUNTIFS(Başvuru!$C:$C,C493,Başvuru!$A:$A,"&lt;&gt;"&amp;"",Başvuru!$F:$F,"&lt;&gt;"&amp;""))</f>
        <v/>
      </c>
      <c r="E493" s="159" t="str">
        <f>IF(C493="","-",IF(D493&gt;0,TEXT(D493/(COUNTIFS(Başvuru!$A:$A,"&lt;&gt;",Başvuru!$F:$F,"&lt;&gt;")-1)*100,"0.0")&amp;"%","-"))</f>
        <v>-</v>
      </c>
      <c r="F493" s="162" t="str">
        <f>IF(C493="","",COUNTIFS(Başvuru!$C:$C,C493,Başvuru!$G:$G,"Bireysel Araştırma",Başvuru!$A:$A,"&lt;&gt;"&amp;"",Başvuru!$F:$F,"&lt;&gt;"&amp;""))</f>
        <v/>
      </c>
      <c r="G493" s="162" t="str">
        <f>IF(C493="","",COUNTIFS(Başvuru!$C:$C,C493,Başvuru!$G:$G,"Uzmanlık Tezi",Başvuru!$A:$A,"&lt;&gt;"&amp;"",Başvuru!$F:$F,"&lt;&gt;"&amp;""))</f>
        <v/>
      </c>
      <c r="H493" s="162" t="str">
        <f>IF(C493="","",COUNTIFS(Başvuru!$C:$C,C493,Başvuru!$G:$G,"Doktora Tezi",Başvuru!$A:$A,"&lt;&gt;"&amp;"",Başvuru!$F:$F,"&lt;&gt;"&amp;""))</f>
        <v/>
      </c>
      <c r="I493" s="162" t="str">
        <f>IF(C493="","",COUNTIFS(Başvuru!$C:$C,C493,Başvuru!$G:$G,"Yüksek Lisans Tezi",Başvuru!$A:$A,"&lt;&gt;"&amp;"",Başvuru!$F:$F,"&lt;&gt;"&amp;""))</f>
        <v/>
      </c>
      <c r="J493" s="163" t="str">
        <f>IF(C493="","",COUNTIFS(Başvuru!$C:$C,C493,Başvuru!$L:$L,"ONAY",Başvuru!$A:$A,"&lt;&gt;"&amp;"",Başvuru!$F:$F,"&lt;&gt;"&amp;""))</f>
        <v/>
      </c>
      <c r="K493" s="164" t="str">
        <f>IF(C493="","",COUNTIFS(Başvuru!$C:$C,C493,Başvuru!$L:$L,"DÜZELTME",Başvuru!$A:$A,"&lt;&gt;"&amp;"",Başvuru!$F:$F,"&lt;&gt;"&amp;""))</f>
        <v/>
      </c>
      <c r="L493" s="165" t="str">
        <f>IF(C493="","",COUNTIFS(Başvuru!$C:$C,C493,Başvuru!$L:$L,"KAEK",Başvuru!$A:$A,"&lt;&gt;"&amp;"",Başvuru!$F:$F,"&lt;&gt;"&amp;""))</f>
        <v/>
      </c>
      <c r="M493" s="166" t="str">
        <f>IF(C493="","",COUNTIFS(Başvuru!$C:$C,C493,Başvuru!$L:$L,"GÖRÜŞ",Başvuru!$A:$A,"&lt;&gt;"&amp;"",Başvuru!$F:$F,"&lt;&gt;"&amp;""))</f>
        <v/>
      </c>
      <c r="N493" s="167" t="str">
        <f>IF(C493="","",COUNTIFS(Başvuru!$C:$C,C493,Başvuru!$L:$L,"RET",Başvuru!$A:$A,"&lt;&gt;"&amp;"",Başvuru!$F:$F,"&lt;&gt;"&amp;""))</f>
        <v/>
      </c>
      <c r="O493" s="168" t="str">
        <f>IF(C493="","",COUNTIFS(Başvuru!$C:$C,C493,Başvuru!$L:$L,"KAPSAM DIŞI",Başvuru!$A:$A,"&lt;&gt;"&amp;"",Başvuru!$F:$F,"&lt;&gt;"&amp;""))</f>
        <v/>
      </c>
      <c r="P493" s="169" t="str">
        <f>IF(C493="","",COUNTIFS(Başvuru!$C:$C,C493,Başvuru!$L:$L,"GERİ ÇEKİLDİ",Başvuru!$A:$A,"&lt;&gt;"&amp;"",Başvuru!$F:$F,"&lt;&gt;"&amp;""))</f>
        <v/>
      </c>
      <c r="Q493" s="170" t="str">
        <f t="array" ref="Q493">IFERROR(INDEX(Başvuru!$C$2:$C$3000, MATCH(0, COUNTIF($Q$5:Q492, Başvuru!$C$2:$C$3000) + IF(Başvuru!$C$2:$C$3000="",1,0), 0)), "")</f>
        <v/>
      </c>
      <c r="R493" s="171" t="str">
        <f>IF(Q493="","",COUNTIFS(Başvuru!$C:$C,Q493,Başvuru!$A:$A,"&lt;&gt;"&amp;"",Başvuru!$F:$F,"&lt;&gt;"&amp;""))</f>
        <v/>
      </c>
      <c r="S493" s="171" t="str">
        <f>IF(R493="","",RANK(R493,$R$6:$R$505,0)+COUNTIF($R$6:R493,R493)-1)</f>
        <v/>
      </c>
    </row>
    <row r="494" spans="2:19" ht="23.25" customHeight="1" x14ac:dyDescent="0.25">
      <c r="B494" s="159">
        <v>489</v>
      </c>
      <c r="C494" s="160" t="str">
        <f>IFERROR(INDEX($Q$6:$Q$505,MATCH(489,$S$6:$S$505,0)),"")</f>
        <v/>
      </c>
      <c r="D494" s="161" t="str">
        <f>IF(C494="","",COUNTIFS(Başvuru!$C:$C,C494,Başvuru!$A:$A,"&lt;&gt;"&amp;"",Başvuru!$F:$F,"&lt;&gt;"&amp;""))</f>
        <v/>
      </c>
      <c r="E494" s="159" t="str">
        <f>IF(C494="","-",IF(D494&gt;0,TEXT(D494/(COUNTIFS(Başvuru!$A:$A,"&lt;&gt;",Başvuru!$F:$F,"&lt;&gt;")-1)*100,"0.0")&amp;"%","-"))</f>
        <v>-</v>
      </c>
      <c r="F494" s="162" t="str">
        <f>IF(C494="","",COUNTIFS(Başvuru!$C:$C,C494,Başvuru!$G:$G,"Bireysel Araştırma",Başvuru!$A:$A,"&lt;&gt;"&amp;"",Başvuru!$F:$F,"&lt;&gt;"&amp;""))</f>
        <v/>
      </c>
      <c r="G494" s="162" t="str">
        <f>IF(C494="","",COUNTIFS(Başvuru!$C:$C,C494,Başvuru!$G:$G,"Uzmanlık Tezi",Başvuru!$A:$A,"&lt;&gt;"&amp;"",Başvuru!$F:$F,"&lt;&gt;"&amp;""))</f>
        <v/>
      </c>
      <c r="H494" s="162" t="str">
        <f>IF(C494="","",COUNTIFS(Başvuru!$C:$C,C494,Başvuru!$G:$G,"Doktora Tezi",Başvuru!$A:$A,"&lt;&gt;"&amp;"",Başvuru!$F:$F,"&lt;&gt;"&amp;""))</f>
        <v/>
      </c>
      <c r="I494" s="162" t="str">
        <f>IF(C494="","",COUNTIFS(Başvuru!$C:$C,C494,Başvuru!$G:$G,"Yüksek Lisans Tezi",Başvuru!$A:$A,"&lt;&gt;"&amp;"",Başvuru!$F:$F,"&lt;&gt;"&amp;""))</f>
        <v/>
      </c>
      <c r="J494" s="163" t="str">
        <f>IF(C494="","",COUNTIFS(Başvuru!$C:$C,C494,Başvuru!$L:$L,"ONAY",Başvuru!$A:$A,"&lt;&gt;"&amp;"",Başvuru!$F:$F,"&lt;&gt;"&amp;""))</f>
        <v/>
      </c>
      <c r="K494" s="164" t="str">
        <f>IF(C494="","",COUNTIFS(Başvuru!$C:$C,C494,Başvuru!$L:$L,"DÜZELTME",Başvuru!$A:$A,"&lt;&gt;"&amp;"",Başvuru!$F:$F,"&lt;&gt;"&amp;""))</f>
        <v/>
      </c>
      <c r="L494" s="165" t="str">
        <f>IF(C494="","",COUNTIFS(Başvuru!$C:$C,C494,Başvuru!$L:$L,"KAEK",Başvuru!$A:$A,"&lt;&gt;"&amp;"",Başvuru!$F:$F,"&lt;&gt;"&amp;""))</f>
        <v/>
      </c>
      <c r="M494" s="166" t="str">
        <f>IF(C494="","",COUNTIFS(Başvuru!$C:$C,C494,Başvuru!$L:$L,"GÖRÜŞ",Başvuru!$A:$A,"&lt;&gt;"&amp;"",Başvuru!$F:$F,"&lt;&gt;"&amp;""))</f>
        <v/>
      </c>
      <c r="N494" s="167" t="str">
        <f>IF(C494="","",COUNTIFS(Başvuru!$C:$C,C494,Başvuru!$L:$L,"RET",Başvuru!$A:$A,"&lt;&gt;"&amp;"",Başvuru!$F:$F,"&lt;&gt;"&amp;""))</f>
        <v/>
      </c>
      <c r="O494" s="168" t="str">
        <f>IF(C494="","",COUNTIFS(Başvuru!$C:$C,C494,Başvuru!$L:$L,"KAPSAM DIŞI",Başvuru!$A:$A,"&lt;&gt;"&amp;"",Başvuru!$F:$F,"&lt;&gt;"&amp;""))</f>
        <v/>
      </c>
      <c r="P494" s="169" t="str">
        <f>IF(C494="","",COUNTIFS(Başvuru!$C:$C,C494,Başvuru!$L:$L,"GERİ ÇEKİLDİ",Başvuru!$A:$A,"&lt;&gt;"&amp;"",Başvuru!$F:$F,"&lt;&gt;"&amp;""))</f>
        <v/>
      </c>
      <c r="Q494" s="170" t="str">
        <f t="array" ref="Q494">IFERROR(INDEX(Başvuru!$C$2:$C$3000, MATCH(0, COUNTIF($Q$5:Q493, Başvuru!$C$2:$C$3000) + IF(Başvuru!$C$2:$C$3000="",1,0), 0)), "")</f>
        <v/>
      </c>
      <c r="R494" s="171" t="str">
        <f>IF(Q494="","",COUNTIFS(Başvuru!$C:$C,Q494,Başvuru!$A:$A,"&lt;&gt;"&amp;"",Başvuru!$F:$F,"&lt;&gt;"&amp;""))</f>
        <v/>
      </c>
      <c r="S494" s="171" t="str">
        <f>IF(R494="","",RANK(R494,$R$6:$R$505,0)+COUNTIF($R$6:R494,R494)-1)</f>
        <v/>
      </c>
    </row>
    <row r="495" spans="2:19" ht="23.25" customHeight="1" x14ac:dyDescent="0.25">
      <c r="B495" s="159">
        <v>490</v>
      </c>
      <c r="C495" s="160" t="str">
        <f>IFERROR(INDEX($Q$6:$Q$505,MATCH(490,$S$6:$S$505,0)),"")</f>
        <v/>
      </c>
      <c r="D495" s="161" t="str">
        <f>IF(C495="","",COUNTIFS(Başvuru!$C:$C,C495,Başvuru!$A:$A,"&lt;&gt;"&amp;"",Başvuru!$F:$F,"&lt;&gt;"&amp;""))</f>
        <v/>
      </c>
      <c r="E495" s="159" t="str">
        <f>IF(C495="","-",IF(D495&gt;0,TEXT(D495/(COUNTIFS(Başvuru!$A:$A,"&lt;&gt;",Başvuru!$F:$F,"&lt;&gt;")-1)*100,"0.0")&amp;"%","-"))</f>
        <v>-</v>
      </c>
      <c r="F495" s="162" t="str">
        <f>IF(C495="","",COUNTIFS(Başvuru!$C:$C,C495,Başvuru!$G:$G,"Bireysel Araştırma",Başvuru!$A:$A,"&lt;&gt;"&amp;"",Başvuru!$F:$F,"&lt;&gt;"&amp;""))</f>
        <v/>
      </c>
      <c r="G495" s="162" t="str">
        <f>IF(C495="","",COUNTIFS(Başvuru!$C:$C,C495,Başvuru!$G:$G,"Uzmanlık Tezi",Başvuru!$A:$A,"&lt;&gt;"&amp;"",Başvuru!$F:$F,"&lt;&gt;"&amp;""))</f>
        <v/>
      </c>
      <c r="H495" s="162" t="str">
        <f>IF(C495="","",COUNTIFS(Başvuru!$C:$C,C495,Başvuru!$G:$G,"Doktora Tezi",Başvuru!$A:$A,"&lt;&gt;"&amp;"",Başvuru!$F:$F,"&lt;&gt;"&amp;""))</f>
        <v/>
      </c>
      <c r="I495" s="162" t="str">
        <f>IF(C495="","",COUNTIFS(Başvuru!$C:$C,C495,Başvuru!$G:$G,"Yüksek Lisans Tezi",Başvuru!$A:$A,"&lt;&gt;"&amp;"",Başvuru!$F:$F,"&lt;&gt;"&amp;""))</f>
        <v/>
      </c>
      <c r="J495" s="163" t="str">
        <f>IF(C495="","",COUNTIFS(Başvuru!$C:$C,C495,Başvuru!$L:$L,"ONAY",Başvuru!$A:$A,"&lt;&gt;"&amp;"",Başvuru!$F:$F,"&lt;&gt;"&amp;""))</f>
        <v/>
      </c>
      <c r="K495" s="164" t="str">
        <f>IF(C495="","",COUNTIFS(Başvuru!$C:$C,C495,Başvuru!$L:$L,"DÜZELTME",Başvuru!$A:$A,"&lt;&gt;"&amp;"",Başvuru!$F:$F,"&lt;&gt;"&amp;""))</f>
        <v/>
      </c>
      <c r="L495" s="165" t="str">
        <f>IF(C495="","",COUNTIFS(Başvuru!$C:$C,C495,Başvuru!$L:$L,"KAEK",Başvuru!$A:$A,"&lt;&gt;"&amp;"",Başvuru!$F:$F,"&lt;&gt;"&amp;""))</f>
        <v/>
      </c>
      <c r="M495" s="166" t="str">
        <f>IF(C495="","",COUNTIFS(Başvuru!$C:$C,C495,Başvuru!$L:$L,"GÖRÜŞ",Başvuru!$A:$A,"&lt;&gt;"&amp;"",Başvuru!$F:$F,"&lt;&gt;"&amp;""))</f>
        <v/>
      </c>
      <c r="N495" s="167" t="str">
        <f>IF(C495="","",COUNTIFS(Başvuru!$C:$C,C495,Başvuru!$L:$L,"RET",Başvuru!$A:$A,"&lt;&gt;"&amp;"",Başvuru!$F:$F,"&lt;&gt;"&amp;""))</f>
        <v/>
      </c>
      <c r="O495" s="168" t="str">
        <f>IF(C495="","",COUNTIFS(Başvuru!$C:$C,C495,Başvuru!$L:$L,"KAPSAM DIŞI",Başvuru!$A:$A,"&lt;&gt;"&amp;"",Başvuru!$F:$F,"&lt;&gt;"&amp;""))</f>
        <v/>
      </c>
      <c r="P495" s="169" t="str">
        <f>IF(C495="","",COUNTIFS(Başvuru!$C:$C,C495,Başvuru!$L:$L,"GERİ ÇEKİLDİ",Başvuru!$A:$A,"&lt;&gt;"&amp;"",Başvuru!$F:$F,"&lt;&gt;"&amp;""))</f>
        <v/>
      </c>
      <c r="Q495" s="170" t="str">
        <f t="array" ref="Q495">IFERROR(INDEX(Başvuru!$C$2:$C$3000, MATCH(0, COUNTIF($Q$5:Q494, Başvuru!$C$2:$C$3000) + IF(Başvuru!$C$2:$C$3000="",1,0), 0)), "")</f>
        <v/>
      </c>
      <c r="R495" s="171" t="str">
        <f>IF(Q495="","",COUNTIFS(Başvuru!$C:$C,Q495,Başvuru!$A:$A,"&lt;&gt;"&amp;"",Başvuru!$F:$F,"&lt;&gt;"&amp;""))</f>
        <v/>
      </c>
      <c r="S495" s="171" t="str">
        <f>IF(R495="","",RANK(R495,$R$6:$R$505,0)+COUNTIF($R$6:R495,R495)-1)</f>
        <v/>
      </c>
    </row>
    <row r="496" spans="2:19" ht="23.25" customHeight="1" x14ac:dyDescent="0.25">
      <c r="B496" s="159">
        <v>491</v>
      </c>
      <c r="C496" s="160" t="str">
        <f>IFERROR(INDEX($Q$6:$Q$505,MATCH(491,$S$6:$S$505,0)),"")</f>
        <v/>
      </c>
      <c r="D496" s="161" t="str">
        <f>IF(C496="","",COUNTIFS(Başvuru!$C:$C,C496,Başvuru!$A:$A,"&lt;&gt;"&amp;"",Başvuru!$F:$F,"&lt;&gt;"&amp;""))</f>
        <v/>
      </c>
      <c r="E496" s="159" t="str">
        <f>IF(C496="","-",IF(D496&gt;0,TEXT(D496/(COUNTIFS(Başvuru!$A:$A,"&lt;&gt;",Başvuru!$F:$F,"&lt;&gt;")-1)*100,"0.0")&amp;"%","-"))</f>
        <v>-</v>
      </c>
      <c r="F496" s="162" t="str">
        <f>IF(C496="","",COUNTIFS(Başvuru!$C:$C,C496,Başvuru!$G:$G,"Bireysel Araştırma",Başvuru!$A:$A,"&lt;&gt;"&amp;"",Başvuru!$F:$F,"&lt;&gt;"&amp;""))</f>
        <v/>
      </c>
      <c r="G496" s="162" t="str">
        <f>IF(C496="","",COUNTIFS(Başvuru!$C:$C,C496,Başvuru!$G:$G,"Uzmanlık Tezi",Başvuru!$A:$A,"&lt;&gt;"&amp;"",Başvuru!$F:$F,"&lt;&gt;"&amp;""))</f>
        <v/>
      </c>
      <c r="H496" s="162" t="str">
        <f>IF(C496="","",COUNTIFS(Başvuru!$C:$C,C496,Başvuru!$G:$G,"Doktora Tezi",Başvuru!$A:$A,"&lt;&gt;"&amp;"",Başvuru!$F:$F,"&lt;&gt;"&amp;""))</f>
        <v/>
      </c>
      <c r="I496" s="162" t="str">
        <f>IF(C496="","",COUNTIFS(Başvuru!$C:$C,C496,Başvuru!$G:$G,"Yüksek Lisans Tezi",Başvuru!$A:$A,"&lt;&gt;"&amp;"",Başvuru!$F:$F,"&lt;&gt;"&amp;""))</f>
        <v/>
      </c>
      <c r="J496" s="163" t="str">
        <f>IF(C496="","",COUNTIFS(Başvuru!$C:$C,C496,Başvuru!$L:$L,"ONAY",Başvuru!$A:$A,"&lt;&gt;"&amp;"",Başvuru!$F:$F,"&lt;&gt;"&amp;""))</f>
        <v/>
      </c>
      <c r="K496" s="164" t="str">
        <f>IF(C496="","",COUNTIFS(Başvuru!$C:$C,C496,Başvuru!$L:$L,"DÜZELTME",Başvuru!$A:$A,"&lt;&gt;"&amp;"",Başvuru!$F:$F,"&lt;&gt;"&amp;""))</f>
        <v/>
      </c>
      <c r="L496" s="165" t="str">
        <f>IF(C496="","",COUNTIFS(Başvuru!$C:$C,C496,Başvuru!$L:$L,"KAEK",Başvuru!$A:$A,"&lt;&gt;"&amp;"",Başvuru!$F:$F,"&lt;&gt;"&amp;""))</f>
        <v/>
      </c>
      <c r="M496" s="166" t="str">
        <f>IF(C496="","",COUNTIFS(Başvuru!$C:$C,C496,Başvuru!$L:$L,"GÖRÜŞ",Başvuru!$A:$A,"&lt;&gt;"&amp;"",Başvuru!$F:$F,"&lt;&gt;"&amp;""))</f>
        <v/>
      </c>
      <c r="N496" s="167" t="str">
        <f>IF(C496="","",COUNTIFS(Başvuru!$C:$C,C496,Başvuru!$L:$L,"RET",Başvuru!$A:$A,"&lt;&gt;"&amp;"",Başvuru!$F:$F,"&lt;&gt;"&amp;""))</f>
        <v/>
      </c>
      <c r="O496" s="168" t="str">
        <f>IF(C496="","",COUNTIFS(Başvuru!$C:$C,C496,Başvuru!$L:$L,"KAPSAM DIŞI",Başvuru!$A:$A,"&lt;&gt;"&amp;"",Başvuru!$F:$F,"&lt;&gt;"&amp;""))</f>
        <v/>
      </c>
      <c r="P496" s="169" t="str">
        <f>IF(C496="","",COUNTIFS(Başvuru!$C:$C,C496,Başvuru!$L:$L,"GERİ ÇEKİLDİ",Başvuru!$A:$A,"&lt;&gt;"&amp;"",Başvuru!$F:$F,"&lt;&gt;"&amp;""))</f>
        <v/>
      </c>
      <c r="Q496" s="170" t="str">
        <f t="array" ref="Q496">IFERROR(INDEX(Başvuru!$C$2:$C$3000, MATCH(0, COUNTIF($Q$5:Q495, Başvuru!$C$2:$C$3000) + IF(Başvuru!$C$2:$C$3000="",1,0), 0)), "")</f>
        <v/>
      </c>
      <c r="R496" s="171" t="str">
        <f>IF(Q496="","",COUNTIFS(Başvuru!$C:$C,Q496,Başvuru!$A:$A,"&lt;&gt;"&amp;"",Başvuru!$F:$F,"&lt;&gt;"&amp;""))</f>
        <v/>
      </c>
      <c r="S496" s="171" t="str">
        <f>IF(R496="","",RANK(R496,$R$6:$R$505,0)+COUNTIF($R$6:R496,R496)-1)</f>
        <v/>
      </c>
    </row>
    <row r="497" spans="2:19" ht="23.25" customHeight="1" x14ac:dyDescent="0.25">
      <c r="B497" s="159">
        <v>492</v>
      </c>
      <c r="C497" s="160" t="str">
        <f>IFERROR(INDEX($Q$6:$Q$505,MATCH(492,$S$6:$S$505,0)),"")</f>
        <v/>
      </c>
      <c r="D497" s="161" t="str">
        <f>IF(C497="","",COUNTIFS(Başvuru!$C:$C,C497,Başvuru!$A:$A,"&lt;&gt;"&amp;"",Başvuru!$F:$F,"&lt;&gt;"&amp;""))</f>
        <v/>
      </c>
      <c r="E497" s="159" t="str">
        <f>IF(C497="","-",IF(D497&gt;0,TEXT(D497/(COUNTIFS(Başvuru!$A:$A,"&lt;&gt;",Başvuru!$F:$F,"&lt;&gt;")-1)*100,"0.0")&amp;"%","-"))</f>
        <v>-</v>
      </c>
      <c r="F497" s="162" t="str">
        <f>IF(C497="","",COUNTIFS(Başvuru!$C:$C,C497,Başvuru!$G:$G,"Bireysel Araştırma",Başvuru!$A:$A,"&lt;&gt;"&amp;"",Başvuru!$F:$F,"&lt;&gt;"&amp;""))</f>
        <v/>
      </c>
      <c r="G497" s="162" t="str">
        <f>IF(C497="","",COUNTIFS(Başvuru!$C:$C,C497,Başvuru!$G:$G,"Uzmanlık Tezi",Başvuru!$A:$A,"&lt;&gt;"&amp;"",Başvuru!$F:$F,"&lt;&gt;"&amp;""))</f>
        <v/>
      </c>
      <c r="H497" s="162" t="str">
        <f>IF(C497="","",COUNTIFS(Başvuru!$C:$C,C497,Başvuru!$G:$G,"Doktora Tezi",Başvuru!$A:$A,"&lt;&gt;"&amp;"",Başvuru!$F:$F,"&lt;&gt;"&amp;""))</f>
        <v/>
      </c>
      <c r="I497" s="162" t="str">
        <f>IF(C497="","",COUNTIFS(Başvuru!$C:$C,C497,Başvuru!$G:$G,"Yüksek Lisans Tezi",Başvuru!$A:$A,"&lt;&gt;"&amp;"",Başvuru!$F:$F,"&lt;&gt;"&amp;""))</f>
        <v/>
      </c>
      <c r="J497" s="163" t="str">
        <f>IF(C497="","",COUNTIFS(Başvuru!$C:$C,C497,Başvuru!$L:$L,"ONAY",Başvuru!$A:$A,"&lt;&gt;"&amp;"",Başvuru!$F:$F,"&lt;&gt;"&amp;""))</f>
        <v/>
      </c>
      <c r="K497" s="164" t="str">
        <f>IF(C497="","",COUNTIFS(Başvuru!$C:$C,C497,Başvuru!$L:$L,"DÜZELTME",Başvuru!$A:$A,"&lt;&gt;"&amp;"",Başvuru!$F:$F,"&lt;&gt;"&amp;""))</f>
        <v/>
      </c>
      <c r="L497" s="165" t="str">
        <f>IF(C497="","",COUNTIFS(Başvuru!$C:$C,C497,Başvuru!$L:$L,"KAEK",Başvuru!$A:$A,"&lt;&gt;"&amp;"",Başvuru!$F:$F,"&lt;&gt;"&amp;""))</f>
        <v/>
      </c>
      <c r="M497" s="166" t="str">
        <f>IF(C497="","",COUNTIFS(Başvuru!$C:$C,C497,Başvuru!$L:$L,"GÖRÜŞ",Başvuru!$A:$A,"&lt;&gt;"&amp;"",Başvuru!$F:$F,"&lt;&gt;"&amp;""))</f>
        <v/>
      </c>
      <c r="N497" s="167" t="str">
        <f>IF(C497="","",COUNTIFS(Başvuru!$C:$C,C497,Başvuru!$L:$L,"RET",Başvuru!$A:$A,"&lt;&gt;"&amp;"",Başvuru!$F:$F,"&lt;&gt;"&amp;""))</f>
        <v/>
      </c>
      <c r="O497" s="168" t="str">
        <f>IF(C497="","",COUNTIFS(Başvuru!$C:$C,C497,Başvuru!$L:$L,"KAPSAM DIŞI",Başvuru!$A:$A,"&lt;&gt;"&amp;"",Başvuru!$F:$F,"&lt;&gt;"&amp;""))</f>
        <v/>
      </c>
      <c r="P497" s="169" t="str">
        <f>IF(C497="","",COUNTIFS(Başvuru!$C:$C,C497,Başvuru!$L:$L,"GERİ ÇEKİLDİ",Başvuru!$A:$A,"&lt;&gt;"&amp;"",Başvuru!$F:$F,"&lt;&gt;"&amp;""))</f>
        <v/>
      </c>
      <c r="Q497" s="170" t="str">
        <f t="array" ref="Q497">IFERROR(INDEX(Başvuru!$C$2:$C$3000, MATCH(0, COUNTIF($Q$5:Q496, Başvuru!$C$2:$C$3000) + IF(Başvuru!$C$2:$C$3000="",1,0), 0)), "")</f>
        <v/>
      </c>
      <c r="R497" s="171" t="str">
        <f>IF(Q497="","",COUNTIFS(Başvuru!$C:$C,Q497,Başvuru!$A:$A,"&lt;&gt;"&amp;"",Başvuru!$F:$F,"&lt;&gt;"&amp;""))</f>
        <v/>
      </c>
      <c r="S497" s="171" t="str">
        <f>IF(R497="","",RANK(R497,$R$6:$R$505,0)+COUNTIF($R$6:R497,R497)-1)</f>
        <v/>
      </c>
    </row>
    <row r="498" spans="2:19" ht="23.25" customHeight="1" x14ac:dyDescent="0.25">
      <c r="B498" s="159">
        <v>493</v>
      </c>
      <c r="C498" s="160" t="str">
        <f>IFERROR(INDEX($Q$6:$Q$505,MATCH(493,$S$6:$S$505,0)),"")</f>
        <v/>
      </c>
      <c r="D498" s="161" t="str">
        <f>IF(C498="","",COUNTIFS(Başvuru!$C:$C,C498,Başvuru!$A:$A,"&lt;&gt;"&amp;"",Başvuru!$F:$F,"&lt;&gt;"&amp;""))</f>
        <v/>
      </c>
      <c r="E498" s="159" t="str">
        <f>IF(C498="","-",IF(D498&gt;0,TEXT(D498/(COUNTIFS(Başvuru!$A:$A,"&lt;&gt;",Başvuru!$F:$F,"&lt;&gt;")-1)*100,"0.0")&amp;"%","-"))</f>
        <v>-</v>
      </c>
      <c r="F498" s="162" t="str">
        <f>IF(C498="","",COUNTIFS(Başvuru!$C:$C,C498,Başvuru!$G:$G,"Bireysel Araştırma",Başvuru!$A:$A,"&lt;&gt;"&amp;"",Başvuru!$F:$F,"&lt;&gt;"&amp;""))</f>
        <v/>
      </c>
      <c r="G498" s="162" t="str">
        <f>IF(C498="","",COUNTIFS(Başvuru!$C:$C,C498,Başvuru!$G:$G,"Uzmanlık Tezi",Başvuru!$A:$A,"&lt;&gt;"&amp;"",Başvuru!$F:$F,"&lt;&gt;"&amp;""))</f>
        <v/>
      </c>
      <c r="H498" s="162" t="str">
        <f>IF(C498="","",COUNTIFS(Başvuru!$C:$C,C498,Başvuru!$G:$G,"Doktora Tezi",Başvuru!$A:$A,"&lt;&gt;"&amp;"",Başvuru!$F:$F,"&lt;&gt;"&amp;""))</f>
        <v/>
      </c>
      <c r="I498" s="162" t="str">
        <f>IF(C498="","",COUNTIFS(Başvuru!$C:$C,C498,Başvuru!$G:$G,"Yüksek Lisans Tezi",Başvuru!$A:$A,"&lt;&gt;"&amp;"",Başvuru!$F:$F,"&lt;&gt;"&amp;""))</f>
        <v/>
      </c>
      <c r="J498" s="163" t="str">
        <f>IF(C498="","",COUNTIFS(Başvuru!$C:$C,C498,Başvuru!$L:$L,"ONAY",Başvuru!$A:$A,"&lt;&gt;"&amp;"",Başvuru!$F:$F,"&lt;&gt;"&amp;""))</f>
        <v/>
      </c>
      <c r="K498" s="164" t="str">
        <f>IF(C498="","",COUNTIFS(Başvuru!$C:$C,C498,Başvuru!$L:$L,"DÜZELTME",Başvuru!$A:$A,"&lt;&gt;"&amp;"",Başvuru!$F:$F,"&lt;&gt;"&amp;""))</f>
        <v/>
      </c>
      <c r="L498" s="165" t="str">
        <f>IF(C498="","",COUNTIFS(Başvuru!$C:$C,C498,Başvuru!$L:$L,"KAEK",Başvuru!$A:$A,"&lt;&gt;"&amp;"",Başvuru!$F:$F,"&lt;&gt;"&amp;""))</f>
        <v/>
      </c>
      <c r="M498" s="166" t="str">
        <f>IF(C498="","",COUNTIFS(Başvuru!$C:$C,C498,Başvuru!$L:$L,"GÖRÜŞ",Başvuru!$A:$A,"&lt;&gt;"&amp;"",Başvuru!$F:$F,"&lt;&gt;"&amp;""))</f>
        <v/>
      </c>
      <c r="N498" s="167" t="str">
        <f>IF(C498="","",COUNTIFS(Başvuru!$C:$C,C498,Başvuru!$L:$L,"RET",Başvuru!$A:$A,"&lt;&gt;"&amp;"",Başvuru!$F:$F,"&lt;&gt;"&amp;""))</f>
        <v/>
      </c>
      <c r="O498" s="168" t="str">
        <f>IF(C498="","",COUNTIFS(Başvuru!$C:$C,C498,Başvuru!$L:$L,"KAPSAM DIŞI",Başvuru!$A:$A,"&lt;&gt;"&amp;"",Başvuru!$F:$F,"&lt;&gt;"&amp;""))</f>
        <v/>
      </c>
      <c r="P498" s="169" t="str">
        <f>IF(C498="","",COUNTIFS(Başvuru!$C:$C,C498,Başvuru!$L:$L,"GERİ ÇEKİLDİ",Başvuru!$A:$A,"&lt;&gt;"&amp;"",Başvuru!$F:$F,"&lt;&gt;"&amp;""))</f>
        <v/>
      </c>
      <c r="Q498" s="170" t="str">
        <f t="array" ref="Q498">IFERROR(INDEX(Başvuru!$C$2:$C$3000, MATCH(0, COUNTIF($Q$5:Q497, Başvuru!$C$2:$C$3000) + IF(Başvuru!$C$2:$C$3000="",1,0), 0)), "")</f>
        <v/>
      </c>
      <c r="R498" s="171" t="str">
        <f>IF(Q498="","",COUNTIFS(Başvuru!$C:$C,Q498,Başvuru!$A:$A,"&lt;&gt;"&amp;"",Başvuru!$F:$F,"&lt;&gt;"&amp;""))</f>
        <v/>
      </c>
      <c r="S498" s="171" t="str">
        <f>IF(R498="","",RANK(R498,$R$6:$R$505,0)+COUNTIF($R$6:R498,R498)-1)</f>
        <v/>
      </c>
    </row>
    <row r="499" spans="2:19" ht="23.25" customHeight="1" x14ac:dyDescent="0.25">
      <c r="B499" s="159">
        <v>494</v>
      </c>
      <c r="C499" s="160" t="str">
        <f>IFERROR(INDEX($Q$6:$Q$505,MATCH(494,$S$6:$S$505,0)),"")</f>
        <v/>
      </c>
      <c r="D499" s="161" t="str">
        <f>IF(C499="","",COUNTIFS(Başvuru!$C:$C,C499,Başvuru!$A:$A,"&lt;&gt;"&amp;"",Başvuru!$F:$F,"&lt;&gt;"&amp;""))</f>
        <v/>
      </c>
      <c r="E499" s="159" t="str">
        <f>IF(C499="","-",IF(D499&gt;0,TEXT(D499/(COUNTIFS(Başvuru!$A:$A,"&lt;&gt;",Başvuru!$F:$F,"&lt;&gt;")-1)*100,"0.0")&amp;"%","-"))</f>
        <v>-</v>
      </c>
      <c r="F499" s="162" t="str">
        <f>IF(C499="","",COUNTIFS(Başvuru!$C:$C,C499,Başvuru!$G:$G,"Bireysel Araştırma",Başvuru!$A:$A,"&lt;&gt;"&amp;"",Başvuru!$F:$F,"&lt;&gt;"&amp;""))</f>
        <v/>
      </c>
      <c r="G499" s="162" t="str">
        <f>IF(C499="","",COUNTIFS(Başvuru!$C:$C,C499,Başvuru!$G:$G,"Uzmanlık Tezi",Başvuru!$A:$A,"&lt;&gt;"&amp;"",Başvuru!$F:$F,"&lt;&gt;"&amp;""))</f>
        <v/>
      </c>
      <c r="H499" s="162" t="str">
        <f>IF(C499="","",COUNTIFS(Başvuru!$C:$C,C499,Başvuru!$G:$G,"Doktora Tezi",Başvuru!$A:$A,"&lt;&gt;"&amp;"",Başvuru!$F:$F,"&lt;&gt;"&amp;""))</f>
        <v/>
      </c>
      <c r="I499" s="162" t="str">
        <f>IF(C499="","",COUNTIFS(Başvuru!$C:$C,C499,Başvuru!$G:$G,"Yüksek Lisans Tezi",Başvuru!$A:$A,"&lt;&gt;"&amp;"",Başvuru!$F:$F,"&lt;&gt;"&amp;""))</f>
        <v/>
      </c>
      <c r="J499" s="163" t="str">
        <f>IF(C499="","",COUNTIFS(Başvuru!$C:$C,C499,Başvuru!$L:$L,"ONAY",Başvuru!$A:$A,"&lt;&gt;"&amp;"",Başvuru!$F:$F,"&lt;&gt;"&amp;""))</f>
        <v/>
      </c>
      <c r="K499" s="164" t="str">
        <f>IF(C499="","",COUNTIFS(Başvuru!$C:$C,C499,Başvuru!$L:$L,"DÜZELTME",Başvuru!$A:$A,"&lt;&gt;"&amp;"",Başvuru!$F:$F,"&lt;&gt;"&amp;""))</f>
        <v/>
      </c>
      <c r="L499" s="165" t="str">
        <f>IF(C499="","",COUNTIFS(Başvuru!$C:$C,C499,Başvuru!$L:$L,"KAEK",Başvuru!$A:$A,"&lt;&gt;"&amp;"",Başvuru!$F:$F,"&lt;&gt;"&amp;""))</f>
        <v/>
      </c>
      <c r="M499" s="166" t="str">
        <f>IF(C499="","",COUNTIFS(Başvuru!$C:$C,C499,Başvuru!$L:$L,"GÖRÜŞ",Başvuru!$A:$A,"&lt;&gt;"&amp;"",Başvuru!$F:$F,"&lt;&gt;"&amp;""))</f>
        <v/>
      </c>
      <c r="N499" s="167" t="str">
        <f>IF(C499="","",COUNTIFS(Başvuru!$C:$C,C499,Başvuru!$L:$L,"RET",Başvuru!$A:$A,"&lt;&gt;"&amp;"",Başvuru!$F:$F,"&lt;&gt;"&amp;""))</f>
        <v/>
      </c>
      <c r="O499" s="168" t="str">
        <f>IF(C499="","",COUNTIFS(Başvuru!$C:$C,C499,Başvuru!$L:$L,"KAPSAM DIŞI",Başvuru!$A:$A,"&lt;&gt;"&amp;"",Başvuru!$F:$F,"&lt;&gt;"&amp;""))</f>
        <v/>
      </c>
      <c r="P499" s="169" t="str">
        <f>IF(C499="","",COUNTIFS(Başvuru!$C:$C,C499,Başvuru!$L:$L,"GERİ ÇEKİLDİ",Başvuru!$A:$A,"&lt;&gt;"&amp;"",Başvuru!$F:$F,"&lt;&gt;"&amp;""))</f>
        <v/>
      </c>
      <c r="Q499" s="170" t="str">
        <f t="array" ref="Q499">IFERROR(INDEX(Başvuru!$C$2:$C$3000, MATCH(0, COUNTIF($Q$5:Q498, Başvuru!$C$2:$C$3000) + IF(Başvuru!$C$2:$C$3000="",1,0), 0)), "")</f>
        <v/>
      </c>
      <c r="R499" s="171" t="str">
        <f>IF(Q499="","",COUNTIFS(Başvuru!$C:$C,Q499,Başvuru!$A:$A,"&lt;&gt;"&amp;"",Başvuru!$F:$F,"&lt;&gt;"&amp;""))</f>
        <v/>
      </c>
      <c r="S499" s="171" t="str">
        <f>IF(R499="","",RANK(R499,$R$6:$R$505,0)+COUNTIF($R$6:R499,R499)-1)</f>
        <v/>
      </c>
    </row>
    <row r="500" spans="2:19" ht="23.25" customHeight="1" x14ac:dyDescent="0.25">
      <c r="B500" s="159">
        <v>495</v>
      </c>
      <c r="C500" s="160" t="str">
        <f>IFERROR(INDEX($Q$6:$Q$505,MATCH(495,$S$6:$S$505,0)),"")</f>
        <v/>
      </c>
      <c r="D500" s="161" t="str">
        <f>IF(C500="","",COUNTIFS(Başvuru!$C:$C,C500,Başvuru!$A:$A,"&lt;&gt;"&amp;"",Başvuru!$F:$F,"&lt;&gt;"&amp;""))</f>
        <v/>
      </c>
      <c r="E500" s="159" t="str">
        <f>IF(C500="","-",IF(D500&gt;0,TEXT(D500/(COUNTIFS(Başvuru!$A:$A,"&lt;&gt;",Başvuru!$F:$F,"&lt;&gt;")-1)*100,"0.0")&amp;"%","-"))</f>
        <v>-</v>
      </c>
      <c r="F500" s="162" t="str">
        <f>IF(C500="","",COUNTIFS(Başvuru!$C:$C,C500,Başvuru!$G:$G,"Bireysel Araştırma",Başvuru!$A:$A,"&lt;&gt;"&amp;"",Başvuru!$F:$F,"&lt;&gt;"&amp;""))</f>
        <v/>
      </c>
      <c r="G500" s="162" t="str">
        <f>IF(C500="","",COUNTIFS(Başvuru!$C:$C,C500,Başvuru!$G:$G,"Uzmanlık Tezi",Başvuru!$A:$A,"&lt;&gt;"&amp;"",Başvuru!$F:$F,"&lt;&gt;"&amp;""))</f>
        <v/>
      </c>
      <c r="H500" s="162" t="str">
        <f>IF(C500="","",COUNTIFS(Başvuru!$C:$C,C500,Başvuru!$G:$G,"Doktora Tezi",Başvuru!$A:$A,"&lt;&gt;"&amp;"",Başvuru!$F:$F,"&lt;&gt;"&amp;""))</f>
        <v/>
      </c>
      <c r="I500" s="162" t="str">
        <f>IF(C500="","",COUNTIFS(Başvuru!$C:$C,C500,Başvuru!$G:$G,"Yüksek Lisans Tezi",Başvuru!$A:$A,"&lt;&gt;"&amp;"",Başvuru!$F:$F,"&lt;&gt;"&amp;""))</f>
        <v/>
      </c>
      <c r="J500" s="163" t="str">
        <f>IF(C500="","",COUNTIFS(Başvuru!$C:$C,C500,Başvuru!$L:$L,"ONAY",Başvuru!$A:$A,"&lt;&gt;"&amp;"",Başvuru!$F:$F,"&lt;&gt;"&amp;""))</f>
        <v/>
      </c>
      <c r="K500" s="164" t="str">
        <f>IF(C500="","",COUNTIFS(Başvuru!$C:$C,C500,Başvuru!$L:$L,"DÜZELTME",Başvuru!$A:$A,"&lt;&gt;"&amp;"",Başvuru!$F:$F,"&lt;&gt;"&amp;""))</f>
        <v/>
      </c>
      <c r="L500" s="165" t="str">
        <f>IF(C500="","",COUNTIFS(Başvuru!$C:$C,C500,Başvuru!$L:$L,"KAEK",Başvuru!$A:$A,"&lt;&gt;"&amp;"",Başvuru!$F:$F,"&lt;&gt;"&amp;""))</f>
        <v/>
      </c>
      <c r="M500" s="166" t="str">
        <f>IF(C500="","",COUNTIFS(Başvuru!$C:$C,C500,Başvuru!$L:$L,"GÖRÜŞ",Başvuru!$A:$A,"&lt;&gt;"&amp;"",Başvuru!$F:$F,"&lt;&gt;"&amp;""))</f>
        <v/>
      </c>
      <c r="N500" s="167" t="str">
        <f>IF(C500="","",COUNTIFS(Başvuru!$C:$C,C500,Başvuru!$L:$L,"RET",Başvuru!$A:$A,"&lt;&gt;"&amp;"",Başvuru!$F:$F,"&lt;&gt;"&amp;""))</f>
        <v/>
      </c>
      <c r="O500" s="168" t="str">
        <f>IF(C500="","",COUNTIFS(Başvuru!$C:$C,C500,Başvuru!$L:$L,"KAPSAM DIŞI",Başvuru!$A:$A,"&lt;&gt;"&amp;"",Başvuru!$F:$F,"&lt;&gt;"&amp;""))</f>
        <v/>
      </c>
      <c r="P500" s="169" t="str">
        <f>IF(C500="","",COUNTIFS(Başvuru!$C:$C,C500,Başvuru!$L:$L,"GERİ ÇEKİLDİ",Başvuru!$A:$A,"&lt;&gt;"&amp;"",Başvuru!$F:$F,"&lt;&gt;"&amp;""))</f>
        <v/>
      </c>
      <c r="Q500" s="170" t="str">
        <f t="array" ref="Q500">IFERROR(INDEX(Başvuru!$C$2:$C$3000, MATCH(0, COUNTIF($Q$5:Q499, Başvuru!$C$2:$C$3000) + IF(Başvuru!$C$2:$C$3000="",1,0), 0)), "")</f>
        <v/>
      </c>
      <c r="R500" s="171" t="str">
        <f>IF(Q500="","",COUNTIFS(Başvuru!$C:$C,Q500,Başvuru!$A:$A,"&lt;&gt;"&amp;"",Başvuru!$F:$F,"&lt;&gt;"&amp;""))</f>
        <v/>
      </c>
      <c r="S500" s="171" t="str">
        <f>IF(R500="","",RANK(R500,$R$6:$R$505,0)+COUNTIF($R$6:R500,R500)-1)</f>
        <v/>
      </c>
    </row>
    <row r="501" spans="2:19" ht="23.25" customHeight="1" x14ac:dyDescent="0.25">
      <c r="B501" s="159">
        <v>496</v>
      </c>
      <c r="C501" s="160" t="str">
        <f>IFERROR(INDEX($Q$6:$Q$505,MATCH(496,$S$6:$S$505,0)),"")</f>
        <v/>
      </c>
      <c r="D501" s="161" t="str">
        <f>IF(C501="","",COUNTIFS(Başvuru!$C:$C,C501,Başvuru!$A:$A,"&lt;&gt;"&amp;"",Başvuru!$F:$F,"&lt;&gt;"&amp;""))</f>
        <v/>
      </c>
      <c r="E501" s="159" t="str">
        <f>IF(C501="","-",IF(D501&gt;0,TEXT(D501/(COUNTIFS(Başvuru!$A:$A,"&lt;&gt;",Başvuru!$F:$F,"&lt;&gt;")-1)*100,"0.0")&amp;"%","-"))</f>
        <v>-</v>
      </c>
      <c r="F501" s="162" t="str">
        <f>IF(C501="","",COUNTIFS(Başvuru!$C:$C,C501,Başvuru!$G:$G,"Bireysel Araştırma",Başvuru!$A:$A,"&lt;&gt;"&amp;"",Başvuru!$F:$F,"&lt;&gt;"&amp;""))</f>
        <v/>
      </c>
      <c r="G501" s="162" t="str">
        <f>IF(C501="","",COUNTIFS(Başvuru!$C:$C,C501,Başvuru!$G:$G,"Uzmanlık Tezi",Başvuru!$A:$A,"&lt;&gt;"&amp;"",Başvuru!$F:$F,"&lt;&gt;"&amp;""))</f>
        <v/>
      </c>
      <c r="H501" s="162" t="str">
        <f>IF(C501="","",COUNTIFS(Başvuru!$C:$C,C501,Başvuru!$G:$G,"Doktora Tezi",Başvuru!$A:$A,"&lt;&gt;"&amp;"",Başvuru!$F:$F,"&lt;&gt;"&amp;""))</f>
        <v/>
      </c>
      <c r="I501" s="162" t="str">
        <f>IF(C501="","",COUNTIFS(Başvuru!$C:$C,C501,Başvuru!$G:$G,"Yüksek Lisans Tezi",Başvuru!$A:$A,"&lt;&gt;"&amp;"",Başvuru!$F:$F,"&lt;&gt;"&amp;""))</f>
        <v/>
      </c>
      <c r="J501" s="163" t="str">
        <f>IF(C501="","",COUNTIFS(Başvuru!$C:$C,C501,Başvuru!$L:$L,"ONAY",Başvuru!$A:$A,"&lt;&gt;"&amp;"",Başvuru!$F:$F,"&lt;&gt;"&amp;""))</f>
        <v/>
      </c>
      <c r="K501" s="164" t="str">
        <f>IF(C501="","",COUNTIFS(Başvuru!$C:$C,C501,Başvuru!$L:$L,"DÜZELTME",Başvuru!$A:$A,"&lt;&gt;"&amp;"",Başvuru!$F:$F,"&lt;&gt;"&amp;""))</f>
        <v/>
      </c>
      <c r="L501" s="165" t="str">
        <f>IF(C501="","",COUNTIFS(Başvuru!$C:$C,C501,Başvuru!$L:$L,"KAEK",Başvuru!$A:$A,"&lt;&gt;"&amp;"",Başvuru!$F:$F,"&lt;&gt;"&amp;""))</f>
        <v/>
      </c>
      <c r="M501" s="166" t="str">
        <f>IF(C501="","",COUNTIFS(Başvuru!$C:$C,C501,Başvuru!$L:$L,"GÖRÜŞ",Başvuru!$A:$A,"&lt;&gt;"&amp;"",Başvuru!$F:$F,"&lt;&gt;"&amp;""))</f>
        <v/>
      </c>
      <c r="N501" s="167" t="str">
        <f>IF(C501="","",COUNTIFS(Başvuru!$C:$C,C501,Başvuru!$L:$L,"RET",Başvuru!$A:$A,"&lt;&gt;"&amp;"",Başvuru!$F:$F,"&lt;&gt;"&amp;""))</f>
        <v/>
      </c>
      <c r="O501" s="168" t="str">
        <f>IF(C501="","",COUNTIFS(Başvuru!$C:$C,C501,Başvuru!$L:$L,"KAPSAM DIŞI",Başvuru!$A:$A,"&lt;&gt;"&amp;"",Başvuru!$F:$F,"&lt;&gt;"&amp;""))</f>
        <v/>
      </c>
      <c r="P501" s="169" t="str">
        <f>IF(C501="","",COUNTIFS(Başvuru!$C:$C,C501,Başvuru!$L:$L,"GERİ ÇEKİLDİ",Başvuru!$A:$A,"&lt;&gt;"&amp;"",Başvuru!$F:$F,"&lt;&gt;"&amp;""))</f>
        <v/>
      </c>
      <c r="Q501" s="170" t="str">
        <f t="array" ref="Q501">IFERROR(INDEX(Başvuru!$C$2:$C$3000, MATCH(0, COUNTIF($Q$5:Q500, Başvuru!$C$2:$C$3000) + IF(Başvuru!$C$2:$C$3000="",1,0), 0)), "")</f>
        <v/>
      </c>
      <c r="R501" s="171" t="str">
        <f>IF(Q501="","",COUNTIFS(Başvuru!$C:$C,Q501,Başvuru!$A:$A,"&lt;&gt;"&amp;"",Başvuru!$F:$F,"&lt;&gt;"&amp;""))</f>
        <v/>
      </c>
      <c r="S501" s="171" t="str">
        <f>IF(R501="","",RANK(R501,$R$6:$R$505,0)+COUNTIF($R$6:R501,R501)-1)</f>
        <v/>
      </c>
    </row>
    <row r="502" spans="2:19" ht="23.25" customHeight="1" x14ac:dyDescent="0.25">
      <c r="B502" s="159">
        <v>497</v>
      </c>
      <c r="C502" s="160" t="str">
        <f>IFERROR(INDEX($Q$6:$Q$505,MATCH(497,$S$6:$S$505,0)),"")</f>
        <v/>
      </c>
      <c r="D502" s="161" t="str">
        <f>IF(C502="","",COUNTIFS(Başvuru!$C:$C,C502,Başvuru!$A:$A,"&lt;&gt;"&amp;"",Başvuru!$F:$F,"&lt;&gt;"&amp;""))</f>
        <v/>
      </c>
      <c r="E502" s="159" t="str">
        <f>IF(C502="","-",IF(D502&gt;0,TEXT(D502/(COUNTIFS(Başvuru!$A:$A,"&lt;&gt;",Başvuru!$F:$F,"&lt;&gt;")-1)*100,"0.0")&amp;"%","-"))</f>
        <v>-</v>
      </c>
      <c r="F502" s="162" t="str">
        <f>IF(C502="","",COUNTIFS(Başvuru!$C:$C,C502,Başvuru!$G:$G,"Bireysel Araştırma",Başvuru!$A:$A,"&lt;&gt;"&amp;"",Başvuru!$F:$F,"&lt;&gt;"&amp;""))</f>
        <v/>
      </c>
      <c r="G502" s="162" t="str">
        <f>IF(C502="","",COUNTIFS(Başvuru!$C:$C,C502,Başvuru!$G:$G,"Uzmanlık Tezi",Başvuru!$A:$A,"&lt;&gt;"&amp;"",Başvuru!$F:$F,"&lt;&gt;"&amp;""))</f>
        <v/>
      </c>
      <c r="H502" s="162" t="str">
        <f>IF(C502="","",COUNTIFS(Başvuru!$C:$C,C502,Başvuru!$G:$G,"Doktora Tezi",Başvuru!$A:$A,"&lt;&gt;"&amp;"",Başvuru!$F:$F,"&lt;&gt;"&amp;""))</f>
        <v/>
      </c>
      <c r="I502" s="162" t="str">
        <f>IF(C502="","",COUNTIFS(Başvuru!$C:$C,C502,Başvuru!$G:$G,"Yüksek Lisans Tezi",Başvuru!$A:$A,"&lt;&gt;"&amp;"",Başvuru!$F:$F,"&lt;&gt;"&amp;""))</f>
        <v/>
      </c>
      <c r="J502" s="163" t="str">
        <f>IF(C502="","",COUNTIFS(Başvuru!$C:$C,C502,Başvuru!$L:$L,"ONAY",Başvuru!$A:$A,"&lt;&gt;"&amp;"",Başvuru!$F:$F,"&lt;&gt;"&amp;""))</f>
        <v/>
      </c>
      <c r="K502" s="164" t="str">
        <f>IF(C502="","",COUNTIFS(Başvuru!$C:$C,C502,Başvuru!$L:$L,"DÜZELTME",Başvuru!$A:$A,"&lt;&gt;"&amp;"",Başvuru!$F:$F,"&lt;&gt;"&amp;""))</f>
        <v/>
      </c>
      <c r="L502" s="165" t="str">
        <f>IF(C502="","",COUNTIFS(Başvuru!$C:$C,C502,Başvuru!$L:$L,"KAEK",Başvuru!$A:$A,"&lt;&gt;"&amp;"",Başvuru!$F:$F,"&lt;&gt;"&amp;""))</f>
        <v/>
      </c>
      <c r="M502" s="166" t="str">
        <f>IF(C502="","",COUNTIFS(Başvuru!$C:$C,C502,Başvuru!$L:$L,"GÖRÜŞ",Başvuru!$A:$A,"&lt;&gt;"&amp;"",Başvuru!$F:$F,"&lt;&gt;"&amp;""))</f>
        <v/>
      </c>
      <c r="N502" s="167" t="str">
        <f>IF(C502="","",COUNTIFS(Başvuru!$C:$C,C502,Başvuru!$L:$L,"RET",Başvuru!$A:$A,"&lt;&gt;"&amp;"",Başvuru!$F:$F,"&lt;&gt;"&amp;""))</f>
        <v/>
      </c>
      <c r="O502" s="168" t="str">
        <f>IF(C502="","",COUNTIFS(Başvuru!$C:$C,C502,Başvuru!$L:$L,"KAPSAM DIŞI",Başvuru!$A:$A,"&lt;&gt;"&amp;"",Başvuru!$F:$F,"&lt;&gt;"&amp;""))</f>
        <v/>
      </c>
      <c r="P502" s="169" t="str">
        <f>IF(C502="","",COUNTIFS(Başvuru!$C:$C,C502,Başvuru!$L:$L,"GERİ ÇEKİLDİ",Başvuru!$A:$A,"&lt;&gt;"&amp;"",Başvuru!$F:$F,"&lt;&gt;"&amp;""))</f>
        <v/>
      </c>
      <c r="Q502" s="170" t="str">
        <f t="array" ref="Q502">IFERROR(INDEX(Başvuru!$C$2:$C$3000, MATCH(0, COUNTIF($Q$5:Q501, Başvuru!$C$2:$C$3000) + IF(Başvuru!$C$2:$C$3000="",1,0), 0)), "")</f>
        <v/>
      </c>
      <c r="R502" s="171" t="str">
        <f>IF(Q502="","",COUNTIFS(Başvuru!$C:$C,Q502,Başvuru!$A:$A,"&lt;&gt;"&amp;"",Başvuru!$F:$F,"&lt;&gt;"&amp;""))</f>
        <v/>
      </c>
      <c r="S502" s="171" t="str">
        <f>IF(R502="","",RANK(R502,$R$6:$R$505,0)+COUNTIF($R$6:R502,R502)-1)</f>
        <v/>
      </c>
    </row>
    <row r="503" spans="2:19" ht="23.25" customHeight="1" x14ac:dyDescent="0.25">
      <c r="B503" s="159">
        <v>498</v>
      </c>
      <c r="C503" s="160" t="str">
        <f>IFERROR(INDEX($Q$6:$Q$505,MATCH(498,$S$6:$S$505,0)),"")</f>
        <v/>
      </c>
      <c r="D503" s="161" t="str">
        <f>IF(C503="","",COUNTIFS(Başvuru!$C:$C,C503,Başvuru!$A:$A,"&lt;&gt;"&amp;"",Başvuru!$F:$F,"&lt;&gt;"&amp;""))</f>
        <v/>
      </c>
      <c r="E503" s="159" t="str">
        <f>IF(C503="","-",IF(D503&gt;0,TEXT(D503/(COUNTIFS(Başvuru!$A:$A,"&lt;&gt;",Başvuru!$F:$F,"&lt;&gt;")-1)*100,"0.0")&amp;"%","-"))</f>
        <v>-</v>
      </c>
      <c r="F503" s="162" t="str">
        <f>IF(C503="","",COUNTIFS(Başvuru!$C:$C,C503,Başvuru!$G:$G,"Bireysel Araştırma",Başvuru!$A:$A,"&lt;&gt;"&amp;"",Başvuru!$F:$F,"&lt;&gt;"&amp;""))</f>
        <v/>
      </c>
      <c r="G503" s="162" t="str">
        <f>IF(C503="","",COUNTIFS(Başvuru!$C:$C,C503,Başvuru!$G:$G,"Uzmanlık Tezi",Başvuru!$A:$A,"&lt;&gt;"&amp;"",Başvuru!$F:$F,"&lt;&gt;"&amp;""))</f>
        <v/>
      </c>
      <c r="H503" s="162" t="str">
        <f>IF(C503="","",COUNTIFS(Başvuru!$C:$C,C503,Başvuru!$G:$G,"Doktora Tezi",Başvuru!$A:$A,"&lt;&gt;"&amp;"",Başvuru!$F:$F,"&lt;&gt;"&amp;""))</f>
        <v/>
      </c>
      <c r="I503" s="162" t="str">
        <f>IF(C503="","",COUNTIFS(Başvuru!$C:$C,C503,Başvuru!$G:$G,"Yüksek Lisans Tezi",Başvuru!$A:$A,"&lt;&gt;"&amp;"",Başvuru!$F:$F,"&lt;&gt;"&amp;""))</f>
        <v/>
      </c>
      <c r="J503" s="163" t="str">
        <f>IF(C503="","",COUNTIFS(Başvuru!$C:$C,C503,Başvuru!$L:$L,"ONAY",Başvuru!$A:$A,"&lt;&gt;"&amp;"",Başvuru!$F:$F,"&lt;&gt;"&amp;""))</f>
        <v/>
      </c>
      <c r="K503" s="164" t="str">
        <f>IF(C503="","",COUNTIFS(Başvuru!$C:$C,C503,Başvuru!$L:$L,"DÜZELTME",Başvuru!$A:$A,"&lt;&gt;"&amp;"",Başvuru!$F:$F,"&lt;&gt;"&amp;""))</f>
        <v/>
      </c>
      <c r="L503" s="165" t="str">
        <f>IF(C503="","",COUNTIFS(Başvuru!$C:$C,C503,Başvuru!$L:$L,"KAEK",Başvuru!$A:$A,"&lt;&gt;"&amp;"",Başvuru!$F:$F,"&lt;&gt;"&amp;""))</f>
        <v/>
      </c>
      <c r="M503" s="166" t="str">
        <f>IF(C503="","",COUNTIFS(Başvuru!$C:$C,C503,Başvuru!$L:$L,"GÖRÜŞ",Başvuru!$A:$A,"&lt;&gt;"&amp;"",Başvuru!$F:$F,"&lt;&gt;"&amp;""))</f>
        <v/>
      </c>
      <c r="N503" s="167" t="str">
        <f>IF(C503="","",COUNTIFS(Başvuru!$C:$C,C503,Başvuru!$L:$L,"RET",Başvuru!$A:$A,"&lt;&gt;"&amp;"",Başvuru!$F:$F,"&lt;&gt;"&amp;""))</f>
        <v/>
      </c>
      <c r="O503" s="168" t="str">
        <f>IF(C503="","",COUNTIFS(Başvuru!$C:$C,C503,Başvuru!$L:$L,"KAPSAM DIŞI",Başvuru!$A:$A,"&lt;&gt;"&amp;"",Başvuru!$F:$F,"&lt;&gt;"&amp;""))</f>
        <v/>
      </c>
      <c r="P503" s="169" t="str">
        <f>IF(C503="","",COUNTIFS(Başvuru!$C:$C,C503,Başvuru!$L:$L,"GERİ ÇEKİLDİ",Başvuru!$A:$A,"&lt;&gt;"&amp;"",Başvuru!$F:$F,"&lt;&gt;"&amp;""))</f>
        <v/>
      </c>
      <c r="Q503" s="170" t="str">
        <f t="array" ref="Q503">IFERROR(INDEX(Başvuru!$C$2:$C$3000, MATCH(0, COUNTIF($Q$5:Q502, Başvuru!$C$2:$C$3000) + IF(Başvuru!$C$2:$C$3000="",1,0), 0)), "")</f>
        <v/>
      </c>
      <c r="R503" s="171" t="str">
        <f>IF(Q503="","",COUNTIFS(Başvuru!$C:$C,Q503,Başvuru!$A:$A,"&lt;&gt;"&amp;"",Başvuru!$F:$F,"&lt;&gt;"&amp;""))</f>
        <v/>
      </c>
      <c r="S503" s="171" t="str">
        <f>IF(R503="","",RANK(R503,$R$6:$R$505,0)+COUNTIF($R$6:R503,R503)-1)</f>
        <v/>
      </c>
    </row>
    <row r="504" spans="2:19" ht="23.25" customHeight="1" x14ac:dyDescent="0.25">
      <c r="B504" s="159">
        <v>499</v>
      </c>
      <c r="C504" s="160" t="str">
        <f>IFERROR(INDEX($Q$6:$Q$505,MATCH(499,$S$6:$S$505,0)),"")</f>
        <v/>
      </c>
      <c r="D504" s="161" t="str">
        <f>IF(C504="","",COUNTIFS(Başvuru!$C:$C,C504,Başvuru!$A:$A,"&lt;&gt;"&amp;"",Başvuru!$F:$F,"&lt;&gt;"&amp;""))</f>
        <v/>
      </c>
      <c r="E504" s="159" t="str">
        <f>IF(C504="","-",IF(D504&gt;0,TEXT(D504/(COUNTIFS(Başvuru!$A:$A,"&lt;&gt;",Başvuru!$F:$F,"&lt;&gt;")-1)*100,"0.0")&amp;"%","-"))</f>
        <v>-</v>
      </c>
      <c r="F504" s="162" t="str">
        <f>IF(C504="","",COUNTIFS(Başvuru!$C:$C,C504,Başvuru!$G:$G,"Bireysel Araştırma",Başvuru!$A:$A,"&lt;&gt;"&amp;"",Başvuru!$F:$F,"&lt;&gt;"&amp;""))</f>
        <v/>
      </c>
      <c r="G504" s="162" t="str">
        <f>IF(C504="","",COUNTIFS(Başvuru!$C:$C,C504,Başvuru!$G:$G,"Uzmanlık Tezi",Başvuru!$A:$A,"&lt;&gt;"&amp;"",Başvuru!$F:$F,"&lt;&gt;"&amp;""))</f>
        <v/>
      </c>
      <c r="H504" s="162" t="str">
        <f>IF(C504="","",COUNTIFS(Başvuru!$C:$C,C504,Başvuru!$G:$G,"Doktora Tezi",Başvuru!$A:$A,"&lt;&gt;"&amp;"",Başvuru!$F:$F,"&lt;&gt;"&amp;""))</f>
        <v/>
      </c>
      <c r="I504" s="162" t="str">
        <f>IF(C504="","",COUNTIFS(Başvuru!$C:$C,C504,Başvuru!$G:$G,"Yüksek Lisans Tezi",Başvuru!$A:$A,"&lt;&gt;"&amp;"",Başvuru!$F:$F,"&lt;&gt;"&amp;""))</f>
        <v/>
      </c>
      <c r="J504" s="163" t="str">
        <f>IF(C504="","",COUNTIFS(Başvuru!$C:$C,C504,Başvuru!$L:$L,"ONAY",Başvuru!$A:$A,"&lt;&gt;"&amp;"",Başvuru!$F:$F,"&lt;&gt;"&amp;""))</f>
        <v/>
      </c>
      <c r="K504" s="164" t="str">
        <f>IF(C504="","",COUNTIFS(Başvuru!$C:$C,C504,Başvuru!$L:$L,"DÜZELTME",Başvuru!$A:$A,"&lt;&gt;"&amp;"",Başvuru!$F:$F,"&lt;&gt;"&amp;""))</f>
        <v/>
      </c>
      <c r="L504" s="165" t="str">
        <f>IF(C504="","",COUNTIFS(Başvuru!$C:$C,C504,Başvuru!$L:$L,"KAEK",Başvuru!$A:$A,"&lt;&gt;"&amp;"",Başvuru!$F:$F,"&lt;&gt;"&amp;""))</f>
        <v/>
      </c>
      <c r="M504" s="166" t="str">
        <f>IF(C504="","",COUNTIFS(Başvuru!$C:$C,C504,Başvuru!$L:$L,"GÖRÜŞ",Başvuru!$A:$A,"&lt;&gt;"&amp;"",Başvuru!$F:$F,"&lt;&gt;"&amp;""))</f>
        <v/>
      </c>
      <c r="N504" s="167" t="str">
        <f>IF(C504="","",COUNTIFS(Başvuru!$C:$C,C504,Başvuru!$L:$L,"RET",Başvuru!$A:$A,"&lt;&gt;"&amp;"",Başvuru!$F:$F,"&lt;&gt;"&amp;""))</f>
        <v/>
      </c>
      <c r="O504" s="168" t="str">
        <f>IF(C504="","",COUNTIFS(Başvuru!$C:$C,C504,Başvuru!$L:$L,"KAPSAM DIŞI",Başvuru!$A:$A,"&lt;&gt;"&amp;"",Başvuru!$F:$F,"&lt;&gt;"&amp;""))</f>
        <v/>
      </c>
      <c r="P504" s="169" t="str">
        <f>IF(C504="","",COUNTIFS(Başvuru!$C:$C,C504,Başvuru!$L:$L,"GERİ ÇEKİLDİ",Başvuru!$A:$A,"&lt;&gt;"&amp;"",Başvuru!$F:$F,"&lt;&gt;"&amp;""))</f>
        <v/>
      </c>
      <c r="Q504" s="170" t="str">
        <f t="array" ref="Q504">IFERROR(INDEX(Başvuru!$C$2:$C$3000, MATCH(0, COUNTIF($Q$5:Q503, Başvuru!$C$2:$C$3000) + IF(Başvuru!$C$2:$C$3000="",1,0), 0)), "")</f>
        <v/>
      </c>
      <c r="R504" s="171" t="str">
        <f>IF(Q504="","",COUNTIFS(Başvuru!$C:$C,Q504,Başvuru!$A:$A,"&lt;&gt;"&amp;"",Başvuru!$F:$F,"&lt;&gt;"&amp;""))</f>
        <v/>
      </c>
      <c r="S504" s="171" t="str">
        <f>IF(R504="","",RANK(R504,$R$6:$R$505,0)+COUNTIF($R$6:R504,R504)-1)</f>
        <v/>
      </c>
    </row>
    <row r="505" spans="2:19" ht="23.25" customHeight="1" x14ac:dyDescent="0.25">
      <c r="B505" s="159">
        <v>500</v>
      </c>
      <c r="C505" s="160" t="str">
        <f>IFERROR(INDEX($Q$6:$Q$505,MATCH(500,$S$6:$S$505,0)),"")</f>
        <v/>
      </c>
      <c r="D505" s="161" t="str">
        <f>IF(C505="","",COUNTIFS(Başvuru!$C:$C,C505,Başvuru!$A:$A,"&lt;&gt;"&amp;"",Başvuru!$F:$F,"&lt;&gt;"&amp;""))</f>
        <v/>
      </c>
      <c r="E505" s="159" t="str">
        <f>IF(C505="","-",IF(D505&gt;0,TEXT(D505/(COUNTIFS(Başvuru!$A:$A,"&lt;&gt;",Başvuru!$F:$F,"&lt;&gt;")-1)*100,"0.0")&amp;"%","-"))</f>
        <v>-</v>
      </c>
      <c r="F505" s="162" t="str">
        <f>IF(C505="","",COUNTIFS(Başvuru!$C:$C,C505,Başvuru!$G:$G,"Bireysel Araştırma",Başvuru!$A:$A,"&lt;&gt;"&amp;"",Başvuru!$F:$F,"&lt;&gt;"&amp;""))</f>
        <v/>
      </c>
      <c r="G505" s="162" t="str">
        <f>IF(C505="","",COUNTIFS(Başvuru!$C:$C,C505,Başvuru!$G:$G,"Uzmanlık Tezi",Başvuru!$A:$A,"&lt;&gt;"&amp;"",Başvuru!$F:$F,"&lt;&gt;"&amp;""))</f>
        <v/>
      </c>
      <c r="H505" s="162" t="str">
        <f>IF(C505="","",COUNTIFS(Başvuru!$C:$C,C505,Başvuru!$G:$G,"Doktora Tezi",Başvuru!$A:$A,"&lt;&gt;"&amp;"",Başvuru!$F:$F,"&lt;&gt;"&amp;""))</f>
        <v/>
      </c>
      <c r="I505" s="162" t="str">
        <f>IF(C505="","",COUNTIFS(Başvuru!$C:$C,C505,Başvuru!$G:$G,"Yüksek Lisans Tezi",Başvuru!$A:$A,"&lt;&gt;"&amp;"",Başvuru!$F:$F,"&lt;&gt;"&amp;""))</f>
        <v/>
      </c>
      <c r="J505" s="163" t="str">
        <f>IF(C505="","",COUNTIFS(Başvuru!$C:$C,C505,Başvuru!$L:$L,"ONAY",Başvuru!$A:$A,"&lt;&gt;"&amp;"",Başvuru!$F:$F,"&lt;&gt;"&amp;""))</f>
        <v/>
      </c>
      <c r="K505" s="164" t="str">
        <f>IF(C505="","",COUNTIFS(Başvuru!$C:$C,C505,Başvuru!$L:$L,"DÜZELTME",Başvuru!$A:$A,"&lt;&gt;"&amp;"",Başvuru!$F:$F,"&lt;&gt;"&amp;""))</f>
        <v/>
      </c>
      <c r="L505" s="165" t="str">
        <f>IF(C505="","",COUNTIFS(Başvuru!$C:$C,C505,Başvuru!$L:$L,"KAEK",Başvuru!$A:$A,"&lt;&gt;"&amp;"",Başvuru!$F:$F,"&lt;&gt;"&amp;""))</f>
        <v/>
      </c>
      <c r="M505" s="166" t="str">
        <f>IF(C505="","",COUNTIFS(Başvuru!$C:$C,C505,Başvuru!$L:$L,"GÖRÜŞ",Başvuru!$A:$A,"&lt;&gt;"&amp;"",Başvuru!$F:$F,"&lt;&gt;"&amp;""))</f>
        <v/>
      </c>
      <c r="N505" s="167" t="str">
        <f>IF(C505="","",COUNTIFS(Başvuru!$C:$C,C505,Başvuru!$L:$L,"RET",Başvuru!$A:$A,"&lt;&gt;"&amp;"",Başvuru!$F:$F,"&lt;&gt;"&amp;""))</f>
        <v/>
      </c>
      <c r="O505" s="168" t="str">
        <f>IF(C505="","",COUNTIFS(Başvuru!$C:$C,C505,Başvuru!$L:$L,"KAPSAM DIŞI",Başvuru!$A:$A,"&lt;&gt;"&amp;"",Başvuru!$F:$F,"&lt;&gt;"&amp;""))</f>
        <v/>
      </c>
      <c r="P505" s="169" t="str">
        <f>IF(C505="","",COUNTIFS(Başvuru!$C:$C,C505,Başvuru!$L:$L,"GERİ ÇEKİLDİ",Başvuru!$A:$A,"&lt;&gt;"&amp;"",Başvuru!$F:$F,"&lt;&gt;"&amp;""))</f>
        <v/>
      </c>
      <c r="Q505" s="170" t="str">
        <f t="array" ref="Q505">IFERROR(INDEX(Başvuru!$C$2:$C$3000, MATCH(0, COUNTIF($Q$5:Q504, Başvuru!$C$2:$C$3000) + IF(Başvuru!$C$2:$C$3000="",1,0), 0)), "")</f>
        <v/>
      </c>
      <c r="R505" s="171" t="str">
        <f>IF(Q505="","",COUNTIFS(Başvuru!$C:$C,Q505,Başvuru!$A:$A,"&lt;&gt;"&amp;"",Başvuru!$F:$F,"&lt;&gt;"&amp;""))</f>
        <v/>
      </c>
      <c r="S505" s="171" t="str">
        <f>IF(R505="","",RANK(R505,$R$6:$R$505,0)+COUNTIF($R$6:R505,R505)-1)</f>
        <v/>
      </c>
    </row>
    <row r="506" spans="2:19" ht="23.25" customHeight="1" x14ac:dyDescent="0.25">
      <c r="B506" s="159"/>
      <c r="C506" s="160" t="s">
        <v>4</v>
      </c>
      <c r="D506" s="161">
        <f>COUNTIFS(Başvuru!$A:$A,"&lt;&gt;"&amp;"",Başvuru!$F:$F,"&lt;&gt;"&amp;"")-1</f>
        <v>700</v>
      </c>
      <c r="E506" s="159" t="s">
        <v>4404</v>
      </c>
      <c r="F506" s="162">
        <f>COUNTIFS(Başvuru!$G:$G,"Bireysel Araştırma",Başvuru!$A:$A,"&lt;&gt;"&amp;"",Başvuru!$F:$F,"&lt;&gt;"&amp;"")</f>
        <v>526</v>
      </c>
      <c r="G506" s="162">
        <f>COUNTIFS(Başvuru!$G:$G,"Uzmanlık Tezi",Başvuru!$A:$A,"&lt;&gt;"&amp;"",Başvuru!$F:$F,"&lt;&gt;"&amp;"")</f>
        <v>120</v>
      </c>
      <c r="H506" s="162">
        <f>COUNTIFS(Başvuru!$G:$G,"Doktora Tezi",Başvuru!$A:$A,"&lt;&gt;"&amp;"",Başvuru!$F:$F,"&lt;&gt;"&amp;"")</f>
        <v>33</v>
      </c>
      <c r="I506" s="162">
        <f>COUNTIFS(Başvuru!$G:$G,"Yüksek Lisans Tezi",Başvuru!$A:$A,"&lt;&gt;"&amp;"",Başvuru!$F:$F,"&lt;&gt;"&amp;"")</f>
        <v>21</v>
      </c>
      <c r="J506" s="163">
        <f>COUNTIFS(Başvuru!$L:$L,"ONAY",Başvuru!$A:$A,"&lt;&gt;"&amp;"",Başvuru!$F:$F,"&lt;&gt;"&amp;"")</f>
        <v>371</v>
      </c>
      <c r="K506" s="164">
        <f>COUNTIFS(Başvuru!$L:$L,"DÜZELTME",Başvuru!$A:$A,"&lt;&gt;"&amp;"",Başvuru!$F:$F,"&lt;&gt;"&amp;"")</f>
        <v>208</v>
      </c>
      <c r="L506" s="165">
        <f>COUNTIFS(Başvuru!$L:$L,"KAEK",Başvuru!$A:$A,"&lt;&gt;"&amp;"",Başvuru!$F:$F,"&lt;&gt;"&amp;"")</f>
        <v>17</v>
      </c>
      <c r="M506" s="166">
        <f>COUNTIFS(Başvuru!$L:$L,"GÖRÜŞ",Başvuru!$A:$A,"&lt;&gt;"&amp;"",Başvuru!$F:$F,"&lt;&gt;"&amp;"")</f>
        <v>25</v>
      </c>
      <c r="N506" s="167">
        <f>COUNTIFS(Başvuru!$L:$L,"RET",Başvuru!$A:$A,"&lt;&gt;"&amp;"",Başvuru!$F:$F,"&lt;&gt;"&amp;"")</f>
        <v>23</v>
      </c>
      <c r="O506" s="168">
        <f>COUNTIFS(Başvuru!$L:$L,"KAPSAM DIŞI",Başvuru!$A:$A,"&lt;&gt;"&amp;"",Başvuru!$F:$F,"&lt;&gt;"&amp;"")</f>
        <v>14</v>
      </c>
      <c r="P506" s="169">
        <f>COUNTIFS(Başvuru!$L:$L,"GERİ ÇEKİLDİ",Başvuru!$A:$A,"&lt;&gt;"&amp;"",Başvuru!$F:$F,"&lt;&gt;"&amp;"")</f>
        <v>0</v>
      </c>
      <c r="Q506" s="170"/>
      <c r="R506" s="171"/>
      <c r="S506" s="171"/>
    </row>
  </sheetData>
  <autoFilter ref="B5:P334"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zoomScaleNormal="100" workbookViewId="0">
      <pane xSplit="1" ySplit="8" topLeftCell="B9" activePane="bottomRight" state="frozen"/>
      <selection pane="topRight" activeCell="B1" sqref="B1"/>
      <selection pane="bottomLeft" activeCell="A9" sqref="A9"/>
      <selection pane="bottomRight" activeCell="E15" sqref="E15"/>
    </sheetView>
  </sheetViews>
  <sheetFormatPr defaultColWidth="8.7109375" defaultRowHeight="15" x14ac:dyDescent="0.25"/>
  <cols>
    <col min="1" max="1" width="3" customWidth="1"/>
    <col min="2" max="2" width="14.7109375" customWidth="1"/>
    <col min="3" max="3" width="13" customWidth="1"/>
    <col min="4" max="4" width="60" bestFit="1"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28" t="s">
        <v>4410</v>
      </c>
      <c r="C2" s="228"/>
      <c r="D2" s="228"/>
      <c r="E2" s="228"/>
      <c r="F2" s="228"/>
      <c r="G2" s="228"/>
      <c r="H2" s="228"/>
      <c r="I2" s="228"/>
      <c r="J2" s="228"/>
    </row>
    <row r="3" spans="2:14" ht="19.5" customHeight="1" x14ac:dyDescent="0.25">
      <c r="B3" s="229" t="s">
        <v>4411</v>
      </c>
      <c r="C3" s="229"/>
      <c r="D3" s="229"/>
      <c r="E3" s="229"/>
      <c r="F3" s="229"/>
      <c r="G3" s="229"/>
      <c r="H3" s="229"/>
      <c r="I3" s="229"/>
      <c r="J3" s="229"/>
    </row>
    <row r="5" spans="2:14" ht="30" customHeight="1" x14ac:dyDescent="0.25">
      <c r="B5" s="178" t="s">
        <v>4412</v>
      </c>
      <c r="C5" s="230" t="s">
        <v>6062</v>
      </c>
      <c r="D5" s="230"/>
      <c r="E5" s="230"/>
      <c r="F5" s="230"/>
      <c r="G5" s="178" t="s">
        <v>4</v>
      </c>
      <c r="H5" s="179">
        <f>IF($C$5="","-",COUNTIF(Başvuru!$C:$C,$C$5))</f>
        <v>1</v>
      </c>
      <c r="I5" s="178" t="s">
        <v>77</v>
      </c>
      <c r="J5" s="179">
        <f>IF($C$5="","-",COUNTIFS(Başvuru!$C:$C,$C$5,Başvuru!$P:$P,"ONAY"))</f>
        <v>0</v>
      </c>
    </row>
    <row r="8" spans="2:14" ht="19.5" customHeight="1" x14ac:dyDescent="0.25">
      <c r="B8" s="180" t="s">
        <v>4391</v>
      </c>
      <c r="C8" s="180" t="s">
        <v>44</v>
      </c>
      <c r="D8" s="180" t="s">
        <v>46</v>
      </c>
      <c r="E8" s="180" t="s">
        <v>4413</v>
      </c>
      <c r="F8" s="180" t="s">
        <v>49</v>
      </c>
      <c r="G8" s="180" t="s">
        <v>51</v>
      </c>
      <c r="H8" s="180" t="s">
        <v>52</v>
      </c>
      <c r="I8" s="180" t="s">
        <v>53</v>
      </c>
      <c r="J8" s="180" t="s">
        <v>58</v>
      </c>
      <c r="L8" s="181" t="s">
        <v>4414</v>
      </c>
      <c r="N8" s="181" t="s">
        <v>4415</v>
      </c>
    </row>
    <row r="9" spans="2:14" ht="24" x14ac:dyDescent="0.25">
      <c r="B9" s="182">
        <f t="shared" ref="B9:B38" si="0">IF($L9="","",ROW()-ROW($B$8))</f>
        <v>1</v>
      </c>
      <c r="C9" s="183" t="str">
        <f>IF($L9="","",INDEX(Başvuru!$B:$B,$L9))</f>
        <v>SBA 26/699</v>
      </c>
      <c r="D9" s="183" t="str">
        <f>IF($L9="","",INDEX(Başvuru!$D:$D,$L9))</f>
        <v>Göz Hastalıkları Anabilim Dalı</v>
      </c>
      <c r="E9" s="184" t="str">
        <f>IF($L9="","",INDEX(Başvuru!$F:$F,$L9))</f>
        <v>“Psödotümör Serebri Hastalarında Yapısal, Vasküler ve Fonksiyonel Değişikliklerin Değerlendirilmesi”</v>
      </c>
      <c r="F9" s="183" t="str">
        <f>IF($L9="","",INDEX(Başvuru!$G:$G,$L9))</f>
        <v>Uzmanlık Tezi</v>
      </c>
      <c r="G9" s="185">
        <f>IF($L9="","",INDEX(Başvuru!$I:$I,$L9))</f>
        <v>46259</v>
      </c>
      <c r="H9" s="183">
        <f>IF($L9="","",INDEX(Başvuru!$J:$J,$L9))</f>
        <v>0</v>
      </c>
      <c r="I9" s="183">
        <f>IF($L9="","",INDEX(Başvuru!$K:$K,$L9))</f>
        <v>0</v>
      </c>
      <c r="J9" s="183" t="str">
        <f>IF($L9="","",IF(INDEX(Başvuru!$P:$P,$L9)=0,"BEKLİYOR",INDEX(Başvuru!$P:$P,$L9)))</f>
        <v>BEKLİYOR</v>
      </c>
      <c r="L9">
        <f>IFERROR(MATCH($C$5&amp;"§"&amp;(ROW()-ROW($B$8)),Başvuru!$V:$V,0),"")</f>
        <v>700</v>
      </c>
      <c r="N9" t="str">
        <f>IFERROR(INDEX(Başvuru!$C:$C,MATCH(1,Başvuru!$X:$X,0)),"")</f>
        <v>Arş. Gör. Dr. Aycan UYSAL</v>
      </c>
    </row>
    <row r="10" spans="2:14" ht="36" customHeight="1" x14ac:dyDescent="0.25">
      <c r="B10" s="186" t="str">
        <f t="shared" si="0"/>
        <v/>
      </c>
      <c r="C10" s="187" t="str">
        <f>IF($L10="","",INDEX(Başvuru!$B:$B,$L10))</f>
        <v/>
      </c>
      <c r="D10" s="187" t="str">
        <f>IF($L10="","",INDEX(Başvuru!$D:$D,$L10))</f>
        <v/>
      </c>
      <c r="E10" s="188" t="str">
        <f>IF($L10="","",INDEX(Başvuru!$F:$F,$L10))</f>
        <v/>
      </c>
      <c r="F10" s="187" t="str">
        <f>IF($L10="","",INDEX(Başvuru!$G:$G,$L10))</f>
        <v/>
      </c>
      <c r="G10" s="189" t="str">
        <f>IF($L10="","",INDEX(Başvuru!$I:$I,$L10))</f>
        <v/>
      </c>
      <c r="H10" s="187" t="str">
        <f>IF($L10="","",INDEX(Başvuru!$J:$J,$L10))</f>
        <v/>
      </c>
      <c r="I10" s="187" t="str">
        <f>IF($L10="","",INDEX(Başvuru!$K:$K,$L10))</f>
        <v/>
      </c>
      <c r="J10" s="187" t="str">
        <f>IF($L10="","",IF(INDEX(Başvuru!$P:$P,$L10)=0,"BEKLİYOR",INDEX(Başvuru!$P:$P,$L10)))</f>
        <v/>
      </c>
      <c r="L10" t="str">
        <f>IFERROR(MATCH($C$5&amp;"§"&amp;(ROW()-ROW($B$8)),Başvuru!$V:$V,0),"")</f>
        <v/>
      </c>
      <c r="N10" t="str">
        <f>IFERROR(INDEX(Başvuru!$C:$C,MATCH(2,Başvuru!$X:$X,0)),"")</f>
        <v>Arş. Gör. Dr. Eymen YILMAZ</v>
      </c>
    </row>
    <row r="11" spans="2:14" ht="48" customHeight="1" x14ac:dyDescent="0.25">
      <c r="B11" s="182" t="str">
        <f t="shared" si="0"/>
        <v/>
      </c>
      <c r="C11" s="183" t="str">
        <f>IF($L11="","",INDEX(Başvuru!$B:$B,$L11))</f>
        <v/>
      </c>
      <c r="D11" s="183" t="str">
        <f>IF($L11="","",INDEX(Başvuru!$D:$D,$L11))</f>
        <v/>
      </c>
      <c r="E11" s="184" t="str">
        <f>IF($L11="","",INDEX(Başvuru!$F:$F,$L11))</f>
        <v/>
      </c>
      <c r="F11" s="183" t="str">
        <f>IF($L11="","",INDEX(Başvuru!$G:$G,$L11))</f>
        <v/>
      </c>
      <c r="G11" s="185" t="str">
        <f>IF($L11="","",INDEX(Başvuru!$I:$I,$L11))</f>
        <v/>
      </c>
      <c r="H11" s="183" t="str">
        <f>IF($L11="","",INDEX(Başvuru!$J:$J,$L11))</f>
        <v/>
      </c>
      <c r="I11" s="183" t="str">
        <f>IF($L11="","",INDEX(Başvuru!$K:$K,$L11))</f>
        <v/>
      </c>
      <c r="J11" s="183" t="str">
        <f>IF($L11="","",IF(INDEX(Başvuru!$P:$P,$L11)=0,"BEKLİYOR",INDEX(Başvuru!$P:$P,$L11)))</f>
        <v/>
      </c>
      <c r="L11" t="str">
        <f>IFERROR(MATCH($C$5&amp;"§"&amp;(ROW()-ROW($B$8)),Başvuru!$V:$V,0),"")</f>
        <v/>
      </c>
      <c r="N11" t="str">
        <f>IFERROR(INDEX(Başvuru!$C:$C,MATCH(3,Başvuru!$X:$X,0)),"")</f>
        <v>Arş. Gör. Dr. İsmail Çağrı ÖZÜTOK</v>
      </c>
    </row>
    <row r="12" spans="2:14" ht="24" customHeight="1" x14ac:dyDescent="0.25">
      <c r="B12" s="186" t="str">
        <f t="shared" si="0"/>
        <v/>
      </c>
      <c r="C12" s="187" t="str">
        <f>IF($L12="","",INDEX(Başvuru!$B:$B,$L12))</f>
        <v/>
      </c>
      <c r="D12" s="187" t="str">
        <f>IF($L12="","",INDEX(Başvuru!$D:$D,$L12))</f>
        <v/>
      </c>
      <c r="E12" s="188" t="str">
        <f>IF($L12="","",INDEX(Başvuru!$F:$F,$L12))</f>
        <v/>
      </c>
      <c r="F12" s="187" t="str">
        <f>IF($L12="","",INDEX(Başvuru!$G:$G,$L12))</f>
        <v/>
      </c>
      <c r="G12" s="189" t="str">
        <f>IF($L12="","",INDEX(Başvuru!$I:$I,$L12))</f>
        <v/>
      </c>
      <c r="H12" s="187" t="str">
        <f>IF($L12="","",INDEX(Başvuru!$J:$J,$L12))</f>
        <v/>
      </c>
      <c r="I12" s="187" t="str">
        <f>IF($L12="","",INDEX(Başvuru!$K:$K,$L12))</f>
        <v/>
      </c>
      <c r="J12" s="187" t="str">
        <f>IF($L12="","",IF(INDEX(Başvuru!$P:$P,$L12)=0,"BEKLİYOR",INDEX(Başvuru!$P:$P,$L12)))</f>
        <v/>
      </c>
      <c r="L12" t="str">
        <f>IFERROR(MATCH($C$5&amp;"§"&amp;(ROW()-ROW($B$8)),Başvuru!$V:$V,0),"")</f>
        <v/>
      </c>
      <c r="N12" t="str">
        <f>IFERROR(INDEX(Başvuru!$C:$C,MATCH(4,Başvuru!$X:$X,0)),"")</f>
        <v>Arş. Gör. Dr. İzzet Türkalp AKBAŞLI</v>
      </c>
    </row>
    <row r="13" spans="2:14" ht="24" customHeight="1" x14ac:dyDescent="0.25">
      <c r="B13" s="182" t="str">
        <f t="shared" si="0"/>
        <v/>
      </c>
      <c r="C13" s="183" t="str">
        <f>IF($L13="","",INDEX(Başvuru!$B:$B,$L13))</f>
        <v/>
      </c>
      <c r="D13" s="183" t="str">
        <f>IF($L13="","",INDEX(Başvuru!$D:$D,$L13))</f>
        <v/>
      </c>
      <c r="E13" s="184" t="str">
        <f>IF($L13="","",INDEX(Başvuru!$F:$F,$L13))</f>
        <v/>
      </c>
      <c r="F13" s="183" t="str">
        <f>IF($L13="","",INDEX(Başvuru!$G:$G,$L13))</f>
        <v/>
      </c>
      <c r="G13" s="185" t="str">
        <f>IF($L13="","",INDEX(Başvuru!$I:$I,$L13))</f>
        <v/>
      </c>
      <c r="H13" s="183" t="str">
        <f>IF($L13="","",INDEX(Başvuru!$J:$J,$L13))</f>
        <v/>
      </c>
      <c r="I13" s="183" t="str">
        <f>IF($L13="","",INDEX(Başvuru!$K:$K,$L13))</f>
        <v/>
      </c>
      <c r="J13" s="183" t="str">
        <f>IF($L13="","",IF(INDEX(Başvuru!$P:$P,$L13)=0,"BEKLİYOR",INDEX(Başvuru!$P:$P,$L13)))</f>
        <v/>
      </c>
      <c r="L13" t="str">
        <f>IFERROR(MATCH($C$5&amp;"§"&amp;(ROW()-ROW($B$8)),Başvuru!$V:$V,0),"")</f>
        <v/>
      </c>
      <c r="N13" t="str">
        <f>IFERROR(INDEX(Başvuru!$C:$C,MATCH(5,Başvuru!$X:$X,0)),"")</f>
        <v>Arş. Gör. Dr. Kadir İNTAŞ</v>
      </c>
    </row>
    <row r="14" spans="2:14" ht="24" customHeight="1" x14ac:dyDescent="0.25">
      <c r="B14" s="186" t="str">
        <f t="shared" si="0"/>
        <v/>
      </c>
      <c r="C14" s="187" t="str">
        <f>IF($L14="","",INDEX(Başvuru!$B:$B,$L14))</f>
        <v/>
      </c>
      <c r="D14" s="187" t="str">
        <f>IF($L14="","",INDEX(Başvuru!$D:$D,$L14))</f>
        <v/>
      </c>
      <c r="E14" s="188" t="str">
        <f>IF($L14="","",INDEX(Başvuru!$F:$F,$L14))</f>
        <v/>
      </c>
      <c r="F14" s="187" t="str">
        <f>IF($L14="","",INDEX(Başvuru!$G:$G,$L14))</f>
        <v/>
      </c>
      <c r="G14" s="189" t="str">
        <f>IF($L14="","",INDEX(Başvuru!$I:$I,$L14))</f>
        <v/>
      </c>
      <c r="H14" s="187" t="str">
        <f>IF($L14="","",INDEX(Başvuru!$J:$J,$L14))</f>
        <v/>
      </c>
      <c r="I14" s="187" t="str">
        <f>IF($L14="","",INDEX(Başvuru!$K:$K,$L14))</f>
        <v/>
      </c>
      <c r="J14" s="187" t="str">
        <f>IF($L14="","",IF(INDEX(Başvuru!$P:$P,$L14)=0,"BEKLİYOR",INDEX(Başvuru!$P:$P,$L14)))</f>
        <v/>
      </c>
      <c r="L14" t="str">
        <f>IFERROR(MATCH($C$5&amp;"§"&amp;(ROW()-ROW($B$8)),Başvuru!$V:$V,0),"")</f>
        <v/>
      </c>
      <c r="N14" t="str">
        <f>IFERROR(INDEX(Başvuru!$C:$C,MATCH(6,Başvuru!$X:$X,0)),"")</f>
        <v>Arş. Gör. Dr. Oğuzhan SERİN</v>
      </c>
    </row>
    <row r="15" spans="2:14" ht="24" customHeight="1" x14ac:dyDescent="0.25">
      <c r="B15" s="182" t="str">
        <f t="shared" si="0"/>
        <v/>
      </c>
      <c r="C15" s="183" t="str">
        <f>IF($L15="","",INDEX(Başvuru!$B:$B,$L15))</f>
        <v/>
      </c>
      <c r="D15" s="183" t="str">
        <f>IF($L15="","",INDEX(Başvuru!$D:$D,$L15))</f>
        <v/>
      </c>
      <c r="E15" s="184" t="str">
        <f>IF($L15="","",INDEX(Başvuru!$F:$F,$L15))</f>
        <v/>
      </c>
      <c r="F15" s="183" t="str">
        <f>IF($L15="","",INDEX(Başvuru!$G:$G,$L15))</f>
        <v/>
      </c>
      <c r="G15" s="185" t="str">
        <f>IF($L15="","",INDEX(Başvuru!$I:$I,$L15))</f>
        <v/>
      </c>
      <c r="H15" s="183" t="str">
        <f>IF($L15="","",INDEX(Başvuru!$J:$J,$L15))</f>
        <v/>
      </c>
      <c r="I15" s="183" t="str">
        <f>IF($L15="","",INDEX(Başvuru!$K:$K,$L15))</f>
        <v/>
      </c>
      <c r="J15" s="183" t="str">
        <f>IF($L15="","",IF(INDEX(Başvuru!$P:$P,$L15)=0,"BEKLİYOR",INDEX(Başvuru!$P:$P,$L15)))</f>
        <v/>
      </c>
      <c r="L15" t="str">
        <f>IFERROR(MATCH($C$5&amp;"§"&amp;(ROW()-ROW($B$8)),Başvuru!$V:$V,0),"")</f>
        <v/>
      </c>
      <c r="N15" t="str">
        <f>IFERROR(INDEX(Başvuru!$C:$C,MATCH(7,Başvuru!$X:$X,0)),"")</f>
        <v>Arş. Gör. Dr. Ozan KAPLAN</v>
      </c>
    </row>
    <row r="16" spans="2:14" ht="48" customHeight="1" x14ac:dyDescent="0.25">
      <c r="B16" s="186" t="str">
        <f t="shared" si="0"/>
        <v/>
      </c>
      <c r="C16" s="187" t="str">
        <f>IF($L16="","",INDEX(Başvuru!$B:$B,$L16))</f>
        <v/>
      </c>
      <c r="D16" s="187" t="str">
        <f>IF($L16="","",INDEX(Başvuru!$D:$D,$L16))</f>
        <v/>
      </c>
      <c r="E16" s="188" t="str">
        <f>IF($L16="","",INDEX(Başvuru!$F:$F,$L16))</f>
        <v/>
      </c>
      <c r="F16" s="187" t="str">
        <f>IF($L16="","",INDEX(Başvuru!$G:$G,$L16))</f>
        <v/>
      </c>
      <c r="G16" s="189" t="str">
        <f>IF($L16="","",INDEX(Başvuru!$I:$I,$L16))</f>
        <v/>
      </c>
      <c r="H16" s="187" t="str">
        <f>IF($L16="","",INDEX(Başvuru!$J:$J,$L16))</f>
        <v/>
      </c>
      <c r="I16" s="187" t="str">
        <f>IF($L16="","",INDEX(Başvuru!$K:$K,$L16))</f>
        <v/>
      </c>
      <c r="J16" s="187" t="str">
        <f>IF($L16="","",IF(INDEX(Başvuru!$P:$P,$L16)=0,"BEKLİYOR",INDEX(Başvuru!$P:$P,$L16)))</f>
        <v/>
      </c>
      <c r="L16" t="str">
        <f>IFERROR(MATCH($C$5&amp;"§"&amp;(ROW()-ROW($B$8)),Başvuru!$V:$V,0),"")</f>
        <v/>
      </c>
      <c r="N16" t="str">
        <f>IFERROR(INDEX(Başvuru!$C:$C,MATCH(8,Başvuru!$X:$X,0)),"")</f>
        <v>Arş. Gör. Dr. Pınar YAVUZ TAZE</v>
      </c>
    </row>
    <row r="17" spans="2:14" ht="36" customHeight="1" x14ac:dyDescent="0.25">
      <c r="B17" s="182" t="str">
        <f t="shared" si="0"/>
        <v/>
      </c>
      <c r="C17" s="183" t="str">
        <f>IF($L17="","",INDEX(Başvuru!$B:$B,$L17))</f>
        <v/>
      </c>
      <c r="D17" s="183" t="str">
        <f>IF($L17="","",INDEX(Başvuru!$D:$D,$L17))</f>
        <v/>
      </c>
      <c r="E17" s="184" t="str">
        <f>IF($L17="","",INDEX(Başvuru!$F:$F,$L17))</f>
        <v/>
      </c>
      <c r="F17" s="183" t="str">
        <f>IF($L17="","",INDEX(Başvuru!$G:$G,$L17))</f>
        <v/>
      </c>
      <c r="G17" s="185" t="str">
        <f>IF($L17="","",INDEX(Başvuru!$I:$I,$L17))</f>
        <v/>
      </c>
      <c r="H17" s="183" t="str">
        <f>IF($L17="","",INDEX(Başvuru!$J:$J,$L17))</f>
        <v/>
      </c>
      <c r="I17" s="183" t="str">
        <f>IF($L17="","",INDEX(Başvuru!$K:$K,$L17))</f>
        <v/>
      </c>
      <c r="J17" s="183" t="str">
        <f>IF($L17="","",IF(INDEX(Başvuru!$P:$P,$L17)=0,"BEKLİYOR",INDEX(Başvuru!$P:$P,$L17)))</f>
        <v/>
      </c>
      <c r="L17" t="str">
        <f>IFERROR(MATCH($C$5&amp;"§"&amp;(ROW()-ROW($B$8)),Başvuru!$V:$V,0),"")</f>
        <v/>
      </c>
      <c r="N17" t="str">
        <f>IFERROR(INDEX(Başvuru!$C:$C,MATCH(9,Başvuru!$X:$X,0)),"")</f>
        <v>Arş. Gör. Dr. Sebiha Şükran GÜNDEŞLİ</v>
      </c>
    </row>
    <row r="18" spans="2:14" ht="48" customHeight="1" x14ac:dyDescent="0.25">
      <c r="B18" s="186" t="str">
        <f t="shared" si="0"/>
        <v/>
      </c>
      <c r="C18" s="187" t="str">
        <f>IF($L18="","",INDEX(Başvuru!$B:$B,$L18))</f>
        <v/>
      </c>
      <c r="D18" s="187" t="str">
        <f>IF($L18="","",INDEX(Başvuru!$D:$D,$L18))</f>
        <v/>
      </c>
      <c r="E18" s="188" t="str">
        <f>IF($L18="","",INDEX(Başvuru!$F:$F,$L18))</f>
        <v/>
      </c>
      <c r="F18" s="187" t="str">
        <f>IF($L18="","",INDEX(Başvuru!$G:$G,$L18))</f>
        <v/>
      </c>
      <c r="G18" s="189" t="str">
        <f>IF($L18="","",INDEX(Başvuru!$I:$I,$L18))</f>
        <v/>
      </c>
      <c r="H18" s="187" t="str">
        <f>IF($L18="","",INDEX(Başvuru!$J:$J,$L18))</f>
        <v/>
      </c>
      <c r="I18" s="187" t="str">
        <f>IF($L18="","",INDEX(Başvuru!$K:$K,$L18))</f>
        <v/>
      </c>
      <c r="J18" s="187" t="str">
        <f>IF($L18="","",IF(INDEX(Başvuru!$P:$P,$L18)=0,"BEKLİYOR",INDEX(Başvuru!$P:$P,$L18)))</f>
        <v/>
      </c>
      <c r="L18" t="str">
        <f>IFERROR(MATCH($C$5&amp;"§"&amp;(ROW()-ROW($B$8)),Başvuru!$V:$V,0),"")</f>
        <v/>
      </c>
      <c r="N18" t="str">
        <f>IFERROR(INDEX(Başvuru!$C:$C,MATCH(10,Başvuru!$X:$X,0)),"")</f>
        <v>Arş. Gör. Dr. Şeyma KAHRAMAN</v>
      </c>
    </row>
    <row r="19" spans="2:14" ht="36" customHeight="1" x14ac:dyDescent="0.25">
      <c r="B19" s="182" t="str">
        <f t="shared" si="0"/>
        <v/>
      </c>
      <c r="C19" s="183" t="str">
        <f>IF($L19="","",INDEX(Başvuru!$B:$B,$L19))</f>
        <v/>
      </c>
      <c r="D19" s="183" t="str">
        <f>IF($L19="","",INDEX(Başvuru!$D:$D,$L19))</f>
        <v/>
      </c>
      <c r="E19" s="184" t="str">
        <f>IF($L19="","",INDEX(Başvuru!$F:$F,$L19))</f>
        <v/>
      </c>
      <c r="F19" s="183" t="str">
        <f>IF($L19="","",INDEX(Başvuru!$G:$G,$L19))</f>
        <v/>
      </c>
      <c r="G19" s="185" t="str">
        <f>IF($L19="","",INDEX(Başvuru!$I:$I,$L19))</f>
        <v/>
      </c>
      <c r="H19" s="183" t="str">
        <f>IF($L19="","",INDEX(Başvuru!$J:$J,$L19))</f>
        <v/>
      </c>
      <c r="I19" s="183" t="str">
        <f>IF($L19="","",INDEX(Başvuru!$K:$K,$L19))</f>
        <v/>
      </c>
      <c r="J19" s="183" t="str">
        <f>IF($L19="","",IF(INDEX(Başvuru!$P:$P,$L19)=0,"BEKLİYOR",INDEX(Başvuru!$P:$P,$L19)))</f>
        <v/>
      </c>
      <c r="L19" t="str">
        <f>IFERROR(MATCH($C$5&amp;"§"&amp;(ROW()-ROW($B$8)),Başvuru!$V:$V,0),"")</f>
        <v/>
      </c>
      <c r="N19" t="str">
        <f>IFERROR(INDEX(Başvuru!$C:$C,MATCH(11,Başvuru!$X:$X,0)),"")</f>
        <v>Arş. Gör. Dr. Şükran BAYRAK</v>
      </c>
    </row>
    <row r="20" spans="2:14" ht="60" customHeight="1" x14ac:dyDescent="0.25">
      <c r="B20" s="186" t="str">
        <f t="shared" si="0"/>
        <v/>
      </c>
      <c r="C20" s="187" t="str">
        <f>IF($L20="","",INDEX(Başvuru!$B:$B,$L20))</f>
        <v/>
      </c>
      <c r="D20" s="187" t="str">
        <f>IF($L20="","",INDEX(Başvuru!$D:$D,$L20))</f>
        <v/>
      </c>
      <c r="E20" s="188" t="str">
        <f>IF($L20="","",INDEX(Başvuru!$F:$F,$L20))</f>
        <v/>
      </c>
      <c r="F20" s="187" t="str">
        <f>IF($L20="","",INDEX(Başvuru!$G:$G,$L20))</f>
        <v/>
      </c>
      <c r="G20" s="189" t="str">
        <f>IF($L20="","",INDEX(Başvuru!$I:$I,$L20))</f>
        <v/>
      </c>
      <c r="H20" s="187" t="str">
        <f>IF($L20="","",INDEX(Başvuru!$J:$J,$L20))</f>
        <v/>
      </c>
      <c r="I20" s="187" t="str">
        <f>IF($L20="","",INDEX(Başvuru!$K:$K,$L20))</f>
        <v/>
      </c>
      <c r="J20" s="187" t="str">
        <f>IF($L20="","",IF(INDEX(Başvuru!$P:$P,$L20)=0,"BEKLİYOR",INDEX(Başvuru!$P:$P,$L20)))</f>
        <v/>
      </c>
      <c r="L20" t="str">
        <f>IFERROR(MATCH($C$5&amp;"§"&amp;(ROW()-ROW($B$8)),Başvuru!$V:$V,0),"")</f>
        <v/>
      </c>
      <c r="N20" t="str">
        <f>IFERROR(INDEX(Başvuru!$C:$C,MATCH(12,Başvuru!$X:$X,0)),"")</f>
        <v>Arş. Gör. Dr. Tuğçe TAŞKINDERE ABBASOĞLU</v>
      </c>
    </row>
    <row r="21" spans="2:14" ht="48" customHeight="1" x14ac:dyDescent="0.25">
      <c r="B21" s="182" t="str">
        <f t="shared" si="0"/>
        <v/>
      </c>
      <c r="C21" s="183" t="str">
        <f>IF($L21="","",INDEX(Başvuru!$B:$B,$L21))</f>
        <v/>
      </c>
      <c r="D21" s="183" t="str">
        <f>IF($L21="","",INDEX(Başvuru!$D:$D,$L21))</f>
        <v/>
      </c>
      <c r="E21" s="184" t="str">
        <f>IF($L21="","",INDEX(Başvuru!$F:$F,$L21))</f>
        <v/>
      </c>
      <c r="F21" s="183" t="str">
        <f>IF($L21="","",INDEX(Başvuru!$G:$G,$L21))</f>
        <v/>
      </c>
      <c r="G21" s="185" t="str">
        <f>IF($L21="","",INDEX(Başvuru!$I:$I,$L21))</f>
        <v/>
      </c>
      <c r="H21" s="183" t="str">
        <f>IF($L21="","",INDEX(Başvuru!$J:$J,$L21))</f>
        <v/>
      </c>
      <c r="I21" s="183" t="str">
        <f>IF($L21="","",INDEX(Başvuru!$K:$K,$L21))</f>
        <v/>
      </c>
      <c r="J21" s="183" t="str">
        <f>IF($L21="","",IF(INDEX(Başvuru!$P:$P,$L21)=0,"BEKLİYOR",INDEX(Başvuru!$P:$P,$L21)))</f>
        <v/>
      </c>
      <c r="L21" t="str">
        <f>IFERROR(MATCH($C$5&amp;"§"&amp;(ROW()-ROW($B$8)),Başvuru!$V:$V,0),"")</f>
        <v/>
      </c>
      <c r="N21" t="str">
        <f>IFERROR(INDEX(Başvuru!$C:$C,MATCH(13,Başvuru!$X:$X,0)),"")</f>
        <v>Arş. Gör. Dt. Dilara KARA</v>
      </c>
    </row>
    <row r="22" spans="2:14" ht="36" customHeight="1" x14ac:dyDescent="0.25">
      <c r="B22" s="186" t="str">
        <f t="shared" si="0"/>
        <v/>
      </c>
      <c r="C22" s="187" t="str">
        <f>IF($L22="","",INDEX(Başvuru!$B:$B,$L22))</f>
        <v/>
      </c>
      <c r="D22" s="187" t="str">
        <f>IF($L22="","",INDEX(Başvuru!$D:$D,$L22))</f>
        <v/>
      </c>
      <c r="E22" s="188" t="str">
        <f>IF($L22="","",INDEX(Başvuru!$F:$F,$L22))</f>
        <v/>
      </c>
      <c r="F22" s="187" t="str">
        <f>IF($L22="","",INDEX(Başvuru!$G:$G,$L22))</f>
        <v/>
      </c>
      <c r="G22" s="189" t="str">
        <f>IF($L22="","",INDEX(Başvuru!$I:$I,$L22))</f>
        <v/>
      </c>
      <c r="H22" s="187" t="str">
        <f>IF($L22="","",INDEX(Başvuru!$J:$J,$L22))</f>
        <v/>
      </c>
      <c r="I22" s="187" t="str">
        <f>IF($L22="","",INDEX(Başvuru!$K:$K,$L22))</f>
        <v/>
      </c>
      <c r="J22" s="187" t="str">
        <f>IF($L22="","",IF(INDEX(Başvuru!$P:$P,$L22)=0,"BEKLİYOR",INDEX(Başvuru!$P:$P,$L22)))</f>
        <v/>
      </c>
      <c r="L22" t="str">
        <f>IFERROR(MATCH($C$5&amp;"§"&amp;(ROW()-ROW($B$8)),Başvuru!$V:$V,0),"")</f>
        <v/>
      </c>
      <c r="N22" t="str">
        <f>IFERROR(INDEX(Başvuru!$C:$C,MATCH(14,Başvuru!$X:$X,0)),"")</f>
        <v>Doç. Dr. Adalet Elçin YILDIZ</v>
      </c>
    </row>
    <row r="23" spans="2:14" ht="48" customHeight="1" x14ac:dyDescent="0.25">
      <c r="B23" s="182" t="str">
        <f t="shared" si="0"/>
        <v/>
      </c>
      <c r="C23" s="183" t="str">
        <f>IF($L23="","",INDEX(Başvuru!$B:$B,$L23))</f>
        <v/>
      </c>
      <c r="D23" s="183" t="str">
        <f>IF($L23="","",INDEX(Başvuru!$D:$D,$L23))</f>
        <v/>
      </c>
      <c r="E23" s="184" t="str">
        <f>IF($L23="","",INDEX(Başvuru!$F:$F,$L23))</f>
        <v/>
      </c>
      <c r="F23" s="183" t="str">
        <f>IF($L23="","",INDEX(Başvuru!$G:$G,$L23))</f>
        <v/>
      </c>
      <c r="G23" s="185" t="str">
        <f>IF($L23="","",INDEX(Başvuru!$I:$I,$L23))</f>
        <v/>
      </c>
      <c r="H23" s="183" t="str">
        <f>IF($L23="","",INDEX(Başvuru!$J:$J,$L23))</f>
        <v/>
      </c>
      <c r="I23" s="183" t="str">
        <f>IF($L23="","",INDEX(Başvuru!$K:$K,$L23))</f>
        <v/>
      </c>
      <c r="J23" s="183" t="str">
        <f>IF($L23="","",IF(INDEX(Başvuru!$P:$P,$L23)=0,"BEKLİYOR",INDEX(Başvuru!$P:$P,$L23)))</f>
        <v/>
      </c>
      <c r="L23" t="str">
        <f>IFERROR(MATCH($C$5&amp;"§"&amp;(ROW()-ROW($B$8)),Başvuru!$V:$V,0),"")</f>
        <v/>
      </c>
      <c r="N23" t="str">
        <f>IFERROR(INDEX(Başvuru!$C:$C,MATCH(15,Başvuru!$X:$X,0)),"")</f>
        <v>Doç. Dr. Ahmet Erim PAMUK</v>
      </c>
    </row>
    <row r="24" spans="2:14" ht="24" customHeight="1" x14ac:dyDescent="0.25">
      <c r="B24" s="186" t="str">
        <f t="shared" si="0"/>
        <v/>
      </c>
      <c r="C24" s="187" t="str">
        <f>IF($L24="","",INDEX(Başvuru!$B:$B,$L24))</f>
        <v/>
      </c>
      <c r="D24" s="187" t="str">
        <f>IF($L24="","",INDEX(Başvuru!$D:$D,$L24))</f>
        <v/>
      </c>
      <c r="E24" s="188" t="str">
        <f>IF($L24="","",INDEX(Başvuru!$F:$F,$L24))</f>
        <v/>
      </c>
      <c r="F24" s="187" t="str">
        <f>IF($L24="","",INDEX(Başvuru!$G:$G,$L24))</f>
        <v/>
      </c>
      <c r="G24" s="189" t="str">
        <f>IF($L24="","",INDEX(Başvuru!$I:$I,$L24))</f>
        <v/>
      </c>
      <c r="H24" s="187" t="str">
        <f>IF($L24="","",INDEX(Başvuru!$J:$J,$L24))</f>
        <v/>
      </c>
      <c r="I24" s="187" t="str">
        <f>IF($L24="","",INDEX(Başvuru!$K:$K,$L24))</f>
        <v/>
      </c>
      <c r="J24" s="187" t="str">
        <f>IF($L24="","",IF(INDEX(Başvuru!$P:$P,$L24)=0,"BEKLİYOR",INDEX(Başvuru!$P:$P,$L24)))</f>
        <v/>
      </c>
      <c r="L24" t="str">
        <f>IFERROR(MATCH($C$5&amp;"§"&amp;(ROW()-ROW($B$8)),Başvuru!$V:$V,0),"")</f>
        <v/>
      </c>
      <c r="N24" t="str">
        <f>IFERROR(INDEX(Başvuru!$C:$C,MATCH(16,Başvuru!$X:$X,0)),"")</f>
        <v>Doç. Dr. Ahmet KIVRAK</v>
      </c>
    </row>
    <row r="25" spans="2:14" ht="36" customHeight="1" x14ac:dyDescent="0.25">
      <c r="B25" s="182" t="str">
        <f t="shared" si="0"/>
        <v/>
      </c>
      <c r="C25" s="183" t="str">
        <f>IF($L25="","",INDEX(Başvuru!$B:$B,$L25))</f>
        <v/>
      </c>
      <c r="D25" s="183" t="str">
        <f>IF($L25="","",INDEX(Başvuru!$D:$D,$L25))</f>
        <v/>
      </c>
      <c r="E25" s="184" t="str">
        <f>IF($L25="","",INDEX(Başvuru!$F:$F,$L25))</f>
        <v/>
      </c>
      <c r="F25" s="183" t="str">
        <f>IF($L25="","",INDEX(Başvuru!$G:$G,$L25))</f>
        <v/>
      </c>
      <c r="G25" s="185" t="str">
        <f>IF($L25="","",INDEX(Başvuru!$I:$I,$L25))</f>
        <v/>
      </c>
      <c r="H25" s="183" t="str">
        <f>IF($L25="","",INDEX(Başvuru!$J:$J,$L25))</f>
        <v/>
      </c>
      <c r="I25" s="183" t="str">
        <f>IF($L25="","",INDEX(Başvuru!$K:$K,$L25))</f>
        <v/>
      </c>
      <c r="J25" s="183" t="str">
        <f>IF($L25="","",IF(INDEX(Başvuru!$P:$P,$L25)=0,"BEKLİYOR",INDEX(Başvuru!$P:$P,$L25)))</f>
        <v/>
      </c>
      <c r="L25" t="str">
        <f>IFERROR(MATCH($C$5&amp;"§"&amp;(ROW()-ROW($B$8)),Başvuru!$V:$V,0),"")</f>
        <v/>
      </c>
      <c r="N25" t="str">
        <f>IFERROR(INDEX(Başvuru!$C:$C,MATCH(17,Başvuru!$X:$X,0)),"")</f>
        <v>Doç. Dr. Almıla Gülsün PAMUK</v>
      </c>
    </row>
    <row r="26" spans="2:14" ht="18" customHeight="1" x14ac:dyDescent="0.25">
      <c r="B26" s="186" t="str">
        <f t="shared" si="0"/>
        <v/>
      </c>
      <c r="C26" s="187" t="str">
        <f>IF($L26="","",INDEX(Başvuru!$B:$B,$L26))</f>
        <v/>
      </c>
      <c r="D26" s="187" t="str">
        <f>IF($L26="","",INDEX(Başvuru!$D:$D,$L26))</f>
        <v/>
      </c>
      <c r="E26" s="187" t="str">
        <f>IF($L26="","",INDEX(Başvuru!$F:$F,$L26))</f>
        <v/>
      </c>
      <c r="F26" s="187" t="str">
        <f>IF($L26="","",INDEX(Başvuru!$G:$G,$L26))</f>
        <v/>
      </c>
      <c r="G26" s="189" t="str">
        <f>IF($L26="","",INDEX(Başvuru!$I:$I,$L26))</f>
        <v/>
      </c>
      <c r="H26" s="187" t="str">
        <f>IF($L26="","",INDEX(Başvuru!$J:$J,$L26))</f>
        <v/>
      </c>
      <c r="I26" s="187" t="str">
        <f>IF($L26="","",INDEX(Başvuru!$K:$K,$L26))</f>
        <v/>
      </c>
      <c r="J26" s="187" t="str">
        <f>IF($L26="","",IF(INDEX(Başvuru!$P:$P,$L26)=0,"BEKLİYOR",INDEX(Başvuru!$P:$P,$L26)))</f>
        <v/>
      </c>
      <c r="L26" t="str">
        <f>IFERROR(MATCH($C$5&amp;"§"&amp;(ROW()-ROW($B$8)),Başvuru!$V:$V,0),"")</f>
        <v/>
      </c>
      <c r="N26" t="str">
        <f>IFERROR(INDEX(Başvuru!$C:$C,MATCH(18,Başvuru!$X:$X,0)),"")</f>
        <v>Doç. Dr. Aslıhan AYKARA</v>
      </c>
    </row>
    <row r="27" spans="2:14" ht="18" customHeight="1" x14ac:dyDescent="0.25">
      <c r="B27" s="182" t="str">
        <f t="shared" si="0"/>
        <v/>
      </c>
      <c r="C27" s="183" t="str">
        <f>IF($L27="","",INDEX(Başvuru!$B:$B,$L27))</f>
        <v/>
      </c>
      <c r="D27" s="183" t="str">
        <f>IF($L27="","",INDEX(Başvuru!$D:$D,$L27))</f>
        <v/>
      </c>
      <c r="E27" s="183" t="str">
        <f>IF($L27="","",INDEX(Başvuru!$F:$F,$L27))</f>
        <v/>
      </c>
      <c r="F27" s="183" t="str">
        <f>IF($L27="","",INDEX(Başvuru!$G:$G,$L27))</f>
        <v/>
      </c>
      <c r="G27" s="185" t="str">
        <f>IF($L27="","",INDEX(Başvuru!$I:$I,$L27))</f>
        <v/>
      </c>
      <c r="H27" s="183" t="str">
        <f>IF($L27="","",INDEX(Başvuru!$J:$J,$L27))</f>
        <v/>
      </c>
      <c r="I27" s="183" t="str">
        <f>IF($L27="","",INDEX(Başvuru!$K:$K,$L27))</f>
        <v/>
      </c>
      <c r="J27" s="183" t="str">
        <f>IF($L27="","",IF(INDEX(Başvuru!$P:$P,$L27)=0,"BEKLİYOR",INDEX(Başvuru!$P:$P,$L27)))</f>
        <v/>
      </c>
      <c r="L27" t="str">
        <f>IFERROR(MATCH($C$5&amp;"§"&amp;(ROW()-ROW($B$8)),Başvuru!$V:$V,0),"")</f>
        <v/>
      </c>
      <c r="N27" t="str">
        <f>IFERROR(INDEX(Başvuru!$C:$C,MATCH(19,Başvuru!$X:$X,0)),"")</f>
        <v>Doç. Dr. Ayhan EYMİRLİ</v>
      </c>
    </row>
    <row r="28" spans="2:14" ht="18" customHeight="1" x14ac:dyDescent="0.25">
      <c r="B28" s="186" t="str">
        <f t="shared" si="0"/>
        <v/>
      </c>
      <c r="C28" s="187" t="str">
        <f>IF($L28="","",INDEX(Başvuru!$B:$B,$L28))</f>
        <v/>
      </c>
      <c r="D28" s="187" t="str">
        <f>IF($L28="","",INDEX(Başvuru!$D:$D,$L28))</f>
        <v/>
      </c>
      <c r="E28" s="187" t="str">
        <f>IF($L28="","",INDEX(Başvuru!$F:$F,$L28))</f>
        <v/>
      </c>
      <c r="F28" s="187" t="str">
        <f>IF($L28="","",INDEX(Başvuru!$G:$G,$L28))</f>
        <v/>
      </c>
      <c r="G28" s="189" t="str">
        <f>IF($L28="","",INDEX(Başvuru!$I:$I,$L28))</f>
        <v/>
      </c>
      <c r="H28" s="187" t="str">
        <f>IF($L28="","",INDEX(Başvuru!$J:$J,$L28))</f>
        <v/>
      </c>
      <c r="I28" s="187" t="str">
        <f>IF($L28="","",INDEX(Başvuru!$K:$K,$L28))</f>
        <v/>
      </c>
      <c r="J28" s="187" t="str">
        <f>IF($L28="","",IF(INDEX(Başvuru!$P:$P,$L28)=0,"BEKLİYOR",INDEX(Başvuru!$P:$P,$L28)))</f>
        <v/>
      </c>
      <c r="L28" t="str">
        <f>IFERROR(MATCH($C$5&amp;"§"&amp;(ROW()-ROW($B$8)),Başvuru!$V:$V,0),"")</f>
        <v/>
      </c>
      <c r="N28" t="str">
        <f>IFERROR(INDEX(Başvuru!$C:$C,MATCH(20,Başvuru!$X:$X,0)),"")</f>
        <v>Doç. Dr. Ayşe Bikem KARGI</v>
      </c>
    </row>
    <row r="29" spans="2:14" ht="18" customHeight="1" x14ac:dyDescent="0.25">
      <c r="B29" s="182" t="str">
        <f t="shared" si="0"/>
        <v/>
      </c>
      <c r="C29" s="183" t="str">
        <f>IF($L29="","",INDEX(Başvuru!$B:$B,$L29))</f>
        <v/>
      </c>
      <c r="D29" s="183" t="str">
        <f>IF($L29="","",INDEX(Başvuru!$D:$D,$L29))</f>
        <v/>
      </c>
      <c r="E29" s="183" t="str">
        <f>IF($L29="","",INDEX(Başvuru!$F:$F,$L29))</f>
        <v/>
      </c>
      <c r="F29" s="183" t="str">
        <f>IF($L29="","",INDEX(Başvuru!$G:$G,$L29))</f>
        <v/>
      </c>
      <c r="G29" s="185" t="str">
        <f>IF($L29="","",INDEX(Başvuru!$I:$I,$L29))</f>
        <v/>
      </c>
      <c r="H29" s="183" t="str">
        <f>IF($L29="","",INDEX(Başvuru!$J:$J,$L29))</f>
        <v/>
      </c>
      <c r="I29" s="183" t="str">
        <f>IF($L29="","",INDEX(Başvuru!$K:$K,$L29))</f>
        <v/>
      </c>
      <c r="J29" s="183" t="str">
        <f>IF($L29="","",IF(INDEX(Başvuru!$P:$P,$L29)=0,"BEKLİYOR",INDEX(Başvuru!$P:$P,$L29)))</f>
        <v/>
      </c>
      <c r="L29" t="str">
        <f>IFERROR(MATCH($C$5&amp;"§"&amp;(ROW()-ROW($B$8)),Başvuru!$V:$V,0),"")</f>
        <v/>
      </c>
      <c r="N29" t="str">
        <f>IFERROR(INDEX(Başvuru!$C:$C,MATCH(21,Başvuru!$X:$X,0)),"")</f>
        <v>Doç. Dr. Barış SEZER</v>
      </c>
    </row>
    <row r="30" spans="2:14" ht="18" customHeight="1" x14ac:dyDescent="0.25">
      <c r="B30" s="186" t="str">
        <f t="shared" si="0"/>
        <v/>
      </c>
      <c r="C30" s="187" t="str">
        <f>IF($L30="","",INDEX(Başvuru!$B:$B,$L30))</f>
        <v/>
      </c>
      <c r="D30" s="187" t="str">
        <f>IF($L30="","",INDEX(Başvuru!$D:$D,$L30))</f>
        <v/>
      </c>
      <c r="E30" s="187" t="str">
        <f>IF($L30="","",INDEX(Başvuru!$F:$F,$L30))</f>
        <v/>
      </c>
      <c r="F30" s="187" t="str">
        <f>IF($L30="","",INDEX(Başvuru!$G:$G,$L30))</f>
        <v/>
      </c>
      <c r="G30" s="189" t="str">
        <f>IF($L30="","",INDEX(Başvuru!$I:$I,$L30))</f>
        <v/>
      </c>
      <c r="H30" s="187" t="str">
        <f>IF($L30="","",INDEX(Başvuru!$J:$J,$L30))</f>
        <v/>
      </c>
      <c r="I30" s="187" t="str">
        <f>IF($L30="","",INDEX(Başvuru!$K:$K,$L30))</f>
        <v/>
      </c>
      <c r="J30" s="187" t="str">
        <f>IF($L30="","",IF(INDEX(Başvuru!$P:$P,$L30)=0,"BEKLİYOR",INDEX(Başvuru!$P:$P,$L30)))</f>
        <v/>
      </c>
      <c r="L30" t="str">
        <f>IFERROR(MATCH($C$5&amp;"§"&amp;(ROW()-ROW($B$8)),Başvuru!$V:$V,0),"")</f>
        <v/>
      </c>
      <c r="N30" t="str">
        <f>IFERROR(INDEX(Başvuru!$C:$C,MATCH(22,Başvuru!$X:$X,0)),"")</f>
        <v>Doç. Dr. Basri GÜLBAKAN</v>
      </c>
    </row>
    <row r="31" spans="2:14" ht="18" customHeight="1" x14ac:dyDescent="0.25">
      <c r="B31" s="182" t="str">
        <f t="shared" si="0"/>
        <v/>
      </c>
      <c r="C31" s="183" t="str">
        <f>IF($L31="","",INDEX(Başvuru!$B:$B,$L31))</f>
        <v/>
      </c>
      <c r="D31" s="183" t="str">
        <f>IF($L31="","",INDEX(Başvuru!$D:$D,$L31))</f>
        <v/>
      </c>
      <c r="E31" s="183" t="str">
        <f>IF($L31="","",INDEX(Başvuru!$F:$F,$L31))</f>
        <v/>
      </c>
      <c r="F31" s="183" t="str">
        <f>IF($L31="","",INDEX(Başvuru!$G:$G,$L31))</f>
        <v/>
      </c>
      <c r="G31" s="185" t="str">
        <f>IF($L31="","",INDEX(Başvuru!$I:$I,$L31))</f>
        <v/>
      </c>
      <c r="H31" s="183" t="str">
        <f>IF($L31="","",INDEX(Başvuru!$J:$J,$L31))</f>
        <v/>
      </c>
      <c r="I31" s="183" t="str">
        <f>IF($L31="","",INDEX(Başvuru!$K:$K,$L31))</f>
        <v/>
      </c>
      <c r="J31" s="183" t="str">
        <f>IF($L31="","",IF(INDEX(Başvuru!$P:$P,$L31)=0,"BEKLİYOR",INDEX(Başvuru!$P:$P,$L31)))</f>
        <v/>
      </c>
      <c r="L31" t="str">
        <f>IFERROR(MATCH($C$5&amp;"§"&amp;(ROW()-ROW($B$8)),Başvuru!$V:$V,0),"")</f>
        <v/>
      </c>
      <c r="N31" t="str">
        <f>IFERROR(INDEX(Başvuru!$C:$C,MATCH(23,Başvuru!$X:$X,0)),"")</f>
        <v>Doç. Dr. Başak AKÇA</v>
      </c>
    </row>
    <row r="32" spans="2:14" ht="18" customHeight="1" x14ac:dyDescent="0.25">
      <c r="B32" s="186" t="str">
        <f t="shared" si="0"/>
        <v/>
      </c>
      <c r="C32" s="187" t="str">
        <f>IF($L32="","",INDEX(Başvuru!$B:$B,$L32))</f>
        <v/>
      </c>
      <c r="D32" s="187" t="str">
        <f>IF($L32="","",INDEX(Başvuru!$D:$D,$L32))</f>
        <v/>
      </c>
      <c r="E32" s="187" t="str">
        <f>IF($L32="","",INDEX(Başvuru!$F:$F,$L32))</f>
        <v/>
      </c>
      <c r="F32" s="187" t="str">
        <f>IF($L32="","",INDEX(Başvuru!$G:$G,$L32))</f>
        <v/>
      </c>
      <c r="G32" s="189" t="str">
        <f>IF($L32="","",INDEX(Başvuru!$I:$I,$L32))</f>
        <v/>
      </c>
      <c r="H32" s="187" t="str">
        <f>IF($L32="","",INDEX(Başvuru!$J:$J,$L32))</f>
        <v/>
      </c>
      <c r="I32" s="187" t="str">
        <f>IF($L32="","",INDEX(Başvuru!$K:$K,$L32))</f>
        <v/>
      </c>
      <c r="J32" s="187" t="str">
        <f>IF($L32="","",IF(INDEX(Başvuru!$P:$P,$L32)=0,"BEKLİYOR",INDEX(Başvuru!$P:$P,$L32)))</f>
        <v/>
      </c>
      <c r="L32" t="str">
        <f>IFERROR(MATCH($C$5&amp;"§"&amp;(ROW()-ROW($B$8)),Başvuru!$V:$V,0),"")</f>
        <v/>
      </c>
      <c r="N32" t="str">
        <f>IFERROR(INDEX(Başvuru!$C:$C,MATCH(24,Başvuru!$X:$X,0)),"")</f>
        <v>Doç. Dr. Başak YALICI ARMAĞAN</v>
      </c>
    </row>
    <row r="33" spans="2:14" ht="18" customHeight="1" x14ac:dyDescent="0.25">
      <c r="B33" s="182" t="str">
        <f t="shared" si="0"/>
        <v/>
      </c>
      <c r="C33" s="183" t="str">
        <f>IF($L33="","",INDEX(Başvuru!$B:$B,$L33))</f>
        <v/>
      </c>
      <c r="D33" s="183" t="str">
        <f>IF($L33="","",INDEX(Başvuru!$D:$D,$L33))</f>
        <v/>
      </c>
      <c r="E33" s="183" t="str">
        <f>IF($L33="","",INDEX(Başvuru!$F:$F,$L33))</f>
        <v/>
      </c>
      <c r="F33" s="183" t="str">
        <f>IF($L33="","",INDEX(Başvuru!$G:$G,$L33))</f>
        <v/>
      </c>
      <c r="G33" s="185" t="str">
        <f>IF($L33="","",INDEX(Başvuru!$I:$I,$L33))</f>
        <v/>
      </c>
      <c r="H33" s="183" t="str">
        <f>IF($L33="","",INDEX(Başvuru!$J:$J,$L33))</f>
        <v/>
      </c>
      <c r="I33" s="183" t="str">
        <f>IF($L33="","",INDEX(Başvuru!$K:$K,$L33))</f>
        <v/>
      </c>
      <c r="J33" s="183" t="str">
        <f>IF($L33="","",IF(INDEX(Başvuru!$P:$P,$L33)=0,"BEKLİYOR",INDEX(Başvuru!$P:$P,$L33)))</f>
        <v/>
      </c>
      <c r="L33" t="str">
        <f>IFERROR(MATCH($C$5&amp;"§"&amp;(ROW()-ROW($B$8)),Başvuru!$V:$V,0),"")</f>
        <v/>
      </c>
      <c r="N33" t="str">
        <f>IFERROR(INDEX(Başvuru!$C:$C,MATCH(25,Başvuru!$X:$X,0)),"")</f>
        <v>Doç. Dr. Bengisu AKARSU GÜVEN</v>
      </c>
    </row>
    <row r="34" spans="2:14" ht="18" customHeight="1" x14ac:dyDescent="0.25">
      <c r="B34" s="186" t="str">
        <f t="shared" si="0"/>
        <v/>
      </c>
      <c r="C34" s="187" t="str">
        <f>IF($L34="","",INDEX(Başvuru!$B:$B,$L34))</f>
        <v/>
      </c>
      <c r="D34" s="187" t="str">
        <f>IF($L34="","",INDEX(Başvuru!$D:$D,$L34))</f>
        <v/>
      </c>
      <c r="E34" s="187" t="str">
        <f>IF($L34="","",INDEX(Başvuru!$F:$F,$L34))</f>
        <v/>
      </c>
      <c r="F34" s="187" t="str">
        <f>IF($L34="","",INDEX(Başvuru!$G:$G,$L34))</f>
        <v/>
      </c>
      <c r="G34" s="189" t="str">
        <f>IF($L34="","",INDEX(Başvuru!$I:$I,$L34))</f>
        <v/>
      </c>
      <c r="H34" s="187" t="str">
        <f>IF($L34="","",INDEX(Başvuru!$J:$J,$L34))</f>
        <v/>
      </c>
      <c r="I34" s="187" t="str">
        <f>IF($L34="","",INDEX(Başvuru!$K:$K,$L34))</f>
        <v/>
      </c>
      <c r="J34" s="187" t="str">
        <f>IF($L34="","",IF(INDEX(Başvuru!$P:$P,$L34)=0,"BEKLİYOR",INDEX(Başvuru!$P:$P,$L34)))</f>
        <v/>
      </c>
      <c r="L34" t="str">
        <f>IFERROR(MATCH($C$5&amp;"§"&amp;(ROW()-ROW($B$8)),Başvuru!$V:$V,0),"")</f>
        <v/>
      </c>
      <c r="N34" t="str">
        <f>IFERROR(INDEX(Başvuru!$C:$C,MATCH(26,Başvuru!$X:$X,0)),"")</f>
        <v>Doç. Dr. Burak ARDIÇLI</v>
      </c>
    </row>
    <row r="35" spans="2:14" ht="18" customHeight="1" x14ac:dyDescent="0.25">
      <c r="B35" s="182" t="str">
        <f t="shared" si="0"/>
        <v/>
      </c>
      <c r="C35" s="183" t="str">
        <f>IF($L35="","",INDEX(Başvuru!$B:$B,$L35))</f>
        <v/>
      </c>
      <c r="D35" s="183" t="str">
        <f>IF($L35="","",INDEX(Başvuru!$D:$D,$L35))</f>
        <v/>
      </c>
      <c r="E35" s="183" t="str">
        <f>IF($L35="","",INDEX(Başvuru!$F:$F,$L35))</f>
        <v/>
      </c>
      <c r="F35" s="183" t="str">
        <f>IF($L35="","",INDEX(Başvuru!$G:$G,$L35))</f>
        <v/>
      </c>
      <c r="G35" s="185" t="str">
        <f>IF($L35="","",INDEX(Başvuru!$I:$I,$L35))</f>
        <v/>
      </c>
      <c r="H35" s="183" t="str">
        <f>IF($L35="","",INDEX(Başvuru!$J:$J,$L35))</f>
        <v/>
      </c>
      <c r="I35" s="183" t="str">
        <f>IF($L35="","",INDEX(Başvuru!$K:$K,$L35))</f>
        <v/>
      </c>
      <c r="J35" s="183" t="str">
        <f>IF($L35="","",IF(INDEX(Başvuru!$P:$P,$L35)=0,"BEKLİYOR",INDEX(Başvuru!$P:$P,$L35)))</f>
        <v/>
      </c>
      <c r="L35" t="str">
        <f>IFERROR(MATCH($C$5&amp;"§"&amp;(ROW()-ROW($B$8)),Başvuru!$V:$V,0),"")</f>
        <v/>
      </c>
      <c r="N35" t="str">
        <f>IFERROR(INDEX(Başvuru!$C:$C,MATCH(27,Başvuru!$X:$X,0)),"")</f>
        <v>Doç. Dr. Burcu ERSÖZ ALAN</v>
      </c>
    </row>
    <row r="36" spans="2:14" ht="18" customHeight="1" x14ac:dyDescent="0.25">
      <c r="B36" s="186" t="str">
        <f t="shared" si="0"/>
        <v/>
      </c>
      <c r="C36" s="187" t="str">
        <f>IF($L36="","",INDEX(Başvuru!$B:$B,$L36))</f>
        <v/>
      </c>
      <c r="D36" s="187" t="str">
        <f>IF($L36="","",INDEX(Başvuru!$D:$D,$L36))</f>
        <v/>
      </c>
      <c r="E36" s="187" t="str">
        <f>IF($L36="","",INDEX(Başvuru!$F:$F,$L36))</f>
        <v/>
      </c>
      <c r="F36" s="187" t="str">
        <f>IF($L36="","",INDEX(Başvuru!$G:$G,$L36))</f>
        <v/>
      </c>
      <c r="G36" s="189" t="str">
        <f>IF($L36="","",INDEX(Başvuru!$I:$I,$L36))</f>
        <v/>
      </c>
      <c r="H36" s="187" t="str">
        <f>IF($L36="","",INDEX(Başvuru!$J:$J,$L36))</f>
        <v/>
      </c>
      <c r="I36" s="187" t="str">
        <f>IF($L36="","",INDEX(Başvuru!$K:$K,$L36))</f>
        <v/>
      </c>
      <c r="J36" s="187" t="str">
        <f>IF($L36="","",IF(INDEX(Başvuru!$P:$P,$L36)=0,"BEKLİYOR",INDEX(Başvuru!$P:$P,$L36)))</f>
        <v/>
      </c>
      <c r="L36" t="str">
        <f>IFERROR(MATCH($C$5&amp;"§"&amp;(ROW()-ROW($B$8)),Başvuru!$V:$V,0),"")</f>
        <v/>
      </c>
      <c r="N36" t="str">
        <f>IFERROR(INDEX(Başvuru!$C:$C,MATCH(28,Başvuru!$X:$X,0)),"")</f>
        <v>Doç. Dr. Burcu HATİBOĞLU</v>
      </c>
    </row>
    <row r="37" spans="2:14" ht="18" customHeight="1" x14ac:dyDescent="0.25">
      <c r="B37" s="182" t="str">
        <f t="shared" si="0"/>
        <v/>
      </c>
      <c r="C37" s="183" t="str">
        <f>IF($L37="","",INDEX(Başvuru!$B:$B,$L37))</f>
        <v/>
      </c>
      <c r="D37" s="183" t="str">
        <f>IF($L37="","",INDEX(Başvuru!$D:$D,$L37))</f>
        <v/>
      </c>
      <c r="E37" s="183" t="str">
        <f>IF($L37="","",INDEX(Başvuru!$F:$F,$L37))</f>
        <v/>
      </c>
      <c r="F37" s="183" t="str">
        <f>IF($L37="","",INDEX(Başvuru!$G:$G,$L37))</f>
        <v/>
      </c>
      <c r="G37" s="185" t="str">
        <f>IF($L37="","",INDEX(Başvuru!$I:$I,$L37))</f>
        <v/>
      </c>
      <c r="H37" s="183" t="str">
        <f>IF($L37="","",INDEX(Başvuru!$J:$J,$L37))</f>
        <v/>
      </c>
      <c r="I37" s="183" t="str">
        <f>IF($L37="","",INDEX(Başvuru!$K:$K,$L37))</f>
        <v/>
      </c>
      <c r="J37" s="183" t="str">
        <f>IF($L37="","",IF(INDEX(Başvuru!$P:$P,$L37)=0,"BEKLİYOR",INDEX(Başvuru!$P:$P,$L37)))</f>
        <v/>
      </c>
      <c r="L37" t="str">
        <f>IFERROR(MATCH($C$5&amp;"§"&amp;(ROW()-ROW($B$8)),Başvuru!$V:$V,0),"")</f>
        <v/>
      </c>
      <c r="N37" t="str">
        <f>IFERROR(INDEX(Başvuru!$C:$C,MATCH(29,Başvuru!$X:$X,0)),"")</f>
        <v>Doç. Dr. Cafer BALCI</v>
      </c>
    </row>
    <row r="38" spans="2:14" ht="18" customHeight="1" x14ac:dyDescent="0.25">
      <c r="B38" s="186" t="str">
        <f t="shared" si="0"/>
        <v/>
      </c>
      <c r="C38" s="187" t="str">
        <f>IF($L38="","",INDEX(Başvuru!$B:$B,$L38))</f>
        <v/>
      </c>
      <c r="D38" s="187" t="str">
        <f>IF($L38="","",INDEX(Başvuru!$D:$D,$L38))</f>
        <v/>
      </c>
      <c r="E38" s="187" t="str">
        <f>IF($L38="","",INDEX(Başvuru!$F:$F,$L38))</f>
        <v/>
      </c>
      <c r="F38" s="187" t="str">
        <f>IF($L38="","",INDEX(Başvuru!$G:$G,$L38))</f>
        <v/>
      </c>
      <c r="G38" s="189" t="str">
        <f>IF($L38="","",INDEX(Başvuru!$I:$I,$L38))</f>
        <v/>
      </c>
      <c r="H38" s="187" t="str">
        <f>IF($L38="","",INDEX(Başvuru!$J:$J,$L38))</f>
        <v/>
      </c>
      <c r="I38" s="187" t="str">
        <f>IF($L38="","",INDEX(Başvuru!$K:$K,$L38))</f>
        <v/>
      </c>
      <c r="J38" s="187" t="str">
        <f>IF($L38="","",IF(INDEX(Başvuru!$P:$P,$L38)=0,"BEKLİYOR",INDEX(Başvuru!$P:$P,$L38)))</f>
        <v/>
      </c>
      <c r="L38" t="str">
        <f>IFERROR(MATCH($C$5&amp;"§"&amp;(ROW()-ROW($B$8)),Başvuru!$V:$V,0),"")</f>
        <v/>
      </c>
      <c r="N38" t="str">
        <f>IFERROR(INDEX(Başvuru!$C:$C,MATCH(30,Başvuru!$X:$X,0)),"")</f>
        <v>Doç. Dr. Cansu ÖZŞİN ÖZLER</v>
      </c>
    </row>
    <row r="39" spans="2:14" ht="15" customHeight="1" x14ac:dyDescent="0.25">
      <c r="B39" s="231" t="s">
        <v>4416</v>
      </c>
      <c r="C39" s="231"/>
      <c r="D39" s="231"/>
      <c r="E39" s="231"/>
      <c r="F39" s="231"/>
      <c r="G39" s="231"/>
      <c r="H39" s="231"/>
      <c r="I39" s="231"/>
      <c r="J39" s="231"/>
      <c r="N39" t="str">
        <f>IFERROR(INDEX(Başvuru!$C:$C,MATCH(31,Başvuru!$X:$X,0)),"")</f>
        <v>Doç. Dr. Cem ÇÖTELİ</v>
      </c>
    </row>
    <row r="40" spans="2:14" ht="15" customHeight="1" x14ac:dyDescent="0.25">
      <c r="N40" t="str">
        <f>IFERROR(INDEX(Başvuru!$C:$C,MATCH(32,Başvuru!$X:$X,0)),"")</f>
        <v>Doç. Dr. Cem ŞİMŞEK</v>
      </c>
    </row>
    <row r="41" spans="2:14" ht="15" customHeight="1" x14ac:dyDescent="0.25">
      <c r="N41" t="str">
        <f>IFERROR(INDEX(Başvuru!$C:$C,MATCH(33,Başvuru!$X:$X,0)),"")</f>
        <v>Doç. Dr. Ceren GÜNENÇ BEŞER</v>
      </c>
    </row>
    <row r="42" spans="2:14" ht="15" customHeight="1" x14ac:dyDescent="0.25">
      <c r="N42" t="str">
        <f>IFERROR(INDEX(Başvuru!$C:$C,MATCH(34,Başvuru!$X:$X,0)),"")</f>
        <v>Doç. Dr. Ceren ÖZKUL KOÇAK</v>
      </c>
    </row>
    <row r="43" spans="2:14" ht="15" customHeight="1" x14ac:dyDescent="0.25">
      <c r="N43" t="str">
        <f>IFERROR(INDEX(Başvuru!$C:$C,MATCH(35,Başvuru!$X:$X,0)),"")</f>
        <v>Doç. Dr. Derman BAŞARAN</v>
      </c>
    </row>
    <row r="44" spans="2:14" ht="15" customHeight="1" x14ac:dyDescent="0.25">
      <c r="N44" t="str">
        <f>IFERROR(INDEX(Başvuru!$C:$C,MATCH(36,Başvuru!$X:$X,0)),"")</f>
        <v>Doç. Dr. Dilek ÜNAL</v>
      </c>
    </row>
    <row r="45" spans="2:14" ht="15" customHeight="1" x14ac:dyDescent="0.25">
      <c r="N45" t="str">
        <f>IFERROR(INDEX(Başvuru!$C:$C,MATCH(37,Başvuru!$X:$X,0)),"")</f>
        <v>Doç. Dr. Duygu AYHAN BAŞER</v>
      </c>
    </row>
    <row r="46" spans="2:14" ht="15" customHeight="1" x14ac:dyDescent="0.25">
      <c r="N46" t="str">
        <f>IFERROR(INDEX(Başvuru!$C:$C,MATCH(38,Başvuru!$X:$X,0)),"")</f>
        <v>Doç. Dr. Duygu GÜLSEREN</v>
      </c>
    </row>
    <row r="47" spans="2:14" ht="15" customHeight="1" x14ac:dyDescent="0.25">
      <c r="N47" t="str">
        <f>IFERROR(INDEX(Başvuru!$C:$C,MATCH(39,Başvuru!$X:$X,0)),"")</f>
        <v>Doç. Dr. Eda Didem KURT ŞÜKÜR</v>
      </c>
    </row>
    <row r="48" spans="2:14" ht="15" customHeight="1" x14ac:dyDescent="0.25">
      <c r="N48" t="str">
        <f>IFERROR(INDEX(Başvuru!$C:$C,MATCH(40,Başvuru!$X:$X,0)),"")</f>
        <v>Doç. Dr. Eda Ezgi ASLANTAŞ</v>
      </c>
    </row>
    <row r="49" spans="14:14" ht="15" customHeight="1" x14ac:dyDescent="0.25">
      <c r="N49" t="str">
        <f>IFERROR(INDEX(Başvuru!$C:$C,MATCH(41,Başvuru!$X:$X,0)),"")</f>
        <v>Doç. Dr. Ekim GÜMELER</v>
      </c>
    </row>
    <row r="50" spans="14:14" ht="15" customHeight="1" x14ac:dyDescent="0.25">
      <c r="N50" t="str">
        <f>IFERROR(INDEX(Başvuru!$C:$C,MATCH(42,Başvuru!$X:$X,0)),"")</f>
        <v>Doç. Dr. Elif Günay BULUT</v>
      </c>
    </row>
    <row r="51" spans="14:14" ht="15" customHeight="1" x14ac:dyDescent="0.25">
      <c r="N51" t="str">
        <f>IFERROR(INDEX(Başvuru!$C:$C,MATCH(43,Başvuru!$X:$X,0)),"")</f>
        <v>Doç. Dr. Elif SOYAK AYTEKİN</v>
      </c>
    </row>
    <row r="52" spans="14:14" ht="15" customHeight="1" x14ac:dyDescent="0.25">
      <c r="N52" t="str">
        <f>IFERROR(INDEX(Başvuru!$C:$C,MATCH(44,Başvuru!$X:$X,0)),"")</f>
        <v>Doç. Dr. Emel ISIYEL</v>
      </c>
    </row>
    <row r="53" spans="14:14" ht="15" customHeight="1" x14ac:dyDescent="0.25">
      <c r="N53" t="str">
        <f>IFERROR(INDEX(Başvuru!$C:$C,MATCH(45,Başvuru!$X:$X,0)),"")</f>
        <v>Doç. Dr. Emel Tuğba ATAMAN DURUEL</v>
      </c>
    </row>
    <row r="54" spans="14:14" ht="15" customHeight="1" x14ac:dyDescent="0.25">
      <c r="N54" t="str">
        <f>IFERROR(INDEX(Başvuru!$C:$C,MATCH(46,Başvuru!$X:$X,0)),"")</f>
        <v>Doç. Dr. Erdal SAĞ</v>
      </c>
    </row>
    <row r="55" spans="14:14" ht="15" customHeight="1" x14ac:dyDescent="0.25">
      <c r="N55" t="str">
        <f>IFERROR(INDEX(Başvuru!$C:$C,MATCH(47,Başvuru!$X:$X,0)),"")</f>
        <v>Doç. Dr. Erdem FADILOĞLU</v>
      </c>
    </row>
    <row r="56" spans="14:14" ht="15" customHeight="1" x14ac:dyDescent="0.25">
      <c r="N56" t="str">
        <f>IFERROR(INDEX(Başvuru!$C:$C,MATCH(48,Başvuru!$X:$X,0)),"")</f>
        <v>Doç. Dr. Evren SERTALP</v>
      </c>
    </row>
    <row r="57" spans="14:14" ht="15" customHeight="1" x14ac:dyDescent="0.25">
      <c r="N57" t="str">
        <f>IFERROR(INDEX(Başvuru!$C:$C,MATCH(49,Başvuru!$X:$X,0)),"")</f>
        <v>Doç. Dr. Eylem TOPBAŞ</v>
      </c>
    </row>
    <row r="58" spans="14:14" ht="15" customHeight="1" x14ac:dyDescent="0.25">
      <c r="N58" t="str">
        <f>IFERROR(INDEX(Başvuru!$C:$C,MATCH(50,Başvuru!$X:$X,0)),"")</f>
        <v>Doç. Dr. Ezgi ATİK</v>
      </c>
    </row>
    <row r="59" spans="14:14" ht="15" customHeight="1" x14ac:dyDescent="0.25">
      <c r="N59" t="str">
        <f>IFERROR(INDEX(Başvuru!$C:$C,MATCH(51,Başvuru!$X:$X,0)),"")</f>
        <v>Doç. Dr. Fatima AERTS KAYA</v>
      </c>
    </row>
    <row r="60" spans="14:14" ht="15" customHeight="1" x14ac:dyDescent="0.25">
      <c r="N60" t="str">
        <f>IFERROR(INDEX(Başvuru!$C:$C,MATCH(52,Başvuru!$X:$X,0)),"")</f>
        <v>Doç. Dr. Fatma Gonca ELDEM</v>
      </c>
    </row>
    <row r="61" spans="14:14" ht="15" customHeight="1" x14ac:dyDescent="0.25">
      <c r="N61" t="str">
        <f>IFERROR(INDEX(Başvuru!$C:$C,MATCH(53,Başvuru!$X:$X,0)),"")</f>
        <v>Doç. Dr. Ferdi ÇAY</v>
      </c>
    </row>
    <row r="62" spans="14:14" ht="15" customHeight="1" x14ac:dyDescent="0.25">
      <c r="N62" t="str">
        <f>IFERROR(INDEX(Başvuru!$C:$C,MATCH(54,Başvuru!$X:$X,0)),"")</f>
        <v>Doç. Dr. Galip Gencay ÜSTÜN</v>
      </c>
    </row>
    <row r="63" spans="14:14" ht="15" customHeight="1" x14ac:dyDescent="0.25">
      <c r="N63" t="str">
        <f>IFERROR(INDEX(Başvuru!$C:$C,MATCH(55,Başvuru!$X:$X,0)),"")</f>
        <v>Doç. Dr. Gamze ATAY</v>
      </c>
    </row>
    <row r="64" spans="14:14" ht="15" customHeight="1" x14ac:dyDescent="0.25">
      <c r="N64" t="str">
        <f>IFERROR(INDEX(Başvuru!$C:$C,MATCH(56,Başvuru!$X:$X,0)),"")</f>
        <v>Doç. Dr. Gamze DURHAN</v>
      </c>
    </row>
    <row r="65" spans="14:14" ht="15" customHeight="1" x14ac:dyDescent="0.25">
      <c r="N65" t="str">
        <f>IFERROR(INDEX(Başvuru!$C:$C,MATCH(57,Başvuru!$X:$X,0)),"")</f>
        <v>Doç. Dr. Gölşah KÖK</v>
      </c>
    </row>
    <row r="66" spans="14:14" ht="15" customHeight="1" x14ac:dyDescent="0.25">
      <c r="N66" t="str">
        <f>IFERROR(INDEX(Başvuru!$C:$C,MATCH(58,Başvuru!$X:$X,0)),"")</f>
        <v>Doç. Dr. Gözde HONDUR</v>
      </c>
    </row>
    <row r="67" spans="14:14" ht="15" customHeight="1" x14ac:dyDescent="0.25">
      <c r="N67" t="str">
        <f>IFERROR(INDEX(Başvuru!$C:$C,MATCH(59,Başvuru!$X:$X,0)),"")</f>
        <v>Doç. Dr. Gülçin TELLİ DİZMAN</v>
      </c>
    </row>
    <row r="68" spans="14:14" ht="15" customHeight="1" x14ac:dyDescent="0.25">
      <c r="N68" t="str">
        <f>IFERROR(INDEX(Başvuru!$C:$C,MATCH(60,Başvuru!$X:$X,0)),"")</f>
        <v>Doç. Dr. Hacı Hasan YETER</v>
      </c>
    </row>
    <row r="69" spans="14:14" ht="15" customHeight="1" x14ac:dyDescent="0.25">
      <c r="N69" t="str">
        <f>IFERROR(INDEX(Başvuru!$C:$C,MATCH(61,Başvuru!$X:$X,0)),"")</f>
        <v>Doç. Dr. Halide Özge BAŞARAN</v>
      </c>
    </row>
    <row r="70" spans="14:14" ht="15" customHeight="1" x14ac:dyDescent="0.25">
      <c r="N70" t="str">
        <f>IFERROR(INDEX(Başvuru!$C:$C,MATCH(62,Başvuru!$X:$X,0)),"")</f>
        <v>Doç. Dr. Hande GÖRÜCÜ COŞKUNER</v>
      </c>
    </row>
    <row r="71" spans="14:14" ht="15" customHeight="1" x14ac:dyDescent="0.25">
      <c r="N71" t="str">
        <f>IFERROR(INDEX(Başvuru!$C:$C,MATCH(63,Başvuru!$X:$X,0)),"")</f>
        <v>Doç. Dr. Hayriye HIZARCIOĞLU GÜLŞEN</v>
      </c>
    </row>
    <row r="72" spans="14:14" ht="15" customHeight="1" x14ac:dyDescent="0.25">
      <c r="N72" t="str">
        <f>IFERROR(INDEX(Başvuru!$C:$C,MATCH(64,Başvuru!$X:$X,0)),"")</f>
        <v>Doç. Dr. Hilal AKSOY</v>
      </c>
    </row>
    <row r="73" spans="14:14" ht="15" customHeight="1" x14ac:dyDescent="0.25">
      <c r="N73" t="str">
        <f>IFERROR(INDEX(Başvuru!$C:$C,MATCH(65,Başvuru!$X:$X,0)),"")</f>
        <v>Doç. Dr. Hilal KORKMAZ</v>
      </c>
    </row>
    <row r="74" spans="14:14" ht="15" customHeight="1" x14ac:dyDescent="0.25">
      <c r="N74" t="str">
        <f>IFERROR(INDEX(Başvuru!$C:$C,MATCH(66,Başvuru!$X:$X,0)),"")</f>
        <v>Doç. Dr. İdil Rana USER KILIÇ</v>
      </c>
    </row>
    <row r="75" spans="14:14" ht="15" customHeight="1" x14ac:dyDescent="0.25">
      <c r="N75" t="str">
        <f>IFERROR(INDEX(Başvuru!$C:$C,MATCH(67,Başvuru!$X:$X,0)),"")</f>
        <v>Doç. Dr. İlker ERTUĞRUL</v>
      </c>
    </row>
    <row r="76" spans="14:14" ht="15" customHeight="1" x14ac:dyDescent="0.25">
      <c r="N76" t="str">
        <f>IFERROR(INDEX(Başvuru!$C:$C,MATCH(68,Başvuru!$X:$X,0)),"")</f>
        <v>Doç. Dr. İrem KOÇ</v>
      </c>
    </row>
    <row r="77" spans="14:14" ht="15" customHeight="1" x14ac:dyDescent="0.25">
      <c r="N77" t="str">
        <f>IFERROR(INDEX(Başvuru!$C:$C,MATCH(69,Başvuru!$X:$X,0)),"")</f>
        <v>Doç. Dr. İsmail UYANIK</v>
      </c>
    </row>
    <row r="78" spans="14:14" ht="15" customHeight="1" x14ac:dyDescent="0.25">
      <c r="N78" t="str">
        <f>IFERROR(INDEX(Başvuru!$C:$C,MATCH(70,Başvuru!$X:$X,0)),"")</f>
        <v>Doç. Dr. İzzet FİDANCI</v>
      </c>
    </row>
    <row r="79" spans="14:14" ht="15" customHeight="1" x14ac:dyDescent="0.25">
      <c r="N79" t="str">
        <f>IFERROR(INDEX(Başvuru!$C:$C,MATCH(71,Başvuru!$X:$X,0)),"")</f>
        <v>Doç. Dr. Kevser NALBANT</v>
      </c>
    </row>
    <row r="80" spans="14:14" ht="15" customHeight="1" x14ac:dyDescent="0.25">
      <c r="N80" t="str">
        <f>IFERROR(INDEX(Başvuru!$C:$C,MATCH(72,Başvuru!$X:$X,0)),"")</f>
        <v>Doç. Dr. Kısmet ÇIKI</v>
      </c>
    </row>
    <row r="81" spans="14:14" ht="15" customHeight="1" x14ac:dyDescent="0.25">
      <c r="N81" t="str">
        <f>IFERROR(INDEX(Başvuru!$C:$C,MATCH(73,Başvuru!$X:$X,0)),"")</f>
        <v>Doç. Dr. Kübra AYKAÇ</v>
      </c>
    </row>
    <row r="82" spans="14:14" ht="15" customHeight="1" x14ac:dyDescent="0.25">
      <c r="N82" t="str">
        <f>IFERROR(INDEX(Başvuru!$C:$C,MATCH(74,Başvuru!$X:$X,0)),"")</f>
        <v>Doç. Dr. Leman AKCAN YILDIZ</v>
      </c>
    </row>
    <row r="83" spans="14:14" ht="15" customHeight="1" x14ac:dyDescent="0.25">
      <c r="N83" t="str">
        <f>IFERROR(INDEX(Başvuru!$C:$C,MATCH(75,Başvuru!$X:$X,0)),"")</f>
        <v>Doç. Dr. Levent KILIÇ</v>
      </c>
    </row>
    <row r="84" spans="14:14" ht="15" customHeight="1" x14ac:dyDescent="0.25">
      <c r="N84" t="str">
        <f>IFERROR(INDEX(Başvuru!$C:$C,MATCH(76,Başvuru!$X:$X,0)),"")</f>
        <v>Doç. Dr. Melike OCAK</v>
      </c>
    </row>
    <row r="85" spans="14:14" ht="15" customHeight="1" x14ac:dyDescent="0.25">
      <c r="N85" t="str">
        <f>IFERROR(INDEX(Başvuru!$C:$C,MATCH(77,Başvuru!$X:$X,0)),"")</f>
        <v>Doç. Dr. Melis PEHLİVANTÜRK KIZILKAN</v>
      </c>
    </row>
    <row r="86" spans="14:14" ht="15" customHeight="1" x14ac:dyDescent="0.25">
      <c r="N86" t="str">
        <f>IFERROR(INDEX(Başvuru!$C:$C,MATCH(78,Başvuru!$X:$X,0)),"")</f>
        <v>Doç. Dr. Mert EŞME</v>
      </c>
    </row>
    <row r="87" spans="14:14" ht="15" customHeight="1" x14ac:dyDescent="0.25">
      <c r="N87" t="str">
        <f>IFERROR(INDEX(Başvuru!$C:$C,MATCH(79,Başvuru!$X:$X,0)),"")</f>
        <v>Doç. Dr. Mesut ALTAN</v>
      </c>
    </row>
    <row r="88" spans="14:14" ht="15" customHeight="1" x14ac:dyDescent="0.25">
      <c r="N88" t="str">
        <f>IFERROR(INDEX(Başvuru!$C:$C,MATCH(80,Başvuru!$X:$X,0)),"")</f>
        <v>Doç. Dr. Muhammed Bahaddin DURAK</v>
      </c>
    </row>
    <row r="89" spans="14:14" ht="15" customHeight="1" x14ac:dyDescent="0.25">
      <c r="N89" t="str">
        <f>IFERROR(INDEX(Başvuru!$C:$C,MATCH(81,Başvuru!$X:$X,0)),"")</f>
        <v>Doç. Dr. Murat KARA</v>
      </c>
    </row>
    <row r="90" spans="14:14" ht="15" customHeight="1" x14ac:dyDescent="0.25">
      <c r="N90" t="str">
        <f>IFERROR(INDEX(Başvuru!$C:$C,MATCH(82,Başvuru!$X:$X,0)),"")</f>
        <v>Doç. Dr. Nadir YALÇIN</v>
      </c>
    </row>
    <row r="91" spans="14:14" ht="15" customHeight="1" x14ac:dyDescent="0.25">
      <c r="N91" t="str">
        <f>IFERROR(INDEX(Başvuru!$C:$C,MATCH(83,Başvuru!$X:$X,0)),"")</f>
        <v>Doç. Dr. Nagihan KOÇ</v>
      </c>
    </row>
    <row r="92" spans="14:14" ht="15" customHeight="1" x14ac:dyDescent="0.25">
      <c r="N92" t="str">
        <f>IFERROR(INDEX(Başvuru!$C:$C,MATCH(84,Başvuru!$X:$X,0)),"")</f>
        <v>Doç. Dr. Neslihan AKDOĞAN</v>
      </c>
    </row>
    <row r="93" spans="14:14" ht="15" customHeight="1" x14ac:dyDescent="0.25">
      <c r="N93" t="str">
        <f>IFERROR(INDEX(Başvuru!$C:$C,MATCH(85,Başvuru!$X:$X,0)),"")</f>
        <v>Doç. Dr. Nezih AKKAPULU</v>
      </c>
    </row>
    <row r="94" spans="14:14" ht="15" customHeight="1" x14ac:dyDescent="0.25">
      <c r="N94" t="str">
        <f>IFERROR(INDEX(Başvuru!$C:$C,MATCH(86,Başvuru!$X:$X,0)),"")</f>
        <v>Doç. Dr. Nursel AKKAYA</v>
      </c>
    </row>
    <row r="95" spans="14:14" ht="15" customHeight="1" x14ac:dyDescent="0.25">
      <c r="N95" t="str">
        <f>IFERROR(INDEX(Başvuru!$C:$C,MATCH(87,Başvuru!$X:$X,0)),"")</f>
        <v>Doç. Dr. Nursel ÇALIK BAŞARAN</v>
      </c>
    </row>
    <row r="96" spans="14:14" ht="15" customHeight="1" x14ac:dyDescent="0.25">
      <c r="N96" t="str">
        <f>IFERROR(INDEX(Başvuru!$C:$C,MATCH(88,Başvuru!$X:$X,0)),"")</f>
        <v>Doç. Dr. Oğuz Abdullah UYAROĞLU</v>
      </c>
    </row>
    <row r="97" spans="14:14" ht="15" customHeight="1" x14ac:dyDescent="0.25">
      <c r="N97" t="str">
        <f>IFERROR(INDEX(Başvuru!$C:$C,MATCH(89,Başvuru!$X:$X,0)),"")</f>
        <v>Doç. Dr. Oytun PORTAKAL AKÇİN</v>
      </c>
    </row>
    <row r="98" spans="14:14" ht="15" customHeight="1" x14ac:dyDescent="0.25">
      <c r="N98" t="str">
        <f>IFERROR(INDEX(Başvuru!$C:$C,MATCH(90,Başvuru!$X:$X,0)),"")</f>
        <v>Doç. Dr. Özlem DİKMETAŞ SANDIKÇI</v>
      </c>
    </row>
    <row r="99" spans="14:14" ht="15" customHeight="1" x14ac:dyDescent="0.25">
      <c r="N99" t="str">
        <f>IFERROR(INDEX(Başvuru!$C:$C,MATCH(91,Başvuru!$X:$X,0)),"")</f>
        <v>Doç. Dr. Rahşan GÖÇMEN</v>
      </c>
    </row>
    <row r="100" spans="14:14" ht="15" customHeight="1" x14ac:dyDescent="0.25">
      <c r="N100" t="str">
        <f>IFERROR(INDEX(Başvuru!$C:$C,MATCH(92,Başvuru!$X:$X,0)),"")</f>
        <v>Doç. Dr. Saliha ESENBOĞA</v>
      </c>
    </row>
    <row r="101" spans="14:14" ht="15" customHeight="1" x14ac:dyDescent="0.25">
      <c r="N101" t="str">
        <f>IFERROR(INDEX(Başvuru!$C:$C,MATCH(93,Başvuru!$X:$X,0)),"")</f>
        <v>Doç. Dr. Seda Hanife OĞUZ BAYKAL</v>
      </c>
    </row>
    <row r="102" spans="14:14" ht="15" customHeight="1" x14ac:dyDescent="0.25">
      <c r="N102" t="str">
        <f>IFERROR(INDEX(Başvuru!$C:$C,MATCH(94,Başvuru!$X:$X,0)),"")</f>
        <v>Doç. Dr. Serra ÖRSTEN</v>
      </c>
    </row>
    <row r="103" spans="14:14" ht="15" customHeight="1" x14ac:dyDescent="0.25">
      <c r="N103" t="str">
        <f>IFERROR(INDEX(Başvuru!$C:$C,MATCH(95,Başvuru!$X:$X,0)),"")</f>
        <v>Doç. Dr. Sevtap ARSLAN SARIKAYA</v>
      </c>
    </row>
    <row r="104" spans="14:14" ht="15" customHeight="1" x14ac:dyDescent="0.25">
      <c r="N104" t="str">
        <f>IFERROR(INDEX(Başvuru!$C:$C,MATCH(96,Başvuru!$X:$X,0)),"")</f>
        <v>Doç. Dr. Songül ÇINAROĞLU</v>
      </c>
    </row>
    <row r="105" spans="14:14" ht="15" customHeight="1" x14ac:dyDescent="0.25">
      <c r="N105" t="str">
        <f>IFERROR(INDEX(Başvuru!$C:$C,MATCH(97,Başvuru!$X:$X,0)),"")</f>
        <v>Doç. Dr. Süleyman Nahit ŞENDUR</v>
      </c>
    </row>
    <row r="106" spans="14:14" ht="15" customHeight="1" x14ac:dyDescent="0.25">
      <c r="N106" t="str">
        <f>IFERROR(INDEX(Başvuru!$C:$C,MATCH(98,Başvuru!$X:$X,0)),"")</f>
        <v>Doç. Dr. Şahin HANALİOĞLU</v>
      </c>
    </row>
    <row r="107" spans="14:14" ht="15" customHeight="1" x14ac:dyDescent="0.25">
      <c r="N107" t="str">
        <f>IFERROR(INDEX(Başvuru!$C:$C,MATCH(99,Başvuru!$X:$X,0)),"")</f>
        <v>Doç. Dr. Şükran Gülin EVİNÇ</v>
      </c>
    </row>
    <row r="108" spans="14:14" ht="15" customHeight="1" x14ac:dyDescent="0.25">
      <c r="N108" t="str">
        <f>IFERROR(INDEX(Başvuru!$C:$C,MATCH(100,Başvuru!$X:$X,0)),"")</f>
        <v>Doç. Dr. Tekin AKSU</v>
      </c>
    </row>
    <row r="109" spans="14:14" ht="15" customHeight="1" x14ac:dyDescent="0.25">
      <c r="N109" t="str">
        <f>IFERROR(INDEX(Başvuru!$C:$C,MATCH(101,Başvuru!$X:$X,0)),"")</f>
        <v>Doç. Dr. Ulaş KUMBASAR</v>
      </c>
    </row>
    <row r="110" spans="14:14" ht="15" customHeight="1" x14ac:dyDescent="0.25">
      <c r="N110" t="str">
        <f>IFERROR(INDEX(Başvuru!$C:$C,MATCH(102,Başvuru!$X:$X,0)),"")</f>
        <v>Doç. Dr. Utku AKGÖR</v>
      </c>
    </row>
    <row r="111" spans="14:14" ht="15" customHeight="1" x14ac:dyDescent="0.25">
      <c r="N111" t="str">
        <f>IFERROR(INDEX(Başvuru!$C:$C,MATCH(103,Başvuru!$X:$X,0)),"")</f>
        <v>Doç. Dr. Ülkühan ÖZTOPRAK</v>
      </c>
    </row>
    <row r="112" spans="14:14" ht="15" customHeight="1" x14ac:dyDescent="0.25">
      <c r="N112" t="str">
        <f>IFERROR(INDEX(Başvuru!$C:$C,MATCH(104,Başvuru!$X:$X,0)),"")</f>
        <v>Doç. Dr. Yasemin GÜZEL</v>
      </c>
    </row>
    <row r="113" spans="14:14" ht="15" customHeight="1" x14ac:dyDescent="0.25">
      <c r="N113" t="str">
        <f>IFERROR(INDEX(Başvuru!$C:$C,MATCH(105,Başvuru!$X:$X,0)),"")</f>
        <v>Doç. Dr. Zeynep TÜZÜN GÜN</v>
      </c>
    </row>
    <row r="114" spans="14:14" ht="15" customHeight="1" x14ac:dyDescent="0.25">
      <c r="N114" t="str">
        <f>IFERROR(INDEX(Başvuru!$C:$C,MATCH(106,Başvuru!$X:$X,0)),"")</f>
        <v>Dr. Natalia RAKİSLOVA</v>
      </c>
    </row>
    <row r="115" spans="14:14" ht="15" customHeight="1" x14ac:dyDescent="0.25">
      <c r="N115" t="str">
        <f>IFERROR(INDEX(Başvuru!$C:$C,MATCH(107,Başvuru!$X:$X,0)),"")</f>
        <v>Dr. Öğr. Gör. Buket KILIÇ</v>
      </c>
    </row>
    <row r="116" spans="14:14" ht="15" customHeight="1" x14ac:dyDescent="0.25">
      <c r="N116" t="str">
        <f>IFERROR(INDEX(Başvuru!$C:$C,MATCH(108,Başvuru!$X:$X,0)),"")</f>
        <v>Dr. Öğr. Gör. Tuğçe TAŞKINDERE ABBASOĞLU</v>
      </c>
    </row>
    <row r="117" spans="14:14" ht="15" customHeight="1" x14ac:dyDescent="0.25">
      <c r="N117" t="str">
        <f>IFERROR(INDEX(Başvuru!$C:$C,MATCH(109,Başvuru!$X:$X,0)),"")</f>
        <v>Dr. Öğr. Üyesi Ahmet Gürkan ERDEMİR</v>
      </c>
    </row>
    <row r="118" spans="14:14" ht="15" customHeight="1" x14ac:dyDescent="0.25">
      <c r="N118" t="str">
        <f>IFERROR(INDEX(Başvuru!$C:$C,MATCH(110,Başvuru!$X:$X,0)),"")</f>
        <v>Dr. Öğr. Üyesi Ahmet KIVRAK</v>
      </c>
    </row>
    <row r="119" spans="14:14" ht="15" customHeight="1" x14ac:dyDescent="0.25">
      <c r="N119" t="str">
        <f>IFERROR(INDEX(Başvuru!$C:$C,MATCH(111,Başvuru!$X:$X,0)),"")</f>
        <v>Dr. Öğr. Üyesi Arda ÇETİNKAYA</v>
      </c>
    </row>
    <row r="120" spans="14:14" ht="15" customHeight="1" x14ac:dyDescent="0.25">
      <c r="N120" t="str">
        <f>IFERROR(INDEX(Başvuru!$C:$C,MATCH(112,Başvuru!$X:$X,0)),"")</f>
        <v>Dr. Öğr. Üyesi Aslı ALKAN</v>
      </c>
    </row>
    <row r="121" spans="14:14" ht="15" customHeight="1" x14ac:dyDescent="0.25">
      <c r="N121" t="str">
        <f>IFERROR(INDEX(Başvuru!$C:$C,MATCH(113,Başvuru!$X:$X,0)),"")</f>
        <v>Dr. Öğr. Üyesi Aslı Şan DAĞLI GÜL</v>
      </c>
    </row>
    <row r="122" spans="14:14" ht="15" customHeight="1" x14ac:dyDescent="0.25">
      <c r="N122" t="str">
        <f>IFERROR(INDEX(Başvuru!$C:$C,MATCH(114,Başvuru!$X:$X,0)),"")</f>
        <v>Dr. Öğr. Üyesi Aybüke USLU TEKCE</v>
      </c>
    </row>
    <row r="123" spans="14:14" ht="15" customHeight="1" x14ac:dyDescent="0.25">
      <c r="N123" t="str">
        <f>IFERROR(INDEX(Başvuru!$C:$C,MATCH(115,Başvuru!$X:$X,0)),"")</f>
        <v>Dr. Öğr. Üyesi Aycan UYSAL</v>
      </c>
    </row>
    <row r="124" spans="14:14" ht="15" customHeight="1" x14ac:dyDescent="0.25">
      <c r="N124" t="str">
        <f>IFERROR(INDEX(Başvuru!$C:$C,MATCH(116,Başvuru!$X:$X,0)),"")</f>
        <v>Dr. Öğr. Üyesi Aydın Onur GERÇEK</v>
      </c>
    </row>
    <row r="125" spans="14:14" ht="15" customHeight="1" x14ac:dyDescent="0.25">
      <c r="N125" t="str">
        <f>IFERROR(INDEX(Başvuru!$C:$C,MATCH(117,Başvuru!$X:$X,0)),"")</f>
        <v>Dr. Öğr. Üyesi Ayşe METE YEŞİL</v>
      </c>
    </row>
    <row r="126" spans="14:14" ht="15" customHeight="1" x14ac:dyDescent="0.25">
      <c r="N126" t="str">
        <f>IFERROR(INDEX(Başvuru!$C:$C,MATCH(118,Başvuru!$X:$X,0)),"")</f>
        <v>Dr. Öğr. Üyesi Barış KAFA</v>
      </c>
    </row>
    <row r="127" spans="14:14" ht="15" customHeight="1" x14ac:dyDescent="0.25">
      <c r="N127" t="str">
        <f>IFERROR(INDEX(Başvuru!$C:$C,MATCH(119,Başvuru!$X:$X,0)),"")</f>
        <v>Dr. Öğr. Üyesi Bekir ERDEVE</v>
      </c>
    </row>
    <row r="128" spans="14:14" ht="15" customHeight="1" x14ac:dyDescent="0.25">
      <c r="N128" t="str">
        <f>IFERROR(INDEX(Başvuru!$C:$C,MATCH(120,Başvuru!$X:$X,0)),"")</f>
        <v>Dr. Öğr. Üyesi Bengi ÖZTÜRK</v>
      </c>
    </row>
    <row r="129" spans="14:14" ht="15" customHeight="1" x14ac:dyDescent="0.25">
      <c r="N129" t="str">
        <f>IFERROR(INDEX(Başvuru!$C:$C,MATCH(121,Başvuru!$X:$X,0)),"")</f>
        <v>Dr. Öğr. Üyesi Burcu KELLECİ ÇAKIR</v>
      </c>
    </row>
    <row r="130" spans="14:14" ht="15" customHeight="1" x14ac:dyDescent="0.25">
      <c r="N130" t="str">
        <f>IFERROR(INDEX(Başvuru!$C:$C,MATCH(122,Başvuru!$X:$X,0)),"")</f>
        <v>Dr. Öğr. Üyesi Burçe ATAÇ MOGOL</v>
      </c>
    </row>
    <row r="131" spans="14:14" ht="15" customHeight="1" x14ac:dyDescent="0.25">
      <c r="N131" t="str">
        <f>IFERROR(INDEX(Başvuru!$C:$C,MATCH(123,Başvuru!$X:$X,0)),"")</f>
        <v>Dr. Öğr. Üyesi Burkay UTKU</v>
      </c>
    </row>
    <row r="132" spans="14:14" ht="15" customHeight="1" x14ac:dyDescent="0.25">
      <c r="N132" t="str">
        <f>IFERROR(INDEX(Başvuru!$C:$C,MATCH(124,Başvuru!$X:$X,0)),"")</f>
        <v>Dr. Öğr. Üyesi Cenk Ahmet AKCAN</v>
      </c>
    </row>
    <row r="133" spans="14:14" ht="15" customHeight="1" x14ac:dyDescent="0.25">
      <c r="N133" t="str">
        <f>IFERROR(INDEX(Başvuru!$C:$C,MATCH(125,Başvuru!$X:$X,0)),"")</f>
        <v>Dr. Öğr. Üyesi Ece ÖZOĞUL</v>
      </c>
    </row>
    <row r="134" spans="14:14" ht="15" customHeight="1" x14ac:dyDescent="0.25">
      <c r="N134" t="str">
        <f>IFERROR(INDEX(Başvuru!$C:$C,MATCH(126,Başvuru!$X:$X,0)),"")</f>
        <v>Dr. Öğr. Üyesi Emre KARA</v>
      </c>
    </row>
    <row r="135" spans="14:14" ht="15" customHeight="1" x14ac:dyDescent="0.25">
      <c r="N135" t="str">
        <f>IFERROR(INDEX(Başvuru!$C:$C,MATCH(127,Başvuru!$X:$X,0)),"")</f>
        <v>Dr. Öğr. Üyesi Emre MUTLU</v>
      </c>
    </row>
    <row r="136" spans="14:14" ht="15" customHeight="1" x14ac:dyDescent="0.25">
      <c r="N136" t="str">
        <f>IFERROR(INDEX(Başvuru!$C:$C,MATCH(128,Başvuru!$X:$X,0)),"")</f>
        <v>Dr. Öğr. Üyesi Ergin EROĞLU</v>
      </c>
    </row>
    <row r="137" spans="14:14" ht="15" customHeight="1" x14ac:dyDescent="0.25">
      <c r="N137" t="str">
        <f>IFERROR(INDEX(Başvuru!$C:$C,MATCH(129,Başvuru!$X:$X,0)),"")</f>
        <v>Dr. Öğr. Üyesi Evrim ÜNVER</v>
      </c>
    </row>
    <row r="138" spans="14:14" ht="15" customHeight="1" x14ac:dyDescent="0.25">
      <c r="N138" t="str">
        <f>IFERROR(INDEX(Başvuru!$C:$C,MATCH(130,Başvuru!$X:$X,0)),"")</f>
        <v>Dr. Öğr. Üyesi Eylem Şerife KALKAN</v>
      </c>
    </row>
    <row r="139" spans="14:14" ht="15" customHeight="1" x14ac:dyDescent="0.25">
      <c r="N139" t="str">
        <f>IFERROR(INDEX(Başvuru!$C:$C,MATCH(131,Başvuru!$X:$X,0)),"")</f>
        <v>Dr. Öğr. Üyesi Ezgi DOĞAN CÖMERT</v>
      </c>
    </row>
    <row r="140" spans="14:14" ht="15" customHeight="1" x14ac:dyDescent="0.25">
      <c r="N140" t="str">
        <f>IFERROR(INDEX(Başvuru!$C:$C,MATCH(132,Başvuru!$X:$X,0)),"")</f>
        <v>Dr. Öğr. Üyesi Figen BEZCİ AYGÜN</v>
      </c>
    </row>
    <row r="141" spans="14:14" ht="15" customHeight="1" x14ac:dyDescent="0.25">
      <c r="N141" t="str">
        <f>IFERROR(INDEX(Başvuru!$C:$C,MATCH(133,Başvuru!$X:$X,0)),"")</f>
        <v>Dr. Öğr. Üyesi Gizem ÜREL DEMİR</v>
      </c>
    </row>
    <row r="142" spans="14:14" ht="15" customHeight="1" x14ac:dyDescent="0.25">
      <c r="N142" t="str">
        <f>IFERROR(INDEX(Başvuru!$C:$C,MATCH(134,Başvuru!$X:$X,0)),"")</f>
        <v>Dr. Öğr. Üyesi Gonca ÖZTEN DERE</v>
      </c>
    </row>
    <row r="143" spans="14:14" ht="15" customHeight="1" x14ac:dyDescent="0.25">
      <c r="N143" t="str">
        <f>IFERROR(INDEX(Başvuru!$C:$C,MATCH(135,Başvuru!$X:$X,0)),"")</f>
        <v>Dr. Öğr. Üyesi Gökçen AKÇİÇEK</v>
      </c>
    </row>
    <row r="144" spans="14:14" ht="15" customHeight="1" x14ac:dyDescent="0.25">
      <c r="N144" t="str">
        <f>IFERROR(INDEX(Başvuru!$C:$C,MATCH(136,Başvuru!$X:$X,0)),"")</f>
        <v>Dr. Öğr. Üyesi Gökhan AYIK</v>
      </c>
    </row>
    <row r="145" spans="14:14" ht="15" customHeight="1" x14ac:dyDescent="0.25">
      <c r="N145" t="str">
        <f>IFERROR(INDEX(Başvuru!$C:$C,MATCH(137,Başvuru!$X:$X,0)),"")</f>
        <v>Dr. Öğr. Üyesi Gözde ÖZER</v>
      </c>
    </row>
    <row r="146" spans="14:14" ht="15" customHeight="1" x14ac:dyDescent="0.25">
      <c r="N146" t="str">
        <f>IFERROR(INDEX(Başvuru!$C:$C,MATCH(138,Başvuru!$X:$X,0)),"")</f>
        <v>Dr. Öğr. Üyesi Gülden OLGUN</v>
      </c>
    </row>
    <row r="147" spans="14:14" ht="15" customHeight="1" x14ac:dyDescent="0.25">
      <c r="N147" t="str">
        <f>IFERROR(INDEX(Başvuru!$C:$C,MATCH(139,Başvuru!$X:$X,0)),"")</f>
        <v>Dr. Öğr. Üyesi Hanife Merva PARLAK</v>
      </c>
    </row>
    <row r="148" spans="14:14" ht="15" customHeight="1" x14ac:dyDescent="0.25">
      <c r="N148" t="str">
        <f>IFERROR(INDEX(Başvuru!$C:$C,MATCH(140,Başvuru!$X:$X,0)),"")</f>
        <v>Dr. Öğr. Üyesi Hatice BOYACIOĞLU ERDEN</v>
      </c>
    </row>
    <row r="149" spans="14:14" ht="15" customHeight="1" x14ac:dyDescent="0.25">
      <c r="N149" t="str">
        <f>IFERROR(INDEX(Başvuru!$C:$C,MATCH(141,Başvuru!$X:$X,0)),"")</f>
        <v>Dr. Öğr. Üyesi Hayri Can ÖZDEN</v>
      </c>
    </row>
    <row r="150" spans="14:14" ht="15" customHeight="1" x14ac:dyDescent="0.25">
      <c r="N150" t="str">
        <f>IFERROR(INDEX(Başvuru!$C:$C,MATCH(142,Başvuru!$X:$X,0)),"")</f>
        <v>Dr. Öğr. Üyesi Hilal AKDEMİR AKTAŞ</v>
      </c>
    </row>
    <row r="151" spans="14:14" ht="15" customHeight="1" x14ac:dyDescent="0.25">
      <c r="N151" t="str">
        <f>IFERROR(INDEX(Başvuru!$C:$C,MATCH(143,Başvuru!$X:$X,0)),"")</f>
        <v>Dr. Öğr. Üyesi Irmak OCAK</v>
      </c>
    </row>
    <row r="152" spans="14:14" ht="15" customHeight="1" x14ac:dyDescent="0.25">
      <c r="N152" t="str">
        <f>IFERROR(INDEX(Başvuru!$C:$C,MATCH(144,Başvuru!$X:$X,0)),"")</f>
        <v>Dr. Öğr. Üyesi Leyla HUSEYNOVA TERZİ</v>
      </c>
    </row>
    <row r="153" spans="14:14" ht="15" customHeight="1" x14ac:dyDescent="0.25">
      <c r="N153" t="str">
        <f>IFERROR(INDEX(Başvuru!$C:$C,MATCH(145,Başvuru!$X:$X,0)),"")</f>
        <v>Dr. Öğr. Üyesi Merva PARLAK</v>
      </c>
    </row>
    <row r="154" spans="14:14" ht="15" customHeight="1" x14ac:dyDescent="0.25">
      <c r="N154" t="str">
        <f>IFERROR(INDEX(Başvuru!$C:$C,MATCH(146,Başvuru!$X:$X,0)),"")</f>
        <v>Dr. Öğr. Üyesi Muhammed Çağrı KÜLEKCİ</v>
      </c>
    </row>
    <row r="155" spans="14:14" ht="15" customHeight="1" x14ac:dyDescent="0.25">
      <c r="N155" t="str">
        <f>IFERROR(INDEX(Başvuru!$C:$C,MATCH(147,Başvuru!$X:$X,0)),"")</f>
        <v>Dr. Öğr. Üyesi Murat ÇAĞAN</v>
      </c>
    </row>
    <row r="156" spans="14:14" ht="15" customHeight="1" x14ac:dyDescent="0.25">
      <c r="N156" t="str">
        <f>IFERROR(INDEX(Başvuru!$C:$C,MATCH(148,Başvuru!$X:$X,0)),"")</f>
        <v>Dr. Öğr. Üyesi Müge DEMİR</v>
      </c>
    </row>
    <row r="157" spans="14:14" ht="15" customHeight="1" x14ac:dyDescent="0.25">
      <c r="N157" t="str">
        <f>IFERROR(INDEX(Başvuru!$C:$C,MATCH(149,Başvuru!$X:$X,0)),"")</f>
        <v>Dr. Öğr. Üyesi Neslihan TAŞ</v>
      </c>
    </row>
    <row r="158" spans="14:14" ht="15" customHeight="1" x14ac:dyDescent="0.25">
      <c r="N158" t="str">
        <f>IFERROR(INDEX(Başvuru!$C:$C,MATCH(150,Başvuru!$X:$X,0)),"")</f>
        <v>Dr. Öğr. Üyesi Nur Berna ÇELİK ERTAŞ</v>
      </c>
    </row>
    <row r="159" spans="14:14" ht="15" customHeight="1" x14ac:dyDescent="0.25">
      <c r="N159" t="str">
        <f>IFERROR(INDEX(Başvuru!$C:$C,MATCH(151,Başvuru!$X:$X,0)),"")</f>
        <v>Dr. Öğr. Üyesi Oğuzhan KATAR</v>
      </c>
    </row>
    <row r="160" spans="14:14" ht="15" customHeight="1" x14ac:dyDescent="0.25">
      <c r="N160" t="str">
        <f>IFERROR(INDEX(Başvuru!$C:$C,MATCH(152,Başvuru!$X:$X,0)),"")</f>
        <v>Dr. Öğr. Üyesi Onur İNCE</v>
      </c>
    </row>
    <row r="161" spans="14:14" ht="15" customHeight="1" x14ac:dyDescent="0.25">
      <c r="N161" t="str">
        <f>IFERROR(INDEX(Başvuru!$C:$C,MATCH(153,Başvuru!$X:$X,0)),"")</f>
        <v>Dr. Öğr. Üyesi Özge YAVUZ SARI</v>
      </c>
    </row>
    <row r="162" spans="14:14" ht="15" customHeight="1" x14ac:dyDescent="0.25">
      <c r="N162" t="str">
        <f>IFERROR(INDEX(Başvuru!$C:$C,MATCH(154,Başvuru!$X:$X,0)),"")</f>
        <v>Dr. Öğr. Üyesi Salih Eren MERAL</v>
      </c>
    </row>
    <row r="163" spans="14:14" ht="15" customHeight="1" x14ac:dyDescent="0.25">
      <c r="N163" t="str">
        <f>IFERROR(INDEX(Başvuru!$C:$C,MATCH(155,Başvuru!$X:$X,0)),"")</f>
        <v>Dr. Öğr. Üyesi Sefa Burak ÇAM</v>
      </c>
    </row>
    <row r="164" spans="14:14" ht="15" customHeight="1" x14ac:dyDescent="0.25">
      <c r="N164" t="str">
        <f>IFERROR(INDEX(Başvuru!$C:$C,MATCH(156,Başvuru!$X:$X,0)),"")</f>
        <v>Dr. Öğr. Üyesi Sehend DEBBAĞ</v>
      </c>
    </row>
    <row r="165" spans="14:14" ht="15" customHeight="1" x14ac:dyDescent="0.25">
      <c r="N165" t="str">
        <f>IFERROR(INDEX(Başvuru!$C:$C,MATCH(157,Başvuru!$X:$X,0)),"")</f>
        <v>Dr. Öğr. Üyesi Selen ADİLOĞLU</v>
      </c>
    </row>
    <row r="166" spans="14:14" ht="15" customHeight="1" x14ac:dyDescent="0.25">
      <c r="N166" t="str">
        <f>IFERROR(INDEX(Başvuru!$C:$C,MATCH(158,Başvuru!$X:$X,0)),"")</f>
        <v>Dr. Öğr. Üyesi Selin ARDALI DÜZGÜN</v>
      </c>
    </row>
    <row r="167" spans="14:14" ht="15" customHeight="1" x14ac:dyDescent="0.25">
      <c r="N167" t="str">
        <f>IFERROR(INDEX(Başvuru!$C:$C,MATCH(159,Başvuru!$X:$X,0)),"")</f>
        <v>Dr. Öğr. Üyesi Serkan UYSAL</v>
      </c>
    </row>
    <row r="168" spans="14:14" ht="15" customHeight="1" x14ac:dyDescent="0.25">
      <c r="N168" t="str">
        <f>IFERROR(INDEX(Başvuru!$C:$C,MATCH(160,Başvuru!$X:$X,0)),"")</f>
        <v>Dr. Öğr. Üyesi Sevinç ASKERBEYLİ ÖRS</v>
      </c>
    </row>
    <row r="169" spans="14:14" ht="15" customHeight="1" x14ac:dyDescent="0.25">
      <c r="N169" t="str">
        <f>IFERROR(INDEX(Başvuru!$C:$C,MATCH(161,Başvuru!$X:$X,0)),"")</f>
        <v>Dr. Öğr. Üyesi Sinan BALCI</v>
      </c>
    </row>
    <row r="170" spans="14:14" ht="15" customHeight="1" x14ac:dyDescent="0.25">
      <c r="N170" t="str">
        <f>IFERROR(INDEX(Başvuru!$C:$C,MATCH(162,Başvuru!$X:$X,0)),"")</f>
        <v>Dr. Öğr. Üyesi Süleyman BULUT</v>
      </c>
    </row>
    <row r="171" spans="14:14" ht="15" customHeight="1" x14ac:dyDescent="0.25">
      <c r="N171" t="str">
        <f>IFERROR(INDEX(Başvuru!$C:$C,MATCH(163,Başvuru!$X:$X,0)),"")</f>
        <v>Dr. Öğr. Üyesi Yağmur Deniz YILDIRIM</v>
      </c>
    </row>
    <row r="172" spans="14:14" ht="15" customHeight="1" x14ac:dyDescent="0.25">
      <c r="N172" t="str">
        <f>IFERROR(INDEX(Başvuru!$C:$C,MATCH(164,Başvuru!$X:$X,0)),"")</f>
        <v>Dr. Öğr. Üyesi Yasin SARIKAYA</v>
      </c>
    </row>
    <row r="173" spans="14:14" ht="15" customHeight="1" x14ac:dyDescent="0.25">
      <c r="N173" t="str">
        <f>IFERROR(INDEX(Başvuru!$C:$C,MATCH(165,Başvuru!$X:$X,0)),"")</f>
        <v>Dr. Öğr. Üyesi Yavuz Kemal ARIBAŞ</v>
      </c>
    </row>
    <row r="174" spans="14:14" ht="15" customHeight="1" x14ac:dyDescent="0.25">
      <c r="N174" t="str">
        <f>IFERROR(INDEX(Başvuru!$C:$C,MATCH(166,Başvuru!$X:$X,0)),"")</f>
        <v>Dr. Öğr. Üyesi Yiğitcan KARANFİL</v>
      </c>
    </row>
    <row r="175" spans="14:14" ht="15" customHeight="1" x14ac:dyDescent="0.25">
      <c r="N175" t="str">
        <f>IFERROR(INDEX(Başvuru!$C:$C,MATCH(167,Başvuru!$X:$X,0)),"")</f>
        <v>Dr. Vet. Hek. Özgür Doğuş EROL DUYAR</v>
      </c>
    </row>
    <row r="176" spans="14:14" ht="15" customHeight="1" x14ac:dyDescent="0.25">
      <c r="N176" t="str">
        <f>IFERROR(INDEX(Başvuru!$C:$C,MATCH(168,Başvuru!$X:$X,0)),"")</f>
        <v>Öğr. Gör. Dr. Aytekin İDİKUT</v>
      </c>
    </row>
    <row r="177" spans="14:14" ht="15" customHeight="1" x14ac:dyDescent="0.25">
      <c r="N177" t="str">
        <f>IFERROR(INDEX(Başvuru!$C:$C,MATCH(169,Başvuru!$X:$X,0)),"")</f>
        <v>Öğr. Gör. Dr. Bahattin PASLI</v>
      </c>
    </row>
    <row r="178" spans="14:14" ht="15" customHeight="1" x14ac:dyDescent="0.25">
      <c r="N178" t="str">
        <f>IFERROR(INDEX(Başvuru!$C:$C,MATCH(170,Başvuru!$X:$X,0)),"")</f>
        <v>Öğr. Gör. Dr. Berrin BABAOĞLU</v>
      </c>
    </row>
    <row r="179" spans="14:14" ht="15" customHeight="1" x14ac:dyDescent="0.25">
      <c r="N179" t="str">
        <f>IFERROR(INDEX(Başvuru!$C:$C,MATCH(171,Başvuru!$X:$X,0)),"")</f>
        <v>Öğr. Gör. Dr. Buket KILIÇ</v>
      </c>
    </row>
    <row r="180" spans="14:14" ht="15" customHeight="1" x14ac:dyDescent="0.25">
      <c r="N180" t="str">
        <f>IFERROR(INDEX(Başvuru!$C:$C,MATCH(172,Başvuru!$X:$X,0)),"")</f>
        <v>Öğr. Gör. Dr. Burçay TELLİOĞLU</v>
      </c>
    </row>
    <row r="181" spans="14:14" ht="15" customHeight="1" x14ac:dyDescent="0.25">
      <c r="N181" t="str">
        <f>IFERROR(INDEX(Başvuru!$C:$C,MATCH(173,Başvuru!$X:$X,0)),"")</f>
        <v>Öğr. Gör. Dr. Esin ALPDÜNDAR BULUT</v>
      </c>
    </row>
    <row r="182" spans="14:14" ht="15" customHeight="1" x14ac:dyDescent="0.25">
      <c r="N182" t="str">
        <f>IFERROR(INDEX(Başvuru!$C:$C,MATCH(174,Başvuru!$X:$X,0)),"")</f>
        <v>Öğr. Gör. Dr. Helin YÜCEDAĞ GÜNDOĞDU</v>
      </c>
    </row>
    <row r="183" spans="14:14" ht="15" customHeight="1" x14ac:dyDescent="0.25">
      <c r="N183" t="str">
        <f>IFERROR(INDEX(Başvuru!$C:$C,MATCH(175,Başvuru!$X:$X,0)),"")</f>
        <v>Öğr. Gör. Dr. Kemal SARUHAN</v>
      </c>
    </row>
    <row r="184" spans="14:14" ht="15" customHeight="1" x14ac:dyDescent="0.25">
      <c r="N184" t="str">
        <f>IFERROR(INDEX(Başvuru!$C:$C,MATCH(176,Başvuru!$X:$X,0)),"")</f>
        <v>Öğr. Gör. Dr. Pınar ÖZDEMİR YAŞAR</v>
      </c>
    </row>
    <row r="185" spans="14:14" ht="15" customHeight="1" x14ac:dyDescent="0.25">
      <c r="N185" t="str">
        <f>IFERROR(INDEX(Başvuru!$C:$C,MATCH(177,Başvuru!$X:$X,0)),"")</f>
        <v>Öğr. Gör. Dr. Tuğçe TAŞKINDERE ABBASOĞLU</v>
      </c>
    </row>
    <row r="186" spans="14:14" ht="15" customHeight="1" x14ac:dyDescent="0.25">
      <c r="N186" t="str">
        <f>IFERROR(INDEX(Başvuru!$C:$C,MATCH(178,Başvuru!$X:$X,0)),"")</f>
        <v>Öğr. Gör. Dt. Diler DENİZ</v>
      </c>
    </row>
    <row r="187" spans="14:14" ht="15" customHeight="1" x14ac:dyDescent="0.25">
      <c r="N187" t="str">
        <f>IFERROR(INDEX(Başvuru!$C:$C,MATCH(179,Başvuru!$X:$X,0)),"")</f>
        <v>Prof. Dr. Abdullah Ruhi SOYLU</v>
      </c>
    </row>
    <row r="188" spans="14:14" ht="15" customHeight="1" x14ac:dyDescent="0.25">
      <c r="N188" t="str">
        <f>IFERROR(INDEX(Başvuru!$C:$C,MATCH(180,Başvuru!$X:$X,0)),"")</f>
        <v>Prof. Dr. Ahmet SERPER</v>
      </c>
    </row>
    <row r="189" spans="14:14" ht="15" customHeight="1" x14ac:dyDescent="0.25">
      <c r="N189" t="str">
        <f>IFERROR(INDEX(Başvuru!$C:$C,MATCH(181,Başvuru!$X:$X,0)),"")</f>
        <v>Prof. Dr. Ali AKDOĞAN</v>
      </c>
    </row>
    <row r="190" spans="14:14" ht="15" customHeight="1" x14ac:dyDescent="0.25">
      <c r="N190" t="str">
        <f>IFERROR(INDEX(Başvuru!$C:$C,MATCH(182,Başvuru!$X:$X,0)),"")</f>
        <v>Prof. Dr. Ali DURSUN</v>
      </c>
    </row>
    <row r="191" spans="14:14" ht="15" customHeight="1" x14ac:dyDescent="0.25">
      <c r="N191" t="str">
        <f>IFERROR(INDEX(Başvuru!$C:$C,MATCH(183,Başvuru!$X:$X,0)),"")</f>
        <v>Prof. Dr. Ali DÜZOVA</v>
      </c>
    </row>
    <row r="192" spans="14:14" ht="15" customHeight="1" x14ac:dyDescent="0.25">
      <c r="N192" t="str">
        <f>IFERROR(INDEX(Başvuru!$C:$C,MATCH(184,Başvuru!$X:$X,0)),"")</f>
        <v>Prof. Dr. Ali Fuat KALYONCU</v>
      </c>
    </row>
    <row r="193" spans="14:14" ht="15" customHeight="1" x14ac:dyDescent="0.25">
      <c r="N193" t="str">
        <f>IFERROR(INDEX(Başvuru!$C:$C,MATCH(185,Başvuru!$X:$X,0)),"")</f>
        <v>Prof. Dr. Ali Rıza TÜMER</v>
      </c>
    </row>
    <row r="194" spans="14:14" ht="15" customHeight="1" x14ac:dyDescent="0.25">
      <c r="N194" t="str">
        <f>IFERROR(INDEX(Başvuru!$C:$C,MATCH(186,Başvuru!$X:$X,0)),"")</f>
        <v>Prof. Dr. Alp ÇETİN</v>
      </c>
    </row>
    <row r="195" spans="14:14" ht="15" customHeight="1" x14ac:dyDescent="0.25">
      <c r="N195" t="str">
        <f>IFERROR(INDEX(Başvuru!$C:$C,MATCH(187,Başvuru!$X:$X,0)),"")</f>
        <v>Prof. Dr. Alp USUBÜTÜN</v>
      </c>
    </row>
    <row r="196" spans="14:14" ht="15" customHeight="1" x14ac:dyDescent="0.25">
      <c r="N196" t="str">
        <f>IFERROR(INDEX(Başvuru!$C:$C,MATCH(188,Başvuru!$X:$X,0)),"")</f>
        <v>Prof. Dr. Alper AKTAŞ</v>
      </c>
    </row>
    <row r="197" spans="14:14" ht="15" customHeight="1" x14ac:dyDescent="0.25">
      <c r="N197" t="str">
        <f>IFERROR(INDEX(Başvuru!$C:$C,MATCH(189,Başvuru!$X:$X,0)),"")</f>
        <v>Prof. Dr. Arzu TOPELİ İSKİT</v>
      </c>
    </row>
    <row r="198" spans="14:14" ht="15" customHeight="1" x14ac:dyDescent="0.25">
      <c r="N198" t="str">
        <f>IFERROR(INDEX(Başvuru!$C:$C,MATCH(190,Başvuru!$X:$X,0)),"")</f>
        <v>Prof. Dr. Aygin EKİNCİOĞLU</v>
      </c>
    </row>
    <row r="199" spans="14:14" ht="15" customHeight="1" x14ac:dyDescent="0.25">
      <c r="N199" t="str">
        <f>IFERROR(INDEX(Başvuru!$C:$C,MATCH(191,Başvuru!$X:$X,0)),"")</f>
        <v>Prof. Dr. Ayşe KİN İŞLER</v>
      </c>
    </row>
    <row r="200" spans="14:14" ht="15" customHeight="1" x14ac:dyDescent="0.25">
      <c r="N200" t="str">
        <f>IFERROR(INDEX(Başvuru!$C:$C,MATCH(192,Başvuru!$X:$X,0)),"")</f>
        <v>Prof. Dr. Ayşe Tomris ERBAŞ</v>
      </c>
    </row>
    <row r="201" spans="14:14" ht="15" customHeight="1" x14ac:dyDescent="0.25">
      <c r="N201" t="str">
        <f>IFERROR(INDEX(Başvuru!$C:$C,MATCH(193,Başvuru!$X:$X,0)),"")</f>
        <v>Prof. Dr. B. Barış KUŞKONMAZ</v>
      </c>
    </row>
    <row r="202" spans="14:14" ht="15" customHeight="1" x14ac:dyDescent="0.25">
      <c r="N202" t="str">
        <f>IFERROR(INDEX(Başvuru!$C:$C,MATCH(194,Başvuru!$X:$X,0)),"")</f>
        <v>Prof. Dr. Bahar GÜÇİZ DOĞAN</v>
      </c>
    </row>
    <row r="203" spans="14:14" ht="15" customHeight="1" x14ac:dyDescent="0.25">
      <c r="N203" t="str">
        <f>IFERROR(INDEX(Başvuru!$C:$C,MATCH(195,Başvuru!$X:$X,0)),"")</f>
        <v>Prof. Dr. Banu KILIÇASLAN</v>
      </c>
    </row>
    <row r="204" spans="14:14" ht="15" customHeight="1" x14ac:dyDescent="0.25">
      <c r="N204" t="str">
        <f>IFERROR(INDEX(Başvuru!$C:$C,MATCH(196,Başvuru!$X:$X,0)),"")</f>
        <v>Prof. Dr. Banu SANCAK</v>
      </c>
    </row>
    <row r="205" spans="14:14" ht="15" customHeight="1" x14ac:dyDescent="0.25">
      <c r="N205" t="str">
        <f>IFERROR(INDEX(Başvuru!$C:$C,MATCH(197,Başvuru!$X:$X,0)),"")</f>
        <v>Prof. Dr. Bayram ŞAHİN</v>
      </c>
    </row>
    <row r="206" spans="14:14" ht="15" customHeight="1" x14ac:dyDescent="0.25">
      <c r="N206" t="str">
        <f>IFERROR(INDEX(Başvuru!$C:$C,MATCH(198,Başvuru!$X:$X,0)),"")</f>
        <v>Prof. Dr. Betül ÇELEBİ SALTIK</v>
      </c>
    </row>
    <row r="207" spans="14:14" ht="15" customHeight="1" x14ac:dyDescent="0.25">
      <c r="N207" t="str">
        <f>IFERROR(INDEX(Başvuru!$C:$C,MATCH(199,Başvuru!$X:$X,0)),"")</f>
        <v>Prof. Dr. Bilge VOLKAN SALANCI</v>
      </c>
    </row>
    <row r="208" spans="14:14" ht="15" customHeight="1" x14ac:dyDescent="0.25">
      <c r="N208" t="str">
        <f>IFERROR(INDEX(Başvuru!$C:$C,MATCH(200,Başvuru!$X:$X,0)),"")</f>
        <v>Prof. Dr. Bora GÜLHAN</v>
      </c>
    </row>
    <row r="209" spans="14:14" ht="15" customHeight="1" x14ac:dyDescent="0.25">
      <c r="N209" t="str">
        <f>IFERROR(INDEX(Başvuru!$C:$C,MATCH(201,Başvuru!$X:$X,0)),"")</f>
        <v>Prof. Dr. Burcu Balam DOĞU</v>
      </c>
    </row>
    <row r="210" spans="14:14" ht="15" customHeight="1" x14ac:dyDescent="0.25">
      <c r="N210" t="str">
        <f>IFERROR(INDEX(Başvuru!$C:$C,MATCH(202,Başvuru!$X:$X,0)),"")</f>
        <v>Prof. Dr. Bülent ALTUN</v>
      </c>
    </row>
    <row r="211" spans="14:14" ht="15" customHeight="1" x14ac:dyDescent="0.25">
      <c r="N211" t="str">
        <f>IFERROR(INDEX(Başvuru!$C:$C,MATCH(203,Başvuru!$X:$X,0)),"")</f>
        <v>Prof. Dr. Bülent ATİLLA</v>
      </c>
    </row>
    <row r="212" spans="14:14" ht="15" customHeight="1" x14ac:dyDescent="0.25">
      <c r="N212" t="str">
        <f>IFERROR(INDEX(Başvuru!$C:$C,MATCH(204,Başvuru!$X:$X,0)),"")</f>
        <v>Prof. Dr. Bülent Enis ŞEKEREL</v>
      </c>
    </row>
    <row r="213" spans="14:14" ht="15" customHeight="1" x14ac:dyDescent="0.25">
      <c r="N213" t="str">
        <f>IFERROR(INDEX(Başvuru!$C:$C,MATCH(205,Başvuru!$X:$X,0)),"")</f>
        <v>Prof. Dr. Cavit Işık YAVUZ</v>
      </c>
    </row>
    <row r="214" spans="14:14" ht="15" customHeight="1" x14ac:dyDescent="0.25">
      <c r="N214" t="str">
        <f>IFERROR(INDEX(Başvuru!$C:$C,MATCH(206,Başvuru!$X:$X,0)),"")</f>
        <v>Prof. Dr. Cengiz KILIÇ</v>
      </c>
    </row>
    <row r="215" spans="14:14" ht="15" customHeight="1" x14ac:dyDescent="0.25">
      <c r="N215" t="str">
        <f>IFERROR(INDEX(Başvuru!$C:$C,MATCH(207,Başvuru!$X:$X,0)),"")</f>
        <v>Prof. Dr. Çağrı Mesut TEMUÇİN</v>
      </c>
    </row>
    <row r="216" spans="14:14" ht="15" customHeight="1" x14ac:dyDescent="0.25">
      <c r="N216" t="str">
        <f>IFERROR(INDEX(Başvuru!$C:$C,MATCH(208,Başvuru!$X:$X,0)),"")</f>
        <v>Prof. Dr. Deniz ÇAĞDAŞ AYVAZ</v>
      </c>
    </row>
    <row r="217" spans="14:14" ht="15" customHeight="1" x14ac:dyDescent="0.25">
      <c r="N217" t="str">
        <f>IFERROR(INDEX(Başvuru!$C:$C,MATCH(209,Başvuru!$X:$X,0)),"")</f>
        <v>Prof. Dr. Deniz DOĞRU ERSÖZ</v>
      </c>
    </row>
    <row r="218" spans="14:14" ht="15" customHeight="1" x14ac:dyDescent="0.25">
      <c r="N218" t="str">
        <f>IFERROR(INDEX(Başvuru!$C:$C,MATCH(210,Başvuru!$X:$X,0)),"")</f>
        <v>Prof. Dr. Devrim AKDEMİR</v>
      </c>
    </row>
    <row r="219" spans="14:14" ht="15" customHeight="1" x14ac:dyDescent="0.25">
      <c r="N219" t="str">
        <f>IFERROR(INDEX(Başvuru!$C:$C,MATCH(211,Başvuru!$X:$X,0)),"")</f>
        <v>Prof. Dr. Dilek ASLAN</v>
      </c>
    </row>
    <row r="220" spans="14:14" ht="15" customHeight="1" x14ac:dyDescent="0.25">
      <c r="N220" s="190" t="str">
        <f>IFERROR(INDEX(Başvuru!$C:$C,MATCH(212,Başvuru!$X:$X,0)),"")</f>
        <v>Prof. Dr. Dilşad FOTO ÖZDEMİR</v>
      </c>
    </row>
    <row r="221" spans="14:14" ht="15" customHeight="1" x14ac:dyDescent="0.25">
      <c r="N221" t="str">
        <f>IFERROR(INDEX(Başvuru!$C:$C,MATCH(213,Başvuru!$X:$X,0)),"")</f>
        <v>Prof. Dr. Ebru AYPAR</v>
      </c>
    </row>
    <row r="222" spans="14:14" ht="15" customHeight="1" x14ac:dyDescent="0.25">
      <c r="N222" t="str">
        <f>IFERROR(INDEX(Başvuru!$C:$C,MATCH(214,Başvuru!$X:$X,0)),"")</f>
        <v>Prof. Dr. Ebru DAMADOĞLU</v>
      </c>
    </row>
    <row r="223" spans="14:14" ht="15" customHeight="1" x14ac:dyDescent="0.25">
      <c r="N223" t="str">
        <f>IFERROR(INDEX(Başvuru!$C:$C,MATCH(215,Başvuru!$X:$X,0)),"")</f>
        <v>Prof. Dr. Egemen TURHAN</v>
      </c>
    </row>
    <row r="224" spans="14:14" ht="15" customHeight="1" x14ac:dyDescent="0.25">
      <c r="N224" t="str">
        <f>IFERROR(INDEX(Başvuru!$C:$C,MATCH(216,Başvuru!$X:$X,0)),"")</f>
        <v>Prof. Dr. Elmas Ebru YALÇIN</v>
      </c>
    </row>
    <row r="225" spans="14:14" ht="15" customHeight="1" x14ac:dyDescent="0.25">
      <c r="N225" t="str">
        <f>IFERROR(INDEX(Başvuru!$C:$C,MATCH(217,Başvuru!$X:$X,0)),"")</f>
        <v>Prof. Dr. Emel UZUNOĞLU ÖZYÜREK</v>
      </c>
    </row>
    <row r="226" spans="14:14" ht="15" customHeight="1" x14ac:dyDescent="0.25">
      <c r="N226" t="str">
        <f>IFERROR(INDEX(Başvuru!$C:$C,MATCH(218,Başvuru!$X:$X,0)),"")</f>
        <v>Prof. Dr. Emre TOSUN</v>
      </c>
    </row>
    <row r="227" spans="14:14" ht="15" customHeight="1" x14ac:dyDescent="0.25">
      <c r="N227" t="str">
        <f>IFERROR(INDEX(Başvuru!$C:$C,MATCH(219,Başvuru!$X:$X,0)),"")</f>
        <v>Prof. Dr. Erdem KARABULUT</v>
      </c>
    </row>
    <row r="228" spans="14:14" ht="15" customHeight="1" x14ac:dyDescent="0.25">
      <c r="N228" t="str">
        <f>IFERROR(INDEX(Başvuru!$C:$C,MATCH(220,Başvuru!$X:$X,0)),"")</f>
        <v>Prof. Dr. Esra BİRBEN</v>
      </c>
    </row>
    <row r="229" spans="14:14" ht="15" customHeight="1" x14ac:dyDescent="0.25">
      <c r="N229" t="str">
        <f>IFERROR(INDEX(Başvuru!$C:$C,MATCH(221,Başvuru!$X:$X,0)),"")</f>
        <v>Prof. Dr. Esra Burcu SAĞLAM</v>
      </c>
    </row>
    <row r="230" spans="14:14" ht="15" customHeight="1" x14ac:dyDescent="0.25">
      <c r="N230" t="str">
        <f>IFERROR(INDEX(Başvuru!$C:$C,MATCH(222,Başvuru!$X:$X,0)),"")</f>
        <v>Prof. Dr. Fadime İrsel TEZER FİLİK</v>
      </c>
    </row>
    <row r="231" spans="14:14" ht="15" customHeight="1" x14ac:dyDescent="0.25">
      <c r="N231" t="str">
        <f>IFERROR(INDEX(Başvuru!$C:$C,MATCH(223,Başvuru!$X:$X,0)),"")</f>
        <v>Prof. Dr. Faruk ÖZTÜRK</v>
      </c>
    </row>
    <row r="232" spans="14:14" ht="15" customHeight="1" x14ac:dyDescent="0.25">
      <c r="N232" t="str">
        <f>IFERROR(INDEX(Başvuru!$C:$C,MATCH(224,Başvuru!$X:$X,0)),"")</f>
        <v>Prof. Dr. Fatma Gökçem YILDIZ SARIKAYA</v>
      </c>
    </row>
    <row r="233" spans="14:14" ht="15" customHeight="1" x14ac:dyDescent="0.25">
      <c r="N233" t="str">
        <f>IFERROR(INDEX(Başvuru!$C:$C,MATCH(225,Başvuru!$X:$X,0)),"")</f>
        <v>Prof. Dr. Fatma Visal OKUR</v>
      </c>
    </row>
    <row r="234" spans="14:14" ht="15" customHeight="1" x14ac:dyDescent="0.25">
      <c r="N234" t="str">
        <f>IFERROR(INDEX(Başvuru!$C:$C,MATCH(226,Başvuru!$X:$X,0)),"")</f>
        <v>Prof. Dr. Filiz ÜZÜMCÜGİL</v>
      </c>
    </row>
    <row r="235" spans="14:14" ht="15" customHeight="1" x14ac:dyDescent="0.25">
      <c r="N235" t="str">
        <f>IFERROR(INDEX(Başvuru!$C:$C,MATCH(227,Başvuru!$X:$X,0)),"")</f>
        <v>Prof. Dr. Filiz YALÇIN</v>
      </c>
    </row>
    <row r="236" spans="14:14" ht="15" customHeight="1" x14ac:dyDescent="0.25">
      <c r="N236" t="str">
        <f>IFERROR(INDEX(Başvuru!$C:$C,MATCH(228,Başvuru!$X:$X,0)),"")</f>
        <v>Prof. Dr. Gökçen ÇOBAN ÇİFÇİ</v>
      </c>
    </row>
    <row r="237" spans="14:14" ht="15" customHeight="1" x14ac:dyDescent="0.25">
      <c r="N237" t="str">
        <f>IFERROR(INDEX(Başvuru!$C:$C,MATCH(229,Başvuru!$X:$X,0)),"")</f>
        <v>Prof. Dr. Göknur HALİLOĞLU</v>
      </c>
    </row>
    <row r="238" spans="14:14" ht="15" customHeight="1" x14ac:dyDescent="0.25">
      <c r="N238" t="str">
        <f>IFERROR(INDEX(Başvuru!$C:$C,MATCH(230,Başvuru!$X:$X,0)),"")</f>
        <v>Prof. Dr. Gül KARAKAYA</v>
      </c>
    </row>
    <row r="239" spans="14:14" ht="15" customHeight="1" x14ac:dyDescent="0.25">
      <c r="N239" s="190" t="str">
        <f>IFERROR(INDEX(Başvuru!$C:$C,MATCH(231,Başvuru!$X:$X,0)),"")</f>
        <v>Prof. Dr. Gülay SAİN GÜVEN</v>
      </c>
    </row>
    <row r="240" spans="14:14" ht="15" customHeight="1" x14ac:dyDescent="0.25">
      <c r="N240" t="str">
        <f>IFERROR(INDEX(Başvuru!$C:$C,MATCH(232,Başvuru!$X:$X,0)),"")</f>
        <v>Prof. Dr. Gülen Eda ÜTİNE</v>
      </c>
    </row>
    <row r="241" spans="14:14" ht="15" customHeight="1" x14ac:dyDescent="0.25">
      <c r="N241" t="str">
        <f>IFERROR(INDEX(Başvuru!$C:$C,MATCH(233,Başvuru!$X:$X,0)),"")</f>
        <v>Prof. Dr. Güliz AKTAŞ</v>
      </c>
    </row>
    <row r="242" spans="14:14" ht="15" customHeight="1" x14ac:dyDescent="0.25">
      <c r="N242" s="190" t="str">
        <f>IFERROR(INDEX(Başvuru!$C:$C,MATCH(234,Başvuru!$X:$X,0)),"")</f>
        <v>Prof. Dr. Güliz Nigar GÜNCÜ</v>
      </c>
    </row>
    <row r="243" spans="14:14" ht="15" customHeight="1" x14ac:dyDescent="0.25">
      <c r="N243" t="str">
        <f>IFERROR(INDEX(Başvuru!$C:$C,MATCH(235,Başvuru!$X:$X,0)),"")</f>
        <v>Prof. Dr. Gülten GÜVENÇ
Doç. Dr. Gölşah KÖK</v>
      </c>
    </row>
    <row r="244" spans="14:14" ht="15" customHeight="1" x14ac:dyDescent="0.25">
      <c r="N244" t="str">
        <f>IFERROR(INDEX(Başvuru!$C:$C,MATCH(236,Başvuru!$X:$X,0)),"")</f>
        <v>Prof. Dr. Hakan GÖKER</v>
      </c>
    </row>
    <row r="245" spans="14:14" ht="15" customHeight="1" x14ac:dyDescent="0.25">
      <c r="N245" t="str">
        <f>IFERROR(INDEX(Başvuru!$C:$C,MATCH(237,Başvuru!$X:$X,0)),"")</f>
        <v>Prof. Dr. Hakan Hıfzı TÜZ</v>
      </c>
    </row>
    <row r="246" spans="14:14" ht="15" customHeight="1" x14ac:dyDescent="0.25">
      <c r="N246" t="str">
        <f>IFERROR(INDEX(Başvuru!$C:$C,MATCH(238,Başvuru!$X:$X,0)),"")</f>
        <v>Prof. Dr. Hakan UZUN</v>
      </c>
    </row>
    <row r="247" spans="14:14" ht="15" customHeight="1" x14ac:dyDescent="0.25">
      <c r="N247" t="str">
        <f>IFERROR(INDEX(Başvuru!$C:$C,MATCH(239,Başvuru!$X:$X,0)),"")</f>
        <v>Prof. Dr. Hande TAYLAN ŞEKEROĞLU</v>
      </c>
    </row>
    <row r="248" spans="14:14" ht="15" customHeight="1" x14ac:dyDescent="0.25">
      <c r="N248" t="str">
        <f>IFERROR(INDEX(Başvuru!$C:$C,MATCH(240,Başvuru!$X:$X,0)),"")</f>
        <v>Prof. Dr. Hasan Serkan DOĞAN</v>
      </c>
    </row>
    <row r="249" spans="14:14" ht="15" customHeight="1" x14ac:dyDescent="0.25">
      <c r="N249" t="str">
        <f>IFERROR(INDEX(Başvuru!$C:$C,MATCH(241,Başvuru!$X:$X,0)),"")</f>
        <v>Prof. Dr. Hatice DOĞAN BUZOĞLU</v>
      </c>
    </row>
    <row r="250" spans="14:14" ht="15" customHeight="1" x14ac:dyDescent="0.25">
      <c r="N250" t="str">
        <f>IFERROR(INDEX(Başvuru!$C:$C,MATCH(242,Başvuru!$X:$X,0)),"")</f>
        <v>Prof. Dr. Hatice Yasemin BALABAN</v>
      </c>
    </row>
    <row r="251" spans="14:14" ht="15" customHeight="1" x14ac:dyDescent="0.25">
      <c r="N251" t="str">
        <f>IFERROR(INDEX(Başvuru!$C:$C,MATCH(243,Başvuru!$X:$X,0)),"")</f>
        <v>Prof. Dr. Hikmet YORGUN</v>
      </c>
    </row>
    <row r="252" spans="14:14" ht="15" customHeight="1" x14ac:dyDescent="0.25">
      <c r="N252" t="str">
        <f>IFERROR(INDEX(Başvuru!$C:$C,MATCH(244,Başvuru!$X:$X,0)),"")</f>
        <v>Prof. Dr. Hülya DEMİR</v>
      </c>
    </row>
    <row r="253" spans="14:14" ht="15" customHeight="1" x14ac:dyDescent="0.25">
      <c r="N253" t="str">
        <f>IFERROR(INDEX(Başvuru!$C:$C,MATCH(245,Başvuru!$X:$X,0)),"")</f>
        <v>Prof. Dr. Hüseyin Gencay KEÇELİ</v>
      </c>
    </row>
    <row r="254" spans="14:14" ht="15" customHeight="1" x14ac:dyDescent="0.25">
      <c r="N254" t="str">
        <f>IFERROR(INDEX(Başvuru!$C:$C,MATCH(246,Başvuru!$X:$X,0)),"")</f>
        <v>Prof. Dr. İlker ERTUĞRUL</v>
      </c>
    </row>
    <row r="255" spans="14:14" ht="15" customHeight="1" x14ac:dyDescent="0.25">
      <c r="N255" t="str">
        <f>IFERROR(INDEX(Başvuru!$C:$C,MATCH(247,Başvuru!$X:$X,0)),"")</f>
        <v>Prof. Dr. İnci Nur SALTIK</v>
      </c>
    </row>
    <row r="256" spans="14:14" ht="15" customHeight="1" x14ac:dyDescent="0.25">
      <c r="N256" t="str">
        <f>IFERROR(INDEX(Başvuru!$C:$C,MATCH(248,Başvuru!$X:$X,0)),"")</f>
        <v>Prof. Dr. İncilay LAY</v>
      </c>
    </row>
    <row r="257" spans="14:14" ht="15" customHeight="1" x14ac:dyDescent="0.25">
      <c r="N257" t="str">
        <f>IFERROR(INDEX(Başvuru!$C:$C,MATCH(249,Başvuru!$X:$X,0)),"")</f>
        <v>Prof. Dr. Jale KARAKAYA</v>
      </c>
    </row>
    <row r="258" spans="14:14" ht="15" customHeight="1" x14ac:dyDescent="0.25">
      <c r="N258" t="str">
        <f>IFERROR(INDEX(Başvuru!$C:$C,MATCH(250,Başvuru!$X:$X,0)),"")</f>
        <v>Prof. Dr. Kasım KARATAŞ</v>
      </c>
    </row>
    <row r="259" spans="14:14" ht="15" customHeight="1" x14ac:dyDescent="0.25">
      <c r="N259" t="str">
        <f>IFERROR(INDEX(Başvuru!$C:$C,MATCH(251,Başvuru!$X:$X,0)),"")</f>
        <v>Prof. Dr. Kıvanç AKÇA</v>
      </c>
    </row>
    <row r="260" spans="14:14" ht="15" customHeight="1" x14ac:dyDescent="0.25">
      <c r="N260" t="str">
        <f>IFERROR(INDEX(Başvuru!$C:$C,MATCH(252,Başvuru!$X:$X,0)),"")</f>
        <v>Prof. Dr. Kudret AYTEMİR</v>
      </c>
    </row>
    <row r="261" spans="14:14" ht="15" customHeight="1" x14ac:dyDescent="0.25">
      <c r="N261" t="str">
        <f>IFERROR(INDEX(Başvuru!$C:$C,MATCH(253,Başvuru!$X:$X,0)),"")</f>
        <v>Prof. Dr. Lale KARAKOÇ SÖKMENSÜER</v>
      </c>
    </row>
    <row r="262" spans="14:14" ht="15" customHeight="1" x14ac:dyDescent="0.25">
      <c r="N262" t="str">
        <f>IFERROR(INDEX(Başvuru!$C:$C,MATCH(254,Başvuru!$X:$X,0)),"")</f>
        <v>Prof. Dr. Levent ÖZÇAKAR</v>
      </c>
    </row>
    <row r="263" spans="14:14" ht="15" customHeight="1" x14ac:dyDescent="0.25">
      <c r="N263" t="str">
        <f>IFERROR(INDEX(Başvuru!$C:$C,MATCH(255,Başvuru!$X:$X,0)),"")</f>
        <v>Prof. Dr. Levent SENNAROĞLU</v>
      </c>
    </row>
    <row r="264" spans="14:14" ht="15" customHeight="1" x14ac:dyDescent="0.25">
      <c r="N264" t="str">
        <f>IFERROR(INDEX(Başvuru!$C:$C,MATCH(256,Başvuru!$X:$X,0)),"")</f>
        <v>Prof. Dr. Lokman UZUN</v>
      </c>
    </row>
    <row r="265" spans="14:14" ht="15" customHeight="1" x14ac:dyDescent="0.25">
      <c r="N265" t="str">
        <f>IFERROR(INDEX(Başvuru!$C:$C,MATCH(257,Başvuru!$X:$X,0)),"")</f>
        <v>Prof. Dr. M. Özgür UYANIK</v>
      </c>
    </row>
    <row r="266" spans="14:14" ht="15" customHeight="1" x14ac:dyDescent="0.25">
      <c r="N266" t="str">
        <f>IFERROR(INDEX(Başvuru!$C:$C,MATCH(258,Başvuru!$X:$X,0)),"")</f>
        <v>Prof. Dr. Mehmet Akif TOPÇUOĞLU</v>
      </c>
    </row>
    <row r="267" spans="14:14" ht="15" customHeight="1" x14ac:dyDescent="0.25">
      <c r="N267" t="str">
        <f>IFERROR(INDEX(Başvuru!$C:$C,MATCH(259,Başvuru!$X:$X,0)),"")</f>
        <v>Prof. Dr. Mehmet AYVAZ</v>
      </c>
    </row>
    <row r="268" spans="14:14" ht="15" customHeight="1" x14ac:dyDescent="0.25">
      <c r="N268" t="str">
        <f>IFERROR(INDEX(Başvuru!$C:$C,MATCH(260,Başvuru!$X:$X,0)),"")</f>
        <v>Prof. Dr. Mehmet Cemalettin AKSOY</v>
      </c>
    </row>
    <row r="269" spans="14:14" ht="15" customHeight="1" x14ac:dyDescent="0.25">
      <c r="N269" t="str">
        <f>IFERROR(INDEX(Başvuru!$C:$C,MATCH(261,Başvuru!$X:$X,0)),"")</f>
        <v>Prof. Dr. Melek Dilek TURGUT</v>
      </c>
    </row>
    <row r="270" spans="14:14" ht="15" customHeight="1" x14ac:dyDescent="0.25">
      <c r="N270" t="str">
        <f>IFERROR(INDEX(Başvuru!$C:$C,MATCH(262,Başvuru!$X:$X,0)),"")</f>
        <v>Prof. Dr. Melih Önder BABAOĞLU</v>
      </c>
    </row>
    <row r="271" spans="14:14" ht="15" customHeight="1" x14ac:dyDescent="0.25">
      <c r="N271" t="str">
        <f>IFERROR(INDEX(Başvuru!$C:$C,MATCH(263,Başvuru!$X:$X,0)),"")</f>
        <v>Prof. Dr. Meltem Gülhan HALİL</v>
      </c>
    </row>
    <row r="272" spans="14:14" ht="15" customHeight="1" x14ac:dyDescent="0.25">
      <c r="N272" t="str">
        <f>IFERROR(INDEX(Başvuru!$C:$C,MATCH(264,Başvuru!$X:$X,0)),"")</f>
        <v>Prof. Dr. Mert ÇALIŞ</v>
      </c>
    </row>
    <row r="273" spans="14:14" ht="15" customHeight="1" x14ac:dyDescent="0.25">
      <c r="N273" t="str">
        <f>IFERROR(INDEX(Başvuru!$C:$C,MATCH(265,Başvuru!$X:$X,0)),"")</f>
        <v>Prof. Dr. Meryem Aslı TUNCER</v>
      </c>
    </row>
    <row r="274" spans="14:14" ht="15" customHeight="1" x14ac:dyDescent="0.25">
      <c r="N274" t="str">
        <f>IFERROR(INDEX(Başvuru!$C:$C,MATCH(266,Başvuru!$X:$X,0)),"")</f>
        <v>Prof. Dr. Meryem UZAMIŞ TEKÇİÇEK</v>
      </c>
    </row>
    <row r="275" spans="14:14" ht="15" customHeight="1" x14ac:dyDescent="0.25">
      <c r="N275" t="str">
        <f>IFERROR(INDEX(Başvuru!$C:$C,MATCH(267,Başvuru!$X:$X,0)),"")</f>
        <v>Prof. Dr. Murat GÜLTEKİN</v>
      </c>
    </row>
    <row r="276" spans="14:14" ht="15" customHeight="1" x14ac:dyDescent="0.25">
      <c r="N276" t="str">
        <f>IFERROR(INDEX(Başvuru!$C:$C,MATCH(268,Başvuru!$X:$X,0)),"")</f>
        <v>Prof. Dr. Murat TUNCEL</v>
      </c>
    </row>
    <row r="277" spans="14:14" ht="15" customHeight="1" x14ac:dyDescent="0.25">
      <c r="N277" t="str">
        <f>IFERROR(INDEX(Başvuru!$C:$C,MATCH(269,Başvuru!$X:$X,0)),"")</f>
        <v>Prof. Dr. Mustafa Barış GÜNCÜ</v>
      </c>
    </row>
    <row r="278" spans="14:14" ht="15" customHeight="1" x14ac:dyDescent="0.25">
      <c r="N278" t="str">
        <f>IFERROR(INDEX(Başvuru!$C:$C,MATCH(270,Başvuru!$X:$X,0)),"")</f>
        <v>Prof. Dr. Mustafa BERKER</v>
      </c>
    </row>
    <row r="279" spans="14:14" ht="15" customHeight="1" x14ac:dyDescent="0.25">
      <c r="N279" t="str">
        <f>IFERROR(INDEX(Başvuru!$C:$C,MATCH(271,Başvuru!$X:$X,0)),"")</f>
        <v>Prof. Dr. Mustafa CANKURTARAN</v>
      </c>
    </row>
    <row r="280" spans="14:14" ht="15" customHeight="1" x14ac:dyDescent="0.25">
      <c r="N280" t="str">
        <f>IFERROR(INDEX(Başvuru!$C:$C,MATCH(272,Başvuru!$X:$X,0)),"")</f>
        <v>Prof. Dr. Mustafa Kerem VURAL</v>
      </c>
    </row>
    <row r="281" spans="14:14" ht="15" customHeight="1" x14ac:dyDescent="0.25">
      <c r="N281" t="str">
        <f>IFERROR(INDEX(Başvuru!$C:$C,MATCH(273,Başvuru!$X:$X,0)),"")</f>
        <v>Prof. Dr. Münip Gökhan TUNÇBİLEK</v>
      </c>
    </row>
    <row r="282" spans="14:14" ht="15" customHeight="1" x14ac:dyDescent="0.25">
      <c r="N282" t="str">
        <f>IFERROR(INDEX(Başvuru!$C:$C,MATCH(274,Başvuru!$X:$X,0)),"")</f>
        <v>Prof. Dr. Müzeyyen Pınar ÖZGEN KIRATLI</v>
      </c>
    </row>
    <row r="283" spans="14:14" ht="15" customHeight="1" x14ac:dyDescent="0.25">
      <c r="N283" t="str">
        <f>IFERROR(INDEX(Başvuru!$C:$C,MATCH(275,Başvuru!$X:$X,0)),"")</f>
        <v>Prof. Dr. N. Dilara ZEYBEK</v>
      </c>
    </row>
    <row r="284" spans="14:14" ht="15" customHeight="1" x14ac:dyDescent="0.25">
      <c r="N284" t="str">
        <f>IFERROR(INDEX(Başvuru!$C:$C,MATCH(276,Başvuru!$X:$X,0)),"")</f>
        <v>Prof. Dr. Nagehan EMİRALİOĞLU ORDUKAYA</v>
      </c>
    </row>
    <row r="285" spans="14:14" ht="15" customHeight="1" x14ac:dyDescent="0.25">
      <c r="N285" t="str">
        <f>IFERROR(INDEX(Başvuru!$C:$C,MATCH(277,Başvuru!$X:$X,0)),"")</f>
        <v>Prof. Dr. Neşe DERİCİOĞLU</v>
      </c>
    </row>
    <row r="286" spans="14:14" ht="15" customHeight="1" x14ac:dyDescent="0.25">
      <c r="N286" t="str">
        <f>IFERROR(INDEX(Başvuru!$C:$C,MATCH(278,Başvuru!$X:$X,0)),"")</f>
        <v>Prof. Dr. Oğuz IŞIK</v>
      </c>
    </row>
    <row r="287" spans="14:14" ht="15" customHeight="1" x14ac:dyDescent="0.25">
      <c r="N287" t="str">
        <f>IFERROR(INDEX(Başvuru!$C:$C,MATCH(279,Başvuru!$X:$X,0)),"")</f>
        <v>Prof. Dr. Oğuz KUŞCU</v>
      </c>
    </row>
    <row r="288" spans="14:14" ht="15" customHeight="1" x14ac:dyDescent="0.25">
      <c r="N288" t="str">
        <f>IFERROR(INDEX(Başvuru!$C:$C,MATCH(280,Başvuru!$X:$X,0)),"")</f>
        <v>Prof. Dr. Okan Bülent YILDIZ</v>
      </c>
    </row>
    <row r="289" spans="14:14" ht="15" customHeight="1" x14ac:dyDescent="0.25">
      <c r="N289" t="str">
        <f>IFERROR(INDEX(Başvuru!$C:$C,MATCH(281,Başvuru!$X:$X,0)),"")</f>
        <v>Prof. Dr. Orhan ODABAŞI</v>
      </c>
    </row>
    <row r="290" spans="14:14" ht="15" customHeight="1" x14ac:dyDescent="0.25">
      <c r="N290" t="str">
        <f>IFERROR(INDEX(Başvuru!$C:$C,MATCH(282,Başvuru!$X:$X,0)),"")</f>
        <v>Prof. Dr. Oya ÖZDEMİR</v>
      </c>
    </row>
    <row r="291" spans="14:14" ht="15" customHeight="1" x14ac:dyDescent="0.25">
      <c r="N291" t="str">
        <f>IFERROR(INDEX(Başvuru!$C:$C,MATCH(283,Başvuru!$X:$X,0)),"")</f>
        <v>Prof. Dr. Ömer Alper GÜRLEK</v>
      </c>
    </row>
    <row r="292" spans="14:14" ht="15" customHeight="1" x14ac:dyDescent="0.25">
      <c r="N292" t="str">
        <f>IFERROR(INDEX(Başvuru!$C:$C,MATCH(284,Başvuru!$X:$X,0)),"")</f>
        <v>Prof. Dr. Ömer KARADAĞ</v>
      </c>
    </row>
    <row r="293" spans="14:14" ht="15" customHeight="1" x14ac:dyDescent="0.25">
      <c r="N293" t="str">
        <f>IFERROR(INDEX(Başvuru!$C:$C,MATCH(285,Başvuru!$X:$X,0)),"")</f>
        <v>Prof. Dr. Ömer UĞUR</v>
      </c>
    </row>
    <row r="294" spans="14:14" ht="15" customHeight="1" x14ac:dyDescent="0.25">
      <c r="N294" t="str">
        <f>IFERROR(INDEX(Başvuru!$C:$C,MATCH(286,Başvuru!$X:$X,0)),"")</f>
        <v>Prof. Dr. Ömrüm UZUN</v>
      </c>
    </row>
    <row r="295" spans="14:14" ht="15" customHeight="1" x14ac:dyDescent="0.25">
      <c r="N295" t="str">
        <f>IFERROR(INDEX(Başvuru!$C:$C,MATCH(287,Başvuru!$X:$X,0)),"")</f>
        <v>Prof. Dr. Ömür ÇAĞLAR</v>
      </c>
    </row>
    <row r="296" spans="14:14" ht="15" customHeight="1" x14ac:dyDescent="0.25">
      <c r="N296" t="str">
        <f>IFERROR(INDEX(Başvuru!$C:$C,MATCH(288,Başvuru!$X:$X,0)),"")</f>
        <v>Prof. Dr. Ömür ÇELİKBIÇAK</v>
      </c>
    </row>
    <row r="297" spans="14:14" ht="15" customHeight="1" x14ac:dyDescent="0.25">
      <c r="N297" t="str">
        <f>IFERROR(INDEX(Başvuru!$C:$C,MATCH(289,Başvuru!$X:$X,0)),"")</f>
        <v>Prof. Dr. Özge UYSAL SOYER</v>
      </c>
    </row>
    <row r="298" spans="14:14" ht="15" customHeight="1" x14ac:dyDescent="0.25">
      <c r="N298" t="str">
        <f>IFERROR(INDEX(Başvuru!$C:$C,MATCH(290,Başvuru!$X:$X,0)),"")</f>
        <v>Prof. Dr. Özgür UĞURLUOĞLU</v>
      </c>
    </row>
    <row r="299" spans="14:14" ht="15" customHeight="1" x14ac:dyDescent="0.25">
      <c r="N299" t="str">
        <f>IFERROR(INDEX(Başvuru!$C:$C,MATCH(291,Başvuru!$X:$X,0)),"")</f>
        <v>Prof. Dr. Özlem BOYBEYİ</v>
      </c>
    </row>
    <row r="300" spans="14:14" ht="15" customHeight="1" x14ac:dyDescent="0.25">
      <c r="N300" t="str">
        <f>IFERROR(INDEX(Başvuru!$C:$C,MATCH(292,Başvuru!$X:$X,0)),"")</f>
        <v>Prof. Dr. Özlem TEKŞAM</v>
      </c>
    </row>
    <row r="301" spans="14:14" ht="15" customHeight="1" x14ac:dyDescent="0.25">
      <c r="N301" t="str">
        <f>IFERROR(INDEX(Başvuru!$C:$C,MATCH(293,Başvuru!$X:$X,0)),"")</f>
        <v>Prof. Dr. Pelin Özlem ŞİMŞEK KİPER</v>
      </c>
    </row>
    <row r="302" spans="14:14" ht="15" customHeight="1" x14ac:dyDescent="0.25">
      <c r="N302" t="str">
        <f>IFERROR(INDEX(Başvuru!$C:$C,MATCH(294,Başvuru!$X:$X,0)),"")</f>
        <v>Prof. Dr. Pergin ATİLLA</v>
      </c>
    </row>
    <row r="303" spans="14:14" ht="15" customHeight="1" x14ac:dyDescent="0.25">
      <c r="N303" t="str">
        <f>IFERROR(INDEX(Başvuru!$C:$C,MATCH(295,Başvuru!$X:$X,0)),"")</f>
        <v>Prof. Dr. Petek KORKUSUZ</v>
      </c>
    </row>
    <row r="304" spans="14:14" ht="15" customHeight="1" x14ac:dyDescent="0.25">
      <c r="N304" t="str">
        <f>IFERROR(INDEX(Başvuru!$C:$C,MATCH(296,Başvuru!$X:$X,0)),"")</f>
        <v>Prof. Dr. Reyhan ATASÜ TOPÇUOĞLU</v>
      </c>
    </row>
    <row r="305" spans="14:14" ht="15" customHeight="1" x14ac:dyDescent="0.25">
      <c r="N305" t="str">
        <f>IFERROR(INDEX(Başvuru!$C:$C,MATCH(297,Başvuru!$X:$X,0)),"")</f>
        <v>Prof. Dr. Rıza Köksal ÖZGÜL</v>
      </c>
    </row>
    <row r="306" spans="14:14" ht="15" customHeight="1" x14ac:dyDescent="0.25">
      <c r="N306" t="str">
        <f>IFERROR(INDEX(Başvuru!$C:$C,MATCH(298,Başvuru!$X:$X,0)),"")</f>
        <v>Prof. Dr. Sadi KAPLAN</v>
      </c>
    </row>
    <row r="307" spans="14:14" ht="15" customHeight="1" x14ac:dyDescent="0.25">
      <c r="N307" t="str">
        <f>IFERROR(INDEX(Başvuru!$C:$C,MATCH(299,Başvuru!$X:$X,0)),"")</f>
        <v>Prof. Dr. Salih AKSU</v>
      </c>
    </row>
    <row r="308" spans="14:14" ht="15" customHeight="1" x14ac:dyDescent="0.25">
      <c r="N308" t="str">
        <f>IFERROR(INDEX(Başvuru!$C:$C,MATCH(300,Başvuru!$X:$X,0)),"")</f>
        <v>Prof. Dr. Salih Kutay DEMİRKAN</v>
      </c>
    </row>
    <row r="309" spans="14:14" ht="15" customHeight="1" x14ac:dyDescent="0.25">
      <c r="N309" t="str">
        <f>IFERROR(INDEX(Başvuru!$C:$C,MATCH(301,Başvuru!$X:$X,0)),"")</f>
        <v>Prof. Dr. Saniye EKİNCİ</v>
      </c>
    </row>
    <row r="310" spans="14:14" ht="15" customHeight="1" x14ac:dyDescent="0.25">
      <c r="N310" t="str">
        <f>IFERROR(INDEX(Başvuru!$C:$C,MATCH(302,Başvuru!$X:$X,0)),"")</f>
        <v>Prof. Dr. Seda Banu AKINCI</v>
      </c>
    </row>
    <row r="311" spans="14:14" ht="15" customHeight="1" x14ac:dyDescent="0.25">
      <c r="N311" t="str">
        <f>IFERROR(INDEX(Başvuru!$C:$C,MATCH(303,Başvuru!$X:$X,0)),"")</f>
        <v>Prof. Dr. Selçuk DAĞDELEN</v>
      </c>
    </row>
    <row r="312" spans="14:14" ht="15" customHeight="1" x14ac:dyDescent="0.25">
      <c r="N312" t="str">
        <f>IFERROR(INDEX(Başvuru!$C:$C,MATCH(304,Başvuru!$X:$X,0)),"")</f>
        <v>Prof. Dr. Selin AYTAÇ EYÜPOĞLU</v>
      </c>
    </row>
    <row r="313" spans="14:14" ht="15" customHeight="1" x14ac:dyDescent="0.25">
      <c r="N313" t="str">
        <f>IFERROR(INDEX(Başvuru!$C:$C,MATCH(305,Başvuru!$X:$X,0)),"")</f>
        <v>Prof. Dr. Selis ÖNEL KAYRAN</v>
      </c>
    </row>
    <row r="314" spans="14:14" ht="15" customHeight="1" x14ac:dyDescent="0.25">
      <c r="N314" t="str">
        <f>IFERROR(INDEX(Başvuru!$C:$C,MATCH(306,Başvuru!$X:$X,0)),"")</f>
        <v>Prof. Dr. Serap AYDIN</v>
      </c>
    </row>
    <row r="315" spans="14:14" ht="15" customHeight="1" x14ac:dyDescent="0.25">
      <c r="N315" t="str">
        <f>IFERROR(INDEX(Başvuru!$C:$C,MATCH(307,Başvuru!$X:$X,0)),"")</f>
        <v>Prof. Dr. Serdar ÖZER</v>
      </c>
    </row>
    <row r="316" spans="14:14" ht="15" customHeight="1" x14ac:dyDescent="0.25">
      <c r="N316" t="str">
        <f>IFERROR(INDEX(Başvuru!$C:$C,MATCH(308,Başvuru!$X:$X,0)),"")</f>
        <v>Prof. Dr. Serdar TEKGÜL</v>
      </c>
    </row>
    <row r="317" spans="14:14" ht="15" customHeight="1" x14ac:dyDescent="0.25">
      <c r="N317" t="str">
        <f>IFERROR(INDEX(Başvuru!$C:$C,MATCH(309,Başvuru!$X:$X,0)),"")</f>
        <v>Prof. Dr. Sevinç SARINÇ</v>
      </c>
    </row>
    <row r="318" spans="14:14" ht="15" customHeight="1" x14ac:dyDescent="0.25">
      <c r="N318" t="str">
        <f>IFERROR(INDEX(Başvuru!$C:$C,MATCH(310,Başvuru!$X:$X,0)),"")</f>
        <v>Prof. Dr. Seza ÖZEN</v>
      </c>
    </row>
    <row r="319" spans="14:14" ht="15" customHeight="1" x14ac:dyDescent="0.25">
      <c r="N319" t="str">
        <f>IFERROR(INDEX(Başvuru!$C:$C,MATCH(311,Başvuru!$X:$X,0)),"")</f>
        <v>Prof. Dr. Sıddika Songül YALÇIN</v>
      </c>
    </row>
    <row r="320" spans="14:14" ht="15" customHeight="1" x14ac:dyDescent="0.25">
      <c r="N320" t="str">
        <f>IFERROR(INDEX(Başvuru!$C:$C,MATCH(312,Başvuru!$X:$X,0)),"")</f>
        <v>Prof. Dr. Sibel DOĞAN GÜNAYDIN</v>
      </c>
    </row>
    <row r="321" spans="14:14" ht="15" customHeight="1" x14ac:dyDescent="0.25">
      <c r="N321" t="str">
        <f>IFERROR(INDEX(Başvuru!$C:$C,MATCH(313,Başvuru!$X:$X,0)),"")</f>
        <v>Prof. Dr. Sibel ERSOY EVANS</v>
      </c>
    </row>
    <row r="322" spans="14:14" ht="15" customHeight="1" x14ac:dyDescent="0.25">
      <c r="N322" t="str">
        <f>IFERROR(INDEX(Başvuru!$C:$C,MATCH(314,Başvuru!$X:$X,0)),"")</f>
        <v>Prof. Dr. Sinem AKGÜL</v>
      </c>
    </row>
    <row r="323" spans="14:14" ht="15" customHeight="1" x14ac:dyDescent="0.25">
      <c r="N323" t="str">
        <f>IFERROR(INDEX(Başvuru!$C:$C,MATCH(315,Başvuru!$X:$X,0)),"")</f>
        <v>Prof. Dr. Şehnaz ALP</v>
      </c>
    </row>
    <row r="324" spans="14:14" ht="15" customHeight="1" x14ac:dyDescent="0.25">
      <c r="N324" t="str">
        <f>IFERROR(INDEX(Başvuru!$C:$C,MATCH(316,Başvuru!$X:$X,0)),"")</f>
        <v>Prof. Dr. Şevket Murat ÖZBEK</v>
      </c>
    </row>
    <row r="325" spans="14:14" ht="15" customHeight="1" x14ac:dyDescent="0.25">
      <c r="N325" t="str">
        <f>IFERROR(INDEX(Başvuru!$C:$C,MATCH(317,Başvuru!$X:$X,0)),"")</f>
        <v>Prof. Dr. Şevkiye Selin AYTAÇ EYÜPOĞLU</v>
      </c>
    </row>
    <row r="326" spans="14:14" ht="15" customHeight="1" x14ac:dyDescent="0.25">
      <c r="N326" t="str">
        <f>IFERROR(INDEX(Başvuru!$C:$C,MATCH(318,Başvuru!$X:$X,0)),"")</f>
        <v>Prof. Dr. Şule ÜNAL CANGÜL</v>
      </c>
    </row>
    <row r="327" spans="14:14" ht="15" customHeight="1" x14ac:dyDescent="0.25">
      <c r="N327" t="str">
        <f>IFERROR(INDEX(Başvuru!$C:$C,MATCH(319,Başvuru!$X:$X,0)),"")</f>
        <v>Prof. Dr. Şükrü Alpan CİNEMRE</v>
      </c>
    </row>
    <row r="328" spans="14:14" ht="15" customHeight="1" x14ac:dyDescent="0.25">
      <c r="N328" t="str">
        <f>IFERROR(INDEX(Başvuru!$C:$C,MATCH(320,Başvuru!$X:$X,0)),"")</f>
        <v>Prof. Dr. Taner YILMAZ</v>
      </c>
    </row>
    <row r="329" spans="14:14" ht="15" customHeight="1" x14ac:dyDescent="0.25">
      <c r="N329" t="str">
        <f>IFERROR(INDEX(Başvuru!$C:$C,MATCH(321,Başvuru!$X:$X,0)),"")</f>
        <v>Prof. Dr. Tarık TUNCAY</v>
      </c>
    </row>
    <row r="330" spans="14:14" ht="15" customHeight="1" x14ac:dyDescent="0.25">
      <c r="N330" t="str">
        <f>IFERROR(INDEX(Başvuru!$C:$C,MATCH(322,Başvuru!$X:$X,0)),"")</f>
        <v>Prof. Dr. Taylan KAV</v>
      </c>
    </row>
    <row r="331" spans="14:14" ht="15" customHeight="1" x14ac:dyDescent="0.25">
      <c r="N331" t="str">
        <f>IFERROR(INDEX(Başvuru!$C:$C,MATCH(323,Başvuru!$X:$X,0)),"")</f>
        <v>Prof. Dr. Turgut Emrah BOZKURT</v>
      </c>
    </row>
    <row r="332" spans="14:14" ht="15" customHeight="1" x14ac:dyDescent="0.25">
      <c r="N332" t="str">
        <f>IFERROR(INDEX(Başvuru!$C:$C,MATCH(324,Başvuru!$X:$X,0)),"")</f>
        <v>Prof. Dr. Tutku SOYER</v>
      </c>
    </row>
    <row r="333" spans="14:14" ht="15" customHeight="1" x14ac:dyDescent="0.25">
      <c r="N333" t="str">
        <f>IFERROR(INDEX(Başvuru!$C:$C,MATCH(325,Başvuru!$X:$X,0)),"")</f>
        <v>Prof. Dr. Uğur ÜNLÜTÜRK</v>
      </c>
    </row>
    <row r="334" spans="14:14" ht="15" customHeight="1" x14ac:dyDescent="0.25">
      <c r="N334" t="str">
        <f>IFERROR(INDEX(Başvuru!$C:$C,MATCH(326,Başvuru!$X:$X,0)),"")</f>
        <v>Prof. Dr. Umut KALYONCU</v>
      </c>
    </row>
    <row r="335" spans="14:14" ht="15" customHeight="1" x14ac:dyDescent="0.25">
      <c r="N335" t="str">
        <f>IFERROR(INDEX(Başvuru!$C:$C,MATCH(327,Başvuru!$X:$X,0)),"")</f>
        <v>Prof. Dr. Uzay KOÇ VURAL</v>
      </c>
    </row>
    <row r="336" spans="14:14" ht="15" customHeight="1" x14ac:dyDescent="0.25">
      <c r="N336" t="str">
        <f>IFERROR(INDEX(Başvuru!$C:$C,MATCH(328,Başvuru!$X:$X,0)),"")</f>
        <v>Prof. Dr. Ülfet Pınar ERKEKOĞLU</v>
      </c>
    </row>
    <row r="337" spans="14:14" ht="15" customHeight="1" x14ac:dyDescent="0.25">
      <c r="N337" t="str">
        <f>IFERROR(INDEX(Başvuru!$C:$C,MATCH(329,Başvuru!$X:$X,0)),"")</f>
        <v>Prof. Dr. Ülkü ÜNDEĞER BUCURGAT</v>
      </c>
    </row>
    <row r="338" spans="14:14" ht="15" customHeight="1" x14ac:dyDescent="0.25">
      <c r="N338" t="str">
        <f>IFERROR(INDEX(Başvuru!$C:$C,MATCH(330,Başvuru!$X:$X,0)),"")</f>
        <v>Prof. Dr. Ümit Murat ŞAHİNER</v>
      </c>
    </row>
    <row r="339" spans="14:14" ht="15" customHeight="1" x14ac:dyDescent="0.25">
      <c r="N339" t="str">
        <f>IFERROR(INDEX(Başvuru!$C:$C,MATCH(331,Başvuru!$X:$X,0)),"")</f>
        <v>Prof. Dr. Ümit Yavuz MALKAN</v>
      </c>
    </row>
    <row r="340" spans="14:14" ht="15" customHeight="1" x14ac:dyDescent="0.25">
      <c r="N340" t="str">
        <f>IFERROR(INDEX(Başvuru!$C:$C,MATCH(332,Başvuru!$X:$X,0)),"")</f>
        <v>Prof. Dr. Yahya BÜYÜKAŞIK</v>
      </c>
    </row>
    <row r="341" spans="14:14" ht="15" customHeight="1" x14ac:dyDescent="0.25">
      <c r="N341" t="str">
        <f>IFERROR(INDEX(Başvuru!$C:$C,MATCH(333,Başvuru!$X:$X,0)),"")</f>
        <v>Prof. Dr. Yakut AKYÖN YILMAZ</v>
      </c>
    </row>
    <row r="342" spans="14:14" ht="15" customHeight="1" x14ac:dyDescent="0.25">
      <c r="N342" t="str">
        <f>IFERROR(INDEX(Başvuru!$C:$C,MATCH(334,Başvuru!$X:$X,0)),"")</f>
        <v>Prof. Dr. Yasemin ÖZSÜREKCİ</v>
      </c>
    </row>
    <row r="343" spans="14:14" ht="15" customHeight="1" x14ac:dyDescent="0.25">
      <c r="N343" t="str">
        <f>IFERROR(INDEX(Başvuru!$C:$C,MATCH(335,Başvuru!$X:$X,0)),"")</f>
        <v>Prof. Dr. Yavuz AYHAN</v>
      </c>
    </row>
    <row r="344" spans="14:14" ht="15" customHeight="1" x14ac:dyDescent="0.25">
      <c r="N344" t="str">
        <f>IFERROR(INDEX(Başvuru!$C:$C,MATCH(336,Başvuru!$X:$X,0)),"")</f>
        <v>Prof. Dr. Yelda BİLGİNER</v>
      </c>
    </row>
    <row r="345" spans="14:14" ht="15" customHeight="1" x14ac:dyDescent="0.25">
      <c r="N345" t="str">
        <f>IFERROR(INDEX(Başvuru!$C:$C,MATCH(337,Başvuru!$X:$X,0)),"")</f>
        <v>Prof. Dr. Zafer Selçuk TUNCER</v>
      </c>
    </row>
    <row r="346" spans="14:14" ht="15" customHeight="1" x14ac:dyDescent="0.25">
      <c r="N346" t="str">
        <f>IFERROR(INDEX(Başvuru!$C:$C,MATCH(338,Başvuru!$X:$X,0)),"")</f>
        <v/>
      </c>
    </row>
    <row r="347" spans="14:14" ht="15" customHeight="1" x14ac:dyDescent="0.25">
      <c r="N347" t="str">
        <f>IFERROR(INDEX(Başvuru!$C:$C,MATCH(339,Başvuru!$X:$X,0)),"")</f>
        <v/>
      </c>
    </row>
    <row r="348" spans="14:14" ht="15" customHeight="1" x14ac:dyDescent="0.25">
      <c r="N348" t="str">
        <f>IFERROR(INDEX(Başvuru!$C:$C,MATCH(340,Başvuru!$X:$X,0)),"")</f>
        <v/>
      </c>
    </row>
    <row r="349" spans="14:14" ht="15" customHeight="1" x14ac:dyDescent="0.25">
      <c r="N349" t="str">
        <f>IFERROR(INDEX(Başvuru!$C:$C,MATCH(341,Başvuru!$X:$X,0)),"")</f>
        <v/>
      </c>
    </row>
    <row r="350" spans="14:14" ht="15" customHeight="1" x14ac:dyDescent="0.25">
      <c r="N350" t="str">
        <f>IFERROR(INDEX(Başvuru!$C:$C,MATCH(342,Başvuru!$X:$X,0)),"")</f>
        <v/>
      </c>
    </row>
    <row r="351" spans="14:14" ht="15" customHeight="1" x14ac:dyDescent="0.25">
      <c r="N351" t="str">
        <f>IFERROR(INDEX(Başvuru!$C:$C,MATCH(343,Başvuru!$X:$X,0)),"")</f>
        <v/>
      </c>
    </row>
    <row r="352" spans="14:14" ht="15" customHeight="1" x14ac:dyDescent="0.25">
      <c r="N352" t="str">
        <f>IFERROR(INDEX(Başvuru!$C:$C,MATCH(344,Başvuru!$X:$X,0)),"")</f>
        <v/>
      </c>
    </row>
    <row r="353" spans="14:14" ht="15" customHeight="1" x14ac:dyDescent="0.25">
      <c r="N353" t="str">
        <f>IFERROR(INDEX(Başvuru!$C:$C,MATCH(345,Başvuru!$X:$X,0)),"")</f>
        <v/>
      </c>
    </row>
    <row r="354" spans="14:14" ht="15" customHeight="1" x14ac:dyDescent="0.25">
      <c r="N354" t="str">
        <f>IFERROR(INDEX(Başvuru!$C:$C,MATCH(346,Başvuru!$X:$X,0)),"")</f>
        <v/>
      </c>
    </row>
    <row r="355" spans="14:14" ht="15" customHeight="1" x14ac:dyDescent="0.25">
      <c r="N355" t="str">
        <f>IFERROR(INDEX(Başvuru!$C:$C,MATCH(347,Başvuru!$X:$X,0)),"")</f>
        <v/>
      </c>
    </row>
    <row r="356" spans="14:14" ht="15" customHeight="1" x14ac:dyDescent="0.25">
      <c r="N356" t="str">
        <f>IFERROR(INDEX(Başvuru!$C:$C,MATCH(348,Başvuru!$X:$X,0)),"")</f>
        <v/>
      </c>
    </row>
    <row r="357" spans="14:14" ht="15" customHeight="1" x14ac:dyDescent="0.25">
      <c r="N357" t="str">
        <f>IFERROR(INDEX(Başvuru!$C:$C,MATCH(349,Başvuru!$X:$X,0)),"")</f>
        <v/>
      </c>
    </row>
    <row r="358" spans="14:14" ht="15" customHeight="1" x14ac:dyDescent="0.25">
      <c r="N358" t="str">
        <f>IFERROR(INDEX(Başvuru!$C:$C,MATCH(350,Başvuru!$X:$X,0)),"")</f>
        <v/>
      </c>
    </row>
    <row r="359" spans="14:14" ht="15" customHeight="1" x14ac:dyDescent="0.25">
      <c r="N359" t="str">
        <f>IFERROR(INDEX(Başvuru!$C:$C,MATCH(351,Başvuru!$X:$X,0)),"")</f>
        <v/>
      </c>
    </row>
    <row r="360" spans="14:14" ht="15" customHeight="1" x14ac:dyDescent="0.25">
      <c r="N360" t="str">
        <f>IFERROR(INDEX(Başvuru!$C:$C,MATCH(352,Başvuru!$X:$X,0)),"")</f>
        <v/>
      </c>
    </row>
    <row r="361" spans="14:14" ht="15" customHeight="1" x14ac:dyDescent="0.25">
      <c r="N361" t="str">
        <f>IFERROR(INDEX(Başvuru!$C:$C,MATCH(353,Başvuru!$X:$X,0)),"")</f>
        <v/>
      </c>
    </row>
    <row r="362" spans="14:14" ht="15" customHeight="1" x14ac:dyDescent="0.25">
      <c r="N362" t="str">
        <f>IFERROR(INDEX(Başvuru!$C:$C,MATCH(354,Başvuru!$X:$X,0)),"")</f>
        <v/>
      </c>
    </row>
    <row r="363" spans="14:14" ht="15" customHeight="1" x14ac:dyDescent="0.25">
      <c r="N363" t="str">
        <f>IFERROR(INDEX(Başvuru!$C:$C,MATCH(355,Başvuru!$X:$X,0)),"")</f>
        <v/>
      </c>
    </row>
    <row r="364" spans="14:14" ht="15" customHeight="1" x14ac:dyDescent="0.25">
      <c r="N364" t="str">
        <f>IFERROR(INDEX(Başvuru!$C:$C,MATCH(356,Başvuru!$X:$X,0)),"")</f>
        <v/>
      </c>
    </row>
    <row r="365" spans="14:14" ht="15" customHeight="1" x14ac:dyDescent="0.25">
      <c r="N365" t="str">
        <f>IFERROR(INDEX(Başvuru!$C:$C,MATCH(357,Başvuru!$X:$X,0)),"")</f>
        <v/>
      </c>
    </row>
    <row r="366" spans="14:14" ht="15" customHeight="1" x14ac:dyDescent="0.25">
      <c r="N366" t="str">
        <f>IFERROR(INDEX(Başvuru!$C:$C,MATCH(358,Başvuru!$X:$X,0)),"")</f>
        <v/>
      </c>
    </row>
    <row r="367" spans="14:14" ht="15" customHeight="1" x14ac:dyDescent="0.25">
      <c r="N367" t="str">
        <f>IFERROR(INDEX(Başvuru!$C:$C,MATCH(359,Başvuru!$X:$X,0)),"")</f>
        <v/>
      </c>
    </row>
    <row r="368" spans="14:14" ht="15" customHeight="1" x14ac:dyDescent="0.25">
      <c r="N368" t="str">
        <f>IFERROR(INDEX(Başvuru!$C:$C,MATCH(360,Başvuru!$X:$X,0)),"")</f>
        <v/>
      </c>
    </row>
    <row r="369" spans="14:14" ht="15" customHeight="1" x14ac:dyDescent="0.25">
      <c r="N369" t="str">
        <f>IFERROR(INDEX(Başvuru!$C:$C,MATCH(361,Başvuru!$X:$X,0)),"")</f>
        <v/>
      </c>
    </row>
    <row r="370" spans="14:14" ht="15" customHeight="1" x14ac:dyDescent="0.25">
      <c r="N370" t="str">
        <f>IFERROR(INDEX(Başvuru!$C:$C,MATCH(362,Başvuru!$X:$X,0)),"")</f>
        <v/>
      </c>
    </row>
    <row r="371" spans="14:14" ht="15" customHeight="1" x14ac:dyDescent="0.25">
      <c r="N371" t="str">
        <f>IFERROR(INDEX(Başvuru!$C:$C,MATCH(363,Başvuru!$X:$X,0)),"")</f>
        <v/>
      </c>
    </row>
    <row r="372" spans="14:14" ht="15" customHeight="1" x14ac:dyDescent="0.25">
      <c r="N372" t="str">
        <f>IFERROR(INDEX(Başvuru!$C:$C,MATCH(364,Başvuru!$X:$X,0)),"")</f>
        <v/>
      </c>
    </row>
    <row r="373" spans="14:14" ht="15" customHeight="1" x14ac:dyDescent="0.25">
      <c r="N373" t="str">
        <f>IFERROR(INDEX(Başvuru!$C:$C,MATCH(365,Başvuru!$X:$X,0)),"")</f>
        <v/>
      </c>
    </row>
    <row r="374" spans="14:14" ht="15" customHeight="1" x14ac:dyDescent="0.25">
      <c r="N374" t="str">
        <f>IFERROR(INDEX(Başvuru!$C:$C,MATCH(366,Başvuru!$X:$X,0)),"")</f>
        <v/>
      </c>
    </row>
    <row r="375" spans="14:14" ht="15" customHeight="1" x14ac:dyDescent="0.25">
      <c r="N375" t="str">
        <f>IFERROR(INDEX(Başvuru!$C:$C,MATCH(367,Başvuru!$X:$X,0)),"")</f>
        <v/>
      </c>
    </row>
    <row r="376" spans="14:14" ht="15" customHeight="1" x14ac:dyDescent="0.25">
      <c r="N376" t="str">
        <f>IFERROR(INDEX(Başvuru!$C:$C,MATCH(368,Başvuru!$X:$X,0)),"")</f>
        <v/>
      </c>
    </row>
    <row r="377" spans="14:14" ht="15" customHeight="1" x14ac:dyDescent="0.25">
      <c r="N377" t="str">
        <f>IFERROR(INDEX(Başvuru!$C:$C,MATCH(369,Başvuru!$X:$X,0)),"")</f>
        <v/>
      </c>
    </row>
    <row r="378" spans="14:14" ht="15" customHeight="1" x14ac:dyDescent="0.25">
      <c r="N378" t="str">
        <f>IFERROR(INDEX(Başvuru!$C:$C,MATCH(370,Başvuru!$X:$X,0)),"")</f>
        <v/>
      </c>
    </row>
    <row r="379" spans="14:14" ht="15" customHeight="1" x14ac:dyDescent="0.25">
      <c r="N379" t="str">
        <f>IFERROR(INDEX(Başvuru!$C:$C,MATCH(371,Başvuru!$X:$X,0)),"")</f>
        <v/>
      </c>
    </row>
    <row r="380" spans="14:14" ht="15" customHeight="1" x14ac:dyDescent="0.25">
      <c r="N380" t="str">
        <f>IFERROR(INDEX(Başvuru!$C:$C,MATCH(372,Başvuru!$X:$X,0)),"")</f>
        <v/>
      </c>
    </row>
    <row r="381" spans="14:14" ht="15" customHeight="1" x14ac:dyDescent="0.25">
      <c r="N381" t="str">
        <f>IFERROR(INDEX(Başvuru!$C:$C,MATCH(373,Başvuru!$X:$X,0)),"")</f>
        <v/>
      </c>
    </row>
    <row r="382" spans="14:14" ht="15" customHeight="1" x14ac:dyDescent="0.25">
      <c r="N382" t="str">
        <f>IFERROR(INDEX(Başvuru!$C:$C,MATCH(374,Başvuru!$X:$X,0)),"")</f>
        <v/>
      </c>
    </row>
    <row r="383" spans="14:14" ht="15" customHeight="1" x14ac:dyDescent="0.25">
      <c r="N383" t="str">
        <f>IFERROR(INDEX(Başvuru!$C:$C,MATCH(375,Başvuru!$X:$X,0)),"")</f>
        <v/>
      </c>
    </row>
    <row r="384" spans="14:14" ht="15" customHeight="1" x14ac:dyDescent="0.25">
      <c r="N384" t="str">
        <f>IFERROR(INDEX(Başvuru!$C:$C,MATCH(376,Başvuru!$X:$X,0)),"")</f>
        <v/>
      </c>
    </row>
    <row r="385" spans="14:14" ht="15" customHeight="1" x14ac:dyDescent="0.25">
      <c r="N385" t="str">
        <f>IFERROR(INDEX(Başvuru!$C:$C,MATCH(377,Başvuru!$X:$X,0)),"")</f>
        <v/>
      </c>
    </row>
    <row r="386" spans="14:14" ht="15" customHeight="1" x14ac:dyDescent="0.25">
      <c r="N386" t="str">
        <f>IFERROR(INDEX(Başvuru!$C:$C,MATCH(378,Başvuru!$X:$X,0)),"")</f>
        <v/>
      </c>
    </row>
    <row r="387" spans="14:14" ht="15" customHeight="1" x14ac:dyDescent="0.25">
      <c r="N387" t="str">
        <f>IFERROR(INDEX(Başvuru!$C:$C,MATCH(379,Başvuru!$X:$X,0)),"")</f>
        <v/>
      </c>
    </row>
    <row r="388" spans="14:14" ht="15" customHeight="1" x14ac:dyDescent="0.25">
      <c r="N388" t="str">
        <f>IFERROR(INDEX(Başvuru!$C:$C,MATCH(380,Başvuru!$X:$X,0)),"")</f>
        <v/>
      </c>
    </row>
    <row r="389" spans="14:14" ht="15" customHeight="1" x14ac:dyDescent="0.25">
      <c r="N389" t="str">
        <f>IFERROR(INDEX(Başvuru!$C:$C,MATCH(381,Başvuru!$X:$X,0)),"")</f>
        <v/>
      </c>
    </row>
    <row r="390" spans="14:14" ht="15" customHeight="1" x14ac:dyDescent="0.25">
      <c r="N390" t="str">
        <f>IFERROR(INDEX(Başvuru!$C:$C,MATCH(382,Başvuru!$X:$X,0)),"")</f>
        <v/>
      </c>
    </row>
    <row r="391" spans="14:14" ht="15" customHeight="1" x14ac:dyDescent="0.25">
      <c r="N391" t="str">
        <f>IFERROR(INDEX(Başvuru!$C:$C,MATCH(383,Başvuru!$X:$X,0)),"")</f>
        <v/>
      </c>
    </row>
    <row r="392" spans="14:14" ht="15" customHeight="1" x14ac:dyDescent="0.25">
      <c r="N392" t="str">
        <f>IFERROR(INDEX(Başvuru!$C:$C,MATCH(384,Başvuru!$X:$X,0)),"")</f>
        <v/>
      </c>
    </row>
    <row r="393" spans="14:14" ht="15" customHeight="1" x14ac:dyDescent="0.25">
      <c r="N393" t="str">
        <f>IFERROR(INDEX(Başvuru!$C:$C,MATCH(385,Başvuru!$X:$X,0)),"")</f>
        <v/>
      </c>
    </row>
    <row r="394" spans="14:14" ht="15" customHeight="1" x14ac:dyDescent="0.25">
      <c r="N394" t="str">
        <f>IFERROR(INDEX(Başvuru!$C:$C,MATCH(386,Başvuru!$X:$X,0)),"")</f>
        <v/>
      </c>
    </row>
    <row r="395" spans="14:14" ht="15" customHeight="1" x14ac:dyDescent="0.25">
      <c r="N395" t="str">
        <f>IFERROR(INDEX(Başvuru!$C:$C,MATCH(387,Başvuru!$X:$X,0)),"")</f>
        <v/>
      </c>
    </row>
    <row r="396" spans="14:14" ht="15" customHeight="1" x14ac:dyDescent="0.25">
      <c r="N396" t="str">
        <f>IFERROR(INDEX(Başvuru!$C:$C,MATCH(388,Başvuru!$X:$X,0)),"")</f>
        <v/>
      </c>
    </row>
    <row r="397" spans="14:14" ht="15" customHeight="1" x14ac:dyDescent="0.25">
      <c r="N397" t="str">
        <f>IFERROR(INDEX(Başvuru!$C:$C,MATCH(389,Başvuru!$X:$X,0)),"")</f>
        <v/>
      </c>
    </row>
    <row r="398" spans="14:14" ht="15" customHeight="1" x14ac:dyDescent="0.25">
      <c r="N398" t="str">
        <f>IFERROR(INDEX(Başvuru!$C:$C,MATCH(390,Başvuru!$X:$X,0)),"")</f>
        <v/>
      </c>
    </row>
    <row r="399" spans="14:14" ht="15" customHeight="1" x14ac:dyDescent="0.25">
      <c r="N399" t="str">
        <f>IFERROR(INDEX(Başvuru!$C:$C,MATCH(391,Başvuru!$X:$X,0)),"")</f>
        <v/>
      </c>
    </row>
    <row r="400" spans="14:14" ht="15" customHeight="1" x14ac:dyDescent="0.25">
      <c r="N400" t="str">
        <f>IFERROR(INDEX(Başvuru!$C:$C,MATCH(392,Başvuru!$X:$X,0)),"")</f>
        <v/>
      </c>
    </row>
    <row r="401" spans="14:14" ht="15" customHeight="1" x14ac:dyDescent="0.25">
      <c r="N401" t="str">
        <f>IFERROR(INDEX(Başvuru!$C:$C,MATCH(393,Başvuru!$X:$X,0)),"")</f>
        <v/>
      </c>
    </row>
    <row r="402" spans="14:14" ht="15" customHeight="1" x14ac:dyDescent="0.25">
      <c r="N402" t="str">
        <f>IFERROR(INDEX(Başvuru!$C:$C,MATCH(394,Başvuru!$X:$X,0)),"")</f>
        <v/>
      </c>
    </row>
    <row r="403" spans="14:14" ht="15" customHeight="1" x14ac:dyDescent="0.25">
      <c r="N403" t="str">
        <f>IFERROR(INDEX(Başvuru!$C:$C,MATCH(395,Başvuru!$X:$X,0)),"")</f>
        <v/>
      </c>
    </row>
    <row r="404" spans="14:14" ht="15" customHeight="1" x14ac:dyDescent="0.25">
      <c r="N404" t="str">
        <f>IFERROR(INDEX(Başvuru!$C:$C,MATCH(396,Başvuru!$X:$X,0)),"")</f>
        <v/>
      </c>
    </row>
    <row r="405" spans="14:14" ht="15" customHeight="1" x14ac:dyDescent="0.25">
      <c r="N405" t="str">
        <f>IFERROR(INDEX(Başvuru!$C:$C,MATCH(397,Başvuru!$X:$X,0)),"")</f>
        <v/>
      </c>
    </row>
    <row r="406" spans="14:14" ht="15" customHeight="1" x14ac:dyDescent="0.25">
      <c r="N406" t="str">
        <f>IFERROR(INDEX(Başvuru!$C:$C,MATCH(398,Başvuru!$X:$X,0)),"")</f>
        <v/>
      </c>
    </row>
    <row r="407" spans="14:14" ht="15" customHeight="1" x14ac:dyDescent="0.25">
      <c r="N407" t="str">
        <f>IFERROR(INDEX(Başvuru!$C:$C,MATCH(399,Başvuru!$X:$X,0)),"")</f>
        <v/>
      </c>
    </row>
    <row r="408" spans="14:14" ht="15" customHeight="1" x14ac:dyDescent="0.25">
      <c r="N408" t="str">
        <f>IFERROR(INDEX(Başvuru!$C:$C,MATCH(400,Başvuru!$X:$X,0)),"")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C19" sqref="C19"/>
    </sheetView>
  </sheetViews>
  <sheetFormatPr defaultColWidth="9.140625" defaultRowHeight="15.75" x14ac:dyDescent="0.25"/>
  <cols>
    <col min="1" max="1" width="9.140625" style="29"/>
    <col min="2" max="2" width="17.85546875" style="29" customWidth="1"/>
    <col min="3" max="3" width="18" style="29" customWidth="1"/>
    <col min="4" max="42" width="9.7109375" style="29" customWidth="1"/>
    <col min="43" max="43" width="12.85546875" style="29" customWidth="1"/>
    <col min="44" max="16384" width="9.140625" style="29"/>
  </cols>
  <sheetData>
    <row r="1" spans="1:6" ht="15.75" customHeight="1" x14ac:dyDescent="0.25">
      <c r="A1" s="201" t="s">
        <v>4417</v>
      </c>
      <c r="B1" s="201"/>
      <c r="C1" s="201"/>
      <c r="D1" s="201"/>
      <c r="E1" s="201"/>
      <c r="F1" s="201"/>
    </row>
    <row r="3" spans="1:6" ht="15.75" customHeight="1" x14ac:dyDescent="0.25">
      <c r="A3" s="191" t="s">
        <v>43</v>
      </c>
      <c r="B3" s="191" t="s">
        <v>4418</v>
      </c>
      <c r="C3" s="191" t="s">
        <v>4419</v>
      </c>
      <c r="D3" s="191" t="s">
        <v>4367</v>
      </c>
      <c r="E3" s="191" t="s">
        <v>4420</v>
      </c>
      <c r="F3" s="191" t="s">
        <v>4421</v>
      </c>
    </row>
    <row r="4" spans="1:6" ht="15.75" customHeight="1" x14ac:dyDescent="0.25">
      <c r="A4" s="191" t="s">
        <v>69</v>
      </c>
      <c r="B4" s="200">
        <v>46028</v>
      </c>
      <c r="C4" s="61">
        <v>55</v>
      </c>
      <c r="D4" s="61">
        <v>16</v>
      </c>
      <c r="E4" s="61">
        <v>9</v>
      </c>
      <c r="F4" s="61">
        <f t="shared" ref="F4:F26" si="0">SUM(C4:E4)</f>
        <v>80</v>
      </c>
    </row>
    <row r="5" spans="1:6" ht="15.75" customHeight="1" x14ac:dyDescent="0.25">
      <c r="A5" s="191" t="s">
        <v>78</v>
      </c>
      <c r="B5" s="200">
        <v>46042</v>
      </c>
      <c r="C5" s="61">
        <v>45</v>
      </c>
      <c r="D5" s="61">
        <v>13</v>
      </c>
      <c r="E5" s="61">
        <v>11</v>
      </c>
      <c r="F5" s="61">
        <f t="shared" si="0"/>
        <v>69</v>
      </c>
    </row>
    <row r="6" spans="1:6" ht="15.75" customHeight="1" x14ac:dyDescent="0.25">
      <c r="A6" s="191" t="s">
        <v>85</v>
      </c>
      <c r="B6" s="200">
        <v>46057</v>
      </c>
      <c r="C6" s="61">
        <v>45</v>
      </c>
      <c r="D6" s="61">
        <v>12</v>
      </c>
      <c r="E6" s="61">
        <v>15</v>
      </c>
      <c r="F6" s="61">
        <f t="shared" si="0"/>
        <v>72</v>
      </c>
    </row>
    <row r="7" spans="1:6" ht="15.75" customHeight="1" x14ac:dyDescent="0.25">
      <c r="A7" s="191" t="s">
        <v>93</v>
      </c>
      <c r="B7" s="200">
        <v>46070</v>
      </c>
      <c r="C7" s="61">
        <v>45</v>
      </c>
      <c r="D7" s="61">
        <v>17</v>
      </c>
      <c r="E7" s="61">
        <v>6</v>
      </c>
      <c r="F7" s="61">
        <f t="shared" si="0"/>
        <v>68</v>
      </c>
    </row>
    <row r="8" spans="1:6" ht="15.75" customHeight="1" x14ac:dyDescent="0.25">
      <c r="A8" s="191" t="s">
        <v>102</v>
      </c>
      <c r="B8" s="200">
        <v>46084</v>
      </c>
      <c r="C8" s="61">
        <v>35</v>
      </c>
      <c r="D8" s="61">
        <v>19</v>
      </c>
      <c r="E8" s="61">
        <v>8</v>
      </c>
      <c r="F8" s="61">
        <f t="shared" si="0"/>
        <v>62</v>
      </c>
    </row>
    <row r="9" spans="1:6" ht="15.75" customHeight="1" x14ac:dyDescent="0.25">
      <c r="A9" s="191" t="s">
        <v>110</v>
      </c>
      <c r="B9" s="200">
        <v>46098</v>
      </c>
      <c r="C9" s="61">
        <v>47</v>
      </c>
      <c r="D9" s="61">
        <v>21</v>
      </c>
      <c r="E9" s="61">
        <v>14</v>
      </c>
      <c r="F9" s="61">
        <f t="shared" si="0"/>
        <v>82</v>
      </c>
    </row>
    <row r="10" spans="1:6" ht="15.75" customHeight="1" x14ac:dyDescent="0.25">
      <c r="A10" s="191" t="s">
        <v>117</v>
      </c>
      <c r="B10" s="200">
        <v>46112</v>
      </c>
      <c r="C10" s="61">
        <v>40</v>
      </c>
      <c r="D10" s="61">
        <v>15</v>
      </c>
      <c r="E10" s="61">
        <v>11</v>
      </c>
      <c r="F10" s="61">
        <f t="shared" si="0"/>
        <v>66</v>
      </c>
    </row>
    <row r="11" spans="1:6" ht="15.75" customHeight="1" x14ac:dyDescent="0.25">
      <c r="A11" s="191" t="s">
        <v>124</v>
      </c>
      <c r="B11" s="200">
        <v>46126</v>
      </c>
      <c r="C11" s="61">
        <v>40</v>
      </c>
      <c r="D11" s="61">
        <v>15</v>
      </c>
      <c r="E11" s="61">
        <v>6</v>
      </c>
      <c r="F11" s="61">
        <f t="shared" si="0"/>
        <v>61</v>
      </c>
    </row>
    <row r="12" spans="1:6" ht="15.75" customHeight="1" x14ac:dyDescent="0.25">
      <c r="A12" s="191" t="s">
        <v>130</v>
      </c>
      <c r="B12" s="200">
        <v>46140</v>
      </c>
      <c r="C12" s="61">
        <v>48</v>
      </c>
      <c r="D12" s="61">
        <v>14</v>
      </c>
      <c r="E12" s="61">
        <v>9</v>
      </c>
      <c r="F12" s="61">
        <f t="shared" si="0"/>
        <v>71</v>
      </c>
    </row>
    <row r="13" spans="1:6" ht="15.75" customHeight="1" x14ac:dyDescent="0.25">
      <c r="A13" s="191" t="s">
        <v>136</v>
      </c>
      <c r="B13" s="200">
        <v>46154</v>
      </c>
      <c r="C13" s="61">
        <v>52</v>
      </c>
      <c r="D13" s="61">
        <v>16</v>
      </c>
      <c r="E13" s="61">
        <v>13</v>
      </c>
      <c r="F13" s="61">
        <f t="shared" si="0"/>
        <v>81</v>
      </c>
    </row>
    <row r="14" spans="1:6" ht="15.75" customHeight="1" x14ac:dyDescent="0.25">
      <c r="A14" s="191" t="s">
        <v>142</v>
      </c>
      <c r="B14" s="200">
        <v>46175</v>
      </c>
      <c r="C14" s="61">
        <v>40</v>
      </c>
      <c r="D14" s="61">
        <v>24</v>
      </c>
      <c r="E14" s="61">
        <v>10</v>
      </c>
      <c r="F14" s="61">
        <f t="shared" si="0"/>
        <v>74</v>
      </c>
    </row>
    <row r="15" spans="1:6" ht="15.75" customHeight="1" x14ac:dyDescent="0.25">
      <c r="A15" s="191" t="s">
        <v>147</v>
      </c>
      <c r="B15" s="200">
        <v>46196</v>
      </c>
      <c r="C15" s="61">
        <f>COUNTIFS(Başvuru!$I:$I,B15,Başvuru!$I:$I,"&lt;&gt;"&amp;"")</f>
        <v>46</v>
      </c>
      <c r="D15" s="61">
        <v>18</v>
      </c>
      <c r="E15" s="61">
        <v>10</v>
      </c>
      <c r="F15" s="61">
        <f t="shared" si="0"/>
        <v>74</v>
      </c>
    </row>
    <row r="16" spans="1:6" ht="15.75" customHeight="1" x14ac:dyDescent="0.25">
      <c r="A16" s="191" t="s">
        <v>154</v>
      </c>
      <c r="B16" s="200">
        <v>46217</v>
      </c>
      <c r="C16" s="61">
        <v>50</v>
      </c>
      <c r="D16" s="61">
        <v>17</v>
      </c>
      <c r="E16" s="61">
        <v>17</v>
      </c>
      <c r="F16" s="61">
        <f t="shared" si="0"/>
        <v>84</v>
      </c>
    </row>
    <row r="17" spans="1:6" ht="15.75" customHeight="1" x14ac:dyDescent="0.25">
      <c r="A17" s="191" t="s">
        <v>160</v>
      </c>
      <c r="B17" s="200">
        <v>46224</v>
      </c>
      <c r="C17" s="61">
        <v>51</v>
      </c>
      <c r="D17" s="61">
        <v>5</v>
      </c>
      <c r="E17" s="61">
        <v>3</v>
      </c>
      <c r="F17" s="61">
        <f t="shared" si="0"/>
        <v>59</v>
      </c>
    </row>
    <row r="18" spans="1:6" ht="15.75" customHeight="1" x14ac:dyDescent="0.25">
      <c r="A18" s="191" t="s">
        <v>166</v>
      </c>
      <c r="B18" s="200">
        <v>46231</v>
      </c>
      <c r="C18" s="61">
        <v>34</v>
      </c>
      <c r="D18" s="61">
        <v>16</v>
      </c>
      <c r="E18" s="61">
        <v>10</v>
      </c>
      <c r="F18" s="61">
        <f t="shared" si="0"/>
        <v>60</v>
      </c>
    </row>
    <row r="19" spans="1:6" ht="15.75" customHeight="1" x14ac:dyDescent="0.25">
      <c r="A19" s="191" t="s">
        <v>173</v>
      </c>
      <c r="B19" s="200">
        <v>46259</v>
      </c>
      <c r="C19" s="61">
        <v>26</v>
      </c>
      <c r="D19" s="61">
        <v>4</v>
      </c>
      <c r="E19" s="61">
        <v>5</v>
      </c>
      <c r="F19" s="61">
        <f t="shared" si="0"/>
        <v>35</v>
      </c>
    </row>
    <row r="20" spans="1:6" ht="15.75" customHeight="1" x14ac:dyDescent="0.25">
      <c r="A20" s="191" t="s">
        <v>178</v>
      </c>
      <c r="B20" s="200">
        <v>46273</v>
      </c>
      <c r="C20" s="61"/>
      <c r="D20" s="61"/>
      <c r="E20" s="61"/>
      <c r="F20" s="61">
        <f t="shared" si="0"/>
        <v>0</v>
      </c>
    </row>
    <row r="21" spans="1:6" ht="15.75" customHeight="1" x14ac:dyDescent="0.25">
      <c r="A21" s="191" t="s">
        <v>184</v>
      </c>
      <c r="B21" s="200"/>
      <c r="C21" s="61"/>
      <c r="D21" s="61"/>
      <c r="E21" s="61"/>
      <c r="F21" s="61">
        <f t="shared" si="0"/>
        <v>0</v>
      </c>
    </row>
    <row r="22" spans="1:6" ht="15.75" customHeight="1" x14ac:dyDescent="0.25">
      <c r="A22" s="191" t="s">
        <v>190</v>
      </c>
      <c r="B22" s="200"/>
      <c r="C22" s="61"/>
      <c r="D22" s="61"/>
      <c r="E22" s="61"/>
      <c r="F22" s="61">
        <f t="shared" si="0"/>
        <v>0</v>
      </c>
    </row>
    <row r="23" spans="1:6" ht="15.75" customHeight="1" x14ac:dyDescent="0.25">
      <c r="A23" s="191" t="s">
        <v>196</v>
      </c>
      <c r="B23" s="200"/>
      <c r="C23" s="61"/>
      <c r="D23" s="61"/>
      <c r="E23" s="61"/>
      <c r="F23" s="61">
        <f t="shared" si="0"/>
        <v>0</v>
      </c>
    </row>
    <row r="24" spans="1:6" ht="15.75" customHeight="1" x14ac:dyDescent="0.25">
      <c r="A24" s="191" t="s">
        <v>200</v>
      </c>
      <c r="B24" s="200"/>
      <c r="C24" s="61"/>
      <c r="D24" s="61"/>
      <c r="E24" s="61"/>
      <c r="F24" s="61">
        <f t="shared" si="0"/>
        <v>0</v>
      </c>
    </row>
    <row r="25" spans="1:6" ht="15.75" customHeight="1" x14ac:dyDescent="0.25">
      <c r="A25" s="191" t="s">
        <v>207</v>
      </c>
      <c r="B25" s="200"/>
      <c r="C25" s="61"/>
      <c r="D25" s="61"/>
      <c r="E25" s="61"/>
      <c r="F25" s="61">
        <f t="shared" si="0"/>
        <v>0</v>
      </c>
    </row>
    <row r="26" spans="1:6" ht="15.75" customHeight="1" x14ac:dyDescent="0.25">
      <c r="A26" s="191" t="s">
        <v>212</v>
      </c>
      <c r="B26" s="200"/>
      <c r="C26" s="61"/>
      <c r="D26" s="61"/>
      <c r="E26" s="61"/>
      <c r="F26" s="61">
        <f t="shared" si="0"/>
        <v>0</v>
      </c>
    </row>
    <row r="27" spans="1:6" ht="20.25" customHeight="1" x14ac:dyDescent="0.25">
      <c r="A27" s="202" t="s">
        <v>4</v>
      </c>
      <c r="B27" s="202"/>
      <c r="C27" s="192">
        <f>SUM(C4:C26)</f>
        <v>699</v>
      </c>
      <c r="D27" s="193">
        <f>SUM(D4:D26)</f>
        <v>242</v>
      </c>
      <c r="E27" s="194">
        <f>SUM(E4:E26)</f>
        <v>157</v>
      </c>
      <c r="F27" s="192">
        <f>SUM(F4:F26)</f>
        <v>1098</v>
      </c>
    </row>
    <row r="28" spans="1:6" ht="15.75" customHeight="1" x14ac:dyDescent="0.25">
      <c r="D28" s="203">
        <f>SUM(D27:E27)</f>
        <v>399</v>
      </c>
      <c r="E28" s="203"/>
    </row>
    <row r="29" spans="1:6" ht="15.75" customHeight="1" x14ac:dyDescent="0.25">
      <c r="D29" s="204">
        <f>F27-D28</f>
        <v>699</v>
      </c>
      <c r="E29" s="204"/>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62"/>
  <sheetViews>
    <sheetView showZeros="0" zoomScale="117" zoomScaleNormal="117" workbookViewId="0"/>
  </sheetViews>
  <sheetFormatPr defaultColWidth="64" defaultRowHeight="15.75" x14ac:dyDescent="0.25"/>
  <cols>
    <col min="1" max="3" width="45" style="195" customWidth="1"/>
    <col min="4" max="4" width="64" style="196"/>
    <col min="5" max="5" width="33.85546875" style="32" customWidth="1"/>
    <col min="6" max="16384" width="64" style="196"/>
  </cols>
  <sheetData>
    <row r="1" spans="2:3" ht="15.75" customHeight="1" x14ac:dyDescent="0.25">
      <c r="B1" s="195">
        <f t="shared" ref="B1:C20" si="0">INDEX($A:$A, (ROW()-1)*2 + COLUMN()-1)</f>
        <v>0</v>
      </c>
      <c r="C1" s="195">
        <f t="shared" si="0"/>
        <v>0</v>
      </c>
    </row>
    <row r="2" spans="2:3" ht="15.75" customHeight="1" x14ac:dyDescent="0.25">
      <c r="B2" s="195">
        <f t="shared" si="0"/>
        <v>0</v>
      </c>
      <c r="C2" s="195">
        <f t="shared" si="0"/>
        <v>0</v>
      </c>
    </row>
    <row r="3" spans="2:3" ht="15.75" customHeight="1" x14ac:dyDescent="0.25">
      <c r="B3" s="195">
        <f t="shared" si="0"/>
        <v>0</v>
      </c>
      <c r="C3" s="195">
        <f t="shared" si="0"/>
        <v>0</v>
      </c>
    </row>
    <row r="4" spans="2:3" ht="15.75" customHeight="1" x14ac:dyDescent="0.25">
      <c r="B4" s="195">
        <f t="shared" si="0"/>
        <v>0</v>
      </c>
      <c r="C4" s="195">
        <f t="shared" si="0"/>
        <v>0</v>
      </c>
    </row>
    <row r="5" spans="2:3" ht="15.75" customHeight="1" x14ac:dyDescent="0.25">
      <c r="B5" s="195">
        <f t="shared" si="0"/>
        <v>0</v>
      </c>
      <c r="C5" s="195">
        <f t="shared" si="0"/>
        <v>0</v>
      </c>
    </row>
    <row r="6" spans="2:3" ht="15.75" customHeight="1" x14ac:dyDescent="0.25">
      <c r="B6" s="195">
        <f t="shared" si="0"/>
        <v>0</v>
      </c>
      <c r="C6" s="195">
        <f t="shared" si="0"/>
        <v>0</v>
      </c>
    </row>
    <row r="7" spans="2:3" ht="15.75" customHeight="1" x14ac:dyDescent="0.25">
      <c r="B7" s="195">
        <f t="shared" si="0"/>
        <v>0</v>
      </c>
      <c r="C7" s="195">
        <f t="shared" si="0"/>
        <v>0</v>
      </c>
    </row>
    <row r="8" spans="2:3" ht="15.75" customHeight="1" x14ac:dyDescent="0.25">
      <c r="B8" s="195">
        <f t="shared" si="0"/>
        <v>0</v>
      </c>
      <c r="C8" s="195">
        <f t="shared" si="0"/>
        <v>0</v>
      </c>
    </row>
    <row r="9" spans="2:3" ht="15.75" customHeight="1" x14ac:dyDescent="0.25">
      <c r="B9" s="195">
        <f t="shared" si="0"/>
        <v>0</v>
      </c>
      <c r="C9" s="195">
        <f t="shared" si="0"/>
        <v>0</v>
      </c>
    </row>
    <row r="10" spans="2:3" ht="15.75" customHeight="1" x14ac:dyDescent="0.25">
      <c r="B10" s="195">
        <f t="shared" si="0"/>
        <v>0</v>
      </c>
      <c r="C10" s="195">
        <f t="shared" si="0"/>
        <v>0</v>
      </c>
    </row>
    <row r="11" spans="2:3" ht="15.75" customHeight="1" x14ac:dyDescent="0.25">
      <c r="B11" s="195">
        <f t="shared" si="0"/>
        <v>0</v>
      </c>
      <c r="C11" s="195">
        <f t="shared" si="0"/>
        <v>0</v>
      </c>
    </row>
    <row r="12" spans="2:3" ht="15.75" customHeight="1" x14ac:dyDescent="0.25">
      <c r="B12" s="195">
        <f t="shared" si="0"/>
        <v>0</v>
      </c>
      <c r="C12" s="195">
        <f t="shared" si="0"/>
        <v>0</v>
      </c>
    </row>
    <row r="13" spans="2:3" ht="15.75" customHeight="1" x14ac:dyDescent="0.25">
      <c r="B13" s="195">
        <f t="shared" si="0"/>
        <v>0</v>
      </c>
      <c r="C13" s="195">
        <f t="shared" si="0"/>
        <v>0</v>
      </c>
    </row>
    <row r="14" spans="2:3" ht="15.75" customHeight="1" x14ac:dyDescent="0.25">
      <c r="B14" s="195">
        <f t="shared" si="0"/>
        <v>0</v>
      </c>
      <c r="C14" s="195">
        <f t="shared" si="0"/>
        <v>0</v>
      </c>
    </row>
    <row r="15" spans="2:3" ht="15.75" customHeight="1" x14ac:dyDescent="0.25">
      <c r="B15" s="195">
        <f t="shared" si="0"/>
        <v>0</v>
      </c>
      <c r="C15" s="195">
        <f t="shared" si="0"/>
        <v>0</v>
      </c>
    </row>
    <row r="16" spans="2:3" ht="15.75" customHeight="1" x14ac:dyDescent="0.25">
      <c r="B16" s="195">
        <f t="shared" si="0"/>
        <v>0</v>
      </c>
      <c r="C16" s="195">
        <f t="shared" si="0"/>
        <v>0</v>
      </c>
    </row>
    <row r="17" spans="2:3" ht="15.75" customHeight="1" x14ac:dyDescent="0.25">
      <c r="B17" s="195">
        <f t="shared" si="0"/>
        <v>0</v>
      </c>
      <c r="C17" s="195">
        <f t="shared" si="0"/>
        <v>0</v>
      </c>
    </row>
    <row r="18" spans="2:3" ht="15.75" customHeight="1" x14ac:dyDescent="0.25">
      <c r="B18" s="195">
        <f t="shared" si="0"/>
        <v>0</v>
      </c>
      <c r="C18" s="195">
        <f t="shared" si="0"/>
        <v>0</v>
      </c>
    </row>
    <row r="19" spans="2:3" ht="15.75" customHeight="1" x14ac:dyDescent="0.25">
      <c r="B19" s="195">
        <f t="shared" si="0"/>
        <v>0</v>
      </c>
      <c r="C19" s="195">
        <f t="shared" si="0"/>
        <v>0</v>
      </c>
    </row>
    <row r="20" spans="2:3" ht="15.75" customHeight="1" x14ac:dyDescent="0.25">
      <c r="B20" s="195">
        <f t="shared" si="0"/>
        <v>0</v>
      </c>
      <c r="C20" s="195">
        <f t="shared" si="0"/>
        <v>0</v>
      </c>
    </row>
    <row r="21" spans="2:3" ht="15.75" customHeight="1" x14ac:dyDescent="0.25">
      <c r="B21" s="195">
        <f t="shared" ref="B21:C40" si="1">INDEX($A:$A, (ROW()-1)*2 + COLUMN()-1)</f>
        <v>0</v>
      </c>
      <c r="C21" s="195">
        <f t="shared" si="1"/>
        <v>0</v>
      </c>
    </row>
    <row r="22" spans="2:3" ht="15.75" customHeight="1" x14ac:dyDescent="0.25">
      <c r="B22" s="195">
        <f t="shared" si="1"/>
        <v>0</v>
      </c>
      <c r="C22" s="195">
        <f t="shared" si="1"/>
        <v>0</v>
      </c>
    </row>
    <row r="23" spans="2:3" ht="15.75" customHeight="1" x14ac:dyDescent="0.25">
      <c r="B23" s="195">
        <f t="shared" si="1"/>
        <v>0</v>
      </c>
      <c r="C23" s="195">
        <f t="shared" si="1"/>
        <v>0</v>
      </c>
    </row>
    <row r="24" spans="2:3" ht="15.75" customHeight="1" x14ac:dyDescent="0.25">
      <c r="B24" s="195">
        <f t="shared" si="1"/>
        <v>0</v>
      </c>
      <c r="C24" s="195">
        <f t="shared" si="1"/>
        <v>0</v>
      </c>
    </row>
    <row r="25" spans="2:3" ht="15.75" customHeight="1" x14ac:dyDescent="0.25">
      <c r="B25" s="195">
        <f t="shared" si="1"/>
        <v>0</v>
      </c>
      <c r="C25" s="195">
        <f t="shared" si="1"/>
        <v>0</v>
      </c>
    </row>
    <row r="26" spans="2:3" ht="15.75" customHeight="1" x14ac:dyDescent="0.25">
      <c r="B26" s="195">
        <f t="shared" si="1"/>
        <v>0</v>
      </c>
      <c r="C26" s="195">
        <f t="shared" si="1"/>
        <v>0</v>
      </c>
    </row>
    <row r="27" spans="2:3" ht="15.75" customHeight="1" x14ac:dyDescent="0.25">
      <c r="B27" s="195">
        <f t="shared" si="1"/>
        <v>0</v>
      </c>
      <c r="C27" s="195">
        <f t="shared" si="1"/>
        <v>0</v>
      </c>
    </row>
    <row r="28" spans="2:3" ht="15.75" customHeight="1" x14ac:dyDescent="0.25">
      <c r="B28" s="195">
        <f t="shared" si="1"/>
        <v>0</v>
      </c>
      <c r="C28" s="195">
        <f t="shared" si="1"/>
        <v>0</v>
      </c>
    </row>
    <row r="29" spans="2:3" ht="15.75" customHeight="1" x14ac:dyDescent="0.25">
      <c r="B29" s="195">
        <f t="shared" si="1"/>
        <v>0</v>
      </c>
      <c r="C29" s="195">
        <f t="shared" si="1"/>
        <v>0</v>
      </c>
    </row>
    <row r="30" spans="2:3" ht="15.75" customHeight="1" x14ac:dyDescent="0.25">
      <c r="B30" s="195">
        <f t="shared" si="1"/>
        <v>0</v>
      </c>
      <c r="C30" s="195">
        <f t="shared" si="1"/>
        <v>0</v>
      </c>
    </row>
    <row r="31" spans="2:3" ht="15.75" customHeight="1" x14ac:dyDescent="0.25">
      <c r="B31" s="195">
        <f t="shared" si="1"/>
        <v>0</v>
      </c>
      <c r="C31" s="195">
        <f t="shared" si="1"/>
        <v>0</v>
      </c>
    </row>
    <row r="32" spans="2:3" ht="15.75" customHeight="1" x14ac:dyDescent="0.25">
      <c r="B32" s="195">
        <f t="shared" si="1"/>
        <v>0</v>
      </c>
      <c r="C32" s="195">
        <f t="shared" si="1"/>
        <v>0</v>
      </c>
    </row>
    <row r="33" spans="2:3" ht="15.75" customHeight="1" x14ac:dyDescent="0.25">
      <c r="B33" s="195">
        <f t="shared" si="1"/>
        <v>0</v>
      </c>
      <c r="C33" s="195">
        <f t="shared" si="1"/>
        <v>0</v>
      </c>
    </row>
    <row r="34" spans="2:3" ht="15.75" customHeight="1" x14ac:dyDescent="0.25">
      <c r="B34" s="195">
        <f t="shared" si="1"/>
        <v>0</v>
      </c>
      <c r="C34" s="195">
        <f t="shared" si="1"/>
        <v>0</v>
      </c>
    </row>
    <row r="35" spans="2:3" ht="15.75" customHeight="1" x14ac:dyDescent="0.25">
      <c r="B35" s="195">
        <f t="shared" si="1"/>
        <v>0</v>
      </c>
      <c r="C35" s="195">
        <f t="shared" si="1"/>
        <v>0</v>
      </c>
    </row>
    <row r="36" spans="2:3" ht="15.75" customHeight="1" x14ac:dyDescent="0.25">
      <c r="B36" s="195">
        <f t="shared" si="1"/>
        <v>0</v>
      </c>
      <c r="C36" s="195">
        <f t="shared" si="1"/>
        <v>0</v>
      </c>
    </row>
    <row r="37" spans="2:3" ht="15.75" customHeight="1" x14ac:dyDescent="0.25">
      <c r="B37" s="195">
        <f t="shared" si="1"/>
        <v>0</v>
      </c>
      <c r="C37" s="195">
        <f t="shared" si="1"/>
        <v>0</v>
      </c>
    </row>
    <row r="38" spans="2:3" ht="15.75" customHeight="1" x14ac:dyDescent="0.25">
      <c r="B38" s="195">
        <f t="shared" si="1"/>
        <v>0</v>
      </c>
      <c r="C38" s="195">
        <f t="shared" si="1"/>
        <v>0</v>
      </c>
    </row>
    <row r="39" spans="2:3" ht="15.75" customHeight="1" x14ac:dyDescent="0.25">
      <c r="B39" s="195">
        <f t="shared" si="1"/>
        <v>0</v>
      </c>
      <c r="C39" s="195">
        <f t="shared" si="1"/>
        <v>0</v>
      </c>
    </row>
    <row r="40" spans="2:3" ht="15.75" customHeight="1" x14ac:dyDescent="0.25">
      <c r="B40" s="195">
        <f t="shared" si="1"/>
        <v>0</v>
      </c>
      <c r="C40" s="195">
        <f t="shared" si="1"/>
        <v>0</v>
      </c>
    </row>
    <row r="41" spans="2:3" ht="15.75" customHeight="1" x14ac:dyDescent="0.25">
      <c r="B41" s="195">
        <f t="shared" ref="B41:C62" si="2">INDEX($A:$A, (ROW()-1)*2 + COLUMN()-1)</f>
        <v>0</v>
      </c>
      <c r="C41" s="195">
        <f t="shared" si="2"/>
        <v>0</v>
      </c>
    </row>
    <row r="42" spans="2:3" ht="15.75" customHeight="1" x14ac:dyDescent="0.25">
      <c r="B42" s="195">
        <f t="shared" si="2"/>
        <v>0</v>
      </c>
      <c r="C42" s="195">
        <f t="shared" si="2"/>
        <v>0</v>
      </c>
    </row>
    <row r="43" spans="2:3" ht="15.75" customHeight="1" x14ac:dyDescent="0.25">
      <c r="B43" s="195">
        <f t="shared" si="2"/>
        <v>0</v>
      </c>
      <c r="C43" s="195">
        <f t="shared" si="2"/>
        <v>0</v>
      </c>
    </row>
    <row r="44" spans="2:3" ht="15.75" customHeight="1" x14ac:dyDescent="0.25">
      <c r="B44" s="195">
        <f t="shared" si="2"/>
        <v>0</v>
      </c>
      <c r="C44" s="195">
        <f t="shared" si="2"/>
        <v>0</v>
      </c>
    </row>
    <row r="45" spans="2:3" ht="15.75" customHeight="1" x14ac:dyDescent="0.25">
      <c r="B45" s="195">
        <f t="shared" si="2"/>
        <v>0</v>
      </c>
      <c r="C45" s="195">
        <f t="shared" si="2"/>
        <v>0</v>
      </c>
    </row>
    <row r="46" spans="2:3" ht="15.75" customHeight="1" x14ac:dyDescent="0.25">
      <c r="B46" s="195">
        <f t="shared" si="2"/>
        <v>0</v>
      </c>
      <c r="C46" s="195">
        <f t="shared" si="2"/>
        <v>0</v>
      </c>
    </row>
    <row r="47" spans="2:3" ht="15.75" customHeight="1" x14ac:dyDescent="0.25">
      <c r="B47" s="195">
        <f t="shared" si="2"/>
        <v>0</v>
      </c>
      <c r="C47" s="195">
        <f t="shared" si="2"/>
        <v>0</v>
      </c>
    </row>
    <row r="48" spans="2:3" ht="15.75" customHeight="1" x14ac:dyDescent="0.25">
      <c r="B48" s="195">
        <f t="shared" si="2"/>
        <v>0</v>
      </c>
      <c r="C48" s="195">
        <f t="shared" si="2"/>
        <v>0</v>
      </c>
    </row>
    <row r="49" spans="2:3" ht="15.75" customHeight="1" x14ac:dyDescent="0.25">
      <c r="B49" s="195">
        <f t="shared" si="2"/>
        <v>0</v>
      </c>
      <c r="C49" s="195">
        <f t="shared" si="2"/>
        <v>0</v>
      </c>
    </row>
    <row r="50" spans="2:3" ht="15.75" customHeight="1" x14ac:dyDescent="0.25">
      <c r="B50" s="195">
        <f t="shared" si="2"/>
        <v>0</v>
      </c>
      <c r="C50" s="195">
        <f t="shared" si="2"/>
        <v>0</v>
      </c>
    </row>
    <row r="51" spans="2:3" ht="15.75" customHeight="1" x14ac:dyDescent="0.25">
      <c r="B51" s="195">
        <f t="shared" si="2"/>
        <v>0</v>
      </c>
      <c r="C51" s="195">
        <f t="shared" si="2"/>
        <v>0</v>
      </c>
    </row>
    <row r="52" spans="2:3" ht="15.75" customHeight="1" x14ac:dyDescent="0.25">
      <c r="B52" s="195">
        <f t="shared" si="2"/>
        <v>0</v>
      </c>
      <c r="C52" s="195">
        <f t="shared" si="2"/>
        <v>0</v>
      </c>
    </row>
    <row r="53" spans="2:3" ht="15.75" customHeight="1" x14ac:dyDescent="0.25">
      <c r="B53" s="195">
        <f t="shared" si="2"/>
        <v>0</v>
      </c>
      <c r="C53" s="195">
        <f t="shared" si="2"/>
        <v>0</v>
      </c>
    </row>
    <row r="54" spans="2:3" ht="15.75" customHeight="1" x14ac:dyDescent="0.25">
      <c r="B54" s="195">
        <f t="shared" si="2"/>
        <v>0</v>
      </c>
      <c r="C54" s="195">
        <f t="shared" si="2"/>
        <v>0</v>
      </c>
    </row>
    <row r="55" spans="2:3" ht="15.75" customHeight="1" x14ac:dyDescent="0.25">
      <c r="B55" s="195">
        <f t="shared" si="2"/>
        <v>0</v>
      </c>
      <c r="C55" s="195">
        <f t="shared" si="2"/>
        <v>0</v>
      </c>
    </row>
    <row r="56" spans="2:3" ht="15.75" customHeight="1" x14ac:dyDescent="0.25">
      <c r="B56" s="195">
        <f t="shared" si="2"/>
        <v>0</v>
      </c>
      <c r="C56" s="195">
        <f t="shared" si="2"/>
        <v>0</v>
      </c>
    </row>
    <row r="57" spans="2:3" ht="15.75" customHeight="1" x14ac:dyDescent="0.25">
      <c r="B57" s="195">
        <f t="shared" si="2"/>
        <v>0</v>
      </c>
      <c r="C57" s="195">
        <f t="shared" si="2"/>
        <v>0</v>
      </c>
    </row>
    <row r="58" spans="2:3" ht="15.75" customHeight="1" x14ac:dyDescent="0.25">
      <c r="B58" s="195">
        <f t="shared" si="2"/>
        <v>0</v>
      </c>
      <c r="C58" s="195">
        <f t="shared" si="2"/>
        <v>0</v>
      </c>
    </row>
    <row r="59" spans="2:3" ht="15.75" customHeight="1" x14ac:dyDescent="0.25">
      <c r="B59" s="195">
        <f t="shared" si="2"/>
        <v>0</v>
      </c>
      <c r="C59" s="195">
        <f t="shared" si="2"/>
        <v>0</v>
      </c>
    </row>
    <row r="60" spans="2:3" ht="15.75" customHeight="1" x14ac:dyDescent="0.25">
      <c r="B60" s="195">
        <f t="shared" si="2"/>
        <v>0</v>
      </c>
      <c r="C60" s="195">
        <f t="shared" si="2"/>
        <v>0</v>
      </c>
    </row>
    <row r="61" spans="2:3" ht="15.75" customHeight="1" x14ac:dyDescent="0.25">
      <c r="B61" s="195">
        <f t="shared" si="2"/>
        <v>0</v>
      </c>
      <c r="C61" s="195">
        <f t="shared" si="2"/>
        <v>0</v>
      </c>
    </row>
    <row r="62" spans="2:3" ht="15.75" customHeight="1" x14ac:dyDescent="0.25">
      <c r="B62" s="195">
        <f t="shared" si="2"/>
        <v>0</v>
      </c>
      <c r="C62" s="195">
        <f t="shared" si="2"/>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6" customWidth="1"/>
    <col min="2" max="2" width="18.85546875" style="26" customWidth="1"/>
    <col min="3" max="3" width="46.28515625" style="26" customWidth="1"/>
    <col min="4" max="4" width="50.7109375" style="27" customWidth="1"/>
    <col min="5" max="16384" width="9.140625" style="29"/>
  </cols>
  <sheetData>
    <row r="1" spans="1:4" ht="31.5" customHeight="1" x14ac:dyDescent="0.25">
      <c r="A1" s="197" t="s">
        <v>69</v>
      </c>
      <c r="B1" s="197" t="s">
        <v>4422</v>
      </c>
      <c r="C1" s="198" t="s">
        <v>4423</v>
      </c>
      <c r="D1" s="65" t="s">
        <v>3278</v>
      </c>
    </row>
    <row r="2" spans="1:4" ht="31.5" customHeight="1" x14ac:dyDescent="0.25">
      <c r="A2" s="197" t="s">
        <v>78</v>
      </c>
      <c r="B2" s="197" t="s">
        <v>4424</v>
      </c>
      <c r="C2" s="198" t="s">
        <v>4425</v>
      </c>
      <c r="D2" s="65" t="s">
        <v>3279</v>
      </c>
    </row>
    <row r="3" spans="1:4" ht="47.25" customHeight="1" x14ac:dyDescent="0.25">
      <c r="A3" s="197" t="s">
        <v>85</v>
      </c>
      <c r="B3" s="197" t="s">
        <v>4426</v>
      </c>
      <c r="C3" s="198" t="s">
        <v>1353</v>
      </c>
      <c r="D3" s="65" t="s">
        <v>3280</v>
      </c>
    </row>
    <row r="4" spans="1:4" ht="63" customHeight="1" x14ac:dyDescent="0.25">
      <c r="A4" s="197" t="s">
        <v>93</v>
      </c>
      <c r="B4" s="197" t="s">
        <v>4427</v>
      </c>
      <c r="C4" s="198" t="s">
        <v>1353</v>
      </c>
      <c r="D4" s="65" t="s">
        <v>3281</v>
      </c>
    </row>
    <row r="5" spans="1:4" ht="47.25" customHeight="1" x14ac:dyDescent="0.25">
      <c r="A5" s="197" t="s">
        <v>102</v>
      </c>
      <c r="B5" s="197" t="s">
        <v>4428</v>
      </c>
      <c r="C5" s="198" t="s">
        <v>419</v>
      </c>
      <c r="D5" s="65" t="s">
        <v>3282</v>
      </c>
    </row>
    <row r="6" spans="1:4" ht="31.5" customHeight="1" x14ac:dyDescent="0.25">
      <c r="A6" s="197" t="s">
        <v>110</v>
      </c>
      <c r="B6" s="197" t="s">
        <v>4429</v>
      </c>
      <c r="C6" s="198" t="s">
        <v>1329</v>
      </c>
      <c r="D6" s="65" t="s">
        <v>3283</v>
      </c>
    </row>
    <row r="7" spans="1:4" ht="31.5" customHeight="1" x14ac:dyDescent="0.25">
      <c r="A7" s="197" t="s">
        <v>117</v>
      </c>
      <c r="B7" s="197" t="s">
        <v>4430</v>
      </c>
      <c r="C7" s="198" t="s">
        <v>1585</v>
      </c>
      <c r="D7" s="65" t="s">
        <v>3284</v>
      </c>
    </row>
    <row r="8" spans="1:4" ht="47.25" customHeight="1" x14ac:dyDescent="0.25">
      <c r="A8" s="197" t="s">
        <v>124</v>
      </c>
      <c r="B8" s="197" t="s">
        <v>4431</v>
      </c>
      <c r="C8" s="198" t="s">
        <v>1585</v>
      </c>
      <c r="D8" s="65" t="s">
        <v>3285</v>
      </c>
    </row>
    <row r="9" spans="1:4" ht="31.5" customHeight="1" x14ac:dyDescent="0.25">
      <c r="A9" s="197" t="s">
        <v>130</v>
      </c>
      <c r="B9" s="197" t="s">
        <v>4432</v>
      </c>
      <c r="C9" s="198" t="s">
        <v>4433</v>
      </c>
      <c r="D9" s="65" t="s">
        <v>3286</v>
      </c>
    </row>
    <row r="10" spans="1:4" ht="47.25" customHeight="1" x14ac:dyDescent="0.25">
      <c r="A10" s="197" t="s">
        <v>136</v>
      </c>
      <c r="B10" s="197" t="s">
        <v>4434</v>
      </c>
      <c r="C10" s="198" t="s">
        <v>676</v>
      </c>
      <c r="D10" s="65" t="s">
        <v>3287</v>
      </c>
    </row>
    <row r="11" spans="1:4" ht="63" customHeight="1" x14ac:dyDescent="0.25">
      <c r="A11" s="197" t="s">
        <v>142</v>
      </c>
      <c r="B11" s="197" t="s">
        <v>4435</v>
      </c>
      <c r="C11" s="198" t="s">
        <v>4436</v>
      </c>
      <c r="D11" s="65" t="s">
        <v>3288</v>
      </c>
    </row>
    <row r="12" spans="1:4" ht="31.5" customHeight="1" x14ac:dyDescent="0.25">
      <c r="A12" s="197" t="s">
        <v>147</v>
      </c>
      <c r="B12" s="197" t="s">
        <v>4437</v>
      </c>
      <c r="C12" s="198" t="s">
        <v>379</v>
      </c>
      <c r="D12" s="65" t="s">
        <v>3289</v>
      </c>
    </row>
    <row r="13" spans="1:4" ht="31.5" customHeight="1" x14ac:dyDescent="0.25">
      <c r="A13" s="197" t="s">
        <v>154</v>
      </c>
      <c r="B13" s="197" t="s">
        <v>4438</v>
      </c>
      <c r="C13" s="198" t="s">
        <v>1106</v>
      </c>
      <c r="D13" s="65" t="s">
        <v>3290</v>
      </c>
    </row>
    <row r="14" spans="1:4" ht="31.5" customHeight="1" x14ac:dyDescent="0.25">
      <c r="A14" s="197" t="s">
        <v>160</v>
      </c>
      <c r="B14" s="197" t="s">
        <v>4439</v>
      </c>
      <c r="C14" s="198" t="s">
        <v>4440</v>
      </c>
      <c r="D14" s="65" t="s">
        <v>3293</v>
      </c>
    </row>
    <row r="15" spans="1:4" ht="31.5" customHeight="1" x14ac:dyDescent="0.25">
      <c r="A15" s="197" t="s">
        <v>166</v>
      </c>
      <c r="B15" s="197" t="s">
        <v>4441</v>
      </c>
      <c r="C15" s="198" t="s">
        <v>4440</v>
      </c>
      <c r="D15" s="65" t="s">
        <v>3295</v>
      </c>
    </row>
    <row r="16" spans="1:4" ht="31.5" customHeight="1" x14ac:dyDescent="0.25">
      <c r="A16" s="197" t="s">
        <v>173</v>
      </c>
      <c r="B16" s="197" t="s">
        <v>4442</v>
      </c>
      <c r="C16" s="198" t="s">
        <v>260</v>
      </c>
      <c r="D16" s="65" t="s">
        <v>3296</v>
      </c>
    </row>
    <row r="17" spans="1:4" ht="47.25" customHeight="1" x14ac:dyDescent="0.25">
      <c r="A17" s="197" t="s">
        <v>178</v>
      </c>
      <c r="B17" s="197" t="s">
        <v>4443</v>
      </c>
      <c r="C17" s="198" t="s">
        <v>489</v>
      </c>
      <c r="D17" s="65" t="s">
        <v>3297</v>
      </c>
    </row>
    <row r="18" spans="1:4" ht="31.5" customHeight="1" x14ac:dyDescent="0.25">
      <c r="A18" s="197" t="s">
        <v>184</v>
      </c>
      <c r="B18" s="197" t="s">
        <v>4444</v>
      </c>
      <c r="C18" s="198" t="s">
        <v>192</v>
      </c>
      <c r="D18" s="65" t="s">
        <v>3298</v>
      </c>
    </row>
    <row r="19" spans="1:4" ht="47.25" customHeight="1" x14ac:dyDescent="0.25">
      <c r="A19" s="197" t="s">
        <v>190</v>
      </c>
      <c r="B19" s="197" t="s">
        <v>4445</v>
      </c>
      <c r="C19" s="198" t="s">
        <v>4446</v>
      </c>
      <c r="D19" s="65" t="s">
        <v>3299</v>
      </c>
    </row>
    <row r="20" spans="1:4" ht="47.25" customHeight="1" x14ac:dyDescent="0.25">
      <c r="A20" s="197" t="s">
        <v>196</v>
      </c>
      <c r="B20" s="197" t="s">
        <v>4447</v>
      </c>
      <c r="C20" s="198" t="s">
        <v>560</v>
      </c>
      <c r="D20" s="65" t="s">
        <v>3300</v>
      </c>
    </row>
    <row r="21" spans="1:4" ht="47.25" customHeight="1" x14ac:dyDescent="0.25">
      <c r="A21" s="197" t="s">
        <v>200</v>
      </c>
      <c r="B21" s="197" t="s">
        <v>4448</v>
      </c>
      <c r="C21" s="198" t="s">
        <v>604</v>
      </c>
      <c r="D21" s="65" t="s">
        <v>3301</v>
      </c>
    </row>
    <row r="22" spans="1:4" ht="47.25" customHeight="1" x14ac:dyDescent="0.25">
      <c r="A22" s="197" t="s">
        <v>207</v>
      </c>
      <c r="B22" s="197" t="s">
        <v>4449</v>
      </c>
      <c r="C22" s="198" t="s">
        <v>4450</v>
      </c>
      <c r="D22" s="65" t="s">
        <v>3302</v>
      </c>
    </row>
    <row r="23" spans="1:4" ht="31.5" customHeight="1" x14ac:dyDescent="0.25">
      <c r="A23" s="197" t="s">
        <v>212</v>
      </c>
      <c r="B23" s="197" t="s">
        <v>4451</v>
      </c>
      <c r="C23" s="198" t="s">
        <v>4450</v>
      </c>
      <c r="D23" s="65" t="s">
        <v>3303</v>
      </c>
    </row>
    <row r="24" spans="1:4" ht="31.5" customHeight="1" x14ac:dyDescent="0.25">
      <c r="A24" s="197" t="s">
        <v>219</v>
      </c>
      <c r="B24" s="197" t="s">
        <v>4452</v>
      </c>
      <c r="C24" s="198" t="s">
        <v>4450</v>
      </c>
      <c r="D24" s="65" t="s">
        <v>3304</v>
      </c>
    </row>
    <row r="25" spans="1:4" ht="31.5" customHeight="1" x14ac:dyDescent="0.25">
      <c r="A25" s="197" t="s">
        <v>225</v>
      </c>
      <c r="B25" s="197" t="s">
        <v>4453</v>
      </c>
      <c r="C25" s="198" t="s">
        <v>4450</v>
      </c>
      <c r="D25" s="65" t="s">
        <v>3305</v>
      </c>
    </row>
    <row r="26" spans="1:4" ht="31.5" customHeight="1" x14ac:dyDescent="0.25">
      <c r="A26" s="197" t="s">
        <v>231</v>
      </c>
      <c r="B26" s="197" t="s">
        <v>4454</v>
      </c>
      <c r="C26" s="198" t="s">
        <v>4455</v>
      </c>
      <c r="D26" s="65" t="s">
        <v>3306</v>
      </c>
    </row>
    <row r="27" spans="1:4" ht="47.25" customHeight="1" x14ac:dyDescent="0.25">
      <c r="A27" s="197" t="s">
        <v>237</v>
      </c>
      <c r="B27" s="197" t="s">
        <v>4456</v>
      </c>
      <c r="C27" s="198" t="s">
        <v>1427</v>
      </c>
      <c r="D27" s="65" t="s">
        <v>3307</v>
      </c>
    </row>
    <row r="28" spans="1:4" ht="47.25" customHeight="1" x14ac:dyDescent="0.25">
      <c r="A28" s="197" t="s">
        <v>241</v>
      </c>
      <c r="B28" s="197" t="s">
        <v>4457</v>
      </c>
      <c r="C28" s="198" t="s">
        <v>1427</v>
      </c>
      <c r="D28" s="65" t="s">
        <v>3308</v>
      </c>
    </row>
    <row r="29" spans="1:4" ht="47.25" customHeight="1" x14ac:dyDescent="0.25">
      <c r="A29" s="197" t="s">
        <v>246</v>
      </c>
      <c r="B29" s="197" t="s">
        <v>4458</v>
      </c>
      <c r="C29" s="198" t="s">
        <v>4459</v>
      </c>
      <c r="D29" s="65" t="s">
        <v>3309</v>
      </c>
    </row>
    <row r="30" spans="1:4" ht="31.5" customHeight="1" x14ac:dyDescent="0.25">
      <c r="A30" s="197" t="s">
        <v>251</v>
      </c>
      <c r="B30" s="197" t="s">
        <v>4460</v>
      </c>
      <c r="C30" s="198" t="s">
        <v>4459</v>
      </c>
      <c r="D30" s="65" t="s">
        <v>3310</v>
      </c>
    </row>
    <row r="31" spans="1:4" ht="63" customHeight="1" x14ac:dyDescent="0.25">
      <c r="A31" s="197" t="s">
        <v>255</v>
      </c>
      <c r="B31" s="197" t="s">
        <v>4461</v>
      </c>
      <c r="C31" s="198" t="s">
        <v>548</v>
      </c>
      <c r="D31" s="65" t="s">
        <v>3311</v>
      </c>
    </row>
    <row r="32" spans="1:4" ht="47.25" customHeight="1" x14ac:dyDescent="0.25">
      <c r="A32" s="197" t="s">
        <v>258</v>
      </c>
      <c r="B32" s="197" t="s">
        <v>4462</v>
      </c>
      <c r="C32" s="198" t="s">
        <v>965</v>
      </c>
      <c r="D32" s="65" t="s">
        <v>3312</v>
      </c>
    </row>
    <row r="33" spans="1:4" ht="63" customHeight="1" x14ac:dyDescent="0.25">
      <c r="A33" s="197" t="s">
        <v>263</v>
      </c>
      <c r="B33" s="197" t="s">
        <v>4463</v>
      </c>
      <c r="C33" s="198" t="s">
        <v>4464</v>
      </c>
      <c r="D33" s="65" t="s">
        <v>3313</v>
      </c>
    </row>
    <row r="34" spans="1:4" ht="47.25" customHeight="1" x14ac:dyDescent="0.25">
      <c r="A34" s="197" t="s">
        <v>267</v>
      </c>
      <c r="B34" s="197" t="s">
        <v>4465</v>
      </c>
      <c r="C34" s="198" t="s">
        <v>112</v>
      </c>
      <c r="D34" s="65" t="s">
        <v>3314</v>
      </c>
    </row>
    <row r="35" spans="1:4" ht="47.25" customHeight="1" x14ac:dyDescent="0.25">
      <c r="A35" s="197" t="s">
        <v>273</v>
      </c>
      <c r="B35" s="197" t="s">
        <v>4466</v>
      </c>
      <c r="C35" s="198" t="s">
        <v>112</v>
      </c>
      <c r="D35" s="65" t="s">
        <v>3315</v>
      </c>
    </row>
    <row r="36" spans="1:4" ht="47.25" customHeight="1" x14ac:dyDescent="0.25">
      <c r="A36" s="197" t="s">
        <v>277</v>
      </c>
      <c r="B36" s="197" t="s">
        <v>4467</v>
      </c>
      <c r="C36" s="198" t="s">
        <v>4468</v>
      </c>
      <c r="D36" s="65" t="s">
        <v>3316</v>
      </c>
    </row>
    <row r="37" spans="1:4" ht="47.25" customHeight="1" x14ac:dyDescent="0.25">
      <c r="A37" s="197" t="s">
        <v>283</v>
      </c>
      <c r="B37" s="197" t="s">
        <v>4469</v>
      </c>
      <c r="C37" s="198" t="s">
        <v>1659</v>
      </c>
      <c r="D37" s="65" t="s">
        <v>3317</v>
      </c>
    </row>
    <row r="38" spans="1:4" ht="47.25" customHeight="1" x14ac:dyDescent="0.25">
      <c r="A38" s="197" t="s">
        <v>288</v>
      </c>
      <c r="B38" s="197" t="s">
        <v>4470</v>
      </c>
      <c r="C38" s="198" t="s">
        <v>1659</v>
      </c>
      <c r="D38" s="65" t="s">
        <v>3318</v>
      </c>
    </row>
    <row r="39" spans="1:4" ht="63" customHeight="1" x14ac:dyDescent="0.25">
      <c r="A39" s="197" t="s">
        <v>294</v>
      </c>
      <c r="B39" s="197" t="s">
        <v>4471</v>
      </c>
      <c r="C39" s="198" t="s">
        <v>4472</v>
      </c>
      <c r="D39" s="65" t="s">
        <v>3319</v>
      </c>
    </row>
    <row r="40" spans="1:4" ht="78.75" customHeight="1" x14ac:dyDescent="0.25">
      <c r="A40" s="197" t="s">
        <v>300</v>
      </c>
      <c r="B40" s="197" t="s">
        <v>4473</v>
      </c>
      <c r="C40" s="198" t="s">
        <v>4472</v>
      </c>
      <c r="D40" s="65" t="s">
        <v>3320</v>
      </c>
    </row>
    <row r="41" spans="1:4" ht="31.5" customHeight="1" x14ac:dyDescent="0.25">
      <c r="A41" s="197" t="s">
        <v>305</v>
      </c>
      <c r="B41" s="197" t="s">
        <v>4474</v>
      </c>
      <c r="C41" s="198" t="s">
        <v>628</v>
      </c>
      <c r="D41" s="65" t="s">
        <v>3321</v>
      </c>
    </row>
    <row r="42" spans="1:4" ht="47.25" customHeight="1" x14ac:dyDescent="0.25">
      <c r="A42" s="197" t="s">
        <v>310</v>
      </c>
      <c r="B42" s="197" t="s">
        <v>4475</v>
      </c>
      <c r="C42" s="198" t="s">
        <v>4476</v>
      </c>
      <c r="D42" s="65" t="s">
        <v>3322</v>
      </c>
    </row>
    <row r="43" spans="1:4" ht="63" customHeight="1" x14ac:dyDescent="0.25">
      <c r="A43" s="197" t="s">
        <v>314</v>
      </c>
      <c r="B43" s="197" t="s">
        <v>4477</v>
      </c>
      <c r="C43" s="198" t="s">
        <v>4478</v>
      </c>
      <c r="D43" s="65" t="s">
        <v>3323</v>
      </c>
    </row>
    <row r="44" spans="1:4" ht="63" customHeight="1" x14ac:dyDescent="0.25">
      <c r="A44" s="197" t="s">
        <v>317</v>
      </c>
      <c r="B44" s="197" t="s">
        <v>4479</v>
      </c>
      <c r="C44" s="198" t="s">
        <v>4480</v>
      </c>
      <c r="D44" s="65" t="s">
        <v>3324</v>
      </c>
    </row>
    <row r="45" spans="1:4" ht="31.5" customHeight="1" x14ac:dyDescent="0.25">
      <c r="A45" s="197" t="s">
        <v>322</v>
      </c>
      <c r="B45" s="197" t="s">
        <v>4481</v>
      </c>
      <c r="C45" s="198" t="s">
        <v>374</v>
      </c>
      <c r="D45" s="65" t="s">
        <v>3325</v>
      </c>
    </row>
    <row r="46" spans="1:4" ht="31.5" customHeight="1" x14ac:dyDescent="0.25">
      <c r="A46" s="197" t="s">
        <v>328</v>
      </c>
      <c r="B46" s="197" t="s">
        <v>4482</v>
      </c>
      <c r="C46" s="198" t="s">
        <v>156</v>
      </c>
      <c r="D46" s="65" t="s">
        <v>3326</v>
      </c>
    </row>
    <row r="47" spans="1:4" ht="31.5" customHeight="1" x14ac:dyDescent="0.25">
      <c r="A47" s="197" t="s">
        <v>333</v>
      </c>
      <c r="B47" s="197" t="s">
        <v>4483</v>
      </c>
      <c r="C47" s="198" t="s">
        <v>156</v>
      </c>
      <c r="D47" s="65" t="s">
        <v>3327</v>
      </c>
    </row>
    <row r="48" spans="1:4" ht="31.5" customHeight="1" x14ac:dyDescent="0.25">
      <c r="A48" s="197" t="s">
        <v>338</v>
      </c>
      <c r="B48" s="197" t="s">
        <v>4484</v>
      </c>
      <c r="C48" s="198" t="s">
        <v>2510</v>
      </c>
      <c r="D48" s="65" t="s">
        <v>3328</v>
      </c>
    </row>
    <row r="49" spans="1:4" ht="31.5" customHeight="1" x14ac:dyDescent="0.25">
      <c r="A49" s="197" t="s">
        <v>344</v>
      </c>
      <c r="B49" s="197" t="s">
        <v>4485</v>
      </c>
      <c r="C49" s="198" t="s">
        <v>4486</v>
      </c>
      <c r="D49" s="65" t="s">
        <v>3329</v>
      </c>
    </row>
    <row r="50" spans="1:4" ht="31.5" customHeight="1" x14ac:dyDescent="0.25">
      <c r="A50" s="197" t="s">
        <v>350</v>
      </c>
      <c r="B50" s="197" t="s">
        <v>4487</v>
      </c>
      <c r="C50" s="198" t="s">
        <v>3075</v>
      </c>
      <c r="D50" s="65" t="s">
        <v>3330</v>
      </c>
    </row>
    <row r="51" spans="1:4" ht="31.5" customHeight="1" x14ac:dyDescent="0.25">
      <c r="A51" s="197" t="s">
        <v>356</v>
      </c>
      <c r="B51" s="197" t="s">
        <v>4488</v>
      </c>
      <c r="C51" s="198" t="s">
        <v>4423</v>
      </c>
      <c r="D51" s="65" t="s">
        <v>3331</v>
      </c>
    </row>
    <row r="52" spans="1:4" ht="47.25" customHeight="1" x14ac:dyDescent="0.25">
      <c r="A52" s="197" t="s">
        <v>361</v>
      </c>
      <c r="B52" s="197" t="s">
        <v>4489</v>
      </c>
      <c r="C52" s="198" t="s">
        <v>4490</v>
      </c>
      <c r="D52" s="65" t="s">
        <v>3332</v>
      </c>
    </row>
    <row r="53" spans="1:4" ht="31.5" customHeight="1" x14ac:dyDescent="0.25">
      <c r="A53" s="197" t="s">
        <v>367</v>
      </c>
      <c r="B53" s="197" t="s">
        <v>4491</v>
      </c>
      <c r="C53" s="198" t="s">
        <v>4492</v>
      </c>
      <c r="D53" s="65" t="s">
        <v>3333</v>
      </c>
    </row>
    <row r="54" spans="1:4" ht="63" customHeight="1" x14ac:dyDescent="0.25">
      <c r="A54" s="197" t="s">
        <v>372</v>
      </c>
      <c r="B54" s="197" t="s">
        <v>4493</v>
      </c>
      <c r="C54" s="198" t="s">
        <v>4494</v>
      </c>
      <c r="D54" s="65" t="s">
        <v>3334</v>
      </c>
    </row>
    <row r="55" spans="1:4" ht="47.25" customHeight="1" x14ac:dyDescent="0.25">
      <c r="A55" s="197" t="s">
        <v>377</v>
      </c>
      <c r="B55" s="197" t="s">
        <v>4495</v>
      </c>
      <c r="C55" s="198" t="s">
        <v>302</v>
      </c>
      <c r="D55" s="65" t="s">
        <v>3335</v>
      </c>
    </row>
    <row r="56" spans="1:4" ht="47.25" customHeight="1" x14ac:dyDescent="0.25">
      <c r="A56" s="197" t="s">
        <v>382</v>
      </c>
      <c r="B56" s="197" t="s">
        <v>4496</v>
      </c>
      <c r="C56" s="198" t="s">
        <v>4497</v>
      </c>
      <c r="D56" s="65" t="s">
        <v>3336</v>
      </c>
    </row>
    <row r="57" spans="1:4" ht="31.5" customHeight="1" x14ac:dyDescent="0.25">
      <c r="A57" s="197" t="s">
        <v>388</v>
      </c>
      <c r="B57" s="197" t="s">
        <v>4498</v>
      </c>
      <c r="C57" s="199" t="s">
        <v>4499</v>
      </c>
      <c r="D57" s="65" t="s">
        <v>3337</v>
      </c>
    </row>
    <row r="58" spans="1:4" ht="31.5" customHeight="1" x14ac:dyDescent="0.25">
      <c r="A58" s="197" t="s">
        <v>394</v>
      </c>
      <c r="B58" s="197" t="s">
        <v>4500</v>
      </c>
      <c r="C58" s="198" t="s">
        <v>4501</v>
      </c>
      <c r="D58" s="65" t="s">
        <v>3338</v>
      </c>
    </row>
    <row r="59" spans="1:4" ht="47.25" customHeight="1" x14ac:dyDescent="0.25">
      <c r="A59" s="197" t="s">
        <v>401</v>
      </c>
      <c r="B59" s="197" t="s">
        <v>4502</v>
      </c>
      <c r="C59" s="198" t="s">
        <v>4503</v>
      </c>
      <c r="D59" s="65" t="s">
        <v>3339</v>
      </c>
    </row>
    <row r="60" spans="1:4" ht="31.5" customHeight="1" x14ac:dyDescent="0.25">
      <c r="A60" s="197" t="s">
        <v>407</v>
      </c>
      <c r="B60" s="197" t="s">
        <v>4504</v>
      </c>
      <c r="C60" s="198" t="s">
        <v>1503</v>
      </c>
      <c r="D60" s="65" t="s">
        <v>3340</v>
      </c>
    </row>
    <row r="61" spans="1:4" ht="47.25" customHeight="1" x14ac:dyDescent="0.25">
      <c r="A61" s="197" t="s">
        <v>411</v>
      </c>
      <c r="B61" s="197" t="s">
        <v>4505</v>
      </c>
      <c r="C61" s="198" t="s">
        <v>4506</v>
      </c>
      <c r="D61" s="65" t="s">
        <v>3341</v>
      </c>
    </row>
    <row r="62" spans="1:4" ht="63" customHeight="1" x14ac:dyDescent="0.25">
      <c r="A62" s="197" t="s">
        <v>417</v>
      </c>
      <c r="B62" s="197" t="s">
        <v>4507</v>
      </c>
      <c r="C62" s="198" t="s">
        <v>514</v>
      </c>
      <c r="D62" s="65" t="s">
        <v>3342</v>
      </c>
    </row>
    <row r="63" spans="1:4" ht="31.5" customHeight="1" x14ac:dyDescent="0.25">
      <c r="A63" s="197" t="s">
        <v>422</v>
      </c>
      <c r="B63" s="197" t="s">
        <v>4508</v>
      </c>
      <c r="C63" s="198" t="s">
        <v>4509</v>
      </c>
      <c r="D63" s="65" t="s">
        <v>3343</v>
      </c>
    </row>
    <row r="64" spans="1:4" ht="47.25" customHeight="1" x14ac:dyDescent="0.25">
      <c r="A64" s="197" t="s">
        <v>427</v>
      </c>
      <c r="B64" s="197" t="s">
        <v>4510</v>
      </c>
      <c r="C64" s="198" t="s">
        <v>4511</v>
      </c>
      <c r="D64" s="65" t="s">
        <v>3344</v>
      </c>
    </row>
    <row r="65" spans="1:4" ht="31.5" customHeight="1" x14ac:dyDescent="0.25">
      <c r="A65" s="197" t="s">
        <v>433</v>
      </c>
      <c r="B65" s="197" t="s">
        <v>4512</v>
      </c>
      <c r="C65" s="198" t="s">
        <v>3109</v>
      </c>
      <c r="D65" s="65" t="s">
        <v>3345</v>
      </c>
    </row>
    <row r="66" spans="1:4" ht="31.5" customHeight="1" x14ac:dyDescent="0.25">
      <c r="A66" s="197" t="s">
        <v>437</v>
      </c>
      <c r="B66" s="197" t="s">
        <v>4513</v>
      </c>
      <c r="C66" s="198" t="s">
        <v>3048</v>
      </c>
      <c r="D66" s="65" t="s">
        <v>3346</v>
      </c>
    </row>
    <row r="67" spans="1:4" ht="63" customHeight="1" x14ac:dyDescent="0.25">
      <c r="A67" s="197" t="s">
        <v>442</v>
      </c>
      <c r="B67" s="197" t="s">
        <v>4514</v>
      </c>
      <c r="C67" s="199" t="s">
        <v>3048</v>
      </c>
      <c r="D67" s="65" t="s">
        <v>3347</v>
      </c>
    </row>
    <row r="68" spans="1:4" ht="47.25" customHeight="1" x14ac:dyDescent="0.25">
      <c r="A68" s="197" t="s">
        <v>447</v>
      </c>
      <c r="B68" s="197" t="s">
        <v>4515</v>
      </c>
      <c r="C68" s="198" t="s">
        <v>285</v>
      </c>
      <c r="D68" s="65" t="s">
        <v>3348</v>
      </c>
    </row>
    <row r="69" spans="1:4" ht="31.5" customHeight="1" x14ac:dyDescent="0.25">
      <c r="A69" s="197" t="s">
        <v>451</v>
      </c>
      <c r="B69" s="197" t="s">
        <v>4516</v>
      </c>
      <c r="C69" s="198" t="s">
        <v>4517</v>
      </c>
      <c r="D69" s="65" t="s">
        <v>3349</v>
      </c>
    </row>
    <row r="70" spans="1:4" ht="31.5" customHeight="1" x14ac:dyDescent="0.25">
      <c r="A70" s="197" t="s">
        <v>455</v>
      </c>
      <c r="B70" s="197" t="s">
        <v>4518</v>
      </c>
      <c r="C70" s="198" t="s">
        <v>379</v>
      </c>
      <c r="D70" s="65" t="s">
        <v>3350</v>
      </c>
    </row>
    <row r="71" spans="1:4" ht="31.5" customHeight="1" x14ac:dyDescent="0.25">
      <c r="A71" s="197" t="s">
        <v>460</v>
      </c>
      <c r="B71" s="197" t="s">
        <v>4519</v>
      </c>
      <c r="C71" s="198" t="s">
        <v>1835</v>
      </c>
      <c r="D71" s="65" t="s">
        <v>3351</v>
      </c>
    </row>
    <row r="72" spans="1:4" ht="31.5" customHeight="1" x14ac:dyDescent="0.25">
      <c r="A72" s="197" t="s">
        <v>466</v>
      </c>
      <c r="B72" s="43" t="s">
        <v>4520</v>
      </c>
      <c r="C72" s="44" t="s">
        <v>657</v>
      </c>
      <c r="D72" s="45" t="s">
        <v>3352</v>
      </c>
    </row>
    <row r="73" spans="1:4" ht="63" customHeight="1" x14ac:dyDescent="0.25">
      <c r="A73" s="197" t="s">
        <v>471</v>
      </c>
      <c r="B73" s="43" t="s">
        <v>4521</v>
      </c>
      <c r="C73" s="44" t="s">
        <v>4522</v>
      </c>
      <c r="D73" s="45" t="s">
        <v>3353</v>
      </c>
    </row>
    <row r="74" spans="1:4" ht="63" customHeight="1" x14ac:dyDescent="0.25">
      <c r="A74" s="197" t="s">
        <v>475</v>
      </c>
      <c r="B74" s="43" t="s">
        <v>4523</v>
      </c>
      <c r="C74" s="44" t="s">
        <v>1659</v>
      </c>
      <c r="D74" s="45" t="s">
        <v>3354</v>
      </c>
    </row>
    <row r="75" spans="1:4" ht="31.5" customHeight="1" x14ac:dyDescent="0.25">
      <c r="A75" s="197" t="s">
        <v>481</v>
      </c>
      <c r="B75" s="43" t="s">
        <v>4524</v>
      </c>
      <c r="C75" s="44" t="s">
        <v>1590</v>
      </c>
      <c r="D75" s="45" t="s">
        <v>3355</v>
      </c>
    </row>
    <row r="76" spans="1:4" ht="47.25" customHeight="1" x14ac:dyDescent="0.25">
      <c r="A76" s="197" t="s">
        <v>487</v>
      </c>
      <c r="B76" s="43" t="s">
        <v>4525</v>
      </c>
      <c r="C76" s="44" t="s">
        <v>2510</v>
      </c>
      <c r="D76" s="45" t="s">
        <v>3356</v>
      </c>
    </row>
    <row r="77" spans="1:4" ht="31.5" customHeight="1" x14ac:dyDescent="0.25">
      <c r="A77" s="197" t="s">
        <v>492</v>
      </c>
      <c r="B77" s="43" t="s">
        <v>4526</v>
      </c>
      <c r="C77" s="44" t="s">
        <v>4527</v>
      </c>
      <c r="D77" s="45" t="s">
        <v>3357</v>
      </c>
    </row>
    <row r="78" spans="1:4" ht="31.5" customHeight="1" x14ac:dyDescent="0.25">
      <c r="A78" s="197" t="s">
        <v>497</v>
      </c>
      <c r="B78" s="43" t="s">
        <v>4528</v>
      </c>
      <c r="C78" s="44" t="s">
        <v>965</v>
      </c>
      <c r="D78" s="45" t="s">
        <v>3358</v>
      </c>
    </row>
    <row r="79" spans="1:4" ht="63" customHeight="1" x14ac:dyDescent="0.25">
      <c r="A79" s="197" t="s">
        <v>501</v>
      </c>
      <c r="B79" s="43" t="s">
        <v>4529</v>
      </c>
      <c r="C79" s="44" t="s">
        <v>4530</v>
      </c>
      <c r="D79" s="45" t="s">
        <v>3359</v>
      </c>
    </row>
    <row r="80" spans="1:4" ht="31.5" customHeight="1" x14ac:dyDescent="0.25">
      <c r="A80" s="43" t="s">
        <v>130</v>
      </c>
      <c r="B80" s="43" t="s">
        <v>4531</v>
      </c>
      <c r="C80" s="44" t="s">
        <v>671</v>
      </c>
      <c r="D80" s="45" t="s">
        <v>3360</v>
      </c>
    </row>
    <row r="81" spans="1:4" ht="47.25" customHeight="1" x14ac:dyDescent="0.25">
      <c r="A81" s="43" t="s">
        <v>136</v>
      </c>
      <c r="B81" s="43" t="s">
        <v>4532</v>
      </c>
      <c r="C81" s="44" t="s">
        <v>4533</v>
      </c>
      <c r="D81" s="45" t="s">
        <v>3361</v>
      </c>
    </row>
    <row r="82" spans="1:4" ht="47.25" customHeight="1" x14ac:dyDescent="0.25">
      <c r="A82" s="43" t="s">
        <v>142</v>
      </c>
      <c r="B82" s="43" t="s">
        <v>4534</v>
      </c>
      <c r="C82" s="44" t="s">
        <v>4535</v>
      </c>
      <c r="D82" s="45" t="s">
        <v>3362</v>
      </c>
    </row>
    <row r="83" spans="1:4" ht="47.25" customHeight="1" x14ac:dyDescent="0.25">
      <c r="A83" s="43" t="s">
        <v>147</v>
      </c>
      <c r="B83" s="43" t="s">
        <v>4536</v>
      </c>
      <c r="C83" s="44" t="s">
        <v>4537</v>
      </c>
      <c r="D83" s="45" t="s">
        <v>3363</v>
      </c>
    </row>
    <row r="84" spans="1:4" ht="47.25" customHeight="1" x14ac:dyDescent="0.25">
      <c r="A84" s="43" t="s">
        <v>154</v>
      </c>
      <c r="B84" s="43" t="s">
        <v>4538</v>
      </c>
      <c r="C84" s="44" t="s">
        <v>4539</v>
      </c>
      <c r="D84" s="45" t="s">
        <v>3364</v>
      </c>
    </row>
    <row r="85" spans="1:4" ht="31.5" customHeight="1" x14ac:dyDescent="0.25">
      <c r="A85" s="43" t="s">
        <v>160</v>
      </c>
      <c r="B85" s="43" t="s">
        <v>4540</v>
      </c>
      <c r="C85" s="44" t="s">
        <v>4541</v>
      </c>
      <c r="D85" s="45" t="s">
        <v>3365</v>
      </c>
    </row>
    <row r="86" spans="1:4" ht="47.25" customHeight="1" x14ac:dyDescent="0.25">
      <c r="A86" s="43" t="s">
        <v>166</v>
      </c>
      <c r="B86" s="43" t="s">
        <v>4542</v>
      </c>
      <c r="C86" s="44" t="s">
        <v>752</v>
      </c>
      <c r="D86" s="45" t="s">
        <v>3366</v>
      </c>
    </row>
    <row r="87" spans="1:4" ht="31.5" customHeight="1" x14ac:dyDescent="0.25">
      <c r="A87" s="43" t="s">
        <v>173</v>
      </c>
      <c r="B87" s="43" t="s">
        <v>4543</v>
      </c>
      <c r="C87" s="44" t="s">
        <v>4544</v>
      </c>
      <c r="D87" s="45" t="s">
        <v>3367</v>
      </c>
    </row>
    <row r="88" spans="1:4" ht="47.25" customHeight="1" x14ac:dyDescent="0.25">
      <c r="A88" s="43" t="s">
        <v>178</v>
      </c>
      <c r="B88" s="43" t="s">
        <v>4545</v>
      </c>
      <c r="C88" s="44" t="s">
        <v>4546</v>
      </c>
      <c r="D88" s="45" t="s">
        <v>3368</v>
      </c>
    </row>
    <row r="89" spans="1:4" ht="47.25" customHeight="1" x14ac:dyDescent="0.25">
      <c r="A89" s="43" t="s">
        <v>184</v>
      </c>
      <c r="B89" s="43" t="s">
        <v>4547</v>
      </c>
      <c r="C89" s="44" t="s">
        <v>4548</v>
      </c>
      <c r="D89" s="45" t="s">
        <v>3369</v>
      </c>
    </row>
    <row r="90" spans="1:4" ht="47.25" customHeight="1" x14ac:dyDescent="0.25">
      <c r="A90" s="43" t="s">
        <v>190</v>
      </c>
      <c r="B90" s="43" t="s">
        <v>4549</v>
      </c>
      <c r="C90" s="44" t="s">
        <v>4550</v>
      </c>
      <c r="D90" s="45" t="s">
        <v>3370</v>
      </c>
    </row>
    <row r="91" spans="1:4" ht="47.25" customHeight="1" x14ac:dyDescent="0.25">
      <c r="A91" s="43" t="s">
        <v>196</v>
      </c>
      <c r="B91" s="43" t="s">
        <v>4551</v>
      </c>
      <c r="C91" s="44" t="s">
        <v>4552</v>
      </c>
      <c r="D91" s="45" t="s">
        <v>3371</v>
      </c>
    </row>
    <row r="92" spans="1:4" ht="47.25" customHeight="1" x14ac:dyDescent="0.25">
      <c r="A92" s="43" t="s">
        <v>200</v>
      </c>
      <c r="B92" s="43" t="s">
        <v>4553</v>
      </c>
      <c r="C92" s="44" t="s">
        <v>924</v>
      </c>
      <c r="D92" s="45" t="s">
        <v>3372</v>
      </c>
    </row>
    <row r="93" spans="1:4" ht="78.75" customHeight="1" x14ac:dyDescent="0.25">
      <c r="A93" s="43" t="s">
        <v>207</v>
      </c>
      <c r="B93" s="43" t="s">
        <v>4554</v>
      </c>
      <c r="C93" s="44" t="s">
        <v>739</v>
      </c>
      <c r="D93" s="45" t="s">
        <v>3373</v>
      </c>
    </row>
    <row r="94" spans="1:4" ht="78.75" customHeight="1" x14ac:dyDescent="0.25">
      <c r="A94" s="43" t="s">
        <v>212</v>
      </c>
      <c r="B94" s="43" t="s">
        <v>4555</v>
      </c>
      <c r="C94" s="44" t="s">
        <v>4556</v>
      </c>
      <c r="D94" s="45" t="s">
        <v>3374</v>
      </c>
    </row>
    <row r="95" spans="1:4" ht="31.5" customHeight="1" x14ac:dyDescent="0.25">
      <c r="A95" s="43" t="s">
        <v>219</v>
      </c>
      <c r="B95" s="43" t="s">
        <v>4557</v>
      </c>
      <c r="C95" s="44" t="s">
        <v>4558</v>
      </c>
      <c r="D95" s="45" t="s">
        <v>3375</v>
      </c>
    </row>
    <row r="96" spans="1:4" ht="31.5" customHeight="1" x14ac:dyDescent="0.25">
      <c r="A96" s="43" t="s">
        <v>225</v>
      </c>
      <c r="B96" s="43" t="s">
        <v>4559</v>
      </c>
      <c r="C96" s="44" t="s">
        <v>4560</v>
      </c>
      <c r="D96" s="45" t="s">
        <v>3376</v>
      </c>
    </row>
    <row r="97" spans="1:4" ht="63" customHeight="1" x14ac:dyDescent="0.25">
      <c r="A97" s="43" t="s">
        <v>231</v>
      </c>
      <c r="B97" s="43" t="s">
        <v>4561</v>
      </c>
      <c r="C97" s="44" t="s">
        <v>396</v>
      </c>
      <c r="D97" s="45" t="s">
        <v>3377</v>
      </c>
    </row>
    <row r="98" spans="1:4" ht="31.5" customHeight="1" x14ac:dyDescent="0.25">
      <c r="A98" s="43" t="s">
        <v>237</v>
      </c>
      <c r="B98" s="43" t="s">
        <v>4562</v>
      </c>
      <c r="C98" s="44" t="s">
        <v>3066</v>
      </c>
      <c r="D98" s="45" t="s">
        <v>3378</v>
      </c>
    </row>
    <row r="99" spans="1:4" ht="47.25" customHeight="1" x14ac:dyDescent="0.25">
      <c r="A99" s="43" t="s">
        <v>241</v>
      </c>
      <c r="B99" s="43" t="s">
        <v>4563</v>
      </c>
      <c r="C99" s="44" t="s">
        <v>1106</v>
      </c>
      <c r="D99" s="45" t="s">
        <v>3379</v>
      </c>
    </row>
    <row r="100" spans="1:4" ht="47.25" customHeight="1" x14ac:dyDescent="0.25">
      <c r="A100" s="43" t="s">
        <v>246</v>
      </c>
      <c r="B100" s="43" t="s">
        <v>4564</v>
      </c>
      <c r="C100" s="44" t="s">
        <v>112</v>
      </c>
      <c r="D100" s="45" t="s">
        <v>3380</v>
      </c>
    </row>
    <row r="101" spans="1:4" ht="63" customHeight="1" x14ac:dyDescent="0.25">
      <c r="A101" s="43" t="s">
        <v>251</v>
      </c>
      <c r="B101" s="43" t="s">
        <v>4565</v>
      </c>
      <c r="C101" s="44" t="s">
        <v>126</v>
      </c>
      <c r="D101" s="45" t="s">
        <v>3381</v>
      </c>
    </row>
    <row r="102" spans="1:4" ht="31.5" customHeight="1" x14ac:dyDescent="0.25">
      <c r="A102" s="43" t="s">
        <v>255</v>
      </c>
      <c r="B102" s="43" t="s">
        <v>4566</v>
      </c>
      <c r="C102" s="44" t="s">
        <v>752</v>
      </c>
      <c r="D102" s="45" t="s">
        <v>3382</v>
      </c>
    </row>
    <row r="103" spans="1:4" ht="47.25" customHeight="1" x14ac:dyDescent="0.25">
      <c r="A103" s="43" t="s">
        <v>258</v>
      </c>
      <c r="B103" s="43" t="s">
        <v>4567</v>
      </c>
      <c r="C103" s="44" t="s">
        <v>533</v>
      </c>
      <c r="D103" s="45" t="s">
        <v>3383</v>
      </c>
    </row>
    <row r="104" spans="1:4" ht="63" customHeight="1" x14ac:dyDescent="0.25">
      <c r="A104" s="43" t="s">
        <v>263</v>
      </c>
      <c r="B104" s="43" t="s">
        <v>4568</v>
      </c>
      <c r="C104" s="44" t="s">
        <v>4569</v>
      </c>
      <c r="D104" s="45" t="s">
        <v>3384</v>
      </c>
    </row>
    <row r="105" spans="1:4" ht="47.25" customHeight="1" x14ac:dyDescent="0.25">
      <c r="A105" s="43" t="s">
        <v>267</v>
      </c>
      <c r="B105" s="43" t="s">
        <v>4570</v>
      </c>
      <c r="C105" s="44" t="s">
        <v>2984</v>
      </c>
      <c r="D105" s="45" t="s">
        <v>3385</v>
      </c>
    </row>
    <row r="106" spans="1:4" ht="47.25" customHeight="1" x14ac:dyDescent="0.25">
      <c r="A106" s="43" t="s">
        <v>273</v>
      </c>
      <c r="B106" s="43" t="s">
        <v>4571</v>
      </c>
      <c r="C106" s="44" t="s">
        <v>2984</v>
      </c>
      <c r="D106" s="45" t="s">
        <v>3386</v>
      </c>
    </row>
    <row r="107" spans="1:4" ht="47.25" customHeight="1" x14ac:dyDescent="0.25">
      <c r="A107" s="43" t="s">
        <v>277</v>
      </c>
      <c r="B107" s="43" t="s">
        <v>4572</v>
      </c>
      <c r="C107" s="44" t="s">
        <v>509</v>
      </c>
      <c r="D107" s="45" t="s">
        <v>3387</v>
      </c>
    </row>
    <row r="108" spans="1:4" ht="47.25" customHeight="1" x14ac:dyDescent="0.25">
      <c r="A108" s="43" t="s">
        <v>283</v>
      </c>
      <c r="B108" s="43" t="s">
        <v>4573</v>
      </c>
      <c r="C108" s="44" t="s">
        <v>509</v>
      </c>
      <c r="D108" s="45" t="s">
        <v>3388</v>
      </c>
    </row>
    <row r="109" spans="1:4" ht="47.25" customHeight="1" x14ac:dyDescent="0.25">
      <c r="A109" s="43" t="s">
        <v>288</v>
      </c>
      <c r="B109" s="43" t="s">
        <v>4574</v>
      </c>
      <c r="C109" s="44" t="s">
        <v>1106</v>
      </c>
      <c r="D109" s="45" t="s">
        <v>3389</v>
      </c>
    </row>
    <row r="110" spans="1:4" ht="31.5" customHeight="1" x14ac:dyDescent="0.25">
      <c r="A110" s="43" t="s">
        <v>294</v>
      </c>
      <c r="B110" s="43" t="s">
        <v>4575</v>
      </c>
      <c r="C110" s="44" t="s">
        <v>652</v>
      </c>
      <c r="D110" s="45" t="s">
        <v>3390</v>
      </c>
    </row>
    <row r="111" spans="1:4" ht="31.5" customHeight="1" x14ac:dyDescent="0.25">
      <c r="A111" s="43" t="s">
        <v>300</v>
      </c>
      <c r="B111" s="43" t="s">
        <v>4576</v>
      </c>
      <c r="C111" s="44" t="s">
        <v>652</v>
      </c>
      <c r="D111" s="45" t="s">
        <v>3391</v>
      </c>
    </row>
    <row r="112" spans="1:4" ht="63" customHeight="1" x14ac:dyDescent="0.25">
      <c r="A112" s="43" t="s">
        <v>305</v>
      </c>
      <c r="B112" s="43" t="s">
        <v>4577</v>
      </c>
      <c r="C112" s="44" t="s">
        <v>1353</v>
      </c>
      <c r="D112" s="45" t="s">
        <v>3392</v>
      </c>
    </row>
    <row r="113" spans="1:4" ht="47.25" customHeight="1" x14ac:dyDescent="0.25">
      <c r="A113" s="43" t="s">
        <v>310</v>
      </c>
      <c r="B113" s="43" t="s">
        <v>4578</v>
      </c>
      <c r="C113" s="44" t="s">
        <v>657</v>
      </c>
      <c r="D113" s="45" t="s">
        <v>3393</v>
      </c>
    </row>
    <row r="114" spans="1:4" ht="47.25" customHeight="1" x14ac:dyDescent="0.25">
      <c r="A114" s="43" t="s">
        <v>314</v>
      </c>
      <c r="B114" s="43" t="s">
        <v>4579</v>
      </c>
      <c r="C114" s="44" t="s">
        <v>439</v>
      </c>
      <c r="D114" s="45" t="s">
        <v>3394</v>
      </c>
    </row>
    <row r="115" spans="1:4" ht="47.25" customHeight="1" x14ac:dyDescent="0.25">
      <c r="A115" s="43" t="s">
        <v>317</v>
      </c>
      <c r="B115" s="43" t="s">
        <v>4580</v>
      </c>
      <c r="C115" s="44" t="s">
        <v>4581</v>
      </c>
      <c r="D115" s="45" t="s">
        <v>3395</v>
      </c>
    </row>
    <row r="116" spans="1:4" ht="63" customHeight="1" x14ac:dyDescent="0.25">
      <c r="A116" s="43" t="s">
        <v>322</v>
      </c>
      <c r="B116" s="43" t="s">
        <v>4582</v>
      </c>
      <c r="C116" s="44" t="s">
        <v>4583</v>
      </c>
      <c r="D116" s="45" t="s">
        <v>3396</v>
      </c>
    </row>
    <row r="117" spans="1:4" ht="31.5" customHeight="1" x14ac:dyDescent="0.25">
      <c r="A117" s="43" t="s">
        <v>328</v>
      </c>
      <c r="B117" s="43" t="s">
        <v>4584</v>
      </c>
      <c r="C117" s="44" t="s">
        <v>186</v>
      </c>
      <c r="D117" s="45" t="s">
        <v>3397</v>
      </c>
    </row>
    <row r="118" spans="1:4" ht="31.5" customHeight="1" x14ac:dyDescent="0.25">
      <c r="A118" s="43" t="s">
        <v>333</v>
      </c>
      <c r="B118" s="43" t="s">
        <v>4585</v>
      </c>
      <c r="C118" s="44" t="s">
        <v>2404</v>
      </c>
      <c r="D118" s="45" t="s">
        <v>3398</v>
      </c>
    </row>
    <row r="119" spans="1:4" ht="63" customHeight="1" x14ac:dyDescent="0.25">
      <c r="A119" s="43" t="s">
        <v>338</v>
      </c>
      <c r="B119" s="43" t="s">
        <v>4586</v>
      </c>
      <c r="C119" s="44" t="s">
        <v>1498</v>
      </c>
      <c r="D119" s="45" t="s">
        <v>3399</v>
      </c>
    </row>
    <row r="120" spans="1:4" ht="47.25" customHeight="1" x14ac:dyDescent="0.25">
      <c r="A120" s="43" t="s">
        <v>344</v>
      </c>
      <c r="B120" s="43" t="s">
        <v>4587</v>
      </c>
      <c r="C120" s="44" t="s">
        <v>116</v>
      </c>
      <c r="D120" s="45" t="s">
        <v>3400</v>
      </c>
    </row>
    <row r="121" spans="1:4" ht="47.25" customHeight="1" x14ac:dyDescent="0.25">
      <c r="A121" s="43" t="s">
        <v>350</v>
      </c>
      <c r="B121" s="43" t="s">
        <v>4588</v>
      </c>
      <c r="C121" s="44" t="s">
        <v>302</v>
      </c>
      <c r="D121" s="45" t="s">
        <v>3401</v>
      </c>
    </row>
    <row r="122" spans="1:4" ht="31.5" customHeight="1" x14ac:dyDescent="0.25">
      <c r="A122" s="43" t="s">
        <v>356</v>
      </c>
      <c r="B122" s="43" t="s">
        <v>4589</v>
      </c>
      <c r="C122" s="44" t="s">
        <v>4590</v>
      </c>
      <c r="D122" s="45" t="s">
        <v>3402</v>
      </c>
    </row>
    <row r="123" spans="1:4" ht="63" customHeight="1" x14ac:dyDescent="0.25">
      <c r="A123" s="43" t="s">
        <v>361</v>
      </c>
      <c r="B123" s="43" t="s">
        <v>4591</v>
      </c>
      <c r="C123" s="44" t="s">
        <v>2331</v>
      </c>
      <c r="D123" s="45" t="s">
        <v>3403</v>
      </c>
    </row>
    <row r="124" spans="1:4" ht="78.75" customHeight="1" x14ac:dyDescent="0.25">
      <c r="A124" s="43" t="s">
        <v>367</v>
      </c>
      <c r="B124" s="43" t="s">
        <v>4592</v>
      </c>
      <c r="C124" s="44" t="s">
        <v>4593</v>
      </c>
      <c r="D124" s="45" t="s">
        <v>3404</v>
      </c>
    </row>
    <row r="125" spans="1:4" ht="31.5" customHeight="1" x14ac:dyDescent="0.25">
      <c r="A125" s="43" t="s">
        <v>372</v>
      </c>
      <c r="B125" s="43" t="s">
        <v>4594</v>
      </c>
      <c r="C125" s="44" t="s">
        <v>4595</v>
      </c>
      <c r="D125" s="45" t="s">
        <v>3405</v>
      </c>
    </row>
    <row r="126" spans="1:4" ht="31.5" customHeight="1" x14ac:dyDescent="0.25">
      <c r="A126" s="43" t="s">
        <v>377</v>
      </c>
      <c r="B126" s="43" t="s">
        <v>4596</v>
      </c>
      <c r="C126" s="44" t="s">
        <v>285</v>
      </c>
      <c r="D126" s="45" t="s">
        <v>3406</v>
      </c>
    </row>
    <row r="127" spans="1:4" ht="31.5" customHeight="1" x14ac:dyDescent="0.25">
      <c r="A127" s="43" t="s">
        <v>382</v>
      </c>
      <c r="B127" s="43" t="s">
        <v>4597</v>
      </c>
      <c r="C127" s="44" t="s">
        <v>186</v>
      </c>
      <c r="D127" s="45" t="s">
        <v>3407</v>
      </c>
    </row>
    <row r="128" spans="1:4" ht="31.5" customHeight="1" x14ac:dyDescent="0.25">
      <c r="A128" s="43" t="s">
        <v>388</v>
      </c>
      <c r="B128" s="43" t="s">
        <v>4598</v>
      </c>
      <c r="C128" s="44" t="s">
        <v>4599</v>
      </c>
      <c r="D128" s="45" t="s">
        <v>3408</v>
      </c>
    </row>
    <row r="129" spans="1:4" ht="31.5" customHeight="1" x14ac:dyDescent="0.25">
      <c r="A129" s="43" t="s">
        <v>394</v>
      </c>
      <c r="B129" s="43" t="s">
        <v>4600</v>
      </c>
      <c r="C129" s="44" t="s">
        <v>4601</v>
      </c>
      <c r="D129" s="45" t="s">
        <v>3409</v>
      </c>
    </row>
    <row r="130" spans="1:4" ht="31.5" customHeight="1" x14ac:dyDescent="0.25">
      <c r="A130" s="43" t="s">
        <v>401</v>
      </c>
      <c r="B130" s="43" t="s">
        <v>4602</v>
      </c>
      <c r="C130" s="44" t="s">
        <v>379</v>
      </c>
      <c r="D130" s="45" t="s">
        <v>3410</v>
      </c>
    </row>
    <row r="131" spans="1:4" ht="47.25" customHeight="1" x14ac:dyDescent="0.25">
      <c r="A131" s="43" t="s">
        <v>407</v>
      </c>
      <c r="B131" s="43" t="s">
        <v>4603</v>
      </c>
      <c r="C131" s="44" t="s">
        <v>126</v>
      </c>
      <c r="D131" s="45" t="s">
        <v>3411</v>
      </c>
    </row>
    <row r="132" spans="1:4" ht="47.25" customHeight="1" x14ac:dyDescent="0.25">
      <c r="A132" s="43" t="s">
        <v>411</v>
      </c>
      <c r="B132" s="43" t="s">
        <v>4604</v>
      </c>
      <c r="C132" s="44" t="s">
        <v>4605</v>
      </c>
      <c r="D132" s="45" t="s">
        <v>3412</v>
      </c>
    </row>
    <row r="133" spans="1:4" ht="47.25" customHeight="1" x14ac:dyDescent="0.25">
      <c r="A133" s="43" t="s">
        <v>417</v>
      </c>
      <c r="B133" s="43" t="s">
        <v>4606</v>
      </c>
      <c r="C133" s="44" t="s">
        <v>4605</v>
      </c>
      <c r="D133" s="45" t="s">
        <v>3413</v>
      </c>
    </row>
    <row r="134" spans="1:4" ht="78.75" customHeight="1" x14ac:dyDescent="0.25">
      <c r="A134" s="43" t="s">
        <v>422</v>
      </c>
      <c r="B134" s="43" t="s">
        <v>4607</v>
      </c>
      <c r="C134" s="44" t="s">
        <v>4608</v>
      </c>
      <c r="D134" s="45" t="s">
        <v>3414</v>
      </c>
    </row>
    <row r="135" spans="1:4" ht="47.25" customHeight="1" x14ac:dyDescent="0.25">
      <c r="A135" s="43" t="s">
        <v>427</v>
      </c>
      <c r="B135" s="43" t="s">
        <v>4609</v>
      </c>
      <c r="C135" s="44" t="s">
        <v>2018</v>
      </c>
      <c r="D135" s="45" t="s">
        <v>3415</v>
      </c>
    </row>
    <row r="136" spans="1:4" ht="47.25" customHeight="1" x14ac:dyDescent="0.25">
      <c r="A136" s="43" t="s">
        <v>433</v>
      </c>
      <c r="B136" s="43" t="s">
        <v>4610</v>
      </c>
      <c r="C136" s="44" t="s">
        <v>3043</v>
      </c>
      <c r="D136" s="45" t="s">
        <v>3416</v>
      </c>
    </row>
    <row r="137" spans="1:4" ht="47.25" customHeight="1" x14ac:dyDescent="0.25">
      <c r="A137" s="43" t="s">
        <v>437</v>
      </c>
      <c r="B137" s="43" t="s">
        <v>4611</v>
      </c>
      <c r="C137" s="44" t="s">
        <v>4612</v>
      </c>
      <c r="D137" s="45" t="s">
        <v>3417</v>
      </c>
    </row>
    <row r="138" spans="1:4" ht="47.25" customHeight="1" x14ac:dyDescent="0.25">
      <c r="A138" s="43" t="s">
        <v>442</v>
      </c>
      <c r="B138" s="43" t="s">
        <v>4613</v>
      </c>
      <c r="C138" s="44" t="s">
        <v>4612</v>
      </c>
      <c r="D138" s="45" t="s">
        <v>3418</v>
      </c>
    </row>
    <row r="139" spans="1:4" ht="31.5" customHeight="1" x14ac:dyDescent="0.25">
      <c r="A139" s="43" t="s">
        <v>447</v>
      </c>
      <c r="B139" s="43" t="s">
        <v>4614</v>
      </c>
      <c r="C139" s="44" t="s">
        <v>4615</v>
      </c>
      <c r="D139" s="45" t="s">
        <v>3419</v>
      </c>
    </row>
    <row r="140" spans="1:4" ht="47.25" customHeight="1" x14ac:dyDescent="0.25">
      <c r="A140" s="43" t="s">
        <v>451</v>
      </c>
      <c r="B140" s="43" t="s">
        <v>4616</v>
      </c>
      <c r="C140" s="44" t="s">
        <v>4615</v>
      </c>
      <c r="D140" s="45" t="s">
        <v>3420</v>
      </c>
    </row>
    <row r="141" spans="1:4" ht="31.5" customHeight="1" x14ac:dyDescent="0.25">
      <c r="A141" s="43" t="s">
        <v>455</v>
      </c>
      <c r="B141" s="43" t="s">
        <v>4617</v>
      </c>
      <c r="C141" s="44" t="s">
        <v>4615</v>
      </c>
      <c r="D141" s="45" t="s">
        <v>3421</v>
      </c>
    </row>
    <row r="142" spans="1:4" ht="110.25" customHeight="1" x14ac:dyDescent="0.25">
      <c r="A142" s="43" t="s">
        <v>460</v>
      </c>
      <c r="B142" s="43" t="s">
        <v>4618</v>
      </c>
      <c r="C142" s="44" t="s">
        <v>4619</v>
      </c>
      <c r="D142" s="45" t="s">
        <v>3422</v>
      </c>
    </row>
    <row r="143" spans="1:4" ht="31.5" customHeight="1" x14ac:dyDescent="0.25">
      <c r="A143" s="43" t="s">
        <v>466</v>
      </c>
      <c r="B143" s="43" t="s">
        <v>4620</v>
      </c>
      <c r="C143" s="44" t="s">
        <v>800</v>
      </c>
      <c r="D143" s="45" t="s">
        <v>3423</v>
      </c>
    </row>
    <row r="144" spans="1:4" ht="47.25" customHeight="1" x14ac:dyDescent="0.25">
      <c r="A144" s="43" t="s">
        <v>471</v>
      </c>
      <c r="B144" s="43" t="s">
        <v>4621</v>
      </c>
      <c r="C144" s="44" t="s">
        <v>533</v>
      </c>
      <c r="D144" s="45" t="s">
        <v>3424</v>
      </c>
    </row>
    <row r="145" spans="1:4" ht="31.5" customHeight="1" x14ac:dyDescent="0.25">
      <c r="A145" s="43" t="s">
        <v>475</v>
      </c>
      <c r="B145" s="43" t="s">
        <v>4622</v>
      </c>
      <c r="C145" s="44" t="s">
        <v>533</v>
      </c>
      <c r="D145" s="45" t="s">
        <v>3425</v>
      </c>
    </row>
    <row r="146" spans="1:4" ht="47.25" customHeight="1" x14ac:dyDescent="0.25">
      <c r="A146" s="43" t="s">
        <v>481</v>
      </c>
      <c r="B146" s="43" t="s">
        <v>4623</v>
      </c>
      <c r="C146" s="44" t="s">
        <v>4552</v>
      </c>
      <c r="D146" s="45" t="s">
        <v>3426</v>
      </c>
    </row>
    <row r="147" spans="1:4" ht="63" customHeight="1" x14ac:dyDescent="0.25">
      <c r="A147" s="43" t="s">
        <v>487</v>
      </c>
      <c r="B147" s="43" t="s">
        <v>4624</v>
      </c>
      <c r="C147" s="44" t="s">
        <v>4625</v>
      </c>
      <c r="D147" s="45" t="s">
        <v>3427</v>
      </c>
    </row>
    <row r="148" spans="1:4" ht="63" customHeight="1" x14ac:dyDescent="0.25">
      <c r="A148" s="43" t="s">
        <v>492</v>
      </c>
      <c r="B148" s="43" t="s">
        <v>4626</v>
      </c>
      <c r="C148" s="44" t="s">
        <v>233</v>
      </c>
      <c r="D148" s="45" t="s">
        <v>3428</v>
      </c>
    </row>
    <row r="149" spans="1:4" ht="31.5" customHeight="1" x14ac:dyDescent="0.25">
      <c r="A149" s="43" t="s">
        <v>497</v>
      </c>
      <c r="B149" s="43" t="s">
        <v>4627</v>
      </c>
      <c r="C149" s="44" t="s">
        <v>1197</v>
      </c>
      <c r="D149" s="45" t="s">
        <v>3429</v>
      </c>
    </row>
    <row r="150" spans="1:4" ht="47.25" customHeight="1" x14ac:dyDescent="0.25">
      <c r="A150" s="43" t="s">
        <v>501</v>
      </c>
      <c r="B150" s="43" t="s">
        <v>4628</v>
      </c>
      <c r="C150" s="44" t="s">
        <v>942</v>
      </c>
      <c r="D150" s="45" t="s">
        <v>3430</v>
      </c>
    </row>
    <row r="151" spans="1:4" ht="47.25" customHeight="1" x14ac:dyDescent="0.25">
      <c r="A151" s="43" t="s">
        <v>507</v>
      </c>
      <c r="B151" s="43" t="s">
        <v>4629</v>
      </c>
      <c r="C151" s="44" t="s">
        <v>429</v>
      </c>
      <c r="D151" s="45" t="s">
        <v>3431</v>
      </c>
    </row>
    <row r="152" spans="1:4" ht="47.25" customHeight="1" x14ac:dyDescent="0.25">
      <c r="A152" s="43" t="s">
        <v>512</v>
      </c>
      <c r="B152" s="43" t="s">
        <v>4630</v>
      </c>
      <c r="C152" s="44" t="s">
        <v>578</v>
      </c>
      <c r="D152" s="45" t="s">
        <v>3432</v>
      </c>
    </row>
    <row r="153" spans="1:4" ht="47.25" customHeight="1" x14ac:dyDescent="0.25">
      <c r="A153" s="43" t="s">
        <v>517</v>
      </c>
      <c r="B153" s="43" t="s">
        <v>4631</v>
      </c>
      <c r="C153" s="44" t="s">
        <v>4632</v>
      </c>
      <c r="D153" s="45" t="s">
        <v>3433</v>
      </c>
    </row>
    <row r="154" spans="1:4" ht="47.25" customHeight="1" x14ac:dyDescent="0.25">
      <c r="A154" s="43" t="s">
        <v>522</v>
      </c>
      <c r="B154" s="43" t="s">
        <v>4633</v>
      </c>
      <c r="C154" s="44" t="s">
        <v>319</v>
      </c>
      <c r="D154" s="45" t="s">
        <v>3434</v>
      </c>
    </row>
    <row r="155" spans="1:4" ht="47.25" customHeight="1" x14ac:dyDescent="0.25">
      <c r="A155" s="43" t="s">
        <v>527</v>
      </c>
      <c r="B155" s="43" t="s">
        <v>4634</v>
      </c>
      <c r="C155" s="44" t="s">
        <v>4635</v>
      </c>
      <c r="D155" s="45" t="s">
        <v>3435</v>
      </c>
    </row>
    <row r="156" spans="1:4" ht="63" customHeight="1" x14ac:dyDescent="0.25">
      <c r="A156" s="43" t="s">
        <v>531</v>
      </c>
      <c r="B156" s="43" t="s">
        <v>4636</v>
      </c>
      <c r="C156" s="44" t="s">
        <v>4637</v>
      </c>
      <c r="D156" s="45" t="s">
        <v>3436</v>
      </c>
    </row>
    <row r="157" spans="1:4" ht="63" customHeight="1" x14ac:dyDescent="0.25">
      <c r="A157" s="43" t="s">
        <v>536</v>
      </c>
      <c r="B157" s="43" t="s">
        <v>4638</v>
      </c>
      <c r="C157" s="44" t="s">
        <v>4635</v>
      </c>
      <c r="D157" s="45" t="s">
        <v>3437</v>
      </c>
    </row>
    <row r="158" spans="1:4" ht="78.75" customHeight="1" x14ac:dyDescent="0.25">
      <c r="A158" s="43" t="s">
        <v>542</v>
      </c>
      <c r="B158" s="43" t="s">
        <v>4639</v>
      </c>
      <c r="C158" s="44" t="s">
        <v>4640</v>
      </c>
      <c r="D158" s="45" t="s">
        <v>3438</v>
      </c>
    </row>
    <row r="159" spans="1:4" ht="47.25" customHeight="1" x14ac:dyDescent="0.25">
      <c r="A159" s="43" t="s">
        <v>546</v>
      </c>
      <c r="B159" s="43" t="s">
        <v>4641</v>
      </c>
      <c r="C159" s="44" t="s">
        <v>1926</v>
      </c>
      <c r="D159" s="45" t="s">
        <v>3439</v>
      </c>
    </row>
    <row r="160" spans="1:4" ht="31.5" customHeight="1" x14ac:dyDescent="0.25">
      <c r="A160" s="43" t="s">
        <v>551</v>
      </c>
      <c r="B160" s="43" t="s">
        <v>4642</v>
      </c>
      <c r="C160" s="44" t="s">
        <v>1063</v>
      </c>
      <c r="D160" s="45" t="s">
        <v>3440</v>
      </c>
    </row>
    <row r="161" spans="1:4" ht="31.5" customHeight="1" x14ac:dyDescent="0.25">
      <c r="A161" s="43" t="s">
        <v>554</v>
      </c>
      <c r="B161" s="43" t="s">
        <v>4643</v>
      </c>
      <c r="C161" s="44" t="s">
        <v>4644</v>
      </c>
      <c r="D161" s="45" t="s">
        <v>3441</v>
      </c>
    </row>
    <row r="162" spans="1:4" ht="15.75" customHeight="1" x14ac:dyDescent="0.25">
      <c r="A162" s="43" t="s">
        <v>558</v>
      </c>
      <c r="B162" s="43" t="s">
        <v>4645</v>
      </c>
      <c r="C162" s="44" t="s">
        <v>2061</v>
      </c>
      <c r="D162" s="45" t="s">
        <v>3442</v>
      </c>
    </row>
    <row r="163" spans="1:4" ht="31.5" customHeight="1" x14ac:dyDescent="0.25">
      <c r="A163" s="43" t="s">
        <v>563</v>
      </c>
      <c r="B163" s="43" t="s">
        <v>4646</v>
      </c>
      <c r="C163" s="44" t="s">
        <v>2161</v>
      </c>
      <c r="D163" s="45" t="s">
        <v>3443</v>
      </c>
    </row>
    <row r="164" spans="1:4" ht="47.25" customHeight="1" x14ac:dyDescent="0.25">
      <c r="A164" s="43" t="s">
        <v>567</v>
      </c>
      <c r="B164" s="43" t="s">
        <v>4647</v>
      </c>
      <c r="C164" s="44" t="s">
        <v>4648</v>
      </c>
      <c r="D164" s="45" t="s">
        <v>3444</v>
      </c>
    </row>
    <row r="165" spans="1:4" ht="47.25" customHeight="1" x14ac:dyDescent="0.25">
      <c r="A165" s="43" t="s">
        <v>571</v>
      </c>
      <c r="B165" s="43" t="s">
        <v>4649</v>
      </c>
      <c r="C165" s="54" t="s">
        <v>4650</v>
      </c>
      <c r="D165" s="45" t="s">
        <v>3445</v>
      </c>
    </row>
    <row r="166" spans="1:4" ht="47.25" customHeight="1" x14ac:dyDescent="0.25">
      <c r="A166" s="43" t="s">
        <v>576</v>
      </c>
      <c r="B166" s="43" t="s">
        <v>4651</v>
      </c>
      <c r="C166" s="44" t="s">
        <v>4652</v>
      </c>
      <c r="D166" s="45" t="s">
        <v>3446</v>
      </c>
    </row>
    <row r="167" spans="1:4" ht="47.25" customHeight="1" x14ac:dyDescent="0.25">
      <c r="A167" s="43" t="s">
        <v>581</v>
      </c>
      <c r="B167" s="43" t="s">
        <v>4653</v>
      </c>
      <c r="C167" s="44" t="s">
        <v>4654</v>
      </c>
      <c r="D167" s="45" t="s">
        <v>3447</v>
      </c>
    </row>
    <row r="168" spans="1:4" ht="47.25" customHeight="1" x14ac:dyDescent="0.25">
      <c r="A168" s="43" t="s">
        <v>587</v>
      </c>
      <c r="B168" s="43" t="s">
        <v>4655</v>
      </c>
      <c r="C168" s="44" t="s">
        <v>1353</v>
      </c>
      <c r="D168" s="45" t="s">
        <v>3448</v>
      </c>
    </row>
    <row r="169" spans="1:4" ht="47.25" customHeight="1" x14ac:dyDescent="0.25">
      <c r="A169" s="43" t="s">
        <v>591</v>
      </c>
      <c r="B169" s="43" t="s">
        <v>4656</v>
      </c>
      <c r="C169" s="44" t="s">
        <v>965</v>
      </c>
      <c r="D169" s="45" t="s">
        <v>3449</v>
      </c>
    </row>
    <row r="170" spans="1:4" ht="31.5" customHeight="1" x14ac:dyDescent="0.25">
      <c r="A170" s="43" t="s">
        <v>594</v>
      </c>
      <c r="B170" s="43" t="s">
        <v>4657</v>
      </c>
      <c r="C170" s="44" t="s">
        <v>1106</v>
      </c>
      <c r="D170" s="45" t="s">
        <v>3450</v>
      </c>
    </row>
    <row r="171" spans="1:4" ht="47.25" customHeight="1" x14ac:dyDescent="0.25">
      <c r="A171" s="43" t="s">
        <v>598</v>
      </c>
      <c r="B171" s="43" t="s">
        <v>4658</v>
      </c>
      <c r="C171" s="44" t="s">
        <v>1926</v>
      </c>
      <c r="D171" s="45" t="s">
        <v>3451</v>
      </c>
    </row>
    <row r="172" spans="1:4" ht="47.25" customHeight="1" x14ac:dyDescent="0.25">
      <c r="A172" s="43" t="s">
        <v>602</v>
      </c>
      <c r="B172" s="43" t="s">
        <v>4659</v>
      </c>
      <c r="C172" s="44" t="s">
        <v>697</v>
      </c>
      <c r="D172" s="45" t="s">
        <v>3452</v>
      </c>
    </row>
    <row r="173" spans="1:4" ht="47.25" customHeight="1" x14ac:dyDescent="0.25">
      <c r="A173" s="43" t="s">
        <v>607</v>
      </c>
      <c r="B173" s="43" t="s">
        <v>4660</v>
      </c>
      <c r="C173" s="44" t="s">
        <v>4552</v>
      </c>
      <c r="D173" s="45" t="s">
        <v>3453</v>
      </c>
    </row>
    <row r="174" spans="1:4" ht="47.25" customHeight="1" x14ac:dyDescent="0.25">
      <c r="A174" s="43" t="s">
        <v>612</v>
      </c>
      <c r="B174" s="43" t="s">
        <v>4661</v>
      </c>
      <c r="C174" s="44" t="s">
        <v>2319</v>
      </c>
      <c r="D174" s="45" t="s">
        <v>3454</v>
      </c>
    </row>
    <row r="175" spans="1:4" ht="31.5" customHeight="1" x14ac:dyDescent="0.25">
      <c r="A175" s="43" t="s">
        <v>616</v>
      </c>
      <c r="B175" s="43" t="s">
        <v>4662</v>
      </c>
      <c r="C175" s="44" t="s">
        <v>1528</v>
      </c>
      <c r="D175" s="45" t="s">
        <v>3455</v>
      </c>
    </row>
    <row r="176" spans="1:4" ht="31.5" customHeight="1" x14ac:dyDescent="0.25">
      <c r="A176" s="43" t="s">
        <v>621</v>
      </c>
      <c r="B176" s="43" t="s">
        <v>4663</v>
      </c>
      <c r="C176" s="44" t="s">
        <v>1129</v>
      </c>
      <c r="D176" s="45" t="s">
        <v>3456</v>
      </c>
    </row>
    <row r="177" spans="1:4" ht="47.25" customHeight="1" x14ac:dyDescent="0.25">
      <c r="A177" s="43" t="s">
        <v>626</v>
      </c>
      <c r="B177" s="43" t="s">
        <v>4664</v>
      </c>
      <c r="C177" s="44" t="s">
        <v>4665</v>
      </c>
      <c r="D177" s="45" t="s">
        <v>3457</v>
      </c>
    </row>
    <row r="178" spans="1:4" ht="63" customHeight="1" x14ac:dyDescent="0.25">
      <c r="A178" s="43" t="s">
        <v>631</v>
      </c>
      <c r="B178" s="43" t="s">
        <v>4666</v>
      </c>
      <c r="C178" s="44" t="s">
        <v>1129</v>
      </c>
      <c r="D178" s="45" t="s">
        <v>3458</v>
      </c>
    </row>
    <row r="179" spans="1:4" ht="31.5" customHeight="1" x14ac:dyDescent="0.25">
      <c r="A179" s="43" t="s">
        <v>636</v>
      </c>
      <c r="B179" s="43" t="s">
        <v>4667</v>
      </c>
      <c r="C179" s="44" t="s">
        <v>4668</v>
      </c>
      <c r="D179" s="45" t="s">
        <v>3459</v>
      </c>
    </row>
    <row r="180" spans="1:4" ht="31.5" customHeight="1" x14ac:dyDescent="0.25">
      <c r="A180" s="43" t="s">
        <v>641</v>
      </c>
      <c r="B180" s="43" t="s">
        <v>4669</v>
      </c>
      <c r="C180" s="44" t="s">
        <v>4670</v>
      </c>
      <c r="D180" s="45" t="s">
        <v>3460</v>
      </c>
    </row>
    <row r="181" spans="1:4" ht="63" customHeight="1" x14ac:dyDescent="0.25">
      <c r="A181" s="43" t="s">
        <v>646</v>
      </c>
      <c r="B181" s="43" t="s">
        <v>4671</v>
      </c>
      <c r="C181" s="44" t="s">
        <v>4672</v>
      </c>
      <c r="D181" s="45" t="s">
        <v>3461</v>
      </c>
    </row>
    <row r="182" spans="1:4" ht="47.25" customHeight="1" x14ac:dyDescent="0.25">
      <c r="A182" s="43" t="s">
        <v>650</v>
      </c>
      <c r="B182" s="43" t="s">
        <v>4673</v>
      </c>
      <c r="C182" s="44" t="s">
        <v>4674</v>
      </c>
      <c r="D182" s="45" t="s">
        <v>3462</v>
      </c>
    </row>
    <row r="183" spans="1:4" ht="31.5" customHeight="1" x14ac:dyDescent="0.25">
      <c r="A183" s="43" t="s">
        <v>655</v>
      </c>
      <c r="B183" s="43" t="s">
        <v>4675</v>
      </c>
      <c r="C183" s="44" t="s">
        <v>4674</v>
      </c>
      <c r="D183" s="45" t="s">
        <v>3463</v>
      </c>
    </row>
    <row r="184" spans="1:4" ht="47.25" customHeight="1" x14ac:dyDescent="0.25">
      <c r="A184" s="43" t="s">
        <v>660</v>
      </c>
      <c r="B184" s="43" t="s">
        <v>4676</v>
      </c>
      <c r="C184" s="44" t="s">
        <v>4677</v>
      </c>
      <c r="D184" s="45" t="s">
        <v>3464</v>
      </c>
    </row>
    <row r="185" spans="1:4" ht="47.25" customHeight="1" x14ac:dyDescent="0.25">
      <c r="A185" s="43" t="s">
        <v>665</v>
      </c>
      <c r="B185" s="43" t="s">
        <v>4678</v>
      </c>
      <c r="C185" s="44" t="s">
        <v>4679</v>
      </c>
      <c r="D185" s="45" t="s">
        <v>3465</v>
      </c>
    </row>
    <row r="186" spans="1:4" ht="31.5" customHeight="1" x14ac:dyDescent="0.25">
      <c r="A186" s="43" t="s">
        <v>669</v>
      </c>
      <c r="B186" s="43" t="s">
        <v>4680</v>
      </c>
      <c r="C186" s="44" t="s">
        <v>1427</v>
      </c>
      <c r="D186" s="45" t="s">
        <v>3466</v>
      </c>
    </row>
    <row r="187" spans="1:4" ht="31.5" customHeight="1" x14ac:dyDescent="0.25">
      <c r="A187" s="43" t="s">
        <v>674</v>
      </c>
      <c r="B187" s="43" t="s">
        <v>4681</v>
      </c>
      <c r="C187" s="44" t="s">
        <v>1427</v>
      </c>
      <c r="D187" s="45" t="s">
        <v>3467</v>
      </c>
    </row>
    <row r="188" spans="1:4" ht="63" customHeight="1" x14ac:dyDescent="0.25">
      <c r="A188" s="43" t="s">
        <v>679</v>
      </c>
      <c r="B188" s="43" t="s">
        <v>4682</v>
      </c>
      <c r="C188" s="44" t="s">
        <v>4683</v>
      </c>
      <c r="D188" s="45" t="s">
        <v>3468</v>
      </c>
    </row>
    <row r="189" spans="1:4" ht="31.5" customHeight="1" x14ac:dyDescent="0.25">
      <c r="A189" s="43" t="s">
        <v>684</v>
      </c>
      <c r="B189" s="43" t="s">
        <v>4684</v>
      </c>
      <c r="C189" s="44" t="s">
        <v>4685</v>
      </c>
      <c r="D189" s="45" t="s">
        <v>3469</v>
      </c>
    </row>
    <row r="190" spans="1:4" ht="47.25" customHeight="1" x14ac:dyDescent="0.25">
      <c r="A190" s="43" t="s">
        <v>690</v>
      </c>
      <c r="B190" s="43" t="s">
        <v>4686</v>
      </c>
      <c r="C190" s="44" t="s">
        <v>2174</v>
      </c>
      <c r="D190" s="45" t="s">
        <v>3470</v>
      </c>
    </row>
    <row r="191" spans="1:4" ht="31.5" customHeight="1" x14ac:dyDescent="0.25">
      <c r="A191" s="43" t="s">
        <v>695</v>
      </c>
      <c r="B191" s="43" t="s">
        <v>4687</v>
      </c>
      <c r="C191" s="44" t="s">
        <v>374</v>
      </c>
      <c r="D191" s="45" t="s">
        <v>3471</v>
      </c>
    </row>
    <row r="192" spans="1:4" ht="63" customHeight="1" x14ac:dyDescent="0.25">
      <c r="A192" s="43" t="s">
        <v>701</v>
      </c>
      <c r="B192" s="43" t="s">
        <v>4688</v>
      </c>
      <c r="C192" s="44" t="s">
        <v>87</v>
      </c>
      <c r="D192" s="45" t="s">
        <v>3472</v>
      </c>
    </row>
    <row r="193" spans="1:4" ht="78.75" customHeight="1" x14ac:dyDescent="0.25">
      <c r="A193" s="43" t="s">
        <v>705</v>
      </c>
      <c r="B193" s="43" t="s">
        <v>4689</v>
      </c>
      <c r="C193" s="44" t="s">
        <v>4690</v>
      </c>
      <c r="D193" s="45" t="s">
        <v>3473</v>
      </c>
    </row>
    <row r="194" spans="1:4" ht="31.5" customHeight="1" x14ac:dyDescent="0.25">
      <c r="A194" s="43" t="s">
        <v>709</v>
      </c>
      <c r="B194" s="43" t="s">
        <v>4691</v>
      </c>
      <c r="C194" s="44" t="s">
        <v>1757</v>
      </c>
      <c r="D194" s="45" t="s">
        <v>3474</v>
      </c>
    </row>
    <row r="195" spans="1:4" ht="47.25" customHeight="1" x14ac:dyDescent="0.25">
      <c r="A195" s="43" t="s">
        <v>714</v>
      </c>
      <c r="B195" s="43" t="s">
        <v>4692</v>
      </c>
      <c r="C195" s="44" t="s">
        <v>168</v>
      </c>
      <c r="D195" s="45" t="s">
        <v>3475</v>
      </c>
    </row>
    <row r="196" spans="1:4" ht="47.25" customHeight="1" x14ac:dyDescent="0.25">
      <c r="A196" s="43" t="s">
        <v>718</v>
      </c>
      <c r="B196" s="43" t="s">
        <v>4693</v>
      </c>
      <c r="C196" s="44" t="s">
        <v>168</v>
      </c>
      <c r="D196" s="45" t="s">
        <v>3476</v>
      </c>
    </row>
    <row r="197" spans="1:4" ht="47.25" customHeight="1" x14ac:dyDescent="0.25">
      <c r="A197" s="43" t="s">
        <v>722</v>
      </c>
      <c r="B197" s="43" t="s">
        <v>4694</v>
      </c>
      <c r="C197" s="44" t="s">
        <v>1177</v>
      </c>
      <c r="D197" s="45" t="s">
        <v>3477</v>
      </c>
    </row>
    <row r="198" spans="1:4" ht="31.5" customHeight="1" x14ac:dyDescent="0.25">
      <c r="A198" s="43" t="s">
        <v>728</v>
      </c>
      <c r="B198" s="43" t="s">
        <v>4695</v>
      </c>
      <c r="C198" s="44" t="s">
        <v>112</v>
      </c>
      <c r="D198" s="45" t="s">
        <v>3478</v>
      </c>
    </row>
    <row r="199" spans="1:4" ht="31.5" customHeight="1" x14ac:dyDescent="0.25">
      <c r="A199" s="43" t="s">
        <v>732</v>
      </c>
      <c r="B199" s="43" t="s">
        <v>4696</v>
      </c>
      <c r="C199" s="44" t="s">
        <v>4697</v>
      </c>
      <c r="D199" s="45" t="s">
        <v>3479</v>
      </c>
    </row>
    <row r="200" spans="1:4" ht="31.5" customHeight="1" x14ac:dyDescent="0.25">
      <c r="A200" s="43" t="s">
        <v>737</v>
      </c>
      <c r="B200" s="43" t="s">
        <v>4698</v>
      </c>
      <c r="C200" s="44" t="s">
        <v>1106</v>
      </c>
      <c r="D200" s="45" t="s">
        <v>3480</v>
      </c>
    </row>
    <row r="201" spans="1:4" ht="31.5" customHeight="1" x14ac:dyDescent="0.25">
      <c r="A201" s="43" t="s">
        <v>742</v>
      </c>
      <c r="B201" s="43" t="s">
        <v>4699</v>
      </c>
      <c r="C201" s="44" t="s">
        <v>4700</v>
      </c>
      <c r="D201" s="45" t="s">
        <v>3481</v>
      </c>
    </row>
    <row r="202" spans="1:4" ht="47.25" customHeight="1" x14ac:dyDescent="0.25">
      <c r="A202" s="43" t="s">
        <v>747</v>
      </c>
      <c r="B202" s="43" t="s">
        <v>4701</v>
      </c>
      <c r="C202" s="44" t="s">
        <v>4674</v>
      </c>
      <c r="D202" s="45" t="s">
        <v>3482</v>
      </c>
    </row>
    <row r="203" spans="1:4" ht="47.25" customHeight="1" x14ac:dyDescent="0.25">
      <c r="A203" s="43" t="s">
        <v>750</v>
      </c>
      <c r="B203" s="43" t="s">
        <v>4702</v>
      </c>
      <c r="C203" s="44" t="s">
        <v>1590</v>
      </c>
      <c r="D203" s="45" t="s">
        <v>3483</v>
      </c>
    </row>
    <row r="204" spans="1:4" ht="63" customHeight="1" x14ac:dyDescent="0.25">
      <c r="A204" s="43" t="s">
        <v>755</v>
      </c>
      <c r="B204" s="43" t="s">
        <v>4703</v>
      </c>
      <c r="C204" s="44" t="s">
        <v>4704</v>
      </c>
      <c r="D204" s="45" t="s">
        <v>3484</v>
      </c>
    </row>
    <row r="205" spans="1:4" ht="63" customHeight="1" x14ac:dyDescent="0.25">
      <c r="A205" s="43" t="s">
        <v>760</v>
      </c>
      <c r="B205" s="43" t="s">
        <v>4705</v>
      </c>
      <c r="C205" s="44" t="s">
        <v>1260</v>
      </c>
      <c r="D205" s="45" t="s">
        <v>3485</v>
      </c>
    </row>
    <row r="206" spans="1:4" ht="31.5" customHeight="1" x14ac:dyDescent="0.25">
      <c r="A206" s="43" t="s">
        <v>764</v>
      </c>
      <c r="B206" s="43" t="s">
        <v>4706</v>
      </c>
      <c r="C206" s="44" t="s">
        <v>4541</v>
      </c>
      <c r="D206" s="45" t="s">
        <v>3486</v>
      </c>
    </row>
    <row r="207" spans="1:4" ht="31.5" customHeight="1" x14ac:dyDescent="0.25">
      <c r="A207" s="43" t="s">
        <v>768</v>
      </c>
      <c r="B207" s="43" t="s">
        <v>4707</v>
      </c>
      <c r="C207" s="44" t="s">
        <v>1503</v>
      </c>
      <c r="D207" s="45" t="s">
        <v>3487</v>
      </c>
    </row>
    <row r="208" spans="1:4" ht="47.25" customHeight="1" x14ac:dyDescent="0.25">
      <c r="A208" s="43" t="s">
        <v>774</v>
      </c>
      <c r="B208" s="43" t="s">
        <v>4708</v>
      </c>
      <c r="C208" s="44" t="s">
        <v>1106</v>
      </c>
      <c r="D208" s="45" t="s">
        <v>3488</v>
      </c>
    </row>
    <row r="209" spans="1:4" ht="31.5" customHeight="1" x14ac:dyDescent="0.25">
      <c r="A209" s="43" t="s">
        <v>779</v>
      </c>
      <c r="B209" s="43" t="s">
        <v>4709</v>
      </c>
      <c r="C209" s="44" t="s">
        <v>4710</v>
      </c>
      <c r="D209" s="45" t="s">
        <v>3489</v>
      </c>
    </row>
    <row r="210" spans="1:4" ht="31.5" customHeight="1" x14ac:dyDescent="0.25">
      <c r="A210" s="43" t="s">
        <v>784</v>
      </c>
      <c r="B210" s="43" t="s">
        <v>4711</v>
      </c>
      <c r="C210" s="44" t="s">
        <v>4490</v>
      </c>
      <c r="D210" s="45" t="s">
        <v>3490</v>
      </c>
    </row>
    <row r="211" spans="1:4" ht="63" customHeight="1" x14ac:dyDescent="0.25">
      <c r="A211" s="43" t="s">
        <v>789</v>
      </c>
      <c r="B211" s="43" t="s">
        <v>4712</v>
      </c>
      <c r="C211" s="44" t="s">
        <v>4713</v>
      </c>
      <c r="D211" s="45" t="s">
        <v>3491</v>
      </c>
    </row>
    <row r="212" spans="1:4" ht="31.5" customHeight="1" x14ac:dyDescent="0.25">
      <c r="A212" s="43" t="s">
        <v>793</v>
      </c>
      <c r="B212" s="43" t="s">
        <v>4714</v>
      </c>
      <c r="C212" s="44" t="s">
        <v>752</v>
      </c>
      <c r="D212" s="45" t="s">
        <v>3492</v>
      </c>
    </row>
    <row r="213" spans="1:4" ht="47.25" customHeight="1" x14ac:dyDescent="0.25">
      <c r="A213" s="43" t="s">
        <v>798</v>
      </c>
      <c r="B213" s="43" t="s">
        <v>4715</v>
      </c>
      <c r="C213" s="44" t="s">
        <v>4716</v>
      </c>
      <c r="D213" s="45" t="s">
        <v>3493</v>
      </c>
    </row>
    <row r="214" spans="1:4" ht="47.25" customHeight="1" x14ac:dyDescent="0.25">
      <c r="A214" s="43" t="s">
        <v>803</v>
      </c>
      <c r="B214" s="43" t="s">
        <v>4717</v>
      </c>
      <c r="C214" s="44" t="s">
        <v>302</v>
      </c>
      <c r="D214" s="45" t="s">
        <v>3494</v>
      </c>
    </row>
    <row r="215" spans="1:4" ht="47.25" customHeight="1" x14ac:dyDescent="0.25">
      <c r="A215" s="43" t="s">
        <v>807</v>
      </c>
      <c r="B215" s="43" t="s">
        <v>4718</v>
      </c>
      <c r="C215" s="44" t="s">
        <v>4476</v>
      </c>
      <c r="D215" s="45" t="s">
        <v>3495</v>
      </c>
    </row>
    <row r="216" spans="1:4" ht="47.25" customHeight="1" x14ac:dyDescent="0.25">
      <c r="A216" s="43" t="s">
        <v>812</v>
      </c>
      <c r="B216" s="43" t="s">
        <v>4719</v>
      </c>
      <c r="C216" s="44" t="s">
        <v>3123</v>
      </c>
      <c r="D216" s="45" t="s">
        <v>3496</v>
      </c>
    </row>
    <row r="217" spans="1:4" ht="47.25" customHeight="1" x14ac:dyDescent="0.25">
      <c r="A217" s="43" t="s">
        <v>816</v>
      </c>
      <c r="B217" s="43" t="s">
        <v>4720</v>
      </c>
      <c r="C217" s="44" t="s">
        <v>4625</v>
      </c>
      <c r="D217" s="45" t="s">
        <v>3497</v>
      </c>
    </row>
    <row r="218" spans="1:4" ht="47.25" customHeight="1" x14ac:dyDescent="0.25">
      <c r="A218" s="43" t="s">
        <v>822</v>
      </c>
      <c r="B218" s="43" t="s">
        <v>4721</v>
      </c>
      <c r="C218" s="44" t="s">
        <v>1353</v>
      </c>
      <c r="D218" s="45" t="s">
        <v>3498</v>
      </c>
    </row>
    <row r="219" spans="1:4" ht="47.25" customHeight="1" x14ac:dyDescent="0.25">
      <c r="A219" s="43" t="s">
        <v>827</v>
      </c>
      <c r="B219" s="43" t="s">
        <v>4722</v>
      </c>
      <c r="C219" s="44" t="s">
        <v>524</v>
      </c>
      <c r="D219" s="45" t="s">
        <v>3499</v>
      </c>
    </row>
    <row r="220" spans="1:4" ht="63" customHeight="1" x14ac:dyDescent="0.25">
      <c r="A220" s="43" t="s">
        <v>831</v>
      </c>
      <c r="B220" s="43" t="s">
        <v>4723</v>
      </c>
      <c r="C220" s="44" t="s">
        <v>4724</v>
      </c>
      <c r="D220" s="45" t="s">
        <v>3500</v>
      </c>
    </row>
    <row r="221" spans="1:4" ht="47.25" customHeight="1" x14ac:dyDescent="0.25">
      <c r="A221" s="43" t="s">
        <v>834</v>
      </c>
      <c r="B221" s="43" t="s">
        <v>4725</v>
      </c>
      <c r="C221" s="44" t="s">
        <v>3210</v>
      </c>
      <c r="D221" s="45" t="s">
        <v>3501</v>
      </c>
    </row>
    <row r="222" spans="1:4" ht="47.25" customHeight="1" x14ac:dyDescent="0.25">
      <c r="A222" s="43" t="s">
        <v>838</v>
      </c>
      <c r="B222" s="43" t="s">
        <v>4726</v>
      </c>
      <c r="C222" s="44" t="s">
        <v>2100</v>
      </c>
      <c r="D222" s="45" t="s">
        <v>3502</v>
      </c>
    </row>
    <row r="223" spans="1:4" ht="31.5" customHeight="1" x14ac:dyDescent="0.25">
      <c r="A223" s="43" t="s">
        <v>842</v>
      </c>
      <c r="B223" s="43" t="s">
        <v>4727</v>
      </c>
      <c r="C223" s="44" t="s">
        <v>4728</v>
      </c>
      <c r="D223" s="45" t="s">
        <v>3503</v>
      </c>
    </row>
    <row r="224" spans="1:4" ht="31.5" customHeight="1" x14ac:dyDescent="0.25">
      <c r="A224" s="43" t="s">
        <v>846</v>
      </c>
      <c r="B224" s="43" t="s">
        <v>4729</v>
      </c>
      <c r="C224" s="44" t="s">
        <v>1503</v>
      </c>
      <c r="D224" s="45" t="s">
        <v>3504</v>
      </c>
    </row>
    <row r="225" spans="1:4" ht="47.25" customHeight="1" x14ac:dyDescent="0.25">
      <c r="A225" s="43" t="s">
        <v>851</v>
      </c>
      <c r="B225" s="43" t="s">
        <v>4730</v>
      </c>
      <c r="C225" s="44" t="s">
        <v>76</v>
      </c>
      <c r="D225" s="45" t="s">
        <v>3505</v>
      </c>
    </row>
    <row r="226" spans="1:4" ht="47.25" customHeight="1" x14ac:dyDescent="0.25">
      <c r="A226" s="43" t="s">
        <v>856</v>
      </c>
      <c r="B226" s="43" t="s">
        <v>4731</v>
      </c>
      <c r="C226" s="44" t="s">
        <v>4732</v>
      </c>
      <c r="D226" s="45" t="s">
        <v>3506</v>
      </c>
    </row>
    <row r="227" spans="1:4" ht="31.5" customHeight="1" x14ac:dyDescent="0.25">
      <c r="A227" s="43" t="s">
        <v>861</v>
      </c>
      <c r="B227" s="43" t="s">
        <v>4733</v>
      </c>
      <c r="C227" s="44" t="s">
        <v>390</v>
      </c>
      <c r="D227" s="45" t="s">
        <v>3507</v>
      </c>
    </row>
    <row r="228" spans="1:4" ht="31.5" customHeight="1" x14ac:dyDescent="0.25">
      <c r="A228" s="43" t="s">
        <v>865</v>
      </c>
      <c r="B228" s="43" t="s">
        <v>4734</v>
      </c>
      <c r="C228" s="44" t="s">
        <v>1063</v>
      </c>
      <c r="D228" s="45" t="s">
        <v>3508</v>
      </c>
    </row>
    <row r="229" spans="1:4" ht="31.5" customHeight="1" x14ac:dyDescent="0.25">
      <c r="A229" s="43" t="s">
        <v>870</v>
      </c>
      <c r="B229" s="43" t="s">
        <v>4735</v>
      </c>
      <c r="C229" s="44" t="s">
        <v>2086</v>
      </c>
      <c r="D229" s="45" t="s">
        <v>3509</v>
      </c>
    </row>
    <row r="230" spans="1:4" ht="31.5" customHeight="1" x14ac:dyDescent="0.25">
      <c r="A230" s="43" t="s">
        <v>875</v>
      </c>
      <c r="B230" s="43" t="s">
        <v>4736</v>
      </c>
      <c r="C230" s="44" t="s">
        <v>2750</v>
      </c>
      <c r="D230" s="45" t="s">
        <v>3510</v>
      </c>
    </row>
    <row r="231" spans="1:4" ht="31.5" customHeight="1" x14ac:dyDescent="0.25">
      <c r="A231" s="43" t="s">
        <v>880</v>
      </c>
      <c r="B231" s="43" t="s">
        <v>4737</v>
      </c>
      <c r="C231" s="44" t="s">
        <v>4738</v>
      </c>
      <c r="D231" s="45" t="s">
        <v>3511</v>
      </c>
    </row>
    <row r="232" spans="1:4" ht="63" customHeight="1" x14ac:dyDescent="0.25">
      <c r="A232" s="43" t="s">
        <v>885</v>
      </c>
      <c r="B232" s="43" t="s">
        <v>4739</v>
      </c>
      <c r="C232" s="44" t="s">
        <v>2284</v>
      </c>
      <c r="D232" s="45" t="s">
        <v>3512</v>
      </c>
    </row>
    <row r="233" spans="1:4" ht="31.5" customHeight="1" x14ac:dyDescent="0.25">
      <c r="A233" s="43" t="s">
        <v>889</v>
      </c>
      <c r="B233" s="43" t="s">
        <v>4740</v>
      </c>
      <c r="C233" s="44" t="s">
        <v>4648</v>
      </c>
      <c r="D233" s="45" t="s">
        <v>3513</v>
      </c>
    </row>
    <row r="234" spans="1:4" ht="47.25" customHeight="1" x14ac:dyDescent="0.25">
      <c r="A234" s="43" t="s">
        <v>895</v>
      </c>
      <c r="B234" s="43" t="s">
        <v>4741</v>
      </c>
      <c r="C234" s="44" t="s">
        <v>4648</v>
      </c>
      <c r="D234" s="45" t="s">
        <v>3514</v>
      </c>
    </row>
    <row r="235" spans="1:4" ht="47.25" customHeight="1" x14ac:dyDescent="0.25">
      <c r="A235" s="43" t="s">
        <v>899</v>
      </c>
      <c r="B235" s="43" t="s">
        <v>4742</v>
      </c>
      <c r="C235" s="44" t="s">
        <v>4743</v>
      </c>
      <c r="D235" s="45" t="s">
        <v>3515</v>
      </c>
    </row>
    <row r="236" spans="1:4" ht="47.25" customHeight="1" x14ac:dyDescent="0.25">
      <c r="A236" s="43" t="s">
        <v>903</v>
      </c>
      <c r="B236" s="43" t="s">
        <v>4744</v>
      </c>
      <c r="C236" s="44" t="s">
        <v>2284</v>
      </c>
      <c r="D236" s="45" t="s">
        <v>3516</v>
      </c>
    </row>
    <row r="237" spans="1:4" ht="47.25" customHeight="1" x14ac:dyDescent="0.25">
      <c r="A237" s="43" t="s">
        <v>907</v>
      </c>
      <c r="B237" s="43" t="s">
        <v>4745</v>
      </c>
      <c r="C237" s="44" t="s">
        <v>4746</v>
      </c>
      <c r="D237" s="45" t="s">
        <v>3517</v>
      </c>
    </row>
    <row r="238" spans="1:4" ht="47.25" customHeight="1" x14ac:dyDescent="0.25">
      <c r="A238" s="43" t="s">
        <v>911</v>
      </c>
      <c r="B238" s="43" t="s">
        <v>4747</v>
      </c>
      <c r="C238" s="44" t="s">
        <v>4743</v>
      </c>
      <c r="D238" s="45" t="s">
        <v>3518</v>
      </c>
    </row>
    <row r="239" spans="1:4" ht="47.25" customHeight="1" x14ac:dyDescent="0.25">
      <c r="A239" s="43" t="s">
        <v>914</v>
      </c>
      <c r="B239" s="43" t="s">
        <v>4748</v>
      </c>
      <c r="C239" s="44" t="s">
        <v>4743</v>
      </c>
      <c r="D239" s="45" t="s">
        <v>3519</v>
      </c>
    </row>
    <row r="240" spans="1:4" ht="47.25" customHeight="1" x14ac:dyDescent="0.25">
      <c r="A240" s="43" t="s">
        <v>918</v>
      </c>
      <c r="B240" s="43" t="s">
        <v>4749</v>
      </c>
      <c r="C240" s="44" t="s">
        <v>4459</v>
      </c>
      <c r="D240" s="45" t="s">
        <v>3520</v>
      </c>
    </row>
    <row r="241" spans="1:4" ht="31.5" customHeight="1" x14ac:dyDescent="0.25">
      <c r="A241" s="43" t="s">
        <v>922</v>
      </c>
      <c r="B241" s="43" t="s">
        <v>4750</v>
      </c>
      <c r="C241" s="44" t="s">
        <v>524</v>
      </c>
      <c r="D241" s="45" t="s">
        <v>3521</v>
      </c>
    </row>
    <row r="242" spans="1:4" ht="31.5" customHeight="1" x14ac:dyDescent="0.25">
      <c r="A242" s="43" t="s">
        <v>927</v>
      </c>
      <c r="B242" s="43" t="s">
        <v>4751</v>
      </c>
      <c r="C242" s="44" t="s">
        <v>1796</v>
      </c>
      <c r="D242" s="45" t="s">
        <v>3522</v>
      </c>
    </row>
    <row r="243" spans="1:4" ht="47.25" customHeight="1" x14ac:dyDescent="0.25">
      <c r="A243" s="43" t="s">
        <v>931</v>
      </c>
      <c r="B243" s="43" t="s">
        <v>4752</v>
      </c>
      <c r="C243" s="44" t="s">
        <v>76</v>
      </c>
      <c r="D243" s="45" t="s">
        <v>3523</v>
      </c>
    </row>
    <row r="244" spans="1:4" ht="31.5" customHeight="1" x14ac:dyDescent="0.25">
      <c r="A244" s="43" t="s">
        <v>935</v>
      </c>
      <c r="B244" s="43" t="s">
        <v>4753</v>
      </c>
      <c r="C244" s="44" t="s">
        <v>4754</v>
      </c>
      <c r="D244" s="45" t="s">
        <v>3524</v>
      </c>
    </row>
    <row r="245" spans="1:4" ht="47.25" customHeight="1" x14ac:dyDescent="0.25">
      <c r="A245" s="43" t="s">
        <v>940</v>
      </c>
      <c r="B245" s="43" t="s">
        <v>4755</v>
      </c>
      <c r="C245" s="44" t="s">
        <v>524</v>
      </c>
      <c r="D245" s="45" t="s">
        <v>3525</v>
      </c>
    </row>
    <row r="246" spans="1:4" ht="47.25" customHeight="1" x14ac:dyDescent="0.25">
      <c r="A246" s="43" t="s">
        <v>945</v>
      </c>
      <c r="B246" s="43" t="s">
        <v>4756</v>
      </c>
      <c r="C246" s="44" t="s">
        <v>1142</v>
      </c>
      <c r="D246" s="45" t="s">
        <v>3526</v>
      </c>
    </row>
    <row r="247" spans="1:4" ht="31.5" customHeight="1" x14ac:dyDescent="0.25">
      <c r="A247" s="43" t="s">
        <v>950</v>
      </c>
      <c r="B247" s="43" t="s">
        <v>4757</v>
      </c>
      <c r="C247" s="44" t="s">
        <v>1191</v>
      </c>
      <c r="D247" s="45" t="s">
        <v>3527</v>
      </c>
    </row>
    <row r="248" spans="1:4" ht="47.25" customHeight="1" x14ac:dyDescent="0.25">
      <c r="A248" s="43" t="s">
        <v>955</v>
      </c>
      <c r="B248" s="43" t="s">
        <v>4758</v>
      </c>
      <c r="C248" s="44" t="s">
        <v>76</v>
      </c>
      <c r="D248" s="45" t="s">
        <v>3528</v>
      </c>
    </row>
    <row r="249" spans="1:4" ht="31.5" customHeight="1" x14ac:dyDescent="0.25">
      <c r="A249" s="43" t="s">
        <v>960</v>
      </c>
      <c r="B249" s="43" t="s">
        <v>4759</v>
      </c>
      <c r="C249" s="44" t="s">
        <v>2126</v>
      </c>
      <c r="D249" s="45" t="s">
        <v>3529</v>
      </c>
    </row>
    <row r="250" spans="1:4" ht="47.25" customHeight="1" x14ac:dyDescent="0.25">
      <c r="A250" s="43" t="s">
        <v>963</v>
      </c>
      <c r="B250" s="43" t="s">
        <v>4760</v>
      </c>
      <c r="C250" s="44" t="s">
        <v>1674</v>
      </c>
      <c r="D250" s="45" t="s">
        <v>3530</v>
      </c>
    </row>
    <row r="251" spans="1:4" ht="31.5" customHeight="1" x14ac:dyDescent="0.25">
      <c r="A251" s="43" t="s">
        <v>969</v>
      </c>
      <c r="B251" s="43" t="s">
        <v>4761</v>
      </c>
      <c r="C251" s="44" t="s">
        <v>509</v>
      </c>
      <c r="D251" s="45" t="s">
        <v>3531</v>
      </c>
    </row>
    <row r="252" spans="1:4" ht="31.5" customHeight="1" x14ac:dyDescent="0.25">
      <c r="A252" s="43" t="s">
        <v>973</v>
      </c>
      <c r="B252" s="43" t="s">
        <v>4762</v>
      </c>
      <c r="C252" s="44" t="s">
        <v>509</v>
      </c>
      <c r="D252" s="45" t="s">
        <v>3532</v>
      </c>
    </row>
    <row r="253" spans="1:4" ht="31.5" customHeight="1" x14ac:dyDescent="0.25">
      <c r="A253" s="43" t="s">
        <v>978</v>
      </c>
      <c r="B253" s="43" t="s">
        <v>4763</v>
      </c>
      <c r="C253" s="44" t="s">
        <v>369</v>
      </c>
      <c r="D253" s="45" t="s">
        <v>3533</v>
      </c>
    </row>
    <row r="254" spans="1:4" ht="63" customHeight="1" x14ac:dyDescent="0.25">
      <c r="A254" s="43" t="s">
        <v>983</v>
      </c>
      <c r="B254" s="43" t="s">
        <v>4764</v>
      </c>
      <c r="C254" s="44" t="s">
        <v>192</v>
      </c>
      <c r="D254" s="45" t="s">
        <v>3534</v>
      </c>
    </row>
    <row r="255" spans="1:4" ht="31.5" customHeight="1" x14ac:dyDescent="0.25">
      <c r="A255" s="43" t="s">
        <v>988</v>
      </c>
      <c r="B255" s="43" t="s">
        <v>4765</v>
      </c>
      <c r="C255" s="44" t="s">
        <v>2039</v>
      </c>
      <c r="D255" s="45" t="s">
        <v>3535</v>
      </c>
    </row>
    <row r="256" spans="1:4" ht="31.5" customHeight="1" x14ac:dyDescent="0.25">
      <c r="A256" s="43" t="s">
        <v>994</v>
      </c>
      <c r="B256" s="43" t="s">
        <v>4766</v>
      </c>
      <c r="C256" s="44" t="s">
        <v>4767</v>
      </c>
      <c r="D256" s="45" t="s">
        <v>3536</v>
      </c>
    </row>
    <row r="257" spans="1:4" ht="47.25" customHeight="1" x14ac:dyDescent="0.25">
      <c r="A257" s="43" t="s">
        <v>998</v>
      </c>
      <c r="B257" s="43" t="s">
        <v>4768</v>
      </c>
      <c r="C257" s="44" t="s">
        <v>4769</v>
      </c>
      <c r="D257" s="45" t="s">
        <v>3537</v>
      </c>
    </row>
    <row r="258" spans="1:4" ht="31.5" customHeight="1" x14ac:dyDescent="0.25">
      <c r="A258" s="43" t="s">
        <v>1002</v>
      </c>
      <c r="B258" s="43" t="s">
        <v>4770</v>
      </c>
      <c r="C258" s="44" t="s">
        <v>76</v>
      </c>
      <c r="D258" s="45" t="s">
        <v>3538</v>
      </c>
    </row>
    <row r="259" spans="1:4" ht="31.5" customHeight="1" x14ac:dyDescent="0.25">
      <c r="A259" s="43" t="s">
        <v>1007</v>
      </c>
      <c r="B259" s="43" t="s">
        <v>4771</v>
      </c>
      <c r="C259" s="44" t="s">
        <v>285</v>
      </c>
      <c r="D259" s="45" t="s">
        <v>3539</v>
      </c>
    </row>
    <row r="260" spans="1:4" ht="31.5" customHeight="1" x14ac:dyDescent="0.25">
      <c r="A260" s="43" t="s">
        <v>1012</v>
      </c>
      <c r="B260" s="43" t="s">
        <v>4772</v>
      </c>
      <c r="C260" s="44" t="s">
        <v>4773</v>
      </c>
      <c r="D260" s="45" t="s">
        <v>3540</v>
      </c>
    </row>
    <row r="261" spans="1:4" ht="47.25" customHeight="1" x14ac:dyDescent="0.25">
      <c r="A261" s="43" t="s">
        <v>1017</v>
      </c>
      <c r="B261" s="43" t="s">
        <v>4774</v>
      </c>
      <c r="C261" s="44" t="s">
        <v>384</v>
      </c>
      <c r="D261" s="45" t="s">
        <v>3541</v>
      </c>
    </row>
    <row r="262" spans="1:4" ht="47.25" customHeight="1" x14ac:dyDescent="0.25">
      <c r="A262" s="43" t="s">
        <v>1022</v>
      </c>
      <c r="B262" s="43" t="s">
        <v>4775</v>
      </c>
      <c r="C262" s="44" t="s">
        <v>744</v>
      </c>
      <c r="D262" s="45" t="s">
        <v>3542</v>
      </c>
    </row>
    <row r="263" spans="1:4" ht="47.25" customHeight="1" x14ac:dyDescent="0.25">
      <c r="A263" s="43" t="s">
        <v>1026</v>
      </c>
      <c r="B263" s="43" t="s">
        <v>4776</v>
      </c>
      <c r="C263" s="44" t="s">
        <v>604</v>
      </c>
      <c r="D263" s="45" t="s">
        <v>3543</v>
      </c>
    </row>
    <row r="264" spans="1:4" ht="78.75" customHeight="1" x14ac:dyDescent="0.25">
      <c r="A264" s="43" t="s">
        <v>1031</v>
      </c>
      <c r="B264" s="43" t="s">
        <v>4777</v>
      </c>
      <c r="C264" s="44" t="s">
        <v>786</v>
      </c>
      <c r="D264" s="45" t="s">
        <v>3544</v>
      </c>
    </row>
    <row r="265" spans="1:4" ht="31.5" customHeight="1" x14ac:dyDescent="0.25">
      <c r="A265" s="43" t="s">
        <v>1035</v>
      </c>
      <c r="B265" s="43" t="s">
        <v>4778</v>
      </c>
      <c r="C265" s="44" t="s">
        <v>379</v>
      </c>
      <c r="D265" s="45" t="s">
        <v>3545</v>
      </c>
    </row>
    <row r="266" spans="1:4" ht="47.25" customHeight="1" x14ac:dyDescent="0.25">
      <c r="A266" s="43" t="s">
        <v>1041</v>
      </c>
      <c r="B266" s="43" t="s">
        <v>4779</v>
      </c>
      <c r="C266" s="44" t="s">
        <v>1477</v>
      </c>
      <c r="D266" s="45" t="s">
        <v>3546</v>
      </c>
    </row>
    <row r="267" spans="1:4" ht="63" customHeight="1" x14ac:dyDescent="0.25">
      <c r="A267" s="43" t="s">
        <v>1046</v>
      </c>
      <c r="B267" s="43" t="s">
        <v>4780</v>
      </c>
      <c r="C267" s="44" t="s">
        <v>227</v>
      </c>
      <c r="D267" s="45" t="s">
        <v>3547</v>
      </c>
    </row>
    <row r="268" spans="1:4" ht="47.25" customHeight="1" x14ac:dyDescent="0.25">
      <c r="A268" s="43" t="s">
        <v>1050</v>
      </c>
      <c r="B268" s="43" t="s">
        <v>4781</v>
      </c>
      <c r="C268" s="44" t="s">
        <v>985</v>
      </c>
      <c r="D268" s="45" t="s">
        <v>3548</v>
      </c>
    </row>
    <row r="269" spans="1:4" ht="47.25" customHeight="1" x14ac:dyDescent="0.25">
      <c r="A269" s="43" t="s">
        <v>1055</v>
      </c>
      <c r="B269" s="43" t="s">
        <v>4782</v>
      </c>
      <c r="C269" s="44" t="s">
        <v>4783</v>
      </c>
      <c r="D269" s="45" t="s">
        <v>3549</v>
      </c>
    </row>
    <row r="270" spans="1:4" ht="47.25" customHeight="1" x14ac:dyDescent="0.25">
      <c r="A270" s="43" t="s">
        <v>1058</v>
      </c>
      <c r="B270" s="43" t="s">
        <v>4784</v>
      </c>
      <c r="C270" s="44" t="s">
        <v>1503</v>
      </c>
      <c r="D270" s="45" t="s">
        <v>3550</v>
      </c>
    </row>
    <row r="271" spans="1:4" ht="47.25" customHeight="1" x14ac:dyDescent="0.25">
      <c r="A271" s="43" t="s">
        <v>1061</v>
      </c>
      <c r="B271" s="43" t="s">
        <v>4785</v>
      </c>
      <c r="C271" s="44" t="s">
        <v>4786</v>
      </c>
      <c r="D271" s="45" t="s">
        <v>3551</v>
      </c>
    </row>
    <row r="272" spans="1:4" ht="31.5" customHeight="1" x14ac:dyDescent="0.25">
      <c r="A272" s="43" t="s">
        <v>1066</v>
      </c>
      <c r="B272" s="43" t="s">
        <v>4787</v>
      </c>
      <c r="C272" s="44" t="s">
        <v>1129</v>
      </c>
      <c r="D272" s="45" t="s">
        <v>3552</v>
      </c>
    </row>
    <row r="273" spans="1:4" ht="47.25" customHeight="1" x14ac:dyDescent="0.25">
      <c r="A273" s="43" t="s">
        <v>1070</v>
      </c>
      <c r="B273" s="43" t="s">
        <v>4788</v>
      </c>
      <c r="C273" s="44" t="s">
        <v>285</v>
      </c>
      <c r="D273" s="45" t="s">
        <v>3553</v>
      </c>
    </row>
    <row r="274" spans="1:4" ht="78.75" customHeight="1" x14ac:dyDescent="0.25">
      <c r="A274" s="43" t="s">
        <v>1076</v>
      </c>
      <c r="B274" s="43" t="s">
        <v>4789</v>
      </c>
      <c r="C274" s="44" t="s">
        <v>1106</v>
      </c>
      <c r="D274" s="45" t="s">
        <v>3554</v>
      </c>
    </row>
    <row r="275" spans="1:4" ht="47.25" customHeight="1" x14ac:dyDescent="0.25">
      <c r="A275" s="43" t="s">
        <v>1081</v>
      </c>
      <c r="B275" s="43" t="s">
        <v>4790</v>
      </c>
      <c r="C275" s="44" t="s">
        <v>4791</v>
      </c>
      <c r="D275" s="45" t="s">
        <v>3555</v>
      </c>
    </row>
    <row r="276" spans="1:4" ht="47.25" customHeight="1" x14ac:dyDescent="0.25">
      <c r="A276" s="43" t="s">
        <v>1085</v>
      </c>
      <c r="B276" s="43" t="s">
        <v>4792</v>
      </c>
      <c r="C276" s="44" t="s">
        <v>2284</v>
      </c>
      <c r="D276" s="45" t="s">
        <v>3556</v>
      </c>
    </row>
    <row r="277" spans="1:4" ht="47.25" customHeight="1" x14ac:dyDescent="0.25">
      <c r="A277" s="43" t="s">
        <v>1090</v>
      </c>
      <c r="B277" s="43" t="s">
        <v>4793</v>
      </c>
      <c r="C277" s="44" t="s">
        <v>4794</v>
      </c>
      <c r="D277" s="45" t="s">
        <v>3557</v>
      </c>
    </row>
    <row r="278" spans="1:4" ht="31.5" customHeight="1" x14ac:dyDescent="0.25">
      <c r="A278" s="43" t="s">
        <v>1095</v>
      </c>
      <c r="B278" s="43" t="s">
        <v>4795</v>
      </c>
      <c r="C278" s="44" t="s">
        <v>1106</v>
      </c>
      <c r="D278" s="45" t="s">
        <v>3558</v>
      </c>
    </row>
    <row r="279" spans="1:4" ht="63" customHeight="1" x14ac:dyDescent="0.25">
      <c r="A279" s="43" t="s">
        <v>1100</v>
      </c>
      <c r="B279" s="43" t="s">
        <v>4796</v>
      </c>
      <c r="C279" s="44" t="s">
        <v>4797</v>
      </c>
      <c r="D279" s="45" t="s">
        <v>3559</v>
      </c>
    </row>
    <row r="280" spans="1:4" ht="47.25" customHeight="1" x14ac:dyDescent="0.25">
      <c r="A280" s="43" t="s">
        <v>1104</v>
      </c>
      <c r="B280" s="43" t="s">
        <v>4798</v>
      </c>
      <c r="C280" s="44" t="s">
        <v>4690</v>
      </c>
      <c r="D280" s="45" t="s">
        <v>3560</v>
      </c>
    </row>
    <row r="281" spans="1:4" ht="47.25" customHeight="1" x14ac:dyDescent="0.25">
      <c r="A281" s="43" t="s">
        <v>1109</v>
      </c>
      <c r="B281" s="43" t="s">
        <v>4799</v>
      </c>
      <c r="C281" s="44" t="s">
        <v>2263</v>
      </c>
      <c r="D281" s="45" t="s">
        <v>3561</v>
      </c>
    </row>
    <row r="282" spans="1:4" ht="47.25" customHeight="1" x14ac:dyDescent="0.25">
      <c r="A282" s="43" t="s">
        <v>1113</v>
      </c>
      <c r="B282" s="43" t="s">
        <v>4800</v>
      </c>
      <c r="C282" s="44" t="s">
        <v>4801</v>
      </c>
      <c r="D282" s="45" t="s">
        <v>3562</v>
      </c>
    </row>
    <row r="283" spans="1:4" ht="47.25" customHeight="1" x14ac:dyDescent="0.25">
      <c r="A283" s="43" t="s">
        <v>1118</v>
      </c>
      <c r="B283" s="43" t="s">
        <v>4802</v>
      </c>
      <c r="C283" s="44" t="s">
        <v>1106</v>
      </c>
      <c r="D283" s="45" t="s">
        <v>3563</v>
      </c>
    </row>
    <row r="284" spans="1:4" ht="31.5" customHeight="1" x14ac:dyDescent="0.25">
      <c r="A284" s="43" t="s">
        <v>1122</v>
      </c>
      <c r="B284" s="43" t="s">
        <v>4803</v>
      </c>
      <c r="C284" s="44" t="s">
        <v>2984</v>
      </c>
      <c r="D284" s="45" t="s">
        <v>3564</v>
      </c>
    </row>
    <row r="285" spans="1:4" ht="31.5" customHeight="1" x14ac:dyDescent="0.25">
      <c r="A285" s="43" t="s">
        <v>1127</v>
      </c>
      <c r="B285" s="43" t="s">
        <v>4804</v>
      </c>
      <c r="C285" s="44" t="s">
        <v>2984</v>
      </c>
      <c r="D285" s="45" t="s">
        <v>3565</v>
      </c>
    </row>
    <row r="286" spans="1:4" ht="31.5" customHeight="1" x14ac:dyDescent="0.25">
      <c r="A286" s="43" t="s">
        <v>1132</v>
      </c>
      <c r="B286" s="43" t="s">
        <v>4805</v>
      </c>
      <c r="C286" s="44" t="s">
        <v>2984</v>
      </c>
      <c r="D286" s="45" t="s">
        <v>3566</v>
      </c>
    </row>
    <row r="287" spans="1:4" ht="31.5" customHeight="1" x14ac:dyDescent="0.25">
      <c r="A287" s="43" t="s">
        <v>1136</v>
      </c>
      <c r="B287" s="43" t="s">
        <v>4806</v>
      </c>
      <c r="C287" s="44" t="s">
        <v>2984</v>
      </c>
      <c r="D287" s="45" t="s">
        <v>3567</v>
      </c>
    </row>
    <row r="288" spans="1:4" ht="31.5" customHeight="1" x14ac:dyDescent="0.25">
      <c r="A288" s="43" t="s">
        <v>1140</v>
      </c>
      <c r="B288" s="43" t="s">
        <v>4807</v>
      </c>
      <c r="C288" s="44" t="s">
        <v>1329</v>
      </c>
      <c r="D288" s="45" t="s">
        <v>3568</v>
      </c>
    </row>
    <row r="289" spans="1:4" ht="31.5" customHeight="1" x14ac:dyDescent="0.25">
      <c r="A289" s="43" t="s">
        <v>1146</v>
      </c>
      <c r="B289" s="43" t="s">
        <v>4808</v>
      </c>
      <c r="C289" s="44" t="s">
        <v>3075</v>
      </c>
      <c r="D289" s="45" t="s">
        <v>3569</v>
      </c>
    </row>
    <row r="290" spans="1:4" ht="47.25" customHeight="1" x14ac:dyDescent="0.25">
      <c r="A290" s="43" t="s">
        <v>1150</v>
      </c>
      <c r="B290" s="43" t="s">
        <v>4809</v>
      </c>
      <c r="C290" s="44" t="s">
        <v>3075</v>
      </c>
      <c r="D290" s="45" t="s">
        <v>3570</v>
      </c>
    </row>
    <row r="291" spans="1:4" ht="31.5" customHeight="1" x14ac:dyDescent="0.25">
      <c r="A291" s="43" t="s">
        <v>1154</v>
      </c>
      <c r="B291" s="43" t="s">
        <v>4810</v>
      </c>
      <c r="C291" s="44" t="s">
        <v>2708</v>
      </c>
      <c r="D291" s="45" t="s">
        <v>3571</v>
      </c>
    </row>
    <row r="292" spans="1:4" ht="31.5" customHeight="1" x14ac:dyDescent="0.25">
      <c r="A292" s="43" t="s">
        <v>1159</v>
      </c>
      <c r="B292" s="43" t="s">
        <v>4811</v>
      </c>
      <c r="C292" s="44" t="s">
        <v>618</v>
      </c>
      <c r="D292" s="45" t="s">
        <v>3572</v>
      </c>
    </row>
    <row r="293" spans="1:4" ht="31.5" customHeight="1" x14ac:dyDescent="0.25">
      <c r="A293" s="43" t="s">
        <v>1165</v>
      </c>
      <c r="B293" s="43" t="s">
        <v>4812</v>
      </c>
      <c r="C293" s="44" t="s">
        <v>4813</v>
      </c>
      <c r="D293" s="45" t="s">
        <v>3573</v>
      </c>
    </row>
    <row r="294" spans="1:4" ht="63" customHeight="1" x14ac:dyDescent="0.25">
      <c r="A294" s="43" t="s">
        <v>1171</v>
      </c>
      <c r="B294" s="43" t="s">
        <v>4814</v>
      </c>
      <c r="C294" s="44" t="s">
        <v>4683</v>
      </c>
      <c r="D294" s="45" t="s">
        <v>3574</v>
      </c>
    </row>
    <row r="295" spans="1:4" ht="31.5" customHeight="1" x14ac:dyDescent="0.25">
      <c r="A295" s="43" t="s">
        <v>1175</v>
      </c>
      <c r="B295" s="43" t="s">
        <v>4815</v>
      </c>
      <c r="C295" s="44" t="s">
        <v>296</v>
      </c>
      <c r="D295" s="45" t="s">
        <v>3575</v>
      </c>
    </row>
    <row r="296" spans="1:4" ht="63" customHeight="1" x14ac:dyDescent="0.25">
      <c r="A296" s="43" t="s">
        <v>1180</v>
      </c>
      <c r="B296" s="43" t="s">
        <v>4816</v>
      </c>
      <c r="C296" s="44" t="s">
        <v>965</v>
      </c>
      <c r="D296" s="45" t="s">
        <v>3576</v>
      </c>
    </row>
    <row r="297" spans="1:4" ht="47.25" customHeight="1" x14ac:dyDescent="0.25">
      <c r="A297" s="43" t="s">
        <v>1184</v>
      </c>
      <c r="B297" s="43" t="s">
        <v>4817</v>
      </c>
      <c r="C297" s="44" t="s">
        <v>4818</v>
      </c>
      <c r="D297" s="45" t="s">
        <v>3577</v>
      </c>
    </row>
    <row r="298" spans="1:4" ht="63" customHeight="1" x14ac:dyDescent="0.25">
      <c r="A298" s="43" t="s">
        <v>1189</v>
      </c>
      <c r="B298" s="43" t="s">
        <v>4819</v>
      </c>
      <c r="C298" s="44" t="s">
        <v>390</v>
      </c>
      <c r="D298" s="45" t="s">
        <v>3578</v>
      </c>
    </row>
    <row r="299" spans="1:4" ht="31.5" customHeight="1" x14ac:dyDescent="0.25">
      <c r="A299" s="43" t="s">
        <v>1195</v>
      </c>
      <c r="B299" s="43" t="s">
        <v>4820</v>
      </c>
      <c r="C299" s="44" t="s">
        <v>4821</v>
      </c>
      <c r="D299" s="45" t="s">
        <v>3579</v>
      </c>
    </row>
    <row r="300" spans="1:4" ht="63" customHeight="1" x14ac:dyDescent="0.25">
      <c r="A300" s="43" t="s">
        <v>1200</v>
      </c>
      <c r="B300" s="43" t="s">
        <v>4822</v>
      </c>
      <c r="C300" s="44" t="s">
        <v>4821</v>
      </c>
      <c r="D300" s="45" t="s">
        <v>3580</v>
      </c>
    </row>
    <row r="301" spans="1:4" ht="63" customHeight="1" x14ac:dyDescent="0.25">
      <c r="A301" s="43" t="s">
        <v>1205</v>
      </c>
      <c r="B301" s="43" t="s">
        <v>4823</v>
      </c>
      <c r="C301" s="44" t="s">
        <v>483</v>
      </c>
      <c r="D301" s="45" t="s">
        <v>3581</v>
      </c>
    </row>
    <row r="302" spans="1:4" ht="31.5" customHeight="1" x14ac:dyDescent="0.25">
      <c r="A302" s="43" t="s">
        <v>1210</v>
      </c>
      <c r="B302" s="43" t="s">
        <v>4824</v>
      </c>
      <c r="C302" s="44" t="s">
        <v>924</v>
      </c>
      <c r="D302" s="45" t="s">
        <v>3582</v>
      </c>
    </row>
    <row r="303" spans="1:4" ht="31.5" customHeight="1" x14ac:dyDescent="0.25">
      <c r="A303" s="43" t="s">
        <v>1214</v>
      </c>
      <c r="B303" s="43" t="s">
        <v>4825</v>
      </c>
      <c r="C303" s="44" t="s">
        <v>1441</v>
      </c>
      <c r="D303" s="45" t="s">
        <v>3583</v>
      </c>
    </row>
    <row r="304" spans="1:4" ht="31.5" customHeight="1" x14ac:dyDescent="0.25">
      <c r="A304" s="43" t="s">
        <v>1217</v>
      </c>
      <c r="B304" s="43" t="s">
        <v>4826</v>
      </c>
      <c r="C304" s="44" t="s">
        <v>1106</v>
      </c>
      <c r="D304" s="45" t="s">
        <v>3584</v>
      </c>
    </row>
    <row r="305" spans="1:4" ht="47.25" customHeight="1" x14ac:dyDescent="0.25">
      <c r="A305" s="43" t="s">
        <v>1220</v>
      </c>
      <c r="B305" s="43" t="s">
        <v>4827</v>
      </c>
      <c r="C305" s="44" t="s">
        <v>1106</v>
      </c>
      <c r="D305" s="45" t="s">
        <v>3585</v>
      </c>
    </row>
    <row r="306" spans="1:4" ht="31.5" customHeight="1" x14ac:dyDescent="0.25">
      <c r="A306" s="43" t="s">
        <v>1223</v>
      </c>
      <c r="B306" s="43" t="s">
        <v>4828</v>
      </c>
      <c r="C306" s="44" t="s">
        <v>1300</v>
      </c>
      <c r="D306" s="45" t="s">
        <v>3586</v>
      </c>
    </row>
    <row r="307" spans="1:4" ht="31.5" customHeight="1" x14ac:dyDescent="0.25">
      <c r="A307" s="43" t="s">
        <v>1226</v>
      </c>
      <c r="B307" s="43" t="s">
        <v>4829</v>
      </c>
      <c r="C307" s="44" t="s">
        <v>374</v>
      </c>
      <c r="D307" s="45" t="s">
        <v>3587</v>
      </c>
    </row>
    <row r="308" spans="1:4" ht="31.5" customHeight="1" x14ac:dyDescent="0.25">
      <c r="A308" s="43" t="s">
        <v>1231</v>
      </c>
      <c r="B308" s="43" t="s">
        <v>4830</v>
      </c>
      <c r="C308" s="44" t="s">
        <v>4831</v>
      </c>
      <c r="D308" s="45" t="s">
        <v>3588</v>
      </c>
    </row>
    <row r="309" spans="1:4" ht="31.5" customHeight="1" x14ac:dyDescent="0.25">
      <c r="A309" s="43" t="s">
        <v>1236</v>
      </c>
      <c r="B309" s="43" t="s">
        <v>4832</v>
      </c>
      <c r="C309" s="44" t="s">
        <v>583</v>
      </c>
      <c r="D309" s="45" t="s">
        <v>3589</v>
      </c>
    </row>
    <row r="310" spans="1:4" ht="47.25" customHeight="1" x14ac:dyDescent="0.25">
      <c r="A310" s="43" t="s">
        <v>1241</v>
      </c>
      <c r="B310" s="43" t="s">
        <v>4833</v>
      </c>
      <c r="C310" s="44" t="s">
        <v>1477</v>
      </c>
      <c r="D310" s="45" t="s">
        <v>3590</v>
      </c>
    </row>
    <row r="311" spans="1:4" ht="63" customHeight="1" x14ac:dyDescent="0.25">
      <c r="A311" s="43" t="s">
        <v>1245</v>
      </c>
      <c r="B311" s="43" t="s">
        <v>4834</v>
      </c>
      <c r="C311" s="44" t="s">
        <v>119</v>
      </c>
      <c r="D311" s="45" t="s">
        <v>3591</v>
      </c>
    </row>
    <row r="312" spans="1:4" ht="63" customHeight="1" x14ac:dyDescent="0.25">
      <c r="A312" s="43" t="s">
        <v>1250</v>
      </c>
      <c r="B312" s="43" t="s">
        <v>4835</v>
      </c>
      <c r="C312" s="44" t="s">
        <v>144</v>
      </c>
      <c r="D312" s="45" t="s">
        <v>3592</v>
      </c>
    </row>
    <row r="313" spans="1:4" ht="47.25" customHeight="1" x14ac:dyDescent="0.25">
      <c r="A313" s="43" t="s">
        <v>1254</v>
      </c>
      <c r="B313" s="43" t="s">
        <v>4836</v>
      </c>
      <c r="C313" s="44" t="s">
        <v>924</v>
      </c>
      <c r="D313" s="45" t="s">
        <v>3593</v>
      </c>
    </row>
    <row r="314" spans="1:4" ht="47.25" customHeight="1" x14ac:dyDescent="0.25">
      <c r="A314" s="43" t="s">
        <v>1258</v>
      </c>
      <c r="B314" s="43" t="s">
        <v>4837</v>
      </c>
      <c r="C314" s="44" t="s">
        <v>4838</v>
      </c>
      <c r="D314" s="45" t="s">
        <v>3594</v>
      </c>
    </row>
    <row r="315" spans="1:4" ht="47.25" customHeight="1" x14ac:dyDescent="0.25">
      <c r="A315" s="43" t="s">
        <v>1263</v>
      </c>
      <c r="B315" s="43" t="s">
        <v>4839</v>
      </c>
      <c r="C315" s="44" t="s">
        <v>4840</v>
      </c>
      <c r="D315" s="45" t="s">
        <v>3595</v>
      </c>
    </row>
    <row r="316" spans="1:4" ht="31.5" customHeight="1" x14ac:dyDescent="0.25">
      <c r="A316" s="43" t="s">
        <v>1267</v>
      </c>
      <c r="B316" s="43" t="s">
        <v>4841</v>
      </c>
      <c r="C316" s="44" t="s">
        <v>1477</v>
      </c>
      <c r="D316" s="45" t="s">
        <v>3596</v>
      </c>
    </row>
    <row r="317" spans="1:4" ht="47.25" customHeight="1" x14ac:dyDescent="0.25">
      <c r="A317" s="43" t="s">
        <v>1271</v>
      </c>
      <c r="B317" s="43" t="s">
        <v>4842</v>
      </c>
      <c r="C317" s="44" t="s">
        <v>4843</v>
      </c>
      <c r="D317" s="45" t="s">
        <v>3597</v>
      </c>
    </row>
    <row r="318" spans="1:4" ht="31.5" customHeight="1" x14ac:dyDescent="0.25">
      <c r="A318" s="43" t="s">
        <v>1276</v>
      </c>
      <c r="B318" s="43" t="s">
        <v>4844</v>
      </c>
      <c r="C318" s="44" t="s">
        <v>1353</v>
      </c>
      <c r="D318" s="45" t="s">
        <v>3598</v>
      </c>
    </row>
    <row r="319" spans="1:4" ht="47.25" customHeight="1" x14ac:dyDescent="0.25">
      <c r="A319" s="43" t="s">
        <v>1282</v>
      </c>
      <c r="B319" s="43" t="s">
        <v>4845</v>
      </c>
      <c r="C319" s="44" t="s">
        <v>4612</v>
      </c>
      <c r="D319" s="45" t="s">
        <v>3599</v>
      </c>
    </row>
    <row r="320" spans="1:4" ht="31.5" customHeight="1" x14ac:dyDescent="0.25">
      <c r="A320" s="43" t="s">
        <v>1286</v>
      </c>
      <c r="B320" s="43" t="s">
        <v>4846</v>
      </c>
      <c r="C320" s="44" t="s">
        <v>1427</v>
      </c>
      <c r="D320" s="45" t="s">
        <v>3600</v>
      </c>
    </row>
    <row r="321" spans="1:4" ht="31.5" customHeight="1" x14ac:dyDescent="0.25">
      <c r="A321" s="43" t="s">
        <v>1290</v>
      </c>
      <c r="B321" s="43" t="s">
        <v>4847</v>
      </c>
      <c r="C321" s="44" t="s">
        <v>1106</v>
      </c>
      <c r="D321" s="45" t="s">
        <v>3601</v>
      </c>
    </row>
    <row r="322" spans="1:4" ht="94.5" customHeight="1" x14ac:dyDescent="0.25">
      <c r="A322" s="43" t="s">
        <v>1294</v>
      </c>
      <c r="B322" s="43" t="s">
        <v>4848</v>
      </c>
      <c r="C322" s="44" t="s">
        <v>2061</v>
      </c>
      <c r="D322" s="45" t="s">
        <v>3602</v>
      </c>
    </row>
    <row r="323" spans="1:4" ht="31.5" customHeight="1" x14ac:dyDescent="0.25">
      <c r="A323" s="43" t="s">
        <v>1298</v>
      </c>
      <c r="B323" s="43" t="s">
        <v>4849</v>
      </c>
      <c r="C323" s="44" t="s">
        <v>4850</v>
      </c>
      <c r="D323" s="45" t="s">
        <v>3603</v>
      </c>
    </row>
    <row r="324" spans="1:4" ht="47.25" customHeight="1" x14ac:dyDescent="0.25">
      <c r="A324" s="43" t="s">
        <v>1303</v>
      </c>
      <c r="B324" s="43" t="s">
        <v>4851</v>
      </c>
      <c r="C324" s="44" t="s">
        <v>924</v>
      </c>
      <c r="D324" s="45" t="s">
        <v>3604</v>
      </c>
    </row>
    <row r="325" spans="1:4" ht="47.25" customHeight="1" x14ac:dyDescent="0.25">
      <c r="A325" s="43" t="s">
        <v>1307</v>
      </c>
      <c r="B325" s="43" t="s">
        <v>4852</v>
      </c>
      <c r="C325" s="44" t="s">
        <v>1321</v>
      </c>
      <c r="D325" s="45" t="s">
        <v>3605</v>
      </c>
    </row>
    <row r="326" spans="1:4" ht="31.5" customHeight="1" x14ac:dyDescent="0.25">
      <c r="A326" s="43" t="s">
        <v>1311</v>
      </c>
      <c r="B326" s="43" t="s">
        <v>4853</v>
      </c>
      <c r="C326" s="44" t="s">
        <v>379</v>
      </c>
      <c r="D326" s="45" t="s">
        <v>3606</v>
      </c>
    </row>
    <row r="327" spans="1:4" ht="63" customHeight="1" x14ac:dyDescent="0.25">
      <c r="A327" s="43" t="s">
        <v>1315</v>
      </c>
      <c r="B327" s="43" t="s">
        <v>4854</v>
      </c>
      <c r="C327" s="44" t="s">
        <v>2039</v>
      </c>
      <c r="D327" s="45" t="s">
        <v>3607</v>
      </c>
    </row>
    <row r="328" spans="1:4" ht="31.5" customHeight="1" x14ac:dyDescent="0.25">
      <c r="A328" s="43" t="s">
        <v>1319</v>
      </c>
      <c r="B328" s="43" t="s">
        <v>4855</v>
      </c>
      <c r="C328" s="44" t="s">
        <v>2132</v>
      </c>
      <c r="D328" s="45" t="s">
        <v>3608</v>
      </c>
    </row>
    <row r="329" spans="1:4" ht="47.25" customHeight="1" x14ac:dyDescent="0.25">
      <c r="A329" s="43" t="s">
        <v>1324</v>
      </c>
      <c r="B329" s="43" t="s">
        <v>4856</v>
      </c>
      <c r="C329" s="44" t="s">
        <v>1329</v>
      </c>
      <c r="D329" s="45" t="s">
        <v>3609</v>
      </c>
    </row>
    <row r="330" spans="1:4" ht="31.5" customHeight="1" x14ac:dyDescent="0.25">
      <c r="A330" s="43" t="s">
        <v>1327</v>
      </c>
      <c r="B330" s="43" t="s">
        <v>4857</v>
      </c>
      <c r="C330" s="44" t="s">
        <v>4858</v>
      </c>
      <c r="D330" s="45" t="s">
        <v>3610</v>
      </c>
    </row>
    <row r="331" spans="1:4" ht="31.5" customHeight="1" x14ac:dyDescent="0.25">
      <c r="A331" s="43" t="s">
        <v>1332</v>
      </c>
      <c r="B331" s="43" t="s">
        <v>4859</v>
      </c>
      <c r="C331" s="44" t="s">
        <v>269</v>
      </c>
      <c r="D331" s="45" t="s">
        <v>3611</v>
      </c>
    </row>
    <row r="332" spans="1:4" ht="47.25" customHeight="1" x14ac:dyDescent="0.25">
      <c r="A332" s="43" t="s">
        <v>1336</v>
      </c>
      <c r="B332" s="43" t="s">
        <v>4860</v>
      </c>
      <c r="C332" s="44" t="s">
        <v>4433</v>
      </c>
      <c r="D332" s="45" t="s">
        <v>3612</v>
      </c>
    </row>
    <row r="333" spans="1:4" ht="47.25" customHeight="1" x14ac:dyDescent="0.25">
      <c r="A333" s="43" t="s">
        <v>1341</v>
      </c>
      <c r="B333" s="43" t="s">
        <v>4861</v>
      </c>
      <c r="C333" s="44" t="s">
        <v>1733</v>
      </c>
      <c r="D333" s="45" t="s">
        <v>3613</v>
      </c>
    </row>
    <row r="334" spans="1:4" ht="47.25" customHeight="1" x14ac:dyDescent="0.25">
      <c r="A334" s="43" t="s">
        <v>1347</v>
      </c>
      <c r="B334" s="43" t="s">
        <v>4862</v>
      </c>
      <c r="C334" s="44" t="s">
        <v>1353</v>
      </c>
      <c r="D334" s="45" t="s">
        <v>3614</v>
      </c>
    </row>
    <row r="335" spans="1:4" ht="47.25" customHeight="1" x14ac:dyDescent="0.25">
      <c r="A335" s="43" t="s">
        <v>1351</v>
      </c>
      <c r="B335" s="43" t="s">
        <v>4863</v>
      </c>
      <c r="C335" s="44" t="s">
        <v>1477</v>
      </c>
      <c r="D335" s="45" t="s">
        <v>3615</v>
      </c>
    </row>
    <row r="336" spans="1:4" ht="47.25" customHeight="1" x14ac:dyDescent="0.25">
      <c r="A336" s="43" t="s">
        <v>1356</v>
      </c>
      <c r="B336" s="43" t="s">
        <v>4864</v>
      </c>
      <c r="C336" s="44" t="s">
        <v>1585</v>
      </c>
      <c r="D336" s="45" t="s">
        <v>3616</v>
      </c>
    </row>
    <row r="337" spans="1:4" ht="31.5" customHeight="1" x14ac:dyDescent="0.25">
      <c r="A337" s="43" t="s">
        <v>1359</v>
      </c>
      <c r="B337" s="43" t="s">
        <v>4865</v>
      </c>
      <c r="C337" s="44" t="s">
        <v>942</v>
      </c>
      <c r="D337" s="45" t="s">
        <v>3617</v>
      </c>
    </row>
    <row r="338" spans="1:4" ht="47.25" customHeight="1" x14ac:dyDescent="0.25">
      <c r="A338" s="43" t="s">
        <v>1363</v>
      </c>
      <c r="B338" s="43" t="s">
        <v>4866</v>
      </c>
      <c r="C338" s="44" t="s">
        <v>4867</v>
      </c>
      <c r="D338" s="45" t="s">
        <v>3618</v>
      </c>
    </row>
    <row r="339" spans="1:4" ht="47.25" customHeight="1" x14ac:dyDescent="0.25">
      <c r="A339" s="43" t="s">
        <v>1368</v>
      </c>
      <c r="B339" s="43" t="s">
        <v>4868</v>
      </c>
      <c r="C339" s="44" t="s">
        <v>123</v>
      </c>
      <c r="D339" s="45" t="s">
        <v>3619</v>
      </c>
    </row>
    <row r="340" spans="1:4" ht="31.5" customHeight="1" x14ac:dyDescent="0.25">
      <c r="A340" s="43" t="s">
        <v>1372</v>
      </c>
      <c r="B340" s="43" t="s">
        <v>4869</v>
      </c>
      <c r="C340" s="44" t="s">
        <v>4870</v>
      </c>
      <c r="D340" s="45" t="s">
        <v>3620</v>
      </c>
    </row>
    <row r="341" spans="1:4" ht="31.5" customHeight="1" x14ac:dyDescent="0.25">
      <c r="A341" s="43" t="s">
        <v>1377</v>
      </c>
      <c r="B341" s="43" t="s">
        <v>4871</v>
      </c>
      <c r="C341" s="44" t="s">
        <v>3048</v>
      </c>
      <c r="D341" s="45" t="s">
        <v>3621</v>
      </c>
    </row>
    <row r="342" spans="1:4" ht="31.5" customHeight="1" x14ac:dyDescent="0.25">
      <c r="A342" s="43" t="s">
        <v>1382</v>
      </c>
      <c r="B342" s="43" t="s">
        <v>4872</v>
      </c>
      <c r="C342" s="44" t="s">
        <v>4873</v>
      </c>
      <c r="D342" s="45" t="s">
        <v>3622</v>
      </c>
    </row>
    <row r="343" spans="1:4" ht="47.25" customHeight="1" x14ac:dyDescent="0.25">
      <c r="A343" s="43" t="s">
        <v>1386</v>
      </c>
      <c r="B343" s="43" t="s">
        <v>4874</v>
      </c>
      <c r="C343" s="44" t="s">
        <v>4875</v>
      </c>
      <c r="D343" s="45" t="s">
        <v>3623</v>
      </c>
    </row>
    <row r="344" spans="1:4" ht="31.5" customHeight="1" x14ac:dyDescent="0.25">
      <c r="A344" s="43" t="s">
        <v>1390</v>
      </c>
      <c r="B344" s="43" t="s">
        <v>4876</v>
      </c>
      <c r="C344" s="44" t="s">
        <v>652</v>
      </c>
      <c r="D344" s="45" t="s">
        <v>3624</v>
      </c>
    </row>
    <row r="345" spans="1:4" ht="31.5" customHeight="1" x14ac:dyDescent="0.25">
      <c r="A345" s="43" t="s">
        <v>1394</v>
      </c>
      <c r="B345" s="43" t="s">
        <v>4877</v>
      </c>
      <c r="C345" s="44" t="s">
        <v>652</v>
      </c>
      <c r="D345" s="45" t="s">
        <v>3625</v>
      </c>
    </row>
    <row r="346" spans="1:4" ht="63" customHeight="1" x14ac:dyDescent="0.25">
      <c r="A346" s="43" t="s">
        <v>1398</v>
      </c>
      <c r="B346" s="43" t="s">
        <v>4878</v>
      </c>
      <c r="C346" s="44" t="s">
        <v>1874</v>
      </c>
      <c r="D346" s="45" t="s">
        <v>3626</v>
      </c>
    </row>
    <row r="347" spans="1:4" ht="47.25" customHeight="1" x14ac:dyDescent="0.25">
      <c r="A347" s="43" t="s">
        <v>1402</v>
      </c>
      <c r="B347" s="43" t="s">
        <v>4879</v>
      </c>
      <c r="C347" s="44" t="s">
        <v>4880</v>
      </c>
      <c r="D347" s="45" t="s">
        <v>3627</v>
      </c>
    </row>
    <row r="348" spans="1:4" ht="47.25" customHeight="1" x14ac:dyDescent="0.25">
      <c r="A348" s="43" t="s">
        <v>1407</v>
      </c>
      <c r="B348" s="43" t="s">
        <v>4881</v>
      </c>
      <c r="C348" s="44" t="s">
        <v>4882</v>
      </c>
      <c r="D348" s="45" t="s">
        <v>3628</v>
      </c>
    </row>
    <row r="349" spans="1:4" ht="47.25" customHeight="1" x14ac:dyDescent="0.25">
      <c r="A349" s="43" t="s">
        <v>1412</v>
      </c>
      <c r="B349" s="43" t="s">
        <v>4883</v>
      </c>
      <c r="C349" s="44" t="s">
        <v>2510</v>
      </c>
      <c r="D349" s="45" t="s">
        <v>3629</v>
      </c>
    </row>
    <row r="350" spans="1:4" ht="47.25" customHeight="1" x14ac:dyDescent="0.25">
      <c r="A350" s="43" t="s">
        <v>1417</v>
      </c>
      <c r="B350" s="43" t="s">
        <v>4884</v>
      </c>
      <c r="C350" s="44" t="s">
        <v>4885</v>
      </c>
      <c r="D350" s="45" t="s">
        <v>3630</v>
      </c>
    </row>
    <row r="351" spans="1:4" ht="63" customHeight="1" x14ac:dyDescent="0.25">
      <c r="A351" s="43" t="s">
        <v>1421</v>
      </c>
      <c r="B351" s="43" t="s">
        <v>4886</v>
      </c>
      <c r="C351" s="44" t="s">
        <v>4885</v>
      </c>
      <c r="D351" s="45" t="s">
        <v>3631</v>
      </c>
    </row>
    <row r="352" spans="1:4" ht="63" customHeight="1" x14ac:dyDescent="0.25">
      <c r="A352" s="43" t="s">
        <v>1425</v>
      </c>
      <c r="B352" s="43" t="s">
        <v>4887</v>
      </c>
      <c r="C352" s="44" t="s">
        <v>4888</v>
      </c>
      <c r="D352" s="45" t="s">
        <v>3632</v>
      </c>
    </row>
    <row r="353" spans="1:4" ht="47.25" customHeight="1" x14ac:dyDescent="0.25">
      <c r="A353" s="43" t="s">
        <v>1430</v>
      </c>
      <c r="B353" s="43" t="s">
        <v>4889</v>
      </c>
      <c r="C353" s="44" t="s">
        <v>4890</v>
      </c>
      <c r="D353" s="45" t="s">
        <v>3633</v>
      </c>
    </row>
    <row r="354" spans="1:4" ht="63" customHeight="1" x14ac:dyDescent="0.25">
      <c r="A354" s="43" t="s">
        <v>1435</v>
      </c>
      <c r="B354" s="43" t="s">
        <v>4891</v>
      </c>
      <c r="C354" s="44" t="s">
        <v>494</v>
      </c>
      <c r="D354" s="45" t="s">
        <v>3634</v>
      </c>
    </row>
    <row r="355" spans="1:4" ht="78.75" customHeight="1" x14ac:dyDescent="0.25">
      <c r="A355" s="43" t="s">
        <v>1439</v>
      </c>
      <c r="B355" s="43" t="s">
        <v>4892</v>
      </c>
      <c r="C355" s="44" t="s">
        <v>657</v>
      </c>
      <c r="D355" s="45" t="s">
        <v>3635</v>
      </c>
    </row>
    <row r="356" spans="1:4" ht="31.5" customHeight="1" x14ac:dyDescent="0.25">
      <c r="A356" s="43" t="s">
        <v>1444</v>
      </c>
      <c r="B356" s="43" t="s">
        <v>4893</v>
      </c>
      <c r="C356" s="44" t="s">
        <v>548</v>
      </c>
      <c r="D356" s="45" t="s">
        <v>3636</v>
      </c>
    </row>
    <row r="357" spans="1:4" ht="78.75" customHeight="1" x14ac:dyDescent="0.25">
      <c r="A357" s="43" t="s">
        <v>1448</v>
      </c>
      <c r="B357" s="43" t="s">
        <v>4894</v>
      </c>
      <c r="C357" s="44" t="s">
        <v>604</v>
      </c>
      <c r="D357" s="45" t="s">
        <v>3637</v>
      </c>
    </row>
    <row r="358" spans="1:4" ht="47.25" customHeight="1" x14ac:dyDescent="0.25">
      <c r="A358" s="43" t="s">
        <v>1452</v>
      </c>
      <c r="B358" s="43" t="s">
        <v>4895</v>
      </c>
      <c r="C358" s="44" t="s">
        <v>4896</v>
      </c>
      <c r="D358" s="45" t="s">
        <v>3638</v>
      </c>
    </row>
    <row r="359" spans="1:4" ht="31.5" customHeight="1" x14ac:dyDescent="0.25">
      <c r="A359" s="43" t="s">
        <v>1457</v>
      </c>
      <c r="B359" s="43" t="s">
        <v>4897</v>
      </c>
      <c r="C359" s="44" t="s">
        <v>4593</v>
      </c>
      <c r="D359" s="45" t="s">
        <v>3639</v>
      </c>
    </row>
    <row r="360" spans="1:4" ht="78.75" customHeight="1" x14ac:dyDescent="0.25">
      <c r="A360" s="43" t="s">
        <v>1461</v>
      </c>
      <c r="B360" s="43" t="s">
        <v>4898</v>
      </c>
      <c r="C360" s="44" t="s">
        <v>233</v>
      </c>
      <c r="D360" s="45" t="s">
        <v>3640</v>
      </c>
    </row>
    <row r="361" spans="1:4" ht="31.5" customHeight="1" x14ac:dyDescent="0.25">
      <c r="A361" s="43" t="s">
        <v>1465</v>
      </c>
      <c r="B361" s="43" t="s">
        <v>4899</v>
      </c>
      <c r="C361" s="44" t="s">
        <v>4900</v>
      </c>
      <c r="D361" s="45" t="s">
        <v>3641</v>
      </c>
    </row>
    <row r="362" spans="1:4" ht="47.25" customHeight="1" x14ac:dyDescent="0.25">
      <c r="A362" s="43" t="s">
        <v>1470</v>
      </c>
      <c r="B362" s="43" t="s">
        <v>4901</v>
      </c>
      <c r="C362" s="44" t="s">
        <v>4900</v>
      </c>
      <c r="D362" s="45" t="s">
        <v>3642</v>
      </c>
    </row>
    <row r="363" spans="1:4" ht="31.5" customHeight="1" x14ac:dyDescent="0.25">
      <c r="A363" s="43" t="s">
        <v>1475</v>
      </c>
      <c r="B363" s="43" t="s">
        <v>4902</v>
      </c>
      <c r="C363" s="44" t="s">
        <v>4743</v>
      </c>
      <c r="D363" s="45" t="s">
        <v>3643</v>
      </c>
    </row>
    <row r="364" spans="1:4" ht="63" customHeight="1" x14ac:dyDescent="0.25">
      <c r="A364" s="43" t="s">
        <v>1480</v>
      </c>
      <c r="B364" s="43" t="s">
        <v>4903</v>
      </c>
      <c r="C364" s="54" t="s">
        <v>4904</v>
      </c>
      <c r="D364" s="45" t="s">
        <v>3644</v>
      </c>
    </row>
    <row r="365" spans="1:4" ht="78.75" customHeight="1" x14ac:dyDescent="0.25">
      <c r="A365" s="43" t="s">
        <v>1485</v>
      </c>
      <c r="B365" s="43" t="s">
        <v>4905</v>
      </c>
      <c r="C365" s="44" t="s">
        <v>260</v>
      </c>
      <c r="D365" s="45" t="s">
        <v>3645</v>
      </c>
    </row>
    <row r="366" spans="1:4" ht="63" customHeight="1" x14ac:dyDescent="0.25">
      <c r="A366" s="43" t="s">
        <v>1490</v>
      </c>
      <c r="B366" s="43" t="s">
        <v>4906</v>
      </c>
      <c r="C366" s="44" t="s">
        <v>1733</v>
      </c>
      <c r="D366" s="45" t="s">
        <v>3646</v>
      </c>
    </row>
    <row r="367" spans="1:4" ht="31.5" customHeight="1" x14ac:dyDescent="0.25">
      <c r="A367" s="43" t="s">
        <v>1496</v>
      </c>
      <c r="B367" s="43" t="s">
        <v>4907</v>
      </c>
      <c r="C367" s="44" t="s">
        <v>4908</v>
      </c>
      <c r="D367" s="45" t="s">
        <v>3647</v>
      </c>
    </row>
    <row r="368" spans="1:4" ht="31.5" customHeight="1" x14ac:dyDescent="0.25">
      <c r="A368" s="43" t="s">
        <v>1501</v>
      </c>
      <c r="B368" s="43" t="s">
        <v>4909</v>
      </c>
      <c r="C368" s="44" t="s">
        <v>162</v>
      </c>
      <c r="D368" s="45" t="s">
        <v>3648</v>
      </c>
    </row>
    <row r="369" spans="1:4" ht="31.5" customHeight="1" x14ac:dyDescent="0.25">
      <c r="A369" s="43" t="s">
        <v>1506</v>
      </c>
      <c r="B369" s="43" t="s">
        <v>4910</v>
      </c>
      <c r="C369" s="44" t="s">
        <v>4911</v>
      </c>
      <c r="D369" s="45" t="s">
        <v>3649</v>
      </c>
    </row>
    <row r="370" spans="1:4" ht="47.25" customHeight="1" x14ac:dyDescent="0.25">
      <c r="A370" s="43" t="s">
        <v>1510</v>
      </c>
      <c r="B370" s="43" t="s">
        <v>4912</v>
      </c>
      <c r="C370" s="44" t="s">
        <v>403</v>
      </c>
      <c r="D370" s="45" t="s">
        <v>3650</v>
      </c>
    </row>
    <row r="371" spans="1:4" ht="47.25" customHeight="1" x14ac:dyDescent="0.25">
      <c r="A371" s="43" t="s">
        <v>1514</v>
      </c>
      <c r="B371" s="43" t="s">
        <v>4913</v>
      </c>
      <c r="C371" s="44" t="s">
        <v>4914</v>
      </c>
      <c r="D371" s="45" t="s">
        <v>3651</v>
      </c>
    </row>
    <row r="372" spans="1:4" ht="31.5" customHeight="1" x14ac:dyDescent="0.25">
      <c r="A372" s="43" t="s">
        <v>1518</v>
      </c>
      <c r="B372" s="43" t="s">
        <v>4915</v>
      </c>
      <c r="C372" s="44" t="s">
        <v>519</v>
      </c>
      <c r="D372" s="45" t="s">
        <v>3652</v>
      </c>
    </row>
    <row r="373" spans="1:4" ht="31.5" customHeight="1" x14ac:dyDescent="0.25">
      <c r="A373" s="43" t="s">
        <v>1522</v>
      </c>
      <c r="B373" s="43" t="s">
        <v>4916</v>
      </c>
      <c r="C373" s="44" t="s">
        <v>4486</v>
      </c>
      <c r="D373" s="45" t="s">
        <v>3653</v>
      </c>
    </row>
    <row r="374" spans="1:4" ht="30.75" customHeight="1" x14ac:dyDescent="0.25">
      <c r="A374" s="43" t="s">
        <v>1526</v>
      </c>
      <c r="B374" s="43" t="s">
        <v>4917</v>
      </c>
      <c r="C374" s="44" t="s">
        <v>652</v>
      </c>
      <c r="D374" s="45" t="s">
        <v>3654</v>
      </c>
    </row>
    <row r="375" spans="1:4" ht="31.5" customHeight="1" x14ac:dyDescent="0.25">
      <c r="A375" s="43" t="s">
        <v>1531</v>
      </c>
      <c r="B375" s="43" t="s">
        <v>4918</v>
      </c>
      <c r="C375" s="44" t="s">
        <v>4593</v>
      </c>
      <c r="D375" s="45" t="s">
        <v>3655</v>
      </c>
    </row>
    <row r="376" spans="1:4" ht="31.5" customHeight="1" x14ac:dyDescent="0.25">
      <c r="A376" s="43" t="s">
        <v>1536</v>
      </c>
      <c r="B376" s="43" t="s">
        <v>4919</v>
      </c>
      <c r="C376" s="44" t="s">
        <v>4890</v>
      </c>
      <c r="D376" s="45" t="s">
        <v>3656</v>
      </c>
    </row>
    <row r="377" spans="1:4" ht="31.5" customHeight="1" x14ac:dyDescent="0.25">
      <c r="A377" s="43" t="s">
        <v>1541</v>
      </c>
      <c r="B377" s="43" t="s">
        <v>4920</v>
      </c>
      <c r="C377" s="44" t="s">
        <v>1197</v>
      </c>
      <c r="D377" s="45" t="s">
        <v>3657</v>
      </c>
    </row>
    <row r="378" spans="1:4" ht="63" customHeight="1" x14ac:dyDescent="0.25">
      <c r="A378" s="43" t="s">
        <v>1545</v>
      </c>
      <c r="B378" s="43" t="s">
        <v>4921</v>
      </c>
      <c r="C378" s="44" t="s">
        <v>324</v>
      </c>
      <c r="D378" s="45" t="s">
        <v>3658</v>
      </c>
    </row>
    <row r="379" spans="1:4" ht="47.25" customHeight="1" x14ac:dyDescent="0.25">
      <c r="A379" s="43" t="s">
        <v>1548</v>
      </c>
      <c r="B379" s="43" t="s">
        <v>4922</v>
      </c>
      <c r="C379" s="44" t="s">
        <v>4923</v>
      </c>
      <c r="D379" s="45" t="s">
        <v>3659</v>
      </c>
    </row>
    <row r="380" spans="1:4" ht="47.25" customHeight="1" x14ac:dyDescent="0.25">
      <c r="A380" s="43" t="s">
        <v>1553</v>
      </c>
      <c r="B380" s="43" t="s">
        <v>4924</v>
      </c>
      <c r="C380" s="44" t="s">
        <v>126</v>
      </c>
      <c r="D380" s="45" t="s">
        <v>3660</v>
      </c>
    </row>
    <row r="381" spans="1:4" ht="31.5" customHeight="1" x14ac:dyDescent="0.25">
      <c r="A381" s="43" t="s">
        <v>1557</v>
      </c>
      <c r="B381" s="43" t="s">
        <v>4925</v>
      </c>
      <c r="C381" s="44" t="s">
        <v>4926</v>
      </c>
      <c r="D381" s="45" t="s">
        <v>3661</v>
      </c>
    </row>
    <row r="382" spans="1:4" ht="31.5" customHeight="1" x14ac:dyDescent="0.25">
      <c r="A382" s="43" t="s">
        <v>1561</v>
      </c>
      <c r="B382" s="43" t="s">
        <v>4927</v>
      </c>
      <c r="C382" s="44" t="s">
        <v>3043</v>
      </c>
      <c r="D382" s="45" t="s">
        <v>3662</v>
      </c>
    </row>
    <row r="383" spans="1:4" ht="31.5" customHeight="1" x14ac:dyDescent="0.25">
      <c r="A383" s="43" t="s">
        <v>1566</v>
      </c>
      <c r="B383" s="43" t="s">
        <v>4928</v>
      </c>
      <c r="C383" s="44" t="s">
        <v>757</v>
      </c>
      <c r="D383" s="45" t="s">
        <v>3663</v>
      </c>
    </row>
    <row r="384" spans="1:4" ht="47.25" customHeight="1" x14ac:dyDescent="0.25">
      <c r="A384" s="43" t="s">
        <v>1571</v>
      </c>
      <c r="B384" s="43" t="s">
        <v>4929</v>
      </c>
      <c r="C384" s="44" t="s">
        <v>4885</v>
      </c>
      <c r="D384" s="45" t="s">
        <v>3664</v>
      </c>
    </row>
    <row r="385" spans="1:4" ht="47.25" customHeight="1" x14ac:dyDescent="0.25">
      <c r="A385" s="43" t="s">
        <v>1575</v>
      </c>
      <c r="B385" s="43" t="s">
        <v>4930</v>
      </c>
      <c r="C385" s="44" t="s">
        <v>4885</v>
      </c>
      <c r="D385" s="45" t="s">
        <v>3665</v>
      </c>
    </row>
    <row r="386" spans="1:4" ht="31.5" customHeight="1" x14ac:dyDescent="0.25">
      <c r="A386" s="43" t="s">
        <v>1579</v>
      </c>
      <c r="B386" s="43" t="s">
        <v>4931</v>
      </c>
      <c r="C386" s="44" t="s">
        <v>4880</v>
      </c>
      <c r="D386" s="45" t="s">
        <v>3666</v>
      </c>
    </row>
    <row r="387" spans="1:4" ht="47.25" customHeight="1" x14ac:dyDescent="0.25">
      <c r="A387" s="43" t="s">
        <v>1583</v>
      </c>
      <c r="B387" s="43" t="s">
        <v>4932</v>
      </c>
      <c r="C387" s="44" t="s">
        <v>4486</v>
      </c>
      <c r="D387" s="45" t="s">
        <v>3667</v>
      </c>
    </row>
    <row r="388" spans="1:4" ht="31.5" customHeight="1" x14ac:dyDescent="0.25">
      <c r="A388" s="43" t="s">
        <v>1588</v>
      </c>
      <c r="B388" s="43" t="s">
        <v>4933</v>
      </c>
      <c r="C388" s="44" t="s">
        <v>757</v>
      </c>
      <c r="D388" s="45" t="s">
        <v>3668</v>
      </c>
    </row>
    <row r="389" spans="1:4" ht="47.25" customHeight="1" x14ac:dyDescent="0.25">
      <c r="A389" s="43" t="s">
        <v>1593</v>
      </c>
      <c r="B389" s="43" t="s">
        <v>4934</v>
      </c>
      <c r="C389" s="44" t="s">
        <v>396</v>
      </c>
      <c r="D389" s="45" t="s">
        <v>3669</v>
      </c>
    </row>
    <row r="390" spans="1:4" ht="31.5" customHeight="1" x14ac:dyDescent="0.25">
      <c r="A390" s="43" t="s">
        <v>1599</v>
      </c>
      <c r="B390" s="43" t="s">
        <v>4935</v>
      </c>
      <c r="C390" s="44" t="s">
        <v>2829</v>
      </c>
      <c r="D390" s="45" t="s">
        <v>3670</v>
      </c>
    </row>
    <row r="391" spans="1:4" ht="63" customHeight="1" x14ac:dyDescent="0.25">
      <c r="A391" s="43" t="s">
        <v>1603</v>
      </c>
      <c r="B391" s="43" t="s">
        <v>4936</v>
      </c>
      <c r="C391" s="44" t="s">
        <v>2095</v>
      </c>
      <c r="D391" s="45" t="s">
        <v>3671</v>
      </c>
    </row>
    <row r="392" spans="1:4" ht="47.25" customHeight="1" x14ac:dyDescent="0.25">
      <c r="A392" s="43" t="s">
        <v>1607</v>
      </c>
      <c r="B392" s="43" t="s">
        <v>4937</v>
      </c>
      <c r="C392" s="44" t="s">
        <v>260</v>
      </c>
      <c r="D392" s="45" t="s">
        <v>3672</v>
      </c>
    </row>
    <row r="393" spans="1:4" ht="47.25" customHeight="1" x14ac:dyDescent="0.25">
      <c r="A393" s="43" t="s">
        <v>1611</v>
      </c>
      <c r="B393" s="43" t="s">
        <v>4938</v>
      </c>
      <c r="C393" s="44" t="s">
        <v>744</v>
      </c>
      <c r="D393" s="45" t="s">
        <v>3673</v>
      </c>
    </row>
    <row r="394" spans="1:4" ht="31.5" customHeight="1" x14ac:dyDescent="0.25">
      <c r="A394" s="43" t="s">
        <v>1615</v>
      </c>
      <c r="B394" s="43" t="s">
        <v>4939</v>
      </c>
      <c r="C394" s="44" t="s">
        <v>604</v>
      </c>
      <c r="D394" s="45" t="s">
        <v>3674</v>
      </c>
    </row>
    <row r="395" spans="1:4" ht="47.25" customHeight="1" x14ac:dyDescent="0.25">
      <c r="A395" s="43" t="s">
        <v>1619</v>
      </c>
      <c r="B395" s="43" t="s">
        <v>4940</v>
      </c>
      <c r="C395" s="44" t="s">
        <v>965</v>
      </c>
      <c r="D395" s="45" t="s">
        <v>3675</v>
      </c>
    </row>
    <row r="396" spans="1:4" ht="31.5" customHeight="1" x14ac:dyDescent="0.25">
      <c r="A396" s="43" t="s">
        <v>1623</v>
      </c>
      <c r="B396" s="43" t="s">
        <v>4941</v>
      </c>
      <c r="C396" s="44" t="s">
        <v>3075</v>
      </c>
      <c r="D396" s="45" t="s">
        <v>3676</v>
      </c>
    </row>
    <row r="397" spans="1:4" ht="63" customHeight="1" x14ac:dyDescent="0.25">
      <c r="A397" s="43" t="s">
        <v>1628</v>
      </c>
      <c r="B397" s="43" t="s">
        <v>4942</v>
      </c>
      <c r="C397" s="44" t="s">
        <v>4943</v>
      </c>
      <c r="D397" s="45" t="s">
        <v>3677</v>
      </c>
    </row>
    <row r="398" spans="1:4" ht="63" customHeight="1" x14ac:dyDescent="0.25">
      <c r="A398" s="43" t="s">
        <v>1632</v>
      </c>
      <c r="B398" s="43" t="s">
        <v>4944</v>
      </c>
      <c r="C398" s="44" t="s">
        <v>4945</v>
      </c>
      <c r="D398" s="45" t="s">
        <v>3678</v>
      </c>
    </row>
    <row r="399" spans="1:4" ht="47.25" customHeight="1" x14ac:dyDescent="0.25">
      <c r="A399" s="43" t="s">
        <v>1636</v>
      </c>
      <c r="B399" s="43" t="s">
        <v>4946</v>
      </c>
      <c r="C399" s="44" t="s">
        <v>560</v>
      </c>
      <c r="D399" s="45" t="s">
        <v>3679</v>
      </c>
    </row>
    <row r="400" spans="1:4" ht="31.5" customHeight="1" x14ac:dyDescent="0.25">
      <c r="A400" s="43" t="s">
        <v>1641</v>
      </c>
      <c r="B400" s="43" t="s">
        <v>4947</v>
      </c>
      <c r="C400" s="44" t="s">
        <v>76</v>
      </c>
      <c r="D400" s="45" t="s">
        <v>3680</v>
      </c>
    </row>
    <row r="401" spans="1:4" ht="47.25" customHeight="1" x14ac:dyDescent="0.25">
      <c r="A401" s="43" t="s">
        <v>1645</v>
      </c>
      <c r="B401" s="43" t="s">
        <v>4948</v>
      </c>
      <c r="C401" s="44" t="s">
        <v>4949</v>
      </c>
      <c r="D401" s="45" t="s">
        <v>3681</v>
      </c>
    </row>
    <row r="402" spans="1:4" ht="47.25" customHeight="1" x14ac:dyDescent="0.25">
      <c r="A402" s="43" t="s">
        <v>1649</v>
      </c>
      <c r="B402" s="43" t="s">
        <v>4950</v>
      </c>
      <c r="C402" s="44" t="s">
        <v>4654</v>
      </c>
      <c r="D402" s="45" t="s">
        <v>3682</v>
      </c>
    </row>
    <row r="403" spans="1:4" ht="63" customHeight="1" x14ac:dyDescent="0.25">
      <c r="A403" s="43" t="s">
        <v>1653</v>
      </c>
      <c r="B403" s="43" t="s">
        <v>4951</v>
      </c>
      <c r="C403" s="44" t="s">
        <v>1528</v>
      </c>
      <c r="D403" s="45" t="s">
        <v>3683</v>
      </c>
    </row>
    <row r="404" spans="1:4" ht="47.25" customHeight="1" x14ac:dyDescent="0.25">
      <c r="A404" s="43" t="s">
        <v>1657</v>
      </c>
      <c r="B404" s="43" t="s">
        <v>4952</v>
      </c>
      <c r="C404" s="44" t="s">
        <v>1052</v>
      </c>
      <c r="D404" s="45" t="s">
        <v>3684</v>
      </c>
    </row>
    <row r="405" spans="1:4" ht="31.5" customHeight="1" x14ac:dyDescent="0.25">
      <c r="A405" s="43" t="s">
        <v>1662</v>
      </c>
      <c r="B405" s="43" t="s">
        <v>4953</v>
      </c>
      <c r="C405" s="44" t="s">
        <v>2331</v>
      </c>
      <c r="D405" s="45" t="s">
        <v>3685</v>
      </c>
    </row>
    <row r="406" spans="1:4" ht="47.25" customHeight="1" x14ac:dyDescent="0.25">
      <c r="A406" s="43" t="s">
        <v>1668</v>
      </c>
      <c r="B406" s="43" t="s">
        <v>4954</v>
      </c>
      <c r="C406" s="44" t="s">
        <v>4955</v>
      </c>
      <c r="D406" s="45" t="s">
        <v>3686</v>
      </c>
    </row>
    <row r="407" spans="1:4" ht="47.25" customHeight="1" x14ac:dyDescent="0.25">
      <c r="A407" s="43" t="s">
        <v>1672</v>
      </c>
      <c r="B407" s="43" t="s">
        <v>4956</v>
      </c>
      <c r="C407" s="44" t="s">
        <v>2418</v>
      </c>
      <c r="D407" s="45" t="s">
        <v>3687</v>
      </c>
    </row>
    <row r="408" spans="1:4" ht="31.5" customHeight="1" x14ac:dyDescent="0.25">
      <c r="A408" s="43" t="s">
        <v>1677</v>
      </c>
      <c r="B408" s="43" t="s">
        <v>4957</v>
      </c>
      <c r="C408" s="44" t="s">
        <v>2783</v>
      </c>
      <c r="D408" s="45" t="s">
        <v>3688</v>
      </c>
    </row>
    <row r="409" spans="1:4" ht="63" customHeight="1" x14ac:dyDescent="0.25">
      <c r="A409" s="43" t="s">
        <v>1682</v>
      </c>
      <c r="B409" s="43" t="s">
        <v>4958</v>
      </c>
      <c r="C409" s="44" t="s">
        <v>4425</v>
      </c>
      <c r="D409" s="45" t="s">
        <v>3689</v>
      </c>
    </row>
    <row r="410" spans="1:4" ht="47.25" customHeight="1" x14ac:dyDescent="0.25">
      <c r="A410" s="43" t="s">
        <v>1687</v>
      </c>
      <c r="B410" s="43" t="s">
        <v>4959</v>
      </c>
      <c r="C410" s="44" t="s">
        <v>3123</v>
      </c>
      <c r="D410" s="45" t="s">
        <v>3690</v>
      </c>
    </row>
    <row r="411" spans="1:4" ht="47.25" customHeight="1" x14ac:dyDescent="0.25">
      <c r="A411" s="43" t="s">
        <v>1691</v>
      </c>
      <c r="B411" s="43" t="s">
        <v>4960</v>
      </c>
      <c r="C411" s="44" t="s">
        <v>4961</v>
      </c>
      <c r="D411" s="45" t="s">
        <v>3691</v>
      </c>
    </row>
    <row r="412" spans="1:4" ht="47.25" customHeight="1" x14ac:dyDescent="0.25">
      <c r="A412" s="43" t="s">
        <v>1696</v>
      </c>
      <c r="B412" s="43" t="s">
        <v>4962</v>
      </c>
      <c r="C412" s="44" t="s">
        <v>1835</v>
      </c>
      <c r="D412" s="45" t="s">
        <v>3692</v>
      </c>
    </row>
    <row r="413" spans="1:4" ht="31.5" customHeight="1" x14ac:dyDescent="0.25">
      <c r="A413" s="43" t="s">
        <v>1701</v>
      </c>
      <c r="B413" s="43" t="s">
        <v>4963</v>
      </c>
      <c r="C413" s="44" t="s">
        <v>1926</v>
      </c>
      <c r="D413" s="45" t="s">
        <v>3693</v>
      </c>
    </row>
    <row r="414" spans="1:4" ht="47.25" customHeight="1" x14ac:dyDescent="0.25">
      <c r="A414" s="43" t="s">
        <v>1706</v>
      </c>
      <c r="B414" s="43" t="s">
        <v>4964</v>
      </c>
      <c r="C414" s="44" t="s">
        <v>4885</v>
      </c>
      <c r="D414" s="45" t="s">
        <v>3694</v>
      </c>
    </row>
    <row r="415" spans="1:4" ht="31.5" customHeight="1" x14ac:dyDescent="0.25">
      <c r="A415" s="43" t="s">
        <v>1711</v>
      </c>
      <c r="B415" s="43" t="s">
        <v>4965</v>
      </c>
      <c r="C415" s="44" t="s">
        <v>1427</v>
      </c>
      <c r="D415" s="45" t="s">
        <v>3695</v>
      </c>
    </row>
    <row r="416" spans="1:4" ht="31.5" customHeight="1" x14ac:dyDescent="0.25">
      <c r="A416" s="43" t="s">
        <v>1715</v>
      </c>
      <c r="B416" s="43" t="s">
        <v>4966</v>
      </c>
      <c r="C416" s="44" t="s">
        <v>4926</v>
      </c>
      <c r="D416" s="45" t="s">
        <v>3696</v>
      </c>
    </row>
    <row r="417" spans="1:4" ht="47.25" customHeight="1" x14ac:dyDescent="0.25">
      <c r="A417" s="43" t="s">
        <v>1719</v>
      </c>
      <c r="B417" s="43" t="s">
        <v>4967</v>
      </c>
      <c r="C417" s="44" t="s">
        <v>1585</v>
      </c>
      <c r="D417" s="45" t="s">
        <v>3697</v>
      </c>
    </row>
    <row r="418" spans="1:4" ht="63" customHeight="1" x14ac:dyDescent="0.25">
      <c r="A418" s="43" t="s">
        <v>1723</v>
      </c>
      <c r="B418" s="43" t="s">
        <v>4968</v>
      </c>
      <c r="C418" s="44" t="s">
        <v>4945</v>
      </c>
      <c r="D418" s="45" t="s">
        <v>3698</v>
      </c>
    </row>
    <row r="419" spans="1:4" ht="47.25" customHeight="1" x14ac:dyDescent="0.25">
      <c r="A419" s="43" t="s">
        <v>1727</v>
      </c>
      <c r="B419" s="43" t="s">
        <v>4969</v>
      </c>
      <c r="C419" s="44" t="s">
        <v>4970</v>
      </c>
      <c r="D419" s="45" t="s">
        <v>3699</v>
      </c>
    </row>
    <row r="420" spans="1:4" ht="63" customHeight="1" x14ac:dyDescent="0.25">
      <c r="A420" s="43" t="s">
        <v>1731</v>
      </c>
      <c r="B420" s="43" t="s">
        <v>4971</v>
      </c>
      <c r="C420" s="44" t="s">
        <v>2039</v>
      </c>
      <c r="D420" s="45" t="s">
        <v>3700</v>
      </c>
    </row>
    <row r="421" spans="1:4" ht="47.25" customHeight="1" x14ac:dyDescent="0.25">
      <c r="A421" s="43" t="s">
        <v>1736</v>
      </c>
      <c r="B421" s="43" t="s">
        <v>4972</v>
      </c>
      <c r="C421" s="44" t="s">
        <v>4794</v>
      </c>
      <c r="D421" s="45" t="s">
        <v>3701</v>
      </c>
    </row>
    <row r="422" spans="1:4" ht="47.25" customHeight="1" x14ac:dyDescent="0.25">
      <c r="A422" s="43" t="s">
        <v>1740</v>
      </c>
      <c r="B422" s="43" t="s">
        <v>4973</v>
      </c>
      <c r="C422" s="44" t="s">
        <v>374</v>
      </c>
      <c r="D422" s="45" t="s">
        <v>3702</v>
      </c>
    </row>
    <row r="423" spans="1:4" ht="31.5" customHeight="1" x14ac:dyDescent="0.25">
      <c r="A423" s="43" t="s">
        <v>1744</v>
      </c>
      <c r="B423" s="43" t="s">
        <v>4974</v>
      </c>
      <c r="C423" s="44" t="s">
        <v>509</v>
      </c>
      <c r="D423" s="45" t="s">
        <v>3703</v>
      </c>
    </row>
    <row r="424" spans="1:4" ht="63" customHeight="1" x14ac:dyDescent="0.25">
      <c r="A424" s="43" t="s">
        <v>1748</v>
      </c>
      <c r="B424" s="43" t="s">
        <v>4975</v>
      </c>
      <c r="C424" s="44" t="s">
        <v>4976</v>
      </c>
      <c r="D424" s="45" t="s">
        <v>3704</v>
      </c>
    </row>
    <row r="425" spans="1:4" ht="31.5" customHeight="1" x14ac:dyDescent="0.25">
      <c r="A425" s="43" t="s">
        <v>1751</v>
      </c>
      <c r="B425" s="43" t="s">
        <v>4977</v>
      </c>
      <c r="C425" s="44" t="s">
        <v>509</v>
      </c>
      <c r="D425" s="45" t="s">
        <v>3705</v>
      </c>
    </row>
    <row r="426" spans="1:4" ht="63" customHeight="1" x14ac:dyDescent="0.25">
      <c r="A426" s="43" t="s">
        <v>1755</v>
      </c>
      <c r="B426" s="43" t="s">
        <v>4978</v>
      </c>
      <c r="C426" s="44" t="s">
        <v>2989</v>
      </c>
      <c r="D426" s="45" t="s">
        <v>3706</v>
      </c>
    </row>
    <row r="427" spans="1:4" ht="47.25" customHeight="1" x14ac:dyDescent="0.25">
      <c r="A427" s="43" t="s">
        <v>1760</v>
      </c>
      <c r="B427" s="43" t="s">
        <v>4979</v>
      </c>
      <c r="C427" s="44" t="s">
        <v>4821</v>
      </c>
      <c r="D427" s="45" t="s">
        <v>3707</v>
      </c>
    </row>
    <row r="428" spans="1:4" ht="47.25" customHeight="1" x14ac:dyDescent="0.25">
      <c r="A428" s="43" t="s">
        <v>1765</v>
      </c>
      <c r="B428" s="43" t="s">
        <v>4980</v>
      </c>
      <c r="C428" s="44" t="s">
        <v>3066</v>
      </c>
      <c r="D428" s="45" t="s">
        <v>3708</v>
      </c>
    </row>
    <row r="429" spans="1:4" ht="47.25" customHeight="1" x14ac:dyDescent="0.25">
      <c r="A429" s="43" t="s">
        <v>1769</v>
      </c>
      <c r="B429" s="43" t="s">
        <v>4981</v>
      </c>
      <c r="C429" s="44" t="s">
        <v>489</v>
      </c>
      <c r="D429" s="45" t="s">
        <v>3709</v>
      </c>
    </row>
    <row r="430" spans="1:4" ht="47.25" customHeight="1" x14ac:dyDescent="0.25">
      <c r="A430" s="43" t="s">
        <v>1773</v>
      </c>
      <c r="B430" s="43" t="s">
        <v>4982</v>
      </c>
      <c r="C430" s="44" t="s">
        <v>489</v>
      </c>
      <c r="D430" s="45" t="s">
        <v>3710</v>
      </c>
    </row>
    <row r="431" spans="1:4" ht="47.25" customHeight="1" x14ac:dyDescent="0.25">
      <c r="A431" s="43" t="s">
        <v>1777</v>
      </c>
      <c r="B431" s="43" t="s">
        <v>4983</v>
      </c>
      <c r="C431" s="44" t="s">
        <v>4569</v>
      </c>
      <c r="D431" s="45" t="s">
        <v>3711</v>
      </c>
    </row>
    <row r="432" spans="1:4" ht="47.25" customHeight="1" x14ac:dyDescent="0.25">
      <c r="A432" s="43" t="s">
        <v>1781</v>
      </c>
      <c r="B432" s="43" t="s">
        <v>4984</v>
      </c>
      <c r="C432" s="44" t="s">
        <v>1538</v>
      </c>
      <c r="D432" s="45" t="s">
        <v>3712</v>
      </c>
    </row>
    <row r="433" spans="1:4" ht="47.25" customHeight="1" x14ac:dyDescent="0.25">
      <c r="A433" s="43" t="s">
        <v>1785</v>
      </c>
      <c r="B433" s="43" t="s">
        <v>4985</v>
      </c>
      <c r="C433" s="44" t="s">
        <v>4685</v>
      </c>
      <c r="D433" s="45" t="s">
        <v>3713</v>
      </c>
    </row>
    <row r="434" spans="1:4" ht="31.5" customHeight="1" x14ac:dyDescent="0.25">
      <c r="A434" s="43" t="s">
        <v>1789</v>
      </c>
      <c r="B434" s="43" t="s">
        <v>4986</v>
      </c>
      <c r="C434" s="44" t="s">
        <v>4797</v>
      </c>
      <c r="D434" s="45" t="s">
        <v>3714</v>
      </c>
    </row>
    <row r="435" spans="1:4" ht="63" customHeight="1" x14ac:dyDescent="0.25">
      <c r="A435" s="43" t="s">
        <v>1794</v>
      </c>
      <c r="B435" s="43" t="s">
        <v>4987</v>
      </c>
      <c r="C435" s="44" t="s">
        <v>379</v>
      </c>
      <c r="D435" s="45" t="s">
        <v>3715</v>
      </c>
    </row>
    <row r="436" spans="1:4" ht="63" customHeight="1" x14ac:dyDescent="0.25">
      <c r="A436" s="43" t="s">
        <v>1799</v>
      </c>
      <c r="B436" s="43" t="s">
        <v>4988</v>
      </c>
      <c r="C436" s="44" t="s">
        <v>3123</v>
      </c>
      <c r="D436" s="45" t="s">
        <v>3716</v>
      </c>
    </row>
    <row r="437" spans="1:4" ht="63" customHeight="1" x14ac:dyDescent="0.25">
      <c r="A437" s="43" t="s">
        <v>1802</v>
      </c>
      <c r="B437" s="43" t="s">
        <v>4989</v>
      </c>
      <c r="C437" s="44" t="s">
        <v>4990</v>
      </c>
      <c r="D437" s="45" t="s">
        <v>3717</v>
      </c>
    </row>
    <row r="438" spans="1:4" ht="47.25" customHeight="1" x14ac:dyDescent="0.25">
      <c r="A438" s="43" t="s">
        <v>1806</v>
      </c>
      <c r="B438" s="43" t="s">
        <v>4991</v>
      </c>
      <c r="C438" s="44" t="s">
        <v>3018</v>
      </c>
      <c r="D438" s="45" t="s">
        <v>3718</v>
      </c>
    </row>
    <row r="439" spans="1:4" ht="31.5" customHeight="1" x14ac:dyDescent="0.25">
      <c r="A439" s="43" t="s">
        <v>1811</v>
      </c>
      <c r="B439" s="43" t="s">
        <v>4992</v>
      </c>
      <c r="C439" s="44" t="s">
        <v>1115</v>
      </c>
      <c r="D439" s="45" t="s">
        <v>3719</v>
      </c>
    </row>
    <row r="440" spans="1:4" ht="47.25" customHeight="1" x14ac:dyDescent="0.25">
      <c r="A440" s="43" t="s">
        <v>1815</v>
      </c>
      <c r="B440" s="43" t="s">
        <v>4993</v>
      </c>
      <c r="C440" s="44" t="s">
        <v>1115</v>
      </c>
      <c r="D440" s="45" t="s">
        <v>3720</v>
      </c>
    </row>
    <row r="441" spans="1:4" ht="47.25" customHeight="1" x14ac:dyDescent="0.25">
      <c r="A441" s="43" t="s">
        <v>1819</v>
      </c>
      <c r="B441" s="43" t="s">
        <v>4994</v>
      </c>
      <c r="C441" s="44" t="s">
        <v>3123</v>
      </c>
      <c r="D441" s="45" t="s">
        <v>3721</v>
      </c>
    </row>
    <row r="442" spans="1:4" ht="31.5" customHeight="1" x14ac:dyDescent="0.25">
      <c r="A442" s="43" t="s">
        <v>1825</v>
      </c>
      <c r="B442" s="43" t="s">
        <v>4995</v>
      </c>
      <c r="C442" s="44" t="s">
        <v>4996</v>
      </c>
      <c r="D442" s="45" t="s">
        <v>3722</v>
      </c>
    </row>
    <row r="443" spans="1:4" ht="94.5" customHeight="1" x14ac:dyDescent="0.25">
      <c r="A443" s="43" t="s">
        <v>1829</v>
      </c>
      <c r="B443" s="43" t="s">
        <v>4997</v>
      </c>
      <c r="C443" s="44" t="s">
        <v>4998</v>
      </c>
      <c r="D443" s="45" t="s">
        <v>3723</v>
      </c>
    </row>
    <row r="444" spans="1:4" ht="31.5" customHeight="1" x14ac:dyDescent="0.25">
      <c r="A444" s="43" t="s">
        <v>1833</v>
      </c>
      <c r="B444" s="43" t="s">
        <v>4999</v>
      </c>
      <c r="C444" s="44" t="s">
        <v>2246</v>
      </c>
      <c r="D444" s="45" t="s">
        <v>3724</v>
      </c>
    </row>
    <row r="445" spans="1:4" ht="31.5" customHeight="1" x14ac:dyDescent="0.25">
      <c r="A445" s="43" t="s">
        <v>1838</v>
      </c>
      <c r="B445" s="43" t="s">
        <v>5000</v>
      </c>
      <c r="C445" s="44" t="s">
        <v>1708</v>
      </c>
      <c r="D445" s="45" t="s">
        <v>3725</v>
      </c>
    </row>
    <row r="446" spans="1:4" ht="15.75" customHeight="1" x14ac:dyDescent="0.25">
      <c r="A446" s="43" t="s">
        <v>1842</v>
      </c>
      <c r="B446" s="43" t="s">
        <v>5001</v>
      </c>
      <c r="C446" s="44" t="s">
        <v>781</v>
      </c>
      <c r="D446" s="45" t="s">
        <v>3726</v>
      </c>
    </row>
    <row r="447" spans="1:4" ht="47.25" customHeight="1" x14ac:dyDescent="0.25">
      <c r="A447" s="43" t="s">
        <v>1847</v>
      </c>
      <c r="B447" s="43" t="s">
        <v>5002</v>
      </c>
      <c r="C447" s="44" t="s">
        <v>123</v>
      </c>
      <c r="D447" s="45" t="s">
        <v>3727</v>
      </c>
    </row>
    <row r="448" spans="1:4" ht="31.5" customHeight="1" x14ac:dyDescent="0.25">
      <c r="A448" s="43" t="s">
        <v>1851</v>
      </c>
      <c r="B448" s="43" t="s">
        <v>5003</v>
      </c>
      <c r="C448" s="44" t="s">
        <v>4486</v>
      </c>
      <c r="D448" s="45" t="s">
        <v>3728</v>
      </c>
    </row>
    <row r="449" spans="1:4" ht="47.25" customHeight="1" x14ac:dyDescent="0.25">
      <c r="A449" s="43" t="s">
        <v>1855</v>
      </c>
      <c r="B449" s="43" t="s">
        <v>5004</v>
      </c>
      <c r="C449" s="44" t="s">
        <v>4880</v>
      </c>
      <c r="D449" s="45" t="s">
        <v>3729</v>
      </c>
    </row>
    <row r="450" spans="1:4" ht="47.25" customHeight="1" x14ac:dyDescent="0.25">
      <c r="A450" s="43" t="s">
        <v>1859</v>
      </c>
      <c r="B450" s="43" t="s">
        <v>5005</v>
      </c>
      <c r="C450" s="44" t="s">
        <v>1115</v>
      </c>
      <c r="D450" s="45" t="s">
        <v>3730</v>
      </c>
    </row>
    <row r="451" spans="1:4" ht="47.25" customHeight="1" x14ac:dyDescent="0.25">
      <c r="A451" s="43" t="s">
        <v>1863</v>
      </c>
      <c r="B451" s="43" t="s">
        <v>5006</v>
      </c>
      <c r="C451" s="44" t="s">
        <v>76</v>
      </c>
      <c r="D451" s="45" t="s">
        <v>3731</v>
      </c>
    </row>
    <row r="452" spans="1:4" ht="47.25" customHeight="1" x14ac:dyDescent="0.25">
      <c r="A452" s="43" t="s">
        <v>1868</v>
      </c>
      <c r="B452" s="43" t="s">
        <v>5007</v>
      </c>
      <c r="C452" s="44" t="s">
        <v>87</v>
      </c>
      <c r="D452" s="45" t="s">
        <v>3732</v>
      </c>
    </row>
    <row r="453" spans="1:4" ht="47.25" customHeight="1" x14ac:dyDescent="0.25">
      <c r="A453" s="43" t="s">
        <v>1872</v>
      </c>
      <c r="B453" s="43" t="s">
        <v>5008</v>
      </c>
      <c r="C453" s="44" t="s">
        <v>4713</v>
      </c>
      <c r="D453" s="45" t="s">
        <v>3733</v>
      </c>
    </row>
    <row r="454" spans="1:4" ht="47.25" customHeight="1" x14ac:dyDescent="0.25">
      <c r="A454" s="43" t="s">
        <v>1877</v>
      </c>
      <c r="B454" s="43" t="s">
        <v>5009</v>
      </c>
      <c r="C454" s="44" t="s">
        <v>4546</v>
      </c>
      <c r="D454" s="45" t="s">
        <v>3734</v>
      </c>
    </row>
    <row r="455" spans="1:4" ht="63" customHeight="1" x14ac:dyDescent="0.25">
      <c r="A455" s="43" t="s">
        <v>1881</v>
      </c>
      <c r="B455" s="43" t="s">
        <v>5010</v>
      </c>
      <c r="C455" s="44" t="s">
        <v>5011</v>
      </c>
      <c r="D455" s="45" t="s">
        <v>3735</v>
      </c>
    </row>
    <row r="456" spans="1:4" ht="47.25" customHeight="1" x14ac:dyDescent="0.25">
      <c r="A456" s="43" t="s">
        <v>1885</v>
      </c>
      <c r="B456" s="43" t="s">
        <v>5012</v>
      </c>
      <c r="C456" s="44" t="s">
        <v>3018</v>
      </c>
      <c r="D456" s="45" t="s">
        <v>3736</v>
      </c>
    </row>
    <row r="457" spans="1:4" ht="47.25" customHeight="1" x14ac:dyDescent="0.25">
      <c r="A457" s="43" t="s">
        <v>1889</v>
      </c>
      <c r="B457" s="43" t="s">
        <v>5013</v>
      </c>
      <c r="C457" s="44" t="s">
        <v>2263</v>
      </c>
      <c r="D457" s="45" t="s">
        <v>3737</v>
      </c>
    </row>
    <row r="458" spans="1:4" ht="31.5" customHeight="1" x14ac:dyDescent="0.25">
      <c r="A458" s="43" t="s">
        <v>1893</v>
      </c>
      <c r="B458" s="43" t="s">
        <v>5014</v>
      </c>
      <c r="C458" s="44" t="s">
        <v>795</v>
      </c>
      <c r="D458" s="45" t="s">
        <v>3738</v>
      </c>
    </row>
    <row r="459" spans="1:4" ht="63" customHeight="1" x14ac:dyDescent="0.25">
      <c r="A459" s="43" t="s">
        <v>1899</v>
      </c>
      <c r="B459" s="43" t="s">
        <v>5015</v>
      </c>
      <c r="C459" s="44" t="s">
        <v>5016</v>
      </c>
      <c r="D459" s="45" t="s">
        <v>3739</v>
      </c>
    </row>
    <row r="460" spans="1:4" ht="47.25" customHeight="1" x14ac:dyDescent="0.25">
      <c r="A460" s="43" t="s">
        <v>1903</v>
      </c>
      <c r="B460" s="43" t="s">
        <v>5017</v>
      </c>
      <c r="C460" s="44" t="s">
        <v>5011</v>
      </c>
      <c r="D460" s="45" t="s">
        <v>3740</v>
      </c>
    </row>
    <row r="461" spans="1:4" ht="47.25" customHeight="1" x14ac:dyDescent="0.25">
      <c r="A461" s="43" t="s">
        <v>1907</v>
      </c>
      <c r="B461" s="43" t="s">
        <v>5018</v>
      </c>
      <c r="C461" s="44" t="s">
        <v>4605</v>
      </c>
      <c r="D461" s="45" t="s">
        <v>3741</v>
      </c>
    </row>
    <row r="462" spans="1:4" ht="47.25" customHeight="1" x14ac:dyDescent="0.25">
      <c r="A462" s="43" t="s">
        <v>1911</v>
      </c>
      <c r="B462" s="43" t="s">
        <v>5019</v>
      </c>
      <c r="C462" s="44" t="s">
        <v>1106</v>
      </c>
      <c r="D462" s="45" t="s">
        <v>3742</v>
      </c>
    </row>
    <row r="463" spans="1:4" ht="31.5" customHeight="1" x14ac:dyDescent="0.25">
      <c r="A463" s="43" t="s">
        <v>1915</v>
      </c>
      <c r="B463" s="43" t="s">
        <v>5020</v>
      </c>
      <c r="C463" s="44" t="s">
        <v>5011</v>
      </c>
      <c r="D463" s="45" t="s">
        <v>3743</v>
      </c>
    </row>
    <row r="464" spans="1:4" ht="47.25" customHeight="1" x14ac:dyDescent="0.25">
      <c r="A464" s="43" t="s">
        <v>1919</v>
      </c>
      <c r="B464" s="43" t="s">
        <v>5021</v>
      </c>
      <c r="C464" s="44" t="s">
        <v>374</v>
      </c>
      <c r="D464" s="45" t="s">
        <v>3744</v>
      </c>
    </row>
    <row r="465" spans="1:4" ht="31.5" customHeight="1" x14ac:dyDescent="0.25">
      <c r="A465" s="43" t="s">
        <v>1924</v>
      </c>
      <c r="B465" s="43" t="s">
        <v>5022</v>
      </c>
      <c r="C465" s="44" t="s">
        <v>112</v>
      </c>
      <c r="D465" s="45" t="s">
        <v>3745</v>
      </c>
    </row>
    <row r="466" spans="1:4" ht="31.5" customHeight="1" x14ac:dyDescent="0.25">
      <c r="A466" s="43" t="s">
        <v>1929</v>
      </c>
      <c r="B466" s="43" t="s">
        <v>5023</v>
      </c>
      <c r="C466" s="44" t="s">
        <v>112</v>
      </c>
      <c r="D466" s="45" t="s">
        <v>3746</v>
      </c>
    </row>
    <row r="467" spans="1:4" ht="31.5" customHeight="1" x14ac:dyDescent="0.25">
      <c r="A467" s="43" t="s">
        <v>1933</v>
      </c>
      <c r="B467" s="43" t="s">
        <v>5024</v>
      </c>
      <c r="C467" s="44" t="s">
        <v>76</v>
      </c>
      <c r="D467" s="45" t="s">
        <v>3747</v>
      </c>
    </row>
    <row r="468" spans="1:4" ht="31.5" customHeight="1" x14ac:dyDescent="0.25">
      <c r="A468" s="43" t="s">
        <v>1936</v>
      </c>
      <c r="B468" s="43" t="s">
        <v>5025</v>
      </c>
      <c r="C468" s="44" t="s">
        <v>519</v>
      </c>
      <c r="D468" s="45" t="s">
        <v>3748</v>
      </c>
    </row>
    <row r="469" spans="1:4" ht="47.25" customHeight="1" x14ac:dyDescent="0.25">
      <c r="A469" s="43" t="s">
        <v>1941</v>
      </c>
      <c r="B469" s="43" t="s">
        <v>5026</v>
      </c>
      <c r="C469" s="44" t="s">
        <v>5027</v>
      </c>
      <c r="D469" s="45" t="s">
        <v>3749</v>
      </c>
    </row>
    <row r="470" spans="1:4" ht="47.25" customHeight="1" x14ac:dyDescent="0.25">
      <c r="A470" s="43" t="s">
        <v>1947</v>
      </c>
      <c r="B470" s="43" t="s">
        <v>5028</v>
      </c>
      <c r="C470" s="44" t="s">
        <v>5027</v>
      </c>
      <c r="D470" s="45" t="s">
        <v>3750</v>
      </c>
    </row>
    <row r="471" spans="1:4" ht="63" customHeight="1" x14ac:dyDescent="0.25">
      <c r="A471" s="43" t="s">
        <v>1952</v>
      </c>
      <c r="B471" s="43" t="s">
        <v>5029</v>
      </c>
      <c r="C471" s="44" t="s">
        <v>657</v>
      </c>
      <c r="D471" s="45" t="s">
        <v>3751</v>
      </c>
    </row>
    <row r="472" spans="1:4" ht="63" customHeight="1" x14ac:dyDescent="0.25">
      <c r="A472" s="43" t="s">
        <v>1956</v>
      </c>
      <c r="B472" s="43" t="s">
        <v>5030</v>
      </c>
      <c r="C472" s="44" t="s">
        <v>4670</v>
      </c>
      <c r="D472" s="45" t="s">
        <v>3752</v>
      </c>
    </row>
    <row r="473" spans="1:4" ht="31.5" customHeight="1" x14ac:dyDescent="0.25">
      <c r="A473" s="43" t="s">
        <v>1960</v>
      </c>
      <c r="B473" s="43" t="s">
        <v>5031</v>
      </c>
      <c r="C473" s="44" t="s">
        <v>5032</v>
      </c>
      <c r="D473" s="45" t="s">
        <v>3753</v>
      </c>
    </row>
    <row r="474" spans="1:4" ht="31.5" customHeight="1" x14ac:dyDescent="0.25">
      <c r="A474" s="43" t="s">
        <v>1963</v>
      </c>
      <c r="B474" s="43" t="s">
        <v>5033</v>
      </c>
      <c r="C474" s="44" t="s">
        <v>4509</v>
      </c>
      <c r="D474" s="45" t="s">
        <v>3754</v>
      </c>
    </row>
    <row r="475" spans="1:4" ht="31.5" customHeight="1" x14ac:dyDescent="0.25">
      <c r="A475" s="43" t="s">
        <v>1968</v>
      </c>
      <c r="B475" s="43" t="s">
        <v>5034</v>
      </c>
      <c r="C475" s="44" t="s">
        <v>3018</v>
      </c>
      <c r="D475" s="45" t="s">
        <v>3755</v>
      </c>
    </row>
    <row r="476" spans="1:4" ht="31.5" customHeight="1" x14ac:dyDescent="0.25">
      <c r="A476" s="43" t="s">
        <v>1973</v>
      </c>
      <c r="B476" s="43" t="s">
        <v>5035</v>
      </c>
      <c r="C476" s="44" t="s">
        <v>1659</v>
      </c>
      <c r="D476" s="45" t="s">
        <v>3756</v>
      </c>
    </row>
    <row r="477" spans="1:4" ht="63" customHeight="1" x14ac:dyDescent="0.25">
      <c r="A477" s="43" t="s">
        <v>1978</v>
      </c>
      <c r="B477" s="43" t="s">
        <v>5036</v>
      </c>
      <c r="C477" s="44" t="s">
        <v>1142</v>
      </c>
      <c r="D477" s="45" t="s">
        <v>3757</v>
      </c>
    </row>
    <row r="478" spans="1:4" ht="31.5" customHeight="1" x14ac:dyDescent="0.25">
      <c r="A478" s="43" t="s">
        <v>1982</v>
      </c>
      <c r="B478" s="43" t="s">
        <v>5037</v>
      </c>
      <c r="C478" s="44" t="s">
        <v>795</v>
      </c>
      <c r="D478" s="45" t="s">
        <v>3758</v>
      </c>
    </row>
    <row r="479" spans="1:4" ht="31.5" customHeight="1" x14ac:dyDescent="0.25">
      <c r="A479" s="43" t="s">
        <v>1986</v>
      </c>
      <c r="B479" s="43" t="s">
        <v>5038</v>
      </c>
      <c r="C479" s="44" t="s">
        <v>1703</v>
      </c>
      <c r="D479" s="45" t="s">
        <v>3759</v>
      </c>
    </row>
    <row r="480" spans="1:4" ht="47.25" customHeight="1" x14ac:dyDescent="0.25">
      <c r="A480" s="43" t="s">
        <v>1990</v>
      </c>
      <c r="B480" s="43" t="s">
        <v>5039</v>
      </c>
      <c r="C480" s="44" t="s">
        <v>3048</v>
      </c>
      <c r="D480" s="45" t="s">
        <v>3760</v>
      </c>
    </row>
    <row r="481" spans="1:4" ht="47.25" customHeight="1" x14ac:dyDescent="0.25">
      <c r="A481" s="43" t="s">
        <v>1994</v>
      </c>
      <c r="B481" s="43" t="s">
        <v>5040</v>
      </c>
      <c r="C481" s="44" t="s">
        <v>5041</v>
      </c>
      <c r="D481" s="45" t="s">
        <v>3761</v>
      </c>
    </row>
    <row r="482" spans="1:4" ht="47.25" customHeight="1" x14ac:dyDescent="0.25">
      <c r="A482" s="43" t="s">
        <v>1998</v>
      </c>
      <c r="B482" s="43" t="s">
        <v>5042</v>
      </c>
      <c r="C482" s="44" t="s">
        <v>5043</v>
      </c>
      <c r="D482" s="45" t="s">
        <v>3762</v>
      </c>
    </row>
    <row r="483" spans="1:4" ht="31.5" customHeight="1" x14ac:dyDescent="0.25">
      <c r="A483" s="43" t="s">
        <v>2003</v>
      </c>
      <c r="B483" s="43" t="s">
        <v>5044</v>
      </c>
      <c r="C483" s="44" t="s">
        <v>384</v>
      </c>
      <c r="D483" s="45" t="s">
        <v>3763</v>
      </c>
    </row>
    <row r="484" spans="1:4" ht="63" customHeight="1" x14ac:dyDescent="0.25">
      <c r="A484" s="43" t="s">
        <v>2007</v>
      </c>
      <c r="B484" s="43" t="s">
        <v>5045</v>
      </c>
      <c r="C484" s="44" t="s">
        <v>5046</v>
      </c>
      <c r="D484" s="45" t="s">
        <v>3764</v>
      </c>
    </row>
    <row r="485" spans="1:4" ht="31.5" customHeight="1" x14ac:dyDescent="0.25">
      <c r="A485" s="43" t="s">
        <v>2011</v>
      </c>
      <c r="B485" s="43" t="s">
        <v>5047</v>
      </c>
      <c r="C485" s="44" t="s">
        <v>384</v>
      </c>
      <c r="D485" s="45" t="s">
        <v>3765</v>
      </c>
    </row>
    <row r="486" spans="1:4" ht="63" customHeight="1" x14ac:dyDescent="0.25">
      <c r="A486" s="43" t="s">
        <v>2016</v>
      </c>
      <c r="B486" s="43" t="s">
        <v>5048</v>
      </c>
      <c r="C486" s="44" t="s">
        <v>2039</v>
      </c>
      <c r="D486" s="45" t="s">
        <v>3766</v>
      </c>
    </row>
    <row r="487" spans="1:4" ht="47.25" customHeight="1" x14ac:dyDescent="0.25">
      <c r="A487" s="43" t="s">
        <v>2021</v>
      </c>
      <c r="B487" s="43" t="s">
        <v>5049</v>
      </c>
      <c r="C487" s="44" t="s">
        <v>4896</v>
      </c>
      <c r="D487" s="45" t="s">
        <v>3767</v>
      </c>
    </row>
    <row r="488" spans="1:4" ht="63" customHeight="1" x14ac:dyDescent="0.25">
      <c r="A488" s="43" t="s">
        <v>2025</v>
      </c>
      <c r="B488" s="43" t="s">
        <v>5050</v>
      </c>
      <c r="C488" s="44" t="s">
        <v>390</v>
      </c>
      <c r="D488" s="45" t="s">
        <v>3768</v>
      </c>
    </row>
    <row r="489" spans="1:4" ht="31.5" customHeight="1" x14ac:dyDescent="0.25">
      <c r="A489" s="43" t="s">
        <v>2029</v>
      </c>
      <c r="B489" s="43" t="s">
        <v>5051</v>
      </c>
      <c r="C489" s="44" t="s">
        <v>4821</v>
      </c>
      <c r="D489" s="45" t="s">
        <v>3769</v>
      </c>
    </row>
    <row r="490" spans="1:4" ht="47.25" customHeight="1" x14ac:dyDescent="0.25">
      <c r="A490" s="43" t="s">
        <v>2033</v>
      </c>
      <c r="B490" s="43" t="s">
        <v>5052</v>
      </c>
      <c r="C490" s="44" t="s">
        <v>4821</v>
      </c>
      <c r="D490" s="45" t="s">
        <v>3770</v>
      </c>
    </row>
    <row r="491" spans="1:4" ht="47.25" customHeight="1" x14ac:dyDescent="0.25">
      <c r="A491" s="43" t="s">
        <v>2037</v>
      </c>
      <c r="B491" s="43" t="s">
        <v>5053</v>
      </c>
      <c r="C491" s="44" t="s">
        <v>1353</v>
      </c>
      <c r="D491" s="45" t="s">
        <v>3771</v>
      </c>
    </row>
    <row r="492" spans="1:4" ht="47.25" customHeight="1" x14ac:dyDescent="0.25">
      <c r="A492" s="43" t="s">
        <v>2042</v>
      </c>
      <c r="B492" s="43" t="s">
        <v>5054</v>
      </c>
      <c r="C492" s="44" t="s">
        <v>5055</v>
      </c>
      <c r="D492" s="45" t="s">
        <v>3772</v>
      </c>
    </row>
    <row r="493" spans="1:4" ht="31.5" customHeight="1" x14ac:dyDescent="0.25">
      <c r="A493" s="43" t="s">
        <v>2046</v>
      </c>
      <c r="B493" s="43" t="s">
        <v>5056</v>
      </c>
      <c r="C493" s="44" t="s">
        <v>112</v>
      </c>
      <c r="D493" s="45" t="s">
        <v>3773</v>
      </c>
    </row>
    <row r="494" spans="1:4" ht="31.5" customHeight="1" x14ac:dyDescent="0.25">
      <c r="A494" s="43" t="s">
        <v>2050</v>
      </c>
      <c r="B494" s="43" t="s">
        <v>5057</v>
      </c>
      <c r="C494" s="44" t="s">
        <v>1590</v>
      </c>
      <c r="D494" s="45" t="s">
        <v>3774</v>
      </c>
    </row>
    <row r="495" spans="1:4" ht="47.25" customHeight="1" x14ac:dyDescent="0.25">
      <c r="A495" s="43" t="s">
        <v>2055</v>
      </c>
      <c r="B495" s="43" t="s">
        <v>5058</v>
      </c>
      <c r="C495" s="44" t="s">
        <v>5059</v>
      </c>
      <c r="D495" s="45" t="s">
        <v>3775</v>
      </c>
    </row>
    <row r="496" spans="1:4" ht="47.25" customHeight="1" x14ac:dyDescent="0.25">
      <c r="A496" s="43" t="s">
        <v>2059</v>
      </c>
      <c r="B496" s="43" t="s">
        <v>5060</v>
      </c>
      <c r="C496" s="44" t="s">
        <v>5061</v>
      </c>
      <c r="D496" s="45" t="s">
        <v>3776</v>
      </c>
    </row>
    <row r="497" spans="1:4" ht="47.25" customHeight="1" x14ac:dyDescent="0.25">
      <c r="A497" s="43" t="s">
        <v>2064</v>
      </c>
      <c r="B497" s="43" t="s">
        <v>5062</v>
      </c>
      <c r="C497" s="44" t="s">
        <v>5063</v>
      </c>
      <c r="D497" s="45" t="s">
        <v>3777</v>
      </c>
    </row>
    <row r="498" spans="1:4" ht="47.25" customHeight="1" x14ac:dyDescent="0.25">
      <c r="A498" s="43" t="s">
        <v>2068</v>
      </c>
      <c r="B498" s="43" t="s">
        <v>5064</v>
      </c>
      <c r="C498" s="44" t="s">
        <v>877</v>
      </c>
      <c r="D498" s="45" t="s">
        <v>3778</v>
      </c>
    </row>
    <row r="499" spans="1:4" ht="31.5" customHeight="1" x14ac:dyDescent="0.25">
      <c r="A499" s="43" t="s">
        <v>2072</v>
      </c>
      <c r="B499" s="43" t="s">
        <v>5065</v>
      </c>
      <c r="C499" s="44" t="s">
        <v>4569</v>
      </c>
      <c r="D499" s="45" t="s">
        <v>3779</v>
      </c>
    </row>
    <row r="500" spans="1:4" ht="63" customHeight="1" x14ac:dyDescent="0.25">
      <c r="A500" s="43" t="s">
        <v>2076</v>
      </c>
      <c r="B500" s="43" t="s">
        <v>5066</v>
      </c>
      <c r="C500" s="44" t="s">
        <v>5067</v>
      </c>
      <c r="D500" s="45" t="s">
        <v>3780</v>
      </c>
    </row>
    <row r="501" spans="1:4" ht="31.5" customHeight="1" x14ac:dyDescent="0.25">
      <c r="A501" s="43" t="s">
        <v>2081</v>
      </c>
      <c r="B501" s="43" t="s">
        <v>5068</v>
      </c>
      <c r="C501" s="44" t="s">
        <v>3043</v>
      </c>
      <c r="D501" s="45" t="s">
        <v>3781</v>
      </c>
    </row>
    <row r="502" spans="1:4" ht="63" customHeight="1" x14ac:dyDescent="0.25">
      <c r="A502" s="43" t="s">
        <v>2084</v>
      </c>
      <c r="B502" s="43" t="s">
        <v>5069</v>
      </c>
      <c r="C502" s="44" t="s">
        <v>4608</v>
      </c>
      <c r="D502" s="45" t="s">
        <v>3782</v>
      </c>
    </row>
    <row r="503" spans="1:4" ht="31.5" customHeight="1" x14ac:dyDescent="0.25">
      <c r="A503" s="43" t="s">
        <v>2089</v>
      </c>
      <c r="B503" s="43" t="s">
        <v>5070</v>
      </c>
      <c r="C503" s="44" t="s">
        <v>2078</v>
      </c>
      <c r="D503" s="45" t="s">
        <v>3783</v>
      </c>
    </row>
    <row r="504" spans="1:4" ht="47.25" customHeight="1" x14ac:dyDescent="0.25">
      <c r="A504" s="43" t="s">
        <v>2093</v>
      </c>
      <c r="B504" s="43" t="s">
        <v>5071</v>
      </c>
      <c r="C504" s="44" t="s">
        <v>5072</v>
      </c>
      <c r="D504" s="45" t="s">
        <v>3784</v>
      </c>
    </row>
    <row r="505" spans="1:4" ht="31.5" customHeight="1" x14ac:dyDescent="0.25">
      <c r="A505" s="43" t="s">
        <v>2098</v>
      </c>
      <c r="B505" s="43" t="s">
        <v>5073</v>
      </c>
      <c r="C505" s="44" t="s">
        <v>5074</v>
      </c>
      <c r="D505" s="45" t="s">
        <v>3785</v>
      </c>
    </row>
    <row r="506" spans="1:4" ht="63" customHeight="1" x14ac:dyDescent="0.25">
      <c r="A506" s="43" t="s">
        <v>2103</v>
      </c>
      <c r="B506" s="43" t="s">
        <v>5075</v>
      </c>
      <c r="C506" s="44" t="s">
        <v>369</v>
      </c>
      <c r="D506" s="45" t="s">
        <v>3786</v>
      </c>
    </row>
    <row r="507" spans="1:4" ht="31.5" customHeight="1" x14ac:dyDescent="0.25">
      <c r="A507" s="43" t="s">
        <v>2108</v>
      </c>
      <c r="B507" s="43" t="s">
        <v>5076</v>
      </c>
      <c r="C507" s="44" t="s">
        <v>3123</v>
      </c>
      <c r="D507" s="45" t="s">
        <v>3787</v>
      </c>
    </row>
    <row r="508" spans="1:4" ht="47.25" customHeight="1" x14ac:dyDescent="0.25">
      <c r="A508" s="43" t="s">
        <v>2112</v>
      </c>
      <c r="B508" s="43" t="s">
        <v>5077</v>
      </c>
      <c r="C508" s="44" t="s">
        <v>3123</v>
      </c>
      <c r="D508" s="45" t="s">
        <v>3788</v>
      </c>
    </row>
    <row r="509" spans="1:4" ht="63" customHeight="1" x14ac:dyDescent="0.25">
      <c r="A509" s="43" t="s">
        <v>2116</v>
      </c>
      <c r="B509" s="43" t="s">
        <v>5078</v>
      </c>
      <c r="C509" s="44" t="s">
        <v>5079</v>
      </c>
      <c r="D509" s="45" t="s">
        <v>3789</v>
      </c>
    </row>
    <row r="510" spans="1:4" ht="47.25" customHeight="1" x14ac:dyDescent="0.25">
      <c r="A510" s="43" t="s">
        <v>2120</v>
      </c>
      <c r="B510" s="43" t="s">
        <v>5080</v>
      </c>
      <c r="C510" s="44" t="s">
        <v>168</v>
      </c>
      <c r="D510" s="45" t="s">
        <v>3790</v>
      </c>
    </row>
    <row r="511" spans="1:4" ht="78.75" customHeight="1" x14ac:dyDescent="0.25">
      <c r="A511" s="43" t="s">
        <v>2124</v>
      </c>
      <c r="B511" s="43" t="s">
        <v>5081</v>
      </c>
      <c r="C511" s="44" t="s">
        <v>1441</v>
      </c>
      <c r="D511" s="45" t="s">
        <v>3791</v>
      </c>
    </row>
    <row r="512" spans="1:4" ht="63" customHeight="1" x14ac:dyDescent="0.25">
      <c r="A512" s="43" t="s">
        <v>2130</v>
      </c>
      <c r="B512" s="43" t="s">
        <v>5082</v>
      </c>
      <c r="C512" s="44" t="s">
        <v>5083</v>
      </c>
      <c r="D512" s="45" t="s">
        <v>3792</v>
      </c>
    </row>
    <row r="513" spans="1:4" ht="63" customHeight="1" x14ac:dyDescent="0.25">
      <c r="A513" s="43" t="s">
        <v>2135</v>
      </c>
      <c r="B513" s="43" t="s">
        <v>5084</v>
      </c>
      <c r="C513" s="44" t="s">
        <v>1300</v>
      </c>
      <c r="D513" s="45" t="s">
        <v>3793</v>
      </c>
    </row>
    <row r="514" spans="1:4" ht="31.5" customHeight="1" x14ac:dyDescent="0.25">
      <c r="A514" s="43" t="s">
        <v>2138</v>
      </c>
      <c r="B514" s="43" t="s">
        <v>5085</v>
      </c>
      <c r="C514" s="44" t="s">
        <v>1733</v>
      </c>
      <c r="D514" s="45" t="s">
        <v>3794</v>
      </c>
    </row>
    <row r="515" spans="1:4" ht="31.5" customHeight="1" x14ac:dyDescent="0.25">
      <c r="A515" s="43" t="s">
        <v>2142</v>
      </c>
      <c r="B515" s="43" t="s">
        <v>5086</v>
      </c>
      <c r="C515" s="44" t="s">
        <v>100</v>
      </c>
      <c r="D515" s="45" t="s">
        <v>3795</v>
      </c>
    </row>
    <row r="516" spans="1:4" ht="31.5" customHeight="1" x14ac:dyDescent="0.25">
      <c r="A516" s="43" t="s">
        <v>2147</v>
      </c>
      <c r="B516" s="43" t="s">
        <v>5087</v>
      </c>
      <c r="C516" s="44" t="s">
        <v>4509</v>
      </c>
      <c r="D516" s="45" t="s">
        <v>3796</v>
      </c>
    </row>
    <row r="517" spans="1:4" ht="31.5" customHeight="1" x14ac:dyDescent="0.25">
      <c r="A517" s="43" t="s">
        <v>2151</v>
      </c>
      <c r="B517" s="43" t="s">
        <v>5088</v>
      </c>
      <c r="C517" s="44" t="s">
        <v>560</v>
      </c>
      <c r="D517" s="45" t="s">
        <v>3797</v>
      </c>
    </row>
    <row r="518" spans="1:4" ht="47.25" customHeight="1" x14ac:dyDescent="0.25">
      <c r="A518" s="43" t="s">
        <v>2155</v>
      </c>
      <c r="B518" s="43" t="s">
        <v>5089</v>
      </c>
      <c r="C518" s="44" t="s">
        <v>1674</v>
      </c>
      <c r="D518" s="45" t="s">
        <v>3798</v>
      </c>
    </row>
    <row r="519" spans="1:4" ht="31.5" customHeight="1" x14ac:dyDescent="0.25">
      <c r="A519" s="43" t="s">
        <v>2159</v>
      </c>
      <c r="B519" s="43" t="s">
        <v>5090</v>
      </c>
      <c r="C519" s="44" t="s">
        <v>2221</v>
      </c>
      <c r="D519" s="45" t="s">
        <v>3799</v>
      </c>
    </row>
    <row r="520" spans="1:4" ht="47.25" customHeight="1" x14ac:dyDescent="0.25">
      <c r="A520" s="43" t="s">
        <v>2164</v>
      </c>
      <c r="B520" s="43" t="s">
        <v>5091</v>
      </c>
      <c r="C520" s="44" t="s">
        <v>618</v>
      </c>
      <c r="D520" s="45" t="s">
        <v>3800</v>
      </c>
    </row>
    <row r="521" spans="1:4" ht="31.5" customHeight="1" x14ac:dyDescent="0.25">
      <c r="A521" s="43" t="s">
        <v>2168</v>
      </c>
      <c r="B521" s="43" t="s">
        <v>5092</v>
      </c>
      <c r="C521" s="44" t="s">
        <v>1895</v>
      </c>
      <c r="D521" s="45" t="s">
        <v>3801</v>
      </c>
    </row>
    <row r="522" spans="1:4" ht="47.25" customHeight="1" x14ac:dyDescent="0.25">
      <c r="A522" s="43" t="s">
        <v>2172</v>
      </c>
      <c r="B522" s="43" t="s">
        <v>5093</v>
      </c>
      <c r="C522" s="44" t="s">
        <v>1106</v>
      </c>
      <c r="D522" s="45" t="s">
        <v>3802</v>
      </c>
    </row>
    <row r="523" spans="1:4" ht="31.5" customHeight="1" x14ac:dyDescent="0.25">
      <c r="A523" s="43" t="s">
        <v>2177</v>
      </c>
      <c r="B523" s="43" t="s">
        <v>5094</v>
      </c>
      <c r="C523" s="44" t="s">
        <v>2923</v>
      </c>
      <c r="D523" s="45" t="s">
        <v>3803</v>
      </c>
    </row>
    <row r="524" spans="1:4" ht="31.5" customHeight="1" x14ac:dyDescent="0.25">
      <c r="A524" s="43" t="s">
        <v>2182</v>
      </c>
      <c r="B524" s="43" t="s">
        <v>5095</v>
      </c>
      <c r="C524" s="44" t="s">
        <v>379</v>
      </c>
      <c r="D524" s="45" t="s">
        <v>3804</v>
      </c>
    </row>
    <row r="525" spans="1:4" ht="31.5" customHeight="1" x14ac:dyDescent="0.25">
      <c r="A525" s="43" t="s">
        <v>2185</v>
      </c>
      <c r="B525" s="43" t="s">
        <v>5096</v>
      </c>
      <c r="C525" s="44" t="s">
        <v>468</v>
      </c>
      <c r="D525" s="45" t="s">
        <v>3805</v>
      </c>
    </row>
    <row r="526" spans="1:4" ht="47.25" customHeight="1" x14ac:dyDescent="0.25">
      <c r="A526" s="43" t="s">
        <v>2188</v>
      </c>
      <c r="B526" s="43" t="s">
        <v>5097</v>
      </c>
      <c r="C526" s="44" t="s">
        <v>5098</v>
      </c>
      <c r="D526" s="45" t="s">
        <v>3806</v>
      </c>
    </row>
    <row r="527" spans="1:4" ht="47.25" customHeight="1" x14ac:dyDescent="0.25">
      <c r="A527" s="43" t="s">
        <v>2193</v>
      </c>
      <c r="B527" s="43" t="s">
        <v>5099</v>
      </c>
      <c r="C527" s="44" t="s">
        <v>5100</v>
      </c>
      <c r="D527" s="45" t="s">
        <v>3807</v>
      </c>
    </row>
    <row r="528" spans="1:4" ht="47.25" customHeight="1" x14ac:dyDescent="0.25">
      <c r="A528" s="43" t="s">
        <v>2197</v>
      </c>
      <c r="B528" s="43" t="s">
        <v>5101</v>
      </c>
      <c r="C528" s="44" t="s">
        <v>2708</v>
      </c>
      <c r="D528" s="45" t="s">
        <v>3808</v>
      </c>
    </row>
    <row r="529" spans="1:4" ht="47.25" customHeight="1" x14ac:dyDescent="0.25">
      <c r="A529" s="43" t="s">
        <v>2200</v>
      </c>
      <c r="B529" s="43" t="s">
        <v>5102</v>
      </c>
      <c r="C529" s="44" t="s">
        <v>2708</v>
      </c>
      <c r="D529" s="45" t="s">
        <v>3809</v>
      </c>
    </row>
    <row r="530" spans="1:4" ht="47.25" customHeight="1" x14ac:dyDescent="0.25">
      <c r="A530" s="43" t="s">
        <v>2205</v>
      </c>
      <c r="B530" s="43" t="s">
        <v>5103</v>
      </c>
      <c r="C530" s="44" t="s">
        <v>2708</v>
      </c>
      <c r="D530" s="45" t="s">
        <v>3810</v>
      </c>
    </row>
    <row r="531" spans="1:4" ht="63" customHeight="1" x14ac:dyDescent="0.25">
      <c r="A531" s="43" t="s">
        <v>2209</v>
      </c>
      <c r="B531" s="43" t="s">
        <v>5104</v>
      </c>
      <c r="C531" s="44" t="s">
        <v>3057</v>
      </c>
      <c r="D531" s="45" t="s">
        <v>3811</v>
      </c>
    </row>
    <row r="532" spans="1:4" ht="47.25" customHeight="1" x14ac:dyDescent="0.25">
      <c r="A532" s="43" t="s">
        <v>2213</v>
      </c>
      <c r="B532" s="43" t="s">
        <v>5105</v>
      </c>
      <c r="C532" s="44" t="s">
        <v>744</v>
      </c>
      <c r="D532" s="45" t="s">
        <v>3812</v>
      </c>
    </row>
    <row r="533" spans="1:4" ht="47.25" customHeight="1" x14ac:dyDescent="0.25">
      <c r="A533" s="43" t="s">
        <v>2219</v>
      </c>
      <c r="B533" s="43" t="s">
        <v>5106</v>
      </c>
      <c r="C533" s="44" t="s">
        <v>2039</v>
      </c>
      <c r="D533" s="45" t="s">
        <v>3813</v>
      </c>
    </row>
    <row r="534" spans="1:4" ht="31.5" customHeight="1" x14ac:dyDescent="0.25">
      <c r="A534" s="43" t="s">
        <v>2224</v>
      </c>
      <c r="B534" s="43" t="s">
        <v>5107</v>
      </c>
      <c r="C534" s="44" t="s">
        <v>5108</v>
      </c>
      <c r="D534" s="45" t="s">
        <v>3814</v>
      </c>
    </row>
    <row r="535" spans="1:4" ht="31.5" customHeight="1" x14ac:dyDescent="0.25">
      <c r="A535" s="43" t="s">
        <v>2229</v>
      </c>
      <c r="B535" s="43" t="s">
        <v>5109</v>
      </c>
      <c r="C535" s="44" t="s">
        <v>3018</v>
      </c>
      <c r="D535" s="45" t="s">
        <v>3815</v>
      </c>
    </row>
    <row r="536" spans="1:4" ht="31.5" customHeight="1" x14ac:dyDescent="0.25">
      <c r="A536" s="43" t="s">
        <v>2234</v>
      </c>
      <c r="B536" s="43" t="s">
        <v>5110</v>
      </c>
      <c r="C536" s="44" t="s">
        <v>379</v>
      </c>
      <c r="D536" s="45" t="s">
        <v>3816</v>
      </c>
    </row>
    <row r="537" spans="1:4" ht="47.25" customHeight="1" x14ac:dyDescent="0.25">
      <c r="A537" s="43" t="s">
        <v>2240</v>
      </c>
      <c r="B537" s="43" t="s">
        <v>5111</v>
      </c>
      <c r="C537" s="44" t="s">
        <v>5112</v>
      </c>
      <c r="D537" s="45" t="s">
        <v>3817</v>
      </c>
    </row>
    <row r="538" spans="1:4" ht="47.25" customHeight="1" x14ac:dyDescent="0.25">
      <c r="A538" s="43" t="s">
        <v>2244</v>
      </c>
      <c r="B538" s="43" t="s">
        <v>5113</v>
      </c>
      <c r="C538" s="44" t="s">
        <v>1202</v>
      </c>
      <c r="D538" s="45" t="s">
        <v>3818</v>
      </c>
    </row>
    <row r="539" spans="1:4" ht="47.25" customHeight="1" x14ac:dyDescent="0.25">
      <c r="A539" s="43" t="s">
        <v>2249</v>
      </c>
      <c r="B539" s="43" t="s">
        <v>5114</v>
      </c>
      <c r="C539" s="44" t="s">
        <v>604</v>
      </c>
      <c r="D539" s="45" t="s">
        <v>3819</v>
      </c>
    </row>
    <row r="540" spans="1:4" ht="63" customHeight="1" x14ac:dyDescent="0.25">
      <c r="A540" s="43" t="s">
        <v>2252</v>
      </c>
      <c r="B540" s="43" t="s">
        <v>5115</v>
      </c>
      <c r="C540" s="44" t="s">
        <v>5116</v>
      </c>
      <c r="D540" s="45" t="s">
        <v>3820</v>
      </c>
    </row>
    <row r="541" spans="1:4" ht="47.25" customHeight="1" x14ac:dyDescent="0.25">
      <c r="A541" s="43" t="s">
        <v>2256</v>
      </c>
      <c r="B541" s="43" t="s">
        <v>5117</v>
      </c>
      <c r="C541" s="44" t="s">
        <v>5118</v>
      </c>
      <c r="D541" s="45" t="s">
        <v>3821</v>
      </c>
    </row>
    <row r="542" spans="1:4" ht="31.5" customHeight="1" x14ac:dyDescent="0.25">
      <c r="A542" s="43" t="s">
        <v>2261</v>
      </c>
      <c r="B542" s="43" t="s">
        <v>5119</v>
      </c>
      <c r="C542" s="44" t="s">
        <v>633</v>
      </c>
      <c r="D542" s="45" t="s">
        <v>3822</v>
      </c>
    </row>
    <row r="543" spans="1:4" ht="63" customHeight="1" x14ac:dyDescent="0.25">
      <c r="A543" s="43" t="s">
        <v>2266</v>
      </c>
      <c r="B543" s="43" t="s">
        <v>5120</v>
      </c>
      <c r="C543" s="44" t="s">
        <v>324</v>
      </c>
      <c r="D543" s="45" t="s">
        <v>3823</v>
      </c>
    </row>
    <row r="544" spans="1:4" ht="31.5" customHeight="1" x14ac:dyDescent="0.25">
      <c r="A544" s="43" t="s">
        <v>2272</v>
      </c>
      <c r="B544" s="43" t="s">
        <v>5121</v>
      </c>
      <c r="C544" s="44" t="s">
        <v>302</v>
      </c>
      <c r="D544" s="45" t="s">
        <v>3824</v>
      </c>
    </row>
    <row r="545" spans="1:4" ht="47.25" customHeight="1" x14ac:dyDescent="0.25">
      <c r="A545" s="43" t="s">
        <v>2277</v>
      </c>
      <c r="B545" s="43" t="s">
        <v>5122</v>
      </c>
      <c r="C545" s="44" t="s">
        <v>786</v>
      </c>
      <c r="D545" s="45" t="s">
        <v>3825</v>
      </c>
    </row>
    <row r="546" spans="1:4" ht="47.25" customHeight="1" x14ac:dyDescent="0.25">
      <c r="A546" s="43" t="s">
        <v>2282</v>
      </c>
      <c r="B546" s="43" t="s">
        <v>5123</v>
      </c>
      <c r="C546" s="44" t="s">
        <v>1503</v>
      </c>
      <c r="D546" s="45" t="s">
        <v>3826</v>
      </c>
    </row>
    <row r="547" spans="1:4" ht="47.25" customHeight="1" x14ac:dyDescent="0.25">
      <c r="A547" s="43" t="s">
        <v>2287</v>
      </c>
      <c r="B547" s="43" t="s">
        <v>5124</v>
      </c>
      <c r="C547" s="44" t="s">
        <v>2061</v>
      </c>
      <c r="D547" s="45" t="s">
        <v>3827</v>
      </c>
    </row>
    <row r="548" spans="1:4" ht="47.25" customHeight="1" x14ac:dyDescent="0.25">
      <c r="A548" s="43" t="s">
        <v>2290</v>
      </c>
      <c r="B548" s="43" t="s">
        <v>5125</v>
      </c>
      <c r="C548" s="44" t="s">
        <v>4797</v>
      </c>
      <c r="D548" s="45" t="s">
        <v>3828</v>
      </c>
    </row>
    <row r="549" spans="1:4" ht="47.25" customHeight="1" x14ac:dyDescent="0.25">
      <c r="A549" s="43" t="s">
        <v>2294</v>
      </c>
      <c r="B549" s="43" t="s">
        <v>5126</v>
      </c>
      <c r="C549" s="44" t="s">
        <v>5127</v>
      </c>
      <c r="D549" s="45" t="s">
        <v>3829</v>
      </c>
    </row>
    <row r="550" spans="1:4" ht="63" customHeight="1" x14ac:dyDescent="0.25">
      <c r="A550" s="43" t="s">
        <v>2299</v>
      </c>
      <c r="B550" s="43" t="s">
        <v>5128</v>
      </c>
      <c r="C550" s="44" t="s">
        <v>489</v>
      </c>
      <c r="D550" s="45" t="s">
        <v>3830</v>
      </c>
    </row>
    <row r="551" spans="1:4" ht="78.75" customHeight="1" x14ac:dyDescent="0.25">
      <c r="A551" s="43" t="s">
        <v>2303</v>
      </c>
      <c r="B551" s="43" t="s">
        <v>5129</v>
      </c>
      <c r="C551" s="44" t="s">
        <v>2039</v>
      </c>
      <c r="D551" s="45" t="s">
        <v>3831</v>
      </c>
    </row>
    <row r="552" spans="1:4" ht="63" customHeight="1" x14ac:dyDescent="0.25">
      <c r="A552" s="43" t="s">
        <v>2307</v>
      </c>
      <c r="B552" s="43" t="s">
        <v>5130</v>
      </c>
      <c r="C552" s="44" t="s">
        <v>5127</v>
      </c>
      <c r="D552" s="45" t="s">
        <v>3832</v>
      </c>
    </row>
    <row r="553" spans="1:4" ht="47.25" customHeight="1" x14ac:dyDescent="0.25">
      <c r="A553" s="43" t="s">
        <v>2312</v>
      </c>
      <c r="B553" s="43" t="s">
        <v>5131</v>
      </c>
      <c r="C553" s="44" t="s">
        <v>4880</v>
      </c>
      <c r="D553" s="45" t="s">
        <v>3729</v>
      </c>
    </row>
    <row r="554" spans="1:4" ht="47.25" customHeight="1" x14ac:dyDescent="0.25">
      <c r="A554" s="43" t="s">
        <v>2317</v>
      </c>
      <c r="B554" s="43" t="s">
        <v>5132</v>
      </c>
      <c r="C554" s="44" t="s">
        <v>358</v>
      </c>
      <c r="D554" s="45" t="s">
        <v>3833</v>
      </c>
    </row>
    <row r="555" spans="1:4" ht="63" customHeight="1" x14ac:dyDescent="0.25">
      <c r="A555" s="43" t="s">
        <v>2322</v>
      </c>
      <c r="B555" s="43" t="s">
        <v>5133</v>
      </c>
      <c r="C555" s="44" t="s">
        <v>5134</v>
      </c>
      <c r="D555" s="45" t="s">
        <v>3834</v>
      </c>
    </row>
    <row r="556" spans="1:4" ht="63" customHeight="1" x14ac:dyDescent="0.25">
      <c r="A556" s="43" t="s">
        <v>2326</v>
      </c>
      <c r="B556" s="43" t="s">
        <v>5135</v>
      </c>
      <c r="C556" s="44" t="s">
        <v>5116</v>
      </c>
      <c r="D556" s="45" t="s">
        <v>3835</v>
      </c>
    </row>
    <row r="557" spans="1:4" ht="63" customHeight="1" x14ac:dyDescent="0.25">
      <c r="A557" s="43" t="s">
        <v>2329</v>
      </c>
      <c r="B557" s="43" t="s">
        <v>5136</v>
      </c>
      <c r="C557" s="44" t="s">
        <v>1659</v>
      </c>
      <c r="D557" s="45" t="s">
        <v>3836</v>
      </c>
    </row>
    <row r="558" spans="1:4" ht="78.75" customHeight="1" x14ac:dyDescent="0.25">
      <c r="A558" s="43" t="s">
        <v>2334</v>
      </c>
      <c r="B558" s="43" t="s">
        <v>5137</v>
      </c>
      <c r="C558" s="44" t="s">
        <v>809</v>
      </c>
      <c r="D558" s="45" t="s">
        <v>3837</v>
      </c>
    </row>
    <row r="559" spans="1:4" ht="31.5" customHeight="1" x14ac:dyDescent="0.25">
      <c r="A559" s="43" t="s">
        <v>2337</v>
      </c>
      <c r="B559" s="43" t="s">
        <v>5138</v>
      </c>
      <c r="C559" s="44" t="s">
        <v>5139</v>
      </c>
      <c r="D559" s="45" t="s">
        <v>3838</v>
      </c>
    </row>
    <row r="560" spans="1:4" ht="47.25" customHeight="1" x14ac:dyDescent="0.25">
      <c r="A560" s="43" t="s">
        <v>2341</v>
      </c>
      <c r="B560" s="43" t="s">
        <v>5140</v>
      </c>
      <c r="C560" s="44" t="s">
        <v>358</v>
      </c>
      <c r="D560" s="45" t="s">
        <v>3839</v>
      </c>
    </row>
    <row r="561" spans="1:4" ht="31.5" customHeight="1" x14ac:dyDescent="0.25">
      <c r="A561" s="43" t="s">
        <v>2346</v>
      </c>
      <c r="B561" s="43" t="s">
        <v>5141</v>
      </c>
      <c r="C561" s="44" t="s">
        <v>1321</v>
      </c>
      <c r="D561" s="45" t="s">
        <v>3840</v>
      </c>
    </row>
    <row r="562" spans="1:4" ht="47.25" customHeight="1" x14ac:dyDescent="0.25">
      <c r="A562" s="43" t="s">
        <v>2351</v>
      </c>
      <c r="B562" s="43" t="s">
        <v>5142</v>
      </c>
      <c r="C562" s="44" t="s">
        <v>363</v>
      </c>
      <c r="D562" s="45" t="s">
        <v>3841</v>
      </c>
    </row>
    <row r="563" spans="1:4" ht="31.5" customHeight="1" x14ac:dyDescent="0.25">
      <c r="A563" s="43" t="s">
        <v>2355</v>
      </c>
      <c r="B563" s="43" t="s">
        <v>5143</v>
      </c>
      <c r="C563" s="44" t="s">
        <v>5144</v>
      </c>
      <c r="D563" s="45" t="s">
        <v>3842</v>
      </c>
    </row>
    <row r="564" spans="1:4" ht="31.5" customHeight="1" x14ac:dyDescent="0.25">
      <c r="A564" s="43" t="s">
        <v>2359</v>
      </c>
      <c r="B564" s="43" t="s">
        <v>5145</v>
      </c>
      <c r="C564" s="44" t="s">
        <v>1659</v>
      </c>
      <c r="D564" s="45" t="s">
        <v>3843</v>
      </c>
    </row>
    <row r="565" spans="1:4" ht="31.5" customHeight="1" x14ac:dyDescent="0.25">
      <c r="A565" s="43" t="s">
        <v>2363</v>
      </c>
      <c r="B565" s="43" t="s">
        <v>5146</v>
      </c>
      <c r="C565" s="44" t="s">
        <v>369</v>
      </c>
      <c r="D565" s="45" t="s">
        <v>3844</v>
      </c>
    </row>
    <row r="566" spans="1:4" ht="31.5" customHeight="1" x14ac:dyDescent="0.25">
      <c r="A566" s="43" t="s">
        <v>2367</v>
      </c>
      <c r="B566" s="43" t="s">
        <v>5147</v>
      </c>
      <c r="C566" s="44" t="s">
        <v>5148</v>
      </c>
      <c r="D566" s="45" t="s">
        <v>3845</v>
      </c>
    </row>
    <row r="567" spans="1:4" ht="47.25" customHeight="1" x14ac:dyDescent="0.25">
      <c r="A567" s="43" t="s">
        <v>2372</v>
      </c>
      <c r="B567" s="43" t="s">
        <v>5149</v>
      </c>
      <c r="C567" s="44" t="s">
        <v>560</v>
      </c>
      <c r="D567" s="45" t="s">
        <v>3846</v>
      </c>
    </row>
    <row r="568" spans="1:4" ht="31.5" customHeight="1" x14ac:dyDescent="0.25">
      <c r="A568" s="43" t="s">
        <v>2376</v>
      </c>
      <c r="B568" s="43" t="s">
        <v>5150</v>
      </c>
      <c r="C568" s="44" t="s">
        <v>1321</v>
      </c>
      <c r="D568" s="45" t="s">
        <v>3847</v>
      </c>
    </row>
    <row r="569" spans="1:4" ht="31.5" customHeight="1" x14ac:dyDescent="0.25">
      <c r="A569" s="43" t="s">
        <v>2380</v>
      </c>
      <c r="B569" s="43" t="s">
        <v>5151</v>
      </c>
      <c r="C569" s="44" t="s">
        <v>2962</v>
      </c>
      <c r="D569" s="45" t="s">
        <v>3848</v>
      </c>
    </row>
    <row r="570" spans="1:4" ht="47.25" customHeight="1" x14ac:dyDescent="0.25">
      <c r="A570" s="43" t="s">
        <v>2383</v>
      </c>
      <c r="B570" s="43" t="s">
        <v>5152</v>
      </c>
      <c r="C570" s="44" t="s">
        <v>5061</v>
      </c>
      <c r="D570" s="45" t="s">
        <v>3849</v>
      </c>
    </row>
    <row r="571" spans="1:4" ht="47.25" customHeight="1" x14ac:dyDescent="0.25">
      <c r="A571" s="43" t="s">
        <v>2387</v>
      </c>
      <c r="B571" s="43" t="s">
        <v>5153</v>
      </c>
      <c r="C571" s="44" t="s">
        <v>1329</v>
      </c>
      <c r="D571" s="45" t="s">
        <v>3850</v>
      </c>
    </row>
    <row r="572" spans="1:4" ht="31.5" customHeight="1" x14ac:dyDescent="0.25">
      <c r="A572" s="43" t="s">
        <v>2391</v>
      </c>
      <c r="B572" s="43" t="s">
        <v>5154</v>
      </c>
      <c r="C572" s="44" t="s">
        <v>5148</v>
      </c>
      <c r="D572" s="45" t="s">
        <v>3851</v>
      </c>
    </row>
    <row r="573" spans="1:4" ht="63" customHeight="1" x14ac:dyDescent="0.25">
      <c r="A573" s="43" t="s">
        <v>2395</v>
      </c>
      <c r="B573" s="43" t="s">
        <v>5155</v>
      </c>
      <c r="C573" s="44" t="s">
        <v>5112</v>
      </c>
      <c r="D573" s="45" t="s">
        <v>3852</v>
      </c>
    </row>
    <row r="574" spans="1:4" ht="47.25" customHeight="1" x14ac:dyDescent="0.25">
      <c r="A574" s="43" t="s">
        <v>2399</v>
      </c>
      <c r="B574" s="43" t="s">
        <v>5156</v>
      </c>
      <c r="C574" s="44" t="s">
        <v>379</v>
      </c>
      <c r="D574" s="45" t="s">
        <v>3853</v>
      </c>
    </row>
    <row r="575" spans="1:4" ht="47.25" customHeight="1" x14ac:dyDescent="0.25">
      <c r="A575" s="43" t="s">
        <v>2402</v>
      </c>
      <c r="B575" s="43" t="s">
        <v>5157</v>
      </c>
      <c r="C575" s="44" t="s">
        <v>4612</v>
      </c>
      <c r="D575" s="45" t="s">
        <v>3854</v>
      </c>
    </row>
    <row r="576" spans="1:4" ht="63" customHeight="1" x14ac:dyDescent="0.25">
      <c r="A576" s="43" t="s">
        <v>2407</v>
      </c>
      <c r="B576" s="43" t="s">
        <v>5158</v>
      </c>
      <c r="C576" s="44" t="s">
        <v>744</v>
      </c>
      <c r="D576" s="45" t="s">
        <v>3855</v>
      </c>
    </row>
    <row r="577" spans="1:4" ht="94.5" customHeight="1" x14ac:dyDescent="0.25">
      <c r="A577" s="43" t="s">
        <v>2411</v>
      </c>
      <c r="B577" s="43" t="s">
        <v>5159</v>
      </c>
      <c r="C577" s="44" t="s">
        <v>324</v>
      </c>
      <c r="D577" s="45" t="s">
        <v>3856</v>
      </c>
    </row>
    <row r="578" spans="1:4" ht="110.25" customHeight="1" x14ac:dyDescent="0.25">
      <c r="A578" s="43" t="s">
        <v>2416</v>
      </c>
      <c r="B578" s="43" t="s">
        <v>5160</v>
      </c>
      <c r="C578" s="44" t="s">
        <v>795</v>
      </c>
      <c r="D578" s="45" t="s">
        <v>3857</v>
      </c>
    </row>
    <row r="579" spans="1:4" ht="47.25" customHeight="1" x14ac:dyDescent="0.25">
      <c r="A579" s="43" t="s">
        <v>2421</v>
      </c>
      <c r="B579" s="43" t="s">
        <v>5161</v>
      </c>
      <c r="C579" s="44" t="s">
        <v>4480</v>
      </c>
      <c r="D579" s="45" t="s">
        <v>3858</v>
      </c>
    </row>
    <row r="580" spans="1:4" ht="63" customHeight="1" x14ac:dyDescent="0.25">
      <c r="A580" s="43" t="s">
        <v>2425</v>
      </c>
      <c r="B580" s="43" t="s">
        <v>5162</v>
      </c>
      <c r="C580" s="44" t="s">
        <v>5163</v>
      </c>
      <c r="D580" s="45" t="s">
        <v>3859</v>
      </c>
    </row>
    <row r="581" spans="1:4" ht="31.5" customHeight="1" x14ac:dyDescent="0.25">
      <c r="A581" s="43" t="s">
        <v>2431</v>
      </c>
      <c r="B581" s="43" t="s">
        <v>5164</v>
      </c>
      <c r="C581" s="44" t="s">
        <v>1329</v>
      </c>
      <c r="D581" s="45" t="s">
        <v>3860</v>
      </c>
    </row>
    <row r="582" spans="1:4" ht="47.25" customHeight="1" x14ac:dyDescent="0.25">
      <c r="A582" s="43" t="s">
        <v>2435</v>
      </c>
      <c r="B582" s="43" t="s">
        <v>5165</v>
      </c>
      <c r="C582" s="44" t="s">
        <v>824</v>
      </c>
      <c r="D582" s="45" t="s">
        <v>3861</v>
      </c>
    </row>
    <row r="583" spans="1:4" ht="47.25" customHeight="1" x14ac:dyDescent="0.25">
      <c r="A583" s="43" t="s">
        <v>2439</v>
      </c>
      <c r="B583" s="43" t="s">
        <v>5166</v>
      </c>
      <c r="C583" s="44" t="s">
        <v>2510</v>
      </c>
      <c r="D583" s="45" t="s">
        <v>3862</v>
      </c>
    </row>
    <row r="584" spans="1:4" ht="47.25" customHeight="1" x14ac:dyDescent="0.25">
      <c r="A584" s="43" t="s">
        <v>2444</v>
      </c>
      <c r="B584" s="43" t="s">
        <v>5167</v>
      </c>
      <c r="C584" s="44" t="s">
        <v>2923</v>
      </c>
      <c r="D584" s="45" t="s">
        <v>3863</v>
      </c>
    </row>
    <row r="585" spans="1:4" ht="47.25" customHeight="1" x14ac:dyDescent="0.25">
      <c r="A585" s="43" t="s">
        <v>2447</v>
      </c>
      <c r="B585" s="43" t="s">
        <v>5168</v>
      </c>
      <c r="C585" s="44" t="s">
        <v>5169</v>
      </c>
      <c r="D585" s="45" t="s">
        <v>3864</v>
      </c>
    </row>
    <row r="586" spans="1:4" ht="63" customHeight="1" x14ac:dyDescent="0.25">
      <c r="A586" s="43" t="s">
        <v>2450</v>
      </c>
      <c r="B586" s="43" t="s">
        <v>5170</v>
      </c>
      <c r="C586" s="44" t="s">
        <v>1087</v>
      </c>
      <c r="D586" s="45" t="s">
        <v>3865</v>
      </c>
    </row>
    <row r="587" spans="1:4" ht="31.5" customHeight="1" x14ac:dyDescent="0.25">
      <c r="A587" s="43" t="s">
        <v>2455</v>
      </c>
      <c r="B587" s="43" t="s">
        <v>5171</v>
      </c>
      <c r="C587" s="44" t="s">
        <v>5172</v>
      </c>
      <c r="D587" s="45" t="s">
        <v>3866</v>
      </c>
    </row>
    <row r="588" spans="1:4" ht="63" customHeight="1" x14ac:dyDescent="0.25">
      <c r="A588" s="43" t="s">
        <v>2459</v>
      </c>
      <c r="B588" s="43" t="s">
        <v>5173</v>
      </c>
      <c r="C588" s="44" t="s">
        <v>4732</v>
      </c>
      <c r="D588" s="45" t="s">
        <v>3867</v>
      </c>
    </row>
    <row r="589" spans="1:4" ht="47.25" customHeight="1" x14ac:dyDescent="0.25">
      <c r="A589" s="43" t="s">
        <v>2464</v>
      </c>
      <c r="B589" s="43" t="s">
        <v>5174</v>
      </c>
      <c r="C589" s="44" t="s">
        <v>5175</v>
      </c>
      <c r="D589" s="45" t="s">
        <v>3868</v>
      </c>
    </row>
    <row r="590" spans="1:4" ht="31.5" customHeight="1" x14ac:dyDescent="0.25">
      <c r="A590" s="43" t="s">
        <v>2468</v>
      </c>
      <c r="B590" s="43" t="s">
        <v>5176</v>
      </c>
      <c r="C590" s="44" t="s">
        <v>578</v>
      </c>
      <c r="D590" s="45" t="s">
        <v>3869</v>
      </c>
    </row>
    <row r="591" spans="1:4" ht="47.25" customHeight="1" x14ac:dyDescent="0.25">
      <c r="A591" s="43" t="s">
        <v>2474</v>
      </c>
      <c r="B591" s="43" t="s">
        <v>5177</v>
      </c>
      <c r="C591" s="44" t="s">
        <v>5178</v>
      </c>
      <c r="D591" s="45" t="s">
        <v>3870</v>
      </c>
    </row>
    <row r="592" spans="1:4" ht="47.25" customHeight="1" x14ac:dyDescent="0.25">
      <c r="A592" s="43" t="s">
        <v>2477</v>
      </c>
      <c r="B592" s="43" t="s">
        <v>5179</v>
      </c>
      <c r="C592" s="44" t="s">
        <v>3123</v>
      </c>
      <c r="D592" s="45" t="s">
        <v>3871</v>
      </c>
    </row>
    <row r="593" spans="1:4" ht="47.25" customHeight="1" x14ac:dyDescent="0.25">
      <c r="A593" s="43" t="s">
        <v>2481</v>
      </c>
      <c r="B593" s="43" t="s">
        <v>5180</v>
      </c>
      <c r="C593" s="44" t="s">
        <v>3018</v>
      </c>
      <c r="D593" s="45" t="s">
        <v>3872</v>
      </c>
    </row>
    <row r="594" spans="1:4" ht="47.25" customHeight="1" x14ac:dyDescent="0.25">
      <c r="A594" s="43" t="s">
        <v>2485</v>
      </c>
      <c r="B594" s="43" t="s">
        <v>5181</v>
      </c>
      <c r="C594" s="44" t="s">
        <v>752</v>
      </c>
      <c r="D594" s="45" t="s">
        <v>3873</v>
      </c>
    </row>
    <row r="595" spans="1:4" ht="31.5" customHeight="1" x14ac:dyDescent="0.25">
      <c r="A595" s="43" t="s">
        <v>2489</v>
      </c>
      <c r="B595" s="43" t="s">
        <v>5182</v>
      </c>
      <c r="C595" s="44" t="s">
        <v>5183</v>
      </c>
      <c r="D595" s="45" t="s">
        <v>3874</v>
      </c>
    </row>
    <row r="596" spans="1:4" ht="63" customHeight="1" x14ac:dyDescent="0.25">
      <c r="A596" s="43" t="s">
        <v>2493</v>
      </c>
      <c r="B596" s="43" t="s">
        <v>5184</v>
      </c>
      <c r="C596" s="44" t="s">
        <v>924</v>
      </c>
      <c r="D596" s="45" t="s">
        <v>3875</v>
      </c>
    </row>
    <row r="597" spans="1:4" ht="31.5" customHeight="1" x14ac:dyDescent="0.25">
      <c r="A597" s="43" t="s">
        <v>2497</v>
      </c>
      <c r="B597" s="43" t="s">
        <v>5185</v>
      </c>
      <c r="C597" s="44" t="s">
        <v>5186</v>
      </c>
      <c r="D597" s="45" t="s">
        <v>3876</v>
      </c>
    </row>
    <row r="598" spans="1:4" ht="63" customHeight="1" x14ac:dyDescent="0.25">
      <c r="A598" s="43" t="s">
        <v>2502</v>
      </c>
      <c r="B598" s="43" t="s">
        <v>5187</v>
      </c>
      <c r="C598" s="44" t="s">
        <v>5186</v>
      </c>
      <c r="D598" s="45" t="s">
        <v>3877</v>
      </c>
    </row>
    <row r="599" spans="1:4" ht="31.5" customHeight="1" x14ac:dyDescent="0.25">
      <c r="A599" s="43" t="s">
        <v>2508</v>
      </c>
      <c r="B599" s="43" t="s">
        <v>5188</v>
      </c>
      <c r="C599" s="44" t="s">
        <v>519</v>
      </c>
      <c r="D599" s="45" t="s">
        <v>3878</v>
      </c>
    </row>
    <row r="600" spans="1:4" ht="31.5" customHeight="1" x14ac:dyDescent="0.25">
      <c r="A600" s="43" t="s">
        <v>2513</v>
      </c>
      <c r="B600" s="43" t="s">
        <v>5189</v>
      </c>
      <c r="C600" s="44" t="s">
        <v>519</v>
      </c>
      <c r="D600" s="45" t="s">
        <v>3879</v>
      </c>
    </row>
    <row r="601" spans="1:4" ht="47.25" customHeight="1" x14ac:dyDescent="0.25">
      <c r="A601" s="43" t="s">
        <v>2518</v>
      </c>
      <c r="B601" s="43" t="s">
        <v>5190</v>
      </c>
      <c r="C601" s="44" t="s">
        <v>1595</v>
      </c>
      <c r="D601" s="45" t="s">
        <v>3880</v>
      </c>
    </row>
    <row r="602" spans="1:4" ht="31.5" customHeight="1" x14ac:dyDescent="0.25">
      <c r="A602" s="43" t="s">
        <v>2522</v>
      </c>
      <c r="B602" s="43" t="s">
        <v>5191</v>
      </c>
      <c r="C602" s="44" t="s">
        <v>809</v>
      </c>
      <c r="D602" s="45" t="s">
        <v>3881</v>
      </c>
    </row>
    <row r="603" spans="1:4" ht="31.5" customHeight="1" x14ac:dyDescent="0.25">
      <c r="A603" s="43" t="s">
        <v>2527</v>
      </c>
      <c r="B603" s="43" t="s">
        <v>5192</v>
      </c>
      <c r="C603" s="44" t="s">
        <v>795</v>
      </c>
      <c r="D603" s="45" t="s">
        <v>3882</v>
      </c>
    </row>
    <row r="604" spans="1:4" ht="31.5" customHeight="1" x14ac:dyDescent="0.25">
      <c r="A604" s="43" t="s">
        <v>2531</v>
      </c>
      <c r="B604" s="43" t="s">
        <v>5193</v>
      </c>
      <c r="C604" s="44" t="s">
        <v>279</v>
      </c>
      <c r="D604" s="45" t="s">
        <v>3883</v>
      </c>
    </row>
    <row r="605" spans="1:4" ht="31.5" customHeight="1" x14ac:dyDescent="0.25">
      <c r="A605" s="43" t="s">
        <v>2535</v>
      </c>
      <c r="B605" s="43" t="s">
        <v>5194</v>
      </c>
      <c r="C605" s="44" t="s">
        <v>578</v>
      </c>
      <c r="D605" s="45" t="s">
        <v>3884</v>
      </c>
    </row>
    <row r="606" spans="1:4" ht="31.5" customHeight="1" x14ac:dyDescent="0.25">
      <c r="A606" s="43" t="s">
        <v>2540</v>
      </c>
      <c r="B606" s="43" t="s">
        <v>5195</v>
      </c>
      <c r="C606" s="44" t="s">
        <v>578</v>
      </c>
      <c r="D606" s="45" t="s">
        <v>3885</v>
      </c>
    </row>
    <row r="607" spans="1:4" ht="47.25" customHeight="1" x14ac:dyDescent="0.25">
      <c r="A607" s="43" t="s">
        <v>2544</v>
      </c>
      <c r="B607" s="43" t="s">
        <v>5196</v>
      </c>
      <c r="C607" s="44" t="s">
        <v>5197</v>
      </c>
      <c r="D607" s="45" t="s">
        <v>3886</v>
      </c>
    </row>
    <row r="608" spans="1:4" ht="31.5" customHeight="1" x14ac:dyDescent="0.25">
      <c r="A608" s="43" t="s">
        <v>2548</v>
      </c>
      <c r="B608" s="43" t="s">
        <v>5198</v>
      </c>
      <c r="C608" s="44" t="s">
        <v>269</v>
      </c>
      <c r="D608" s="45" t="s">
        <v>3887</v>
      </c>
    </row>
    <row r="609" spans="1:4" ht="47.25" customHeight="1" x14ac:dyDescent="0.25">
      <c r="A609" s="43" t="s">
        <v>2553</v>
      </c>
      <c r="B609" s="43" t="s">
        <v>5199</v>
      </c>
      <c r="C609" s="44" t="s">
        <v>2923</v>
      </c>
      <c r="D609" s="45" t="s">
        <v>3888</v>
      </c>
    </row>
    <row r="610" spans="1:4" ht="31.5" customHeight="1" x14ac:dyDescent="0.25">
      <c r="A610" s="43" t="s">
        <v>2559</v>
      </c>
      <c r="B610" s="43" t="s">
        <v>5200</v>
      </c>
      <c r="C610" s="44" t="s">
        <v>2404</v>
      </c>
      <c r="D610" s="45" t="s">
        <v>3889</v>
      </c>
    </row>
    <row r="611" spans="1:4" ht="47.25" customHeight="1" x14ac:dyDescent="0.25">
      <c r="A611" s="43" t="s">
        <v>2563</v>
      </c>
      <c r="B611" s="43" t="s">
        <v>5201</v>
      </c>
      <c r="C611" s="44" t="s">
        <v>1063</v>
      </c>
      <c r="D611" s="45" t="s">
        <v>3890</v>
      </c>
    </row>
    <row r="612" spans="1:4" ht="47.25" customHeight="1" x14ac:dyDescent="0.25">
      <c r="A612" s="43" t="s">
        <v>2567</v>
      </c>
      <c r="B612" s="43" t="s">
        <v>5202</v>
      </c>
      <c r="C612" s="44" t="s">
        <v>5203</v>
      </c>
      <c r="D612" s="45" t="s">
        <v>3891</v>
      </c>
    </row>
    <row r="613" spans="1:4" ht="47.25" customHeight="1" x14ac:dyDescent="0.25">
      <c r="A613" s="43" t="s">
        <v>2570</v>
      </c>
      <c r="B613" s="43" t="s">
        <v>5204</v>
      </c>
      <c r="C613" s="44" t="s">
        <v>260</v>
      </c>
      <c r="D613" s="45" t="s">
        <v>3892</v>
      </c>
    </row>
    <row r="614" spans="1:4" ht="31.5" customHeight="1" x14ac:dyDescent="0.25">
      <c r="A614" s="43" t="s">
        <v>2574</v>
      </c>
      <c r="B614" s="43" t="s">
        <v>5205</v>
      </c>
      <c r="C614" s="44" t="s">
        <v>5206</v>
      </c>
      <c r="D614" s="45" t="s">
        <v>3893</v>
      </c>
    </row>
    <row r="615" spans="1:4" ht="31.5" customHeight="1" x14ac:dyDescent="0.25">
      <c r="A615" s="43" t="s">
        <v>2578</v>
      </c>
      <c r="B615" s="43" t="s">
        <v>5207</v>
      </c>
      <c r="C615" s="44" t="s">
        <v>5208</v>
      </c>
      <c r="D615" s="45" t="s">
        <v>3894</v>
      </c>
    </row>
    <row r="616" spans="1:4" ht="47.25" customHeight="1" x14ac:dyDescent="0.25">
      <c r="A616" s="43" t="s">
        <v>2582</v>
      </c>
      <c r="B616" s="43" t="s">
        <v>5209</v>
      </c>
      <c r="C616" s="44" t="s">
        <v>809</v>
      </c>
      <c r="D616" s="45" t="s">
        <v>3895</v>
      </c>
    </row>
    <row r="617" spans="1:4" ht="31.5" customHeight="1" x14ac:dyDescent="0.25">
      <c r="A617" s="43" t="s">
        <v>2586</v>
      </c>
      <c r="B617" s="43" t="s">
        <v>5210</v>
      </c>
      <c r="C617" s="44" t="s">
        <v>5211</v>
      </c>
      <c r="D617" s="45" t="s">
        <v>3896</v>
      </c>
    </row>
    <row r="618" spans="1:4" ht="31.5" customHeight="1" x14ac:dyDescent="0.25">
      <c r="A618" s="43" t="s">
        <v>2591</v>
      </c>
      <c r="B618" s="43" t="s">
        <v>5212</v>
      </c>
      <c r="C618" s="44" t="s">
        <v>1228</v>
      </c>
      <c r="D618" s="45" t="s">
        <v>3897</v>
      </c>
    </row>
    <row r="619" spans="1:4" ht="78.75" customHeight="1" x14ac:dyDescent="0.25">
      <c r="A619" s="43" t="s">
        <v>2594</v>
      </c>
      <c r="B619" s="43" t="s">
        <v>5213</v>
      </c>
      <c r="C619" s="44" t="s">
        <v>681</v>
      </c>
      <c r="D619" s="45" t="s">
        <v>3898</v>
      </c>
    </row>
    <row r="620" spans="1:4" ht="47.25" customHeight="1" x14ac:dyDescent="0.25">
      <c r="A620" s="43" t="s">
        <v>2599</v>
      </c>
      <c r="B620" s="43" t="s">
        <v>5214</v>
      </c>
      <c r="C620" s="44" t="s">
        <v>4821</v>
      </c>
      <c r="D620" s="45" t="s">
        <v>3899</v>
      </c>
    </row>
    <row r="621" spans="1:4" ht="47.25" customHeight="1" x14ac:dyDescent="0.25">
      <c r="A621" s="43" t="s">
        <v>2603</v>
      </c>
      <c r="B621" s="43" t="s">
        <v>5215</v>
      </c>
      <c r="C621" s="44" t="s">
        <v>560</v>
      </c>
      <c r="D621" s="45" t="s">
        <v>3900</v>
      </c>
    </row>
    <row r="622" spans="1:4" ht="31.5" customHeight="1" x14ac:dyDescent="0.25">
      <c r="A622" s="43" t="s">
        <v>2608</v>
      </c>
      <c r="B622" s="43" t="s">
        <v>5216</v>
      </c>
      <c r="C622" s="44" t="s">
        <v>221</v>
      </c>
      <c r="D622" s="45" t="s">
        <v>3901</v>
      </c>
    </row>
    <row r="623" spans="1:4" ht="63" customHeight="1" x14ac:dyDescent="0.25">
      <c r="A623" s="43" t="s">
        <v>2612</v>
      </c>
      <c r="B623" s="43" t="s">
        <v>5217</v>
      </c>
      <c r="C623" s="54" t="s">
        <v>5218</v>
      </c>
      <c r="D623" s="45" t="s">
        <v>3902</v>
      </c>
    </row>
    <row r="624" spans="1:4" ht="47.25" customHeight="1" x14ac:dyDescent="0.25">
      <c r="A624" s="43" t="s">
        <v>2616</v>
      </c>
      <c r="B624" s="43" t="s">
        <v>5219</v>
      </c>
      <c r="C624" s="44" t="s">
        <v>4455</v>
      </c>
      <c r="D624" s="45" t="s">
        <v>3903</v>
      </c>
    </row>
    <row r="625" spans="1:4" ht="47.25" customHeight="1" x14ac:dyDescent="0.25">
      <c r="A625" s="43" t="s">
        <v>2620</v>
      </c>
      <c r="B625" s="43" t="s">
        <v>5220</v>
      </c>
      <c r="C625" s="44" t="s">
        <v>1338</v>
      </c>
      <c r="D625" s="45" t="s">
        <v>3904</v>
      </c>
    </row>
    <row r="626" spans="1:4" ht="47.25" customHeight="1" x14ac:dyDescent="0.25">
      <c r="A626" s="43" t="s">
        <v>2624</v>
      </c>
      <c r="B626" s="43" t="s">
        <v>5221</v>
      </c>
      <c r="C626" s="44" t="s">
        <v>5222</v>
      </c>
      <c r="D626" s="45" t="s">
        <v>3905</v>
      </c>
    </row>
    <row r="627" spans="1:4" ht="31.5" customHeight="1" x14ac:dyDescent="0.25">
      <c r="A627" s="43" t="s">
        <v>2628</v>
      </c>
      <c r="B627" s="43" t="s">
        <v>5223</v>
      </c>
      <c r="C627" s="44" t="s">
        <v>369</v>
      </c>
      <c r="D627" s="45" t="s">
        <v>3906</v>
      </c>
    </row>
    <row r="628" spans="1:4" ht="31.5" customHeight="1" x14ac:dyDescent="0.25">
      <c r="A628" s="43" t="s">
        <v>2632</v>
      </c>
      <c r="B628" s="43" t="s">
        <v>5224</v>
      </c>
      <c r="C628" s="44" t="s">
        <v>3123</v>
      </c>
      <c r="D628" s="45" t="s">
        <v>3907</v>
      </c>
    </row>
    <row r="629" spans="1:4" ht="47.25" customHeight="1" x14ac:dyDescent="0.25">
      <c r="A629" s="43" t="s">
        <v>2637</v>
      </c>
      <c r="B629" s="43" t="s">
        <v>5225</v>
      </c>
      <c r="C629" s="44" t="s">
        <v>4728</v>
      </c>
      <c r="D629" s="45" t="s">
        <v>3908</v>
      </c>
    </row>
    <row r="630" spans="1:4" ht="47.25" customHeight="1" x14ac:dyDescent="0.25">
      <c r="A630" s="43" t="s">
        <v>2641</v>
      </c>
      <c r="B630" s="43" t="s">
        <v>5226</v>
      </c>
      <c r="C630" s="44" t="s">
        <v>5227</v>
      </c>
      <c r="D630" s="45" t="s">
        <v>3909</v>
      </c>
    </row>
    <row r="631" spans="1:4" ht="63" customHeight="1" x14ac:dyDescent="0.25">
      <c r="A631" s="43" t="s">
        <v>2645</v>
      </c>
      <c r="B631" s="43" t="s">
        <v>5228</v>
      </c>
      <c r="C631" s="44" t="s">
        <v>5067</v>
      </c>
      <c r="D631" s="45" t="s">
        <v>3910</v>
      </c>
    </row>
    <row r="632" spans="1:4" ht="47.25" customHeight="1" x14ac:dyDescent="0.25">
      <c r="A632" s="43" t="s">
        <v>2649</v>
      </c>
      <c r="B632" s="43" t="s">
        <v>5229</v>
      </c>
      <c r="C632" s="44" t="s">
        <v>296</v>
      </c>
      <c r="D632" s="45" t="s">
        <v>3911</v>
      </c>
    </row>
    <row r="633" spans="1:4" ht="47.25" customHeight="1" x14ac:dyDescent="0.25">
      <c r="A633" s="43" t="s">
        <v>2653</v>
      </c>
      <c r="B633" s="43" t="s">
        <v>5230</v>
      </c>
      <c r="C633" s="44" t="s">
        <v>5011</v>
      </c>
      <c r="D633" s="45" t="s">
        <v>3912</v>
      </c>
    </row>
    <row r="634" spans="1:4" ht="31.5" customHeight="1" x14ac:dyDescent="0.25">
      <c r="A634" s="43" t="s">
        <v>2658</v>
      </c>
      <c r="B634" s="43" t="s">
        <v>5231</v>
      </c>
      <c r="C634" s="44" t="s">
        <v>5186</v>
      </c>
      <c r="D634" s="45" t="s">
        <v>3913</v>
      </c>
    </row>
    <row r="635" spans="1:4" ht="31.5" customHeight="1" x14ac:dyDescent="0.25">
      <c r="A635" s="43" t="s">
        <v>2664</v>
      </c>
      <c r="B635" s="43" t="s">
        <v>5232</v>
      </c>
      <c r="C635" s="44" t="s">
        <v>4601</v>
      </c>
      <c r="D635" s="45" t="s">
        <v>3914</v>
      </c>
    </row>
    <row r="636" spans="1:4" ht="31.5" customHeight="1" x14ac:dyDescent="0.25">
      <c r="A636" s="43" t="s">
        <v>2668</v>
      </c>
      <c r="B636" s="43" t="s">
        <v>5233</v>
      </c>
      <c r="C636" s="44" t="s">
        <v>4601</v>
      </c>
      <c r="D636" s="45" t="s">
        <v>3915</v>
      </c>
    </row>
    <row r="637" spans="1:4" ht="63" customHeight="1" x14ac:dyDescent="0.25">
      <c r="A637" s="43" t="s">
        <v>2672</v>
      </c>
      <c r="B637" s="43" t="s">
        <v>5234</v>
      </c>
      <c r="C637" s="44" t="s">
        <v>1533</v>
      </c>
      <c r="D637" s="45" t="s">
        <v>3916</v>
      </c>
    </row>
    <row r="638" spans="1:4" ht="31.5" customHeight="1" x14ac:dyDescent="0.25">
      <c r="A638" s="43" t="s">
        <v>2677</v>
      </c>
      <c r="B638" s="43" t="s">
        <v>5235</v>
      </c>
      <c r="C638" s="44" t="s">
        <v>269</v>
      </c>
      <c r="D638" s="45" t="s">
        <v>3917</v>
      </c>
    </row>
    <row r="639" spans="1:4" ht="47.25" customHeight="1" x14ac:dyDescent="0.25">
      <c r="A639" s="43" t="s">
        <v>2681</v>
      </c>
      <c r="B639" s="43" t="s">
        <v>5236</v>
      </c>
      <c r="C639" s="44" t="s">
        <v>5237</v>
      </c>
      <c r="D639" s="45" t="s">
        <v>3918</v>
      </c>
    </row>
    <row r="640" spans="1:4" ht="47.25" customHeight="1" x14ac:dyDescent="0.25">
      <c r="A640" s="43" t="s">
        <v>2685</v>
      </c>
      <c r="B640" s="43" t="s">
        <v>5238</v>
      </c>
      <c r="C640" s="44" t="s">
        <v>4813</v>
      </c>
      <c r="D640" s="45" t="s">
        <v>3919</v>
      </c>
    </row>
    <row r="641" spans="1:4" ht="47.25" customHeight="1" x14ac:dyDescent="0.25">
      <c r="A641" s="43" t="s">
        <v>2689</v>
      </c>
      <c r="B641" s="43" t="s">
        <v>5239</v>
      </c>
      <c r="C641" s="44" t="s">
        <v>5240</v>
      </c>
      <c r="D641" s="45" t="s">
        <v>3920</v>
      </c>
    </row>
    <row r="642" spans="1:4" ht="47.25" customHeight="1" x14ac:dyDescent="0.25">
      <c r="A642" s="43" t="s">
        <v>2694</v>
      </c>
      <c r="B642" s="43" t="s">
        <v>5241</v>
      </c>
      <c r="C642" s="44" t="s">
        <v>604</v>
      </c>
      <c r="D642" s="45" t="s">
        <v>3921</v>
      </c>
    </row>
    <row r="643" spans="1:4" ht="47.25" customHeight="1" x14ac:dyDescent="0.25">
      <c r="A643" s="43" t="s">
        <v>2698</v>
      </c>
      <c r="B643" s="43" t="s">
        <v>5242</v>
      </c>
      <c r="C643" s="44" t="s">
        <v>1197</v>
      </c>
      <c r="D643" s="45" t="s">
        <v>3922</v>
      </c>
    </row>
    <row r="644" spans="1:4" ht="63" customHeight="1" x14ac:dyDescent="0.25">
      <c r="A644" s="43" t="s">
        <v>2702</v>
      </c>
      <c r="B644" s="43" t="s">
        <v>5243</v>
      </c>
      <c r="C644" s="44" t="s">
        <v>5244</v>
      </c>
      <c r="D644" s="45" t="s">
        <v>3923</v>
      </c>
    </row>
    <row r="645" spans="1:4" ht="94.5" customHeight="1" x14ac:dyDescent="0.25">
      <c r="A645" s="43" t="s">
        <v>2706</v>
      </c>
      <c r="B645" s="43" t="s">
        <v>5245</v>
      </c>
      <c r="C645" s="44" t="s">
        <v>947</v>
      </c>
      <c r="D645" s="45" t="s">
        <v>3924</v>
      </c>
    </row>
    <row r="646" spans="1:4" ht="47.25" customHeight="1" x14ac:dyDescent="0.25">
      <c r="A646" s="43" t="s">
        <v>2711</v>
      </c>
      <c r="B646" s="43" t="s">
        <v>5246</v>
      </c>
      <c r="C646" s="44" t="s">
        <v>5247</v>
      </c>
      <c r="D646" s="45" t="s">
        <v>3925</v>
      </c>
    </row>
    <row r="647" spans="1:4" ht="63" customHeight="1" x14ac:dyDescent="0.25">
      <c r="A647" s="43" t="s">
        <v>2715</v>
      </c>
      <c r="B647" s="43" t="s">
        <v>5248</v>
      </c>
      <c r="C647" s="44" t="s">
        <v>5247</v>
      </c>
      <c r="D647" s="45" t="s">
        <v>3926</v>
      </c>
    </row>
    <row r="648" spans="1:4" ht="15.75" customHeight="1" x14ac:dyDescent="0.25">
      <c r="A648" s="43" t="s">
        <v>2719</v>
      </c>
      <c r="B648" s="43" t="s">
        <v>5249</v>
      </c>
      <c r="C648" s="44" t="s">
        <v>633</v>
      </c>
      <c r="D648" s="45" t="s">
        <v>3927</v>
      </c>
    </row>
    <row r="649" spans="1:4" ht="47.25" customHeight="1" x14ac:dyDescent="0.25">
      <c r="A649" s="43" t="s">
        <v>2724</v>
      </c>
      <c r="B649" s="43" t="s">
        <v>5250</v>
      </c>
      <c r="C649" s="44" t="s">
        <v>5186</v>
      </c>
      <c r="D649" s="45" t="s">
        <v>3928</v>
      </c>
    </row>
    <row r="650" spans="1:4" ht="47.25" customHeight="1" x14ac:dyDescent="0.25">
      <c r="A650" s="43" t="s">
        <v>2728</v>
      </c>
      <c r="B650" s="43" t="s">
        <v>5251</v>
      </c>
      <c r="C650" s="44" t="s">
        <v>4527</v>
      </c>
      <c r="D650" s="45" t="s">
        <v>3929</v>
      </c>
    </row>
    <row r="651" spans="1:4" ht="47.25" customHeight="1" x14ac:dyDescent="0.25">
      <c r="A651" s="43" t="s">
        <v>2732</v>
      </c>
      <c r="B651" s="43" t="s">
        <v>5252</v>
      </c>
      <c r="C651" s="44" t="s">
        <v>548</v>
      </c>
      <c r="D651" s="45" t="s">
        <v>3930</v>
      </c>
    </row>
    <row r="652" spans="1:4" ht="63" customHeight="1" x14ac:dyDescent="0.25">
      <c r="A652" s="43" t="s">
        <v>2736</v>
      </c>
      <c r="B652" s="43" t="s">
        <v>5253</v>
      </c>
      <c r="C652" s="44" t="s">
        <v>1197</v>
      </c>
      <c r="D652" s="45" t="s">
        <v>3931</v>
      </c>
    </row>
    <row r="653" spans="1:4" ht="63" customHeight="1" x14ac:dyDescent="0.25">
      <c r="A653" s="43" t="s">
        <v>2740</v>
      </c>
      <c r="B653" s="43" t="s">
        <v>5254</v>
      </c>
      <c r="C653" s="44" t="s">
        <v>1197</v>
      </c>
      <c r="D653" s="45" t="s">
        <v>3932</v>
      </c>
    </row>
    <row r="654" spans="1:4" ht="47.25" customHeight="1" x14ac:dyDescent="0.25">
      <c r="A654" s="43" t="s">
        <v>2744</v>
      </c>
      <c r="B654" s="43" t="s">
        <v>5255</v>
      </c>
      <c r="C654" s="44" t="s">
        <v>2039</v>
      </c>
      <c r="D654" s="45" t="s">
        <v>3933</v>
      </c>
    </row>
    <row r="655" spans="1:4" ht="47.25" customHeight="1" x14ac:dyDescent="0.25">
      <c r="A655" s="43" t="s">
        <v>2748</v>
      </c>
      <c r="B655" s="43" t="s">
        <v>5256</v>
      </c>
      <c r="C655" s="44" t="s">
        <v>2039</v>
      </c>
      <c r="D655" s="45" t="s">
        <v>3934</v>
      </c>
    </row>
    <row r="656" spans="1:4" ht="31.5" customHeight="1" x14ac:dyDescent="0.25">
      <c r="A656" s="43" t="s">
        <v>2753</v>
      </c>
      <c r="B656" s="43" t="s">
        <v>5257</v>
      </c>
      <c r="C656" s="44" t="s">
        <v>2634</v>
      </c>
      <c r="D656" s="45" t="s">
        <v>3935</v>
      </c>
    </row>
    <row r="657" spans="1:4" ht="47.25" customHeight="1" x14ac:dyDescent="0.25">
      <c r="A657" s="43" t="s">
        <v>2757</v>
      </c>
      <c r="B657" s="43" t="s">
        <v>5258</v>
      </c>
      <c r="C657" s="44" t="s">
        <v>604</v>
      </c>
      <c r="D657" s="45" t="s">
        <v>3936</v>
      </c>
    </row>
    <row r="658" spans="1:4" ht="63" customHeight="1" x14ac:dyDescent="0.25">
      <c r="A658" s="43" t="s">
        <v>2761</v>
      </c>
      <c r="B658" s="43" t="s">
        <v>5259</v>
      </c>
      <c r="C658" s="44" t="s">
        <v>5260</v>
      </c>
      <c r="D658" s="45" t="s">
        <v>3937</v>
      </c>
    </row>
    <row r="659" spans="1:4" ht="47.25" customHeight="1" x14ac:dyDescent="0.25">
      <c r="A659" s="43" t="s">
        <v>2765</v>
      </c>
      <c r="B659" s="43" t="s">
        <v>5261</v>
      </c>
      <c r="C659" s="44" t="s">
        <v>519</v>
      </c>
      <c r="D659" s="45" t="s">
        <v>3938</v>
      </c>
    </row>
    <row r="660" spans="1:4" ht="31.5" customHeight="1" x14ac:dyDescent="0.25">
      <c r="A660" s="43" t="s">
        <v>2769</v>
      </c>
      <c r="B660" s="43" t="s">
        <v>5262</v>
      </c>
      <c r="C660" s="44" t="s">
        <v>5263</v>
      </c>
      <c r="D660" s="45" t="s">
        <v>3939</v>
      </c>
    </row>
    <row r="661" spans="1:4" ht="47.25" customHeight="1" x14ac:dyDescent="0.25">
      <c r="A661" s="43" t="s">
        <v>2772</v>
      </c>
      <c r="B661" s="43" t="s">
        <v>5264</v>
      </c>
      <c r="C661" s="44" t="s">
        <v>4998</v>
      </c>
      <c r="D661" s="45" t="s">
        <v>3940</v>
      </c>
    </row>
    <row r="662" spans="1:4" ht="31.5" customHeight="1" x14ac:dyDescent="0.25">
      <c r="A662" s="43" t="s">
        <v>2777</v>
      </c>
      <c r="B662" s="43" t="s">
        <v>5265</v>
      </c>
      <c r="C662" s="44" t="s">
        <v>4769</v>
      </c>
      <c r="D662" s="45" t="s">
        <v>3941</v>
      </c>
    </row>
    <row r="663" spans="1:4" ht="31.5" customHeight="1" x14ac:dyDescent="0.25">
      <c r="A663" s="43" t="s">
        <v>2781</v>
      </c>
      <c r="B663" s="43" t="s">
        <v>5266</v>
      </c>
      <c r="C663" s="44" t="s">
        <v>795</v>
      </c>
      <c r="D663" s="45" t="s">
        <v>3942</v>
      </c>
    </row>
    <row r="664" spans="1:4" ht="47.25" customHeight="1" x14ac:dyDescent="0.25">
      <c r="A664" s="43" t="s">
        <v>2786</v>
      </c>
      <c r="B664" s="43" t="s">
        <v>5267</v>
      </c>
      <c r="C664" s="44" t="s">
        <v>1106</v>
      </c>
      <c r="D664" s="45" t="s">
        <v>3943</v>
      </c>
    </row>
    <row r="665" spans="1:4" ht="31.5" customHeight="1" x14ac:dyDescent="0.25">
      <c r="A665" s="43" t="s">
        <v>2790</v>
      </c>
      <c r="B665" s="43" t="s">
        <v>5268</v>
      </c>
      <c r="C665" s="44" t="s">
        <v>396</v>
      </c>
      <c r="D665" s="45" t="s">
        <v>3944</v>
      </c>
    </row>
    <row r="666" spans="1:4" ht="47.25" customHeight="1" x14ac:dyDescent="0.25">
      <c r="A666" s="43" t="s">
        <v>2794</v>
      </c>
      <c r="B666" s="43" t="s">
        <v>5269</v>
      </c>
      <c r="C666" s="44" t="s">
        <v>5270</v>
      </c>
      <c r="D666" s="45" t="s">
        <v>3945</v>
      </c>
    </row>
    <row r="667" spans="1:4" ht="47.25" customHeight="1" x14ac:dyDescent="0.25">
      <c r="A667" s="43" t="s">
        <v>2798</v>
      </c>
      <c r="B667" s="43" t="s">
        <v>5271</v>
      </c>
      <c r="C667" s="44" t="s">
        <v>5272</v>
      </c>
      <c r="D667" s="45" t="s">
        <v>3946</v>
      </c>
    </row>
    <row r="668" spans="1:4" ht="63" customHeight="1" x14ac:dyDescent="0.25">
      <c r="A668" s="43" t="s">
        <v>2803</v>
      </c>
      <c r="B668" s="43" t="s">
        <v>5273</v>
      </c>
      <c r="C668" s="44" t="s">
        <v>3075</v>
      </c>
      <c r="D668" s="45" t="s">
        <v>3947</v>
      </c>
    </row>
    <row r="669" spans="1:4" ht="31.5" customHeight="1" x14ac:dyDescent="0.25">
      <c r="A669" s="43" t="s">
        <v>2807</v>
      </c>
      <c r="B669" s="43" t="s">
        <v>5274</v>
      </c>
      <c r="C669" s="44" t="s">
        <v>3075</v>
      </c>
      <c r="D669" s="45" t="s">
        <v>3948</v>
      </c>
    </row>
    <row r="670" spans="1:4" ht="31.5" customHeight="1" x14ac:dyDescent="0.25">
      <c r="A670" s="43" t="s">
        <v>2811</v>
      </c>
      <c r="B670" s="43" t="s">
        <v>5275</v>
      </c>
      <c r="C670" s="44" t="s">
        <v>5276</v>
      </c>
      <c r="D670" s="45" t="s">
        <v>3949</v>
      </c>
    </row>
    <row r="671" spans="1:4" ht="31.5" customHeight="1" x14ac:dyDescent="0.25">
      <c r="A671" s="43" t="s">
        <v>2816</v>
      </c>
      <c r="B671" s="43" t="s">
        <v>5277</v>
      </c>
      <c r="C671" s="44" t="s">
        <v>1379</v>
      </c>
      <c r="D671" s="45" t="s">
        <v>3950</v>
      </c>
    </row>
    <row r="672" spans="1:4" ht="63" customHeight="1" x14ac:dyDescent="0.25">
      <c r="A672" s="43" t="s">
        <v>2821</v>
      </c>
      <c r="B672" s="43" t="s">
        <v>5278</v>
      </c>
      <c r="C672" s="44" t="s">
        <v>757</v>
      </c>
      <c r="D672" s="45" t="s">
        <v>3951</v>
      </c>
    </row>
    <row r="673" spans="1:4" ht="47.25" customHeight="1" x14ac:dyDescent="0.25">
      <c r="A673" s="43" t="s">
        <v>2827</v>
      </c>
      <c r="B673" s="43" t="s">
        <v>5279</v>
      </c>
      <c r="C673" s="44" t="s">
        <v>5263</v>
      </c>
      <c r="D673" s="45" t="s">
        <v>3952</v>
      </c>
    </row>
    <row r="674" spans="1:4" ht="63" customHeight="1" x14ac:dyDescent="0.25">
      <c r="A674" s="43" t="s">
        <v>2832</v>
      </c>
      <c r="B674" s="43" t="s">
        <v>5280</v>
      </c>
      <c r="C674" s="44" t="s">
        <v>424</v>
      </c>
      <c r="D674" s="45" t="s">
        <v>3953</v>
      </c>
    </row>
    <row r="675" spans="1:4" ht="63" customHeight="1" x14ac:dyDescent="0.25">
      <c r="A675" s="43" t="s">
        <v>2836</v>
      </c>
      <c r="B675" s="43" t="s">
        <v>5281</v>
      </c>
      <c r="C675" s="44" t="s">
        <v>424</v>
      </c>
      <c r="D675" s="45" t="s">
        <v>3954</v>
      </c>
    </row>
    <row r="676" spans="1:4" ht="47.25" customHeight="1" x14ac:dyDescent="0.25">
      <c r="A676" s="43" t="s">
        <v>2840</v>
      </c>
      <c r="B676" s="43" t="s">
        <v>5282</v>
      </c>
      <c r="C676" s="44" t="s">
        <v>1329</v>
      </c>
      <c r="D676" s="45" t="s">
        <v>3955</v>
      </c>
    </row>
    <row r="677" spans="1:4" ht="31.5" customHeight="1" x14ac:dyDescent="0.25">
      <c r="A677" s="43" t="s">
        <v>2844</v>
      </c>
      <c r="B677" s="43" t="s">
        <v>5283</v>
      </c>
      <c r="C677" s="44" t="s">
        <v>4797</v>
      </c>
      <c r="D677" s="45" t="s">
        <v>3956</v>
      </c>
    </row>
    <row r="678" spans="1:4" ht="31.5" customHeight="1" x14ac:dyDescent="0.25">
      <c r="A678" s="43" t="s">
        <v>2848</v>
      </c>
      <c r="B678" s="43" t="s">
        <v>5284</v>
      </c>
      <c r="C678" s="44" t="s">
        <v>3075</v>
      </c>
      <c r="D678" s="45" t="s">
        <v>3957</v>
      </c>
    </row>
    <row r="679" spans="1:4" ht="47.25" customHeight="1" x14ac:dyDescent="0.25">
      <c r="A679" s="43" t="s">
        <v>2851</v>
      </c>
      <c r="B679" s="43" t="s">
        <v>5285</v>
      </c>
      <c r="C679" s="44" t="s">
        <v>5286</v>
      </c>
      <c r="D679" s="45" t="s">
        <v>3958</v>
      </c>
    </row>
    <row r="680" spans="1:4" ht="31.5" customHeight="1" x14ac:dyDescent="0.25">
      <c r="A680" s="43" t="s">
        <v>2855</v>
      </c>
      <c r="B680" s="43" t="s">
        <v>5287</v>
      </c>
      <c r="C680" s="44" t="s">
        <v>2331</v>
      </c>
      <c r="D680" s="45" t="s">
        <v>3959</v>
      </c>
    </row>
    <row r="681" spans="1:4" ht="47.25" customHeight="1" x14ac:dyDescent="0.25">
      <c r="A681" s="43" t="s">
        <v>2860</v>
      </c>
      <c r="B681" s="43" t="s">
        <v>5288</v>
      </c>
      <c r="C681" s="44" t="s">
        <v>5148</v>
      </c>
      <c r="D681" s="45" t="s">
        <v>3960</v>
      </c>
    </row>
    <row r="682" spans="1:4" ht="31.5" customHeight="1" x14ac:dyDescent="0.25">
      <c r="A682" s="43" t="s">
        <v>2864</v>
      </c>
      <c r="B682" s="43" t="s">
        <v>5289</v>
      </c>
      <c r="C682" s="44" t="s">
        <v>1228</v>
      </c>
      <c r="D682" s="45" t="s">
        <v>3961</v>
      </c>
    </row>
    <row r="683" spans="1:4" ht="31.5" customHeight="1" x14ac:dyDescent="0.25">
      <c r="A683" s="43" t="s">
        <v>2868</v>
      </c>
      <c r="B683" s="43" t="s">
        <v>5290</v>
      </c>
      <c r="C683" s="44" t="s">
        <v>2510</v>
      </c>
      <c r="D683" s="45" t="s">
        <v>3962</v>
      </c>
    </row>
    <row r="684" spans="1:4" ht="31.5" customHeight="1" x14ac:dyDescent="0.25">
      <c r="A684" s="43" t="s">
        <v>2874</v>
      </c>
      <c r="B684" s="43" t="s">
        <v>5291</v>
      </c>
      <c r="C684" s="44" t="s">
        <v>302</v>
      </c>
      <c r="D684" s="45" t="s">
        <v>3963</v>
      </c>
    </row>
    <row r="685" spans="1:4" ht="31.5" customHeight="1" x14ac:dyDescent="0.25">
      <c r="A685" s="43" t="s">
        <v>2878</v>
      </c>
      <c r="B685" s="43" t="s">
        <v>5292</v>
      </c>
      <c r="C685" s="44" t="s">
        <v>4455</v>
      </c>
      <c r="D685" s="45" t="s">
        <v>3964</v>
      </c>
    </row>
    <row r="686" spans="1:4" ht="31.5" customHeight="1" x14ac:dyDescent="0.25">
      <c r="A686" s="43" t="s">
        <v>2883</v>
      </c>
      <c r="B686" s="43" t="s">
        <v>5293</v>
      </c>
      <c r="C686" s="44" t="s">
        <v>296</v>
      </c>
      <c r="D686" s="45" t="s">
        <v>3965</v>
      </c>
    </row>
    <row r="687" spans="1:4" ht="47.25" customHeight="1" x14ac:dyDescent="0.25">
      <c r="A687" s="43" t="s">
        <v>2888</v>
      </c>
      <c r="B687" s="43" t="s">
        <v>5294</v>
      </c>
      <c r="C687" s="44" t="s">
        <v>162</v>
      </c>
      <c r="D687" s="45" t="s">
        <v>3966</v>
      </c>
    </row>
    <row r="688" spans="1:4" ht="47.25" customHeight="1" x14ac:dyDescent="0.25">
      <c r="A688" s="43" t="s">
        <v>2892</v>
      </c>
      <c r="B688" s="43" t="s">
        <v>5295</v>
      </c>
      <c r="C688" s="44" t="s">
        <v>379</v>
      </c>
      <c r="D688" s="45" t="s">
        <v>3967</v>
      </c>
    </row>
    <row r="689" spans="1:4" ht="47.25" customHeight="1" x14ac:dyDescent="0.25">
      <c r="A689" s="43" t="s">
        <v>2896</v>
      </c>
      <c r="B689" s="43" t="s">
        <v>5296</v>
      </c>
      <c r="C689" s="44" t="s">
        <v>5297</v>
      </c>
      <c r="D689" s="45" t="s">
        <v>3968</v>
      </c>
    </row>
    <row r="690" spans="1:4" ht="63" customHeight="1" x14ac:dyDescent="0.25">
      <c r="A690" s="43" t="s">
        <v>2900</v>
      </c>
      <c r="B690" s="43" t="s">
        <v>5298</v>
      </c>
      <c r="C690" s="44" t="s">
        <v>1092</v>
      </c>
      <c r="D690" s="45" t="s">
        <v>3969</v>
      </c>
    </row>
    <row r="691" spans="1:4" ht="47.25" customHeight="1" x14ac:dyDescent="0.25">
      <c r="A691" s="43" t="s">
        <v>2904</v>
      </c>
      <c r="B691" s="43" t="s">
        <v>5299</v>
      </c>
      <c r="C691" s="44" t="s">
        <v>4612</v>
      </c>
      <c r="D691" s="45" t="s">
        <v>3970</v>
      </c>
    </row>
    <row r="692" spans="1:4" ht="47.25" customHeight="1" x14ac:dyDescent="0.25">
      <c r="A692" s="43" t="s">
        <v>2908</v>
      </c>
      <c r="B692" s="43" t="s">
        <v>5300</v>
      </c>
      <c r="C692" s="44" t="s">
        <v>379</v>
      </c>
      <c r="D692" s="45" t="s">
        <v>3971</v>
      </c>
    </row>
    <row r="693" spans="1:4" ht="63" customHeight="1" x14ac:dyDescent="0.25">
      <c r="A693" s="43" t="s">
        <v>2912</v>
      </c>
      <c r="B693" s="43" t="s">
        <v>5301</v>
      </c>
      <c r="C693" s="44" t="s">
        <v>279</v>
      </c>
      <c r="D693" s="45" t="s">
        <v>3972</v>
      </c>
    </row>
    <row r="694" spans="1:4" ht="47.25" customHeight="1" x14ac:dyDescent="0.25">
      <c r="A694" s="43" t="s">
        <v>2916</v>
      </c>
      <c r="B694" s="43" t="s">
        <v>5302</v>
      </c>
      <c r="C694" s="44" t="s">
        <v>2369</v>
      </c>
      <c r="D694" s="45" t="s">
        <v>3973</v>
      </c>
    </row>
    <row r="695" spans="1:4" ht="47.25" customHeight="1" x14ac:dyDescent="0.25">
      <c r="A695" s="43" t="s">
        <v>2921</v>
      </c>
      <c r="B695" s="43" t="s">
        <v>5303</v>
      </c>
      <c r="C695" s="44" t="s">
        <v>1106</v>
      </c>
      <c r="D695" s="45" t="s">
        <v>3974</v>
      </c>
    </row>
    <row r="696" spans="1:4" ht="63" customHeight="1" x14ac:dyDescent="0.25">
      <c r="A696" s="43" t="s">
        <v>2926</v>
      </c>
      <c r="B696" s="43" t="s">
        <v>5304</v>
      </c>
      <c r="C696" s="44" t="s">
        <v>1063</v>
      </c>
      <c r="D696" s="45" t="s">
        <v>3975</v>
      </c>
    </row>
    <row r="697" spans="1:4" ht="63" customHeight="1" x14ac:dyDescent="0.25">
      <c r="A697" s="43" t="s">
        <v>2930</v>
      </c>
      <c r="B697" s="43" t="s">
        <v>5305</v>
      </c>
      <c r="C697" s="44" t="s">
        <v>509</v>
      </c>
      <c r="D697" s="45" t="s">
        <v>3976</v>
      </c>
    </row>
    <row r="698" spans="1:4" ht="47.25" customHeight="1" x14ac:dyDescent="0.25">
      <c r="A698" s="43" t="s">
        <v>2934</v>
      </c>
      <c r="B698" s="43" t="s">
        <v>5306</v>
      </c>
      <c r="C698" s="44" t="s">
        <v>509</v>
      </c>
      <c r="D698" s="45" t="s">
        <v>3977</v>
      </c>
    </row>
    <row r="699" spans="1:4" ht="47.25" customHeight="1" x14ac:dyDescent="0.25">
      <c r="A699" s="43" t="s">
        <v>2939</v>
      </c>
      <c r="B699" s="43" t="s">
        <v>5307</v>
      </c>
      <c r="C699" s="44" t="s">
        <v>5308</v>
      </c>
      <c r="D699" s="45" t="s">
        <v>3978</v>
      </c>
    </row>
    <row r="700" spans="1:4" ht="31.5" customHeight="1" x14ac:dyDescent="0.25">
      <c r="A700" s="43" t="s">
        <v>2944</v>
      </c>
      <c r="B700" s="43" t="s">
        <v>5309</v>
      </c>
      <c r="C700" s="44" t="s">
        <v>1228</v>
      </c>
      <c r="D700" s="45" t="s">
        <v>3979</v>
      </c>
    </row>
    <row r="701" spans="1:4" ht="47.25" customHeight="1" x14ac:dyDescent="0.25">
      <c r="A701" s="43" t="s">
        <v>2949</v>
      </c>
      <c r="B701" s="43" t="s">
        <v>5310</v>
      </c>
      <c r="C701" s="44" t="s">
        <v>1129</v>
      </c>
      <c r="D701" s="45" t="s">
        <v>3980</v>
      </c>
    </row>
    <row r="702" spans="1:4" ht="63" customHeight="1" x14ac:dyDescent="0.25">
      <c r="A702" s="43" t="s">
        <v>2952</v>
      </c>
      <c r="B702" s="43" t="s">
        <v>5311</v>
      </c>
      <c r="C702" s="44" t="s">
        <v>76</v>
      </c>
      <c r="D702" s="45" t="s">
        <v>3981</v>
      </c>
    </row>
    <row r="703" spans="1:4" ht="31.5" customHeight="1" x14ac:dyDescent="0.25">
      <c r="A703" s="43" t="s">
        <v>2956</v>
      </c>
      <c r="B703" s="43" t="s">
        <v>5312</v>
      </c>
      <c r="C703" s="44" t="s">
        <v>5313</v>
      </c>
      <c r="D703" s="45" t="s">
        <v>3982</v>
      </c>
    </row>
    <row r="704" spans="1:4" ht="31.5" customHeight="1" x14ac:dyDescent="0.25">
      <c r="A704" s="43" t="s">
        <v>2960</v>
      </c>
      <c r="B704" s="43" t="s">
        <v>5314</v>
      </c>
      <c r="C704" s="44" t="s">
        <v>2258</v>
      </c>
      <c r="D704" s="45" t="s">
        <v>3983</v>
      </c>
    </row>
    <row r="705" spans="1:4" ht="63" customHeight="1" x14ac:dyDescent="0.25">
      <c r="A705" s="43" t="s">
        <v>2965</v>
      </c>
      <c r="B705" s="43" t="s">
        <v>5315</v>
      </c>
      <c r="C705" s="44" t="s">
        <v>4612</v>
      </c>
      <c r="D705" s="45" t="s">
        <v>3984</v>
      </c>
    </row>
    <row r="706" spans="1:4" ht="31.5" customHeight="1" x14ac:dyDescent="0.25">
      <c r="A706" s="43" t="s">
        <v>2969</v>
      </c>
      <c r="B706" s="43" t="s">
        <v>5316</v>
      </c>
      <c r="C706" s="44" t="s">
        <v>5203</v>
      </c>
      <c r="D706" s="45" t="s">
        <v>3985</v>
      </c>
    </row>
    <row r="707" spans="1:4" ht="63" customHeight="1" x14ac:dyDescent="0.25">
      <c r="A707" s="43" t="s">
        <v>2973</v>
      </c>
      <c r="B707" s="43" t="s">
        <v>5317</v>
      </c>
      <c r="C707" s="44" t="s">
        <v>5318</v>
      </c>
      <c r="D707" s="45" t="s">
        <v>3986</v>
      </c>
    </row>
    <row r="708" spans="1:4" ht="47.25" customHeight="1" x14ac:dyDescent="0.25">
      <c r="A708" s="43" t="s">
        <v>2977</v>
      </c>
      <c r="B708" s="43" t="s">
        <v>5319</v>
      </c>
      <c r="C708" s="44" t="s">
        <v>657</v>
      </c>
      <c r="D708" s="45" t="s">
        <v>3987</v>
      </c>
    </row>
    <row r="709" spans="1:4" ht="31.5" customHeight="1" x14ac:dyDescent="0.25">
      <c r="A709" s="43" t="s">
        <v>2982</v>
      </c>
      <c r="B709" s="43" t="s">
        <v>5320</v>
      </c>
      <c r="C709" s="44" t="s">
        <v>5321</v>
      </c>
      <c r="D709" s="45" t="s">
        <v>3988</v>
      </c>
    </row>
    <row r="710" spans="1:4" ht="63" customHeight="1" x14ac:dyDescent="0.25">
      <c r="A710" s="43" t="s">
        <v>2987</v>
      </c>
      <c r="B710" s="43" t="s">
        <v>5322</v>
      </c>
      <c r="C710" s="44" t="s">
        <v>4949</v>
      </c>
      <c r="D710" s="45" t="s">
        <v>3989</v>
      </c>
    </row>
    <row r="711" spans="1:4" ht="47.25" customHeight="1" x14ac:dyDescent="0.25">
      <c r="A711" s="43" t="s">
        <v>2992</v>
      </c>
      <c r="B711" s="43" t="s">
        <v>5323</v>
      </c>
      <c r="C711" s="44" t="s">
        <v>1156</v>
      </c>
      <c r="D711" s="45" t="s">
        <v>3990</v>
      </c>
    </row>
    <row r="712" spans="1:4" ht="31.5" customHeight="1" x14ac:dyDescent="0.25">
      <c r="A712" s="43" t="s">
        <v>2996</v>
      </c>
      <c r="B712" s="43" t="s">
        <v>5324</v>
      </c>
      <c r="C712" s="44" t="s">
        <v>858</v>
      </c>
      <c r="D712" s="45" t="s">
        <v>3991</v>
      </c>
    </row>
    <row r="713" spans="1:4" ht="47.25" customHeight="1" x14ac:dyDescent="0.25">
      <c r="A713" s="43" t="s">
        <v>3000</v>
      </c>
      <c r="B713" s="43" t="s">
        <v>5325</v>
      </c>
      <c r="C713" s="44" t="s">
        <v>937</v>
      </c>
      <c r="D713" s="45" t="s">
        <v>3992</v>
      </c>
    </row>
    <row r="714" spans="1:4" ht="31.5" customHeight="1" x14ac:dyDescent="0.25">
      <c r="A714" s="43" t="s">
        <v>3004</v>
      </c>
      <c r="B714" s="43" t="s">
        <v>5326</v>
      </c>
      <c r="C714" s="44" t="s">
        <v>2750</v>
      </c>
      <c r="D714" s="45" t="s">
        <v>3993</v>
      </c>
    </row>
    <row r="715" spans="1:4" ht="78.75" customHeight="1" x14ac:dyDescent="0.25">
      <c r="A715" s="43" t="s">
        <v>3008</v>
      </c>
      <c r="B715" s="43" t="s">
        <v>5327</v>
      </c>
      <c r="C715" s="44" t="s">
        <v>5328</v>
      </c>
      <c r="D715" s="45" t="s">
        <v>3994</v>
      </c>
    </row>
    <row r="716" spans="1:4" ht="31.5" customHeight="1" x14ac:dyDescent="0.25">
      <c r="A716" s="43" t="s">
        <v>3012</v>
      </c>
      <c r="B716" s="43" t="s">
        <v>5329</v>
      </c>
      <c r="C716" s="44" t="s">
        <v>1590</v>
      </c>
      <c r="D716" s="45" t="s">
        <v>3995</v>
      </c>
    </row>
    <row r="717" spans="1:4" ht="31.5" customHeight="1" x14ac:dyDescent="0.25">
      <c r="A717" s="43" t="s">
        <v>3016</v>
      </c>
      <c r="B717" s="43" t="s">
        <v>5330</v>
      </c>
      <c r="C717" s="44" t="s">
        <v>560</v>
      </c>
      <c r="D717" s="45" t="s">
        <v>3996</v>
      </c>
    </row>
    <row r="718" spans="1:4" ht="31.5" customHeight="1" x14ac:dyDescent="0.25">
      <c r="A718" s="43" t="s">
        <v>3021</v>
      </c>
      <c r="B718" s="43" t="s">
        <v>5331</v>
      </c>
      <c r="C718" s="44" t="s">
        <v>279</v>
      </c>
      <c r="D718" s="45" t="s">
        <v>3997</v>
      </c>
    </row>
    <row r="719" spans="1:4" ht="31.5" customHeight="1" x14ac:dyDescent="0.25">
      <c r="A719" s="43" t="s">
        <v>3026</v>
      </c>
      <c r="B719" s="43" t="s">
        <v>5332</v>
      </c>
      <c r="C719" s="44" t="s">
        <v>5333</v>
      </c>
      <c r="D719" s="45" t="s">
        <v>3998</v>
      </c>
    </row>
    <row r="720" spans="1:4" ht="63" customHeight="1" x14ac:dyDescent="0.25">
      <c r="A720" s="43" t="s">
        <v>3030</v>
      </c>
      <c r="B720" s="43" t="s">
        <v>5334</v>
      </c>
      <c r="C720" s="44" t="s">
        <v>633</v>
      </c>
      <c r="D720" s="45" t="s">
        <v>3999</v>
      </c>
    </row>
    <row r="721" spans="1:4" ht="47.25" customHeight="1" x14ac:dyDescent="0.25">
      <c r="A721" s="43" t="s">
        <v>3034</v>
      </c>
      <c r="B721" s="43" t="s">
        <v>5335</v>
      </c>
      <c r="C721" s="44" t="s">
        <v>744</v>
      </c>
      <c r="D721" s="45" t="s">
        <v>4000</v>
      </c>
    </row>
    <row r="722" spans="1:4" ht="47.25" customHeight="1" x14ac:dyDescent="0.25">
      <c r="A722" s="43" t="s">
        <v>3037</v>
      </c>
      <c r="B722" s="43" t="s">
        <v>5336</v>
      </c>
      <c r="C722" s="44" t="s">
        <v>1329</v>
      </c>
      <c r="D722" s="45" t="s">
        <v>4001</v>
      </c>
    </row>
    <row r="723" spans="1:4" ht="47.25" customHeight="1" x14ac:dyDescent="0.25">
      <c r="A723" s="43" t="s">
        <v>3041</v>
      </c>
      <c r="B723" s="43" t="s">
        <v>5337</v>
      </c>
      <c r="C723" s="44" t="s">
        <v>2319</v>
      </c>
      <c r="D723" s="45" t="s">
        <v>4002</v>
      </c>
    </row>
    <row r="724" spans="1:4" ht="47.25" customHeight="1" x14ac:dyDescent="0.25">
      <c r="A724" s="43" t="s">
        <v>3046</v>
      </c>
      <c r="B724" s="43" t="s">
        <v>5338</v>
      </c>
      <c r="C724" s="44" t="s">
        <v>4949</v>
      </c>
      <c r="D724" s="45" t="s">
        <v>4003</v>
      </c>
    </row>
    <row r="725" spans="1:4" ht="47.25" customHeight="1" x14ac:dyDescent="0.25">
      <c r="A725" s="43" t="s">
        <v>3051</v>
      </c>
      <c r="B725" s="43" t="s">
        <v>5339</v>
      </c>
      <c r="C725" s="44" t="s">
        <v>5340</v>
      </c>
      <c r="D725" s="45" t="s">
        <v>4004</v>
      </c>
    </row>
    <row r="726" spans="1:4" ht="63" customHeight="1" x14ac:dyDescent="0.25">
      <c r="A726" s="43" t="s">
        <v>3055</v>
      </c>
      <c r="B726" s="43" t="s">
        <v>5341</v>
      </c>
      <c r="C726" s="44" t="s">
        <v>965</v>
      </c>
      <c r="D726" s="45" t="s">
        <v>4005</v>
      </c>
    </row>
    <row r="727" spans="1:4" ht="31.5" customHeight="1" x14ac:dyDescent="0.25">
      <c r="A727" s="43" t="s">
        <v>3060</v>
      </c>
      <c r="B727" s="43" t="s">
        <v>5342</v>
      </c>
      <c r="C727" s="44" t="s">
        <v>1343</v>
      </c>
      <c r="D727" s="45" t="s">
        <v>4006</v>
      </c>
    </row>
    <row r="728" spans="1:4" ht="31.5" customHeight="1" x14ac:dyDescent="0.25">
      <c r="A728" s="43" t="s">
        <v>3064</v>
      </c>
      <c r="B728" s="43" t="s">
        <v>5343</v>
      </c>
      <c r="C728" s="44" t="s">
        <v>1343</v>
      </c>
      <c r="D728" s="45" t="s">
        <v>4007</v>
      </c>
    </row>
    <row r="729" spans="1:4" ht="31.5" customHeight="1" x14ac:dyDescent="0.25">
      <c r="A729" s="43" t="s">
        <v>3069</v>
      </c>
      <c r="B729" s="43" t="s">
        <v>5344</v>
      </c>
      <c r="C729" s="44" t="s">
        <v>1659</v>
      </c>
      <c r="D729" s="45" t="s">
        <v>4008</v>
      </c>
    </row>
    <row r="730" spans="1:4" ht="47.25" customHeight="1" x14ac:dyDescent="0.25">
      <c r="A730" s="43" t="s">
        <v>3073</v>
      </c>
      <c r="B730" s="43" t="s">
        <v>5345</v>
      </c>
      <c r="C730" s="44" t="s">
        <v>5346</v>
      </c>
      <c r="D730" s="45" t="s">
        <v>4009</v>
      </c>
    </row>
    <row r="731" spans="1:4" ht="31.5" customHeight="1" x14ac:dyDescent="0.25">
      <c r="A731" s="43" t="s">
        <v>3078</v>
      </c>
      <c r="B731" s="43" t="s">
        <v>5347</v>
      </c>
      <c r="C731" s="44" t="s">
        <v>4615</v>
      </c>
      <c r="D731" s="45" t="s">
        <v>4010</v>
      </c>
    </row>
    <row r="732" spans="1:4" ht="31.5" customHeight="1" x14ac:dyDescent="0.25">
      <c r="A732" s="43" t="s">
        <v>3082</v>
      </c>
      <c r="B732" s="43" t="s">
        <v>5348</v>
      </c>
      <c r="C732" s="44" t="s">
        <v>4615</v>
      </c>
      <c r="D732" s="45" t="s">
        <v>4011</v>
      </c>
    </row>
    <row r="733" spans="1:4" ht="47.25" customHeight="1" x14ac:dyDescent="0.25">
      <c r="A733" s="43" t="s">
        <v>3085</v>
      </c>
      <c r="B733" s="43" t="s">
        <v>5349</v>
      </c>
      <c r="C733" s="44" t="s">
        <v>1409</v>
      </c>
      <c r="D733" s="45" t="s">
        <v>4012</v>
      </c>
    </row>
    <row r="734" spans="1:4" ht="31.5" customHeight="1" x14ac:dyDescent="0.25">
      <c r="A734" s="43" t="s">
        <v>3089</v>
      </c>
      <c r="B734" s="43" t="s">
        <v>5350</v>
      </c>
      <c r="C734" s="44" t="s">
        <v>4635</v>
      </c>
      <c r="D734" s="45" t="s">
        <v>4013</v>
      </c>
    </row>
    <row r="735" spans="1:4" ht="31.5" customHeight="1" x14ac:dyDescent="0.25">
      <c r="A735" s="43" t="s">
        <v>3093</v>
      </c>
      <c r="B735" s="43" t="s">
        <v>5351</v>
      </c>
      <c r="C735" s="44" t="s">
        <v>692</v>
      </c>
      <c r="D735" s="45" t="s">
        <v>4014</v>
      </c>
    </row>
    <row r="736" spans="1:4" ht="31.5" customHeight="1" x14ac:dyDescent="0.25">
      <c r="A736" s="43" t="s">
        <v>3098</v>
      </c>
      <c r="B736" s="43" t="s">
        <v>5352</v>
      </c>
      <c r="C736" s="44" t="s">
        <v>5353</v>
      </c>
      <c r="D736" s="45" t="s">
        <v>4015</v>
      </c>
    </row>
    <row r="737" spans="1:4" ht="31.5" customHeight="1" x14ac:dyDescent="0.25">
      <c r="A737" s="43" t="s">
        <v>3103</v>
      </c>
      <c r="B737" s="43" t="s">
        <v>5354</v>
      </c>
      <c r="C737" s="44" t="s">
        <v>5355</v>
      </c>
      <c r="D737" s="45" t="s">
        <v>4016</v>
      </c>
    </row>
    <row r="738" spans="1:4" ht="47.25" customHeight="1" x14ac:dyDescent="0.25">
      <c r="A738" s="43" t="s">
        <v>3107</v>
      </c>
      <c r="B738" s="43" t="s">
        <v>5356</v>
      </c>
      <c r="C738" s="44" t="s">
        <v>2918</v>
      </c>
      <c r="D738" s="45" t="s">
        <v>4017</v>
      </c>
    </row>
    <row r="739" spans="1:4" ht="31.5" customHeight="1" x14ac:dyDescent="0.25">
      <c r="A739" s="43" t="s">
        <v>3113</v>
      </c>
      <c r="B739" s="43" t="s">
        <v>5357</v>
      </c>
      <c r="C739" s="44" t="s">
        <v>4560</v>
      </c>
      <c r="D739" s="45" t="s">
        <v>4018</v>
      </c>
    </row>
    <row r="740" spans="1:4" ht="31.5" customHeight="1" x14ac:dyDescent="0.25">
      <c r="A740" s="43" t="s">
        <v>3117</v>
      </c>
      <c r="B740" s="43" t="s">
        <v>5358</v>
      </c>
      <c r="C740" s="44" t="s">
        <v>4560</v>
      </c>
      <c r="D740" s="45" t="s">
        <v>4019</v>
      </c>
    </row>
    <row r="741" spans="1:4" ht="31.5" customHeight="1" x14ac:dyDescent="0.25">
      <c r="A741" s="43" t="s">
        <v>3121</v>
      </c>
      <c r="B741" s="43" t="s">
        <v>5359</v>
      </c>
      <c r="C741" s="44" t="s">
        <v>514</v>
      </c>
      <c r="D741" s="45" t="s">
        <v>4020</v>
      </c>
    </row>
    <row r="742" spans="1:4" ht="47.25" customHeight="1" x14ac:dyDescent="0.25">
      <c r="A742" s="43" t="s">
        <v>3126</v>
      </c>
      <c r="B742" s="43" t="s">
        <v>5360</v>
      </c>
      <c r="C742" s="44" t="s">
        <v>5361</v>
      </c>
      <c r="D742" s="45" t="s">
        <v>4021</v>
      </c>
    </row>
    <row r="743" spans="1:4" ht="31.5" customHeight="1" x14ac:dyDescent="0.25">
      <c r="A743" s="43" t="s">
        <v>3132</v>
      </c>
      <c r="B743" s="43" t="s">
        <v>5362</v>
      </c>
      <c r="C743" s="44" t="s">
        <v>4743</v>
      </c>
      <c r="D743" s="45" t="s">
        <v>4022</v>
      </c>
    </row>
    <row r="744" spans="1:4" ht="63" customHeight="1" x14ac:dyDescent="0.25">
      <c r="A744" s="43" t="s">
        <v>3137</v>
      </c>
      <c r="B744" s="43" t="s">
        <v>5363</v>
      </c>
      <c r="C744" s="44" t="s">
        <v>628</v>
      </c>
      <c r="D744" s="45" t="s">
        <v>4023</v>
      </c>
    </row>
    <row r="745" spans="1:4" ht="31.5" customHeight="1" x14ac:dyDescent="0.25">
      <c r="A745" s="43" t="s">
        <v>3141</v>
      </c>
      <c r="B745" s="43" t="s">
        <v>5364</v>
      </c>
      <c r="C745" s="44" t="s">
        <v>1115</v>
      </c>
      <c r="D745" s="45" t="s">
        <v>4024</v>
      </c>
    </row>
    <row r="746" spans="1:4" ht="63" customHeight="1" x14ac:dyDescent="0.25">
      <c r="A746" s="43" t="s">
        <v>3145</v>
      </c>
      <c r="B746" s="43" t="s">
        <v>5365</v>
      </c>
      <c r="C746" s="44" t="s">
        <v>4654</v>
      </c>
      <c r="D746" s="45" t="s">
        <v>4025</v>
      </c>
    </row>
    <row r="747" spans="1:4" ht="31.5" customHeight="1" x14ac:dyDescent="0.25">
      <c r="A747" s="43" t="s">
        <v>3148</v>
      </c>
      <c r="B747" s="43" t="s">
        <v>5366</v>
      </c>
      <c r="C747" s="44" t="s">
        <v>1528</v>
      </c>
      <c r="D747" s="45" t="s">
        <v>4026</v>
      </c>
    </row>
    <row r="748" spans="1:4" ht="31.5" customHeight="1" x14ac:dyDescent="0.25">
      <c r="A748" s="43" t="s">
        <v>3152</v>
      </c>
      <c r="B748" s="43" t="s">
        <v>5367</v>
      </c>
      <c r="C748" s="44" t="s">
        <v>1329</v>
      </c>
      <c r="D748" s="45" t="s">
        <v>4027</v>
      </c>
    </row>
    <row r="749" spans="1:4" ht="47.25" customHeight="1" x14ac:dyDescent="0.25">
      <c r="A749" s="43" t="s">
        <v>3156</v>
      </c>
      <c r="B749" s="43" t="s">
        <v>5368</v>
      </c>
      <c r="C749" s="44" t="s">
        <v>4527</v>
      </c>
      <c r="D749" s="45" t="s">
        <v>4028</v>
      </c>
    </row>
    <row r="750" spans="1:4" ht="47.25" customHeight="1" x14ac:dyDescent="0.25">
      <c r="A750" s="43" t="s">
        <v>3161</v>
      </c>
      <c r="B750" s="43" t="s">
        <v>5369</v>
      </c>
      <c r="C750" s="44" t="s">
        <v>112</v>
      </c>
      <c r="D750" s="45" t="s">
        <v>4029</v>
      </c>
    </row>
    <row r="751" spans="1:4" ht="47.25" customHeight="1" x14ac:dyDescent="0.25">
      <c r="A751" s="43" t="s">
        <v>3165</v>
      </c>
      <c r="B751" s="43" t="s">
        <v>5370</v>
      </c>
      <c r="C751" s="44" t="s">
        <v>947</v>
      </c>
      <c r="D751" s="45" t="s">
        <v>4030</v>
      </c>
    </row>
    <row r="752" spans="1:4" ht="31.5" customHeight="1" x14ac:dyDescent="0.25">
      <c r="A752" s="43" t="s">
        <v>3169</v>
      </c>
      <c r="B752" s="43" t="s">
        <v>5371</v>
      </c>
      <c r="C752" s="44" t="s">
        <v>5372</v>
      </c>
      <c r="D752" s="45" t="s">
        <v>4031</v>
      </c>
    </row>
    <row r="753" spans="1:4" ht="47.25" customHeight="1" x14ac:dyDescent="0.25">
      <c r="A753" s="43" t="s">
        <v>3173</v>
      </c>
      <c r="B753" s="43" t="s">
        <v>5373</v>
      </c>
      <c r="C753" s="44" t="s">
        <v>1477</v>
      </c>
      <c r="D753" s="45" t="s">
        <v>4032</v>
      </c>
    </row>
    <row r="754" spans="1:4" ht="31.5" customHeight="1" x14ac:dyDescent="0.25">
      <c r="A754" s="43" t="s">
        <v>3177</v>
      </c>
      <c r="B754" s="43" t="s">
        <v>5374</v>
      </c>
      <c r="C754" s="44" t="s">
        <v>4593</v>
      </c>
      <c r="D754" s="45" t="s">
        <v>4033</v>
      </c>
    </row>
    <row r="755" spans="1:4" ht="31.5" customHeight="1" x14ac:dyDescent="0.25">
      <c r="A755" s="43" t="s">
        <v>3181</v>
      </c>
      <c r="B755" s="43" t="s">
        <v>5375</v>
      </c>
      <c r="C755" s="44" t="s">
        <v>5376</v>
      </c>
      <c r="D755" s="45" t="s">
        <v>4034</v>
      </c>
    </row>
    <row r="756" spans="1:4" ht="47.25" customHeight="1" x14ac:dyDescent="0.25">
      <c r="A756" s="43" t="s">
        <v>3185</v>
      </c>
      <c r="B756" s="43" t="s">
        <v>5377</v>
      </c>
      <c r="C756" s="44" t="s">
        <v>5378</v>
      </c>
      <c r="D756" s="45" t="s">
        <v>4035</v>
      </c>
    </row>
    <row r="757" spans="1:4" ht="31.5" customHeight="1" x14ac:dyDescent="0.25">
      <c r="A757" s="43" t="s">
        <v>3189</v>
      </c>
      <c r="B757" s="43" t="s">
        <v>5379</v>
      </c>
      <c r="C757" s="44" t="s">
        <v>1014</v>
      </c>
      <c r="D757" s="45" t="s">
        <v>4036</v>
      </c>
    </row>
    <row r="758" spans="1:4" ht="63" customHeight="1" x14ac:dyDescent="0.25">
      <c r="A758" s="43" t="s">
        <v>3193</v>
      </c>
      <c r="B758" s="43" t="s">
        <v>5380</v>
      </c>
      <c r="C758" s="44" t="s">
        <v>1321</v>
      </c>
      <c r="D758" s="45" t="s">
        <v>4037</v>
      </c>
    </row>
    <row r="759" spans="1:4" ht="47.25" customHeight="1" x14ac:dyDescent="0.25">
      <c r="A759" s="43" t="s">
        <v>3197</v>
      </c>
      <c r="B759" s="43" t="s">
        <v>5381</v>
      </c>
      <c r="C759" s="44" t="s">
        <v>5382</v>
      </c>
      <c r="D759" s="45" t="s">
        <v>4038</v>
      </c>
    </row>
    <row r="760" spans="1:4" ht="47.25" customHeight="1" x14ac:dyDescent="0.25">
      <c r="A760" s="43" t="s">
        <v>3202</v>
      </c>
      <c r="B760" s="43" t="s">
        <v>5383</v>
      </c>
      <c r="C760" s="44" t="s">
        <v>4996</v>
      </c>
      <c r="D760" s="45" t="s">
        <v>4039</v>
      </c>
    </row>
    <row r="761" spans="1:4" ht="47.25" customHeight="1" x14ac:dyDescent="0.25">
      <c r="A761" s="43" t="s">
        <v>3208</v>
      </c>
      <c r="B761" s="43" t="s">
        <v>5384</v>
      </c>
      <c r="C761" s="44" t="s">
        <v>2274</v>
      </c>
      <c r="D761" s="45" t="s">
        <v>4040</v>
      </c>
    </row>
    <row r="762" spans="1:4" ht="31.5" customHeight="1" x14ac:dyDescent="0.25">
      <c r="A762" s="43" t="s">
        <v>3213</v>
      </c>
      <c r="B762" s="43" t="s">
        <v>5385</v>
      </c>
      <c r="C762" s="44" t="s">
        <v>1379</v>
      </c>
      <c r="D762" s="45" t="s">
        <v>4041</v>
      </c>
    </row>
    <row r="763" spans="1:4" ht="47.25" customHeight="1" x14ac:dyDescent="0.25">
      <c r="A763" s="43" t="s">
        <v>3218</v>
      </c>
      <c r="B763" s="43" t="s">
        <v>5386</v>
      </c>
      <c r="C763" s="44" t="s">
        <v>1698</v>
      </c>
      <c r="D763" s="45" t="s">
        <v>4042</v>
      </c>
    </row>
    <row r="764" spans="1:4" ht="31.5" customHeight="1" x14ac:dyDescent="0.25">
      <c r="A764" s="43" t="s">
        <v>3222</v>
      </c>
      <c r="B764" s="43" t="s">
        <v>5387</v>
      </c>
      <c r="C764" s="44" t="s">
        <v>5388</v>
      </c>
      <c r="D764" s="45" t="s">
        <v>4043</v>
      </c>
    </row>
    <row r="765" spans="1:4" ht="31.5" customHeight="1" x14ac:dyDescent="0.25">
      <c r="A765" s="43" t="s">
        <v>3226</v>
      </c>
      <c r="B765" s="43" t="s">
        <v>5389</v>
      </c>
      <c r="C765" s="44" t="s">
        <v>379</v>
      </c>
      <c r="D765" s="45" t="s">
        <v>4044</v>
      </c>
    </row>
    <row r="766" spans="1:4" ht="47.25" customHeight="1" x14ac:dyDescent="0.25">
      <c r="A766" s="43" t="s">
        <v>3229</v>
      </c>
      <c r="B766" s="43" t="s">
        <v>5390</v>
      </c>
      <c r="C766" s="44" t="s">
        <v>1528</v>
      </c>
      <c r="D766" s="45" t="s">
        <v>4045</v>
      </c>
    </row>
    <row r="767" spans="1:4" ht="31.5" customHeight="1" x14ac:dyDescent="0.25">
      <c r="A767" s="43" t="s">
        <v>3233</v>
      </c>
      <c r="B767" s="43" t="s">
        <v>5391</v>
      </c>
      <c r="C767" s="44" t="s">
        <v>202</v>
      </c>
      <c r="D767" s="45" t="s">
        <v>4046</v>
      </c>
    </row>
    <row r="768" spans="1:4" ht="47.25" customHeight="1" x14ac:dyDescent="0.25">
      <c r="A768" s="43" t="s">
        <v>3238</v>
      </c>
      <c r="B768" s="43" t="s">
        <v>5392</v>
      </c>
      <c r="C768" s="44" t="s">
        <v>5393</v>
      </c>
      <c r="D768" s="45" t="s">
        <v>4047</v>
      </c>
    </row>
    <row r="769" spans="1:4" ht="47.25" customHeight="1" x14ac:dyDescent="0.25">
      <c r="A769" s="43" t="s">
        <v>3242</v>
      </c>
      <c r="B769" s="43" t="s">
        <v>5394</v>
      </c>
      <c r="C769" s="44" t="s">
        <v>4700</v>
      </c>
      <c r="D769" s="45" t="s">
        <v>4048</v>
      </c>
    </row>
    <row r="770" spans="1:4" ht="31.5" customHeight="1" x14ac:dyDescent="0.25">
      <c r="A770" s="43" t="s">
        <v>3248</v>
      </c>
      <c r="B770" s="43" t="s">
        <v>5395</v>
      </c>
      <c r="C770" s="44" t="s">
        <v>5396</v>
      </c>
      <c r="D770" s="45" t="s">
        <v>4049</v>
      </c>
    </row>
    <row r="771" spans="1:4" ht="63" customHeight="1" x14ac:dyDescent="0.25">
      <c r="A771" s="43" t="s">
        <v>3250</v>
      </c>
      <c r="B771" s="43" t="s">
        <v>5397</v>
      </c>
      <c r="C771" s="44" t="s">
        <v>2348</v>
      </c>
      <c r="D771" s="45" t="s">
        <v>4050</v>
      </c>
    </row>
    <row r="772" spans="1:4" ht="47.25" customHeight="1" x14ac:dyDescent="0.25">
      <c r="A772" s="43" t="s">
        <v>3252</v>
      </c>
      <c r="B772" s="43" t="s">
        <v>5398</v>
      </c>
      <c r="C772" s="44" t="s">
        <v>1329</v>
      </c>
      <c r="D772" s="45" t="s">
        <v>4051</v>
      </c>
    </row>
    <row r="773" spans="1:4" ht="31.5" customHeight="1" x14ac:dyDescent="0.25">
      <c r="A773" s="43" t="s">
        <v>3254</v>
      </c>
      <c r="B773" s="43" t="s">
        <v>5399</v>
      </c>
      <c r="C773" s="44" t="s">
        <v>2413</v>
      </c>
      <c r="D773" s="45" t="s">
        <v>4052</v>
      </c>
    </row>
    <row r="774" spans="1:4" ht="47.25" customHeight="1" x14ac:dyDescent="0.25">
      <c r="A774" s="43" t="s">
        <v>3256</v>
      </c>
      <c r="B774" s="43" t="s">
        <v>5400</v>
      </c>
      <c r="C774" s="44" t="s">
        <v>1477</v>
      </c>
      <c r="D774" s="45" t="s">
        <v>4053</v>
      </c>
    </row>
    <row r="775" spans="1:4" ht="47.25" customHeight="1" x14ac:dyDescent="0.25">
      <c r="A775" s="43" t="s">
        <v>3258</v>
      </c>
      <c r="B775" s="43" t="s">
        <v>5401</v>
      </c>
      <c r="C775" s="44" t="s">
        <v>3210</v>
      </c>
      <c r="D775" s="45" t="s">
        <v>4054</v>
      </c>
    </row>
    <row r="776" spans="1:4" ht="47.25" customHeight="1" x14ac:dyDescent="0.25">
      <c r="A776" s="43" t="s">
        <v>3260</v>
      </c>
      <c r="B776" s="43" t="s">
        <v>5402</v>
      </c>
      <c r="C776" s="44" t="s">
        <v>1477</v>
      </c>
      <c r="D776" s="45" t="s">
        <v>4055</v>
      </c>
    </row>
    <row r="777" spans="1:4" ht="63" customHeight="1" x14ac:dyDescent="0.25">
      <c r="A777" s="43" t="s">
        <v>3262</v>
      </c>
      <c r="B777" s="43" t="s">
        <v>5403</v>
      </c>
      <c r="C777" s="44" t="s">
        <v>5404</v>
      </c>
      <c r="D777" s="45" t="s">
        <v>4056</v>
      </c>
    </row>
    <row r="778" spans="1:4" ht="63" customHeight="1" x14ac:dyDescent="0.25">
      <c r="A778" s="43" t="s">
        <v>3264</v>
      </c>
      <c r="B778" s="43" t="s">
        <v>5405</v>
      </c>
      <c r="C778" s="44" t="s">
        <v>5406</v>
      </c>
      <c r="D778" s="45" t="s">
        <v>4057</v>
      </c>
    </row>
    <row r="779" spans="1:4" ht="31.5" customHeight="1" x14ac:dyDescent="0.25">
      <c r="A779" s="43" t="s">
        <v>3266</v>
      </c>
      <c r="B779" s="43" t="s">
        <v>5407</v>
      </c>
      <c r="C779" s="44" t="s">
        <v>618</v>
      </c>
      <c r="D779" s="45" t="s">
        <v>4058</v>
      </c>
    </row>
    <row r="780" spans="1:4" ht="31.5" customHeight="1" x14ac:dyDescent="0.25">
      <c r="A780" s="43" t="s">
        <v>3268</v>
      </c>
      <c r="B780" s="43" t="s">
        <v>5408</v>
      </c>
      <c r="C780" s="44" t="s">
        <v>379</v>
      </c>
      <c r="D780" s="45" t="s">
        <v>4059</v>
      </c>
    </row>
    <row r="781" spans="1:4" ht="47.25" customHeight="1" x14ac:dyDescent="0.25">
      <c r="A781" s="43" t="s">
        <v>3270</v>
      </c>
      <c r="B781" s="43" t="s">
        <v>5409</v>
      </c>
      <c r="C781" s="44" t="s">
        <v>2319</v>
      </c>
      <c r="D781" s="45" t="s">
        <v>4060</v>
      </c>
    </row>
    <row r="782" spans="1:4" ht="47.25" customHeight="1" x14ac:dyDescent="0.25">
      <c r="A782" s="43" t="s">
        <v>3272</v>
      </c>
      <c r="B782" s="43" t="s">
        <v>5410</v>
      </c>
      <c r="C782" s="44" t="s">
        <v>5411</v>
      </c>
      <c r="D782" s="45" t="s">
        <v>4061</v>
      </c>
    </row>
    <row r="783" spans="1:4" ht="31.5" customHeight="1" x14ac:dyDescent="0.25">
      <c r="A783" s="43" t="s">
        <v>3274</v>
      </c>
      <c r="B783" s="43" t="s">
        <v>5412</v>
      </c>
      <c r="C783" s="44" t="s">
        <v>3066</v>
      </c>
      <c r="D783" s="45" t="s">
        <v>4062</v>
      </c>
    </row>
    <row r="784" spans="1:4" ht="47.25" customHeight="1" x14ac:dyDescent="0.25">
      <c r="A784" s="43" t="s">
        <v>3276</v>
      </c>
      <c r="B784" s="43" t="s">
        <v>5413</v>
      </c>
      <c r="C784" s="44" t="s">
        <v>5414</v>
      </c>
      <c r="D784" s="45" t="s">
        <v>4063</v>
      </c>
    </row>
    <row r="785" spans="1:4" ht="31.5" customHeight="1" x14ac:dyDescent="0.25">
      <c r="A785" s="43" t="s">
        <v>5415</v>
      </c>
      <c r="B785" s="43" t="s">
        <v>5416</v>
      </c>
      <c r="C785" s="44" t="s">
        <v>1379</v>
      </c>
      <c r="D785" s="45" t="s">
        <v>4064</v>
      </c>
    </row>
    <row r="786" spans="1:4" ht="47.25" customHeight="1" x14ac:dyDescent="0.25">
      <c r="A786" s="43" t="s">
        <v>5417</v>
      </c>
      <c r="B786" s="43" t="s">
        <v>5418</v>
      </c>
      <c r="C786" s="44" t="s">
        <v>396</v>
      </c>
      <c r="D786" s="45" t="s">
        <v>4065</v>
      </c>
    </row>
    <row r="787" spans="1:4" ht="47.25" customHeight="1" x14ac:dyDescent="0.25">
      <c r="A787" s="43" t="s">
        <v>5419</v>
      </c>
      <c r="B787" s="43" t="s">
        <v>5420</v>
      </c>
      <c r="C787" s="44" t="s">
        <v>2708</v>
      </c>
      <c r="D787" s="45" t="s">
        <v>4066</v>
      </c>
    </row>
    <row r="788" spans="1:4" ht="47.25" customHeight="1" x14ac:dyDescent="0.25">
      <c r="A788" s="43" t="s">
        <v>5421</v>
      </c>
      <c r="B788" s="43" t="s">
        <v>5422</v>
      </c>
      <c r="C788" s="44" t="s">
        <v>824</v>
      </c>
      <c r="D788" s="45" t="s">
        <v>4067</v>
      </c>
    </row>
    <row r="789" spans="1:4" ht="31.5" customHeight="1" x14ac:dyDescent="0.25">
      <c r="A789" s="43" t="s">
        <v>5423</v>
      </c>
      <c r="B789" s="43" t="s">
        <v>5424</v>
      </c>
      <c r="C789" s="44" t="s">
        <v>5425</v>
      </c>
      <c r="D789" s="45" t="s">
        <v>4068</v>
      </c>
    </row>
    <row r="790" spans="1:4" ht="47.25" customHeight="1" x14ac:dyDescent="0.25">
      <c r="A790" s="43" t="s">
        <v>5426</v>
      </c>
      <c r="B790" s="43" t="s">
        <v>5427</v>
      </c>
      <c r="C790" s="44" t="s">
        <v>429</v>
      </c>
      <c r="D790" s="45" t="s">
        <v>4069</v>
      </c>
    </row>
    <row r="791" spans="1:4" ht="31.5" customHeight="1" x14ac:dyDescent="0.25">
      <c r="A791" s="43" t="s">
        <v>5428</v>
      </c>
      <c r="B791" s="43" t="s">
        <v>5429</v>
      </c>
      <c r="C791" s="44" t="s">
        <v>4794</v>
      </c>
      <c r="D791" s="45" t="s">
        <v>4070</v>
      </c>
    </row>
    <row r="792" spans="1:4" ht="47.25" customHeight="1" x14ac:dyDescent="0.25">
      <c r="A792" s="43" t="s">
        <v>5430</v>
      </c>
      <c r="B792" s="43" t="s">
        <v>5431</v>
      </c>
      <c r="C792" s="44" t="s">
        <v>957</v>
      </c>
      <c r="D792" s="45" t="s">
        <v>4071</v>
      </c>
    </row>
    <row r="793" spans="1:4" ht="47.25" customHeight="1" x14ac:dyDescent="0.25">
      <c r="A793" s="43" t="s">
        <v>5432</v>
      </c>
      <c r="B793" s="43" t="s">
        <v>5433</v>
      </c>
      <c r="C793" s="44" t="s">
        <v>4499</v>
      </c>
      <c r="D793" s="45" t="s">
        <v>4072</v>
      </c>
    </row>
    <row r="794" spans="1:4" ht="63" customHeight="1" x14ac:dyDescent="0.25">
      <c r="A794" s="43" t="s">
        <v>5434</v>
      </c>
      <c r="B794" s="43" t="s">
        <v>5435</v>
      </c>
      <c r="C794" s="44" t="s">
        <v>1106</v>
      </c>
      <c r="D794" s="45" t="s">
        <v>4073</v>
      </c>
    </row>
    <row r="795" spans="1:4" ht="63" customHeight="1" x14ac:dyDescent="0.25">
      <c r="A795" s="43" t="s">
        <v>5436</v>
      </c>
      <c r="B795" s="43" t="s">
        <v>5437</v>
      </c>
      <c r="C795" s="44" t="s">
        <v>578</v>
      </c>
      <c r="D795" s="45" t="s">
        <v>4074</v>
      </c>
    </row>
    <row r="796" spans="1:4" ht="47.25" customHeight="1" x14ac:dyDescent="0.25">
      <c r="A796" s="43" t="s">
        <v>5438</v>
      </c>
      <c r="B796" s="43" t="s">
        <v>5439</v>
      </c>
      <c r="C796" s="44" t="s">
        <v>657</v>
      </c>
      <c r="D796" s="45" t="s">
        <v>4075</v>
      </c>
    </row>
    <row r="797" spans="1:4" ht="78.75" customHeight="1" x14ac:dyDescent="0.25">
      <c r="A797" s="43" t="s">
        <v>5440</v>
      </c>
      <c r="B797" s="43" t="s">
        <v>5441</v>
      </c>
      <c r="C797" s="44" t="s">
        <v>4797</v>
      </c>
      <c r="D797" s="45" t="s">
        <v>4076</v>
      </c>
    </row>
    <row r="798" spans="1:4" ht="63" customHeight="1" x14ac:dyDescent="0.25">
      <c r="A798" s="43" t="s">
        <v>5442</v>
      </c>
      <c r="B798" s="43" t="s">
        <v>5443</v>
      </c>
      <c r="C798" s="44" t="s">
        <v>358</v>
      </c>
      <c r="D798" s="45" t="s">
        <v>4077</v>
      </c>
    </row>
    <row r="799" spans="1:4" ht="31.5" customHeight="1" x14ac:dyDescent="0.25">
      <c r="A799" s="43" t="s">
        <v>5444</v>
      </c>
      <c r="B799" s="43" t="s">
        <v>5445</v>
      </c>
      <c r="C799" s="44" t="s">
        <v>509</v>
      </c>
      <c r="D799" s="45" t="s">
        <v>4078</v>
      </c>
    </row>
    <row r="800" spans="1:4" ht="31.5" customHeight="1" x14ac:dyDescent="0.25">
      <c r="A800" s="43" t="s">
        <v>5446</v>
      </c>
      <c r="B800" s="43" t="s">
        <v>5447</v>
      </c>
      <c r="C800" s="44" t="s">
        <v>1698</v>
      </c>
      <c r="D800" s="45" t="s">
        <v>4079</v>
      </c>
    </row>
    <row r="801" spans="1:4" ht="47.25" customHeight="1" x14ac:dyDescent="0.25">
      <c r="A801" s="43" t="s">
        <v>5448</v>
      </c>
      <c r="B801" s="43" t="s">
        <v>5449</v>
      </c>
      <c r="C801" s="44" t="s">
        <v>633</v>
      </c>
      <c r="D801" s="45" t="s">
        <v>4080</v>
      </c>
    </row>
    <row r="802" spans="1:4" ht="31.5" customHeight="1" x14ac:dyDescent="0.25">
      <c r="A802" s="43" t="s">
        <v>5450</v>
      </c>
      <c r="B802" s="43" t="s">
        <v>5451</v>
      </c>
      <c r="C802" s="44" t="s">
        <v>924</v>
      </c>
      <c r="D802" s="45" t="s">
        <v>4081</v>
      </c>
    </row>
    <row r="803" spans="1:4" ht="47.25" customHeight="1" x14ac:dyDescent="0.25">
      <c r="A803" s="43" t="s">
        <v>5452</v>
      </c>
      <c r="B803" s="43" t="s">
        <v>5453</v>
      </c>
      <c r="C803" s="44" t="s">
        <v>1106</v>
      </c>
      <c r="D803" s="45" t="s">
        <v>4082</v>
      </c>
    </row>
    <row r="804" spans="1:4" ht="47.25" customHeight="1" x14ac:dyDescent="0.25">
      <c r="A804" s="43" t="s">
        <v>5454</v>
      </c>
      <c r="B804" s="43" t="s">
        <v>5455</v>
      </c>
      <c r="C804" s="44" t="s">
        <v>4644</v>
      </c>
      <c r="D804" s="45" t="s">
        <v>4083</v>
      </c>
    </row>
    <row r="805" spans="1:4" ht="47.25" customHeight="1" x14ac:dyDescent="0.25">
      <c r="A805" s="43" t="s">
        <v>5456</v>
      </c>
      <c r="B805" s="43" t="s">
        <v>5457</v>
      </c>
      <c r="C805" s="44" t="s">
        <v>4635</v>
      </c>
      <c r="D805" s="45" t="s">
        <v>4084</v>
      </c>
    </row>
    <row r="806" spans="1:4" ht="47.25" customHeight="1" x14ac:dyDescent="0.25">
      <c r="A806" s="43" t="s">
        <v>5458</v>
      </c>
      <c r="B806" s="43" t="s">
        <v>5459</v>
      </c>
      <c r="C806" s="44" t="s">
        <v>324</v>
      </c>
      <c r="D806" s="45" t="s">
        <v>4085</v>
      </c>
    </row>
    <row r="807" spans="1:4" ht="63" customHeight="1" x14ac:dyDescent="0.25">
      <c r="A807" s="43" t="s">
        <v>5460</v>
      </c>
      <c r="B807" s="43" t="s">
        <v>5461</v>
      </c>
      <c r="C807" s="44" t="s">
        <v>4797</v>
      </c>
      <c r="D807" s="45" t="s">
        <v>4086</v>
      </c>
    </row>
    <row r="808" spans="1:4" ht="47.25" customHeight="1" x14ac:dyDescent="0.25">
      <c r="A808" s="43" t="s">
        <v>5462</v>
      </c>
      <c r="B808" s="43" t="s">
        <v>5463</v>
      </c>
      <c r="C808" s="44" t="s">
        <v>5464</v>
      </c>
      <c r="D808" s="45" t="s">
        <v>4087</v>
      </c>
    </row>
    <row r="809" spans="1:4" ht="47.25" customHeight="1" x14ac:dyDescent="0.25">
      <c r="A809" s="43" t="s">
        <v>5465</v>
      </c>
      <c r="B809" s="43" t="s">
        <v>5466</v>
      </c>
      <c r="C809" s="44" t="s">
        <v>5467</v>
      </c>
      <c r="D809" s="45" t="s">
        <v>4088</v>
      </c>
    </row>
    <row r="810" spans="1:4" ht="47.25" customHeight="1" x14ac:dyDescent="0.25">
      <c r="A810" s="43" t="s">
        <v>5468</v>
      </c>
      <c r="B810" s="43" t="s">
        <v>5469</v>
      </c>
      <c r="C810" s="44" t="s">
        <v>4635</v>
      </c>
      <c r="D810" s="45" t="s">
        <v>4089</v>
      </c>
    </row>
    <row r="811" spans="1:4" ht="47.25" customHeight="1" x14ac:dyDescent="0.25">
      <c r="A811" s="43" t="s">
        <v>5470</v>
      </c>
      <c r="B811" s="43" t="s">
        <v>5471</v>
      </c>
      <c r="C811" s="44" t="s">
        <v>112</v>
      </c>
      <c r="D811" s="45" t="s">
        <v>4090</v>
      </c>
    </row>
    <row r="812" spans="1:4" ht="47.25" customHeight="1" x14ac:dyDescent="0.25">
      <c r="A812" s="43" t="s">
        <v>5472</v>
      </c>
      <c r="B812" s="43" t="s">
        <v>5473</v>
      </c>
      <c r="C812" s="44" t="s">
        <v>5474</v>
      </c>
      <c r="D812" s="45" t="s">
        <v>4091</v>
      </c>
    </row>
    <row r="813" spans="1:4" ht="63" customHeight="1" x14ac:dyDescent="0.25">
      <c r="A813" s="43" t="s">
        <v>5475</v>
      </c>
      <c r="B813" s="43" t="s">
        <v>5476</v>
      </c>
      <c r="C813" s="44" t="s">
        <v>786</v>
      </c>
      <c r="D813" s="45" t="s">
        <v>4092</v>
      </c>
    </row>
    <row r="814" spans="1:4" ht="31.5" customHeight="1" x14ac:dyDescent="0.25">
      <c r="A814" s="43" t="s">
        <v>5477</v>
      </c>
      <c r="B814" s="43" t="s">
        <v>5478</v>
      </c>
      <c r="C814" s="44" t="s">
        <v>1329</v>
      </c>
      <c r="D814" s="45" t="s">
        <v>4093</v>
      </c>
    </row>
    <row r="815" spans="1:4" ht="78.75" customHeight="1" x14ac:dyDescent="0.25">
      <c r="A815" s="43" t="s">
        <v>5479</v>
      </c>
      <c r="B815" s="43" t="s">
        <v>5480</v>
      </c>
      <c r="C815" s="44" t="s">
        <v>5481</v>
      </c>
      <c r="D815" s="45" t="s">
        <v>4094</v>
      </c>
    </row>
    <row r="816" spans="1:4" ht="63" customHeight="1" x14ac:dyDescent="0.25">
      <c r="A816" s="43" t="s">
        <v>5482</v>
      </c>
      <c r="B816" s="43" t="s">
        <v>5483</v>
      </c>
      <c r="C816" s="44" t="s">
        <v>363</v>
      </c>
      <c r="D816" s="45" t="s">
        <v>4095</v>
      </c>
    </row>
    <row r="817" spans="1:4" ht="78.75" customHeight="1" x14ac:dyDescent="0.25">
      <c r="A817" s="43" t="s">
        <v>5484</v>
      </c>
      <c r="B817" s="43" t="s">
        <v>5485</v>
      </c>
      <c r="C817" s="44" t="s">
        <v>227</v>
      </c>
      <c r="D817" s="45" t="s">
        <v>4096</v>
      </c>
    </row>
    <row r="818" spans="1:4" ht="31.5" customHeight="1" x14ac:dyDescent="0.25">
      <c r="A818" s="43" t="s">
        <v>5486</v>
      </c>
      <c r="B818" s="43" t="s">
        <v>5487</v>
      </c>
      <c r="C818" s="44" t="s">
        <v>5488</v>
      </c>
      <c r="D818" s="45" t="s">
        <v>4097</v>
      </c>
    </row>
    <row r="819" spans="1:4" ht="31.5" customHeight="1" x14ac:dyDescent="0.25">
      <c r="A819" s="43" t="s">
        <v>5489</v>
      </c>
      <c r="B819" s="43" t="s">
        <v>5490</v>
      </c>
      <c r="C819" s="44" t="s">
        <v>1329</v>
      </c>
      <c r="D819" s="45" t="s">
        <v>4098</v>
      </c>
    </row>
    <row r="820" spans="1:4" ht="47.25" customHeight="1" x14ac:dyDescent="0.25">
      <c r="A820" s="43" t="s">
        <v>5491</v>
      </c>
      <c r="B820" s="43" t="s">
        <v>5492</v>
      </c>
      <c r="C820" s="44" t="s">
        <v>1528</v>
      </c>
      <c r="D820" s="45" t="s">
        <v>4099</v>
      </c>
    </row>
    <row r="821" spans="1:4" ht="63" customHeight="1" x14ac:dyDescent="0.25">
      <c r="A821" s="43" t="s">
        <v>5493</v>
      </c>
      <c r="B821" s="43" t="s">
        <v>5494</v>
      </c>
      <c r="C821" s="44" t="s">
        <v>5495</v>
      </c>
      <c r="D821" s="45" t="s">
        <v>4100</v>
      </c>
    </row>
    <row r="822" spans="1:4" ht="31.5" customHeight="1" x14ac:dyDescent="0.25">
      <c r="A822" s="43" t="s">
        <v>5496</v>
      </c>
      <c r="B822" s="43" t="s">
        <v>5497</v>
      </c>
      <c r="C822" s="44" t="s">
        <v>5061</v>
      </c>
      <c r="D822" s="45" t="s">
        <v>4101</v>
      </c>
    </row>
    <row r="823" spans="1:4" ht="31.5" customHeight="1" x14ac:dyDescent="0.25">
      <c r="A823" s="43" t="s">
        <v>5498</v>
      </c>
      <c r="B823" s="43" t="s">
        <v>5499</v>
      </c>
      <c r="C823" s="44" t="s">
        <v>1329</v>
      </c>
      <c r="D823" s="45" t="s">
        <v>4102</v>
      </c>
    </row>
    <row r="824" spans="1:4" ht="15.75" customHeight="1" x14ac:dyDescent="0.25">
      <c r="A824" s="43" t="s">
        <v>5500</v>
      </c>
      <c r="B824" s="43" t="s">
        <v>5501</v>
      </c>
      <c r="C824" s="44" t="s">
        <v>2052</v>
      </c>
      <c r="D824" s="45" t="s">
        <v>4103</v>
      </c>
    </row>
    <row r="825" spans="1:4" ht="31.5" customHeight="1" x14ac:dyDescent="0.25">
      <c r="A825" s="43" t="s">
        <v>5502</v>
      </c>
      <c r="B825" s="43" t="s">
        <v>5503</v>
      </c>
      <c r="C825" s="44" t="s">
        <v>5061</v>
      </c>
      <c r="D825" s="45" t="s">
        <v>4104</v>
      </c>
    </row>
    <row r="826" spans="1:4" ht="63" customHeight="1" x14ac:dyDescent="0.25">
      <c r="A826" s="43" t="s">
        <v>5504</v>
      </c>
      <c r="B826" s="43" t="s">
        <v>5505</v>
      </c>
      <c r="C826" s="44" t="s">
        <v>100</v>
      </c>
      <c r="D826" s="45" t="s">
        <v>4105</v>
      </c>
    </row>
    <row r="827" spans="1:4" ht="78.75" customHeight="1" x14ac:dyDescent="0.25">
      <c r="A827" s="43" t="s">
        <v>5506</v>
      </c>
      <c r="B827" s="43" t="s">
        <v>5507</v>
      </c>
      <c r="C827" s="44" t="s">
        <v>5464</v>
      </c>
      <c r="D827" s="45" t="s">
        <v>4106</v>
      </c>
    </row>
    <row r="828" spans="1:4" ht="47.25" customHeight="1" x14ac:dyDescent="0.25">
      <c r="A828" s="43" t="s">
        <v>5508</v>
      </c>
      <c r="B828" s="43" t="s">
        <v>5509</v>
      </c>
      <c r="C828" s="44" t="s">
        <v>2441</v>
      </c>
      <c r="D828" s="45" t="s">
        <v>4107</v>
      </c>
    </row>
    <row r="829" spans="1:4" ht="31.5" customHeight="1" x14ac:dyDescent="0.25">
      <c r="A829" s="43" t="s">
        <v>5510</v>
      </c>
      <c r="B829" s="43" t="s">
        <v>5511</v>
      </c>
      <c r="C829" s="44" t="s">
        <v>5100</v>
      </c>
      <c r="D829" s="45" t="s">
        <v>4108</v>
      </c>
    </row>
    <row r="830" spans="1:4" ht="63" customHeight="1" x14ac:dyDescent="0.25">
      <c r="A830" s="43" t="s">
        <v>5512</v>
      </c>
      <c r="B830" s="43" t="s">
        <v>5513</v>
      </c>
      <c r="C830" s="44" t="s">
        <v>1482</v>
      </c>
      <c r="D830" s="45" t="s">
        <v>4109</v>
      </c>
    </row>
    <row r="831" spans="1:4" ht="47.25" customHeight="1" x14ac:dyDescent="0.25">
      <c r="A831" s="43" t="s">
        <v>5514</v>
      </c>
      <c r="B831" s="43" t="s">
        <v>5515</v>
      </c>
      <c r="C831" s="44" t="s">
        <v>5100</v>
      </c>
      <c r="D831" s="45" t="s">
        <v>4110</v>
      </c>
    </row>
    <row r="832" spans="1:4" ht="63" customHeight="1" x14ac:dyDescent="0.25">
      <c r="A832" s="43" t="s">
        <v>5516</v>
      </c>
      <c r="B832" s="43" t="s">
        <v>5517</v>
      </c>
      <c r="C832" s="44" t="s">
        <v>633</v>
      </c>
      <c r="D832" s="45" t="s">
        <v>4111</v>
      </c>
    </row>
    <row r="833" spans="1:5" ht="31.5" customHeight="1" x14ac:dyDescent="0.25">
      <c r="A833" s="43" t="s">
        <v>5518</v>
      </c>
      <c r="B833" s="43" t="s">
        <v>5519</v>
      </c>
      <c r="C833" s="44" t="s">
        <v>1300</v>
      </c>
      <c r="D833" s="45" t="s">
        <v>4112</v>
      </c>
    </row>
    <row r="834" spans="1:5" ht="31.5" customHeight="1" x14ac:dyDescent="0.25">
      <c r="A834" s="43" t="s">
        <v>5520</v>
      </c>
      <c r="B834" s="43" t="s">
        <v>5521</v>
      </c>
      <c r="C834" s="44" t="s">
        <v>5522</v>
      </c>
      <c r="D834" s="45" t="s">
        <v>4113</v>
      </c>
    </row>
    <row r="835" spans="1:5" ht="47.25" customHeight="1" x14ac:dyDescent="0.25">
      <c r="A835" s="43" t="s">
        <v>5523</v>
      </c>
      <c r="B835" s="43" t="s">
        <v>5524</v>
      </c>
      <c r="C835" s="44" t="s">
        <v>156</v>
      </c>
      <c r="D835" s="45" t="s">
        <v>4114</v>
      </c>
    </row>
    <row r="836" spans="1:5" ht="47.25" customHeight="1" x14ac:dyDescent="0.25">
      <c r="A836" s="43" t="s">
        <v>5525</v>
      </c>
      <c r="B836" s="43" t="s">
        <v>5526</v>
      </c>
      <c r="C836" s="44" t="s">
        <v>5100</v>
      </c>
      <c r="D836" s="45" t="s">
        <v>4115</v>
      </c>
    </row>
    <row r="837" spans="1:5" ht="63" customHeight="1" x14ac:dyDescent="0.25">
      <c r="A837" s="43" t="s">
        <v>5527</v>
      </c>
      <c r="B837" s="43" t="s">
        <v>5528</v>
      </c>
      <c r="C837" s="44" t="s">
        <v>5529</v>
      </c>
      <c r="D837" s="45" t="s">
        <v>4116</v>
      </c>
    </row>
    <row r="838" spans="1:5" ht="31.5" customHeight="1" x14ac:dyDescent="0.25">
      <c r="A838" s="43" t="s">
        <v>5530</v>
      </c>
      <c r="B838" s="43" t="s">
        <v>5531</v>
      </c>
      <c r="C838" s="44" t="s">
        <v>5414</v>
      </c>
      <c r="D838" s="45" t="s">
        <v>4117</v>
      </c>
    </row>
    <row r="839" spans="1:5" ht="47.25" customHeight="1" x14ac:dyDescent="0.25">
      <c r="A839" s="43" t="s">
        <v>5532</v>
      </c>
      <c r="B839" s="43" t="s">
        <v>5533</v>
      </c>
      <c r="C839" s="44" t="s">
        <v>5534</v>
      </c>
      <c r="D839" s="45" t="s">
        <v>4118</v>
      </c>
    </row>
    <row r="840" spans="1:5" ht="31.5" customHeight="1" x14ac:dyDescent="0.25">
      <c r="A840" s="43" t="s">
        <v>5535</v>
      </c>
      <c r="B840" s="43" t="s">
        <v>5536</v>
      </c>
      <c r="C840" s="44" t="s">
        <v>5537</v>
      </c>
      <c r="D840" s="45" t="s">
        <v>4119</v>
      </c>
    </row>
    <row r="841" spans="1:5" ht="63" customHeight="1" x14ac:dyDescent="0.25">
      <c r="A841" s="43" t="s">
        <v>5538</v>
      </c>
      <c r="B841" s="43" t="s">
        <v>5539</v>
      </c>
      <c r="C841" s="44" t="s">
        <v>2190</v>
      </c>
      <c r="D841" s="45" t="s">
        <v>4120</v>
      </c>
    </row>
    <row r="842" spans="1:5" ht="47.25" customHeight="1" x14ac:dyDescent="0.25">
      <c r="A842" s="43" t="s">
        <v>5540</v>
      </c>
      <c r="B842" s="43" t="s">
        <v>5541</v>
      </c>
      <c r="C842" s="44" t="s">
        <v>2190</v>
      </c>
      <c r="D842" s="45" t="s">
        <v>4121</v>
      </c>
    </row>
    <row r="843" spans="1:5" ht="47.25" customHeight="1" x14ac:dyDescent="0.25">
      <c r="A843" s="43" t="s">
        <v>5542</v>
      </c>
      <c r="B843" s="43" t="s">
        <v>5543</v>
      </c>
      <c r="C843" s="44" t="s">
        <v>5544</v>
      </c>
      <c r="D843" s="45" t="s">
        <v>4122</v>
      </c>
    </row>
    <row r="844" spans="1:5" ht="31.5" customHeight="1" x14ac:dyDescent="0.25">
      <c r="A844" s="43" t="s">
        <v>5545</v>
      </c>
      <c r="B844" s="43" t="s">
        <v>5546</v>
      </c>
      <c r="C844" s="44" t="s">
        <v>1197</v>
      </c>
      <c r="D844" s="45" t="s">
        <v>4123</v>
      </c>
    </row>
    <row r="845" spans="1:5" s="31" customFormat="1" ht="31.5" customHeight="1" x14ac:dyDescent="0.25">
      <c r="A845" s="43" t="s">
        <v>5547</v>
      </c>
      <c r="B845" s="43" t="s">
        <v>5548</v>
      </c>
      <c r="C845" s="44" t="s">
        <v>5549</v>
      </c>
      <c r="D845" s="45" t="s">
        <v>4124</v>
      </c>
      <c r="E845" s="29"/>
    </row>
    <row r="846" spans="1:5" s="31" customFormat="1" ht="63" customHeight="1" x14ac:dyDescent="0.25">
      <c r="A846" s="43" t="s">
        <v>5550</v>
      </c>
      <c r="B846" s="43" t="s">
        <v>5551</v>
      </c>
      <c r="C846" s="44" t="s">
        <v>1533</v>
      </c>
      <c r="D846" s="45" t="s">
        <v>4125</v>
      </c>
      <c r="E846" s="29"/>
    </row>
    <row r="847" spans="1:5" s="31" customFormat="1" ht="31.5" customHeight="1" x14ac:dyDescent="0.25">
      <c r="A847" s="43" t="s">
        <v>5552</v>
      </c>
      <c r="B847" s="43" t="s">
        <v>5553</v>
      </c>
      <c r="C847" s="44" t="s">
        <v>795</v>
      </c>
      <c r="D847" s="45" t="s">
        <v>4126</v>
      </c>
      <c r="E847" s="29"/>
    </row>
    <row r="848" spans="1:5" s="31" customFormat="1" ht="47.25" customHeight="1" x14ac:dyDescent="0.25">
      <c r="A848" s="43" t="s">
        <v>5554</v>
      </c>
      <c r="B848" s="43" t="s">
        <v>5555</v>
      </c>
      <c r="C848" s="44" t="s">
        <v>2708</v>
      </c>
      <c r="D848" s="45" t="s">
        <v>4127</v>
      </c>
      <c r="E848" s="29"/>
    </row>
    <row r="849" spans="1:5" s="31" customFormat="1" ht="31.5" customHeight="1" x14ac:dyDescent="0.25">
      <c r="A849" s="43" t="s">
        <v>5556</v>
      </c>
      <c r="B849" s="43" t="s">
        <v>5557</v>
      </c>
      <c r="C849" s="44" t="s">
        <v>5549</v>
      </c>
      <c r="D849" s="45" t="s">
        <v>4128</v>
      </c>
      <c r="E849" s="29"/>
    </row>
    <row r="850" spans="1:5" s="31" customFormat="1" ht="31.5" customHeight="1" x14ac:dyDescent="0.25">
      <c r="A850" s="43" t="s">
        <v>5558</v>
      </c>
      <c r="B850" s="43" t="s">
        <v>5559</v>
      </c>
      <c r="C850" s="44" t="s">
        <v>4801</v>
      </c>
      <c r="D850" s="45" t="s">
        <v>4129</v>
      </c>
      <c r="E850" s="29"/>
    </row>
    <row r="851" spans="1:5" s="31" customFormat="1" ht="47.25" customHeight="1" x14ac:dyDescent="0.25">
      <c r="A851" s="43" t="s">
        <v>5560</v>
      </c>
      <c r="B851" s="43" t="s">
        <v>5561</v>
      </c>
      <c r="C851" s="44" t="s">
        <v>1477</v>
      </c>
      <c r="D851" s="45" t="s">
        <v>4130</v>
      </c>
      <c r="E851" s="29"/>
    </row>
    <row r="852" spans="1:5" s="31" customFormat="1" ht="31.5" customHeight="1" x14ac:dyDescent="0.25">
      <c r="A852" s="43" t="s">
        <v>5562</v>
      </c>
      <c r="B852" s="43" t="s">
        <v>5563</v>
      </c>
      <c r="C852" s="44" t="s">
        <v>5211</v>
      </c>
      <c r="D852" s="45" t="s">
        <v>4131</v>
      </c>
      <c r="E852" s="29"/>
    </row>
    <row r="853" spans="1:5" s="31" customFormat="1" ht="63" customHeight="1" x14ac:dyDescent="0.25">
      <c r="A853" s="43" t="s">
        <v>5564</v>
      </c>
      <c r="B853" s="43" t="s">
        <v>5565</v>
      </c>
      <c r="C853" s="44" t="s">
        <v>186</v>
      </c>
      <c r="D853" s="45" t="s">
        <v>4132</v>
      </c>
      <c r="E853" s="29"/>
    </row>
    <row r="854" spans="1:5" s="31" customFormat="1" ht="31.5" customHeight="1" x14ac:dyDescent="0.25">
      <c r="A854" s="43" t="s">
        <v>5566</v>
      </c>
      <c r="B854" s="43" t="s">
        <v>5567</v>
      </c>
      <c r="C854" s="44" t="s">
        <v>1374</v>
      </c>
      <c r="D854" s="45" t="s">
        <v>4133</v>
      </c>
      <c r="E854" s="29"/>
    </row>
    <row r="855" spans="1:5" s="31" customFormat="1" ht="31.5" customHeight="1" x14ac:dyDescent="0.25">
      <c r="A855" s="43" t="s">
        <v>5568</v>
      </c>
      <c r="B855" s="43" t="s">
        <v>5569</v>
      </c>
      <c r="C855" s="44" t="s">
        <v>419</v>
      </c>
      <c r="D855" s="45" t="s">
        <v>4134</v>
      </c>
      <c r="E855" s="29"/>
    </row>
    <row r="856" spans="1:5" s="31" customFormat="1" ht="47.25" customHeight="1" x14ac:dyDescent="0.25">
      <c r="A856" s="43" t="s">
        <v>5570</v>
      </c>
      <c r="B856" s="43" t="s">
        <v>5571</v>
      </c>
      <c r="C856" s="44" t="s">
        <v>5100</v>
      </c>
      <c r="D856" s="45" t="s">
        <v>4135</v>
      </c>
      <c r="E856" s="29"/>
    </row>
    <row r="857" spans="1:5" s="31" customFormat="1" ht="63" customHeight="1" x14ac:dyDescent="0.25">
      <c r="A857" s="43" t="s">
        <v>5572</v>
      </c>
      <c r="B857" s="43" t="s">
        <v>5573</v>
      </c>
      <c r="C857" s="44" t="s">
        <v>4998</v>
      </c>
      <c r="D857" s="45" t="s">
        <v>4136</v>
      </c>
      <c r="E857" s="29"/>
    </row>
    <row r="858" spans="1:5" s="31" customFormat="1" ht="31.5" customHeight="1" x14ac:dyDescent="0.25">
      <c r="A858" s="43" t="s">
        <v>5574</v>
      </c>
      <c r="B858" s="43" t="s">
        <v>5575</v>
      </c>
      <c r="C858" s="44" t="s">
        <v>396</v>
      </c>
      <c r="D858" s="45" t="s">
        <v>4137</v>
      </c>
      <c r="E858" s="29"/>
    </row>
    <row r="859" spans="1:5" ht="47.25" customHeight="1" x14ac:dyDescent="0.25">
      <c r="A859" s="43" t="s">
        <v>5576</v>
      </c>
      <c r="B859" s="43" t="s">
        <v>5577</v>
      </c>
      <c r="C859" s="44" t="s">
        <v>1432</v>
      </c>
      <c r="D859" s="45" t="s">
        <v>4138</v>
      </c>
    </row>
    <row r="860" spans="1:5" ht="47.25" customHeight="1" x14ac:dyDescent="0.25">
      <c r="A860" s="43" t="s">
        <v>5578</v>
      </c>
      <c r="B860" s="43" t="s">
        <v>5579</v>
      </c>
      <c r="C860" s="44" t="s">
        <v>186</v>
      </c>
      <c r="D860" s="45" t="s">
        <v>4139</v>
      </c>
    </row>
    <row r="861" spans="1:5" ht="31.5" customHeight="1" x14ac:dyDescent="0.25">
      <c r="A861" s="43" t="s">
        <v>5580</v>
      </c>
      <c r="B861" s="43" t="s">
        <v>5581</v>
      </c>
      <c r="C861" s="44" t="s">
        <v>5582</v>
      </c>
      <c r="D861" s="45" t="s">
        <v>4140</v>
      </c>
    </row>
    <row r="862" spans="1:5" ht="47.25" customHeight="1" x14ac:dyDescent="0.25">
      <c r="A862" s="43" t="s">
        <v>5583</v>
      </c>
      <c r="B862" s="43" t="s">
        <v>5584</v>
      </c>
      <c r="C862" s="44" t="s">
        <v>5585</v>
      </c>
      <c r="D862" s="45" t="s">
        <v>4141</v>
      </c>
    </row>
    <row r="863" spans="1:5" ht="47.25" customHeight="1" x14ac:dyDescent="0.25">
      <c r="A863" s="43" t="s">
        <v>5586</v>
      </c>
      <c r="B863" s="43" t="s">
        <v>5587</v>
      </c>
      <c r="C863" s="44" t="s">
        <v>2039</v>
      </c>
      <c r="D863" s="45" t="s">
        <v>4142</v>
      </c>
    </row>
    <row r="864" spans="1:5" ht="31.5" customHeight="1" x14ac:dyDescent="0.25">
      <c r="A864" s="43" t="s">
        <v>5588</v>
      </c>
      <c r="B864" s="43" t="s">
        <v>5589</v>
      </c>
      <c r="C864" s="44" t="s">
        <v>5061</v>
      </c>
      <c r="D864" s="45" t="s">
        <v>4143</v>
      </c>
    </row>
    <row r="865" spans="1:4" ht="31.5" customHeight="1" x14ac:dyDescent="0.25">
      <c r="A865" s="43" t="s">
        <v>5590</v>
      </c>
      <c r="B865" s="43" t="s">
        <v>5591</v>
      </c>
      <c r="C865" s="44" t="s">
        <v>578</v>
      </c>
      <c r="D865" s="45" t="s">
        <v>4144</v>
      </c>
    </row>
    <row r="866" spans="1:4" ht="47.25" customHeight="1" x14ac:dyDescent="0.25">
      <c r="A866" s="43" t="s">
        <v>5592</v>
      </c>
      <c r="B866" s="43" t="s">
        <v>5593</v>
      </c>
      <c r="C866" s="44" t="s">
        <v>2039</v>
      </c>
      <c r="D866" s="45" t="s">
        <v>4145</v>
      </c>
    </row>
    <row r="867" spans="1:4" ht="47.25" customHeight="1" x14ac:dyDescent="0.25">
      <c r="A867" s="43" t="s">
        <v>5594</v>
      </c>
      <c r="B867" s="43" t="s">
        <v>5595</v>
      </c>
      <c r="C867" s="44" t="s">
        <v>192</v>
      </c>
      <c r="D867" s="45" t="s">
        <v>4146</v>
      </c>
    </row>
    <row r="868" spans="1:4" ht="63" customHeight="1" x14ac:dyDescent="0.25">
      <c r="A868" s="43" t="s">
        <v>5596</v>
      </c>
      <c r="B868" s="43" t="s">
        <v>5597</v>
      </c>
      <c r="C868" s="44" t="s">
        <v>5598</v>
      </c>
      <c r="D868" s="45" t="s">
        <v>4147</v>
      </c>
    </row>
    <row r="869" spans="1:4" ht="47.25" customHeight="1" x14ac:dyDescent="0.25">
      <c r="A869" s="43" t="s">
        <v>5599</v>
      </c>
      <c r="B869" s="43" t="s">
        <v>5600</v>
      </c>
      <c r="C869" s="44" t="s">
        <v>2190</v>
      </c>
      <c r="D869" s="45" t="s">
        <v>4148</v>
      </c>
    </row>
    <row r="870" spans="1:4" ht="31.5" customHeight="1" x14ac:dyDescent="0.25">
      <c r="A870" s="43" t="s">
        <v>5601</v>
      </c>
      <c r="B870" s="43" t="s">
        <v>5602</v>
      </c>
      <c r="C870" s="44" t="s">
        <v>2190</v>
      </c>
      <c r="D870" s="45" t="s">
        <v>4149</v>
      </c>
    </row>
    <row r="871" spans="1:4" ht="31.5" customHeight="1" x14ac:dyDescent="0.25">
      <c r="A871" s="43" t="s">
        <v>5603</v>
      </c>
      <c r="B871" s="43" t="s">
        <v>5604</v>
      </c>
      <c r="C871" s="44" t="s">
        <v>2190</v>
      </c>
      <c r="D871" s="45" t="s">
        <v>4150</v>
      </c>
    </row>
    <row r="872" spans="1:4" ht="31.5" customHeight="1" x14ac:dyDescent="0.25">
      <c r="A872" s="43" t="s">
        <v>5605</v>
      </c>
      <c r="B872" s="43" t="s">
        <v>5606</v>
      </c>
      <c r="C872" s="44" t="s">
        <v>2190</v>
      </c>
      <c r="D872" s="45" t="s">
        <v>4151</v>
      </c>
    </row>
    <row r="873" spans="1:4" ht="31.5" customHeight="1" x14ac:dyDescent="0.25">
      <c r="A873" s="43" t="s">
        <v>5607</v>
      </c>
      <c r="B873" s="43" t="s">
        <v>5608</v>
      </c>
      <c r="C873" s="44" t="s">
        <v>112</v>
      </c>
      <c r="D873" s="45" t="s">
        <v>4152</v>
      </c>
    </row>
    <row r="874" spans="1:4" ht="47.25" customHeight="1" x14ac:dyDescent="0.25">
      <c r="A874" s="43" t="s">
        <v>5609</v>
      </c>
      <c r="B874" s="43" t="s">
        <v>5610</v>
      </c>
      <c r="C874" s="44" t="s">
        <v>112</v>
      </c>
      <c r="D874" s="45" t="s">
        <v>4153</v>
      </c>
    </row>
    <row r="875" spans="1:4" ht="31.5" customHeight="1" x14ac:dyDescent="0.25">
      <c r="A875" s="43" t="s">
        <v>5611</v>
      </c>
      <c r="B875" s="43" t="s">
        <v>5612</v>
      </c>
      <c r="C875" s="44" t="s">
        <v>363</v>
      </c>
      <c r="D875" s="45" t="s">
        <v>4154</v>
      </c>
    </row>
    <row r="876" spans="1:4" ht="47.25" customHeight="1" x14ac:dyDescent="0.25">
      <c r="A876" s="43" t="s">
        <v>5613</v>
      </c>
      <c r="B876" s="43" t="s">
        <v>5614</v>
      </c>
      <c r="C876" s="44" t="s">
        <v>1207</v>
      </c>
      <c r="D876" s="45" t="s">
        <v>4155</v>
      </c>
    </row>
    <row r="877" spans="1:4" ht="31.5" customHeight="1" x14ac:dyDescent="0.25">
      <c r="A877" s="43" t="s">
        <v>5615</v>
      </c>
      <c r="B877" s="43" t="s">
        <v>5616</v>
      </c>
      <c r="C877" s="44" t="s">
        <v>2039</v>
      </c>
      <c r="D877" s="45" t="s">
        <v>4156</v>
      </c>
    </row>
    <row r="878" spans="1:4" ht="47.25" customHeight="1" x14ac:dyDescent="0.25">
      <c r="A878" s="43" t="s">
        <v>5617</v>
      </c>
      <c r="B878" s="43" t="s">
        <v>5618</v>
      </c>
      <c r="C878" s="44" t="s">
        <v>937</v>
      </c>
      <c r="D878" s="45" t="s">
        <v>4157</v>
      </c>
    </row>
    <row r="879" spans="1:4" ht="63" customHeight="1" x14ac:dyDescent="0.25">
      <c r="A879" s="43" t="s">
        <v>5619</v>
      </c>
      <c r="B879" s="43" t="s">
        <v>5620</v>
      </c>
      <c r="C879" s="44" t="s">
        <v>358</v>
      </c>
      <c r="D879" s="45" t="s">
        <v>4158</v>
      </c>
    </row>
    <row r="880" spans="1:4" ht="63" customHeight="1" x14ac:dyDescent="0.25">
      <c r="A880" s="43" t="s">
        <v>5621</v>
      </c>
      <c r="B880" s="43" t="s">
        <v>5622</v>
      </c>
      <c r="C880" s="44" t="s">
        <v>192</v>
      </c>
      <c r="D880" s="45" t="s">
        <v>4159</v>
      </c>
    </row>
    <row r="881" spans="1:4" ht="63" customHeight="1" x14ac:dyDescent="0.25">
      <c r="A881" s="43" t="s">
        <v>5623</v>
      </c>
      <c r="B881" s="43" t="s">
        <v>5624</v>
      </c>
      <c r="C881" s="44" t="s">
        <v>4640</v>
      </c>
      <c r="D881" s="45" t="s">
        <v>4160</v>
      </c>
    </row>
    <row r="882" spans="1:4" ht="63" customHeight="1" x14ac:dyDescent="0.25">
      <c r="A882" s="43" t="s">
        <v>5625</v>
      </c>
      <c r="B882" s="43" t="s">
        <v>5626</v>
      </c>
      <c r="C882" s="44" t="s">
        <v>379</v>
      </c>
      <c r="D882" s="45" t="s">
        <v>4161</v>
      </c>
    </row>
    <row r="883" spans="1:4" ht="63" customHeight="1" x14ac:dyDescent="0.25">
      <c r="A883" s="43" t="s">
        <v>5627</v>
      </c>
      <c r="B883" s="43" t="s">
        <v>5628</v>
      </c>
      <c r="C883" s="44" t="s">
        <v>5629</v>
      </c>
      <c r="D883" s="45" t="s">
        <v>4162</v>
      </c>
    </row>
    <row r="884" spans="1:4" ht="47.25" customHeight="1" x14ac:dyDescent="0.25">
      <c r="A884" s="43" t="s">
        <v>5630</v>
      </c>
      <c r="B884" s="43" t="s">
        <v>5631</v>
      </c>
      <c r="C884" s="44" t="s">
        <v>1129</v>
      </c>
      <c r="D884" s="45" t="s">
        <v>4163</v>
      </c>
    </row>
    <row r="885" spans="1:4" ht="47.25" customHeight="1" x14ac:dyDescent="0.25">
      <c r="A885" s="43" t="s">
        <v>5632</v>
      </c>
      <c r="B885" s="43" t="s">
        <v>5633</v>
      </c>
      <c r="C885" s="44" t="s">
        <v>468</v>
      </c>
      <c r="D885" s="45" t="s">
        <v>4164</v>
      </c>
    </row>
    <row r="886" spans="1:4" ht="47.25" customHeight="1" x14ac:dyDescent="0.25">
      <c r="A886" s="43" t="s">
        <v>5634</v>
      </c>
      <c r="B886" s="43" t="s">
        <v>5635</v>
      </c>
      <c r="C886" s="44" t="s">
        <v>468</v>
      </c>
      <c r="D886" s="45" t="s">
        <v>4165</v>
      </c>
    </row>
    <row r="887" spans="1:4" ht="31.5" customHeight="1" x14ac:dyDescent="0.25">
      <c r="A887" s="43" t="s">
        <v>5636</v>
      </c>
      <c r="B887" s="43" t="s">
        <v>5637</v>
      </c>
      <c r="C887" s="44" t="s">
        <v>2537</v>
      </c>
      <c r="D887" s="45" t="s">
        <v>4166</v>
      </c>
    </row>
    <row r="888" spans="1:4" ht="31.5" customHeight="1" x14ac:dyDescent="0.25">
      <c r="A888" s="43" t="s">
        <v>5638</v>
      </c>
      <c r="B888" s="43" t="s">
        <v>5639</v>
      </c>
      <c r="C888" s="44" t="s">
        <v>4615</v>
      </c>
      <c r="D888" s="45" t="s">
        <v>4167</v>
      </c>
    </row>
    <row r="889" spans="1:4" ht="31.5" customHeight="1" x14ac:dyDescent="0.25">
      <c r="A889" s="43" t="s">
        <v>5640</v>
      </c>
      <c r="B889" s="43" t="s">
        <v>5641</v>
      </c>
      <c r="C889" s="44" t="s">
        <v>4615</v>
      </c>
      <c r="D889" s="45" t="s">
        <v>4168</v>
      </c>
    </row>
    <row r="890" spans="1:4" ht="31.5" customHeight="1" x14ac:dyDescent="0.25">
      <c r="A890" s="43" t="s">
        <v>5642</v>
      </c>
      <c r="B890" s="43" t="s">
        <v>5643</v>
      </c>
      <c r="C890" s="44" t="s">
        <v>4615</v>
      </c>
      <c r="D890" s="45" t="s">
        <v>4169</v>
      </c>
    </row>
    <row r="891" spans="1:4" ht="31.5" customHeight="1" x14ac:dyDescent="0.25">
      <c r="A891" s="43" t="s">
        <v>5644</v>
      </c>
      <c r="B891" s="43" t="s">
        <v>5645</v>
      </c>
      <c r="C891" s="44" t="s">
        <v>5376</v>
      </c>
      <c r="D891" s="45" t="s">
        <v>4170</v>
      </c>
    </row>
    <row r="892" spans="1:4" ht="47.25" customHeight="1" x14ac:dyDescent="0.25">
      <c r="A892" s="43" t="s">
        <v>5646</v>
      </c>
      <c r="B892" s="43" t="s">
        <v>5647</v>
      </c>
      <c r="C892" s="44" t="s">
        <v>2190</v>
      </c>
      <c r="D892" s="45" t="s">
        <v>4171</v>
      </c>
    </row>
    <row r="893" spans="1:4" ht="47.25" customHeight="1" x14ac:dyDescent="0.25">
      <c r="A893" s="43" t="s">
        <v>5648</v>
      </c>
      <c r="B893" s="43" t="s">
        <v>5649</v>
      </c>
      <c r="C893" s="44" t="s">
        <v>1300</v>
      </c>
      <c r="D893" s="45" t="s">
        <v>4172</v>
      </c>
    </row>
    <row r="894" spans="1:4" ht="31.5" customHeight="1" x14ac:dyDescent="0.25">
      <c r="A894" s="43" t="s">
        <v>5650</v>
      </c>
      <c r="B894" s="43" t="s">
        <v>5651</v>
      </c>
      <c r="C894" s="54" t="s">
        <v>5652</v>
      </c>
      <c r="D894" s="45" t="s">
        <v>4173</v>
      </c>
    </row>
    <row r="895" spans="1:4" ht="63" customHeight="1" x14ac:dyDescent="0.25">
      <c r="A895" s="43" t="s">
        <v>5653</v>
      </c>
      <c r="B895" s="43" t="s">
        <v>5654</v>
      </c>
      <c r="C895" s="44" t="s">
        <v>2284</v>
      </c>
      <c r="D895" s="45" t="s">
        <v>4174</v>
      </c>
    </row>
    <row r="896" spans="1:4" ht="47.25" customHeight="1" x14ac:dyDescent="0.25">
      <c r="A896" s="43" t="s">
        <v>5655</v>
      </c>
      <c r="B896" s="43" t="s">
        <v>5656</v>
      </c>
      <c r="C896" s="44" t="s">
        <v>1427</v>
      </c>
      <c r="D896" s="45" t="s">
        <v>4175</v>
      </c>
    </row>
    <row r="897" spans="1:4" ht="47.25" customHeight="1" x14ac:dyDescent="0.25">
      <c r="A897" s="43" t="s">
        <v>5657</v>
      </c>
      <c r="B897" s="43" t="s">
        <v>5658</v>
      </c>
      <c r="C897" s="44" t="s">
        <v>2221</v>
      </c>
      <c r="D897" s="45" t="s">
        <v>4176</v>
      </c>
    </row>
    <row r="898" spans="1:4" ht="63" customHeight="1" x14ac:dyDescent="0.25">
      <c r="A898" s="43" t="s">
        <v>5659</v>
      </c>
      <c r="B898" s="43" t="s">
        <v>5660</v>
      </c>
      <c r="C898" s="44" t="s">
        <v>1124</v>
      </c>
      <c r="D898" s="45" t="s">
        <v>4177</v>
      </c>
    </row>
    <row r="899" spans="1:4" ht="47.25" customHeight="1" x14ac:dyDescent="0.25">
      <c r="A899" s="43" t="s">
        <v>5661</v>
      </c>
      <c r="B899" s="43" t="s">
        <v>5662</v>
      </c>
      <c r="C899" s="44" t="s">
        <v>5046</v>
      </c>
      <c r="D899" s="45" t="s">
        <v>4178</v>
      </c>
    </row>
    <row r="900" spans="1:4" ht="47.25" customHeight="1" x14ac:dyDescent="0.25">
      <c r="A900" s="43" t="s">
        <v>5663</v>
      </c>
      <c r="B900" s="43" t="s">
        <v>5664</v>
      </c>
      <c r="C900" s="44" t="s">
        <v>1321</v>
      </c>
      <c r="D900" s="45" t="s">
        <v>4179</v>
      </c>
    </row>
    <row r="901" spans="1:4" ht="31.5" customHeight="1" x14ac:dyDescent="0.25">
      <c r="A901" s="43" t="s">
        <v>5665</v>
      </c>
      <c r="B901" s="43" t="s">
        <v>5666</v>
      </c>
      <c r="C901" s="44" t="s">
        <v>1865</v>
      </c>
      <c r="D901" s="45" t="s">
        <v>4180</v>
      </c>
    </row>
    <row r="902" spans="1:4" ht="63" customHeight="1" x14ac:dyDescent="0.25">
      <c r="A902" s="43" t="s">
        <v>5667</v>
      </c>
      <c r="B902" s="43" t="s">
        <v>5668</v>
      </c>
      <c r="C902" s="44" t="s">
        <v>924</v>
      </c>
      <c r="D902" s="45" t="s">
        <v>4181</v>
      </c>
    </row>
    <row r="903" spans="1:4" ht="47.25" customHeight="1" x14ac:dyDescent="0.25">
      <c r="A903" s="43" t="s">
        <v>5669</v>
      </c>
      <c r="B903" s="43" t="s">
        <v>5670</v>
      </c>
      <c r="C903" s="44" t="s">
        <v>604</v>
      </c>
      <c r="D903" s="45" t="s">
        <v>4182</v>
      </c>
    </row>
    <row r="904" spans="1:4" ht="47.25" customHeight="1" x14ac:dyDescent="0.25">
      <c r="A904" s="43" t="s">
        <v>5671</v>
      </c>
      <c r="B904" s="43" t="s">
        <v>5672</v>
      </c>
      <c r="C904" s="44" t="s">
        <v>5100</v>
      </c>
      <c r="D904" s="45" t="s">
        <v>4183</v>
      </c>
    </row>
    <row r="905" spans="1:4" ht="47.25" customHeight="1" x14ac:dyDescent="0.25">
      <c r="A905" s="43" t="s">
        <v>5673</v>
      </c>
      <c r="B905" s="43" t="s">
        <v>5674</v>
      </c>
      <c r="C905" s="44" t="s">
        <v>1191</v>
      </c>
      <c r="D905" s="45" t="s">
        <v>4184</v>
      </c>
    </row>
    <row r="906" spans="1:4" ht="31.5" customHeight="1" x14ac:dyDescent="0.25">
      <c r="A906" s="43" t="s">
        <v>5675</v>
      </c>
      <c r="B906" s="43" t="s">
        <v>5676</v>
      </c>
      <c r="C906" s="44" t="s">
        <v>1379</v>
      </c>
      <c r="D906" s="45" t="s">
        <v>4185</v>
      </c>
    </row>
    <row r="907" spans="1:4" ht="31.5" customHeight="1" x14ac:dyDescent="0.25">
      <c r="A907" s="43" t="s">
        <v>5677</v>
      </c>
      <c r="B907" s="43" t="s">
        <v>5678</v>
      </c>
      <c r="C907" s="44" t="s">
        <v>1353</v>
      </c>
      <c r="D907" s="45" t="s">
        <v>4186</v>
      </c>
    </row>
    <row r="908" spans="1:4" ht="47.25" customHeight="1" x14ac:dyDescent="0.25">
      <c r="A908" s="43" t="s">
        <v>5679</v>
      </c>
      <c r="B908" s="43" t="s">
        <v>5680</v>
      </c>
      <c r="C908" s="44" t="s">
        <v>1106</v>
      </c>
      <c r="D908" s="45" t="s">
        <v>4187</v>
      </c>
    </row>
    <row r="909" spans="1:4" ht="78.75" customHeight="1" x14ac:dyDescent="0.25">
      <c r="A909" s="43" t="s">
        <v>5681</v>
      </c>
      <c r="B909" s="43" t="s">
        <v>5682</v>
      </c>
      <c r="C909" s="44" t="s">
        <v>4472</v>
      </c>
      <c r="D909" s="45" t="s">
        <v>4188</v>
      </c>
    </row>
    <row r="910" spans="1:4" ht="31.5" customHeight="1" x14ac:dyDescent="0.25">
      <c r="A910" s="43" t="s">
        <v>5683</v>
      </c>
      <c r="B910" s="43" t="s">
        <v>5684</v>
      </c>
      <c r="C910" s="44" t="s">
        <v>2190</v>
      </c>
      <c r="D910" s="45" t="s">
        <v>4189</v>
      </c>
    </row>
    <row r="911" spans="1:4" ht="47.25" customHeight="1" x14ac:dyDescent="0.25">
      <c r="A911" s="43" t="s">
        <v>5685</v>
      </c>
      <c r="B911" s="43" t="s">
        <v>5686</v>
      </c>
      <c r="C911" s="44" t="s">
        <v>4455</v>
      </c>
      <c r="D911" s="45" t="s">
        <v>4190</v>
      </c>
    </row>
    <row r="912" spans="1:4" ht="31.5" customHeight="1" x14ac:dyDescent="0.25">
      <c r="A912" s="43" t="s">
        <v>5687</v>
      </c>
      <c r="B912" s="43" t="s">
        <v>5688</v>
      </c>
      <c r="C912" s="44" t="s">
        <v>4455</v>
      </c>
      <c r="D912" s="45" t="s">
        <v>4191</v>
      </c>
    </row>
    <row r="913" spans="1:4" ht="31.5" customHeight="1" x14ac:dyDescent="0.25">
      <c r="A913" s="43" t="s">
        <v>5689</v>
      </c>
      <c r="B913" s="43" t="s">
        <v>5690</v>
      </c>
      <c r="C913" s="44" t="s">
        <v>4455</v>
      </c>
      <c r="D913" s="45" t="s">
        <v>4192</v>
      </c>
    </row>
    <row r="914" spans="1:4" ht="31.5" customHeight="1" x14ac:dyDescent="0.25">
      <c r="A914" s="43" t="s">
        <v>5691</v>
      </c>
      <c r="B914" s="43" t="s">
        <v>5692</v>
      </c>
      <c r="C914" s="44" t="s">
        <v>4455</v>
      </c>
      <c r="D914" s="45" t="s">
        <v>4193</v>
      </c>
    </row>
    <row r="915" spans="1:4" ht="47.25" customHeight="1" x14ac:dyDescent="0.25">
      <c r="A915" s="43" t="s">
        <v>5693</v>
      </c>
      <c r="B915" s="43" t="s">
        <v>5694</v>
      </c>
      <c r="C915" s="44" t="s">
        <v>4455</v>
      </c>
      <c r="D915" s="45" t="s">
        <v>4194</v>
      </c>
    </row>
    <row r="916" spans="1:4" ht="31.5" customHeight="1" x14ac:dyDescent="0.25">
      <c r="A916" s="43" t="s">
        <v>5695</v>
      </c>
      <c r="B916" s="43" t="s">
        <v>5696</v>
      </c>
      <c r="C916" s="44" t="s">
        <v>1585</v>
      </c>
      <c r="D916" s="45" t="s">
        <v>4195</v>
      </c>
    </row>
    <row r="917" spans="1:4" ht="31.5" customHeight="1" x14ac:dyDescent="0.25">
      <c r="A917" s="43" t="s">
        <v>5697</v>
      </c>
      <c r="B917" s="43" t="s">
        <v>5698</v>
      </c>
      <c r="C917" s="44" t="s">
        <v>260</v>
      </c>
      <c r="D917" s="45" t="s">
        <v>4196</v>
      </c>
    </row>
    <row r="918" spans="1:4" ht="47.25" customHeight="1" x14ac:dyDescent="0.25">
      <c r="A918" s="43" t="s">
        <v>5699</v>
      </c>
      <c r="B918" s="43" t="s">
        <v>5700</v>
      </c>
      <c r="C918" s="44" t="s">
        <v>514</v>
      </c>
      <c r="D918" s="45" t="s">
        <v>4197</v>
      </c>
    </row>
    <row r="919" spans="1:4" ht="31.5" customHeight="1" x14ac:dyDescent="0.25">
      <c r="A919" s="43" t="s">
        <v>5701</v>
      </c>
      <c r="B919" s="43" t="s">
        <v>5702</v>
      </c>
      <c r="C919" s="44" t="s">
        <v>5703</v>
      </c>
      <c r="D919" s="45" t="s">
        <v>4198</v>
      </c>
    </row>
    <row r="920" spans="1:4" ht="31.5" customHeight="1" x14ac:dyDescent="0.25">
      <c r="A920" s="43" t="s">
        <v>5704</v>
      </c>
      <c r="B920" s="43" t="s">
        <v>5705</v>
      </c>
      <c r="C920" s="44" t="s">
        <v>5706</v>
      </c>
      <c r="D920" s="45" t="s">
        <v>4199</v>
      </c>
    </row>
    <row r="921" spans="1:4" ht="31.5" customHeight="1" x14ac:dyDescent="0.25">
      <c r="A921" s="43" t="s">
        <v>5707</v>
      </c>
      <c r="B921" s="43" t="s">
        <v>5708</v>
      </c>
      <c r="C921" s="44" t="s">
        <v>781</v>
      </c>
      <c r="D921" s="45" t="s">
        <v>4200</v>
      </c>
    </row>
    <row r="922" spans="1:4" ht="63" customHeight="1" x14ac:dyDescent="0.25">
      <c r="A922" s="43" t="s">
        <v>5709</v>
      </c>
      <c r="B922" s="43" t="s">
        <v>5710</v>
      </c>
      <c r="C922" s="44" t="s">
        <v>1052</v>
      </c>
      <c r="D922" s="45" t="s">
        <v>4201</v>
      </c>
    </row>
    <row r="923" spans="1:4" ht="63" customHeight="1" x14ac:dyDescent="0.25">
      <c r="A923" s="43" t="s">
        <v>5711</v>
      </c>
      <c r="B923" s="43" t="s">
        <v>5712</v>
      </c>
      <c r="C923" s="44" t="s">
        <v>1975</v>
      </c>
      <c r="D923" s="45" t="s">
        <v>4202</v>
      </c>
    </row>
    <row r="924" spans="1:4" ht="47.25" customHeight="1" x14ac:dyDescent="0.25">
      <c r="A924" s="43" t="s">
        <v>5713</v>
      </c>
      <c r="B924" s="43" t="s">
        <v>5714</v>
      </c>
      <c r="C924" s="44" t="s">
        <v>95</v>
      </c>
      <c r="D924" s="45" t="s">
        <v>4203</v>
      </c>
    </row>
    <row r="925" spans="1:4" ht="47.25" customHeight="1" x14ac:dyDescent="0.25">
      <c r="A925" s="43" t="s">
        <v>5715</v>
      </c>
      <c r="B925" s="43" t="s">
        <v>5716</v>
      </c>
      <c r="C925" s="44" t="s">
        <v>509</v>
      </c>
      <c r="D925" s="45" t="s">
        <v>4204</v>
      </c>
    </row>
    <row r="926" spans="1:4" ht="47.25" customHeight="1" x14ac:dyDescent="0.25">
      <c r="A926" s="43" t="s">
        <v>5717</v>
      </c>
      <c r="B926" s="43" t="s">
        <v>5718</v>
      </c>
      <c r="C926" s="44" t="s">
        <v>209</v>
      </c>
      <c r="D926" s="45" t="s">
        <v>4205</v>
      </c>
    </row>
    <row r="927" spans="1:4" ht="47.25" customHeight="1" x14ac:dyDescent="0.25">
      <c r="A927" s="43" t="s">
        <v>5719</v>
      </c>
      <c r="B927" s="43" t="s">
        <v>5720</v>
      </c>
      <c r="C927" s="44" t="s">
        <v>2284</v>
      </c>
      <c r="D927" s="45" t="s">
        <v>4206</v>
      </c>
    </row>
    <row r="928" spans="1:4" ht="31.5" customHeight="1" x14ac:dyDescent="0.25">
      <c r="A928" s="43" t="s">
        <v>5721</v>
      </c>
      <c r="B928" s="43" t="s">
        <v>5722</v>
      </c>
      <c r="C928" s="44" t="s">
        <v>2284</v>
      </c>
      <c r="D928" s="45" t="s">
        <v>4207</v>
      </c>
    </row>
    <row r="929" spans="1:4" ht="63" customHeight="1" x14ac:dyDescent="0.25">
      <c r="A929" s="43" t="s">
        <v>5723</v>
      </c>
      <c r="B929" s="43" t="s">
        <v>5724</v>
      </c>
      <c r="C929" s="44" t="s">
        <v>1202</v>
      </c>
      <c r="D929" s="45" t="s">
        <v>4208</v>
      </c>
    </row>
    <row r="930" spans="1:4" ht="47.25" customHeight="1" x14ac:dyDescent="0.25">
      <c r="A930" s="43" t="s">
        <v>5725</v>
      </c>
      <c r="B930" s="43" t="s">
        <v>5726</v>
      </c>
      <c r="C930" s="44" t="s">
        <v>578</v>
      </c>
      <c r="D930" s="45" t="s">
        <v>4209</v>
      </c>
    </row>
    <row r="931" spans="1:4" ht="31.5" customHeight="1" x14ac:dyDescent="0.25">
      <c r="A931" s="43" t="s">
        <v>5727</v>
      </c>
      <c r="B931" s="43" t="s">
        <v>5728</v>
      </c>
      <c r="C931" s="44" t="s">
        <v>786</v>
      </c>
      <c r="D931" s="45" t="s">
        <v>4210</v>
      </c>
    </row>
    <row r="932" spans="1:4" ht="31.5" customHeight="1" x14ac:dyDescent="0.25">
      <c r="A932" s="43" t="s">
        <v>5729</v>
      </c>
      <c r="B932" s="43" t="s">
        <v>5730</v>
      </c>
      <c r="C932" s="44" t="s">
        <v>3109</v>
      </c>
      <c r="D932" s="45" t="s">
        <v>4211</v>
      </c>
    </row>
    <row r="933" spans="1:4" ht="31.5" customHeight="1" x14ac:dyDescent="0.25">
      <c r="A933" s="43" t="s">
        <v>5731</v>
      </c>
      <c r="B933" s="43" t="s">
        <v>5732</v>
      </c>
      <c r="C933" s="44" t="s">
        <v>509</v>
      </c>
      <c r="D933" s="45" t="s">
        <v>4212</v>
      </c>
    </row>
    <row r="934" spans="1:4" ht="47.25" customHeight="1" x14ac:dyDescent="0.25">
      <c r="A934" s="43" t="s">
        <v>5733</v>
      </c>
      <c r="B934" s="43" t="s">
        <v>5734</v>
      </c>
      <c r="C934" s="44" t="s">
        <v>5735</v>
      </c>
      <c r="D934" s="45" t="s">
        <v>4213</v>
      </c>
    </row>
    <row r="935" spans="1:4" ht="47.25" customHeight="1" x14ac:dyDescent="0.25">
      <c r="A935" s="43" t="s">
        <v>5736</v>
      </c>
      <c r="B935" s="43" t="s">
        <v>5737</v>
      </c>
      <c r="C935" s="44" t="s">
        <v>524</v>
      </c>
      <c r="D935" s="45" t="s">
        <v>4214</v>
      </c>
    </row>
    <row r="936" spans="1:4" ht="31.5" customHeight="1" x14ac:dyDescent="0.25">
      <c r="A936" s="43" t="s">
        <v>5738</v>
      </c>
      <c r="B936" s="43" t="s">
        <v>5739</v>
      </c>
      <c r="C936" s="44" t="s">
        <v>1353</v>
      </c>
      <c r="D936" s="45" t="s">
        <v>4215</v>
      </c>
    </row>
    <row r="937" spans="1:4" ht="47.25" customHeight="1" x14ac:dyDescent="0.25">
      <c r="A937" s="43" t="s">
        <v>5740</v>
      </c>
      <c r="B937" s="43" t="s">
        <v>5741</v>
      </c>
      <c r="C937" s="44" t="s">
        <v>4593</v>
      </c>
      <c r="D937" s="45" t="s">
        <v>4216</v>
      </c>
    </row>
    <row r="938" spans="1:4" ht="47.25" customHeight="1" x14ac:dyDescent="0.25">
      <c r="A938" s="43" t="s">
        <v>5742</v>
      </c>
      <c r="B938" s="43" t="s">
        <v>5743</v>
      </c>
      <c r="C938" s="44" t="s">
        <v>957</v>
      </c>
      <c r="D938" s="45" t="s">
        <v>4217</v>
      </c>
    </row>
    <row r="939" spans="1:4" ht="31.5" customHeight="1" x14ac:dyDescent="0.25">
      <c r="A939" s="43" t="s">
        <v>5744</v>
      </c>
      <c r="B939" s="43" t="s">
        <v>5745</v>
      </c>
      <c r="C939" s="44" t="s">
        <v>468</v>
      </c>
      <c r="D939" s="45" t="s">
        <v>4218</v>
      </c>
    </row>
    <row r="940" spans="1:4" ht="31.5" customHeight="1" x14ac:dyDescent="0.25">
      <c r="A940" s="43" t="s">
        <v>5746</v>
      </c>
      <c r="B940" s="43" t="s">
        <v>5747</v>
      </c>
      <c r="C940" s="44" t="s">
        <v>468</v>
      </c>
      <c r="D940" s="45" t="s">
        <v>4219</v>
      </c>
    </row>
    <row r="941" spans="1:4" ht="63" customHeight="1" x14ac:dyDescent="0.25">
      <c r="A941" s="43" t="s">
        <v>5748</v>
      </c>
      <c r="B941" s="43" t="s">
        <v>5749</v>
      </c>
      <c r="C941" s="44" t="s">
        <v>2588</v>
      </c>
      <c r="D941" s="45" t="s">
        <v>4220</v>
      </c>
    </row>
    <row r="942" spans="1:4" ht="47.25" customHeight="1" x14ac:dyDescent="0.25">
      <c r="A942" s="43" t="s">
        <v>5750</v>
      </c>
      <c r="B942" s="43" t="s">
        <v>5751</v>
      </c>
      <c r="C942" s="44" t="s">
        <v>1585</v>
      </c>
      <c r="D942" s="45" t="s">
        <v>4221</v>
      </c>
    </row>
    <row r="943" spans="1:4" ht="31.5" customHeight="1" x14ac:dyDescent="0.25">
      <c r="A943" s="43" t="s">
        <v>5752</v>
      </c>
      <c r="B943" s="43" t="s">
        <v>5753</v>
      </c>
      <c r="C943" s="44" t="s">
        <v>1477</v>
      </c>
      <c r="D943" s="45" t="s">
        <v>4222</v>
      </c>
    </row>
    <row r="944" spans="1:4" ht="47.25" customHeight="1" x14ac:dyDescent="0.25">
      <c r="A944" s="43" t="s">
        <v>5754</v>
      </c>
      <c r="B944" s="43" t="s">
        <v>5755</v>
      </c>
      <c r="C944" s="44" t="s">
        <v>100</v>
      </c>
      <c r="D944" s="45" t="s">
        <v>4223</v>
      </c>
    </row>
    <row r="945" spans="1:4" ht="47.25" customHeight="1" x14ac:dyDescent="0.25">
      <c r="A945" s="43" t="s">
        <v>5756</v>
      </c>
      <c r="B945" s="43" t="s">
        <v>5757</v>
      </c>
      <c r="C945" s="44" t="s">
        <v>5758</v>
      </c>
      <c r="D945" s="45" t="s">
        <v>4224</v>
      </c>
    </row>
    <row r="946" spans="1:4" ht="63" customHeight="1" x14ac:dyDescent="0.25">
      <c r="A946" s="43" t="s">
        <v>5759</v>
      </c>
      <c r="B946" s="43" t="s">
        <v>5760</v>
      </c>
      <c r="C946" s="44" t="s">
        <v>340</v>
      </c>
      <c r="D946" s="45" t="s">
        <v>4225</v>
      </c>
    </row>
    <row r="947" spans="1:4" ht="31.5" customHeight="1" x14ac:dyDescent="0.25">
      <c r="A947" s="43" t="s">
        <v>5761</v>
      </c>
      <c r="B947" s="43" t="s">
        <v>5762</v>
      </c>
      <c r="C947" s="44" t="s">
        <v>192</v>
      </c>
      <c r="D947" s="45" t="s">
        <v>4226</v>
      </c>
    </row>
    <row r="948" spans="1:4" ht="31.5" customHeight="1" x14ac:dyDescent="0.25">
      <c r="A948" s="43" t="s">
        <v>5763</v>
      </c>
      <c r="B948" s="43" t="s">
        <v>5764</v>
      </c>
      <c r="C948" s="44" t="s">
        <v>1585</v>
      </c>
      <c r="D948" s="45" t="s">
        <v>4227</v>
      </c>
    </row>
    <row r="949" spans="1:4" ht="47.25" customHeight="1" x14ac:dyDescent="0.25">
      <c r="A949" s="43" t="s">
        <v>5765</v>
      </c>
      <c r="B949" s="43" t="s">
        <v>5766</v>
      </c>
      <c r="C949" s="44" t="s">
        <v>5767</v>
      </c>
      <c r="D949" s="45" t="s">
        <v>4228</v>
      </c>
    </row>
    <row r="950" spans="1:4" ht="31.5" customHeight="1" x14ac:dyDescent="0.25">
      <c r="A950" s="43" t="s">
        <v>5768</v>
      </c>
      <c r="B950" s="43" t="s">
        <v>5769</v>
      </c>
      <c r="C950" s="44" t="s">
        <v>144</v>
      </c>
      <c r="D950" s="45" t="s">
        <v>4229</v>
      </c>
    </row>
    <row r="951" spans="1:4" ht="47.25" customHeight="1" x14ac:dyDescent="0.25">
      <c r="A951" s="43" t="s">
        <v>5770</v>
      </c>
      <c r="B951" s="43" t="s">
        <v>5771</v>
      </c>
      <c r="C951" s="44" t="s">
        <v>5585</v>
      </c>
      <c r="D951" s="45" t="s">
        <v>4230</v>
      </c>
    </row>
    <row r="952" spans="1:4" ht="47.25" customHeight="1" x14ac:dyDescent="0.25">
      <c r="A952" s="43" t="s">
        <v>5772</v>
      </c>
      <c r="B952" s="43" t="s">
        <v>5773</v>
      </c>
      <c r="C952" s="44" t="s">
        <v>560</v>
      </c>
      <c r="D952" s="45" t="s">
        <v>4231</v>
      </c>
    </row>
    <row r="953" spans="1:4" ht="78.75" customHeight="1" x14ac:dyDescent="0.25">
      <c r="A953" s="43" t="s">
        <v>5774</v>
      </c>
      <c r="B953" s="43" t="s">
        <v>5775</v>
      </c>
      <c r="C953" s="44" t="s">
        <v>1300</v>
      </c>
      <c r="D953" s="45" t="s">
        <v>4232</v>
      </c>
    </row>
    <row r="954" spans="1:4" ht="31.5" customHeight="1" x14ac:dyDescent="0.25">
      <c r="A954" s="43" t="s">
        <v>5776</v>
      </c>
      <c r="B954" s="43" t="s">
        <v>5777</v>
      </c>
      <c r="C954" s="44" t="s">
        <v>1590</v>
      </c>
      <c r="D954" s="45" t="s">
        <v>4233</v>
      </c>
    </row>
    <row r="955" spans="1:4" ht="31.5" customHeight="1" x14ac:dyDescent="0.25">
      <c r="A955" s="43" t="s">
        <v>5778</v>
      </c>
      <c r="B955" s="43" t="s">
        <v>5779</v>
      </c>
      <c r="C955" s="44" t="s">
        <v>5414</v>
      </c>
      <c r="D955" s="45" t="s">
        <v>4234</v>
      </c>
    </row>
    <row r="956" spans="1:4" ht="63" customHeight="1" x14ac:dyDescent="0.25">
      <c r="A956" s="43" t="s">
        <v>5780</v>
      </c>
      <c r="B956" s="43" t="s">
        <v>5781</v>
      </c>
      <c r="C956" s="44" t="s">
        <v>5782</v>
      </c>
      <c r="D956" s="45" t="s">
        <v>4235</v>
      </c>
    </row>
    <row r="957" spans="1:4" ht="31.5" customHeight="1" x14ac:dyDescent="0.25">
      <c r="A957" s="43" t="s">
        <v>5783</v>
      </c>
      <c r="B957" s="43" t="s">
        <v>5784</v>
      </c>
      <c r="C957" s="44" t="s">
        <v>2413</v>
      </c>
      <c r="D957" s="45" t="s">
        <v>4236</v>
      </c>
    </row>
    <row r="958" spans="1:4" ht="31.5" customHeight="1" x14ac:dyDescent="0.25">
      <c r="A958" s="43" t="s">
        <v>5785</v>
      </c>
      <c r="B958" s="43" t="s">
        <v>5786</v>
      </c>
      <c r="C958" s="44" t="s">
        <v>424</v>
      </c>
      <c r="D958" s="45" t="s">
        <v>4237</v>
      </c>
    </row>
    <row r="959" spans="1:4" ht="31.5" customHeight="1" x14ac:dyDescent="0.25">
      <c r="A959" s="43" t="s">
        <v>5787</v>
      </c>
      <c r="B959" s="43" t="s">
        <v>5788</v>
      </c>
      <c r="C959" s="44" t="s">
        <v>5186</v>
      </c>
      <c r="D959" s="45" t="s">
        <v>4238</v>
      </c>
    </row>
    <row r="960" spans="1:4" ht="47.25" customHeight="1" x14ac:dyDescent="0.25">
      <c r="A960" s="43" t="s">
        <v>5789</v>
      </c>
      <c r="B960" s="43" t="s">
        <v>5790</v>
      </c>
      <c r="C960" s="44" t="s">
        <v>483</v>
      </c>
      <c r="D960" s="45" t="s">
        <v>4239</v>
      </c>
    </row>
    <row r="961" spans="1:4" ht="47.25" customHeight="1" x14ac:dyDescent="0.25">
      <c r="A961" s="43" t="s">
        <v>5791</v>
      </c>
      <c r="B961" s="43" t="s">
        <v>5792</v>
      </c>
      <c r="C961" s="44" t="s">
        <v>5793</v>
      </c>
      <c r="D961" s="45" t="s">
        <v>4240</v>
      </c>
    </row>
    <row r="962" spans="1:4" ht="31.5" customHeight="1" x14ac:dyDescent="0.25">
      <c r="A962" s="43" t="s">
        <v>5794</v>
      </c>
      <c r="B962" s="43" t="s">
        <v>5795</v>
      </c>
      <c r="C962" s="44" t="s">
        <v>95</v>
      </c>
      <c r="D962" s="45" t="s">
        <v>4241</v>
      </c>
    </row>
    <row r="963" spans="1:4" ht="63" customHeight="1" x14ac:dyDescent="0.25">
      <c r="A963" s="43" t="s">
        <v>5796</v>
      </c>
      <c r="B963" s="43" t="s">
        <v>5797</v>
      </c>
      <c r="C963" s="44" t="s">
        <v>374</v>
      </c>
      <c r="D963" s="45" t="s">
        <v>4242</v>
      </c>
    </row>
    <row r="964" spans="1:4" ht="47.25" customHeight="1" x14ac:dyDescent="0.25">
      <c r="A964" s="43" t="s">
        <v>5798</v>
      </c>
      <c r="B964" s="43" t="s">
        <v>5799</v>
      </c>
      <c r="C964" s="44" t="s">
        <v>162</v>
      </c>
      <c r="D964" s="45" t="s">
        <v>4243</v>
      </c>
    </row>
    <row r="965" spans="1:4" ht="47.25" customHeight="1" x14ac:dyDescent="0.25">
      <c r="A965" s="43" t="s">
        <v>5800</v>
      </c>
      <c r="B965" s="43" t="s">
        <v>5801</v>
      </c>
      <c r="C965" s="44" t="s">
        <v>965</v>
      </c>
      <c r="D965" s="45" t="s">
        <v>4244</v>
      </c>
    </row>
    <row r="966" spans="1:4" ht="63" customHeight="1" x14ac:dyDescent="0.25">
      <c r="A966" s="43" t="s">
        <v>5802</v>
      </c>
      <c r="B966" s="43" t="s">
        <v>5803</v>
      </c>
      <c r="C966" s="44" t="s">
        <v>396</v>
      </c>
      <c r="D966" s="45" t="s">
        <v>4245</v>
      </c>
    </row>
    <row r="967" spans="1:4" ht="47.25" customHeight="1" x14ac:dyDescent="0.25">
      <c r="A967" s="43" t="s">
        <v>5804</v>
      </c>
      <c r="B967" s="43" t="s">
        <v>5805</v>
      </c>
      <c r="C967" s="44" t="s">
        <v>1585</v>
      </c>
      <c r="D967" s="45" t="s">
        <v>4246</v>
      </c>
    </row>
    <row r="968" spans="1:4" ht="31.5" customHeight="1" x14ac:dyDescent="0.25">
      <c r="A968" s="43" t="s">
        <v>5806</v>
      </c>
      <c r="B968" s="43" t="s">
        <v>5807</v>
      </c>
      <c r="C968" s="44" t="s">
        <v>5808</v>
      </c>
      <c r="D968" s="45" t="s">
        <v>4247</v>
      </c>
    </row>
    <row r="969" spans="1:4" ht="63" customHeight="1" x14ac:dyDescent="0.25">
      <c r="A969" s="43" t="s">
        <v>5809</v>
      </c>
      <c r="B969" s="43" t="s">
        <v>5810</v>
      </c>
      <c r="C969" s="44" t="s">
        <v>1300</v>
      </c>
      <c r="D969" s="45" t="s">
        <v>4248</v>
      </c>
    </row>
    <row r="970" spans="1:4" ht="47.25" customHeight="1" x14ac:dyDescent="0.25">
      <c r="A970" s="43" t="s">
        <v>5811</v>
      </c>
      <c r="B970" s="43" t="s">
        <v>5812</v>
      </c>
      <c r="C970" s="44" t="s">
        <v>1300</v>
      </c>
      <c r="D970" s="45" t="s">
        <v>4249</v>
      </c>
    </row>
    <row r="971" spans="1:4" ht="63" customHeight="1" x14ac:dyDescent="0.25">
      <c r="A971" s="43" t="s">
        <v>5813</v>
      </c>
      <c r="B971" s="43" t="s">
        <v>5814</v>
      </c>
      <c r="C971" s="44" t="s">
        <v>5815</v>
      </c>
      <c r="D971" s="45" t="s">
        <v>4250</v>
      </c>
    </row>
    <row r="972" spans="1:4" ht="47.25" customHeight="1" x14ac:dyDescent="0.25">
      <c r="A972" s="43" t="s">
        <v>5816</v>
      </c>
      <c r="B972" s="43" t="s">
        <v>5817</v>
      </c>
      <c r="C972" s="44" t="s">
        <v>1197</v>
      </c>
      <c r="D972" s="45" t="s">
        <v>4251</v>
      </c>
    </row>
    <row r="973" spans="1:4" ht="31.5" customHeight="1" x14ac:dyDescent="0.25">
      <c r="A973" s="43" t="s">
        <v>5818</v>
      </c>
      <c r="B973" s="43" t="s">
        <v>5819</v>
      </c>
      <c r="C973" s="44" t="s">
        <v>1427</v>
      </c>
      <c r="D973" s="45" t="s">
        <v>4252</v>
      </c>
    </row>
    <row r="974" spans="1:4" ht="47.25" customHeight="1" x14ac:dyDescent="0.25">
      <c r="A974" s="43" t="s">
        <v>5820</v>
      </c>
      <c r="B974" s="43" t="s">
        <v>5821</v>
      </c>
      <c r="C974" s="44" t="s">
        <v>744</v>
      </c>
      <c r="D974" s="45" t="s">
        <v>4253</v>
      </c>
    </row>
    <row r="975" spans="1:4" ht="31.5" customHeight="1" x14ac:dyDescent="0.25">
      <c r="A975" s="43" t="s">
        <v>5822</v>
      </c>
      <c r="B975" s="43" t="s">
        <v>5823</v>
      </c>
      <c r="C975" s="44" t="s">
        <v>5824</v>
      </c>
      <c r="D975" s="45" t="s">
        <v>4254</v>
      </c>
    </row>
    <row r="976" spans="1:4" ht="63" customHeight="1" x14ac:dyDescent="0.25">
      <c r="A976" s="43" t="s">
        <v>5825</v>
      </c>
      <c r="B976" s="43" t="s">
        <v>5826</v>
      </c>
      <c r="C976" s="44" t="s">
        <v>5824</v>
      </c>
      <c r="D976" s="45" t="s">
        <v>4255</v>
      </c>
    </row>
    <row r="977" spans="1:4" ht="47.25" customHeight="1" x14ac:dyDescent="0.25">
      <c r="A977" s="43" t="s">
        <v>5827</v>
      </c>
      <c r="B977" s="43" t="s">
        <v>5828</v>
      </c>
      <c r="C977" s="44" t="s">
        <v>5829</v>
      </c>
      <c r="D977" s="45" t="s">
        <v>4256</v>
      </c>
    </row>
    <row r="978" spans="1:4" ht="31.5" customHeight="1" x14ac:dyDescent="0.25">
      <c r="A978" s="43" t="s">
        <v>5830</v>
      </c>
      <c r="B978" s="43" t="s">
        <v>5831</v>
      </c>
      <c r="C978" s="44" t="s">
        <v>5832</v>
      </c>
      <c r="D978" s="45" t="s">
        <v>4257</v>
      </c>
    </row>
    <row r="979" spans="1:4" ht="47.25" customHeight="1" x14ac:dyDescent="0.25">
      <c r="A979" s="43" t="s">
        <v>5833</v>
      </c>
      <c r="B979" s="43" t="s">
        <v>5834</v>
      </c>
      <c r="C979" s="44" t="s">
        <v>4813</v>
      </c>
      <c r="D979" s="45" t="s">
        <v>4258</v>
      </c>
    </row>
    <row r="980" spans="1:4" ht="31.5" customHeight="1" x14ac:dyDescent="0.25">
      <c r="A980" s="43" t="s">
        <v>5835</v>
      </c>
      <c r="B980" s="43" t="s">
        <v>5836</v>
      </c>
      <c r="C980" s="44" t="s">
        <v>5837</v>
      </c>
      <c r="D980" s="45" t="s">
        <v>4259</v>
      </c>
    </row>
    <row r="981" spans="1:4" ht="47.25" customHeight="1" x14ac:dyDescent="0.25">
      <c r="A981" s="43" t="s">
        <v>5838</v>
      </c>
      <c r="B981" s="43" t="s">
        <v>5839</v>
      </c>
      <c r="C981" s="44" t="s">
        <v>279</v>
      </c>
      <c r="D981" s="45" t="s">
        <v>4260</v>
      </c>
    </row>
    <row r="982" spans="1:4" ht="47.25" customHeight="1" x14ac:dyDescent="0.25">
      <c r="A982" s="43" t="s">
        <v>5840</v>
      </c>
      <c r="B982" s="43" t="s">
        <v>5841</v>
      </c>
      <c r="C982" s="44" t="s">
        <v>652</v>
      </c>
      <c r="D982" s="45" t="s">
        <v>4261</v>
      </c>
    </row>
    <row r="983" spans="1:4" ht="63" customHeight="1" x14ac:dyDescent="0.25">
      <c r="A983" s="43" t="s">
        <v>5842</v>
      </c>
      <c r="B983" s="43" t="s">
        <v>5843</v>
      </c>
      <c r="C983" s="44" t="s">
        <v>1844</v>
      </c>
      <c r="D983" s="45" t="s">
        <v>4262</v>
      </c>
    </row>
    <row r="984" spans="1:4" ht="47.25" customHeight="1" x14ac:dyDescent="0.25">
      <c r="A984" s="43" t="s">
        <v>5844</v>
      </c>
      <c r="B984" s="43" t="s">
        <v>5845</v>
      </c>
      <c r="C984" s="44" t="s">
        <v>358</v>
      </c>
      <c r="D984" s="45" t="s">
        <v>4263</v>
      </c>
    </row>
    <row r="985" spans="1:4" ht="78.75" customHeight="1" x14ac:dyDescent="0.25">
      <c r="A985" s="43" t="s">
        <v>5846</v>
      </c>
      <c r="B985" s="43" t="s">
        <v>5847</v>
      </c>
      <c r="C985" s="44" t="s">
        <v>4797</v>
      </c>
      <c r="D985" s="45" t="s">
        <v>4264</v>
      </c>
    </row>
    <row r="986" spans="1:4" ht="31.5" customHeight="1" x14ac:dyDescent="0.25">
      <c r="A986" s="43" t="s">
        <v>5848</v>
      </c>
      <c r="B986" s="43" t="s">
        <v>5849</v>
      </c>
      <c r="C986" s="44" t="s">
        <v>1353</v>
      </c>
      <c r="D986" s="45" t="s">
        <v>4265</v>
      </c>
    </row>
    <row r="987" spans="1:4" ht="47.25" customHeight="1" x14ac:dyDescent="0.25">
      <c r="A987" s="43" t="s">
        <v>5850</v>
      </c>
      <c r="B987" s="43" t="s">
        <v>5851</v>
      </c>
      <c r="C987" s="44" t="s">
        <v>5852</v>
      </c>
      <c r="D987" s="45" t="s">
        <v>4266</v>
      </c>
    </row>
    <row r="988" spans="1:4" ht="47.25" customHeight="1" x14ac:dyDescent="0.25">
      <c r="A988" s="43" t="s">
        <v>5853</v>
      </c>
      <c r="B988" s="43" t="s">
        <v>5854</v>
      </c>
      <c r="C988" s="44" t="s">
        <v>937</v>
      </c>
      <c r="D988" s="45" t="s">
        <v>4267</v>
      </c>
    </row>
    <row r="989" spans="1:4" ht="31.5" customHeight="1" x14ac:dyDescent="0.25">
      <c r="A989" s="43" t="s">
        <v>5855</v>
      </c>
      <c r="B989" s="43" t="s">
        <v>5856</v>
      </c>
      <c r="C989" s="44" t="s">
        <v>3048</v>
      </c>
      <c r="D989" s="45" t="s">
        <v>4268</v>
      </c>
    </row>
    <row r="990" spans="1:4" ht="47.25" customHeight="1" x14ac:dyDescent="0.25">
      <c r="A990" s="43" t="s">
        <v>5857</v>
      </c>
      <c r="B990" s="43" t="s">
        <v>5858</v>
      </c>
      <c r="C990" s="44" t="s">
        <v>5859</v>
      </c>
      <c r="D990" s="45" t="s">
        <v>4269</v>
      </c>
    </row>
    <row r="991" spans="1:4" ht="47.25" customHeight="1" x14ac:dyDescent="0.25">
      <c r="A991" s="43" t="s">
        <v>5860</v>
      </c>
      <c r="B991" s="43" t="s">
        <v>5861</v>
      </c>
      <c r="C991" s="44" t="s">
        <v>5808</v>
      </c>
      <c r="D991" s="45" t="s">
        <v>4270</v>
      </c>
    </row>
    <row r="992" spans="1:4" ht="47.25" customHeight="1" x14ac:dyDescent="0.25">
      <c r="A992" s="43" t="s">
        <v>5862</v>
      </c>
      <c r="B992" s="43" t="s">
        <v>5863</v>
      </c>
      <c r="C992" s="54" t="s">
        <v>5864</v>
      </c>
      <c r="D992" s="45" t="s">
        <v>4271</v>
      </c>
    </row>
    <row r="993" spans="1:4" ht="63" customHeight="1" x14ac:dyDescent="0.25">
      <c r="A993" s="43" t="s">
        <v>5865</v>
      </c>
      <c r="B993" s="43" t="s">
        <v>5866</v>
      </c>
      <c r="C993" s="44" t="s">
        <v>227</v>
      </c>
      <c r="D993" s="45" t="s">
        <v>4272</v>
      </c>
    </row>
    <row r="994" spans="1:4" ht="63" customHeight="1" x14ac:dyDescent="0.25">
      <c r="A994" s="43" t="s">
        <v>5867</v>
      </c>
      <c r="B994" s="43" t="s">
        <v>5868</v>
      </c>
      <c r="C994" s="44" t="s">
        <v>227</v>
      </c>
      <c r="D994" s="45" t="s">
        <v>4273</v>
      </c>
    </row>
    <row r="995" spans="1:4" ht="47.25" customHeight="1" x14ac:dyDescent="0.25">
      <c r="A995" s="43" t="s">
        <v>5869</v>
      </c>
      <c r="B995" s="43" t="s">
        <v>5870</v>
      </c>
      <c r="C995" s="44" t="s">
        <v>5852</v>
      </c>
      <c r="D995" s="45" t="s">
        <v>4274</v>
      </c>
    </row>
    <row r="996" spans="1:4" ht="47.25" customHeight="1" x14ac:dyDescent="0.25">
      <c r="A996" s="43" t="s">
        <v>5871</v>
      </c>
      <c r="B996" s="43" t="s">
        <v>5872</v>
      </c>
      <c r="C996" s="44" t="s">
        <v>5852</v>
      </c>
      <c r="D996" s="45" t="s">
        <v>4275</v>
      </c>
    </row>
    <row r="997" spans="1:4" ht="47.25" customHeight="1" x14ac:dyDescent="0.25">
      <c r="A997" s="43" t="s">
        <v>5873</v>
      </c>
      <c r="B997" s="43" t="s">
        <v>5874</v>
      </c>
      <c r="C997" s="44" t="s">
        <v>5534</v>
      </c>
      <c r="D997" s="45" t="s">
        <v>4276</v>
      </c>
    </row>
    <row r="998" spans="1:4" ht="31.5" customHeight="1" x14ac:dyDescent="0.25">
      <c r="A998" s="43" t="s">
        <v>5875</v>
      </c>
      <c r="B998" s="43" t="s">
        <v>5876</v>
      </c>
      <c r="C998" s="44" t="s">
        <v>5067</v>
      </c>
      <c r="D998" s="45" t="s">
        <v>4277</v>
      </c>
    </row>
    <row r="999" spans="1:4" ht="31.5" customHeight="1" x14ac:dyDescent="0.25">
      <c r="A999" s="43" t="s">
        <v>5877</v>
      </c>
      <c r="B999" s="43" t="s">
        <v>5878</v>
      </c>
      <c r="C999" s="44" t="s">
        <v>5879</v>
      </c>
      <c r="D999" s="45" t="s">
        <v>4278</v>
      </c>
    </row>
    <row r="1000" spans="1:4" ht="31.5" customHeight="1" x14ac:dyDescent="0.25">
      <c r="A1000" s="43" t="s">
        <v>5880</v>
      </c>
      <c r="B1000" s="43" t="s">
        <v>5881</v>
      </c>
      <c r="C1000" s="44" t="s">
        <v>340</v>
      </c>
      <c r="D1000" s="45" t="s">
        <v>4279</v>
      </c>
    </row>
    <row r="1001" spans="1:4" ht="47.25" customHeight="1" x14ac:dyDescent="0.25">
      <c r="A1001" s="43" t="s">
        <v>5882</v>
      </c>
      <c r="B1001" s="43" t="s">
        <v>5883</v>
      </c>
      <c r="C1001" s="44" t="s">
        <v>4635</v>
      </c>
      <c r="D1001" s="45" t="s">
        <v>4280</v>
      </c>
    </row>
    <row r="1002" spans="1:4" ht="31.5" customHeight="1" x14ac:dyDescent="0.25">
      <c r="A1002" s="43" t="s">
        <v>5884</v>
      </c>
      <c r="B1002" s="43" t="s">
        <v>5885</v>
      </c>
      <c r="C1002" s="44" t="s">
        <v>5886</v>
      </c>
      <c r="D1002" s="45" t="s">
        <v>4281</v>
      </c>
    </row>
    <row r="1003" spans="1:4" ht="31.5" customHeight="1" x14ac:dyDescent="0.25">
      <c r="A1003" s="43" t="s">
        <v>5887</v>
      </c>
      <c r="B1003" s="43" t="s">
        <v>5888</v>
      </c>
      <c r="C1003" s="44" t="s">
        <v>1353</v>
      </c>
      <c r="D1003" s="45" t="s">
        <v>4282</v>
      </c>
    </row>
    <row r="1004" spans="1:4" ht="63" customHeight="1" x14ac:dyDescent="0.25">
      <c r="A1004" s="43" t="s">
        <v>5889</v>
      </c>
      <c r="B1004" s="43" t="s">
        <v>5890</v>
      </c>
      <c r="C1004" s="44" t="s">
        <v>524</v>
      </c>
      <c r="D1004" s="45" t="s">
        <v>4283</v>
      </c>
    </row>
    <row r="1005" spans="1:4" ht="47.25" customHeight="1" x14ac:dyDescent="0.25">
      <c r="A1005" s="43" t="s">
        <v>5891</v>
      </c>
      <c r="B1005" s="43" t="s">
        <v>5892</v>
      </c>
      <c r="C1005" s="44" t="s">
        <v>5893</v>
      </c>
      <c r="D1005" s="45" t="s">
        <v>4284</v>
      </c>
    </row>
    <row r="1006" spans="1:4" ht="31.5" customHeight="1" x14ac:dyDescent="0.25">
      <c r="A1006" s="43" t="s">
        <v>5894</v>
      </c>
      <c r="B1006" s="43" t="s">
        <v>5895</v>
      </c>
      <c r="C1006" s="44" t="s">
        <v>4644</v>
      </c>
      <c r="D1006" s="45" t="s">
        <v>4285</v>
      </c>
    </row>
    <row r="1007" spans="1:4" ht="31.5" customHeight="1" x14ac:dyDescent="0.25">
      <c r="A1007" s="43" t="s">
        <v>5896</v>
      </c>
      <c r="B1007" s="43" t="s">
        <v>5897</v>
      </c>
      <c r="C1007" s="44" t="s">
        <v>1228</v>
      </c>
      <c r="D1007" s="45" t="s">
        <v>4286</v>
      </c>
    </row>
    <row r="1008" spans="1:4" ht="31.5" customHeight="1" x14ac:dyDescent="0.25">
      <c r="A1008" s="43" t="s">
        <v>5898</v>
      </c>
      <c r="B1008" s="43" t="s">
        <v>5899</v>
      </c>
      <c r="C1008" s="44" t="s">
        <v>1228</v>
      </c>
      <c r="D1008" s="45" t="s">
        <v>4287</v>
      </c>
    </row>
    <row r="1009" spans="1:4" ht="31.5" customHeight="1" x14ac:dyDescent="0.25">
      <c r="A1009" s="43" t="s">
        <v>5900</v>
      </c>
      <c r="B1009" s="43" t="s">
        <v>5901</v>
      </c>
      <c r="C1009" s="44" t="s">
        <v>2404</v>
      </c>
      <c r="D1009" s="45" t="s">
        <v>4288</v>
      </c>
    </row>
    <row r="1010" spans="1:4" ht="31.5" customHeight="1" x14ac:dyDescent="0.25">
      <c r="A1010" s="43" t="s">
        <v>5902</v>
      </c>
      <c r="B1010" s="43" t="s">
        <v>5903</v>
      </c>
      <c r="C1010" s="44" t="s">
        <v>2404</v>
      </c>
      <c r="D1010" s="45" t="s">
        <v>4289</v>
      </c>
    </row>
    <row r="1011" spans="1:4" ht="47.25" customHeight="1" x14ac:dyDescent="0.25">
      <c r="A1011" s="43" t="s">
        <v>5904</v>
      </c>
      <c r="B1011" s="43" t="s">
        <v>5905</v>
      </c>
      <c r="C1011" s="44" t="s">
        <v>403</v>
      </c>
      <c r="D1011" s="45" t="s">
        <v>4290</v>
      </c>
    </row>
    <row r="1012" spans="1:4" ht="15.75" customHeight="1" x14ac:dyDescent="0.25">
      <c r="A1012" s="43" t="s">
        <v>5906</v>
      </c>
      <c r="B1012" s="43" t="s">
        <v>5907</v>
      </c>
      <c r="C1012" s="44" t="s">
        <v>957</v>
      </c>
      <c r="D1012" s="45" t="s">
        <v>4291</v>
      </c>
    </row>
    <row r="1013" spans="1:4" ht="47.25" customHeight="1" x14ac:dyDescent="0.25">
      <c r="A1013" s="43" t="s">
        <v>5908</v>
      </c>
      <c r="B1013" s="43" t="s">
        <v>5909</v>
      </c>
      <c r="C1013" s="44" t="s">
        <v>1379</v>
      </c>
      <c r="D1013" s="45" t="s">
        <v>4292</v>
      </c>
    </row>
    <row r="1014" spans="1:4" ht="47.25" customHeight="1" x14ac:dyDescent="0.25">
      <c r="A1014" s="43" t="s">
        <v>5910</v>
      </c>
      <c r="B1014" s="43" t="s">
        <v>5911</v>
      </c>
      <c r="C1014" s="44" t="s">
        <v>5912</v>
      </c>
      <c r="D1014" s="45" t="s">
        <v>4293</v>
      </c>
    </row>
    <row r="1015" spans="1:4" ht="31.5" customHeight="1" x14ac:dyDescent="0.25">
      <c r="A1015" s="43" t="s">
        <v>5913</v>
      </c>
      <c r="B1015" s="43" t="s">
        <v>5914</v>
      </c>
      <c r="C1015" s="44" t="s">
        <v>2343</v>
      </c>
      <c r="D1015" s="45" t="s">
        <v>4294</v>
      </c>
    </row>
    <row r="1016" spans="1:4" ht="47.25" customHeight="1" x14ac:dyDescent="0.25">
      <c r="A1016" s="43" t="s">
        <v>5915</v>
      </c>
      <c r="B1016" s="43" t="s">
        <v>5916</v>
      </c>
      <c r="C1016" s="44" t="s">
        <v>5313</v>
      </c>
      <c r="D1016" s="45" t="s">
        <v>4295</v>
      </c>
    </row>
    <row r="1017" spans="1:4" ht="47.25" customHeight="1" x14ac:dyDescent="0.25">
      <c r="A1017" s="43" t="s">
        <v>5917</v>
      </c>
      <c r="B1017" s="43" t="s">
        <v>5918</v>
      </c>
      <c r="C1017" s="44" t="s">
        <v>5919</v>
      </c>
      <c r="D1017" s="45" t="s">
        <v>4296</v>
      </c>
    </row>
    <row r="1018" spans="1:4" ht="63" customHeight="1" x14ac:dyDescent="0.25">
      <c r="A1018" s="43" t="s">
        <v>5920</v>
      </c>
      <c r="B1018" s="43" t="s">
        <v>5921</v>
      </c>
      <c r="C1018" s="44" t="s">
        <v>5922</v>
      </c>
      <c r="D1018" s="45" t="s">
        <v>4297</v>
      </c>
    </row>
    <row r="1019" spans="1:4" ht="31.5" customHeight="1" x14ac:dyDescent="0.25">
      <c r="A1019" s="43" t="s">
        <v>5923</v>
      </c>
      <c r="B1019" s="43" t="s">
        <v>5924</v>
      </c>
      <c r="C1019" s="44" t="s">
        <v>5925</v>
      </c>
      <c r="D1019" s="45" t="s">
        <v>4298</v>
      </c>
    </row>
    <row r="1020" spans="1:4" ht="47.25" customHeight="1" x14ac:dyDescent="0.25">
      <c r="A1020" s="43" t="s">
        <v>5926</v>
      </c>
      <c r="B1020" s="43" t="s">
        <v>5927</v>
      </c>
      <c r="C1020" s="44" t="s">
        <v>757</v>
      </c>
      <c r="D1020" s="45" t="s">
        <v>4299</v>
      </c>
    </row>
    <row r="1021" spans="1:4" ht="31.5" customHeight="1" x14ac:dyDescent="0.25">
      <c r="A1021" s="43" t="s">
        <v>5928</v>
      </c>
      <c r="B1021" s="43" t="s">
        <v>5929</v>
      </c>
      <c r="C1021" s="44" t="s">
        <v>757</v>
      </c>
      <c r="D1021" s="45" t="s">
        <v>4300</v>
      </c>
    </row>
    <row r="1022" spans="1:4" ht="47.25" customHeight="1" x14ac:dyDescent="0.25">
      <c r="A1022" s="43" t="s">
        <v>5930</v>
      </c>
      <c r="B1022" s="43" t="s">
        <v>5931</v>
      </c>
      <c r="C1022" s="44" t="s">
        <v>2039</v>
      </c>
      <c r="D1022" s="45" t="s">
        <v>4301</v>
      </c>
    </row>
    <row r="1023" spans="1:4" ht="47.25" customHeight="1" x14ac:dyDescent="0.25">
      <c r="A1023" s="43" t="s">
        <v>5932</v>
      </c>
      <c r="B1023" s="43" t="s">
        <v>5933</v>
      </c>
      <c r="C1023" s="44" t="s">
        <v>5549</v>
      </c>
      <c r="D1023" s="45" t="s">
        <v>4302</v>
      </c>
    </row>
    <row r="1024" spans="1:4" ht="47.25" customHeight="1" x14ac:dyDescent="0.25">
      <c r="A1024" s="43" t="s">
        <v>5934</v>
      </c>
      <c r="B1024" s="43" t="s">
        <v>5935</v>
      </c>
      <c r="C1024" s="44" t="s">
        <v>5936</v>
      </c>
      <c r="D1024" s="45" t="s">
        <v>4303</v>
      </c>
    </row>
    <row r="1025" spans="1:4" ht="47.25" customHeight="1" x14ac:dyDescent="0.25">
      <c r="A1025" s="43" t="s">
        <v>5937</v>
      </c>
      <c r="B1025" s="43" t="s">
        <v>5938</v>
      </c>
      <c r="C1025" s="44" t="s">
        <v>5936</v>
      </c>
      <c r="D1025" s="45" t="s">
        <v>4304</v>
      </c>
    </row>
    <row r="1026" spans="1:4" ht="63" customHeight="1" x14ac:dyDescent="0.25">
      <c r="A1026" s="43" t="s">
        <v>5939</v>
      </c>
      <c r="B1026" s="43" t="s">
        <v>5940</v>
      </c>
      <c r="C1026" s="44" t="s">
        <v>1353</v>
      </c>
      <c r="D1026" s="45" t="s">
        <v>4305</v>
      </c>
    </row>
    <row r="1027" spans="1:4" ht="47.25" customHeight="1" x14ac:dyDescent="0.25">
      <c r="A1027" s="43" t="s">
        <v>5941</v>
      </c>
      <c r="B1027" s="43" t="s">
        <v>5942</v>
      </c>
      <c r="C1027" s="44" t="s">
        <v>1698</v>
      </c>
      <c r="D1027" s="45" t="s">
        <v>4306</v>
      </c>
    </row>
    <row r="1028" spans="1:4" ht="47.25" customHeight="1" x14ac:dyDescent="0.25">
      <c r="A1028" s="43" t="s">
        <v>5943</v>
      </c>
      <c r="B1028" s="43" t="s">
        <v>5944</v>
      </c>
      <c r="C1028" s="44" t="s">
        <v>112</v>
      </c>
      <c r="D1028" s="45" t="s">
        <v>4307</v>
      </c>
    </row>
    <row r="1029" spans="1:4" ht="47.25" customHeight="1" x14ac:dyDescent="0.25">
      <c r="A1029" s="43" t="s">
        <v>5945</v>
      </c>
      <c r="B1029" s="43" t="s">
        <v>5946</v>
      </c>
      <c r="C1029" s="44" t="s">
        <v>1498</v>
      </c>
      <c r="D1029" s="45" t="s">
        <v>4308</v>
      </c>
    </row>
    <row r="1030" spans="1:4" ht="63" customHeight="1" x14ac:dyDescent="0.25">
      <c r="A1030" s="43" t="s">
        <v>5947</v>
      </c>
      <c r="B1030" s="43" t="s">
        <v>5948</v>
      </c>
      <c r="C1030" s="44" t="s">
        <v>162</v>
      </c>
      <c r="D1030" s="45" t="s">
        <v>4309</v>
      </c>
    </row>
    <row r="1031" spans="1:4" ht="47.25" customHeight="1" x14ac:dyDescent="0.25">
      <c r="A1031" s="43" t="s">
        <v>5949</v>
      </c>
      <c r="B1031" s="43" t="s">
        <v>5950</v>
      </c>
      <c r="C1031" s="44" t="s">
        <v>5886</v>
      </c>
      <c r="D1031" s="45" t="s">
        <v>4310</v>
      </c>
    </row>
    <row r="1032" spans="1:4" ht="31.5" customHeight="1" x14ac:dyDescent="0.25">
      <c r="A1032" s="43" t="s">
        <v>5951</v>
      </c>
      <c r="B1032" s="43" t="s">
        <v>5952</v>
      </c>
      <c r="C1032" s="44" t="s">
        <v>374</v>
      </c>
      <c r="D1032" s="45" t="s">
        <v>4311</v>
      </c>
    </row>
    <row r="1033" spans="1:4" ht="31.5" customHeight="1" x14ac:dyDescent="0.25">
      <c r="A1033" s="43" t="s">
        <v>5953</v>
      </c>
      <c r="B1033" s="43" t="s">
        <v>5954</v>
      </c>
      <c r="C1033" s="44" t="s">
        <v>269</v>
      </c>
      <c r="D1033" s="45" t="s">
        <v>4312</v>
      </c>
    </row>
    <row r="1034" spans="1:4" ht="47.25" customHeight="1" x14ac:dyDescent="0.25">
      <c r="A1034" s="43" t="s">
        <v>5955</v>
      </c>
      <c r="B1034" s="43" t="s">
        <v>5956</v>
      </c>
      <c r="C1034" s="44" t="s">
        <v>5957</v>
      </c>
      <c r="D1034" s="45" t="s">
        <v>4313</v>
      </c>
    </row>
    <row r="1035" spans="1:4" ht="47.25" customHeight="1" x14ac:dyDescent="0.25">
      <c r="A1035" s="43" t="s">
        <v>5958</v>
      </c>
      <c r="B1035" s="43" t="s">
        <v>5959</v>
      </c>
      <c r="C1035" s="44" t="s">
        <v>227</v>
      </c>
      <c r="D1035" s="45" t="s">
        <v>4314</v>
      </c>
    </row>
    <row r="1036" spans="1:4" ht="63" customHeight="1" x14ac:dyDescent="0.25">
      <c r="A1036" s="43" t="s">
        <v>5960</v>
      </c>
      <c r="B1036" s="43" t="s">
        <v>5961</v>
      </c>
      <c r="C1036" s="44" t="s">
        <v>358</v>
      </c>
      <c r="D1036" s="45" t="s">
        <v>4315</v>
      </c>
    </row>
    <row r="1037" spans="1:4" ht="31.5" customHeight="1" x14ac:dyDescent="0.25">
      <c r="A1037" s="43" t="s">
        <v>5962</v>
      </c>
      <c r="B1037" s="43" t="s">
        <v>5963</v>
      </c>
      <c r="C1037" s="44" t="s">
        <v>358</v>
      </c>
      <c r="D1037" s="45" t="s">
        <v>4316</v>
      </c>
    </row>
    <row r="1038" spans="1:4" ht="47.25" customHeight="1" x14ac:dyDescent="0.25">
      <c r="A1038" s="43" t="s">
        <v>5964</v>
      </c>
      <c r="B1038" s="43" t="s">
        <v>5965</v>
      </c>
      <c r="C1038" s="44" t="s">
        <v>2221</v>
      </c>
      <c r="D1038" s="45" t="s">
        <v>4317</v>
      </c>
    </row>
    <row r="1039" spans="1:4" ht="47.25" customHeight="1" x14ac:dyDescent="0.25">
      <c r="A1039" s="43" t="s">
        <v>5966</v>
      </c>
      <c r="B1039" s="43" t="s">
        <v>5967</v>
      </c>
      <c r="C1039" s="44" t="s">
        <v>1503</v>
      </c>
      <c r="D1039" s="45" t="s">
        <v>4318</v>
      </c>
    </row>
    <row r="1040" spans="1:4" ht="47.25" customHeight="1" x14ac:dyDescent="0.25">
      <c r="A1040" s="43" t="s">
        <v>5968</v>
      </c>
      <c r="B1040" s="43" t="s">
        <v>5969</v>
      </c>
      <c r="C1040" s="44" t="s">
        <v>524</v>
      </c>
      <c r="D1040" s="45" t="s">
        <v>4319</v>
      </c>
    </row>
    <row r="1041" spans="1:4" ht="47.25" customHeight="1" x14ac:dyDescent="0.25">
      <c r="A1041" s="43" t="s">
        <v>5970</v>
      </c>
      <c r="B1041" s="43" t="s">
        <v>5971</v>
      </c>
      <c r="C1041" s="44" t="s">
        <v>3210</v>
      </c>
      <c r="D1041" s="45" t="s">
        <v>4320</v>
      </c>
    </row>
    <row r="1042" spans="1:4" ht="47.25" customHeight="1" x14ac:dyDescent="0.25">
      <c r="A1042" s="43" t="s">
        <v>5972</v>
      </c>
      <c r="B1042" s="43" t="s">
        <v>5973</v>
      </c>
      <c r="C1042" s="44" t="s">
        <v>5974</v>
      </c>
      <c r="D1042" s="45" t="s">
        <v>4321</v>
      </c>
    </row>
    <row r="1043" spans="1:4" ht="47.25" customHeight="1" x14ac:dyDescent="0.25">
      <c r="A1043" s="43" t="s">
        <v>5975</v>
      </c>
      <c r="B1043" s="43" t="s">
        <v>5976</v>
      </c>
      <c r="C1043" s="44" t="s">
        <v>5977</v>
      </c>
      <c r="D1043" s="45" t="s">
        <v>4322</v>
      </c>
    </row>
    <row r="1044" spans="1:4" ht="47.25" customHeight="1" x14ac:dyDescent="0.25">
      <c r="A1044" s="43" t="s">
        <v>5978</v>
      </c>
      <c r="B1044" s="43" t="s">
        <v>5979</v>
      </c>
      <c r="C1044" s="44" t="s">
        <v>657</v>
      </c>
      <c r="D1044" s="45" t="s">
        <v>4323</v>
      </c>
    </row>
    <row r="1045" spans="1:4" ht="47.25" customHeight="1" x14ac:dyDescent="0.25">
      <c r="A1045" s="43" t="s">
        <v>5980</v>
      </c>
      <c r="B1045" s="43" t="s">
        <v>5981</v>
      </c>
      <c r="C1045" s="44" t="s">
        <v>5982</v>
      </c>
      <c r="D1045" s="45" t="s">
        <v>4324</v>
      </c>
    </row>
    <row r="1046" spans="1:4" ht="47.25" customHeight="1" x14ac:dyDescent="0.25">
      <c r="A1046" s="43" t="s">
        <v>5983</v>
      </c>
      <c r="B1046" s="43" t="s">
        <v>5984</v>
      </c>
      <c r="C1046" s="44" t="s">
        <v>1427</v>
      </c>
      <c r="D1046" s="45" t="s">
        <v>4325</v>
      </c>
    </row>
    <row r="1047" spans="1:4" ht="47.25" customHeight="1" x14ac:dyDescent="0.25">
      <c r="A1047" s="43" t="s">
        <v>5985</v>
      </c>
      <c r="B1047" s="43" t="s">
        <v>5986</v>
      </c>
      <c r="C1047" s="44" t="s">
        <v>4509</v>
      </c>
      <c r="D1047" s="45" t="s">
        <v>4326</v>
      </c>
    </row>
    <row r="1048" spans="1:4" ht="47.25" customHeight="1" x14ac:dyDescent="0.25">
      <c r="A1048" s="43" t="s">
        <v>5987</v>
      </c>
      <c r="B1048" s="43" t="s">
        <v>5988</v>
      </c>
      <c r="C1048" s="44" t="s">
        <v>5989</v>
      </c>
      <c r="D1048" s="45" t="s">
        <v>4327</v>
      </c>
    </row>
    <row r="1049" spans="1:4" ht="31.5" customHeight="1" x14ac:dyDescent="0.25">
      <c r="A1049" s="43" t="s">
        <v>5990</v>
      </c>
      <c r="B1049" s="43" t="s">
        <v>5991</v>
      </c>
      <c r="C1049" s="44" t="s">
        <v>524</v>
      </c>
      <c r="D1049" s="45" t="s">
        <v>4328</v>
      </c>
    </row>
    <row r="1050" spans="1:4" ht="47.25" customHeight="1" x14ac:dyDescent="0.25">
      <c r="A1050" s="43" t="s">
        <v>5992</v>
      </c>
      <c r="B1050" s="43" t="s">
        <v>5993</v>
      </c>
      <c r="C1050" s="44" t="s">
        <v>5994</v>
      </c>
      <c r="D1050" s="45" t="s">
        <v>4329</v>
      </c>
    </row>
    <row r="1051" spans="1:4" ht="31.5" customHeight="1" x14ac:dyDescent="0.25">
      <c r="A1051" s="43" t="s">
        <v>5995</v>
      </c>
      <c r="B1051" s="43" t="s">
        <v>5996</v>
      </c>
      <c r="C1051" s="44" t="s">
        <v>202</v>
      </c>
      <c r="D1051" s="45" t="s">
        <v>4330</v>
      </c>
    </row>
    <row r="1052" spans="1:4" ht="47.25" customHeight="1" x14ac:dyDescent="0.25">
      <c r="A1052" s="43" t="s">
        <v>5997</v>
      </c>
      <c r="B1052" s="43" t="s">
        <v>5998</v>
      </c>
      <c r="C1052" s="44" t="s">
        <v>1106</v>
      </c>
      <c r="D1052" s="45" t="s">
        <v>4331</v>
      </c>
    </row>
    <row r="1053" spans="1:4" ht="47.25" customHeight="1" x14ac:dyDescent="0.25">
      <c r="A1053" s="43" t="s">
        <v>5999</v>
      </c>
      <c r="B1053" s="43" t="s">
        <v>6000</v>
      </c>
      <c r="C1053" s="44" t="s">
        <v>1590</v>
      </c>
      <c r="D1053" s="45" t="s">
        <v>4332</v>
      </c>
    </row>
    <row r="1054" spans="1:4" ht="31.5" customHeight="1" x14ac:dyDescent="0.25">
      <c r="A1054" s="43" t="s">
        <v>6001</v>
      </c>
      <c r="B1054" s="43" t="s">
        <v>6002</v>
      </c>
      <c r="C1054" s="44" t="s">
        <v>2946</v>
      </c>
      <c r="D1054" s="45" t="s">
        <v>4333</v>
      </c>
    </row>
    <row r="1055" spans="1:4" ht="47.25" customHeight="1" x14ac:dyDescent="0.25">
      <c r="A1055" s="43" t="s">
        <v>6003</v>
      </c>
      <c r="B1055" s="43" t="s">
        <v>6004</v>
      </c>
      <c r="C1055" s="44" t="s">
        <v>1590</v>
      </c>
      <c r="D1055" s="45" t="s">
        <v>4334</v>
      </c>
    </row>
    <row r="1056" spans="1:4" ht="47.25" customHeight="1" x14ac:dyDescent="0.25">
      <c r="A1056" s="43" t="s">
        <v>6005</v>
      </c>
      <c r="B1056" s="43" t="s">
        <v>6006</v>
      </c>
      <c r="C1056" s="44" t="s">
        <v>573</v>
      </c>
      <c r="D1056" s="45" t="s">
        <v>4335</v>
      </c>
    </row>
    <row r="1057" spans="1:4" ht="47.25" customHeight="1" x14ac:dyDescent="0.25">
      <c r="A1057" s="43" t="s">
        <v>6007</v>
      </c>
      <c r="B1057" s="43" t="s">
        <v>6008</v>
      </c>
      <c r="C1057" s="44" t="s">
        <v>5240</v>
      </c>
      <c r="D1057" s="45" t="s">
        <v>4336</v>
      </c>
    </row>
    <row r="1058" spans="1:4" ht="47.25" customHeight="1" x14ac:dyDescent="0.25">
      <c r="A1058" s="43" t="s">
        <v>6009</v>
      </c>
      <c r="B1058" s="43" t="s">
        <v>6010</v>
      </c>
      <c r="C1058" s="44" t="s">
        <v>1698</v>
      </c>
      <c r="D1058" s="45" t="s">
        <v>4337</v>
      </c>
    </row>
    <row r="1059" spans="1:4" ht="47.25" customHeight="1" x14ac:dyDescent="0.25">
      <c r="A1059" s="43" t="s">
        <v>6011</v>
      </c>
      <c r="B1059" s="43" t="s">
        <v>6012</v>
      </c>
      <c r="C1059" s="44" t="s">
        <v>937</v>
      </c>
      <c r="D1059" s="45" t="s">
        <v>4338</v>
      </c>
    </row>
    <row r="1060" spans="1:4" ht="31.5" customHeight="1" x14ac:dyDescent="0.25">
      <c r="A1060" s="43" t="s">
        <v>6013</v>
      </c>
      <c r="B1060" s="43" t="s">
        <v>6014</v>
      </c>
      <c r="C1060" s="44" t="s">
        <v>2829</v>
      </c>
      <c r="D1060" s="45" t="s">
        <v>4339</v>
      </c>
    </row>
    <row r="1061" spans="1:4" ht="47.25" customHeight="1" x14ac:dyDescent="0.25">
      <c r="A1061" s="43" t="s">
        <v>6015</v>
      </c>
      <c r="B1061" s="43" t="s">
        <v>6016</v>
      </c>
      <c r="C1061" s="44" t="s">
        <v>924</v>
      </c>
      <c r="D1061" s="45" t="s">
        <v>4340</v>
      </c>
    </row>
    <row r="1062" spans="1:4" ht="47.25" customHeight="1" x14ac:dyDescent="0.25">
      <c r="A1062" s="43" t="s">
        <v>6017</v>
      </c>
      <c r="B1062" s="43" t="s">
        <v>6018</v>
      </c>
      <c r="C1062" s="44" t="s">
        <v>6019</v>
      </c>
      <c r="D1062" s="45" t="s">
        <v>4341</v>
      </c>
    </row>
    <row r="1063" spans="1:4" ht="31.5" customHeight="1" x14ac:dyDescent="0.25">
      <c r="A1063" s="43" t="s">
        <v>6020</v>
      </c>
      <c r="B1063" s="43" t="s">
        <v>6021</v>
      </c>
      <c r="C1063" s="44" t="s">
        <v>633</v>
      </c>
      <c r="D1063" s="45" t="s">
        <v>4342</v>
      </c>
    </row>
    <row r="1064" spans="1:4" ht="47.25" customHeight="1" x14ac:dyDescent="0.25">
      <c r="A1064" s="43" t="s">
        <v>6022</v>
      </c>
      <c r="B1064" s="43" t="s">
        <v>6023</v>
      </c>
      <c r="C1064" s="44" t="s">
        <v>1482</v>
      </c>
      <c r="D1064" s="45" t="s">
        <v>4343</v>
      </c>
    </row>
    <row r="1065" spans="1:4" ht="78.75" customHeight="1" x14ac:dyDescent="0.25">
      <c r="A1065" s="43" t="s">
        <v>6024</v>
      </c>
      <c r="B1065" s="43" t="s">
        <v>6025</v>
      </c>
      <c r="C1065" s="44" t="s">
        <v>924</v>
      </c>
      <c r="D1065" s="45" t="s">
        <v>4344</v>
      </c>
    </row>
    <row r="1066" spans="1:4" ht="47.25" customHeight="1" x14ac:dyDescent="0.25">
      <c r="A1066" s="43" t="s">
        <v>6026</v>
      </c>
      <c r="B1066" s="43" t="s">
        <v>6027</v>
      </c>
      <c r="C1066" s="44" t="s">
        <v>5382</v>
      </c>
      <c r="D1066" s="45" t="s">
        <v>4345</v>
      </c>
    </row>
    <row r="1067" spans="1:4" ht="47.25" customHeight="1" x14ac:dyDescent="0.25">
      <c r="A1067" s="43" t="s">
        <v>6028</v>
      </c>
      <c r="B1067" s="43" t="s">
        <v>6029</v>
      </c>
      <c r="C1067" s="44" t="s">
        <v>5837</v>
      </c>
      <c r="D1067" s="45" t="s">
        <v>4346</v>
      </c>
    </row>
    <row r="1068" spans="1:4" ht="47.25" customHeight="1" x14ac:dyDescent="0.25">
      <c r="A1068" s="43" t="s">
        <v>6030</v>
      </c>
      <c r="B1068" s="43" t="s">
        <v>6031</v>
      </c>
      <c r="C1068" s="44" t="s">
        <v>379</v>
      </c>
      <c r="D1068" s="45" t="s">
        <v>4347</v>
      </c>
    </row>
    <row r="1069" spans="1:4" ht="31.5" customHeight="1" x14ac:dyDescent="0.25">
      <c r="A1069" s="43" t="s">
        <v>6032</v>
      </c>
      <c r="B1069" s="43" t="s">
        <v>6033</v>
      </c>
      <c r="C1069" s="44" t="s">
        <v>1014</v>
      </c>
      <c r="D1069" s="45" t="s">
        <v>4348</v>
      </c>
    </row>
    <row r="1070" spans="1:4" ht="63" customHeight="1" x14ac:dyDescent="0.25">
      <c r="A1070" s="43" t="s">
        <v>6034</v>
      </c>
      <c r="B1070" s="43" t="s">
        <v>6035</v>
      </c>
      <c r="C1070" s="44" t="s">
        <v>6036</v>
      </c>
      <c r="D1070" s="45" t="s">
        <v>4349</v>
      </c>
    </row>
    <row r="1071" spans="1:4" ht="31.5" customHeight="1" x14ac:dyDescent="0.25">
      <c r="A1071" s="43" t="s">
        <v>6037</v>
      </c>
      <c r="B1071" s="43" t="s">
        <v>6038</v>
      </c>
      <c r="C1071" s="44" t="s">
        <v>5376</v>
      </c>
      <c r="D1071" s="45" t="s">
        <v>4350</v>
      </c>
    </row>
    <row r="1072" spans="1:4" ht="63" customHeight="1" x14ac:dyDescent="0.25">
      <c r="A1072" s="43" t="s">
        <v>6039</v>
      </c>
      <c r="B1072" s="43" t="s">
        <v>6040</v>
      </c>
      <c r="C1072" s="44" t="s">
        <v>6041</v>
      </c>
      <c r="D1072" s="45" t="s">
        <v>4351</v>
      </c>
    </row>
    <row r="1073" spans="1:4" ht="63" customHeight="1" x14ac:dyDescent="0.25">
      <c r="A1073" s="43" t="s">
        <v>6042</v>
      </c>
      <c r="B1073" s="43" t="s">
        <v>6043</v>
      </c>
      <c r="C1073" s="44" t="s">
        <v>76</v>
      </c>
      <c r="D1073" s="45" t="s">
        <v>4352</v>
      </c>
    </row>
    <row r="1074" spans="1:4" ht="31.5" customHeight="1" x14ac:dyDescent="0.25">
      <c r="A1074" s="43" t="s">
        <v>6044</v>
      </c>
      <c r="B1074" s="43" t="s">
        <v>6045</v>
      </c>
      <c r="C1074" s="44" t="s">
        <v>5203</v>
      </c>
      <c r="D1074" s="45" t="s">
        <v>4353</v>
      </c>
    </row>
    <row r="1075" spans="1:4" ht="31.5" customHeight="1" x14ac:dyDescent="0.25">
      <c r="A1075" s="43" t="s">
        <v>6046</v>
      </c>
      <c r="B1075" s="43" t="s">
        <v>6047</v>
      </c>
      <c r="C1075" s="44" t="s">
        <v>76</v>
      </c>
      <c r="D1075" s="45" t="s">
        <v>4354</v>
      </c>
    </row>
    <row r="1076" spans="1:4" ht="31.5" customHeight="1" x14ac:dyDescent="0.25">
      <c r="A1076" s="43" t="s">
        <v>6048</v>
      </c>
      <c r="B1076" s="43" t="s">
        <v>6049</v>
      </c>
      <c r="C1076" s="44" t="s">
        <v>4533</v>
      </c>
      <c r="D1076" s="45" t="s">
        <v>4355</v>
      </c>
    </row>
    <row r="1077" spans="1:4" ht="47.25" customHeight="1" x14ac:dyDescent="0.25">
      <c r="A1077" s="43" t="s">
        <v>6050</v>
      </c>
      <c r="B1077" s="43" t="s">
        <v>6051</v>
      </c>
      <c r="C1077" s="44" t="s">
        <v>302</v>
      </c>
      <c r="D1077" s="45" t="s">
        <v>4356</v>
      </c>
    </row>
    <row r="1078" spans="1:4" ht="94.5" customHeight="1" x14ac:dyDescent="0.25">
      <c r="A1078" s="43" t="s">
        <v>6052</v>
      </c>
      <c r="B1078" s="43" t="s">
        <v>6053</v>
      </c>
      <c r="C1078" s="44" t="s">
        <v>358</v>
      </c>
      <c r="D1078" s="45" t="s">
        <v>4357</v>
      </c>
    </row>
    <row r="1079" spans="1:4" ht="31.5" customHeight="1" x14ac:dyDescent="0.25">
      <c r="A1079" s="43" t="s">
        <v>6054</v>
      </c>
      <c r="B1079" s="43" t="s">
        <v>6055</v>
      </c>
      <c r="C1079" s="44" t="s">
        <v>867</v>
      </c>
      <c r="D1079" s="45" t="s">
        <v>4358</v>
      </c>
    </row>
    <row r="1080" spans="1:4" ht="31.5" customHeight="1" x14ac:dyDescent="0.25">
      <c r="A1080" s="43" t="s">
        <v>6056</v>
      </c>
      <c r="B1080" s="43" t="s">
        <v>6057</v>
      </c>
      <c r="C1080" s="44" t="s">
        <v>1585</v>
      </c>
      <c r="D1080" s="45" t="s">
        <v>4359</v>
      </c>
    </row>
    <row r="1081" spans="1:4" ht="31.5" customHeight="1" x14ac:dyDescent="0.25">
      <c r="A1081" s="43" t="s">
        <v>6058</v>
      </c>
      <c r="B1081" s="43" t="s">
        <v>6059</v>
      </c>
      <c r="C1081" s="44" t="s">
        <v>5467</v>
      </c>
      <c r="D1081" s="45" t="s">
        <v>4360</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2026-07-31T12:43:16Z</dcterms:modified>
  <dc:language>Türkçe</dc:language>
</cp:coreProperties>
</file>