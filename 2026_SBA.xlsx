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0BF5CD38-5ADD-4CFB-A0AE-E29B59B8431D}" xr6:coauthVersionLast="47" xr6:coauthVersionMax="47" xr10:uidLastSave="{00000000-0000-0000-0000-000000000000}"/>
  <bookViews>
    <workbookView xWindow="-120" yWindow="-120" windowWidth="29040" windowHeight="16440" tabRatio="944" activeTab="1"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iterateDelta="1E-4"/>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3" i="7" l="1" a="1"/>
  <c r="C283" i="7" s="1"/>
  <c r="B283" i="7" a="1"/>
  <c r="B283" i="7" s="1"/>
  <c r="C282" i="7" a="1"/>
  <c r="C282" i="7" s="1"/>
  <c r="B282" i="7" a="1"/>
  <c r="B282" i="7" s="1"/>
  <c r="C281" i="7" a="1"/>
  <c r="C281" i="7" s="1"/>
  <c r="B281" i="7" a="1"/>
  <c r="B281" i="7" s="1"/>
  <c r="C280" i="7" a="1"/>
  <c r="C280" i="7" s="1"/>
  <c r="B280" i="7" a="1"/>
  <c r="B280" i="7" s="1"/>
  <c r="C279" i="7" a="1"/>
  <c r="C279" i="7" s="1"/>
  <c r="B279" i="7" a="1"/>
  <c r="B279" i="7" s="1"/>
  <c r="C278" i="7" a="1"/>
  <c r="C278" i="7" s="1"/>
  <c r="B278" i="7" a="1"/>
  <c r="B278" i="7" s="1"/>
  <c r="C277" i="7" a="1"/>
  <c r="C277" i="7" s="1"/>
  <c r="B277" i="7" a="1"/>
  <c r="B277" i="7" s="1"/>
  <c r="C276" i="7" a="1"/>
  <c r="C276" i="7" s="1"/>
  <c r="B276" i="7" a="1"/>
  <c r="B276" i="7" s="1"/>
  <c r="C275" i="7" a="1"/>
  <c r="C275" i="7" s="1"/>
  <c r="B275" i="7" a="1"/>
  <c r="B275" i="7" s="1"/>
  <c r="C274" i="7" a="1"/>
  <c r="C274" i="7" s="1"/>
  <c r="B274" i="7" a="1"/>
  <c r="B274" i="7" s="1"/>
  <c r="C273" i="7" a="1"/>
  <c r="C273" i="7" s="1"/>
  <c r="B273" i="7" a="1"/>
  <c r="B273" i="7" s="1"/>
  <c r="C272" i="7" a="1"/>
  <c r="C272" i="7" s="1"/>
  <c r="B272" i="7" a="1"/>
  <c r="B272" i="7" s="1"/>
  <c r="C271" i="7" a="1"/>
  <c r="C271" i="7" s="1"/>
  <c r="B271" i="7" a="1"/>
  <c r="B271" i="7" s="1"/>
  <c r="C270" i="7" a="1"/>
  <c r="C270" i="7" s="1"/>
  <c r="B270" i="7" a="1"/>
  <c r="B270" i="7" s="1"/>
  <c r="C269" i="7" a="1"/>
  <c r="C269" i="7" s="1"/>
  <c r="B269" i="7" a="1"/>
  <c r="B269" i="7" s="1"/>
  <c r="C268" i="7" a="1"/>
  <c r="C268" i="7" s="1"/>
  <c r="B268" i="7" a="1"/>
  <c r="B268" i="7" s="1"/>
  <c r="C267" i="7" a="1"/>
  <c r="C267" i="7" s="1"/>
  <c r="B267" i="7" a="1"/>
  <c r="B267" i="7" s="1"/>
  <c r="C266" i="7" a="1"/>
  <c r="C266" i="7" s="1"/>
  <c r="B266" i="7" a="1"/>
  <c r="B266" i="7" s="1"/>
  <c r="C265" i="7" a="1"/>
  <c r="C265" i="7" s="1"/>
  <c r="B265" i="7" a="1"/>
  <c r="B265" i="7" s="1"/>
  <c r="C264" i="7" a="1"/>
  <c r="C264" i="7" s="1"/>
  <c r="B264" i="7" a="1"/>
  <c r="B264" i="7" s="1"/>
  <c r="C263" i="7" a="1"/>
  <c r="C263" i="7" s="1"/>
  <c r="B263" i="7" a="1"/>
  <c r="B263" i="7" s="1"/>
  <c r="C262" i="7" a="1"/>
  <c r="C262" i="7" s="1"/>
  <c r="B262" i="7" a="1"/>
  <c r="B262" i="7" s="1"/>
  <c r="C261" i="7" a="1"/>
  <c r="C261" i="7" s="1"/>
  <c r="B261" i="7" a="1"/>
  <c r="B261" i="7" s="1"/>
  <c r="C260" i="7" a="1"/>
  <c r="C260" i="7" s="1"/>
  <c r="B260" i="7" a="1"/>
  <c r="B260" i="7" s="1"/>
  <c r="C259" i="7" a="1"/>
  <c r="C259" i="7" s="1"/>
  <c r="B259" i="7" a="1"/>
  <c r="B259" i="7" s="1"/>
  <c r="C258" i="7" a="1"/>
  <c r="C258" i="7" s="1"/>
  <c r="B258" i="7" a="1"/>
  <c r="B258" i="7" s="1"/>
  <c r="C257" i="7" a="1"/>
  <c r="C257" i="7" s="1"/>
  <c r="B257" i="7" a="1"/>
  <c r="B257" i="7" s="1"/>
  <c r="C256" i="7" a="1"/>
  <c r="C256" i="7" s="1"/>
  <c r="B256" i="7" a="1"/>
  <c r="B256" i="7" s="1"/>
  <c r="C255" i="7" a="1"/>
  <c r="C255" i="7" s="1"/>
  <c r="B255" i="7" a="1"/>
  <c r="B255" i="7" s="1"/>
  <c r="C254" i="7" a="1"/>
  <c r="C254" i="7" s="1"/>
  <c r="B254" i="7" a="1"/>
  <c r="B254" i="7" s="1"/>
  <c r="C253" i="7" a="1"/>
  <c r="C253" i="7" s="1"/>
  <c r="B253" i="7" a="1"/>
  <c r="B253" i="7" s="1"/>
  <c r="C252" i="7" a="1"/>
  <c r="C252" i="7" s="1"/>
  <c r="B252" i="7" a="1"/>
  <c r="B252" i="7" s="1"/>
  <c r="C251" i="7" a="1"/>
  <c r="C251" i="7" s="1"/>
  <c r="B251" i="7" a="1"/>
  <c r="B251" i="7" s="1"/>
  <c r="C250" i="7" a="1"/>
  <c r="C250" i="7" s="1"/>
  <c r="B250" i="7" a="1"/>
  <c r="B250" i="7" s="1"/>
  <c r="C249" i="7" a="1"/>
  <c r="C249" i="7" s="1"/>
  <c r="B249" i="7" a="1"/>
  <c r="B249" i="7" s="1"/>
  <c r="C248" i="7" a="1"/>
  <c r="C248" i="7" s="1"/>
  <c r="B248" i="7" a="1"/>
  <c r="B248" i="7" s="1"/>
  <c r="C247" i="7" a="1"/>
  <c r="C247" i="7" s="1"/>
  <c r="B247" i="7" a="1"/>
  <c r="B247" i="7" s="1"/>
  <c r="C246" i="7" a="1"/>
  <c r="C246" i="7" s="1"/>
  <c r="B246" i="7" a="1"/>
  <c r="B246" i="7" s="1"/>
  <c r="C245" i="7" a="1"/>
  <c r="C245" i="7" s="1"/>
  <c r="B245" i="7" a="1"/>
  <c r="B245" i="7" s="1"/>
  <c r="C244" i="7" a="1"/>
  <c r="C244" i="7" s="1"/>
  <c r="B244" i="7" a="1"/>
  <c r="B244" i="7" s="1"/>
  <c r="C243" i="7" a="1"/>
  <c r="C243" i="7" s="1"/>
  <c r="B243" i="7" a="1"/>
  <c r="B243" i="7" s="1"/>
  <c r="C242" i="7" a="1"/>
  <c r="C242" i="7" s="1"/>
  <c r="B242" i="7" a="1"/>
  <c r="B242" i="7" s="1"/>
  <c r="C241" i="7" a="1"/>
  <c r="C241" i="7" s="1"/>
  <c r="B241" i="7" a="1"/>
  <c r="B241" i="7" s="1"/>
  <c r="C240" i="7" a="1"/>
  <c r="C240" i="7" s="1"/>
  <c r="B240" i="7" a="1"/>
  <c r="B240" i="7" s="1"/>
  <c r="C239" i="7" a="1"/>
  <c r="C239" i="7" s="1"/>
  <c r="B239" i="7" a="1"/>
  <c r="B239" i="7" s="1"/>
  <c r="C238" i="7" a="1"/>
  <c r="C238" i="7" s="1"/>
  <c r="B238" i="7" a="1"/>
  <c r="B238" i="7" s="1"/>
  <c r="C237" i="7" a="1"/>
  <c r="C237" i="7" s="1"/>
  <c r="B237" i="7" a="1"/>
  <c r="B237" i="7" s="1"/>
  <c r="C236" i="7" a="1"/>
  <c r="C236" i="7" s="1"/>
  <c r="B236" i="7" a="1"/>
  <c r="B236" i="7" s="1"/>
  <c r="C235" i="7" a="1"/>
  <c r="C235" i="7" s="1"/>
  <c r="B235" i="7" a="1"/>
  <c r="B235" i="7" s="1"/>
  <c r="C234" i="7" a="1"/>
  <c r="C234" i="7" s="1"/>
  <c r="B234" i="7" a="1"/>
  <c r="B234" i="7" s="1"/>
  <c r="C233" i="7" a="1"/>
  <c r="C233" i="7" s="1"/>
  <c r="B233" i="7" a="1"/>
  <c r="B233" i="7" s="1"/>
  <c r="C232" i="7" a="1"/>
  <c r="C232" i="7" s="1"/>
  <c r="B232" i="7" a="1"/>
  <c r="B232" i="7" s="1"/>
  <c r="C231" i="7" a="1"/>
  <c r="C231" i="7" s="1"/>
  <c r="B231" i="7" a="1"/>
  <c r="B231" i="7" s="1"/>
  <c r="C230" i="7" a="1"/>
  <c r="C230" i="7" s="1"/>
  <c r="B230" i="7" a="1"/>
  <c r="B230" i="7" s="1"/>
  <c r="C229" i="7" a="1"/>
  <c r="C229" i="7" s="1"/>
  <c r="B229" i="7" a="1"/>
  <c r="B229" i="7" s="1"/>
  <c r="C228" i="7" a="1"/>
  <c r="C228" i="7" s="1"/>
  <c r="B228" i="7" a="1"/>
  <c r="B228" i="7" s="1"/>
  <c r="C227" i="7" a="1"/>
  <c r="C227" i="7" s="1"/>
  <c r="B227" i="7" a="1"/>
  <c r="B227" i="7" s="1"/>
  <c r="C226" i="7" a="1"/>
  <c r="C226" i="7" s="1"/>
  <c r="B226" i="7" a="1"/>
  <c r="B226" i="7" s="1"/>
  <c r="C225" i="7" a="1"/>
  <c r="C225" i="7" s="1"/>
  <c r="B225" i="7" a="1"/>
  <c r="B225" i="7" s="1"/>
  <c r="C224" i="7" a="1"/>
  <c r="C224" i="7" s="1"/>
  <c r="B224" i="7" a="1"/>
  <c r="B224" i="7" s="1"/>
  <c r="C223" i="7" a="1"/>
  <c r="C223" i="7" s="1"/>
  <c r="B223" i="7" a="1"/>
  <c r="B223" i="7" s="1"/>
  <c r="C222" i="7" a="1"/>
  <c r="C222" i="7" s="1"/>
  <c r="B222" i="7" a="1"/>
  <c r="B222" i="7" s="1"/>
  <c r="C221" i="7" a="1"/>
  <c r="C221" i="7" s="1"/>
  <c r="B221" i="7" a="1"/>
  <c r="B221" i="7" s="1"/>
  <c r="C220" i="7" a="1"/>
  <c r="C220" i="7" s="1"/>
  <c r="B220" i="7" a="1"/>
  <c r="B220" i="7" s="1"/>
  <c r="C219" i="7" a="1"/>
  <c r="C219" i="7" s="1"/>
  <c r="B219" i="7" a="1"/>
  <c r="B219" i="7" s="1"/>
  <c r="C218" i="7" a="1"/>
  <c r="C218" i="7" s="1"/>
  <c r="B218" i="7" a="1"/>
  <c r="B218" i="7" s="1"/>
  <c r="C217" i="7" a="1"/>
  <c r="C217" i="7" s="1"/>
  <c r="B217" i="7" a="1"/>
  <c r="B217" i="7" s="1"/>
  <c r="C216" i="7" a="1"/>
  <c r="C216" i="7" s="1"/>
  <c r="B216" i="7" a="1"/>
  <c r="B216" i="7" s="1"/>
  <c r="C215" i="7" a="1"/>
  <c r="C215" i="7" s="1"/>
  <c r="B215" i="7" a="1"/>
  <c r="B215" i="7" s="1"/>
  <c r="C214" i="7" a="1"/>
  <c r="C214" i="7" s="1"/>
  <c r="B214" i="7" a="1"/>
  <c r="B214" i="7" s="1"/>
  <c r="C213" i="7" a="1"/>
  <c r="C213" i="7" s="1"/>
  <c r="B213" i="7" a="1"/>
  <c r="B213" i="7" s="1"/>
  <c r="C212" i="7" a="1"/>
  <c r="C212" i="7" s="1"/>
  <c r="B212" i="7" a="1"/>
  <c r="B212" i="7" s="1"/>
  <c r="C211" i="7" a="1"/>
  <c r="C211" i="7" s="1"/>
  <c r="B211" i="7" a="1"/>
  <c r="B211" i="7" s="1"/>
  <c r="C210" i="7" a="1"/>
  <c r="C210" i="7" s="1"/>
  <c r="B210" i="7" a="1"/>
  <c r="B210" i="7" s="1"/>
  <c r="C209" i="7" a="1"/>
  <c r="C209" i="7" s="1"/>
  <c r="B209" i="7" a="1"/>
  <c r="B209" i="7" s="1"/>
  <c r="C208" i="7" a="1"/>
  <c r="C208" i="7" s="1"/>
  <c r="B208" i="7" a="1"/>
  <c r="B208" i="7" s="1"/>
  <c r="C207" i="7" a="1"/>
  <c r="C207" i="7" s="1"/>
  <c r="B207" i="7" a="1"/>
  <c r="B207" i="7" s="1"/>
  <c r="C206" i="7" a="1"/>
  <c r="C206" i="7" s="1"/>
  <c r="B206" i="7" a="1"/>
  <c r="B206" i="7" s="1"/>
  <c r="C205" i="7" a="1"/>
  <c r="C205" i="7" s="1"/>
  <c r="B205" i="7" a="1"/>
  <c r="B205" i="7" s="1"/>
  <c r="C204" i="7" a="1"/>
  <c r="C204" i="7" s="1"/>
  <c r="B204" i="7" a="1"/>
  <c r="B204" i="7" s="1"/>
  <c r="C203" i="7" a="1"/>
  <c r="C203" i="7" s="1"/>
  <c r="B203" i="7" a="1"/>
  <c r="B203" i="7" s="1"/>
  <c r="C202" i="7" a="1"/>
  <c r="C202" i="7" s="1"/>
  <c r="B202" i="7" a="1"/>
  <c r="B202" i="7" s="1"/>
  <c r="C201" i="7" a="1"/>
  <c r="C201" i="7" s="1"/>
  <c r="B201" i="7" a="1"/>
  <c r="B201" i="7" s="1"/>
  <c r="C200" i="7" a="1"/>
  <c r="C200" i="7" s="1"/>
  <c r="B200" i="7" a="1"/>
  <c r="B200" i="7" s="1"/>
  <c r="C199" i="7" a="1"/>
  <c r="C199" i="7" s="1"/>
  <c r="B199" i="7" a="1"/>
  <c r="B199" i="7" s="1"/>
  <c r="C198" i="7" a="1"/>
  <c r="C198" i="7" s="1"/>
  <c r="B198" i="7" a="1"/>
  <c r="B198" i="7" s="1"/>
  <c r="C197" i="7" a="1"/>
  <c r="C197" i="7" s="1"/>
  <c r="B197" i="7" a="1"/>
  <c r="B197" i="7" s="1"/>
  <c r="C196" i="7" a="1"/>
  <c r="C196" i="7" s="1"/>
  <c r="B196" i="7" a="1"/>
  <c r="B196" i="7" s="1"/>
  <c r="C195" i="7" a="1"/>
  <c r="C195" i="7" s="1"/>
  <c r="B195" i="7" a="1"/>
  <c r="B195" i="7" s="1"/>
  <c r="C194" i="7" a="1"/>
  <c r="C194" i="7" s="1"/>
  <c r="B194" i="7" a="1"/>
  <c r="B194" i="7" s="1"/>
  <c r="C193" i="7" a="1"/>
  <c r="C193" i="7" s="1"/>
  <c r="B193" i="7" a="1"/>
  <c r="B193" i="7" s="1"/>
  <c r="C192" i="7" a="1"/>
  <c r="C192" i="7" s="1"/>
  <c r="B192" i="7" a="1"/>
  <c r="B192" i="7" s="1"/>
  <c r="C191" i="7" a="1"/>
  <c r="C191" i="7" s="1"/>
  <c r="B191" i="7" a="1"/>
  <c r="B191" i="7" s="1"/>
  <c r="C190" i="7" a="1"/>
  <c r="C190" i="7" s="1"/>
  <c r="B190" i="7" a="1"/>
  <c r="B190" i="7" s="1"/>
  <c r="C189" i="7" a="1"/>
  <c r="C189" i="7" s="1"/>
  <c r="B189" i="7" a="1"/>
  <c r="B189" i="7" s="1"/>
  <c r="C188" i="7" a="1"/>
  <c r="C188" i="7" s="1"/>
  <c r="B188" i="7" a="1"/>
  <c r="B188" i="7" s="1"/>
  <c r="C187" i="7" a="1"/>
  <c r="C187" i="7" s="1"/>
  <c r="B187" i="7" a="1"/>
  <c r="B187" i="7" s="1"/>
  <c r="C186" i="7" a="1"/>
  <c r="C186" i="7" s="1"/>
  <c r="B186" i="7" a="1"/>
  <c r="B186" i="7" s="1"/>
  <c r="C185" i="7" a="1"/>
  <c r="C185" i="7" s="1"/>
  <c r="B185" i="7" a="1"/>
  <c r="B185" i="7" s="1"/>
  <c r="C184" i="7" a="1"/>
  <c r="C184" i="7" s="1"/>
  <c r="B184" i="7" a="1"/>
  <c r="B184" i="7" s="1"/>
  <c r="C183" i="7" a="1"/>
  <c r="C183" i="7" s="1"/>
  <c r="B183" i="7" a="1"/>
  <c r="B183" i="7" s="1"/>
  <c r="C182" i="7" a="1"/>
  <c r="C182" i="7" s="1"/>
  <c r="B182" i="7" a="1"/>
  <c r="B182" i="7" s="1"/>
  <c r="C181" i="7" a="1"/>
  <c r="C181" i="7" s="1"/>
  <c r="B181" i="7" a="1"/>
  <c r="B181" i="7" s="1"/>
  <c r="C180" i="7" a="1"/>
  <c r="C180" i="7" s="1"/>
  <c r="B180" i="7" a="1"/>
  <c r="B180" i="7" s="1"/>
  <c r="C179" i="7" a="1"/>
  <c r="C179" i="7" s="1"/>
  <c r="B179" i="7" a="1"/>
  <c r="B179" i="7" s="1"/>
  <c r="C178" i="7" a="1"/>
  <c r="C178" i="7" s="1"/>
  <c r="B178" i="7" a="1"/>
  <c r="B178" i="7" s="1"/>
  <c r="C177" i="7" a="1"/>
  <c r="C177" i="7" s="1"/>
  <c r="B177" i="7" a="1"/>
  <c r="B177" i="7" s="1"/>
  <c r="C176" i="7" a="1"/>
  <c r="C176" i="7" s="1"/>
  <c r="B176" i="7" a="1"/>
  <c r="B176" i="7" s="1"/>
  <c r="C175" i="7" a="1"/>
  <c r="C175" i="7" s="1"/>
  <c r="B175" i="7" a="1"/>
  <c r="B175" i="7" s="1"/>
  <c r="C174" i="7" a="1"/>
  <c r="C174" i="7" s="1"/>
  <c r="B174" i="7" a="1"/>
  <c r="B174" i="7" s="1"/>
  <c r="C173" i="7" a="1"/>
  <c r="C173" i="7" s="1"/>
  <c r="B173" i="7" a="1"/>
  <c r="B173" i="7" s="1"/>
  <c r="C172" i="7" a="1"/>
  <c r="C172" i="7" s="1"/>
  <c r="B172" i="7" a="1"/>
  <c r="B172" i="7" s="1"/>
  <c r="C171" i="7" a="1"/>
  <c r="C171" i="7" s="1"/>
  <c r="B171" i="7" a="1"/>
  <c r="B171" i="7" s="1"/>
  <c r="C170" i="7" a="1"/>
  <c r="C170" i="7" s="1"/>
  <c r="B170" i="7" a="1"/>
  <c r="B170" i="7" s="1"/>
  <c r="C169" i="7" a="1"/>
  <c r="C169" i="7" s="1"/>
  <c r="B169" i="7" a="1"/>
  <c r="B169" i="7" s="1"/>
  <c r="C168" i="7" a="1"/>
  <c r="C168" i="7" s="1"/>
  <c r="B168" i="7" a="1"/>
  <c r="B168" i="7" s="1"/>
  <c r="C167" i="7" a="1"/>
  <c r="C167" i="7" s="1"/>
  <c r="B167" i="7" a="1"/>
  <c r="B167" i="7" s="1"/>
  <c r="C166" i="7" a="1"/>
  <c r="C166" i="7" s="1"/>
  <c r="B166" i="7" a="1"/>
  <c r="B166" i="7" s="1"/>
  <c r="C165" i="7" a="1"/>
  <c r="C165" i="7" s="1"/>
  <c r="B165" i="7" a="1"/>
  <c r="B165" i="7" s="1"/>
  <c r="C164" i="7" a="1"/>
  <c r="C164" i="7" s="1"/>
  <c r="B164" i="7" a="1"/>
  <c r="B164" i="7" s="1"/>
  <c r="C163" i="7" a="1"/>
  <c r="C163" i="7" s="1"/>
  <c r="B163" i="7" a="1"/>
  <c r="B163" i="7" s="1"/>
  <c r="C162" i="7" a="1"/>
  <c r="C162" i="7" s="1"/>
  <c r="B162" i="7" a="1"/>
  <c r="B162" i="7" s="1"/>
  <c r="C161" i="7" a="1"/>
  <c r="C161" i="7" s="1"/>
  <c r="B161" i="7" a="1"/>
  <c r="B161" i="7" s="1"/>
  <c r="C160" i="7" a="1"/>
  <c r="C160" i="7" s="1"/>
  <c r="B160" i="7" a="1"/>
  <c r="B160" i="7" s="1"/>
  <c r="C159" i="7" a="1"/>
  <c r="C159" i="7" s="1"/>
  <c r="B159" i="7" a="1"/>
  <c r="B159" i="7" s="1"/>
  <c r="C158" i="7" a="1"/>
  <c r="C158" i="7" s="1"/>
  <c r="B158" i="7" a="1"/>
  <c r="B158" i="7" s="1"/>
  <c r="C157" i="7" a="1"/>
  <c r="C157" i="7" s="1"/>
  <c r="B157" i="7" a="1"/>
  <c r="B157" i="7" s="1"/>
  <c r="C156" i="7" a="1"/>
  <c r="C156" i="7" s="1"/>
  <c r="B156" i="7" a="1"/>
  <c r="B156" i="7" s="1"/>
  <c r="C155" i="7" a="1"/>
  <c r="C155" i="7" s="1"/>
  <c r="B155" i="7" a="1"/>
  <c r="B155" i="7" s="1"/>
  <c r="C154" i="7" a="1"/>
  <c r="C154" i="7" s="1"/>
  <c r="B154" i="7" a="1"/>
  <c r="B154" i="7" s="1"/>
  <c r="C153" i="7" a="1"/>
  <c r="C153" i="7" s="1"/>
  <c r="B153" i="7" a="1"/>
  <c r="B153" i="7" s="1"/>
  <c r="C152" i="7" a="1"/>
  <c r="C152" i="7" s="1"/>
  <c r="B152" i="7" a="1"/>
  <c r="B152" i="7" s="1"/>
  <c r="C151" i="7" a="1"/>
  <c r="C151" i="7" s="1"/>
  <c r="B151" i="7" a="1"/>
  <c r="B151" i="7" s="1"/>
  <c r="C150" i="7" a="1"/>
  <c r="C150" i="7" s="1"/>
  <c r="B150" i="7" a="1"/>
  <c r="B150" i="7" s="1"/>
  <c r="C149" i="7" a="1"/>
  <c r="C149" i="7" s="1"/>
  <c r="B149" i="7" a="1"/>
  <c r="B149" i="7" s="1"/>
  <c r="C148" i="7" a="1"/>
  <c r="C148" i="7" s="1"/>
  <c r="B148" i="7" a="1"/>
  <c r="B148" i="7" s="1"/>
  <c r="C147" i="7" a="1"/>
  <c r="C147" i="7" s="1"/>
  <c r="B147" i="7" a="1"/>
  <c r="B147" i="7" s="1"/>
  <c r="C146" i="7" a="1"/>
  <c r="C146" i="7" s="1"/>
  <c r="B146" i="7" a="1"/>
  <c r="B146" i="7" s="1"/>
  <c r="C145" i="7" a="1"/>
  <c r="C145" i="7" s="1"/>
  <c r="B145" i="7" a="1"/>
  <c r="B145" i="7" s="1"/>
  <c r="C144" i="7" a="1"/>
  <c r="C144" i="7" s="1"/>
  <c r="B144" i="7" a="1"/>
  <c r="B144" i="7" s="1"/>
  <c r="C143" i="7" a="1"/>
  <c r="C143" i="7" s="1"/>
  <c r="B143" i="7" a="1"/>
  <c r="B143" i="7" s="1"/>
  <c r="C142" i="7" a="1"/>
  <c r="C142" i="7" s="1"/>
  <c r="B142" i="7" a="1"/>
  <c r="B142" i="7" s="1"/>
  <c r="C141" i="7" a="1"/>
  <c r="C141" i="7" s="1"/>
  <c r="B141" i="7" a="1"/>
  <c r="B141" i="7" s="1"/>
  <c r="C140" i="7" a="1"/>
  <c r="C140" i="7" s="1"/>
  <c r="B140" i="7" a="1"/>
  <c r="B140" i="7" s="1"/>
  <c r="C139" i="7" a="1"/>
  <c r="C139" i="7" s="1"/>
  <c r="B139" i="7" a="1"/>
  <c r="B139" i="7" s="1"/>
  <c r="C138" i="7" a="1"/>
  <c r="C138" i="7" s="1"/>
  <c r="B138" i="7" a="1"/>
  <c r="B138" i="7" s="1"/>
  <c r="C137" i="7" a="1"/>
  <c r="C137" i="7" s="1"/>
  <c r="B137" i="7" a="1"/>
  <c r="B137" i="7" s="1"/>
  <c r="C136" i="7" a="1"/>
  <c r="C136" i="7" s="1"/>
  <c r="B136" i="7" a="1"/>
  <c r="B136" i="7" s="1"/>
  <c r="C135" i="7" a="1"/>
  <c r="C135" i="7" s="1"/>
  <c r="B135" i="7" a="1"/>
  <c r="B135" i="7" s="1"/>
  <c r="C134" i="7" a="1"/>
  <c r="C134" i="7" s="1"/>
  <c r="B134" i="7" a="1"/>
  <c r="B134" i="7" s="1"/>
  <c r="C133" i="7" a="1"/>
  <c r="C133" i="7" s="1"/>
  <c r="B133" i="7" a="1"/>
  <c r="B133" i="7" s="1"/>
  <c r="C132" i="7" a="1"/>
  <c r="C132" i="7" s="1"/>
  <c r="B132" i="7" a="1"/>
  <c r="B132" i="7" s="1"/>
  <c r="C131" i="7" a="1"/>
  <c r="C131" i="7" s="1"/>
  <c r="B131" i="7" a="1"/>
  <c r="B131" i="7" s="1"/>
  <c r="C130" i="7" a="1"/>
  <c r="C130" i="7" s="1"/>
  <c r="B130" i="7" a="1"/>
  <c r="B130" i="7" s="1"/>
  <c r="C129" i="7" a="1"/>
  <c r="C129" i="7" s="1"/>
  <c r="B129" i="7" a="1"/>
  <c r="B129" i="7" s="1"/>
  <c r="C128" i="7" a="1"/>
  <c r="C128" i="7" s="1"/>
  <c r="B128" i="7" a="1"/>
  <c r="B128" i="7" s="1"/>
  <c r="C127" i="7" a="1"/>
  <c r="C127" i="7" s="1"/>
  <c r="B127" i="7" a="1"/>
  <c r="B127" i="7" s="1"/>
  <c r="C126" i="7" a="1"/>
  <c r="C126" i="7" s="1"/>
  <c r="B126" i="7" a="1"/>
  <c r="B126" i="7" s="1"/>
  <c r="C125" i="7" a="1"/>
  <c r="C125" i="7" s="1"/>
  <c r="B125" i="7" a="1"/>
  <c r="B125" i="7" s="1"/>
  <c r="C124" i="7" a="1"/>
  <c r="C124" i="7" s="1"/>
  <c r="B124" i="7" a="1"/>
  <c r="B124" i="7" s="1"/>
  <c r="C123" i="7" a="1"/>
  <c r="C123" i="7" s="1"/>
  <c r="B123" i="7" a="1"/>
  <c r="B123" i="7" s="1"/>
  <c r="C122" i="7" a="1"/>
  <c r="C122" i="7" s="1"/>
  <c r="B122" i="7" a="1"/>
  <c r="B122" i="7" s="1"/>
  <c r="C121" i="7" a="1"/>
  <c r="C121" i="7" s="1"/>
  <c r="B121" i="7" a="1"/>
  <c r="B121" i="7" s="1"/>
  <c r="C120" i="7" a="1"/>
  <c r="C120" i="7" s="1"/>
  <c r="B120" i="7" a="1"/>
  <c r="B120" i="7" s="1"/>
  <c r="C119" i="7" a="1"/>
  <c r="C119" i="7" s="1"/>
  <c r="B119" i="7" a="1"/>
  <c r="B119" i="7" s="1"/>
  <c r="C118" i="7" a="1"/>
  <c r="C118" i="7" s="1"/>
  <c r="B118" i="7" a="1"/>
  <c r="B118" i="7" s="1"/>
  <c r="C117" i="7" a="1"/>
  <c r="C117" i="7" s="1"/>
  <c r="B117" i="7" a="1"/>
  <c r="B117" i="7" s="1"/>
  <c r="C116" i="7" a="1"/>
  <c r="C116" i="7" s="1"/>
  <c r="B116" i="7" a="1"/>
  <c r="B116" i="7" s="1"/>
  <c r="C115" i="7" a="1"/>
  <c r="C115" i="7" s="1"/>
  <c r="B115" i="7" a="1"/>
  <c r="B115" i="7" s="1"/>
  <c r="C114" i="7" a="1"/>
  <c r="C114" i="7" s="1"/>
  <c r="B114" i="7" a="1"/>
  <c r="B114" i="7" s="1"/>
  <c r="C113" i="7" a="1"/>
  <c r="C113" i="7" s="1"/>
  <c r="B113" i="7" a="1"/>
  <c r="B113" i="7" s="1"/>
  <c r="C112" i="7" a="1"/>
  <c r="C112" i="7" s="1"/>
  <c r="B112" i="7" a="1"/>
  <c r="B112" i="7" s="1"/>
  <c r="C111" i="7" a="1"/>
  <c r="C111" i="7" s="1"/>
  <c r="B111" i="7" a="1"/>
  <c r="B111" i="7" s="1"/>
  <c r="C110" i="7" a="1"/>
  <c r="C110" i="7" s="1"/>
  <c r="B110" i="7" a="1"/>
  <c r="B110" i="7" s="1"/>
  <c r="C109" i="7" a="1"/>
  <c r="C109" i="7" s="1"/>
  <c r="B109" i="7" a="1"/>
  <c r="B109" i="7" s="1"/>
  <c r="C108" i="7" a="1"/>
  <c r="C108" i="7" s="1"/>
  <c r="B108" i="7" a="1"/>
  <c r="B108" i="7" s="1"/>
  <c r="C107" i="7" a="1"/>
  <c r="C107" i="7" s="1"/>
  <c r="B107" i="7" a="1"/>
  <c r="B107" i="7" s="1"/>
  <c r="C106" i="7" a="1"/>
  <c r="C106" i="7" s="1"/>
  <c r="B106" i="7" a="1"/>
  <c r="B106" i="7" s="1"/>
  <c r="C105" i="7" a="1"/>
  <c r="C105" i="7" s="1"/>
  <c r="B105" i="7" a="1"/>
  <c r="B105" i="7" s="1"/>
  <c r="C104" i="7" a="1"/>
  <c r="C104" i="7" s="1"/>
  <c r="B104" i="7" a="1"/>
  <c r="B104" i="7" s="1"/>
  <c r="C103" i="7" a="1"/>
  <c r="C103" i="7" s="1"/>
  <c r="B103" i="7" a="1"/>
  <c r="B103" i="7" s="1"/>
  <c r="C102" i="7" a="1"/>
  <c r="C102" i="7" s="1"/>
  <c r="B102" i="7" a="1"/>
  <c r="B102" i="7" s="1"/>
  <c r="C101" i="7" a="1"/>
  <c r="C101" i="7" s="1"/>
  <c r="B101" i="7" a="1"/>
  <c r="B101" i="7" s="1"/>
  <c r="C100" i="7" a="1"/>
  <c r="C100" i="7" s="1"/>
  <c r="B100" i="7" a="1"/>
  <c r="B100" i="7" s="1"/>
  <c r="C99" i="7" a="1"/>
  <c r="C99" i="7" s="1"/>
  <c r="B99" i="7" a="1"/>
  <c r="B99" i="7" s="1"/>
  <c r="C98" i="7" a="1"/>
  <c r="C98" i="7" s="1"/>
  <c r="B98" i="7" a="1"/>
  <c r="B98" i="7" s="1"/>
  <c r="C97" i="7" a="1"/>
  <c r="C97" i="7" s="1"/>
  <c r="B97" i="7" a="1"/>
  <c r="B97" i="7" s="1"/>
  <c r="C96" i="7" a="1"/>
  <c r="C96" i="7" s="1"/>
  <c r="B96" i="7" a="1"/>
  <c r="B96" i="7" s="1"/>
  <c r="C95" i="7" a="1"/>
  <c r="C95" i="7" s="1"/>
  <c r="B95" i="7" a="1"/>
  <c r="B95" i="7" s="1"/>
  <c r="C94" i="7" a="1"/>
  <c r="C94" i="7" s="1"/>
  <c r="B94" i="7" a="1"/>
  <c r="B94" i="7" s="1"/>
  <c r="C93" i="7" a="1"/>
  <c r="C93" i="7" s="1"/>
  <c r="B93" i="7" a="1"/>
  <c r="B93" i="7" s="1"/>
  <c r="C92" i="7" a="1"/>
  <c r="C92" i="7" s="1"/>
  <c r="B92" i="7" a="1"/>
  <c r="B92" i="7" s="1"/>
  <c r="C91" i="7" a="1"/>
  <c r="C91" i="7" s="1"/>
  <c r="B91" i="7" a="1"/>
  <c r="B91" i="7" s="1"/>
  <c r="C90" i="7" a="1"/>
  <c r="C90" i="7" s="1"/>
  <c r="B90" i="7" a="1"/>
  <c r="B90" i="7" s="1"/>
  <c r="C89" i="7" a="1"/>
  <c r="C89" i="7" s="1"/>
  <c r="B89" i="7" a="1"/>
  <c r="B89" i="7" s="1"/>
  <c r="C88" i="7" a="1"/>
  <c r="C88" i="7" s="1"/>
  <c r="B88" i="7" a="1"/>
  <c r="B88" i="7" s="1"/>
  <c r="C87" i="7" a="1"/>
  <c r="C87" i="7" s="1"/>
  <c r="B87" i="7" a="1"/>
  <c r="B87" i="7" s="1"/>
  <c r="C86" i="7" a="1"/>
  <c r="C86" i="7" s="1"/>
  <c r="B86" i="7" a="1"/>
  <c r="B86" i="7" s="1"/>
  <c r="C85" i="7" a="1"/>
  <c r="C85" i="7" s="1"/>
  <c r="B85" i="7" a="1"/>
  <c r="B85" i="7" s="1"/>
  <c r="C84" i="7" a="1"/>
  <c r="C84" i="7" s="1"/>
  <c r="B84" i="7" a="1"/>
  <c r="B84" i="7" s="1"/>
  <c r="C83" i="7" a="1"/>
  <c r="C83" i="7" s="1"/>
  <c r="B83" i="7" a="1"/>
  <c r="B83" i="7" s="1"/>
  <c r="C82" i="7" a="1"/>
  <c r="C82" i="7" s="1"/>
  <c r="B82" i="7" a="1"/>
  <c r="B82" i="7" s="1"/>
  <c r="C81" i="7" a="1"/>
  <c r="C81" i="7" s="1"/>
  <c r="B81" i="7" a="1"/>
  <c r="B81" i="7" s="1"/>
  <c r="C80" i="7" a="1"/>
  <c r="C80" i="7" s="1"/>
  <c r="B80" i="7" a="1"/>
  <c r="B80" i="7" s="1"/>
  <c r="C79" i="7" a="1"/>
  <c r="C79" i="7" s="1"/>
  <c r="B79" i="7" a="1"/>
  <c r="B79" i="7" s="1"/>
  <c r="C78" i="7" a="1"/>
  <c r="C78" i="7" s="1"/>
  <c r="B78" i="7" a="1"/>
  <c r="B78" i="7" s="1"/>
  <c r="C77" i="7" a="1"/>
  <c r="C77" i="7" s="1"/>
  <c r="B77" i="7" a="1"/>
  <c r="B77" i="7" s="1"/>
  <c r="C76" i="7" a="1"/>
  <c r="C76" i="7" s="1"/>
  <c r="B76" i="7" a="1"/>
  <c r="B76" i="7" s="1"/>
  <c r="C75" i="7" a="1"/>
  <c r="C75" i="7" s="1"/>
  <c r="B75" i="7" a="1"/>
  <c r="B75" i="7" s="1"/>
  <c r="C74" i="7" a="1"/>
  <c r="C74" i="7" s="1"/>
  <c r="B74" i="7" a="1"/>
  <c r="B74" i="7" s="1"/>
  <c r="C73" i="7" a="1"/>
  <c r="C73" i="7" s="1"/>
  <c r="B73" i="7" a="1"/>
  <c r="B73" i="7" s="1"/>
  <c r="C72" i="7" a="1"/>
  <c r="C72" i="7" s="1"/>
  <c r="B72" i="7" a="1"/>
  <c r="B72" i="7" s="1"/>
  <c r="C71" i="7" a="1"/>
  <c r="C71" i="7" s="1"/>
  <c r="B71" i="7" a="1"/>
  <c r="B71" i="7" s="1"/>
  <c r="C70" i="7" a="1"/>
  <c r="C70" i="7" s="1"/>
  <c r="B70" i="7" a="1"/>
  <c r="B70" i="7" s="1"/>
  <c r="C69" i="7" a="1"/>
  <c r="C69" i="7" s="1"/>
  <c r="B69" i="7" a="1"/>
  <c r="B69" i="7" s="1"/>
  <c r="C68" i="7" a="1"/>
  <c r="C68" i="7" s="1"/>
  <c r="B68" i="7" a="1"/>
  <c r="B68" i="7" s="1"/>
  <c r="C67" i="7" a="1"/>
  <c r="C67" i="7" s="1"/>
  <c r="B67" i="7" a="1"/>
  <c r="B67" i="7" s="1"/>
  <c r="C66" i="7" a="1"/>
  <c r="C66" i="7" s="1"/>
  <c r="B66" i="7" a="1"/>
  <c r="B66" i="7" s="1"/>
  <c r="C65" i="7" a="1"/>
  <c r="C65" i="7" s="1"/>
  <c r="B65" i="7" a="1"/>
  <c r="B65" i="7" s="1"/>
  <c r="C64" i="7" a="1"/>
  <c r="C64" i="7" s="1"/>
  <c r="B64" i="7" a="1"/>
  <c r="B64" i="7" s="1"/>
  <c r="C63" i="7" a="1"/>
  <c r="C63" i="7" s="1"/>
  <c r="B63" i="7" a="1"/>
  <c r="B63" i="7" s="1"/>
  <c r="C62" i="7" a="1"/>
  <c r="C62" i="7" s="1"/>
  <c r="B62" i="7" a="1"/>
  <c r="B62" i="7" s="1"/>
  <c r="C61" i="7" a="1"/>
  <c r="C61" i="7" s="1"/>
  <c r="B61" i="7" a="1"/>
  <c r="B61" i="7" s="1"/>
  <c r="C60" i="7" a="1"/>
  <c r="C60" i="7" s="1"/>
  <c r="B60" i="7" a="1"/>
  <c r="B60" i="7" s="1"/>
  <c r="C59" i="7" a="1"/>
  <c r="C59" i="7" s="1"/>
  <c r="B59" i="7" a="1"/>
  <c r="B59" i="7" s="1"/>
  <c r="C58" i="7" a="1"/>
  <c r="C58" i="7" s="1"/>
  <c r="B58" i="7" a="1"/>
  <c r="B58" i="7" s="1"/>
  <c r="C57" i="7" a="1"/>
  <c r="C57" i="7" s="1"/>
  <c r="B57" i="7" a="1"/>
  <c r="B57" i="7" s="1"/>
  <c r="C56" i="7" a="1"/>
  <c r="C56" i="7" s="1"/>
  <c r="B56" i="7" a="1"/>
  <c r="B56" i="7" s="1"/>
  <c r="C55" i="7" a="1"/>
  <c r="C55" i="7" s="1"/>
  <c r="B55" i="7" a="1"/>
  <c r="B55" i="7" s="1"/>
  <c r="C54" i="7" a="1"/>
  <c r="C54" i="7" s="1"/>
  <c r="B54" i="7" a="1"/>
  <c r="B54" i="7" s="1"/>
  <c r="C53" i="7" a="1"/>
  <c r="C53" i="7" s="1"/>
  <c r="B53" i="7" a="1"/>
  <c r="B53" i="7" s="1"/>
  <c r="C52" i="7" a="1"/>
  <c r="C52" i="7" s="1"/>
  <c r="B52" i="7" a="1"/>
  <c r="B52" i="7" s="1"/>
  <c r="C51" i="7" a="1"/>
  <c r="C51" i="7" s="1"/>
  <c r="B51" i="7" a="1"/>
  <c r="B51" i="7" s="1"/>
  <c r="C50" i="7" a="1"/>
  <c r="C50" i="7" s="1"/>
  <c r="B50" i="7" a="1"/>
  <c r="B50" i="7" s="1"/>
  <c r="C49" i="7" a="1"/>
  <c r="C49" i="7" s="1"/>
  <c r="B49" i="7" a="1"/>
  <c r="B49" i="7" s="1"/>
  <c r="C48" i="7" a="1"/>
  <c r="C48" i="7" s="1"/>
  <c r="B48" i="7" a="1"/>
  <c r="B48" i="7" s="1"/>
  <c r="C47" i="7" a="1"/>
  <c r="C47" i="7" s="1"/>
  <c r="B47" i="7" a="1"/>
  <c r="B47" i="7" s="1"/>
  <c r="C46" i="7" a="1"/>
  <c r="C46" i="7" s="1"/>
  <c r="B46" i="7" a="1"/>
  <c r="B46" i="7" s="1"/>
  <c r="C45" i="7" a="1"/>
  <c r="C45" i="7" s="1"/>
  <c r="B45" i="7" a="1"/>
  <c r="B45" i="7" s="1"/>
  <c r="C44" i="7" a="1"/>
  <c r="C44" i="7" s="1"/>
  <c r="B44" i="7" a="1"/>
  <c r="B44" i="7" s="1"/>
  <c r="C43" i="7" a="1"/>
  <c r="C43" i="7" s="1"/>
  <c r="B43" i="7" a="1"/>
  <c r="B43" i="7" s="1"/>
  <c r="C42" i="7" a="1"/>
  <c r="C42" i="7" s="1"/>
  <c r="B42" i="7" a="1"/>
  <c r="B42" i="7" s="1"/>
  <c r="C41" i="7" a="1"/>
  <c r="C41" i="7" s="1"/>
  <c r="B41" i="7" a="1"/>
  <c r="B41" i="7" s="1"/>
  <c r="C40" i="7" a="1"/>
  <c r="C40" i="7" s="1"/>
  <c r="B40" i="7" a="1"/>
  <c r="B40" i="7" s="1"/>
  <c r="C39" i="7" a="1"/>
  <c r="C39" i="7" s="1"/>
  <c r="B39" i="7" a="1"/>
  <c r="B39" i="7" s="1"/>
  <c r="C38" i="7" a="1"/>
  <c r="C38" i="7" s="1"/>
  <c r="B38" i="7" a="1"/>
  <c r="B38" i="7" s="1"/>
  <c r="C37" i="7" a="1"/>
  <c r="C37" i="7" s="1"/>
  <c r="B37" i="7" a="1"/>
  <c r="B37" i="7" s="1"/>
  <c r="C36" i="7" a="1"/>
  <c r="C36" i="7" s="1"/>
  <c r="B36" i="7" a="1"/>
  <c r="B36" i="7" s="1"/>
  <c r="C35" i="7" a="1"/>
  <c r="C35" i="7" s="1"/>
  <c r="B35" i="7" a="1"/>
  <c r="B35" i="7" s="1"/>
  <c r="C34" i="7" a="1"/>
  <c r="C34" i="7" s="1"/>
  <c r="B34" i="7" a="1"/>
  <c r="B34" i="7" s="1"/>
  <c r="C33" i="7" a="1"/>
  <c r="C33" i="7" s="1"/>
  <c r="B33" i="7" a="1"/>
  <c r="B33" i="7" s="1"/>
  <c r="C32" i="7" a="1"/>
  <c r="C32" i="7" s="1"/>
  <c r="B32" i="7" a="1"/>
  <c r="B32" i="7" s="1"/>
  <c r="C31" i="7" a="1"/>
  <c r="C31" i="7" s="1"/>
  <c r="B31" i="7" a="1"/>
  <c r="B31" i="7" s="1"/>
  <c r="C30" i="7" a="1"/>
  <c r="C30" i="7" s="1"/>
  <c r="B30" i="7" a="1"/>
  <c r="B30" i="7" s="1"/>
  <c r="C29" i="7" a="1"/>
  <c r="C29" i="7" s="1"/>
  <c r="B29" i="7" a="1"/>
  <c r="B29" i="7" s="1"/>
  <c r="C28" i="7" a="1"/>
  <c r="C28" i="7" s="1"/>
  <c r="B28" i="7" a="1"/>
  <c r="B28" i="7"/>
  <c r="C27" i="7" a="1"/>
  <c r="C27" i="7"/>
  <c r="B27" i="7" a="1"/>
  <c r="B27" i="7" s="1"/>
  <c r="C26" i="7" a="1"/>
  <c r="C26" i="7"/>
  <c r="B26" i="7" a="1"/>
  <c r="B26" i="7" s="1"/>
  <c r="C25" i="7" a="1"/>
  <c r="C25" i="7" s="1"/>
  <c r="B25" i="7" a="1"/>
  <c r="B25" i="7"/>
  <c r="C24" i="7" a="1"/>
  <c r="C24" i="7"/>
  <c r="B24" i="7" a="1"/>
  <c r="B24" i="7" s="1"/>
  <c r="C23" i="7" a="1"/>
  <c r="C23" i="7"/>
  <c r="B23" i="7" a="1"/>
  <c r="B23" i="7" s="1"/>
  <c r="C22" i="7" a="1"/>
  <c r="C22" i="7" s="1"/>
  <c r="B22" i="7" a="1"/>
  <c r="B22" i="7"/>
  <c r="C21" i="7" a="1"/>
  <c r="C21" i="7"/>
  <c r="B21" i="7" a="1"/>
  <c r="B21" i="7" s="1"/>
  <c r="C20" i="7" a="1"/>
  <c r="C20" i="7"/>
  <c r="B20" i="7" a="1"/>
  <c r="B20" i="7" s="1"/>
  <c r="C19" i="7" a="1"/>
  <c r="C19" i="7" s="1"/>
  <c r="B19" i="7" a="1"/>
  <c r="B19" i="7"/>
  <c r="C18" i="7" a="1"/>
  <c r="C18" i="7"/>
  <c r="B18" i="7" a="1"/>
  <c r="B18" i="7" s="1"/>
  <c r="C17" i="7" a="1"/>
  <c r="C17" i="7"/>
  <c r="B17" i="7" a="1"/>
  <c r="B17" i="7" s="1"/>
  <c r="C16" i="7" a="1"/>
  <c r="C16" i="7" s="1"/>
  <c r="B16" i="7" a="1"/>
  <c r="B16" i="7"/>
  <c r="C15" i="7" a="1"/>
  <c r="C15" i="7"/>
  <c r="B15" i="7" a="1"/>
  <c r="B15" i="7" s="1"/>
  <c r="C14" i="7" a="1"/>
  <c r="C14" i="7"/>
  <c r="B14" i="7" a="1"/>
  <c r="B14" i="7" s="1"/>
  <c r="C13" i="7" a="1"/>
  <c r="C13" i="7" s="1"/>
  <c r="B13" i="7" a="1"/>
  <c r="B13" i="7"/>
  <c r="C12" i="7" a="1"/>
  <c r="C12" i="7"/>
  <c r="B12" i="7" a="1"/>
  <c r="B12" i="7" s="1"/>
  <c r="C11" i="7" a="1"/>
  <c r="C11" i="7"/>
  <c r="B11" i="7" a="1"/>
  <c r="B11" i="7" s="1"/>
  <c r="C10" i="7" a="1"/>
  <c r="C10" i="7" s="1"/>
  <c r="B10" i="7" a="1"/>
  <c r="B10" i="7"/>
  <c r="C9" i="7" a="1"/>
  <c r="C9" i="7"/>
  <c r="B9" i="7" a="1"/>
  <c r="B9" i="7" s="1"/>
  <c r="C8" i="7" a="1"/>
  <c r="C8" i="7"/>
  <c r="B8" i="7" a="1"/>
  <c r="B8" i="7" s="1"/>
  <c r="C7" i="7" a="1"/>
  <c r="C7" i="7" s="1"/>
  <c r="B7" i="7" a="1"/>
  <c r="B7" i="7"/>
  <c r="C6" i="7" a="1"/>
  <c r="C6" i="7"/>
  <c r="B6" i="7" a="1"/>
  <c r="B6" i="7" s="1"/>
  <c r="C5" i="7" a="1"/>
  <c r="C5" i="7"/>
  <c r="B5" i="7" a="1"/>
  <c r="B5" i="7" s="1"/>
  <c r="C4" i="7" a="1"/>
  <c r="C4" i="7" s="1"/>
  <c r="B4" i="7" a="1"/>
  <c r="B4" i="7"/>
  <c r="C3" i="7" a="1"/>
  <c r="C3" i="7"/>
  <c r="B3" i="7" a="1"/>
  <c r="B3" i="7" s="1"/>
  <c r="C2" i="7" a="1"/>
  <c r="C2" i="7"/>
  <c r="B2" i="7" a="1"/>
  <c r="B2" i="7" s="1"/>
  <c r="C1" i="7" a="1"/>
  <c r="C1" i="7" s="1"/>
  <c r="B1" i="7" a="1"/>
  <c r="B1" i="7"/>
  <c r="D28" i="6"/>
  <c r="E27" i="6"/>
  <c r="D27" i="6"/>
  <c r="C27" i="6"/>
  <c r="F26" i="6"/>
  <c r="F25" i="6"/>
  <c r="F24" i="6"/>
  <c r="F23" i="6"/>
  <c r="F22" i="6"/>
  <c r="F21" i="6"/>
  <c r="F20" i="6"/>
  <c r="F19" i="6"/>
  <c r="F18" i="6"/>
  <c r="F17" i="6"/>
  <c r="F16" i="6"/>
  <c r="F15" i="6"/>
  <c r="F14" i="6"/>
  <c r="F13" i="6"/>
  <c r="F12" i="6"/>
  <c r="F11" i="6"/>
  <c r="F10" i="6"/>
  <c r="F9" i="6"/>
  <c r="F8" i="6"/>
  <c r="F7" i="6"/>
  <c r="F6" i="6"/>
  <c r="F27" i="6" s="1"/>
  <c r="D29" i="6" s="1"/>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C26" i="4" s="1"/>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15" i="4" s="1"/>
  <c r="C23" i="3"/>
  <c r="C22" i="3"/>
  <c r="C21" i="3"/>
  <c r="C20" i="3"/>
  <c r="C24" i="3" s="1"/>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C14" i="3" s="1"/>
  <c r="C15" i="3" s="1"/>
  <c r="L417" i="2"/>
  <c r="L415" i="2"/>
  <c r="O411" i="2"/>
  <c r="N411" i="2"/>
  <c r="M411" i="2"/>
  <c r="L411" i="2"/>
  <c r="O410" i="2"/>
  <c r="N410" i="2"/>
  <c r="M410" i="2"/>
  <c r="L410" i="2"/>
  <c r="O409" i="2"/>
  <c r="N409" i="2"/>
  <c r="M409" i="2"/>
  <c r="L409" i="2"/>
  <c r="O408" i="2"/>
  <c r="N408" i="2"/>
  <c r="M408" i="2"/>
  <c r="L408" i="2"/>
  <c r="O407" i="2"/>
  <c r="N407" i="2"/>
  <c r="M407" i="2"/>
  <c r="L407" i="2"/>
  <c r="O406" i="2"/>
  <c r="O412" i="2" s="1"/>
  <c r="N406" i="2"/>
  <c r="M406" i="2"/>
  <c r="L406" i="2"/>
  <c r="O405" i="2"/>
  <c r="N405" i="2"/>
  <c r="N412" i="2" s="1"/>
  <c r="M405" i="2"/>
  <c r="L405" i="2"/>
  <c r="P401" i="2"/>
  <c r="P400" i="2"/>
  <c r="P399" i="2"/>
  <c r="P398" i="2"/>
  <c r="P397" i="2"/>
  <c r="P396" i="2"/>
  <c r="P395" i="2"/>
  <c r="P394" i="2"/>
  <c r="P393" i="2"/>
  <c r="P392" i="2"/>
  <c r="P391" i="2"/>
  <c r="P390" i="2"/>
  <c r="P389"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B32" i="1"/>
  <c r="C28" i="1"/>
  <c r="C27" i="1"/>
  <c r="C26" i="1"/>
  <c r="C25" i="1"/>
  <c r="C22" i="1"/>
  <c r="C8" i="1"/>
  <c r="C7" i="1"/>
  <c r="M412" i="2" l="1"/>
  <c r="AT14" i="3"/>
  <c r="AS14" i="3"/>
  <c r="P410" i="2"/>
  <c r="AA11" i="4"/>
  <c r="AL14" i="4"/>
  <c r="AA9" i="4"/>
  <c r="AA10" i="4"/>
  <c r="AM12" i="4"/>
  <c r="AO14" i="4"/>
  <c r="AO12" i="4"/>
  <c r="AO4" i="4"/>
  <c r="AJ5" i="4"/>
  <c r="AP11" i="4"/>
  <c r="AJ12" i="4"/>
  <c r="AI8" i="4"/>
  <c r="AA3" i="4"/>
  <c r="AG15" i="4"/>
  <c r="AL4" i="4"/>
  <c r="AI4" i="4"/>
  <c r="AN5" i="4"/>
  <c r="AN6" i="4"/>
  <c r="K7" i="4"/>
  <c r="AM11" i="4"/>
  <c r="AM3" i="4"/>
  <c r="U15" i="4"/>
  <c r="AH15" i="4"/>
  <c r="AM4" i="4"/>
  <c r="AO5" i="4"/>
  <c r="AJ6" i="4"/>
  <c r="AO6" i="4"/>
  <c r="AJ13" i="4"/>
  <c r="AN3" i="4"/>
  <c r="AP5" i="4"/>
  <c r="AI9" i="4"/>
  <c r="AJ11" i="4"/>
  <c r="AK13" i="4"/>
  <c r="AP13" i="4"/>
  <c r="AI7" i="4"/>
  <c r="AK11" i="4"/>
  <c r="S10" i="4"/>
  <c r="AM13" i="4"/>
  <c r="AA13" i="4"/>
  <c r="AK5" i="4"/>
  <c r="S3" i="4"/>
  <c r="Z15" i="4"/>
  <c r="P409" i="2"/>
  <c r="E15" i="4"/>
  <c r="R15" i="4"/>
  <c r="AI3" i="4"/>
  <c r="AL5" i="4"/>
  <c r="AI5" i="4"/>
  <c r="AI6" i="4"/>
  <c r="AN7" i="4"/>
  <c r="AN9" i="4"/>
  <c r="AA14" i="4"/>
  <c r="AL3" i="4"/>
  <c r="AF15" i="4"/>
  <c r="S4" i="4"/>
  <c r="AA5" i="4"/>
  <c r="AO9" i="4"/>
  <c r="AJ10" i="4"/>
  <c r="S11" i="4"/>
  <c r="AK12" i="4"/>
  <c r="AM14" i="4"/>
  <c r="AP9" i="4"/>
  <c r="AK10" i="4"/>
  <c r="AA12" i="4"/>
  <c r="AN14" i="4"/>
  <c r="AI13" i="4"/>
  <c r="V15" i="4"/>
  <c r="AK6" i="4"/>
  <c r="S7" i="4"/>
  <c r="AP8" i="4"/>
  <c r="S9" i="4"/>
  <c r="AI11" i="4"/>
  <c r="AO3" i="4"/>
  <c r="J15" i="4"/>
  <c r="W15" i="4"/>
  <c r="AJ4" i="4"/>
  <c r="S5" i="4"/>
  <c r="AL6" i="4"/>
  <c r="AA6" i="4"/>
  <c r="AL8" i="4"/>
  <c r="AA8" i="4"/>
  <c r="AL9" i="4"/>
  <c r="AN10" i="4"/>
  <c r="AN11" i="4"/>
  <c r="S13" i="4"/>
  <c r="S14" i="4"/>
  <c r="X15" i="4"/>
  <c r="AM8" i="4"/>
  <c r="AO10" i="4"/>
  <c r="AP12" i="4"/>
  <c r="L15" i="4"/>
  <c r="AM6" i="4"/>
  <c r="M15" i="4"/>
  <c r="Y15" i="4"/>
  <c r="AA4" i="4"/>
  <c r="AN8" i="4"/>
  <c r="AP10" i="4"/>
  <c r="S12" i="4"/>
  <c r="AL13" i="4"/>
  <c r="AI14" i="4"/>
  <c r="AO8" i="4"/>
  <c r="AJ9" i="4"/>
  <c r="AL11" i="4"/>
  <c r="O15" i="4"/>
  <c r="AB15" i="4"/>
  <c r="AN4" i="4"/>
  <c r="AP6" i="4"/>
  <c r="AK7" i="4"/>
  <c r="AO7" i="4"/>
  <c r="K9" i="4"/>
  <c r="AL12" i="4"/>
  <c r="AI12" i="4"/>
  <c r="AN13" i="4"/>
  <c r="AM5" i="4"/>
  <c r="AC15" i="4"/>
  <c r="S6" i="4"/>
  <c r="AL7" i="4"/>
  <c r="AP7" i="4"/>
  <c r="AJ8" i="4"/>
  <c r="AL10" i="4"/>
  <c r="K14" i="4"/>
  <c r="N15" i="4"/>
  <c r="P15" i="4"/>
  <c r="D15" i="4"/>
  <c r="Q15" i="4"/>
  <c r="AD15" i="4"/>
  <c r="AP4" i="4"/>
  <c r="AM7" i="4"/>
  <c r="AA7" i="4"/>
  <c r="AK8" i="4"/>
  <c r="AM9" i="4"/>
  <c r="AM10" i="4"/>
  <c r="AI10" i="4"/>
  <c r="AO11" i="4"/>
  <c r="AN12" i="4"/>
  <c r="AK14" i="4"/>
  <c r="AP14" i="4"/>
  <c r="P407" i="2"/>
  <c r="P405" i="2"/>
  <c r="J6" i="3" a="1"/>
  <c r="W4" i="3" a="1"/>
  <c r="P406" i="2"/>
  <c r="AD2" i="3" a="1"/>
  <c r="P411" i="2"/>
  <c r="X2" i="3" a="1"/>
  <c r="X4" i="3" a="1"/>
  <c r="P408" i="2"/>
  <c r="S2" i="2"/>
  <c r="AE2" i="3" a="1"/>
  <c r="L3" i="3" a="1"/>
  <c r="R3" i="3" a="1"/>
  <c r="R4" i="3" a="1"/>
  <c r="R4" i="3" s="1"/>
  <c r="AB5" i="3" a="1"/>
  <c r="AB5" i="3" s="1"/>
  <c r="W6" i="3" a="1"/>
  <c r="W6" i="3" s="1"/>
  <c r="D7" i="3" a="1"/>
  <c r="D7" i="3" s="1"/>
  <c r="Q7" i="3" a="1"/>
  <c r="Q2" i="3" a="1"/>
  <c r="Q2" i="3" s="1"/>
  <c r="L412" i="2"/>
  <c r="N4" i="3" s="1" a="1"/>
  <c r="N4" i="3" s="1"/>
  <c r="Y2" i="3" a="1"/>
  <c r="Y2" i="3" s="1"/>
  <c r="F3" i="3" a="1"/>
  <c r="Y3" i="3" a="1"/>
  <c r="Y3" i="3" s="1"/>
  <c r="F4" i="3" a="1"/>
  <c r="F4" i="3" s="1"/>
  <c r="Y4" i="3" a="1"/>
  <c r="Y4" i="3" s="1"/>
  <c r="F5" i="3" a="1"/>
  <c r="F5" i="3" s="1"/>
  <c r="U5" i="3" a="1"/>
  <c r="U5" i="3" s="1"/>
  <c r="O6" i="3" a="1"/>
  <c r="O6" i="3" s="1"/>
  <c r="AH6" i="3" a="1"/>
  <c r="AH6" i="3" s="1"/>
  <c r="R7" i="3" a="1"/>
  <c r="R7" i="3" s="1"/>
  <c r="R2" i="3" a="1"/>
  <c r="R2" i="3" s="1"/>
  <c r="C21" i="1"/>
  <c r="AC13" i="3" a="1"/>
  <c r="AC13" i="3" s="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W13" i="3" a="1"/>
  <c r="W13" i="3" s="1"/>
  <c r="J13" i="3" a="1"/>
  <c r="J13" i="3" s="1"/>
  <c r="D13" i="3" a="1"/>
  <c r="D13" i="3" s="1"/>
  <c r="W12" i="3" a="1"/>
  <c r="W12" i="3" s="1"/>
  <c r="J12" i="3" a="1"/>
  <c r="J12" i="3" s="1"/>
  <c r="D12" i="3" a="1"/>
  <c r="D12" i="3" s="1"/>
  <c r="W11" i="3" a="1"/>
  <c r="W11" i="3" s="1"/>
  <c r="J11" i="3" a="1"/>
  <c r="J11" i="3" s="1"/>
  <c r="AP11" i="3" s="1"/>
  <c r="D11" i="3" a="1"/>
  <c r="D11" i="3" s="1"/>
  <c r="W10" i="3" a="1"/>
  <c r="W10" i="3" s="1"/>
  <c r="J10" i="3" a="1"/>
  <c r="J10" i="3" s="1"/>
  <c r="D10" i="3" a="1"/>
  <c r="D10" i="3" s="1"/>
  <c r="W9" i="3" a="1"/>
  <c r="W9" i="3" s="1"/>
  <c r="J9" i="3" a="1"/>
  <c r="J9" i="3" s="1"/>
  <c r="AP9" i="3" s="1"/>
  <c r="D9" i="3" a="1"/>
  <c r="D9" i="3" s="1"/>
  <c r="W8" i="3" a="1"/>
  <c r="W8" i="3" s="1"/>
  <c r="J8" i="3" a="1"/>
  <c r="J8" i="3" s="1"/>
  <c r="M2" i="3" a="1"/>
  <c r="M2" i="3" s="1"/>
  <c r="AF2" i="3" a="1"/>
  <c r="AF2" i="3" s="1"/>
  <c r="M3" i="3" a="1"/>
  <c r="M3" i="3" s="1"/>
  <c r="AF3" i="3" a="1"/>
  <c r="AF3" i="3" s="1"/>
  <c r="M4" i="3" a="1"/>
  <c r="M4" i="3" s="1"/>
  <c r="AF4" i="3" a="1"/>
  <c r="AF4" i="3" s="1"/>
  <c r="N5" i="3" a="1"/>
  <c r="N5" i="3" s="1"/>
  <c r="AC5" i="3" a="1"/>
  <c r="AC5" i="3" s="1"/>
  <c r="G6" i="3" a="1"/>
  <c r="G6" i="3" s="1"/>
  <c r="T7" i="3" a="1"/>
  <c r="T7" i="3" s="1"/>
  <c r="O8" i="3" a="1"/>
  <c r="O8" i="3" s="1"/>
  <c r="C16" i="4"/>
  <c r="AQ5" i="4"/>
  <c r="G2" i="3" a="1"/>
  <c r="G2" i="3" s="1"/>
  <c r="G3" i="3" a="1"/>
  <c r="G3" i="3" s="1"/>
  <c r="T3" i="3" a="1"/>
  <c r="T3" i="3" s="1"/>
  <c r="Z3" i="3" a="1"/>
  <c r="Z3" i="3" s="1"/>
  <c r="G4" i="3" a="1"/>
  <c r="G4" i="3" s="1"/>
  <c r="T4" i="3" a="1"/>
  <c r="T4" i="3" s="1"/>
  <c r="Z4" i="3" a="1"/>
  <c r="Z4" i="3" s="1"/>
  <c r="G5" i="3" a="1"/>
  <c r="G5" i="3" s="1"/>
  <c r="V5" i="3" a="1"/>
  <c r="V5" i="3" s="1"/>
  <c r="P6" i="3" a="1"/>
  <c r="P6" i="3" s="1"/>
  <c r="Z6" i="3" a="1"/>
  <c r="Z6" i="3" s="1"/>
  <c r="G7" i="3" a="1"/>
  <c r="G7" i="3" s="1"/>
  <c r="AP3" i="4"/>
  <c r="AK4" i="4"/>
  <c r="F15" i="4"/>
  <c r="AK9" i="4"/>
  <c r="AO13" i="4"/>
  <c r="AO15" i="4" s="1"/>
  <c r="AJ14" i="4"/>
  <c r="AQ14" i="4" s="1"/>
  <c r="G15" i="4"/>
  <c r="AE15" i="4"/>
  <c r="AB16" i="4" s="1"/>
  <c r="AJ7" i="4"/>
  <c r="S8" i="4"/>
  <c r="S15" i="4" s="1"/>
  <c r="K12" i="4"/>
  <c r="H15" i="4"/>
  <c r="T15" i="4"/>
  <c r="K5" i="4"/>
  <c r="I15" i="4"/>
  <c r="K10" i="4"/>
  <c r="K3" i="4"/>
  <c r="AJ3" i="4"/>
  <c r="K8" i="4"/>
  <c r="AK3" i="4"/>
  <c r="K13" i="4"/>
  <c r="K6" i="4"/>
  <c r="K11" i="4"/>
  <c r="K4" i="4"/>
  <c r="AP10" i="3" l="1"/>
  <c r="AQ9" i="4"/>
  <c r="AQ7" i="4"/>
  <c r="AD2" i="3"/>
  <c r="W4" i="3"/>
  <c r="J6" i="3"/>
  <c r="R3" i="3"/>
  <c r="L3" i="3"/>
  <c r="AE2" i="3"/>
  <c r="F3" i="3"/>
  <c r="X4" i="3"/>
  <c r="X2" i="3"/>
  <c r="Q7" i="3"/>
  <c r="C16" i="1"/>
  <c r="AQ8" i="4"/>
  <c r="AP13" i="3"/>
  <c r="AQ4" i="4"/>
  <c r="T16" i="4"/>
  <c r="AP15" i="4"/>
  <c r="AK10" i="3"/>
  <c r="AK12" i="3"/>
  <c r="AK7" i="3"/>
  <c r="AK13" i="3"/>
  <c r="AQ11" i="4"/>
  <c r="L16" i="4"/>
  <c r="AA15" i="4"/>
  <c r="AK8" i="3"/>
  <c r="AP12" i="3"/>
  <c r="AP8" i="3"/>
  <c r="AM15" i="4"/>
  <c r="AL15" i="4"/>
  <c r="AQ12" i="4"/>
  <c r="AQ10" i="4"/>
  <c r="AN15" i="4"/>
  <c r="AQ6" i="4"/>
  <c r="D16" i="4"/>
  <c r="S11" i="3"/>
  <c r="AI15" i="4"/>
  <c r="AK11" i="3"/>
  <c r="AK15" i="4"/>
  <c r="AK9" i="3"/>
  <c r="AL8" i="3"/>
  <c r="AN7" i="3"/>
  <c r="AN13" i="3"/>
  <c r="AO9" i="3"/>
  <c r="AE4" i="3" a="1"/>
  <c r="AE4" i="3" s="1"/>
  <c r="AE7" i="3" a="1"/>
  <c r="AE7" i="3" s="1"/>
  <c r="Q3" i="3" a="1"/>
  <c r="Q3" i="3" s="1"/>
  <c r="R5" i="3" a="1"/>
  <c r="R5" i="3" s="1"/>
  <c r="AH2" i="3" a="1"/>
  <c r="AH2" i="3" s="1"/>
  <c r="U2" i="3" a="1"/>
  <c r="U2" i="3" s="1"/>
  <c r="O5" i="3" a="1"/>
  <c r="O5" i="3" s="1"/>
  <c r="AM9" i="3"/>
  <c r="AM13" i="3"/>
  <c r="Y14" i="3"/>
  <c r="D6" i="3" a="1"/>
  <c r="D6" i="3" s="1"/>
  <c r="J2" i="3" a="1"/>
  <c r="J2" i="3" s="1"/>
  <c r="AD4" i="3" a="1"/>
  <c r="AD4" i="3" s="1"/>
  <c r="Z5" i="3" a="1"/>
  <c r="Z5" i="3" s="1"/>
  <c r="AB7" i="3" a="1"/>
  <c r="AB7" i="3" s="1"/>
  <c r="AJ7" i="3" s="1"/>
  <c r="J7" i="3" a="1"/>
  <c r="J7" i="3" s="1"/>
  <c r="K7" i="3" s="1"/>
  <c r="H2" i="3" a="1"/>
  <c r="H2" i="3" s="1"/>
  <c r="AG4" i="3" a="1"/>
  <c r="AG4" i="3" s="1"/>
  <c r="K15" i="4"/>
  <c r="AJ9" i="3"/>
  <c r="K9" i="3"/>
  <c r="AJ13" i="3"/>
  <c r="K13" i="3"/>
  <c r="S9" i="3"/>
  <c r="S13" i="3"/>
  <c r="AL9" i="3"/>
  <c r="AA9" i="3"/>
  <c r="AA13" i="3"/>
  <c r="AN8" i="3"/>
  <c r="AI12" i="3"/>
  <c r="AO10" i="3"/>
  <c r="F2" i="3" a="1"/>
  <c r="F2" i="3" s="1"/>
  <c r="L4" i="3" a="1"/>
  <c r="L4" i="3" s="1"/>
  <c r="T5" i="3" a="1"/>
  <c r="T5" i="3" s="1"/>
  <c r="Q4" i="3" a="1"/>
  <c r="Q4" i="3" s="1"/>
  <c r="J5" i="3" a="1"/>
  <c r="J5" i="3" s="1"/>
  <c r="L7" i="3" a="1"/>
  <c r="L7" i="3" s="1"/>
  <c r="R6" i="3" a="1"/>
  <c r="R6" i="3" s="1"/>
  <c r="P412" i="2"/>
  <c r="C19" i="1" s="1"/>
  <c r="AF14" i="3"/>
  <c r="AJ15" i="4"/>
  <c r="AQ3" i="4"/>
  <c r="P2" i="3" a="1"/>
  <c r="P2" i="3" s="1"/>
  <c r="D2" i="3" a="1"/>
  <c r="D2" i="3" s="1"/>
  <c r="I2" i="3" a="1"/>
  <c r="I2" i="3" s="1"/>
  <c r="O2" i="3" a="1"/>
  <c r="O2" i="3" s="1"/>
  <c r="V2" i="3" a="1"/>
  <c r="V2" i="3" s="1"/>
  <c r="AB2" i="3" a="1"/>
  <c r="AB2" i="3" s="1"/>
  <c r="AE3" i="3" a="1"/>
  <c r="AE3" i="3" s="1"/>
  <c r="E5" i="3" a="1"/>
  <c r="E5" i="3" s="1"/>
  <c r="AK5" i="3" s="1"/>
  <c r="AD3" i="3" a="1"/>
  <c r="AD3" i="3" s="1"/>
  <c r="D5" i="3" a="1"/>
  <c r="D5" i="3" s="1"/>
  <c r="U6" i="3" a="1"/>
  <c r="U6" i="3" s="1"/>
  <c r="Z7" i="3" a="1"/>
  <c r="Z7" i="3" s="1"/>
  <c r="I6" i="3" a="1"/>
  <c r="I6" i="3" s="1"/>
  <c r="C10" i="1"/>
  <c r="AG3" i="3" a="1"/>
  <c r="AG3" i="3" s="1"/>
  <c r="AL10" i="3"/>
  <c r="AM10" i="3"/>
  <c r="AN9" i="3"/>
  <c r="AO11" i="3"/>
  <c r="AC6" i="3" a="1"/>
  <c r="AC6" i="3" s="1"/>
  <c r="AE5" i="3" a="1"/>
  <c r="AE5" i="3" s="1"/>
  <c r="AB6" i="3" a="1"/>
  <c r="AB6" i="3" s="1"/>
  <c r="N2" i="3" a="1"/>
  <c r="N2" i="3" s="1"/>
  <c r="N3" i="3" a="1"/>
  <c r="N3" i="3" s="1"/>
  <c r="AJ10" i="3"/>
  <c r="K10" i="3"/>
  <c r="C34" i="3"/>
  <c r="S10" i="3"/>
  <c r="AA10" i="3"/>
  <c r="AI9" i="3"/>
  <c r="AI13" i="3"/>
  <c r="E4" i="3" a="1"/>
  <c r="E4" i="3" s="1"/>
  <c r="AD7" i="3" a="1"/>
  <c r="AD7" i="3" s="1"/>
  <c r="AL7" i="3" s="1"/>
  <c r="J4" i="3" a="1"/>
  <c r="J4" i="3" s="1"/>
  <c r="AG5" i="3" a="1"/>
  <c r="AG5" i="3" s="1"/>
  <c r="T6" i="3" a="1"/>
  <c r="T6" i="3" s="1"/>
  <c r="P5" i="3" a="1"/>
  <c r="P5" i="3" s="1"/>
  <c r="Q6" i="3" a="1"/>
  <c r="Q6" i="3" s="1"/>
  <c r="T2" i="3" a="1"/>
  <c r="T2" i="3" s="1"/>
  <c r="C36" i="4"/>
  <c r="AL11" i="3"/>
  <c r="AN10" i="3"/>
  <c r="AO12" i="3"/>
  <c r="X3" i="3" a="1"/>
  <c r="X3" i="3" s="1"/>
  <c r="O7" i="3" a="1"/>
  <c r="O7" i="3" s="1"/>
  <c r="D4" i="3" a="1"/>
  <c r="D4" i="3" s="1"/>
  <c r="Q5" i="3" a="1"/>
  <c r="Q5" i="3" s="1"/>
  <c r="X5" i="3" a="1"/>
  <c r="X5" i="3" s="1"/>
  <c r="AH4" i="3" a="1"/>
  <c r="AH4" i="3" s="1"/>
  <c r="W5" i="3" a="1"/>
  <c r="W5" i="3" s="1"/>
  <c r="AG2" i="3" a="1"/>
  <c r="AG2" i="3" s="1"/>
  <c r="G14" i="3"/>
  <c r="AM11" i="3"/>
  <c r="L2" i="3" a="1"/>
  <c r="L2" i="3" s="1"/>
  <c r="E3" i="3" a="1"/>
  <c r="E3" i="3" s="1"/>
  <c r="W2" i="3" a="1"/>
  <c r="W2" i="3" s="1"/>
  <c r="AM2" i="3" s="1"/>
  <c r="W3" i="3" a="1"/>
  <c r="W3" i="3" s="1"/>
  <c r="AC4" i="3" a="1"/>
  <c r="AC4" i="3" s="1"/>
  <c r="I5" i="3" a="1"/>
  <c r="I5" i="3" s="1"/>
  <c r="AB4" i="3" a="1"/>
  <c r="AB4" i="3" s="1"/>
  <c r="H5" i="3" a="1"/>
  <c r="H5" i="3" s="1"/>
  <c r="AJ11" i="3"/>
  <c r="K11" i="3"/>
  <c r="AL12" i="3"/>
  <c r="AA11" i="3"/>
  <c r="AN11" i="3"/>
  <c r="AI10" i="3"/>
  <c r="AO7" i="3"/>
  <c r="AO13" i="3"/>
  <c r="AE6" i="3" a="1"/>
  <c r="AE6" i="3" s="1"/>
  <c r="AM6" i="3" s="1"/>
  <c r="AQ13" i="4"/>
  <c r="J3" i="3" a="1"/>
  <c r="J3" i="3" s="1"/>
  <c r="P4" i="3" a="1"/>
  <c r="P4" i="3" s="1"/>
  <c r="V4" i="3" a="1"/>
  <c r="V4" i="3" s="1"/>
  <c r="O4" i="3" a="1"/>
  <c r="O4" i="3" s="1"/>
  <c r="AM4" i="3" s="1"/>
  <c r="U4" i="3" a="1"/>
  <c r="U4" i="3" s="1"/>
  <c r="AB8" i="3" a="1"/>
  <c r="AB8" i="3" s="1"/>
  <c r="AI8" i="3" s="1"/>
  <c r="Z2" i="3" a="1"/>
  <c r="Z2" i="3" s="1"/>
  <c r="Z14" i="3" s="1"/>
  <c r="E2" i="3" a="1"/>
  <c r="E2" i="3" s="1"/>
  <c r="V6" i="3" a="1"/>
  <c r="V6" i="3" s="1"/>
  <c r="D3" i="3" a="1"/>
  <c r="D3" i="3" s="1"/>
  <c r="AC3" i="3" a="1"/>
  <c r="AC3" i="3" s="1"/>
  <c r="I4" i="3" a="1"/>
  <c r="I4" i="3" s="1"/>
  <c r="AO4" i="3" s="1"/>
  <c r="AH3" i="3" a="1"/>
  <c r="AH3" i="3" s="1"/>
  <c r="H4" i="3" a="1"/>
  <c r="H4" i="3" s="1"/>
  <c r="AN4" i="3" s="1"/>
  <c r="W7" i="3" a="1"/>
  <c r="W7" i="3" s="1"/>
  <c r="AL13" i="3"/>
  <c r="AM8" i="3"/>
  <c r="AM12" i="3"/>
  <c r="AN12" i="3"/>
  <c r="AO8" i="3"/>
  <c r="L6" i="3" a="1"/>
  <c r="L6" i="3" s="1"/>
  <c r="D8" i="3" a="1"/>
  <c r="D8" i="3" s="1"/>
  <c r="C14" i="1"/>
  <c r="P3" i="3" a="1"/>
  <c r="P3" i="3" s="1"/>
  <c r="V3" i="3" a="1"/>
  <c r="V3" i="3" s="1"/>
  <c r="AB3" i="3" a="1"/>
  <c r="AB3" i="3" s="1"/>
  <c r="U3" i="3" a="1"/>
  <c r="U3" i="3" s="1"/>
  <c r="H6" i="3" a="1"/>
  <c r="H6" i="3" s="1"/>
  <c r="AN6" i="3" s="1"/>
  <c r="AH7" i="3" a="1"/>
  <c r="AH7" i="3" s="1"/>
  <c r="M14" i="3"/>
  <c r="AJ12" i="3"/>
  <c r="K12" i="3"/>
  <c r="S8" i="3"/>
  <c r="S12" i="3"/>
  <c r="AA8" i="3"/>
  <c r="AA12" i="3"/>
  <c r="AI11" i="3"/>
  <c r="L5" i="3" a="1"/>
  <c r="L5" i="3" s="1"/>
  <c r="C15" i="1"/>
  <c r="AH5" i="3" a="1"/>
  <c r="AH5" i="3" s="1"/>
  <c r="AD6" i="3" a="1"/>
  <c r="AD6" i="3" s="1"/>
  <c r="AC2" i="3" a="1"/>
  <c r="AC2" i="3" s="1"/>
  <c r="I3" i="3" a="1"/>
  <c r="I3" i="3" s="1"/>
  <c r="O3" i="3" a="1"/>
  <c r="O3" i="3" s="1"/>
  <c r="H3" i="3" a="1"/>
  <c r="H3" i="3" s="1"/>
  <c r="AD5" i="3" a="1"/>
  <c r="AD5" i="3" s="1"/>
  <c r="AL5" i="3" s="1"/>
  <c r="C17" i="1" l="1"/>
  <c r="AQ15" i="4"/>
  <c r="AN17" i="4" s="1"/>
  <c r="AP6" i="3"/>
  <c r="S5" i="3"/>
  <c r="AA4" i="3"/>
  <c r="C13" i="1"/>
  <c r="AN5" i="3"/>
  <c r="X14" i="3"/>
  <c r="AM3" i="3"/>
  <c r="AL4" i="3"/>
  <c r="AA3" i="3"/>
  <c r="Q14" i="3"/>
  <c r="AN3" i="3"/>
  <c r="D17" i="4"/>
  <c r="AJ17" i="4" s="1"/>
  <c r="AI4" i="3"/>
  <c r="N14" i="3"/>
  <c r="AM7" i="3"/>
  <c r="AD14" i="3"/>
  <c r="S6" i="3"/>
  <c r="AL6" i="3"/>
  <c r="AO6" i="3"/>
  <c r="AL3" i="3"/>
  <c r="AM5" i="3"/>
  <c r="AO3" i="3"/>
  <c r="AP4" i="3"/>
  <c r="AK6" i="3"/>
  <c r="AK4" i="3"/>
  <c r="R14" i="3"/>
  <c r="AP3" i="3"/>
  <c r="AE14" i="3"/>
  <c r="I14" i="3"/>
  <c r="AO2" i="3"/>
  <c r="AP5" i="3"/>
  <c r="D14" i="3"/>
  <c r="K2" i="3"/>
  <c r="AJ2" i="3"/>
  <c r="AI5" i="3"/>
  <c r="P14" i="3"/>
  <c r="AA5" i="3"/>
  <c r="AQ13" i="3"/>
  <c r="AR13" i="3" s="1"/>
  <c r="J14" i="3"/>
  <c r="AP2" i="3"/>
  <c r="AC14" i="3"/>
  <c r="K3" i="3"/>
  <c r="AJ3" i="3"/>
  <c r="AQ11" i="3"/>
  <c r="AR11" i="3" s="1"/>
  <c r="AG14" i="3"/>
  <c r="S3" i="3"/>
  <c r="AI6" i="3"/>
  <c r="S4" i="3"/>
  <c r="AJ6" i="3"/>
  <c r="K6" i="3"/>
  <c r="F14" i="3"/>
  <c r="AL2" i="3"/>
  <c r="AQ9" i="3"/>
  <c r="AR9" i="3" s="1"/>
  <c r="AQ12" i="3"/>
  <c r="AR12" i="3" s="1"/>
  <c r="E14" i="3"/>
  <c r="AK2" i="3"/>
  <c r="AJ5" i="3"/>
  <c r="K5" i="3"/>
  <c r="AA7" i="3"/>
  <c r="AO5" i="3"/>
  <c r="AJ8" i="3"/>
  <c r="AQ8" i="3" s="1"/>
  <c r="AR8" i="3" s="1"/>
  <c r="K8" i="3"/>
  <c r="T14" i="3"/>
  <c r="AA2" i="3"/>
  <c r="AI3" i="3"/>
  <c r="K4" i="3"/>
  <c r="AJ4" i="3"/>
  <c r="W14" i="3"/>
  <c r="AB14" i="3"/>
  <c r="AI2" i="3"/>
  <c r="H14" i="3"/>
  <c r="AN2" i="3"/>
  <c r="U14" i="3"/>
  <c r="AK3" i="3"/>
  <c r="AA6" i="3"/>
  <c r="V14" i="3"/>
  <c r="AP7" i="3"/>
  <c r="AH14" i="3"/>
  <c r="L14" i="3"/>
  <c r="S2" i="3"/>
  <c r="AQ10" i="3"/>
  <c r="AR10" i="3" s="1"/>
  <c r="O14" i="3"/>
  <c r="S7" i="3"/>
  <c r="AI7" i="3"/>
  <c r="C18" i="1"/>
  <c r="AN14" i="3" l="1"/>
  <c r="AQ7" i="3"/>
  <c r="AR7" i="3" s="1"/>
  <c r="AM14" i="3"/>
  <c r="AQ6" i="3"/>
  <c r="AR6" i="3" s="1"/>
  <c r="AQ4" i="3"/>
  <c r="AR4" i="3" s="1"/>
  <c r="AK14" i="3"/>
  <c r="AL14" i="3"/>
  <c r="AQ3" i="3"/>
  <c r="AR3" i="3" s="1"/>
  <c r="K14" i="3"/>
  <c r="AI14" i="3"/>
  <c r="S14" i="3"/>
  <c r="AQ5" i="3"/>
  <c r="AR5" i="3" s="1"/>
  <c r="AA14" i="3"/>
  <c r="AO14" i="3"/>
  <c r="AJ14" i="3"/>
  <c r="AQ2" i="3"/>
  <c r="AR2" i="3" s="1"/>
  <c r="AP14" i="3"/>
  <c r="AR14" i="3" l="1"/>
  <c r="AR15" i="3" s="1"/>
  <c r="AQ14" i="3"/>
</calcChain>
</file>

<file path=xl/sharedStrings.xml><?xml version="1.0" encoding="utf-8"?>
<sst xmlns="http://schemas.openxmlformats.org/spreadsheetml/2006/main" count="10665" uniqueCount="5128">
  <si>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</si>
  <si>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</si>
  <si>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</si>
  <si>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</si>
  <si>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</si>
  <si>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</si>
  <si>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</si>
  <si>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</si>
  <si>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</si>
  <si>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</si>
  <si>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</si>
  <si>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</si>
  <si>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</si>
  <si>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</si>
  <si>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</si>
  <si>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</si>
  <si>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</si>
  <si>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</si>
  <si>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</si>
  <si>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</si>
  <si>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</si>
  <si>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</si>
  <si>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</si>
  <si>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</si>
  <si>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</si>
  <si>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</si>
  <si>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</si>
  <si>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</si>
  <si>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</si>
  <si>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</si>
  <si>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</si>
  <si>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</si>
  <si>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</si>
  <si>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</si>
  <si>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</si>
  <si>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</si>
  <si>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</si>
  <si>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</si>
  <si>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</si>
  <si>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</si>
  <si>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</si>
  <si>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</si>
  <si>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</si>
  <si>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</si>
  <si>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</si>
  <si>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</si>
  <si>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</si>
  <si>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</si>
  <si>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</si>
  <si>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</si>
  <si>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</si>
  <si>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</si>
  <si>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</si>
  <si>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</si>
  <si>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</si>
  <si>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</si>
  <si>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</si>
  <si>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</si>
  <si>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</si>
  <si>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</si>
  <si>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</si>
  <si>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</si>
  <si>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</si>
  <si>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</si>
  <si>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</si>
  <si>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</si>
  <si>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</si>
  <si>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</si>
  <si>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</si>
  <si>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</si>
  <si>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</si>
  <si>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</si>
  <si>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</si>
  <si>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</si>
  <si>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</si>
  <si>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</si>
  <si>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</si>
  <si>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</si>
  <si>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</si>
  <si>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</si>
  <si>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</si>
  <si>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</si>
  <si>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</si>
  <si>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</si>
  <si>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</si>
  <si>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</si>
  <si>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</si>
  <si>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</si>
  <si>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</si>
  <si>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</si>
  <si>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</si>
  <si>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</si>
  <si>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</si>
  <si>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</si>
  <si>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</si>
  <si>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</si>
  <si>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</si>
  <si>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</si>
  <si>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</si>
  <si>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</si>
  <si>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</si>
  <si>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</si>
  <si>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</si>
  <si>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</si>
  <si>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</si>
  <si>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</si>
  <si>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</si>
  <si>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</si>
  <si>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</si>
  <si>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</si>
  <si>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</si>
  <si>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</si>
  <si>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</si>
  <si>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</si>
  <si>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</si>
  <si>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</si>
  <si>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</si>
  <si>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</si>
  <si>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</si>
  <si>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</si>
  <si>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</si>
  <si>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</si>
  <si>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</si>
  <si>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</si>
  <si>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</si>
  <si>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</si>
  <si>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</si>
  <si>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</si>
  <si>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</si>
  <si>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</si>
  <si>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</si>
  <si>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</si>
  <si>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</si>
  <si>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</si>
  <si>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</si>
  <si>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</si>
  <si>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</si>
  <si>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</si>
  <si>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</si>
  <si>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</si>
  <si>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</si>
  <si>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</si>
  <si>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</si>
  <si>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</si>
  <si>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</si>
  <si>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</si>
  <si>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</si>
  <si>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</si>
  <si>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</si>
  <si>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</si>
  <si>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</si>
  <si>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</si>
  <si>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</si>
  <si>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</si>
  <si>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</si>
  <si>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</si>
  <si>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</si>
  <si>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</si>
  <si>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</si>
  <si>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</si>
  <si>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</si>
  <si>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</si>
  <si>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</si>
  <si>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</si>
  <si>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</si>
  <si>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</si>
  <si>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</si>
  <si>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</si>
  <si>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</si>
  <si>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</si>
  <si>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</si>
  <si>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</si>
  <si>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</si>
  <si>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</si>
  <si>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</si>
  <si>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</si>
  <si>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</si>
  <si>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</si>
  <si>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</si>
  <si>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</si>
  <si>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</si>
  <si>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</si>
  <si>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</si>
  <si>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</si>
  <si>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</si>
  <si>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</si>
  <si>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</si>
  <si>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</si>
  <si>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</si>
  <si>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</si>
  <si>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</si>
  <si>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</si>
  <si>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</si>
  <si>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</si>
  <si>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</si>
  <si>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</si>
  <si>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</si>
  <si>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</si>
  <si>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</si>
  <si>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</si>
  <si>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</si>
  <si>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</si>
  <si>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</si>
  <si>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</si>
  <si>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</si>
  <si>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</si>
  <si>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</si>
  <si>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</si>
  <si>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</si>
  <si>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</si>
  <si>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</si>
  <si>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</si>
  <si>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</si>
  <si>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</si>
  <si>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</si>
  <si>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</si>
  <si>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</si>
  <si>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</si>
  <si>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</si>
  <si>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</si>
  <si>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</si>
  <si>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</si>
  <si>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</si>
  <si>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</si>
  <si>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</si>
  <si>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</si>
  <si>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</si>
  <si>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</si>
  <si>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</si>
  <si>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</si>
  <si>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</si>
  <si>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</si>
  <si>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</si>
  <si>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</si>
  <si>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</si>
  <si>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</si>
  <si>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</si>
  <si>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</si>
  <si>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</si>
  <si>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</si>
  <si>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</si>
  <si>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</si>
  <si>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</si>
  <si>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</si>
  <si>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</si>
  <si>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</si>
  <si>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</si>
  <si>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</si>
  <si>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</si>
  <si>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</si>
  <si>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</si>
  <si>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</si>
  <si>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</si>
  <si>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</si>
  <si>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</si>
  <si>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</si>
  <si>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</si>
  <si>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</si>
  <si>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</si>
  <si>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</si>
  <si>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</si>
  <si>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</si>
  <si>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</si>
  <si>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</si>
  <si>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</si>
  <si>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</si>
  <si>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</si>
  <si>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</si>
  <si>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</si>
  <si>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</si>
  <si>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</si>
  <si>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</si>
  <si>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</si>
  <si>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</si>
  <si>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</si>
  <si>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</si>
  <si>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</si>
  <si>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</si>
  <si>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</si>
  <si>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</si>
  <si>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</si>
  <si>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</si>
  <si>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</si>
  <si>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</si>
  <si>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</si>
  <si>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</si>
  <si>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</si>
  <si>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</si>
  <si>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</si>
  <si>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</si>
  <si>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</si>
  <si>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</si>
  <si>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</si>
  <si>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</si>
  <si>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</si>
  <si>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</si>
  <si>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</si>
  <si>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</si>
  <si>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</si>
  <si>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</si>
  <si>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</si>
  <si>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</si>
  <si>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</si>
  <si>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</si>
  <si>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</si>
  <si>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</si>
  <si>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</si>
  <si>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</si>
  <si>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</si>
  <si>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</si>
  <si>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</si>
  <si>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</si>
  <si>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</si>
  <si>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</si>
  <si>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</si>
  <si>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</si>
  <si>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</si>
  <si>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</si>
  <si>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</si>
  <si>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</si>
  <si>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</si>
  <si>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</si>
  <si>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</si>
  <si>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</si>
  <si>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</si>
  <si>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</si>
  <si>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</si>
  <si>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</si>
  <si>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</si>
  <si>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</si>
  <si>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</si>
  <si>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</si>
  <si>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</si>
  <si>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</si>
  <si>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</si>
  <si>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</si>
  <si>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</si>
  <si>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</si>
  <si>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</si>
  <si>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</si>
  <si>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</si>
  <si>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</si>
  <si>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</si>
  <si>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</si>
  <si>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</si>
  <si>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</si>
  <si>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</si>
  <si>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</si>
  <si>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</si>
  <si>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</si>
  <si>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</si>
  <si>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</si>
  <si>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</si>
  <si>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</si>
  <si>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</si>
  <si>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</si>
  <si>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</si>
  <si>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</si>
  <si>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</si>
  <si>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</si>
  <si>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</si>
  <si>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</si>
  <si>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</si>
  <si>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</si>
  <si>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</si>
  <si>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</si>
  <si>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</si>
  <si>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</si>
  <si>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</si>
  <si>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</si>
  <si>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</si>
  <si>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</si>
  <si>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</si>
  <si>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</si>
  <si>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</si>
  <si>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</si>
  <si>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</si>
  <si>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</si>
  <si>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</si>
  <si>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</si>
  <si>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</si>
  <si>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</si>
  <si>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</si>
  <si>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</si>
  <si>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</si>
  <si>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</si>
  <si>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</si>
  <si>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</si>
  <si>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</si>
  <si>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</si>
  <si>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</si>
  <si>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</si>
  <si>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</si>
  <si>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</si>
  <si>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</si>
  <si>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</si>
  <si>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</si>
  <si>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</si>
  <si>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</si>
  <si>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</si>
  <si>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</si>
  <si>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</si>
  <si>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</si>
  <si>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</si>
  <si>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</si>
  <si>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</si>
  <si>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</si>
  <si>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</si>
  <si>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</si>
  <si>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</si>
  <si>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</si>
  <si>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</si>
  <si>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</si>
  <si>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</si>
  <si>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</si>
  <si>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</si>
  <si>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</si>
  <si>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</si>
  <si>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</si>
  <si>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</si>
  <si>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</si>
  <si>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</si>
  <si>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</si>
  <si>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</si>
  <si>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</si>
  <si>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</si>
  <si>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</si>
  <si>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</si>
  <si>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</si>
  <si>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</si>
  <si>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</si>
  <si>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</si>
  <si>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</si>
  <si>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</si>
  <si>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</si>
  <si>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</si>
  <si>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</si>
  <si>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</si>
  <si>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</si>
  <si>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</si>
  <si>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</si>
  <si>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</si>
  <si>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</si>
  <si>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</si>
  <si>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</si>
  <si>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</si>
  <si>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</si>
  <si>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</si>
  <si>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</si>
  <si>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</si>
  <si>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</si>
  <si>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</si>
  <si>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</si>
  <si>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</si>
  <si>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</si>
  <si>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</si>
  <si>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</si>
  <si>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</si>
  <si>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</si>
  <si>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</si>
  <si>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</si>
  <si>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</si>
  <si>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</si>
  <si>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</si>
  <si>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</si>
  <si>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</si>
  <si>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</si>
  <si>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</si>
  <si>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</si>
  <si>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</si>
  <si>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</si>
  <si>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</si>
  <si>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</si>
  <si>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</si>
  <si>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</si>
  <si>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</si>
  <si>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</si>
  <si>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</si>
  <si>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</si>
  <si>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</si>
  <si>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</si>
  <si>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</si>
  <si>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</si>
  <si>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</si>
  <si>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</si>
  <si>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</si>
  <si>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</si>
  <si>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</si>
  <si>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</si>
  <si>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</si>
  <si>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</si>
  <si>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</si>
  <si>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</si>
  <si>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</si>
  <si>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</si>
  <si>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</si>
  <si>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</si>
  <si>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</si>
  <si>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</si>
  <si>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</si>
  <si>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</si>
  <si>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</si>
  <si>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</si>
  <si>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</si>
  <si>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</si>
  <si>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</si>
  <si>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</si>
  <si>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</si>
  <si>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</si>
  <si>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</si>
  <si>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</si>
  <si>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</si>
  <si>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</si>
  <si>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</si>
  <si>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</si>
  <si>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</si>
  <si>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</si>
  <si>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</si>
  <si>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</si>
  <si>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</si>
  <si>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</si>
  <si>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</si>
  <si>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</si>
  <si>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</si>
  <si>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</si>
  <si>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</si>
  <si>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</si>
  <si>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</si>
  <si>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</si>
  <si>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</si>
  <si>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</si>
  <si>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</si>
  <si>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</si>
  <si>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</si>
  <si>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</si>
  <si>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</si>
  <si>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</si>
  <si>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</si>
  <si>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</si>
  <si>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</si>
  <si>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</si>
  <si>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</si>
  <si>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</si>
  <si>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</si>
  <si>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</si>
  <si>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</si>
  <si>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</si>
  <si>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</si>
  <si>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</si>
  <si>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</si>
  <si>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</si>
  <si>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</si>
  <si>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</si>
  <si>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</si>
  <si>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</si>
  <si>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</si>
  <si>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</si>
  <si>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</si>
  <si>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</si>
  <si>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</si>
  <si>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</si>
  <si>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</si>
  <si>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</si>
  <si>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</si>
  <si>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</si>
  <si>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</si>
  <si>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</si>
  <si>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</si>
  <si>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</si>
  <si>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</si>
  <si>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</si>
  <si>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</si>
  <si>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</si>
  <si>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</si>
  <si>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</si>
  <si>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</si>
  <si>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</si>
  <si>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</si>
  <si>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</si>
  <si>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</si>
  <si>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</si>
  <si>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</si>
  <si>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</si>
  <si>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</si>
  <si>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</si>
  <si>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</si>
  <si>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</si>
  <si>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</si>
  <si>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</si>
  <si>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</si>
  <si>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</si>
  <si>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</si>
  <si>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</si>
  <si>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</si>
  <si>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</si>
  <si>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</si>
  <si>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</si>
  <si>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</si>
  <si>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</si>
  <si>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</si>
  <si>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</si>
  <si>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</si>
  <si>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</si>
  <si>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</si>
  <si>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</si>
  <si>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</si>
  <si>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</si>
  <si>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</si>
  <si>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</si>
  <si>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</si>
  <si>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</si>
  <si>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</si>
  <si>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</si>
  <si>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</si>
  <si>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</si>
  <si>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</si>
  <si>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</si>
  <si>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</si>
  <si>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</si>
  <si>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</si>
  <si>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</si>
  <si>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</si>
  <si>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</si>
  <si>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</si>
  <si>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</si>
  <si>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</si>
  <si>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</si>
  <si>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</si>
  <si>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</si>
  <si>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</si>
  <si>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</si>
  <si>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</si>
  <si>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</si>
  <si>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</si>
  <si>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</si>
  <si>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</si>
  <si>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</si>
  <si>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</si>
  <si>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</si>
  <si>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</si>
  <si>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</si>
  <si>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</si>
  <si>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</si>
  <si>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</si>
  <si>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</si>
  <si>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</si>
  <si>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</si>
  <si>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</si>
  <si>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</si>
  <si>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</si>
  <si>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</si>
  <si>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</si>
  <si>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</si>
  <si>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</si>
  <si>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</si>
  <si>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</si>
  <si>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</si>
  <si>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</si>
  <si>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</si>
  <si>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</si>
  <si>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</si>
  <si>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</si>
  <si>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</si>
  <si>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</si>
  <si>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</si>
  <si>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</si>
  <si>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</si>
  <si>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</si>
  <si>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</si>
  <si>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</si>
  <si>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</si>
  <si>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</si>
  <si>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</si>
  <si>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</si>
  <si>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</si>
  <si>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</si>
  <si>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</si>
  <si>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</si>
  <si>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</si>
  <si>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</si>
  <si>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</si>
  <si>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</si>
  <si>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</si>
  <si>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</si>
  <si>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</si>
  <si>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</si>
  <si>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</si>
  <si>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</si>
  <si>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</si>
  <si>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</si>
  <si>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</si>
  <si>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</si>
  <si>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</si>
  <si>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</si>
  <si>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</si>
  <si>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</si>
  <si>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</si>
  <si>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</si>
  <si>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</si>
  <si>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</si>
  <si>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</si>
  <si>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</si>
  <si>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</si>
  <si>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</si>
  <si>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</si>
  <si>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</si>
  <si>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</si>
  <si>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</si>
  <si>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</si>
  <si>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</si>
  <si>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</si>
  <si>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</si>
  <si>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</si>
  <si>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</si>
  <si>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</si>
  <si>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</si>
  <si>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</si>
  <si>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</si>
  <si>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</si>
  <si>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</si>
  <si>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</si>
  <si>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</si>
  <si>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</si>
  <si>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</si>
  <si>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</si>
  <si>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</si>
  <si>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</si>
  <si>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</si>
  <si>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</si>
  <si>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</si>
  <si>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</si>
  <si>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</si>
  <si>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</si>
  <si>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</si>
  <si>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</si>
  <si>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</si>
  <si>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</si>
  <si>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</si>
  <si>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</si>
  <si>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</si>
  <si>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</si>
  <si>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</si>
  <si>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</si>
  <si>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</si>
  <si>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</si>
  <si>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</si>
  <si>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</si>
  <si>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</si>
  <si>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</si>
  <si>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</si>
  <si>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</si>
  <si>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</si>
  <si>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</si>
  <si>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</si>
  <si>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</si>
  <si>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</si>
  <si>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</si>
  <si>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</si>
  <si>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</si>
  <si>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</si>
  <si>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</si>
  <si>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</si>
  <si>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</si>
  <si>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</si>
  <si>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</si>
  <si>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</si>
  <si>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</si>
  <si>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</si>
  <si>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</si>
  <si>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</si>
  <si>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</si>
  <si>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</si>
  <si>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</si>
  <si>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</si>
  <si>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</si>
  <si>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</si>
  <si>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</si>
  <si>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</si>
  <si>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</si>
  <si>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</si>
  <si>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</si>
  <si>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</si>
  <si>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</si>
  <si>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</si>
  <si>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</si>
  <si>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</si>
  <si>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</si>
  <si>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</si>
  <si>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</si>
  <si>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</si>
  <si>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</si>
  <si>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</si>
  <si>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</si>
  <si>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</si>
  <si>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</si>
  <si>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</si>
  <si>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</si>
  <si>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</si>
  <si>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</si>
  <si>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</si>
  <si>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</si>
  <si>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</si>
  <si>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</si>
  <si>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</si>
  <si>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</si>
  <si>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</si>
  <si>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</si>
  <si>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</si>
  <si>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</si>
  <si>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</si>
  <si>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</si>
  <si>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</si>
  <si>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</si>
  <si>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</si>
  <si>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</si>
  <si>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</si>
  <si>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</si>
  <si>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</si>
  <si>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</si>
  <si>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</si>
  <si>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</si>
  <si>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</si>
  <si>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</si>
  <si>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</si>
  <si>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</si>
  <si>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</si>
  <si>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</si>
  <si>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</si>
  <si>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</si>
  <si>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</si>
  <si>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</si>
  <si>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</si>
  <si>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</si>
  <si>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</si>
  <si>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</si>
  <si>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</si>
  <si>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</si>
  <si>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</si>
  <si>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</si>
  <si>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</si>
  <si>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</si>
  <si>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</si>
  <si>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</si>
  <si>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</si>
  <si>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</si>
  <si>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</si>
  <si>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</si>
  <si>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</si>
  <si>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</si>
  <si>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</si>
  <si>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</si>
  <si>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</si>
  <si>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</si>
  <si>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</si>
  <si>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</si>
  <si>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</si>
  <si>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</si>
  <si>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</si>
  <si>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</si>
  <si>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</si>
  <si>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</si>
  <si>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</si>
  <si>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</si>
  <si>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</si>
  <si>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</si>
  <si>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</si>
  <si>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</si>
  <si>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</si>
  <si>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</si>
  <si>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</si>
  <si>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</si>
  <si>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</si>
  <si>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</si>
  <si>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</si>
  <si>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</si>
  <si>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</si>
  <si>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</si>
  <si>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</si>
  <si>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</si>
  <si>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</si>
  <si>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</si>
  <si>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</si>
  <si>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</si>
  <si>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</si>
  <si>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</si>
  <si>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</si>
  <si>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</si>
  <si>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</si>
  <si>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</si>
  <si>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</si>
  <si>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</si>
  <si>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</si>
  <si>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</si>
  <si>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</si>
  <si>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</si>
  <si>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</si>
  <si>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</si>
  <si>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</si>
  <si>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</si>
  <si>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</si>
  <si>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</si>
  <si>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</si>
  <si>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</si>
  <si>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</si>
  <si>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</si>
  <si>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</si>
  <si>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</si>
  <si>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</si>
  <si>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</si>
  <si>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</si>
  <si>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</si>
  <si>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</si>
  <si>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</si>
  <si>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</si>
  <si>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</si>
  <si>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</si>
  <si>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</si>
  <si>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</si>
  <si>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</si>
  <si>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</si>
  <si>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</si>
  <si>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</si>
  <si>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</si>
  <si>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</si>
  <si>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</si>
  <si>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</si>
  <si>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</si>
  <si>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</si>
  <si>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</si>
  <si>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</si>
  <si>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</si>
  <si>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</si>
  <si>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</si>
  <si>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</si>
  <si>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</si>
  <si>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</si>
  <si>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</si>
  <si>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</si>
  <si>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</si>
  <si>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</si>
  <si>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</si>
  <si>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</si>
  <si>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</si>
  <si>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</si>
  <si>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</si>
  <si>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</si>
  <si>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</si>
  <si>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</si>
  <si>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</si>
  <si>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</si>
  <si>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</si>
  <si>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</si>
  <si>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</si>
  <si>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</si>
  <si>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</si>
  <si>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</si>
  <si>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</si>
  <si>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</si>
  <si>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</si>
  <si>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</si>
  <si>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</si>
  <si>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</si>
  <si>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</si>
  <si>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</si>
  <si>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</si>
  <si>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</si>
  <si>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</si>
  <si>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</si>
  <si>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</si>
  <si>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</si>
  <si>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</si>
  <si>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</si>
  <si>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</si>
  <si>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</si>
  <si>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</si>
  <si>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</si>
  <si>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</si>
  <si>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</si>
  <si>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</si>
  <si>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</si>
  <si>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</si>
  <si>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</si>
  <si>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</si>
  <si>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</si>
  <si>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</si>
  <si>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</si>
  <si>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</si>
  <si>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</si>
  <si>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</si>
  <si>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</si>
  <si>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</si>
  <si>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</si>
  <si>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</si>
  <si>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</si>
  <si>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</si>
  <si>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</si>
  <si>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</si>
  <si>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</si>
  <si>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</si>
  <si>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</si>
  <si>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</si>
  <si>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</si>
  <si>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</si>
  <si>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</si>
  <si>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</si>
  <si>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</si>
  <si>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</si>
  <si>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</si>
  <si>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</si>
  <si>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</si>
  <si>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</si>
  <si>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</si>
  <si>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</si>
  <si>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</si>
  <si>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</si>
  <si>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</si>
  <si>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</si>
  <si>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</si>
  <si>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</si>
  <si>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</si>
  <si>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</si>
  <si>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</si>
  <si>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</si>
  <si>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</si>
  <si>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</si>
  <si>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</si>
  <si>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</si>
  <si>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</si>
  <si>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</si>
  <si>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</si>
  <si>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</si>
  <si>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</si>
  <si>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</si>
  <si>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</si>
  <si>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</si>
  <si>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</si>
  <si>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</si>
  <si>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</si>
  <si>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</si>
  <si>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</si>
  <si>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</si>
  <si>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</si>
  <si>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</si>
  <si>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</si>
  <si>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</si>
  <si>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</si>
  <si>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</si>
  <si>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</si>
  <si>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</si>
  <si>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</si>
  <si>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</si>
  <si>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</si>
  <si>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</si>
  <si>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</si>
  <si>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</si>
  <si>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</si>
  <si>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</si>
  <si>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</si>
  <si>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</si>
  <si>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</si>
  <si>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</si>
  <si>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</si>
  <si>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</si>
  <si>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</si>
  <si>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</si>
  <si>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</si>
  <si>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</si>
  <si>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</si>
  <si>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</si>
  <si>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</si>
  <si>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</si>
  <si>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</si>
  <si>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</si>
  <si>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</si>
  <si>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</si>
  <si>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</si>
  <si>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</si>
  <si>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</si>
  <si>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</si>
  <si>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</si>
  <si>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</si>
  <si>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</si>
  <si>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</si>
  <si>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</si>
  <si>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</si>
  <si>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</si>
  <si>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</si>
  <si>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</si>
  <si>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</si>
  <si>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</si>
  <si>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</si>
  <si>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</si>
  <si>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</si>
  <si>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</si>
  <si>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</si>
  <si>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</si>
  <si>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</si>
  <si>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</si>
  <si>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</si>
  <si>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</si>
  <si>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</si>
  <si>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</si>
  <si>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</si>
  <si>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</si>
  <si>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</si>
  <si>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</si>
  <si>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</si>
  <si>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</si>
  <si>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</si>
  <si>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</si>
  <si>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</si>
  <si>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</si>
  <si>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</si>
  <si>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</si>
  <si>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</si>
  <si>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</si>
  <si>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</si>
  <si>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</si>
  <si>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</si>
  <si>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</si>
  <si>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</si>
  <si>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</si>
  <si>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</si>
  <si>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</si>
  <si>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</si>
  <si>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</si>
  <si>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</si>
  <si>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</si>
  <si>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</si>
  <si>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</si>
  <si>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</si>
  <si>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</si>
  <si>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</si>
  <si>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</si>
  <si>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</si>
  <si>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</si>
  <si>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</si>
  <si>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</si>
  <si>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</si>
  <si>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</si>
  <si>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</si>
  <si>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</si>
  <si>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</si>
  <si>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</si>
  <si>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</si>
  <si>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</si>
  <si>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</si>
  <si>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</si>
  <si>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</si>
  <si>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</si>
  <si>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</si>
  <si>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</si>
  <si>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</si>
  <si>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</si>
  <si>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</si>
  <si>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</si>
  <si>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</si>
  <si>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</si>
  <si>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</si>
  <si>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</si>
  <si>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</si>
  <si>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</si>
  <si>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</si>
  <si>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</si>
  <si>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</si>
  <si>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</si>
  <si>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</si>
  <si>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</si>
  <si>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</si>
  <si>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</si>
  <si>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</si>
  <si>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</si>
  <si>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</si>
  <si>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</si>
  <si>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</si>
  <si>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</si>
  <si>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</si>
  <si>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</si>
  <si>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</si>
  <si>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</si>
  <si>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</si>
  <si>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</si>
  <si>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</si>
  <si>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</si>
  <si>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</si>
  <si>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</si>
  <si>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</si>
  <si>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</si>
  <si>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</si>
  <si>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</si>
  <si>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</si>
  <si>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</si>
  <si>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</si>
  <si>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</si>
  <si>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</si>
  <si>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</si>
  <si>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</si>
  <si>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</si>
  <si>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</si>
  <si>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</si>
  <si>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</si>
  <si>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</si>
  <si>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</si>
  <si>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</si>
  <si>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</si>
  <si>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</si>
  <si>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</si>
  <si>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</si>
  <si>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</si>
  <si>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</si>
  <si>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</si>
  <si>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</si>
  <si>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</si>
  <si>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</si>
  <si>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</si>
  <si>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</si>
  <si>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</si>
  <si>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</si>
  <si>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</si>
  <si>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</si>
  <si>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</si>
  <si>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</si>
  <si>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</si>
  <si>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</si>
  <si>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</si>
  <si>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</si>
  <si>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</si>
  <si>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</si>
  <si>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</si>
  <si>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</si>
  <si>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</si>
  <si>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</si>
  <si>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</si>
  <si>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</si>
  <si>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</si>
  <si>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</si>
  <si>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</si>
  <si>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</si>
  <si>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</si>
  <si>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</si>
  <si>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</si>
  <si>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</si>
  <si>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</si>
  <si>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</si>
  <si>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</si>
  <si>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</si>
  <si>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</si>
  <si>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</si>
  <si>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</si>
  <si>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</si>
  <si>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</si>
  <si>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</si>
  <si>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</si>
  <si>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</si>
  <si>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</si>
  <si>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</si>
  <si>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</si>
  <si>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</si>
  <si>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</si>
  <si>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</si>
  <si>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</si>
  <si>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</si>
  <si>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</si>
  <si>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</si>
  <si>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</si>
  <si>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</si>
  <si>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</si>
  <si>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</si>
  <si>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</si>
  <si>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</si>
  <si>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</si>
  <si>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</si>
  <si>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</si>
  <si>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</si>
  <si>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</si>
  <si>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</si>
  <si>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</si>
  <si>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</si>
  <si>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</si>
  <si>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</si>
  <si>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</si>
  <si>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</si>
  <si>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</si>
  <si>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</si>
  <si>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</si>
  <si>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</si>
  <si>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</si>
  <si>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</si>
  <si>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</si>
  <si>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</si>
  <si>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</si>
  <si>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</si>
  <si>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</si>
  <si>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</si>
  <si>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</si>
  <si>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</si>
  <si>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</si>
  <si>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</si>
  <si>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</si>
  <si>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</si>
  <si>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</si>
  <si>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</si>
  <si>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</si>
  <si>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</si>
  <si>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</si>
  <si>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</si>
  <si>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</si>
  <si>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</si>
  <si>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</si>
  <si>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</si>
  <si>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</si>
  <si>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</si>
  <si>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</si>
  <si>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</si>
  <si>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</si>
  <si>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</si>
  <si>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</si>
  <si>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</si>
  <si>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</si>
  <si>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</si>
  <si>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</si>
  <si>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</si>
  <si>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</si>
  <si>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</si>
  <si>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</si>
  <si>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</si>
  <si>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</si>
  <si>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</si>
  <si>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</si>
  <si>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</si>
  <si>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</si>
  <si>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</si>
  <si>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</si>
  <si>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</si>
  <si>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</si>
  <si>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</si>
  <si>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</si>
  <si>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</si>
  <si>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</si>
  <si>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</si>
  <si>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</si>
  <si>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</si>
  <si>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</si>
  <si>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</si>
  <si>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</si>
  <si>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</si>
  <si>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</si>
  <si>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</si>
  <si>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</si>
  <si>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</si>
  <si>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</si>
  <si>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</si>
  <si>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</si>
  <si>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</si>
  <si>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</si>
  <si>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</si>
  <si>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</si>
  <si>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</si>
  <si>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</si>
  <si>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</si>
  <si>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</si>
  <si>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</si>
  <si>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</si>
  <si>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</si>
  <si>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</si>
  <si>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</si>
  <si>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</si>
  <si>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</si>
  <si>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</si>
  <si>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</si>
  <si>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</si>
  <si>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</si>
  <si>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</si>
  <si>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</si>
  <si>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</si>
  <si>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</si>
  <si>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</si>
  <si>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</si>
  <si>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</si>
  <si>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</si>
  <si>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</si>
  <si>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</si>
  <si>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</si>
  <si>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</si>
  <si>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</si>
  <si>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</si>
  <si>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</si>
  <si>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</si>
  <si>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</si>
  <si>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</si>
  <si>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</si>
  <si>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</si>
  <si>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</si>
  <si>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</si>
  <si>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</si>
  <si>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</si>
  <si>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</si>
  <si>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</si>
  <si>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</si>
  <si>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</si>
  <si>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</si>
  <si>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</si>
  <si>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</si>
  <si>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</si>
  <si>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</si>
  <si>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</si>
  <si>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</si>
  <si>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</si>
  <si>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</si>
  <si>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</si>
  <si>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</si>
  <si>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</si>
  <si>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</si>
  <si>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</si>
  <si>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</si>
  <si>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</si>
  <si>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</si>
  <si>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</si>
  <si>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</si>
  <si>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</si>
  <si>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</si>
  <si>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</si>
  <si>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</si>
  <si>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</si>
  <si>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</si>
  <si>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</si>
  <si>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</si>
  <si>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</si>
  <si>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</si>
  <si>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</si>
  <si>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</si>
  <si>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</si>
  <si>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</si>
  <si>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</si>
  <si>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</si>
  <si>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</si>
  <si>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</si>
  <si>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</si>
  <si>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</si>
  <si>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</si>
  <si>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</si>
  <si>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</si>
  <si>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</si>
  <si>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</si>
  <si>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</si>
  <si>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</si>
  <si>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</si>
  <si>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</si>
  <si>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</si>
  <si>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</si>
  <si>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</si>
  <si>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</si>
  <si>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</si>
  <si>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</si>
  <si>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</si>
  <si>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</si>
  <si>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</si>
  <si>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</si>
  <si>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</si>
  <si>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</si>
  <si>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</si>
  <si>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</si>
  <si>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</si>
  <si>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</si>
  <si>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</si>
  <si>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</si>
  <si>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</si>
  <si>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</si>
  <si>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</si>
  <si>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</si>
  <si>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</si>
  <si>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</si>
  <si>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</si>
  <si>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</si>
  <si>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</si>
  <si>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</si>
  <si>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</si>
  <si>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</si>
  <si>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</si>
  <si>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</si>
  <si>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</si>
  <si>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</si>
  <si>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</si>
  <si>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</si>
  <si>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</si>
  <si>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</si>
  <si>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</si>
  <si>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</si>
  <si>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</si>
  <si>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</si>
  <si>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</si>
  <si>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</si>
  <si>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</si>
  <si>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</si>
  <si>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</si>
  <si>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</si>
  <si>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</si>
  <si>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</si>
  <si>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</si>
  <si>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</si>
  <si>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</si>
  <si>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</si>
  <si>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</si>
  <si>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</si>
  <si>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</si>
  <si>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</si>
  <si>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</si>
  <si>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</si>
  <si>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</si>
  <si>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</si>
  <si>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</si>
  <si>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</si>
  <si>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</si>
  <si>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</si>
  <si>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</si>
  <si>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</si>
  <si>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</si>
  <si>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</si>
  <si>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</si>
  <si>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</si>
  <si>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</si>
  <si>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</si>
  <si>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</si>
  <si>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</si>
  <si>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</si>
  <si>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</si>
  <si>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</si>
  <si>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</si>
  <si>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</si>
  <si>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</si>
  <si>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</si>
  <si>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</si>
  <si>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</si>
  <si>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</si>
  <si>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</si>
  <si>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</si>
  <si>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</si>
  <si>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</si>
  <si>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</si>
  <si>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</si>
  <si>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</si>
  <si>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</si>
  <si>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</si>
  <si>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</si>
  <si>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</si>
  <si>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</si>
  <si>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</si>
  <si>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</si>
  <si>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</si>
  <si>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</si>
  <si>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</si>
  <si>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</si>
  <si>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</si>
  <si>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</si>
  <si>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</si>
  <si>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</si>
  <si>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</si>
  <si>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</si>
  <si>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</si>
  <si>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</si>
  <si>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</si>
  <si>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</si>
  <si>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</si>
  <si>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</si>
  <si>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</si>
  <si>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</si>
  <si>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</si>
  <si>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</si>
  <si>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</si>
  <si>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</si>
  <si>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</si>
  <si>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</si>
  <si>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</si>
  <si>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</si>
  <si>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</si>
  <si>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</si>
  <si>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</si>
  <si>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</si>
  <si>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</si>
  <si>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</si>
  <si>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</si>
  <si>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</si>
  <si>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</si>
  <si>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</si>
  <si>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</si>
  <si>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</si>
  <si>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</si>
  <si>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</si>
  <si>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</si>
  <si>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</si>
  <si>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</si>
  <si>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</si>
  <si>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</si>
  <si>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</si>
  <si>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</si>
  <si>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</si>
  <si>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</si>
  <si>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</si>
  <si>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</si>
  <si>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</si>
  <si>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</si>
  <si>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</si>
  <si>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</si>
  <si>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</si>
  <si>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</si>
  <si>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</si>
  <si>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</si>
  <si>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</si>
  <si>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</si>
  <si>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</si>
  <si>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</si>
  <si>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</si>
  <si>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</si>
  <si>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</si>
  <si>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</si>
  <si>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</si>
  <si>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</si>
  <si>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</si>
  <si>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</si>
  <si>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</si>
  <si>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</si>
  <si>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</si>
  <si>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</si>
  <si>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</si>
  <si>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</si>
  <si>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</si>
  <si>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</si>
  <si>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</si>
  <si>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</si>
  <si>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</si>
  <si>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</si>
  <si>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</si>
  <si>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</si>
  <si>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</si>
  <si>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</si>
  <si>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</si>
  <si>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</si>
  <si>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</si>
  <si>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</si>
  <si>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</si>
  <si>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</si>
  <si>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</si>
  <si>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</si>
  <si>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</si>
  <si>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</si>
  <si>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</si>
  <si>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</si>
  <si>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</si>
  <si>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</si>
  <si>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</si>
  <si>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</si>
  <si>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</si>
  <si>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</si>
  <si>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</si>
  <si>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</si>
  <si>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</si>
  <si>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</si>
  <si>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</si>
  <si>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</si>
  <si>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</si>
  <si>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</si>
  <si>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</si>
  <si>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</si>
  <si>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</si>
  <si>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</si>
  <si>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</si>
  <si>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</si>
  <si>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</si>
  <si>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</si>
  <si>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</si>
  <si>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</si>
  <si>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</si>
  <si>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</si>
  <si>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</si>
  <si>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</si>
  <si>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</si>
  <si>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</si>
  <si>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</si>
  <si>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</si>
  <si>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</si>
  <si>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</si>
  <si>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</si>
  <si>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</si>
  <si>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</si>
  <si>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</si>
  <si>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</si>
  <si>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</si>
  <si>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</si>
  <si>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</si>
  <si>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</si>
  <si>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</si>
  <si>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</si>
  <si>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</si>
  <si>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</si>
  <si>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</si>
  <si>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</si>
  <si>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</si>
  <si>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</si>
  <si>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</si>
  <si>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</si>
  <si>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</si>
  <si>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</si>
  <si>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</si>
  <si>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</si>
  <si>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</si>
  <si>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</si>
  <si>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</si>
  <si>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</si>
  <si>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</si>
  <si>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</si>
  <si>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</si>
  <si>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</si>
  <si>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</si>
  <si>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</si>
  <si>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</si>
  <si>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</si>
  <si>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</si>
  <si>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</si>
  <si>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</si>
  <si>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</si>
  <si>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</si>
  <si>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</si>
  <si>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</si>
  <si>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</si>
  <si>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</si>
  <si>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</si>
  <si>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</si>
  <si>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</si>
  <si>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</si>
  <si>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</si>
  <si>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</si>
  <si>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</si>
  <si>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</si>
  <si>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</si>
  <si>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</si>
  <si>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</si>
  <si>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</si>
  <si>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</si>
  <si>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</si>
  <si>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</si>
  <si>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</si>
  <si>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</si>
  <si>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</si>
  <si>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</si>
  <si>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</si>
  <si>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</si>
  <si>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</si>
  <si>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</si>
  <si>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</si>
  <si>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</si>
  <si>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</si>
  <si>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</si>
  <si>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</si>
  <si>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</si>
  <si>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</si>
  <si>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</si>
  <si>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</si>
  <si>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</si>
  <si>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</si>
  <si>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</si>
  <si>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</si>
  <si>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</si>
  <si>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</si>
  <si>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</si>
  <si>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</si>
  <si>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</si>
  <si>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</si>
  <si>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</si>
  <si>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</si>
  <si>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</si>
  <si>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</si>
  <si>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</si>
  <si>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</si>
  <si>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</si>
  <si>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</si>
  <si>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</si>
  <si>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</si>
  <si>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</si>
  <si>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</si>
  <si>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</si>
  <si>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</si>
  <si>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</si>
  <si>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</si>
  <si>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</si>
  <si>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</si>
  <si>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</si>
  <si>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</si>
  <si>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</si>
  <si>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</si>
  <si>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</si>
  <si>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</si>
  <si>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</si>
  <si>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</si>
  <si>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</si>
  <si>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</si>
  <si>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</si>
  <si>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</si>
  <si>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</si>
  <si>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</si>
  <si>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</si>
  <si>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</si>
  <si>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</si>
  <si>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</si>
  <si>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</si>
  <si>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</si>
  <si>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</si>
  <si>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</si>
  <si>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</si>
  <si>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</si>
  <si>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</si>
  <si>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</si>
  <si>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</si>
  <si>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</si>
  <si>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</si>
  <si>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</si>
  <si>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</si>
  <si>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</si>
  <si>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</si>
  <si>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</si>
  <si>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</si>
  <si>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</si>
  <si>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</si>
  <si>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</si>
  <si>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</si>
  <si>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</si>
  <si>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</si>
  <si>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</si>
  <si>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</si>
  <si>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</si>
  <si>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</si>
  <si>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</si>
  <si>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</si>
  <si>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</si>
  <si>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</si>
  <si>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</si>
  <si>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</si>
  <si>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</si>
  <si>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</si>
  <si>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</si>
  <si>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</si>
  <si>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</si>
  <si>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</si>
  <si>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</si>
  <si>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</si>
  <si>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</si>
  <si>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</si>
  <si>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</si>
  <si>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</si>
  <si>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</si>
  <si>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</si>
  <si>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</si>
  <si>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</si>
  <si>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</si>
  <si>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</si>
  <si>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</si>
  <si>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</si>
  <si>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</si>
  <si>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</si>
  <si>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</si>
  <si>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</si>
  <si>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</si>
  <si>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</si>
  <si>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</si>
  <si>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</si>
  <si>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</si>
  <si>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</si>
  <si>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</si>
  <si>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</si>
  <si>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</si>
  <si>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</si>
  <si>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</si>
  <si>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</si>
  <si>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</si>
  <si>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</si>
  <si>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</si>
  <si>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</si>
  <si>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</si>
  <si>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</si>
  <si>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</si>
  <si>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</si>
  <si>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</si>
  <si>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</si>
  <si>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</si>
  <si>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</si>
  <si>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</si>
  <si>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</si>
  <si>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</si>
  <si>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</si>
  <si>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</si>
  <si>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</si>
  <si>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</si>
  <si>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</si>
  <si>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</si>
  <si>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</si>
  <si>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</si>
  <si>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</si>
  <si>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</si>
  <si>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</si>
  <si>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</si>
  <si>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</si>
  <si>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</si>
  <si>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393.</t>
  </si>
  <si>
    <t>SBA 26/393</t>
  </si>
  <si>
    <t>394.</t>
  </si>
  <si>
    <t>SBA 26/394</t>
  </si>
  <si>
    <t>395.</t>
  </si>
  <si>
    <t>SBA 26/395</t>
  </si>
  <si>
    <t>396.</t>
  </si>
  <si>
    <t>SBA 26/396</t>
  </si>
  <si>
    <t>397.</t>
  </si>
  <si>
    <t>SBA 26/397</t>
  </si>
  <si>
    <t>398.</t>
  </si>
  <si>
    <t>SBA 26/398</t>
  </si>
  <si>
    <t>399.</t>
  </si>
  <si>
    <t>SBA 26/399</t>
  </si>
  <si>
    <t>400.</t>
  </si>
  <si>
    <t>SBA 26/400</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</si>
  <si>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</si>
  <si>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</si>
  <si>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</si>
  <si>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</si>
  <si>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</si>
  <si>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</si>
  <si>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</si>
  <si>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</si>
  <si>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</si>
  <si>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</si>
  <si>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</si>
  <si>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</si>
  <si>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</si>
  <si>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</si>
  <si>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</si>
  <si>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</si>
  <si>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</si>
  <si>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</si>
  <si>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</si>
  <si>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</si>
  <si>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</si>
  <si>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</si>
  <si>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</si>
  <si>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</si>
  <si>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</si>
  <si>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</si>
  <si>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</si>
  <si>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</si>
  <si>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</si>
  <si>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</si>
  <si>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</si>
  <si>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</si>
  <si>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</si>
  <si>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</si>
  <si>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</si>
  <si>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</si>
  <si>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</si>
  <si>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</si>
  <si>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</si>
  <si>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</si>
  <si>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</si>
  <si>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</si>
  <si>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</si>
  <si>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</si>
  <si>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</si>
  <si>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</si>
  <si>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</si>
  <si>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</si>
  <si>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</si>
  <si>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</si>
  <si>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</si>
  <si>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</si>
  <si>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</si>
  <si>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</si>
  <si>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</si>
  <si>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</si>
  <si>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</si>
  <si>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</si>
  <si>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</si>
  <si>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</si>
  <si>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</si>
  <si>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</si>
  <si>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</si>
  <si>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</si>
  <si>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</si>
  <si>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</si>
  <si>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</si>
  <si>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</si>
  <si>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</si>
  <si>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</si>
  <si>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</si>
  <si>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</si>
  <si>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</si>
  <si>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</si>
  <si>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</si>
  <si>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</si>
  <si>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</si>
  <si>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</si>
  <si>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</si>
  <si>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</si>
  <si>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</si>
  <si>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</si>
  <si>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</si>
  <si>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</si>
  <si>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</si>
  <si>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</si>
  <si>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</si>
  <si>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</si>
  <si>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</si>
  <si>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</si>
  <si>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</si>
  <si>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</si>
  <si>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</si>
  <si>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</si>
  <si>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</si>
  <si>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</si>
  <si>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</si>
  <si>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</si>
  <si>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</si>
  <si>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</si>
  <si>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</si>
  <si>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</si>
  <si>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</si>
  <si>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</si>
  <si>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</si>
  <si>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</si>
  <si>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</si>
  <si>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</si>
  <si>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</si>
  <si>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</si>
  <si>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</si>
  <si>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</si>
  <si>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</si>
  <si>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</si>
  <si>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</si>
  <si>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</si>
  <si>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</si>
  <si>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</si>
  <si>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</si>
  <si>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</si>
  <si>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</si>
  <si>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</si>
  <si>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</si>
  <si>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</si>
  <si>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</si>
  <si>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</si>
  <si>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</si>
  <si>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</si>
  <si>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</si>
  <si>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</si>
  <si>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</si>
  <si>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</si>
  <si>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</si>
  <si>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</si>
  <si>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</si>
  <si>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</si>
  <si>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</si>
  <si>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</si>
  <si>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</si>
  <si>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</si>
  <si>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</si>
  <si>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</si>
  <si>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</si>
  <si>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</si>
  <si>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</si>
  <si>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</si>
  <si>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</si>
  <si>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</si>
  <si>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</si>
  <si>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</si>
  <si>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</si>
  <si>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</si>
  <si>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</si>
  <si>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</si>
  <si>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</si>
  <si>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</si>
  <si>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</si>
  <si>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</si>
  <si>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</si>
  <si>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</si>
  <si>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</si>
  <si>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</si>
  <si>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</si>
  <si>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</si>
  <si>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</si>
  <si>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</si>
  <si>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</si>
  <si>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</si>
  <si>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</si>
  <si>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</si>
  <si>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</si>
  <si>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</si>
  <si>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</si>
  <si>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</si>
  <si>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</si>
  <si>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</si>
  <si>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</si>
  <si>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</si>
  <si>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</si>
  <si>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</si>
  <si>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</si>
  <si>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</si>
  <si>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</si>
  <si>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</si>
  <si>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</si>
  <si>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</si>
  <si>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</si>
  <si>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</si>
  <si>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</si>
  <si>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</si>
  <si>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</si>
  <si>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</si>
  <si>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</si>
  <si>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</si>
  <si>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</si>
  <si>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</si>
  <si>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</si>
  <si>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</si>
  <si>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</si>
  <si>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</si>
  <si>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</si>
  <si>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</si>
  <si>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</si>
  <si>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</si>
  <si>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</si>
  <si>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</si>
  <si>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</si>
  <si>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</si>
  <si>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</si>
  <si>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</si>
  <si>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</si>
  <si>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</si>
  <si>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</si>
  <si>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</si>
  <si>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</si>
  <si>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</si>
  <si>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</si>
  <si>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</si>
  <si>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</si>
  <si>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</si>
  <si>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</si>
  <si>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</si>
  <si>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</si>
  <si>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</si>
  <si>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</si>
  <si>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</si>
  <si>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</si>
  <si>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</si>
  <si>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</si>
  <si>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</si>
  <si>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</si>
  <si>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</si>
  <si>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</si>
  <si>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</si>
  <si>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</si>
  <si>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</si>
  <si>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</si>
  <si>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</si>
  <si>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</si>
  <si>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</si>
  <si>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</si>
  <si>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</si>
  <si>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</si>
  <si>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</si>
  <si>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</si>
  <si>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</si>
  <si>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</si>
  <si>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</si>
  <si>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</si>
  <si>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</si>
  <si>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</si>
  <si>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</si>
  <si>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</si>
  <si>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</si>
  <si>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</si>
  <si>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</si>
  <si>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</si>
  <si>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</si>
  <si>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</si>
  <si>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</si>
  <si>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</si>
  <si>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</si>
  <si>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</si>
  <si>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</si>
  <si>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</si>
  <si>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</si>
  <si>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</si>
  <si>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</si>
  <si>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</si>
  <si>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</si>
  <si>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</si>
  <si>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</si>
  <si>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</si>
  <si>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</si>
  <si>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</si>
  <si>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</si>
  <si>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</si>
  <si>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</si>
  <si>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</si>
  <si>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</si>
  <si>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</si>
  <si>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</si>
  <si>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</si>
  <si>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</si>
  <si>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</si>
  <si>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</si>
  <si>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</si>
  <si>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</si>
  <si>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</si>
  <si>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</si>
  <si>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</si>
  <si>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</si>
  <si>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</si>
  <si>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</si>
  <si>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</si>
  <si>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</si>
  <si>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</si>
  <si>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</si>
  <si>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</si>
  <si>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</si>
  <si>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</si>
  <si>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</si>
  <si>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</si>
  <si>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</si>
  <si>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</si>
  <si>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</si>
  <si>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</si>
  <si>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</si>
  <si>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</si>
  <si>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</si>
  <si>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</si>
  <si>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</si>
  <si>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</si>
  <si>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</si>
  <si>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</si>
  <si>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</si>
  <si>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</si>
  <si>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</si>
  <si>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</si>
  <si>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</si>
  <si>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</si>
  <si>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</si>
  <si>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</si>
  <si>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</si>
  <si>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</si>
  <si>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</si>
  <si>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</si>
  <si>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</si>
  <si>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</si>
  <si>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</si>
  <si>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</si>
  <si>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</si>
  <si>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</si>
  <si>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</si>
  <si>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</si>
  <si>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</si>
  <si>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</si>
  <si>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</si>
  <si>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</si>
  <si>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</si>
  <si>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</si>
  <si>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</si>
  <si>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</si>
  <si>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</si>
  <si>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</si>
  <si>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</si>
  <si>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</si>
  <si>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</si>
  <si>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</si>
  <si>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</si>
  <si>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</si>
  <si>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</si>
  <si>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</si>
  <si>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</si>
  <si>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</si>
  <si>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</si>
  <si>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</si>
  <si>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</si>
  <si>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</si>
  <si>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</si>
  <si>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</si>
  <si>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</si>
  <si>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</si>
  <si>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</si>
  <si>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</si>
  <si>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</si>
  <si>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</si>
  <si>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</si>
  <si>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</si>
  <si>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</si>
  <si>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</si>
  <si>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</si>
  <si>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</si>
  <si>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</si>
  <si>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</si>
  <si>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</si>
  <si>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</si>
  <si>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</si>
  <si>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</si>
  <si>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</si>
  <si>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</si>
  <si>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</si>
  <si>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</si>
  <si>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</si>
  <si>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</si>
  <si>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</si>
  <si>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</si>
  <si>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</si>
  <si>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</si>
  <si>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</si>
  <si>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</si>
  <si>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</si>
  <si>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</si>
  <si>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</si>
  <si>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</si>
  <si>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</si>
  <si>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</si>
  <si>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</si>
  <si>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</si>
  <si>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</si>
  <si>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</si>
  <si>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</si>
  <si>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</si>
  <si>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</si>
  <si>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</si>
  <si>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</si>
  <si>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</si>
  <si>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</si>
  <si>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</si>
  <si>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</si>
  <si>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</si>
  <si>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</si>
  <si>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</si>
  <si>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</si>
  <si>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</si>
  <si>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</si>
  <si>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</si>
  <si>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</si>
  <si>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</si>
  <si>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</si>
  <si>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</si>
  <si>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</si>
  <si>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</si>
  <si>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</si>
  <si>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</si>
  <si>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</si>
  <si>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</si>
  <si>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</si>
  <si>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</si>
  <si>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</si>
  <si>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</si>
  <si>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</si>
  <si>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</si>
  <si>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</si>
  <si>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</si>
  <si>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</si>
  <si>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</si>
  <si>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</si>
  <si>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</si>
  <si>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</si>
  <si>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</si>
  <si>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</si>
  <si>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</si>
  <si>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</si>
  <si>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</si>
  <si>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</si>
  <si>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</si>
  <si>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</si>
  <si>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</si>
  <si>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</si>
  <si>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</si>
  <si>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</si>
  <si>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</si>
  <si>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</si>
  <si>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</si>
  <si>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</si>
  <si>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</si>
  <si>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</si>
  <si>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</si>
  <si>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</si>
  <si>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</si>
  <si>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</si>
  <si>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</si>
  <si>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</si>
  <si>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</si>
  <si>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</si>
  <si>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</si>
  <si>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</si>
  <si>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</si>
  <si>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</si>
  <si>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</si>
  <si>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</si>
  <si>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</si>
  <si>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</si>
  <si>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</si>
  <si>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</si>
  <si>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</si>
  <si>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</si>
  <si>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</si>
  <si>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</si>
  <si>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</si>
  <si>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</si>
  <si>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</si>
  <si>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</si>
  <si>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</si>
  <si>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</si>
  <si>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</si>
  <si>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</si>
  <si>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</si>
  <si>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</si>
  <si>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</si>
  <si>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</si>
  <si>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</si>
  <si>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</si>
  <si>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</si>
  <si>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</si>
  <si>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</si>
  <si>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</si>
  <si>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</si>
  <si>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</si>
  <si>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</si>
  <si>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</si>
  <si>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</si>
  <si>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</si>
  <si>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</si>
  <si>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</si>
  <si>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</si>
  <si>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</si>
  <si>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</si>
  <si>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</si>
  <si>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</si>
  <si>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</si>
  <si>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</si>
  <si>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</si>
  <si>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</si>
  <si>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</si>
  <si>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</si>
  <si>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</si>
  <si>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</si>
  <si>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</si>
  <si>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</si>
  <si>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</si>
  <si>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</si>
  <si>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</si>
  <si>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</si>
  <si>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</si>
  <si>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</si>
  <si>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</si>
  <si>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</si>
  <si>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</si>
  <si>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</si>
  <si>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</si>
  <si>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</si>
  <si>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</si>
  <si>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</si>
  <si>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</si>
  <si>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</si>
  <si>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</si>
  <si>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</si>
  <si>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</si>
  <si>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</si>
  <si>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</si>
  <si>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</si>
  <si>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</si>
  <si>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</si>
  <si>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</si>
  <si>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</si>
  <si>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</si>
  <si>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</si>
  <si>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</si>
  <si>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</si>
  <si>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</si>
  <si>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</si>
  <si>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</si>
  <si>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</si>
  <si>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</si>
  <si>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</si>
  <si>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</si>
  <si>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</si>
  <si>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</si>
  <si>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</si>
  <si>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</si>
  <si>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</si>
  <si>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</si>
  <si>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</si>
  <si>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</si>
  <si>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</si>
  <si>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</si>
  <si>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</si>
  <si>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</si>
  <si>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</si>
  <si>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</si>
  <si>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</si>
  <si>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</si>
  <si>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</si>
  <si>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</si>
  <si>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</si>
  <si>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</si>
  <si>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</si>
  <si>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</si>
  <si>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</si>
  <si>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</si>
  <si>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</si>
  <si>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</si>
  <si>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</si>
  <si>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</si>
  <si>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</si>
  <si>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</si>
  <si>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</si>
  <si>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</si>
  <si>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</si>
  <si>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</si>
  <si>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</si>
  <si>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</si>
  <si>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</si>
  <si>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</si>
  <si>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</si>
  <si>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</si>
  <si>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</si>
  <si>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</si>
  <si>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</si>
  <si>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</si>
  <si>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</si>
  <si>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</si>
  <si>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</si>
  <si>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</si>
  <si>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</si>
  <si>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</si>
  <si>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</si>
  <si>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</si>
  <si>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</si>
  <si>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</si>
  <si>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</si>
  <si>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</si>
  <si>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</si>
  <si>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</si>
  <si>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</si>
  <si>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</si>
  <si>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</si>
  <si>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</si>
  <si>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</si>
  <si>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</si>
  <si>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</si>
  <si>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</si>
  <si>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</si>
  <si>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</si>
  <si>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</si>
  <si>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</si>
  <si>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</si>
  <si>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</si>
  <si>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</si>
  <si>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</si>
  <si>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</si>
  <si>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</si>
  <si>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</si>
  <si>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</si>
  <si>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</si>
  <si>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</si>
  <si>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</si>
  <si>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</si>
  <si>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</si>
  <si>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</si>
  <si>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</si>
  <si>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</si>
  <si>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</si>
  <si>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</si>
  <si>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</si>
  <si>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</si>
  <si>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</si>
  <si>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</si>
  <si>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</si>
  <si>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</si>
  <si>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</si>
  <si>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</si>
  <si>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</si>
  <si>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</si>
  <si>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</si>
  <si>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</si>
  <si>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</si>
  <si>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</si>
  <si>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</si>
  <si>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</si>
  <si>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</si>
  <si>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</si>
  <si>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</si>
  <si>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</si>
  <si>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</si>
  <si>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</si>
  <si>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</si>
  <si>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</si>
  <si>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</si>
  <si>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</si>
  <si>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</si>
  <si>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</si>
  <si>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</si>
  <si>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</si>
  <si>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</si>
  <si>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</si>
  <si>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</si>
  <si>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</si>
  <si>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</si>
  <si>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</si>
  <si>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</si>
  <si>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</si>
  <si>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</si>
  <si>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</si>
  <si>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</si>
  <si>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</si>
  <si>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</si>
  <si>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</si>
  <si>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</si>
  <si>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</si>
  <si>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</si>
  <si>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</si>
  <si>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</si>
  <si>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</si>
  <si>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</si>
  <si>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</si>
  <si>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</si>
  <si>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</si>
  <si>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</si>
  <si>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</si>
  <si>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</si>
  <si>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</si>
  <si>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</si>
  <si>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</si>
  <si>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</si>
  <si>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</si>
  <si>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</si>
  <si>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</si>
  <si>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</si>
  <si>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</si>
  <si>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</si>
  <si>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</si>
  <si>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</si>
  <si>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</si>
  <si>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</si>
  <si>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</si>
  <si>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</si>
  <si>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</si>
  <si>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</si>
  <si>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</si>
  <si>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</si>
  <si>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</si>
  <si>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</si>
  <si>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</si>
  <si>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</si>
  <si>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</si>
  <si>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</si>
  <si>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</si>
  <si>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</si>
  <si>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</si>
  <si>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</si>
  <si>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</si>
  <si>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</si>
  <si>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</si>
  <si>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</si>
  <si>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</si>
  <si>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</si>
  <si>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</si>
  <si>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</si>
  <si>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</si>
  <si>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</si>
  <si>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</si>
  <si>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</si>
  <si>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</si>
  <si>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</si>
  <si>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</si>
  <si>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</si>
  <si>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</si>
  <si>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</si>
  <si>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</si>
  <si>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</si>
  <si>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</si>
  <si>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</si>
  <si>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</si>
  <si>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</si>
  <si>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</si>
  <si>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</si>
  <si>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</si>
  <si>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</si>
  <si>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</si>
  <si>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</si>
  <si>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</si>
  <si>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</si>
  <si>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</si>
  <si>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</si>
  <si>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</si>
  <si>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</si>
  <si>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</si>
  <si>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</si>
  <si>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</si>
  <si>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</si>
  <si>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</si>
  <si>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</si>
  <si>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</si>
  <si>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</si>
  <si>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</si>
  <si>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</si>
  <si>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</si>
  <si>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</si>
  <si>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</si>
  <si>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</si>
  <si>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</si>
  <si>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</si>
  <si>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</si>
  <si>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</si>
  <si>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</si>
  <si>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</si>
  <si>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</si>
  <si>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</si>
  <si>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</si>
  <si>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</si>
  <si>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</si>
  <si>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</si>
  <si>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</si>
  <si>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</si>
  <si>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</si>
  <si>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</si>
  <si>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</si>
  <si>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</si>
  <si>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</si>
  <si>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</si>
  <si>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</si>
  <si>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</si>
  <si>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</si>
  <si>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</si>
  <si>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</si>
  <si>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</si>
  <si>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</si>
  <si>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</si>
  <si>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</si>
  <si>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</si>
  <si>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</si>
  <si>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</si>
  <si>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</si>
  <si>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</si>
  <si>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</si>
  <si>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</si>
  <si>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</si>
  <si>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</si>
  <si>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</si>
  <si>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</si>
  <si>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</si>
  <si>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</si>
  <si>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</si>
  <si>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</si>
  <si>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</si>
  <si>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</si>
  <si>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</si>
  <si>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</si>
  <si>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</si>
  <si>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</si>
  <si>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</si>
  <si>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</si>
  <si>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</si>
  <si>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</si>
  <si>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</si>
  <si>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</si>
  <si>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</si>
  <si>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</si>
  <si>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</si>
  <si>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</si>
  <si>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</si>
  <si>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</si>
  <si>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</si>
  <si>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</si>
  <si>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</si>
  <si>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</si>
  <si>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</si>
  <si>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</si>
  <si>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</si>
  <si>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</si>
  <si>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</si>
  <si>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</si>
  <si>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</si>
  <si>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</si>
  <si>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</si>
  <si>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</si>
  <si>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</si>
  <si>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</si>
  <si>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</si>
  <si>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</si>
  <si>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</si>
  <si>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</si>
  <si>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</si>
  <si>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</si>
  <si>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</si>
  <si>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</si>
  <si>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</si>
  <si>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</si>
  <si>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</si>
  <si>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</si>
  <si>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</si>
  <si>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</si>
  <si>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</si>
  <si>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</si>
  <si>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</si>
  <si>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</si>
  <si>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</si>
  <si>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</si>
  <si>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</si>
  <si>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</si>
  <si>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</si>
  <si>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</si>
  <si>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</si>
  <si>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</si>
  <si>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</si>
  <si>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</si>
  <si>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</si>
  <si>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</si>
  <si>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</si>
  <si>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</si>
  <si>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</si>
  <si>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</si>
  <si>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</si>
  <si>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</si>
  <si>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</si>
  <si>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</si>
  <si>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</si>
  <si>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</si>
  <si>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</si>
  <si>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</si>
  <si>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</si>
  <si>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</si>
  <si>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</si>
  <si>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</si>
  <si>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</si>
  <si>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</si>
  <si>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</si>
  <si>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</si>
  <si>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</si>
  <si>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</si>
  <si>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</si>
  <si>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</si>
  <si>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</si>
  <si>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</si>
  <si>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</si>
  <si>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</si>
  <si>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</si>
  <si>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</si>
  <si>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</si>
  <si>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</si>
  <si>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</si>
  <si>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</si>
  <si>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</si>
  <si>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</si>
  <si>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</si>
  <si>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</si>
  <si>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</si>
  <si>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</si>
  <si>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</si>
  <si>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</si>
  <si>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</si>
  <si>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</si>
  <si>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</si>
  <si>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</si>
  <si>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</si>
  <si>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</si>
  <si>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</si>
  <si>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</si>
  <si>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</si>
  <si>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</si>
  <si>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</si>
  <si>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</si>
  <si>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</si>
  <si>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</si>
  <si>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</si>
  <si>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</si>
  <si>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</si>
  <si>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</si>
  <si>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</si>
  <si>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</si>
  <si>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</si>
  <si>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</si>
  <si>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</si>
  <si>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</si>
  <si>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</si>
  <si>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</si>
  <si>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</si>
  <si>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</si>
  <si>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</si>
  <si>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</si>
  <si>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</si>
  <si>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</si>
  <si>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</si>
  <si>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</si>
  <si>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</si>
  <si>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</si>
  <si>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</si>
  <si>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</si>
  <si>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</si>
  <si>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</si>
  <si>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</si>
  <si>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</si>
  <si>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</si>
  <si>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</si>
  <si>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</si>
  <si>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</si>
  <si>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</si>
  <si>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</si>
  <si>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</si>
  <si>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</si>
  <si>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</si>
  <si>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</si>
  <si>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</si>
  <si>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</si>
  <si>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</si>
  <si>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</si>
  <si>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</si>
  <si>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</si>
  <si>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</si>
  <si>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</si>
  <si>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</si>
  <si>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</si>
  <si>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</si>
  <si>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</si>
  <si>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</si>
  <si>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</si>
  <si>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</si>
  <si>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</si>
  <si>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</si>
  <si>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</si>
  <si>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</si>
  <si>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</si>
  <si>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</si>
  <si>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</si>
  <si>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</si>
  <si>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</si>
  <si>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</si>
  <si>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</si>
  <si>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</si>
  <si>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</si>
  <si>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</si>
  <si>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</si>
  <si>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</si>
  <si>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</si>
  <si>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</si>
  <si>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</si>
  <si>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</si>
  <si>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</si>
  <si>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</si>
  <si>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</si>
  <si>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</si>
  <si>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</si>
  <si>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</si>
  <si>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</si>
  <si>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</si>
  <si>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</si>
  <si>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</si>
  <si>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</si>
  <si>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</si>
  <si>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</si>
  <si>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</si>
  <si>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</si>
  <si>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</si>
  <si>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</si>
  <si>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</si>
  <si>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</si>
  <si>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</si>
  <si>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</si>
  <si>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</si>
  <si>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</si>
  <si>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</si>
  <si>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</si>
  <si>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</si>
  <si>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</si>
  <si>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</si>
  <si>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</si>
  <si>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</si>
  <si>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</si>
  <si>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</si>
  <si>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</si>
  <si>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</si>
  <si>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</si>
  <si>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</si>
  <si>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</si>
  <si>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</si>
  <si>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</si>
  <si>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</si>
  <si>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</si>
  <si>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</si>
  <si>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</si>
  <si>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</si>
  <si>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</si>
  <si>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</si>
  <si>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</si>
  <si>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</si>
  <si>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</si>
  <si>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</si>
  <si>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</si>
  <si>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</si>
  <si>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</si>
  <si>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</si>
  <si>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</si>
  <si>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</si>
  <si>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</si>
  <si>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</si>
  <si>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</si>
  <si>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</si>
  <si>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</si>
  <si>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</si>
  <si>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</si>
  <si>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</si>
  <si>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</si>
  <si>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</si>
  <si>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</si>
  <si>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</si>
  <si>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</si>
  <si>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</si>
  <si>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</si>
  <si>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</si>
  <si>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</si>
  <si>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</si>
  <si>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</si>
  <si>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</si>
  <si>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</si>
  <si>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</si>
  <si>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</si>
  <si>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</si>
  <si>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</si>
  <si>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</si>
  <si>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</si>
  <si>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</si>
  <si>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</si>
  <si>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</si>
  <si>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</si>
  <si>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</si>
  <si>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</si>
  <si>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</si>
  <si>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</si>
  <si>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</si>
  <si>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</si>
  <si>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</si>
  <si>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</si>
  <si>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</si>
  <si>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</si>
  <si>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</si>
  <si>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</si>
  <si>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</si>
  <si>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</si>
  <si>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</si>
  <si>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</si>
  <si>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</si>
  <si>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</si>
  <si>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</si>
  <si>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</si>
  <si>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</si>
  <si>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</si>
  <si>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</si>
  <si>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</si>
  <si>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</si>
  <si>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</si>
  <si>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</si>
  <si>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</si>
  <si>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</si>
  <si>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</si>
  <si>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</si>
  <si>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</si>
  <si>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</si>
  <si>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</si>
  <si>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</si>
  <si>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</si>
  <si>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</si>
  <si>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</si>
  <si>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</si>
  <si>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</si>
  <si>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</si>
  <si>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</si>
  <si>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</si>
  <si>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</si>
  <si>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</si>
  <si>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</si>
  <si>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</si>
  <si>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</si>
  <si>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</si>
  <si>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</si>
  <si>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</si>
  <si>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</si>
  <si>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</si>
  <si>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</si>
  <si>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</si>
  <si>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</si>
  <si>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</si>
  <si>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</si>
  <si>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</si>
  <si>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</si>
  <si>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</si>
  <si>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</si>
  <si>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</si>
  <si>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</si>
  <si>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</si>
  <si>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</si>
  <si>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</si>
  <si>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</si>
  <si>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</si>
  <si>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</si>
  <si>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</si>
  <si>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</si>
  <si>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</si>
  <si>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</si>
  <si>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</si>
  <si>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</si>
  <si>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</si>
  <si>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</si>
  <si>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</si>
  <si>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</si>
  <si>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</si>
  <si>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</si>
  <si>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</si>
  <si>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</si>
  <si>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</si>
  <si>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</si>
  <si>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</si>
  <si>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</si>
  <si>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</si>
  <si>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</si>
  <si>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</si>
  <si>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</si>
  <si>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</si>
  <si>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</si>
  <si>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</si>
  <si>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</si>
  <si>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</si>
  <si>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</si>
  <si>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</si>
  <si>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</si>
  <si>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</si>
  <si>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</si>
  <si>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</si>
  <si>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</si>
  <si>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</si>
  <si>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</si>
  <si>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</si>
  <si>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</si>
  <si>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</si>
  <si>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</si>
  <si>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</si>
  <si>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</si>
  <si>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</si>
  <si>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</si>
  <si>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</si>
  <si>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</si>
  <si>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</si>
  <si>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</si>
  <si>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</si>
  <si>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</si>
  <si>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</si>
  <si>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</si>
  <si>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</si>
  <si>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</si>
  <si>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</si>
  <si>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</si>
  <si>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</si>
  <si>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</si>
  <si>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</si>
  <si>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</si>
  <si>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</si>
  <si>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</si>
  <si>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</si>
  <si>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</si>
  <si>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</si>
  <si>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</si>
  <si>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</si>
  <si>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</si>
  <si>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</si>
  <si>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</si>
  <si>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</si>
  <si>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</si>
  <si>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</si>
  <si>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</si>
  <si>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</si>
  <si>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</si>
  <si>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</si>
  <si>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</si>
  <si>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</si>
  <si>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</si>
  <si>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</si>
  <si>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</si>
  <si>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</si>
  <si>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</si>
  <si>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</si>
  <si>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</si>
  <si>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</si>
  <si>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</si>
  <si>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</si>
  <si>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</si>
  <si>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</si>
  <si>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</si>
  <si>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</si>
  <si>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</si>
  <si>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</si>
  <si>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</si>
  <si>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</si>
  <si>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</si>
  <si>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</si>
  <si>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</si>
  <si>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</si>
  <si>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</si>
  <si>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</si>
  <si>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</si>
  <si>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</si>
  <si>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</si>
  <si>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</si>
  <si>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</si>
  <si>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</si>
  <si>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</si>
  <si>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</si>
  <si>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</si>
  <si>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</si>
  <si>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</si>
  <si>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</si>
  <si>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</si>
  <si>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</si>
  <si>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</si>
  <si>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</si>
  <si>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</si>
  <si>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</si>
  <si>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</si>
  <si>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</si>
  <si>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</si>
  <si>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</si>
  <si>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</si>
  <si>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</si>
  <si>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</si>
  <si>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</si>
  <si>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</si>
  <si>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</si>
  <si>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</si>
  <si>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</si>
  <si>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</si>
  <si>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</si>
  <si>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</si>
  <si>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</si>
  <si>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</si>
  <si>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</si>
  <si>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</si>
  <si>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</si>
  <si>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</si>
  <si>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</si>
  <si>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</si>
  <si>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</si>
  <si>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</si>
  <si>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</si>
  <si>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</si>
  <si>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</si>
  <si>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</si>
  <si>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</si>
  <si>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</si>
  <si>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</si>
  <si>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</si>
  <si>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</si>
  <si>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</si>
  <si>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</si>
  <si>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</si>
  <si>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</si>
  <si>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</si>
  <si>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</si>
  <si>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</si>
  <si>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</si>
  <si>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</si>
  <si>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</si>
  <si>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</si>
  <si>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</si>
  <si>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</si>
  <si>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</si>
  <si>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</si>
  <si>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</si>
  <si>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</si>
  <si>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</si>
  <si>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</si>
  <si>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</si>
  <si>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</si>
  <si>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</si>
  <si>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</si>
  <si>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</si>
  <si>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</si>
  <si>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</si>
  <si>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</si>
  <si>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</si>
  <si>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</si>
  <si>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</si>
  <si>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</si>
  <si>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</si>
  <si>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</si>
  <si>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</si>
  <si>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</si>
  <si>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</si>
  <si>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</si>
  <si>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</si>
  <si>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</si>
  <si>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</si>
  <si>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</si>
  <si>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</si>
  <si>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</si>
  <si>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</si>
  <si>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</si>
  <si>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</si>
  <si>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</si>
  <si>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</si>
  <si>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</si>
  <si>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</si>
  <si>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</si>
  <si>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</si>
  <si>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</si>
  <si>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</si>
  <si>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</si>
  <si>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</si>
  <si>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</si>
  <si>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</si>
  <si>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</si>
  <si>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</si>
  <si>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</si>
  <si>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</si>
  <si>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</si>
  <si>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</si>
  <si>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</si>
  <si>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</si>
  <si>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</si>
  <si>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</si>
  <si>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</si>
  <si>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</si>
  <si>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</si>
  <si>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</si>
  <si>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</si>
  <si>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</si>
  <si>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</si>
  <si>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</si>
  <si>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</si>
  <si>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</si>
  <si>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</si>
  <si>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</si>
  <si>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</si>
  <si>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</si>
  <si>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</si>
  <si>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</si>
  <si>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</si>
  <si>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</si>
  <si>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</si>
  <si>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</si>
  <si>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</si>
  <si>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</si>
  <si>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</si>
  <si>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</si>
  <si>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</si>
  <si>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</si>
  <si>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</si>
  <si>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</si>
  <si>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</si>
  <si>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</si>
  <si>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</si>
  <si>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</si>
  <si>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</si>
  <si>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</si>
  <si>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</si>
  <si>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</si>
  <si>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</si>
  <si>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</si>
  <si>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</si>
  <si>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</si>
  <si>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</si>
  <si>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</si>
  <si>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</si>
  <si>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</si>
  <si>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</si>
  <si>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</si>
  <si>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</si>
  <si>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</si>
  <si>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</si>
  <si>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</si>
  <si>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</si>
  <si>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</si>
  <si>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</si>
  <si>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</si>
  <si>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</si>
  <si>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</si>
  <si>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</si>
  <si>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</si>
  <si>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</si>
  <si>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</si>
  <si>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</si>
  <si>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</si>
  <si>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</si>
  <si>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</si>
  <si>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</si>
  <si>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</si>
  <si>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</si>
  <si>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</si>
  <si>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</si>
  <si>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</si>
  <si>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</si>
  <si>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</si>
  <si>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</si>
  <si>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</si>
  <si>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</si>
  <si>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</si>
  <si>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</si>
  <si>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</si>
  <si>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</si>
  <si>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</si>
  <si>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</si>
  <si>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</si>
  <si>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</si>
  <si>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</si>
  <si>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</si>
  <si>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</si>
  <si>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</si>
  <si>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</si>
  <si>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</si>
  <si>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</si>
  <si>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</si>
  <si>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</si>
  <si>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</si>
  <si>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</si>
  <si>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</si>
  <si>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</si>
  <si>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</si>
  <si>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</si>
  <si>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</si>
  <si>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</si>
  <si>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</si>
  <si>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</si>
  <si>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</si>
  <si>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</si>
  <si>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</si>
  <si>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</si>
  <si>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</si>
  <si>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</si>
  <si>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</si>
  <si>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</si>
  <si>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</si>
  <si>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</si>
  <si>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</si>
  <si>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</si>
  <si>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</si>
  <si>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</si>
  <si>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</si>
  <si>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</si>
  <si>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</si>
  <si>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</si>
  <si>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</si>
  <si>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</si>
  <si>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</si>
  <si>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</si>
  <si>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</si>
  <si>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</si>
  <si>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</si>
  <si>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</si>
  <si>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</si>
  <si>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</si>
  <si>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</si>
  <si>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</si>
  <si>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</si>
  <si>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</si>
  <si>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</si>
  <si>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</si>
  <si>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</si>
  <si>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</si>
  <si>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</si>
  <si>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</si>
  <si>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</si>
  <si>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</si>
  <si>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</si>
  <si>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</si>
  <si>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</si>
  <si>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</si>
  <si>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</si>
  <si>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</si>
  <si>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</si>
  <si>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</si>
  <si>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</si>
  <si>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</si>
  <si>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</si>
  <si>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</si>
  <si>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</si>
  <si>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</si>
  <si>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</si>
  <si>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</si>
  <si>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</si>
  <si>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</si>
  <si>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</si>
  <si>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</si>
  <si>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</si>
  <si>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</si>
  <si>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</si>
  <si>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</si>
  <si>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</si>
  <si>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</si>
  <si>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</si>
  <si>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</si>
  <si>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</si>
  <si>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</si>
  <si>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</si>
  <si>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</si>
  <si>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</si>
  <si>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</si>
  <si>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</si>
  <si>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</si>
  <si>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</si>
  <si>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</si>
  <si>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</si>
  <si>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</si>
  <si>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</si>
  <si>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</si>
  <si>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</si>
  <si>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</si>
  <si>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</si>
  <si>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</si>
  <si>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</si>
  <si>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</si>
  <si>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</si>
  <si>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</si>
  <si>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</si>
  <si>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</si>
  <si>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</si>
  <si>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</si>
  <si>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</si>
  <si>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</si>
  <si>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</si>
  <si>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</si>
  <si>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</si>
  <si>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</si>
  <si>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</si>
  <si>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</si>
  <si>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</si>
  <si>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</si>
  <si>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</si>
  <si>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</si>
  <si>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</si>
  <si>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</si>
  <si>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</si>
  <si>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</si>
  <si>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</si>
  <si>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</si>
  <si>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</si>
  <si>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</si>
  <si>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</si>
  <si>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</si>
  <si>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</si>
  <si>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</si>
  <si>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</si>
  <si>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</si>
  <si>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</si>
  <si>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</si>
  <si>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</si>
  <si>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</si>
  <si>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</si>
  <si>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</si>
  <si>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</si>
  <si>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</si>
  <si>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</si>
  <si>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</si>
  <si>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</si>
  <si>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</si>
  <si>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</si>
  <si>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</si>
  <si>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</si>
  <si>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</si>
  <si>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</si>
  <si>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</si>
  <si>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</si>
  <si>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</si>
  <si>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</si>
  <si>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</si>
  <si>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</si>
  <si>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</si>
  <si>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</si>
  <si>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</si>
  <si>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</si>
  <si>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</si>
  <si>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</si>
  <si>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</si>
  <si>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</si>
  <si>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</si>
  <si>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</si>
  <si>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</si>
  <si>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</si>
  <si>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</si>
  <si>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</si>
  <si>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</si>
  <si>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</si>
  <si>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</si>
  <si>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</si>
  <si>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</si>
  <si>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</si>
  <si>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</si>
  <si>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</si>
  <si>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</si>
  <si>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</si>
  <si>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</si>
  <si>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</si>
  <si>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</si>
  <si>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</si>
  <si>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</si>
  <si>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</si>
  <si>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</si>
  <si>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</si>
  <si>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</si>
  <si>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</si>
  <si>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</si>
  <si>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</si>
  <si>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</si>
  <si>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</si>
  <si>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</si>
  <si>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</si>
  <si>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</si>
  <si>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</si>
  <si>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</si>
  <si>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</si>
  <si>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</si>
  <si>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</si>
  <si>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</si>
  <si>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</si>
  <si>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</si>
  <si>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</si>
  <si>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</si>
  <si>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</si>
  <si>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</si>
  <si>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</si>
  <si>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</si>
  <si>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</si>
  <si>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</si>
  <si>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</si>
  <si>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</si>
  <si>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</si>
  <si>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</si>
  <si>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</si>
  <si>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</si>
  <si>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</si>
  <si>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</si>
  <si>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</si>
  <si>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</si>
  <si>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</si>
  <si>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</si>
  <si>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</si>
  <si>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</si>
  <si>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</si>
  <si>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</si>
  <si>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</si>
  <si>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</si>
  <si>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</si>
  <si>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</si>
  <si>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</si>
  <si>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</si>
  <si>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</si>
  <si>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</si>
  <si>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</si>
  <si>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</si>
  <si>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</si>
  <si>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</si>
  <si>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</si>
  <si>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</si>
  <si>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</si>
  <si>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</si>
  <si>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</si>
  <si>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</si>
  <si>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</si>
  <si>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</si>
  <si>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</si>
  <si>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</si>
  <si>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</si>
  <si>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</si>
  <si>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</si>
  <si>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</si>
  <si>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</si>
  <si>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</si>
  <si>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</si>
  <si>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</si>
  <si>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</si>
  <si>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</si>
  <si>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</si>
  <si>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</si>
  <si>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</si>
  <si>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</si>
  <si>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</si>
  <si>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</si>
  <si>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</si>
  <si>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</si>
  <si>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</si>
  <si>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</si>
  <si>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</si>
  <si>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</si>
  <si>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</si>
  <si>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</si>
  <si>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</si>
  <si>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</si>
  <si>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</si>
  <si>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</si>
  <si>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</si>
  <si>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</si>
  <si>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</si>
  <si>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</si>
  <si>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</si>
  <si>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</si>
  <si>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</si>
  <si>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</si>
  <si>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</si>
  <si>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</si>
  <si>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</si>
  <si>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</si>
  <si>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</si>
  <si>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</si>
  <si>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</si>
  <si>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</si>
  <si>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</si>
  <si>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</si>
  <si>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</si>
  <si>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</si>
  <si>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</si>
  <si>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</si>
  <si>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</si>
  <si>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</si>
  <si>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</si>
  <si>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</si>
  <si>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</si>
  <si>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</si>
  <si>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</si>
  <si>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</si>
  <si>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</si>
  <si>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</si>
  <si>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</si>
  <si>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</si>
  <si>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</si>
  <si>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</si>
  <si>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</si>
  <si>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</si>
  <si>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</si>
  <si>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</si>
  <si>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</si>
  <si>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</si>
  <si>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</si>
  <si>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</si>
  <si>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</si>
  <si>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</si>
  <si>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</si>
  <si>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</si>
  <si>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</si>
  <si>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</si>
  <si>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</si>
  <si>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</si>
  <si>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</si>
  <si>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</si>
  <si>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</si>
  <si>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</si>
  <si>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</si>
  <si>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</si>
  <si>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</si>
  <si>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</si>
  <si>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</si>
  <si>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</si>
  <si>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</si>
  <si>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</si>
  <si>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</si>
  <si>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</si>
  <si>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</si>
  <si>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</si>
  <si>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</si>
  <si>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</si>
  <si>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</si>
  <si>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</si>
  <si>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</si>
  <si>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</si>
  <si>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</si>
  <si>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</si>
  <si>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</si>
  <si>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</si>
  <si>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</si>
  <si>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</si>
  <si>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</si>
  <si>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</si>
  <si>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</si>
  <si>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</si>
  <si>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</si>
  <si>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</si>
  <si>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</si>
  <si>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</si>
  <si>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</si>
  <si>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</si>
  <si>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</si>
  <si>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</si>
  <si>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</si>
  <si>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</si>
  <si>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</si>
  <si>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</si>
  <si>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</si>
  <si>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</si>
  <si>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</si>
  <si>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</si>
  <si>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</si>
  <si>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</si>
  <si>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</si>
  <si>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</si>
  <si>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</si>
  <si>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</si>
  <si>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</si>
  <si>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</si>
  <si>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</si>
  <si>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</si>
  <si>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</si>
  <si>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</si>
  <si>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</si>
  <si>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</si>
  <si>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</si>
  <si>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</si>
  <si>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</si>
  <si>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</si>
  <si>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</si>
  <si>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</si>
  <si>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</si>
  <si>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</si>
  <si>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</si>
  <si>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</si>
  <si>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</si>
  <si>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</si>
  <si>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</si>
  <si>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</si>
  <si>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</si>
  <si>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</si>
  <si>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</si>
  <si>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</si>
  <si>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</si>
  <si>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</si>
  <si>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</si>
  <si>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</si>
  <si>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</si>
  <si>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</si>
  <si>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</si>
  <si>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</si>
  <si>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</si>
  <si>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</si>
  <si>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</si>
  <si>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</si>
  <si>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</si>
  <si>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</si>
  <si>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</si>
  <si>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</si>
  <si>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</si>
  <si>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</si>
  <si>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</si>
  <si>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</si>
  <si>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</si>
  <si>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</si>
  <si>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</si>
  <si>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</si>
  <si>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</si>
  <si>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</si>
  <si>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</si>
  <si>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</si>
  <si>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</si>
  <si>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</si>
  <si>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</si>
  <si>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</si>
  <si>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</si>
  <si>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</si>
  <si>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</si>
  <si>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</si>
  <si>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</si>
  <si>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</si>
  <si>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</si>
  <si>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</si>
  <si>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</si>
  <si>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</si>
  <si>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</si>
  <si>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</si>
  <si>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</si>
  <si>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</si>
  <si>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</si>
  <si>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</si>
  <si>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</si>
  <si>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</si>
  <si>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</si>
  <si>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</si>
  <si>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</si>
  <si>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</si>
  <si>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</si>
  <si>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</si>
  <si>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</si>
  <si>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</si>
  <si>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</si>
  <si>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</si>
  <si>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</si>
  <si>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</si>
  <si>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</si>
  <si>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</si>
  <si>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</si>
  <si>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</si>
  <si>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</si>
  <si>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</si>
  <si>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</si>
  <si>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</si>
  <si>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</si>
  <si>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</si>
  <si>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</si>
  <si>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</si>
  <si>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</si>
  <si>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</si>
  <si>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</si>
  <si>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</si>
  <si>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</si>
  <si>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</si>
  <si>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</si>
  <si>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</si>
  <si>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</si>
  <si>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</si>
  <si>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</si>
  <si>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</si>
  <si>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</si>
  <si>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</si>
  <si>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</si>
  <si>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</si>
  <si>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</si>
  <si>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</si>
  <si>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</si>
  <si>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</si>
  <si>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</si>
  <si>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</si>
  <si>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</si>
  <si>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</si>
  <si>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</si>
  <si>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</si>
  <si>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</si>
  <si>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</si>
  <si>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</si>
  <si>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</si>
  <si>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</si>
  <si>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</si>
  <si>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</si>
  <si>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</si>
  <si>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</si>
  <si>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</si>
  <si>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</si>
  <si>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</si>
  <si>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</si>
  <si>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</si>
  <si>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</si>
  <si>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</si>
  <si>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</si>
  <si>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</si>
  <si>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</si>
  <si>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</si>
  <si>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</si>
  <si>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</si>
  <si>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</si>
  <si>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</si>
  <si>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</si>
  <si>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</si>
  <si>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</si>
  <si>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</si>
  <si>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</si>
  <si>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</si>
  <si>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</si>
  <si>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</si>
  <si>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</si>
  <si>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</si>
  <si>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</si>
  <si>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</si>
  <si>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</si>
  <si>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</si>
  <si>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</si>
  <si>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</si>
  <si>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</si>
  <si>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</si>
  <si>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</si>
  <si>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</si>
  <si>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</si>
  <si>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</si>
  <si>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</si>
  <si>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</si>
  <si>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</si>
  <si>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</si>
  <si>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</si>
  <si>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</si>
  <si>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</si>
  <si>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</si>
  <si>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</si>
  <si>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</si>
  <si>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</si>
  <si>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</si>
  <si>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</si>
  <si>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</si>
  <si>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</si>
  <si>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</si>
  <si>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</si>
  <si>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</si>
  <si>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</si>
  <si>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</si>
  <si>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</si>
  <si>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</si>
  <si>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</si>
  <si>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</si>
  <si>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</si>
  <si>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</si>
  <si>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</si>
  <si>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</si>
  <si>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</si>
  <si>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</si>
  <si>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</si>
  <si>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</si>
  <si>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</si>
  <si>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</si>
  <si>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</si>
  <si>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</si>
  <si>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</si>
  <si>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</si>
  <si>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</si>
  <si>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</si>
  <si>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</si>
  <si>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</si>
  <si>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</si>
  <si>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</si>
  <si>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</si>
  <si>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</si>
  <si>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</si>
  <si>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</si>
  <si>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</si>
  <si>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</si>
  <si>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</si>
  <si>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</si>
  <si>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</si>
  <si>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</si>
  <si>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</si>
  <si>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</si>
  <si>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</si>
  <si>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</si>
  <si>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</si>
  <si>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</si>
  <si>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</si>
  <si>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</si>
  <si>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</si>
  <si>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</si>
  <si>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</si>
  <si>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</si>
  <si>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</si>
  <si>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</si>
  <si>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</si>
  <si>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</si>
  <si>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</si>
  <si>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</si>
  <si>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</si>
  <si>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</si>
  <si>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</si>
  <si>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</si>
  <si>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</si>
  <si>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</si>
  <si>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</si>
  <si>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</si>
  <si>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</si>
  <si>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</si>
  <si>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</si>
  <si>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</si>
  <si>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</si>
  <si>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</si>
  <si>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</si>
  <si>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</si>
  <si>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</si>
  <si>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</si>
  <si>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</si>
  <si>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</si>
  <si>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</si>
  <si>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</si>
  <si>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</si>
  <si>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</si>
  <si>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</si>
  <si>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</si>
  <si>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</si>
  <si>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</si>
  <si>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</si>
  <si>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</si>
  <si>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</si>
  <si>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</si>
  <si>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</si>
  <si>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</si>
  <si>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</si>
  <si>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</si>
  <si>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</si>
  <si>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</si>
  <si>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</si>
  <si>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</si>
  <si>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</si>
  <si>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</si>
  <si>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</si>
  <si>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</si>
  <si>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</si>
  <si>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</si>
  <si>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</si>
  <si>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</si>
  <si>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</si>
  <si>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</si>
  <si>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</si>
  <si>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</si>
  <si>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</si>
  <si>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</si>
  <si>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</si>
  <si>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</si>
  <si>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</si>
  <si>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</si>
  <si>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</si>
  <si>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</si>
  <si>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</si>
  <si>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</si>
  <si>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</si>
  <si>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</si>
  <si>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</si>
  <si>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</si>
  <si>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</si>
  <si>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</si>
  <si>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</si>
  <si>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</si>
  <si>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</si>
  <si>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</si>
  <si>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</si>
  <si>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</si>
  <si>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</si>
  <si>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</si>
  <si>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</si>
  <si>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</si>
  <si>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</si>
  <si>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</si>
  <si>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</si>
  <si>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</si>
  <si>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</si>
  <si>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</si>
  <si>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</si>
  <si>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</si>
  <si>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</si>
  <si>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</si>
  <si>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</si>
  <si>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</si>
  <si>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</si>
  <si>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</si>
  <si>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</si>
  <si>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</si>
  <si>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</si>
  <si>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</si>
  <si>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</si>
  <si>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</si>
  <si>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</si>
  <si>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</si>
  <si>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</si>
  <si>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</si>
  <si>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</si>
  <si>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</si>
  <si>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</si>
  <si>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</si>
  <si>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</si>
  <si>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</si>
  <si>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</si>
  <si>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</si>
  <si>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</si>
  <si>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</si>
  <si>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</si>
  <si>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</si>
  <si>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</si>
  <si>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</si>
  <si>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</si>
  <si>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</si>
  <si>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</si>
  <si>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</si>
  <si>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</si>
  <si>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</si>
  <si>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</si>
  <si>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</si>
  <si>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</si>
  <si>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</si>
  <si>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</si>
  <si>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</si>
  <si>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</si>
  <si>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</si>
  <si>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</si>
  <si>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</si>
  <si>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</si>
  <si>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</si>
  <si>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</si>
  <si>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</si>
  <si>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</si>
  <si>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</si>
  <si>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</si>
  <si>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</si>
  <si>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</si>
  <si>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</si>
  <si>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</si>
  <si>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</si>
  <si>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</si>
  <si>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</si>
  <si>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</si>
  <si>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</si>
  <si>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</si>
  <si>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</si>
  <si>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</si>
  <si>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</si>
  <si>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</si>
  <si>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</si>
  <si>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</si>
  <si>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</si>
  <si>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</si>
  <si>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</si>
  <si>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</si>
  <si>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</si>
  <si>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</si>
  <si>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</si>
  <si>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</si>
  <si>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</si>
  <si>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</si>
  <si>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</si>
  <si>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</si>
  <si>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</si>
  <si>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</si>
  <si>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</si>
  <si>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</si>
  <si>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</si>
  <si>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</si>
  <si>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</si>
  <si>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</si>
  <si>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</si>
  <si>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</si>
  <si>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</si>
  <si>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</si>
  <si>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</si>
  <si>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</si>
  <si>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</si>
  <si>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</si>
  <si>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</si>
  <si>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</si>
  <si>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</si>
  <si>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</si>
  <si>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</si>
  <si>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</si>
  <si>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</si>
  <si>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</si>
  <si>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</si>
  <si>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</si>
  <si>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</si>
  <si>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</si>
  <si>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</si>
  <si>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</si>
  <si>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</si>
  <si>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</si>
  <si>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</si>
  <si>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</si>
  <si>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</si>
  <si>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</si>
  <si>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</si>
  <si>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</si>
  <si>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</si>
  <si>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</si>
  <si>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</si>
  <si>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</si>
  <si>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</si>
  <si>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</si>
  <si>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</si>
  <si>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</si>
  <si>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</si>
  <si>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</si>
  <si>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</si>
  <si>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</si>
  <si>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</si>
  <si>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</si>
  <si>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</si>
  <si>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</si>
  <si>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</si>
  <si>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</si>
  <si>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</si>
  <si>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</si>
  <si>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</si>
  <si>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</si>
  <si>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</si>
  <si>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</si>
  <si>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</si>
  <si>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</si>
  <si>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</si>
  <si>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</si>
  <si>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</si>
  <si>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</si>
  <si>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</si>
  <si>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</si>
  <si>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</si>
  <si>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</si>
  <si>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</si>
  <si>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</si>
  <si>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</si>
  <si>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</si>
  <si>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</si>
  <si>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</si>
  <si>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</si>
  <si>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</si>
  <si>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</si>
  <si>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</si>
  <si>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</si>
  <si>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</si>
  <si>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</si>
  <si>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</si>
  <si>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</si>
  <si>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</si>
  <si>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</si>
  <si>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</si>
  <si>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</si>
  <si>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</si>
  <si>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</si>
  <si>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</si>
  <si>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</si>
  <si>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</si>
  <si>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</si>
  <si>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</si>
  <si>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</si>
  <si>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</si>
  <si>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</si>
  <si>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</si>
  <si>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</si>
  <si>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</si>
  <si>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</si>
  <si>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</si>
  <si>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</si>
  <si>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</si>
  <si>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</si>
  <si>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</si>
  <si>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</si>
  <si>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</si>
  <si>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</si>
  <si>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</si>
  <si>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</si>
  <si>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</si>
  <si>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</si>
  <si>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</si>
  <si>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</si>
  <si>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</si>
  <si>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</si>
  <si>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</si>
  <si>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</si>
  <si>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</si>
  <si>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</si>
  <si>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</si>
  <si>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</si>
  <si>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</si>
  <si>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</si>
  <si>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</si>
  <si>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</si>
  <si>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</si>
  <si>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</si>
  <si>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</si>
  <si>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</si>
  <si>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</si>
  <si>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</si>
  <si>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</si>
  <si>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</si>
  <si>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</si>
  <si>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</si>
  <si>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</si>
  <si>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</si>
  <si>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</si>
  <si>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</si>
  <si>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</si>
  <si>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</si>
  <si>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</si>
  <si>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</si>
  <si>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</si>
  <si>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</si>
  <si>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</si>
  <si>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</si>
  <si>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</si>
  <si>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</si>
  <si>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</si>
  <si>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</si>
  <si>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</si>
  <si>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</si>
  <si>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</si>
  <si>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</si>
  <si>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</si>
  <si>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</si>
  <si>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</si>
  <si>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</si>
  <si>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</si>
  <si>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</si>
  <si>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</si>
  <si>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</si>
  <si>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</si>
  <si>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</si>
  <si>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</si>
  <si>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</si>
  <si>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</si>
  <si>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</si>
  <si>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</si>
  <si>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</si>
  <si>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</si>
  <si>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</si>
  <si>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</si>
  <si>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</si>
  <si>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</si>
  <si>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</si>
  <si>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</si>
  <si>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</si>
  <si>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</si>
  <si>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</si>
  <si>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</si>
  <si>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</si>
  <si>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</si>
  <si>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</si>
  <si>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</si>
  <si>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</si>
  <si>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</si>
  <si>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</si>
  <si>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</si>
  <si>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</si>
  <si>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</si>
  <si>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</si>
  <si>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</si>
  <si>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</si>
  <si>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</si>
  <si>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</si>
  <si>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</si>
  <si>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</si>
  <si>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</si>
  <si>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</si>
  <si>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</si>
  <si>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</si>
  <si>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</si>
  <si>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</si>
  <si>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</si>
  <si>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</si>
  <si>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</si>
  <si>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</si>
  <si>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</si>
  <si>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</si>
  <si>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</si>
  <si>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</si>
  <si>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</si>
  <si>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</si>
  <si>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</si>
  <si>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</si>
  <si>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</si>
  <si>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</si>
  <si>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</si>
  <si>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</si>
  <si>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</si>
  <si>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</si>
  <si>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</si>
  <si>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</si>
  <si>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</si>
  <si>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</si>
  <si>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</si>
  <si>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</si>
  <si>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</si>
  <si>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</si>
  <si>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</si>
  <si>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</si>
  <si>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</si>
  <si>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</si>
  <si>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</si>
  <si>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</si>
  <si>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</si>
  <si>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</si>
  <si>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</si>
  <si>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</si>
  <si>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</si>
  <si>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</si>
  <si>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</si>
  <si>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</si>
  <si>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</si>
  <si>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</si>
  <si>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</si>
  <si>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</si>
  <si>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</si>
  <si>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</si>
  <si>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</si>
  <si>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</si>
  <si>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</si>
  <si>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</si>
  <si>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</si>
  <si>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</si>
  <si>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</si>
  <si>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</si>
  <si>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</si>
  <si>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</si>
  <si>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</si>
  <si>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</si>
  <si>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</si>
  <si>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</si>
  <si>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</si>
  <si>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</si>
  <si>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</si>
  <si>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</si>
  <si>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</si>
  <si>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</si>
  <si>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</si>
  <si>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</si>
  <si>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</si>
  <si>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</si>
  <si>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</si>
  <si>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</si>
  <si>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</si>
  <si>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</si>
  <si>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</si>
  <si>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</si>
  <si>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</si>
  <si>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</si>
  <si>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</si>
  <si>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</si>
  <si>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</si>
  <si>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</si>
  <si>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</si>
  <si>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</si>
  <si>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</si>
  <si>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</si>
  <si>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</si>
  <si>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</si>
  <si>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</si>
  <si>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</si>
  <si>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</si>
  <si>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</si>
  <si>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</si>
  <si>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</si>
  <si>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</si>
  <si>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</si>
  <si>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</si>
  <si>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</si>
  <si>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</si>
  <si>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</si>
  <si>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</si>
  <si>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</si>
  <si>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</si>
  <si>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</si>
  <si>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</si>
  <si>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</si>
  <si>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</si>
  <si>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</si>
  <si>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</si>
  <si>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</si>
  <si>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</si>
  <si>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</si>
  <si>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</si>
  <si>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</si>
  <si>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</si>
  <si>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</si>
  <si>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</si>
  <si>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</si>
  <si>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</si>
  <si>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</si>
  <si>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</si>
  <si>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</si>
  <si>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</si>
  <si>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</si>
  <si>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</si>
  <si>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</si>
  <si>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</si>
  <si>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</si>
  <si>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</si>
  <si>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</si>
  <si>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</si>
  <si>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</si>
  <si>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</si>
  <si>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</si>
  <si>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</si>
  <si>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</si>
  <si>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</si>
  <si>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</si>
  <si>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</si>
  <si>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</si>
  <si>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</si>
  <si>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</si>
  <si>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</si>
  <si>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</si>
  <si>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</si>
  <si>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</si>
  <si>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</si>
  <si>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</si>
  <si>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</si>
  <si>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</si>
  <si>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</si>
  <si>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</si>
  <si>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</si>
  <si>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</si>
  <si>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</si>
  <si>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</si>
  <si>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</si>
  <si>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</si>
  <si>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</si>
  <si>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</si>
  <si>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</si>
  <si>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</si>
  <si>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</si>
  <si>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</si>
  <si>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</si>
  <si>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</si>
  <si>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</si>
  <si>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</si>
  <si>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</si>
  <si>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</si>
  <si>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</si>
  <si>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</si>
  <si>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</si>
  <si>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</si>
  <si>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</si>
  <si>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</si>
  <si>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</si>
  <si>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</si>
  <si>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</si>
  <si>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</si>
  <si>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</si>
  <si>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</si>
  <si>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</si>
  <si>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</si>
  <si>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</si>
  <si>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</si>
  <si>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</si>
  <si>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</si>
  <si>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</si>
  <si>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</si>
  <si>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</si>
  <si>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</si>
  <si>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</si>
  <si>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</si>
  <si>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</si>
  <si>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</si>
  <si>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</si>
  <si>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</si>
  <si>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</si>
  <si>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</si>
  <si>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</si>
  <si>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</si>
  <si>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</si>
  <si>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</si>
  <si>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</si>
  <si>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</si>
  <si>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</si>
  <si>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</si>
  <si>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</si>
  <si>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</si>
  <si>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</si>
  <si>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</si>
  <si>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</si>
  <si>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</si>
  <si>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</si>
  <si>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</si>
  <si>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</si>
  <si>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</si>
  <si>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</si>
  <si>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</si>
  <si>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</si>
  <si>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</si>
  <si>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</si>
  <si>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</si>
  <si>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</si>
  <si>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</si>
  <si>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</si>
  <si>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</si>
  <si>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</si>
  <si>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</si>
  <si>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</si>
  <si>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</si>
  <si>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</si>
  <si>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</si>
  <si>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</si>
  <si>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</si>
  <si>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</si>
  <si>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</si>
  <si>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</si>
  <si>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</si>
  <si>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</si>
  <si>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</si>
  <si>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</si>
  <si>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</si>
  <si>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</si>
  <si>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</si>
  <si>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</si>
  <si>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</si>
  <si>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</si>
  <si>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</si>
  <si>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</si>
  <si>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</si>
  <si>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</si>
  <si>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</si>
  <si>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</si>
  <si>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</si>
  <si>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</si>
  <si>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</si>
  <si>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</si>
  <si>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</si>
  <si>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</si>
  <si>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</si>
  <si>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</si>
  <si>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</si>
  <si>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</si>
  <si>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</si>
  <si>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</si>
  <si>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</si>
  <si>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</si>
  <si>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</si>
  <si>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</si>
  <si>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</si>
  <si>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</si>
  <si>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</si>
  <si>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</si>
  <si>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</si>
  <si>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</si>
  <si>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</si>
  <si>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</si>
  <si>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</si>
  <si>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</si>
  <si>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</si>
  <si>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</si>
  <si>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</si>
  <si>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</si>
  <si>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</si>
  <si>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</si>
  <si>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</si>
  <si>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</si>
  <si>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</si>
  <si>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</si>
  <si>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</si>
  <si>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</si>
  <si>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</si>
  <si>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</si>
  <si>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</si>
  <si>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</si>
  <si>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</si>
  <si>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</si>
  <si>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</si>
  <si>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</si>
  <si>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</si>
  <si>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</si>
  <si>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</si>
  <si>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</si>
  <si>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</si>
  <si>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</si>
  <si>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</si>
  <si>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</si>
  <si>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</si>
  <si>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</si>
  <si>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</si>
  <si>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</si>
  <si>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</si>
  <si>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</si>
  <si>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</si>
  <si>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</si>
  <si>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</si>
  <si>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</si>
  <si>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</si>
  <si>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</si>
  <si>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</si>
  <si>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</si>
  <si>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</si>
  <si>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</si>
  <si>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</si>
  <si>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</si>
  <si>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</si>
  <si>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</si>
  <si>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</si>
  <si>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</si>
  <si>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</si>
  <si>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</si>
  <si>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</si>
  <si>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</si>
  <si>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</si>
  <si>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</si>
  <si>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</si>
  <si>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</si>
  <si>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</si>
  <si>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</si>
  <si>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</si>
  <si>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</si>
  <si>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</si>
  <si>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</si>
  <si>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</si>
  <si>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</si>
  <si>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</si>
  <si>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</si>
  <si>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</si>
  <si>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</si>
  <si>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</si>
  <si>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</si>
  <si>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</si>
  <si>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</si>
  <si>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</si>
  <si>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</si>
  <si>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</si>
  <si>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</si>
  <si>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</si>
  <si>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</si>
  <si>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</si>
  <si>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</si>
  <si>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</si>
  <si>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</si>
  <si>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</si>
  <si>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</si>
  <si>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</si>
  <si>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</si>
  <si>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</si>
  <si>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</si>
  <si>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</si>
  <si>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</si>
  <si>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</si>
  <si>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</si>
  <si>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</si>
  <si>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</si>
  <si>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</si>
  <si>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</si>
  <si>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</si>
  <si>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</si>
  <si>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</si>
  <si>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</si>
  <si>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</si>
  <si>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</si>
  <si>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</si>
  <si>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</si>
  <si>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</si>
  <si>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</si>
  <si>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</si>
  <si>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</si>
  <si>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</si>
  <si>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</si>
  <si>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</si>
  <si>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</si>
  <si>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</si>
  <si>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</si>
  <si>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</si>
  <si>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</si>
  <si>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</si>
  <si>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</si>
  <si>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</si>
  <si>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</si>
  <si>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</si>
  <si>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</si>
  <si>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</si>
  <si>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</si>
  <si>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</si>
  <si>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</si>
  <si>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</si>
  <si>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</si>
  <si>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</si>
  <si>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</si>
  <si>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</si>
  <si>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</si>
  <si>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</si>
  <si>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</si>
  <si>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</si>
  <si>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</si>
  <si>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</si>
  <si>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</si>
  <si>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</si>
  <si>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</si>
  <si>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</si>
  <si>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</si>
  <si>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</si>
  <si>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</si>
  <si>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</si>
  <si>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</si>
  <si>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</si>
  <si>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</si>
  <si>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</si>
  <si>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</si>
  <si>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</si>
  <si>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</si>
  <si>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</si>
  <si>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</si>
  <si>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</si>
  <si>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</si>
  <si>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</si>
  <si>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</si>
  <si>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</si>
  <si>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</si>
  <si>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</si>
  <si>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</si>
  <si>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</si>
  <si>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</si>
  <si>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</si>
  <si>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</si>
  <si>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</si>
  <si>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</si>
  <si>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</si>
  <si>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</si>
  <si>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</si>
  <si>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</si>
  <si>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</si>
  <si>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</si>
  <si>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</si>
  <si>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</si>
  <si>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</si>
  <si>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</si>
  <si>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</si>
  <si>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</si>
  <si>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</si>
  <si>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</si>
  <si>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</si>
  <si>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</si>
  <si>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</si>
  <si>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</si>
  <si>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</si>
  <si>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</si>
  <si>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</si>
  <si>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</si>
  <si>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</si>
  <si>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</si>
  <si>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</si>
  <si>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</si>
  <si>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</si>
  <si>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</si>
  <si>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</si>
  <si>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</si>
  <si>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</si>
  <si>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</si>
  <si>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</si>
  <si>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</si>
  <si>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</si>
  <si>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</si>
  <si>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</si>
  <si>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</si>
  <si>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</si>
  <si>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</si>
  <si>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</si>
  <si>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</si>
  <si>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</si>
  <si>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</si>
  <si>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</si>
  <si>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</si>
  <si>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</si>
  <si>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</si>
  <si>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</si>
  <si>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</si>
  <si>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</si>
  <si>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</si>
  <si>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</si>
  <si>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</si>
  <si>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</si>
  <si>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</si>
  <si>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</si>
  <si>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</si>
  <si>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</si>
  <si>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</si>
  <si>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</si>
  <si>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</si>
  <si>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</si>
  <si>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</si>
  <si>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</si>
  <si>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</si>
  <si>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</si>
  <si>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</si>
  <si>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</si>
  <si>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</si>
  <si>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</si>
  <si>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</si>
  <si>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</si>
  <si>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</si>
  <si>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</si>
  <si>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</si>
  <si>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</si>
  <si>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</si>
  <si>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</si>
  <si>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</si>
  <si>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</si>
  <si>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</si>
  <si>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</si>
  <si>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</si>
  <si>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</si>
  <si>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</si>
  <si>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</si>
  <si>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</si>
  <si>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</si>
  <si>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</si>
  <si>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</si>
  <si>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</si>
  <si>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</si>
  <si>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</si>
  <si>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</si>
  <si>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</si>
  <si>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</si>
  <si>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</si>
  <si>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</si>
  <si>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</si>
  <si>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</si>
  <si>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</si>
  <si>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</si>
  <si>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</si>
  <si>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</si>
  <si>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</si>
  <si>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</si>
  <si>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</si>
  <si>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</si>
  <si>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</si>
  <si>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</si>
  <si>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</si>
  <si>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</si>
  <si>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</si>
  <si>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</si>
  <si>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</si>
  <si>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</si>
  <si>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</si>
  <si>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</si>
  <si>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</si>
  <si>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</si>
  <si>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</si>
  <si>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</si>
  <si>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</si>
  <si>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</si>
  <si>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</si>
  <si>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</si>
  <si>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</si>
  <si>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</si>
  <si>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</si>
  <si>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</si>
  <si>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</si>
  <si>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</si>
  <si>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</si>
  <si>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</si>
  <si>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</si>
  <si>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</si>
  <si>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</si>
  <si>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</si>
  <si>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</si>
  <si>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</si>
  <si>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</si>
  <si>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</si>
  <si>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</si>
  <si>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</si>
  <si>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</si>
  <si>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</si>
  <si>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</si>
  <si>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</si>
  <si>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</si>
  <si>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</si>
  <si>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</si>
  <si>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</si>
  <si>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</si>
  <si>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</si>
  <si>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</si>
  <si>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</si>
  <si>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</si>
  <si>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</si>
  <si>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</si>
  <si>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</si>
  <si>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</si>
  <si>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</si>
  <si>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</si>
  <si>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</si>
  <si>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</si>
  <si>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</si>
  <si>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</si>
  <si>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</si>
  <si>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</si>
  <si>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</si>
  <si>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</si>
  <si>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</si>
  <si>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</si>
  <si>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</si>
  <si>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</si>
  <si>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</si>
  <si>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</si>
  <si>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</si>
  <si>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</si>
  <si>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</si>
  <si>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</si>
  <si>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</si>
  <si>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</si>
  <si>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</si>
  <si>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</si>
  <si>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</si>
  <si>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</si>
  <si>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</si>
  <si>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</si>
  <si>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</si>
  <si>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</si>
  <si>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</si>
  <si>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</si>
  <si>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</si>
  <si>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</si>
  <si>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</si>
  <si>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</si>
  <si>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</si>
  <si>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</si>
  <si>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</si>
  <si>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</si>
  <si>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</si>
  <si>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</si>
  <si>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</si>
  <si>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</si>
  <si>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</si>
  <si>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</si>
  <si>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</si>
  <si>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</si>
  <si>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</si>
  <si>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</si>
  <si>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</si>
  <si>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</si>
  <si>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</si>
  <si>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</si>
  <si>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</si>
  <si>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</si>
  <si>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</si>
  <si>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</si>
  <si>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</si>
  <si>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</si>
  <si>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</si>
  <si>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</si>
  <si>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</si>
  <si>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</si>
  <si>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</si>
  <si>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</si>
  <si>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</si>
  <si>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</si>
  <si>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</si>
  <si>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</si>
  <si>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</si>
  <si>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</si>
  <si>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</si>
  <si>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</si>
  <si>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</si>
  <si>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</si>
  <si>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</si>
  <si>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</si>
  <si>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</si>
  <si>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</si>
  <si>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</si>
  <si>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</si>
  <si>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</si>
  <si>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</si>
  <si>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</si>
  <si>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</si>
  <si>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</si>
  <si>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</si>
  <si>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</si>
  <si>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</si>
  <si>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</si>
  <si>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</si>
  <si>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</si>
  <si>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</si>
  <si>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</si>
  <si>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</si>
  <si>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</si>
  <si>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</si>
  <si>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</si>
  <si>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</si>
  <si>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</si>
  <si>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DEĞERLENDİRME DEVAM EDEN (BEKLEYEN)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</si>
</sst>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4"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b/>
      <sz val="10"/>
      <color rgb="FFFFFFFF"/>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s>
  <fills count="48">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s>
  <cellStyleXfs count="2">
    <xf numFmtId="0" fontId="0" fillId="0" borderId="0"/>
    <xf numFmtId="0" fontId="8" fillId="0" borderId="0"/>
  </cellStyleXfs>
  <cellXfs count="261">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9" fillId="40" borderId="33" xfId="0" applyFont="1" applyFill="1" applyBorder="1" applyAlignment="1">
      <alignment horizontal="center" vertical="center" wrapText="1"/>
    </xf>
    <xf numFmtId="0" fontId="80" fillId="40" borderId="33" xfId="0" applyFont="1" applyFill="1" applyBorder="1" applyAlignment="1">
      <alignment horizontal="left" vertical="center" wrapText="1"/>
    </xf>
    <xf numFmtId="0" fontId="81"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1"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1"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1" fillId="42" borderId="33" xfId="0" applyFont="1" applyFill="1" applyBorder="1" applyAlignment="1">
      <alignment horizontal="left" vertical="center" wrapText="1"/>
    </xf>
    <xf numFmtId="0" fontId="81"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1" fillId="41" borderId="33" xfId="0" applyFont="1" applyFill="1" applyBorder="1" applyAlignment="1">
      <alignment horizontal="left" vertical="center" wrapText="1"/>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78" fillId="40" borderId="33" xfId="0" applyFont="1" applyFill="1" applyBorder="1" applyAlignment="1">
      <alignment horizontal="left" vertical="center" wrapText="1"/>
    </xf>
    <xf numFmtId="165" fontId="83"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2"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15" fillId="11" borderId="0" xfId="0" applyFont="1" applyFill="1" applyAlignment="1">
      <alignment horizontal="center" vertical="center"/>
    </xf>
    <xf numFmtId="0" fontId="12" fillId="4" borderId="2" xfId="0" applyFont="1" applyFill="1" applyBorder="1" applyAlignment="1">
      <alignment horizontal="right" vertical="center"/>
    </xf>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xf numFmtId="0" fontId="42" fillId="45" borderId="33" xfId="0" applyFont="1" applyFill="1" applyBorder="1" applyAlignment="1">
      <alignment horizontal="left" vertical="center" wrapText="1"/>
    </xf>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26.638517013889" createdVersion="8" refreshedVersion="8" minRefreshableVersion="3" recordCount="1485"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2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m/>
        <s v="Prof. Dr. Nezih AKKAPULU" u="1"/>
        <s v="Dr. Öğr. Üyesi Gonca ÖZTEN" u="1"/>
        <s v="Prof. Dr. Taylan TAV" u="1"/>
      </sharedItems>
    </cacheField>
    <cacheField name="BİRİMİ" numFmtId="0">
      <sharedItems containsBlank="1" count="65">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15T00:00:00"/>
    </cacheField>
    <cacheField name="KURUL TARİHİ" numFmtId="0">
      <sharedItems containsNonDate="0" containsDate="1" containsString="0" containsBlank="1" minDate="2026-01-06T00:00:00" maxDate="2026-04-29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44"/>
    </cacheField>
    <cacheField name="KURUL KARARI 2" numFmtId="0">
      <sharedItems containsBlank="1" containsMixedTypes="1" containsNumber="1" containsInteger="1" minValue="0" maxValue="82"/>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4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5">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s v="DÜZELTME"/>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s v="DÜZELTME"/>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s v="DÜZELTME"/>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s v="DÜZELTME"/>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m/>
    <m/>
    <m/>
    <s v="DÜZELTME"/>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m/>
    <m/>
    <m/>
    <s v="DÜZELTME"/>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m/>
    <m/>
    <m/>
    <s v="DÜZELTME"/>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m/>
    <m/>
    <m/>
    <s v="DÜZELTME"/>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m/>
    <m/>
    <m/>
    <s v="DÜZELTME"/>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m/>
    <m/>
    <m/>
    <s v="DÜZELTME"/>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DÜZELTME"/>
    <m/>
    <m/>
    <m/>
    <s v="DÜZELTME"/>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ONAY"/>
    <m/>
    <m/>
    <m/>
    <s v="ONAY"/>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m/>
    <m/>
    <m/>
    <s v="DÜZELTME"/>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m/>
    <m/>
    <m/>
    <s v="DÜZELTME"/>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m/>
    <m/>
    <m/>
    <s v="DÜZELTME"/>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m/>
    <m/>
    <m/>
    <m/>
    <n v="0"/>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m/>
    <m/>
    <m/>
    <m/>
    <n v="0"/>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m/>
    <m/>
    <m/>
    <m/>
    <n v="0"/>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m/>
    <m/>
    <m/>
    <m/>
    <n v="0"/>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m/>
    <m/>
    <m/>
    <m/>
    <n v="0"/>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m/>
    <m/>
    <m/>
    <m/>
    <n v="0"/>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m/>
    <m/>
    <m/>
    <m/>
    <n v="0"/>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m/>
    <m/>
    <m/>
    <m/>
    <m/>
    <m/>
    <n v="0"/>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m/>
    <m/>
    <m/>
    <m/>
    <m/>
    <m/>
    <n v="0"/>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m/>
    <m/>
    <m/>
    <m/>
    <m/>
    <m/>
    <n v="0"/>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m/>
    <m/>
    <m/>
    <m/>
    <m/>
    <m/>
    <n v="0"/>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m/>
    <m/>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m/>
    <m/>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m/>
    <m/>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m/>
    <m/>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m/>
    <m/>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m/>
    <m/>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m/>
    <m/>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m/>
    <m/>
    <m/>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m/>
    <m/>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m/>
    <m/>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m/>
    <m/>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m/>
    <m/>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m/>
    <m/>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m/>
    <m/>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m/>
    <m/>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m/>
    <m/>
    <m/>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m/>
    <m/>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m/>
    <m/>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m/>
    <m/>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m/>
    <m/>
    <m/>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m/>
    <m/>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m/>
    <m/>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m/>
    <m/>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m/>
    <m/>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m/>
    <m/>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m/>
    <m/>
    <m/>
    <m/>
    <m/>
    <m/>
    <m/>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m/>
    <m/>
    <m/>
    <m/>
    <m/>
    <m/>
    <m/>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m/>
    <m/>
    <m/>
    <m/>
    <m/>
    <m/>
    <m/>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m/>
    <m/>
    <m/>
    <m/>
    <m/>
    <m/>
    <m/>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m/>
    <m/>
    <m/>
    <m/>
    <m/>
    <m/>
    <m/>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m/>
    <m/>
    <m/>
    <m/>
    <m/>
    <m/>
    <m/>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m/>
    <m/>
    <m/>
    <m/>
    <m/>
    <m/>
    <n v="0"/>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m/>
    <m/>
    <m/>
    <m/>
    <m/>
    <m/>
    <n v="0"/>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m/>
    <m/>
    <m/>
    <m/>
    <m/>
    <m/>
    <n v="0"/>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m/>
    <m/>
    <m/>
    <m/>
    <m/>
    <m/>
    <n v="0"/>
  </r>
  <r>
    <s v="392."/>
    <s v="SBA 26/392"/>
    <x v="221"/>
    <x v="64"/>
    <m/>
    <m/>
    <m/>
    <m/>
    <m/>
    <m/>
    <m/>
    <m/>
    <m/>
    <m/>
    <m/>
    <n v="0"/>
  </r>
  <r>
    <s v="393."/>
    <s v="SBA 26/393"/>
    <x v="221"/>
    <x v="64"/>
    <m/>
    <m/>
    <m/>
    <m/>
    <m/>
    <m/>
    <m/>
    <m/>
    <m/>
    <m/>
    <m/>
    <n v="0"/>
  </r>
  <r>
    <s v="394."/>
    <s v="SBA 26/394"/>
    <x v="221"/>
    <x v="64"/>
    <m/>
    <m/>
    <m/>
    <m/>
    <m/>
    <m/>
    <m/>
    <m/>
    <m/>
    <m/>
    <m/>
    <n v="0"/>
  </r>
  <r>
    <s v="395."/>
    <s v="SBA 26/395"/>
    <x v="221"/>
    <x v="64"/>
    <m/>
    <m/>
    <m/>
    <m/>
    <m/>
    <m/>
    <m/>
    <m/>
    <m/>
    <m/>
    <m/>
    <n v="0"/>
  </r>
  <r>
    <s v="396."/>
    <s v="SBA 26/396"/>
    <x v="221"/>
    <x v="64"/>
    <m/>
    <m/>
    <m/>
    <m/>
    <m/>
    <m/>
    <m/>
    <m/>
    <m/>
    <m/>
    <m/>
    <n v="0"/>
  </r>
  <r>
    <s v="397."/>
    <s v="SBA 26/397"/>
    <x v="221"/>
    <x v="64"/>
    <m/>
    <m/>
    <m/>
    <m/>
    <m/>
    <m/>
    <m/>
    <m/>
    <m/>
    <m/>
    <m/>
    <n v="0"/>
  </r>
  <r>
    <s v="398."/>
    <s v="SBA 26/398"/>
    <x v="221"/>
    <x v="64"/>
    <m/>
    <m/>
    <m/>
    <m/>
    <m/>
    <m/>
    <m/>
    <m/>
    <m/>
    <m/>
    <m/>
    <n v="0"/>
  </r>
  <r>
    <s v="399."/>
    <s v="SBA 26/399"/>
    <x v="221"/>
    <x v="64"/>
    <m/>
    <m/>
    <m/>
    <m/>
    <m/>
    <m/>
    <m/>
    <m/>
    <m/>
    <m/>
    <m/>
    <n v="0"/>
  </r>
  <r>
    <s v="400."/>
    <s v="SBA 26/400"/>
    <x v="221"/>
    <x v="64"/>
    <m/>
    <m/>
    <m/>
    <m/>
    <m/>
    <m/>
    <m/>
    <m/>
    <m/>
    <m/>
    <m/>
    <n v="0"/>
  </r>
  <r>
    <m/>
    <m/>
    <x v="221"/>
    <x v="64"/>
    <m/>
    <m/>
    <m/>
    <m/>
    <m/>
    <m/>
    <m/>
    <m/>
    <m/>
    <m/>
    <m/>
    <m/>
  </r>
  <r>
    <m/>
    <m/>
    <x v="221"/>
    <x v="64"/>
    <m/>
    <m/>
    <m/>
    <m/>
    <m/>
    <m/>
    <m/>
    <m/>
    <m/>
    <m/>
    <m/>
    <m/>
  </r>
  <r>
    <m/>
    <m/>
    <x v="221"/>
    <x v="64"/>
    <m/>
    <m/>
    <m/>
    <m/>
    <m/>
    <m/>
    <m/>
    <m/>
    <m/>
    <m/>
    <m/>
    <m/>
  </r>
  <r>
    <m/>
    <m/>
    <x v="221"/>
    <x v="64"/>
    <m/>
    <s v="“Üniversite Öğrencilerinde Ekran Zamanının ve Teknoloji Kullanımının Ruh Sağlığı Üzerindeki Etkileri”"/>
    <m/>
    <m/>
    <m/>
    <m/>
    <s v="ONAY"/>
    <n v="185"/>
    <n v="61"/>
    <n v="7"/>
    <n v="0"/>
    <n v="253"/>
  </r>
  <r>
    <m/>
    <m/>
    <x v="221"/>
    <x v="64"/>
    <m/>
    <s v="“Periodontal Durum, Oral Sağlık ve Sosyal Anksiyete Düzeyi Arasındaki İlişkinin İncelenmesi”"/>
    <m/>
    <m/>
    <m/>
    <m/>
    <s v="DÜZELTME"/>
    <n v="125"/>
    <n v="9"/>
    <n v="0"/>
    <n v="0"/>
    <n v="62"/>
  </r>
  <r>
    <m/>
    <m/>
    <x v="221"/>
    <x v="64"/>
    <m/>
    <s v="“65 Yaş Üstü Hastalarda Yaşlı Ayrımcılığına Maruziyet Sıklığı, Yaşlı Ayrımcılığının İlişkili Olduğu Faktörler ve Bakım Verenlerinde Yaşlanma Anksiyetesi”"/>
    <m/>
    <m/>
    <m/>
    <m/>
    <s v="KAEK"/>
    <n v="9"/>
    <n v="0"/>
    <n v="0"/>
    <n v="0"/>
    <n v="8"/>
  </r>
  <r>
    <m/>
    <m/>
    <x v="221"/>
    <x v="64"/>
    <m/>
    <s v="“Avrupa'da Geriatri Tıbbı Eğitim Programının Tamamlanması: Milenyum Kuşağı ve Z Kuşağı Geriatristlerinin Mesleki Beklentileri- Kesitsel, Avrupa Tabanlı Bir Çalışma”"/>
    <m/>
    <m/>
    <m/>
    <m/>
    <s v="GÖRÜŞ"/>
    <n v="9"/>
    <n v="8"/>
    <n v="0"/>
    <n v="0"/>
    <n v="3"/>
  </r>
  <r>
    <m/>
    <m/>
    <x v="221"/>
    <x v="64"/>
    <m/>
    <s v="“Sağlık Profesyonellerinin Besin ve İlaç Etkileşimleri Hakkında Bilgi ve Farkındalık Düzeylerinin Değerlendirilmesi”"/>
    <m/>
    <m/>
    <m/>
    <m/>
    <s v="KAPSAM DIŞI"/>
    <n v="6"/>
    <n v="1"/>
    <n v="0"/>
    <n v="0"/>
    <n v="7"/>
  </r>
  <r>
    <m/>
    <m/>
    <x v="221"/>
    <x v="64"/>
    <m/>
    <s v="“Çocuklarda Kedi, Köpek ve At Alerjisinde Moleküler Duyarlılık Özellikleri ve Klinik ile İlişkisi”"/>
    <m/>
    <m/>
    <m/>
    <m/>
    <s v="RET"/>
    <n v="10"/>
    <n v="0"/>
    <n v="0"/>
    <n v="0"/>
    <n v="8"/>
  </r>
  <r>
    <m/>
    <m/>
    <x v="221"/>
    <x v="64"/>
    <m/>
    <s v="“Denosumab Tedavisinde İnterlökin-6 Düzeyi ve DEXA Yanıtı İlişkisi: Retrospektif Bir Analiz”"/>
    <m/>
    <m/>
    <m/>
    <m/>
    <s v="GERİ ÇEKİLDİ"/>
    <n v="0"/>
    <n v="3"/>
    <n v="0"/>
    <n v="0"/>
    <n v="3"/>
  </r>
  <r>
    <m/>
    <m/>
    <x v="221"/>
    <x v="64"/>
    <m/>
    <s v="“Clostridium Difficile Enfeksiyonu Olan Hastanede Yatan 50 Yaş ve Üstü Hastaların Kapsamlı Geriatrik Değerlendirme ile Değerlendirilmesi”"/>
    <m/>
    <m/>
    <m/>
    <m/>
    <s v="TOPLAM"/>
    <n v="344"/>
    <n v="82"/>
    <n v="7"/>
    <n v="0"/>
    <n v="344"/>
  </r>
  <r>
    <m/>
    <m/>
    <x v="221"/>
    <x v="64"/>
    <m/>
    <s v="“İlaca Dirençli Epilepside MikroRNA İfade Değişikliklerinin Değerlendirilmesi”"/>
    <m/>
    <m/>
    <m/>
    <m/>
    <m/>
    <m/>
    <m/>
    <m/>
    <m/>
    <m/>
  </r>
  <r>
    <m/>
    <m/>
    <x v="221"/>
    <x v="64"/>
    <m/>
    <s v="“Emilebilir İp Uygulamaları ile Biyostimülan Ajanların Yüz Anatomisi Şekillendirme Kapasitesinin Değerlendirmesi: Retrospektif Gözlem Çalışması”"/>
    <m/>
    <m/>
    <m/>
    <m/>
    <m/>
    <m/>
    <m/>
    <m/>
    <m/>
    <m/>
  </r>
  <r>
    <m/>
    <m/>
    <x v="221"/>
    <x v="64"/>
    <m/>
    <s v="“Rozasea Hastalığının Bazı Alt Gruplarında Görülebilen Oküler Tutulumun Belirlenmesinde ve Takibinde Kullanılabilecek Yeni Biyobelirteçlerin Klinik Temelli Metabolomik Çalışmalarla Araştırılması”"/>
    <m/>
    <m/>
    <m/>
    <m/>
    <m/>
    <n v="56"/>
    <m/>
    <m/>
    <m/>
    <m/>
  </r>
  <r>
    <m/>
    <m/>
    <x v="221"/>
    <x v="64"/>
    <m/>
    <s v="“STAT1 ve STAT3 Mutasyonu olan Hastaların Klinik ve Laboratuvar Özelliklerinin Değerlendirilmesi”"/>
    <m/>
    <m/>
    <m/>
    <m/>
    <m/>
    <m/>
    <m/>
    <m/>
    <m/>
    <m/>
  </r>
  <r>
    <m/>
    <m/>
    <x v="221"/>
    <x v="64"/>
    <m/>
    <s v="“Emzirme Döneminde Beslenme: Annelerin İnanç ve Deneyimlerine Yönelik Kalitatif İnceleme”"/>
    <m/>
    <m/>
    <m/>
    <m/>
    <m/>
    <s v="⚠ DİKKAT: Boş bırakılan alanlar var!"/>
    <m/>
    <m/>
    <m/>
    <m/>
  </r>
  <r>
    <m/>
    <m/>
    <x v="221"/>
    <x v="64"/>
    <m/>
    <s v="&quot;Kadın Hastalarda Herediter Anjioödemin Seyri ve Klinik Özellikleri&quot;"/>
    <m/>
    <m/>
    <m/>
    <m/>
    <m/>
    <m/>
    <m/>
    <m/>
    <m/>
    <m/>
  </r>
  <r>
    <m/>
    <m/>
    <x v="221"/>
    <x v="64"/>
    <m/>
    <s v="&quot;Herediter Anjioödem Tanılı Hastalarda Dental İşlemlerin Klinik Sonuçları&quot;"/>
    <m/>
    <m/>
    <m/>
    <m/>
    <m/>
    <m/>
    <m/>
    <m/>
    <m/>
    <m/>
  </r>
  <r>
    <m/>
    <m/>
    <x v="221"/>
    <x v="64"/>
    <m/>
    <s v="&quot;Ağır Astımda Hedefe Yönelik Biyolojik Tedaviler: Benralizumabın Değerlendirilmesi &quot;"/>
    <m/>
    <m/>
    <m/>
    <m/>
    <m/>
    <m/>
    <m/>
    <m/>
    <m/>
    <m/>
  </r>
  <r>
    <m/>
    <m/>
    <x v="221"/>
    <x v="64"/>
    <m/>
    <s v="“Şeffaf Plak Tekniğinde Ramus Plağı veya Bukkal Shelf Minividası Kullanımının Mandibular Molar Distalizasyonuna Etkisinin FEM ile İncelenmesi”"/>
    <m/>
    <m/>
    <m/>
    <m/>
    <m/>
    <m/>
    <m/>
    <m/>
    <m/>
    <m/>
  </r>
  <r>
    <m/>
    <m/>
    <x v="221"/>
    <x v="64"/>
    <m/>
    <s v="“Erken Dönem Yaşa Bağlı Makula Dejenerasyonunda Perimetri ile Makuler Parametrelerin İncelenmesi”"/>
    <m/>
    <m/>
    <m/>
    <m/>
    <m/>
    <m/>
    <m/>
    <m/>
    <m/>
    <m/>
  </r>
  <r>
    <m/>
    <m/>
    <x v="221"/>
    <x v="64"/>
    <m/>
    <s v="“Babalarda Doğum Korkusu ile Fetal Bağlanma, Depresyon, Anksiyete ve Stres Arasındaki İlişkinin Belirlenmesi”"/>
    <m/>
    <m/>
    <m/>
    <m/>
    <m/>
    <m/>
    <m/>
    <m/>
    <m/>
    <m/>
  </r>
  <r>
    <m/>
    <m/>
    <x v="221"/>
    <x v="64"/>
    <m/>
    <s v="“Aletli Periton Diyalizi Yapan Hastalarda Uzaktan Erişim Modüllerinin Hastanın Tedavi Uyumuna ve Diyaliz Yeterliliğine Olan Etkisinin İncelenmesi”"/>
    <m/>
    <m/>
    <m/>
    <m/>
    <m/>
    <m/>
    <m/>
    <m/>
    <m/>
    <m/>
  </r>
  <r>
    <m/>
    <m/>
    <x v="221"/>
    <x v="64"/>
    <m/>
    <s v="“Mandibular Tek Taraflı Kondil Hiperplazisi Olan Hastalarda Eklem Aralığı ve Gonial Açı Ölçümlerinin Retrospektif Analizi”"/>
    <m/>
    <m/>
    <m/>
    <m/>
    <m/>
    <m/>
    <m/>
    <m/>
    <m/>
    <m/>
  </r>
  <r>
    <m/>
    <m/>
    <x v="221"/>
    <x v="64"/>
    <m/>
    <s v="“Ev Hanımlarında Sosyal Medya Kullanımının Okupasyonel Denge ve Zaman Yönetimi ile İlişkisinin İncelenmesi”"/>
    <m/>
    <m/>
    <m/>
    <m/>
    <m/>
    <m/>
    <m/>
    <m/>
    <m/>
    <m/>
  </r>
  <r>
    <m/>
    <m/>
    <x v="221"/>
    <x v="64"/>
    <m/>
    <s v="“Yaşlı Bireylerin Yardımcı Teknoloji Kullanımına Bakış Açıları: Nitel Araştırma”"/>
    <m/>
    <m/>
    <m/>
    <m/>
    <m/>
    <m/>
    <m/>
    <m/>
    <m/>
    <m/>
  </r>
  <r>
    <m/>
    <m/>
    <x v="221"/>
    <x v="64"/>
    <m/>
    <s v="“AKUT Gönüllülerinde Psikolojik Sağlamlığın İş Yaşam Kalitesi ile İlişkisinin İncelenmesi”"/>
    <m/>
    <m/>
    <m/>
    <m/>
    <m/>
    <m/>
    <m/>
    <m/>
    <m/>
    <m/>
  </r>
  <r>
    <m/>
    <m/>
    <x v="221"/>
    <x v="64"/>
    <m/>
    <s v="“Disleksi Tanısı Alan Üniversite Öğrencilerinin Yükseköğrenim Serüveni: Nitel Bir Çalışma”"/>
    <m/>
    <m/>
    <m/>
    <m/>
    <m/>
    <m/>
    <m/>
    <m/>
    <m/>
    <m/>
  </r>
  <r>
    <m/>
    <m/>
    <x v="221"/>
    <x v="64"/>
    <m/>
    <s v="“Çocukluk Çağı Başlangıçlı Takayasu Arteritlerinin Romatolojik ve Kardiyolojik Değerlendirilmesi”"/>
    <m/>
    <m/>
    <m/>
    <m/>
    <m/>
    <m/>
    <m/>
    <m/>
    <m/>
    <m/>
  </r>
  <r>
    <m/>
    <m/>
    <x v="221"/>
    <x v="64"/>
    <m/>
    <s v="“Sigara Bırakma Polikliniğine Başvuran Bireylerde Motivasyonel Görüşmenin Sürece Etkilerinin Nitel Olarak ve Yapay Zeka Resim Analizi ile İncelenmesi”"/>
    <m/>
    <m/>
    <m/>
    <m/>
    <m/>
    <m/>
    <m/>
    <m/>
    <m/>
    <m/>
  </r>
  <r>
    <m/>
    <m/>
    <x v="221"/>
    <x v="64"/>
    <m/>
    <s v="“Gebelerin ve Postpartum ilk 6 Aydaki Annelerin Topuk Kanı Taraması Hakkındaki Düşünceleri: Kalitatif Çalışma”"/>
    <m/>
    <m/>
    <m/>
    <m/>
    <m/>
    <m/>
    <m/>
    <m/>
    <m/>
    <m/>
  </r>
  <r>
    <m/>
    <m/>
    <x v="221"/>
    <x v="64"/>
    <m/>
    <s v="“Ataksi Telanjiektazi Hastalarının Klinik Değerlendirmeleri ile Kraniyal Manyetik Rezonans Görüntüleme Bulgularının İlişkisinin Araştırılması”"/>
    <m/>
    <m/>
    <m/>
    <m/>
    <m/>
    <m/>
    <m/>
    <m/>
    <m/>
    <m/>
  </r>
  <r>
    <m/>
    <m/>
    <x v="221"/>
    <x v="64"/>
    <m/>
    <s v="“Pediatrik Kriptojenik Nörolojik Hastalıklarda İnsizyonel Beyin Biyopsisinin Tanıya Katkısı”"/>
    <m/>
    <m/>
    <m/>
    <m/>
    <m/>
    <m/>
    <m/>
    <m/>
    <m/>
    <m/>
  </r>
  <r>
    <m/>
    <m/>
    <x v="221"/>
    <x v="64"/>
    <m/>
    <s v="“Posterior Üvea Nevüsü, Üvea Melanomu ve Sınırlı Koroid Hemanjiyomu Hastalıklarının Ayırıcı Tanısında Makine Öğrenmesi Temelli Yapay Zeka Algoritması Oluşturulması”"/>
    <m/>
    <m/>
    <m/>
    <m/>
    <m/>
    <m/>
    <m/>
    <m/>
    <m/>
    <m/>
  </r>
  <r>
    <m/>
    <m/>
    <x v="221"/>
    <x v="64"/>
    <m/>
    <s v="&quot; 0-48 ay Arasındaki Çocuklarının Aşılanma Durumları ile Ebeveynlerin E-sağlık Okuryazarlığı Düzeyi Arasındaki İlişkinin İncelenmesi”"/>
    <m/>
    <m/>
    <m/>
    <m/>
    <m/>
    <m/>
    <m/>
    <m/>
    <m/>
    <m/>
  </r>
  <r>
    <m/>
    <m/>
    <x v="221"/>
    <x v="64"/>
    <m/>
    <s v="“Sele Bireysel Hazırlık Bilgi ve Davranış Ölçeklerinin Uyarlanarak, Etiyopya’nın Kelafo İlçesinde Yaşayan Risk Altı Nüfusun Hazırlık Düzeyinin ve İlişkili Faktörlerin Belirlenmesi”"/>
    <m/>
    <m/>
    <m/>
    <m/>
    <m/>
    <m/>
    <m/>
    <m/>
    <m/>
    <m/>
  </r>
  <r>
    <m/>
    <m/>
    <x v="221"/>
    <x v="64"/>
    <m/>
    <s v="“65 Yaş ve Üstündeki Hastalarda Kalp Yetmezliği Semptomları ile Oral Beslenme Desteği İlişkisinin Değerlendirilmesi”"/>
    <m/>
    <m/>
    <m/>
    <m/>
    <m/>
    <m/>
    <m/>
    <m/>
    <m/>
    <m/>
  </r>
  <r>
    <m/>
    <m/>
    <x v="221"/>
    <x v="64"/>
    <m/>
    <s v="“Alzheimer Hastalığında Disfaji ile Manyetik Rezonans Görüntülemesiyle Beyindeki Atrofi Alanları Arasındaki İlişkinin İncelenmesi”"/>
    <m/>
    <m/>
    <m/>
    <m/>
    <m/>
    <m/>
    <m/>
    <m/>
    <m/>
    <m/>
  </r>
  <r>
    <m/>
    <m/>
    <x v="221"/>
    <x v="64"/>
    <m/>
    <s v="“Güncel Vestibüler Hastalıkların Tanısında Vestibüler Test Bataryaları ve Vestibüler Rehabilitasyon Yaklaşımlarının Belirlenmesi”"/>
    <m/>
    <m/>
    <m/>
    <m/>
    <m/>
    <m/>
    <m/>
    <m/>
    <m/>
    <m/>
  </r>
  <r>
    <m/>
    <m/>
    <x v="221"/>
    <x v="64"/>
    <m/>
    <s v="“Multipl Skleroz Hastalarında Hastalık Modifiye Edici Tedavilerin Yan Etkilerinin Yaş ve Cinsiyete Göre İncelenmesi”"/>
    <m/>
    <m/>
    <m/>
    <m/>
    <m/>
    <m/>
    <m/>
    <m/>
    <m/>
    <m/>
  </r>
  <r>
    <m/>
    <m/>
    <x v="221"/>
    <x v="64"/>
    <m/>
    <s v="“Rituksimabın Santral Sinir Sistemi Demiyelinizan ve Otoimmün Hastalıklarında Etkililik ve Güvenliliği: Tek Merkez Deneyimi”"/>
    <m/>
    <m/>
    <m/>
    <m/>
    <m/>
    <m/>
    <m/>
    <m/>
    <m/>
    <m/>
  </r>
  <r>
    <m/>
    <m/>
    <x v="221"/>
    <x v="64"/>
    <m/>
    <s v="“Onkolojik veya Hematolojik Malignitesi Olan Nötropenik Hastalarda Karbapenemaz Üreten Enterobacterales Sebepli Bakteriyemi Tedavisinde Seftazidim/Avibaktam”"/>
    <m/>
    <m/>
    <m/>
    <m/>
    <m/>
    <m/>
    <m/>
    <m/>
    <m/>
    <m/>
  </r>
  <r>
    <m/>
    <m/>
    <x v="221"/>
    <x v="64"/>
    <m/>
    <s v="“Karbapeneme Dirençli Klebsilla pneumoniae ile Gelişen Kan Dolaşımı Enfeksiyonlarında Risk Faktörleri, Mortalite ve Moleküler Epidemiyolojik Verilerin Araştırılması: Karşılaştırmalı Retrospektif Analiz”"/>
    <m/>
    <m/>
    <m/>
    <m/>
    <m/>
    <m/>
    <m/>
    <m/>
    <m/>
    <m/>
  </r>
  <r>
    <m/>
    <m/>
    <x v="221"/>
    <x v="64"/>
    <m/>
    <s v="“Tekil Gebeliklerin İlk Trimesterdeki Myometrial Kalınlık Ölçümleriyle Preterm Doğum İlişkisi”"/>
    <m/>
    <m/>
    <m/>
    <m/>
    <m/>
    <m/>
    <m/>
    <m/>
    <m/>
    <m/>
  </r>
  <r>
    <m/>
    <m/>
    <x v="221"/>
    <x v="64"/>
    <m/>
    <s v="“Terapötik Hikaye İçerikli Bilgilendirici İnteraktif Mobil Uygulamanın Çocuk Kalp Cerrahisi Uygulanacak Hastaların Anksiyete Seviyelerine Etkisi”"/>
    <m/>
    <m/>
    <m/>
    <m/>
    <m/>
    <m/>
    <m/>
    <m/>
    <m/>
    <m/>
  </r>
  <r>
    <m/>
    <m/>
    <x v="221"/>
    <x v="64"/>
    <m/>
    <s v="“Karaciğer Transplantasyonu Geçirmiş Bireylerde Kardiyovasküler ve Kassal Parametrelerin, Motor Kognitif Performansın, Bilişsel Fonksiyonun, Kinezyofobinin ve Yaşam Kalitesinin İncelenmesi”"/>
    <m/>
    <m/>
    <m/>
    <m/>
    <m/>
    <m/>
    <m/>
    <m/>
    <m/>
    <m/>
  </r>
  <r>
    <m/>
    <m/>
    <x v="221"/>
    <x v="64"/>
    <m/>
    <s v="“Endodontik-Periodontal Lezyonlarda Etyoloji, Prognoz ve Tedavi Yaklaşımlarının Endodontist ve Periodontist Perspektifinden Değerlendirilmesi: Gözlemsel Bir Çalışma”"/>
    <m/>
    <m/>
    <m/>
    <m/>
    <m/>
    <m/>
    <m/>
    <m/>
    <m/>
    <m/>
  </r>
  <r>
    <m/>
    <m/>
    <x v="221"/>
    <x v="64"/>
    <m/>
    <s v="“Artan Trichophyton İndotineae Vakalarının Retrospektif Değerlendirilmesi”"/>
    <m/>
    <m/>
    <m/>
    <m/>
    <m/>
    <m/>
    <m/>
    <m/>
    <m/>
    <m/>
  </r>
  <r>
    <m/>
    <m/>
    <x v="221"/>
    <x v="64"/>
    <m/>
    <s v="“Tıp Öğrencilerinde İyilik Hali Düzeyini Arttırmaya Yönelik Bir Program: Pilot Uygulama”"/>
    <m/>
    <m/>
    <m/>
    <m/>
    <m/>
    <m/>
    <m/>
    <m/>
    <m/>
    <m/>
  </r>
  <r>
    <m/>
    <m/>
    <x v="221"/>
    <x v="64"/>
    <m/>
    <s v="“Tıpta Yan Dal Uzmanlık Eğitimi Tercihlerini Belirleyen Etkenler”"/>
    <m/>
    <m/>
    <m/>
    <m/>
    <m/>
    <m/>
    <m/>
    <m/>
    <m/>
    <m/>
  </r>
  <r>
    <m/>
    <m/>
    <x v="221"/>
    <x v="64"/>
    <m/>
    <s v="“Erişkin Subklinik Hipotiroidili Hastalarda Kardiyak Fonksiyonların İncelenmesi”"/>
    <m/>
    <m/>
    <m/>
    <m/>
    <m/>
    <m/>
    <m/>
    <m/>
    <m/>
    <m/>
  </r>
  <r>
    <m/>
    <m/>
    <x v="221"/>
    <x v="64"/>
    <m/>
    <s v="“Oktogenarian Kolon Kanserli Hastalarda Tedavi Etkinliğinin ve Uyumunun Değerlendirilmesi"/>
    <m/>
    <m/>
    <m/>
    <m/>
    <m/>
    <m/>
    <m/>
    <m/>
    <m/>
    <m/>
  </r>
  <r>
    <m/>
    <m/>
    <x v="221"/>
    <x v="64"/>
    <m/>
    <s v="“Çocuklarda Antimikrobiyal İlaç Desensitizasyonlarının Etkinliği ve Güvenilirliği”"/>
    <m/>
    <m/>
    <m/>
    <m/>
    <m/>
    <m/>
    <m/>
    <m/>
    <m/>
    <m/>
  </r>
  <r>
    <m/>
    <m/>
    <x v="221"/>
    <x v="64"/>
    <m/>
    <s v="“Çocuklarda Kemoterapötik İlaç Desensitizasyonlarının Etkinliği ve Güvenliği”"/>
    <m/>
    <m/>
    <m/>
    <m/>
    <m/>
    <m/>
    <m/>
    <m/>
    <m/>
    <m/>
  </r>
  <r>
    <m/>
    <m/>
    <x v="221"/>
    <x v="64"/>
    <m/>
    <s v="“Rezin İnfiltrasyon Tekniğinde Farklı Pürüzlendirme Yöntemlerinin Renk Stabilitesine ve Yüzey Pürüzlülüğüne Etkisi”"/>
    <m/>
    <m/>
    <m/>
    <m/>
    <m/>
    <m/>
    <m/>
    <m/>
    <m/>
    <m/>
  </r>
  <r>
    <m/>
    <m/>
    <x v="221"/>
    <x v="64"/>
    <m/>
    <s v="“İnfertil Göçmen Kadınların Aile Yaşantılarının Sosyal Hizmet Perspektifiyle İncelenmesi”"/>
    <m/>
    <m/>
    <m/>
    <m/>
    <m/>
    <m/>
    <m/>
    <m/>
    <m/>
    <m/>
  </r>
  <r>
    <m/>
    <m/>
    <x v="221"/>
    <x v="64"/>
    <m/>
    <s v="“Dikkat Eksikliği Hiperaktivite Bozukluğu olan Ergenlerde Nikotin Tüketimi, Zihin Gezinmesi, Duygu Düzenleme, Zihinselleştirme ve Yürütücü İşlevlerin İncelenmesi”"/>
    <m/>
    <m/>
    <m/>
    <m/>
    <m/>
    <m/>
    <m/>
    <m/>
    <m/>
    <m/>
  </r>
  <r>
    <m/>
    <m/>
    <x v="221"/>
    <x v="64"/>
    <m/>
    <s v="“Primer İmmün Yetmezlikli Hastalarda Nutrisyonel Durumun Değerlendirilmesi ve Vücut Kompozisyonu Ölçümü”"/>
    <m/>
    <m/>
    <m/>
    <m/>
    <m/>
    <m/>
    <m/>
    <m/>
    <m/>
    <m/>
  </r>
  <r>
    <m/>
    <m/>
    <x v="221"/>
    <x v="64"/>
    <m/>
    <s v="“Farklı Kök Kanal Doldurma Teknikleri ile Doldurulmuş Dişlerde Kanal Dolgusu Sökümü Sonrası Apikalden Taşmanın Değerlendirilmesi”"/>
    <m/>
    <m/>
    <m/>
    <m/>
    <m/>
    <m/>
    <m/>
    <m/>
    <m/>
    <m/>
  </r>
  <r>
    <m/>
    <m/>
    <x v="221"/>
    <x v="64"/>
    <m/>
    <s v="“Son Bir Yılda Türkiye'deki Çocuk Yoğun Bakımlarda Miyokardit”"/>
    <m/>
    <m/>
    <m/>
    <m/>
    <m/>
    <m/>
    <m/>
    <m/>
    <m/>
    <m/>
  </r>
  <r>
    <m/>
    <m/>
    <x v="221"/>
    <x v="64"/>
    <m/>
    <s v="“Vücudu Dik Pozisyona Getirerek Yerden Ağırlık Kaldırışının (Deadlift) Biyomekanik Modellenmesi”"/>
    <m/>
    <m/>
    <m/>
    <m/>
    <m/>
    <m/>
    <m/>
    <m/>
    <m/>
    <m/>
  </r>
  <r>
    <m/>
    <m/>
    <x v="221"/>
    <x v="64"/>
    <m/>
    <s v="“Hizmet Alanların Gözünden Boşluk Modeline Dayalı Olarak Hemşirelik Mesleğinin İmajının İncelenmesi: Nöropazarlama Analizi”"/>
    <m/>
    <m/>
    <m/>
    <m/>
    <m/>
    <m/>
    <m/>
    <m/>
    <m/>
    <m/>
  </r>
  <r>
    <m/>
    <m/>
    <x v="221"/>
    <x v="64"/>
    <m/>
    <s v="“Astım Tanılı Ergenlerde Menstruasyonun Astım Kontrolü Üzerindeki Etkisi”"/>
    <m/>
    <m/>
    <m/>
    <m/>
    <m/>
    <m/>
    <m/>
    <m/>
    <m/>
    <m/>
  </r>
  <r>
    <m/>
    <m/>
    <x v="221"/>
    <x v="64"/>
    <m/>
    <s v="“Asemptomatik Tansiyon Düşüklüğü Olan Hastalarda Endotel Disfonksiyonu ve Renin-Anjiyotensin-Aldosteron Sistem Fonksiyonlarının Değerlendirilmesi”"/>
    <m/>
    <m/>
    <m/>
    <m/>
    <m/>
    <m/>
    <m/>
    <m/>
    <m/>
    <m/>
  </r>
  <r>
    <m/>
    <m/>
    <x v="221"/>
    <x v="64"/>
    <m/>
    <s v="“Uyku Apnesi Olmayan Ancak Nazal Septal Deviasyonu Olan Hastalarda Septoplasti Ameliyatı Öncesi ve Sonrası Serum Melatonin Düzeylerinin Karşılaştırılması”"/>
    <m/>
    <m/>
    <m/>
    <m/>
    <m/>
    <m/>
    <m/>
    <m/>
    <m/>
    <m/>
  </r>
  <r>
    <m/>
    <m/>
    <x v="221"/>
    <x v="64"/>
    <m/>
    <s v="“Sekonder Hipertansiyon Klinik Özellikleri ve Tanıda Bilgisayarlı Tomografinin Rolü”"/>
    <m/>
    <m/>
    <m/>
    <m/>
    <m/>
    <m/>
    <m/>
    <m/>
    <m/>
    <m/>
  </r>
  <r>
    <m/>
    <m/>
    <x v="221"/>
    <x v="64"/>
    <m/>
    <s v="“Kronik Hastalığı Olan Çocukların Eğitiminde Yapay Zeka Kullanımına İlişkin Pediatri Hemşirelerinin Metaforlarının Analizi”"/>
    <m/>
    <m/>
    <m/>
    <m/>
    <m/>
    <m/>
    <m/>
    <m/>
    <m/>
    <m/>
  </r>
  <r>
    <m/>
    <m/>
    <x v="221"/>
    <x v="64"/>
    <m/>
    <s v="“Translasyonel Preklinik Modeller ile Pulmoner Fibrozis İçin Yeni Tedavi Yaklaşımlarının Geliştirilmesi”"/>
    <m/>
    <m/>
    <m/>
    <m/>
    <m/>
    <m/>
    <m/>
    <m/>
    <m/>
    <m/>
  </r>
  <r>
    <m/>
    <m/>
    <x v="221"/>
    <x v="64"/>
    <m/>
    <s v="“Kronik Spontan Ürtiker Tanılı Adölesan Hastalarda Menstrüel Siklusun Hastalık Aktiviyesi Üzerine Etkisi”"/>
    <m/>
    <m/>
    <m/>
    <m/>
    <m/>
    <m/>
    <m/>
    <m/>
    <m/>
    <m/>
  </r>
  <r>
    <m/>
    <m/>
    <x v="221"/>
    <x v="64"/>
    <m/>
    <s v="“Atopik Dermatit Tanılı 1-3 Yaş Arası Çocuklarda Besin Alerjisi Varlığının Lezyonel ve Non-lezyonel Deri Bölgelerindeki Sitokin ve Mikrobiyom Özelliklerine Etkisi”"/>
    <m/>
    <m/>
    <m/>
    <m/>
    <m/>
    <m/>
    <m/>
    <m/>
    <m/>
    <m/>
  </r>
  <r>
    <m/>
    <m/>
    <x v="221"/>
    <x v="64"/>
    <m/>
    <s v="“Septik Artrit ve Osteomyelit Tanılı 0-18 Yaş Arasındaki Hastaların Klinik, Etiyolojik ve Epidemiyolojik Açıdan İncelenmesi”"/>
    <m/>
    <m/>
    <m/>
    <m/>
    <m/>
    <m/>
    <m/>
    <m/>
    <m/>
    <m/>
  </r>
  <r>
    <m/>
    <m/>
    <x v="221"/>
    <x v="64"/>
    <m/>
    <s v="“Akciğer Kanserinde Lipid Metabolizması ile İmmün Sistem İlişkisi”"/>
    <m/>
    <m/>
    <m/>
    <m/>
    <m/>
    <m/>
    <m/>
    <m/>
    <m/>
    <m/>
  </r>
  <r>
    <m/>
    <m/>
    <x v="221"/>
    <x v="64"/>
    <m/>
    <s v="“Farklı Ajanların İmmün Hücre Metabolizması ve Proliferasyonuna Etkileri”"/>
    <m/>
    <m/>
    <m/>
    <m/>
    <m/>
    <m/>
    <m/>
    <m/>
    <m/>
    <m/>
  </r>
  <r>
    <m/>
    <m/>
    <x v="221"/>
    <x v="64"/>
    <m/>
    <s v="“Baş-boyun, Beyin ve Spinal Tümörlerin CEST Görüntüleme Yöntemi ile Değerlendirilmesi”"/>
    <m/>
    <m/>
    <m/>
    <m/>
    <m/>
    <m/>
    <m/>
    <m/>
    <m/>
    <m/>
  </r>
  <r>
    <m/>
    <m/>
    <x v="221"/>
    <x v="64"/>
    <m/>
    <s v="“Midpalatal Sütur Olgunlaşmasının Değerlendirilmesinde Yeni Bir Metot”"/>
    <m/>
    <m/>
    <m/>
    <m/>
    <m/>
    <m/>
    <m/>
    <m/>
    <m/>
    <m/>
  </r>
  <r>
    <m/>
    <m/>
    <x v="221"/>
    <x v="64"/>
    <m/>
    <s v="“Beyin Tümörünün Postoperatif Tedavisinde Antikanser/Antianjiogenik İlaç ve Kök Hücre İçeren, 3B Yazıcı ile Kişiselleştirilebilir İmplantların Geliştirilmesi ve İnvitro/İnvivo Değerlendirilmesi”"/>
    <m/>
    <m/>
    <m/>
    <m/>
    <m/>
    <m/>
    <m/>
    <m/>
    <m/>
    <m/>
  </r>
  <r>
    <m/>
    <m/>
    <x v="221"/>
    <x v="64"/>
    <m/>
    <s v="“Multipl Skleroz Tanılı Hastalarda Telomer Uzunluğu Analizi: Prognoz, Klinik Fenotip, Dizabilite ve Manyetik Rezonans Görüntüleme Beyin Volüm Değişiklikleri ile İlişkisi”"/>
    <m/>
    <m/>
    <m/>
    <m/>
    <m/>
    <m/>
    <m/>
    <m/>
    <m/>
    <m/>
  </r>
  <r>
    <m/>
    <m/>
    <x v="221"/>
    <x v="64"/>
    <m/>
    <s v="“Psoriatik Tırnak Bulgularının İncelenmesi ve Psoriatik Artrit ile İlişkisi”"/>
    <m/>
    <m/>
    <m/>
    <m/>
    <m/>
    <m/>
    <m/>
    <m/>
    <m/>
    <m/>
  </r>
  <r>
    <m/>
    <m/>
    <x v="221"/>
    <x v="64"/>
    <m/>
    <s v="“IL-1 İnhibitörü Tedavisi ve Kolşisin Tedavisi Alan Ailevi Akdeniz Ateşi Hastalarında Kemik Dönüşüm Belirteçlerinin Karşılaştırılması”"/>
    <m/>
    <m/>
    <m/>
    <m/>
    <m/>
    <m/>
    <m/>
    <m/>
    <m/>
    <m/>
  </r>
  <r>
    <m/>
    <m/>
    <x v="221"/>
    <x v="64"/>
    <m/>
    <s v="“Triple Negatif Meme Kanseri Tanılı Hastaların Klinik Özellikleri ve Tedavi Sonuçlarının İncelenmesi”"/>
    <m/>
    <m/>
    <m/>
    <m/>
    <m/>
    <m/>
    <m/>
    <m/>
    <m/>
    <m/>
  </r>
  <r>
    <m/>
    <m/>
    <x v="221"/>
    <x v="64"/>
    <m/>
    <s v="“WaLIDD Skorunun Türkçe Geçerlik ve Güvenirlik Çalışması”"/>
    <m/>
    <m/>
    <m/>
    <m/>
    <m/>
    <m/>
    <m/>
    <m/>
    <m/>
    <m/>
  </r>
  <r>
    <m/>
    <m/>
    <x v="221"/>
    <x v="64"/>
    <m/>
    <s v="“Ulusal Yenidoğan Tarama Programı ile Konjenital Hipotiroidi Tanısı Alarak İzlemde Geçici ve Kalıcı Konjenital Hipotiroidi Tanımlanan Olguların Retrospektif Değerlendirmesi&quot;"/>
    <m/>
    <m/>
    <m/>
    <m/>
    <m/>
    <m/>
    <m/>
    <m/>
    <m/>
    <m/>
  </r>
  <r>
    <m/>
    <m/>
    <x v="221"/>
    <x v="64"/>
    <m/>
    <s v="“Fibromiyalji Tanılı Hastalarda İstenilen Görüntüleme Yöntemleri ile Geçirilmiş Cerrahi Operasyonların Sıklığı&quot;"/>
    <m/>
    <m/>
    <m/>
    <m/>
    <m/>
    <m/>
    <m/>
    <m/>
    <m/>
    <m/>
  </r>
  <r>
    <m/>
    <m/>
    <x v="221"/>
    <x v="64"/>
    <m/>
    <s v="“Üçüncü Basamak Sağlık Merkezinde Pediatrik Osteoporoz Olgularının Etiyolojik Dağılımı, Klinik ve Laboratuvar Özellikleri”"/>
    <m/>
    <m/>
    <m/>
    <m/>
    <m/>
    <m/>
    <m/>
    <m/>
    <m/>
    <m/>
  </r>
  <r>
    <m/>
    <m/>
    <x v="221"/>
    <x v="64"/>
    <m/>
    <s v="“Pediatrik Brakiosefalik Ven Kateterizasyonlarının Komplikasyonlar Açısından Retrospektif Olarak İncelenmesi”"/>
    <m/>
    <m/>
    <m/>
    <m/>
    <m/>
    <m/>
    <m/>
    <m/>
    <m/>
    <m/>
  </r>
  <r>
    <m/>
    <m/>
    <x v="221"/>
    <x v="64"/>
    <m/>
    <s v="“İyon Salan Restoratif Dental Malzemelerin Bazı Mekanik Özellikler ve Mikrosızıntı Açısından İn-Vitro Olarak Değerlendirilmesi”"/>
    <m/>
    <m/>
    <m/>
    <m/>
    <m/>
    <m/>
    <m/>
    <m/>
    <m/>
    <m/>
  </r>
  <r>
    <m/>
    <m/>
    <x v="221"/>
    <x v="64"/>
    <m/>
    <s v="“Glutatyon S Transferaz P1 Enziminin Triple-Negatif Meme Kanser Hücrelerinde Ferroptoz Üzerindeki Rolünün İncelenmesi”"/>
    <m/>
    <m/>
    <m/>
    <m/>
    <m/>
    <m/>
    <m/>
    <m/>
    <m/>
    <m/>
  </r>
  <r>
    <m/>
    <m/>
    <x v="221"/>
    <x v="64"/>
    <m/>
    <s v="&quot;Tip I Diyabet Tanısı Olan Çocukların Sağlıkta Baba Katılımlarının Değerlendirilmesi&quot;"/>
    <m/>
    <m/>
    <m/>
    <m/>
    <m/>
    <m/>
    <m/>
    <m/>
    <m/>
    <m/>
  </r>
  <r>
    <m/>
    <m/>
    <x v="221"/>
    <x v="64"/>
    <m/>
    <s v="“Kronik Myeloid Lösemi Blastik Faz Hastalarının Tek Merkezden Gerçek Yaşam Verileriyle Retrospektif İncelenmesi”"/>
    <m/>
    <m/>
    <m/>
    <m/>
    <m/>
    <m/>
    <m/>
    <m/>
    <m/>
    <m/>
  </r>
  <r>
    <m/>
    <m/>
    <x v="221"/>
    <x v="64"/>
    <m/>
    <s v="“Çocukluk Çağı Eksojen Obezite Tedavisinde Yaşam Tarzı Değişikliği Önerilerinin Etkinliğinin İncelenmesi”"/>
    <m/>
    <m/>
    <m/>
    <m/>
    <m/>
    <m/>
    <m/>
    <m/>
    <m/>
    <m/>
  </r>
  <r>
    <m/>
    <m/>
    <x v="221"/>
    <x v="64"/>
    <m/>
    <s v="“Bifosfonat Kullanan Hastalarda İlaca Bağlı Olarak Çenelerde Görülen Osteonekrozun Etyopatogenezinde Otofaji, Apoptoz ve Nekrozun Rolü”"/>
    <m/>
    <m/>
    <m/>
    <m/>
    <m/>
    <m/>
    <m/>
    <m/>
    <m/>
    <m/>
  </r>
  <r>
    <m/>
    <m/>
    <x v="221"/>
    <x v="64"/>
    <m/>
    <s v="&quot;Kronik Lenfositik Lösemi Hastalarında Ekstrameduller Tutulumunun Prognostik, Klinik, Laboratuvar, Tedavi Yanıtı Açısından Değerlendirmesi&quot;"/>
    <m/>
    <m/>
    <m/>
    <m/>
    <m/>
    <m/>
    <m/>
    <m/>
    <m/>
    <m/>
  </r>
  <r>
    <m/>
    <m/>
    <x v="221"/>
    <x v="64"/>
    <m/>
    <s v="“Kronik Myeloid Lösemi Hastalarının Klinik, Prognostik, Sağkalım ve Tedavilerinin Değerlendirilmesi”"/>
    <m/>
    <m/>
    <m/>
    <m/>
    <m/>
    <m/>
    <m/>
    <m/>
    <m/>
    <m/>
  </r>
  <r>
    <m/>
    <m/>
    <x v="221"/>
    <x v="64"/>
    <m/>
    <s v="“Akut Myeloid Lösemi Hastalarında Konsolidasyon Tedavisinde Kullanılan Sitarabin Doz Yoğunluğunun Hastalığın Prognozu ve Sağkalımı Üzerine Etkisi”"/>
    <m/>
    <m/>
    <m/>
    <m/>
    <m/>
    <m/>
    <m/>
    <m/>
    <m/>
    <m/>
  </r>
  <r>
    <m/>
    <m/>
    <x v="221"/>
    <x v="64"/>
    <m/>
    <s v="“Fertilite Koruyucu Tedavi Uygulanan Endometrium Kanseri ve Endometrial İntraepitelyal Neoplazi Tanılı Hastalarda Moleküler Sınıflandırmanın Prognoza Etkisi”"/>
    <m/>
    <m/>
    <m/>
    <m/>
    <m/>
    <m/>
    <m/>
    <m/>
    <m/>
    <m/>
  </r>
  <r>
    <m/>
    <m/>
    <x v="221"/>
    <x v="64"/>
    <m/>
    <s v="“Özgül Öğrenme Bozukluğu ve Dikkat Eksikliği Hiperaktivite Bozukluğu Komorbiditesi Olan Çocuklarda Okuma-Yazma Performansının Yönetici İşlevler, Nörobilişsel Profil ve İşlevsellik ile İlişkisinin İncelenmesi”"/>
    <m/>
    <m/>
    <m/>
    <m/>
    <m/>
    <m/>
    <m/>
    <m/>
    <m/>
    <m/>
  </r>
  <r>
    <m/>
    <m/>
    <x v="221"/>
    <x v="64"/>
    <m/>
    <s v="“Pediatrik Akciğer Enfeksiyonlarında Toraks BT Bulgularının Klinik Verilerle Birleştirilmesi Sonucunda Mantar ve Diğer Etkenlerin Derin Öğrenme ve Makine Öğrenmesi Yöntemleriyle Erken Dönemde Ayırt Edilmesi”"/>
    <m/>
    <m/>
    <m/>
    <m/>
    <m/>
    <m/>
    <m/>
    <m/>
    <m/>
    <m/>
  </r>
  <r>
    <m/>
    <m/>
    <x v="221"/>
    <x v="64"/>
    <m/>
    <s v="“İnsan Hareketinin Biyomekanik Analizi İçin Bilgisayar Benzeşim Modeli Geliştirilmesi”"/>
    <m/>
    <m/>
    <m/>
    <m/>
    <m/>
    <m/>
    <m/>
    <m/>
    <m/>
    <m/>
  </r>
  <r>
    <m/>
    <m/>
    <x v="221"/>
    <x v="64"/>
    <m/>
    <s v="“Amelogenezis İmperfectalı Hastaların Mandibula Kemik Yapısının Fraktal Analizi”"/>
    <m/>
    <m/>
    <m/>
    <m/>
    <m/>
    <m/>
    <m/>
    <m/>
    <m/>
    <m/>
  </r>
  <r>
    <m/>
    <m/>
    <x v="221"/>
    <x v="64"/>
    <m/>
    <s v="“Göğüs Hastalıkları Hekimlerinin Kistik Fibrozis Transmembran Düzenleyici (KFTR) Modülatör Tedaviler-İlaç Etkileşimleri Hakkında Bilgi ve Tutumlarının Değerlendirilmesi&quot;"/>
    <m/>
    <m/>
    <m/>
    <m/>
    <m/>
    <m/>
    <m/>
    <m/>
    <m/>
    <m/>
  </r>
  <r>
    <m/>
    <m/>
    <x v="221"/>
    <x v="64"/>
    <m/>
    <s v="Osteogenezis İmperfekta Hastalarında Ağız Diş Sağlığı Durumunun Değerlendirilmesi"/>
    <m/>
    <m/>
    <m/>
    <m/>
    <m/>
    <m/>
    <m/>
    <m/>
    <m/>
    <m/>
  </r>
  <r>
    <m/>
    <m/>
    <x v="221"/>
    <x v="64"/>
    <m/>
    <s v="“Çalışan Kadın Sağlığı: Genel Sağlık, Koruyucu Sağlık Hizmetlerinden Faydalanma ve İş-Yaşam Dengesi Durumları”"/>
    <m/>
    <m/>
    <m/>
    <m/>
    <m/>
    <m/>
    <m/>
    <m/>
    <m/>
    <m/>
  </r>
  <r>
    <m/>
    <m/>
    <x v="221"/>
    <x v="64"/>
    <m/>
    <s v="“65 Yaş ve Üzeri Tip 2 Diabetes Mellituslu Bireylerde İlaç Kullanım Uygunluğunun Retrospektif Değerlendirilmesi”"/>
    <m/>
    <m/>
    <m/>
    <m/>
    <m/>
    <m/>
    <m/>
    <m/>
    <m/>
    <m/>
  </r>
  <r>
    <m/>
    <m/>
    <x v="221"/>
    <x v="64"/>
    <m/>
    <s v="“Hacettepe Üniversitesi Erişkin Hastanesi İç Hastalıkları Servislerinde İstem Dışı Kilo Kaybı Nedeni ile Yatırılmış Hastalarda Tetkik Süreçlerinin ve Etiyoloji Dağılımlarının Retrospektif İncelenmesi”"/>
    <m/>
    <m/>
    <m/>
    <m/>
    <m/>
    <m/>
    <m/>
    <m/>
    <m/>
    <m/>
  </r>
  <r>
    <m/>
    <m/>
    <x v="221"/>
    <x v="64"/>
    <m/>
    <s v="“Akut Lösemi Hastalarında Tanı Öncesi Kan Değerlerinin Etkinliği”"/>
    <m/>
    <m/>
    <m/>
    <m/>
    <m/>
    <m/>
    <m/>
    <m/>
    <m/>
    <m/>
  </r>
  <r>
    <m/>
    <m/>
    <x v="221"/>
    <x v="64"/>
    <m/>
    <s v="“Relaps/ Refrakter Akut Myeloid Lösemi Hastalarında Reindüksiyonda Venetoklaks İçeren Tedavi Rejimlerinin Diğer Tedavilerle Karşılaştırılması”"/>
    <m/>
    <m/>
    <m/>
    <m/>
    <m/>
    <m/>
    <m/>
    <m/>
    <m/>
    <m/>
  </r>
  <r>
    <m/>
    <m/>
    <x v="221"/>
    <x v="64"/>
    <m/>
    <s v="“Distal-Orta Yerleşimli Lokal İleri Evre Rektum Adenokanser Tanılı Hastalarda Radyoterapi Müdahalelerinin Patolojik ve Klinik Tümör Yanıt Oranlarına Etkisinin Araştırılması”"/>
    <m/>
    <m/>
    <m/>
    <m/>
    <m/>
    <m/>
    <m/>
    <m/>
    <m/>
    <m/>
  </r>
  <r>
    <m/>
    <m/>
    <x v="221"/>
    <x v="64"/>
    <m/>
    <s v="''Kawasaki Hastalığı Tanısı Koymaya Yardımcı Yapay Zeka Modeli 'Galadriel'in Tanı Koyma Başarısının Retrospektif Değerlendirilmesi''"/>
    <m/>
    <m/>
    <m/>
    <m/>
    <m/>
    <m/>
    <m/>
    <m/>
    <m/>
    <m/>
  </r>
  <r>
    <m/>
    <m/>
    <x v="221"/>
    <x v="64"/>
    <m/>
    <s v="''Çocukluk Çağı Sistemik Lupus Eritematozus Tanısı Koymaya Yardımcı Yapay Zeka Modeli 'Morgaf''ın Tanı Koyma Başarısının Retrospektif Değerlendirilmesi''"/>
    <m/>
    <m/>
    <m/>
    <m/>
    <m/>
    <m/>
    <m/>
    <m/>
    <m/>
    <m/>
  </r>
  <r>
    <m/>
    <m/>
    <x v="221"/>
    <x v="64"/>
    <m/>
    <s v="“Çocukluk Çağı İnflamatuvar Doku Hastalıkları Tanılı Çocuk ve Ergenlerde Yaşam Kalitesi ve İlişkili Faktörlerin Değerlendirilmesi”"/>
    <m/>
    <m/>
    <m/>
    <m/>
    <m/>
    <m/>
    <m/>
    <m/>
    <m/>
    <m/>
  </r>
  <r>
    <m/>
    <m/>
    <x v="221"/>
    <x v="64"/>
    <m/>
    <s v="“Çocukluk Çağı Otoimmün Romatolojik Hastalıklar Tanılı Çocuk ve Ergenlerde Yaşam Kalitesi ve İlişkili Faktörlerin Değerlendirilmesi”"/>
    <m/>
    <m/>
    <m/>
    <m/>
    <m/>
    <m/>
    <m/>
    <m/>
    <m/>
    <m/>
  </r>
  <r>
    <m/>
    <m/>
    <x v="221"/>
    <x v="64"/>
    <m/>
    <s v="“Ergenlerde Dijital Bağımlılık Düzeyleri ile Yaşam Tarzı İnancı Arasındaki İlişkinin İncelenmesi: Bir Aile Sağlığı Merkezi Örneği”"/>
    <m/>
    <m/>
    <m/>
    <m/>
    <m/>
    <m/>
    <m/>
    <m/>
    <m/>
    <m/>
  </r>
  <r>
    <m/>
    <m/>
    <x v="221"/>
    <x v="64"/>
    <m/>
    <s v="&quot;Referans Merkezi Servikal Distoni Botulinum Toksin Uygulamaları Değerlendirmesi&quot;"/>
    <m/>
    <m/>
    <m/>
    <m/>
    <m/>
    <m/>
    <m/>
    <m/>
    <m/>
    <m/>
  </r>
  <r>
    <m/>
    <m/>
    <x v="221"/>
    <x v="64"/>
    <m/>
    <s v="&quot;Motor İletim Blokları Parametrelerinin Retrospektif Olarak Analizi&quot;"/>
    <m/>
    <m/>
    <m/>
    <m/>
    <m/>
    <m/>
    <m/>
    <m/>
    <m/>
    <m/>
  </r>
  <r>
    <m/>
    <m/>
    <x v="221"/>
    <x v="64"/>
    <m/>
    <s v="“Geriatri Eğitimi, Uzmanlık Alanı ve Sosyo-Demografik Faktörlerin Geriatrik Hasta Yaklaşımına Etkisi:Türkiye'deki Uzman Doktorlar Arasında Çok Yönlü Bir Analiz”"/>
    <m/>
    <m/>
    <m/>
    <m/>
    <m/>
    <m/>
    <m/>
    <m/>
    <m/>
    <m/>
  </r>
  <r>
    <m/>
    <m/>
    <x v="221"/>
    <x v="64"/>
    <m/>
    <s v="“Sınıf II Malokluzyona Sahip Bireylerde Temporomandibular Eklem Bozukluklarının Panoramik Radyografiler Kullanılarak Yapay Zeka ile Teşhisi”"/>
    <m/>
    <m/>
    <m/>
    <m/>
    <m/>
    <m/>
    <m/>
    <m/>
    <m/>
    <m/>
  </r>
  <r>
    <m/>
    <m/>
    <x v="221"/>
    <x v="64"/>
    <m/>
    <s v="“Mesleksel ve Çevresel İç Ortam Hava Kirleticileri ile Akciğer Adenokarsinomu Arasındaki İlişkinin Biyolojik Kanıtlar ile Değerlendirilmesi”"/>
    <m/>
    <m/>
    <m/>
    <m/>
    <m/>
    <m/>
    <m/>
    <m/>
    <m/>
    <m/>
  </r>
  <r>
    <m/>
    <m/>
    <x v="221"/>
    <x v="64"/>
    <m/>
    <s v="“Kronik Karaciğer Hastalarında Sarkopeninin Non-İnvaziv Yöntemlerle Değerlendirilmesi ve Sarkopenin Uzun Dönem Morbidite ve Mortaliteye Etkisi”"/>
    <m/>
    <m/>
    <m/>
    <m/>
    <m/>
    <m/>
    <m/>
    <m/>
    <m/>
    <m/>
  </r>
  <r>
    <m/>
    <m/>
    <x v="221"/>
    <x v="64"/>
    <m/>
    <s v="“Noninvazif Pulmoner Aspergillozis ve Allerjik Bronkopulmoner Aspergillozis Tanılı Kistik Fibrozis Hastalarında Vorikonazol Serum Düzeyi Ölçümünün Tedaviye Katkısı”"/>
    <m/>
    <m/>
    <m/>
    <m/>
    <m/>
    <m/>
    <m/>
    <m/>
    <m/>
    <m/>
  </r>
  <r>
    <m/>
    <m/>
    <x v="221"/>
    <x v="64"/>
    <m/>
    <s v="“Primer İntratorasik Nörojenik Tümörlere Multidisipliner Yaklaşım”"/>
    <m/>
    <m/>
    <m/>
    <m/>
    <m/>
    <m/>
    <m/>
    <m/>
    <m/>
    <m/>
  </r>
  <r>
    <m/>
    <m/>
    <x v="221"/>
    <x v="64"/>
    <m/>
    <s v="“Papiller Tiroid Kanseri Tanısında Prediktif Değeri Olan Moleküllerin Tespit Edilmesi”"/>
    <m/>
    <m/>
    <m/>
    <m/>
    <m/>
    <m/>
    <m/>
    <m/>
    <m/>
    <m/>
  </r>
  <r>
    <m/>
    <m/>
    <x v="221"/>
    <x v="64"/>
    <m/>
    <s v="“Allojenik Kök Hücre Nakli Yapılan Hastalarda Sitomegalovirüs Reaktivasyonu Sıklığının Risk Faktörlerinin ve Sağ Kalıma Etkisinin Retrospektif Değerlendirilmesi”"/>
    <m/>
    <m/>
    <m/>
    <m/>
    <m/>
    <m/>
    <m/>
    <m/>
    <m/>
    <m/>
  </r>
  <r>
    <m/>
    <m/>
    <x v="221"/>
    <x v="64"/>
    <m/>
    <s v="“Hız Temelli Antrenmanın Aktivasyon Sonrası Performans Artışına Etkisinin Sirkadiyen Ritme göre İncelenmesi”"/>
    <m/>
    <m/>
    <m/>
    <m/>
    <m/>
    <m/>
    <m/>
    <m/>
    <m/>
    <m/>
  </r>
  <r>
    <m/>
    <m/>
    <x v="221"/>
    <x v="64"/>
    <m/>
    <s v="“Oral İmmunoglobulin Replasmanı Almış Olan Primer İmmün Yetmezlik Hastalarının Demografik, Klinik ve Laboratuvar Özelliklerinin Değerlendirilmesi”"/>
    <m/>
    <m/>
    <m/>
    <m/>
    <m/>
    <m/>
    <m/>
    <m/>
    <m/>
    <m/>
  </r>
  <r>
    <m/>
    <m/>
    <x v="221"/>
    <x v="64"/>
    <m/>
    <s v="“Antimikrobiyal Dirençle Mücadeleye Yönelik Nanopartiküler Aşı Formülasyonlarının Geliştirilmesi”"/>
    <m/>
    <m/>
    <m/>
    <m/>
    <m/>
    <m/>
    <m/>
    <m/>
    <m/>
    <m/>
  </r>
  <r>
    <m/>
    <m/>
    <x v="221"/>
    <x v="64"/>
    <m/>
    <s v="“Polikistik Over Sendromlu Hastaların Açlık ve Tokluk Durumunda Beyin Fonksiyonel Durum Değişiminin İnkretin Hormonlarla İlişkisinin İncelenmesi ve Sağlıklı Gönüllüler ile Karşılaştırılması”"/>
    <m/>
    <m/>
    <m/>
    <m/>
    <m/>
    <m/>
    <m/>
    <m/>
    <m/>
    <m/>
  </r>
  <r>
    <m/>
    <m/>
    <x v="221"/>
    <x v="64"/>
    <m/>
    <s v="“Kritik Hastalarda Yatak Başında Nabız Basıncı Değerlendirmesi Strok Volümdeki Düşük Değerleri Tespit Edebilir mi veya Değişiklikleri Takip Edebilir mi? Çok Merkezli, Kesitsel, Gözlemsel ANDROMEDA-PEGASUS Çalışması”"/>
    <m/>
    <m/>
    <m/>
    <m/>
    <m/>
    <m/>
    <m/>
    <m/>
    <m/>
    <m/>
  </r>
  <r>
    <m/>
    <m/>
    <x v="221"/>
    <x v="64"/>
    <m/>
    <s v="“Preseptal, Orbital ve Bukkal Sellülit Nedeniyle Hastanede Yatan Çocukların Değerlendirilmesi”"/>
    <m/>
    <m/>
    <m/>
    <m/>
    <m/>
    <m/>
    <m/>
    <m/>
    <m/>
    <m/>
  </r>
  <r>
    <m/>
    <m/>
    <x v="221"/>
    <x v="64"/>
    <m/>
    <s v="“Çocuk Hastalarda Kombine Antibiyotik Tedavilerinin Yan Etkilerinin Retrospektif Olarak İncelenmesi”"/>
    <m/>
    <m/>
    <m/>
    <m/>
    <m/>
    <m/>
    <m/>
    <m/>
    <m/>
    <m/>
  </r>
  <r>
    <m/>
    <m/>
    <x v="221"/>
    <x v="64"/>
    <m/>
    <s v="“Kistik Hava Boşlukları ile İlişkili Akciğer Kanseri: Klinik, RadyolojikVe Patolojik Özellikler”"/>
    <m/>
    <m/>
    <m/>
    <m/>
    <m/>
    <m/>
    <m/>
    <m/>
    <m/>
    <m/>
  </r>
  <r>
    <m/>
    <m/>
    <x v="221"/>
    <x v="64"/>
    <m/>
    <s v="“Artistik Buz Pateninde Başarılı ve Başarısız Salchow Sıçrayışlarının Kinematik Analizi”"/>
    <m/>
    <m/>
    <m/>
    <m/>
    <m/>
    <m/>
    <m/>
    <m/>
    <m/>
    <m/>
  </r>
  <r>
    <m/>
    <m/>
    <x v="221"/>
    <x v="64"/>
    <m/>
    <s v="“Yön Değiştirme Mesafesine Göre 5-0-5 Testinin Geçerliliği ve Alt Ekstremite Kuvveti ile İlişkisi”"/>
    <m/>
    <m/>
    <m/>
    <m/>
    <m/>
    <m/>
    <m/>
    <m/>
    <m/>
    <m/>
  </r>
  <r>
    <m/>
    <m/>
    <x v="221"/>
    <x v="64"/>
    <m/>
    <s v="“Ataksi-Telanjiektazi Hastalığının Patogenezinin Moleküler Boyutta Sistemik Analizi”"/>
    <m/>
    <m/>
    <m/>
    <m/>
    <m/>
    <m/>
    <m/>
    <m/>
    <m/>
    <m/>
  </r>
  <r>
    <m/>
    <m/>
    <x v="221"/>
    <x v="64"/>
    <m/>
    <s v="&quot;Adipozite İlişkili Ateroskleroz Patogenezinde Rol Oynayan Periferik Mononükleer Hücrelerdeki İnflamasyon Yolaklarının Belirlenmesi&quot;"/>
    <m/>
    <m/>
    <m/>
    <m/>
    <m/>
    <m/>
    <m/>
    <m/>
    <m/>
    <m/>
  </r>
  <r>
    <m/>
    <m/>
    <x v="221"/>
    <x v="64"/>
    <m/>
    <s v="“Yenidoğan Yoğun Bakım Ünitesinde Sürekli Elektroensefalografi ile Değerlendirilmiş Olan Kritik Hastaların Sonuçlarının İncelenmesi”"/>
    <m/>
    <m/>
    <m/>
    <m/>
    <m/>
    <m/>
    <m/>
    <m/>
    <m/>
    <m/>
  </r>
  <r>
    <m/>
    <m/>
    <x v="221"/>
    <x v="64"/>
    <m/>
    <s v="“Çocuk Yoğun Bakım Servisinde Sürekli Elektroensefalografi ile Değerlendirilmiş Olan Kritik Hastaların Sonuçlarının İncelenmesi”"/>
    <m/>
    <m/>
    <m/>
    <m/>
    <m/>
    <m/>
    <m/>
    <m/>
    <m/>
    <m/>
  </r>
  <r>
    <m/>
    <m/>
    <x v="221"/>
    <x v="64"/>
    <m/>
    <s v="“Konservatif Tedaviye Dirençli Periartiküler Kas İskelet Sistemi Hastalıklarında Fonksiyon Kısıtlayıcı Semptomların Transarteryal Periartiküler Embolizasyonu (TAPE) Tedavisi Sonrası Yanıt Değerlendirilmesi”"/>
    <m/>
    <m/>
    <m/>
    <m/>
    <m/>
    <m/>
    <m/>
    <m/>
    <m/>
    <m/>
  </r>
  <r>
    <m/>
    <m/>
    <x v="221"/>
    <x v="64"/>
    <m/>
    <s v="“ALL BFM IC 2009 Protokolü ile Tedavi Edilen Akut Lenfoblastik Lösemili Çocuk Hastalarda Yaşam Süresi Analizi&quot;"/>
    <m/>
    <m/>
    <m/>
    <m/>
    <m/>
    <m/>
    <m/>
    <m/>
    <m/>
    <m/>
  </r>
  <r>
    <m/>
    <m/>
    <x v="221"/>
    <x v="64"/>
    <m/>
    <s v="“Yoğun Bakmda Hizmet veren Hekim Hemşire ve Klinik Eczacıların İntravenöz Sıvı Tedavisi Hakkında Bilgi ve Tutumlarının Değerlendirilmesi”"/>
    <m/>
    <m/>
    <m/>
    <m/>
    <m/>
    <m/>
    <m/>
    <m/>
    <m/>
    <m/>
  </r>
  <r>
    <m/>
    <m/>
    <x v="221"/>
    <x v="64"/>
    <m/>
    <s v="“Hastalarda Var Olan Uyku Bozukluklarının Diş Çekimi Sonrası Rahatsızlıklara Olan Etkisinin İncelenmesi”"/>
    <m/>
    <m/>
    <m/>
    <m/>
    <m/>
    <m/>
    <m/>
    <m/>
    <m/>
    <m/>
  </r>
  <r>
    <m/>
    <m/>
    <x v="221"/>
    <x v="64"/>
    <m/>
    <s v="“Ağız, Diş ve Çene Cerrahisi Alanında Yapay Zekâ Destekli Teknolojilere Yönelik Hasta İlgi ve Bilgi Seviyesi: Anket Çalışması”"/>
    <m/>
    <m/>
    <m/>
    <m/>
    <m/>
    <m/>
    <m/>
    <m/>
    <m/>
    <m/>
  </r>
  <r>
    <m/>
    <m/>
    <x v="221"/>
    <x v="64"/>
    <m/>
    <s v="“Demiryolu ile İlişkili Ölümlerin Değerlendirilmesi: Bölgesel Bir Otopsi Çalışması”"/>
    <m/>
    <m/>
    <m/>
    <m/>
    <m/>
    <m/>
    <m/>
    <m/>
    <m/>
    <m/>
  </r>
  <r>
    <m/>
    <m/>
    <x v="221"/>
    <x v="64"/>
    <m/>
    <s v="“Ankara Bölgesinde 2014-2023 Yılları Arasında Otopsisi Yapılmış Elektrik Akımına Bağlı Ölüm Olgularının Değerlendirilmesi”"/>
    <m/>
    <m/>
    <m/>
    <m/>
    <m/>
    <m/>
    <m/>
    <m/>
    <m/>
    <m/>
  </r>
  <r>
    <m/>
    <m/>
    <x v="221"/>
    <x v="64"/>
    <m/>
    <s v="“Ankara Bölgesinde Otopsisi Yapılmış İkili Ölüm Olgularının Değerlendirilmesi”"/>
    <m/>
    <m/>
    <m/>
    <m/>
    <m/>
    <m/>
    <m/>
    <m/>
    <m/>
    <m/>
  </r>
  <r>
    <m/>
    <m/>
    <x v="221"/>
    <x v="64"/>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21"/>
    <x v="64"/>
    <m/>
    <s v="“Teikoplanin Terapötik İlaç Düzey İzlemi: Tek Merkezli Retrospektif Analiz”"/>
    <m/>
    <m/>
    <m/>
    <m/>
    <m/>
    <m/>
    <m/>
    <m/>
    <m/>
    <m/>
  </r>
  <r>
    <m/>
    <m/>
    <x v="221"/>
    <x v="64"/>
    <m/>
    <s v="“Uzun Süren Nötropeniye Bağlı Ciddi Enfeksiyon Olan Hastalarda Granülosit Transfüzyonu Tedavisinin Değerlendirilmesi”"/>
    <m/>
    <m/>
    <m/>
    <m/>
    <m/>
    <m/>
    <m/>
    <m/>
    <m/>
    <m/>
  </r>
  <r>
    <m/>
    <m/>
    <x v="221"/>
    <x v="64"/>
    <m/>
    <s v="“Yetişkin Hemofili A ve B Hastaları ile Aile Üyesi Bakım Verenlerde Yaşam Kalitesi ve Bakım Yükü”"/>
    <m/>
    <m/>
    <m/>
    <m/>
    <m/>
    <m/>
    <m/>
    <m/>
    <m/>
    <m/>
  </r>
  <r>
    <m/>
    <m/>
    <x v="221"/>
    <x v="64"/>
    <m/>
    <s v="“Orak Hücreli Anemi Hastalarının Kanama ve Tromboz Sıklıkları ile Klinik Özelliklerinin ve Tedavi Yöntemlerinin İncelenmesi”"/>
    <m/>
    <m/>
    <m/>
    <m/>
    <m/>
    <m/>
    <m/>
    <m/>
    <m/>
    <m/>
  </r>
  <r>
    <m/>
    <m/>
    <x v="221"/>
    <x v="64"/>
    <m/>
    <s v="“Mitokondriyal Hastalıklarda Mitokondri Fonksiyon Bozukluğunun Çoklu-Omik Platformları ile Değerlendirilmesi ve Girişimsel Olmayan Yeni Tanı ve İzlem Yöntemlerinin Geliştirilmesi”"/>
    <m/>
    <m/>
    <m/>
    <m/>
    <m/>
    <m/>
    <m/>
    <m/>
    <m/>
    <m/>
  </r>
  <r>
    <m/>
    <m/>
    <x v="221"/>
    <x v="64"/>
    <m/>
    <s v="“Mekanik Aort ve Mitral Kapak Protezi Bulunan Hastalarda Ventriküler Taşikardi Ablasyonunda Sol Ventriküle Transapikal ve Trans-Sağ Atriyal Erişimin Etkinliği ve Sonuçları”"/>
    <m/>
    <m/>
    <m/>
    <m/>
    <m/>
    <m/>
    <m/>
    <m/>
    <m/>
    <m/>
  </r>
  <r>
    <m/>
    <m/>
    <x v="221"/>
    <x v="64"/>
    <m/>
    <s v="“Subkortikal Bant Heterotopisi: Klinik Özellikler ve Epilepsi Yükü”"/>
    <m/>
    <m/>
    <m/>
    <m/>
    <m/>
    <m/>
    <m/>
    <m/>
    <m/>
    <m/>
  </r>
  <r>
    <m/>
    <m/>
    <x v="221"/>
    <x v="64"/>
    <m/>
    <s v="“Standart AP ve Lateral Diz Grafilerinin Değerlendirilmesi ve Radyolojik Ölçümlerin Yapay Zeka ile Analizi”"/>
    <m/>
    <m/>
    <m/>
    <m/>
    <m/>
    <m/>
    <m/>
    <m/>
    <m/>
    <m/>
  </r>
  <r>
    <m/>
    <m/>
    <x v="221"/>
    <x v="64"/>
    <m/>
    <s v="“6 Şubat 2023 Depremzedelerinde Uzun Dönemdeki Ruhsal Sorunları Belirleyen Faktörler: Bölge Dışına Göçün Etkileri”"/>
    <m/>
    <m/>
    <m/>
    <m/>
    <m/>
    <m/>
    <m/>
    <m/>
    <m/>
    <m/>
  </r>
  <r>
    <m/>
    <m/>
    <x v="221"/>
    <x v="64"/>
    <m/>
    <s v="“Akromegali Hastalarında Serebral Küçük Damar Hastalığı ve Vasküler Kognitif Bozuklukların Değerlendirilmesi”"/>
    <m/>
    <m/>
    <m/>
    <m/>
    <m/>
    <m/>
    <m/>
    <m/>
    <m/>
    <m/>
  </r>
  <r>
    <m/>
    <m/>
    <x v="221"/>
    <x v="64"/>
    <m/>
    <s v="“Omuz Yaralanması Geçiren Sporcularda Spora Dönüş Evrelerinde Psikolojik Hazıroluşluğun İncelenmesi: Boylamsal Karma Desen Çalışması”"/>
    <m/>
    <m/>
    <m/>
    <m/>
    <m/>
    <m/>
    <m/>
    <m/>
    <m/>
    <m/>
  </r>
  <r>
    <m/>
    <m/>
    <x v="221"/>
    <x v="64"/>
    <m/>
    <s v="“Diyabet Dışı Kronik Böbrek Hastalığında Sodyum-Glukoz Kotransporter 2 İnhibitörünün Proteinüri Üzerine Etkisi”"/>
    <m/>
    <m/>
    <m/>
    <m/>
    <m/>
    <m/>
    <m/>
    <m/>
    <m/>
    <m/>
  </r>
  <r>
    <m/>
    <m/>
    <x v="221"/>
    <x v="64"/>
    <m/>
    <s v="“Gordon Sendromu Tanılı Bir Çocukta Saptanan Yeni WNK1 Varyantının Aile İçi Hastalıkla Segregasyonunun Araştırılması”"/>
    <m/>
    <m/>
    <m/>
    <m/>
    <m/>
    <m/>
    <m/>
    <m/>
    <m/>
    <m/>
  </r>
  <r>
    <m/>
    <m/>
    <x v="221"/>
    <x v="64"/>
    <m/>
    <s v="“Malignite Nedeniyle Yapılan Gastrointestinal Sistem Cerrahisi Sonrası Görülen İntraabdominal Kanamaların Tedavisinde Cerrahi ve Vasküler Girişimsel Radyolojik Yöntem Sonuçlarının Karşılaştırılması”"/>
    <m/>
    <m/>
    <m/>
    <m/>
    <m/>
    <m/>
    <m/>
    <m/>
    <m/>
    <m/>
  </r>
  <r>
    <m/>
    <m/>
    <x v="221"/>
    <x v="64"/>
    <m/>
    <s v="“Konjenital Hipotiroidi İçin Ulusal Ölçekli Yenidoğan Tarama Testi Sonucuyla Çocuk Endokrinoloji Bölümüne Yönlendirilen Olguların Klinik, Laboratuvar, Radyolojik Özelliklerinin İncelenmesi”"/>
    <m/>
    <m/>
    <m/>
    <m/>
    <m/>
    <m/>
    <m/>
    <m/>
    <m/>
    <m/>
  </r>
  <r>
    <m/>
    <m/>
    <x v="221"/>
    <x v="64"/>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21"/>
    <x v="64"/>
    <m/>
    <s v="“Manyetik Rezonans Görüntüleme ile Serebellum, Beyin Sapı, Bazal Gangliyon ve Talamusta Saptanan Insidentalomaların Görüntüleme Bulguları”"/>
    <m/>
    <m/>
    <m/>
    <m/>
    <m/>
    <m/>
    <m/>
    <m/>
    <m/>
    <m/>
  </r>
  <r>
    <m/>
    <m/>
    <x v="221"/>
    <x v="64"/>
    <m/>
    <s v="&quot;Alt Premolar Dişlere Ait Gubernakular Kanalın Konik Işınlı Bilgisayarlı Tomografi Görüntülerinde İncelenmesi&quot;"/>
    <m/>
    <m/>
    <m/>
    <m/>
    <m/>
    <m/>
    <m/>
    <m/>
    <m/>
    <m/>
  </r>
  <r>
    <m/>
    <m/>
    <x v="221"/>
    <x v="64"/>
    <m/>
    <s v="“PIK3CG Eksikliğinin Doğal ve Kazanılmış Bağışıklık Sistemi Üzerindeki Etkilerinin Araştırılması”"/>
    <m/>
    <m/>
    <m/>
    <m/>
    <m/>
    <m/>
    <m/>
    <m/>
    <m/>
    <m/>
  </r>
  <r>
    <m/>
    <m/>
    <x v="221"/>
    <x v="64"/>
    <m/>
    <s v="“GPT-4 ile Patoloji Raporlarında Veri Analizi”"/>
    <m/>
    <m/>
    <m/>
    <m/>
    <m/>
    <m/>
    <m/>
    <m/>
    <m/>
    <m/>
  </r>
  <r>
    <m/>
    <m/>
    <x v="221"/>
    <x v="64"/>
    <m/>
    <s v="“Geçirilmiş Oral Cerrahi İşlemlerin Hastaların Dental Anksiyete ve Ağrı Üzerine Etkisinin Değerlendirilmesi”"/>
    <m/>
    <m/>
    <m/>
    <m/>
    <m/>
    <m/>
    <m/>
    <m/>
    <m/>
    <m/>
  </r>
  <r>
    <m/>
    <m/>
    <x v="221"/>
    <x v="64"/>
    <m/>
    <s v="“Temporomandibular Eklem Bozukluklarında Çene Fonksiyon Kısıtlanmasının ve Yaşam Kalitesinin Değerlendirilmesi”"/>
    <m/>
    <m/>
    <m/>
    <m/>
    <m/>
    <m/>
    <m/>
    <m/>
    <m/>
    <m/>
  </r>
  <r>
    <m/>
    <m/>
    <x v="221"/>
    <x v="64"/>
    <m/>
    <s v="“Endometrium Adenokarsinom Hastalarında Retrospektif Yetersiz ve Negatif Biyopsilerinin Klinikopatolojik Açıdan Değerlendirilmesi”"/>
    <m/>
    <m/>
    <m/>
    <m/>
    <m/>
    <m/>
    <m/>
    <m/>
    <m/>
    <m/>
  </r>
  <r>
    <m/>
    <m/>
    <x v="221"/>
    <x v="64"/>
    <m/>
    <s v="“Çocuk Kalp Cerrahisi Uygulanan Hastalarda Postoperatif İntraabdominal Hipertansiyonun Cerrahi Sonuçlara Etkisinin İncelenmesi”"/>
    <m/>
    <m/>
    <m/>
    <m/>
    <m/>
    <m/>
    <m/>
    <m/>
    <m/>
    <m/>
  </r>
  <r>
    <m/>
    <m/>
    <x v="221"/>
    <x v="64"/>
    <m/>
    <s v="“Aort Kapak Protezi olan Hastalarda Transtorasik Ekokardiyografik ve İnvaziv Ölçümlerle Transvalvüler Aort Gradientlerinin Karşılaştırılması”"/>
    <m/>
    <m/>
    <m/>
    <m/>
    <m/>
    <m/>
    <m/>
    <m/>
    <m/>
    <m/>
  </r>
  <r>
    <m/>
    <m/>
    <x v="221"/>
    <x v="64"/>
    <m/>
    <s v="“Body Roundness Index ve Body Shape Index'in Sarkopenik Obezite ile Yaşayanlarda Geriatrik Sendromlar ve Kognitif Fonksiyonlarla İlişkisi"/>
    <m/>
    <m/>
    <m/>
    <m/>
    <m/>
    <m/>
    <m/>
    <m/>
    <m/>
    <m/>
  </r>
  <r>
    <m/>
    <m/>
    <x v="221"/>
    <x v="64"/>
    <m/>
    <s v="“Primer Dismenoreden Etkilenme Düzeyine Göre Başvurulan Tamamlayıcı ve Alternatif Tedavi Yöntemlerinin Değerlendirilmesi”"/>
    <m/>
    <m/>
    <m/>
    <m/>
    <m/>
    <m/>
    <m/>
    <m/>
    <m/>
    <m/>
  </r>
  <r>
    <m/>
    <m/>
    <x v="221"/>
    <x v="64"/>
    <m/>
    <s v="“Kullanılmayan İlaçların İadesi ve İmhası Anketinin Türkçe Geçerlik ve Güvenirlik Çalışması"/>
    <m/>
    <m/>
    <m/>
    <m/>
    <m/>
    <m/>
    <m/>
    <m/>
    <m/>
    <m/>
  </r>
  <r>
    <m/>
    <m/>
    <x v="221"/>
    <x v="64"/>
    <m/>
    <s v="“Nörofibromatozis Tip 1 Hastalarının Beyin Manyetik Rezonans Görüntüleme Bulgularının Retrospektif Degerlendirilmesi”"/>
    <m/>
    <m/>
    <m/>
    <m/>
    <m/>
    <m/>
    <m/>
    <m/>
    <m/>
    <m/>
  </r>
  <r>
    <m/>
    <m/>
    <x v="221"/>
    <x v="64"/>
    <m/>
    <s v="“Kalıtsal Metabolik Hastalıklar ile ROS-Aracılı Hücresel Stres Arasındaki İlişkinin Metabolizma Açısından Değerlendirilmesi”"/>
    <m/>
    <m/>
    <m/>
    <m/>
    <m/>
    <m/>
    <m/>
    <m/>
    <m/>
    <m/>
  </r>
  <r>
    <m/>
    <m/>
    <x v="221"/>
    <x v="64"/>
    <m/>
    <s v="“İmmün Trombositopeni Hastalarında Splenektomi ile Alternatif Tedaviler Arasında Tedavi Etkinliği ve Trombositk Olay Sıklığının Karşılaştırılması”"/>
    <m/>
    <m/>
    <m/>
    <m/>
    <m/>
    <m/>
    <m/>
    <m/>
    <m/>
    <m/>
  </r>
  <r>
    <m/>
    <m/>
    <x v="221"/>
    <x v="64"/>
    <m/>
    <s v="“İnflamatuar Bağırsak Hastalığında Sarkopeni Değerlendirmesinde Optimal Yönteminin Belirlenmesi ve Nütrisyonel Değerlendirme”"/>
    <m/>
    <m/>
    <m/>
    <m/>
    <m/>
    <m/>
    <m/>
    <m/>
    <m/>
    <m/>
  </r>
  <r>
    <m/>
    <m/>
    <x v="221"/>
    <x v="64"/>
    <m/>
    <s v="“Hipertrofik Kardiyomiyopati Hastalarında Ventriküler Taşikardi Ablasyonunun Etkinliği ve Sonuçları”"/>
    <m/>
    <m/>
    <m/>
    <m/>
    <m/>
    <m/>
    <m/>
    <m/>
    <m/>
    <m/>
  </r>
  <r>
    <m/>
    <m/>
    <x v="221"/>
    <x v="64"/>
    <m/>
    <s v="“Statin Tedavisi Altındaki Pediatrik Hiperlipidemi Hastalarında Glikolizasyon Profili Karşılaştırması”"/>
    <m/>
    <m/>
    <m/>
    <m/>
    <m/>
    <m/>
    <m/>
    <m/>
    <m/>
    <m/>
  </r>
  <r>
    <m/>
    <m/>
    <x v="221"/>
    <x v="64"/>
    <m/>
    <s v="“Gecikmiş Kord Klemplenmesinin Erken Dönem Yenidoğan Komplikasyonları Üzerine Etkisinin Değerlendirilmesi”"/>
    <m/>
    <m/>
    <m/>
    <m/>
    <m/>
    <m/>
    <m/>
    <m/>
    <m/>
    <m/>
  </r>
  <r>
    <m/>
    <m/>
    <x v="221"/>
    <x v="64"/>
    <m/>
    <s v="“Tirozinemi Tip 1 Tanılı Pediatrik Yaş Grubu Hastalarda Metabolomik Profilin Hastalığın Klinik ve Laboratuvar Bulguları ve Tedavisi ile İlişkisinin Değerlendirilmesi”"/>
    <m/>
    <m/>
    <m/>
    <m/>
    <m/>
    <m/>
    <m/>
    <m/>
    <m/>
    <m/>
  </r>
  <r>
    <m/>
    <m/>
    <x v="221"/>
    <x v="64"/>
    <m/>
    <s v="“Amyotrofik Lateral Skleroz Hastalarının MRG ile Degerlendirilmesi”"/>
    <m/>
    <m/>
    <m/>
    <m/>
    <m/>
    <m/>
    <m/>
    <m/>
    <m/>
    <m/>
  </r>
  <r>
    <m/>
    <m/>
    <x v="221"/>
    <x v="64"/>
    <m/>
    <s v="“Benign Paroksizimal Pozisyonel Vertigo Hastalarında Klinik Tecrübemiz”"/>
    <m/>
    <m/>
    <m/>
    <m/>
    <m/>
    <m/>
    <m/>
    <m/>
    <m/>
    <m/>
  </r>
  <r>
    <m/>
    <m/>
    <x v="221"/>
    <x v="64"/>
    <m/>
    <s v="“Acil Servise Başvuran Febril Nötropeni Hastalarında MASCC Skorlaması ile Yapılan Hasta Yönetiminin FRAİL Kırılganlık İndeksi Skorları ile Karşılaştırılması ve Değerlendirilmesi: Gözlemsel Çalışma”"/>
    <m/>
    <m/>
    <m/>
    <m/>
    <m/>
    <m/>
    <m/>
    <m/>
    <m/>
    <m/>
  </r>
  <r>
    <m/>
    <m/>
    <x v="221"/>
    <x v="64"/>
    <m/>
    <s v="“Erişkin Hastalarda Glenoid Versiyonlarının ve Morfolojilerinin Bilgisayarlı Tomografi (BT) ile Değerlendirilmesi”"/>
    <m/>
    <m/>
    <m/>
    <m/>
    <m/>
    <m/>
    <m/>
    <m/>
    <m/>
    <m/>
  </r>
  <r>
    <m/>
    <m/>
    <x v="221"/>
    <x v="64"/>
    <m/>
    <s v="“Dirsek Lateral Epikondilit Tanılı Hastalarda Uyku Kalitesinin Değerlendirilmesi”"/>
    <m/>
    <m/>
    <m/>
    <m/>
    <m/>
    <m/>
    <m/>
    <m/>
    <m/>
    <m/>
  </r>
  <r>
    <m/>
    <m/>
    <x v="221"/>
    <x v="64"/>
    <m/>
    <s v="“Ulusal Kistik Fibrozis Hasta Kayıt Sisteminde Kayıtlı Hastalarda Kistik Fibrozis İlişkili Karaciğer Hastalığının Bağımsız Belirleyicilerinin Saptanması”"/>
    <m/>
    <m/>
    <m/>
    <m/>
    <m/>
    <m/>
    <m/>
    <m/>
    <m/>
    <m/>
  </r>
  <r>
    <m/>
    <m/>
    <x v="221"/>
    <x v="64"/>
    <m/>
    <s v="“Yoğun Bakım Ünitelerinde Endotrakeal Tüp İlişkili Oral Mukoz Membran Basınç Yaralanması: Tek Merkezde Boylamsal Bir Nokta Prevalans Çalışması”"/>
    <m/>
    <m/>
    <m/>
    <m/>
    <m/>
    <m/>
    <m/>
    <m/>
    <m/>
    <m/>
  </r>
  <r>
    <m/>
    <m/>
    <x v="221"/>
    <x v="64"/>
    <m/>
    <s v="“HPV Aşısının Sosyal Medyadaki İnfodemisi: Nitel Çalışma”"/>
    <m/>
    <m/>
    <m/>
    <m/>
    <m/>
    <m/>
    <m/>
    <m/>
    <m/>
    <m/>
  </r>
  <r>
    <m/>
    <m/>
    <x v="221"/>
    <x v="64"/>
    <m/>
    <s v="“X, Y ve Z Kuşağında Beslenme Alışkanlıklarındaki Farklılıkların Araştırılması”"/>
    <m/>
    <m/>
    <m/>
    <m/>
    <m/>
    <m/>
    <m/>
    <m/>
    <m/>
    <m/>
  </r>
  <r>
    <m/>
    <m/>
    <x v="221"/>
    <x v="64"/>
    <m/>
    <s v="“Ameliyathane Dışı İrreversible Elektroporasyon Uygulanan Onkolojik Hastalarda Anestezi Yönetimi ve Komplikasyonların İncelenmesi: Retrospektif Gözlemsel Çalışma”"/>
    <m/>
    <m/>
    <m/>
    <m/>
    <m/>
    <m/>
    <m/>
    <m/>
    <m/>
    <m/>
  </r>
  <r>
    <m/>
    <m/>
    <x v="221"/>
    <x v="64"/>
    <m/>
    <s v="“Kalça Artroplastisinde Constrained Asetabular İnsertlerin Uzun Dönem Sonuçları”"/>
    <m/>
    <m/>
    <m/>
    <m/>
    <m/>
    <m/>
    <m/>
    <m/>
    <m/>
    <m/>
  </r>
  <r>
    <m/>
    <m/>
    <x v="221"/>
    <x v="64"/>
    <m/>
    <s v="“Tıp Fakültesi Öğrencileri İçin Geliştirilen Bir Elektronik Performans Destek Sisteminin Akademik Başarı ve Performansa Etkisi”"/>
    <m/>
    <m/>
    <m/>
    <m/>
    <m/>
    <m/>
    <m/>
    <m/>
    <m/>
    <m/>
  </r>
  <r>
    <m/>
    <m/>
    <x v="221"/>
    <x v="64"/>
    <m/>
    <s v="“Mikozis Fungoides, Psöriasis ve Atopik Dermatit Hastalarında Dermoskopik Bulguların İncelenmesi”"/>
    <m/>
    <m/>
    <m/>
    <m/>
    <m/>
    <m/>
    <m/>
    <m/>
    <m/>
    <m/>
  </r>
  <r>
    <m/>
    <m/>
    <x v="221"/>
    <x v="64"/>
    <m/>
    <s v="“Kistik Nötrofilik Granülomatöz Mastit ve İdiopatik Granülomatöz Mastitin Radyolojik Görüntüleme Bulgularının Klinik ve Patolojik Veriler Eşliğinde Karşılaştırılması”"/>
    <m/>
    <m/>
    <m/>
    <m/>
    <m/>
    <m/>
    <m/>
    <m/>
    <m/>
    <m/>
  </r>
  <r>
    <m/>
    <m/>
    <x v="221"/>
    <x v="64"/>
    <m/>
    <s v="“Baş Boyun Kanserli Olgularda European Organisation for Research and Treatment of Cancer (EORTC) H&amp;N43 Modülünün Türkçe Validasyonu, Kronoradyoterapinin Hayat Kalitesi ve Akut Toksisiteler Üzerine Etkisi”"/>
    <m/>
    <m/>
    <m/>
    <m/>
    <m/>
    <m/>
    <m/>
    <m/>
    <m/>
    <m/>
  </r>
  <r>
    <m/>
    <m/>
    <x v="221"/>
    <x v="64"/>
    <m/>
    <s v="“Tendon Transferi Uygulanan Hastalarda Etiyolojik Faktörlerin Retrospektif Analizi”"/>
    <m/>
    <m/>
    <m/>
    <m/>
    <m/>
    <m/>
    <m/>
    <m/>
    <m/>
    <m/>
  </r>
  <r>
    <m/>
    <m/>
    <x v="221"/>
    <x v="64"/>
    <m/>
    <s v="&quot;Nonsteroid Anti-İnflamatuar İlaçlar ile Alevlenen Hava Yolu Hastalığında Aspirin Kullanımının Kardiyovasküler Olaylar ve Kanama ile İlişkisini Değerlendirmek&quot;"/>
    <m/>
    <m/>
    <m/>
    <m/>
    <m/>
    <m/>
    <m/>
    <m/>
    <m/>
    <m/>
  </r>
  <r>
    <m/>
    <m/>
    <x v="221"/>
    <x v="64"/>
    <m/>
    <s v="&quot;Nonsteroidal Anti-İnflamatuar ilaçlarla Alevlenen Solunum Yolu Hastalığında (N-ERD) Biyolojik ve Aspirin Tedavilerinin Karşılaştırmalı Etkileri &quot;"/>
    <m/>
    <m/>
    <m/>
    <m/>
    <m/>
    <m/>
    <m/>
    <m/>
    <m/>
    <m/>
  </r>
  <r>
    <m/>
    <m/>
    <x v="221"/>
    <x v="64"/>
    <m/>
    <s v="“Proteinüri Nedeniyle Çocuk Nefrolojisi Bilim Dalı'nda Değerlendirilen Diabetes Mellitus Tanılı Çocuk Hastaların Retrospektif Değerlendirilmesi”"/>
    <m/>
    <m/>
    <m/>
    <m/>
    <m/>
    <m/>
    <m/>
    <m/>
    <m/>
    <m/>
  </r>
  <r>
    <m/>
    <m/>
    <x v="221"/>
    <x v="64"/>
    <m/>
    <s v="“Türk Erişkinlerde El Sıkma Kuvveti Referans Değerlerinin Belirlenmesi”"/>
    <m/>
    <m/>
    <m/>
    <m/>
    <m/>
    <m/>
    <m/>
    <m/>
    <m/>
    <m/>
  </r>
  <r>
    <m/>
    <m/>
    <x v="221"/>
    <x v="64"/>
    <m/>
    <s v="“Çocuk ve Adolesan Tüberküloz Vakalarında Göçün Etkisi”"/>
    <m/>
    <m/>
    <m/>
    <m/>
    <m/>
    <m/>
    <m/>
    <m/>
    <m/>
    <m/>
  </r>
  <r>
    <m/>
    <m/>
    <x v="221"/>
    <x v="64"/>
    <m/>
    <s v="“Erişkinlerin Aromaterapi Hakkında Bilgi, Tutum ve Davranışlarının Araştırılması: Kesitsel Çalışma”"/>
    <m/>
    <m/>
    <m/>
    <m/>
    <m/>
    <m/>
    <m/>
    <m/>
    <m/>
    <m/>
  </r>
  <r>
    <m/>
    <m/>
    <x v="221"/>
    <x v="64"/>
    <m/>
    <s v="“Nörofibromatosis Tip 1 Vakalarında Gebelik Öncesi Dönemden Çocukluk Dönemine Çevresel Etkilenimler”"/>
    <m/>
    <m/>
    <m/>
    <m/>
    <m/>
    <m/>
    <m/>
    <m/>
    <m/>
    <m/>
  </r>
  <r>
    <m/>
    <m/>
    <x v="221"/>
    <x v="64"/>
    <m/>
    <s v="“Sıfır Eko Zamanlı Manyetik Rezonans Görüntüleme ile Ölçülen Kritik Omuz Açısının Rotator Kılıf Anormallikleri ve Glenohumeral Osteoartrit ile İlişkisi”"/>
    <m/>
    <m/>
    <m/>
    <m/>
    <m/>
    <m/>
    <m/>
    <m/>
    <m/>
    <m/>
  </r>
  <r>
    <m/>
    <m/>
    <x v="221"/>
    <x v="64"/>
    <m/>
    <s v="“Küçük/Orta Damar Vaskülitli Hastaların Kutanöz Prezentasyonları: Dermoskopik ve Histopatolojik Benzerlik ve Farklılıkların İncelenmesi”"/>
    <m/>
    <m/>
    <m/>
    <m/>
    <m/>
    <m/>
    <m/>
    <m/>
    <m/>
    <m/>
  </r>
  <r>
    <m/>
    <m/>
    <x v="221"/>
    <x v="64"/>
    <m/>
    <s v="“Fonksiyonel Nöbet ve Epilepsi Hastalarında Faillik ve Sahiplik Hissi Parametrelerinin Değerlendirilmesi, Epilepsi Hastalarında Fonksiyonel Nöbet Gelişimini Yordayan Etmenlerin İncelenmesi”"/>
    <m/>
    <m/>
    <m/>
    <m/>
    <m/>
    <m/>
    <m/>
    <m/>
    <m/>
    <m/>
  </r>
  <r>
    <m/>
    <m/>
    <x v="221"/>
    <x v="64"/>
    <m/>
    <s v="“Yoğun Bakımda Takip Edilen Geriatrik Hasta Grubunun Klinik Özellikleri ve Klinik Skorların Yoğun Bakım Sonuçlarına Etkisi: Çok Merkezli Prospektif Çalışma”"/>
    <m/>
    <m/>
    <m/>
    <m/>
    <m/>
    <m/>
    <m/>
    <m/>
    <m/>
    <m/>
  </r>
  <r>
    <m/>
    <m/>
    <x v="221"/>
    <x v="64"/>
    <m/>
    <s v="&quot;Preterm Doğum Öyküsü Olan Çocukların Okula Hazır Bulunuşluklarının Değerlendirilmesi&quot;"/>
    <m/>
    <m/>
    <m/>
    <m/>
    <m/>
    <m/>
    <m/>
    <m/>
    <m/>
    <m/>
  </r>
  <r>
    <m/>
    <m/>
    <x v="221"/>
    <x v="64"/>
    <m/>
    <s v="“Hastaneye Yatan Ergenlerde Hastalıkların Siberkondri Üzerindeki Etkisi”"/>
    <m/>
    <m/>
    <m/>
    <m/>
    <m/>
    <m/>
    <m/>
    <m/>
    <m/>
    <m/>
  </r>
  <r>
    <m/>
    <m/>
    <x v="221"/>
    <x v="64"/>
    <m/>
    <s v="“Türkiye’de Aile Sağlığı Merkezlerinde Yapılan Okul Sağlık Taramalarına Yönelik Öğretmenlerin Farkındalık ve Tutumlarının Araştırılması: Nitel Çalışma”"/>
    <m/>
    <m/>
    <m/>
    <m/>
    <m/>
    <m/>
    <m/>
    <m/>
    <m/>
    <m/>
  </r>
  <r>
    <m/>
    <m/>
    <x v="221"/>
    <x v="64"/>
    <m/>
    <s v="“Bilgisayarlı Tomografi Anjiyografide Hepatik Arter Aterosklerozu Prevalansının Araştırılması”"/>
    <m/>
    <m/>
    <m/>
    <m/>
    <m/>
    <m/>
    <m/>
    <m/>
    <m/>
    <m/>
  </r>
  <r>
    <m/>
    <m/>
    <x v="221"/>
    <x v="64"/>
    <m/>
    <s v="“Farklı Diş Macunları ve Er,Cr:YSGG Lazerin Süt Dişi Remineralizasyonuna Etkisi”"/>
    <m/>
    <m/>
    <m/>
    <m/>
    <m/>
    <m/>
    <m/>
    <m/>
    <m/>
    <m/>
  </r>
  <r>
    <m/>
    <m/>
    <x v="221"/>
    <x v="64"/>
    <m/>
    <s v="“Biyoprostetik Kalp Kapağı İmplantasyonu Geçiren Hastalarda Trombo-profilaksi İçin Warfarin ile Non–Vitamin K Oral Antikoagülanların Karşılaştırılması”"/>
    <m/>
    <m/>
    <m/>
    <m/>
    <m/>
    <m/>
    <m/>
    <m/>
    <m/>
    <m/>
  </r>
  <r>
    <m/>
    <m/>
    <x v="221"/>
    <x v="64"/>
    <m/>
    <s v="“Farklı Miyeloid Neoplazilerde Tanı ve İzlemde İnflamasyon Parametreleri”"/>
    <m/>
    <m/>
    <m/>
    <m/>
    <m/>
    <m/>
    <m/>
    <m/>
    <m/>
    <m/>
  </r>
  <r>
    <m/>
    <m/>
    <x v="221"/>
    <x v="64"/>
    <m/>
    <s v="“Erken Evre Glottik Kanserlerde Radyoterapi Sonuçları ve Ön Komissür Tutulumunun Radyoterapi Tekniği ile İlişkisi”"/>
    <m/>
    <m/>
    <m/>
    <m/>
    <m/>
    <m/>
    <m/>
    <m/>
    <m/>
    <m/>
  </r>
  <r>
    <m/>
    <m/>
    <x v="221"/>
    <x v="64"/>
    <m/>
    <s v="&quot;IKZF1 Gen Varyantı Saptanan Primer İmmün Yetmezlik Hastalarının Demografik, Klinik ve Laboratuvar Özelliklerinin Değerlendirilmesi&quot;"/>
    <m/>
    <m/>
    <m/>
    <m/>
    <m/>
    <m/>
    <m/>
    <m/>
    <m/>
    <m/>
  </r>
  <r>
    <m/>
    <m/>
    <x v="221"/>
    <x v="64"/>
    <m/>
    <s v="“Kardiyopulmoner Bypass Sırasında Hemadsorbsiyon Uygulamasının Pediyatrik Hastaların Mortalite ve Morbiditesi Üzerine Etkileri”"/>
    <m/>
    <m/>
    <m/>
    <m/>
    <m/>
    <m/>
    <m/>
    <m/>
    <m/>
    <m/>
  </r>
  <r>
    <m/>
    <m/>
    <x v="221"/>
    <x v="64"/>
    <m/>
    <s v="“İleri Blefaropitoz Olgularında Yeni Bir Cerrahi Yaklaşım: Kontralateral Corrugatör Supercilii Kas Transpozisyonu ve Topografik-Mikroskopik Analizi”"/>
    <m/>
    <m/>
    <m/>
    <m/>
    <m/>
    <m/>
    <m/>
    <m/>
    <m/>
    <m/>
  </r>
  <r>
    <m/>
    <m/>
    <x v="221"/>
    <x v="64"/>
    <m/>
    <s v="“Kan Akımı Kısıtlanmasına Bağlı Aerobik Egzersizin Metabolik Değişiklikler Üzerindeki Etkisinin Çoklu Omiks Teknikler ile Belirlenmesi”"/>
    <m/>
    <m/>
    <m/>
    <m/>
    <m/>
    <m/>
    <m/>
    <m/>
    <m/>
    <m/>
  </r>
  <r>
    <m/>
    <m/>
    <x v="221"/>
    <x v="64"/>
    <m/>
    <s v="“Toplumda Tarama İçin Risk Aracının (RISC) Hospitalize Yaşlı Hastada Geçerlik ve Güvenirliğinin Değerlendirilmesi”"/>
    <m/>
    <m/>
    <m/>
    <m/>
    <m/>
    <m/>
    <m/>
    <m/>
    <m/>
    <m/>
  </r>
  <r>
    <m/>
    <m/>
    <x v="221"/>
    <x v="64"/>
    <m/>
    <s v="“Osteoporozu Olan Geriatrik Hastalarda Kırık Riskinin FI-Lab Skoru ve Kapsamlı Geriatrik Değerlendirme ile Değerlendirilmesi”"/>
    <m/>
    <m/>
    <m/>
    <m/>
    <m/>
    <m/>
    <m/>
    <m/>
    <m/>
    <m/>
  </r>
  <r>
    <m/>
    <m/>
    <x v="221"/>
    <x v="64"/>
    <m/>
    <s v="&quot;İşitsel Üçlü Sessiz Harf Sıralaması Testi’nin Hafif Bilişsel Bozukluk ve Alzheimer Hastalarında Psikometrik Özelliklerinin Belirlenmesi: Ayırtedicilik, Geçerlik ve Güvenirlik Çalışması”"/>
    <m/>
    <m/>
    <m/>
    <m/>
    <m/>
    <m/>
    <m/>
    <m/>
    <m/>
    <m/>
  </r>
  <r>
    <m/>
    <m/>
    <x v="221"/>
    <x v="64"/>
    <m/>
    <s v="“Çocuk Acil Servise İlaç İntoksikasyonu ile Başvuran ve Çocuk ve Ergen Ruh Sağlığı Tarafından Takip Edilen Bireylerin Geriye Dönük Değerlendirilmesi”"/>
    <m/>
    <m/>
    <m/>
    <m/>
    <m/>
    <m/>
    <m/>
    <m/>
    <m/>
    <m/>
  </r>
  <r>
    <m/>
    <m/>
    <x v="221"/>
    <x v="64"/>
    <m/>
    <s v="“Palyatif Bakım Hastalarına Bakım Verenlerin Deneyimlerinde Cinsiyet Rollerinin Etkilerinin İncelenmesi”"/>
    <m/>
    <m/>
    <m/>
    <m/>
    <m/>
    <m/>
    <m/>
    <m/>
    <m/>
    <m/>
  </r>
  <r>
    <m/>
    <m/>
    <x v="221"/>
    <x v="64"/>
    <m/>
    <s v="“Brakial Pleksus Doğum Paralizisi Olan Hastalarda Gövde ve Alt Ekstremite Dengesinin Değerlendirilmesi”"/>
    <m/>
    <m/>
    <m/>
    <m/>
    <m/>
    <m/>
    <m/>
    <m/>
    <m/>
    <m/>
  </r>
  <r>
    <m/>
    <m/>
    <x v="221"/>
    <x v="64"/>
    <m/>
    <s v="“Ergen ve Genç Yetişkinlerde Menstrüasyon Farkındalığı”"/>
    <m/>
    <m/>
    <m/>
    <m/>
    <m/>
    <m/>
    <m/>
    <m/>
    <m/>
    <m/>
  </r>
  <r>
    <m/>
    <m/>
    <x v="221"/>
    <x v="64"/>
    <m/>
    <s v="“Viral Solunum Yolu Enfeksiyonu Tanısı ile Takip Edilen Çocuk Hastaların Klinik Verilerinin Retrospektif Olarak İncelenmesi”"/>
    <m/>
    <m/>
    <m/>
    <m/>
    <m/>
    <m/>
    <m/>
    <m/>
    <m/>
    <m/>
  </r>
  <r>
    <m/>
    <m/>
    <x v="221"/>
    <x v="64"/>
    <m/>
    <s v="“Astım Tanılı Çocuklarda Çekirdek Aile ve Çekirdek Aile Dışı Akrabalarda Alerjik Hastalık Sıklığının Belirlenmesi&quot;"/>
    <m/>
    <m/>
    <m/>
    <m/>
    <m/>
    <m/>
    <m/>
    <m/>
    <m/>
    <m/>
  </r>
  <r>
    <m/>
    <m/>
    <x v="221"/>
    <x v="64"/>
    <m/>
    <s v="“Proksimal Tibia Rekonstrüksiyonu ile Tedavi Edilen Hastaların Klinik Sonuçları”"/>
    <m/>
    <m/>
    <m/>
    <m/>
    <m/>
    <m/>
    <m/>
    <m/>
    <m/>
    <m/>
  </r>
  <r>
    <m/>
    <m/>
    <x v="221"/>
    <x v="64"/>
    <m/>
    <s v="&quot;Diş Hekimliğinde Yapay Zeka Destekli Teşhis ve Tedavilere Güven: Hasta Perspektifinden Bir Analiz&quot;"/>
    <m/>
    <m/>
    <m/>
    <m/>
    <m/>
    <m/>
    <m/>
    <m/>
    <m/>
    <m/>
  </r>
  <r>
    <m/>
    <m/>
    <x v="221"/>
    <x v="64"/>
    <m/>
    <s v="&quot;Akut Poststreptokoksik Glomerulonefrit Tanılı Hastaların Retrospektif Olarak İncelenmesi&quot;"/>
    <m/>
    <m/>
    <m/>
    <m/>
    <m/>
    <m/>
    <m/>
    <m/>
    <m/>
    <m/>
  </r>
  <r>
    <m/>
    <m/>
    <x v="221"/>
    <x v="64"/>
    <m/>
    <s v="“İnsan Göbek Kordonu Temelli Yapay Timüs Organoidlerinin Geliştirilmesi ve Karakterize Edilmesi”"/>
    <m/>
    <m/>
    <m/>
    <m/>
    <m/>
    <m/>
    <m/>
    <m/>
    <m/>
    <m/>
  </r>
  <r>
    <m/>
    <m/>
    <x v="221"/>
    <x v="64"/>
    <m/>
    <s v="“Wilms Tümörü ve Nefrojenik Artıklardaki Moleküler Değişiklikler”"/>
    <m/>
    <m/>
    <m/>
    <m/>
    <m/>
    <m/>
    <m/>
    <m/>
    <m/>
    <m/>
  </r>
  <r>
    <m/>
    <m/>
    <x v="221"/>
    <x v="64"/>
    <m/>
    <s v="“Erişkin Popülasyonda Ayak Bileği Kırıklarının Deplasman ve Yumuşak Doku Hasarlarının ZTE sekanslı MRG ile Değerlendirilmesi ve BT ile Karşılaştırılması”"/>
    <m/>
    <m/>
    <m/>
    <m/>
    <m/>
    <m/>
    <m/>
    <m/>
    <m/>
    <m/>
  </r>
  <r>
    <m/>
    <m/>
    <x v="221"/>
    <x v="64"/>
    <m/>
    <s v="“Yeni Nesil Antikoagülan İlaçların İlaç Etkileşimleri Hakkında Farkındalık Düzeyinin Ölçülmesi”"/>
    <m/>
    <m/>
    <m/>
    <m/>
    <m/>
    <m/>
    <m/>
    <m/>
    <m/>
    <m/>
  </r>
  <r>
    <m/>
    <m/>
    <x v="221"/>
    <x v="64"/>
    <m/>
    <s v="“Dental Tedavi Sırasında veya Reçetelendirmede Gelişebilecek İlaç Etkileşimleri Hakkında Farkındalık Düzeyinin Ölçülmesi”"/>
    <m/>
    <m/>
    <m/>
    <m/>
    <m/>
    <m/>
    <m/>
    <m/>
    <m/>
    <m/>
  </r>
  <r>
    <m/>
    <m/>
    <x v="221"/>
    <x v="64"/>
    <m/>
    <s v="&quot;İmmünoterapi ile Tedavi Edilen Kanser Hastalarında Tedavi Öncesi Serbest T3/T4 Oranı ile Sağkalım İlişkisi”"/>
    <m/>
    <m/>
    <m/>
    <m/>
    <m/>
    <m/>
    <m/>
    <m/>
    <m/>
    <m/>
  </r>
  <r>
    <m/>
    <m/>
    <x v="221"/>
    <x v="64"/>
    <m/>
    <s v="“Rotasyon Profilli Bilgisayarlı Tomografi Kullanılarak Oluşturulan Parametreler ile Radyografide Proksimal Femur Rotasyonunun Değerlendirilmesi”"/>
    <m/>
    <m/>
    <m/>
    <m/>
    <m/>
    <m/>
    <m/>
    <m/>
    <m/>
    <m/>
  </r>
  <r>
    <m/>
    <m/>
    <x v="221"/>
    <x v="64"/>
    <m/>
    <s v="&quot;Vegan Beslenmenin Oral Mukoza Üzerindeki Sitolojik, Genotoksik ve Antioksidan Etkilerinin İncelenmesi”"/>
    <m/>
    <m/>
    <m/>
    <m/>
    <m/>
    <m/>
    <m/>
    <m/>
    <m/>
    <m/>
  </r>
  <r>
    <m/>
    <m/>
    <x v="221"/>
    <x v="64"/>
    <m/>
    <s v="&quot;Hospitalize Edilen Kanser Hastalarında Mortaliteye ve Hastanede Yeniden Yatışa Etki Eden Klinik Faktörlerin İncelenmesi&quot;"/>
    <m/>
    <m/>
    <m/>
    <m/>
    <m/>
    <m/>
    <m/>
    <m/>
    <m/>
    <m/>
  </r>
  <r>
    <m/>
    <m/>
    <x v="221"/>
    <x v="64"/>
    <m/>
    <s v="&quot;BRCA Mutant Meme ve Over Kanseri Hastaların Birinci Derece Erkek ve Kadın Yakınlarında Genetik Test Oranlarının ve Sonuçlarının Değerlendirilmesi&quot;"/>
    <m/>
    <m/>
    <m/>
    <m/>
    <m/>
    <m/>
    <m/>
    <m/>
    <m/>
    <m/>
  </r>
  <r>
    <m/>
    <m/>
    <x v="221"/>
    <x v="64"/>
    <m/>
    <s v="“Çocuklarda Doğal İmmünite Kaynaklı Santral Sinir Sistemi İnflamasyonunda Beyin Büyümesini ve Sağlığını Haritalama”"/>
    <m/>
    <m/>
    <m/>
    <m/>
    <m/>
    <m/>
    <m/>
    <m/>
    <m/>
    <m/>
  </r>
  <r>
    <m/>
    <m/>
    <x v="221"/>
    <x v="64"/>
    <m/>
    <s v="“Geriatrik Sendromlarla C Reaktif-Albumin-Lenfosit İndeksinin İlişkisinin İncelenmesi”"/>
    <m/>
    <m/>
    <m/>
    <m/>
    <m/>
    <m/>
    <m/>
    <m/>
    <m/>
    <m/>
  </r>
  <r>
    <m/>
    <m/>
    <x v="221"/>
    <x v="64"/>
    <m/>
    <s v="&quot;Kristal Artropatilerde Klinik ve Radyolojik Değerlendirmenin İncelenmesi&quot;"/>
    <m/>
    <m/>
    <m/>
    <m/>
    <m/>
    <m/>
    <m/>
    <m/>
    <m/>
    <m/>
  </r>
  <r>
    <m/>
    <m/>
    <x v="221"/>
    <x v="64"/>
    <m/>
    <s v="&quot;Bakteriyel Enfeksiyon Tanısı ile Yatarak Tedavi Olan Çocuk Hastaların Verilerinin Retrospektif Olarak İncelenmesi&quot;"/>
    <m/>
    <m/>
    <m/>
    <m/>
    <m/>
    <m/>
    <m/>
    <m/>
    <m/>
    <m/>
  </r>
  <r>
    <m/>
    <m/>
    <x v="221"/>
    <x v="64"/>
    <m/>
    <s v="“Genç Yetişkin Erkeklerde Cinsiyet Rolü Gerilimi ve Problemli Kumar Oynama”"/>
    <m/>
    <m/>
    <m/>
    <m/>
    <m/>
    <m/>
    <m/>
    <m/>
    <m/>
    <m/>
  </r>
  <r>
    <m/>
    <m/>
    <x v="221"/>
    <x v="64"/>
    <m/>
    <s v="“Koroner Arter Hastalığı Tanılı Geriatrik Hastalarda Elektif Perkütan Koroner Girişiminin Geriatrik Sendromlarla İlişkisi”"/>
    <m/>
    <m/>
    <m/>
    <m/>
    <m/>
    <m/>
    <m/>
    <m/>
    <m/>
    <m/>
  </r>
  <r>
    <m/>
    <m/>
    <x v="221"/>
    <x v="64"/>
    <m/>
    <s v="“Rinoplasti Ameliyatlarında Piezoelektrik Yardımlı Osteotomi ve Konvansiyonel Osteotomilerin Periorbital Ödem ve Ekimoz Üzerine Etkisi”"/>
    <m/>
    <m/>
    <m/>
    <m/>
    <m/>
    <m/>
    <m/>
    <m/>
    <m/>
    <m/>
  </r>
  <r>
    <m/>
    <m/>
    <x v="221"/>
    <x v="64"/>
    <m/>
    <s v="“Yeme Bozukluğu Olan Ergenlerde Ebeveyn-Ergen Sınırlarının İncelenmesi”"/>
    <m/>
    <m/>
    <m/>
    <m/>
    <m/>
    <m/>
    <m/>
    <m/>
    <m/>
    <m/>
  </r>
  <r>
    <m/>
    <m/>
    <x v="221"/>
    <x v="64"/>
    <m/>
    <s v="“Ciddi Pnömokokkal Enfeksiyon Geçiren Hastaların Retrospektif Olarak İmmün Yetmezlik Açısından Değerlendirilmesi”"/>
    <m/>
    <m/>
    <m/>
    <m/>
    <m/>
    <m/>
    <m/>
    <m/>
    <m/>
    <m/>
  </r>
  <r>
    <m/>
    <m/>
    <x v="221"/>
    <x v="64"/>
    <m/>
    <s v="“Borderline Kişilik Özellikleri ve Çocuklukta Onaylamayan Çevre Arasındaki İlişki: Bir Model Testi”"/>
    <m/>
    <m/>
    <m/>
    <m/>
    <m/>
    <m/>
    <m/>
    <m/>
    <m/>
    <m/>
  </r>
  <r>
    <m/>
    <m/>
    <x v="221"/>
    <x v="64"/>
    <m/>
    <s v="“Serbest Dişeti Grefti Alınan Lateral Damak Bölgesine Farklı Ajanlar Uygulanarak Yara İyileşmesinin Karşılaştırılması”"/>
    <m/>
    <m/>
    <m/>
    <m/>
    <m/>
    <m/>
    <m/>
    <m/>
    <m/>
    <m/>
  </r>
  <r>
    <m/>
    <m/>
    <x v="221"/>
    <x v="64"/>
    <m/>
    <s v="“Heterozigot FMF Hastalarının Tedavi Kesildikten Sonraki İzleminin Değerlendirilmesi”"/>
    <m/>
    <m/>
    <m/>
    <m/>
    <m/>
    <m/>
    <m/>
    <m/>
    <m/>
    <m/>
  </r>
  <r>
    <m/>
    <m/>
    <x v="221"/>
    <x v="64"/>
    <m/>
    <s v="“PFAPA Tanılı Hastalarda Kullanılan Tedavilerin Retrospektif Olarak Değerlendirilmesi”"/>
    <m/>
    <m/>
    <m/>
    <m/>
    <m/>
    <m/>
    <m/>
    <m/>
    <m/>
    <m/>
  </r>
  <r>
    <m/>
    <m/>
    <x v="221"/>
    <x v="64"/>
    <m/>
    <s v="“Geriatrik Popülasyonda Prurigo Nodülaris Hastalarında Etyolojik Faktörlerin Araştırılması”"/>
    <m/>
    <m/>
    <m/>
    <m/>
    <m/>
    <m/>
    <m/>
    <m/>
    <m/>
    <m/>
  </r>
  <r>
    <m/>
    <m/>
    <x v="221"/>
    <x v="64"/>
    <m/>
    <s v="“İntravitreal Enjeksiyon Yapılan Yaşa Bağlı Makula Dejenerasyonuna Sahip Olan Hastalarda Non Kontakt Speküler Konfokal Mikroskopi İle Korneal Parametrelerin Değerlendirilmesi”"/>
    <m/>
    <m/>
    <m/>
    <m/>
    <m/>
    <m/>
    <m/>
    <m/>
    <m/>
    <m/>
  </r>
  <r>
    <m/>
    <m/>
    <x v="221"/>
    <x v="64"/>
    <m/>
    <s v="“Çocuklarda Post Enfeksiyöz Bronşiolitis Obliterans Gelişmesinin Genetik Temellerinin Belirlenmesi”"/>
    <m/>
    <m/>
    <m/>
    <m/>
    <m/>
    <m/>
    <m/>
    <m/>
    <m/>
    <m/>
  </r>
  <r>
    <m/>
    <m/>
    <x v="221"/>
    <x v="64"/>
    <m/>
    <s v="“Kemoterapötik İlaç Hazırlayan ve Uygulayan Hemşirelerde Olası Toksik Etkilerin Değerlendirilmesi”"/>
    <m/>
    <m/>
    <m/>
    <m/>
    <m/>
    <m/>
    <m/>
    <m/>
    <m/>
    <m/>
  </r>
  <r>
    <m/>
    <m/>
    <x v="221"/>
    <x v="64"/>
    <m/>
    <s v="“Metastatik Kolorektal Adenokarsinomunda Karaciğer Metastazektomisi Sonrası Adjuvan Tedavilerin Etkinliğinin Değerlendirilmesi”"/>
    <m/>
    <m/>
    <m/>
    <m/>
    <m/>
    <m/>
    <m/>
    <m/>
    <m/>
    <m/>
  </r>
  <r>
    <m/>
    <m/>
    <x v="221"/>
    <x v="64"/>
    <m/>
    <s v="&quot;Çocukluk Çağı Aşılarına Karşı Antikor Düzeylerinin Değerlendirilmesi&quot;"/>
    <m/>
    <m/>
    <m/>
    <m/>
    <m/>
    <m/>
    <m/>
    <m/>
    <m/>
    <m/>
  </r>
  <r>
    <m/>
    <m/>
    <x v="221"/>
    <x v="64"/>
    <m/>
    <s v="“Pediatrik Ampiyemde Streptococcus Pneumoniae’nin Rolü: Tanıdaki Gelişmeler ve Epidemiyolojik Bulgular”"/>
    <m/>
    <m/>
    <m/>
    <m/>
    <m/>
    <m/>
    <m/>
    <m/>
    <m/>
    <m/>
  </r>
  <r>
    <m/>
    <m/>
    <x v="221"/>
    <x v="64"/>
    <m/>
    <s v="“Superior Mezenter Arter Sendromu Tedavisinde Beslenme Desteği ve Sonuçları”"/>
    <m/>
    <m/>
    <m/>
    <m/>
    <m/>
    <m/>
    <m/>
    <m/>
    <m/>
    <m/>
  </r>
  <r>
    <m/>
    <m/>
    <x v="221"/>
    <x v="64"/>
    <m/>
    <s v="“Eozinofilik Özofajit Gelişen Özofagus Atrezili Olgularda Oral Mikrobiyom ve Metabolomik Profillerinin İncelenmesi”"/>
    <m/>
    <m/>
    <m/>
    <m/>
    <m/>
    <m/>
    <m/>
    <m/>
    <m/>
    <m/>
  </r>
  <r>
    <m/>
    <m/>
    <x v="221"/>
    <x v="64"/>
    <m/>
    <s v="“Septal Perforasyon Onarımı Sonrası Mukosiliyer Klirens değerlendirilmesi: Rinosintigrafi ve Sakkarin Testi ile Karşılaştırmalı Analiz”"/>
    <m/>
    <m/>
    <m/>
    <m/>
    <m/>
    <m/>
    <m/>
    <m/>
    <m/>
    <m/>
  </r>
  <r>
    <m/>
    <m/>
    <x v="221"/>
    <x v="64"/>
    <m/>
    <s v="“Ortognatik Cerrahi Takiplerinde Karşılaşılan Nörosensoriyel Bozuklukların Klinik Testler ile Değerlendirilmesi ve Yaşam Kalitesi Üzerine Etkisi”"/>
    <m/>
    <m/>
    <m/>
    <m/>
    <m/>
    <m/>
    <m/>
    <m/>
    <m/>
    <m/>
  </r>
  <r>
    <m/>
    <m/>
    <x v="221"/>
    <x v="64"/>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21"/>
    <x v="64"/>
    <m/>
    <s v="“Sarkoidoz Hastalarının İmmünolojik Açıdan Değerlendirilmesi”"/>
    <m/>
    <m/>
    <m/>
    <m/>
    <m/>
    <m/>
    <m/>
    <m/>
    <m/>
    <m/>
  </r>
  <r>
    <m/>
    <m/>
    <x v="221"/>
    <x v="64"/>
    <m/>
    <s v="“Rejeneratif Endodontik Tedavide Kullanılan Materyallerin Simüle Dişlerin Kırılma Dayanımına Etkisi: Laboratuvar Çalışması”"/>
    <m/>
    <m/>
    <m/>
    <m/>
    <m/>
    <m/>
    <m/>
    <m/>
    <m/>
    <m/>
  </r>
  <r>
    <m/>
    <m/>
    <x v="221"/>
    <x v="64"/>
    <m/>
    <s v="“Fertil Yaş Grubunda Myomektomi Sonrası Gerçekleşen Gebeliklerin Myomektomi Zamanı ile Gebelik Zamanı Arasında Geçen Sürelerin ve Gebelik Sonuçlarının Retrospektif Olarak Araştırılması”"/>
    <m/>
    <m/>
    <m/>
    <m/>
    <m/>
    <m/>
    <m/>
    <m/>
    <m/>
    <m/>
  </r>
  <r>
    <m/>
    <m/>
    <x v="221"/>
    <x v="64"/>
    <m/>
    <s v="“Titanyum Tabanlı Monolitik Zirkonya Köprülerin Klinik Değerlendirmesi: Bir Retrospektif Takip Çalışması”"/>
    <m/>
    <m/>
    <m/>
    <m/>
    <m/>
    <m/>
    <m/>
    <m/>
    <m/>
    <m/>
  </r>
  <r>
    <m/>
    <m/>
    <x v="221"/>
    <x v="64"/>
    <m/>
    <s v="“Testiküler Germ Hücreli Tümörlerde Tedavi Yanıtı ve Prognoz ile İlişkilendirilebilecek Biyobelirteçlerin Araştırılması”"/>
    <m/>
    <m/>
    <m/>
    <m/>
    <m/>
    <m/>
    <m/>
    <m/>
    <m/>
    <m/>
  </r>
  <r>
    <m/>
    <m/>
    <x v="221"/>
    <x v="64"/>
    <m/>
    <s v="“Anoreksiya Nervoza Hastalarında Solunum Fonksiyonları ile Kas Kalınlığı ve Kuvveti Arasındaki İlişkinin Araştırılması: Vaka-Kontrol ve İzlem Çalışması”"/>
    <m/>
    <m/>
    <m/>
    <m/>
    <m/>
    <m/>
    <m/>
    <m/>
    <m/>
    <m/>
  </r>
  <r>
    <m/>
    <m/>
    <x v="221"/>
    <x v="64"/>
    <m/>
    <s v="“Kalsiyum Silikat ve Kalsiyum Hidroksit Kontaminasyonunun Universal Adezivlerin Dentin Yüzeylerine Bağlanma Dayanımı Üzerindeki Etkisi”"/>
    <m/>
    <m/>
    <m/>
    <m/>
    <m/>
    <m/>
    <m/>
    <m/>
    <m/>
    <m/>
  </r>
  <r>
    <m/>
    <m/>
    <x v="221"/>
    <x v="64"/>
    <m/>
    <s v="“Pediatrik Hiperlipidemi Hastalarında Glikolizasyon Profil  Karşılaştırması”"/>
    <m/>
    <m/>
    <m/>
    <m/>
    <m/>
    <m/>
    <m/>
    <m/>
    <m/>
    <m/>
  </r>
  <r>
    <m/>
    <m/>
    <x v="221"/>
    <x v="64"/>
    <m/>
    <s v="“Türkiye'de Steril Vücut Sıvılarında Streptococcus Pneumoniae Serogruplarının Prevalansı: Çok Merkezli, Prospektif Çalışma”"/>
    <m/>
    <m/>
    <m/>
    <m/>
    <m/>
    <m/>
    <m/>
    <m/>
    <m/>
    <m/>
  </r>
  <r>
    <m/>
    <m/>
    <x v="221"/>
    <x v="64"/>
    <m/>
    <s v="“Kullanılmış İnsülin İğnelerinin İmha Yöntemlerinin Tespiti: Türkiye’de Bir Aile Sağlığı Merkezi’nde Yapılandırılmış Hasta Eğitimi Müdahalesinin Sürdürülebilir Evsel Tıbbi Atık Yönetimine Etkisinin Değerlendirilmesi”"/>
    <m/>
    <m/>
    <m/>
    <m/>
    <m/>
    <m/>
    <m/>
    <m/>
    <m/>
    <m/>
  </r>
  <r>
    <m/>
    <m/>
    <x v="221"/>
    <x v="64"/>
    <m/>
    <s v="“Ambulans Çağrısı Sonrası Hastaneye Nakledilmeyen Hasta Özelliklerinin İncelenmesi ve Alternatif Bakım Önerilerinin Değerlendirilmesi”"/>
    <m/>
    <m/>
    <m/>
    <m/>
    <m/>
    <m/>
    <m/>
    <m/>
    <m/>
    <m/>
  </r>
  <r>
    <m/>
    <m/>
    <x v="221"/>
    <x v="64"/>
    <m/>
    <s v="“Orta Dönemde Bakılan Serum ve İdrar Metal İyon Seviyeleri, Metal-Metal Kalça Artroplastisinin On İki Yıllık Sağkalımım Öngörebilir mi?”"/>
    <m/>
    <m/>
    <m/>
    <m/>
    <m/>
    <m/>
    <m/>
    <m/>
    <m/>
    <m/>
  </r>
  <r>
    <m/>
    <m/>
    <x v="221"/>
    <x v="64"/>
    <m/>
    <s v="&quot;Rekreasyonel Sporcuların Maksimal Oksijen Tüketim Düzeyleri ile Vücut Kompozisyonu Arasındaki İlişkinin Belirlenmesi&quot;"/>
    <m/>
    <m/>
    <m/>
    <m/>
    <m/>
    <m/>
    <m/>
    <m/>
    <m/>
    <m/>
  </r>
  <r>
    <m/>
    <m/>
    <x v="221"/>
    <x v="64"/>
    <m/>
    <s v="“Uyku Sağlığı Okuryazarlığı Ölçeğinin Türkçe Geçerlik ve Güvenirlik Çalışması&quot;"/>
    <m/>
    <m/>
    <m/>
    <m/>
    <m/>
    <m/>
    <m/>
    <m/>
    <m/>
    <m/>
  </r>
  <r>
    <m/>
    <m/>
    <x v="221"/>
    <x v="64"/>
    <m/>
    <s v="“Videoürodinami Tetkiki Öncesi Hastanın Skopi İşlemi Sırasında Maruz Kalacağı Radyasyon Miktarını Öngörücü Faktörlerin ve Videoürodinami Tetkiki ile Kadın İşeme Fonksiyonun Tanımlanması”"/>
    <m/>
    <m/>
    <m/>
    <m/>
    <m/>
    <m/>
    <m/>
    <m/>
    <m/>
    <m/>
  </r>
  <r>
    <m/>
    <m/>
    <x v="221"/>
    <x v="64"/>
    <m/>
    <s v="“Rekürren Glial Tümörlerde Robotik Jiroskopik Lattice Tedavisi ile Reirradyasyon: Klinik Sonuçlar ve Yaşam Kalitesinin Değerlendirilmesi”"/>
    <m/>
    <m/>
    <m/>
    <m/>
    <m/>
    <m/>
    <m/>
    <m/>
    <m/>
    <m/>
  </r>
  <r>
    <m/>
    <m/>
    <x v="221"/>
    <x v="64"/>
    <m/>
    <s v="“Total Kalça Protezi Yapılan Hastalarda Gelişen Periprostetik Kırıkların Uzun Dönem Sonuçları ve Sağkalım Analizi”"/>
    <m/>
    <m/>
    <m/>
    <m/>
    <m/>
    <m/>
    <m/>
    <m/>
    <m/>
    <m/>
  </r>
  <r>
    <m/>
    <m/>
    <x v="221"/>
    <x v="64"/>
    <m/>
    <s v="“Acil Serviste Fraktür Şüphesi Taşıyan Hastalara Çekilen Pelvis Bilgisayarlı              Tomografi Görüntülerinin Yapay Zeka ile Değerlendirilmesi”"/>
    <m/>
    <m/>
    <m/>
    <m/>
    <m/>
    <m/>
    <m/>
    <m/>
    <m/>
    <m/>
  </r>
  <r>
    <m/>
    <m/>
    <x v="221"/>
    <x v="64"/>
    <m/>
    <s v="“Bir Aile Sağlığı Merkezi’ne Başvuran Erişkin Bireylerin Hipnoterapi Konusundaki Bilgi ve Tutumlarının İncelenmesi”"/>
    <m/>
    <m/>
    <m/>
    <m/>
    <m/>
    <m/>
    <m/>
    <m/>
    <m/>
    <m/>
  </r>
  <r>
    <m/>
    <m/>
    <x v="221"/>
    <x v="64"/>
    <m/>
    <s v="“Otoinflamatuvar Hastalıklarda Akciğer Tutulumunun Değerlendirilmesi”"/>
    <m/>
    <m/>
    <m/>
    <m/>
    <m/>
    <m/>
    <m/>
    <m/>
    <m/>
    <m/>
  </r>
  <r>
    <m/>
    <m/>
    <x v="221"/>
    <x v="64"/>
    <m/>
    <s v="“Psöriatik Artrit ve Psöriasis Tanılı Hastaların Tırnak Yatağı Kapilleroskopi Değerlendirmesi”"/>
    <m/>
    <m/>
    <m/>
    <m/>
    <m/>
    <m/>
    <m/>
    <m/>
    <m/>
    <m/>
  </r>
  <r>
    <m/>
    <m/>
    <x v="221"/>
    <x v="64"/>
    <m/>
    <s v="“Otoimmün Hastalıklarda Eşlik Eden Ek Otoimmün Hastalıkların İncelenmesi”"/>
    <m/>
    <m/>
    <m/>
    <m/>
    <m/>
    <m/>
    <m/>
    <m/>
    <m/>
    <m/>
  </r>
  <r>
    <m/>
    <m/>
    <x v="221"/>
    <x v="64"/>
    <m/>
    <s v="“Juvenil İdiyopatik Artritte Hastalık Gidişatının Değerlendirilmesinde Kalprotektinin Yeri”"/>
    <m/>
    <m/>
    <m/>
    <m/>
    <m/>
    <m/>
    <m/>
    <m/>
    <m/>
    <m/>
  </r>
  <r>
    <m/>
    <m/>
    <x v="221"/>
    <x v="64"/>
    <m/>
    <s v="“6-18 Yaş Arası Besin İlişkili IgE Aracılı Reaksiyonu Olan Hastaların Değerlendirilmesi”"/>
    <m/>
    <m/>
    <m/>
    <m/>
    <m/>
    <m/>
    <m/>
    <m/>
    <m/>
    <m/>
  </r>
  <r>
    <m/>
    <m/>
    <x v="221"/>
    <x v="64"/>
    <m/>
    <s v="“Astım Hastalarında Yorgunluk Düzeyinin Astım Kontrol Durumu ile İlişkisinin Değerlendirilmesi”"/>
    <m/>
    <m/>
    <m/>
    <m/>
    <m/>
    <m/>
    <m/>
    <m/>
    <m/>
    <m/>
  </r>
  <r>
    <m/>
    <m/>
    <x v="221"/>
    <x v="64"/>
    <m/>
    <s v="“Antiepileptik İlaç Aşırı Duyarlılık Reaksiyonlarının Klinik ve Laboratuvar Özelliklerinin Risk Analizi ile Değerlendirilmesi”"/>
    <m/>
    <m/>
    <m/>
    <m/>
    <m/>
    <m/>
    <m/>
    <m/>
    <m/>
    <m/>
  </r>
  <r>
    <m/>
    <m/>
    <x v="221"/>
    <x v="64"/>
    <m/>
    <s v="“Çocukluk Çağı IgG4 İlişkili Hastalık: Çok Merkezli Uluslararası Çalışma”"/>
    <m/>
    <m/>
    <m/>
    <m/>
    <m/>
    <m/>
    <m/>
    <m/>
    <m/>
    <m/>
  </r>
  <r>
    <m/>
    <m/>
    <x v="221"/>
    <x v="64"/>
    <m/>
    <s v="“Kronik Böbrek Hastalarında Glisemik Değişkenlik ve Metabolik Profilin İncelenmesi”"/>
    <m/>
    <m/>
    <m/>
    <m/>
    <m/>
    <m/>
    <m/>
    <m/>
    <m/>
    <m/>
  </r>
  <r>
    <m/>
    <m/>
    <x v="221"/>
    <x v="64"/>
    <m/>
    <s v="“Adli Tıp Araştırma Görevlilerinin İstifalarına Yönelik Değerlendirme: Bir Anket Çalışması”"/>
    <m/>
    <m/>
    <m/>
    <m/>
    <m/>
    <m/>
    <m/>
    <m/>
    <m/>
    <m/>
  </r>
  <r>
    <m/>
    <m/>
    <x v="221"/>
    <x v="64"/>
    <m/>
    <s v="“Abdominal ve Torasik Aort Anevrizma Olgularında Endovasküler Onarım Sırasındaki Anestezi Yaklaşımının Klinik Sonuçlar Üzerine Etkilerinin Retrospektif Olarak İncelenmesi”"/>
    <m/>
    <m/>
    <m/>
    <m/>
    <m/>
    <m/>
    <m/>
    <m/>
    <m/>
    <m/>
  </r>
  <r>
    <m/>
    <m/>
    <x v="221"/>
    <x v="64"/>
    <m/>
    <s v="“Ortodontik Tedavi Sürecinin Keratinize Diş Eti Özellikleri Üzerine Etkisinin İncelenmesi”"/>
    <m/>
    <m/>
    <m/>
    <m/>
    <m/>
    <m/>
    <m/>
    <m/>
    <m/>
    <m/>
  </r>
  <r>
    <m/>
    <m/>
    <x v="221"/>
    <x v="64"/>
    <m/>
    <s v="“Ankara’da Çalışan Aile Hekimlerinin Çalıştıkları İlçenin Sosyo-Ekonomik Gelişmişlik Düzeyi ile Tükenmişlik Durumları Arasındaki İlişkinin Değerlendirilmesi”"/>
    <m/>
    <m/>
    <m/>
    <m/>
    <m/>
    <m/>
    <m/>
    <m/>
    <m/>
    <m/>
  </r>
  <r>
    <m/>
    <m/>
    <x v="221"/>
    <x v="64"/>
    <m/>
    <s v="“Ankilozan Spondiliti Olan ve Olmayan Bireylerde Aşil, Plantar Fasya, Supraspinatus Entez Bölgelerinin Shear Wave Elastografi ile Değerlendirilmesi”"/>
    <m/>
    <m/>
    <m/>
    <m/>
    <m/>
    <m/>
    <m/>
    <m/>
    <m/>
    <m/>
  </r>
  <r>
    <m/>
    <m/>
    <x v="221"/>
    <x v="64"/>
    <m/>
    <s v="“Erken Başlangıçlı Skolyozda Tweener Grubunun Cerrahi Tedavisinde Büyüyen Rod Uygulamaları ile Posterior Spinal Füzyonun Orta-Uzun Dönem Sonuçlarının Karşılaştırılması”"/>
    <m/>
    <m/>
    <m/>
    <m/>
    <m/>
    <m/>
    <m/>
    <m/>
    <m/>
    <m/>
  </r>
  <r>
    <m/>
    <m/>
    <x v="221"/>
    <x v="64"/>
    <m/>
    <s v="“Serebral Palsili Çocuklarda Kalça Cerrahisi Sonrası Tekrar Çıkık Gelişimini Etkileyen Faktörler”"/>
    <m/>
    <m/>
    <m/>
    <m/>
    <m/>
    <m/>
    <m/>
    <m/>
    <m/>
    <m/>
  </r>
  <r>
    <m/>
    <m/>
    <x v="221"/>
    <x v="64"/>
    <m/>
    <s v="“Pediatrik Popülasyonda Pelvik BT ile Asetabular Sektör Açıları ve Femoroasetabular Parametreler Arasındaki Korelasyonun Değerlendirilmesi ve Normatif Referans Değerlerin Belirlenmesi”"/>
    <m/>
    <m/>
    <m/>
    <m/>
    <m/>
    <m/>
    <m/>
    <m/>
    <m/>
    <m/>
  </r>
  <r>
    <m/>
    <m/>
    <x v="221"/>
    <x v="64"/>
    <m/>
    <s v="“Panoramik Radyograflarda Derin Öğrenme Yöntemiyle Gelistirilen Yapay Zeka Algoritmasıyla Mandibulada Idiyopatik Osteoskleroz ile Kondensing Osteitisin Tespitinin ve Ayrımının Yapılması”"/>
    <m/>
    <m/>
    <m/>
    <m/>
    <m/>
    <m/>
    <m/>
    <m/>
    <m/>
    <m/>
  </r>
  <r>
    <m/>
    <m/>
    <x v="221"/>
    <x v="64"/>
    <m/>
    <s v="“Geriatrik Jinekolojik Hastalarda Cerrahi Morbiditenin İncelenmesi”"/>
    <m/>
    <m/>
    <m/>
    <m/>
    <m/>
    <m/>
    <m/>
    <m/>
    <m/>
    <m/>
  </r>
  <r>
    <m/>
    <m/>
    <x v="221"/>
    <x v="64"/>
    <m/>
    <s v="“İzole Humerus Kırığı İle Prezente Olan Endometrium Kanseri Vaka Raporu”"/>
    <m/>
    <m/>
    <m/>
    <m/>
    <m/>
    <m/>
    <m/>
    <m/>
    <m/>
    <m/>
  </r>
  <r>
    <m/>
    <m/>
    <x v="221"/>
    <x v="64"/>
    <m/>
    <s v="“Kanıta Dayalı Eğitim Müdahaleleri ile Lipid Profili Test İstemlerinin Optimizasyonu: Kalite Geliştirme Çalışması”"/>
    <m/>
    <m/>
    <m/>
    <m/>
    <m/>
    <m/>
    <m/>
    <m/>
    <m/>
    <m/>
  </r>
  <r>
    <m/>
    <m/>
    <x v="221"/>
    <x v="64"/>
    <m/>
    <s v="“Aile Sağlığı Merkezlerinde Aile Hekimleri Tarafından Yapılacak Bakım Noktası Ultrasonografisi: Erişkin Bireylerin Tutum ve Güveni”"/>
    <m/>
    <m/>
    <m/>
    <m/>
    <m/>
    <m/>
    <m/>
    <m/>
    <m/>
    <m/>
  </r>
  <r>
    <m/>
    <m/>
    <x v="221"/>
    <x v="64"/>
    <m/>
    <s v="“Borderline Over Tümörlerinde Histerektominin Prognoza Etkisi”"/>
    <m/>
    <m/>
    <m/>
    <m/>
    <m/>
    <m/>
    <m/>
    <m/>
    <m/>
    <m/>
  </r>
  <r>
    <m/>
    <m/>
    <x v="221"/>
    <x v="64"/>
    <m/>
    <s v="“IL-23 İnhibitörü Kullanan Hastalarda Üçüncü Ay Yanıtlarının Birinci Yıl Yanıtlarıyla Korelasyonu”"/>
    <m/>
    <m/>
    <m/>
    <m/>
    <m/>
    <m/>
    <m/>
    <m/>
    <m/>
    <m/>
  </r>
  <r>
    <m/>
    <m/>
    <x v="221"/>
    <x v="64"/>
    <m/>
    <s v="“Kol Salınımının Derinlik Sıçraması Optimal Düşüş Yüksekliğine Etkisinin İncelenmesi”"/>
    <m/>
    <m/>
    <m/>
    <m/>
    <m/>
    <m/>
    <m/>
    <m/>
    <m/>
    <m/>
  </r>
  <r>
    <m/>
    <m/>
    <x v="221"/>
    <x v="64"/>
    <m/>
    <s v="“Yardımcı Üreme Tekniklerine Başvuran Kadınlarla Güçlendirme Odaklı Sosyal Hizmet Grup Müdahalesi”"/>
    <m/>
    <m/>
    <m/>
    <m/>
    <m/>
    <m/>
    <m/>
    <m/>
    <m/>
    <m/>
  </r>
  <r>
    <m/>
    <m/>
    <x v="221"/>
    <x v="64"/>
    <m/>
    <s v="“Kalsiyum Silikat Esaslı Kök Kanal Dolgu Maddelerinin Kanal Tedavili Dişlerin Kırılma Dayanımına Etkisinde Kalsiyum Hidroksitin Rolü”"/>
    <m/>
    <m/>
    <m/>
    <m/>
    <m/>
    <m/>
    <m/>
    <m/>
    <m/>
    <m/>
  </r>
  <r>
    <m/>
    <m/>
    <x v="221"/>
    <x v="64"/>
    <m/>
    <s v="“Kök Kanalında Kırılan Farklı Döner Eğelerin Kanaldan Uzaklaştırılması Sırasındaki Dentin Kalınlığındaki Değişimin ve Apikalden Taşan Debrisin Değerlendirilmesi”"/>
    <m/>
    <m/>
    <m/>
    <m/>
    <m/>
    <m/>
    <m/>
    <m/>
    <m/>
    <m/>
  </r>
  <r>
    <m/>
    <m/>
    <x v="221"/>
    <x v="64"/>
    <m/>
    <s v="“Retroperitoneal Fibrozisli IgG4 İlişkili Hastalığı Bulunan Hastaların Romatolojik ve Ürolojik Açıdan Mortalite, Morbitide, Prognozlarının ve Tedavi Yaklaşımlarının Değerlendirilendirilmesi”"/>
    <m/>
    <m/>
    <m/>
    <m/>
    <m/>
    <m/>
    <m/>
    <m/>
    <m/>
    <m/>
  </r>
  <r>
    <m/>
    <m/>
    <x v="221"/>
    <x v="64"/>
    <m/>
    <s v="&quot;Fertilite Koruyucu Tedavi Uygulanan Endometrium Kanseri ve Endometrial İntraepitelyal Neoplazi Tanılı Hastalarda Moleküler Sınıflandırmanın Prognoza Etkisi”"/>
    <m/>
    <m/>
    <m/>
    <m/>
    <m/>
    <m/>
    <m/>
    <m/>
    <m/>
    <m/>
  </r>
  <r>
    <m/>
    <m/>
    <x v="221"/>
    <x v="64"/>
    <m/>
    <s v="“Mandibuler Distraktör Takılan Pediatrik Hastalarda Perioperatif Komlikasyonların Retrospektrif İncelenmesi”"/>
    <m/>
    <m/>
    <m/>
    <m/>
    <m/>
    <m/>
    <m/>
    <m/>
    <m/>
    <m/>
  </r>
  <r>
    <m/>
    <m/>
    <x v="221"/>
    <x v="64"/>
    <m/>
    <s v="“Pnömosistis Jirovecii Pnömonisi Tanısı Koyulan Hastalarda Risk Faktörleri ve Tedavi Yanıtlarının Değerlendirilmesi”"/>
    <m/>
    <m/>
    <m/>
    <m/>
    <m/>
    <m/>
    <m/>
    <m/>
    <m/>
    <m/>
  </r>
  <r>
    <m/>
    <m/>
    <x v="221"/>
    <x v="64"/>
    <m/>
    <s v="“Kök Kanal Tedavili Dişlerin Kırılma Dayanımında Gütaperkanın Tavsiye Edilen Tüketim Tarihinin Rolü”"/>
    <m/>
    <m/>
    <m/>
    <m/>
    <m/>
    <m/>
    <m/>
    <m/>
    <m/>
    <m/>
  </r>
  <r>
    <m/>
    <m/>
    <x v="221"/>
    <x v="64"/>
    <m/>
    <s v="“Cinsel Yolla Bulaşan Enfeksiyonlarda Risk Paternlerinin Veri Odaklı Keşfi: Makine Öğrenimi Yaklaşımı”"/>
    <m/>
    <m/>
    <m/>
    <m/>
    <m/>
    <m/>
    <m/>
    <m/>
    <m/>
    <m/>
  </r>
  <r>
    <m/>
    <m/>
    <x v="221"/>
    <x v="64"/>
    <m/>
    <s v="“Adipozite İndeksleri İle Geriatrik Sendromlar Arasındaki İlişki”"/>
    <m/>
    <m/>
    <m/>
    <m/>
    <m/>
    <m/>
    <m/>
    <m/>
    <m/>
    <m/>
  </r>
  <r>
    <m/>
    <m/>
    <x v="221"/>
    <x v="64"/>
    <m/>
    <s v="“Kişiye Özel İmplantlar İle Yapılan Le Fort 1 Cerrahisinde Maksilla Pozisyonunun Doğruluğunun İncelenmesi”"/>
    <m/>
    <m/>
    <m/>
    <m/>
    <m/>
    <m/>
    <m/>
    <m/>
    <m/>
    <m/>
  </r>
  <r>
    <m/>
    <m/>
    <x v="221"/>
    <x v="64"/>
    <m/>
    <s v="“Migren Tedavisi Optimizasyon Anketi (MTOQ)-4&quot;ün Türkçe Geçerlik ve Güvenirlik Çalışması”"/>
    <m/>
    <m/>
    <m/>
    <m/>
    <m/>
    <m/>
    <m/>
    <m/>
    <m/>
    <m/>
  </r>
  <r>
    <m/>
    <m/>
    <x v="221"/>
    <x v="64"/>
    <m/>
    <s v="“Kronik Hastalıklarda Doktor-Hasta İlişkisi Ölçeği’nin Türkçe Geçerlik ve Güvenirlik Çalışması”"/>
    <m/>
    <m/>
    <m/>
    <m/>
    <m/>
    <m/>
    <m/>
    <m/>
    <m/>
    <m/>
  </r>
  <r>
    <m/>
    <m/>
    <x v="221"/>
    <x v="64"/>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21"/>
    <x v="64"/>
    <m/>
    <s v="“Prostat ve Mesane Kanserlerinde DNA Hasar Yanıtının Hedeflenmesi: Preklinik Modelleme&quot;"/>
    <m/>
    <m/>
    <m/>
    <m/>
    <m/>
    <m/>
    <m/>
    <m/>
    <m/>
    <m/>
  </r>
  <r>
    <m/>
    <m/>
    <x v="221"/>
    <x v="64"/>
    <m/>
    <s v="“Leiomyoma Tanısıyla Opere Edilen Ve Fumarat Hidrataz Eksikliği Saptanan Hastaların Klinik Sonuçlarının Değerlendirilmesi”"/>
    <m/>
    <m/>
    <m/>
    <m/>
    <m/>
    <m/>
    <m/>
    <m/>
    <m/>
    <m/>
  </r>
  <r>
    <m/>
    <m/>
    <x v="221"/>
    <x v="64"/>
    <m/>
    <s v="“Bir Üniversite Hastanesindeki Diş Hekimlerinin Dental Anksiyete Konusundaki Bilgi, Farkındalık ve Yönetim Stratejilerinin Değerlendirilmesi”"/>
    <m/>
    <m/>
    <m/>
    <m/>
    <m/>
    <m/>
    <m/>
    <m/>
    <m/>
    <m/>
  </r>
  <r>
    <m/>
    <m/>
    <x v="221"/>
    <x v="64"/>
    <m/>
    <s v="“Aktive Fosfoinositid 3-Kinaz Delta| Sendromu Tanısında Laboratuvar Testlerinin Karşılaştırılması”"/>
    <m/>
    <m/>
    <m/>
    <m/>
    <m/>
    <m/>
    <m/>
    <m/>
    <m/>
    <m/>
  </r>
  <r>
    <m/>
    <m/>
    <x v="221"/>
    <x v="64"/>
    <m/>
    <s v="“Kistik Fibrozisli Çocuklarda İlk Asemptomatik Metisilin Dirençli Staphylococcus aureus Üremesine Yönelik Antibiyotik Tedavisi Verilmesinin Klinik Duruma Etkisi”"/>
    <m/>
    <m/>
    <m/>
    <m/>
    <m/>
    <m/>
    <m/>
    <m/>
    <m/>
    <m/>
  </r>
  <r>
    <m/>
    <m/>
    <x v="221"/>
    <x v="64"/>
    <m/>
    <s v="“46,XY Cinsiyet Gelişim Bozukluğu Tanılı Hastalarda Moleküler Etiyolojinin Araştırılması”"/>
    <m/>
    <m/>
    <m/>
    <m/>
    <m/>
    <m/>
    <m/>
    <m/>
    <m/>
    <m/>
  </r>
  <r>
    <m/>
    <m/>
    <x v="221"/>
    <x v="64"/>
    <m/>
    <s v="“İnek Sütü Alerjisi Olan Çocuklarda Serum Albümin Duyarlılığı ve Sığır Eti Alerjisi Birlikteliğinin Değerlendirilmesi”"/>
    <m/>
    <m/>
    <m/>
    <m/>
    <m/>
    <m/>
    <m/>
    <m/>
    <m/>
    <m/>
  </r>
  <r>
    <m/>
    <m/>
    <x v="221"/>
    <x v="64"/>
    <m/>
    <s v="“Psödohipoparatiroidizmin Klinik ve Laboratuvar Özellikleri ile Genotip-Fenotip İlişkisi”"/>
    <m/>
    <m/>
    <m/>
    <m/>
    <m/>
    <m/>
    <m/>
    <m/>
    <m/>
    <m/>
  </r>
  <r>
    <m/>
    <m/>
    <x v="221"/>
    <x v="64"/>
    <m/>
    <s v="“Fossa Vermiana’nın Morfolojik ve Morfometrik Olarak İncelenmesi”"/>
    <m/>
    <m/>
    <m/>
    <m/>
    <m/>
    <m/>
    <m/>
    <m/>
    <m/>
    <m/>
  </r>
  <r>
    <m/>
    <m/>
    <x v="221"/>
    <x v="64"/>
    <m/>
    <s v="“Çocukluk Çağında Dirençli Epilepside Uyku Bozuklukları ve Diğer Komorbid Durumların Değerlendirilmesi”"/>
    <m/>
    <m/>
    <m/>
    <m/>
    <m/>
    <m/>
    <m/>
    <m/>
    <m/>
    <m/>
  </r>
  <r>
    <m/>
    <m/>
    <x v="221"/>
    <x v="64"/>
    <m/>
    <s v="“Kornea Endotelini Etkileyen Hastalıklarda İnvivo Konfokal Mikroskopi Görüntülerinin Derin Öğrenme Tabanlı Bilgisayarlı Görü Yöntemleriyle Sınıflandırılması”"/>
    <m/>
    <m/>
    <m/>
    <m/>
    <m/>
    <m/>
    <m/>
    <m/>
    <m/>
    <m/>
  </r>
  <r>
    <m/>
    <m/>
    <x v="221"/>
    <x v="64"/>
    <m/>
    <s v="“Yaşlı Bireylerde Farklı Formüllerle Hesaplanan Glomerüler Filtrasyon Hızı ile Kognitif Fonksiyonların ilişkisi”"/>
    <m/>
    <m/>
    <m/>
    <m/>
    <m/>
    <m/>
    <m/>
    <m/>
    <m/>
    <m/>
  </r>
  <r>
    <m/>
    <m/>
    <x v="221"/>
    <x v="64"/>
    <m/>
    <s v="“Kök Kanalında Farklı Uzunluklarda Kırılan Nikel-Titanyum Eğelerin Farklı Yöntemler ile Uzaklaştırılmasının Apikalden Taşan Debrise Etkisi”"/>
    <m/>
    <m/>
    <m/>
    <m/>
    <m/>
    <m/>
    <m/>
    <m/>
    <m/>
    <m/>
  </r>
  <r>
    <m/>
    <m/>
    <x v="221"/>
    <x v="64"/>
    <m/>
    <s v="“Türkiye 65 Yaş Üstü Popülasyonunda Yaşa ve Cinsiyete Göre Baldır Çevresi Persentil Eğrilerinin Oluşturulması: Tek Merkezli Kesitsel Bir Çalışma”"/>
    <m/>
    <m/>
    <m/>
    <m/>
    <m/>
    <m/>
    <m/>
    <m/>
    <m/>
    <m/>
  </r>
  <r>
    <m/>
    <m/>
    <x v="221"/>
    <x v="64"/>
    <m/>
    <s v="“Kartilaj Slop ve Ön Çapraz Bağı Rüptürü Risk Faktörlerinin Merge MRG ile Değerlendirilmesi”"/>
    <m/>
    <m/>
    <m/>
    <m/>
    <m/>
    <m/>
    <m/>
    <m/>
    <m/>
    <m/>
  </r>
  <r>
    <m/>
    <m/>
    <x v="221"/>
    <x v="64"/>
    <m/>
    <s v="“Sigara İçen ve İçmeyen Bireylerde D Vitamini Seviyeleri ile İnflamatuar Biyobelirteçler (CRP, IL-17, IL-19) Arasındaki İlişkinin Değerlendirilmesi”"/>
    <m/>
    <m/>
    <m/>
    <m/>
    <m/>
    <m/>
    <m/>
    <m/>
    <m/>
    <m/>
  </r>
  <r>
    <m/>
    <m/>
    <x v="221"/>
    <x v="64"/>
    <m/>
    <s v="“Farklı Konsantrasyonlarda ve Taşıyıcılarla Hazırlanan Kalsiyum Hidroksitin Apikalden Taşma Miktarının İn Vitro Değerlendirilmesi”"/>
    <m/>
    <m/>
    <m/>
    <m/>
    <m/>
    <m/>
    <m/>
    <m/>
    <m/>
    <m/>
  </r>
  <r>
    <m/>
    <m/>
    <x v="221"/>
    <x v="64"/>
    <m/>
    <s v="“Çocuklarda Duodenogastrik Reflü Hastalığı: Bu Bir Fonksiyonel Gastrointestinal Hastalık mıdır?”"/>
    <m/>
    <m/>
    <m/>
    <m/>
    <m/>
    <m/>
    <m/>
    <m/>
    <m/>
    <m/>
  </r>
  <r>
    <m/>
    <m/>
    <x v="221"/>
    <x v="64"/>
    <m/>
    <s v="“AtopikDermatit Tanılı Adölesan Hastalarda Uyku ve Yasam Kalitesinin Değerlendirilmesi”"/>
    <m/>
    <m/>
    <m/>
    <m/>
    <m/>
    <m/>
    <m/>
    <m/>
    <m/>
    <m/>
  </r>
  <r>
    <m/>
    <m/>
    <x v="221"/>
    <x v="64"/>
    <m/>
    <s v="“Schwartz Jampel Sendromunda Metabolik Yolakların Araştırılması ve Terapötik Yaklaşım Hedefleri”"/>
    <m/>
    <m/>
    <m/>
    <m/>
    <m/>
    <m/>
    <m/>
    <m/>
    <m/>
    <m/>
  </r>
  <r>
    <m/>
    <m/>
    <x v="221"/>
    <x v="64"/>
    <m/>
    <s v="&quot;Erişkinlerde Yaş Tayini İçin Pulpanın Radyolojik Değişikliklerinin İncelendiği Yeni Bir Yöntemin Değerlendirilmesi&quot;"/>
    <m/>
    <m/>
    <m/>
    <m/>
    <m/>
    <m/>
    <m/>
    <m/>
    <m/>
    <m/>
  </r>
  <r>
    <m/>
    <m/>
    <x v="221"/>
    <x v="64"/>
    <m/>
    <s v="“Elektrofizyoloji Laboratuvarında Miyotonik Boşalımlar: Tanı, Klinik ve Elektrofizyoloji”"/>
    <m/>
    <m/>
    <m/>
    <m/>
    <m/>
    <m/>
    <m/>
    <m/>
    <m/>
    <m/>
  </r>
  <r>
    <m/>
    <m/>
    <x v="221"/>
    <x v="64"/>
    <m/>
    <s v="“Herediter Miyelin Hastalıklarında Periferik Sinir Sistemi Tutulumunun Elektrofizyolojik Özellikleri”"/>
    <m/>
    <m/>
    <m/>
    <m/>
    <m/>
    <m/>
    <m/>
    <m/>
    <m/>
    <m/>
  </r>
  <r>
    <m/>
    <m/>
    <x v="221"/>
    <x v="64"/>
    <m/>
    <s v="“Dudak Damak Yarığı Hastalarında Temporomandibuler Eklem Patolojilerinin Konik Işınlı Bilgisayarlı Tomografi (KIBT) Görüntüleri Üzerinden Araştırılması”"/>
    <m/>
    <m/>
    <m/>
    <m/>
    <m/>
    <m/>
    <m/>
    <m/>
    <m/>
    <m/>
  </r>
  <r>
    <m/>
    <m/>
    <x v="221"/>
    <x v="64"/>
    <m/>
    <s v="“Baş Boyun Yassı Hücreli Kanserlerinde DNA Metilasyonunun Gen Ekspresyonu Üzerinden Prognoza Etkisi”"/>
    <m/>
    <m/>
    <m/>
    <m/>
    <m/>
    <m/>
    <m/>
    <m/>
    <m/>
    <m/>
  </r>
  <r>
    <m/>
    <m/>
    <x v="221"/>
    <x v="64"/>
    <m/>
    <s v="“Radyasyon Yönetim Sistemleri ile Bilgisayarlı Tomografi Tetkiklerinin Lokal Tanısal Referans Seviyelerinin Belirlenmesi”"/>
    <m/>
    <m/>
    <m/>
    <m/>
    <m/>
    <m/>
    <m/>
    <m/>
    <m/>
    <m/>
  </r>
  <r>
    <m/>
    <m/>
    <x v="221"/>
    <x v="64"/>
    <m/>
    <s v="“Primer Hiperparatiroidi Hastalarında Cerrahi Tedavi ile Sağlanan Kürün Miyokin Profili Üzerindeki Etkilerinin İncelenmesi”"/>
    <m/>
    <m/>
    <m/>
    <m/>
    <m/>
    <m/>
    <m/>
    <m/>
    <m/>
    <m/>
  </r>
  <r>
    <m/>
    <m/>
    <x v="221"/>
    <x v="64"/>
    <m/>
    <s v="“Lateral Epikondilit Tedavisinde Steroid Enjeksiyonu ile Kombine Lateral Antebrakial Kutanöz Sinir Pulsed Radyofrekans Tedavisinin Etkinliğinin Değerlendirilmesi”"/>
    <m/>
    <m/>
    <m/>
    <m/>
    <m/>
    <m/>
    <m/>
    <m/>
    <m/>
    <m/>
  </r>
  <r>
    <m/>
    <m/>
    <x v="221"/>
    <x v="64"/>
    <m/>
    <s v="“Medial Diz Ağrısı Olan Diz Osteoartritli Hastalarda Safen ve Medial Geniküler Sinirlerin Pulsed Radyofrekans Tedavilerinin Etkinliklerinin Karşılaştırılması”"/>
    <m/>
    <m/>
    <m/>
    <m/>
    <m/>
    <m/>
    <m/>
    <m/>
    <m/>
    <m/>
  </r>
  <r>
    <m/>
    <m/>
    <x v="221"/>
    <x v="64"/>
    <m/>
    <s v="“Küresel Bir Halk Sağlığı Problemi Olan Antibiyotik Direncini Aşmak için Antisense Oligonükleotit Temelli Yenilikçi Formülasyonların Geliştirilmesi ve Değerlendirilmesi”"/>
    <m/>
    <m/>
    <m/>
    <m/>
    <m/>
    <m/>
    <m/>
    <m/>
    <m/>
    <m/>
  </r>
  <r>
    <m/>
    <m/>
    <x v="221"/>
    <x v="64"/>
    <m/>
    <s v="“Multiple Miyelom Etiyolojisinde Kopya Sayısı Değişikliklerinin Dijital Multipleks Ligasyon Bağımlı Prob Amplifikasyonu (MLPA) ile Araştırılması”"/>
    <m/>
    <m/>
    <m/>
    <m/>
    <m/>
    <m/>
    <m/>
    <m/>
    <m/>
    <m/>
  </r>
  <r>
    <m/>
    <m/>
    <x v="221"/>
    <x v="64"/>
    <m/>
    <s v="“Çocuklarda Laparoskopik Kolesistektomilerde İndosiyaninyeşil (ICG) destekli Floresan Görüntülemenin Cerrahi Sonuçlara Etkisinin Belirlenmesi”"/>
    <m/>
    <m/>
    <m/>
    <m/>
    <m/>
    <m/>
    <m/>
    <m/>
    <m/>
    <m/>
  </r>
  <r>
    <m/>
    <m/>
    <x v="221"/>
    <x v="64"/>
    <m/>
    <s v="“Maksiller Darlığa Sahip İleri Sutural Maturasyon Evresinde Olan Hastalarda Modifiye Glassman Tekniği ile Cortico-Puncture Tekniği Uygulanarak Yapılan Mini Vida Destekli Genişletme Tedavisinin Etkilerinin Karşılaştırılması”"/>
    <m/>
    <m/>
    <m/>
    <m/>
    <m/>
    <m/>
    <m/>
    <m/>
    <m/>
    <m/>
  </r>
  <r>
    <m/>
    <m/>
    <x v="221"/>
    <x v="64"/>
    <m/>
    <s v="&quot;İntraoküler Retinoblastomun Geç Nükslerinin Retrospektif Olarak Değerlendirilmesi&quot;"/>
    <m/>
    <m/>
    <m/>
    <m/>
    <m/>
    <m/>
    <m/>
    <m/>
    <m/>
    <m/>
  </r>
  <r>
    <m/>
    <m/>
    <x v="221"/>
    <x v="64"/>
    <m/>
    <s v="“Temporomandibular Eklem Bozukluklarında Ağız Açma Sırasında Disk Morfolojisinde Meydana Gelen Pozisyonel Transformasyonun Klinik Bulgular ve Manyetik Rezonans Görüntüleme Parametreleri ile İlişkisinin Değerlendirilmesi”"/>
    <m/>
    <m/>
    <m/>
    <m/>
    <m/>
    <m/>
    <m/>
    <m/>
    <m/>
    <m/>
  </r>
  <r>
    <m/>
    <m/>
    <x v="221"/>
    <x v="64"/>
    <m/>
    <s v="“Nörodejeneratif Hastalıkların Erken Tanısında Göz Hareketleri Kullanılabilir mi?: Yapay Zeka Aracılıklı Vaka-Kontrol Çalışması”"/>
    <m/>
    <m/>
    <m/>
    <m/>
    <m/>
    <m/>
    <m/>
    <m/>
    <m/>
    <m/>
  </r>
  <r>
    <m/>
    <m/>
    <x v="221"/>
    <x v="64"/>
    <m/>
    <s v="“Kritik Hastalarda Rutin Mikrodolaşım Değerlendirmesinin Şok Erken Tanısına Etkisi”"/>
    <m/>
    <m/>
    <m/>
    <m/>
    <m/>
    <m/>
    <m/>
    <m/>
    <m/>
    <m/>
  </r>
  <r>
    <m/>
    <m/>
    <x v="221"/>
    <x v="64"/>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21"/>
    <x v="64"/>
    <m/>
    <s v="“Şiddetli Ülseratif Kolit Hastalarında Aleksitimi Varlığının Değerlendirilmesi”"/>
    <m/>
    <m/>
    <m/>
    <m/>
    <m/>
    <m/>
    <m/>
    <m/>
    <m/>
    <m/>
  </r>
  <r>
    <m/>
    <m/>
    <x v="221"/>
    <x v="64"/>
    <m/>
    <s v="“İnflamatuar Bağırsak Hastalıklarında Kullanılan Biyolojik Ajanlarda Tedavi Persistensinin Değerlendirilmesi ”"/>
    <m/>
    <m/>
    <m/>
    <m/>
    <m/>
    <m/>
    <m/>
    <m/>
    <m/>
    <m/>
  </r>
  <r>
    <m/>
    <m/>
    <x v="221"/>
    <x v="64"/>
    <m/>
    <s v="“Meme Kanseri Hastalarında Gustave Roussy İmmün Skorunun Sağ Kalım ile İlişkisi”"/>
    <m/>
    <m/>
    <m/>
    <m/>
    <m/>
    <m/>
    <m/>
    <m/>
    <m/>
    <m/>
  </r>
  <r>
    <m/>
    <m/>
    <x v="221"/>
    <x v="64"/>
    <m/>
    <s v="“Endometrioma Nedeniyle Skleroterapi Uygulanan Hastalarda Over Rezervi, Fertilite, Gebelik Sonuçları ve Endometrioma Prognozu Üzerine Etkisinin Retrospektif Analizi”"/>
    <m/>
    <m/>
    <m/>
    <m/>
    <m/>
    <m/>
    <m/>
    <m/>
    <m/>
    <m/>
  </r>
  <r>
    <m/>
    <m/>
    <x v="221"/>
    <x v="64"/>
    <m/>
    <s v="&quot;Steroid Olmayan Anti-İnflamatuar İlaçlarla Alevlenen Hava Yolu Hastalığı (NERD) Hastalarında Aspirin Desensitizasyonu Sonrası Düzenli Aspirin Tedavisinin (ATAD) Serum Lipit Mediyatörleri Üzerine Etkilerinin Araştırılması&quot;"/>
    <m/>
    <m/>
    <m/>
    <m/>
    <m/>
    <m/>
    <m/>
    <m/>
    <m/>
    <m/>
  </r>
  <r>
    <m/>
    <m/>
    <x v="221"/>
    <x v="64"/>
    <m/>
    <s v="“Keratokonus Evresi ile Retina Sinir Lifi Tabakası, Makula Kalınlığı, Ganglion Hücre Tabakası Parametrelerindeki Değişikliklerin İlişkisinin Optik Koherens Tomografi Kullanarak İncelenmesi”"/>
    <m/>
    <m/>
    <m/>
    <m/>
    <m/>
    <m/>
    <m/>
    <m/>
    <m/>
    <m/>
  </r>
  <r>
    <m/>
    <m/>
    <x v="221"/>
    <x v="64"/>
    <m/>
    <s v="“Yeni Hepatit B Biyobelirteçlerinin Kronik Hepatit B Hastalığının Fazlarındaki Değişiminin İncelenmesi”"/>
    <m/>
    <m/>
    <m/>
    <m/>
    <m/>
    <m/>
    <m/>
    <m/>
    <m/>
    <m/>
  </r>
  <r>
    <m/>
    <m/>
    <x v="221"/>
    <x v="64"/>
    <m/>
    <s v="“Rekreasyonel ve Elit Kadın Sporcularda İnkontinans Sıklığının ve Etiyolojisinin Belirlenmesi”"/>
    <m/>
    <m/>
    <m/>
    <m/>
    <m/>
    <m/>
    <m/>
    <m/>
    <m/>
    <m/>
  </r>
  <r>
    <m/>
    <m/>
    <x v="221"/>
    <x v="64"/>
    <m/>
    <s v="“Eklem İçi Ortobiyolojik Uygulanmış Diz Osteoartritli Hastaların Hareket Analizi”"/>
    <m/>
    <m/>
    <m/>
    <m/>
    <m/>
    <m/>
    <m/>
    <m/>
    <m/>
    <m/>
  </r>
  <r>
    <m/>
    <m/>
    <x v="221"/>
    <x v="64"/>
    <m/>
    <s v="''Tam Çift Sistemler İçin Yapılan Üst Kutuplu Heminefrektomi Sonrası Hasta Takiplerinde Alt Üriner Sistem Cerrahisi Gerekliliğinin Değerlendirilmesi”"/>
    <m/>
    <m/>
    <m/>
    <m/>
    <m/>
    <m/>
    <m/>
    <m/>
    <m/>
    <m/>
  </r>
  <r>
    <m/>
    <m/>
    <x v="221"/>
    <x v="64"/>
    <m/>
    <s v="“Farklı Cinsteki Üriner Sistem Taşlarının Evriminin Cerrahi Bulgular ve Laboratuar Tetkikleri ile Araştırılması”"/>
    <m/>
    <m/>
    <m/>
    <m/>
    <m/>
    <m/>
    <m/>
    <m/>
    <m/>
    <m/>
  </r>
  <r>
    <m/>
    <m/>
    <x v="221"/>
    <x v="64"/>
    <m/>
    <s v="“Post-travmatik Epilepsi: Hastaların Klinik Özellikleri, MRGve EEG Bulgularının Prognozla İlişkisi”"/>
    <m/>
    <m/>
    <m/>
    <m/>
    <m/>
    <m/>
    <m/>
    <m/>
    <m/>
    <m/>
  </r>
  <r>
    <m/>
    <m/>
    <x v="221"/>
    <x v="64"/>
    <m/>
    <s v="“Mikrosatellit İnstabilitesi Yüksek Olan Mide Kanseri Olgularında Tedavi Yaklaşımı ve Prognoz İncelenmesi”"/>
    <m/>
    <m/>
    <m/>
    <m/>
    <m/>
    <m/>
    <m/>
    <m/>
    <m/>
    <m/>
  </r>
  <r>
    <m/>
    <m/>
    <x v="221"/>
    <x v="64"/>
    <m/>
    <s v="“Elektrofizyoloji Laboratuvannda Pleksus Hasarı Tanısı”"/>
    <m/>
    <m/>
    <m/>
    <m/>
    <m/>
    <m/>
    <m/>
    <m/>
    <m/>
    <m/>
  </r>
  <r>
    <m/>
    <m/>
    <x v="221"/>
    <x v="64"/>
    <m/>
    <s v="“Yoğun Bakım Hastalarında Vücut Yağ ve Kas Dağılımının Organ Sonlanımı ve Mortaliteye Etkisi”"/>
    <m/>
    <m/>
    <m/>
    <m/>
    <m/>
    <m/>
    <m/>
    <m/>
    <m/>
    <m/>
  </r>
  <r>
    <m/>
    <m/>
    <x v="221"/>
    <x v="64"/>
    <m/>
    <s v="“Kalıtsal Kanser Sendromlarında Gelişmiş Genomik Yaklaşımlarla Yeni Genetik Faktörlerin Tanımlanması”"/>
    <m/>
    <m/>
    <m/>
    <m/>
    <m/>
    <m/>
    <m/>
    <m/>
    <m/>
    <m/>
  </r>
  <r>
    <m/>
    <m/>
    <x v="221"/>
    <x v="64"/>
    <m/>
    <s v="“Opere Temporal Lob Epilepsili Hastalarda Jeneralize İnteriktal Epileptiform Deşarj Varlığı ve Önemi”"/>
    <m/>
    <m/>
    <m/>
    <m/>
    <m/>
    <m/>
    <m/>
    <m/>
    <m/>
    <m/>
  </r>
  <r>
    <m/>
    <m/>
    <x v="221"/>
    <x v="64"/>
    <m/>
    <s v="&quot;Üniversite Öğrencileri Arasında Sosyal Medyada Karşılaştıkları Beslenme ve Gıda ile İlgili İçeriklerin Öğrencilerin Beslenme Davranışlarını Etkileme Durumlarına İlişkin Görüşlerinin Belirlenmesi&quot;"/>
    <m/>
    <m/>
    <m/>
    <m/>
    <m/>
    <m/>
    <m/>
    <m/>
    <m/>
    <m/>
  </r>
  <r>
    <m/>
    <m/>
    <x v="221"/>
    <x v="64"/>
    <m/>
    <s v="“Üçüncü Molar Dişlerle İlişkili Perikoronal Foliküllerin Radyografik ve Patolojik Özelliklerinin Retrospektif İncelenmesi”"/>
    <m/>
    <m/>
    <m/>
    <m/>
    <m/>
    <m/>
    <m/>
    <m/>
    <m/>
    <m/>
  </r>
  <r>
    <m/>
    <m/>
    <x v="221"/>
    <x v="64"/>
    <m/>
    <s v="“İç Hastalıkları Uzmanları ve Araştırma Görevlilerinde Obezite Farkındalığı ve Bilgi Düzeyi ile Eğitim İhtiyacının Belirlenmesi”"/>
    <m/>
    <m/>
    <m/>
    <m/>
    <m/>
    <m/>
    <m/>
    <m/>
    <m/>
    <m/>
  </r>
  <r>
    <m/>
    <m/>
    <x v="221"/>
    <x v="64"/>
    <m/>
    <s v="“Mitral Anüler Disjunction Saptanan Hastalarda Genetik Etiyolojinin Araştırılması ”"/>
    <m/>
    <m/>
    <m/>
    <m/>
    <m/>
    <m/>
    <m/>
    <m/>
    <m/>
    <m/>
  </r>
  <r>
    <m/>
    <m/>
    <x v="221"/>
    <x v="64"/>
    <m/>
    <s v="“POS-VAP: Sürekli Gözlemsel Çalışma- Ventilatör İlişkili Pnömoni”"/>
    <m/>
    <m/>
    <m/>
    <m/>
    <m/>
    <m/>
    <m/>
    <m/>
    <m/>
    <m/>
  </r>
  <r>
    <m/>
    <m/>
    <x v="221"/>
    <x v="64"/>
    <m/>
    <s v="“Dahiliye Servislerinde İlaç Uygulama Zamanlarının Değerlendirilmesi ve Klinik Eczacının Rolü”"/>
    <m/>
    <m/>
    <m/>
    <m/>
    <m/>
    <m/>
    <m/>
    <m/>
    <m/>
    <m/>
  </r>
  <r>
    <m/>
    <m/>
    <x v="221"/>
    <x v="64"/>
    <m/>
    <s v="“Kalça Osteoartritli Hastalarda Floroskopi ve Ultrasonografi Kılavuzluğunda İntraartiküler Kalça Enjeksiyonlarının Etkinliklerinin Karşılaştırılması”"/>
    <m/>
    <m/>
    <m/>
    <m/>
    <m/>
    <m/>
    <m/>
    <m/>
    <m/>
    <m/>
  </r>
  <r>
    <m/>
    <m/>
    <x v="221"/>
    <x v="64"/>
    <m/>
    <s v="“Diz Osteoartritli Hastalarda Floroskopi ve Ultrasonografi Kılavuzluğunda İntraartiküler Diz Enjeksiyonlarının Etkinliklerinin Karşılaştırılması&quot;"/>
    <m/>
    <m/>
    <m/>
    <m/>
    <m/>
    <m/>
    <m/>
    <m/>
    <m/>
    <m/>
  </r>
  <r>
    <m/>
    <m/>
    <x v="221"/>
    <x v="64"/>
    <m/>
    <s v="“Laringotrakeal Stenoz Cerrahi Tedavisinde Uzun Dönem Sonuçlarımız: 15 Yıllık Hacettepe Tecrübesi”"/>
    <m/>
    <m/>
    <m/>
    <m/>
    <m/>
    <m/>
    <m/>
    <m/>
    <m/>
    <m/>
  </r>
  <r>
    <m/>
    <m/>
    <x v="221"/>
    <x v="64"/>
    <m/>
    <s v="“Soliter Fibröz Tümör/Hemanjioperisitoma Tanılı Hastaların Demografik, Klinikopatolojik, Prognostik Özelliklerinin ve Tedavi Yanıtlarının Değerlendirilmesi”"/>
    <m/>
    <m/>
    <m/>
    <m/>
    <m/>
    <m/>
    <m/>
    <m/>
    <m/>
    <m/>
  </r>
  <r>
    <m/>
    <m/>
    <x v="221"/>
    <x v="64"/>
    <m/>
    <s v="“B12 Vitamini Eksikliği Tedavisinin Kılavuza Uygunluğunun Değerlendirilmes”"/>
    <m/>
    <m/>
    <m/>
    <m/>
    <m/>
    <m/>
    <m/>
    <m/>
    <m/>
    <m/>
  </r>
  <r>
    <m/>
    <m/>
    <x v="221"/>
    <x v="64"/>
    <m/>
    <s v="“Obez Hastalarda Meropenem ve Vankomisin Terapötik İlaç Düzeyi İzlemi: Retrospektif Bir Kohort Çalışması”"/>
    <m/>
    <m/>
    <m/>
    <m/>
    <m/>
    <m/>
    <m/>
    <m/>
    <m/>
    <m/>
  </r>
  <r>
    <m/>
    <m/>
    <x v="221"/>
    <x v="64"/>
    <m/>
    <s v="“İlaca Dirençli Fokal Epilepsili Çocuklarda İktal Otonomik Bulguların Değerlendirilmesi”"/>
    <m/>
    <m/>
    <m/>
    <m/>
    <m/>
    <m/>
    <m/>
    <m/>
    <m/>
    <m/>
  </r>
  <r>
    <m/>
    <m/>
    <x v="221"/>
    <x v="64"/>
    <m/>
    <s v="“Türkiye’de Deri ve Zührevi Hastalıklar Uzmanları ve Uzmanlık Öğrencilerinin Hekimlik Uygulamalarında Chat GPT Kullanımını ve Bu Uygulamaya Güvenini Değerlendiren Anket Çalışması”"/>
    <m/>
    <m/>
    <m/>
    <m/>
    <m/>
    <m/>
    <m/>
    <m/>
    <m/>
    <m/>
  </r>
  <r>
    <m/>
    <m/>
    <x v="221"/>
    <x v="64"/>
    <m/>
    <s v="&quot;Biyolojik Tedavilerin Otoenjektor ve Kullanıma Hazır Enjektörler Formlarının Evde Kullanımının Degerlendirilmesi&quot;"/>
    <m/>
    <m/>
    <m/>
    <m/>
    <m/>
    <m/>
    <m/>
    <m/>
    <m/>
    <m/>
  </r>
  <r>
    <m/>
    <m/>
    <x v="221"/>
    <x v="64"/>
    <m/>
    <s v="“Paranazal Sinüs Pnömotizasyonu ile Nazal Muayene Bulguları ve Rinomanometrik Parametreler Arasındaki İlişkinin Değerlendirilmesi”"/>
    <m/>
    <m/>
    <m/>
    <m/>
    <m/>
    <m/>
    <m/>
    <m/>
    <m/>
    <m/>
  </r>
  <r>
    <m/>
    <m/>
    <x v="221"/>
    <x v="64"/>
    <m/>
    <s v="“Ortognatik Cerrahide ERAS Yaklaşımının Operatif Parametreler ve Nörosensoryel İyileşmeye Etkisi”"/>
    <m/>
    <m/>
    <m/>
    <m/>
    <m/>
    <m/>
    <m/>
    <m/>
    <m/>
    <m/>
  </r>
  <r>
    <m/>
    <m/>
    <x v="221"/>
    <x v="64"/>
    <m/>
    <s v="“Tıp Fakültesi Öğrencilerinin Zona Hastalığı ve Zona Aşısıyla İlgili Bilgi Düzeyinin Değerlendirilmesi: Tanımlayıcı Kesitsel Çalışma”"/>
    <m/>
    <m/>
    <m/>
    <m/>
    <m/>
    <m/>
    <m/>
    <m/>
    <m/>
    <m/>
  </r>
  <r>
    <m/>
    <m/>
    <x v="221"/>
    <x v="64"/>
    <m/>
    <s v="“Yumurta Alerjisi Olan Çocuk Hastalarda Yumurta Merdiveninin Güvenlik ve Etkinliğinin Değerlendirilmesi”"/>
    <m/>
    <m/>
    <m/>
    <m/>
    <m/>
    <m/>
    <m/>
    <m/>
    <m/>
    <m/>
  </r>
  <r>
    <m/>
    <m/>
    <x v="221"/>
    <x v="64"/>
    <m/>
    <s v="“Ön Çapraz Bağ Rekonstrüksiyonu Yapılan Hastalarda Kemik Tünel Genişliklerinin Zero Time Echo Sekans Manyetik Rezonans Görüntülemeve Bilgisayarlı Tomografi ile Karşılaştırılması”"/>
    <m/>
    <m/>
    <m/>
    <m/>
    <m/>
    <m/>
    <m/>
    <m/>
    <m/>
    <m/>
  </r>
  <r>
    <m/>
    <m/>
    <x v="221"/>
    <x v="64"/>
    <m/>
    <s v="“Aril Hidrokarbon Reseptör (AhR) Yolağının Mezenkimal Kök Hücreden İn Vitro Adiposit Farklılaşmasındaki ve Olgun Adipositlerdeki Rolünün İncelenmesi”"/>
    <m/>
    <m/>
    <m/>
    <m/>
    <m/>
    <m/>
    <m/>
    <m/>
    <m/>
    <m/>
  </r>
  <r>
    <m/>
    <m/>
    <x v="221"/>
    <x v="64"/>
    <m/>
    <s v="“Metabolik Disfonsiyon ile İlişkili Steatotik Karaciğer Hastalığında Serum ve İdrar Uromodulin Düzeylerinin Böbrek Fonksiyonlarıyla İlişkisi”"/>
    <m/>
    <m/>
    <m/>
    <m/>
    <m/>
    <m/>
    <m/>
    <m/>
    <m/>
    <m/>
  </r>
  <r>
    <m/>
    <m/>
    <x v="221"/>
    <x v="64"/>
    <m/>
    <s v="“Kırım- Kongo Kanamalı Ateşi Olan Çocuk Hastaların Klinik Verilerinin Retrospektif Değerlendirilmesi”"/>
    <m/>
    <m/>
    <m/>
    <m/>
    <m/>
    <m/>
    <m/>
    <m/>
    <m/>
    <m/>
  </r>
  <r>
    <m/>
    <m/>
    <x v="221"/>
    <x v="64"/>
    <m/>
    <s v="“Kalıcı Kalp Pili İmplantasyonunda Venöz Oklüzyon İzlenen Hastalarda Venoplasti Sonuçlarının Değerlendirilmesi”"/>
    <m/>
    <m/>
    <m/>
    <m/>
    <m/>
    <m/>
    <m/>
    <m/>
    <m/>
    <m/>
  </r>
  <r>
    <m/>
    <m/>
    <x v="221"/>
    <x v="64"/>
    <m/>
    <s v="“Transfemoral Yol ile Yapılan Girişimsel İşlemlerde Yüzeyel Ultrasonografinin Prognoz ve Mortaliteye Etkisinin Değerlendirilmesi”"/>
    <m/>
    <m/>
    <m/>
    <m/>
    <m/>
    <m/>
    <m/>
    <m/>
    <m/>
    <m/>
  </r>
  <r>
    <m/>
    <m/>
    <x v="221"/>
    <x v="64"/>
    <m/>
    <s v="“Yapay Zekanın Ventriküler Ekstrasistollerin Elektrokardiyografik Özelliklerine Göre Anatomik Lokalizasyonlarının Değerlendirilmesindeki Rolünün İncelenmesi”"/>
    <m/>
    <m/>
    <m/>
    <m/>
    <m/>
    <m/>
    <m/>
    <m/>
    <m/>
    <m/>
  </r>
  <r>
    <m/>
    <m/>
    <x v="221"/>
    <x v="64"/>
    <m/>
    <s v="“Hastanede Yatan 65 Yaş ve Üstü Bireylerde Sosyal Kırılganlığın Değerlendirilmesi ve Geriatrik Sendromlarla İlişkisi”"/>
    <m/>
    <m/>
    <m/>
    <m/>
    <m/>
    <m/>
    <m/>
    <m/>
    <m/>
    <m/>
  </r>
  <r>
    <m/>
    <m/>
    <x v="221"/>
    <x v="64"/>
    <m/>
    <s v="“Polikistik Over Sendromuna İlişkin Bilgi ve Algının Çok Dilli Video Tabanlı Eğitim ile Değerlendirilmesi”"/>
    <m/>
    <m/>
    <m/>
    <m/>
    <m/>
    <m/>
    <m/>
    <m/>
    <m/>
    <m/>
  </r>
  <r>
    <m/>
    <m/>
    <x v="221"/>
    <x v="64"/>
    <m/>
    <s v="“Periapikal Patolojisi Bulunan Dişlerde Primer Endodontik Tedavinin Başarısızlık Nedenlerinin İncelenmesi”"/>
    <m/>
    <m/>
    <m/>
    <m/>
    <m/>
    <m/>
    <m/>
    <m/>
    <m/>
    <m/>
  </r>
  <r>
    <m/>
    <m/>
    <x v="221"/>
    <x v="64"/>
    <m/>
    <s v="“Morganellaceae Ailesinde Antibiyotik Direnç Mekanizmalarının ve Virülans Faktörlerinin Fenotipik ve Genotipik Yöntemlerle İncelenmesi”"/>
    <m/>
    <m/>
    <m/>
    <m/>
    <m/>
    <m/>
    <m/>
    <m/>
    <m/>
    <m/>
  </r>
  <r>
    <m/>
    <m/>
    <x v="221"/>
    <x v="64"/>
    <m/>
    <s v="“Güncel Üniversal Kompozit Rezinlerin Polimerizasyon Büzülmesi ve Mikrosızıntı Açısından Karşılaştırılması”"/>
    <m/>
    <m/>
    <m/>
    <m/>
    <m/>
    <m/>
    <m/>
    <m/>
    <m/>
    <m/>
  </r>
  <r>
    <m/>
    <m/>
    <x v="221"/>
    <x v="64"/>
    <m/>
    <s v="“Peri-implantitis ve Periodontitiste İnflamatuvar ve Koruyucu Yanıt: Dişeti Islaklığı, Dişeti Oluğu Sıvısı ve Peri-implant Oluk Sıvısının TNF-α, IL-10, MUC4 Düzeylerinin İncelenmesi”"/>
    <m/>
    <m/>
    <m/>
    <m/>
    <m/>
    <m/>
    <m/>
    <m/>
    <m/>
    <m/>
  </r>
  <r>
    <m/>
    <m/>
    <x v="221"/>
    <x v="64"/>
    <m/>
    <s v="“Fasiyal Reanimasyonda Yeni Bir Donör Sinir: Servikal Sinirin Topografik ve Mikroanatomik Özelliklerinin İncelenmesi, Kadavra Çalışması”"/>
    <m/>
    <m/>
    <m/>
    <m/>
    <m/>
    <m/>
    <m/>
    <m/>
    <m/>
    <m/>
  </r>
  <r>
    <m/>
    <m/>
    <x v="221"/>
    <x v="64"/>
    <m/>
    <s v="“Sezon Öncesi Antrenman Yükü, Kuvvet Parametreleri ve Performans İlişkisinin Antrenman Takibi Yöntemleri ile Değerlendirmesi”"/>
    <m/>
    <m/>
    <m/>
    <m/>
    <m/>
    <m/>
    <m/>
    <m/>
    <m/>
    <m/>
  </r>
  <r>
    <m/>
    <m/>
    <x v="221"/>
    <x v="64"/>
    <m/>
    <s v="“Multipıl Skleroz Hastalarındaki Demiyelinizan Lezyonların, Non-demiyelinizan Lezyonlardan Duyarlılık Ağırlıklı MR Görüntüleme ile Ayrımı”"/>
    <m/>
    <m/>
    <m/>
    <m/>
    <m/>
    <m/>
    <m/>
    <m/>
    <m/>
    <m/>
  </r>
  <r>
    <m/>
    <m/>
    <x v="221"/>
    <x v="64"/>
    <m/>
    <s v="&quot;Santral Sinir Sistemi’nde T Hücreli Lenfomaların Görüntüleme Bulguları&quot;"/>
    <m/>
    <m/>
    <m/>
    <m/>
    <m/>
    <m/>
    <m/>
    <m/>
    <m/>
    <m/>
  </r>
  <r>
    <m/>
    <m/>
    <x v="221"/>
    <x v="64"/>
    <m/>
    <s v="“Torasik Outlet Sendromu Hastalarında Stellat Ganglion Bloğu ile Torasik Sempatik Bloğun Ağrı Yönetimindeki Etkinliğinin Karşılaştırılması”"/>
    <m/>
    <m/>
    <m/>
    <m/>
    <m/>
    <m/>
    <m/>
    <m/>
    <m/>
    <m/>
  </r>
  <r>
    <m/>
    <m/>
    <x v="221"/>
    <x v="64"/>
    <m/>
    <s v="“Türkiye'de Aile Hekimlerinin Kronik Ağrısı Olan Hastalara Yaklaşımı: Tanımlayıcı Çalışma”"/>
    <m/>
    <m/>
    <m/>
    <m/>
    <m/>
    <m/>
    <m/>
    <m/>
    <m/>
    <m/>
  </r>
  <r>
    <m/>
    <m/>
    <x v="221"/>
    <x v="64"/>
    <m/>
    <s v="“Koroner Arteriovenöz Fistül Hastalarının Tanı, Tedavi ve Takip Süreçlerinin Retrospektif Değerlendirilmesi”"/>
    <m/>
    <m/>
    <m/>
    <m/>
    <m/>
    <m/>
    <m/>
    <m/>
    <m/>
    <m/>
  </r>
  <r>
    <m/>
    <m/>
    <x v="221"/>
    <x v="64"/>
    <m/>
    <s v="“Yaş ve Cinsiyete Özgü Baldır Çevresi Persentilleri ile Geriatri Polikliniği Hastalarında Olası Sarkopeni Arasındaki İlişki”"/>
    <m/>
    <m/>
    <m/>
    <m/>
    <m/>
    <m/>
    <m/>
    <m/>
    <m/>
    <m/>
  </r>
  <r>
    <m/>
    <m/>
    <x v="221"/>
    <x v="64"/>
    <m/>
    <s v="“Aril Hidrokarbon Reseptörü İnhibisyonunun Kemik İliği Yağ Mezenkimal Kök Hücreleri Kaynaklı Ekstraselüler Veziküller Aracılığıyla Kemik İliği Nişine Olan Etkilerinin Araştırılması”"/>
    <m/>
    <m/>
    <m/>
    <m/>
    <m/>
    <m/>
    <m/>
    <m/>
    <m/>
    <m/>
  </r>
  <r>
    <m/>
    <m/>
    <x v="221"/>
    <x v="64"/>
    <m/>
    <s v="“Femoral ve Karotis Plak Yükünün Uzun Dönem Takipte Aterosklerotik Vasküler Olaylar ile İlişkisinin Değerlendirilmesi”"/>
    <m/>
    <m/>
    <m/>
    <m/>
    <m/>
    <m/>
    <m/>
    <m/>
    <m/>
    <m/>
  </r>
  <r>
    <m/>
    <m/>
    <x v="221"/>
    <x v="64"/>
    <m/>
    <s v="“Düşük İmmün Reaktif Tripsinojen (IRT) Değerleri Nedeniyle Yenidoğan Taramasından Kaçan Kistik Fibrozisli Çocukların Özellikleri ve Taramada Yakalanan Hasta Grubu ile Karşılaştırılması”"/>
    <m/>
    <m/>
    <m/>
    <m/>
    <m/>
    <m/>
    <m/>
    <m/>
    <m/>
    <m/>
  </r>
  <r>
    <m/>
    <m/>
    <x v="221"/>
    <x v="64"/>
    <m/>
    <s v="“Kafein ve L-Karnitin Takviyesinin Koşucularda Substrat Oksidasyonu ve Solunumsal Eşik Şiddeti Üzerindeki Koşu Performansýna Etkisi”"/>
    <m/>
    <m/>
    <m/>
    <m/>
    <m/>
    <m/>
    <m/>
    <m/>
    <m/>
    <m/>
  </r>
  <r>
    <m/>
    <m/>
    <x v="221"/>
    <x v="64"/>
    <m/>
    <s v="“Psöriazis Tanılı Biyolojik Tedavi Alan Kronik Hepatit B Enfeksiyonu Olan Hastalarda Hepatik Fibrozisin Transient Elastografi ile Değerlendirilmesi”"/>
    <m/>
    <m/>
    <m/>
    <m/>
    <m/>
    <m/>
    <m/>
    <m/>
    <m/>
    <m/>
  </r>
  <r>
    <m/>
    <m/>
    <x v="221"/>
    <x v="64"/>
    <m/>
    <s v="“Kolşisin Dirençli Ailevi Akdeniz Ateşinin Yönetiminde Klinisyen Yaklaşımlarının Anket ile Araştırılması”"/>
    <m/>
    <m/>
    <m/>
    <m/>
    <m/>
    <m/>
    <m/>
    <m/>
    <m/>
    <m/>
  </r>
  <r>
    <m/>
    <m/>
    <x v="221"/>
    <x v="64"/>
    <m/>
    <s v="&quot;Ankilozan Spondiliti Olan ve Olmayan Bireylerde Asil ve Supraspinatus Entez Bölgelerinin Karşılaştırılması ve Ankilozan Spondilit Hastalik Aktivitesi ve Fonksiyonel Durumu ile İlişkilendirilmesi&quot;"/>
    <m/>
    <m/>
    <m/>
    <m/>
    <m/>
    <m/>
    <m/>
    <m/>
    <m/>
    <m/>
  </r>
  <r>
    <m/>
    <m/>
    <x v="221"/>
    <x v="64"/>
    <m/>
    <s v="“Juvenil Skleroderma Tanılı Hastaların Özelliklerinin Belirlenmesi”"/>
    <m/>
    <m/>
    <m/>
    <m/>
    <m/>
    <m/>
    <m/>
    <m/>
    <m/>
    <m/>
  </r>
  <r>
    <m/>
    <m/>
    <x v="221"/>
    <x v="64"/>
    <m/>
    <s v="“Major Depresyon Bozukluğunda SSRI Tedavisinin Başarısını Öngören, Emosyonel EEG Tabanlı, Çizge Kuramsal ve Nedensel Bir Prognostik Belirteç Araştırması”"/>
    <m/>
    <m/>
    <m/>
    <m/>
    <m/>
    <m/>
    <m/>
    <m/>
    <m/>
    <m/>
  </r>
  <r>
    <m/>
    <m/>
    <x v="221"/>
    <x v="64"/>
    <m/>
    <s v="“İskelet Displazili Çocuklarda Geçici Hemiepifizyodez Cerrahisi Sonrası Radyolojik Sonuçlar ve Rekürrens Eğilimleri”"/>
    <m/>
    <m/>
    <m/>
    <m/>
    <m/>
    <m/>
    <m/>
    <m/>
    <m/>
    <m/>
  </r>
  <r>
    <m/>
    <m/>
    <x v="221"/>
    <x v="64"/>
    <m/>
    <s v="“Pierre Robin Sekanslı Hastalarda Distraksiyon Osteogenezis Uygulamasının Dentofasiyal Yapılara Uzun Dönemdeki Etkisi”"/>
    <m/>
    <m/>
    <m/>
    <m/>
    <m/>
    <m/>
    <m/>
    <m/>
    <m/>
    <m/>
  </r>
  <r>
    <m/>
    <m/>
    <x v="221"/>
    <x v="64"/>
    <m/>
    <s v="&quot;Şeffaf Plak Tedavilerinde Kullanılan Ataşmanların Hastaların Estetik ve Fonksiyon Algılarının Üzerine Etkisinin Değerlendirilmesi&quot;"/>
    <m/>
    <m/>
    <m/>
    <m/>
    <m/>
    <m/>
    <m/>
    <m/>
    <m/>
    <m/>
  </r>
  <r>
    <m/>
    <m/>
    <x v="221"/>
    <x v="64"/>
    <m/>
    <s v="&quot;Yüz Dikey Yüksekliği Farklı Olan Kadınlarda Degişen Üst Lateral Diş Boyutlarınım Gülümseme Estetiğine Etkisi”"/>
    <m/>
    <m/>
    <m/>
    <m/>
    <m/>
    <m/>
    <m/>
    <m/>
    <m/>
    <m/>
  </r>
  <r>
    <m/>
    <m/>
    <x v="221"/>
    <x v="64"/>
    <m/>
    <s v="“Neoadjuvan Kemoterapi, Cerrahi ve Adjuvan Radyoterapi Uygulanan Meme Kanserli Olgularda HER2- Düzeyi ile Sağkalım İlişkisi ”"/>
    <m/>
    <m/>
    <m/>
    <m/>
    <m/>
    <m/>
    <m/>
    <m/>
    <m/>
    <m/>
  </r>
  <r>
    <m/>
    <m/>
    <x v="221"/>
    <x v="64"/>
    <m/>
    <s v="“İnvaziv Lobüler Meme Kanserinde Pozitron Emisyon Tomografisi / Bilgisayarlı Tomografi Görüntüleme Yöntemi ile Hastalık Heterojenitesinin Değerlendirmesi”"/>
    <m/>
    <m/>
    <m/>
    <m/>
    <m/>
    <m/>
    <m/>
    <m/>
    <m/>
    <m/>
  </r>
  <r>
    <m/>
    <m/>
    <x v="221"/>
    <x v="64"/>
    <m/>
    <s v="“Cerrahi Olarak Tedavi Edilen Pelvik Fragilite Kırığı Olan Hastaların Retrospektif Olarak Değerlendirilmesi: Fonksiyonel ve Radyolojik Bulgular”"/>
    <m/>
    <m/>
    <m/>
    <m/>
    <m/>
    <m/>
    <m/>
    <m/>
    <m/>
    <m/>
  </r>
  <r>
    <m/>
    <m/>
    <x v="221"/>
    <x v="64"/>
    <m/>
    <s v="“ICIQ-FLUTS ve ICIQ-MLUTS Skorlarının Ürodinamik Tanılarla İlişkisi: Retrospektif Bir Analiz”"/>
    <m/>
    <m/>
    <m/>
    <m/>
    <m/>
    <m/>
    <m/>
    <m/>
    <m/>
    <m/>
  </r>
  <r>
    <m/>
    <m/>
    <x v="221"/>
    <x v="64"/>
    <m/>
    <s v="“Nöroloji ve Çocuk Nöroloji Bölümlerinden Çocuk İmmünoloji Bölümüne Konsulte Edilen ve Primer İmmün Yetmezlik Tanısı Konulan Hastaların İncelenmesi”"/>
    <m/>
    <m/>
    <m/>
    <m/>
    <m/>
    <m/>
    <m/>
    <m/>
    <m/>
    <m/>
  </r>
  <r>
    <m/>
    <m/>
    <x v="221"/>
    <x v="64"/>
    <m/>
    <s v="“2500 Hastalık Vaka Serisiyle Primer Dudak ve Damak Yarıkları: Epidemiyolojik, Cerrahi ve Postoperatif Komplikasyonların Erken ve Geç Dönem İlişkisinin Analizi”"/>
    <m/>
    <m/>
    <m/>
    <m/>
    <m/>
    <m/>
    <m/>
    <m/>
    <m/>
    <m/>
  </r>
  <r>
    <m/>
    <m/>
    <x v="221"/>
    <x v="64"/>
    <m/>
    <s v="&quot;Manyetik Rezonans Görüntülemede Difüzyon Ağırlıklı Görüntüleme Ovaryan ve Adneksal Lezyonları Raporlama ve Veri Sistemi– Manyetik Rezonans Skorlama Skalasının İsabetine Katkısı&quot;"/>
    <m/>
    <m/>
    <m/>
    <m/>
    <m/>
    <m/>
    <m/>
    <m/>
    <m/>
    <m/>
  </r>
  <r>
    <m/>
    <m/>
    <x v="221"/>
    <x v="64"/>
    <m/>
    <s v="“Yenidoğan Taraması ile Tanı Alan Spinal Musküler Atrofili Çocukların Tedavi Altında +2. Yıl Fonksiyonel İzlem Sonuçları: Hacettepe Örneği”"/>
    <m/>
    <m/>
    <m/>
    <m/>
    <m/>
    <m/>
    <m/>
    <m/>
    <m/>
    <m/>
  </r>
  <r>
    <m/>
    <m/>
    <x v="221"/>
    <x v="64"/>
    <m/>
    <s v="“Çocukluk Çağı Tümörleri İlişkili Trombüslerde Cerrahi Tedavi Yöntemleri”"/>
    <m/>
    <m/>
    <m/>
    <m/>
    <m/>
    <m/>
    <m/>
    <m/>
    <m/>
    <m/>
  </r>
  <r>
    <m/>
    <m/>
    <x v="221"/>
    <x v="64"/>
    <m/>
    <s v="“Çocuk Hastalarda Ekstragonadal Germ Hücreli Tümörlerin Klinik, Patolojik Özellikleri ve LIN28 ile İmmunohistokimyasal Analizi”"/>
    <m/>
    <m/>
    <m/>
    <m/>
    <m/>
    <m/>
    <m/>
    <m/>
    <m/>
    <m/>
  </r>
  <r>
    <m/>
    <m/>
    <x v="221"/>
    <x v="64"/>
    <m/>
    <s v="“Primer Dudak Damak Yarıklı Hastalarda Eşlik Eden Anomalilerin Operasyon Yaşı ve Erken Dönem Postoperatif Komplikasyonlarla İlişkisi"/>
    <m/>
    <m/>
    <m/>
    <m/>
    <m/>
    <m/>
    <m/>
    <m/>
    <m/>
    <m/>
  </r>
  <r>
    <m/>
    <m/>
    <x v="221"/>
    <x v="64"/>
    <m/>
    <s v="“Erişkin Kistik Fibrozis Hastalarında Genotiplere Göre Modülatör Tedavi Etkinliğinin Değerlendirilmesi”"/>
    <m/>
    <m/>
    <m/>
    <m/>
    <m/>
    <m/>
    <m/>
    <m/>
    <m/>
    <m/>
  </r>
  <r>
    <m/>
    <m/>
    <x v="221"/>
    <x v="64"/>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21"/>
    <x v="64"/>
    <m/>
    <s v="“Pediatrik Wilson Hastalarında Nörotoksisitenin Değerlendirilmesi”"/>
    <m/>
    <m/>
    <m/>
    <m/>
    <m/>
    <m/>
    <m/>
    <m/>
    <m/>
    <m/>
  </r>
  <r>
    <m/>
    <m/>
    <x v="221"/>
    <x v="64"/>
    <m/>
    <s v="“Abdominal Patolojilerin Radyolojik Tanısına Yönelik Derin Öğrenme Modeli Geliştirilmesi.”"/>
    <m/>
    <m/>
    <m/>
    <m/>
    <m/>
    <m/>
    <m/>
    <m/>
    <m/>
    <m/>
  </r>
  <r>
    <m/>
    <m/>
    <x v="221"/>
    <x v="64"/>
    <m/>
    <s v="“Çocukluk Çağında Pankreatit”"/>
    <m/>
    <m/>
    <m/>
    <m/>
    <m/>
    <m/>
    <m/>
    <m/>
    <m/>
    <m/>
  </r>
  <r>
    <m/>
    <m/>
    <x v="221"/>
    <x v="64"/>
    <m/>
    <s v="“Farklı Materyaller ve Kalınlıklar ile Taklit Edilen Periodontal Ligamentin Kök Kanal Tedavili Dişlerde Kırılma Dayanımı Üzerindeki Etkisi: İn Vitro Çalışma”"/>
    <m/>
    <m/>
    <m/>
    <m/>
    <m/>
    <m/>
    <m/>
    <m/>
    <m/>
    <m/>
  </r>
  <r>
    <m/>
    <m/>
    <x v="221"/>
    <x v="64"/>
    <m/>
    <s v="“İmmünoterapi Alan Hastalarda İmmün Yan Etki Gelişimini Predikte Eden Klinik ve Genetik Belirteçler”"/>
    <m/>
    <m/>
    <m/>
    <m/>
    <m/>
    <m/>
    <m/>
    <m/>
    <m/>
    <m/>
  </r>
  <r>
    <m/>
    <m/>
    <x v="221"/>
    <x v="64"/>
    <m/>
    <s v="“Üst Aerodigestif Sistem Mukozal Lezyonların Analizinde Dar Bant Görüntülemenin Yeri, Verilerin Histopatolojik İnceleme ile Karşılaştırılması”"/>
    <m/>
    <m/>
    <m/>
    <m/>
    <m/>
    <m/>
    <m/>
    <m/>
    <m/>
    <m/>
  </r>
  <r>
    <m/>
    <m/>
    <x v="221"/>
    <x v="64"/>
    <m/>
    <s v="“Çocuklarda Cerrahi Sonrası Geliştirilmiş İyileştirme (Enhanced Recovery After Surgery: ERAS) Programı Uygulamaları”"/>
    <m/>
    <m/>
    <m/>
    <m/>
    <m/>
    <m/>
    <m/>
    <m/>
    <m/>
    <m/>
  </r>
  <r>
    <m/>
    <m/>
    <x v="221"/>
    <x v="64"/>
    <m/>
    <s v="“Kırım- Kongo Kanamalı Ateşi Tanılı Çocuk ve Erişkin Hastaların Sitokin ve Kemokin Yanıtlarının Değerlendirilmesi”"/>
    <m/>
    <m/>
    <m/>
    <m/>
    <m/>
    <m/>
    <m/>
    <m/>
    <m/>
    <m/>
  </r>
  <r>
    <m/>
    <m/>
    <x v="221"/>
    <x v="64"/>
    <m/>
    <s v="“Toraks BT Görüntülerinde İnterstisyel Akciğer Hastalığı Tespiti Amacıyla Akciğer Desen Analizine Yönelik Yapay Zeka Uygulaması”"/>
    <m/>
    <m/>
    <m/>
    <m/>
    <m/>
    <m/>
    <m/>
    <m/>
    <m/>
    <m/>
  </r>
  <r>
    <m/>
    <m/>
    <x v="221"/>
    <x v="64"/>
    <m/>
    <s v="'Mitral Kapak Replasmanı Sonrası Postoperatif Mitral Gradient ile Kapak Boyutu, Vücut Kitle İndeksi ve Sol Atrium Çapı Arasındakı İlişkinin Retrospektif Analizi''"/>
    <m/>
    <m/>
    <m/>
    <m/>
    <m/>
    <m/>
    <m/>
    <m/>
    <m/>
    <m/>
  </r>
  <r>
    <m/>
    <m/>
    <x v="221"/>
    <x v="64"/>
    <m/>
    <s v="“Preoperatif Uyku Kalitesinin Mandibular Gömülü Üçüncü Molar Diş Çekimi Sonrası Ağrı ve Ödem Üzerine Etkisi”"/>
    <m/>
    <m/>
    <m/>
    <m/>
    <m/>
    <m/>
    <m/>
    <m/>
    <m/>
    <m/>
  </r>
  <r>
    <m/>
    <m/>
    <x v="221"/>
    <x v="64"/>
    <m/>
    <s v="“Aile Hekimliği Uzmanlık Öğrencileri İçin EASM Rotasyonu Öncesi Çevrimiçi Bir Oryantasyon Eğitimi Programının Geliştirilmesi ve Etkinliğinin Değerlendirilmesi”"/>
    <m/>
    <m/>
    <m/>
    <m/>
    <m/>
    <m/>
    <m/>
    <m/>
    <m/>
    <m/>
  </r>
  <r>
    <m/>
    <m/>
    <x v="221"/>
    <x v="64"/>
    <m/>
    <s v="“Nemalin Miyopatisi Olan Hastalar için Çok Merkezli, Prospektif, Uzunlamasına ve Gözlemsel Bir Doğal Seyir Çalışması”"/>
    <m/>
    <m/>
    <m/>
    <m/>
    <m/>
    <m/>
    <m/>
    <m/>
    <m/>
    <m/>
  </r>
  <r>
    <m/>
    <m/>
    <x v="221"/>
    <x v="64"/>
    <m/>
    <s v="“Femur Başı Avasküler Nekrozu Olan Hastalarda Tedavi Modalitelerinin ve Sağkalımın Retrospektif Olarak Değerlendirilmesi”"/>
    <m/>
    <m/>
    <m/>
    <m/>
    <m/>
    <m/>
    <m/>
    <m/>
    <m/>
    <m/>
  </r>
  <r>
    <m/>
    <m/>
    <x v="221"/>
    <x v="64"/>
    <m/>
    <s v="“Çocukluk Çağında Nintedanib Kullanımı: Tek Merkez Deneyimi”"/>
    <m/>
    <m/>
    <m/>
    <m/>
    <m/>
    <m/>
    <m/>
    <m/>
    <m/>
    <m/>
  </r>
  <r>
    <m/>
    <m/>
    <x v="221"/>
    <x v="64"/>
    <m/>
    <s v="“Emzirme Danışmanlığı Merkezi’ne Başvuran Ebeveynlerde Postpartum Depresyon Saptanma Durumunun ve İlişkili Faktörlerin Değerlendirilmesi: Retrospektif Kohort Çalışması”"/>
    <m/>
    <m/>
    <m/>
    <m/>
    <m/>
    <m/>
    <m/>
    <m/>
    <m/>
    <m/>
  </r>
  <r>
    <m/>
    <m/>
    <x v="221"/>
    <x v="64"/>
    <m/>
    <s v="“Tıp Fakültesi ve Beslenme ve Diyetetik Bölümü Öğrencilerinin Hasta Güvenliği ve Mesleklerarası İşbirliği Programına Yönelik Görüşleri”"/>
    <m/>
    <m/>
    <m/>
    <m/>
    <m/>
    <m/>
    <m/>
    <m/>
    <m/>
    <m/>
  </r>
  <r>
    <m/>
    <m/>
    <x v="221"/>
    <x v="64"/>
    <m/>
    <s v="“Çocukluk Çağı Akut Arteriyel İskemik İnme Tanısı Alan Hastalarda Etiyoloji, Tedavi Yaklaşımı ve Nörolojik Sonuçlarının Değerlendirilmesi”"/>
    <m/>
    <m/>
    <m/>
    <m/>
    <m/>
    <m/>
    <m/>
    <m/>
    <m/>
    <m/>
  </r>
  <r>
    <m/>
    <m/>
    <x v="221"/>
    <x v="64"/>
    <m/>
    <s v="“18-49 Yaş Arası Kadınların Birinci Basamakta Yapılan Jinekolojik Muayene Hakkındaki Görüş ve Deneyimleri”"/>
    <m/>
    <m/>
    <m/>
    <m/>
    <m/>
    <m/>
    <m/>
    <m/>
    <m/>
    <m/>
  </r>
  <r>
    <m/>
    <m/>
    <x v="221"/>
    <x v="64"/>
    <m/>
    <s v="“Mesleklerarası İşbirliği Programına Yönelik Öğrenci ve Eğitici Görüşleri: Program Değerlendirme Çalışması”"/>
    <m/>
    <m/>
    <m/>
    <m/>
    <m/>
    <m/>
    <m/>
    <m/>
    <m/>
    <m/>
  </r>
  <r>
    <m/>
    <m/>
    <x v="221"/>
    <x v="64"/>
    <m/>
    <s v="“Asitretin Tedavisi Almış Psoriazis Vulgaris Tanılı Hastalarda FIB-4 Skorunun Retrospektif Değerlendirilmesi”"/>
    <m/>
    <m/>
    <m/>
    <m/>
    <m/>
    <m/>
    <m/>
    <m/>
    <m/>
    <m/>
  </r>
  <r>
    <m/>
    <m/>
    <x v="221"/>
    <x v="64"/>
    <m/>
    <s v="“Klinik Nütrisyon Tedavisinde Hedefe Ulaşmada Önemli Bir Bariyer: Refeedin Sendromu”"/>
    <m/>
    <m/>
    <m/>
    <m/>
    <m/>
    <m/>
    <m/>
    <m/>
    <m/>
    <m/>
  </r>
  <r>
    <m/>
    <m/>
    <x v="221"/>
    <x v="64"/>
    <m/>
    <s v="&quot;İleri Yaşlı Bireylerde Trombosit Lenfosit Oranı ile Disfaji Arasındaki İlişki”"/>
    <m/>
    <m/>
    <m/>
    <m/>
    <m/>
    <m/>
    <m/>
    <m/>
    <m/>
    <m/>
  </r>
  <r>
    <m/>
    <m/>
    <x v="221"/>
    <x v="64"/>
    <m/>
    <s v="“Bruselloz Tanılı Çocukların Sitokin ve Kemokin Yanıtlarının Değerlendirilmesi”"/>
    <m/>
    <m/>
    <m/>
    <m/>
    <m/>
    <m/>
    <m/>
    <m/>
    <m/>
    <m/>
  </r>
  <r>
    <m/>
    <m/>
    <x v="221"/>
    <x v="64"/>
    <m/>
    <s v="“Acil İstenen EEG’lerin Tanısal Değeri ve Tedaviye Katkısı”"/>
    <m/>
    <m/>
    <m/>
    <m/>
    <m/>
    <m/>
    <m/>
    <m/>
    <m/>
    <m/>
  </r>
  <r>
    <m/>
    <m/>
    <x v="221"/>
    <x v="64"/>
    <m/>
    <s v="“Anne Adaylarının İşitme Kaybı Risk Faktörleri ve Erken Korunma Hakkındaki Farkındalıklarının Belirlenmesi ve Eğitimi”"/>
    <m/>
    <m/>
    <m/>
    <m/>
    <m/>
    <m/>
    <m/>
    <m/>
    <m/>
    <m/>
  </r>
  <r>
    <m/>
    <m/>
    <x v="221"/>
    <x v="64"/>
    <m/>
    <s v="“Ekran Maruziyetinin Çocukların İşitme, Konuşma ve Dil Becerilerine Etkisi Konusunda Ebeveyn Farkındalığının İncelenmesi ve Bilgilendirilmesi”"/>
    <m/>
    <m/>
    <m/>
    <m/>
    <m/>
    <m/>
    <m/>
    <m/>
    <m/>
    <m/>
  </r>
  <r>
    <m/>
    <m/>
    <x v="221"/>
    <x v="64"/>
    <m/>
    <s v="“Panoramik Radyografik Görüntüler Kullanılarak Angle Sınıf I, II ve III Malokluzyona Sahip Hastalarda Mandibular Kemik Dansite ve Morfolojisinin Karşılaştırılması”"/>
    <m/>
    <m/>
    <m/>
    <m/>
    <m/>
    <m/>
    <m/>
    <m/>
    <m/>
    <m/>
  </r>
  <r>
    <m/>
    <m/>
    <x v="221"/>
    <x v="64"/>
    <m/>
    <s v="“Uyku Apnesinde Cerrahi Tedavi Olan ve  Pozitif Havayolu Basıncı(CPAP) Cihazı Kullanan Hastalarla, Amelyat Olmadan CPAP Tedavisi Kullanan Hastaların CPAP Basınç ve Titrasyon  Farklılıklarının Saptanması”"/>
    <m/>
    <m/>
    <m/>
    <m/>
    <m/>
    <m/>
    <m/>
    <m/>
    <m/>
    <m/>
  </r>
  <r>
    <m/>
    <m/>
    <x v="221"/>
    <x v="64"/>
    <m/>
    <s v="“Kurtarıcı Kardeş Uygulamasının Etik Boyutları: Uzman Hekimlerin Yaklaşımları”"/>
    <m/>
    <m/>
    <m/>
    <m/>
    <m/>
    <m/>
    <m/>
    <m/>
    <m/>
    <m/>
  </r>
  <r>
    <m/>
    <m/>
    <x v="221"/>
    <x v="64"/>
    <m/>
    <s v="“Membranöz Nefropati Hastalarında Tiroid Kanseri Taramasının Önemi”"/>
    <m/>
    <m/>
    <m/>
    <m/>
    <m/>
    <m/>
    <m/>
    <m/>
    <m/>
    <m/>
  </r>
  <r>
    <m/>
    <m/>
    <x v="221"/>
    <x v="64"/>
    <m/>
    <s v="“Pediatrik Nöroloji Polikliniğinde Nörogenetik Hastalıkların Dağılımı”"/>
    <m/>
    <m/>
    <m/>
    <m/>
    <m/>
    <m/>
    <m/>
    <m/>
    <m/>
    <m/>
  </r>
  <r>
    <m/>
    <m/>
    <x v="221"/>
    <x v="64"/>
    <m/>
    <s v="“ Santral Sinir Sistemi Atipik Demiyelinizan Olgularında Klinik, Radyolojik ve Patolojik Değerlendirme ”"/>
    <m/>
    <m/>
    <m/>
    <m/>
    <m/>
    <m/>
    <m/>
    <m/>
    <m/>
    <m/>
  </r>
  <r>
    <m/>
    <m/>
    <x v="221"/>
    <x v="64"/>
    <m/>
    <s v="&quot;Zigomatikomaksiller Kompleks Fraktürlerinde 2 Nokta ve 3 Nokta Fiksasyonunun Uzun Dönem Stabilite ve Orbital Hacim Açısından Kraniyometrik Analizi&quot;"/>
    <m/>
    <m/>
    <m/>
    <m/>
    <m/>
    <m/>
    <m/>
    <m/>
    <m/>
    <m/>
  </r>
  <r>
    <m/>
    <m/>
    <x v="221"/>
    <x v="64"/>
    <m/>
    <s v="“Kistik Fibrozis Yenidoğan Tarama Programı: 10 Yıllık Retrospektif Analiz ve Tanısal Değerlendirme”"/>
    <m/>
    <m/>
    <m/>
    <m/>
    <m/>
    <m/>
    <m/>
    <m/>
    <m/>
    <m/>
  </r>
  <r>
    <m/>
    <m/>
    <x v="221"/>
    <x v="64"/>
    <m/>
    <s v="“Arttırılmış Eksantrik Yük Uygulamasının Derinlik Sıçraması Üzerine Akut Etkisinin İncelenmesi”"/>
    <m/>
    <m/>
    <m/>
    <m/>
    <m/>
    <m/>
    <m/>
    <m/>
    <m/>
    <m/>
  </r>
  <r>
    <m/>
    <m/>
    <x v="221"/>
    <x v="64"/>
    <m/>
    <s v="“Atopik Dermatit Tanılı Adölesan Hastalarda Menstrüasyon Siklusun Hastalık Aktivitesi Üzerine Etkisi”"/>
    <m/>
    <m/>
    <m/>
    <m/>
    <m/>
    <m/>
    <m/>
    <m/>
    <m/>
    <m/>
  </r>
  <r>
    <m/>
    <m/>
    <x v="221"/>
    <x v="64"/>
    <m/>
    <s v="“Duygusal Zekâ Temelli Etkinliklerin Konuşma Akıcılığına, Duygusal Zekâya ve Beyin Bağlantısallık Ağlarına Etkisi”"/>
    <m/>
    <m/>
    <m/>
    <m/>
    <m/>
    <m/>
    <m/>
    <m/>
    <m/>
    <m/>
  </r>
  <r>
    <m/>
    <m/>
    <x v="221"/>
    <x v="64"/>
    <m/>
    <s v="“Tıp Fakültesi Öğrencilerinin Anatomi Eğitiminde Kullandıkları Yapay Zeka Araçları Hakkındaki Tutum ve Görüşleri”"/>
    <m/>
    <m/>
    <m/>
    <m/>
    <m/>
    <m/>
    <m/>
    <m/>
    <m/>
    <m/>
  </r>
  <r>
    <m/>
    <m/>
    <x v="221"/>
    <x v="64"/>
    <m/>
    <s v="“Erişkin Özofagus Atrezilere Özgü Hayat Kalitesi Anketi”"/>
    <m/>
    <m/>
    <m/>
    <m/>
    <m/>
    <m/>
    <m/>
    <m/>
    <m/>
    <m/>
  </r>
  <r>
    <m/>
    <m/>
    <x v="221"/>
    <x v="64"/>
    <m/>
    <s v="“Atipik Alzheimer Varyantlarında Glimfatik Sistem, Serebral Perfüzyon ve APOE Genotipinin Bütüncül Değerlendirmesi: Pilot Nörogörüntüleme ve Genetik Çalışma”"/>
    <m/>
    <m/>
    <m/>
    <m/>
    <m/>
    <m/>
    <m/>
    <m/>
    <m/>
    <m/>
  </r>
  <r>
    <m/>
    <m/>
    <x v="221"/>
    <x v="64"/>
    <m/>
    <s v="“Özofagus Atrezili Çocuklarda Tekrarlayan Trakeoözofageal Fistüllerin Yönetimi”"/>
    <m/>
    <m/>
    <m/>
    <m/>
    <m/>
    <m/>
    <m/>
    <m/>
    <m/>
    <m/>
  </r>
  <r>
    <m/>
    <m/>
    <x v="221"/>
    <x v="64"/>
    <m/>
    <s v="“Ağır Akciğer Hastalığı Olan Kistik Fibrozis Hastalarında Modulatör Tedavinin Akciğer Nakil Gereksinimine Etkisi: Ulusal Kistik Fibrozis Kayıt Sistemi Verilerinin İncelenmesi”"/>
    <m/>
    <m/>
    <m/>
    <m/>
    <m/>
    <m/>
    <m/>
    <m/>
    <m/>
    <m/>
  </r>
  <r>
    <m/>
    <m/>
    <x v="221"/>
    <x v="64"/>
    <m/>
    <s v="“Tiroid Göz Hastalığında Hastalık Şiddetinin Oftalmolojik ve Ortoptik Klinik Bulgular ile Korelasyonu”"/>
    <m/>
    <m/>
    <m/>
    <m/>
    <m/>
    <m/>
    <m/>
    <m/>
    <m/>
    <m/>
  </r>
  <r>
    <m/>
    <m/>
    <x v="221"/>
    <x v="64"/>
    <m/>
    <s v="“Kemik Tümörleri Nedeniyle Yapılan Segmental Kemik Rezeksiyonları Sonrası Oluşan Defektlerin Otogreft ve Tümör Protezi Yöntemleriyle Rekonstrüksiyonlarının Karşılaştırılması”"/>
    <m/>
    <m/>
    <m/>
    <m/>
    <m/>
    <m/>
    <m/>
    <m/>
    <m/>
    <m/>
  </r>
  <r>
    <m/>
    <m/>
    <x v="221"/>
    <x v="64"/>
    <m/>
    <s v="“5 Yaş Altı Hastalarda İstismar ve İhmal Değerlendirilmesi, Sandığımız Kadar Nadir Mi?”"/>
    <m/>
    <m/>
    <m/>
    <m/>
    <m/>
    <m/>
    <m/>
    <m/>
    <m/>
    <m/>
  </r>
  <r>
    <m/>
    <m/>
    <x v="221"/>
    <x v="64"/>
    <m/>
    <s v="“Konjenital Tibia Psödoartrozunda Ilizarov Tekniği ile Vaskülarize Fibula Grefti Kombinasyonunun Cerrahi Sonuçlarının Değerlendirilmesi”"/>
    <m/>
    <m/>
    <m/>
    <m/>
    <m/>
    <m/>
    <m/>
    <m/>
    <m/>
    <m/>
  </r>
  <r>
    <m/>
    <m/>
    <x v="221"/>
    <x v="64"/>
    <m/>
    <s v="“Geriatrik Popülasyonda Uykusuzluğu Ölçmeye Yönelik Bergen Uykusuzluk Ölçeğinin Türkçe Geçerlik ve Güvenirlik Çalışması”"/>
    <m/>
    <m/>
    <m/>
    <m/>
    <m/>
    <m/>
    <m/>
    <m/>
    <m/>
    <m/>
  </r>
  <r>
    <m/>
    <m/>
    <x v="221"/>
    <x v="64"/>
    <m/>
    <s v="“Legg-Calve-Perthes Hastalığı Olan Çocukların Kalça Eklem Sıvısından Alınan Örneklerinde Mikroorganizma Araştırılması: Karşılaştırmalı Prospektif Çalışma”"/>
    <m/>
    <m/>
    <m/>
    <m/>
    <m/>
    <m/>
    <m/>
    <m/>
    <m/>
    <m/>
  </r>
  <r>
    <m/>
    <m/>
    <x v="221"/>
    <x v="64"/>
    <m/>
    <s v="“Sarkopenik Obezite ile Serum İlişkili İnflamasyon Belirteçlerin İlişkisinin İncelenmesi”"/>
    <m/>
    <m/>
    <m/>
    <m/>
    <m/>
    <m/>
    <m/>
    <m/>
    <m/>
    <m/>
  </r>
  <r>
    <m/>
    <m/>
    <x v="221"/>
    <x v="64"/>
    <m/>
    <s v="“Psoriatik Tırnak ve Onikomikozda Klinik ve Dermoskopik Özelliklerin Karşılaştırılması”"/>
    <m/>
    <m/>
    <m/>
    <m/>
    <m/>
    <m/>
    <m/>
    <m/>
    <m/>
    <m/>
  </r>
  <r>
    <m/>
    <m/>
    <x v="221"/>
    <x v="64"/>
    <m/>
    <s v="“Alerjik ve Alerjik Olmayan Astımlı Çocuklardan İzole Edilen Eozinofillerde Oksidatif Stres Cevap Mekanizmalarının Araştırılması”"/>
    <m/>
    <m/>
    <m/>
    <m/>
    <m/>
    <m/>
    <m/>
    <m/>
    <m/>
    <m/>
  </r>
  <r>
    <m/>
    <m/>
    <x v="221"/>
    <x v="64"/>
    <m/>
    <s v="“İşitme Kayıplı Hastalarda Multidisipliner İmplant Konseyi Kararları ile ChatGPT Yanıtlarının Karşılaştırılması”"/>
    <m/>
    <m/>
    <m/>
    <m/>
    <m/>
    <m/>
    <m/>
    <m/>
    <m/>
    <m/>
  </r>
  <r>
    <m/>
    <m/>
    <x v="221"/>
    <x v="64"/>
    <m/>
    <s v="“Fetal Anemi Nedeniyle İntrauterin Kan Transfüzyonu Yapılan Bebeklerin Kısa ve Uzun Dönem Nörolojik Sonuçlarının Değerlendirmesi”"/>
    <m/>
    <m/>
    <m/>
    <m/>
    <m/>
    <m/>
    <m/>
    <m/>
    <m/>
    <m/>
  </r>
  <r>
    <m/>
    <m/>
    <x v="221"/>
    <x v="64"/>
    <m/>
    <s v="“Pre-menopozal ve Post-menopozal Kadınlarda Odyolojik ve Vestibüler Fonksiyonların Karşılaştırılması”"/>
    <m/>
    <m/>
    <m/>
    <m/>
    <m/>
    <m/>
    <m/>
    <m/>
    <m/>
    <m/>
  </r>
  <r>
    <m/>
    <m/>
    <x v="221"/>
    <x v="64"/>
    <m/>
    <s v="&quot;Serviks Kanserinde Kemoradyoterapi Öncesi ve Sürecindeki Sarkopeni ve Klinik Önemi&quot;"/>
    <m/>
    <m/>
    <m/>
    <m/>
    <m/>
    <m/>
    <m/>
    <m/>
    <m/>
    <m/>
  </r>
  <r>
    <m/>
    <m/>
    <x v="221"/>
    <x v="64"/>
    <m/>
    <s v="“İç Hastalıkları Servislerinde İntravenöz Diüretik Tedavisi Amacıyla Yatan Hipervolemik Hastaların Diüretik Doz Etkinliğinin İdrar Sodyumu İle Değerlendirilmesi”"/>
    <m/>
    <m/>
    <m/>
    <m/>
    <m/>
    <m/>
    <m/>
    <m/>
    <m/>
    <m/>
  </r>
  <r>
    <m/>
    <m/>
    <x v="221"/>
    <x v="64"/>
    <m/>
    <s v="“Yoğun Bakım Ünitesinde İntravenöz Sıvı Kullanımının Değerlendirilmesi”"/>
    <m/>
    <m/>
    <m/>
    <m/>
    <m/>
    <m/>
    <m/>
    <m/>
    <m/>
    <m/>
  </r>
  <r>
    <m/>
    <m/>
    <x v="221"/>
    <x v="64"/>
    <m/>
    <s v="“Konservatif Tedaviye Dirençli Periartiküler Kas İskelet Sistemi Hastalıklarında Fonksiyon Kısıtlayıcı Semptomların Transarteriyel Periartiküler Embolizasyon (TAPE) Tedavisi Sonrası Yanıt Değerlendirilemesi ”"/>
    <m/>
    <m/>
    <m/>
    <m/>
    <m/>
    <m/>
    <m/>
    <m/>
    <m/>
    <m/>
  </r>
  <r>
    <m/>
    <m/>
    <x v="221"/>
    <x v="64"/>
    <m/>
    <s v="“Klasik Hodgkin Lenfoma Hastalarında İlk Basamak ve Kurtarma Tedavilerinin Karşılaştırılması”"/>
    <m/>
    <m/>
    <m/>
    <m/>
    <m/>
    <m/>
    <m/>
    <m/>
    <m/>
    <m/>
  </r>
  <r>
    <m/>
    <m/>
    <x v="221"/>
    <x v="64"/>
    <m/>
    <s v="''Pulmoner Kapak Replasmanı Yapılan Hastaların Uzun Dönem Sonuçlarının İzlenmesi ve Bunların Maliyet Analizi Sonuçlarının Araştırılması''"/>
    <m/>
    <m/>
    <m/>
    <m/>
    <m/>
    <m/>
    <m/>
    <m/>
    <m/>
    <m/>
  </r>
  <r>
    <m/>
    <m/>
    <x v="221"/>
    <x v="64"/>
    <m/>
    <s v="“Klozapinle İlişkili Nötropeni İçin Aday İmmun Biyobelirteçlerin Araştırılması”"/>
    <m/>
    <m/>
    <m/>
    <m/>
    <m/>
    <m/>
    <m/>
    <m/>
    <m/>
    <m/>
  </r>
  <r>
    <m/>
    <m/>
    <x v="221"/>
    <x v="64"/>
    <m/>
    <s v="“Kronik Plak Tip Psöriazis Vulgaris Tanılı Çoklu Biyolojik Tedavi Dirençli Hastaların Demografik Özellikleri, Klinik Özellikleri ve Komorbiditelerinin İncelenmesinın”"/>
    <m/>
    <m/>
    <m/>
    <m/>
    <m/>
    <m/>
    <m/>
    <m/>
    <m/>
    <m/>
  </r>
  <r>
    <m/>
    <m/>
    <x v="221"/>
    <x v="64"/>
    <m/>
    <s v="“Mylohyoid Kas Transpozisyonunun Fasial Reanimasyondaki Potansiyeli: Kadavra Çalışması”"/>
    <m/>
    <m/>
    <m/>
    <m/>
    <m/>
    <m/>
    <m/>
    <m/>
    <m/>
    <m/>
  </r>
  <r>
    <m/>
    <m/>
    <x v="221"/>
    <x v="64"/>
    <m/>
    <s v="“Superior ve İnferior Labial Arterlerin Vermilion Sınırındaki Derinliklerinin ve Konumunun Ölçümü: Kadavra Çalışması”"/>
    <m/>
    <m/>
    <m/>
    <m/>
    <m/>
    <m/>
    <m/>
    <m/>
    <m/>
    <m/>
  </r>
  <r>
    <m/>
    <m/>
    <x v="221"/>
    <x v="64"/>
    <m/>
    <s v="“İmmünsüpresif Tedavi Öncesi HBV Serolojik Durumuna Göre Alınan Klinik Kararların ve Antiviral Kullanımının Uluslararası ve Ulusal Rehberlerle Uyumu: Tek Merkez Gerçek Yaşam Verilerinin Analizi”"/>
    <m/>
    <m/>
    <m/>
    <m/>
    <m/>
    <m/>
    <m/>
    <m/>
    <m/>
    <m/>
  </r>
  <r>
    <m/>
    <m/>
    <x v="221"/>
    <x v="64"/>
    <m/>
    <s v="&quot;Astımlı Hastalarda Otonom Disfonksiyon ve Termoregülasyon Bozukluklarının Klinik ve Proteomik Etkileri”"/>
    <m/>
    <m/>
    <m/>
    <m/>
    <m/>
    <m/>
    <m/>
    <m/>
    <m/>
    <m/>
  </r>
  <r>
    <m/>
    <m/>
    <x v="221"/>
    <x v="64"/>
    <m/>
    <s v="“Over Kanseri Hastalarında Primer Debulking Cerrahisi Yapılan ve Neoadjuvan Kemoterapi Alanlarda Gelişen Venöz Tromboembolik Olaylar, Risk Faktörleri, Sağkalım ve Profilaksi Uygulamalarının Retrospektif Olarak Araştırılması”"/>
    <m/>
    <m/>
    <m/>
    <m/>
    <m/>
    <m/>
    <m/>
    <m/>
    <m/>
    <m/>
  </r>
  <r>
    <m/>
    <m/>
    <x v="221"/>
    <x v="64"/>
    <m/>
    <s v="“Kistik Fibrozis Hastalarında Balgam Kültüründe Kronik Candida Kolonizasyonunun Solunum Fonksiyonları, Klinik ve Laboratuar Parametreleri Üzerine Olan Etkilerinin Değerlendirilmesi”"/>
    <m/>
    <m/>
    <m/>
    <m/>
    <m/>
    <m/>
    <m/>
    <m/>
    <m/>
    <m/>
  </r>
  <r>
    <m/>
    <m/>
    <x v="221"/>
    <x v="64"/>
    <m/>
    <s v="“İleri Evre Over Kanserinde Pelvik Sitoredüksiyon için Pelvik Peritonektomi Yapılan Hastalar ile Rektosigmoid Rezeksiyon Yapılan Hastalar Arasındaki Pelvik Nüks ve Sağ Kalım Oranlarının Karşılaştırılması”"/>
    <m/>
    <m/>
    <m/>
    <m/>
    <m/>
    <m/>
    <m/>
    <m/>
    <m/>
    <m/>
  </r>
  <r>
    <m/>
    <m/>
    <x v="221"/>
    <x v="64"/>
    <m/>
    <s v="“Obezite Hastalığının Oküler Yüzey Üzerindeki Etkilerinin Değerlendirilmesi”"/>
    <m/>
    <m/>
    <m/>
    <m/>
    <m/>
    <m/>
    <m/>
    <m/>
    <m/>
    <m/>
  </r>
  <r>
    <m/>
    <m/>
    <x v="221"/>
    <x v="64"/>
    <m/>
    <s v="“Ergenlerde Dayanıklılık ile İlişkili Etkenlerin İncelenmesi”"/>
    <m/>
    <m/>
    <m/>
    <m/>
    <m/>
    <m/>
    <m/>
    <m/>
    <m/>
    <m/>
  </r>
  <r>
    <m/>
    <m/>
    <x v="221"/>
    <x v="64"/>
    <m/>
    <s v="“Renal Amiloidozda Prognozu Etkileyen Faktörler: 25 Yıllık Tek Merkez Deneyimi”"/>
    <m/>
    <m/>
    <m/>
    <m/>
    <m/>
    <m/>
    <m/>
    <m/>
    <m/>
    <m/>
  </r>
  <r>
    <m/>
    <m/>
    <x v="221"/>
    <x v="64"/>
    <m/>
    <s v="“Glomerulonefritlerin Gebelik Süreci, Maternal ve Fetal Sonlanıma Etkisi”"/>
    <m/>
    <m/>
    <m/>
    <m/>
    <m/>
    <m/>
    <m/>
    <m/>
    <m/>
    <m/>
  </r>
  <r>
    <m/>
    <m/>
    <x v="221"/>
    <x v="64"/>
    <m/>
    <s v="“Serbest Diş Eti Grefti Alınan Lateral Damak Bölgesine Farklı Ajanlar Uygulanmış Hastaların Verilerinin Karşılaştırılmalı Olarak İncelenmesi”"/>
    <m/>
    <m/>
    <m/>
    <m/>
    <m/>
    <m/>
    <m/>
    <m/>
    <m/>
    <m/>
  </r>
  <r>
    <m/>
    <m/>
    <x v="221"/>
    <x v="64"/>
    <m/>
    <s v="“Klozapine Yanıt ile Yan Etkiler Arasındaki İlişkinin İncelenmesi: Geriye Dönük Bir Çalışma”"/>
    <m/>
    <m/>
    <m/>
    <m/>
    <m/>
    <m/>
    <m/>
    <m/>
    <m/>
    <m/>
  </r>
  <r>
    <m/>
    <m/>
    <x v="221"/>
    <x v="64"/>
    <m/>
    <s v="“Metabolik Disfonksiyonla İlişkili Steatotik Karaciğer Hastalığı (MASLD) Etiyopatogenezinde Safra Asidi Metabolitleri ve Metabolomik Analizi”"/>
    <m/>
    <m/>
    <m/>
    <m/>
    <m/>
    <m/>
    <m/>
    <m/>
    <m/>
    <m/>
  </r>
  <r>
    <m/>
    <m/>
    <x v="221"/>
    <x v="64"/>
    <m/>
    <s v="&quot;U14 Su Topu Oyuncularında Enerji Dengesi ve Bazı Performans Parametrelerinin Belirlenmesi&quot;"/>
    <m/>
    <m/>
    <m/>
    <m/>
    <m/>
    <m/>
    <m/>
    <m/>
    <m/>
    <m/>
  </r>
  <r>
    <m/>
    <m/>
    <x v="221"/>
    <x v="64"/>
    <m/>
    <s v="“Gıda Sağlığı ile İlgili Olan Profesyonellerin Gıda İnfodemisi Hakkındaki Görüş ve Deneyimleri: Niteliksel Bir Çalışma”"/>
    <m/>
    <m/>
    <m/>
    <m/>
    <m/>
    <m/>
    <m/>
    <m/>
    <m/>
    <m/>
  </r>
  <r>
    <m/>
    <m/>
    <x v="221"/>
    <x v="64"/>
    <m/>
    <s v="“Larinks Patolojilerinin Malignleşme Sürecinde SERPİNE1'in Rolü”"/>
    <m/>
    <m/>
    <m/>
    <m/>
    <m/>
    <m/>
    <m/>
    <m/>
    <m/>
    <m/>
  </r>
  <r>
    <m/>
    <m/>
    <x v="221"/>
    <x v="64"/>
    <m/>
    <s v="“Kalsiyum (Ca2+) ve Magnezyum (Mg2+) İlişkili İmmün Yetmezliklerde Fonksiyonel ve Klinik Özellikler”"/>
    <m/>
    <m/>
    <m/>
    <m/>
    <m/>
    <m/>
    <m/>
    <m/>
    <m/>
    <m/>
  </r>
  <r>
    <m/>
    <m/>
    <x v="221"/>
    <x v="64"/>
    <m/>
    <s v="“SCN5A Varyantı Saptanan Hastaların Klinik ve Moleküler Bulgularının Değerlendirilmesi”"/>
    <m/>
    <m/>
    <m/>
    <m/>
    <m/>
    <m/>
    <m/>
    <m/>
    <m/>
    <m/>
  </r>
  <r>
    <m/>
    <m/>
    <x v="221"/>
    <x v="64"/>
    <m/>
    <s v="“Gelişimsel Açıdan Riskli Çocuklarda 4–6 Yaş Arasında Öğrenme Güçlüğü Belirtilerinin Taranması ve Risk Etkenleriyle İlişkisinin Belirlenmesi”"/>
    <m/>
    <m/>
    <m/>
    <m/>
    <m/>
    <m/>
    <m/>
    <m/>
    <m/>
    <m/>
  </r>
  <r>
    <m/>
    <m/>
    <x v="221"/>
    <x v="64"/>
    <m/>
    <s v="“Akondroplazili Çocuk Hastalarda Uyku ile İlişkili Solunum Bozukluklarının ve Polisomnografi Bulgularının Değerlendirilmesi”"/>
    <m/>
    <m/>
    <m/>
    <m/>
    <m/>
    <m/>
    <m/>
    <m/>
    <m/>
    <m/>
  </r>
  <r>
    <m/>
    <m/>
    <x v="221"/>
    <x v="64"/>
    <m/>
    <s v="“Skleroderma Tanılı Olgu ve Bireylerin Biyopsikososyal Durumları ile Çiğneme-Yutma Performansları Arasındaki İlişkinin Araştırılması”"/>
    <m/>
    <m/>
    <m/>
    <m/>
    <m/>
    <m/>
    <m/>
    <m/>
    <m/>
    <m/>
  </r>
  <r>
    <m/>
    <m/>
    <x v="221"/>
    <x v="64"/>
    <m/>
    <s v="“Skleroderma Tanılı Olgu ve Bireylerin Biyopsikososyal Durumları ile Fiziksel Performans ve Fonksiyonellikleri Arasındaki İlişkinin Araştırılması”"/>
    <m/>
    <m/>
    <m/>
    <m/>
    <m/>
    <m/>
    <m/>
    <m/>
    <m/>
    <m/>
  </r>
  <r>
    <m/>
    <m/>
    <x v="221"/>
    <x v="64"/>
    <m/>
    <s v="“JİA Tanılı Olgularda Ebeveynlerin Bildirdiği Ağrıyı Felaketleştirme Durumuna Göre Biyopsikososyal Özelliklerin İncelenmesi”"/>
    <m/>
    <m/>
    <m/>
    <m/>
    <m/>
    <m/>
    <m/>
    <m/>
    <m/>
    <m/>
  </r>
  <r>
    <m/>
    <m/>
    <x v="221"/>
    <x v="64"/>
    <m/>
    <s v="“Üst Ekstremite Deri Kalınlığının Hasta Tarafından Kendi Kendine Değerlendirilmesi Anketinin Türkçe Versiyonunun Kültürel Adaptasyonu, Geçerliği ve Güvenirliğinin İncelenmesi”"/>
    <m/>
    <m/>
    <m/>
    <m/>
    <m/>
    <m/>
    <m/>
    <m/>
    <m/>
    <m/>
  </r>
  <r>
    <m/>
    <m/>
    <x v="221"/>
    <x v="64"/>
    <m/>
    <s v="“Nazal Septal Perforasyon Onarımının Hastaların Nazal Hava Akımı ve Yaşam Kalitesi Üzerine Olan Etkisinin Değerlendirilmesi”"/>
    <m/>
    <m/>
    <m/>
    <m/>
    <m/>
    <m/>
    <m/>
    <m/>
    <m/>
    <m/>
  </r>
  <r>
    <m/>
    <m/>
    <x v="221"/>
    <x v="64"/>
    <m/>
    <s v="“Kistik Fibrozis Transmembran Regülatör Protein-İlişkili Hastalık Tanılı Çocuk Hastalarımızın Klinik ve Radyolojik Özellikleri”"/>
    <m/>
    <m/>
    <m/>
    <m/>
    <m/>
    <m/>
    <m/>
    <m/>
    <m/>
    <m/>
  </r>
  <r>
    <m/>
    <m/>
    <x v="221"/>
    <x v="64"/>
    <m/>
    <s v="“Çocukluk Çağı Sinoviyal Sarkom Olgularının Retrospektif Değerlendrilmesi”"/>
    <m/>
    <m/>
    <m/>
    <m/>
    <m/>
    <m/>
    <m/>
    <m/>
    <m/>
    <m/>
  </r>
  <r>
    <m/>
    <m/>
    <x v="221"/>
    <x v="64"/>
    <m/>
    <s v="“Spinal Musküler Atrofi Tanılı Hastalarda Kemik Sağlığının Retrospektif Olarak Değerlendirilmesi”"/>
    <m/>
    <m/>
    <m/>
    <m/>
    <m/>
    <m/>
    <m/>
    <m/>
    <m/>
    <m/>
  </r>
  <r>
    <m/>
    <m/>
    <x v="221"/>
    <x v="64"/>
    <m/>
    <s v="“Griscelli Sendromu Tanısı Alan Hastaların Klinik ve Laboratuvar Özelliklerinin Değerelnedirilmesi”"/>
    <m/>
    <m/>
    <m/>
    <m/>
    <m/>
    <m/>
    <m/>
    <m/>
    <m/>
    <m/>
  </r>
  <r>
    <m/>
    <m/>
    <x v="221"/>
    <x v="64"/>
    <m/>
    <s v="“Stres, Cinsiyet ve Menstrual Döngünün, Tıkınırcasına Yeme Bozukluğu ve Uyku Kalitesi ile İlişkisinin İncelenmesi”"/>
    <m/>
    <m/>
    <m/>
    <m/>
    <m/>
    <m/>
    <m/>
    <m/>
    <m/>
    <m/>
  </r>
  <r>
    <m/>
    <m/>
    <x v="221"/>
    <x v="64"/>
    <m/>
    <s v="“Otizm Tanılı Ergenlerin Ebeveynlerinin Tükenmişlik ve Damgalanma Algısının Bilinçli Farkındalık Aracılığıyla Ergenlerin Psikososyal İyilik Hali Üzerine Etkisi”"/>
    <m/>
    <m/>
    <m/>
    <m/>
    <m/>
    <m/>
    <m/>
    <m/>
    <m/>
    <m/>
  </r>
  <r>
    <m/>
    <m/>
    <x v="221"/>
    <x v="64"/>
    <m/>
    <s v="“LeFort I Cerrahisi Uygulanan Hastalarda Maksiller Sinüs Membran Kalınlığı ve Sinüs Sağlığının Değerlendirilmesi”"/>
    <m/>
    <m/>
    <m/>
    <m/>
    <m/>
    <m/>
    <m/>
    <m/>
    <m/>
    <m/>
  </r>
  <r>
    <m/>
    <m/>
    <x v="221"/>
    <x v="64"/>
    <m/>
    <s v="&quot;Tiroid İnce İğne Aspirasyon Sitolojisinde Dijital Sitopatoloji ile Konvansiyonel Işık Mikroskobu Değerlendirmesinin Karşılaştırmalı Analizi: Belirsiz Kategorilere Odaklanarak&quot;"/>
    <m/>
    <m/>
    <m/>
    <m/>
    <m/>
    <m/>
    <m/>
    <m/>
    <m/>
    <m/>
  </r>
  <r>
    <m/>
    <m/>
    <x v="221"/>
    <x v="64"/>
    <m/>
    <s v="&quot;Yoğun Bakım Sonrası İzlem Polikliniğinde Takip Edilen Hastaların Demografik ve Klinik Özelliklerinin İncelenmesi &quot;"/>
    <m/>
    <m/>
    <m/>
    <m/>
    <m/>
    <m/>
    <m/>
    <m/>
    <m/>
    <m/>
  </r>
  <r>
    <m/>
    <m/>
    <x v="221"/>
    <x v="64"/>
    <m/>
    <s v="“Benign Histerektomi Öncesi Video Bilgilendirmesinin Anksiyete Düzeyine Etkisi”"/>
    <m/>
    <m/>
    <m/>
    <m/>
    <m/>
    <m/>
    <m/>
    <m/>
    <m/>
    <m/>
  </r>
  <r>
    <m/>
    <m/>
    <x v="221"/>
    <x v="64"/>
    <m/>
    <s v="“Ankara, Türkiye'deki Sahra Altı Afrikalı Üniversite Öğrencileri Arasında Sağlık Durumu, Sağlık Hizmetlerine Erişim, Sağlık Okuryazarlığı Düzeyi ve İlişkili Faktörlerin Belirlenmesi Araştırması”"/>
    <m/>
    <m/>
    <m/>
    <m/>
    <m/>
    <m/>
    <m/>
    <m/>
    <m/>
    <m/>
  </r>
  <r>
    <m/>
    <m/>
    <x v="221"/>
    <x v="64"/>
    <m/>
    <s v="“PIDCAP Skorlama Sisteminin Kronik Granülomatöz Hastalık Tanısı Olan Hastalarda Değerlendirilmesi”"/>
    <m/>
    <m/>
    <m/>
    <m/>
    <m/>
    <m/>
    <m/>
    <m/>
    <m/>
    <m/>
  </r>
  <r>
    <m/>
    <m/>
    <x v="221"/>
    <x v="64"/>
    <m/>
    <s v="“İmmünoterapilere Bağlı Endokrin Yan Etkiler ve Endokrinolojiye Yönlendirme Pratiklerinin Değerlendirilmesi”"/>
    <m/>
    <m/>
    <m/>
    <m/>
    <m/>
    <m/>
    <m/>
    <m/>
    <m/>
    <m/>
  </r>
  <r>
    <m/>
    <m/>
    <x v="221"/>
    <x v="64"/>
    <m/>
    <s v="“Yeme Bozukluğu Olan Ergende Tütün, Alkol ve Madde Kullanım Sıklığı ile Hastalık Şiddeti Arasındaki İlişkinin İncelenmesi”"/>
    <m/>
    <m/>
    <m/>
    <m/>
    <m/>
    <m/>
    <m/>
    <m/>
    <m/>
    <m/>
  </r>
  <r>
    <m/>
    <m/>
    <x v="221"/>
    <x v="64"/>
    <m/>
    <s v="“Uterin Serviksin İnvaziv Stratifiye Müsin Üreten Karsinomu: Klinikopatolojik Bulguların ve Prognostik Faktörlerin Değerlendirilmesi”"/>
    <m/>
    <m/>
    <m/>
    <m/>
    <m/>
    <m/>
    <m/>
    <m/>
    <m/>
    <m/>
  </r>
  <r>
    <m/>
    <m/>
    <x v="221"/>
    <x v="64"/>
    <m/>
    <s v="“Uluslararası İnkontinans Konsültasyonu– Az Aktif Mesane Anketi’nin Türkçe Geçerlik ve Güvenirlik Çalışması”"/>
    <m/>
    <m/>
    <m/>
    <m/>
    <m/>
    <m/>
    <m/>
    <m/>
    <m/>
    <m/>
  </r>
  <r>
    <m/>
    <m/>
    <x v="221"/>
    <x v="64"/>
    <m/>
    <s v="“Böbrek Biyopsilerinde Lupus Nefriti NIH Skorlamasının Dil Modeli ile Otomatikleştirilmesi ve Patolog Değerlendirmesi ile Karşılaştırılması”"/>
    <m/>
    <m/>
    <m/>
    <m/>
    <m/>
    <m/>
    <m/>
    <m/>
    <m/>
    <m/>
  </r>
  <r>
    <m/>
    <m/>
    <x v="221"/>
    <x v="64"/>
    <m/>
    <s v="“Şeffaf Plak Tedavilerinde Refinement Aşamasında Tekrarlayan Ataşman Debonding İşleminin Mine Yüzeyine Etkilerinin 3 Boyutlu Olarak İncelenmesi: In-Vitro Çalışma”"/>
    <m/>
    <m/>
    <m/>
    <m/>
    <m/>
    <m/>
    <m/>
    <m/>
    <m/>
    <m/>
  </r>
  <r>
    <m/>
    <m/>
    <x v="221"/>
    <x v="64"/>
    <m/>
    <s v="“Kistik Fibrozis, Primer Siliyer Diskinezi ve Astım Tanılı Çocukların Solunum Fonksiyon Testlerinin; Spirometri, Akciğer Temizleme İndeksi ve İmpuls Osilometri ile Değerlendirilmesi ve Parametreler Arasındaki İlişkilerin İncelenmesi”"/>
    <m/>
    <m/>
    <m/>
    <m/>
    <m/>
    <m/>
    <m/>
    <m/>
    <m/>
    <m/>
  </r>
  <r>
    <m/>
    <m/>
    <x v="221"/>
    <x v="64"/>
    <m/>
    <s v="“IgA Nefropatisi Oxford (MEST-C) Skorlamasında Dil Modeli Çıktılarının Patolog Değerlendirmeleriyle Karşılaştırılması ve Standardizasyona Yönelik Potansiyelinin Araştırılması”"/>
    <m/>
    <m/>
    <m/>
    <m/>
    <m/>
    <m/>
    <m/>
    <m/>
    <m/>
    <m/>
  </r>
  <r>
    <m/>
    <m/>
    <x v="221"/>
    <x v="64"/>
    <m/>
    <s v="“Üst Aerodigestif Sistem Mukozal Lezyonların Analizinde Dar Bant Görüntülemenin Yeri, Verilerin Histopatolojik İnceleme ile Karşılaştırılması”"/>
    <m/>
    <m/>
    <m/>
    <m/>
    <m/>
    <m/>
    <m/>
    <m/>
    <m/>
    <m/>
  </r>
  <r>
    <m/>
    <m/>
    <x v="221"/>
    <x v="64"/>
    <m/>
    <s v="“Fetal Kardiyak Girişim Yapılan Fetuslarda Prenatal Dönemde Yapılan Ekstremite Dopplerlerinin Longitudinal İzlemi ve Perinatal Sonuçlarla İlişkisi”"/>
    <m/>
    <m/>
    <m/>
    <m/>
    <m/>
    <m/>
    <m/>
    <m/>
    <m/>
    <m/>
  </r>
  <r>
    <m/>
    <m/>
    <x v="221"/>
    <x v="64"/>
    <m/>
    <s v="“Anti-TNF Tedavi Sürecinde Çekilen Akciğer Grafilerinin Yapay Zeka Destekli Değerlendirmesinin, Klinisyen Değerlendirmesi ile Karşılaştırması ve Klinik Uygulamalara Entegrasyonunun İncelenmesi”"/>
    <m/>
    <m/>
    <m/>
    <m/>
    <m/>
    <m/>
    <m/>
    <m/>
    <m/>
    <m/>
  </r>
  <r>
    <m/>
    <m/>
    <x v="221"/>
    <x v="64"/>
    <m/>
    <s v="“Küçük Hücreli Akciğer Karsinomunda Moleküler Alt Tiplerin ASCL1, NEUROD1, POU2F3 ve YAP1 İmmünohistokimyasal Ekspresyonuna Göre Sınıflandırılması ve Klinik Önemi”"/>
    <m/>
    <m/>
    <m/>
    <m/>
    <m/>
    <m/>
    <m/>
    <m/>
    <m/>
    <m/>
  </r>
  <r>
    <m/>
    <m/>
    <x v="221"/>
    <x v="64"/>
    <m/>
    <s v="“Multipl Sklerozda Telomer Uzunluğu, p16INK4a İfadesi ve İleri Beyin MR Görüntülemeleri ile Hastalık Progresyonu Arasındaki İlişkinin Prospektif İncelenmesi”"/>
    <m/>
    <m/>
    <m/>
    <m/>
    <m/>
    <m/>
    <m/>
    <m/>
    <m/>
    <m/>
  </r>
  <r>
    <m/>
    <m/>
    <x v="221"/>
    <x v="64"/>
    <m/>
    <s v="“Türkiye’deki Çocukluk Çağı İnterstisiyel Akciğer Hastalığı Tanısıyla İzlenen Hastaların Demografik ve Klinik Özelliklerinin REDCap Veri Tabanına Kaydedilmesi (chILD Türkiye) ve Verilerin Değerlendirilmesi”"/>
    <m/>
    <m/>
    <m/>
    <m/>
    <m/>
    <m/>
    <m/>
    <m/>
    <m/>
    <m/>
  </r>
  <r>
    <m/>
    <m/>
    <x v="221"/>
    <x v="64"/>
    <m/>
    <s v="“Taburculuk Sonrası Bakım Geçiş Kalitesinin Değerlendirilmesi: Çok Boyutlu Bir Ölçüm Yaklaşımı”"/>
    <m/>
    <m/>
    <m/>
    <m/>
    <m/>
    <m/>
    <m/>
    <m/>
    <m/>
    <m/>
  </r>
  <r>
    <m/>
    <m/>
    <x v="221"/>
    <x v="64"/>
    <m/>
    <s v="“Geç Preterm Gebeliklerde Antenatal Kortikosteroid Uygulamasının Neonatal Hipoglisemi ve Klinik Sonuçlara Etkisi”"/>
    <m/>
    <m/>
    <m/>
    <m/>
    <m/>
    <m/>
    <m/>
    <m/>
    <m/>
    <m/>
  </r>
  <r>
    <m/>
    <m/>
    <x v="221"/>
    <x v="64"/>
    <m/>
    <s v="“Oral Biyopsi Uygulanan Hastalarda Anksiyete ve Ağrı Düzeylerinin Değerlendirilmesi”"/>
    <m/>
    <m/>
    <m/>
    <m/>
    <m/>
    <m/>
    <m/>
    <m/>
    <m/>
    <m/>
  </r>
  <r>
    <m/>
    <m/>
    <x v="221"/>
    <x v="64"/>
    <m/>
    <s v="“İdiopatik İzole Ekstrakraniyal İnternal Karotis Arter Vazospazmında Tedavi Seçenekleri ve Prognoza Etkileri”"/>
    <m/>
    <m/>
    <m/>
    <m/>
    <m/>
    <m/>
    <m/>
    <m/>
    <m/>
    <m/>
  </r>
  <r>
    <m/>
    <m/>
    <x v="221"/>
    <x v="64"/>
    <m/>
    <s v="“Yüzücülerde Ultrason ve Güç Ölçümleri ile Omuz Yaralanma Profili Çıkarılması”"/>
    <m/>
    <m/>
    <m/>
    <m/>
    <m/>
    <m/>
    <m/>
    <m/>
    <m/>
    <m/>
  </r>
  <r>
    <m/>
    <m/>
    <x v="221"/>
    <x v="64"/>
    <m/>
    <s v="“Seçilmiş Nöroloji Olgularının Klinik Seyir ve Tedavi-Prognozuna Yönelik Olgu Temelli Derlemesi”"/>
    <m/>
    <m/>
    <m/>
    <m/>
    <m/>
    <m/>
    <m/>
    <m/>
    <m/>
    <m/>
  </r>
  <r>
    <m/>
    <m/>
    <x v="221"/>
    <x v="64"/>
    <m/>
    <s v="“Büllöz Pemfigoid Tanılı Hastalarda Omalizumab Tedavisinin Yanıtlarının Değerlendirilmesi&quot;"/>
    <m/>
    <m/>
    <m/>
    <m/>
    <m/>
    <m/>
    <m/>
    <m/>
    <m/>
    <m/>
  </r>
  <r>
    <m/>
    <m/>
    <x v="221"/>
    <x v="64"/>
    <m/>
    <s v="&quot;Çocukluk Çağında Matür T/NK Hücreli Lenfomalar : Hacettepe Deneyimi&quot;"/>
    <m/>
    <m/>
    <m/>
    <m/>
    <m/>
    <m/>
    <m/>
    <m/>
    <m/>
    <m/>
  </r>
  <r>
    <m/>
    <m/>
    <x v="221"/>
    <x v="64"/>
    <m/>
    <s v="“Kronik Miyeloid Lösemi Hastalarında Tirozin Kinaz Kullanımı İlişkili Proteinüri Gelişimini Etkileyen Faktörlerin İncelenmesi”"/>
    <m/>
    <m/>
    <m/>
    <m/>
    <m/>
    <m/>
    <m/>
    <m/>
    <m/>
    <m/>
  </r>
  <r>
    <m/>
    <m/>
    <x v="221"/>
    <x v="64"/>
    <m/>
    <s v="“Stajyer Diş Hekimlerinde Maket Üzerinde Sütur Eğitiminin Etkinliği ve Memnuniyetinin Değerlendirilmesi&quot;"/>
    <m/>
    <m/>
    <m/>
    <m/>
    <m/>
    <m/>
    <m/>
    <m/>
    <m/>
    <m/>
  </r>
  <r>
    <m/>
    <m/>
    <x v="221"/>
    <x v="64"/>
    <m/>
    <s v="“Preklinik Endodonti Eğitiminde 3D Baskılı Modeller: Öğrenci Perspektifinden Bir Değerlendirme”"/>
    <m/>
    <m/>
    <m/>
    <m/>
    <m/>
    <m/>
    <m/>
    <m/>
    <m/>
    <m/>
  </r>
  <r>
    <m/>
    <m/>
    <x v="221"/>
    <x v="64"/>
    <m/>
    <s v="“Koklear İmplant ile İlgili Tüm Soruların ChatGPT Yanıtlarının Kulak Burun Boğaz Uzmanları Tarafından Değerlendirilmesi”"/>
    <m/>
    <m/>
    <m/>
    <m/>
    <m/>
    <m/>
    <m/>
    <m/>
    <m/>
    <m/>
  </r>
  <r>
    <m/>
    <m/>
    <x v="221"/>
    <x v="64"/>
    <m/>
    <s v="“Susam Alerjisi Olan Çocuklarda Oral İmmünoterapinin Güvenliği ve Yaşam Kalitesi Üzerine Etkilerinin Değerlendirilmesi''"/>
    <m/>
    <m/>
    <m/>
    <m/>
    <m/>
    <m/>
    <m/>
    <m/>
    <m/>
    <m/>
  </r>
  <r>
    <m/>
    <m/>
    <x v="221"/>
    <x v="64"/>
    <m/>
    <s v="“Çocukluk Çağı Over Kistadenomları: Hacettepe Deneyimi”"/>
    <m/>
    <m/>
    <m/>
    <m/>
    <m/>
    <m/>
    <m/>
    <m/>
    <m/>
    <m/>
  </r>
  <r>
    <m/>
    <m/>
    <x v="221"/>
    <x v="64"/>
    <m/>
    <s v="“Sigara İçen Bireylerde Fonksiyonel Yakın Kızılötesi Spektroskopisi Kullanılarak Fonksiyonel Bağlantısallığın ve Kalp Hızı Değişkenliğinin İncelenmesi”"/>
    <m/>
    <m/>
    <m/>
    <m/>
    <m/>
    <m/>
    <m/>
    <m/>
    <m/>
    <m/>
  </r>
  <r>
    <m/>
    <m/>
    <x v="221"/>
    <x v="64"/>
    <m/>
    <s v="“Malignite Tanısı Alan Primer İmmün Yetmezlikli Hastaların Klinik ve Laboratuvar Özelliklerinin Değerlendirilmesi ”"/>
    <m/>
    <m/>
    <m/>
    <m/>
    <m/>
    <m/>
    <m/>
    <m/>
    <m/>
    <m/>
  </r>
  <r>
    <m/>
    <m/>
    <x v="221"/>
    <x v="64"/>
    <m/>
    <s v="“Çene Bölgesi Patolojik Lezyonların CBCT Görüntülerinde Yapay Zeka Tabanlı Otomatik Tanısı: Derin Öğrenme Yaklaşımı”"/>
    <m/>
    <m/>
    <m/>
    <m/>
    <m/>
    <m/>
    <m/>
    <m/>
    <m/>
    <m/>
  </r>
  <r>
    <m/>
    <m/>
    <x v="221"/>
    <x v="64"/>
    <m/>
    <s v="“Endoskopik Endonazal ya da Transkonjonktival Yaklaşımla Optik Sinir Dekompresyonu ve/veya Optik Sinir Kılıf Fenestrasyonu Yapılan Olgularda Sonuçların Karşılaştırılması”"/>
    <m/>
    <m/>
    <m/>
    <m/>
    <m/>
    <m/>
    <m/>
    <m/>
    <m/>
    <m/>
  </r>
  <r>
    <m/>
    <m/>
    <x v="221"/>
    <x v="64"/>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21"/>
    <x v="64"/>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21"/>
    <x v="64"/>
    <m/>
    <s v="“Dijital Fotoğraf Tabanlı Renk Analizi ile Gingival İndeksin Belirlenmesi: Klinik Sağlık, Gingivitis ve Periodontitis Vakalarının Karşılaştırılması”"/>
    <m/>
    <m/>
    <m/>
    <m/>
    <m/>
    <m/>
    <m/>
    <m/>
    <m/>
    <m/>
  </r>
  <r>
    <m/>
    <m/>
    <x v="221"/>
    <x v="64"/>
    <m/>
    <s v="“İnme Hastalarında Kardiyak Risk Faktörleri: Sol Atriyum Morfolojisi, Koroner Kalsifikasyon Skoru ve Mitral Kazeöz Kalsifikasyonun Kardiyak Bilgisayarlı Tomografi ile Değerlendirilmesi”"/>
    <m/>
    <m/>
    <m/>
    <m/>
    <m/>
    <m/>
    <m/>
    <m/>
    <m/>
    <m/>
  </r>
  <r>
    <m/>
    <m/>
    <x v="221"/>
    <x v="64"/>
    <m/>
    <s v="“Pediatrik Popülasyonda Yaşla Değişen Alerjene Özgü Duyarlanma Dinamikleri"/>
    <m/>
    <m/>
    <m/>
    <m/>
    <m/>
    <m/>
    <m/>
    <m/>
    <m/>
    <m/>
  </r>
  <r>
    <m/>
    <m/>
    <x v="221"/>
    <x v="64"/>
    <m/>
    <s v="“Minimal İnvaziv Kardiyak Cerrahide Anestezi Yönetimi Deneyimimiz Tek Merkezli Gözlemsel Çalışma-Bireysel Araştırma”"/>
    <m/>
    <m/>
    <m/>
    <m/>
    <m/>
    <m/>
    <m/>
    <m/>
    <m/>
    <m/>
  </r>
  <r>
    <m/>
    <m/>
    <x v="221"/>
    <x v="64"/>
    <m/>
    <s v="“Primer Hiperparatiroidi Tanılı Hastaların Demografik, Klinik, Biyokimyasal ve Görüntüleme Bulgularının Değerlendirilmesi”"/>
    <m/>
    <m/>
    <m/>
    <m/>
    <m/>
    <m/>
    <m/>
    <m/>
    <m/>
    <m/>
  </r>
  <r>
    <m/>
    <m/>
    <x v="221"/>
    <x v="64"/>
    <m/>
    <s v="“.Yüksek Dereceli Majör Tükürük Bezleri Malignitelerinin Sonuçlarının Retrospektif İncelenmesi: Uluslararası Çok Merkezli Bir Çalışma”"/>
    <m/>
    <m/>
    <m/>
    <m/>
    <m/>
    <m/>
    <m/>
    <m/>
    <m/>
    <m/>
  </r>
  <r>
    <m/>
    <m/>
    <x v="221"/>
    <x v="64"/>
    <m/>
    <s v="“Prostat Kanserinde Sistemik Tedavi Yanıt Değerlendirilmesinde Ga-68 İşaretli PSMA PET-BT ile Biyokimyasal Belirteçlerin Rolü ve Prognostik Önemi”"/>
    <m/>
    <m/>
    <m/>
    <m/>
    <m/>
    <m/>
    <m/>
    <m/>
    <m/>
    <m/>
  </r>
  <r>
    <m/>
    <m/>
    <x v="221"/>
    <x v="64"/>
    <m/>
    <s v="“Metastatik Prostat Kanseri Olan Hastalarda Androjen Reseptör Yolak İnhibitörlerinin Etkinliğini Tahmin Etmede Klinik-Biyokimyasal ve Moleküler Görüntüleme Parametrelerinin Rolü”"/>
    <m/>
    <m/>
    <m/>
    <m/>
    <m/>
    <m/>
    <m/>
    <m/>
    <m/>
    <m/>
  </r>
  <r>
    <m/>
    <m/>
    <x v="221"/>
    <x v="64"/>
    <m/>
    <s v="“Nöromusküler Hastalıklarda Tüm Ekzom Dizileme Yöntemi ile Genetik Etyolojinin Belirlenmesi”"/>
    <m/>
    <m/>
    <m/>
    <m/>
    <m/>
    <m/>
    <m/>
    <m/>
    <m/>
    <m/>
  </r>
  <r>
    <m/>
    <m/>
    <x v="221"/>
    <x v="64"/>
    <m/>
    <s v="“Örgün ve Mesleki Öğretimde Olmayan veya Çalışmayan (NEET) Gençlerin Ruh Sağlığının Sosyal Eşitsizlikler Açısından İncelenmesi: Nitel ve Nicel bir Derleme”"/>
    <m/>
    <m/>
    <m/>
    <m/>
    <m/>
    <m/>
    <m/>
    <m/>
    <m/>
    <m/>
  </r>
  <r>
    <m/>
    <m/>
    <x v="221"/>
    <x v="64"/>
    <m/>
    <s v="“Pseudo-Bartter Sendromu Olan Kistik Fibrozis Transmembran Regülatör-İlişkili Hastalık Tanılı Çocuklarda Epitel İyon Kanallarının İfade Analizi”"/>
    <m/>
    <m/>
    <m/>
    <m/>
    <m/>
    <m/>
    <m/>
    <m/>
    <m/>
    <m/>
  </r>
  <r>
    <m/>
    <m/>
    <x v="221"/>
    <x v="64"/>
    <m/>
    <s v="“Anaplastik Tiroid Kanserli Olguların Tanı, Tedavi ve Takip Açısından Retrospektif Değerlendirilmesi”"/>
    <m/>
    <m/>
    <m/>
    <m/>
    <m/>
    <m/>
    <m/>
    <m/>
    <m/>
    <m/>
  </r>
  <r>
    <m/>
    <m/>
    <x v="221"/>
    <x v="64"/>
    <m/>
    <s v="“Yeni Bir İrrigasyon Solüsyonu Triton’un Epoksi Rezin ve Kalsiyum Silikat Esaslı Kök Kanal Dolgu Materyallerinin İtme Bağlanma Dayanımına Etkisi”"/>
    <m/>
    <m/>
    <m/>
    <m/>
    <m/>
    <m/>
    <m/>
    <m/>
    <m/>
    <m/>
  </r>
  <r>
    <m/>
    <m/>
    <x v="221"/>
    <x v="64"/>
    <m/>
    <s v="“Pitoz Cerrahisinde Yeni Bir Teknik: Procerus Kas Transferi ile Üst Göz Kapağının Dinamik Reanimasyonu, Kadavra Çalışması”"/>
    <m/>
    <m/>
    <m/>
    <m/>
    <m/>
    <m/>
    <m/>
    <m/>
    <m/>
    <m/>
  </r>
  <r>
    <m/>
    <m/>
    <x v="221"/>
    <x v="64"/>
    <m/>
    <s v="“Türkiye'de Konjenital Miyastenik Sendromların Genetik Profili: Yeni Mutasyonlar ve Klinik Perspektifler”"/>
    <m/>
    <m/>
    <m/>
    <m/>
    <m/>
    <m/>
    <m/>
    <m/>
    <m/>
    <m/>
  </r>
  <r>
    <m/>
    <m/>
    <x v="221"/>
    <x v="64"/>
    <m/>
    <s v="“Menstrüel Kanama Dışı Risk Faktörü Olmayan Genç Kadınlarda Demir Eksikliği ile Menstrüel Kanama Özellikleri Arasındaki İlişkinin Değerlendirilmesi”"/>
    <m/>
    <m/>
    <m/>
    <m/>
    <m/>
    <m/>
    <m/>
    <m/>
    <m/>
    <m/>
  </r>
  <r>
    <m/>
    <m/>
    <x v="221"/>
    <x v="64"/>
    <m/>
    <s v="“Yakınını Kaybetmiş Yaşlılarda Uzamış Yas Belirtilerini Yordayan Faktörler”"/>
    <m/>
    <m/>
    <m/>
    <m/>
    <m/>
    <m/>
    <m/>
    <m/>
    <m/>
    <m/>
  </r>
  <r>
    <m/>
    <m/>
    <x v="221"/>
    <x v="64"/>
    <m/>
    <s v="“Gonadotropin Salgılatıcı Hormon Analoglarının Endometriyal İntraepitelyal Neoplazi ve Erken Evre Endometrium Kanserinde Fertilite Koruyucu Tedaviye Etkisi”"/>
    <m/>
    <m/>
    <m/>
    <m/>
    <m/>
    <m/>
    <m/>
    <m/>
    <m/>
    <m/>
  </r>
  <r>
    <m/>
    <m/>
    <x v="221"/>
    <x v="64"/>
    <m/>
    <s v="“Teikoplanin ile Tedavi Edilen Hastalarda Terapötik İlaç Düzey İzlemi: Retrospektif Bir Analiz”"/>
    <m/>
    <m/>
    <m/>
    <m/>
    <m/>
    <m/>
    <m/>
    <m/>
    <m/>
    <m/>
  </r>
  <r>
    <m/>
    <m/>
    <x v="221"/>
    <x v="64"/>
    <m/>
    <s v="“Vorikonazol Serum Düzeyi İzlemi Yapılan Hastalarda Terapötik Aralığı Etkileyen Faktörlerin Retrospektif Değerlendirilmesi ve Klinik Bir Skorlama Modelinin Geliştirilmesi”"/>
    <m/>
    <m/>
    <m/>
    <m/>
    <m/>
    <m/>
    <m/>
    <m/>
    <m/>
    <m/>
  </r>
  <r>
    <m/>
    <m/>
    <x v="221"/>
    <x v="64"/>
    <m/>
    <s v="“Periventriküler Nodüler Heterotopi İlişkili Epilepside Klinik Özellikler”"/>
    <m/>
    <m/>
    <m/>
    <m/>
    <m/>
    <m/>
    <m/>
    <m/>
    <m/>
    <m/>
  </r>
  <r>
    <m/>
    <m/>
    <x v="221"/>
    <x v="64"/>
    <m/>
    <s v="“Polimikrogiri İlişkili Epilepsi Hastalarında Klinik ve Laboratuvar Bulgular: Tek Merkez Deneyimi”"/>
    <m/>
    <m/>
    <m/>
    <m/>
    <m/>
    <m/>
    <m/>
    <m/>
    <m/>
    <m/>
  </r>
  <r>
    <m/>
    <m/>
    <x v="221"/>
    <x v="64"/>
    <m/>
    <s v="“Diş Hekimliği Fakültesine Başvuran Çocukların Ebeveynlerinin Ağız Sağlığı Okuryazarlık Durumlarının Değerlendirilmesi”"/>
    <m/>
    <m/>
    <m/>
    <m/>
    <m/>
    <m/>
    <m/>
    <m/>
    <m/>
    <m/>
  </r>
  <r>
    <m/>
    <m/>
    <x v="221"/>
    <x v="64"/>
    <m/>
    <s v="“Bronkopulmoner Displazi Tanılı Hastaların İzleminde Akciğer Ultrasonografisinin Yeri”"/>
    <m/>
    <m/>
    <m/>
    <m/>
    <m/>
    <m/>
    <m/>
    <m/>
    <m/>
    <m/>
  </r>
  <r>
    <m/>
    <m/>
    <x v="221"/>
    <x v="64"/>
    <m/>
    <s v="“Ara Değer Ter Testi Olan Kistik Fibrozisli Çocukların Klinik Özellikleri”"/>
    <m/>
    <m/>
    <m/>
    <m/>
    <m/>
    <m/>
    <m/>
    <m/>
    <m/>
    <m/>
  </r>
  <r>
    <m/>
    <m/>
    <x v="221"/>
    <x v="64"/>
    <m/>
    <s v="“Multipl Myelomda Fonksiyonel Görüntüleme: MRG ve PET-BT Yöntemlerinin Karşılaştırılması”"/>
    <m/>
    <m/>
    <m/>
    <m/>
    <m/>
    <m/>
    <m/>
    <m/>
    <m/>
    <m/>
  </r>
  <r>
    <m/>
    <m/>
    <x v="221"/>
    <x v="64"/>
    <m/>
    <s v="“Wolfram Sendromlu ve Midline Anomalili Hastaların Klinik Özelliklerinin Retrospektif Değerlendirilmesi”"/>
    <m/>
    <m/>
    <m/>
    <m/>
    <m/>
    <m/>
    <m/>
    <m/>
    <m/>
    <m/>
  </r>
  <r>
    <m/>
    <m/>
    <x v="221"/>
    <x v="64"/>
    <m/>
    <s v="“MEN1 ve MEN4 Sendromlu Hastaların Klinik Özelliklerinin Retrospektif Değerlendirilmesi”"/>
    <m/>
    <m/>
    <m/>
    <m/>
    <m/>
    <m/>
    <m/>
    <m/>
    <m/>
    <m/>
  </r>
  <r>
    <m/>
    <m/>
    <x v="221"/>
    <x v="64"/>
    <m/>
    <s v="“Yetişkin Bireylerde Sedanter Davranışın Kesintiye Uğratma Sıklığı, Fiziksel Aktivite ve Sedanter Davranış Sürelerinin İncelenmesi”"/>
    <m/>
    <m/>
    <m/>
    <m/>
    <m/>
    <m/>
    <m/>
    <m/>
    <m/>
    <m/>
  </r>
  <r>
    <m/>
    <m/>
    <x v="221"/>
    <x v="64"/>
    <m/>
    <s v="“Clavicula'nin Morfometrik Analizi ve Ortopedik İmplant Planlamasina Yönelik Katkıları”"/>
    <m/>
    <m/>
    <m/>
    <m/>
    <m/>
    <m/>
    <m/>
    <m/>
    <m/>
    <m/>
  </r>
  <r>
    <m/>
    <m/>
    <x v="221"/>
    <x v="64"/>
    <m/>
    <s v="“KBB Hastalarında Farklı Yapay Zekâ Modellerinin Tanı ve Tedavi Önerilerinin Değerlendirip Karşılaştırılması”"/>
    <m/>
    <m/>
    <m/>
    <m/>
    <m/>
    <m/>
    <m/>
    <m/>
    <m/>
    <m/>
  </r>
  <r>
    <m/>
    <m/>
    <x v="221"/>
    <x v="64"/>
    <m/>
    <s v="“Papiller Tiroid Kanserinin Tükürükteki Moleküler Belirteçler ile Tanısı”"/>
    <m/>
    <m/>
    <m/>
    <m/>
    <m/>
    <m/>
    <m/>
    <m/>
    <m/>
    <m/>
  </r>
  <r>
    <m/>
    <m/>
    <x v="221"/>
    <x v="64"/>
    <m/>
    <s v="&quot;Diş Hekimliği Fakültesine Konsülte Edilen Hastalarda Konik Işınlı Bilgisayarlı Tomografi Endikasyonları ve Saptanan Bulgular&quot;"/>
    <m/>
    <m/>
    <m/>
    <m/>
    <m/>
    <m/>
    <m/>
    <m/>
    <m/>
    <m/>
  </r>
  <r>
    <m/>
    <m/>
    <x v="221"/>
    <x v="64"/>
    <m/>
    <s v="&quot;Kadınlarda Spor Türü ve Yaşın Alt Ekstremite de Mekanik Sertlik Üzerine Etkisi: İki Farklı Sıçrama Türü için Karşılaştırmalı Bir Analiz&quot;"/>
    <m/>
    <m/>
    <m/>
    <m/>
    <m/>
    <m/>
    <m/>
    <m/>
    <m/>
    <m/>
  </r>
  <r>
    <m/>
    <m/>
    <x v="221"/>
    <x v="64"/>
    <m/>
    <s v="&quot;Serum Triptaz Düzeyinin Mast Hücre İlişkili Hastalıklardaki Rolünün Retrospektif Olarak Değerlendirilmesi&quot;"/>
    <m/>
    <m/>
    <m/>
    <m/>
    <m/>
    <m/>
    <m/>
    <m/>
    <m/>
    <m/>
  </r>
  <r>
    <m/>
    <m/>
    <x v="221"/>
    <x v="64"/>
    <m/>
    <s v="“Behçet Hastalarının Serum Nörofilaman Seviyelerinin Belirlenmesi”"/>
    <m/>
    <m/>
    <m/>
    <m/>
    <m/>
    <m/>
    <m/>
    <m/>
    <m/>
    <m/>
  </r>
  <r>
    <m/>
    <m/>
    <x v="221"/>
    <x v="64"/>
    <m/>
    <s v="“Topikal Ürünlerde Mikroyapı Benzerliğini Aydınlatmaya Yönelik In Vitro Permeasyon Çalışması”"/>
    <m/>
    <m/>
    <m/>
    <m/>
    <m/>
    <m/>
    <m/>
    <m/>
    <m/>
    <m/>
  </r>
  <r>
    <m/>
    <m/>
    <x v="221"/>
    <x v="64"/>
    <m/>
    <s v="“Bronkopulmoner Displazili Çocuklarda Solunum Fonksiyonlarının Değerlendirilmesinde İmpuls Osilometri ve Spirometrinin Karşılaştırılması”"/>
    <m/>
    <m/>
    <m/>
    <m/>
    <m/>
    <m/>
    <m/>
    <m/>
    <m/>
    <m/>
  </r>
  <r>
    <m/>
    <m/>
    <x v="221"/>
    <x v="64"/>
    <m/>
    <s v="“Metilmalonik Asidemi ve Propiyonik Asidemide Akut Metabolik Dekompanzasyonun Acil Tanı ve Tedavisi”"/>
    <m/>
    <m/>
    <m/>
    <m/>
    <m/>
    <m/>
    <m/>
    <m/>
    <m/>
    <m/>
  </r>
  <r>
    <m/>
    <m/>
    <x v="221"/>
    <x v="64"/>
    <m/>
    <s v="“Pediatrik Proksimal Humerus Kırıklarında Konservatif ve Cerrahi Tedavinin Uzun Dönem Sonuçları”"/>
    <m/>
    <m/>
    <m/>
    <m/>
    <m/>
    <m/>
    <m/>
    <m/>
    <m/>
    <m/>
  </r>
  <r>
    <m/>
    <m/>
    <x v="221"/>
    <x v="64"/>
    <m/>
    <s v="“Yeni Terapötiklerin ve Biyobelirteçlerin Keşfi İçin Metabolik Fonksiyon Bozukluğu ile İlişkili Steatotik Karaciğer Hastalığının (MASLD) Patobiyolojisinin Açığa Çıkarılması(UNMASK- EP PerMed Horizon 2020 Projesi)”"/>
    <m/>
    <m/>
    <m/>
    <m/>
    <m/>
    <m/>
    <m/>
    <m/>
    <m/>
    <m/>
  </r>
  <r>
    <m/>
    <m/>
    <x v="221"/>
    <x v="64"/>
    <m/>
    <s v="“Adölesan Nöromüsküler Kalça Displazisi için Asetabuloplasti ile Kombine Üçlü Pelvik Osteotominin Güvenliği ve Uygulanabilirliği&quot;"/>
    <m/>
    <m/>
    <m/>
    <m/>
    <m/>
    <m/>
    <m/>
    <m/>
    <m/>
    <m/>
  </r>
  <r>
    <m/>
    <m/>
    <x v="221"/>
    <x v="64"/>
    <m/>
    <s v="“Polikistik Böbrek Hastalığı Olan Renal Transplant Alıcılarında Postoperatif Sağkalım ve Komplikasyonların Değerlendirilmesi''"/>
    <m/>
    <m/>
    <m/>
    <m/>
    <m/>
    <m/>
    <m/>
    <m/>
    <m/>
    <m/>
  </r>
  <r>
    <m/>
    <m/>
    <x v="221"/>
    <x v="64"/>
    <m/>
    <s v="“Jüvenil Sistemik Skleroz için Uluslararası Başlangıç Kohortu”"/>
    <m/>
    <m/>
    <m/>
    <m/>
    <m/>
    <m/>
    <m/>
    <m/>
    <m/>
    <m/>
  </r>
  <r>
    <m/>
    <m/>
    <x v="221"/>
    <x v="64"/>
    <m/>
    <s v="“Tiroid Kanserinde Metabolik Çeşitliliğin Açığa Çıkarılması: Fiber Tabanlı, İşaretsiz Orta Dalgaboylu Kızılötesi Optoakustik Prob Teknolojisinin Geliştirilmesi”"/>
    <m/>
    <m/>
    <m/>
    <m/>
    <m/>
    <m/>
    <m/>
    <m/>
    <m/>
    <m/>
  </r>
  <r>
    <m/>
    <m/>
    <x v="221"/>
    <x v="64"/>
    <m/>
    <s v="“Çocuk Kardiyoloji ÜnitesiTransvenöz Lead Çıkarılması Deneyimlerinin Retrospektif Değerlendirilmesi”"/>
    <m/>
    <m/>
    <m/>
    <m/>
    <m/>
    <m/>
    <m/>
    <m/>
    <m/>
    <m/>
  </r>
  <r>
    <m/>
    <m/>
    <x v="221"/>
    <x v="64"/>
    <m/>
    <s v="“Çocuk Acile Başvuran Kritik HastalardaHiperglisemi Sıklığı, Hastalıklara Göre Dağılımı ve Hasta Sonuçlarına Etkisi”"/>
    <m/>
    <m/>
    <m/>
    <m/>
    <m/>
    <m/>
    <m/>
    <m/>
    <m/>
    <m/>
  </r>
  <r>
    <m/>
    <m/>
    <x v="221"/>
    <x v="64"/>
    <m/>
    <s v="“Farklı Branşlardaki Erkek Sporcularda DXA ile Değerlendirilen Vücut Kompozisyonu İndekslerinin Karşılaştırılması”"/>
    <m/>
    <m/>
    <m/>
    <m/>
    <m/>
    <m/>
    <m/>
    <m/>
    <m/>
    <m/>
  </r>
  <r>
    <m/>
    <m/>
    <x v="221"/>
    <x v="64"/>
    <m/>
    <s v="“Melazma Hastalarında Vasküler Endotelyal Büyüme Faktörü Polimorfizminin Değerlendirilmesi”"/>
    <m/>
    <m/>
    <m/>
    <m/>
    <m/>
    <m/>
    <m/>
    <m/>
    <m/>
    <m/>
  </r>
  <r>
    <m/>
    <m/>
    <x v="221"/>
    <x v="64"/>
    <m/>
    <s v="“Platisma KasTranspozisyonunun Fonksiyonel ve Rekonstrüktif Kullanımı: Kadavra Çalışması”"/>
    <m/>
    <m/>
    <m/>
    <m/>
    <m/>
    <m/>
    <m/>
    <m/>
    <m/>
    <m/>
  </r>
  <r>
    <m/>
    <m/>
    <x v="221"/>
    <x v="64"/>
    <m/>
    <s v="“Doğumsal Brakiyal Pleksus Yaralanmalarında Önkol Cerrahi Sonrası Fonksiyonel Başarıyı Etkileyen Radyolojik Parametreler: Radius Anatomisinin Rolü”"/>
    <m/>
    <m/>
    <m/>
    <m/>
    <m/>
    <m/>
    <m/>
    <m/>
    <m/>
    <m/>
  </r>
  <r>
    <m/>
    <m/>
    <x v="221"/>
    <x v="64"/>
    <m/>
    <s v="“Gerçek Yaşam Verileriyle Romatoid Artritli Hastalarda Hedefe Yönelik Tedavi Zamanlaması ve Diz-Kalça Protez Cerrahisi İlişkisi”"/>
    <m/>
    <m/>
    <m/>
    <m/>
    <m/>
    <m/>
    <m/>
    <m/>
    <m/>
    <m/>
  </r>
  <r>
    <m/>
    <m/>
    <x v="221"/>
    <x v="64"/>
    <m/>
    <s v="“Kronik Böbrek Hastalığı İlişkili Bilişsel Bozukluk Patofizyolojisinin Radyolojik, Biyokimyasal ve Metabolomik Biyobelirteçler Işığında Karşılaştırmalı Bir Sistem Biyolojisi Analizi”"/>
    <m/>
    <m/>
    <m/>
    <m/>
    <m/>
    <m/>
    <m/>
    <m/>
    <m/>
    <m/>
  </r>
  <r>
    <m/>
    <m/>
    <x v="221"/>
    <x v="64"/>
    <m/>
    <s v="“Şeffaf Plak Tedavilerinde Kullanılan Ataşmanların Bağlanma ve Uzaklaştırılma Yöntemlerinin Diş Rengi Üzerine Etkileri”"/>
    <m/>
    <m/>
    <m/>
    <m/>
    <m/>
    <m/>
    <m/>
    <m/>
    <m/>
    <m/>
  </r>
  <r>
    <m/>
    <m/>
    <x v="221"/>
    <x v="64"/>
    <m/>
    <s v="“Ottawa Kriz Kaynak Yönetimi Küresel Değerlendirme Ölçeği ve Ottawa Kriz Kaynak Yönetimi Becerileri Kontrol Listesinin Türkçeye Uyarlanması”"/>
    <m/>
    <m/>
    <m/>
    <m/>
    <m/>
    <m/>
    <m/>
    <m/>
    <m/>
    <m/>
  </r>
  <r>
    <m/>
    <m/>
    <x v="221"/>
    <x v="64"/>
    <m/>
    <s v="“Polimiksin Nefrotoksisitesi için Makine Öğrenme Tabanlı Prediktif Skor Geliştirilmesi”"/>
    <m/>
    <m/>
    <m/>
    <m/>
    <m/>
    <m/>
    <m/>
    <m/>
    <m/>
    <m/>
  </r>
  <r>
    <m/>
    <m/>
    <x v="221"/>
    <x v="64"/>
    <m/>
    <s v="“Antrenman Maskesi ile Uygulanan Dar Alan Oyunlarına Verilen İç ve Dış Yük Yanıtlar&quot;"/>
    <m/>
    <m/>
    <m/>
    <m/>
    <m/>
    <m/>
    <m/>
    <m/>
    <m/>
    <m/>
  </r>
  <r>
    <m/>
    <m/>
    <x v="221"/>
    <x v="64"/>
    <m/>
    <s v="“Yorgunluğun Farklı Açısal Hızlarda Alt Ekstremite İzokinetik Kas Kuvvet Çıktıları Üzerine Etkisi”"/>
    <m/>
    <m/>
    <m/>
    <m/>
    <m/>
    <m/>
    <m/>
    <m/>
    <m/>
    <m/>
  </r>
  <r>
    <m/>
    <m/>
    <x v="221"/>
    <x v="64"/>
    <m/>
    <s v="“İç Hastalıkları Servislerinde Yatan ve Eksizyonel Lenf Nodu Biyopsisi Yapılan Hastaların Klinik, Laboratuvar ve Radyolojik Görüntülemelerinin Tanı Süreci ile İlişkili Analizi ve Prediktörlerin Belirlenmesi”"/>
    <m/>
    <m/>
    <m/>
    <m/>
    <m/>
    <m/>
    <m/>
    <m/>
    <m/>
    <m/>
  </r>
  <r>
    <m/>
    <m/>
    <x v="221"/>
    <x v="64"/>
    <m/>
    <s v="“Os Parietale Kalınlığının Bölgesel Değişkenliğinin Analizi ve Klinik Önemi”"/>
    <m/>
    <m/>
    <m/>
    <m/>
    <m/>
    <m/>
    <m/>
    <m/>
    <m/>
    <m/>
  </r>
  <r>
    <m/>
    <m/>
    <x v="221"/>
    <x v="64"/>
    <m/>
    <s v="“Hacettepe Üniversitesi Hastanesinde Solid Tümörlü Kanser Hastalarının Tedaviye Ulaşmak İçin Geçirdikleri Sürenin ve Zaman Toksisitesinin Değerlendirilmesi”"/>
    <m/>
    <m/>
    <m/>
    <m/>
    <m/>
    <m/>
    <m/>
    <m/>
    <m/>
    <m/>
  </r>
  <r>
    <m/>
    <m/>
    <x v="221"/>
    <x v="64"/>
    <m/>
    <s v="“İntihar Davranışı Ayrımı: Ası Vakalarında Proteomik Analiz ve İmmünflöresan İnceleme ile Nörobiyolojik Belirteç Belirlenmesi”"/>
    <m/>
    <m/>
    <m/>
    <m/>
    <m/>
    <m/>
    <m/>
    <m/>
    <m/>
    <m/>
  </r>
  <r>
    <m/>
    <m/>
    <x v="221"/>
    <x v="64"/>
    <m/>
    <s v="“Hücresizleştirilmiş İnsan Amniyotik Membran Temelli Küçük Çaplı Vasküler Greft Geliştirilmesi ve Cerrahi Anastomoz Uygulamalarında Değerlendirilmesi”"/>
    <m/>
    <m/>
    <m/>
    <m/>
    <m/>
    <m/>
    <m/>
    <m/>
    <m/>
    <m/>
  </r>
  <r>
    <m/>
    <m/>
    <x v="221"/>
    <x v="64"/>
    <m/>
    <s v="“Farklı Elektrikli Testere Sistemlerinin Cerrahi Verimlilik, Termal Etki ve Kullanıcı Deneyimi Açısından Kemik Modelinde Karşılaştırılması”"/>
    <m/>
    <m/>
    <m/>
    <m/>
    <m/>
    <m/>
    <m/>
    <m/>
    <m/>
    <m/>
  </r>
  <r>
    <m/>
    <m/>
    <x v="221"/>
    <x v="64"/>
    <m/>
    <s v="“İlaca Dirençli Ekstratemporal Lob Epilepsisi Cerrahisi Geçiren Hastalarda Cerrahi Sonuçlar ve Prognozu Etkileyen Faktörlerin Retrospektif Analizi”"/>
    <m/>
    <m/>
    <m/>
    <m/>
    <m/>
    <m/>
    <m/>
    <m/>
    <m/>
    <m/>
  </r>
  <r>
    <m/>
    <m/>
    <x v="221"/>
    <x v="64"/>
    <m/>
    <s v="“Matematik ve Türkçe Derslerinde Kullanılan Fiziksel Aktivite Tabanlı Aktif ve Pasif Zihin Molalarının Akademik Başarı, Bilişsel İşlevler, Fiziksel Aktivite Düzeyi ve Sınıf İçi Davranışlar Üzerindeki Etkisi”"/>
    <m/>
    <m/>
    <m/>
    <m/>
    <m/>
    <m/>
    <m/>
    <m/>
    <m/>
    <m/>
  </r>
  <r>
    <m/>
    <m/>
    <x v="221"/>
    <x v="64"/>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21"/>
    <x v="64"/>
    <m/>
    <s v="“Komplikasyonların Azaltılmasında Distraksiyon Tabanlı Büyüme Dostu Teknikler İçin Uygun Cerrahi Yaş”"/>
    <m/>
    <m/>
    <m/>
    <m/>
    <m/>
    <m/>
    <m/>
    <m/>
    <m/>
    <m/>
  </r>
  <r>
    <m/>
    <m/>
    <x v="221"/>
    <x v="64"/>
    <m/>
    <s v="“Meningomiyesel ve Diğer Nöromusküler Erken Başlangıçlı Skolyozlarda Büyüyen Rod Tedavisini Tekiben Uygulanan Definitif Cerrahinin Klinik ve Radyolojik Sonuçlarının Karşılaştırılması”"/>
    <m/>
    <m/>
    <m/>
    <m/>
    <m/>
    <m/>
    <m/>
    <m/>
    <m/>
    <m/>
  </r>
  <r>
    <m/>
    <m/>
    <x v="221"/>
    <x v="64"/>
    <m/>
    <s v="“Vulva Kanseri ve HER-2 İlişkisi”"/>
    <m/>
    <m/>
    <m/>
    <m/>
    <m/>
    <m/>
    <m/>
    <m/>
    <m/>
    <m/>
  </r>
  <r>
    <m/>
    <m/>
    <x v="221"/>
    <x v="64"/>
    <m/>
    <s v="“Artan Renal Klirensi Olan Hastalarda Meropenem Kan Düzeylerinin Retrospektif Olarak Değerlendirilmesi”"/>
    <m/>
    <m/>
    <m/>
    <m/>
    <m/>
    <m/>
    <m/>
    <m/>
    <m/>
    <m/>
  </r>
  <r>
    <m/>
    <m/>
    <x v="221"/>
    <x v="64"/>
    <m/>
    <s v="“Kanserli Hastalarda Serum Albumin-Kreatin Oranının Sağkalım ve Progresyonsu Sağkalım ile İlişkisinin Araştırılması”"/>
    <m/>
    <m/>
    <m/>
    <m/>
    <m/>
    <m/>
    <m/>
    <m/>
    <m/>
    <m/>
  </r>
  <r>
    <m/>
    <m/>
    <x v="221"/>
    <x v="64"/>
    <m/>
    <s v="“Biyopsi ile Tanımlanmış Lakrimal Bez Patolojilerine Sahip Hastaların Demografik ve Klinik Özelliklerinin Belirlenmesi”"/>
    <m/>
    <m/>
    <m/>
    <m/>
    <m/>
    <m/>
    <m/>
    <m/>
    <m/>
    <m/>
  </r>
  <r>
    <m/>
    <m/>
    <x v="221"/>
    <x v="64"/>
    <m/>
    <s v="“REM Uyku Davranış Bozukluğunun Prodromal, İdiopatik ve Sekonder Alt Tiplerinde Klinik, Polisomnografik Özellikler ve Tedavi Yanıtlarının Karşılaştırılması”"/>
    <m/>
    <m/>
    <m/>
    <m/>
    <m/>
    <m/>
    <m/>
    <m/>
    <m/>
    <m/>
  </r>
  <r>
    <m/>
    <m/>
    <x v="221"/>
    <x v="64"/>
    <m/>
    <s v="“Hipokampal Sklerozlu Mezial Temporal Lob Epilepsisinde Skalp EEG’de İktal Yayılım Özelliklerinin Cerrahi Sonrası Prognozu Öngörmede Rolü: Retrospektif Bir Analiz”"/>
    <m/>
    <m/>
    <m/>
    <m/>
    <m/>
    <m/>
    <m/>
    <m/>
    <m/>
    <m/>
  </r>
  <r>
    <m/>
    <m/>
    <x v="221"/>
    <x v="64"/>
    <m/>
    <s v="“Kronik Çok İlaca Dirençli Pseudomonas Aeruginosa Enfeksiyonu Olan Kistik Fibrozisli Çocuk Hastalarımızın Retrospektif Değerlendirilmesi"/>
    <m/>
    <m/>
    <m/>
    <m/>
    <m/>
    <m/>
    <m/>
    <m/>
    <m/>
    <m/>
  </r>
  <r>
    <m/>
    <m/>
    <x v="221"/>
    <x v="64"/>
    <m/>
    <s v="“Hemoptizi Sebebiyle Fleksible Fiberoptik Bronkoskopi Yaptiğimiz Çocuk Hastalarımızın Retrospektif Değerlendirilmesi”"/>
    <m/>
    <m/>
    <m/>
    <m/>
    <m/>
    <m/>
    <m/>
    <m/>
    <m/>
    <m/>
  </r>
  <r>
    <m/>
    <m/>
    <x v="221"/>
    <x v="64"/>
    <m/>
    <s v="“Pediyatrik Orbital Rabdomyosarkomun Görüntüleme Bulguları”"/>
    <m/>
    <m/>
    <m/>
    <m/>
    <m/>
    <m/>
    <m/>
    <m/>
    <m/>
    <m/>
  </r>
  <r>
    <m/>
    <m/>
    <x v="221"/>
    <x v="64"/>
    <m/>
    <s v="“Sanal Cerrahi Planlamanın Kişiye Özel Plak ve Geleneksel Miniplak Fiksasyonu Yapılmış Hastalardaki Doğruluğunun İncelenmesi”"/>
    <m/>
    <m/>
    <m/>
    <m/>
    <m/>
    <m/>
    <m/>
    <m/>
    <m/>
    <m/>
  </r>
  <r>
    <m/>
    <m/>
    <x v="221"/>
    <x v="64"/>
    <m/>
    <s v="“.Huzurevinde Yaşayan Yaşlı Bireylerin Ağız Sağlığı Durumu ile Bakımevi Personelinin Ağız Sağlığına Yönelik Bilgi Düzeyi Arasındaki İlişkinin Değerlendirilmesi.”"/>
    <m/>
    <m/>
    <m/>
    <m/>
    <m/>
    <m/>
    <m/>
    <m/>
    <m/>
    <m/>
  </r>
  <r>
    <m/>
    <m/>
    <x v="221"/>
    <x v="64"/>
    <m/>
    <s v="“İdiyopatik Jeneralize Epilepside Klinik ve Tanısal Özelliklerin Saptanması ve Tedavi Sonuçlarıyla İlişkisinin Retrospektif Olarak Değerlendirilmesi”"/>
    <m/>
    <m/>
    <m/>
    <m/>
    <m/>
    <m/>
    <m/>
    <m/>
    <m/>
    <m/>
  </r>
  <r>
    <m/>
    <m/>
    <x v="221"/>
    <x v="64"/>
    <m/>
    <s v="“Çevresel Sensör Reseptör Uyarımı ile Koşullandırılmış İnflamasyon Baskılayıcı”"/>
    <m/>
    <m/>
    <m/>
    <m/>
    <m/>
    <m/>
    <m/>
    <m/>
    <m/>
    <m/>
  </r>
  <r>
    <m/>
    <m/>
    <x v="221"/>
    <x v="64"/>
    <m/>
    <s v="“Evre 3 ve 4 Kronik Böbrek Hastalarında Hastalık Farkındalık Ölçeği Geliştirilmesi: Ekolojik Model Temelli Bir Yaklaşım”"/>
    <m/>
    <m/>
    <m/>
    <m/>
    <m/>
    <m/>
    <m/>
    <m/>
    <m/>
    <m/>
  </r>
  <r>
    <m/>
    <m/>
    <x v="221"/>
    <x v="64"/>
    <m/>
    <s v="“Kolorektal Kanserli Hastaların Klinopatolojik Özellikleri”"/>
    <m/>
    <m/>
    <m/>
    <m/>
    <m/>
    <m/>
    <m/>
    <m/>
    <m/>
    <m/>
  </r>
  <r>
    <m/>
    <m/>
    <x v="221"/>
    <x v="64"/>
    <m/>
    <s v="“Kronik Granülomatoz Hastalık Tanılı Çocukların Akciğer Bulgularının Değerlendirilmesi”"/>
    <m/>
    <m/>
    <m/>
    <m/>
    <m/>
    <m/>
    <m/>
    <m/>
    <m/>
    <m/>
  </r>
  <r>
    <m/>
    <m/>
    <x v="221"/>
    <x v="64"/>
    <m/>
    <s v="“Diyabet Tarama Test İstemlerinin Kanıta Dayalı Eğitim Müdahaleleri ile Rasyonel Kullanımının Arttırılması: Kalite Geliştirme Çalışması”"/>
    <m/>
    <m/>
    <m/>
    <m/>
    <m/>
    <m/>
    <m/>
    <m/>
    <m/>
    <m/>
  </r>
  <r>
    <m/>
    <m/>
    <x v="221"/>
    <x v="64"/>
    <m/>
    <s v="“Eczacılıkta Uzmanlık Sınavı Başarısı Açısından Yapay Zeka Tabanlı Büyük Dil Modellerinin Karşılaştırması”"/>
    <m/>
    <m/>
    <m/>
    <m/>
    <m/>
    <m/>
    <m/>
    <m/>
    <m/>
    <m/>
  </r>
  <r>
    <m/>
    <m/>
    <x v="221"/>
    <x v="64"/>
    <m/>
    <s v="“HIV ile Yaşayan Kişilerde HIV Viral Yükün ve İmmünolojik Parametrelerin Quantiferon-TB Gold Plus Testi Sonucuna Etkisi”"/>
    <m/>
    <m/>
    <m/>
    <m/>
    <m/>
    <m/>
    <m/>
    <m/>
    <m/>
    <m/>
  </r>
  <r>
    <m/>
    <m/>
    <x v="221"/>
    <x v="64"/>
    <m/>
    <s v="“40 Yaş ve Üstü HIV Pozitif Bireylerde Kırılganlık Riskinin Tahmini ve Dijital Risk Değerlendirmede Web R Shiny Uygulaması”"/>
    <m/>
    <m/>
    <m/>
    <m/>
    <m/>
    <m/>
    <m/>
    <m/>
    <m/>
    <m/>
  </r>
  <r>
    <m/>
    <m/>
    <x v="221"/>
    <x v="64"/>
    <m/>
    <s v="“İmmunoglobulin-E Aracılı Besin Alerjisi Tanılı Hastalarda Besin Yükleme Testinde Pozitif Reaksiyon Gelişen Eşik Değeri Öngörmek Amacıyla Kullanılabilecek Faktörlerin Belirlenmesi”"/>
    <m/>
    <m/>
    <m/>
    <m/>
    <m/>
    <m/>
    <m/>
    <m/>
    <m/>
    <m/>
  </r>
  <r>
    <m/>
    <m/>
    <x v="221"/>
    <x v="64"/>
    <m/>
    <s v="“Balık İlişkili Besin Proteininin İndüklediği Enterokolit Sendromunda İlk Provakasyon Zamanının Belirlenmesi”"/>
    <m/>
    <m/>
    <m/>
    <m/>
    <m/>
    <m/>
    <m/>
    <m/>
    <m/>
    <m/>
  </r>
  <r>
    <m/>
    <m/>
    <x v="221"/>
    <x v="64"/>
    <m/>
    <s v="“L-Sitrülin Malat Takviyesinin Dövüş Sporcularında Aerobik Egzersiz Performansı Üzerine Etkisi”"/>
    <m/>
    <m/>
    <m/>
    <m/>
    <m/>
    <m/>
    <m/>
    <m/>
    <m/>
    <m/>
  </r>
  <r>
    <m/>
    <m/>
    <x v="221"/>
    <x v="64"/>
    <m/>
    <s v="“Fibrodisplazi Ossifikans Progressiva Tanılı Hastaların Klinik ve Moleküler Özelliklerinin Gözden Geçirilmesi”"/>
    <m/>
    <m/>
    <m/>
    <m/>
    <m/>
    <m/>
    <m/>
    <m/>
    <m/>
    <m/>
  </r>
  <r>
    <m/>
    <m/>
    <x v="221"/>
    <x v="64"/>
    <m/>
    <s v="“İmmün Kontrol Noktası İnhibitörü Alan Kanser Hastalarında Vücut Kompozisyonu, Psikososyal Faktörler ve İlaç İlişkili Sorunların Klinik Seyirle İlişkisinin Değerlendirilmesi”"/>
    <m/>
    <m/>
    <m/>
    <m/>
    <m/>
    <m/>
    <m/>
    <m/>
    <m/>
    <m/>
  </r>
  <r>
    <m/>
    <m/>
    <x v="221"/>
    <x v="64"/>
    <m/>
    <s v="“Oral Bakteri Kaynaklı Ekstraselüler Veziküllerin İnsan Mikroçevre Hücreleri Üzerindeki Etkilerinin Araştırılması”"/>
    <m/>
    <m/>
    <m/>
    <m/>
    <m/>
    <m/>
    <m/>
    <m/>
    <m/>
    <m/>
  </r>
  <r>
    <m/>
    <m/>
    <x v="221"/>
    <x v="64"/>
    <m/>
    <s v="“Amyotrofik Lateral Skleroz Hastalarında trapez Kasına Uygulanan Repetetif Sinir Stimülasyonunun Tanısal Değerlendirilmesi: Kontrollü Prospektif Bir Çalışma”"/>
    <m/>
    <m/>
    <m/>
    <m/>
    <m/>
    <m/>
    <m/>
    <m/>
    <m/>
    <m/>
  </r>
  <r>
    <m/>
    <m/>
    <x v="221"/>
    <x v="64"/>
    <m/>
    <s v="“SOD1 Mutasyonu Taşıyan Amyotrofik Lateral Skleroz Hastalarında Kalp Hızı Değişkenliği ve Sempatik Deri Yanıtı ile Otonomik Disfonksiyonun Değerlendirilmesi”"/>
    <m/>
    <m/>
    <m/>
    <m/>
    <m/>
    <m/>
    <m/>
    <m/>
    <m/>
    <m/>
  </r>
  <r>
    <m/>
    <m/>
    <x v="221"/>
    <x v="64"/>
    <m/>
    <s v="“Susam Alerjisi Olan Çocuklarda Oral İmmünoterapi ve Besinden Kaçınma Yaklaşımlarının Yaşam Kalitesi Üzerine Etkileri”"/>
    <m/>
    <m/>
    <m/>
    <m/>
    <m/>
    <m/>
    <m/>
    <m/>
    <m/>
    <m/>
  </r>
  <r>
    <m/>
    <m/>
    <x v="221"/>
    <x v="64"/>
    <m/>
    <s v="“İdrar Kaçıran Kadınlarda Yapay Zeka Yardımlı Görüntüleme Analizi ile Tanı Süreçlerinin Geliştirilmesi”"/>
    <m/>
    <m/>
    <m/>
    <m/>
    <m/>
    <m/>
    <m/>
    <m/>
    <m/>
    <m/>
  </r>
  <r>
    <m/>
    <m/>
    <x v="221"/>
    <x v="64"/>
    <m/>
    <s v="“Astım Tanılı Çocuklarda Tedavi Edilebilir Özelliklerin İncelenmesi”"/>
    <m/>
    <m/>
    <m/>
    <m/>
    <m/>
    <m/>
    <m/>
    <m/>
    <m/>
    <m/>
  </r>
  <r>
    <m/>
    <m/>
    <x v="221"/>
    <x v="64"/>
    <m/>
    <s v="“Sedanter Davranışın Farklı Şiddette Egzersizlerle Kesintiye Uğratılmasının Postprandiyal Kardiyometabolik Etkileri”"/>
    <m/>
    <m/>
    <m/>
    <m/>
    <m/>
    <m/>
    <m/>
    <m/>
    <m/>
    <m/>
  </r>
  <r>
    <m/>
    <m/>
    <x v="221"/>
    <x v="64"/>
    <m/>
    <s v="“Polikistik Over Sendromu Tanılı Hastaların Endokrinolojik İzlemi ve Veri Tabanı Oluşturulması”"/>
    <m/>
    <m/>
    <m/>
    <m/>
    <m/>
    <m/>
    <m/>
    <m/>
    <m/>
    <m/>
  </r>
  <r>
    <m/>
    <m/>
    <x v="221"/>
    <x v="64"/>
    <m/>
    <s v="&quot;Nörofibromatozis Tip1 İlişkili Pleksiform Nörofibromlarda Selümetinib Kullanımı: Hacettepe Deneyimi”"/>
    <m/>
    <m/>
    <m/>
    <m/>
    <m/>
    <m/>
    <m/>
    <m/>
    <m/>
    <m/>
  </r>
  <r>
    <m/>
    <m/>
    <x v="221"/>
    <x v="64"/>
    <m/>
    <s v="“Proksimal Tibia İntraartiküler Kırıklarının Retrospektif Analizi ve Tedavi Sonuçları”"/>
    <m/>
    <m/>
    <m/>
    <m/>
    <m/>
    <m/>
    <m/>
    <m/>
    <m/>
    <m/>
  </r>
  <r>
    <m/>
    <m/>
    <x v="221"/>
    <x v="64"/>
    <m/>
    <s v="“Graves Hastalarında Beslenme Alışkanlıkları ve Vücut Kompozisyonunun İncelenmesi”"/>
    <m/>
    <m/>
    <m/>
    <m/>
    <m/>
    <m/>
    <m/>
    <m/>
    <m/>
    <m/>
  </r>
  <r>
    <m/>
    <m/>
    <x v="221"/>
    <x v="64"/>
    <m/>
    <s v="“Sekonder İmmün Yetmezlik İçin Farkındalığın Değerlendirilmesi: Pediatri ve İmmünoloji Perspektifi”"/>
    <m/>
    <m/>
    <m/>
    <m/>
    <m/>
    <m/>
    <m/>
    <m/>
    <m/>
    <m/>
  </r>
  <r>
    <m/>
    <m/>
    <x v="221"/>
    <x v="64"/>
    <m/>
    <s v="“ALPACA Tanısı İle İzlenen Hastaların Değerlendirilmesi”"/>
    <m/>
    <m/>
    <m/>
    <m/>
    <m/>
    <m/>
    <m/>
    <m/>
    <m/>
    <m/>
  </r>
  <r>
    <m/>
    <m/>
    <x v="221"/>
    <x v="64"/>
    <m/>
    <s v="“Şeffaf Plak Kompozit Ataşmanlarının Renk Stabilitesi ve Diş Rengi Üzerine Etkileri”"/>
    <m/>
    <m/>
    <m/>
    <m/>
    <m/>
    <m/>
    <m/>
    <m/>
    <m/>
    <m/>
  </r>
  <r>
    <m/>
    <m/>
    <x v="221"/>
    <x v="64"/>
    <m/>
    <s v="“Hacettepe Üniversitesi Hastanesi Ameliyathanesinde Çalışan Cerrahlarda Kas İskelet Sistemi Problemlerinin Tespiti&quot;"/>
    <m/>
    <m/>
    <m/>
    <m/>
    <m/>
    <m/>
    <m/>
    <m/>
    <m/>
    <m/>
  </r>
  <r>
    <m/>
    <m/>
    <x v="221"/>
    <x v="64"/>
    <m/>
    <s v="“Eozinofilik Gastrointestinal Hastalık Tanısı Alan Primer İmmün Yetmezlikli Hastaların Klinik ve Laboratuvar Özelliklerinin Değerlendirilmesi”"/>
    <m/>
    <m/>
    <m/>
    <m/>
    <m/>
    <m/>
    <m/>
    <m/>
    <m/>
    <m/>
  </r>
  <r>
    <m/>
    <m/>
    <x v="221"/>
    <x v="64"/>
    <m/>
    <s v="“Süt Azı Dişlerinde Fizyolojik ve Patolojik Rezorpsiyonun Derin Öğrenme ile Otomatik Sınıflandırılması”"/>
    <m/>
    <m/>
    <m/>
    <m/>
    <m/>
    <m/>
    <m/>
    <m/>
    <m/>
    <m/>
  </r>
  <r>
    <m/>
    <m/>
    <x v="221"/>
    <x v="64"/>
    <m/>
    <s v="“Tip 2 Diyabet Hastalarında Karar Verme Çatışması, Kronik Hastalık Bakım Değerlendirmesi, Diyabet Distresi ve Tedaviye Uyum Arasındaki İlişkilerin Değrlendirilmesi”"/>
    <m/>
    <m/>
    <m/>
    <m/>
    <m/>
    <m/>
    <m/>
    <m/>
    <m/>
    <m/>
  </r>
  <r>
    <m/>
    <m/>
    <x v="221"/>
    <x v="64"/>
    <m/>
    <s v="“LeFort 1 Cerrahisinde Maksillaya Yaptırılan Çeşitli Hareketlerin Dudak ve Burun Estetik Bölgelerindeki Etkilerinin İncelenmesi”"/>
    <m/>
    <m/>
    <m/>
    <m/>
    <m/>
    <m/>
    <m/>
    <m/>
    <m/>
    <m/>
  </r>
  <r>
    <m/>
    <m/>
    <x v="221"/>
    <x v="64"/>
    <m/>
    <s v="“Primer İmmün Yetmezlik Tanısı ile İzlenen Hastalarda Karaciğerde Gelişebilen Fokal Nodüler Hiperplazi Lezyonlarmin Değerlendirilmesi ”"/>
    <m/>
    <m/>
    <m/>
    <m/>
    <m/>
    <m/>
    <m/>
    <m/>
    <m/>
    <m/>
  </r>
  <r>
    <m/>
    <m/>
    <x v="221"/>
    <x v="64"/>
    <m/>
    <s v="“Kronik Tromboembolik Pulmoner Hipertansiyonun Tanisonda ve Tedavi Yanıtı Değerlendirmesinde Akciğer Ventilasyon/Perfüzyon Sintigrafisinin Prognostik Gücü”"/>
    <m/>
    <m/>
    <m/>
    <m/>
    <m/>
    <m/>
    <m/>
    <m/>
    <m/>
    <m/>
  </r>
  <r>
    <m/>
    <m/>
    <x v="221"/>
    <x v="64"/>
    <m/>
    <s v="“Axial ve Koronal Düzlemde Koklear Apertür Ölçümlerinin İnternal Akustik Kanal ve Koklear Sinir ile İlişkisi”"/>
    <m/>
    <m/>
    <m/>
    <m/>
    <m/>
    <m/>
    <m/>
    <m/>
    <m/>
    <m/>
  </r>
  <r>
    <m/>
    <m/>
    <x v="221"/>
    <x v="64"/>
    <m/>
    <s v="“Sigara Kullanan Erişkinlerin Sigaraya Ayırdıkları Bütçeye Dair Farkındalıklarının Sigara Bırakma Motivasyonlarıyla İlişkisi”"/>
    <m/>
    <m/>
    <m/>
    <m/>
    <m/>
    <m/>
    <m/>
    <m/>
    <m/>
    <m/>
  </r>
  <r>
    <m/>
    <m/>
    <x v="221"/>
    <x v="64"/>
    <m/>
    <s v="“Çene Kemiklerinde Multipl Miyeloma Bağlı Mikroyapısal Bozulmaların Kantitatif Analizi: Fraktal, Lakünerite ve Entropi Parametrelerinin Karşılaştırmalı İncelemesi”"/>
    <m/>
    <m/>
    <m/>
    <m/>
    <m/>
    <m/>
    <m/>
    <m/>
    <m/>
    <m/>
  </r>
  <r>
    <m/>
    <m/>
    <x v="221"/>
    <x v="64"/>
    <m/>
    <s v="&quot;Ailesel Akdeniz Ateşi’nde MEFV Genotipine Göre Klinik Özelliklerin Karşılaştırılması: Homozigot, Heterozigot ve Klinik Önemi Bilinmeyen Varyant Taşıyıcıları&quot;"/>
    <m/>
    <m/>
    <m/>
    <m/>
    <m/>
    <m/>
    <m/>
    <m/>
    <m/>
    <m/>
  </r>
  <r>
    <m/>
    <m/>
    <x v="221"/>
    <x v="64"/>
    <m/>
    <s v="&quot;Çocukluk Çağı Kronik Non-Bakteriyel Osteomiyelit Hastalarında Tedaviye Yanıtlar ve Relapsı Öngören Faktörler&quot;"/>
    <m/>
    <m/>
    <m/>
    <m/>
    <m/>
    <m/>
    <m/>
    <m/>
    <m/>
    <m/>
  </r>
  <r>
    <m/>
    <m/>
    <x v="221"/>
    <x v="64"/>
    <m/>
    <s v="“Tablet Tabanlı Mikroperimetri ile Yaşa Bağlı Makula Dejenerasyonunda Görme Keskinliği Değişiminin Ev Ortamında Saptanması”"/>
    <m/>
    <m/>
    <m/>
    <m/>
    <m/>
    <m/>
    <m/>
    <m/>
    <m/>
    <m/>
  </r>
  <r>
    <m/>
    <m/>
    <x v="221"/>
    <x v="64"/>
    <m/>
    <s v="“Humerus Şaft Kırıklarının Retrospektif Analizi ve Tedavi Sonuçları”"/>
    <m/>
    <m/>
    <m/>
    <m/>
    <m/>
    <m/>
    <m/>
    <m/>
    <m/>
    <m/>
  </r>
  <r>
    <m/>
    <m/>
    <x v="221"/>
    <x v="64"/>
    <m/>
    <s v="“Mitokondriyal Hastalık Tanılı Hastaların Semptom ve Bulgularının Mitokondriyal Hastalık Tanı Kriterleri ile Değerlendirilmesi”"/>
    <m/>
    <m/>
    <m/>
    <m/>
    <m/>
    <m/>
    <m/>
    <m/>
    <m/>
    <m/>
  </r>
  <r>
    <m/>
    <m/>
    <x v="221"/>
    <x v="64"/>
    <m/>
    <s v="“Kırım-Kongo Kanamalı Ateşinin Moleküler İmzalarının Ortaya Konması: mRNA, lncRNA, sRNA ve circRNA Profilleri Üzerine Transkriptomik ve Biyoinformatik Yaklaşım”"/>
    <m/>
    <m/>
    <m/>
    <m/>
    <m/>
    <m/>
    <m/>
    <m/>
    <m/>
    <m/>
  </r>
  <r>
    <m/>
    <m/>
    <x v="221"/>
    <x v="64"/>
    <m/>
    <s v="“Konjenital Kalp Hastalığı Nedeniyle Opere Edilen Yenidoğanlarda Mortaliteyi Etkileyen Klinik Faktörler”"/>
    <m/>
    <m/>
    <m/>
    <m/>
    <m/>
    <m/>
    <m/>
    <m/>
    <m/>
    <m/>
  </r>
  <r>
    <m/>
    <m/>
    <x v="221"/>
    <x v="64"/>
    <m/>
    <s v="“Pediatrik Cerrahi Hastalarında Postoperatif Ağrı Yönetimi Başarısının Değerlendirilmesi”"/>
    <m/>
    <m/>
    <m/>
    <m/>
    <m/>
    <m/>
    <m/>
    <m/>
    <m/>
    <m/>
  </r>
  <r>
    <m/>
    <m/>
    <x v="221"/>
    <x v="64"/>
    <m/>
    <s v="“Bilateral Sagital Split Ramus Osteotomisi ve Genioplasti ile Mandibulaya Yaptırılan Çeşitli Hareketlerin Dudak, Çene Ucu ve Angulus Estetik Bölgelerindeki Etkilerinin İncelenmesi”"/>
    <m/>
    <m/>
    <m/>
    <m/>
    <m/>
    <m/>
    <m/>
    <m/>
    <m/>
    <m/>
  </r>
  <r>
    <m/>
    <m/>
    <x v="221"/>
    <x v="64"/>
    <m/>
    <s v="“Üst Ekstremitede Ön Kondisyonlanma ile “Aktivasyon Sonrası Performans Artışı” mümkün mü?”"/>
    <m/>
    <m/>
    <m/>
    <m/>
    <m/>
    <m/>
    <m/>
    <m/>
    <m/>
    <m/>
  </r>
  <r>
    <m/>
    <m/>
    <x v="221"/>
    <x v="64"/>
    <m/>
    <s v="“Tüm Beyin Radyoterapisi Sırasında Hipokampüsün Dentat Girus ve Cornu Ammonis Bölgelerinin Korunduğu Hastalarda Nörokognitif Fonksiyon Durumunun Değerlendirilmesi”"/>
    <m/>
    <m/>
    <m/>
    <m/>
    <m/>
    <m/>
    <m/>
    <m/>
    <m/>
    <m/>
  </r>
  <r>
    <m/>
    <m/>
    <x v="221"/>
    <x v="64"/>
    <m/>
    <s v="“Tek Taraflı Dudak-Damak Yarıklı Dental Modellerde Farklı Ağız İçi Tarayıcıların Karşılaştırılması: İn-vitro Çalışma”"/>
    <m/>
    <m/>
    <m/>
    <m/>
    <m/>
    <m/>
    <m/>
    <m/>
    <m/>
    <m/>
  </r>
  <r>
    <m/>
    <m/>
    <x v="221"/>
    <x v="64"/>
    <m/>
    <s v="“Luminal A Meme Kanseri: Genç Yaşa Özgü Kötü Prognozun Moleküler Temelleri”"/>
    <m/>
    <m/>
    <m/>
    <m/>
    <m/>
    <m/>
    <m/>
    <m/>
    <m/>
    <m/>
  </r>
  <r>
    <m/>
    <m/>
    <x v="221"/>
    <x v="64"/>
    <m/>
    <s v="“Sol Dal Alan Uyarım Metodu ile İmplante Edilen Kardiyak Cihazların Hastalar Üzerideki Takip Verilerinin İncelenmesi ve Konvansiyonel Metodoloji ile Karşılaştırılması”"/>
    <m/>
    <m/>
    <m/>
    <m/>
    <m/>
    <m/>
    <m/>
    <m/>
    <m/>
    <m/>
  </r>
  <r>
    <m/>
    <m/>
    <x v="221"/>
    <x v="64"/>
    <m/>
    <s v="“Periferik Fasiyal Paralizili Hastalarda Kulak MRG Bulguları ve 3D-FLAIR Sekansın Tanıya Katkısının Araştırılması”"/>
    <m/>
    <m/>
    <m/>
    <m/>
    <m/>
    <m/>
    <m/>
    <m/>
    <m/>
    <m/>
  </r>
  <r>
    <m/>
    <m/>
    <x v="221"/>
    <x v="64"/>
    <m/>
    <s v="“İleri Derecede Kemik Kaybı Olan Lezyonlarda Oral Protozoa Varlığının Değerlendirilmesi”"/>
    <m/>
    <m/>
    <m/>
    <m/>
    <m/>
    <m/>
    <m/>
    <m/>
    <m/>
    <m/>
  </r>
  <r>
    <m/>
    <m/>
    <x v="221"/>
    <x v="64"/>
    <m/>
    <s v="“Pemfigus Vulgaris Hastalarında Rituksimab Tedavisinden Sonrası Relaps İle İlişkili Laboratuar ve Klinik Parametrelerin Araştırılması”"/>
    <m/>
    <m/>
    <m/>
    <m/>
    <m/>
    <m/>
    <m/>
    <m/>
    <m/>
    <m/>
  </r>
  <r>
    <m/>
    <m/>
    <x v="221"/>
    <x v="64"/>
    <m/>
    <s v="“PAX1 Gen Mutasyonunun Timus Gelişimi ve Fonksiyonu Üzerinde Etkilerinin Araştırılması”"/>
    <m/>
    <m/>
    <m/>
    <m/>
    <m/>
    <m/>
    <m/>
    <m/>
    <m/>
    <m/>
  </r>
  <r>
    <m/>
    <m/>
    <x v="221"/>
    <x v="64"/>
    <m/>
    <s v="“Mikozis Fungoides ve Ayırıcı Tanısına Giren Lezyonlarda TRPS1, RBC1, TOX ve PDCD1 Ekspresyonlarının Karşılaştırmalı Değerlendirilmesi: Tanısal Algoritma Geliştirmeye Yönelik Klinikopatolojik Yaklaşım”"/>
    <m/>
    <m/>
    <m/>
    <m/>
    <m/>
    <m/>
    <m/>
    <m/>
    <m/>
    <m/>
  </r>
  <r>
    <m/>
    <m/>
    <x v="221"/>
    <x v="64"/>
    <m/>
    <s v="“Başlangıç Yaşına Göre Atopik Dermatit Olgularının Klinik ve Laboratuvar Parametrelerinin Karşılaştırılması”"/>
    <m/>
    <m/>
    <m/>
    <m/>
    <m/>
    <m/>
    <m/>
    <m/>
    <m/>
    <m/>
  </r>
  <r>
    <m/>
    <m/>
    <x v="221"/>
    <x v="64"/>
    <m/>
    <s v="“Metastatik Kolorektal, Over ve Serviks Hastalarında Renal Sonlanımların Değerlendirilmesi”"/>
    <m/>
    <m/>
    <m/>
    <m/>
    <m/>
    <m/>
    <m/>
    <m/>
    <m/>
    <m/>
  </r>
  <r>
    <m/>
    <m/>
    <x v="221"/>
    <x v="64"/>
    <m/>
    <s v="“Pediyatrik Sarkomlarda Metabolik ve Radyomik Parametreler ile Prognostik Modelleme”"/>
    <m/>
    <m/>
    <m/>
    <m/>
    <m/>
    <m/>
    <m/>
    <m/>
    <m/>
    <m/>
  </r>
  <r>
    <m/>
    <m/>
    <x v="221"/>
    <x v="64"/>
    <m/>
    <s v="“Paraservikal Blok Uygulamasının Histeroskopi Sonrası Postoperatif Ağrı Üzerine Etkisi: Anket Çalışması”"/>
    <m/>
    <m/>
    <m/>
    <m/>
    <m/>
    <m/>
    <m/>
    <m/>
    <m/>
    <m/>
  </r>
  <r>
    <m/>
    <m/>
    <x v="221"/>
    <x v="64"/>
    <m/>
    <s v="“Jinekolojik Onkoloji Konsey Kararlarının Yapay Zekâ Destekli Kararlarla Karşılaştırılması: Over, Endometrium ve Serviks Kanseri Üzerine Retrospektif Bir Analiz”"/>
    <m/>
    <m/>
    <m/>
    <m/>
    <m/>
    <m/>
    <m/>
    <m/>
    <m/>
    <m/>
  </r>
  <r>
    <m/>
    <m/>
    <x v="221"/>
    <x v="64"/>
    <m/>
    <s v="“Nazal Dermoid Kistlere Multidisipliner Yaklaşım: Konjenital Vakaların Klinik, Görüntüleme ve Cerrahi Bulguları Üzerine Tek Merkezli Bir Analiz ”"/>
    <m/>
    <m/>
    <m/>
    <m/>
    <m/>
    <m/>
    <m/>
    <m/>
    <m/>
    <m/>
  </r>
  <r>
    <m/>
    <m/>
    <x v="221"/>
    <x v="64"/>
    <m/>
    <s v="''Besin Alerjili Çocuklarda Kazara Alerjen Maruziyeti: Sıklığı, Risk Faktörleri ve Yaşam Kalitesi Üzerindeki Etkileri''"/>
    <m/>
    <m/>
    <m/>
    <m/>
    <m/>
    <m/>
    <m/>
    <m/>
    <m/>
    <m/>
  </r>
  <r>
    <m/>
    <m/>
    <x v="221"/>
    <x v="64"/>
    <m/>
    <s v="“Manyetik Rezonans Görüntüleme ile Belirlenen Pankreas Yağlanmasının ERCP Sonrası Komplikasyonlarla İlişkisinin Değerlendirilmesi”"/>
    <m/>
    <m/>
    <m/>
    <m/>
    <m/>
    <m/>
    <m/>
    <m/>
    <m/>
    <m/>
  </r>
  <r>
    <m/>
    <m/>
    <x v="221"/>
    <x v="64"/>
    <m/>
    <s v="“Triküspid Kapak Cerrahisi Uygulanmış Hastalarda Bradikardi Tedavisinde Kalıcı Kalp Pilinin Koroner Sinüs Yoluyla Uygulanması”"/>
    <m/>
    <m/>
    <m/>
    <m/>
    <m/>
    <m/>
    <m/>
    <m/>
    <m/>
    <m/>
  </r>
  <r>
    <m/>
    <m/>
    <x v="221"/>
    <x v="64"/>
    <m/>
    <s v="“Kardiyak Bilgisayarlı Tomografi Anjiyografi Bulguları ile Koroner Arter Hastalığının Seyri ve Stent İçi Restenoz Arasındaki İlişkinin Degerlendirilmesi”"/>
    <m/>
    <m/>
    <m/>
    <m/>
    <m/>
    <m/>
    <m/>
    <m/>
    <m/>
    <m/>
  </r>
  <r>
    <m/>
    <m/>
    <x v="221"/>
    <x v="64"/>
    <m/>
    <s v="“Türkiye’de 2022–2024 Yılları Arasında Gerçekleştirilen Aile Hekimliği Uyum Eğitimlerinin Etkililiğinin Değerlendirilmesi: Ön Test ve Son Test Sonuçları Üzerinden Bir Analiz”"/>
    <m/>
    <m/>
    <m/>
    <m/>
    <m/>
    <m/>
    <m/>
    <m/>
    <m/>
    <m/>
  </r>
  <r>
    <m/>
    <m/>
    <x v="221"/>
    <x v="64"/>
    <m/>
    <s v="“Yüksek Enerjili Patlayıcılara Bağlı Gelişen İşitme Kayıplarının Adli Tıbbi Değerlendirilmesi”"/>
    <m/>
    <m/>
    <m/>
    <m/>
    <m/>
    <m/>
    <m/>
    <m/>
    <m/>
    <m/>
  </r>
  <r>
    <m/>
    <m/>
    <x v="221"/>
    <x v="64"/>
    <m/>
    <s v="“Travma İlişkili Venöz Tromboembolizm Olgularının Medikolegal Açıdan İncelenmesi”"/>
    <m/>
    <m/>
    <m/>
    <m/>
    <m/>
    <m/>
    <m/>
    <m/>
    <m/>
    <m/>
  </r>
  <r>
    <m/>
    <m/>
    <x v="221"/>
    <x v="64"/>
    <m/>
    <s v="“Santral Sinir Sistemi Lenfomalarında Sentinel Lezyonların Görüntüleme Bulguları ve Tanısal Önemi”"/>
    <m/>
    <m/>
    <m/>
    <m/>
    <m/>
    <m/>
    <m/>
    <m/>
    <m/>
    <m/>
  </r>
  <r>
    <m/>
    <m/>
    <x v="221"/>
    <x v="64"/>
    <m/>
    <s v="&quot;Diş Hekimliği Lisans Eğitiminde Total Protez Konulu Açık Uçlu Sınav Sorularının Büyük Dil Modelleri ve Uzman Puanlamaları ile Karşılaştırılması.”"/>
    <m/>
    <m/>
    <m/>
    <m/>
    <m/>
    <m/>
    <m/>
    <m/>
    <m/>
    <m/>
  </r>
  <r>
    <m/>
    <m/>
    <x v="221"/>
    <x v="64"/>
    <m/>
    <s v="“Gastrointestinal Sistem İlişkili Ani Beklenmedik Ölümler: Retrospektif Otopsi Çalışması”"/>
    <m/>
    <m/>
    <m/>
    <m/>
    <m/>
    <m/>
    <m/>
    <m/>
    <m/>
    <m/>
  </r>
  <r>
    <m/>
    <m/>
    <x v="221"/>
    <x v="64"/>
    <m/>
    <s v="“Çocukluk ve Ergenlik Döneminde Gerçekleşen Doğal Olmayan Ölüm Olgularının Değerlendirilmesi”"/>
    <m/>
    <m/>
    <m/>
    <m/>
    <m/>
    <m/>
    <m/>
    <m/>
    <m/>
    <m/>
  </r>
  <r>
    <m/>
    <m/>
    <x v="221"/>
    <x v="64"/>
    <m/>
    <s v="“El Osteoartriti ve İnflamatuar Artritlerde Transarteriyel Periartiküler Embolizasyon: Teknik Uygulanabilirlik ve Klinik Sonuçları”"/>
    <m/>
    <m/>
    <m/>
    <m/>
    <m/>
    <m/>
    <m/>
    <m/>
    <m/>
    <m/>
  </r>
  <r>
    <m/>
    <m/>
    <x v="221"/>
    <x v="64"/>
    <m/>
    <s v="“Fankoni Anemisinde Büyüme Hormonu Eksikliği Olan Olguların Özelliklerinin İncelenmesi”"/>
    <m/>
    <m/>
    <m/>
    <m/>
    <m/>
    <m/>
    <m/>
    <m/>
    <m/>
    <m/>
  </r>
  <r>
    <m/>
    <m/>
    <x v="221"/>
    <x v="64"/>
    <m/>
    <s v="“Humerus'un Proksimal Kısmının Morfometrik Özelliklerinin Değerlendirilmesi ve Klinik Önemi&quot;"/>
    <m/>
    <m/>
    <m/>
    <m/>
    <m/>
    <m/>
    <m/>
    <m/>
    <m/>
    <m/>
  </r>
  <r>
    <m/>
    <m/>
    <x v="221"/>
    <x v="64"/>
    <m/>
    <s v="“Matür T Hücreli Lenfomalarda INI-1 (SMARCB1) Ekspresyon Kaybının Değerlendirilmesi”"/>
    <m/>
    <m/>
    <m/>
    <m/>
    <m/>
    <m/>
    <m/>
    <m/>
    <m/>
    <m/>
  </r>
  <r>
    <m/>
    <m/>
    <x v="221"/>
    <x v="64"/>
    <m/>
    <s v="“Tip-1 Diyabeti Olan Çocuklarda Sağlıkta Baba Katılımı ve İlişkili Faktörler&quot;"/>
    <m/>
    <m/>
    <m/>
    <m/>
    <m/>
    <m/>
    <m/>
    <m/>
    <m/>
    <m/>
  </r>
  <r>
    <m/>
    <m/>
    <x v="221"/>
    <x v="64"/>
    <m/>
    <s v="“Kronik Oklüzif İliofemoral Hastalıkta Rekanalizasyon: Endovasküler Tedavi Sonuçları ve Venöz Giriş Akımının Asendan Venografi ile Değerlendirilmesi”"/>
    <m/>
    <m/>
    <m/>
    <m/>
    <m/>
    <m/>
    <m/>
    <m/>
    <m/>
    <m/>
  </r>
  <r>
    <m/>
    <m/>
    <x v="221"/>
    <x v="64"/>
    <m/>
    <s v="“Down Sendromu Tanısı Almış Çocuk Hastaların Mandibula Kemik Yapısının Fraktal Analizi”"/>
    <m/>
    <m/>
    <m/>
    <m/>
    <m/>
    <m/>
    <m/>
    <m/>
    <m/>
    <m/>
  </r>
  <r>
    <m/>
    <m/>
    <x v="221"/>
    <x v="64"/>
    <m/>
    <s v="“DiGeorge Sendromu Tanısı Almış Çocuk Hastaların Mandibula Kemik Yapısının Fraktal Analizi”"/>
    <m/>
    <m/>
    <m/>
    <m/>
    <m/>
    <m/>
    <m/>
    <m/>
    <m/>
    <m/>
  </r>
  <r>
    <m/>
    <m/>
    <x v="221"/>
    <x v="64"/>
    <m/>
    <s v="“Disfonili Hastalarda Multidisipliner Ses Konseyi Kararları ile ChatGPT Yanıtlarının Karşılaştırılması”"/>
    <m/>
    <m/>
    <m/>
    <m/>
    <m/>
    <m/>
    <m/>
    <m/>
    <m/>
    <m/>
  </r>
  <r>
    <m/>
    <m/>
    <x v="221"/>
    <x v="64"/>
    <m/>
    <s v="“3D Modelleme ile Cerrahi Planlama'nın Sakral Nöromodülasyon Cerrahisine ve Başarıya Olan Katkısının Değerlendirilmesi”"/>
    <m/>
    <m/>
    <m/>
    <m/>
    <m/>
    <m/>
    <m/>
    <m/>
    <m/>
    <m/>
  </r>
  <r>
    <m/>
    <m/>
    <x v="221"/>
    <x v="64"/>
    <m/>
    <s v="&quot;İmmünoterapi Alan Hastalarda Serum Vitamin D Düzeylerinin Prognostik Önemi &quot;"/>
    <m/>
    <m/>
    <m/>
    <m/>
    <m/>
    <m/>
    <m/>
    <m/>
    <m/>
    <m/>
  </r>
  <r>
    <m/>
    <m/>
    <x v="221"/>
    <x v="64"/>
    <m/>
    <s v="“Ektopik Gebelik Tanısı Alan Hastalarda Metotreksat Tedavisinin mg/m2 veya mg/kg Dozuna Göre Uygulanıp Etkinliğin Değerlendirilmesi ve Cerrahi Müdahale Gerektiren Vakaları Retrospektif Olarak Belirlenmesi”"/>
    <m/>
    <m/>
    <m/>
    <m/>
    <m/>
    <m/>
    <m/>
    <m/>
    <m/>
    <m/>
  </r>
  <r>
    <m/>
    <m/>
    <x v="221"/>
    <x v="64"/>
    <m/>
    <s v="“Pediatrik Pankreas Cerrahisinde Postoperatif Komplikasyonlar: On Yılda Ne Öğrendik?”"/>
    <m/>
    <m/>
    <m/>
    <m/>
    <m/>
    <m/>
    <m/>
    <m/>
    <m/>
    <m/>
  </r>
  <r>
    <m/>
    <m/>
    <x v="221"/>
    <x v="64"/>
    <m/>
    <s v="“Transkateter Aort Kapak İmplantasyonu Yapılan Hastalarda Kapak Fonksiyonlarının, Kalıcı Pil İhtiyacı Prediktörlerinin, Periprosedürel Komplikasyonların ve Takip Verilerinin Retrospektif Değerlendirilmesi”"/>
    <m/>
    <m/>
    <m/>
    <m/>
    <m/>
    <m/>
    <m/>
    <m/>
    <m/>
    <m/>
  </r>
  <r>
    <m/>
    <m/>
    <x v="221"/>
    <x v="64"/>
    <m/>
    <s v="“Hipertrofik Kardiyomiyopati Tanılı Hastalarda Atriyal Fibrilasyon Ablasyonu Sonrası Klinik Sonlanımlar”"/>
    <m/>
    <m/>
    <m/>
    <m/>
    <m/>
    <m/>
    <m/>
    <m/>
    <m/>
    <m/>
  </r>
  <r>
    <m/>
    <m/>
    <x v="221"/>
    <x v="64"/>
    <m/>
    <s v="“Tropomiyozin ve Arjinin Kinaz Duyarlılıkları Arasındaki İlişkilerin İncelenmesi”"/>
    <m/>
    <m/>
    <m/>
    <m/>
    <m/>
    <m/>
    <m/>
    <m/>
    <m/>
    <m/>
  </r>
  <r>
    <m/>
    <m/>
    <x v="221"/>
    <x v="64"/>
    <m/>
    <s v="“CDK 4/6 İnhibitörü Kullanan Metastik Meme Kanseri Hastalarında Sağkalıma Etki Eden Faktörlerin Yapay Zeka Aracılığıy Belirlenmesi”"/>
    <m/>
    <m/>
    <m/>
    <m/>
    <m/>
    <m/>
    <m/>
    <m/>
    <m/>
    <m/>
  </r>
  <r>
    <m/>
    <m/>
    <x v="221"/>
    <x v="64"/>
    <m/>
    <s v="“Kas Ultrasonografisi ile Yapılan Kas Kütlesi Ölçümleri ile Geriatri Populasyonda Referans Kas Kütlesi Değerlerinin Belirlenmesi”"/>
    <m/>
    <m/>
    <m/>
    <m/>
    <m/>
    <m/>
    <m/>
    <m/>
    <m/>
    <m/>
  </r>
  <r>
    <m/>
    <m/>
    <x v="221"/>
    <x v="64"/>
    <m/>
    <s v="“Küçük Hücreli Dışı Akciğer Kanseri Tanılı Hastalarda Venöz Tromboembolizm Riskini Öngören Tahmin Modelinin Geliştirilmesi”"/>
    <m/>
    <m/>
    <m/>
    <m/>
    <m/>
    <m/>
    <m/>
    <m/>
    <m/>
    <m/>
  </r>
  <r>
    <m/>
    <m/>
    <x v="221"/>
    <x v="64"/>
    <m/>
    <s v="“Sistemik Otoinflamatuvar Hastalıklarda Üçüncü Nesil Dizileme ile Genetik Etiyolojinin Belirlenmesi”"/>
    <m/>
    <m/>
    <m/>
    <m/>
    <m/>
    <m/>
    <m/>
    <m/>
    <m/>
    <m/>
  </r>
  <r>
    <m/>
    <m/>
    <x v="221"/>
    <x v="64"/>
    <m/>
    <s v="“Yapay Zekanın Odontojenik Olmayan Ağrı Tanısındaki Başarısının Diş Hekimleri ile Karşılaştırılması: Senaryo Temelli Bir Veri Analizi”"/>
    <m/>
    <m/>
    <m/>
    <m/>
    <m/>
    <m/>
    <m/>
    <m/>
    <m/>
    <m/>
  </r>
  <r>
    <m/>
    <m/>
    <x v="221"/>
    <x v="64"/>
    <m/>
    <s v="“Şok Hastalarında Mikrodolaşım ve Makrodolaşımın Eş Zamanlı Değerlendirilmesi”"/>
    <m/>
    <m/>
    <m/>
    <m/>
    <m/>
    <m/>
    <m/>
    <m/>
    <m/>
    <m/>
  </r>
  <r>
    <m/>
    <m/>
    <x v="221"/>
    <x v="64"/>
    <m/>
    <s v="“Non-Metrik Kraniyal Özelliklerin Cinsiyet Ayrımında Makine Öğrenmesi ve Uzman Değerlendirmeleri”"/>
    <m/>
    <m/>
    <m/>
    <m/>
    <m/>
    <m/>
    <m/>
    <m/>
    <m/>
    <m/>
  </r>
  <r>
    <m/>
    <m/>
    <x v="221"/>
    <x v="64"/>
    <m/>
    <s v="&quot;Anne ve Babaların Olumsuz Çocukluk Çağı Deneyimlerinin Erken Doğum Öyküsü Olan Çocukların Gelişimlerine Etkileri&quot;"/>
    <m/>
    <m/>
    <m/>
    <m/>
    <m/>
    <m/>
    <m/>
    <m/>
    <m/>
    <m/>
  </r>
  <r>
    <m/>
    <m/>
    <x v="221"/>
    <x v="64"/>
    <m/>
    <s v="“Os Naviculare Cerrahi Fiksasyonu İçin İmplant Boyutlarının Optimizasyonu: Morfometrik Çalışma”"/>
    <m/>
    <m/>
    <m/>
    <m/>
    <m/>
    <m/>
    <m/>
    <m/>
    <m/>
    <m/>
  </r>
  <r>
    <m/>
    <m/>
    <x v="221"/>
    <x v="64"/>
    <m/>
    <s v="“Ağız Diş Ve Çene Cerrahisi Kliniğine Başvuran Hastaların Yapay Zeka Farkındalik Düzeyi İle Ağız Sağlığı ile İliskili Yaşam Kalitesi Arasındaki Korelasyonun Değerlendirilmesi”"/>
    <m/>
    <m/>
    <m/>
    <m/>
    <m/>
    <m/>
    <m/>
    <m/>
    <m/>
    <m/>
  </r>
  <r>
    <m/>
    <m/>
    <x v="221"/>
    <x v="64"/>
    <m/>
    <s v="“Kronik Obstrüktif Akciğer Hastalığı Tanılı İleri Yaş Hastalarda Anksiyete ve Depresyonun İnhaler Uyumuyla İlişkisinin İncelenmesi”"/>
    <m/>
    <m/>
    <m/>
    <m/>
    <m/>
    <m/>
    <m/>
    <m/>
    <m/>
    <m/>
  </r>
  <r>
    <m/>
    <m/>
    <x v="221"/>
    <x v="64"/>
    <m/>
    <s v="“Erişkin Kistik Fibrozis Hastalarında Modülatör Tedaviye Erişim Sürecinin Psikososyal ve Ekonomik Etkilerinin Değerlendirilmesi”"/>
    <m/>
    <m/>
    <m/>
    <m/>
    <m/>
    <m/>
    <m/>
    <m/>
    <m/>
    <m/>
  </r>
  <r>
    <m/>
    <m/>
    <x v="221"/>
    <x v="64"/>
    <m/>
    <s v="“Spinal Musküler Atrofi (SMA) Tip 1 ve 2 Hastalarında İntratekal Nusinersenin Ultrasonografi Eşliğinde Uygulanmasının Değerlendirilmesi”"/>
    <m/>
    <m/>
    <m/>
    <m/>
    <m/>
    <m/>
    <m/>
    <m/>
    <m/>
    <m/>
  </r>
  <r>
    <m/>
    <m/>
    <x v="221"/>
    <x v="64"/>
    <m/>
    <s v="“Metafizyel Displazi Olgularında Klinik Spektrumun ve Genetik Etiyolojinin İncelenmesi”"/>
    <m/>
    <m/>
    <m/>
    <m/>
    <m/>
    <m/>
    <m/>
    <m/>
    <m/>
    <m/>
  </r>
  <r>
    <m/>
    <m/>
    <x v="221"/>
    <x v="64"/>
    <m/>
    <s v="“Cerrahi Zorluğu Ölçmenin Yeni Yolu: VESPA skoru ile DIEP Fleplerde Anatomik Karmaşıklığın Sayısallaştırılması”"/>
    <m/>
    <m/>
    <m/>
    <m/>
    <m/>
    <m/>
    <m/>
    <m/>
    <m/>
    <m/>
  </r>
  <r>
    <m/>
    <m/>
    <x v="221"/>
    <x v="64"/>
    <m/>
    <s v="“Karaciğer Hastalıkları ile İlgili Stigmatizasyon Ölçeği Geliştirme Çalışması: Metodolojik Araştırma”"/>
    <m/>
    <m/>
    <m/>
    <m/>
    <m/>
    <m/>
    <m/>
    <m/>
    <m/>
    <m/>
  </r>
  <r>
    <m/>
    <m/>
    <x v="221"/>
    <x v="64"/>
    <m/>
    <s v="“SLC2943 Gen Defekti Olan Hastalarda Otofajinin İncelenmesi”"/>
    <m/>
    <m/>
    <m/>
    <m/>
    <m/>
    <m/>
    <m/>
    <m/>
    <m/>
    <m/>
  </r>
  <r>
    <m/>
    <m/>
    <x v="221"/>
    <x v="64"/>
    <m/>
    <s v="“Cerrahi veya Perkütan Yolla Atriyal Septal Defekt Kapatılan Hastalarda Atriyal Taşikardinin Kateter Ablasyonunun Sonlanım Noktalarının İncelenmesi”"/>
    <m/>
    <m/>
    <m/>
    <m/>
    <m/>
    <m/>
    <m/>
    <m/>
    <m/>
    <m/>
  </r>
  <r>
    <m/>
    <m/>
    <x v="221"/>
    <x v="64"/>
    <m/>
    <s v="“Bir Kamu Hastanesinin Acil Servisinde Yalın Yönetim Uygulaması”"/>
    <m/>
    <m/>
    <m/>
    <m/>
    <m/>
    <m/>
    <m/>
    <m/>
    <m/>
    <m/>
  </r>
  <r>
    <m/>
    <m/>
    <x v="221"/>
    <x v="64"/>
    <m/>
    <s v="“Ankara’da Bir İlçe Belediyesi Ana Hizmet Binasında Görev Yapan Belediye Çalışanlarının İklim Değişikliği Risk Algısının Değerlendirilmesi”"/>
    <m/>
    <m/>
    <m/>
    <m/>
    <m/>
    <m/>
    <m/>
    <m/>
    <m/>
    <m/>
  </r>
  <r>
    <m/>
    <m/>
    <x v="221"/>
    <x v="64"/>
    <m/>
    <s v="“Kalp Hastalığı Olan Çocukların Sağlık Durumları ile Ebeveynlerinin Yaşantılarının Uyum ve Mücadele Dinamiklerinin Nitel Analizi”"/>
    <m/>
    <m/>
    <m/>
    <m/>
    <m/>
    <m/>
    <m/>
    <m/>
    <m/>
    <m/>
  </r>
  <r>
    <m/>
    <m/>
    <x v="221"/>
    <x v="64"/>
    <m/>
    <s v="&quot;Diferansiye Tiroid Kanserlerinde Tedavi Öncesi Kan Sonuçlarının Prognostik Değerlendirmesi&quot;"/>
    <m/>
    <m/>
    <m/>
    <m/>
    <m/>
    <m/>
    <m/>
    <m/>
    <m/>
    <m/>
  </r>
  <r>
    <m/>
    <m/>
    <x v="221"/>
    <x v="64"/>
    <m/>
    <s v="“Hacettepe Üniversitesi Genel Dahiliye Polikliniğine Başvuran 40-65 Yaş Arası Bireylerde Kardiyovasküler Riskin Değerlendirilmesi ve Risk Farkındalığının İncelenmesi”"/>
    <m/>
    <m/>
    <m/>
    <m/>
    <m/>
    <m/>
    <m/>
    <m/>
    <m/>
    <m/>
  </r>
  <r>
    <m/>
    <m/>
    <x v="221"/>
    <x v="64"/>
    <m/>
    <s v="“Susam veya Kabuklu Ağaç Yemişi Alerjisi Olan Hastalarda Deri Prick Testi, Besin Spesifik IgE ve Dudak Teması Testine Dayalı Risk Skorlaması”"/>
    <m/>
    <m/>
    <m/>
    <m/>
    <m/>
    <m/>
    <m/>
    <m/>
    <m/>
    <m/>
  </r>
  <r>
    <m/>
    <m/>
    <x v="221"/>
    <x v="64"/>
    <m/>
    <s v="“Çocuk Acile Başvuran İdrar Toksikolojisi Gönderilen Ergenlerin Ergen Sağlığı İzlemi”"/>
    <m/>
    <m/>
    <m/>
    <m/>
    <m/>
    <m/>
    <m/>
    <m/>
    <m/>
    <m/>
  </r>
  <r>
    <m/>
    <m/>
    <x v="221"/>
    <x v="64"/>
    <m/>
    <s v="“Farklı Kök Kanal Dolgu Materyallerinin Devital Beyazlatma Sonrası Renk Stabilitesi ve Fraktür Direnci Üzerine Etkileri: Laboratuvar Çalışması”"/>
    <m/>
    <m/>
    <m/>
    <m/>
    <m/>
    <m/>
    <m/>
    <m/>
    <m/>
    <m/>
  </r>
  <r>
    <m/>
    <m/>
    <x v="221"/>
    <x v="64"/>
    <m/>
    <s v="“Bronkopulmoner Displazinin Erken Tanı ve Tedavi Sürecinin İzleminde Yapay Zeka Destekli Metabolomik Yaklaşımlar”"/>
    <m/>
    <m/>
    <m/>
    <m/>
    <m/>
    <m/>
    <m/>
    <m/>
    <m/>
    <m/>
  </r>
  <r>
    <m/>
    <m/>
    <x v="221"/>
    <x v="64"/>
    <m/>
    <s v="“Kök Kanal Dolgu Materyalleri ve İntraorifis Bariyer Materyali Etkileşiminin İntrakoronal Beyazlatma ve Kırılma Dayanımı Üzerindeki Etkisi: İn Vitro Çalışma”"/>
    <m/>
    <m/>
    <m/>
    <m/>
    <m/>
    <m/>
    <m/>
    <m/>
    <m/>
    <m/>
  </r>
  <r>
    <m/>
    <m/>
    <x v="221"/>
    <x v="64"/>
    <m/>
    <s v="“Atriyal Septal Defekt Tanısı Olan Pediatrik Hastalarda Demografik, Klinik ve Ekokardiyografik Bulguların Değerlendirilmesi ile İzlem Sürecinde Bu Parametrelerdeki Değişikliklerin Araştırılması”"/>
    <m/>
    <m/>
    <m/>
    <m/>
    <m/>
    <m/>
    <m/>
    <m/>
    <m/>
    <m/>
  </r>
  <r>
    <m/>
    <m/>
    <x v="221"/>
    <x v="64"/>
    <m/>
    <s v="“Glioblastoma Multiforme Hastalarında Venöz Tromboembolizm ve Hidrosefali Risk Faktörlerinin Anlaşılması ve Rekürren Cerrahi Sonrası Komplikasyonların Belirlenmesi”"/>
    <m/>
    <m/>
    <m/>
    <m/>
    <m/>
    <m/>
    <m/>
    <m/>
    <m/>
    <m/>
  </r>
  <r>
    <m/>
    <m/>
    <x v="221"/>
    <x v="64"/>
    <m/>
    <s v="“Çocukluk Başlangıçlı Monogenik Sendromik Obezitenin Erişkin Dönem Klinik Seyri”"/>
    <m/>
    <m/>
    <m/>
    <m/>
    <m/>
    <m/>
    <m/>
    <m/>
    <m/>
    <m/>
  </r>
  <r>
    <m/>
    <m/>
    <x v="221"/>
    <x v="64"/>
    <m/>
    <s v="“Rasgrp1 Mutasyonu Olan Hastaların Klinik ve Laboratuvar Özelliklerinin Değerlendirilmesi ”"/>
    <m/>
    <m/>
    <m/>
    <m/>
    <m/>
    <m/>
    <m/>
    <m/>
    <m/>
    <m/>
  </r>
  <r>
    <m/>
    <m/>
    <x v="221"/>
    <x v="64"/>
    <m/>
    <s v="“İnflamatuar Barsak Hastalıklarında Komplikasyon ve Tedavi Direncinin Retrospektif Veriler Üzerinden Büyük Dil Modeli (LLM) ile Değerlendirilmesi”"/>
    <m/>
    <m/>
    <m/>
    <m/>
    <m/>
    <m/>
    <m/>
    <m/>
    <m/>
    <m/>
  </r>
  <r>
    <m/>
    <m/>
    <x v="221"/>
    <x v="64"/>
    <m/>
    <s v="“IDH Mutant Düşük Gradeli Gliomların Cerrahi Tedavisi Sonrasıda Kullanılan Adjuvan Tedavi Modalitelirinin Karşılaştırılması”"/>
    <m/>
    <m/>
    <m/>
    <m/>
    <m/>
    <m/>
    <m/>
    <m/>
    <m/>
    <m/>
  </r>
  <r>
    <m/>
    <m/>
    <x v="221"/>
    <x v="64"/>
    <m/>
    <s v="“İskelet Siliyopatisi Hastalarında Ağız Sağlığı Durumu Değerlendirilmesi”"/>
    <m/>
    <m/>
    <m/>
    <m/>
    <m/>
    <m/>
    <m/>
    <m/>
    <m/>
    <m/>
  </r>
  <r>
    <m/>
    <m/>
    <x v="221"/>
    <x v="64"/>
    <m/>
    <s v="“Os Hyoideum Anatomik Değerlendirmesi: Şekil, Füzyon, Gövde Genişliği ve Bunların Birbirleriyle Olan İlişkileri, Basit Bir Sınıflandırma Önerisiyle”"/>
    <m/>
    <m/>
    <m/>
    <m/>
    <m/>
    <m/>
    <m/>
    <m/>
    <m/>
    <m/>
  </r>
  <r>
    <m/>
    <m/>
    <x v="221"/>
    <x v="64"/>
    <m/>
    <s v="“Klinefelter Sendromlu Hastalarda Klinik, Gelişimsel, Genetik ve Reprodüktif Özelliklerin Değerlendirilmesi”"/>
    <m/>
    <m/>
    <m/>
    <m/>
    <m/>
    <m/>
    <m/>
    <m/>
    <m/>
    <m/>
  </r>
  <r>
    <m/>
    <m/>
    <x v="221"/>
    <x v="64"/>
    <m/>
    <s v="“Geriatri Hekimlerinin Reçeteleme Kaskadı Hakkında Farkındalığı ve Yönetim Yaklaşımlarının Değerlendirilmesi: Ulusal Düzeyde Bir Çalışma”"/>
    <m/>
    <m/>
    <m/>
    <m/>
    <m/>
    <m/>
    <m/>
    <m/>
    <m/>
    <m/>
  </r>
  <r>
    <m/>
    <m/>
    <x v="221"/>
    <x v="64"/>
    <m/>
    <s v="“Çocuk Romatoloji Hastalarında Tümör Nekroz Faktör Alfa Blokör Tedavisinin Tiroid Fonksiyonu Üzerine Etkisinin Değerlendirilmesi”"/>
    <m/>
    <m/>
    <m/>
    <m/>
    <m/>
    <m/>
    <m/>
    <m/>
    <m/>
    <m/>
  </r>
  <r>
    <m/>
    <m/>
    <x v="221"/>
    <x v="64"/>
    <m/>
    <s v="Minimal İnvaziv Kardiyak Cerrahi Uygulanan Pediatrik Hastalarda Anestezi Yönetimi: Tek Merkezli Olgu Serisi-Bireysel Araştırma”"/>
    <m/>
    <m/>
    <m/>
    <m/>
    <m/>
    <m/>
    <m/>
    <m/>
    <m/>
    <m/>
  </r>
  <r>
    <m/>
    <m/>
    <x v="221"/>
    <x v="64"/>
    <m/>
    <s v="“Kritik Hastalarda Enteral Beslenme Hedeflerine Ulaşma Durumu ve Klinik Sonuçlarla İlişkisi”"/>
    <m/>
    <m/>
    <m/>
    <m/>
    <m/>
    <m/>
    <m/>
    <m/>
    <m/>
    <m/>
  </r>
  <r>
    <m/>
    <m/>
    <x v="221"/>
    <x v="64"/>
    <m/>
    <s v="“Mizofoninin Klinik Alt Türleri: Demografik Özellikler, Ruhsal ve Bedensel Ek Tanıların İki Aşamalı İncelenmesi”"/>
    <m/>
    <m/>
    <m/>
    <m/>
    <m/>
    <m/>
    <m/>
    <m/>
    <m/>
    <m/>
  </r>
  <r>
    <m/>
    <m/>
    <x v="221"/>
    <x v="64"/>
    <m/>
    <s v="“Bireysel Sodyum Sitrat Tüketiminin Kadın Futbolcularda Tekrarlı Sprint Performansına Etkisi”"/>
    <m/>
    <m/>
    <m/>
    <m/>
    <m/>
    <m/>
    <m/>
    <m/>
    <m/>
    <m/>
  </r>
  <r>
    <m/>
    <m/>
    <x v="221"/>
    <x v="64"/>
    <m/>
    <s v="“Radikal Prostatektomiye Bağlı Erektil Disfonksiyon ve Preoperatif Hasta Bilgilendirme Düzeyinin Değerlendirilmesi”"/>
    <m/>
    <m/>
    <m/>
    <m/>
    <m/>
    <m/>
    <m/>
    <m/>
    <m/>
    <m/>
  </r>
  <r>
    <m/>
    <m/>
    <x v="221"/>
    <x v="64"/>
    <m/>
    <s v="“Konjenital Kalp Hastalıkları Ameliyatlarından Sonra Gelişen Akut Böbrek Hasarına Etki Eden Faktörlerin İncelenmesi”"/>
    <m/>
    <m/>
    <m/>
    <m/>
    <m/>
    <m/>
    <m/>
    <m/>
    <m/>
    <m/>
  </r>
  <r>
    <m/>
    <m/>
    <x v="221"/>
    <x v="64"/>
    <m/>
    <s v="“Sanal Mentorluğun Dinamiklerini Keşfetmek: WONCA Araştırma Çalışma Grubu Programındaki Engeller, Kolaylaştırıcılar ve Mentor ve Danışanların Beklentileri Üzerine Betimleyici Bir Çalışma”"/>
    <m/>
    <m/>
    <m/>
    <m/>
    <m/>
    <m/>
    <m/>
    <m/>
    <m/>
    <m/>
  </r>
  <r>
    <m/>
    <m/>
    <x v="221"/>
    <x v="64"/>
    <m/>
    <s v="“Akromegali ve Prolaktinoma Hastalarında Hepsidin, Eritroferron, Eritropoietin, Soluble Transferrin Reseptör ve Fibroblast Growth Faktör-23 Düzeyleri İle Hematolojik Parametrelerin İlişkisi”"/>
    <m/>
    <m/>
    <m/>
    <m/>
    <m/>
    <m/>
    <m/>
    <m/>
    <m/>
    <m/>
  </r>
  <r>
    <m/>
    <m/>
    <x v="221"/>
    <x v="64"/>
    <m/>
    <s v="“Şeffaf Plak Ataşmanlarında Kullanılan Kompozit Rezinin Renklendirme Ajanı Uygulanması Sonrası Dayanıklılık ve Yüzey Özelliklerinin Karşılaştırılması”"/>
    <m/>
    <m/>
    <m/>
    <m/>
    <m/>
    <m/>
    <m/>
    <m/>
    <m/>
    <m/>
  </r>
  <r>
    <m/>
    <m/>
    <x v="221"/>
    <x v="64"/>
    <m/>
    <s v="“Multipl Skleroz (MS) Tanılı Hastalarda MS Mesane Kontrol Aracı Kullanılarak Alt Üriner Sistem Semptomlarının Ön Değerlendirmesi ve Fonksiyonel Üroloji Polikliniğine Yönlendirme Kriterlerinin Belirlenmesi”"/>
    <m/>
    <m/>
    <m/>
    <m/>
    <m/>
    <m/>
    <m/>
    <m/>
    <m/>
    <m/>
  </r>
  <r>
    <m/>
    <m/>
    <x v="221"/>
    <x v="64"/>
    <m/>
    <s v="“Antenatal Kortikosteroid Uygulanan Fetüslerde Fetal Pulmoner Ven Dopplerinin Longitudinal İzlemi ve Perinatal Sonuçlarla İlişkisi: Prospektif Kohort Çalışması”"/>
    <m/>
    <m/>
    <m/>
    <m/>
    <m/>
    <m/>
    <m/>
    <m/>
    <m/>
    <m/>
  </r>
  <r>
    <m/>
    <m/>
    <x v="221"/>
    <x v="64"/>
    <m/>
    <s v="“Tip 1 Interferonopati Tanılı Pediatrik Hastalarda Klinik ve Laboratuvar Bulguların Degerlendirilmesi”"/>
    <m/>
    <m/>
    <m/>
    <m/>
    <m/>
    <m/>
    <m/>
    <m/>
    <m/>
    <m/>
  </r>
  <r>
    <m/>
    <m/>
    <x v="221"/>
    <x v="64"/>
    <m/>
    <s v="“Türkiye'de Dudak ve Damak Yarıklarının Epidemiyoloji”"/>
    <m/>
    <m/>
    <m/>
    <m/>
    <m/>
    <m/>
    <m/>
    <m/>
    <m/>
    <m/>
  </r>
  <r>
    <m/>
    <m/>
    <x v="221"/>
    <x v="64"/>
    <m/>
    <s v="“Nadir Bir Over Tümörü: Ovaryen Fibrosarkom ve Mitotik Aktif Fibrom Olgularının Klinikopatolojik İncelemesi”"/>
    <m/>
    <m/>
    <m/>
    <m/>
    <m/>
    <m/>
    <m/>
    <m/>
    <m/>
    <m/>
  </r>
  <r>
    <m/>
    <m/>
    <x v="221"/>
    <x v="64"/>
    <m/>
    <s v="“Adneksiyel Torsiyon Tanısında Manyetik Rezonans Görüntülemenin Yeri”"/>
    <m/>
    <m/>
    <m/>
    <m/>
    <m/>
    <m/>
    <m/>
    <m/>
    <m/>
    <m/>
  </r>
  <r>
    <m/>
    <m/>
    <x v="221"/>
    <x v="64"/>
    <m/>
    <s v="“Patient Enablement Instrument (PEI)” Hasta Yetkilendirme Ölçeğinin Türkçe Geçerlilik ve Güvenilirlik Çalışması”"/>
    <m/>
    <m/>
    <m/>
    <m/>
    <m/>
    <m/>
    <m/>
    <m/>
    <m/>
    <m/>
  </r>
  <r>
    <m/>
    <m/>
    <x v="221"/>
    <x v="64"/>
    <m/>
    <s v="“Primer Atopik Hastalıklarda Yardımcı T Hücre 2 Yanıtının Multiomik Yaklaşımla Ayrıntılı Olarak Değerlendirilmesi”"/>
    <m/>
    <m/>
    <m/>
    <m/>
    <m/>
    <m/>
    <m/>
    <m/>
    <m/>
    <m/>
  </r>
  <r>
    <m/>
    <m/>
    <x v="221"/>
    <x v="64"/>
    <m/>
    <s v="“Monogenik Obezite ile İlişkili Varyant Saptanmış Erken Başlangıçlı Ciddi Obezitesi Olan Çocuklarda Klinik Ayırıcı Özelliklerin Belirlenmesi”"/>
    <m/>
    <m/>
    <m/>
    <m/>
    <m/>
    <m/>
    <m/>
    <m/>
    <m/>
    <m/>
  </r>
  <r>
    <m/>
    <m/>
    <x v="221"/>
    <x v="64"/>
    <m/>
    <s v="“Sağır ve İşitme Yetersizliği Olan Bireylerin Sağlıkla İlgili Bilgi Gereksinimlerini Karşılamaya Yönelik Görsel ve İşitsel Medya İçeriklerinin Geliştirilmesi Projesi”"/>
    <m/>
    <m/>
    <m/>
    <m/>
    <m/>
    <m/>
    <m/>
    <m/>
    <m/>
    <m/>
  </r>
  <r>
    <m/>
    <m/>
    <x v="221"/>
    <x v="64"/>
    <m/>
    <s v="“Üroloji Aalnında Çalışan Erkek Sağlık Profesyonellerinde Oturarak ve Ayakta İşeme Pozisyonlarının Üroflovmetrik Parametrelere Etkisinin Değerlendirilmesi”"/>
    <m/>
    <m/>
    <m/>
    <m/>
    <m/>
    <m/>
    <m/>
    <m/>
    <m/>
    <m/>
  </r>
  <r>
    <m/>
    <m/>
    <x v="221"/>
    <x v="64"/>
    <m/>
    <s v="“Kronik Obstrüktif Akciğer Hastalığının Oküler Mikrovasküler ParametrelerÜzerine Etkilerinin Değerlendirilmesi”"/>
    <m/>
    <m/>
    <m/>
    <m/>
    <m/>
    <m/>
    <m/>
    <m/>
    <m/>
    <m/>
  </r>
  <r>
    <m/>
    <m/>
    <x v="221"/>
    <x v="64"/>
    <m/>
    <s v="“Hepatosellüler Karsinom Tanılı Hastalarda Küratif Tedavi Al(a)mamasına Rağmen Uzun Süre Sağkalım Sağlanabilmiş Hastaların Klinik Özellikleri”"/>
    <m/>
    <m/>
    <m/>
    <m/>
    <m/>
    <m/>
    <m/>
    <m/>
    <m/>
    <m/>
  </r>
  <r>
    <m/>
    <m/>
    <x v="221"/>
    <x v="64"/>
    <m/>
    <s v="“Çocukluk Çağında Tanı Alan Adrenokortikal Tümörlerde Mitotan Kullanımının Endokrin Yan Etkilerinin İncelenmesi”"/>
    <m/>
    <m/>
    <m/>
    <m/>
    <m/>
    <m/>
    <m/>
    <m/>
    <m/>
    <m/>
  </r>
  <r>
    <m/>
    <m/>
    <x v="221"/>
    <x v="64"/>
    <m/>
    <s v="“Hastanede Yatan ve Nütrisyon Tedavisi alan Hastalarda Aspirasyon Pnömonisi ile İlişkili Faktörler: Retrospektif Kohort Çalışması”"/>
    <m/>
    <m/>
    <m/>
    <m/>
    <m/>
    <m/>
    <m/>
    <m/>
    <m/>
    <m/>
  </r>
  <r>
    <m/>
    <m/>
    <x v="221"/>
    <x v="64"/>
    <m/>
    <s v="“Pediatrik AdrenokortikalTümörler İçin Avrupa-Çapında Araştırma İnisiyatifi-Hastalığı Kavrama ve Tedavi Sonuçlarını Geliştirme”"/>
    <m/>
    <m/>
    <m/>
    <m/>
    <m/>
    <m/>
    <m/>
    <m/>
    <m/>
    <m/>
  </r>
  <r>
    <m/>
    <m/>
    <x v="221"/>
    <x v="64"/>
    <m/>
    <s v="“Nükleer Tıp Görüntüleme Yöntemleri ile Saptanan İnsidental Papiller Tiroid Mikrokarsinomlarının Klinikopatolojik Özelliklerinin Diğer Saptanma Yöntemleriyle Karşılaştırıması”"/>
    <m/>
    <m/>
    <m/>
    <m/>
    <m/>
    <m/>
    <m/>
    <m/>
    <m/>
    <m/>
  </r>
  <r>
    <m/>
    <m/>
    <x v="221"/>
    <x v="64"/>
    <m/>
    <s v="“Alerjik Çocuklarda Bileşene Dayalı Moleküler Test ile Alerjene Özgü IgE Duyarlılık Profilinin İncelenmesi”"/>
    <m/>
    <m/>
    <m/>
    <m/>
    <m/>
    <m/>
    <m/>
    <m/>
    <m/>
    <m/>
  </r>
  <r>
    <m/>
    <m/>
    <x v="221"/>
    <x v="64"/>
    <m/>
    <s v="“Sonografik Sol Ventrikül Çıkış Yolu Hız Zaman İntegrali Değerlendirmesi ile Hesaplanan Kalp Debisinin Akut Kalp Yetmezliği Tedavisinde Diüretik Direnci Göstergesi Olan Spot İdrar Sodyumu Ölçümü ile İlişkisinin İncelenmesi”"/>
    <m/>
    <m/>
    <m/>
    <m/>
    <m/>
    <m/>
    <m/>
    <m/>
    <m/>
    <m/>
  </r>
  <r>
    <m/>
    <m/>
    <x v="221"/>
    <x v="64"/>
    <m/>
    <s v="“Akut İskemik İnme Hastalarında “Genel Obezite”, “Santral Obezite” ve “Adipozite” İndekslerinin İnme Fenotipi, Aterosklerotik Arter Hastalıkları ve Prognoza Etkisi: Prospektif Çalışma”"/>
    <m/>
    <m/>
    <m/>
    <m/>
    <m/>
    <m/>
    <m/>
    <m/>
    <m/>
    <m/>
  </r>
  <r>
    <m/>
    <m/>
    <x v="221"/>
    <x v="64"/>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21"/>
    <x v="64"/>
    <m/>
    <s v="“Çocukluk Çağı Malign Karaciğer Tümörlü Hastalarının Retrospektif Analizi”"/>
    <m/>
    <m/>
    <m/>
    <m/>
    <m/>
    <m/>
    <m/>
    <m/>
    <m/>
    <m/>
  </r>
  <r>
    <m/>
    <m/>
    <x v="221"/>
    <x v="64"/>
    <m/>
    <s v="“IgE Aracılı Kabak Çekirdeği Alerjisinin Moleküler Karakterizasyonu”"/>
    <m/>
    <m/>
    <m/>
    <m/>
    <m/>
    <m/>
    <m/>
    <m/>
    <m/>
    <m/>
  </r>
  <r>
    <m/>
    <m/>
    <x v="221"/>
    <x v="64"/>
    <m/>
    <s v="“Atriyal Fibrilasyon Ablasyonu Planlanan Hastalarda Sol Atriyal Apendikste Trombüs Oluşumunun Öngorülmesi”"/>
    <m/>
    <m/>
    <m/>
    <m/>
    <m/>
    <m/>
    <m/>
    <m/>
    <m/>
    <m/>
  </r>
  <r>
    <m/>
    <m/>
    <x v="221"/>
    <x v="64"/>
    <m/>
    <s v="“Madde Kullanım Bozukluğu Hastalarında Yaygın Tek Nükleotid Polimorfizmlerinin Sıklığının Belirlenmesi ve Bunların Madde Kullanımını Yordayan Alt Özelliklerle İlişkileri”"/>
    <m/>
    <m/>
    <m/>
    <m/>
    <m/>
    <m/>
    <m/>
    <m/>
    <m/>
    <m/>
  </r>
  <r>
    <m/>
    <m/>
    <x v="221"/>
    <x v="64"/>
    <m/>
    <s v="“Koklear Hipoplazili Hastalarda Fasiyal Sinir Seyrinin Değerlendirilmesi”"/>
    <m/>
    <m/>
    <m/>
    <m/>
    <m/>
    <m/>
    <m/>
    <m/>
    <m/>
    <m/>
  </r>
  <r>
    <m/>
    <m/>
    <x v="221"/>
    <x v="64"/>
    <m/>
    <s v="“Çocuklarda Mantar Duyarlılık Profili ve Klinik ile İlişkisi”"/>
    <m/>
    <m/>
    <m/>
    <m/>
    <m/>
    <m/>
    <m/>
    <m/>
    <m/>
    <m/>
  </r>
  <r>
    <m/>
    <m/>
    <x v="221"/>
    <x v="64"/>
    <m/>
    <s v="“Molibden Kofaktor Eksikligi-Tek Merkez Deneyimi”"/>
    <m/>
    <m/>
    <m/>
    <m/>
    <m/>
    <m/>
    <m/>
    <m/>
    <m/>
    <m/>
  </r>
  <r>
    <m/>
    <m/>
    <x v="221"/>
    <x v="64"/>
    <m/>
    <s v="“CHARGE Sendromlu Hastalarda Kokleanın Yerleşiminin Değerlendirilmesi”"/>
    <m/>
    <m/>
    <m/>
    <m/>
    <m/>
    <m/>
    <m/>
    <m/>
    <m/>
    <m/>
  </r>
  <r>
    <m/>
    <m/>
    <x v="221"/>
    <x v="64"/>
    <m/>
    <s v="“Major Depresif Bozukluğu Olan Ergenlerde Kendine Zarar Verme Davranışı ile Ebeveynlerinin Duygu Düzenleme Becerileri ve Aile İşlevselliği Arasındaki İlişki”"/>
    <m/>
    <m/>
    <m/>
    <m/>
    <m/>
    <m/>
    <m/>
    <m/>
    <m/>
    <m/>
  </r>
  <r>
    <m/>
    <m/>
    <x v="221"/>
    <x v="64"/>
    <m/>
    <s v="“Katarakt Cerrahisinde Preoperatif Chord mu ve Chord alpha Referansı ile Yerleştirilen İntraoküler Göz İçi Mercek Santralizasyonunun Postoperatif Mikroperimetrik İki Değişkenli Eliptik Kontur Alan Sapma Açısı ile Değerlendirilmesi”"/>
    <m/>
    <m/>
    <m/>
    <m/>
    <m/>
    <m/>
    <m/>
    <m/>
    <m/>
    <m/>
  </r>
  <r>
    <m/>
    <m/>
    <x v="221"/>
    <x v="64"/>
    <m/>
    <s v="“Sınıf 3 Uzun Yüz Tipine Sahip Hastalarda Cerrahi Planlamanın Barcelona Çizgisi ve Gerçek Dikey Çizgi Açısından Karşılaştırmalı Değerlendirilmesi”"/>
    <m/>
    <m/>
    <m/>
    <m/>
    <m/>
    <m/>
    <m/>
    <m/>
    <m/>
    <m/>
  </r>
  <r>
    <m/>
    <m/>
    <x v="221"/>
    <x v="64"/>
    <m/>
    <s v="“Abdominal Tüberküloz Tanısı ile İzlenen Çocukların Klinik ve Laboratuar Özelliklerinin Değerlendirilmesi”"/>
    <m/>
    <m/>
    <m/>
    <m/>
    <m/>
    <m/>
    <m/>
    <m/>
    <m/>
    <m/>
  </r>
  <r>
    <m/>
    <m/>
    <x v="221"/>
    <x v="64"/>
    <m/>
    <s v="“Dikkat Eksikliği Hiperaktivite Bozukluğu Olan Ergenlerde Duyusal İşlemleme Özellikleri, Zihin Kuramı Becerileri ve Bilinçli Farkındalık Düzeylerinin Akran Zorbalığı İle İlişkisi”"/>
    <m/>
    <m/>
    <m/>
    <m/>
    <m/>
    <m/>
    <m/>
    <m/>
    <m/>
    <m/>
  </r>
  <r>
    <m/>
    <m/>
    <x v="221"/>
    <x v="64"/>
    <m/>
    <s v="“Covid-19 Pandemisinin Toplumdan Kazanılmış Pnömoni Etkenlerinin Epidemiyolojisine Etkisi: Retrospektif Bir Gözlemsel Çalışma”"/>
    <m/>
    <m/>
    <m/>
    <m/>
    <m/>
    <m/>
    <m/>
    <m/>
    <m/>
    <m/>
  </r>
  <r>
    <m/>
    <m/>
    <x v="221"/>
    <x v="64"/>
    <m/>
    <s v="“Malign Potansiyeli Belirsiz Uterus Düz Kas Tümörleri ile Erken Evre Leiomyosarkomda Rekürrensi ve Prognozu Öngörmede Klinik ve Histopatolojik Prediktörler”"/>
    <m/>
    <m/>
    <m/>
    <m/>
    <m/>
    <m/>
    <m/>
    <m/>
    <m/>
    <m/>
  </r>
  <r>
    <m/>
    <m/>
    <x v="221"/>
    <x v="64"/>
    <m/>
    <s v="“Papivir Kullanımının HPV Pozitif Kadınlarda Viral Klirense Etkisi”"/>
    <m/>
    <m/>
    <m/>
    <m/>
    <m/>
    <m/>
    <m/>
    <m/>
    <m/>
    <m/>
  </r>
  <r>
    <m/>
    <m/>
    <x v="221"/>
    <x v="64"/>
    <m/>
    <s v="“Pediatri Günübirlik Tedavi Servisinde İzlenen Tıbbi Olarak Karmaşık Çocukların Değerlendirilmesi”"/>
    <m/>
    <m/>
    <m/>
    <m/>
    <m/>
    <m/>
    <m/>
    <m/>
    <m/>
    <m/>
  </r>
  <r>
    <m/>
    <m/>
    <x v="221"/>
    <x v="64"/>
    <m/>
    <s v="“Tıp Fakültesi Öğrencilerinde İleri Kardiyak Yaşam Desteği Eğitiminde Oyun Kartları ile Öğrenmenin Değerlendirilmesi”"/>
    <m/>
    <m/>
    <m/>
    <m/>
    <m/>
    <m/>
    <m/>
    <m/>
    <m/>
    <m/>
  </r>
  <r>
    <m/>
    <m/>
    <x v="221"/>
    <x v="64"/>
    <m/>
    <s v="“Kistik Fibroziste Kistik Fibrozis Transmembran Regülator Modülatör Tedavinin Etkili Olmama Nedenlerinin İncelenmesi”"/>
    <m/>
    <m/>
    <m/>
    <m/>
    <m/>
    <m/>
    <m/>
    <m/>
    <m/>
    <m/>
  </r>
  <r>
    <m/>
    <m/>
    <x v="221"/>
    <x v="64"/>
    <m/>
    <s v="“Büyüme Hormonu Salgılama Hormonu ve Analoglarının İdrarda Nano Sıvı Kromatografisi Kuadrupol/Orbitrap Kütle Spektrometrisi Kullanılarak Analizi”"/>
    <m/>
    <m/>
    <m/>
    <m/>
    <m/>
    <m/>
    <m/>
    <m/>
    <m/>
    <m/>
  </r>
  <r>
    <m/>
    <m/>
    <x v="221"/>
    <x v="64"/>
    <m/>
    <s v="“Arteria Hepatica Sınıflamasının Radyolojik Olarak İncelenmesi”"/>
    <m/>
    <m/>
    <m/>
    <m/>
    <m/>
    <m/>
    <m/>
    <m/>
    <m/>
    <m/>
  </r>
  <r>
    <m/>
    <m/>
    <x v="221"/>
    <x v="64"/>
    <m/>
    <s v="“Malign Kemik Lezyonlarının Tedavisinde Perkütan Osteosentez ve Sementoplastinin Rolü ve Tedavi Sonuçlarının Değerlendirilmesi”"/>
    <m/>
    <m/>
    <m/>
    <m/>
    <m/>
    <m/>
    <m/>
    <m/>
    <m/>
    <m/>
  </r>
  <r>
    <m/>
    <m/>
    <x v="221"/>
    <x v="64"/>
    <m/>
    <s v="“Ligamentum Falciforme Hepatis Radyolojik Anatomisi: Morfometri ve Yağ Dokusu İlişkisi”"/>
    <m/>
    <m/>
    <m/>
    <m/>
    <m/>
    <m/>
    <m/>
    <m/>
    <m/>
    <m/>
  </r>
  <r>
    <m/>
    <m/>
    <x v="221"/>
    <x v="64"/>
    <m/>
    <s v="“Kulak Burun Boğaz Hastalarının Cerrahi Müdahaleler Hakkında Sık Sordukları Sorulara Büyük Dil Modelleri ve Uzmanlarının Verdiği Cevapların Hasta Bakış Açısından Karşılaştırılması”"/>
    <m/>
    <m/>
    <m/>
    <m/>
    <m/>
    <m/>
    <m/>
    <m/>
    <m/>
    <m/>
  </r>
  <r>
    <m/>
    <m/>
    <x v="221"/>
    <x v="64"/>
    <m/>
    <s v="“Farklı Büyük Dil Modellerinin Benign Larinks Patolojileri Hakkındaki Sorulara Verdiği Cevapların Doğruluklarının Araştırılması”"/>
    <m/>
    <m/>
    <m/>
    <m/>
    <m/>
    <m/>
    <m/>
    <m/>
    <m/>
    <m/>
  </r>
  <r>
    <m/>
    <m/>
    <x v="221"/>
    <x v="64"/>
    <m/>
    <s v="“Plöroparenkimal Fibroelastozis Tanılı Pediatrik Olguların Klinik, Radyolojik ve Tanı Süreçlerinin Değerlendirilmesi: Üç Olguluk Retrospektif Vaka Serisi”"/>
    <m/>
    <m/>
    <m/>
    <m/>
    <m/>
    <m/>
    <m/>
    <m/>
    <m/>
    <m/>
  </r>
  <r>
    <m/>
    <m/>
    <x v="221"/>
    <x v="64"/>
    <m/>
    <s v="“İlaca Dirençli Epilepsisi Olan Erişkin Hastalarda Korpus Kallozotominin Uzun Dönem Sonuçları”"/>
    <m/>
    <m/>
    <m/>
    <m/>
    <m/>
    <m/>
    <m/>
    <m/>
    <m/>
    <m/>
  </r>
  <r>
    <m/>
    <m/>
    <x v="221"/>
    <x v="64"/>
    <m/>
    <s v="“Çocuk Yoğun Bakım Hastalarında Ferritin Yüksekliği Tespit Edilen Olguların İncelenmesi”"/>
    <m/>
    <m/>
    <m/>
    <m/>
    <m/>
    <m/>
    <m/>
    <m/>
    <m/>
    <m/>
  </r>
  <r>
    <m/>
    <m/>
    <x v="221"/>
    <x v="64"/>
    <m/>
    <s v="“Hacettepe Üniversitesi Tıp Fakültesi Genel Dahiliye Bilim Dalı Polikliniklerine Başvuran Diyabet, Hipertansiyon ve Hiperlipidemi Hastalarında İlaç Uyumunun Değerlendirilmesi”"/>
    <m/>
    <m/>
    <m/>
    <m/>
    <m/>
    <m/>
    <m/>
    <m/>
    <m/>
    <m/>
  </r>
  <r>
    <m/>
    <m/>
    <x v="221"/>
    <x v="64"/>
    <m/>
    <s v="“Ev Tipi İnvaziv Mekanik Ventilatör ile İzlenen Hastaların Değerlendirilmesi”"/>
    <m/>
    <m/>
    <m/>
    <m/>
    <m/>
    <m/>
    <m/>
    <m/>
    <m/>
    <m/>
  </r>
  <r>
    <m/>
    <m/>
    <x v="221"/>
    <x v="64"/>
    <m/>
    <s v="“Çocukluk Çağı Romatolojik Hastalıkları Nedeniyle Biyolojik Ajan Kullanan Hastalarda Pnömokok ve Meningokok Taşıyıcılığı”"/>
    <m/>
    <m/>
    <m/>
    <m/>
    <m/>
    <m/>
    <m/>
    <m/>
    <m/>
    <m/>
  </r>
  <r>
    <m/>
    <m/>
    <x v="221"/>
    <x v="64"/>
    <m/>
    <s v="“ECMO Uygulanan Hastalarda Akut Böbrek Hasarı Açısından Risk Faktörlerinin Değerlendirilmesi”"/>
    <m/>
    <m/>
    <m/>
    <m/>
    <m/>
    <m/>
    <m/>
    <m/>
    <m/>
    <m/>
  </r>
  <r>
    <m/>
    <m/>
    <x v="221"/>
    <x v="64"/>
    <m/>
    <s v="“Travma Olgularının Endovasküler Tedavilerle Yönetimi; Neredeyiz?”"/>
    <m/>
    <m/>
    <m/>
    <m/>
    <m/>
    <m/>
    <m/>
    <m/>
    <m/>
    <m/>
  </r>
  <r>
    <m/>
    <m/>
    <x v="221"/>
    <x v="64"/>
    <m/>
    <s v="“Kanal Tedavili Dişlerin Fraktür Direncinde Servikal Bariyer ve Kroniçi Ağartma Materyallerinin Rolü: Laboratuvar Çalışması”"/>
    <m/>
    <m/>
    <m/>
    <m/>
    <m/>
    <m/>
    <m/>
    <m/>
    <m/>
    <m/>
  </r>
  <r>
    <m/>
    <m/>
    <x v="221"/>
    <x v="64"/>
    <m/>
    <s v="“Akçaağaç Şurubu İdrar Hastalığında Nöropsikiyatrik Özellikler”"/>
    <m/>
    <m/>
    <m/>
    <m/>
    <m/>
    <m/>
    <m/>
    <m/>
    <m/>
    <m/>
  </r>
  <r>
    <m/>
    <m/>
    <x v="221"/>
    <x v="64"/>
    <m/>
    <s v="“Küçük Hücreli Dışı Akciğer Kanseri Hastalannda Pulmoner Rezeksiyonu Takiben Göğüs Tüpünün Erken Dönemde Çıkanlmasının Güvenlik ve Uygulama Yönünden Değerlendirilmesi”"/>
    <m/>
    <m/>
    <m/>
    <m/>
    <m/>
    <m/>
    <m/>
    <m/>
    <m/>
    <m/>
  </r>
  <r>
    <m/>
    <m/>
    <x v="221"/>
    <x v="64"/>
    <m/>
    <s v="“Portal Hipertansiyon Tanılı Çocuk Hastaların Uzun Süreli Klinik İzlem Sonuçları”"/>
    <m/>
    <m/>
    <m/>
    <m/>
    <m/>
    <m/>
    <m/>
    <m/>
    <m/>
    <m/>
  </r>
  <r>
    <m/>
    <m/>
    <x v="221"/>
    <x v="64"/>
    <m/>
    <s v="“Klinik Eczacıların Geriatrik Sendromlar Konusundaki Yaklaşımlarının Değerlendirilmesi”"/>
    <m/>
    <m/>
    <m/>
    <m/>
    <m/>
    <m/>
    <m/>
    <m/>
    <m/>
    <m/>
  </r>
  <r>
    <m/>
    <m/>
    <x v="221"/>
    <x v="64"/>
    <m/>
    <s v="“Primer Siliyer Diskinezi Hastalarında Beslenme Durumu ve Solunum Parametreleri İlişkisi: Kesitesel ve Takip Çalışması”"/>
    <m/>
    <m/>
    <m/>
    <m/>
    <m/>
    <m/>
    <m/>
    <m/>
    <m/>
    <m/>
  </r>
  <r>
    <m/>
    <m/>
    <x v="221"/>
    <x v="64"/>
    <m/>
    <s v="“2012 Revize Atlanta Sınıflamasına Göre Şiddetli Akut Pankreatitin Öngörülmesinde Ranson, BISAP ve APACHE-II Skorlarının Karşılaştırmalı Prognostik Doğruluğu: Sistematik Derleme ve Meta-Analiz”"/>
    <m/>
    <m/>
    <m/>
    <m/>
    <m/>
    <m/>
    <m/>
    <m/>
    <m/>
    <m/>
  </r>
  <r>
    <m/>
    <m/>
    <x v="221"/>
    <x v="64"/>
    <m/>
    <s v="“Eczacıların Farmakogenetik Testlere Yaklaşımı: Bilgi, Farkındalık ve Tutum Analizi”"/>
    <m/>
    <m/>
    <m/>
    <m/>
    <m/>
    <m/>
    <m/>
    <m/>
    <m/>
    <m/>
  </r>
  <r>
    <m/>
    <m/>
    <x v="221"/>
    <x v="64"/>
    <m/>
    <s v="“Belirsiz Gastrointestinal Kanaması Olan Hastalarda Kapsül Endoskopisinin Tanısal Sensitivitesi-Kapsamlı Tek Merkez Veri Analizi”"/>
    <m/>
    <m/>
    <m/>
    <m/>
    <m/>
    <m/>
    <m/>
    <m/>
    <m/>
    <m/>
  </r>
  <r>
    <m/>
    <m/>
    <x v="221"/>
    <x v="64"/>
    <m/>
    <s v="“Küçük Hücreli Dışı Akciğer Kanseri Tanılı Hastalarda Cerrahi Kapsam ve Tekniğin Postoperatif Akciğer Fonksiyonları Üzerine Etkisi”"/>
    <m/>
    <m/>
    <m/>
    <m/>
    <m/>
    <m/>
    <m/>
    <m/>
    <m/>
    <m/>
  </r>
  <r>
    <m/>
    <m/>
    <x v="221"/>
    <x v="64"/>
    <m/>
    <s v="“Mahrum Edilmiş Yas: Kürtaj Sonrası Kayıp Sürecinin Anlamlandırılması”"/>
    <m/>
    <m/>
    <m/>
    <m/>
    <m/>
    <m/>
    <m/>
    <m/>
    <m/>
    <m/>
  </r>
  <r>
    <m/>
    <m/>
    <x v="221"/>
    <x v="64"/>
    <m/>
    <s v="“Cinsiyet Uyuşmazlığı Nedeniyle Başvuran Kişilerin Sosyodemografik ve Klinik Özelliklerinin Zaman İçerisindeki Değişiminin İncelenmesi”"/>
    <m/>
    <m/>
    <m/>
    <m/>
    <m/>
    <m/>
    <m/>
    <m/>
    <m/>
    <m/>
  </r>
  <r>
    <m/>
    <m/>
    <x v="221"/>
    <x v="64"/>
    <m/>
    <s v="“Kistik Fibrozis Hastalarında CFTR Modülatör Tedavilerine Bağlı Yan Etkilerin Değerlendirilmesi: Üçüncü Basamak Bir Merkezden Deneyimler”"/>
    <m/>
    <m/>
    <m/>
    <m/>
    <m/>
    <m/>
    <m/>
    <m/>
    <m/>
    <m/>
  </r>
  <r>
    <m/>
    <m/>
    <x v="221"/>
    <x v="64"/>
    <m/>
    <s v="“Koklear İmplant Cerrahisi Sonrası Revizyon Geçirmiş Olgularda Revizyon Nedenlerinin İncelenmesi”"/>
    <m/>
    <m/>
    <m/>
    <m/>
    <m/>
    <m/>
    <m/>
    <m/>
    <m/>
    <m/>
  </r>
  <r>
    <m/>
    <m/>
    <x v="221"/>
    <x v="64"/>
    <m/>
    <s v="“Agresif ve Metastatik Pituiter Nöroendokrin Tümör Tanısı Alan Olguların Retrospektif İncelenmesi”"/>
    <m/>
    <m/>
    <m/>
    <m/>
    <m/>
    <m/>
    <m/>
    <m/>
    <m/>
    <m/>
  </r>
  <r>
    <m/>
    <m/>
    <x v="221"/>
    <x v="64"/>
    <m/>
    <s v="“Kistik Fibrozisli Cocuklarda Balgam Kolonizasyonu ile Ailelerin Enfeksiyon Kontrol Bilgi Düzeyi ve Sosyoekonomik Durumu Arasindaki İlişki”"/>
    <m/>
    <m/>
    <m/>
    <m/>
    <m/>
    <m/>
    <m/>
    <m/>
    <m/>
    <m/>
  </r>
  <r>
    <m/>
    <m/>
    <x v="221"/>
    <x v="64"/>
    <m/>
    <s v="“Coğrafik Atrofi Tanılı Hastalarda Derin Öğrenme Tabanlı Bilgisayarlı Görü Yöntemleriyle Bölütlenmesi ve 5 Yıllık Progresyonun Kestiriminin Değerlendirilmesi”"/>
    <m/>
    <m/>
    <m/>
    <m/>
    <m/>
    <m/>
    <m/>
    <m/>
    <m/>
    <m/>
  </r>
  <r>
    <m/>
    <m/>
    <x v="221"/>
    <x v="64"/>
    <m/>
    <s v="“Erişkin Kistik Fibrozis ve Primer Siliyer Diskinezi Olgularında Solunum Yolu Örneklerinden Nadir Küf Türlerinin İzolasyon Sıklığının ve Klinik Yansımalarının Değerlendirilmesi ”"/>
    <m/>
    <m/>
    <m/>
    <m/>
    <m/>
    <m/>
    <m/>
    <m/>
    <m/>
    <m/>
  </r>
  <r>
    <m/>
    <m/>
    <x v="221"/>
    <x v="64"/>
    <m/>
    <s v="“Trakeotomi Dekanülasyonu Yapılan Hastalarda Havayolu Basınçlarındaki ve Solunum İş Yükündeki Değişimin Bilgisayar Simülasyonu ile Değerlendirilmesi”"/>
    <m/>
    <m/>
    <m/>
    <m/>
    <m/>
    <m/>
    <m/>
    <m/>
    <m/>
    <m/>
  </r>
  <r>
    <m/>
    <m/>
    <x v="221"/>
    <x v="64"/>
    <m/>
    <s v="“Ani İdiyopatik İşitme Kaybı ile Koklear Ossifikasyonun İlişkisinin İncelenmesi”"/>
    <m/>
    <m/>
    <m/>
    <m/>
    <m/>
    <m/>
    <m/>
    <m/>
    <m/>
    <m/>
  </r>
  <r>
    <m/>
    <m/>
    <x v="221"/>
    <x v="64"/>
    <m/>
    <s v="“65 Yaş Üzeri Hastalarda Gereksiz Betahistin Kullanımının Araştırılması”"/>
    <m/>
    <m/>
    <m/>
    <m/>
    <m/>
    <m/>
    <m/>
    <m/>
    <m/>
    <m/>
  </r>
  <r>
    <m/>
    <m/>
    <x v="221"/>
    <x v="64"/>
    <m/>
    <s v="“Kafa Tabanı Osteomyeliti Hastalığının Tedavisinin Finansal Analizi”"/>
    <m/>
    <m/>
    <m/>
    <m/>
    <m/>
    <m/>
    <m/>
    <m/>
    <m/>
    <m/>
  </r>
  <r>
    <m/>
    <m/>
    <x v="221"/>
    <x v="64"/>
    <m/>
    <s v="“65 Yaş ve Üzeri Hastalarda Kısa Nütrisyonel İndekslerinin Tüm Nedenlere Bağlı Mortalite ile İlişkisi”"/>
    <m/>
    <m/>
    <m/>
    <m/>
    <m/>
    <m/>
    <m/>
    <m/>
    <m/>
    <m/>
  </r>
  <r>
    <m/>
    <m/>
    <x v="221"/>
    <x v="64"/>
    <m/>
    <s v="“Geriatri Polikliniği Hastalarında Farklı Kırılganlık İndekslerinin Tüm Nedenlere Bağlı Mortaliteyi Öngörme Etkilerinin Karşılaştırılması”"/>
    <m/>
    <m/>
    <m/>
    <m/>
    <m/>
    <m/>
    <m/>
    <m/>
    <m/>
    <m/>
  </r>
  <r>
    <m/>
    <m/>
    <x v="221"/>
    <x v="64"/>
    <m/>
    <s v="“Migrende Fonksiyonel Transkranial Doppler ultrasonografi”"/>
    <m/>
    <m/>
    <m/>
    <m/>
    <m/>
    <m/>
    <m/>
    <m/>
    <m/>
    <m/>
  </r>
  <r>
    <m/>
    <m/>
    <x v="221"/>
    <x v="64"/>
    <m/>
    <s v="“Avrupa Uyuşturucu Madde Acilleri İletişim Ağı Projesi - ‘European Drug Emergencies Network Plus (Euro-DEN Plus) Proiect’”"/>
    <m/>
    <m/>
    <m/>
    <m/>
    <m/>
    <m/>
    <m/>
    <m/>
    <m/>
    <m/>
  </r>
  <r>
    <m/>
    <m/>
    <x v="221"/>
    <x v="64"/>
    <m/>
    <s v="“D110H Mutasyonu Varhginda; Klinik Seyir Nasil Sekilleniyor?”"/>
    <m/>
    <m/>
    <m/>
    <m/>
    <m/>
    <m/>
    <m/>
    <m/>
    <m/>
    <m/>
  </r>
  <r>
    <m/>
    <m/>
    <x v="221"/>
    <x v="64"/>
    <m/>
    <s v="&quot;Jak İnhibitörlerinin Labaratuvar Parametreleri Üzerindeki Etkilerinin Zaman İçindeki Değişimi: 0., 3. ve 6. Ay Değerlendirmeleri&quot;"/>
    <m/>
    <m/>
    <m/>
    <m/>
    <m/>
    <m/>
    <m/>
    <m/>
    <m/>
    <m/>
  </r>
  <r>
    <m/>
    <m/>
    <x v="221"/>
    <x v="64"/>
    <m/>
    <s v="“Gebelikte Boğmaca Aşısının Uygulanma Haftası ile Doğumda Kord Kanında Anti-PT ve Anti-FHA IgG Düzeylerinin Karşılaştırılması: Prospektif Gözlemsel Çalışma”"/>
    <m/>
    <m/>
    <m/>
    <m/>
    <m/>
    <m/>
    <m/>
    <m/>
    <m/>
    <m/>
  </r>
  <r>
    <m/>
    <m/>
    <x v="221"/>
    <x v="64"/>
    <m/>
    <s v="“Neovasküler Yaşa Bağlı Makula Dejenerasyonunda Fibrotik Skar Özellikleri ve Tedavi Parametrelerinin Görme Keskinliği Üzerine Etkileri: Retrospektif Gözlemsel Bir Çalışma”"/>
    <m/>
    <m/>
    <m/>
    <m/>
    <m/>
    <m/>
    <m/>
    <m/>
    <m/>
    <m/>
  </r>
  <r>
    <m/>
    <m/>
    <x v="221"/>
    <x v="64"/>
    <m/>
    <s v="“Otoimmün Demiyelinizan Hastalıklar (MS, NMO, MOGAD)'a Bağlı Optik Nörit Geçiren Olgularda Mikroperimetri ve Patern Elektroretinografi ile Optik Sinir ile Makula Fonksiyonunun Değerlendirilmesi"/>
    <m/>
    <m/>
    <m/>
    <m/>
    <m/>
    <m/>
    <m/>
    <m/>
    <m/>
    <m/>
  </r>
  <r>
    <m/>
    <m/>
    <x v="221"/>
    <x v="64"/>
    <m/>
    <s v="“Doğal İmmünite Defektleri, Kombine İmmün Yetmezlikler ve İmmün Disregülasyonla Giden Primer İmmün Yetmezliklerin Genetik ve İleri İmmünolojik Yöntemlerle Araştırılması”"/>
    <m/>
    <m/>
    <m/>
    <m/>
    <m/>
    <m/>
    <m/>
    <m/>
    <m/>
    <m/>
  </r>
  <r>
    <m/>
    <m/>
    <x v="221"/>
    <x v="64"/>
    <m/>
    <s v="“Otizm Spektrum Bozukluğu ve Dikkat Eksikliği Hiperaktivite Bozukluğu Tanılı Çocuklarda İnflamasyon Hipotezinin Tam Kan Sayımı Parametreleri ile İncelenmesi”"/>
    <m/>
    <m/>
    <m/>
    <m/>
    <m/>
    <m/>
    <m/>
    <m/>
    <m/>
    <m/>
  </r>
  <r>
    <m/>
    <m/>
    <x v="221"/>
    <x v="64"/>
    <m/>
    <s v="“Kalıtsal Metabolik Hastalıklarda 1,5 Anhidroglusitol (1,5-AG) ve 1,5-Anhidroglusitol-fosfat (1,5-AG6P) Düzeylerinin Araştırılması''"/>
    <m/>
    <m/>
    <m/>
    <m/>
    <m/>
    <m/>
    <m/>
    <m/>
    <m/>
    <m/>
  </r>
  <r>
    <m/>
    <m/>
    <x v="221"/>
    <x v="64"/>
    <m/>
    <s v="“AVNRT Tanısı ile Ablasyon Uygulanan Çocuklarda Transozefagial Elektrofizyolojik Çalışmanin Nüksü Belirlemedeki Rolü''"/>
    <m/>
    <m/>
    <m/>
    <m/>
    <m/>
    <m/>
    <m/>
    <m/>
    <m/>
    <m/>
  </r>
  <r>
    <m/>
    <m/>
    <x v="221"/>
    <x v="64"/>
    <m/>
    <s v="“Çocuk Kardiyoloji Ünitesinde Uygulanan Farmakolojik Provakasyon Testlerinin Tanı Sürecindeki Rolü&quot;"/>
    <m/>
    <m/>
    <m/>
    <m/>
    <m/>
    <m/>
    <m/>
    <m/>
    <m/>
    <m/>
  </r>
  <r>
    <m/>
    <m/>
    <x v="221"/>
    <x v="64"/>
    <m/>
    <s v="“Çocuk Acil Polikliniğine Başvuran Skuter Kazalarının Retrospektif Değerlendirilmesi”"/>
    <m/>
    <m/>
    <m/>
    <m/>
    <m/>
    <m/>
    <m/>
    <m/>
    <m/>
    <m/>
  </r>
  <r>
    <m/>
    <m/>
    <x v="221"/>
    <x v="64"/>
    <m/>
    <s v="“Ankara Grup Başkanlığında Doğal Olmayan Yabancı Uyruklu Ölümlerin Değerlendirilmesi”"/>
    <m/>
    <m/>
    <m/>
    <m/>
    <m/>
    <m/>
    <m/>
    <m/>
    <m/>
    <m/>
  </r>
  <r>
    <m/>
    <m/>
    <x v="221"/>
    <x v="64"/>
    <m/>
    <s v="“Tıbbi Uygulama Hatası İddiası Bulunan Otopsi Vakalarının Medikolegal Açıdan Değerlendirilmesi”"/>
    <m/>
    <m/>
    <m/>
    <m/>
    <m/>
    <m/>
    <m/>
    <m/>
    <m/>
    <m/>
  </r>
  <r>
    <m/>
    <m/>
    <x v="221"/>
    <x v="64"/>
    <m/>
    <s v="“Aort Diseksiyonu ve Anevrizma Rüptürüne Bağlı Ölümler: Otopsi Çalışması”"/>
    <m/>
    <m/>
    <m/>
    <m/>
    <m/>
    <m/>
    <m/>
    <m/>
    <m/>
    <m/>
  </r>
  <r>
    <m/>
    <m/>
    <x v="221"/>
    <x v="64"/>
    <m/>
    <s v="“Asıya Bağlı Ölüm Olgularında Retina Kanamalarının İndirekt Fundoskopi ile Değerlendirilmesi”"/>
    <m/>
    <m/>
    <m/>
    <m/>
    <m/>
    <m/>
    <m/>
    <m/>
    <m/>
    <m/>
  </r>
  <r>
    <m/>
    <m/>
    <x v="221"/>
    <x v="64"/>
    <m/>
    <s v="“Boyun Diseksiyonu Yapılan Hastalarda En-Bloc Rezeksiyon Yöntemi ile Juguler Ven Split Rezeksiyon Yönteminin Karşılaştırılması”"/>
    <m/>
    <m/>
    <m/>
    <m/>
    <m/>
    <m/>
    <m/>
    <m/>
    <m/>
    <m/>
  </r>
  <r>
    <m/>
    <m/>
    <x v="221"/>
    <x v="64"/>
    <m/>
    <s v="“Human Papilloma Virus Aşısı Uygulanan Kadınlarda Serum Anti-Müllerian Hormon Düzeylerindeki Değişimin Değerlendirilmesi”"/>
    <m/>
    <m/>
    <m/>
    <m/>
    <m/>
    <m/>
    <m/>
    <m/>
    <m/>
    <m/>
  </r>
  <r>
    <m/>
    <m/>
    <x v="221"/>
    <x v="64"/>
    <m/>
    <s v="“Santral Sinir Sistemi Hastalıklarında Kappa Serbest Hafif Zincir İndeksinin Tanısal Değeri”"/>
    <m/>
    <m/>
    <m/>
    <m/>
    <m/>
    <m/>
    <m/>
    <m/>
    <m/>
    <m/>
  </r>
  <r>
    <m/>
    <m/>
    <x v="221"/>
    <x v="64"/>
    <m/>
    <s v="“Rotasyon Profilli Bilgisayarlı Tomografi Kullanılarak Oluşturulan Parametreler ile Radyografide Proksimal Femur Rotasyonunun Değerlendirilmesi ve Yapay Zekâ ile Analizi”"/>
    <m/>
    <m/>
    <m/>
    <m/>
    <m/>
    <m/>
    <m/>
    <m/>
    <m/>
    <m/>
  </r>
  <r>
    <m/>
    <m/>
    <x v="221"/>
    <x v="64"/>
    <m/>
    <s v="“Üniversite Öğrencilerinde Akıllı Telefon Bağımlılığı ile Dijital Sağlık Okuryazarlığı Arasındaki İlişkinin İncelenmesi: Tanımlayıcı Araştırma”"/>
    <m/>
    <m/>
    <m/>
    <m/>
    <m/>
    <m/>
    <m/>
    <m/>
    <m/>
    <m/>
  </r>
  <r>
    <m/>
    <m/>
    <x v="221"/>
    <x v="64"/>
    <m/>
    <s v="“Psikotik Bozukluklarda Tedaviye Direnç ve Klozapine Dirençle İlişkili Doğal Dil İşleme Değişkenlerinin ve Düşünce Süreci Bozukluklarının Değerlendirilmesi”"/>
    <m/>
    <m/>
    <m/>
    <m/>
    <m/>
    <m/>
    <m/>
    <m/>
    <m/>
    <m/>
  </r>
  <r>
    <m/>
    <m/>
    <x v="221"/>
    <x v="64"/>
    <m/>
    <s v="“Tek Taraflı Dudak ve Damak Yarığına Sahip Hastalarda Maksiller Ekspansiyon ve Yüz Maskesi Sonrası Oklüzyonun Değerlendirilmesinde İki Farklı İndeksin Karşılaştırılması”"/>
    <m/>
    <m/>
    <m/>
    <m/>
    <m/>
    <m/>
    <m/>
    <m/>
    <m/>
    <m/>
  </r>
  <r>
    <m/>
    <m/>
    <x v="221"/>
    <x v="64"/>
    <m/>
    <s v="“Relapsing Remitting Multipl Skleroz Tanılı Hastalarda Yaş Gruplarına Göre Kognitif Profil ve Görüntüleme Bulgularının Karşılaştırılması”"/>
    <m/>
    <m/>
    <m/>
    <m/>
    <m/>
    <m/>
    <m/>
    <m/>
    <m/>
    <m/>
  </r>
  <r>
    <m/>
    <m/>
    <x v="221"/>
    <x v="64"/>
    <m/>
    <s v="“Odontojenik Kist ve Tümörlerde Kortikal Perforasyon, Kemik Dolumu ve Rekürrens Oranlarının Volümetrik ve Kantitatif Değerlendirilmesi”"/>
    <m/>
    <m/>
    <m/>
    <m/>
    <m/>
    <m/>
    <m/>
    <m/>
    <m/>
    <m/>
  </r>
  <r>
    <m/>
    <m/>
    <x v="221"/>
    <x v="64"/>
    <m/>
    <s v="“Antimikrobiyal Dirençteki Değişimler: Bir Üçüncü Basamak Hastanesindeki 11 Yıllık Deneyim”"/>
    <m/>
    <m/>
    <m/>
    <m/>
    <m/>
    <m/>
    <m/>
    <m/>
    <m/>
    <m/>
  </r>
  <r>
    <m/>
    <m/>
    <x v="221"/>
    <x v="64"/>
    <m/>
    <s v="“Fertilite Koruyucu Tedavi Sonrası In Vitro Fertilizasyon Başarısını Etkileyen Faktörler: Endometrium Kanseri ve Endometrial Intraepitelyal Neoplazi Hastalarına Ait Retrospektif Veri Analizi”"/>
    <m/>
    <m/>
    <m/>
    <m/>
    <m/>
    <m/>
    <m/>
    <m/>
    <m/>
    <m/>
  </r>
  <r>
    <m/>
    <m/>
    <x v="221"/>
    <x v="64"/>
    <m/>
    <s v="“Temporomandibular Eklem Hipermobilitesinde Dekstroz Proloterapisinin Uzun Dönem Klinik Sonuçlarının Retrospektif Değerlendirilmesi”"/>
    <m/>
    <m/>
    <m/>
    <m/>
    <m/>
    <m/>
    <m/>
    <m/>
    <m/>
    <m/>
  </r>
  <r>
    <m/>
    <m/>
    <x v="221"/>
    <x v="64"/>
    <m/>
    <s v="“Duchenne Musküler Distrofi Tanısı ile Pediatrik Yaş Grubunda İzlenen Hastaların Solunum Bulgularının Retrospektif Olarak Değerlendirilmesi”"/>
    <m/>
    <m/>
    <m/>
    <m/>
    <m/>
    <m/>
    <m/>
    <m/>
    <m/>
    <m/>
  </r>
  <r>
    <m/>
    <m/>
    <x v="221"/>
    <x v="64"/>
    <m/>
    <s v="“Ergenlik Döneminde Yeme Bozukluğu Tanısı Almış Yetişkinlerde Ruhsal Hastalık Kimliği ve İyileşme: Nitel Bir Çalışma”"/>
    <m/>
    <m/>
    <m/>
    <m/>
    <m/>
    <m/>
    <m/>
    <m/>
    <m/>
    <m/>
  </r>
  <r>
    <m/>
    <m/>
    <x v="221"/>
    <x v="64"/>
    <m/>
    <s v="“Triple X Sendromlu Hastalarda Demografik, Fenotipik ve Gelişimsel Özelliklerin Değerlendirilmesi”"/>
    <m/>
    <m/>
    <m/>
    <m/>
    <m/>
    <m/>
    <m/>
    <m/>
    <m/>
    <m/>
  </r>
  <r>
    <m/>
    <m/>
    <x v="221"/>
    <x v="64"/>
    <m/>
    <s v="“Yaşlı Yetişkinlerde İnflamasyon Belirteçleri ile Bilişsel İşlevler Arasındaki İlişki”"/>
    <m/>
    <m/>
    <m/>
    <m/>
    <m/>
    <m/>
    <m/>
    <m/>
    <m/>
    <m/>
  </r>
  <r>
    <m/>
    <m/>
    <x v="221"/>
    <x v="64"/>
    <m/>
    <s v="“Erişkinlerde HPV Aşısına Yönelik Tutum, Okuryazarlık ve Ulusal Programa Dahil Edilmesine İlişkin Görüşler”"/>
    <m/>
    <m/>
    <m/>
    <m/>
    <m/>
    <m/>
    <m/>
    <m/>
    <m/>
    <m/>
  </r>
  <r>
    <m/>
    <m/>
    <x v="221"/>
    <x v="64"/>
    <m/>
    <s v="“.Hacettepe Üniversitesi Erişkin ve Onkoloji Hastanelerinde 2017-2025 Yılları Arasında Karbapenem Dirençli Enterobacteriacea Kolonizasyonu ve Takiben İnfeksiyonu Gelişen Hastaların Analizi”"/>
    <m/>
    <m/>
    <m/>
    <m/>
    <m/>
    <m/>
    <m/>
    <m/>
    <m/>
    <m/>
  </r>
  <r>
    <m/>
    <m/>
    <x v="221"/>
    <x v="64"/>
    <m/>
    <s v="&quot;Senil Presbiakuzi ve Sarkopeni Arasındaki İlişkinin İncelenmesi”"/>
    <m/>
    <m/>
    <m/>
    <m/>
    <m/>
    <m/>
    <m/>
    <m/>
    <m/>
    <m/>
  </r>
  <r>
    <m/>
    <m/>
    <x v="221"/>
    <x v="64"/>
    <m/>
    <s v="“Fallot Tetralojisi Hastalarında Kardiyolojik Özellikler ve Uzun Dönem Sonuçlarının Retrospektif Değerlendirilmesi”"/>
    <m/>
    <m/>
    <m/>
    <m/>
    <m/>
    <m/>
    <m/>
    <m/>
    <m/>
    <m/>
  </r>
  <r>
    <m/>
    <m/>
    <x v="221"/>
    <x v="64"/>
    <m/>
    <s v="“Propionik Asidemi Tanılı Hastaların Kardiyak Özelliklerinin Retrospektif Değerlendirilmesi”"/>
    <m/>
    <m/>
    <m/>
    <m/>
    <m/>
    <m/>
    <m/>
    <m/>
    <m/>
    <m/>
  </r>
  <r>
    <m/>
    <m/>
    <x v="221"/>
    <x v="64"/>
    <m/>
    <s v="“Pulmoner Arter Agenezisi ve/veya Hipoplazisi Olan Hastaların Retrospektif Değerlendirilmesi”"/>
    <m/>
    <m/>
    <m/>
    <m/>
    <m/>
    <m/>
    <m/>
    <m/>
    <m/>
    <m/>
  </r>
  <r>
    <m/>
    <m/>
    <x v="221"/>
    <x v="64"/>
    <m/>
    <s v="“Sistemik Venöz Dönüş Anomalisi Olan Hastaların Retrospektif Değerlendirilmesi”"/>
    <m/>
    <m/>
    <m/>
    <m/>
    <m/>
    <m/>
    <m/>
    <m/>
    <m/>
    <m/>
  </r>
  <r>
    <m/>
    <m/>
    <x v="221"/>
    <x v="64"/>
    <m/>
    <s v="“Transkateter Pulmoner Kapak İmplantasyonunun Kardiyopulmoner Egzersiz Kapasitesi Üzerine Etkisinin Retrospektif Analizi''"/>
    <m/>
    <m/>
    <m/>
    <m/>
    <m/>
    <m/>
    <m/>
    <m/>
    <m/>
    <m/>
  </r>
  <r>
    <m/>
    <m/>
    <x v="221"/>
    <x v="64"/>
    <m/>
    <s v="“Kardiyovasküler-Renal-Metabolik Sendromda Malnütrisyon ve Sarkopeni”"/>
    <m/>
    <m/>
    <m/>
    <m/>
    <m/>
    <m/>
    <m/>
    <m/>
    <m/>
    <m/>
  </r>
  <r>
    <m/>
    <m/>
    <x v="221"/>
    <x v="64"/>
    <m/>
    <s v="&quot;Platin Bazlı Kemoterapi Ajanları ile Hızlı İlaç Desensitizasyonuna İlişkin Tek Merkez Deneyimimiz &quot;"/>
    <m/>
    <m/>
    <m/>
    <m/>
    <m/>
    <m/>
    <m/>
    <m/>
    <m/>
    <m/>
  </r>
  <r>
    <m/>
    <m/>
    <x v="221"/>
    <x v="64"/>
    <m/>
    <s v="“Bilateral Vokal Kord Paralizisi Nedeniyle Parsiyel veya Total Aritenoidektomi Yapılan Hastalarda Vücut Kitle Endeksinin Dispne Üzerine Etkisi”"/>
    <m/>
    <m/>
    <m/>
    <m/>
    <m/>
    <m/>
    <m/>
    <m/>
    <m/>
    <m/>
  </r>
  <r>
    <m/>
    <m/>
    <x v="221"/>
    <x v="64"/>
    <m/>
    <s v="“Patolojik Miyopi Hastalarının Retina Bulgularının Uzun Dönem Takip Sonuçları”"/>
    <m/>
    <m/>
    <m/>
    <m/>
    <m/>
    <m/>
    <m/>
    <m/>
    <m/>
    <m/>
  </r>
  <r>
    <m/>
    <m/>
    <x v="221"/>
    <x v="64"/>
    <m/>
    <s v="“Kolorektal Karsinogenezde THY1 İfadesinin Patoloji Arşiv Materyallerinde Değerlendirilmesi”"/>
    <m/>
    <m/>
    <m/>
    <m/>
    <m/>
    <m/>
    <m/>
    <m/>
    <m/>
    <m/>
  </r>
  <r>
    <m/>
    <m/>
    <x v="221"/>
    <x v="64"/>
    <m/>
    <s v="“Çocuklarda Budd-Chiari Sendromu: Tek Merkez Deneyimi”"/>
    <m/>
    <m/>
    <m/>
    <m/>
    <m/>
    <m/>
    <m/>
    <m/>
    <m/>
    <m/>
  </r>
  <r>
    <m/>
    <m/>
    <x v="221"/>
    <x v="64"/>
    <m/>
    <s v="“İç Hastalıkları Servislerinde Yatan 65 Yaş ve Üstü Hastaların Yatış anında Kullandığı İlaçlar ve Taburculuk Reçetelerinin Beers (2023), Stopp/Start V3, TIME (2020) Kriterlerine Göre İncelenmesi”"/>
    <m/>
    <m/>
    <m/>
    <m/>
    <m/>
    <m/>
    <m/>
    <m/>
    <m/>
    <m/>
  </r>
  <r>
    <m/>
    <m/>
    <x v="221"/>
    <x v="64"/>
    <m/>
    <s v="“Motor Beceri Zorlukları Özgül Öğrenme Bozukluğu İçin Fenotipik Bir Belirteç Olabilir mi? Motor Performansın Postürografik Analizi ve Bilişsel Becerilerle İlişkisi”"/>
    <m/>
    <m/>
    <m/>
    <m/>
    <m/>
    <m/>
    <m/>
    <m/>
    <m/>
    <m/>
  </r>
  <r>
    <m/>
    <m/>
    <x v="221"/>
    <x v="64"/>
    <m/>
    <s v="“Kanser Hastalarının Cepten Sağlık Harcamalarının Finansal Yükü ve Sağlık Hizmeti Kullanımı ve Sağlık Sonuçlarıyla İlişkisi”"/>
    <m/>
    <m/>
    <m/>
    <m/>
    <m/>
    <m/>
    <m/>
    <m/>
    <m/>
    <m/>
  </r>
  <r>
    <m/>
    <m/>
    <x v="221"/>
    <x v="64"/>
    <m/>
    <s v="“Çocukluk Çağı Vaskülitlerinde Serum/Plazma Metabolomik Profilinin İncelenmesi: Tanısal ve Klinik İlişkilerin Değerlendirilmesi”"/>
    <m/>
    <m/>
    <m/>
    <m/>
    <m/>
    <m/>
    <m/>
    <m/>
    <m/>
    <m/>
  </r>
  <r>
    <m/>
    <m/>
    <x v="221"/>
    <x v="64"/>
    <m/>
    <s v="“Dikkat Eksikliği ve Hiperaktivite Bozukluğu Tanılı Ergenlerde Çocukluk Çağı Olumsuz Yaşantılarının Klinik Görünüm ve İnflamatuar Biyobelirteçlerle İlişkisi”"/>
    <m/>
    <m/>
    <m/>
    <m/>
    <m/>
    <m/>
    <m/>
    <m/>
    <m/>
    <m/>
  </r>
  <r>
    <m/>
    <m/>
    <x v="221"/>
    <x v="64"/>
    <m/>
    <s v="“Primer Diz Artroplastisi Yapılan Hastaların VKİ Oranlarının Uzun Dönem Klinik ve Fonksiyonel Sonuçlara Etkisi”"/>
    <m/>
    <m/>
    <m/>
    <m/>
    <m/>
    <m/>
    <m/>
    <m/>
    <m/>
    <m/>
  </r>
  <r>
    <m/>
    <m/>
    <x v="221"/>
    <x v="64"/>
    <m/>
    <s v="“Total Diz Artroplastisinde Posterior Tibial Eğim ve Posterior Kondiler Ofset: Gerçekten Önemli Mi?”"/>
    <m/>
    <m/>
    <m/>
    <m/>
    <m/>
    <m/>
    <m/>
    <m/>
    <m/>
    <m/>
  </r>
  <r>
    <m/>
    <m/>
    <x v="221"/>
    <x v="64"/>
    <m/>
    <s v="“Ergenlerde Sağlık Alanında Yapay Zekâ Kullanım Ölçeği’ ve ‘Ebeveynin Çocuğunun Sağlığı ile İlgili Yapay Zekâ Kullanım Ölçeği’nin Geliştirilmesi ve Değerlendirilmesi”"/>
    <m/>
    <m/>
    <m/>
    <m/>
    <m/>
    <m/>
    <m/>
    <m/>
    <m/>
    <m/>
  </r>
  <r>
    <m/>
    <m/>
    <x v="221"/>
    <x v="64"/>
    <m/>
    <s v="“Hipopitüitarizmli Erişkin Hastalarda Morbidite ve Mortaliteyi Etkileyen Faktörler: Retrospektif Değerlendirme”"/>
    <m/>
    <m/>
    <m/>
    <m/>
    <m/>
    <m/>
    <m/>
    <m/>
    <m/>
    <m/>
  </r>
  <r>
    <m/>
    <m/>
    <x v="221"/>
    <x v="64"/>
    <m/>
    <s v="“Primer Hipofizit (Otoimmün ve IgG4 İlişkili) Olgularının Uzun Dönem Klinik Seyri”"/>
    <m/>
    <m/>
    <m/>
    <m/>
    <m/>
    <m/>
    <m/>
    <m/>
    <m/>
    <m/>
  </r>
  <r>
    <m/>
    <m/>
    <x v="221"/>
    <x v="64"/>
    <m/>
    <s v="“İdiopatik Pulmoner Fibrozisin Akut Alevlenmeleri için Hidrojen Sülfür Tedavisinin Etkilerinin Değerlendirilmesi&quot;"/>
    <m/>
    <m/>
    <m/>
    <m/>
    <m/>
    <m/>
    <m/>
    <m/>
    <m/>
    <m/>
  </r>
  <r>
    <m/>
    <m/>
    <x v="221"/>
    <x v="64"/>
    <m/>
    <s v="“Çocukluk Çağı Poliarteritis Nodosa Hastalarının Değerlendirilmesi”"/>
    <m/>
    <m/>
    <m/>
    <m/>
    <m/>
    <m/>
    <m/>
    <m/>
    <m/>
    <m/>
  </r>
  <r>
    <m/>
    <m/>
    <x v="221"/>
    <x v="64"/>
    <m/>
    <s v="“Konjonktival Melanomlarda ATRX, PDL-1 ve p16 İmmünohistokimyasal Ekspresyonlarının Klinikopatolojik Parametrelerle Korelasyonu”"/>
    <m/>
    <m/>
    <m/>
    <m/>
    <m/>
    <m/>
    <m/>
    <m/>
    <m/>
    <m/>
  </r>
  <r>
    <m/>
    <m/>
    <x v="221"/>
    <x v="64"/>
    <m/>
    <s v="“Geriatri Popülasyonda eGFR Tahmin Denklemleri Arasındaki Uyumun ve Tahmin Hatalarına Etki Eden Faktörlerin Değerlendirilmesi”"/>
    <m/>
    <m/>
    <m/>
    <m/>
    <m/>
    <m/>
    <m/>
    <m/>
    <m/>
    <m/>
  </r>
  <r>
    <m/>
    <m/>
    <x v="221"/>
    <x v="64"/>
    <m/>
    <s v="“Geriatrik Hastalarda Telefon Bağımlılığının Geriatrik Sendromlarla İlişkisi”"/>
    <m/>
    <m/>
    <m/>
    <m/>
    <m/>
    <m/>
    <m/>
    <m/>
    <m/>
    <m/>
  </r>
  <r>
    <m/>
    <m/>
    <x v="221"/>
    <x v="64"/>
    <m/>
    <s v="“Mekanik Ventilatörden Ayırmada T-tüp Denemesi Uygulanan Hastalarda Hemodinami Parametrelerinin Değişimlerinin Gözlenmesi”"/>
    <m/>
    <m/>
    <m/>
    <m/>
    <m/>
    <m/>
    <m/>
    <m/>
    <m/>
    <m/>
  </r>
  <r>
    <m/>
    <m/>
    <x v="221"/>
    <x v="64"/>
    <m/>
    <s v="“Bilateral Testis Germ Hücreli Tümörler: Hacettepe Üniversitesi Üroloji Anabilim Dalı'nın 40 Yıllık Deneyimi”"/>
    <m/>
    <m/>
    <m/>
    <m/>
    <m/>
    <m/>
    <m/>
    <m/>
    <m/>
    <m/>
  </r>
  <r>
    <m/>
    <m/>
    <x v="221"/>
    <x v="64"/>
    <m/>
    <s v="“Çocuklarda Fasiküler Ventriküler Aritmi ve Transkateter Ablasyon Uygulaması Deneyimlerimiz”"/>
    <m/>
    <m/>
    <m/>
    <m/>
    <m/>
    <m/>
    <m/>
    <m/>
    <m/>
    <m/>
  </r>
  <r>
    <m/>
    <m/>
    <x v="221"/>
    <x v="64"/>
    <m/>
    <s v="“Ventriküler Erken Vuru Olan Çocuk Hastalarda Transkateter Ablasyon Sonuçlarımız”"/>
    <m/>
    <m/>
    <m/>
    <m/>
    <m/>
    <m/>
    <m/>
    <m/>
    <m/>
    <m/>
  </r>
  <r>
    <m/>
    <m/>
    <x v="221"/>
    <x v="64"/>
    <m/>
    <s v="''Buğday Alerjisi Olan Çocuklarda Oral İmmünoterapi ve Besinden Kaçınma Yaklaşımlarının Beslenme Durumu ve Yaşam Kalitesi Üzerine Etkilerinin Karşılaştırılması''"/>
    <m/>
    <m/>
    <m/>
    <m/>
    <m/>
    <m/>
    <m/>
    <m/>
    <m/>
    <m/>
  </r>
  <r>
    <m/>
    <m/>
    <x v="221"/>
    <x v="64"/>
    <m/>
    <s v="“Seksen Beş Yaş ve Üzeri Geriatrik Hastalarda İntrinsik Kapasite Değişimi, İyileşme Paternleri ve Klinik Sonuçları; Retrospektif Kohort Çalışması”"/>
    <m/>
    <m/>
    <m/>
    <m/>
    <m/>
    <m/>
    <m/>
    <m/>
    <m/>
    <m/>
  </r>
  <r>
    <m/>
    <m/>
    <x v="221"/>
    <x v="64"/>
    <m/>
    <s v="“Kanal Tedavisi Yenileme İşlemine Maruz Kalan Dişlerin Kırılma Dayanımında Ağartmanın Etkisi”"/>
    <m/>
    <m/>
    <m/>
    <m/>
    <m/>
    <m/>
    <m/>
    <m/>
    <m/>
    <m/>
  </r>
  <r>
    <m/>
    <m/>
    <x v="221"/>
    <x v="64"/>
    <m/>
    <s v="“DEHB Tanılı Çocuklarda KOKGB Eşlik Etme Durumuna Göre İrritabilite ve Ödül Sisteminin Fonksiyonel MRG ile İncelenmesi”"/>
    <m/>
    <m/>
    <m/>
    <m/>
    <m/>
    <m/>
    <m/>
    <m/>
    <m/>
    <m/>
  </r>
  <r>
    <m/>
    <m/>
    <x v="221"/>
    <x v="64"/>
    <m/>
    <s v="“Diş Hekimliği Son Sınıf Öğrencilerinin Acil Tıbbi Durumlar Bağlamında Algılanan Güven ve Bilgi Düzeylerinin Değerlendirilmesi”"/>
    <m/>
    <m/>
    <m/>
    <m/>
    <m/>
    <m/>
    <m/>
    <m/>
    <m/>
    <m/>
  </r>
  <r>
    <m/>
    <m/>
    <x v="221"/>
    <x v="64"/>
    <m/>
    <s v="“Melanom Hastalarında Kiraz Anjiyom Sıklığının ve Kiraz Anjiyomların Gelişiminde VEGF ile VEGF Reseptörlerinin Doku ve Serum Düzeyinde Değerlendirilmesi”"/>
    <m/>
    <m/>
    <m/>
    <m/>
    <m/>
    <m/>
    <m/>
    <m/>
    <m/>
    <m/>
  </r>
  <r>
    <m/>
    <m/>
    <x v="221"/>
    <x v="64"/>
    <m/>
    <s v="“Takayasu Arteriti Hastalığında Oftalmolojik Bulguların Değerlendirilmesi”"/>
    <m/>
    <m/>
    <m/>
    <m/>
    <m/>
    <m/>
    <m/>
    <m/>
    <m/>
    <m/>
  </r>
  <r>
    <m/>
    <m/>
    <x v="221"/>
    <x v="64"/>
    <m/>
    <s v="“Hacettepe Üniversitesi Tıp Fakültesi Öğrencilerinin Geriatri Eğitim ve İlgi Düzeylerinin Değerlendirilmesi”"/>
    <m/>
    <m/>
    <m/>
    <m/>
    <m/>
    <m/>
    <m/>
    <m/>
    <m/>
    <m/>
  </r>
  <r>
    <m/>
    <m/>
    <x v="221"/>
    <x v="64"/>
    <m/>
    <s v="“Acil Serviste İntrakraniyal Merkezi Sinir Sistemi Enfeksiyonu Tanısı Konulan Hastalarda Hipokampüs Hacimlerinin Klinik Seyir Tahminindeki Rolü”"/>
    <m/>
    <m/>
    <m/>
    <m/>
    <m/>
    <m/>
    <m/>
    <m/>
    <m/>
    <m/>
  </r>
  <r>
    <m/>
    <m/>
    <x v="221"/>
    <x v="64"/>
    <m/>
    <s v="“TRVaS Türkiye Vaskülit Çalışma Grubu Prospektif, Gözlemsel Veritabanı Devam Çalışması”"/>
    <m/>
    <m/>
    <m/>
    <m/>
    <m/>
    <m/>
    <m/>
    <m/>
    <m/>
    <m/>
  </r>
  <r>
    <m/>
    <m/>
    <x v="221"/>
    <x v="64"/>
    <m/>
    <s v="“Cinsiyet Uyuşmazlığı Tanısı Konulan Kişilerde Otizm Spektrumu Özelliklerinin Klinik Gereksinimler ve Psikososyal İyilik Hali ile İlişkisi”"/>
    <m/>
    <m/>
    <m/>
    <m/>
    <m/>
    <m/>
    <m/>
    <m/>
    <m/>
    <m/>
  </r>
  <r>
    <m/>
    <m/>
    <x v="221"/>
    <x v="64"/>
    <m/>
    <s v="“Hemodiyaliz Sırasında Gelişen İntradialitik Hipotansiyonun Klinik ve Hemodinamik Belirteçlerle İlişkisinin Retrospektif İncelenmesi”"/>
    <m/>
    <m/>
    <m/>
    <m/>
    <m/>
    <m/>
    <m/>
    <m/>
    <m/>
    <m/>
  </r>
  <r>
    <m/>
    <m/>
    <x v="221"/>
    <x v="64"/>
    <m/>
    <s v="“Hyalüronik Asit, ß-Glukan, Centella Asiatica, Coriolus Versicolor, Neem, BioEcolia®, Aloe Vera İçeren Doğal İçerikli Vajinal Jel Papilocare® Kullanımının HPV Pozitif Kadınlarda Viral Klirense Etkisinin Retrospektif Olarak Araştırılması”"/>
    <m/>
    <m/>
    <m/>
    <m/>
    <m/>
    <m/>
    <m/>
    <m/>
    <m/>
    <m/>
  </r>
  <r>
    <m/>
    <m/>
    <x v="221"/>
    <x v="64"/>
    <m/>
    <s v="“İşitme Kaybı Olan Hastalarda Hipopigmentasyon Bozukluklarının İncelenmesi”"/>
    <m/>
    <m/>
    <m/>
    <m/>
    <m/>
    <m/>
    <m/>
    <m/>
    <m/>
    <m/>
  </r>
  <r>
    <m/>
    <m/>
    <x v="221"/>
    <x v="64"/>
    <m/>
    <s v="“Ramus Intermedius Arteriae Hepaticae Sınıflamasının Radyolojik Olarak İncelenmesi”"/>
    <m/>
    <m/>
    <m/>
    <m/>
    <m/>
    <m/>
    <m/>
    <m/>
    <m/>
    <m/>
  </r>
  <r>
    <m/>
    <m/>
    <x v="221"/>
    <x v="64"/>
    <m/>
    <s v="“Saçlı Hücreli Lösemi Hastalarının Tanı Anındaki Klinik, Laboratuvar Parametrelerinin Prognostik, Sağ Kalım ve Tedaviye Yanıt Durumları Açısından Değerlendirilmesi”"/>
    <m/>
    <m/>
    <m/>
    <m/>
    <m/>
    <m/>
    <m/>
    <m/>
    <m/>
    <m/>
  </r>
  <r>
    <m/>
    <m/>
    <x v="221"/>
    <x v="64"/>
    <m/>
    <s v="“Hastane Yatışının Adolesanlarda Ekran Kullanımı Üzerine Etkisi”"/>
    <m/>
    <m/>
    <m/>
    <m/>
    <m/>
    <m/>
    <m/>
    <m/>
    <m/>
    <m/>
  </r>
  <r>
    <m/>
    <m/>
    <x v="221"/>
    <x v="64"/>
    <m/>
    <s v="“Amiyotrofik Lateral Skleroz Hastalarında İpsilateral Transkraniyal Manyetik Uyarım Ölçütleri”"/>
    <m/>
    <m/>
    <m/>
    <m/>
    <m/>
    <m/>
    <m/>
    <m/>
    <m/>
    <m/>
  </r>
  <r>
    <m/>
    <m/>
    <x v="221"/>
    <x v="64"/>
    <m/>
    <s v="“Obez Hastalarda Antimikrobiyal Tedavide Terapötik İlaç Düzeyi İzlemi: Prospektif Gözlemsel Bir Çalışma”"/>
    <m/>
    <m/>
    <m/>
    <m/>
    <m/>
    <m/>
    <m/>
    <m/>
    <m/>
    <m/>
  </r>
  <r>
    <m/>
    <m/>
    <x v="221"/>
    <x v="64"/>
    <m/>
    <s v="“Kadınların Gebelikte Uygulanan Dental ve Radyolojik İşlemler ile Ağız Sağlığına Dair Farkındalık ve Algısı: Anket Temelli Kesitsel Bir Çalışma”"/>
    <m/>
    <m/>
    <m/>
    <m/>
    <m/>
    <m/>
    <m/>
    <m/>
    <m/>
    <m/>
  </r>
  <r>
    <m/>
    <m/>
    <x v="221"/>
    <x v="64"/>
    <m/>
    <s v="“Yeni Nesil Girişimsiz Kapiller Anjiyografi Sisteminin Tasarım Doğrulama Numunesinin Geliştirilmesi ve Sistemin İşlevsellik Değerlendirmesi”"/>
    <m/>
    <m/>
    <m/>
    <m/>
    <m/>
    <m/>
    <m/>
    <m/>
    <m/>
    <m/>
  </r>
  <r>
    <m/>
    <m/>
    <x v="221"/>
    <x v="64"/>
    <m/>
    <s v="&quot;Kronik Böbrek Hastalığının Teşhisi: Bir Makine Öğrenmesi Uygulaması&quot;"/>
    <m/>
    <m/>
    <m/>
    <m/>
    <m/>
    <m/>
    <m/>
    <m/>
    <m/>
    <m/>
  </r>
  <r>
    <m/>
    <m/>
    <x v="221"/>
    <x v="64"/>
    <m/>
    <s v="“Orta-Şiddetli Kronik Plak Tipi Psöriazis Nedeniyle TNF-α İnhibitörü, IL-17 İnhibitörü veya IL-23 İnhibitörü Tedavisi Kullanan Hastalarda, Aynı Grup İçindeki Biyolojik Ajan Değişiminin Değerlendirilmesi”"/>
    <m/>
    <m/>
    <m/>
    <m/>
    <m/>
    <m/>
    <m/>
    <m/>
    <m/>
    <m/>
  </r>
  <r>
    <m/>
    <m/>
    <x v="221"/>
    <x v="64"/>
    <m/>
    <s v="“Üniversiteler Arası Ragbi Turnuvasında Yaralanma ve Semptomların Retrospektif Analizi: Meteorolojik Veriler ile Karşılaştırmalı Değerlendirme”"/>
    <m/>
    <m/>
    <m/>
    <m/>
    <m/>
    <m/>
    <m/>
    <m/>
    <m/>
    <m/>
  </r>
  <r>
    <m/>
    <m/>
    <x v="221"/>
    <x v="64"/>
    <m/>
    <s v="“Hipertansiyon Tedavisine İlişkin YouTube Videolarının DISCERN Kriterleriyle Değerlendirilmesinde Manuel ve Yapay Zekâ Değerlendiricileri Arasındaki Uyum”"/>
    <m/>
    <m/>
    <m/>
    <m/>
    <m/>
    <m/>
    <m/>
    <m/>
    <m/>
    <m/>
  </r>
  <r>
    <m/>
    <m/>
    <x v="221"/>
    <x v="64"/>
    <m/>
    <s v="“Mesleki Kurşun İntoksikasyonu için Etilendiamintetraasetik Asit (EDTA) Şelasyon Tedavisi Alan Hastalarda Eser Element Düzeylerinin Retrospektif Değerlendirilmesi”"/>
    <m/>
    <m/>
    <m/>
    <m/>
    <m/>
    <m/>
    <m/>
    <m/>
    <m/>
    <m/>
  </r>
  <r>
    <m/>
    <m/>
    <x v="221"/>
    <x v="64"/>
    <m/>
    <s v="“Denosumab Alan Geriatrik Hastaların İlaç Uyumunun Değerlendirilmesi ve ilaç Uyum Sonuçlarının Osteoporoz Üzerine Olan Etkisi”"/>
    <m/>
    <m/>
    <m/>
    <m/>
    <m/>
    <m/>
    <m/>
    <m/>
    <m/>
    <m/>
  </r>
  <r>
    <m/>
    <m/>
    <x v="221"/>
    <x v="64"/>
    <m/>
    <s v="“İç Hastalıkları Yoğun Bakım Ünitesinde İzlenen Hastaların Retrospektif Değerlendirilmesi”"/>
    <m/>
    <m/>
    <m/>
    <m/>
    <m/>
    <m/>
    <m/>
    <m/>
    <m/>
    <m/>
  </r>
  <r>
    <m/>
    <m/>
    <x v="221"/>
    <x v="64"/>
    <m/>
    <s v="“Borderline Over Tümörlerinde Fertilite Koruyucu Cerrahi Yaklaşımlar, İntraoperatif Frozen İncelemenin Nihai Patoloji ile Uyumluluğu ve Sağ Kalım Verilerinin Tek Merkez Çok Yönlü Retrospektif İncelenmesi”"/>
    <m/>
    <m/>
    <m/>
    <m/>
    <m/>
    <m/>
    <m/>
    <m/>
    <m/>
    <m/>
  </r>
  <r>
    <m/>
    <m/>
    <x v="221"/>
    <x v="64"/>
    <m/>
    <s v="“Over Kanseri Hastalarında Uygulanan Tedavi Stratejilerinin, Tedavi Yanıtı Öngörücü Parametrelerin, Sağ Kalım ve Nüks Paternlerinin Çok Yönlü Analizi”"/>
    <m/>
    <m/>
    <m/>
    <m/>
    <m/>
    <m/>
    <m/>
    <m/>
    <m/>
    <m/>
  </r>
  <r>
    <m/>
    <m/>
    <x v="221"/>
    <x v="64"/>
    <m/>
    <s v="“MuItidisipliner KBB-Onkoloji Konseyinde Tartışılan Larinks Kanserli Hastalarda Klasifikasyon ve Sağkalım Değerlendirmede Yapay Zeka Temelli Tahmin Modeli Oluşturmak”"/>
    <m/>
    <m/>
    <m/>
    <m/>
    <m/>
    <m/>
    <m/>
    <m/>
    <m/>
    <m/>
  </r>
  <r>
    <m/>
    <m/>
    <x v="221"/>
    <x v="64"/>
    <m/>
    <s v="“Video-EEG Monitorizasyonunda İzlenen Status Epileptikus ve Küme Tip Nöbetlerin Elektrokli̇ni̇k Özellikleri”"/>
    <m/>
    <m/>
    <m/>
    <m/>
    <m/>
    <m/>
    <m/>
    <m/>
    <m/>
    <m/>
  </r>
  <r>
    <m/>
    <m/>
    <x v="221"/>
    <x v="64"/>
    <m/>
    <s v="“Sağlıkta Kalite Standartları Değerlendiricilerinin Sağlık Teknolojilerini Değerlendirme Konusundaki Tutumları”"/>
    <m/>
    <m/>
    <m/>
    <m/>
    <m/>
    <m/>
    <m/>
    <m/>
    <m/>
    <m/>
  </r>
  <r>
    <m/>
    <m/>
    <x v="221"/>
    <x v="64"/>
    <m/>
    <s v="“Nasal Septal Perforasyonlu Hastalarda NOSE-Perf Ölçeğinin Türkçe Uyarlamasının Geçerlilik ve Güvenilirlik Analizi”"/>
    <m/>
    <m/>
    <m/>
    <m/>
    <m/>
    <m/>
    <m/>
    <m/>
    <m/>
    <m/>
  </r>
  <r>
    <m/>
    <m/>
    <x v="221"/>
    <x v="64"/>
    <m/>
    <s v="“Sanal Karaciğer Biyopsisi- Metabolik Hastalık İlişkili Yağlı Karaciğer Hastalığında Prognoz ve İzlem”"/>
    <m/>
    <m/>
    <m/>
    <m/>
    <m/>
    <m/>
    <m/>
    <m/>
    <m/>
    <m/>
  </r>
  <r>
    <m/>
    <m/>
    <x v="221"/>
    <x v="64"/>
    <m/>
    <s v="“Yağlı Karaciğer Hastalığında Karaciğer Yağlanması ve Karaciğer Sertliğinin Değerlendirilmesinde Multiparametrik Ultrasonografi ve Manyetik Rezonans Elastografinin Karşılaştırılması”"/>
    <m/>
    <m/>
    <m/>
    <m/>
    <m/>
    <m/>
    <m/>
    <m/>
    <m/>
    <m/>
  </r>
  <r>
    <m/>
    <m/>
    <x v="221"/>
    <x v="64"/>
    <m/>
    <s v="“Hemşirelerin Bütünsel Sağlık, Duygusal Emek, Şefkat Yorgunluğu ve İş Doyumu Arasındaki İlişkiler: Yol Analizi”"/>
    <m/>
    <m/>
    <m/>
    <m/>
    <m/>
    <m/>
    <m/>
    <m/>
    <m/>
    <m/>
  </r>
  <r>
    <m/>
    <m/>
    <x v="221"/>
    <x v="64"/>
    <m/>
    <s v="“Radyoloji Tetkiklerinde Hastalar İçin Tahmini Fetal Doz Hesaplamaları”"/>
    <m/>
    <m/>
    <m/>
    <m/>
    <m/>
    <m/>
    <m/>
    <m/>
    <m/>
    <m/>
  </r>
  <r>
    <m/>
    <m/>
    <x v="221"/>
    <x v="64"/>
    <m/>
    <s v="“Tıbbi Uygulama Hatası Olgularının Değerlendirilmesinde Büyük Dil Modelleri ve Adli Tıp Uzman Görüşlerinin Karşılaştırmalı Analizi”"/>
    <m/>
    <m/>
    <m/>
    <m/>
    <m/>
    <m/>
    <m/>
    <m/>
    <m/>
    <m/>
  </r>
  <r>
    <m/>
    <m/>
    <x v="221"/>
    <x v="64"/>
    <m/>
    <s v="“Mohs Cerrahisinde Artırılmış Gerçeklik Entegrasyonlu Simülasyon Çalışması”"/>
    <m/>
    <m/>
    <m/>
    <m/>
    <m/>
    <m/>
    <m/>
    <m/>
    <m/>
    <m/>
  </r>
  <r>
    <m/>
    <m/>
    <x v="221"/>
    <x v="64"/>
    <m/>
    <s v="“Pediatrik Non-Hodgkin Lenfoma Tanılı Hastalarda PET-BT'den Elde Edilen Semikantitatif Parametrelerin Değerlendirilmesi”"/>
    <m/>
    <m/>
    <m/>
    <m/>
    <m/>
    <m/>
    <m/>
    <m/>
    <m/>
    <m/>
  </r>
  <r>
    <m/>
    <m/>
    <x v="221"/>
    <x v="64"/>
    <m/>
    <s v="“Parkinson Hastalığında Levodopa-Karbidopa İntestinal Jel Kullanan Hastalarda Periferik Nörolojik Tutulum: Elektrofizyolojik Çalışma”"/>
    <m/>
    <m/>
    <m/>
    <m/>
    <m/>
    <m/>
    <m/>
    <m/>
    <m/>
    <m/>
  </r>
  <r>
    <m/>
    <m/>
    <x v="221"/>
    <x v="64"/>
    <m/>
    <s v="“Özgül Öğrenme Bozukluğu Tanılı Ergenlerde Benlik Saygısı, Yeterlik Algısı ve Baskın Savunma Mekanizmalarının Annelerdeki Psikolojik Farkındalık ve Empati Düzeyi ile İlişkisi”"/>
    <m/>
    <m/>
    <m/>
    <m/>
    <m/>
    <m/>
    <m/>
    <m/>
    <m/>
    <m/>
  </r>
  <r>
    <m/>
    <m/>
    <x v="221"/>
    <x v="64"/>
    <m/>
    <s v="“Normal Gebeliklerde Fetal Farinks Büyüme Paternlerinin Üç Boyutlu Ultrasonografi ile Değerlendirilmesi”"/>
    <m/>
    <m/>
    <m/>
    <m/>
    <m/>
    <m/>
    <m/>
    <m/>
    <m/>
    <m/>
  </r>
  <r>
    <m/>
    <m/>
    <x v="221"/>
    <x v="64"/>
    <m/>
    <s v="“Multiple Skleroz (MS) Tanılı Hastalarda MS Mesane Kontrol Aracı Kullanılarak Alt Üriner Sistem Semptomlarının Ön Değerlendirilmesi ve Fonksiyonel Üroloji Polikliniğine Yönlendirme Kriterlerinin Belirlenmesi”"/>
    <m/>
    <m/>
    <m/>
    <m/>
    <m/>
    <m/>
    <m/>
    <m/>
    <m/>
    <m/>
  </r>
  <r>
    <m/>
    <m/>
    <x v="221"/>
    <x v="64"/>
    <m/>
    <s v="“Sirotik Hastalarda Sarkopeni ve Kognisyon Değerlendirilmesi”"/>
    <m/>
    <m/>
    <m/>
    <m/>
    <m/>
    <m/>
    <m/>
    <m/>
    <m/>
    <m/>
  </r>
  <r>
    <m/>
    <m/>
    <x v="221"/>
    <x v="64"/>
    <m/>
    <s v="“Erişkinlerde Timus Boyutlarının BT ile Değerlendirilmesi, Farklı Yaş Gruplan, Cinsiyet ve Sigara Kullanımıyla İlişkisi”"/>
    <m/>
    <m/>
    <m/>
    <m/>
    <m/>
    <m/>
    <m/>
    <m/>
    <m/>
    <m/>
  </r>
  <r>
    <m/>
    <m/>
    <x v="221"/>
    <x v="64"/>
    <m/>
    <s v="“Onikomikoz Teşhisinde Yapay Zeka Algoritmalarının Dermatolog ve Aile Hekimleri ile Karşılatırmalı Olarak Değerlendirilmesi”"/>
    <m/>
    <m/>
    <m/>
    <m/>
    <m/>
    <m/>
    <m/>
    <m/>
    <m/>
    <m/>
  </r>
  <r>
    <m/>
    <m/>
    <x v="221"/>
    <x v="64"/>
    <m/>
    <s v="“Çocukluk Çağı Astımında Uzun Süreli İzlem ve Remisyon”"/>
    <m/>
    <m/>
    <m/>
    <m/>
    <m/>
    <m/>
    <m/>
    <m/>
    <m/>
    <m/>
  </r>
  <r>
    <m/>
    <m/>
    <x v="221"/>
    <x v="64"/>
    <m/>
    <s v="“DJ-1 Mutasyonuna Bağlı Mitokondriyal Hasarın ve Organeller Arası Etkileşimlerin Hasta Hücrelerinde İncelenmesi”"/>
    <m/>
    <m/>
    <m/>
    <m/>
    <m/>
    <m/>
    <m/>
    <m/>
    <m/>
    <m/>
  </r>
  <r>
    <m/>
    <m/>
    <x v="221"/>
    <x v="64"/>
    <m/>
    <s v="“Lenfoma Hastalarında Warburg Etkisine Bağlı Tip B Laktik Asidoz ve Hipoglisemi: İki Olgu Sunumu ve Literatür Derlemesi”"/>
    <m/>
    <m/>
    <m/>
    <m/>
    <m/>
    <m/>
    <m/>
    <m/>
    <m/>
    <m/>
  </r>
  <r>
    <m/>
    <m/>
    <x v="221"/>
    <x v="64"/>
    <m/>
    <s v="“Vaskülit Hastalarında Erektil Disfonksiyonun Yaygınlığı ve Ürolojik Değerlendirme Sıklığı: Kesitsel Bir Anket Çalışması”"/>
    <m/>
    <m/>
    <m/>
    <m/>
    <m/>
    <m/>
    <m/>
    <m/>
    <m/>
    <m/>
  </r>
  <r>
    <m/>
    <m/>
    <x v="221"/>
    <x v="64"/>
    <m/>
    <s v="“İntra Uterin İnseminasyon Tedavisi Öncesi Elastoscan (Shear Wave Elastografi) ile Uterusun Prospektif Olarak Değerlendirmesi ve Gebelik Sonuçları ile İlişkisinin İncelenmesi”"/>
    <m/>
    <m/>
    <m/>
    <m/>
    <m/>
    <m/>
    <m/>
    <m/>
    <m/>
    <m/>
  </r>
  <r>
    <m/>
    <m/>
    <x v="221"/>
    <x v="64"/>
    <m/>
    <s v="“İn Vitro Fertilizasyon Tedavisi Öncesi Elastoscan (Shear Wave Elastografi) ile Uterusun Prospektif Olarak Değerlendirmesi ve Gebelik Sonuçları ile İlişkisinin İncelenmesi”"/>
    <m/>
    <m/>
    <m/>
    <m/>
    <m/>
    <m/>
    <m/>
    <m/>
    <m/>
    <m/>
  </r>
  <r>
    <m/>
    <m/>
    <x v="221"/>
    <x v="64"/>
    <m/>
    <s v="“Kalp ve Beyin MRG Görüntülerinde Hareket Kaynaklı Aretfaktların Tespiti ve Düzeltilmesine Yönelik Yapay Zeka Yaklaşımı”"/>
    <m/>
    <m/>
    <m/>
    <m/>
    <m/>
    <m/>
    <m/>
    <m/>
    <m/>
    <m/>
  </r>
  <r>
    <m/>
    <m/>
    <x v="221"/>
    <x v="64"/>
    <m/>
    <s v="“Koroner MRA Görüntülerinde Görüntü Kalitesinin Artırılmasına ve Otomatik Değerlendirilmesine Yönelik Yapay Zeka Uygulaması”"/>
    <m/>
    <m/>
    <m/>
    <m/>
    <m/>
    <m/>
    <m/>
    <m/>
    <m/>
    <m/>
  </r>
  <r>
    <m/>
    <m/>
    <x v="221"/>
    <x v="64"/>
    <m/>
    <s v="“Ultrasonografi Eşliğinde Transperineal Prostat Biyopsisinin Güvenirliliği, Uygulanabilirliği ve Kanser Yakalamada Başarı Oranı”"/>
    <m/>
    <m/>
    <m/>
    <m/>
    <m/>
    <m/>
    <m/>
    <m/>
    <m/>
    <m/>
  </r>
  <r>
    <m/>
    <m/>
    <x v="221"/>
    <x v="64"/>
    <m/>
    <s v="“Hemodiyaliz Sürecinde Mikroplastik Varlığının ve Maruziyet Düzeyinin Değerlendirilmesi”"/>
    <m/>
    <m/>
    <m/>
    <m/>
    <m/>
    <m/>
    <m/>
    <m/>
    <m/>
    <m/>
  </r>
  <r>
    <m/>
    <m/>
    <x v="221"/>
    <x v="64"/>
    <m/>
    <s v="“Kurutulmuş İdrar Örneklerinde (DUS) Uyuşturucu-Uyarıcı Madde Analizi”"/>
    <m/>
    <m/>
    <m/>
    <m/>
    <m/>
    <m/>
    <m/>
    <m/>
    <m/>
    <m/>
  </r>
  <r>
    <m/>
    <m/>
    <x v="221"/>
    <x v="64"/>
    <m/>
    <s v="“Vitiligo Tanılı Pediatrik Hastalarda Oral Mikrobiyom ve Diş Çürüğü İlişkisinin İncelenmesi ”"/>
    <m/>
    <m/>
    <m/>
    <m/>
    <m/>
    <m/>
    <m/>
    <m/>
    <m/>
    <m/>
  </r>
  <r>
    <m/>
    <m/>
    <x v="221"/>
    <x v="64"/>
    <m/>
    <s v="“Agresif Başlangıçlı Tip 1 Diabetes Mellitus ile Tanınan CD70 Eksikliği Tanısı Alan Olgunun Klinik ve Laboratuvar Özelliklerinin İncelenmesi"/>
    <m/>
    <m/>
    <m/>
    <m/>
    <m/>
    <m/>
    <m/>
    <m/>
    <m/>
    <m/>
  </r>
  <r>
    <m/>
    <m/>
    <x v="221"/>
    <x v="64"/>
    <m/>
    <s v="“Pelargonium graveolens'in Endometriozis Hücre Hattı (12Z) Üzerindeki Etkilerinin Araştırılması”"/>
    <m/>
    <m/>
    <m/>
    <m/>
    <m/>
    <m/>
    <m/>
    <m/>
    <m/>
    <m/>
  </r>
  <r>
    <m/>
    <m/>
    <x v="221"/>
    <x v="64"/>
    <m/>
    <s v="“Kas Kuvveti ve Fiziksel Performans Ölçümlerinin Yaşlılarda Düşme Riskiyle İlişkisi”"/>
    <m/>
    <m/>
    <m/>
    <m/>
    <m/>
    <m/>
    <m/>
    <m/>
    <m/>
    <m/>
  </r>
  <r>
    <m/>
    <m/>
    <x v="221"/>
    <x v="64"/>
    <m/>
    <s v="“İnsan İmmün Yetmezlik Virüsü (HIV) ile Yaşayan 40 Yaş Üstü Bireylerde 7 Yıllık İzlemde Kırılganlık ve Sarkopeni Değişimi: 2018 Hacettepe Kohortunun Prospektif Yeniden Değerlendirilmesi”"/>
    <m/>
    <m/>
    <m/>
    <m/>
    <m/>
    <m/>
    <m/>
    <m/>
    <m/>
    <m/>
  </r>
  <r>
    <m/>
    <m/>
    <x v="221"/>
    <x v="64"/>
    <m/>
    <s v="“01/01/2015-30/09/2025 Yılları Arasında Koryokarsinom Olgularının Klinik, Patolojik ve Epidemiyolojik Verilerinin Değerlendirilmesi”"/>
    <m/>
    <m/>
    <m/>
    <m/>
    <m/>
    <m/>
    <m/>
    <m/>
    <m/>
    <m/>
  </r>
  <r>
    <m/>
    <m/>
    <x v="221"/>
    <x v="64"/>
    <m/>
    <s v="“Spesifik T Hücre Reseptör Yolağı Yetmezliklerinde İmmün Repertuvar Profillerinin Belirlenmesi”"/>
    <m/>
    <m/>
    <m/>
    <m/>
    <m/>
    <m/>
    <m/>
    <m/>
    <m/>
    <m/>
  </r>
  <r>
    <m/>
    <m/>
    <x v="221"/>
    <x v="64"/>
    <m/>
    <s v="“Proksimal Humerus Kırıklarında Kalkar Vidası Pozisyonunun Başarısızlık Üzerine Etkisi”"/>
    <m/>
    <m/>
    <m/>
    <m/>
    <m/>
    <m/>
    <m/>
    <m/>
    <m/>
    <m/>
  </r>
  <r>
    <m/>
    <m/>
    <x v="221"/>
    <x v="64"/>
    <m/>
    <s v="“Travma Sonrası Yumuşak Doku Yönetimi Nasıl Olmalı Travma Cerrahları Ne Diyor?”"/>
    <m/>
    <m/>
    <m/>
    <m/>
    <m/>
    <m/>
    <m/>
    <m/>
    <m/>
    <m/>
  </r>
  <r>
    <m/>
    <m/>
    <x v="221"/>
    <x v="64"/>
    <m/>
    <s v="“Tiroid Nodüllerinde Telomer Uzunluğunun Prediktif Değeri”"/>
    <m/>
    <m/>
    <m/>
    <m/>
    <m/>
    <m/>
    <m/>
    <m/>
    <m/>
    <m/>
  </r>
  <r>
    <m/>
    <m/>
    <x v="221"/>
    <x v="64"/>
    <m/>
    <s v="“İmmünoterapiye Bağlı Tiroidit Gelişiminde KIR ve HLA Genetik Profillerinin Rolü”"/>
    <m/>
    <m/>
    <m/>
    <m/>
    <m/>
    <m/>
    <m/>
    <m/>
    <m/>
    <m/>
  </r>
  <r>
    <m/>
    <m/>
    <x v="221"/>
    <x v="64"/>
    <m/>
    <s v="“Pediatrik Ürolitiazis Hastalarında Endoskopik Taş Cerrahileri Sonrası Taşsızlık ve Komplikasyon Oranını Etkileyen Faktörlerin Retrospektif İncelemesi”"/>
    <m/>
    <m/>
    <m/>
    <m/>
    <m/>
    <m/>
    <m/>
    <m/>
    <m/>
    <m/>
  </r>
  <r>
    <m/>
    <m/>
    <x v="221"/>
    <x v="64"/>
    <m/>
    <s v="“TESE Başarısını Etkileyen Faktörler”"/>
    <m/>
    <m/>
    <m/>
    <m/>
    <m/>
    <m/>
    <m/>
    <m/>
    <m/>
    <m/>
  </r>
  <r>
    <m/>
    <m/>
    <x v="221"/>
    <x v="64"/>
    <m/>
    <s v="“Stuve-Wiedemann Sendromu Tanısıyla İzlenen Olguların Klinik ve Moleküler Özelliklerinin Değerlendirilmesi”"/>
    <m/>
    <m/>
    <m/>
    <m/>
    <m/>
    <m/>
    <m/>
    <m/>
    <m/>
    <m/>
  </r>
  <r>
    <m/>
    <m/>
    <x v="221"/>
    <x v="64"/>
    <m/>
    <s v="“Hemoroidektomi Sonrası Kanama ve Belirleyici Faktorlerin Degerlendirilmesi: Tek Merkezli Retrospektif Analiz”"/>
    <m/>
    <m/>
    <m/>
    <m/>
    <m/>
    <m/>
    <m/>
    <m/>
    <m/>
    <m/>
  </r>
  <r>
    <m/>
    <m/>
    <x v="221"/>
    <x v="64"/>
    <m/>
    <s v="“Abdominal Nöroblastom Cerrahisinin Böbrek Hacmi Üzerine Etkisi”"/>
    <m/>
    <m/>
    <m/>
    <m/>
    <m/>
    <m/>
    <m/>
    <m/>
    <m/>
    <m/>
  </r>
  <r>
    <m/>
    <m/>
    <x v="221"/>
    <x v="64"/>
    <m/>
    <s v="“Retinopati Tarama Muayenesinde İntranazal Deksmedetomidin: En Uygun Uygulama Zamanının Belirlenmesi”"/>
    <m/>
    <m/>
    <m/>
    <m/>
    <m/>
    <m/>
    <m/>
    <m/>
    <m/>
    <m/>
  </r>
  <r>
    <m/>
    <m/>
    <x v="221"/>
    <x v="64"/>
    <m/>
    <s v="“Histerosalpingografide Uterin Kavite Ölçümlerine Dayalı Uterus Morfometrisinin IVF/Embriyo Transfer Başarısı ile İlişkisinin Değerlendirilmesi”"/>
    <m/>
    <m/>
    <m/>
    <m/>
    <m/>
    <m/>
    <m/>
    <m/>
    <m/>
    <m/>
  </r>
  <r>
    <m/>
    <m/>
    <x v="221"/>
    <x v="64"/>
    <m/>
    <s v="“Hava Kirliliğine Mesleki Maruziyetin Oküler Yüzey Sağlığına Etkisi: Ankara'da Partikül Madde Düzeyleri ile İlişkilendirilmiş Açık Alan ve Ofis Çalışanlarında Gözyaşı İnflamatuar Sitokinlerinin Karşılaştırılması”"/>
    <m/>
    <m/>
    <m/>
    <m/>
    <m/>
    <m/>
    <m/>
    <m/>
    <m/>
    <m/>
  </r>
  <r>
    <m/>
    <m/>
    <x v="221"/>
    <x v="64"/>
    <m/>
    <s v="&quot;Astım Hastalarında Çocukluktan Erişkine Geçişin Tedavi Uyumu ve Takip Üzerine Etkisi&quot;"/>
    <m/>
    <m/>
    <m/>
    <m/>
    <m/>
    <m/>
    <m/>
    <m/>
    <m/>
    <m/>
  </r>
  <r>
    <m/>
    <m/>
    <x v="221"/>
    <x v="64"/>
    <m/>
    <s v="“Sürdürülebilirlik ve Çevre Dostu Eczacılık Uygulamaları Kapsamında Farmasötik Ayak İzi Konusunda Görüş ve Tutumların Değerlendirilmesi”"/>
    <m/>
    <m/>
    <m/>
    <m/>
    <m/>
    <m/>
    <m/>
    <m/>
    <m/>
    <m/>
  </r>
  <r>
    <m/>
    <m/>
    <x v="221"/>
    <x v="64"/>
    <m/>
    <s v="“Nefrotik Sendrom Tanılı Pediatrik Hastalarda Kapsamlı İlaç Yönetimi”"/>
    <m/>
    <m/>
    <m/>
    <m/>
    <m/>
    <m/>
    <m/>
    <m/>
    <m/>
    <m/>
  </r>
  <r>
    <m/>
    <m/>
    <x v="221"/>
    <x v="64"/>
    <m/>
    <s v="“Modülatör Tedavi Kullanan Kistik Fibrozis Tanılı Çocuk Hastalarımızın Özellikleri ve Mental Sağlık Durumları”"/>
    <m/>
    <m/>
    <m/>
    <m/>
    <m/>
    <m/>
    <m/>
    <m/>
    <m/>
    <m/>
  </r>
  <r>
    <m/>
    <m/>
    <x v="221"/>
    <x v="64"/>
    <m/>
    <s v="“Çocuk Yoğun Bakımda Basınç Yaralanması Prevalansı ve Etkileyen Faktörlerin Analizi: Retrospektif Bir Çalışma”"/>
    <m/>
    <m/>
    <m/>
    <m/>
    <m/>
    <m/>
    <m/>
    <m/>
    <m/>
    <m/>
  </r>
  <r>
    <m/>
    <m/>
    <x v="221"/>
    <x v="64"/>
    <m/>
    <s v="&quot;Oral Demir Preparatı Alerjisi Şüphesi Olan Hastalarda Alternatif Demir Tuzları ile Yapılan Oral Provokasyon Sonuçlarının Değerlendirilmesi&quot;"/>
    <m/>
    <m/>
    <m/>
    <m/>
    <m/>
    <m/>
    <m/>
    <m/>
    <m/>
    <m/>
  </r>
  <r>
    <m/>
    <m/>
    <x v="221"/>
    <x v="64"/>
    <m/>
    <s v="&quot;Erişkin Yaygın Değişken İmmün Yetmezlik Hastalarında Klinik Bulgular ve İmmünfenotipik Özelliklerin Analizi&quot;"/>
    <m/>
    <m/>
    <m/>
    <m/>
    <m/>
    <m/>
    <m/>
    <m/>
    <m/>
    <m/>
  </r>
  <r>
    <m/>
    <m/>
    <x v="221"/>
    <x v="64"/>
    <m/>
    <s v="“Vücut Yuvarlaklık İndeksi ve Vücut Şekil İndeksi ile Beyin Hacmi Arasındaki İlişkinin Hafif Bilişsel Bozukluğu veya Demansı olan Hastalarda Manyetik Rezonans Görüntüleme ile (MRG) Değerlendirilmesi”"/>
    <m/>
    <m/>
    <m/>
    <m/>
    <m/>
    <m/>
    <m/>
    <m/>
    <m/>
    <m/>
  </r>
  <r>
    <m/>
    <m/>
    <x v="221"/>
    <x v="64"/>
    <m/>
    <s v="“Yapay Zeka Destekli Yüz Analizi ile Estetik Cerrahi Sonuçlarının Objektif Değerlendirilmesi: Retrospektif Görsel Veri Analizi”"/>
    <m/>
    <m/>
    <m/>
    <m/>
    <m/>
    <m/>
    <m/>
    <m/>
    <m/>
    <m/>
  </r>
  <r>
    <m/>
    <m/>
    <x v="221"/>
    <x v="64"/>
    <m/>
    <s v="“Geriatrik Gastrostomi Olgularında Mortalite ve Gastroskopi Komplikasyonlarını Öngeren Faktörlerin Retrospektif Analizi”"/>
    <m/>
    <m/>
    <m/>
    <m/>
    <m/>
    <m/>
    <m/>
    <m/>
    <m/>
    <m/>
  </r>
  <r>
    <m/>
    <m/>
    <x v="221"/>
    <x v="64"/>
    <m/>
    <s v="“Allojenik Kemik İliği Nakli Sonrası Nüks Hastalıkta Yapılan Tedavilerin Klinik, Laboratuvar, Prognostik, Sağ Kalım ve Yan Etkiler Açısından Değerlendirilmesi”"/>
    <m/>
    <m/>
    <m/>
    <m/>
    <m/>
    <m/>
    <m/>
    <m/>
    <m/>
    <m/>
  </r>
  <r>
    <m/>
    <m/>
    <x v="221"/>
    <x v="64"/>
    <m/>
    <s v="“Menstrual Siklusun Farklı Dönemlerinde Aşil Tendon Elastisitesi ile Anterior Talofibular Ligament Kalınlığının Ultrasonografi ve Shear Wave Elastografi ile Değerlendirilmesi”"/>
    <m/>
    <m/>
    <m/>
    <m/>
    <m/>
    <m/>
    <m/>
    <m/>
    <m/>
    <m/>
  </r>
  <r>
    <m/>
    <m/>
    <x v="221"/>
    <x v="64"/>
    <m/>
    <s v="“Benzotiyofen Oksabütanoik Asit'in Endometriyum Kanserinde Karboplatin Direncine Etkilerinin İn Vitro Araştırılması”"/>
    <m/>
    <m/>
    <m/>
    <m/>
    <m/>
    <m/>
    <m/>
    <m/>
    <m/>
    <m/>
  </r>
  <r>
    <m/>
    <m/>
    <x v="221"/>
    <x v="64"/>
    <m/>
    <s v="“Kronik Plak Psöriazis Tanılı Hastalarda Hepatik Fibrozisin Değerlendirilmesi”"/>
    <m/>
    <m/>
    <m/>
    <m/>
    <m/>
    <m/>
    <m/>
    <m/>
    <m/>
    <m/>
  </r>
  <r>
    <m/>
    <m/>
    <x v="221"/>
    <x v="64"/>
    <m/>
    <s v="“Tuberositas İnterossea Ulnaris Morfolojik ve Morfometrik Özelliklerinin Değerlendirilmesi”"/>
    <m/>
    <m/>
    <m/>
    <m/>
    <m/>
    <m/>
    <m/>
    <m/>
    <m/>
    <m/>
  </r>
  <r>
    <m/>
    <m/>
    <x v="221"/>
    <x v="64"/>
    <m/>
    <s v="“Maksiller Retrüzyon ile Birlikte Obstrüktif Uyku Apne Sendromu Olan Çocuklarda Maksiller İlerletme Tedavisinin Etkilerinin Retrospektif Değerlendirilmesi”"/>
    <m/>
    <m/>
    <m/>
    <m/>
    <m/>
    <m/>
    <m/>
    <m/>
    <m/>
    <m/>
  </r>
  <r>
    <m/>
    <m/>
    <x v="221"/>
    <x v="64"/>
    <m/>
    <s v="“İnfertilitenin Psikolojik Yükü: İnfertilite Tedavisi Gören Kadınlarda Beck Umutsuzluk Ölçeği ile Umutsuzluk Düzeyinin Değerlendirilmesi”"/>
    <m/>
    <m/>
    <m/>
    <m/>
    <m/>
    <m/>
    <m/>
    <m/>
    <m/>
    <m/>
  </r>
  <r>
    <m/>
    <m/>
    <x v="221"/>
    <x v="64"/>
    <m/>
    <s v="“Antenatal Kortikosteroid Uygulanan Gebeliklerde Fetal Dolaşım Dinamiklerinin Longitudinal İzlemi ve Perinatal Sonuçlarla İlişkisi: Prospektif Gözlemsel Çalışma”"/>
    <m/>
    <m/>
    <m/>
    <m/>
    <m/>
    <m/>
    <m/>
    <m/>
    <m/>
    <m/>
  </r>
  <r>
    <m/>
    <m/>
    <x v="221"/>
    <x v="64"/>
    <m/>
    <s v="“Fetal Kardiyak Girişim Sonrası Fetal Hemodinamik Değişimler ve Perinatal Sonuçlar”"/>
    <m/>
    <m/>
    <m/>
    <m/>
    <m/>
    <m/>
    <m/>
    <m/>
    <m/>
    <m/>
  </r>
  <r>
    <m/>
    <m/>
    <x v="221"/>
    <x v="64"/>
    <m/>
    <s v="“Psikotik Bozukluklarda Tedaviye Direnç ile İlişkili Doğal Dil İşleme Değişkenlerinin ve Düşünce Süreci Bozukluklarının Değerlendirilmesi”"/>
    <m/>
    <m/>
    <m/>
    <m/>
    <m/>
    <m/>
    <m/>
    <m/>
    <m/>
    <m/>
  </r>
  <r>
    <m/>
    <m/>
    <x v="221"/>
    <x v="64"/>
    <m/>
    <s v="“Anoreksiya Nervoza ve Atipik Anoreksiya Nervoza Tanılı Ergenlerin Remisyon ve Relaps Süreçlerinin ve Yordayıcılarının Değerlendirilmesi”"/>
    <m/>
    <m/>
    <m/>
    <m/>
    <m/>
    <m/>
    <m/>
    <m/>
    <m/>
    <m/>
  </r>
  <r>
    <m/>
    <m/>
    <x v="221"/>
    <x v="64"/>
    <m/>
    <s v="“Doksan Yaş ve Üzeri Bireylerde Elektrokardiyografik Bulgular ve Aritmi Gelişiminde Rol Oynayan Faktörlerin Değerlendirilmesi”"/>
    <m/>
    <m/>
    <m/>
    <m/>
    <m/>
    <m/>
    <m/>
    <m/>
    <m/>
    <m/>
  </r>
  <r>
    <m/>
    <m/>
    <x v="221"/>
    <x v="64"/>
    <m/>
    <s v=", “Eczacılık Öğrencileri ve Eczacıların Mesleki İlaç Erişimine Bağlı Madde Kullanımı Niyet ve Davranışlarının İncelenmesi: Bir Anket Çalışması”"/>
    <m/>
    <m/>
    <m/>
    <m/>
    <m/>
    <m/>
    <m/>
    <m/>
    <m/>
    <m/>
  </r>
  <r>
    <m/>
    <m/>
    <x v="221"/>
    <x v="64"/>
    <m/>
    <s v="“Maksillofasiyal Protezlerde Konvansiyonel ve Dijital İş Akışlarına Yönelik Diş Hekimliği 4. ve 5. Sınıf Öğrencilerinin Bilgi Düzeyinin Değerlendirilmesi”"/>
    <m/>
    <m/>
    <m/>
    <m/>
    <m/>
    <m/>
    <m/>
    <m/>
    <m/>
    <m/>
  </r>
  <r>
    <m/>
    <m/>
    <x v="221"/>
    <x v="64"/>
    <m/>
    <s v="“Protetik Diş Tedavisinde Yapay Zeka Kullanımına Dair Diş Hekimliği 4. ve 5. Sınıf Öğrencilerinin Farkındalık, Tutum ve Etik Algılarının Değerlendirilmesi”"/>
    <m/>
    <m/>
    <m/>
    <m/>
    <m/>
    <m/>
    <m/>
    <m/>
    <m/>
    <m/>
  </r>
  <r>
    <m/>
    <m/>
    <x v="221"/>
    <x v="64"/>
    <m/>
    <s v="“Adölesan Dönemdeki Çocuklarda Kaygı Düzeyi ve Okul Başarasının Temporomandibular Eklem Bozuklukları ile İlişkisi”"/>
    <m/>
    <m/>
    <m/>
    <m/>
    <m/>
    <m/>
    <m/>
    <m/>
    <m/>
    <m/>
  </r>
  <r>
    <m/>
    <m/>
    <x v="221"/>
    <x v="64"/>
    <m/>
    <s v="''Kalp Nakli Bekleyen Çocukların Ailelerinin Bilgi Düzeyi ve Eğitim İhtiyaçlarının Belirlenmesi: Tek Merkez Örneği''"/>
    <m/>
    <m/>
    <m/>
    <m/>
    <m/>
    <m/>
    <m/>
    <m/>
    <m/>
    <m/>
  </r>
  <r>
    <m/>
    <m/>
    <x v="221"/>
    <x v="64"/>
    <m/>
    <s v="“Tanıdan Tedaviye Güncel Yaklaşımlar Eğitim Programlarının Memnuniyet Anket Sonuçlarının Değerlendirilmesi”"/>
    <m/>
    <m/>
    <m/>
    <m/>
    <m/>
    <m/>
    <m/>
    <m/>
    <m/>
    <m/>
  </r>
  <r>
    <m/>
    <m/>
    <x v="221"/>
    <x v="64"/>
    <m/>
    <s v="“Sistemik Lupus Eritematozus Nefritinde Osteoporoz Risk Faktörlerinin ve Fibroblast Büyüme Faktörü-23 Yolağının Rolünün İncelenmesi”"/>
    <m/>
    <m/>
    <m/>
    <m/>
    <m/>
    <m/>
    <m/>
    <m/>
    <m/>
    <m/>
  </r>
  <r>
    <m/>
    <m/>
    <x v="221"/>
    <x v="64"/>
    <m/>
    <s v="“Term Yenidoğanlarda Kord Klempleme Süresinin Erken Metabolik ve Solunumsal Sonuçlar Üzerine Etkisi”"/>
    <m/>
    <m/>
    <m/>
    <m/>
    <m/>
    <m/>
    <m/>
    <m/>
    <m/>
    <m/>
  </r>
  <r>
    <m/>
    <m/>
    <x v="221"/>
    <x v="64"/>
    <m/>
    <s v="“80 Yaş Üzeri Hastalarda Osteoporoz Bulguları ve Tedavi Yaklaşımlarının Retrospektif Analizi”"/>
    <m/>
    <m/>
    <m/>
    <m/>
    <m/>
    <m/>
    <m/>
    <m/>
    <m/>
    <m/>
  </r>
  <r>
    <m/>
    <m/>
    <x v="221"/>
    <x v="64"/>
    <m/>
    <s v="“KBB Hava Yolu Cerrahilerinde ChatGPT’nin Preoperatif Anestezi Risk Değerlendirme Performansının İncelenmesi”"/>
    <m/>
    <m/>
    <m/>
    <m/>
    <m/>
    <m/>
    <m/>
    <m/>
    <m/>
    <m/>
  </r>
  <r>
    <m/>
    <m/>
    <x v="221"/>
    <x v="64"/>
    <m/>
    <s v="“Acil Servislerin Uygunsuz Kullanımının İncelenmesi: Bir Üniversite Hastanesi Örneği”"/>
    <m/>
    <m/>
    <m/>
    <m/>
    <m/>
    <m/>
    <m/>
    <m/>
    <m/>
    <m/>
  </r>
  <r>
    <m/>
    <m/>
    <x v="221"/>
    <x v="64"/>
    <m/>
    <s v="“İkili Seçim Deneyi Yöntemi Kullanılarak 60 yaş üstü Bireylerin RSV Aşısı ile Aşılanma Davranışına Etki Edebilecek Faktörlerin Değerlendirilmesi”"/>
    <m/>
    <m/>
    <m/>
    <m/>
    <m/>
    <m/>
    <m/>
    <m/>
    <m/>
    <m/>
  </r>
  <r>
    <m/>
    <m/>
    <x v="221"/>
    <x v="64"/>
    <m/>
    <s v="“Kronik Spontan Ürtiker Hastalarında Nonsteroid Antiinflamatuvar İlaç (NSAİİ) Hipersensitivitesinin İncelenmesi”"/>
    <m/>
    <m/>
    <m/>
    <m/>
    <m/>
    <m/>
    <m/>
    <m/>
    <m/>
    <m/>
  </r>
  <r>
    <m/>
    <m/>
    <x v="221"/>
    <x v="64"/>
    <m/>
    <s v="“Acil Serviste Çocukluk Çağı Ekzantemlerinin Haritalanması: Bir Kesitsel Gözlemsel Çalışma”"/>
    <m/>
    <m/>
    <m/>
    <m/>
    <m/>
    <m/>
    <m/>
    <m/>
    <m/>
    <m/>
  </r>
  <r>
    <m/>
    <m/>
    <x v="221"/>
    <x v="64"/>
    <m/>
    <s v="“Dermatoloji Ayaktan ve Yatan Hasta Başvurularında Yama Testi Endikasyonlarının Belirlenmesi ve Klinik ile Test Sonuçlarının Korelasyonunun İncelenmesi”"/>
    <m/>
    <m/>
    <m/>
    <m/>
    <m/>
    <m/>
    <m/>
    <m/>
    <m/>
    <m/>
  </r>
  <r>
    <m/>
    <m/>
    <x v="221"/>
    <x v="64"/>
    <m/>
    <s v="“Yatan Hastalarda Malnütrisyonun Sıklığı ve Kas Kütlesi ile Cilt Altı Yağ Dokusu Kalınlığının Ultrasonografik Korelasyonu”"/>
    <m/>
    <m/>
    <m/>
    <m/>
    <m/>
    <m/>
    <m/>
    <m/>
    <m/>
    <m/>
  </r>
  <r>
    <m/>
    <m/>
    <x v="221"/>
    <x v="64"/>
    <m/>
    <s v="“Kornea Rejenerasyonuna Yönelik Enjekte Edilebilir Gözenekli İpek Mikrotaşıyıcıların In Vivo Çalışmalarda Kullanım Etkinliğinin Belirlenmesi”"/>
    <m/>
    <m/>
    <m/>
    <m/>
    <m/>
    <m/>
    <m/>
    <m/>
    <m/>
    <m/>
  </r>
  <r>
    <m/>
    <m/>
    <x v="221"/>
    <x v="64"/>
    <m/>
    <s v="“Plastik, Rekonstrüktif ve Estetik Cerrahi Polikliniği Hastalarında Hekime Ulaşma ve Tercih Kanallarının İncelenmesi”"/>
    <m/>
    <m/>
    <m/>
    <m/>
    <m/>
    <m/>
    <m/>
    <m/>
    <m/>
    <m/>
  </r>
  <r>
    <m/>
    <m/>
    <x v="221"/>
    <x v="64"/>
    <m/>
    <s v="“Non-Melanositik Deri Tümörlerinin Dermoskopik Özelliklerinin Polarize, Non-Polarize ve UV Modlar ile Karşılaştırılması”"/>
    <m/>
    <m/>
    <m/>
    <m/>
    <m/>
    <m/>
    <m/>
    <m/>
    <m/>
    <m/>
  </r>
  <r>
    <m/>
    <m/>
    <x v="221"/>
    <x v="64"/>
    <m/>
    <s v="“Acil Servise Akut Ataksi Nedeniyle Başvuran Hastaların Klinik Özellikleri ve Yaklaşım Algoritması”"/>
    <m/>
    <m/>
    <m/>
    <m/>
    <m/>
    <m/>
    <m/>
    <m/>
    <m/>
    <m/>
  </r>
  <r>
    <m/>
    <m/>
    <x v="221"/>
    <x v="64"/>
    <m/>
    <s v="“Yüksek Dereceli Servikal Lezyon Saptanan ve Konizasyon Uygulanan Hastalarda Cerrahi Sınır Pozitifliğinin Prognoza Olan Etkisi”"/>
    <m/>
    <m/>
    <m/>
    <m/>
    <m/>
    <m/>
    <m/>
    <m/>
    <m/>
    <m/>
  </r>
  <r>
    <m/>
    <m/>
    <x v="221"/>
    <x v="64"/>
    <m/>
    <s v="“Sepsis/Septik Şok Hastalarında PI, MEWS, qSOFA, APACHE II ve CRT Değerlerinin Analizi ve Klinik Sonuçlarla İlişkisi”"/>
    <m/>
    <m/>
    <m/>
    <m/>
    <m/>
    <m/>
    <m/>
    <m/>
    <m/>
    <m/>
  </r>
  <r>
    <m/>
    <m/>
    <x v="221"/>
    <x v="64"/>
    <m/>
    <s v="“Yapay Zekâ Yardımlı Analizler ile Jinekolojik Onkoloji Konsey Karar Süreçlerinin Geliştirilmesi”"/>
    <m/>
    <m/>
    <m/>
    <m/>
    <m/>
    <m/>
    <m/>
    <m/>
    <m/>
    <m/>
  </r>
  <r>
    <m/>
    <m/>
    <x v="221"/>
    <x v="64"/>
    <m/>
    <s v="“Obsesif Kompulsif Bozukluğu olan Ergenlerde Duyusal Profil ile İnteroseptif Farkındalık ve Doğruluğun İncelenmesi”"/>
    <m/>
    <m/>
    <m/>
    <m/>
    <m/>
    <m/>
    <m/>
    <m/>
    <m/>
    <m/>
  </r>
  <r>
    <m/>
    <m/>
    <x v="221"/>
    <x v="64"/>
    <m/>
    <s v="“Mayer-Rokitansky-Küster-Hauser Sendromlu Hastalarda Uterin Remnant Dokuların Anterior Neovajen Duvarı Oluşturulmasında Kullanıldığı Modifiye Davydov Tekniğinin Tanımlanması ve Uzun Dönem Sonuçlarının Analizi”"/>
    <m/>
    <m/>
    <m/>
    <m/>
    <m/>
    <m/>
    <m/>
    <m/>
    <m/>
    <m/>
  </r>
  <r>
    <m/>
    <m/>
    <x v="221"/>
    <x v="64"/>
    <m/>
    <s v="“Erişkin Kistik Fibrozis Hastalarında Genetik Mutasyon Kombinasyonları ile Organ Sistem Tutulumu İlişkisinin İncelenmesi ”"/>
    <m/>
    <m/>
    <m/>
    <m/>
    <m/>
    <m/>
    <m/>
    <m/>
    <m/>
    <m/>
  </r>
  <r>
    <m/>
    <m/>
    <x v="221"/>
    <x v="64"/>
    <m/>
    <s v="“Mohs Cerrahisi Fellowship Eğitiminde Kullanılan Ölçme ve Değerlendirme Araçlarıyla İlgili Eğitici ve Öğrenci Görüşleri”"/>
    <m/>
    <m/>
    <m/>
    <m/>
    <m/>
    <m/>
    <m/>
    <m/>
    <m/>
    <m/>
  </r>
  <r>
    <m/>
    <m/>
    <x v="221"/>
    <x v="64"/>
    <m/>
    <s v="“Bloom Sendromu Tanısı Alan Hastaların Klinik, Demografik ve İmmünolojik Özelliklerinin Değerlendirilmesi”"/>
    <m/>
    <m/>
    <m/>
    <m/>
    <m/>
    <m/>
    <m/>
    <m/>
    <m/>
    <m/>
  </r>
  <r>
    <m/>
    <m/>
    <x v="221"/>
    <x v="64"/>
    <m/>
    <s v="“Tuberositas İnterossea Radii Morfolojik ve Morfometrik Özelliklerinin Değerlendirilmesi”"/>
    <m/>
    <m/>
    <m/>
    <m/>
    <m/>
    <m/>
    <m/>
    <m/>
    <m/>
    <m/>
  </r>
  <r>
    <m/>
    <m/>
    <x v="221"/>
    <x v="64"/>
    <m/>
    <s v="“Açık Apeksli Devital Dişlerde Vaka Seçimi ve Klinik Protokol Açısından Pratisyen Diş Hekimleri, Endodonti Uzmanları ve Pedodonti Uzmanlarının Tedavi Yaklaşımları”"/>
    <m/>
    <m/>
    <m/>
    <m/>
    <m/>
    <m/>
    <m/>
    <m/>
    <m/>
    <m/>
  </r>
  <r>
    <m/>
    <m/>
    <x v="221"/>
    <x v="64"/>
    <m/>
    <s v="“Beyin Omurilik Sıvısı Örneklerinde Alkol ve Psikoaktif Madde Düzeylerinin Değerlendirilmesi”"/>
    <m/>
    <m/>
    <m/>
    <m/>
    <m/>
    <m/>
    <m/>
    <m/>
    <m/>
    <m/>
  </r>
  <r>
    <m/>
    <m/>
    <x v="221"/>
    <x v="64"/>
    <m/>
    <s v="“Kistik Fibrozisli Çocuklarda Kistik Fibrozis Transmembran Kondüktans Regülatör Modülatör Tedavisinin Beslenme Durumu ve Hepatobiliyer Sistem Üzerine Etkisi”"/>
    <m/>
    <m/>
    <m/>
    <m/>
    <m/>
    <m/>
    <m/>
    <m/>
    <m/>
    <m/>
  </r>
  <r>
    <m/>
    <m/>
    <x v="221"/>
    <x v="64"/>
    <m/>
    <s v="“Multisistem İnflamatuvar Sendrom (MIS-C)’da, Sistemik Siklik Dinükleotitler (CDN’ler) ve İnterferon Genlerini Uyarıcı (STING) Yolu Aktivasyonu: Hiperinflamasyona İmmünopatolojik Bakış”"/>
    <m/>
    <m/>
    <m/>
    <m/>
    <m/>
    <m/>
    <m/>
    <m/>
    <m/>
    <m/>
  </r>
  <r>
    <m/>
    <m/>
    <x v="221"/>
    <x v="64"/>
    <m/>
    <s v="“Alt Ekstremitede Pliometrik Egzersiz Şiddetinin Belirlenmesi”"/>
    <m/>
    <m/>
    <m/>
    <m/>
    <m/>
    <m/>
    <m/>
    <m/>
    <m/>
    <m/>
  </r>
  <r>
    <m/>
    <m/>
    <x v="221"/>
    <x v="64"/>
    <m/>
    <s v="“Çocuklarda Pnömokok Taşıyıcılığı: Kültürün Ötesinde Moleküler Doğruluk”"/>
    <m/>
    <m/>
    <m/>
    <m/>
    <m/>
    <m/>
    <m/>
    <m/>
    <m/>
    <m/>
  </r>
  <r>
    <m/>
    <m/>
    <x v="221"/>
    <x v="64"/>
    <m/>
    <s v="“Uzun Süreli Glukokortikoid Kullanımına Bağlı Adrenal Yetmezlikte İlaç Kesim Sürecinin İncelenmesi”"/>
    <m/>
    <m/>
    <m/>
    <m/>
    <m/>
    <m/>
    <m/>
    <m/>
    <m/>
    <m/>
  </r>
  <r>
    <m/>
    <m/>
    <x v="221"/>
    <x v="64"/>
    <m/>
    <s v="“Subkutan İmmunoglobulin Replasman Tedavisi Almış Olan Primer İmmün Yetmezlik Hastalarının Özelliklerinin Değerlendirilmesi”"/>
    <m/>
    <m/>
    <m/>
    <m/>
    <m/>
    <m/>
    <m/>
    <m/>
    <m/>
    <m/>
  </r>
  <r>
    <m/>
    <m/>
    <x v="221"/>
    <x v="64"/>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21"/>
    <x v="64"/>
    <m/>
    <s v="“Geri Dönüşümsüz Pulpitislerde Makrofaj Polarizasyonunun İncelenmesi”"/>
    <m/>
    <m/>
    <m/>
    <m/>
    <m/>
    <m/>
    <m/>
    <m/>
    <m/>
    <m/>
  </r>
  <r>
    <m/>
    <m/>
    <x v="221"/>
    <x v="64"/>
    <m/>
    <s v="“El Kavrama Kuvvetinin Ölçümünde Squegg'in Geriatrik Popülasyondaki Tanısal Geçerliliği”"/>
    <m/>
    <m/>
    <m/>
    <m/>
    <m/>
    <m/>
    <m/>
    <m/>
    <m/>
    <m/>
  </r>
  <r>
    <m/>
    <m/>
    <x v="221"/>
    <x v="64"/>
    <m/>
    <s v="“MELD 3.0 ve GEMA skorlarının Siroz Hastalarında Mortalite Öngörüsünde Etkinliğinin Araştırılması”"/>
    <m/>
    <m/>
    <m/>
    <m/>
    <m/>
    <m/>
    <m/>
    <m/>
    <m/>
    <m/>
  </r>
  <r>
    <m/>
    <m/>
    <x v="221"/>
    <x v="64"/>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7" firstHeaderRow="1" firstDataRow="1" firstDataCol="1"/>
  <pivotFields count="16">
    <pivotField showAll="0"/>
    <pivotField showAll="0"/>
    <pivotField showAll="0"/>
    <pivotField axis="axisRow" dataField="1" showAll="0" sortType="descending">
      <items count="66">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4"/>
        <item x="47"/>
        <item x="48"/>
        <item x="49"/>
        <item x="50"/>
        <item x="51"/>
        <item x="52"/>
        <item x="53"/>
        <item x="54"/>
        <item x="55"/>
        <item x="56"/>
        <item x="57"/>
        <item x="58"/>
        <item x="59"/>
        <item x="60"/>
        <item x="61"/>
        <item x="62"/>
        <item x="6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6">
    <i>
      <x v="21"/>
    </i>
    <i>
      <x v="7"/>
    </i>
    <i>
      <x v="22"/>
    </i>
    <i>
      <x v="28"/>
    </i>
    <i>
      <x v="16"/>
    </i>
    <i>
      <x v="35"/>
    </i>
    <i>
      <x v="31"/>
    </i>
    <i>
      <x v="17"/>
    </i>
    <i>
      <x v="8"/>
    </i>
    <i>
      <x v="24"/>
    </i>
    <i>
      <x v="9"/>
    </i>
    <i>
      <x v="2"/>
    </i>
    <i>
      <x v="50"/>
    </i>
    <i>
      <x v="6"/>
    </i>
    <i>
      <x v="23"/>
    </i>
    <i>
      <x v="30"/>
    </i>
    <i>
      <x v="25"/>
    </i>
    <i>
      <x v="46"/>
    </i>
    <i>
      <x v="36"/>
    </i>
    <i>
      <x v="33"/>
    </i>
    <i>
      <x v="3"/>
    </i>
    <i>
      <x v="39"/>
    </i>
    <i>
      <x v="29"/>
    </i>
    <i>
      <x v="18"/>
    </i>
    <i>
      <x/>
    </i>
    <i>
      <x v="40"/>
    </i>
    <i>
      <x v="14"/>
    </i>
    <i>
      <x v="34"/>
    </i>
    <i>
      <x v="1"/>
    </i>
    <i>
      <x v="42"/>
    </i>
    <i>
      <x v="10"/>
    </i>
    <i>
      <x v="19"/>
    </i>
    <i>
      <x v="60"/>
    </i>
    <i>
      <x v="54"/>
    </i>
    <i>
      <x v="15"/>
    </i>
    <i>
      <x v="20"/>
    </i>
    <i>
      <x v="53"/>
    </i>
    <i>
      <x v="56"/>
    </i>
    <i>
      <x v="48"/>
    </i>
    <i>
      <x v="51"/>
    </i>
    <i>
      <x v="26"/>
    </i>
    <i>
      <x v="52"/>
    </i>
    <i>
      <x v="32"/>
    </i>
    <i>
      <x v="59"/>
    </i>
    <i>
      <x v="55"/>
    </i>
    <i>
      <x v="63"/>
    </i>
    <i>
      <x v="44"/>
    </i>
    <i>
      <x v="57"/>
    </i>
    <i>
      <x v="45"/>
    </i>
    <i>
      <x v="61"/>
    </i>
    <i>
      <x v="12"/>
    </i>
    <i>
      <x v="11"/>
    </i>
    <i>
      <x v="13"/>
    </i>
    <i>
      <x v="41"/>
    </i>
    <i>
      <x v="49"/>
    </i>
    <i>
      <x v="58"/>
    </i>
    <i>
      <x v="5"/>
    </i>
    <i>
      <x v="27"/>
    </i>
    <i>
      <x v="37"/>
    </i>
    <i>
      <x v="62"/>
    </i>
    <i>
      <x v="38"/>
    </i>
    <i>
      <x v="64"/>
    </i>
    <i>
      <x v="43"/>
    </i>
    <i>
      <x v="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24" firstHeaderRow="1" firstDataRow="1" firstDataCol="1"/>
  <pivotFields count="16">
    <pivotField showAll="0"/>
    <pivotField showAll="0"/>
    <pivotField axis="axisRow" dataField="1" showAll="0" sortType="descending">
      <items count="22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21"/>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24"/>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22"/>
        <item x="215"/>
        <item x="216"/>
        <item x="217"/>
        <item x="218"/>
        <item x="219"/>
        <item x="2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23">
    <i>
      <x v="83"/>
    </i>
    <i>
      <x v="82"/>
    </i>
    <i>
      <x v="109"/>
    </i>
    <i>
      <x v="198"/>
    </i>
    <i>
      <x v="193"/>
    </i>
    <i>
      <x v="39"/>
    </i>
    <i>
      <x v="30"/>
    </i>
    <i>
      <x v="172"/>
    </i>
    <i>
      <x v="146"/>
    </i>
    <i>
      <x v="64"/>
    </i>
    <i>
      <x v="53"/>
    </i>
    <i>
      <x v="159"/>
    </i>
    <i>
      <x v="35"/>
    </i>
    <i>
      <x v="98"/>
    </i>
    <i>
      <x v="28"/>
    </i>
    <i>
      <x v="105"/>
    </i>
    <i>
      <x v="19"/>
    </i>
    <i>
      <x v="139"/>
    </i>
    <i>
      <x v="72"/>
    </i>
    <i>
      <x v="20"/>
    </i>
    <i>
      <x v="88"/>
    </i>
    <i>
      <x v="157"/>
    </i>
    <i>
      <x v="14"/>
    </i>
    <i>
      <x v="32"/>
    </i>
    <i>
      <x v="44"/>
    </i>
    <i>
      <x v="21"/>
    </i>
    <i>
      <x v="15"/>
    </i>
    <i>
      <x v="167"/>
    </i>
    <i>
      <x v="54"/>
    </i>
    <i>
      <x v="197"/>
    </i>
    <i>
      <x v="57"/>
    </i>
    <i>
      <x v="102"/>
    </i>
    <i>
      <x v="63"/>
    </i>
    <i>
      <x v="126"/>
    </i>
    <i>
      <x v="66"/>
    </i>
    <i>
      <x v="22"/>
    </i>
    <i>
      <x v="68"/>
    </i>
    <i>
      <x v="163"/>
    </i>
    <i>
      <x v="71"/>
    </i>
    <i>
      <x v="9"/>
    </i>
    <i>
      <x v="87"/>
    </i>
    <i>
      <x v="5"/>
    </i>
    <i>
      <x v="175"/>
    </i>
    <i>
      <x v="49"/>
    </i>
    <i>
      <x v="144"/>
    </i>
    <i>
      <x v="1"/>
    </i>
    <i>
      <x v="199"/>
    </i>
    <i>
      <x v="34"/>
    </i>
    <i>
      <x v="211"/>
    </i>
    <i>
      <x v="13"/>
    </i>
    <i>
      <x v="48"/>
    </i>
    <i>
      <x v="97"/>
    </i>
    <i>
      <x v="162"/>
    </i>
    <i>
      <x v="56"/>
    </i>
    <i>
      <x v="169"/>
    </i>
    <i>
      <x v="45"/>
    </i>
    <i>
      <x v="179"/>
    </i>
    <i>
      <x v="60"/>
    </i>
    <i>
      <x v="143"/>
    </i>
    <i>
      <x v="62"/>
    </i>
    <i>
      <x v="145"/>
    </i>
    <i>
      <x v="216"/>
    </i>
    <i>
      <x v="147"/>
    </i>
    <i>
      <x v="3"/>
    </i>
    <i>
      <x v="25"/>
    </i>
    <i>
      <x v="114"/>
    </i>
    <i>
      <x v="50"/>
    </i>
    <i>
      <x v="122"/>
    </i>
    <i>
      <x v="168"/>
    </i>
    <i>
      <x v="46"/>
    </i>
    <i>
      <x v="7"/>
    </i>
    <i>
      <x v="132"/>
    </i>
    <i>
      <x v="178"/>
    </i>
    <i>
      <x v="136"/>
    </i>
    <i>
      <x v="207"/>
    </i>
    <i>
      <x v="138"/>
    </i>
    <i>
      <x v="17"/>
    </i>
    <i>
      <x v="33"/>
    </i>
    <i>
      <x v="101"/>
    </i>
    <i>
      <x v="208"/>
    </i>
    <i>
      <x v="76"/>
    </i>
    <i>
      <x v="80"/>
    </i>
    <i>
      <x v="107"/>
    </i>
    <i>
      <x v="212"/>
    </i>
    <i>
      <x v="42"/>
    </i>
    <i>
      <x v="69"/>
    </i>
    <i>
      <x v="85"/>
    </i>
    <i>
      <x v="196"/>
    </i>
    <i>
      <x v="86"/>
    </i>
    <i>
      <x v="155"/>
    </i>
    <i>
      <x v="24"/>
    </i>
    <i>
      <x v="171"/>
    </i>
    <i>
      <x v="6"/>
    </i>
    <i>
      <x v="188"/>
    </i>
    <i>
      <x v="89"/>
    </i>
    <i>
      <x v="204"/>
    </i>
    <i>
      <x v="90"/>
    </i>
    <i>
      <x v="151"/>
    </i>
    <i>
      <x v="91"/>
    </i>
    <i>
      <x v="67"/>
    </i>
    <i>
      <x v="92"/>
    </i>
    <i>
      <x v="70"/>
    </i>
    <i>
      <x v="93"/>
    </i>
    <i>
      <x v="74"/>
    </i>
    <i>
      <x v="94"/>
    </i>
    <i>
      <x v="184"/>
    </i>
    <i>
      <x v="95"/>
    </i>
    <i>
      <x v="192"/>
    </i>
    <i>
      <x v="96"/>
    </i>
    <i>
      <x v="200"/>
    </i>
    <i>
      <x v="47"/>
    </i>
    <i>
      <x v="23"/>
    </i>
    <i>
      <x v="26"/>
    </i>
    <i>
      <x v="149"/>
    </i>
    <i>
      <x v="99"/>
    </i>
    <i>
      <x v="153"/>
    </i>
    <i>
      <x v="100"/>
    </i>
    <i>
      <x v="37"/>
    </i>
    <i>
      <x v="27"/>
    </i>
    <i>
      <x v="161"/>
    </i>
    <i>
      <x v="16"/>
    </i>
    <i>
      <x v="165"/>
    </i>
    <i>
      <x v="103"/>
    </i>
    <i>
      <x v="41"/>
    </i>
    <i>
      <x v="104"/>
    </i>
    <i>
      <x v="173"/>
    </i>
    <i>
      <x v="51"/>
    </i>
    <i>
      <x v="177"/>
    </i>
    <i>
      <x v="106"/>
    </i>
    <i>
      <x v="182"/>
    </i>
    <i>
      <x v="213"/>
    </i>
    <i>
      <x v="186"/>
    </i>
    <i>
      <x v="214"/>
    </i>
    <i>
      <x v="190"/>
    </i>
    <i>
      <x v="52"/>
    </i>
    <i>
      <x v="194"/>
    </i>
    <i>
      <x v="219"/>
    </i>
    <i>
      <x v="79"/>
    </i>
    <i>
      <x v="29"/>
    </i>
    <i>
      <x v="202"/>
    </i>
    <i>
      <x v="112"/>
    </i>
    <i>
      <x v="206"/>
    </i>
    <i>
      <x v="113"/>
    </i>
    <i>
      <x v="210"/>
    </i>
    <i>
      <x v="10"/>
    </i>
    <i>
      <x v="148"/>
    </i>
    <i>
      <x v="115"/>
    </i>
    <i>
      <x v="150"/>
    </i>
    <i>
      <x v="116"/>
    </i>
    <i>
      <x v="152"/>
    </i>
    <i>
      <x v="117"/>
    </i>
    <i>
      <x v="154"/>
    </i>
    <i>
      <x v="118"/>
    </i>
    <i>
      <x v="156"/>
    </i>
    <i>
      <x v="119"/>
    </i>
    <i>
      <x v="158"/>
    </i>
    <i>
      <x v="120"/>
    </i>
    <i>
      <x v="160"/>
    </i>
    <i>
      <x v="121"/>
    </i>
    <i>
      <x v="38"/>
    </i>
    <i>
      <x v="55"/>
    </i>
    <i>
      <x v="164"/>
    </i>
    <i>
      <x v="123"/>
    </i>
    <i>
      <x v="166"/>
    </i>
    <i>
      <x v="124"/>
    </i>
    <i>
      <x v="8"/>
    </i>
    <i>
      <x v="125"/>
    </i>
    <i>
      <x v="170"/>
    </i>
    <i>
      <x v="31"/>
    </i>
    <i>
      <x v="73"/>
    </i>
    <i>
      <x v="127"/>
    </i>
    <i>
      <x v="174"/>
    </i>
    <i>
      <x v="128"/>
    </i>
    <i>
      <x v="176"/>
    </i>
    <i>
      <x v="129"/>
    </i>
    <i>
      <x v="75"/>
    </i>
    <i>
      <x v="130"/>
    </i>
    <i>
      <x v="181"/>
    </i>
    <i>
      <x v="131"/>
    </i>
    <i>
      <x v="183"/>
    </i>
    <i>
      <x v="18"/>
    </i>
    <i>
      <x v="185"/>
    </i>
    <i>
      <x v="133"/>
    </i>
    <i>
      <x v="187"/>
    </i>
    <i>
      <x v="134"/>
    </i>
    <i>
      <x v="189"/>
    </i>
    <i>
      <x v="135"/>
    </i>
    <i>
      <x v="191"/>
    </i>
    <i>
      <x v="58"/>
    </i>
    <i>
      <x v="77"/>
    </i>
    <i>
      <x v="137"/>
    </i>
    <i>
      <x v="195"/>
    </i>
    <i>
      <x v="59"/>
    </i>
    <i>
      <x v="78"/>
    </i>
    <i>
      <x v="11"/>
    </i>
    <i>
      <x v="43"/>
    </i>
    <i>
      <x v="140"/>
    </i>
    <i>
      <x v="201"/>
    </i>
    <i>
      <x v="141"/>
    </i>
    <i>
      <x v="203"/>
    </i>
    <i>
      <x v="142"/>
    </i>
    <i>
      <x v="205"/>
    </i>
    <i>
      <x v="61"/>
    </i>
    <i>
      <x v="81"/>
    </i>
    <i>
      <x v="12"/>
    </i>
    <i>
      <x v="209"/>
    </i>
    <i>
      <x v="4"/>
    </i>
    <i>
      <x v="2"/>
    </i>
    <i>
      <x v="36"/>
    </i>
    <i>
      <x v="84"/>
    </i>
    <i>
      <x v="65"/>
    </i>
    <i>
      <x v="215"/>
    </i>
    <i>
      <x v="108"/>
    </i>
    <i>
      <x v="217"/>
    </i>
    <i>
      <x v="221"/>
    </i>
    <i>
      <x v="220"/>
    </i>
    <i>
      <x v="222"/>
    </i>
    <i>
      <x v="224"/>
    </i>
    <i>
      <x v="223"/>
    </i>
    <i>
      <x v="110"/>
    </i>
    <i>
      <x/>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25" sqref="C25"/>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0" t="s">
        <v>0</v>
      </c>
      <c r="C2" s="221"/>
      <c r="D2" s="222"/>
    </row>
    <row r="3" spans="2:4" ht="24" customHeight="1" x14ac:dyDescent="0.25">
      <c r="B3" s="223" t="s">
        <v>1</v>
      </c>
      <c r="C3" s="221"/>
      <c r="D3" s="222"/>
    </row>
    <row r="4" spans="2:4" ht="18" customHeight="1" x14ac:dyDescent="0.25">
      <c r="B4" s="227" t="s">
        <v>2</v>
      </c>
      <c r="C4" s="221"/>
      <c r="D4" s="222"/>
    </row>
    <row r="5" spans="2:4" ht="8.1" customHeight="1" x14ac:dyDescent="0.25"/>
    <row r="6" spans="2:4" ht="21.95" customHeight="1" x14ac:dyDescent="0.25">
      <c r="B6" s="228" t="s">
        <v>3</v>
      </c>
      <c r="C6" s="200" t="s">
        <v>4</v>
      </c>
      <c r="D6" s="201" t="s">
        <v>5</v>
      </c>
    </row>
    <row r="7" spans="2:4" ht="21.95" customHeight="1" x14ac:dyDescent="0.25">
      <c r="B7" s="202" t="s">
        <v>6</v>
      </c>
      <c r="C7" s="203">
        <f>COUNTIFS(Başvuru!B:B,"SBA 26/*",Başvuru!F:F,"&lt;&gt;"&amp;"")</f>
        <v>391</v>
      </c>
      <c r="D7" s="204" t="s">
        <v>7</v>
      </c>
    </row>
    <row r="8" spans="2:4" ht="21.95" customHeight="1" x14ac:dyDescent="0.25">
      <c r="B8" s="202" t="s">
        <v>8</v>
      </c>
      <c r="C8" s="203" t="e">
        <f>SUMPRODUCT((Başvuru!I2:I1500&lt;&gt;"")*(1/COUNTIF(IF(Başvuru!I2:I1500&lt;&gt;"",Başvuru!I2:I1500,"boş"),IF(Başvuru!I2:I1500&lt;&gt;"",Başvuru!I2:I1500,"boş"))))</f>
        <v>#DIV/0!</v>
      </c>
      <c r="D8" s="204" t="s">
        <v>9</v>
      </c>
    </row>
    <row r="9" spans="2:4" ht="6" customHeight="1" x14ac:dyDescent="0.25"/>
    <row r="10" spans="2:4" ht="21.95" customHeight="1" x14ac:dyDescent="0.25">
      <c r="B10" s="205" t="s">
        <v>10</v>
      </c>
      <c r="C10" s="206">
        <f>COUNTIFS(Başvuru!L:L,"DÜZELTME",Başvuru!F:F,"&lt;&gt;"&amp;"")</f>
        <v>130</v>
      </c>
      <c r="D10" s="204" t="s">
        <v>11</v>
      </c>
    </row>
    <row r="11" spans="2:4" ht="6" customHeight="1" x14ac:dyDescent="0.25"/>
    <row r="12" spans="2:4" ht="21.95" customHeight="1" x14ac:dyDescent="0.25">
      <c r="B12" s="224" t="s">
        <v>12</v>
      </c>
      <c r="C12" s="207"/>
      <c r="D12" s="208" t="s">
        <v>13</v>
      </c>
    </row>
    <row r="13" spans="2:4" ht="21.95" customHeight="1" x14ac:dyDescent="0.25">
      <c r="B13" s="209" t="s">
        <v>14</v>
      </c>
      <c r="C13" s="210">
        <f>COUNTIFS(Başvuru!P:P,"ONAY",Başvuru!F:F,"&lt;&gt;"&amp;"")</f>
        <v>267</v>
      </c>
      <c r="D13" s="211" t="s">
        <v>15</v>
      </c>
    </row>
    <row r="14" spans="2:4" ht="21.95" customHeight="1" x14ac:dyDescent="0.25">
      <c r="B14" s="209" t="s">
        <v>16</v>
      </c>
      <c r="C14" s="210">
        <f>COUNTIFS(Başvuru!L:L,"DÜZELTME",Başvuru!M:M,"&lt;&gt;"&amp;"",Başvuru!F:F,"&lt;&gt;"&amp;"")</f>
        <v>82</v>
      </c>
      <c r="D14" s="211" t="s">
        <v>17</v>
      </c>
    </row>
    <row r="15" spans="2:4" ht="21.95" customHeight="1" x14ac:dyDescent="0.25">
      <c r="B15" s="212" t="s">
        <v>18</v>
      </c>
      <c r="C15" s="213">
        <f>COUNTIFS(Başvuru!L:L,"DÜZELTME",Başvuru!M:M,"",Başvuru!F:F,"&lt;&gt;"&amp;"")</f>
        <v>48</v>
      </c>
      <c r="D15" s="211" t="s">
        <v>19</v>
      </c>
    </row>
    <row r="16" spans="2:4" ht="21.95" customHeight="1" x14ac:dyDescent="0.25">
      <c r="B16" s="214" t="s">
        <v>20</v>
      </c>
      <c r="C16" s="215">
        <f>COUNTIFS(Başvuru!L:L,"KAEK",Başvuru!F:F,"&lt;&gt;"&amp;"")</f>
        <v>9</v>
      </c>
      <c r="D16" s="211" t="s">
        <v>21</v>
      </c>
    </row>
    <row r="17" spans="2:4" ht="21.95" customHeight="1" x14ac:dyDescent="0.25">
      <c r="B17" s="216" t="s">
        <v>22</v>
      </c>
      <c r="C17" s="206">
        <f>COUNTIFS(Başvuru!P:P,"KAPSAM DIŞI",Başvuru!F:F,"&lt;&gt;"&amp;"")</f>
        <v>7</v>
      </c>
      <c r="D17" s="211" t="s">
        <v>23</v>
      </c>
    </row>
    <row r="18" spans="2:4" ht="21.95" customHeight="1" x14ac:dyDescent="0.25">
      <c r="B18" s="217" t="s">
        <v>24</v>
      </c>
      <c r="C18" s="218">
        <f>COUNTIFS(Başvuru!P:P,"RET",Başvuru!F:F,"&lt;&gt;"&amp;"")</f>
        <v>9</v>
      </c>
      <c r="D18" s="211" t="s">
        <v>25</v>
      </c>
    </row>
    <row r="19" spans="2:4" ht="21.95" customHeight="1" x14ac:dyDescent="0.25">
      <c r="B19" s="216" t="s">
        <v>26</v>
      </c>
      <c r="C19" s="206">
        <f>COUNTIFS(Başvuru!P:P,"GERİ ÇEKİLDİ",Başvuru!F:F,"&lt;&gt;"&amp;"")</f>
        <v>3</v>
      </c>
      <c r="D19" s="211" t="s">
        <v>27</v>
      </c>
    </row>
    <row r="20" spans="2:4" ht="6" customHeight="1" x14ac:dyDescent="0.25"/>
    <row r="21" spans="2:4" ht="21.95" customHeight="1" x14ac:dyDescent="0.25">
      <c r="B21" s="202" t="s">
        <v>28</v>
      </c>
      <c r="C21" s="203">
        <f>COUNTIFS(Başvuru!L:L,"GÖRÜŞ",Başvuru!F:F,"&lt;&gt;"&amp;"")</f>
        <v>9</v>
      </c>
      <c r="D21" s="204" t="s">
        <v>29</v>
      </c>
    </row>
    <row r="22" spans="2:4" ht="21.95" customHeight="1" x14ac:dyDescent="0.25">
      <c r="B22" s="260" t="s">
        <v>5127</v>
      </c>
      <c r="C22" s="213">
        <f>COUNTIFS(Başvuru!L:L,"",Başvuru!J:J,"&lt;&gt;"&amp;"",Başvuru!F:F,"&lt;&gt;"&amp;"")</f>
        <v>0</v>
      </c>
      <c r="D22" s="204" t="s">
        <v>30</v>
      </c>
    </row>
    <row r="23" spans="2:4" ht="6" customHeight="1" x14ac:dyDescent="0.25"/>
    <row r="24" spans="2:4" ht="21.95" customHeight="1" x14ac:dyDescent="0.25">
      <c r="B24" s="224" t="s">
        <v>31</v>
      </c>
      <c r="C24" s="207"/>
      <c r="D24" s="208" t="s">
        <v>32</v>
      </c>
    </row>
    <row r="25" spans="2:4" ht="21.95" customHeight="1" x14ac:dyDescent="0.25">
      <c r="B25" s="219" t="s">
        <v>33</v>
      </c>
      <c r="C25" s="203">
        <f>COUNTIFS(Başvuru!G:G,"Bireysel Araştırma",Başvuru!F:F,"&lt;&gt;"&amp;"")</f>
        <v>284</v>
      </c>
      <c r="D25" s="211"/>
    </row>
    <row r="26" spans="2:4" ht="21.95" customHeight="1" x14ac:dyDescent="0.25">
      <c r="B26" s="219" t="s">
        <v>34</v>
      </c>
      <c r="C26" s="203">
        <f>COUNTIFS(Başvuru!G:G,"Uzmanlık Tezi",Başvuru!F:F,"&lt;&gt;"&amp;"")</f>
        <v>76</v>
      </c>
      <c r="D26" s="211"/>
    </row>
    <row r="27" spans="2:4" ht="21.95" customHeight="1" x14ac:dyDescent="0.25">
      <c r="B27" s="219" t="s">
        <v>35</v>
      </c>
      <c r="C27" s="203">
        <f>COUNTIFS(Başvuru!G:G,"Yüksek Lisans Tezi",Başvuru!F:F,"&lt;&gt;"&amp;"")</f>
        <v>9</v>
      </c>
      <c r="D27" s="211"/>
    </row>
    <row r="28" spans="2:4" ht="21.95" customHeight="1" x14ac:dyDescent="0.25">
      <c r="B28" s="219" t="s">
        <v>36</v>
      </c>
      <c r="C28" s="203">
        <f>COUNTIFS(Başvuru!G:G,"Doktora Tezi",Başvuru!F:F,"&lt;&gt;"&amp;"")</f>
        <v>22</v>
      </c>
      <c r="D28" s="211"/>
    </row>
    <row r="30" spans="2:4" ht="39.950000000000003" customHeight="1" x14ac:dyDescent="0.25">
      <c r="B30" s="229" t="s">
        <v>37</v>
      </c>
      <c r="C30" s="226"/>
      <c r="D30" s="226"/>
    </row>
    <row r="32" spans="2:4" ht="18" customHeight="1" x14ac:dyDescent="0.25">
      <c r="B32" s="225">
        <f ca="1">TODAY()</f>
        <v>46126</v>
      </c>
      <c r="C32" s="226"/>
      <c r="D32" s="226"/>
    </row>
  </sheetData>
  <mergeCells count="8">
    <mergeCell ref="B2:D2"/>
    <mergeCell ref="B3:D3"/>
    <mergeCell ref="B12"/>
    <mergeCell ref="B32:D32"/>
    <mergeCell ref="B4:D4"/>
    <mergeCell ref="B6"/>
    <mergeCell ref="B24"/>
    <mergeCell ref="B30:D30"/>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485"/>
  <sheetViews>
    <sheetView showZeros="0" tabSelected="1" zoomScale="80" zoomScaleNormal="80" workbookViewId="0">
      <pane xSplit="2" ySplit="1" topLeftCell="J248" activePane="bottomRight" state="frozenSplit"/>
      <selection activeCell="C8" sqref="C8"/>
      <selection pane="topRight" activeCell="C8" sqref="C8"/>
      <selection pane="bottomLeft" activeCell="C8" sqref="C8"/>
      <selection pane="bottomRight" activeCell="Q306" sqref="Q306"/>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4" width="9.140625" style="1" customWidth="1"/>
    <col min="25" max="16384" width="9.140625" style="1"/>
  </cols>
  <sheetData>
    <row r="1" spans="1:19" s="3" customFormat="1" x14ac:dyDescent="0.25">
      <c r="A1" s="45" t="s">
        <v>38</v>
      </c>
      <c r="B1" s="45" t="s">
        <v>39</v>
      </c>
      <c r="C1" s="45" t="s">
        <v>40</v>
      </c>
      <c r="D1" s="45" t="s">
        <v>41</v>
      </c>
      <c r="E1" s="45" t="s">
        <v>42</v>
      </c>
      <c r="F1" s="45" t="s">
        <v>43</v>
      </c>
      <c r="G1" s="45" t="s">
        <v>44</v>
      </c>
      <c r="H1" s="46" t="s">
        <v>45</v>
      </c>
      <c r="I1" s="46" t="s">
        <v>46</v>
      </c>
      <c r="J1" s="45" t="s">
        <v>47</v>
      </c>
      <c r="K1" s="45" t="s">
        <v>48</v>
      </c>
      <c r="L1" s="60" t="s">
        <v>49</v>
      </c>
      <c r="M1" s="61" t="s">
        <v>50</v>
      </c>
      <c r="N1" s="61" t="s">
        <v>51</v>
      </c>
      <c r="O1" s="66" t="s">
        <v>52</v>
      </c>
      <c r="P1" s="61" t="s">
        <v>53</v>
      </c>
      <c r="Q1" s="45" t="s">
        <v>54</v>
      </c>
      <c r="R1" s="91"/>
    </row>
    <row r="2" spans="1:19" ht="63" customHeight="1" x14ac:dyDescent="0.25">
      <c r="A2" s="5" t="s">
        <v>55</v>
      </c>
      <c r="B2" s="6" t="s">
        <v>56</v>
      </c>
      <c r="C2" s="8" t="s">
        <v>57</v>
      </c>
      <c r="D2" s="8" t="s">
        <v>58</v>
      </c>
      <c r="E2" s="7" t="s">
        <v>59</v>
      </c>
      <c r="F2" s="7" t="s">
        <v>60</v>
      </c>
      <c r="G2" s="12" t="s">
        <v>33</v>
      </c>
      <c r="H2" s="51"/>
      <c r="I2" s="49">
        <v>46028</v>
      </c>
      <c r="J2" s="8" t="s">
        <v>61</v>
      </c>
      <c r="K2" s="8" t="s">
        <v>62</v>
      </c>
      <c r="L2" s="62" t="s">
        <v>63</v>
      </c>
      <c r="M2" s="9"/>
      <c r="N2" s="9"/>
      <c r="O2" s="62"/>
      <c r="P2" s="9" t="str">
        <f t="shared" ref="P2:P65" si="0">IF(O2&lt;&gt;"",O2, IF(N2&lt;&gt;"",N2, IF(M2&lt;&gt;"",M2, L2)))</f>
        <v>ONAY</v>
      </c>
      <c r="S2" s="1" t="str">
        <f>IF(AND(P2="", B2&lt;&gt;""), B2, "")</f>
        <v/>
      </c>
    </row>
    <row r="3" spans="1:19" ht="94.5" customHeight="1" x14ac:dyDescent="0.25">
      <c r="A3" s="5" t="s">
        <v>64</v>
      </c>
      <c r="B3" s="6" t="s">
        <v>65</v>
      </c>
      <c r="C3" s="8" t="s">
        <v>66</v>
      </c>
      <c r="D3" s="8" t="s">
        <v>67</v>
      </c>
      <c r="E3" s="7" t="s">
        <v>68</v>
      </c>
      <c r="F3" s="7" t="s">
        <v>69</v>
      </c>
      <c r="G3" s="12" t="s">
        <v>33</v>
      </c>
      <c r="H3" s="51"/>
      <c r="I3" s="49">
        <v>46028</v>
      </c>
      <c r="J3" s="8" t="s">
        <v>62</v>
      </c>
      <c r="K3" s="8" t="s">
        <v>70</v>
      </c>
      <c r="L3" s="62" t="s">
        <v>63</v>
      </c>
      <c r="M3" s="9"/>
      <c r="N3" s="9"/>
      <c r="O3" s="62"/>
      <c r="P3" s="9" t="str">
        <f t="shared" si="0"/>
        <v>ONAY</v>
      </c>
    </row>
    <row r="4" spans="1:19" ht="94.5" customHeight="1" x14ac:dyDescent="0.25">
      <c r="A4" s="5" t="s">
        <v>71</v>
      </c>
      <c r="B4" s="6" t="s">
        <v>72</v>
      </c>
      <c r="C4" s="8" t="s">
        <v>73</v>
      </c>
      <c r="D4" s="8" t="s">
        <v>74</v>
      </c>
      <c r="E4" s="7" t="s">
        <v>75</v>
      </c>
      <c r="F4" s="7" t="s">
        <v>76</v>
      </c>
      <c r="G4" s="12" t="s">
        <v>33</v>
      </c>
      <c r="H4" s="51"/>
      <c r="I4" s="49">
        <v>46028</v>
      </c>
      <c r="J4" s="8" t="s">
        <v>77</v>
      </c>
      <c r="K4" s="8" t="s">
        <v>78</v>
      </c>
      <c r="L4" s="9" t="s">
        <v>63</v>
      </c>
      <c r="M4" s="63"/>
      <c r="N4" s="63"/>
      <c r="O4" s="64"/>
      <c r="P4" s="9" t="str">
        <f t="shared" si="0"/>
        <v>ONAY</v>
      </c>
    </row>
    <row r="5" spans="1:19" ht="78.75" customHeight="1" x14ac:dyDescent="0.25">
      <c r="A5" s="5" t="s">
        <v>79</v>
      </c>
      <c r="B5" s="6" t="s">
        <v>80</v>
      </c>
      <c r="C5" s="8" t="s">
        <v>81</v>
      </c>
      <c r="D5" s="50" t="s">
        <v>82</v>
      </c>
      <c r="E5" s="7" t="s">
        <v>83</v>
      </c>
      <c r="F5" s="7" t="s">
        <v>84</v>
      </c>
      <c r="G5" s="12" t="s">
        <v>36</v>
      </c>
      <c r="H5" s="51"/>
      <c r="I5" s="49">
        <v>46028</v>
      </c>
      <c r="J5" s="8" t="s">
        <v>85</v>
      </c>
      <c r="K5" s="8" t="s">
        <v>86</v>
      </c>
      <c r="L5" s="9" t="s">
        <v>87</v>
      </c>
      <c r="M5" s="9" t="s">
        <v>63</v>
      </c>
      <c r="N5" s="9"/>
      <c r="O5" s="62"/>
      <c r="P5" s="9" t="str">
        <f t="shared" si="0"/>
        <v>ONAY</v>
      </c>
      <c r="Q5" s="10" t="s">
        <v>86</v>
      </c>
    </row>
    <row r="6" spans="1:19" ht="47.25" customHeight="1" x14ac:dyDescent="0.25">
      <c r="A6" s="5" t="s">
        <v>88</v>
      </c>
      <c r="B6" s="6" t="s">
        <v>89</v>
      </c>
      <c r="C6" s="8" t="s">
        <v>90</v>
      </c>
      <c r="D6" s="8" t="s">
        <v>91</v>
      </c>
      <c r="E6" s="7" t="s">
        <v>92</v>
      </c>
      <c r="F6" s="7" t="s">
        <v>93</v>
      </c>
      <c r="G6" s="12" t="s">
        <v>36</v>
      </c>
      <c r="H6" s="51"/>
      <c r="I6" s="49">
        <v>46028</v>
      </c>
      <c r="J6" s="8" t="s">
        <v>94</v>
      </c>
      <c r="K6" s="8" t="s">
        <v>95</v>
      </c>
      <c r="L6" s="9" t="s">
        <v>87</v>
      </c>
      <c r="M6" s="9" t="s">
        <v>63</v>
      </c>
      <c r="N6" s="9"/>
      <c r="O6" s="62"/>
      <c r="P6" s="9" t="str">
        <f t="shared" si="0"/>
        <v>ONAY</v>
      </c>
      <c r="Q6" s="10" t="s">
        <v>95</v>
      </c>
    </row>
    <row r="7" spans="1:19" ht="63" customHeight="1" x14ac:dyDescent="0.25">
      <c r="A7" s="5" t="s">
        <v>96</v>
      </c>
      <c r="B7" s="6" t="s">
        <v>97</v>
      </c>
      <c r="C7" s="8" t="s">
        <v>98</v>
      </c>
      <c r="D7" s="8" t="s">
        <v>99</v>
      </c>
      <c r="E7" s="7" t="s">
        <v>100</v>
      </c>
      <c r="F7" s="7" t="s">
        <v>101</v>
      </c>
      <c r="G7" s="12" t="s">
        <v>33</v>
      </c>
      <c r="H7" s="51"/>
      <c r="I7" s="49">
        <v>46028</v>
      </c>
      <c r="J7" s="8" t="s">
        <v>70</v>
      </c>
      <c r="K7" s="8" t="s">
        <v>102</v>
      </c>
      <c r="L7" s="9" t="s">
        <v>63</v>
      </c>
      <c r="M7" s="9"/>
      <c r="N7" s="9"/>
      <c r="O7" s="62"/>
      <c r="P7" s="9" t="str">
        <f t="shared" si="0"/>
        <v>ONAY</v>
      </c>
    </row>
    <row r="8" spans="1:19" ht="47.25" customHeight="1" x14ac:dyDescent="0.25">
      <c r="A8" s="5" t="s">
        <v>103</v>
      </c>
      <c r="B8" s="6" t="s">
        <v>104</v>
      </c>
      <c r="C8" s="8" t="s">
        <v>105</v>
      </c>
      <c r="D8" s="8" t="s">
        <v>106</v>
      </c>
      <c r="E8" s="7" t="s">
        <v>107</v>
      </c>
      <c r="F8" s="7" t="s">
        <v>108</v>
      </c>
      <c r="G8" s="12" t="s">
        <v>34</v>
      </c>
      <c r="H8" s="51"/>
      <c r="I8" s="49">
        <v>46028</v>
      </c>
      <c r="J8" s="8" t="s">
        <v>109</v>
      </c>
      <c r="K8" s="8" t="s">
        <v>102</v>
      </c>
      <c r="L8" s="9" t="s">
        <v>63</v>
      </c>
      <c r="M8" s="9"/>
      <c r="N8" s="9"/>
      <c r="O8" s="62"/>
      <c r="P8" s="9" t="str">
        <f t="shared" si="0"/>
        <v>ONAY</v>
      </c>
    </row>
    <row r="9" spans="1:19" ht="63" customHeight="1" x14ac:dyDescent="0.25">
      <c r="A9" s="5" t="s">
        <v>110</v>
      </c>
      <c r="B9" s="6" t="s">
        <v>111</v>
      </c>
      <c r="C9" s="8" t="s">
        <v>112</v>
      </c>
      <c r="D9" s="8" t="s">
        <v>99</v>
      </c>
      <c r="E9" s="7" t="s">
        <v>113</v>
      </c>
      <c r="F9" s="7" t="s">
        <v>114</v>
      </c>
      <c r="G9" s="12" t="s">
        <v>34</v>
      </c>
      <c r="H9" s="51"/>
      <c r="I9" s="49">
        <v>46028</v>
      </c>
      <c r="J9" s="8" t="s">
        <v>85</v>
      </c>
      <c r="K9" s="8" t="s">
        <v>115</v>
      </c>
      <c r="L9" s="9" t="s">
        <v>63</v>
      </c>
      <c r="M9" s="9"/>
      <c r="N9" s="9"/>
      <c r="O9" s="62"/>
      <c r="P9" s="9" t="str">
        <f t="shared" si="0"/>
        <v>ONAY</v>
      </c>
    </row>
    <row r="10" spans="1:19" ht="110.25" customHeight="1" x14ac:dyDescent="0.25">
      <c r="A10" s="5" t="s">
        <v>116</v>
      </c>
      <c r="B10" s="6" t="s">
        <v>117</v>
      </c>
      <c r="C10" s="8" t="s">
        <v>118</v>
      </c>
      <c r="D10" s="8" t="s">
        <v>119</v>
      </c>
      <c r="E10" s="7" t="s">
        <v>120</v>
      </c>
      <c r="F10" s="7" t="s">
        <v>121</v>
      </c>
      <c r="G10" s="12" t="s">
        <v>33</v>
      </c>
      <c r="H10" s="51"/>
      <c r="I10" s="49">
        <v>46028</v>
      </c>
      <c r="J10" s="8" t="s">
        <v>86</v>
      </c>
      <c r="K10" s="8" t="s">
        <v>62</v>
      </c>
      <c r="L10" s="9" t="s">
        <v>63</v>
      </c>
      <c r="M10" s="9"/>
      <c r="N10" s="9"/>
      <c r="O10" s="62"/>
      <c r="P10" s="9" t="str">
        <f t="shared" si="0"/>
        <v>ONAY</v>
      </c>
    </row>
    <row r="11" spans="1:19" ht="94.5" customHeight="1" x14ac:dyDescent="0.25">
      <c r="A11" s="5" t="s">
        <v>122</v>
      </c>
      <c r="B11" s="6" t="s">
        <v>123</v>
      </c>
      <c r="C11" s="8" t="s">
        <v>124</v>
      </c>
      <c r="D11" s="8" t="s">
        <v>125</v>
      </c>
      <c r="E11" s="7" t="s">
        <v>126</v>
      </c>
      <c r="F11" s="7" t="s">
        <v>127</v>
      </c>
      <c r="G11" s="12" t="s">
        <v>36</v>
      </c>
      <c r="H11" s="51"/>
      <c r="I11" s="49">
        <v>46028</v>
      </c>
      <c r="J11" s="8" t="s">
        <v>109</v>
      </c>
      <c r="K11" s="8" t="s">
        <v>61</v>
      </c>
      <c r="L11" s="9" t="s">
        <v>87</v>
      </c>
      <c r="M11" s="9" t="s">
        <v>63</v>
      </c>
      <c r="N11" s="9"/>
      <c r="O11" s="62"/>
      <c r="P11" s="9" t="str">
        <f t="shared" si="0"/>
        <v>ONAY</v>
      </c>
      <c r="Q11" s="10" t="s">
        <v>61</v>
      </c>
    </row>
    <row r="12" spans="1:19" ht="78.75" customHeight="1" x14ac:dyDescent="0.25">
      <c r="A12" s="5" t="s">
        <v>128</v>
      </c>
      <c r="B12" s="6" t="s">
        <v>129</v>
      </c>
      <c r="C12" s="8" t="s">
        <v>130</v>
      </c>
      <c r="D12" s="8" t="s">
        <v>99</v>
      </c>
      <c r="E12" s="7" t="s">
        <v>131</v>
      </c>
      <c r="F12" s="7" t="s">
        <v>132</v>
      </c>
      <c r="G12" s="12" t="s">
        <v>33</v>
      </c>
      <c r="H12" s="51"/>
      <c r="I12" s="49">
        <v>46028</v>
      </c>
      <c r="J12" s="8" t="s">
        <v>115</v>
      </c>
      <c r="K12" s="8" t="s">
        <v>94</v>
      </c>
      <c r="L12" s="9" t="s">
        <v>63</v>
      </c>
      <c r="M12" s="9"/>
      <c r="N12" s="9"/>
      <c r="O12" s="62"/>
      <c r="P12" s="9" t="str">
        <f t="shared" si="0"/>
        <v>ONAY</v>
      </c>
    </row>
    <row r="13" spans="1:19" ht="78.75" customHeight="1" x14ac:dyDescent="0.25">
      <c r="A13" s="5" t="s">
        <v>133</v>
      </c>
      <c r="B13" s="6" t="s">
        <v>134</v>
      </c>
      <c r="C13" s="8" t="s">
        <v>135</v>
      </c>
      <c r="D13" s="8" t="s">
        <v>136</v>
      </c>
      <c r="E13" s="7" t="s">
        <v>137</v>
      </c>
      <c r="F13" s="7" t="s">
        <v>138</v>
      </c>
      <c r="G13" s="12" t="s">
        <v>34</v>
      </c>
      <c r="H13" s="51"/>
      <c r="I13" s="49">
        <v>46028</v>
      </c>
      <c r="J13" s="8" t="s">
        <v>78</v>
      </c>
      <c r="K13" s="8" t="s">
        <v>95</v>
      </c>
      <c r="L13" s="9" t="s">
        <v>139</v>
      </c>
      <c r="M13" s="9"/>
      <c r="N13" s="9"/>
      <c r="O13" s="62"/>
      <c r="P13" s="9" t="str">
        <f t="shared" si="0"/>
        <v>KAPSAM DIŞI</v>
      </c>
    </row>
    <row r="14" spans="1:19" ht="63" customHeight="1" x14ac:dyDescent="0.25">
      <c r="A14" s="5" t="s">
        <v>140</v>
      </c>
      <c r="B14" s="6" t="s">
        <v>141</v>
      </c>
      <c r="C14" s="8" t="s">
        <v>142</v>
      </c>
      <c r="D14" s="8" t="s">
        <v>143</v>
      </c>
      <c r="E14" s="7" t="s">
        <v>144</v>
      </c>
      <c r="F14" s="7" t="s">
        <v>145</v>
      </c>
      <c r="G14" s="12" t="s">
        <v>35</v>
      </c>
      <c r="H14" s="51"/>
      <c r="I14" s="49">
        <v>46028</v>
      </c>
      <c r="J14" s="8" t="s">
        <v>77</v>
      </c>
      <c r="K14" s="8" t="s">
        <v>85</v>
      </c>
      <c r="L14" s="9" t="s">
        <v>87</v>
      </c>
      <c r="M14" s="9" t="s">
        <v>63</v>
      </c>
      <c r="N14" s="9"/>
      <c r="O14" s="62"/>
      <c r="P14" s="9" t="str">
        <f t="shared" si="0"/>
        <v>ONAY</v>
      </c>
      <c r="Q14" s="10" t="s">
        <v>77</v>
      </c>
    </row>
    <row r="15" spans="1:19" ht="78.75" customHeight="1" x14ac:dyDescent="0.25">
      <c r="A15" s="5" t="s">
        <v>146</v>
      </c>
      <c r="B15" s="6" t="s">
        <v>147</v>
      </c>
      <c r="C15" s="8" t="s">
        <v>148</v>
      </c>
      <c r="D15" s="8" t="s">
        <v>149</v>
      </c>
      <c r="E15" s="7" t="s">
        <v>150</v>
      </c>
      <c r="F15" s="7" t="s">
        <v>151</v>
      </c>
      <c r="G15" s="12" t="s">
        <v>33</v>
      </c>
      <c r="H15" s="51"/>
      <c r="I15" s="49">
        <v>46028</v>
      </c>
      <c r="J15" s="8" t="s">
        <v>102</v>
      </c>
      <c r="K15" s="8" t="s">
        <v>62</v>
      </c>
      <c r="L15" s="9" t="s">
        <v>63</v>
      </c>
      <c r="M15" s="9"/>
      <c r="N15" s="9"/>
      <c r="O15" s="62"/>
      <c r="P15" s="9" t="str">
        <f t="shared" si="0"/>
        <v>ONAY</v>
      </c>
    </row>
    <row r="16" spans="1:19" ht="94.5" customHeight="1" x14ac:dyDescent="0.25">
      <c r="A16" s="5" t="s">
        <v>152</v>
      </c>
      <c r="B16" s="6" t="s">
        <v>153</v>
      </c>
      <c r="C16" s="8" t="s">
        <v>154</v>
      </c>
      <c r="D16" s="8" t="s">
        <v>155</v>
      </c>
      <c r="E16" s="7" t="s">
        <v>156</v>
      </c>
      <c r="F16" s="7" t="s">
        <v>157</v>
      </c>
      <c r="G16" s="12" t="s">
        <v>33</v>
      </c>
      <c r="H16" s="51"/>
      <c r="I16" s="49">
        <v>46028</v>
      </c>
      <c r="J16" s="8" t="s">
        <v>95</v>
      </c>
      <c r="K16" s="8" t="s">
        <v>70</v>
      </c>
      <c r="L16" s="9" t="s">
        <v>158</v>
      </c>
      <c r="M16" s="9" t="s">
        <v>87</v>
      </c>
      <c r="N16" s="9"/>
      <c r="O16" s="62"/>
      <c r="P16" s="9" t="str">
        <f t="shared" si="0"/>
        <v>DÜZELTME</v>
      </c>
    </row>
    <row r="17" spans="1:17" ht="94.5" customHeight="1" x14ac:dyDescent="0.25">
      <c r="A17" s="5" t="s">
        <v>159</v>
      </c>
      <c r="B17" s="6" t="s">
        <v>160</v>
      </c>
      <c r="C17" s="8" t="s">
        <v>161</v>
      </c>
      <c r="D17" s="8" t="s">
        <v>155</v>
      </c>
      <c r="E17" s="7" t="s">
        <v>162</v>
      </c>
      <c r="F17" s="7" t="s">
        <v>163</v>
      </c>
      <c r="G17" s="12" t="s">
        <v>33</v>
      </c>
      <c r="H17" s="51"/>
      <c r="I17" s="49">
        <v>46028</v>
      </c>
      <c r="J17" s="8" t="s">
        <v>115</v>
      </c>
      <c r="K17" s="8" t="s">
        <v>94</v>
      </c>
      <c r="L17" s="9" t="s">
        <v>63</v>
      </c>
      <c r="M17" s="9"/>
      <c r="N17" s="9"/>
      <c r="O17" s="62"/>
      <c r="P17" s="9" t="str">
        <f t="shared" si="0"/>
        <v>ONAY</v>
      </c>
    </row>
    <row r="18" spans="1:17" ht="63" customHeight="1" x14ac:dyDescent="0.25">
      <c r="A18" s="5" t="s">
        <v>164</v>
      </c>
      <c r="B18" s="6" t="s">
        <v>165</v>
      </c>
      <c r="C18" s="8" t="s">
        <v>166</v>
      </c>
      <c r="D18" s="8" t="s">
        <v>167</v>
      </c>
      <c r="E18" s="7" t="s">
        <v>168</v>
      </c>
      <c r="F18" s="7" t="s">
        <v>169</v>
      </c>
      <c r="G18" s="12" t="s">
        <v>34</v>
      </c>
      <c r="H18" s="51"/>
      <c r="I18" s="49">
        <v>46028</v>
      </c>
      <c r="J18" s="8" t="s">
        <v>85</v>
      </c>
      <c r="K18" s="8" t="s">
        <v>86</v>
      </c>
      <c r="L18" s="9" t="s">
        <v>87</v>
      </c>
      <c r="M18" s="9" t="s">
        <v>63</v>
      </c>
      <c r="N18" s="9"/>
      <c r="O18" s="62"/>
      <c r="P18" s="9" t="str">
        <f t="shared" si="0"/>
        <v>ONAY</v>
      </c>
      <c r="Q18" s="10" t="s">
        <v>61</v>
      </c>
    </row>
    <row r="19" spans="1:17" ht="63" customHeight="1" x14ac:dyDescent="0.25">
      <c r="A19" s="5" t="s">
        <v>170</v>
      </c>
      <c r="B19" s="6" t="s">
        <v>171</v>
      </c>
      <c r="C19" s="8" t="s">
        <v>172</v>
      </c>
      <c r="D19" s="8" t="s">
        <v>173</v>
      </c>
      <c r="E19" s="7" t="s">
        <v>174</v>
      </c>
      <c r="F19" s="7" t="s">
        <v>175</v>
      </c>
      <c r="G19" s="12" t="s">
        <v>33</v>
      </c>
      <c r="H19" s="51"/>
      <c r="I19" s="49">
        <v>46028</v>
      </c>
      <c r="J19" s="8" t="s">
        <v>61</v>
      </c>
      <c r="K19" s="8" t="s">
        <v>62</v>
      </c>
      <c r="L19" s="9" t="s">
        <v>63</v>
      </c>
      <c r="M19" s="9"/>
      <c r="N19" s="9"/>
      <c r="O19" s="62"/>
      <c r="P19" s="9" t="str">
        <f t="shared" si="0"/>
        <v>ONAY</v>
      </c>
    </row>
    <row r="20" spans="1:17" ht="76.5" customHeight="1" x14ac:dyDescent="0.25">
      <c r="A20" s="5" t="s">
        <v>176</v>
      </c>
      <c r="B20" s="6" t="s">
        <v>177</v>
      </c>
      <c r="C20" s="8" t="s">
        <v>178</v>
      </c>
      <c r="D20" s="8" t="s">
        <v>179</v>
      </c>
      <c r="E20" s="7" t="s">
        <v>180</v>
      </c>
      <c r="F20" s="7" t="s">
        <v>181</v>
      </c>
      <c r="G20" s="12" t="s">
        <v>33</v>
      </c>
      <c r="H20" s="51"/>
      <c r="I20" s="49">
        <v>46028</v>
      </c>
      <c r="J20" s="8" t="s">
        <v>78</v>
      </c>
      <c r="K20" s="8" t="s">
        <v>115</v>
      </c>
      <c r="L20" s="9" t="s">
        <v>63</v>
      </c>
      <c r="M20" s="9"/>
      <c r="N20" s="9"/>
      <c r="O20" s="62"/>
      <c r="P20" s="9" t="str">
        <f t="shared" si="0"/>
        <v>ONAY</v>
      </c>
    </row>
    <row r="21" spans="1:17" ht="80.25" customHeight="1" x14ac:dyDescent="0.25">
      <c r="A21" s="5" t="s">
        <v>182</v>
      </c>
      <c r="B21" s="6" t="s">
        <v>183</v>
      </c>
      <c r="C21" s="8" t="s">
        <v>178</v>
      </c>
      <c r="D21" s="8" t="s">
        <v>179</v>
      </c>
      <c r="E21" s="7" t="s">
        <v>184</v>
      </c>
      <c r="F21" s="7" t="s">
        <v>185</v>
      </c>
      <c r="G21" s="12" t="s">
        <v>33</v>
      </c>
      <c r="H21" s="51"/>
      <c r="I21" s="49">
        <v>46028</v>
      </c>
      <c r="J21" s="8" t="s">
        <v>77</v>
      </c>
      <c r="K21" s="8" t="s">
        <v>94</v>
      </c>
      <c r="L21" s="9" t="s">
        <v>63</v>
      </c>
      <c r="M21" s="9"/>
      <c r="N21" s="9"/>
      <c r="O21" s="62"/>
      <c r="P21" s="9" t="str">
        <f t="shared" si="0"/>
        <v>ONAY</v>
      </c>
    </row>
    <row r="22" spans="1:17" ht="63" customHeight="1" x14ac:dyDescent="0.25">
      <c r="A22" s="5" t="s">
        <v>186</v>
      </c>
      <c r="B22" s="6" t="s">
        <v>187</v>
      </c>
      <c r="C22" s="8" t="s">
        <v>188</v>
      </c>
      <c r="D22" s="8" t="s">
        <v>189</v>
      </c>
      <c r="E22" s="7" t="s">
        <v>190</v>
      </c>
      <c r="F22" s="7" t="s">
        <v>191</v>
      </c>
      <c r="G22" s="12" t="s">
        <v>36</v>
      </c>
      <c r="H22" s="51"/>
      <c r="I22" s="49">
        <v>46028</v>
      </c>
      <c r="J22" s="8" t="s">
        <v>102</v>
      </c>
      <c r="K22" s="8" t="s">
        <v>95</v>
      </c>
      <c r="L22" s="9" t="s">
        <v>87</v>
      </c>
      <c r="M22" s="9" t="s">
        <v>192</v>
      </c>
      <c r="N22" s="9" t="s">
        <v>63</v>
      </c>
      <c r="O22" s="62"/>
      <c r="P22" s="9" t="str">
        <f t="shared" si="0"/>
        <v>ONAY</v>
      </c>
      <c r="Q22" s="10" t="s">
        <v>102</v>
      </c>
    </row>
    <row r="23" spans="1:17" ht="63" customHeight="1" x14ac:dyDescent="0.25">
      <c r="A23" s="5" t="s">
        <v>193</v>
      </c>
      <c r="B23" s="6" t="s">
        <v>194</v>
      </c>
      <c r="C23" s="8" t="s">
        <v>195</v>
      </c>
      <c r="D23" s="8" t="s">
        <v>119</v>
      </c>
      <c r="E23" s="7" t="s">
        <v>196</v>
      </c>
      <c r="F23" s="7" t="s">
        <v>197</v>
      </c>
      <c r="G23" s="12" t="s">
        <v>34</v>
      </c>
      <c r="H23" s="51"/>
      <c r="I23" s="49">
        <v>46028</v>
      </c>
      <c r="J23" s="8" t="s">
        <v>86</v>
      </c>
      <c r="K23" s="8" t="s">
        <v>70</v>
      </c>
      <c r="L23" s="9" t="s">
        <v>87</v>
      </c>
      <c r="M23" s="9" t="s">
        <v>63</v>
      </c>
      <c r="N23" s="9"/>
      <c r="O23" s="62"/>
      <c r="P23" s="9" t="str">
        <f t="shared" si="0"/>
        <v>ONAY</v>
      </c>
      <c r="Q23" s="10" t="s">
        <v>86</v>
      </c>
    </row>
    <row r="24" spans="1:17" ht="78.75" customHeight="1" x14ac:dyDescent="0.25">
      <c r="A24" s="5" t="s">
        <v>198</v>
      </c>
      <c r="B24" s="6" t="s">
        <v>199</v>
      </c>
      <c r="C24" s="8" t="s">
        <v>200</v>
      </c>
      <c r="D24" s="8" t="s">
        <v>201</v>
      </c>
      <c r="E24" s="7" t="s">
        <v>202</v>
      </c>
      <c r="F24" s="7" t="s">
        <v>203</v>
      </c>
      <c r="G24" s="12" t="s">
        <v>33</v>
      </c>
      <c r="H24" s="51"/>
      <c r="I24" s="49">
        <v>46028</v>
      </c>
      <c r="J24" s="8" t="s">
        <v>109</v>
      </c>
      <c r="K24" s="8" t="s">
        <v>78</v>
      </c>
      <c r="L24" s="9" t="s">
        <v>204</v>
      </c>
      <c r="M24" s="9" t="s">
        <v>192</v>
      </c>
      <c r="N24" s="9"/>
      <c r="O24" s="62"/>
      <c r="P24" s="9" t="str">
        <f t="shared" si="0"/>
        <v>GÖRÜŞ</v>
      </c>
    </row>
    <row r="25" spans="1:17" ht="94.5" customHeight="1" x14ac:dyDescent="0.25">
      <c r="A25" s="5" t="s">
        <v>205</v>
      </c>
      <c r="B25" s="6" t="s">
        <v>206</v>
      </c>
      <c r="C25" s="8" t="s">
        <v>207</v>
      </c>
      <c r="D25" s="8" t="s">
        <v>208</v>
      </c>
      <c r="E25" s="7" t="s">
        <v>209</v>
      </c>
      <c r="F25" s="7" t="s">
        <v>210</v>
      </c>
      <c r="G25" s="12" t="s">
        <v>33</v>
      </c>
      <c r="H25" s="51"/>
      <c r="I25" s="49">
        <v>46028</v>
      </c>
      <c r="J25" s="8" t="s">
        <v>86</v>
      </c>
      <c r="K25" s="8" t="s">
        <v>94</v>
      </c>
      <c r="L25" s="9" t="s">
        <v>87</v>
      </c>
      <c r="M25" s="9" t="s">
        <v>192</v>
      </c>
      <c r="N25" s="9" t="s">
        <v>63</v>
      </c>
      <c r="O25" s="62"/>
      <c r="P25" s="9" t="str">
        <f t="shared" si="0"/>
        <v>ONAY</v>
      </c>
      <c r="Q25" s="10" t="s">
        <v>94</v>
      </c>
    </row>
    <row r="26" spans="1:17" ht="63" customHeight="1" x14ac:dyDescent="0.25">
      <c r="A26" s="5" t="s">
        <v>211</v>
      </c>
      <c r="B26" s="6" t="s">
        <v>212</v>
      </c>
      <c r="C26" s="8" t="s">
        <v>213</v>
      </c>
      <c r="D26" s="8" t="s">
        <v>214</v>
      </c>
      <c r="E26" s="7" t="s">
        <v>215</v>
      </c>
      <c r="F26" s="7" t="s">
        <v>216</v>
      </c>
      <c r="G26" s="12" t="s">
        <v>33</v>
      </c>
      <c r="H26" s="51"/>
      <c r="I26" s="49">
        <v>46028</v>
      </c>
      <c r="J26" s="8" t="s">
        <v>78</v>
      </c>
      <c r="K26" s="8" t="s">
        <v>62</v>
      </c>
      <c r="L26" s="9" t="s">
        <v>63</v>
      </c>
      <c r="M26" s="9"/>
      <c r="N26" s="9"/>
      <c r="O26" s="62"/>
      <c r="P26" s="9" t="str">
        <f t="shared" si="0"/>
        <v>ONAY</v>
      </c>
    </row>
    <row r="27" spans="1:17" ht="63" customHeight="1" x14ac:dyDescent="0.25">
      <c r="A27" s="5" t="s">
        <v>217</v>
      </c>
      <c r="B27" s="6" t="s">
        <v>218</v>
      </c>
      <c r="C27" s="8" t="s">
        <v>219</v>
      </c>
      <c r="D27" s="8" t="s">
        <v>220</v>
      </c>
      <c r="E27" s="7" t="s">
        <v>221</v>
      </c>
      <c r="F27" s="7" t="s">
        <v>222</v>
      </c>
      <c r="G27" s="12" t="s">
        <v>33</v>
      </c>
      <c r="H27" s="51"/>
      <c r="I27" s="49">
        <v>46028</v>
      </c>
      <c r="J27" s="8" t="s">
        <v>77</v>
      </c>
      <c r="K27" s="8" t="s">
        <v>109</v>
      </c>
      <c r="L27" s="9" t="s">
        <v>63</v>
      </c>
      <c r="M27" s="9"/>
      <c r="N27" s="9"/>
      <c r="O27" s="62"/>
      <c r="P27" s="9" t="str">
        <f t="shared" si="0"/>
        <v>ONAY</v>
      </c>
    </row>
    <row r="28" spans="1:17" ht="63" customHeight="1" x14ac:dyDescent="0.25">
      <c r="A28" s="5" t="s">
        <v>223</v>
      </c>
      <c r="B28" s="6" t="s">
        <v>224</v>
      </c>
      <c r="C28" s="8" t="s">
        <v>148</v>
      </c>
      <c r="D28" s="8" t="s">
        <v>149</v>
      </c>
      <c r="E28" s="7" t="s">
        <v>225</v>
      </c>
      <c r="F28" s="7" t="s">
        <v>226</v>
      </c>
      <c r="G28" s="12" t="s">
        <v>33</v>
      </c>
      <c r="H28" s="51"/>
      <c r="I28" s="49">
        <v>46028</v>
      </c>
      <c r="J28" s="8" t="s">
        <v>102</v>
      </c>
      <c r="K28" s="8" t="s">
        <v>85</v>
      </c>
      <c r="L28" s="9" t="s">
        <v>63</v>
      </c>
      <c r="M28" s="9"/>
      <c r="N28" s="9"/>
      <c r="O28" s="62"/>
      <c r="P28" s="9" t="str">
        <f t="shared" si="0"/>
        <v>ONAY</v>
      </c>
    </row>
    <row r="29" spans="1:17" ht="47.25" customHeight="1" x14ac:dyDescent="0.25">
      <c r="A29" s="5" t="s">
        <v>227</v>
      </c>
      <c r="B29" s="6" t="s">
        <v>228</v>
      </c>
      <c r="C29" s="8" t="s">
        <v>229</v>
      </c>
      <c r="D29" s="8" t="s">
        <v>99</v>
      </c>
      <c r="E29" s="7" t="s">
        <v>230</v>
      </c>
      <c r="F29" s="7" t="s">
        <v>231</v>
      </c>
      <c r="G29" s="12" t="s">
        <v>33</v>
      </c>
      <c r="H29" s="51"/>
      <c r="I29" s="49">
        <v>46028</v>
      </c>
      <c r="J29" s="8" t="s">
        <v>78</v>
      </c>
      <c r="K29" s="8" t="s">
        <v>70</v>
      </c>
      <c r="L29" s="9" t="s">
        <v>63</v>
      </c>
      <c r="M29" s="9"/>
      <c r="N29" s="9"/>
      <c r="O29" s="62"/>
      <c r="P29" s="9" t="str">
        <f t="shared" si="0"/>
        <v>ONAY</v>
      </c>
    </row>
    <row r="30" spans="1:17" ht="63" customHeight="1" x14ac:dyDescent="0.25">
      <c r="A30" s="5" t="s">
        <v>232</v>
      </c>
      <c r="B30" s="6" t="s">
        <v>233</v>
      </c>
      <c r="C30" s="8" t="s">
        <v>234</v>
      </c>
      <c r="D30" s="8" t="s">
        <v>220</v>
      </c>
      <c r="E30" s="7" t="s">
        <v>235</v>
      </c>
      <c r="F30" s="7" t="s">
        <v>236</v>
      </c>
      <c r="G30" s="12" t="s">
        <v>33</v>
      </c>
      <c r="H30" s="51">
        <v>46017</v>
      </c>
      <c r="I30" s="49">
        <v>46028</v>
      </c>
      <c r="J30" s="8" t="s">
        <v>95</v>
      </c>
      <c r="K30" s="8" t="s">
        <v>115</v>
      </c>
      <c r="L30" s="9" t="s">
        <v>63</v>
      </c>
      <c r="M30" s="9"/>
      <c r="N30" s="9"/>
      <c r="O30" s="62"/>
      <c r="P30" s="9" t="str">
        <f t="shared" si="0"/>
        <v>ONAY</v>
      </c>
    </row>
    <row r="31" spans="1:17" ht="93.75" customHeight="1" x14ac:dyDescent="0.25">
      <c r="A31" s="5" t="s">
        <v>237</v>
      </c>
      <c r="B31" s="6" t="s">
        <v>238</v>
      </c>
      <c r="C31" s="8" t="s">
        <v>154</v>
      </c>
      <c r="D31" s="8" t="s">
        <v>155</v>
      </c>
      <c r="E31" s="7" t="s">
        <v>239</v>
      </c>
      <c r="F31" s="7" t="s">
        <v>240</v>
      </c>
      <c r="G31" s="12" t="s">
        <v>33</v>
      </c>
      <c r="H31" s="51">
        <v>46017</v>
      </c>
      <c r="I31" s="49">
        <v>46028</v>
      </c>
      <c r="J31" s="8" t="s">
        <v>95</v>
      </c>
      <c r="K31" s="8" t="s">
        <v>62</v>
      </c>
      <c r="L31" s="9" t="s">
        <v>87</v>
      </c>
      <c r="M31" s="9" t="s">
        <v>63</v>
      </c>
      <c r="N31" s="9"/>
      <c r="O31" s="62"/>
      <c r="P31" s="9" t="str">
        <f t="shared" si="0"/>
        <v>ONAY</v>
      </c>
      <c r="Q31" s="10" t="s">
        <v>95</v>
      </c>
    </row>
    <row r="32" spans="1:17" ht="94.5" customHeight="1" x14ac:dyDescent="0.25">
      <c r="A32" s="5" t="s">
        <v>241</v>
      </c>
      <c r="B32" s="6" t="s">
        <v>242</v>
      </c>
      <c r="C32" s="8" t="s">
        <v>154</v>
      </c>
      <c r="D32" s="8" t="s">
        <v>155</v>
      </c>
      <c r="E32" s="7" t="s">
        <v>239</v>
      </c>
      <c r="F32" s="7" t="s">
        <v>243</v>
      </c>
      <c r="G32" s="12" t="s">
        <v>33</v>
      </c>
      <c r="H32" s="51">
        <v>46017</v>
      </c>
      <c r="I32" s="49">
        <v>46028</v>
      </c>
      <c r="J32" s="8" t="s">
        <v>95</v>
      </c>
      <c r="K32" s="8" t="s">
        <v>115</v>
      </c>
      <c r="L32" s="9" t="s">
        <v>87</v>
      </c>
      <c r="M32" s="9"/>
      <c r="N32" s="9"/>
      <c r="O32" s="62"/>
      <c r="P32" s="9" t="str">
        <f t="shared" si="0"/>
        <v>DÜZELTME</v>
      </c>
    </row>
    <row r="33" spans="1:17" ht="94.5" customHeight="1" x14ac:dyDescent="0.25">
      <c r="A33" s="5" t="s">
        <v>244</v>
      </c>
      <c r="B33" s="6" t="s">
        <v>245</v>
      </c>
      <c r="C33" s="8" t="s">
        <v>246</v>
      </c>
      <c r="D33" s="8" t="s">
        <v>155</v>
      </c>
      <c r="E33" s="7" t="s">
        <v>247</v>
      </c>
      <c r="F33" s="7" t="s">
        <v>248</v>
      </c>
      <c r="G33" s="12" t="s">
        <v>33</v>
      </c>
      <c r="H33" s="51">
        <v>46017</v>
      </c>
      <c r="I33" s="49">
        <v>46028</v>
      </c>
      <c r="J33" s="8" t="s">
        <v>115</v>
      </c>
      <c r="K33" s="8" t="s">
        <v>70</v>
      </c>
      <c r="L33" s="9" t="s">
        <v>63</v>
      </c>
      <c r="M33" s="9"/>
      <c r="N33" s="9"/>
      <c r="O33" s="62"/>
      <c r="P33" s="9" t="str">
        <f t="shared" si="0"/>
        <v>ONAY</v>
      </c>
    </row>
    <row r="34" spans="1:17" ht="63" customHeight="1" x14ac:dyDescent="0.25">
      <c r="A34" s="5" t="s">
        <v>249</v>
      </c>
      <c r="B34" s="6" t="s">
        <v>250</v>
      </c>
      <c r="C34" s="8" t="s">
        <v>98</v>
      </c>
      <c r="D34" s="8" t="s">
        <v>99</v>
      </c>
      <c r="E34" s="7" t="s">
        <v>251</v>
      </c>
      <c r="F34" s="7" t="s">
        <v>252</v>
      </c>
      <c r="G34" s="12" t="s">
        <v>34</v>
      </c>
      <c r="H34" s="51">
        <v>46017</v>
      </c>
      <c r="I34" s="49">
        <v>46028</v>
      </c>
      <c r="J34" s="8" t="s">
        <v>85</v>
      </c>
      <c r="K34" s="8" t="s">
        <v>94</v>
      </c>
      <c r="L34" s="9" t="s">
        <v>63</v>
      </c>
      <c r="M34" s="9"/>
      <c r="N34" s="9"/>
      <c r="O34" s="62"/>
      <c r="P34" s="9" t="str">
        <f t="shared" si="0"/>
        <v>ONAY</v>
      </c>
    </row>
    <row r="35" spans="1:17" ht="63" customHeight="1" x14ac:dyDescent="0.25">
      <c r="A35" s="5" t="s">
        <v>253</v>
      </c>
      <c r="B35" s="6" t="s">
        <v>254</v>
      </c>
      <c r="C35" s="8" t="s">
        <v>255</v>
      </c>
      <c r="D35" s="8" t="s">
        <v>256</v>
      </c>
      <c r="E35" s="7" t="s">
        <v>257</v>
      </c>
      <c r="F35" s="7" t="s">
        <v>258</v>
      </c>
      <c r="G35" s="12" t="s">
        <v>33</v>
      </c>
      <c r="H35" s="51">
        <v>46017</v>
      </c>
      <c r="I35" s="49">
        <v>46028</v>
      </c>
      <c r="J35" s="8" t="s">
        <v>109</v>
      </c>
      <c r="K35" s="8" t="s">
        <v>102</v>
      </c>
      <c r="L35" s="9" t="s">
        <v>63</v>
      </c>
      <c r="M35" s="9"/>
      <c r="N35" s="9"/>
      <c r="O35" s="62"/>
      <c r="P35" s="9" t="str">
        <f t="shared" si="0"/>
        <v>ONAY</v>
      </c>
    </row>
    <row r="36" spans="1:17" ht="78.75" customHeight="1" x14ac:dyDescent="0.25">
      <c r="A36" s="5" t="s">
        <v>259</v>
      </c>
      <c r="B36" s="6" t="s">
        <v>260</v>
      </c>
      <c r="C36" s="8" t="s">
        <v>255</v>
      </c>
      <c r="D36" s="8" t="s">
        <v>256</v>
      </c>
      <c r="E36" s="7" t="s">
        <v>261</v>
      </c>
      <c r="F36" s="7" t="s">
        <v>262</v>
      </c>
      <c r="G36" s="12" t="s">
        <v>33</v>
      </c>
      <c r="H36" s="51">
        <v>46017</v>
      </c>
      <c r="I36" s="49">
        <v>46028</v>
      </c>
      <c r="J36" s="8" t="s">
        <v>77</v>
      </c>
      <c r="K36" s="8" t="s">
        <v>102</v>
      </c>
      <c r="L36" s="9" t="s">
        <v>63</v>
      </c>
      <c r="M36" s="9"/>
      <c r="N36" s="9"/>
      <c r="O36" s="62"/>
      <c r="P36" s="9" t="str">
        <f t="shared" si="0"/>
        <v>ONAY</v>
      </c>
    </row>
    <row r="37" spans="1:17" ht="78.75" customHeight="1" x14ac:dyDescent="0.25">
      <c r="A37" s="5" t="s">
        <v>263</v>
      </c>
      <c r="B37" s="6" t="s">
        <v>264</v>
      </c>
      <c r="C37" s="8" t="s">
        <v>265</v>
      </c>
      <c r="D37" s="8" t="s">
        <v>266</v>
      </c>
      <c r="E37" s="7" t="s">
        <v>267</v>
      </c>
      <c r="F37" s="7" t="s">
        <v>268</v>
      </c>
      <c r="G37" s="12" t="s">
        <v>33</v>
      </c>
      <c r="H37" s="51">
        <v>46017</v>
      </c>
      <c r="I37" s="49">
        <v>46028</v>
      </c>
      <c r="J37" s="8" t="s">
        <v>77</v>
      </c>
      <c r="K37" s="8" t="s">
        <v>78</v>
      </c>
      <c r="L37" s="9" t="s">
        <v>63</v>
      </c>
      <c r="M37" s="9"/>
      <c r="N37" s="9"/>
      <c r="O37" s="62"/>
      <c r="P37" s="9" t="str">
        <f t="shared" si="0"/>
        <v>ONAY</v>
      </c>
    </row>
    <row r="38" spans="1:17" ht="63" customHeight="1" x14ac:dyDescent="0.25">
      <c r="A38" s="5" t="s">
        <v>269</v>
      </c>
      <c r="B38" s="6" t="s">
        <v>270</v>
      </c>
      <c r="C38" s="8" t="s">
        <v>271</v>
      </c>
      <c r="D38" s="8" t="s">
        <v>208</v>
      </c>
      <c r="E38" s="7" t="s">
        <v>272</v>
      </c>
      <c r="F38" s="7" t="s">
        <v>273</v>
      </c>
      <c r="G38" s="12" t="s">
        <v>33</v>
      </c>
      <c r="H38" s="51">
        <v>46017</v>
      </c>
      <c r="I38" s="49">
        <v>46028</v>
      </c>
      <c r="J38" s="8" t="s">
        <v>62</v>
      </c>
      <c r="K38" s="8" t="s">
        <v>86</v>
      </c>
      <c r="L38" s="9" t="s">
        <v>63</v>
      </c>
      <c r="M38" s="9"/>
      <c r="N38" s="9"/>
      <c r="O38" s="62"/>
      <c r="P38" s="9" t="str">
        <f t="shared" si="0"/>
        <v>ONAY</v>
      </c>
    </row>
    <row r="39" spans="1:17" ht="63" customHeight="1" x14ac:dyDescent="0.25">
      <c r="A39" s="5" t="s">
        <v>274</v>
      </c>
      <c r="B39" s="6" t="s">
        <v>275</v>
      </c>
      <c r="C39" s="8" t="s">
        <v>276</v>
      </c>
      <c r="D39" s="8" t="s">
        <v>277</v>
      </c>
      <c r="E39" s="7" t="s">
        <v>278</v>
      </c>
      <c r="F39" s="7" t="s">
        <v>279</v>
      </c>
      <c r="G39" s="12" t="s">
        <v>33</v>
      </c>
      <c r="H39" s="51">
        <v>46017</v>
      </c>
      <c r="I39" s="49">
        <v>46028</v>
      </c>
      <c r="J39" s="8" t="s">
        <v>61</v>
      </c>
      <c r="K39" s="8" t="s">
        <v>78</v>
      </c>
      <c r="L39" s="9" t="s">
        <v>87</v>
      </c>
      <c r="M39" s="9" t="s">
        <v>192</v>
      </c>
      <c r="N39" s="9" t="s">
        <v>63</v>
      </c>
      <c r="O39" s="62"/>
      <c r="P39" s="9" t="str">
        <f t="shared" si="0"/>
        <v>ONAY</v>
      </c>
      <c r="Q39" s="10" t="s">
        <v>77</v>
      </c>
    </row>
    <row r="40" spans="1:17" ht="47.25" customHeight="1" x14ac:dyDescent="0.25">
      <c r="A40" s="5" t="s">
        <v>280</v>
      </c>
      <c r="B40" s="6" t="s">
        <v>281</v>
      </c>
      <c r="C40" s="8" t="s">
        <v>282</v>
      </c>
      <c r="D40" s="8" t="s">
        <v>283</v>
      </c>
      <c r="E40" s="7" t="s">
        <v>284</v>
      </c>
      <c r="F40" s="7" t="s">
        <v>285</v>
      </c>
      <c r="G40" s="12" t="s">
        <v>33</v>
      </c>
      <c r="H40" s="51">
        <v>46017</v>
      </c>
      <c r="I40" s="49">
        <v>46028</v>
      </c>
      <c r="J40" s="8" t="s">
        <v>109</v>
      </c>
      <c r="K40" s="8" t="s">
        <v>85</v>
      </c>
      <c r="L40" s="9" t="s">
        <v>158</v>
      </c>
      <c r="M40" s="9" t="s">
        <v>63</v>
      </c>
      <c r="N40" s="9"/>
      <c r="O40" s="62"/>
      <c r="P40" s="9" t="str">
        <f t="shared" si="0"/>
        <v>ONAY</v>
      </c>
    </row>
    <row r="41" spans="1:17" ht="96.75" customHeight="1" x14ac:dyDescent="0.25">
      <c r="A41" s="5" t="s">
        <v>286</v>
      </c>
      <c r="B41" s="6" t="s">
        <v>287</v>
      </c>
      <c r="C41" s="8" t="s">
        <v>288</v>
      </c>
      <c r="D41" s="8" t="s">
        <v>208</v>
      </c>
      <c r="E41" s="7" t="s">
        <v>289</v>
      </c>
      <c r="F41" s="7" t="s">
        <v>290</v>
      </c>
      <c r="G41" s="12" t="s">
        <v>33</v>
      </c>
      <c r="H41" s="51">
        <v>46017</v>
      </c>
      <c r="I41" s="49">
        <v>46028</v>
      </c>
      <c r="J41" s="8" t="s">
        <v>70</v>
      </c>
      <c r="K41" s="8" t="s">
        <v>86</v>
      </c>
      <c r="L41" s="9" t="s">
        <v>63</v>
      </c>
      <c r="M41" s="9"/>
      <c r="N41" s="9"/>
      <c r="O41" s="62"/>
      <c r="P41" s="9" t="str">
        <f t="shared" si="0"/>
        <v>ONAY</v>
      </c>
    </row>
    <row r="42" spans="1:17" ht="78.75" customHeight="1" x14ac:dyDescent="0.25">
      <c r="A42" s="5" t="s">
        <v>291</v>
      </c>
      <c r="B42" s="6" t="s">
        <v>292</v>
      </c>
      <c r="C42" s="8" t="s">
        <v>293</v>
      </c>
      <c r="D42" s="8" t="s">
        <v>220</v>
      </c>
      <c r="E42" s="7" t="s">
        <v>294</v>
      </c>
      <c r="F42" s="7" t="s">
        <v>295</v>
      </c>
      <c r="G42" s="12" t="s">
        <v>34</v>
      </c>
      <c r="H42" s="51">
        <v>46017</v>
      </c>
      <c r="I42" s="49">
        <v>46028</v>
      </c>
      <c r="J42" s="8" t="s">
        <v>94</v>
      </c>
      <c r="K42" s="8" t="s">
        <v>109</v>
      </c>
      <c r="L42" s="9" t="s">
        <v>63</v>
      </c>
      <c r="M42" s="9"/>
      <c r="N42" s="9"/>
      <c r="O42" s="62"/>
      <c r="P42" s="9" t="str">
        <f t="shared" si="0"/>
        <v>ONAY</v>
      </c>
    </row>
    <row r="43" spans="1:17" ht="63" customHeight="1" x14ac:dyDescent="0.25">
      <c r="A43" s="5" t="s">
        <v>296</v>
      </c>
      <c r="B43" s="6" t="s">
        <v>297</v>
      </c>
      <c r="C43" s="8" t="s">
        <v>293</v>
      </c>
      <c r="D43" s="8" t="s">
        <v>220</v>
      </c>
      <c r="E43" s="7" t="s">
        <v>298</v>
      </c>
      <c r="F43" s="7" t="s">
        <v>299</v>
      </c>
      <c r="G43" s="12" t="s">
        <v>33</v>
      </c>
      <c r="H43" s="51">
        <v>46017</v>
      </c>
      <c r="I43" s="49">
        <v>46028</v>
      </c>
      <c r="J43" s="8" t="s">
        <v>95</v>
      </c>
      <c r="K43" s="8" t="s">
        <v>62</v>
      </c>
      <c r="L43" s="9" t="s">
        <v>87</v>
      </c>
      <c r="M43" s="9" t="s">
        <v>192</v>
      </c>
      <c r="N43" s="9" t="s">
        <v>63</v>
      </c>
      <c r="O43" s="62"/>
      <c r="P43" s="9" t="str">
        <f t="shared" si="0"/>
        <v>ONAY</v>
      </c>
      <c r="Q43" s="10" t="s">
        <v>77</v>
      </c>
    </row>
    <row r="44" spans="1:17" ht="63" customHeight="1" x14ac:dyDescent="0.25">
      <c r="A44" s="5" t="s">
        <v>300</v>
      </c>
      <c r="B44" s="6" t="s">
        <v>301</v>
      </c>
      <c r="C44" s="8" t="s">
        <v>293</v>
      </c>
      <c r="D44" s="8" t="s">
        <v>220</v>
      </c>
      <c r="E44" s="7" t="s">
        <v>298</v>
      </c>
      <c r="F44" s="7" t="s">
        <v>302</v>
      </c>
      <c r="G44" s="12" t="s">
        <v>33</v>
      </c>
      <c r="H44" s="51">
        <v>46017</v>
      </c>
      <c r="I44" s="49">
        <v>46028</v>
      </c>
      <c r="J44" s="8" t="s">
        <v>77</v>
      </c>
      <c r="K44" s="8" t="s">
        <v>61</v>
      </c>
      <c r="L44" s="9" t="s">
        <v>63</v>
      </c>
      <c r="M44" s="9"/>
      <c r="N44" s="9"/>
      <c r="O44" s="62"/>
      <c r="P44" s="9" t="str">
        <f t="shared" si="0"/>
        <v>ONAY</v>
      </c>
    </row>
    <row r="45" spans="1:17" ht="98.25" customHeight="1" x14ac:dyDescent="0.25">
      <c r="A45" s="5" t="s">
        <v>303</v>
      </c>
      <c r="B45" s="6" t="s">
        <v>304</v>
      </c>
      <c r="C45" s="8" t="s">
        <v>305</v>
      </c>
      <c r="D45" s="8" t="s">
        <v>99</v>
      </c>
      <c r="E45" s="7" t="s">
        <v>306</v>
      </c>
      <c r="F45" s="7" t="s">
        <v>307</v>
      </c>
      <c r="G45" s="12" t="s">
        <v>33</v>
      </c>
      <c r="H45" s="51">
        <v>46017</v>
      </c>
      <c r="I45" s="49">
        <v>46028</v>
      </c>
      <c r="J45" s="8" t="s">
        <v>61</v>
      </c>
      <c r="K45" s="8" t="s">
        <v>86</v>
      </c>
      <c r="L45" s="9" t="s">
        <v>63</v>
      </c>
      <c r="M45" s="9"/>
      <c r="N45" s="9"/>
      <c r="O45" s="62"/>
      <c r="P45" s="9" t="str">
        <f t="shared" si="0"/>
        <v>ONAY</v>
      </c>
    </row>
    <row r="46" spans="1:17" ht="47.25" customHeight="1" x14ac:dyDescent="0.25">
      <c r="A46" s="5" t="s">
        <v>308</v>
      </c>
      <c r="B46" s="6" t="s">
        <v>309</v>
      </c>
      <c r="C46" s="8" t="s">
        <v>310</v>
      </c>
      <c r="D46" s="8" t="s">
        <v>311</v>
      </c>
      <c r="E46" s="7" t="s">
        <v>312</v>
      </c>
      <c r="F46" s="7" t="s">
        <v>313</v>
      </c>
      <c r="G46" s="12" t="s">
        <v>36</v>
      </c>
      <c r="H46" s="51">
        <v>46017</v>
      </c>
      <c r="I46" s="49">
        <v>46028</v>
      </c>
      <c r="J46" s="8" t="s">
        <v>102</v>
      </c>
      <c r="K46" s="8" t="s">
        <v>77</v>
      </c>
      <c r="L46" s="9" t="s">
        <v>63</v>
      </c>
      <c r="M46" s="9"/>
      <c r="N46" s="9"/>
      <c r="O46" s="62"/>
      <c r="P46" s="9" t="str">
        <f t="shared" si="0"/>
        <v>ONAY</v>
      </c>
    </row>
    <row r="47" spans="1:17" ht="63" customHeight="1" x14ac:dyDescent="0.25">
      <c r="A47" s="5" t="s">
        <v>314</v>
      </c>
      <c r="B47" s="6" t="s">
        <v>315</v>
      </c>
      <c r="C47" s="8" t="s">
        <v>316</v>
      </c>
      <c r="D47" s="8" t="s">
        <v>208</v>
      </c>
      <c r="E47" s="7" t="s">
        <v>317</v>
      </c>
      <c r="F47" s="7" t="s">
        <v>318</v>
      </c>
      <c r="G47" s="12" t="s">
        <v>33</v>
      </c>
      <c r="H47" s="51">
        <v>46017</v>
      </c>
      <c r="I47" s="49">
        <v>46028</v>
      </c>
      <c r="J47" s="8" t="s">
        <v>86</v>
      </c>
      <c r="K47" s="8" t="s">
        <v>85</v>
      </c>
      <c r="L47" s="9" t="s">
        <v>63</v>
      </c>
      <c r="M47" s="9"/>
      <c r="N47" s="9"/>
      <c r="O47" s="62"/>
      <c r="P47" s="9" t="str">
        <f t="shared" si="0"/>
        <v>ONAY</v>
      </c>
    </row>
    <row r="48" spans="1:17" ht="126" customHeight="1" x14ac:dyDescent="0.25">
      <c r="A48" s="5" t="s">
        <v>319</v>
      </c>
      <c r="B48" s="6" t="s">
        <v>320</v>
      </c>
      <c r="C48" s="8" t="s">
        <v>321</v>
      </c>
      <c r="D48" s="8" t="s">
        <v>136</v>
      </c>
      <c r="E48" s="7" t="s">
        <v>322</v>
      </c>
      <c r="F48" s="7" t="s">
        <v>323</v>
      </c>
      <c r="G48" s="12" t="s">
        <v>33</v>
      </c>
      <c r="H48" s="51">
        <v>46017</v>
      </c>
      <c r="I48" s="49">
        <v>46028</v>
      </c>
      <c r="J48" s="8" t="s">
        <v>61</v>
      </c>
      <c r="K48" s="8" t="s">
        <v>94</v>
      </c>
      <c r="L48" s="9" t="s">
        <v>87</v>
      </c>
      <c r="M48" s="9" t="s">
        <v>63</v>
      </c>
      <c r="N48" s="9"/>
      <c r="O48" s="62"/>
      <c r="P48" s="9" t="str">
        <f t="shared" si="0"/>
        <v>ONAY</v>
      </c>
      <c r="Q48" s="10" t="s">
        <v>61</v>
      </c>
    </row>
    <row r="49" spans="1:17" ht="63" customHeight="1" x14ac:dyDescent="0.25">
      <c r="A49" s="5" t="s">
        <v>324</v>
      </c>
      <c r="B49" s="6" t="s">
        <v>325</v>
      </c>
      <c r="C49" s="8" t="s">
        <v>326</v>
      </c>
      <c r="D49" s="8" t="s">
        <v>327</v>
      </c>
      <c r="E49" s="7" t="s">
        <v>328</v>
      </c>
      <c r="F49" s="7" t="s">
        <v>329</v>
      </c>
      <c r="G49" s="12" t="s">
        <v>33</v>
      </c>
      <c r="H49" s="51">
        <v>46017</v>
      </c>
      <c r="I49" s="49">
        <v>46028</v>
      </c>
      <c r="J49" s="8" t="s">
        <v>62</v>
      </c>
      <c r="K49" s="8" t="s">
        <v>78</v>
      </c>
      <c r="L49" s="9" t="s">
        <v>87</v>
      </c>
      <c r="M49" s="9" t="s">
        <v>192</v>
      </c>
      <c r="N49" s="9" t="s">
        <v>63</v>
      </c>
      <c r="O49" s="62"/>
      <c r="P49" s="9" t="str">
        <f t="shared" si="0"/>
        <v>ONAY</v>
      </c>
      <c r="Q49" s="10" t="s">
        <v>77</v>
      </c>
    </row>
    <row r="50" spans="1:17" ht="78.75" customHeight="1" x14ac:dyDescent="0.25">
      <c r="A50" s="5" t="s">
        <v>330</v>
      </c>
      <c r="B50" s="6" t="s">
        <v>331</v>
      </c>
      <c r="C50" s="8" t="s">
        <v>332</v>
      </c>
      <c r="D50" s="8" t="s">
        <v>333</v>
      </c>
      <c r="E50" s="7" t="s">
        <v>334</v>
      </c>
      <c r="F50" s="7" t="s">
        <v>335</v>
      </c>
      <c r="G50" s="12" t="s">
        <v>34</v>
      </c>
      <c r="H50" s="51">
        <v>46020</v>
      </c>
      <c r="I50" s="49">
        <v>46028</v>
      </c>
      <c r="J50" s="8" t="s">
        <v>70</v>
      </c>
      <c r="K50" s="8" t="s">
        <v>109</v>
      </c>
      <c r="L50" s="9" t="s">
        <v>63</v>
      </c>
      <c r="M50" s="9"/>
      <c r="N50" s="9"/>
      <c r="O50" s="62"/>
      <c r="P50" s="9" t="str">
        <f t="shared" si="0"/>
        <v>ONAY</v>
      </c>
    </row>
    <row r="51" spans="1:17" ht="63" customHeight="1" x14ac:dyDescent="0.25">
      <c r="A51" s="5" t="s">
        <v>336</v>
      </c>
      <c r="B51" s="6" t="s">
        <v>337</v>
      </c>
      <c r="C51" s="8" t="s">
        <v>338</v>
      </c>
      <c r="D51" s="8" t="s">
        <v>339</v>
      </c>
      <c r="E51" s="7" t="s">
        <v>340</v>
      </c>
      <c r="F51" s="7" t="s">
        <v>341</v>
      </c>
      <c r="G51" s="12" t="s">
        <v>33</v>
      </c>
      <c r="H51" s="51">
        <v>46020</v>
      </c>
      <c r="I51" s="49">
        <v>46028</v>
      </c>
      <c r="J51" s="8" t="s">
        <v>109</v>
      </c>
      <c r="K51" s="8" t="s">
        <v>77</v>
      </c>
      <c r="L51" s="9" t="s">
        <v>87</v>
      </c>
      <c r="M51" s="9" t="s">
        <v>63</v>
      </c>
      <c r="N51" s="9"/>
      <c r="O51" s="62"/>
      <c r="P51" s="9" t="str">
        <f t="shared" si="0"/>
        <v>ONAY</v>
      </c>
      <c r="Q51" s="10" t="s">
        <v>77</v>
      </c>
    </row>
    <row r="52" spans="1:17" ht="78.75" customHeight="1" x14ac:dyDescent="0.25">
      <c r="A52" s="5" t="s">
        <v>342</v>
      </c>
      <c r="B52" s="6" t="s">
        <v>343</v>
      </c>
      <c r="C52" s="8" t="s">
        <v>344</v>
      </c>
      <c r="D52" s="8" t="s">
        <v>214</v>
      </c>
      <c r="E52" s="7" t="s">
        <v>345</v>
      </c>
      <c r="F52" s="7" t="s">
        <v>346</v>
      </c>
      <c r="G52" s="12" t="s">
        <v>34</v>
      </c>
      <c r="H52" s="51">
        <v>46021</v>
      </c>
      <c r="I52" s="49">
        <v>46028</v>
      </c>
      <c r="J52" s="8" t="s">
        <v>95</v>
      </c>
      <c r="K52" s="8" t="s">
        <v>94</v>
      </c>
      <c r="L52" s="9" t="s">
        <v>87</v>
      </c>
      <c r="M52" s="9" t="s">
        <v>63</v>
      </c>
      <c r="N52" s="9"/>
      <c r="O52" s="62"/>
      <c r="P52" s="9" t="str">
        <f t="shared" si="0"/>
        <v>ONAY</v>
      </c>
      <c r="Q52" s="10" t="s">
        <v>94</v>
      </c>
    </row>
    <row r="53" spans="1:17" ht="63" customHeight="1" x14ac:dyDescent="0.25">
      <c r="A53" s="5" t="s">
        <v>347</v>
      </c>
      <c r="B53" s="6" t="s">
        <v>348</v>
      </c>
      <c r="C53" s="8" t="s">
        <v>349</v>
      </c>
      <c r="D53" s="8" t="s">
        <v>350</v>
      </c>
      <c r="E53" s="7" t="s">
        <v>351</v>
      </c>
      <c r="F53" s="7" t="s">
        <v>352</v>
      </c>
      <c r="G53" s="12" t="s">
        <v>33</v>
      </c>
      <c r="H53" s="51">
        <v>46021</v>
      </c>
      <c r="I53" s="49">
        <v>46028</v>
      </c>
      <c r="J53" s="8" t="s">
        <v>61</v>
      </c>
      <c r="K53" s="8" t="s">
        <v>102</v>
      </c>
      <c r="L53" s="9" t="s">
        <v>63</v>
      </c>
      <c r="M53" s="9"/>
      <c r="N53" s="9"/>
      <c r="O53" s="62"/>
      <c r="P53" s="9" t="str">
        <f t="shared" si="0"/>
        <v>ONAY</v>
      </c>
    </row>
    <row r="54" spans="1:17" ht="94.5" customHeight="1" x14ac:dyDescent="0.25">
      <c r="A54" s="5" t="s">
        <v>353</v>
      </c>
      <c r="B54" s="6" t="s">
        <v>354</v>
      </c>
      <c r="C54" s="8" t="s">
        <v>355</v>
      </c>
      <c r="D54" s="8" t="s">
        <v>327</v>
      </c>
      <c r="E54" s="7" t="s">
        <v>356</v>
      </c>
      <c r="F54" s="7" t="s">
        <v>357</v>
      </c>
      <c r="G54" s="12" t="s">
        <v>34</v>
      </c>
      <c r="H54" s="51">
        <v>46021</v>
      </c>
      <c r="I54" s="49">
        <v>46028</v>
      </c>
      <c r="J54" s="8" t="s">
        <v>77</v>
      </c>
      <c r="K54" s="8" t="s">
        <v>115</v>
      </c>
      <c r="L54" s="9" t="s">
        <v>204</v>
      </c>
      <c r="M54" s="9"/>
      <c r="N54" s="9"/>
      <c r="O54" s="62"/>
      <c r="P54" s="9" t="str">
        <f t="shared" si="0"/>
        <v>KAEK</v>
      </c>
    </row>
    <row r="55" spans="1:17" ht="78.75" customHeight="1" x14ac:dyDescent="0.25">
      <c r="A55" s="5" t="s">
        <v>358</v>
      </c>
      <c r="B55" s="6" t="s">
        <v>359</v>
      </c>
      <c r="C55" s="8" t="s">
        <v>360</v>
      </c>
      <c r="D55" s="8" t="s">
        <v>327</v>
      </c>
      <c r="E55" s="7" t="s">
        <v>361</v>
      </c>
      <c r="F55" s="7" t="s">
        <v>362</v>
      </c>
      <c r="G55" s="12" t="s">
        <v>34</v>
      </c>
      <c r="H55" s="51">
        <v>46021</v>
      </c>
      <c r="I55" s="49">
        <v>46028</v>
      </c>
      <c r="J55" s="8" t="s">
        <v>70</v>
      </c>
      <c r="K55" s="8" t="s">
        <v>115</v>
      </c>
      <c r="L55" s="9" t="s">
        <v>63</v>
      </c>
      <c r="M55" s="9"/>
      <c r="N55" s="9"/>
      <c r="O55" s="62"/>
      <c r="P55" s="9" t="str">
        <f t="shared" si="0"/>
        <v>ONAY</v>
      </c>
    </row>
    <row r="56" spans="1:17" ht="78.75" customHeight="1" x14ac:dyDescent="0.25">
      <c r="A56" s="5" t="s">
        <v>363</v>
      </c>
      <c r="B56" s="6" t="s">
        <v>364</v>
      </c>
      <c r="C56" s="8" t="s">
        <v>365</v>
      </c>
      <c r="D56" s="8" t="s">
        <v>208</v>
      </c>
      <c r="E56" s="7" t="s">
        <v>366</v>
      </c>
      <c r="F56" s="7" t="s">
        <v>367</v>
      </c>
      <c r="G56" s="12" t="s">
        <v>33</v>
      </c>
      <c r="H56" s="51">
        <v>46021</v>
      </c>
      <c r="I56" s="49">
        <v>46028</v>
      </c>
      <c r="J56" s="8" t="s">
        <v>61</v>
      </c>
      <c r="K56" s="8" t="s">
        <v>85</v>
      </c>
      <c r="L56" s="9" t="s">
        <v>63</v>
      </c>
      <c r="M56" s="9"/>
      <c r="N56" s="9"/>
      <c r="O56" s="62"/>
      <c r="P56" s="9" t="str">
        <f t="shared" si="0"/>
        <v>ONAY</v>
      </c>
    </row>
    <row r="57" spans="1:17" ht="63" customHeight="1" x14ac:dyDescent="0.25">
      <c r="A57" s="5" t="s">
        <v>368</v>
      </c>
      <c r="B57" s="6" t="s">
        <v>369</v>
      </c>
      <c r="C57" s="8" t="s">
        <v>370</v>
      </c>
      <c r="D57" s="8" t="s">
        <v>371</v>
      </c>
      <c r="E57" s="7" t="s">
        <v>372</v>
      </c>
      <c r="F57" s="7" t="s">
        <v>373</v>
      </c>
      <c r="G57" s="12" t="s">
        <v>33</v>
      </c>
      <c r="H57" s="51">
        <v>46024</v>
      </c>
      <c r="I57" s="49">
        <v>46042</v>
      </c>
      <c r="J57" s="8" t="s">
        <v>102</v>
      </c>
      <c r="K57" s="8" t="s">
        <v>70</v>
      </c>
      <c r="L57" s="9" t="s">
        <v>87</v>
      </c>
      <c r="M57" s="9" t="s">
        <v>63</v>
      </c>
      <c r="N57" s="9"/>
      <c r="O57" s="62"/>
      <c r="P57" s="9" t="str">
        <f t="shared" si="0"/>
        <v>ONAY</v>
      </c>
      <c r="Q57" s="10" t="s">
        <v>102</v>
      </c>
    </row>
    <row r="58" spans="1:17" ht="63" customHeight="1" x14ac:dyDescent="0.25">
      <c r="A58" s="5" t="s">
        <v>374</v>
      </c>
      <c r="B58" s="6" t="s">
        <v>375</v>
      </c>
      <c r="C58" s="8" t="s">
        <v>376</v>
      </c>
      <c r="D58" s="8" t="s">
        <v>377</v>
      </c>
      <c r="E58" s="7" t="s">
        <v>378</v>
      </c>
      <c r="F58" s="7" t="s">
        <v>379</v>
      </c>
      <c r="G58" s="12" t="s">
        <v>33</v>
      </c>
      <c r="H58" s="51">
        <v>46024</v>
      </c>
      <c r="I58" s="49">
        <v>46042</v>
      </c>
      <c r="J58" s="8" t="s">
        <v>77</v>
      </c>
      <c r="K58" s="8" t="s">
        <v>78</v>
      </c>
      <c r="L58" s="9" t="s">
        <v>87</v>
      </c>
      <c r="M58" s="9" t="s">
        <v>63</v>
      </c>
      <c r="N58" s="9"/>
      <c r="O58" s="62"/>
      <c r="P58" s="9" t="str">
        <f t="shared" si="0"/>
        <v>ONAY</v>
      </c>
      <c r="Q58" s="10" t="s">
        <v>77</v>
      </c>
    </row>
    <row r="59" spans="1:17" ht="78.75" customHeight="1" x14ac:dyDescent="0.25">
      <c r="A59" s="5" t="s">
        <v>380</v>
      </c>
      <c r="B59" s="6" t="s">
        <v>381</v>
      </c>
      <c r="C59" s="8" t="s">
        <v>382</v>
      </c>
      <c r="D59" s="8" t="s">
        <v>383</v>
      </c>
      <c r="E59" s="7" t="s">
        <v>384</v>
      </c>
      <c r="F59" s="7" t="s">
        <v>385</v>
      </c>
      <c r="G59" s="12" t="s">
        <v>36</v>
      </c>
      <c r="H59" s="51">
        <v>46024</v>
      </c>
      <c r="I59" s="49">
        <v>46042</v>
      </c>
      <c r="J59" s="8" t="s">
        <v>115</v>
      </c>
      <c r="K59" s="8" t="s">
        <v>85</v>
      </c>
      <c r="L59" s="9" t="s">
        <v>87</v>
      </c>
      <c r="M59" s="9" t="s">
        <v>386</v>
      </c>
      <c r="N59" s="9"/>
      <c r="O59" s="62"/>
      <c r="P59" s="9" t="str">
        <f t="shared" si="0"/>
        <v>GERİ ÇEKİLDİ</v>
      </c>
    </row>
    <row r="60" spans="1:17" ht="78.75" customHeight="1" x14ac:dyDescent="0.25">
      <c r="A60" s="5" t="s">
        <v>387</v>
      </c>
      <c r="B60" s="6" t="s">
        <v>388</v>
      </c>
      <c r="C60" s="8" t="s">
        <v>389</v>
      </c>
      <c r="D60" s="8" t="s">
        <v>390</v>
      </c>
      <c r="E60" s="7" t="s">
        <v>391</v>
      </c>
      <c r="F60" s="7" t="s">
        <v>392</v>
      </c>
      <c r="G60" s="12" t="s">
        <v>33</v>
      </c>
      <c r="H60" s="51">
        <v>46024</v>
      </c>
      <c r="I60" s="49">
        <v>46042</v>
      </c>
      <c r="J60" s="8" t="s">
        <v>62</v>
      </c>
      <c r="K60" s="8" t="s">
        <v>94</v>
      </c>
      <c r="L60" s="9" t="s">
        <v>87</v>
      </c>
      <c r="M60" s="9" t="s">
        <v>386</v>
      </c>
      <c r="N60" s="9"/>
      <c r="O60" s="62"/>
      <c r="P60" s="9" t="str">
        <f t="shared" si="0"/>
        <v>GERİ ÇEKİLDİ</v>
      </c>
    </row>
    <row r="61" spans="1:17" ht="126" customHeight="1" x14ac:dyDescent="0.25">
      <c r="A61" s="5" t="s">
        <v>393</v>
      </c>
      <c r="B61" s="6" t="s">
        <v>394</v>
      </c>
      <c r="C61" s="8" t="s">
        <v>365</v>
      </c>
      <c r="D61" s="8" t="s">
        <v>208</v>
      </c>
      <c r="E61" s="7" t="s">
        <v>395</v>
      </c>
      <c r="F61" s="7" t="s">
        <v>396</v>
      </c>
      <c r="G61" s="12" t="s">
        <v>35</v>
      </c>
      <c r="H61" s="51">
        <v>46024</v>
      </c>
      <c r="I61" s="49">
        <v>46042</v>
      </c>
      <c r="J61" s="8" t="s">
        <v>95</v>
      </c>
      <c r="K61" s="8" t="s">
        <v>62</v>
      </c>
      <c r="L61" s="9" t="s">
        <v>87</v>
      </c>
      <c r="M61" s="9" t="s">
        <v>63</v>
      </c>
      <c r="N61" s="9"/>
      <c r="O61" s="62"/>
      <c r="P61" s="9" t="str">
        <f t="shared" si="0"/>
        <v>ONAY</v>
      </c>
      <c r="Q61" s="10" t="s">
        <v>95</v>
      </c>
    </row>
    <row r="62" spans="1:17" ht="63" customHeight="1" x14ac:dyDescent="0.25">
      <c r="A62" s="5" t="s">
        <v>397</v>
      </c>
      <c r="B62" s="6" t="s">
        <v>398</v>
      </c>
      <c r="C62" s="8" t="s">
        <v>399</v>
      </c>
      <c r="D62" s="8" t="s">
        <v>400</v>
      </c>
      <c r="E62" s="7" t="s">
        <v>401</v>
      </c>
      <c r="F62" s="7" t="s">
        <v>402</v>
      </c>
      <c r="G62" s="12" t="s">
        <v>33</v>
      </c>
      <c r="H62" s="51">
        <v>46024</v>
      </c>
      <c r="I62" s="49">
        <v>46042</v>
      </c>
      <c r="J62" s="8" t="s">
        <v>109</v>
      </c>
      <c r="K62" s="8" t="s">
        <v>86</v>
      </c>
      <c r="L62" s="9" t="s">
        <v>87</v>
      </c>
      <c r="M62" s="9" t="s">
        <v>192</v>
      </c>
      <c r="N62" s="9"/>
      <c r="O62" s="62"/>
      <c r="P62" s="9" t="str">
        <f t="shared" si="0"/>
        <v>GÖRÜŞ</v>
      </c>
    </row>
    <row r="63" spans="1:17" ht="63.75" customHeight="1" x14ac:dyDescent="0.25">
      <c r="A63" s="5" t="s">
        <v>403</v>
      </c>
      <c r="B63" s="6" t="s">
        <v>404</v>
      </c>
      <c r="C63" s="8" t="s">
        <v>405</v>
      </c>
      <c r="D63" s="8" t="s">
        <v>383</v>
      </c>
      <c r="E63" s="7" t="s">
        <v>406</v>
      </c>
      <c r="F63" s="7" t="s">
        <v>407</v>
      </c>
      <c r="G63" s="12" t="s">
        <v>33</v>
      </c>
      <c r="H63" s="51">
        <v>46024</v>
      </c>
      <c r="I63" s="49">
        <v>46042</v>
      </c>
      <c r="J63" s="8" t="s">
        <v>102</v>
      </c>
      <c r="K63" s="8" t="s">
        <v>86</v>
      </c>
      <c r="L63" s="9" t="s">
        <v>63</v>
      </c>
      <c r="M63" s="9"/>
      <c r="N63" s="9"/>
      <c r="O63" s="62"/>
      <c r="P63" s="9" t="str">
        <f t="shared" si="0"/>
        <v>ONAY</v>
      </c>
    </row>
    <row r="64" spans="1:17" ht="78.75" customHeight="1" x14ac:dyDescent="0.25">
      <c r="A64" s="5" t="s">
        <v>408</v>
      </c>
      <c r="B64" s="6" t="s">
        <v>409</v>
      </c>
      <c r="C64" s="8" t="s">
        <v>410</v>
      </c>
      <c r="D64" s="8" t="s">
        <v>350</v>
      </c>
      <c r="E64" s="7" t="s">
        <v>411</v>
      </c>
      <c r="F64" s="7" t="s">
        <v>412</v>
      </c>
      <c r="G64" s="12" t="s">
        <v>33</v>
      </c>
      <c r="H64" s="51">
        <v>46024</v>
      </c>
      <c r="I64" s="49">
        <v>46042</v>
      </c>
      <c r="J64" s="8" t="s">
        <v>95</v>
      </c>
      <c r="K64" s="8" t="s">
        <v>70</v>
      </c>
      <c r="L64" s="9" t="s">
        <v>63</v>
      </c>
      <c r="M64" s="9"/>
      <c r="N64" s="9"/>
      <c r="O64" s="62"/>
      <c r="P64" s="9" t="str">
        <f t="shared" si="0"/>
        <v>ONAY</v>
      </c>
    </row>
    <row r="65" spans="1:17" ht="47.25" customHeight="1" x14ac:dyDescent="0.25">
      <c r="A65" s="5" t="s">
        <v>413</v>
      </c>
      <c r="B65" s="6" t="s">
        <v>414</v>
      </c>
      <c r="C65" s="8" t="s">
        <v>415</v>
      </c>
      <c r="D65" s="8" t="s">
        <v>416</v>
      </c>
      <c r="E65" s="7" t="s">
        <v>417</v>
      </c>
      <c r="F65" s="7" t="s">
        <v>418</v>
      </c>
      <c r="G65" s="12" t="s">
        <v>34</v>
      </c>
      <c r="H65" s="51">
        <v>46024</v>
      </c>
      <c r="I65" s="49">
        <v>46042</v>
      </c>
      <c r="J65" s="8" t="s">
        <v>94</v>
      </c>
      <c r="K65" s="8" t="s">
        <v>115</v>
      </c>
      <c r="L65" s="9" t="s">
        <v>87</v>
      </c>
      <c r="M65" s="9" t="s">
        <v>87</v>
      </c>
      <c r="N65" s="9" t="s">
        <v>63</v>
      </c>
      <c r="O65" s="62"/>
      <c r="P65" s="9" t="str">
        <f t="shared" si="0"/>
        <v>ONAY</v>
      </c>
      <c r="Q65" s="10" t="s">
        <v>61</v>
      </c>
    </row>
    <row r="66" spans="1:17" ht="63" customHeight="1" x14ac:dyDescent="0.25">
      <c r="A66" s="5" t="s">
        <v>419</v>
      </c>
      <c r="B66" s="6" t="s">
        <v>420</v>
      </c>
      <c r="C66" s="8" t="s">
        <v>415</v>
      </c>
      <c r="D66" s="8" t="s">
        <v>416</v>
      </c>
      <c r="E66" s="7" t="s">
        <v>421</v>
      </c>
      <c r="F66" s="7" t="s">
        <v>422</v>
      </c>
      <c r="G66" s="12" t="s">
        <v>34</v>
      </c>
      <c r="H66" s="51">
        <v>46024</v>
      </c>
      <c r="I66" s="49">
        <v>46042</v>
      </c>
      <c r="J66" s="8" t="s">
        <v>94</v>
      </c>
      <c r="K66" s="8" t="s">
        <v>115</v>
      </c>
      <c r="L66" s="9" t="s">
        <v>87</v>
      </c>
      <c r="M66" s="9" t="s">
        <v>386</v>
      </c>
      <c r="N66" s="9"/>
      <c r="O66" s="62"/>
      <c r="P66" s="9" t="str">
        <f t="shared" ref="P66:P129" si="1">IF(O66&lt;&gt;"",O66, IF(N66&lt;&gt;"",N66, IF(M66&lt;&gt;"",M66, L66)))</f>
        <v>GERİ ÇEKİLDİ</v>
      </c>
    </row>
    <row r="67" spans="1:17" ht="81" customHeight="1" x14ac:dyDescent="0.25">
      <c r="A67" s="5" t="s">
        <v>423</v>
      </c>
      <c r="B67" s="6" t="s">
        <v>424</v>
      </c>
      <c r="C67" s="8" t="s">
        <v>425</v>
      </c>
      <c r="D67" s="8" t="s">
        <v>173</v>
      </c>
      <c r="E67" s="7" t="s">
        <v>426</v>
      </c>
      <c r="F67" s="7" t="s">
        <v>427</v>
      </c>
      <c r="G67" s="12" t="s">
        <v>33</v>
      </c>
      <c r="H67" s="51">
        <v>46027</v>
      </c>
      <c r="I67" s="49">
        <v>46042</v>
      </c>
      <c r="J67" s="8" t="s">
        <v>78</v>
      </c>
      <c r="K67" s="8" t="s">
        <v>95</v>
      </c>
      <c r="L67" s="9" t="s">
        <v>63</v>
      </c>
      <c r="M67" s="9"/>
      <c r="N67" s="9"/>
      <c r="O67" s="62"/>
      <c r="P67" s="9" t="str">
        <f t="shared" si="1"/>
        <v>ONAY</v>
      </c>
    </row>
    <row r="68" spans="1:17" ht="80.25" customHeight="1" x14ac:dyDescent="0.25">
      <c r="A68" s="5" t="s">
        <v>428</v>
      </c>
      <c r="B68" s="6" t="s">
        <v>429</v>
      </c>
      <c r="C68" s="8" t="s">
        <v>430</v>
      </c>
      <c r="D68" s="8" t="s">
        <v>74</v>
      </c>
      <c r="E68" s="7" t="s">
        <v>431</v>
      </c>
      <c r="F68" s="7" t="s">
        <v>432</v>
      </c>
      <c r="G68" s="12" t="s">
        <v>33</v>
      </c>
      <c r="H68" s="51">
        <v>46027</v>
      </c>
      <c r="I68" s="49">
        <v>46042</v>
      </c>
      <c r="J68" s="8" t="s">
        <v>78</v>
      </c>
      <c r="K68" s="8" t="s">
        <v>77</v>
      </c>
      <c r="L68" s="9" t="s">
        <v>87</v>
      </c>
      <c r="M68" s="9" t="s">
        <v>63</v>
      </c>
      <c r="N68" s="9"/>
      <c r="O68" s="62"/>
      <c r="P68" s="9" t="str">
        <f t="shared" si="1"/>
        <v>ONAY</v>
      </c>
      <c r="Q68" s="10" t="s">
        <v>77</v>
      </c>
    </row>
    <row r="69" spans="1:17" ht="126" customHeight="1" x14ac:dyDescent="0.25">
      <c r="A69" s="5" t="s">
        <v>433</v>
      </c>
      <c r="B69" s="6" t="s">
        <v>434</v>
      </c>
      <c r="C69" s="8" t="s">
        <v>78</v>
      </c>
      <c r="D69" s="8" t="s">
        <v>74</v>
      </c>
      <c r="E69" s="7" t="s">
        <v>435</v>
      </c>
      <c r="F69" s="7" t="s">
        <v>436</v>
      </c>
      <c r="G69" s="12" t="s">
        <v>34</v>
      </c>
      <c r="H69" s="51">
        <v>46027</v>
      </c>
      <c r="I69" s="49">
        <v>46042</v>
      </c>
      <c r="J69" s="8" t="s">
        <v>77</v>
      </c>
      <c r="K69" s="8" t="s">
        <v>62</v>
      </c>
      <c r="L69" s="9" t="s">
        <v>63</v>
      </c>
      <c r="M69" s="9"/>
      <c r="N69" s="9"/>
      <c r="O69" s="62"/>
      <c r="P69" s="9" t="str">
        <f t="shared" si="1"/>
        <v>ONAY</v>
      </c>
    </row>
    <row r="70" spans="1:17" ht="63" customHeight="1" x14ac:dyDescent="0.25">
      <c r="A70" s="5" t="s">
        <v>437</v>
      </c>
      <c r="B70" s="6" t="s">
        <v>438</v>
      </c>
      <c r="C70" s="8" t="s">
        <v>405</v>
      </c>
      <c r="D70" s="8" t="s">
        <v>383</v>
      </c>
      <c r="E70" s="7" t="s">
        <v>439</v>
      </c>
      <c r="F70" s="7" t="s">
        <v>440</v>
      </c>
      <c r="G70" s="12" t="s">
        <v>33</v>
      </c>
      <c r="H70" s="51">
        <v>46027</v>
      </c>
      <c r="I70" s="49">
        <v>46042</v>
      </c>
      <c r="J70" s="8" t="s">
        <v>70</v>
      </c>
      <c r="K70" s="8" t="s">
        <v>94</v>
      </c>
      <c r="L70" s="9" t="s">
        <v>63</v>
      </c>
      <c r="M70" s="9"/>
      <c r="N70" s="9"/>
      <c r="O70" s="62"/>
      <c r="P70" s="9" t="str">
        <f t="shared" si="1"/>
        <v>ONAY</v>
      </c>
    </row>
    <row r="71" spans="1:17" ht="63" customHeight="1" x14ac:dyDescent="0.25">
      <c r="A71" s="5" t="s">
        <v>441</v>
      </c>
      <c r="B71" s="6" t="s">
        <v>442</v>
      </c>
      <c r="C71" s="8" t="s">
        <v>443</v>
      </c>
      <c r="D71" s="8" t="s">
        <v>266</v>
      </c>
      <c r="E71" s="7" t="s">
        <v>444</v>
      </c>
      <c r="F71" s="7" t="s">
        <v>445</v>
      </c>
      <c r="G71" s="12" t="s">
        <v>33</v>
      </c>
      <c r="H71" s="51">
        <v>46027</v>
      </c>
      <c r="I71" s="49">
        <v>46042</v>
      </c>
      <c r="J71" s="8" t="s">
        <v>78</v>
      </c>
      <c r="K71" s="8" t="s">
        <v>94</v>
      </c>
      <c r="L71" s="9" t="s">
        <v>63</v>
      </c>
      <c r="M71" s="9"/>
      <c r="N71" s="9"/>
      <c r="O71" s="62"/>
      <c r="P71" s="9" t="str">
        <f t="shared" si="1"/>
        <v>ONAY</v>
      </c>
    </row>
    <row r="72" spans="1:17" ht="78.75" customHeight="1" x14ac:dyDescent="0.25">
      <c r="A72" s="5" t="s">
        <v>446</v>
      </c>
      <c r="B72" s="6" t="s">
        <v>447</v>
      </c>
      <c r="C72" s="8" t="s">
        <v>448</v>
      </c>
      <c r="D72" s="8" t="s">
        <v>449</v>
      </c>
      <c r="E72" s="7" t="s">
        <v>450</v>
      </c>
      <c r="F72" s="7" t="s">
        <v>451</v>
      </c>
      <c r="G72" s="12" t="s">
        <v>33</v>
      </c>
      <c r="H72" s="51">
        <v>46029</v>
      </c>
      <c r="I72" s="49">
        <v>46042</v>
      </c>
      <c r="J72" s="8" t="s">
        <v>61</v>
      </c>
      <c r="K72" s="8" t="s">
        <v>77</v>
      </c>
      <c r="L72" s="9" t="s">
        <v>87</v>
      </c>
      <c r="M72" s="9" t="s">
        <v>63</v>
      </c>
      <c r="N72" s="9"/>
      <c r="O72" s="62"/>
      <c r="P72" s="9" t="str">
        <f t="shared" si="1"/>
        <v>ONAY</v>
      </c>
      <c r="Q72" s="10" t="s">
        <v>61</v>
      </c>
    </row>
    <row r="73" spans="1:17" ht="63" customHeight="1" x14ac:dyDescent="0.25">
      <c r="A73" s="5" t="s">
        <v>452</v>
      </c>
      <c r="B73" s="6" t="s">
        <v>453</v>
      </c>
      <c r="C73" s="8" t="s">
        <v>454</v>
      </c>
      <c r="D73" s="8" t="s">
        <v>208</v>
      </c>
      <c r="E73" s="7" t="s">
        <v>455</v>
      </c>
      <c r="F73" s="7" t="s">
        <v>456</v>
      </c>
      <c r="G73" s="12" t="s">
        <v>33</v>
      </c>
      <c r="H73" s="51">
        <v>46029</v>
      </c>
      <c r="I73" s="49">
        <v>46042</v>
      </c>
      <c r="J73" s="8" t="s">
        <v>95</v>
      </c>
      <c r="K73" s="8" t="s">
        <v>109</v>
      </c>
      <c r="L73" s="9" t="s">
        <v>87</v>
      </c>
      <c r="M73" s="9"/>
      <c r="N73" s="9"/>
      <c r="O73" s="62"/>
      <c r="P73" s="9" t="str">
        <f t="shared" si="1"/>
        <v>DÜZELTME</v>
      </c>
    </row>
    <row r="74" spans="1:17" ht="78.75" customHeight="1" x14ac:dyDescent="0.25">
      <c r="A74" s="5" t="s">
        <v>457</v>
      </c>
      <c r="B74" s="6" t="s">
        <v>458</v>
      </c>
      <c r="C74" s="8" t="s">
        <v>382</v>
      </c>
      <c r="D74" s="8" t="s">
        <v>383</v>
      </c>
      <c r="E74" s="7" t="s">
        <v>459</v>
      </c>
      <c r="F74" s="7" t="s">
        <v>460</v>
      </c>
      <c r="G74" s="12" t="s">
        <v>33</v>
      </c>
      <c r="H74" s="51">
        <v>46029</v>
      </c>
      <c r="I74" s="49">
        <v>46042</v>
      </c>
      <c r="J74" s="8" t="s">
        <v>70</v>
      </c>
      <c r="K74" s="8" t="s">
        <v>102</v>
      </c>
      <c r="L74" s="9" t="s">
        <v>87</v>
      </c>
      <c r="M74" s="9" t="s">
        <v>192</v>
      </c>
      <c r="N74" s="9"/>
      <c r="O74" s="62"/>
      <c r="P74" s="9" t="str">
        <f t="shared" si="1"/>
        <v>GÖRÜŞ</v>
      </c>
    </row>
    <row r="75" spans="1:17" ht="47.25" customHeight="1" x14ac:dyDescent="0.25">
      <c r="A75" s="5" t="s">
        <v>461</v>
      </c>
      <c r="B75" s="6" t="s">
        <v>462</v>
      </c>
      <c r="C75" s="8" t="s">
        <v>463</v>
      </c>
      <c r="D75" s="8" t="s">
        <v>464</v>
      </c>
      <c r="E75" s="7" t="s">
        <v>465</v>
      </c>
      <c r="F75" s="7" t="s">
        <v>466</v>
      </c>
      <c r="G75" s="12" t="s">
        <v>36</v>
      </c>
      <c r="H75" s="51">
        <v>46030</v>
      </c>
      <c r="I75" s="49">
        <v>46042</v>
      </c>
      <c r="J75" s="8" t="s">
        <v>85</v>
      </c>
      <c r="K75" s="8" t="s">
        <v>86</v>
      </c>
      <c r="L75" s="9" t="s">
        <v>63</v>
      </c>
      <c r="M75" s="9"/>
      <c r="N75" s="9"/>
      <c r="O75" s="62"/>
      <c r="P75" s="9" t="str">
        <f t="shared" si="1"/>
        <v>ONAY</v>
      </c>
    </row>
    <row r="76" spans="1:17" ht="78.75" customHeight="1" x14ac:dyDescent="0.25">
      <c r="A76" s="5" t="s">
        <v>467</v>
      </c>
      <c r="B76" s="6" t="s">
        <v>468</v>
      </c>
      <c r="C76" s="8" t="s">
        <v>469</v>
      </c>
      <c r="D76" s="8" t="s">
        <v>470</v>
      </c>
      <c r="E76" s="7" t="s">
        <v>471</v>
      </c>
      <c r="F76" s="7" t="s">
        <v>472</v>
      </c>
      <c r="G76" s="12" t="s">
        <v>34</v>
      </c>
      <c r="H76" s="51">
        <v>46030</v>
      </c>
      <c r="I76" s="49">
        <v>46042</v>
      </c>
      <c r="J76" s="8" t="s">
        <v>109</v>
      </c>
      <c r="K76" s="8" t="s">
        <v>78</v>
      </c>
      <c r="L76" s="9" t="s">
        <v>63</v>
      </c>
      <c r="M76" s="9"/>
      <c r="N76" s="9"/>
      <c r="O76" s="62"/>
      <c r="P76" s="9" t="str">
        <f t="shared" si="1"/>
        <v>ONAY</v>
      </c>
    </row>
    <row r="77" spans="1:17" ht="63" customHeight="1" x14ac:dyDescent="0.25">
      <c r="A77" s="5" t="s">
        <v>473</v>
      </c>
      <c r="B77" s="6" t="s">
        <v>474</v>
      </c>
      <c r="C77" s="8" t="s">
        <v>475</v>
      </c>
      <c r="D77" s="8" t="s">
        <v>283</v>
      </c>
      <c r="E77" s="7" t="s">
        <v>476</v>
      </c>
      <c r="F77" s="7" t="s">
        <v>477</v>
      </c>
      <c r="G77" s="12" t="s">
        <v>33</v>
      </c>
      <c r="H77" s="51">
        <v>46031</v>
      </c>
      <c r="I77" s="49">
        <v>46042</v>
      </c>
      <c r="J77" s="8" t="s">
        <v>109</v>
      </c>
      <c r="K77" s="8" t="s">
        <v>62</v>
      </c>
      <c r="L77" s="9" t="s">
        <v>63</v>
      </c>
      <c r="M77" s="9"/>
      <c r="N77" s="9"/>
      <c r="O77" s="62"/>
      <c r="P77" s="9" t="str">
        <f t="shared" si="1"/>
        <v>ONAY</v>
      </c>
    </row>
    <row r="78" spans="1:17" ht="63" customHeight="1" x14ac:dyDescent="0.25">
      <c r="A78" s="5" t="s">
        <v>478</v>
      </c>
      <c r="B78" s="6" t="s">
        <v>479</v>
      </c>
      <c r="C78" s="8" t="s">
        <v>480</v>
      </c>
      <c r="D78" s="8" t="s">
        <v>371</v>
      </c>
      <c r="E78" s="7" t="s">
        <v>481</v>
      </c>
      <c r="F78" s="7" t="s">
        <v>482</v>
      </c>
      <c r="G78" s="12" t="s">
        <v>33</v>
      </c>
      <c r="H78" s="51">
        <v>46031</v>
      </c>
      <c r="I78" s="49">
        <v>46042</v>
      </c>
      <c r="J78" s="8" t="s">
        <v>62</v>
      </c>
      <c r="K78" s="8" t="s">
        <v>86</v>
      </c>
      <c r="L78" s="9" t="s">
        <v>87</v>
      </c>
      <c r="M78" s="9" t="s">
        <v>63</v>
      </c>
      <c r="N78" s="9"/>
      <c r="O78" s="62"/>
      <c r="P78" s="9" t="str">
        <f t="shared" si="1"/>
        <v>ONAY</v>
      </c>
      <c r="Q78" s="10" t="s">
        <v>86</v>
      </c>
    </row>
    <row r="79" spans="1:17" ht="78.75" customHeight="1" x14ac:dyDescent="0.25">
      <c r="A79" s="5" t="s">
        <v>483</v>
      </c>
      <c r="B79" s="6" t="s">
        <v>484</v>
      </c>
      <c r="C79" s="8" t="s">
        <v>271</v>
      </c>
      <c r="D79" s="8" t="s">
        <v>208</v>
      </c>
      <c r="E79" s="7" t="s">
        <v>485</v>
      </c>
      <c r="F79" s="7" t="s">
        <v>486</v>
      </c>
      <c r="G79" s="12" t="s">
        <v>34</v>
      </c>
      <c r="H79" s="51">
        <v>46031</v>
      </c>
      <c r="I79" s="49">
        <v>46042</v>
      </c>
      <c r="J79" s="8" t="s">
        <v>86</v>
      </c>
      <c r="K79" s="8" t="s">
        <v>85</v>
      </c>
      <c r="L79" s="9" t="s">
        <v>63</v>
      </c>
      <c r="M79" s="9"/>
      <c r="N79" s="9"/>
      <c r="O79" s="62"/>
      <c r="P79" s="9" t="str">
        <f t="shared" si="1"/>
        <v>ONAY</v>
      </c>
    </row>
    <row r="80" spans="1:17" ht="94.5" customHeight="1" x14ac:dyDescent="0.25">
      <c r="A80" s="5" t="s">
        <v>487</v>
      </c>
      <c r="B80" s="6" t="s">
        <v>488</v>
      </c>
      <c r="C80" s="8" t="s">
        <v>489</v>
      </c>
      <c r="D80" s="8" t="s">
        <v>490</v>
      </c>
      <c r="E80" s="7" t="s">
        <v>491</v>
      </c>
      <c r="F80" s="7" t="s">
        <v>492</v>
      </c>
      <c r="G80" s="12" t="s">
        <v>36</v>
      </c>
      <c r="H80" s="51">
        <v>46031</v>
      </c>
      <c r="I80" s="49">
        <v>46042</v>
      </c>
      <c r="J80" s="8" t="s">
        <v>85</v>
      </c>
      <c r="K80" s="8" t="s">
        <v>70</v>
      </c>
      <c r="L80" s="9" t="s">
        <v>87</v>
      </c>
      <c r="M80" s="9" t="s">
        <v>63</v>
      </c>
      <c r="N80" s="9"/>
      <c r="O80" s="62"/>
      <c r="P80" s="9" t="str">
        <f t="shared" si="1"/>
        <v>ONAY</v>
      </c>
      <c r="Q80" s="10" t="s">
        <v>70</v>
      </c>
    </row>
    <row r="81" spans="1:17" ht="78.75" customHeight="1" x14ac:dyDescent="0.25">
      <c r="A81" s="5" t="s">
        <v>493</v>
      </c>
      <c r="B81" s="6" t="s">
        <v>494</v>
      </c>
      <c r="C81" s="8" t="s">
        <v>495</v>
      </c>
      <c r="D81" s="8" t="s">
        <v>208</v>
      </c>
      <c r="E81" s="7" t="s">
        <v>496</v>
      </c>
      <c r="F81" s="7" t="s">
        <v>497</v>
      </c>
      <c r="G81" s="12" t="s">
        <v>34</v>
      </c>
      <c r="H81" s="51">
        <v>46034</v>
      </c>
      <c r="I81" s="49">
        <v>46042</v>
      </c>
      <c r="J81" s="8" t="s">
        <v>95</v>
      </c>
      <c r="K81" s="8" t="s">
        <v>62</v>
      </c>
      <c r="L81" s="9" t="s">
        <v>87</v>
      </c>
      <c r="M81" s="9" t="s">
        <v>63</v>
      </c>
      <c r="N81" s="9"/>
      <c r="O81" s="62"/>
      <c r="P81" s="9" t="str">
        <f t="shared" si="1"/>
        <v>ONAY</v>
      </c>
      <c r="Q81" s="10" t="s">
        <v>95</v>
      </c>
    </row>
    <row r="82" spans="1:17" ht="63" customHeight="1" x14ac:dyDescent="0.25">
      <c r="A82" s="5" t="s">
        <v>498</v>
      </c>
      <c r="B82" s="6" t="s">
        <v>499</v>
      </c>
      <c r="C82" s="8" t="s">
        <v>500</v>
      </c>
      <c r="D82" s="8" t="s">
        <v>277</v>
      </c>
      <c r="E82" s="7" t="s">
        <v>501</v>
      </c>
      <c r="F82" s="7" t="s">
        <v>502</v>
      </c>
      <c r="G82" s="12" t="s">
        <v>33</v>
      </c>
      <c r="H82" s="51">
        <v>46034</v>
      </c>
      <c r="I82" s="49">
        <v>46042</v>
      </c>
      <c r="J82" s="8" t="s">
        <v>77</v>
      </c>
      <c r="K82" s="8" t="s">
        <v>102</v>
      </c>
      <c r="L82" s="9" t="s">
        <v>63</v>
      </c>
      <c r="M82" s="9"/>
      <c r="N82" s="9"/>
      <c r="O82" s="62"/>
      <c r="P82" s="9" t="str">
        <f t="shared" si="1"/>
        <v>ONAY</v>
      </c>
    </row>
    <row r="83" spans="1:17" ht="78.75" customHeight="1" x14ac:dyDescent="0.25">
      <c r="A83" s="5" t="s">
        <v>503</v>
      </c>
      <c r="B83" s="6" t="s">
        <v>504</v>
      </c>
      <c r="C83" s="8" t="s">
        <v>505</v>
      </c>
      <c r="D83" s="8" t="s">
        <v>350</v>
      </c>
      <c r="E83" s="7" t="s">
        <v>506</v>
      </c>
      <c r="F83" s="7" t="s">
        <v>507</v>
      </c>
      <c r="G83" s="12" t="s">
        <v>33</v>
      </c>
      <c r="H83" s="51">
        <v>46034</v>
      </c>
      <c r="I83" s="49">
        <v>46042</v>
      </c>
      <c r="J83" s="8" t="s">
        <v>94</v>
      </c>
      <c r="K83" s="8" t="s">
        <v>115</v>
      </c>
      <c r="L83" s="9" t="s">
        <v>87</v>
      </c>
      <c r="M83" s="9" t="s">
        <v>63</v>
      </c>
      <c r="N83" s="9"/>
      <c r="O83" s="62"/>
      <c r="P83" s="9" t="str">
        <f t="shared" si="1"/>
        <v>ONAY</v>
      </c>
      <c r="Q83" s="10" t="s">
        <v>94</v>
      </c>
    </row>
    <row r="84" spans="1:17" ht="63" customHeight="1" x14ac:dyDescent="0.25">
      <c r="A84" s="5" t="s">
        <v>508</v>
      </c>
      <c r="B84" s="6" t="s">
        <v>509</v>
      </c>
      <c r="C84" s="8" t="s">
        <v>510</v>
      </c>
      <c r="D84" s="8" t="s">
        <v>99</v>
      </c>
      <c r="E84" s="7" t="s">
        <v>511</v>
      </c>
      <c r="F84" s="7" t="s">
        <v>512</v>
      </c>
      <c r="G84" s="12" t="s">
        <v>33</v>
      </c>
      <c r="H84" s="51">
        <v>46034</v>
      </c>
      <c r="I84" s="49">
        <v>46042</v>
      </c>
      <c r="J84" s="8" t="s">
        <v>85</v>
      </c>
      <c r="K84" s="8" t="s">
        <v>102</v>
      </c>
      <c r="L84" s="9" t="s">
        <v>192</v>
      </c>
      <c r="M84" s="9" t="s">
        <v>63</v>
      </c>
      <c r="N84" s="9"/>
      <c r="O84" s="62"/>
      <c r="P84" s="9" t="str">
        <f t="shared" si="1"/>
        <v>ONAY</v>
      </c>
    </row>
    <row r="85" spans="1:17" ht="63" customHeight="1" x14ac:dyDescent="0.25">
      <c r="A85" s="5" t="s">
        <v>513</v>
      </c>
      <c r="B85" s="6" t="s">
        <v>514</v>
      </c>
      <c r="C85" s="8" t="s">
        <v>98</v>
      </c>
      <c r="D85" s="8" t="s">
        <v>99</v>
      </c>
      <c r="E85" s="7" t="s">
        <v>515</v>
      </c>
      <c r="F85" s="7" t="s">
        <v>516</v>
      </c>
      <c r="G85" s="12" t="s">
        <v>33</v>
      </c>
      <c r="H85" s="51">
        <v>46034</v>
      </c>
      <c r="I85" s="49">
        <v>46042</v>
      </c>
      <c r="J85" s="8" t="s">
        <v>115</v>
      </c>
      <c r="K85" s="8" t="s">
        <v>102</v>
      </c>
      <c r="L85" s="9" t="s">
        <v>192</v>
      </c>
      <c r="M85" s="9" t="s">
        <v>87</v>
      </c>
      <c r="N85" s="9"/>
      <c r="O85" s="62"/>
      <c r="P85" s="9" t="str">
        <f t="shared" si="1"/>
        <v>DÜZELTME</v>
      </c>
    </row>
    <row r="86" spans="1:17" ht="63" customHeight="1" x14ac:dyDescent="0.25">
      <c r="A86" s="5" t="s">
        <v>517</v>
      </c>
      <c r="B86" s="6" t="s">
        <v>518</v>
      </c>
      <c r="C86" s="8" t="s">
        <v>519</v>
      </c>
      <c r="D86" s="8" t="s">
        <v>99</v>
      </c>
      <c r="E86" s="7" t="s">
        <v>520</v>
      </c>
      <c r="F86" s="7" t="s">
        <v>521</v>
      </c>
      <c r="G86" s="12" t="s">
        <v>33</v>
      </c>
      <c r="H86" s="51">
        <v>46036</v>
      </c>
      <c r="I86" s="49">
        <v>46042</v>
      </c>
      <c r="J86" s="8" t="s">
        <v>95</v>
      </c>
      <c r="K86" s="8" t="s">
        <v>86</v>
      </c>
      <c r="L86" s="9" t="s">
        <v>63</v>
      </c>
      <c r="M86" s="9"/>
      <c r="N86" s="9"/>
      <c r="O86" s="62"/>
      <c r="P86" s="9" t="str">
        <f t="shared" si="1"/>
        <v>ONAY</v>
      </c>
    </row>
    <row r="87" spans="1:17" ht="78.75" customHeight="1" x14ac:dyDescent="0.25">
      <c r="A87" s="5" t="s">
        <v>522</v>
      </c>
      <c r="B87" s="6" t="s">
        <v>523</v>
      </c>
      <c r="C87" s="8" t="s">
        <v>524</v>
      </c>
      <c r="D87" s="8" t="s">
        <v>525</v>
      </c>
      <c r="E87" s="7" t="s">
        <v>526</v>
      </c>
      <c r="F87" s="7" t="s">
        <v>527</v>
      </c>
      <c r="G87" s="12" t="s">
        <v>34</v>
      </c>
      <c r="H87" s="51">
        <v>46036</v>
      </c>
      <c r="I87" s="49">
        <v>46042</v>
      </c>
      <c r="J87" s="8" t="s">
        <v>109</v>
      </c>
      <c r="K87" s="8" t="s">
        <v>70</v>
      </c>
      <c r="L87" s="9" t="s">
        <v>87</v>
      </c>
      <c r="M87" s="9" t="s">
        <v>63</v>
      </c>
      <c r="N87" s="9"/>
      <c r="O87" s="62"/>
      <c r="P87" s="9" t="str">
        <f t="shared" si="1"/>
        <v>ONAY</v>
      </c>
      <c r="Q87" s="10" t="s">
        <v>109</v>
      </c>
    </row>
    <row r="88" spans="1:17" ht="78.75" customHeight="1" x14ac:dyDescent="0.25">
      <c r="A88" s="5" t="s">
        <v>528</v>
      </c>
      <c r="B88" s="6" t="s">
        <v>529</v>
      </c>
      <c r="C88" s="8" t="s">
        <v>463</v>
      </c>
      <c r="D88" s="8" t="s">
        <v>208</v>
      </c>
      <c r="E88" s="7" t="s">
        <v>530</v>
      </c>
      <c r="F88" s="7" t="s">
        <v>531</v>
      </c>
      <c r="G88" s="12" t="s">
        <v>33</v>
      </c>
      <c r="H88" s="51">
        <v>46036</v>
      </c>
      <c r="I88" s="49">
        <v>46042</v>
      </c>
      <c r="J88" s="8" t="s">
        <v>102</v>
      </c>
      <c r="K88" s="8" t="s">
        <v>78</v>
      </c>
      <c r="L88" s="9" t="s">
        <v>63</v>
      </c>
      <c r="M88" s="9"/>
      <c r="N88" s="9"/>
      <c r="O88" s="62"/>
      <c r="P88" s="9" t="str">
        <f t="shared" si="1"/>
        <v>ONAY</v>
      </c>
    </row>
    <row r="89" spans="1:17" ht="63" customHeight="1" x14ac:dyDescent="0.25">
      <c r="A89" s="5" t="s">
        <v>532</v>
      </c>
      <c r="B89" s="6" t="s">
        <v>533</v>
      </c>
      <c r="C89" s="8" t="s">
        <v>534</v>
      </c>
      <c r="D89" s="8" t="s">
        <v>179</v>
      </c>
      <c r="E89" s="7" t="s">
        <v>535</v>
      </c>
      <c r="F89" s="7" t="s">
        <v>536</v>
      </c>
      <c r="G89" s="12" t="s">
        <v>33</v>
      </c>
      <c r="H89" s="51">
        <v>46036</v>
      </c>
      <c r="I89" s="49">
        <v>46042</v>
      </c>
      <c r="J89" s="8" t="s">
        <v>94</v>
      </c>
      <c r="K89" s="8" t="s">
        <v>95</v>
      </c>
      <c r="L89" s="9" t="s">
        <v>63</v>
      </c>
      <c r="M89" s="9"/>
      <c r="N89" s="9"/>
      <c r="O89" s="62"/>
      <c r="P89" s="9" t="str">
        <f t="shared" si="1"/>
        <v>ONAY</v>
      </c>
    </row>
    <row r="90" spans="1:17" ht="63" customHeight="1" x14ac:dyDescent="0.25">
      <c r="A90" s="5" t="s">
        <v>537</v>
      </c>
      <c r="B90" s="6" t="s">
        <v>538</v>
      </c>
      <c r="C90" s="8" t="s">
        <v>534</v>
      </c>
      <c r="D90" s="8" t="s">
        <v>179</v>
      </c>
      <c r="E90" s="7" t="s">
        <v>535</v>
      </c>
      <c r="F90" s="7" t="s">
        <v>539</v>
      </c>
      <c r="G90" s="12" t="s">
        <v>33</v>
      </c>
      <c r="H90" s="51">
        <v>46036</v>
      </c>
      <c r="I90" s="49">
        <v>46042</v>
      </c>
      <c r="J90" s="8" t="s">
        <v>78</v>
      </c>
      <c r="K90" s="8" t="s">
        <v>115</v>
      </c>
      <c r="L90" s="9" t="s">
        <v>63</v>
      </c>
      <c r="M90" s="9"/>
      <c r="N90" s="9"/>
      <c r="O90" s="62"/>
      <c r="P90" s="9" t="str">
        <f t="shared" si="1"/>
        <v>ONAY</v>
      </c>
    </row>
    <row r="91" spans="1:17" ht="78.75" customHeight="1" x14ac:dyDescent="0.25">
      <c r="A91" s="5" t="s">
        <v>540</v>
      </c>
      <c r="B91" s="6" t="s">
        <v>541</v>
      </c>
      <c r="C91" s="8" t="s">
        <v>365</v>
      </c>
      <c r="D91" s="8" t="s">
        <v>208</v>
      </c>
      <c r="E91" s="7" t="s">
        <v>542</v>
      </c>
      <c r="F91" s="7" t="s">
        <v>543</v>
      </c>
      <c r="G91" s="12" t="s">
        <v>33</v>
      </c>
      <c r="H91" s="51">
        <v>46036</v>
      </c>
      <c r="I91" s="49">
        <v>46042</v>
      </c>
      <c r="J91" s="8" t="s">
        <v>62</v>
      </c>
      <c r="K91" s="8" t="s">
        <v>85</v>
      </c>
      <c r="L91" s="9" t="s">
        <v>87</v>
      </c>
      <c r="M91" s="9" t="s">
        <v>63</v>
      </c>
      <c r="N91" s="9"/>
      <c r="O91" s="62"/>
      <c r="P91" s="9" t="str">
        <f t="shared" si="1"/>
        <v>ONAY</v>
      </c>
      <c r="Q91" s="10" t="s">
        <v>62</v>
      </c>
    </row>
    <row r="92" spans="1:17" ht="63" customHeight="1" x14ac:dyDescent="0.25">
      <c r="A92" s="5" t="s">
        <v>544</v>
      </c>
      <c r="B92" s="6" t="s">
        <v>545</v>
      </c>
      <c r="C92" s="8" t="s">
        <v>546</v>
      </c>
      <c r="D92" s="8" t="s">
        <v>99</v>
      </c>
      <c r="E92" s="7" t="s">
        <v>547</v>
      </c>
      <c r="F92" s="7" t="s">
        <v>548</v>
      </c>
      <c r="G92" s="12" t="s">
        <v>33</v>
      </c>
      <c r="H92" s="51">
        <v>46036</v>
      </c>
      <c r="I92" s="49">
        <v>46042</v>
      </c>
      <c r="J92" s="8" t="s">
        <v>86</v>
      </c>
      <c r="K92" s="8" t="s">
        <v>109</v>
      </c>
      <c r="L92" s="9" t="s">
        <v>63</v>
      </c>
      <c r="M92" s="9"/>
      <c r="N92" s="9"/>
      <c r="O92" s="62"/>
      <c r="P92" s="9" t="str">
        <f t="shared" si="1"/>
        <v>ONAY</v>
      </c>
    </row>
    <row r="93" spans="1:17" ht="63" customHeight="1" x14ac:dyDescent="0.25">
      <c r="A93" s="5" t="s">
        <v>549</v>
      </c>
      <c r="B93" s="6" t="s">
        <v>550</v>
      </c>
      <c r="C93" s="8" t="s">
        <v>178</v>
      </c>
      <c r="D93" s="8" t="s">
        <v>179</v>
      </c>
      <c r="E93" s="7" t="s">
        <v>551</v>
      </c>
      <c r="F93" s="7" t="s">
        <v>552</v>
      </c>
      <c r="G93" s="12" t="s">
        <v>33</v>
      </c>
      <c r="H93" s="51">
        <v>46036</v>
      </c>
      <c r="I93" s="49">
        <v>46042</v>
      </c>
      <c r="J93" s="8" t="s">
        <v>94</v>
      </c>
      <c r="K93" s="8" t="s">
        <v>102</v>
      </c>
      <c r="L93" s="9" t="s">
        <v>63</v>
      </c>
      <c r="M93" s="9"/>
      <c r="N93" s="9"/>
      <c r="O93" s="62"/>
      <c r="P93" s="9" t="str">
        <f t="shared" si="1"/>
        <v>ONAY</v>
      </c>
    </row>
    <row r="94" spans="1:17" ht="63" customHeight="1" x14ac:dyDescent="0.25">
      <c r="A94" s="5" t="s">
        <v>553</v>
      </c>
      <c r="B94" s="6" t="s">
        <v>554</v>
      </c>
      <c r="C94" s="8" t="s">
        <v>62</v>
      </c>
      <c r="D94" s="8" t="s">
        <v>208</v>
      </c>
      <c r="E94" s="7" t="s">
        <v>555</v>
      </c>
      <c r="F94" s="7" t="s">
        <v>556</v>
      </c>
      <c r="G94" s="12" t="s">
        <v>34</v>
      </c>
      <c r="H94" s="51">
        <v>46036</v>
      </c>
      <c r="I94" s="49">
        <v>46042</v>
      </c>
      <c r="J94" s="8" t="s">
        <v>95</v>
      </c>
      <c r="K94" s="8" t="s">
        <v>109</v>
      </c>
      <c r="L94" s="9" t="s">
        <v>63</v>
      </c>
      <c r="M94" s="9"/>
      <c r="N94" s="9"/>
      <c r="O94" s="62"/>
      <c r="P94" s="9" t="str">
        <f t="shared" si="1"/>
        <v>ONAY</v>
      </c>
    </row>
    <row r="95" spans="1:17" ht="78.75" customHeight="1" x14ac:dyDescent="0.25">
      <c r="A95" s="5" t="s">
        <v>557</v>
      </c>
      <c r="B95" s="6" t="s">
        <v>558</v>
      </c>
      <c r="C95" s="8" t="s">
        <v>559</v>
      </c>
      <c r="D95" s="8" t="s">
        <v>208</v>
      </c>
      <c r="E95" s="7" t="s">
        <v>560</v>
      </c>
      <c r="F95" s="7" t="s">
        <v>561</v>
      </c>
      <c r="G95" s="12" t="s">
        <v>34</v>
      </c>
      <c r="H95" s="51">
        <v>46036</v>
      </c>
      <c r="I95" s="49">
        <v>46042</v>
      </c>
      <c r="J95" s="8" t="s">
        <v>77</v>
      </c>
      <c r="K95" s="8" t="s">
        <v>62</v>
      </c>
      <c r="L95" s="9" t="s">
        <v>87</v>
      </c>
      <c r="M95" s="9" t="s">
        <v>63</v>
      </c>
      <c r="N95" s="9"/>
      <c r="O95" s="62"/>
      <c r="P95" s="9" t="str">
        <f t="shared" si="1"/>
        <v>ONAY</v>
      </c>
      <c r="Q95" s="10" t="s">
        <v>77</v>
      </c>
    </row>
    <row r="96" spans="1:17" ht="78.75" customHeight="1" x14ac:dyDescent="0.25">
      <c r="A96" s="5" t="s">
        <v>562</v>
      </c>
      <c r="B96" s="6" t="s">
        <v>563</v>
      </c>
      <c r="C96" s="8" t="s">
        <v>564</v>
      </c>
      <c r="D96" s="8" t="s">
        <v>99</v>
      </c>
      <c r="E96" s="7" t="s">
        <v>565</v>
      </c>
      <c r="F96" s="7" t="s">
        <v>566</v>
      </c>
      <c r="G96" s="12" t="s">
        <v>33</v>
      </c>
      <c r="H96" s="51">
        <v>46036</v>
      </c>
      <c r="I96" s="49">
        <v>46042</v>
      </c>
      <c r="J96" s="8" t="s">
        <v>85</v>
      </c>
      <c r="K96" s="8" t="s">
        <v>86</v>
      </c>
      <c r="L96" s="9" t="s">
        <v>63</v>
      </c>
      <c r="M96" s="9"/>
      <c r="N96" s="9"/>
      <c r="O96" s="62"/>
      <c r="P96" s="9" t="str">
        <f t="shared" si="1"/>
        <v>ONAY</v>
      </c>
    </row>
    <row r="97" spans="1:17" ht="47.25" customHeight="1" x14ac:dyDescent="0.25">
      <c r="A97" s="5" t="s">
        <v>567</v>
      </c>
      <c r="B97" s="6" t="s">
        <v>568</v>
      </c>
      <c r="C97" s="8" t="s">
        <v>569</v>
      </c>
      <c r="D97" s="8" t="s">
        <v>570</v>
      </c>
      <c r="E97" s="7" t="s">
        <v>571</v>
      </c>
      <c r="F97" s="7" t="s">
        <v>572</v>
      </c>
      <c r="G97" s="12" t="s">
        <v>36</v>
      </c>
      <c r="H97" s="51">
        <v>46037</v>
      </c>
      <c r="I97" s="49">
        <v>46042</v>
      </c>
      <c r="J97" s="8" t="s">
        <v>77</v>
      </c>
      <c r="K97" s="8" t="s">
        <v>85</v>
      </c>
      <c r="L97" s="9" t="s">
        <v>63</v>
      </c>
      <c r="M97" s="9"/>
      <c r="N97" s="9"/>
      <c r="O97" s="62"/>
      <c r="P97" s="9" t="str">
        <f t="shared" si="1"/>
        <v>ONAY</v>
      </c>
    </row>
    <row r="98" spans="1:17" ht="47.25" customHeight="1" x14ac:dyDescent="0.25">
      <c r="A98" s="5" t="s">
        <v>573</v>
      </c>
      <c r="B98" s="6" t="s">
        <v>574</v>
      </c>
      <c r="C98" s="8" t="s">
        <v>98</v>
      </c>
      <c r="D98" s="8" t="s">
        <v>99</v>
      </c>
      <c r="E98" s="7" t="s">
        <v>575</v>
      </c>
      <c r="F98" s="7" t="s">
        <v>576</v>
      </c>
      <c r="G98" s="12" t="s">
        <v>33</v>
      </c>
      <c r="H98" s="51">
        <v>46037</v>
      </c>
      <c r="I98" s="49">
        <v>46042</v>
      </c>
      <c r="J98" s="8" t="s">
        <v>115</v>
      </c>
      <c r="K98" s="8" t="s">
        <v>70</v>
      </c>
      <c r="L98" s="9" t="s">
        <v>63</v>
      </c>
      <c r="M98" s="9"/>
      <c r="N98" s="9"/>
      <c r="O98" s="62"/>
      <c r="P98" s="9" t="str">
        <f t="shared" si="1"/>
        <v>ONAY</v>
      </c>
    </row>
    <row r="99" spans="1:17" ht="47.25" customHeight="1" x14ac:dyDescent="0.25">
      <c r="A99" s="5" t="s">
        <v>577</v>
      </c>
      <c r="B99" s="6" t="s">
        <v>578</v>
      </c>
      <c r="C99" s="8" t="s">
        <v>98</v>
      </c>
      <c r="D99" s="8" t="s">
        <v>99</v>
      </c>
      <c r="E99" s="7" t="s">
        <v>575</v>
      </c>
      <c r="F99" s="7" t="s">
        <v>579</v>
      </c>
      <c r="G99" s="12" t="s">
        <v>33</v>
      </c>
      <c r="H99" s="51">
        <v>46037</v>
      </c>
      <c r="I99" s="49">
        <v>46042</v>
      </c>
      <c r="J99" s="8" t="s">
        <v>115</v>
      </c>
      <c r="K99" s="8" t="s">
        <v>70</v>
      </c>
      <c r="L99" s="9" t="s">
        <v>63</v>
      </c>
      <c r="M99" s="9"/>
      <c r="N99" s="9"/>
      <c r="O99" s="62"/>
      <c r="P99" s="9" t="str">
        <f t="shared" si="1"/>
        <v>ONAY</v>
      </c>
    </row>
    <row r="100" spans="1:17" ht="63" customHeight="1" x14ac:dyDescent="0.25">
      <c r="A100" s="5" t="s">
        <v>580</v>
      </c>
      <c r="B100" s="6" t="s">
        <v>581</v>
      </c>
      <c r="C100" s="8" t="s">
        <v>569</v>
      </c>
      <c r="D100" s="8" t="s">
        <v>570</v>
      </c>
      <c r="E100" s="7" t="s">
        <v>582</v>
      </c>
      <c r="F100" s="7" t="s">
        <v>583</v>
      </c>
      <c r="G100" s="12" t="s">
        <v>36</v>
      </c>
      <c r="H100" s="51">
        <v>46037</v>
      </c>
      <c r="I100" s="49">
        <v>46042</v>
      </c>
      <c r="J100" s="8" t="s">
        <v>77</v>
      </c>
      <c r="K100" s="8" t="s">
        <v>78</v>
      </c>
      <c r="L100" s="9" t="s">
        <v>63</v>
      </c>
      <c r="M100" s="9"/>
      <c r="N100" s="9"/>
      <c r="O100" s="62"/>
      <c r="P100" s="9" t="str">
        <f t="shared" si="1"/>
        <v>ONAY</v>
      </c>
    </row>
    <row r="101" spans="1:17" ht="78.75" customHeight="1" x14ac:dyDescent="0.25">
      <c r="A101" s="5" t="s">
        <v>584</v>
      </c>
      <c r="B101" s="6" t="s">
        <v>585</v>
      </c>
      <c r="C101" s="8" t="s">
        <v>463</v>
      </c>
      <c r="D101" s="8" t="s">
        <v>208</v>
      </c>
      <c r="E101" s="7" t="s">
        <v>586</v>
      </c>
      <c r="F101" s="7" t="s">
        <v>587</v>
      </c>
      <c r="G101" s="12" t="s">
        <v>33</v>
      </c>
      <c r="H101" s="51">
        <v>46037</v>
      </c>
      <c r="I101" s="49">
        <v>46042</v>
      </c>
      <c r="J101" s="8" t="s">
        <v>61</v>
      </c>
      <c r="K101" s="8" t="s">
        <v>77</v>
      </c>
      <c r="L101" s="9" t="s">
        <v>63</v>
      </c>
      <c r="M101" s="9"/>
      <c r="N101" s="9"/>
      <c r="O101" s="62"/>
      <c r="P101" s="9" t="str">
        <f t="shared" si="1"/>
        <v>ONAY</v>
      </c>
    </row>
    <row r="102" spans="1:17" ht="79.5" customHeight="1" x14ac:dyDescent="0.25">
      <c r="A102" s="5" t="s">
        <v>588</v>
      </c>
      <c r="B102" s="6" t="s">
        <v>589</v>
      </c>
      <c r="C102" s="8" t="s">
        <v>590</v>
      </c>
      <c r="D102" s="8" t="s">
        <v>201</v>
      </c>
      <c r="E102" s="7" t="s">
        <v>591</v>
      </c>
      <c r="F102" s="7" t="s">
        <v>592</v>
      </c>
      <c r="G102" s="12" t="s">
        <v>34</v>
      </c>
      <c r="H102" s="51">
        <v>46044</v>
      </c>
      <c r="I102" s="49">
        <v>46057</v>
      </c>
      <c r="J102" s="8" t="s">
        <v>109</v>
      </c>
      <c r="K102" s="8" t="s">
        <v>70</v>
      </c>
      <c r="L102" s="9" t="s">
        <v>63</v>
      </c>
      <c r="M102" s="9"/>
      <c r="N102" s="9"/>
      <c r="O102" s="62"/>
      <c r="P102" s="9" t="str">
        <f t="shared" si="1"/>
        <v>ONAY</v>
      </c>
    </row>
    <row r="103" spans="1:17" ht="94.5" customHeight="1" x14ac:dyDescent="0.25">
      <c r="A103" s="5" t="s">
        <v>593</v>
      </c>
      <c r="B103" s="6" t="s">
        <v>594</v>
      </c>
      <c r="C103" s="8" t="s">
        <v>595</v>
      </c>
      <c r="D103" s="8" t="s">
        <v>149</v>
      </c>
      <c r="E103" s="7" t="s">
        <v>596</v>
      </c>
      <c r="F103" s="7" t="s">
        <v>597</v>
      </c>
      <c r="G103" s="12" t="s">
        <v>33</v>
      </c>
      <c r="H103" s="51">
        <v>46044</v>
      </c>
      <c r="I103" s="49">
        <v>46057</v>
      </c>
      <c r="J103" s="8" t="s">
        <v>115</v>
      </c>
      <c r="K103" s="8" t="s">
        <v>95</v>
      </c>
      <c r="L103" s="9" t="s">
        <v>87</v>
      </c>
      <c r="M103" s="9" t="s">
        <v>63</v>
      </c>
      <c r="N103" s="9"/>
      <c r="O103" s="62"/>
      <c r="P103" s="9" t="str">
        <f t="shared" si="1"/>
        <v>ONAY</v>
      </c>
      <c r="Q103" s="10" t="s">
        <v>115</v>
      </c>
    </row>
    <row r="104" spans="1:17" ht="63" customHeight="1" x14ac:dyDescent="0.25">
      <c r="A104" s="5" t="s">
        <v>598</v>
      </c>
      <c r="B104" s="6" t="s">
        <v>599</v>
      </c>
      <c r="C104" s="8" t="s">
        <v>86</v>
      </c>
      <c r="D104" s="8" t="s">
        <v>119</v>
      </c>
      <c r="E104" s="7" t="s">
        <v>600</v>
      </c>
      <c r="F104" s="7" t="s">
        <v>601</v>
      </c>
      <c r="G104" s="12" t="s">
        <v>34</v>
      </c>
      <c r="H104" s="51">
        <v>46044</v>
      </c>
      <c r="I104" s="49">
        <v>46057</v>
      </c>
      <c r="J104" s="8" t="s">
        <v>77</v>
      </c>
      <c r="K104" s="8" t="s">
        <v>62</v>
      </c>
      <c r="L104" s="9" t="s">
        <v>63</v>
      </c>
      <c r="M104" s="9"/>
      <c r="N104" s="9"/>
      <c r="O104" s="62"/>
      <c r="P104" s="9" t="str">
        <f t="shared" si="1"/>
        <v>ONAY</v>
      </c>
    </row>
    <row r="105" spans="1:17" ht="97.5" customHeight="1" x14ac:dyDescent="0.25">
      <c r="A105" s="5" t="s">
        <v>602</v>
      </c>
      <c r="B105" s="6" t="s">
        <v>603</v>
      </c>
      <c r="C105" s="8" t="s">
        <v>604</v>
      </c>
      <c r="D105" s="8" t="s">
        <v>99</v>
      </c>
      <c r="E105" s="7" t="s">
        <v>605</v>
      </c>
      <c r="F105" s="7" t="s">
        <v>606</v>
      </c>
      <c r="G105" s="12" t="s">
        <v>33</v>
      </c>
      <c r="H105" s="51">
        <v>46044</v>
      </c>
      <c r="I105" s="49">
        <v>46057</v>
      </c>
      <c r="J105" s="8" t="s">
        <v>95</v>
      </c>
      <c r="K105" s="8" t="s">
        <v>70</v>
      </c>
      <c r="L105" s="9" t="s">
        <v>63</v>
      </c>
      <c r="M105" s="9"/>
      <c r="N105" s="9"/>
      <c r="O105" s="62"/>
      <c r="P105" s="9" t="str">
        <f t="shared" si="1"/>
        <v>ONAY</v>
      </c>
    </row>
    <row r="106" spans="1:17" ht="78.75" customHeight="1" x14ac:dyDescent="0.25">
      <c r="A106" s="5" t="s">
        <v>607</v>
      </c>
      <c r="B106" s="6" t="s">
        <v>608</v>
      </c>
      <c r="C106" s="8" t="s">
        <v>609</v>
      </c>
      <c r="D106" s="8" t="s">
        <v>155</v>
      </c>
      <c r="E106" s="7" t="s">
        <v>610</v>
      </c>
      <c r="F106" s="7" t="s">
        <v>611</v>
      </c>
      <c r="G106" s="12" t="s">
        <v>33</v>
      </c>
      <c r="H106" s="51">
        <v>46044</v>
      </c>
      <c r="I106" s="49">
        <v>46057</v>
      </c>
      <c r="J106" s="8" t="s">
        <v>95</v>
      </c>
      <c r="K106" s="8" t="s">
        <v>61</v>
      </c>
      <c r="L106" s="9" t="s">
        <v>63</v>
      </c>
      <c r="M106" s="9"/>
      <c r="N106" s="9"/>
      <c r="O106" s="62"/>
      <c r="P106" s="9" t="str">
        <f t="shared" si="1"/>
        <v>ONAY</v>
      </c>
    </row>
    <row r="107" spans="1:17" ht="63" customHeight="1" x14ac:dyDescent="0.25">
      <c r="A107" s="5" t="s">
        <v>612</v>
      </c>
      <c r="B107" s="6" t="s">
        <v>613</v>
      </c>
      <c r="C107" s="8" t="s">
        <v>614</v>
      </c>
      <c r="D107" s="8" t="s">
        <v>214</v>
      </c>
      <c r="E107" s="7" t="s">
        <v>615</v>
      </c>
      <c r="F107" s="7" t="s">
        <v>616</v>
      </c>
      <c r="G107" s="12" t="s">
        <v>33</v>
      </c>
      <c r="H107" s="51">
        <v>46044</v>
      </c>
      <c r="I107" s="49">
        <v>46057</v>
      </c>
      <c r="J107" s="8" t="s">
        <v>86</v>
      </c>
      <c r="K107" s="8" t="s">
        <v>115</v>
      </c>
      <c r="L107" s="9" t="s">
        <v>63</v>
      </c>
      <c r="M107" s="9"/>
      <c r="N107" s="9"/>
      <c r="O107" s="62"/>
      <c r="P107" s="9" t="str">
        <f t="shared" si="1"/>
        <v>ONAY</v>
      </c>
    </row>
    <row r="108" spans="1:17" ht="110.25" customHeight="1" x14ac:dyDescent="0.25">
      <c r="A108" s="5" t="s">
        <v>617</v>
      </c>
      <c r="B108" s="6" t="s">
        <v>618</v>
      </c>
      <c r="C108" s="8" t="s">
        <v>619</v>
      </c>
      <c r="D108" s="8" t="s">
        <v>214</v>
      </c>
      <c r="E108" s="7" t="s">
        <v>620</v>
      </c>
      <c r="F108" s="7" t="s">
        <v>621</v>
      </c>
      <c r="G108" s="12" t="s">
        <v>33</v>
      </c>
      <c r="H108" s="51">
        <v>46044</v>
      </c>
      <c r="I108" s="49">
        <v>46057</v>
      </c>
      <c r="J108" s="8" t="s">
        <v>61</v>
      </c>
      <c r="K108" s="8" t="s">
        <v>62</v>
      </c>
      <c r="L108" s="9" t="s">
        <v>87</v>
      </c>
      <c r="M108" s="9" t="s">
        <v>63</v>
      </c>
      <c r="N108" s="9"/>
      <c r="O108" s="62"/>
      <c r="P108" s="9" t="str">
        <f t="shared" si="1"/>
        <v>ONAY</v>
      </c>
      <c r="Q108" s="10" t="s">
        <v>61</v>
      </c>
    </row>
    <row r="109" spans="1:17" ht="78.75" customHeight="1" x14ac:dyDescent="0.25">
      <c r="A109" s="5" t="s">
        <v>622</v>
      </c>
      <c r="B109" s="6" t="s">
        <v>623</v>
      </c>
      <c r="C109" s="8" t="s">
        <v>624</v>
      </c>
      <c r="D109" s="8" t="s">
        <v>470</v>
      </c>
      <c r="E109" s="7" t="s">
        <v>625</v>
      </c>
      <c r="F109" s="7" t="s">
        <v>626</v>
      </c>
      <c r="G109" s="12" t="s">
        <v>33</v>
      </c>
      <c r="H109" s="51">
        <v>46044</v>
      </c>
      <c r="I109" s="49">
        <v>46057</v>
      </c>
      <c r="J109" s="8" t="s">
        <v>109</v>
      </c>
      <c r="K109" s="8" t="s">
        <v>86</v>
      </c>
      <c r="L109" s="9" t="s">
        <v>63</v>
      </c>
      <c r="M109" s="9"/>
      <c r="N109" s="9"/>
      <c r="O109" s="62"/>
      <c r="P109" s="9" t="str">
        <f t="shared" si="1"/>
        <v>ONAY</v>
      </c>
    </row>
    <row r="110" spans="1:17" ht="78.75" customHeight="1" x14ac:dyDescent="0.25">
      <c r="A110" s="5" t="s">
        <v>627</v>
      </c>
      <c r="B110" s="6" t="s">
        <v>628</v>
      </c>
      <c r="C110" s="8" t="s">
        <v>629</v>
      </c>
      <c r="D110" s="8" t="s">
        <v>208</v>
      </c>
      <c r="E110" s="7" t="s">
        <v>630</v>
      </c>
      <c r="F110" s="7" t="s">
        <v>631</v>
      </c>
      <c r="G110" s="12" t="s">
        <v>33</v>
      </c>
      <c r="H110" s="51">
        <v>46044</v>
      </c>
      <c r="I110" s="49">
        <v>46057</v>
      </c>
      <c r="J110" s="8" t="s">
        <v>62</v>
      </c>
      <c r="K110" s="8" t="s">
        <v>70</v>
      </c>
      <c r="L110" s="9" t="s">
        <v>63</v>
      </c>
      <c r="M110" s="9"/>
      <c r="N110" s="9"/>
      <c r="O110" s="62"/>
      <c r="P110" s="9" t="str">
        <f t="shared" si="1"/>
        <v>ONAY</v>
      </c>
    </row>
    <row r="111" spans="1:17" ht="81.75" customHeight="1" x14ac:dyDescent="0.25">
      <c r="A111" s="5" t="s">
        <v>632</v>
      </c>
      <c r="B111" s="6" t="s">
        <v>633</v>
      </c>
      <c r="C111" s="8" t="s">
        <v>382</v>
      </c>
      <c r="D111" s="8" t="s">
        <v>383</v>
      </c>
      <c r="E111" s="7" t="s">
        <v>634</v>
      </c>
      <c r="F111" s="7" t="s">
        <v>635</v>
      </c>
      <c r="G111" s="12" t="s">
        <v>33</v>
      </c>
      <c r="H111" s="51">
        <v>46044</v>
      </c>
      <c r="I111" s="49">
        <v>46057</v>
      </c>
      <c r="J111" s="8" t="s">
        <v>70</v>
      </c>
      <c r="K111" s="8" t="s">
        <v>109</v>
      </c>
      <c r="L111" s="9" t="s">
        <v>63</v>
      </c>
      <c r="M111" s="9"/>
      <c r="N111" s="9"/>
      <c r="O111" s="62"/>
      <c r="P111" s="9" t="str">
        <f t="shared" si="1"/>
        <v>ONAY</v>
      </c>
    </row>
    <row r="112" spans="1:17" ht="94.5" customHeight="1" x14ac:dyDescent="0.25">
      <c r="A112" s="5" t="s">
        <v>636</v>
      </c>
      <c r="B112" s="6" t="s">
        <v>637</v>
      </c>
      <c r="C112" s="8" t="s">
        <v>638</v>
      </c>
      <c r="D112" s="8" t="s">
        <v>350</v>
      </c>
      <c r="E112" s="7" t="s">
        <v>639</v>
      </c>
      <c r="F112" s="7" t="s">
        <v>640</v>
      </c>
      <c r="G112" s="12" t="s">
        <v>33</v>
      </c>
      <c r="H112" s="51">
        <v>46044</v>
      </c>
      <c r="I112" s="49">
        <v>46057</v>
      </c>
      <c r="J112" s="8" t="s">
        <v>62</v>
      </c>
      <c r="K112" s="8" t="s">
        <v>86</v>
      </c>
      <c r="L112" s="9" t="s">
        <v>87</v>
      </c>
      <c r="M112" s="9"/>
      <c r="N112" s="9"/>
      <c r="O112" s="62"/>
      <c r="P112" s="9" t="str">
        <f t="shared" si="1"/>
        <v>DÜZELTME</v>
      </c>
    </row>
    <row r="113" spans="1:17" ht="63" customHeight="1" x14ac:dyDescent="0.25">
      <c r="A113" s="5" t="s">
        <v>641</v>
      </c>
      <c r="B113" s="6" t="s">
        <v>642</v>
      </c>
      <c r="C113" s="8" t="s">
        <v>643</v>
      </c>
      <c r="D113" s="8" t="s">
        <v>283</v>
      </c>
      <c r="E113" s="7" t="s">
        <v>644</v>
      </c>
      <c r="F113" s="7" t="s">
        <v>645</v>
      </c>
      <c r="G113" s="12" t="s">
        <v>33</v>
      </c>
      <c r="H113" s="51">
        <v>46044</v>
      </c>
      <c r="I113" s="49">
        <v>46057</v>
      </c>
      <c r="J113" s="8" t="s">
        <v>109</v>
      </c>
      <c r="K113" s="8" t="s">
        <v>115</v>
      </c>
      <c r="L113" s="9" t="s">
        <v>63</v>
      </c>
      <c r="M113" s="9"/>
      <c r="N113" s="9"/>
      <c r="O113" s="62"/>
      <c r="P113" s="9" t="str">
        <f t="shared" si="1"/>
        <v>ONAY</v>
      </c>
    </row>
    <row r="114" spans="1:17" ht="78.75" customHeight="1" x14ac:dyDescent="0.25">
      <c r="A114" s="5" t="s">
        <v>646</v>
      </c>
      <c r="B114" s="6" t="s">
        <v>647</v>
      </c>
      <c r="C114" s="8" t="s">
        <v>102</v>
      </c>
      <c r="D114" s="8" t="s">
        <v>648</v>
      </c>
      <c r="E114" s="7" t="s">
        <v>649</v>
      </c>
      <c r="F114" s="7" t="s">
        <v>650</v>
      </c>
      <c r="G114" s="12" t="s">
        <v>36</v>
      </c>
      <c r="H114" s="51">
        <v>46044</v>
      </c>
      <c r="I114" s="49">
        <v>46057</v>
      </c>
      <c r="J114" s="8" t="s">
        <v>61</v>
      </c>
      <c r="K114" s="8" t="s">
        <v>115</v>
      </c>
      <c r="L114" s="9" t="s">
        <v>87</v>
      </c>
      <c r="M114" s="9" t="s">
        <v>63</v>
      </c>
      <c r="N114" s="9"/>
      <c r="O114" s="62"/>
      <c r="P114" s="9" t="str">
        <f t="shared" si="1"/>
        <v>ONAY</v>
      </c>
      <c r="Q114" s="10" t="s">
        <v>61</v>
      </c>
    </row>
    <row r="115" spans="1:17" ht="110.25" customHeight="1" x14ac:dyDescent="0.25">
      <c r="A115" s="5" t="s">
        <v>651</v>
      </c>
      <c r="B115" s="6" t="s">
        <v>652</v>
      </c>
      <c r="C115" s="8" t="s">
        <v>246</v>
      </c>
      <c r="D115" s="8" t="s">
        <v>155</v>
      </c>
      <c r="E115" s="7" t="s">
        <v>653</v>
      </c>
      <c r="F115" s="7" t="s">
        <v>654</v>
      </c>
      <c r="G115" s="12" t="s">
        <v>33</v>
      </c>
      <c r="H115" s="51">
        <v>46044</v>
      </c>
      <c r="I115" s="49">
        <v>46057</v>
      </c>
      <c r="J115" s="8" t="s">
        <v>77</v>
      </c>
      <c r="K115" s="8" t="s">
        <v>86</v>
      </c>
      <c r="L115" s="9" t="s">
        <v>63</v>
      </c>
      <c r="M115" s="9"/>
      <c r="N115" s="9"/>
      <c r="O115" s="62"/>
      <c r="P115" s="9" t="str">
        <f t="shared" si="1"/>
        <v>ONAY</v>
      </c>
    </row>
    <row r="116" spans="1:17" ht="63" customHeight="1" x14ac:dyDescent="0.25">
      <c r="A116" s="5" t="s">
        <v>655</v>
      </c>
      <c r="B116" s="6" t="s">
        <v>656</v>
      </c>
      <c r="C116" s="8" t="s">
        <v>657</v>
      </c>
      <c r="D116" s="8" t="s">
        <v>333</v>
      </c>
      <c r="E116" s="7" t="s">
        <v>658</v>
      </c>
      <c r="F116" s="7" t="s">
        <v>659</v>
      </c>
      <c r="G116" s="12" t="s">
        <v>34</v>
      </c>
      <c r="H116" s="51">
        <v>46044</v>
      </c>
      <c r="I116" s="49">
        <v>46057</v>
      </c>
      <c r="J116" s="8" t="s">
        <v>77</v>
      </c>
      <c r="K116" s="8" t="s">
        <v>95</v>
      </c>
      <c r="L116" s="9" t="s">
        <v>87</v>
      </c>
      <c r="M116" s="9"/>
      <c r="N116" s="9"/>
      <c r="O116" s="62"/>
      <c r="P116" s="9" t="str">
        <f t="shared" si="1"/>
        <v>DÜZELTME</v>
      </c>
    </row>
    <row r="117" spans="1:17" ht="78.75" customHeight="1" x14ac:dyDescent="0.25">
      <c r="A117" s="5" t="s">
        <v>660</v>
      </c>
      <c r="B117" s="6" t="s">
        <v>661</v>
      </c>
      <c r="C117" s="8" t="s">
        <v>662</v>
      </c>
      <c r="D117" s="8" t="s">
        <v>256</v>
      </c>
      <c r="E117" s="7" t="s">
        <v>663</v>
      </c>
      <c r="F117" s="7" t="s">
        <v>664</v>
      </c>
      <c r="G117" s="12" t="s">
        <v>36</v>
      </c>
      <c r="H117" s="51">
        <v>46044</v>
      </c>
      <c r="I117" s="49">
        <v>46057</v>
      </c>
      <c r="J117" s="8" t="s">
        <v>61</v>
      </c>
      <c r="K117" s="8" t="s">
        <v>86</v>
      </c>
      <c r="L117" s="9" t="s">
        <v>63</v>
      </c>
      <c r="M117" s="9"/>
      <c r="N117" s="9"/>
      <c r="O117" s="62"/>
      <c r="P117" s="9" t="str">
        <f t="shared" si="1"/>
        <v>ONAY</v>
      </c>
    </row>
    <row r="118" spans="1:17" ht="63" customHeight="1" x14ac:dyDescent="0.25">
      <c r="A118" s="5" t="s">
        <v>665</v>
      </c>
      <c r="B118" s="6" t="s">
        <v>666</v>
      </c>
      <c r="C118" s="8" t="s">
        <v>667</v>
      </c>
      <c r="D118" s="8" t="s">
        <v>99</v>
      </c>
      <c r="E118" s="7" t="s">
        <v>668</v>
      </c>
      <c r="F118" s="7" t="s">
        <v>669</v>
      </c>
      <c r="G118" s="12" t="s">
        <v>33</v>
      </c>
      <c r="H118" s="51">
        <v>46044</v>
      </c>
      <c r="I118" s="49">
        <v>46057</v>
      </c>
      <c r="J118" s="8" t="s">
        <v>95</v>
      </c>
      <c r="K118" s="8" t="s">
        <v>115</v>
      </c>
      <c r="L118" s="9" t="s">
        <v>87</v>
      </c>
      <c r="M118" s="9" t="s">
        <v>63</v>
      </c>
      <c r="N118" s="9"/>
      <c r="O118" s="62"/>
      <c r="P118" s="9" t="str">
        <f t="shared" si="1"/>
        <v>ONAY</v>
      </c>
      <c r="Q118" s="10" t="s">
        <v>115</v>
      </c>
    </row>
    <row r="119" spans="1:17" ht="94.5" customHeight="1" x14ac:dyDescent="0.25">
      <c r="A119" s="5" t="s">
        <v>670</v>
      </c>
      <c r="B119" s="6" t="s">
        <v>671</v>
      </c>
      <c r="C119" s="8" t="s">
        <v>672</v>
      </c>
      <c r="D119" s="8" t="s">
        <v>673</v>
      </c>
      <c r="E119" s="7" t="s">
        <v>674</v>
      </c>
      <c r="F119" s="7" t="s">
        <v>675</v>
      </c>
      <c r="G119" s="12" t="s">
        <v>33</v>
      </c>
      <c r="H119" s="51">
        <v>46045</v>
      </c>
      <c r="I119" s="49">
        <v>46057</v>
      </c>
      <c r="J119" s="8" t="s">
        <v>61</v>
      </c>
      <c r="K119" s="8" t="s">
        <v>77</v>
      </c>
      <c r="L119" s="9" t="s">
        <v>87</v>
      </c>
      <c r="M119" s="9" t="s">
        <v>63</v>
      </c>
      <c r="N119" s="9"/>
      <c r="O119" s="62"/>
      <c r="P119" s="9" t="str">
        <f t="shared" si="1"/>
        <v>ONAY</v>
      </c>
      <c r="Q119" s="10" t="s">
        <v>77</v>
      </c>
    </row>
    <row r="120" spans="1:17" ht="63" customHeight="1" x14ac:dyDescent="0.25">
      <c r="A120" s="5" t="s">
        <v>676</v>
      </c>
      <c r="B120" s="6" t="s">
        <v>677</v>
      </c>
      <c r="C120" s="8" t="s">
        <v>678</v>
      </c>
      <c r="D120" s="8" t="s">
        <v>256</v>
      </c>
      <c r="E120" s="7" t="s">
        <v>679</v>
      </c>
      <c r="F120" s="7" t="s">
        <v>680</v>
      </c>
      <c r="G120" s="12" t="s">
        <v>33</v>
      </c>
      <c r="H120" s="51">
        <v>46045</v>
      </c>
      <c r="I120" s="49">
        <v>46057</v>
      </c>
      <c r="J120" s="8" t="s">
        <v>61</v>
      </c>
      <c r="K120" s="8" t="s">
        <v>109</v>
      </c>
      <c r="L120" s="9" t="s">
        <v>87</v>
      </c>
      <c r="M120" s="9"/>
      <c r="N120" s="9"/>
      <c r="O120" s="62"/>
      <c r="P120" s="9" t="str">
        <f t="shared" si="1"/>
        <v>DÜZELTME</v>
      </c>
    </row>
    <row r="121" spans="1:17" ht="94.5" customHeight="1" x14ac:dyDescent="0.25">
      <c r="A121" s="5" t="s">
        <v>681</v>
      </c>
      <c r="B121" s="6" t="s">
        <v>682</v>
      </c>
      <c r="C121" s="8" t="s">
        <v>683</v>
      </c>
      <c r="D121" s="8" t="s">
        <v>684</v>
      </c>
      <c r="E121" s="7" t="s">
        <v>685</v>
      </c>
      <c r="F121" s="7" t="s">
        <v>686</v>
      </c>
      <c r="G121" s="12" t="s">
        <v>33</v>
      </c>
      <c r="H121" s="51">
        <v>46045</v>
      </c>
      <c r="I121" s="49">
        <v>46057</v>
      </c>
      <c r="J121" s="8" t="s">
        <v>61</v>
      </c>
      <c r="K121" s="8" t="s">
        <v>62</v>
      </c>
      <c r="L121" s="9" t="s">
        <v>87</v>
      </c>
      <c r="M121" s="9" t="s">
        <v>63</v>
      </c>
      <c r="N121" s="9"/>
      <c r="O121" s="62"/>
      <c r="P121" s="9" t="str">
        <f t="shared" si="1"/>
        <v>ONAY</v>
      </c>
      <c r="Q121" s="10" t="s">
        <v>61</v>
      </c>
    </row>
    <row r="122" spans="1:17" ht="78.75" customHeight="1" x14ac:dyDescent="0.25">
      <c r="A122" s="5" t="s">
        <v>687</v>
      </c>
      <c r="B122" s="6" t="s">
        <v>688</v>
      </c>
      <c r="C122" s="8" t="s">
        <v>102</v>
      </c>
      <c r="D122" s="8" t="s">
        <v>648</v>
      </c>
      <c r="E122" s="7" t="s">
        <v>689</v>
      </c>
      <c r="F122" s="7" t="s">
        <v>690</v>
      </c>
      <c r="G122" s="12" t="s">
        <v>33</v>
      </c>
      <c r="H122" s="51">
        <v>46045</v>
      </c>
      <c r="I122" s="49">
        <v>46057</v>
      </c>
      <c r="J122" s="8" t="s">
        <v>61</v>
      </c>
      <c r="K122" s="8" t="s">
        <v>109</v>
      </c>
      <c r="L122" s="9" t="s">
        <v>87</v>
      </c>
      <c r="M122" s="9" t="s">
        <v>63</v>
      </c>
      <c r="N122" s="9"/>
      <c r="O122" s="62"/>
      <c r="P122" s="9" t="str">
        <f t="shared" si="1"/>
        <v>ONAY</v>
      </c>
      <c r="Q122" s="10" t="s">
        <v>61</v>
      </c>
    </row>
    <row r="123" spans="1:17" ht="65.25" customHeight="1" x14ac:dyDescent="0.25">
      <c r="A123" s="5" t="s">
        <v>691</v>
      </c>
      <c r="B123" s="6" t="s">
        <v>692</v>
      </c>
      <c r="C123" s="8" t="s">
        <v>425</v>
      </c>
      <c r="D123" s="8" t="s">
        <v>173</v>
      </c>
      <c r="E123" s="7" t="s">
        <v>693</v>
      </c>
      <c r="F123" s="7" t="s">
        <v>694</v>
      </c>
      <c r="G123" s="12" t="s">
        <v>33</v>
      </c>
      <c r="H123" s="51">
        <v>46045</v>
      </c>
      <c r="I123" s="49">
        <v>46057</v>
      </c>
      <c r="J123" s="8" t="s">
        <v>95</v>
      </c>
      <c r="K123" s="8" t="s">
        <v>70</v>
      </c>
      <c r="L123" s="9" t="s">
        <v>87</v>
      </c>
      <c r="M123" s="9" t="s">
        <v>63</v>
      </c>
      <c r="N123" s="9"/>
      <c r="O123" s="62"/>
      <c r="P123" s="9" t="str">
        <f t="shared" si="1"/>
        <v>ONAY</v>
      </c>
      <c r="Q123" s="10" t="s">
        <v>95</v>
      </c>
    </row>
    <row r="124" spans="1:17" ht="78.75" customHeight="1" x14ac:dyDescent="0.25">
      <c r="A124" s="5" t="s">
        <v>695</v>
      </c>
      <c r="B124" s="6" t="s">
        <v>696</v>
      </c>
      <c r="C124" s="8" t="s">
        <v>697</v>
      </c>
      <c r="D124" s="8" t="s">
        <v>99</v>
      </c>
      <c r="E124" s="7" t="s">
        <v>698</v>
      </c>
      <c r="F124" s="7" t="s">
        <v>699</v>
      </c>
      <c r="G124" s="12" t="s">
        <v>33</v>
      </c>
      <c r="H124" s="51">
        <v>46045</v>
      </c>
      <c r="I124" s="49">
        <v>46057</v>
      </c>
      <c r="J124" s="8" t="s">
        <v>77</v>
      </c>
      <c r="K124" s="8" t="s">
        <v>115</v>
      </c>
      <c r="L124" s="9" t="s">
        <v>63</v>
      </c>
      <c r="M124" s="9"/>
      <c r="N124" s="9"/>
      <c r="O124" s="62"/>
      <c r="P124" s="9" t="str">
        <f t="shared" si="1"/>
        <v>ONAY</v>
      </c>
    </row>
    <row r="125" spans="1:17" ht="94.5" customHeight="1" x14ac:dyDescent="0.25">
      <c r="A125" s="5" t="s">
        <v>700</v>
      </c>
      <c r="B125" s="6" t="s">
        <v>701</v>
      </c>
      <c r="C125" s="8" t="s">
        <v>94</v>
      </c>
      <c r="D125" s="8" t="s">
        <v>416</v>
      </c>
      <c r="E125" s="7" t="s">
        <v>702</v>
      </c>
      <c r="F125" s="7" t="s">
        <v>703</v>
      </c>
      <c r="G125" s="12" t="s">
        <v>33</v>
      </c>
      <c r="H125" s="51">
        <v>46045</v>
      </c>
      <c r="I125" s="49">
        <v>46057</v>
      </c>
      <c r="J125" s="8" t="s">
        <v>86</v>
      </c>
      <c r="K125" s="8" t="s">
        <v>61</v>
      </c>
      <c r="L125" s="9" t="s">
        <v>87</v>
      </c>
      <c r="M125" s="9"/>
      <c r="N125" s="9"/>
      <c r="O125" s="62"/>
      <c r="P125" s="9" t="str">
        <f t="shared" si="1"/>
        <v>DÜZELTME</v>
      </c>
    </row>
    <row r="126" spans="1:17" ht="110.25" customHeight="1" x14ac:dyDescent="0.25">
      <c r="A126" s="5" t="s">
        <v>704</v>
      </c>
      <c r="B126" s="6" t="s">
        <v>705</v>
      </c>
      <c r="C126" s="8" t="s">
        <v>154</v>
      </c>
      <c r="D126" s="8" t="s">
        <v>155</v>
      </c>
      <c r="E126" s="7" t="s">
        <v>706</v>
      </c>
      <c r="F126" s="7" t="s">
        <v>707</v>
      </c>
      <c r="G126" s="12" t="s">
        <v>33</v>
      </c>
      <c r="H126" s="51">
        <v>46045</v>
      </c>
      <c r="I126" s="49">
        <v>46057</v>
      </c>
      <c r="J126" s="8" t="s">
        <v>95</v>
      </c>
      <c r="K126" s="8" t="s">
        <v>62</v>
      </c>
      <c r="L126" s="9" t="s">
        <v>87</v>
      </c>
      <c r="M126" s="9"/>
      <c r="N126" s="9"/>
      <c r="O126" s="62"/>
      <c r="P126" s="9" t="str">
        <f t="shared" si="1"/>
        <v>DÜZELTME</v>
      </c>
    </row>
    <row r="127" spans="1:17" ht="94.5" customHeight="1" x14ac:dyDescent="0.25">
      <c r="A127" s="5" t="s">
        <v>708</v>
      </c>
      <c r="B127" s="6" t="s">
        <v>709</v>
      </c>
      <c r="C127" s="8" t="s">
        <v>710</v>
      </c>
      <c r="D127" s="8" t="s">
        <v>711</v>
      </c>
      <c r="E127" s="7" t="s">
        <v>712</v>
      </c>
      <c r="F127" s="7" t="s">
        <v>713</v>
      </c>
      <c r="G127" s="12" t="s">
        <v>36</v>
      </c>
      <c r="H127" s="51">
        <v>46045</v>
      </c>
      <c r="I127" s="49">
        <v>46057</v>
      </c>
      <c r="J127" s="8" t="s">
        <v>62</v>
      </c>
      <c r="K127" s="8" t="s">
        <v>70</v>
      </c>
      <c r="L127" s="9" t="s">
        <v>87</v>
      </c>
      <c r="M127" s="9" t="s">
        <v>63</v>
      </c>
      <c r="N127" s="9"/>
      <c r="O127" s="62"/>
      <c r="P127" s="9" t="str">
        <f t="shared" si="1"/>
        <v>ONAY</v>
      </c>
      <c r="Q127" s="10" t="s">
        <v>70</v>
      </c>
    </row>
    <row r="128" spans="1:17" ht="63" customHeight="1" x14ac:dyDescent="0.25">
      <c r="A128" s="5" t="s">
        <v>714</v>
      </c>
      <c r="B128" s="6" t="s">
        <v>715</v>
      </c>
      <c r="C128" s="8" t="s">
        <v>188</v>
      </c>
      <c r="D128" s="8" t="s">
        <v>189</v>
      </c>
      <c r="E128" s="7" t="s">
        <v>716</v>
      </c>
      <c r="F128" s="7" t="s">
        <v>717</v>
      </c>
      <c r="G128" s="12" t="s">
        <v>36</v>
      </c>
      <c r="H128" s="51">
        <v>46045</v>
      </c>
      <c r="I128" s="49">
        <v>46057</v>
      </c>
      <c r="J128" s="8" t="s">
        <v>61</v>
      </c>
      <c r="K128" s="8" t="s">
        <v>70</v>
      </c>
      <c r="L128" s="9" t="s">
        <v>63</v>
      </c>
      <c r="M128" s="9"/>
      <c r="N128" s="9"/>
      <c r="O128" s="62"/>
      <c r="P128" s="9" t="str">
        <f t="shared" si="1"/>
        <v>ONAY</v>
      </c>
    </row>
    <row r="129" spans="1:17" ht="78.75" customHeight="1" x14ac:dyDescent="0.25">
      <c r="A129" s="5" t="s">
        <v>718</v>
      </c>
      <c r="B129" s="6" t="s">
        <v>719</v>
      </c>
      <c r="C129" s="8" t="s">
        <v>720</v>
      </c>
      <c r="D129" s="8" t="s">
        <v>208</v>
      </c>
      <c r="E129" s="7" t="s">
        <v>721</v>
      </c>
      <c r="F129" s="7" t="s">
        <v>722</v>
      </c>
      <c r="G129" s="12" t="s">
        <v>34</v>
      </c>
      <c r="H129" s="51">
        <v>46045</v>
      </c>
      <c r="I129" s="49">
        <v>46057</v>
      </c>
      <c r="J129" s="8" t="s">
        <v>86</v>
      </c>
      <c r="K129" s="8" t="s">
        <v>77</v>
      </c>
      <c r="L129" s="9" t="s">
        <v>87</v>
      </c>
      <c r="M129" s="9" t="s">
        <v>63</v>
      </c>
      <c r="N129" s="9"/>
      <c r="O129" s="62"/>
      <c r="P129" s="9" t="str">
        <f t="shared" si="1"/>
        <v>ONAY</v>
      </c>
      <c r="Q129" s="10" t="s">
        <v>77</v>
      </c>
    </row>
    <row r="130" spans="1:17" ht="78.75" customHeight="1" x14ac:dyDescent="0.25">
      <c r="A130" s="5" t="s">
        <v>723</v>
      </c>
      <c r="B130" s="6" t="s">
        <v>724</v>
      </c>
      <c r="C130" s="8" t="s">
        <v>725</v>
      </c>
      <c r="D130" s="8" t="s">
        <v>119</v>
      </c>
      <c r="E130" s="7" t="s">
        <v>726</v>
      </c>
      <c r="F130" s="7" t="s">
        <v>727</v>
      </c>
      <c r="G130" s="12" t="s">
        <v>34</v>
      </c>
      <c r="H130" s="51">
        <v>46045</v>
      </c>
      <c r="I130" s="49">
        <v>46057</v>
      </c>
      <c r="J130" s="8" t="s">
        <v>86</v>
      </c>
      <c r="K130" s="8" t="s">
        <v>115</v>
      </c>
      <c r="L130" s="9" t="s">
        <v>63</v>
      </c>
      <c r="M130" s="9"/>
      <c r="N130" s="9"/>
      <c r="O130" s="62"/>
      <c r="P130" s="9" t="str">
        <f t="shared" ref="P130:P193" si="2">IF(O130&lt;&gt;"",O130, IF(N130&lt;&gt;"",N130, IF(M130&lt;&gt;"",M130, L130)))</f>
        <v>ONAY</v>
      </c>
    </row>
    <row r="131" spans="1:17" ht="79.5" customHeight="1" x14ac:dyDescent="0.25">
      <c r="A131" s="5" t="s">
        <v>728</v>
      </c>
      <c r="B131" s="6" t="s">
        <v>729</v>
      </c>
      <c r="C131" s="8" t="s">
        <v>730</v>
      </c>
      <c r="D131" s="8" t="s">
        <v>277</v>
      </c>
      <c r="E131" s="7" t="s">
        <v>731</v>
      </c>
      <c r="F131" s="7" t="s">
        <v>732</v>
      </c>
      <c r="G131" s="12" t="s">
        <v>34</v>
      </c>
      <c r="H131" s="51">
        <v>46045</v>
      </c>
      <c r="I131" s="49">
        <v>46057</v>
      </c>
      <c r="J131" s="8" t="s">
        <v>95</v>
      </c>
      <c r="K131" s="8" t="s">
        <v>109</v>
      </c>
      <c r="L131" s="9" t="s">
        <v>63</v>
      </c>
      <c r="M131" s="9"/>
      <c r="N131" s="9"/>
      <c r="O131" s="62"/>
      <c r="P131" s="9" t="str">
        <f t="shared" si="2"/>
        <v>ONAY</v>
      </c>
    </row>
    <row r="132" spans="1:17" ht="63" customHeight="1" x14ac:dyDescent="0.25">
      <c r="A132" s="5" t="s">
        <v>733</v>
      </c>
      <c r="B132" s="6" t="s">
        <v>734</v>
      </c>
      <c r="C132" s="8" t="s">
        <v>667</v>
      </c>
      <c r="D132" s="8" t="s">
        <v>99</v>
      </c>
      <c r="E132" s="7" t="s">
        <v>668</v>
      </c>
      <c r="F132" s="7" t="s">
        <v>735</v>
      </c>
      <c r="G132" s="12" t="s">
        <v>33</v>
      </c>
      <c r="H132" s="51">
        <v>46045</v>
      </c>
      <c r="I132" s="49">
        <v>46057</v>
      </c>
      <c r="J132" s="8" t="s">
        <v>115</v>
      </c>
      <c r="K132" s="8" t="s">
        <v>62</v>
      </c>
      <c r="L132" s="9" t="s">
        <v>87</v>
      </c>
      <c r="M132" s="9"/>
      <c r="N132" s="9"/>
      <c r="O132" s="62"/>
      <c r="P132" s="9" t="str">
        <f t="shared" si="2"/>
        <v>DÜZELTME</v>
      </c>
    </row>
    <row r="133" spans="1:17" ht="64.5" customHeight="1" x14ac:dyDescent="0.25">
      <c r="A133" s="5" t="s">
        <v>736</v>
      </c>
      <c r="B133" s="6" t="s">
        <v>737</v>
      </c>
      <c r="C133" s="8" t="s">
        <v>738</v>
      </c>
      <c r="D133" s="8" t="s">
        <v>99</v>
      </c>
      <c r="E133" s="7" t="s">
        <v>739</v>
      </c>
      <c r="F133" s="7" t="s">
        <v>740</v>
      </c>
      <c r="G133" s="12" t="s">
        <v>34</v>
      </c>
      <c r="H133" s="51">
        <v>46045</v>
      </c>
      <c r="I133" s="49">
        <v>46057</v>
      </c>
      <c r="J133" s="8" t="s">
        <v>115</v>
      </c>
      <c r="K133" s="8" t="s">
        <v>86</v>
      </c>
      <c r="L133" s="9" t="s">
        <v>63</v>
      </c>
      <c r="M133" s="9"/>
      <c r="N133" s="9"/>
      <c r="O133" s="62"/>
      <c r="P133" s="9" t="str">
        <f t="shared" si="2"/>
        <v>ONAY</v>
      </c>
    </row>
    <row r="134" spans="1:17" ht="78.75" customHeight="1" x14ac:dyDescent="0.25">
      <c r="A134" s="5" t="s">
        <v>741</v>
      </c>
      <c r="B134" s="6" t="s">
        <v>742</v>
      </c>
      <c r="C134" s="8" t="s">
        <v>743</v>
      </c>
      <c r="D134" s="8" t="s">
        <v>383</v>
      </c>
      <c r="E134" s="7" t="s">
        <v>744</v>
      </c>
      <c r="F134" s="7" t="s">
        <v>745</v>
      </c>
      <c r="G134" s="12" t="s">
        <v>33</v>
      </c>
      <c r="H134" s="51">
        <v>46045</v>
      </c>
      <c r="I134" s="49">
        <v>46057</v>
      </c>
      <c r="J134" s="8" t="s">
        <v>77</v>
      </c>
      <c r="K134" s="8" t="s">
        <v>70</v>
      </c>
      <c r="L134" s="9" t="s">
        <v>87</v>
      </c>
      <c r="M134" s="9" t="s">
        <v>63</v>
      </c>
      <c r="N134" s="9"/>
      <c r="O134" s="62"/>
      <c r="P134" s="9" t="str">
        <f t="shared" si="2"/>
        <v>ONAY</v>
      </c>
      <c r="Q134" s="10" t="s">
        <v>77</v>
      </c>
    </row>
    <row r="135" spans="1:17" ht="94.5" customHeight="1" x14ac:dyDescent="0.25">
      <c r="A135" s="5" t="s">
        <v>746</v>
      </c>
      <c r="B135" s="6" t="s">
        <v>747</v>
      </c>
      <c r="C135" s="8" t="s">
        <v>73</v>
      </c>
      <c r="D135" s="8" t="s">
        <v>74</v>
      </c>
      <c r="E135" s="7" t="s">
        <v>748</v>
      </c>
      <c r="F135" s="7" t="s">
        <v>749</v>
      </c>
      <c r="G135" s="12" t="s">
        <v>33</v>
      </c>
      <c r="H135" s="51">
        <v>46045</v>
      </c>
      <c r="I135" s="49">
        <v>46057</v>
      </c>
      <c r="J135" s="8" t="s">
        <v>77</v>
      </c>
      <c r="K135" s="8" t="s">
        <v>95</v>
      </c>
      <c r="L135" s="9" t="s">
        <v>63</v>
      </c>
      <c r="M135" s="9"/>
      <c r="N135" s="9"/>
      <c r="O135" s="62"/>
      <c r="P135" s="9" t="str">
        <f t="shared" si="2"/>
        <v>ONAY</v>
      </c>
    </row>
    <row r="136" spans="1:17" ht="78.75" customHeight="1" x14ac:dyDescent="0.25">
      <c r="A136" s="5" t="s">
        <v>750</v>
      </c>
      <c r="B136" s="6" t="s">
        <v>751</v>
      </c>
      <c r="C136" s="8" t="s">
        <v>475</v>
      </c>
      <c r="D136" s="8" t="s">
        <v>283</v>
      </c>
      <c r="E136" s="7" t="s">
        <v>752</v>
      </c>
      <c r="F136" s="7" t="s">
        <v>753</v>
      </c>
      <c r="G136" s="12" t="s">
        <v>33</v>
      </c>
      <c r="H136" s="51">
        <v>46045</v>
      </c>
      <c r="I136" s="49">
        <v>46057</v>
      </c>
      <c r="J136" s="8" t="s">
        <v>109</v>
      </c>
      <c r="K136" s="8" t="s">
        <v>70</v>
      </c>
      <c r="L136" s="9" t="s">
        <v>87</v>
      </c>
      <c r="M136" s="9" t="s">
        <v>63</v>
      </c>
      <c r="N136" s="9"/>
      <c r="O136" s="62"/>
      <c r="P136" s="9" t="str">
        <f t="shared" si="2"/>
        <v>ONAY</v>
      </c>
      <c r="Q136" s="10" t="s">
        <v>70</v>
      </c>
    </row>
    <row r="137" spans="1:17" ht="63" customHeight="1" x14ac:dyDescent="0.25">
      <c r="A137" s="5" t="s">
        <v>754</v>
      </c>
      <c r="B137" s="6" t="s">
        <v>755</v>
      </c>
      <c r="C137" s="8" t="s">
        <v>756</v>
      </c>
      <c r="D137" s="8" t="s">
        <v>757</v>
      </c>
      <c r="E137" s="7" t="s">
        <v>758</v>
      </c>
      <c r="F137" s="7" t="s">
        <v>759</v>
      </c>
      <c r="G137" s="12" t="s">
        <v>35</v>
      </c>
      <c r="H137" s="51">
        <v>46045</v>
      </c>
      <c r="I137" s="49">
        <v>46057</v>
      </c>
      <c r="J137" s="8" t="s">
        <v>77</v>
      </c>
      <c r="K137" s="8" t="s">
        <v>109</v>
      </c>
      <c r="L137" s="9" t="s">
        <v>63</v>
      </c>
      <c r="M137" s="9"/>
      <c r="N137" s="9"/>
      <c r="O137" s="62"/>
      <c r="P137" s="9" t="str">
        <f t="shared" si="2"/>
        <v>ONAY</v>
      </c>
    </row>
    <row r="138" spans="1:17" ht="78.75" customHeight="1" x14ac:dyDescent="0.25">
      <c r="A138" s="5" t="s">
        <v>760</v>
      </c>
      <c r="B138" s="6" t="s">
        <v>761</v>
      </c>
      <c r="C138" s="8" t="s">
        <v>762</v>
      </c>
      <c r="D138" s="8" t="s">
        <v>277</v>
      </c>
      <c r="E138" s="7" t="s">
        <v>763</v>
      </c>
      <c r="F138" s="7" t="s">
        <v>764</v>
      </c>
      <c r="G138" s="12" t="s">
        <v>33</v>
      </c>
      <c r="H138" s="51">
        <v>46048</v>
      </c>
      <c r="I138" s="49">
        <v>46057</v>
      </c>
      <c r="J138" s="8" t="s">
        <v>77</v>
      </c>
      <c r="K138" s="8" t="s">
        <v>62</v>
      </c>
      <c r="L138" s="9" t="s">
        <v>63</v>
      </c>
      <c r="M138" s="9"/>
      <c r="N138" s="9"/>
      <c r="O138" s="62"/>
      <c r="P138" s="9" t="str">
        <f t="shared" si="2"/>
        <v>ONAY</v>
      </c>
    </row>
    <row r="139" spans="1:17" ht="110.25" customHeight="1" x14ac:dyDescent="0.25">
      <c r="A139" s="5" t="s">
        <v>765</v>
      </c>
      <c r="B139" s="6" t="s">
        <v>766</v>
      </c>
      <c r="C139" s="8" t="s">
        <v>767</v>
      </c>
      <c r="D139" s="8" t="s">
        <v>208</v>
      </c>
      <c r="E139" s="7" t="s">
        <v>768</v>
      </c>
      <c r="F139" s="7" t="s">
        <v>769</v>
      </c>
      <c r="G139" s="12" t="s">
        <v>33</v>
      </c>
      <c r="H139" s="51">
        <v>46048</v>
      </c>
      <c r="I139" s="49">
        <v>46057</v>
      </c>
      <c r="J139" s="8" t="s">
        <v>61</v>
      </c>
      <c r="K139" s="8" t="s">
        <v>86</v>
      </c>
      <c r="L139" s="9" t="s">
        <v>63</v>
      </c>
      <c r="M139" s="9"/>
      <c r="N139" s="9"/>
      <c r="O139" s="62"/>
      <c r="P139" s="9" t="str">
        <f t="shared" si="2"/>
        <v>ONAY</v>
      </c>
    </row>
    <row r="140" spans="1:17" ht="63" customHeight="1" x14ac:dyDescent="0.25">
      <c r="A140" s="5" t="s">
        <v>770</v>
      </c>
      <c r="B140" s="6" t="s">
        <v>771</v>
      </c>
      <c r="C140" s="8" t="s">
        <v>772</v>
      </c>
      <c r="D140" s="8" t="s">
        <v>99</v>
      </c>
      <c r="E140" s="7" t="s">
        <v>773</v>
      </c>
      <c r="F140" s="7" t="s">
        <v>774</v>
      </c>
      <c r="G140" s="12" t="s">
        <v>33</v>
      </c>
      <c r="H140" s="51">
        <v>46048</v>
      </c>
      <c r="I140" s="49">
        <v>46057</v>
      </c>
      <c r="J140" s="8" t="s">
        <v>62</v>
      </c>
      <c r="K140" s="8" t="s">
        <v>115</v>
      </c>
      <c r="L140" s="9" t="s">
        <v>63</v>
      </c>
      <c r="M140" s="9"/>
      <c r="N140" s="9"/>
      <c r="O140" s="62"/>
      <c r="P140" s="9" t="str">
        <f t="shared" si="2"/>
        <v>ONAY</v>
      </c>
    </row>
    <row r="141" spans="1:17" ht="80.25" customHeight="1" x14ac:dyDescent="0.25">
      <c r="A141" s="5" t="s">
        <v>775</v>
      </c>
      <c r="B141" s="6" t="s">
        <v>776</v>
      </c>
      <c r="C141" s="8" t="s">
        <v>564</v>
      </c>
      <c r="D141" s="8" t="s">
        <v>99</v>
      </c>
      <c r="E141" s="7" t="s">
        <v>777</v>
      </c>
      <c r="F141" s="7" t="s">
        <v>778</v>
      </c>
      <c r="G141" s="12" t="s">
        <v>33</v>
      </c>
      <c r="H141" s="51">
        <v>46048</v>
      </c>
      <c r="I141" s="49">
        <v>46057</v>
      </c>
      <c r="J141" s="8" t="s">
        <v>115</v>
      </c>
      <c r="K141" s="8" t="s">
        <v>95</v>
      </c>
      <c r="L141" s="9" t="s">
        <v>63</v>
      </c>
      <c r="M141" s="9"/>
      <c r="N141" s="9"/>
      <c r="O141" s="62"/>
      <c r="P141" s="9" t="str">
        <f t="shared" si="2"/>
        <v>ONAY</v>
      </c>
    </row>
    <row r="142" spans="1:17" ht="126" customHeight="1" x14ac:dyDescent="0.25">
      <c r="A142" s="5" t="s">
        <v>779</v>
      </c>
      <c r="B142" s="6" t="s">
        <v>780</v>
      </c>
      <c r="C142" s="8" t="s">
        <v>781</v>
      </c>
      <c r="D142" s="8" t="s">
        <v>208</v>
      </c>
      <c r="E142" s="7" t="s">
        <v>782</v>
      </c>
      <c r="F142" s="7" t="s">
        <v>783</v>
      </c>
      <c r="G142" s="12" t="s">
        <v>33</v>
      </c>
      <c r="H142" s="51">
        <v>46048</v>
      </c>
      <c r="I142" s="49">
        <v>46057</v>
      </c>
      <c r="J142" s="8" t="s">
        <v>77</v>
      </c>
      <c r="K142" s="8" t="s">
        <v>62</v>
      </c>
      <c r="L142" s="9" t="s">
        <v>204</v>
      </c>
      <c r="M142" s="9"/>
      <c r="N142" s="9"/>
      <c r="O142" s="62"/>
      <c r="P142" s="9" t="str">
        <f t="shared" si="2"/>
        <v>KAEK</v>
      </c>
    </row>
    <row r="143" spans="1:17" ht="63" customHeight="1" x14ac:dyDescent="0.25">
      <c r="A143" s="5" t="s">
        <v>784</v>
      </c>
      <c r="B143" s="6" t="s">
        <v>785</v>
      </c>
      <c r="C143" s="8" t="s">
        <v>786</v>
      </c>
      <c r="D143" s="8" t="s">
        <v>383</v>
      </c>
      <c r="E143" s="7" t="s">
        <v>787</v>
      </c>
      <c r="F143" s="7" t="s">
        <v>788</v>
      </c>
      <c r="G143" s="12" t="s">
        <v>33</v>
      </c>
      <c r="H143" s="51">
        <v>46048</v>
      </c>
      <c r="I143" s="49">
        <v>46057</v>
      </c>
      <c r="J143" s="8" t="s">
        <v>70</v>
      </c>
      <c r="K143" s="8" t="s">
        <v>95</v>
      </c>
      <c r="L143" s="9" t="s">
        <v>63</v>
      </c>
      <c r="M143" s="9"/>
      <c r="N143" s="9"/>
      <c r="O143" s="62"/>
      <c r="P143" s="9" t="str">
        <f t="shared" si="2"/>
        <v>ONAY</v>
      </c>
    </row>
    <row r="144" spans="1:17" ht="63" customHeight="1" x14ac:dyDescent="0.25">
      <c r="A144" s="5" t="s">
        <v>789</v>
      </c>
      <c r="B144" s="6" t="s">
        <v>790</v>
      </c>
      <c r="C144" s="8" t="s">
        <v>370</v>
      </c>
      <c r="D144" s="8" t="s">
        <v>371</v>
      </c>
      <c r="E144" s="7" t="s">
        <v>791</v>
      </c>
      <c r="F144" s="7" t="s">
        <v>792</v>
      </c>
      <c r="G144" s="12" t="s">
        <v>33</v>
      </c>
      <c r="H144" s="51">
        <v>46049</v>
      </c>
      <c r="I144" s="49">
        <v>46057</v>
      </c>
      <c r="J144" s="8" t="s">
        <v>77</v>
      </c>
      <c r="K144" s="8" t="s">
        <v>86</v>
      </c>
      <c r="L144" s="9" t="s">
        <v>87</v>
      </c>
      <c r="M144" s="9" t="s">
        <v>63</v>
      </c>
      <c r="N144" s="9"/>
      <c r="O144" s="62"/>
      <c r="P144" s="9" t="str">
        <f t="shared" si="2"/>
        <v>ONAY</v>
      </c>
      <c r="Q144" s="10" t="s">
        <v>77</v>
      </c>
    </row>
    <row r="145" spans="1:17" ht="94.5" customHeight="1" x14ac:dyDescent="0.25">
      <c r="A145" s="5" t="s">
        <v>793</v>
      </c>
      <c r="B145" s="6" t="s">
        <v>794</v>
      </c>
      <c r="C145" s="8" t="s">
        <v>795</v>
      </c>
      <c r="D145" s="8" t="s">
        <v>208</v>
      </c>
      <c r="E145" s="7" t="s">
        <v>796</v>
      </c>
      <c r="F145" s="7" t="s">
        <v>797</v>
      </c>
      <c r="G145" s="12" t="s">
        <v>34</v>
      </c>
      <c r="H145" s="51">
        <v>46049</v>
      </c>
      <c r="I145" s="49">
        <v>46057</v>
      </c>
      <c r="J145" s="8" t="s">
        <v>62</v>
      </c>
      <c r="K145" s="8" t="s">
        <v>109</v>
      </c>
      <c r="L145" s="9" t="s">
        <v>63</v>
      </c>
      <c r="M145" s="9"/>
      <c r="N145" s="9"/>
      <c r="O145" s="62"/>
      <c r="P145" s="9" t="str">
        <f t="shared" si="2"/>
        <v>ONAY</v>
      </c>
    </row>
    <row r="146" spans="1:17" ht="63" customHeight="1" x14ac:dyDescent="0.25">
      <c r="A146" s="5" t="s">
        <v>798</v>
      </c>
      <c r="B146" s="6" t="s">
        <v>799</v>
      </c>
      <c r="C146" s="8" t="s">
        <v>405</v>
      </c>
      <c r="D146" s="8" t="s">
        <v>383</v>
      </c>
      <c r="E146" s="7" t="s">
        <v>800</v>
      </c>
      <c r="F146" s="7" t="s">
        <v>801</v>
      </c>
      <c r="G146" s="12" t="s">
        <v>33</v>
      </c>
      <c r="H146" s="51">
        <v>46049</v>
      </c>
      <c r="I146" s="49">
        <v>46057</v>
      </c>
      <c r="J146" s="8" t="s">
        <v>70</v>
      </c>
      <c r="K146" s="8" t="s">
        <v>109</v>
      </c>
      <c r="L146" s="9" t="s">
        <v>63</v>
      </c>
      <c r="M146" s="9"/>
      <c r="N146" s="9"/>
      <c r="O146" s="62"/>
      <c r="P146" s="9" t="str">
        <f t="shared" si="2"/>
        <v>ONAY</v>
      </c>
    </row>
    <row r="147" spans="1:17" ht="81" customHeight="1" x14ac:dyDescent="0.25">
      <c r="A147" s="5" t="s">
        <v>802</v>
      </c>
      <c r="B147" s="6" t="s">
        <v>803</v>
      </c>
      <c r="C147" s="8" t="s">
        <v>804</v>
      </c>
      <c r="D147" s="50" t="s">
        <v>805</v>
      </c>
      <c r="E147" s="7" t="s">
        <v>806</v>
      </c>
      <c r="F147" s="7" t="s">
        <v>807</v>
      </c>
      <c r="G147" s="12" t="s">
        <v>33</v>
      </c>
      <c r="H147" s="51">
        <v>46058</v>
      </c>
      <c r="I147" s="49">
        <v>46070</v>
      </c>
      <c r="J147" s="8" t="s">
        <v>115</v>
      </c>
      <c r="K147" s="8" t="s">
        <v>62</v>
      </c>
      <c r="L147" s="9" t="s">
        <v>63</v>
      </c>
      <c r="M147" s="9"/>
      <c r="N147" s="9"/>
      <c r="O147" s="62"/>
      <c r="P147" s="9" t="str">
        <f t="shared" si="2"/>
        <v>ONAY</v>
      </c>
    </row>
    <row r="148" spans="1:17" ht="78.75" customHeight="1" x14ac:dyDescent="0.25">
      <c r="A148" s="5" t="s">
        <v>808</v>
      </c>
      <c r="B148" s="6" t="s">
        <v>809</v>
      </c>
      <c r="C148" s="8" t="s">
        <v>810</v>
      </c>
      <c r="D148" s="8" t="s">
        <v>167</v>
      </c>
      <c r="E148" s="7" t="s">
        <v>811</v>
      </c>
      <c r="F148" s="7" t="s">
        <v>812</v>
      </c>
      <c r="G148" s="12" t="s">
        <v>33</v>
      </c>
      <c r="H148" s="51">
        <v>46058</v>
      </c>
      <c r="I148" s="49">
        <v>46070</v>
      </c>
      <c r="J148" s="8" t="s">
        <v>77</v>
      </c>
      <c r="K148" s="8" t="s">
        <v>78</v>
      </c>
      <c r="L148" s="9" t="s">
        <v>204</v>
      </c>
      <c r="M148" s="9"/>
      <c r="N148" s="9"/>
      <c r="O148" s="62"/>
      <c r="P148" s="9" t="str">
        <f t="shared" si="2"/>
        <v>KAEK</v>
      </c>
    </row>
    <row r="149" spans="1:17" ht="78.75" customHeight="1" x14ac:dyDescent="0.25">
      <c r="A149" s="5" t="s">
        <v>813</v>
      </c>
      <c r="B149" s="6" t="s">
        <v>814</v>
      </c>
      <c r="C149" s="8" t="s">
        <v>697</v>
      </c>
      <c r="D149" s="8" t="s">
        <v>99</v>
      </c>
      <c r="E149" s="7" t="s">
        <v>815</v>
      </c>
      <c r="F149" s="7" t="s">
        <v>816</v>
      </c>
      <c r="G149" s="12" t="s">
        <v>33</v>
      </c>
      <c r="H149" s="51">
        <v>46058</v>
      </c>
      <c r="I149" s="49">
        <v>46070</v>
      </c>
      <c r="J149" s="8" t="s">
        <v>94</v>
      </c>
      <c r="K149" s="8" t="s">
        <v>70</v>
      </c>
      <c r="L149" s="9" t="s">
        <v>63</v>
      </c>
      <c r="M149" s="9"/>
      <c r="N149" s="9"/>
      <c r="O149" s="62"/>
      <c r="P149" s="9" t="str">
        <f t="shared" si="2"/>
        <v>ONAY</v>
      </c>
    </row>
    <row r="150" spans="1:17" ht="78.75" customHeight="1" x14ac:dyDescent="0.25">
      <c r="A150" s="5" t="s">
        <v>817</v>
      </c>
      <c r="B150" s="6" t="s">
        <v>818</v>
      </c>
      <c r="C150" s="8" t="s">
        <v>697</v>
      </c>
      <c r="D150" s="8" t="s">
        <v>99</v>
      </c>
      <c r="E150" s="7" t="s">
        <v>815</v>
      </c>
      <c r="F150" s="7" t="s">
        <v>819</v>
      </c>
      <c r="G150" s="12" t="s">
        <v>33</v>
      </c>
      <c r="H150" s="51">
        <v>46058</v>
      </c>
      <c r="I150" s="49">
        <v>46070</v>
      </c>
      <c r="J150" s="8" t="s">
        <v>115</v>
      </c>
      <c r="K150" s="8" t="s">
        <v>85</v>
      </c>
      <c r="L150" s="9" t="s">
        <v>63</v>
      </c>
      <c r="M150" s="9"/>
      <c r="N150" s="9"/>
      <c r="O150" s="62"/>
      <c r="P150" s="9" t="str">
        <f t="shared" si="2"/>
        <v>ONAY</v>
      </c>
    </row>
    <row r="151" spans="1:17" ht="78.75" customHeight="1" x14ac:dyDescent="0.25">
      <c r="A151" s="5" t="s">
        <v>820</v>
      </c>
      <c r="B151" s="6" t="s">
        <v>821</v>
      </c>
      <c r="C151" s="8" t="s">
        <v>697</v>
      </c>
      <c r="D151" s="8" t="s">
        <v>99</v>
      </c>
      <c r="E151" s="7" t="s">
        <v>822</v>
      </c>
      <c r="F151" s="7" t="s">
        <v>823</v>
      </c>
      <c r="G151" s="12" t="s">
        <v>33</v>
      </c>
      <c r="H151" s="51">
        <v>46058</v>
      </c>
      <c r="I151" s="49">
        <v>46070</v>
      </c>
      <c r="J151" s="8" t="s">
        <v>86</v>
      </c>
      <c r="K151" s="8" t="s">
        <v>78</v>
      </c>
      <c r="L151" s="9" t="s">
        <v>63</v>
      </c>
      <c r="M151" s="9"/>
      <c r="N151" s="9"/>
      <c r="O151" s="62"/>
      <c r="P151" s="9" t="str">
        <f t="shared" si="2"/>
        <v>ONAY</v>
      </c>
    </row>
    <row r="152" spans="1:17" ht="63" customHeight="1" x14ac:dyDescent="0.25">
      <c r="A152" s="5" t="s">
        <v>824</v>
      </c>
      <c r="B152" s="6" t="s">
        <v>825</v>
      </c>
      <c r="C152" s="8" t="s">
        <v>178</v>
      </c>
      <c r="D152" s="8" t="s">
        <v>179</v>
      </c>
      <c r="E152" s="7" t="s">
        <v>826</v>
      </c>
      <c r="F152" s="7" t="s">
        <v>827</v>
      </c>
      <c r="G152" s="12" t="s">
        <v>33</v>
      </c>
      <c r="H152" s="51">
        <v>46058</v>
      </c>
      <c r="I152" s="49">
        <v>46070</v>
      </c>
      <c r="J152" s="8" t="s">
        <v>77</v>
      </c>
      <c r="K152" s="8" t="s">
        <v>109</v>
      </c>
      <c r="L152" s="9" t="s">
        <v>87</v>
      </c>
      <c r="M152" s="9" t="s">
        <v>63</v>
      </c>
      <c r="N152" s="9"/>
      <c r="O152" s="62"/>
      <c r="P152" s="9" t="str">
        <f t="shared" si="2"/>
        <v>ONAY</v>
      </c>
      <c r="Q152" s="10" t="s">
        <v>77</v>
      </c>
    </row>
    <row r="153" spans="1:17" ht="94.5" customHeight="1" x14ac:dyDescent="0.25">
      <c r="A153" s="5" t="s">
        <v>828</v>
      </c>
      <c r="B153" s="6" t="s">
        <v>829</v>
      </c>
      <c r="C153" s="8" t="s">
        <v>98</v>
      </c>
      <c r="D153" s="8" t="s">
        <v>99</v>
      </c>
      <c r="E153" s="7" t="s">
        <v>830</v>
      </c>
      <c r="F153" s="7" t="s">
        <v>831</v>
      </c>
      <c r="G153" s="12" t="s">
        <v>36</v>
      </c>
      <c r="H153" s="51">
        <v>46058</v>
      </c>
      <c r="I153" s="49">
        <v>46070</v>
      </c>
      <c r="J153" s="8" t="s">
        <v>94</v>
      </c>
      <c r="K153" s="8" t="s">
        <v>70</v>
      </c>
      <c r="L153" s="9" t="s">
        <v>192</v>
      </c>
      <c r="M153" s="9" t="s">
        <v>87</v>
      </c>
      <c r="N153" s="9" t="s">
        <v>63</v>
      </c>
      <c r="O153" s="62"/>
      <c r="P153" s="9" t="str">
        <f t="shared" si="2"/>
        <v>ONAY</v>
      </c>
      <c r="Q153" s="10" t="s">
        <v>70</v>
      </c>
    </row>
    <row r="154" spans="1:17" ht="63" customHeight="1" x14ac:dyDescent="0.25">
      <c r="A154" s="5" t="s">
        <v>832</v>
      </c>
      <c r="B154" s="6" t="s">
        <v>833</v>
      </c>
      <c r="C154" s="8" t="s">
        <v>834</v>
      </c>
      <c r="D154" s="8" t="s">
        <v>377</v>
      </c>
      <c r="E154" s="7" t="s">
        <v>835</v>
      </c>
      <c r="F154" s="7" t="s">
        <v>836</v>
      </c>
      <c r="G154" s="12" t="s">
        <v>33</v>
      </c>
      <c r="H154" s="51">
        <v>46058</v>
      </c>
      <c r="I154" s="49">
        <v>46070</v>
      </c>
      <c r="J154" s="8" t="s">
        <v>62</v>
      </c>
      <c r="K154" s="8" t="s">
        <v>85</v>
      </c>
      <c r="L154" s="9" t="s">
        <v>87</v>
      </c>
      <c r="M154" s="9" t="s">
        <v>63</v>
      </c>
      <c r="N154" s="9"/>
      <c r="O154" s="62"/>
      <c r="P154" s="9" t="str">
        <f t="shared" si="2"/>
        <v>ONAY</v>
      </c>
      <c r="Q154" s="10" t="s">
        <v>62</v>
      </c>
    </row>
    <row r="155" spans="1:17" ht="63" customHeight="1" x14ac:dyDescent="0.25">
      <c r="A155" s="5" t="s">
        <v>837</v>
      </c>
      <c r="B155" s="6" t="s">
        <v>838</v>
      </c>
      <c r="C155" s="8" t="s">
        <v>839</v>
      </c>
      <c r="D155" s="8" t="s">
        <v>570</v>
      </c>
      <c r="E155" s="7" t="s">
        <v>840</v>
      </c>
      <c r="F155" s="7" t="s">
        <v>841</v>
      </c>
      <c r="G155" s="12" t="s">
        <v>36</v>
      </c>
      <c r="H155" s="51">
        <v>46058</v>
      </c>
      <c r="I155" s="49">
        <v>46070</v>
      </c>
      <c r="J155" s="8" t="s">
        <v>77</v>
      </c>
      <c r="K155" s="8" t="s">
        <v>86</v>
      </c>
      <c r="L155" s="9" t="s">
        <v>63</v>
      </c>
      <c r="M155" s="9"/>
      <c r="N155" s="9"/>
      <c r="O155" s="62"/>
      <c r="P155" s="9" t="str">
        <f t="shared" si="2"/>
        <v>ONAY</v>
      </c>
    </row>
    <row r="156" spans="1:17" ht="47.25" customHeight="1" x14ac:dyDescent="0.25">
      <c r="A156" s="5" t="s">
        <v>842</v>
      </c>
      <c r="B156" s="6" t="s">
        <v>843</v>
      </c>
      <c r="C156" s="8" t="s">
        <v>844</v>
      </c>
      <c r="D156" s="8" t="s">
        <v>525</v>
      </c>
      <c r="E156" s="7" t="s">
        <v>845</v>
      </c>
      <c r="F156" s="7" t="s">
        <v>846</v>
      </c>
      <c r="G156" s="12" t="s">
        <v>33</v>
      </c>
      <c r="H156" s="51">
        <v>46058</v>
      </c>
      <c r="I156" s="49">
        <v>46070</v>
      </c>
      <c r="J156" s="8" t="s">
        <v>109</v>
      </c>
      <c r="K156" s="8" t="s">
        <v>102</v>
      </c>
      <c r="L156" s="9" t="s">
        <v>63</v>
      </c>
      <c r="M156" s="9"/>
      <c r="N156" s="9"/>
      <c r="O156" s="62"/>
      <c r="P156" s="9" t="str">
        <f t="shared" si="2"/>
        <v>ONAY</v>
      </c>
    </row>
    <row r="157" spans="1:17" ht="78.75" customHeight="1" x14ac:dyDescent="0.25">
      <c r="A157" s="5" t="s">
        <v>847</v>
      </c>
      <c r="B157" s="6" t="s">
        <v>848</v>
      </c>
      <c r="C157" s="8" t="s">
        <v>271</v>
      </c>
      <c r="D157" s="8" t="s">
        <v>208</v>
      </c>
      <c r="E157" s="7" t="s">
        <v>849</v>
      </c>
      <c r="F157" s="7" t="s">
        <v>850</v>
      </c>
      <c r="G157" s="12" t="s">
        <v>33</v>
      </c>
      <c r="H157" s="51">
        <v>46058</v>
      </c>
      <c r="I157" s="49">
        <v>46070</v>
      </c>
      <c r="J157" s="8" t="s">
        <v>77</v>
      </c>
      <c r="K157" s="8" t="s">
        <v>78</v>
      </c>
      <c r="L157" s="9" t="s">
        <v>87</v>
      </c>
      <c r="M157" s="9" t="s">
        <v>63</v>
      </c>
      <c r="N157" s="9"/>
      <c r="O157" s="62"/>
      <c r="P157" s="9" t="str">
        <f t="shared" si="2"/>
        <v>ONAY</v>
      </c>
      <c r="Q157" s="10" t="s">
        <v>77</v>
      </c>
    </row>
    <row r="158" spans="1:17" ht="94.5" customHeight="1" x14ac:dyDescent="0.25">
      <c r="A158" s="5" t="s">
        <v>851</v>
      </c>
      <c r="B158" s="6" t="s">
        <v>852</v>
      </c>
      <c r="C158" s="8" t="s">
        <v>853</v>
      </c>
      <c r="D158" s="8" t="s">
        <v>106</v>
      </c>
      <c r="E158" s="7" t="s">
        <v>854</v>
      </c>
      <c r="F158" s="7" t="s">
        <v>855</v>
      </c>
      <c r="G158" s="12" t="s">
        <v>36</v>
      </c>
      <c r="H158" s="51">
        <v>46058</v>
      </c>
      <c r="I158" s="49">
        <v>46070</v>
      </c>
      <c r="J158" s="8" t="s">
        <v>109</v>
      </c>
      <c r="K158" s="8" t="s">
        <v>62</v>
      </c>
      <c r="L158" s="9" t="s">
        <v>63</v>
      </c>
      <c r="M158" s="9"/>
      <c r="N158" s="9"/>
      <c r="O158" s="62"/>
      <c r="P158" s="9" t="str">
        <f t="shared" si="2"/>
        <v>ONAY</v>
      </c>
    </row>
    <row r="159" spans="1:17" ht="63" customHeight="1" x14ac:dyDescent="0.25">
      <c r="A159" s="5" t="s">
        <v>856</v>
      </c>
      <c r="B159" s="6" t="s">
        <v>857</v>
      </c>
      <c r="C159" s="8" t="s">
        <v>858</v>
      </c>
      <c r="D159" s="8" t="s">
        <v>167</v>
      </c>
      <c r="E159" s="7" t="s">
        <v>859</v>
      </c>
      <c r="F159" s="7" t="s">
        <v>860</v>
      </c>
      <c r="G159" s="12" t="s">
        <v>34</v>
      </c>
      <c r="H159" s="51">
        <v>46058</v>
      </c>
      <c r="I159" s="49">
        <v>46070</v>
      </c>
      <c r="J159" s="8" t="s">
        <v>78</v>
      </c>
      <c r="K159" s="8" t="s">
        <v>86</v>
      </c>
      <c r="L159" s="9" t="s">
        <v>87</v>
      </c>
      <c r="M159" s="9" t="s">
        <v>63</v>
      </c>
      <c r="N159" s="9"/>
      <c r="O159" s="62"/>
      <c r="P159" s="9" t="str">
        <f t="shared" si="2"/>
        <v>ONAY</v>
      </c>
      <c r="Q159" s="10" t="s">
        <v>78</v>
      </c>
    </row>
    <row r="160" spans="1:17" ht="94.5" customHeight="1" x14ac:dyDescent="0.25">
      <c r="A160" s="5" t="s">
        <v>861</v>
      </c>
      <c r="B160" s="6" t="s">
        <v>862</v>
      </c>
      <c r="C160" s="8" t="s">
        <v>863</v>
      </c>
      <c r="D160" s="8" t="s">
        <v>277</v>
      </c>
      <c r="E160" s="7" t="s">
        <v>864</v>
      </c>
      <c r="F160" s="7" t="s">
        <v>865</v>
      </c>
      <c r="G160" s="12" t="s">
        <v>34</v>
      </c>
      <c r="H160" s="51">
        <v>46058</v>
      </c>
      <c r="I160" s="49">
        <v>46070</v>
      </c>
      <c r="J160" s="8" t="s">
        <v>102</v>
      </c>
      <c r="K160" s="8" t="s">
        <v>115</v>
      </c>
      <c r="L160" s="9" t="s">
        <v>87</v>
      </c>
      <c r="M160" s="9" t="s">
        <v>63</v>
      </c>
      <c r="N160" s="9"/>
      <c r="O160" s="62"/>
      <c r="P160" s="9" t="str">
        <f t="shared" si="2"/>
        <v>ONAY</v>
      </c>
      <c r="Q160" s="10" t="s">
        <v>102</v>
      </c>
    </row>
    <row r="161" spans="1:17" ht="80.25" customHeight="1" x14ac:dyDescent="0.25">
      <c r="A161" s="5" t="s">
        <v>866</v>
      </c>
      <c r="B161" s="6" t="s">
        <v>867</v>
      </c>
      <c r="C161" s="8" t="s">
        <v>271</v>
      </c>
      <c r="D161" s="8" t="s">
        <v>208</v>
      </c>
      <c r="E161" s="7" t="s">
        <v>868</v>
      </c>
      <c r="F161" s="7" t="s">
        <v>869</v>
      </c>
      <c r="G161" s="12" t="s">
        <v>33</v>
      </c>
      <c r="H161" s="51">
        <v>46059</v>
      </c>
      <c r="I161" s="49">
        <v>46070</v>
      </c>
      <c r="J161" s="8" t="s">
        <v>62</v>
      </c>
      <c r="K161" s="8" t="s">
        <v>85</v>
      </c>
      <c r="L161" s="9" t="s">
        <v>158</v>
      </c>
      <c r="M161" s="9"/>
      <c r="N161" s="9"/>
      <c r="O161" s="62"/>
      <c r="P161" s="9" t="str">
        <f t="shared" si="2"/>
        <v>RET</v>
      </c>
    </row>
    <row r="162" spans="1:17" ht="78.75" customHeight="1" x14ac:dyDescent="0.25">
      <c r="A162" s="5" t="s">
        <v>870</v>
      </c>
      <c r="B162" s="6" t="s">
        <v>871</v>
      </c>
      <c r="C162" s="8" t="s">
        <v>405</v>
      </c>
      <c r="D162" s="8" t="s">
        <v>383</v>
      </c>
      <c r="E162" s="7" t="s">
        <v>872</v>
      </c>
      <c r="F162" s="7" t="s">
        <v>873</v>
      </c>
      <c r="G162" s="12" t="s">
        <v>33</v>
      </c>
      <c r="H162" s="51">
        <v>46059</v>
      </c>
      <c r="I162" s="49">
        <v>46070</v>
      </c>
      <c r="J162" s="8" t="s">
        <v>115</v>
      </c>
      <c r="K162" s="8" t="s">
        <v>102</v>
      </c>
      <c r="L162" s="9" t="s">
        <v>63</v>
      </c>
      <c r="M162" s="9"/>
      <c r="N162" s="9"/>
      <c r="O162" s="62"/>
      <c r="P162" s="9" t="str">
        <f t="shared" si="2"/>
        <v>ONAY</v>
      </c>
    </row>
    <row r="163" spans="1:17" ht="63" customHeight="1" x14ac:dyDescent="0.25">
      <c r="A163" s="5" t="s">
        <v>874</v>
      </c>
      <c r="B163" s="6" t="s">
        <v>875</v>
      </c>
      <c r="C163" s="8" t="s">
        <v>876</v>
      </c>
      <c r="D163" s="8" t="s">
        <v>877</v>
      </c>
      <c r="E163" s="7" t="s">
        <v>878</v>
      </c>
      <c r="F163" s="7" t="s">
        <v>879</v>
      </c>
      <c r="G163" s="12" t="s">
        <v>33</v>
      </c>
      <c r="H163" s="51">
        <v>46059</v>
      </c>
      <c r="I163" s="49">
        <v>46070</v>
      </c>
      <c r="J163" s="8" t="s">
        <v>94</v>
      </c>
      <c r="K163" s="8" t="s">
        <v>70</v>
      </c>
      <c r="L163" s="9" t="s">
        <v>87</v>
      </c>
      <c r="M163" s="9" t="s">
        <v>63</v>
      </c>
      <c r="N163" s="9"/>
      <c r="O163" s="62"/>
      <c r="P163" s="9" t="str">
        <f t="shared" si="2"/>
        <v>ONAY</v>
      </c>
      <c r="Q163" s="10" t="s">
        <v>94</v>
      </c>
    </row>
    <row r="164" spans="1:17" ht="81.75" customHeight="1" x14ac:dyDescent="0.25">
      <c r="A164" s="5" t="s">
        <v>880</v>
      </c>
      <c r="B164" s="6" t="s">
        <v>881</v>
      </c>
      <c r="C164" s="8" t="s">
        <v>510</v>
      </c>
      <c r="D164" s="8" t="s">
        <v>99</v>
      </c>
      <c r="E164" s="7" t="s">
        <v>882</v>
      </c>
      <c r="F164" s="7" t="s">
        <v>883</v>
      </c>
      <c r="G164" s="12" t="s">
        <v>34</v>
      </c>
      <c r="H164" s="51">
        <v>46059</v>
      </c>
      <c r="I164" s="49">
        <v>46070</v>
      </c>
      <c r="J164" s="8" t="s">
        <v>94</v>
      </c>
      <c r="K164" s="8" t="s">
        <v>70</v>
      </c>
      <c r="L164" s="9" t="s">
        <v>63</v>
      </c>
      <c r="M164" s="9"/>
      <c r="N164" s="9"/>
      <c r="O164" s="62"/>
      <c r="P164" s="9" t="str">
        <f t="shared" si="2"/>
        <v>ONAY</v>
      </c>
    </row>
    <row r="165" spans="1:17" ht="78.75" customHeight="1" x14ac:dyDescent="0.25">
      <c r="A165" s="5" t="s">
        <v>884</v>
      </c>
      <c r="B165" s="6" t="s">
        <v>885</v>
      </c>
      <c r="C165" s="8" t="s">
        <v>213</v>
      </c>
      <c r="D165" s="8" t="s">
        <v>214</v>
      </c>
      <c r="E165" s="7" t="s">
        <v>886</v>
      </c>
      <c r="F165" s="7" t="s">
        <v>887</v>
      </c>
      <c r="G165" s="12" t="s">
        <v>33</v>
      </c>
      <c r="H165" s="51">
        <v>46059</v>
      </c>
      <c r="I165" s="49">
        <v>46070</v>
      </c>
      <c r="J165" s="8" t="s">
        <v>77</v>
      </c>
      <c r="K165" s="8" t="s">
        <v>78</v>
      </c>
      <c r="L165" s="9" t="s">
        <v>87</v>
      </c>
      <c r="M165" s="9" t="s">
        <v>63</v>
      </c>
      <c r="N165" s="9"/>
      <c r="O165" s="62"/>
      <c r="P165" s="9" t="str">
        <f t="shared" si="2"/>
        <v>ONAY</v>
      </c>
      <c r="Q165" s="10" t="s">
        <v>77</v>
      </c>
    </row>
    <row r="166" spans="1:17" ht="78.75" customHeight="1" x14ac:dyDescent="0.25">
      <c r="A166" s="5" t="s">
        <v>888</v>
      </c>
      <c r="B166" s="6" t="s">
        <v>889</v>
      </c>
      <c r="C166" s="8" t="s">
        <v>213</v>
      </c>
      <c r="D166" s="8" t="s">
        <v>214</v>
      </c>
      <c r="E166" s="7" t="s">
        <v>890</v>
      </c>
      <c r="F166" s="7" t="s">
        <v>891</v>
      </c>
      <c r="G166" s="12" t="s">
        <v>33</v>
      </c>
      <c r="H166" s="51">
        <v>46059</v>
      </c>
      <c r="I166" s="49">
        <v>46070</v>
      </c>
      <c r="J166" s="8" t="s">
        <v>77</v>
      </c>
      <c r="K166" s="8" t="s">
        <v>78</v>
      </c>
      <c r="L166" s="9" t="s">
        <v>87</v>
      </c>
      <c r="M166" s="9" t="s">
        <v>63</v>
      </c>
      <c r="N166" s="9"/>
      <c r="O166" s="62"/>
      <c r="P166" s="9" t="str">
        <f t="shared" si="2"/>
        <v>ONAY</v>
      </c>
      <c r="Q166" s="10" t="s">
        <v>77</v>
      </c>
    </row>
    <row r="167" spans="1:17" ht="63" customHeight="1" x14ac:dyDescent="0.25">
      <c r="A167" s="5" t="s">
        <v>892</v>
      </c>
      <c r="B167" s="6" t="s">
        <v>893</v>
      </c>
      <c r="C167" s="8" t="s">
        <v>376</v>
      </c>
      <c r="D167" s="8" t="s">
        <v>377</v>
      </c>
      <c r="E167" s="7" t="s">
        <v>894</v>
      </c>
      <c r="F167" s="7" t="s">
        <v>895</v>
      </c>
      <c r="G167" s="12" t="s">
        <v>33</v>
      </c>
      <c r="H167" s="51">
        <v>46059</v>
      </c>
      <c r="I167" s="49">
        <v>46070</v>
      </c>
      <c r="J167" s="8" t="s">
        <v>78</v>
      </c>
      <c r="K167" s="8" t="s">
        <v>86</v>
      </c>
      <c r="L167" s="9" t="s">
        <v>87</v>
      </c>
      <c r="M167" s="9"/>
      <c r="N167" s="9"/>
      <c r="O167" s="62"/>
      <c r="P167" s="9" t="str">
        <f t="shared" si="2"/>
        <v>DÜZELTME</v>
      </c>
    </row>
    <row r="168" spans="1:17" ht="63" customHeight="1" x14ac:dyDescent="0.25">
      <c r="A168" s="5" t="s">
        <v>896</v>
      </c>
      <c r="B168" s="6" t="s">
        <v>897</v>
      </c>
      <c r="C168" s="8" t="s">
        <v>376</v>
      </c>
      <c r="D168" s="8" t="s">
        <v>377</v>
      </c>
      <c r="E168" s="7" t="s">
        <v>894</v>
      </c>
      <c r="F168" s="7" t="s">
        <v>898</v>
      </c>
      <c r="G168" s="12" t="s">
        <v>33</v>
      </c>
      <c r="H168" s="51">
        <v>46059</v>
      </c>
      <c r="I168" s="49">
        <v>46070</v>
      </c>
      <c r="J168" s="8" t="s">
        <v>61</v>
      </c>
      <c r="K168" s="8" t="s">
        <v>70</v>
      </c>
      <c r="L168" s="9" t="s">
        <v>87</v>
      </c>
      <c r="M168" s="9"/>
      <c r="N168" s="9"/>
      <c r="O168" s="62"/>
      <c r="P168" s="9" t="str">
        <f t="shared" si="2"/>
        <v>DÜZELTME</v>
      </c>
    </row>
    <row r="169" spans="1:17" ht="78.75" customHeight="1" x14ac:dyDescent="0.25">
      <c r="A169" s="5" t="s">
        <v>899</v>
      </c>
      <c r="B169" s="6" t="s">
        <v>900</v>
      </c>
      <c r="C169" s="8" t="s">
        <v>638</v>
      </c>
      <c r="D169" s="8" t="s">
        <v>350</v>
      </c>
      <c r="E169" s="7" t="s">
        <v>901</v>
      </c>
      <c r="F169" s="7" t="s">
        <v>902</v>
      </c>
      <c r="G169" s="12" t="s">
        <v>33</v>
      </c>
      <c r="H169" s="51">
        <v>46059</v>
      </c>
      <c r="I169" s="49">
        <v>46070</v>
      </c>
      <c r="J169" s="8" t="s">
        <v>94</v>
      </c>
      <c r="K169" s="8" t="s">
        <v>102</v>
      </c>
      <c r="L169" s="9" t="s">
        <v>63</v>
      </c>
      <c r="M169" s="9"/>
      <c r="N169" s="9"/>
      <c r="O169" s="62"/>
      <c r="P169" s="9" t="str">
        <f t="shared" si="2"/>
        <v>ONAY</v>
      </c>
    </row>
    <row r="170" spans="1:17" ht="78.75" customHeight="1" x14ac:dyDescent="0.25">
      <c r="A170" s="5" t="s">
        <v>903</v>
      </c>
      <c r="B170" s="6" t="s">
        <v>904</v>
      </c>
      <c r="C170" s="8" t="s">
        <v>619</v>
      </c>
      <c r="D170" s="8" t="s">
        <v>214</v>
      </c>
      <c r="E170" s="7" t="s">
        <v>905</v>
      </c>
      <c r="F170" s="7" t="s">
        <v>906</v>
      </c>
      <c r="G170" s="12" t="s">
        <v>33</v>
      </c>
      <c r="H170" s="51">
        <v>46059</v>
      </c>
      <c r="I170" s="49">
        <v>46070</v>
      </c>
      <c r="J170" s="8" t="s">
        <v>61</v>
      </c>
      <c r="K170" s="8" t="s">
        <v>85</v>
      </c>
      <c r="L170" s="9" t="s">
        <v>63</v>
      </c>
      <c r="M170" s="9"/>
      <c r="N170" s="9"/>
      <c r="O170" s="62"/>
      <c r="P170" s="9" t="str">
        <f t="shared" si="2"/>
        <v>ONAY</v>
      </c>
    </row>
    <row r="171" spans="1:17" ht="81.75" customHeight="1" x14ac:dyDescent="0.25">
      <c r="A171" s="5" t="s">
        <v>907</v>
      </c>
      <c r="B171" s="6" t="s">
        <v>908</v>
      </c>
      <c r="C171" s="8" t="s">
        <v>909</v>
      </c>
      <c r="D171" s="8" t="s">
        <v>214</v>
      </c>
      <c r="E171" s="7" t="s">
        <v>910</v>
      </c>
      <c r="F171" s="7" t="s">
        <v>911</v>
      </c>
      <c r="G171" s="12" t="s">
        <v>33</v>
      </c>
      <c r="H171" s="51">
        <v>46059</v>
      </c>
      <c r="I171" s="49">
        <v>46070</v>
      </c>
      <c r="J171" s="8" t="s">
        <v>61</v>
      </c>
      <c r="K171" s="8" t="s">
        <v>85</v>
      </c>
      <c r="L171" s="9" t="s">
        <v>63</v>
      </c>
      <c r="M171" s="9"/>
      <c r="N171" s="9"/>
      <c r="O171" s="62"/>
      <c r="P171" s="9" t="str">
        <f t="shared" si="2"/>
        <v>ONAY</v>
      </c>
    </row>
    <row r="172" spans="1:17" ht="63" customHeight="1" x14ac:dyDescent="0.25">
      <c r="A172" s="5" t="s">
        <v>912</v>
      </c>
      <c r="B172" s="6" t="s">
        <v>913</v>
      </c>
      <c r="C172" s="8" t="s">
        <v>271</v>
      </c>
      <c r="D172" s="8" t="s">
        <v>208</v>
      </c>
      <c r="E172" s="7" t="s">
        <v>914</v>
      </c>
      <c r="F172" s="7" t="s">
        <v>915</v>
      </c>
      <c r="G172" s="12" t="s">
        <v>33</v>
      </c>
      <c r="H172" s="51">
        <v>46059</v>
      </c>
      <c r="I172" s="49">
        <v>46070</v>
      </c>
      <c r="J172" s="8" t="s">
        <v>62</v>
      </c>
      <c r="K172" s="8" t="s">
        <v>86</v>
      </c>
      <c r="L172" s="9" t="s">
        <v>87</v>
      </c>
      <c r="M172" s="9" t="s">
        <v>63</v>
      </c>
      <c r="N172" s="9"/>
      <c r="O172" s="62"/>
      <c r="P172" s="9" t="str">
        <f t="shared" si="2"/>
        <v>ONAY</v>
      </c>
      <c r="Q172" s="10" t="s">
        <v>62</v>
      </c>
    </row>
    <row r="173" spans="1:17" ht="78.75" customHeight="1" x14ac:dyDescent="0.25">
      <c r="A173" s="5" t="s">
        <v>916</v>
      </c>
      <c r="B173" s="6" t="s">
        <v>917</v>
      </c>
      <c r="C173" s="8" t="s">
        <v>510</v>
      </c>
      <c r="D173" s="8" t="s">
        <v>99</v>
      </c>
      <c r="E173" s="7" t="s">
        <v>918</v>
      </c>
      <c r="F173" s="7" t="s">
        <v>919</v>
      </c>
      <c r="G173" s="12" t="s">
        <v>33</v>
      </c>
      <c r="H173" s="51">
        <v>46059</v>
      </c>
      <c r="I173" s="49">
        <v>46070</v>
      </c>
      <c r="J173" s="8" t="s">
        <v>102</v>
      </c>
      <c r="K173" s="8" t="s">
        <v>115</v>
      </c>
      <c r="L173" s="9" t="s">
        <v>87</v>
      </c>
      <c r="M173" s="9" t="s">
        <v>63</v>
      </c>
      <c r="N173" s="9"/>
      <c r="O173" s="62"/>
      <c r="P173" s="9" t="str">
        <f t="shared" si="2"/>
        <v>ONAY</v>
      </c>
      <c r="Q173" s="10" t="s">
        <v>102</v>
      </c>
    </row>
    <row r="174" spans="1:17" ht="80.25" customHeight="1" x14ac:dyDescent="0.25">
      <c r="A174" s="5" t="s">
        <v>920</v>
      </c>
      <c r="B174" s="6" t="s">
        <v>921</v>
      </c>
      <c r="C174" s="8" t="s">
        <v>922</v>
      </c>
      <c r="D174" s="8" t="s">
        <v>327</v>
      </c>
      <c r="E174" s="7" t="s">
        <v>923</v>
      </c>
      <c r="F174" s="7" t="s">
        <v>924</v>
      </c>
      <c r="G174" s="12" t="s">
        <v>33</v>
      </c>
      <c r="H174" s="51">
        <v>46059</v>
      </c>
      <c r="I174" s="49">
        <v>46070</v>
      </c>
      <c r="J174" s="8" t="s">
        <v>61</v>
      </c>
      <c r="K174" s="8" t="s">
        <v>109</v>
      </c>
      <c r="L174" s="9" t="s">
        <v>63</v>
      </c>
      <c r="M174" s="9"/>
      <c r="N174" s="9"/>
      <c r="O174" s="62"/>
      <c r="P174" s="9" t="str">
        <f t="shared" si="2"/>
        <v>ONAY</v>
      </c>
    </row>
    <row r="175" spans="1:17" ht="94.5" customHeight="1" x14ac:dyDescent="0.25">
      <c r="A175" s="5" t="s">
        <v>925</v>
      </c>
      <c r="B175" s="6" t="s">
        <v>926</v>
      </c>
      <c r="C175" s="8" t="s">
        <v>927</v>
      </c>
      <c r="D175" s="8" t="s">
        <v>377</v>
      </c>
      <c r="E175" s="7" t="s">
        <v>928</v>
      </c>
      <c r="F175" s="7" t="s">
        <v>929</v>
      </c>
      <c r="G175" s="12" t="s">
        <v>35</v>
      </c>
      <c r="H175" s="51">
        <v>46062</v>
      </c>
      <c r="I175" s="49">
        <v>46070</v>
      </c>
      <c r="J175" s="8" t="s">
        <v>61</v>
      </c>
      <c r="K175" s="8" t="s">
        <v>70</v>
      </c>
      <c r="L175" s="9" t="s">
        <v>87</v>
      </c>
      <c r="M175" s="9" t="s">
        <v>63</v>
      </c>
      <c r="N175" s="9"/>
      <c r="O175" s="62"/>
      <c r="P175" s="9" t="str">
        <f t="shared" si="2"/>
        <v>ONAY</v>
      </c>
      <c r="Q175" s="10" t="s">
        <v>61</v>
      </c>
    </row>
    <row r="176" spans="1:17" ht="95.25" customHeight="1" x14ac:dyDescent="0.25">
      <c r="A176" s="5" t="s">
        <v>930</v>
      </c>
      <c r="B176" s="6" t="s">
        <v>931</v>
      </c>
      <c r="C176" s="8" t="s">
        <v>932</v>
      </c>
      <c r="D176" s="8" t="s">
        <v>155</v>
      </c>
      <c r="E176" s="7" t="s">
        <v>933</v>
      </c>
      <c r="F176" s="7" t="s">
        <v>934</v>
      </c>
      <c r="G176" s="12" t="s">
        <v>34</v>
      </c>
      <c r="H176" s="51">
        <v>46062</v>
      </c>
      <c r="I176" s="49">
        <v>46070</v>
      </c>
      <c r="J176" s="8" t="s">
        <v>61</v>
      </c>
      <c r="K176" s="8" t="s">
        <v>94</v>
      </c>
      <c r="L176" s="9" t="s">
        <v>87</v>
      </c>
      <c r="M176" s="9" t="s">
        <v>63</v>
      </c>
      <c r="N176" s="9"/>
      <c r="O176" s="62"/>
      <c r="P176" s="9" t="str">
        <f t="shared" si="2"/>
        <v>ONAY</v>
      </c>
      <c r="Q176" s="10" t="s">
        <v>61</v>
      </c>
    </row>
    <row r="177" spans="1:17" ht="94.5" customHeight="1" x14ac:dyDescent="0.25">
      <c r="A177" s="5" t="s">
        <v>935</v>
      </c>
      <c r="B177" s="6" t="s">
        <v>936</v>
      </c>
      <c r="C177" s="8" t="s">
        <v>937</v>
      </c>
      <c r="D177" s="8" t="s">
        <v>390</v>
      </c>
      <c r="E177" s="7" t="s">
        <v>938</v>
      </c>
      <c r="F177" s="7" t="s">
        <v>939</v>
      </c>
      <c r="G177" s="12" t="s">
        <v>33</v>
      </c>
      <c r="H177" s="51">
        <v>46062</v>
      </c>
      <c r="I177" s="49">
        <v>46070</v>
      </c>
      <c r="J177" s="8" t="s">
        <v>115</v>
      </c>
      <c r="K177" s="8" t="s">
        <v>94</v>
      </c>
      <c r="L177" s="9" t="s">
        <v>63</v>
      </c>
      <c r="M177" s="9"/>
      <c r="N177" s="9"/>
      <c r="O177" s="62"/>
      <c r="P177" s="9" t="str">
        <f t="shared" si="2"/>
        <v>ONAY</v>
      </c>
    </row>
    <row r="178" spans="1:17" ht="63" customHeight="1" x14ac:dyDescent="0.25">
      <c r="A178" s="5" t="s">
        <v>940</v>
      </c>
      <c r="B178" s="6" t="s">
        <v>941</v>
      </c>
      <c r="C178" s="8" t="s">
        <v>942</v>
      </c>
      <c r="D178" s="8" t="s">
        <v>390</v>
      </c>
      <c r="E178" s="7" t="s">
        <v>943</v>
      </c>
      <c r="F178" s="7" t="s">
        <v>944</v>
      </c>
      <c r="G178" s="12" t="s">
        <v>33</v>
      </c>
      <c r="H178" s="51">
        <v>46062</v>
      </c>
      <c r="I178" s="49">
        <v>46070</v>
      </c>
      <c r="J178" s="8" t="s">
        <v>62</v>
      </c>
      <c r="K178" s="8" t="s">
        <v>86</v>
      </c>
      <c r="L178" s="9" t="s">
        <v>63</v>
      </c>
      <c r="M178" s="9"/>
      <c r="N178" s="9"/>
      <c r="O178" s="62"/>
      <c r="P178" s="9" t="str">
        <f t="shared" si="2"/>
        <v>ONAY</v>
      </c>
    </row>
    <row r="179" spans="1:17" ht="63" customHeight="1" x14ac:dyDescent="0.25">
      <c r="A179" s="5" t="s">
        <v>945</v>
      </c>
      <c r="B179" s="6" t="s">
        <v>946</v>
      </c>
      <c r="C179" s="8" t="s">
        <v>942</v>
      </c>
      <c r="D179" s="8" t="s">
        <v>390</v>
      </c>
      <c r="E179" s="7" t="s">
        <v>943</v>
      </c>
      <c r="F179" s="7" t="s">
        <v>947</v>
      </c>
      <c r="G179" s="12" t="s">
        <v>33</v>
      </c>
      <c r="H179" s="51">
        <v>46062</v>
      </c>
      <c r="I179" s="49">
        <v>46070</v>
      </c>
      <c r="J179" s="8" t="s">
        <v>62</v>
      </c>
      <c r="K179" s="8" t="s">
        <v>86</v>
      </c>
      <c r="L179" s="9" t="s">
        <v>63</v>
      </c>
      <c r="M179" s="9"/>
      <c r="N179" s="9"/>
      <c r="O179" s="62"/>
      <c r="P179" s="9" t="str">
        <f t="shared" si="2"/>
        <v>ONAY</v>
      </c>
    </row>
    <row r="180" spans="1:17" ht="63" customHeight="1" x14ac:dyDescent="0.25">
      <c r="A180" s="5" t="s">
        <v>948</v>
      </c>
      <c r="B180" s="6" t="s">
        <v>949</v>
      </c>
      <c r="C180" s="8" t="s">
        <v>950</v>
      </c>
      <c r="D180" s="8" t="s">
        <v>951</v>
      </c>
      <c r="E180" s="7" t="s">
        <v>952</v>
      </c>
      <c r="F180" s="7" t="s">
        <v>953</v>
      </c>
      <c r="G180" s="12" t="s">
        <v>33</v>
      </c>
      <c r="H180" s="51">
        <v>46062</v>
      </c>
      <c r="I180" s="49">
        <v>46070</v>
      </c>
      <c r="J180" s="8" t="s">
        <v>85</v>
      </c>
      <c r="K180" s="8" t="s">
        <v>102</v>
      </c>
      <c r="L180" s="9" t="s">
        <v>87</v>
      </c>
      <c r="M180" s="9" t="s">
        <v>63</v>
      </c>
      <c r="N180" s="9"/>
      <c r="O180" s="62"/>
      <c r="P180" s="9" t="str">
        <f t="shared" si="2"/>
        <v>ONAY</v>
      </c>
      <c r="Q180" s="10" t="s">
        <v>85</v>
      </c>
    </row>
    <row r="181" spans="1:17" ht="63" customHeight="1" x14ac:dyDescent="0.25">
      <c r="A181" s="5" t="s">
        <v>954</v>
      </c>
      <c r="B181" s="6" t="s">
        <v>955</v>
      </c>
      <c r="C181" s="8" t="s">
        <v>229</v>
      </c>
      <c r="D181" s="8" t="s">
        <v>99</v>
      </c>
      <c r="E181" s="7" t="s">
        <v>956</v>
      </c>
      <c r="F181" s="7" t="s">
        <v>957</v>
      </c>
      <c r="G181" s="12" t="s">
        <v>34</v>
      </c>
      <c r="H181" s="51">
        <v>46062</v>
      </c>
      <c r="I181" s="49">
        <v>46070</v>
      </c>
      <c r="J181" s="8" t="s">
        <v>61</v>
      </c>
      <c r="K181" s="8" t="s">
        <v>109</v>
      </c>
      <c r="L181" s="9" t="s">
        <v>87</v>
      </c>
      <c r="M181" s="9" t="s">
        <v>63</v>
      </c>
      <c r="N181" s="9"/>
      <c r="O181" s="62"/>
      <c r="P181" s="9" t="str">
        <f t="shared" si="2"/>
        <v>ONAY</v>
      </c>
      <c r="Q181" s="10" t="s">
        <v>61</v>
      </c>
    </row>
    <row r="182" spans="1:17" ht="94.5" customHeight="1" x14ac:dyDescent="0.25">
      <c r="A182" s="5" t="s">
        <v>958</v>
      </c>
      <c r="B182" s="6" t="s">
        <v>959</v>
      </c>
      <c r="C182" s="8" t="s">
        <v>960</v>
      </c>
      <c r="D182" s="8" t="s">
        <v>684</v>
      </c>
      <c r="E182" s="7" t="s">
        <v>961</v>
      </c>
      <c r="F182" s="7" t="s">
        <v>962</v>
      </c>
      <c r="G182" s="12" t="s">
        <v>35</v>
      </c>
      <c r="H182" s="51">
        <v>46063</v>
      </c>
      <c r="I182" s="49">
        <v>46070</v>
      </c>
      <c r="J182" s="8" t="s">
        <v>61</v>
      </c>
      <c r="K182" s="8" t="s">
        <v>85</v>
      </c>
      <c r="L182" s="9" t="s">
        <v>87</v>
      </c>
      <c r="M182" s="9" t="s">
        <v>63</v>
      </c>
      <c r="N182" s="9"/>
      <c r="O182" s="62"/>
      <c r="P182" s="9" t="str">
        <f t="shared" si="2"/>
        <v>ONAY</v>
      </c>
      <c r="Q182" s="10" t="s">
        <v>61</v>
      </c>
    </row>
    <row r="183" spans="1:17" ht="63" customHeight="1" x14ac:dyDescent="0.25">
      <c r="A183" s="5" t="s">
        <v>963</v>
      </c>
      <c r="B183" s="6" t="s">
        <v>964</v>
      </c>
      <c r="C183" s="8" t="s">
        <v>965</v>
      </c>
      <c r="D183" s="8" t="s">
        <v>525</v>
      </c>
      <c r="E183" s="7" t="s">
        <v>966</v>
      </c>
      <c r="F183" s="7" t="s">
        <v>967</v>
      </c>
      <c r="G183" s="12" t="s">
        <v>33</v>
      </c>
      <c r="H183" s="51">
        <v>46063</v>
      </c>
      <c r="I183" s="49">
        <v>46070</v>
      </c>
      <c r="J183" s="8" t="s">
        <v>77</v>
      </c>
      <c r="K183" s="8" t="s">
        <v>109</v>
      </c>
      <c r="L183" s="9" t="s">
        <v>63</v>
      </c>
      <c r="M183" s="9"/>
      <c r="N183" s="9"/>
      <c r="O183" s="62"/>
      <c r="P183" s="9" t="str">
        <f t="shared" si="2"/>
        <v>ONAY</v>
      </c>
    </row>
    <row r="184" spans="1:17" ht="63" customHeight="1" x14ac:dyDescent="0.25">
      <c r="A184" s="5" t="s">
        <v>968</v>
      </c>
      <c r="B184" s="6" t="s">
        <v>969</v>
      </c>
      <c r="C184" s="8" t="s">
        <v>970</v>
      </c>
      <c r="D184" s="8" t="s">
        <v>400</v>
      </c>
      <c r="E184" s="7" t="s">
        <v>971</v>
      </c>
      <c r="F184" s="7" t="s">
        <v>972</v>
      </c>
      <c r="G184" s="12" t="s">
        <v>34</v>
      </c>
      <c r="H184" s="51">
        <v>46063</v>
      </c>
      <c r="I184" s="49">
        <v>46070</v>
      </c>
      <c r="J184" s="8" t="s">
        <v>109</v>
      </c>
      <c r="K184" s="8" t="s">
        <v>70</v>
      </c>
      <c r="L184" s="9" t="s">
        <v>192</v>
      </c>
      <c r="M184" s="9" t="s">
        <v>87</v>
      </c>
      <c r="N184" s="9"/>
      <c r="O184" s="62"/>
      <c r="P184" s="9" t="str">
        <f t="shared" si="2"/>
        <v>DÜZELTME</v>
      </c>
    </row>
    <row r="185" spans="1:17" ht="78.75" customHeight="1" x14ac:dyDescent="0.25">
      <c r="A185" s="5" t="s">
        <v>973</v>
      </c>
      <c r="B185" s="6" t="s">
        <v>974</v>
      </c>
      <c r="C185" s="8" t="s">
        <v>975</v>
      </c>
      <c r="D185" s="8" t="s">
        <v>976</v>
      </c>
      <c r="E185" s="7" t="s">
        <v>977</v>
      </c>
      <c r="F185" s="7" t="s">
        <v>978</v>
      </c>
      <c r="G185" s="12" t="s">
        <v>33</v>
      </c>
      <c r="H185" s="51">
        <v>46064</v>
      </c>
      <c r="I185" s="49">
        <v>46070</v>
      </c>
      <c r="J185" s="8" t="s">
        <v>109</v>
      </c>
      <c r="K185" s="8" t="s">
        <v>102</v>
      </c>
      <c r="L185" s="9" t="s">
        <v>63</v>
      </c>
      <c r="M185" s="9"/>
      <c r="N185" s="9"/>
      <c r="O185" s="62"/>
      <c r="P185" s="9" t="str">
        <f t="shared" si="2"/>
        <v>ONAY</v>
      </c>
    </row>
    <row r="186" spans="1:17" ht="78.75" customHeight="1" x14ac:dyDescent="0.25">
      <c r="A186" s="5" t="s">
        <v>979</v>
      </c>
      <c r="B186" s="6" t="s">
        <v>980</v>
      </c>
      <c r="C186" s="8" t="s">
        <v>73</v>
      </c>
      <c r="D186" s="8" t="s">
        <v>74</v>
      </c>
      <c r="E186" s="7" t="s">
        <v>981</v>
      </c>
      <c r="F186" s="7" t="s">
        <v>982</v>
      </c>
      <c r="G186" s="12" t="s">
        <v>34</v>
      </c>
      <c r="H186" s="51">
        <v>46064</v>
      </c>
      <c r="I186" s="49">
        <v>46070</v>
      </c>
      <c r="J186" s="8" t="s">
        <v>115</v>
      </c>
      <c r="K186" s="8" t="s">
        <v>78</v>
      </c>
      <c r="L186" s="9" t="s">
        <v>63</v>
      </c>
      <c r="M186" s="9"/>
      <c r="N186" s="9"/>
      <c r="O186" s="62"/>
      <c r="P186" s="9" t="str">
        <f t="shared" si="2"/>
        <v>ONAY</v>
      </c>
    </row>
    <row r="187" spans="1:17" ht="96" customHeight="1" x14ac:dyDescent="0.25">
      <c r="A187" s="5" t="s">
        <v>983</v>
      </c>
      <c r="B187" s="6" t="s">
        <v>984</v>
      </c>
      <c r="C187" s="8" t="s">
        <v>213</v>
      </c>
      <c r="D187" s="8" t="s">
        <v>214</v>
      </c>
      <c r="E187" s="7" t="s">
        <v>985</v>
      </c>
      <c r="F187" s="7" t="s">
        <v>986</v>
      </c>
      <c r="G187" s="12" t="s">
        <v>33</v>
      </c>
      <c r="H187" s="51">
        <v>46064</v>
      </c>
      <c r="I187" s="49">
        <v>46070</v>
      </c>
      <c r="J187" s="8" t="s">
        <v>85</v>
      </c>
      <c r="K187" s="8" t="s">
        <v>115</v>
      </c>
      <c r="L187" s="9" t="s">
        <v>158</v>
      </c>
      <c r="M187" s="9"/>
      <c r="N187" s="9"/>
      <c r="O187" s="62"/>
      <c r="P187" s="9" t="str">
        <f t="shared" si="2"/>
        <v>RET</v>
      </c>
    </row>
    <row r="188" spans="1:17" ht="63" customHeight="1" x14ac:dyDescent="0.25">
      <c r="A188" s="5" t="s">
        <v>987</v>
      </c>
      <c r="B188" s="6" t="s">
        <v>988</v>
      </c>
      <c r="C188" s="8" t="s">
        <v>989</v>
      </c>
      <c r="D188" s="8" t="s">
        <v>277</v>
      </c>
      <c r="E188" s="7" t="s">
        <v>990</v>
      </c>
      <c r="F188" s="7" t="s">
        <v>991</v>
      </c>
      <c r="G188" s="12" t="s">
        <v>33</v>
      </c>
      <c r="H188" s="51">
        <v>46064</v>
      </c>
      <c r="I188" s="49">
        <v>46070</v>
      </c>
      <c r="J188" s="8" t="s">
        <v>77</v>
      </c>
      <c r="K188" s="8" t="s">
        <v>70</v>
      </c>
      <c r="L188" s="9" t="s">
        <v>158</v>
      </c>
      <c r="M188" s="9"/>
      <c r="N188" s="9"/>
      <c r="O188" s="62"/>
      <c r="P188" s="9" t="str">
        <f t="shared" si="2"/>
        <v>RET</v>
      </c>
    </row>
    <row r="189" spans="1:17" ht="110.25" customHeight="1" x14ac:dyDescent="0.25">
      <c r="A189" s="5" t="s">
        <v>992</v>
      </c>
      <c r="B189" s="6" t="s">
        <v>993</v>
      </c>
      <c r="C189" s="8" t="s">
        <v>994</v>
      </c>
      <c r="D189" s="8" t="s">
        <v>208</v>
      </c>
      <c r="E189" s="7" t="s">
        <v>995</v>
      </c>
      <c r="F189" s="7" t="s">
        <v>996</v>
      </c>
      <c r="G189" s="12" t="s">
        <v>34</v>
      </c>
      <c r="H189" s="51">
        <v>46064</v>
      </c>
      <c r="I189" s="49">
        <v>46070</v>
      </c>
      <c r="J189" s="8" t="s">
        <v>94</v>
      </c>
      <c r="K189" s="8" t="s">
        <v>102</v>
      </c>
      <c r="L189" s="9" t="s">
        <v>87</v>
      </c>
      <c r="M189" s="9" t="s">
        <v>63</v>
      </c>
      <c r="N189" s="9"/>
      <c r="O189" s="62"/>
      <c r="P189" s="9" t="str">
        <f t="shared" si="2"/>
        <v>ONAY</v>
      </c>
      <c r="Q189" s="10" t="s">
        <v>94</v>
      </c>
    </row>
    <row r="190" spans="1:17" ht="94.5" customHeight="1" x14ac:dyDescent="0.25">
      <c r="A190" s="5" t="s">
        <v>997</v>
      </c>
      <c r="B190" s="6" t="s">
        <v>998</v>
      </c>
      <c r="C190" s="8" t="s">
        <v>999</v>
      </c>
      <c r="D190" s="8" t="s">
        <v>256</v>
      </c>
      <c r="E190" s="7" t="s">
        <v>1000</v>
      </c>
      <c r="F190" s="7" t="s">
        <v>1001</v>
      </c>
      <c r="G190" s="12" t="s">
        <v>33</v>
      </c>
      <c r="H190" s="51">
        <v>46064</v>
      </c>
      <c r="I190" s="49">
        <v>46070</v>
      </c>
      <c r="J190" s="8" t="s">
        <v>78</v>
      </c>
      <c r="K190" s="8" t="s">
        <v>62</v>
      </c>
      <c r="L190" s="9" t="s">
        <v>63</v>
      </c>
      <c r="M190" s="9"/>
      <c r="N190" s="9"/>
      <c r="O190" s="62"/>
      <c r="P190" s="9" t="str">
        <f t="shared" si="2"/>
        <v>ONAY</v>
      </c>
    </row>
    <row r="191" spans="1:17" ht="63" customHeight="1" x14ac:dyDescent="0.25">
      <c r="A191" s="5" t="s">
        <v>1002</v>
      </c>
      <c r="B191" s="6" t="s">
        <v>1003</v>
      </c>
      <c r="C191" s="8" t="s">
        <v>1004</v>
      </c>
      <c r="D191" s="8" t="s">
        <v>311</v>
      </c>
      <c r="E191" s="7" t="s">
        <v>1005</v>
      </c>
      <c r="F191" s="7" t="s">
        <v>1006</v>
      </c>
      <c r="G191" s="12" t="s">
        <v>33</v>
      </c>
      <c r="H191" s="51">
        <v>46064</v>
      </c>
      <c r="I191" s="49">
        <v>46070</v>
      </c>
      <c r="J191" s="8" t="s">
        <v>86</v>
      </c>
      <c r="K191" s="8" t="s">
        <v>61</v>
      </c>
      <c r="L191" s="9" t="s">
        <v>63</v>
      </c>
      <c r="M191" s="9"/>
      <c r="N191" s="9"/>
      <c r="O191" s="62"/>
      <c r="P191" s="9" t="str">
        <f t="shared" si="2"/>
        <v>ONAY</v>
      </c>
    </row>
    <row r="192" spans="1:17" ht="78.75" customHeight="1" x14ac:dyDescent="0.25">
      <c r="A192" s="5" t="s">
        <v>1007</v>
      </c>
      <c r="B192" s="6" t="s">
        <v>1008</v>
      </c>
      <c r="C192" s="8" t="s">
        <v>62</v>
      </c>
      <c r="D192" s="8" t="s">
        <v>208</v>
      </c>
      <c r="E192" s="7" t="s">
        <v>1009</v>
      </c>
      <c r="F192" s="7" t="s">
        <v>1010</v>
      </c>
      <c r="G192" s="12" t="s">
        <v>33</v>
      </c>
      <c r="H192" s="51">
        <v>46071</v>
      </c>
      <c r="I192" s="49">
        <v>46084</v>
      </c>
      <c r="J192" s="8" t="s">
        <v>95</v>
      </c>
      <c r="K192" s="8" t="s">
        <v>102</v>
      </c>
      <c r="L192" s="9" t="s">
        <v>87</v>
      </c>
      <c r="M192" s="9" t="s">
        <v>63</v>
      </c>
      <c r="N192" s="9"/>
      <c r="O192" s="62"/>
      <c r="P192" s="9" t="str">
        <f t="shared" si="2"/>
        <v>ONAY</v>
      </c>
      <c r="Q192" s="10" t="s">
        <v>102</v>
      </c>
    </row>
    <row r="193" spans="1:16" ht="113.25" customHeight="1" x14ac:dyDescent="0.25">
      <c r="A193" s="5" t="s">
        <v>1011</v>
      </c>
      <c r="B193" s="6" t="s">
        <v>1012</v>
      </c>
      <c r="C193" s="8" t="s">
        <v>1013</v>
      </c>
      <c r="D193" s="8" t="s">
        <v>208</v>
      </c>
      <c r="E193" s="7" t="s">
        <v>1014</v>
      </c>
      <c r="F193" s="7" t="s">
        <v>1015</v>
      </c>
      <c r="G193" s="12" t="s">
        <v>33</v>
      </c>
      <c r="H193" s="51">
        <v>46071</v>
      </c>
      <c r="I193" s="49">
        <v>46084</v>
      </c>
      <c r="J193" s="8" t="s">
        <v>70</v>
      </c>
      <c r="K193" s="8" t="s">
        <v>85</v>
      </c>
      <c r="L193" s="9" t="s">
        <v>63</v>
      </c>
      <c r="M193" s="9"/>
      <c r="N193" s="9"/>
      <c r="O193" s="62"/>
      <c r="P193" s="9" t="str">
        <f t="shared" si="2"/>
        <v>ONAY</v>
      </c>
    </row>
    <row r="194" spans="1:16" ht="63" customHeight="1" x14ac:dyDescent="0.25">
      <c r="A194" s="5" t="s">
        <v>1016</v>
      </c>
      <c r="B194" s="6" t="s">
        <v>1017</v>
      </c>
      <c r="C194" s="8" t="s">
        <v>505</v>
      </c>
      <c r="D194" s="8" t="s">
        <v>350</v>
      </c>
      <c r="E194" s="7" t="s">
        <v>1018</v>
      </c>
      <c r="F194" s="7" t="s">
        <v>1019</v>
      </c>
      <c r="G194" s="12" t="s">
        <v>33</v>
      </c>
      <c r="H194" s="51">
        <v>46071</v>
      </c>
      <c r="I194" s="49">
        <v>46084</v>
      </c>
      <c r="J194" s="8" t="s">
        <v>61</v>
      </c>
      <c r="K194" s="8" t="s">
        <v>94</v>
      </c>
      <c r="L194" s="9" t="s">
        <v>63</v>
      </c>
      <c r="M194" s="9"/>
      <c r="N194" s="9"/>
      <c r="O194" s="62"/>
      <c r="P194" s="9" t="str">
        <f t="shared" ref="P194:P257" si="3">IF(O194&lt;&gt;"",O194, IF(N194&lt;&gt;"",N194, IF(M194&lt;&gt;"",M194, L194)))</f>
        <v>ONAY</v>
      </c>
    </row>
    <row r="195" spans="1:16" ht="63" customHeight="1" x14ac:dyDescent="0.25">
      <c r="A195" s="5" t="s">
        <v>1020</v>
      </c>
      <c r="B195" s="6" t="s">
        <v>1021</v>
      </c>
      <c r="C195" s="8" t="s">
        <v>1022</v>
      </c>
      <c r="D195" s="8" t="s">
        <v>1023</v>
      </c>
      <c r="E195" s="7" t="s">
        <v>1024</v>
      </c>
      <c r="F195" s="7" t="s">
        <v>1025</v>
      </c>
      <c r="G195" s="12" t="s">
        <v>33</v>
      </c>
      <c r="H195" s="51">
        <v>46071</v>
      </c>
      <c r="I195" s="49">
        <v>46084</v>
      </c>
      <c r="J195" s="8" t="s">
        <v>70</v>
      </c>
      <c r="K195" s="8" t="s">
        <v>95</v>
      </c>
      <c r="L195" s="9" t="s">
        <v>192</v>
      </c>
      <c r="M195" s="9" t="s">
        <v>63</v>
      </c>
      <c r="N195" s="9"/>
      <c r="O195" s="62"/>
      <c r="P195" s="9" t="str">
        <f t="shared" si="3"/>
        <v>ONAY</v>
      </c>
    </row>
    <row r="196" spans="1:16" ht="63" customHeight="1" x14ac:dyDescent="0.25">
      <c r="A196" s="5" t="s">
        <v>1026</v>
      </c>
      <c r="B196" s="6" t="s">
        <v>1027</v>
      </c>
      <c r="C196" s="8" t="s">
        <v>1028</v>
      </c>
      <c r="D196" s="8" t="s">
        <v>74</v>
      </c>
      <c r="E196" s="7" t="s">
        <v>1029</v>
      </c>
      <c r="F196" s="7" t="s">
        <v>1030</v>
      </c>
      <c r="G196" s="12" t="s">
        <v>33</v>
      </c>
      <c r="H196" s="51">
        <v>46071</v>
      </c>
      <c r="I196" s="49">
        <v>46084</v>
      </c>
      <c r="J196" s="8" t="s">
        <v>78</v>
      </c>
      <c r="K196" s="8" t="s">
        <v>86</v>
      </c>
      <c r="L196" s="9" t="s">
        <v>63</v>
      </c>
      <c r="M196" s="9"/>
      <c r="N196" s="9"/>
      <c r="O196" s="62"/>
      <c r="P196" s="9" t="str">
        <f t="shared" si="3"/>
        <v>ONAY</v>
      </c>
    </row>
    <row r="197" spans="1:16" ht="63" customHeight="1" x14ac:dyDescent="0.25">
      <c r="A197" s="5" t="s">
        <v>1031</v>
      </c>
      <c r="B197" s="6" t="s">
        <v>1032</v>
      </c>
      <c r="C197" s="8" t="s">
        <v>662</v>
      </c>
      <c r="D197" s="8" t="s">
        <v>256</v>
      </c>
      <c r="E197" s="7" t="s">
        <v>1033</v>
      </c>
      <c r="F197" s="7" t="s">
        <v>1034</v>
      </c>
      <c r="G197" s="12" t="s">
        <v>35</v>
      </c>
      <c r="H197" s="51">
        <v>46071</v>
      </c>
      <c r="I197" s="49">
        <v>46084</v>
      </c>
      <c r="J197" s="8" t="s">
        <v>62</v>
      </c>
      <c r="K197" s="8" t="s">
        <v>102</v>
      </c>
      <c r="L197" s="9" t="s">
        <v>63</v>
      </c>
      <c r="M197" s="9"/>
      <c r="N197" s="9"/>
      <c r="O197" s="62"/>
      <c r="P197" s="9" t="str">
        <f t="shared" si="3"/>
        <v>ONAY</v>
      </c>
    </row>
    <row r="198" spans="1:16" ht="63" customHeight="1" x14ac:dyDescent="0.25">
      <c r="A198" s="5" t="s">
        <v>1035</v>
      </c>
      <c r="B198" s="6" t="s">
        <v>1036</v>
      </c>
      <c r="C198" s="8" t="s">
        <v>1037</v>
      </c>
      <c r="D198" s="8" t="s">
        <v>99</v>
      </c>
      <c r="E198" s="7" t="s">
        <v>1038</v>
      </c>
      <c r="F198" s="7" t="s">
        <v>1039</v>
      </c>
      <c r="G198" s="12" t="s">
        <v>33</v>
      </c>
      <c r="H198" s="51">
        <v>46071</v>
      </c>
      <c r="I198" s="49">
        <v>46084</v>
      </c>
      <c r="J198" s="8" t="s">
        <v>77</v>
      </c>
      <c r="K198" s="8" t="s">
        <v>94</v>
      </c>
      <c r="L198" s="9" t="s">
        <v>139</v>
      </c>
      <c r="M198" s="9"/>
      <c r="N198" s="9"/>
      <c r="O198" s="62"/>
      <c r="P198" s="9" t="str">
        <f t="shared" si="3"/>
        <v>KAPSAM DIŞI</v>
      </c>
    </row>
    <row r="199" spans="1:16" ht="63" customHeight="1" x14ac:dyDescent="0.25">
      <c r="A199" s="5" t="s">
        <v>1040</v>
      </c>
      <c r="B199" s="6" t="s">
        <v>1041</v>
      </c>
      <c r="C199" s="8" t="s">
        <v>1037</v>
      </c>
      <c r="D199" s="8" t="s">
        <v>99</v>
      </c>
      <c r="E199" s="7" t="s">
        <v>1038</v>
      </c>
      <c r="F199" s="7" t="s">
        <v>1042</v>
      </c>
      <c r="G199" s="12" t="s">
        <v>33</v>
      </c>
      <c r="H199" s="51">
        <v>46071</v>
      </c>
      <c r="I199" s="49">
        <v>46084</v>
      </c>
      <c r="J199" s="8" t="s">
        <v>77</v>
      </c>
      <c r="K199" s="8" t="s">
        <v>94</v>
      </c>
      <c r="L199" s="9" t="s">
        <v>139</v>
      </c>
      <c r="M199" s="9"/>
      <c r="N199" s="9"/>
      <c r="O199" s="62"/>
      <c r="P199" s="9" t="str">
        <f t="shared" si="3"/>
        <v>KAPSAM DIŞI</v>
      </c>
    </row>
    <row r="200" spans="1:16" ht="63" customHeight="1" x14ac:dyDescent="0.25">
      <c r="A200" s="5" t="s">
        <v>1043</v>
      </c>
      <c r="B200" s="6" t="s">
        <v>1044</v>
      </c>
      <c r="C200" s="8" t="s">
        <v>1037</v>
      </c>
      <c r="D200" s="8" t="s">
        <v>99</v>
      </c>
      <c r="E200" s="7" t="s">
        <v>1038</v>
      </c>
      <c r="F200" s="7" t="s">
        <v>1045</v>
      </c>
      <c r="G200" s="12" t="s">
        <v>33</v>
      </c>
      <c r="H200" s="51">
        <v>46071</v>
      </c>
      <c r="I200" s="49">
        <v>46084</v>
      </c>
      <c r="J200" s="8" t="s">
        <v>77</v>
      </c>
      <c r="K200" s="8" t="s">
        <v>94</v>
      </c>
      <c r="L200" s="9" t="s">
        <v>139</v>
      </c>
      <c r="M200" s="9"/>
      <c r="N200" s="9"/>
      <c r="O200" s="62"/>
      <c r="P200" s="9" t="str">
        <f t="shared" si="3"/>
        <v>KAPSAM DIŞI</v>
      </c>
    </row>
    <row r="201" spans="1:16" ht="63" customHeight="1" x14ac:dyDescent="0.25">
      <c r="A201" s="5" t="s">
        <v>1046</v>
      </c>
      <c r="B201" s="6" t="s">
        <v>1047</v>
      </c>
      <c r="C201" s="8" t="s">
        <v>1048</v>
      </c>
      <c r="D201" s="8" t="s">
        <v>470</v>
      </c>
      <c r="E201" s="7" t="s">
        <v>1049</v>
      </c>
      <c r="F201" s="7" t="s">
        <v>1050</v>
      </c>
      <c r="G201" s="12" t="s">
        <v>33</v>
      </c>
      <c r="H201" s="51">
        <v>46071</v>
      </c>
      <c r="I201" s="49">
        <v>46084</v>
      </c>
      <c r="J201" s="8" t="s">
        <v>109</v>
      </c>
      <c r="K201" s="8" t="s">
        <v>78</v>
      </c>
      <c r="L201" s="9" t="s">
        <v>63</v>
      </c>
      <c r="M201" s="9"/>
      <c r="N201" s="9"/>
      <c r="O201" s="62"/>
      <c r="P201" s="9" t="str">
        <f t="shared" si="3"/>
        <v>ONAY</v>
      </c>
    </row>
    <row r="202" spans="1:16" ht="63" customHeight="1" x14ac:dyDescent="0.25">
      <c r="A202" s="5" t="s">
        <v>1051</v>
      </c>
      <c r="B202" s="6" t="s">
        <v>1052</v>
      </c>
      <c r="C202" s="8" t="s">
        <v>98</v>
      </c>
      <c r="D202" s="8" t="s">
        <v>99</v>
      </c>
      <c r="E202" s="7" t="s">
        <v>1053</v>
      </c>
      <c r="F202" s="7" t="s">
        <v>1054</v>
      </c>
      <c r="G202" s="12" t="s">
        <v>33</v>
      </c>
      <c r="H202" s="51">
        <v>46071</v>
      </c>
      <c r="I202" s="49">
        <v>46084</v>
      </c>
      <c r="J202" s="8" t="s">
        <v>62</v>
      </c>
      <c r="K202" s="8" t="s">
        <v>70</v>
      </c>
      <c r="L202" s="9" t="s">
        <v>192</v>
      </c>
      <c r="M202" s="9" t="s">
        <v>87</v>
      </c>
      <c r="N202" s="9"/>
      <c r="O202" s="62"/>
      <c r="P202" s="9" t="str">
        <f t="shared" si="3"/>
        <v>DÜZELTME</v>
      </c>
    </row>
    <row r="203" spans="1:16" ht="63" customHeight="1" x14ac:dyDescent="0.25">
      <c r="A203" s="5" t="s">
        <v>1055</v>
      </c>
      <c r="B203" s="6" t="s">
        <v>1056</v>
      </c>
      <c r="C203" s="8" t="s">
        <v>1057</v>
      </c>
      <c r="D203" s="8" t="s">
        <v>1058</v>
      </c>
      <c r="E203" s="7" t="s">
        <v>1059</v>
      </c>
      <c r="F203" s="7" t="s">
        <v>1060</v>
      </c>
      <c r="G203" s="12" t="s">
        <v>33</v>
      </c>
      <c r="H203" s="51">
        <v>46072</v>
      </c>
      <c r="I203" s="49">
        <v>46084</v>
      </c>
      <c r="J203" s="8" t="s">
        <v>61</v>
      </c>
      <c r="K203" s="8" t="s">
        <v>85</v>
      </c>
      <c r="L203" s="9" t="s">
        <v>63</v>
      </c>
      <c r="M203" s="9"/>
      <c r="N203" s="9"/>
      <c r="O203" s="62"/>
      <c r="P203" s="9" t="str">
        <f t="shared" si="3"/>
        <v>ONAY</v>
      </c>
    </row>
    <row r="204" spans="1:16" ht="79.5" customHeight="1" x14ac:dyDescent="0.25">
      <c r="A204" s="5" t="s">
        <v>1061</v>
      </c>
      <c r="B204" s="6" t="s">
        <v>1062</v>
      </c>
      <c r="C204" s="8" t="s">
        <v>1063</v>
      </c>
      <c r="D204" s="8" t="s">
        <v>201</v>
      </c>
      <c r="E204" s="7" t="s">
        <v>1064</v>
      </c>
      <c r="F204" s="7" t="s">
        <v>1065</v>
      </c>
      <c r="G204" s="12" t="s">
        <v>33</v>
      </c>
      <c r="H204" s="51">
        <v>46072</v>
      </c>
      <c r="I204" s="49">
        <v>46084</v>
      </c>
      <c r="J204" s="8" t="s">
        <v>109</v>
      </c>
      <c r="K204" s="8" t="s">
        <v>86</v>
      </c>
      <c r="L204" s="9" t="s">
        <v>63</v>
      </c>
      <c r="M204" s="9"/>
      <c r="N204" s="9"/>
      <c r="O204" s="62"/>
      <c r="P204" s="9" t="str">
        <f t="shared" si="3"/>
        <v>ONAY</v>
      </c>
    </row>
    <row r="205" spans="1:16" ht="63" customHeight="1" x14ac:dyDescent="0.25">
      <c r="A205" s="5" t="s">
        <v>1066</v>
      </c>
      <c r="B205" s="6" t="s">
        <v>1067</v>
      </c>
      <c r="C205" s="8" t="s">
        <v>922</v>
      </c>
      <c r="D205" s="8" t="s">
        <v>327</v>
      </c>
      <c r="E205" s="94" t="s">
        <v>1068</v>
      </c>
      <c r="F205" s="7" t="s">
        <v>1069</v>
      </c>
      <c r="G205" s="12" t="s">
        <v>33</v>
      </c>
      <c r="H205" s="51">
        <v>46072</v>
      </c>
      <c r="I205" s="49">
        <v>46084</v>
      </c>
      <c r="J205" s="8" t="s">
        <v>102</v>
      </c>
      <c r="K205" s="8" t="s">
        <v>95</v>
      </c>
      <c r="L205" s="9" t="s">
        <v>63</v>
      </c>
      <c r="M205" s="9"/>
      <c r="N205" s="9"/>
      <c r="O205" s="62"/>
      <c r="P205" s="9" t="str">
        <f t="shared" si="3"/>
        <v>ONAY</v>
      </c>
    </row>
    <row r="206" spans="1:16" ht="63" customHeight="1" x14ac:dyDescent="0.25">
      <c r="A206" s="5" t="s">
        <v>1070</v>
      </c>
      <c r="B206" s="6" t="s">
        <v>1071</v>
      </c>
      <c r="C206" s="8" t="s">
        <v>1072</v>
      </c>
      <c r="D206" s="8" t="s">
        <v>266</v>
      </c>
      <c r="E206" s="7" t="s">
        <v>1073</v>
      </c>
      <c r="F206" s="7" t="s">
        <v>1074</v>
      </c>
      <c r="G206" s="12" t="s">
        <v>33</v>
      </c>
      <c r="H206" s="51">
        <v>46072</v>
      </c>
      <c r="I206" s="49">
        <v>46084</v>
      </c>
      <c r="J206" s="8" t="s">
        <v>77</v>
      </c>
      <c r="K206" s="8" t="s">
        <v>61</v>
      </c>
      <c r="L206" s="9" t="s">
        <v>63</v>
      </c>
      <c r="M206" s="9"/>
      <c r="N206" s="9"/>
      <c r="O206" s="62"/>
      <c r="P206" s="9" t="str">
        <f t="shared" si="3"/>
        <v>ONAY</v>
      </c>
    </row>
    <row r="207" spans="1:16" ht="97.5" customHeight="1" x14ac:dyDescent="0.25">
      <c r="A207" s="5" t="s">
        <v>1075</v>
      </c>
      <c r="B207" s="6" t="s">
        <v>1076</v>
      </c>
      <c r="C207" s="8" t="s">
        <v>1077</v>
      </c>
      <c r="D207" s="8" t="s">
        <v>189</v>
      </c>
      <c r="E207" s="7" t="s">
        <v>1078</v>
      </c>
      <c r="F207" s="7" t="s">
        <v>1079</v>
      </c>
      <c r="G207" s="12" t="s">
        <v>36</v>
      </c>
      <c r="H207" s="51">
        <v>46072</v>
      </c>
      <c r="I207" s="49">
        <v>46084</v>
      </c>
      <c r="J207" s="8" t="s">
        <v>78</v>
      </c>
      <c r="K207" s="8" t="s">
        <v>85</v>
      </c>
      <c r="L207" s="9" t="s">
        <v>192</v>
      </c>
      <c r="M207" s="9" t="s">
        <v>63</v>
      </c>
      <c r="N207" s="9"/>
      <c r="O207" s="62"/>
      <c r="P207" s="9" t="str">
        <f t="shared" si="3"/>
        <v>ONAY</v>
      </c>
    </row>
    <row r="208" spans="1:16" ht="63" customHeight="1" x14ac:dyDescent="0.25">
      <c r="A208" s="5" t="s">
        <v>1080</v>
      </c>
      <c r="B208" s="6" t="s">
        <v>1081</v>
      </c>
      <c r="C208" s="8" t="s">
        <v>1082</v>
      </c>
      <c r="D208" s="8" t="s">
        <v>74</v>
      </c>
      <c r="E208" s="7" t="s">
        <v>1083</v>
      </c>
      <c r="F208" s="7" t="s">
        <v>1084</v>
      </c>
      <c r="G208" s="12" t="s">
        <v>33</v>
      </c>
      <c r="H208" s="51">
        <v>46076</v>
      </c>
      <c r="I208" s="49">
        <v>46084</v>
      </c>
      <c r="J208" s="8" t="s">
        <v>61</v>
      </c>
      <c r="K208" s="8" t="s">
        <v>78</v>
      </c>
      <c r="L208" s="9" t="s">
        <v>87</v>
      </c>
      <c r="M208" s="9" t="s">
        <v>87</v>
      </c>
      <c r="N208" s="9"/>
      <c r="O208" s="62"/>
      <c r="P208" s="9" t="str">
        <f t="shared" si="3"/>
        <v>DÜZELTME</v>
      </c>
    </row>
    <row r="209" spans="1:17" ht="63" customHeight="1" x14ac:dyDescent="0.25">
      <c r="A209" s="5" t="s">
        <v>1085</v>
      </c>
      <c r="B209" s="6" t="s">
        <v>1086</v>
      </c>
      <c r="C209" s="8" t="s">
        <v>614</v>
      </c>
      <c r="D209" s="8" t="s">
        <v>214</v>
      </c>
      <c r="E209" s="7" t="s">
        <v>1087</v>
      </c>
      <c r="F209" s="7" t="s">
        <v>1088</v>
      </c>
      <c r="G209" s="12" t="s">
        <v>34</v>
      </c>
      <c r="H209" s="51">
        <v>46076</v>
      </c>
      <c r="I209" s="49">
        <v>46084</v>
      </c>
      <c r="J209" s="8" t="s">
        <v>86</v>
      </c>
      <c r="K209" s="8" t="s">
        <v>62</v>
      </c>
      <c r="L209" s="9" t="s">
        <v>87</v>
      </c>
      <c r="M209" s="9"/>
      <c r="N209" s="9"/>
      <c r="O209" s="62"/>
      <c r="P209" s="9" t="str">
        <f t="shared" si="3"/>
        <v>DÜZELTME</v>
      </c>
    </row>
    <row r="210" spans="1:17" ht="94.5" customHeight="1" x14ac:dyDescent="0.25">
      <c r="A210" s="5" t="s">
        <v>1089</v>
      </c>
      <c r="B210" s="6" t="s">
        <v>1090</v>
      </c>
      <c r="C210" s="8" t="s">
        <v>1091</v>
      </c>
      <c r="D210" s="8" t="s">
        <v>951</v>
      </c>
      <c r="E210" s="7" t="s">
        <v>1092</v>
      </c>
      <c r="F210" s="7" t="s">
        <v>1093</v>
      </c>
      <c r="G210" s="12" t="s">
        <v>33</v>
      </c>
      <c r="H210" s="51">
        <v>46076</v>
      </c>
      <c r="I210" s="49">
        <v>46084</v>
      </c>
      <c r="J210" s="8" t="s">
        <v>70</v>
      </c>
      <c r="K210" s="8" t="s">
        <v>109</v>
      </c>
      <c r="L210" s="9" t="s">
        <v>87</v>
      </c>
      <c r="M210" s="9"/>
      <c r="N210" s="9"/>
      <c r="O210" s="62"/>
      <c r="P210" s="9" t="str">
        <f t="shared" si="3"/>
        <v>DÜZELTME</v>
      </c>
    </row>
    <row r="211" spans="1:17" ht="94.5" customHeight="1" x14ac:dyDescent="0.25">
      <c r="A211" s="5" t="s">
        <v>1094</v>
      </c>
      <c r="B211" s="6" t="s">
        <v>1095</v>
      </c>
      <c r="C211" s="8" t="s">
        <v>1072</v>
      </c>
      <c r="D211" s="8" t="s">
        <v>266</v>
      </c>
      <c r="E211" s="7" t="s">
        <v>1096</v>
      </c>
      <c r="F211" s="7" t="s">
        <v>1097</v>
      </c>
      <c r="G211" s="12" t="s">
        <v>34</v>
      </c>
      <c r="H211" s="51">
        <v>46076</v>
      </c>
      <c r="I211" s="49">
        <v>46084</v>
      </c>
      <c r="J211" s="8" t="s">
        <v>77</v>
      </c>
      <c r="K211" s="8" t="s">
        <v>61</v>
      </c>
      <c r="L211" s="9" t="s">
        <v>158</v>
      </c>
      <c r="M211" s="9"/>
      <c r="N211" s="9"/>
      <c r="O211" s="62"/>
      <c r="P211" s="9" t="str">
        <f t="shared" si="3"/>
        <v>RET</v>
      </c>
    </row>
    <row r="212" spans="1:17" ht="63" customHeight="1" x14ac:dyDescent="0.25">
      <c r="A212" s="5" t="s">
        <v>1098</v>
      </c>
      <c r="B212" s="6" t="s">
        <v>1099</v>
      </c>
      <c r="C212" s="8" t="s">
        <v>1100</v>
      </c>
      <c r="D212" s="8" t="s">
        <v>371</v>
      </c>
      <c r="E212" s="7" t="s">
        <v>1101</v>
      </c>
      <c r="F212" s="7" t="s">
        <v>1102</v>
      </c>
      <c r="G212" s="12" t="s">
        <v>33</v>
      </c>
      <c r="H212" s="51">
        <v>46076</v>
      </c>
      <c r="I212" s="49">
        <v>46084</v>
      </c>
      <c r="J212" s="8" t="s">
        <v>62</v>
      </c>
      <c r="K212" s="8" t="s">
        <v>94</v>
      </c>
      <c r="L212" s="9" t="s">
        <v>63</v>
      </c>
      <c r="M212" s="9"/>
      <c r="N212" s="9"/>
      <c r="O212" s="62"/>
      <c r="P212" s="9" t="str">
        <f t="shared" si="3"/>
        <v>ONAY</v>
      </c>
    </row>
    <row r="213" spans="1:17" ht="78.75" customHeight="1" x14ac:dyDescent="0.25">
      <c r="A213" s="5" t="s">
        <v>1103</v>
      </c>
      <c r="B213" s="6" t="s">
        <v>1104</v>
      </c>
      <c r="C213" s="8" t="s">
        <v>1100</v>
      </c>
      <c r="D213" s="8" t="s">
        <v>371</v>
      </c>
      <c r="E213" s="7" t="s">
        <v>1105</v>
      </c>
      <c r="F213" s="7" t="s">
        <v>1106</v>
      </c>
      <c r="G213" s="12" t="s">
        <v>33</v>
      </c>
      <c r="H213" s="51">
        <v>46076</v>
      </c>
      <c r="I213" s="49">
        <v>46084</v>
      </c>
      <c r="J213" s="8" t="s">
        <v>62</v>
      </c>
      <c r="K213" s="8" t="s">
        <v>94</v>
      </c>
      <c r="L213" s="9" t="s">
        <v>63</v>
      </c>
      <c r="M213" s="9"/>
      <c r="N213" s="9"/>
      <c r="O213" s="62"/>
      <c r="P213" s="9" t="str">
        <f t="shared" si="3"/>
        <v>ONAY</v>
      </c>
    </row>
    <row r="214" spans="1:17" ht="78.75" customHeight="1" x14ac:dyDescent="0.25">
      <c r="A214" s="5" t="s">
        <v>1107</v>
      </c>
      <c r="B214" s="6" t="s">
        <v>1108</v>
      </c>
      <c r="C214" s="8" t="s">
        <v>1109</v>
      </c>
      <c r="D214" s="8" t="s">
        <v>283</v>
      </c>
      <c r="E214" s="7" t="s">
        <v>1110</v>
      </c>
      <c r="F214" s="7" t="s">
        <v>1111</v>
      </c>
      <c r="G214" s="12" t="s">
        <v>33</v>
      </c>
      <c r="H214" s="51">
        <v>46076</v>
      </c>
      <c r="I214" s="49">
        <v>46084</v>
      </c>
      <c r="J214" s="8" t="s">
        <v>109</v>
      </c>
      <c r="K214" s="8" t="s">
        <v>70</v>
      </c>
      <c r="L214" s="9" t="s">
        <v>87</v>
      </c>
      <c r="M214" s="9"/>
      <c r="N214" s="9"/>
      <c r="O214" s="62"/>
      <c r="P214" s="9" t="str">
        <f t="shared" si="3"/>
        <v>DÜZELTME</v>
      </c>
    </row>
    <row r="215" spans="1:17" ht="96.75" customHeight="1" x14ac:dyDescent="0.25">
      <c r="A215" s="5" t="s">
        <v>1112</v>
      </c>
      <c r="B215" s="6" t="s">
        <v>1113</v>
      </c>
      <c r="C215" s="8" t="s">
        <v>1114</v>
      </c>
      <c r="D215" s="8" t="s">
        <v>208</v>
      </c>
      <c r="E215" s="7" t="s">
        <v>1115</v>
      </c>
      <c r="F215" s="7" t="s">
        <v>1116</v>
      </c>
      <c r="G215" s="12" t="s">
        <v>33</v>
      </c>
      <c r="H215" s="51">
        <v>46076</v>
      </c>
      <c r="I215" s="49">
        <v>46084</v>
      </c>
      <c r="J215" s="8" t="s">
        <v>109</v>
      </c>
      <c r="K215" s="8" t="s">
        <v>95</v>
      </c>
      <c r="L215" s="9" t="s">
        <v>87</v>
      </c>
      <c r="M215" s="9"/>
      <c r="N215" s="9"/>
      <c r="O215" s="62"/>
      <c r="P215" s="9" t="str">
        <f t="shared" si="3"/>
        <v>DÜZELTME</v>
      </c>
    </row>
    <row r="216" spans="1:17" ht="63" customHeight="1" x14ac:dyDescent="0.25">
      <c r="A216" s="5" t="s">
        <v>1117</v>
      </c>
      <c r="B216" s="6" t="s">
        <v>1118</v>
      </c>
      <c r="C216" s="8" t="s">
        <v>370</v>
      </c>
      <c r="D216" s="8" t="s">
        <v>371</v>
      </c>
      <c r="E216" s="7" t="s">
        <v>1119</v>
      </c>
      <c r="F216" s="7" t="s">
        <v>1120</v>
      </c>
      <c r="G216" s="12" t="s">
        <v>33</v>
      </c>
      <c r="H216" s="51">
        <v>46077</v>
      </c>
      <c r="I216" s="49">
        <v>46084</v>
      </c>
      <c r="J216" s="8" t="s">
        <v>85</v>
      </c>
      <c r="K216" s="8" t="s">
        <v>95</v>
      </c>
      <c r="L216" s="9" t="s">
        <v>63</v>
      </c>
      <c r="M216" s="9"/>
      <c r="N216" s="9"/>
      <c r="O216" s="62"/>
      <c r="P216" s="9" t="str">
        <f t="shared" si="3"/>
        <v>ONAY</v>
      </c>
    </row>
    <row r="217" spans="1:17" ht="63" customHeight="1" x14ac:dyDescent="0.25">
      <c r="A217" s="5" t="s">
        <v>1121</v>
      </c>
      <c r="B217" s="6" t="s">
        <v>1122</v>
      </c>
      <c r="C217" s="8" t="s">
        <v>355</v>
      </c>
      <c r="D217" s="8" t="s">
        <v>327</v>
      </c>
      <c r="E217" s="7" t="s">
        <v>1123</v>
      </c>
      <c r="F217" s="7" t="s">
        <v>1124</v>
      </c>
      <c r="G217" s="12" t="s">
        <v>33</v>
      </c>
      <c r="H217" s="51">
        <v>46077</v>
      </c>
      <c r="I217" s="49">
        <v>46084</v>
      </c>
      <c r="J217" s="8" t="s">
        <v>77</v>
      </c>
      <c r="K217" s="8" t="s">
        <v>86</v>
      </c>
      <c r="L217" s="9" t="s">
        <v>63</v>
      </c>
      <c r="M217" s="9"/>
      <c r="N217" s="9"/>
      <c r="O217" s="62"/>
      <c r="P217" s="9" t="str">
        <f t="shared" si="3"/>
        <v>ONAY</v>
      </c>
    </row>
    <row r="218" spans="1:17" ht="141.75" customHeight="1" x14ac:dyDescent="0.25">
      <c r="A218" s="5" t="s">
        <v>1125</v>
      </c>
      <c r="B218" s="6" t="s">
        <v>1126</v>
      </c>
      <c r="C218" s="8" t="s">
        <v>1127</v>
      </c>
      <c r="D218" s="8" t="s">
        <v>1128</v>
      </c>
      <c r="E218" s="7" t="s">
        <v>1129</v>
      </c>
      <c r="F218" s="7" t="s">
        <v>1130</v>
      </c>
      <c r="G218" s="12" t="s">
        <v>34</v>
      </c>
      <c r="H218" s="51">
        <v>46077</v>
      </c>
      <c r="I218" s="49">
        <v>46084</v>
      </c>
      <c r="J218" s="8" t="s">
        <v>102</v>
      </c>
      <c r="K218" s="8" t="s">
        <v>78</v>
      </c>
      <c r="L218" s="9" t="s">
        <v>63</v>
      </c>
      <c r="M218" s="9"/>
      <c r="N218" s="9"/>
      <c r="O218" s="62"/>
      <c r="P218" s="9" t="str">
        <f t="shared" si="3"/>
        <v>ONAY</v>
      </c>
    </row>
    <row r="219" spans="1:17" ht="94.5" customHeight="1" x14ac:dyDescent="0.25">
      <c r="A219" s="5" t="s">
        <v>1131</v>
      </c>
      <c r="B219" s="6" t="s">
        <v>1132</v>
      </c>
      <c r="C219" s="8" t="s">
        <v>629</v>
      </c>
      <c r="D219" s="8" t="s">
        <v>208</v>
      </c>
      <c r="E219" s="7" t="s">
        <v>1133</v>
      </c>
      <c r="F219" s="7" t="s">
        <v>1134</v>
      </c>
      <c r="G219" s="12" t="s">
        <v>33</v>
      </c>
      <c r="H219" s="51">
        <v>46077</v>
      </c>
      <c r="I219" s="49">
        <v>46084</v>
      </c>
      <c r="J219" s="8" t="s">
        <v>95</v>
      </c>
      <c r="K219" s="8" t="s">
        <v>102</v>
      </c>
      <c r="L219" s="9" t="s">
        <v>87</v>
      </c>
      <c r="M219" s="9" t="s">
        <v>63</v>
      </c>
      <c r="N219" s="9"/>
      <c r="O219" s="62"/>
      <c r="P219" s="9" t="str">
        <f t="shared" si="3"/>
        <v>ONAY</v>
      </c>
      <c r="Q219" s="10" t="s">
        <v>95</v>
      </c>
    </row>
    <row r="220" spans="1:17" ht="80.25" customHeight="1" x14ac:dyDescent="0.25">
      <c r="A220" s="5" t="s">
        <v>1135</v>
      </c>
      <c r="B220" s="6" t="s">
        <v>1136</v>
      </c>
      <c r="C220" s="8" t="s">
        <v>1028</v>
      </c>
      <c r="D220" s="8" t="s">
        <v>74</v>
      </c>
      <c r="E220" s="7" t="s">
        <v>1137</v>
      </c>
      <c r="F220" s="7" t="s">
        <v>1138</v>
      </c>
      <c r="G220" s="12" t="s">
        <v>33</v>
      </c>
      <c r="H220" s="51">
        <v>46077</v>
      </c>
      <c r="I220" s="49">
        <v>46084</v>
      </c>
      <c r="J220" s="8" t="s">
        <v>78</v>
      </c>
      <c r="K220" s="8" t="s">
        <v>85</v>
      </c>
      <c r="L220" s="9" t="s">
        <v>63</v>
      </c>
      <c r="M220" s="9"/>
      <c r="N220" s="9"/>
      <c r="O220" s="62"/>
      <c r="P220" s="9" t="str">
        <f t="shared" si="3"/>
        <v>ONAY</v>
      </c>
    </row>
    <row r="221" spans="1:17" ht="63" customHeight="1" x14ac:dyDescent="0.25">
      <c r="A221" s="5" t="s">
        <v>1139</v>
      </c>
      <c r="B221" s="6" t="s">
        <v>1140</v>
      </c>
      <c r="C221" s="8" t="s">
        <v>1141</v>
      </c>
      <c r="D221" s="8" t="s">
        <v>74</v>
      </c>
      <c r="E221" s="7" t="s">
        <v>1142</v>
      </c>
      <c r="F221" s="7" t="s">
        <v>1143</v>
      </c>
      <c r="G221" s="12" t="s">
        <v>33</v>
      </c>
      <c r="H221" s="51">
        <v>46077</v>
      </c>
      <c r="I221" s="49">
        <v>46084</v>
      </c>
      <c r="J221" s="8" t="s">
        <v>86</v>
      </c>
      <c r="K221" s="8" t="s">
        <v>85</v>
      </c>
      <c r="L221" s="9" t="s">
        <v>63</v>
      </c>
      <c r="M221" s="9"/>
      <c r="N221" s="9"/>
      <c r="O221" s="62"/>
      <c r="P221" s="9" t="str">
        <f t="shared" si="3"/>
        <v>ONAY</v>
      </c>
    </row>
    <row r="222" spans="1:17" ht="94.5" customHeight="1" x14ac:dyDescent="0.25">
      <c r="A222" s="5" t="s">
        <v>1144</v>
      </c>
      <c r="B222" s="6" t="s">
        <v>1145</v>
      </c>
      <c r="C222" s="8" t="s">
        <v>1146</v>
      </c>
      <c r="D222" s="8" t="s">
        <v>1147</v>
      </c>
      <c r="E222" s="7" t="s">
        <v>1148</v>
      </c>
      <c r="F222" s="7" t="s">
        <v>1149</v>
      </c>
      <c r="G222" s="12" t="s">
        <v>33</v>
      </c>
      <c r="H222" s="51">
        <v>46077</v>
      </c>
      <c r="I222" s="49">
        <v>46084</v>
      </c>
      <c r="J222" s="8" t="s">
        <v>61</v>
      </c>
      <c r="K222" s="8" t="s">
        <v>109</v>
      </c>
      <c r="L222" s="9" t="s">
        <v>63</v>
      </c>
      <c r="M222" s="9"/>
      <c r="N222" s="9"/>
      <c r="O222" s="62"/>
      <c r="P222" s="9" t="str">
        <f t="shared" si="3"/>
        <v>ONAY</v>
      </c>
    </row>
    <row r="223" spans="1:17" ht="94.5" customHeight="1" x14ac:dyDescent="0.25">
      <c r="A223" s="5" t="s">
        <v>1150</v>
      </c>
      <c r="B223" s="6" t="s">
        <v>1151</v>
      </c>
      <c r="C223" s="8" t="s">
        <v>1152</v>
      </c>
      <c r="D223" s="8" t="s">
        <v>1153</v>
      </c>
      <c r="E223" s="7" t="s">
        <v>1154</v>
      </c>
      <c r="F223" s="7" t="s">
        <v>1155</v>
      </c>
      <c r="G223" s="12" t="s">
        <v>34</v>
      </c>
      <c r="H223" s="51">
        <v>46077</v>
      </c>
      <c r="I223" s="49">
        <v>46084</v>
      </c>
      <c r="J223" s="8" t="s">
        <v>62</v>
      </c>
      <c r="K223" s="8" t="s">
        <v>70</v>
      </c>
      <c r="L223" s="9" t="s">
        <v>63</v>
      </c>
      <c r="M223" s="9"/>
      <c r="N223" s="9"/>
      <c r="O223" s="62"/>
      <c r="P223" s="9" t="str">
        <f t="shared" si="3"/>
        <v>ONAY</v>
      </c>
    </row>
    <row r="224" spans="1:17" ht="94.5" customHeight="1" x14ac:dyDescent="0.25">
      <c r="A224" s="5" t="s">
        <v>1156</v>
      </c>
      <c r="B224" s="6" t="s">
        <v>1157</v>
      </c>
      <c r="C224" s="8" t="s">
        <v>1013</v>
      </c>
      <c r="D224" s="8" t="s">
        <v>208</v>
      </c>
      <c r="E224" s="7" t="s">
        <v>1158</v>
      </c>
      <c r="F224" s="7" t="s">
        <v>1159</v>
      </c>
      <c r="G224" s="12" t="s">
        <v>33</v>
      </c>
      <c r="H224" s="51">
        <v>46078</v>
      </c>
      <c r="I224" s="49">
        <v>46084</v>
      </c>
      <c r="J224" s="8" t="s">
        <v>62</v>
      </c>
      <c r="K224" s="8" t="s">
        <v>102</v>
      </c>
      <c r="L224" s="9" t="s">
        <v>87</v>
      </c>
      <c r="M224" s="9" t="s">
        <v>63</v>
      </c>
      <c r="N224" s="9"/>
      <c r="O224" s="62"/>
      <c r="P224" s="9" t="str">
        <f t="shared" si="3"/>
        <v>ONAY</v>
      </c>
      <c r="Q224" s="10" t="s">
        <v>102</v>
      </c>
    </row>
    <row r="225" spans="1:17" ht="78.75" customHeight="1" x14ac:dyDescent="0.25">
      <c r="A225" s="5" t="s">
        <v>1160</v>
      </c>
      <c r="B225" s="6" t="s">
        <v>1161</v>
      </c>
      <c r="C225" s="8" t="s">
        <v>1162</v>
      </c>
      <c r="D225" s="8" t="s">
        <v>208</v>
      </c>
      <c r="E225" s="7" t="s">
        <v>1163</v>
      </c>
      <c r="F225" s="7" t="s">
        <v>1164</v>
      </c>
      <c r="G225" s="12" t="s">
        <v>34</v>
      </c>
      <c r="H225" s="51">
        <v>46079</v>
      </c>
      <c r="I225" s="49">
        <v>46084</v>
      </c>
      <c r="J225" s="8" t="s">
        <v>61</v>
      </c>
      <c r="K225" s="8" t="s">
        <v>70</v>
      </c>
      <c r="L225" s="9" t="s">
        <v>63</v>
      </c>
      <c r="M225" s="9"/>
      <c r="N225" s="9"/>
      <c r="O225" s="62"/>
      <c r="P225" s="9" t="str">
        <f t="shared" si="3"/>
        <v>ONAY</v>
      </c>
    </row>
    <row r="226" spans="1:17" ht="63" customHeight="1" x14ac:dyDescent="0.25">
      <c r="A226" s="5" t="s">
        <v>1165</v>
      </c>
      <c r="B226" s="6" t="s">
        <v>1166</v>
      </c>
      <c r="C226" s="8" t="s">
        <v>98</v>
      </c>
      <c r="D226" s="8" t="s">
        <v>99</v>
      </c>
      <c r="E226" s="7" t="s">
        <v>1167</v>
      </c>
      <c r="F226" s="7" t="s">
        <v>1168</v>
      </c>
      <c r="G226" s="12" t="s">
        <v>33</v>
      </c>
      <c r="H226" s="51">
        <v>46079</v>
      </c>
      <c r="I226" s="49">
        <v>46084</v>
      </c>
      <c r="J226" s="8" t="s">
        <v>94</v>
      </c>
      <c r="K226" s="8" t="s">
        <v>85</v>
      </c>
      <c r="L226" s="9" t="s">
        <v>192</v>
      </c>
      <c r="M226" s="9" t="s">
        <v>87</v>
      </c>
      <c r="N226" s="9"/>
      <c r="O226" s="62"/>
      <c r="P226" s="9" t="str">
        <f t="shared" si="3"/>
        <v>DÜZELTME</v>
      </c>
    </row>
    <row r="227" spans="1:17" ht="94.5" customHeight="1" x14ac:dyDescent="0.25">
      <c r="A227" s="5" t="s">
        <v>1169</v>
      </c>
      <c r="B227" s="6" t="s">
        <v>1170</v>
      </c>
      <c r="C227" s="8" t="s">
        <v>1171</v>
      </c>
      <c r="D227" s="8" t="s">
        <v>74</v>
      </c>
      <c r="E227" s="7" t="s">
        <v>1172</v>
      </c>
      <c r="F227" s="7" t="s">
        <v>1173</v>
      </c>
      <c r="G227" s="12" t="s">
        <v>34</v>
      </c>
      <c r="H227" s="51">
        <v>46087</v>
      </c>
      <c r="I227" s="49">
        <v>46098</v>
      </c>
      <c r="J227" s="8" t="s">
        <v>78</v>
      </c>
      <c r="K227" s="8" t="s">
        <v>85</v>
      </c>
      <c r="L227" s="9" t="s">
        <v>63</v>
      </c>
      <c r="M227" s="9"/>
      <c r="N227" s="9"/>
      <c r="O227" s="62"/>
      <c r="P227" s="9" t="str">
        <f t="shared" si="3"/>
        <v>ONAY</v>
      </c>
    </row>
    <row r="228" spans="1:17" ht="110.25" customHeight="1" x14ac:dyDescent="0.25">
      <c r="A228" s="5" t="s">
        <v>1174</v>
      </c>
      <c r="B228" s="6" t="s">
        <v>1175</v>
      </c>
      <c r="C228" s="8" t="s">
        <v>1176</v>
      </c>
      <c r="D228" s="8" t="s">
        <v>1177</v>
      </c>
      <c r="E228" s="7" t="s">
        <v>1178</v>
      </c>
      <c r="F228" s="7" t="s">
        <v>1179</v>
      </c>
      <c r="G228" s="12" t="s">
        <v>33</v>
      </c>
      <c r="H228" s="51">
        <v>46087</v>
      </c>
      <c r="I228" s="49">
        <v>46098</v>
      </c>
      <c r="J228" s="8" t="s">
        <v>94</v>
      </c>
      <c r="K228" s="8" t="s">
        <v>62</v>
      </c>
      <c r="L228" s="9" t="s">
        <v>87</v>
      </c>
      <c r="M228" s="9"/>
      <c r="N228" s="9"/>
      <c r="O228" s="62"/>
      <c r="P228" s="9" t="str">
        <f t="shared" si="3"/>
        <v>DÜZELTME</v>
      </c>
    </row>
    <row r="229" spans="1:17" ht="78.75" customHeight="1" x14ac:dyDescent="0.25">
      <c r="A229" s="5" t="s">
        <v>1180</v>
      </c>
      <c r="B229" s="6" t="s">
        <v>1181</v>
      </c>
      <c r="C229" s="8" t="s">
        <v>1182</v>
      </c>
      <c r="D229" s="8" t="s">
        <v>350</v>
      </c>
      <c r="E229" s="7" t="s">
        <v>1183</v>
      </c>
      <c r="F229" s="7" t="s">
        <v>1184</v>
      </c>
      <c r="G229" s="12" t="s">
        <v>34</v>
      </c>
      <c r="H229" s="51">
        <v>46087</v>
      </c>
      <c r="I229" s="49">
        <v>46098</v>
      </c>
      <c r="J229" s="8" t="s">
        <v>86</v>
      </c>
      <c r="K229" s="8" t="s">
        <v>70</v>
      </c>
      <c r="L229" s="9" t="s">
        <v>63</v>
      </c>
      <c r="M229" s="9"/>
      <c r="N229" s="9"/>
      <c r="O229" s="62"/>
      <c r="P229" s="9" t="str">
        <f t="shared" si="3"/>
        <v>ONAY</v>
      </c>
    </row>
    <row r="230" spans="1:17" ht="78.75" customHeight="1" x14ac:dyDescent="0.25">
      <c r="A230" s="5" t="s">
        <v>1185</v>
      </c>
      <c r="B230" s="6" t="s">
        <v>1186</v>
      </c>
      <c r="C230" s="8" t="s">
        <v>1187</v>
      </c>
      <c r="D230" s="8" t="s">
        <v>119</v>
      </c>
      <c r="E230" s="7" t="s">
        <v>1188</v>
      </c>
      <c r="F230" s="7" t="s">
        <v>1189</v>
      </c>
      <c r="G230" s="12" t="s">
        <v>33</v>
      </c>
      <c r="H230" s="51">
        <v>46087</v>
      </c>
      <c r="I230" s="49">
        <v>46098</v>
      </c>
      <c r="J230" s="8" t="s">
        <v>86</v>
      </c>
      <c r="K230" s="8" t="s">
        <v>77</v>
      </c>
      <c r="L230" s="9" t="s">
        <v>87</v>
      </c>
      <c r="M230" s="9" t="s">
        <v>63</v>
      </c>
      <c r="N230" s="9"/>
      <c r="O230" s="62"/>
      <c r="P230" s="9" t="str">
        <f t="shared" si="3"/>
        <v>ONAY</v>
      </c>
      <c r="Q230" s="10" t="s">
        <v>77</v>
      </c>
    </row>
    <row r="231" spans="1:17" ht="63" customHeight="1" x14ac:dyDescent="0.25">
      <c r="A231" s="5" t="s">
        <v>1190</v>
      </c>
      <c r="B231" s="6" t="s">
        <v>1191</v>
      </c>
      <c r="C231" s="8" t="s">
        <v>1192</v>
      </c>
      <c r="D231" s="8" t="s">
        <v>208</v>
      </c>
      <c r="E231" s="7" t="s">
        <v>1193</v>
      </c>
      <c r="F231" s="7" t="s">
        <v>1194</v>
      </c>
      <c r="G231" s="12" t="s">
        <v>33</v>
      </c>
      <c r="H231" s="51">
        <v>46087</v>
      </c>
      <c r="I231" s="49">
        <v>46098</v>
      </c>
      <c r="J231" s="8" t="s">
        <v>115</v>
      </c>
      <c r="K231" s="8" t="s">
        <v>62</v>
      </c>
      <c r="L231" s="9" t="s">
        <v>87</v>
      </c>
      <c r="M231" s="9" t="s">
        <v>63</v>
      </c>
      <c r="N231" s="9"/>
      <c r="O231" s="62"/>
      <c r="P231" s="9" t="str">
        <f t="shared" si="3"/>
        <v>ONAY</v>
      </c>
      <c r="Q231" s="10" t="s">
        <v>62</v>
      </c>
    </row>
    <row r="232" spans="1:17" ht="78.75" customHeight="1" x14ac:dyDescent="0.25">
      <c r="A232" s="5" t="s">
        <v>1195</v>
      </c>
      <c r="B232" s="6" t="s">
        <v>1196</v>
      </c>
      <c r="C232" s="8" t="s">
        <v>1082</v>
      </c>
      <c r="D232" s="8" t="s">
        <v>74</v>
      </c>
      <c r="E232" s="7" t="s">
        <v>1197</v>
      </c>
      <c r="F232" s="7" t="s">
        <v>1198</v>
      </c>
      <c r="G232" s="12" t="s">
        <v>34</v>
      </c>
      <c r="H232" s="51">
        <v>46087</v>
      </c>
      <c r="I232" s="49">
        <v>46098</v>
      </c>
      <c r="J232" s="8" t="s">
        <v>78</v>
      </c>
      <c r="K232" s="8" t="s">
        <v>102</v>
      </c>
      <c r="L232" s="9" t="s">
        <v>87</v>
      </c>
      <c r="M232" s="9" t="s">
        <v>63</v>
      </c>
      <c r="N232" s="9"/>
      <c r="O232" s="62"/>
      <c r="P232" s="9" t="str">
        <f t="shared" si="3"/>
        <v>ONAY</v>
      </c>
      <c r="Q232" s="10" t="s">
        <v>78</v>
      </c>
    </row>
    <row r="233" spans="1:17" ht="63" customHeight="1" x14ac:dyDescent="0.25">
      <c r="A233" s="5" t="s">
        <v>1199</v>
      </c>
      <c r="B233" s="6" t="s">
        <v>1200</v>
      </c>
      <c r="C233" s="8" t="s">
        <v>376</v>
      </c>
      <c r="D233" s="8" t="s">
        <v>377</v>
      </c>
      <c r="E233" s="7" t="s">
        <v>378</v>
      </c>
      <c r="F233" s="7" t="s">
        <v>1201</v>
      </c>
      <c r="G233" s="12" t="s">
        <v>33</v>
      </c>
      <c r="H233" s="51">
        <v>46087</v>
      </c>
      <c r="I233" s="49">
        <v>46098</v>
      </c>
      <c r="J233" s="8" t="s">
        <v>70</v>
      </c>
      <c r="K233" s="8" t="s">
        <v>115</v>
      </c>
      <c r="L233" s="9" t="s">
        <v>63</v>
      </c>
      <c r="M233" s="9"/>
      <c r="N233" s="9"/>
      <c r="O233" s="62"/>
      <c r="P233" s="9" t="str">
        <f t="shared" si="3"/>
        <v>ONAY</v>
      </c>
    </row>
    <row r="234" spans="1:17" ht="63" customHeight="1" x14ac:dyDescent="0.25">
      <c r="A234" s="5" t="s">
        <v>1202</v>
      </c>
      <c r="B234" s="6" t="s">
        <v>1203</v>
      </c>
      <c r="C234" s="8" t="s">
        <v>376</v>
      </c>
      <c r="D234" s="8" t="s">
        <v>377</v>
      </c>
      <c r="E234" s="7" t="s">
        <v>894</v>
      </c>
      <c r="F234" s="7" t="s">
        <v>1204</v>
      </c>
      <c r="G234" s="12" t="s">
        <v>33</v>
      </c>
      <c r="H234" s="51">
        <v>46087</v>
      </c>
      <c r="I234" s="49">
        <v>46098</v>
      </c>
      <c r="J234" s="8" t="s">
        <v>115</v>
      </c>
      <c r="K234" s="8" t="s">
        <v>70</v>
      </c>
      <c r="L234" s="9" t="s">
        <v>63</v>
      </c>
      <c r="M234" s="9"/>
      <c r="N234" s="9"/>
      <c r="O234" s="62"/>
      <c r="P234" s="9" t="str">
        <f t="shared" si="3"/>
        <v>ONAY</v>
      </c>
    </row>
    <row r="235" spans="1:17" ht="63" customHeight="1" x14ac:dyDescent="0.25">
      <c r="A235" s="5" t="s">
        <v>1205</v>
      </c>
      <c r="B235" s="6" t="s">
        <v>1206</v>
      </c>
      <c r="C235" s="8" t="s">
        <v>376</v>
      </c>
      <c r="D235" s="8" t="s">
        <v>377</v>
      </c>
      <c r="E235" s="7" t="s">
        <v>894</v>
      </c>
      <c r="F235" s="7" t="s">
        <v>1207</v>
      </c>
      <c r="G235" s="12" t="s">
        <v>33</v>
      </c>
      <c r="H235" s="51">
        <v>46087</v>
      </c>
      <c r="I235" s="49">
        <v>46098</v>
      </c>
      <c r="J235" s="8" t="s">
        <v>115</v>
      </c>
      <c r="K235" s="8" t="s">
        <v>70</v>
      </c>
      <c r="L235" s="9" t="s">
        <v>63</v>
      </c>
      <c r="M235" s="9"/>
      <c r="N235" s="9"/>
      <c r="O235" s="62"/>
      <c r="P235" s="9" t="str">
        <f t="shared" si="3"/>
        <v>ONAY</v>
      </c>
    </row>
    <row r="236" spans="1:17" ht="63" customHeight="1" x14ac:dyDescent="0.25">
      <c r="A236" s="5" t="s">
        <v>1208</v>
      </c>
      <c r="B236" s="6" t="s">
        <v>1209</v>
      </c>
      <c r="C236" s="8" t="s">
        <v>376</v>
      </c>
      <c r="D236" s="8" t="s">
        <v>377</v>
      </c>
      <c r="E236" s="7" t="s">
        <v>894</v>
      </c>
      <c r="F236" s="7" t="s">
        <v>1210</v>
      </c>
      <c r="G236" s="12" t="s">
        <v>33</v>
      </c>
      <c r="H236" s="51">
        <v>46087</v>
      </c>
      <c r="I236" s="49">
        <v>46098</v>
      </c>
      <c r="J236" s="8" t="s">
        <v>115</v>
      </c>
      <c r="K236" s="8" t="s">
        <v>70</v>
      </c>
      <c r="L236" s="9" t="s">
        <v>139</v>
      </c>
      <c r="M236" s="9"/>
      <c r="N236" s="9"/>
      <c r="O236" s="62"/>
      <c r="P236" s="9" t="str">
        <f t="shared" si="3"/>
        <v>KAPSAM DIŞI</v>
      </c>
    </row>
    <row r="237" spans="1:17" ht="78.75" customHeight="1" x14ac:dyDescent="0.25">
      <c r="A237" s="5" t="s">
        <v>1211</v>
      </c>
      <c r="B237" s="6" t="s">
        <v>1212</v>
      </c>
      <c r="C237" s="8" t="s">
        <v>1213</v>
      </c>
      <c r="D237" s="8" t="s">
        <v>377</v>
      </c>
      <c r="E237" s="7" t="s">
        <v>1214</v>
      </c>
      <c r="F237" s="7" t="s">
        <v>1215</v>
      </c>
      <c r="G237" s="12" t="s">
        <v>33</v>
      </c>
      <c r="H237" s="51">
        <v>46087</v>
      </c>
      <c r="I237" s="49">
        <v>46098</v>
      </c>
      <c r="J237" s="8" t="s">
        <v>77</v>
      </c>
      <c r="K237" s="8" t="s">
        <v>102</v>
      </c>
      <c r="L237" s="9" t="s">
        <v>204</v>
      </c>
      <c r="M237" s="9"/>
      <c r="N237" s="9"/>
      <c r="O237" s="62"/>
      <c r="P237" s="9" t="str">
        <f t="shared" si="3"/>
        <v>KAEK</v>
      </c>
    </row>
    <row r="238" spans="1:17" ht="94.5" customHeight="1" x14ac:dyDescent="0.25">
      <c r="A238" s="5" t="s">
        <v>1216</v>
      </c>
      <c r="B238" s="6" t="s">
        <v>1217</v>
      </c>
      <c r="C238" s="8" t="s">
        <v>1218</v>
      </c>
      <c r="D238" s="8" t="s">
        <v>208</v>
      </c>
      <c r="E238" s="7" t="s">
        <v>1219</v>
      </c>
      <c r="F238" s="7" t="s">
        <v>1220</v>
      </c>
      <c r="G238" s="12" t="s">
        <v>33</v>
      </c>
      <c r="H238" s="51">
        <v>46087</v>
      </c>
      <c r="I238" s="49">
        <v>46098</v>
      </c>
      <c r="J238" s="8" t="s">
        <v>85</v>
      </c>
      <c r="K238" s="8" t="s">
        <v>61</v>
      </c>
      <c r="L238" s="9" t="s">
        <v>87</v>
      </c>
      <c r="M238" s="9"/>
      <c r="N238" s="9"/>
      <c r="O238" s="62"/>
      <c r="P238" s="9" t="str">
        <f t="shared" si="3"/>
        <v>DÜZELTME</v>
      </c>
    </row>
    <row r="239" spans="1:17" ht="63" customHeight="1" x14ac:dyDescent="0.25">
      <c r="A239" s="5" t="s">
        <v>1221</v>
      </c>
      <c r="B239" s="6" t="s">
        <v>1222</v>
      </c>
      <c r="C239" s="8" t="s">
        <v>1223</v>
      </c>
      <c r="D239" s="8" t="s">
        <v>400</v>
      </c>
      <c r="E239" s="7" t="s">
        <v>1224</v>
      </c>
      <c r="F239" s="7" t="s">
        <v>1225</v>
      </c>
      <c r="G239" s="12" t="s">
        <v>34</v>
      </c>
      <c r="H239" s="51">
        <v>46087</v>
      </c>
      <c r="I239" s="49">
        <v>46098</v>
      </c>
      <c r="J239" s="8" t="s">
        <v>109</v>
      </c>
      <c r="K239" s="8" t="s">
        <v>85</v>
      </c>
      <c r="L239" s="9" t="s">
        <v>63</v>
      </c>
      <c r="M239" s="9"/>
      <c r="N239" s="9"/>
      <c r="O239" s="62"/>
      <c r="P239" s="9" t="str">
        <f t="shared" si="3"/>
        <v>ONAY</v>
      </c>
    </row>
    <row r="240" spans="1:17" ht="94.5" customHeight="1" x14ac:dyDescent="0.25">
      <c r="A240" s="5" t="s">
        <v>1226</v>
      </c>
      <c r="B240" s="6" t="s">
        <v>1227</v>
      </c>
      <c r="C240" s="8" t="s">
        <v>989</v>
      </c>
      <c r="D240" s="8" t="s">
        <v>277</v>
      </c>
      <c r="E240" s="7" t="s">
        <v>1228</v>
      </c>
      <c r="F240" s="7" t="s">
        <v>1229</v>
      </c>
      <c r="G240" s="12" t="s">
        <v>33</v>
      </c>
      <c r="H240" s="51">
        <v>46087</v>
      </c>
      <c r="I240" s="49">
        <v>46098</v>
      </c>
      <c r="J240" s="8" t="s">
        <v>78</v>
      </c>
      <c r="K240" s="8" t="s">
        <v>86</v>
      </c>
      <c r="L240" s="9" t="s">
        <v>87</v>
      </c>
      <c r="M240" s="9"/>
      <c r="N240" s="9"/>
      <c r="O240" s="62"/>
      <c r="P240" s="9" t="str">
        <f t="shared" si="3"/>
        <v>DÜZELTME</v>
      </c>
    </row>
    <row r="241" spans="1:17" ht="81" customHeight="1" x14ac:dyDescent="0.25">
      <c r="A241" s="5" t="s">
        <v>1230</v>
      </c>
      <c r="B241" s="6" t="s">
        <v>1231</v>
      </c>
      <c r="C241" s="8" t="s">
        <v>1232</v>
      </c>
      <c r="D241" s="8" t="s">
        <v>208</v>
      </c>
      <c r="E241" s="7" t="s">
        <v>1233</v>
      </c>
      <c r="F241" s="7" t="s">
        <v>1234</v>
      </c>
      <c r="G241" s="12" t="s">
        <v>34</v>
      </c>
      <c r="H241" s="51">
        <v>46090</v>
      </c>
      <c r="I241" s="49">
        <v>46098</v>
      </c>
      <c r="J241" s="8" t="s">
        <v>77</v>
      </c>
      <c r="K241" s="8" t="s">
        <v>62</v>
      </c>
      <c r="L241" s="9" t="s">
        <v>204</v>
      </c>
      <c r="M241" s="9"/>
      <c r="N241" s="9"/>
      <c r="O241" s="62"/>
      <c r="P241" s="9" t="str">
        <f t="shared" si="3"/>
        <v>KAEK</v>
      </c>
    </row>
    <row r="242" spans="1:17" ht="78.75" customHeight="1" x14ac:dyDescent="0.25">
      <c r="A242" s="5" t="s">
        <v>1235</v>
      </c>
      <c r="B242" s="6" t="s">
        <v>1236</v>
      </c>
      <c r="C242" s="8" t="s">
        <v>614</v>
      </c>
      <c r="D242" s="8" t="s">
        <v>214</v>
      </c>
      <c r="E242" s="7" t="s">
        <v>1237</v>
      </c>
      <c r="F242" s="7" t="s">
        <v>1238</v>
      </c>
      <c r="G242" s="12" t="s">
        <v>34</v>
      </c>
      <c r="H242" s="51">
        <v>46090</v>
      </c>
      <c r="I242" s="49">
        <v>46098</v>
      </c>
      <c r="J242" s="8" t="s">
        <v>61</v>
      </c>
      <c r="K242" s="8" t="s">
        <v>85</v>
      </c>
      <c r="L242" s="9" t="s">
        <v>63</v>
      </c>
      <c r="M242" s="9"/>
      <c r="N242" s="9"/>
      <c r="O242" s="62"/>
      <c r="P242" s="9" t="str">
        <f t="shared" si="3"/>
        <v>ONAY</v>
      </c>
    </row>
    <row r="243" spans="1:17" ht="78.75" customHeight="1" x14ac:dyDescent="0.25">
      <c r="A243" s="5" t="s">
        <v>1239</v>
      </c>
      <c r="B243" s="6" t="s">
        <v>1240</v>
      </c>
      <c r="C243" s="8" t="s">
        <v>213</v>
      </c>
      <c r="D243" s="8" t="s">
        <v>214</v>
      </c>
      <c r="E243" s="7" t="s">
        <v>1241</v>
      </c>
      <c r="F243" s="7" t="s">
        <v>1242</v>
      </c>
      <c r="G243" s="12" t="s">
        <v>33</v>
      </c>
      <c r="H243" s="51">
        <v>46090</v>
      </c>
      <c r="I243" s="49">
        <v>46098</v>
      </c>
      <c r="J243" s="8" t="s">
        <v>77</v>
      </c>
      <c r="K243" s="8" t="s">
        <v>61</v>
      </c>
      <c r="L243" s="9" t="s">
        <v>63</v>
      </c>
      <c r="M243" s="9"/>
      <c r="N243" s="9"/>
      <c r="O243" s="62"/>
      <c r="P243" s="9" t="str">
        <f t="shared" si="3"/>
        <v>ONAY</v>
      </c>
    </row>
    <row r="244" spans="1:17" ht="126" customHeight="1" x14ac:dyDescent="0.25">
      <c r="A244" s="5" t="s">
        <v>1243</v>
      </c>
      <c r="B244" s="6" t="s">
        <v>1244</v>
      </c>
      <c r="C244" s="8" t="s">
        <v>1245</v>
      </c>
      <c r="D244" s="8" t="s">
        <v>167</v>
      </c>
      <c r="E244" s="7" t="s">
        <v>1246</v>
      </c>
      <c r="F244" s="7" t="s">
        <v>1247</v>
      </c>
      <c r="G244" s="12" t="s">
        <v>33</v>
      </c>
      <c r="H244" s="51">
        <v>46090</v>
      </c>
      <c r="I244" s="49">
        <v>46098</v>
      </c>
      <c r="J244" s="8" t="s">
        <v>77</v>
      </c>
      <c r="K244" s="8" t="s">
        <v>94</v>
      </c>
      <c r="L244" s="9" t="s">
        <v>63</v>
      </c>
      <c r="M244" s="9"/>
      <c r="N244" s="9"/>
      <c r="O244" s="62"/>
      <c r="P244" s="9" t="str">
        <f t="shared" si="3"/>
        <v>ONAY</v>
      </c>
    </row>
    <row r="245" spans="1:17" ht="63" customHeight="1" x14ac:dyDescent="0.25">
      <c r="A245" s="5" t="s">
        <v>1248</v>
      </c>
      <c r="B245" s="6" t="s">
        <v>1249</v>
      </c>
      <c r="C245" s="8" t="s">
        <v>1182</v>
      </c>
      <c r="D245" s="8" t="s">
        <v>350</v>
      </c>
      <c r="E245" s="7" t="s">
        <v>1250</v>
      </c>
      <c r="F245" s="7" t="s">
        <v>1251</v>
      </c>
      <c r="G245" s="12" t="s">
        <v>33</v>
      </c>
      <c r="H245" s="51">
        <v>46090</v>
      </c>
      <c r="I245" s="49">
        <v>46098</v>
      </c>
      <c r="J245" s="8" t="s">
        <v>78</v>
      </c>
      <c r="K245" s="8" t="s">
        <v>94</v>
      </c>
      <c r="L245" s="9" t="s">
        <v>63</v>
      </c>
      <c r="M245" s="9"/>
      <c r="N245" s="9"/>
      <c r="O245" s="62"/>
      <c r="P245" s="9" t="str">
        <f t="shared" si="3"/>
        <v>ONAY</v>
      </c>
    </row>
    <row r="246" spans="1:17" ht="78.75" customHeight="1" x14ac:dyDescent="0.25">
      <c r="A246" s="5" t="s">
        <v>1252</v>
      </c>
      <c r="B246" s="6" t="s">
        <v>1253</v>
      </c>
      <c r="C246" s="8" t="s">
        <v>98</v>
      </c>
      <c r="D246" s="8" t="s">
        <v>99</v>
      </c>
      <c r="E246" s="7" t="s">
        <v>1254</v>
      </c>
      <c r="F246" s="7" t="s">
        <v>1255</v>
      </c>
      <c r="G246" s="12" t="s">
        <v>33</v>
      </c>
      <c r="H246" s="51">
        <v>46090</v>
      </c>
      <c r="I246" s="49">
        <v>46098</v>
      </c>
      <c r="J246" s="8" t="s">
        <v>102</v>
      </c>
      <c r="K246" s="8" t="s">
        <v>94</v>
      </c>
      <c r="L246" s="9" t="s">
        <v>87</v>
      </c>
      <c r="M246" s="9" t="s">
        <v>63</v>
      </c>
      <c r="N246" s="9"/>
      <c r="O246" s="62"/>
      <c r="P246" s="9" t="str">
        <f t="shared" si="3"/>
        <v>ONAY</v>
      </c>
      <c r="Q246" s="10" t="s">
        <v>102</v>
      </c>
    </row>
    <row r="247" spans="1:17" ht="94.5" customHeight="1" x14ac:dyDescent="0.25">
      <c r="A247" s="5" t="s">
        <v>1256</v>
      </c>
      <c r="B247" s="6" t="s">
        <v>1257</v>
      </c>
      <c r="C247" s="8" t="s">
        <v>1258</v>
      </c>
      <c r="D247" s="8" t="s">
        <v>167</v>
      </c>
      <c r="E247" s="7" t="s">
        <v>1259</v>
      </c>
      <c r="F247" s="7" t="s">
        <v>1260</v>
      </c>
      <c r="G247" s="12" t="s">
        <v>34</v>
      </c>
      <c r="H247" s="51">
        <v>46090</v>
      </c>
      <c r="I247" s="49">
        <v>46098</v>
      </c>
      <c r="J247" s="8" t="s">
        <v>94</v>
      </c>
      <c r="K247" s="8" t="s">
        <v>86</v>
      </c>
      <c r="L247" s="9" t="s">
        <v>192</v>
      </c>
      <c r="M247" s="9" t="s">
        <v>139</v>
      </c>
      <c r="N247" s="9"/>
      <c r="O247" s="62"/>
      <c r="P247" s="9" t="str">
        <f t="shared" si="3"/>
        <v>KAPSAM DIŞI</v>
      </c>
    </row>
    <row r="248" spans="1:17" ht="94.5" customHeight="1" x14ac:dyDescent="0.25">
      <c r="A248" s="5" t="s">
        <v>1261</v>
      </c>
      <c r="B248" s="6" t="s">
        <v>1262</v>
      </c>
      <c r="C248" s="8" t="s">
        <v>1263</v>
      </c>
      <c r="D248" s="8" t="s">
        <v>377</v>
      </c>
      <c r="E248" s="7" t="s">
        <v>1264</v>
      </c>
      <c r="F248" s="7" t="s">
        <v>1265</v>
      </c>
      <c r="G248" s="12" t="s">
        <v>33</v>
      </c>
      <c r="H248" s="51">
        <v>46090</v>
      </c>
      <c r="I248" s="49">
        <v>46098</v>
      </c>
      <c r="J248" s="8" t="s">
        <v>85</v>
      </c>
      <c r="K248" s="8" t="s">
        <v>109</v>
      </c>
      <c r="L248" s="9" t="s">
        <v>87</v>
      </c>
      <c r="M248" s="9"/>
      <c r="N248" s="9"/>
      <c r="O248" s="62"/>
      <c r="P248" s="9" t="str">
        <f t="shared" si="3"/>
        <v>DÜZELTME</v>
      </c>
    </row>
    <row r="249" spans="1:17" ht="141.75" customHeight="1" x14ac:dyDescent="0.25">
      <c r="A249" s="5" t="s">
        <v>1266</v>
      </c>
      <c r="B249" s="6" t="s">
        <v>1267</v>
      </c>
      <c r="C249" s="8" t="s">
        <v>355</v>
      </c>
      <c r="D249" s="8" t="s">
        <v>327</v>
      </c>
      <c r="E249" s="7" t="s">
        <v>1268</v>
      </c>
      <c r="F249" s="7" t="s">
        <v>1269</v>
      </c>
      <c r="G249" s="12" t="s">
        <v>34</v>
      </c>
      <c r="H249" s="51">
        <v>46090</v>
      </c>
      <c r="I249" s="49">
        <v>46098</v>
      </c>
      <c r="J249" s="8" t="s">
        <v>115</v>
      </c>
      <c r="K249" s="8" t="s">
        <v>102</v>
      </c>
      <c r="L249" s="9" t="s">
        <v>87</v>
      </c>
      <c r="M249" s="9" t="s">
        <v>63</v>
      </c>
      <c r="N249" s="9"/>
      <c r="O249" s="62"/>
      <c r="P249" s="9" t="str">
        <f t="shared" si="3"/>
        <v>ONAY</v>
      </c>
      <c r="Q249" s="10" t="s">
        <v>102</v>
      </c>
    </row>
    <row r="250" spans="1:17" ht="111" customHeight="1" x14ac:dyDescent="0.25">
      <c r="A250" s="5" t="s">
        <v>1270</v>
      </c>
      <c r="B250" s="6" t="s">
        <v>1271</v>
      </c>
      <c r="C250" s="8" t="s">
        <v>213</v>
      </c>
      <c r="D250" s="8" t="s">
        <v>214</v>
      </c>
      <c r="E250" s="7" t="s">
        <v>1272</v>
      </c>
      <c r="F250" s="7" t="s">
        <v>1273</v>
      </c>
      <c r="G250" s="12" t="s">
        <v>33</v>
      </c>
      <c r="H250" s="51">
        <v>46090</v>
      </c>
      <c r="I250" s="49">
        <v>46098</v>
      </c>
      <c r="J250" s="8" t="s">
        <v>77</v>
      </c>
      <c r="K250" s="8" t="s">
        <v>109</v>
      </c>
      <c r="L250" s="9" t="s">
        <v>63</v>
      </c>
      <c r="M250" s="9"/>
      <c r="N250" s="9"/>
      <c r="O250" s="62"/>
      <c r="P250" s="9" t="str">
        <f t="shared" si="3"/>
        <v>ONAY</v>
      </c>
    </row>
    <row r="251" spans="1:17" ht="63" customHeight="1" x14ac:dyDescent="0.25">
      <c r="A251" s="5" t="s">
        <v>1274</v>
      </c>
      <c r="B251" s="6" t="s">
        <v>1275</v>
      </c>
      <c r="C251" s="8" t="s">
        <v>609</v>
      </c>
      <c r="D251" s="8" t="s">
        <v>155</v>
      </c>
      <c r="E251" s="7" t="s">
        <v>1276</v>
      </c>
      <c r="F251" s="7" t="s">
        <v>1277</v>
      </c>
      <c r="G251" s="12" t="s">
        <v>33</v>
      </c>
      <c r="H251" s="51">
        <v>46090</v>
      </c>
      <c r="I251" s="49">
        <v>46098</v>
      </c>
      <c r="J251" s="8" t="s">
        <v>61</v>
      </c>
      <c r="K251" s="8" t="s">
        <v>62</v>
      </c>
      <c r="L251" s="9" t="s">
        <v>87</v>
      </c>
      <c r="M251" s="9" t="s">
        <v>63</v>
      </c>
      <c r="N251" s="9"/>
      <c r="O251" s="62"/>
      <c r="P251" s="9" t="str">
        <f t="shared" si="3"/>
        <v>ONAY</v>
      </c>
      <c r="Q251" s="10" t="s">
        <v>61</v>
      </c>
    </row>
    <row r="252" spans="1:17" ht="63" customHeight="1" x14ac:dyDescent="0.25">
      <c r="A252" s="5" t="s">
        <v>1278</v>
      </c>
      <c r="B252" s="6" t="s">
        <v>1279</v>
      </c>
      <c r="C252" s="8" t="s">
        <v>834</v>
      </c>
      <c r="D252" s="8" t="s">
        <v>377</v>
      </c>
      <c r="E252" s="7" t="s">
        <v>1280</v>
      </c>
      <c r="F252" s="7" t="s">
        <v>1281</v>
      </c>
      <c r="G252" s="12" t="s">
        <v>33</v>
      </c>
      <c r="H252" s="51">
        <v>46090</v>
      </c>
      <c r="I252" s="49">
        <v>46098</v>
      </c>
      <c r="J252" s="8" t="s">
        <v>78</v>
      </c>
      <c r="K252" s="8" t="s">
        <v>86</v>
      </c>
      <c r="L252" s="9" t="s">
        <v>63</v>
      </c>
      <c r="M252" s="9"/>
      <c r="N252" s="9"/>
      <c r="O252" s="62"/>
      <c r="P252" s="9" t="str">
        <f t="shared" si="3"/>
        <v>ONAY</v>
      </c>
    </row>
    <row r="253" spans="1:17" ht="63" customHeight="1" x14ac:dyDescent="0.25">
      <c r="A253" s="5" t="s">
        <v>1282</v>
      </c>
      <c r="B253" s="6" t="s">
        <v>1283</v>
      </c>
      <c r="C253" s="8" t="s">
        <v>1284</v>
      </c>
      <c r="D253" s="8" t="s">
        <v>214</v>
      </c>
      <c r="E253" s="7" t="s">
        <v>1285</v>
      </c>
      <c r="F253" s="7" t="s">
        <v>1286</v>
      </c>
      <c r="G253" s="12" t="s">
        <v>33</v>
      </c>
      <c r="H253" s="51">
        <v>46090</v>
      </c>
      <c r="I253" s="49">
        <v>46098</v>
      </c>
      <c r="J253" s="8" t="s">
        <v>77</v>
      </c>
      <c r="K253" s="8" t="s">
        <v>85</v>
      </c>
      <c r="L253" s="9" t="s">
        <v>158</v>
      </c>
      <c r="M253" s="9"/>
      <c r="N253" s="9"/>
      <c r="O253" s="62"/>
      <c r="P253" s="9" t="str">
        <f t="shared" si="3"/>
        <v>RET</v>
      </c>
    </row>
    <row r="254" spans="1:17" ht="78.75" customHeight="1" x14ac:dyDescent="0.25">
      <c r="A254" s="5" t="s">
        <v>1287</v>
      </c>
      <c r="B254" s="6" t="s">
        <v>1288</v>
      </c>
      <c r="C254" s="8" t="s">
        <v>410</v>
      </c>
      <c r="D254" s="8" t="s">
        <v>350</v>
      </c>
      <c r="E254" s="7" t="s">
        <v>1289</v>
      </c>
      <c r="F254" s="7" t="s">
        <v>1290</v>
      </c>
      <c r="G254" s="12" t="s">
        <v>33</v>
      </c>
      <c r="H254" s="51">
        <v>46090</v>
      </c>
      <c r="I254" s="49">
        <v>46098</v>
      </c>
      <c r="J254" s="8" t="s">
        <v>102</v>
      </c>
      <c r="K254" s="8" t="s">
        <v>78</v>
      </c>
      <c r="L254" s="9" t="s">
        <v>63</v>
      </c>
      <c r="M254" s="9"/>
      <c r="N254" s="9"/>
      <c r="O254" s="62"/>
      <c r="P254" s="9" t="str">
        <f t="shared" si="3"/>
        <v>ONAY</v>
      </c>
    </row>
    <row r="255" spans="1:17" ht="78.75" customHeight="1" x14ac:dyDescent="0.25">
      <c r="A255" s="5" t="s">
        <v>1291</v>
      </c>
      <c r="B255" s="6" t="s">
        <v>1292</v>
      </c>
      <c r="C255" s="8" t="s">
        <v>638</v>
      </c>
      <c r="D255" s="8" t="s">
        <v>350</v>
      </c>
      <c r="E255" s="7" t="s">
        <v>1293</v>
      </c>
      <c r="F255" s="7" t="s">
        <v>1294</v>
      </c>
      <c r="G255" s="12" t="s">
        <v>33</v>
      </c>
      <c r="H255" s="51">
        <v>46090</v>
      </c>
      <c r="I255" s="49">
        <v>46098</v>
      </c>
      <c r="J255" s="8" t="s">
        <v>94</v>
      </c>
      <c r="K255" s="8" t="s">
        <v>102</v>
      </c>
      <c r="L255" s="9" t="s">
        <v>63</v>
      </c>
      <c r="M255" s="9"/>
      <c r="N255" s="9"/>
      <c r="O255" s="62"/>
      <c r="P255" s="9" t="str">
        <f t="shared" si="3"/>
        <v>ONAY</v>
      </c>
    </row>
    <row r="256" spans="1:17" ht="78.75" customHeight="1" x14ac:dyDescent="0.25">
      <c r="A256" s="5" t="s">
        <v>1295</v>
      </c>
      <c r="B256" s="6" t="s">
        <v>1296</v>
      </c>
      <c r="C256" s="8" t="s">
        <v>619</v>
      </c>
      <c r="D256" s="8" t="s">
        <v>214</v>
      </c>
      <c r="E256" s="7" t="s">
        <v>1297</v>
      </c>
      <c r="F256" s="7" t="s">
        <v>1298</v>
      </c>
      <c r="G256" s="12" t="s">
        <v>33</v>
      </c>
      <c r="H256" s="51">
        <v>46090</v>
      </c>
      <c r="I256" s="49">
        <v>46098</v>
      </c>
      <c r="J256" s="8" t="s">
        <v>115</v>
      </c>
      <c r="K256" s="8" t="s">
        <v>70</v>
      </c>
      <c r="L256" s="9" t="s">
        <v>63</v>
      </c>
      <c r="M256" s="9"/>
      <c r="N256" s="9"/>
      <c r="O256" s="62"/>
      <c r="P256" s="9" t="str">
        <f t="shared" si="3"/>
        <v>ONAY</v>
      </c>
    </row>
    <row r="257" spans="1:17" ht="78.75" customHeight="1" x14ac:dyDescent="0.25">
      <c r="A257" s="5" t="s">
        <v>1299</v>
      </c>
      <c r="B257" s="6" t="s">
        <v>1300</v>
      </c>
      <c r="C257" s="8" t="s">
        <v>382</v>
      </c>
      <c r="D257" s="8" t="s">
        <v>383</v>
      </c>
      <c r="E257" s="7" t="s">
        <v>1301</v>
      </c>
      <c r="F257" s="7" t="s">
        <v>1302</v>
      </c>
      <c r="G257" s="12" t="s">
        <v>36</v>
      </c>
      <c r="H257" s="51">
        <v>46090</v>
      </c>
      <c r="I257" s="49">
        <v>46098</v>
      </c>
      <c r="J257" s="8" t="s">
        <v>61</v>
      </c>
      <c r="K257" s="8" t="s">
        <v>70</v>
      </c>
      <c r="L257" s="9" t="s">
        <v>87</v>
      </c>
      <c r="M257" s="9" t="s">
        <v>63</v>
      </c>
      <c r="N257" s="9"/>
      <c r="O257" s="62"/>
      <c r="P257" s="9" t="str">
        <f t="shared" si="3"/>
        <v>ONAY</v>
      </c>
      <c r="Q257" s="10" t="s">
        <v>61</v>
      </c>
    </row>
    <row r="258" spans="1:17" ht="63" customHeight="1" x14ac:dyDescent="0.25">
      <c r="A258" s="5" t="s">
        <v>1303</v>
      </c>
      <c r="B258" s="6" t="s">
        <v>1304</v>
      </c>
      <c r="C258" s="8" t="s">
        <v>1305</v>
      </c>
      <c r="D258" s="8" t="s">
        <v>201</v>
      </c>
      <c r="E258" s="7" t="s">
        <v>1306</v>
      </c>
      <c r="F258" s="7" t="s">
        <v>1307</v>
      </c>
      <c r="G258" s="12" t="s">
        <v>33</v>
      </c>
      <c r="H258" s="51">
        <v>46090</v>
      </c>
      <c r="I258" s="49">
        <v>46098</v>
      </c>
      <c r="J258" s="8" t="s">
        <v>109</v>
      </c>
      <c r="K258" s="8" t="s">
        <v>62</v>
      </c>
      <c r="L258" s="9" t="s">
        <v>87</v>
      </c>
      <c r="M258" s="9"/>
      <c r="N258" s="9"/>
      <c r="O258" s="62"/>
      <c r="P258" s="9" t="str">
        <f t="shared" ref="P258:P321" si="4">IF(O258&lt;&gt;"",O258, IF(N258&lt;&gt;"",N258, IF(M258&lt;&gt;"",M258, L258)))</f>
        <v>DÜZELTME</v>
      </c>
    </row>
    <row r="259" spans="1:17" ht="80.25" customHeight="1" x14ac:dyDescent="0.25">
      <c r="A259" s="5" t="s">
        <v>1308</v>
      </c>
      <c r="B259" s="6" t="s">
        <v>1309</v>
      </c>
      <c r="C259" s="8" t="s">
        <v>1305</v>
      </c>
      <c r="D259" s="8" t="s">
        <v>201</v>
      </c>
      <c r="E259" s="7" t="s">
        <v>1306</v>
      </c>
      <c r="F259" s="7" t="s">
        <v>1310</v>
      </c>
      <c r="G259" s="12" t="s">
        <v>33</v>
      </c>
      <c r="H259" s="51">
        <v>46090</v>
      </c>
      <c r="I259" s="49">
        <v>46098</v>
      </c>
      <c r="J259" s="8" t="s">
        <v>109</v>
      </c>
      <c r="K259" s="8" t="s">
        <v>85</v>
      </c>
      <c r="L259" s="9" t="s">
        <v>87</v>
      </c>
      <c r="M259" s="9"/>
      <c r="N259" s="9"/>
      <c r="O259" s="62"/>
      <c r="P259" s="9" t="str">
        <f t="shared" si="4"/>
        <v>DÜZELTME</v>
      </c>
    </row>
    <row r="260" spans="1:17" ht="78.75" customHeight="1" x14ac:dyDescent="0.25">
      <c r="A260" s="5" t="s">
        <v>1311</v>
      </c>
      <c r="B260" s="6" t="s">
        <v>1312</v>
      </c>
      <c r="C260" s="8" t="s">
        <v>1313</v>
      </c>
      <c r="D260" s="8" t="s">
        <v>208</v>
      </c>
      <c r="E260" s="7" t="s">
        <v>1314</v>
      </c>
      <c r="F260" s="7" t="s">
        <v>1315</v>
      </c>
      <c r="G260" s="12" t="s">
        <v>33</v>
      </c>
      <c r="H260" s="51">
        <v>46090</v>
      </c>
      <c r="I260" s="49">
        <v>46098</v>
      </c>
      <c r="J260" s="8" t="s">
        <v>62</v>
      </c>
      <c r="K260" s="8" t="s">
        <v>86</v>
      </c>
      <c r="L260" s="9" t="s">
        <v>63</v>
      </c>
      <c r="M260" s="9"/>
      <c r="N260" s="9"/>
      <c r="O260" s="62"/>
      <c r="P260" s="9" t="str">
        <f t="shared" si="4"/>
        <v>ONAY</v>
      </c>
    </row>
    <row r="261" spans="1:17" ht="94.5" customHeight="1" x14ac:dyDescent="0.25">
      <c r="A261" s="5" t="s">
        <v>1316</v>
      </c>
      <c r="B261" s="6" t="s">
        <v>1317</v>
      </c>
      <c r="C261" s="8" t="s">
        <v>207</v>
      </c>
      <c r="D261" s="8" t="s">
        <v>208</v>
      </c>
      <c r="E261" s="7" t="s">
        <v>1318</v>
      </c>
      <c r="F261" s="7" t="s">
        <v>1319</v>
      </c>
      <c r="G261" s="12" t="s">
        <v>33</v>
      </c>
      <c r="H261" s="51">
        <v>46090</v>
      </c>
      <c r="I261" s="49">
        <v>46098</v>
      </c>
      <c r="J261" s="8" t="s">
        <v>61</v>
      </c>
      <c r="K261" s="8" t="s">
        <v>77</v>
      </c>
      <c r="L261" s="9" t="s">
        <v>87</v>
      </c>
      <c r="M261" s="9" t="s">
        <v>87</v>
      </c>
      <c r="N261" s="9"/>
      <c r="O261" s="62"/>
      <c r="P261" s="9" t="str">
        <f t="shared" si="4"/>
        <v>DÜZELTME</v>
      </c>
    </row>
    <row r="262" spans="1:17" ht="96" customHeight="1" x14ac:dyDescent="0.25">
      <c r="A262" s="5" t="s">
        <v>1320</v>
      </c>
      <c r="B262" s="6" t="s">
        <v>1321</v>
      </c>
      <c r="C262" s="8" t="s">
        <v>1322</v>
      </c>
      <c r="D262" s="8" t="s">
        <v>208</v>
      </c>
      <c r="E262" s="7" t="s">
        <v>1323</v>
      </c>
      <c r="F262" s="7" t="s">
        <v>1324</v>
      </c>
      <c r="G262" s="12" t="s">
        <v>33</v>
      </c>
      <c r="H262" s="51">
        <v>46090</v>
      </c>
      <c r="I262" s="49">
        <v>46098</v>
      </c>
      <c r="J262" s="8" t="s">
        <v>86</v>
      </c>
      <c r="K262" s="8" t="s">
        <v>102</v>
      </c>
      <c r="L262" s="9" t="s">
        <v>63</v>
      </c>
      <c r="M262" s="9"/>
      <c r="N262" s="9"/>
      <c r="O262" s="62"/>
      <c r="P262" s="9" t="str">
        <f t="shared" si="4"/>
        <v>ONAY</v>
      </c>
    </row>
    <row r="263" spans="1:17" ht="95.25" customHeight="1" x14ac:dyDescent="0.25">
      <c r="A263" s="5" t="s">
        <v>1325</v>
      </c>
      <c r="B263" s="6" t="s">
        <v>1326</v>
      </c>
      <c r="C263" s="8" t="s">
        <v>1327</v>
      </c>
      <c r="D263" s="8" t="s">
        <v>1328</v>
      </c>
      <c r="E263" s="7" t="s">
        <v>1329</v>
      </c>
      <c r="F263" s="7" t="s">
        <v>1330</v>
      </c>
      <c r="G263" s="12" t="s">
        <v>34</v>
      </c>
      <c r="H263" s="51">
        <v>46090</v>
      </c>
      <c r="I263" s="49">
        <v>46098</v>
      </c>
      <c r="J263" s="8" t="s">
        <v>94</v>
      </c>
      <c r="K263" s="8" t="s">
        <v>115</v>
      </c>
      <c r="L263" s="9" t="s">
        <v>63</v>
      </c>
      <c r="M263" s="9"/>
      <c r="N263" s="9"/>
      <c r="O263" s="62"/>
      <c r="P263" s="9" t="str">
        <f t="shared" si="4"/>
        <v>ONAY</v>
      </c>
    </row>
    <row r="264" spans="1:17" ht="238.5" customHeight="1" x14ac:dyDescent="0.25">
      <c r="A264" s="5" t="s">
        <v>1331</v>
      </c>
      <c r="B264" s="6" t="s">
        <v>1332</v>
      </c>
      <c r="C264" s="8" t="s">
        <v>195</v>
      </c>
      <c r="D264" s="8" t="s">
        <v>119</v>
      </c>
      <c r="E264" s="7" t="s">
        <v>1333</v>
      </c>
      <c r="F264" s="7" t="s">
        <v>1334</v>
      </c>
      <c r="G264" s="12" t="s">
        <v>33</v>
      </c>
      <c r="H264" s="51">
        <v>46090</v>
      </c>
      <c r="I264" s="49">
        <v>46098</v>
      </c>
      <c r="J264" s="8" t="s">
        <v>85</v>
      </c>
      <c r="K264" s="8" t="s">
        <v>78</v>
      </c>
      <c r="L264" s="9" t="s">
        <v>63</v>
      </c>
      <c r="M264" s="9"/>
      <c r="N264" s="9"/>
      <c r="O264" s="62"/>
      <c r="P264" s="9" t="str">
        <f t="shared" si="4"/>
        <v>ONAY</v>
      </c>
    </row>
    <row r="265" spans="1:17" ht="63" customHeight="1" x14ac:dyDescent="0.25">
      <c r="A265" s="5" t="s">
        <v>1335</v>
      </c>
      <c r="B265" s="6" t="s">
        <v>1336</v>
      </c>
      <c r="C265" s="8" t="s">
        <v>1337</v>
      </c>
      <c r="D265" s="8" t="s">
        <v>99</v>
      </c>
      <c r="E265" s="7" t="s">
        <v>1338</v>
      </c>
      <c r="F265" s="7" t="s">
        <v>1339</v>
      </c>
      <c r="G265" s="12" t="s">
        <v>33</v>
      </c>
      <c r="H265" s="51">
        <v>46090</v>
      </c>
      <c r="I265" s="49">
        <v>46098</v>
      </c>
      <c r="J265" s="8" t="s">
        <v>109</v>
      </c>
      <c r="K265" s="8" t="s">
        <v>70</v>
      </c>
      <c r="L265" s="9" t="s">
        <v>87</v>
      </c>
      <c r="M265" s="9" t="s">
        <v>63</v>
      </c>
      <c r="N265" s="9"/>
      <c r="O265" s="62"/>
      <c r="P265" s="9" t="str">
        <f t="shared" si="4"/>
        <v>ONAY</v>
      </c>
      <c r="Q265" s="10" t="s">
        <v>70</v>
      </c>
    </row>
    <row r="266" spans="1:17" ht="63" customHeight="1" x14ac:dyDescent="0.25">
      <c r="A266" s="5" t="s">
        <v>1340</v>
      </c>
      <c r="B266" s="6" t="s">
        <v>1341</v>
      </c>
      <c r="C266" s="8" t="s">
        <v>1337</v>
      </c>
      <c r="D266" s="8" t="s">
        <v>99</v>
      </c>
      <c r="E266" s="7" t="s">
        <v>1338</v>
      </c>
      <c r="F266" s="7" t="s">
        <v>1342</v>
      </c>
      <c r="G266" s="12" t="s">
        <v>33</v>
      </c>
      <c r="H266" s="51">
        <v>46090</v>
      </c>
      <c r="I266" s="49">
        <v>46098</v>
      </c>
      <c r="J266" s="8" t="s">
        <v>109</v>
      </c>
      <c r="K266" s="8" t="s">
        <v>70</v>
      </c>
      <c r="L266" s="9" t="s">
        <v>87</v>
      </c>
      <c r="M266" s="9" t="s">
        <v>63</v>
      </c>
      <c r="N266" s="9"/>
      <c r="O266" s="62"/>
      <c r="P266" s="9" t="str">
        <f t="shared" si="4"/>
        <v>ONAY</v>
      </c>
      <c r="Q266" s="10" t="s">
        <v>70</v>
      </c>
    </row>
    <row r="267" spans="1:17" ht="63" customHeight="1" x14ac:dyDescent="0.25">
      <c r="A267" s="5" t="s">
        <v>1343</v>
      </c>
      <c r="B267" s="6" t="s">
        <v>1344</v>
      </c>
      <c r="C267" s="8" t="s">
        <v>188</v>
      </c>
      <c r="D267" s="8" t="s">
        <v>189</v>
      </c>
      <c r="E267" s="7" t="s">
        <v>1345</v>
      </c>
      <c r="F267" s="7" t="s">
        <v>1346</v>
      </c>
      <c r="G267" s="12" t="s">
        <v>36</v>
      </c>
      <c r="H267" s="51">
        <v>46090</v>
      </c>
      <c r="I267" s="49">
        <v>46098</v>
      </c>
      <c r="J267" s="8" t="s">
        <v>85</v>
      </c>
      <c r="K267" s="8" t="s">
        <v>86</v>
      </c>
      <c r="L267" s="9" t="s">
        <v>87</v>
      </c>
      <c r="M267" s="9" t="s">
        <v>63</v>
      </c>
      <c r="N267" s="9"/>
      <c r="O267" s="62"/>
      <c r="P267" s="9" t="str">
        <f t="shared" si="4"/>
        <v>ONAY</v>
      </c>
      <c r="Q267" s="10" t="s">
        <v>86</v>
      </c>
    </row>
    <row r="268" spans="1:17" ht="78.75" customHeight="1" x14ac:dyDescent="0.25">
      <c r="A268" s="5" t="s">
        <v>1347</v>
      </c>
      <c r="B268" s="6" t="s">
        <v>1348</v>
      </c>
      <c r="C268" s="8" t="s">
        <v>1349</v>
      </c>
      <c r="D268" s="8" t="s">
        <v>525</v>
      </c>
      <c r="E268" s="7" t="s">
        <v>1350</v>
      </c>
      <c r="F268" s="7" t="s">
        <v>1351</v>
      </c>
      <c r="G268" s="12" t="s">
        <v>34</v>
      </c>
      <c r="H268" s="51">
        <v>46090</v>
      </c>
      <c r="I268" s="49">
        <v>46098</v>
      </c>
      <c r="J268" s="8" t="s">
        <v>109</v>
      </c>
      <c r="K268" s="8" t="s">
        <v>102</v>
      </c>
      <c r="L268" s="9" t="s">
        <v>204</v>
      </c>
      <c r="M268" s="9"/>
      <c r="N268" s="9"/>
      <c r="O268" s="62"/>
      <c r="P268" s="9" t="str">
        <f t="shared" si="4"/>
        <v>KAEK</v>
      </c>
    </row>
    <row r="269" spans="1:17" ht="63" customHeight="1" x14ac:dyDescent="0.25">
      <c r="A269" s="5" t="s">
        <v>1352</v>
      </c>
      <c r="B269" s="6" t="s">
        <v>1353</v>
      </c>
      <c r="C269" s="8" t="s">
        <v>1223</v>
      </c>
      <c r="D269" s="8" t="s">
        <v>400</v>
      </c>
      <c r="E269" s="7" t="s">
        <v>1354</v>
      </c>
      <c r="F269" s="7" t="s">
        <v>1355</v>
      </c>
      <c r="G269" s="12" t="s">
        <v>34</v>
      </c>
      <c r="H269" s="51">
        <v>46090</v>
      </c>
      <c r="I269" s="49">
        <v>46098</v>
      </c>
      <c r="J269" s="8" t="s">
        <v>109</v>
      </c>
      <c r="K269" s="8" t="s">
        <v>102</v>
      </c>
      <c r="L269" s="9" t="s">
        <v>63</v>
      </c>
      <c r="M269" s="9"/>
      <c r="N269" s="9"/>
      <c r="O269" s="62"/>
      <c r="P269" s="9" t="str">
        <f t="shared" si="4"/>
        <v>ONAY</v>
      </c>
    </row>
    <row r="270" spans="1:17" ht="78.75" customHeight="1" x14ac:dyDescent="0.25">
      <c r="A270" s="5" t="s">
        <v>1356</v>
      </c>
      <c r="B270" s="6" t="s">
        <v>1357</v>
      </c>
      <c r="C270" s="8" t="s">
        <v>1358</v>
      </c>
      <c r="D270" s="8" t="s">
        <v>208</v>
      </c>
      <c r="E270" s="7" t="s">
        <v>1359</v>
      </c>
      <c r="F270" s="7" t="s">
        <v>1360</v>
      </c>
      <c r="G270" s="12" t="s">
        <v>33</v>
      </c>
      <c r="H270" s="51">
        <v>46090</v>
      </c>
      <c r="I270" s="49">
        <v>46098</v>
      </c>
      <c r="J270" s="8" t="s">
        <v>94</v>
      </c>
      <c r="K270" s="8" t="s">
        <v>62</v>
      </c>
      <c r="L270" s="9" t="s">
        <v>63</v>
      </c>
      <c r="M270" s="9"/>
      <c r="N270" s="9"/>
      <c r="O270" s="62"/>
      <c r="P270" s="9" t="str">
        <f t="shared" si="4"/>
        <v>ONAY</v>
      </c>
    </row>
    <row r="271" spans="1:17" ht="78.75" customHeight="1" x14ac:dyDescent="0.25">
      <c r="A271" s="5" t="s">
        <v>1361</v>
      </c>
      <c r="B271" s="6" t="s">
        <v>1362</v>
      </c>
      <c r="C271" s="8" t="s">
        <v>1363</v>
      </c>
      <c r="D271" s="8" t="s">
        <v>208</v>
      </c>
      <c r="E271" s="7" t="s">
        <v>1364</v>
      </c>
      <c r="F271" s="7" t="s">
        <v>1365</v>
      </c>
      <c r="G271" s="12" t="s">
        <v>33</v>
      </c>
      <c r="H271" s="51">
        <v>46090</v>
      </c>
      <c r="I271" s="49">
        <v>46098</v>
      </c>
      <c r="J271" s="8" t="s">
        <v>61</v>
      </c>
      <c r="K271" s="8" t="s">
        <v>115</v>
      </c>
      <c r="L271" s="9" t="s">
        <v>63</v>
      </c>
      <c r="M271" s="9"/>
      <c r="N271" s="9"/>
      <c r="O271" s="62"/>
      <c r="P271" s="9" t="str">
        <f t="shared" si="4"/>
        <v>ONAY</v>
      </c>
    </row>
    <row r="272" spans="1:17" ht="110.25" customHeight="1" x14ac:dyDescent="0.25">
      <c r="A272" s="5" t="s">
        <v>1366</v>
      </c>
      <c r="B272" s="6" t="s">
        <v>1367</v>
      </c>
      <c r="C272" s="8" t="s">
        <v>1363</v>
      </c>
      <c r="D272" s="8" t="s">
        <v>208</v>
      </c>
      <c r="E272" s="7" t="s">
        <v>1368</v>
      </c>
      <c r="F272" s="7" t="s">
        <v>1369</v>
      </c>
      <c r="G272" s="12" t="s">
        <v>33</v>
      </c>
      <c r="H272" s="51">
        <v>46090</v>
      </c>
      <c r="I272" s="49">
        <v>46098</v>
      </c>
      <c r="J272" s="8" t="s">
        <v>61</v>
      </c>
      <c r="K272" s="8" t="s">
        <v>94</v>
      </c>
      <c r="L272" s="9" t="s">
        <v>63</v>
      </c>
      <c r="M272" s="9"/>
      <c r="N272" s="9"/>
      <c r="O272" s="62"/>
      <c r="P272" s="9" t="str">
        <f t="shared" si="4"/>
        <v>ONAY</v>
      </c>
    </row>
    <row r="273" spans="1:17" ht="82.5" customHeight="1" x14ac:dyDescent="0.25">
      <c r="A273" s="5" t="s">
        <v>1370</v>
      </c>
      <c r="B273" s="6" t="s">
        <v>1371</v>
      </c>
      <c r="C273" s="8" t="s">
        <v>271</v>
      </c>
      <c r="D273" s="8" t="s">
        <v>208</v>
      </c>
      <c r="E273" s="7" t="s">
        <v>1372</v>
      </c>
      <c r="F273" s="7" t="s">
        <v>1373</v>
      </c>
      <c r="G273" s="12" t="s">
        <v>33</v>
      </c>
      <c r="H273" s="51">
        <v>46090</v>
      </c>
      <c r="I273" s="49">
        <v>46098</v>
      </c>
      <c r="J273" s="8" t="s">
        <v>62</v>
      </c>
      <c r="K273" s="8" t="s">
        <v>78</v>
      </c>
      <c r="L273" s="9" t="s">
        <v>63</v>
      </c>
      <c r="M273" s="9"/>
      <c r="N273" s="9"/>
      <c r="O273" s="62"/>
      <c r="P273" s="9" t="str">
        <f t="shared" si="4"/>
        <v>ONAY</v>
      </c>
    </row>
    <row r="274" spans="1:17" ht="63" customHeight="1" x14ac:dyDescent="0.25">
      <c r="A274" s="5" t="s">
        <v>1374</v>
      </c>
      <c r="B274" s="6" t="s">
        <v>1375</v>
      </c>
      <c r="C274" s="8" t="s">
        <v>1337</v>
      </c>
      <c r="D274" s="8" t="s">
        <v>99</v>
      </c>
      <c r="E274" s="7" t="s">
        <v>1376</v>
      </c>
      <c r="F274" s="7" t="s">
        <v>1377</v>
      </c>
      <c r="G274" s="12" t="s">
        <v>33</v>
      </c>
      <c r="H274" s="51">
        <v>46094</v>
      </c>
      <c r="I274" s="49">
        <v>46112</v>
      </c>
      <c r="J274" s="8" t="s">
        <v>102</v>
      </c>
      <c r="K274" s="8" t="s">
        <v>70</v>
      </c>
      <c r="L274" s="9" t="s">
        <v>87</v>
      </c>
      <c r="M274" s="9"/>
      <c r="N274" s="9"/>
      <c r="O274" s="62"/>
      <c r="P274" s="9" t="str">
        <f t="shared" si="4"/>
        <v>DÜZELTME</v>
      </c>
    </row>
    <row r="275" spans="1:17" ht="78.75" customHeight="1" x14ac:dyDescent="0.25">
      <c r="A275" s="5" t="s">
        <v>1378</v>
      </c>
      <c r="B275" s="6" t="s">
        <v>1379</v>
      </c>
      <c r="C275" s="8" t="s">
        <v>62</v>
      </c>
      <c r="D275" s="8" t="s">
        <v>208</v>
      </c>
      <c r="E275" s="7" t="s">
        <v>1380</v>
      </c>
      <c r="F275" s="7" t="s">
        <v>1381</v>
      </c>
      <c r="G275" s="12" t="s">
        <v>33</v>
      </c>
      <c r="H275" s="51">
        <v>46094</v>
      </c>
      <c r="I275" s="49">
        <v>46112</v>
      </c>
      <c r="J275" s="8" t="s">
        <v>77</v>
      </c>
      <c r="K275" s="8" t="s">
        <v>85</v>
      </c>
      <c r="L275" s="9" t="s">
        <v>87</v>
      </c>
      <c r="M275" s="9"/>
      <c r="N275" s="9"/>
      <c r="O275" s="62"/>
      <c r="P275" s="9" t="str">
        <f t="shared" si="4"/>
        <v>DÜZELTME</v>
      </c>
    </row>
    <row r="276" spans="1:17" ht="96" customHeight="1" x14ac:dyDescent="0.25">
      <c r="A276" s="5" t="s">
        <v>1382</v>
      </c>
      <c r="B276" s="6" t="s">
        <v>1383</v>
      </c>
      <c r="C276" s="8" t="s">
        <v>344</v>
      </c>
      <c r="D276" s="8" t="s">
        <v>214</v>
      </c>
      <c r="E276" s="7" t="s">
        <v>1384</v>
      </c>
      <c r="F276" s="7" t="s">
        <v>1385</v>
      </c>
      <c r="G276" s="12" t="s">
        <v>33</v>
      </c>
      <c r="H276" s="51">
        <v>46094</v>
      </c>
      <c r="I276" s="49">
        <v>46112</v>
      </c>
      <c r="J276" s="8" t="s">
        <v>77</v>
      </c>
      <c r="K276" s="8" t="s">
        <v>70</v>
      </c>
      <c r="L276" s="9" t="s">
        <v>87</v>
      </c>
      <c r="M276" s="9" t="s">
        <v>63</v>
      </c>
      <c r="N276" s="9"/>
      <c r="O276" s="62"/>
      <c r="P276" s="9" t="str">
        <f t="shared" si="4"/>
        <v>ONAY</v>
      </c>
      <c r="Q276" s="10" t="s">
        <v>77</v>
      </c>
    </row>
    <row r="277" spans="1:17" ht="63" customHeight="1" x14ac:dyDescent="0.25">
      <c r="A277" s="5" t="s">
        <v>1386</v>
      </c>
      <c r="B277" s="6" t="s">
        <v>1387</v>
      </c>
      <c r="C277" s="8" t="s">
        <v>1388</v>
      </c>
      <c r="D277" s="8" t="s">
        <v>136</v>
      </c>
      <c r="E277" s="7" t="s">
        <v>1389</v>
      </c>
      <c r="F277" s="7" t="s">
        <v>1390</v>
      </c>
      <c r="G277" s="12" t="s">
        <v>34</v>
      </c>
      <c r="H277" s="51">
        <v>46094</v>
      </c>
      <c r="I277" s="49">
        <v>46112</v>
      </c>
      <c r="J277" s="8" t="s">
        <v>62</v>
      </c>
      <c r="K277" s="8" t="s">
        <v>78</v>
      </c>
      <c r="L277" s="9" t="s">
        <v>139</v>
      </c>
      <c r="M277" s="9"/>
      <c r="N277" s="9"/>
      <c r="O277" s="62"/>
      <c r="P277" s="9" t="str">
        <f t="shared" si="4"/>
        <v>KAPSAM DIŞI</v>
      </c>
    </row>
    <row r="278" spans="1:17" ht="78.75" customHeight="1" x14ac:dyDescent="0.25">
      <c r="A278" s="5" t="s">
        <v>1391</v>
      </c>
      <c r="B278" s="6" t="s">
        <v>1392</v>
      </c>
      <c r="C278" s="8" t="s">
        <v>1393</v>
      </c>
      <c r="D278" s="8" t="s">
        <v>74</v>
      </c>
      <c r="E278" s="7" t="s">
        <v>1394</v>
      </c>
      <c r="F278" s="7" t="s">
        <v>1395</v>
      </c>
      <c r="G278" s="12" t="s">
        <v>33</v>
      </c>
      <c r="H278" s="51">
        <v>46094</v>
      </c>
      <c r="I278" s="49">
        <v>46112</v>
      </c>
      <c r="J278" s="8" t="s">
        <v>78</v>
      </c>
      <c r="K278" s="8" t="s">
        <v>95</v>
      </c>
      <c r="L278" s="9" t="s">
        <v>87</v>
      </c>
      <c r="M278" s="9"/>
      <c r="N278" s="9"/>
      <c r="O278" s="62"/>
      <c r="P278" s="9" t="str">
        <f t="shared" si="4"/>
        <v>DÜZELTME</v>
      </c>
    </row>
    <row r="279" spans="1:17" ht="78.75" customHeight="1" x14ac:dyDescent="0.25">
      <c r="A279" s="5" t="s">
        <v>1396</v>
      </c>
      <c r="B279" s="6" t="s">
        <v>1397</v>
      </c>
      <c r="C279" s="8" t="s">
        <v>1398</v>
      </c>
      <c r="D279" s="8" t="s">
        <v>208</v>
      </c>
      <c r="E279" s="7" t="s">
        <v>1399</v>
      </c>
      <c r="F279" s="7" t="s">
        <v>1400</v>
      </c>
      <c r="G279" s="12" t="s">
        <v>33</v>
      </c>
      <c r="H279" s="51">
        <v>46094</v>
      </c>
      <c r="I279" s="49">
        <v>46112</v>
      </c>
      <c r="J279" s="8" t="s">
        <v>62</v>
      </c>
      <c r="K279" s="8" t="s">
        <v>70</v>
      </c>
      <c r="L279" s="9" t="s">
        <v>63</v>
      </c>
      <c r="M279" s="9"/>
      <c r="N279" s="9"/>
      <c r="O279" s="62"/>
      <c r="P279" s="9" t="str">
        <f t="shared" si="4"/>
        <v>ONAY</v>
      </c>
    </row>
    <row r="280" spans="1:17" ht="94.5" customHeight="1" x14ac:dyDescent="0.25">
      <c r="A280" s="5" t="s">
        <v>1401</v>
      </c>
      <c r="B280" s="6" t="s">
        <v>1402</v>
      </c>
      <c r="C280" s="8" t="s">
        <v>282</v>
      </c>
      <c r="D280" s="8" t="s">
        <v>283</v>
      </c>
      <c r="E280" s="7" t="s">
        <v>1403</v>
      </c>
      <c r="F280" s="7" t="s">
        <v>1404</v>
      </c>
      <c r="G280" s="12" t="s">
        <v>33</v>
      </c>
      <c r="H280" s="51">
        <v>46094</v>
      </c>
      <c r="I280" s="49">
        <v>46112</v>
      </c>
      <c r="J280" s="8" t="s">
        <v>109</v>
      </c>
      <c r="K280" s="8" t="s">
        <v>85</v>
      </c>
      <c r="L280" s="9" t="s">
        <v>204</v>
      </c>
      <c r="M280" s="9"/>
      <c r="N280" s="9"/>
      <c r="O280" s="62"/>
      <c r="P280" s="9" t="str">
        <f t="shared" si="4"/>
        <v>KAEK</v>
      </c>
    </row>
    <row r="281" spans="1:17" ht="78.75" customHeight="1" x14ac:dyDescent="0.25">
      <c r="A281" s="5" t="s">
        <v>1405</v>
      </c>
      <c r="B281" s="6" t="s">
        <v>1406</v>
      </c>
      <c r="C281" s="8" t="s">
        <v>1077</v>
      </c>
      <c r="D281" s="8" t="s">
        <v>189</v>
      </c>
      <c r="E281" s="7" t="s">
        <v>1407</v>
      </c>
      <c r="F281" s="7" t="s">
        <v>1408</v>
      </c>
      <c r="G281" s="12" t="s">
        <v>36</v>
      </c>
      <c r="H281" s="51">
        <v>46094</v>
      </c>
      <c r="I281" s="49">
        <v>46112</v>
      </c>
      <c r="J281" s="8" t="s">
        <v>85</v>
      </c>
      <c r="K281" s="8" t="s">
        <v>86</v>
      </c>
      <c r="L281" s="9" t="s">
        <v>63</v>
      </c>
      <c r="M281" s="9"/>
      <c r="N281" s="9"/>
      <c r="O281" s="62"/>
      <c r="P281" s="9" t="str">
        <f t="shared" si="4"/>
        <v>ONAY</v>
      </c>
    </row>
    <row r="282" spans="1:17" ht="47.25" customHeight="1" x14ac:dyDescent="0.25">
      <c r="A282" s="5" t="s">
        <v>1409</v>
      </c>
      <c r="B282" s="6" t="s">
        <v>1410</v>
      </c>
      <c r="C282" s="8" t="s">
        <v>1411</v>
      </c>
      <c r="D282" s="8" t="s">
        <v>951</v>
      </c>
      <c r="E282" s="7" t="s">
        <v>1412</v>
      </c>
      <c r="F282" s="7" t="s">
        <v>1413</v>
      </c>
      <c r="G282" s="12" t="s">
        <v>34</v>
      </c>
      <c r="H282" s="51">
        <v>46094</v>
      </c>
      <c r="I282" s="49">
        <v>46112</v>
      </c>
      <c r="J282" s="8" t="s">
        <v>109</v>
      </c>
      <c r="K282" s="8" t="s">
        <v>70</v>
      </c>
      <c r="L282" s="9" t="s">
        <v>87</v>
      </c>
      <c r="M282" s="9" t="s">
        <v>63</v>
      </c>
      <c r="N282" s="9"/>
      <c r="O282" s="62"/>
      <c r="P282" s="9" t="str">
        <f t="shared" si="4"/>
        <v>ONAY</v>
      </c>
      <c r="Q282" s="10" t="s">
        <v>70</v>
      </c>
    </row>
    <row r="283" spans="1:17" ht="47.25" customHeight="1" x14ac:dyDescent="0.25">
      <c r="A283" s="5" t="s">
        <v>1414</v>
      </c>
      <c r="B283" s="6" t="s">
        <v>1415</v>
      </c>
      <c r="C283" s="8" t="s">
        <v>1416</v>
      </c>
      <c r="D283" s="8" t="s">
        <v>99</v>
      </c>
      <c r="E283" s="7" t="s">
        <v>1417</v>
      </c>
      <c r="F283" s="7" t="s">
        <v>1418</v>
      </c>
      <c r="G283" s="12" t="s">
        <v>34</v>
      </c>
      <c r="H283" s="51">
        <v>46097</v>
      </c>
      <c r="I283" s="49">
        <v>46112</v>
      </c>
      <c r="J283" s="8" t="s">
        <v>86</v>
      </c>
      <c r="K283" s="8" t="s">
        <v>95</v>
      </c>
      <c r="L283" s="9" t="s">
        <v>87</v>
      </c>
      <c r="M283" s="9"/>
      <c r="N283" s="9"/>
      <c r="O283" s="62"/>
      <c r="P283" s="9" t="str">
        <f t="shared" si="4"/>
        <v>DÜZELTME</v>
      </c>
    </row>
    <row r="284" spans="1:17" ht="78.75" customHeight="1" x14ac:dyDescent="0.25">
      <c r="A284" s="5" t="s">
        <v>1419</v>
      </c>
      <c r="B284" s="6" t="s">
        <v>1420</v>
      </c>
      <c r="C284" s="8" t="s">
        <v>161</v>
      </c>
      <c r="D284" s="8" t="s">
        <v>155</v>
      </c>
      <c r="E284" s="7" t="s">
        <v>1421</v>
      </c>
      <c r="F284" s="7" t="s">
        <v>1422</v>
      </c>
      <c r="G284" s="12" t="s">
        <v>33</v>
      </c>
      <c r="H284" s="51">
        <v>46097</v>
      </c>
      <c r="I284" s="49">
        <v>46112</v>
      </c>
      <c r="J284" s="8" t="s">
        <v>61</v>
      </c>
      <c r="K284" s="8" t="s">
        <v>62</v>
      </c>
      <c r="L284" s="9" t="s">
        <v>63</v>
      </c>
      <c r="M284" s="9"/>
      <c r="N284" s="9"/>
      <c r="O284" s="62"/>
      <c r="P284" s="9" t="str">
        <f t="shared" si="4"/>
        <v>ONAY</v>
      </c>
    </row>
    <row r="285" spans="1:17" ht="63" customHeight="1" x14ac:dyDescent="0.25">
      <c r="A285" s="5" t="s">
        <v>1423</v>
      </c>
      <c r="B285" s="6" t="s">
        <v>1424</v>
      </c>
      <c r="C285" s="8" t="s">
        <v>1425</v>
      </c>
      <c r="D285" s="8" t="s">
        <v>214</v>
      </c>
      <c r="E285" s="7" t="s">
        <v>1426</v>
      </c>
      <c r="F285" s="7" t="s">
        <v>1427</v>
      </c>
      <c r="G285" s="12" t="s">
        <v>33</v>
      </c>
      <c r="H285" s="51">
        <v>46097</v>
      </c>
      <c r="I285" s="49">
        <v>46112</v>
      </c>
      <c r="J285" s="8" t="s">
        <v>61</v>
      </c>
      <c r="K285" s="8" t="s">
        <v>109</v>
      </c>
      <c r="L285" s="9" t="s">
        <v>158</v>
      </c>
      <c r="M285" s="9"/>
      <c r="N285" s="9"/>
      <c r="O285" s="62"/>
      <c r="P285" s="9" t="str">
        <f t="shared" si="4"/>
        <v>RET</v>
      </c>
    </row>
    <row r="286" spans="1:17" ht="47.25" customHeight="1" x14ac:dyDescent="0.25">
      <c r="A286" s="5" t="s">
        <v>1428</v>
      </c>
      <c r="B286" s="6" t="s">
        <v>1429</v>
      </c>
      <c r="C286" s="8" t="s">
        <v>475</v>
      </c>
      <c r="D286" s="8" t="s">
        <v>283</v>
      </c>
      <c r="E286" s="7" t="s">
        <v>1430</v>
      </c>
      <c r="F286" s="7" t="s">
        <v>1431</v>
      </c>
      <c r="G286" s="12" t="s">
        <v>33</v>
      </c>
      <c r="H286" s="51">
        <v>46097</v>
      </c>
      <c r="I286" s="49">
        <v>46112</v>
      </c>
      <c r="J286" s="8" t="s">
        <v>109</v>
      </c>
      <c r="K286" s="8" t="s">
        <v>85</v>
      </c>
      <c r="L286" s="9" t="s">
        <v>63</v>
      </c>
      <c r="M286" s="9"/>
      <c r="N286" s="9"/>
      <c r="O286" s="62"/>
      <c r="P286" s="9" t="str">
        <f t="shared" si="4"/>
        <v>ONAY</v>
      </c>
    </row>
    <row r="287" spans="1:17" ht="78.75" customHeight="1" x14ac:dyDescent="0.25">
      <c r="A287" s="5" t="s">
        <v>1432</v>
      </c>
      <c r="B287" s="6" t="s">
        <v>1433</v>
      </c>
      <c r="C287" s="8" t="s">
        <v>161</v>
      </c>
      <c r="D287" s="8" t="s">
        <v>155</v>
      </c>
      <c r="E287" s="7" t="s">
        <v>1434</v>
      </c>
      <c r="F287" s="7" t="s">
        <v>1435</v>
      </c>
      <c r="G287" s="12" t="s">
        <v>33</v>
      </c>
      <c r="H287" s="51">
        <v>46097</v>
      </c>
      <c r="I287" s="49">
        <v>46112</v>
      </c>
      <c r="J287" s="8" t="s">
        <v>61</v>
      </c>
      <c r="K287" s="8" t="s">
        <v>62</v>
      </c>
      <c r="L287" s="9" t="s">
        <v>63</v>
      </c>
      <c r="M287" s="9"/>
      <c r="N287" s="9"/>
      <c r="O287" s="62"/>
      <c r="P287" s="9" t="str">
        <f t="shared" si="4"/>
        <v>ONAY</v>
      </c>
    </row>
    <row r="288" spans="1:17" ht="129.75" customHeight="1" x14ac:dyDescent="0.25">
      <c r="A288" s="5" t="s">
        <v>1436</v>
      </c>
      <c r="B288" s="6" t="s">
        <v>1437</v>
      </c>
      <c r="C288" s="8" t="s">
        <v>1438</v>
      </c>
      <c r="D288" s="8" t="s">
        <v>208</v>
      </c>
      <c r="E288" s="7" t="s">
        <v>1439</v>
      </c>
      <c r="F288" s="7" t="s">
        <v>1440</v>
      </c>
      <c r="G288" s="12" t="s">
        <v>33</v>
      </c>
      <c r="H288" s="51">
        <v>46097</v>
      </c>
      <c r="I288" s="49">
        <v>46112</v>
      </c>
      <c r="J288" s="8" t="s">
        <v>95</v>
      </c>
      <c r="K288" s="8" t="s">
        <v>86</v>
      </c>
      <c r="L288" s="9" t="s">
        <v>87</v>
      </c>
      <c r="M288" s="9" t="s">
        <v>63</v>
      </c>
      <c r="N288" s="9"/>
      <c r="O288" s="62"/>
      <c r="P288" s="9" t="str">
        <f t="shared" si="4"/>
        <v>ONAY</v>
      </c>
      <c r="Q288" s="10" t="s">
        <v>95</v>
      </c>
    </row>
    <row r="289" spans="1:17" ht="63" customHeight="1" x14ac:dyDescent="0.25">
      <c r="A289" s="5" t="s">
        <v>1441</v>
      </c>
      <c r="B289" s="6" t="s">
        <v>1442</v>
      </c>
      <c r="C289" s="8" t="s">
        <v>1192</v>
      </c>
      <c r="D289" s="8" t="s">
        <v>208</v>
      </c>
      <c r="E289" s="7" t="s">
        <v>1443</v>
      </c>
      <c r="F289" s="7" t="s">
        <v>1444</v>
      </c>
      <c r="G289" s="12" t="s">
        <v>33</v>
      </c>
      <c r="H289" s="51">
        <v>46097</v>
      </c>
      <c r="I289" s="49">
        <v>46112</v>
      </c>
      <c r="J289" s="8" t="s">
        <v>78</v>
      </c>
      <c r="K289" s="8" t="s">
        <v>70</v>
      </c>
      <c r="L289" s="9" t="s">
        <v>63</v>
      </c>
      <c r="M289" s="9"/>
      <c r="N289" s="9"/>
      <c r="O289" s="62"/>
      <c r="P289" s="9" t="str">
        <f t="shared" si="4"/>
        <v>ONAY</v>
      </c>
    </row>
    <row r="290" spans="1:17" ht="63" customHeight="1" x14ac:dyDescent="0.25">
      <c r="A290" s="5" t="s">
        <v>1445</v>
      </c>
      <c r="B290" s="6" t="s">
        <v>1446</v>
      </c>
      <c r="C290" s="8" t="s">
        <v>534</v>
      </c>
      <c r="D290" s="8" t="s">
        <v>179</v>
      </c>
      <c r="E290" s="7" t="s">
        <v>1447</v>
      </c>
      <c r="F290" s="7" t="s">
        <v>1448</v>
      </c>
      <c r="G290" s="12" t="s">
        <v>33</v>
      </c>
      <c r="H290" s="51">
        <v>46097</v>
      </c>
      <c r="I290" s="49">
        <v>46112</v>
      </c>
      <c r="J290" s="8" t="s">
        <v>77</v>
      </c>
      <c r="K290" s="8" t="s">
        <v>102</v>
      </c>
      <c r="L290" s="9" t="s">
        <v>63</v>
      </c>
      <c r="M290" s="9"/>
      <c r="N290" s="9"/>
      <c r="O290" s="62"/>
      <c r="P290" s="9" t="str">
        <f t="shared" si="4"/>
        <v>ONAY</v>
      </c>
    </row>
    <row r="291" spans="1:17" ht="78.75" customHeight="1" x14ac:dyDescent="0.25">
      <c r="A291" s="5" t="s">
        <v>1449</v>
      </c>
      <c r="B291" s="6" t="s">
        <v>1450</v>
      </c>
      <c r="C291" s="8" t="s">
        <v>756</v>
      </c>
      <c r="D291" s="8" t="s">
        <v>1451</v>
      </c>
      <c r="E291" s="7" t="s">
        <v>1452</v>
      </c>
      <c r="F291" s="7" t="s">
        <v>1453</v>
      </c>
      <c r="G291" s="12" t="s">
        <v>34</v>
      </c>
      <c r="H291" s="51">
        <v>46097</v>
      </c>
      <c r="I291" s="49">
        <v>46112</v>
      </c>
      <c r="J291" s="8" t="s">
        <v>61</v>
      </c>
      <c r="K291" s="8" t="s">
        <v>77</v>
      </c>
      <c r="L291" s="9" t="s">
        <v>63</v>
      </c>
      <c r="M291" s="9"/>
      <c r="N291" s="9"/>
      <c r="O291" s="62"/>
      <c r="P291" s="9" t="str">
        <f t="shared" si="4"/>
        <v>ONAY</v>
      </c>
    </row>
    <row r="292" spans="1:17" ht="63" customHeight="1" x14ac:dyDescent="0.25">
      <c r="A292" s="5" t="s">
        <v>1454</v>
      </c>
      <c r="B292" s="6" t="s">
        <v>1455</v>
      </c>
      <c r="C292" s="8" t="s">
        <v>1456</v>
      </c>
      <c r="D292" s="8" t="s">
        <v>256</v>
      </c>
      <c r="E292" s="7" t="s">
        <v>1457</v>
      </c>
      <c r="F292" s="7" t="s">
        <v>1458</v>
      </c>
      <c r="G292" s="12" t="s">
        <v>33</v>
      </c>
      <c r="H292" s="51">
        <v>46097</v>
      </c>
      <c r="I292" s="49">
        <v>46112</v>
      </c>
      <c r="J292" s="8" t="s">
        <v>78</v>
      </c>
      <c r="K292" s="8" t="s">
        <v>102</v>
      </c>
      <c r="L292" s="9" t="s">
        <v>87</v>
      </c>
      <c r="M292" s="9"/>
      <c r="N292" s="9"/>
      <c r="O292" s="62"/>
      <c r="P292" s="9" t="str">
        <f t="shared" si="4"/>
        <v>DÜZELTME</v>
      </c>
    </row>
    <row r="293" spans="1:17" ht="78.75" customHeight="1" x14ac:dyDescent="0.25">
      <c r="A293" s="5" t="s">
        <v>1459</v>
      </c>
      <c r="B293" s="6" t="s">
        <v>1460</v>
      </c>
      <c r="C293" s="8" t="s">
        <v>1461</v>
      </c>
      <c r="D293" s="8" t="s">
        <v>106</v>
      </c>
      <c r="E293" s="7" t="s">
        <v>1462</v>
      </c>
      <c r="F293" s="7" t="s">
        <v>1463</v>
      </c>
      <c r="G293" s="12" t="s">
        <v>33</v>
      </c>
      <c r="H293" s="51">
        <v>46097</v>
      </c>
      <c r="I293" s="49">
        <v>46112</v>
      </c>
      <c r="J293" s="8" t="s">
        <v>109</v>
      </c>
      <c r="K293" s="8" t="s">
        <v>102</v>
      </c>
      <c r="L293" s="9" t="s">
        <v>63</v>
      </c>
      <c r="M293" s="9"/>
      <c r="N293" s="9"/>
      <c r="O293" s="62"/>
      <c r="P293" s="9" t="str">
        <f t="shared" si="4"/>
        <v>ONAY</v>
      </c>
    </row>
    <row r="294" spans="1:17" ht="63" customHeight="1" x14ac:dyDescent="0.25">
      <c r="A294" s="5" t="s">
        <v>1464</v>
      </c>
      <c r="B294" s="6" t="s">
        <v>1465</v>
      </c>
      <c r="C294" s="8" t="s">
        <v>1466</v>
      </c>
      <c r="D294" s="8" t="s">
        <v>119</v>
      </c>
      <c r="E294" s="7" t="s">
        <v>1467</v>
      </c>
      <c r="F294" s="7" t="s">
        <v>1468</v>
      </c>
      <c r="G294" s="12" t="s">
        <v>34</v>
      </c>
      <c r="H294" s="51">
        <v>46097</v>
      </c>
      <c r="I294" s="49">
        <v>46112</v>
      </c>
      <c r="J294" s="8" t="s">
        <v>86</v>
      </c>
      <c r="K294" s="8" t="s">
        <v>102</v>
      </c>
      <c r="L294" s="9" t="s">
        <v>87</v>
      </c>
      <c r="M294" s="9" t="s">
        <v>63</v>
      </c>
      <c r="N294" s="9"/>
      <c r="O294" s="62"/>
      <c r="P294" s="9" t="str">
        <f t="shared" si="4"/>
        <v>ONAY</v>
      </c>
      <c r="Q294" s="10" t="s">
        <v>86</v>
      </c>
    </row>
    <row r="295" spans="1:17" ht="63" customHeight="1" x14ac:dyDescent="0.25">
      <c r="A295" s="5" t="s">
        <v>1469</v>
      </c>
      <c r="B295" s="6" t="s">
        <v>1470</v>
      </c>
      <c r="C295" s="8" t="s">
        <v>1471</v>
      </c>
      <c r="D295" s="8" t="s">
        <v>214</v>
      </c>
      <c r="E295" s="7" t="s">
        <v>1472</v>
      </c>
      <c r="F295" s="7" t="s">
        <v>1473</v>
      </c>
      <c r="G295" s="12" t="s">
        <v>34</v>
      </c>
      <c r="H295" s="51">
        <v>46097</v>
      </c>
      <c r="I295" s="49">
        <v>46112</v>
      </c>
      <c r="J295" s="8" t="s">
        <v>95</v>
      </c>
      <c r="K295" s="8" t="s">
        <v>77</v>
      </c>
      <c r="L295" s="9" t="s">
        <v>63</v>
      </c>
      <c r="M295" s="9"/>
      <c r="N295" s="9"/>
      <c r="O295" s="62"/>
      <c r="P295" s="9" t="str">
        <f t="shared" si="4"/>
        <v>ONAY</v>
      </c>
    </row>
    <row r="296" spans="1:17" ht="94.5" customHeight="1" x14ac:dyDescent="0.25">
      <c r="A296" s="5" t="s">
        <v>1474</v>
      </c>
      <c r="B296" s="6" t="s">
        <v>1475</v>
      </c>
      <c r="C296" s="8" t="s">
        <v>1476</v>
      </c>
      <c r="D296" s="8" t="s">
        <v>1477</v>
      </c>
      <c r="E296" s="7" t="s">
        <v>1478</v>
      </c>
      <c r="F296" s="7" t="s">
        <v>1479</v>
      </c>
      <c r="G296" s="12" t="s">
        <v>34</v>
      </c>
      <c r="H296" s="51">
        <v>46097</v>
      </c>
      <c r="I296" s="49">
        <v>46112</v>
      </c>
      <c r="J296" s="8" t="s">
        <v>102</v>
      </c>
      <c r="K296" s="8" t="s">
        <v>70</v>
      </c>
      <c r="L296" s="9" t="s">
        <v>87</v>
      </c>
      <c r="M296" s="9"/>
      <c r="N296" s="9"/>
      <c r="O296" s="62"/>
      <c r="P296" s="9" t="str">
        <f t="shared" si="4"/>
        <v>DÜZELTME</v>
      </c>
    </row>
    <row r="297" spans="1:17" ht="63" customHeight="1" x14ac:dyDescent="0.25">
      <c r="A297" s="5" t="s">
        <v>1480</v>
      </c>
      <c r="B297" s="6" t="s">
        <v>1481</v>
      </c>
      <c r="C297" s="8" t="s">
        <v>1482</v>
      </c>
      <c r="D297" s="8" t="s">
        <v>99</v>
      </c>
      <c r="E297" s="7" t="s">
        <v>1483</v>
      </c>
      <c r="F297" s="7" t="s">
        <v>1484</v>
      </c>
      <c r="G297" s="12" t="s">
        <v>33</v>
      </c>
      <c r="H297" s="51">
        <v>46097</v>
      </c>
      <c r="I297" s="49">
        <v>46112</v>
      </c>
      <c r="J297" s="8" t="s">
        <v>61</v>
      </c>
      <c r="K297" s="8" t="s">
        <v>95</v>
      </c>
      <c r="L297" s="9" t="s">
        <v>87</v>
      </c>
      <c r="M297" s="9"/>
      <c r="N297" s="9"/>
      <c r="O297" s="62"/>
      <c r="P297" s="9" t="str">
        <f t="shared" si="4"/>
        <v>DÜZELTME</v>
      </c>
    </row>
    <row r="298" spans="1:17" ht="110.25" customHeight="1" x14ac:dyDescent="0.25">
      <c r="A298" s="5" t="s">
        <v>1485</v>
      </c>
      <c r="B298" s="6" t="s">
        <v>1486</v>
      </c>
      <c r="C298" s="8" t="s">
        <v>1487</v>
      </c>
      <c r="D298" s="8" t="s">
        <v>208</v>
      </c>
      <c r="E298" s="7" t="s">
        <v>1488</v>
      </c>
      <c r="F298" s="7" t="s">
        <v>1489</v>
      </c>
      <c r="G298" s="12" t="s">
        <v>34</v>
      </c>
      <c r="H298" s="51">
        <v>46097</v>
      </c>
      <c r="I298" s="49">
        <v>46112</v>
      </c>
      <c r="J298" s="8" t="s">
        <v>109</v>
      </c>
      <c r="K298" s="8" t="s">
        <v>62</v>
      </c>
      <c r="L298" s="9" t="s">
        <v>63</v>
      </c>
      <c r="M298" s="9"/>
      <c r="N298" s="9"/>
      <c r="O298" s="62"/>
      <c r="P298" s="9" t="str">
        <f t="shared" si="4"/>
        <v>ONAY</v>
      </c>
    </row>
    <row r="299" spans="1:17" ht="94.5" customHeight="1" x14ac:dyDescent="0.25">
      <c r="A299" s="5" t="s">
        <v>1490</v>
      </c>
      <c r="B299" s="6" t="s">
        <v>1491</v>
      </c>
      <c r="C299" s="8" t="s">
        <v>1313</v>
      </c>
      <c r="D299" s="8" t="s">
        <v>208</v>
      </c>
      <c r="E299" s="7" t="s">
        <v>1492</v>
      </c>
      <c r="F299" s="7" t="s">
        <v>1493</v>
      </c>
      <c r="G299" s="12" t="s">
        <v>33</v>
      </c>
      <c r="H299" s="51">
        <v>46097</v>
      </c>
      <c r="I299" s="49">
        <v>46112</v>
      </c>
      <c r="J299" s="8" t="s">
        <v>62</v>
      </c>
      <c r="K299" s="8" t="s">
        <v>85</v>
      </c>
      <c r="L299" s="9" t="s">
        <v>63</v>
      </c>
      <c r="M299" s="9"/>
      <c r="N299" s="9"/>
      <c r="O299" s="62"/>
      <c r="P299" s="9" t="str">
        <f t="shared" si="4"/>
        <v>ONAY</v>
      </c>
    </row>
    <row r="300" spans="1:17" ht="63" customHeight="1" x14ac:dyDescent="0.25">
      <c r="A300" s="5" t="s">
        <v>1494</v>
      </c>
      <c r="B300" s="6" t="s">
        <v>1495</v>
      </c>
      <c r="C300" s="8" t="s">
        <v>1091</v>
      </c>
      <c r="D300" s="8" t="s">
        <v>951</v>
      </c>
      <c r="E300" s="7" t="s">
        <v>1496</v>
      </c>
      <c r="F300" s="7" t="s">
        <v>1497</v>
      </c>
      <c r="G300" s="12" t="s">
        <v>34</v>
      </c>
      <c r="H300" s="51">
        <v>46097</v>
      </c>
      <c r="I300" s="49">
        <v>46112</v>
      </c>
      <c r="J300" s="8" t="s">
        <v>102</v>
      </c>
      <c r="K300" s="8" t="s">
        <v>70</v>
      </c>
      <c r="L300" s="9" t="s">
        <v>63</v>
      </c>
      <c r="M300" s="9"/>
      <c r="N300" s="9"/>
      <c r="O300" s="62"/>
      <c r="P300" s="9" t="str">
        <f t="shared" si="4"/>
        <v>ONAY</v>
      </c>
    </row>
    <row r="301" spans="1:17" ht="63" customHeight="1" x14ac:dyDescent="0.25">
      <c r="A301" s="5" t="s">
        <v>1498</v>
      </c>
      <c r="B301" s="6" t="s">
        <v>1499</v>
      </c>
      <c r="C301" s="8" t="s">
        <v>98</v>
      </c>
      <c r="D301" s="8" t="s">
        <v>99</v>
      </c>
      <c r="E301" s="7" t="s">
        <v>1500</v>
      </c>
      <c r="F301" s="7" t="s">
        <v>1501</v>
      </c>
      <c r="G301" s="12" t="s">
        <v>33</v>
      </c>
      <c r="H301" s="51">
        <v>46097</v>
      </c>
      <c r="I301" s="49">
        <v>46112</v>
      </c>
      <c r="J301" s="8" t="s">
        <v>95</v>
      </c>
      <c r="K301" s="8" t="s">
        <v>78</v>
      </c>
      <c r="L301" s="9" t="s">
        <v>87</v>
      </c>
      <c r="M301" s="9"/>
      <c r="N301" s="9"/>
      <c r="O301" s="62"/>
      <c r="P301" s="9" t="str">
        <f t="shared" si="4"/>
        <v>DÜZELTME</v>
      </c>
    </row>
    <row r="302" spans="1:17" ht="78.75" customHeight="1" x14ac:dyDescent="0.25">
      <c r="A302" s="5" t="s">
        <v>1502</v>
      </c>
      <c r="B302" s="6" t="s">
        <v>1503</v>
      </c>
      <c r="C302" s="8" t="s">
        <v>1398</v>
      </c>
      <c r="D302" s="8" t="s">
        <v>208</v>
      </c>
      <c r="E302" s="7" t="s">
        <v>1504</v>
      </c>
      <c r="F302" s="7" t="s">
        <v>1505</v>
      </c>
      <c r="G302" s="12" t="s">
        <v>33</v>
      </c>
      <c r="H302" s="51">
        <v>46098</v>
      </c>
      <c r="I302" s="49">
        <v>46112</v>
      </c>
      <c r="J302" s="8" t="s">
        <v>85</v>
      </c>
      <c r="K302" s="8" t="s">
        <v>61</v>
      </c>
      <c r="L302" s="9" t="s">
        <v>87</v>
      </c>
      <c r="M302" s="9"/>
      <c r="N302" s="9"/>
      <c r="O302" s="62"/>
      <c r="P302" s="9" t="str">
        <f t="shared" si="4"/>
        <v>DÜZELTME</v>
      </c>
    </row>
    <row r="303" spans="1:17" ht="78.75" customHeight="1" x14ac:dyDescent="0.25">
      <c r="A303" s="5" t="s">
        <v>1506</v>
      </c>
      <c r="B303" s="6" t="s">
        <v>1507</v>
      </c>
      <c r="C303" s="8" t="s">
        <v>1284</v>
      </c>
      <c r="D303" s="8" t="s">
        <v>214</v>
      </c>
      <c r="E303" s="7" t="s">
        <v>1508</v>
      </c>
      <c r="F303" s="7" t="s">
        <v>1509</v>
      </c>
      <c r="G303" s="12" t="s">
        <v>33</v>
      </c>
      <c r="H303" s="51">
        <v>46098</v>
      </c>
      <c r="I303" s="49">
        <v>46112</v>
      </c>
      <c r="J303" s="8" t="s">
        <v>61</v>
      </c>
      <c r="K303" s="8" t="s">
        <v>86</v>
      </c>
      <c r="L303" s="9" t="s">
        <v>63</v>
      </c>
      <c r="M303" s="9"/>
      <c r="N303" s="9"/>
      <c r="O303" s="62"/>
      <c r="P303" s="9" t="str">
        <f t="shared" si="4"/>
        <v>ONAY</v>
      </c>
    </row>
    <row r="304" spans="1:17" ht="63" customHeight="1" x14ac:dyDescent="0.25">
      <c r="A304" s="5" t="s">
        <v>1510</v>
      </c>
      <c r="B304" s="6" t="s">
        <v>1511</v>
      </c>
      <c r="C304" s="8" t="s">
        <v>1512</v>
      </c>
      <c r="D304" s="8" t="s">
        <v>220</v>
      </c>
      <c r="E304" s="7" t="s">
        <v>1513</v>
      </c>
      <c r="F304" s="7" t="s">
        <v>1514</v>
      </c>
      <c r="G304" s="12" t="s">
        <v>33</v>
      </c>
      <c r="H304" s="51">
        <v>46098</v>
      </c>
      <c r="I304" s="49">
        <v>46112</v>
      </c>
      <c r="J304" s="8" t="s">
        <v>78</v>
      </c>
      <c r="K304" s="8" t="s">
        <v>109</v>
      </c>
      <c r="L304" s="9" t="s">
        <v>63</v>
      </c>
      <c r="M304" s="9"/>
      <c r="N304" s="9"/>
      <c r="O304" s="62"/>
      <c r="P304" s="9" t="str">
        <f t="shared" si="4"/>
        <v>ONAY</v>
      </c>
    </row>
    <row r="305" spans="1:17" ht="78.75" customHeight="1" x14ac:dyDescent="0.25">
      <c r="A305" s="5" t="s">
        <v>1515</v>
      </c>
      <c r="B305" s="6" t="s">
        <v>1516</v>
      </c>
      <c r="C305" s="8" t="s">
        <v>1517</v>
      </c>
      <c r="D305" s="8" t="s">
        <v>99</v>
      </c>
      <c r="E305" s="7" t="s">
        <v>1518</v>
      </c>
      <c r="F305" s="7" t="s">
        <v>1519</v>
      </c>
      <c r="G305" s="12" t="s">
        <v>33</v>
      </c>
      <c r="H305" s="51">
        <v>46098</v>
      </c>
      <c r="I305" s="49">
        <v>46112</v>
      </c>
      <c r="J305" s="8" t="s">
        <v>77</v>
      </c>
      <c r="K305" s="8" t="s">
        <v>102</v>
      </c>
      <c r="L305" s="9" t="s">
        <v>87</v>
      </c>
      <c r="M305" s="9" t="s">
        <v>63</v>
      </c>
      <c r="N305" s="9"/>
      <c r="O305" s="62"/>
      <c r="P305" s="9" t="str">
        <f t="shared" si="4"/>
        <v>ONAY</v>
      </c>
      <c r="Q305" s="10" t="s">
        <v>77</v>
      </c>
    </row>
    <row r="306" spans="1:17" ht="78.75" customHeight="1" x14ac:dyDescent="0.25">
      <c r="A306" s="5" t="s">
        <v>1520</v>
      </c>
      <c r="B306" s="6" t="s">
        <v>1521</v>
      </c>
      <c r="C306" s="8" t="s">
        <v>1522</v>
      </c>
      <c r="D306" s="8" t="s">
        <v>266</v>
      </c>
      <c r="E306" s="7" t="s">
        <v>1523</v>
      </c>
      <c r="F306" s="7" t="s">
        <v>1524</v>
      </c>
      <c r="G306" s="12" t="s">
        <v>34</v>
      </c>
      <c r="H306" s="51">
        <v>46098</v>
      </c>
      <c r="I306" s="49">
        <v>46112</v>
      </c>
      <c r="J306" s="8" t="s">
        <v>78</v>
      </c>
      <c r="K306" s="8" t="s">
        <v>62</v>
      </c>
      <c r="L306" s="9" t="s">
        <v>63</v>
      </c>
      <c r="M306" s="9"/>
      <c r="N306" s="9"/>
      <c r="O306" s="62"/>
      <c r="P306" s="9" t="str">
        <f t="shared" si="4"/>
        <v>ONAY</v>
      </c>
    </row>
    <row r="307" spans="1:17" ht="81" customHeight="1" x14ac:dyDescent="0.25">
      <c r="A307" s="5" t="s">
        <v>1525</v>
      </c>
      <c r="B307" s="6" t="s">
        <v>1526</v>
      </c>
      <c r="C307" s="8" t="s">
        <v>657</v>
      </c>
      <c r="D307" s="8" t="s">
        <v>333</v>
      </c>
      <c r="E307" s="7" t="s">
        <v>1527</v>
      </c>
      <c r="F307" s="7" t="s">
        <v>1528</v>
      </c>
      <c r="G307" s="12" t="s">
        <v>33</v>
      </c>
      <c r="H307" s="51">
        <v>46098</v>
      </c>
      <c r="I307" s="49">
        <v>46112</v>
      </c>
      <c r="J307" s="8" t="s">
        <v>77</v>
      </c>
      <c r="K307" s="8" t="s">
        <v>95</v>
      </c>
      <c r="L307" s="9" t="s">
        <v>87</v>
      </c>
      <c r="M307" s="9"/>
      <c r="N307" s="9"/>
      <c r="O307" s="62"/>
      <c r="P307" s="9" t="str">
        <f t="shared" si="4"/>
        <v>DÜZELTME</v>
      </c>
    </row>
    <row r="308" spans="1:17" ht="81" customHeight="1" x14ac:dyDescent="0.25">
      <c r="A308" s="5" t="s">
        <v>1529</v>
      </c>
      <c r="B308" s="6" t="s">
        <v>1530</v>
      </c>
      <c r="C308" s="8" t="s">
        <v>657</v>
      </c>
      <c r="D308" s="8" t="s">
        <v>333</v>
      </c>
      <c r="E308" s="7" t="s">
        <v>1527</v>
      </c>
      <c r="F308" s="7" t="s">
        <v>1531</v>
      </c>
      <c r="G308" s="12" t="s">
        <v>33</v>
      </c>
      <c r="H308" s="51">
        <v>46098</v>
      </c>
      <c r="I308" s="49">
        <v>46112</v>
      </c>
      <c r="J308" s="8" t="s">
        <v>77</v>
      </c>
      <c r="K308" s="8" t="s">
        <v>95</v>
      </c>
      <c r="L308" s="9" t="s">
        <v>87</v>
      </c>
      <c r="M308" s="9"/>
      <c r="N308" s="9"/>
      <c r="O308" s="62"/>
      <c r="P308" s="9" t="str">
        <f t="shared" si="4"/>
        <v>DÜZELTME</v>
      </c>
    </row>
    <row r="309" spans="1:17" ht="63" customHeight="1" x14ac:dyDescent="0.25">
      <c r="A309" s="5" t="s">
        <v>1532</v>
      </c>
      <c r="B309" s="6" t="s">
        <v>1533</v>
      </c>
      <c r="C309" s="8" t="s">
        <v>1534</v>
      </c>
      <c r="D309" s="8" t="s">
        <v>976</v>
      </c>
      <c r="E309" s="7" t="s">
        <v>1535</v>
      </c>
      <c r="F309" s="7" t="s">
        <v>1536</v>
      </c>
      <c r="G309" s="12" t="s">
        <v>33</v>
      </c>
      <c r="H309" s="51">
        <v>46099</v>
      </c>
      <c r="I309" s="49">
        <v>46112</v>
      </c>
      <c r="J309" s="8" t="s">
        <v>109</v>
      </c>
      <c r="K309" s="8" t="s">
        <v>78</v>
      </c>
      <c r="L309" s="9" t="s">
        <v>87</v>
      </c>
      <c r="M309" s="9"/>
      <c r="N309" s="9"/>
      <c r="O309" s="62"/>
      <c r="P309" s="9" t="str">
        <f t="shared" si="4"/>
        <v>DÜZELTME</v>
      </c>
    </row>
    <row r="310" spans="1:17" ht="63" customHeight="1" x14ac:dyDescent="0.25">
      <c r="A310" s="5" t="s">
        <v>1537</v>
      </c>
      <c r="B310" s="6" t="s">
        <v>1538</v>
      </c>
      <c r="C310" s="8" t="s">
        <v>1416</v>
      </c>
      <c r="D310" s="8" t="s">
        <v>99</v>
      </c>
      <c r="E310" s="7" t="s">
        <v>1539</v>
      </c>
      <c r="F310" s="7" t="s">
        <v>1540</v>
      </c>
      <c r="G310" s="12" t="s">
        <v>33</v>
      </c>
      <c r="H310" s="51">
        <v>46099</v>
      </c>
      <c r="I310" s="49">
        <v>46112</v>
      </c>
      <c r="J310" s="8" t="s">
        <v>85</v>
      </c>
      <c r="K310" s="8" t="s">
        <v>86</v>
      </c>
      <c r="L310" s="9" t="s">
        <v>63</v>
      </c>
      <c r="M310" s="9"/>
      <c r="N310" s="9"/>
      <c r="O310" s="62"/>
      <c r="P310" s="9" t="str">
        <f t="shared" si="4"/>
        <v>ONAY</v>
      </c>
    </row>
    <row r="311" spans="1:17" ht="78.75" customHeight="1" x14ac:dyDescent="0.25">
      <c r="A311" s="5" t="s">
        <v>1541</v>
      </c>
      <c r="B311" s="6" t="s">
        <v>1542</v>
      </c>
      <c r="C311" s="8" t="s">
        <v>1416</v>
      </c>
      <c r="D311" s="8" t="s">
        <v>99</v>
      </c>
      <c r="E311" s="7" t="s">
        <v>1543</v>
      </c>
      <c r="F311" s="7" t="s">
        <v>1544</v>
      </c>
      <c r="G311" s="12" t="s">
        <v>33</v>
      </c>
      <c r="H311" s="51">
        <v>46099</v>
      </c>
      <c r="I311" s="49">
        <v>46112</v>
      </c>
      <c r="J311" s="8" t="s">
        <v>85</v>
      </c>
      <c r="K311" s="8" t="s">
        <v>86</v>
      </c>
      <c r="L311" s="9" t="s">
        <v>63</v>
      </c>
      <c r="M311" s="9"/>
      <c r="N311" s="9"/>
      <c r="O311" s="62"/>
      <c r="P311" s="9" t="str">
        <f t="shared" si="4"/>
        <v>ONAY</v>
      </c>
    </row>
    <row r="312" spans="1:17" ht="66" customHeight="1" x14ac:dyDescent="0.25">
      <c r="A312" s="5" t="s">
        <v>1545</v>
      </c>
      <c r="B312" s="6" t="s">
        <v>1546</v>
      </c>
      <c r="C312" s="8" t="s">
        <v>1547</v>
      </c>
      <c r="D312" s="8" t="s">
        <v>311</v>
      </c>
      <c r="E312" s="7" t="s">
        <v>1548</v>
      </c>
      <c r="F312" s="7" t="s">
        <v>1549</v>
      </c>
      <c r="G312" s="12" t="s">
        <v>33</v>
      </c>
      <c r="H312" s="51">
        <v>46099</v>
      </c>
      <c r="I312" s="49">
        <v>46112</v>
      </c>
      <c r="J312" s="8" t="s">
        <v>86</v>
      </c>
      <c r="K312" s="8" t="s">
        <v>70</v>
      </c>
      <c r="L312" s="9" t="s">
        <v>63</v>
      </c>
      <c r="M312" s="9"/>
      <c r="N312" s="9"/>
      <c r="O312" s="62"/>
      <c r="P312" s="9" t="str">
        <f t="shared" si="4"/>
        <v>ONAY</v>
      </c>
    </row>
    <row r="313" spans="1:17" ht="63" customHeight="1" x14ac:dyDescent="0.25">
      <c r="A313" s="5" t="s">
        <v>1550</v>
      </c>
      <c r="B313" s="6" t="s">
        <v>1551</v>
      </c>
      <c r="C313" s="8" t="s">
        <v>1552</v>
      </c>
      <c r="D313" s="8" t="s">
        <v>1058</v>
      </c>
      <c r="E313" s="7" t="s">
        <v>1553</v>
      </c>
      <c r="F313" s="14" t="s">
        <v>1554</v>
      </c>
      <c r="G313" s="12" t="s">
        <v>35</v>
      </c>
      <c r="H313" s="51">
        <v>46099</v>
      </c>
      <c r="I313" s="49">
        <v>46112</v>
      </c>
      <c r="J313" s="8" t="s">
        <v>61</v>
      </c>
      <c r="K313" s="8" t="s">
        <v>62</v>
      </c>
      <c r="L313" s="9" t="s">
        <v>87</v>
      </c>
      <c r="M313" s="9"/>
      <c r="N313" s="9"/>
      <c r="O313" s="62"/>
      <c r="P313" s="9" t="str">
        <f t="shared" si="4"/>
        <v>DÜZELTME</v>
      </c>
    </row>
    <row r="314" spans="1:17" ht="94.5" customHeight="1" x14ac:dyDescent="0.25">
      <c r="A314" s="5" t="s">
        <v>1555</v>
      </c>
      <c r="B314" s="6" t="s">
        <v>1556</v>
      </c>
      <c r="C314" s="8" t="s">
        <v>1416</v>
      </c>
      <c r="D314" s="8" t="s">
        <v>99</v>
      </c>
      <c r="E314" s="7" t="s">
        <v>1557</v>
      </c>
      <c r="F314" s="7" t="s">
        <v>1558</v>
      </c>
      <c r="G314" s="12" t="s">
        <v>33</v>
      </c>
      <c r="H314" s="51">
        <v>46107</v>
      </c>
      <c r="I314" s="49">
        <v>46126</v>
      </c>
      <c r="J314" s="8" t="s">
        <v>102</v>
      </c>
      <c r="K314" s="8" t="s">
        <v>70</v>
      </c>
      <c r="L314" s="9" t="s">
        <v>87</v>
      </c>
      <c r="M314" s="9"/>
      <c r="N314" s="9"/>
      <c r="O314" s="62"/>
      <c r="P314" s="9" t="str">
        <f t="shared" si="4"/>
        <v>DÜZELTME</v>
      </c>
    </row>
    <row r="315" spans="1:17" ht="78.75" customHeight="1" x14ac:dyDescent="0.25">
      <c r="A315" s="5" t="s">
        <v>1559</v>
      </c>
      <c r="B315" s="6" t="s">
        <v>1560</v>
      </c>
      <c r="C315" s="8" t="s">
        <v>1416</v>
      </c>
      <c r="D315" s="8" t="s">
        <v>99</v>
      </c>
      <c r="E315" s="7" t="s">
        <v>1561</v>
      </c>
      <c r="F315" s="7" t="s">
        <v>1562</v>
      </c>
      <c r="G315" s="12" t="s">
        <v>33</v>
      </c>
      <c r="H315" s="51">
        <v>46107</v>
      </c>
      <c r="I315" s="49">
        <v>46126</v>
      </c>
      <c r="J315" s="8" t="s">
        <v>102</v>
      </c>
      <c r="K315" s="8" t="s">
        <v>70</v>
      </c>
      <c r="L315" s="9" t="s">
        <v>87</v>
      </c>
      <c r="M315" s="9"/>
      <c r="N315" s="9"/>
      <c r="O315" s="62"/>
      <c r="P315" s="9" t="str">
        <f t="shared" si="4"/>
        <v>DÜZELTME</v>
      </c>
    </row>
    <row r="316" spans="1:17" ht="78.75" customHeight="1" x14ac:dyDescent="0.25">
      <c r="A316" s="5" t="s">
        <v>1563</v>
      </c>
      <c r="B316" s="6" t="s">
        <v>1564</v>
      </c>
      <c r="C316" s="8" t="s">
        <v>1182</v>
      </c>
      <c r="D316" s="8" t="s">
        <v>350</v>
      </c>
      <c r="E316" s="7" t="s">
        <v>1565</v>
      </c>
      <c r="F316" s="7" t="s">
        <v>1566</v>
      </c>
      <c r="G316" s="12" t="s">
        <v>34</v>
      </c>
      <c r="H316" s="51">
        <v>46107</v>
      </c>
      <c r="I316" s="49">
        <v>46126</v>
      </c>
      <c r="J316" s="8" t="s">
        <v>94</v>
      </c>
      <c r="K316" s="8" t="s">
        <v>115</v>
      </c>
      <c r="L316" s="9" t="s">
        <v>63</v>
      </c>
      <c r="M316" s="9"/>
      <c r="N316" s="9"/>
      <c r="O316" s="62"/>
      <c r="P316" s="9" t="str">
        <f t="shared" si="4"/>
        <v>ONAY</v>
      </c>
    </row>
    <row r="317" spans="1:17" ht="63" customHeight="1" x14ac:dyDescent="0.25">
      <c r="A317" s="5" t="s">
        <v>1567</v>
      </c>
      <c r="B317" s="6" t="s">
        <v>1568</v>
      </c>
      <c r="C317" s="8" t="s">
        <v>1569</v>
      </c>
      <c r="D317" s="8" t="s">
        <v>99</v>
      </c>
      <c r="E317" s="7" t="s">
        <v>1570</v>
      </c>
      <c r="F317" s="7" t="s">
        <v>1571</v>
      </c>
      <c r="G317" s="12" t="s">
        <v>33</v>
      </c>
      <c r="H317" s="51">
        <v>46107</v>
      </c>
      <c r="I317" s="49">
        <v>46126</v>
      </c>
      <c r="J317" s="8" t="s">
        <v>61</v>
      </c>
      <c r="K317" s="8" t="s">
        <v>115</v>
      </c>
      <c r="L317" s="9" t="s">
        <v>87</v>
      </c>
      <c r="M317" s="9"/>
      <c r="N317" s="9"/>
      <c r="O317" s="62"/>
      <c r="P317" s="9" t="str">
        <f t="shared" si="4"/>
        <v>DÜZELTME</v>
      </c>
    </row>
    <row r="318" spans="1:17" ht="78.75" customHeight="1" x14ac:dyDescent="0.25">
      <c r="A318" s="5" t="s">
        <v>1572</v>
      </c>
      <c r="B318" s="6" t="s">
        <v>1573</v>
      </c>
      <c r="C318" s="8" t="s">
        <v>1574</v>
      </c>
      <c r="D318" s="8" t="s">
        <v>327</v>
      </c>
      <c r="E318" s="7" t="s">
        <v>1575</v>
      </c>
      <c r="F318" s="7" t="s">
        <v>1576</v>
      </c>
      <c r="G318" s="12" t="s">
        <v>33</v>
      </c>
      <c r="H318" s="51">
        <v>46107</v>
      </c>
      <c r="I318" s="49">
        <v>46126</v>
      </c>
      <c r="J318" s="8" t="s">
        <v>95</v>
      </c>
      <c r="K318" s="8" t="s">
        <v>109</v>
      </c>
      <c r="L318" s="9" t="s">
        <v>63</v>
      </c>
      <c r="M318" s="9"/>
      <c r="N318" s="9"/>
      <c r="O318" s="62"/>
      <c r="P318" s="9" t="str">
        <f t="shared" si="4"/>
        <v>ONAY</v>
      </c>
    </row>
    <row r="319" spans="1:17" ht="78.75" customHeight="1" x14ac:dyDescent="0.25">
      <c r="A319" s="5" t="s">
        <v>1577</v>
      </c>
      <c r="B319" s="6" t="s">
        <v>1578</v>
      </c>
      <c r="C319" s="8" t="s">
        <v>1579</v>
      </c>
      <c r="D319" s="8" t="s">
        <v>1580</v>
      </c>
      <c r="E319" s="7" t="s">
        <v>1581</v>
      </c>
      <c r="F319" s="7" t="s">
        <v>1582</v>
      </c>
      <c r="G319" s="12" t="s">
        <v>34</v>
      </c>
      <c r="H319" s="51">
        <v>46107</v>
      </c>
      <c r="I319" s="49">
        <v>46126</v>
      </c>
      <c r="J319" s="8" t="s">
        <v>109</v>
      </c>
      <c r="K319" s="8" t="s">
        <v>62</v>
      </c>
      <c r="L319" s="9" t="s">
        <v>63</v>
      </c>
      <c r="M319" s="9"/>
      <c r="N319" s="9"/>
      <c r="O319" s="62"/>
      <c r="P319" s="9" t="str">
        <f t="shared" si="4"/>
        <v>ONAY</v>
      </c>
    </row>
    <row r="320" spans="1:17" ht="78.75" customHeight="1" x14ac:dyDescent="0.25">
      <c r="A320" s="5" t="s">
        <v>1583</v>
      </c>
      <c r="B320" s="6" t="s">
        <v>1584</v>
      </c>
      <c r="C320" s="8" t="s">
        <v>619</v>
      </c>
      <c r="D320" s="8" t="s">
        <v>214</v>
      </c>
      <c r="E320" s="7" t="s">
        <v>1585</v>
      </c>
      <c r="F320" s="7" t="s">
        <v>1586</v>
      </c>
      <c r="G320" s="12" t="s">
        <v>33</v>
      </c>
      <c r="H320" s="51">
        <v>46107</v>
      </c>
      <c r="I320" s="49">
        <v>46126</v>
      </c>
      <c r="J320" s="8" t="s">
        <v>85</v>
      </c>
      <c r="K320" s="8" t="s">
        <v>86</v>
      </c>
      <c r="L320" s="9" t="s">
        <v>158</v>
      </c>
      <c r="M320" s="9"/>
      <c r="N320" s="9"/>
      <c r="O320" s="62"/>
      <c r="P320" s="9" t="str">
        <f t="shared" si="4"/>
        <v>RET</v>
      </c>
    </row>
    <row r="321" spans="1:16" ht="110.25" customHeight="1" x14ac:dyDescent="0.25">
      <c r="A321" s="5" t="s">
        <v>1587</v>
      </c>
      <c r="B321" s="6" t="s">
        <v>1588</v>
      </c>
      <c r="C321" s="8" t="s">
        <v>410</v>
      </c>
      <c r="D321" s="8" t="s">
        <v>350</v>
      </c>
      <c r="E321" s="7" t="s">
        <v>1589</v>
      </c>
      <c r="F321" s="7" t="s">
        <v>1590</v>
      </c>
      <c r="G321" s="12" t="s">
        <v>33</v>
      </c>
      <c r="H321" s="51">
        <v>46107</v>
      </c>
      <c r="I321" s="49">
        <v>46126</v>
      </c>
      <c r="J321" s="8" t="s">
        <v>94</v>
      </c>
      <c r="K321" s="8" t="s">
        <v>78</v>
      </c>
      <c r="L321" s="9" t="s">
        <v>63</v>
      </c>
      <c r="M321" s="9"/>
      <c r="N321" s="9"/>
      <c r="O321" s="62"/>
      <c r="P321" s="9" t="str">
        <f t="shared" si="4"/>
        <v>ONAY</v>
      </c>
    </row>
    <row r="322" spans="1:16" ht="110.25" customHeight="1" x14ac:dyDescent="0.25">
      <c r="A322" s="5" t="s">
        <v>1591</v>
      </c>
      <c r="B322" s="6" t="s">
        <v>1592</v>
      </c>
      <c r="C322" s="8" t="s">
        <v>213</v>
      </c>
      <c r="D322" s="8" t="s">
        <v>214</v>
      </c>
      <c r="E322" s="7" t="s">
        <v>1593</v>
      </c>
      <c r="F322" s="7" t="s">
        <v>1594</v>
      </c>
      <c r="G322" s="12" t="s">
        <v>33</v>
      </c>
      <c r="H322" s="51">
        <v>46107</v>
      </c>
      <c r="I322" s="49">
        <v>46126</v>
      </c>
      <c r="J322" s="8" t="s">
        <v>77</v>
      </c>
      <c r="K322" s="8" t="s">
        <v>78</v>
      </c>
      <c r="L322" s="9" t="s">
        <v>63</v>
      </c>
      <c r="M322" s="9"/>
      <c r="N322" s="9"/>
      <c r="O322" s="62"/>
      <c r="P322" s="9" t="str">
        <f t="shared" ref="P322:P364" si="5">IF(O322&lt;&gt;"",O322, IF(N322&lt;&gt;"",N322, IF(M322&lt;&gt;"",M322, L322)))</f>
        <v>ONAY</v>
      </c>
    </row>
    <row r="323" spans="1:16" ht="78.75" customHeight="1" x14ac:dyDescent="0.25">
      <c r="A323" s="5" t="s">
        <v>1595</v>
      </c>
      <c r="B323" s="6" t="s">
        <v>1596</v>
      </c>
      <c r="C323" s="8" t="s">
        <v>738</v>
      </c>
      <c r="D323" s="8" t="s">
        <v>99</v>
      </c>
      <c r="E323" s="7" t="s">
        <v>1597</v>
      </c>
      <c r="F323" s="7" t="s">
        <v>1598</v>
      </c>
      <c r="G323" s="12" t="s">
        <v>33</v>
      </c>
      <c r="H323" s="51">
        <v>46107</v>
      </c>
      <c r="I323" s="49">
        <v>46126</v>
      </c>
      <c r="J323" s="8" t="s">
        <v>85</v>
      </c>
      <c r="K323" s="8" t="s">
        <v>95</v>
      </c>
      <c r="L323" s="9" t="s">
        <v>63</v>
      </c>
      <c r="M323" s="9"/>
      <c r="N323" s="9"/>
      <c r="O323" s="62"/>
      <c r="P323" s="9" t="str">
        <f t="shared" si="5"/>
        <v>ONAY</v>
      </c>
    </row>
    <row r="324" spans="1:16" ht="63" customHeight="1" x14ac:dyDescent="0.25">
      <c r="A324" s="5" t="s">
        <v>1599</v>
      </c>
      <c r="B324" s="6" t="s">
        <v>1600</v>
      </c>
      <c r="C324" s="8" t="s">
        <v>1091</v>
      </c>
      <c r="D324" s="8" t="s">
        <v>951</v>
      </c>
      <c r="E324" s="7" t="s">
        <v>1601</v>
      </c>
      <c r="F324" s="7" t="s">
        <v>1602</v>
      </c>
      <c r="G324" s="12" t="s">
        <v>33</v>
      </c>
      <c r="H324" s="51">
        <v>46107</v>
      </c>
      <c r="I324" s="49">
        <v>46126</v>
      </c>
      <c r="J324" s="8" t="s">
        <v>95</v>
      </c>
      <c r="K324" s="8" t="s">
        <v>62</v>
      </c>
      <c r="L324" s="9" t="s">
        <v>87</v>
      </c>
      <c r="M324" s="9"/>
      <c r="N324" s="9"/>
      <c r="O324" s="62"/>
      <c r="P324" s="9" t="str">
        <f t="shared" si="5"/>
        <v>DÜZELTME</v>
      </c>
    </row>
    <row r="325" spans="1:16" ht="47.25" customHeight="1" x14ac:dyDescent="0.25">
      <c r="A325" s="5" t="s">
        <v>1603</v>
      </c>
      <c r="B325" s="6" t="s">
        <v>1604</v>
      </c>
      <c r="C325" s="8" t="s">
        <v>1569</v>
      </c>
      <c r="D325" s="8" t="s">
        <v>99</v>
      </c>
      <c r="E325" s="7" t="s">
        <v>1605</v>
      </c>
      <c r="F325" s="7" t="s">
        <v>1606</v>
      </c>
      <c r="G325" s="12" t="s">
        <v>33</v>
      </c>
      <c r="H325" s="51">
        <v>46107</v>
      </c>
      <c r="I325" s="49">
        <v>46126</v>
      </c>
      <c r="J325" s="8" t="s">
        <v>86</v>
      </c>
      <c r="K325" s="8" t="s">
        <v>77</v>
      </c>
      <c r="L325" s="9" t="s">
        <v>63</v>
      </c>
      <c r="M325" s="9"/>
      <c r="N325" s="9"/>
      <c r="O325" s="62"/>
      <c r="P325" s="9" t="str">
        <f t="shared" si="5"/>
        <v>ONAY</v>
      </c>
    </row>
    <row r="326" spans="1:16" ht="47.25" customHeight="1" x14ac:dyDescent="0.25">
      <c r="A326" s="5" t="s">
        <v>1607</v>
      </c>
      <c r="B326" s="6" t="s">
        <v>1608</v>
      </c>
      <c r="C326" s="8" t="s">
        <v>1609</v>
      </c>
      <c r="D326" s="8" t="s">
        <v>256</v>
      </c>
      <c r="E326" s="7" t="s">
        <v>1610</v>
      </c>
      <c r="F326" s="7" t="s">
        <v>1611</v>
      </c>
      <c r="G326" s="12" t="s">
        <v>33</v>
      </c>
      <c r="H326" s="51">
        <v>46107</v>
      </c>
      <c r="I326" s="49">
        <v>46126</v>
      </c>
      <c r="J326" s="8" t="s">
        <v>85</v>
      </c>
      <c r="K326" s="8" t="s">
        <v>70</v>
      </c>
      <c r="L326" s="9" t="s">
        <v>63</v>
      </c>
      <c r="M326" s="9"/>
      <c r="N326" s="9"/>
      <c r="O326" s="62"/>
      <c r="P326" s="9" t="str">
        <f t="shared" si="5"/>
        <v>ONAY</v>
      </c>
    </row>
    <row r="327" spans="1:16" ht="63" customHeight="1" x14ac:dyDescent="0.25">
      <c r="A327" s="5" t="s">
        <v>1612</v>
      </c>
      <c r="B327" s="6" t="s">
        <v>1613</v>
      </c>
      <c r="C327" s="8" t="s">
        <v>376</v>
      </c>
      <c r="D327" s="8" t="s">
        <v>377</v>
      </c>
      <c r="E327" s="7" t="s">
        <v>1614</v>
      </c>
      <c r="F327" s="7" t="s">
        <v>1615</v>
      </c>
      <c r="G327" s="12" t="s">
        <v>33</v>
      </c>
      <c r="H327" s="51">
        <v>46107</v>
      </c>
      <c r="I327" s="49">
        <v>46126</v>
      </c>
      <c r="J327" s="8" t="s">
        <v>77</v>
      </c>
      <c r="K327" s="8" t="s">
        <v>85</v>
      </c>
      <c r="L327" s="9" t="s">
        <v>87</v>
      </c>
      <c r="M327" s="9"/>
      <c r="N327" s="9"/>
      <c r="O327" s="62"/>
      <c r="P327" s="9" t="str">
        <f t="shared" si="5"/>
        <v>DÜZELTME</v>
      </c>
    </row>
    <row r="328" spans="1:16" ht="80.25" customHeight="1" x14ac:dyDescent="0.25">
      <c r="A328" s="5" t="s">
        <v>1616</v>
      </c>
      <c r="B328" s="6" t="s">
        <v>1617</v>
      </c>
      <c r="C328" s="8" t="s">
        <v>271</v>
      </c>
      <c r="D328" s="8" t="s">
        <v>208</v>
      </c>
      <c r="E328" s="7" t="s">
        <v>1618</v>
      </c>
      <c r="F328" s="7" t="s">
        <v>1619</v>
      </c>
      <c r="G328" s="12" t="s">
        <v>33</v>
      </c>
      <c r="H328" s="51">
        <v>46107</v>
      </c>
      <c r="I328" s="49">
        <v>46126</v>
      </c>
      <c r="J328" s="8" t="s">
        <v>62</v>
      </c>
      <c r="K328" s="8" t="s">
        <v>86</v>
      </c>
      <c r="L328" s="9" t="s">
        <v>63</v>
      </c>
      <c r="M328" s="9"/>
      <c r="N328" s="9"/>
      <c r="O328" s="62"/>
      <c r="P328" s="9" t="str">
        <f t="shared" si="5"/>
        <v>ONAY</v>
      </c>
    </row>
    <row r="329" spans="1:16" ht="63" customHeight="1" x14ac:dyDescent="0.25">
      <c r="A329" s="5" t="s">
        <v>1620</v>
      </c>
      <c r="B329" s="6" t="s">
        <v>1621</v>
      </c>
      <c r="C329" s="8" t="s">
        <v>1622</v>
      </c>
      <c r="D329" s="8" t="s">
        <v>74</v>
      </c>
      <c r="E329" s="7" t="s">
        <v>1623</v>
      </c>
      <c r="F329" s="7" t="s">
        <v>1624</v>
      </c>
      <c r="G329" s="12" t="s">
        <v>33</v>
      </c>
      <c r="H329" s="51">
        <v>46108</v>
      </c>
      <c r="I329" s="49">
        <v>46126</v>
      </c>
      <c r="J329" s="8" t="s">
        <v>78</v>
      </c>
      <c r="K329" s="8" t="s">
        <v>61</v>
      </c>
      <c r="L329" s="9" t="s">
        <v>63</v>
      </c>
      <c r="M329" s="9"/>
      <c r="N329" s="9"/>
      <c r="O329" s="62"/>
      <c r="P329" s="9" t="str">
        <f t="shared" si="5"/>
        <v>ONAY</v>
      </c>
    </row>
    <row r="330" spans="1:16" ht="63" customHeight="1" x14ac:dyDescent="0.25">
      <c r="A330" s="5" t="s">
        <v>1625</v>
      </c>
      <c r="B330" s="6" t="s">
        <v>1626</v>
      </c>
      <c r="C330" s="8" t="s">
        <v>1037</v>
      </c>
      <c r="D330" s="8" t="s">
        <v>99</v>
      </c>
      <c r="E330" s="7" t="s">
        <v>1627</v>
      </c>
      <c r="F330" s="7" t="s">
        <v>1628</v>
      </c>
      <c r="G330" s="12" t="s">
        <v>33</v>
      </c>
      <c r="H330" s="51">
        <v>46108</v>
      </c>
      <c r="I330" s="49">
        <v>46126</v>
      </c>
      <c r="J330" s="8" t="s">
        <v>102</v>
      </c>
      <c r="K330" s="8" t="s">
        <v>115</v>
      </c>
      <c r="L330" s="9" t="s">
        <v>63</v>
      </c>
      <c r="M330" s="9"/>
      <c r="N330" s="9"/>
      <c r="O330" s="62"/>
      <c r="P330" s="9" t="str">
        <f t="shared" si="5"/>
        <v>ONAY</v>
      </c>
    </row>
    <row r="331" spans="1:16" ht="111" customHeight="1" x14ac:dyDescent="0.25">
      <c r="A331" s="5" t="s">
        <v>1629</v>
      </c>
      <c r="B331" s="6" t="s">
        <v>1630</v>
      </c>
      <c r="C331" s="8" t="s">
        <v>1284</v>
      </c>
      <c r="D331" s="8" t="s">
        <v>214</v>
      </c>
      <c r="E331" s="7" t="s">
        <v>1631</v>
      </c>
      <c r="F331" s="7" t="s">
        <v>1632</v>
      </c>
      <c r="G331" s="12" t="s">
        <v>33</v>
      </c>
      <c r="H331" s="51">
        <v>46108</v>
      </c>
      <c r="I331" s="49">
        <v>46126</v>
      </c>
      <c r="J331" s="8" t="s">
        <v>109</v>
      </c>
      <c r="K331" s="8" t="s">
        <v>70</v>
      </c>
      <c r="L331" s="9" t="s">
        <v>63</v>
      </c>
      <c r="M331" s="9"/>
      <c r="N331" s="9"/>
      <c r="O331" s="62"/>
      <c r="P331" s="9" t="str">
        <f t="shared" si="5"/>
        <v>ONAY</v>
      </c>
    </row>
    <row r="332" spans="1:16" ht="78.75" customHeight="1" x14ac:dyDescent="0.25">
      <c r="A332" s="5" t="s">
        <v>1633</v>
      </c>
      <c r="B332" s="6" t="s">
        <v>1634</v>
      </c>
      <c r="C332" s="8" t="s">
        <v>118</v>
      </c>
      <c r="D332" s="8" t="s">
        <v>119</v>
      </c>
      <c r="E332" s="7" t="s">
        <v>1635</v>
      </c>
      <c r="F332" s="7" t="s">
        <v>1636</v>
      </c>
      <c r="G332" s="12" t="s">
        <v>33</v>
      </c>
      <c r="H332" s="51">
        <v>46108</v>
      </c>
      <c r="I332" s="49">
        <v>46126</v>
      </c>
      <c r="J332" s="8" t="s">
        <v>61</v>
      </c>
      <c r="K332" s="8" t="s">
        <v>86</v>
      </c>
      <c r="L332" s="9" t="s">
        <v>63</v>
      </c>
      <c r="M332" s="9"/>
      <c r="N332" s="9"/>
      <c r="O332" s="62"/>
      <c r="P332" s="9" t="str">
        <f t="shared" si="5"/>
        <v>ONAY</v>
      </c>
    </row>
    <row r="333" spans="1:16" ht="63" customHeight="1" x14ac:dyDescent="0.25">
      <c r="A333" s="5" t="s">
        <v>1637</v>
      </c>
      <c r="B333" s="6" t="s">
        <v>1638</v>
      </c>
      <c r="C333" s="8" t="s">
        <v>81</v>
      </c>
      <c r="D333" s="50" t="s">
        <v>82</v>
      </c>
      <c r="E333" s="7" t="s">
        <v>1639</v>
      </c>
      <c r="F333" s="7" t="s">
        <v>1640</v>
      </c>
      <c r="G333" s="12" t="s">
        <v>35</v>
      </c>
      <c r="H333" s="51">
        <v>46108</v>
      </c>
      <c r="I333" s="49">
        <v>46126</v>
      </c>
      <c r="J333" s="8" t="s">
        <v>85</v>
      </c>
      <c r="K333" s="8" t="s">
        <v>62</v>
      </c>
      <c r="L333" s="9" t="s">
        <v>87</v>
      </c>
      <c r="M333" s="9"/>
      <c r="N333" s="9"/>
      <c r="O333" s="62"/>
      <c r="P333" s="9" t="str">
        <f t="shared" si="5"/>
        <v>DÜZELTME</v>
      </c>
    </row>
    <row r="334" spans="1:16" ht="141.75" customHeight="1" x14ac:dyDescent="0.25">
      <c r="A334" s="5" t="s">
        <v>1641</v>
      </c>
      <c r="B334" s="6" t="s">
        <v>1642</v>
      </c>
      <c r="C334" s="8" t="s">
        <v>1643</v>
      </c>
      <c r="D334" s="8" t="s">
        <v>350</v>
      </c>
      <c r="E334" s="7" t="s">
        <v>1644</v>
      </c>
      <c r="F334" s="7" t="s">
        <v>1645</v>
      </c>
      <c r="G334" s="12" t="s">
        <v>34</v>
      </c>
      <c r="H334" s="51">
        <v>46108</v>
      </c>
      <c r="I334" s="49">
        <v>46126</v>
      </c>
      <c r="J334" s="8" t="s">
        <v>115</v>
      </c>
      <c r="K334" s="8" t="s">
        <v>94</v>
      </c>
      <c r="L334" s="9" t="s">
        <v>87</v>
      </c>
      <c r="M334" s="9"/>
      <c r="N334" s="9"/>
      <c r="O334" s="62"/>
      <c r="P334" s="9" t="str">
        <f t="shared" si="5"/>
        <v>DÜZELTME</v>
      </c>
    </row>
    <row r="335" spans="1:16" ht="94.5" customHeight="1" x14ac:dyDescent="0.25">
      <c r="A335" s="5" t="s">
        <v>1646</v>
      </c>
      <c r="B335" s="6" t="s">
        <v>1647</v>
      </c>
      <c r="C335" s="8" t="s">
        <v>1648</v>
      </c>
      <c r="D335" s="8" t="s">
        <v>1649</v>
      </c>
      <c r="E335" s="7" t="s">
        <v>1650</v>
      </c>
      <c r="F335" s="7" t="s">
        <v>1651</v>
      </c>
      <c r="G335" s="12" t="s">
        <v>34</v>
      </c>
      <c r="H335" s="51">
        <v>46108</v>
      </c>
      <c r="I335" s="49">
        <v>46126</v>
      </c>
      <c r="J335" s="8" t="s">
        <v>95</v>
      </c>
      <c r="K335" s="8" t="s">
        <v>77</v>
      </c>
      <c r="L335" s="9" t="s">
        <v>158</v>
      </c>
      <c r="M335" s="9"/>
      <c r="N335" s="9"/>
      <c r="O335" s="62"/>
      <c r="P335" s="9" t="str">
        <f t="shared" si="5"/>
        <v>RET</v>
      </c>
    </row>
    <row r="336" spans="1:16" ht="94.5" customHeight="1" x14ac:dyDescent="0.25">
      <c r="A336" s="5" t="s">
        <v>1652</v>
      </c>
      <c r="B336" s="6" t="s">
        <v>1653</v>
      </c>
      <c r="C336" s="8" t="s">
        <v>234</v>
      </c>
      <c r="D336" s="8" t="s">
        <v>220</v>
      </c>
      <c r="E336" s="7" t="s">
        <v>1654</v>
      </c>
      <c r="F336" s="7" t="s">
        <v>1655</v>
      </c>
      <c r="G336" s="12" t="s">
        <v>34</v>
      </c>
      <c r="H336" s="51">
        <v>46108</v>
      </c>
      <c r="I336" s="49">
        <v>46126</v>
      </c>
      <c r="J336" s="8" t="s">
        <v>78</v>
      </c>
      <c r="K336" s="8" t="s">
        <v>115</v>
      </c>
      <c r="L336" s="9" t="s">
        <v>63</v>
      </c>
      <c r="M336" s="9"/>
      <c r="N336" s="9"/>
      <c r="O336" s="62"/>
      <c r="P336" s="9" t="str">
        <f t="shared" si="5"/>
        <v>ONAY</v>
      </c>
    </row>
    <row r="337" spans="1:16" ht="63" customHeight="1" x14ac:dyDescent="0.25">
      <c r="A337" s="5" t="s">
        <v>1656</v>
      </c>
      <c r="B337" s="6" t="s">
        <v>1657</v>
      </c>
      <c r="C337" s="8" t="s">
        <v>1658</v>
      </c>
      <c r="D337" s="8" t="s">
        <v>525</v>
      </c>
      <c r="E337" s="7" t="s">
        <v>1659</v>
      </c>
      <c r="F337" s="7" t="s">
        <v>1660</v>
      </c>
      <c r="G337" s="12" t="s">
        <v>33</v>
      </c>
      <c r="H337" s="51">
        <v>46108</v>
      </c>
      <c r="I337" s="49">
        <v>46126</v>
      </c>
      <c r="J337" s="8" t="s">
        <v>109</v>
      </c>
      <c r="K337" s="8" t="s">
        <v>86</v>
      </c>
      <c r="L337" s="9" t="s">
        <v>63</v>
      </c>
      <c r="M337" s="9"/>
      <c r="N337" s="9"/>
      <c r="O337" s="62"/>
      <c r="P337" s="9" t="str">
        <f t="shared" si="5"/>
        <v>ONAY</v>
      </c>
    </row>
    <row r="338" spans="1:16" ht="63" customHeight="1" x14ac:dyDescent="0.25">
      <c r="A338" s="5" t="s">
        <v>1661</v>
      </c>
      <c r="B338" s="6" t="s">
        <v>1662</v>
      </c>
      <c r="C338" s="8" t="s">
        <v>1663</v>
      </c>
      <c r="D338" s="8" t="s">
        <v>570</v>
      </c>
      <c r="E338" s="7" t="s">
        <v>1664</v>
      </c>
      <c r="F338" s="7" t="s">
        <v>1665</v>
      </c>
      <c r="G338" s="12" t="s">
        <v>33</v>
      </c>
      <c r="H338" s="51">
        <v>46108</v>
      </c>
      <c r="I338" s="49">
        <v>46126</v>
      </c>
      <c r="J338" s="8" t="s">
        <v>86</v>
      </c>
      <c r="K338" s="8" t="s">
        <v>85</v>
      </c>
      <c r="L338" s="9" t="s">
        <v>87</v>
      </c>
      <c r="M338" s="9"/>
      <c r="N338" s="9"/>
      <c r="O338" s="62"/>
      <c r="P338" s="9" t="str">
        <f t="shared" si="5"/>
        <v>DÜZELTME</v>
      </c>
    </row>
    <row r="339" spans="1:16" ht="63" customHeight="1" x14ac:dyDescent="0.25">
      <c r="A339" s="5" t="s">
        <v>1666</v>
      </c>
      <c r="B339" s="6" t="s">
        <v>1667</v>
      </c>
      <c r="C339" s="8" t="s">
        <v>1668</v>
      </c>
      <c r="D339" s="8" t="s">
        <v>416</v>
      </c>
      <c r="E339" s="7" t="s">
        <v>1669</v>
      </c>
      <c r="F339" s="7" t="s">
        <v>1670</v>
      </c>
      <c r="G339" s="12" t="s">
        <v>33</v>
      </c>
      <c r="H339" s="51">
        <v>46108</v>
      </c>
      <c r="I339" s="49">
        <v>46126</v>
      </c>
      <c r="J339" s="8" t="s">
        <v>94</v>
      </c>
      <c r="K339" s="8" t="s">
        <v>70</v>
      </c>
      <c r="L339" s="9" t="s">
        <v>87</v>
      </c>
      <c r="M339" s="9"/>
      <c r="N339" s="9"/>
      <c r="O339" s="62"/>
      <c r="P339" s="9" t="str">
        <f t="shared" si="5"/>
        <v>DÜZELTME</v>
      </c>
    </row>
    <row r="340" spans="1:16" ht="78.75" customHeight="1" x14ac:dyDescent="0.25">
      <c r="A340" s="5" t="s">
        <v>1671</v>
      </c>
      <c r="B340" s="6" t="s">
        <v>1672</v>
      </c>
      <c r="C340" s="8" t="s">
        <v>1668</v>
      </c>
      <c r="D340" s="8" t="s">
        <v>416</v>
      </c>
      <c r="E340" s="7" t="s">
        <v>1673</v>
      </c>
      <c r="F340" s="7" t="s">
        <v>1674</v>
      </c>
      <c r="G340" s="12" t="s">
        <v>33</v>
      </c>
      <c r="H340" s="51">
        <v>46108</v>
      </c>
      <c r="I340" s="49">
        <v>46126</v>
      </c>
      <c r="J340" s="8" t="s">
        <v>95</v>
      </c>
      <c r="K340" s="8" t="s">
        <v>94</v>
      </c>
      <c r="L340" s="9" t="s">
        <v>87</v>
      </c>
      <c r="M340" s="9"/>
      <c r="N340" s="9"/>
      <c r="O340" s="62"/>
      <c r="P340" s="9" t="str">
        <f t="shared" si="5"/>
        <v>DÜZELTME</v>
      </c>
    </row>
    <row r="341" spans="1:16" ht="63" customHeight="1" x14ac:dyDescent="0.25">
      <c r="A341" s="5" t="s">
        <v>1675</v>
      </c>
      <c r="B341" s="6" t="s">
        <v>1676</v>
      </c>
      <c r="C341" s="8" t="s">
        <v>1677</v>
      </c>
      <c r="D341" s="8" t="s">
        <v>1477</v>
      </c>
      <c r="E341" s="7" t="s">
        <v>1678</v>
      </c>
      <c r="F341" s="7" t="s">
        <v>1679</v>
      </c>
      <c r="G341" s="12" t="s">
        <v>33</v>
      </c>
      <c r="H341" s="51">
        <v>46108</v>
      </c>
      <c r="I341" s="49">
        <v>46126</v>
      </c>
      <c r="J341" s="8" t="s">
        <v>115</v>
      </c>
      <c r="K341" s="8" t="s">
        <v>62</v>
      </c>
      <c r="L341" s="9" t="s">
        <v>63</v>
      </c>
      <c r="M341" s="9"/>
      <c r="N341" s="9"/>
      <c r="O341" s="62"/>
      <c r="P341" s="9" t="str">
        <f t="shared" si="5"/>
        <v>ONAY</v>
      </c>
    </row>
    <row r="342" spans="1:16" ht="94.5" customHeight="1" x14ac:dyDescent="0.25">
      <c r="A342" s="5" t="s">
        <v>1680</v>
      </c>
      <c r="B342" s="6" t="s">
        <v>1681</v>
      </c>
      <c r="C342" s="8" t="s">
        <v>1682</v>
      </c>
      <c r="D342" s="8" t="s">
        <v>1128</v>
      </c>
      <c r="E342" s="7" t="s">
        <v>1683</v>
      </c>
      <c r="F342" s="7" t="s">
        <v>1684</v>
      </c>
      <c r="G342" s="12" t="s">
        <v>33</v>
      </c>
      <c r="H342" s="51">
        <v>46108</v>
      </c>
      <c r="I342" s="49">
        <v>46126</v>
      </c>
      <c r="J342" s="8" t="s">
        <v>77</v>
      </c>
      <c r="K342" s="8" t="s">
        <v>102</v>
      </c>
      <c r="L342" s="9" t="s">
        <v>204</v>
      </c>
      <c r="M342" s="9"/>
      <c r="N342" s="9"/>
      <c r="O342" s="62"/>
      <c r="P342" s="9" t="str">
        <f t="shared" si="5"/>
        <v>KAEK</v>
      </c>
    </row>
    <row r="343" spans="1:16" ht="63" customHeight="1" x14ac:dyDescent="0.25">
      <c r="A343" s="5" t="s">
        <v>1685</v>
      </c>
      <c r="B343" s="6" t="s">
        <v>1686</v>
      </c>
      <c r="C343" s="8" t="s">
        <v>1687</v>
      </c>
      <c r="D343" s="8" t="s">
        <v>648</v>
      </c>
      <c r="E343" s="7" t="s">
        <v>1688</v>
      </c>
      <c r="F343" s="7" t="s">
        <v>1689</v>
      </c>
      <c r="G343" s="12" t="s">
        <v>33</v>
      </c>
      <c r="H343" s="51">
        <v>46108</v>
      </c>
      <c r="I343" s="49">
        <v>46126</v>
      </c>
      <c r="J343" s="8" t="s">
        <v>102</v>
      </c>
      <c r="K343" s="8" t="s">
        <v>78</v>
      </c>
      <c r="L343" s="9" t="s">
        <v>63</v>
      </c>
      <c r="M343" s="9"/>
      <c r="N343" s="9"/>
      <c r="O343" s="62"/>
      <c r="P343" s="9" t="str">
        <f t="shared" si="5"/>
        <v>ONAY</v>
      </c>
    </row>
    <row r="344" spans="1:16" ht="96" customHeight="1" x14ac:dyDescent="0.25">
      <c r="A344" s="5" t="s">
        <v>1690</v>
      </c>
      <c r="B344" s="6" t="s">
        <v>1691</v>
      </c>
      <c r="C344" s="8" t="s">
        <v>1692</v>
      </c>
      <c r="D344" s="8" t="s">
        <v>99</v>
      </c>
      <c r="E344" s="7" t="s">
        <v>1693</v>
      </c>
      <c r="F344" s="7" t="s">
        <v>1694</v>
      </c>
      <c r="G344" s="12" t="s">
        <v>33</v>
      </c>
      <c r="H344" s="51">
        <v>46108</v>
      </c>
      <c r="I344" s="49">
        <v>46126</v>
      </c>
      <c r="J344" s="8" t="s">
        <v>77</v>
      </c>
      <c r="K344" s="8" t="s">
        <v>78</v>
      </c>
      <c r="L344" s="9" t="s">
        <v>87</v>
      </c>
      <c r="M344" s="9"/>
      <c r="N344" s="9"/>
      <c r="O344" s="62"/>
      <c r="P344" s="9" t="str">
        <f t="shared" si="5"/>
        <v>DÜZELTME</v>
      </c>
    </row>
    <row r="345" spans="1:16" ht="63" customHeight="1" x14ac:dyDescent="0.25">
      <c r="A345" s="5" t="s">
        <v>1695</v>
      </c>
      <c r="B345" s="6" t="s">
        <v>1696</v>
      </c>
      <c r="C345" s="8" t="s">
        <v>1337</v>
      </c>
      <c r="D345" s="8" t="s">
        <v>99</v>
      </c>
      <c r="E345" s="7" t="s">
        <v>1697</v>
      </c>
      <c r="F345" s="7" t="s">
        <v>1698</v>
      </c>
      <c r="G345" s="12" t="s">
        <v>33</v>
      </c>
      <c r="H345" s="51">
        <v>46108</v>
      </c>
      <c r="I345" s="49">
        <v>46126</v>
      </c>
      <c r="J345" s="8" t="s">
        <v>70</v>
      </c>
      <c r="K345" s="8" t="s">
        <v>62</v>
      </c>
      <c r="L345" s="9" t="s">
        <v>63</v>
      </c>
      <c r="M345" s="9"/>
      <c r="N345" s="9"/>
      <c r="O345" s="62"/>
      <c r="P345" s="9" t="str">
        <f t="shared" si="5"/>
        <v>ONAY</v>
      </c>
    </row>
    <row r="346" spans="1:16" ht="79.5" customHeight="1" x14ac:dyDescent="0.25">
      <c r="A346" s="5" t="s">
        <v>1699</v>
      </c>
      <c r="B346" s="6" t="s">
        <v>1700</v>
      </c>
      <c r="C346" s="8" t="s">
        <v>1677</v>
      </c>
      <c r="D346" s="8" t="s">
        <v>1477</v>
      </c>
      <c r="E346" s="7" t="s">
        <v>1701</v>
      </c>
      <c r="F346" s="7" t="s">
        <v>1702</v>
      </c>
      <c r="G346" s="12" t="s">
        <v>33</v>
      </c>
      <c r="H346" s="51">
        <v>46108</v>
      </c>
      <c r="I346" s="49">
        <v>46126</v>
      </c>
      <c r="J346" s="8" t="s">
        <v>102</v>
      </c>
      <c r="K346" s="8" t="s">
        <v>115</v>
      </c>
      <c r="L346" s="9" t="s">
        <v>63</v>
      </c>
      <c r="M346" s="9"/>
      <c r="N346" s="9"/>
      <c r="O346" s="62"/>
      <c r="P346" s="9" t="str">
        <f t="shared" si="5"/>
        <v>ONAY</v>
      </c>
    </row>
    <row r="347" spans="1:16" ht="110.25" customHeight="1" x14ac:dyDescent="0.25">
      <c r="A347" s="5" t="s">
        <v>1703</v>
      </c>
      <c r="B347" s="6" t="s">
        <v>1704</v>
      </c>
      <c r="C347" s="8" t="s">
        <v>161</v>
      </c>
      <c r="D347" s="8" t="s">
        <v>155</v>
      </c>
      <c r="E347" s="7" t="s">
        <v>1705</v>
      </c>
      <c r="F347" s="7" t="s">
        <v>1706</v>
      </c>
      <c r="G347" s="12" t="s">
        <v>33</v>
      </c>
      <c r="H347" s="51">
        <v>46112</v>
      </c>
      <c r="I347" s="49">
        <v>46126</v>
      </c>
      <c r="J347" s="8" t="s">
        <v>77</v>
      </c>
      <c r="K347" s="8" t="s">
        <v>85</v>
      </c>
      <c r="L347" s="9" t="s">
        <v>87</v>
      </c>
      <c r="M347" s="9"/>
      <c r="N347" s="9"/>
      <c r="O347" s="62"/>
      <c r="P347" s="9" t="str">
        <f t="shared" si="5"/>
        <v>DÜZELTME</v>
      </c>
    </row>
    <row r="348" spans="1:16" ht="111.75" customHeight="1" x14ac:dyDescent="0.25">
      <c r="A348" s="5" t="s">
        <v>1707</v>
      </c>
      <c r="B348" s="6" t="s">
        <v>1708</v>
      </c>
      <c r="C348" s="8" t="s">
        <v>1091</v>
      </c>
      <c r="D348" s="8" t="s">
        <v>951</v>
      </c>
      <c r="E348" s="7" t="s">
        <v>1709</v>
      </c>
      <c r="F348" s="7" t="s">
        <v>1710</v>
      </c>
      <c r="G348" s="12" t="s">
        <v>33</v>
      </c>
      <c r="H348" s="51">
        <v>46112</v>
      </c>
      <c r="I348" s="49">
        <v>46126</v>
      </c>
      <c r="J348" s="8" t="s">
        <v>95</v>
      </c>
      <c r="K348" s="8" t="s">
        <v>70</v>
      </c>
      <c r="L348" s="9" t="s">
        <v>158</v>
      </c>
      <c r="M348" s="9"/>
      <c r="N348" s="9"/>
      <c r="O348" s="62"/>
      <c r="P348" s="9" t="str">
        <f t="shared" si="5"/>
        <v>RET</v>
      </c>
    </row>
    <row r="349" spans="1:16" ht="63" customHeight="1" x14ac:dyDescent="0.25">
      <c r="A349" s="5" t="s">
        <v>1711</v>
      </c>
      <c r="B349" s="6" t="s">
        <v>1712</v>
      </c>
      <c r="C349" s="8" t="s">
        <v>98</v>
      </c>
      <c r="D349" s="8" t="s">
        <v>99</v>
      </c>
      <c r="E349" s="7" t="s">
        <v>1713</v>
      </c>
      <c r="F349" s="7" t="s">
        <v>1714</v>
      </c>
      <c r="G349" s="12" t="s">
        <v>33</v>
      </c>
      <c r="H349" s="51">
        <v>46112</v>
      </c>
      <c r="I349" s="49">
        <v>46126</v>
      </c>
      <c r="J349" s="8" t="s">
        <v>61</v>
      </c>
      <c r="K349" s="8" t="s">
        <v>102</v>
      </c>
      <c r="L349" s="9" t="s">
        <v>87</v>
      </c>
      <c r="M349" s="9"/>
      <c r="N349" s="9"/>
      <c r="O349" s="62"/>
      <c r="P349" s="9" t="str">
        <f t="shared" si="5"/>
        <v>DÜZELTME</v>
      </c>
    </row>
    <row r="350" spans="1:16" ht="79.5" customHeight="1" x14ac:dyDescent="0.25">
      <c r="A350" s="5" t="s">
        <v>1715</v>
      </c>
      <c r="B350" s="6" t="s">
        <v>1716</v>
      </c>
      <c r="C350" s="8" t="s">
        <v>1717</v>
      </c>
      <c r="D350" s="8" t="s">
        <v>179</v>
      </c>
      <c r="E350" s="7" t="s">
        <v>1718</v>
      </c>
      <c r="F350" s="7" t="s">
        <v>1719</v>
      </c>
      <c r="G350" s="12" t="s">
        <v>33</v>
      </c>
      <c r="H350" s="51">
        <v>46112</v>
      </c>
      <c r="I350" s="49">
        <v>46126</v>
      </c>
      <c r="J350" s="8" t="s">
        <v>109</v>
      </c>
      <c r="K350" s="8" t="s">
        <v>78</v>
      </c>
      <c r="L350" s="9" t="s">
        <v>63</v>
      </c>
      <c r="M350" s="9"/>
      <c r="N350" s="9"/>
      <c r="O350" s="62"/>
      <c r="P350" s="9" t="str">
        <f t="shared" si="5"/>
        <v>ONAY</v>
      </c>
    </row>
    <row r="351" spans="1:16" ht="63" customHeight="1" x14ac:dyDescent="0.25">
      <c r="A351" s="5" t="s">
        <v>1720</v>
      </c>
      <c r="B351" s="6" t="s">
        <v>1721</v>
      </c>
      <c r="C351" s="8" t="s">
        <v>519</v>
      </c>
      <c r="D351" s="8" t="s">
        <v>99</v>
      </c>
      <c r="E351" s="7" t="s">
        <v>1722</v>
      </c>
      <c r="F351" s="7" t="s">
        <v>1723</v>
      </c>
      <c r="G351" s="12" t="s">
        <v>33</v>
      </c>
      <c r="H351" s="51">
        <v>46112</v>
      </c>
      <c r="I351" s="49">
        <v>46126</v>
      </c>
      <c r="J351" s="8" t="s">
        <v>62</v>
      </c>
      <c r="K351" s="8" t="s">
        <v>95</v>
      </c>
      <c r="L351" s="9" t="s">
        <v>63</v>
      </c>
      <c r="M351" s="9"/>
      <c r="N351" s="9"/>
      <c r="O351" s="62"/>
      <c r="P351" s="9" t="str">
        <f t="shared" si="5"/>
        <v>ONAY</v>
      </c>
    </row>
    <row r="352" spans="1:16" ht="63" customHeight="1" x14ac:dyDescent="0.25">
      <c r="A352" s="5" t="s">
        <v>1724</v>
      </c>
      <c r="B352" s="6" t="s">
        <v>1725</v>
      </c>
      <c r="C352" s="8" t="s">
        <v>720</v>
      </c>
      <c r="D352" s="8" t="s">
        <v>208</v>
      </c>
      <c r="E352" s="7" t="s">
        <v>1726</v>
      </c>
      <c r="F352" s="7" t="s">
        <v>1727</v>
      </c>
      <c r="G352" s="12" t="s">
        <v>33</v>
      </c>
      <c r="H352" s="51">
        <v>46112</v>
      </c>
      <c r="I352" s="49">
        <v>46126</v>
      </c>
      <c r="J352" s="8" t="s">
        <v>86</v>
      </c>
      <c r="K352" s="8" t="s">
        <v>109</v>
      </c>
      <c r="L352" s="9" t="s">
        <v>87</v>
      </c>
      <c r="M352" s="9"/>
      <c r="N352" s="9"/>
      <c r="O352" s="62"/>
      <c r="P352" s="9" t="str">
        <f t="shared" si="5"/>
        <v>DÜZELTME</v>
      </c>
    </row>
    <row r="353" spans="1:16" ht="141.75" customHeight="1" x14ac:dyDescent="0.25">
      <c r="A353" s="5" t="s">
        <v>1728</v>
      </c>
      <c r="B353" s="6" t="s">
        <v>1729</v>
      </c>
      <c r="C353" s="8" t="s">
        <v>365</v>
      </c>
      <c r="D353" s="8" t="s">
        <v>208</v>
      </c>
      <c r="E353" s="7" t="s">
        <v>1730</v>
      </c>
      <c r="F353" s="7" t="s">
        <v>1731</v>
      </c>
      <c r="G353" s="12" t="s">
        <v>33</v>
      </c>
      <c r="H353" s="51">
        <v>46112</v>
      </c>
      <c r="I353" s="49">
        <v>46126</v>
      </c>
      <c r="J353" s="8" t="s">
        <v>61</v>
      </c>
      <c r="K353" s="8" t="s">
        <v>109</v>
      </c>
      <c r="L353" s="9" t="s">
        <v>87</v>
      </c>
      <c r="M353" s="9"/>
      <c r="N353" s="9"/>
      <c r="O353" s="62"/>
      <c r="P353" s="9" t="str">
        <f t="shared" si="5"/>
        <v>DÜZELTME</v>
      </c>
    </row>
    <row r="354" spans="1:16" ht="63" customHeight="1" x14ac:dyDescent="0.25">
      <c r="A354" s="5" t="s">
        <v>1732</v>
      </c>
      <c r="B354" s="6" t="s">
        <v>1733</v>
      </c>
      <c r="C354" s="8" t="s">
        <v>1569</v>
      </c>
      <c r="D354" s="8" t="s">
        <v>99</v>
      </c>
      <c r="E354" s="7" t="s">
        <v>1605</v>
      </c>
      <c r="F354" s="7" t="s">
        <v>1734</v>
      </c>
      <c r="G354" s="12" t="s">
        <v>33</v>
      </c>
      <c r="H354" s="51">
        <v>46118</v>
      </c>
      <c r="I354" s="49">
        <v>46140</v>
      </c>
      <c r="J354" s="8"/>
      <c r="K354" s="8"/>
      <c r="L354" s="9"/>
      <c r="M354" s="9"/>
      <c r="N354" s="9"/>
      <c r="O354" s="62"/>
      <c r="P354" s="9">
        <f t="shared" si="5"/>
        <v>0</v>
      </c>
    </row>
    <row r="355" spans="1:16" ht="94.5" customHeight="1" x14ac:dyDescent="0.25">
      <c r="A355" s="5" t="s">
        <v>1735</v>
      </c>
      <c r="B355" s="6" t="s">
        <v>1736</v>
      </c>
      <c r="C355" s="8" t="s">
        <v>1091</v>
      </c>
      <c r="D355" s="8" t="s">
        <v>951</v>
      </c>
      <c r="E355" s="7" t="s">
        <v>1737</v>
      </c>
      <c r="F355" s="7" t="s">
        <v>1738</v>
      </c>
      <c r="G355" s="12" t="s">
        <v>33</v>
      </c>
      <c r="H355" s="51">
        <v>46118</v>
      </c>
      <c r="I355" s="49">
        <v>46140</v>
      </c>
      <c r="J355" s="8"/>
      <c r="K355" s="8"/>
      <c r="L355" s="9"/>
      <c r="M355" s="9"/>
      <c r="N355" s="9"/>
      <c r="O355" s="62"/>
      <c r="P355" s="9">
        <f t="shared" si="5"/>
        <v>0</v>
      </c>
    </row>
    <row r="356" spans="1:16" ht="98.25" customHeight="1" x14ac:dyDescent="0.25">
      <c r="A356" s="5" t="s">
        <v>1739</v>
      </c>
      <c r="B356" s="6" t="s">
        <v>1740</v>
      </c>
      <c r="C356" s="8" t="s">
        <v>1741</v>
      </c>
      <c r="D356" s="8" t="s">
        <v>1128</v>
      </c>
      <c r="E356" s="7" t="s">
        <v>1742</v>
      </c>
      <c r="F356" s="7" t="s">
        <v>1743</v>
      </c>
      <c r="G356" s="12" t="s">
        <v>33</v>
      </c>
      <c r="H356" s="51">
        <v>46118</v>
      </c>
      <c r="I356" s="49">
        <v>46140</v>
      </c>
      <c r="J356" s="8"/>
      <c r="K356" s="8"/>
      <c r="L356" s="9"/>
      <c r="M356" s="9"/>
      <c r="N356" s="9"/>
      <c r="O356" s="62"/>
      <c r="P356" s="9">
        <f t="shared" si="5"/>
        <v>0</v>
      </c>
    </row>
    <row r="357" spans="1:16" ht="78.75" customHeight="1" x14ac:dyDescent="0.25">
      <c r="A357" s="5" t="s">
        <v>1744</v>
      </c>
      <c r="B357" s="6" t="s">
        <v>1745</v>
      </c>
      <c r="C357" s="50" t="s">
        <v>1746</v>
      </c>
      <c r="D357" s="50" t="s">
        <v>805</v>
      </c>
      <c r="E357" s="7" t="s">
        <v>1747</v>
      </c>
      <c r="F357" s="7" t="s">
        <v>1748</v>
      </c>
      <c r="G357" s="12" t="s">
        <v>33</v>
      </c>
      <c r="H357" s="51">
        <v>46118</v>
      </c>
      <c r="I357" s="49">
        <v>46140</v>
      </c>
      <c r="J357" s="8"/>
      <c r="K357" s="8"/>
      <c r="L357" s="9"/>
      <c r="M357" s="9"/>
      <c r="N357" s="9"/>
      <c r="O357" s="62"/>
      <c r="P357" s="9">
        <f t="shared" si="5"/>
        <v>0</v>
      </c>
    </row>
    <row r="358" spans="1:16" ht="78.75" customHeight="1" x14ac:dyDescent="0.25">
      <c r="A358" s="5" t="s">
        <v>1749</v>
      </c>
      <c r="B358" s="6" t="s">
        <v>1750</v>
      </c>
      <c r="C358" s="8" t="s">
        <v>1192</v>
      </c>
      <c r="D358" s="8" t="s">
        <v>208</v>
      </c>
      <c r="E358" s="7" t="s">
        <v>1751</v>
      </c>
      <c r="F358" s="7" t="s">
        <v>1752</v>
      </c>
      <c r="G358" s="12" t="s">
        <v>33</v>
      </c>
      <c r="H358" s="51">
        <v>46118</v>
      </c>
      <c r="I358" s="49">
        <v>46140</v>
      </c>
      <c r="J358" s="8"/>
      <c r="K358" s="8"/>
      <c r="L358" s="9"/>
      <c r="M358" s="9"/>
      <c r="N358" s="9"/>
      <c r="O358" s="62"/>
      <c r="P358" s="9">
        <f t="shared" si="5"/>
        <v>0</v>
      </c>
    </row>
    <row r="359" spans="1:16" ht="63" customHeight="1" x14ac:dyDescent="0.25">
      <c r="A359" s="5" t="s">
        <v>1753</v>
      </c>
      <c r="B359" s="6" t="s">
        <v>1754</v>
      </c>
      <c r="C359" s="8" t="s">
        <v>370</v>
      </c>
      <c r="D359" s="8" t="s">
        <v>371</v>
      </c>
      <c r="E359" s="7" t="s">
        <v>1755</v>
      </c>
      <c r="F359" s="7" t="s">
        <v>1756</v>
      </c>
      <c r="G359" s="12" t="s">
        <v>33</v>
      </c>
      <c r="H359" s="51">
        <v>46118</v>
      </c>
      <c r="I359" s="49">
        <v>46140</v>
      </c>
      <c r="J359" s="8"/>
      <c r="K359" s="8"/>
      <c r="L359" s="9"/>
      <c r="M359" s="9"/>
      <c r="N359" s="9"/>
      <c r="O359" s="62"/>
      <c r="P359" s="9">
        <f t="shared" si="5"/>
        <v>0</v>
      </c>
    </row>
    <row r="360" spans="1:16" ht="63" customHeight="1" x14ac:dyDescent="0.25">
      <c r="A360" s="5" t="s">
        <v>1757</v>
      </c>
      <c r="B360" s="6" t="s">
        <v>1758</v>
      </c>
      <c r="C360" s="8" t="s">
        <v>195</v>
      </c>
      <c r="D360" s="8" t="s">
        <v>119</v>
      </c>
      <c r="E360" s="7" t="s">
        <v>1759</v>
      </c>
      <c r="F360" s="7" t="s">
        <v>1760</v>
      </c>
      <c r="G360" s="12" t="s">
        <v>34</v>
      </c>
      <c r="H360" s="51">
        <v>46118</v>
      </c>
      <c r="I360" s="49">
        <v>46140</v>
      </c>
      <c r="J360" s="8"/>
      <c r="K360" s="8"/>
      <c r="L360" s="9"/>
      <c r="M360" s="9"/>
      <c r="N360" s="9"/>
      <c r="O360" s="62"/>
      <c r="P360" s="9">
        <f t="shared" si="5"/>
        <v>0</v>
      </c>
    </row>
    <row r="361" spans="1:16" ht="78.75" customHeight="1" x14ac:dyDescent="0.25">
      <c r="A361" s="5" t="s">
        <v>1761</v>
      </c>
      <c r="B361" s="6" t="s">
        <v>1762</v>
      </c>
      <c r="C361" s="8" t="s">
        <v>534</v>
      </c>
      <c r="D361" s="8" t="s">
        <v>179</v>
      </c>
      <c r="E361" s="7" t="s">
        <v>1763</v>
      </c>
      <c r="F361" s="7" t="s">
        <v>1764</v>
      </c>
      <c r="G361" s="12" t="s">
        <v>33</v>
      </c>
      <c r="H361" s="51">
        <v>46118</v>
      </c>
      <c r="I361" s="49">
        <v>46140</v>
      </c>
      <c r="J361" s="8"/>
      <c r="K361" s="8"/>
      <c r="L361" s="9"/>
      <c r="M361" s="9"/>
      <c r="N361" s="9"/>
      <c r="O361" s="62"/>
      <c r="P361" s="9">
        <f t="shared" si="5"/>
        <v>0</v>
      </c>
    </row>
    <row r="362" spans="1:16" ht="47.25" customHeight="1" x14ac:dyDescent="0.25">
      <c r="A362" s="5" t="s">
        <v>1765</v>
      </c>
      <c r="B362" s="6" t="s">
        <v>1766</v>
      </c>
      <c r="C362" s="8" t="s">
        <v>1337</v>
      </c>
      <c r="D362" s="8" t="s">
        <v>99</v>
      </c>
      <c r="E362" s="7" t="s">
        <v>1767</v>
      </c>
      <c r="F362" s="7" t="s">
        <v>1768</v>
      </c>
      <c r="G362" s="12" t="s">
        <v>33</v>
      </c>
      <c r="H362" s="51">
        <v>46119</v>
      </c>
      <c r="I362" s="49">
        <v>46140</v>
      </c>
      <c r="J362" s="8"/>
      <c r="K362" s="8"/>
      <c r="L362" s="9"/>
      <c r="M362" s="9"/>
      <c r="N362" s="9"/>
      <c r="O362" s="62"/>
      <c r="P362" s="9">
        <f t="shared" si="5"/>
        <v>0</v>
      </c>
    </row>
    <row r="363" spans="1:16" ht="81" customHeight="1" x14ac:dyDescent="0.25">
      <c r="A363" s="5" t="s">
        <v>1769</v>
      </c>
      <c r="B363" s="6" t="s">
        <v>1770</v>
      </c>
      <c r="C363" s="8" t="s">
        <v>271</v>
      </c>
      <c r="D363" s="8" t="s">
        <v>208</v>
      </c>
      <c r="E363" s="7" t="s">
        <v>1771</v>
      </c>
      <c r="F363" s="7" t="s">
        <v>1772</v>
      </c>
      <c r="G363" s="12" t="s">
        <v>33</v>
      </c>
      <c r="H363" s="51">
        <v>46119</v>
      </c>
      <c r="I363" s="49">
        <v>46140</v>
      </c>
      <c r="J363" s="8"/>
      <c r="K363" s="8"/>
      <c r="L363" s="9"/>
      <c r="M363" s="9"/>
      <c r="N363" s="9"/>
      <c r="O363" s="62"/>
      <c r="P363" s="9">
        <f t="shared" si="5"/>
        <v>0</v>
      </c>
    </row>
    <row r="364" spans="1:16" ht="78.75" customHeight="1" x14ac:dyDescent="0.25">
      <c r="A364" s="5" t="s">
        <v>1773</v>
      </c>
      <c r="B364" s="6" t="s">
        <v>1774</v>
      </c>
      <c r="C364" s="8" t="s">
        <v>1775</v>
      </c>
      <c r="D364" s="8" t="s">
        <v>208</v>
      </c>
      <c r="E364" s="7" t="s">
        <v>1776</v>
      </c>
      <c r="F364" s="7" t="s">
        <v>1777</v>
      </c>
      <c r="G364" s="12" t="s">
        <v>34</v>
      </c>
      <c r="H364" s="51">
        <v>46119</v>
      </c>
      <c r="I364" s="49">
        <v>46140</v>
      </c>
      <c r="J364" s="8"/>
      <c r="K364" s="8"/>
      <c r="L364" s="9"/>
      <c r="M364" s="9"/>
      <c r="N364" s="9"/>
      <c r="O364" s="62"/>
      <c r="P364" s="9">
        <f t="shared" si="5"/>
        <v>0</v>
      </c>
    </row>
    <row r="365" spans="1:16" ht="47.25" customHeight="1" x14ac:dyDescent="0.25">
      <c r="A365" s="5" t="s">
        <v>1778</v>
      </c>
      <c r="B365" s="6" t="s">
        <v>1779</v>
      </c>
      <c r="C365" s="8" t="s">
        <v>1780</v>
      </c>
      <c r="D365" s="8" t="s">
        <v>99</v>
      </c>
      <c r="E365" s="7" t="s">
        <v>1781</v>
      </c>
      <c r="F365" s="7" t="s">
        <v>1782</v>
      </c>
      <c r="G365" s="12" t="s">
        <v>33</v>
      </c>
      <c r="H365" s="51">
        <v>46119</v>
      </c>
      <c r="I365" s="49">
        <v>46140</v>
      </c>
      <c r="J365" s="8"/>
      <c r="K365" s="8"/>
      <c r="L365" s="9"/>
      <c r="M365" s="9"/>
      <c r="N365" s="9"/>
      <c r="O365" s="62"/>
      <c r="P365" s="9"/>
    </row>
    <row r="366" spans="1:16" ht="47.25" customHeight="1" x14ac:dyDescent="0.25">
      <c r="A366" s="5" t="s">
        <v>1783</v>
      </c>
      <c r="B366" s="6" t="s">
        <v>1784</v>
      </c>
      <c r="C366" s="8" t="s">
        <v>1780</v>
      </c>
      <c r="D366" s="8" t="s">
        <v>99</v>
      </c>
      <c r="E366" s="7" t="s">
        <v>1781</v>
      </c>
      <c r="F366" s="7" t="s">
        <v>1785</v>
      </c>
      <c r="G366" s="12" t="s">
        <v>33</v>
      </c>
      <c r="H366" s="51">
        <v>46119</v>
      </c>
      <c r="I366" s="49">
        <v>46140</v>
      </c>
      <c r="J366" s="8"/>
      <c r="K366" s="8"/>
      <c r="L366" s="9"/>
      <c r="M366" s="9"/>
      <c r="N366" s="9"/>
      <c r="O366" s="62"/>
      <c r="P366" s="9"/>
    </row>
    <row r="367" spans="1:16" ht="63" customHeight="1" x14ac:dyDescent="0.25">
      <c r="A367" s="5" t="s">
        <v>1786</v>
      </c>
      <c r="B367" s="6" t="s">
        <v>1787</v>
      </c>
      <c r="C367" s="8" t="s">
        <v>942</v>
      </c>
      <c r="D367" s="8" t="s">
        <v>390</v>
      </c>
      <c r="E367" s="7" t="s">
        <v>1788</v>
      </c>
      <c r="F367" s="7" t="s">
        <v>1789</v>
      </c>
      <c r="G367" s="12" t="s">
        <v>33</v>
      </c>
      <c r="H367" s="51">
        <v>46119</v>
      </c>
      <c r="I367" s="49">
        <v>46140</v>
      </c>
      <c r="J367" s="8"/>
      <c r="K367" s="8"/>
      <c r="L367" s="9"/>
      <c r="M367" s="9"/>
      <c r="N367" s="9"/>
      <c r="O367" s="62"/>
      <c r="P367" s="9"/>
    </row>
    <row r="368" spans="1:16" ht="66" customHeight="1" x14ac:dyDescent="0.25">
      <c r="A368" s="5" t="s">
        <v>1790</v>
      </c>
      <c r="B368" s="6" t="s">
        <v>1791</v>
      </c>
      <c r="C368" s="8" t="s">
        <v>1792</v>
      </c>
      <c r="D368" s="8" t="s">
        <v>1023</v>
      </c>
      <c r="E368" s="7" t="s">
        <v>1793</v>
      </c>
      <c r="F368" s="7" t="s">
        <v>1794</v>
      </c>
      <c r="G368" s="12" t="s">
        <v>36</v>
      </c>
      <c r="H368" s="51">
        <v>46119</v>
      </c>
      <c r="I368" s="49">
        <v>46140</v>
      </c>
      <c r="J368" s="8"/>
      <c r="K368" s="8"/>
      <c r="L368" s="9"/>
      <c r="M368" s="9"/>
      <c r="N368" s="9"/>
      <c r="O368" s="62"/>
      <c r="P368" s="9"/>
    </row>
    <row r="369" spans="1:16" ht="63" customHeight="1" x14ac:dyDescent="0.25">
      <c r="A369" s="5" t="s">
        <v>1795</v>
      </c>
      <c r="B369" s="6" t="s">
        <v>1796</v>
      </c>
      <c r="C369" s="8" t="s">
        <v>365</v>
      </c>
      <c r="D369" s="8" t="s">
        <v>208</v>
      </c>
      <c r="E369" s="7" t="s">
        <v>1797</v>
      </c>
      <c r="F369" s="7" t="s">
        <v>1798</v>
      </c>
      <c r="G369" s="12" t="s">
        <v>33</v>
      </c>
      <c r="H369" s="51">
        <v>46119</v>
      </c>
      <c r="I369" s="49">
        <v>46140</v>
      </c>
      <c r="J369" s="8"/>
      <c r="K369" s="8"/>
      <c r="L369" s="9"/>
      <c r="M369" s="9"/>
      <c r="N369" s="9"/>
      <c r="O369" s="62"/>
      <c r="P369" s="9"/>
    </row>
    <row r="370" spans="1:16" ht="78.75" customHeight="1" x14ac:dyDescent="0.25">
      <c r="A370" s="5" t="s">
        <v>1799</v>
      </c>
      <c r="B370" s="6" t="s">
        <v>1800</v>
      </c>
      <c r="C370" s="8" t="s">
        <v>564</v>
      </c>
      <c r="D370" s="8" t="s">
        <v>99</v>
      </c>
      <c r="E370" s="7" t="s">
        <v>1801</v>
      </c>
      <c r="F370" s="7" t="s">
        <v>1802</v>
      </c>
      <c r="G370" s="12" t="s">
        <v>33</v>
      </c>
      <c r="H370" s="51">
        <v>46119</v>
      </c>
      <c r="I370" s="49">
        <v>46140</v>
      </c>
      <c r="J370" s="8"/>
      <c r="K370" s="8"/>
      <c r="L370" s="9"/>
      <c r="M370" s="9"/>
      <c r="N370" s="9"/>
      <c r="O370" s="62"/>
      <c r="P370" s="9"/>
    </row>
    <row r="371" spans="1:16" ht="63" customHeight="1" x14ac:dyDescent="0.25">
      <c r="A371" s="5" t="s">
        <v>1803</v>
      </c>
      <c r="B371" s="6" t="s">
        <v>1804</v>
      </c>
      <c r="C371" s="8" t="s">
        <v>1805</v>
      </c>
      <c r="D371" s="8" t="s">
        <v>1806</v>
      </c>
      <c r="E371" s="7" t="s">
        <v>1807</v>
      </c>
      <c r="F371" s="7" t="s">
        <v>1808</v>
      </c>
      <c r="G371" s="12" t="s">
        <v>33</v>
      </c>
      <c r="H371" s="51">
        <v>46119</v>
      </c>
      <c r="I371" s="49">
        <v>46140</v>
      </c>
      <c r="J371" s="8"/>
      <c r="K371" s="8"/>
      <c r="L371" s="9"/>
      <c r="M371" s="9"/>
      <c r="N371" s="9"/>
      <c r="O371" s="62"/>
      <c r="P371" s="9"/>
    </row>
    <row r="372" spans="1:16" ht="63" customHeight="1" x14ac:dyDescent="0.25">
      <c r="A372" s="5" t="s">
        <v>1809</v>
      </c>
      <c r="B372" s="6" t="s">
        <v>1810</v>
      </c>
      <c r="C372" s="8" t="s">
        <v>310</v>
      </c>
      <c r="D372" s="8" t="s">
        <v>311</v>
      </c>
      <c r="E372" s="7" t="s">
        <v>1811</v>
      </c>
      <c r="F372" s="7" t="s">
        <v>1812</v>
      </c>
      <c r="G372" s="12" t="s">
        <v>34</v>
      </c>
      <c r="H372" s="51">
        <v>46119</v>
      </c>
      <c r="I372" s="49">
        <v>46140</v>
      </c>
      <c r="J372" s="8"/>
      <c r="K372" s="8"/>
      <c r="L372" s="9"/>
      <c r="M372" s="9"/>
      <c r="N372" s="9"/>
      <c r="O372" s="62"/>
      <c r="P372" s="9"/>
    </row>
    <row r="373" spans="1:16" ht="78.75" customHeight="1" x14ac:dyDescent="0.25">
      <c r="A373" s="5" t="s">
        <v>1813</v>
      </c>
      <c r="B373" s="6" t="s">
        <v>1814</v>
      </c>
      <c r="C373" s="8" t="s">
        <v>178</v>
      </c>
      <c r="D373" s="8" t="s">
        <v>179</v>
      </c>
      <c r="E373" s="7" t="s">
        <v>1815</v>
      </c>
      <c r="F373" s="7" t="s">
        <v>1816</v>
      </c>
      <c r="G373" s="12" t="s">
        <v>33</v>
      </c>
      <c r="H373" s="51">
        <v>46119</v>
      </c>
      <c r="I373" s="49">
        <v>46140</v>
      </c>
      <c r="J373" s="8"/>
      <c r="K373" s="8"/>
      <c r="L373" s="9"/>
      <c r="M373" s="9"/>
      <c r="N373" s="9"/>
      <c r="O373" s="62"/>
      <c r="P373" s="9"/>
    </row>
    <row r="374" spans="1:16" ht="78.75" customHeight="1" x14ac:dyDescent="0.25">
      <c r="A374" s="5" t="s">
        <v>1817</v>
      </c>
      <c r="B374" s="6" t="s">
        <v>1818</v>
      </c>
      <c r="C374" s="8" t="s">
        <v>1819</v>
      </c>
      <c r="D374" s="8" t="s">
        <v>74</v>
      </c>
      <c r="E374" s="7" t="s">
        <v>1820</v>
      </c>
      <c r="F374" s="7" t="s">
        <v>1821</v>
      </c>
      <c r="G374" s="12" t="s">
        <v>34</v>
      </c>
      <c r="H374" s="51">
        <v>46119</v>
      </c>
      <c r="I374" s="49">
        <v>46140</v>
      </c>
      <c r="J374" s="8"/>
      <c r="K374" s="8"/>
      <c r="L374" s="9"/>
      <c r="M374" s="9"/>
      <c r="N374" s="9"/>
      <c r="O374" s="62"/>
      <c r="P374" s="9"/>
    </row>
    <row r="375" spans="1:16" ht="63" customHeight="1" x14ac:dyDescent="0.25">
      <c r="A375" s="5" t="s">
        <v>1822</v>
      </c>
      <c r="B375" s="6" t="s">
        <v>1823</v>
      </c>
      <c r="C375" s="8" t="s">
        <v>1192</v>
      </c>
      <c r="D375" s="8" t="s">
        <v>208</v>
      </c>
      <c r="E375" s="7" t="s">
        <v>1824</v>
      </c>
      <c r="F375" s="7" t="s">
        <v>1825</v>
      </c>
      <c r="G375" s="12" t="s">
        <v>34</v>
      </c>
      <c r="H375" s="51">
        <v>46119</v>
      </c>
      <c r="I375" s="49">
        <v>46140</v>
      </c>
      <c r="J375" s="8"/>
      <c r="K375" s="8"/>
      <c r="L375" s="9"/>
      <c r="M375" s="9"/>
      <c r="N375" s="9"/>
      <c r="O375" s="62"/>
      <c r="P375" s="9"/>
    </row>
    <row r="376" spans="1:16" ht="78.75" customHeight="1" x14ac:dyDescent="0.25">
      <c r="A376" s="5" t="s">
        <v>1826</v>
      </c>
      <c r="B376" s="6" t="s">
        <v>1827</v>
      </c>
      <c r="C376" s="8" t="s">
        <v>1828</v>
      </c>
      <c r="D376" s="8" t="s">
        <v>119</v>
      </c>
      <c r="E376" s="7" t="s">
        <v>1829</v>
      </c>
      <c r="F376" s="7" t="s">
        <v>1830</v>
      </c>
      <c r="G376" s="12" t="s">
        <v>33</v>
      </c>
      <c r="H376" s="51">
        <v>46119</v>
      </c>
      <c r="I376" s="49">
        <v>46140</v>
      </c>
      <c r="J376" s="8"/>
      <c r="K376" s="8"/>
      <c r="L376" s="9"/>
      <c r="M376" s="9"/>
      <c r="N376" s="9"/>
      <c r="O376" s="62"/>
      <c r="P376" s="9"/>
    </row>
    <row r="377" spans="1:16" ht="63" customHeight="1" x14ac:dyDescent="0.25">
      <c r="A377" s="5" t="s">
        <v>1831</v>
      </c>
      <c r="B377" s="6" t="s">
        <v>1832</v>
      </c>
      <c r="C377" s="8" t="s">
        <v>178</v>
      </c>
      <c r="D377" s="8" t="s">
        <v>179</v>
      </c>
      <c r="E377" s="7" t="s">
        <v>1833</v>
      </c>
      <c r="F377" s="7" t="s">
        <v>1834</v>
      </c>
      <c r="G377" s="12" t="s">
        <v>33</v>
      </c>
      <c r="H377" s="51">
        <v>46119</v>
      </c>
      <c r="I377" s="49">
        <v>46140</v>
      </c>
      <c r="J377" s="8"/>
      <c r="K377" s="8"/>
      <c r="L377" s="9"/>
      <c r="M377" s="9"/>
      <c r="N377" s="9"/>
      <c r="O377" s="62"/>
      <c r="P377" s="9"/>
    </row>
    <row r="378" spans="1:16" ht="94.5" customHeight="1" x14ac:dyDescent="0.25">
      <c r="A378" s="5" t="s">
        <v>1835</v>
      </c>
      <c r="B378" s="6" t="s">
        <v>1836</v>
      </c>
      <c r="C378" s="8" t="s">
        <v>288</v>
      </c>
      <c r="D378" s="8" t="s">
        <v>208</v>
      </c>
      <c r="E378" s="7" t="s">
        <v>1837</v>
      </c>
      <c r="F378" s="7" t="s">
        <v>1838</v>
      </c>
      <c r="G378" s="12" t="s">
        <v>33</v>
      </c>
      <c r="H378" s="51">
        <v>46119</v>
      </c>
      <c r="I378" s="49">
        <v>46140</v>
      </c>
      <c r="J378" s="8"/>
      <c r="K378" s="8"/>
      <c r="L378" s="9"/>
      <c r="M378" s="9"/>
      <c r="N378" s="9"/>
      <c r="O378" s="62"/>
      <c r="P378" s="9"/>
    </row>
    <row r="379" spans="1:16" ht="63" customHeight="1" x14ac:dyDescent="0.25">
      <c r="A379" s="5" t="s">
        <v>1839</v>
      </c>
      <c r="B379" s="6" t="s">
        <v>1840</v>
      </c>
      <c r="C379" s="8" t="s">
        <v>619</v>
      </c>
      <c r="D379" s="8" t="s">
        <v>214</v>
      </c>
      <c r="E379" s="7" t="s">
        <v>1841</v>
      </c>
      <c r="F379" s="7" t="s">
        <v>1842</v>
      </c>
      <c r="G379" s="12" t="s">
        <v>33</v>
      </c>
      <c r="H379" s="51">
        <v>46119</v>
      </c>
      <c r="I379" s="49">
        <v>46140</v>
      </c>
      <c r="J379" s="8"/>
      <c r="K379" s="8"/>
      <c r="L379" s="9"/>
      <c r="M379" s="9"/>
      <c r="N379" s="9"/>
      <c r="O379" s="62"/>
      <c r="P379" s="9"/>
    </row>
    <row r="380" spans="1:16" ht="63" customHeight="1" x14ac:dyDescent="0.25">
      <c r="A380" s="5" t="s">
        <v>1843</v>
      </c>
      <c r="B380" s="6" t="s">
        <v>1844</v>
      </c>
      <c r="C380" s="8" t="s">
        <v>229</v>
      </c>
      <c r="D380" s="8" t="s">
        <v>99</v>
      </c>
      <c r="E380" s="7" t="s">
        <v>1845</v>
      </c>
      <c r="F380" s="7" t="s">
        <v>1846</v>
      </c>
      <c r="G380" s="12" t="s">
        <v>33</v>
      </c>
      <c r="H380" s="51">
        <v>46120</v>
      </c>
      <c r="I380" s="49">
        <v>46140</v>
      </c>
      <c r="J380" s="8"/>
      <c r="K380" s="8"/>
      <c r="L380" s="9"/>
      <c r="M380" s="9"/>
      <c r="N380" s="9"/>
      <c r="O380" s="62"/>
      <c r="P380" s="9"/>
    </row>
    <row r="381" spans="1:16" ht="78.75" customHeight="1" x14ac:dyDescent="0.25">
      <c r="A381" s="5" t="s">
        <v>1847</v>
      </c>
      <c r="B381" s="6" t="s">
        <v>1848</v>
      </c>
      <c r="C381" s="8" t="s">
        <v>1849</v>
      </c>
      <c r="D381" s="8" t="s">
        <v>1153</v>
      </c>
      <c r="E381" s="7" t="s">
        <v>1850</v>
      </c>
      <c r="F381" s="7" t="s">
        <v>1851</v>
      </c>
      <c r="G381" s="12" t="s">
        <v>33</v>
      </c>
      <c r="H381" s="51">
        <v>46120</v>
      </c>
      <c r="I381" s="49">
        <v>46140</v>
      </c>
      <c r="J381" s="8"/>
      <c r="K381" s="8"/>
      <c r="L381" s="9"/>
      <c r="M381" s="9"/>
      <c r="N381" s="9"/>
      <c r="O381" s="62"/>
      <c r="P381" s="9"/>
    </row>
    <row r="382" spans="1:16" ht="63" customHeight="1" x14ac:dyDescent="0.25">
      <c r="A382" s="5" t="s">
        <v>1852</v>
      </c>
      <c r="B382" s="6" t="s">
        <v>1853</v>
      </c>
      <c r="C382" s="8" t="s">
        <v>1411</v>
      </c>
      <c r="D382" s="8" t="s">
        <v>951</v>
      </c>
      <c r="E382" s="7" t="s">
        <v>1854</v>
      </c>
      <c r="F382" s="7" t="s">
        <v>1855</v>
      </c>
      <c r="G382" s="12" t="s">
        <v>34</v>
      </c>
      <c r="H382" s="51">
        <v>46121</v>
      </c>
      <c r="I382" s="49">
        <v>46140</v>
      </c>
      <c r="J382" s="8"/>
      <c r="K382" s="8"/>
      <c r="L382" s="9"/>
      <c r="M382" s="9"/>
      <c r="N382" s="9"/>
      <c r="O382" s="62"/>
      <c r="P382" s="9"/>
    </row>
    <row r="383" spans="1:16" ht="63" customHeight="1" x14ac:dyDescent="0.25">
      <c r="A383" s="5" t="s">
        <v>1856</v>
      </c>
      <c r="B383" s="6" t="s">
        <v>1857</v>
      </c>
      <c r="C383" s="8" t="s">
        <v>1858</v>
      </c>
      <c r="D383" s="8" t="s">
        <v>470</v>
      </c>
      <c r="E383" s="7" t="s">
        <v>1859</v>
      </c>
      <c r="F383" s="7" t="s">
        <v>1860</v>
      </c>
      <c r="G383" s="12" t="s">
        <v>34</v>
      </c>
      <c r="H383" s="51">
        <v>46121</v>
      </c>
      <c r="I383" s="49">
        <v>46140</v>
      </c>
      <c r="J383" s="8"/>
      <c r="K383" s="8"/>
      <c r="L383" s="9"/>
      <c r="M383" s="9"/>
      <c r="N383" s="9"/>
      <c r="O383" s="62"/>
      <c r="P383" s="9"/>
    </row>
    <row r="384" spans="1:16" ht="78.75" customHeight="1" x14ac:dyDescent="0.25">
      <c r="A384" s="5" t="s">
        <v>1861</v>
      </c>
      <c r="B384" s="6" t="s">
        <v>1862</v>
      </c>
      <c r="C384" s="8" t="s">
        <v>1416</v>
      </c>
      <c r="D384" s="8" t="s">
        <v>99</v>
      </c>
      <c r="E384" s="7" t="s">
        <v>1863</v>
      </c>
      <c r="F384" s="7" t="s">
        <v>1864</v>
      </c>
      <c r="G384" s="12" t="s">
        <v>33</v>
      </c>
      <c r="H384" s="51">
        <v>46121</v>
      </c>
      <c r="I384" s="49">
        <v>46140</v>
      </c>
      <c r="J384" s="8"/>
      <c r="K384" s="8"/>
      <c r="L384" s="9"/>
      <c r="M384" s="9"/>
      <c r="N384" s="9"/>
      <c r="O384" s="62"/>
      <c r="P384" s="9"/>
    </row>
    <row r="385" spans="1:16" ht="80.25" customHeight="1" x14ac:dyDescent="0.25">
      <c r="A385" s="5" t="s">
        <v>1865</v>
      </c>
      <c r="B385" s="6" t="s">
        <v>1866</v>
      </c>
      <c r="C385" s="8" t="s">
        <v>1692</v>
      </c>
      <c r="D385" s="8" t="s">
        <v>99</v>
      </c>
      <c r="E385" s="7" t="s">
        <v>1867</v>
      </c>
      <c r="F385" s="7" t="s">
        <v>1868</v>
      </c>
      <c r="G385" s="12" t="s">
        <v>33</v>
      </c>
      <c r="H385" s="51">
        <v>46121</v>
      </c>
      <c r="I385" s="49">
        <v>46140</v>
      </c>
      <c r="J385" s="8"/>
      <c r="K385" s="8"/>
      <c r="L385" s="9"/>
      <c r="M385" s="9"/>
      <c r="N385" s="9"/>
      <c r="O385" s="62"/>
      <c r="P385" s="9"/>
    </row>
    <row r="386" spans="1:16" ht="63" customHeight="1" x14ac:dyDescent="0.25">
      <c r="A386" s="5" t="s">
        <v>1869</v>
      </c>
      <c r="B386" s="6" t="s">
        <v>1870</v>
      </c>
      <c r="C386" s="8" t="s">
        <v>505</v>
      </c>
      <c r="D386" s="8" t="s">
        <v>350</v>
      </c>
      <c r="E386" s="7" t="s">
        <v>1871</v>
      </c>
      <c r="F386" s="7" t="s">
        <v>1872</v>
      </c>
      <c r="G386" s="12" t="s">
        <v>33</v>
      </c>
      <c r="H386" s="51">
        <v>46121</v>
      </c>
      <c r="I386" s="49">
        <v>46140</v>
      </c>
      <c r="J386" s="8"/>
      <c r="K386" s="8"/>
      <c r="L386" s="9"/>
      <c r="M386" s="9"/>
      <c r="N386" s="9"/>
      <c r="O386" s="62"/>
      <c r="P386" s="9"/>
    </row>
    <row r="387" spans="1:16" ht="63" customHeight="1" x14ac:dyDescent="0.25">
      <c r="A387" s="5" t="s">
        <v>1873</v>
      </c>
      <c r="B387" s="6" t="s">
        <v>1874</v>
      </c>
      <c r="C387" s="8" t="s">
        <v>310</v>
      </c>
      <c r="D387" s="8" t="s">
        <v>311</v>
      </c>
      <c r="E387" s="7" t="s">
        <v>1875</v>
      </c>
      <c r="F387" s="7" t="s">
        <v>1876</v>
      </c>
      <c r="G387" s="12" t="s">
        <v>34</v>
      </c>
      <c r="H387" s="51">
        <v>46122</v>
      </c>
      <c r="I387" s="49">
        <v>46140</v>
      </c>
      <c r="J387" s="8"/>
      <c r="K387" s="8"/>
      <c r="L387" s="9"/>
      <c r="M387" s="9"/>
      <c r="N387" s="9"/>
      <c r="O387" s="62"/>
      <c r="P387" s="9"/>
    </row>
    <row r="388" spans="1:16" ht="94.5" customHeight="1" x14ac:dyDescent="0.25">
      <c r="A388" s="5" t="s">
        <v>1877</v>
      </c>
      <c r="B388" s="6" t="s">
        <v>1878</v>
      </c>
      <c r="C388" s="8" t="s">
        <v>1879</v>
      </c>
      <c r="D388" s="8" t="s">
        <v>1880</v>
      </c>
      <c r="E388" s="7" t="s">
        <v>1881</v>
      </c>
      <c r="F388" s="7" t="s">
        <v>1882</v>
      </c>
      <c r="G388" s="12" t="s">
        <v>35</v>
      </c>
      <c r="H388" s="51">
        <v>46125</v>
      </c>
      <c r="I388" s="49">
        <v>46140</v>
      </c>
      <c r="J388" s="8"/>
      <c r="K388" s="8"/>
      <c r="L388" s="9"/>
      <c r="M388" s="9"/>
      <c r="N388" s="9"/>
      <c r="O388" s="62"/>
      <c r="P388" s="9"/>
    </row>
    <row r="389" spans="1:16" ht="78.75" customHeight="1" x14ac:dyDescent="0.25">
      <c r="A389" s="5" t="s">
        <v>1883</v>
      </c>
      <c r="B389" s="6" t="s">
        <v>1884</v>
      </c>
      <c r="C389" s="8" t="s">
        <v>1232</v>
      </c>
      <c r="D389" s="8" t="s">
        <v>208</v>
      </c>
      <c r="E389" s="7" t="s">
        <v>1885</v>
      </c>
      <c r="F389" s="7" t="s">
        <v>1886</v>
      </c>
      <c r="G389" s="12" t="s">
        <v>33</v>
      </c>
      <c r="H389" s="51">
        <v>46125</v>
      </c>
      <c r="I389" s="49">
        <v>46140</v>
      </c>
      <c r="J389" s="8"/>
      <c r="K389" s="8"/>
      <c r="L389" s="9"/>
      <c r="M389" s="9"/>
      <c r="N389" s="9"/>
      <c r="O389" s="62"/>
      <c r="P389" s="9">
        <f t="shared" ref="P389:P401" si="6">IF(O389&lt;&gt;"",O389, IF(N389&lt;&gt;"",N389, IF(M389&lt;&gt;"",M389, L389)))</f>
        <v>0</v>
      </c>
    </row>
    <row r="390" spans="1:16" ht="78.75" customHeight="1" x14ac:dyDescent="0.25">
      <c r="A390" s="5" t="s">
        <v>1887</v>
      </c>
      <c r="B390" s="6" t="s">
        <v>1888</v>
      </c>
      <c r="C390" s="8" t="s">
        <v>1232</v>
      </c>
      <c r="D390" s="8" t="s">
        <v>208</v>
      </c>
      <c r="E390" s="7" t="s">
        <v>1889</v>
      </c>
      <c r="F390" s="7" t="s">
        <v>1890</v>
      </c>
      <c r="G390" s="12" t="s">
        <v>33</v>
      </c>
      <c r="H390" s="51">
        <v>46125</v>
      </c>
      <c r="I390" s="49">
        <v>46140</v>
      </c>
      <c r="J390" s="8"/>
      <c r="K390" s="8"/>
      <c r="L390" s="9"/>
      <c r="M390" s="9"/>
      <c r="N390" s="9"/>
      <c r="O390" s="62"/>
      <c r="P390" s="9">
        <f t="shared" si="6"/>
        <v>0</v>
      </c>
    </row>
    <row r="391" spans="1:16" ht="96" customHeight="1" x14ac:dyDescent="0.25">
      <c r="A391" s="5" t="s">
        <v>1891</v>
      </c>
      <c r="B391" s="6" t="s">
        <v>1892</v>
      </c>
      <c r="C391" s="8" t="s">
        <v>1574</v>
      </c>
      <c r="D391" s="8" t="s">
        <v>327</v>
      </c>
      <c r="E391" s="7" t="s">
        <v>1893</v>
      </c>
      <c r="F391" s="7" t="s">
        <v>1894</v>
      </c>
      <c r="G391" s="12" t="s">
        <v>34</v>
      </c>
      <c r="H391" s="51">
        <v>46125</v>
      </c>
      <c r="I391" s="49">
        <v>46140</v>
      </c>
      <c r="J391" s="8"/>
      <c r="K391" s="8"/>
      <c r="L391" s="9"/>
      <c r="M391" s="9"/>
      <c r="N391" s="9"/>
      <c r="O391" s="62"/>
      <c r="P391" s="9">
        <f t="shared" si="6"/>
        <v>0</v>
      </c>
    </row>
    <row r="392" spans="1:16" ht="63" customHeight="1" x14ac:dyDescent="0.25">
      <c r="A392" s="5" t="s">
        <v>1895</v>
      </c>
      <c r="B392" s="6" t="s">
        <v>1896</v>
      </c>
      <c r="C392" s="8" t="s">
        <v>246</v>
      </c>
      <c r="D392" s="8" t="s">
        <v>155</v>
      </c>
      <c r="E392" s="7" t="s">
        <v>1897</v>
      </c>
      <c r="F392" s="7" t="s">
        <v>1898</v>
      </c>
      <c r="G392" s="12" t="s">
        <v>33</v>
      </c>
      <c r="H392" s="51">
        <v>46126</v>
      </c>
      <c r="I392" s="49">
        <v>46140</v>
      </c>
      <c r="J392" s="8"/>
      <c r="K392" s="8"/>
      <c r="L392" s="9"/>
      <c r="M392" s="9"/>
      <c r="N392" s="9"/>
      <c r="O392" s="62"/>
      <c r="P392" s="9">
        <f t="shared" si="6"/>
        <v>0</v>
      </c>
    </row>
    <row r="393" spans="1:16" x14ac:dyDescent="0.25">
      <c r="A393" s="5" t="s">
        <v>1899</v>
      </c>
      <c r="B393" s="6" t="s">
        <v>1900</v>
      </c>
      <c r="C393" s="8"/>
      <c r="D393" s="8"/>
      <c r="E393" s="7"/>
      <c r="F393" s="7"/>
      <c r="G393" s="12"/>
      <c r="H393" s="51"/>
      <c r="I393" s="49"/>
      <c r="J393" s="8"/>
      <c r="K393" s="8"/>
      <c r="L393" s="9"/>
      <c r="M393" s="9"/>
      <c r="N393" s="9"/>
      <c r="O393" s="62"/>
      <c r="P393" s="9">
        <f t="shared" si="6"/>
        <v>0</v>
      </c>
    </row>
    <row r="394" spans="1:16" x14ac:dyDescent="0.25">
      <c r="A394" s="5" t="s">
        <v>1901</v>
      </c>
      <c r="B394" s="6" t="s">
        <v>1902</v>
      </c>
      <c r="C394" s="8"/>
      <c r="D394" s="8"/>
      <c r="E394" s="7"/>
      <c r="F394" s="7"/>
      <c r="G394" s="12"/>
      <c r="H394" s="51"/>
      <c r="I394" s="49"/>
      <c r="J394" s="8"/>
      <c r="K394" s="8"/>
      <c r="L394" s="9"/>
      <c r="M394" s="9"/>
      <c r="N394" s="9"/>
      <c r="O394" s="62"/>
      <c r="P394" s="9">
        <f t="shared" si="6"/>
        <v>0</v>
      </c>
    </row>
    <row r="395" spans="1:16" x14ac:dyDescent="0.25">
      <c r="A395" s="5" t="s">
        <v>1903</v>
      </c>
      <c r="B395" s="6" t="s">
        <v>1904</v>
      </c>
      <c r="C395" s="8"/>
      <c r="D395" s="8"/>
      <c r="E395" s="7"/>
      <c r="F395" s="7"/>
      <c r="G395" s="12"/>
      <c r="H395" s="51"/>
      <c r="I395" s="49"/>
      <c r="J395" s="8"/>
      <c r="K395" s="8"/>
      <c r="L395" s="9"/>
      <c r="M395" s="9"/>
      <c r="N395" s="9"/>
      <c r="O395" s="62"/>
      <c r="P395" s="9">
        <f t="shared" si="6"/>
        <v>0</v>
      </c>
    </row>
    <row r="396" spans="1:16" x14ac:dyDescent="0.25">
      <c r="A396" s="5" t="s">
        <v>1905</v>
      </c>
      <c r="B396" s="6" t="s">
        <v>1906</v>
      </c>
      <c r="C396" s="8"/>
      <c r="D396" s="8"/>
      <c r="E396" s="7"/>
      <c r="F396" s="7"/>
      <c r="G396" s="12"/>
      <c r="H396" s="51"/>
      <c r="I396" s="49"/>
      <c r="J396" s="8"/>
      <c r="K396" s="8"/>
      <c r="L396" s="9"/>
      <c r="M396" s="9"/>
      <c r="N396" s="9"/>
      <c r="O396" s="62"/>
      <c r="P396" s="9">
        <f t="shared" si="6"/>
        <v>0</v>
      </c>
    </row>
    <row r="397" spans="1:16" x14ac:dyDescent="0.25">
      <c r="A397" s="5" t="s">
        <v>1907</v>
      </c>
      <c r="B397" s="6" t="s">
        <v>1908</v>
      </c>
      <c r="C397" s="8"/>
      <c r="D397" s="8"/>
      <c r="E397" s="7"/>
      <c r="F397" s="7"/>
      <c r="G397" s="12"/>
      <c r="H397" s="51"/>
      <c r="I397" s="49"/>
      <c r="J397" s="8"/>
      <c r="K397" s="8"/>
      <c r="L397" s="9"/>
      <c r="M397" s="9"/>
      <c r="N397" s="9"/>
      <c r="O397" s="62"/>
      <c r="P397" s="9">
        <f t="shared" si="6"/>
        <v>0</v>
      </c>
    </row>
    <row r="398" spans="1:16" x14ac:dyDescent="0.25">
      <c r="A398" s="5" t="s">
        <v>1909</v>
      </c>
      <c r="B398" s="6" t="s">
        <v>1910</v>
      </c>
      <c r="C398" s="8"/>
      <c r="D398" s="8"/>
      <c r="E398" s="7"/>
      <c r="F398" s="7"/>
      <c r="G398" s="12"/>
      <c r="H398" s="51"/>
      <c r="I398" s="49"/>
      <c r="J398" s="8"/>
      <c r="K398" s="8"/>
      <c r="L398" s="9"/>
      <c r="M398" s="9"/>
      <c r="N398" s="9"/>
      <c r="O398" s="62"/>
      <c r="P398" s="9">
        <f t="shared" si="6"/>
        <v>0</v>
      </c>
    </row>
    <row r="399" spans="1:16" x14ac:dyDescent="0.25">
      <c r="A399" s="5" t="s">
        <v>1911</v>
      </c>
      <c r="B399" s="6" t="s">
        <v>1912</v>
      </c>
      <c r="C399" s="8"/>
      <c r="D399" s="8"/>
      <c r="E399" s="7"/>
      <c r="F399" s="7"/>
      <c r="G399" s="12"/>
      <c r="H399" s="51"/>
      <c r="I399" s="49"/>
      <c r="J399" s="8"/>
      <c r="K399" s="8"/>
      <c r="L399" s="9"/>
      <c r="M399" s="9"/>
      <c r="N399" s="9"/>
      <c r="O399" s="62"/>
      <c r="P399" s="9">
        <f t="shared" si="6"/>
        <v>0</v>
      </c>
    </row>
    <row r="400" spans="1:16" x14ac:dyDescent="0.25">
      <c r="A400" s="5" t="s">
        <v>1913</v>
      </c>
      <c r="B400" s="6" t="s">
        <v>1914</v>
      </c>
      <c r="C400" s="8"/>
      <c r="D400" s="8"/>
      <c r="E400" s="7"/>
      <c r="F400" s="7"/>
      <c r="G400" s="12"/>
      <c r="H400" s="51"/>
      <c r="I400" s="49"/>
      <c r="J400" s="8"/>
      <c r="K400" s="8"/>
      <c r="L400" s="9"/>
      <c r="M400" s="9"/>
      <c r="N400" s="9"/>
      <c r="O400" s="62"/>
      <c r="P400" s="9">
        <f t="shared" si="6"/>
        <v>0</v>
      </c>
    </row>
    <row r="401" spans="1:16" x14ac:dyDescent="0.25">
      <c r="A401" s="5" t="s">
        <v>1915</v>
      </c>
      <c r="B401" s="6" t="s">
        <v>1916</v>
      </c>
      <c r="C401" s="8"/>
      <c r="D401" s="8"/>
      <c r="E401" s="7"/>
      <c r="F401" s="7"/>
      <c r="G401" s="12"/>
      <c r="H401" s="51"/>
      <c r="I401" s="49"/>
      <c r="J401" s="8"/>
      <c r="K401" s="8"/>
      <c r="L401" s="9"/>
      <c r="M401" s="9"/>
      <c r="N401" s="9"/>
      <c r="O401" s="62"/>
      <c r="P401" s="9">
        <f t="shared" si="6"/>
        <v>0</v>
      </c>
    </row>
    <row r="402" spans="1:16" x14ac:dyDescent="0.25">
      <c r="A402" s="101"/>
      <c r="C402" s="10"/>
      <c r="D402" s="10"/>
      <c r="E402" s="14"/>
      <c r="F402" s="14"/>
      <c r="G402" s="1"/>
      <c r="H402" s="102"/>
      <c r="I402" s="103"/>
      <c r="J402" s="10"/>
      <c r="K402" s="10"/>
      <c r="L402" s="65"/>
      <c r="M402" s="65"/>
      <c r="N402" s="65"/>
      <c r="O402" s="65"/>
    </row>
    <row r="403" spans="1:16" x14ac:dyDescent="0.25">
      <c r="A403" s="101"/>
      <c r="C403" s="10"/>
      <c r="D403" s="10"/>
      <c r="E403" s="14"/>
      <c r="F403" s="14"/>
      <c r="G403" s="1"/>
      <c r="H403" s="102"/>
      <c r="I403" s="103"/>
      <c r="J403" s="10"/>
      <c r="K403" s="10"/>
      <c r="L403" s="65"/>
      <c r="M403" s="65"/>
      <c r="N403" s="65"/>
      <c r="O403" s="65"/>
    </row>
    <row r="405" spans="1:16" ht="31.5" customHeight="1" x14ac:dyDescent="0.25">
      <c r="F405" s="56" t="s">
        <v>1917</v>
      </c>
      <c r="K405" s="67" t="s">
        <v>63</v>
      </c>
      <c r="L405" s="68">
        <f>COUNTIF(L2:L401,"ONAY")</f>
        <v>187</v>
      </c>
      <c r="M405" s="69">
        <f>COUNTIF(M2:M401,"ONAY")</f>
        <v>73</v>
      </c>
      <c r="N405" s="68">
        <f>COUNTIF(N2:N401,"ONAY")</f>
        <v>7</v>
      </c>
      <c r="O405" s="104">
        <f>COUNTIF(O2:O401,"ONAY")</f>
        <v>0</v>
      </c>
      <c r="P405" s="69">
        <f>COUNTIF(P2:P401,"ONAY")</f>
        <v>267</v>
      </c>
    </row>
    <row r="406" spans="1:16" ht="31.5" customHeight="1" x14ac:dyDescent="0.25">
      <c r="F406" s="56" t="s">
        <v>1918</v>
      </c>
      <c r="K406" s="70" t="s">
        <v>87</v>
      </c>
      <c r="L406" s="71">
        <f>COUNTIF(L2:L401,"DÜZELTME")</f>
        <v>130</v>
      </c>
      <c r="M406" s="72">
        <f>COUNTIF(M2:M401,"DÜZELTME")</f>
        <v>9</v>
      </c>
      <c r="N406" s="71">
        <f>COUNTIF(N2:N401,"DÜZELTME")</f>
        <v>0</v>
      </c>
      <c r="O406" s="72">
        <f>COUNTIF(O2:O401,"DÜZELTME")</f>
        <v>0</v>
      </c>
      <c r="P406" s="105">
        <f>COUNTIF(P2:P401,"DÜZELTME")</f>
        <v>55</v>
      </c>
    </row>
    <row r="407" spans="1:16" ht="47.25" customHeight="1" x14ac:dyDescent="0.25">
      <c r="F407" s="56" t="s">
        <v>1919</v>
      </c>
      <c r="K407" s="73" t="s">
        <v>204</v>
      </c>
      <c r="L407" s="74">
        <f>COUNTIF(L2:L401,"KAEK")</f>
        <v>9</v>
      </c>
      <c r="M407" s="75">
        <f>COUNTIF(M2:M401,"KAEK")</f>
        <v>0</v>
      </c>
      <c r="N407" s="74">
        <f>COUNTIF(N2:N401,"KAEK")</f>
        <v>0</v>
      </c>
      <c r="O407" s="75">
        <f>COUNTIF(O2:O401,"KAEK")</f>
        <v>0</v>
      </c>
      <c r="P407" s="75">
        <f>COUNTIF(P2:P401,"KAEK")</f>
        <v>8</v>
      </c>
    </row>
    <row r="408" spans="1:16" ht="63" customHeight="1" x14ac:dyDescent="0.25">
      <c r="F408" s="56" t="s">
        <v>1920</v>
      </c>
      <c r="K408" s="76" t="s">
        <v>192</v>
      </c>
      <c r="L408" s="77">
        <f>COUNTIF(L2:L401,"GÖRÜŞ")</f>
        <v>9</v>
      </c>
      <c r="M408" s="78">
        <f>COUNTIF(M2:M401,"GÖRÜŞ")</f>
        <v>8</v>
      </c>
      <c r="N408" s="77">
        <f>COUNTIF(N2:N401,"GÖRÜŞ")</f>
        <v>0</v>
      </c>
      <c r="O408" s="78">
        <f>COUNTIF(O2:O401,"GÖRÜŞ")</f>
        <v>0</v>
      </c>
      <c r="P408" s="78">
        <f>COUNTIF(P2:P401,"GÖRÜŞ")</f>
        <v>3</v>
      </c>
    </row>
    <row r="409" spans="1:16" ht="47.25" customHeight="1" x14ac:dyDescent="0.25">
      <c r="F409" s="56" t="s">
        <v>1921</v>
      </c>
      <c r="K409" s="79" t="s">
        <v>139</v>
      </c>
      <c r="L409" s="80">
        <f>COUNTIF(L2:L401,"KAPSAM DIŞI")</f>
        <v>6</v>
      </c>
      <c r="M409" s="81">
        <f>COUNTIF(M2:M401,"KAPSAM DIŞI")</f>
        <v>1</v>
      </c>
      <c r="N409" s="80">
        <f>COUNTIF(N2:N401,"KAPSAM DIŞI")</f>
        <v>0</v>
      </c>
      <c r="O409" s="81">
        <f>COUNTIF(O2:O401,"KAPSAM DIŞI")</f>
        <v>0</v>
      </c>
      <c r="P409" s="81">
        <f>COUNTIF(P2:P401,"KAPSAM DIŞI")</f>
        <v>7</v>
      </c>
    </row>
    <row r="410" spans="1:16" ht="31.5" customHeight="1" x14ac:dyDescent="0.25">
      <c r="F410" s="56" t="s">
        <v>1922</v>
      </c>
      <c r="K410" s="82" t="s">
        <v>158</v>
      </c>
      <c r="L410" s="83">
        <f>COUNTIF(L2:L401,"RET")</f>
        <v>11</v>
      </c>
      <c r="M410" s="84">
        <f>COUNTIF(M2:M401,"RET")</f>
        <v>0</v>
      </c>
      <c r="N410" s="83">
        <f>COUNTIF(N2:N401,"RET")</f>
        <v>0</v>
      </c>
      <c r="O410" s="84">
        <f>COUNTIF(O2:O401,"RET")</f>
        <v>0</v>
      </c>
      <c r="P410" s="84">
        <f>COUNTIF(P2:P401,"RET")</f>
        <v>9</v>
      </c>
    </row>
    <row r="411" spans="1:16" ht="31.5" customHeight="1" x14ac:dyDescent="0.25">
      <c r="F411" s="56" t="s">
        <v>1923</v>
      </c>
      <c r="K411" s="88" t="s">
        <v>386</v>
      </c>
      <c r="L411" s="89">
        <f>COUNTIF(L2:L401,"GERİ ÇEKİLDİ")</f>
        <v>0</v>
      </c>
      <c r="M411" s="90">
        <f>COUNTIF(M2:M401,"GERİ ÇEKİLDİ")</f>
        <v>3</v>
      </c>
      <c r="N411" s="89">
        <f>COUNTIF(N2:N401,"GERİ ÇEKİLDİ")</f>
        <v>0</v>
      </c>
      <c r="O411" s="90">
        <f>COUNTIF(O2:O401,"GERİ ÇEKİLDİ")</f>
        <v>0</v>
      </c>
      <c r="P411" s="90">
        <f>COUNTIF(P2:P401,"GERİ ÇEKİLDİ")</f>
        <v>3</v>
      </c>
    </row>
    <row r="412" spans="1:16" ht="47.25" customHeight="1" x14ac:dyDescent="0.25">
      <c r="F412" s="56" t="s">
        <v>1924</v>
      </c>
      <c r="K412" s="85" t="s">
        <v>4</v>
      </c>
      <c r="L412" s="86">
        <f>SUM(L405:L411)</f>
        <v>352</v>
      </c>
      <c r="M412" s="87">
        <f>SUM(M405:M411)</f>
        <v>94</v>
      </c>
      <c r="N412" s="86">
        <f>SUM(N405:N411)</f>
        <v>7</v>
      </c>
      <c r="O412" s="87">
        <f>SUM(O405:O411)</f>
        <v>0</v>
      </c>
      <c r="P412" s="87">
        <f>SUM(P405:P411)</f>
        <v>352</v>
      </c>
    </row>
    <row r="413" spans="1:16" ht="31.5" customHeight="1" x14ac:dyDescent="0.25">
      <c r="F413" s="56" t="s">
        <v>1925</v>
      </c>
    </row>
    <row r="414" spans="1:16" ht="47.25" customHeight="1" x14ac:dyDescent="0.25">
      <c r="F414" s="56" t="s">
        <v>1926</v>
      </c>
    </row>
    <row r="415" spans="1:16" ht="63" customHeight="1" x14ac:dyDescent="0.25">
      <c r="F415" s="56" t="s">
        <v>1927</v>
      </c>
      <c r="L415" s="10">
        <f>COUNTIF(L2:L401,"")</f>
        <v>48</v>
      </c>
    </row>
    <row r="416" spans="1:16" ht="31.5" customHeight="1" x14ac:dyDescent="0.25">
      <c r="F416" s="56" t="s">
        <v>1928</v>
      </c>
    </row>
    <row r="417" spans="6:13" ht="31.5" customHeight="1" x14ac:dyDescent="0.25">
      <c r="F417" s="56" t="s">
        <v>1929</v>
      </c>
      <c r="L417" s="48" t="str">
        <f>IF(COUNTIF(L2:L401,"")&gt;0, "⚠ DİKKAT: Boş bırakılan alanlar var!", "✓ Tüm alanlar dolu")</f>
        <v>⚠ DİKKAT: Boş bırakılan alanlar var!</v>
      </c>
      <c r="M417" s="48"/>
    </row>
    <row r="418" spans="6:13" ht="31.5" customHeight="1" x14ac:dyDescent="0.25">
      <c r="F418" s="56" t="s">
        <v>1930</v>
      </c>
      <c r="M418" s="48"/>
    </row>
    <row r="419" spans="6:13" ht="31.5" customHeight="1" x14ac:dyDescent="0.25">
      <c r="F419" s="56" t="s">
        <v>1931</v>
      </c>
      <c r="L419" s="48"/>
    </row>
    <row r="420" spans="6:13" ht="31.5" customHeight="1" x14ac:dyDescent="0.25">
      <c r="F420" s="56" t="s">
        <v>1932</v>
      </c>
    </row>
    <row r="421" spans="6:13" ht="47.25" customHeight="1" x14ac:dyDescent="0.25">
      <c r="F421" s="56" t="s">
        <v>1933</v>
      </c>
    </row>
    <row r="422" spans="6:13" ht="31.5" customHeight="1" x14ac:dyDescent="0.25">
      <c r="F422" s="56" t="s">
        <v>1934</v>
      </c>
    </row>
    <row r="423" spans="6:13" ht="47.25" customHeight="1" x14ac:dyDescent="0.25">
      <c r="F423" s="56" t="s">
        <v>1935</v>
      </c>
    </row>
    <row r="424" spans="6:13" ht="47.25" customHeight="1" x14ac:dyDescent="0.25">
      <c r="F424" s="56" t="s">
        <v>1936</v>
      </c>
    </row>
    <row r="425" spans="6:13" ht="47.25" customHeight="1" x14ac:dyDescent="0.25">
      <c r="F425" s="56" t="s">
        <v>1937</v>
      </c>
    </row>
    <row r="426" spans="6:13" ht="47.25" customHeight="1" x14ac:dyDescent="0.25">
      <c r="F426" s="56" t="s">
        <v>1938</v>
      </c>
    </row>
    <row r="427" spans="6:13" ht="31.5" customHeight="1" x14ac:dyDescent="0.25">
      <c r="F427" s="56" t="s">
        <v>1939</v>
      </c>
    </row>
    <row r="428" spans="6:13" ht="31.5" customHeight="1" x14ac:dyDescent="0.25">
      <c r="F428" s="56" t="s">
        <v>1940</v>
      </c>
    </row>
    <row r="429" spans="6:13" ht="31.5" customHeight="1" x14ac:dyDescent="0.25">
      <c r="F429" s="56" t="s">
        <v>1941</v>
      </c>
    </row>
    <row r="430" spans="6:13" ht="31.5" customHeight="1" x14ac:dyDescent="0.25">
      <c r="F430" s="56" t="s">
        <v>1942</v>
      </c>
    </row>
    <row r="431" spans="6:13" ht="47.25" customHeight="1" x14ac:dyDescent="0.25">
      <c r="F431" s="56" t="s">
        <v>1943</v>
      </c>
    </row>
    <row r="432" spans="6:13" ht="47.25" customHeight="1" x14ac:dyDescent="0.25">
      <c r="F432" s="56" t="s">
        <v>1944</v>
      </c>
    </row>
    <row r="433" spans="6:6" ht="47.25" customHeight="1" x14ac:dyDescent="0.25">
      <c r="F433" s="56" t="s">
        <v>1945</v>
      </c>
    </row>
    <row r="434" spans="6:6" ht="31.5" customHeight="1" x14ac:dyDescent="0.25">
      <c r="F434" s="56" t="s">
        <v>1946</v>
      </c>
    </row>
    <row r="435" spans="6:6" ht="63" customHeight="1" x14ac:dyDescent="0.25">
      <c r="F435" s="56" t="s">
        <v>1947</v>
      </c>
    </row>
    <row r="436" spans="6:6" ht="47.25" customHeight="1" x14ac:dyDescent="0.25">
      <c r="F436" s="56" t="s">
        <v>1948</v>
      </c>
    </row>
    <row r="437" spans="6:6" ht="63" customHeight="1" x14ac:dyDescent="0.25">
      <c r="F437" s="56" t="s">
        <v>1949</v>
      </c>
    </row>
    <row r="438" spans="6:6" ht="47.25" customHeight="1" x14ac:dyDescent="0.25">
      <c r="F438" s="56" t="s">
        <v>1950</v>
      </c>
    </row>
    <row r="439" spans="6:6" ht="47.25" customHeight="1" x14ac:dyDescent="0.25">
      <c r="F439" s="56" t="s">
        <v>1951</v>
      </c>
    </row>
    <row r="440" spans="6:6" ht="47.25" customHeight="1" x14ac:dyDescent="0.25">
      <c r="F440" s="56" t="s">
        <v>1952</v>
      </c>
    </row>
    <row r="441" spans="6:6" ht="47.25" customHeight="1" x14ac:dyDescent="0.25">
      <c r="F441" s="56" t="s">
        <v>1953</v>
      </c>
    </row>
    <row r="442" spans="6:6" ht="47.25" customHeight="1" x14ac:dyDescent="0.25">
      <c r="F442" s="56" t="s">
        <v>1954</v>
      </c>
    </row>
    <row r="443" spans="6:6" ht="63" customHeight="1" x14ac:dyDescent="0.25">
      <c r="F443" s="56" t="s">
        <v>1955</v>
      </c>
    </row>
    <row r="444" spans="6:6" ht="78.75" customHeight="1" x14ac:dyDescent="0.25">
      <c r="F444" s="56" t="s">
        <v>1956</v>
      </c>
    </row>
    <row r="445" spans="6:6" ht="31.5" customHeight="1" x14ac:dyDescent="0.25">
      <c r="F445" s="56" t="s">
        <v>1957</v>
      </c>
    </row>
    <row r="446" spans="6:6" ht="47.25" customHeight="1" x14ac:dyDescent="0.25">
      <c r="F446" s="56" t="s">
        <v>1958</v>
      </c>
    </row>
    <row r="447" spans="6:6" ht="63" customHeight="1" x14ac:dyDescent="0.25">
      <c r="F447" s="56" t="s">
        <v>1959</v>
      </c>
    </row>
    <row r="448" spans="6:6" ht="63" customHeight="1" x14ac:dyDescent="0.25">
      <c r="F448" s="56" t="s">
        <v>1960</v>
      </c>
    </row>
    <row r="449" spans="6:6" ht="31.5" customHeight="1" x14ac:dyDescent="0.25">
      <c r="F449" s="56" t="s">
        <v>1961</v>
      </c>
    </row>
    <row r="450" spans="6:6" ht="31.5" customHeight="1" x14ac:dyDescent="0.25">
      <c r="F450" s="56" t="s">
        <v>1962</v>
      </c>
    </row>
    <row r="451" spans="6:6" ht="31.5" customHeight="1" x14ac:dyDescent="0.25">
      <c r="F451" s="56" t="s">
        <v>1963</v>
      </c>
    </row>
    <row r="452" spans="6:6" ht="31.5" customHeight="1" x14ac:dyDescent="0.25">
      <c r="F452" s="56" t="s">
        <v>1964</v>
      </c>
    </row>
    <row r="453" spans="6:6" ht="31.5" customHeight="1" x14ac:dyDescent="0.25">
      <c r="F453" s="56" t="s">
        <v>1965</v>
      </c>
    </row>
    <row r="454" spans="6:6" ht="31.5" customHeight="1" x14ac:dyDescent="0.25">
      <c r="F454" s="56" t="s">
        <v>1966</v>
      </c>
    </row>
    <row r="455" spans="6:6" ht="31.5" customHeight="1" x14ac:dyDescent="0.25">
      <c r="F455" s="56" t="s">
        <v>1967</v>
      </c>
    </row>
    <row r="456" spans="6:6" ht="47.25" customHeight="1" x14ac:dyDescent="0.25">
      <c r="F456" s="56" t="s">
        <v>1968</v>
      </c>
    </row>
    <row r="457" spans="6:6" ht="31.5" customHeight="1" x14ac:dyDescent="0.25">
      <c r="F457" s="56" t="s">
        <v>1969</v>
      </c>
    </row>
    <row r="458" spans="6:6" ht="63" customHeight="1" x14ac:dyDescent="0.25">
      <c r="F458" s="56" t="s">
        <v>1970</v>
      </c>
    </row>
    <row r="459" spans="6:6" ht="47.25" customHeight="1" x14ac:dyDescent="0.25">
      <c r="F459" s="56" t="s">
        <v>1971</v>
      </c>
    </row>
    <row r="460" spans="6:6" ht="47.25" customHeight="1" x14ac:dyDescent="0.25">
      <c r="F460" s="56" t="s">
        <v>1972</v>
      </c>
    </row>
    <row r="461" spans="6:6" ht="31.5" customHeight="1" x14ac:dyDescent="0.25">
      <c r="F461" s="56" t="s">
        <v>1973</v>
      </c>
    </row>
    <row r="462" spans="6:6" ht="31.5" customHeight="1" x14ac:dyDescent="0.25">
      <c r="F462" s="56" t="s">
        <v>1974</v>
      </c>
    </row>
    <row r="463" spans="6:6" ht="47.25" customHeight="1" x14ac:dyDescent="0.25">
      <c r="F463" s="56" t="s">
        <v>1975</v>
      </c>
    </row>
    <row r="464" spans="6:6" ht="31.5" customHeight="1" x14ac:dyDescent="0.25">
      <c r="F464" s="56" t="s">
        <v>1976</v>
      </c>
    </row>
    <row r="465" spans="6:6" ht="47.25" customHeight="1" x14ac:dyDescent="0.25">
      <c r="F465" s="56" t="s">
        <v>1977</v>
      </c>
    </row>
    <row r="466" spans="6:6" ht="63" customHeight="1" x14ac:dyDescent="0.25">
      <c r="F466" s="56" t="s">
        <v>1978</v>
      </c>
    </row>
    <row r="467" spans="6:6" ht="31.5" customHeight="1" x14ac:dyDescent="0.25">
      <c r="F467" s="56" t="s">
        <v>1979</v>
      </c>
    </row>
    <row r="468" spans="6:6" ht="47.25" customHeight="1" x14ac:dyDescent="0.25">
      <c r="F468" s="56" t="s">
        <v>1980</v>
      </c>
    </row>
    <row r="469" spans="6:6" ht="31.5" customHeight="1" x14ac:dyDescent="0.25">
      <c r="F469" s="56" t="s">
        <v>1981</v>
      </c>
    </row>
    <row r="470" spans="6:6" ht="31.5" customHeight="1" x14ac:dyDescent="0.25">
      <c r="F470" s="56" t="s">
        <v>1982</v>
      </c>
    </row>
    <row r="471" spans="6:6" ht="63" customHeight="1" x14ac:dyDescent="0.25">
      <c r="F471" s="56" t="s">
        <v>1983</v>
      </c>
    </row>
    <row r="472" spans="6:6" ht="47.25" customHeight="1" x14ac:dyDescent="0.25">
      <c r="F472" s="56" t="s">
        <v>1984</v>
      </c>
    </row>
    <row r="473" spans="6:6" ht="31.5" customHeight="1" x14ac:dyDescent="0.25">
      <c r="F473" s="56" t="s">
        <v>1985</v>
      </c>
    </row>
    <row r="474" spans="6:6" ht="31.5" customHeight="1" x14ac:dyDescent="0.25">
      <c r="F474" s="56" t="s">
        <v>1986</v>
      </c>
    </row>
    <row r="475" spans="6:6" ht="31.5" customHeight="1" x14ac:dyDescent="0.25">
      <c r="F475" s="56" t="s">
        <v>1987</v>
      </c>
    </row>
    <row r="476" spans="6:6" ht="31.5" customHeight="1" x14ac:dyDescent="0.25">
      <c r="F476" s="7" t="s">
        <v>1988</v>
      </c>
    </row>
    <row r="477" spans="6:6" ht="63" customHeight="1" x14ac:dyDescent="0.25">
      <c r="F477" s="7" t="s">
        <v>1989</v>
      </c>
    </row>
    <row r="478" spans="6:6" ht="63" customHeight="1" x14ac:dyDescent="0.25">
      <c r="F478" s="7" t="s">
        <v>1990</v>
      </c>
    </row>
    <row r="479" spans="6:6" ht="31.5" customHeight="1" x14ac:dyDescent="0.25">
      <c r="F479" s="7" t="s">
        <v>1991</v>
      </c>
    </row>
    <row r="480" spans="6:6" ht="47.25" customHeight="1" x14ac:dyDescent="0.25">
      <c r="F480" s="7" t="s">
        <v>1992</v>
      </c>
    </row>
    <row r="481" spans="6:6" ht="31.5" customHeight="1" x14ac:dyDescent="0.25">
      <c r="F481" s="7" t="s">
        <v>1993</v>
      </c>
    </row>
    <row r="482" spans="6:6" ht="31.5" customHeight="1" x14ac:dyDescent="0.25">
      <c r="F482" s="7" t="s">
        <v>1994</v>
      </c>
    </row>
    <row r="483" spans="6:6" ht="63" customHeight="1" x14ac:dyDescent="0.25">
      <c r="F483" s="7" t="s">
        <v>1995</v>
      </c>
    </row>
    <row r="484" spans="6:6" ht="31.5" customHeight="1" x14ac:dyDescent="0.25">
      <c r="F484" s="7" t="s">
        <v>1996</v>
      </c>
    </row>
    <row r="485" spans="6:6" ht="47.25" customHeight="1" x14ac:dyDescent="0.25">
      <c r="F485" s="7" t="s">
        <v>1997</v>
      </c>
    </row>
    <row r="486" spans="6:6" ht="47.25" customHeight="1" x14ac:dyDescent="0.25">
      <c r="F486" s="7" t="s">
        <v>1998</v>
      </c>
    </row>
    <row r="487" spans="6:6" ht="47.25" customHeight="1" x14ac:dyDescent="0.25">
      <c r="F487" s="7" t="s">
        <v>1999</v>
      </c>
    </row>
    <row r="488" spans="6:6" ht="47.25" customHeight="1" x14ac:dyDescent="0.25">
      <c r="F488" s="7" t="s">
        <v>2000</v>
      </c>
    </row>
    <row r="489" spans="6:6" ht="31.5" customHeight="1" x14ac:dyDescent="0.25">
      <c r="F489" s="7" t="s">
        <v>2001</v>
      </c>
    </row>
    <row r="490" spans="6:6" ht="47.25" customHeight="1" x14ac:dyDescent="0.25">
      <c r="F490" s="7" t="s">
        <v>2002</v>
      </c>
    </row>
    <row r="491" spans="6:6" ht="31.5" customHeight="1" x14ac:dyDescent="0.25">
      <c r="F491" s="7" t="s">
        <v>2003</v>
      </c>
    </row>
    <row r="492" spans="6:6" ht="47.25" customHeight="1" x14ac:dyDescent="0.25">
      <c r="F492" s="7" t="s">
        <v>2004</v>
      </c>
    </row>
    <row r="493" spans="6:6" ht="47.25" customHeight="1" x14ac:dyDescent="0.25">
      <c r="F493" s="7" t="s">
        <v>2005</v>
      </c>
    </row>
    <row r="494" spans="6:6" ht="47.25" customHeight="1" x14ac:dyDescent="0.25">
      <c r="F494" s="7" t="s">
        <v>2006</v>
      </c>
    </row>
    <row r="495" spans="6:6" ht="47.25" customHeight="1" x14ac:dyDescent="0.25">
      <c r="F495" s="7" t="s">
        <v>2007</v>
      </c>
    </row>
    <row r="496" spans="6:6" ht="47.25" customHeight="1" x14ac:dyDescent="0.25">
      <c r="F496" s="7" t="s">
        <v>2008</v>
      </c>
    </row>
    <row r="497" spans="6:6" ht="78.75" customHeight="1" x14ac:dyDescent="0.25">
      <c r="F497" s="7" t="s">
        <v>2009</v>
      </c>
    </row>
    <row r="498" spans="6:6" ht="78.75" customHeight="1" x14ac:dyDescent="0.25">
      <c r="F498" s="7" t="s">
        <v>2010</v>
      </c>
    </row>
    <row r="499" spans="6:6" ht="31.5" customHeight="1" x14ac:dyDescent="0.25">
      <c r="F499" s="7" t="s">
        <v>2011</v>
      </c>
    </row>
    <row r="500" spans="6:6" ht="31.5" customHeight="1" x14ac:dyDescent="0.25">
      <c r="F500" s="7" t="s">
        <v>2012</v>
      </c>
    </row>
    <row r="501" spans="6:6" ht="63" customHeight="1" x14ac:dyDescent="0.25">
      <c r="F501" s="7" t="s">
        <v>2013</v>
      </c>
    </row>
    <row r="502" spans="6:6" ht="31.5" customHeight="1" x14ac:dyDescent="0.25">
      <c r="F502" s="7" t="s">
        <v>2014</v>
      </c>
    </row>
    <row r="503" spans="6:6" ht="47.25" customHeight="1" x14ac:dyDescent="0.25">
      <c r="F503" s="7" t="s">
        <v>2015</v>
      </c>
    </row>
    <row r="504" spans="6:6" ht="47.25" customHeight="1" x14ac:dyDescent="0.25">
      <c r="F504" s="7" t="s">
        <v>2016</v>
      </c>
    </row>
    <row r="505" spans="6:6" ht="63" customHeight="1" x14ac:dyDescent="0.25">
      <c r="F505" s="7" t="s">
        <v>2017</v>
      </c>
    </row>
    <row r="506" spans="6:6" ht="31.5" customHeight="1" x14ac:dyDescent="0.25">
      <c r="F506" s="7" t="s">
        <v>2018</v>
      </c>
    </row>
    <row r="507" spans="6:6" ht="47.25" customHeight="1" x14ac:dyDescent="0.25">
      <c r="F507" s="7" t="s">
        <v>2019</v>
      </c>
    </row>
    <row r="508" spans="6:6" ht="63" customHeight="1" x14ac:dyDescent="0.25">
      <c r="F508" s="7" t="s">
        <v>2020</v>
      </c>
    </row>
    <row r="509" spans="6:6" ht="47.25" customHeight="1" x14ac:dyDescent="0.25">
      <c r="F509" s="7" t="s">
        <v>2021</v>
      </c>
    </row>
    <row r="510" spans="6:6" ht="47.25" customHeight="1" x14ac:dyDescent="0.25">
      <c r="F510" s="7" t="s">
        <v>2022</v>
      </c>
    </row>
    <row r="511" spans="6:6" ht="47.25" customHeight="1" x14ac:dyDescent="0.25">
      <c r="F511" s="7" t="s">
        <v>2023</v>
      </c>
    </row>
    <row r="512" spans="6:6" ht="47.25" customHeight="1" x14ac:dyDescent="0.25">
      <c r="F512" s="7" t="s">
        <v>2024</v>
      </c>
    </row>
    <row r="513" spans="6:6" ht="47.25" customHeight="1" x14ac:dyDescent="0.25">
      <c r="F513" s="7" t="s">
        <v>2025</v>
      </c>
    </row>
    <row r="514" spans="6:6" ht="31.5" customHeight="1" x14ac:dyDescent="0.25">
      <c r="F514" s="7" t="s">
        <v>2026</v>
      </c>
    </row>
    <row r="515" spans="6:6" ht="31.5" customHeight="1" x14ac:dyDescent="0.25">
      <c r="F515" s="7" t="s">
        <v>2027</v>
      </c>
    </row>
    <row r="516" spans="6:6" ht="63" customHeight="1" x14ac:dyDescent="0.25">
      <c r="F516" s="7" t="s">
        <v>2028</v>
      </c>
    </row>
    <row r="517" spans="6:6" ht="47.25" customHeight="1" x14ac:dyDescent="0.25">
      <c r="F517" s="7" t="s">
        <v>2029</v>
      </c>
    </row>
    <row r="518" spans="6:6" ht="47.25" customHeight="1" x14ac:dyDescent="0.25">
      <c r="F518" s="7" t="s">
        <v>2030</v>
      </c>
    </row>
    <row r="519" spans="6:6" ht="47.25" customHeight="1" x14ac:dyDescent="0.25">
      <c r="F519" s="7" t="s">
        <v>2031</v>
      </c>
    </row>
    <row r="520" spans="6:6" ht="63" customHeight="1" x14ac:dyDescent="0.25">
      <c r="F520" s="7" t="s">
        <v>2032</v>
      </c>
    </row>
    <row r="521" spans="6:6" ht="31.5" customHeight="1" x14ac:dyDescent="0.25">
      <c r="F521" s="7" t="s">
        <v>2033</v>
      </c>
    </row>
    <row r="522" spans="6:6" ht="31.5" customHeight="1" x14ac:dyDescent="0.25">
      <c r="F522" s="7" t="s">
        <v>2034</v>
      </c>
    </row>
    <row r="523" spans="6:6" ht="63" customHeight="1" x14ac:dyDescent="0.25">
      <c r="F523" s="7" t="s">
        <v>2035</v>
      </c>
    </row>
    <row r="524" spans="6:6" ht="47.25" customHeight="1" x14ac:dyDescent="0.25">
      <c r="F524" s="7" t="s">
        <v>2036</v>
      </c>
    </row>
    <row r="525" spans="6:6" ht="47.25" customHeight="1" x14ac:dyDescent="0.25">
      <c r="F525" s="7" t="s">
        <v>2037</v>
      </c>
    </row>
    <row r="526" spans="6:6" ht="31.5" customHeight="1" x14ac:dyDescent="0.25">
      <c r="F526" s="7" t="s">
        <v>2038</v>
      </c>
    </row>
    <row r="527" spans="6:6" ht="63" customHeight="1" x14ac:dyDescent="0.25">
      <c r="F527" s="7" t="s">
        <v>2039</v>
      </c>
    </row>
    <row r="528" spans="6:6" ht="78.75" customHeight="1" x14ac:dyDescent="0.25">
      <c r="F528" s="7" t="s">
        <v>2040</v>
      </c>
    </row>
    <row r="529" spans="6:6" ht="31.5" customHeight="1" x14ac:dyDescent="0.25">
      <c r="F529" s="7" t="s">
        <v>2041</v>
      </c>
    </row>
    <row r="530" spans="6:6" ht="31.5" customHeight="1" x14ac:dyDescent="0.25">
      <c r="F530" s="7" t="s">
        <v>2042</v>
      </c>
    </row>
    <row r="531" spans="6:6" ht="31.5" customHeight="1" x14ac:dyDescent="0.25">
      <c r="F531" s="7" t="s">
        <v>2043</v>
      </c>
    </row>
    <row r="532" spans="6:6" ht="31.5" customHeight="1" x14ac:dyDescent="0.25">
      <c r="F532" s="7" t="s">
        <v>2044</v>
      </c>
    </row>
    <row r="533" spans="6:6" ht="31.5" customHeight="1" x14ac:dyDescent="0.25">
      <c r="F533" s="7" t="s">
        <v>2045</v>
      </c>
    </row>
    <row r="534" spans="6:6" ht="31.5" customHeight="1" x14ac:dyDescent="0.25">
      <c r="F534" s="7" t="s">
        <v>2046</v>
      </c>
    </row>
    <row r="535" spans="6:6" ht="47.25" customHeight="1" x14ac:dyDescent="0.25">
      <c r="F535" s="7" t="s">
        <v>2047</v>
      </c>
    </row>
    <row r="536" spans="6:6" ht="47.25" customHeight="1" x14ac:dyDescent="0.25">
      <c r="F536" s="7" t="s">
        <v>2048</v>
      </c>
    </row>
    <row r="537" spans="6:6" ht="47.25" customHeight="1" x14ac:dyDescent="0.25">
      <c r="F537" s="7" t="s">
        <v>2049</v>
      </c>
    </row>
    <row r="538" spans="6:6" ht="78.75" customHeight="1" x14ac:dyDescent="0.25">
      <c r="F538" s="7" t="s">
        <v>2050</v>
      </c>
    </row>
    <row r="539" spans="6:6" ht="47.25" customHeight="1" x14ac:dyDescent="0.25">
      <c r="F539" s="7" t="s">
        <v>2051</v>
      </c>
    </row>
    <row r="540" spans="6:6" ht="47.25" customHeight="1" x14ac:dyDescent="0.25">
      <c r="F540" s="7" t="s">
        <v>2052</v>
      </c>
    </row>
    <row r="541" spans="6:6" ht="47.25" customHeight="1" x14ac:dyDescent="0.25">
      <c r="F541" s="7" t="s">
        <v>2053</v>
      </c>
    </row>
    <row r="542" spans="6:6" ht="47.25" customHeight="1" x14ac:dyDescent="0.25">
      <c r="F542" s="7" t="s">
        <v>2054</v>
      </c>
    </row>
    <row r="543" spans="6:6" ht="31.5" customHeight="1" x14ac:dyDescent="0.25">
      <c r="F543" s="7" t="s">
        <v>2055</v>
      </c>
    </row>
    <row r="544" spans="6:6" ht="47.25" customHeight="1" x14ac:dyDescent="0.25">
      <c r="F544" s="7" t="s">
        <v>2056</v>
      </c>
    </row>
    <row r="545" spans="6:6" ht="31.5" customHeight="1" x14ac:dyDescent="0.25">
      <c r="F545" s="7" t="s">
        <v>2057</v>
      </c>
    </row>
    <row r="546" spans="6:6" ht="110.25" customHeight="1" x14ac:dyDescent="0.25">
      <c r="F546" s="7" t="s">
        <v>2058</v>
      </c>
    </row>
    <row r="547" spans="6:6" ht="31.5" customHeight="1" x14ac:dyDescent="0.25">
      <c r="F547" s="7" t="s">
        <v>2059</v>
      </c>
    </row>
    <row r="548" spans="6:6" ht="47.25" customHeight="1" x14ac:dyDescent="0.25">
      <c r="F548" s="7" t="s">
        <v>2060</v>
      </c>
    </row>
    <row r="549" spans="6:6" ht="31.5" customHeight="1" x14ac:dyDescent="0.25">
      <c r="F549" s="7" t="s">
        <v>2061</v>
      </c>
    </row>
    <row r="550" spans="6:6" ht="47.25" customHeight="1" x14ac:dyDescent="0.25">
      <c r="F550" s="7" t="s">
        <v>2062</v>
      </c>
    </row>
    <row r="551" spans="6:6" ht="63" customHeight="1" x14ac:dyDescent="0.25">
      <c r="F551" s="7" t="s">
        <v>2063</v>
      </c>
    </row>
    <row r="552" spans="6:6" ht="63" customHeight="1" x14ac:dyDescent="0.25">
      <c r="F552" s="7" t="s">
        <v>2064</v>
      </c>
    </row>
    <row r="553" spans="6:6" ht="31.5" customHeight="1" x14ac:dyDescent="0.25">
      <c r="F553" s="7" t="s">
        <v>2065</v>
      </c>
    </row>
    <row r="554" spans="6:6" ht="47.25" customHeight="1" x14ac:dyDescent="0.25">
      <c r="F554" s="7" t="s">
        <v>2066</v>
      </c>
    </row>
    <row r="555" spans="6:6" ht="47.25" customHeight="1" x14ac:dyDescent="0.25">
      <c r="F555" s="7" t="s">
        <v>2067</v>
      </c>
    </row>
    <row r="556" spans="6:6" ht="47.25" customHeight="1" x14ac:dyDescent="0.25">
      <c r="F556" s="7" t="s">
        <v>2068</v>
      </c>
    </row>
    <row r="557" spans="6:6" ht="47.25" customHeight="1" x14ac:dyDescent="0.25">
      <c r="F557" s="7" t="s">
        <v>2069</v>
      </c>
    </row>
    <row r="558" spans="6:6" ht="47.25" customHeight="1" x14ac:dyDescent="0.25">
      <c r="F558" s="7" t="s">
        <v>2070</v>
      </c>
    </row>
    <row r="559" spans="6:6" ht="47.25" customHeight="1" x14ac:dyDescent="0.25">
      <c r="F559" s="7" t="s">
        <v>2071</v>
      </c>
    </row>
    <row r="560" spans="6:6" ht="63" customHeight="1" x14ac:dyDescent="0.25">
      <c r="F560" s="7" t="s">
        <v>2072</v>
      </c>
    </row>
    <row r="561" spans="6:6" ht="63" customHeight="1" x14ac:dyDescent="0.25">
      <c r="F561" s="7" t="s">
        <v>2073</v>
      </c>
    </row>
    <row r="562" spans="6:6" ht="78.75" customHeight="1" x14ac:dyDescent="0.25">
      <c r="F562" s="7" t="s">
        <v>2074</v>
      </c>
    </row>
    <row r="563" spans="6:6" ht="47.25" customHeight="1" x14ac:dyDescent="0.25">
      <c r="F563" s="7" t="s">
        <v>2075</v>
      </c>
    </row>
    <row r="564" spans="6:6" ht="31.5" customHeight="1" x14ac:dyDescent="0.25">
      <c r="F564" s="7" t="s">
        <v>2076</v>
      </c>
    </row>
    <row r="565" spans="6:6" ht="31.5" customHeight="1" x14ac:dyDescent="0.25">
      <c r="F565" s="7" t="s">
        <v>2077</v>
      </c>
    </row>
    <row r="566" spans="6:6" x14ac:dyDescent="0.25">
      <c r="F566" s="7" t="s">
        <v>2078</v>
      </c>
    </row>
    <row r="567" spans="6:6" ht="31.5" customHeight="1" x14ac:dyDescent="0.25">
      <c r="F567" s="7" t="s">
        <v>2079</v>
      </c>
    </row>
    <row r="568" spans="6:6" ht="47.25" customHeight="1" x14ac:dyDescent="0.25">
      <c r="F568" s="7" t="s">
        <v>2080</v>
      </c>
    </row>
    <row r="569" spans="6:6" ht="47.25" customHeight="1" x14ac:dyDescent="0.25">
      <c r="F569" s="7" t="s">
        <v>2081</v>
      </c>
    </row>
    <row r="570" spans="6:6" ht="47.25" customHeight="1" x14ac:dyDescent="0.25">
      <c r="F570" s="7" t="s">
        <v>2082</v>
      </c>
    </row>
    <row r="571" spans="6:6" ht="47.25" customHeight="1" x14ac:dyDescent="0.25">
      <c r="F571" s="7" t="s">
        <v>2083</v>
      </c>
    </row>
    <row r="572" spans="6:6" ht="47.25" customHeight="1" x14ac:dyDescent="0.25">
      <c r="F572" s="7" t="s">
        <v>2084</v>
      </c>
    </row>
    <row r="573" spans="6:6" ht="47.25" customHeight="1" x14ac:dyDescent="0.25">
      <c r="F573" s="7" t="s">
        <v>2085</v>
      </c>
    </row>
    <row r="574" spans="6:6" ht="31.5" customHeight="1" x14ac:dyDescent="0.25">
      <c r="F574" s="7" t="s">
        <v>2086</v>
      </c>
    </row>
    <row r="575" spans="6:6" ht="47.25" customHeight="1" x14ac:dyDescent="0.25">
      <c r="F575" s="7" t="s">
        <v>2087</v>
      </c>
    </row>
    <row r="576" spans="6:6" ht="47.25" customHeight="1" x14ac:dyDescent="0.25">
      <c r="F576" s="7" t="s">
        <v>2088</v>
      </c>
    </row>
    <row r="577" spans="6:6" ht="47.25" customHeight="1" x14ac:dyDescent="0.25">
      <c r="F577" s="7" t="s">
        <v>2089</v>
      </c>
    </row>
    <row r="578" spans="6:6" ht="47.25" customHeight="1" x14ac:dyDescent="0.25">
      <c r="F578" s="7" t="s">
        <v>2090</v>
      </c>
    </row>
    <row r="579" spans="6:6" ht="31.5" customHeight="1" x14ac:dyDescent="0.25">
      <c r="F579" s="7" t="s">
        <v>2091</v>
      </c>
    </row>
    <row r="580" spans="6:6" ht="31.5" customHeight="1" x14ac:dyDescent="0.25">
      <c r="F580" s="7" t="s">
        <v>2092</v>
      </c>
    </row>
    <row r="581" spans="6:6" ht="47.25" customHeight="1" x14ac:dyDescent="0.25">
      <c r="F581" s="7" t="s">
        <v>2093</v>
      </c>
    </row>
    <row r="582" spans="6:6" ht="63" customHeight="1" x14ac:dyDescent="0.25">
      <c r="F582" s="7" t="s">
        <v>2094</v>
      </c>
    </row>
    <row r="583" spans="6:6" ht="31.5" customHeight="1" x14ac:dyDescent="0.25">
      <c r="F583" s="7" t="s">
        <v>2095</v>
      </c>
    </row>
    <row r="584" spans="6:6" ht="31.5" customHeight="1" x14ac:dyDescent="0.25">
      <c r="F584" s="7" t="s">
        <v>2096</v>
      </c>
    </row>
    <row r="585" spans="6:6" ht="63" customHeight="1" x14ac:dyDescent="0.25">
      <c r="F585" s="7" t="s">
        <v>2097</v>
      </c>
    </row>
    <row r="586" spans="6:6" ht="47.25" customHeight="1" x14ac:dyDescent="0.25">
      <c r="F586" s="7" t="s">
        <v>2098</v>
      </c>
    </row>
    <row r="587" spans="6:6" ht="31.5" customHeight="1" x14ac:dyDescent="0.25">
      <c r="F587" s="7" t="s">
        <v>2099</v>
      </c>
    </row>
    <row r="588" spans="6:6" ht="47.25" customHeight="1" x14ac:dyDescent="0.25">
      <c r="F588" s="7" t="s">
        <v>2100</v>
      </c>
    </row>
    <row r="589" spans="6:6" ht="47.25" customHeight="1" x14ac:dyDescent="0.25">
      <c r="F589" s="7" t="s">
        <v>2101</v>
      </c>
    </row>
    <row r="590" spans="6:6" ht="31.5" customHeight="1" x14ac:dyDescent="0.25">
      <c r="F590" s="7" t="s">
        <v>2102</v>
      </c>
    </row>
    <row r="591" spans="6:6" ht="31.5" customHeight="1" x14ac:dyDescent="0.25">
      <c r="F591" s="7" t="s">
        <v>2103</v>
      </c>
    </row>
    <row r="592" spans="6:6" ht="63" customHeight="1" x14ac:dyDescent="0.25">
      <c r="F592" s="7" t="s">
        <v>2104</v>
      </c>
    </row>
    <row r="593" spans="6:6" ht="31.5" customHeight="1" x14ac:dyDescent="0.25">
      <c r="F593" s="7" t="s">
        <v>2105</v>
      </c>
    </row>
    <row r="594" spans="6:6" ht="47.25" customHeight="1" x14ac:dyDescent="0.25">
      <c r="F594" s="7" t="s">
        <v>2106</v>
      </c>
    </row>
    <row r="595" spans="6:6" ht="31.5" customHeight="1" x14ac:dyDescent="0.25">
      <c r="F595" s="7" t="s">
        <v>2107</v>
      </c>
    </row>
    <row r="596" spans="6:6" ht="63" customHeight="1" x14ac:dyDescent="0.25">
      <c r="F596" s="7" t="s">
        <v>2108</v>
      </c>
    </row>
    <row r="597" spans="6:6" ht="78.75" customHeight="1" x14ac:dyDescent="0.25">
      <c r="F597" s="7" t="s">
        <v>2109</v>
      </c>
    </row>
    <row r="598" spans="6:6" ht="31.5" customHeight="1" x14ac:dyDescent="0.25">
      <c r="F598" s="7" t="s">
        <v>2110</v>
      </c>
    </row>
    <row r="599" spans="6:6" ht="63" customHeight="1" x14ac:dyDescent="0.25">
      <c r="F599" s="7" t="s">
        <v>2111</v>
      </c>
    </row>
    <row r="600" spans="6:6" ht="47.25" customHeight="1" x14ac:dyDescent="0.25">
      <c r="F600" s="7" t="s">
        <v>2112</v>
      </c>
    </row>
    <row r="601" spans="6:6" ht="47.25" customHeight="1" x14ac:dyDescent="0.25">
      <c r="F601" s="7" t="s">
        <v>2113</v>
      </c>
    </row>
    <row r="602" spans="6:6" ht="31.5" customHeight="1" x14ac:dyDescent="0.25">
      <c r="F602" s="7" t="s">
        <v>2114</v>
      </c>
    </row>
    <row r="603" spans="6:6" ht="31.5" customHeight="1" x14ac:dyDescent="0.25">
      <c r="F603" s="7" t="s">
        <v>2115</v>
      </c>
    </row>
    <row r="604" spans="6:6" ht="31.5" customHeight="1" x14ac:dyDescent="0.25">
      <c r="F604" s="7" t="s">
        <v>2116</v>
      </c>
    </row>
    <row r="605" spans="6:6" ht="31.5" customHeight="1" x14ac:dyDescent="0.25">
      <c r="F605" s="7" t="s">
        <v>2117</v>
      </c>
    </row>
    <row r="606" spans="6:6" ht="47.25" customHeight="1" x14ac:dyDescent="0.25">
      <c r="F606" s="7" t="s">
        <v>2118</v>
      </c>
    </row>
    <row r="607" spans="6:6" ht="47.25" customHeight="1" x14ac:dyDescent="0.25">
      <c r="F607" s="7" t="s">
        <v>2119</v>
      </c>
    </row>
    <row r="608" spans="6:6" ht="63" customHeight="1" x14ac:dyDescent="0.25">
      <c r="F608" s="7" t="s">
        <v>2120</v>
      </c>
    </row>
    <row r="609" spans="6:6" ht="63" customHeight="1" x14ac:dyDescent="0.25">
      <c r="F609" s="7" t="s">
        <v>2121</v>
      </c>
    </row>
    <row r="610" spans="6:6" ht="31.5" customHeight="1" x14ac:dyDescent="0.25">
      <c r="F610" s="7" t="s">
        <v>2122</v>
      </c>
    </row>
    <row r="611" spans="6:6" ht="31.5" customHeight="1" x14ac:dyDescent="0.25">
      <c r="F611" s="7" t="s">
        <v>2123</v>
      </c>
    </row>
    <row r="612" spans="6:6" ht="47.25" customHeight="1" x14ac:dyDescent="0.25">
      <c r="F612" s="7" t="s">
        <v>2124</v>
      </c>
    </row>
    <row r="613" spans="6:6" ht="31.5" customHeight="1" x14ac:dyDescent="0.25">
      <c r="F613" s="7" t="s">
        <v>2125</v>
      </c>
    </row>
    <row r="614" spans="6:6" ht="31.5" customHeight="1" x14ac:dyDescent="0.25">
      <c r="F614" s="7" t="s">
        <v>2126</v>
      </c>
    </row>
    <row r="615" spans="6:6" ht="63" customHeight="1" x14ac:dyDescent="0.25">
      <c r="F615" s="7" t="s">
        <v>2127</v>
      </c>
    </row>
    <row r="616" spans="6:6" ht="31.5" customHeight="1" x14ac:dyDescent="0.25">
      <c r="F616" s="7" t="s">
        <v>2128</v>
      </c>
    </row>
    <row r="617" spans="6:6" ht="47.25" customHeight="1" x14ac:dyDescent="0.25">
      <c r="F617" s="7" t="s">
        <v>2129</v>
      </c>
    </row>
    <row r="618" spans="6:6" ht="47.25" customHeight="1" x14ac:dyDescent="0.25">
      <c r="F618" s="7" t="s">
        <v>2130</v>
      </c>
    </row>
    <row r="619" spans="6:6" ht="47.25" customHeight="1" x14ac:dyDescent="0.25">
      <c r="F619" s="7" t="s">
        <v>2131</v>
      </c>
    </row>
    <row r="620" spans="6:6" ht="47.25" customHeight="1" x14ac:dyDescent="0.25">
      <c r="F620" s="7" t="s">
        <v>2132</v>
      </c>
    </row>
    <row r="621" spans="6:6" ht="47.25" customHeight="1" x14ac:dyDescent="0.25">
      <c r="F621" s="7" t="s">
        <v>2133</v>
      </c>
    </row>
    <row r="622" spans="6:6" ht="47.25" customHeight="1" x14ac:dyDescent="0.25">
      <c r="F622" s="7" t="s">
        <v>2134</v>
      </c>
    </row>
    <row r="623" spans="6:6" ht="47.25" customHeight="1" x14ac:dyDescent="0.25">
      <c r="F623" s="7" t="s">
        <v>2135</v>
      </c>
    </row>
    <row r="624" spans="6:6" ht="63" customHeight="1" x14ac:dyDescent="0.25">
      <c r="F624" s="7" t="s">
        <v>2136</v>
      </c>
    </row>
    <row r="625" spans="6:6" ht="47.25" customHeight="1" x14ac:dyDescent="0.25">
      <c r="F625" s="7" t="s">
        <v>2137</v>
      </c>
    </row>
    <row r="626" spans="6:6" ht="47.25" customHeight="1" x14ac:dyDescent="0.25">
      <c r="F626" s="7" t="s">
        <v>2138</v>
      </c>
    </row>
    <row r="627" spans="6:6" ht="31.5" customHeight="1" x14ac:dyDescent="0.25">
      <c r="F627" s="7" t="s">
        <v>2139</v>
      </c>
    </row>
    <row r="628" spans="6:6" ht="31.5" customHeight="1" x14ac:dyDescent="0.25">
      <c r="F628" s="7" t="s">
        <v>2140</v>
      </c>
    </row>
    <row r="629" spans="6:6" ht="47.25" customHeight="1" x14ac:dyDescent="0.25">
      <c r="F629" s="7" t="s">
        <v>2141</v>
      </c>
    </row>
    <row r="630" spans="6:6" ht="47.25" customHeight="1" x14ac:dyDescent="0.25">
      <c r="F630" s="7" t="s">
        <v>2142</v>
      </c>
    </row>
    <row r="631" spans="6:6" ht="31.5" customHeight="1" x14ac:dyDescent="0.25">
      <c r="F631" s="7" t="s">
        <v>2143</v>
      </c>
    </row>
    <row r="632" spans="6:6" ht="31.5" customHeight="1" x14ac:dyDescent="0.25">
      <c r="F632" s="7" t="s">
        <v>2144</v>
      </c>
    </row>
    <row r="633" spans="6:6" ht="31.5" customHeight="1" x14ac:dyDescent="0.25">
      <c r="F633" s="7" t="s">
        <v>2145</v>
      </c>
    </row>
    <row r="634" spans="6:6" ht="31.5" customHeight="1" x14ac:dyDescent="0.25">
      <c r="F634" s="7" t="s">
        <v>2146</v>
      </c>
    </row>
    <row r="635" spans="6:6" ht="31.5" customHeight="1" x14ac:dyDescent="0.25">
      <c r="F635" s="7" t="s">
        <v>2147</v>
      </c>
    </row>
    <row r="636" spans="6:6" ht="63" customHeight="1" x14ac:dyDescent="0.25">
      <c r="F636" s="7" t="s">
        <v>2148</v>
      </c>
    </row>
    <row r="637" spans="6:6" ht="31.5" customHeight="1" x14ac:dyDescent="0.25">
      <c r="F637" s="7" t="s">
        <v>2149</v>
      </c>
    </row>
    <row r="638" spans="6:6" ht="47.25" customHeight="1" x14ac:dyDescent="0.25">
      <c r="F638" s="7" t="s">
        <v>2150</v>
      </c>
    </row>
    <row r="639" spans="6:6" ht="47.25" customHeight="1" x14ac:dyDescent="0.25">
      <c r="F639" s="7" t="s">
        <v>2151</v>
      </c>
    </row>
    <row r="640" spans="6:6" ht="47.25" customHeight="1" x14ac:dyDescent="0.25">
      <c r="F640" s="7" t="s">
        <v>2152</v>
      </c>
    </row>
    <row r="641" spans="6:6" ht="47.25" customHeight="1" x14ac:dyDescent="0.25">
      <c r="F641" s="7" t="s">
        <v>2153</v>
      </c>
    </row>
    <row r="642" spans="6:6" ht="47.25" customHeight="1" x14ac:dyDescent="0.25">
      <c r="F642" s="7" t="s">
        <v>2154</v>
      </c>
    </row>
    <row r="643" spans="6:6" ht="47.25" customHeight="1" x14ac:dyDescent="0.25">
      <c r="F643" s="7" t="s">
        <v>2155</v>
      </c>
    </row>
    <row r="644" spans="6:6" ht="47.25" customHeight="1" x14ac:dyDescent="0.25">
      <c r="F644" s="7" t="s">
        <v>2156</v>
      </c>
    </row>
    <row r="645" spans="6:6" ht="31.5" customHeight="1" x14ac:dyDescent="0.25">
      <c r="F645" s="7" t="s">
        <v>2157</v>
      </c>
    </row>
    <row r="646" spans="6:6" ht="31.5" customHeight="1" x14ac:dyDescent="0.25">
      <c r="F646" s="7" t="s">
        <v>2158</v>
      </c>
    </row>
    <row r="647" spans="6:6" ht="47.25" customHeight="1" x14ac:dyDescent="0.25">
      <c r="F647" s="7" t="s">
        <v>2159</v>
      </c>
    </row>
    <row r="648" spans="6:6" ht="31.5" customHeight="1" x14ac:dyDescent="0.25">
      <c r="F648" s="7" t="s">
        <v>2160</v>
      </c>
    </row>
    <row r="649" spans="6:6" ht="47.25" customHeight="1" x14ac:dyDescent="0.25">
      <c r="F649" s="7" t="s">
        <v>2161</v>
      </c>
    </row>
    <row r="650" spans="6:6" ht="47.25" customHeight="1" x14ac:dyDescent="0.25">
      <c r="F650" s="7" t="s">
        <v>2162</v>
      </c>
    </row>
    <row r="651" spans="6:6" ht="31.5" customHeight="1" x14ac:dyDescent="0.25">
      <c r="F651" s="7" t="s">
        <v>2163</v>
      </c>
    </row>
    <row r="652" spans="6:6" ht="47.25" customHeight="1" x14ac:dyDescent="0.25">
      <c r="F652" s="7" t="s">
        <v>2164</v>
      </c>
    </row>
    <row r="653" spans="6:6" ht="31.5" customHeight="1" x14ac:dyDescent="0.25">
      <c r="F653" s="7" t="s">
        <v>2165</v>
      </c>
    </row>
    <row r="654" spans="6:6" ht="47.25" customHeight="1" x14ac:dyDescent="0.25">
      <c r="F654" s="7" t="s">
        <v>2166</v>
      </c>
    </row>
    <row r="655" spans="6:6" ht="31.5" customHeight="1" x14ac:dyDescent="0.25">
      <c r="F655" s="7" t="s">
        <v>2167</v>
      </c>
    </row>
    <row r="656" spans="6:6" ht="31.5" customHeight="1" x14ac:dyDescent="0.25">
      <c r="F656" s="7" t="s">
        <v>2168</v>
      </c>
    </row>
    <row r="657" spans="6:6" ht="31.5" customHeight="1" x14ac:dyDescent="0.25">
      <c r="F657" s="7" t="s">
        <v>2169</v>
      </c>
    </row>
    <row r="658" spans="6:6" ht="63" customHeight="1" x14ac:dyDescent="0.25">
      <c r="F658" s="7" t="s">
        <v>2170</v>
      </c>
    </row>
    <row r="659" spans="6:6" ht="31.5" customHeight="1" x14ac:dyDescent="0.25">
      <c r="F659" s="7" t="s">
        <v>2171</v>
      </c>
    </row>
    <row r="660" spans="6:6" ht="31.5" customHeight="1" x14ac:dyDescent="0.25">
      <c r="F660" s="7" t="s">
        <v>2172</v>
      </c>
    </row>
    <row r="661" spans="6:6" ht="47.25" customHeight="1" x14ac:dyDescent="0.25">
      <c r="F661" s="7" t="s">
        <v>2173</v>
      </c>
    </row>
    <row r="662" spans="6:6" ht="31.5" customHeight="1" x14ac:dyDescent="0.25">
      <c r="F662" s="7" t="s">
        <v>2174</v>
      </c>
    </row>
    <row r="663" spans="6:6" ht="31.5" customHeight="1" x14ac:dyDescent="0.25">
      <c r="F663" s="7" t="s">
        <v>2175</v>
      </c>
    </row>
    <row r="664" spans="6:6" ht="31.5" customHeight="1" x14ac:dyDescent="0.25">
      <c r="F664" s="7" t="s">
        <v>2176</v>
      </c>
    </row>
    <row r="665" spans="6:6" ht="47.25" customHeight="1" x14ac:dyDescent="0.25">
      <c r="F665" s="7" t="s">
        <v>2177</v>
      </c>
    </row>
    <row r="666" spans="6:6" ht="47.25" customHeight="1" x14ac:dyDescent="0.25">
      <c r="F666" s="7" t="s">
        <v>2178</v>
      </c>
    </row>
    <row r="667" spans="6:6" ht="47.25" customHeight="1" x14ac:dyDescent="0.25">
      <c r="F667" s="7" t="s">
        <v>2179</v>
      </c>
    </row>
    <row r="668" spans="6:6" ht="78.75" customHeight="1" x14ac:dyDescent="0.25">
      <c r="F668" s="7" t="s">
        <v>2180</v>
      </c>
    </row>
    <row r="669" spans="6:6" ht="31.5" customHeight="1" x14ac:dyDescent="0.25">
      <c r="F669" s="7" t="s">
        <v>2181</v>
      </c>
    </row>
    <row r="670" spans="6:6" ht="47.25" customHeight="1" x14ac:dyDescent="0.25">
      <c r="F670" s="7" t="s">
        <v>2182</v>
      </c>
    </row>
    <row r="671" spans="6:6" ht="63" customHeight="1" x14ac:dyDescent="0.25">
      <c r="F671" s="7" t="s">
        <v>2183</v>
      </c>
    </row>
    <row r="672" spans="6:6" ht="47.25" customHeight="1" x14ac:dyDescent="0.25">
      <c r="F672" s="7" t="s">
        <v>2184</v>
      </c>
    </row>
    <row r="673" spans="6:6" ht="47.25" customHeight="1" x14ac:dyDescent="0.25">
      <c r="F673" s="7" t="s">
        <v>2185</v>
      </c>
    </row>
    <row r="674" spans="6:6" ht="63" customHeight="1" x14ac:dyDescent="0.25">
      <c r="F674" s="7" t="s">
        <v>2186</v>
      </c>
    </row>
    <row r="675" spans="6:6" ht="47.25" customHeight="1" x14ac:dyDescent="0.25">
      <c r="F675" s="7" t="s">
        <v>2187</v>
      </c>
    </row>
    <row r="676" spans="6:6" ht="31.5" customHeight="1" x14ac:dyDescent="0.25">
      <c r="F676" s="7" t="s">
        <v>2188</v>
      </c>
    </row>
    <row r="677" spans="6:6" ht="47.25" customHeight="1" x14ac:dyDescent="0.25">
      <c r="F677" s="7" t="s">
        <v>2189</v>
      </c>
    </row>
    <row r="678" spans="6:6" ht="78.75" customHeight="1" x14ac:dyDescent="0.25">
      <c r="F678" s="7" t="s">
        <v>2190</v>
      </c>
    </row>
    <row r="679" spans="6:6" ht="47.25" customHeight="1" x14ac:dyDescent="0.25">
      <c r="F679" s="7" t="s">
        <v>2191</v>
      </c>
    </row>
    <row r="680" spans="6:6" ht="47.25" customHeight="1" x14ac:dyDescent="0.25">
      <c r="F680" s="7" t="s">
        <v>2192</v>
      </c>
    </row>
    <row r="681" spans="6:6" ht="47.25" customHeight="1" x14ac:dyDescent="0.25">
      <c r="F681" s="7" t="s">
        <v>2193</v>
      </c>
    </row>
    <row r="682" spans="6:6" ht="31.5" customHeight="1" x14ac:dyDescent="0.25">
      <c r="F682" s="7" t="s">
        <v>2194</v>
      </c>
    </row>
    <row r="683" spans="6:6" ht="63" customHeight="1" x14ac:dyDescent="0.25">
      <c r="F683" s="7" t="s">
        <v>2195</v>
      </c>
    </row>
    <row r="684" spans="6:6" ht="47.25" customHeight="1" x14ac:dyDescent="0.25">
      <c r="F684" s="7" t="s">
        <v>2196</v>
      </c>
    </row>
    <row r="685" spans="6:6" ht="47.25" customHeight="1" x14ac:dyDescent="0.25">
      <c r="F685" s="7" t="s">
        <v>2197</v>
      </c>
    </row>
    <row r="686" spans="6:6" ht="47.25" customHeight="1" x14ac:dyDescent="0.25">
      <c r="F686" s="7" t="s">
        <v>2198</v>
      </c>
    </row>
    <row r="687" spans="6:6" ht="47.25" customHeight="1" x14ac:dyDescent="0.25">
      <c r="F687" s="7" t="s">
        <v>2199</v>
      </c>
    </row>
    <row r="688" spans="6:6" ht="31.5" customHeight="1" x14ac:dyDescent="0.25">
      <c r="F688" s="7" t="s">
        <v>2200</v>
      </c>
    </row>
    <row r="689" spans="6:6" ht="31.5" customHeight="1" x14ac:dyDescent="0.25">
      <c r="F689" s="7" t="s">
        <v>2201</v>
      </c>
    </row>
    <row r="690" spans="6:6" ht="31.5" customHeight="1" x14ac:dyDescent="0.25">
      <c r="F690" s="7" t="s">
        <v>2202</v>
      </c>
    </row>
    <row r="691" spans="6:6" ht="31.5" customHeight="1" x14ac:dyDescent="0.25">
      <c r="F691" s="7" t="s">
        <v>2203</v>
      </c>
    </row>
    <row r="692" spans="6:6" ht="31.5" customHeight="1" x14ac:dyDescent="0.25">
      <c r="F692" s="7" t="s">
        <v>2204</v>
      </c>
    </row>
    <row r="693" spans="6:6" ht="31.5" customHeight="1" x14ac:dyDescent="0.25">
      <c r="F693" s="7" t="s">
        <v>2205</v>
      </c>
    </row>
    <row r="694" spans="6:6" ht="47.25" customHeight="1" x14ac:dyDescent="0.25">
      <c r="F694" s="7" t="s">
        <v>2206</v>
      </c>
    </row>
    <row r="695" spans="6:6" ht="31.5" customHeight="1" x14ac:dyDescent="0.25">
      <c r="F695" s="7" t="s">
        <v>2207</v>
      </c>
    </row>
    <row r="696" spans="6:6" ht="31.5" customHeight="1" x14ac:dyDescent="0.25">
      <c r="F696" s="7" t="s">
        <v>2208</v>
      </c>
    </row>
    <row r="697" spans="6:6" ht="31.5" customHeight="1" x14ac:dyDescent="0.25">
      <c r="F697" s="7" t="s">
        <v>2209</v>
      </c>
    </row>
    <row r="698" spans="6:6" ht="63" customHeight="1" x14ac:dyDescent="0.25">
      <c r="F698" s="7" t="s">
        <v>2210</v>
      </c>
    </row>
    <row r="699" spans="6:6" ht="31.5" customHeight="1" x14ac:dyDescent="0.25">
      <c r="F699" s="7" t="s">
        <v>2211</v>
      </c>
    </row>
    <row r="700" spans="6:6" ht="63" customHeight="1" x14ac:dyDescent="0.25">
      <c r="F700" s="7" t="s">
        <v>2212</v>
      </c>
    </row>
    <row r="701" spans="6:6" ht="47.25" customHeight="1" x14ac:dyDescent="0.25">
      <c r="F701" s="7" t="s">
        <v>2213</v>
      </c>
    </row>
    <row r="702" spans="6:6" ht="63" customHeight="1" x14ac:dyDescent="0.25">
      <c r="F702" s="7" t="s">
        <v>2214</v>
      </c>
    </row>
    <row r="703" spans="6:6" ht="31.5" customHeight="1" x14ac:dyDescent="0.25">
      <c r="F703" s="7" t="s">
        <v>2215</v>
      </c>
    </row>
    <row r="704" spans="6:6" ht="63" customHeight="1" x14ac:dyDescent="0.25">
      <c r="F704" s="7" t="s">
        <v>2216</v>
      </c>
    </row>
    <row r="705" spans="6:6" ht="63" customHeight="1" x14ac:dyDescent="0.25">
      <c r="F705" s="7" t="s">
        <v>2217</v>
      </c>
    </row>
    <row r="706" spans="6:6" ht="31.5" customHeight="1" x14ac:dyDescent="0.25">
      <c r="F706" s="7" t="s">
        <v>2218</v>
      </c>
    </row>
    <row r="707" spans="6:6" ht="31.5" customHeight="1" x14ac:dyDescent="0.25">
      <c r="F707" s="7" t="s">
        <v>2219</v>
      </c>
    </row>
    <row r="708" spans="6:6" ht="31.5" customHeight="1" x14ac:dyDescent="0.25">
      <c r="F708" s="7" t="s">
        <v>2220</v>
      </c>
    </row>
    <row r="709" spans="6:6" ht="47.25" customHeight="1" x14ac:dyDescent="0.25">
      <c r="F709" s="7" t="s">
        <v>2221</v>
      </c>
    </row>
    <row r="710" spans="6:6" ht="31.5" customHeight="1" x14ac:dyDescent="0.25">
      <c r="F710" s="7" t="s">
        <v>2222</v>
      </c>
    </row>
    <row r="711" spans="6:6" ht="31.5" customHeight="1" x14ac:dyDescent="0.25">
      <c r="F711" s="7" t="s">
        <v>2223</v>
      </c>
    </row>
    <row r="712" spans="6:6" ht="31.5" customHeight="1" x14ac:dyDescent="0.25">
      <c r="F712" s="7" t="s">
        <v>2224</v>
      </c>
    </row>
    <row r="713" spans="6:6" ht="31.5" customHeight="1" x14ac:dyDescent="0.25">
      <c r="F713" s="7" t="s">
        <v>2225</v>
      </c>
    </row>
    <row r="714" spans="6:6" ht="47.25" customHeight="1" x14ac:dyDescent="0.25">
      <c r="F714" s="7" t="s">
        <v>2226</v>
      </c>
    </row>
    <row r="715" spans="6:6" ht="63" customHeight="1" x14ac:dyDescent="0.25">
      <c r="F715" s="7" t="s">
        <v>2227</v>
      </c>
    </row>
    <row r="716" spans="6:6" ht="63" customHeight="1" x14ac:dyDescent="0.25">
      <c r="F716" s="7" t="s">
        <v>2228</v>
      </c>
    </row>
    <row r="717" spans="6:6" ht="47.25" customHeight="1" x14ac:dyDescent="0.25">
      <c r="F717" s="7" t="s">
        <v>2229</v>
      </c>
    </row>
    <row r="718" spans="6:6" ht="47.25" customHeight="1" x14ac:dyDescent="0.25">
      <c r="F718" s="7" t="s">
        <v>2230</v>
      </c>
    </row>
    <row r="719" spans="6:6" ht="47.25" customHeight="1" x14ac:dyDescent="0.25">
      <c r="F719" s="7" t="s">
        <v>2231</v>
      </c>
    </row>
    <row r="720" spans="6:6" ht="31.5" customHeight="1" x14ac:dyDescent="0.25">
      <c r="F720" s="7" t="s">
        <v>2232</v>
      </c>
    </row>
    <row r="721" spans="6:6" ht="47.25" customHeight="1" x14ac:dyDescent="0.25">
      <c r="F721" s="7" t="s">
        <v>2233</v>
      </c>
    </row>
    <row r="722" spans="6:6" ht="31.5" customHeight="1" x14ac:dyDescent="0.25">
      <c r="F722" s="7" t="s">
        <v>2234</v>
      </c>
    </row>
    <row r="723" spans="6:6" ht="47.25" customHeight="1" x14ac:dyDescent="0.25">
      <c r="F723" s="7" t="s">
        <v>2235</v>
      </c>
    </row>
    <row r="724" spans="6:6" ht="31.5" customHeight="1" x14ac:dyDescent="0.25">
      <c r="F724" s="7" t="s">
        <v>2236</v>
      </c>
    </row>
    <row r="725" spans="6:6" ht="31.5" customHeight="1" x14ac:dyDescent="0.25">
      <c r="F725" s="7" t="s">
        <v>2237</v>
      </c>
    </row>
    <row r="726" spans="6:6" ht="94.5" customHeight="1" x14ac:dyDescent="0.25">
      <c r="F726" s="7" t="s">
        <v>2238</v>
      </c>
    </row>
    <row r="727" spans="6:6" ht="31.5" customHeight="1" x14ac:dyDescent="0.25">
      <c r="F727" s="7" t="s">
        <v>2239</v>
      </c>
    </row>
    <row r="728" spans="6:6" ht="47.25" customHeight="1" x14ac:dyDescent="0.25">
      <c r="F728" s="7" t="s">
        <v>2240</v>
      </c>
    </row>
    <row r="729" spans="6:6" ht="47.25" customHeight="1" x14ac:dyDescent="0.25">
      <c r="F729" s="7" t="s">
        <v>2241</v>
      </c>
    </row>
    <row r="730" spans="6:6" ht="31.5" customHeight="1" x14ac:dyDescent="0.25">
      <c r="F730" s="7" t="s">
        <v>2242</v>
      </c>
    </row>
    <row r="731" spans="6:6" ht="63" customHeight="1" x14ac:dyDescent="0.25">
      <c r="F731" s="7" t="s">
        <v>2243</v>
      </c>
    </row>
    <row r="732" spans="6:6" ht="31.5" customHeight="1" x14ac:dyDescent="0.25">
      <c r="F732" s="7" t="s">
        <v>2244</v>
      </c>
    </row>
    <row r="733" spans="6:6" ht="47.25" customHeight="1" x14ac:dyDescent="0.25">
      <c r="F733" s="7" t="s">
        <v>2245</v>
      </c>
    </row>
    <row r="734" spans="6:6" ht="31.5" customHeight="1" x14ac:dyDescent="0.25">
      <c r="F734" s="7" t="s">
        <v>2246</v>
      </c>
    </row>
    <row r="735" spans="6:6" ht="31.5" customHeight="1" x14ac:dyDescent="0.25">
      <c r="F735" s="7" t="s">
        <v>2247</v>
      </c>
    </row>
    <row r="736" spans="6:6" ht="47.25" customHeight="1" x14ac:dyDescent="0.25">
      <c r="F736" s="7" t="s">
        <v>2248</v>
      </c>
    </row>
    <row r="737" spans="6:6" ht="47.25" customHeight="1" x14ac:dyDescent="0.25">
      <c r="F737" s="7" t="s">
        <v>2249</v>
      </c>
    </row>
    <row r="738" spans="6:6" ht="47.25" customHeight="1" x14ac:dyDescent="0.25">
      <c r="F738" s="7" t="s">
        <v>2250</v>
      </c>
    </row>
    <row r="739" spans="6:6" ht="47.25" customHeight="1" x14ac:dyDescent="0.25">
      <c r="F739" s="7" t="s">
        <v>2251</v>
      </c>
    </row>
    <row r="740" spans="6:6" ht="47.25" customHeight="1" x14ac:dyDescent="0.25">
      <c r="F740" s="7" t="s">
        <v>2252</v>
      </c>
    </row>
    <row r="741" spans="6:6" ht="31.5" customHeight="1" x14ac:dyDescent="0.25">
      <c r="F741" s="7" t="s">
        <v>2253</v>
      </c>
    </row>
    <row r="742" spans="6:6" ht="47.25" customHeight="1" x14ac:dyDescent="0.25">
      <c r="F742" s="7" t="s">
        <v>2254</v>
      </c>
    </row>
    <row r="743" spans="6:6" ht="47.25" customHeight="1" x14ac:dyDescent="0.25">
      <c r="F743" s="7" t="s">
        <v>2255</v>
      </c>
    </row>
    <row r="744" spans="6:6" ht="31.5" customHeight="1" x14ac:dyDescent="0.25">
      <c r="F744" s="7" t="s">
        <v>2256</v>
      </c>
    </row>
    <row r="745" spans="6:6" ht="31.5" customHeight="1" x14ac:dyDescent="0.25">
      <c r="F745" s="7" t="s">
        <v>2257</v>
      </c>
    </row>
    <row r="746" spans="6:6" ht="31.5" customHeight="1" x14ac:dyDescent="0.25">
      <c r="F746" s="7" t="s">
        <v>2258</v>
      </c>
    </row>
    <row r="747" spans="6:6" ht="47.25" customHeight="1" x14ac:dyDescent="0.25">
      <c r="F747" s="7" t="s">
        <v>2259</v>
      </c>
    </row>
    <row r="748" spans="6:6" ht="31.5" customHeight="1" x14ac:dyDescent="0.25">
      <c r="F748" s="7" t="s">
        <v>2260</v>
      </c>
    </row>
    <row r="749" spans="6:6" ht="31.5" customHeight="1" x14ac:dyDescent="0.25">
      <c r="F749" s="7" t="s">
        <v>2261</v>
      </c>
    </row>
    <row r="750" spans="6:6" ht="63" customHeight="1" x14ac:dyDescent="0.25">
      <c r="F750" s="7" t="s">
        <v>2262</v>
      </c>
    </row>
    <row r="751" spans="6:6" ht="47.25" customHeight="1" x14ac:dyDescent="0.25">
      <c r="F751" s="7" t="s">
        <v>2263</v>
      </c>
    </row>
    <row r="752" spans="6:6" ht="47.25" customHeight="1" x14ac:dyDescent="0.25">
      <c r="F752" s="7" t="s">
        <v>2264</v>
      </c>
    </row>
    <row r="753" spans="6:6" ht="47.25" customHeight="1" x14ac:dyDescent="0.25">
      <c r="F753" s="7" t="s">
        <v>2265</v>
      </c>
    </row>
    <row r="754" spans="6:6" ht="47.25" customHeight="1" x14ac:dyDescent="0.25">
      <c r="F754" s="7" t="s">
        <v>2266</v>
      </c>
    </row>
    <row r="755" spans="6:6" ht="63" customHeight="1" x14ac:dyDescent="0.25">
      <c r="F755" s="7" t="s">
        <v>2267</v>
      </c>
    </row>
    <row r="756" spans="6:6" ht="63" customHeight="1" x14ac:dyDescent="0.25">
      <c r="F756" s="7" t="s">
        <v>2268</v>
      </c>
    </row>
    <row r="757" spans="6:6" ht="47.25" customHeight="1" x14ac:dyDescent="0.25">
      <c r="F757" s="7" t="s">
        <v>2269</v>
      </c>
    </row>
    <row r="758" spans="6:6" ht="63" customHeight="1" x14ac:dyDescent="0.25">
      <c r="F758" s="7" t="s">
        <v>2270</v>
      </c>
    </row>
    <row r="759" spans="6:6" ht="78.75" customHeight="1" x14ac:dyDescent="0.25">
      <c r="F759" s="7" t="s">
        <v>2271</v>
      </c>
    </row>
    <row r="760" spans="6:6" ht="31.5" customHeight="1" x14ac:dyDescent="0.25">
      <c r="F760" s="7" t="s">
        <v>2272</v>
      </c>
    </row>
    <row r="761" spans="6:6" ht="78.75" customHeight="1" x14ac:dyDescent="0.25">
      <c r="F761" s="7" t="s">
        <v>2273</v>
      </c>
    </row>
    <row r="762" spans="6:6" ht="47.25" customHeight="1" x14ac:dyDescent="0.25">
      <c r="F762" s="7" t="s">
        <v>2274</v>
      </c>
    </row>
    <row r="763" spans="6:6" ht="31.5" customHeight="1" x14ac:dyDescent="0.25">
      <c r="F763" s="7" t="s">
        <v>2275</v>
      </c>
    </row>
    <row r="764" spans="6:6" ht="78.75" customHeight="1" x14ac:dyDescent="0.25">
      <c r="F764" s="7" t="s">
        <v>2276</v>
      </c>
    </row>
    <row r="765" spans="6:6" ht="31.5" customHeight="1" x14ac:dyDescent="0.25">
      <c r="F765" s="7" t="s">
        <v>2277</v>
      </c>
    </row>
    <row r="766" spans="6:6" ht="47.25" customHeight="1" x14ac:dyDescent="0.25">
      <c r="F766" s="7" t="s">
        <v>2278</v>
      </c>
    </row>
    <row r="767" spans="6:6" ht="31.5" customHeight="1" x14ac:dyDescent="0.25">
      <c r="F767" s="7" t="s">
        <v>2279</v>
      </c>
    </row>
    <row r="768" spans="6:6" ht="63" customHeight="1" x14ac:dyDescent="0.25">
      <c r="F768" s="7" t="s">
        <v>2280</v>
      </c>
    </row>
    <row r="769" spans="6:6" ht="78.75" customHeight="1" x14ac:dyDescent="0.25">
      <c r="F769" s="7" t="s">
        <v>2281</v>
      </c>
    </row>
    <row r="770" spans="6:6" ht="63" customHeight="1" x14ac:dyDescent="0.25">
      <c r="F770" s="7" t="s">
        <v>2282</v>
      </c>
    </row>
    <row r="771" spans="6:6" ht="31.5" customHeight="1" x14ac:dyDescent="0.25">
      <c r="F771" s="7" t="s">
        <v>2283</v>
      </c>
    </row>
    <row r="772" spans="6:6" ht="31.5" customHeight="1" x14ac:dyDescent="0.25">
      <c r="F772" s="7" t="s">
        <v>2284</v>
      </c>
    </row>
    <row r="773" spans="6:6" ht="31.5" customHeight="1" x14ac:dyDescent="0.25">
      <c r="F773" s="7" t="s">
        <v>2285</v>
      </c>
    </row>
    <row r="774" spans="6:6" ht="47.25" customHeight="1" x14ac:dyDescent="0.25">
      <c r="F774" s="7" t="s">
        <v>2286</v>
      </c>
    </row>
    <row r="775" spans="6:6" ht="47.25" customHeight="1" x14ac:dyDescent="0.25">
      <c r="F775" s="7" t="s">
        <v>2287</v>
      </c>
    </row>
    <row r="776" spans="6:6" ht="31.5" customHeight="1" x14ac:dyDescent="0.25">
      <c r="F776" s="7" t="s">
        <v>2288</v>
      </c>
    </row>
    <row r="777" spans="6:6" ht="31.5" customHeight="1" x14ac:dyDescent="0.25">
      <c r="F777" s="7" t="s">
        <v>2289</v>
      </c>
    </row>
    <row r="778" spans="6:6" x14ac:dyDescent="0.25">
      <c r="F778" s="7" t="s">
        <v>2290</v>
      </c>
    </row>
    <row r="779" spans="6:6" ht="31.5" customHeight="1" x14ac:dyDescent="0.25">
      <c r="F779" s="7" t="s">
        <v>2291</v>
      </c>
    </row>
    <row r="780" spans="6:6" ht="31.5" customHeight="1" x14ac:dyDescent="0.25">
      <c r="F780" s="7" t="s">
        <v>2292</v>
      </c>
    </row>
    <row r="781" spans="6:6" ht="31.5" customHeight="1" x14ac:dyDescent="0.25">
      <c r="F781" s="7" t="s">
        <v>2293</v>
      </c>
    </row>
    <row r="782" spans="6:6" ht="63" customHeight="1" x14ac:dyDescent="0.25">
      <c r="F782" s="7" t="s">
        <v>2294</v>
      </c>
    </row>
    <row r="783" spans="6:6" ht="47.25" customHeight="1" x14ac:dyDescent="0.25">
      <c r="F783" s="7" t="s">
        <v>2295</v>
      </c>
    </row>
    <row r="784" spans="6:6" ht="47.25" customHeight="1" x14ac:dyDescent="0.25">
      <c r="F784" s="7" t="s">
        <v>2296</v>
      </c>
    </row>
    <row r="785" spans="6:6" ht="31.5" customHeight="1" x14ac:dyDescent="0.25">
      <c r="F785" s="7" t="s">
        <v>2297</v>
      </c>
    </row>
    <row r="786" spans="6:6" ht="31.5" customHeight="1" x14ac:dyDescent="0.25">
      <c r="F786" s="7" t="s">
        <v>2298</v>
      </c>
    </row>
    <row r="787" spans="6:6" ht="31.5" customHeight="1" x14ac:dyDescent="0.25">
      <c r="F787" s="7" t="s">
        <v>2299</v>
      </c>
    </row>
    <row r="788" spans="6:6" ht="47.25" customHeight="1" x14ac:dyDescent="0.25">
      <c r="F788" s="7" t="s">
        <v>2300</v>
      </c>
    </row>
    <row r="789" spans="6:6" ht="47.25" customHeight="1" x14ac:dyDescent="0.25">
      <c r="F789" s="7" t="s">
        <v>2301</v>
      </c>
    </row>
    <row r="790" spans="6:6" ht="31.5" customHeight="1" x14ac:dyDescent="0.25">
      <c r="F790" s="7" t="s">
        <v>2302</v>
      </c>
    </row>
    <row r="791" spans="6:6" ht="47.25" customHeight="1" x14ac:dyDescent="0.25">
      <c r="F791" s="7" t="s">
        <v>2303</v>
      </c>
    </row>
    <row r="792" spans="6:6" ht="31.5" customHeight="1" x14ac:dyDescent="0.25">
      <c r="F792" s="7" t="s">
        <v>2304</v>
      </c>
    </row>
    <row r="793" spans="6:6" ht="47.25" customHeight="1" x14ac:dyDescent="0.25">
      <c r="F793" s="7" t="s">
        <v>2305</v>
      </c>
    </row>
    <row r="794" spans="6:6" ht="31.5" customHeight="1" x14ac:dyDescent="0.25">
      <c r="F794" s="7" t="s">
        <v>2306</v>
      </c>
    </row>
    <row r="795" spans="6:6" ht="63" customHeight="1" x14ac:dyDescent="0.25">
      <c r="F795" s="7" t="s">
        <v>2307</v>
      </c>
    </row>
    <row r="796" spans="6:6" ht="47.25" customHeight="1" x14ac:dyDescent="0.25">
      <c r="F796" s="7" t="s">
        <v>2308</v>
      </c>
    </row>
    <row r="797" spans="6:6" ht="47.25" customHeight="1" x14ac:dyDescent="0.25">
      <c r="F797" s="7" t="s">
        <v>2309</v>
      </c>
    </row>
    <row r="798" spans="6:6" ht="31.5" customHeight="1" x14ac:dyDescent="0.25">
      <c r="F798" s="7" t="s">
        <v>2310</v>
      </c>
    </row>
    <row r="799" spans="6:6" ht="47.25" customHeight="1" x14ac:dyDescent="0.25">
      <c r="F799" s="7" t="s">
        <v>2311</v>
      </c>
    </row>
    <row r="800" spans="6:6" ht="31.5" customHeight="1" x14ac:dyDescent="0.25">
      <c r="F800" s="7" t="s">
        <v>2312</v>
      </c>
    </row>
    <row r="801" spans="6:6" ht="63" customHeight="1" x14ac:dyDescent="0.25">
      <c r="F801" s="7" t="s">
        <v>2313</v>
      </c>
    </row>
    <row r="802" spans="6:6" ht="63" customHeight="1" x14ac:dyDescent="0.25">
      <c r="F802" s="7" t="s">
        <v>2314</v>
      </c>
    </row>
    <row r="803" spans="6:6" ht="47.25" customHeight="1" x14ac:dyDescent="0.25">
      <c r="F803" s="7" t="s">
        <v>2315</v>
      </c>
    </row>
    <row r="804" spans="6:6" ht="31.5" customHeight="1" x14ac:dyDescent="0.25">
      <c r="F804" s="7" t="s">
        <v>2316</v>
      </c>
    </row>
    <row r="805" spans="6:6" ht="47.25" customHeight="1" x14ac:dyDescent="0.25">
      <c r="F805" s="7" t="s">
        <v>2317</v>
      </c>
    </row>
    <row r="806" spans="6:6" ht="47.25" customHeight="1" x14ac:dyDescent="0.25">
      <c r="F806" s="7" t="s">
        <v>2318</v>
      </c>
    </row>
    <row r="807" spans="6:6" ht="63" customHeight="1" x14ac:dyDescent="0.25">
      <c r="F807" s="7" t="s">
        <v>2319</v>
      </c>
    </row>
    <row r="808" spans="6:6" ht="47.25" customHeight="1" x14ac:dyDescent="0.25">
      <c r="F808" s="7" t="s">
        <v>2320</v>
      </c>
    </row>
    <row r="809" spans="6:6" ht="31.5" customHeight="1" x14ac:dyDescent="0.25">
      <c r="F809" s="7" t="s">
        <v>2321</v>
      </c>
    </row>
    <row r="810" spans="6:6" ht="47.25" customHeight="1" x14ac:dyDescent="0.25">
      <c r="F810" s="7" t="s">
        <v>2322</v>
      </c>
    </row>
    <row r="811" spans="6:6" ht="47.25" customHeight="1" x14ac:dyDescent="0.25">
      <c r="F811" s="7" t="s">
        <v>2323</v>
      </c>
    </row>
    <row r="812" spans="6:6" ht="31.5" customHeight="1" x14ac:dyDescent="0.25">
      <c r="F812" s="7" t="s">
        <v>2324</v>
      </c>
    </row>
    <row r="813" spans="6:6" ht="63" customHeight="1" x14ac:dyDescent="0.25">
      <c r="F813" s="7" t="s">
        <v>2325</v>
      </c>
    </row>
    <row r="814" spans="6:6" ht="47.25" customHeight="1" x14ac:dyDescent="0.25">
      <c r="F814" s="7" t="s">
        <v>2326</v>
      </c>
    </row>
    <row r="815" spans="6:6" ht="47.25" customHeight="1" x14ac:dyDescent="0.25">
      <c r="F815" s="7" t="s">
        <v>2327</v>
      </c>
    </row>
    <row r="816" spans="6:6" ht="47.25" customHeight="1" x14ac:dyDescent="0.25">
      <c r="F816" s="7" t="s">
        <v>2328</v>
      </c>
    </row>
    <row r="817" spans="6:6" ht="31.5" customHeight="1" x14ac:dyDescent="0.25">
      <c r="F817" s="7" t="s">
        <v>2329</v>
      </c>
    </row>
    <row r="818" spans="6:6" ht="47.25" customHeight="1" x14ac:dyDescent="0.25">
      <c r="F818" s="7" t="s">
        <v>2330</v>
      </c>
    </row>
    <row r="819" spans="6:6" ht="31.5" customHeight="1" x14ac:dyDescent="0.25">
      <c r="F819" s="7" t="s">
        <v>2331</v>
      </c>
    </row>
    <row r="820" spans="6:6" ht="31.5" customHeight="1" x14ac:dyDescent="0.25">
      <c r="F820" s="7" t="s">
        <v>2332</v>
      </c>
    </row>
    <row r="821" spans="6:6" ht="47.25" customHeight="1" x14ac:dyDescent="0.25">
      <c r="F821" s="7" t="s">
        <v>2333</v>
      </c>
    </row>
    <row r="822" spans="6:6" ht="63" customHeight="1" x14ac:dyDescent="0.25">
      <c r="F822" s="7" t="s">
        <v>2334</v>
      </c>
    </row>
    <row r="823" spans="6:6" ht="47.25" customHeight="1" x14ac:dyDescent="0.25">
      <c r="F823" s="7" t="s">
        <v>2335</v>
      </c>
    </row>
    <row r="824" spans="6:6" ht="63" customHeight="1" x14ac:dyDescent="0.25">
      <c r="F824" s="7" t="s">
        <v>2336</v>
      </c>
    </row>
    <row r="825" spans="6:6" ht="47.25" customHeight="1" x14ac:dyDescent="0.25">
      <c r="F825" s="7" t="s">
        <v>2337</v>
      </c>
    </row>
    <row r="826" spans="6:6" ht="47.25" customHeight="1" x14ac:dyDescent="0.25">
      <c r="F826" s="7" t="s">
        <v>2338</v>
      </c>
    </row>
    <row r="827" spans="6:6" ht="31.5" customHeight="1" x14ac:dyDescent="0.25">
      <c r="F827" s="7" t="s">
        <v>2339</v>
      </c>
    </row>
    <row r="828" spans="6:6" ht="63" customHeight="1" x14ac:dyDescent="0.25">
      <c r="F828" s="7" t="s">
        <v>2340</v>
      </c>
    </row>
    <row r="829" spans="6:6" ht="31.5" customHeight="1" x14ac:dyDescent="0.25">
      <c r="F829" s="7" t="s">
        <v>2341</v>
      </c>
    </row>
    <row r="830" spans="6:6" ht="63" customHeight="1" x14ac:dyDescent="0.25">
      <c r="F830" s="7" t="s">
        <v>2342</v>
      </c>
    </row>
    <row r="831" spans="6:6" ht="47.25" customHeight="1" x14ac:dyDescent="0.25">
      <c r="F831" s="7" t="s">
        <v>2343</v>
      </c>
    </row>
    <row r="832" spans="6:6" ht="47.25" customHeight="1" x14ac:dyDescent="0.25">
      <c r="F832" s="7" t="s">
        <v>2344</v>
      </c>
    </row>
    <row r="833" spans="6:6" ht="47.25" customHeight="1" x14ac:dyDescent="0.25">
      <c r="F833" s="7" t="s">
        <v>2345</v>
      </c>
    </row>
    <row r="834" spans="6:6" ht="47.25" customHeight="1" x14ac:dyDescent="0.25">
      <c r="F834" s="7" t="s">
        <v>2346</v>
      </c>
    </row>
    <row r="835" spans="6:6" ht="47.25" customHeight="1" x14ac:dyDescent="0.25">
      <c r="F835" s="7" t="s">
        <v>2347</v>
      </c>
    </row>
    <row r="836" spans="6:6" ht="47.25" customHeight="1" x14ac:dyDescent="0.25">
      <c r="F836" s="7" t="s">
        <v>2348</v>
      </c>
    </row>
    <row r="837" spans="6:6" ht="47.25" customHeight="1" x14ac:dyDescent="0.25">
      <c r="F837" s="7" t="s">
        <v>2349</v>
      </c>
    </row>
    <row r="838" spans="6:6" ht="31.5" customHeight="1" x14ac:dyDescent="0.25">
      <c r="F838" s="7" t="s">
        <v>2350</v>
      </c>
    </row>
    <row r="839" spans="6:6" ht="63" customHeight="1" x14ac:dyDescent="0.25">
      <c r="F839" s="7" t="s">
        <v>2351</v>
      </c>
    </row>
    <row r="840" spans="6:6" ht="63" customHeight="1" x14ac:dyDescent="0.25">
      <c r="F840" s="7" t="s">
        <v>2352</v>
      </c>
    </row>
    <row r="841" spans="6:6" ht="63" customHeight="1" x14ac:dyDescent="0.25">
      <c r="F841" s="7" t="s">
        <v>2353</v>
      </c>
    </row>
    <row r="842" spans="6:6" ht="47.25" customHeight="1" x14ac:dyDescent="0.25">
      <c r="F842" s="7" t="s">
        <v>2354</v>
      </c>
    </row>
    <row r="843" spans="6:6" ht="31.5" customHeight="1" x14ac:dyDescent="0.25">
      <c r="F843" s="7" t="s">
        <v>2355</v>
      </c>
    </row>
    <row r="844" spans="6:6" ht="47.25" customHeight="1" x14ac:dyDescent="0.25">
      <c r="F844" s="7" t="s">
        <v>2356</v>
      </c>
    </row>
    <row r="845" spans="6:6" ht="47.25" customHeight="1" x14ac:dyDescent="0.25">
      <c r="F845" s="7" t="s">
        <v>2357</v>
      </c>
    </row>
    <row r="846" spans="6:6" ht="31.5" customHeight="1" x14ac:dyDescent="0.25">
      <c r="F846" s="7" t="s">
        <v>2358</v>
      </c>
    </row>
    <row r="847" spans="6:6" ht="94.5" customHeight="1" x14ac:dyDescent="0.25">
      <c r="F847" s="7" t="s">
        <v>2359</v>
      </c>
    </row>
    <row r="848" spans="6:6" ht="31.5" customHeight="1" x14ac:dyDescent="0.25">
      <c r="F848" s="7" t="s">
        <v>2360</v>
      </c>
    </row>
    <row r="849" spans="6:6" ht="31.5" customHeight="1" x14ac:dyDescent="0.25">
      <c r="F849" s="7" t="s">
        <v>2361</v>
      </c>
    </row>
    <row r="850" spans="6:6" x14ac:dyDescent="0.25">
      <c r="F850" s="7" t="s">
        <v>2362</v>
      </c>
    </row>
    <row r="851" spans="6:6" ht="47.25" customHeight="1" x14ac:dyDescent="0.25">
      <c r="F851" s="7" t="s">
        <v>2363</v>
      </c>
    </row>
    <row r="852" spans="6:6" ht="31.5" customHeight="1" x14ac:dyDescent="0.25">
      <c r="F852" s="7" t="s">
        <v>2364</v>
      </c>
    </row>
    <row r="853" spans="6:6" ht="47.25" customHeight="1" x14ac:dyDescent="0.25">
      <c r="F853" s="7" t="s">
        <v>2365</v>
      </c>
    </row>
    <row r="854" spans="6:6" ht="47.25" customHeight="1" x14ac:dyDescent="0.25">
      <c r="F854" s="7" t="s">
        <v>2366</v>
      </c>
    </row>
    <row r="855" spans="6:6" ht="47.25" customHeight="1" x14ac:dyDescent="0.25">
      <c r="F855" s="7" t="s">
        <v>2367</v>
      </c>
    </row>
    <row r="856" spans="6:6" ht="47.25" customHeight="1" x14ac:dyDescent="0.25">
      <c r="F856" s="7" t="s">
        <v>2368</v>
      </c>
    </row>
    <row r="857" spans="6:6" ht="47.25" customHeight="1" x14ac:dyDescent="0.25">
      <c r="F857" s="53" t="s">
        <v>2369</v>
      </c>
    </row>
    <row r="858" spans="6:6" ht="47.25" customHeight="1" x14ac:dyDescent="0.25">
      <c r="F858" s="7" t="s">
        <v>2370</v>
      </c>
    </row>
    <row r="859" spans="6:6" ht="63" customHeight="1" x14ac:dyDescent="0.25">
      <c r="F859" s="7" t="s">
        <v>2371</v>
      </c>
    </row>
    <row r="860" spans="6:6" ht="47.25" customHeight="1" x14ac:dyDescent="0.25">
      <c r="F860" s="7" t="s">
        <v>2372</v>
      </c>
    </row>
    <row r="861" spans="6:6" ht="47.25" customHeight="1" x14ac:dyDescent="0.25">
      <c r="F861" s="7" t="s">
        <v>2373</v>
      </c>
    </row>
    <row r="862" spans="6:6" ht="31.5" customHeight="1" x14ac:dyDescent="0.25">
      <c r="F862" s="7" t="s">
        <v>2374</v>
      </c>
    </row>
    <row r="863" spans="6:6" ht="63" customHeight="1" x14ac:dyDescent="0.25">
      <c r="F863" s="7" t="s">
        <v>2375</v>
      </c>
    </row>
    <row r="864" spans="6:6" ht="47.25" customHeight="1" x14ac:dyDescent="0.25">
      <c r="F864" s="7" t="s">
        <v>2376</v>
      </c>
    </row>
    <row r="865" spans="6:6" ht="47.25" customHeight="1" x14ac:dyDescent="0.25">
      <c r="F865" s="7" t="s">
        <v>2377</v>
      </c>
    </row>
    <row r="866" spans="6:6" ht="47.25" customHeight="1" x14ac:dyDescent="0.25">
      <c r="F866" s="7" t="s">
        <v>2378</v>
      </c>
    </row>
    <row r="867" spans="6:6" ht="31.5" customHeight="1" x14ac:dyDescent="0.25">
      <c r="F867" s="7" t="s">
        <v>2379</v>
      </c>
    </row>
    <row r="868" spans="6:6" ht="47.25" customHeight="1" x14ac:dyDescent="0.25">
      <c r="F868" s="7" t="s">
        <v>2380</v>
      </c>
    </row>
    <row r="869" spans="6:6" ht="31.5" customHeight="1" x14ac:dyDescent="0.25">
      <c r="F869" s="7" t="s">
        <v>2381</v>
      </c>
    </row>
    <row r="870" spans="6:6" ht="31.5" customHeight="1" x14ac:dyDescent="0.25">
      <c r="F870" s="7" t="s">
        <v>2382</v>
      </c>
    </row>
    <row r="871" spans="6:6" ht="31.5" customHeight="1" x14ac:dyDescent="0.25">
      <c r="F871" s="7" t="s">
        <v>2383</v>
      </c>
    </row>
    <row r="872" spans="6:6" ht="31.5" customHeight="1" x14ac:dyDescent="0.25">
      <c r="F872" s="7" t="s">
        <v>2384</v>
      </c>
    </row>
    <row r="873" spans="6:6" ht="47.25" customHeight="1" x14ac:dyDescent="0.25">
      <c r="F873" s="7" t="s">
        <v>2385</v>
      </c>
    </row>
    <row r="874" spans="6:6" ht="47.25" customHeight="1" x14ac:dyDescent="0.25">
      <c r="F874" s="7" t="s">
        <v>2386</v>
      </c>
    </row>
    <row r="875" spans="6:6" ht="63" customHeight="1" x14ac:dyDescent="0.25">
      <c r="F875" s="7" t="s">
        <v>2387</v>
      </c>
    </row>
    <row r="876" spans="6:6" ht="63" customHeight="1" x14ac:dyDescent="0.25">
      <c r="F876" s="7" t="s">
        <v>2388</v>
      </c>
    </row>
    <row r="877" spans="6:6" ht="31.5" customHeight="1" x14ac:dyDescent="0.25">
      <c r="F877" s="7" t="s">
        <v>2389</v>
      </c>
    </row>
    <row r="878" spans="6:6" ht="31.5" customHeight="1" x14ac:dyDescent="0.25">
      <c r="F878" s="7" t="s">
        <v>2390</v>
      </c>
    </row>
    <row r="879" spans="6:6" ht="31.5" customHeight="1" x14ac:dyDescent="0.25">
      <c r="F879" s="7" t="s">
        <v>2391</v>
      </c>
    </row>
    <row r="880" spans="6:6" ht="31.5" customHeight="1" x14ac:dyDescent="0.25">
      <c r="F880" s="7" t="s">
        <v>2392</v>
      </c>
    </row>
    <row r="881" spans="6:6" ht="63" customHeight="1" x14ac:dyDescent="0.25">
      <c r="F881" s="7" t="s">
        <v>2393</v>
      </c>
    </row>
    <row r="882" spans="6:6" ht="31.5" customHeight="1" x14ac:dyDescent="0.25">
      <c r="F882" s="7" t="s">
        <v>2394</v>
      </c>
    </row>
    <row r="883" spans="6:6" ht="31.5" customHeight="1" x14ac:dyDescent="0.25">
      <c r="F883" s="7" t="s">
        <v>2395</v>
      </c>
    </row>
    <row r="884" spans="6:6" ht="47.25" customHeight="1" x14ac:dyDescent="0.25">
      <c r="F884" s="7" t="s">
        <v>2396</v>
      </c>
    </row>
    <row r="885" spans="6:6" ht="47.25" customHeight="1" x14ac:dyDescent="0.25">
      <c r="F885" s="7" t="s">
        <v>2397</v>
      </c>
    </row>
    <row r="886" spans="6:6" ht="47.25" customHeight="1" x14ac:dyDescent="0.25">
      <c r="F886" s="7" t="s">
        <v>2398</v>
      </c>
    </row>
    <row r="887" spans="6:6" ht="31.5" customHeight="1" x14ac:dyDescent="0.25">
      <c r="F887" s="7" t="s">
        <v>2399</v>
      </c>
    </row>
    <row r="888" spans="6:6" ht="63" customHeight="1" x14ac:dyDescent="0.25">
      <c r="F888" s="7" t="s">
        <v>2400</v>
      </c>
    </row>
    <row r="889" spans="6:6" ht="31.5" customHeight="1" x14ac:dyDescent="0.25">
      <c r="F889" s="7" t="s">
        <v>2401</v>
      </c>
    </row>
    <row r="890" spans="6:6" ht="63" customHeight="1" x14ac:dyDescent="0.25">
      <c r="F890" s="7" t="s">
        <v>2402</v>
      </c>
    </row>
    <row r="891" spans="6:6" ht="47.25" customHeight="1" x14ac:dyDescent="0.25">
      <c r="F891" s="7" t="s">
        <v>2403</v>
      </c>
    </row>
    <row r="892" spans="6:6" ht="63" customHeight="1" x14ac:dyDescent="0.25">
      <c r="F892" s="7" t="s">
        <v>2404</v>
      </c>
    </row>
    <row r="893" spans="6:6" ht="31.5" customHeight="1" x14ac:dyDescent="0.25">
      <c r="F893" s="7" t="s">
        <v>2405</v>
      </c>
    </row>
    <row r="894" spans="6:6" ht="47.25" customHeight="1" x14ac:dyDescent="0.25">
      <c r="F894" s="7" t="s">
        <v>2406</v>
      </c>
    </row>
    <row r="895" spans="6:6" ht="47.25" customHeight="1" x14ac:dyDescent="0.25">
      <c r="F895" s="7" t="s">
        <v>2407</v>
      </c>
    </row>
    <row r="896" spans="6:6" ht="47.25" customHeight="1" x14ac:dyDescent="0.25">
      <c r="F896" s="7" t="s">
        <v>2408</v>
      </c>
    </row>
    <row r="897" spans="6:6" ht="31.5" customHeight="1" x14ac:dyDescent="0.25">
      <c r="F897" s="7" t="s">
        <v>2409</v>
      </c>
    </row>
    <row r="898" spans="6:6" ht="31.5" customHeight="1" x14ac:dyDescent="0.25">
      <c r="F898" s="7" t="s">
        <v>2410</v>
      </c>
    </row>
    <row r="899" spans="6:6" ht="47.25" customHeight="1" x14ac:dyDescent="0.25">
      <c r="F899" s="7" t="s">
        <v>2411</v>
      </c>
    </row>
    <row r="900" spans="6:6" ht="47.25" customHeight="1" x14ac:dyDescent="0.25">
      <c r="F900" s="7" t="s">
        <v>2412</v>
      </c>
    </row>
    <row r="901" spans="6:6" ht="47.25" customHeight="1" x14ac:dyDescent="0.25">
      <c r="F901" s="7" t="s">
        <v>2413</v>
      </c>
    </row>
    <row r="902" spans="6:6" ht="47.25" customHeight="1" x14ac:dyDescent="0.25">
      <c r="F902" s="7" t="s">
        <v>2414</v>
      </c>
    </row>
    <row r="903" spans="6:6" ht="31.5" customHeight="1" x14ac:dyDescent="0.25">
      <c r="F903" s="7" t="s">
        <v>2415</v>
      </c>
    </row>
    <row r="904" spans="6:6" ht="63" customHeight="1" x14ac:dyDescent="0.25">
      <c r="F904" s="7" t="s">
        <v>2416</v>
      </c>
    </row>
    <row r="905" spans="6:6" ht="31.5" customHeight="1" x14ac:dyDescent="0.25">
      <c r="F905" s="7" t="s">
        <v>2417</v>
      </c>
    </row>
    <row r="906" spans="6:6" ht="78.75" customHeight="1" x14ac:dyDescent="0.25">
      <c r="F906" s="7" t="s">
        <v>2418</v>
      </c>
    </row>
    <row r="907" spans="6:6" ht="31.5" customHeight="1" x14ac:dyDescent="0.25">
      <c r="F907" s="7" t="s">
        <v>2419</v>
      </c>
    </row>
    <row r="908" spans="6:6" ht="47.25" customHeight="1" x14ac:dyDescent="0.25">
      <c r="F908" s="7" t="s">
        <v>2420</v>
      </c>
    </row>
    <row r="909" spans="6:6" ht="31.5" customHeight="1" x14ac:dyDescent="0.25">
      <c r="F909" s="7" t="s">
        <v>2421</v>
      </c>
    </row>
    <row r="910" spans="6:6" ht="63" customHeight="1" x14ac:dyDescent="0.25">
      <c r="F910" s="7" t="s">
        <v>2422</v>
      </c>
    </row>
    <row r="911" spans="6:6" ht="31.5" customHeight="1" x14ac:dyDescent="0.25">
      <c r="F911" s="7" t="s">
        <v>2423</v>
      </c>
    </row>
    <row r="912" spans="6:6" ht="47.25" customHeight="1" x14ac:dyDescent="0.25">
      <c r="F912" s="7" t="s">
        <v>2424</v>
      </c>
    </row>
    <row r="913" spans="6:6" ht="63" customHeight="1" x14ac:dyDescent="0.25">
      <c r="F913" s="7" t="s">
        <v>2425</v>
      </c>
    </row>
    <row r="914" spans="6:6" ht="47.25" customHeight="1" x14ac:dyDescent="0.25">
      <c r="F914" s="7" t="s">
        <v>2426</v>
      </c>
    </row>
    <row r="915" spans="6:6" ht="78.75" customHeight="1" x14ac:dyDescent="0.25">
      <c r="F915" s="7" t="s">
        <v>2427</v>
      </c>
    </row>
    <row r="916" spans="6:6" ht="63" customHeight="1" x14ac:dyDescent="0.25">
      <c r="F916" s="7" t="s">
        <v>2428</v>
      </c>
    </row>
    <row r="917" spans="6:6" ht="63" customHeight="1" x14ac:dyDescent="0.25">
      <c r="F917" s="7" t="s">
        <v>2429</v>
      </c>
    </row>
    <row r="918" spans="6:6" ht="31.5" customHeight="1" x14ac:dyDescent="0.25">
      <c r="F918" s="7" t="s">
        <v>2430</v>
      </c>
    </row>
    <row r="919" spans="6:6" ht="31.5" customHeight="1" x14ac:dyDescent="0.25">
      <c r="F919" s="7" t="s">
        <v>2431</v>
      </c>
    </row>
    <row r="920" spans="6:6" ht="31.5" customHeight="1" x14ac:dyDescent="0.25">
      <c r="F920" s="7" t="s">
        <v>2432</v>
      </c>
    </row>
    <row r="921" spans="6:6" ht="31.5" customHeight="1" x14ac:dyDescent="0.25">
      <c r="F921" s="7" t="s">
        <v>2433</v>
      </c>
    </row>
    <row r="922" spans="6:6" ht="47.25" customHeight="1" x14ac:dyDescent="0.25">
      <c r="F922" s="7" t="s">
        <v>2434</v>
      </c>
    </row>
    <row r="923" spans="6:6" ht="31.5" customHeight="1" x14ac:dyDescent="0.25">
      <c r="F923" s="7" t="s">
        <v>2435</v>
      </c>
    </row>
    <row r="924" spans="6:6" ht="47.25" customHeight="1" x14ac:dyDescent="0.25">
      <c r="F924" s="7" t="s">
        <v>2436</v>
      </c>
    </row>
    <row r="925" spans="6:6" ht="31.5" customHeight="1" x14ac:dyDescent="0.25">
      <c r="F925" s="7" t="s">
        <v>2437</v>
      </c>
    </row>
    <row r="926" spans="6:6" ht="47.25" customHeight="1" x14ac:dyDescent="0.25">
      <c r="F926" s="7" t="s">
        <v>2438</v>
      </c>
    </row>
    <row r="927" spans="6:6" ht="31.5" customHeight="1" x14ac:dyDescent="0.25">
      <c r="F927" s="7" t="s">
        <v>2439</v>
      </c>
    </row>
    <row r="928" spans="6:6" ht="47.25" customHeight="1" x14ac:dyDescent="0.25">
      <c r="F928" s="7" t="s">
        <v>2440</v>
      </c>
    </row>
    <row r="929" spans="6:6" ht="31.5" customHeight="1" x14ac:dyDescent="0.25">
      <c r="F929" s="7" t="s">
        <v>2441</v>
      </c>
    </row>
    <row r="930" spans="6:6" ht="47.25" customHeight="1" x14ac:dyDescent="0.25">
      <c r="F930" s="7" t="s">
        <v>2442</v>
      </c>
    </row>
    <row r="931" spans="6:6" ht="47.25" customHeight="1" x14ac:dyDescent="0.25">
      <c r="F931" s="7" t="s">
        <v>2443</v>
      </c>
    </row>
    <row r="932" spans="6:6" ht="47.25" customHeight="1" x14ac:dyDescent="0.25">
      <c r="F932" s="7" t="s">
        <v>2444</v>
      </c>
    </row>
    <row r="933" spans="6:6" ht="47.25" customHeight="1" x14ac:dyDescent="0.25">
      <c r="F933" s="7" t="s">
        <v>2445</v>
      </c>
    </row>
    <row r="934" spans="6:6" ht="47.25" customHeight="1" x14ac:dyDescent="0.25">
      <c r="F934" s="7" t="s">
        <v>2446</v>
      </c>
    </row>
    <row r="935" spans="6:6" ht="63" customHeight="1" x14ac:dyDescent="0.25">
      <c r="F935" s="7" t="s">
        <v>2447</v>
      </c>
    </row>
    <row r="936" spans="6:6" ht="47.25" customHeight="1" x14ac:dyDescent="0.25">
      <c r="F936" s="7" t="s">
        <v>2448</v>
      </c>
    </row>
    <row r="937" spans="6:6" ht="47.25" customHeight="1" x14ac:dyDescent="0.25">
      <c r="F937" s="7" t="s">
        <v>2449</v>
      </c>
    </row>
    <row r="938" spans="6:6" ht="31.5" customHeight="1" x14ac:dyDescent="0.25">
      <c r="F938" s="7" t="s">
        <v>2450</v>
      </c>
    </row>
    <row r="939" spans="6:6" ht="31.5" customHeight="1" x14ac:dyDescent="0.25">
      <c r="F939" s="7" t="s">
        <v>2451</v>
      </c>
    </row>
    <row r="940" spans="6:6" ht="31.5" customHeight="1" x14ac:dyDescent="0.25">
      <c r="F940" s="7" t="s">
        <v>2452</v>
      </c>
    </row>
    <row r="941" spans="6:6" ht="47.25" customHeight="1" x14ac:dyDescent="0.25">
      <c r="F941" s="7" t="s">
        <v>2453</v>
      </c>
    </row>
    <row r="942" spans="6:6" ht="47.25" customHeight="1" x14ac:dyDescent="0.25">
      <c r="F942" s="7" t="s">
        <v>2454</v>
      </c>
    </row>
    <row r="943" spans="6:6" ht="47.25" customHeight="1" x14ac:dyDescent="0.25">
      <c r="F943" s="7" t="s">
        <v>2455</v>
      </c>
    </row>
    <row r="944" spans="6:6" ht="63" customHeight="1" x14ac:dyDescent="0.25">
      <c r="F944" s="7" t="s">
        <v>2456</v>
      </c>
    </row>
    <row r="945" spans="6:6" ht="47.25" customHeight="1" x14ac:dyDescent="0.25">
      <c r="F945" s="7" t="s">
        <v>2457</v>
      </c>
    </row>
    <row r="946" spans="6:6" ht="31.5" customHeight="1" x14ac:dyDescent="0.25">
      <c r="F946" s="7" t="s">
        <v>2458</v>
      </c>
    </row>
    <row r="947" spans="6:6" ht="63" customHeight="1" x14ac:dyDescent="0.25">
      <c r="F947" s="7" t="s">
        <v>2459</v>
      </c>
    </row>
    <row r="948" spans="6:6" ht="31.5" customHeight="1" x14ac:dyDescent="0.25">
      <c r="F948" s="7" t="s">
        <v>2460</v>
      </c>
    </row>
    <row r="949" spans="6:6" ht="47.25" customHeight="1" x14ac:dyDescent="0.25">
      <c r="F949" s="7" t="s">
        <v>2461</v>
      </c>
    </row>
    <row r="950" spans="6:6" ht="47.25" customHeight="1" x14ac:dyDescent="0.25">
      <c r="F950" s="7" t="s">
        <v>2462</v>
      </c>
    </row>
    <row r="951" spans="6:6" ht="47.25" customHeight="1" x14ac:dyDescent="0.25">
      <c r="F951" s="7" t="s">
        <v>2463</v>
      </c>
    </row>
    <row r="952" spans="6:6" ht="47.25" customHeight="1" x14ac:dyDescent="0.25">
      <c r="F952" s="7" t="s">
        <v>2464</v>
      </c>
    </row>
    <row r="953" spans="6:6" ht="47.25" customHeight="1" x14ac:dyDescent="0.25">
      <c r="F953" s="7" t="s">
        <v>2465</v>
      </c>
    </row>
    <row r="954" spans="6:6" ht="63" customHeight="1" x14ac:dyDescent="0.25">
      <c r="F954" s="7" t="s">
        <v>2466</v>
      </c>
    </row>
    <row r="955" spans="6:6" ht="78.75" customHeight="1" x14ac:dyDescent="0.25">
      <c r="F955" s="7" t="s">
        <v>2467</v>
      </c>
    </row>
    <row r="956" spans="6:6" ht="63" customHeight="1" x14ac:dyDescent="0.25">
      <c r="F956" s="7" t="s">
        <v>2468</v>
      </c>
    </row>
    <row r="957" spans="6:6" ht="47.25" customHeight="1" x14ac:dyDescent="0.25">
      <c r="F957" s="7" t="s">
        <v>2365</v>
      </c>
    </row>
    <row r="958" spans="6:6" ht="47.25" customHeight="1" x14ac:dyDescent="0.25">
      <c r="F958" s="7" t="s">
        <v>2469</v>
      </c>
    </row>
    <row r="959" spans="6:6" ht="63" customHeight="1" x14ac:dyDescent="0.25">
      <c r="F959" s="7" t="s">
        <v>2470</v>
      </c>
    </row>
    <row r="960" spans="6:6" ht="63" customHeight="1" x14ac:dyDescent="0.25">
      <c r="F960" s="7" t="s">
        <v>2471</v>
      </c>
    </row>
    <row r="961" spans="6:6" ht="63" customHeight="1" x14ac:dyDescent="0.25">
      <c r="F961" s="7" t="s">
        <v>2472</v>
      </c>
    </row>
    <row r="962" spans="6:6" ht="78.75" customHeight="1" x14ac:dyDescent="0.25">
      <c r="F962" s="7" t="s">
        <v>2473</v>
      </c>
    </row>
    <row r="963" spans="6:6" ht="31.5" customHeight="1" x14ac:dyDescent="0.25">
      <c r="F963" s="7" t="s">
        <v>2474</v>
      </c>
    </row>
    <row r="964" spans="6:6" ht="47.25" customHeight="1" x14ac:dyDescent="0.25">
      <c r="F964" s="7" t="s">
        <v>2475</v>
      </c>
    </row>
    <row r="965" spans="6:6" ht="31.5" customHeight="1" x14ac:dyDescent="0.25">
      <c r="F965" s="7" t="s">
        <v>2476</v>
      </c>
    </row>
    <row r="966" spans="6:6" ht="47.25" customHeight="1" x14ac:dyDescent="0.25">
      <c r="F966" s="7" t="s">
        <v>2477</v>
      </c>
    </row>
    <row r="967" spans="6:6" ht="31.5" customHeight="1" x14ac:dyDescent="0.25">
      <c r="F967" s="7" t="s">
        <v>2478</v>
      </c>
    </row>
    <row r="968" spans="6:6" ht="31.5" customHeight="1" x14ac:dyDescent="0.25">
      <c r="F968" s="7" t="s">
        <v>2479</v>
      </c>
    </row>
    <row r="969" spans="6:6" ht="31.5" customHeight="1" x14ac:dyDescent="0.25">
      <c r="F969" s="7" t="s">
        <v>2480</v>
      </c>
    </row>
    <row r="970" spans="6:6" ht="31.5" customHeight="1" x14ac:dyDescent="0.25">
      <c r="F970" s="7" t="s">
        <v>2481</v>
      </c>
    </row>
    <row r="971" spans="6:6" ht="47.25" customHeight="1" x14ac:dyDescent="0.25">
      <c r="F971" s="7" t="s">
        <v>2482</v>
      </c>
    </row>
    <row r="972" spans="6:6" ht="31.5" customHeight="1" x14ac:dyDescent="0.25">
      <c r="F972" s="7" t="s">
        <v>2483</v>
      </c>
    </row>
    <row r="973" spans="6:6" ht="31.5" customHeight="1" x14ac:dyDescent="0.25">
      <c r="F973" s="7" t="s">
        <v>2484</v>
      </c>
    </row>
    <row r="974" spans="6:6" ht="47.25" customHeight="1" x14ac:dyDescent="0.25">
      <c r="F974" s="7" t="s">
        <v>2485</v>
      </c>
    </row>
    <row r="975" spans="6:6" ht="47.25" customHeight="1" x14ac:dyDescent="0.25">
      <c r="F975" s="7" t="s">
        <v>2486</v>
      </c>
    </row>
    <row r="976" spans="6:6" ht="31.5" customHeight="1" x14ac:dyDescent="0.25">
      <c r="F976" s="7" t="s">
        <v>2487</v>
      </c>
    </row>
    <row r="977" spans="6:6" ht="63" customHeight="1" x14ac:dyDescent="0.25">
      <c r="F977" s="7" t="s">
        <v>2488</v>
      </c>
    </row>
    <row r="978" spans="6:6" ht="47.25" customHeight="1" x14ac:dyDescent="0.25">
      <c r="F978" s="7" t="s">
        <v>2489</v>
      </c>
    </row>
    <row r="979" spans="6:6" ht="47.25" customHeight="1" x14ac:dyDescent="0.25">
      <c r="F979" s="7" t="s">
        <v>2490</v>
      </c>
    </row>
    <row r="980" spans="6:6" ht="63" customHeight="1" x14ac:dyDescent="0.25">
      <c r="F980" s="7" t="s">
        <v>2491</v>
      </c>
    </row>
    <row r="981" spans="6:6" ht="94.5" customHeight="1" x14ac:dyDescent="0.25">
      <c r="F981" s="7" t="s">
        <v>2492</v>
      </c>
    </row>
    <row r="982" spans="6:6" ht="110.25" customHeight="1" x14ac:dyDescent="0.25">
      <c r="F982" s="7" t="s">
        <v>2493</v>
      </c>
    </row>
    <row r="983" spans="6:6" ht="47.25" customHeight="1" x14ac:dyDescent="0.25">
      <c r="F983" s="7" t="s">
        <v>2494</v>
      </c>
    </row>
    <row r="984" spans="6:6" ht="63" customHeight="1" x14ac:dyDescent="0.25">
      <c r="F984" s="7" t="s">
        <v>2495</v>
      </c>
    </row>
    <row r="985" spans="6:6" ht="31.5" customHeight="1" x14ac:dyDescent="0.25">
      <c r="F985" s="7" t="s">
        <v>2496</v>
      </c>
    </row>
    <row r="986" spans="6:6" ht="47.25" customHeight="1" x14ac:dyDescent="0.25">
      <c r="F986" s="7" t="s">
        <v>2497</v>
      </c>
    </row>
    <row r="987" spans="6:6" ht="47.25" customHeight="1" x14ac:dyDescent="0.25">
      <c r="F987" s="7" t="s">
        <v>2498</v>
      </c>
    </row>
    <row r="988" spans="6:6" ht="47.25" customHeight="1" x14ac:dyDescent="0.25">
      <c r="F988" s="7" t="s">
        <v>2499</v>
      </c>
    </row>
    <row r="989" spans="6:6" ht="63" customHeight="1" x14ac:dyDescent="0.25">
      <c r="F989" s="7" t="s">
        <v>2500</v>
      </c>
    </row>
    <row r="990" spans="6:6" ht="63" customHeight="1" x14ac:dyDescent="0.25">
      <c r="F990" s="7" t="s">
        <v>2501</v>
      </c>
    </row>
    <row r="991" spans="6:6" ht="31.5" customHeight="1" x14ac:dyDescent="0.25">
      <c r="F991" s="7" t="s">
        <v>2502</v>
      </c>
    </row>
    <row r="992" spans="6:6" ht="63" customHeight="1" x14ac:dyDescent="0.25">
      <c r="F992" s="7" t="s">
        <v>2503</v>
      </c>
    </row>
    <row r="993" spans="6:6" ht="47.25" customHeight="1" x14ac:dyDescent="0.25">
      <c r="F993" s="7" t="s">
        <v>2504</v>
      </c>
    </row>
    <row r="994" spans="6:6" ht="31.5" customHeight="1" x14ac:dyDescent="0.25">
      <c r="F994" s="7" t="s">
        <v>2505</v>
      </c>
    </row>
    <row r="995" spans="6:6" ht="47.25" customHeight="1" x14ac:dyDescent="0.25">
      <c r="F995" s="7" t="s">
        <v>2506</v>
      </c>
    </row>
    <row r="996" spans="6:6" ht="47.25" customHeight="1" x14ac:dyDescent="0.25">
      <c r="F996" s="7" t="s">
        <v>2507</v>
      </c>
    </row>
    <row r="997" spans="6:6" ht="47.25" customHeight="1" x14ac:dyDescent="0.25">
      <c r="F997" s="7" t="s">
        <v>2508</v>
      </c>
    </row>
    <row r="998" spans="6:6" ht="47.25" customHeight="1" x14ac:dyDescent="0.25">
      <c r="F998" s="7" t="s">
        <v>2509</v>
      </c>
    </row>
    <row r="999" spans="6:6" ht="31.5" customHeight="1" x14ac:dyDescent="0.25">
      <c r="F999" s="7" t="s">
        <v>2510</v>
      </c>
    </row>
    <row r="1000" spans="6:6" ht="63" customHeight="1" x14ac:dyDescent="0.25">
      <c r="F1000" s="7" t="s">
        <v>2511</v>
      </c>
    </row>
    <row r="1001" spans="6:6" ht="31.5" customHeight="1" x14ac:dyDescent="0.25">
      <c r="F1001" s="7" t="s">
        <v>2512</v>
      </c>
    </row>
    <row r="1002" spans="6:6" ht="63" customHeight="1" x14ac:dyDescent="0.25">
      <c r="F1002" s="7" t="s">
        <v>2513</v>
      </c>
    </row>
    <row r="1003" spans="6:6" ht="31.5" customHeight="1" x14ac:dyDescent="0.25">
      <c r="F1003" s="7" t="s">
        <v>2514</v>
      </c>
    </row>
    <row r="1004" spans="6:6" ht="31.5" customHeight="1" x14ac:dyDescent="0.25">
      <c r="F1004" s="7" t="s">
        <v>2515</v>
      </c>
    </row>
    <row r="1005" spans="6:6" ht="47.25" customHeight="1" x14ac:dyDescent="0.25">
      <c r="F1005" s="7" t="s">
        <v>2516</v>
      </c>
    </row>
    <row r="1006" spans="6:6" ht="31.5" customHeight="1" x14ac:dyDescent="0.25">
      <c r="F1006" s="7" t="s">
        <v>2517</v>
      </c>
    </row>
    <row r="1007" spans="6:6" ht="31.5" customHeight="1" x14ac:dyDescent="0.25">
      <c r="F1007" s="7" t="s">
        <v>2518</v>
      </c>
    </row>
    <row r="1008" spans="6:6" ht="31.5" customHeight="1" x14ac:dyDescent="0.25">
      <c r="F1008" s="7" t="s">
        <v>2519</v>
      </c>
    </row>
    <row r="1009" spans="6:6" ht="31.5" customHeight="1" x14ac:dyDescent="0.25">
      <c r="F1009" s="7" t="s">
        <v>2520</v>
      </c>
    </row>
    <row r="1010" spans="6:6" ht="31.5" customHeight="1" x14ac:dyDescent="0.25">
      <c r="F1010" s="7" t="s">
        <v>2521</v>
      </c>
    </row>
    <row r="1011" spans="6:6" ht="47.25" customHeight="1" x14ac:dyDescent="0.25">
      <c r="F1011" s="7" t="s">
        <v>2522</v>
      </c>
    </row>
    <row r="1012" spans="6:6" ht="31.5" customHeight="1" x14ac:dyDescent="0.25">
      <c r="F1012" s="7" t="s">
        <v>2523</v>
      </c>
    </row>
    <row r="1013" spans="6:6" ht="47.25" customHeight="1" x14ac:dyDescent="0.25">
      <c r="F1013" s="7" t="s">
        <v>2524</v>
      </c>
    </row>
    <row r="1014" spans="6:6" ht="31.5" customHeight="1" x14ac:dyDescent="0.25">
      <c r="F1014" s="7" t="s">
        <v>2525</v>
      </c>
    </row>
    <row r="1015" spans="6:6" ht="47.25" customHeight="1" x14ac:dyDescent="0.25">
      <c r="F1015" s="7" t="s">
        <v>2526</v>
      </c>
    </row>
    <row r="1016" spans="6:6" ht="47.25" customHeight="1" x14ac:dyDescent="0.25">
      <c r="F1016" s="7" t="s">
        <v>2527</v>
      </c>
    </row>
    <row r="1017" spans="6:6" ht="47.25" customHeight="1" x14ac:dyDescent="0.25">
      <c r="F1017" s="7" t="s">
        <v>2528</v>
      </c>
    </row>
    <row r="1018" spans="6:6" ht="31.5" customHeight="1" x14ac:dyDescent="0.25">
      <c r="F1018" s="7" t="s">
        <v>2529</v>
      </c>
    </row>
    <row r="1019" spans="6:6" ht="31.5" customHeight="1" x14ac:dyDescent="0.25">
      <c r="F1019" s="7" t="s">
        <v>2530</v>
      </c>
    </row>
    <row r="1020" spans="6:6" ht="47.25" customHeight="1" x14ac:dyDescent="0.25">
      <c r="F1020" s="7" t="s">
        <v>2531</v>
      </c>
    </row>
    <row r="1021" spans="6:6" ht="31.5" customHeight="1" x14ac:dyDescent="0.25">
      <c r="F1021" s="7" t="s">
        <v>2532</v>
      </c>
    </row>
    <row r="1022" spans="6:6" ht="31.5" customHeight="1" x14ac:dyDescent="0.25">
      <c r="F1022" s="7" t="s">
        <v>2533</v>
      </c>
    </row>
    <row r="1023" spans="6:6" ht="78.75" customHeight="1" x14ac:dyDescent="0.25">
      <c r="F1023" s="7" t="s">
        <v>2534</v>
      </c>
    </row>
    <row r="1024" spans="6:6" ht="47.25" customHeight="1" x14ac:dyDescent="0.25">
      <c r="F1024" s="7" t="s">
        <v>2535</v>
      </c>
    </row>
    <row r="1025" spans="6:6" ht="47.25" customHeight="1" x14ac:dyDescent="0.25">
      <c r="F1025" s="7" t="s">
        <v>2536</v>
      </c>
    </row>
    <row r="1026" spans="6:6" ht="31.5" customHeight="1" x14ac:dyDescent="0.25">
      <c r="F1026" s="7" t="s">
        <v>2537</v>
      </c>
    </row>
    <row r="1027" spans="6:6" ht="63" customHeight="1" x14ac:dyDescent="0.25">
      <c r="F1027" s="7" t="s">
        <v>2538</v>
      </c>
    </row>
    <row r="1028" spans="6:6" ht="47.25" customHeight="1" x14ac:dyDescent="0.25">
      <c r="F1028" s="7" t="s">
        <v>2539</v>
      </c>
    </row>
    <row r="1029" spans="6:6" ht="47.25" customHeight="1" x14ac:dyDescent="0.25">
      <c r="F1029" s="7" t="s">
        <v>2540</v>
      </c>
    </row>
    <row r="1030" spans="6:6" ht="47.25" customHeight="1" x14ac:dyDescent="0.25">
      <c r="F1030" s="7" t="s">
        <v>2541</v>
      </c>
    </row>
    <row r="1031" spans="6:6" ht="31.5" customHeight="1" x14ac:dyDescent="0.25">
      <c r="F1031" s="7" t="s">
        <v>2542</v>
      </c>
    </row>
    <row r="1032" spans="6:6" ht="31.5" customHeight="1" x14ac:dyDescent="0.25">
      <c r="F1032" s="7" t="s">
        <v>2543</v>
      </c>
    </row>
    <row r="1033" spans="6:6" ht="47.25" customHeight="1" x14ac:dyDescent="0.25">
      <c r="F1033" s="7" t="s">
        <v>2544</v>
      </c>
    </row>
    <row r="1034" spans="6:6" ht="47.25" customHeight="1" x14ac:dyDescent="0.25">
      <c r="F1034" s="7" t="s">
        <v>2545</v>
      </c>
    </row>
    <row r="1035" spans="6:6" ht="63" customHeight="1" x14ac:dyDescent="0.25">
      <c r="F1035" s="7" t="s">
        <v>2546</v>
      </c>
    </row>
    <row r="1036" spans="6:6" ht="47.25" customHeight="1" x14ac:dyDescent="0.25">
      <c r="F1036" s="7" t="s">
        <v>2547</v>
      </c>
    </row>
    <row r="1037" spans="6:6" ht="63" customHeight="1" x14ac:dyDescent="0.25">
      <c r="F1037" s="7" t="s">
        <v>2548</v>
      </c>
    </row>
    <row r="1038" spans="6:6" ht="31.5" customHeight="1" x14ac:dyDescent="0.25">
      <c r="F1038" s="7" t="s">
        <v>2549</v>
      </c>
    </row>
    <row r="1039" spans="6:6" ht="31.5" customHeight="1" x14ac:dyDescent="0.25">
      <c r="F1039" s="7" t="s">
        <v>2550</v>
      </c>
    </row>
    <row r="1040" spans="6:6" ht="31.5" customHeight="1" x14ac:dyDescent="0.25">
      <c r="F1040" s="7" t="s">
        <v>2551</v>
      </c>
    </row>
    <row r="1041" spans="6:6" ht="63" customHeight="1" x14ac:dyDescent="0.25">
      <c r="F1041" s="7" t="s">
        <v>2552</v>
      </c>
    </row>
    <row r="1042" spans="6:6" ht="31.5" customHeight="1" x14ac:dyDescent="0.25">
      <c r="F1042" s="7" t="s">
        <v>2553</v>
      </c>
    </row>
    <row r="1043" spans="6:6" ht="63" customHeight="1" x14ac:dyDescent="0.25">
      <c r="F1043" s="7" t="s">
        <v>2554</v>
      </c>
    </row>
    <row r="1044" spans="6:6" ht="47.25" customHeight="1" x14ac:dyDescent="0.25">
      <c r="F1044" s="7" t="s">
        <v>2555</v>
      </c>
    </row>
    <row r="1045" spans="6:6" ht="47.25" customHeight="1" x14ac:dyDescent="0.25">
      <c r="F1045" s="7" t="s">
        <v>2556</v>
      </c>
    </row>
    <row r="1046" spans="6:6" ht="47.25" customHeight="1" x14ac:dyDescent="0.25">
      <c r="F1046" s="7" t="s">
        <v>2557</v>
      </c>
    </row>
    <row r="1047" spans="6:6" ht="47.25" customHeight="1" x14ac:dyDescent="0.25">
      <c r="F1047" s="7" t="s">
        <v>2558</v>
      </c>
    </row>
    <row r="1048" spans="6:6" ht="63" customHeight="1" x14ac:dyDescent="0.25">
      <c r="F1048" s="7" t="s">
        <v>2559</v>
      </c>
    </row>
    <row r="1049" spans="6:6" ht="94.5" customHeight="1" x14ac:dyDescent="0.25">
      <c r="F1049" s="7" t="s">
        <v>2560</v>
      </c>
    </row>
    <row r="1050" spans="6:6" ht="47.25" customHeight="1" x14ac:dyDescent="0.25">
      <c r="F1050" s="7" t="s">
        <v>2561</v>
      </c>
    </row>
    <row r="1051" spans="6:6" ht="63" customHeight="1" x14ac:dyDescent="0.25">
      <c r="F1051" s="7" t="s">
        <v>2562</v>
      </c>
    </row>
    <row r="1052" spans="6:6" x14ac:dyDescent="0.25">
      <c r="F1052" s="7" t="s">
        <v>2563</v>
      </c>
    </row>
    <row r="1053" spans="6:6" ht="47.25" customHeight="1" x14ac:dyDescent="0.25">
      <c r="F1053" s="7" t="s">
        <v>2564</v>
      </c>
    </row>
    <row r="1054" spans="6:6" ht="47.25" customHeight="1" x14ac:dyDescent="0.25">
      <c r="F1054" s="7" t="s">
        <v>2565</v>
      </c>
    </row>
    <row r="1055" spans="6:6" ht="47.25" customHeight="1" x14ac:dyDescent="0.25">
      <c r="F1055" s="7" t="s">
        <v>2566</v>
      </c>
    </row>
    <row r="1056" spans="6:6" ht="63" customHeight="1" x14ac:dyDescent="0.25">
      <c r="F1056" s="7" t="s">
        <v>2567</v>
      </c>
    </row>
    <row r="1057" spans="6:6" ht="63" customHeight="1" x14ac:dyDescent="0.25">
      <c r="F1057" s="7" t="s">
        <v>2568</v>
      </c>
    </row>
    <row r="1058" spans="6:6" ht="47.25" customHeight="1" x14ac:dyDescent="0.25">
      <c r="F1058" s="7" t="s">
        <v>2569</v>
      </c>
    </row>
    <row r="1059" spans="6:6" ht="47.25" customHeight="1" x14ac:dyDescent="0.25">
      <c r="F1059" s="7" t="s">
        <v>2570</v>
      </c>
    </row>
    <row r="1060" spans="6:6" ht="31.5" customHeight="1" x14ac:dyDescent="0.25">
      <c r="F1060" s="7" t="s">
        <v>2571</v>
      </c>
    </row>
    <row r="1061" spans="6:6" ht="47.25" customHeight="1" x14ac:dyDescent="0.25">
      <c r="F1061" s="7" t="s">
        <v>2572</v>
      </c>
    </row>
    <row r="1062" spans="6:6" ht="63" customHeight="1" x14ac:dyDescent="0.25">
      <c r="F1062" s="7" t="s">
        <v>2573</v>
      </c>
    </row>
    <row r="1063" spans="6:6" ht="47.25" customHeight="1" x14ac:dyDescent="0.25">
      <c r="F1063" s="7" t="s">
        <v>2574</v>
      </c>
    </row>
    <row r="1064" spans="6:6" ht="31.5" customHeight="1" x14ac:dyDescent="0.25">
      <c r="F1064" s="7" t="s">
        <v>2575</v>
      </c>
    </row>
    <row r="1065" spans="6:6" ht="47.25" customHeight="1" x14ac:dyDescent="0.25">
      <c r="F1065" s="7" t="s">
        <v>2576</v>
      </c>
    </row>
    <row r="1066" spans="6:6" ht="31.5" customHeight="1" x14ac:dyDescent="0.25">
      <c r="F1066" s="7" t="s">
        <v>2577</v>
      </c>
    </row>
    <row r="1067" spans="6:6" ht="31.5" customHeight="1" x14ac:dyDescent="0.25">
      <c r="F1067" s="7" t="s">
        <v>2578</v>
      </c>
    </row>
    <row r="1068" spans="6:6" ht="47.25" customHeight="1" x14ac:dyDescent="0.25">
      <c r="F1068" s="7" t="s">
        <v>2579</v>
      </c>
    </row>
    <row r="1069" spans="6:6" ht="31.5" customHeight="1" x14ac:dyDescent="0.25">
      <c r="F1069" s="7" t="s">
        <v>2580</v>
      </c>
    </row>
    <row r="1070" spans="6:6" ht="47.25" customHeight="1" x14ac:dyDescent="0.25">
      <c r="F1070" s="7" t="s">
        <v>2581</v>
      </c>
    </row>
    <row r="1071" spans="6:6" ht="47.25" customHeight="1" x14ac:dyDescent="0.25">
      <c r="F1071" s="7" t="s">
        <v>2582</v>
      </c>
    </row>
    <row r="1072" spans="6:6" ht="63" customHeight="1" x14ac:dyDescent="0.25">
      <c r="F1072" s="7" t="s">
        <v>2583</v>
      </c>
    </row>
    <row r="1073" spans="6:6" ht="31.5" customHeight="1" x14ac:dyDescent="0.25">
      <c r="F1073" s="7" t="s">
        <v>2584</v>
      </c>
    </row>
    <row r="1074" spans="6:6" ht="31.5" customHeight="1" x14ac:dyDescent="0.25">
      <c r="F1074" s="7" t="s">
        <v>2585</v>
      </c>
    </row>
    <row r="1075" spans="6:6" ht="31.5" customHeight="1" x14ac:dyDescent="0.25">
      <c r="F1075" s="7" t="s">
        <v>2586</v>
      </c>
    </row>
    <row r="1076" spans="6:6" ht="63" customHeight="1" x14ac:dyDescent="0.25">
      <c r="F1076" s="7" t="s">
        <v>2587</v>
      </c>
    </row>
    <row r="1077" spans="6:6" ht="47.25" customHeight="1" x14ac:dyDescent="0.25">
      <c r="F1077" s="7" t="s">
        <v>2588</v>
      </c>
    </row>
    <row r="1078" spans="6:6" ht="63" customHeight="1" x14ac:dyDescent="0.25">
      <c r="F1078" s="7" t="s">
        <v>2589</v>
      </c>
    </row>
    <row r="1079" spans="6:6" ht="63" customHeight="1" x14ac:dyDescent="0.25">
      <c r="F1079" s="7" t="s">
        <v>2590</v>
      </c>
    </row>
    <row r="1080" spans="6:6" ht="47.25" customHeight="1" x14ac:dyDescent="0.25">
      <c r="F1080" s="7" t="s">
        <v>2591</v>
      </c>
    </row>
    <row r="1081" spans="6:6" ht="31.5" customHeight="1" x14ac:dyDescent="0.25">
      <c r="F1081" s="7" t="s">
        <v>2592</v>
      </c>
    </row>
    <row r="1082" spans="6:6" ht="31.5" customHeight="1" x14ac:dyDescent="0.25">
      <c r="F1082" s="7" t="s">
        <v>2593</v>
      </c>
    </row>
    <row r="1083" spans="6:6" ht="47.25" customHeight="1" x14ac:dyDescent="0.25">
      <c r="F1083" s="7" t="s">
        <v>2594</v>
      </c>
    </row>
    <row r="1084" spans="6:6" ht="31.5" customHeight="1" x14ac:dyDescent="0.25">
      <c r="F1084" s="7" t="s">
        <v>2595</v>
      </c>
    </row>
    <row r="1085" spans="6:6" ht="47.25" customHeight="1" x14ac:dyDescent="0.25">
      <c r="F1085" s="7" t="s">
        <v>2596</v>
      </c>
    </row>
    <row r="1086" spans="6:6" ht="31.5" customHeight="1" x14ac:dyDescent="0.25">
      <c r="F1086" s="7" t="s">
        <v>2597</v>
      </c>
    </row>
    <row r="1087" spans="6:6" ht="31.5" customHeight="1" x14ac:dyDescent="0.25">
      <c r="F1087" s="7" t="s">
        <v>2598</v>
      </c>
    </row>
    <row r="1088" spans="6:6" ht="31.5" customHeight="1" x14ac:dyDescent="0.25">
      <c r="F1088" s="7" t="s">
        <v>2599</v>
      </c>
    </row>
    <row r="1089" spans="6:6" ht="31.5" customHeight="1" x14ac:dyDescent="0.25">
      <c r="F1089" s="7" t="s">
        <v>2600</v>
      </c>
    </row>
    <row r="1090" spans="6:6" ht="31.5" customHeight="1" x14ac:dyDescent="0.25">
      <c r="F1090" s="7" t="s">
        <v>2601</v>
      </c>
    </row>
    <row r="1091" spans="6:6" ht="47.25" customHeight="1" x14ac:dyDescent="0.25">
      <c r="F1091" s="7" t="s">
        <v>2602</v>
      </c>
    </row>
    <row r="1092" spans="6:6" ht="47.25" customHeight="1" x14ac:dyDescent="0.25">
      <c r="F1092" s="7" t="s">
        <v>2603</v>
      </c>
    </row>
    <row r="1093" spans="6:6" ht="47.25" customHeight="1" x14ac:dyDescent="0.25">
      <c r="F1093" s="7" t="s">
        <v>2604</v>
      </c>
    </row>
    <row r="1094" spans="6:6" ht="63" customHeight="1" x14ac:dyDescent="0.25">
      <c r="F1094" s="7" t="s">
        <v>2605</v>
      </c>
    </row>
    <row r="1095" spans="6:6" ht="47.25" customHeight="1" x14ac:dyDescent="0.25">
      <c r="F1095" s="7" t="s">
        <v>2606</v>
      </c>
    </row>
    <row r="1096" spans="6:6" ht="47.25" customHeight="1" x14ac:dyDescent="0.25">
      <c r="F1096" s="7" t="s">
        <v>2607</v>
      </c>
    </row>
    <row r="1097" spans="6:6" ht="63" customHeight="1" x14ac:dyDescent="0.25">
      <c r="F1097" s="7" t="s">
        <v>2608</v>
      </c>
    </row>
    <row r="1098" spans="6:6" ht="47.25" customHeight="1" x14ac:dyDescent="0.25">
      <c r="F1098" s="7" t="s">
        <v>2609</v>
      </c>
    </row>
    <row r="1099" spans="6:6" ht="47.25" customHeight="1" x14ac:dyDescent="0.25">
      <c r="F1099" s="7" t="s">
        <v>2610</v>
      </c>
    </row>
    <row r="1100" spans="6:6" ht="63" customHeight="1" x14ac:dyDescent="0.25">
      <c r="F1100" s="7" t="s">
        <v>2611</v>
      </c>
    </row>
    <row r="1101" spans="6:6" ht="63" customHeight="1" x14ac:dyDescent="0.25">
      <c r="F1101" s="7" t="s">
        <v>2612</v>
      </c>
    </row>
    <row r="1102" spans="6:6" ht="47.25" customHeight="1" x14ac:dyDescent="0.25">
      <c r="F1102" s="7" t="s">
        <v>2613</v>
      </c>
    </row>
    <row r="1103" spans="6:6" ht="47.25" customHeight="1" x14ac:dyDescent="0.25">
      <c r="F1103" s="7" t="s">
        <v>2614</v>
      </c>
    </row>
    <row r="1104" spans="6:6" ht="31.5" customHeight="1" x14ac:dyDescent="0.25">
      <c r="F1104" s="7" t="s">
        <v>2615</v>
      </c>
    </row>
    <row r="1105" spans="6:6" ht="47.25" customHeight="1" x14ac:dyDescent="0.25">
      <c r="F1105" s="7" t="s">
        <v>2616</v>
      </c>
    </row>
    <row r="1106" spans="6:6" ht="63" customHeight="1" x14ac:dyDescent="0.25">
      <c r="F1106" s="7" t="s">
        <v>2617</v>
      </c>
    </row>
    <row r="1107" spans="6:6" ht="31.5" customHeight="1" x14ac:dyDescent="0.25">
      <c r="F1107" s="7" t="s">
        <v>2618</v>
      </c>
    </row>
    <row r="1108" spans="6:6" ht="31.5" customHeight="1" x14ac:dyDescent="0.25">
      <c r="F1108" s="7" t="s">
        <v>2619</v>
      </c>
    </row>
    <row r="1109" spans="6:6" ht="63" customHeight="1" x14ac:dyDescent="0.25">
      <c r="F1109" s="7" t="s">
        <v>2620</v>
      </c>
    </row>
    <row r="1110" spans="6:6" ht="31.5" customHeight="1" x14ac:dyDescent="0.25">
      <c r="F1110" s="7" t="s">
        <v>2621</v>
      </c>
    </row>
    <row r="1111" spans="6:6" ht="63" customHeight="1" x14ac:dyDescent="0.25">
      <c r="F1111" s="7" t="s">
        <v>2622</v>
      </c>
    </row>
    <row r="1112" spans="6:6" ht="47.25" customHeight="1" x14ac:dyDescent="0.25">
      <c r="F1112" s="7" t="s">
        <v>2623</v>
      </c>
    </row>
    <row r="1113" spans="6:6" ht="31.5" customHeight="1" x14ac:dyDescent="0.25">
      <c r="F1113" s="7" t="s">
        <v>2624</v>
      </c>
    </row>
    <row r="1114" spans="6:6" ht="63" customHeight="1" x14ac:dyDescent="0.25">
      <c r="F1114" s="7" t="s">
        <v>2625</v>
      </c>
    </row>
    <row r="1115" spans="6:6" ht="47.25" customHeight="1" x14ac:dyDescent="0.25">
      <c r="F1115" s="7" t="s">
        <v>2626</v>
      </c>
    </row>
    <row r="1116" spans="6:6" ht="31.5" customHeight="1" x14ac:dyDescent="0.25">
      <c r="F1116" s="7" t="s">
        <v>2627</v>
      </c>
    </row>
    <row r="1117" spans="6:6" ht="47.25" customHeight="1" x14ac:dyDescent="0.25">
      <c r="F1117" s="7" t="s">
        <v>2628</v>
      </c>
    </row>
    <row r="1118" spans="6:6" ht="31.5" customHeight="1" x14ac:dyDescent="0.25">
      <c r="F1118" s="7" t="s">
        <v>2629</v>
      </c>
    </row>
    <row r="1119" spans="6:6" ht="78.75" customHeight="1" x14ac:dyDescent="0.25">
      <c r="F1119" s="7" t="s">
        <v>2630</v>
      </c>
    </row>
    <row r="1120" spans="6:6" ht="47.25" customHeight="1" x14ac:dyDescent="0.25">
      <c r="F1120" s="7" t="s">
        <v>2631</v>
      </c>
    </row>
    <row r="1121" spans="6:6" ht="31.5" customHeight="1" x14ac:dyDescent="0.25">
      <c r="F1121" s="7" t="s">
        <v>2632</v>
      </c>
    </row>
    <row r="1122" spans="6:6" ht="31.5" customHeight="1" x14ac:dyDescent="0.25">
      <c r="F1122" s="7" t="s">
        <v>2633</v>
      </c>
    </row>
    <row r="1123" spans="6:6" ht="47.25" customHeight="1" x14ac:dyDescent="0.25">
      <c r="F1123" s="7" t="s">
        <v>2634</v>
      </c>
    </row>
    <row r="1124" spans="6:6" ht="63" customHeight="1" x14ac:dyDescent="0.25">
      <c r="F1124" s="7" t="s">
        <v>2635</v>
      </c>
    </row>
    <row r="1125" spans="6:6" ht="47.25" customHeight="1" x14ac:dyDescent="0.25">
      <c r="F1125" s="7" t="s">
        <v>2636</v>
      </c>
    </row>
    <row r="1126" spans="6:6" ht="47.25" customHeight="1" x14ac:dyDescent="0.25">
      <c r="F1126" s="7" t="s">
        <v>2637</v>
      </c>
    </row>
    <row r="1127" spans="6:6" ht="47.25" customHeight="1" x14ac:dyDescent="0.25">
      <c r="F1127" s="7" t="s">
        <v>2638</v>
      </c>
    </row>
    <row r="1128" spans="6:6" ht="47.25" customHeight="1" x14ac:dyDescent="0.25">
      <c r="F1128" s="7" t="s">
        <v>2639</v>
      </c>
    </row>
    <row r="1129" spans="6:6" ht="47.25" customHeight="1" x14ac:dyDescent="0.25">
      <c r="F1129" s="7" t="s">
        <v>2640</v>
      </c>
    </row>
    <row r="1130" spans="6:6" ht="63" customHeight="1" x14ac:dyDescent="0.25">
      <c r="F1130" s="7" t="s">
        <v>2641</v>
      </c>
    </row>
    <row r="1131" spans="6:6" ht="31.5" customHeight="1" x14ac:dyDescent="0.25">
      <c r="F1131" s="7" t="s">
        <v>2642</v>
      </c>
    </row>
    <row r="1132" spans="6:6" ht="31.5" customHeight="1" x14ac:dyDescent="0.25">
      <c r="F1132" s="7" t="s">
        <v>2643</v>
      </c>
    </row>
    <row r="1133" spans="6:6" ht="31.5" customHeight="1" x14ac:dyDescent="0.25">
      <c r="F1133" s="7" t="s">
        <v>2644</v>
      </c>
    </row>
    <row r="1134" spans="6:6" ht="47.25" customHeight="1" x14ac:dyDescent="0.25">
      <c r="F1134" s="7" t="s">
        <v>2645</v>
      </c>
    </row>
    <row r="1135" spans="6:6" ht="31.5" customHeight="1" x14ac:dyDescent="0.25">
      <c r="F1135" s="7" t="s">
        <v>2646</v>
      </c>
    </row>
    <row r="1136" spans="6:6" ht="31.5" customHeight="1" x14ac:dyDescent="0.25">
      <c r="F1136" s="7" t="s">
        <v>2647</v>
      </c>
    </row>
    <row r="1137" spans="6:6" ht="47.25" customHeight="1" x14ac:dyDescent="0.25">
      <c r="F1137" s="7" t="s">
        <v>2648</v>
      </c>
    </row>
    <row r="1138" spans="6:6" ht="31.5" customHeight="1" x14ac:dyDescent="0.25">
      <c r="F1138" s="7" t="s">
        <v>2649</v>
      </c>
    </row>
    <row r="1139" spans="6:6" ht="31.5" customHeight="1" x14ac:dyDescent="0.25">
      <c r="F1139" s="7" t="s">
        <v>2650</v>
      </c>
    </row>
    <row r="1140" spans="6:6" ht="31.5" customHeight="1" x14ac:dyDescent="0.25">
      <c r="F1140" s="7" t="s">
        <v>2651</v>
      </c>
    </row>
    <row r="1141" spans="6:6" ht="31.5" customHeight="1" x14ac:dyDescent="0.25">
      <c r="F1141" s="7" t="s">
        <v>2652</v>
      </c>
    </row>
    <row r="1142" spans="6:6" ht="47.25" customHeight="1" x14ac:dyDescent="0.25">
      <c r="F1142" s="7" t="s">
        <v>2653</v>
      </c>
    </row>
    <row r="1143" spans="6:6" ht="31.5" customHeight="1" x14ac:dyDescent="0.25">
      <c r="F1143" s="7" t="s">
        <v>2654</v>
      </c>
    </row>
    <row r="1144" spans="6:6" ht="31.5" customHeight="1" x14ac:dyDescent="0.25">
      <c r="F1144" s="7" t="s">
        <v>2655</v>
      </c>
    </row>
    <row r="1145" spans="6:6" ht="31.5" customHeight="1" x14ac:dyDescent="0.25">
      <c r="F1145" s="7" t="s">
        <v>2656</v>
      </c>
    </row>
    <row r="1146" spans="6:6" ht="47.25" customHeight="1" x14ac:dyDescent="0.25">
      <c r="F1146" s="7" t="s">
        <v>2657</v>
      </c>
    </row>
    <row r="1147" spans="6:6" ht="31.5" customHeight="1" x14ac:dyDescent="0.25">
      <c r="F1147" s="7" t="s">
        <v>2658</v>
      </c>
    </row>
    <row r="1148" spans="6:6" ht="78.75" customHeight="1" x14ac:dyDescent="0.25">
      <c r="F1148" s="7" t="s">
        <v>2659</v>
      </c>
    </row>
    <row r="1149" spans="6:6" ht="31.5" customHeight="1" x14ac:dyDescent="0.25">
      <c r="F1149" s="7" t="s">
        <v>2660</v>
      </c>
    </row>
    <row r="1150" spans="6:6" ht="63" customHeight="1" x14ac:dyDescent="0.25">
      <c r="F1150" s="7" t="s">
        <v>2661</v>
      </c>
    </row>
    <row r="1151" spans="6:6" ht="31.5" customHeight="1" x14ac:dyDescent="0.25">
      <c r="F1151" s="7" t="s">
        <v>2662</v>
      </c>
    </row>
    <row r="1152" spans="6:6" ht="31.5" customHeight="1" x14ac:dyDescent="0.25">
      <c r="F1152" s="7" t="s">
        <v>2663</v>
      </c>
    </row>
    <row r="1153" spans="6:6" ht="47.25" customHeight="1" x14ac:dyDescent="0.25">
      <c r="F1153" s="7" t="s">
        <v>2664</v>
      </c>
    </row>
    <row r="1154" spans="6:6" ht="47.25" customHeight="1" x14ac:dyDescent="0.25">
      <c r="F1154" s="7" t="s">
        <v>2665</v>
      </c>
    </row>
    <row r="1155" spans="6:6" ht="47.25" customHeight="1" x14ac:dyDescent="0.25">
      <c r="F1155" s="7" t="s">
        <v>2666</v>
      </c>
    </row>
    <row r="1156" spans="6:6" ht="31.5" customHeight="1" x14ac:dyDescent="0.25">
      <c r="F1156" s="7" t="s">
        <v>2667</v>
      </c>
    </row>
    <row r="1157" spans="6:6" ht="47.25" customHeight="1" x14ac:dyDescent="0.25">
      <c r="F1157" s="7" t="s">
        <v>2668</v>
      </c>
    </row>
    <row r="1158" spans="6:6" ht="31.5" customHeight="1" x14ac:dyDescent="0.25">
      <c r="F1158" s="7" t="s">
        <v>2669</v>
      </c>
    </row>
    <row r="1159" spans="6:6" ht="31.5" customHeight="1" x14ac:dyDescent="0.25">
      <c r="F1159" s="7" t="s">
        <v>2670</v>
      </c>
    </row>
    <row r="1160" spans="6:6" ht="47.25" customHeight="1" x14ac:dyDescent="0.25">
      <c r="F1160" s="7" t="s">
        <v>2671</v>
      </c>
    </row>
    <row r="1161" spans="6:6" ht="31.5" customHeight="1" x14ac:dyDescent="0.25">
      <c r="F1161" s="7" t="s">
        <v>2672</v>
      </c>
    </row>
    <row r="1162" spans="6:6" ht="63" customHeight="1" x14ac:dyDescent="0.25">
      <c r="F1162" s="7" t="s">
        <v>2673</v>
      </c>
    </row>
    <row r="1163" spans="6:6" ht="47.25" customHeight="1" x14ac:dyDescent="0.25">
      <c r="F1163" s="7" t="s">
        <v>2674</v>
      </c>
    </row>
    <row r="1164" spans="6:6" ht="47.25" customHeight="1" x14ac:dyDescent="0.25">
      <c r="F1164" s="7" t="s">
        <v>2675</v>
      </c>
    </row>
    <row r="1165" spans="6:6" ht="47.25" customHeight="1" x14ac:dyDescent="0.25">
      <c r="F1165" s="7" t="s">
        <v>2676</v>
      </c>
    </row>
    <row r="1166" spans="6:6" ht="31.5" customHeight="1" x14ac:dyDescent="0.25">
      <c r="F1166" s="7" t="s">
        <v>2677</v>
      </c>
    </row>
    <row r="1167" spans="6:6" ht="47.25" customHeight="1" x14ac:dyDescent="0.25">
      <c r="F1167" s="7" t="s">
        <v>2678</v>
      </c>
    </row>
    <row r="1168" spans="6:6" ht="31.5" customHeight="1" x14ac:dyDescent="0.25">
      <c r="F1168" s="7" t="s">
        <v>2679</v>
      </c>
    </row>
    <row r="1169" spans="6:6" ht="31.5" customHeight="1" x14ac:dyDescent="0.25">
      <c r="F1169" s="7" t="s">
        <v>2680</v>
      </c>
    </row>
    <row r="1170" spans="6:6" ht="47.25" customHeight="1" x14ac:dyDescent="0.25">
      <c r="F1170" s="7" t="s">
        <v>2681</v>
      </c>
    </row>
    <row r="1171" spans="6:6" ht="31.5" customHeight="1" x14ac:dyDescent="0.25">
      <c r="F1171" s="7" t="s">
        <v>2682</v>
      </c>
    </row>
    <row r="1172" spans="6:6" ht="47.25" customHeight="1" x14ac:dyDescent="0.25">
      <c r="F1172" s="7" t="s">
        <v>2683</v>
      </c>
    </row>
    <row r="1173" spans="6:6" ht="47.25" customHeight="1" x14ac:dyDescent="0.25">
      <c r="F1173" s="7" t="s">
        <v>2684</v>
      </c>
    </row>
    <row r="1174" spans="6:6" ht="31.5" customHeight="1" x14ac:dyDescent="0.25">
      <c r="F1174" s="7" t="s">
        <v>2685</v>
      </c>
    </row>
    <row r="1175" spans="6:6" ht="63" customHeight="1" x14ac:dyDescent="0.25">
      <c r="F1175" s="7" t="s">
        <v>2686</v>
      </c>
    </row>
    <row r="1176" spans="6:6" ht="47.25" customHeight="1" x14ac:dyDescent="0.25">
      <c r="F1176" s="7" t="s">
        <v>2687</v>
      </c>
    </row>
    <row r="1177" spans="6:6" ht="31.5" customHeight="1" x14ac:dyDescent="0.25">
      <c r="F1177" s="7" t="s">
        <v>2688</v>
      </c>
    </row>
    <row r="1178" spans="6:6" ht="47.25" customHeight="1" x14ac:dyDescent="0.25">
      <c r="F1178" s="7" t="s">
        <v>2689</v>
      </c>
    </row>
    <row r="1179" spans="6:6" ht="47.25" customHeight="1" x14ac:dyDescent="0.25">
      <c r="F1179" s="7" t="s">
        <v>2690</v>
      </c>
    </row>
    <row r="1180" spans="6:6" ht="47.25" customHeight="1" x14ac:dyDescent="0.25">
      <c r="F1180" s="7" t="s">
        <v>2691</v>
      </c>
    </row>
    <row r="1181" spans="6:6" ht="63" customHeight="1" x14ac:dyDescent="0.25">
      <c r="F1181" s="7" t="s">
        <v>2692</v>
      </c>
    </row>
    <row r="1182" spans="6:6" ht="63" customHeight="1" x14ac:dyDescent="0.25">
      <c r="F1182" s="7" t="s">
        <v>2693</v>
      </c>
    </row>
    <row r="1183" spans="6:6" ht="31.5" customHeight="1" x14ac:dyDescent="0.25">
      <c r="F1183" s="7" t="s">
        <v>2694</v>
      </c>
    </row>
    <row r="1184" spans="6:6" ht="31.5" customHeight="1" x14ac:dyDescent="0.25">
      <c r="F1184" s="7" t="s">
        <v>2695</v>
      </c>
    </row>
    <row r="1185" spans="6:6" ht="47.25" customHeight="1" x14ac:dyDescent="0.25">
      <c r="F1185" s="7" t="s">
        <v>2696</v>
      </c>
    </row>
    <row r="1186" spans="6:6" ht="47.25" customHeight="1" x14ac:dyDescent="0.25">
      <c r="F1186" s="7" t="s">
        <v>2697</v>
      </c>
    </row>
    <row r="1187" spans="6:6" ht="31.5" customHeight="1" x14ac:dyDescent="0.25">
      <c r="F1187" s="7" t="s">
        <v>2698</v>
      </c>
    </row>
    <row r="1188" spans="6:6" ht="47.25" customHeight="1" x14ac:dyDescent="0.25">
      <c r="F1188" s="7" t="s">
        <v>2699</v>
      </c>
    </row>
    <row r="1189" spans="6:6" ht="31.5" customHeight="1" x14ac:dyDescent="0.25">
      <c r="F1189" s="7" t="s">
        <v>2700</v>
      </c>
    </row>
    <row r="1190" spans="6:6" ht="47.25" customHeight="1" x14ac:dyDescent="0.25">
      <c r="F1190" s="7" t="s">
        <v>2701</v>
      </c>
    </row>
    <row r="1191" spans="6:6" ht="47.25" customHeight="1" x14ac:dyDescent="0.25">
      <c r="F1191" s="7" t="s">
        <v>2702</v>
      </c>
    </row>
    <row r="1192" spans="6:6" ht="47.25" customHeight="1" x14ac:dyDescent="0.25">
      <c r="F1192" s="7" t="s">
        <v>2703</v>
      </c>
    </row>
    <row r="1193" spans="6:6" ht="31.5" customHeight="1" x14ac:dyDescent="0.25">
      <c r="F1193" s="7" t="s">
        <v>2704</v>
      </c>
    </row>
    <row r="1194" spans="6:6" ht="47.25" customHeight="1" x14ac:dyDescent="0.25">
      <c r="F1194" s="7" t="s">
        <v>2705</v>
      </c>
    </row>
    <row r="1195" spans="6:6" ht="31.5" customHeight="1" x14ac:dyDescent="0.25">
      <c r="F1195" s="7" t="s">
        <v>2706</v>
      </c>
    </row>
    <row r="1196" spans="6:6" ht="47.25" customHeight="1" x14ac:dyDescent="0.25">
      <c r="F1196" s="7" t="s">
        <v>2707</v>
      </c>
    </row>
    <row r="1197" spans="6:6" ht="47.25" customHeight="1" x14ac:dyDescent="0.25">
      <c r="F1197" s="7" t="s">
        <v>2708</v>
      </c>
    </row>
    <row r="1198" spans="6:6" ht="63" customHeight="1" x14ac:dyDescent="0.25">
      <c r="F1198" s="7" t="s">
        <v>2709</v>
      </c>
    </row>
    <row r="1199" spans="6:6" ht="63" customHeight="1" x14ac:dyDescent="0.25">
      <c r="F1199" s="7" t="s">
        <v>2710</v>
      </c>
    </row>
    <row r="1200" spans="6:6" ht="47.25" customHeight="1" x14ac:dyDescent="0.25">
      <c r="F1200" s="7" t="s">
        <v>2711</v>
      </c>
    </row>
    <row r="1201" spans="6:6" ht="78.75" customHeight="1" x14ac:dyDescent="0.25">
      <c r="F1201" s="7" t="s">
        <v>2712</v>
      </c>
    </row>
    <row r="1202" spans="6:6" ht="63" customHeight="1" x14ac:dyDescent="0.25">
      <c r="F1202" s="7" t="s">
        <v>2713</v>
      </c>
    </row>
    <row r="1203" spans="6:6" ht="31.5" customHeight="1" x14ac:dyDescent="0.25">
      <c r="F1203" s="7" t="s">
        <v>2714</v>
      </c>
    </row>
    <row r="1204" spans="6:6" ht="31.5" customHeight="1" x14ac:dyDescent="0.25">
      <c r="F1204" s="7" t="s">
        <v>2715</v>
      </c>
    </row>
    <row r="1205" spans="6:6" ht="47.25" customHeight="1" x14ac:dyDescent="0.25">
      <c r="F1205" s="7" t="s">
        <v>2716</v>
      </c>
    </row>
    <row r="1206" spans="6:6" ht="31.5" customHeight="1" x14ac:dyDescent="0.25">
      <c r="F1206" s="7" t="s">
        <v>2717</v>
      </c>
    </row>
    <row r="1207" spans="6:6" ht="47.25" customHeight="1" x14ac:dyDescent="0.25">
      <c r="F1207" s="7" t="s">
        <v>2718</v>
      </c>
    </row>
    <row r="1208" spans="6:6" ht="47.25" customHeight="1" x14ac:dyDescent="0.25">
      <c r="F1208" s="7" t="s">
        <v>2719</v>
      </c>
    </row>
    <row r="1209" spans="6:6" ht="47.25" customHeight="1" x14ac:dyDescent="0.25">
      <c r="F1209" s="7" t="s">
        <v>2720</v>
      </c>
    </row>
    <row r="1210" spans="6:6" ht="47.25" customHeight="1" x14ac:dyDescent="0.25">
      <c r="F1210" s="7" t="s">
        <v>2721</v>
      </c>
    </row>
    <row r="1211" spans="6:6" ht="63" customHeight="1" x14ac:dyDescent="0.25">
      <c r="F1211" s="7" t="s">
        <v>2722</v>
      </c>
    </row>
    <row r="1212" spans="6:6" ht="47.25" customHeight="1" x14ac:dyDescent="0.25">
      <c r="F1212" s="7" t="s">
        <v>2723</v>
      </c>
    </row>
    <row r="1213" spans="6:6" ht="47.25" customHeight="1" x14ac:dyDescent="0.25">
      <c r="F1213" s="7" t="s">
        <v>2724</v>
      </c>
    </row>
    <row r="1214" spans="6:6" ht="47.25" customHeight="1" x14ac:dyDescent="0.25">
      <c r="F1214" s="7" t="s">
        <v>2725</v>
      </c>
    </row>
    <row r="1215" spans="6:6" ht="47.25" customHeight="1" x14ac:dyDescent="0.25">
      <c r="F1215" s="7" t="s">
        <v>2726</v>
      </c>
    </row>
    <row r="1216" spans="6:6" ht="47.25" customHeight="1" x14ac:dyDescent="0.25">
      <c r="F1216" s="7" t="s">
        <v>2727</v>
      </c>
    </row>
    <row r="1217" spans="6:6" ht="63" customHeight="1" x14ac:dyDescent="0.25">
      <c r="F1217" s="7" t="s">
        <v>2728</v>
      </c>
    </row>
    <row r="1218" spans="6:6" ht="31.5" customHeight="1" x14ac:dyDescent="0.25">
      <c r="F1218" s="7" t="s">
        <v>2729</v>
      </c>
    </row>
    <row r="1219" spans="6:6" ht="78.75" customHeight="1" x14ac:dyDescent="0.25">
      <c r="F1219" s="7" t="s">
        <v>2730</v>
      </c>
    </row>
    <row r="1220" spans="6:6" ht="63" customHeight="1" x14ac:dyDescent="0.25">
      <c r="F1220" s="7" t="s">
        <v>2731</v>
      </c>
    </row>
    <row r="1221" spans="6:6" ht="78.75" customHeight="1" x14ac:dyDescent="0.25">
      <c r="F1221" s="7" t="s">
        <v>2732</v>
      </c>
    </row>
    <row r="1222" spans="6:6" ht="31.5" customHeight="1" x14ac:dyDescent="0.25">
      <c r="F1222" s="7" t="s">
        <v>2733</v>
      </c>
    </row>
    <row r="1223" spans="6:6" ht="31.5" customHeight="1" x14ac:dyDescent="0.25">
      <c r="F1223" s="7" t="s">
        <v>2734</v>
      </c>
    </row>
    <row r="1224" spans="6:6" ht="47.25" customHeight="1" x14ac:dyDescent="0.25">
      <c r="F1224" s="7" t="s">
        <v>2735</v>
      </c>
    </row>
    <row r="1225" spans="6:6" ht="63" customHeight="1" x14ac:dyDescent="0.25">
      <c r="F1225" s="7" t="s">
        <v>2736</v>
      </c>
    </row>
    <row r="1226" spans="6:6" ht="31.5" customHeight="1" x14ac:dyDescent="0.25">
      <c r="F1226" s="7" t="s">
        <v>2737</v>
      </c>
    </row>
    <row r="1227" spans="6:6" ht="31.5" customHeight="1" x14ac:dyDescent="0.25">
      <c r="F1227" s="7" t="s">
        <v>2738</v>
      </c>
    </row>
    <row r="1228" spans="6:6" x14ac:dyDescent="0.25">
      <c r="F1228" s="7" t="s">
        <v>2739</v>
      </c>
    </row>
    <row r="1229" spans="6:6" ht="31.5" customHeight="1" x14ac:dyDescent="0.25">
      <c r="F1229" s="7" t="s">
        <v>2740</v>
      </c>
    </row>
    <row r="1230" spans="6:6" ht="63" customHeight="1" x14ac:dyDescent="0.25">
      <c r="F1230" s="7" t="s">
        <v>2741</v>
      </c>
    </row>
    <row r="1231" spans="6:6" ht="78.75" customHeight="1" x14ac:dyDescent="0.25">
      <c r="F1231" s="7" t="s">
        <v>2742</v>
      </c>
    </row>
    <row r="1232" spans="6:6" ht="47.25" customHeight="1" x14ac:dyDescent="0.25">
      <c r="F1232" s="7" t="s">
        <v>2743</v>
      </c>
    </row>
    <row r="1233" spans="6:6" ht="31.5" customHeight="1" x14ac:dyDescent="0.25">
      <c r="F1233" s="7" t="s">
        <v>2744</v>
      </c>
    </row>
    <row r="1234" spans="6:6" ht="63" customHeight="1" x14ac:dyDescent="0.25">
      <c r="F1234" s="7" t="s">
        <v>2745</v>
      </c>
    </row>
    <row r="1235" spans="6:6" ht="47.25" customHeight="1" x14ac:dyDescent="0.25">
      <c r="F1235" s="7" t="s">
        <v>2746</v>
      </c>
    </row>
    <row r="1236" spans="6:6" ht="63" customHeight="1" x14ac:dyDescent="0.25">
      <c r="F1236" s="7" t="s">
        <v>2747</v>
      </c>
    </row>
    <row r="1237" spans="6:6" ht="31.5" customHeight="1" x14ac:dyDescent="0.25">
      <c r="F1237" s="7" t="s">
        <v>2748</v>
      </c>
    </row>
    <row r="1238" spans="6:6" ht="31.5" customHeight="1" x14ac:dyDescent="0.25">
      <c r="F1238" s="7" t="s">
        <v>2749</v>
      </c>
    </row>
    <row r="1239" spans="6:6" ht="47.25" customHeight="1" x14ac:dyDescent="0.25">
      <c r="F1239" s="7" t="s">
        <v>2750</v>
      </c>
    </row>
    <row r="1240" spans="6:6" ht="47.25" customHeight="1" x14ac:dyDescent="0.25">
      <c r="F1240" s="7" t="s">
        <v>2751</v>
      </c>
    </row>
    <row r="1241" spans="6:6" ht="63" customHeight="1" x14ac:dyDescent="0.25">
      <c r="F1241" s="7" t="s">
        <v>2752</v>
      </c>
    </row>
    <row r="1242" spans="6:6" ht="31.5" customHeight="1" x14ac:dyDescent="0.25">
      <c r="F1242" s="7" t="s">
        <v>2753</v>
      </c>
    </row>
    <row r="1243" spans="6:6" ht="47.25" customHeight="1" x14ac:dyDescent="0.25">
      <c r="F1243" s="7" t="s">
        <v>2754</v>
      </c>
    </row>
    <row r="1244" spans="6:6" ht="31.5" customHeight="1" x14ac:dyDescent="0.25">
      <c r="F1244" s="7" t="s">
        <v>2755</v>
      </c>
    </row>
    <row r="1245" spans="6:6" ht="63" customHeight="1" x14ac:dyDescent="0.25">
      <c r="F1245" s="7" t="s">
        <v>2756</v>
      </c>
    </row>
    <row r="1246" spans="6:6" ht="47.25" customHeight="1" x14ac:dyDescent="0.25">
      <c r="F1246" s="7" t="s">
        <v>2757</v>
      </c>
    </row>
    <row r="1247" spans="6:6" ht="63" customHeight="1" x14ac:dyDescent="0.25">
      <c r="F1247" s="7" t="s">
        <v>2758</v>
      </c>
    </row>
    <row r="1248" spans="6:6" ht="31.5" customHeight="1" x14ac:dyDescent="0.25">
      <c r="F1248" s="7" t="s">
        <v>2759</v>
      </c>
    </row>
    <row r="1249" spans="6:6" ht="31.5" customHeight="1" x14ac:dyDescent="0.25">
      <c r="F1249" s="7" t="s">
        <v>2760</v>
      </c>
    </row>
    <row r="1250" spans="6:6" ht="63" customHeight="1" x14ac:dyDescent="0.25">
      <c r="F1250" s="7" t="s">
        <v>2761</v>
      </c>
    </row>
    <row r="1251" spans="6:6" ht="31.5" customHeight="1" x14ac:dyDescent="0.25">
      <c r="F1251" s="7" t="s">
        <v>2762</v>
      </c>
    </row>
    <row r="1252" spans="6:6" ht="47.25" customHeight="1" x14ac:dyDescent="0.25">
      <c r="F1252" s="7" t="s">
        <v>2763</v>
      </c>
    </row>
    <row r="1253" spans="6:6" ht="31.5" customHeight="1" x14ac:dyDescent="0.25">
      <c r="F1253" s="7" t="s">
        <v>2764</v>
      </c>
    </row>
    <row r="1254" spans="6:6" ht="31.5" customHeight="1" x14ac:dyDescent="0.25">
      <c r="F1254" s="7" t="s">
        <v>2765</v>
      </c>
    </row>
    <row r="1255" spans="6:6" ht="47.25" customHeight="1" x14ac:dyDescent="0.25">
      <c r="F1255" s="7" t="s">
        <v>2766</v>
      </c>
    </row>
    <row r="1256" spans="6:6" ht="31.5" customHeight="1" x14ac:dyDescent="0.25">
      <c r="F1256" s="7" t="s">
        <v>2767</v>
      </c>
    </row>
    <row r="1257" spans="6:6" ht="63" customHeight="1" x14ac:dyDescent="0.25">
      <c r="F1257" s="7" t="s">
        <v>2768</v>
      </c>
    </row>
    <row r="1258" spans="6:6" ht="31.5" customHeight="1" x14ac:dyDescent="0.25">
      <c r="F1258" s="7" t="s">
        <v>2769</v>
      </c>
    </row>
    <row r="1259" spans="6:6" ht="31.5" customHeight="1" x14ac:dyDescent="0.25">
      <c r="F1259" s="7" t="s">
        <v>2770</v>
      </c>
    </row>
    <row r="1260" spans="6:6" ht="47.25" customHeight="1" x14ac:dyDescent="0.25">
      <c r="F1260" s="7" t="s">
        <v>2771</v>
      </c>
    </row>
    <row r="1261" spans="6:6" ht="63" customHeight="1" x14ac:dyDescent="0.25">
      <c r="F1261" s="7" t="s">
        <v>2772</v>
      </c>
    </row>
    <row r="1262" spans="6:6" ht="31.5" customHeight="1" x14ac:dyDescent="0.25">
      <c r="F1262" s="7" t="s">
        <v>2773</v>
      </c>
    </row>
    <row r="1263" spans="6:6" ht="47.25" customHeight="1" x14ac:dyDescent="0.25">
      <c r="F1263" s="7" t="s">
        <v>2774</v>
      </c>
    </row>
    <row r="1264" spans="6:6" ht="47.25" customHeight="1" x14ac:dyDescent="0.25">
      <c r="F1264" s="7" t="s">
        <v>2775</v>
      </c>
    </row>
    <row r="1265" spans="6:6" ht="31.5" customHeight="1" x14ac:dyDescent="0.25">
      <c r="F1265" s="7" t="s">
        <v>2776</v>
      </c>
    </row>
    <row r="1266" spans="6:6" ht="47.25" customHeight="1" x14ac:dyDescent="0.25">
      <c r="F1266" s="7" t="s">
        <v>2777</v>
      </c>
    </row>
    <row r="1267" spans="6:6" ht="47.25" customHeight="1" x14ac:dyDescent="0.25">
      <c r="F1267" s="7" t="s">
        <v>2778</v>
      </c>
    </row>
    <row r="1268" spans="6:6" ht="31.5" customHeight="1" x14ac:dyDescent="0.25">
      <c r="F1268" s="7" t="s">
        <v>2779</v>
      </c>
    </row>
    <row r="1269" spans="6:6" ht="31.5" customHeight="1" x14ac:dyDescent="0.25">
      <c r="F1269" s="7" t="s">
        <v>2780</v>
      </c>
    </row>
    <row r="1270" spans="6:6" ht="47.25" customHeight="1" x14ac:dyDescent="0.25">
      <c r="F1270" s="7" t="s">
        <v>2781</v>
      </c>
    </row>
    <row r="1271" spans="6:6" ht="47.25" customHeight="1" x14ac:dyDescent="0.25">
      <c r="F1271" s="7" t="s">
        <v>2782</v>
      </c>
    </row>
    <row r="1272" spans="6:6" ht="63" customHeight="1" x14ac:dyDescent="0.25">
      <c r="F1272" s="7" t="s">
        <v>2783</v>
      </c>
    </row>
    <row r="1273" spans="6:6" ht="47.25" customHeight="1" x14ac:dyDescent="0.25">
      <c r="F1273" s="7" t="s">
        <v>2784</v>
      </c>
    </row>
    <row r="1274" spans="6:6" ht="31.5" customHeight="1" x14ac:dyDescent="0.25">
      <c r="F1274" s="7" t="s">
        <v>2785</v>
      </c>
    </row>
    <row r="1275" spans="6:6" ht="31.5" customHeight="1" x14ac:dyDescent="0.25">
      <c r="F1275" s="7" t="s">
        <v>2786</v>
      </c>
    </row>
    <row r="1276" spans="6:6" ht="31.5" customHeight="1" x14ac:dyDescent="0.25">
      <c r="F1276" s="7" t="s">
        <v>2787</v>
      </c>
    </row>
    <row r="1277" spans="6:6" ht="31.5" customHeight="1" x14ac:dyDescent="0.25">
      <c r="F1277" s="7" t="s">
        <v>2788</v>
      </c>
    </row>
    <row r="1278" spans="6:6" ht="47.25" customHeight="1" x14ac:dyDescent="0.25">
      <c r="F1278" s="7" t="s">
        <v>2789</v>
      </c>
    </row>
    <row r="1279" spans="6:6" ht="31.5" customHeight="1" x14ac:dyDescent="0.25">
      <c r="F1279" s="7" t="s">
        <v>2790</v>
      </c>
    </row>
    <row r="1280" spans="6:6" ht="47.25" customHeight="1" x14ac:dyDescent="0.25">
      <c r="F1280" s="7" t="s">
        <v>2791</v>
      </c>
    </row>
    <row r="1281" spans="6:6" ht="31.5" customHeight="1" x14ac:dyDescent="0.25">
      <c r="F1281" s="7" t="s">
        <v>2792</v>
      </c>
    </row>
    <row r="1282" spans="6:6" ht="47.25" customHeight="1" x14ac:dyDescent="0.25">
      <c r="F1282" s="7" t="s">
        <v>2793</v>
      </c>
    </row>
    <row r="1283" spans="6:6" ht="63" customHeight="1" x14ac:dyDescent="0.25">
      <c r="F1283" s="7" t="s">
        <v>2794</v>
      </c>
    </row>
    <row r="1284" spans="6:6" ht="63" customHeight="1" x14ac:dyDescent="0.25">
      <c r="F1284" s="7" t="s">
        <v>2795</v>
      </c>
    </row>
    <row r="1285" spans="6:6" ht="63" customHeight="1" x14ac:dyDescent="0.25">
      <c r="F1285" s="7" t="s">
        <v>2796</v>
      </c>
    </row>
    <row r="1286" spans="6:6" ht="63" customHeight="1" x14ac:dyDescent="0.25">
      <c r="F1286" s="7" t="s">
        <v>2797</v>
      </c>
    </row>
    <row r="1287" spans="6:6" ht="63" customHeight="1" x14ac:dyDescent="0.25">
      <c r="F1287" s="7" t="s">
        <v>2798</v>
      </c>
    </row>
    <row r="1288" spans="6:6" ht="47.25" customHeight="1" x14ac:dyDescent="0.25">
      <c r="F1288" s="7" t="s">
        <v>2799</v>
      </c>
    </row>
    <row r="1289" spans="6:6" ht="47.25" customHeight="1" x14ac:dyDescent="0.25">
      <c r="F1289" s="7" t="s">
        <v>2800</v>
      </c>
    </row>
    <row r="1290" spans="6:6" ht="47.25" customHeight="1" x14ac:dyDescent="0.25">
      <c r="F1290" s="7" t="s">
        <v>2801</v>
      </c>
    </row>
    <row r="1291" spans="6:6" ht="31.5" customHeight="1" x14ac:dyDescent="0.25">
      <c r="F1291" s="7" t="s">
        <v>2802</v>
      </c>
    </row>
    <row r="1292" spans="6:6" ht="31.5" customHeight="1" x14ac:dyDescent="0.25">
      <c r="F1292" s="7" t="s">
        <v>2803</v>
      </c>
    </row>
    <row r="1293" spans="6:6" ht="31.5" customHeight="1" x14ac:dyDescent="0.25">
      <c r="F1293" s="7" t="s">
        <v>2804</v>
      </c>
    </row>
    <row r="1294" spans="6:6" ht="31.5" customHeight="1" x14ac:dyDescent="0.25">
      <c r="F1294" s="7" t="s">
        <v>2805</v>
      </c>
    </row>
    <row r="1295" spans="6:6" ht="31.5" customHeight="1" x14ac:dyDescent="0.25">
      <c r="F1295" s="7" t="s">
        <v>2806</v>
      </c>
    </row>
    <row r="1296" spans="6:6" ht="47.25" customHeight="1" x14ac:dyDescent="0.25">
      <c r="F1296" s="7" t="s">
        <v>2807</v>
      </c>
    </row>
    <row r="1297" spans="6:6" ht="47.25" customHeight="1" x14ac:dyDescent="0.25">
      <c r="F1297" s="7" t="s">
        <v>2808</v>
      </c>
    </row>
    <row r="1298" spans="6:6" ht="31.5" customHeight="1" x14ac:dyDescent="0.25">
      <c r="F1298" s="7" t="s">
        <v>2809</v>
      </c>
    </row>
    <row r="1299" spans="6:6" ht="63" customHeight="1" x14ac:dyDescent="0.25">
      <c r="F1299" s="7" t="s">
        <v>2810</v>
      </c>
    </row>
    <row r="1300" spans="6:6" ht="47.25" customHeight="1" x14ac:dyDescent="0.25">
      <c r="F1300" s="7" t="s">
        <v>2811</v>
      </c>
    </row>
    <row r="1301" spans="6:6" ht="47.25" customHeight="1" x14ac:dyDescent="0.25">
      <c r="F1301" s="7" t="s">
        <v>2812</v>
      </c>
    </row>
    <row r="1302" spans="6:6" ht="63" customHeight="1" x14ac:dyDescent="0.25">
      <c r="F1302" s="7" t="s">
        <v>2813</v>
      </c>
    </row>
    <row r="1303" spans="6:6" ht="47.25" customHeight="1" x14ac:dyDescent="0.25">
      <c r="F1303" s="7" t="s">
        <v>2814</v>
      </c>
    </row>
    <row r="1304" spans="6:6" ht="47.25" customHeight="1" x14ac:dyDescent="0.25">
      <c r="F1304" s="7" t="s">
        <v>2815</v>
      </c>
    </row>
    <row r="1305" spans="6:6" ht="31.5" customHeight="1" x14ac:dyDescent="0.25">
      <c r="F1305" s="7" t="s">
        <v>2816</v>
      </c>
    </row>
    <row r="1306" spans="6:6" ht="63" customHeight="1" x14ac:dyDescent="0.25">
      <c r="F1306" s="7" t="s">
        <v>2817</v>
      </c>
    </row>
    <row r="1307" spans="6:6" ht="47.25" customHeight="1" x14ac:dyDescent="0.25">
      <c r="F1307" s="7" t="s">
        <v>2818</v>
      </c>
    </row>
    <row r="1308" spans="6:6" ht="47.25" customHeight="1" x14ac:dyDescent="0.25">
      <c r="F1308" s="7" t="s">
        <v>2819</v>
      </c>
    </row>
    <row r="1309" spans="6:6" ht="47.25" customHeight="1" x14ac:dyDescent="0.25">
      <c r="F1309" s="7" t="s">
        <v>2820</v>
      </c>
    </row>
    <row r="1310" spans="6:6" ht="31.5" customHeight="1" x14ac:dyDescent="0.25">
      <c r="F1310" s="7" t="s">
        <v>2821</v>
      </c>
    </row>
    <row r="1311" spans="6:6" ht="31.5" customHeight="1" x14ac:dyDescent="0.25">
      <c r="F1311" s="7" t="s">
        <v>2822</v>
      </c>
    </row>
    <row r="1312" spans="6:6" ht="47.25" customHeight="1" x14ac:dyDescent="0.25">
      <c r="F1312" s="7" t="s">
        <v>2823</v>
      </c>
    </row>
    <row r="1313" spans="6:6" ht="78.75" customHeight="1" x14ac:dyDescent="0.25">
      <c r="F1313" s="7" t="s">
        <v>2824</v>
      </c>
    </row>
    <row r="1314" spans="6:6" ht="31.5" customHeight="1" x14ac:dyDescent="0.25">
      <c r="F1314" s="7" t="s">
        <v>2825</v>
      </c>
    </row>
    <row r="1315" spans="6:6" ht="47.25" customHeight="1" x14ac:dyDescent="0.25">
      <c r="F1315" s="7" t="s">
        <v>2826</v>
      </c>
    </row>
    <row r="1316" spans="6:6" ht="31.5" customHeight="1" x14ac:dyDescent="0.25">
      <c r="F1316" s="7" t="s">
        <v>2827</v>
      </c>
    </row>
    <row r="1317" spans="6:6" ht="31.5" customHeight="1" x14ac:dyDescent="0.25">
      <c r="F1317" s="7" t="s">
        <v>2828</v>
      </c>
    </row>
    <row r="1318" spans="6:6" ht="31.5" customHeight="1" x14ac:dyDescent="0.25">
      <c r="F1318" s="7" t="s">
        <v>2829</v>
      </c>
    </row>
    <row r="1319" spans="6:6" ht="47.25" customHeight="1" x14ac:dyDescent="0.25">
      <c r="F1319" s="7" t="s">
        <v>2830</v>
      </c>
    </row>
    <row r="1320" spans="6:6" ht="31.5" customHeight="1" x14ac:dyDescent="0.25">
      <c r="F1320" s="7" t="s">
        <v>2831</v>
      </c>
    </row>
    <row r="1321" spans="6:6" ht="31.5" customHeight="1" x14ac:dyDescent="0.25">
      <c r="F1321" s="7" t="s">
        <v>2832</v>
      </c>
    </row>
    <row r="1322" spans="6:6" ht="47.25" customHeight="1" x14ac:dyDescent="0.25">
      <c r="F1322" s="7" t="s">
        <v>2833</v>
      </c>
    </row>
    <row r="1323" spans="6:6" ht="31.5" customHeight="1" x14ac:dyDescent="0.25">
      <c r="F1323" s="7" t="s">
        <v>2834</v>
      </c>
    </row>
    <row r="1324" spans="6:6" ht="31.5" customHeight="1" x14ac:dyDescent="0.25">
      <c r="F1324" s="7" t="s">
        <v>2835</v>
      </c>
    </row>
    <row r="1325" spans="6:6" ht="31.5" customHeight="1" x14ac:dyDescent="0.25">
      <c r="F1325" s="7" t="s">
        <v>2836</v>
      </c>
    </row>
    <row r="1326" spans="6:6" ht="63" customHeight="1" x14ac:dyDescent="0.25">
      <c r="F1326" s="7" t="s">
        <v>2837</v>
      </c>
    </row>
    <row r="1327" spans="6:6" ht="63" customHeight="1" x14ac:dyDescent="0.25">
      <c r="F1327" s="7" t="s">
        <v>2838</v>
      </c>
    </row>
    <row r="1328" spans="6:6" ht="47.25" customHeight="1" x14ac:dyDescent="0.25">
      <c r="F1328" s="7" t="s">
        <v>2839</v>
      </c>
    </row>
    <row r="1329" spans="6:6" ht="47.25" customHeight="1" x14ac:dyDescent="0.25">
      <c r="F1329" s="7" t="s">
        <v>2840</v>
      </c>
    </row>
    <row r="1330" spans="6:6" ht="47.25" customHeight="1" x14ac:dyDescent="0.25">
      <c r="F1330" s="7" t="s">
        <v>2841</v>
      </c>
    </row>
    <row r="1331" spans="6:6" ht="47.25" customHeight="1" x14ac:dyDescent="0.25">
      <c r="F1331" s="7" t="s">
        <v>2842</v>
      </c>
    </row>
    <row r="1332" spans="6:6" ht="31.5" customHeight="1" x14ac:dyDescent="0.25">
      <c r="F1332" s="7" t="s">
        <v>2843</v>
      </c>
    </row>
    <row r="1333" spans="6:6" ht="63" customHeight="1" x14ac:dyDescent="0.25">
      <c r="F1333" s="7" t="s">
        <v>2844</v>
      </c>
    </row>
    <row r="1334" spans="6:6" ht="47.25" customHeight="1" x14ac:dyDescent="0.25">
      <c r="F1334" s="7" t="s">
        <v>2845</v>
      </c>
    </row>
    <row r="1335" spans="6:6" ht="31.5" customHeight="1" x14ac:dyDescent="0.25">
      <c r="F1335" s="7" t="s">
        <v>2846</v>
      </c>
    </row>
    <row r="1336" spans="6:6" ht="47.25" customHeight="1" x14ac:dyDescent="0.25">
      <c r="F1336" s="7" t="s">
        <v>2847</v>
      </c>
    </row>
    <row r="1337" spans="6:6" ht="31.5" customHeight="1" x14ac:dyDescent="0.25">
      <c r="F1337" s="7" t="s">
        <v>2848</v>
      </c>
    </row>
    <row r="1338" spans="6:6" ht="47.25" customHeight="1" x14ac:dyDescent="0.25">
      <c r="F1338" s="7" t="s">
        <v>2849</v>
      </c>
    </row>
    <row r="1339" spans="6:6" ht="47.25" customHeight="1" x14ac:dyDescent="0.25">
      <c r="F1339" s="7" t="s">
        <v>2850</v>
      </c>
    </row>
    <row r="1340" spans="6:6" ht="31.5" customHeight="1" x14ac:dyDescent="0.25">
      <c r="F1340" s="7" t="s">
        <v>2851</v>
      </c>
    </row>
    <row r="1341" spans="6:6" ht="47.25" customHeight="1" x14ac:dyDescent="0.25">
      <c r="F1341" s="7" t="s">
        <v>2852</v>
      </c>
    </row>
    <row r="1342" spans="6:6" ht="47.25" customHeight="1" x14ac:dyDescent="0.25">
      <c r="F1342" s="7" t="s">
        <v>2853</v>
      </c>
    </row>
    <row r="1343" spans="6:6" ht="31.5" customHeight="1" x14ac:dyDescent="0.25">
      <c r="F1343" s="7" t="s">
        <v>2854</v>
      </c>
    </row>
    <row r="1344" spans="6:6" ht="31.5" customHeight="1" x14ac:dyDescent="0.25">
      <c r="F1344" s="7" t="s">
        <v>2855</v>
      </c>
    </row>
    <row r="1345" spans="6:6" ht="63" customHeight="1" x14ac:dyDescent="0.25">
      <c r="F1345" s="7" t="s">
        <v>2856</v>
      </c>
    </row>
    <row r="1346" spans="6:6" ht="47.25" customHeight="1" x14ac:dyDescent="0.25">
      <c r="F1346" s="7" t="s">
        <v>2857</v>
      </c>
    </row>
    <row r="1347" spans="6:6" ht="31.5" customHeight="1" x14ac:dyDescent="0.25">
      <c r="F1347" s="7" t="s">
        <v>2858</v>
      </c>
    </row>
    <row r="1348" spans="6:6" ht="47.25" customHeight="1" x14ac:dyDescent="0.25">
      <c r="F1348" s="7" t="s">
        <v>2859</v>
      </c>
    </row>
    <row r="1349" spans="6:6" ht="47.25" customHeight="1" x14ac:dyDescent="0.25">
      <c r="F1349" s="7" t="s">
        <v>2860</v>
      </c>
    </row>
    <row r="1350" spans="6:6" ht="63" customHeight="1" x14ac:dyDescent="0.25">
      <c r="F1350" s="7" t="s">
        <v>2861</v>
      </c>
    </row>
    <row r="1351" spans="6:6" ht="31.5" customHeight="1" x14ac:dyDescent="0.25">
      <c r="F1351" s="7" t="s">
        <v>2862</v>
      </c>
    </row>
    <row r="1352" spans="6:6" ht="31.5" customHeight="1" x14ac:dyDescent="0.25">
      <c r="F1352" s="7" t="s">
        <v>2863</v>
      </c>
    </row>
    <row r="1353" spans="6:6" ht="47.25" customHeight="1" x14ac:dyDescent="0.25">
      <c r="F1353" s="7" t="s">
        <v>2864</v>
      </c>
    </row>
    <row r="1354" spans="6:6" ht="31.5" customHeight="1" x14ac:dyDescent="0.25">
      <c r="F1354" s="7" t="s">
        <v>2865</v>
      </c>
    </row>
    <row r="1355" spans="6:6" ht="47.25" customHeight="1" x14ac:dyDescent="0.25">
      <c r="F1355" s="7" t="s">
        <v>2866</v>
      </c>
    </row>
    <row r="1356" spans="6:6" ht="47.25" customHeight="1" x14ac:dyDescent="0.25">
      <c r="F1356" s="7" t="s">
        <v>2867</v>
      </c>
    </row>
    <row r="1357" spans="6:6" ht="78.75" customHeight="1" x14ac:dyDescent="0.25">
      <c r="F1357" s="7" t="s">
        <v>2868</v>
      </c>
    </row>
    <row r="1358" spans="6:6" ht="31.5" customHeight="1" x14ac:dyDescent="0.25">
      <c r="F1358" s="7" t="s">
        <v>2869</v>
      </c>
    </row>
    <row r="1359" spans="6:6" ht="31.5" customHeight="1" x14ac:dyDescent="0.25">
      <c r="F1359" s="7" t="s">
        <v>2870</v>
      </c>
    </row>
    <row r="1360" spans="6:6" ht="63" customHeight="1" x14ac:dyDescent="0.25">
      <c r="F1360" s="7" t="s">
        <v>2871</v>
      </c>
    </row>
    <row r="1361" spans="6:6" ht="31.5" customHeight="1" x14ac:dyDescent="0.25">
      <c r="F1361" s="7" t="s">
        <v>2872</v>
      </c>
    </row>
    <row r="1362" spans="6:6" ht="31.5" customHeight="1" x14ac:dyDescent="0.25">
      <c r="F1362" s="7" t="s">
        <v>2873</v>
      </c>
    </row>
    <row r="1363" spans="6:6" ht="31.5" customHeight="1" x14ac:dyDescent="0.25">
      <c r="F1363" s="7" t="s">
        <v>2874</v>
      </c>
    </row>
    <row r="1364" spans="6:6" ht="47.25" customHeight="1" x14ac:dyDescent="0.25">
      <c r="F1364" s="7" t="s">
        <v>2875</v>
      </c>
    </row>
    <row r="1365" spans="6:6" ht="47.25" customHeight="1" x14ac:dyDescent="0.25">
      <c r="F1365" s="7" t="s">
        <v>2876</v>
      </c>
    </row>
    <row r="1366" spans="6:6" ht="31.5" customHeight="1" x14ac:dyDescent="0.25">
      <c r="F1366" s="7" t="s">
        <v>2877</v>
      </c>
    </row>
    <row r="1367" spans="6:6" ht="63" customHeight="1" x14ac:dyDescent="0.25">
      <c r="F1367" s="7" t="s">
        <v>2878</v>
      </c>
    </row>
    <row r="1368" spans="6:6" ht="47.25" customHeight="1" x14ac:dyDescent="0.25">
      <c r="F1368" s="7" t="s">
        <v>2879</v>
      </c>
    </row>
    <row r="1369" spans="6:6" ht="63" customHeight="1" x14ac:dyDescent="0.25">
      <c r="F1369" s="7" t="s">
        <v>2880</v>
      </c>
    </row>
    <row r="1370" spans="6:6" ht="63" customHeight="1" x14ac:dyDescent="0.25">
      <c r="F1370" s="7" t="s">
        <v>2881</v>
      </c>
    </row>
    <row r="1371" spans="6:6" ht="47.25" customHeight="1" x14ac:dyDescent="0.25">
      <c r="F1371" s="7" t="s">
        <v>2882</v>
      </c>
    </row>
    <row r="1372" spans="6:6" ht="31.5" customHeight="1" x14ac:dyDescent="0.25">
      <c r="F1372" s="7" t="s">
        <v>2883</v>
      </c>
    </row>
    <row r="1373" spans="6:6" ht="63" customHeight="1" x14ac:dyDescent="0.25">
      <c r="F1373" s="7" t="s">
        <v>2884</v>
      </c>
    </row>
    <row r="1374" spans="6:6" ht="47.25" customHeight="1" x14ac:dyDescent="0.25">
      <c r="F1374" s="7" t="s">
        <v>2885</v>
      </c>
    </row>
    <row r="1375" spans="6:6" ht="63" customHeight="1" x14ac:dyDescent="0.25">
      <c r="F1375" s="7" t="s">
        <v>2886</v>
      </c>
    </row>
    <row r="1376" spans="6:6" ht="47.25" customHeight="1" x14ac:dyDescent="0.25">
      <c r="F1376" s="7" t="s">
        <v>2887</v>
      </c>
    </row>
    <row r="1377" spans="6:6" ht="31.5" customHeight="1" x14ac:dyDescent="0.25">
      <c r="F1377" s="7" t="s">
        <v>2888</v>
      </c>
    </row>
    <row r="1378" spans="6:6" ht="47.25" customHeight="1" x14ac:dyDescent="0.25">
      <c r="F1378" s="7" t="s">
        <v>2889</v>
      </c>
    </row>
    <row r="1379" spans="6:6" ht="31.5" customHeight="1" x14ac:dyDescent="0.25">
      <c r="F1379" s="7" t="s">
        <v>2890</v>
      </c>
    </row>
    <row r="1380" spans="6:6" ht="63" customHeight="1" x14ac:dyDescent="0.25">
      <c r="F1380" s="7" t="s">
        <v>2891</v>
      </c>
    </row>
    <row r="1381" spans="6:6" ht="47.25" customHeight="1" x14ac:dyDescent="0.25">
      <c r="F1381" s="7" t="s">
        <v>2892</v>
      </c>
    </row>
    <row r="1382" spans="6:6" ht="31.5" customHeight="1" x14ac:dyDescent="0.25">
      <c r="F1382" s="7" t="s">
        <v>2893</v>
      </c>
    </row>
    <row r="1383" spans="6:6" ht="47.25" customHeight="1" x14ac:dyDescent="0.25">
      <c r="F1383" s="7" t="s">
        <v>2894</v>
      </c>
    </row>
    <row r="1384" spans="6:6" ht="31.5" customHeight="1" x14ac:dyDescent="0.25">
      <c r="F1384" s="7" t="s">
        <v>2895</v>
      </c>
    </row>
    <row r="1385" spans="6:6" ht="47.25" customHeight="1" x14ac:dyDescent="0.25">
      <c r="F1385" s="7" t="s">
        <v>2896</v>
      </c>
    </row>
    <row r="1386" spans="6:6" ht="47.25" customHeight="1" x14ac:dyDescent="0.25">
      <c r="F1386" s="7" t="s">
        <v>2897</v>
      </c>
    </row>
    <row r="1387" spans="6:6" ht="63" customHeight="1" x14ac:dyDescent="0.25">
      <c r="F1387" s="7" t="s">
        <v>2898</v>
      </c>
    </row>
    <row r="1388" spans="6:6" ht="47.25" customHeight="1" x14ac:dyDescent="0.25">
      <c r="F1388" s="7" t="s">
        <v>2899</v>
      </c>
    </row>
    <row r="1389" spans="6:6" ht="78.75" customHeight="1" x14ac:dyDescent="0.25">
      <c r="F1389" s="7" t="s">
        <v>2900</v>
      </c>
    </row>
    <row r="1390" spans="6:6" ht="31.5" customHeight="1" x14ac:dyDescent="0.25">
      <c r="F1390" s="7" t="s">
        <v>2901</v>
      </c>
    </row>
    <row r="1391" spans="6:6" ht="47.25" customHeight="1" x14ac:dyDescent="0.25">
      <c r="F1391" s="7" t="s">
        <v>2902</v>
      </c>
    </row>
    <row r="1392" spans="6:6" ht="47.25" customHeight="1" x14ac:dyDescent="0.25">
      <c r="F1392" s="7" t="s">
        <v>2903</v>
      </c>
    </row>
    <row r="1393" spans="6:6" ht="31.5" customHeight="1" x14ac:dyDescent="0.25">
      <c r="F1393" s="7" t="s">
        <v>2904</v>
      </c>
    </row>
    <row r="1394" spans="6:6" ht="47.25" customHeight="1" x14ac:dyDescent="0.25">
      <c r="F1394" s="7" t="s">
        <v>2905</v>
      </c>
    </row>
    <row r="1395" spans="6:6" ht="47.25" customHeight="1" x14ac:dyDescent="0.25">
      <c r="F1395" s="7" t="s">
        <v>2906</v>
      </c>
    </row>
    <row r="1396" spans="6:6" ht="47.25" customHeight="1" x14ac:dyDescent="0.25">
      <c r="F1396" s="7" t="s">
        <v>2907</v>
      </c>
    </row>
    <row r="1397" spans="6:6" ht="63" customHeight="1" x14ac:dyDescent="0.25">
      <c r="F1397" s="7" t="s">
        <v>2908</v>
      </c>
    </row>
    <row r="1398" spans="6:6" ht="63" customHeight="1" x14ac:dyDescent="0.25">
      <c r="F1398" s="7" t="s">
        <v>2909</v>
      </c>
    </row>
    <row r="1399" spans="6:6" ht="47.25" customHeight="1" x14ac:dyDescent="0.25">
      <c r="F1399" s="7" t="s">
        <v>2910</v>
      </c>
    </row>
    <row r="1400" spans="6:6" ht="47.25" customHeight="1" x14ac:dyDescent="0.25">
      <c r="F1400" s="7" t="s">
        <v>2911</v>
      </c>
    </row>
    <row r="1401" spans="6:6" ht="47.25" customHeight="1" x14ac:dyDescent="0.25">
      <c r="F1401" s="7" t="s">
        <v>2912</v>
      </c>
    </row>
    <row r="1402" spans="6:6" ht="31.5" customHeight="1" x14ac:dyDescent="0.25">
      <c r="F1402" s="7" t="s">
        <v>2913</v>
      </c>
    </row>
    <row r="1403" spans="6:6" ht="31.5" customHeight="1" x14ac:dyDescent="0.25">
      <c r="F1403" s="7" t="s">
        <v>2914</v>
      </c>
    </row>
    <row r="1404" spans="6:6" ht="31.5" customHeight="1" x14ac:dyDescent="0.25">
      <c r="F1404" s="7" t="s">
        <v>2915</v>
      </c>
    </row>
    <row r="1405" spans="6:6" ht="47.25" customHeight="1" x14ac:dyDescent="0.25">
      <c r="F1405" s="7" t="s">
        <v>2916</v>
      </c>
    </row>
    <row r="1406" spans="6:6" ht="31.5" customHeight="1" x14ac:dyDescent="0.25">
      <c r="F1406" s="7" t="s">
        <v>2917</v>
      </c>
    </row>
    <row r="1407" spans="6:6" ht="31.5" customHeight="1" x14ac:dyDescent="0.25">
      <c r="F1407" s="7" t="s">
        <v>2918</v>
      </c>
    </row>
    <row r="1408" spans="6:6" ht="63" customHeight="1" x14ac:dyDescent="0.25">
      <c r="F1408" s="7" t="s">
        <v>2919</v>
      </c>
    </row>
    <row r="1409" spans="6:6" ht="47.25" customHeight="1" x14ac:dyDescent="0.25">
      <c r="F1409" s="7" t="s">
        <v>2920</v>
      </c>
    </row>
    <row r="1410" spans="6:6" ht="31.5" customHeight="1" x14ac:dyDescent="0.25">
      <c r="F1410" s="7" t="s">
        <v>2921</v>
      </c>
    </row>
    <row r="1411" spans="6:6" ht="31.5" customHeight="1" x14ac:dyDescent="0.25">
      <c r="F1411" s="7" t="s">
        <v>2922</v>
      </c>
    </row>
    <row r="1412" spans="6:6" ht="31.5" customHeight="1" x14ac:dyDescent="0.25">
      <c r="F1412" s="7" t="s">
        <v>2923</v>
      </c>
    </row>
    <row r="1413" spans="6:6" ht="31.5" customHeight="1" x14ac:dyDescent="0.25">
      <c r="F1413" s="7" t="s">
        <v>2924</v>
      </c>
    </row>
    <row r="1414" spans="6:6" ht="31.5" customHeight="1" x14ac:dyDescent="0.25">
      <c r="F1414" s="7" t="s">
        <v>2925</v>
      </c>
    </row>
    <row r="1415" spans="6:6" ht="47.25" customHeight="1" x14ac:dyDescent="0.25">
      <c r="F1415" s="7" t="s">
        <v>2926</v>
      </c>
    </row>
    <row r="1416" spans="6:6" x14ac:dyDescent="0.25">
      <c r="F1416" s="7" t="s">
        <v>2927</v>
      </c>
    </row>
    <row r="1417" spans="6:6" ht="47.25" customHeight="1" x14ac:dyDescent="0.25">
      <c r="F1417" s="7" t="s">
        <v>2928</v>
      </c>
    </row>
    <row r="1418" spans="6:6" ht="47.25" customHeight="1" x14ac:dyDescent="0.25">
      <c r="F1418" s="7" t="s">
        <v>2929</v>
      </c>
    </row>
    <row r="1419" spans="6:6" ht="31.5" customHeight="1" x14ac:dyDescent="0.25">
      <c r="F1419" s="7" t="s">
        <v>2930</v>
      </c>
    </row>
    <row r="1420" spans="6:6" ht="47.25" customHeight="1" x14ac:dyDescent="0.25">
      <c r="F1420" s="7" t="s">
        <v>2931</v>
      </c>
    </row>
    <row r="1421" spans="6:6" ht="47.25" customHeight="1" x14ac:dyDescent="0.25">
      <c r="F1421" s="7" t="s">
        <v>2932</v>
      </c>
    </row>
    <row r="1422" spans="6:6" ht="63" customHeight="1" x14ac:dyDescent="0.25">
      <c r="F1422" s="7" t="s">
        <v>2933</v>
      </c>
    </row>
    <row r="1423" spans="6:6" ht="31.5" customHeight="1" x14ac:dyDescent="0.25">
      <c r="F1423" s="7" t="s">
        <v>2934</v>
      </c>
    </row>
    <row r="1424" spans="6:6" ht="47.25" customHeight="1" x14ac:dyDescent="0.25">
      <c r="F1424" s="7" t="s">
        <v>2935</v>
      </c>
    </row>
    <row r="1425" spans="6:6" ht="31.5" customHeight="1" x14ac:dyDescent="0.25">
      <c r="F1425" s="7" t="s">
        <v>2936</v>
      </c>
    </row>
    <row r="1426" spans="6:6" ht="47.25" customHeight="1" x14ac:dyDescent="0.25">
      <c r="F1426" s="7" t="s">
        <v>2937</v>
      </c>
    </row>
    <row r="1427" spans="6:6" ht="47.25" customHeight="1" x14ac:dyDescent="0.25">
      <c r="F1427" s="7" t="s">
        <v>2938</v>
      </c>
    </row>
    <row r="1428" spans="6:6" ht="47.25" customHeight="1" x14ac:dyDescent="0.25">
      <c r="F1428" s="7" t="s">
        <v>2939</v>
      </c>
    </row>
    <row r="1429" spans="6:6" ht="47.25" customHeight="1" x14ac:dyDescent="0.25">
      <c r="F1429" s="7" t="s">
        <v>2940</v>
      </c>
    </row>
    <row r="1430" spans="6:6" ht="63" customHeight="1" x14ac:dyDescent="0.25">
      <c r="F1430" s="7" t="s">
        <v>2941</v>
      </c>
    </row>
    <row r="1431" spans="6:6" ht="47.25" customHeight="1" x14ac:dyDescent="0.25">
      <c r="F1431" s="7" t="s">
        <v>2942</v>
      </c>
    </row>
    <row r="1432" spans="6:6" ht="47.25" customHeight="1" x14ac:dyDescent="0.25">
      <c r="F1432" s="7" t="s">
        <v>2943</v>
      </c>
    </row>
    <row r="1433" spans="6:6" ht="47.25" customHeight="1" x14ac:dyDescent="0.25">
      <c r="F1433" s="7" t="s">
        <v>2944</v>
      </c>
    </row>
    <row r="1434" spans="6:6" ht="63" customHeight="1" x14ac:dyDescent="0.25">
      <c r="F1434" s="7" t="s">
        <v>2945</v>
      </c>
    </row>
    <row r="1435" spans="6:6" ht="47.25" customHeight="1" x14ac:dyDescent="0.25">
      <c r="F1435" s="7" t="s">
        <v>2946</v>
      </c>
    </row>
    <row r="1436" spans="6:6" ht="31.5" customHeight="1" x14ac:dyDescent="0.25">
      <c r="F1436" s="7" t="s">
        <v>2947</v>
      </c>
    </row>
    <row r="1437" spans="6:6" ht="31.5" customHeight="1" x14ac:dyDescent="0.25">
      <c r="F1437" s="7" t="s">
        <v>2948</v>
      </c>
    </row>
    <row r="1438" spans="6:6" ht="47.25" customHeight="1" x14ac:dyDescent="0.25">
      <c r="F1438" s="7" t="s">
        <v>2949</v>
      </c>
    </row>
    <row r="1439" spans="6:6" ht="47.25" customHeight="1" x14ac:dyDescent="0.25">
      <c r="F1439" s="7" t="s">
        <v>2950</v>
      </c>
    </row>
    <row r="1440" spans="6:6" ht="63" customHeight="1" x14ac:dyDescent="0.25">
      <c r="F1440" s="7" t="s">
        <v>2951</v>
      </c>
    </row>
    <row r="1441" spans="6:6" ht="31.5" customHeight="1" x14ac:dyDescent="0.25">
      <c r="F1441" s="7" t="s">
        <v>2952</v>
      </c>
    </row>
    <row r="1442" spans="6:6" ht="47.25" customHeight="1" x14ac:dyDescent="0.25">
      <c r="F1442" s="7" t="s">
        <v>2953</v>
      </c>
    </row>
    <row r="1443" spans="6:6" ht="47.25" customHeight="1" x14ac:dyDescent="0.25">
      <c r="F1443" s="7" t="s">
        <v>2954</v>
      </c>
    </row>
    <row r="1444" spans="6:6" ht="47.25" customHeight="1" x14ac:dyDescent="0.25">
      <c r="F1444" s="7" t="s">
        <v>2955</v>
      </c>
    </row>
    <row r="1445" spans="6:6" ht="47.25" customHeight="1" x14ac:dyDescent="0.25">
      <c r="F1445" s="7" t="s">
        <v>2956</v>
      </c>
    </row>
    <row r="1446" spans="6:6" ht="47.25" customHeight="1" x14ac:dyDescent="0.25">
      <c r="F1446" s="7" t="s">
        <v>2957</v>
      </c>
    </row>
    <row r="1447" spans="6:6" ht="47.25" customHeight="1" x14ac:dyDescent="0.25">
      <c r="F1447" s="7" t="s">
        <v>2958</v>
      </c>
    </row>
    <row r="1448" spans="6:6" ht="47.25" customHeight="1" x14ac:dyDescent="0.25">
      <c r="F1448" s="7" t="s">
        <v>2959</v>
      </c>
    </row>
    <row r="1449" spans="6:6" ht="47.25" customHeight="1" x14ac:dyDescent="0.25">
      <c r="F1449" s="7" t="s">
        <v>2960</v>
      </c>
    </row>
    <row r="1450" spans="6:6" ht="47.25" customHeight="1" x14ac:dyDescent="0.25">
      <c r="F1450" s="7" t="s">
        <v>2961</v>
      </c>
    </row>
    <row r="1451" spans="6:6" ht="47.25" customHeight="1" x14ac:dyDescent="0.25">
      <c r="F1451" s="7" t="s">
        <v>2962</v>
      </c>
    </row>
    <row r="1452" spans="6:6" ht="47.25" customHeight="1" x14ac:dyDescent="0.25">
      <c r="F1452" s="7" t="s">
        <v>2963</v>
      </c>
    </row>
    <row r="1453" spans="6:6" ht="31.5" customHeight="1" x14ac:dyDescent="0.25">
      <c r="F1453" s="7" t="s">
        <v>2964</v>
      </c>
    </row>
    <row r="1454" spans="6:6" ht="47.25" customHeight="1" x14ac:dyDescent="0.25">
      <c r="F1454" s="7" t="s">
        <v>2965</v>
      </c>
    </row>
    <row r="1455" spans="6:6" ht="31.5" customHeight="1" x14ac:dyDescent="0.25">
      <c r="F1455" s="7" t="s">
        <v>2966</v>
      </c>
    </row>
    <row r="1456" spans="6:6" ht="47.25" customHeight="1" x14ac:dyDescent="0.25">
      <c r="F1456" s="7" t="s">
        <v>2967</v>
      </c>
    </row>
    <row r="1457" spans="6:6" ht="47.25" customHeight="1" x14ac:dyDescent="0.25">
      <c r="F1457" s="7" t="s">
        <v>2968</v>
      </c>
    </row>
    <row r="1458" spans="6:6" ht="31.5" customHeight="1" x14ac:dyDescent="0.25">
      <c r="F1458" s="7" t="s">
        <v>2969</v>
      </c>
    </row>
    <row r="1459" spans="6:6" ht="47.25" customHeight="1" x14ac:dyDescent="0.25">
      <c r="F1459" s="7" t="s">
        <v>2970</v>
      </c>
    </row>
    <row r="1460" spans="6:6" ht="47.25" customHeight="1" x14ac:dyDescent="0.25">
      <c r="F1460" s="7" t="s">
        <v>2971</v>
      </c>
    </row>
    <row r="1461" spans="6:6" ht="47.25" customHeight="1" x14ac:dyDescent="0.25">
      <c r="F1461" s="7" t="s">
        <v>2972</v>
      </c>
    </row>
    <row r="1462" spans="6:6" ht="47.25" customHeight="1" x14ac:dyDescent="0.25">
      <c r="F1462" s="7" t="s">
        <v>2973</v>
      </c>
    </row>
    <row r="1463" spans="6:6" ht="47.25" customHeight="1" x14ac:dyDescent="0.25">
      <c r="F1463" s="7" t="s">
        <v>2974</v>
      </c>
    </row>
    <row r="1464" spans="6:6" ht="31.5" customHeight="1" x14ac:dyDescent="0.25">
      <c r="F1464" s="7" t="s">
        <v>2975</v>
      </c>
    </row>
    <row r="1465" spans="6:6" ht="47.25" customHeight="1" x14ac:dyDescent="0.25">
      <c r="F1465" s="7" t="s">
        <v>2976</v>
      </c>
    </row>
    <row r="1466" spans="6:6" ht="47.25" customHeight="1" x14ac:dyDescent="0.25">
      <c r="F1466" s="7" t="s">
        <v>2977</v>
      </c>
    </row>
    <row r="1467" spans="6:6" ht="31.5" customHeight="1" x14ac:dyDescent="0.25">
      <c r="F1467" s="7" t="s">
        <v>2978</v>
      </c>
    </row>
    <row r="1468" spans="6:6" ht="47.25" customHeight="1" x14ac:dyDescent="0.25">
      <c r="F1468" s="7" t="s">
        <v>2979</v>
      </c>
    </row>
    <row r="1469" spans="6:6" ht="78.75" customHeight="1" x14ac:dyDescent="0.25">
      <c r="F1469" s="7" t="s">
        <v>2980</v>
      </c>
    </row>
    <row r="1470" spans="6:6" ht="47.25" customHeight="1" x14ac:dyDescent="0.25">
      <c r="F1470" s="7" t="s">
        <v>2981</v>
      </c>
    </row>
    <row r="1471" spans="6:6" ht="47.25" customHeight="1" x14ac:dyDescent="0.25">
      <c r="F1471" s="7" t="s">
        <v>2982</v>
      </c>
    </row>
    <row r="1472" spans="6:6" ht="47.25" customHeight="1" x14ac:dyDescent="0.25">
      <c r="F1472" s="7" t="s">
        <v>2983</v>
      </c>
    </row>
    <row r="1473" spans="6:6" ht="31.5" customHeight="1" x14ac:dyDescent="0.25">
      <c r="F1473" s="7" t="s">
        <v>2984</v>
      </c>
    </row>
    <row r="1474" spans="6:6" ht="63" customHeight="1" x14ac:dyDescent="0.25">
      <c r="F1474" s="7" t="s">
        <v>2985</v>
      </c>
    </row>
    <row r="1475" spans="6:6" ht="31.5" customHeight="1" x14ac:dyDescent="0.25">
      <c r="F1475" s="7" t="s">
        <v>2986</v>
      </c>
    </row>
    <row r="1476" spans="6:6" ht="63" customHeight="1" x14ac:dyDescent="0.25">
      <c r="F1476" s="7" t="s">
        <v>2987</v>
      </c>
    </row>
    <row r="1477" spans="6:6" ht="63" customHeight="1" x14ac:dyDescent="0.25">
      <c r="F1477" s="7" t="s">
        <v>2988</v>
      </c>
    </row>
    <row r="1478" spans="6:6" ht="31.5" customHeight="1" x14ac:dyDescent="0.25">
      <c r="F1478" s="7" t="s">
        <v>2989</v>
      </c>
    </row>
    <row r="1479" spans="6:6" ht="31.5" customHeight="1" x14ac:dyDescent="0.25">
      <c r="F1479" s="7" t="s">
        <v>2990</v>
      </c>
    </row>
    <row r="1480" spans="6:6" ht="31.5" customHeight="1" x14ac:dyDescent="0.25">
      <c r="F1480" s="7" t="s">
        <v>2991</v>
      </c>
    </row>
    <row r="1481" spans="6:6" ht="47.25" customHeight="1" x14ac:dyDescent="0.25">
      <c r="F1481" s="7" t="s">
        <v>2992</v>
      </c>
    </row>
    <row r="1482" spans="6:6" ht="94.5" customHeight="1" x14ac:dyDescent="0.25">
      <c r="F1482" s="7" t="s">
        <v>2993</v>
      </c>
    </row>
    <row r="1483" spans="6:6" ht="31.5" customHeight="1" x14ac:dyDescent="0.25">
      <c r="F1483" s="7" t="s">
        <v>2994</v>
      </c>
    </row>
    <row r="1484" spans="6:6" ht="31.5" customHeight="1" x14ac:dyDescent="0.25">
      <c r="F1484" s="7" t="s">
        <v>2995</v>
      </c>
    </row>
    <row r="1485" spans="6:6" ht="31.5" customHeight="1" x14ac:dyDescent="0.25">
      <c r="F1485" s="7" t="s">
        <v>2996</v>
      </c>
    </row>
  </sheetData>
  <conditionalFormatting sqref="A2:K312 A314:K403 A313:E313 G313:K313">
    <cfRule type="expression" dxfId="19" priority="25">
      <formula>ISEVEN(ROW())</formula>
    </cfRule>
  </conditionalFormatting>
  <conditionalFormatting sqref="F1:F235 F237:F312 F314:F1048576">
    <cfRule type="duplicateValues" dxfId="18" priority="23"/>
  </conditionalFormatting>
  <conditionalFormatting sqref="P243:P404 P413:P1048576 L243:O403 L2:P242">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03"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0" width="9.140625" style="1" customWidth="1"/>
    <col min="51" max="16384" width="9.140625" style="1"/>
  </cols>
  <sheetData>
    <row r="1" spans="1:46" s="13" customFormat="1" ht="20.25" customHeight="1" x14ac:dyDescent="0.25">
      <c r="A1" s="190" t="s">
        <v>2997</v>
      </c>
      <c r="B1" s="191" t="s">
        <v>2998</v>
      </c>
      <c r="C1" s="192" t="s">
        <v>2999</v>
      </c>
      <c r="D1" s="193" t="s">
        <v>3000</v>
      </c>
      <c r="E1" s="193" t="s">
        <v>3001</v>
      </c>
      <c r="F1" s="193" t="s">
        <v>3002</v>
      </c>
      <c r="G1" s="193" t="s">
        <v>3003</v>
      </c>
      <c r="H1" s="193" t="s">
        <v>3004</v>
      </c>
      <c r="I1" s="193" t="s">
        <v>3005</v>
      </c>
      <c r="J1" s="193" t="s">
        <v>3006</v>
      </c>
      <c r="K1" s="96" t="s">
        <v>3007</v>
      </c>
      <c r="L1" s="195" t="s">
        <v>3008</v>
      </c>
      <c r="M1" s="193" t="s">
        <v>3009</v>
      </c>
      <c r="N1" s="193" t="s">
        <v>3010</v>
      </c>
      <c r="O1" s="193" t="s">
        <v>3011</v>
      </c>
      <c r="P1" s="193" t="s">
        <v>3012</v>
      </c>
      <c r="Q1" s="193" t="s">
        <v>3013</v>
      </c>
      <c r="R1" s="193" t="s">
        <v>3014</v>
      </c>
      <c r="S1" s="97" t="s">
        <v>3015</v>
      </c>
      <c r="T1" s="193" t="s">
        <v>3016</v>
      </c>
      <c r="U1" s="193" t="s">
        <v>3017</v>
      </c>
      <c r="V1" s="193" t="s">
        <v>3018</v>
      </c>
      <c r="W1" s="193" t="s">
        <v>3019</v>
      </c>
      <c r="X1" s="193" t="s">
        <v>3020</v>
      </c>
      <c r="Y1" s="193" t="s">
        <v>3021</v>
      </c>
      <c r="Z1" s="193" t="s">
        <v>3022</v>
      </c>
      <c r="AA1" s="98" t="s">
        <v>3023</v>
      </c>
      <c r="AB1" s="193" t="s">
        <v>3024</v>
      </c>
      <c r="AC1" s="193" t="s">
        <v>3025</v>
      </c>
      <c r="AD1" s="193" t="s">
        <v>3026</v>
      </c>
      <c r="AE1" s="193" t="s">
        <v>3027</v>
      </c>
      <c r="AF1" s="193" t="s">
        <v>3028</v>
      </c>
      <c r="AG1" s="193" t="s">
        <v>3029</v>
      </c>
      <c r="AH1" s="193" t="s">
        <v>3030</v>
      </c>
      <c r="AI1" s="98" t="s">
        <v>3031</v>
      </c>
      <c r="AJ1" s="100" t="s">
        <v>3032</v>
      </c>
      <c r="AK1" s="100" t="s">
        <v>3033</v>
      </c>
      <c r="AL1" s="100" t="s">
        <v>3034</v>
      </c>
      <c r="AM1" s="100" t="s">
        <v>3035</v>
      </c>
      <c r="AN1" s="100" t="s">
        <v>3036</v>
      </c>
      <c r="AO1" s="100" t="s">
        <v>3037</v>
      </c>
      <c r="AP1" s="100" t="s">
        <v>3038</v>
      </c>
      <c r="AQ1" s="100" t="s">
        <v>3039</v>
      </c>
      <c r="AR1" s="99" t="s">
        <v>3040</v>
      </c>
      <c r="AS1" s="182" t="s">
        <v>3041</v>
      </c>
      <c r="AT1" s="183" t="s">
        <v>3042</v>
      </c>
    </row>
    <row r="2" spans="1:46" s="13" customFormat="1" ht="30.75" customHeight="1" x14ac:dyDescent="0.25">
      <c r="A2" s="20" t="s">
        <v>55</v>
      </c>
      <c r="B2" s="21" t="s">
        <v>61</v>
      </c>
      <c r="C2" s="11">
        <f>COUNTIF(Başvuru!J2:K1248,"Prof. Dr. Ayşe Nurten AKARSU")</f>
        <v>59</v>
      </c>
      <c r="D2" s="173">
        <f t="array" ref="D2">SUMPRODUCT(((Başvuru!J2:K1248)="Prof. Dr. Ayşe Nurten AKARSU")*(Başvuru!G2:G1248="Bireysel Araştırma")*(Başvuru!L2:L1248="ONAY"))</f>
        <v>25</v>
      </c>
      <c r="E2" s="173">
        <f t="array" ref="E2">SUMPRODUCT(((Başvuru!J2:K1248)="Prof. Dr. Ayşe Nurten AKARSU")*(Başvuru!G2:G1248="Bireysel Araştırma")*(Başvuru!L2:L1248="DÜZELTME"))</f>
        <v>19</v>
      </c>
      <c r="F2" s="173">
        <f t="array" ref="F2">SUMPRODUCT(((Başvuru!J2:K1248)="Prof. Dr. Ayşe Nurten AKARSU")*(Başvuru!G2:G1248="Bireysel Araştırma")*(Başvuru!L2:L1248="KAEK"))</f>
        <v>0</v>
      </c>
      <c r="G2" s="173">
        <f t="array" ref="G2">SUMPRODUCT(((Başvuru!J2:K1248)="Prof. Dr. Ayşe Nurten AKARSU")*(Başvuru!G2:G1248="Bireysel Araştırma")*(Başvuru!L2:L1248="GÖRÜŞ"))</f>
        <v>0</v>
      </c>
      <c r="H2" s="173">
        <f t="array" ref="H2">SUMPRODUCT(((Başvuru!J2:K1248)="Prof. Dr. Ayşe Nurten AKARSU")*(Başvuru!G2:G1248="Bireysel Araştırma")*(Başvuru!L2:L1248="RET"))</f>
        <v>1</v>
      </c>
      <c r="I2" s="173">
        <f t="array" ref="I2">SUMPRODUCT(((Başvuru!J2:K1248)="Prof. Dr. Ayşe Nurten AKARSU")*(Başvuru!G2:G1248="Bireysel Araştırma")*(Başvuru!L2:L1248="KAPSAM DIŞI"))</f>
        <v>0</v>
      </c>
      <c r="J2" s="173">
        <f t="array" ref="J2">SUMPRODUCT(((Başvuru!J2:K1248)="Prof. Dr. Ayşe Nurten AKARSU")*(Başvuru!G2:G1248="Bireysel Araştırma")*(Başvuru!L2:L1248="GERİ ÇEKİLDİ"))</f>
        <v>0</v>
      </c>
      <c r="K2" s="11">
        <f t="shared" ref="K2:K13" si="0">SUM(D2:J2)</f>
        <v>45</v>
      </c>
      <c r="L2" s="11">
        <f t="array" ref="L2">SUMPRODUCT(((Başvuru!J2:K1248)="Prof. Dr. Ayşe Nurten AKARSU")*(Başvuru!G2:G1248="Yüksek Lisans Tezi")*(Başvuru!L2:L1248="ONAY"))</f>
        <v>0</v>
      </c>
      <c r="M2" s="11">
        <f t="array" ref="M2">SUMPRODUCT(((Başvuru!J2:K1248)="Prof. Dr. Ayşe Nurten AKARSU")*(Başvuru!G2:G1248="Yüksek Lisans Tezi")*(Başvuru!L2:L1248="DÜZELTME"))</f>
        <v>3</v>
      </c>
      <c r="N2" s="11">
        <f t="array" ref="N2">SUMPRODUCT(((Başvuru!J2:K1248)="Prof. Dr. Ayşe Nurten AKARSU")*(Başvuru!G2:G1248="Yüksek Lisans Tezi")*(Başvuru!L2:L1248="KAEK"))</f>
        <v>0</v>
      </c>
      <c r="O2" s="11">
        <f t="array" ref="O2">SUMPRODUCT(((Başvuru!J2:K1248)="Prof. Dr. Ayşe Nurten AKARSU")*(Başvuru!G2:G1248="Yüksek Lisans Tezi")*(Başvuru!L2:L1248="GÖRÜŞ"))</f>
        <v>0</v>
      </c>
      <c r="P2" s="11">
        <f t="array" ref="P2">SUMPRODUCT(((Başvuru!J2:K1248)="Prof. Dr. Ayşe Nurten AKARSU")*(Başvuru!G2:G1248="Yüksek Lisans Tezi")*(Başvuru!L2:L1248="RET"))</f>
        <v>0</v>
      </c>
      <c r="Q2" s="11">
        <f t="array" ref="Q2">SUMPRODUCT(((Başvuru!J2:K1248)="Prof. Dr. Ayşe Nurten AKARSU")*(Başvuru!G2:G1248="Yüksek Lisans Tezi")*(Başvuru!L2:L1248="KAPSAM DIŞI"))</f>
        <v>0</v>
      </c>
      <c r="R2" s="11">
        <f t="array" ref="R2">SUMPRODUCT(((Başvuru!J2:K1248)="Prof. Dr. Ayşe Nurten AKARSU")*(Başvuru!G2:G1248="Yüksek Lisans Tezi")*(Başvuru!L2:L1248="GERİ ÇEKİLDİ"))</f>
        <v>0</v>
      </c>
      <c r="S2" s="11">
        <f t="shared" ref="S2:S13" si="1">SUM(L2:R2)</f>
        <v>3</v>
      </c>
      <c r="T2" s="11">
        <f t="array" ref="T2">SUMPRODUCT(((Başvuru!J2:K1248)="Prof. Dr. Ayşe Nurten AKARSU")*(Başvuru!G2:G1248="Doktora Tezi")*(Başvuru!L2:L1248="ONAY"))</f>
        <v>2</v>
      </c>
      <c r="U2" s="11">
        <f t="array" ref="U2">SUMPRODUCT(((Başvuru!J2:K1248)="Prof. Dr. Ayşe Nurten AKARSU")*(Başvuru!G2:G1248="Doktora Tezi")*(Başvuru!L2:L1248="DÜZELTME"))</f>
        <v>3</v>
      </c>
      <c r="V2" s="11">
        <f t="array" ref="V2">SUMPRODUCT(((Başvuru!J2:K1248)="Prof. Dr. Ayşe Nurten AKARSU")*(Başvuru!G2:G1248="Doktora Tezi")*(Başvuru!L2:L1248="KAEK"))</f>
        <v>0</v>
      </c>
      <c r="W2" s="11">
        <f t="array" ref="W2">SUMPRODUCT(((Başvuru!J2:K1248)="Prof. Dr. Ayşe Nurten AKARSU")*(Başvuru!G2:G1248="Doktora Tezi")*(Başvuru!L2:L1248="GÖRÜŞ"))</f>
        <v>0</v>
      </c>
      <c r="X2" s="11">
        <f t="array" ref="X2">SUMPRODUCT(((Başvuru!J2:K1248)="Prof. Dr. Ayşe Nurten AKARSU")*(Başvuru!G2:G1248="Doktora Tezi")*(Başvuru!L2:L1248="RET"))</f>
        <v>0</v>
      </c>
      <c r="Y2" s="11">
        <f t="array" ref="Y2">SUMPRODUCT(((Başvuru!J2:K1248)="Prof. Dr. Ayşe Nurten AKARSU")*(Başvuru!G2:G1248="Doktora Tezi")*(Başvuru!L2:L1248="KAPSAM DIŞI"))</f>
        <v>0</v>
      </c>
      <c r="Z2" s="11">
        <f t="array" ref="Z2">SUMPRODUCT(((Başvuru!J2:K1248)="Prof. Dr. Ayşe Nurten AKARSU")*(Başvuru!G2:G1248="Doktora Tezi")*(Başvuru!L2:L1248="GERİ ÇEKİLDİ"))</f>
        <v>0</v>
      </c>
      <c r="AA2" s="11">
        <f t="shared" ref="AA2:AA13" si="2">SUM(T2:Z2)</f>
        <v>5</v>
      </c>
      <c r="AB2" s="11">
        <f t="array" ref="AB2">SUMPRODUCT(((Başvuru!J2:K1248)="Prof. Dr. Ayşe Nurten AKARSU")*(Başvuru!G2:G1248="Uzmanlık Tezi")*(Başvuru!L2:L1248="ONAY"))</f>
        <v>3</v>
      </c>
      <c r="AC2" s="11">
        <f t="array" ref="AC2">SUMPRODUCT(((Başvuru!J2:K1248)="Prof. Dr. Ayşe Nurten AKARSU")*(Başvuru!G2:G1248="Uzmanlık Tezi")*(Başvuru!L2:L1248="DÜZELTME"))</f>
        <v>2</v>
      </c>
      <c r="AD2" s="11">
        <f t="array" ref="AD2">SUMPRODUCT(((Başvuru!J2:K1248)="Prof. Dr. Ayşe Nurten AKARSU")*(Başvuru!G2:G1248="Uzmanlık Tezi")*(Başvuru!L2:L1248="KAEK"))</f>
        <v>0</v>
      </c>
      <c r="AE2" s="11">
        <f t="array" ref="AE2">SUMPRODUCT(((Başvuru!J2:K1248)="Prof. Dr. Ayşe Nurten AKARSU")*(Başvuru!G2:G1248="Uzmanlık Tezi")*(Başvuru!L2:L1248="GÖRÜŞ"))</f>
        <v>0</v>
      </c>
      <c r="AF2" s="11">
        <f t="array" ref="AF2">SUMPRODUCT(((Başvuru!J2:K1248)="Prof. Dr. Ayşe Nurten AKARSU")*(Başvuru!G2:G1248="Uzmanlık Tezi")*(Başvuru!L2:L1248="RET"))</f>
        <v>1</v>
      </c>
      <c r="AG2" s="11">
        <f t="array" ref="AG2">SUMPRODUCT(((Başvuru!J2:K1248)="Prof. Dr. Ayşe Nurten AKARSU")*(Başvuru!G2:G1248="Uzmanlık Tezi")*(Başvuru!L2:L1248="KAPSAM DIŞI"))</f>
        <v>0</v>
      </c>
      <c r="AH2" s="11">
        <f t="array" ref="AH2">SUMPRODUCT(((Başvuru!J2:K1248)="Prof. Dr. Ayşe Nurten AKARSU")*(Başvuru!G2:G1248="Uzmanlık Tezi")*(Başvuru!L2:L1248="GERİ ÇEKİLDİ"))</f>
        <v>0</v>
      </c>
      <c r="AI2" s="11">
        <f t="shared" ref="AI2:AI13" si="3">SUM(AB2:AH2)</f>
        <v>6</v>
      </c>
      <c r="AJ2" s="28">
        <f t="shared" ref="AJ2:AJ13" si="4">SUM(D2,L2,T2,AB2)</f>
        <v>30</v>
      </c>
      <c r="AK2" s="28">
        <f t="shared" ref="AK2:AK13" si="5">SUM(E2,M2,U2,AC2)</f>
        <v>27</v>
      </c>
      <c r="AL2" s="28">
        <f t="shared" ref="AL2:AL13" si="6">SUM(F2,N2,V2,AD2)</f>
        <v>0</v>
      </c>
      <c r="AM2" s="28">
        <f t="shared" ref="AM2:AM13" si="7">SUM(G2,O2,W2,AE2)</f>
        <v>0</v>
      </c>
      <c r="AN2" s="28">
        <f t="shared" ref="AN2:AN13" si="8">SUM(H2,P2,X2,AF2)</f>
        <v>2</v>
      </c>
      <c r="AO2" s="28">
        <f t="shared" ref="AO2:AO13" si="9">SUM(I2,Q2,Y2,AG2)</f>
        <v>0</v>
      </c>
      <c r="AP2" s="28">
        <f t="shared" ref="AP2:AP13" si="10">SUM(J2,R2,Z2,AH2)</f>
        <v>0</v>
      </c>
      <c r="AQ2" s="174">
        <f t="shared" ref="AQ2:AQ14" si="11">SUM(AJ2:AP2)</f>
        <v>59</v>
      </c>
      <c r="AR2" s="11">
        <f t="shared" ref="AR2:AR13" si="12">C2-AQ2</f>
        <v>0</v>
      </c>
      <c r="AS2" s="184">
        <f>COUNTIF(Başvuru!$Q:$Q,$B2)</f>
        <v>15</v>
      </c>
      <c r="AT2" s="185">
        <f>COUNTIFS(Başvuru!$Q:$Q,$B2,Başvuru!$J:$J,"&lt;&gt;"&amp;$B2,Başvuru!$K:$K,"&lt;&gt;"&amp;$B2)</f>
        <v>2</v>
      </c>
    </row>
    <row r="3" spans="1:46" s="13" customFormat="1" ht="30" customHeight="1" x14ac:dyDescent="0.25">
      <c r="A3" s="20" t="s">
        <v>64</v>
      </c>
      <c r="B3" s="21" t="s">
        <v>109</v>
      </c>
      <c r="C3" s="11">
        <f>COUNTIF(Başvuru!J2:K1248,"Prof. Dr. M. Özgür UYANIK")</f>
        <v>65</v>
      </c>
      <c r="D3" s="173">
        <f t="array" ref="D3">SUMPRODUCT(((Başvuru!J2:K1248)="Prof. Dr. M. Özgür UYANIK")*(Başvuru!G2:G1248="Bireysel Araştırma")*(Başvuru!L2:L1248="ONAY"))</f>
        <v>23</v>
      </c>
      <c r="E3" s="173">
        <f t="array" ref="E3">SUMPRODUCT(((Başvuru!J2:K1248)="Prof. Dr. M. Özgür UYANIK")*(Başvuru!G2:G1248="Bireysel Araştırma")*(Başvuru!L2:L1248="DÜZELTME"))</f>
        <v>18</v>
      </c>
      <c r="F3" s="173">
        <f t="array" ref="F3">SUMPRODUCT(((Başvuru!J2:K1248)="Prof. Dr. M. Özgür UYANIK")*(Başvuru!G2:G1248="Bireysel Araştırma")*(Başvuru!L2:L1248="KAEK"))</f>
        <v>2</v>
      </c>
      <c r="G3" s="173">
        <f t="array" ref="G3">SUMPRODUCT(((Başvuru!J2:K1248)="Prof. Dr. M. Özgür UYANIK")*(Başvuru!G2:G1248="Bireysel Araştırma")*(Başvuru!L2:L1248="GÖRÜŞ"))</f>
        <v>0</v>
      </c>
      <c r="H3" s="173">
        <f t="array" ref="H3">SUMPRODUCT(((Başvuru!J2:K1248)="Prof. Dr. M. Özgür UYANIK")*(Başvuru!G2:G1248="Bireysel Araştırma")*(Başvuru!L2:L1248="RET"))</f>
        <v>2</v>
      </c>
      <c r="I3" s="173">
        <f t="array" ref="I3">SUMPRODUCT(((Başvuru!J2:K1248)="Prof. Dr. M. Özgür UYANIK")*(Başvuru!G2:G1248="Bireysel Araştırma")*(Başvuru!L2:L1248="KAPSAM DIŞI"))</f>
        <v>0</v>
      </c>
      <c r="J3" s="173">
        <f t="array" ref="J3">SUMPRODUCT(((Başvuru!J2:K1248)="Prof. Dr. M. Özgür UYANIK")*(Başvuru!G2:G1248="Bireysel Araştırma")*(Başvuru!L2:L1248="GERİ ÇEKİLDİ"))</f>
        <v>0</v>
      </c>
      <c r="K3" s="11">
        <f t="shared" si="0"/>
        <v>45</v>
      </c>
      <c r="L3" s="11">
        <f t="array" ref="L3">SUMPRODUCT(((Başvuru!J2:K1248)="Prof. Dr. M. Özgür UYANIK")*(Başvuru!G2:G1248="Yüksek Lisans Tezi")*(Başvuru!L2:L1248="ONAY"))</f>
        <v>1</v>
      </c>
      <c r="M3" s="11">
        <f t="array" ref="M3">SUMPRODUCT(((Başvuru!J2:K1248)="Prof. Dr. M. Özgür UYANIK")*(Başvuru!G2:G1248="Yüksek Lisans Tezi")*(Başvuru!L2:L1248="DÜZELTME"))</f>
        <v>0</v>
      </c>
      <c r="N3" s="11">
        <f t="array" ref="N3">SUMPRODUCT(((Başvuru!J2:K1248)="Prof. Dr. M. Özgür UYANIK")*(Başvuru!G2:G1248="Yüksek Lisans Tezi")*(Başvuru!L2:L1248="KAEK"))</f>
        <v>0</v>
      </c>
      <c r="O3" s="11">
        <f t="array" ref="O3">SUMPRODUCT(((Başvuru!J2:K1248)="Prof. Dr. M. Özgür UYANIK")*(Başvuru!G2:G1248="Yüksek Lisans Tezi")*(Başvuru!L2:L1248="GÖRÜŞ"))</f>
        <v>0</v>
      </c>
      <c r="P3" s="11">
        <f t="array" ref="P3">SUMPRODUCT(((Başvuru!J2:K1248)="Prof. Dr. M. Özgür UYANIK")*(Başvuru!G2:G1248="Yüksek Lisans Tezi")*(Başvuru!L2:L1248="RET"))</f>
        <v>0</v>
      </c>
      <c r="Q3" s="11">
        <f t="array" ref="Q3">SUMPRODUCT(((Başvuru!J2:K1248)="Prof. Dr. M. Özgür UYANIK")*(Başvuru!G2:G1248="Yüksek Lisans Tezi")*(Başvuru!L2:L1248="KAPSAM DIŞI"))</f>
        <v>0</v>
      </c>
      <c r="R3" s="11">
        <f t="array" ref="R3">SUMPRODUCT(((Başvuru!J2:K1248)="Prof. Dr. M. Özgür UYANIK")*(Başvuru!G2:G1248="Yüksek Lisans Tezi")*(Başvuru!L2:L1248="GERİ ÇEKİLDİ"))</f>
        <v>0</v>
      </c>
      <c r="S3" s="11">
        <f t="shared" si="1"/>
        <v>1</v>
      </c>
      <c r="T3" s="11">
        <f t="array" ref="T3">SUMPRODUCT(((Başvuru!J2:K1248)="Prof. Dr. M. Özgür UYANIK")*(Başvuru!G2:G1248="Doktora Tezi")*(Başvuru!L2:L1248="ONAY"))</f>
        <v>1</v>
      </c>
      <c r="U3" s="11">
        <f t="array" ref="U3">SUMPRODUCT(((Başvuru!J2:K1248)="Prof. Dr. M. Özgür UYANIK")*(Başvuru!G2:G1248="Doktora Tezi")*(Başvuru!L2:L1248="DÜZELTME"))</f>
        <v>1</v>
      </c>
      <c r="V3" s="11">
        <f t="array" ref="V3">SUMPRODUCT(((Başvuru!J2:K1248)="Prof. Dr. M. Özgür UYANIK")*(Başvuru!G2:G1248="Doktora Tezi")*(Başvuru!L2:L1248="KAEK"))</f>
        <v>0</v>
      </c>
      <c r="W3" s="11">
        <f t="array" ref="W3">SUMPRODUCT(((Başvuru!J2:K1248)="Prof. Dr. M. Özgür UYANIK")*(Başvuru!G2:G1248="Doktora Tezi")*(Başvuru!L2:L1248="GÖRÜŞ"))</f>
        <v>0</v>
      </c>
      <c r="X3" s="11">
        <f t="array" ref="X3">SUMPRODUCT(((Başvuru!J2:K1248)="Prof. Dr. M. Özgür UYANIK")*(Başvuru!G2:G1248="Doktora Tezi")*(Başvuru!L2:L1248="RET"))</f>
        <v>0</v>
      </c>
      <c r="Y3" s="11">
        <f t="array" ref="Y3">SUMPRODUCT(((Başvuru!J2:K1248)="Prof. Dr. M. Özgür UYANIK")*(Başvuru!G2:G1248="Doktora Tezi")*(Başvuru!L2:L1248="KAPSAM DIŞI"))</f>
        <v>0</v>
      </c>
      <c r="Z3" s="11">
        <f t="array" ref="Z3">SUMPRODUCT(((Başvuru!J2:K1248)="Prof. Dr. M. Özgür UYANIK")*(Başvuru!G2:G1248="Doktora Tezi")*(Başvuru!L2:L1248="GERİ ÇEKİLDİ"))</f>
        <v>0</v>
      </c>
      <c r="AA3" s="11">
        <f t="shared" si="2"/>
        <v>2</v>
      </c>
      <c r="AB3" s="11">
        <f t="array" ref="AB3">SUMPRODUCT(((Başvuru!J2:K1248)="Prof. Dr. M. Özgür UYANIK")*(Başvuru!G2:G1248="Uzmanlık Tezi")*(Başvuru!L2:L1248="ONAY"))</f>
        <v>12</v>
      </c>
      <c r="AC3" s="11">
        <f t="array" ref="AC3">SUMPRODUCT(((Başvuru!J2:K1248)="Prof. Dr. M. Özgür UYANIK")*(Başvuru!G2:G1248="Uzmanlık Tezi")*(Başvuru!L2:L1248="DÜZELTME"))</f>
        <v>3</v>
      </c>
      <c r="AD3" s="11">
        <f t="array" ref="AD3">SUMPRODUCT(((Başvuru!J2:K1248)="Prof. Dr. M. Özgür UYANIK")*(Başvuru!G2:G1248="Uzmanlık Tezi")*(Başvuru!L2:L1248="KAEK"))</f>
        <v>1</v>
      </c>
      <c r="AE3" s="11">
        <f t="array" ref="AE3">SUMPRODUCT(((Başvuru!J2:K1248)="Prof. Dr. M. Özgür UYANIK")*(Başvuru!G2:G1248="Uzmanlık Tezi")*(Başvuru!L2:L1248="GÖRÜŞ"))</f>
        <v>1</v>
      </c>
      <c r="AF3" s="11">
        <f t="array" ref="AF3">SUMPRODUCT(((Başvuru!J2:K1248)="Prof. Dr. M. Özgür UYANIK")*(Başvuru!G2:G1248="Uzmanlık Tezi")*(Başvuru!L2:L1248="RET"))</f>
        <v>0</v>
      </c>
      <c r="AG3" s="11">
        <f t="array" ref="AG3">SUMPRODUCT(((Başvuru!J2:K1248)="Prof. Dr. M. Özgür UYANIK")*(Başvuru!G2:G1248="Uzmanlık Tezi")*(Başvuru!L2:L1248="KAPSAM DIŞI"))</f>
        <v>0</v>
      </c>
      <c r="AH3" s="11">
        <f t="array" ref="AH3">SUMPRODUCT(((Başvuru!J2:K1248)="Prof. Dr. M. Özgür UYANIK")*(Başvuru!G2:G1248="Uzmanlık Tezi")*(Başvuru!L2:L1248="GERİ ÇEKİLDİ"))</f>
        <v>0</v>
      </c>
      <c r="AI3" s="11">
        <f t="shared" si="3"/>
        <v>17</v>
      </c>
      <c r="AJ3" s="28">
        <f t="shared" si="4"/>
        <v>37</v>
      </c>
      <c r="AK3" s="28">
        <f t="shared" si="5"/>
        <v>22</v>
      </c>
      <c r="AL3" s="28">
        <f t="shared" si="6"/>
        <v>3</v>
      </c>
      <c r="AM3" s="28">
        <f t="shared" si="7"/>
        <v>1</v>
      </c>
      <c r="AN3" s="28">
        <f t="shared" si="8"/>
        <v>2</v>
      </c>
      <c r="AO3" s="28">
        <f t="shared" si="9"/>
        <v>0</v>
      </c>
      <c r="AP3" s="28">
        <f t="shared" si="10"/>
        <v>0</v>
      </c>
      <c r="AQ3" s="174">
        <f t="shared" si="11"/>
        <v>65</v>
      </c>
      <c r="AR3" s="11">
        <f t="shared" si="12"/>
        <v>0</v>
      </c>
      <c r="AS3" s="184">
        <f>COUNTIF(Başvuru!$Q:$Q,$B3)</f>
        <v>1</v>
      </c>
      <c r="AT3" s="185">
        <f>COUNTIFS(Başvuru!$Q:$Q,$B3,Başvuru!$J:$J,"&lt;&gt;"&amp;$B3,Başvuru!$K:$K,"&lt;&gt;"&amp;$B3)</f>
        <v>0</v>
      </c>
    </row>
    <row r="4" spans="1:46" s="13" customFormat="1" ht="30" customHeight="1" x14ac:dyDescent="0.25">
      <c r="A4" s="20" t="s">
        <v>71</v>
      </c>
      <c r="B4" s="21" t="s">
        <v>95</v>
      </c>
      <c r="C4" s="11">
        <f>COUNTIF(Başvuru!J2:K1248,"Prof. Dr. Melih Önder BABAOĞLU")</f>
        <v>49</v>
      </c>
      <c r="D4" s="173">
        <f t="array" ref="D4">SUMPRODUCT(((Başvuru!J2:K1248)="Prof. Dr. Melih Önder BABAOĞLU")*(Başvuru!G2:G1248="Bireysel Araştırma")*(Başvuru!L2:L1248="ONAY"))</f>
        <v>15</v>
      </c>
      <c r="E4" s="173">
        <f t="array" ref="E4">SUMPRODUCT(((Başvuru!J2:K1248)="Prof. Dr. Melih Önder BABAOĞLU")*(Başvuru!G2:G1248="Bireysel Araştırma")*(Başvuru!L2:L1248="DÜZELTME"))</f>
        <v>19</v>
      </c>
      <c r="F4" s="173">
        <f t="array" ref="F4">SUMPRODUCT(((Başvuru!J2:K1248)="Prof. Dr. Melih Önder BABAOĞLU")*(Başvuru!G2:G1248="Bireysel Araştırma")*(Başvuru!L2:L1248="KAEK"))</f>
        <v>0</v>
      </c>
      <c r="G4" s="173">
        <f t="array" ref="G4">SUMPRODUCT(((Başvuru!J2:K1248)="Prof. Dr. Melih Önder BABAOĞLU")*(Başvuru!G2:G1248="Bireysel Araştırma")*(Başvuru!L2:L1248="GÖRÜŞ"))</f>
        <v>1</v>
      </c>
      <c r="H4" s="173">
        <f t="array" ref="H4">SUMPRODUCT(((Başvuru!J2:K1248)="Prof. Dr. Melih Önder BABAOĞLU")*(Başvuru!G2:G1248="Bireysel Araştırma")*(Başvuru!L2:L1248="RET"))</f>
        <v>2</v>
      </c>
      <c r="I4" s="173">
        <f t="array" ref="I4">SUMPRODUCT(((Başvuru!J2:K1248)="Prof. Dr. Melih Önder BABAOĞLU")*(Başvuru!G2:G1248="Bireysel Araştırma")*(Başvuru!L2:L1248="KAPSAM DIŞI"))</f>
        <v>0</v>
      </c>
      <c r="J4" s="173">
        <f t="array" ref="J4">SUMPRODUCT(((Başvuru!J2:K1248)="Prof. Dr. Melih Önder BABAOĞLU")*(Başvuru!G2:G1248="Bireysel Araştırma")*(Başvuru!L2:L1248="GERİ ÇEKİLDİ"))</f>
        <v>0</v>
      </c>
      <c r="K4" s="11">
        <f t="shared" si="0"/>
        <v>37</v>
      </c>
      <c r="L4" s="11">
        <f t="array" ref="L4">SUMPRODUCT(((Başvuru!J2:K1248)="Prof. Dr. Melih Önder BABAOĞLU")*(Başvuru!G2:G1248="Yüksek Lisans Tezi")*(Başvuru!L2:L1248="ONAY"))</f>
        <v>0</v>
      </c>
      <c r="M4" s="11">
        <f t="array" ref="M4">SUMPRODUCT(((Başvuru!J2:K1248)="Prof. Dr. Melih Önder BABAOĞLU")*(Başvuru!G2:G1248="Yüksek Lisans Tezi")*(Başvuru!L2:L1248="DÜZELTME"))</f>
        <v>1</v>
      </c>
      <c r="N4" s="11">
        <f t="array" ref="N4">SUMPRODUCT(((Başvuru!J2:K1248)="Prof. Dr. Melih Önder BABAOĞLU")*(Başvuru!G2:G1248="Yüksek Lisans Tezi")*(Başvuru!L2:L1248="KAEK"))</f>
        <v>0</v>
      </c>
      <c r="O4" s="11">
        <f t="array" ref="O4">SUMPRODUCT(((Başvuru!J2:K1248)="Prof. Dr. Melih Önder BABAOĞLU")*(Başvuru!G2:G1248="Yüksek Lisans Tezi")*(Başvuru!L2:L1248="GÖRÜŞ"))</f>
        <v>0</v>
      </c>
      <c r="P4" s="11">
        <f t="array" ref="P4">SUMPRODUCT(((Başvuru!J2:K1248)="Prof. Dr. Melih Önder BABAOĞLU")*(Başvuru!G2:G1248="Yüksek Lisans Tezi")*(Başvuru!L2:L1248="RET"))</f>
        <v>0</v>
      </c>
      <c r="Q4" s="11">
        <f t="array" ref="Q4">SUMPRODUCT(((Başvuru!J2:K1248)="Prof. Dr. Melih Önder BABAOĞLU")*(Başvuru!G2:G1248="Yüksek Lisans Tezi")*(Başvuru!L2:L1248="KAPSAM DIŞI"))</f>
        <v>0</v>
      </c>
      <c r="R4" s="11">
        <f t="array" ref="R4">SUMPRODUCT(((Başvuru!J2:K1248)="Prof. Dr. Melih Önder BABAOĞLU")*(Başvuru!G2:G1248="Yüksek Lisans Tezi")*(Başvuru!L2:L1248="GERİ ÇEKİLDİ"))</f>
        <v>0</v>
      </c>
      <c r="S4" s="11">
        <f t="shared" si="1"/>
        <v>1</v>
      </c>
      <c r="T4" s="11">
        <f t="array" ref="T4">SUMPRODUCT(((Başvuru!J2:K1248)="Prof. Dr. Melih Önder BABAOĞLU")*(Başvuru!G2:G1248="Doktora Tezi")*(Başvuru!L2:L1248="ONAY"))</f>
        <v>0</v>
      </c>
      <c r="U4" s="11">
        <f t="array" ref="U4">SUMPRODUCT(((Başvuru!J2:K1248)="Prof. Dr. Melih Önder BABAOĞLU")*(Başvuru!G2:G1248="Doktora Tezi")*(Başvuru!L2:L1248="DÜZELTME"))</f>
        <v>2</v>
      </c>
      <c r="V4" s="11">
        <f t="array" ref="V4">SUMPRODUCT(((Başvuru!J2:K1248)="Prof. Dr. Melih Önder BABAOĞLU")*(Başvuru!G2:G1248="Doktora Tezi")*(Başvuru!L2:L1248="KAEK"))</f>
        <v>0</v>
      </c>
      <c r="W4" s="11">
        <f t="array" ref="W4">SUMPRODUCT(((Başvuru!J2:K1248)="Prof. Dr. Melih Önder BABAOĞLU")*(Başvuru!G2:G1248="Doktora Tezi")*(Başvuru!L2:L1248="GÖRÜŞ"))</f>
        <v>0</v>
      </c>
      <c r="X4" s="11">
        <f t="array" ref="X4">SUMPRODUCT(((Başvuru!J2:K1248)="Prof. Dr. Melih Önder BABAOĞLU")*(Başvuru!G2:G1248="Doktora Tezi")*(Başvuru!L2:L1248="RET"))</f>
        <v>0</v>
      </c>
      <c r="Y4" s="11">
        <f t="array" ref="Y4">SUMPRODUCT(((Başvuru!J2:K1248)="Prof. Dr. Melih Önder BABAOĞLU")*(Başvuru!G2:G1248="Doktora Tezi")*(Başvuru!L2:L1248="KAPSAM DIŞI"))</f>
        <v>0</v>
      </c>
      <c r="Z4" s="11">
        <f t="array" ref="Z4">SUMPRODUCT(((Başvuru!J2:K1248)="Prof. Dr. Melih Önder BABAOĞLU")*(Başvuru!G2:G1248="Doktora Tezi")*(Başvuru!L2:L1248="GERİ ÇEKİLDİ"))</f>
        <v>0</v>
      </c>
      <c r="AA4" s="11">
        <f t="shared" si="2"/>
        <v>2</v>
      </c>
      <c r="AB4" s="11">
        <f t="array" ref="AB4">SUMPRODUCT(((Başvuru!J2:K1248)="Prof. Dr. Melih Önder BABAOĞLU")*(Başvuru!G2:G1248="Uzmanlık Tezi")*(Başvuru!L2:L1248="ONAY"))</f>
        <v>3</v>
      </c>
      <c r="AC4" s="11">
        <f t="array" ref="AC4">SUMPRODUCT(((Başvuru!J2:K1248)="Prof. Dr. Melih Önder BABAOĞLU")*(Başvuru!G2:G1248="Uzmanlık Tezi")*(Başvuru!L2:L1248="DÜZELTME"))</f>
        <v>4</v>
      </c>
      <c r="AD4" s="11">
        <f t="array" ref="AD4">SUMPRODUCT(((Başvuru!J2:K1248)="Prof. Dr. Melih Önder BABAOĞLU")*(Başvuru!G2:G1248="Uzmanlık Tezi")*(Başvuru!L2:L1248="KAEK"))</f>
        <v>0</v>
      </c>
      <c r="AE4" s="11">
        <f t="array" ref="AE4">SUMPRODUCT(((Başvuru!J2:K1248)="Prof. Dr. Melih Önder BABAOĞLU")*(Başvuru!G2:G1248="Uzmanlık Tezi")*(Başvuru!L2:L1248="GÖRÜŞ"))</f>
        <v>0</v>
      </c>
      <c r="AF4" s="11">
        <f t="array" ref="AF4">SUMPRODUCT(((Başvuru!J2:K1248)="Prof. Dr. Melih Önder BABAOĞLU")*(Başvuru!G2:G1248="Uzmanlık Tezi")*(Başvuru!L2:L1248="RET"))</f>
        <v>1</v>
      </c>
      <c r="AG4" s="11">
        <f t="array" ref="AG4">SUMPRODUCT(((Başvuru!J2:K1248)="Prof. Dr. Melih Önder BABAOĞLU")*(Başvuru!G2:G1248="Uzmanlık Tezi")*(Başvuru!L2:L1248="KAPSAM DIŞI"))</f>
        <v>1</v>
      </c>
      <c r="AH4" s="11">
        <f t="array" ref="AH4">SUMPRODUCT(((Başvuru!J2:K1248)="Prof. Dr. Melih Önder BABAOĞLU")*(Başvuru!G2:G1248="Uzmanlık Tezi")*(Başvuru!L2:L1248="GERİ ÇEKİLDİ"))</f>
        <v>0</v>
      </c>
      <c r="AI4" s="11">
        <f t="shared" si="3"/>
        <v>9</v>
      </c>
      <c r="AJ4" s="28">
        <f t="shared" si="4"/>
        <v>18</v>
      </c>
      <c r="AK4" s="28">
        <f t="shared" si="5"/>
        <v>26</v>
      </c>
      <c r="AL4" s="28">
        <f t="shared" si="6"/>
        <v>0</v>
      </c>
      <c r="AM4" s="28">
        <f t="shared" si="7"/>
        <v>1</v>
      </c>
      <c r="AN4" s="28">
        <f t="shared" si="8"/>
        <v>3</v>
      </c>
      <c r="AO4" s="28">
        <f t="shared" si="9"/>
        <v>1</v>
      </c>
      <c r="AP4" s="28">
        <f t="shared" si="10"/>
        <v>0</v>
      </c>
      <c r="AQ4" s="174">
        <f t="shared" si="11"/>
        <v>49</v>
      </c>
      <c r="AR4" s="11">
        <f t="shared" si="12"/>
        <v>0</v>
      </c>
      <c r="AS4" s="184">
        <f>COUNTIF(Başvuru!$Q:$Q,$B4)</f>
        <v>7</v>
      </c>
      <c r="AT4" s="185">
        <f>COUNTIFS(Başvuru!$Q:$Q,$B4,Başvuru!$J:$J,"&lt;&gt;"&amp;$B4,Başvuru!$K:$K,"&lt;&gt;"&amp;$B4)</f>
        <v>0</v>
      </c>
    </row>
    <row r="5" spans="1:46" s="13" customFormat="1" ht="30" customHeight="1" x14ac:dyDescent="0.25">
      <c r="A5" s="20" t="s">
        <v>79</v>
      </c>
      <c r="B5" s="21" t="s">
        <v>102</v>
      </c>
      <c r="C5" s="11">
        <f>COUNTIF(Başvuru!J2:K1248,"Prof. Dr. Ayşe KİN İŞLER")</f>
        <v>55</v>
      </c>
      <c r="D5" s="173">
        <f t="array" ref="D5">SUMPRODUCT(((Başvuru!J2:K1248)="Prof. Dr. Ayşe KİN İŞLER")*(Başvuru!G2:G1248="Bireysel Araştırma")*(Başvuru!L2:L1248="ONAY"))</f>
        <v>23</v>
      </c>
      <c r="E5" s="173">
        <f t="array" ref="E5">SUMPRODUCT(((Başvuru!J2:K1248)="Prof. Dr. Ayşe KİN İŞLER")*(Başvuru!G2:G1248="Bireysel Araştırma")*(Başvuru!L2:L1248="DÜZELTME"))</f>
        <v>14</v>
      </c>
      <c r="F5" s="173">
        <f t="array" ref="F5">SUMPRODUCT(((Başvuru!J2:K1248)="Prof. Dr. Ayşe KİN İŞLER")*(Başvuru!G2:G1248="Bireysel Araştırma")*(Başvuru!L2:L1248="KAEK"))</f>
        <v>2</v>
      </c>
      <c r="G5" s="173">
        <f t="array" ref="G5">SUMPRODUCT(((Başvuru!J2:K1248)="Prof. Dr. Ayşe KİN İŞLER")*(Başvuru!G2:G1248="Bireysel Araştırma")*(Başvuru!L2:L1248="GÖRÜŞ"))</f>
        <v>2</v>
      </c>
      <c r="H5" s="173">
        <f t="array" ref="H5">SUMPRODUCT(((Başvuru!J2:K1248)="Prof. Dr. Ayşe KİN İŞLER")*(Başvuru!G2:G1248="Bireysel Araştırma")*(Başvuru!L2:L1248="RET"))</f>
        <v>0</v>
      </c>
      <c r="I5" s="173">
        <f t="array" ref="I5">SUMPRODUCT(((Başvuru!J2:K1248)="Prof. Dr. Ayşe KİN İŞLER")*(Başvuru!G2:G1248="Bireysel Araştırma")*(Başvuru!L2:L1248="KAPSAM DIŞI"))</f>
        <v>0</v>
      </c>
      <c r="J5" s="173">
        <f t="array" ref="J5">SUMPRODUCT(((Başvuru!J2:K1248)="Prof. Dr. Ayşe KİN İŞLER")*(Başvuru!G2:G1248="Bireysel Araştırma")*(Başvuru!L2:L1248="GERİ ÇEKİLDİ"))</f>
        <v>0</v>
      </c>
      <c r="K5" s="11">
        <f t="shared" si="0"/>
        <v>41</v>
      </c>
      <c r="L5" s="11">
        <f t="array" ref="L5">SUMPRODUCT(((Başvuru!J2:K1248)="Prof. Dr. Ayşe KİN İŞLER")*(Başvuru!G2:G1248="Yüksek Lisans Tezi")*(Başvuru!L2:L1248="ONAY"))</f>
        <v>1</v>
      </c>
      <c r="M5" s="11">
        <f t="array" ref="M5">SUMPRODUCT(((Başvuru!J2:K1248)="Prof. Dr. Ayşe KİN İŞLER")*(Başvuru!G2:G1248="Yüksek Lisans Tezi")*(Başvuru!L2:L1248="DÜZELTME"))</f>
        <v>0</v>
      </c>
      <c r="N5" s="11">
        <f t="array" ref="N5">SUMPRODUCT(((Başvuru!J2:K1248)="Prof. Dr. Ayşe KİN İŞLER")*(Başvuru!G2:G1248="Yüksek Lisans Tezi")*(Başvuru!L2:L1248="KAEK"))</f>
        <v>0</v>
      </c>
      <c r="O5" s="11">
        <f t="array" ref="O5">SUMPRODUCT(((Başvuru!J2:K1248)="Prof. Dr. Ayşe KİN İŞLER")*(Başvuru!G2:G1248="Yüksek Lisans Tezi")*(Başvuru!L2:L1248="GÖRÜŞ"))</f>
        <v>0</v>
      </c>
      <c r="P5" s="11">
        <f t="array" ref="P5">SUMPRODUCT(((Başvuru!J2:K1248)="Prof. Dr. Ayşe KİN İŞLER")*(Başvuru!G2:G1248="Yüksek Lisans Tezi")*(Başvuru!L2:L1248="RET"))</f>
        <v>0</v>
      </c>
      <c r="Q5" s="11">
        <f t="array" ref="Q5">SUMPRODUCT(((Başvuru!J2:K1248)="Prof. Dr. Ayşe KİN İŞLER")*(Başvuru!G2:G1248="Yüksek Lisans Tezi")*(Başvuru!L2:L1248="KAPSAM DIŞI"))</f>
        <v>0</v>
      </c>
      <c r="R5" s="11">
        <f t="array" ref="R5">SUMPRODUCT(((Başvuru!J2:K1248)="Prof. Dr. Ayşe KİN İŞLER")*(Başvuru!G2:G1248="Yüksek Lisans Tezi")*(Başvuru!L2:L1248="GERİ ÇEKİLDİ"))</f>
        <v>0</v>
      </c>
      <c r="S5" s="11">
        <f t="shared" si="1"/>
        <v>1</v>
      </c>
      <c r="T5" s="11">
        <f t="array" ref="T5">SUMPRODUCT(((Başvuru!J2:K1248)="Prof. Dr. Ayşe KİN İŞLER")*(Başvuru!G2:G1248="Doktora Tezi")*(Başvuru!L2:L1248="ONAY"))</f>
        <v>1</v>
      </c>
      <c r="U5" s="11">
        <f t="array" ref="U5">SUMPRODUCT(((Başvuru!J2:K1248)="Prof. Dr. Ayşe KİN İŞLER")*(Başvuru!G2:G1248="Doktora Tezi")*(Başvuru!L2:L1248="DÜZELTME"))</f>
        <v>1</v>
      </c>
      <c r="V5" s="11">
        <f t="array" ref="V5">SUMPRODUCT(((Başvuru!J2:K1248)="Prof. Dr. Ayşe KİN İŞLER")*(Başvuru!G2:G1248="Doktora Tezi")*(Başvuru!L2:L1248="KAEK"))</f>
        <v>0</v>
      </c>
      <c r="W5" s="11">
        <f t="array" ref="W5">SUMPRODUCT(((Başvuru!J2:K1248)="Prof. Dr. Ayşe KİN İŞLER")*(Başvuru!G2:G1248="Doktora Tezi")*(Başvuru!L2:L1248="GÖRÜŞ"))</f>
        <v>0</v>
      </c>
      <c r="X5" s="11">
        <f t="array" ref="X5">SUMPRODUCT(((Başvuru!J2:K1248)="Prof. Dr. Ayşe KİN İŞLER")*(Başvuru!G2:G1248="Doktora Tezi")*(Başvuru!L2:L1248="RET"))</f>
        <v>0</v>
      </c>
      <c r="Y5" s="11">
        <f t="array" ref="Y5">SUMPRODUCT(((Başvuru!J2:K1248)="Prof. Dr. Ayşe KİN İŞLER")*(Başvuru!G2:G1248="Doktora Tezi")*(Başvuru!L2:L1248="KAPSAM DIŞI"))</f>
        <v>0</v>
      </c>
      <c r="Z5" s="11">
        <f t="array" ref="Z5">SUMPRODUCT(((Başvuru!J2:K1248)="Prof. Dr. Ayşe KİN İŞLER")*(Başvuru!G2:G1248="Doktora Tezi")*(Başvuru!L2:L1248="GERİ ÇEKİLDİ"))</f>
        <v>0</v>
      </c>
      <c r="AA5" s="11">
        <f t="shared" si="2"/>
        <v>2</v>
      </c>
      <c r="AB5" s="11">
        <f t="array" ref="AB5">SUMPRODUCT(((Başvuru!J2:K1248)="Prof. Dr. Ayşe KİN İŞLER")*(Başvuru!G2:G1248="Uzmanlık Tezi")*(Başvuru!L2:L1248="ONAY"))</f>
        <v>4</v>
      </c>
      <c r="AC5" s="11">
        <f t="array" ref="AC5">SUMPRODUCT(((Başvuru!J2:K1248)="Prof. Dr. Ayşe KİN İŞLER")*(Başvuru!G2:G1248="Uzmanlık Tezi")*(Başvuru!L2:L1248="DÜZELTME"))</f>
        <v>6</v>
      </c>
      <c r="AD5" s="11">
        <f t="array" ref="AD5">SUMPRODUCT(((Başvuru!J2:K1248)="Prof. Dr. Ayşe KİN İŞLER")*(Başvuru!G2:G1248="Uzmanlık Tezi")*(Başvuru!L2:L1248="KAEK"))</f>
        <v>1</v>
      </c>
      <c r="AE5" s="11">
        <f t="array" ref="AE5">SUMPRODUCT(((Başvuru!J2:K1248)="Prof. Dr. Ayşe KİN İŞLER")*(Başvuru!G2:G1248="Uzmanlık Tezi")*(Başvuru!L2:L1248="GÖRÜŞ"))</f>
        <v>0</v>
      </c>
      <c r="AF5" s="11">
        <f t="array" ref="AF5">SUMPRODUCT(((Başvuru!J2:K1248)="Prof. Dr. Ayşe KİN İŞLER")*(Başvuru!G2:G1248="Uzmanlık Tezi")*(Başvuru!L2:L1248="RET"))</f>
        <v>0</v>
      </c>
      <c r="AG5" s="11">
        <f t="array" ref="AG5">SUMPRODUCT(((Başvuru!J2:K1248)="Prof. Dr. Ayşe KİN İŞLER")*(Başvuru!G2:G1248="Uzmanlık Tezi")*(Başvuru!L2:L1248="KAPSAM DIŞI"))</f>
        <v>0</v>
      </c>
      <c r="AH5" s="11">
        <f t="array" ref="AH5">SUMPRODUCT(((Başvuru!J2:K1248)="Prof. Dr. Ayşe KİN İŞLER")*(Başvuru!G2:G1248="Uzmanlık Tezi")*(Başvuru!L2:L1248="GERİ ÇEKİLDİ"))</f>
        <v>0</v>
      </c>
      <c r="AI5" s="11">
        <f t="shared" si="3"/>
        <v>11</v>
      </c>
      <c r="AJ5" s="28">
        <f t="shared" si="4"/>
        <v>29</v>
      </c>
      <c r="AK5" s="28">
        <f t="shared" si="5"/>
        <v>21</v>
      </c>
      <c r="AL5" s="28">
        <f t="shared" si="6"/>
        <v>3</v>
      </c>
      <c r="AM5" s="28">
        <f t="shared" si="7"/>
        <v>2</v>
      </c>
      <c r="AN5" s="28">
        <f t="shared" si="8"/>
        <v>0</v>
      </c>
      <c r="AO5" s="28">
        <f t="shared" si="9"/>
        <v>0</v>
      </c>
      <c r="AP5" s="28">
        <f t="shared" si="10"/>
        <v>0</v>
      </c>
      <c r="AQ5" s="174">
        <f t="shared" si="11"/>
        <v>55</v>
      </c>
      <c r="AR5" s="11">
        <f t="shared" si="12"/>
        <v>0</v>
      </c>
      <c r="AS5" s="184">
        <f>COUNTIF(Başvuru!$Q:$Q,$B5)</f>
        <v>8</v>
      </c>
      <c r="AT5" s="185">
        <f>COUNTIFS(Başvuru!$Q:$Q,$B5,Başvuru!$J:$J,"&lt;&gt;"&amp;$B5,Başvuru!$K:$K,"&lt;&gt;"&amp;$B5)</f>
        <v>0</v>
      </c>
    </row>
    <row r="6" spans="1:46" s="13" customFormat="1" ht="30" customHeight="1" x14ac:dyDescent="0.25">
      <c r="A6" s="20" t="s">
        <v>88</v>
      </c>
      <c r="B6" s="21" t="s">
        <v>94</v>
      </c>
      <c r="C6" s="11">
        <f>COUNTIF(Başvuru!J2:K1248,"Prof. Dr. Yavuz AYHAN")</f>
        <v>46</v>
      </c>
      <c r="D6" s="173">
        <f t="array" ref="D6">SUMPRODUCT(((Başvuru!J2:K1248)="Prof. Dr. Yavuz AYHAN")*(Başvuru!G2:G1248="Bireysel Araştırma")*(Başvuru!L2:L1248="ONAY"))</f>
        <v>19</v>
      </c>
      <c r="E6" s="173">
        <f t="array" ref="E6">SUMPRODUCT(((Başvuru!J2:K1248)="Prof. Dr. Yavuz AYHAN")*(Başvuru!G2:G1248="Bireysel Araştırma")*(Başvuru!L2:L1248="DÜZELTME"))</f>
        <v>9</v>
      </c>
      <c r="F6" s="173">
        <f t="array" ref="F6">SUMPRODUCT(((Başvuru!J2:K1248)="Prof. Dr. Yavuz AYHAN")*(Başvuru!G2:G1248="Bireysel Araştırma")*(Başvuru!L2:L1248="KAEK"))</f>
        <v>0</v>
      </c>
      <c r="G6" s="173">
        <f t="array" ref="G6">SUMPRODUCT(((Başvuru!J2:K1248)="Prof. Dr. Yavuz AYHAN")*(Başvuru!G2:G1248="Bireysel Araştırma")*(Başvuru!L2:L1248="GÖRÜŞ"))</f>
        <v>1</v>
      </c>
      <c r="H6" s="173">
        <f t="array" ref="H6">SUMPRODUCT(((Başvuru!J2:K1248)="Prof. Dr. Yavuz AYHAN")*(Başvuru!G2:G1248="Bireysel Araştırma")*(Başvuru!L2:L1248="RET"))</f>
        <v>0</v>
      </c>
      <c r="I6" s="173">
        <f t="array" ref="I6">SUMPRODUCT(((Başvuru!J2:K1248)="Prof. Dr. Yavuz AYHAN")*(Başvuru!G2:G1248="Bireysel Araştırma")*(Başvuru!L2:L1248="KAPSAM DIŞI"))</f>
        <v>3</v>
      </c>
      <c r="J6" s="173">
        <f t="array" ref="J6">SUMPRODUCT(((Başvuru!J2:K1248)="Prof. Dr. Yavuz AYHAN")*(Başvuru!G2:G1248="Bireysel Araştırma")*(Başvuru!L2:L1248="GERİ ÇEKİLDİ"))</f>
        <v>0</v>
      </c>
      <c r="K6" s="11">
        <f t="shared" si="0"/>
        <v>32</v>
      </c>
      <c r="L6" s="11">
        <f t="array" ref="L6">SUMPRODUCT(((Başvuru!J2:K1248)="Prof. Dr. Yavuz AYHAN")*(Başvuru!G2:G1248="Yüksek Lisans Tezi")*(Başvuru!L2:L1248="ONAY"))</f>
        <v>0</v>
      </c>
      <c r="M6" s="11">
        <f t="array" ref="M6">SUMPRODUCT(((Başvuru!J2:K1248)="Prof. Dr. Yavuz AYHAN")*(Başvuru!G2:G1248="Yüksek Lisans Tezi")*(Başvuru!L2:L1248="DÜZELTME"))</f>
        <v>0</v>
      </c>
      <c r="N6" s="11">
        <f t="array" ref="N6">SUMPRODUCT(((Başvuru!J2:K1248)="Prof. Dr. Yavuz AYHAN")*(Başvuru!G2:G1248="Yüksek Lisans Tezi")*(Başvuru!L2:L1248="KAEK"))</f>
        <v>0</v>
      </c>
      <c r="O6" s="11">
        <f t="array" ref="O6">SUMPRODUCT(((Başvuru!J2:K1248)="Prof. Dr. Yavuz AYHAN")*(Başvuru!G2:G1248="Yüksek Lisans Tezi")*(Başvuru!L2:L1248="GÖRÜŞ"))</f>
        <v>0</v>
      </c>
      <c r="P6" s="11">
        <f t="array" ref="P6">SUMPRODUCT(((Başvuru!J2:K1248)="Prof. Dr. Yavuz AYHAN")*(Başvuru!G2:G1248="Yüksek Lisans Tezi")*(Başvuru!L2:L1248="RET"))</f>
        <v>0</v>
      </c>
      <c r="Q6" s="11">
        <f t="array" ref="Q6">SUMPRODUCT(((Başvuru!J2:K1248)="Prof. Dr. Yavuz AYHAN")*(Başvuru!G2:G1248="Yüksek Lisans Tezi")*(Başvuru!L2:L1248="KAPSAM DIŞI"))</f>
        <v>0</v>
      </c>
      <c r="R6" s="11">
        <f t="array" ref="R6">SUMPRODUCT(((Başvuru!J2:K1248)="Prof. Dr. Yavuz AYHAN")*(Başvuru!G2:G1248="Yüksek Lisans Tezi")*(Başvuru!L2:L1248="GERİ ÇEKİLDİ"))</f>
        <v>0</v>
      </c>
      <c r="S6" s="11">
        <f t="shared" si="1"/>
        <v>0</v>
      </c>
      <c r="T6" s="11">
        <f t="array" ref="T6">SUMPRODUCT(((Başvuru!J2:K1248)="Prof. Dr. Yavuz AYHAN")*(Başvuru!G2:G1248="Doktora Tezi")*(Başvuru!L2:L1248="ONAY"))</f>
        <v>0</v>
      </c>
      <c r="U6" s="11">
        <f t="array" ref="U6">SUMPRODUCT(((Başvuru!J2:K1248)="Prof. Dr. Yavuz AYHAN")*(Başvuru!G2:G1248="Doktora Tezi")*(Başvuru!L2:L1248="DÜZELTME"))</f>
        <v>1</v>
      </c>
      <c r="V6" s="11">
        <f t="array" ref="V6">SUMPRODUCT(((Başvuru!J2:K1248)="Prof. Dr. Yavuz AYHAN")*(Başvuru!G2:G1248="Doktora Tezi")*(Başvuru!L2:L1248="KAEK"))</f>
        <v>0</v>
      </c>
      <c r="W6" s="11">
        <f t="array" ref="W6">SUMPRODUCT(((Başvuru!J2:K1248)="Prof. Dr. Yavuz AYHAN")*(Başvuru!G2:G1248="Doktora Tezi")*(Başvuru!L2:L1248="GÖRÜŞ"))</f>
        <v>1</v>
      </c>
      <c r="X6" s="11">
        <f t="array" ref="X6">SUMPRODUCT(((Başvuru!J2:K1248)="Prof. Dr. Yavuz AYHAN")*(Başvuru!G2:G1248="Doktora Tezi")*(Başvuru!L2:L1248="RET"))</f>
        <v>0</v>
      </c>
      <c r="Y6" s="11">
        <f t="array" ref="Y6">SUMPRODUCT(((Başvuru!J2:K1248)="Prof. Dr. Yavuz AYHAN")*(Başvuru!G2:G1248="Doktora Tezi")*(Başvuru!L2:L1248="KAPSAM DIŞI"))</f>
        <v>0</v>
      </c>
      <c r="Z6" s="11">
        <f t="array" ref="Z6">SUMPRODUCT(((Başvuru!J2:K1248)="Prof. Dr. Yavuz AYHAN")*(Başvuru!G2:G1248="Doktora Tezi")*(Başvuru!L2:L1248="GERİ ÇEKİLDİ"))</f>
        <v>0</v>
      </c>
      <c r="AA6" s="11">
        <f t="shared" si="2"/>
        <v>2</v>
      </c>
      <c r="AB6" s="11">
        <f t="array" ref="AB6">SUMPRODUCT(((Başvuru!J2:K1248)="Prof. Dr. Yavuz AYHAN")*(Başvuru!G2:G1248="Uzmanlık Tezi")*(Başvuru!L2:L1248="ONAY"))</f>
        <v>5</v>
      </c>
      <c r="AC6" s="11">
        <f t="array" ref="AC6">SUMPRODUCT(((Başvuru!J2:K1248)="Prof. Dr. Yavuz AYHAN")*(Başvuru!G2:G1248="Uzmanlık Tezi")*(Başvuru!L2:L1248="DÜZELTME"))</f>
        <v>6</v>
      </c>
      <c r="AD6" s="11">
        <f t="array" ref="AD6">SUMPRODUCT(((Başvuru!J2:K1248)="Prof. Dr. Yavuz AYHAN")*(Başvuru!G2:G1248="Uzmanlık Tezi")*(Başvuru!L2:L1248="KAEK"))</f>
        <v>0</v>
      </c>
      <c r="AE6" s="11">
        <f t="array" ref="AE6">SUMPRODUCT(((Başvuru!J2:K1248)="Prof. Dr. Yavuz AYHAN")*(Başvuru!G2:G1248="Uzmanlık Tezi")*(Başvuru!L2:L1248="GÖRÜŞ"))</f>
        <v>1</v>
      </c>
      <c r="AF6" s="11">
        <f t="array" ref="AF6">SUMPRODUCT(((Başvuru!J2:K1248)="Prof. Dr. Yavuz AYHAN")*(Başvuru!G2:G1248="Uzmanlık Tezi")*(Başvuru!L2:L1248="RET"))</f>
        <v>0</v>
      </c>
      <c r="AG6" s="11">
        <f t="array" ref="AG6">SUMPRODUCT(((Başvuru!J2:K1248)="Prof. Dr. Yavuz AYHAN")*(Başvuru!G2:G1248="Uzmanlık Tezi")*(Başvuru!L2:L1248="KAPSAM DIŞI"))</f>
        <v>0</v>
      </c>
      <c r="AH6" s="11">
        <f t="array" ref="AH6">SUMPRODUCT(((Başvuru!J2:K1248)="Prof. Dr. Yavuz AYHAN")*(Başvuru!G2:G1248="Uzmanlık Tezi")*(Başvuru!L2:L1248="GERİ ÇEKİLDİ"))</f>
        <v>0</v>
      </c>
      <c r="AI6" s="11">
        <f t="shared" si="3"/>
        <v>12</v>
      </c>
      <c r="AJ6" s="28">
        <f t="shared" si="4"/>
        <v>24</v>
      </c>
      <c r="AK6" s="28">
        <f t="shared" si="5"/>
        <v>16</v>
      </c>
      <c r="AL6" s="28">
        <f t="shared" si="6"/>
        <v>0</v>
      </c>
      <c r="AM6" s="28">
        <f t="shared" si="7"/>
        <v>3</v>
      </c>
      <c r="AN6" s="28">
        <f t="shared" si="8"/>
        <v>0</v>
      </c>
      <c r="AO6" s="28">
        <f t="shared" si="9"/>
        <v>3</v>
      </c>
      <c r="AP6" s="28">
        <f t="shared" si="10"/>
        <v>0</v>
      </c>
      <c r="AQ6" s="174">
        <f t="shared" si="11"/>
        <v>46</v>
      </c>
      <c r="AR6" s="11">
        <f t="shared" si="12"/>
        <v>0</v>
      </c>
      <c r="AS6" s="184">
        <f>COUNTIF(Başvuru!$Q:$Q,$B6)</f>
        <v>5</v>
      </c>
      <c r="AT6" s="185">
        <f>COUNTIFS(Başvuru!$Q:$Q,$B6,Başvuru!$J:$J,"&lt;&gt;"&amp;$B6,Başvuru!$K:$K,"&lt;&gt;"&amp;$B6)</f>
        <v>0</v>
      </c>
    </row>
    <row r="7" spans="1:46" s="13" customFormat="1" ht="30" customHeight="1" x14ac:dyDescent="0.25">
      <c r="A7" s="20" t="s">
        <v>96</v>
      </c>
      <c r="B7" s="21" t="s">
        <v>115</v>
      </c>
      <c r="C7" s="11">
        <f>COUNTIF(Başvuru!J2:K1248,"Prof. Dr. Nazmiye Ebru ORTAÇ ERSOY")</f>
        <v>52</v>
      </c>
      <c r="D7" s="173">
        <f t="array" ref="D7">SUMPRODUCT(((Başvuru!J2:K1248)="Prof. Dr. Nazmiye Ebru ORTAÇ ERSOY")*(Başvuru!G2:G1248="Bireysel Araştırma")*(Başvuru!L2:L1248="ONAY"))</f>
        <v>25</v>
      </c>
      <c r="E7" s="173">
        <f t="array" ref="E7">SUMPRODUCT(((Başvuru!J2:K1248)="Prof. Dr. Nazmiye Ebru ORTAÇ ERSOY")*(Başvuru!G2:G1248="Bireysel Araştırma")*(Başvuru!L2:L1248="DÜZELTME"))</f>
        <v>8</v>
      </c>
      <c r="F7" s="173">
        <f t="array" ref="F7">SUMPRODUCT(((Başvuru!J2:K1248)="Prof. Dr. Nazmiye Ebru ORTAÇ ERSOY")*(Başvuru!G2:G1248="Bireysel Araştırma")*(Başvuru!L2:L1248="KAEK"))</f>
        <v>0</v>
      </c>
      <c r="G7" s="173">
        <f t="array" ref="G7">SUMPRODUCT(((Başvuru!J2:K1248)="Prof. Dr. Nazmiye Ebru ORTAÇ ERSOY")*(Başvuru!G2:G1248="Bireysel Araştırma")*(Başvuru!L2:L1248="GÖRÜŞ"))</f>
        <v>1</v>
      </c>
      <c r="H7" s="173">
        <f t="array" ref="H7">SUMPRODUCT(((Başvuru!J2:K1248)="Prof. Dr. Nazmiye Ebru ORTAÇ ERSOY")*(Başvuru!G2:G1248="Bireysel Araştırma")*(Başvuru!L2:L1248="RET"))</f>
        <v>1</v>
      </c>
      <c r="I7" s="173">
        <f t="array" ref="I7">SUMPRODUCT(((Başvuru!J2:K1248)="Prof. Dr. Nazmiye Ebru ORTAÇ ERSOY")*(Başvuru!G2:G1248="Bireysel Araştırma")*(Başvuru!L2:L1248="KAPSAM DIŞI"))</f>
        <v>1</v>
      </c>
      <c r="J7" s="173">
        <f t="array" ref="J7">SUMPRODUCT(((Başvuru!J2:K1248)="Prof. Dr. Nazmiye Ebru ORTAÇ ERSOY")*(Başvuru!G2:G1248="Bireysel Araştırma")*(Başvuru!L2:L1248="GERİ ÇEKİLDİ"))</f>
        <v>0</v>
      </c>
      <c r="K7" s="11">
        <f t="shared" si="0"/>
        <v>36</v>
      </c>
      <c r="L7" s="11">
        <f t="array" ref="L7">SUMPRODUCT(((Başvuru!J2:K1248)="Prof. Dr. Nazmiye Ebru ORTAÇ ERSOY")*(Başvuru!G2:G1248="Yüksek Lisans Tezi")*(Başvuru!L2:L1248="ONAY"))</f>
        <v>0</v>
      </c>
      <c r="M7" s="11">
        <f t="array" ref="M7">SUMPRODUCT(((Başvuru!J2:K1248)="Prof. Dr. Nazmiye Ebru ORTAÇ ERSOY")*(Başvuru!G2:G1248="Yüksek Lisans Tezi")*(Başvuru!L2:L1248="DÜZELTME"))</f>
        <v>0</v>
      </c>
      <c r="N7" s="11">
        <f t="array" ref="N7">SUMPRODUCT(((Başvuru!J2:K1248)="Prof. Dr. Nazmiye Ebru ORTAÇ ERSOY")*(Başvuru!G2:G1248="Yüksek Lisans Tezi")*(Başvuru!L2:L1248="KAEK"))</f>
        <v>0</v>
      </c>
      <c r="O7" s="11">
        <f t="array" ref="O7">SUMPRODUCT(((Başvuru!J2:K1248)="Prof. Dr. Nazmiye Ebru ORTAÇ ERSOY")*(Başvuru!G2:G1248="Yüksek Lisans Tezi")*(Başvuru!L2:L1248="GÖRÜŞ"))</f>
        <v>0</v>
      </c>
      <c r="P7" s="11">
        <f t="array" ref="P7">SUMPRODUCT(((Başvuru!J2:K1248)="Prof. Dr. Nazmiye Ebru ORTAÇ ERSOY")*(Başvuru!G2:G1248="Yüksek Lisans Tezi")*(Başvuru!L2:L1248="RET"))</f>
        <v>0</v>
      </c>
      <c r="Q7" s="11">
        <f t="array" ref="Q7">SUMPRODUCT(((Başvuru!J2:K1248)="Prof. Dr. Nazmiye Ebru ORTAÇ ERSOY")*(Başvuru!G2:G1248="Yüksek Lisans Tezi")*(Başvuru!L2:L1248="KAPSAM DIŞI"))</f>
        <v>0</v>
      </c>
      <c r="R7" s="11">
        <f t="array" ref="R7">SUMPRODUCT(((Başvuru!J2:K1248)="Prof. Dr. Nazmiye Ebru ORTAÇ ERSOY")*(Başvuru!G2:G1248="Yüksek Lisans Tezi")*(Başvuru!L2:L1248="GERİ ÇEKİLDİ"))</f>
        <v>0</v>
      </c>
      <c r="S7" s="11">
        <f t="shared" si="1"/>
        <v>0</v>
      </c>
      <c r="T7" s="11">
        <f t="array" ref="T7">SUMPRODUCT(((Başvuru!J2:K1248)="Prof. Dr. Nazmiye Ebru ORTAÇ ERSOY")*(Başvuru!G2:G1248="Doktora Tezi")*(Başvuru!L2:L1248="ONAY"))</f>
        <v>0</v>
      </c>
      <c r="U7" s="11">
        <f t="array" ref="U7">SUMPRODUCT(((Başvuru!J2:K1248)="Prof. Dr. Nazmiye Ebru ORTAÇ ERSOY")*(Başvuru!G2:G1248="Doktora Tezi")*(Başvuru!L2:L1248="DÜZELTME"))</f>
        <v>2</v>
      </c>
      <c r="V7" s="11">
        <f t="array" ref="V7">SUMPRODUCT(((Başvuru!J2:K1248)="Prof. Dr. Nazmiye Ebru ORTAÇ ERSOY")*(Başvuru!G2:G1248="Doktora Tezi")*(Başvuru!L2:L1248="KAEK"))</f>
        <v>0</v>
      </c>
      <c r="W7" s="11">
        <f t="array" ref="W7">SUMPRODUCT(((Başvuru!J2:K1248)="Prof. Dr. Nazmiye Ebru ORTAÇ ERSOY")*(Başvuru!G2:G1248="Doktora Tezi")*(Başvuru!L2:L1248="GÖRÜŞ"))</f>
        <v>0</v>
      </c>
      <c r="X7" s="11">
        <f t="array" ref="X7">SUMPRODUCT(((Başvuru!J2:K1248)="Prof. Dr. Nazmiye Ebru ORTAÇ ERSOY")*(Başvuru!G2:G1248="Doktora Tezi")*(Başvuru!L2:L1248="RET"))</f>
        <v>0</v>
      </c>
      <c r="Y7" s="11">
        <f t="array" ref="Y7">SUMPRODUCT(((Başvuru!J2:K1248)="Prof. Dr. Nazmiye Ebru ORTAÇ ERSOY")*(Başvuru!G2:G1248="Doktora Tezi")*(Başvuru!L2:L1248="KAPSAM DIŞI"))</f>
        <v>0</v>
      </c>
      <c r="Z7" s="11">
        <f t="array" ref="Z7">SUMPRODUCT(((Başvuru!J2:K1248)="Prof. Dr. Nazmiye Ebru ORTAÇ ERSOY")*(Başvuru!G2:G1248="Doktora Tezi")*(Başvuru!L2:L1248="GERİ ÇEKİLDİ"))</f>
        <v>0</v>
      </c>
      <c r="AA7" s="11">
        <f t="shared" si="2"/>
        <v>2</v>
      </c>
      <c r="AB7" s="11">
        <f t="array" ref="AB7">SUMPRODUCT(((Başvuru!J2:K1248)="Prof. Dr. Nazmiye Ebru ORTAÇ ERSOY")*(Başvuru!G2:G1248="Uzmanlık Tezi")*(Başvuru!L2:L1248="ONAY"))</f>
        <v>8</v>
      </c>
      <c r="AC7" s="11">
        <f t="array" ref="AC7">SUMPRODUCT(((Başvuru!J2:K1248)="Prof. Dr. Nazmiye Ebru ORTAÇ ERSOY")*(Başvuru!G2:G1248="Uzmanlık Tezi")*(Başvuru!L2:L1248="DÜZELTME"))</f>
        <v>5</v>
      </c>
      <c r="AD7" s="11">
        <f t="array" ref="AD7">SUMPRODUCT(((Başvuru!J2:K1248)="Prof. Dr. Nazmiye Ebru ORTAÇ ERSOY")*(Başvuru!G2:G1248="Uzmanlık Tezi")*(Başvuru!L2:L1248="KAEK"))</f>
        <v>1</v>
      </c>
      <c r="AE7" s="11">
        <f t="array" ref="AE7">SUMPRODUCT(((Başvuru!J2:K1248)="Prof. Dr. Nazmiye Ebru ORTAÇ ERSOY")*(Başvuru!G2:G1248="Uzmanlık Tezi")*(Başvuru!L2:L1248="GÖRÜŞ"))</f>
        <v>0</v>
      </c>
      <c r="AF7" s="11">
        <f t="array" ref="AF7">SUMPRODUCT(((Başvuru!J2:K1248)="Prof. Dr. Nazmiye Ebru ORTAÇ ERSOY")*(Başvuru!G2:G1248="Uzmanlık Tezi")*(Başvuru!L2:L1248="RET"))</f>
        <v>0</v>
      </c>
      <c r="AG7" s="11">
        <f t="array" ref="AG7">SUMPRODUCT(((Başvuru!J2:K1248)="Prof. Dr. Nazmiye Ebru ORTAÇ ERSOY")*(Başvuru!G2:G1248="Uzmanlık Tezi")*(Başvuru!L2:L1248="KAPSAM DIŞI"))</f>
        <v>0</v>
      </c>
      <c r="AH7" s="11">
        <f t="array" ref="AH7">SUMPRODUCT(((Başvuru!J2:K1248)="Prof. Dr. Nazmiye Ebru ORTAÇ ERSOY")*(Başvuru!G2:G1248="Uzmanlık Tezi")*(Başvuru!L2:L1248="GERİ ÇEKİLDİ"))</f>
        <v>0</v>
      </c>
      <c r="AI7" s="11">
        <f t="shared" si="3"/>
        <v>14</v>
      </c>
      <c r="AJ7" s="28">
        <f t="shared" si="4"/>
        <v>33</v>
      </c>
      <c r="AK7" s="28">
        <f t="shared" si="5"/>
        <v>15</v>
      </c>
      <c r="AL7" s="28">
        <f t="shared" si="6"/>
        <v>1</v>
      </c>
      <c r="AM7" s="28">
        <f t="shared" si="7"/>
        <v>1</v>
      </c>
      <c r="AN7" s="28">
        <f t="shared" si="8"/>
        <v>1</v>
      </c>
      <c r="AO7" s="28">
        <f t="shared" si="9"/>
        <v>1</v>
      </c>
      <c r="AP7" s="28">
        <f t="shared" si="10"/>
        <v>0</v>
      </c>
      <c r="AQ7" s="174">
        <f t="shared" si="11"/>
        <v>52</v>
      </c>
      <c r="AR7" s="11">
        <f t="shared" si="12"/>
        <v>0</v>
      </c>
      <c r="AS7" s="184">
        <f>COUNTIF(Başvuru!$Q:$Q,$B7)</f>
        <v>2</v>
      </c>
      <c r="AT7" s="185">
        <f>COUNTIFS(Başvuru!$Q:$Q,$B7,Başvuru!$J:$J,"&lt;&gt;"&amp;$B7,Başvuru!$K:$K,"&lt;&gt;"&amp;$B7)</f>
        <v>0</v>
      </c>
    </row>
    <row r="8" spans="1:46" s="13" customFormat="1" ht="30" customHeight="1" x14ac:dyDescent="0.25">
      <c r="A8" s="20" t="s">
        <v>103</v>
      </c>
      <c r="B8" s="21" t="s">
        <v>70</v>
      </c>
      <c r="C8" s="11">
        <f>COUNTIF(Başvuru!J2:K1248,"Prof. Dr. Gözde GİRGİN")</f>
        <v>67</v>
      </c>
      <c r="D8" s="173">
        <f t="array" ref="D8">SUMPRODUCT(((Başvuru!J2:K1248)="Prof. Dr. Gözde GİRGİN")*(Başvuru!G2:G1248="Bireysel Araştırma")*(Başvuru!L2:L1248="ONAY"))</f>
        <v>26</v>
      </c>
      <c r="E8" s="173">
        <f t="array" ref="E8">SUMPRODUCT(((Başvuru!J2:K1248)="Prof. Dr. Gözde GİRGİN")*(Başvuru!G2:G1248="Bireysel Araştırma")*(Başvuru!L2:L1248="DÜZELTME"))</f>
        <v>16</v>
      </c>
      <c r="F8" s="173">
        <f t="array" ref="F8">SUMPRODUCT(((Başvuru!J2:K1248)="Prof. Dr. Gözde GİRGİN")*(Başvuru!G2:G1248="Bireysel Araştırma")*(Başvuru!L2:L1248="KAEK"))</f>
        <v>0</v>
      </c>
      <c r="G8" s="173">
        <f t="array" ref="G8">SUMPRODUCT(((Başvuru!J2:K1248)="Prof. Dr. Gözde GİRGİN")*(Başvuru!G2:G1248="Bireysel Araştırma")*(Başvuru!L2:L1248="GÖRÜŞ"))</f>
        <v>2</v>
      </c>
      <c r="H8" s="173">
        <f t="array" ref="H8">SUMPRODUCT(((Başvuru!J2:K1248)="Prof. Dr. Gözde GİRGİN")*(Başvuru!G2:G1248="Bireysel Araştırma")*(Başvuru!L2:L1248="RET"))</f>
        <v>3</v>
      </c>
      <c r="I8" s="173">
        <f t="array" ref="I8">SUMPRODUCT(((Başvuru!J2:K1248)="Prof. Dr. Gözde GİRGİN")*(Başvuru!G2:G1248="Bireysel Araştırma")*(Başvuru!L2:L1248="KAPSAM DIŞI"))</f>
        <v>1</v>
      </c>
      <c r="J8" s="173">
        <f t="array" ref="J8">SUMPRODUCT(((Başvuru!J2:K1248)="Prof. Dr. Gözde GİRGİN")*(Başvuru!G2:G1248="Bireysel Araştırma")*(Başvuru!L2:L1248="GERİ ÇEKİLDİ"))</f>
        <v>0</v>
      </c>
      <c r="K8" s="11">
        <f t="shared" si="0"/>
        <v>48</v>
      </c>
      <c r="L8" s="11">
        <f t="array" ref="L8">SUMPRODUCT(((Başvuru!J2:K1248)="Prof. Dr. Gözde GİRGİN")*(Başvuru!G2:G1248="Yüksek Lisans Tezi")*(Başvuru!L2:L1248="ONAY"))</f>
        <v>0</v>
      </c>
      <c r="M8" s="11">
        <f t="array" ref="M8">SUMPRODUCT(((Başvuru!J2:K1248)="Prof. Dr. Gözde GİRGİN")*(Başvuru!G2:G1248="Yüksek Lisans Tezi")*(Başvuru!L2:L1248="DÜZELTME"))</f>
        <v>1</v>
      </c>
      <c r="N8" s="11">
        <f t="array" ref="N8">SUMPRODUCT(((Başvuru!J2:K1248)="Prof. Dr. Gözde GİRGİN")*(Başvuru!G2:G1248="Yüksek Lisans Tezi")*(Başvuru!L2:L1248="KAEK"))</f>
        <v>0</v>
      </c>
      <c r="O8" s="11">
        <f t="array" ref="O8">SUMPRODUCT(((Başvuru!J2:K1248)="Prof. Dr. Gözde GİRGİN")*(Başvuru!G2:G1248="Yüksek Lisans Tezi")*(Başvuru!L2:L1248="GÖRÜŞ"))</f>
        <v>0</v>
      </c>
      <c r="P8" s="11">
        <f t="array" ref="P8">SUMPRODUCT(((Başvuru!J2:K1248)="Prof. Dr. Gözde GİRGİN")*(Başvuru!G2:G1248="Yüksek Lisans Tezi")*(Başvuru!L2:L1248="RET"))</f>
        <v>0</v>
      </c>
      <c r="Q8" s="11">
        <f t="array" ref="Q8">SUMPRODUCT(((Başvuru!J2:K1248)="Prof. Dr. Gözde GİRGİN")*(Başvuru!G2:G1248="Yüksek Lisans Tezi")*(Başvuru!L2:L1248="KAPSAM DIŞI"))</f>
        <v>0</v>
      </c>
      <c r="R8" s="11">
        <f t="array" ref="R8">SUMPRODUCT(((Başvuru!J2:K1248)="Prof. Dr. Gözde GİRGİN")*(Başvuru!G2:G1248="Yüksek Lisans Tezi")*(Başvuru!L2:L1248="GERİ ÇEKİLDİ"))</f>
        <v>0</v>
      </c>
      <c r="S8" s="11">
        <f t="shared" si="1"/>
        <v>1</v>
      </c>
      <c r="T8" s="11">
        <f t="array" ref="T8">SUMPRODUCT(((Başvuru!J2:K1248)="Prof. Dr. Gözde GİRGİN")*(Başvuru!G2:G1248="Doktora Tezi")*(Başvuru!L2:L1248="ONAY"))</f>
        <v>1</v>
      </c>
      <c r="U8" s="11">
        <f t="array" ref="U8">SUMPRODUCT(((Başvuru!J2:K1248)="Prof. Dr. Gözde GİRGİN")*(Başvuru!G2:G1248="Doktora Tezi")*(Başvuru!L2:L1248="DÜZELTME"))</f>
        <v>3</v>
      </c>
      <c r="V8" s="11">
        <f t="array" ref="V8">SUMPRODUCT(((Başvuru!J2:K1248)="Prof. Dr. Gözde GİRGİN")*(Başvuru!G2:G1248="Doktora Tezi")*(Başvuru!L2:L1248="KAEK"))</f>
        <v>0</v>
      </c>
      <c r="W8" s="11">
        <f t="array" ref="W8">SUMPRODUCT(((Başvuru!J2:K1248)="Prof. Dr. Gözde GİRGİN")*(Başvuru!G2:G1248="Doktora Tezi")*(Başvuru!L2:L1248="GÖRÜŞ"))</f>
        <v>1</v>
      </c>
      <c r="X8" s="11">
        <f t="array" ref="X8">SUMPRODUCT(((Başvuru!J2:K1248)="Prof. Dr. Gözde GİRGİN")*(Başvuru!G2:G1248="Doktora Tezi")*(Başvuru!L2:L1248="RET"))</f>
        <v>0</v>
      </c>
      <c r="Y8" s="11">
        <f t="array" ref="Y8">SUMPRODUCT(((Başvuru!J2:K1248)="Prof. Dr. Gözde GİRGİN")*(Başvuru!G2:G1248="Doktora Tezi")*(Başvuru!L2:L1248="KAPSAM DIŞI"))</f>
        <v>0</v>
      </c>
      <c r="Z8" s="11">
        <f t="array" ref="Z8">SUMPRODUCT(((Başvuru!J2:K1248)="Prof. Dr. Gözde GİRGİN")*(Başvuru!G2:G1248="Doktora Tezi")*(Başvuru!L2:L1248="GERİ ÇEKİLDİ"))</f>
        <v>0</v>
      </c>
      <c r="AA8" s="11">
        <f t="shared" si="2"/>
        <v>5</v>
      </c>
      <c r="AB8" s="11">
        <f t="array" ref="AB8">SUMPRODUCT(((Başvuru!J2:K1248)="Prof. Dr. Gözde GİRGİN")*(Başvuru!G2:G1248="Uzmanlık Tezi")*(Başvuru!L2:L1248="ONAY"))</f>
        <v>8</v>
      </c>
      <c r="AC8" s="11">
        <f t="array" ref="AC8">SUMPRODUCT(((Başvuru!J2:K1248)="Prof. Dr. Gözde GİRGİN")*(Başvuru!G2:G1248="Uzmanlık Tezi")*(Başvuru!L2:L1248="DÜZELTME"))</f>
        <v>4</v>
      </c>
      <c r="AD8" s="11">
        <f t="array" ref="AD8">SUMPRODUCT(((Başvuru!J2:K1248)="Prof. Dr. Gözde GİRGİN")*(Başvuru!G2:G1248="Uzmanlık Tezi")*(Başvuru!L2:L1248="KAEK"))</f>
        <v>0</v>
      </c>
      <c r="AE8" s="11">
        <f t="array" ref="AE8">SUMPRODUCT(((Başvuru!J2:K1248)="Prof. Dr. Gözde GİRGİN")*(Başvuru!G2:G1248="Uzmanlık Tezi")*(Başvuru!L2:L1248="GÖRÜŞ"))</f>
        <v>1</v>
      </c>
      <c r="AF8" s="11">
        <f t="array" ref="AF8">SUMPRODUCT(((Başvuru!J2:K1248)="Prof. Dr. Gözde GİRGİN")*(Başvuru!G2:G1248="Uzmanlık Tezi")*(Başvuru!L2:L1248="RET"))</f>
        <v>0</v>
      </c>
      <c r="AG8" s="11">
        <f t="array" ref="AG8">SUMPRODUCT(((Başvuru!J2:K1248)="Prof. Dr. Gözde GİRGİN")*(Başvuru!G2:G1248="Uzmanlık Tezi")*(Başvuru!L2:L1248="KAPSAM DIŞI"))</f>
        <v>0</v>
      </c>
      <c r="AH8" s="11">
        <f t="array" ref="AH8">SUMPRODUCT(((Başvuru!J2:K1248)="Prof. Dr. Gözde GİRGİN")*(Başvuru!G2:G1248="Uzmanlık Tezi")*(Başvuru!L2:L1248="GERİ ÇEKİLDİ"))</f>
        <v>0</v>
      </c>
      <c r="AI8" s="11">
        <f t="shared" si="3"/>
        <v>13</v>
      </c>
      <c r="AJ8" s="28">
        <f t="shared" si="4"/>
        <v>35</v>
      </c>
      <c r="AK8" s="28">
        <f t="shared" si="5"/>
        <v>24</v>
      </c>
      <c r="AL8" s="28">
        <f t="shared" si="6"/>
        <v>0</v>
      </c>
      <c r="AM8" s="28">
        <f t="shared" si="7"/>
        <v>4</v>
      </c>
      <c r="AN8" s="28">
        <f t="shared" si="8"/>
        <v>3</v>
      </c>
      <c r="AO8" s="28">
        <f t="shared" si="9"/>
        <v>1</v>
      </c>
      <c r="AP8" s="28">
        <f t="shared" si="10"/>
        <v>0</v>
      </c>
      <c r="AQ8" s="174">
        <f t="shared" si="11"/>
        <v>67</v>
      </c>
      <c r="AR8" s="11">
        <f t="shared" si="12"/>
        <v>0</v>
      </c>
      <c r="AS8" s="184">
        <f>COUNTIF(Başvuru!$Q:$Q,$B8)</f>
        <v>7</v>
      </c>
      <c r="AT8" s="185">
        <f>COUNTIFS(Başvuru!$Q:$Q,$B8,Başvuru!$J:$J,"&lt;&gt;"&amp;$B8,Başvuru!$K:$K,"&lt;&gt;"&amp;$B8)</f>
        <v>0</v>
      </c>
    </row>
    <row r="9" spans="1:46" s="13" customFormat="1" ht="30" customHeight="1" x14ac:dyDescent="0.25">
      <c r="A9" s="20" t="s">
        <v>110</v>
      </c>
      <c r="B9" s="21" t="s">
        <v>62</v>
      </c>
      <c r="C9" s="11">
        <f>COUNTIF(Başvuru!J2:K1248,"Doç. Dr. Kübra AYKAÇ")</f>
        <v>68</v>
      </c>
      <c r="D9" s="173">
        <f t="array" ref="D9">SUMPRODUCT(((Başvuru!J2:K1248)="Doç. Dr. Kübra AYKAÇ")*(Başvuru!G2:G1248="Bireysel Araştırma")*(Başvuru!L2:L1248="ONAY"))</f>
        <v>28</v>
      </c>
      <c r="E9" s="173">
        <f t="array" ref="E9">SUMPRODUCT(((Başvuru!J2:K1248)="Doç. Dr. Kübra AYKAÇ")*(Başvuru!G2:G1248="Bireysel Araştırma")*(Başvuru!L2:L1248="DÜZELTME"))</f>
        <v>19</v>
      </c>
      <c r="F9" s="173">
        <f t="array" ref="F9">SUMPRODUCT(((Başvuru!J2:K1248)="Doç. Dr. Kübra AYKAÇ")*(Başvuru!G2:G1248="Bireysel Araştırma")*(Başvuru!L2:L1248="KAEK"))</f>
        <v>1</v>
      </c>
      <c r="G9" s="173">
        <f t="array" ref="G9">SUMPRODUCT(((Başvuru!J2:K1248)="Doç. Dr. Kübra AYKAÇ")*(Başvuru!G2:G1248="Bireysel Araştırma")*(Başvuru!L2:L1248="GÖRÜŞ"))</f>
        <v>1</v>
      </c>
      <c r="H9" s="173">
        <f t="array" ref="H9">SUMPRODUCT(((Başvuru!J2:K1248)="Doç. Dr. Kübra AYKAÇ")*(Başvuru!G2:G1248="Bireysel Araştırma")*(Başvuru!L2:L1248="RET"))</f>
        <v>1</v>
      </c>
      <c r="I9" s="173">
        <f t="array" ref="I9">SUMPRODUCT(((Başvuru!J2:K1248)="Doç. Dr. Kübra AYKAÇ")*(Başvuru!G2:G1248="Bireysel Araştırma")*(Başvuru!L2:L1248="KAPSAM DIŞI"))</f>
        <v>0</v>
      </c>
      <c r="J9" s="173">
        <f t="array" ref="J9">SUMPRODUCT(((Başvuru!J2:K1248)="Doç. Dr. Kübra AYKAÇ")*(Başvuru!G2:G1248="Bireysel Araştırma")*(Başvuru!L2:L1248="GERİ ÇEKİLDİ"))</f>
        <v>0</v>
      </c>
      <c r="K9" s="11">
        <f t="shared" si="0"/>
        <v>50</v>
      </c>
      <c r="L9" s="11">
        <f t="array" ref="L9">SUMPRODUCT(((Başvuru!J2:K1248)="Doç. Dr. Kübra AYKAÇ")*(Başvuru!G2:G1248="Yüksek Lisans Tezi")*(Başvuru!L2:L1248="ONAY"))</f>
        <v>1</v>
      </c>
      <c r="M9" s="11">
        <f t="array" ref="M9">SUMPRODUCT(((Başvuru!J2:K1248)="Doç. Dr. Kübra AYKAÇ")*(Başvuru!G2:G1248="Yüksek Lisans Tezi")*(Başvuru!L2:L1248="DÜZELTME"))</f>
        <v>3</v>
      </c>
      <c r="N9" s="11">
        <f t="array" ref="N9">SUMPRODUCT(((Başvuru!J2:K1248)="Doç. Dr. Kübra AYKAÇ")*(Başvuru!G2:G1248="Yüksek Lisans Tezi")*(Başvuru!L2:L1248="KAEK"))</f>
        <v>0</v>
      </c>
      <c r="O9" s="11">
        <f t="array" ref="O9">SUMPRODUCT(((Başvuru!J2:K1248)="Doç. Dr. Kübra AYKAÇ")*(Başvuru!G2:G1248="Yüksek Lisans Tezi")*(Başvuru!L2:L1248="GÖRÜŞ"))</f>
        <v>0</v>
      </c>
      <c r="P9" s="11">
        <f t="array" ref="P9">SUMPRODUCT(((Başvuru!J2:K1248)="Doç. Dr. Kübra AYKAÇ")*(Başvuru!G2:G1248="Yüksek Lisans Tezi")*(Başvuru!L2:L1248="RET"))</f>
        <v>0</v>
      </c>
      <c r="Q9" s="11">
        <f t="array" ref="Q9">SUMPRODUCT(((Başvuru!J2:K1248)="Doç. Dr. Kübra AYKAÇ")*(Başvuru!G2:G1248="Yüksek Lisans Tezi")*(Başvuru!L2:L1248="KAPSAM DIŞI"))</f>
        <v>0</v>
      </c>
      <c r="R9" s="11">
        <f t="array" ref="R9">SUMPRODUCT(((Başvuru!J2:K1248)="Doç. Dr. Kübra AYKAÇ")*(Başvuru!G2:G1248="Yüksek Lisans Tezi")*(Başvuru!L2:L1248="GERİ ÇEKİLDİ"))</f>
        <v>0</v>
      </c>
      <c r="S9" s="11">
        <f t="shared" si="1"/>
        <v>4</v>
      </c>
      <c r="T9" s="11">
        <f t="array" ref="T9">SUMPRODUCT(((Başvuru!J2:K1248)="Doç. Dr. Kübra AYKAÇ")*(Başvuru!G2:G1248="Doktora Tezi")*(Başvuru!L2:L1248="ONAY"))</f>
        <v>1</v>
      </c>
      <c r="U9" s="11">
        <f t="array" ref="U9">SUMPRODUCT(((Başvuru!J2:K1248)="Doç. Dr. Kübra AYKAÇ")*(Başvuru!G2:G1248="Doktora Tezi")*(Başvuru!L2:L1248="DÜZELTME"))</f>
        <v>1</v>
      </c>
      <c r="V9" s="11">
        <f t="array" ref="V9">SUMPRODUCT(((Başvuru!J2:K1248)="Doç. Dr. Kübra AYKAÇ")*(Başvuru!G2:G1248="Doktora Tezi")*(Başvuru!L2:L1248="KAEK"))</f>
        <v>0</v>
      </c>
      <c r="W9" s="11">
        <f t="array" ref="W9">SUMPRODUCT(((Başvuru!J2:K1248)="Doç. Dr. Kübra AYKAÇ")*(Başvuru!G2:G1248="Doktora Tezi")*(Başvuru!L2:L1248="GÖRÜŞ"))</f>
        <v>0</v>
      </c>
      <c r="X9" s="11">
        <f t="array" ref="X9">SUMPRODUCT(((Başvuru!J2:K1248)="Doç. Dr. Kübra AYKAÇ")*(Başvuru!G2:G1248="Doktora Tezi")*(Başvuru!L2:L1248="RET"))</f>
        <v>0</v>
      </c>
      <c r="Y9" s="11">
        <f t="array" ref="Y9">SUMPRODUCT(((Başvuru!J2:K1248)="Doç. Dr. Kübra AYKAÇ")*(Başvuru!G2:G1248="Doktora Tezi")*(Başvuru!L2:L1248="KAPSAM DIŞI"))</f>
        <v>0</v>
      </c>
      <c r="Z9" s="11">
        <f t="array" ref="Z9">SUMPRODUCT(((Başvuru!J2:K1248)="Doç. Dr. Kübra AYKAÇ")*(Başvuru!G2:G1248="Doktora Tezi")*(Başvuru!L2:L1248="GERİ ÇEKİLDİ"))</f>
        <v>0</v>
      </c>
      <c r="AA9" s="11">
        <f t="shared" si="2"/>
        <v>2</v>
      </c>
      <c r="AB9" s="11">
        <f t="array" ref="AB9">SUMPRODUCT(((Başvuru!J2:K1248)="Doç. Dr. Kübra AYKAÇ")*(Başvuru!G2:G1248="Uzmanlık Tezi")*(Başvuru!L2:L1248="ONAY"))</f>
        <v>7</v>
      </c>
      <c r="AC9" s="11">
        <f t="array" ref="AC9">SUMPRODUCT(((Başvuru!J2:K1248)="Doç. Dr. Kübra AYKAÇ")*(Başvuru!G2:G1248="Uzmanlık Tezi")*(Başvuru!L2:L1248="DÜZELTME"))</f>
        <v>3</v>
      </c>
      <c r="AD9" s="11">
        <f t="array" ref="AD9">SUMPRODUCT(((Başvuru!J2:K1248)="Doç. Dr. Kübra AYKAÇ")*(Başvuru!G2:G1248="Uzmanlık Tezi")*(Başvuru!L2:L1248="KAEK"))</f>
        <v>1</v>
      </c>
      <c r="AE9" s="11">
        <f t="array" ref="AE9">SUMPRODUCT(((Başvuru!J2:K1248)="Doç. Dr. Kübra AYKAÇ")*(Başvuru!G2:G1248="Uzmanlık Tezi")*(Başvuru!L2:L1248="GÖRÜŞ"))</f>
        <v>0</v>
      </c>
      <c r="AF9" s="11">
        <f t="array" ref="AF9">SUMPRODUCT(((Başvuru!J2:K1248)="Doç. Dr. Kübra AYKAÇ")*(Başvuru!G2:G1248="Uzmanlık Tezi")*(Başvuru!L2:L1248="RET"))</f>
        <v>0</v>
      </c>
      <c r="AG9" s="11">
        <f t="array" ref="AG9">SUMPRODUCT(((Başvuru!J2:K1248)="Doç. Dr. Kübra AYKAÇ")*(Başvuru!G2:G1248="Uzmanlık Tezi")*(Başvuru!L2:L1248="KAPSAM DIŞI"))</f>
        <v>1</v>
      </c>
      <c r="AH9" s="11">
        <f t="array" ref="AH9">SUMPRODUCT(((Başvuru!J2:K1248)="Doç. Dr. Kübra AYKAÇ")*(Başvuru!G2:G1248="Uzmanlık Tezi")*(Başvuru!L2:L1248="GERİ ÇEKİLDİ"))</f>
        <v>0</v>
      </c>
      <c r="AI9" s="11">
        <f t="shared" si="3"/>
        <v>12</v>
      </c>
      <c r="AJ9" s="28">
        <f t="shared" si="4"/>
        <v>37</v>
      </c>
      <c r="AK9" s="28">
        <f t="shared" si="5"/>
        <v>26</v>
      </c>
      <c r="AL9" s="28">
        <f t="shared" si="6"/>
        <v>2</v>
      </c>
      <c r="AM9" s="28">
        <f t="shared" si="7"/>
        <v>1</v>
      </c>
      <c r="AN9" s="28">
        <f t="shared" si="8"/>
        <v>1</v>
      </c>
      <c r="AO9" s="28">
        <f t="shared" si="9"/>
        <v>1</v>
      </c>
      <c r="AP9" s="28">
        <f t="shared" si="10"/>
        <v>0</v>
      </c>
      <c r="AQ9" s="174">
        <f t="shared" si="11"/>
        <v>68</v>
      </c>
      <c r="AR9" s="11">
        <f t="shared" si="12"/>
        <v>0</v>
      </c>
      <c r="AS9" s="184">
        <f>COUNTIF(Başvuru!$Q:$Q,$B9)</f>
        <v>4</v>
      </c>
      <c r="AT9" s="185">
        <f>COUNTIFS(Başvuru!$Q:$Q,$B9,Başvuru!$J:$J,"&lt;&gt;"&amp;$B9,Başvuru!$K:$K,"&lt;&gt;"&amp;$B9)</f>
        <v>0</v>
      </c>
    </row>
    <row r="10" spans="1:46" s="13" customFormat="1" ht="30" customHeight="1" x14ac:dyDescent="0.25">
      <c r="A10" s="20" t="s">
        <v>116</v>
      </c>
      <c r="B10" s="21" t="s">
        <v>85</v>
      </c>
      <c r="C10" s="11">
        <f>COUNTIF(Başvuru!J2:K1248,"Doç. Dr. Tolga ÇAKMAK")</f>
        <v>56</v>
      </c>
      <c r="D10" s="173">
        <f t="array" ref="D10">SUMPRODUCT(((Başvuru!J2:K1248)="Doç. Dr. Tolga ÇAKMAK")*(Başvuru!G2:G1248="Bireysel Araştırma")*(Başvuru!L2:L1248="ONAY"))</f>
        <v>19</v>
      </c>
      <c r="E10" s="173">
        <f t="array" ref="E10">SUMPRODUCT(((Başvuru!J2:K1248)="Doç. Dr. Tolga ÇAKMAK")*(Başvuru!G2:G1248="Bireysel Araştırma")*(Başvuru!L2:L1248="DÜZELTME"))</f>
        <v>11</v>
      </c>
      <c r="F10" s="173">
        <f t="array" ref="F10">SUMPRODUCT(((Başvuru!J2:K1248)="Doç. Dr. Tolga ÇAKMAK")*(Başvuru!G2:G1248="Bireysel Araştırma")*(Başvuru!L2:L1248="KAEK"))</f>
        <v>1</v>
      </c>
      <c r="G10" s="173">
        <f t="array" ref="G10">SUMPRODUCT(((Başvuru!J2:K1248)="Doç. Dr. Tolga ÇAKMAK")*(Başvuru!G2:G1248="Bireysel Araştırma")*(Başvuru!L2:L1248="GÖRÜŞ"))</f>
        <v>2</v>
      </c>
      <c r="H10" s="173">
        <f t="array" ref="H10">SUMPRODUCT(((Başvuru!J2:K1248)="Doç. Dr. Tolga ÇAKMAK")*(Başvuru!G2:G1248="Bireysel Araştırma")*(Başvuru!L2:L1248="RET"))</f>
        <v>5</v>
      </c>
      <c r="I10" s="173">
        <f t="array" ref="I10">SUMPRODUCT(((Başvuru!J2:K1248)="Doç. Dr. Tolga ÇAKMAK")*(Başvuru!G2:G1248="Bireysel Araştırma")*(Başvuru!L2:L1248="KAPSAM DIŞI"))</f>
        <v>0</v>
      </c>
      <c r="J10" s="173">
        <f t="array" ref="J10">SUMPRODUCT(((Başvuru!J2:K1248)="Doç. Dr. Tolga ÇAKMAK")*(Başvuru!G2:G1248="Bireysel Araştırma")*(Başvuru!L2:L1248="GERİ ÇEKİLDİ"))</f>
        <v>0</v>
      </c>
      <c r="K10" s="11">
        <f t="shared" si="0"/>
        <v>38</v>
      </c>
      <c r="L10" s="11">
        <f t="array" ref="L10">SUMPRODUCT(((Başvuru!J2:K1248)="Doç. Dr. Tolga ÇAKMAK")*(Başvuru!G2:G1248="Yüksek Lisans Tezi")*(Başvuru!L2:L1248="ONAY"))</f>
        <v>0</v>
      </c>
      <c r="M10" s="11">
        <f t="array" ref="M10">SUMPRODUCT(((Başvuru!J2:K1248)="Doç. Dr. Tolga ÇAKMAK")*(Başvuru!G2:G1248="Yüksek Lisans Tezi")*(Başvuru!L2:L1248="DÜZELTME"))</f>
        <v>3</v>
      </c>
      <c r="N10" s="11">
        <f t="array" ref="N10">SUMPRODUCT(((Başvuru!J2:K1248)="Doç. Dr. Tolga ÇAKMAK")*(Başvuru!G2:G1248="Yüksek Lisans Tezi")*(Başvuru!L2:L1248="KAEK"))</f>
        <v>0</v>
      </c>
      <c r="O10" s="11">
        <f t="array" ref="O10">SUMPRODUCT(((Başvuru!J2:K1248)="Doç. Dr. Tolga ÇAKMAK")*(Başvuru!G2:G1248="Yüksek Lisans Tezi")*(Başvuru!L2:L1248="GÖRÜŞ"))</f>
        <v>0</v>
      </c>
      <c r="P10" s="11">
        <f t="array" ref="P10">SUMPRODUCT(((Başvuru!J2:K1248)="Doç. Dr. Tolga ÇAKMAK")*(Başvuru!G2:G1248="Yüksek Lisans Tezi")*(Başvuru!L2:L1248="RET"))</f>
        <v>0</v>
      </c>
      <c r="Q10" s="11">
        <f t="array" ref="Q10">SUMPRODUCT(((Başvuru!J2:K1248)="Doç. Dr. Tolga ÇAKMAK")*(Başvuru!G2:G1248="Yüksek Lisans Tezi")*(Başvuru!L2:L1248="KAPSAM DIŞI"))</f>
        <v>0</v>
      </c>
      <c r="R10" s="11">
        <f t="array" ref="R10">SUMPRODUCT(((Başvuru!J2:K1248)="Doç. Dr. Tolga ÇAKMAK")*(Başvuru!G2:G1248="Yüksek Lisans Tezi")*(Başvuru!L2:L1248="GERİ ÇEKİLDİ"))</f>
        <v>0</v>
      </c>
      <c r="S10" s="11">
        <f t="shared" si="1"/>
        <v>3</v>
      </c>
      <c r="T10" s="11">
        <f t="array" ref="T10">SUMPRODUCT(((Başvuru!J2:K1248)="Doç. Dr. Tolga ÇAKMAK")*(Başvuru!G2:G1248="Doktora Tezi")*(Başvuru!L2:L1248="ONAY"))</f>
        <v>3</v>
      </c>
      <c r="U10" s="11">
        <f t="array" ref="U10">SUMPRODUCT(((Başvuru!J2:K1248)="Doç. Dr. Tolga ÇAKMAK")*(Başvuru!G2:G1248="Doktora Tezi")*(Başvuru!L2:L1248="DÜZELTME"))</f>
        <v>4</v>
      </c>
      <c r="V10" s="11">
        <f t="array" ref="V10">SUMPRODUCT(((Başvuru!J2:K1248)="Doç. Dr. Tolga ÇAKMAK")*(Başvuru!G2:G1248="Doktora Tezi")*(Başvuru!L2:L1248="KAEK"))</f>
        <v>0</v>
      </c>
      <c r="W10" s="11">
        <f t="array" ref="W10">SUMPRODUCT(((Başvuru!J2:K1248)="Doç. Dr. Tolga ÇAKMAK")*(Başvuru!G2:G1248="Doktora Tezi")*(Başvuru!L2:L1248="GÖRÜŞ"))</f>
        <v>1</v>
      </c>
      <c r="X10" s="11">
        <f t="array" ref="X10">SUMPRODUCT(((Başvuru!J2:K1248)="Doç. Dr. Tolga ÇAKMAK")*(Başvuru!G2:G1248="Doktora Tezi")*(Başvuru!L2:L1248="RET"))</f>
        <v>0</v>
      </c>
      <c r="Y10" s="11">
        <f t="array" ref="Y10">SUMPRODUCT(((Başvuru!J2:K1248)="Doç. Dr. Tolga ÇAKMAK")*(Başvuru!G2:G1248="Doktora Tezi")*(Başvuru!L2:L1248="KAPSAM DIŞI"))</f>
        <v>0</v>
      </c>
      <c r="Z10" s="11">
        <f t="array" ref="Z10">SUMPRODUCT(((Başvuru!J2:K1248)="Doç. Dr. Tolga ÇAKMAK")*(Başvuru!G2:G1248="Doktora Tezi")*(Başvuru!L2:L1248="GERİ ÇEKİLDİ"))</f>
        <v>0</v>
      </c>
      <c r="AA10" s="11">
        <f t="shared" si="2"/>
        <v>8</v>
      </c>
      <c r="AB10" s="11">
        <f t="array" ref="AB10">SUMPRODUCT(((Başvuru!J2:K1248)="Doç. Dr. Tolga ÇAKMAK")*(Başvuru!G2:G1248="Uzmanlık Tezi")*(Başvuru!L2:L1248="ONAY"))</f>
        <v>6</v>
      </c>
      <c r="AC10" s="11">
        <f t="array" ref="AC10">SUMPRODUCT(((Başvuru!J2:K1248)="Doç. Dr. Tolga ÇAKMAK")*(Başvuru!G2:G1248="Uzmanlık Tezi")*(Başvuru!L2:L1248="DÜZELTME"))</f>
        <v>1</v>
      </c>
      <c r="AD10" s="11">
        <f t="array" ref="AD10">SUMPRODUCT(((Başvuru!J2:K1248)="Doç. Dr. Tolga ÇAKMAK")*(Başvuru!G2:G1248="Uzmanlık Tezi")*(Başvuru!L2:L1248="KAEK"))</f>
        <v>0</v>
      </c>
      <c r="AE10" s="11">
        <f t="array" ref="AE10">SUMPRODUCT(((Başvuru!J2:K1248)="Doç. Dr. Tolga ÇAKMAK")*(Başvuru!G2:G1248="Uzmanlık Tezi")*(Başvuru!L2:L1248="GÖRÜŞ"))</f>
        <v>0</v>
      </c>
      <c r="AF10" s="11">
        <f t="array" ref="AF10">SUMPRODUCT(((Başvuru!J2:K1248)="Doç. Dr. Tolga ÇAKMAK")*(Başvuru!G2:G1248="Uzmanlık Tezi")*(Başvuru!L2:L1248="RET"))</f>
        <v>0</v>
      </c>
      <c r="AG10" s="11">
        <f t="array" ref="AG10">SUMPRODUCT(((Başvuru!J2:K1248)="Doç. Dr. Tolga ÇAKMAK")*(Başvuru!G2:G1248="Uzmanlık Tezi")*(Başvuru!L2:L1248="KAPSAM DIŞI"))</f>
        <v>0</v>
      </c>
      <c r="AH10" s="11">
        <f t="array" ref="AH10">SUMPRODUCT(((Başvuru!J2:K1248)="Doç. Dr. Tolga ÇAKMAK")*(Başvuru!G2:G1248="Uzmanlık Tezi")*(Başvuru!L2:L1248="GERİ ÇEKİLDİ"))</f>
        <v>0</v>
      </c>
      <c r="AI10" s="11">
        <f t="shared" si="3"/>
        <v>7</v>
      </c>
      <c r="AJ10" s="28">
        <f t="shared" si="4"/>
        <v>28</v>
      </c>
      <c r="AK10" s="28">
        <f t="shared" si="5"/>
        <v>19</v>
      </c>
      <c r="AL10" s="28">
        <f t="shared" si="6"/>
        <v>1</v>
      </c>
      <c r="AM10" s="28">
        <f t="shared" si="7"/>
        <v>3</v>
      </c>
      <c r="AN10" s="28">
        <f t="shared" si="8"/>
        <v>5</v>
      </c>
      <c r="AO10" s="28">
        <f t="shared" si="9"/>
        <v>0</v>
      </c>
      <c r="AP10" s="28">
        <f t="shared" si="10"/>
        <v>0</v>
      </c>
      <c r="AQ10" s="174">
        <f t="shared" si="11"/>
        <v>56</v>
      </c>
      <c r="AR10" s="11">
        <f t="shared" si="12"/>
        <v>0</v>
      </c>
      <c r="AS10" s="184">
        <f>COUNTIF(Başvuru!$Q:$Q,$B10)</f>
        <v>1</v>
      </c>
      <c r="AT10" s="185">
        <f>COUNTIFS(Başvuru!$Q:$Q,$B10,Başvuru!$J:$J,"&lt;&gt;"&amp;$B10,Başvuru!$K:$K,"&lt;&gt;"&amp;$B10)</f>
        <v>0</v>
      </c>
    </row>
    <row r="11" spans="1:46" s="13" customFormat="1" ht="30" customHeight="1" x14ac:dyDescent="0.25">
      <c r="A11" s="20" t="s">
        <v>122</v>
      </c>
      <c r="B11" s="21" t="s">
        <v>86</v>
      </c>
      <c r="C11" s="11">
        <f>COUNTIF(Başvuru!J2:K1248,"Doç. Dr. Burcu ERSÖZ ALAN")</f>
        <v>64</v>
      </c>
      <c r="D11" s="173">
        <f t="array" ref="D11">SUMPRODUCT(((Başvuru!J2:K1248)="Doç. Dr. Burcu ERSÖZ ALAN")*(Başvuru!G2:G1248="Bireysel Araştırma")*(Başvuru!L2:L1248="ONAY"))</f>
        <v>32</v>
      </c>
      <c r="E11" s="173">
        <f t="array" ref="E11">SUMPRODUCT(((Başvuru!J2:K1248)="Doç. Dr. Burcu ERSÖZ ALAN")*(Başvuru!G2:G1248="Bireysel Araştırma")*(Başvuru!L2:L1248="DÜZELTME"))</f>
        <v>13</v>
      </c>
      <c r="F11" s="173">
        <f t="array" ref="F11">SUMPRODUCT(((Başvuru!J2:K1248)="Doç. Dr. Burcu ERSÖZ ALAN")*(Başvuru!G2:G1248="Bireysel Araştırma")*(Başvuru!L2:L1248="KAEK"))</f>
        <v>0</v>
      </c>
      <c r="G11" s="173">
        <f t="array" ref="G11">SUMPRODUCT(((Başvuru!J2:K1248)="Doç. Dr. Burcu ERSÖZ ALAN")*(Başvuru!G2:G1248="Bireysel Araştırma")*(Başvuru!L2:L1248="GÖRÜŞ"))</f>
        <v>0</v>
      </c>
      <c r="H11" s="173">
        <f t="array" ref="H11">SUMPRODUCT(((Başvuru!J2:K1248)="Doç. Dr. Burcu ERSÖZ ALAN")*(Başvuru!G2:G1248="Bireysel Araştırma")*(Başvuru!L2:L1248="RET"))</f>
        <v>1</v>
      </c>
      <c r="I11" s="173">
        <f t="array" ref="I11">SUMPRODUCT(((Başvuru!J2:K1248)="Doç. Dr. Burcu ERSÖZ ALAN")*(Başvuru!G2:G1248="Bireysel Araştırma")*(Başvuru!L2:L1248="KAPSAM DIŞI"))</f>
        <v>0</v>
      </c>
      <c r="J11" s="173">
        <f t="array" ref="J11">SUMPRODUCT(((Başvuru!J2:K1248)="Doç. Dr. Burcu ERSÖZ ALAN")*(Başvuru!G2:G1248="Bireysel Araştırma")*(Başvuru!L2:L1248="GERİ ÇEKİLDİ"))</f>
        <v>0</v>
      </c>
      <c r="K11" s="11">
        <f t="shared" si="0"/>
        <v>46</v>
      </c>
      <c r="L11" s="11">
        <f t="array" ref="L11">SUMPRODUCT(((Başvuru!J2:K1248)="Doç. Dr. Burcu ERSÖZ ALAN")*(Başvuru!G2:G1248="Yüksek Lisans Tezi")*(Başvuru!L2:L1248="ONAY"))</f>
        <v>0</v>
      </c>
      <c r="M11" s="11">
        <f t="array" ref="M11">SUMPRODUCT(((Başvuru!J2:K1248)="Doç. Dr. Burcu ERSÖZ ALAN")*(Başvuru!G2:G1248="Yüksek Lisans Tezi")*(Başvuru!L2:L1248="DÜZELTME"))</f>
        <v>0</v>
      </c>
      <c r="N11" s="11">
        <f t="array" ref="N11">SUMPRODUCT(((Başvuru!J2:K1248)="Doç. Dr. Burcu ERSÖZ ALAN")*(Başvuru!G2:G1248="Yüksek Lisans Tezi")*(Başvuru!L2:L1248="KAEK"))</f>
        <v>0</v>
      </c>
      <c r="O11" s="11">
        <f t="array" ref="O11">SUMPRODUCT(((Başvuru!J2:K1248)="Doç. Dr. Burcu ERSÖZ ALAN")*(Başvuru!G2:G1248="Yüksek Lisans Tezi")*(Başvuru!L2:L1248="GÖRÜŞ"))</f>
        <v>0</v>
      </c>
      <c r="P11" s="11">
        <f t="array" ref="P11">SUMPRODUCT(((Başvuru!J2:K1248)="Doç. Dr. Burcu ERSÖZ ALAN")*(Başvuru!G2:G1248="Yüksek Lisans Tezi")*(Başvuru!L2:L1248="RET"))</f>
        <v>0</v>
      </c>
      <c r="Q11" s="11">
        <f t="array" ref="Q11">SUMPRODUCT(((Başvuru!J2:K1248)="Doç. Dr. Burcu ERSÖZ ALAN")*(Başvuru!G2:G1248="Yüksek Lisans Tezi")*(Başvuru!L2:L1248="KAPSAM DIŞI"))</f>
        <v>0</v>
      </c>
      <c r="R11" s="11">
        <f t="array" ref="R11">SUMPRODUCT(((Başvuru!J2:K1248)="Doç. Dr. Burcu ERSÖZ ALAN")*(Başvuru!G2:G1248="Yüksek Lisans Tezi")*(Başvuru!L2:L1248="GERİ ÇEKİLDİ"))</f>
        <v>0</v>
      </c>
      <c r="S11" s="11">
        <f t="shared" si="1"/>
        <v>0</v>
      </c>
      <c r="T11" s="11">
        <f t="array" ref="T11">SUMPRODUCT(((Başvuru!J2:K1248)="Doç. Dr. Burcu ERSÖZ ALAN")*(Başvuru!G2:G1248="Doktora Tezi")*(Başvuru!L2:L1248="ONAY"))</f>
        <v>4</v>
      </c>
      <c r="U11" s="11">
        <f t="array" ref="U11">SUMPRODUCT(((Başvuru!J2:K1248)="Doç. Dr. Burcu ERSÖZ ALAN")*(Başvuru!G2:G1248="Doktora Tezi")*(Başvuru!L2:L1248="DÜZELTME"))</f>
        <v>2</v>
      </c>
      <c r="V11" s="11">
        <f t="array" ref="V11">SUMPRODUCT(((Başvuru!J2:K1248)="Doç. Dr. Burcu ERSÖZ ALAN")*(Başvuru!G2:G1248="Doktora Tezi")*(Başvuru!L2:L1248="KAEK"))</f>
        <v>0</v>
      </c>
      <c r="W11" s="11">
        <f t="array" ref="W11">SUMPRODUCT(((Başvuru!J2:K1248)="Doç. Dr. Burcu ERSÖZ ALAN")*(Başvuru!G2:G1248="Doktora Tezi")*(Başvuru!L2:L1248="GÖRÜŞ"))</f>
        <v>0</v>
      </c>
      <c r="X11" s="11">
        <f t="array" ref="X11">SUMPRODUCT(((Başvuru!J2:K1248)="Doç. Dr. Burcu ERSÖZ ALAN")*(Başvuru!G2:G1248="Doktora Tezi")*(Başvuru!L2:L1248="RET"))</f>
        <v>0</v>
      </c>
      <c r="Y11" s="11">
        <f t="array" ref="Y11">SUMPRODUCT(((Başvuru!J2:K1248)="Doç. Dr. Burcu ERSÖZ ALAN")*(Başvuru!G2:G1248="Doktora Tezi")*(Başvuru!L2:L1248="KAPSAM DIŞI"))</f>
        <v>0</v>
      </c>
      <c r="Z11" s="11">
        <f t="array" ref="Z11">SUMPRODUCT(((Başvuru!J2:K1248)="Doç. Dr. Burcu ERSÖZ ALAN")*(Başvuru!G2:G1248="Doktora Tezi")*(Başvuru!L2:L1248="GERİ ÇEKİLDİ"))</f>
        <v>0</v>
      </c>
      <c r="AA11" s="11">
        <f t="shared" si="2"/>
        <v>6</v>
      </c>
      <c r="AB11" s="11">
        <f t="array" ref="AB11">SUMPRODUCT(((Başvuru!J2:K1248)="Doç. Dr. Burcu ERSÖZ ALAN")*(Başvuru!G2:G1248="Uzmanlık Tezi")*(Başvuru!L2:L1248="ONAY"))</f>
        <v>4</v>
      </c>
      <c r="AC11" s="11">
        <f t="array" ref="AC11">SUMPRODUCT(((Başvuru!J2:K1248)="Doç. Dr. Burcu ERSÖZ ALAN")*(Başvuru!G2:G1248="Uzmanlık Tezi")*(Başvuru!L2:L1248="DÜZELTME"))</f>
        <v>7</v>
      </c>
      <c r="AD11" s="11">
        <f t="array" ref="AD11">SUMPRODUCT(((Başvuru!J2:K1248)="Doç. Dr. Burcu ERSÖZ ALAN")*(Başvuru!G2:G1248="Uzmanlık Tezi")*(Başvuru!L2:L1248="KAEK"))</f>
        <v>0</v>
      </c>
      <c r="AE11" s="11">
        <f t="array" ref="AE11">SUMPRODUCT(((Başvuru!J2:K1248)="Doç. Dr. Burcu ERSÖZ ALAN")*(Başvuru!G2:G1248="Uzmanlık Tezi")*(Başvuru!L2:L1248="GÖRÜŞ"))</f>
        <v>1</v>
      </c>
      <c r="AF11" s="11">
        <f t="array" ref="AF11">SUMPRODUCT(((Başvuru!J2:K1248)="Doç. Dr. Burcu ERSÖZ ALAN")*(Başvuru!G2:G1248="Uzmanlık Tezi")*(Başvuru!L2:L1248="RET"))</f>
        <v>0</v>
      </c>
      <c r="AG11" s="11">
        <f t="array" ref="AG11">SUMPRODUCT(((Başvuru!J2:K1248)="Doç. Dr. Burcu ERSÖZ ALAN")*(Başvuru!G2:G1248="Uzmanlık Tezi")*(Başvuru!L2:L1248="KAPSAM DIŞI"))</f>
        <v>0</v>
      </c>
      <c r="AH11" s="11">
        <f t="array" ref="AH11">SUMPRODUCT(((Başvuru!J2:K1248)="Doç. Dr. Burcu ERSÖZ ALAN")*(Başvuru!G2:G1248="Uzmanlık Tezi")*(Başvuru!L2:L1248="GERİ ÇEKİLDİ"))</f>
        <v>0</v>
      </c>
      <c r="AI11" s="11">
        <f t="shared" si="3"/>
        <v>12</v>
      </c>
      <c r="AJ11" s="28">
        <f t="shared" si="4"/>
        <v>40</v>
      </c>
      <c r="AK11" s="28">
        <f t="shared" si="5"/>
        <v>22</v>
      </c>
      <c r="AL11" s="28">
        <f t="shared" si="6"/>
        <v>0</v>
      </c>
      <c r="AM11" s="28">
        <f t="shared" si="7"/>
        <v>1</v>
      </c>
      <c r="AN11" s="28">
        <f t="shared" si="8"/>
        <v>1</v>
      </c>
      <c r="AO11" s="28">
        <f t="shared" si="9"/>
        <v>0</v>
      </c>
      <c r="AP11" s="28">
        <f t="shared" si="10"/>
        <v>0</v>
      </c>
      <c r="AQ11" s="174">
        <f t="shared" si="11"/>
        <v>64</v>
      </c>
      <c r="AR11" s="11">
        <f t="shared" si="12"/>
        <v>0</v>
      </c>
      <c r="AS11" s="184">
        <f>COUNTIF(Başvuru!$Q:$Q,$B11)</f>
        <v>5</v>
      </c>
      <c r="AT11" s="185">
        <f>COUNTIFS(Başvuru!$Q:$Q,$B11,Başvuru!$J:$J,"&lt;&gt;"&amp;$B11,Başvuru!$K:$K,"&lt;&gt;"&amp;$B11)</f>
        <v>0</v>
      </c>
    </row>
    <row r="12" spans="1:46" s="13" customFormat="1" ht="30" customHeight="1" x14ac:dyDescent="0.25">
      <c r="A12" s="20" t="s">
        <v>128</v>
      </c>
      <c r="B12" s="21" t="s">
        <v>78</v>
      </c>
      <c r="C12" s="11">
        <f>COUNTIF(Başvuru!J2:K1248,"Doç. Dr. Ekim GÜMELER")</f>
        <v>55</v>
      </c>
      <c r="D12" s="173">
        <f t="array" ref="D12">SUMPRODUCT(((Başvuru!J2:K1248)="Doç. Dr. Ekim GÜMELER")*(Başvuru!G2:G1248="Bireysel Araştırma")*(Başvuru!L2:L1248="ONAY"))</f>
        <v>26</v>
      </c>
      <c r="E12" s="173">
        <f t="array" ref="E12">SUMPRODUCT(((Başvuru!J2:K1248)="Doç. Dr. Ekim GÜMELER")*(Başvuru!G2:G1248="Bireysel Araştırma")*(Başvuru!L2:L1248="DÜZELTME"))</f>
        <v>15</v>
      </c>
      <c r="F12" s="173">
        <f t="array" ref="F12">SUMPRODUCT(((Başvuru!J2:K1248)="Doç. Dr. Ekim GÜMELER")*(Başvuru!G2:G1248="Bireysel Araştırma")*(Başvuru!L2:L1248="KAEK"))</f>
        <v>2</v>
      </c>
      <c r="G12" s="173">
        <f t="array" ref="G12">SUMPRODUCT(((Başvuru!J2:K1248)="Doç. Dr. Ekim GÜMELER")*(Başvuru!G2:G1248="Bireysel Araştırma")*(Başvuru!L2:L1248="GÖRÜŞ"))</f>
        <v>0</v>
      </c>
      <c r="H12" s="173">
        <f t="array" ref="H12">SUMPRODUCT(((Başvuru!J2:K1248)="Doç. Dr. Ekim GÜMELER")*(Başvuru!G2:G1248="Bireysel Araştırma")*(Başvuru!L2:L1248="RET"))</f>
        <v>0</v>
      </c>
      <c r="I12" s="173">
        <f t="array" ref="I12">SUMPRODUCT(((Başvuru!J2:K1248)="Doç. Dr. Ekim GÜMELER")*(Başvuru!G2:G1248="Bireysel Araştırma")*(Başvuru!L2:L1248="KAPSAM DIŞI"))</f>
        <v>0</v>
      </c>
      <c r="J12" s="173">
        <f t="array" ref="J12">SUMPRODUCT(((Başvuru!J2:K1248)="Doç. Dr. Ekim GÜMELER")*(Başvuru!G2:G1248="Bireysel Araştırma")*(Başvuru!L2:L1248="GERİ ÇEKİLDİ"))</f>
        <v>0</v>
      </c>
      <c r="K12" s="11">
        <f t="shared" si="0"/>
        <v>43</v>
      </c>
      <c r="L12" s="11">
        <f t="array" ref="L12">SUMPRODUCT(((Başvuru!J2:K1248)="Doç. Dr. Ekim GÜMELER")*(Başvuru!G2:G1248="Yüksek Lisans Tezi")*(Başvuru!L2:L1248="ONAY"))</f>
        <v>0</v>
      </c>
      <c r="M12" s="11">
        <f t="array" ref="M12">SUMPRODUCT(((Başvuru!J2:K1248)="Doç. Dr. Ekim GÜMELER")*(Başvuru!G2:G1248="Yüksek Lisans Tezi")*(Başvuru!L2:L1248="DÜZELTME"))</f>
        <v>0</v>
      </c>
      <c r="N12" s="11">
        <f t="array" ref="N12">SUMPRODUCT(((Başvuru!J2:K1248)="Doç. Dr. Ekim GÜMELER")*(Başvuru!G2:G1248="Yüksek Lisans Tezi")*(Başvuru!L2:L1248="KAEK"))</f>
        <v>0</v>
      </c>
      <c r="O12" s="11">
        <f t="array" ref="O12">SUMPRODUCT(((Başvuru!J2:K1248)="Doç. Dr. Ekim GÜMELER")*(Başvuru!G2:G1248="Yüksek Lisans Tezi")*(Başvuru!L2:L1248="GÖRÜŞ"))</f>
        <v>0</v>
      </c>
      <c r="P12" s="11">
        <f t="array" ref="P12">SUMPRODUCT(((Başvuru!J2:K1248)="Doç. Dr. Ekim GÜMELER")*(Başvuru!G2:G1248="Yüksek Lisans Tezi")*(Başvuru!L2:L1248="RET"))</f>
        <v>0</v>
      </c>
      <c r="Q12" s="11">
        <f t="array" ref="Q12">SUMPRODUCT(((Başvuru!J2:K1248)="Doç. Dr. Ekim GÜMELER")*(Başvuru!G2:G1248="Yüksek Lisans Tezi")*(Başvuru!L2:L1248="KAPSAM DIŞI"))</f>
        <v>0</v>
      </c>
      <c r="R12" s="11">
        <f t="array" ref="R12">SUMPRODUCT(((Başvuru!J2:K1248)="Doç. Dr. Ekim GÜMELER")*(Başvuru!G2:G1248="Yüksek Lisans Tezi")*(Başvuru!L2:L1248="GERİ ÇEKİLDİ"))</f>
        <v>0</v>
      </c>
      <c r="S12" s="11">
        <f t="shared" si="1"/>
        <v>0</v>
      </c>
      <c r="T12" s="11">
        <f t="array" ref="T12">SUMPRODUCT(((Başvuru!J2:K1248)="Doç. Dr. Ekim GÜMELER")*(Başvuru!G2:G1248="Doktora Tezi")*(Başvuru!L2:L1248="ONAY"))</f>
        <v>1</v>
      </c>
      <c r="U12" s="11">
        <f t="array" ref="U12">SUMPRODUCT(((Başvuru!J2:K1248)="Doç. Dr. Ekim GÜMELER")*(Başvuru!G2:G1248="Doktora Tezi")*(Başvuru!L2:L1248="DÜZELTME"))</f>
        <v>0</v>
      </c>
      <c r="V12" s="11">
        <f t="array" ref="V12">SUMPRODUCT(((Başvuru!J2:K1248)="Doç. Dr. Ekim GÜMELER")*(Başvuru!G2:G1248="Doktora Tezi")*(Başvuru!L2:L1248="KAEK"))</f>
        <v>0</v>
      </c>
      <c r="W12" s="11">
        <f t="array" ref="W12">SUMPRODUCT(((Başvuru!J2:K1248)="Doç. Dr. Ekim GÜMELER")*(Başvuru!G2:G1248="Doktora Tezi")*(Başvuru!L2:L1248="GÖRÜŞ"))</f>
        <v>1</v>
      </c>
      <c r="X12" s="11">
        <f t="array" ref="X12">SUMPRODUCT(((Başvuru!J2:K1248)="Doç. Dr. Ekim GÜMELER")*(Başvuru!G2:G1248="Doktora Tezi")*(Başvuru!L2:L1248="RET"))</f>
        <v>0</v>
      </c>
      <c r="Y12" s="11">
        <f t="array" ref="Y12">SUMPRODUCT(((Başvuru!J2:K1248)="Doç. Dr. Ekim GÜMELER")*(Başvuru!G2:G1248="Doktora Tezi")*(Başvuru!L2:L1248="KAPSAM DIŞI"))</f>
        <v>0</v>
      </c>
      <c r="Z12" s="11">
        <f t="array" ref="Z12">SUMPRODUCT(((Başvuru!J2:K1248)="Doç. Dr. Ekim GÜMELER")*(Başvuru!G2:G1248="Doktora Tezi")*(Başvuru!L2:L1248="GERİ ÇEKİLDİ"))</f>
        <v>0</v>
      </c>
      <c r="AA12" s="11">
        <f t="shared" si="2"/>
        <v>2</v>
      </c>
      <c r="AB12" s="11">
        <f t="array" ref="AB12">SUMPRODUCT(((Başvuru!J2:K1248)="Doç. Dr. Ekim GÜMELER")*(Başvuru!G2:G1248="Uzmanlık Tezi")*(Başvuru!L2:L1248="ONAY"))</f>
        <v>6</v>
      </c>
      <c r="AC12" s="11">
        <f t="array" ref="AC12">SUMPRODUCT(((Başvuru!J2:K1248)="Doç. Dr. Ekim GÜMELER")*(Başvuru!G2:G1248="Uzmanlık Tezi")*(Başvuru!L2:L1248="DÜZELTME"))</f>
        <v>2</v>
      </c>
      <c r="AD12" s="11">
        <f t="array" ref="AD12">SUMPRODUCT(((Başvuru!J2:K1248)="Doç. Dr. Ekim GÜMELER")*(Başvuru!G2:G1248="Uzmanlık Tezi")*(Başvuru!L2:L1248="KAEK"))</f>
        <v>0</v>
      </c>
      <c r="AE12" s="11">
        <f t="array" ref="AE12">SUMPRODUCT(((Başvuru!J2:K1248)="Doç. Dr. Ekim GÜMELER")*(Başvuru!G2:G1248="Uzmanlık Tezi")*(Başvuru!L2:L1248="GÖRÜŞ"))</f>
        <v>0</v>
      </c>
      <c r="AF12" s="11">
        <f t="array" ref="AF12">SUMPRODUCT(((Başvuru!J2:K1248)="Doç. Dr. Ekim GÜMELER")*(Başvuru!G2:G1248="Uzmanlık Tezi")*(Başvuru!L2:L1248="RET"))</f>
        <v>0</v>
      </c>
      <c r="AG12" s="11">
        <f t="array" ref="AG12">SUMPRODUCT(((Başvuru!J2:K1248)="Doç. Dr. Ekim GÜMELER")*(Başvuru!G2:G1248="Uzmanlık Tezi")*(Başvuru!L2:L1248="KAPSAM DIŞI"))</f>
        <v>2</v>
      </c>
      <c r="AH12" s="11">
        <f t="array" ref="AH12">SUMPRODUCT(((Başvuru!J2:K1248)="Doç. Dr. Ekim GÜMELER")*(Başvuru!G2:G1248="Uzmanlık Tezi")*(Başvuru!L2:L1248="GERİ ÇEKİLDİ"))</f>
        <v>0</v>
      </c>
      <c r="AI12" s="11">
        <f t="shared" si="3"/>
        <v>10</v>
      </c>
      <c r="AJ12" s="28">
        <f t="shared" si="4"/>
        <v>33</v>
      </c>
      <c r="AK12" s="28">
        <f t="shared" si="5"/>
        <v>17</v>
      </c>
      <c r="AL12" s="28">
        <f t="shared" si="6"/>
        <v>2</v>
      </c>
      <c r="AM12" s="28">
        <f t="shared" si="7"/>
        <v>1</v>
      </c>
      <c r="AN12" s="28">
        <f t="shared" si="8"/>
        <v>0</v>
      </c>
      <c r="AO12" s="28">
        <f t="shared" si="9"/>
        <v>2</v>
      </c>
      <c r="AP12" s="28">
        <f t="shared" si="10"/>
        <v>0</v>
      </c>
      <c r="AQ12" s="174">
        <f t="shared" si="11"/>
        <v>55</v>
      </c>
      <c r="AR12" s="11">
        <f t="shared" si="12"/>
        <v>0</v>
      </c>
      <c r="AS12" s="184">
        <f>COUNTIF(Başvuru!$Q:$Q,$B12)</f>
        <v>2</v>
      </c>
      <c r="AT12" s="185">
        <f>COUNTIFS(Başvuru!$Q:$Q,$B12,Başvuru!$J:$J,"&lt;&gt;"&amp;$B12,Başvuru!$K:$K,"&lt;&gt;"&amp;$B12)</f>
        <v>0</v>
      </c>
    </row>
    <row r="13" spans="1:46" s="13" customFormat="1" ht="30" customHeight="1" x14ac:dyDescent="0.25">
      <c r="A13" s="20" t="s">
        <v>133</v>
      </c>
      <c r="B13" s="21" t="s">
        <v>77</v>
      </c>
      <c r="C13" s="11">
        <f>COUNTIF(Başvuru!J2:K1248,"Dr. Öğr. Üyesi Müge DEMİR")</f>
        <v>68</v>
      </c>
      <c r="D13" s="173">
        <f t="array" ref="D13">SUMPRODUCT(((Başvuru!J2:K1248)="Dr. Öğr. Üyesi Müge DEMİR")*(Başvuru!G2:G1248="Bireysel Araştırma")*(Başvuru!L2:L1248="ONAY"))</f>
        <v>21</v>
      </c>
      <c r="E13" s="173">
        <f t="array" ref="E13">SUMPRODUCT(((Başvuru!J2:K1248)="Dr. Öğr. Üyesi Müge DEMİR")*(Başvuru!G2:G1248="Bireysel Araştırma")*(Başvuru!L2:L1248="DÜZELTME"))</f>
        <v>21</v>
      </c>
      <c r="F13" s="173">
        <f t="array" ref="F13">SUMPRODUCT(((Başvuru!J2:K1248)="Dr. Öğr. Üyesi Müge DEMİR")*(Başvuru!G2:G1248="Bireysel Araştırma")*(Başvuru!L2:L1248="KAEK"))</f>
        <v>4</v>
      </c>
      <c r="G13" s="173">
        <f t="array" ref="G13">SUMPRODUCT(((Başvuru!J2:K1248)="Dr. Öğr. Üyesi Müge DEMİR")*(Başvuru!G2:G1248="Bireysel Araştırma")*(Başvuru!L2:L1248="GÖRÜŞ"))</f>
        <v>0</v>
      </c>
      <c r="H13" s="173">
        <f t="array" ref="H13">SUMPRODUCT(((Başvuru!J2:K1248)="Dr. Öğr. Üyesi Müge DEMİR")*(Başvuru!G2:G1248="Bireysel Araştırma")*(Başvuru!L2:L1248="RET"))</f>
        <v>2</v>
      </c>
      <c r="I13" s="173">
        <f t="array" ref="I13">SUMPRODUCT(((Başvuru!J2:K1248)="Dr. Öğr. Üyesi Müge DEMİR")*(Başvuru!G2:G1248="Bireysel Araştırma")*(Başvuru!L2:L1248="KAPSAM DIŞI"))</f>
        <v>3</v>
      </c>
      <c r="J13" s="173">
        <f t="array" ref="J13">SUMPRODUCT(((Başvuru!J2:K1248)="Dr. Öğr. Üyesi Müge DEMİR")*(Başvuru!G2:G1248="Bireysel Araştırma")*(Başvuru!L2:L1248="GERİ ÇEKİLDİ"))</f>
        <v>0</v>
      </c>
      <c r="K13" s="11">
        <f t="shared" si="0"/>
        <v>51</v>
      </c>
      <c r="L13" s="11">
        <f t="array" ref="L13">SUMPRODUCT(((Başvuru!J2:K1248)="Dr. Öğr. Üyesi Müge DEMİR")*(Başvuru!G2:G1248="Yüksek Lisans Tezi")*(Başvuru!L2:L1248="ONAY"))</f>
        <v>1</v>
      </c>
      <c r="M13" s="11">
        <f t="array" ref="M13">SUMPRODUCT(((Başvuru!J2:K1248)="Dr. Öğr. Üyesi Müge DEMİR")*(Başvuru!G2:G1248="Yüksek Lisans Tezi")*(Başvuru!L2:L1248="DÜZELTME"))</f>
        <v>1</v>
      </c>
      <c r="N13" s="11">
        <f t="array" ref="N13">SUMPRODUCT(((Başvuru!J2:K1248)="Dr. Öğr. Üyesi Müge DEMİR")*(Başvuru!G2:G1248="Yüksek Lisans Tezi")*(Başvuru!L2:L1248="KAEK"))</f>
        <v>0</v>
      </c>
      <c r="O13" s="11">
        <f t="array" ref="O13">SUMPRODUCT(((Başvuru!J2:K1248)="Dr. Öğr. Üyesi Müge DEMİR")*(Başvuru!G2:G1248="Yüksek Lisans Tezi")*(Başvuru!L2:L1248="GÖRÜŞ"))</f>
        <v>0</v>
      </c>
      <c r="P13" s="11">
        <f t="array" ref="P13">SUMPRODUCT(((Başvuru!J2:K1248)="Dr. Öğr. Üyesi Müge DEMİR")*(Başvuru!G2:G1248="Yüksek Lisans Tezi")*(Başvuru!L2:L1248="RET"))</f>
        <v>0</v>
      </c>
      <c r="Q13" s="11">
        <f t="array" ref="Q13">SUMPRODUCT(((Başvuru!J2:K1248)="Dr. Öğr. Üyesi Müge DEMİR")*(Başvuru!G2:G1248="Yüksek Lisans Tezi")*(Başvuru!L2:L1248="KAPSAM DIŞI"))</f>
        <v>0</v>
      </c>
      <c r="R13" s="11">
        <f t="array" ref="R13">SUMPRODUCT(((Başvuru!J2:K1248)="Dr. Öğr. Üyesi Müge DEMİR")*(Başvuru!G2:G1248="Yüksek Lisans Tezi")*(Başvuru!L2:L1248="GERİ ÇEKİLDİ"))</f>
        <v>0</v>
      </c>
      <c r="S13" s="11">
        <f t="shared" si="1"/>
        <v>2</v>
      </c>
      <c r="T13" s="11">
        <f t="array" ref="T13">SUMPRODUCT(((Başvuru!J2:K1248)="Dr. Öğr. Üyesi Müge DEMİR")*(Başvuru!G2:G1248="Doktora Tezi")*(Başvuru!L2:L1248="ONAY"))</f>
        <v>4</v>
      </c>
      <c r="U13" s="11">
        <f t="array" ref="U13">SUMPRODUCT(((Başvuru!J2:K1248)="Dr. Öğr. Üyesi Müge DEMİR")*(Başvuru!G2:G1248="Doktora Tezi")*(Başvuru!L2:L1248="DÜZELTME"))</f>
        <v>0</v>
      </c>
      <c r="V13" s="11">
        <f t="array" ref="V13">SUMPRODUCT(((Başvuru!J2:K1248)="Dr. Öğr. Üyesi Müge DEMİR")*(Başvuru!G2:G1248="Doktora Tezi")*(Başvuru!L2:L1248="KAEK"))</f>
        <v>0</v>
      </c>
      <c r="W13" s="11">
        <f t="array" ref="W13">SUMPRODUCT(((Başvuru!J2:K1248)="Dr. Öğr. Üyesi Müge DEMİR")*(Başvuru!G2:G1248="Doktora Tezi")*(Başvuru!L2:L1248="GÖRÜŞ"))</f>
        <v>0</v>
      </c>
      <c r="X13" s="11">
        <f t="array" ref="X13">SUMPRODUCT(((Başvuru!J2:K1248)="Dr. Öğr. Üyesi Müge DEMİR")*(Başvuru!G2:G1248="Doktora Tezi")*(Başvuru!L2:L1248="RET"))</f>
        <v>0</v>
      </c>
      <c r="Y13" s="11">
        <f t="array" ref="Y13">SUMPRODUCT(((Başvuru!J2:K1248)="Dr. Öğr. Üyesi Müge DEMİR")*(Başvuru!G2:G1248="Doktora Tezi")*(Başvuru!L2:L1248="KAPSAM DIŞI"))</f>
        <v>0</v>
      </c>
      <c r="Z13" s="11">
        <f t="array" ref="Z13">SUMPRODUCT(((Başvuru!J2:K1248)="Dr. Öğr. Üyesi Müge DEMİR")*(Başvuru!G2:G1248="Doktora Tezi")*(Başvuru!L2:L1248="GERİ ÇEKİLDİ"))</f>
        <v>0</v>
      </c>
      <c r="AA13" s="11">
        <f t="shared" si="2"/>
        <v>4</v>
      </c>
      <c r="AB13" s="11">
        <f t="array" ref="AB13">SUMPRODUCT(((Başvuru!J2:K1248)="Dr. Öğr. Üyesi Müge DEMİR")*(Başvuru!G2:G1248="Uzmanlık Tezi")*(Başvuru!L2:L1248="ONAY"))</f>
        <v>4</v>
      </c>
      <c r="AC13" s="11">
        <f t="array" ref="AC13">SUMPRODUCT(((Başvuru!J2:K1248)="Dr. Öğr. Üyesi Müge DEMİR")*(Başvuru!G2:G1248="Uzmanlık Tezi")*(Başvuru!L2:L1248="DÜZELTME"))</f>
        <v>3</v>
      </c>
      <c r="AD13" s="11">
        <f t="array" ref="AD13">SUMPRODUCT(((Başvuru!J2:K1248)="Dr. Öğr. Üyesi Müge DEMİR")*(Başvuru!G2:G1248="Uzmanlık Tezi")*(Başvuru!L2:L1248="KAEK"))</f>
        <v>2</v>
      </c>
      <c r="AE13" s="11">
        <f t="array" ref="AE13">SUMPRODUCT(((Başvuru!J2:K1248)="Dr. Öğr. Üyesi Müge DEMİR")*(Başvuru!G2:G1248="Uzmanlık Tezi")*(Başvuru!L2:L1248="GÖRÜŞ"))</f>
        <v>0</v>
      </c>
      <c r="AF13" s="11">
        <f t="array" ref="AF13">SUMPRODUCT(((Başvuru!J2:K1248)="Dr. Öğr. Üyesi Müge DEMİR")*(Başvuru!G2:G1248="Uzmanlık Tezi")*(Başvuru!L2:L1248="RET"))</f>
        <v>2</v>
      </c>
      <c r="AG13" s="11">
        <f t="array" ref="AG13">SUMPRODUCT(((Başvuru!J2:K1248)="Dr. Öğr. Üyesi Müge DEMİR")*(Başvuru!G2:G1248="Uzmanlık Tezi")*(Başvuru!L2:L1248="KAPSAM DIŞI"))</f>
        <v>0</v>
      </c>
      <c r="AH13" s="11">
        <f t="array" ref="AH13">SUMPRODUCT(((Başvuru!J2:K1248)="Dr. Öğr. Üyesi Müge DEMİR")*(Başvuru!G2:G1248="Uzmanlık Tezi")*(Başvuru!L2:L1248="GERİ ÇEKİLDİ"))</f>
        <v>0</v>
      </c>
      <c r="AI13" s="11">
        <f t="shared" si="3"/>
        <v>11</v>
      </c>
      <c r="AJ13" s="28">
        <f t="shared" si="4"/>
        <v>30</v>
      </c>
      <c r="AK13" s="28">
        <f t="shared" si="5"/>
        <v>25</v>
      </c>
      <c r="AL13" s="28">
        <f t="shared" si="6"/>
        <v>6</v>
      </c>
      <c r="AM13" s="28">
        <f t="shared" si="7"/>
        <v>0</v>
      </c>
      <c r="AN13" s="28">
        <f t="shared" si="8"/>
        <v>4</v>
      </c>
      <c r="AO13" s="28">
        <f t="shared" si="9"/>
        <v>3</v>
      </c>
      <c r="AP13" s="28">
        <f t="shared" si="10"/>
        <v>0</v>
      </c>
      <c r="AQ13" s="174">
        <f t="shared" si="11"/>
        <v>68</v>
      </c>
      <c r="AR13" s="11">
        <f t="shared" si="12"/>
        <v>0</v>
      </c>
      <c r="AS13" s="184">
        <f>COUNTIF(Başvuru!$Q:$Q,$B13)</f>
        <v>19</v>
      </c>
      <c r="AT13" s="185">
        <f>COUNTIFS(Başvuru!$Q:$Q,$B13,Başvuru!$J:$J,"&lt;&gt;"&amp;$B13,Başvuru!$K:$K,"&lt;&gt;"&amp;$B13)</f>
        <v>3</v>
      </c>
    </row>
    <row r="14" spans="1:46" s="95" customFormat="1" ht="30" customHeight="1" x14ac:dyDescent="0.25">
      <c r="A14" s="230" t="s">
        <v>4</v>
      </c>
      <c r="B14" s="231"/>
      <c r="C14" s="175">
        <f t="shared" ref="C14:AP14" si="13">SUM(C2:C13)</f>
        <v>704</v>
      </c>
      <c r="D14" s="175">
        <f t="shared" si="13"/>
        <v>282</v>
      </c>
      <c r="E14" s="175">
        <f t="shared" si="13"/>
        <v>182</v>
      </c>
      <c r="F14" s="175">
        <f t="shared" si="13"/>
        <v>12</v>
      </c>
      <c r="G14" s="175">
        <f t="shared" si="13"/>
        <v>10</v>
      </c>
      <c r="H14" s="175">
        <f t="shared" si="13"/>
        <v>18</v>
      </c>
      <c r="I14" s="175">
        <f t="shared" si="13"/>
        <v>8</v>
      </c>
      <c r="J14" s="175">
        <f t="shared" si="13"/>
        <v>0</v>
      </c>
      <c r="K14" s="181">
        <f t="shared" si="13"/>
        <v>512</v>
      </c>
      <c r="L14" s="175">
        <f t="shared" si="13"/>
        <v>4</v>
      </c>
      <c r="M14" s="175">
        <f t="shared" si="13"/>
        <v>12</v>
      </c>
      <c r="N14" s="175">
        <f t="shared" si="13"/>
        <v>0</v>
      </c>
      <c r="O14" s="175">
        <f t="shared" si="13"/>
        <v>0</v>
      </c>
      <c r="P14" s="175">
        <f t="shared" si="13"/>
        <v>0</v>
      </c>
      <c r="Q14" s="175">
        <f t="shared" si="13"/>
        <v>0</v>
      </c>
      <c r="R14" s="175">
        <f t="shared" si="13"/>
        <v>0</v>
      </c>
      <c r="S14" s="181">
        <f t="shared" si="13"/>
        <v>16</v>
      </c>
      <c r="T14" s="175">
        <f t="shared" si="13"/>
        <v>18</v>
      </c>
      <c r="U14" s="175">
        <f t="shared" si="13"/>
        <v>20</v>
      </c>
      <c r="V14" s="175">
        <f t="shared" si="13"/>
        <v>0</v>
      </c>
      <c r="W14" s="175">
        <f t="shared" si="13"/>
        <v>4</v>
      </c>
      <c r="X14" s="175">
        <f t="shared" si="13"/>
        <v>0</v>
      </c>
      <c r="Y14" s="175">
        <f t="shared" si="13"/>
        <v>0</v>
      </c>
      <c r="Z14" s="175">
        <f t="shared" si="13"/>
        <v>0</v>
      </c>
      <c r="AA14" s="181">
        <f t="shared" si="13"/>
        <v>42</v>
      </c>
      <c r="AB14" s="175">
        <f t="shared" si="13"/>
        <v>70</v>
      </c>
      <c r="AC14" s="175">
        <f t="shared" si="13"/>
        <v>46</v>
      </c>
      <c r="AD14" s="175">
        <f t="shared" si="13"/>
        <v>6</v>
      </c>
      <c r="AE14" s="175">
        <f t="shared" si="13"/>
        <v>4</v>
      </c>
      <c r="AF14" s="175">
        <f t="shared" si="13"/>
        <v>4</v>
      </c>
      <c r="AG14" s="175">
        <f t="shared" si="13"/>
        <v>4</v>
      </c>
      <c r="AH14" s="175">
        <f t="shared" si="13"/>
        <v>0</v>
      </c>
      <c r="AI14" s="181">
        <f t="shared" si="13"/>
        <v>134</v>
      </c>
      <c r="AJ14" s="177">
        <f t="shared" si="13"/>
        <v>374</v>
      </c>
      <c r="AK14" s="177">
        <f t="shared" si="13"/>
        <v>260</v>
      </c>
      <c r="AL14" s="177">
        <f t="shared" si="13"/>
        <v>18</v>
      </c>
      <c r="AM14" s="177">
        <f t="shared" si="13"/>
        <v>18</v>
      </c>
      <c r="AN14" s="177">
        <f t="shared" si="13"/>
        <v>22</v>
      </c>
      <c r="AO14" s="177">
        <f t="shared" si="13"/>
        <v>12</v>
      </c>
      <c r="AP14" s="177">
        <f t="shared" si="13"/>
        <v>0</v>
      </c>
      <c r="AQ14" s="178">
        <f t="shared" si="11"/>
        <v>704</v>
      </c>
      <c r="AR14" s="179">
        <f>SUM(AR2:AR13)</f>
        <v>0</v>
      </c>
      <c r="AS14" s="186">
        <f>SUM(AS2:AS13)</f>
        <v>76</v>
      </c>
      <c r="AT14" s="187">
        <f>SUM(AT2:AT13)</f>
        <v>5</v>
      </c>
    </row>
    <row r="15" spans="1:46" s="95" customFormat="1" ht="33" customHeight="1" x14ac:dyDescent="0.25">
      <c r="A15" s="180"/>
      <c r="B15" s="176"/>
      <c r="C15" s="181">
        <f>C14/2</f>
        <v>352</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0</v>
      </c>
      <c r="AS15" s="188"/>
      <c r="AT15" s="188"/>
    </row>
    <row r="19" spans="1:3" ht="30" customHeight="1" x14ac:dyDescent="0.3">
      <c r="A19" s="194" t="s">
        <v>2997</v>
      </c>
      <c r="B19" s="191" t="s">
        <v>3043</v>
      </c>
      <c r="C19" s="191" t="s">
        <v>2999</v>
      </c>
    </row>
    <row r="20" spans="1:3" ht="30" customHeight="1" x14ac:dyDescent="0.3">
      <c r="A20" s="16" t="s">
        <v>55</v>
      </c>
      <c r="B20" s="21" t="s">
        <v>33</v>
      </c>
      <c r="C20" s="22">
        <f>COUNTIF(Başvuru!G2:G1248,"Bireysel Araştırma")</f>
        <v>284</v>
      </c>
    </row>
    <row r="21" spans="1:3" ht="30" customHeight="1" x14ac:dyDescent="0.3">
      <c r="A21" s="17" t="s">
        <v>64</v>
      </c>
      <c r="B21" s="24" t="s">
        <v>35</v>
      </c>
      <c r="C21" s="25">
        <f>COUNTIF(Başvuru!G2:G1248,"Yüksek Lisans Tezi")</f>
        <v>9</v>
      </c>
    </row>
    <row r="22" spans="1:3" ht="30" customHeight="1" x14ac:dyDescent="0.3">
      <c r="A22" s="16" t="s">
        <v>71</v>
      </c>
      <c r="B22" s="21" t="s">
        <v>36</v>
      </c>
      <c r="C22" s="22">
        <f>COUNTIF(Başvuru!G2:G1248,"Doktora Tezi")</f>
        <v>22</v>
      </c>
    </row>
    <row r="23" spans="1:3" ht="30" customHeight="1" x14ac:dyDescent="0.3">
      <c r="A23" s="17" t="s">
        <v>79</v>
      </c>
      <c r="B23" s="24" t="s">
        <v>34</v>
      </c>
      <c r="C23" s="25">
        <f>COUNTIF(Başvuru!G2:G1248,"Uzmanlık Tezi")</f>
        <v>76</v>
      </c>
    </row>
    <row r="24" spans="1:3" ht="30" customHeight="1" x14ac:dyDescent="0.3">
      <c r="A24" s="232" t="s">
        <v>4</v>
      </c>
      <c r="B24" s="231"/>
      <c r="C24" s="191">
        <f>SUM(C20:C23)</f>
        <v>391</v>
      </c>
    </row>
    <row r="25" spans="1:3" ht="30" customHeight="1" x14ac:dyDescent="0.3">
      <c r="B25" s="13"/>
      <c r="C25" s="13"/>
    </row>
    <row r="26" spans="1:3" ht="30" customHeight="1" x14ac:dyDescent="0.3">
      <c r="A26" s="194" t="s">
        <v>2997</v>
      </c>
      <c r="B26" s="191" t="s">
        <v>3044</v>
      </c>
      <c r="C26" s="191" t="s">
        <v>2999</v>
      </c>
    </row>
    <row r="27" spans="1:3" ht="30" customHeight="1" x14ac:dyDescent="0.3">
      <c r="A27" s="18" t="s">
        <v>55</v>
      </c>
      <c r="B27" s="26" t="s">
        <v>3045</v>
      </c>
      <c r="C27" s="22">
        <f>COUNTIF(Başvuru!L2:L1248,"ONAY")</f>
        <v>187</v>
      </c>
    </row>
    <row r="28" spans="1:3" ht="30" customHeight="1" x14ac:dyDescent="0.3">
      <c r="A28" s="18" t="s">
        <v>64</v>
      </c>
      <c r="B28" s="26" t="s">
        <v>3046</v>
      </c>
      <c r="C28" s="22">
        <f>COUNTIF(Başvuru!L2:L1248,"DÜZELTME")</f>
        <v>130</v>
      </c>
    </row>
    <row r="29" spans="1:3" ht="30" customHeight="1" x14ac:dyDescent="0.3">
      <c r="A29" s="18" t="s">
        <v>71</v>
      </c>
      <c r="B29" s="26" t="s">
        <v>204</v>
      </c>
      <c r="C29" s="22">
        <f>COUNTIF(Başvuru!L2:L1248,"KAEK")</f>
        <v>9</v>
      </c>
    </row>
    <row r="30" spans="1:3" ht="30" customHeight="1" x14ac:dyDescent="0.3">
      <c r="A30" s="18" t="s">
        <v>79</v>
      </c>
      <c r="B30" s="26" t="s">
        <v>3047</v>
      </c>
      <c r="C30" s="22">
        <f>COUNTIF(Başvuru!L2:L1248,"GÖRÜŞ")</f>
        <v>9</v>
      </c>
    </row>
    <row r="31" spans="1:3" ht="30" customHeight="1" x14ac:dyDescent="0.3">
      <c r="A31" s="18" t="s">
        <v>88</v>
      </c>
      <c r="B31" s="26" t="s">
        <v>3048</v>
      </c>
      <c r="C31" s="22">
        <f>COUNTIF(Başvuru!L2:L1248,"RET")</f>
        <v>11</v>
      </c>
    </row>
    <row r="32" spans="1:3" ht="30" customHeight="1" x14ac:dyDescent="0.3">
      <c r="A32" s="18" t="s">
        <v>96</v>
      </c>
      <c r="B32" s="26" t="s">
        <v>3049</v>
      </c>
      <c r="C32" s="22">
        <f>COUNTIF(Başvuru!L2:L1248,"KAPSAM DIŞI")</f>
        <v>6</v>
      </c>
    </row>
    <row r="33" spans="1:3" ht="30" customHeight="1" x14ac:dyDescent="0.3">
      <c r="A33" s="18" t="s">
        <v>103</v>
      </c>
      <c r="B33" s="26" t="s">
        <v>3050</v>
      </c>
      <c r="C33" s="22">
        <f>COUNTIF(Başvuru!L2:L1248,"GERİ ÇEKİLDİ")</f>
        <v>0</v>
      </c>
    </row>
    <row r="34" spans="1:3" ht="30" customHeight="1" x14ac:dyDescent="0.3">
      <c r="A34" s="232" t="s">
        <v>4</v>
      </c>
      <c r="B34" s="231"/>
      <c r="C34" s="191">
        <f>SUM(C27:C33)</f>
        <v>352</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9" width="9.140625" style="1" customWidth="1"/>
    <col min="50" max="16384" width="9.140625" style="1"/>
  </cols>
  <sheetData>
    <row r="1" spans="1:43" s="13" customFormat="1" ht="30" customHeight="1" x14ac:dyDescent="0.25">
      <c r="A1" s="238" t="s">
        <v>2997</v>
      </c>
      <c r="B1" s="238" t="s">
        <v>2998</v>
      </c>
      <c r="C1" s="238" t="s">
        <v>2999</v>
      </c>
      <c r="D1" s="233" t="s">
        <v>33</v>
      </c>
      <c r="E1" s="234"/>
      <c r="F1" s="234"/>
      <c r="G1" s="234"/>
      <c r="H1" s="234"/>
      <c r="I1" s="234"/>
      <c r="J1" s="234"/>
      <c r="K1" s="235"/>
      <c r="L1" s="233" t="s">
        <v>35</v>
      </c>
      <c r="M1" s="234"/>
      <c r="N1" s="234"/>
      <c r="O1" s="234"/>
      <c r="P1" s="234"/>
      <c r="Q1" s="234"/>
      <c r="R1" s="234"/>
      <c r="S1" s="235"/>
      <c r="T1" s="233" t="s">
        <v>36</v>
      </c>
      <c r="U1" s="234"/>
      <c r="V1" s="234"/>
      <c r="W1" s="234"/>
      <c r="X1" s="234"/>
      <c r="Y1" s="234"/>
      <c r="Z1" s="234"/>
      <c r="AA1" s="235"/>
      <c r="AB1" s="233" t="s">
        <v>34</v>
      </c>
      <c r="AC1" s="234"/>
      <c r="AD1" s="234"/>
      <c r="AE1" s="234"/>
      <c r="AF1" s="234"/>
      <c r="AG1" s="234"/>
      <c r="AH1" s="234"/>
      <c r="AI1" s="235"/>
      <c r="AJ1" s="242" t="s">
        <v>4</v>
      </c>
      <c r="AK1" s="243"/>
      <c r="AL1" s="243"/>
      <c r="AM1" s="243"/>
      <c r="AN1" s="243"/>
      <c r="AO1" s="243"/>
      <c r="AP1" s="243"/>
      <c r="AQ1" s="244"/>
    </row>
    <row r="2" spans="1:43" s="13" customFormat="1" ht="111.75" customHeight="1" x14ac:dyDescent="0.25">
      <c r="A2" s="239"/>
      <c r="B2" s="239"/>
      <c r="C2" s="239"/>
      <c r="D2" s="29" t="s">
        <v>3045</v>
      </c>
      <c r="E2" s="29" t="s">
        <v>3046</v>
      </c>
      <c r="F2" s="29" t="s">
        <v>204</v>
      </c>
      <c r="G2" s="29" t="s">
        <v>3047</v>
      </c>
      <c r="H2" s="29" t="s">
        <v>3048</v>
      </c>
      <c r="I2" s="29" t="s">
        <v>3049</v>
      </c>
      <c r="J2" s="29" t="s">
        <v>3050</v>
      </c>
      <c r="K2" s="33" t="s">
        <v>4</v>
      </c>
      <c r="L2" s="30" t="s">
        <v>3045</v>
      </c>
      <c r="M2" s="29" t="s">
        <v>3046</v>
      </c>
      <c r="N2" s="29" t="s">
        <v>204</v>
      </c>
      <c r="O2" s="29" t="s">
        <v>3047</v>
      </c>
      <c r="P2" s="29" t="s">
        <v>3048</v>
      </c>
      <c r="Q2" s="29" t="s">
        <v>3049</v>
      </c>
      <c r="R2" s="29" t="s">
        <v>3050</v>
      </c>
      <c r="S2" s="34" t="s">
        <v>4</v>
      </c>
      <c r="T2" s="29" t="s">
        <v>3045</v>
      </c>
      <c r="U2" s="29" t="s">
        <v>3046</v>
      </c>
      <c r="V2" s="29" t="s">
        <v>204</v>
      </c>
      <c r="W2" s="29" t="s">
        <v>3047</v>
      </c>
      <c r="X2" s="29" t="s">
        <v>3048</v>
      </c>
      <c r="Y2" s="29" t="s">
        <v>3049</v>
      </c>
      <c r="Z2" s="29" t="s">
        <v>3050</v>
      </c>
      <c r="AA2" s="35" t="s">
        <v>4</v>
      </c>
      <c r="AB2" s="29" t="s">
        <v>3045</v>
      </c>
      <c r="AC2" s="29" t="s">
        <v>3046</v>
      </c>
      <c r="AD2" s="29" t="s">
        <v>204</v>
      </c>
      <c r="AE2" s="29" t="s">
        <v>3047</v>
      </c>
      <c r="AF2" s="29" t="s">
        <v>3048</v>
      </c>
      <c r="AG2" s="29" t="s">
        <v>3049</v>
      </c>
      <c r="AH2" s="29" t="s">
        <v>3050</v>
      </c>
      <c r="AI2" s="35" t="s">
        <v>4</v>
      </c>
      <c r="AJ2" s="31" t="s">
        <v>3045</v>
      </c>
      <c r="AK2" s="31" t="s">
        <v>3046</v>
      </c>
      <c r="AL2" s="31" t="s">
        <v>204</v>
      </c>
      <c r="AM2" s="31" t="s">
        <v>3047</v>
      </c>
      <c r="AN2" s="31" t="s">
        <v>3048</v>
      </c>
      <c r="AO2" s="31" t="s">
        <v>3049</v>
      </c>
      <c r="AP2" s="31" t="s">
        <v>3050</v>
      </c>
      <c r="AQ2" s="31" t="s">
        <v>4</v>
      </c>
    </row>
    <row r="3" spans="1:43" s="13" customFormat="1" ht="30.75" customHeight="1" x14ac:dyDescent="0.25">
      <c r="A3" s="20" t="s">
        <v>55</v>
      </c>
      <c r="B3" s="21" t="s">
        <v>61</v>
      </c>
      <c r="C3" s="11">
        <f>COUNTIF(Başvuru!$J:$K, $B3)</f>
        <v>59</v>
      </c>
      <c r="D3" s="11">
        <f>COUNTIFS(Başvuru!$G:$G, "Bireysel Araştırma", Başvuru!$L:$L, D$2, Başvuru!$J:$J, $B3) + COUNTIFS(Başvuru!$G:$G, "Bireysel Araştırma", Başvuru!$L:$L, D$2, Başvuru!$K:$K, $B3)</f>
        <v>25</v>
      </c>
      <c r="E3" s="11">
        <f>COUNTIFS(Başvuru!$G:$G, "Bireysel Araştırma", Başvuru!$L:$L, E$2, Başvuru!$J:$J, $B3) + COUNTIFS(Başvuru!$G:$G, "Bireysel Araştırma", Başvuru!$L:$L, E$2, Başvuru!$K:$K, $B3)</f>
        <v>19</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0</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45</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3</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6</v>
      </c>
      <c r="AJ3" s="28">
        <f t="shared" ref="AJ3:AJ14" si="4">SUM(D3,L3,T3,AB3)</f>
        <v>30</v>
      </c>
      <c r="AK3" s="28">
        <f t="shared" ref="AK3:AK14" si="5">SUM(E3,M3,U3,AC3)</f>
        <v>27</v>
      </c>
      <c r="AL3" s="28">
        <f t="shared" ref="AL3:AL14" si="6">SUM(F3,N3,V3,AD3)</f>
        <v>0</v>
      </c>
      <c r="AM3" s="28">
        <f t="shared" ref="AM3:AM14" si="7">SUM(G3,O3,W3,AE3)</f>
        <v>0</v>
      </c>
      <c r="AN3" s="28">
        <f t="shared" ref="AN3:AN14" si="8">SUM(H3,P3,X3,AF3)</f>
        <v>2</v>
      </c>
      <c r="AO3" s="28">
        <f t="shared" ref="AO3:AO14" si="9">SUM(I3,Q3,Y3,AG3)</f>
        <v>0</v>
      </c>
      <c r="AP3" s="28">
        <f t="shared" ref="AP3:AP14" si="10">SUM(J3,R3,Z3,AH3)</f>
        <v>0</v>
      </c>
      <c r="AQ3" s="28">
        <f t="shared" ref="AQ3:AQ15" si="11">SUM(AJ3:AP3)</f>
        <v>59</v>
      </c>
    </row>
    <row r="4" spans="1:43" s="13" customFormat="1" ht="30" customHeight="1" x14ac:dyDescent="0.25">
      <c r="A4" s="20" t="s">
        <v>64</v>
      </c>
      <c r="B4" s="21" t="s">
        <v>109</v>
      </c>
      <c r="C4" s="11">
        <f>COUNTIF(Başvuru!$J:$K, $B4)</f>
        <v>65</v>
      </c>
      <c r="D4" s="11">
        <f>COUNTIFS(Başvuru!$G:$G, "Bireysel Araştırma", Başvuru!$L:$L, D$2, Başvuru!$J:$J, $B4) + COUNTIFS(Başvuru!$G:$G, "Bireysel Araştırma", Başvuru!$L:$L, D$2, Başvuru!$K:$K, $B4)</f>
        <v>23</v>
      </c>
      <c r="E4" s="11">
        <f>COUNTIFS(Başvuru!$G:$G, "Bireysel Araştırma", Başvuru!$L:$L, E$2, Başvuru!$J:$J, $B4) + COUNTIFS(Başvuru!$G:$G, "Bireysel Araştırma", Başvuru!$L:$L, E$2, Başvuru!$K:$K, $B4)</f>
        <v>18</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0</v>
      </c>
      <c r="H4" s="11">
        <f>COUNTIFS(Başvuru!$G:$G, "Bireysel Araştırma", Başvuru!$L:$L, H$2, Başvuru!$J:$J, $B4) + COUNTIFS(Başvuru!$G:$G, "Bireysel Araştırma", Başvuru!$L:$L, H$2, Başvuru!$K:$K, $B4)</f>
        <v>2</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45</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37</v>
      </c>
      <c r="AK4" s="28">
        <f t="shared" si="5"/>
        <v>22</v>
      </c>
      <c r="AL4" s="28">
        <f t="shared" si="6"/>
        <v>3</v>
      </c>
      <c r="AM4" s="28">
        <f t="shared" si="7"/>
        <v>1</v>
      </c>
      <c r="AN4" s="28">
        <f t="shared" si="8"/>
        <v>2</v>
      </c>
      <c r="AO4" s="28">
        <f t="shared" si="9"/>
        <v>0</v>
      </c>
      <c r="AP4" s="28">
        <f t="shared" si="10"/>
        <v>0</v>
      </c>
      <c r="AQ4" s="28">
        <f t="shared" si="11"/>
        <v>65</v>
      </c>
    </row>
    <row r="5" spans="1:43" s="13" customFormat="1" ht="30" customHeight="1" x14ac:dyDescent="0.25">
      <c r="A5" s="20" t="s">
        <v>71</v>
      </c>
      <c r="B5" s="21" t="s">
        <v>95</v>
      </c>
      <c r="C5" s="11">
        <f>COUNTIF(Başvuru!$J:$K, $B5)</f>
        <v>49</v>
      </c>
      <c r="D5" s="11">
        <f>COUNTIFS(Başvuru!$G:$G, "Bireysel Araştırma", Başvuru!$L:$L, D$2, Başvuru!$J:$J, $B5) + COUNTIFS(Başvuru!$G:$G, "Bireysel Araştırma", Başvuru!$L:$L, D$2, Başvuru!$K:$K, $B5)</f>
        <v>15</v>
      </c>
      <c r="E5" s="11">
        <f>COUNTIFS(Başvuru!$G:$G, "Bireysel Araştırma", Başvuru!$L:$L, E$2, Başvuru!$J:$J, $B5) + COUNTIFS(Başvuru!$G:$G, "Bireysel Araştırma", Başvuru!$L:$L, E$2, Başvuru!$K:$K, $B5)</f>
        <v>19</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2</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37</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4</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9</v>
      </c>
      <c r="AJ5" s="28">
        <f t="shared" si="4"/>
        <v>18</v>
      </c>
      <c r="AK5" s="28">
        <f t="shared" si="5"/>
        <v>26</v>
      </c>
      <c r="AL5" s="28">
        <f t="shared" si="6"/>
        <v>0</v>
      </c>
      <c r="AM5" s="28">
        <f t="shared" si="7"/>
        <v>1</v>
      </c>
      <c r="AN5" s="28">
        <f t="shared" si="8"/>
        <v>3</v>
      </c>
      <c r="AO5" s="28">
        <f t="shared" si="9"/>
        <v>1</v>
      </c>
      <c r="AP5" s="28">
        <f t="shared" si="10"/>
        <v>0</v>
      </c>
      <c r="AQ5" s="28">
        <f t="shared" si="11"/>
        <v>49</v>
      </c>
    </row>
    <row r="6" spans="1:43" s="13" customFormat="1" ht="30" customHeight="1" x14ac:dyDescent="0.25">
      <c r="A6" s="20" t="s">
        <v>79</v>
      </c>
      <c r="B6" s="21" t="s">
        <v>102</v>
      </c>
      <c r="C6" s="11">
        <f>COUNTIF(Başvuru!$J:$K, $B6)</f>
        <v>55</v>
      </c>
      <c r="D6" s="11">
        <f>COUNTIFS(Başvuru!$G:$G, "Bireysel Araştırma", Başvuru!$L:$L, D$2, Başvuru!$J:$J, $B6) + COUNTIFS(Başvuru!$G:$G, "Bireysel Araştırma", Başvuru!$L:$L, D$2, Başvuru!$K:$K, $B6)</f>
        <v>23</v>
      </c>
      <c r="E6" s="11">
        <f>COUNTIFS(Başvuru!$G:$G, "Bireysel Araştırma", Başvuru!$L:$L, E$2, Başvuru!$J:$J, $B6) + COUNTIFS(Başvuru!$G:$G, "Bireysel Araştırma", Başvuru!$L:$L, E$2, Başvuru!$K:$K, $B6)</f>
        <v>14</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41</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29</v>
      </c>
      <c r="AK6" s="28">
        <f t="shared" si="5"/>
        <v>21</v>
      </c>
      <c r="AL6" s="28">
        <f t="shared" si="6"/>
        <v>3</v>
      </c>
      <c r="AM6" s="28">
        <f t="shared" si="7"/>
        <v>2</v>
      </c>
      <c r="AN6" s="28">
        <f t="shared" si="8"/>
        <v>0</v>
      </c>
      <c r="AO6" s="28">
        <f t="shared" si="9"/>
        <v>0</v>
      </c>
      <c r="AP6" s="28">
        <f t="shared" si="10"/>
        <v>0</v>
      </c>
      <c r="AQ6" s="28">
        <f t="shared" si="11"/>
        <v>55</v>
      </c>
    </row>
    <row r="7" spans="1:43" s="13" customFormat="1" ht="30" customHeight="1" x14ac:dyDescent="0.25">
      <c r="A7" s="20" t="s">
        <v>88</v>
      </c>
      <c r="B7" s="21" t="s">
        <v>94</v>
      </c>
      <c r="C7" s="11">
        <f>COUNTIF(Başvuru!$J:$K, $B7)</f>
        <v>46</v>
      </c>
      <c r="D7" s="11">
        <f>COUNTIFS(Başvuru!$G:$G, "Bireysel Araştırma", Başvuru!$L:$L, D$2, Başvuru!$J:$J, $B7) + COUNTIFS(Başvuru!$G:$G, "Bireysel Araştırma", Başvuru!$L:$L, D$2, Başvuru!$K:$K, $B7)</f>
        <v>19</v>
      </c>
      <c r="E7" s="11">
        <f>COUNTIFS(Başvuru!$G:$G, "Bireysel Araştırma", Başvuru!$L:$L, E$2, Başvuru!$J:$J, $B7) + COUNTIFS(Başvuru!$G:$G, "Bireysel Araştırma", Başvuru!$L:$L, E$2, Başvuru!$K:$K, $B7)</f>
        <v>9</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32</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5</v>
      </c>
      <c r="AC7" s="11">
        <f>COUNTIFS(Başvuru!$G:$G, "Uzmanlık Tezi", Başvuru!$L:$L, AC$2, Başvuru!$J:$J, $B7) + COUNTIFS(Başvuru!$G:$G, "Uzmanlık Tezi", Başvuru!$L:$L, AC$2, Başvuru!$K:$K, $B7)</f>
        <v>6</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12</v>
      </c>
      <c r="AJ7" s="28">
        <f t="shared" si="4"/>
        <v>24</v>
      </c>
      <c r="AK7" s="28">
        <f t="shared" si="5"/>
        <v>16</v>
      </c>
      <c r="AL7" s="28">
        <f t="shared" si="6"/>
        <v>0</v>
      </c>
      <c r="AM7" s="28">
        <f t="shared" si="7"/>
        <v>3</v>
      </c>
      <c r="AN7" s="28">
        <f t="shared" si="8"/>
        <v>0</v>
      </c>
      <c r="AO7" s="28">
        <f t="shared" si="9"/>
        <v>3</v>
      </c>
      <c r="AP7" s="28">
        <f t="shared" si="10"/>
        <v>0</v>
      </c>
      <c r="AQ7" s="28">
        <f t="shared" si="11"/>
        <v>46</v>
      </c>
    </row>
    <row r="8" spans="1:43" s="13" customFormat="1" ht="30" customHeight="1" x14ac:dyDescent="0.25">
      <c r="A8" s="20" t="s">
        <v>96</v>
      </c>
      <c r="B8" s="21" t="s">
        <v>115</v>
      </c>
      <c r="C8" s="11">
        <f>COUNTIF(Başvuru!$J:$K, $B8)</f>
        <v>52</v>
      </c>
      <c r="D8" s="11">
        <f>COUNTIFS(Başvuru!$G:$G, "Bireysel Araştırma", Başvuru!$L:$L, D$2, Başvuru!$J:$J, $B8) + COUNTIFS(Başvuru!$G:$G, "Bireysel Araştırma", Başvuru!$L:$L, D$2, Başvuru!$K:$K, $B8)</f>
        <v>25</v>
      </c>
      <c r="E8" s="11">
        <f>COUNTIFS(Başvuru!$G:$G, "Bireysel Araştırma", Başvuru!$L:$L, E$2, Başvuru!$J:$J, $B8) + COUNTIFS(Başvuru!$G:$G, "Bireysel Araştırma", Başvuru!$L:$L, E$2, Başvuru!$K:$K, $B8)</f>
        <v>8</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1</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36</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8</v>
      </c>
      <c r="AC8" s="11">
        <f>COUNTIFS(Başvuru!$G:$G, "Uzmanlık Tezi", Başvuru!$L:$L, AC$2, Başvuru!$J:$J, $B8) + COUNTIFS(Başvuru!$G:$G, "Uzmanlık Tezi", Başvuru!$L:$L, AC$2, Başvuru!$K:$K, $B8)</f>
        <v>5</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14</v>
      </c>
      <c r="AJ8" s="28">
        <f t="shared" si="4"/>
        <v>33</v>
      </c>
      <c r="AK8" s="28">
        <f t="shared" si="5"/>
        <v>15</v>
      </c>
      <c r="AL8" s="28">
        <f t="shared" si="6"/>
        <v>1</v>
      </c>
      <c r="AM8" s="28">
        <f t="shared" si="7"/>
        <v>1</v>
      </c>
      <c r="AN8" s="28">
        <f t="shared" si="8"/>
        <v>1</v>
      </c>
      <c r="AO8" s="28">
        <f t="shared" si="9"/>
        <v>1</v>
      </c>
      <c r="AP8" s="28">
        <f t="shared" si="10"/>
        <v>0</v>
      </c>
      <c r="AQ8" s="28">
        <f t="shared" si="11"/>
        <v>52</v>
      </c>
    </row>
    <row r="9" spans="1:43" s="13" customFormat="1" ht="30" customHeight="1" x14ac:dyDescent="0.25">
      <c r="A9" s="20" t="s">
        <v>103</v>
      </c>
      <c r="B9" s="21" t="s">
        <v>70</v>
      </c>
      <c r="C9" s="11">
        <f>COUNTIF(Başvuru!$J:$K, $B9)</f>
        <v>67</v>
      </c>
      <c r="D9" s="11">
        <f>COUNTIFS(Başvuru!$G:$G, "Bireysel Araştırma", Başvuru!$L:$L, D$2, Başvuru!$J:$J, $B9) + COUNTIFS(Başvuru!$G:$G, "Bireysel Araştırma", Başvuru!$L:$L, D$2, Başvuru!$K:$K, $B9)</f>
        <v>26</v>
      </c>
      <c r="E9" s="11">
        <f>COUNTIFS(Başvuru!$G:$G, "Bireysel Araştırma", Başvuru!$L:$L, E$2, Başvuru!$J:$J, $B9) + COUNTIFS(Başvuru!$G:$G, "Bireysel Araştırma", Başvuru!$L:$L, E$2, Başvuru!$K:$K, $B9)</f>
        <v>16</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2</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48</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4</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13</v>
      </c>
      <c r="AJ9" s="28">
        <f t="shared" si="4"/>
        <v>35</v>
      </c>
      <c r="AK9" s="28">
        <f t="shared" si="5"/>
        <v>24</v>
      </c>
      <c r="AL9" s="28">
        <f t="shared" si="6"/>
        <v>0</v>
      </c>
      <c r="AM9" s="28">
        <f t="shared" si="7"/>
        <v>4</v>
      </c>
      <c r="AN9" s="28">
        <f t="shared" si="8"/>
        <v>3</v>
      </c>
      <c r="AO9" s="28">
        <f t="shared" si="9"/>
        <v>1</v>
      </c>
      <c r="AP9" s="28">
        <f t="shared" si="10"/>
        <v>0</v>
      </c>
      <c r="AQ9" s="28">
        <f t="shared" si="11"/>
        <v>67</v>
      </c>
    </row>
    <row r="10" spans="1:43" s="13" customFormat="1" ht="30" customHeight="1" x14ac:dyDescent="0.25">
      <c r="A10" s="20" t="s">
        <v>110</v>
      </c>
      <c r="B10" s="21" t="s">
        <v>62</v>
      </c>
      <c r="C10" s="11">
        <f>COUNTIF(Başvuru!$J:$K, $B10)</f>
        <v>68</v>
      </c>
      <c r="D10" s="11">
        <f>COUNTIFS(Başvuru!$G:$G, "Bireysel Araştırma", Başvuru!$L:$L, D$2, Başvuru!$J:$J, $B10) + COUNTIFS(Başvuru!$G:$G, "Bireysel Araştırma", Başvuru!$L:$L, D$2, Başvuru!$K:$K, $B10)</f>
        <v>28</v>
      </c>
      <c r="E10" s="11">
        <f>COUNTIFS(Başvuru!$G:$G, "Bireysel Araştırma", Başvuru!$L:$L, E$2, Başvuru!$J:$J, $B10) + COUNTIFS(Başvuru!$G:$G, "Bireysel Araştırma", Başvuru!$L:$L, E$2, Başvuru!$K:$K, $B10)</f>
        <v>19</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50</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7</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12</v>
      </c>
      <c r="AJ10" s="28">
        <f t="shared" si="4"/>
        <v>37</v>
      </c>
      <c r="AK10" s="28">
        <f t="shared" si="5"/>
        <v>26</v>
      </c>
      <c r="AL10" s="28">
        <f t="shared" si="6"/>
        <v>2</v>
      </c>
      <c r="AM10" s="28">
        <f t="shared" si="7"/>
        <v>1</v>
      </c>
      <c r="AN10" s="28">
        <f t="shared" si="8"/>
        <v>1</v>
      </c>
      <c r="AO10" s="28">
        <f t="shared" si="9"/>
        <v>1</v>
      </c>
      <c r="AP10" s="28">
        <f t="shared" si="10"/>
        <v>0</v>
      </c>
      <c r="AQ10" s="28">
        <f t="shared" si="11"/>
        <v>68</v>
      </c>
    </row>
    <row r="11" spans="1:43" s="13" customFormat="1" ht="30" customHeight="1" x14ac:dyDescent="0.25">
      <c r="A11" s="20" t="s">
        <v>116</v>
      </c>
      <c r="B11" s="21" t="s">
        <v>85</v>
      </c>
      <c r="C11" s="11">
        <f>COUNTIF(Başvuru!$J:$K, $B11)</f>
        <v>56</v>
      </c>
      <c r="D11" s="11">
        <f>COUNTIFS(Başvuru!$G:$G, "Bireysel Araştırma", Başvuru!$L:$L, D$2, Başvuru!$J:$J, $B11) + COUNTIFS(Başvuru!$G:$G, "Bireysel Araştırma", Başvuru!$L:$L, D$2, Başvuru!$K:$K, $B11)</f>
        <v>19</v>
      </c>
      <c r="E11" s="11">
        <f>COUNTIFS(Başvuru!$G:$G, "Bireysel Araştırma", Başvuru!$L:$L, E$2, Başvuru!$J:$J, $B11) + COUNTIFS(Başvuru!$G:$G, "Bireysel Araştırma", Başvuru!$L:$L, E$2, Başvuru!$K:$K, $B11)</f>
        <v>11</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5</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38</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6</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7</v>
      </c>
      <c r="AJ11" s="28">
        <f t="shared" si="4"/>
        <v>28</v>
      </c>
      <c r="AK11" s="28">
        <f t="shared" si="5"/>
        <v>19</v>
      </c>
      <c r="AL11" s="28">
        <f t="shared" si="6"/>
        <v>1</v>
      </c>
      <c r="AM11" s="28">
        <f t="shared" si="7"/>
        <v>3</v>
      </c>
      <c r="AN11" s="28">
        <f t="shared" si="8"/>
        <v>5</v>
      </c>
      <c r="AO11" s="28">
        <f t="shared" si="9"/>
        <v>0</v>
      </c>
      <c r="AP11" s="28">
        <f t="shared" si="10"/>
        <v>0</v>
      </c>
      <c r="AQ11" s="28">
        <f t="shared" si="11"/>
        <v>56</v>
      </c>
    </row>
    <row r="12" spans="1:43" s="13" customFormat="1" ht="30" customHeight="1" x14ac:dyDescent="0.25">
      <c r="A12" s="20" t="s">
        <v>122</v>
      </c>
      <c r="B12" s="21" t="s">
        <v>86</v>
      </c>
      <c r="C12" s="11">
        <f>COUNTIF(Başvuru!$J:$K, $B12)</f>
        <v>64</v>
      </c>
      <c r="D12" s="11">
        <f>COUNTIFS(Başvuru!$G:$G, "Bireysel Araştırma", Başvuru!$L:$L, D$2, Başvuru!$J:$J, $B12) + COUNTIFS(Başvuru!$G:$G, "Bireysel Araştırma", Başvuru!$L:$L, D$2, Başvuru!$K:$K, $B12)</f>
        <v>32</v>
      </c>
      <c r="E12" s="11">
        <f>COUNTIFS(Başvuru!$G:$G, "Bireysel Araştırma", Başvuru!$L:$L, E$2, Başvuru!$J:$J, $B12) + COUNTIFS(Başvuru!$G:$G, "Bireysel Araştırma", Başvuru!$L:$L, E$2, Başvuru!$K:$K, $B12)</f>
        <v>13</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46</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1</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12</v>
      </c>
      <c r="AJ12" s="28">
        <f t="shared" si="4"/>
        <v>40</v>
      </c>
      <c r="AK12" s="28">
        <f t="shared" si="5"/>
        <v>22</v>
      </c>
      <c r="AL12" s="28">
        <f t="shared" si="6"/>
        <v>0</v>
      </c>
      <c r="AM12" s="28">
        <f t="shared" si="7"/>
        <v>1</v>
      </c>
      <c r="AN12" s="28">
        <f t="shared" si="8"/>
        <v>1</v>
      </c>
      <c r="AO12" s="28">
        <f t="shared" si="9"/>
        <v>0</v>
      </c>
      <c r="AP12" s="28">
        <f t="shared" si="10"/>
        <v>0</v>
      </c>
      <c r="AQ12" s="28">
        <f t="shared" si="11"/>
        <v>64</v>
      </c>
    </row>
    <row r="13" spans="1:43" s="13" customFormat="1" ht="30" customHeight="1" x14ac:dyDescent="0.25">
      <c r="A13" s="20" t="s">
        <v>128</v>
      </c>
      <c r="B13" s="21" t="s">
        <v>78</v>
      </c>
      <c r="C13" s="11">
        <f>COUNTIF(Başvuru!$J:$K, $B13)</f>
        <v>55</v>
      </c>
      <c r="D13" s="11">
        <f>COUNTIFS(Başvuru!$G:$G, "Bireysel Araştırma", Başvuru!$L:$L, D$2, Başvuru!$J:$J, $B13) + COUNTIFS(Başvuru!$G:$G, "Bireysel Araştırma", Başvuru!$L:$L, D$2, Başvuru!$K:$K, $B13)</f>
        <v>26</v>
      </c>
      <c r="E13" s="11">
        <f>COUNTIFS(Başvuru!$G:$G, "Bireysel Araştırma", Başvuru!$L:$L, E$2, Başvuru!$J:$J, $B13) + COUNTIFS(Başvuru!$G:$G, "Bireysel Araştırma", Başvuru!$L:$L, E$2, Başvuru!$K:$K, $B13)</f>
        <v>15</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43</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10</v>
      </c>
      <c r="AJ13" s="28">
        <f t="shared" si="4"/>
        <v>33</v>
      </c>
      <c r="AK13" s="28">
        <f t="shared" si="5"/>
        <v>17</v>
      </c>
      <c r="AL13" s="28">
        <f t="shared" si="6"/>
        <v>2</v>
      </c>
      <c r="AM13" s="28">
        <f t="shared" si="7"/>
        <v>1</v>
      </c>
      <c r="AN13" s="28">
        <f t="shared" si="8"/>
        <v>0</v>
      </c>
      <c r="AO13" s="28">
        <f t="shared" si="9"/>
        <v>2</v>
      </c>
      <c r="AP13" s="28">
        <f t="shared" si="10"/>
        <v>0</v>
      </c>
      <c r="AQ13" s="28">
        <f t="shared" si="11"/>
        <v>55</v>
      </c>
    </row>
    <row r="14" spans="1:43" s="13" customFormat="1" ht="30" customHeight="1" x14ac:dyDescent="0.25">
      <c r="A14" s="20" t="s">
        <v>133</v>
      </c>
      <c r="B14" s="21" t="s">
        <v>77</v>
      </c>
      <c r="C14" s="11">
        <f>COUNTIF(Başvuru!$J:$K, $B14)</f>
        <v>68</v>
      </c>
      <c r="D14" s="11">
        <f>COUNTIFS(Başvuru!$G:$G, "Bireysel Araştırma", Başvuru!$L:$L, D$2, Başvuru!$J:$J, $B14) + COUNTIFS(Başvuru!$G:$G, "Bireysel Araştırma", Başvuru!$L:$L, D$2, Başvuru!$K:$K, $B14)</f>
        <v>21</v>
      </c>
      <c r="E14" s="11">
        <f>COUNTIFS(Başvuru!$G:$G, "Bireysel Araştırma", Başvuru!$L:$L, E$2, Başvuru!$J:$J, $B14) + COUNTIFS(Başvuru!$G:$G, "Bireysel Araştırma", Başvuru!$L:$L, E$2, Başvuru!$K:$K, $B14)</f>
        <v>21</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51</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11</v>
      </c>
      <c r="AJ14" s="28">
        <f t="shared" si="4"/>
        <v>30</v>
      </c>
      <c r="AK14" s="28">
        <f t="shared" si="5"/>
        <v>25</v>
      </c>
      <c r="AL14" s="28">
        <f t="shared" si="6"/>
        <v>6</v>
      </c>
      <c r="AM14" s="28">
        <f t="shared" si="7"/>
        <v>0</v>
      </c>
      <c r="AN14" s="28">
        <f t="shared" si="8"/>
        <v>4</v>
      </c>
      <c r="AO14" s="28">
        <f t="shared" si="9"/>
        <v>3</v>
      </c>
      <c r="AP14" s="28">
        <f t="shared" si="10"/>
        <v>0</v>
      </c>
      <c r="AQ14" s="28">
        <f t="shared" si="11"/>
        <v>68</v>
      </c>
    </row>
    <row r="15" spans="1:43" s="13" customFormat="1" ht="30" customHeight="1" x14ac:dyDescent="0.25">
      <c r="A15" s="248" t="s">
        <v>4</v>
      </c>
      <c r="B15" s="231"/>
      <c r="C15" s="19">
        <f t="shared" ref="C15:AP15" si="12">SUM(C3:C14)</f>
        <v>704</v>
      </c>
      <c r="D15" s="19">
        <f t="shared" si="12"/>
        <v>282</v>
      </c>
      <c r="E15" s="19">
        <f t="shared" si="12"/>
        <v>182</v>
      </c>
      <c r="F15" s="19">
        <f t="shared" si="12"/>
        <v>12</v>
      </c>
      <c r="G15" s="19">
        <f t="shared" si="12"/>
        <v>10</v>
      </c>
      <c r="H15" s="19">
        <f t="shared" si="12"/>
        <v>18</v>
      </c>
      <c r="I15" s="19">
        <f t="shared" si="12"/>
        <v>8</v>
      </c>
      <c r="J15" s="19">
        <f t="shared" si="12"/>
        <v>0</v>
      </c>
      <c r="K15" s="246">
        <f t="shared" si="12"/>
        <v>512</v>
      </c>
      <c r="L15" s="19">
        <f t="shared" si="12"/>
        <v>4</v>
      </c>
      <c r="M15" s="19">
        <f t="shared" si="12"/>
        <v>12</v>
      </c>
      <c r="N15" s="19">
        <f t="shared" si="12"/>
        <v>0</v>
      </c>
      <c r="O15" s="19">
        <f t="shared" si="12"/>
        <v>0</v>
      </c>
      <c r="P15" s="19">
        <f t="shared" si="12"/>
        <v>0</v>
      </c>
      <c r="Q15" s="19">
        <f t="shared" si="12"/>
        <v>0</v>
      </c>
      <c r="R15" s="19">
        <f t="shared" si="12"/>
        <v>0</v>
      </c>
      <c r="S15" s="246">
        <f t="shared" si="12"/>
        <v>16</v>
      </c>
      <c r="T15" s="19">
        <f t="shared" si="12"/>
        <v>18</v>
      </c>
      <c r="U15" s="19">
        <f t="shared" si="12"/>
        <v>20</v>
      </c>
      <c r="V15" s="19">
        <f t="shared" si="12"/>
        <v>0</v>
      </c>
      <c r="W15" s="19">
        <f t="shared" si="12"/>
        <v>4</v>
      </c>
      <c r="X15" s="19">
        <f t="shared" si="12"/>
        <v>0</v>
      </c>
      <c r="Y15" s="19">
        <f t="shared" si="12"/>
        <v>0</v>
      </c>
      <c r="Z15" s="19">
        <f t="shared" si="12"/>
        <v>0</v>
      </c>
      <c r="AA15" s="246">
        <f t="shared" si="12"/>
        <v>42</v>
      </c>
      <c r="AB15" s="19">
        <f t="shared" si="12"/>
        <v>70</v>
      </c>
      <c r="AC15" s="19">
        <f t="shared" si="12"/>
        <v>46</v>
      </c>
      <c r="AD15" s="19">
        <f t="shared" si="12"/>
        <v>6</v>
      </c>
      <c r="AE15" s="19">
        <f t="shared" si="12"/>
        <v>4</v>
      </c>
      <c r="AF15" s="19">
        <f t="shared" si="12"/>
        <v>4</v>
      </c>
      <c r="AG15" s="19">
        <f t="shared" si="12"/>
        <v>4</v>
      </c>
      <c r="AH15" s="19">
        <f t="shared" si="12"/>
        <v>0</v>
      </c>
      <c r="AI15" s="246">
        <f t="shared" si="12"/>
        <v>134</v>
      </c>
      <c r="AJ15" s="47">
        <f t="shared" si="12"/>
        <v>374</v>
      </c>
      <c r="AK15" s="47">
        <f t="shared" si="12"/>
        <v>260</v>
      </c>
      <c r="AL15" s="47">
        <f t="shared" si="12"/>
        <v>18</v>
      </c>
      <c r="AM15" s="47">
        <f t="shared" si="12"/>
        <v>18</v>
      </c>
      <c r="AN15" s="47">
        <f t="shared" si="12"/>
        <v>22</v>
      </c>
      <c r="AO15" s="47">
        <f t="shared" si="12"/>
        <v>12</v>
      </c>
      <c r="AP15" s="47">
        <f t="shared" si="12"/>
        <v>0</v>
      </c>
      <c r="AQ15" s="47">
        <f t="shared" si="11"/>
        <v>704</v>
      </c>
    </row>
    <row r="16" spans="1:43" s="13" customFormat="1" ht="45.75" customHeight="1" x14ac:dyDescent="0.25">
      <c r="A16" s="23"/>
      <c r="C16" s="32">
        <f>C15/2</f>
        <v>352</v>
      </c>
      <c r="D16" s="240">
        <f>SUM(D15:J15)</f>
        <v>512</v>
      </c>
      <c r="E16" s="241"/>
      <c r="F16" s="241"/>
      <c r="G16" s="241"/>
      <c r="H16" s="241"/>
      <c r="I16" s="241"/>
      <c r="J16" s="241"/>
      <c r="K16" s="241"/>
      <c r="L16" s="240">
        <f>SUM(L15:R15)</f>
        <v>16</v>
      </c>
      <c r="M16" s="241"/>
      <c r="N16" s="241"/>
      <c r="O16" s="241"/>
      <c r="P16" s="241"/>
      <c r="Q16" s="241"/>
      <c r="R16" s="241"/>
      <c r="S16" s="241"/>
      <c r="T16" s="240">
        <f>SUM(T15:Z15)</f>
        <v>42</v>
      </c>
      <c r="U16" s="241"/>
      <c r="V16" s="241"/>
      <c r="W16" s="241"/>
      <c r="X16" s="241"/>
      <c r="Y16" s="241"/>
      <c r="Z16" s="241"/>
      <c r="AA16" s="241"/>
      <c r="AB16" s="240">
        <f>SUM(AB15:AH15)</f>
        <v>134</v>
      </c>
      <c r="AC16" s="241"/>
      <c r="AD16" s="241"/>
      <c r="AE16" s="241"/>
      <c r="AF16" s="241"/>
      <c r="AG16" s="241"/>
      <c r="AH16" s="241"/>
      <c r="AI16" s="241"/>
    </row>
    <row r="17" spans="1:43" ht="45.75" customHeight="1" x14ac:dyDescent="0.25">
      <c r="D17" s="247">
        <f>SUM(D16:AH16)</f>
        <v>704</v>
      </c>
      <c r="E17" s="237"/>
      <c r="F17" s="237"/>
      <c r="G17" s="237"/>
      <c r="H17" s="237"/>
      <c r="I17" s="237"/>
      <c r="J17" s="237"/>
      <c r="K17" s="237"/>
      <c r="L17" s="237"/>
      <c r="M17" s="237"/>
      <c r="N17" s="237"/>
      <c r="O17" s="237"/>
      <c r="P17" s="237"/>
      <c r="Q17" s="237"/>
      <c r="R17" s="237"/>
      <c r="S17" s="237"/>
      <c r="T17" s="237"/>
      <c r="U17" s="237"/>
      <c r="V17" s="237"/>
      <c r="W17" s="237"/>
      <c r="X17" s="237"/>
      <c r="Y17" s="237"/>
      <c r="Z17" s="237"/>
      <c r="AA17" s="237"/>
      <c r="AB17" s="237"/>
      <c r="AC17" s="237"/>
      <c r="AD17" s="237"/>
      <c r="AE17" s="237"/>
      <c r="AF17" s="237"/>
      <c r="AG17" s="237"/>
      <c r="AH17" s="237"/>
      <c r="AI17" s="237"/>
      <c r="AJ17" s="236">
        <f>C15-D17</f>
        <v>0</v>
      </c>
      <c r="AK17" s="237"/>
      <c r="AL17" s="237"/>
      <c r="AM17" s="237"/>
      <c r="AN17" s="236">
        <f>C15-AQ15</f>
        <v>0</v>
      </c>
      <c r="AO17" s="237"/>
      <c r="AP17" s="237"/>
      <c r="AQ17" s="237"/>
    </row>
    <row r="21" spans="1:43" ht="30" customHeight="1" x14ac:dyDescent="0.25">
      <c r="A21" s="15" t="s">
        <v>2997</v>
      </c>
      <c r="B21" s="19" t="s">
        <v>3043</v>
      </c>
      <c r="C21" s="19" t="s">
        <v>2999</v>
      </c>
    </row>
    <row r="22" spans="1:43" ht="30" customHeight="1" x14ac:dyDescent="0.25">
      <c r="A22" s="16" t="s">
        <v>55</v>
      </c>
      <c r="B22" s="21" t="s">
        <v>33</v>
      </c>
      <c r="C22" s="22">
        <f>COUNTIF(Başvuru!G2:G1294,"Bireysel Araştırma")</f>
        <v>284</v>
      </c>
    </row>
    <row r="23" spans="1:43" ht="30" customHeight="1" x14ac:dyDescent="0.25">
      <c r="A23" s="17" t="s">
        <v>64</v>
      </c>
      <c r="B23" s="24" t="s">
        <v>35</v>
      </c>
      <c r="C23" s="25">
        <f>COUNTIF(Başvuru!G2:G1294,"Yüksek Lisans Tezi")</f>
        <v>9</v>
      </c>
    </row>
    <row r="24" spans="1:43" ht="30" customHeight="1" x14ac:dyDescent="0.25">
      <c r="A24" s="16" t="s">
        <v>71</v>
      </c>
      <c r="B24" s="21" t="s">
        <v>36</v>
      </c>
      <c r="C24" s="22">
        <f>COUNTIF(Başvuru!G2:G1294,"Doktora Tezi")</f>
        <v>22</v>
      </c>
    </row>
    <row r="25" spans="1:43" ht="30" customHeight="1" x14ac:dyDescent="0.25">
      <c r="A25" s="17" t="s">
        <v>79</v>
      </c>
      <c r="B25" s="24" t="s">
        <v>34</v>
      </c>
      <c r="C25" s="25">
        <f>COUNTIF(Başvuru!G2:G1294,"Uzmanlık Tezi")</f>
        <v>76</v>
      </c>
    </row>
    <row r="26" spans="1:43" ht="30" customHeight="1" x14ac:dyDescent="0.25">
      <c r="A26" s="245" t="s">
        <v>4</v>
      </c>
      <c r="B26" s="231"/>
      <c r="C26" s="19">
        <f>SUM(C22:C25)</f>
        <v>391</v>
      </c>
    </row>
    <row r="27" spans="1:43" ht="30" customHeight="1" x14ac:dyDescent="0.25">
      <c r="B27" s="13"/>
      <c r="C27" s="13"/>
    </row>
    <row r="28" spans="1:43" ht="30" customHeight="1" x14ac:dyDescent="0.25">
      <c r="A28" s="15" t="s">
        <v>2997</v>
      </c>
      <c r="B28" s="19" t="s">
        <v>3044</v>
      </c>
      <c r="C28" s="19" t="s">
        <v>2999</v>
      </c>
    </row>
    <row r="29" spans="1:43" ht="30" customHeight="1" x14ac:dyDescent="0.25">
      <c r="A29" s="18" t="s">
        <v>55</v>
      </c>
      <c r="B29" s="26" t="s">
        <v>3045</v>
      </c>
      <c r="C29" s="22">
        <f>COUNTIF(Başvuru!L2:L1294,"ONAY")</f>
        <v>187</v>
      </c>
    </row>
    <row r="30" spans="1:43" ht="30" customHeight="1" x14ac:dyDescent="0.25">
      <c r="A30" s="18" t="s">
        <v>64</v>
      </c>
      <c r="B30" s="26" t="s">
        <v>3046</v>
      </c>
      <c r="C30" s="22">
        <f>COUNTIF(Başvuru!L2:L1294,"DÜZELTME")</f>
        <v>130</v>
      </c>
    </row>
    <row r="31" spans="1:43" ht="30" customHeight="1" x14ac:dyDescent="0.25">
      <c r="A31" s="18" t="s">
        <v>71</v>
      </c>
      <c r="B31" s="26" t="s">
        <v>204</v>
      </c>
      <c r="C31" s="22">
        <f>COUNTIF(Başvuru!L2:L1294,"KAEK")</f>
        <v>9</v>
      </c>
    </row>
    <row r="32" spans="1:43" ht="30" customHeight="1" x14ac:dyDescent="0.25">
      <c r="A32" s="18" t="s">
        <v>79</v>
      </c>
      <c r="B32" s="26" t="s">
        <v>3047</v>
      </c>
      <c r="C32" s="22">
        <f>COUNTIF(Başvuru!L2:L1294,"GÖRÜŞ")</f>
        <v>9</v>
      </c>
    </row>
    <row r="33" spans="1:6" ht="30" customHeight="1" x14ac:dyDescent="0.25">
      <c r="A33" s="18" t="s">
        <v>88</v>
      </c>
      <c r="B33" s="26" t="s">
        <v>3048</v>
      </c>
      <c r="C33" s="22">
        <f>COUNTIF(Başvuru!L2:L1294,"RET")</f>
        <v>11</v>
      </c>
    </row>
    <row r="34" spans="1:6" ht="30" customHeight="1" x14ac:dyDescent="0.25">
      <c r="A34" s="18" t="s">
        <v>96</v>
      </c>
      <c r="B34" s="26" t="s">
        <v>3049</v>
      </c>
      <c r="C34" s="22">
        <f>COUNTIF(Başvuru!L2:L1294,"KAPSAM DIŞI")</f>
        <v>6</v>
      </c>
    </row>
    <row r="35" spans="1:6" ht="30" customHeight="1" x14ac:dyDescent="0.25">
      <c r="A35" s="18" t="s">
        <v>103</v>
      </c>
      <c r="B35" s="26" t="s">
        <v>3050</v>
      </c>
      <c r="C35" s="22">
        <f>COUNTIF(Başvuru!L2:L1294,"GERİ ÇEKİLDİ")</f>
        <v>0</v>
      </c>
    </row>
    <row r="36" spans="1:6" ht="30" customHeight="1" x14ac:dyDescent="0.25">
      <c r="A36" s="245" t="s">
        <v>4</v>
      </c>
      <c r="B36" s="231"/>
      <c r="C36" s="19">
        <f>SUM(C29:C35)</f>
        <v>352</v>
      </c>
    </row>
    <row r="40" spans="1:6" ht="113.25" customHeight="1" x14ac:dyDescent="0.25">
      <c r="B40" s="44" t="s">
        <v>3051</v>
      </c>
      <c r="C40" s="44" t="s">
        <v>3052</v>
      </c>
      <c r="D40" s="44" t="s">
        <v>3046</v>
      </c>
      <c r="E40" s="44" t="s">
        <v>3053</v>
      </c>
      <c r="F40" s="44" t="s">
        <v>3054</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 ref="D1:K1"/>
    <mergeCell ref="AN17:AQ17"/>
    <mergeCell ref="C1:C2"/>
    <mergeCell ref="T16:Z16"/>
    <mergeCell ref="AJ17:AM17"/>
    <mergeCell ref="AJ1:AQ1"/>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24"/>
  <sheetViews>
    <sheetView workbookViewId="0">
      <selection activeCell="A71" sqref="A71"/>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3055</v>
      </c>
      <c r="B1" t="s">
        <v>3056</v>
      </c>
      <c r="D1" s="93" t="s">
        <v>3055</v>
      </c>
      <c r="E1" t="s">
        <v>3057</v>
      </c>
    </row>
    <row r="2" spans="1:5" x14ac:dyDescent="0.25">
      <c r="A2" s="92" t="s">
        <v>99</v>
      </c>
      <c r="B2" s="259">
        <v>60</v>
      </c>
      <c r="D2" s="92" t="s">
        <v>98</v>
      </c>
      <c r="E2" s="259">
        <v>11</v>
      </c>
    </row>
    <row r="3" spans="1:5" x14ac:dyDescent="0.25">
      <c r="A3" s="92" t="s">
        <v>208</v>
      </c>
      <c r="B3" s="259">
        <v>57</v>
      </c>
      <c r="D3" s="92" t="s">
        <v>376</v>
      </c>
      <c r="E3" s="259">
        <v>8</v>
      </c>
    </row>
    <row r="4" spans="1:5" x14ac:dyDescent="0.25">
      <c r="A4" s="92" t="s">
        <v>214</v>
      </c>
      <c r="B4" s="259">
        <v>23</v>
      </c>
      <c r="D4" s="92" t="s">
        <v>271</v>
      </c>
      <c r="E4" s="259">
        <v>8</v>
      </c>
    </row>
    <row r="5" spans="1:5" x14ac:dyDescent="0.25">
      <c r="A5" s="92" t="s">
        <v>350</v>
      </c>
      <c r="B5" s="259">
        <v>14</v>
      </c>
      <c r="D5" s="92" t="s">
        <v>213</v>
      </c>
      <c r="E5" s="259">
        <v>7</v>
      </c>
    </row>
    <row r="6" spans="1:5" x14ac:dyDescent="0.25">
      <c r="A6" s="92" t="s">
        <v>155</v>
      </c>
      <c r="B6" s="259">
        <v>14</v>
      </c>
      <c r="D6" s="92" t="s">
        <v>1416</v>
      </c>
      <c r="E6" s="259">
        <v>6</v>
      </c>
    </row>
    <row r="7" spans="1:5" x14ac:dyDescent="0.25">
      <c r="A7" s="92" t="s">
        <v>74</v>
      </c>
      <c r="B7" s="259">
        <v>14</v>
      </c>
      <c r="D7" s="92" t="s">
        <v>178</v>
      </c>
      <c r="E7" s="259">
        <v>6</v>
      </c>
    </row>
    <row r="8" spans="1:5" x14ac:dyDescent="0.25">
      <c r="A8" s="92" t="s">
        <v>377</v>
      </c>
      <c r="B8" s="259">
        <v>13</v>
      </c>
      <c r="D8" s="92" t="s">
        <v>619</v>
      </c>
      <c r="E8" s="259">
        <v>5</v>
      </c>
    </row>
    <row r="9" spans="1:5" x14ac:dyDescent="0.25">
      <c r="A9" s="92" t="s">
        <v>179</v>
      </c>
      <c r="B9" s="259">
        <v>11</v>
      </c>
      <c r="D9" s="92" t="s">
        <v>1337</v>
      </c>
      <c r="E9" s="259">
        <v>5</v>
      </c>
    </row>
    <row r="10" spans="1:5" x14ac:dyDescent="0.25">
      <c r="A10" s="92" t="s">
        <v>119</v>
      </c>
      <c r="B10" s="259">
        <v>10</v>
      </c>
      <c r="D10" s="92" t="s">
        <v>1091</v>
      </c>
      <c r="E10" s="259">
        <v>5</v>
      </c>
    </row>
    <row r="11" spans="1:5" x14ac:dyDescent="0.25">
      <c r="A11" s="92" t="s">
        <v>383</v>
      </c>
      <c r="B11" s="259">
        <v>10</v>
      </c>
      <c r="D11" s="92" t="s">
        <v>365</v>
      </c>
      <c r="E11" s="259">
        <v>5</v>
      </c>
    </row>
    <row r="12" spans="1:5" x14ac:dyDescent="0.25">
      <c r="A12" s="92" t="s">
        <v>327</v>
      </c>
      <c r="B12" s="259">
        <v>9</v>
      </c>
      <c r="D12" s="92" t="s">
        <v>154</v>
      </c>
      <c r="E12" s="259">
        <v>4</v>
      </c>
    </row>
    <row r="13" spans="1:5" x14ac:dyDescent="0.25">
      <c r="A13" s="92" t="s">
        <v>256</v>
      </c>
      <c r="B13" s="259">
        <v>8</v>
      </c>
      <c r="D13" s="92" t="s">
        <v>1192</v>
      </c>
      <c r="E13" s="259">
        <v>4</v>
      </c>
    </row>
    <row r="14" spans="1:5" x14ac:dyDescent="0.25">
      <c r="A14" s="92" t="s">
        <v>951</v>
      </c>
      <c r="B14" s="259">
        <v>8</v>
      </c>
      <c r="D14" s="92" t="s">
        <v>405</v>
      </c>
      <c r="E14" s="259">
        <v>4</v>
      </c>
    </row>
    <row r="15" spans="1:5" x14ac:dyDescent="0.25">
      <c r="A15" s="92" t="s">
        <v>371</v>
      </c>
      <c r="B15" s="259">
        <v>7</v>
      </c>
      <c r="D15" s="92" t="s">
        <v>382</v>
      </c>
      <c r="E15" s="259">
        <v>4</v>
      </c>
    </row>
    <row r="16" spans="1:5" x14ac:dyDescent="0.25">
      <c r="A16" s="92" t="s">
        <v>220</v>
      </c>
      <c r="B16" s="259">
        <v>7</v>
      </c>
      <c r="D16" s="92" t="s">
        <v>697</v>
      </c>
      <c r="E16" s="259">
        <v>4</v>
      </c>
    </row>
    <row r="17" spans="1:5" x14ac:dyDescent="0.25">
      <c r="A17" s="92" t="s">
        <v>283</v>
      </c>
      <c r="B17" s="259">
        <v>7</v>
      </c>
      <c r="D17" s="92" t="s">
        <v>370</v>
      </c>
      <c r="E17" s="259">
        <v>4</v>
      </c>
    </row>
    <row r="18" spans="1:5" x14ac:dyDescent="0.25">
      <c r="A18" s="92" t="s">
        <v>277</v>
      </c>
      <c r="B18" s="259">
        <v>7</v>
      </c>
      <c r="D18" s="92" t="s">
        <v>534</v>
      </c>
      <c r="E18" s="259">
        <v>4</v>
      </c>
    </row>
    <row r="19" spans="1:5" x14ac:dyDescent="0.25">
      <c r="A19" s="92" t="s">
        <v>390</v>
      </c>
      <c r="B19" s="259">
        <v>5</v>
      </c>
      <c r="D19" s="92" t="s">
        <v>1037</v>
      </c>
      <c r="E19" s="259">
        <v>4</v>
      </c>
    </row>
    <row r="20" spans="1:5" x14ac:dyDescent="0.25">
      <c r="A20" s="92" t="s">
        <v>416</v>
      </c>
      <c r="B20" s="259">
        <v>5</v>
      </c>
      <c r="D20" s="92" t="s">
        <v>161</v>
      </c>
      <c r="E20" s="259">
        <v>4</v>
      </c>
    </row>
    <row r="21" spans="1:5" x14ac:dyDescent="0.25">
      <c r="A21" s="92" t="s">
        <v>525</v>
      </c>
      <c r="B21" s="259">
        <v>5</v>
      </c>
      <c r="D21" s="92" t="s">
        <v>62</v>
      </c>
      <c r="E21" s="259">
        <v>3</v>
      </c>
    </row>
    <row r="22" spans="1:5" x14ac:dyDescent="0.25">
      <c r="A22" s="92" t="s">
        <v>167</v>
      </c>
      <c r="B22" s="259">
        <v>5</v>
      </c>
      <c r="D22" s="92" t="s">
        <v>188</v>
      </c>
      <c r="E22" s="259">
        <v>3</v>
      </c>
    </row>
    <row r="23" spans="1:5" x14ac:dyDescent="0.25">
      <c r="A23" s="92" t="s">
        <v>189</v>
      </c>
      <c r="B23" s="259">
        <v>5</v>
      </c>
      <c r="D23" s="92" t="s">
        <v>1182</v>
      </c>
      <c r="E23" s="259">
        <v>3</v>
      </c>
    </row>
    <row r="24" spans="1:5" x14ac:dyDescent="0.25">
      <c r="A24" s="92" t="s">
        <v>266</v>
      </c>
      <c r="B24" s="259">
        <v>5</v>
      </c>
      <c r="D24" s="92" t="s">
        <v>475</v>
      </c>
      <c r="E24" s="259">
        <v>3</v>
      </c>
    </row>
    <row r="25" spans="1:5" x14ac:dyDescent="0.25">
      <c r="A25" s="92" t="s">
        <v>311</v>
      </c>
      <c r="B25" s="259">
        <v>5</v>
      </c>
      <c r="D25" s="92" t="s">
        <v>293</v>
      </c>
      <c r="E25" s="259">
        <v>3</v>
      </c>
    </row>
    <row r="26" spans="1:5" x14ac:dyDescent="0.25">
      <c r="A26" s="92" t="s">
        <v>201</v>
      </c>
      <c r="B26" s="259">
        <v>5</v>
      </c>
      <c r="D26" s="92" t="s">
        <v>614</v>
      </c>
      <c r="E26" s="259">
        <v>3</v>
      </c>
    </row>
    <row r="27" spans="1:5" x14ac:dyDescent="0.25">
      <c r="A27" s="92" t="s">
        <v>570</v>
      </c>
      <c r="B27" s="259">
        <v>4</v>
      </c>
      <c r="D27" s="92" t="s">
        <v>229</v>
      </c>
      <c r="E27" s="259">
        <v>3</v>
      </c>
    </row>
    <row r="28" spans="1:5" x14ac:dyDescent="0.25">
      <c r="A28" s="92" t="s">
        <v>333</v>
      </c>
      <c r="B28" s="259">
        <v>4</v>
      </c>
      <c r="D28" s="92" t="s">
        <v>73</v>
      </c>
      <c r="E28" s="259">
        <v>3</v>
      </c>
    </row>
    <row r="29" spans="1:5" x14ac:dyDescent="0.25">
      <c r="A29" s="92" t="s">
        <v>400</v>
      </c>
      <c r="B29" s="259">
        <v>4</v>
      </c>
      <c r="D29" s="92" t="s">
        <v>1284</v>
      </c>
      <c r="E29" s="259">
        <v>3</v>
      </c>
    </row>
    <row r="30" spans="1:5" x14ac:dyDescent="0.25">
      <c r="A30" s="92" t="s">
        <v>470</v>
      </c>
      <c r="B30" s="259">
        <v>4</v>
      </c>
      <c r="D30" s="92" t="s">
        <v>657</v>
      </c>
      <c r="E30" s="259">
        <v>3</v>
      </c>
    </row>
    <row r="31" spans="1:5" x14ac:dyDescent="0.25">
      <c r="A31" s="92" t="s">
        <v>149</v>
      </c>
      <c r="B31" s="259">
        <v>3</v>
      </c>
      <c r="D31" s="92" t="s">
        <v>1569</v>
      </c>
      <c r="E31" s="259">
        <v>3</v>
      </c>
    </row>
    <row r="32" spans="1:5" x14ac:dyDescent="0.25">
      <c r="A32" s="92" t="s">
        <v>106</v>
      </c>
      <c r="B32" s="259">
        <v>3</v>
      </c>
      <c r="D32" s="92" t="s">
        <v>564</v>
      </c>
      <c r="E32" s="259">
        <v>3</v>
      </c>
    </row>
    <row r="33" spans="1:5" x14ac:dyDescent="0.25">
      <c r="A33" s="92" t="s">
        <v>648</v>
      </c>
      <c r="B33" s="259">
        <v>3</v>
      </c>
      <c r="D33" s="92" t="s">
        <v>463</v>
      </c>
      <c r="E33" s="259">
        <v>3</v>
      </c>
    </row>
    <row r="34" spans="1:5" x14ac:dyDescent="0.25">
      <c r="A34" s="92" t="s">
        <v>1477</v>
      </c>
      <c r="B34" s="259">
        <v>3</v>
      </c>
      <c r="D34" s="92" t="s">
        <v>638</v>
      </c>
      <c r="E34" s="259">
        <v>3</v>
      </c>
    </row>
    <row r="35" spans="1:5" x14ac:dyDescent="0.25">
      <c r="A35" s="92" t="s">
        <v>1128</v>
      </c>
      <c r="B35" s="259">
        <v>3</v>
      </c>
      <c r="D35" s="92" t="s">
        <v>942</v>
      </c>
      <c r="E35" s="259">
        <v>3</v>
      </c>
    </row>
    <row r="36" spans="1:5" x14ac:dyDescent="0.25">
      <c r="A36" s="92" t="s">
        <v>173</v>
      </c>
      <c r="B36" s="259">
        <v>3</v>
      </c>
      <c r="D36" s="92" t="s">
        <v>310</v>
      </c>
      <c r="E36" s="259">
        <v>3</v>
      </c>
    </row>
    <row r="37" spans="1:5" x14ac:dyDescent="0.25">
      <c r="A37" s="92" t="s">
        <v>136</v>
      </c>
      <c r="B37" s="259">
        <v>3</v>
      </c>
      <c r="D37" s="92" t="s">
        <v>510</v>
      </c>
      <c r="E37" s="259">
        <v>3</v>
      </c>
    </row>
    <row r="38" spans="1:5" x14ac:dyDescent="0.25">
      <c r="A38" s="92" t="s">
        <v>1058</v>
      </c>
      <c r="B38" s="259">
        <v>2</v>
      </c>
      <c r="D38" s="92" t="s">
        <v>246</v>
      </c>
      <c r="E38" s="259">
        <v>3</v>
      </c>
    </row>
    <row r="39" spans="1:5" x14ac:dyDescent="0.25">
      <c r="A39" s="92" t="s">
        <v>1153</v>
      </c>
      <c r="B39" s="259">
        <v>2</v>
      </c>
      <c r="D39" s="92" t="s">
        <v>1232</v>
      </c>
      <c r="E39" s="259">
        <v>3</v>
      </c>
    </row>
    <row r="40" spans="1:5" x14ac:dyDescent="0.25">
      <c r="A40" s="92" t="s">
        <v>805</v>
      </c>
      <c r="B40" s="259">
        <v>2</v>
      </c>
      <c r="D40" s="92" t="s">
        <v>410</v>
      </c>
      <c r="E40" s="259">
        <v>3</v>
      </c>
    </row>
    <row r="41" spans="1:5" x14ac:dyDescent="0.25">
      <c r="A41" s="92" t="s">
        <v>976</v>
      </c>
      <c r="B41" s="259">
        <v>2</v>
      </c>
      <c r="D41" s="92" t="s">
        <v>195</v>
      </c>
      <c r="E41" s="259">
        <v>3</v>
      </c>
    </row>
    <row r="42" spans="1:5" x14ac:dyDescent="0.25">
      <c r="A42" s="92" t="s">
        <v>82</v>
      </c>
      <c r="B42" s="259">
        <v>2</v>
      </c>
      <c r="D42" s="92" t="s">
        <v>505</v>
      </c>
      <c r="E42" s="259">
        <v>3</v>
      </c>
    </row>
    <row r="43" spans="1:5" x14ac:dyDescent="0.25">
      <c r="A43" s="92" t="s">
        <v>1023</v>
      </c>
      <c r="B43" s="259">
        <v>2</v>
      </c>
      <c r="D43" s="92" t="s">
        <v>355</v>
      </c>
      <c r="E43" s="259">
        <v>3</v>
      </c>
    </row>
    <row r="44" spans="1:5" x14ac:dyDescent="0.25">
      <c r="A44" s="92" t="s">
        <v>684</v>
      </c>
      <c r="B44" s="259">
        <v>2</v>
      </c>
      <c r="D44" s="92" t="s">
        <v>1363</v>
      </c>
      <c r="E44" s="259">
        <v>2</v>
      </c>
    </row>
    <row r="45" spans="1:5" x14ac:dyDescent="0.25">
      <c r="A45" s="92" t="s">
        <v>1451</v>
      </c>
      <c r="B45" s="259">
        <v>1</v>
      </c>
      <c r="D45" s="92" t="s">
        <v>255</v>
      </c>
      <c r="E45" s="259">
        <v>2</v>
      </c>
    </row>
    <row r="46" spans="1:5" x14ac:dyDescent="0.25">
      <c r="A46" s="92" t="s">
        <v>1147</v>
      </c>
      <c r="B46" s="259">
        <v>1</v>
      </c>
      <c r="D46" s="92" t="s">
        <v>1077</v>
      </c>
      <c r="E46" s="259">
        <v>2</v>
      </c>
    </row>
    <row r="47" spans="1:5" x14ac:dyDescent="0.25">
      <c r="A47" s="92" t="s">
        <v>1806</v>
      </c>
      <c r="B47" s="259">
        <v>1</v>
      </c>
      <c r="D47" s="92" t="s">
        <v>629</v>
      </c>
      <c r="E47" s="259">
        <v>2</v>
      </c>
    </row>
    <row r="48" spans="1:5" x14ac:dyDescent="0.25">
      <c r="A48" s="92" t="s">
        <v>125</v>
      </c>
      <c r="B48" s="259">
        <v>1</v>
      </c>
      <c r="D48" s="92" t="s">
        <v>1574</v>
      </c>
      <c r="E48" s="259">
        <v>2</v>
      </c>
    </row>
    <row r="49" spans="1:5" x14ac:dyDescent="0.25">
      <c r="A49" s="92" t="s">
        <v>1177</v>
      </c>
      <c r="B49" s="259">
        <v>1</v>
      </c>
      <c r="D49" s="92" t="s">
        <v>720</v>
      </c>
      <c r="E49" s="259">
        <v>2</v>
      </c>
    </row>
    <row r="50" spans="1:5" x14ac:dyDescent="0.25">
      <c r="A50" s="92" t="s">
        <v>143</v>
      </c>
      <c r="B50" s="259">
        <v>1</v>
      </c>
      <c r="D50" s="92" t="s">
        <v>1692</v>
      </c>
      <c r="E50" s="259">
        <v>2</v>
      </c>
    </row>
    <row r="51" spans="1:5" x14ac:dyDescent="0.25">
      <c r="A51" s="92" t="s">
        <v>1580</v>
      </c>
      <c r="B51" s="259">
        <v>1</v>
      </c>
      <c r="D51" s="92" t="s">
        <v>344</v>
      </c>
      <c r="E51" s="259">
        <v>2</v>
      </c>
    </row>
    <row r="52" spans="1:5" x14ac:dyDescent="0.25">
      <c r="A52" s="92" t="s">
        <v>490</v>
      </c>
      <c r="B52" s="259">
        <v>1</v>
      </c>
      <c r="D52" s="92" t="s">
        <v>609</v>
      </c>
      <c r="E52" s="259">
        <v>2</v>
      </c>
    </row>
    <row r="53" spans="1:5" x14ac:dyDescent="0.25">
      <c r="A53" s="92" t="s">
        <v>711</v>
      </c>
      <c r="B53" s="259">
        <v>1</v>
      </c>
      <c r="D53" s="92" t="s">
        <v>519</v>
      </c>
      <c r="E53" s="259">
        <v>2</v>
      </c>
    </row>
    <row r="54" spans="1:5" x14ac:dyDescent="0.25">
      <c r="A54" s="92" t="s">
        <v>91</v>
      </c>
      <c r="B54" s="259">
        <v>1</v>
      </c>
      <c r="D54" s="92" t="s">
        <v>1223</v>
      </c>
      <c r="E54" s="259">
        <v>2</v>
      </c>
    </row>
    <row r="55" spans="1:5" x14ac:dyDescent="0.25">
      <c r="A55" s="92" t="s">
        <v>464</v>
      </c>
      <c r="B55" s="259">
        <v>1</v>
      </c>
      <c r="D55" s="92" t="s">
        <v>102</v>
      </c>
      <c r="E55" s="259">
        <v>2</v>
      </c>
    </row>
    <row r="56" spans="1:5" x14ac:dyDescent="0.25">
      <c r="A56" s="92" t="s">
        <v>877</v>
      </c>
      <c r="B56" s="259">
        <v>1</v>
      </c>
      <c r="D56" s="92" t="s">
        <v>1313</v>
      </c>
      <c r="E56" s="259">
        <v>2</v>
      </c>
    </row>
    <row r="57" spans="1:5" x14ac:dyDescent="0.25">
      <c r="A57" s="92" t="s">
        <v>1328</v>
      </c>
      <c r="B57" s="259">
        <v>1</v>
      </c>
      <c r="D57" s="92" t="s">
        <v>425</v>
      </c>
      <c r="E57" s="259">
        <v>2</v>
      </c>
    </row>
    <row r="58" spans="1:5" x14ac:dyDescent="0.25">
      <c r="A58" s="92" t="s">
        <v>757</v>
      </c>
      <c r="B58" s="259">
        <v>1</v>
      </c>
      <c r="D58" s="92" t="s">
        <v>1411</v>
      </c>
      <c r="E58" s="259">
        <v>2</v>
      </c>
    </row>
    <row r="59" spans="1:5" x14ac:dyDescent="0.25">
      <c r="A59" s="92" t="s">
        <v>67</v>
      </c>
      <c r="B59" s="259">
        <v>1</v>
      </c>
      <c r="D59" s="92" t="s">
        <v>81</v>
      </c>
      <c r="E59" s="259">
        <v>2</v>
      </c>
    </row>
    <row r="60" spans="1:5" x14ac:dyDescent="0.25">
      <c r="A60" s="92" t="s">
        <v>339</v>
      </c>
      <c r="B60" s="259">
        <v>1</v>
      </c>
      <c r="D60" s="92" t="s">
        <v>1072</v>
      </c>
      <c r="E60" s="259">
        <v>2</v>
      </c>
    </row>
    <row r="61" spans="1:5" x14ac:dyDescent="0.25">
      <c r="A61" s="92" t="s">
        <v>1649</v>
      </c>
      <c r="B61" s="259">
        <v>1</v>
      </c>
      <c r="D61" s="92" t="s">
        <v>415</v>
      </c>
      <c r="E61" s="259">
        <v>2</v>
      </c>
    </row>
    <row r="62" spans="1:5" x14ac:dyDescent="0.25">
      <c r="A62" s="92" t="s">
        <v>58</v>
      </c>
      <c r="B62" s="259">
        <v>1</v>
      </c>
      <c r="D62" s="92" t="s">
        <v>1082</v>
      </c>
      <c r="E62" s="259">
        <v>2</v>
      </c>
    </row>
    <row r="63" spans="1:5" x14ac:dyDescent="0.25">
      <c r="A63" s="92" t="s">
        <v>1880</v>
      </c>
      <c r="B63" s="259">
        <v>1</v>
      </c>
      <c r="D63" s="92" t="s">
        <v>1780</v>
      </c>
      <c r="E63" s="259">
        <v>2</v>
      </c>
    </row>
    <row r="64" spans="1:5" x14ac:dyDescent="0.25">
      <c r="A64" s="92" t="s">
        <v>673</v>
      </c>
      <c r="B64" s="259">
        <v>1</v>
      </c>
      <c r="D64" s="92" t="s">
        <v>1100</v>
      </c>
      <c r="E64" s="259">
        <v>2</v>
      </c>
    </row>
    <row r="65" spans="1:5" x14ac:dyDescent="0.25">
      <c r="A65" s="92" t="s">
        <v>449</v>
      </c>
      <c r="B65" s="259">
        <v>1</v>
      </c>
      <c r="D65" s="92" t="s">
        <v>569</v>
      </c>
      <c r="E65" s="259">
        <v>2</v>
      </c>
    </row>
    <row r="66" spans="1:5" x14ac:dyDescent="0.25">
      <c r="A66" s="92" t="s">
        <v>3058</v>
      </c>
      <c r="B66" s="259"/>
      <c r="D66" s="92" t="s">
        <v>288</v>
      </c>
      <c r="E66" s="259">
        <v>2</v>
      </c>
    </row>
    <row r="67" spans="1:5" x14ac:dyDescent="0.25">
      <c r="A67" s="92" t="s">
        <v>3059</v>
      </c>
      <c r="B67" s="259">
        <v>391</v>
      </c>
      <c r="D67" s="92" t="s">
        <v>834</v>
      </c>
      <c r="E67" s="259">
        <v>2</v>
      </c>
    </row>
    <row r="68" spans="1:5" x14ac:dyDescent="0.25">
      <c r="D68" s="92" t="s">
        <v>118</v>
      </c>
      <c r="E68" s="259">
        <v>2</v>
      </c>
    </row>
    <row r="69" spans="1:5" x14ac:dyDescent="0.25">
      <c r="D69" s="92" t="s">
        <v>922</v>
      </c>
      <c r="E69" s="259">
        <v>2</v>
      </c>
    </row>
    <row r="70" spans="1:5" x14ac:dyDescent="0.25">
      <c r="D70" s="92" t="s">
        <v>1305</v>
      </c>
      <c r="E70" s="259">
        <v>2</v>
      </c>
    </row>
    <row r="71" spans="1:5" x14ac:dyDescent="0.25">
      <c r="D71" s="92" t="s">
        <v>148</v>
      </c>
      <c r="E71" s="259">
        <v>2</v>
      </c>
    </row>
    <row r="72" spans="1:5" x14ac:dyDescent="0.25">
      <c r="D72" s="92" t="s">
        <v>662</v>
      </c>
      <c r="E72" s="259">
        <v>2</v>
      </c>
    </row>
    <row r="73" spans="1:5" x14ac:dyDescent="0.25">
      <c r="D73" s="92" t="s">
        <v>989</v>
      </c>
      <c r="E73" s="259">
        <v>2</v>
      </c>
    </row>
    <row r="74" spans="1:5" x14ac:dyDescent="0.25">
      <c r="D74" s="92" t="s">
        <v>1398</v>
      </c>
      <c r="E74" s="259">
        <v>2</v>
      </c>
    </row>
    <row r="75" spans="1:5" x14ac:dyDescent="0.25">
      <c r="D75" s="92" t="s">
        <v>1013</v>
      </c>
      <c r="E75" s="259">
        <v>2</v>
      </c>
    </row>
    <row r="76" spans="1:5" x14ac:dyDescent="0.25">
      <c r="D76" s="92" t="s">
        <v>1668</v>
      </c>
      <c r="E76" s="259">
        <v>2</v>
      </c>
    </row>
    <row r="77" spans="1:5" x14ac:dyDescent="0.25">
      <c r="D77" s="92" t="s">
        <v>1028</v>
      </c>
      <c r="E77" s="259">
        <v>2</v>
      </c>
    </row>
    <row r="78" spans="1:5" x14ac:dyDescent="0.25">
      <c r="D78" s="92" t="s">
        <v>282</v>
      </c>
      <c r="E78" s="259">
        <v>2</v>
      </c>
    </row>
    <row r="79" spans="1:5" x14ac:dyDescent="0.25">
      <c r="D79" s="92" t="s">
        <v>756</v>
      </c>
      <c r="E79" s="259">
        <v>2</v>
      </c>
    </row>
    <row r="80" spans="1:5" x14ac:dyDescent="0.25">
      <c r="D80" s="92" t="s">
        <v>207</v>
      </c>
      <c r="E80" s="259">
        <v>2</v>
      </c>
    </row>
    <row r="81" spans="4:5" x14ac:dyDescent="0.25">
      <c r="D81" s="92" t="s">
        <v>1677</v>
      </c>
      <c r="E81" s="259">
        <v>2</v>
      </c>
    </row>
    <row r="82" spans="4:5" x14ac:dyDescent="0.25">
      <c r="D82" s="92" t="s">
        <v>667</v>
      </c>
      <c r="E82" s="259">
        <v>2</v>
      </c>
    </row>
    <row r="83" spans="4:5" x14ac:dyDescent="0.25">
      <c r="D83" s="92" t="s">
        <v>234</v>
      </c>
      <c r="E83" s="259">
        <v>2</v>
      </c>
    </row>
    <row r="84" spans="4:5" x14ac:dyDescent="0.25">
      <c r="D84" s="92" t="s">
        <v>738</v>
      </c>
      <c r="E84" s="259">
        <v>2</v>
      </c>
    </row>
    <row r="85" spans="4:5" x14ac:dyDescent="0.25">
      <c r="D85" s="92" t="s">
        <v>1717</v>
      </c>
      <c r="E85" s="259">
        <v>1</v>
      </c>
    </row>
    <row r="86" spans="4:5" x14ac:dyDescent="0.25">
      <c r="D86" s="92" t="s">
        <v>678</v>
      </c>
      <c r="E86" s="259">
        <v>1</v>
      </c>
    </row>
    <row r="87" spans="4:5" x14ac:dyDescent="0.25">
      <c r="D87" s="92" t="s">
        <v>200</v>
      </c>
      <c r="E87" s="259">
        <v>1</v>
      </c>
    </row>
    <row r="88" spans="4:5" x14ac:dyDescent="0.25">
      <c r="D88" s="92" t="s">
        <v>135</v>
      </c>
      <c r="E88" s="259">
        <v>1</v>
      </c>
    </row>
    <row r="89" spans="4:5" x14ac:dyDescent="0.25">
      <c r="D89" s="92" t="s">
        <v>1552</v>
      </c>
      <c r="E89" s="259">
        <v>1</v>
      </c>
    </row>
    <row r="90" spans="4:5" x14ac:dyDescent="0.25">
      <c r="D90" s="92" t="s">
        <v>795</v>
      </c>
      <c r="E90" s="259">
        <v>1</v>
      </c>
    </row>
    <row r="91" spans="4:5" x14ac:dyDescent="0.25">
      <c r="D91" s="92" t="s">
        <v>1171</v>
      </c>
      <c r="E91" s="259">
        <v>1</v>
      </c>
    </row>
    <row r="92" spans="4:5" x14ac:dyDescent="0.25">
      <c r="D92" s="92" t="s">
        <v>112</v>
      </c>
      <c r="E92" s="259">
        <v>1</v>
      </c>
    </row>
    <row r="93" spans="4:5" x14ac:dyDescent="0.25">
      <c r="D93" s="92" t="s">
        <v>1327</v>
      </c>
      <c r="E93" s="259">
        <v>1</v>
      </c>
    </row>
    <row r="94" spans="4:5" x14ac:dyDescent="0.25">
      <c r="D94" s="92" t="s">
        <v>86</v>
      </c>
      <c r="E94" s="259">
        <v>1</v>
      </c>
    </row>
    <row r="95" spans="4:5" x14ac:dyDescent="0.25">
      <c r="D95" s="92" t="s">
        <v>1482</v>
      </c>
      <c r="E95" s="259">
        <v>1</v>
      </c>
    </row>
    <row r="96" spans="4:5" x14ac:dyDescent="0.25">
      <c r="D96" s="92" t="s">
        <v>142</v>
      </c>
      <c r="E96" s="259">
        <v>1</v>
      </c>
    </row>
    <row r="97" spans="4:5" x14ac:dyDescent="0.25">
      <c r="D97" s="92" t="s">
        <v>1648</v>
      </c>
      <c r="E97" s="259">
        <v>1</v>
      </c>
    </row>
    <row r="98" spans="4:5" x14ac:dyDescent="0.25">
      <c r="D98" s="92" t="s">
        <v>332</v>
      </c>
      <c r="E98" s="259">
        <v>1</v>
      </c>
    </row>
    <row r="99" spans="4:5" x14ac:dyDescent="0.25">
      <c r="D99" s="92" t="s">
        <v>1141</v>
      </c>
      <c r="E99" s="259">
        <v>1</v>
      </c>
    </row>
    <row r="100" spans="4:5" x14ac:dyDescent="0.25">
      <c r="D100" s="92" t="s">
        <v>130</v>
      </c>
      <c r="E100" s="259">
        <v>1</v>
      </c>
    </row>
    <row r="101" spans="4:5" x14ac:dyDescent="0.25">
      <c r="D101" s="92" t="s">
        <v>725</v>
      </c>
      <c r="E101" s="259">
        <v>1</v>
      </c>
    </row>
    <row r="102" spans="4:5" x14ac:dyDescent="0.25">
      <c r="D102" s="92" t="s">
        <v>443</v>
      </c>
      <c r="E102" s="259">
        <v>1</v>
      </c>
    </row>
    <row r="103" spans="4:5" x14ac:dyDescent="0.25">
      <c r="D103" s="92" t="s">
        <v>66</v>
      </c>
      <c r="E103" s="259">
        <v>1</v>
      </c>
    </row>
    <row r="104" spans="4:5" x14ac:dyDescent="0.25">
      <c r="D104" s="92" t="s">
        <v>90</v>
      </c>
      <c r="E104" s="259">
        <v>1</v>
      </c>
    </row>
    <row r="105" spans="4:5" x14ac:dyDescent="0.25">
      <c r="D105" s="92" t="s">
        <v>590</v>
      </c>
      <c r="E105" s="259">
        <v>1</v>
      </c>
    </row>
    <row r="106" spans="4:5" x14ac:dyDescent="0.25">
      <c r="D106" s="92" t="s">
        <v>480</v>
      </c>
      <c r="E106" s="259">
        <v>1</v>
      </c>
    </row>
    <row r="107" spans="4:5" x14ac:dyDescent="0.25">
      <c r="D107" s="92" t="s">
        <v>1461</v>
      </c>
      <c r="E107" s="259">
        <v>1</v>
      </c>
    </row>
    <row r="108" spans="4:5" x14ac:dyDescent="0.25">
      <c r="D108" s="92" t="s">
        <v>321</v>
      </c>
      <c r="E108" s="259">
        <v>1</v>
      </c>
    </row>
    <row r="109" spans="4:5" x14ac:dyDescent="0.25">
      <c r="D109" s="92" t="s">
        <v>1522</v>
      </c>
      <c r="E109" s="259">
        <v>1</v>
      </c>
    </row>
    <row r="110" spans="4:5" x14ac:dyDescent="0.25">
      <c r="D110" s="92" t="s">
        <v>683</v>
      </c>
      <c r="E110" s="259">
        <v>1</v>
      </c>
    </row>
    <row r="111" spans="4:5" x14ac:dyDescent="0.25">
      <c r="D111" s="92" t="s">
        <v>1579</v>
      </c>
      <c r="E111" s="259">
        <v>1</v>
      </c>
    </row>
    <row r="112" spans="4:5" x14ac:dyDescent="0.25">
      <c r="D112" s="92" t="s">
        <v>57</v>
      </c>
      <c r="E112" s="259">
        <v>1</v>
      </c>
    </row>
    <row r="113" spans="4:5" x14ac:dyDescent="0.25">
      <c r="D113" s="92" t="s">
        <v>360</v>
      </c>
      <c r="E113" s="259">
        <v>1</v>
      </c>
    </row>
    <row r="114" spans="4:5" x14ac:dyDescent="0.25">
      <c r="D114" s="92" t="s">
        <v>772</v>
      </c>
      <c r="E114" s="259">
        <v>1</v>
      </c>
    </row>
    <row r="115" spans="4:5" x14ac:dyDescent="0.25">
      <c r="D115" s="92" t="s">
        <v>1114</v>
      </c>
      <c r="E115" s="259">
        <v>1</v>
      </c>
    </row>
    <row r="116" spans="4:5" x14ac:dyDescent="0.25">
      <c r="D116" s="92" t="s">
        <v>604</v>
      </c>
      <c r="E116" s="259">
        <v>1</v>
      </c>
    </row>
    <row r="117" spans="4:5" x14ac:dyDescent="0.25">
      <c r="D117" s="92" t="s">
        <v>1152</v>
      </c>
      <c r="E117" s="259">
        <v>1</v>
      </c>
    </row>
    <row r="118" spans="4:5" x14ac:dyDescent="0.25">
      <c r="D118" s="92" t="s">
        <v>730</v>
      </c>
      <c r="E118" s="259">
        <v>1</v>
      </c>
    </row>
    <row r="119" spans="4:5" x14ac:dyDescent="0.25">
      <c r="D119" s="92" t="s">
        <v>786</v>
      </c>
      <c r="E119" s="259">
        <v>1</v>
      </c>
    </row>
    <row r="120" spans="4:5" x14ac:dyDescent="0.25">
      <c r="D120" s="92" t="s">
        <v>672</v>
      </c>
      <c r="E120" s="259">
        <v>1</v>
      </c>
    </row>
    <row r="121" spans="4:5" x14ac:dyDescent="0.25">
      <c r="D121" s="92" t="s">
        <v>1218</v>
      </c>
      <c r="E121" s="259">
        <v>1</v>
      </c>
    </row>
    <row r="122" spans="4:5" x14ac:dyDescent="0.25">
      <c r="D122" s="92" t="s">
        <v>546</v>
      </c>
      <c r="E122" s="259">
        <v>1</v>
      </c>
    </row>
    <row r="123" spans="4:5" x14ac:dyDescent="0.25">
      <c r="D123" s="92" t="s">
        <v>1258</v>
      </c>
      <c r="E123" s="259">
        <v>1</v>
      </c>
    </row>
    <row r="124" spans="4:5" x14ac:dyDescent="0.25">
      <c r="D124" s="92" t="s">
        <v>326</v>
      </c>
      <c r="E124" s="259">
        <v>1</v>
      </c>
    </row>
    <row r="125" spans="4:5" x14ac:dyDescent="0.25">
      <c r="D125" s="92" t="s">
        <v>469</v>
      </c>
      <c r="E125" s="259">
        <v>1</v>
      </c>
    </row>
    <row r="126" spans="4:5" x14ac:dyDescent="0.25">
      <c r="D126" s="92" t="s">
        <v>500</v>
      </c>
      <c r="E126" s="259">
        <v>1</v>
      </c>
    </row>
    <row r="127" spans="4:5" x14ac:dyDescent="0.25">
      <c r="D127" s="92" t="s">
        <v>1349</v>
      </c>
      <c r="E127" s="259">
        <v>1</v>
      </c>
    </row>
    <row r="128" spans="4:5" x14ac:dyDescent="0.25">
      <c r="D128" s="92" t="s">
        <v>276</v>
      </c>
      <c r="E128" s="259">
        <v>1</v>
      </c>
    </row>
    <row r="129" spans="4:5" x14ac:dyDescent="0.25">
      <c r="D129" s="92" t="s">
        <v>1393</v>
      </c>
      <c r="E129" s="259">
        <v>1</v>
      </c>
    </row>
    <row r="130" spans="4:5" x14ac:dyDescent="0.25">
      <c r="D130" s="92" t="s">
        <v>489</v>
      </c>
      <c r="E130" s="259">
        <v>1</v>
      </c>
    </row>
    <row r="131" spans="4:5" x14ac:dyDescent="0.25">
      <c r="D131" s="92" t="s">
        <v>1438</v>
      </c>
      <c r="E131" s="259">
        <v>1</v>
      </c>
    </row>
    <row r="132" spans="4:5" x14ac:dyDescent="0.25">
      <c r="D132" s="92" t="s">
        <v>1741</v>
      </c>
      <c r="E132" s="259">
        <v>1</v>
      </c>
    </row>
    <row r="133" spans="4:5" x14ac:dyDescent="0.25">
      <c r="D133" s="92" t="s">
        <v>1471</v>
      </c>
      <c r="E133" s="259">
        <v>1</v>
      </c>
    </row>
    <row r="134" spans="4:5" x14ac:dyDescent="0.25">
      <c r="D134" s="92" t="s">
        <v>1746</v>
      </c>
      <c r="E134" s="259">
        <v>1</v>
      </c>
    </row>
    <row r="135" spans="4:5" x14ac:dyDescent="0.25">
      <c r="D135" s="92" t="s">
        <v>1512</v>
      </c>
      <c r="E135" s="259">
        <v>1</v>
      </c>
    </row>
    <row r="136" spans="4:5" x14ac:dyDescent="0.25">
      <c r="D136" s="92" t="s">
        <v>316</v>
      </c>
      <c r="E136" s="259">
        <v>1</v>
      </c>
    </row>
    <row r="137" spans="4:5" x14ac:dyDescent="0.25">
      <c r="D137" s="92" t="s">
        <v>1534</v>
      </c>
      <c r="E137" s="259">
        <v>1</v>
      </c>
    </row>
    <row r="138" spans="4:5" x14ac:dyDescent="0.25">
      <c r="D138" s="92" t="s">
        <v>1805</v>
      </c>
      <c r="E138" s="259">
        <v>1</v>
      </c>
    </row>
    <row r="139" spans="4:5" x14ac:dyDescent="0.25">
      <c r="D139" s="92" t="s">
        <v>399</v>
      </c>
      <c r="E139" s="259">
        <v>1</v>
      </c>
    </row>
    <row r="140" spans="4:5" x14ac:dyDescent="0.25">
      <c r="D140" s="92" t="s">
        <v>172</v>
      </c>
      <c r="E140" s="259">
        <v>1</v>
      </c>
    </row>
    <row r="141" spans="4:5" x14ac:dyDescent="0.25">
      <c r="D141" s="92" t="s">
        <v>1622</v>
      </c>
      <c r="E141" s="259">
        <v>1</v>
      </c>
    </row>
    <row r="142" spans="4:5" x14ac:dyDescent="0.25">
      <c r="D142" s="92" t="s">
        <v>804</v>
      </c>
      <c r="E142" s="259">
        <v>1</v>
      </c>
    </row>
    <row r="143" spans="4:5" x14ac:dyDescent="0.25">
      <c r="D143" s="92" t="s">
        <v>1663</v>
      </c>
      <c r="E143" s="259">
        <v>1</v>
      </c>
    </row>
    <row r="144" spans="4:5" x14ac:dyDescent="0.25">
      <c r="D144" s="92" t="s">
        <v>810</v>
      </c>
      <c r="E144" s="259">
        <v>1</v>
      </c>
    </row>
    <row r="145" spans="4:5" x14ac:dyDescent="0.25">
      <c r="D145" s="92" t="s">
        <v>1687</v>
      </c>
      <c r="E145" s="259">
        <v>1</v>
      </c>
    </row>
    <row r="146" spans="4:5" x14ac:dyDescent="0.25">
      <c r="D146" s="92" t="s">
        <v>78</v>
      </c>
      <c r="E146" s="259">
        <v>1</v>
      </c>
    </row>
    <row r="147" spans="4:5" x14ac:dyDescent="0.25">
      <c r="D147" s="92" t="s">
        <v>1109</v>
      </c>
      <c r="E147" s="259">
        <v>1</v>
      </c>
    </row>
    <row r="148" spans="4:5" x14ac:dyDescent="0.25">
      <c r="D148" s="92" t="s">
        <v>839</v>
      </c>
      <c r="E148" s="259">
        <v>1</v>
      </c>
    </row>
    <row r="149" spans="4:5" x14ac:dyDescent="0.25">
      <c r="D149" s="92" t="s">
        <v>1127</v>
      </c>
      <c r="E149" s="259">
        <v>1</v>
      </c>
    </row>
    <row r="150" spans="4:5" x14ac:dyDescent="0.25">
      <c r="D150" s="92" t="s">
        <v>844</v>
      </c>
      <c r="E150" s="259">
        <v>1</v>
      </c>
    </row>
    <row r="151" spans="4:5" x14ac:dyDescent="0.25">
      <c r="D151" s="92" t="s">
        <v>1146</v>
      </c>
      <c r="E151" s="259">
        <v>1</v>
      </c>
    </row>
    <row r="152" spans="4:5" x14ac:dyDescent="0.25">
      <c r="D152" s="92" t="s">
        <v>853</v>
      </c>
      <c r="E152" s="259">
        <v>1</v>
      </c>
    </row>
    <row r="153" spans="4:5" x14ac:dyDescent="0.25">
      <c r="D153" s="92" t="s">
        <v>1162</v>
      </c>
      <c r="E153" s="259">
        <v>1</v>
      </c>
    </row>
    <row r="154" spans="4:5" x14ac:dyDescent="0.25">
      <c r="D154" s="92" t="s">
        <v>858</v>
      </c>
      <c r="E154" s="259">
        <v>1</v>
      </c>
    </row>
    <row r="155" spans="4:5" x14ac:dyDescent="0.25">
      <c r="D155" s="92" t="s">
        <v>1176</v>
      </c>
      <c r="E155" s="259">
        <v>1</v>
      </c>
    </row>
    <row r="156" spans="4:5" x14ac:dyDescent="0.25">
      <c r="D156" s="92" t="s">
        <v>863</v>
      </c>
      <c r="E156" s="259">
        <v>1</v>
      </c>
    </row>
    <row r="157" spans="4:5" x14ac:dyDescent="0.25">
      <c r="D157" s="92" t="s">
        <v>1187</v>
      </c>
      <c r="E157" s="259">
        <v>1</v>
      </c>
    </row>
    <row r="158" spans="4:5" x14ac:dyDescent="0.25">
      <c r="D158" s="92" t="s">
        <v>876</v>
      </c>
      <c r="E158" s="259">
        <v>1</v>
      </c>
    </row>
    <row r="159" spans="4:5" x14ac:dyDescent="0.25">
      <c r="D159" s="92" t="s">
        <v>1213</v>
      </c>
      <c r="E159" s="259">
        <v>1</v>
      </c>
    </row>
    <row r="160" spans="4:5" x14ac:dyDescent="0.25">
      <c r="D160" s="92" t="s">
        <v>909</v>
      </c>
      <c r="E160" s="259">
        <v>1</v>
      </c>
    </row>
    <row r="161" spans="4:5" x14ac:dyDescent="0.25">
      <c r="D161" s="92" t="s">
        <v>762</v>
      </c>
      <c r="E161" s="259">
        <v>1</v>
      </c>
    </row>
    <row r="162" spans="4:5" x14ac:dyDescent="0.25">
      <c r="D162" s="92" t="s">
        <v>743</v>
      </c>
      <c r="E162" s="259">
        <v>1</v>
      </c>
    </row>
    <row r="163" spans="4:5" x14ac:dyDescent="0.25">
      <c r="D163" s="92" t="s">
        <v>1245</v>
      </c>
      <c r="E163" s="259">
        <v>1</v>
      </c>
    </row>
    <row r="164" spans="4:5" x14ac:dyDescent="0.25">
      <c r="D164" s="92" t="s">
        <v>927</v>
      </c>
      <c r="E164" s="259">
        <v>1</v>
      </c>
    </row>
    <row r="165" spans="4:5" x14ac:dyDescent="0.25">
      <c r="D165" s="92" t="s">
        <v>1263</v>
      </c>
      <c r="E165" s="259">
        <v>1</v>
      </c>
    </row>
    <row r="166" spans="4:5" x14ac:dyDescent="0.25">
      <c r="D166" s="92" t="s">
        <v>932</v>
      </c>
      <c r="E166" s="259">
        <v>1</v>
      </c>
    </row>
    <row r="167" spans="4:5" x14ac:dyDescent="0.25">
      <c r="D167" s="92" t="s">
        <v>710</v>
      </c>
      <c r="E167" s="259">
        <v>1</v>
      </c>
    </row>
    <row r="168" spans="4:5" x14ac:dyDescent="0.25">
      <c r="D168" s="92" t="s">
        <v>937</v>
      </c>
      <c r="E168" s="259">
        <v>1</v>
      </c>
    </row>
    <row r="169" spans="4:5" x14ac:dyDescent="0.25">
      <c r="D169" s="92" t="s">
        <v>1322</v>
      </c>
      <c r="E169" s="259">
        <v>1</v>
      </c>
    </row>
    <row r="170" spans="4:5" x14ac:dyDescent="0.25">
      <c r="D170" s="92" t="s">
        <v>448</v>
      </c>
      <c r="E170" s="259">
        <v>1</v>
      </c>
    </row>
    <row r="171" spans="4:5" x14ac:dyDescent="0.25">
      <c r="D171" s="92" t="s">
        <v>524</v>
      </c>
      <c r="E171" s="259">
        <v>1</v>
      </c>
    </row>
    <row r="172" spans="4:5" x14ac:dyDescent="0.25">
      <c r="D172" s="92" t="s">
        <v>950</v>
      </c>
      <c r="E172" s="259">
        <v>1</v>
      </c>
    </row>
    <row r="173" spans="4:5" x14ac:dyDescent="0.25">
      <c r="D173" s="92" t="s">
        <v>1358</v>
      </c>
      <c r="E173" s="259">
        <v>1</v>
      </c>
    </row>
    <row r="174" spans="4:5" x14ac:dyDescent="0.25">
      <c r="D174" s="92" t="s">
        <v>960</v>
      </c>
      <c r="E174" s="259">
        <v>1</v>
      </c>
    </row>
    <row r="175" spans="4:5" x14ac:dyDescent="0.25">
      <c r="D175" s="92" t="s">
        <v>1388</v>
      </c>
      <c r="E175" s="259">
        <v>1</v>
      </c>
    </row>
    <row r="176" spans="4:5" x14ac:dyDescent="0.25">
      <c r="D176" s="92" t="s">
        <v>965</v>
      </c>
      <c r="E176" s="259">
        <v>1</v>
      </c>
    </row>
    <row r="177" spans="4:5" x14ac:dyDescent="0.25">
      <c r="D177" s="92" t="s">
        <v>389</v>
      </c>
      <c r="E177" s="259">
        <v>1</v>
      </c>
    </row>
    <row r="178" spans="4:5" x14ac:dyDescent="0.25">
      <c r="D178" s="92" t="s">
        <v>970</v>
      </c>
      <c r="E178" s="259">
        <v>1</v>
      </c>
    </row>
    <row r="179" spans="4:5" x14ac:dyDescent="0.25">
      <c r="D179" s="92" t="s">
        <v>1425</v>
      </c>
      <c r="E179" s="259">
        <v>1</v>
      </c>
    </row>
    <row r="180" spans="4:5" x14ac:dyDescent="0.25">
      <c r="D180" s="92" t="s">
        <v>975</v>
      </c>
      <c r="E180" s="259">
        <v>1</v>
      </c>
    </row>
    <row r="181" spans="4:5" x14ac:dyDescent="0.25">
      <c r="D181" s="92" t="s">
        <v>1456</v>
      </c>
      <c r="E181" s="259">
        <v>1</v>
      </c>
    </row>
    <row r="182" spans="4:5" x14ac:dyDescent="0.25">
      <c r="D182" s="92" t="s">
        <v>454</v>
      </c>
      <c r="E182" s="259">
        <v>1</v>
      </c>
    </row>
    <row r="183" spans="4:5" x14ac:dyDescent="0.25">
      <c r="D183" s="92" t="s">
        <v>1466</v>
      </c>
      <c r="E183" s="259">
        <v>1</v>
      </c>
    </row>
    <row r="184" spans="4:5" x14ac:dyDescent="0.25">
      <c r="D184" s="92" t="s">
        <v>994</v>
      </c>
      <c r="E184" s="259">
        <v>1</v>
      </c>
    </row>
    <row r="185" spans="4:5" x14ac:dyDescent="0.25">
      <c r="D185" s="92" t="s">
        <v>1476</v>
      </c>
      <c r="E185" s="259">
        <v>1</v>
      </c>
    </row>
    <row r="186" spans="4:5" x14ac:dyDescent="0.25">
      <c r="D186" s="92" t="s">
        <v>999</v>
      </c>
      <c r="E186" s="259">
        <v>1</v>
      </c>
    </row>
    <row r="187" spans="4:5" x14ac:dyDescent="0.25">
      <c r="D187" s="92" t="s">
        <v>1487</v>
      </c>
      <c r="E187" s="259">
        <v>1</v>
      </c>
    </row>
    <row r="188" spans="4:5" x14ac:dyDescent="0.25">
      <c r="D188" s="92" t="s">
        <v>1004</v>
      </c>
      <c r="E188" s="259">
        <v>1</v>
      </c>
    </row>
    <row r="189" spans="4:5" x14ac:dyDescent="0.25">
      <c r="D189" s="92" t="s">
        <v>1517</v>
      </c>
      <c r="E189" s="259">
        <v>1</v>
      </c>
    </row>
    <row r="190" spans="4:5" x14ac:dyDescent="0.25">
      <c r="D190" s="92" t="s">
        <v>338</v>
      </c>
      <c r="E190" s="259">
        <v>1</v>
      </c>
    </row>
    <row r="191" spans="4:5" x14ac:dyDescent="0.25">
      <c r="D191" s="92" t="s">
        <v>219</v>
      </c>
      <c r="E191" s="259">
        <v>1</v>
      </c>
    </row>
    <row r="192" spans="4:5" x14ac:dyDescent="0.25">
      <c r="D192" s="92" t="s">
        <v>1022</v>
      </c>
      <c r="E192" s="259">
        <v>1</v>
      </c>
    </row>
    <row r="193" spans="4:5" x14ac:dyDescent="0.25">
      <c r="D193" s="92" t="s">
        <v>1547</v>
      </c>
      <c r="E193" s="259">
        <v>1</v>
      </c>
    </row>
    <row r="194" spans="4:5" x14ac:dyDescent="0.25">
      <c r="D194" s="92" t="s">
        <v>166</v>
      </c>
      <c r="E194" s="259">
        <v>1</v>
      </c>
    </row>
    <row r="195" spans="4:5" x14ac:dyDescent="0.25">
      <c r="D195" s="92" t="s">
        <v>767</v>
      </c>
      <c r="E195" s="259">
        <v>1</v>
      </c>
    </row>
    <row r="196" spans="4:5" x14ac:dyDescent="0.25">
      <c r="D196" s="92" t="s">
        <v>559</v>
      </c>
      <c r="E196" s="259">
        <v>1</v>
      </c>
    </row>
    <row r="197" spans="4:5" x14ac:dyDescent="0.25">
      <c r="D197" s="92" t="s">
        <v>643</v>
      </c>
      <c r="E197" s="259">
        <v>1</v>
      </c>
    </row>
    <row r="198" spans="4:5" x14ac:dyDescent="0.25">
      <c r="D198" s="92" t="s">
        <v>1048</v>
      </c>
      <c r="E198" s="259">
        <v>1</v>
      </c>
    </row>
    <row r="199" spans="4:5" x14ac:dyDescent="0.25">
      <c r="D199" s="92" t="s">
        <v>1609</v>
      </c>
      <c r="E199" s="259">
        <v>1</v>
      </c>
    </row>
    <row r="200" spans="4:5" x14ac:dyDescent="0.25">
      <c r="D200" s="92" t="s">
        <v>1057</v>
      </c>
      <c r="E200" s="259">
        <v>1</v>
      </c>
    </row>
    <row r="201" spans="4:5" x14ac:dyDescent="0.25">
      <c r="D201" s="92" t="s">
        <v>1643</v>
      </c>
      <c r="E201" s="259">
        <v>1</v>
      </c>
    </row>
    <row r="202" spans="4:5" x14ac:dyDescent="0.25">
      <c r="D202" s="92" t="s">
        <v>1063</v>
      </c>
      <c r="E202" s="259">
        <v>1</v>
      </c>
    </row>
    <row r="203" spans="4:5" x14ac:dyDescent="0.25">
      <c r="D203" s="92" t="s">
        <v>1658</v>
      </c>
      <c r="E203" s="259">
        <v>1</v>
      </c>
    </row>
    <row r="204" spans="4:5" x14ac:dyDescent="0.25">
      <c r="D204" s="92" t="s">
        <v>305</v>
      </c>
      <c r="E204" s="259">
        <v>1</v>
      </c>
    </row>
    <row r="205" spans="4:5" x14ac:dyDescent="0.25">
      <c r="D205" s="92" t="s">
        <v>349</v>
      </c>
      <c r="E205" s="259">
        <v>1</v>
      </c>
    </row>
    <row r="206" spans="4:5" x14ac:dyDescent="0.25">
      <c r="D206" s="92" t="s">
        <v>495</v>
      </c>
      <c r="E206" s="259">
        <v>1</v>
      </c>
    </row>
    <row r="207" spans="4:5" x14ac:dyDescent="0.25">
      <c r="D207" s="92" t="s">
        <v>1682</v>
      </c>
      <c r="E207" s="259">
        <v>1</v>
      </c>
    </row>
    <row r="208" spans="4:5" x14ac:dyDescent="0.25">
      <c r="D208" s="92" t="s">
        <v>105</v>
      </c>
      <c r="E208" s="259">
        <v>1</v>
      </c>
    </row>
    <row r="209" spans="4:5" x14ac:dyDescent="0.25">
      <c r="D209" s="92" t="s">
        <v>624</v>
      </c>
      <c r="E209" s="259">
        <v>1</v>
      </c>
    </row>
    <row r="210" spans="4:5" x14ac:dyDescent="0.25">
      <c r="D210" s="92" t="s">
        <v>595</v>
      </c>
      <c r="E210" s="259">
        <v>1</v>
      </c>
    </row>
    <row r="211" spans="4:5" x14ac:dyDescent="0.25">
      <c r="D211" s="92" t="s">
        <v>265</v>
      </c>
      <c r="E211" s="259">
        <v>1</v>
      </c>
    </row>
    <row r="212" spans="4:5" x14ac:dyDescent="0.25">
      <c r="D212" s="92" t="s">
        <v>781</v>
      </c>
      <c r="E212" s="259">
        <v>1</v>
      </c>
    </row>
    <row r="213" spans="4:5" x14ac:dyDescent="0.25">
      <c r="D213" s="92" t="s">
        <v>1775</v>
      </c>
      <c r="E213" s="259">
        <v>1</v>
      </c>
    </row>
    <row r="214" spans="4:5" x14ac:dyDescent="0.25">
      <c r="D214" s="92" t="s">
        <v>124</v>
      </c>
      <c r="E214" s="259">
        <v>1</v>
      </c>
    </row>
    <row r="215" spans="4:5" x14ac:dyDescent="0.25">
      <c r="D215" s="92" t="s">
        <v>1792</v>
      </c>
      <c r="E215" s="259">
        <v>1</v>
      </c>
    </row>
    <row r="216" spans="4:5" x14ac:dyDescent="0.25">
      <c r="D216" s="92" t="s">
        <v>1828</v>
      </c>
      <c r="E216" s="259">
        <v>1</v>
      </c>
    </row>
    <row r="217" spans="4:5" x14ac:dyDescent="0.25">
      <c r="D217" s="92" t="s">
        <v>1819</v>
      </c>
      <c r="E217" s="259">
        <v>1</v>
      </c>
    </row>
    <row r="218" spans="4:5" x14ac:dyDescent="0.25">
      <c r="D218" s="92" t="s">
        <v>1849</v>
      </c>
      <c r="E218" s="259">
        <v>1</v>
      </c>
    </row>
    <row r="219" spans="4:5" x14ac:dyDescent="0.25">
      <c r="D219" s="92" t="s">
        <v>1879</v>
      </c>
      <c r="E219" s="259">
        <v>1</v>
      </c>
    </row>
    <row r="220" spans="4:5" x14ac:dyDescent="0.25">
      <c r="D220" s="92" t="s">
        <v>1858</v>
      </c>
      <c r="E220" s="259">
        <v>1</v>
      </c>
    </row>
    <row r="221" spans="4:5" x14ac:dyDescent="0.25">
      <c r="D221" s="92" t="s">
        <v>94</v>
      </c>
      <c r="E221" s="259">
        <v>1</v>
      </c>
    </row>
    <row r="222" spans="4:5" x14ac:dyDescent="0.25">
      <c r="D222" s="92" t="s">
        <v>430</v>
      </c>
      <c r="E222" s="259">
        <v>1</v>
      </c>
    </row>
    <row r="223" spans="4:5" x14ac:dyDescent="0.25">
      <c r="D223" s="92" t="s">
        <v>3058</v>
      </c>
      <c r="E223" s="259"/>
    </row>
    <row r="224" spans="4:5" x14ac:dyDescent="0.25">
      <c r="D224" s="92" t="s">
        <v>3059</v>
      </c>
      <c r="E224" s="259">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K17" sqref="K17"/>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9" width="9.140625" style="1" customWidth="1"/>
    <col min="50" max="16384" width="9.140625" style="1"/>
  </cols>
  <sheetData>
    <row r="1" spans="1:6" x14ac:dyDescent="0.25">
      <c r="A1" s="253" t="s">
        <v>3060</v>
      </c>
      <c r="B1" s="237"/>
      <c r="C1" s="237"/>
      <c r="D1" s="237"/>
      <c r="E1" s="237"/>
      <c r="F1" s="237"/>
    </row>
    <row r="3" spans="1:6" x14ac:dyDescent="0.25">
      <c r="A3" s="38" t="s">
        <v>38</v>
      </c>
      <c r="B3" s="38" t="s">
        <v>3061</v>
      </c>
      <c r="C3" s="38" t="s">
        <v>3052</v>
      </c>
      <c r="D3" s="38" t="s">
        <v>3046</v>
      </c>
      <c r="E3" s="38" t="s">
        <v>3053</v>
      </c>
      <c r="F3" s="38" t="s">
        <v>3054</v>
      </c>
    </row>
    <row r="4" spans="1:6" x14ac:dyDescent="0.25">
      <c r="A4" s="39" t="s">
        <v>55</v>
      </c>
      <c r="B4" s="37">
        <v>46028</v>
      </c>
      <c r="C4" s="36">
        <v>55</v>
      </c>
      <c r="D4" s="36">
        <v>16</v>
      </c>
      <c r="E4" s="36">
        <v>9</v>
      </c>
      <c r="F4" s="36">
        <f t="shared" ref="F4:F26" si="0">SUM(C4:E4)</f>
        <v>80</v>
      </c>
    </row>
    <row r="5" spans="1:6" x14ac:dyDescent="0.25">
      <c r="A5" s="39" t="s">
        <v>64</v>
      </c>
      <c r="B5" s="37">
        <v>46042</v>
      </c>
      <c r="C5" s="36">
        <v>45</v>
      </c>
      <c r="D5" s="36">
        <v>13</v>
      </c>
      <c r="E5" s="36">
        <v>11</v>
      </c>
      <c r="F5" s="36">
        <f t="shared" si="0"/>
        <v>69</v>
      </c>
    </row>
    <row r="6" spans="1:6" x14ac:dyDescent="0.25">
      <c r="A6" s="39" t="s">
        <v>71</v>
      </c>
      <c r="B6" s="37">
        <v>46057</v>
      </c>
      <c r="C6" s="36">
        <v>45</v>
      </c>
      <c r="D6" s="36">
        <v>12</v>
      </c>
      <c r="E6" s="36">
        <v>15</v>
      </c>
      <c r="F6" s="36">
        <f t="shared" si="0"/>
        <v>72</v>
      </c>
    </row>
    <row r="7" spans="1:6" x14ac:dyDescent="0.25">
      <c r="A7" s="39" t="s">
        <v>79</v>
      </c>
      <c r="B7" s="37">
        <v>46070</v>
      </c>
      <c r="C7" s="36">
        <v>45</v>
      </c>
      <c r="D7" s="36">
        <v>17</v>
      </c>
      <c r="E7" s="36">
        <v>6</v>
      </c>
      <c r="F7" s="36">
        <f t="shared" si="0"/>
        <v>68</v>
      </c>
    </row>
    <row r="8" spans="1:6" x14ac:dyDescent="0.25">
      <c r="A8" s="39" t="s">
        <v>88</v>
      </c>
      <c r="B8" s="37">
        <v>46084</v>
      </c>
      <c r="C8" s="36">
        <v>35</v>
      </c>
      <c r="D8" s="36">
        <v>19</v>
      </c>
      <c r="E8" s="36">
        <v>8</v>
      </c>
      <c r="F8" s="36">
        <f t="shared" si="0"/>
        <v>62</v>
      </c>
    </row>
    <row r="9" spans="1:6" x14ac:dyDescent="0.25">
      <c r="A9" s="39" t="s">
        <v>96</v>
      </c>
      <c r="B9" s="37">
        <v>46098</v>
      </c>
      <c r="C9" s="36">
        <v>47</v>
      </c>
      <c r="D9" s="36">
        <v>21</v>
      </c>
      <c r="E9" s="36">
        <v>14</v>
      </c>
      <c r="F9" s="36">
        <f t="shared" si="0"/>
        <v>82</v>
      </c>
    </row>
    <row r="10" spans="1:6" x14ac:dyDescent="0.25">
      <c r="A10" s="39" t="s">
        <v>103</v>
      </c>
      <c r="B10" s="37">
        <v>46112</v>
      </c>
      <c r="C10" s="36">
        <v>40</v>
      </c>
      <c r="D10" s="36">
        <v>15</v>
      </c>
      <c r="E10" s="36">
        <v>11</v>
      </c>
      <c r="F10" s="36">
        <f t="shared" si="0"/>
        <v>66</v>
      </c>
    </row>
    <row r="11" spans="1:6" x14ac:dyDescent="0.25">
      <c r="A11" s="39" t="s">
        <v>110</v>
      </c>
      <c r="B11" s="37">
        <v>46126</v>
      </c>
      <c r="C11" s="36">
        <v>40</v>
      </c>
      <c r="D11" s="36">
        <v>15</v>
      </c>
      <c r="E11" s="36">
        <v>6</v>
      </c>
      <c r="F11" s="36">
        <f t="shared" si="0"/>
        <v>61</v>
      </c>
    </row>
    <row r="12" spans="1:6" x14ac:dyDescent="0.25">
      <c r="A12" s="39" t="s">
        <v>116</v>
      </c>
      <c r="B12" s="37">
        <v>46140</v>
      </c>
      <c r="C12" s="36">
        <v>34</v>
      </c>
      <c r="D12" s="36"/>
      <c r="E12" s="36"/>
      <c r="F12" s="36">
        <f t="shared" si="0"/>
        <v>34</v>
      </c>
    </row>
    <row r="13" spans="1:6" x14ac:dyDescent="0.25">
      <c r="A13" s="39" t="s">
        <v>122</v>
      </c>
      <c r="B13" s="37"/>
      <c r="C13" s="36"/>
      <c r="D13" s="36"/>
      <c r="E13" s="36"/>
      <c r="F13" s="36">
        <f t="shared" si="0"/>
        <v>0</v>
      </c>
    </row>
    <row r="14" spans="1:6" x14ac:dyDescent="0.25">
      <c r="A14" s="39" t="s">
        <v>128</v>
      </c>
      <c r="B14" s="37"/>
      <c r="C14" s="36"/>
      <c r="D14" s="36"/>
      <c r="E14" s="36"/>
      <c r="F14" s="36">
        <f t="shared" si="0"/>
        <v>0</v>
      </c>
    </row>
    <row r="15" spans="1:6" x14ac:dyDescent="0.25">
      <c r="A15" s="39" t="s">
        <v>133</v>
      </c>
      <c r="B15" s="37"/>
      <c r="C15" s="36"/>
      <c r="D15" s="36"/>
      <c r="E15" s="36"/>
      <c r="F15" s="36">
        <f t="shared" si="0"/>
        <v>0</v>
      </c>
    </row>
    <row r="16" spans="1:6" x14ac:dyDescent="0.25">
      <c r="A16" s="39" t="s">
        <v>140</v>
      </c>
      <c r="B16" s="37"/>
      <c r="C16" s="36"/>
      <c r="D16" s="36"/>
      <c r="E16" s="36"/>
      <c r="F16" s="36">
        <f t="shared" si="0"/>
        <v>0</v>
      </c>
    </row>
    <row r="17" spans="1:6" x14ac:dyDescent="0.25">
      <c r="A17" s="39" t="s">
        <v>146</v>
      </c>
      <c r="B17" s="37"/>
      <c r="C17" s="36"/>
      <c r="D17" s="36"/>
      <c r="E17" s="36"/>
      <c r="F17" s="36">
        <f t="shared" si="0"/>
        <v>0</v>
      </c>
    </row>
    <row r="18" spans="1:6" x14ac:dyDescent="0.25">
      <c r="A18" s="39" t="s">
        <v>152</v>
      </c>
      <c r="B18" s="37"/>
      <c r="C18" s="36"/>
      <c r="D18" s="36"/>
      <c r="E18" s="36"/>
      <c r="F18" s="36">
        <f t="shared" si="0"/>
        <v>0</v>
      </c>
    </row>
    <row r="19" spans="1:6" x14ac:dyDescent="0.25">
      <c r="A19" s="39" t="s">
        <v>159</v>
      </c>
      <c r="B19" s="37"/>
      <c r="C19" s="36"/>
      <c r="D19" s="36"/>
      <c r="E19" s="36"/>
      <c r="F19" s="36">
        <f t="shared" si="0"/>
        <v>0</v>
      </c>
    </row>
    <row r="20" spans="1:6" x14ac:dyDescent="0.25">
      <c r="A20" s="39" t="s">
        <v>164</v>
      </c>
      <c r="B20" s="37"/>
      <c r="C20" s="36"/>
      <c r="D20" s="36"/>
      <c r="E20" s="36"/>
      <c r="F20" s="36">
        <f t="shared" si="0"/>
        <v>0</v>
      </c>
    </row>
    <row r="21" spans="1:6" x14ac:dyDescent="0.25">
      <c r="A21" s="39" t="s">
        <v>170</v>
      </c>
      <c r="B21" s="37"/>
      <c r="C21" s="36"/>
      <c r="D21" s="36"/>
      <c r="E21" s="36"/>
      <c r="F21" s="36">
        <f t="shared" si="0"/>
        <v>0</v>
      </c>
    </row>
    <row r="22" spans="1:6" x14ac:dyDescent="0.25">
      <c r="A22" s="39" t="s">
        <v>176</v>
      </c>
      <c r="B22" s="37"/>
      <c r="C22" s="36"/>
      <c r="D22" s="36"/>
      <c r="E22" s="36"/>
      <c r="F22" s="36">
        <f t="shared" si="0"/>
        <v>0</v>
      </c>
    </row>
    <row r="23" spans="1:6" x14ac:dyDescent="0.25">
      <c r="A23" s="39" t="s">
        <v>182</v>
      </c>
      <c r="B23" s="37"/>
      <c r="C23" s="36"/>
      <c r="D23" s="36"/>
      <c r="E23" s="36"/>
      <c r="F23" s="36">
        <f t="shared" si="0"/>
        <v>0</v>
      </c>
    </row>
    <row r="24" spans="1:6" x14ac:dyDescent="0.25">
      <c r="A24" s="39" t="s">
        <v>186</v>
      </c>
      <c r="B24" s="37"/>
      <c r="C24" s="36"/>
      <c r="D24" s="36"/>
      <c r="E24" s="36"/>
      <c r="F24" s="36">
        <f t="shared" si="0"/>
        <v>0</v>
      </c>
    </row>
    <row r="25" spans="1:6" x14ac:dyDescent="0.25">
      <c r="A25" s="39" t="s">
        <v>193</v>
      </c>
      <c r="B25" s="37"/>
      <c r="C25" s="36"/>
      <c r="D25" s="36"/>
      <c r="E25" s="36"/>
      <c r="F25" s="36">
        <f t="shared" si="0"/>
        <v>0</v>
      </c>
    </row>
    <row r="26" spans="1:6" x14ac:dyDescent="0.25">
      <c r="A26" s="39" t="s">
        <v>198</v>
      </c>
      <c r="B26" s="37"/>
      <c r="C26" s="36"/>
      <c r="D26" s="36"/>
      <c r="E26" s="36"/>
      <c r="F26" s="36">
        <f t="shared" si="0"/>
        <v>0</v>
      </c>
    </row>
    <row r="27" spans="1:6" x14ac:dyDescent="0.25">
      <c r="A27" s="249" t="s">
        <v>4</v>
      </c>
      <c r="B27" s="250"/>
      <c r="C27" s="40">
        <f>SUM(C4:C26)</f>
        <v>386</v>
      </c>
      <c r="D27" s="40">
        <f>SUM(D4:D26)</f>
        <v>128</v>
      </c>
      <c r="E27" s="41">
        <f>SUM(E4:E26)</f>
        <v>80</v>
      </c>
      <c r="F27" s="40">
        <f>SUM(F4:F26)</f>
        <v>594</v>
      </c>
    </row>
    <row r="28" spans="1:6" x14ac:dyDescent="0.25">
      <c r="D28" s="251">
        <f>SUM(D27:E27)</f>
        <v>208</v>
      </c>
      <c r="E28" s="252"/>
    </row>
    <row r="29" spans="1:6" x14ac:dyDescent="0.25">
      <c r="D29" s="237">
        <f>F27-D28</f>
        <v>386</v>
      </c>
      <c r="E29" s="237"/>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283"/>
  <sheetViews>
    <sheetView showZeros="0" topLeftCell="A14" zoomScaleNormal="100" workbookViewId="0">
      <selection activeCell="B43" sqref="B43"/>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1" width="64" style="59" customWidth="1"/>
    <col min="12" max="16384" width="64" style="59"/>
  </cols>
  <sheetData>
    <row r="1" spans="1:3" x14ac:dyDescent="0.25">
      <c r="A1" s="171" t="s">
        <v>102</v>
      </c>
      <c r="B1" s="172" t="str">
        <f t="array" ref="B1">INDEX($A:$A, (ROW()-1)*2 + COLUMN()-1)</f>
        <v>Prof. Dr. Ayşe KİN İŞLER</v>
      </c>
      <c r="C1" s="172" t="str">
        <f t="array" ref="C1">INDEX($A:$A, (ROW()-1)*2 + COLUMN()-1)</f>
        <v>Prof. Dr. Gözde GİRGİN</v>
      </c>
    </row>
    <row r="2" spans="1:3" x14ac:dyDescent="0.25">
      <c r="A2" s="171" t="s">
        <v>70</v>
      </c>
      <c r="B2" s="172" t="str">
        <f t="array" ref="B2">INDEX($A:$A, (ROW()-1)*2 + COLUMN()-1)</f>
        <v>Prof. Dr. Ayşe KİN İŞLER</v>
      </c>
      <c r="C2" s="172" t="str">
        <f t="array" ref="C2">INDEX($A:$A, (ROW()-1)*2 + COLUMN()-1)</f>
        <v>Prof. Dr. Gözde GİRGİN</v>
      </c>
    </row>
    <row r="3" spans="1:3" x14ac:dyDescent="0.25">
      <c r="A3" s="171" t="s">
        <v>102</v>
      </c>
      <c r="B3" s="172" t="str">
        <f t="array" ref="B3">INDEX($A:$A, (ROW()-1)*2 + COLUMN()-1)</f>
        <v>Prof. Dr. Yavuz AYHAN</v>
      </c>
      <c r="C3" s="172" t="str">
        <f t="array" ref="C3">INDEX($A:$A, (ROW()-1)*2 + COLUMN()-1)</f>
        <v>Prof. Dr. Nazmiye Ebru ORTAÇ ERSOY</v>
      </c>
    </row>
    <row r="4" spans="1:3" x14ac:dyDescent="0.25">
      <c r="A4" s="171" t="s">
        <v>70</v>
      </c>
      <c r="B4" s="172" t="str">
        <f t="array" ref="B4">INDEX($A:$A, (ROW()-1)*2 + COLUMN()-1)</f>
        <v>Prof. Dr. Ayşe Nurten AKARSU</v>
      </c>
      <c r="C4" s="172" t="str">
        <f t="array" ref="C4">INDEX($A:$A, (ROW()-1)*2 + COLUMN()-1)</f>
        <v>Prof. Dr. Nazmiye Ebru ORTAÇ ERSOY</v>
      </c>
    </row>
    <row r="5" spans="1:3" x14ac:dyDescent="0.25">
      <c r="A5" s="171" t="s">
        <v>94</v>
      </c>
      <c r="B5" s="172" t="str">
        <f t="array" ref="B5">INDEX($A:$A, (ROW()-1)*2 + COLUMN()-1)</f>
        <v>Prof. Dr. Melih Önder BABAOĞLU</v>
      </c>
      <c r="C5" s="172" t="str">
        <f t="array" ref="C5">INDEX($A:$A, (ROW()-1)*2 + COLUMN()-1)</f>
        <v>Prof. Dr. M. Özgür UYANIK</v>
      </c>
    </row>
    <row r="6" spans="1:3" x14ac:dyDescent="0.25">
      <c r="A6" s="171" t="s">
        <v>115</v>
      </c>
      <c r="B6" s="172" t="str">
        <f t="array" ref="B6">INDEX($A:$A, (ROW()-1)*2 + COLUMN()-1)</f>
        <v>Prof. Dr. M. Özgür UYANIK</v>
      </c>
      <c r="C6" s="172" t="str">
        <f t="array" ref="C6">INDEX($A:$A, (ROW()-1)*2 + COLUMN()-1)</f>
        <v>Doç. Dr. Kübra AYKAÇ</v>
      </c>
    </row>
    <row r="7" spans="1:3" x14ac:dyDescent="0.25">
      <c r="A7" s="171" t="s">
        <v>61</v>
      </c>
      <c r="B7" s="172" t="str">
        <f t="array" ref="B7">INDEX($A:$A, (ROW()-1)*2 + COLUMN()-1)</f>
        <v>Doç. Dr. Tolga ÇAKMAK</v>
      </c>
      <c r="C7" s="172" t="str">
        <f t="array" ref="C7">INDEX($A:$A, (ROW()-1)*2 + COLUMN()-1)</f>
        <v>Doç. Dr. Burcu ERSÖZ ALAN</v>
      </c>
    </row>
    <row r="8" spans="1:3" x14ac:dyDescent="0.25">
      <c r="A8" s="171" t="s">
        <v>115</v>
      </c>
      <c r="B8" s="172" t="str">
        <f t="array" ref="B8">INDEX($A:$A, (ROW()-1)*2 + COLUMN()-1)</f>
        <v>Prof. Dr. Yavuz AYHAN</v>
      </c>
      <c r="C8" s="172" t="str">
        <f t="array" ref="C8">INDEX($A:$A, (ROW()-1)*2 + COLUMN()-1)</f>
        <v>Doç. Dr. Ekim GÜMELER</v>
      </c>
    </row>
    <row r="9" spans="1:3" x14ac:dyDescent="0.25">
      <c r="A9" s="171" t="s">
        <v>95</v>
      </c>
      <c r="B9" s="172" t="str">
        <f t="array" ref="B9">INDEX($A:$A, (ROW()-1)*2 + COLUMN()-1)</f>
        <v>Dr. Öğr. Üyesi Müge DEMİR</v>
      </c>
      <c r="C9" s="172" t="str">
        <f t="array" ref="C9">INDEX($A:$A, (ROW()-1)*2 + COLUMN()-1)</f>
        <v>Doç. Dr. Ekim GÜMELER</v>
      </c>
    </row>
    <row r="10" spans="1:3" x14ac:dyDescent="0.25">
      <c r="A10" s="171" t="s">
        <v>109</v>
      </c>
      <c r="B10" s="172" t="str">
        <f t="array" ref="B10">INDEX($A:$A, (ROW()-1)*2 + COLUMN()-1)</f>
        <v>Doç. Dr. Tolga ÇAKMAK</v>
      </c>
      <c r="C10" s="172" t="str">
        <f t="array" ref="C10">INDEX($A:$A, (ROW()-1)*2 + COLUMN()-1)</f>
        <v>Prof. Dr. Melih Önder BABAOĞLU</v>
      </c>
    </row>
    <row r="11" spans="1:3" x14ac:dyDescent="0.25">
      <c r="A11" s="171" t="s">
        <v>109</v>
      </c>
      <c r="B11" s="172" t="str">
        <f t="array" ref="B11">INDEX($A:$A, (ROW()-1)*2 + COLUMN()-1)</f>
        <v>Prof. Dr. Melih Önder BABAOĞLU</v>
      </c>
      <c r="C11" s="172" t="str">
        <f t="array" ref="C11">INDEX($A:$A, (ROW()-1)*2 + COLUMN()-1)</f>
        <v>Doç. Dr. Kübra AYKAÇ</v>
      </c>
    </row>
    <row r="12" spans="1:3" x14ac:dyDescent="0.25">
      <c r="A12" s="171" t="s">
        <v>62</v>
      </c>
      <c r="B12" s="172" t="str">
        <f t="array" ref="B12">INDEX($A:$A, (ROW()-1)*2 + COLUMN()-1)</f>
        <v>Doç. Dr. Burcu ERSÖZ ALAN</v>
      </c>
      <c r="C12" s="172" t="str">
        <f t="array" ref="C12">INDEX($A:$A, (ROW()-1)*2 + COLUMN()-1)</f>
        <v>Dr. Öğr. Üyesi Müge DEMİR</v>
      </c>
    </row>
    <row r="13" spans="1:3" x14ac:dyDescent="0.25">
      <c r="A13" s="171" t="s">
        <v>85</v>
      </c>
      <c r="B13" s="172" t="str">
        <f t="array" ref="B13">INDEX($A:$A, (ROW()-1)*2 + COLUMN()-1)</f>
        <v>Doç. Dr. Tolga ÇAKMAK</v>
      </c>
      <c r="C13" s="172" t="str">
        <f t="array" ref="C13">INDEX($A:$A, (ROW()-1)*2 + COLUMN()-1)</f>
        <v>Prof. Dr. Gözde GİRGİN</v>
      </c>
    </row>
    <row r="14" spans="1:3" x14ac:dyDescent="0.25">
      <c r="A14" s="171" t="s">
        <v>86</v>
      </c>
      <c r="B14" s="172" t="str">
        <f t="array" ref="B14">INDEX($A:$A, (ROW()-1)*2 + COLUMN()-1)</f>
        <v>Dr. Öğr. Üyesi Müge DEMİR</v>
      </c>
      <c r="C14" s="172" t="str">
        <f t="array" ref="C14">INDEX($A:$A, (ROW()-1)*2 + COLUMN()-1)</f>
        <v>Doç. Dr. Tolga ÇAKMAK</v>
      </c>
    </row>
    <row r="15" spans="1:3" x14ac:dyDescent="0.25">
      <c r="A15" s="171" t="s">
        <v>94</v>
      </c>
      <c r="B15" s="172" t="str">
        <f t="array" ref="B15">INDEX($A:$A, (ROW()-1)*2 + COLUMN()-1)</f>
        <v>Doç. Dr. Kübra AYKAÇ</v>
      </c>
      <c r="C15" s="172" t="str">
        <f t="array" ref="C15">INDEX($A:$A, (ROW()-1)*2 + COLUMN()-1)</f>
        <v>Doç. Dr. Burcu ERSÖZ ALAN</v>
      </c>
    </row>
    <row r="16" spans="1:3" x14ac:dyDescent="0.25">
      <c r="A16" s="171" t="s">
        <v>78</v>
      </c>
      <c r="B16" s="172" t="str">
        <f t="array" ref="B16">INDEX($A:$A, (ROW()-1)*2 + COLUMN()-1)</f>
        <v>Doç. Dr. Ekim GÜMELER</v>
      </c>
      <c r="C16" s="172" t="str">
        <f t="array" ref="C16">INDEX($A:$A, (ROW()-1)*2 + COLUMN()-1)</f>
        <v>Prof. Dr. Ayşe Nurten AKARSU</v>
      </c>
    </row>
    <row r="17" spans="1:3" x14ac:dyDescent="0.25">
      <c r="A17" s="171" t="s">
        <v>77</v>
      </c>
      <c r="B17" s="172" t="str">
        <f t="array" ref="B17">INDEX($A:$A, (ROW()-1)*2 + COLUMN()-1)</f>
        <v>Prof. Dr. Ayşe KİN İŞLER</v>
      </c>
      <c r="C17" s="172" t="str">
        <f t="array" ref="C17">INDEX($A:$A, (ROW()-1)*2 + COLUMN()-1)</f>
        <v>Prof. Dr. Nazmiye Ebru ORTAÇ ERSOY</v>
      </c>
    </row>
    <row r="18" spans="1:3" x14ac:dyDescent="0.25">
      <c r="A18" s="171" t="s">
        <v>78</v>
      </c>
      <c r="B18" s="172" t="str">
        <f t="array" ref="B18">INDEX($A:$A, (ROW()-1)*2 + COLUMN()-1)</f>
        <v>Prof. Dr. M. Özgür UYANIK</v>
      </c>
      <c r="C18" s="172" t="str">
        <f t="array" ref="C18">INDEX($A:$A, (ROW()-1)*2 + COLUMN()-1)</f>
        <v>Prof. Dr. Gözde GİRGİN</v>
      </c>
    </row>
    <row r="19" spans="1:3" x14ac:dyDescent="0.25">
      <c r="A19" s="171" t="s">
        <v>85</v>
      </c>
      <c r="B19" s="172" t="str">
        <f t="array" ref="B19">INDEX($A:$A, (ROW()-1)*2 + COLUMN()-1)</f>
        <v>Prof. Dr. Ayşe Nurten AKARSU</v>
      </c>
      <c r="C19" s="172" t="str">
        <f t="array" ref="C19">INDEX($A:$A, (ROW()-1)*2 + COLUMN()-1)</f>
        <v>Doç. Dr. Burcu ERSÖZ ALAN</v>
      </c>
    </row>
    <row r="20" spans="1:3" x14ac:dyDescent="0.25">
      <c r="A20" s="171" t="s">
        <v>95</v>
      </c>
      <c r="B20" s="172" t="str">
        <f t="array" ref="B20">INDEX($A:$A, (ROW()-1)*2 + COLUMN()-1)</f>
        <v>Doç. Dr. Tolga ÇAKMAK</v>
      </c>
      <c r="C20" s="172" t="str">
        <f t="array" ref="C20">INDEX($A:$A, (ROW()-1)*2 + COLUMN()-1)</f>
        <v>Doç. Dr. Kübra AYKAÇ</v>
      </c>
    </row>
    <row r="21" spans="1:3" x14ac:dyDescent="0.25">
      <c r="A21" s="171" t="s">
        <v>95</v>
      </c>
      <c r="B21" s="172" t="str">
        <f t="array" ref="B21">INDEX($A:$A, (ROW()-1)*2 + COLUMN()-1)</f>
        <v>Prof. Dr. Nazmiye Ebru ORTAÇ ERSOY</v>
      </c>
      <c r="C21" s="172" t="str">
        <f t="array" ref="C21">INDEX($A:$A, (ROW()-1)*2 + COLUMN()-1)</f>
        <v>Prof. Dr. Yavuz AYHAN</v>
      </c>
    </row>
    <row r="22" spans="1:3" x14ac:dyDescent="0.25">
      <c r="A22" s="171" t="s">
        <v>62</v>
      </c>
      <c r="B22" s="172" t="str">
        <f t="array" ref="B22">INDEX($A:$A, (ROW()-1)*2 + COLUMN()-1)</f>
        <v>Prof. Dr. Melih Önder BABAOĞLU</v>
      </c>
      <c r="C22" s="172" t="str">
        <f t="array" ref="C22">INDEX($A:$A, (ROW()-1)*2 + COLUMN()-1)</f>
        <v>Dr. Öğr. Üyesi Müge DEMİR</v>
      </c>
    </row>
    <row r="23" spans="1:3" x14ac:dyDescent="0.25">
      <c r="A23" s="171" t="s">
        <v>86</v>
      </c>
      <c r="B23" s="172" t="str">
        <f t="array" ref="B23">INDEX($A:$A, (ROW()-1)*2 + COLUMN()-1)</f>
        <v>Doç. Dr. Ekim GÜMELER</v>
      </c>
      <c r="C23" s="172" t="str">
        <f t="array" ref="C23">INDEX($A:$A, (ROW()-1)*2 + COLUMN()-1)</f>
        <v>Prof. Dr. Nazmiye Ebru ORTAÇ ERSOY</v>
      </c>
    </row>
    <row r="24" spans="1:3" x14ac:dyDescent="0.25">
      <c r="A24" s="172" t="s">
        <v>77</v>
      </c>
      <c r="B24" s="172" t="str">
        <f t="array" ref="B24">INDEX($A:$A, (ROW()-1)*2 + COLUMN()-1)</f>
        <v>Prof. Dr. M. Özgür UYANIK</v>
      </c>
      <c r="C24" s="172" t="str">
        <f t="array" ref="C24">INDEX($A:$A, (ROW()-1)*2 + COLUMN()-1)</f>
        <v>Doç. Dr. Burcu ERSÖZ ALAN</v>
      </c>
    </row>
    <row r="25" spans="1:3" x14ac:dyDescent="0.25">
      <c r="A25" s="172" t="s">
        <v>85</v>
      </c>
      <c r="B25" s="172" t="str">
        <f t="array" ref="B25">INDEX($A:$A, (ROW()-1)*2 + COLUMN()-1)</f>
        <v>Doç. Dr. Burcu ERSÖZ ALAN</v>
      </c>
      <c r="C25" s="172" t="str">
        <f t="array" ref="C25">INDEX($A:$A, (ROW()-1)*2 + COLUMN()-1)</f>
        <v>Doç. Dr. Tolga ÇAKMAK</v>
      </c>
    </row>
    <row r="26" spans="1:3" x14ac:dyDescent="0.25">
      <c r="A26" s="172" t="s">
        <v>70</v>
      </c>
      <c r="B26" s="172" t="str">
        <f t="array" ref="B26">INDEX($A:$A, (ROW()-1)*2 + COLUMN()-1)</f>
        <v>Prof. Dr. Yavuz AYHAN</v>
      </c>
      <c r="C26" s="172" t="str">
        <f t="array" ref="C26">INDEX($A:$A, (ROW()-1)*2 + COLUMN()-1)</f>
        <v>Prof. Dr. Gözde GİRGİN</v>
      </c>
    </row>
    <row r="27" spans="1:3" x14ac:dyDescent="0.25">
      <c r="A27" s="172" t="s">
        <v>77</v>
      </c>
      <c r="B27" s="172" t="str">
        <f t="array" ref="B27">INDEX($A:$A, (ROW()-1)*2 + COLUMN()-1)</f>
        <v>Prof. Dr. Melih Önder BABAOĞLU</v>
      </c>
      <c r="C27" s="172" t="str">
        <f t="array" ref="C27">INDEX($A:$A, (ROW()-1)*2 + COLUMN()-1)</f>
        <v>Prof. Dr. Yavuz AYHAN</v>
      </c>
    </row>
    <row r="28" spans="1:3" x14ac:dyDescent="0.25">
      <c r="A28" s="172" t="s">
        <v>85</v>
      </c>
      <c r="B28" s="172" t="str">
        <f t="array" ref="B28">INDEX($A:$A, (ROW()-1)*2 + COLUMN()-1)</f>
        <v>Prof. Dr. Nazmiye Ebru ORTAÇ ERSOY</v>
      </c>
      <c r="C28" s="172" t="str">
        <f t="array" ref="C28">INDEX($A:$A, (ROW()-1)*2 + COLUMN()-1)</f>
        <v>Doç. Dr. Kübra AYKAÇ</v>
      </c>
    </row>
    <row r="29" spans="1:3" x14ac:dyDescent="0.25">
      <c r="A29" s="172" t="s">
        <v>62</v>
      </c>
      <c r="B29" s="172" t="str">
        <f t="array" ref="B29">INDEX($A:$A, (ROW()-1)*2 + COLUMN()-1)</f>
        <v>Dr. Öğr. Üyesi Müge DEMİR</v>
      </c>
      <c r="C29" s="172" t="str">
        <f t="array" ref="C29">INDEX($A:$A, (ROW()-1)*2 + COLUMN()-1)</f>
        <v>Prof. Dr. Ayşe KİN İŞLER</v>
      </c>
    </row>
    <row r="30" spans="1:3" x14ac:dyDescent="0.25">
      <c r="A30" s="172" t="s">
        <v>86</v>
      </c>
      <c r="B30" s="172" t="str">
        <f t="array" ref="B30">INDEX($A:$A, (ROW()-1)*2 + COLUMN()-1)</f>
        <v>Prof. Dr. Ayşe KİN İŞLER</v>
      </c>
      <c r="C30" s="172" t="str">
        <f t="array" ref="C30">INDEX($A:$A, (ROW()-1)*2 + COLUMN()-1)</f>
        <v>Doç. Dr. Ekim GÜMELER</v>
      </c>
    </row>
    <row r="31" spans="1:3" x14ac:dyDescent="0.25">
      <c r="A31" s="172" t="s">
        <v>78</v>
      </c>
      <c r="B31" s="172" t="str">
        <f t="array" ref="B31">INDEX($A:$A, (ROW()-1)*2 + COLUMN()-1)</f>
        <v>Dr. Öğr. Üyesi Müge DEMİR</v>
      </c>
      <c r="C31" s="172" t="str">
        <f t="array" ref="C31">INDEX($A:$A, (ROW()-1)*2 + COLUMN()-1)</f>
        <v>Doç. Dr. Ekim GÜMELER</v>
      </c>
    </row>
    <row r="32" spans="1:3" x14ac:dyDescent="0.25">
      <c r="A32" s="172" t="s">
        <v>61</v>
      </c>
      <c r="B32" s="172" t="str">
        <f t="array" ref="B32">INDEX($A:$A, (ROW()-1)*2 + COLUMN()-1)</f>
        <v>Prof. Dr. Gözde GİRGİN</v>
      </c>
      <c r="C32" s="172" t="str">
        <f t="array" ref="C32">INDEX($A:$A, (ROW()-1)*2 + COLUMN()-1)</f>
        <v>Doç. Dr. Kübra AYKAÇ</v>
      </c>
    </row>
    <row r="33" spans="1:3" x14ac:dyDescent="0.25">
      <c r="A33" s="172" t="s">
        <v>102</v>
      </c>
      <c r="B33" s="172" t="str">
        <f t="array" ref="B33">INDEX($A:$A, (ROW()-1)*2 + COLUMN()-1)</f>
        <v>Prof. Dr. Ayşe KİN İŞLER</v>
      </c>
      <c r="C33" s="172" t="str">
        <f t="array" ref="C33">INDEX($A:$A, (ROW()-1)*2 + COLUMN()-1)</f>
        <v>Prof. Dr. Nazmiye Ebru ORTAÇ ERSOY</v>
      </c>
    </row>
    <row r="34" spans="1:3" x14ac:dyDescent="0.25">
      <c r="A34" s="172" t="s">
        <v>115</v>
      </c>
      <c r="B34" s="172" t="str">
        <f t="array" ref="B34">INDEX($A:$A, (ROW()-1)*2 + COLUMN()-1)</f>
        <v>Dr. Öğr. Üyesi Müge DEMİR</v>
      </c>
      <c r="C34" s="172" t="str">
        <f t="array" ref="C34">INDEX($A:$A, (ROW()-1)*2 + COLUMN()-1)</f>
        <v>Doç. Dr. Tolga ÇAKMAK</v>
      </c>
    </row>
    <row r="35" spans="1:3" x14ac:dyDescent="0.25">
      <c r="A35" s="172" t="s">
        <v>109</v>
      </c>
      <c r="B35" s="172" t="str">
        <f t="array" ref="B35">INDEX($A:$A, (ROW()-1)*2 + COLUMN()-1)</f>
        <v>Prof. Dr. Melih Önder BABAOĞLU</v>
      </c>
      <c r="C35" s="172" t="str">
        <f t="array" ref="C35">INDEX($A:$A, (ROW()-1)*2 + COLUMN()-1)</f>
        <v>Prof. Dr. Gözde GİRGİN</v>
      </c>
    </row>
    <row r="36" spans="1:3" x14ac:dyDescent="0.25">
      <c r="A36" s="172" t="s">
        <v>70</v>
      </c>
      <c r="B36" s="172" t="str">
        <f t="array" ref="B36">INDEX($A:$A, (ROW()-1)*2 + COLUMN()-1)</f>
        <v>Prof. Dr. Ayşe Nurten AKARSU</v>
      </c>
      <c r="C36" s="172" t="str">
        <f t="array" ref="C36">INDEX($A:$A, (ROW()-1)*2 + COLUMN()-1)</f>
        <v>Prof. Dr. Ayşe KİN İŞLER</v>
      </c>
    </row>
    <row r="37" spans="1:3" x14ac:dyDescent="0.25">
      <c r="A37" s="172" t="s">
        <v>61</v>
      </c>
      <c r="B37" s="172" t="str">
        <f t="array" ref="B37">INDEX($A:$A, (ROW()-1)*2 + COLUMN()-1)</f>
        <v>Prof. Dr. M. Özgür UYANIK</v>
      </c>
      <c r="C37" s="172" t="str">
        <f t="array" ref="C37">INDEX($A:$A, (ROW()-1)*2 + COLUMN()-1)</f>
        <v>Doç. Dr. Ekim GÜMELER</v>
      </c>
    </row>
    <row r="38" spans="1:3" x14ac:dyDescent="0.25">
      <c r="A38" s="172" t="s">
        <v>86</v>
      </c>
      <c r="B38" s="172" t="str">
        <f t="array" ref="B38">INDEX($A:$A, (ROW()-1)*2 + COLUMN()-1)</f>
        <v>Doç. Dr. Kübra AYKAÇ</v>
      </c>
      <c r="C38" s="172" t="str">
        <f t="array" ref="C38">INDEX($A:$A, (ROW()-1)*2 + COLUMN()-1)</f>
        <v>Prof. Dr. Melih Önder BABAOĞLU</v>
      </c>
    </row>
    <row r="39" spans="1:3" x14ac:dyDescent="0.25">
      <c r="A39" s="172" t="s">
        <v>85</v>
      </c>
      <c r="B39" s="172" t="str">
        <f t="array" ref="B39">INDEX($A:$A, (ROW()-1)*2 + COLUMN()-1)</f>
        <v>Doç. Dr. Burcu ERSÖZ ALAN</v>
      </c>
      <c r="C39" s="172" t="str">
        <f t="array" ref="C39">INDEX($A:$A, (ROW()-1)*2 + COLUMN()-1)</f>
        <v>Prof. Dr. M. Özgür UYANIK</v>
      </c>
    </row>
    <row r="40" spans="1:3" x14ac:dyDescent="0.25">
      <c r="A40" s="172" t="s">
        <v>62</v>
      </c>
      <c r="B40" s="172" t="str">
        <f t="array" ref="B40">INDEX($A:$A, (ROW()-1)*2 + COLUMN()-1)</f>
        <v>Prof. Dr. Ayşe Nurten AKARSU</v>
      </c>
      <c r="C40" s="172" t="str">
        <f t="array" ref="C40">INDEX($A:$A, (ROW()-1)*2 + COLUMN()-1)</f>
        <v>Prof. Dr. M. Özgür UYANIK</v>
      </c>
    </row>
    <row r="41" spans="1:3" x14ac:dyDescent="0.25">
      <c r="A41" s="172" t="s">
        <v>115</v>
      </c>
      <c r="B41" s="172">
        <f t="array" ref="B41">INDEX($A:$A, (ROW()-1)*2 + COLUMN()-1)</f>
        <v>0</v>
      </c>
      <c r="C41" s="172">
        <f t="array" ref="C41">INDEX($A:$A, (ROW()-1)*2 + COLUMN()-1)</f>
        <v>0</v>
      </c>
    </row>
    <row r="42" spans="1:3" x14ac:dyDescent="0.25">
      <c r="A42" s="172" t="s">
        <v>94</v>
      </c>
      <c r="B42" s="172">
        <f t="array" ref="B42">INDEX($A:$A, (ROW()-1)*2 + COLUMN()-1)</f>
        <v>0</v>
      </c>
      <c r="C42" s="172">
        <f t="array" ref="C42">INDEX($A:$A, (ROW()-1)*2 + COLUMN()-1)</f>
        <v>0</v>
      </c>
    </row>
    <row r="43" spans="1:3" x14ac:dyDescent="0.25">
      <c r="A43" s="172" t="s">
        <v>95</v>
      </c>
      <c r="B43" s="172">
        <f t="array" ref="B43">INDEX($A:$A, (ROW()-1)*2 + COLUMN()-1)</f>
        <v>0</v>
      </c>
      <c r="C43" s="172">
        <f t="array" ref="C43">INDEX($A:$A, (ROW()-1)*2 + COLUMN()-1)</f>
        <v>0</v>
      </c>
    </row>
    <row r="44" spans="1:3" x14ac:dyDescent="0.25">
      <c r="A44" s="172" t="s">
        <v>77</v>
      </c>
      <c r="B44" s="172">
        <f t="array" ref="B44">INDEX($A:$A, (ROW()-1)*2 + COLUMN()-1)</f>
        <v>0</v>
      </c>
      <c r="C44" s="172">
        <f t="array" ref="C44">INDEX($A:$A, (ROW()-1)*2 + COLUMN()-1)</f>
        <v>0</v>
      </c>
    </row>
    <row r="45" spans="1:3" x14ac:dyDescent="0.25">
      <c r="A45" s="172" t="s">
        <v>78</v>
      </c>
      <c r="B45" s="172">
        <f t="array" ref="B45">INDEX($A:$A, (ROW()-1)*2 + COLUMN()-1)</f>
        <v>0</v>
      </c>
      <c r="C45" s="172">
        <f t="array" ref="C45">INDEX($A:$A, (ROW()-1)*2 + COLUMN()-1)</f>
        <v>0</v>
      </c>
    </row>
    <row r="46" spans="1:3" x14ac:dyDescent="0.25">
      <c r="A46" s="172" t="s">
        <v>115</v>
      </c>
      <c r="B46" s="172">
        <f t="array" ref="B46">INDEX($A:$A, (ROW()-1)*2 + COLUMN()-1)</f>
        <v>0</v>
      </c>
      <c r="C46" s="172">
        <f t="array" ref="C46">INDEX($A:$A, (ROW()-1)*2 + COLUMN()-1)</f>
        <v>0</v>
      </c>
    </row>
    <row r="47" spans="1:3" x14ac:dyDescent="0.25">
      <c r="A47" s="172" t="s">
        <v>109</v>
      </c>
      <c r="B47" s="172">
        <f t="array" ref="B47">INDEX($A:$A, (ROW()-1)*2 + COLUMN()-1)</f>
        <v>0</v>
      </c>
      <c r="C47" s="172">
        <f t="array" ref="C47">INDEX($A:$A, (ROW()-1)*2 + COLUMN()-1)</f>
        <v>0</v>
      </c>
    </row>
    <row r="48" spans="1:3" x14ac:dyDescent="0.25">
      <c r="A48" s="172" t="s">
        <v>86</v>
      </c>
      <c r="B48" s="172">
        <f t="array" ref="B48">INDEX($A:$A, (ROW()-1)*2 + COLUMN()-1)</f>
        <v>0</v>
      </c>
      <c r="C48" s="172">
        <f t="array" ref="C48">INDEX($A:$A, (ROW()-1)*2 + COLUMN()-1)</f>
        <v>0</v>
      </c>
    </row>
    <row r="49" spans="1:3" x14ac:dyDescent="0.25">
      <c r="A49" s="172" t="s">
        <v>86</v>
      </c>
      <c r="B49" s="172">
        <f t="array" ref="B49">INDEX($A:$A, (ROW()-1)*2 + COLUMN()-1)</f>
        <v>0</v>
      </c>
      <c r="C49" s="172">
        <f t="array" ref="C49">INDEX($A:$A, (ROW()-1)*2 + COLUMN()-1)</f>
        <v>0</v>
      </c>
    </row>
    <row r="50" spans="1:3" x14ac:dyDescent="0.25">
      <c r="A50" s="172" t="s">
        <v>85</v>
      </c>
      <c r="B50" s="172">
        <f t="array" ref="B50">INDEX($A:$A, (ROW()-1)*2 + COLUMN()-1)</f>
        <v>0</v>
      </c>
      <c r="C50" s="172">
        <f t="array" ref="C50">INDEX($A:$A, (ROW()-1)*2 + COLUMN()-1)</f>
        <v>0</v>
      </c>
    </row>
    <row r="51" spans="1:3" x14ac:dyDescent="0.25">
      <c r="A51" s="172" t="s">
        <v>94</v>
      </c>
      <c r="B51" s="172">
        <f t="array" ref="B51">INDEX($A:$A, (ROW()-1)*2 + COLUMN()-1)</f>
        <v>0</v>
      </c>
      <c r="C51" s="172">
        <f t="array" ref="C51">INDEX($A:$A, (ROW()-1)*2 + COLUMN()-1)</f>
        <v>0</v>
      </c>
    </row>
    <row r="52" spans="1:3" x14ac:dyDescent="0.25">
      <c r="A52" s="172" t="s">
        <v>70</v>
      </c>
      <c r="B52" s="172">
        <f t="array" ref="B52">INDEX($A:$A, (ROW()-1)*2 + COLUMN()-1)</f>
        <v>0</v>
      </c>
      <c r="C52" s="172">
        <f t="array" ref="C52">INDEX($A:$A, (ROW()-1)*2 + COLUMN()-1)</f>
        <v>0</v>
      </c>
    </row>
    <row r="53" spans="1:3" x14ac:dyDescent="0.25">
      <c r="A53" s="172" t="s">
        <v>95</v>
      </c>
      <c r="B53" s="172">
        <f t="array" ref="B53">INDEX($A:$A, (ROW()-1)*2 + COLUMN()-1)</f>
        <v>0</v>
      </c>
      <c r="C53" s="172">
        <f t="array" ref="C53">INDEX($A:$A, (ROW()-1)*2 + COLUMN()-1)</f>
        <v>0</v>
      </c>
    </row>
    <row r="54" spans="1:3" x14ac:dyDescent="0.25">
      <c r="A54" s="172" t="s">
        <v>94</v>
      </c>
      <c r="B54" s="172">
        <f t="array" ref="B54">INDEX($A:$A, (ROW()-1)*2 + COLUMN()-1)</f>
        <v>0</v>
      </c>
      <c r="C54" s="172">
        <f t="array" ref="C54">INDEX($A:$A, (ROW()-1)*2 + COLUMN()-1)</f>
        <v>0</v>
      </c>
    </row>
    <row r="55" spans="1:3" x14ac:dyDescent="0.25">
      <c r="A55" s="172" t="s">
        <v>115</v>
      </c>
      <c r="B55" s="172">
        <f t="array" ref="B55">INDEX($A:$A, (ROW()-1)*2 + COLUMN()-1)</f>
        <v>0</v>
      </c>
      <c r="C55" s="172">
        <f t="array" ref="C55">INDEX($A:$A, (ROW()-1)*2 + COLUMN()-1)</f>
        <v>0</v>
      </c>
    </row>
    <row r="56" spans="1:3" x14ac:dyDescent="0.25">
      <c r="A56" s="172" t="s">
        <v>62</v>
      </c>
      <c r="B56" s="172">
        <f t="array" ref="B56">INDEX($A:$A, (ROW()-1)*2 + COLUMN()-1)</f>
        <v>0</v>
      </c>
      <c r="C56" s="172">
        <f t="array" ref="C56">INDEX($A:$A, (ROW()-1)*2 + COLUMN()-1)</f>
        <v>0</v>
      </c>
    </row>
    <row r="57" spans="1:3" x14ac:dyDescent="0.25">
      <c r="A57" s="172" t="s">
        <v>77</v>
      </c>
      <c r="B57" s="172">
        <f t="array" ref="B57">INDEX($A:$A, (ROW()-1)*2 + COLUMN()-1)</f>
        <v>0</v>
      </c>
      <c r="C57" s="172">
        <f t="array" ref="C57">INDEX($A:$A, (ROW()-1)*2 + COLUMN()-1)</f>
        <v>0</v>
      </c>
    </row>
    <row r="58" spans="1:3" x14ac:dyDescent="0.25">
      <c r="A58" s="172" t="s">
        <v>102</v>
      </c>
      <c r="B58" s="172">
        <f t="array" ref="B58">INDEX($A:$A, (ROW()-1)*2 + COLUMN()-1)</f>
        <v>0</v>
      </c>
      <c r="C58" s="172">
        <f t="array" ref="C58">INDEX($A:$A, (ROW()-1)*2 + COLUMN()-1)</f>
        <v>0</v>
      </c>
    </row>
    <row r="59" spans="1:3" x14ac:dyDescent="0.25">
      <c r="A59" s="172" t="s">
        <v>102</v>
      </c>
      <c r="B59" s="172">
        <f t="array" ref="B59">INDEX($A:$A, (ROW()-1)*2 + COLUMN()-1)</f>
        <v>0</v>
      </c>
      <c r="C59" s="172">
        <f t="array" ref="C59">INDEX($A:$A, (ROW()-1)*2 + COLUMN()-1)</f>
        <v>0</v>
      </c>
    </row>
    <row r="60" spans="1:3" x14ac:dyDescent="0.25">
      <c r="A60" s="172" t="s">
        <v>78</v>
      </c>
      <c r="B60" s="172">
        <f t="array" ref="B60">INDEX($A:$A, (ROW()-1)*2 + COLUMN()-1)</f>
        <v>0</v>
      </c>
      <c r="C60" s="172">
        <f t="array" ref="C60">INDEX($A:$A, (ROW()-1)*2 + COLUMN()-1)</f>
        <v>0</v>
      </c>
    </row>
    <row r="61" spans="1:3" x14ac:dyDescent="0.25">
      <c r="A61" s="172" t="s">
        <v>77</v>
      </c>
      <c r="B61" s="172">
        <f t="array" ref="B61">INDEX($A:$A, (ROW()-1)*2 + COLUMN()-1)</f>
        <v>0</v>
      </c>
      <c r="C61" s="172">
        <f t="array" ref="C61">INDEX($A:$A, (ROW()-1)*2 + COLUMN()-1)</f>
        <v>0</v>
      </c>
    </row>
    <row r="62" spans="1:3" x14ac:dyDescent="0.25">
      <c r="A62" s="172" t="s">
        <v>78</v>
      </c>
      <c r="B62" s="172">
        <f t="array" ref="B62">INDEX($A:$A, (ROW()-1)*2 + COLUMN()-1)</f>
        <v>0</v>
      </c>
      <c r="C62" s="172">
        <f t="array" ref="C62">INDEX($A:$A, (ROW()-1)*2 + COLUMN()-1)</f>
        <v>0</v>
      </c>
    </row>
    <row r="63" spans="1:3" x14ac:dyDescent="0.25">
      <c r="A63" s="172" t="s">
        <v>70</v>
      </c>
      <c r="B63" s="172">
        <f t="array" ref="B63">INDEX($A:$A, (ROW()-1)*2 + COLUMN()-1)</f>
        <v>0</v>
      </c>
      <c r="C63" s="172">
        <f t="array" ref="C63">INDEX($A:$A, (ROW()-1)*2 + COLUMN()-1)</f>
        <v>0</v>
      </c>
    </row>
    <row r="64" spans="1:3" x14ac:dyDescent="0.25">
      <c r="A64" s="172" t="s">
        <v>62</v>
      </c>
      <c r="B64" s="172">
        <f t="array" ref="B64">INDEX($A:$A, (ROW()-1)*2 + COLUMN()-1)</f>
        <v>0</v>
      </c>
      <c r="C64" s="172">
        <f t="array" ref="C64">INDEX($A:$A, (ROW()-1)*2 + COLUMN()-1)</f>
        <v>0</v>
      </c>
    </row>
    <row r="65" spans="1:3" x14ac:dyDescent="0.25">
      <c r="A65" s="172" t="s">
        <v>102</v>
      </c>
      <c r="B65" s="172">
        <f t="array" ref="B65">INDEX($A:$A, (ROW()-1)*2 + COLUMN()-1)</f>
        <v>0</v>
      </c>
      <c r="C65" s="172">
        <f t="array" ref="C65">INDEX($A:$A, (ROW()-1)*2 + COLUMN()-1)</f>
        <v>0</v>
      </c>
    </row>
    <row r="66" spans="1:3" x14ac:dyDescent="0.25">
      <c r="A66" s="172" t="s">
        <v>115</v>
      </c>
      <c r="B66" s="172">
        <f t="array" ref="B66">INDEX($A:$A, (ROW()-1)*2 + COLUMN()-1)</f>
        <v>0</v>
      </c>
      <c r="C66" s="172">
        <f t="array" ref="C66">INDEX($A:$A, (ROW()-1)*2 + COLUMN()-1)</f>
        <v>0</v>
      </c>
    </row>
    <row r="67" spans="1:3" x14ac:dyDescent="0.25">
      <c r="A67" s="172" t="s">
        <v>77</v>
      </c>
      <c r="B67" s="172">
        <f t="array" ref="B67">INDEX($A:$A, (ROW()-1)*2 + COLUMN()-1)</f>
        <v>0</v>
      </c>
      <c r="C67" s="172">
        <f t="array" ref="C67">INDEX($A:$A, (ROW()-1)*2 + COLUMN()-1)</f>
        <v>0</v>
      </c>
    </row>
    <row r="68" spans="1:3" x14ac:dyDescent="0.25">
      <c r="A68" s="172" t="s">
        <v>85</v>
      </c>
      <c r="B68" s="172">
        <f t="array" ref="B68">INDEX($A:$A, (ROW()-1)*2 + COLUMN()-1)</f>
        <v>0</v>
      </c>
      <c r="C68" s="172">
        <f t="array" ref="C68">INDEX($A:$A, (ROW()-1)*2 + COLUMN()-1)</f>
        <v>0</v>
      </c>
    </row>
    <row r="69" spans="1:3" x14ac:dyDescent="0.25">
      <c r="A69" s="172" t="s">
        <v>95</v>
      </c>
      <c r="B69" s="172">
        <f t="array" ref="B69">INDEX($A:$A, (ROW()-1)*2 + COLUMN()-1)</f>
        <v>0</v>
      </c>
      <c r="C69" s="172">
        <f t="array" ref="C69">INDEX($A:$A, (ROW()-1)*2 + COLUMN()-1)</f>
        <v>0</v>
      </c>
    </row>
    <row r="70" spans="1:3" x14ac:dyDescent="0.25">
      <c r="A70" s="172" t="s">
        <v>70</v>
      </c>
      <c r="B70" s="172">
        <f t="array" ref="B70">INDEX($A:$A, (ROW()-1)*2 + COLUMN()-1)</f>
        <v>0</v>
      </c>
      <c r="C70" s="172">
        <f t="array" ref="C70">INDEX($A:$A, (ROW()-1)*2 + COLUMN()-1)</f>
        <v>0</v>
      </c>
    </row>
    <row r="71" spans="1:3" x14ac:dyDescent="0.25">
      <c r="A71" s="172" t="s">
        <v>61</v>
      </c>
      <c r="B71" s="172">
        <f t="array" ref="B71">INDEX($A:$A, (ROW()-1)*2 + COLUMN()-1)</f>
        <v>0</v>
      </c>
      <c r="C71" s="172">
        <f t="array" ref="C71">INDEX($A:$A, (ROW()-1)*2 + COLUMN()-1)</f>
        <v>0</v>
      </c>
    </row>
    <row r="72" spans="1:3" x14ac:dyDescent="0.25">
      <c r="A72" s="172" t="s">
        <v>102</v>
      </c>
      <c r="B72" s="172">
        <f t="array" ref="B72">INDEX($A:$A, (ROW()-1)*2 + COLUMN()-1)</f>
        <v>0</v>
      </c>
      <c r="C72" s="172">
        <f t="array" ref="C72">INDEX($A:$A, (ROW()-1)*2 + COLUMN()-1)</f>
        <v>0</v>
      </c>
    </row>
    <row r="73" spans="1:3" x14ac:dyDescent="0.25">
      <c r="A73" s="172" t="s">
        <v>109</v>
      </c>
      <c r="B73" s="172">
        <f t="array" ref="B73">INDEX($A:$A, (ROW()-1)*2 + COLUMN()-1)</f>
        <v>0</v>
      </c>
      <c r="C73" s="172">
        <f t="array" ref="C73">INDEX($A:$A, (ROW()-1)*2 + COLUMN()-1)</f>
        <v>0</v>
      </c>
    </row>
    <row r="74" spans="1:3" x14ac:dyDescent="0.25">
      <c r="A74" s="172" t="s">
        <v>78</v>
      </c>
      <c r="B74" s="172">
        <f t="array" ref="B74">INDEX($A:$A, (ROW()-1)*2 + COLUMN()-1)</f>
        <v>0</v>
      </c>
      <c r="C74" s="172">
        <f t="array" ref="C74">INDEX($A:$A, (ROW()-1)*2 + COLUMN()-1)</f>
        <v>0</v>
      </c>
    </row>
    <row r="75" spans="1:3" x14ac:dyDescent="0.25">
      <c r="A75" s="172" t="s">
        <v>62</v>
      </c>
      <c r="B75" s="172">
        <f t="array" ref="B75">INDEX($A:$A, (ROW()-1)*2 + COLUMN()-1)</f>
        <v>0</v>
      </c>
      <c r="C75" s="172">
        <f t="array" ref="C75">INDEX($A:$A, (ROW()-1)*2 + COLUMN()-1)</f>
        <v>0</v>
      </c>
    </row>
    <row r="76" spans="1:3" x14ac:dyDescent="0.25">
      <c r="A76" s="172" t="s">
        <v>95</v>
      </c>
      <c r="B76" s="172">
        <f t="array" ref="B76">INDEX($A:$A, (ROW()-1)*2 + COLUMN()-1)</f>
        <v>0</v>
      </c>
      <c r="C76" s="172">
        <f t="array" ref="C76">INDEX($A:$A, (ROW()-1)*2 + COLUMN()-1)</f>
        <v>0</v>
      </c>
    </row>
    <row r="77" spans="1:3" x14ac:dyDescent="0.25">
      <c r="A77" s="172" t="s">
        <v>86</v>
      </c>
      <c r="B77" s="172">
        <f t="array" ref="B77">INDEX($A:$A, (ROW()-1)*2 + COLUMN()-1)</f>
        <v>0</v>
      </c>
      <c r="C77" s="172">
        <f t="array" ref="C77">INDEX($A:$A, (ROW()-1)*2 + COLUMN()-1)</f>
        <v>0</v>
      </c>
    </row>
    <row r="78" spans="1:3" x14ac:dyDescent="0.25">
      <c r="A78" s="172" t="s">
        <v>109</v>
      </c>
      <c r="B78" s="172">
        <f t="array" ref="B78">INDEX($A:$A, (ROW()-1)*2 + COLUMN()-1)</f>
        <v>0</v>
      </c>
      <c r="C78" s="172">
        <f t="array" ref="C78">INDEX($A:$A, (ROW()-1)*2 + COLUMN()-1)</f>
        <v>0</v>
      </c>
    </row>
    <row r="79" spans="1:3" x14ac:dyDescent="0.25">
      <c r="A79" s="172" t="s">
        <v>61</v>
      </c>
      <c r="B79" s="172">
        <f t="array" ref="B79">INDEX($A:$A, (ROW()-1)*2 + COLUMN()-1)</f>
        <v>0</v>
      </c>
      <c r="C79" s="172">
        <f t="array" ref="C79">INDEX($A:$A, (ROW()-1)*2 + COLUMN()-1)</f>
        <v>0</v>
      </c>
    </row>
    <row r="80" spans="1:3" x14ac:dyDescent="0.25">
      <c r="A80" s="172" t="s">
        <v>109</v>
      </c>
      <c r="B80" s="172">
        <f t="array" ref="B80">INDEX($A:$A, (ROW()-1)*2 + COLUMN()-1)</f>
        <v>0</v>
      </c>
      <c r="C80" s="172">
        <f t="array" ref="C80">INDEX($A:$A, (ROW()-1)*2 + COLUMN()-1)</f>
        <v>0</v>
      </c>
    </row>
    <row r="81" spans="2:3" x14ac:dyDescent="0.25">
      <c r="B81" s="172">
        <f t="array" ref="B81">INDEX($A:$A, (ROW()-1)*2 + COLUMN()-1)</f>
        <v>0</v>
      </c>
      <c r="C81" s="172">
        <f t="array" ref="C81">INDEX($A:$A, (ROW()-1)*2 + COLUMN()-1)</f>
        <v>0</v>
      </c>
    </row>
    <row r="82" spans="2:3" x14ac:dyDescent="0.25">
      <c r="B82" s="172">
        <f t="array" ref="B82">INDEX($A:$A, (ROW()-1)*2 + COLUMN()-1)</f>
        <v>0</v>
      </c>
      <c r="C82" s="172">
        <f t="array" ref="C82">INDEX($A:$A, (ROW()-1)*2 + COLUMN()-1)</f>
        <v>0</v>
      </c>
    </row>
    <row r="83" spans="2:3" x14ac:dyDescent="0.25">
      <c r="B83" s="172">
        <f t="array" ref="B83">INDEX($A:$A, (ROW()-1)*2 + COLUMN()-1)</f>
        <v>0</v>
      </c>
      <c r="C83" s="172">
        <f t="array" ref="C83">INDEX($A:$A, (ROW()-1)*2 + COLUMN()-1)</f>
        <v>0</v>
      </c>
    </row>
    <row r="84" spans="2:3" x14ac:dyDescent="0.25">
      <c r="B84" s="172">
        <f t="array" ref="B84">INDEX($A:$A, (ROW()-1)*2 + COLUMN()-1)</f>
        <v>0</v>
      </c>
      <c r="C84" s="172">
        <f t="array" ref="C84">INDEX($A:$A, (ROW()-1)*2 + COLUMN()-1)</f>
        <v>0</v>
      </c>
    </row>
    <row r="85" spans="2:3" x14ac:dyDescent="0.25">
      <c r="B85" s="172">
        <f t="array" ref="B85">INDEX($A:$A, (ROW()-1)*2 + COLUMN()-1)</f>
        <v>0</v>
      </c>
      <c r="C85" s="172">
        <f t="array" ref="C85">INDEX($A:$A, (ROW()-1)*2 + COLUMN()-1)</f>
        <v>0</v>
      </c>
    </row>
    <row r="86" spans="2:3" x14ac:dyDescent="0.25">
      <c r="B86" s="172">
        <f t="array" ref="B86">INDEX($A:$A, (ROW()-1)*2 + COLUMN()-1)</f>
        <v>0</v>
      </c>
      <c r="C86" s="172">
        <f t="array" ref="C86">INDEX($A:$A, (ROW()-1)*2 + COLUMN()-1)</f>
        <v>0</v>
      </c>
    </row>
    <row r="87" spans="2:3" x14ac:dyDescent="0.25">
      <c r="B87" s="172">
        <f t="array" ref="B87">INDEX($A:$A, (ROW()-1)*2 + COLUMN()-1)</f>
        <v>0</v>
      </c>
      <c r="C87" s="172">
        <f t="array" ref="C87">INDEX($A:$A, (ROW()-1)*2 + COLUMN()-1)</f>
        <v>0</v>
      </c>
    </row>
    <row r="88" spans="2:3" x14ac:dyDescent="0.25">
      <c r="B88" s="172">
        <f t="array" ref="B88">INDEX($A:$A, (ROW()-1)*2 + COLUMN()-1)</f>
        <v>0</v>
      </c>
      <c r="C88" s="172">
        <f t="array" ref="C88">INDEX($A:$A, (ROW()-1)*2 + COLUMN()-1)</f>
        <v>0</v>
      </c>
    </row>
    <row r="89" spans="2:3" x14ac:dyDescent="0.25">
      <c r="B89" s="172">
        <f t="array" ref="B89">INDEX($A:$A, (ROW()-1)*2 + COLUMN()-1)</f>
        <v>0</v>
      </c>
      <c r="C89" s="172">
        <f t="array" ref="C89">INDEX($A:$A, (ROW()-1)*2 + COLUMN()-1)</f>
        <v>0</v>
      </c>
    </row>
    <row r="90" spans="2:3" x14ac:dyDescent="0.25">
      <c r="B90" s="172">
        <f t="array" ref="B90">INDEX($A:$A, (ROW()-1)*2 + COLUMN()-1)</f>
        <v>0</v>
      </c>
      <c r="C90" s="172">
        <f t="array" ref="C90">INDEX($A:$A, (ROW()-1)*2 + COLUMN()-1)</f>
        <v>0</v>
      </c>
    </row>
    <row r="91" spans="2:3" x14ac:dyDescent="0.25">
      <c r="B91" s="172">
        <f t="array" ref="B91">INDEX($A:$A, (ROW()-1)*2 + COLUMN()-1)</f>
        <v>0</v>
      </c>
      <c r="C91" s="172">
        <f t="array" ref="C91">INDEX($A:$A, (ROW()-1)*2 + COLUMN()-1)</f>
        <v>0</v>
      </c>
    </row>
    <row r="92" spans="2:3" x14ac:dyDescent="0.25">
      <c r="B92" s="172">
        <f t="array" ref="B92">INDEX($A:$A, (ROW()-1)*2 + COLUMN()-1)</f>
        <v>0</v>
      </c>
      <c r="C92" s="172">
        <f t="array" ref="C92">INDEX($A:$A, (ROW()-1)*2 + COLUMN()-1)</f>
        <v>0</v>
      </c>
    </row>
    <row r="93" spans="2:3" x14ac:dyDescent="0.25">
      <c r="B93" s="172">
        <f t="array" ref="B93">INDEX($A:$A, (ROW()-1)*2 + COLUMN()-1)</f>
        <v>0</v>
      </c>
      <c r="C93" s="172">
        <f t="array" ref="C93">INDEX($A:$A, (ROW()-1)*2 + COLUMN()-1)</f>
        <v>0</v>
      </c>
    </row>
    <row r="94" spans="2:3" x14ac:dyDescent="0.25">
      <c r="B94" s="172">
        <f t="array" ref="B94">INDEX($A:$A, (ROW()-1)*2 + COLUMN()-1)</f>
        <v>0</v>
      </c>
      <c r="C94" s="172">
        <f t="array" ref="C94">INDEX($A:$A, (ROW()-1)*2 + COLUMN()-1)</f>
        <v>0</v>
      </c>
    </row>
    <row r="95" spans="2:3" x14ac:dyDescent="0.25">
      <c r="B95" s="172">
        <f t="array" ref="B95">INDEX($A:$A, (ROW()-1)*2 + COLUMN()-1)</f>
        <v>0</v>
      </c>
      <c r="C95" s="172">
        <f t="array" ref="C95">INDEX($A:$A, (ROW()-1)*2 + COLUMN()-1)</f>
        <v>0</v>
      </c>
    </row>
    <row r="96" spans="2:3" x14ac:dyDescent="0.25">
      <c r="B96" s="172">
        <f t="array" ref="B96">INDEX($A:$A, (ROW()-1)*2 + COLUMN()-1)</f>
        <v>0</v>
      </c>
      <c r="C96" s="172">
        <f t="array" ref="C96">INDEX($A:$A, (ROW()-1)*2 + COLUMN()-1)</f>
        <v>0</v>
      </c>
    </row>
    <row r="97" spans="2:3" x14ac:dyDescent="0.25">
      <c r="B97" s="172">
        <f t="array" ref="B97">INDEX($A:$A, (ROW()-1)*2 + COLUMN()-1)</f>
        <v>0</v>
      </c>
      <c r="C97" s="172">
        <f t="array" ref="C97">INDEX($A:$A, (ROW()-1)*2 + COLUMN()-1)</f>
        <v>0</v>
      </c>
    </row>
    <row r="98" spans="2:3" x14ac:dyDescent="0.25">
      <c r="B98" s="172">
        <f t="array" ref="B98">INDEX($A:$A, (ROW()-1)*2 + COLUMN()-1)</f>
        <v>0</v>
      </c>
      <c r="C98" s="172">
        <f t="array" ref="C98">INDEX($A:$A, (ROW()-1)*2 + COLUMN()-1)</f>
        <v>0</v>
      </c>
    </row>
    <row r="99" spans="2:3" x14ac:dyDescent="0.25">
      <c r="B99" s="172">
        <f t="array" ref="B99">INDEX($A:$A, (ROW()-1)*2 + COLUMN()-1)</f>
        <v>0</v>
      </c>
      <c r="C99" s="172">
        <f t="array" ref="C99">INDEX($A:$A, (ROW()-1)*2 + COLUMN()-1)</f>
        <v>0</v>
      </c>
    </row>
    <row r="100" spans="2:3" x14ac:dyDescent="0.25">
      <c r="B100" s="172">
        <f t="array" ref="B100">INDEX($A:$A, (ROW()-1)*2 + COLUMN()-1)</f>
        <v>0</v>
      </c>
      <c r="C100" s="172">
        <f t="array" ref="C100">INDEX($A:$A, (ROW()-1)*2 + COLUMN()-1)</f>
        <v>0</v>
      </c>
    </row>
    <row r="101" spans="2:3" x14ac:dyDescent="0.25">
      <c r="B101" s="172">
        <f t="array" ref="B101">INDEX($A:$A, (ROW()-1)*2 + COLUMN()-1)</f>
        <v>0</v>
      </c>
      <c r="C101" s="172">
        <f t="array" ref="C101">INDEX($A:$A, (ROW()-1)*2 + COLUMN()-1)</f>
        <v>0</v>
      </c>
    </row>
    <row r="102" spans="2:3" x14ac:dyDescent="0.25">
      <c r="B102" s="172">
        <f t="array" ref="B102">INDEX($A:$A, (ROW()-1)*2 + COLUMN()-1)</f>
        <v>0</v>
      </c>
      <c r="C102" s="172">
        <f t="array" ref="C102">INDEX($A:$A, (ROW()-1)*2 + COLUMN()-1)</f>
        <v>0</v>
      </c>
    </row>
    <row r="103" spans="2:3" x14ac:dyDescent="0.25">
      <c r="B103" s="172">
        <f t="array" ref="B103">INDEX($A:$A, (ROW()-1)*2 + COLUMN()-1)</f>
        <v>0</v>
      </c>
      <c r="C103" s="172">
        <f t="array" ref="C103">INDEX($A:$A, (ROW()-1)*2 + COLUMN()-1)</f>
        <v>0</v>
      </c>
    </row>
    <row r="104" spans="2:3" x14ac:dyDescent="0.25">
      <c r="B104" s="172">
        <f t="array" ref="B104">INDEX($A:$A, (ROW()-1)*2 + COLUMN()-1)</f>
        <v>0</v>
      </c>
      <c r="C104" s="172">
        <f t="array" ref="C104">INDEX($A:$A, (ROW()-1)*2 + COLUMN()-1)</f>
        <v>0</v>
      </c>
    </row>
    <row r="105" spans="2:3" x14ac:dyDescent="0.25">
      <c r="B105" s="172">
        <f t="array" ref="B105">INDEX($A:$A, (ROW()-1)*2 + COLUMN()-1)</f>
        <v>0</v>
      </c>
      <c r="C105" s="172">
        <f t="array" ref="C105">INDEX($A:$A, (ROW()-1)*2 + COLUMN()-1)</f>
        <v>0</v>
      </c>
    </row>
    <row r="106" spans="2:3" x14ac:dyDescent="0.25">
      <c r="B106" s="172">
        <f t="array" ref="B106">INDEX($A:$A, (ROW()-1)*2 + COLUMN()-1)</f>
        <v>0</v>
      </c>
      <c r="C106" s="172">
        <f t="array" ref="C106">INDEX($A:$A, (ROW()-1)*2 + COLUMN()-1)</f>
        <v>0</v>
      </c>
    </row>
    <row r="107" spans="2:3" x14ac:dyDescent="0.25">
      <c r="B107" s="172">
        <f t="array" ref="B107">INDEX($A:$A, (ROW()-1)*2 + COLUMN()-1)</f>
        <v>0</v>
      </c>
      <c r="C107" s="172">
        <f t="array" ref="C107">INDEX($A:$A, (ROW()-1)*2 + COLUMN()-1)</f>
        <v>0</v>
      </c>
    </row>
    <row r="108" spans="2:3" x14ac:dyDescent="0.25">
      <c r="B108" s="172">
        <f t="array" ref="B108">INDEX($A:$A, (ROW()-1)*2 + COLUMN()-1)</f>
        <v>0</v>
      </c>
      <c r="C108" s="172">
        <f t="array" ref="C108">INDEX($A:$A, (ROW()-1)*2 + COLUMN()-1)</f>
        <v>0</v>
      </c>
    </row>
    <row r="109" spans="2:3" x14ac:dyDescent="0.25">
      <c r="B109" s="172">
        <f t="array" ref="B109">INDEX($A:$A, (ROW()-1)*2 + COLUMN()-1)</f>
        <v>0</v>
      </c>
      <c r="C109" s="172">
        <f t="array" ref="C109">INDEX($A:$A, (ROW()-1)*2 + COLUMN()-1)</f>
        <v>0</v>
      </c>
    </row>
    <row r="110" spans="2:3" x14ac:dyDescent="0.25">
      <c r="B110" s="172">
        <f t="array" ref="B110">INDEX($A:$A, (ROW()-1)*2 + COLUMN()-1)</f>
        <v>0</v>
      </c>
      <c r="C110" s="172">
        <f t="array" ref="C110">INDEX($A:$A, (ROW()-1)*2 + COLUMN()-1)</f>
        <v>0</v>
      </c>
    </row>
    <row r="111" spans="2:3" x14ac:dyDescent="0.25">
      <c r="B111" s="172">
        <f t="array" ref="B111">INDEX($A:$A, (ROW()-1)*2 + COLUMN()-1)</f>
        <v>0</v>
      </c>
      <c r="C111" s="172">
        <f t="array" ref="C111">INDEX($A:$A, (ROW()-1)*2 + COLUMN()-1)</f>
        <v>0</v>
      </c>
    </row>
    <row r="112" spans="2:3" x14ac:dyDescent="0.25">
      <c r="B112" s="172">
        <f t="array" ref="B112">INDEX($A:$A, (ROW()-1)*2 + COLUMN()-1)</f>
        <v>0</v>
      </c>
      <c r="C112" s="172">
        <f t="array" ref="C112">INDEX($A:$A, (ROW()-1)*2 + COLUMN()-1)</f>
        <v>0</v>
      </c>
    </row>
    <row r="113" spans="2:3" x14ac:dyDescent="0.25">
      <c r="B113" s="172">
        <f t="array" ref="B113">INDEX($A:$A, (ROW()-1)*2 + COLUMN()-1)</f>
        <v>0</v>
      </c>
      <c r="C113" s="172">
        <f t="array" ref="C113">INDEX($A:$A, (ROW()-1)*2 + COLUMN()-1)</f>
        <v>0</v>
      </c>
    </row>
    <row r="114" spans="2:3" x14ac:dyDescent="0.25">
      <c r="B114" s="172">
        <f t="array" ref="B114">INDEX($A:$A, (ROW()-1)*2 + COLUMN()-1)</f>
        <v>0</v>
      </c>
      <c r="C114" s="172">
        <f t="array" ref="C114">INDEX($A:$A, (ROW()-1)*2 + COLUMN()-1)</f>
        <v>0</v>
      </c>
    </row>
    <row r="115" spans="2:3" x14ac:dyDescent="0.25">
      <c r="B115" s="172">
        <f t="array" ref="B115">INDEX($A:$A, (ROW()-1)*2 + COLUMN()-1)</f>
        <v>0</v>
      </c>
      <c r="C115" s="172">
        <f t="array" ref="C115">INDEX($A:$A, (ROW()-1)*2 + COLUMN()-1)</f>
        <v>0</v>
      </c>
    </row>
    <row r="116" spans="2:3" x14ac:dyDescent="0.25">
      <c r="B116" s="172">
        <f t="array" ref="B116">INDEX($A:$A, (ROW()-1)*2 + COLUMN()-1)</f>
        <v>0</v>
      </c>
      <c r="C116" s="172">
        <f t="array" ref="C116">INDEX($A:$A, (ROW()-1)*2 + COLUMN()-1)</f>
        <v>0</v>
      </c>
    </row>
    <row r="117" spans="2:3" x14ac:dyDescent="0.25">
      <c r="B117" s="172">
        <f t="array" ref="B117">INDEX($A:$A, (ROW()-1)*2 + COLUMN()-1)</f>
        <v>0</v>
      </c>
      <c r="C117" s="172">
        <f t="array" ref="C117">INDEX($A:$A, (ROW()-1)*2 + COLUMN()-1)</f>
        <v>0</v>
      </c>
    </row>
    <row r="118" spans="2:3" x14ac:dyDescent="0.25">
      <c r="B118" s="172">
        <f t="array" ref="B118">INDEX($A:$A, (ROW()-1)*2 + COLUMN()-1)</f>
        <v>0</v>
      </c>
      <c r="C118" s="172">
        <f t="array" ref="C118">INDEX($A:$A, (ROW()-1)*2 + COLUMN()-1)</f>
        <v>0</v>
      </c>
    </row>
    <row r="119" spans="2:3" x14ac:dyDescent="0.25">
      <c r="B119" s="172">
        <f t="array" ref="B119">INDEX($A:$A, (ROW()-1)*2 + COLUMN()-1)</f>
        <v>0</v>
      </c>
      <c r="C119" s="172">
        <f t="array" ref="C119">INDEX($A:$A, (ROW()-1)*2 + COLUMN()-1)</f>
        <v>0</v>
      </c>
    </row>
    <row r="120" spans="2:3" x14ac:dyDescent="0.25">
      <c r="B120" s="172">
        <f t="array" ref="B120">INDEX($A:$A, (ROW()-1)*2 + COLUMN()-1)</f>
        <v>0</v>
      </c>
      <c r="C120" s="172">
        <f t="array" ref="C120">INDEX($A:$A, (ROW()-1)*2 + COLUMN()-1)</f>
        <v>0</v>
      </c>
    </row>
    <row r="121" spans="2:3" x14ac:dyDescent="0.25">
      <c r="B121" s="172">
        <f t="array" ref="B121">INDEX($A:$A, (ROW()-1)*2 + COLUMN()-1)</f>
        <v>0</v>
      </c>
      <c r="C121" s="172">
        <f t="array" ref="C121">INDEX($A:$A, (ROW()-1)*2 + COLUMN()-1)</f>
        <v>0</v>
      </c>
    </row>
    <row r="122" spans="2:3" x14ac:dyDescent="0.25">
      <c r="B122" s="172">
        <f t="array" ref="B122">INDEX($A:$A, (ROW()-1)*2 + COLUMN()-1)</f>
        <v>0</v>
      </c>
      <c r="C122" s="172">
        <f t="array" ref="C122">INDEX($A:$A, (ROW()-1)*2 + COLUMN()-1)</f>
        <v>0</v>
      </c>
    </row>
    <row r="123" spans="2:3" x14ac:dyDescent="0.25">
      <c r="B123" s="172">
        <f t="array" ref="B123">INDEX($A:$A, (ROW()-1)*2 + COLUMN()-1)</f>
        <v>0</v>
      </c>
      <c r="C123" s="172">
        <f t="array" ref="C123">INDEX($A:$A, (ROW()-1)*2 + COLUMN()-1)</f>
        <v>0</v>
      </c>
    </row>
    <row r="124" spans="2:3" x14ac:dyDescent="0.25">
      <c r="B124" s="172">
        <f t="array" ref="B124">INDEX($A:$A, (ROW()-1)*2 + COLUMN()-1)</f>
        <v>0</v>
      </c>
      <c r="C124" s="172">
        <f t="array" ref="C124">INDEX($A:$A, (ROW()-1)*2 + COLUMN()-1)</f>
        <v>0</v>
      </c>
    </row>
    <row r="125" spans="2:3" x14ac:dyDescent="0.25">
      <c r="B125" s="172">
        <f t="array" ref="B125">INDEX($A:$A, (ROW()-1)*2 + COLUMN()-1)</f>
        <v>0</v>
      </c>
      <c r="C125" s="172">
        <f t="array" ref="C125">INDEX($A:$A, (ROW()-1)*2 + COLUMN()-1)</f>
        <v>0</v>
      </c>
    </row>
    <row r="126" spans="2:3" x14ac:dyDescent="0.25">
      <c r="B126" s="172">
        <f t="array" ref="B126">INDEX($A:$A, (ROW()-1)*2 + COLUMN()-1)</f>
        <v>0</v>
      </c>
      <c r="C126" s="172">
        <f t="array" ref="C126">INDEX($A:$A, (ROW()-1)*2 + COLUMN()-1)</f>
        <v>0</v>
      </c>
    </row>
    <row r="127" spans="2:3" x14ac:dyDescent="0.25">
      <c r="B127" s="172">
        <f t="array" ref="B127">INDEX($A:$A, (ROW()-1)*2 + COLUMN()-1)</f>
        <v>0</v>
      </c>
      <c r="C127" s="172">
        <f t="array" ref="C127">INDEX($A:$A, (ROW()-1)*2 + COLUMN()-1)</f>
        <v>0</v>
      </c>
    </row>
    <row r="128" spans="2:3" x14ac:dyDescent="0.25">
      <c r="B128" s="172">
        <f t="array" ref="B128">INDEX($A:$A, (ROW()-1)*2 + COLUMN()-1)</f>
        <v>0</v>
      </c>
      <c r="C128" s="172">
        <f t="array" ref="C128">INDEX($A:$A, (ROW()-1)*2 + COLUMN()-1)</f>
        <v>0</v>
      </c>
    </row>
    <row r="129" spans="2:3" x14ac:dyDescent="0.25">
      <c r="B129" s="172">
        <f t="array" ref="B129">INDEX($A:$A, (ROW()-1)*2 + COLUMN()-1)</f>
        <v>0</v>
      </c>
      <c r="C129" s="172">
        <f t="array" ref="C129">INDEX($A:$A, (ROW()-1)*2 + COLUMN()-1)</f>
        <v>0</v>
      </c>
    </row>
    <row r="130" spans="2:3" x14ac:dyDescent="0.25">
      <c r="B130" s="172">
        <f t="array" ref="B130">INDEX($A:$A, (ROW()-1)*2 + COLUMN()-1)</f>
        <v>0</v>
      </c>
      <c r="C130" s="172">
        <f t="array" ref="C130">INDEX($A:$A, (ROW()-1)*2 + COLUMN()-1)</f>
        <v>0</v>
      </c>
    </row>
    <row r="131" spans="2:3" x14ac:dyDescent="0.25">
      <c r="B131" s="172">
        <f t="array" ref="B131">INDEX($A:$A, (ROW()-1)*2 + COLUMN()-1)</f>
        <v>0</v>
      </c>
      <c r="C131" s="172">
        <f t="array" ref="C131">INDEX($A:$A, (ROW()-1)*2 + COLUMN()-1)</f>
        <v>0</v>
      </c>
    </row>
    <row r="132" spans="2:3" x14ac:dyDescent="0.25">
      <c r="B132" s="172">
        <f t="array" ref="B132">INDEX($A:$A, (ROW()-1)*2 + COLUMN()-1)</f>
        <v>0</v>
      </c>
      <c r="C132" s="172">
        <f t="array" ref="C132">INDEX($A:$A, (ROW()-1)*2 + COLUMN()-1)</f>
        <v>0</v>
      </c>
    </row>
    <row r="133" spans="2:3" x14ac:dyDescent="0.25">
      <c r="B133" s="172">
        <f t="array" ref="B133">INDEX($A:$A, (ROW()-1)*2 + COLUMN()-1)</f>
        <v>0</v>
      </c>
      <c r="C133" s="172">
        <f t="array" ref="C133">INDEX($A:$A, (ROW()-1)*2 + COLUMN()-1)</f>
        <v>0</v>
      </c>
    </row>
    <row r="134" spans="2:3" x14ac:dyDescent="0.25">
      <c r="B134" s="172">
        <f t="array" ref="B134">INDEX($A:$A, (ROW()-1)*2 + COLUMN()-1)</f>
        <v>0</v>
      </c>
      <c r="C134" s="172">
        <f t="array" ref="C134">INDEX($A:$A, (ROW()-1)*2 + COLUMN()-1)</f>
        <v>0</v>
      </c>
    </row>
    <row r="135" spans="2:3" x14ac:dyDescent="0.25">
      <c r="B135" s="172">
        <f t="array" ref="B135">INDEX($A:$A, (ROW()-1)*2 + COLUMN()-1)</f>
        <v>0</v>
      </c>
      <c r="C135" s="172">
        <f t="array" ref="C135">INDEX($A:$A, (ROW()-1)*2 + COLUMN()-1)</f>
        <v>0</v>
      </c>
    </row>
    <row r="136" spans="2:3" x14ac:dyDescent="0.25">
      <c r="B136" s="172">
        <f t="array" ref="B136">INDEX($A:$A, (ROW()-1)*2 + COLUMN()-1)</f>
        <v>0</v>
      </c>
      <c r="C136" s="172">
        <f t="array" ref="C136">INDEX($A:$A, (ROW()-1)*2 + COLUMN()-1)</f>
        <v>0</v>
      </c>
    </row>
    <row r="137" spans="2:3" x14ac:dyDescent="0.25">
      <c r="B137" s="172">
        <f t="array" ref="B137">INDEX($A:$A, (ROW()-1)*2 + COLUMN()-1)</f>
        <v>0</v>
      </c>
      <c r="C137" s="172">
        <f t="array" ref="C137">INDEX($A:$A, (ROW()-1)*2 + COLUMN()-1)</f>
        <v>0</v>
      </c>
    </row>
    <row r="138" spans="2:3" x14ac:dyDescent="0.25">
      <c r="B138" s="172">
        <f t="array" ref="B138">INDEX($A:$A, (ROW()-1)*2 + COLUMN()-1)</f>
        <v>0</v>
      </c>
      <c r="C138" s="172">
        <f t="array" ref="C138">INDEX($A:$A, (ROW()-1)*2 + COLUMN()-1)</f>
        <v>0</v>
      </c>
    </row>
    <row r="139" spans="2:3" x14ac:dyDescent="0.25">
      <c r="B139" s="172">
        <f t="array" ref="B139">INDEX($A:$A, (ROW()-1)*2 + COLUMN()-1)</f>
        <v>0</v>
      </c>
      <c r="C139" s="172">
        <f t="array" ref="C139">INDEX($A:$A, (ROW()-1)*2 + COLUMN()-1)</f>
        <v>0</v>
      </c>
    </row>
    <row r="140" spans="2:3" x14ac:dyDescent="0.25">
      <c r="B140" s="172">
        <f t="array" ref="B140">INDEX($A:$A, (ROW()-1)*2 + COLUMN()-1)</f>
        <v>0</v>
      </c>
      <c r="C140" s="172">
        <f t="array" ref="C140">INDEX($A:$A, (ROW()-1)*2 + COLUMN()-1)</f>
        <v>0</v>
      </c>
    </row>
    <row r="141" spans="2:3" x14ac:dyDescent="0.25">
      <c r="B141" s="172">
        <f t="array" ref="B141">INDEX($A:$A, (ROW()-1)*2 + COLUMN()-1)</f>
        <v>0</v>
      </c>
      <c r="C141" s="172">
        <f t="array" ref="C141">INDEX($A:$A, (ROW()-1)*2 + COLUMN()-1)</f>
        <v>0</v>
      </c>
    </row>
    <row r="142" spans="2:3" x14ac:dyDescent="0.25">
      <c r="B142" s="172">
        <f t="array" ref="B142">INDEX($A:$A, (ROW()-1)*2 + COLUMN()-1)</f>
        <v>0</v>
      </c>
      <c r="C142" s="172">
        <f t="array" ref="C142">INDEX($A:$A, (ROW()-1)*2 + COLUMN()-1)</f>
        <v>0</v>
      </c>
    </row>
    <row r="143" spans="2:3" x14ac:dyDescent="0.25">
      <c r="B143" s="172">
        <f t="array" ref="B143">INDEX($A:$A, (ROW()-1)*2 + COLUMN()-1)</f>
        <v>0</v>
      </c>
      <c r="C143" s="172">
        <f t="array" ref="C143">INDEX($A:$A, (ROW()-1)*2 + COLUMN()-1)</f>
        <v>0</v>
      </c>
    </row>
    <row r="144" spans="2:3" x14ac:dyDescent="0.25">
      <c r="B144" s="172">
        <f t="array" ref="B144">INDEX($A:$A, (ROW()-1)*2 + COLUMN()-1)</f>
        <v>0</v>
      </c>
      <c r="C144" s="172">
        <f t="array" ref="C144">INDEX($A:$A, (ROW()-1)*2 + COLUMN()-1)</f>
        <v>0</v>
      </c>
    </row>
    <row r="145" spans="2:3" x14ac:dyDescent="0.25">
      <c r="B145" s="172">
        <f t="array" ref="B145">INDEX($A:$A, (ROW()-1)*2 + COLUMN()-1)</f>
        <v>0</v>
      </c>
      <c r="C145" s="172">
        <f t="array" ref="C145">INDEX($A:$A, (ROW()-1)*2 + COLUMN()-1)</f>
        <v>0</v>
      </c>
    </row>
    <row r="146" spans="2:3" x14ac:dyDescent="0.25">
      <c r="B146" s="172">
        <f t="array" ref="B146">INDEX($A:$A, (ROW()-1)*2 + COLUMN()-1)</f>
        <v>0</v>
      </c>
      <c r="C146" s="172">
        <f t="array" ref="C146">INDEX($A:$A, (ROW()-1)*2 + COLUMN()-1)</f>
        <v>0</v>
      </c>
    </row>
    <row r="147" spans="2:3" x14ac:dyDescent="0.25">
      <c r="B147" s="172">
        <f t="array" ref="B147">INDEX($A:$A, (ROW()-1)*2 + COLUMN()-1)</f>
        <v>0</v>
      </c>
      <c r="C147" s="172">
        <f t="array" ref="C147">INDEX($A:$A, (ROW()-1)*2 + COLUMN()-1)</f>
        <v>0</v>
      </c>
    </row>
    <row r="148" spans="2:3" x14ac:dyDescent="0.25">
      <c r="B148" s="172">
        <f t="array" ref="B148">INDEX($A:$A, (ROW()-1)*2 + COLUMN()-1)</f>
        <v>0</v>
      </c>
      <c r="C148" s="172">
        <f t="array" ref="C148">INDEX($A:$A, (ROW()-1)*2 + COLUMN()-1)</f>
        <v>0</v>
      </c>
    </row>
    <row r="149" spans="2:3" x14ac:dyDescent="0.25">
      <c r="B149" s="172">
        <f t="array" ref="B149">INDEX($A:$A, (ROW()-1)*2 + COLUMN()-1)</f>
        <v>0</v>
      </c>
      <c r="C149" s="172">
        <f t="array" ref="C149">INDEX($A:$A, (ROW()-1)*2 + COLUMN()-1)</f>
        <v>0</v>
      </c>
    </row>
    <row r="150" spans="2:3" x14ac:dyDescent="0.25">
      <c r="B150" s="172">
        <f t="array" ref="B150">INDEX($A:$A, (ROW()-1)*2 + COLUMN()-1)</f>
        <v>0</v>
      </c>
      <c r="C150" s="172">
        <f t="array" ref="C150">INDEX($A:$A, (ROW()-1)*2 + COLUMN()-1)</f>
        <v>0</v>
      </c>
    </row>
    <row r="151" spans="2:3" x14ac:dyDescent="0.25">
      <c r="B151" s="172">
        <f t="array" ref="B151">INDEX($A:$A, (ROW()-1)*2 + COLUMN()-1)</f>
        <v>0</v>
      </c>
      <c r="C151" s="172">
        <f t="array" ref="C151">INDEX($A:$A, (ROW()-1)*2 + COLUMN()-1)</f>
        <v>0</v>
      </c>
    </row>
    <row r="152" spans="2:3" x14ac:dyDescent="0.25">
      <c r="B152" s="172">
        <f t="array" ref="B152">INDEX($A:$A, (ROW()-1)*2 + COLUMN()-1)</f>
        <v>0</v>
      </c>
      <c r="C152" s="172">
        <f t="array" ref="C152">INDEX($A:$A, (ROW()-1)*2 + COLUMN()-1)</f>
        <v>0</v>
      </c>
    </row>
    <row r="153" spans="2:3" x14ac:dyDescent="0.25">
      <c r="B153" s="172">
        <f t="array" ref="B153">INDEX($A:$A, (ROW()-1)*2 + COLUMN()-1)</f>
        <v>0</v>
      </c>
      <c r="C153" s="172">
        <f t="array" ref="C153">INDEX($A:$A, (ROW()-1)*2 + COLUMN()-1)</f>
        <v>0</v>
      </c>
    </row>
    <row r="154" spans="2:3" x14ac:dyDescent="0.25">
      <c r="B154" s="172">
        <f t="array" ref="B154">INDEX($A:$A, (ROW()-1)*2 + COLUMN()-1)</f>
        <v>0</v>
      </c>
      <c r="C154" s="172">
        <f t="array" ref="C154">INDEX($A:$A, (ROW()-1)*2 + COLUMN()-1)</f>
        <v>0</v>
      </c>
    </row>
    <row r="155" spans="2:3" x14ac:dyDescent="0.25">
      <c r="B155" s="172">
        <f t="array" ref="B155">INDEX($A:$A, (ROW()-1)*2 + COLUMN()-1)</f>
        <v>0</v>
      </c>
      <c r="C155" s="172">
        <f t="array" ref="C155">INDEX($A:$A, (ROW()-1)*2 + COLUMN()-1)</f>
        <v>0</v>
      </c>
    </row>
    <row r="156" spans="2:3" x14ac:dyDescent="0.25">
      <c r="B156" s="172">
        <f t="array" ref="B156">INDEX($A:$A, (ROW()-1)*2 + COLUMN()-1)</f>
        <v>0</v>
      </c>
      <c r="C156" s="172">
        <f t="array" ref="C156">INDEX($A:$A, (ROW()-1)*2 + COLUMN()-1)</f>
        <v>0</v>
      </c>
    </row>
    <row r="157" spans="2:3" x14ac:dyDescent="0.25">
      <c r="B157" s="172">
        <f t="array" ref="B157">INDEX($A:$A, (ROW()-1)*2 + COLUMN()-1)</f>
        <v>0</v>
      </c>
      <c r="C157" s="172">
        <f t="array" ref="C157">INDEX($A:$A, (ROW()-1)*2 + COLUMN()-1)</f>
        <v>0</v>
      </c>
    </row>
    <row r="158" spans="2:3" x14ac:dyDescent="0.25">
      <c r="B158" s="172">
        <f t="array" ref="B158">INDEX($A:$A, (ROW()-1)*2 + COLUMN()-1)</f>
        <v>0</v>
      </c>
      <c r="C158" s="172">
        <f t="array" ref="C158">INDEX($A:$A, (ROW()-1)*2 + COLUMN()-1)</f>
        <v>0</v>
      </c>
    </row>
    <row r="159" spans="2:3" x14ac:dyDescent="0.25">
      <c r="B159" s="172">
        <f t="array" ref="B159">INDEX($A:$A, (ROW()-1)*2 + COLUMN()-1)</f>
        <v>0</v>
      </c>
      <c r="C159" s="172">
        <f t="array" ref="C159">INDEX($A:$A, (ROW()-1)*2 + COLUMN()-1)</f>
        <v>0</v>
      </c>
    </row>
    <row r="160" spans="2:3" x14ac:dyDescent="0.25">
      <c r="B160" s="172">
        <f t="array" ref="B160">INDEX($A:$A, (ROW()-1)*2 + COLUMN()-1)</f>
        <v>0</v>
      </c>
      <c r="C160" s="172">
        <f t="array" ref="C160">INDEX($A:$A, (ROW()-1)*2 + COLUMN()-1)</f>
        <v>0</v>
      </c>
    </row>
    <row r="161" spans="2:3" x14ac:dyDescent="0.25">
      <c r="B161" s="172">
        <f t="array" ref="B161">INDEX($A:$A, (ROW()-1)*2 + COLUMN()-1)</f>
        <v>0</v>
      </c>
      <c r="C161" s="172">
        <f t="array" ref="C161">INDEX($A:$A, (ROW()-1)*2 + COLUMN()-1)</f>
        <v>0</v>
      </c>
    </row>
    <row r="162" spans="2:3" x14ac:dyDescent="0.25">
      <c r="B162" s="172">
        <f t="array" ref="B162">INDEX($A:$A, (ROW()-1)*2 + COLUMN()-1)</f>
        <v>0</v>
      </c>
      <c r="C162" s="172">
        <f t="array" ref="C162">INDEX($A:$A, (ROW()-1)*2 + COLUMN()-1)</f>
        <v>0</v>
      </c>
    </row>
    <row r="163" spans="2:3" x14ac:dyDescent="0.25">
      <c r="B163" s="172">
        <f t="array" ref="B163">INDEX($A:$A, (ROW()-1)*2 + COLUMN()-1)</f>
        <v>0</v>
      </c>
      <c r="C163" s="172">
        <f t="array" ref="C163">INDEX($A:$A, (ROW()-1)*2 + COLUMN()-1)</f>
        <v>0</v>
      </c>
    </row>
    <row r="164" spans="2:3" x14ac:dyDescent="0.25">
      <c r="B164" s="172">
        <f t="array" ref="B164">INDEX($A:$A, (ROW()-1)*2 + COLUMN()-1)</f>
        <v>0</v>
      </c>
      <c r="C164" s="172">
        <f t="array" ref="C164">INDEX($A:$A, (ROW()-1)*2 + COLUMN()-1)</f>
        <v>0</v>
      </c>
    </row>
    <row r="165" spans="2:3" x14ac:dyDescent="0.25">
      <c r="B165" s="172">
        <f t="array" ref="B165">INDEX($A:$A, (ROW()-1)*2 + COLUMN()-1)</f>
        <v>0</v>
      </c>
      <c r="C165" s="172">
        <f t="array" ref="C165">INDEX($A:$A, (ROW()-1)*2 + COLUMN()-1)</f>
        <v>0</v>
      </c>
    </row>
    <row r="166" spans="2:3" x14ac:dyDescent="0.25">
      <c r="B166" s="172">
        <f t="array" ref="B166">INDEX($A:$A, (ROW()-1)*2 + COLUMN()-1)</f>
        <v>0</v>
      </c>
      <c r="C166" s="172">
        <f t="array" ref="C166">INDEX($A:$A, (ROW()-1)*2 + COLUMN()-1)</f>
        <v>0</v>
      </c>
    </row>
    <row r="167" spans="2:3" x14ac:dyDescent="0.25">
      <c r="B167" s="172">
        <f t="array" ref="B167">INDEX($A:$A, (ROW()-1)*2 + COLUMN()-1)</f>
        <v>0</v>
      </c>
      <c r="C167" s="172">
        <f t="array" ref="C167">INDEX($A:$A, (ROW()-1)*2 + COLUMN()-1)</f>
        <v>0</v>
      </c>
    </row>
    <row r="168" spans="2:3" x14ac:dyDescent="0.25">
      <c r="B168" s="172">
        <f t="array" ref="B168">INDEX($A:$A, (ROW()-1)*2 + COLUMN()-1)</f>
        <v>0</v>
      </c>
      <c r="C168" s="172">
        <f t="array" ref="C168">INDEX($A:$A, (ROW()-1)*2 + COLUMN()-1)</f>
        <v>0</v>
      </c>
    </row>
    <row r="169" spans="2:3" x14ac:dyDescent="0.25">
      <c r="B169" s="172">
        <f t="array" ref="B169">INDEX($A:$A, (ROW()-1)*2 + COLUMN()-1)</f>
        <v>0</v>
      </c>
      <c r="C169" s="172">
        <f t="array" ref="C169">INDEX($A:$A, (ROW()-1)*2 + COLUMN()-1)</f>
        <v>0</v>
      </c>
    </row>
    <row r="170" spans="2:3" x14ac:dyDescent="0.25">
      <c r="B170" s="172">
        <f t="array" ref="B170">INDEX($A:$A, (ROW()-1)*2 + COLUMN()-1)</f>
        <v>0</v>
      </c>
      <c r="C170" s="172">
        <f t="array" ref="C170">INDEX($A:$A, (ROW()-1)*2 + COLUMN()-1)</f>
        <v>0</v>
      </c>
    </row>
    <row r="171" spans="2:3" x14ac:dyDescent="0.25">
      <c r="B171" s="172">
        <f t="array" ref="B171">INDEX($A:$A, (ROW()-1)*2 + COLUMN()-1)</f>
        <v>0</v>
      </c>
      <c r="C171" s="172">
        <f t="array" ref="C171">INDEX($A:$A, (ROW()-1)*2 + COLUMN()-1)</f>
        <v>0</v>
      </c>
    </row>
    <row r="172" spans="2:3" x14ac:dyDescent="0.25">
      <c r="B172" s="172">
        <f t="array" ref="B172">INDEX($A:$A, (ROW()-1)*2 + COLUMN()-1)</f>
        <v>0</v>
      </c>
      <c r="C172" s="172">
        <f t="array" ref="C172">INDEX($A:$A, (ROW()-1)*2 + COLUMN()-1)</f>
        <v>0</v>
      </c>
    </row>
    <row r="173" spans="2:3" x14ac:dyDescent="0.25">
      <c r="B173" s="172">
        <f t="array" ref="B173">INDEX($A:$A, (ROW()-1)*2 + COLUMN()-1)</f>
        <v>0</v>
      </c>
      <c r="C173" s="172">
        <f t="array" ref="C173">INDEX($A:$A, (ROW()-1)*2 + COLUMN()-1)</f>
        <v>0</v>
      </c>
    </row>
    <row r="174" spans="2:3" x14ac:dyDescent="0.25">
      <c r="B174" s="172">
        <f t="array" ref="B174">INDEX($A:$A, (ROW()-1)*2 + COLUMN()-1)</f>
        <v>0</v>
      </c>
      <c r="C174" s="172">
        <f t="array" ref="C174">INDEX($A:$A, (ROW()-1)*2 + COLUMN()-1)</f>
        <v>0</v>
      </c>
    </row>
    <row r="175" spans="2:3" x14ac:dyDescent="0.25">
      <c r="B175" s="172">
        <f t="array" ref="B175">INDEX($A:$A, (ROW()-1)*2 + COLUMN()-1)</f>
        <v>0</v>
      </c>
      <c r="C175" s="172">
        <f t="array" ref="C175">INDEX($A:$A, (ROW()-1)*2 + COLUMN()-1)</f>
        <v>0</v>
      </c>
    </row>
    <row r="176" spans="2:3" x14ac:dyDescent="0.25">
      <c r="B176" s="172">
        <f t="array" ref="B176">INDEX($A:$A, (ROW()-1)*2 + COLUMN()-1)</f>
        <v>0</v>
      </c>
      <c r="C176" s="172">
        <f t="array" ref="C176">INDEX($A:$A, (ROW()-1)*2 + COLUMN()-1)</f>
        <v>0</v>
      </c>
    </row>
    <row r="177" spans="2:3" x14ac:dyDescent="0.25">
      <c r="B177" s="172">
        <f t="array" ref="B177">INDEX($A:$A, (ROW()-1)*2 + COLUMN()-1)</f>
        <v>0</v>
      </c>
      <c r="C177" s="172">
        <f t="array" ref="C177">INDEX($A:$A, (ROW()-1)*2 + COLUMN()-1)</f>
        <v>0</v>
      </c>
    </row>
    <row r="178" spans="2:3" x14ac:dyDescent="0.25">
      <c r="B178" s="172">
        <f t="array" ref="B178">INDEX($A:$A, (ROW()-1)*2 + COLUMN()-1)</f>
        <v>0</v>
      </c>
      <c r="C178" s="172">
        <f t="array" ref="C178">INDEX($A:$A, (ROW()-1)*2 + COLUMN()-1)</f>
        <v>0</v>
      </c>
    </row>
    <row r="179" spans="2:3" x14ac:dyDescent="0.25">
      <c r="B179" s="172">
        <f t="array" ref="B179">INDEX($A:$A, (ROW()-1)*2 + COLUMN()-1)</f>
        <v>0</v>
      </c>
      <c r="C179" s="172">
        <f t="array" ref="C179">INDEX($A:$A, (ROW()-1)*2 + COLUMN()-1)</f>
        <v>0</v>
      </c>
    </row>
    <row r="180" spans="2:3" x14ac:dyDescent="0.25">
      <c r="B180" s="172">
        <f t="array" ref="B180">INDEX($A:$A, (ROW()-1)*2 + COLUMN()-1)</f>
        <v>0</v>
      </c>
      <c r="C180" s="172">
        <f t="array" ref="C180">INDEX($A:$A, (ROW()-1)*2 + COLUMN()-1)</f>
        <v>0</v>
      </c>
    </row>
    <row r="181" spans="2:3" x14ac:dyDescent="0.25">
      <c r="B181" s="172">
        <f t="array" ref="B181">INDEX($A:$A, (ROW()-1)*2 + COLUMN()-1)</f>
        <v>0</v>
      </c>
      <c r="C181" s="172">
        <f t="array" ref="C181">INDEX($A:$A, (ROW()-1)*2 + COLUMN()-1)</f>
        <v>0</v>
      </c>
    </row>
    <row r="182" spans="2:3" x14ac:dyDescent="0.25">
      <c r="B182" s="172">
        <f t="array" ref="B182">INDEX($A:$A, (ROW()-1)*2 + COLUMN()-1)</f>
        <v>0</v>
      </c>
      <c r="C182" s="172">
        <f t="array" ref="C182">INDEX($A:$A, (ROW()-1)*2 + COLUMN()-1)</f>
        <v>0</v>
      </c>
    </row>
    <row r="183" spans="2:3" x14ac:dyDescent="0.25">
      <c r="B183" s="172">
        <f t="array" ref="B183">INDEX($A:$A, (ROW()-1)*2 + COLUMN()-1)</f>
        <v>0</v>
      </c>
      <c r="C183" s="172">
        <f t="array" ref="C183">INDEX($A:$A, (ROW()-1)*2 + COLUMN()-1)</f>
        <v>0</v>
      </c>
    </row>
    <row r="184" spans="2:3" x14ac:dyDescent="0.25">
      <c r="B184" s="172">
        <f t="array" ref="B184">INDEX($A:$A, (ROW()-1)*2 + COLUMN()-1)</f>
        <v>0</v>
      </c>
      <c r="C184" s="172">
        <f t="array" ref="C184">INDEX($A:$A, (ROW()-1)*2 + COLUMN()-1)</f>
        <v>0</v>
      </c>
    </row>
    <row r="185" spans="2:3" x14ac:dyDescent="0.25">
      <c r="B185" s="172">
        <f t="array" ref="B185">INDEX($A:$A, (ROW()-1)*2 + COLUMN()-1)</f>
        <v>0</v>
      </c>
      <c r="C185" s="172">
        <f t="array" ref="C185">INDEX($A:$A, (ROW()-1)*2 + COLUMN()-1)</f>
        <v>0</v>
      </c>
    </row>
    <row r="186" spans="2:3" x14ac:dyDescent="0.25">
      <c r="B186" s="172">
        <f t="array" ref="B186">INDEX($A:$A, (ROW()-1)*2 + COLUMN()-1)</f>
        <v>0</v>
      </c>
      <c r="C186" s="172">
        <f t="array" ref="C186">INDEX($A:$A, (ROW()-1)*2 + COLUMN()-1)</f>
        <v>0</v>
      </c>
    </row>
    <row r="187" spans="2:3" x14ac:dyDescent="0.25">
      <c r="B187" s="172">
        <f t="array" ref="B187">INDEX($A:$A, (ROW()-1)*2 + COLUMN()-1)</f>
        <v>0</v>
      </c>
      <c r="C187" s="172">
        <f t="array" ref="C187">INDEX($A:$A, (ROW()-1)*2 + COLUMN()-1)</f>
        <v>0</v>
      </c>
    </row>
    <row r="188" spans="2:3" x14ac:dyDescent="0.25">
      <c r="B188" s="172">
        <f t="array" ref="B188">INDEX($A:$A, (ROW()-1)*2 + COLUMN()-1)</f>
        <v>0</v>
      </c>
      <c r="C188" s="172">
        <f t="array" ref="C188">INDEX($A:$A, (ROW()-1)*2 + COLUMN()-1)</f>
        <v>0</v>
      </c>
    </row>
    <row r="189" spans="2:3" x14ac:dyDescent="0.25">
      <c r="B189" s="172">
        <f t="array" ref="B189">INDEX($A:$A, (ROW()-1)*2 + COLUMN()-1)</f>
        <v>0</v>
      </c>
      <c r="C189" s="172">
        <f t="array" ref="C189">INDEX($A:$A, (ROW()-1)*2 + COLUMN()-1)</f>
        <v>0</v>
      </c>
    </row>
    <row r="190" spans="2:3" x14ac:dyDescent="0.25">
      <c r="B190" s="172">
        <f t="array" ref="B190">INDEX($A:$A, (ROW()-1)*2 + COLUMN()-1)</f>
        <v>0</v>
      </c>
      <c r="C190" s="172">
        <f t="array" ref="C190">INDEX($A:$A, (ROW()-1)*2 + COLUMN()-1)</f>
        <v>0</v>
      </c>
    </row>
    <row r="191" spans="2:3" x14ac:dyDescent="0.25">
      <c r="B191" s="172">
        <f t="array" ref="B191">INDEX($A:$A, (ROW()-1)*2 + COLUMN()-1)</f>
        <v>0</v>
      </c>
      <c r="C191" s="172">
        <f t="array" ref="C191">INDEX($A:$A, (ROW()-1)*2 + COLUMN()-1)</f>
        <v>0</v>
      </c>
    </row>
    <row r="192" spans="2:3" x14ac:dyDescent="0.25">
      <c r="B192" s="172">
        <f t="array" ref="B192">INDEX($A:$A, (ROW()-1)*2 + COLUMN()-1)</f>
        <v>0</v>
      </c>
      <c r="C192" s="172">
        <f t="array" ref="C192">INDEX($A:$A, (ROW()-1)*2 + COLUMN()-1)</f>
        <v>0</v>
      </c>
    </row>
    <row r="193" spans="2:3" x14ac:dyDescent="0.25">
      <c r="B193" s="172">
        <f t="array" ref="B193">INDEX($A:$A, (ROW()-1)*2 + COLUMN()-1)</f>
        <v>0</v>
      </c>
      <c r="C193" s="172">
        <f t="array" ref="C193">INDEX($A:$A, (ROW()-1)*2 + COLUMN()-1)</f>
        <v>0</v>
      </c>
    </row>
    <row r="194" spans="2:3" x14ac:dyDescent="0.25">
      <c r="B194" s="172">
        <f t="array" ref="B194">INDEX($A:$A, (ROW()-1)*2 + COLUMN()-1)</f>
        <v>0</v>
      </c>
      <c r="C194" s="172">
        <f t="array" ref="C194">INDEX($A:$A, (ROW()-1)*2 + COLUMN()-1)</f>
        <v>0</v>
      </c>
    </row>
    <row r="195" spans="2:3" x14ac:dyDescent="0.25">
      <c r="B195" s="172">
        <f t="array" ref="B195">INDEX($A:$A, (ROW()-1)*2 + COLUMN()-1)</f>
        <v>0</v>
      </c>
      <c r="C195" s="172">
        <f t="array" ref="C195">INDEX($A:$A, (ROW()-1)*2 + COLUMN()-1)</f>
        <v>0</v>
      </c>
    </row>
    <row r="196" spans="2:3" x14ac:dyDescent="0.25">
      <c r="B196" s="172">
        <f t="array" ref="B196">INDEX($A:$A, (ROW()-1)*2 + COLUMN()-1)</f>
        <v>0</v>
      </c>
      <c r="C196" s="172">
        <f t="array" ref="C196">INDEX($A:$A, (ROW()-1)*2 + COLUMN()-1)</f>
        <v>0</v>
      </c>
    </row>
    <row r="197" spans="2:3" x14ac:dyDescent="0.25">
      <c r="B197" s="172">
        <f t="array" ref="B197">INDEX($A:$A, (ROW()-1)*2 + COLUMN()-1)</f>
        <v>0</v>
      </c>
      <c r="C197" s="172">
        <f t="array" ref="C197">INDEX($A:$A, (ROW()-1)*2 + COLUMN()-1)</f>
        <v>0</v>
      </c>
    </row>
    <row r="198" spans="2:3" x14ac:dyDescent="0.25">
      <c r="B198" s="172">
        <f t="array" ref="B198">INDEX($A:$A, (ROW()-1)*2 + COLUMN()-1)</f>
        <v>0</v>
      </c>
      <c r="C198" s="172">
        <f t="array" ref="C198">INDEX($A:$A, (ROW()-1)*2 + COLUMN()-1)</f>
        <v>0</v>
      </c>
    </row>
    <row r="199" spans="2:3" x14ac:dyDescent="0.25">
      <c r="B199" s="172">
        <f t="array" ref="B199">INDEX($A:$A, (ROW()-1)*2 + COLUMN()-1)</f>
        <v>0</v>
      </c>
      <c r="C199" s="172">
        <f t="array" ref="C199">INDEX($A:$A, (ROW()-1)*2 + COLUMN()-1)</f>
        <v>0</v>
      </c>
    </row>
    <row r="200" spans="2:3" x14ac:dyDescent="0.25">
      <c r="B200" s="172">
        <f t="array" ref="B200">INDEX($A:$A, (ROW()-1)*2 + COLUMN()-1)</f>
        <v>0</v>
      </c>
      <c r="C200" s="172">
        <f t="array" ref="C200">INDEX($A:$A, (ROW()-1)*2 + COLUMN()-1)</f>
        <v>0</v>
      </c>
    </row>
    <row r="201" spans="2:3" x14ac:dyDescent="0.25">
      <c r="B201" s="172">
        <f t="array" ref="B201">INDEX($A:$A, (ROW()-1)*2 + COLUMN()-1)</f>
        <v>0</v>
      </c>
      <c r="C201" s="172">
        <f t="array" ref="C201">INDEX($A:$A, (ROW()-1)*2 + COLUMN()-1)</f>
        <v>0</v>
      </c>
    </row>
    <row r="202" spans="2:3" x14ac:dyDescent="0.25">
      <c r="B202" s="172">
        <f t="array" ref="B202">INDEX($A:$A, (ROW()-1)*2 + COLUMN()-1)</f>
        <v>0</v>
      </c>
      <c r="C202" s="172">
        <f t="array" ref="C202">INDEX($A:$A, (ROW()-1)*2 + COLUMN()-1)</f>
        <v>0</v>
      </c>
    </row>
    <row r="203" spans="2:3" x14ac:dyDescent="0.25">
      <c r="B203" s="172">
        <f t="array" ref="B203">INDEX($A:$A, (ROW()-1)*2 + COLUMN()-1)</f>
        <v>0</v>
      </c>
      <c r="C203" s="172">
        <f t="array" ref="C203">INDEX($A:$A, (ROW()-1)*2 + COLUMN()-1)</f>
        <v>0</v>
      </c>
    </row>
    <row r="204" spans="2:3" x14ac:dyDescent="0.25">
      <c r="B204" s="172">
        <f t="array" ref="B204">INDEX($A:$A, (ROW()-1)*2 + COLUMN()-1)</f>
        <v>0</v>
      </c>
      <c r="C204" s="172">
        <f t="array" ref="C204">INDEX($A:$A, (ROW()-1)*2 + COLUMN()-1)</f>
        <v>0</v>
      </c>
    </row>
    <row r="205" spans="2:3" x14ac:dyDescent="0.25">
      <c r="B205" s="172">
        <f t="array" ref="B205">INDEX($A:$A, (ROW()-1)*2 + COLUMN()-1)</f>
        <v>0</v>
      </c>
      <c r="C205" s="172">
        <f t="array" ref="C205">INDEX($A:$A, (ROW()-1)*2 + COLUMN()-1)</f>
        <v>0</v>
      </c>
    </row>
    <row r="206" spans="2:3" x14ac:dyDescent="0.25">
      <c r="B206" s="172">
        <f t="array" ref="B206">INDEX($A:$A, (ROW()-1)*2 + COLUMN()-1)</f>
        <v>0</v>
      </c>
      <c r="C206" s="172">
        <f t="array" ref="C206">INDEX($A:$A, (ROW()-1)*2 + COLUMN()-1)</f>
        <v>0</v>
      </c>
    </row>
    <row r="207" spans="2:3" x14ac:dyDescent="0.25">
      <c r="B207" s="172">
        <f t="array" ref="B207">INDEX($A:$A, (ROW()-1)*2 + COLUMN()-1)</f>
        <v>0</v>
      </c>
      <c r="C207" s="172">
        <f t="array" ref="C207">INDEX($A:$A, (ROW()-1)*2 + COLUMN()-1)</f>
        <v>0</v>
      </c>
    </row>
    <row r="208" spans="2:3" x14ac:dyDescent="0.25">
      <c r="B208" s="172">
        <f t="array" ref="B208">INDEX($A:$A, (ROW()-1)*2 + COLUMN()-1)</f>
        <v>0</v>
      </c>
      <c r="C208" s="172">
        <f t="array" ref="C208">INDEX($A:$A, (ROW()-1)*2 + COLUMN()-1)</f>
        <v>0</v>
      </c>
    </row>
    <row r="209" spans="2:3" x14ac:dyDescent="0.25">
      <c r="B209" s="172">
        <f t="array" ref="B209">INDEX($A:$A, (ROW()-1)*2 + COLUMN()-1)</f>
        <v>0</v>
      </c>
      <c r="C209" s="172">
        <f t="array" ref="C209">INDEX($A:$A, (ROW()-1)*2 + COLUMN()-1)</f>
        <v>0</v>
      </c>
    </row>
    <row r="210" spans="2:3" x14ac:dyDescent="0.25">
      <c r="B210" s="172">
        <f t="array" ref="B210">INDEX($A:$A, (ROW()-1)*2 + COLUMN()-1)</f>
        <v>0</v>
      </c>
      <c r="C210" s="172">
        <f t="array" ref="C210">INDEX($A:$A, (ROW()-1)*2 + COLUMN()-1)</f>
        <v>0</v>
      </c>
    </row>
    <row r="211" spans="2:3" x14ac:dyDescent="0.25">
      <c r="B211" s="172">
        <f t="array" ref="B211">INDEX($A:$A, (ROW()-1)*2 + COLUMN()-1)</f>
        <v>0</v>
      </c>
      <c r="C211" s="172">
        <f t="array" ref="C211">INDEX($A:$A, (ROW()-1)*2 + COLUMN()-1)</f>
        <v>0</v>
      </c>
    </row>
    <row r="212" spans="2:3" x14ac:dyDescent="0.25">
      <c r="B212" s="172">
        <f t="array" ref="B212">INDEX($A:$A, (ROW()-1)*2 + COLUMN()-1)</f>
        <v>0</v>
      </c>
      <c r="C212" s="172">
        <f t="array" ref="C212">INDEX($A:$A, (ROW()-1)*2 + COLUMN()-1)</f>
        <v>0</v>
      </c>
    </row>
    <row r="213" spans="2:3" x14ac:dyDescent="0.25">
      <c r="B213" s="172">
        <f t="array" ref="B213">INDEX($A:$A, (ROW()-1)*2 + COLUMN()-1)</f>
        <v>0</v>
      </c>
      <c r="C213" s="172">
        <f t="array" ref="C213">INDEX($A:$A, (ROW()-1)*2 + COLUMN()-1)</f>
        <v>0</v>
      </c>
    </row>
    <row r="214" spans="2:3" x14ac:dyDescent="0.25">
      <c r="B214" s="172">
        <f t="array" ref="B214">INDEX($A:$A, (ROW()-1)*2 + COLUMN()-1)</f>
        <v>0</v>
      </c>
      <c r="C214" s="172">
        <f t="array" ref="C214">INDEX($A:$A, (ROW()-1)*2 + COLUMN()-1)</f>
        <v>0</v>
      </c>
    </row>
    <row r="215" spans="2:3" x14ac:dyDescent="0.25">
      <c r="B215" s="172">
        <f t="array" ref="B215">INDEX($A:$A, (ROW()-1)*2 + COLUMN()-1)</f>
        <v>0</v>
      </c>
      <c r="C215" s="172">
        <f t="array" ref="C215">INDEX($A:$A, (ROW()-1)*2 + COLUMN()-1)</f>
        <v>0</v>
      </c>
    </row>
    <row r="216" spans="2:3" x14ac:dyDescent="0.25">
      <c r="B216" s="172">
        <f t="array" ref="B216">INDEX($A:$A, (ROW()-1)*2 + COLUMN()-1)</f>
        <v>0</v>
      </c>
      <c r="C216" s="172">
        <f t="array" ref="C216">INDEX($A:$A, (ROW()-1)*2 + COLUMN()-1)</f>
        <v>0</v>
      </c>
    </row>
    <row r="217" spans="2:3" x14ac:dyDescent="0.25">
      <c r="B217" s="172">
        <f t="array" ref="B217">INDEX($A:$A, (ROW()-1)*2 + COLUMN()-1)</f>
        <v>0</v>
      </c>
      <c r="C217" s="172">
        <f t="array" ref="C217">INDEX($A:$A, (ROW()-1)*2 + COLUMN()-1)</f>
        <v>0</v>
      </c>
    </row>
    <row r="218" spans="2:3" x14ac:dyDescent="0.25">
      <c r="B218" s="172">
        <f t="array" ref="B218">INDEX($A:$A, (ROW()-1)*2 + COLUMN()-1)</f>
        <v>0</v>
      </c>
      <c r="C218" s="172">
        <f t="array" ref="C218">INDEX($A:$A, (ROW()-1)*2 + COLUMN()-1)</f>
        <v>0</v>
      </c>
    </row>
    <row r="219" spans="2:3" x14ac:dyDescent="0.25">
      <c r="B219" s="172">
        <f t="array" ref="B219">INDEX($A:$A, (ROW()-1)*2 + COLUMN()-1)</f>
        <v>0</v>
      </c>
      <c r="C219" s="172">
        <f t="array" ref="C219">INDEX($A:$A, (ROW()-1)*2 + COLUMN()-1)</f>
        <v>0</v>
      </c>
    </row>
    <row r="220" spans="2:3" x14ac:dyDescent="0.25">
      <c r="B220" s="172">
        <f t="array" ref="B220">INDEX($A:$A, (ROW()-1)*2 + COLUMN()-1)</f>
        <v>0</v>
      </c>
      <c r="C220" s="172">
        <f t="array" ref="C220">INDEX($A:$A, (ROW()-1)*2 + COLUMN()-1)</f>
        <v>0</v>
      </c>
    </row>
    <row r="221" spans="2:3" x14ac:dyDescent="0.25">
      <c r="B221" s="172">
        <f t="array" ref="B221">INDEX($A:$A, (ROW()-1)*2 + COLUMN()-1)</f>
        <v>0</v>
      </c>
      <c r="C221" s="172">
        <f t="array" ref="C221">INDEX($A:$A, (ROW()-1)*2 + COLUMN()-1)</f>
        <v>0</v>
      </c>
    </row>
    <row r="222" spans="2:3" x14ac:dyDescent="0.25">
      <c r="B222" s="172">
        <f t="array" ref="B222">INDEX($A:$A, (ROW()-1)*2 + COLUMN()-1)</f>
        <v>0</v>
      </c>
      <c r="C222" s="172">
        <f t="array" ref="C222">INDEX($A:$A, (ROW()-1)*2 + COLUMN()-1)</f>
        <v>0</v>
      </c>
    </row>
    <row r="223" spans="2:3" x14ac:dyDescent="0.25">
      <c r="B223" s="172">
        <f t="array" ref="B223">INDEX($A:$A, (ROW()-1)*2 + COLUMN()-1)</f>
        <v>0</v>
      </c>
      <c r="C223" s="172">
        <f t="array" ref="C223">INDEX($A:$A, (ROW()-1)*2 + COLUMN()-1)</f>
        <v>0</v>
      </c>
    </row>
    <row r="224" spans="2:3" x14ac:dyDescent="0.25">
      <c r="B224" s="172">
        <f t="array" ref="B224">INDEX($A:$A, (ROW()-1)*2 + COLUMN()-1)</f>
        <v>0</v>
      </c>
      <c r="C224" s="172">
        <f t="array" ref="C224">INDEX($A:$A, (ROW()-1)*2 + COLUMN()-1)</f>
        <v>0</v>
      </c>
    </row>
    <row r="225" spans="2:3" x14ac:dyDescent="0.25">
      <c r="B225" s="172">
        <f t="array" ref="B225">INDEX($A:$A, (ROW()-1)*2 + COLUMN()-1)</f>
        <v>0</v>
      </c>
      <c r="C225" s="172">
        <f t="array" ref="C225">INDEX($A:$A, (ROW()-1)*2 + COLUMN()-1)</f>
        <v>0</v>
      </c>
    </row>
    <row r="226" spans="2:3" x14ac:dyDescent="0.25">
      <c r="B226" s="172">
        <f t="array" ref="B226">INDEX($A:$A, (ROW()-1)*2 + COLUMN()-1)</f>
        <v>0</v>
      </c>
      <c r="C226" s="172">
        <f t="array" ref="C226">INDEX($A:$A, (ROW()-1)*2 + COLUMN()-1)</f>
        <v>0</v>
      </c>
    </row>
    <row r="227" spans="2:3" x14ac:dyDescent="0.25">
      <c r="B227" s="172">
        <f t="array" ref="B227">INDEX($A:$A, (ROW()-1)*2 + COLUMN()-1)</f>
        <v>0</v>
      </c>
      <c r="C227" s="172">
        <f t="array" ref="C227">INDEX($A:$A, (ROW()-1)*2 + COLUMN()-1)</f>
        <v>0</v>
      </c>
    </row>
    <row r="228" spans="2:3" x14ac:dyDescent="0.25">
      <c r="B228" s="172">
        <f t="array" ref="B228">INDEX($A:$A, (ROW()-1)*2 + COLUMN()-1)</f>
        <v>0</v>
      </c>
      <c r="C228" s="172">
        <f t="array" ref="C228">INDEX($A:$A, (ROW()-1)*2 + COLUMN()-1)</f>
        <v>0</v>
      </c>
    </row>
    <row r="229" spans="2:3" x14ac:dyDescent="0.25">
      <c r="B229" s="172">
        <f t="array" ref="B229">INDEX($A:$A, (ROW()-1)*2 + COLUMN()-1)</f>
        <v>0</v>
      </c>
      <c r="C229" s="172">
        <f t="array" ref="C229">INDEX($A:$A, (ROW()-1)*2 + COLUMN()-1)</f>
        <v>0</v>
      </c>
    </row>
    <row r="230" spans="2:3" x14ac:dyDescent="0.25">
      <c r="B230" s="172">
        <f t="array" ref="B230">INDEX($A:$A, (ROW()-1)*2 + COLUMN()-1)</f>
        <v>0</v>
      </c>
      <c r="C230" s="172">
        <f t="array" ref="C230">INDEX($A:$A, (ROW()-1)*2 + COLUMN()-1)</f>
        <v>0</v>
      </c>
    </row>
    <row r="231" spans="2:3" x14ac:dyDescent="0.25">
      <c r="B231" s="172">
        <f t="array" ref="B231">INDEX($A:$A, (ROW()-1)*2 + COLUMN()-1)</f>
        <v>0</v>
      </c>
      <c r="C231" s="172">
        <f t="array" ref="C231">INDEX($A:$A, (ROW()-1)*2 + COLUMN()-1)</f>
        <v>0</v>
      </c>
    </row>
    <row r="232" spans="2:3" x14ac:dyDescent="0.25">
      <c r="B232" s="172">
        <f t="array" ref="B232">INDEX($A:$A, (ROW()-1)*2 + COLUMN()-1)</f>
        <v>0</v>
      </c>
      <c r="C232" s="172">
        <f t="array" ref="C232">INDEX($A:$A, (ROW()-1)*2 + COLUMN()-1)</f>
        <v>0</v>
      </c>
    </row>
    <row r="233" spans="2:3" x14ac:dyDescent="0.25">
      <c r="B233" s="172">
        <f t="array" ref="B233">INDEX($A:$A, (ROW()-1)*2 + COLUMN()-1)</f>
        <v>0</v>
      </c>
      <c r="C233" s="172">
        <f t="array" ref="C233">INDEX($A:$A, (ROW()-1)*2 + COLUMN()-1)</f>
        <v>0</v>
      </c>
    </row>
    <row r="234" spans="2:3" x14ac:dyDescent="0.25">
      <c r="B234" s="172">
        <f t="array" ref="B234">INDEX($A:$A, (ROW()-1)*2 + COLUMN()-1)</f>
        <v>0</v>
      </c>
      <c r="C234" s="172">
        <f t="array" ref="C234">INDEX($A:$A, (ROW()-1)*2 + COLUMN()-1)</f>
        <v>0</v>
      </c>
    </row>
    <row r="235" spans="2:3" x14ac:dyDescent="0.25">
      <c r="B235" s="172">
        <f t="array" ref="B235">INDEX($A:$A, (ROW()-1)*2 + COLUMN()-1)</f>
        <v>0</v>
      </c>
      <c r="C235" s="172">
        <f t="array" ref="C235">INDEX($A:$A, (ROW()-1)*2 + COLUMN()-1)</f>
        <v>0</v>
      </c>
    </row>
    <row r="236" spans="2:3" x14ac:dyDescent="0.25">
      <c r="B236" s="172">
        <f t="array" ref="B236">INDEX($A:$A, (ROW()-1)*2 + COLUMN()-1)</f>
        <v>0</v>
      </c>
      <c r="C236" s="172">
        <f t="array" ref="C236">INDEX($A:$A, (ROW()-1)*2 + COLUMN()-1)</f>
        <v>0</v>
      </c>
    </row>
    <row r="237" spans="2:3" x14ac:dyDescent="0.25">
      <c r="B237" s="172">
        <f t="array" ref="B237">INDEX($A:$A, (ROW()-1)*2 + COLUMN()-1)</f>
        <v>0</v>
      </c>
      <c r="C237" s="172">
        <f t="array" ref="C237">INDEX($A:$A, (ROW()-1)*2 + COLUMN()-1)</f>
        <v>0</v>
      </c>
    </row>
    <row r="238" spans="2:3" x14ac:dyDescent="0.25">
      <c r="B238" s="172">
        <f t="array" ref="B238">INDEX($A:$A, (ROW()-1)*2 + COLUMN()-1)</f>
        <v>0</v>
      </c>
      <c r="C238" s="172">
        <f t="array" ref="C238">INDEX($A:$A, (ROW()-1)*2 + COLUMN()-1)</f>
        <v>0</v>
      </c>
    </row>
    <row r="239" spans="2:3" x14ac:dyDescent="0.25">
      <c r="B239" s="172">
        <f t="array" ref="B239">INDEX($A:$A, (ROW()-1)*2 + COLUMN()-1)</f>
        <v>0</v>
      </c>
      <c r="C239" s="172">
        <f t="array" ref="C239">INDEX($A:$A, (ROW()-1)*2 + COLUMN()-1)</f>
        <v>0</v>
      </c>
    </row>
    <row r="240" spans="2:3" x14ac:dyDescent="0.25">
      <c r="B240" s="172">
        <f t="array" ref="B240">INDEX($A:$A, (ROW()-1)*2 + COLUMN()-1)</f>
        <v>0</v>
      </c>
      <c r="C240" s="172">
        <f t="array" ref="C240">INDEX($A:$A, (ROW()-1)*2 + COLUMN()-1)</f>
        <v>0</v>
      </c>
    </row>
    <row r="241" spans="2:3" x14ac:dyDescent="0.25">
      <c r="B241" s="172">
        <f t="array" ref="B241">INDEX($A:$A, (ROW()-1)*2 + COLUMN()-1)</f>
        <v>0</v>
      </c>
      <c r="C241" s="172">
        <f t="array" ref="C241">INDEX($A:$A, (ROW()-1)*2 + COLUMN()-1)</f>
        <v>0</v>
      </c>
    </row>
    <row r="242" spans="2:3" x14ac:dyDescent="0.25">
      <c r="B242" s="172">
        <f t="array" ref="B242">INDEX($A:$A, (ROW()-1)*2 + COLUMN()-1)</f>
        <v>0</v>
      </c>
      <c r="C242" s="172">
        <f t="array" ref="C242">INDEX($A:$A, (ROW()-1)*2 + COLUMN()-1)</f>
        <v>0</v>
      </c>
    </row>
    <row r="243" spans="2:3" x14ac:dyDescent="0.25">
      <c r="B243" s="172">
        <f t="array" ref="B243">INDEX($A:$A, (ROW()-1)*2 + COLUMN()-1)</f>
        <v>0</v>
      </c>
      <c r="C243" s="172">
        <f t="array" ref="C243">INDEX($A:$A, (ROW()-1)*2 + COLUMN()-1)</f>
        <v>0</v>
      </c>
    </row>
    <row r="244" spans="2:3" x14ac:dyDescent="0.25">
      <c r="B244" s="172">
        <f t="array" ref="B244">INDEX($A:$A, (ROW()-1)*2 + COLUMN()-1)</f>
        <v>0</v>
      </c>
      <c r="C244" s="172">
        <f t="array" ref="C244">INDEX($A:$A, (ROW()-1)*2 + COLUMN()-1)</f>
        <v>0</v>
      </c>
    </row>
    <row r="245" spans="2:3" x14ac:dyDescent="0.25">
      <c r="B245" s="172">
        <f t="array" ref="B245">INDEX($A:$A, (ROW()-1)*2 + COLUMN()-1)</f>
        <v>0</v>
      </c>
      <c r="C245" s="172">
        <f t="array" ref="C245">INDEX($A:$A, (ROW()-1)*2 + COLUMN()-1)</f>
        <v>0</v>
      </c>
    </row>
    <row r="246" spans="2:3" x14ac:dyDescent="0.25">
      <c r="B246" s="172">
        <f t="array" ref="B246">INDEX($A:$A, (ROW()-1)*2 + COLUMN()-1)</f>
        <v>0</v>
      </c>
      <c r="C246" s="172">
        <f t="array" ref="C246">INDEX($A:$A, (ROW()-1)*2 + COLUMN()-1)</f>
        <v>0</v>
      </c>
    </row>
    <row r="247" spans="2:3" x14ac:dyDescent="0.25">
      <c r="B247" s="172">
        <f t="array" ref="B247">INDEX($A:$A, (ROW()-1)*2 + COLUMN()-1)</f>
        <v>0</v>
      </c>
      <c r="C247" s="172">
        <f t="array" ref="C247">INDEX($A:$A, (ROW()-1)*2 + COLUMN()-1)</f>
        <v>0</v>
      </c>
    </row>
    <row r="248" spans="2:3" x14ac:dyDescent="0.25">
      <c r="B248" s="172">
        <f t="array" ref="B248">INDEX($A:$A, (ROW()-1)*2 + COLUMN()-1)</f>
        <v>0</v>
      </c>
      <c r="C248" s="172">
        <f t="array" ref="C248">INDEX($A:$A, (ROW()-1)*2 + COLUMN()-1)</f>
        <v>0</v>
      </c>
    </row>
    <row r="249" spans="2:3" x14ac:dyDescent="0.25">
      <c r="B249" s="172">
        <f t="array" ref="B249">INDEX($A:$A, (ROW()-1)*2 + COLUMN()-1)</f>
        <v>0</v>
      </c>
      <c r="C249" s="172">
        <f t="array" ref="C249">INDEX($A:$A, (ROW()-1)*2 + COLUMN()-1)</f>
        <v>0</v>
      </c>
    </row>
    <row r="250" spans="2:3" x14ac:dyDescent="0.25">
      <c r="B250" s="172">
        <f t="array" ref="B250">INDEX($A:$A, (ROW()-1)*2 + COLUMN()-1)</f>
        <v>0</v>
      </c>
      <c r="C250" s="172">
        <f t="array" ref="C250">INDEX($A:$A, (ROW()-1)*2 + COLUMN()-1)</f>
        <v>0</v>
      </c>
    </row>
    <row r="251" spans="2:3" x14ac:dyDescent="0.25">
      <c r="B251" s="172">
        <f t="array" ref="B251">INDEX($A:$A, (ROW()-1)*2 + COLUMN()-1)</f>
        <v>0</v>
      </c>
      <c r="C251" s="172">
        <f t="array" ref="C251">INDEX($A:$A, (ROW()-1)*2 + COLUMN()-1)</f>
        <v>0</v>
      </c>
    </row>
    <row r="252" spans="2:3" x14ac:dyDescent="0.25">
      <c r="B252" s="172">
        <f t="array" ref="B252">INDEX($A:$A, (ROW()-1)*2 + COLUMN()-1)</f>
        <v>0</v>
      </c>
      <c r="C252" s="172">
        <f t="array" ref="C252">INDEX($A:$A, (ROW()-1)*2 + COLUMN()-1)</f>
        <v>0</v>
      </c>
    </row>
    <row r="253" spans="2:3" x14ac:dyDescent="0.25">
      <c r="B253" s="172">
        <f t="array" ref="B253">INDEX($A:$A, (ROW()-1)*2 + COLUMN()-1)</f>
        <v>0</v>
      </c>
      <c r="C253" s="172">
        <f t="array" ref="C253">INDEX($A:$A, (ROW()-1)*2 + COLUMN()-1)</f>
        <v>0</v>
      </c>
    </row>
    <row r="254" spans="2:3" x14ac:dyDescent="0.25">
      <c r="B254" s="172">
        <f t="array" ref="B254">INDEX($A:$A, (ROW()-1)*2 + COLUMN()-1)</f>
        <v>0</v>
      </c>
      <c r="C254" s="172">
        <f t="array" ref="C254">INDEX($A:$A, (ROW()-1)*2 + COLUMN()-1)</f>
        <v>0</v>
      </c>
    </row>
    <row r="255" spans="2:3" x14ac:dyDescent="0.25">
      <c r="B255" s="172">
        <f t="array" ref="B255">INDEX($A:$A, (ROW()-1)*2 + COLUMN()-1)</f>
        <v>0</v>
      </c>
      <c r="C255" s="172">
        <f t="array" ref="C255">INDEX($A:$A, (ROW()-1)*2 + COLUMN()-1)</f>
        <v>0</v>
      </c>
    </row>
    <row r="256" spans="2:3" x14ac:dyDescent="0.25">
      <c r="B256" s="172">
        <f t="array" ref="B256">INDEX($A:$A, (ROW()-1)*2 + COLUMN()-1)</f>
        <v>0</v>
      </c>
      <c r="C256" s="172">
        <f t="array" ref="C256">INDEX($A:$A, (ROW()-1)*2 + COLUMN()-1)</f>
        <v>0</v>
      </c>
    </row>
    <row r="257" spans="2:3" x14ac:dyDescent="0.25">
      <c r="B257" s="172">
        <f t="array" ref="B257">INDEX($A:$A, (ROW()-1)*2 + COLUMN()-1)</f>
        <v>0</v>
      </c>
      <c r="C257" s="172">
        <f t="array" ref="C257">INDEX($A:$A, (ROW()-1)*2 + COLUMN()-1)</f>
        <v>0</v>
      </c>
    </row>
    <row r="258" spans="2:3" x14ac:dyDescent="0.25">
      <c r="B258" s="172">
        <f t="array" ref="B258">INDEX($A:$A, (ROW()-1)*2 + COLUMN()-1)</f>
        <v>0</v>
      </c>
      <c r="C258" s="172">
        <f t="array" ref="C258">INDEX($A:$A, (ROW()-1)*2 + COLUMN()-1)</f>
        <v>0</v>
      </c>
    </row>
    <row r="259" spans="2:3" x14ac:dyDescent="0.25">
      <c r="B259" s="172">
        <f t="array" ref="B259">INDEX($A:$A, (ROW()-1)*2 + COLUMN()-1)</f>
        <v>0</v>
      </c>
      <c r="C259" s="172">
        <f t="array" ref="C259">INDEX($A:$A, (ROW()-1)*2 + COLUMN()-1)</f>
        <v>0</v>
      </c>
    </row>
    <row r="260" spans="2:3" x14ac:dyDescent="0.25">
      <c r="B260" s="172">
        <f t="array" ref="B260">INDEX($A:$A, (ROW()-1)*2 + COLUMN()-1)</f>
        <v>0</v>
      </c>
      <c r="C260" s="172">
        <f t="array" ref="C260">INDEX($A:$A, (ROW()-1)*2 + COLUMN()-1)</f>
        <v>0</v>
      </c>
    </row>
    <row r="261" spans="2:3" x14ac:dyDescent="0.25">
      <c r="B261" s="172">
        <f t="array" ref="B261">INDEX($A:$A, (ROW()-1)*2 + COLUMN()-1)</f>
        <v>0</v>
      </c>
      <c r="C261" s="172">
        <f t="array" ref="C261">INDEX($A:$A, (ROW()-1)*2 + COLUMN()-1)</f>
        <v>0</v>
      </c>
    </row>
    <row r="262" spans="2:3" x14ac:dyDescent="0.25">
      <c r="B262" s="172">
        <f t="array" ref="B262">INDEX($A:$A, (ROW()-1)*2 + COLUMN()-1)</f>
        <v>0</v>
      </c>
      <c r="C262" s="172">
        <f t="array" ref="C262">INDEX($A:$A, (ROW()-1)*2 + COLUMN()-1)</f>
        <v>0</v>
      </c>
    </row>
    <row r="263" spans="2:3" x14ac:dyDescent="0.25">
      <c r="B263" s="172">
        <f t="array" ref="B263">INDEX($A:$A, (ROW()-1)*2 + COLUMN()-1)</f>
        <v>0</v>
      </c>
      <c r="C263" s="172">
        <f t="array" ref="C263">INDEX($A:$A, (ROW()-1)*2 + COLUMN()-1)</f>
        <v>0</v>
      </c>
    </row>
    <row r="264" spans="2:3" x14ac:dyDescent="0.25">
      <c r="B264" s="172">
        <f t="array" ref="B264">INDEX($A:$A, (ROW()-1)*2 + COLUMN()-1)</f>
        <v>0</v>
      </c>
      <c r="C264" s="172">
        <f t="array" ref="C264">INDEX($A:$A, (ROW()-1)*2 + COLUMN()-1)</f>
        <v>0</v>
      </c>
    </row>
    <row r="265" spans="2:3" x14ac:dyDescent="0.25">
      <c r="B265" s="172">
        <f t="array" ref="B265">INDEX($A:$A, (ROW()-1)*2 + COLUMN()-1)</f>
        <v>0</v>
      </c>
      <c r="C265" s="172">
        <f t="array" ref="C265">INDEX($A:$A, (ROW()-1)*2 + COLUMN()-1)</f>
        <v>0</v>
      </c>
    </row>
    <row r="266" spans="2:3" x14ac:dyDescent="0.25">
      <c r="B266" s="172">
        <f t="array" ref="B266">INDEX($A:$A, (ROW()-1)*2 + COLUMN()-1)</f>
        <v>0</v>
      </c>
      <c r="C266" s="172">
        <f t="array" ref="C266">INDEX($A:$A, (ROW()-1)*2 + COLUMN()-1)</f>
        <v>0</v>
      </c>
    </row>
    <row r="267" spans="2:3" x14ac:dyDescent="0.25">
      <c r="B267" s="172">
        <f t="array" ref="B267">INDEX($A:$A, (ROW()-1)*2 + COLUMN()-1)</f>
        <v>0</v>
      </c>
      <c r="C267" s="172">
        <f t="array" ref="C267">INDEX($A:$A, (ROW()-1)*2 + COLUMN()-1)</f>
        <v>0</v>
      </c>
    </row>
    <row r="268" spans="2:3" x14ac:dyDescent="0.25">
      <c r="B268" s="172">
        <f t="array" ref="B268">INDEX($A:$A, (ROW()-1)*2 + COLUMN()-1)</f>
        <v>0</v>
      </c>
      <c r="C268" s="172">
        <f t="array" ref="C268">INDEX($A:$A, (ROW()-1)*2 + COLUMN()-1)</f>
        <v>0</v>
      </c>
    </row>
    <row r="269" spans="2:3" x14ac:dyDescent="0.25">
      <c r="B269" s="172">
        <f t="array" ref="B269">INDEX($A:$A, (ROW()-1)*2 + COLUMN()-1)</f>
        <v>0</v>
      </c>
      <c r="C269" s="172">
        <f t="array" ref="C269">INDEX($A:$A, (ROW()-1)*2 + COLUMN()-1)</f>
        <v>0</v>
      </c>
    </row>
    <row r="270" spans="2:3" x14ac:dyDescent="0.25">
      <c r="B270" s="172">
        <f t="array" ref="B270">INDEX($A:$A, (ROW()-1)*2 + COLUMN()-1)</f>
        <v>0</v>
      </c>
      <c r="C270" s="172">
        <f t="array" ref="C270">INDEX($A:$A, (ROW()-1)*2 + COLUMN()-1)</f>
        <v>0</v>
      </c>
    </row>
    <row r="271" spans="2:3" x14ac:dyDescent="0.25">
      <c r="B271" s="172">
        <f t="array" ref="B271">INDEX($A:$A, (ROW()-1)*2 + COLUMN()-1)</f>
        <v>0</v>
      </c>
      <c r="C271" s="172">
        <f t="array" ref="C271">INDEX($A:$A, (ROW()-1)*2 + COLUMN()-1)</f>
        <v>0</v>
      </c>
    </row>
    <row r="272" spans="2:3" x14ac:dyDescent="0.25">
      <c r="B272" s="172">
        <f t="array" ref="B272">INDEX($A:$A, (ROW()-1)*2 + COLUMN()-1)</f>
        <v>0</v>
      </c>
      <c r="C272" s="172">
        <f t="array" ref="C272">INDEX($A:$A, (ROW()-1)*2 + COLUMN()-1)</f>
        <v>0</v>
      </c>
    </row>
    <row r="273" spans="2:3" x14ac:dyDescent="0.25">
      <c r="B273" s="172">
        <f t="array" ref="B273">INDEX($A:$A, (ROW()-1)*2 + COLUMN()-1)</f>
        <v>0</v>
      </c>
      <c r="C273" s="172">
        <f t="array" ref="C273">INDEX($A:$A, (ROW()-1)*2 + COLUMN()-1)</f>
        <v>0</v>
      </c>
    </row>
    <row r="274" spans="2:3" x14ac:dyDescent="0.25">
      <c r="B274" s="172">
        <f t="array" ref="B274">INDEX($A:$A, (ROW()-1)*2 + COLUMN()-1)</f>
        <v>0</v>
      </c>
      <c r="C274" s="172">
        <f t="array" ref="C274">INDEX($A:$A, (ROW()-1)*2 + COLUMN()-1)</f>
        <v>0</v>
      </c>
    </row>
    <row r="275" spans="2:3" x14ac:dyDescent="0.25">
      <c r="B275" s="172">
        <f t="array" ref="B275">INDEX($A:$A, (ROW()-1)*2 + COLUMN()-1)</f>
        <v>0</v>
      </c>
      <c r="C275" s="172">
        <f t="array" ref="C275">INDEX($A:$A, (ROW()-1)*2 + COLUMN()-1)</f>
        <v>0</v>
      </c>
    </row>
    <row r="276" spans="2:3" x14ac:dyDescent="0.25">
      <c r="B276" s="172">
        <f t="array" ref="B276">INDEX($A:$A, (ROW()-1)*2 + COLUMN()-1)</f>
        <v>0</v>
      </c>
      <c r="C276" s="172">
        <f t="array" ref="C276">INDEX($A:$A, (ROW()-1)*2 + COLUMN()-1)</f>
        <v>0</v>
      </c>
    </row>
    <row r="277" spans="2:3" x14ac:dyDescent="0.25">
      <c r="B277" s="172">
        <f t="array" ref="B277">INDEX($A:$A, (ROW()-1)*2 + COLUMN()-1)</f>
        <v>0</v>
      </c>
      <c r="C277" s="172">
        <f t="array" ref="C277">INDEX($A:$A, (ROW()-1)*2 + COLUMN()-1)</f>
        <v>0</v>
      </c>
    </row>
    <row r="278" spans="2:3" x14ac:dyDescent="0.25">
      <c r="B278" s="172">
        <f t="array" ref="B278">INDEX($A:$A, (ROW()-1)*2 + COLUMN()-1)</f>
        <v>0</v>
      </c>
      <c r="C278" s="172">
        <f t="array" ref="C278">INDEX($A:$A, (ROW()-1)*2 + COLUMN()-1)</f>
        <v>0</v>
      </c>
    </row>
    <row r="279" spans="2:3" x14ac:dyDescent="0.25">
      <c r="B279" s="172">
        <f t="array" ref="B279">INDEX($A:$A, (ROW()-1)*2 + COLUMN()-1)</f>
        <v>0</v>
      </c>
      <c r="C279" s="172">
        <f t="array" ref="C279">INDEX($A:$A, (ROW()-1)*2 + COLUMN()-1)</f>
        <v>0</v>
      </c>
    </row>
    <row r="280" spans="2:3" x14ac:dyDescent="0.25">
      <c r="B280" s="172">
        <f t="array" ref="B280">INDEX($A:$A, (ROW()-1)*2 + COLUMN()-1)</f>
        <v>0</v>
      </c>
      <c r="C280" s="172">
        <f t="array" ref="C280">INDEX($A:$A, (ROW()-1)*2 + COLUMN()-1)</f>
        <v>0</v>
      </c>
    </row>
    <row r="281" spans="2:3" x14ac:dyDescent="0.25">
      <c r="B281" s="172">
        <f t="array" ref="B281">INDEX($A:$A, (ROW()-1)*2 + COLUMN()-1)</f>
        <v>0</v>
      </c>
      <c r="C281" s="172">
        <f t="array" ref="C281">INDEX($A:$A, (ROW()-1)*2 + COLUMN()-1)</f>
        <v>0</v>
      </c>
    </row>
    <row r="282" spans="2:3" x14ac:dyDescent="0.25">
      <c r="B282" s="172">
        <f t="array" ref="B282">INDEX($A:$A, (ROW()-1)*2 + COLUMN()-1)</f>
        <v>0</v>
      </c>
      <c r="C282" s="172">
        <f t="array" ref="C282">INDEX($A:$A, (ROW()-1)*2 + COLUMN()-1)</f>
        <v>0</v>
      </c>
    </row>
    <row r="283" spans="2:3" x14ac:dyDescent="0.25">
      <c r="B283" s="172">
        <f t="array" ref="B283">INDEX($A:$A, (ROW()-1)*2 + COLUMN()-1)</f>
        <v>0</v>
      </c>
      <c r="C283" s="172">
        <f t="array" ref="C283">INDEX($A:$A, (ROW()-1)*2 + COLUMN()-1)</f>
        <v>0</v>
      </c>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0" width="9.140625" style="1" customWidth="1"/>
    <col min="11" max="16384" width="9.140625" style="1"/>
  </cols>
  <sheetData>
    <row r="1" spans="1:4" ht="31.5" customHeight="1" x14ac:dyDescent="0.25">
      <c r="A1" s="58" t="s">
        <v>55</v>
      </c>
      <c r="B1" s="54" t="s">
        <v>3062</v>
      </c>
      <c r="C1" s="55" t="s">
        <v>3063</v>
      </c>
      <c r="D1" s="56" t="s">
        <v>1917</v>
      </c>
    </row>
    <row r="2" spans="1:4" ht="31.5" customHeight="1" x14ac:dyDescent="0.25">
      <c r="A2" s="58" t="s">
        <v>64</v>
      </c>
      <c r="B2" s="54" t="s">
        <v>3064</v>
      </c>
      <c r="C2" s="55" t="s">
        <v>3065</v>
      </c>
      <c r="D2" s="56" t="s">
        <v>1918</v>
      </c>
    </row>
    <row r="3" spans="1:4" ht="47.25" customHeight="1" x14ac:dyDescent="0.25">
      <c r="A3" s="58" t="s">
        <v>71</v>
      </c>
      <c r="B3" s="54" t="s">
        <v>3066</v>
      </c>
      <c r="C3" s="55" t="s">
        <v>1337</v>
      </c>
      <c r="D3" s="56" t="s">
        <v>1919</v>
      </c>
    </row>
    <row r="4" spans="1:4" ht="63" customHeight="1" x14ac:dyDescent="0.25">
      <c r="A4" s="58" t="s">
        <v>79</v>
      </c>
      <c r="B4" s="54" t="s">
        <v>3067</v>
      </c>
      <c r="C4" s="55" t="s">
        <v>1337</v>
      </c>
      <c r="D4" s="56" t="s">
        <v>1920</v>
      </c>
    </row>
    <row r="5" spans="1:4" ht="47.25" customHeight="1" x14ac:dyDescent="0.25">
      <c r="A5" s="58" t="s">
        <v>88</v>
      </c>
      <c r="B5" s="54" t="s">
        <v>3068</v>
      </c>
      <c r="C5" s="55" t="s">
        <v>405</v>
      </c>
      <c r="D5" s="56" t="s">
        <v>1921</v>
      </c>
    </row>
    <row r="6" spans="1:4" ht="31.5" customHeight="1" x14ac:dyDescent="0.25">
      <c r="A6" s="58" t="s">
        <v>96</v>
      </c>
      <c r="B6" s="54" t="s">
        <v>3069</v>
      </c>
      <c r="C6" s="55" t="s">
        <v>1313</v>
      </c>
      <c r="D6" s="56" t="s">
        <v>1922</v>
      </c>
    </row>
    <row r="7" spans="1:4" ht="31.5" customHeight="1" x14ac:dyDescent="0.25">
      <c r="A7" s="58" t="s">
        <v>103</v>
      </c>
      <c r="B7" s="54" t="s">
        <v>3070</v>
      </c>
      <c r="C7" s="55" t="s">
        <v>1569</v>
      </c>
      <c r="D7" s="56" t="s">
        <v>1923</v>
      </c>
    </row>
    <row r="8" spans="1:4" ht="47.25" customHeight="1" x14ac:dyDescent="0.25">
      <c r="A8" s="58" t="s">
        <v>110</v>
      </c>
      <c r="B8" s="54" t="s">
        <v>3071</v>
      </c>
      <c r="C8" s="55" t="s">
        <v>1569</v>
      </c>
      <c r="D8" s="56" t="s">
        <v>1924</v>
      </c>
    </row>
    <row r="9" spans="1:4" ht="31.5" customHeight="1" x14ac:dyDescent="0.25">
      <c r="A9" s="58" t="s">
        <v>116</v>
      </c>
      <c r="B9" s="54" t="s">
        <v>3072</v>
      </c>
      <c r="C9" s="55" t="s">
        <v>3073</v>
      </c>
      <c r="D9" s="56" t="s">
        <v>1925</v>
      </c>
    </row>
    <row r="10" spans="1:4" ht="47.25" customHeight="1" x14ac:dyDescent="0.25">
      <c r="A10" s="58" t="s">
        <v>122</v>
      </c>
      <c r="B10" s="54" t="s">
        <v>3074</v>
      </c>
      <c r="C10" s="55" t="s">
        <v>662</v>
      </c>
      <c r="D10" s="56" t="s">
        <v>1926</v>
      </c>
    </row>
    <row r="11" spans="1:4" ht="63" customHeight="1" x14ac:dyDescent="0.25">
      <c r="A11" s="58" t="s">
        <v>128</v>
      </c>
      <c r="B11" s="54" t="s">
        <v>3075</v>
      </c>
      <c r="C11" s="55" t="s">
        <v>3076</v>
      </c>
      <c r="D11" s="56" t="s">
        <v>1927</v>
      </c>
    </row>
    <row r="12" spans="1:4" ht="31.5" customHeight="1" x14ac:dyDescent="0.25">
      <c r="A12" s="58" t="s">
        <v>133</v>
      </c>
      <c r="B12" s="54" t="s">
        <v>3077</v>
      </c>
      <c r="C12" s="55" t="s">
        <v>365</v>
      </c>
      <c r="D12" s="56" t="s">
        <v>1928</v>
      </c>
    </row>
    <row r="13" spans="1:4" ht="31.5" customHeight="1" x14ac:dyDescent="0.25">
      <c r="A13" s="58" t="s">
        <v>140</v>
      </c>
      <c r="B13" s="54" t="s">
        <v>3078</v>
      </c>
      <c r="C13" s="55" t="s">
        <v>1091</v>
      </c>
      <c r="D13" s="56" t="s">
        <v>1929</v>
      </c>
    </row>
    <row r="14" spans="1:4" ht="31.5" customHeight="1" x14ac:dyDescent="0.25">
      <c r="A14" s="58" t="s">
        <v>146</v>
      </c>
      <c r="B14" s="54" t="s">
        <v>3079</v>
      </c>
      <c r="C14" s="55" t="s">
        <v>3080</v>
      </c>
      <c r="D14" s="56" t="s">
        <v>1930</v>
      </c>
    </row>
    <row r="15" spans="1:4" ht="31.5" customHeight="1" x14ac:dyDescent="0.25">
      <c r="A15" s="58" t="s">
        <v>152</v>
      </c>
      <c r="B15" s="54" t="s">
        <v>3081</v>
      </c>
      <c r="C15" s="55" t="s">
        <v>3080</v>
      </c>
      <c r="D15" s="56" t="s">
        <v>1931</v>
      </c>
    </row>
    <row r="16" spans="1:4" ht="31.5" customHeight="1" x14ac:dyDescent="0.25">
      <c r="A16" s="58" t="s">
        <v>159</v>
      </c>
      <c r="B16" s="54" t="s">
        <v>3082</v>
      </c>
      <c r="C16" s="55" t="s">
        <v>246</v>
      </c>
      <c r="D16" s="56" t="s">
        <v>1932</v>
      </c>
    </row>
    <row r="17" spans="1:4" ht="47.25" customHeight="1" x14ac:dyDescent="0.25">
      <c r="A17" s="58" t="s">
        <v>164</v>
      </c>
      <c r="B17" s="54" t="s">
        <v>3083</v>
      </c>
      <c r="C17" s="55" t="s">
        <v>475</v>
      </c>
      <c r="D17" s="56" t="s">
        <v>1933</v>
      </c>
    </row>
    <row r="18" spans="1:4" ht="31.5" customHeight="1" x14ac:dyDescent="0.25">
      <c r="A18" s="58" t="s">
        <v>170</v>
      </c>
      <c r="B18" s="54" t="s">
        <v>3084</v>
      </c>
      <c r="C18" s="55" t="s">
        <v>178</v>
      </c>
      <c r="D18" s="56" t="s">
        <v>1934</v>
      </c>
    </row>
    <row r="19" spans="1:4" ht="47.25" customHeight="1" x14ac:dyDescent="0.25">
      <c r="A19" s="58" t="s">
        <v>176</v>
      </c>
      <c r="B19" s="54" t="s">
        <v>3085</v>
      </c>
      <c r="C19" s="55" t="s">
        <v>3086</v>
      </c>
      <c r="D19" s="56" t="s">
        <v>1935</v>
      </c>
    </row>
    <row r="20" spans="1:4" ht="47.25" customHeight="1" x14ac:dyDescent="0.25">
      <c r="A20" s="58" t="s">
        <v>182</v>
      </c>
      <c r="B20" s="54" t="s">
        <v>3087</v>
      </c>
      <c r="C20" s="55" t="s">
        <v>546</v>
      </c>
      <c r="D20" s="56" t="s">
        <v>1936</v>
      </c>
    </row>
    <row r="21" spans="1:4" ht="47.25" customHeight="1" x14ac:dyDescent="0.25">
      <c r="A21" s="58" t="s">
        <v>186</v>
      </c>
      <c r="B21" s="54" t="s">
        <v>3088</v>
      </c>
      <c r="C21" s="55" t="s">
        <v>590</v>
      </c>
      <c r="D21" s="56" t="s">
        <v>1937</v>
      </c>
    </row>
    <row r="22" spans="1:4" ht="47.25" customHeight="1" x14ac:dyDescent="0.25">
      <c r="A22" s="58" t="s">
        <v>193</v>
      </c>
      <c r="B22" s="54" t="s">
        <v>3089</v>
      </c>
      <c r="C22" s="55" t="s">
        <v>3090</v>
      </c>
      <c r="D22" s="56" t="s">
        <v>1938</v>
      </c>
    </row>
    <row r="23" spans="1:4" ht="31.5" customHeight="1" x14ac:dyDescent="0.25">
      <c r="A23" s="58" t="s">
        <v>198</v>
      </c>
      <c r="B23" s="54" t="s">
        <v>3091</v>
      </c>
      <c r="C23" s="55" t="s">
        <v>3090</v>
      </c>
      <c r="D23" s="56" t="s">
        <v>1939</v>
      </c>
    </row>
    <row r="24" spans="1:4" ht="31.5" customHeight="1" x14ac:dyDescent="0.25">
      <c r="A24" s="58" t="s">
        <v>205</v>
      </c>
      <c r="B24" s="54" t="s">
        <v>3092</v>
      </c>
      <c r="C24" s="55" t="s">
        <v>3090</v>
      </c>
      <c r="D24" s="56" t="s">
        <v>1940</v>
      </c>
    </row>
    <row r="25" spans="1:4" ht="31.5" customHeight="1" x14ac:dyDescent="0.25">
      <c r="A25" s="58" t="s">
        <v>211</v>
      </c>
      <c r="B25" s="54" t="s">
        <v>3093</v>
      </c>
      <c r="C25" s="55" t="s">
        <v>3090</v>
      </c>
      <c r="D25" s="56" t="s">
        <v>1941</v>
      </c>
    </row>
    <row r="26" spans="1:4" ht="31.5" customHeight="1" x14ac:dyDescent="0.25">
      <c r="A26" s="58" t="s">
        <v>217</v>
      </c>
      <c r="B26" s="54" t="s">
        <v>3094</v>
      </c>
      <c r="C26" s="55" t="s">
        <v>3095</v>
      </c>
      <c r="D26" s="56" t="s">
        <v>1942</v>
      </c>
    </row>
    <row r="27" spans="1:4" ht="47.25" customHeight="1" x14ac:dyDescent="0.25">
      <c r="A27" s="58" t="s">
        <v>223</v>
      </c>
      <c r="B27" s="54" t="s">
        <v>3096</v>
      </c>
      <c r="C27" s="55" t="s">
        <v>1411</v>
      </c>
      <c r="D27" s="56" t="s">
        <v>1943</v>
      </c>
    </row>
    <row r="28" spans="1:4" ht="47.25" customHeight="1" x14ac:dyDescent="0.25">
      <c r="A28" s="58" t="s">
        <v>227</v>
      </c>
      <c r="B28" s="54" t="s">
        <v>3097</v>
      </c>
      <c r="C28" s="55" t="s">
        <v>1411</v>
      </c>
      <c r="D28" s="56" t="s">
        <v>1944</v>
      </c>
    </row>
    <row r="29" spans="1:4" ht="47.25" customHeight="1" x14ac:dyDescent="0.25">
      <c r="A29" s="58" t="s">
        <v>232</v>
      </c>
      <c r="B29" s="54" t="s">
        <v>3098</v>
      </c>
      <c r="C29" s="55" t="s">
        <v>3099</v>
      </c>
      <c r="D29" s="56" t="s">
        <v>1945</v>
      </c>
    </row>
    <row r="30" spans="1:4" ht="31.5" customHeight="1" x14ac:dyDescent="0.25">
      <c r="A30" s="58" t="s">
        <v>237</v>
      </c>
      <c r="B30" s="54" t="s">
        <v>3100</v>
      </c>
      <c r="C30" s="55" t="s">
        <v>3099</v>
      </c>
      <c r="D30" s="56" t="s">
        <v>1946</v>
      </c>
    </row>
    <row r="31" spans="1:4" ht="63" customHeight="1" x14ac:dyDescent="0.25">
      <c r="A31" s="58" t="s">
        <v>241</v>
      </c>
      <c r="B31" s="54" t="s">
        <v>3101</v>
      </c>
      <c r="C31" s="55" t="s">
        <v>534</v>
      </c>
      <c r="D31" s="56" t="s">
        <v>1947</v>
      </c>
    </row>
    <row r="32" spans="1:4" ht="47.25" customHeight="1" x14ac:dyDescent="0.25">
      <c r="A32" s="58" t="s">
        <v>244</v>
      </c>
      <c r="B32" s="54" t="s">
        <v>3102</v>
      </c>
      <c r="C32" s="55" t="s">
        <v>950</v>
      </c>
      <c r="D32" s="56" t="s">
        <v>1948</v>
      </c>
    </row>
    <row r="33" spans="1:4" ht="63" customHeight="1" x14ac:dyDescent="0.25">
      <c r="A33" s="58" t="s">
        <v>249</v>
      </c>
      <c r="B33" s="54" t="s">
        <v>3103</v>
      </c>
      <c r="C33" s="55" t="s">
        <v>3104</v>
      </c>
      <c r="D33" s="56" t="s">
        <v>1949</v>
      </c>
    </row>
    <row r="34" spans="1:4" ht="47.25" customHeight="1" x14ac:dyDescent="0.25">
      <c r="A34" s="58" t="s">
        <v>253</v>
      </c>
      <c r="B34" s="54" t="s">
        <v>3105</v>
      </c>
      <c r="C34" s="55" t="s">
        <v>98</v>
      </c>
      <c r="D34" s="56" t="s">
        <v>1950</v>
      </c>
    </row>
    <row r="35" spans="1:4" ht="47.25" customHeight="1" x14ac:dyDescent="0.25">
      <c r="A35" s="58" t="s">
        <v>259</v>
      </c>
      <c r="B35" s="54" t="s">
        <v>3106</v>
      </c>
      <c r="C35" s="55" t="s">
        <v>98</v>
      </c>
      <c r="D35" s="56" t="s">
        <v>1951</v>
      </c>
    </row>
    <row r="36" spans="1:4" ht="47.25" customHeight="1" x14ac:dyDescent="0.25">
      <c r="A36" s="58" t="s">
        <v>263</v>
      </c>
      <c r="B36" s="54" t="s">
        <v>3107</v>
      </c>
      <c r="C36" s="55" t="s">
        <v>3108</v>
      </c>
      <c r="D36" s="56" t="s">
        <v>1952</v>
      </c>
    </row>
    <row r="37" spans="1:4" ht="47.25" customHeight="1" x14ac:dyDescent="0.25">
      <c r="A37" s="58" t="s">
        <v>269</v>
      </c>
      <c r="B37" s="54" t="s">
        <v>3109</v>
      </c>
      <c r="C37" s="55" t="s">
        <v>1643</v>
      </c>
      <c r="D37" s="56" t="s">
        <v>1953</v>
      </c>
    </row>
    <row r="38" spans="1:4" ht="47.25" customHeight="1" x14ac:dyDescent="0.25">
      <c r="A38" s="58" t="s">
        <v>274</v>
      </c>
      <c r="B38" s="54" t="s">
        <v>3110</v>
      </c>
      <c r="C38" s="55" t="s">
        <v>1643</v>
      </c>
      <c r="D38" s="56" t="s">
        <v>1954</v>
      </c>
    </row>
    <row r="39" spans="1:4" ht="63" customHeight="1" x14ac:dyDescent="0.25">
      <c r="A39" s="58" t="s">
        <v>280</v>
      </c>
      <c r="B39" s="54" t="s">
        <v>3111</v>
      </c>
      <c r="C39" s="55" t="s">
        <v>3112</v>
      </c>
      <c r="D39" s="56" t="s">
        <v>1955</v>
      </c>
    </row>
    <row r="40" spans="1:4" ht="78.75" customHeight="1" x14ac:dyDescent="0.25">
      <c r="A40" s="58" t="s">
        <v>286</v>
      </c>
      <c r="B40" s="54" t="s">
        <v>3113</v>
      </c>
      <c r="C40" s="55" t="s">
        <v>3112</v>
      </c>
      <c r="D40" s="56" t="s">
        <v>1956</v>
      </c>
    </row>
    <row r="41" spans="1:4" ht="31.5" customHeight="1" x14ac:dyDescent="0.25">
      <c r="A41" s="58" t="s">
        <v>291</v>
      </c>
      <c r="B41" s="54" t="s">
        <v>3114</v>
      </c>
      <c r="C41" s="55" t="s">
        <v>614</v>
      </c>
      <c r="D41" s="56" t="s">
        <v>1957</v>
      </c>
    </row>
    <row r="42" spans="1:4" ht="47.25" customHeight="1" x14ac:dyDescent="0.25">
      <c r="A42" s="58" t="s">
        <v>296</v>
      </c>
      <c r="B42" s="54" t="s">
        <v>3115</v>
      </c>
      <c r="C42" s="55" t="s">
        <v>3116</v>
      </c>
      <c r="D42" s="56" t="s">
        <v>1958</v>
      </c>
    </row>
    <row r="43" spans="1:4" ht="63" customHeight="1" x14ac:dyDescent="0.25">
      <c r="A43" s="58" t="s">
        <v>300</v>
      </c>
      <c r="B43" s="54" t="s">
        <v>3117</v>
      </c>
      <c r="C43" s="55" t="s">
        <v>3118</v>
      </c>
      <c r="D43" s="56" t="s">
        <v>1959</v>
      </c>
    </row>
    <row r="44" spans="1:4" ht="63" customHeight="1" x14ac:dyDescent="0.25">
      <c r="A44" s="58" t="s">
        <v>303</v>
      </c>
      <c r="B44" s="54" t="s">
        <v>3119</v>
      </c>
      <c r="C44" s="55" t="s">
        <v>3120</v>
      </c>
      <c r="D44" s="56" t="s">
        <v>1960</v>
      </c>
    </row>
    <row r="45" spans="1:4" ht="31.5" customHeight="1" x14ac:dyDescent="0.25">
      <c r="A45" s="58" t="s">
        <v>308</v>
      </c>
      <c r="B45" s="54" t="s">
        <v>3121</v>
      </c>
      <c r="C45" s="55" t="s">
        <v>360</v>
      </c>
      <c r="D45" s="56" t="s">
        <v>1961</v>
      </c>
    </row>
    <row r="46" spans="1:4" ht="31.5" customHeight="1" x14ac:dyDescent="0.25">
      <c r="A46" s="58" t="s">
        <v>314</v>
      </c>
      <c r="B46" s="54" t="s">
        <v>3122</v>
      </c>
      <c r="C46" s="55" t="s">
        <v>142</v>
      </c>
      <c r="D46" s="56" t="s">
        <v>1962</v>
      </c>
    </row>
    <row r="47" spans="1:4" ht="31.5" customHeight="1" x14ac:dyDescent="0.25">
      <c r="A47" s="58" t="s">
        <v>319</v>
      </c>
      <c r="B47" s="54" t="s">
        <v>3123</v>
      </c>
      <c r="C47" s="55" t="s">
        <v>142</v>
      </c>
      <c r="D47" s="56" t="s">
        <v>1963</v>
      </c>
    </row>
    <row r="48" spans="1:4" ht="31.5" customHeight="1" x14ac:dyDescent="0.25">
      <c r="A48" s="58" t="s">
        <v>324</v>
      </c>
      <c r="B48" s="54" t="s">
        <v>3124</v>
      </c>
      <c r="C48" s="55" t="s">
        <v>3125</v>
      </c>
      <c r="D48" s="56" t="s">
        <v>1964</v>
      </c>
    </row>
    <row r="49" spans="1:4" ht="31.5" customHeight="1" x14ac:dyDescent="0.25">
      <c r="A49" s="58" t="s">
        <v>330</v>
      </c>
      <c r="B49" s="54" t="s">
        <v>3126</v>
      </c>
      <c r="C49" s="55" t="s">
        <v>3127</v>
      </c>
      <c r="D49" s="56" t="s">
        <v>1965</v>
      </c>
    </row>
    <row r="50" spans="1:4" ht="31.5" customHeight="1" x14ac:dyDescent="0.25">
      <c r="A50" s="58" t="s">
        <v>336</v>
      </c>
      <c r="B50" s="54" t="s">
        <v>3128</v>
      </c>
      <c r="C50" s="55" t="s">
        <v>3129</v>
      </c>
      <c r="D50" s="56" t="s">
        <v>1966</v>
      </c>
    </row>
    <row r="51" spans="1:4" ht="31.5" customHeight="1" x14ac:dyDescent="0.25">
      <c r="A51" s="58" t="s">
        <v>342</v>
      </c>
      <c r="B51" s="54" t="s">
        <v>3130</v>
      </c>
      <c r="C51" s="55" t="s">
        <v>3063</v>
      </c>
      <c r="D51" s="56" t="s">
        <v>1967</v>
      </c>
    </row>
    <row r="52" spans="1:4" ht="47.25" customHeight="1" x14ac:dyDescent="0.25">
      <c r="A52" s="58" t="s">
        <v>347</v>
      </c>
      <c r="B52" s="54" t="s">
        <v>3131</v>
      </c>
      <c r="C52" s="55" t="s">
        <v>3132</v>
      </c>
      <c r="D52" s="56" t="s">
        <v>1968</v>
      </c>
    </row>
    <row r="53" spans="1:4" ht="31.5" customHeight="1" x14ac:dyDescent="0.25">
      <c r="A53" s="58" t="s">
        <v>353</v>
      </c>
      <c r="B53" s="54" t="s">
        <v>3133</v>
      </c>
      <c r="C53" s="55" t="s">
        <v>3134</v>
      </c>
      <c r="D53" s="56" t="s">
        <v>1969</v>
      </c>
    </row>
    <row r="54" spans="1:4" ht="63" customHeight="1" x14ac:dyDescent="0.25">
      <c r="A54" s="58" t="s">
        <v>358</v>
      </c>
      <c r="B54" s="54" t="s">
        <v>3135</v>
      </c>
      <c r="C54" s="55" t="s">
        <v>3136</v>
      </c>
      <c r="D54" s="56" t="s">
        <v>1970</v>
      </c>
    </row>
    <row r="55" spans="1:4" ht="47.25" customHeight="1" x14ac:dyDescent="0.25">
      <c r="A55" s="58" t="s">
        <v>363</v>
      </c>
      <c r="B55" s="54" t="s">
        <v>3137</v>
      </c>
      <c r="C55" s="55" t="s">
        <v>288</v>
      </c>
      <c r="D55" s="56" t="s">
        <v>1971</v>
      </c>
    </row>
    <row r="56" spans="1:4" ht="47.25" customHeight="1" x14ac:dyDescent="0.25">
      <c r="A56" s="58" t="s">
        <v>368</v>
      </c>
      <c r="B56" s="54" t="s">
        <v>3138</v>
      </c>
      <c r="C56" s="55" t="s">
        <v>3139</v>
      </c>
      <c r="D56" s="56" t="s">
        <v>1972</v>
      </c>
    </row>
    <row r="57" spans="1:4" ht="31.5" customHeight="1" x14ac:dyDescent="0.25">
      <c r="A57" s="58" t="s">
        <v>374</v>
      </c>
      <c r="B57" s="54" t="s">
        <v>3140</v>
      </c>
      <c r="C57" s="57" t="s">
        <v>3141</v>
      </c>
      <c r="D57" s="56" t="s">
        <v>1973</v>
      </c>
    </row>
    <row r="58" spans="1:4" ht="31.5" customHeight="1" x14ac:dyDescent="0.25">
      <c r="A58" s="58" t="s">
        <v>380</v>
      </c>
      <c r="B58" s="54" t="s">
        <v>3142</v>
      </c>
      <c r="C58" s="55" t="s">
        <v>3143</v>
      </c>
      <c r="D58" s="56" t="s">
        <v>1974</v>
      </c>
    </row>
    <row r="59" spans="1:4" ht="47.25" customHeight="1" x14ac:dyDescent="0.25">
      <c r="A59" s="58" t="s">
        <v>387</v>
      </c>
      <c r="B59" s="54" t="s">
        <v>3144</v>
      </c>
      <c r="C59" s="55" t="s">
        <v>3145</v>
      </c>
      <c r="D59" s="56" t="s">
        <v>1975</v>
      </c>
    </row>
    <row r="60" spans="1:4" ht="31.5" customHeight="1" x14ac:dyDescent="0.25">
      <c r="A60" s="58" t="s">
        <v>393</v>
      </c>
      <c r="B60" s="54" t="s">
        <v>3146</v>
      </c>
      <c r="C60" s="55" t="s">
        <v>1487</v>
      </c>
      <c r="D60" s="56" t="s">
        <v>1976</v>
      </c>
    </row>
    <row r="61" spans="1:4" ht="47.25" customHeight="1" x14ac:dyDescent="0.25">
      <c r="A61" s="58" t="s">
        <v>397</v>
      </c>
      <c r="B61" s="54" t="s">
        <v>3147</v>
      </c>
      <c r="C61" s="55" t="s">
        <v>3148</v>
      </c>
      <c r="D61" s="56" t="s">
        <v>1977</v>
      </c>
    </row>
    <row r="62" spans="1:4" ht="63" customHeight="1" x14ac:dyDescent="0.25">
      <c r="A62" s="58" t="s">
        <v>403</v>
      </c>
      <c r="B62" s="54" t="s">
        <v>3149</v>
      </c>
      <c r="C62" s="55" t="s">
        <v>500</v>
      </c>
      <c r="D62" s="56" t="s">
        <v>1978</v>
      </c>
    </row>
    <row r="63" spans="1:4" ht="31.5" customHeight="1" x14ac:dyDescent="0.25">
      <c r="A63" s="58" t="s">
        <v>408</v>
      </c>
      <c r="B63" s="54" t="s">
        <v>3150</v>
      </c>
      <c r="C63" s="55" t="s">
        <v>3151</v>
      </c>
      <c r="D63" s="56" t="s">
        <v>1979</v>
      </c>
    </row>
    <row r="64" spans="1:4" ht="47.25" customHeight="1" x14ac:dyDescent="0.25">
      <c r="A64" s="58" t="s">
        <v>413</v>
      </c>
      <c r="B64" s="54" t="s">
        <v>3152</v>
      </c>
      <c r="C64" s="55" t="s">
        <v>3153</v>
      </c>
      <c r="D64" s="56" t="s">
        <v>1980</v>
      </c>
    </row>
    <row r="65" spans="1:4" ht="31.5" customHeight="1" x14ac:dyDescent="0.25">
      <c r="A65" s="58" t="s">
        <v>419</v>
      </c>
      <c r="B65" s="54" t="s">
        <v>3154</v>
      </c>
      <c r="C65" s="55" t="s">
        <v>3155</v>
      </c>
      <c r="D65" s="56" t="s">
        <v>1981</v>
      </c>
    </row>
    <row r="66" spans="1:4" ht="31.5" customHeight="1" x14ac:dyDescent="0.25">
      <c r="A66" s="58" t="s">
        <v>423</v>
      </c>
      <c r="B66" s="54" t="s">
        <v>3156</v>
      </c>
      <c r="C66" s="55" t="s">
        <v>3157</v>
      </c>
      <c r="D66" s="56" t="s">
        <v>1982</v>
      </c>
    </row>
    <row r="67" spans="1:4" ht="63" customHeight="1" x14ac:dyDescent="0.25">
      <c r="A67" s="58" t="s">
        <v>428</v>
      </c>
      <c r="B67" s="54" t="s">
        <v>3158</v>
      </c>
      <c r="C67" s="57" t="s">
        <v>3157</v>
      </c>
      <c r="D67" s="56" t="s">
        <v>1983</v>
      </c>
    </row>
    <row r="68" spans="1:4" ht="47.25" customHeight="1" x14ac:dyDescent="0.25">
      <c r="A68" s="58" t="s">
        <v>433</v>
      </c>
      <c r="B68" s="54" t="s">
        <v>3159</v>
      </c>
      <c r="C68" s="55" t="s">
        <v>271</v>
      </c>
      <c r="D68" s="56" t="s">
        <v>1984</v>
      </c>
    </row>
    <row r="69" spans="1:4" ht="31.5" customHeight="1" x14ac:dyDescent="0.25">
      <c r="A69" s="58" t="s">
        <v>437</v>
      </c>
      <c r="B69" s="54" t="s">
        <v>3160</v>
      </c>
      <c r="C69" s="55" t="s">
        <v>3161</v>
      </c>
      <c r="D69" s="56" t="s">
        <v>1985</v>
      </c>
    </row>
    <row r="70" spans="1:4" ht="31.5" customHeight="1" x14ac:dyDescent="0.25">
      <c r="A70" s="58" t="s">
        <v>441</v>
      </c>
      <c r="B70" s="54" t="s">
        <v>3162</v>
      </c>
      <c r="C70" s="55" t="s">
        <v>365</v>
      </c>
      <c r="D70" s="56" t="s">
        <v>1986</v>
      </c>
    </row>
    <row r="71" spans="1:4" ht="31.5" customHeight="1" x14ac:dyDescent="0.25">
      <c r="A71" s="58" t="s">
        <v>446</v>
      </c>
      <c r="B71" s="54" t="s">
        <v>3163</v>
      </c>
      <c r="C71" s="55" t="s">
        <v>1819</v>
      </c>
      <c r="D71" s="56" t="s">
        <v>1987</v>
      </c>
    </row>
    <row r="72" spans="1:4" ht="31.5" customHeight="1" x14ac:dyDescent="0.25">
      <c r="A72" s="58" t="s">
        <v>452</v>
      </c>
      <c r="B72" s="6" t="s">
        <v>3164</v>
      </c>
      <c r="C72" s="8" t="s">
        <v>643</v>
      </c>
      <c r="D72" s="7" t="s">
        <v>1988</v>
      </c>
    </row>
    <row r="73" spans="1:4" ht="63" customHeight="1" x14ac:dyDescent="0.25">
      <c r="A73" s="58" t="s">
        <v>457</v>
      </c>
      <c r="B73" s="6" t="s">
        <v>3165</v>
      </c>
      <c r="C73" s="8" t="s">
        <v>3166</v>
      </c>
      <c r="D73" s="7" t="s">
        <v>1989</v>
      </c>
    </row>
    <row r="74" spans="1:4" ht="63" customHeight="1" x14ac:dyDescent="0.25">
      <c r="A74" s="58" t="s">
        <v>461</v>
      </c>
      <c r="B74" s="6" t="s">
        <v>3167</v>
      </c>
      <c r="C74" s="8" t="s">
        <v>1643</v>
      </c>
      <c r="D74" s="7" t="s">
        <v>1990</v>
      </c>
    </row>
    <row r="75" spans="1:4" ht="31.5" customHeight="1" x14ac:dyDescent="0.25">
      <c r="A75" s="58" t="s">
        <v>467</v>
      </c>
      <c r="B75" s="6" t="s">
        <v>3168</v>
      </c>
      <c r="C75" s="8" t="s">
        <v>1574</v>
      </c>
      <c r="D75" s="7" t="s">
        <v>1991</v>
      </c>
    </row>
    <row r="76" spans="1:4" ht="47.25" customHeight="1" x14ac:dyDescent="0.25">
      <c r="A76" s="58" t="s">
        <v>473</v>
      </c>
      <c r="B76" s="6" t="s">
        <v>3169</v>
      </c>
      <c r="C76" s="8" t="s">
        <v>3125</v>
      </c>
      <c r="D76" s="7" t="s">
        <v>1992</v>
      </c>
    </row>
    <row r="77" spans="1:4" ht="31.5" customHeight="1" x14ac:dyDescent="0.25">
      <c r="A77" s="58" t="s">
        <v>478</v>
      </c>
      <c r="B77" s="6" t="s">
        <v>3170</v>
      </c>
      <c r="C77" s="8" t="s">
        <v>3171</v>
      </c>
      <c r="D77" s="7" t="s">
        <v>1993</v>
      </c>
    </row>
    <row r="78" spans="1:4" ht="31.5" customHeight="1" x14ac:dyDescent="0.25">
      <c r="A78" s="58" t="s">
        <v>483</v>
      </c>
      <c r="B78" s="6" t="s">
        <v>3172</v>
      </c>
      <c r="C78" s="8" t="s">
        <v>950</v>
      </c>
      <c r="D78" s="7" t="s">
        <v>1994</v>
      </c>
    </row>
    <row r="79" spans="1:4" ht="63" customHeight="1" x14ac:dyDescent="0.25">
      <c r="A79" s="58" t="s">
        <v>487</v>
      </c>
      <c r="B79" s="6" t="s">
        <v>3173</v>
      </c>
      <c r="C79" s="8" t="s">
        <v>3174</v>
      </c>
      <c r="D79" s="7" t="s">
        <v>1995</v>
      </c>
    </row>
    <row r="80" spans="1:4" ht="31.5" customHeight="1" x14ac:dyDescent="0.25">
      <c r="A80" s="5" t="s">
        <v>116</v>
      </c>
      <c r="B80" s="6" t="s">
        <v>3175</v>
      </c>
      <c r="C80" s="8" t="s">
        <v>657</v>
      </c>
      <c r="D80" s="7" t="s">
        <v>1996</v>
      </c>
    </row>
    <row r="81" spans="1:4" ht="47.25" customHeight="1" x14ac:dyDescent="0.25">
      <c r="A81" s="5" t="s">
        <v>122</v>
      </c>
      <c r="B81" s="6" t="s">
        <v>3176</v>
      </c>
      <c r="C81" s="8" t="s">
        <v>3177</v>
      </c>
      <c r="D81" s="7" t="s">
        <v>1997</v>
      </c>
    </row>
    <row r="82" spans="1:4" ht="47.25" customHeight="1" x14ac:dyDescent="0.25">
      <c r="A82" s="5" t="s">
        <v>128</v>
      </c>
      <c r="B82" s="6" t="s">
        <v>3178</v>
      </c>
      <c r="C82" s="8" t="s">
        <v>3179</v>
      </c>
      <c r="D82" s="7" t="s">
        <v>1998</v>
      </c>
    </row>
    <row r="83" spans="1:4" ht="47.25" customHeight="1" x14ac:dyDescent="0.25">
      <c r="A83" s="5" t="s">
        <v>133</v>
      </c>
      <c r="B83" s="6" t="s">
        <v>3180</v>
      </c>
      <c r="C83" s="8" t="s">
        <v>3181</v>
      </c>
      <c r="D83" s="7" t="s">
        <v>1999</v>
      </c>
    </row>
    <row r="84" spans="1:4" ht="47.25" customHeight="1" x14ac:dyDescent="0.25">
      <c r="A84" s="5" t="s">
        <v>140</v>
      </c>
      <c r="B84" s="6" t="s">
        <v>3182</v>
      </c>
      <c r="C84" s="8" t="s">
        <v>3183</v>
      </c>
      <c r="D84" s="7" t="s">
        <v>2000</v>
      </c>
    </row>
    <row r="85" spans="1:4" ht="31.5" customHeight="1" x14ac:dyDescent="0.25">
      <c r="A85" s="5" t="s">
        <v>146</v>
      </c>
      <c r="B85" s="6" t="s">
        <v>3184</v>
      </c>
      <c r="C85" s="8" t="s">
        <v>3185</v>
      </c>
      <c r="D85" s="7" t="s">
        <v>2001</v>
      </c>
    </row>
    <row r="86" spans="1:4" ht="47.25" customHeight="1" x14ac:dyDescent="0.25">
      <c r="A86" s="5" t="s">
        <v>152</v>
      </c>
      <c r="B86" s="6" t="s">
        <v>3186</v>
      </c>
      <c r="C86" s="8" t="s">
        <v>738</v>
      </c>
      <c r="D86" s="7" t="s">
        <v>2002</v>
      </c>
    </row>
    <row r="87" spans="1:4" ht="31.5" customHeight="1" x14ac:dyDescent="0.25">
      <c r="A87" s="5" t="s">
        <v>159</v>
      </c>
      <c r="B87" s="6" t="s">
        <v>3187</v>
      </c>
      <c r="C87" s="8" t="s">
        <v>3188</v>
      </c>
      <c r="D87" s="7" t="s">
        <v>2003</v>
      </c>
    </row>
    <row r="88" spans="1:4" ht="47.25" customHeight="1" x14ac:dyDescent="0.25">
      <c r="A88" s="5" t="s">
        <v>164</v>
      </c>
      <c r="B88" s="6" t="s">
        <v>3189</v>
      </c>
      <c r="C88" s="8" t="s">
        <v>3190</v>
      </c>
      <c r="D88" s="7" t="s">
        <v>2004</v>
      </c>
    </row>
    <row r="89" spans="1:4" ht="47.25" customHeight="1" x14ac:dyDescent="0.25">
      <c r="A89" s="5" t="s">
        <v>170</v>
      </c>
      <c r="B89" s="6" t="s">
        <v>3191</v>
      </c>
      <c r="C89" s="8" t="s">
        <v>3192</v>
      </c>
      <c r="D89" s="7" t="s">
        <v>2005</v>
      </c>
    </row>
    <row r="90" spans="1:4" ht="47.25" customHeight="1" x14ac:dyDescent="0.25">
      <c r="A90" s="5" t="s">
        <v>176</v>
      </c>
      <c r="B90" s="6" t="s">
        <v>3193</v>
      </c>
      <c r="C90" s="8" t="s">
        <v>3194</v>
      </c>
      <c r="D90" s="7" t="s">
        <v>2006</v>
      </c>
    </row>
    <row r="91" spans="1:4" ht="47.25" customHeight="1" x14ac:dyDescent="0.25">
      <c r="A91" s="5" t="s">
        <v>182</v>
      </c>
      <c r="B91" s="6" t="s">
        <v>3195</v>
      </c>
      <c r="C91" s="8" t="s">
        <v>3196</v>
      </c>
      <c r="D91" s="7" t="s">
        <v>2007</v>
      </c>
    </row>
    <row r="92" spans="1:4" ht="47.25" customHeight="1" x14ac:dyDescent="0.25">
      <c r="A92" s="5" t="s">
        <v>186</v>
      </c>
      <c r="B92" s="6" t="s">
        <v>3197</v>
      </c>
      <c r="C92" s="8" t="s">
        <v>909</v>
      </c>
      <c r="D92" s="7" t="s">
        <v>2008</v>
      </c>
    </row>
    <row r="93" spans="1:4" ht="78.75" customHeight="1" x14ac:dyDescent="0.25">
      <c r="A93" s="5" t="s">
        <v>193</v>
      </c>
      <c r="B93" s="6" t="s">
        <v>3198</v>
      </c>
      <c r="C93" s="8" t="s">
        <v>725</v>
      </c>
      <c r="D93" s="7" t="s">
        <v>2009</v>
      </c>
    </row>
    <row r="94" spans="1:4" ht="78.75" customHeight="1" x14ac:dyDescent="0.25">
      <c r="A94" s="5" t="s">
        <v>198</v>
      </c>
      <c r="B94" s="6" t="s">
        <v>3199</v>
      </c>
      <c r="C94" s="8" t="s">
        <v>3200</v>
      </c>
      <c r="D94" s="7" t="s">
        <v>2010</v>
      </c>
    </row>
    <row r="95" spans="1:4" ht="31.5" customHeight="1" x14ac:dyDescent="0.25">
      <c r="A95" s="5" t="s">
        <v>205</v>
      </c>
      <c r="B95" s="6" t="s">
        <v>3201</v>
      </c>
      <c r="C95" s="8" t="s">
        <v>3202</v>
      </c>
      <c r="D95" s="7" t="s">
        <v>2011</v>
      </c>
    </row>
    <row r="96" spans="1:4" ht="31.5" customHeight="1" x14ac:dyDescent="0.25">
      <c r="A96" s="5" t="s">
        <v>211</v>
      </c>
      <c r="B96" s="6" t="s">
        <v>3203</v>
      </c>
      <c r="C96" s="8" t="s">
        <v>3204</v>
      </c>
      <c r="D96" s="7" t="s">
        <v>2012</v>
      </c>
    </row>
    <row r="97" spans="1:4" ht="63" customHeight="1" x14ac:dyDescent="0.25">
      <c r="A97" s="5" t="s">
        <v>217</v>
      </c>
      <c r="B97" s="6" t="s">
        <v>3205</v>
      </c>
      <c r="C97" s="8" t="s">
        <v>382</v>
      </c>
      <c r="D97" s="7" t="s">
        <v>2013</v>
      </c>
    </row>
    <row r="98" spans="1:4" ht="31.5" customHeight="1" x14ac:dyDescent="0.25">
      <c r="A98" s="5" t="s">
        <v>223</v>
      </c>
      <c r="B98" s="6" t="s">
        <v>3206</v>
      </c>
      <c r="C98" s="8" t="s">
        <v>3207</v>
      </c>
      <c r="D98" s="7" t="s">
        <v>2014</v>
      </c>
    </row>
    <row r="99" spans="1:4" ht="47.25" customHeight="1" x14ac:dyDescent="0.25">
      <c r="A99" s="5" t="s">
        <v>227</v>
      </c>
      <c r="B99" s="6" t="s">
        <v>3208</v>
      </c>
      <c r="C99" s="8" t="s">
        <v>1091</v>
      </c>
      <c r="D99" s="7" t="s">
        <v>2015</v>
      </c>
    </row>
    <row r="100" spans="1:4" ht="47.25" customHeight="1" x14ac:dyDescent="0.25">
      <c r="A100" s="5" t="s">
        <v>232</v>
      </c>
      <c r="B100" s="6" t="s">
        <v>3209</v>
      </c>
      <c r="C100" s="8" t="s">
        <v>98</v>
      </c>
      <c r="D100" s="7" t="s">
        <v>2016</v>
      </c>
    </row>
    <row r="101" spans="1:4" ht="63" customHeight="1" x14ac:dyDescent="0.25">
      <c r="A101" s="5" t="s">
        <v>237</v>
      </c>
      <c r="B101" s="6" t="s">
        <v>3210</v>
      </c>
      <c r="C101" s="8" t="s">
        <v>112</v>
      </c>
      <c r="D101" s="7" t="s">
        <v>2017</v>
      </c>
    </row>
    <row r="102" spans="1:4" ht="31.5" customHeight="1" x14ac:dyDescent="0.25">
      <c r="A102" s="5" t="s">
        <v>241</v>
      </c>
      <c r="B102" s="6" t="s">
        <v>3211</v>
      </c>
      <c r="C102" s="8" t="s">
        <v>738</v>
      </c>
      <c r="D102" s="7" t="s">
        <v>2018</v>
      </c>
    </row>
    <row r="103" spans="1:4" ht="47.25" customHeight="1" x14ac:dyDescent="0.25">
      <c r="A103" s="5" t="s">
        <v>244</v>
      </c>
      <c r="B103" s="6" t="s">
        <v>3212</v>
      </c>
      <c r="C103" s="8" t="s">
        <v>519</v>
      </c>
      <c r="D103" s="7" t="s">
        <v>2019</v>
      </c>
    </row>
    <row r="104" spans="1:4" ht="63" customHeight="1" x14ac:dyDescent="0.25">
      <c r="A104" s="5" t="s">
        <v>249</v>
      </c>
      <c r="B104" s="6" t="s">
        <v>3213</v>
      </c>
      <c r="C104" s="8" t="s">
        <v>3214</v>
      </c>
      <c r="D104" s="7" t="s">
        <v>2020</v>
      </c>
    </row>
    <row r="105" spans="1:4" ht="47.25" customHeight="1" x14ac:dyDescent="0.25">
      <c r="A105" s="5" t="s">
        <v>253</v>
      </c>
      <c r="B105" s="6" t="s">
        <v>3215</v>
      </c>
      <c r="C105" s="8" t="s">
        <v>3216</v>
      </c>
      <c r="D105" s="7" t="s">
        <v>2021</v>
      </c>
    </row>
    <row r="106" spans="1:4" ht="47.25" customHeight="1" x14ac:dyDescent="0.25">
      <c r="A106" s="5" t="s">
        <v>259</v>
      </c>
      <c r="B106" s="6" t="s">
        <v>3217</v>
      </c>
      <c r="C106" s="8" t="s">
        <v>3216</v>
      </c>
      <c r="D106" s="7" t="s">
        <v>2022</v>
      </c>
    </row>
    <row r="107" spans="1:4" ht="47.25" customHeight="1" x14ac:dyDescent="0.25">
      <c r="A107" s="5" t="s">
        <v>263</v>
      </c>
      <c r="B107" s="6" t="s">
        <v>3218</v>
      </c>
      <c r="C107" s="8" t="s">
        <v>495</v>
      </c>
      <c r="D107" s="7" t="s">
        <v>2023</v>
      </c>
    </row>
    <row r="108" spans="1:4" ht="47.25" customHeight="1" x14ac:dyDescent="0.25">
      <c r="A108" s="5" t="s">
        <v>269</v>
      </c>
      <c r="B108" s="6" t="s">
        <v>3219</v>
      </c>
      <c r="C108" s="8" t="s">
        <v>495</v>
      </c>
      <c r="D108" s="7" t="s">
        <v>2024</v>
      </c>
    </row>
    <row r="109" spans="1:4" ht="47.25" customHeight="1" x14ac:dyDescent="0.25">
      <c r="A109" s="5" t="s">
        <v>274</v>
      </c>
      <c r="B109" s="6" t="s">
        <v>3220</v>
      </c>
      <c r="C109" s="8" t="s">
        <v>1091</v>
      </c>
      <c r="D109" s="7" t="s">
        <v>2025</v>
      </c>
    </row>
    <row r="110" spans="1:4" ht="31.5" customHeight="1" x14ac:dyDescent="0.25">
      <c r="A110" s="5" t="s">
        <v>280</v>
      </c>
      <c r="B110" s="6" t="s">
        <v>3221</v>
      </c>
      <c r="C110" s="8" t="s">
        <v>638</v>
      </c>
      <c r="D110" s="7" t="s">
        <v>2026</v>
      </c>
    </row>
    <row r="111" spans="1:4" ht="31.5" customHeight="1" x14ac:dyDescent="0.25">
      <c r="A111" s="5" t="s">
        <v>286</v>
      </c>
      <c r="B111" s="6" t="s">
        <v>3222</v>
      </c>
      <c r="C111" s="8" t="s">
        <v>638</v>
      </c>
      <c r="D111" s="7" t="s">
        <v>2027</v>
      </c>
    </row>
    <row r="112" spans="1:4" ht="63" customHeight="1" x14ac:dyDescent="0.25">
      <c r="A112" s="5" t="s">
        <v>291</v>
      </c>
      <c r="B112" s="6" t="s">
        <v>3223</v>
      </c>
      <c r="C112" s="8" t="s">
        <v>1337</v>
      </c>
      <c r="D112" s="7" t="s">
        <v>2028</v>
      </c>
    </row>
    <row r="113" spans="1:4" ht="47.25" customHeight="1" x14ac:dyDescent="0.25">
      <c r="A113" s="5" t="s">
        <v>296</v>
      </c>
      <c r="B113" s="6" t="s">
        <v>3224</v>
      </c>
      <c r="C113" s="8" t="s">
        <v>643</v>
      </c>
      <c r="D113" s="7" t="s">
        <v>2029</v>
      </c>
    </row>
    <row r="114" spans="1:4" ht="47.25" customHeight="1" x14ac:dyDescent="0.25">
      <c r="A114" s="5" t="s">
        <v>300</v>
      </c>
      <c r="B114" s="6" t="s">
        <v>3225</v>
      </c>
      <c r="C114" s="8" t="s">
        <v>425</v>
      </c>
      <c r="D114" s="7" t="s">
        <v>2030</v>
      </c>
    </row>
    <row r="115" spans="1:4" ht="47.25" customHeight="1" x14ac:dyDescent="0.25">
      <c r="A115" s="5" t="s">
        <v>303</v>
      </c>
      <c r="B115" s="6" t="s">
        <v>3226</v>
      </c>
      <c r="C115" s="8" t="s">
        <v>3227</v>
      </c>
      <c r="D115" s="7" t="s">
        <v>2031</v>
      </c>
    </row>
    <row r="116" spans="1:4" ht="63" customHeight="1" x14ac:dyDescent="0.25">
      <c r="A116" s="5" t="s">
        <v>308</v>
      </c>
      <c r="B116" s="6" t="s">
        <v>3228</v>
      </c>
      <c r="C116" s="8" t="s">
        <v>3229</v>
      </c>
      <c r="D116" s="7" t="s">
        <v>2032</v>
      </c>
    </row>
    <row r="117" spans="1:4" ht="31.5" customHeight="1" x14ac:dyDescent="0.25">
      <c r="A117" s="5" t="s">
        <v>314</v>
      </c>
      <c r="B117" s="6" t="s">
        <v>3230</v>
      </c>
      <c r="C117" s="8" t="s">
        <v>172</v>
      </c>
      <c r="D117" s="7" t="s">
        <v>2033</v>
      </c>
    </row>
    <row r="118" spans="1:4" ht="31.5" customHeight="1" x14ac:dyDescent="0.25">
      <c r="A118" s="5" t="s">
        <v>319</v>
      </c>
      <c r="B118" s="6" t="s">
        <v>3231</v>
      </c>
      <c r="C118" s="8" t="s">
        <v>3232</v>
      </c>
      <c r="D118" s="7" t="s">
        <v>2034</v>
      </c>
    </row>
    <row r="119" spans="1:4" ht="63" customHeight="1" x14ac:dyDescent="0.25">
      <c r="A119" s="5" t="s">
        <v>324</v>
      </c>
      <c r="B119" s="6" t="s">
        <v>3233</v>
      </c>
      <c r="C119" s="8" t="s">
        <v>1482</v>
      </c>
      <c r="D119" s="7" t="s">
        <v>2035</v>
      </c>
    </row>
    <row r="120" spans="1:4" ht="47.25" customHeight="1" x14ac:dyDescent="0.25">
      <c r="A120" s="5" t="s">
        <v>330</v>
      </c>
      <c r="B120" s="6" t="s">
        <v>3234</v>
      </c>
      <c r="C120" s="8" t="s">
        <v>102</v>
      </c>
      <c r="D120" s="7" t="s">
        <v>2036</v>
      </c>
    </row>
    <row r="121" spans="1:4" ht="47.25" customHeight="1" x14ac:dyDescent="0.25">
      <c r="A121" s="5" t="s">
        <v>336</v>
      </c>
      <c r="B121" s="6" t="s">
        <v>3235</v>
      </c>
      <c r="C121" s="8" t="s">
        <v>288</v>
      </c>
      <c r="D121" s="7" t="s">
        <v>2037</v>
      </c>
    </row>
    <row r="122" spans="1:4" ht="31.5" customHeight="1" x14ac:dyDescent="0.25">
      <c r="A122" s="5" t="s">
        <v>342</v>
      </c>
      <c r="B122" s="6" t="s">
        <v>3236</v>
      </c>
      <c r="C122" s="8" t="s">
        <v>3237</v>
      </c>
      <c r="D122" s="7" t="s">
        <v>2038</v>
      </c>
    </row>
    <row r="123" spans="1:4" ht="63" customHeight="1" x14ac:dyDescent="0.25">
      <c r="A123" s="5" t="s">
        <v>347</v>
      </c>
      <c r="B123" s="6" t="s">
        <v>3238</v>
      </c>
      <c r="C123" s="8" t="s">
        <v>3239</v>
      </c>
      <c r="D123" s="7" t="s">
        <v>2039</v>
      </c>
    </row>
    <row r="124" spans="1:4" ht="78.75" customHeight="1" x14ac:dyDescent="0.25">
      <c r="A124" s="5" t="s">
        <v>353</v>
      </c>
      <c r="B124" s="6" t="s">
        <v>3240</v>
      </c>
      <c r="C124" s="8" t="s">
        <v>3241</v>
      </c>
      <c r="D124" s="7" t="s">
        <v>2040</v>
      </c>
    </row>
    <row r="125" spans="1:4" ht="31.5" customHeight="1" x14ac:dyDescent="0.25">
      <c r="A125" s="5" t="s">
        <v>358</v>
      </c>
      <c r="B125" s="6" t="s">
        <v>3242</v>
      </c>
      <c r="C125" s="8" t="s">
        <v>3243</v>
      </c>
      <c r="D125" s="7" t="s">
        <v>2041</v>
      </c>
    </row>
    <row r="126" spans="1:4" ht="31.5" customHeight="1" x14ac:dyDescent="0.25">
      <c r="A126" s="5" t="s">
        <v>363</v>
      </c>
      <c r="B126" s="6" t="s">
        <v>3244</v>
      </c>
      <c r="C126" s="8" t="s">
        <v>271</v>
      </c>
      <c r="D126" s="7" t="s">
        <v>2042</v>
      </c>
    </row>
    <row r="127" spans="1:4" ht="31.5" customHeight="1" x14ac:dyDescent="0.25">
      <c r="A127" s="5" t="s">
        <v>368</v>
      </c>
      <c r="B127" s="6" t="s">
        <v>3245</v>
      </c>
      <c r="C127" s="8" t="s">
        <v>172</v>
      </c>
      <c r="D127" s="7" t="s">
        <v>2043</v>
      </c>
    </row>
    <row r="128" spans="1:4" ht="31.5" customHeight="1" x14ac:dyDescent="0.25">
      <c r="A128" s="5" t="s">
        <v>374</v>
      </c>
      <c r="B128" s="6" t="s">
        <v>3246</v>
      </c>
      <c r="C128" s="8" t="s">
        <v>3247</v>
      </c>
      <c r="D128" s="7" t="s">
        <v>2044</v>
      </c>
    </row>
    <row r="129" spans="1:4" ht="31.5" customHeight="1" x14ac:dyDescent="0.25">
      <c r="A129" s="5" t="s">
        <v>380</v>
      </c>
      <c r="B129" s="6" t="s">
        <v>3248</v>
      </c>
      <c r="C129" s="8" t="s">
        <v>3249</v>
      </c>
      <c r="D129" s="7" t="s">
        <v>2045</v>
      </c>
    </row>
    <row r="130" spans="1:4" ht="31.5" customHeight="1" x14ac:dyDescent="0.25">
      <c r="A130" s="5" t="s">
        <v>387</v>
      </c>
      <c r="B130" s="6" t="s">
        <v>3250</v>
      </c>
      <c r="C130" s="8" t="s">
        <v>365</v>
      </c>
      <c r="D130" s="7" t="s">
        <v>2046</v>
      </c>
    </row>
    <row r="131" spans="1:4" ht="47.25" customHeight="1" x14ac:dyDescent="0.25">
      <c r="A131" s="5" t="s">
        <v>393</v>
      </c>
      <c r="B131" s="6" t="s">
        <v>3251</v>
      </c>
      <c r="C131" s="8" t="s">
        <v>112</v>
      </c>
      <c r="D131" s="7" t="s">
        <v>2047</v>
      </c>
    </row>
    <row r="132" spans="1:4" ht="47.25" customHeight="1" x14ac:dyDescent="0.25">
      <c r="A132" s="5" t="s">
        <v>397</v>
      </c>
      <c r="B132" s="6" t="s">
        <v>3252</v>
      </c>
      <c r="C132" s="8" t="s">
        <v>3253</v>
      </c>
      <c r="D132" s="7" t="s">
        <v>2048</v>
      </c>
    </row>
    <row r="133" spans="1:4" ht="47.25" customHeight="1" x14ac:dyDescent="0.25">
      <c r="A133" s="5" t="s">
        <v>403</v>
      </c>
      <c r="B133" s="6" t="s">
        <v>3254</v>
      </c>
      <c r="C133" s="8" t="s">
        <v>3253</v>
      </c>
      <c r="D133" s="7" t="s">
        <v>2049</v>
      </c>
    </row>
    <row r="134" spans="1:4" ht="78.75" customHeight="1" x14ac:dyDescent="0.25">
      <c r="A134" s="5" t="s">
        <v>408</v>
      </c>
      <c r="B134" s="6" t="s">
        <v>3255</v>
      </c>
      <c r="C134" s="8" t="s">
        <v>3256</v>
      </c>
      <c r="D134" s="7" t="s">
        <v>2050</v>
      </c>
    </row>
    <row r="135" spans="1:4" ht="47.25" customHeight="1" x14ac:dyDescent="0.25">
      <c r="A135" s="5" t="s">
        <v>413</v>
      </c>
      <c r="B135" s="6" t="s">
        <v>3257</v>
      </c>
      <c r="C135" s="8" t="s">
        <v>3258</v>
      </c>
      <c r="D135" s="7" t="s">
        <v>2051</v>
      </c>
    </row>
    <row r="136" spans="1:4" ht="47.25" customHeight="1" x14ac:dyDescent="0.25">
      <c r="A136" s="5" t="s">
        <v>419</v>
      </c>
      <c r="B136" s="6" t="s">
        <v>3259</v>
      </c>
      <c r="C136" s="8" t="s">
        <v>3260</v>
      </c>
      <c r="D136" s="7" t="s">
        <v>2052</v>
      </c>
    </row>
    <row r="137" spans="1:4" ht="47.25" customHeight="1" x14ac:dyDescent="0.25">
      <c r="A137" s="5" t="s">
        <v>423</v>
      </c>
      <c r="B137" s="6" t="s">
        <v>3261</v>
      </c>
      <c r="C137" s="8" t="s">
        <v>3262</v>
      </c>
      <c r="D137" s="7" t="s">
        <v>2053</v>
      </c>
    </row>
    <row r="138" spans="1:4" ht="47.25" customHeight="1" x14ac:dyDescent="0.25">
      <c r="A138" s="5" t="s">
        <v>428</v>
      </c>
      <c r="B138" s="6" t="s">
        <v>3263</v>
      </c>
      <c r="C138" s="8" t="s">
        <v>3262</v>
      </c>
      <c r="D138" s="7" t="s">
        <v>2054</v>
      </c>
    </row>
    <row r="139" spans="1:4" ht="31.5" customHeight="1" x14ac:dyDescent="0.25">
      <c r="A139" s="5" t="s">
        <v>433</v>
      </c>
      <c r="B139" s="6" t="s">
        <v>3264</v>
      </c>
      <c r="C139" s="8" t="s">
        <v>3265</v>
      </c>
      <c r="D139" s="7" t="s">
        <v>2055</v>
      </c>
    </row>
    <row r="140" spans="1:4" ht="47.25" customHeight="1" x14ac:dyDescent="0.25">
      <c r="A140" s="5" t="s">
        <v>437</v>
      </c>
      <c r="B140" s="6" t="s">
        <v>3266</v>
      </c>
      <c r="C140" s="8" t="s">
        <v>3265</v>
      </c>
      <c r="D140" s="7" t="s">
        <v>2056</v>
      </c>
    </row>
    <row r="141" spans="1:4" ht="31.5" customHeight="1" x14ac:dyDescent="0.25">
      <c r="A141" s="5" t="s">
        <v>441</v>
      </c>
      <c r="B141" s="6" t="s">
        <v>3267</v>
      </c>
      <c r="C141" s="8" t="s">
        <v>3265</v>
      </c>
      <c r="D141" s="7" t="s">
        <v>2057</v>
      </c>
    </row>
    <row r="142" spans="1:4" ht="110.25" customHeight="1" x14ac:dyDescent="0.25">
      <c r="A142" s="5" t="s">
        <v>446</v>
      </c>
      <c r="B142" s="6" t="s">
        <v>3268</v>
      </c>
      <c r="C142" s="8" t="s">
        <v>3269</v>
      </c>
      <c r="D142" s="7" t="s">
        <v>2058</v>
      </c>
    </row>
    <row r="143" spans="1:4" ht="31.5" customHeight="1" x14ac:dyDescent="0.25">
      <c r="A143" s="5" t="s">
        <v>452</v>
      </c>
      <c r="B143" s="6" t="s">
        <v>3270</v>
      </c>
      <c r="C143" s="8" t="s">
        <v>786</v>
      </c>
      <c r="D143" s="7" t="s">
        <v>2059</v>
      </c>
    </row>
    <row r="144" spans="1:4" ht="47.25" customHeight="1" x14ac:dyDescent="0.25">
      <c r="A144" s="5" t="s">
        <v>457</v>
      </c>
      <c r="B144" s="6" t="s">
        <v>3271</v>
      </c>
      <c r="C144" s="8" t="s">
        <v>519</v>
      </c>
      <c r="D144" s="7" t="s">
        <v>2060</v>
      </c>
    </row>
    <row r="145" spans="1:4" ht="31.5" customHeight="1" x14ac:dyDescent="0.25">
      <c r="A145" s="5" t="s">
        <v>461</v>
      </c>
      <c r="B145" s="6" t="s">
        <v>3272</v>
      </c>
      <c r="C145" s="8" t="s">
        <v>519</v>
      </c>
      <c r="D145" s="7" t="s">
        <v>2061</v>
      </c>
    </row>
    <row r="146" spans="1:4" ht="47.25" customHeight="1" x14ac:dyDescent="0.25">
      <c r="A146" s="5" t="s">
        <v>467</v>
      </c>
      <c r="B146" s="6" t="s">
        <v>3273</v>
      </c>
      <c r="C146" s="8" t="s">
        <v>3196</v>
      </c>
      <c r="D146" s="7" t="s">
        <v>2062</v>
      </c>
    </row>
    <row r="147" spans="1:4" ht="63" customHeight="1" x14ac:dyDescent="0.25">
      <c r="A147" s="5" t="s">
        <v>473</v>
      </c>
      <c r="B147" s="6" t="s">
        <v>3274</v>
      </c>
      <c r="C147" s="8" t="s">
        <v>3275</v>
      </c>
      <c r="D147" s="7" t="s">
        <v>2063</v>
      </c>
    </row>
    <row r="148" spans="1:4" ht="63" customHeight="1" x14ac:dyDescent="0.25">
      <c r="A148" s="5" t="s">
        <v>478</v>
      </c>
      <c r="B148" s="6" t="s">
        <v>3276</v>
      </c>
      <c r="C148" s="8" t="s">
        <v>219</v>
      </c>
      <c r="D148" s="7" t="s">
        <v>2064</v>
      </c>
    </row>
    <row r="149" spans="1:4" ht="31.5" customHeight="1" x14ac:dyDescent="0.25">
      <c r="A149" s="5" t="s">
        <v>483</v>
      </c>
      <c r="B149" s="6" t="s">
        <v>3277</v>
      </c>
      <c r="C149" s="8" t="s">
        <v>1182</v>
      </c>
      <c r="D149" s="7" t="s">
        <v>2065</v>
      </c>
    </row>
    <row r="150" spans="1:4" ht="47.25" customHeight="1" x14ac:dyDescent="0.25">
      <c r="A150" s="5" t="s">
        <v>487</v>
      </c>
      <c r="B150" s="6" t="s">
        <v>3278</v>
      </c>
      <c r="C150" s="8" t="s">
        <v>927</v>
      </c>
      <c r="D150" s="7" t="s">
        <v>2066</v>
      </c>
    </row>
    <row r="151" spans="1:4" ht="47.25" customHeight="1" x14ac:dyDescent="0.25">
      <c r="A151" s="5" t="s">
        <v>493</v>
      </c>
      <c r="B151" s="6" t="s">
        <v>3279</v>
      </c>
      <c r="C151" s="8" t="s">
        <v>415</v>
      </c>
      <c r="D151" s="7" t="s">
        <v>2067</v>
      </c>
    </row>
    <row r="152" spans="1:4" ht="47.25" customHeight="1" x14ac:dyDescent="0.25">
      <c r="A152" s="5" t="s">
        <v>498</v>
      </c>
      <c r="B152" s="6" t="s">
        <v>3280</v>
      </c>
      <c r="C152" s="8" t="s">
        <v>564</v>
      </c>
      <c r="D152" s="7" t="s">
        <v>2068</v>
      </c>
    </row>
    <row r="153" spans="1:4" ht="47.25" customHeight="1" x14ac:dyDescent="0.25">
      <c r="A153" s="5" t="s">
        <v>503</v>
      </c>
      <c r="B153" s="6" t="s">
        <v>3281</v>
      </c>
      <c r="C153" s="8" t="s">
        <v>3282</v>
      </c>
      <c r="D153" s="7" t="s">
        <v>2069</v>
      </c>
    </row>
    <row r="154" spans="1:4" ht="47.25" customHeight="1" x14ac:dyDescent="0.25">
      <c r="A154" s="5" t="s">
        <v>508</v>
      </c>
      <c r="B154" s="6" t="s">
        <v>3283</v>
      </c>
      <c r="C154" s="8" t="s">
        <v>305</v>
      </c>
      <c r="D154" s="7" t="s">
        <v>2070</v>
      </c>
    </row>
    <row r="155" spans="1:4" ht="47.25" customHeight="1" x14ac:dyDescent="0.25">
      <c r="A155" s="5" t="s">
        <v>513</v>
      </c>
      <c r="B155" s="6" t="s">
        <v>3284</v>
      </c>
      <c r="C155" s="8" t="s">
        <v>3285</v>
      </c>
      <c r="D155" s="7" t="s">
        <v>2071</v>
      </c>
    </row>
    <row r="156" spans="1:4" ht="63" customHeight="1" x14ac:dyDescent="0.25">
      <c r="A156" s="5" t="s">
        <v>517</v>
      </c>
      <c r="B156" s="6" t="s">
        <v>3286</v>
      </c>
      <c r="C156" s="8" t="s">
        <v>3287</v>
      </c>
      <c r="D156" s="7" t="s">
        <v>2072</v>
      </c>
    </row>
    <row r="157" spans="1:4" ht="63" customHeight="1" x14ac:dyDescent="0.25">
      <c r="A157" s="5" t="s">
        <v>522</v>
      </c>
      <c r="B157" s="6" t="s">
        <v>3288</v>
      </c>
      <c r="C157" s="8" t="s">
        <v>3285</v>
      </c>
      <c r="D157" s="7" t="s">
        <v>2073</v>
      </c>
    </row>
    <row r="158" spans="1:4" ht="78.75" customHeight="1" x14ac:dyDescent="0.25">
      <c r="A158" s="5" t="s">
        <v>528</v>
      </c>
      <c r="B158" s="6" t="s">
        <v>3289</v>
      </c>
      <c r="C158" s="8" t="s">
        <v>3290</v>
      </c>
      <c r="D158" s="7" t="s">
        <v>2074</v>
      </c>
    </row>
    <row r="159" spans="1:4" ht="47.25" customHeight="1" x14ac:dyDescent="0.25">
      <c r="A159" s="5" t="s">
        <v>532</v>
      </c>
      <c r="B159" s="6" t="s">
        <v>3291</v>
      </c>
      <c r="C159" s="8" t="s">
        <v>3292</v>
      </c>
      <c r="D159" s="7" t="s">
        <v>2075</v>
      </c>
    </row>
    <row r="160" spans="1:4" ht="31.5" customHeight="1" x14ac:dyDescent="0.25">
      <c r="A160" s="5" t="s">
        <v>537</v>
      </c>
      <c r="B160" s="6" t="s">
        <v>3293</v>
      </c>
      <c r="C160" s="8" t="s">
        <v>1048</v>
      </c>
      <c r="D160" s="7" t="s">
        <v>2076</v>
      </c>
    </row>
    <row r="161" spans="1:4" ht="31.5" customHeight="1" x14ac:dyDescent="0.25">
      <c r="A161" s="5" t="s">
        <v>540</v>
      </c>
      <c r="B161" s="6" t="s">
        <v>3294</v>
      </c>
      <c r="C161" s="8" t="s">
        <v>3295</v>
      </c>
      <c r="D161" s="7" t="s">
        <v>2077</v>
      </c>
    </row>
    <row r="162" spans="1:4" x14ac:dyDescent="0.25">
      <c r="A162" s="5" t="s">
        <v>544</v>
      </c>
      <c r="B162" s="6" t="s">
        <v>3296</v>
      </c>
      <c r="C162" s="8" t="s">
        <v>3297</v>
      </c>
      <c r="D162" s="7" t="s">
        <v>2078</v>
      </c>
    </row>
    <row r="163" spans="1:4" ht="31.5" customHeight="1" x14ac:dyDescent="0.25">
      <c r="A163" s="5" t="s">
        <v>549</v>
      </c>
      <c r="B163" s="6" t="s">
        <v>3298</v>
      </c>
      <c r="C163" s="8" t="s">
        <v>3299</v>
      </c>
      <c r="D163" s="7" t="s">
        <v>2079</v>
      </c>
    </row>
    <row r="164" spans="1:4" ht="47.25" customHeight="1" x14ac:dyDescent="0.25">
      <c r="A164" s="5" t="s">
        <v>553</v>
      </c>
      <c r="B164" s="6" t="s">
        <v>3300</v>
      </c>
      <c r="C164" s="8" t="s">
        <v>3301</v>
      </c>
      <c r="D164" s="7" t="s">
        <v>2080</v>
      </c>
    </row>
    <row r="165" spans="1:4" ht="47.25" customHeight="1" x14ac:dyDescent="0.25">
      <c r="A165" s="5" t="s">
        <v>557</v>
      </c>
      <c r="B165" s="6" t="s">
        <v>3302</v>
      </c>
      <c r="C165" s="50" t="s">
        <v>3303</v>
      </c>
      <c r="D165" s="7" t="s">
        <v>2081</v>
      </c>
    </row>
    <row r="166" spans="1:4" ht="47.25" customHeight="1" x14ac:dyDescent="0.25">
      <c r="A166" s="5" t="s">
        <v>562</v>
      </c>
      <c r="B166" s="6" t="s">
        <v>3304</v>
      </c>
      <c r="C166" s="8" t="s">
        <v>3305</v>
      </c>
      <c r="D166" s="7" t="s">
        <v>2082</v>
      </c>
    </row>
    <row r="167" spans="1:4" ht="47.25" customHeight="1" x14ac:dyDescent="0.25">
      <c r="A167" s="5" t="s">
        <v>567</v>
      </c>
      <c r="B167" s="6" t="s">
        <v>3306</v>
      </c>
      <c r="C167" s="8" t="s">
        <v>3307</v>
      </c>
      <c r="D167" s="7" t="s">
        <v>2083</v>
      </c>
    </row>
    <row r="168" spans="1:4" ht="47.25" customHeight="1" x14ac:dyDescent="0.25">
      <c r="A168" s="5" t="s">
        <v>573</v>
      </c>
      <c r="B168" s="6" t="s">
        <v>3308</v>
      </c>
      <c r="C168" s="8" t="s">
        <v>1337</v>
      </c>
      <c r="D168" s="7" t="s">
        <v>2084</v>
      </c>
    </row>
    <row r="169" spans="1:4" ht="47.25" customHeight="1" x14ac:dyDescent="0.25">
      <c r="A169" s="5" t="s">
        <v>577</v>
      </c>
      <c r="B169" s="6" t="s">
        <v>3309</v>
      </c>
      <c r="C169" s="8" t="s">
        <v>950</v>
      </c>
      <c r="D169" s="7" t="s">
        <v>2085</v>
      </c>
    </row>
    <row r="170" spans="1:4" ht="31.5" customHeight="1" x14ac:dyDescent="0.25">
      <c r="A170" s="5" t="s">
        <v>580</v>
      </c>
      <c r="B170" s="6" t="s">
        <v>3310</v>
      </c>
      <c r="C170" s="8" t="s">
        <v>1091</v>
      </c>
      <c r="D170" s="7" t="s">
        <v>2086</v>
      </c>
    </row>
    <row r="171" spans="1:4" ht="47.25" customHeight="1" x14ac:dyDescent="0.25">
      <c r="A171" s="5" t="s">
        <v>584</v>
      </c>
      <c r="B171" s="6" t="s">
        <v>3311</v>
      </c>
      <c r="C171" s="8" t="s">
        <v>3292</v>
      </c>
      <c r="D171" s="7" t="s">
        <v>2087</v>
      </c>
    </row>
    <row r="172" spans="1:4" ht="47.25" customHeight="1" x14ac:dyDescent="0.25">
      <c r="A172" s="5" t="s">
        <v>588</v>
      </c>
      <c r="B172" s="6" t="s">
        <v>3312</v>
      </c>
      <c r="C172" s="8" t="s">
        <v>683</v>
      </c>
      <c r="D172" s="7" t="s">
        <v>2088</v>
      </c>
    </row>
    <row r="173" spans="1:4" ht="47.25" customHeight="1" x14ac:dyDescent="0.25">
      <c r="A173" s="5" t="s">
        <v>593</v>
      </c>
      <c r="B173" s="6" t="s">
        <v>3313</v>
      </c>
      <c r="C173" s="8" t="s">
        <v>3196</v>
      </c>
      <c r="D173" s="7" t="s">
        <v>2089</v>
      </c>
    </row>
    <row r="174" spans="1:4" ht="47.25" customHeight="1" x14ac:dyDescent="0.25">
      <c r="A174" s="5" t="s">
        <v>598</v>
      </c>
      <c r="B174" s="6" t="s">
        <v>3314</v>
      </c>
      <c r="C174" s="8" t="s">
        <v>3315</v>
      </c>
      <c r="D174" s="7" t="s">
        <v>2090</v>
      </c>
    </row>
    <row r="175" spans="1:4" ht="31.5" customHeight="1" x14ac:dyDescent="0.25">
      <c r="A175" s="5" t="s">
        <v>602</v>
      </c>
      <c r="B175" s="6" t="s">
        <v>3316</v>
      </c>
      <c r="C175" s="8" t="s">
        <v>1512</v>
      </c>
      <c r="D175" s="7" t="s">
        <v>2091</v>
      </c>
    </row>
    <row r="176" spans="1:4" ht="31.5" customHeight="1" x14ac:dyDescent="0.25">
      <c r="A176" s="5" t="s">
        <v>607</v>
      </c>
      <c r="B176" s="6" t="s">
        <v>3317</v>
      </c>
      <c r="C176" s="8" t="s">
        <v>1114</v>
      </c>
      <c r="D176" s="7" t="s">
        <v>2092</v>
      </c>
    </row>
    <row r="177" spans="1:4" ht="47.25" customHeight="1" x14ac:dyDescent="0.25">
      <c r="A177" s="5" t="s">
        <v>612</v>
      </c>
      <c r="B177" s="6" t="s">
        <v>3318</v>
      </c>
      <c r="C177" s="8" t="s">
        <v>3319</v>
      </c>
      <c r="D177" s="7" t="s">
        <v>2093</v>
      </c>
    </row>
    <row r="178" spans="1:4" ht="63" customHeight="1" x14ac:dyDescent="0.25">
      <c r="A178" s="5" t="s">
        <v>617</v>
      </c>
      <c r="B178" s="6" t="s">
        <v>3320</v>
      </c>
      <c r="C178" s="8" t="s">
        <v>1114</v>
      </c>
      <c r="D178" s="7" t="s">
        <v>2094</v>
      </c>
    </row>
    <row r="179" spans="1:4" ht="31.5" customHeight="1" x14ac:dyDescent="0.25">
      <c r="A179" s="5" t="s">
        <v>622</v>
      </c>
      <c r="B179" s="6" t="s">
        <v>3321</v>
      </c>
      <c r="C179" s="8" t="s">
        <v>3322</v>
      </c>
      <c r="D179" s="7" t="s">
        <v>2095</v>
      </c>
    </row>
    <row r="180" spans="1:4" ht="31.5" customHeight="1" x14ac:dyDescent="0.25">
      <c r="A180" s="5" t="s">
        <v>627</v>
      </c>
      <c r="B180" s="6" t="s">
        <v>3323</v>
      </c>
      <c r="C180" s="8" t="s">
        <v>3324</v>
      </c>
      <c r="D180" s="7" t="s">
        <v>2096</v>
      </c>
    </row>
    <row r="181" spans="1:4" ht="63" customHeight="1" x14ac:dyDescent="0.25">
      <c r="A181" s="5" t="s">
        <v>632</v>
      </c>
      <c r="B181" s="6" t="s">
        <v>3325</v>
      </c>
      <c r="C181" s="8" t="s">
        <v>3326</v>
      </c>
      <c r="D181" s="7" t="s">
        <v>2097</v>
      </c>
    </row>
    <row r="182" spans="1:4" ht="47.25" customHeight="1" x14ac:dyDescent="0.25">
      <c r="A182" s="5" t="s">
        <v>636</v>
      </c>
      <c r="B182" s="6" t="s">
        <v>3327</v>
      </c>
      <c r="C182" s="8" t="s">
        <v>3328</v>
      </c>
      <c r="D182" s="7" t="s">
        <v>2098</v>
      </c>
    </row>
    <row r="183" spans="1:4" ht="31.5" customHeight="1" x14ac:dyDescent="0.25">
      <c r="A183" s="5" t="s">
        <v>641</v>
      </c>
      <c r="B183" s="6" t="s">
        <v>3329</v>
      </c>
      <c r="C183" s="8" t="s">
        <v>3328</v>
      </c>
      <c r="D183" s="7" t="s">
        <v>2099</v>
      </c>
    </row>
    <row r="184" spans="1:4" ht="47.25" customHeight="1" x14ac:dyDescent="0.25">
      <c r="A184" s="5" t="s">
        <v>646</v>
      </c>
      <c r="B184" s="6" t="s">
        <v>3330</v>
      </c>
      <c r="C184" s="8" t="s">
        <v>3331</v>
      </c>
      <c r="D184" s="7" t="s">
        <v>2100</v>
      </c>
    </row>
    <row r="185" spans="1:4" ht="47.25" customHeight="1" x14ac:dyDescent="0.25">
      <c r="A185" s="5" t="s">
        <v>651</v>
      </c>
      <c r="B185" s="6" t="s">
        <v>3332</v>
      </c>
      <c r="C185" s="8" t="s">
        <v>3333</v>
      </c>
      <c r="D185" s="7" t="s">
        <v>2101</v>
      </c>
    </row>
    <row r="186" spans="1:4" ht="31.5" customHeight="1" x14ac:dyDescent="0.25">
      <c r="A186" s="5" t="s">
        <v>655</v>
      </c>
      <c r="B186" s="6" t="s">
        <v>3334</v>
      </c>
      <c r="C186" s="8" t="s">
        <v>1411</v>
      </c>
      <c r="D186" s="7" t="s">
        <v>2102</v>
      </c>
    </row>
    <row r="187" spans="1:4" ht="31.5" customHeight="1" x14ac:dyDescent="0.25">
      <c r="A187" s="5" t="s">
        <v>660</v>
      </c>
      <c r="B187" s="6" t="s">
        <v>3335</v>
      </c>
      <c r="C187" s="8" t="s">
        <v>1411</v>
      </c>
      <c r="D187" s="7" t="s">
        <v>2103</v>
      </c>
    </row>
    <row r="188" spans="1:4" ht="63" customHeight="1" x14ac:dyDescent="0.25">
      <c r="A188" s="5" t="s">
        <v>665</v>
      </c>
      <c r="B188" s="6" t="s">
        <v>3336</v>
      </c>
      <c r="C188" s="8" t="s">
        <v>3337</v>
      </c>
      <c r="D188" s="7" t="s">
        <v>2104</v>
      </c>
    </row>
    <row r="189" spans="1:4" ht="31.5" customHeight="1" x14ac:dyDescent="0.25">
      <c r="A189" s="5" t="s">
        <v>670</v>
      </c>
      <c r="B189" s="6" t="s">
        <v>3338</v>
      </c>
      <c r="C189" s="8" t="s">
        <v>3339</v>
      </c>
      <c r="D189" s="7" t="s">
        <v>2105</v>
      </c>
    </row>
    <row r="190" spans="1:4" ht="47.25" customHeight="1" x14ac:dyDescent="0.25">
      <c r="A190" s="5" t="s">
        <v>676</v>
      </c>
      <c r="B190" s="6" t="s">
        <v>3340</v>
      </c>
      <c r="C190" s="8" t="s">
        <v>3341</v>
      </c>
      <c r="D190" s="7" t="s">
        <v>2106</v>
      </c>
    </row>
    <row r="191" spans="1:4" ht="31.5" customHeight="1" x14ac:dyDescent="0.25">
      <c r="A191" s="5" t="s">
        <v>681</v>
      </c>
      <c r="B191" s="6" t="s">
        <v>3342</v>
      </c>
      <c r="C191" s="8" t="s">
        <v>360</v>
      </c>
      <c r="D191" s="7" t="s">
        <v>2107</v>
      </c>
    </row>
    <row r="192" spans="1:4" ht="63" customHeight="1" x14ac:dyDescent="0.25">
      <c r="A192" s="5" t="s">
        <v>687</v>
      </c>
      <c r="B192" s="6" t="s">
        <v>3343</v>
      </c>
      <c r="C192" s="8" t="s">
        <v>73</v>
      </c>
      <c r="D192" s="7" t="s">
        <v>2108</v>
      </c>
    </row>
    <row r="193" spans="1:4" ht="78.75" customHeight="1" x14ac:dyDescent="0.25">
      <c r="A193" s="5" t="s">
        <v>691</v>
      </c>
      <c r="B193" s="6" t="s">
        <v>3344</v>
      </c>
      <c r="C193" s="8" t="s">
        <v>3345</v>
      </c>
      <c r="D193" s="7" t="s">
        <v>2109</v>
      </c>
    </row>
    <row r="194" spans="1:4" ht="31.5" customHeight="1" x14ac:dyDescent="0.25">
      <c r="A194" s="5" t="s">
        <v>695</v>
      </c>
      <c r="B194" s="6" t="s">
        <v>3346</v>
      </c>
      <c r="C194" s="8" t="s">
        <v>1741</v>
      </c>
      <c r="D194" s="7" t="s">
        <v>2110</v>
      </c>
    </row>
    <row r="195" spans="1:4" ht="47.25" customHeight="1" x14ac:dyDescent="0.25">
      <c r="A195" s="5" t="s">
        <v>700</v>
      </c>
      <c r="B195" s="6" t="s">
        <v>3347</v>
      </c>
      <c r="C195" s="8" t="s">
        <v>154</v>
      </c>
      <c r="D195" s="7" t="s">
        <v>2111</v>
      </c>
    </row>
    <row r="196" spans="1:4" ht="47.25" customHeight="1" x14ac:dyDescent="0.25">
      <c r="A196" s="5" t="s">
        <v>704</v>
      </c>
      <c r="B196" s="6" t="s">
        <v>3348</v>
      </c>
      <c r="C196" s="8" t="s">
        <v>154</v>
      </c>
      <c r="D196" s="7" t="s">
        <v>2112</v>
      </c>
    </row>
    <row r="197" spans="1:4" ht="47.25" customHeight="1" x14ac:dyDescent="0.25">
      <c r="A197" s="5" t="s">
        <v>708</v>
      </c>
      <c r="B197" s="6" t="s">
        <v>3349</v>
      </c>
      <c r="C197" s="8" t="s">
        <v>1162</v>
      </c>
      <c r="D197" s="7" t="s">
        <v>2113</v>
      </c>
    </row>
    <row r="198" spans="1:4" ht="31.5" customHeight="1" x14ac:dyDescent="0.25">
      <c r="A198" s="5" t="s">
        <v>714</v>
      </c>
      <c r="B198" s="6" t="s">
        <v>3350</v>
      </c>
      <c r="C198" s="8" t="s">
        <v>98</v>
      </c>
      <c r="D198" s="7" t="s">
        <v>2114</v>
      </c>
    </row>
    <row r="199" spans="1:4" ht="31.5" customHeight="1" x14ac:dyDescent="0.25">
      <c r="A199" s="5" t="s">
        <v>718</v>
      </c>
      <c r="B199" s="6" t="s">
        <v>3351</v>
      </c>
      <c r="C199" s="8" t="s">
        <v>3352</v>
      </c>
      <c r="D199" s="7" t="s">
        <v>2115</v>
      </c>
    </row>
    <row r="200" spans="1:4" ht="31.5" customHeight="1" x14ac:dyDescent="0.25">
      <c r="A200" s="5" t="s">
        <v>723</v>
      </c>
      <c r="B200" s="6" t="s">
        <v>3353</v>
      </c>
      <c r="C200" s="8" t="s">
        <v>1091</v>
      </c>
      <c r="D200" s="7" t="s">
        <v>2116</v>
      </c>
    </row>
    <row r="201" spans="1:4" ht="31.5" customHeight="1" x14ac:dyDescent="0.25">
      <c r="A201" s="5" t="s">
        <v>728</v>
      </c>
      <c r="B201" s="6" t="s">
        <v>3354</v>
      </c>
      <c r="C201" s="8" t="s">
        <v>3355</v>
      </c>
      <c r="D201" s="7" t="s">
        <v>2117</v>
      </c>
    </row>
    <row r="202" spans="1:4" ht="47.25" customHeight="1" x14ac:dyDescent="0.25">
      <c r="A202" s="5" t="s">
        <v>733</v>
      </c>
      <c r="B202" s="6" t="s">
        <v>3356</v>
      </c>
      <c r="C202" s="8" t="s">
        <v>3328</v>
      </c>
      <c r="D202" s="7" t="s">
        <v>2118</v>
      </c>
    </row>
    <row r="203" spans="1:4" ht="47.25" customHeight="1" x14ac:dyDescent="0.25">
      <c r="A203" s="5" t="s">
        <v>736</v>
      </c>
      <c r="B203" s="6" t="s">
        <v>3357</v>
      </c>
      <c r="C203" s="8" t="s">
        <v>1574</v>
      </c>
      <c r="D203" s="7" t="s">
        <v>2119</v>
      </c>
    </row>
    <row r="204" spans="1:4" ht="63" customHeight="1" x14ac:dyDescent="0.25">
      <c r="A204" s="5" t="s">
        <v>741</v>
      </c>
      <c r="B204" s="6" t="s">
        <v>3358</v>
      </c>
      <c r="C204" s="8" t="s">
        <v>3359</v>
      </c>
      <c r="D204" s="7" t="s">
        <v>2120</v>
      </c>
    </row>
    <row r="205" spans="1:4" ht="63" customHeight="1" x14ac:dyDescent="0.25">
      <c r="A205" s="5" t="s">
        <v>746</v>
      </c>
      <c r="B205" s="6" t="s">
        <v>3360</v>
      </c>
      <c r="C205" s="8" t="s">
        <v>1245</v>
      </c>
      <c r="D205" s="7" t="s">
        <v>2121</v>
      </c>
    </row>
    <row r="206" spans="1:4" ht="31.5" customHeight="1" x14ac:dyDescent="0.25">
      <c r="A206" s="5" t="s">
        <v>750</v>
      </c>
      <c r="B206" s="6" t="s">
        <v>3361</v>
      </c>
      <c r="C206" s="8" t="s">
        <v>3185</v>
      </c>
      <c r="D206" s="7" t="s">
        <v>2122</v>
      </c>
    </row>
    <row r="207" spans="1:4" ht="31.5" customHeight="1" x14ac:dyDescent="0.25">
      <c r="A207" s="5" t="s">
        <v>754</v>
      </c>
      <c r="B207" s="6" t="s">
        <v>3362</v>
      </c>
      <c r="C207" s="8" t="s">
        <v>1487</v>
      </c>
      <c r="D207" s="7" t="s">
        <v>2123</v>
      </c>
    </row>
    <row r="208" spans="1:4" ht="47.25" customHeight="1" x14ac:dyDescent="0.25">
      <c r="A208" s="5" t="s">
        <v>760</v>
      </c>
      <c r="B208" s="6" t="s">
        <v>3363</v>
      </c>
      <c r="C208" s="8" t="s">
        <v>1091</v>
      </c>
      <c r="D208" s="7" t="s">
        <v>2124</v>
      </c>
    </row>
    <row r="209" spans="1:4" ht="31.5" customHeight="1" x14ac:dyDescent="0.25">
      <c r="A209" s="5" t="s">
        <v>765</v>
      </c>
      <c r="B209" s="6" t="s">
        <v>3364</v>
      </c>
      <c r="C209" s="8" t="s">
        <v>3365</v>
      </c>
      <c r="D209" s="7" t="s">
        <v>2125</v>
      </c>
    </row>
    <row r="210" spans="1:4" ht="31.5" customHeight="1" x14ac:dyDescent="0.25">
      <c r="A210" s="5" t="s">
        <v>770</v>
      </c>
      <c r="B210" s="6" t="s">
        <v>3366</v>
      </c>
      <c r="C210" s="8" t="s">
        <v>3132</v>
      </c>
      <c r="D210" s="7" t="s">
        <v>2126</v>
      </c>
    </row>
    <row r="211" spans="1:4" ht="63" customHeight="1" x14ac:dyDescent="0.25">
      <c r="A211" s="5" t="s">
        <v>775</v>
      </c>
      <c r="B211" s="6" t="s">
        <v>3367</v>
      </c>
      <c r="C211" s="8" t="s">
        <v>3368</v>
      </c>
      <c r="D211" s="7" t="s">
        <v>2127</v>
      </c>
    </row>
    <row r="212" spans="1:4" ht="31.5" customHeight="1" x14ac:dyDescent="0.25">
      <c r="A212" s="5" t="s">
        <v>779</v>
      </c>
      <c r="B212" s="6" t="s">
        <v>3369</v>
      </c>
      <c r="C212" s="8" t="s">
        <v>738</v>
      </c>
      <c r="D212" s="7" t="s">
        <v>2128</v>
      </c>
    </row>
    <row r="213" spans="1:4" ht="47.25" customHeight="1" x14ac:dyDescent="0.25">
      <c r="A213" s="5" t="s">
        <v>784</v>
      </c>
      <c r="B213" s="6" t="s">
        <v>3370</v>
      </c>
      <c r="C213" s="8" t="s">
        <v>3371</v>
      </c>
      <c r="D213" s="7" t="s">
        <v>2129</v>
      </c>
    </row>
    <row r="214" spans="1:4" ht="47.25" customHeight="1" x14ac:dyDescent="0.25">
      <c r="A214" s="5" t="s">
        <v>789</v>
      </c>
      <c r="B214" s="6" t="s">
        <v>3372</v>
      </c>
      <c r="C214" s="8" t="s">
        <v>288</v>
      </c>
      <c r="D214" s="7" t="s">
        <v>2130</v>
      </c>
    </row>
    <row r="215" spans="1:4" ht="47.25" customHeight="1" x14ac:dyDescent="0.25">
      <c r="A215" s="5" t="s">
        <v>793</v>
      </c>
      <c r="B215" s="6" t="s">
        <v>3373</v>
      </c>
      <c r="C215" s="8" t="s">
        <v>3116</v>
      </c>
      <c r="D215" s="7" t="s">
        <v>2131</v>
      </c>
    </row>
    <row r="216" spans="1:4" ht="47.25" customHeight="1" x14ac:dyDescent="0.25">
      <c r="A216" s="5" t="s">
        <v>798</v>
      </c>
      <c r="B216" s="6" t="s">
        <v>3374</v>
      </c>
      <c r="C216" s="8" t="s">
        <v>3375</v>
      </c>
      <c r="D216" s="7" t="s">
        <v>2132</v>
      </c>
    </row>
    <row r="217" spans="1:4" ht="47.25" customHeight="1" x14ac:dyDescent="0.25">
      <c r="A217" s="5" t="s">
        <v>802</v>
      </c>
      <c r="B217" s="6" t="s">
        <v>3376</v>
      </c>
      <c r="C217" s="8" t="s">
        <v>3275</v>
      </c>
      <c r="D217" s="7" t="s">
        <v>2133</v>
      </c>
    </row>
    <row r="218" spans="1:4" ht="47.25" customHeight="1" x14ac:dyDescent="0.25">
      <c r="A218" s="5" t="s">
        <v>808</v>
      </c>
      <c r="B218" s="6" t="s">
        <v>3377</v>
      </c>
      <c r="C218" s="8" t="s">
        <v>1337</v>
      </c>
      <c r="D218" s="7" t="s">
        <v>2134</v>
      </c>
    </row>
    <row r="219" spans="1:4" ht="47.25" customHeight="1" x14ac:dyDescent="0.25">
      <c r="A219" s="5" t="s">
        <v>813</v>
      </c>
      <c r="B219" s="6" t="s">
        <v>3378</v>
      </c>
      <c r="C219" s="8" t="s">
        <v>510</v>
      </c>
      <c r="D219" s="7" t="s">
        <v>2135</v>
      </c>
    </row>
    <row r="220" spans="1:4" ht="63" customHeight="1" x14ac:dyDescent="0.25">
      <c r="A220" s="5" t="s">
        <v>817</v>
      </c>
      <c r="B220" s="6" t="s">
        <v>3379</v>
      </c>
      <c r="C220" s="8" t="s">
        <v>3380</v>
      </c>
      <c r="D220" s="7" t="s">
        <v>2136</v>
      </c>
    </row>
    <row r="221" spans="1:4" ht="47.25" customHeight="1" x14ac:dyDescent="0.25">
      <c r="A221" s="5" t="s">
        <v>820</v>
      </c>
      <c r="B221" s="6" t="s">
        <v>3381</v>
      </c>
      <c r="C221" s="8" t="s">
        <v>3382</v>
      </c>
      <c r="D221" s="7" t="s">
        <v>2137</v>
      </c>
    </row>
    <row r="222" spans="1:4" ht="47.25" customHeight="1" x14ac:dyDescent="0.25">
      <c r="A222" s="5" t="s">
        <v>824</v>
      </c>
      <c r="B222" s="6" t="s">
        <v>3383</v>
      </c>
      <c r="C222" s="8" t="s">
        <v>3384</v>
      </c>
      <c r="D222" s="7" t="s">
        <v>2138</v>
      </c>
    </row>
    <row r="223" spans="1:4" ht="31.5" customHeight="1" x14ac:dyDescent="0.25">
      <c r="A223" s="5" t="s">
        <v>828</v>
      </c>
      <c r="B223" s="6" t="s">
        <v>3385</v>
      </c>
      <c r="C223" s="8" t="s">
        <v>3386</v>
      </c>
      <c r="D223" s="7" t="s">
        <v>2139</v>
      </c>
    </row>
    <row r="224" spans="1:4" ht="31.5" customHeight="1" x14ac:dyDescent="0.25">
      <c r="A224" s="5" t="s">
        <v>832</v>
      </c>
      <c r="B224" s="6" t="s">
        <v>3387</v>
      </c>
      <c r="C224" s="8" t="s">
        <v>1487</v>
      </c>
      <c r="D224" s="7" t="s">
        <v>2140</v>
      </c>
    </row>
    <row r="225" spans="1:4" ht="47.25" customHeight="1" x14ac:dyDescent="0.25">
      <c r="A225" s="5" t="s">
        <v>837</v>
      </c>
      <c r="B225" s="6" t="s">
        <v>3388</v>
      </c>
      <c r="C225" s="8" t="s">
        <v>62</v>
      </c>
      <c r="D225" s="7" t="s">
        <v>2141</v>
      </c>
    </row>
    <row r="226" spans="1:4" ht="47.25" customHeight="1" x14ac:dyDescent="0.25">
      <c r="A226" s="5" t="s">
        <v>842</v>
      </c>
      <c r="B226" s="6" t="s">
        <v>3389</v>
      </c>
      <c r="C226" s="8" t="s">
        <v>3390</v>
      </c>
      <c r="D226" s="7" t="s">
        <v>2142</v>
      </c>
    </row>
    <row r="227" spans="1:4" ht="31.5" customHeight="1" x14ac:dyDescent="0.25">
      <c r="A227" s="5" t="s">
        <v>847</v>
      </c>
      <c r="B227" s="6" t="s">
        <v>3391</v>
      </c>
      <c r="C227" s="8" t="s">
        <v>376</v>
      </c>
      <c r="D227" s="7" t="s">
        <v>2143</v>
      </c>
    </row>
    <row r="228" spans="1:4" ht="31.5" customHeight="1" x14ac:dyDescent="0.25">
      <c r="A228" s="5" t="s">
        <v>851</v>
      </c>
      <c r="B228" s="6" t="s">
        <v>3392</v>
      </c>
      <c r="C228" s="8" t="s">
        <v>1048</v>
      </c>
      <c r="D228" s="7" t="s">
        <v>2144</v>
      </c>
    </row>
    <row r="229" spans="1:4" ht="31.5" customHeight="1" x14ac:dyDescent="0.25">
      <c r="A229" s="5" t="s">
        <v>856</v>
      </c>
      <c r="B229" s="6" t="s">
        <v>3393</v>
      </c>
      <c r="C229" s="8" t="s">
        <v>3394</v>
      </c>
      <c r="D229" s="7" t="s">
        <v>2145</v>
      </c>
    </row>
    <row r="230" spans="1:4" ht="31.5" customHeight="1" x14ac:dyDescent="0.25">
      <c r="A230" s="5" t="s">
        <v>861</v>
      </c>
      <c r="B230" s="6" t="s">
        <v>3395</v>
      </c>
      <c r="C230" s="8" t="s">
        <v>3396</v>
      </c>
      <c r="D230" s="7" t="s">
        <v>2146</v>
      </c>
    </row>
    <row r="231" spans="1:4" ht="31.5" customHeight="1" x14ac:dyDescent="0.25">
      <c r="A231" s="5" t="s">
        <v>866</v>
      </c>
      <c r="B231" s="6" t="s">
        <v>3397</v>
      </c>
      <c r="C231" s="8" t="s">
        <v>3398</v>
      </c>
      <c r="D231" s="7" t="s">
        <v>2147</v>
      </c>
    </row>
    <row r="232" spans="1:4" ht="63" customHeight="1" x14ac:dyDescent="0.25">
      <c r="A232" s="5" t="s">
        <v>870</v>
      </c>
      <c r="B232" s="6" t="s">
        <v>3399</v>
      </c>
      <c r="C232" s="8" t="s">
        <v>3400</v>
      </c>
      <c r="D232" s="7" t="s">
        <v>2148</v>
      </c>
    </row>
    <row r="233" spans="1:4" ht="31.5" customHeight="1" x14ac:dyDescent="0.25">
      <c r="A233" s="5" t="s">
        <v>874</v>
      </c>
      <c r="B233" s="6" t="s">
        <v>3401</v>
      </c>
      <c r="C233" s="8" t="s">
        <v>3301</v>
      </c>
      <c r="D233" s="7" t="s">
        <v>2149</v>
      </c>
    </row>
    <row r="234" spans="1:4" ht="47.25" customHeight="1" x14ac:dyDescent="0.25">
      <c r="A234" s="5" t="s">
        <v>880</v>
      </c>
      <c r="B234" s="6" t="s">
        <v>3402</v>
      </c>
      <c r="C234" s="8" t="s">
        <v>3301</v>
      </c>
      <c r="D234" s="7" t="s">
        <v>2150</v>
      </c>
    </row>
    <row r="235" spans="1:4" ht="47.25" customHeight="1" x14ac:dyDescent="0.25">
      <c r="A235" s="5" t="s">
        <v>884</v>
      </c>
      <c r="B235" s="6" t="s">
        <v>3403</v>
      </c>
      <c r="C235" s="8" t="s">
        <v>3404</v>
      </c>
      <c r="D235" s="7" t="s">
        <v>2151</v>
      </c>
    </row>
    <row r="236" spans="1:4" ht="47.25" customHeight="1" x14ac:dyDescent="0.25">
      <c r="A236" s="5" t="s">
        <v>888</v>
      </c>
      <c r="B236" s="6" t="s">
        <v>3405</v>
      </c>
      <c r="C236" s="8" t="s">
        <v>3400</v>
      </c>
      <c r="D236" s="7" t="s">
        <v>2152</v>
      </c>
    </row>
    <row r="237" spans="1:4" ht="47.25" customHeight="1" x14ac:dyDescent="0.25">
      <c r="A237" s="5" t="s">
        <v>892</v>
      </c>
      <c r="B237" s="6" t="s">
        <v>3406</v>
      </c>
      <c r="C237" s="8" t="s">
        <v>3407</v>
      </c>
      <c r="D237" s="7" t="s">
        <v>2153</v>
      </c>
    </row>
    <row r="238" spans="1:4" ht="47.25" customHeight="1" x14ac:dyDescent="0.25">
      <c r="A238" s="5" t="s">
        <v>896</v>
      </c>
      <c r="B238" s="6" t="s">
        <v>3408</v>
      </c>
      <c r="C238" s="8" t="s">
        <v>3404</v>
      </c>
      <c r="D238" s="7" t="s">
        <v>2154</v>
      </c>
    </row>
    <row r="239" spans="1:4" ht="47.25" customHeight="1" x14ac:dyDescent="0.25">
      <c r="A239" s="5" t="s">
        <v>899</v>
      </c>
      <c r="B239" s="6" t="s">
        <v>3409</v>
      </c>
      <c r="C239" s="8" t="s">
        <v>3404</v>
      </c>
      <c r="D239" s="7" t="s">
        <v>2155</v>
      </c>
    </row>
    <row r="240" spans="1:4" ht="47.25" customHeight="1" x14ac:dyDescent="0.25">
      <c r="A240" s="5" t="s">
        <v>903</v>
      </c>
      <c r="B240" s="6" t="s">
        <v>3410</v>
      </c>
      <c r="C240" s="8" t="s">
        <v>3099</v>
      </c>
      <c r="D240" s="7" t="s">
        <v>2156</v>
      </c>
    </row>
    <row r="241" spans="1:4" ht="31.5" customHeight="1" x14ac:dyDescent="0.25">
      <c r="A241" s="5" t="s">
        <v>907</v>
      </c>
      <c r="B241" s="6" t="s">
        <v>3411</v>
      </c>
      <c r="C241" s="8" t="s">
        <v>510</v>
      </c>
      <c r="D241" s="7" t="s">
        <v>2157</v>
      </c>
    </row>
    <row r="242" spans="1:4" ht="31.5" customHeight="1" x14ac:dyDescent="0.25">
      <c r="A242" s="5" t="s">
        <v>912</v>
      </c>
      <c r="B242" s="6" t="s">
        <v>3412</v>
      </c>
      <c r="C242" s="8" t="s">
        <v>1780</v>
      </c>
      <c r="D242" s="7" t="s">
        <v>2158</v>
      </c>
    </row>
    <row r="243" spans="1:4" ht="47.25" customHeight="1" x14ac:dyDescent="0.25">
      <c r="A243" s="5" t="s">
        <v>916</v>
      </c>
      <c r="B243" s="6" t="s">
        <v>3413</v>
      </c>
      <c r="C243" s="8" t="s">
        <v>62</v>
      </c>
      <c r="D243" s="7" t="s">
        <v>2159</v>
      </c>
    </row>
    <row r="244" spans="1:4" ht="31.5" customHeight="1" x14ac:dyDescent="0.25">
      <c r="A244" s="5" t="s">
        <v>920</v>
      </c>
      <c r="B244" s="6" t="s">
        <v>3414</v>
      </c>
      <c r="C244" s="8" t="s">
        <v>3415</v>
      </c>
      <c r="D244" s="7" t="s">
        <v>2160</v>
      </c>
    </row>
    <row r="245" spans="1:4" ht="47.25" customHeight="1" x14ac:dyDescent="0.25">
      <c r="A245" s="5" t="s">
        <v>925</v>
      </c>
      <c r="B245" s="6" t="s">
        <v>3416</v>
      </c>
      <c r="C245" s="8" t="s">
        <v>510</v>
      </c>
      <c r="D245" s="7" t="s">
        <v>2161</v>
      </c>
    </row>
    <row r="246" spans="1:4" ht="47.25" customHeight="1" x14ac:dyDescent="0.25">
      <c r="A246" s="5" t="s">
        <v>930</v>
      </c>
      <c r="B246" s="6" t="s">
        <v>3417</v>
      </c>
      <c r="C246" s="8" t="s">
        <v>1127</v>
      </c>
      <c r="D246" s="7" t="s">
        <v>2162</v>
      </c>
    </row>
    <row r="247" spans="1:4" ht="31.5" customHeight="1" x14ac:dyDescent="0.25">
      <c r="A247" s="5" t="s">
        <v>935</v>
      </c>
      <c r="B247" s="6" t="s">
        <v>3418</v>
      </c>
      <c r="C247" s="8" t="s">
        <v>1176</v>
      </c>
      <c r="D247" s="7" t="s">
        <v>2163</v>
      </c>
    </row>
    <row r="248" spans="1:4" ht="47.25" customHeight="1" x14ac:dyDescent="0.25">
      <c r="A248" s="5" t="s">
        <v>940</v>
      </c>
      <c r="B248" s="6" t="s">
        <v>3419</v>
      </c>
      <c r="C248" s="8" t="s">
        <v>62</v>
      </c>
      <c r="D248" s="7" t="s">
        <v>2164</v>
      </c>
    </row>
    <row r="249" spans="1:4" ht="31.5" customHeight="1" x14ac:dyDescent="0.25">
      <c r="A249" s="5" t="s">
        <v>945</v>
      </c>
      <c r="B249" s="6" t="s">
        <v>3420</v>
      </c>
      <c r="C249" s="8" t="s">
        <v>3421</v>
      </c>
      <c r="D249" s="7" t="s">
        <v>2165</v>
      </c>
    </row>
    <row r="250" spans="1:4" ht="47.25" customHeight="1" x14ac:dyDescent="0.25">
      <c r="A250" s="5" t="s">
        <v>948</v>
      </c>
      <c r="B250" s="6" t="s">
        <v>3422</v>
      </c>
      <c r="C250" s="8" t="s">
        <v>1658</v>
      </c>
      <c r="D250" s="7" t="s">
        <v>2166</v>
      </c>
    </row>
    <row r="251" spans="1:4" ht="31.5" customHeight="1" x14ac:dyDescent="0.25">
      <c r="A251" s="5" t="s">
        <v>954</v>
      </c>
      <c r="B251" s="6" t="s">
        <v>3423</v>
      </c>
      <c r="C251" s="8" t="s">
        <v>495</v>
      </c>
      <c r="D251" s="7" t="s">
        <v>2167</v>
      </c>
    </row>
    <row r="252" spans="1:4" ht="31.5" customHeight="1" x14ac:dyDescent="0.25">
      <c r="A252" s="5" t="s">
        <v>958</v>
      </c>
      <c r="B252" s="6" t="s">
        <v>3424</v>
      </c>
      <c r="C252" s="8" t="s">
        <v>495</v>
      </c>
      <c r="D252" s="7" t="s">
        <v>2168</v>
      </c>
    </row>
    <row r="253" spans="1:4" ht="31.5" customHeight="1" x14ac:dyDescent="0.25">
      <c r="A253" s="5" t="s">
        <v>963</v>
      </c>
      <c r="B253" s="6" t="s">
        <v>3425</v>
      </c>
      <c r="C253" s="8" t="s">
        <v>355</v>
      </c>
      <c r="D253" s="7" t="s">
        <v>2169</v>
      </c>
    </row>
    <row r="254" spans="1:4" ht="63" customHeight="1" x14ac:dyDescent="0.25">
      <c r="A254" s="5" t="s">
        <v>968</v>
      </c>
      <c r="B254" s="6" t="s">
        <v>3426</v>
      </c>
      <c r="C254" s="8" t="s">
        <v>178</v>
      </c>
      <c r="D254" s="7" t="s">
        <v>2170</v>
      </c>
    </row>
    <row r="255" spans="1:4" ht="31.5" customHeight="1" x14ac:dyDescent="0.25">
      <c r="A255" s="5" t="s">
        <v>973</v>
      </c>
      <c r="B255" s="6" t="s">
        <v>3427</v>
      </c>
      <c r="C255" s="8" t="s">
        <v>3428</v>
      </c>
      <c r="D255" s="7" t="s">
        <v>2171</v>
      </c>
    </row>
    <row r="256" spans="1:4" ht="31.5" customHeight="1" x14ac:dyDescent="0.25">
      <c r="A256" s="5" t="s">
        <v>979</v>
      </c>
      <c r="B256" s="6" t="s">
        <v>3429</v>
      </c>
      <c r="C256" s="8" t="s">
        <v>3430</v>
      </c>
      <c r="D256" s="7" t="s">
        <v>2172</v>
      </c>
    </row>
    <row r="257" spans="1:4" ht="47.25" customHeight="1" x14ac:dyDescent="0.25">
      <c r="A257" s="5" t="s">
        <v>983</v>
      </c>
      <c r="B257" s="6" t="s">
        <v>3431</v>
      </c>
      <c r="C257" s="8" t="s">
        <v>3432</v>
      </c>
      <c r="D257" s="7" t="s">
        <v>2173</v>
      </c>
    </row>
    <row r="258" spans="1:4" ht="31.5" customHeight="1" x14ac:dyDescent="0.25">
      <c r="A258" s="5" t="s">
        <v>987</v>
      </c>
      <c r="B258" s="6" t="s">
        <v>3433</v>
      </c>
      <c r="C258" s="8" t="s">
        <v>62</v>
      </c>
      <c r="D258" s="7" t="s">
        <v>2174</v>
      </c>
    </row>
    <row r="259" spans="1:4" ht="31.5" customHeight="1" x14ac:dyDescent="0.25">
      <c r="A259" s="5" t="s">
        <v>992</v>
      </c>
      <c r="B259" s="6" t="s">
        <v>3434</v>
      </c>
      <c r="C259" s="8" t="s">
        <v>271</v>
      </c>
      <c r="D259" s="7" t="s">
        <v>2175</v>
      </c>
    </row>
    <row r="260" spans="1:4" ht="31.5" customHeight="1" x14ac:dyDescent="0.25">
      <c r="A260" s="5" t="s">
        <v>997</v>
      </c>
      <c r="B260" s="6" t="s">
        <v>3435</v>
      </c>
      <c r="C260" s="8" t="s">
        <v>3436</v>
      </c>
      <c r="D260" s="7" t="s">
        <v>2176</v>
      </c>
    </row>
    <row r="261" spans="1:4" ht="47.25" customHeight="1" x14ac:dyDescent="0.25">
      <c r="A261" s="5" t="s">
        <v>1002</v>
      </c>
      <c r="B261" s="6" t="s">
        <v>3437</v>
      </c>
      <c r="C261" s="8" t="s">
        <v>370</v>
      </c>
      <c r="D261" s="7" t="s">
        <v>2177</v>
      </c>
    </row>
    <row r="262" spans="1:4" ht="47.25" customHeight="1" x14ac:dyDescent="0.25">
      <c r="A262" s="5" t="s">
        <v>1007</v>
      </c>
      <c r="B262" s="6" t="s">
        <v>3438</v>
      </c>
      <c r="C262" s="8" t="s">
        <v>730</v>
      </c>
      <c r="D262" s="7" t="s">
        <v>2178</v>
      </c>
    </row>
    <row r="263" spans="1:4" ht="47.25" customHeight="1" x14ac:dyDescent="0.25">
      <c r="A263" s="5" t="s">
        <v>1011</v>
      </c>
      <c r="B263" s="6" t="s">
        <v>3439</v>
      </c>
      <c r="C263" s="8" t="s">
        <v>590</v>
      </c>
      <c r="D263" s="7" t="s">
        <v>2179</v>
      </c>
    </row>
    <row r="264" spans="1:4" ht="78.75" customHeight="1" x14ac:dyDescent="0.25">
      <c r="A264" s="5" t="s">
        <v>1016</v>
      </c>
      <c r="B264" s="6" t="s">
        <v>3440</v>
      </c>
      <c r="C264" s="8" t="s">
        <v>772</v>
      </c>
      <c r="D264" s="7" t="s">
        <v>2180</v>
      </c>
    </row>
    <row r="265" spans="1:4" ht="31.5" customHeight="1" x14ac:dyDescent="0.25">
      <c r="A265" s="5" t="s">
        <v>1020</v>
      </c>
      <c r="B265" s="6" t="s">
        <v>3441</v>
      </c>
      <c r="C265" s="8" t="s">
        <v>365</v>
      </c>
      <c r="D265" s="7" t="s">
        <v>2181</v>
      </c>
    </row>
    <row r="266" spans="1:4" ht="47.25" customHeight="1" x14ac:dyDescent="0.25">
      <c r="A266" s="5" t="s">
        <v>1026</v>
      </c>
      <c r="B266" s="6" t="s">
        <v>3442</v>
      </c>
      <c r="C266" s="8" t="s">
        <v>1461</v>
      </c>
      <c r="D266" s="7" t="s">
        <v>2182</v>
      </c>
    </row>
    <row r="267" spans="1:4" ht="63" customHeight="1" x14ac:dyDescent="0.25">
      <c r="A267" s="5" t="s">
        <v>1031</v>
      </c>
      <c r="B267" s="6" t="s">
        <v>3443</v>
      </c>
      <c r="C267" s="8" t="s">
        <v>213</v>
      </c>
      <c r="D267" s="7" t="s">
        <v>2183</v>
      </c>
    </row>
    <row r="268" spans="1:4" ht="47.25" customHeight="1" x14ac:dyDescent="0.25">
      <c r="A268" s="5" t="s">
        <v>1035</v>
      </c>
      <c r="B268" s="6" t="s">
        <v>3444</v>
      </c>
      <c r="C268" s="8" t="s">
        <v>970</v>
      </c>
      <c r="D268" s="7" t="s">
        <v>2184</v>
      </c>
    </row>
    <row r="269" spans="1:4" ht="47.25" customHeight="1" x14ac:dyDescent="0.25">
      <c r="A269" s="5" t="s">
        <v>1040</v>
      </c>
      <c r="B269" s="6" t="s">
        <v>3445</v>
      </c>
      <c r="C269" s="8" t="s">
        <v>3446</v>
      </c>
      <c r="D269" s="7" t="s">
        <v>2185</v>
      </c>
    </row>
    <row r="270" spans="1:4" ht="47.25" customHeight="1" x14ac:dyDescent="0.25">
      <c r="A270" s="5" t="s">
        <v>1043</v>
      </c>
      <c r="B270" s="6" t="s">
        <v>3447</v>
      </c>
      <c r="C270" s="8" t="s">
        <v>1487</v>
      </c>
      <c r="D270" s="7" t="s">
        <v>2186</v>
      </c>
    </row>
    <row r="271" spans="1:4" ht="47.25" customHeight="1" x14ac:dyDescent="0.25">
      <c r="A271" s="5" t="s">
        <v>1046</v>
      </c>
      <c r="B271" s="6" t="s">
        <v>3448</v>
      </c>
      <c r="C271" s="8" t="s">
        <v>3449</v>
      </c>
      <c r="D271" s="7" t="s">
        <v>2187</v>
      </c>
    </row>
    <row r="272" spans="1:4" ht="31.5" customHeight="1" x14ac:dyDescent="0.25">
      <c r="A272" s="5" t="s">
        <v>1051</v>
      </c>
      <c r="B272" s="6" t="s">
        <v>3450</v>
      </c>
      <c r="C272" s="8" t="s">
        <v>1114</v>
      </c>
      <c r="D272" s="7" t="s">
        <v>2188</v>
      </c>
    </row>
    <row r="273" spans="1:4" ht="47.25" customHeight="1" x14ac:dyDescent="0.25">
      <c r="A273" s="5" t="s">
        <v>1055</v>
      </c>
      <c r="B273" s="6" t="s">
        <v>3451</v>
      </c>
      <c r="C273" s="8" t="s">
        <v>271</v>
      </c>
      <c r="D273" s="7" t="s">
        <v>2189</v>
      </c>
    </row>
    <row r="274" spans="1:4" ht="78.75" customHeight="1" x14ac:dyDescent="0.25">
      <c r="A274" s="5" t="s">
        <v>1061</v>
      </c>
      <c r="B274" s="6" t="s">
        <v>3452</v>
      </c>
      <c r="C274" s="8" t="s">
        <v>1091</v>
      </c>
      <c r="D274" s="7" t="s">
        <v>2190</v>
      </c>
    </row>
    <row r="275" spans="1:4" ht="47.25" customHeight="1" x14ac:dyDescent="0.25">
      <c r="A275" s="5" t="s">
        <v>1066</v>
      </c>
      <c r="B275" s="6" t="s">
        <v>3453</v>
      </c>
      <c r="C275" s="8" t="s">
        <v>3454</v>
      </c>
      <c r="D275" s="7" t="s">
        <v>2191</v>
      </c>
    </row>
    <row r="276" spans="1:4" ht="47.25" customHeight="1" x14ac:dyDescent="0.25">
      <c r="A276" s="5" t="s">
        <v>1070</v>
      </c>
      <c r="B276" s="6" t="s">
        <v>3455</v>
      </c>
      <c r="C276" s="8" t="s">
        <v>3400</v>
      </c>
      <c r="D276" s="7" t="s">
        <v>2192</v>
      </c>
    </row>
    <row r="277" spans="1:4" ht="47.25" customHeight="1" x14ac:dyDescent="0.25">
      <c r="A277" s="5" t="s">
        <v>1075</v>
      </c>
      <c r="B277" s="6" t="s">
        <v>3456</v>
      </c>
      <c r="C277" s="8" t="s">
        <v>3457</v>
      </c>
      <c r="D277" s="7" t="s">
        <v>2193</v>
      </c>
    </row>
    <row r="278" spans="1:4" ht="31.5" customHeight="1" x14ac:dyDescent="0.25">
      <c r="A278" s="5" t="s">
        <v>1080</v>
      </c>
      <c r="B278" s="6" t="s">
        <v>3458</v>
      </c>
      <c r="C278" s="8" t="s">
        <v>1091</v>
      </c>
      <c r="D278" s="7" t="s">
        <v>2194</v>
      </c>
    </row>
    <row r="279" spans="1:4" ht="63" customHeight="1" x14ac:dyDescent="0.25">
      <c r="A279" s="5" t="s">
        <v>1085</v>
      </c>
      <c r="B279" s="6" t="s">
        <v>3459</v>
      </c>
      <c r="C279" s="8" t="s">
        <v>3460</v>
      </c>
      <c r="D279" s="7" t="s">
        <v>2195</v>
      </c>
    </row>
    <row r="280" spans="1:4" ht="47.25" customHeight="1" x14ac:dyDescent="0.25">
      <c r="A280" s="5" t="s">
        <v>1089</v>
      </c>
      <c r="B280" s="6" t="s">
        <v>3461</v>
      </c>
      <c r="C280" s="8" t="s">
        <v>3345</v>
      </c>
      <c r="D280" s="7" t="s">
        <v>2196</v>
      </c>
    </row>
    <row r="281" spans="1:4" ht="47.25" customHeight="1" x14ac:dyDescent="0.25">
      <c r="A281" s="5" t="s">
        <v>1094</v>
      </c>
      <c r="B281" s="6" t="s">
        <v>3462</v>
      </c>
      <c r="C281" s="8" t="s">
        <v>3463</v>
      </c>
      <c r="D281" s="7" t="s">
        <v>2197</v>
      </c>
    </row>
    <row r="282" spans="1:4" ht="47.25" customHeight="1" x14ac:dyDescent="0.25">
      <c r="A282" s="5" t="s">
        <v>1098</v>
      </c>
      <c r="B282" s="6" t="s">
        <v>3464</v>
      </c>
      <c r="C282" s="8" t="s">
        <v>3465</v>
      </c>
      <c r="D282" s="7" t="s">
        <v>2198</v>
      </c>
    </row>
    <row r="283" spans="1:4" ht="47.25" customHeight="1" x14ac:dyDescent="0.25">
      <c r="A283" s="5" t="s">
        <v>1103</v>
      </c>
      <c r="B283" s="6" t="s">
        <v>3466</v>
      </c>
      <c r="C283" s="8" t="s">
        <v>1091</v>
      </c>
      <c r="D283" s="7" t="s">
        <v>2199</v>
      </c>
    </row>
    <row r="284" spans="1:4" ht="31.5" customHeight="1" x14ac:dyDescent="0.25">
      <c r="A284" s="5" t="s">
        <v>1107</v>
      </c>
      <c r="B284" s="6" t="s">
        <v>3467</v>
      </c>
      <c r="C284" s="8" t="s">
        <v>3216</v>
      </c>
      <c r="D284" s="7" t="s">
        <v>2200</v>
      </c>
    </row>
    <row r="285" spans="1:4" ht="31.5" customHeight="1" x14ac:dyDescent="0.25">
      <c r="A285" s="5" t="s">
        <v>1112</v>
      </c>
      <c r="B285" s="6" t="s">
        <v>3468</v>
      </c>
      <c r="C285" s="8" t="s">
        <v>3216</v>
      </c>
      <c r="D285" s="7" t="s">
        <v>2201</v>
      </c>
    </row>
    <row r="286" spans="1:4" ht="31.5" customHeight="1" x14ac:dyDescent="0.25">
      <c r="A286" s="5" t="s">
        <v>1117</v>
      </c>
      <c r="B286" s="6" t="s">
        <v>3469</v>
      </c>
      <c r="C286" s="8" t="s">
        <v>3216</v>
      </c>
      <c r="D286" s="7" t="s">
        <v>2202</v>
      </c>
    </row>
    <row r="287" spans="1:4" ht="31.5" customHeight="1" x14ac:dyDescent="0.25">
      <c r="A287" s="5" t="s">
        <v>1121</v>
      </c>
      <c r="B287" s="6" t="s">
        <v>3470</v>
      </c>
      <c r="C287" s="8" t="s">
        <v>3216</v>
      </c>
      <c r="D287" s="7" t="s">
        <v>2203</v>
      </c>
    </row>
    <row r="288" spans="1:4" ht="31.5" customHeight="1" x14ac:dyDescent="0.25">
      <c r="A288" s="5" t="s">
        <v>1125</v>
      </c>
      <c r="B288" s="6" t="s">
        <v>3471</v>
      </c>
      <c r="C288" s="8" t="s">
        <v>1313</v>
      </c>
      <c r="D288" s="7" t="s">
        <v>2204</v>
      </c>
    </row>
    <row r="289" spans="1:4" ht="31.5" customHeight="1" x14ac:dyDescent="0.25">
      <c r="A289" s="5" t="s">
        <v>1131</v>
      </c>
      <c r="B289" s="6" t="s">
        <v>3472</v>
      </c>
      <c r="C289" s="8" t="s">
        <v>3129</v>
      </c>
      <c r="D289" s="7" t="s">
        <v>2205</v>
      </c>
    </row>
    <row r="290" spans="1:4" ht="47.25" customHeight="1" x14ac:dyDescent="0.25">
      <c r="A290" s="5" t="s">
        <v>1135</v>
      </c>
      <c r="B290" s="6" t="s">
        <v>3473</v>
      </c>
      <c r="C290" s="8" t="s">
        <v>3129</v>
      </c>
      <c r="D290" s="7" t="s">
        <v>2206</v>
      </c>
    </row>
    <row r="291" spans="1:4" ht="31.5" customHeight="1" x14ac:dyDescent="0.25">
      <c r="A291" s="5" t="s">
        <v>1139</v>
      </c>
      <c r="B291" s="6" t="s">
        <v>3474</v>
      </c>
      <c r="C291" s="8" t="s">
        <v>3475</v>
      </c>
      <c r="D291" s="7" t="s">
        <v>2207</v>
      </c>
    </row>
    <row r="292" spans="1:4" ht="31.5" customHeight="1" x14ac:dyDescent="0.25">
      <c r="A292" s="5" t="s">
        <v>1144</v>
      </c>
      <c r="B292" s="6" t="s">
        <v>3476</v>
      </c>
      <c r="C292" s="8" t="s">
        <v>604</v>
      </c>
      <c r="D292" s="7" t="s">
        <v>2208</v>
      </c>
    </row>
    <row r="293" spans="1:4" ht="31.5" customHeight="1" x14ac:dyDescent="0.25">
      <c r="A293" s="5" t="s">
        <v>1150</v>
      </c>
      <c r="B293" s="6" t="s">
        <v>3477</v>
      </c>
      <c r="C293" s="8" t="s">
        <v>3478</v>
      </c>
      <c r="D293" s="7" t="s">
        <v>2209</v>
      </c>
    </row>
    <row r="294" spans="1:4" ht="63" customHeight="1" x14ac:dyDescent="0.25">
      <c r="A294" s="5" t="s">
        <v>1156</v>
      </c>
      <c r="B294" s="6" t="s">
        <v>3479</v>
      </c>
      <c r="C294" s="8" t="s">
        <v>3337</v>
      </c>
      <c r="D294" s="7" t="s">
        <v>2210</v>
      </c>
    </row>
    <row r="295" spans="1:4" ht="31.5" customHeight="1" x14ac:dyDescent="0.25">
      <c r="A295" s="5" t="s">
        <v>1160</v>
      </c>
      <c r="B295" s="6" t="s">
        <v>3480</v>
      </c>
      <c r="C295" s="8" t="s">
        <v>282</v>
      </c>
      <c r="D295" s="7" t="s">
        <v>2211</v>
      </c>
    </row>
    <row r="296" spans="1:4" ht="63" customHeight="1" x14ac:dyDescent="0.25">
      <c r="A296" s="5" t="s">
        <v>1165</v>
      </c>
      <c r="B296" s="6" t="s">
        <v>3481</v>
      </c>
      <c r="C296" s="8" t="s">
        <v>950</v>
      </c>
      <c r="D296" s="7" t="s">
        <v>2212</v>
      </c>
    </row>
    <row r="297" spans="1:4" ht="47.25" customHeight="1" x14ac:dyDescent="0.25">
      <c r="A297" s="5" t="s">
        <v>1169</v>
      </c>
      <c r="B297" s="6" t="s">
        <v>3482</v>
      </c>
      <c r="C297" s="8" t="s">
        <v>3483</v>
      </c>
      <c r="D297" s="7" t="s">
        <v>2213</v>
      </c>
    </row>
    <row r="298" spans="1:4" ht="63" customHeight="1" x14ac:dyDescent="0.25">
      <c r="A298" s="5" t="s">
        <v>1174</v>
      </c>
      <c r="B298" s="6" t="s">
        <v>3484</v>
      </c>
      <c r="C298" s="8" t="s">
        <v>376</v>
      </c>
      <c r="D298" s="7" t="s">
        <v>2214</v>
      </c>
    </row>
    <row r="299" spans="1:4" ht="31.5" customHeight="1" x14ac:dyDescent="0.25">
      <c r="A299" s="5" t="s">
        <v>1180</v>
      </c>
      <c r="B299" s="6" t="s">
        <v>3485</v>
      </c>
      <c r="C299" s="8" t="s">
        <v>3486</v>
      </c>
      <c r="D299" s="7" t="s">
        <v>2215</v>
      </c>
    </row>
    <row r="300" spans="1:4" ht="63" customHeight="1" x14ac:dyDescent="0.25">
      <c r="A300" s="5" t="s">
        <v>1185</v>
      </c>
      <c r="B300" s="6" t="s">
        <v>3487</v>
      </c>
      <c r="C300" s="8" t="s">
        <v>3486</v>
      </c>
      <c r="D300" s="7" t="s">
        <v>2216</v>
      </c>
    </row>
    <row r="301" spans="1:4" ht="63" customHeight="1" x14ac:dyDescent="0.25">
      <c r="A301" s="5" t="s">
        <v>1190</v>
      </c>
      <c r="B301" s="6" t="s">
        <v>3488</v>
      </c>
      <c r="C301" s="8" t="s">
        <v>469</v>
      </c>
      <c r="D301" s="7" t="s">
        <v>2217</v>
      </c>
    </row>
    <row r="302" spans="1:4" ht="31.5" customHeight="1" x14ac:dyDescent="0.25">
      <c r="A302" s="5" t="s">
        <v>1195</v>
      </c>
      <c r="B302" s="6" t="s">
        <v>3489</v>
      </c>
      <c r="C302" s="8" t="s">
        <v>909</v>
      </c>
      <c r="D302" s="7" t="s">
        <v>2218</v>
      </c>
    </row>
    <row r="303" spans="1:4" ht="31.5" customHeight="1" x14ac:dyDescent="0.25">
      <c r="A303" s="5" t="s">
        <v>1199</v>
      </c>
      <c r="B303" s="6" t="s">
        <v>3490</v>
      </c>
      <c r="C303" s="8" t="s">
        <v>1425</v>
      </c>
      <c r="D303" s="7" t="s">
        <v>2219</v>
      </c>
    </row>
    <row r="304" spans="1:4" ht="31.5" customHeight="1" x14ac:dyDescent="0.25">
      <c r="A304" s="5" t="s">
        <v>1202</v>
      </c>
      <c r="B304" s="6" t="s">
        <v>3491</v>
      </c>
      <c r="C304" s="8" t="s">
        <v>1091</v>
      </c>
      <c r="D304" s="7" t="s">
        <v>2220</v>
      </c>
    </row>
    <row r="305" spans="1:4" ht="47.25" customHeight="1" x14ac:dyDescent="0.25">
      <c r="A305" s="5" t="s">
        <v>1205</v>
      </c>
      <c r="B305" s="6" t="s">
        <v>3492</v>
      </c>
      <c r="C305" s="8" t="s">
        <v>1091</v>
      </c>
      <c r="D305" s="7" t="s">
        <v>2221</v>
      </c>
    </row>
    <row r="306" spans="1:4" ht="31.5" customHeight="1" x14ac:dyDescent="0.25">
      <c r="A306" s="5" t="s">
        <v>1208</v>
      </c>
      <c r="B306" s="6" t="s">
        <v>3493</v>
      </c>
      <c r="C306" s="8" t="s">
        <v>1284</v>
      </c>
      <c r="D306" s="7" t="s">
        <v>2222</v>
      </c>
    </row>
    <row r="307" spans="1:4" ht="31.5" customHeight="1" x14ac:dyDescent="0.25">
      <c r="A307" s="5" t="s">
        <v>1211</v>
      </c>
      <c r="B307" s="6" t="s">
        <v>3494</v>
      </c>
      <c r="C307" s="8" t="s">
        <v>360</v>
      </c>
      <c r="D307" s="7" t="s">
        <v>2223</v>
      </c>
    </row>
    <row r="308" spans="1:4" ht="31.5" customHeight="1" x14ac:dyDescent="0.25">
      <c r="A308" s="5" t="s">
        <v>1216</v>
      </c>
      <c r="B308" s="6" t="s">
        <v>3495</v>
      </c>
      <c r="C308" s="8" t="s">
        <v>3496</v>
      </c>
      <c r="D308" s="7" t="s">
        <v>2224</v>
      </c>
    </row>
    <row r="309" spans="1:4" ht="31.5" customHeight="1" x14ac:dyDescent="0.25">
      <c r="A309" s="5" t="s">
        <v>1221</v>
      </c>
      <c r="B309" s="6" t="s">
        <v>3497</v>
      </c>
      <c r="C309" s="8" t="s">
        <v>569</v>
      </c>
      <c r="D309" s="7" t="s">
        <v>2225</v>
      </c>
    </row>
    <row r="310" spans="1:4" ht="47.25" customHeight="1" x14ac:dyDescent="0.25">
      <c r="A310" s="5" t="s">
        <v>1226</v>
      </c>
      <c r="B310" s="6" t="s">
        <v>3498</v>
      </c>
      <c r="C310" s="8" t="s">
        <v>1461</v>
      </c>
      <c r="D310" s="7" t="s">
        <v>2226</v>
      </c>
    </row>
    <row r="311" spans="1:4" ht="63" customHeight="1" x14ac:dyDescent="0.25">
      <c r="A311" s="5" t="s">
        <v>1230</v>
      </c>
      <c r="B311" s="6" t="s">
        <v>3499</v>
      </c>
      <c r="C311" s="8" t="s">
        <v>105</v>
      </c>
      <c r="D311" s="7" t="s">
        <v>2227</v>
      </c>
    </row>
    <row r="312" spans="1:4" ht="63" customHeight="1" x14ac:dyDescent="0.25">
      <c r="A312" s="5" t="s">
        <v>1235</v>
      </c>
      <c r="B312" s="6" t="s">
        <v>3500</v>
      </c>
      <c r="C312" s="8" t="s">
        <v>130</v>
      </c>
      <c r="D312" s="7" t="s">
        <v>2228</v>
      </c>
    </row>
    <row r="313" spans="1:4" ht="47.25" customHeight="1" x14ac:dyDescent="0.25">
      <c r="A313" s="5" t="s">
        <v>1239</v>
      </c>
      <c r="B313" s="6" t="s">
        <v>3501</v>
      </c>
      <c r="C313" s="8" t="s">
        <v>909</v>
      </c>
      <c r="D313" s="7" t="s">
        <v>2229</v>
      </c>
    </row>
    <row r="314" spans="1:4" ht="47.25" customHeight="1" x14ac:dyDescent="0.25">
      <c r="A314" s="5" t="s">
        <v>1243</v>
      </c>
      <c r="B314" s="6" t="s">
        <v>3502</v>
      </c>
      <c r="C314" s="8" t="s">
        <v>3503</v>
      </c>
      <c r="D314" s="7" t="s">
        <v>2230</v>
      </c>
    </row>
    <row r="315" spans="1:4" ht="47.25" customHeight="1" x14ac:dyDescent="0.25">
      <c r="A315" s="5" t="s">
        <v>1248</v>
      </c>
      <c r="B315" s="6" t="s">
        <v>3504</v>
      </c>
      <c r="C315" s="8" t="s">
        <v>3505</v>
      </c>
      <c r="D315" s="7" t="s">
        <v>2231</v>
      </c>
    </row>
    <row r="316" spans="1:4" ht="31.5" customHeight="1" x14ac:dyDescent="0.25">
      <c r="A316" s="5" t="s">
        <v>1252</v>
      </c>
      <c r="B316" s="6" t="s">
        <v>3506</v>
      </c>
      <c r="C316" s="8" t="s">
        <v>1461</v>
      </c>
      <c r="D316" s="7" t="s">
        <v>2232</v>
      </c>
    </row>
    <row r="317" spans="1:4" ht="47.25" customHeight="1" x14ac:dyDescent="0.25">
      <c r="A317" s="5" t="s">
        <v>1256</v>
      </c>
      <c r="B317" s="6" t="s">
        <v>3507</v>
      </c>
      <c r="C317" s="8" t="s">
        <v>3508</v>
      </c>
      <c r="D317" s="7" t="s">
        <v>2233</v>
      </c>
    </row>
    <row r="318" spans="1:4" ht="31.5" customHeight="1" x14ac:dyDescent="0.25">
      <c r="A318" s="5" t="s">
        <v>1261</v>
      </c>
      <c r="B318" s="6" t="s">
        <v>3509</v>
      </c>
      <c r="C318" s="8" t="s">
        <v>1337</v>
      </c>
      <c r="D318" s="7" t="s">
        <v>2234</v>
      </c>
    </row>
    <row r="319" spans="1:4" ht="47.25" customHeight="1" x14ac:dyDescent="0.25">
      <c r="A319" s="5" t="s">
        <v>1266</v>
      </c>
      <c r="B319" s="6" t="s">
        <v>3510</v>
      </c>
      <c r="C319" s="8" t="s">
        <v>3262</v>
      </c>
      <c r="D319" s="7" t="s">
        <v>2235</v>
      </c>
    </row>
    <row r="320" spans="1:4" ht="31.5" customHeight="1" x14ac:dyDescent="0.25">
      <c r="A320" s="5" t="s">
        <v>1270</v>
      </c>
      <c r="B320" s="6" t="s">
        <v>3511</v>
      </c>
      <c r="C320" s="8" t="s">
        <v>1411</v>
      </c>
      <c r="D320" s="7" t="s">
        <v>2236</v>
      </c>
    </row>
    <row r="321" spans="1:4" ht="31.5" customHeight="1" x14ac:dyDescent="0.25">
      <c r="A321" s="5" t="s">
        <v>1274</v>
      </c>
      <c r="B321" s="6" t="s">
        <v>3512</v>
      </c>
      <c r="C321" s="8" t="s">
        <v>1091</v>
      </c>
      <c r="D321" s="7" t="s">
        <v>2237</v>
      </c>
    </row>
    <row r="322" spans="1:4" ht="94.5" customHeight="1" x14ac:dyDescent="0.25">
      <c r="A322" s="5" t="s">
        <v>1278</v>
      </c>
      <c r="B322" s="6" t="s">
        <v>3513</v>
      </c>
      <c r="C322" s="8" t="s">
        <v>3297</v>
      </c>
      <c r="D322" s="7" t="s">
        <v>2238</v>
      </c>
    </row>
    <row r="323" spans="1:4" ht="31.5" customHeight="1" x14ac:dyDescent="0.25">
      <c r="A323" s="5" t="s">
        <v>1282</v>
      </c>
      <c r="B323" s="6" t="s">
        <v>3514</v>
      </c>
      <c r="C323" s="8" t="s">
        <v>3515</v>
      </c>
      <c r="D323" s="7" t="s">
        <v>2239</v>
      </c>
    </row>
    <row r="324" spans="1:4" ht="47.25" customHeight="1" x14ac:dyDescent="0.25">
      <c r="A324" s="5" t="s">
        <v>1287</v>
      </c>
      <c r="B324" s="6" t="s">
        <v>3516</v>
      </c>
      <c r="C324" s="8" t="s">
        <v>909</v>
      </c>
      <c r="D324" s="7" t="s">
        <v>2240</v>
      </c>
    </row>
    <row r="325" spans="1:4" ht="47.25" customHeight="1" x14ac:dyDescent="0.25">
      <c r="A325" s="5" t="s">
        <v>1291</v>
      </c>
      <c r="B325" s="6" t="s">
        <v>3517</v>
      </c>
      <c r="C325" s="8" t="s">
        <v>1305</v>
      </c>
      <c r="D325" s="7" t="s">
        <v>2241</v>
      </c>
    </row>
    <row r="326" spans="1:4" ht="31.5" customHeight="1" x14ac:dyDescent="0.25">
      <c r="A326" s="5" t="s">
        <v>1295</v>
      </c>
      <c r="B326" s="6" t="s">
        <v>3518</v>
      </c>
      <c r="C326" s="8" t="s">
        <v>365</v>
      </c>
      <c r="D326" s="7" t="s">
        <v>2242</v>
      </c>
    </row>
    <row r="327" spans="1:4" ht="63" customHeight="1" x14ac:dyDescent="0.25">
      <c r="A327" s="5" t="s">
        <v>1299</v>
      </c>
      <c r="B327" s="6" t="s">
        <v>3519</v>
      </c>
      <c r="C327" s="8" t="s">
        <v>3428</v>
      </c>
      <c r="D327" s="7" t="s">
        <v>2243</v>
      </c>
    </row>
    <row r="328" spans="1:4" ht="31.5" customHeight="1" x14ac:dyDescent="0.25">
      <c r="A328" s="5" t="s">
        <v>1303</v>
      </c>
      <c r="B328" s="6" t="s">
        <v>3520</v>
      </c>
      <c r="C328" s="8" t="s">
        <v>3521</v>
      </c>
      <c r="D328" s="7" t="s">
        <v>2244</v>
      </c>
    </row>
    <row r="329" spans="1:4" ht="47.25" customHeight="1" x14ac:dyDescent="0.25">
      <c r="A329" s="5" t="s">
        <v>1308</v>
      </c>
      <c r="B329" s="6" t="s">
        <v>3522</v>
      </c>
      <c r="C329" s="8" t="s">
        <v>1313</v>
      </c>
      <c r="D329" s="7" t="s">
        <v>2245</v>
      </c>
    </row>
    <row r="330" spans="1:4" ht="31.5" customHeight="1" x14ac:dyDescent="0.25">
      <c r="A330" s="5" t="s">
        <v>1311</v>
      </c>
      <c r="B330" s="6" t="s">
        <v>3523</v>
      </c>
      <c r="C330" s="8" t="s">
        <v>3524</v>
      </c>
      <c r="D330" s="7" t="s">
        <v>2246</v>
      </c>
    </row>
    <row r="331" spans="1:4" ht="31.5" customHeight="1" x14ac:dyDescent="0.25">
      <c r="A331" s="5" t="s">
        <v>1316</v>
      </c>
      <c r="B331" s="6" t="s">
        <v>3525</v>
      </c>
      <c r="C331" s="8" t="s">
        <v>255</v>
      </c>
      <c r="D331" s="7" t="s">
        <v>2247</v>
      </c>
    </row>
    <row r="332" spans="1:4" ht="47.25" customHeight="1" x14ac:dyDescent="0.25">
      <c r="A332" s="5" t="s">
        <v>1320</v>
      </c>
      <c r="B332" s="6" t="s">
        <v>3526</v>
      </c>
      <c r="C332" s="8" t="s">
        <v>3073</v>
      </c>
      <c r="D332" s="7" t="s">
        <v>2248</v>
      </c>
    </row>
    <row r="333" spans="1:4" ht="47.25" customHeight="1" x14ac:dyDescent="0.25">
      <c r="A333" s="5" t="s">
        <v>1325</v>
      </c>
      <c r="B333" s="6" t="s">
        <v>3527</v>
      </c>
      <c r="C333" s="8" t="s">
        <v>1717</v>
      </c>
      <c r="D333" s="7" t="s">
        <v>2249</v>
      </c>
    </row>
    <row r="334" spans="1:4" ht="47.25" customHeight="1" x14ac:dyDescent="0.25">
      <c r="A334" s="5" t="s">
        <v>1331</v>
      </c>
      <c r="B334" s="6" t="s">
        <v>3528</v>
      </c>
      <c r="C334" s="8" t="s">
        <v>1337</v>
      </c>
      <c r="D334" s="7" t="s">
        <v>2250</v>
      </c>
    </row>
    <row r="335" spans="1:4" ht="47.25" customHeight="1" x14ac:dyDescent="0.25">
      <c r="A335" s="5" t="s">
        <v>1335</v>
      </c>
      <c r="B335" s="6" t="s">
        <v>3529</v>
      </c>
      <c r="C335" s="8" t="s">
        <v>1461</v>
      </c>
      <c r="D335" s="7" t="s">
        <v>2251</v>
      </c>
    </row>
    <row r="336" spans="1:4" ht="47.25" customHeight="1" x14ac:dyDescent="0.25">
      <c r="A336" s="5" t="s">
        <v>1340</v>
      </c>
      <c r="B336" s="6" t="s">
        <v>3530</v>
      </c>
      <c r="C336" s="8" t="s">
        <v>1569</v>
      </c>
      <c r="D336" s="7" t="s">
        <v>2252</v>
      </c>
    </row>
    <row r="337" spans="1:5" ht="31.5" customHeight="1" x14ac:dyDescent="0.25">
      <c r="A337" s="5" t="s">
        <v>1343</v>
      </c>
      <c r="B337" s="6" t="s">
        <v>3531</v>
      </c>
      <c r="C337" s="8" t="s">
        <v>927</v>
      </c>
      <c r="D337" s="7" t="s">
        <v>2253</v>
      </c>
    </row>
    <row r="338" spans="1:5" ht="47.25" customHeight="1" x14ac:dyDescent="0.25">
      <c r="A338" s="5" t="s">
        <v>1347</v>
      </c>
      <c r="B338" s="6" t="s">
        <v>3532</v>
      </c>
      <c r="C338" s="8" t="s">
        <v>3533</v>
      </c>
      <c r="D338" s="7" t="s">
        <v>2254</v>
      </c>
    </row>
    <row r="339" spans="1:5" ht="47.25" customHeight="1" x14ac:dyDescent="0.25">
      <c r="A339" s="5" t="s">
        <v>1352</v>
      </c>
      <c r="B339" s="6" t="s">
        <v>3534</v>
      </c>
      <c r="C339" s="8" t="s">
        <v>109</v>
      </c>
      <c r="D339" s="7" t="s">
        <v>2255</v>
      </c>
    </row>
    <row r="340" spans="1:5" ht="31.5" customHeight="1" x14ac:dyDescent="0.25">
      <c r="A340" s="5" t="s">
        <v>1356</v>
      </c>
      <c r="B340" s="6" t="s">
        <v>3535</v>
      </c>
      <c r="C340" s="8" t="s">
        <v>3536</v>
      </c>
      <c r="D340" s="7" t="s">
        <v>2256</v>
      </c>
    </row>
    <row r="341" spans="1:5" ht="31.5" customHeight="1" x14ac:dyDescent="0.25">
      <c r="A341" s="5" t="s">
        <v>1361</v>
      </c>
      <c r="B341" s="6" t="s">
        <v>3537</v>
      </c>
      <c r="C341" s="8" t="s">
        <v>3157</v>
      </c>
      <c r="D341" s="7" t="s">
        <v>2257</v>
      </c>
    </row>
    <row r="342" spans="1:5" ht="31.5" customHeight="1" x14ac:dyDescent="0.25">
      <c r="A342" s="5" t="s">
        <v>1366</v>
      </c>
      <c r="B342" s="6" t="s">
        <v>3538</v>
      </c>
      <c r="C342" s="8" t="s">
        <v>3539</v>
      </c>
      <c r="D342" s="7" t="s">
        <v>2258</v>
      </c>
    </row>
    <row r="343" spans="1:5" ht="47.25" customHeight="1" x14ac:dyDescent="0.25">
      <c r="A343" s="5" t="s">
        <v>1370</v>
      </c>
      <c r="B343" s="6" t="s">
        <v>3540</v>
      </c>
      <c r="C343" s="8" t="s">
        <v>3541</v>
      </c>
      <c r="D343" s="7" t="s">
        <v>2259</v>
      </c>
    </row>
    <row r="344" spans="1:5" ht="31.5" customHeight="1" x14ac:dyDescent="0.25">
      <c r="A344" s="5" t="s">
        <v>1374</v>
      </c>
      <c r="B344" s="6" t="s">
        <v>3542</v>
      </c>
      <c r="C344" s="8" t="s">
        <v>638</v>
      </c>
      <c r="D344" s="7" t="s">
        <v>2260</v>
      </c>
    </row>
    <row r="345" spans="1:5" ht="31.5" customHeight="1" x14ac:dyDescent="0.25">
      <c r="A345" s="5" t="s">
        <v>1378</v>
      </c>
      <c r="B345" s="6" t="s">
        <v>3543</v>
      </c>
      <c r="C345" s="8" t="s">
        <v>638</v>
      </c>
      <c r="D345" s="7" t="s">
        <v>2261</v>
      </c>
    </row>
    <row r="346" spans="1:5" ht="63" customHeight="1" x14ac:dyDescent="0.25">
      <c r="A346" s="5" t="s">
        <v>1382</v>
      </c>
      <c r="B346" s="6" t="s">
        <v>3544</v>
      </c>
      <c r="C346" s="8" t="s">
        <v>1858</v>
      </c>
      <c r="D346" s="7" t="s">
        <v>2262</v>
      </c>
    </row>
    <row r="347" spans="1:5" ht="47.25" customHeight="1" x14ac:dyDescent="0.25">
      <c r="A347" s="5" t="s">
        <v>1386</v>
      </c>
      <c r="B347" s="6" t="s">
        <v>3545</v>
      </c>
      <c r="C347" s="8" t="s">
        <v>3546</v>
      </c>
      <c r="D347" s="7" t="s">
        <v>2263</v>
      </c>
      <c r="E347" s="52"/>
    </row>
    <row r="348" spans="1:5" ht="47.25" customHeight="1" x14ac:dyDescent="0.25">
      <c r="A348" s="5" t="s">
        <v>1391</v>
      </c>
      <c r="B348" s="6" t="s">
        <v>3547</v>
      </c>
      <c r="C348" s="8" t="s">
        <v>3548</v>
      </c>
      <c r="D348" s="7" t="s">
        <v>2264</v>
      </c>
      <c r="E348" s="52"/>
    </row>
    <row r="349" spans="1:5" ht="47.25" customHeight="1" x14ac:dyDescent="0.25">
      <c r="A349" s="5" t="s">
        <v>1396</v>
      </c>
      <c r="B349" s="6" t="s">
        <v>3549</v>
      </c>
      <c r="C349" s="8" t="s">
        <v>3125</v>
      </c>
      <c r="D349" s="7" t="s">
        <v>2265</v>
      </c>
      <c r="E349" s="52"/>
    </row>
    <row r="350" spans="1:5" ht="47.25" customHeight="1" x14ac:dyDescent="0.25">
      <c r="A350" s="5" t="s">
        <v>1401</v>
      </c>
      <c r="B350" s="6" t="s">
        <v>3550</v>
      </c>
      <c r="C350" s="8" t="s">
        <v>3551</v>
      </c>
      <c r="D350" s="7" t="s">
        <v>2266</v>
      </c>
      <c r="E350" s="52"/>
    </row>
    <row r="351" spans="1:5" ht="63" customHeight="1" x14ac:dyDescent="0.25">
      <c r="A351" s="5" t="s">
        <v>1405</v>
      </c>
      <c r="B351" s="6" t="s">
        <v>3552</v>
      </c>
      <c r="C351" s="8" t="s">
        <v>3551</v>
      </c>
      <c r="D351" s="7" t="s">
        <v>2267</v>
      </c>
      <c r="E351" s="52"/>
    </row>
    <row r="352" spans="1:5" ht="63" customHeight="1" x14ac:dyDescent="0.25">
      <c r="A352" s="5" t="s">
        <v>1409</v>
      </c>
      <c r="B352" s="6" t="s">
        <v>3553</v>
      </c>
      <c r="C352" s="8" t="s">
        <v>3554</v>
      </c>
      <c r="D352" s="7" t="s">
        <v>2268</v>
      </c>
      <c r="E352" s="52"/>
    </row>
    <row r="353" spans="1:5" ht="47.25" customHeight="1" x14ac:dyDescent="0.25">
      <c r="A353" s="5" t="s">
        <v>1414</v>
      </c>
      <c r="B353" s="6" t="s">
        <v>3555</v>
      </c>
      <c r="C353" s="8" t="s">
        <v>3556</v>
      </c>
      <c r="D353" s="7" t="s">
        <v>2269</v>
      </c>
      <c r="E353" s="52"/>
    </row>
    <row r="354" spans="1:5" ht="63" customHeight="1" x14ac:dyDescent="0.25">
      <c r="A354" s="5" t="s">
        <v>1419</v>
      </c>
      <c r="B354" s="6" t="s">
        <v>3557</v>
      </c>
      <c r="C354" s="8" t="s">
        <v>480</v>
      </c>
      <c r="D354" s="7" t="s">
        <v>2270</v>
      </c>
      <c r="E354" s="52"/>
    </row>
    <row r="355" spans="1:5" ht="78.75" customHeight="1" x14ac:dyDescent="0.25">
      <c r="A355" s="5" t="s">
        <v>1423</v>
      </c>
      <c r="B355" s="6" t="s">
        <v>3558</v>
      </c>
      <c r="C355" s="8" t="s">
        <v>643</v>
      </c>
      <c r="D355" s="7" t="s">
        <v>2271</v>
      </c>
      <c r="E355" s="52"/>
    </row>
    <row r="356" spans="1:5" ht="31.5" customHeight="1" x14ac:dyDescent="0.25">
      <c r="A356" s="5" t="s">
        <v>1428</v>
      </c>
      <c r="B356" s="6" t="s">
        <v>3559</v>
      </c>
      <c r="C356" s="8" t="s">
        <v>534</v>
      </c>
      <c r="D356" s="7" t="s">
        <v>2272</v>
      </c>
      <c r="E356" s="52"/>
    </row>
    <row r="357" spans="1:5" ht="78.75" customHeight="1" x14ac:dyDescent="0.25">
      <c r="A357" s="5" t="s">
        <v>1432</v>
      </c>
      <c r="B357" s="6" t="s">
        <v>3560</v>
      </c>
      <c r="C357" s="8" t="s">
        <v>590</v>
      </c>
      <c r="D357" s="7" t="s">
        <v>2273</v>
      </c>
      <c r="E357" s="52"/>
    </row>
    <row r="358" spans="1:5" ht="47.25" customHeight="1" x14ac:dyDescent="0.25">
      <c r="A358" s="5" t="s">
        <v>1436</v>
      </c>
      <c r="B358" s="6" t="s">
        <v>3561</v>
      </c>
      <c r="C358" s="8" t="s">
        <v>3562</v>
      </c>
      <c r="D358" s="7" t="s">
        <v>2274</v>
      </c>
      <c r="E358" s="52"/>
    </row>
    <row r="359" spans="1:5" ht="31.5" customHeight="1" x14ac:dyDescent="0.25">
      <c r="A359" s="5" t="s">
        <v>1441</v>
      </c>
      <c r="B359" s="6" t="s">
        <v>3563</v>
      </c>
      <c r="C359" s="8" t="s">
        <v>3241</v>
      </c>
      <c r="D359" s="7" t="s">
        <v>2275</v>
      </c>
      <c r="E359" s="52"/>
    </row>
    <row r="360" spans="1:5" ht="78.75" customHeight="1" x14ac:dyDescent="0.25">
      <c r="A360" s="5" t="s">
        <v>1445</v>
      </c>
      <c r="B360" s="6" t="s">
        <v>3564</v>
      </c>
      <c r="C360" s="8" t="s">
        <v>219</v>
      </c>
      <c r="D360" s="7" t="s">
        <v>2276</v>
      </c>
      <c r="E360" s="52"/>
    </row>
    <row r="361" spans="1:5" ht="31.5" customHeight="1" x14ac:dyDescent="0.25">
      <c r="A361" s="5" t="s">
        <v>1449</v>
      </c>
      <c r="B361" s="6" t="s">
        <v>3565</v>
      </c>
      <c r="C361" s="8" t="s">
        <v>3566</v>
      </c>
      <c r="D361" s="7" t="s">
        <v>2277</v>
      </c>
      <c r="E361" s="52"/>
    </row>
    <row r="362" spans="1:5" ht="47.25" customHeight="1" x14ac:dyDescent="0.25">
      <c r="A362" s="5" t="s">
        <v>1454</v>
      </c>
      <c r="B362" s="6" t="s">
        <v>3567</v>
      </c>
      <c r="C362" s="8" t="s">
        <v>3566</v>
      </c>
      <c r="D362" s="7" t="s">
        <v>2278</v>
      </c>
      <c r="E362" s="52"/>
    </row>
    <row r="363" spans="1:5" ht="31.5" customHeight="1" x14ac:dyDescent="0.25">
      <c r="A363" s="5" t="s">
        <v>1459</v>
      </c>
      <c r="B363" s="6" t="s">
        <v>3568</v>
      </c>
      <c r="C363" s="8" t="s">
        <v>3404</v>
      </c>
      <c r="D363" s="7" t="s">
        <v>2279</v>
      </c>
      <c r="E363" s="52"/>
    </row>
    <row r="364" spans="1:5" ht="63" customHeight="1" x14ac:dyDescent="0.25">
      <c r="A364" s="5" t="s">
        <v>1464</v>
      </c>
      <c r="B364" s="6" t="s">
        <v>3569</v>
      </c>
      <c r="C364" s="50" t="s">
        <v>3570</v>
      </c>
      <c r="D364" s="7" t="s">
        <v>2280</v>
      </c>
      <c r="E364" s="52"/>
    </row>
    <row r="365" spans="1:5" ht="78.75" customHeight="1" x14ac:dyDescent="0.25">
      <c r="A365" s="5" t="s">
        <v>1469</v>
      </c>
      <c r="B365" s="6" t="s">
        <v>3571</v>
      </c>
      <c r="C365" s="8" t="s">
        <v>246</v>
      </c>
      <c r="D365" s="7" t="s">
        <v>2281</v>
      </c>
      <c r="E365" s="52"/>
    </row>
    <row r="366" spans="1:5" ht="63" customHeight="1" x14ac:dyDescent="0.25">
      <c r="A366" s="5" t="s">
        <v>1474</v>
      </c>
      <c r="B366" s="6" t="s">
        <v>3572</v>
      </c>
      <c r="C366" s="8" t="s">
        <v>1717</v>
      </c>
      <c r="D366" s="7" t="s">
        <v>2282</v>
      </c>
      <c r="E366" s="52"/>
    </row>
    <row r="367" spans="1:5" ht="31.5" customHeight="1" x14ac:dyDescent="0.25">
      <c r="A367" s="5" t="s">
        <v>1480</v>
      </c>
      <c r="B367" s="6" t="s">
        <v>3573</v>
      </c>
      <c r="C367" s="8" t="s">
        <v>3574</v>
      </c>
      <c r="D367" s="7" t="s">
        <v>2283</v>
      </c>
      <c r="E367" s="52"/>
    </row>
    <row r="368" spans="1:5" ht="31.5" customHeight="1" x14ac:dyDescent="0.25">
      <c r="A368" s="5" t="s">
        <v>1485</v>
      </c>
      <c r="B368" s="6" t="s">
        <v>3575</v>
      </c>
      <c r="C368" s="8" t="s">
        <v>148</v>
      </c>
      <c r="D368" s="7" t="s">
        <v>2284</v>
      </c>
      <c r="E368" s="52"/>
    </row>
    <row r="369" spans="1:5" ht="31.5" customHeight="1" x14ac:dyDescent="0.25">
      <c r="A369" s="5" t="s">
        <v>1490</v>
      </c>
      <c r="B369" s="6" t="s">
        <v>3576</v>
      </c>
      <c r="C369" s="8" t="s">
        <v>3577</v>
      </c>
      <c r="D369" s="7" t="s">
        <v>2285</v>
      </c>
      <c r="E369" s="52"/>
    </row>
    <row r="370" spans="1:5" ht="47.25" customHeight="1" x14ac:dyDescent="0.25">
      <c r="A370" s="5" t="s">
        <v>1494</v>
      </c>
      <c r="B370" s="6" t="s">
        <v>3578</v>
      </c>
      <c r="C370" s="8" t="s">
        <v>389</v>
      </c>
      <c r="D370" s="7" t="s">
        <v>2286</v>
      </c>
      <c r="E370" s="52"/>
    </row>
    <row r="371" spans="1:5" ht="47.25" customHeight="1" x14ac:dyDescent="0.25">
      <c r="A371" s="5" t="s">
        <v>1498</v>
      </c>
      <c r="B371" s="6" t="s">
        <v>3579</v>
      </c>
      <c r="C371" s="8" t="s">
        <v>3580</v>
      </c>
      <c r="D371" s="7" t="s">
        <v>2287</v>
      </c>
      <c r="E371" s="52"/>
    </row>
    <row r="372" spans="1:5" ht="31.5" customHeight="1" x14ac:dyDescent="0.25">
      <c r="A372" s="5" t="s">
        <v>1502</v>
      </c>
      <c r="B372" s="6" t="s">
        <v>3581</v>
      </c>
      <c r="C372" s="8" t="s">
        <v>505</v>
      </c>
      <c r="D372" s="7" t="s">
        <v>2288</v>
      </c>
      <c r="E372" s="52"/>
    </row>
    <row r="373" spans="1:5" ht="31.5" customHeight="1" x14ac:dyDescent="0.25">
      <c r="A373" s="5" t="s">
        <v>1506</v>
      </c>
      <c r="B373" s="6" t="s">
        <v>3582</v>
      </c>
      <c r="C373" s="8" t="s">
        <v>3127</v>
      </c>
      <c r="D373" s="7" t="s">
        <v>2289</v>
      </c>
      <c r="E373" s="52"/>
    </row>
    <row r="374" spans="1:5" x14ac:dyDescent="0.25">
      <c r="A374" s="5" t="s">
        <v>1510</v>
      </c>
      <c r="B374" s="6" t="s">
        <v>3583</v>
      </c>
      <c r="C374" s="8" t="s">
        <v>638</v>
      </c>
      <c r="D374" s="7" t="s">
        <v>2290</v>
      </c>
      <c r="E374" s="52"/>
    </row>
    <row r="375" spans="1:5" ht="31.5" customHeight="1" x14ac:dyDescent="0.25">
      <c r="A375" s="5" t="s">
        <v>1515</v>
      </c>
      <c r="B375" s="6" t="s">
        <v>3584</v>
      </c>
      <c r="C375" s="8" t="s">
        <v>3241</v>
      </c>
      <c r="D375" s="7" t="s">
        <v>2291</v>
      </c>
      <c r="E375" s="52"/>
    </row>
    <row r="376" spans="1:5" ht="31.5" customHeight="1" x14ac:dyDescent="0.25">
      <c r="A376" s="5" t="s">
        <v>1520</v>
      </c>
      <c r="B376" s="6" t="s">
        <v>3585</v>
      </c>
      <c r="C376" s="8" t="s">
        <v>3556</v>
      </c>
      <c r="D376" s="7" t="s">
        <v>2292</v>
      </c>
      <c r="E376" s="52"/>
    </row>
    <row r="377" spans="1:5" ht="31.5" customHeight="1" x14ac:dyDescent="0.25">
      <c r="A377" s="5" t="s">
        <v>1525</v>
      </c>
      <c r="B377" s="6" t="s">
        <v>3586</v>
      </c>
      <c r="C377" s="8" t="s">
        <v>1182</v>
      </c>
      <c r="D377" s="7" t="s">
        <v>2293</v>
      </c>
      <c r="E377" s="52"/>
    </row>
    <row r="378" spans="1:5" ht="63" customHeight="1" x14ac:dyDescent="0.25">
      <c r="A378" s="5" t="s">
        <v>1529</v>
      </c>
      <c r="B378" s="6" t="s">
        <v>3587</v>
      </c>
      <c r="C378" s="8" t="s">
        <v>310</v>
      </c>
      <c r="D378" s="7" t="s">
        <v>2294</v>
      </c>
      <c r="E378" s="52"/>
    </row>
    <row r="379" spans="1:5" ht="47.25" customHeight="1" x14ac:dyDescent="0.25">
      <c r="A379" s="5" t="s">
        <v>1532</v>
      </c>
      <c r="B379" s="6" t="s">
        <v>3588</v>
      </c>
      <c r="C379" s="8" t="s">
        <v>3589</v>
      </c>
      <c r="D379" s="7" t="s">
        <v>2295</v>
      </c>
      <c r="E379" s="52"/>
    </row>
    <row r="380" spans="1:5" ht="47.25" customHeight="1" x14ac:dyDescent="0.25">
      <c r="A380" s="5" t="s">
        <v>1537</v>
      </c>
      <c r="B380" s="6" t="s">
        <v>3590</v>
      </c>
      <c r="C380" s="8" t="s">
        <v>112</v>
      </c>
      <c r="D380" s="7" t="s">
        <v>2296</v>
      </c>
      <c r="E380" s="52"/>
    </row>
    <row r="381" spans="1:5" ht="31.5" customHeight="1" x14ac:dyDescent="0.25">
      <c r="A381" s="5" t="s">
        <v>1541</v>
      </c>
      <c r="B381" s="6" t="s">
        <v>3591</v>
      </c>
      <c r="C381" s="8" t="s">
        <v>3592</v>
      </c>
      <c r="D381" s="7" t="s">
        <v>2297</v>
      </c>
      <c r="E381" s="52"/>
    </row>
    <row r="382" spans="1:5" ht="31.5" customHeight="1" x14ac:dyDescent="0.25">
      <c r="A382" s="5" t="s">
        <v>1545</v>
      </c>
      <c r="B382" s="6" t="s">
        <v>3593</v>
      </c>
      <c r="C382" s="8" t="s">
        <v>3260</v>
      </c>
      <c r="D382" s="7" t="s">
        <v>2298</v>
      </c>
      <c r="E382" s="52"/>
    </row>
    <row r="383" spans="1:5" ht="31.5" customHeight="1" x14ac:dyDescent="0.25">
      <c r="A383" s="5" t="s">
        <v>1550</v>
      </c>
      <c r="B383" s="6" t="s">
        <v>3594</v>
      </c>
      <c r="C383" s="8" t="s">
        <v>743</v>
      </c>
      <c r="D383" s="7" t="s">
        <v>2299</v>
      </c>
      <c r="E383" s="52"/>
    </row>
    <row r="384" spans="1:5" ht="47.25" customHeight="1" x14ac:dyDescent="0.25">
      <c r="A384" s="5" t="s">
        <v>1555</v>
      </c>
      <c r="B384" s="6" t="s">
        <v>3595</v>
      </c>
      <c r="C384" s="8" t="s">
        <v>3551</v>
      </c>
      <c r="D384" s="7" t="s">
        <v>2300</v>
      </c>
      <c r="E384" s="52"/>
    </row>
    <row r="385" spans="1:5" ht="47.25" customHeight="1" x14ac:dyDescent="0.25">
      <c r="A385" s="5" t="s">
        <v>1559</v>
      </c>
      <c r="B385" s="6" t="s">
        <v>3596</v>
      </c>
      <c r="C385" s="8" t="s">
        <v>3551</v>
      </c>
      <c r="D385" s="7" t="s">
        <v>2301</v>
      </c>
      <c r="E385" s="52"/>
    </row>
    <row r="386" spans="1:5" ht="31.5" customHeight="1" x14ac:dyDescent="0.25">
      <c r="A386" s="5" t="s">
        <v>1563</v>
      </c>
      <c r="B386" s="6" t="s">
        <v>3597</v>
      </c>
      <c r="C386" s="8" t="s">
        <v>3546</v>
      </c>
      <c r="D386" s="7" t="s">
        <v>2302</v>
      </c>
      <c r="E386" s="52"/>
    </row>
    <row r="387" spans="1:5" ht="47.25" customHeight="1" x14ac:dyDescent="0.25">
      <c r="A387" s="5" t="s">
        <v>1567</v>
      </c>
      <c r="B387" s="6" t="s">
        <v>3598</v>
      </c>
      <c r="C387" s="8" t="s">
        <v>3127</v>
      </c>
      <c r="D387" s="7" t="s">
        <v>2303</v>
      </c>
      <c r="E387" s="52"/>
    </row>
    <row r="388" spans="1:5" ht="31.5" customHeight="1" x14ac:dyDescent="0.25">
      <c r="A388" s="5" t="s">
        <v>1572</v>
      </c>
      <c r="B388" s="6" t="s">
        <v>3599</v>
      </c>
      <c r="C388" s="8" t="s">
        <v>743</v>
      </c>
      <c r="D388" s="7" t="s">
        <v>2304</v>
      </c>
      <c r="E388" s="52"/>
    </row>
    <row r="389" spans="1:5" ht="47.25" customHeight="1" x14ac:dyDescent="0.25">
      <c r="A389" s="5" t="s">
        <v>1577</v>
      </c>
      <c r="B389" s="6" t="s">
        <v>3600</v>
      </c>
      <c r="C389" s="8" t="s">
        <v>382</v>
      </c>
      <c r="D389" s="7" t="s">
        <v>2305</v>
      </c>
      <c r="E389" s="52"/>
    </row>
    <row r="390" spans="1:5" ht="31.5" customHeight="1" x14ac:dyDescent="0.25">
      <c r="A390" s="5" t="s">
        <v>1583</v>
      </c>
      <c r="B390" s="6" t="s">
        <v>3601</v>
      </c>
      <c r="C390" s="8" t="s">
        <v>3602</v>
      </c>
      <c r="D390" s="7" t="s">
        <v>2306</v>
      </c>
    </row>
    <row r="391" spans="1:5" ht="63" customHeight="1" x14ac:dyDescent="0.25">
      <c r="A391" s="5" t="s">
        <v>1587</v>
      </c>
      <c r="B391" s="6" t="s">
        <v>3603</v>
      </c>
      <c r="C391" s="8" t="s">
        <v>3604</v>
      </c>
      <c r="D391" s="7" t="s">
        <v>2307</v>
      </c>
    </row>
    <row r="392" spans="1:5" ht="47.25" customHeight="1" x14ac:dyDescent="0.25">
      <c r="A392" s="5" t="s">
        <v>1591</v>
      </c>
      <c r="B392" s="6" t="s">
        <v>3605</v>
      </c>
      <c r="C392" s="8" t="s">
        <v>246</v>
      </c>
      <c r="D392" s="7" t="s">
        <v>2308</v>
      </c>
    </row>
    <row r="393" spans="1:5" ht="47.25" customHeight="1" x14ac:dyDescent="0.25">
      <c r="A393" s="5" t="s">
        <v>1595</v>
      </c>
      <c r="B393" s="6" t="s">
        <v>3606</v>
      </c>
      <c r="C393" s="8" t="s">
        <v>730</v>
      </c>
      <c r="D393" s="7" t="s">
        <v>2309</v>
      </c>
    </row>
    <row r="394" spans="1:5" ht="31.5" customHeight="1" x14ac:dyDescent="0.25">
      <c r="A394" s="5" t="s">
        <v>1599</v>
      </c>
      <c r="B394" s="6" t="s">
        <v>3607</v>
      </c>
      <c r="C394" s="8" t="s">
        <v>590</v>
      </c>
      <c r="D394" s="7" t="s">
        <v>2310</v>
      </c>
    </row>
    <row r="395" spans="1:5" ht="47.25" customHeight="1" x14ac:dyDescent="0.25">
      <c r="A395" s="5" t="s">
        <v>1603</v>
      </c>
      <c r="B395" s="6" t="s">
        <v>3608</v>
      </c>
      <c r="C395" s="8" t="s">
        <v>950</v>
      </c>
      <c r="D395" s="7" t="s">
        <v>2311</v>
      </c>
    </row>
    <row r="396" spans="1:5" ht="31.5" customHeight="1" x14ac:dyDescent="0.25">
      <c r="A396" s="5" t="s">
        <v>1607</v>
      </c>
      <c r="B396" s="6" t="s">
        <v>3609</v>
      </c>
      <c r="C396" s="8" t="s">
        <v>3129</v>
      </c>
      <c r="D396" s="7" t="s">
        <v>2312</v>
      </c>
    </row>
    <row r="397" spans="1:5" ht="63" customHeight="1" x14ac:dyDescent="0.25">
      <c r="A397" s="5" t="s">
        <v>1612</v>
      </c>
      <c r="B397" s="6" t="s">
        <v>3610</v>
      </c>
      <c r="C397" s="8" t="s">
        <v>3611</v>
      </c>
      <c r="D397" s="7" t="s">
        <v>2313</v>
      </c>
    </row>
    <row r="398" spans="1:5" ht="63" customHeight="1" x14ac:dyDescent="0.25">
      <c r="A398" s="5" t="s">
        <v>1616</v>
      </c>
      <c r="B398" s="6" t="s">
        <v>3612</v>
      </c>
      <c r="C398" s="8" t="s">
        <v>3613</v>
      </c>
      <c r="D398" s="7" t="s">
        <v>2314</v>
      </c>
    </row>
    <row r="399" spans="1:5" ht="47.25" customHeight="1" x14ac:dyDescent="0.25">
      <c r="A399" s="5" t="s">
        <v>1620</v>
      </c>
      <c r="B399" s="6" t="s">
        <v>3614</v>
      </c>
      <c r="C399" s="8" t="s">
        <v>546</v>
      </c>
      <c r="D399" s="7" t="s">
        <v>2315</v>
      </c>
    </row>
    <row r="400" spans="1:5" ht="31.5" customHeight="1" x14ac:dyDescent="0.25">
      <c r="A400" s="5" t="s">
        <v>1625</v>
      </c>
      <c r="B400" s="6" t="s">
        <v>3615</v>
      </c>
      <c r="C400" s="8" t="s">
        <v>62</v>
      </c>
      <c r="D400" s="7" t="s">
        <v>2316</v>
      </c>
    </row>
    <row r="401" spans="1:4" ht="47.25" customHeight="1" x14ac:dyDescent="0.25">
      <c r="A401" s="5" t="s">
        <v>1629</v>
      </c>
      <c r="B401" s="6" t="s">
        <v>3616</v>
      </c>
      <c r="C401" s="8" t="s">
        <v>3617</v>
      </c>
      <c r="D401" s="7" t="s">
        <v>2317</v>
      </c>
    </row>
    <row r="402" spans="1:4" ht="47.25" customHeight="1" x14ac:dyDescent="0.25">
      <c r="A402" s="5" t="s">
        <v>1633</v>
      </c>
      <c r="B402" s="6" t="s">
        <v>3618</v>
      </c>
      <c r="C402" s="8" t="s">
        <v>3307</v>
      </c>
      <c r="D402" s="7" t="s">
        <v>2318</v>
      </c>
    </row>
    <row r="403" spans="1:4" ht="63" customHeight="1" x14ac:dyDescent="0.25">
      <c r="A403" s="5" t="s">
        <v>1637</v>
      </c>
      <c r="B403" s="6" t="s">
        <v>3619</v>
      </c>
      <c r="C403" s="8" t="s">
        <v>1512</v>
      </c>
      <c r="D403" s="7" t="s">
        <v>2319</v>
      </c>
    </row>
    <row r="404" spans="1:4" ht="47.25" customHeight="1" x14ac:dyDescent="0.25">
      <c r="A404" s="5" t="s">
        <v>1641</v>
      </c>
      <c r="B404" s="6" t="s">
        <v>3620</v>
      </c>
      <c r="C404" s="8" t="s">
        <v>1037</v>
      </c>
      <c r="D404" s="7" t="s">
        <v>2320</v>
      </c>
    </row>
    <row r="405" spans="1:4" ht="31.5" customHeight="1" x14ac:dyDescent="0.25">
      <c r="A405" s="5" t="s">
        <v>1646</v>
      </c>
      <c r="B405" s="6" t="s">
        <v>3621</v>
      </c>
      <c r="C405" s="8" t="s">
        <v>3239</v>
      </c>
      <c r="D405" s="7" t="s">
        <v>2321</v>
      </c>
    </row>
    <row r="406" spans="1:4" ht="47.25" customHeight="1" x14ac:dyDescent="0.25">
      <c r="A406" s="5" t="s">
        <v>1652</v>
      </c>
      <c r="B406" s="6" t="s">
        <v>3622</v>
      </c>
      <c r="C406" s="8" t="s">
        <v>3623</v>
      </c>
      <c r="D406" s="7" t="s">
        <v>2322</v>
      </c>
    </row>
    <row r="407" spans="1:4" ht="47.25" customHeight="1" x14ac:dyDescent="0.25">
      <c r="A407" s="5" t="s">
        <v>1656</v>
      </c>
      <c r="B407" s="6" t="s">
        <v>3624</v>
      </c>
      <c r="C407" s="8" t="s">
        <v>3625</v>
      </c>
      <c r="D407" s="7" t="s">
        <v>2323</v>
      </c>
    </row>
    <row r="408" spans="1:4" ht="31.5" customHeight="1" x14ac:dyDescent="0.25">
      <c r="A408" s="5" t="s">
        <v>1661</v>
      </c>
      <c r="B408" s="6" t="s">
        <v>3626</v>
      </c>
      <c r="C408" s="8" t="s">
        <v>3627</v>
      </c>
      <c r="D408" s="7" t="s">
        <v>2324</v>
      </c>
    </row>
    <row r="409" spans="1:4" ht="63" customHeight="1" x14ac:dyDescent="0.25">
      <c r="A409" s="5" t="s">
        <v>1666</v>
      </c>
      <c r="B409" s="6" t="s">
        <v>3628</v>
      </c>
      <c r="C409" s="8" t="s">
        <v>3065</v>
      </c>
      <c r="D409" s="7" t="s">
        <v>2325</v>
      </c>
    </row>
    <row r="410" spans="1:4" ht="47.25" customHeight="1" x14ac:dyDescent="0.25">
      <c r="A410" s="5" t="s">
        <v>1671</v>
      </c>
      <c r="B410" s="6" t="s">
        <v>3629</v>
      </c>
      <c r="C410" s="8" t="s">
        <v>3375</v>
      </c>
      <c r="D410" s="7" t="s">
        <v>2326</v>
      </c>
    </row>
    <row r="411" spans="1:4" ht="47.25" customHeight="1" x14ac:dyDescent="0.25">
      <c r="A411" s="5" t="s">
        <v>1675</v>
      </c>
      <c r="B411" s="6" t="s">
        <v>3630</v>
      </c>
      <c r="C411" s="8" t="s">
        <v>3631</v>
      </c>
      <c r="D411" s="7" t="s">
        <v>2327</v>
      </c>
    </row>
    <row r="412" spans="1:4" ht="47.25" customHeight="1" x14ac:dyDescent="0.25">
      <c r="A412" s="5" t="s">
        <v>1680</v>
      </c>
      <c r="B412" s="6" t="s">
        <v>3632</v>
      </c>
      <c r="C412" s="8" t="s">
        <v>1819</v>
      </c>
      <c r="D412" s="7" t="s">
        <v>2328</v>
      </c>
    </row>
    <row r="413" spans="1:4" ht="31.5" customHeight="1" x14ac:dyDescent="0.25">
      <c r="A413" s="5" t="s">
        <v>1685</v>
      </c>
      <c r="B413" s="6" t="s">
        <v>3633</v>
      </c>
      <c r="C413" s="8" t="s">
        <v>3292</v>
      </c>
      <c r="D413" s="7" t="s">
        <v>2329</v>
      </c>
    </row>
    <row r="414" spans="1:4" ht="47.25" customHeight="1" x14ac:dyDescent="0.25">
      <c r="A414" s="5" t="s">
        <v>1690</v>
      </c>
      <c r="B414" s="6" t="s">
        <v>3634</v>
      </c>
      <c r="C414" s="8" t="s">
        <v>3551</v>
      </c>
      <c r="D414" s="7" t="s">
        <v>2330</v>
      </c>
    </row>
    <row r="415" spans="1:4" ht="31.5" customHeight="1" x14ac:dyDescent="0.25">
      <c r="A415" s="5" t="s">
        <v>1695</v>
      </c>
      <c r="B415" s="6" t="s">
        <v>3635</v>
      </c>
      <c r="C415" s="8" t="s">
        <v>1411</v>
      </c>
      <c r="D415" s="7" t="s">
        <v>2331</v>
      </c>
    </row>
    <row r="416" spans="1:4" ht="31.5" customHeight="1" x14ac:dyDescent="0.25">
      <c r="A416" s="5" t="s">
        <v>1699</v>
      </c>
      <c r="B416" s="6" t="s">
        <v>3636</v>
      </c>
      <c r="C416" s="8" t="s">
        <v>3592</v>
      </c>
      <c r="D416" s="7" t="s">
        <v>2332</v>
      </c>
    </row>
    <row r="417" spans="1:4" ht="47.25" customHeight="1" x14ac:dyDescent="0.25">
      <c r="A417" s="5" t="s">
        <v>1703</v>
      </c>
      <c r="B417" s="6" t="s">
        <v>3637</v>
      </c>
      <c r="C417" s="8" t="s">
        <v>1569</v>
      </c>
      <c r="D417" s="7" t="s">
        <v>2333</v>
      </c>
    </row>
    <row r="418" spans="1:4" ht="63" customHeight="1" x14ac:dyDescent="0.25">
      <c r="A418" s="5" t="s">
        <v>1707</v>
      </c>
      <c r="B418" s="6" t="s">
        <v>3638</v>
      </c>
      <c r="C418" s="8" t="s">
        <v>3613</v>
      </c>
      <c r="D418" s="7" t="s">
        <v>2334</v>
      </c>
    </row>
    <row r="419" spans="1:4" ht="47.25" customHeight="1" x14ac:dyDescent="0.25">
      <c r="A419" s="5" t="s">
        <v>1711</v>
      </c>
      <c r="B419" s="6" t="s">
        <v>3639</v>
      </c>
      <c r="C419" s="8" t="s">
        <v>3640</v>
      </c>
      <c r="D419" s="7" t="s">
        <v>2335</v>
      </c>
    </row>
    <row r="420" spans="1:4" ht="63" customHeight="1" x14ac:dyDescent="0.25">
      <c r="A420" s="5" t="s">
        <v>1715</v>
      </c>
      <c r="B420" s="6" t="s">
        <v>3641</v>
      </c>
      <c r="C420" s="8" t="s">
        <v>3428</v>
      </c>
      <c r="D420" s="7" t="s">
        <v>2336</v>
      </c>
    </row>
    <row r="421" spans="1:4" ht="47.25" customHeight="1" x14ac:dyDescent="0.25">
      <c r="A421" s="5" t="s">
        <v>1720</v>
      </c>
      <c r="B421" s="6" t="s">
        <v>3642</v>
      </c>
      <c r="C421" s="8" t="s">
        <v>3457</v>
      </c>
      <c r="D421" s="7" t="s">
        <v>2337</v>
      </c>
    </row>
    <row r="422" spans="1:4" ht="47.25" customHeight="1" x14ac:dyDescent="0.25">
      <c r="A422" s="5" t="s">
        <v>1724</v>
      </c>
      <c r="B422" s="6" t="s">
        <v>3643</v>
      </c>
      <c r="C422" s="8" t="s">
        <v>360</v>
      </c>
      <c r="D422" s="7" t="s">
        <v>2338</v>
      </c>
    </row>
    <row r="423" spans="1:4" ht="31.5" customHeight="1" x14ac:dyDescent="0.25">
      <c r="A423" s="5" t="s">
        <v>1728</v>
      </c>
      <c r="B423" s="6" t="s">
        <v>3644</v>
      </c>
      <c r="C423" s="8" t="s">
        <v>495</v>
      </c>
      <c r="D423" s="7" t="s">
        <v>2339</v>
      </c>
    </row>
    <row r="424" spans="1:4" ht="63" customHeight="1" x14ac:dyDescent="0.25">
      <c r="A424" s="5" t="s">
        <v>1732</v>
      </c>
      <c r="B424" s="6" t="s">
        <v>3645</v>
      </c>
      <c r="C424" s="8" t="s">
        <v>3646</v>
      </c>
      <c r="D424" s="7" t="s">
        <v>2340</v>
      </c>
    </row>
    <row r="425" spans="1:4" ht="31.5" customHeight="1" x14ac:dyDescent="0.25">
      <c r="A425" s="5" t="s">
        <v>1735</v>
      </c>
      <c r="B425" s="6" t="s">
        <v>3647</v>
      </c>
      <c r="C425" s="8" t="s">
        <v>495</v>
      </c>
      <c r="D425" s="7" t="s">
        <v>2341</v>
      </c>
    </row>
    <row r="426" spans="1:4" ht="63" customHeight="1" x14ac:dyDescent="0.25">
      <c r="A426" s="5" t="s">
        <v>1739</v>
      </c>
      <c r="B426" s="6" t="s">
        <v>3648</v>
      </c>
      <c r="C426" s="8" t="s">
        <v>3649</v>
      </c>
      <c r="D426" s="7" t="s">
        <v>2342</v>
      </c>
    </row>
    <row r="427" spans="1:4" ht="47.25" customHeight="1" x14ac:dyDescent="0.25">
      <c r="A427" s="5" t="s">
        <v>1744</v>
      </c>
      <c r="B427" s="6" t="s">
        <v>3650</v>
      </c>
      <c r="C427" s="8" t="s">
        <v>3486</v>
      </c>
      <c r="D427" s="7" t="s">
        <v>2343</v>
      </c>
    </row>
    <row r="428" spans="1:4" ht="47.25" customHeight="1" x14ac:dyDescent="0.25">
      <c r="A428" s="5" t="s">
        <v>1749</v>
      </c>
      <c r="B428" s="6" t="s">
        <v>3651</v>
      </c>
      <c r="C428" s="8" t="s">
        <v>3207</v>
      </c>
      <c r="D428" s="7" t="s">
        <v>2344</v>
      </c>
    </row>
    <row r="429" spans="1:4" ht="47.25" customHeight="1" x14ac:dyDescent="0.25">
      <c r="A429" s="5" t="s">
        <v>1753</v>
      </c>
      <c r="B429" s="6" t="s">
        <v>3652</v>
      </c>
      <c r="C429" s="8" t="s">
        <v>475</v>
      </c>
      <c r="D429" s="7" t="s">
        <v>2345</v>
      </c>
    </row>
    <row r="430" spans="1:4" ht="47.25" customHeight="1" x14ac:dyDescent="0.25">
      <c r="A430" s="5" t="s">
        <v>1757</v>
      </c>
      <c r="B430" s="6" t="s">
        <v>3653</v>
      </c>
      <c r="C430" s="8" t="s">
        <v>475</v>
      </c>
      <c r="D430" s="7" t="s">
        <v>2346</v>
      </c>
    </row>
    <row r="431" spans="1:4" ht="47.25" customHeight="1" x14ac:dyDescent="0.25">
      <c r="A431" s="5" t="s">
        <v>1761</v>
      </c>
      <c r="B431" s="6" t="s">
        <v>3654</v>
      </c>
      <c r="C431" s="8" t="s">
        <v>3214</v>
      </c>
      <c r="D431" s="7" t="s">
        <v>2347</v>
      </c>
    </row>
    <row r="432" spans="1:4" ht="47.25" customHeight="1" x14ac:dyDescent="0.25">
      <c r="A432" s="5" t="s">
        <v>1765</v>
      </c>
      <c r="B432" s="6" t="s">
        <v>3655</v>
      </c>
      <c r="C432" s="8" t="s">
        <v>1522</v>
      </c>
      <c r="D432" s="7" t="s">
        <v>2348</v>
      </c>
    </row>
    <row r="433" spans="1:4" ht="47.25" customHeight="1" x14ac:dyDescent="0.25">
      <c r="A433" s="5" t="s">
        <v>1769</v>
      </c>
      <c r="B433" s="6" t="s">
        <v>3656</v>
      </c>
      <c r="C433" s="8" t="s">
        <v>3339</v>
      </c>
      <c r="D433" s="7" t="s">
        <v>2349</v>
      </c>
    </row>
    <row r="434" spans="1:4" ht="31.5" customHeight="1" x14ac:dyDescent="0.25">
      <c r="A434" s="5" t="s">
        <v>1773</v>
      </c>
      <c r="B434" s="6" t="s">
        <v>3657</v>
      </c>
      <c r="C434" s="8" t="s">
        <v>3460</v>
      </c>
      <c r="D434" s="7" t="s">
        <v>2350</v>
      </c>
    </row>
    <row r="435" spans="1:4" ht="63" customHeight="1" x14ac:dyDescent="0.25">
      <c r="A435" s="5" t="s">
        <v>1778</v>
      </c>
      <c r="B435" s="6" t="s">
        <v>3658</v>
      </c>
      <c r="C435" s="8" t="s">
        <v>365</v>
      </c>
      <c r="D435" s="7" t="s">
        <v>2351</v>
      </c>
    </row>
    <row r="436" spans="1:4" ht="63" customHeight="1" x14ac:dyDescent="0.25">
      <c r="A436" s="5" t="s">
        <v>1783</v>
      </c>
      <c r="B436" s="6" t="s">
        <v>3659</v>
      </c>
      <c r="C436" s="8" t="s">
        <v>3375</v>
      </c>
      <c r="D436" s="7" t="s">
        <v>2352</v>
      </c>
    </row>
    <row r="437" spans="1:4" ht="63" customHeight="1" x14ac:dyDescent="0.25">
      <c r="A437" s="5" t="s">
        <v>1786</v>
      </c>
      <c r="B437" s="6" t="s">
        <v>3660</v>
      </c>
      <c r="C437" s="8" t="s">
        <v>3661</v>
      </c>
      <c r="D437" s="7" t="s">
        <v>2353</v>
      </c>
    </row>
    <row r="438" spans="1:4" ht="47.25" customHeight="1" x14ac:dyDescent="0.25">
      <c r="A438" s="5" t="s">
        <v>1790</v>
      </c>
      <c r="B438" s="6" t="s">
        <v>3662</v>
      </c>
      <c r="C438" s="8" t="s">
        <v>3663</v>
      </c>
      <c r="D438" s="7" t="s">
        <v>2354</v>
      </c>
    </row>
    <row r="439" spans="1:4" ht="31.5" customHeight="1" x14ac:dyDescent="0.25">
      <c r="A439" s="5" t="s">
        <v>1795</v>
      </c>
      <c r="B439" s="6" t="s">
        <v>3664</v>
      </c>
      <c r="C439" s="8" t="s">
        <v>1100</v>
      </c>
      <c r="D439" s="7" t="s">
        <v>2355</v>
      </c>
    </row>
    <row r="440" spans="1:4" ht="47.25" customHeight="1" x14ac:dyDescent="0.25">
      <c r="A440" s="5" t="s">
        <v>1799</v>
      </c>
      <c r="B440" s="6" t="s">
        <v>3665</v>
      </c>
      <c r="C440" s="8" t="s">
        <v>1100</v>
      </c>
      <c r="D440" s="7" t="s">
        <v>2356</v>
      </c>
    </row>
    <row r="441" spans="1:4" ht="47.25" customHeight="1" x14ac:dyDescent="0.25">
      <c r="A441" s="5" t="s">
        <v>1803</v>
      </c>
      <c r="B441" s="6" t="s">
        <v>3666</v>
      </c>
      <c r="C441" s="8" t="s">
        <v>3375</v>
      </c>
      <c r="D441" s="7" t="s">
        <v>2357</v>
      </c>
    </row>
    <row r="442" spans="1:4" ht="31.5" customHeight="1" x14ac:dyDescent="0.25">
      <c r="A442" s="5" t="s">
        <v>1809</v>
      </c>
      <c r="B442" s="6" t="s">
        <v>3667</v>
      </c>
      <c r="C442" s="8" t="s">
        <v>3668</v>
      </c>
      <c r="D442" s="7" t="s">
        <v>2358</v>
      </c>
    </row>
    <row r="443" spans="1:4" ht="94.5" customHeight="1" x14ac:dyDescent="0.25">
      <c r="A443" s="5" t="s">
        <v>1813</v>
      </c>
      <c r="B443" s="6" t="s">
        <v>3669</v>
      </c>
      <c r="C443" s="8" t="s">
        <v>3670</v>
      </c>
      <c r="D443" s="7" t="s">
        <v>2359</v>
      </c>
    </row>
    <row r="444" spans="1:4" ht="31.5" customHeight="1" x14ac:dyDescent="0.25">
      <c r="A444" s="5" t="s">
        <v>1817</v>
      </c>
      <c r="B444" s="6" t="s">
        <v>3671</v>
      </c>
      <c r="C444" s="8" t="s">
        <v>3672</v>
      </c>
      <c r="D444" s="7" t="s">
        <v>2360</v>
      </c>
    </row>
    <row r="445" spans="1:4" ht="31.5" customHeight="1" x14ac:dyDescent="0.25">
      <c r="A445" s="5" t="s">
        <v>1822</v>
      </c>
      <c r="B445" s="6" t="s">
        <v>3673</v>
      </c>
      <c r="C445" s="8" t="s">
        <v>1692</v>
      </c>
      <c r="D445" s="7" t="s">
        <v>2361</v>
      </c>
    </row>
    <row r="446" spans="1:4" x14ac:dyDescent="0.25">
      <c r="A446" s="5" t="s">
        <v>1826</v>
      </c>
      <c r="B446" s="6" t="s">
        <v>3674</v>
      </c>
      <c r="C446" s="8" t="s">
        <v>767</v>
      </c>
      <c r="D446" s="7" t="s">
        <v>2362</v>
      </c>
    </row>
    <row r="447" spans="1:4" ht="47.25" customHeight="1" x14ac:dyDescent="0.25">
      <c r="A447" s="5" t="s">
        <v>1831</v>
      </c>
      <c r="B447" s="6" t="s">
        <v>3675</v>
      </c>
      <c r="C447" s="8" t="s">
        <v>109</v>
      </c>
      <c r="D447" s="7" t="s">
        <v>2363</v>
      </c>
    </row>
    <row r="448" spans="1:4" ht="31.5" customHeight="1" x14ac:dyDescent="0.25">
      <c r="A448" s="5" t="s">
        <v>1835</v>
      </c>
      <c r="B448" s="6" t="s">
        <v>3676</v>
      </c>
      <c r="C448" s="8" t="s">
        <v>3127</v>
      </c>
      <c r="D448" s="7" t="s">
        <v>2364</v>
      </c>
    </row>
    <row r="449" spans="1:4" ht="47.25" customHeight="1" x14ac:dyDescent="0.25">
      <c r="A449" s="5" t="s">
        <v>1839</v>
      </c>
      <c r="B449" s="6" t="s">
        <v>3677</v>
      </c>
      <c r="C449" s="8" t="s">
        <v>3546</v>
      </c>
      <c r="D449" s="7" t="s">
        <v>2365</v>
      </c>
    </row>
    <row r="450" spans="1:4" ht="47.25" customHeight="1" x14ac:dyDescent="0.25">
      <c r="A450" s="5" t="s">
        <v>1843</v>
      </c>
      <c r="B450" s="6" t="s">
        <v>3678</v>
      </c>
      <c r="C450" s="8" t="s">
        <v>1100</v>
      </c>
      <c r="D450" s="7" t="s">
        <v>2366</v>
      </c>
    </row>
    <row r="451" spans="1:4" ht="47.25" customHeight="1" x14ac:dyDescent="0.25">
      <c r="A451" s="5" t="s">
        <v>1847</v>
      </c>
      <c r="B451" s="6" t="s">
        <v>3679</v>
      </c>
      <c r="C451" s="8" t="s">
        <v>62</v>
      </c>
      <c r="D451" s="7" t="s">
        <v>2367</v>
      </c>
    </row>
    <row r="452" spans="1:4" ht="47.25" customHeight="1" x14ac:dyDescent="0.25">
      <c r="A452" s="5" t="s">
        <v>1852</v>
      </c>
      <c r="B452" s="6" t="s">
        <v>3680</v>
      </c>
      <c r="C452" s="8" t="s">
        <v>73</v>
      </c>
      <c r="D452" s="7" t="s">
        <v>2368</v>
      </c>
    </row>
    <row r="453" spans="1:4" ht="47.25" customHeight="1" x14ac:dyDescent="0.25">
      <c r="A453" s="5" t="s">
        <v>1856</v>
      </c>
      <c r="B453" s="6" t="s">
        <v>3681</v>
      </c>
      <c r="C453" s="8" t="s">
        <v>3368</v>
      </c>
      <c r="D453" s="53" t="s">
        <v>2369</v>
      </c>
    </row>
    <row r="454" spans="1:4" ht="47.25" customHeight="1" x14ac:dyDescent="0.25">
      <c r="A454" s="5" t="s">
        <v>1861</v>
      </c>
      <c r="B454" s="6" t="s">
        <v>3682</v>
      </c>
      <c r="C454" s="8" t="s">
        <v>3190</v>
      </c>
      <c r="D454" s="7" t="s">
        <v>2370</v>
      </c>
    </row>
    <row r="455" spans="1:4" ht="63" customHeight="1" x14ac:dyDescent="0.25">
      <c r="A455" s="5" t="s">
        <v>1865</v>
      </c>
      <c r="B455" s="6" t="s">
        <v>3683</v>
      </c>
      <c r="C455" s="8" t="s">
        <v>3684</v>
      </c>
      <c r="D455" s="7" t="s">
        <v>2371</v>
      </c>
    </row>
    <row r="456" spans="1:4" ht="47.25" customHeight="1" x14ac:dyDescent="0.25">
      <c r="A456" s="5" t="s">
        <v>1869</v>
      </c>
      <c r="B456" s="6" t="s">
        <v>3685</v>
      </c>
      <c r="C456" s="8" t="s">
        <v>3663</v>
      </c>
      <c r="D456" s="7" t="s">
        <v>2372</v>
      </c>
    </row>
    <row r="457" spans="1:4" ht="47.25" customHeight="1" x14ac:dyDescent="0.25">
      <c r="A457" s="5" t="s">
        <v>1873</v>
      </c>
      <c r="B457" s="6" t="s">
        <v>3686</v>
      </c>
      <c r="C457" s="8" t="s">
        <v>3463</v>
      </c>
      <c r="D457" s="7" t="s">
        <v>2373</v>
      </c>
    </row>
    <row r="458" spans="1:4" ht="31.5" customHeight="1" x14ac:dyDescent="0.25">
      <c r="A458" s="5" t="s">
        <v>1877</v>
      </c>
      <c r="B458" s="6" t="s">
        <v>3687</v>
      </c>
      <c r="C458" s="8" t="s">
        <v>781</v>
      </c>
      <c r="D458" s="7" t="s">
        <v>2374</v>
      </c>
    </row>
    <row r="459" spans="1:4" ht="63" customHeight="1" x14ac:dyDescent="0.25">
      <c r="A459" s="5" t="s">
        <v>1883</v>
      </c>
      <c r="B459" s="6" t="s">
        <v>3688</v>
      </c>
      <c r="C459" s="8" t="s">
        <v>3689</v>
      </c>
      <c r="D459" s="7" t="s">
        <v>2375</v>
      </c>
    </row>
    <row r="460" spans="1:4" ht="47.25" customHeight="1" x14ac:dyDescent="0.25">
      <c r="A460" s="5" t="s">
        <v>1887</v>
      </c>
      <c r="B460" s="6" t="s">
        <v>3690</v>
      </c>
      <c r="C460" s="8" t="s">
        <v>3684</v>
      </c>
      <c r="D460" s="7" t="s">
        <v>2376</v>
      </c>
    </row>
    <row r="461" spans="1:4" ht="47.25" customHeight="1" x14ac:dyDescent="0.25">
      <c r="A461" s="5" t="s">
        <v>1891</v>
      </c>
      <c r="B461" s="6" t="s">
        <v>3691</v>
      </c>
      <c r="C461" s="8" t="s">
        <v>3253</v>
      </c>
      <c r="D461" s="7" t="s">
        <v>2377</v>
      </c>
    </row>
    <row r="462" spans="1:4" ht="47.25" customHeight="1" x14ac:dyDescent="0.25">
      <c r="A462" s="5" t="s">
        <v>1895</v>
      </c>
      <c r="B462" s="6" t="s">
        <v>3692</v>
      </c>
      <c r="C462" s="8" t="s">
        <v>1091</v>
      </c>
      <c r="D462" s="7" t="s">
        <v>2378</v>
      </c>
    </row>
    <row r="463" spans="1:4" ht="31.5" customHeight="1" x14ac:dyDescent="0.25">
      <c r="A463" s="5" t="s">
        <v>1899</v>
      </c>
      <c r="B463" s="6" t="s">
        <v>3693</v>
      </c>
      <c r="C463" s="8" t="s">
        <v>3684</v>
      </c>
      <c r="D463" s="7" t="s">
        <v>2379</v>
      </c>
    </row>
    <row r="464" spans="1:4" ht="47.25" customHeight="1" x14ac:dyDescent="0.25">
      <c r="A464" s="5" t="s">
        <v>1901</v>
      </c>
      <c r="B464" s="6" t="s">
        <v>3694</v>
      </c>
      <c r="C464" s="8" t="s">
        <v>360</v>
      </c>
      <c r="D464" s="7" t="s">
        <v>2380</v>
      </c>
    </row>
    <row r="465" spans="1:4" ht="31.5" customHeight="1" x14ac:dyDescent="0.25">
      <c r="A465" s="5" t="s">
        <v>1903</v>
      </c>
      <c r="B465" s="6" t="s">
        <v>3695</v>
      </c>
      <c r="C465" s="8" t="s">
        <v>98</v>
      </c>
      <c r="D465" s="7" t="s">
        <v>2381</v>
      </c>
    </row>
    <row r="466" spans="1:4" ht="31.5" customHeight="1" x14ac:dyDescent="0.25">
      <c r="A466" s="5" t="s">
        <v>1905</v>
      </c>
      <c r="B466" s="6" t="s">
        <v>3696</v>
      </c>
      <c r="C466" s="8" t="s">
        <v>98</v>
      </c>
      <c r="D466" s="7" t="s">
        <v>2382</v>
      </c>
    </row>
    <row r="467" spans="1:4" ht="31.5" customHeight="1" x14ac:dyDescent="0.25">
      <c r="A467" s="5" t="s">
        <v>1907</v>
      </c>
      <c r="B467" s="6" t="s">
        <v>3697</v>
      </c>
      <c r="C467" s="8" t="s">
        <v>62</v>
      </c>
      <c r="D467" s="7" t="s">
        <v>2383</v>
      </c>
    </row>
    <row r="468" spans="1:4" ht="31.5" customHeight="1" x14ac:dyDescent="0.25">
      <c r="A468" s="5" t="s">
        <v>1909</v>
      </c>
      <c r="B468" s="6" t="s">
        <v>3698</v>
      </c>
      <c r="C468" s="8" t="s">
        <v>505</v>
      </c>
      <c r="D468" s="7" t="s">
        <v>2384</v>
      </c>
    </row>
    <row r="469" spans="1:4" ht="47.25" customHeight="1" x14ac:dyDescent="0.25">
      <c r="A469" s="5" t="s">
        <v>1911</v>
      </c>
      <c r="B469" s="6" t="s">
        <v>3699</v>
      </c>
      <c r="C469" s="8" t="s">
        <v>3700</v>
      </c>
      <c r="D469" s="7" t="s">
        <v>2385</v>
      </c>
    </row>
    <row r="470" spans="1:4" ht="47.25" customHeight="1" x14ac:dyDescent="0.25">
      <c r="A470" s="5" t="s">
        <v>1913</v>
      </c>
      <c r="B470" s="6" t="s">
        <v>3701</v>
      </c>
      <c r="C470" s="8" t="s">
        <v>3700</v>
      </c>
      <c r="D470" s="7" t="s">
        <v>2386</v>
      </c>
    </row>
    <row r="471" spans="1:4" ht="63" customHeight="1" x14ac:dyDescent="0.25">
      <c r="A471" s="5" t="s">
        <v>1915</v>
      </c>
      <c r="B471" s="6" t="s">
        <v>3702</v>
      </c>
      <c r="C471" s="8" t="s">
        <v>643</v>
      </c>
      <c r="D471" s="7" t="s">
        <v>2387</v>
      </c>
    </row>
    <row r="472" spans="1:4" ht="63" customHeight="1" x14ac:dyDescent="0.25">
      <c r="A472" s="5" t="s">
        <v>3703</v>
      </c>
      <c r="B472" s="6" t="s">
        <v>3704</v>
      </c>
      <c r="C472" s="8" t="s">
        <v>3324</v>
      </c>
      <c r="D472" s="7" t="s">
        <v>2388</v>
      </c>
    </row>
    <row r="473" spans="1:4" ht="31.5" customHeight="1" x14ac:dyDescent="0.25">
      <c r="A473" s="5" t="s">
        <v>3705</v>
      </c>
      <c r="B473" s="6" t="s">
        <v>3706</v>
      </c>
      <c r="C473" s="8" t="s">
        <v>3707</v>
      </c>
      <c r="D473" s="7" t="s">
        <v>2389</v>
      </c>
    </row>
    <row r="474" spans="1:4" ht="31.5" customHeight="1" x14ac:dyDescent="0.25">
      <c r="A474" s="5" t="s">
        <v>3708</v>
      </c>
      <c r="B474" s="6" t="s">
        <v>3709</v>
      </c>
      <c r="C474" s="8" t="s">
        <v>3151</v>
      </c>
      <c r="D474" s="7" t="s">
        <v>2390</v>
      </c>
    </row>
    <row r="475" spans="1:4" ht="31.5" customHeight="1" x14ac:dyDescent="0.25">
      <c r="A475" s="5" t="s">
        <v>3710</v>
      </c>
      <c r="B475" s="6" t="s">
        <v>3711</v>
      </c>
      <c r="C475" s="8" t="s">
        <v>3663</v>
      </c>
      <c r="D475" s="7" t="s">
        <v>2391</v>
      </c>
    </row>
    <row r="476" spans="1:4" ht="31.5" customHeight="1" x14ac:dyDescent="0.25">
      <c r="A476" s="5" t="s">
        <v>3712</v>
      </c>
      <c r="B476" s="6" t="s">
        <v>3713</v>
      </c>
      <c r="C476" s="8" t="s">
        <v>1643</v>
      </c>
      <c r="D476" s="7" t="s">
        <v>2392</v>
      </c>
    </row>
    <row r="477" spans="1:4" ht="63" customHeight="1" x14ac:dyDescent="0.25">
      <c r="A477" s="5" t="s">
        <v>3714</v>
      </c>
      <c r="B477" s="6" t="s">
        <v>3715</v>
      </c>
      <c r="C477" s="8" t="s">
        <v>1127</v>
      </c>
      <c r="D477" s="7" t="s">
        <v>2393</v>
      </c>
    </row>
    <row r="478" spans="1:4" ht="31.5" customHeight="1" x14ac:dyDescent="0.25">
      <c r="A478" s="5" t="s">
        <v>3716</v>
      </c>
      <c r="B478" s="6" t="s">
        <v>3717</v>
      </c>
      <c r="C478" s="8" t="s">
        <v>781</v>
      </c>
      <c r="D478" s="7" t="s">
        <v>2394</v>
      </c>
    </row>
    <row r="479" spans="1:4" ht="31.5" customHeight="1" x14ac:dyDescent="0.25">
      <c r="A479" s="5" t="s">
        <v>3718</v>
      </c>
      <c r="B479" s="6" t="s">
        <v>3719</v>
      </c>
      <c r="C479" s="8" t="s">
        <v>1687</v>
      </c>
      <c r="D479" s="7" t="s">
        <v>2395</v>
      </c>
    </row>
    <row r="480" spans="1:4" ht="47.25" customHeight="1" x14ac:dyDescent="0.25">
      <c r="A480" s="5" t="s">
        <v>3720</v>
      </c>
      <c r="B480" s="6" t="s">
        <v>3721</v>
      </c>
      <c r="C480" s="8" t="s">
        <v>3157</v>
      </c>
      <c r="D480" s="7" t="s">
        <v>2396</v>
      </c>
    </row>
    <row r="481" spans="1:4" ht="47.25" customHeight="1" x14ac:dyDescent="0.25">
      <c r="A481" s="5" t="s">
        <v>3722</v>
      </c>
      <c r="B481" s="6" t="s">
        <v>3723</v>
      </c>
      <c r="C481" s="8" t="s">
        <v>3724</v>
      </c>
      <c r="D481" s="7" t="s">
        <v>2397</v>
      </c>
    </row>
    <row r="482" spans="1:4" ht="47.25" customHeight="1" x14ac:dyDescent="0.25">
      <c r="A482" s="5" t="s">
        <v>3725</v>
      </c>
      <c r="B482" s="6" t="s">
        <v>3726</v>
      </c>
      <c r="C482" s="8" t="s">
        <v>3727</v>
      </c>
      <c r="D482" s="7" t="s">
        <v>2398</v>
      </c>
    </row>
    <row r="483" spans="1:4" ht="31.5" customHeight="1" x14ac:dyDescent="0.25">
      <c r="A483" s="5" t="s">
        <v>3728</v>
      </c>
      <c r="B483" s="6" t="s">
        <v>3729</v>
      </c>
      <c r="C483" s="8" t="s">
        <v>370</v>
      </c>
      <c r="D483" s="7" t="s">
        <v>2399</v>
      </c>
    </row>
    <row r="484" spans="1:4" ht="63" customHeight="1" x14ac:dyDescent="0.25">
      <c r="A484" s="5" t="s">
        <v>3730</v>
      </c>
      <c r="B484" s="6" t="s">
        <v>3731</v>
      </c>
      <c r="C484" s="8" t="s">
        <v>3732</v>
      </c>
      <c r="D484" s="7" t="s">
        <v>2400</v>
      </c>
    </row>
    <row r="485" spans="1:4" ht="31.5" customHeight="1" x14ac:dyDescent="0.25">
      <c r="A485" s="5" t="s">
        <v>3733</v>
      </c>
      <c r="B485" s="6" t="s">
        <v>3734</v>
      </c>
      <c r="C485" s="8" t="s">
        <v>370</v>
      </c>
      <c r="D485" s="7" t="s">
        <v>2401</v>
      </c>
    </row>
    <row r="486" spans="1:4" ht="63" customHeight="1" x14ac:dyDescent="0.25">
      <c r="A486" s="5" t="s">
        <v>3735</v>
      </c>
      <c r="B486" s="6" t="s">
        <v>3736</v>
      </c>
      <c r="C486" s="8" t="s">
        <v>3428</v>
      </c>
      <c r="D486" s="7" t="s">
        <v>2402</v>
      </c>
    </row>
    <row r="487" spans="1:4" ht="47.25" customHeight="1" x14ac:dyDescent="0.25">
      <c r="A487" s="5" t="s">
        <v>3737</v>
      </c>
      <c r="B487" s="6" t="s">
        <v>3738</v>
      </c>
      <c r="C487" s="8" t="s">
        <v>3562</v>
      </c>
      <c r="D487" s="7" t="s">
        <v>2403</v>
      </c>
    </row>
    <row r="488" spans="1:4" ht="63" customHeight="1" x14ac:dyDescent="0.25">
      <c r="A488" s="5" t="s">
        <v>3739</v>
      </c>
      <c r="B488" s="6" t="s">
        <v>3740</v>
      </c>
      <c r="C488" s="8" t="s">
        <v>376</v>
      </c>
      <c r="D488" s="7" t="s">
        <v>2404</v>
      </c>
    </row>
    <row r="489" spans="1:4" ht="31.5" customHeight="1" x14ac:dyDescent="0.25">
      <c r="A489" s="5" t="s">
        <v>3741</v>
      </c>
      <c r="B489" s="6" t="s">
        <v>3742</v>
      </c>
      <c r="C489" s="8" t="s">
        <v>3486</v>
      </c>
      <c r="D489" s="7" t="s">
        <v>2405</v>
      </c>
    </row>
    <row r="490" spans="1:4" ht="47.25" customHeight="1" x14ac:dyDescent="0.25">
      <c r="A490" s="5" t="s">
        <v>3743</v>
      </c>
      <c r="B490" s="6" t="s">
        <v>3744</v>
      </c>
      <c r="C490" s="8" t="s">
        <v>3486</v>
      </c>
      <c r="D490" s="7" t="s">
        <v>2406</v>
      </c>
    </row>
    <row r="491" spans="1:4" ht="47.25" customHeight="1" x14ac:dyDescent="0.25">
      <c r="A491" s="5" t="s">
        <v>3745</v>
      </c>
      <c r="B491" s="6" t="s">
        <v>3746</v>
      </c>
      <c r="C491" s="8" t="s">
        <v>1337</v>
      </c>
      <c r="D491" s="7" t="s">
        <v>2407</v>
      </c>
    </row>
    <row r="492" spans="1:4" ht="47.25" customHeight="1" x14ac:dyDescent="0.25">
      <c r="A492" s="5" t="s">
        <v>3747</v>
      </c>
      <c r="B492" s="6" t="s">
        <v>3748</v>
      </c>
      <c r="C492" s="8" t="s">
        <v>3749</v>
      </c>
      <c r="D492" s="7" t="s">
        <v>2408</v>
      </c>
    </row>
    <row r="493" spans="1:4" ht="31.5" customHeight="1" x14ac:dyDescent="0.25">
      <c r="A493" s="5" t="s">
        <v>3750</v>
      </c>
      <c r="B493" s="6" t="s">
        <v>3751</v>
      </c>
      <c r="C493" s="8" t="s">
        <v>98</v>
      </c>
      <c r="D493" s="7" t="s">
        <v>2409</v>
      </c>
    </row>
    <row r="494" spans="1:4" ht="31.5" customHeight="1" x14ac:dyDescent="0.25">
      <c r="A494" s="5" t="s">
        <v>3752</v>
      </c>
      <c r="B494" s="6" t="s">
        <v>3753</v>
      </c>
      <c r="C494" s="8" t="s">
        <v>1574</v>
      </c>
      <c r="D494" s="7" t="s">
        <v>2410</v>
      </c>
    </row>
    <row r="495" spans="1:4" ht="47.25" customHeight="1" x14ac:dyDescent="0.25">
      <c r="A495" s="5" t="s">
        <v>3754</v>
      </c>
      <c r="B495" s="6" t="s">
        <v>3755</v>
      </c>
      <c r="C495" s="8" t="s">
        <v>3756</v>
      </c>
      <c r="D495" s="7" t="s">
        <v>2411</v>
      </c>
    </row>
    <row r="496" spans="1:4" ht="47.25" customHeight="1" x14ac:dyDescent="0.25">
      <c r="A496" s="5" t="s">
        <v>3757</v>
      </c>
      <c r="B496" s="6" t="s">
        <v>3758</v>
      </c>
      <c r="C496" s="8" t="s">
        <v>3759</v>
      </c>
      <c r="D496" s="7" t="s">
        <v>2412</v>
      </c>
    </row>
    <row r="497" spans="1:4" ht="47.25" customHeight="1" x14ac:dyDescent="0.25">
      <c r="A497" s="5" t="s">
        <v>3760</v>
      </c>
      <c r="B497" s="6" t="s">
        <v>3761</v>
      </c>
      <c r="C497" s="8" t="s">
        <v>3762</v>
      </c>
      <c r="D497" s="7" t="s">
        <v>2413</v>
      </c>
    </row>
    <row r="498" spans="1:4" ht="47.25" customHeight="1" x14ac:dyDescent="0.25">
      <c r="A498" s="5" t="s">
        <v>3763</v>
      </c>
      <c r="B498" s="6" t="s">
        <v>3764</v>
      </c>
      <c r="C498" s="8" t="s">
        <v>863</v>
      </c>
      <c r="D498" s="7" t="s">
        <v>2414</v>
      </c>
    </row>
    <row r="499" spans="1:4" ht="31.5" customHeight="1" x14ac:dyDescent="0.25">
      <c r="A499" s="5" t="s">
        <v>3765</v>
      </c>
      <c r="B499" s="6" t="s">
        <v>3766</v>
      </c>
      <c r="C499" s="8" t="s">
        <v>3214</v>
      </c>
      <c r="D499" s="7" t="s">
        <v>2415</v>
      </c>
    </row>
    <row r="500" spans="1:4" ht="63" customHeight="1" x14ac:dyDescent="0.25">
      <c r="A500" s="5" t="s">
        <v>3767</v>
      </c>
      <c r="B500" s="6" t="s">
        <v>3768</v>
      </c>
      <c r="C500" s="8" t="s">
        <v>3769</v>
      </c>
      <c r="D500" s="7" t="s">
        <v>2416</v>
      </c>
    </row>
    <row r="501" spans="1:4" ht="31.5" customHeight="1" x14ac:dyDescent="0.25">
      <c r="A501" s="5" t="s">
        <v>3770</v>
      </c>
      <c r="B501" s="6" t="s">
        <v>3771</v>
      </c>
      <c r="C501" s="8" t="s">
        <v>3260</v>
      </c>
      <c r="D501" s="7" t="s">
        <v>2417</v>
      </c>
    </row>
    <row r="502" spans="1:4" ht="63" customHeight="1" x14ac:dyDescent="0.25">
      <c r="A502" s="5" t="s">
        <v>3772</v>
      </c>
      <c r="B502" s="6" t="s">
        <v>3773</v>
      </c>
      <c r="C502" s="8" t="s">
        <v>3256</v>
      </c>
      <c r="D502" s="7" t="s">
        <v>2418</v>
      </c>
    </row>
    <row r="503" spans="1:4" ht="31.5" customHeight="1" x14ac:dyDescent="0.25">
      <c r="A503" s="5" t="s">
        <v>3774</v>
      </c>
      <c r="B503" s="6" t="s">
        <v>3775</v>
      </c>
      <c r="C503" s="8" t="s">
        <v>3776</v>
      </c>
      <c r="D503" s="7" t="s">
        <v>2419</v>
      </c>
    </row>
    <row r="504" spans="1:4" ht="47.25" customHeight="1" x14ac:dyDescent="0.25">
      <c r="A504" s="5" t="s">
        <v>3777</v>
      </c>
      <c r="B504" s="6" t="s">
        <v>3778</v>
      </c>
      <c r="C504" s="8" t="s">
        <v>3779</v>
      </c>
      <c r="D504" s="7" t="s">
        <v>2420</v>
      </c>
    </row>
    <row r="505" spans="1:4" ht="31.5" customHeight="1" x14ac:dyDescent="0.25">
      <c r="A505" s="5" t="s">
        <v>3780</v>
      </c>
      <c r="B505" s="6" t="s">
        <v>3781</v>
      </c>
      <c r="C505" s="8" t="s">
        <v>3782</v>
      </c>
      <c r="D505" s="7" t="s">
        <v>2421</v>
      </c>
    </row>
    <row r="506" spans="1:4" ht="63" customHeight="1" x14ac:dyDescent="0.25">
      <c r="A506" s="5" t="s">
        <v>3783</v>
      </c>
      <c r="B506" s="6" t="s">
        <v>3784</v>
      </c>
      <c r="C506" s="8" t="s">
        <v>355</v>
      </c>
      <c r="D506" s="7" t="s">
        <v>2422</v>
      </c>
    </row>
    <row r="507" spans="1:4" ht="31.5" customHeight="1" x14ac:dyDescent="0.25">
      <c r="A507" s="5" t="s">
        <v>3785</v>
      </c>
      <c r="B507" s="6" t="s">
        <v>3786</v>
      </c>
      <c r="C507" s="8" t="s">
        <v>3375</v>
      </c>
      <c r="D507" s="7" t="s">
        <v>2423</v>
      </c>
    </row>
    <row r="508" spans="1:4" ht="47.25" customHeight="1" x14ac:dyDescent="0.25">
      <c r="A508" s="5" t="s">
        <v>3787</v>
      </c>
      <c r="B508" s="6" t="s">
        <v>3788</v>
      </c>
      <c r="C508" s="8" t="s">
        <v>3375</v>
      </c>
      <c r="D508" s="7" t="s">
        <v>2424</v>
      </c>
    </row>
    <row r="509" spans="1:4" ht="63" customHeight="1" x14ac:dyDescent="0.25">
      <c r="A509" s="5" t="s">
        <v>3789</v>
      </c>
      <c r="B509" s="6" t="s">
        <v>3790</v>
      </c>
      <c r="C509" s="8" t="s">
        <v>3791</v>
      </c>
      <c r="D509" s="7" t="s">
        <v>2425</v>
      </c>
    </row>
    <row r="510" spans="1:4" ht="47.25" customHeight="1" x14ac:dyDescent="0.25">
      <c r="A510" s="5" t="s">
        <v>3792</v>
      </c>
      <c r="B510" s="6" t="s">
        <v>3793</v>
      </c>
      <c r="C510" s="8" t="s">
        <v>154</v>
      </c>
      <c r="D510" s="7" t="s">
        <v>2426</v>
      </c>
    </row>
    <row r="511" spans="1:4" ht="78.75" customHeight="1" x14ac:dyDescent="0.25">
      <c r="A511" s="5" t="s">
        <v>3794</v>
      </c>
      <c r="B511" s="6" t="s">
        <v>3795</v>
      </c>
      <c r="C511" s="8" t="s">
        <v>1425</v>
      </c>
      <c r="D511" s="7" t="s">
        <v>2427</v>
      </c>
    </row>
    <row r="512" spans="1:4" ht="63" customHeight="1" x14ac:dyDescent="0.25">
      <c r="A512" s="5" t="s">
        <v>3796</v>
      </c>
      <c r="B512" s="6" t="s">
        <v>3797</v>
      </c>
      <c r="C512" s="8" t="s">
        <v>3798</v>
      </c>
      <c r="D512" s="7" t="s">
        <v>2428</v>
      </c>
    </row>
    <row r="513" spans="1:4" ht="63" customHeight="1" x14ac:dyDescent="0.25">
      <c r="A513" s="5" t="s">
        <v>3799</v>
      </c>
      <c r="B513" s="6" t="s">
        <v>3800</v>
      </c>
      <c r="C513" s="8" t="s">
        <v>1284</v>
      </c>
      <c r="D513" s="7" t="s">
        <v>2429</v>
      </c>
    </row>
    <row r="514" spans="1:4" ht="31.5" customHeight="1" x14ac:dyDescent="0.25">
      <c r="A514" s="5" t="s">
        <v>3801</v>
      </c>
      <c r="B514" s="6" t="s">
        <v>3802</v>
      </c>
      <c r="C514" s="8" t="s">
        <v>1717</v>
      </c>
      <c r="D514" s="7" t="s">
        <v>2430</v>
      </c>
    </row>
    <row r="515" spans="1:4" ht="31.5" customHeight="1" x14ac:dyDescent="0.25">
      <c r="A515" s="5" t="s">
        <v>3803</v>
      </c>
      <c r="B515" s="6" t="s">
        <v>3804</v>
      </c>
      <c r="C515" s="8" t="s">
        <v>86</v>
      </c>
      <c r="D515" s="7" t="s">
        <v>2431</v>
      </c>
    </row>
    <row r="516" spans="1:4" ht="31.5" customHeight="1" x14ac:dyDescent="0.25">
      <c r="A516" s="5" t="s">
        <v>3805</v>
      </c>
      <c r="B516" s="6" t="s">
        <v>3806</v>
      </c>
      <c r="C516" s="8" t="s">
        <v>3151</v>
      </c>
      <c r="D516" s="7" t="s">
        <v>2432</v>
      </c>
    </row>
    <row r="517" spans="1:4" ht="31.5" customHeight="1" x14ac:dyDescent="0.25">
      <c r="A517" s="5" t="s">
        <v>3807</v>
      </c>
      <c r="B517" s="6" t="s">
        <v>3808</v>
      </c>
      <c r="C517" s="8" t="s">
        <v>546</v>
      </c>
      <c r="D517" s="7" t="s">
        <v>2433</v>
      </c>
    </row>
    <row r="518" spans="1:4" ht="47.25" customHeight="1" x14ac:dyDescent="0.25">
      <c r="A518" s="5" t="s">
        <v>3809</v>
      </c>
      <c r="B518" s="6" t="s">
        <v>3810</v>
      </c>
      <c r="C518" s="8" t="s">
        <v>1658</v>
      </c>
      <c r="D518" s="7" t="s">
        <v>2434</v>
      </c>
    </row>
    <row r="519" spans="1:4" ht="31.5" customHeight="1" x14ac:dyDescent="0.25">
      <c r="A519" s="5" t="s">
        <v>3811</v>
      </c>
      <c r="B519" s="6" t="s">
        <v>3812</v>
      </c>
      <c r="C519" s="8" t="s">
        <v>3813</v>
      </c>
      <c r="D519" s="7" t="s">
        <v>2435</v>
      </c>
    </row>
    <row r="520" spans="1:4" ht="47.25" customHeight="1" x14ac:dyDescent="0.25">
      <c r="A520" s="5" t="s">
        <v>3814</v>
      </c>
      <c r="B520" s="6" t="s">
        <v>3815</v>
      </c>
      <c r="C520" s="8" t="s">
        <v>604</v>
      </c>
      <c r="D520" s="7" t="s">
        <v>2436</v>
      </c>
    </row>
    <row r="521" spans="1:4" ht="31.5" customHeight="1" x14ac:dyDescent="0.25">
      <c r="A521" s="5" t="s">
        <v>3816</v>
      </c>
      <c r="B521" s="6" t="s">
        <v>3817</v>
      </c>
      <c r="C521" s="8" t="s">
        <v>1879</v>
      </c>
      <c r="D521" s="7" t="s">
        <v>2437</v>
      </c>
    </row>
    <row r="522" spans="1:4" ht="47.25" customHeight="1" x14ac:dyDescent="0.25">
      <c r="A522" s="5" t="s">
        <v>3818</v>
      </c>
      <c r="B522" s="6" t="s">
        <v>3819</v>
      </c>
      <c r="C522" s="8" t="s">
        <v>1091</v>
      </c>
      <c r="D522" s="7" t="s">
        <v>2438</v>
      </c>
    </row>
    <row r="523" spans="1:4" ht="31.5" customHeight="1" x14ac:dyDescent="0.25">
      <c r="A523" s="5" t="s">
        <v>3820</v>
      </c>
      <c r="B523" s="6" t="s">
        <v>3821</v>
      </c>
      <c r="C523" s="8" t="s">
        <v>3822</v>
      </c>
      <c r="D523" s="7" t="s">
        <v>2439</v>
      </c>
    </row>
    <row r="524" spans="1:4" ht="31.5" customHeight="1" x14ac:dyDescent="0.25">
      <c r="A524" s="5" t="s">
        <v>3823</v>
      </c>
      <c r="B524" s="6" t="s">
        <v>3824</v>
      </c>
      <c r="C524" s="8" t="s">
        <v>365</v>
      </c>
      <c r="D524" s="7" t="s">
        <v>2440</v>
      </c>
    </row>
    <row r="525" spans="1:4" ht="31.5" customHeight="1" x14ac:dyDescent="0.25">
      <c r="A525" s="5" t="s">
        <v>3825</v>
      </c>
      <c r="B525" s="6" t="s">
        <v>3826</v>
      </c>
      <c r="C525" s="8" t="s">
        <v>454</v>
      </c>
      <c r="D525" s="7" t="s">
        <v>2441</v>
      </c>
    </row>
    <row r="526" spans="1:4" ht="47.25" customHeight="1" x14ac:dyDescent="0.25">
      <c r="A526" s="5" t="s">
        <v>3827</v>
      </c>
      <c r="B526" s="6" t="s">
        <v>3828</v>
      </c>
      <c r="C526" s="8" t="s">
        <v>3829</v>
      </c>
      <c r="D526" s="7" t="s">
        <v>2442</v>
      </c>
    </row>
    <row r="527" spans="1:4" ht="47.25" customHeight="1" x14ac:dyDescent="0.25">
      <c r="A527" s="5" t="s">
        <v>3830</v>
      </c>
      <c r="B527" s="6" t="s">
        <v>3831</v>
      </c>
      <c r="C527" s="8" t="s">
        <v>3832</v>
      </c>
      <c r="D527" s="7" t="s">
        <v>2443</v>
      </c>
    </row>
    <row r="528" spans="1:4" ht="47.25" customHeight="1" x14ac:dyDescent="0.25">
      <c r="A528" s="5" t="s">
        <v>3833</v>
      </c>
      <c r="B528" s="6" t="s">
        <v>3834</v>
      </c>
      <c r="C528" s="8" t="s">
        <v>3475</v>
      </c>
      <c r="D528" s="7" t="s">
        <v>2444</v>
      </c>
    </row>
    <row r="529" spans="1:4" ht="47.25" customHeight="1" x14ac:dyDescent="0.25">
      <c r="A529" s="5" t="s">
        <v>3835</v>
      </c>
      <c r="B529" s="6" t="s">
        <v>3836</v>
      </c>
      <c r="C529" s="8" t="s">
        <v>3475</v>
      </c>
      <c r="D529" s="7" t="s">
        <v>2445</v>
      </c>
    </row>
    <row r="530" spans="1:4" ht="47.25" customHeight="1" x14ac:dyDescent="0.25">
      <c r="A530" s="5" t="s">
        <v>3837</v>
      </c>
      <c r="B530" s="6" t="s">
        <v>3838</v>
      </c>
      <c r="C530" s="8" t="s">
        <v>3475</v>
      </c>
      <c r="D530" s="7" t="s">
        <v>2446</v>
      </c>
    </row>
    <row r="531" spans="1:4" ht="63" customHeight="1" x14ac:dyDescent="0.25">
      <c r="A531" s="5" t="s">
        <v>3839</v>
      </c>
      <c r="B531" s="6" t="s">
        <v>3840</v>
      </c>
      <c r="C531" s="8" t="s">
        <v>3841</v>
      </c>
      <c r="D531" s="7" t="s">
        <v>2447</v>
      </c>
    </row>
    <row r="532" spans="1:4" ht="47.25" customHeight="1" x14ac:dyDescent="0.25">
      <c r="A532" s="5" t="s">
        <v>3842</v>
      </c>
      <c r="B532" s="6" t="s">
        <v>3843</v>
      </c>
      <c r="C532" s="8" t="s">
        <v>730</v>
      </c>
      <c r="D532" s="7" t="s">
        <v>2448</v>
      </c>
    </row>
    <row r="533" spans="1:4" ht="47.25" customHeight="1" x14ac:dyDescent="0.25">
      <c r="A533" s="5" t="s">
        <v>3844</v>
      </c>
      <c r="B533" s="6" t="s">
        <v>3845</v>
      </c>
      <c r="C533" s="8" t="s">
        <v>3428</v>
      </c>
      <c r="D533" s="7" t="s">
        <v>2449</v>
      </c>
    </row>
    <row r="534" spans="1:4" ht="31.5" customHeight="1" x14ac:dyDescent="0.25">
      <c r="A534" s="5" t="s">
        <v>3846</v>
      </c>
      <c r="B534" s="6" t="s">
        <v>3847</v>
      </c>
      <c r="C534" s="8" t="s">
        <v>3848</v>
      </c>
      <c r="D534" s="7" t="s">
        <v>2450</v>
      </c>
    </row>
    <row r="535" spans="1:4" ht="31.5" customHeight="1" x14ac:dyDescent="0.25">
      <c r="A535" s="5" t="s">
        <v>3849</v>
      </c>
      <c r="B535" s="6" t="s">
        <v>3850</v>
      </c>
      <c r="C535" s="8" t="s">
        <v>3663</v>
      </c>
      <c r="D535" s="7" t="s">
        <v>2451</v>
      </c>
    </row>
    <row r="536" spans="1:4" ht="31.5" customHeight="1" x14ac:dyDescent="0.25">
      <c r="A536" s="5" t="s">
        <v>3851</v>
      </c>
      <c r="B536" s="6" t="s">
        <v>3852</v>
      </c>
      <c r="C536" s="8" t="s">
        <v>365</v>
      </c>
      <c r="D536" s="7" t="s">
        <v>2452</v>
      </c>
    </row>
    <row r="537" spans="1:4" ht="47.25" customHeight="1" x14ac:dyDescent="0.25">
      <c r="A537" s="5" t="s">
        <v>3853</v>
      </c>
      <c r="B537" s="6" t="s">
        <v>3854</v>
      </c>
      <c r="C537" s="8" t="s">
        <v>3855</v>
      </c>
      <c r="D537" s="7" t="s">
        <v>2453</v>
      </c>
    </row>
    <row r="538" spans="1:4" ht="47.25" customHeight="1" x14ac:dyDescent="0.25">
      <c r="A538" s="5" t="s">
        <v>3856</v>
      </c>
      <c r="B538" s="6" t="s">
        <v>3857</v>
      </c>
      <c r="C538" s="8" t="s">
        <v>1187</v>
      </c>
      <c r="D538" s="7" t="s">
        <v>2454</v>
      </c>
    </row>
    <row r="539" spans="1:4" ht="47.25" customHeight="1" x14ac:dyDescent="0.25">
      <c r="A539" s="5" t="s">
        <v>3858</v>
      </c>
      <c r="B539" s="6" t="s">
        <v>3859</v>
      </c>
      <c r="C539" s="8" t="s">
        <v>590</v>
      </c>
      <c r="D539" s="7" t="s">
        <v>2455</v>
      </c>
    </row>
    <row r="540" spans="1:4" ht="63" customHeight="1" x14ac:dyDescent="0.25">
      <c r="A540" s="5" t="s">
        <v>3860</v>
      </c>
      <c r="B540" s="6" t="s">
        <v>3861</v>
      </c>
      <c r="C540" s="8" t="s">
        <v>3862</v>
      </c>
      <c r="D540" s="7" t="s">
        <v>2456</v>
      </c>
    </row>
    <row r="541" spans="1:4" ht="47.25" customHeight="1" x14ac:dyDescent="0.25">
      <c r="A541" s="5" t="s">
        <v>3863</v>
      </c>
      <c r="B541" s="6" t="s">
        <v>3864</v>
      </c>
      <c r="C541" s="8" t="s">
        <v>3865</v>
      </c>
      <c r="D541" s="7" t="s">
        <v>2457</v>
      </c>
    </row>
    <row r="542" spans="1:4" ht="31.5" customHeight="1" x14ac:dyDescent="0.25">
      <c r="A542" s="5" t="s">
        <v>3866</v>
      </c>
      <c r="B542" s="6" t="s">
        <v>3867</v>
      </c>
      <c r="C542" s="8" t="s">
        <v>619</v>
      </c>
      <c r="D542" s="7" t="s">
        <v>2458</v>
      </c>
    </row>
    <row r="543" spans="1:4" ht="63" customHeight="1" x14ac:dyDescent="0.25">
      <c r="A543" s="5" t="s">
        <v>3868</v>
      </c>
      <c r="B543" s="6" t="s">
        <v>3869</v>
      </c>
      <c r="C543" s="8" t="s">
        <v>310</v>
      </c>
      <c r="D543" s="7" t="s">
        <v>2459</v>
      </c>
    </row>
    <row r="544" spans="1:4" ht="31.5" customHeight="1" x14ac:dyDescent="0.25">
      <c r="A544" s="5" t="s">
        <v>3870</v>
      </c>
      <c r="B544" s="6" t="s">
        <v>3871</v>
      </c>
      <c r="C544" s="8" t="s">
        <v>288</v>
      </c>
      <c r="D544" s="7" t="s">
        <v>2460</v>
      </c>
    </row>
    <row r="545" spans="1:4" ht="47.25" customHeight="1" x14ac:dyDescent="0.25">
      <c r="A545" s="5" t="s">
        <v>3872</v>
      </c>
      <c r="B545" s="6" t="s">
        <v>3873</v>
      </c>
      <c r="C545" s="8" t="s">
        <v>772</v>
      </c>
      <c r="D545" s="7" t="s">
        <v>2461</v>
      </c>
    </row>
    <row r="546" spans="1:4" ht="47.25" customHeight="1" x14ac:dyDescent="0.25">
      <c r="A546" s="5" t="s">
        <v>3874</v>
      </c>
      <c r="B546" s="6" t="s">
        <v>3875</v>
      </c>
      <c r="C546" s="8" t="s">
        <v>1487</v>
      </c>
      <c r="D546" s="7" t="s">
        <v>2462</v>
      </c>
    </row>
    <row r="547" spans="1:4" ht="47.25" customHeight="1" x14ac:dyDescent="0.25">
      <c r="A547" s="5" t="s">
        <v>3876</v>
      </c>
      <c r="B547" s="6" t="s">
        <v>3877</v>
      </c>
      <c r="C547" s="8" t="s">
        <v>3297</v>
      </c>
      <c r="D547" s="7" t="s">
        <v>2463</v>
      </c>
    </row>
    <row r="548" spans="1:4" ht="47.25" customHeight="1" x14ac:dyDescent="0.25">
      <c r="A548" s="5" t="s">
        <v>3878</v>
      </c>
      <c r="B548" s="6" t="s">
        <v>3879</v>
      </c>
      <c r="C548" s="8" t="s">
        <v>3460</v>
      </c>
      <c r="D548" s="7" t="s">
        <v>2464</v>
      </c>
    </row>
    <row r="549" spans="1:4" ht="47.25" customHeight="1" x14ac:dyDescent="0.25">
      <c r="A549" s="5" t="s">
        <v>3880</v>
      </c>
      <c r="B549" s="6" t="s">
        <v>3881</v>
      </c>
      <c r="C549" s="8" t="s">
        <v>3882</v>
      </c>
      <c r="D549" s="7" t="s">
        <v>2465</v>
      </c>
    </row>
    <row r="550" spans="1:4" ht="63" customHeight="1" x14ac:dyDescent="0.25">
      <c r="A550" s="5" t="s">
        <v>3883</v>
      </c>
      <c r="B550" s="6" t="s">
        <v>3884</v>
      </c>
      <c r="C550" s="8" t="s">
        <v>475</v>
      </c>
      <c r="D550" s="7" t="s">
        <v>2466</v>
      </c>
    </row>
    <row r="551" spans="1:4" ht="78.75" customHeight="1" x14ac:dyDescent="0.25">
      <c r="A551" s="5" t="s">
        <v>3885</v>
      </c>
      <c r="B551" s="6" t="s">
        <v>3886</v>
      </c>
      <c r="C551" s="8" t="s">
        <v>3428</v>
      </c>
      <c r="D551" s="7" t="s">
        <v>2467</v>
      </c>
    </row>
    <row r="552" spans="1:4" ht="63" customHeight="1" x14ac:dyDescent="0.25">
      <c r="A552" s="5" t="s">
        <v>3887</v>
      </c>
      <c r="B552" s="6" t="s">
        <v>3888</v>
      </c>
      <c r="C552" s="8" t="s">
        <v>3882</v>
      </c>
      <c r="D552" s="7" t="s">
        <v>2468</v>
      </c>
    </row>
    <row r="553" spans="1:4" ht="47.25" customHeight="1" x14ac:dyDescent="0.25">
      <c r="A553" s="5" t="s">
        <v>3889</v>
      </c>
      <c r="B553" s="6" t="s">
        <v>3890</v>
      </c>
      <c r="C553" s="8" t="s">
        <v>3546</v>
      </c>
      <c r="D553" s="7" t="s">
        <v>2365</v>
      </c>
    </row>
    <row r="554" spans="1:4" ht="47.25" customHeight="1" x14ac:dyDescent="0.25">
      <c r="A554" s="5" t="s">
        <v>3891</v>
      </c>
      <c r="B554" s="6" t="s">
        <v>3892</v>
      </c>
      <c r="C554" s="8" t="s">
        <v>344</v>
      </c>
      <c r="D554" s="7" t="s">
        <v>2469</v>
      </c>
    </row>
    <row r="555" spans="1:4" ht="63" customHeight="1" x14ac:dyDescent="0.25">
      <c r="A555" s="5" t="s">
        <v>3893</v>
      </c>
      <c r="B555" s="6" t="s">
        <v>3894</v>
      </c>
      <c r="C555" s="8" t="s">
        <v>3895</v>
      </c>
      <c r="D555" s="7" t="s">
        <v>2470</v>
      </c>
    </row>
    <row r="556" spans="1:4" ht="63" customHeight="1" x14ac:dyDescent="0.25">
      <c r="A556" s="5" t="s">
        <v>3896</v>
      </c>
      <c r="B556" s="6" t="s">
        <v>3897</v>
      </c>
      <c r="C556" s="8" t="s">
        <v>3862</v>
      </c>
      <c r="D556" s="7" t="s">
        <v>2471</v>
      </c>
    </row>
    <row r="557" spans="1:4" ht="63" customHeight="1" x14ac:dyDescent="0.25">
      <c r="A557" s="5" t="s">
        <v>3898</v>
      </c>
      <c r="B557" s="6" t="s">
        <v>3899</v>
      </c>
      <c r="C557" s="8" t="s">
        <v>1643</v>
      </c>
      <c r="D557" s="7" t="s">
        <v>2472</v>
      </c>
    </row>
    <row r="558" spans="1:4" ht="78.75" customHeight="1" x14ac:dyDescent="0.25">
      <c r="A558" s="5" t="s">
        <v>3900</v>
      </c>
      <c r="B558" s="6" t="s">
        <v>3901</v>
      </c>
      <c r="C558" s="8" t="s">
        <v>795</v>
      </c>
      <c r="D558" s="7" t="s">
        <v>2473</v>
      </c>
    </row>
    <row r="559" spans="1:4" ht="31.5" customHeight="1" x14ac:dyDescent="0.25">
      <c r="A559" s="5" t="s">
        <v>3902</v>
      </c>
      <c r="B559" s="6" t="s">
        <v>3903</v>
      </c>
      <c r="C559" s="8" t="s">
        <v>3904</v>
      </c>
      <c r="D559" s="7" t="s">
        <v>2474</v>
      </c>
    </row>
    <row r="560" spans="1:4" ht="47.25" customHeight="1" x14ac:dyDescent="0.25">
      <c r="A560" s="5" t="s">
        <v>3905</v>
      </c>
      <c r="B560" s="6" t="s">
        <v>3906</v>
      </c>
      <c r="C560" s="8" t="s">
        <v>344</v>
      </c>
      <c r="D560" s="7" t="s">
        <v>2475</v>
      </c>
    </row>
    <row r="561" spans="1:4" ht="31.5" customHeight="1" x14ac:dyDescent="0.25">
      <c r="A561" s="5" t="s">
        <v>3907</v>
      </c>
      <c r="B561" s="6" t="s">
        <v>3908</v>
      </c>
      <c r="C561" s="8" t="s">
        <v>1305</v>
      </c>
      <c r="D561" s="7" t="s">
        <v>2476</v>
      </c>
    </row>
    <row r="562" spans="1:4" ht="47.25" customHeight="1" x14ac:dyDescent="0.25">
      <c r="A562" s="5" t="s">
        <v>3909</v>
      </c>
      <c r="B562" s="6" t="s">
        <v>3910</v>
      </c>
      <c r="C562" s="8" t="s">
        <v>349</v>
      </c>
      <c r="D562" s="7" t="s">
        <v>2477</v>
      </c>
    </row>
    <row r="563" spans="1:4" ht="31.5" customHeight="1" x14ac:dyDescent="0.25">
      <c r="A563" s="5" t="s">
        <v>3911</v>
      </c>
      <c r="B563" s="6" t="s">
        <v>3912</v>
      </c>
      <c r="C563" s="8" t="s">
        <v>3913</v>
      </c>
      <c r="D563" s="7" t="s">
        <v>2478</v>
      </c>
    </row>
    <row r="564" spans="1:4" ht="31.5" customHeight="1" x14ac:dyDescent="0.25">
      <c r="A564" s="5" t="s">
        <v>3914</v>
      </c>
      <c r="B564" s="6" t="s">
        <v>3915</v>
      </c>
      <c r="C564" s="8" t="s">
        <v>1643</v>
      </c>
      <c r="D564" s="7" t="s">
        <v>2479</v>
      </c>
    </row>
    <row r="565" spans="1:4" ht="31.5" customHeight="1" x14ac:dyDescent="0.25">
      <c r="A565" s="5" t="s">
        <v>3916</v>
      </c>
      <c r="B565" s="6" t="s">
        <v>3917</v>
      </c>
      <c r="C565" s="8" t="s">
        <v>355</v>
      </c>
      <c r="D565" s="7" t="s">
        <v>2480</v>
      </c>
    </row>
    <row r="566" spans="1:4" ht="31.5" customHeight="1" x14ac:dyDescent="0.25">
      <c r="A566" s="5" t="s">
        <v>3918</v>
      </c>
      <c r="B566" s="6" t="s">
        <v>3919</v>
      </c>
      <c r="C566" s="8" t="s">
        <v>3920</v>
      </c>
      <c r="D566" s="7" t="s">
        <v>2481</v>
      </c>
    </row>
    <row r="567" spans="1:4" ht="47.25" customHeight="1" x14ac:dyDescent="0.25">
      <c r="A567" s="5" t="s">
        <v>3921</v>
      </c>
      <c r="B567" s="6" t="s">
        <v>3922</v>
      </c>
      <c r="C567" s="8" t="s">
        <v>546</v>
      </c>
      <c r="D567" s="7" t="s">
        <v>2482</v>
      </c>
    </row>
    <row r="568" spans="1:4" ht="31.5" customHeight="1" x14ac:dyDescent="0.25">
      <c r="A568" s="5" t="s">
        <v>3923</v>
      </c>
      <c r="B568" s="6" t="s">
        <v>3924</v>
      </c>
      <c r="C568" s="8" t="s">
        <v>1305</v>
      </c>
      <c r="D568" s="7" t="s">
        <v>2483</v>
      </c>
    </row>
    <row r="569" spans="1:4" ht="31.5" customHeight="1" x14ac:dyDescent="0.25">
      <c r="A569" s="5" t="s">
        <v>3925</v>
      </c>
      <c r="B569" s="6" t="s">
        <v>3926</v>
      </c>
      <c r="C569" s="8" t="s">
        <v>3927</v>
      </c>
      <c r="D569" s="7" t="s">
        <v>2484</v>
      </c>
    </row>
    <row r="570" spans="1:4" ht="47.25" customHeight="1" x14ac:dyDescent="0.25">
      <c r="A570" s="5" t="s">
        <v>3928</v>
      </c>
      <c r="B570" s="6" t="s">
        <v>3929</v>
      </c>
      <c r="C570" s="8" t="s">
        <v>3759</v>
      </c>
      <c r="D570" s="7" t="s">
        <v>2485</v>
      </c>
    </row>
    <row r="571" spans="1:4" ht="47.25" customHeight="1" x14ac:dyDescent="0.25">
      <c r="A571" s="5" t="s">
        <v>3930</v>
      </c>
      <c r="B571" s="6" t="s">
        <v>3931</v>
      </c>
      <c r="C571" s="8" t="s">
        <v>1313</v>
      </c>
      <c r="D571" s="7" t="s">
        <v>2486</v>
      </c>
    </row>
    <row r="572" spans="1:4" ht="31.5" customHeight="1" x14ac:dyDescent="0.25">
      <c r="A572" s="5" t="s">
        <v>3932</v>
      </c>
      <c r="B572" s="6" t="s">
        <v>3933</v>
      </c>
      <c r="C572" s="8" t="s">
        <v>3920</v>
      </c>
      <c r="D572" s="7" t="s">
        <v>2487</v>
      </c>
    </row>
    <row r="573" spans="1:4" ht="63" customHeight="1" x14ac:dyDescent="0.25">
      <c r="A573" s="5" t="s">
        <v>3934</v>
      </c>
      <c r="B573" s="6" t="s">
        <v>3935</v>
      </c>
      <c r="C573" s="8" t="s">
        <v>3855</v>
      </c>
      <c r="D573" s="7" t="s">
        <v>2488</v>
      </c>
    </row>
    <row r="574" spans="1:4" ht="47.25" customHeight="1" x14ac:dyDescent="0.25">
      <c r="A574" s="5" t="s">
        <v>3936</v>
      </c>
      <c r="B574" s="6" t="s">
        <v>3937</v>
      </c>
      <c r="C574" s="8" t="s">
        <v>365</v>
      </c>
      <c r="D574" s="7" t="s">
        <v>2489</v>
      </c>
    </row>
    <row r="575" spans="1:4" ht="47.25" customHeight="1" x14ac:dyDescent="0.25">
      <c r="A575" s="5" t="s">
        <v>3938</v>
      </c>
      <c r="B575" s="6" t="s">
        <v>3939</v>
      </c>
      <c r="C575" s="8" t="s">
        <v>3262</v>
      </c>
      <c r="D575" s="7" t="s">
        <v>2490</v>
      </c>
    </row>
    <row r="576" spans="1:4" ht="63" customHeight="1" x14ac:dyDescent="0.25">
      <c r="A576" s="5" t="s">
        <v>3940</v>
      </c>
      <c r="B576" s="6" t="s">
        <v>3941</v>
      </c>
      <c r="C576" s="8" t="s">
        <v>730</v>
      </c>
      <c r="D576" s="7" t="s">
        <v>2491</v>
      </c>
    </row>
    <row r="577" spans="1:4" ht="94.5" customHeight="1" x14ac:dyDescent="0.25">
      <c r="A577" s="5" t="s">
        <v>3942</v>
      </c>
      <c r="B577" s="6" t="s">
        <v>3943</v>
      </c>
      <c r="C577" s="8" t="s">
        <v>310</v>
      </c>
      <c r="D577" s="7" t="s">
        <v>2492</v>
      </c>
    </row>
    <row r="578" spans="1:4" ht="110.25" customHeight="1" x14ac:dyDescent="0.25">
      <c r="A578" s="5" t="s">
        <v>3944</v>
      </c>
      <c r="B578" s="6" t="s">
        <v>3945</v>
      </c>
      <c r="C578" s="8" t="s">
        <v>781</v>
      </c>
      <c r="D578" s="7" t="s">
        <v>2493</v>
      </c>
    </row>
    <row r="579" spans="1:4" ht="47.25" customHeight="1" x14ac:dyDescent="0.25">
      <c r="A579" s="5" t="s">
        <v>3946</v>
      </c>
      <c r="B579" s="6" t="s">
        <v>3947</v>
      </c>
      <c r="C579" s="8" t="s">
        <v>3120</v>
      </c>
      <c r="D579" s="7" t="s">
        <v>2494</v>
      </c>
    </row>
    <row r="580" spans="1:4" ht="63" customHeight="1" x14ac:dyDescent="0.25">
      <c r="A580" s="5" t="s">
        <v>3948</v>
      </c>
      <c r="B580" s="6" t="s">
        <v>3949</v>
      </c>
      <c r="C580" s="8" t="s">
        <v>3950</v>
      </c>
      <c r="D580" s="7" t="s">
        <v>2495</v>
      </c>
    </row>
    <row r="581" spans="1:4" ht="31.5" customHeight="1" x14ac:dyDescent="0.25">
      <c r="A581" s="5" t="s">
        <v>3951</v>
      </c>
      <c r="B581" s="6" t="s">
        <v>3952</v>
      </c>
      <c r="C581" s="8" t="s">
        <v>1313</v>
      </c>
      <c r="D581" s="7" t="s">
        <v>2496</v>
      </c>
    </row>
    <row r="582" spans="1:4" ht="47.25" customHeight="1" x14ac:dyDescent="0.25">
      <c r="A582" s="5" t="s">
        <v>3953</v>
      </c>
      <c r="B582" s="6" t="s">
        <v>3954</v>
      </c>
      <c r="C582" s="8" t="s">
        <v>810</v>
      </c>
      <c r="D582" s="7" t="s">
        <v>2497</v>
      </c>
    </row>
    <row r="583" spans="1:4" ht="47.25" customHeight="1" x14ac:dyDescent="0.25">
      <c r="A583" s="5" t="s">
        <v>3955</v>
      </c>
      <c r="B583" s="6" t="s">
        <v>3956</v>
      </c>
      <c r="C583" s="8" t="s">
        <v>3125</v>
      </c>
      <c r="D583" s="7" t="s">
        <v>2498</v>
      </c>
    </row>
    <row r="584" spans="1:4" ht="47.25" customHeight="1" x14ac:dyDescent="0.25">
      <c r="A584" s="5" t="s">
        <v>3957</v>
      </c>
      <c r="B584" s="6" t="s">
        <v>3958</v>
      </c>
      <c r="C584" s="8" t="s">
        <v>3822</v>
      </c>
      <c r="D584" s="7" t="s">
        <v>2499</v>
      </c>
    </row>
    <row r="585" spans="1:4" ht="47.25" customHeight="1" x14ac:dyDescent="0.25">
      <c r="A585" s="5" t="s">
        <v>3959</v>
      </c>
      <c r="B585" s="6" t="s">
        <v>3960</v>
      </c>
      <c r="C585" s="8" t="s">
        <v>3961</v>
      </c>
      <c r="D585" s="7" t="s">
        <v>2500</v>
      </c>
    </row>
    <row r="586" spans="1:4" ht="63" customHeight="1" x14ac:dyDescent="0.25">
      <c r="A586" s="5" t="s">
        <v>3962</v>
      </c>
      <c r="B586" s="6" t="s">
        <v>3963</v>
      </c>
      <c r="C586" s="8" t="s">
        <v>1072</v>
      </c>
      <c r="D586" s="7" t="s">
        <v>2501</v>
      </c>
    </row>
    <row r="587" spans="1:4" ht="31.5" customHeight="1" x14ac:dyDescent="0.25">
      <c r="A587" s="5" t="s">
        <v>3964</v>
      </c>
      <c r="B587" s="6" t="s">
        <v>3965</v>
      </c>
      <c r="C587" s="8" t="s">
        <v>3966</v>
      </c>
      <c r="D587" s="7" t="s">
        <v>2502</v>
      </c>
    </row>
    <row r="588" spans="1:4" ht="63" customHeight="1" x14ac:dyDescent="0.25">
      <c r="A588" s="5" t="s">
        <v>3967</v>
      </c>
      <c r="B588" s="6" t="s">
        <v>3968</v>
      </c>
      <c r="C588" s="8" t="s">
        <v>3390</v>
      </c>
      <c r="D588" s="7" t="s">
        <v>2503</v>
      </c>
    </row>
    <row r="589" spans="1:4" ht="47.25" customHeight="1" x14ac:dyDescent="0.25">
      <c r="A589" s="5" t="s">
        <v>3969</v>
      </c>
      <c r="B589" s="6" t="s">
        <v>3970</v>
      </c>
      <c r="C589" s="8" t="s">
        <v>3971</v>
      </c>
      <c r="D589" s="7" t="s">
        <v>2504</v>
      </c>
    </row>
    <row r="590" spans="1:4" ht="31.5" customHeight="1" x14ac:dyDescent="0.25">
      <c r="A590" s="5" t="s">
        <v>3972</v>
      </c>
      <c r="B590" s="6" t="s">
        <v>3973</v>
      </c>
      <c r="C590" s="8" t="s">
        <v>564</v>
      </c>
      <c r="D590" s="7" t="s">
        <v>2505</v>
      </c>
    </row>
    <row r="591" spans="1:4" ht="47.25" customHeight="1" x14ac:dyDescent="0.25">
      <c r="A591" s="5" t="s">
        <v>3974</v>
      </c>
      <c r="B591" s="6" t="s">
        <v>3975</v>
      </c>
      <c r="C591" s="8" t="s">
        <v>3976</v>
      </c>
      <c r="D591" s="7" t="s">
        <v>2506</v>
      </c>
    </row>
    <row r="592" spans="1:4" ht="47.25" customHeight="1" x14ac:dyDescent="0.25">
      <c r="A592" s="5" t="s">
        <v>3977</v>
      </c>
      <c r="B592" s="6" t="s">
        <v>3978</v>
      </c>
      <c r="C592" s="8" t="s">
        <v>3375</v>
      </c>
      <c r="D592" s="7" t="s">
        <v>2507</v>
      </c>
    </row>
    <row r="593" spans="1:4" ht="47.25" customHeight="1" x14ac:dyDescent="0.25">
      <c r="A593" s="5" t="s">
        <v>3979</v>
      </c>
      <c r="B593" s="6" t="s">
        <v>3980</v>
      </c>
      <c r="C593" s="8" t="s">
        <v>3663</v>
      </c>
      <c r="D593" s="7" t="s">
        <v>2508</v>
      </c>
    </row>
    <row r="594" spans="1:4" ht="47.25" customHeight="1" x14ac:dyDescent="0.25">
      <c r="A594" s="5" t="s">
        <v>3981</v>
      </c>
      <c r="B594" s="6" t="s">
        <v>3982</v>
      </c>
      <c r="C594" s="8" t="s">
        <v>738</v>
      </c>
      <c r="D594" s="7" t="s">
        <v>2509</v>
      </c>
    </row>
    <row r="595" spans="1:4" ht="31.5" customHeight="1" x14ac:dyDescent="0.25">
      <c r="A595" s="5" t="s">
        <v>3983</v>
      </c>
      <c r="B595" s="6" t="s">
        <v>3984</v>
      </c>
      <c r="C595" s="8" t="s">
        <v>3985</v>
      </c>
      <c r="D595" s="7" t="s">
        <v>2510</v>
      </c>
    </row>
    <row r="596" spans="1:4" ht="63" customHeight="1" x14ac:dyDescent="0.25">
      <c r="A596" s="5" t="s">
        <v>3986</v>
      </c>
      <c r="B596" s="6" t="s">
        <v>3987</v>
      </c>
      <c r="C596" s="8" t="s">
        <v>909</v>
      </c>
      <c r="D596" s="7" t="s">
        <v>2511</v>
      </c>
    </row>
    <row r="597" spans="1:4" ht="31.5" customHeight="1" x14ac:dyDescent="0.25">
      <c r="A597" s="5" t="s">
        <v>3988</v>
      </c>
      <c r="B597" s="6" t="s">
        <v>3989</v>
      </c>
      <c r="C597" s="8" t="s">
        <v>3990</v>
      </c>
      <c r="D597" s="7" t="s">
        <v>2512</v>
      </c>
    </row>
    <row r="598" spans="1:4" ht="63" customHeight="1" x14ac:dyDescent="0.25">
      <c r="A598" s="5" t="s">
        <v>3991</v>
      </c>
      <c r="B598" s="6" t="s">
        <v>3992</v>
      </c>
      <c r="C598" s="8" t="s">
        <v>3990</v>
      </c>
      <c r="D598" s="7" t="s">
        <v>2513</v>
      </c>
    </row>
    <row r="599" spans="1:4" ht="31.5" customHeight="1" x14ac:dyDescent="0.25">
      <c r="A599" s="5" t="s">
        <v>3993</v>
      </c>
      <c r="B599" s="6" t="s">
        <v>3994</v>
      </c>
      <c r="C599" s="8" t="s">
        <v>505</v>
      </c>
      <c r="D599" s="7" t="s">
        <v>2514</v>
      </c>
    </row>
    <row r="600" spans="1:4" ht="31.5" customHeight="1" x14ac:dyDescent="0.25">
      <c r="A600" s="5" t="s">
        <v>3995</v>
      </c>
      <c r="B600" s="6" t="s">
        <v>3996</v>
      </c>
      <c r="C600" s="8" t="s">
        <v>505</v>
      </c>
      <c r="D600" s="7" t="s">
        <v>2515</v>
      </c>
    </row>
    <row r="601" spans="1:4" ht="47.25" customHeight="1" x14ac:dyDescent="0.25">
      <c r="A601" s="5" t="s">
        <v>3997</v>
      </c>
      <c r="B601" s="6" t="s">
        <v>3998</v>
      </c>
      <c r="C601" s="8" t="s">
        <v>1579</v>
      </c>
      <c r="D601" s="7" t="s">
        <v>2516</v>
      </c>
    </row>
    <row r="602" spans="1:4" ht="31.5" customHeight="1" x14ac:dyDescent="0.25">
      <c r="A602" s="5" t="s">
        <v>3999</v>
      </c>
      <c r="B602" s="6" t="s">
        <v>4000</v>
      </c>
      <c r="C602" s="8" t="s">
        <v>795</v>
      </c>
      <c r="D602" s="7" t="s">
        <v>2517</v>
      </c>
    </row>
    <row r="603" spans="1:4" ht="31.5" customHeight="1" x14ac:dyDescent="0.25">
      <c r="A603" s="5" t="s">
        <v>4001</v>
      </c>
      <c r="B603" s="6" t="s">
        <v>4002</v>
      </c>
      <c r="C603" s="8" t="s">
        <v>781</v>
      </c>
      <c r="D603" s="7" t="s">
        <v>2518</v>
      </c>
    </row>
    <row r="604" spans="1:4" ht="31.5" customHeight="1" x14ac:dyDescent="0.25">
      <c r="A604" s="5" t="s">
        <v>4003</v>
      </c>
      <c r="B604" s="6" t="s">
        <v>4004</v>
      </c>
      <c r="C604" s="8" t="s">
        <v>265</v>
      </c>
      <c r="D604" s="7" t="s">
        <v>2519</v>
      </c>
    </row>
    <row r="605" spans="1:4" ht="31.5" customHeight="1" x14ac:dyDescent="0.25">
      <c r="A605" s="5" t="s">
        <v>4005</v>
      </c>
      <c r="B605" s="6" t="s">
        <v>4006</v>
      </c>
      <c r="C605" s="8" t="s">
        <v>564</v>
      </c>
      <c r="D605" s="7" t="s">
        <v>2520</v>
      </c>
    </row>
    <row r="606" spans="1:4" ht="31.5" customHeight="1" x14ac:dyDescent="0.25">
      <c r="A606" s="5" t="s">
        <v>4007</v>
      </c>
      <c r="B606" s="6" t="s">
        <v>4008</v>
      </c>
      <c r="C606" s="8" t="s">
        <v>564</v>
      </c>
      <c r="D606" s="7" t="s">
        <v>2521</v>
      </c>
    </row>
    <row r="607" spans="1:4" ht="47.25" customHeight="1" x14ac:dyDescent="0.25">
      <c r="A607" s="5" t="s">
        <v>4009</v>
      </c>
      <c r="B607" s="6" t="s">
        <v>4010</v>
      </c>
      <c r="C607" s="8" t="s">
        <v>4011</v>
      </c>
      <c r="D607" s="7" t="s">
        <v>2522</v>
      </c>
    </row>
    <row r="608" spans="1:4" ht="31.5" customHeight="1" x14ac:dyDescent="0.25">
      <c r="A608" s="5" t="s">
        <v>4012</v>
      </c>
      <c r="B608" s="6" t="s">
        <v>4013</v>
      </c>
      <c r="C608" s="8" t="s">
        <v>255</v>
      </c>
      <c r="D608" s="7" t="s">
        <v>2523</v>
      </c>
    </row>
    <row r="609" spans="1:4" ht="47.25" customHeight="1" x14ac:dyDescent="0.25">
      <c r="A609" s="5" t="s">
        <v>4014</v>
      </c>
      <c r="B609" s="6" t="s">
        <v>4015</v>
      </c>
      <c r="C609" s="8" t="s">
        <v>3822</v>
      </c>
      <c r="D609" s="7" t="s">
        <v>2524</v>
      </c>
    </row>
    <row r="610" spans="1:4" ht="31.5" customHeight="1" x14ac:dyDescent="0.25">
      <c r="A610" s="5" t="s">
        <v>4016</v>
      </c>
      <c r="B610" s="6" t="s">
        <v>4017</v>
      </c>
      <c r="C610" s="8" t="s">
        <v>3232</v>
      </c>
      <c r="D610" s="7" t="s">
        <v>2525</v>
      </c>
    </row>
    <row r="611" spans="1:4" ht="47.25" customHeight="1" x14ac:dyDescent="0.25">
      <c r="A611" s="5" t="s">
        <v>4018</v>
      </c>
      <c r="B611" s="6" t="s">
        <v>4019</v>
      </c>
      <c r="C611" s="8" t="s">
        <v>1048</v>
      </c>
      <c r="D611" s="7" t="s">
        <v>2526</v>
      </c>
    </row>
    <row r="612" spans="1:4" ht="47.25" customHeight="1" x14ac:dyDescent="0.25">
      <c r="A612" s="5" t="s">
        <v>4020</v>
      </c>
      <c r="B612" s="6" t="s">
        <v>4021</v>
      </c>
      <c r="C612" s="8" t="s">
        <v>4022</v>
      </c>
      <c r="D612" s="7" t="s">
        <v>2527</v>
      </c>
    </row>
    <row r="613" spans="1:4" ht="47.25" customHeight="1" x14ac:dyDescent="0.25">
      <c r="A613" s="5" t="s">
        <v>4023</v>
      </c>
      <c r="B613" s="6" t="s">
        <v>4024</v>
      </c>
      <c r="C613" s="8" t="s">
        <v>246</v>
      </c>
      <c r="D613" s="7" t="s">
        <v>2528</v>
      </c>
    </row>
    <row r="614" spans="1:4" ht="31.5" customHeight="1" x14ac:dyDescent="0.25">
      <c r="A614" s="5" t="s">
        <v>4025</v>
      </c>
      <c r="B614" s="6" t="s">
        <v>4026</v>
      </c>
      <c r="C614" s="8" t="s">
        <v>4027</v>
      </c>
      <c r="D614" s="7" t="s">
        <v>2529</v>
      </c>
    </row>
    <row r="615" spans="1:4" ht="31.5" customHeight="1" x14ac:dyDescent="0.25">
      <c r="A615" s="5" t="s">
        <v>4028</v>
      </c>
      <c r="B615" s="6" t="s">
        <v>4029</v>
      </c>
      <c r="C615" s="8" t="s">
        <v>4030</v>
      </c>
      <c r="D615" s="7" t="s">
        <v>2530</v>
      </c>
    </row>
    <row r="616" spans="1:4" ht="47.25" customHeight="1" x14ac:dyDescent="0.25">
      <c r="A616" s="5" t="s">
        <v>4031</v>
      </c>
      <c r="B616" s="6" t="s">
        <v>4032</v>
      </c>
      <c r="C616" s="8" t="s">
        <v>795</v>
      </c>
      <c r="D616" s="7" t="s">
        <v>2531</v>
      </c>
    </row>
    <row r="617" spans="1:4" ht="31.5" customHeight="1" x14ac:dyDescent="0.25">
      <c r="A617" s="5" t="s">
        <v>4033</v>
      </c>
      <c r="B617" s="6" t="s">
        <v>4034</v>
      </c>
      <c r="C617" s="8" t="s">
        <v>4035</v>
      </c>
      <c r="D617" s="7" t="s">
        <v>2532</v>
      </c>
    </row>
    <row r="618" spans="1:4" ht="31.5" customHeight="1" x14ac:dyDescent="0.25">
      <c r="A618" s="5" t="s">
        <v>4036</v>
      </c>
      <c r="B618" s="6" t="s">
        <v>4037</v>
      </c>
      <c r="C618" s="8" t="s">
        <v>1213</v>
      </c>
      <c r="D618" s="7" t="s">
        <v>2533</v>
      </c>
    </row>
    <row r="619" spans="1:4" ht="78.75" customHeight="1" x14ac:dyDescent="0.25">
      <c r="A619" s="5" t="s">
        <v>4038</v>
      </c>
      <c r="B619" s="6" t="s">
        <v>4039</v>
      </c>
      <c r="C619" s="8" t="s">
        <v>667</v>
      </c>
      <c r="D619" s="7" t="s">
        <v>2534</v>
      </c>
    </row>
    <row r="620" spans="1:4" ht="47.25" customHeight="1" x14ac:dyDescent="0.25">
      <c r="A620" s="5" t="s">
        <v>4040</v>
      </c>
      <c r="B620" s="6" t="s">
        <v>4041</v>
      </c>
      <c r="C620" s="8" t="s">
        <v>3486</v>
      </c>
      <c r="D620" s="7" t="s">
        <v>2535</v>
      </c>
    </row>
    <row r="621" spans="1:4" ht="47.25" customHeight="1" x14ac:dyDescent="0.25">
      <c r="A621" s="5" t="s">
        <v>4042</v>
      </c>
      <c r="B621" s="6" t="s">
        <v>4043</v>
      </c>
      <c r="C621" s="8" t="s">
        <v>546</v>
      </c>
      <c r="D621" s="7" t="s">
        <v>2536</v>
      </c>
    </row>
    <row r="622" spans="1:4" ht="31.5" customHeight="1" x14ac:dyDescent="0.25">
      <c r="A622" s="5" t="s">
        <v>4044</v>
      </c>
      <c r="B622" s="6" t="s">
        <v>4045</v>
      </c>
      <c r="C622" s="8" t="s">
        <v>207</v>
      </c>
      <c r="D622" s="7" t="s">
        <v>2537</v>
      </c>
    </row>
    <row r="623" spans="1:4" ht="63" customHeight="1" x14ac:dyDescent="0.25">
      <c r="A623" s="5" t="s">
        <v>4046</v>
      </c>
      <c r="B623" s="6" t="s">
        <v>4047</v>
      </c>
      <c r="C623" s="50" t="s">
        <v>4048</v>
      </c>
      <c r="D623" s="7" t="s">
        <v>2538</v>
      </c>
    </row>
    <row r="624" spans="1:4" ht="47.25" customHeight="1" x14ac:dyDescent="0.25">
      <c r="A624" s="5" t="s">
        <v>4049</v>
      </c>
      <c r="B624" s="6" t="s">
        <v>4050</v>
      </c>
      <c r="C624" s="8" t="s">
        <v>3095</v>
      </c>
      <c r="D624" s="7" t="s">
        <v>2539</v>
      </c>
    </row>
    <row r="625" spans="1:4" ht="47.25" customHeight="1" x14ac:dyDescent="0.25">
      <c r="A625" s="5" t="s">
        <v>4051</v>
      </c>
      <c r="B625" s="6" t="s">
        <v>4052</v>
      </c>
      <c r="C625" s="8" t="s">
        <v>1322</v>
      </c>
      <c r="D625" s="7" t="s">
        <v>2540</v>
      </c>
    </row>
    <row r="626" spans="1:4" ht="47.25" customHeight="1" x14ac:dyDescent="0.25">
      <c r="A626" s="5" t="s">
        <v>4053</v>
      </c>
      <c r="B626" s="6" t="s">
        <v>4054</v>
      </c>
      <c r="C626" s="8" t="s">
        <v>4055</v>
      </c>
      <c r="D626" s="7" t="s">
        <v>2541</v>
      </c>
    </row>
    <row r="627" spans="1:4" ht="31.5" customHeight="1" x14ac:dyDescent="0.25">
      <c r="A627" s="5" t="s">
        <v>4056</v>
      </c>
      <c r="B627" s="6" t="s">
        <v>4057</v>
      </c>
      <c r="C627" s="8" t="s">
        <v>355</v>
      </c>
      <c r="D627" s="7" t="s">
        <v>2542</v>
      </c>
    </row>
    <row r="628" spans="1:4" ht="31.5" customHeight="1" x14ac:dyDescent="0.25">
      <c r="A628" s="5" t="s">
        <v>4058</v>
      </c>
      <c r="B628" s="6" t="s">
        <v>4059</v>
      </c>
      <c r="C628" s="8" t="s">
        <v>3375</v>
      </c>
      <c r="D628" s="7" t="s">
        <v>2543</v>
      </c>
    </row>
    <row r="629" spans="1:4" ht="47.25" customHeight="1" x14ac:dyDescent="0.25">
      <c r="A629" s="5" t="s">
        <v>4060</v>
      </c>
      <c r="B629" s="6" t="s">
        <v>4061</v>
      </c>
      <c r="C629" s="8" t="s">
        <v>3386</v>
      </c>
      <c r="D629" s="7" t="s">
        <v>2544</v>
      </c>
    </row>
    <row r="630" spans="1:4" ht="47.25" customHeight="1" x14ac:dyDescent="0.25">
      <c r="A630" s="5" t="s">
        <v>4062</v>
      </c>
      <c r="B630" s="6" t="s">
        <v>4063</v>
      </c>
      <c r="C630" s="8" t="s">
        <v>4064</v>
      </c>
      <c r="D630" s="7" t="s">
        <v>2545</v>
      </c>
    </row>
    <row r="631" spans="1:4" ht="63" customHeight="1" x14ac:dyDescent="0.25">
      <c r="A631" s="5" t="s">
        <v>4065</v>
      </c>
      <c r="B631" s="6" t="s">
        <v>4066</v>
      </c>
      <c r="C631" s="8" t="s">
        <v>3769</v>
      </c>
      <c r="D631" s="7" t="s">
        <v>2546</v>
      </c>
    </row>
    <row r="632" spans="1:4" ht="47.25" customHeight="1" x14ac:dyDescent="0.25">
      <c r="A632" s="5" t="s">
        <v>4067</v>
      </c>
      <c r="B632" s="6" t="s">
        <v>4068</v>
      </c>
      <c r="C632" s="8" t="s">
        <v>282</v>
      </c>
      <c r="D632" s="7" t="s">
        <v>2547</v>
      </c>
    </row>
    <row r="633" spans="1:4" ht="47.25" customHeight="1" x14ac:dyDescent="0.25">
      <c r="A633" s="5" t="s">
        <v>4069</v>
      </c>
      <c r="B633" s="6" t="s">
        <v>4070</v>
      </c>
      <c r="C633" s="8" t="s">
        <v>3684</v>
      </c>
      <c r="D633" s="7" t="s">
        <v>2548</v>
      </c>
    </row>
    <row r="634" spans="1:4" ht="31.5" customHeight="1" x14ac:dyDescent="0.25">
      <c r="A634" s="5" t="s">
        <v>4071</v>
      </c>
      <c r="B634" s="6" t="s">
        <v>4072</v>
      </c>
      <c r="C634" s="8" t="s">
        <v>3990</v>
      </c>
      <c r="D634" s="7" t="s">
        <v>2549</v>
      </c>
    </row>
    <row r="635" spans="1:4" ht="31.5" customHeight="1" x14ac:dyDescent="0.25">
      <c r="A635" s="5" t="s">
        <v>4073</v>
      </c>
      <c r="B635" s="6" t="s">
        <v>4074</v>
      </c>
      <c r="C635" s="8" t="s">
        <v>3249</v>
      </c>
      <c r="D635" s="7" t="s">
        <v>2550</v>
      </c>
    </row>
    <row r="636" spans="1:4" ht="31.5" customHeight="1" x14ac:dyDescent="0.25">
      <c r="A636" s="5" t="s">
        <v>4075</v>
      </c>
      <c r="B636" s="6" t="s">
        <v>4076</v>
      </c>
      <c r="C636" s="8" t="s">
        <v>3249</v>
      </c>
      <c r="D636" s="7" t="s">
        <v>2551</v>
      </c>
    </row>
    <row r="637" spans="1:4" ht="63" customHeight="1" x14ac:dyDescent="0.25">
      <c r="A637" s="5" t="s">
        <v>4077</v>
      </c>
      <c r="B637" s="6" t="s">
        <v>4078</v>
      </c>
      <c r="C637" s="8" t="s">
        <v>1517</v>
      </c>
      <c r="D637" s="7" t="s">
        <v>2552</v>
      </c>
    </row>
    <row r="638" spans="1:4" ht="31.5" customHeight="1" x14ac:dyDescent="0.25">
      <c r="A638" s="5" t="s">
        <v>4079</v>
      </c>
      <c r="B638" s="6" t="s">
        <v>4080</v>
      </c>
      <c r="C638" s="8" t="s">
        <v>255</v>
      </c>
      <c r="D638" s="7" t="s">
        <v>2553</v>
      </c>
    </row>
    <row r="639" spans="1:4" ht="47.25" customHeight="1" x14ac:dyDescent="0.25">
      <c r="A639" s="5" t="s">
        <v>4081</v>
      </c>
      <c r="B639" s="6" t="s">
        <v>4082</v>
      </c>
      <c r="C639" s="8" t="s">
        <v>4083</v>
      </c>
      <c r="D639" s="7" t="s">
        <v>2554</v>
      </c>
    </row>
    <row r="640" spans="1:4" ht="47.25" customHeight="1" x14ac:dyDescent="0.25">
      <c r="A640" s="5" t="s">
        <v>4084</v>
      </c>
      <c r="B640" s="6" t="s">
        <v>4085</v>
      </c>
      <c r="C640" s="8" t="s">
        <v>3478</v>
      </c>
      <c r="D640" s="7" t="s">
        <v>2555</v>
      </c>
    </row>
    <row r="641" spans="1:4" ht="47.25" customHeight="1" x14ac:dyDescent="0.25">
      <c r="A641" s="5" t="s">
        <v>4086</v>
      </c>
      <c r="B641" s="6" t="s">
        <v>4087</v>
      </c>
      <c r="C641" s="8" t="s">
        <v>4088</v>
      </c>
      <c r="D641" s="7" t="s">
        <v>2556</v>
      </c>
    </row>
    <row r="642" spans="1:4" ht="47.25" customHeight="1" x14ac:dyDescent="0.25">
      <c r="A642" s="5" t="s">
        <v>4089</v>
      </c>
      <c r="B642" s="6" t="s">
        <v>4090</v>
      </c>
      <c r="C642" s="8" t="s">
        <v>590</v>
      </c>
      <c r="D642" s="7" t="s">
        <v>2557</v>
      </c>
    </row>
    <row r="643" spans="1:4" ht="47.25" customHeight="1" x14ac:dyDescent="0.25">
      <c r="A643" s="5" t="s">
        <v>4091</v>
      </c>
      <c r="B643" s="6" t="s">
        <v>4092</v>
      </c>
      <c r="C643" s="8" t="s">
        <v>1182</v>
      </c>
      <c r="D643" s="7" t="s">
        <v>2558</v>
      </c>
    </row>
    <row r="644" spans="1:4" ht="63" customHeight="1" x14ac:dyDescent="0.25">
      <c r="A644" s="5" t="s">
        <v>4093</v>
      </c>
      <c r="B644" s="6" t="s">
        <v>4094</v>
      </c>
      <c r="C644" s="8" t="s">
        <v>4095</v>
      </c>
      <c r="D644" s="7" t="s">
        <v>2559</v>
      </c>
    </row>
    <row r="645" spans="1:4" ht="94.5" customHeight="1" x14ac:dyDescent="0.25">
      <c r="A645" s="5" t="s">
        <v>4096</v>
      </c>
      <c r="B645" s="6" t="s">
        <v>4097</v>
      </c>
      <c r="C645" s="8" t="s">
        <v>932</v>
      </c>
      <c r="D645" s="7" t="s">
        <v>2560</v>
      </c>
    </row>
    <row r="646" spans="1:4" ht="47.25" customHeight="1" x14ac:dyDescent="0.25">
      <c r="A646" s="5" t="s">
        <v>4098</v>
      </c>
      <c r="B646" s="6" t="s">
        <v>4099</v>
      </c>
      <c r="C646" s="8" t="s">
        <v>4100</v>
      </c>
      <c r="D646" s="7" t="s">
        <v>2561</v>
      </c>
    </row>
    <row r="647" spans="1:4" ht="63" customHeight="1" x14ac:dyDescent="0.25">
      <c r="A647" s="5" t="s">
        <v>4101</v>
      </c>
      <c r="B647" s="6" t="s">
        <v>4102</v>
      </c>
      <c r="C647" s="8" t="s">
        <v>4100</v>
      </c>
      <c r="D647" s="7" t="s">
        <v>2562</v>
      </c>
    </row>
    <row r="648" spans="1:4" x14ac:dyDescent="0.25">
      <c r="A648" s="5" t="s">
        <v>4103</v>
      </c>
      <c r="B648" s="6" t="s">
        <v>4104</v>
      </c>
      <c r="C648" s="8" t="s">
        <v>619</v>
      </c>
      <c r="D648" s="7" t="s">
        <v>2563</v>
      </c>
    </row>
    <row r="649" spans="1:4" ht="47.25" customHeight="1" x14ac:dyDescent="0.25">
      <c r="A649" s="5" t="s">
        <v>4105</v>
      </c>
      <c r="B649" s="6" t="s">
        <v>4106</v>
      </c>
      <c r="C649" s="8" t="s">
        <v>3990</v>
      </c>
      <c r="D649" s="7" t="s">
        <v>2564</v>
      </c>
    </row>
    <row r="650" spans="1:4" ht="47.25" customHeight="1" x14ac:dyDescent="0.25">
      <c r="A650" s="5" t="s">
        <v>4107</v>
      </c>
      <c r="B650" s="6" t="s">
        <v>4108</v>
      </c>
      <c r="C650" s="8" t="s">
        <v>3171</v>
      </c>
      <c r="D650" s="7" t="s">
        <v>2565</v>
      </c>
    </row>
    <row r="651" spans="1:4" ht="47.25" customHeight="1" x14ac:dyDescent="0.25">
      <c r="A651" s="5" t="s">
        <v>4109</v>
      </c>
      <c r="B651" s="6" t="s">
        <v>4110</v>
      </c>
      <c r="C651" s="8" t="s">
        <v>534</v>
      </c>
      <c r="D651" s="7" t="s">
        <v>2566</v>
      </c>
    </row>
    <row r="652" spans="1:4" ht="63" customHeight="1" x14ac:dyDescent="0.25">
      <c r="A652" s="5" t="s">
        <v>4111</v>
      </c>
      <c r="B652" s="6" t="s">
        <v>4112</v>
      </c>
      <c r="C652" s="8" t="s">
        <v>1182</v>
      </c>
      <c r="D652" s="7" t="s">
        <v>2567</v>
      </c>
    </row>
    <row r="653" spans="1:4" ht="63" customHeight="1" x14ac:dyDescent="0.25">
      <c r="A653" s="5" t="s">
        <v>4113</v>
      </c>
      <c r="B653" s="6" t="s">
        <v>4114</v>
      </c>
      <c r="C653" s="8" t="s">
        <v>1182</v>
      </c>
      <c r="D653" s="7" t="s">
        <v>2568</v>
      </c>
    </row>
    <row r="654" spans="1:4" ht="47.25" customHeight="1" x14ac:dyDescent="0.25">
      <c r="A654" s="5" t="s">
        <v>4115</v>
      </c>
      <c r="B654" s="6" t="s">
        <v>4116</v>
      </c>
      <c r="C654" s="8" t="s">
        <v>3428</v>
      </c>
      <c r="D654" s="7" t="s">
        <v>2569</v>
      </c>
    </row>
    <row r="655" spans="1:4" ht="47.25" customHeight="1" x14ac:dyDescent="0.25">
      <c r="A655" s="5" t="s">
        <v>4117</v>
      </c>
      <c r="B655" s="6" t="s">
        <v>4118</v>
      </c>
      <c r="C655" s="8" t="s">
        <v>3428</v>
      </c>
      <c r="D655" s="7" t="s">
        <v>2570</v>
      </c>
    </row>
    <row r="656" spans="1:4" ht="31.5" customHeight="1" x14ac:dyDescent="0.25">
      <c r="A656" s="5" t="s">
        <v>4119</v>
      </c>
      <c r="B656" s="6" t="s">
        <v>4120</v>
      </c>
      <c r="C656" s="8" t="s">
        <v>4121</v>
      </c>
      <c r="D656" s="7" t="s">
        <v>2571</v>
      </c>
    </row>
    <row r="657" spans="1:4" ht="47.25" customHeight="1" x14ac:dyDescent="0.25">
      <c r="A657" s="5" t="s">
        <v>4122</v>
      </c>
      <c r="B657" s="6" t="s">
        <v>4123</v>
      </c>
      <c r="C657" s="8" t="s">
        <v>590</v>
      </c>
      <c r="D657" s="7" t="s">
        <v>2572</v>
      </c>
    </row>
    <row r="658" spans="1:4" ht="63" customHeight="1" x14ac:dyDescent="0.25">
      <c r="A658" s="5" t="s">
        <v>4124</v>
      </c>
      <c r="B658" s="6" t="s">
        <v>4125</v>
      </c>
      <c r="C658" s="8" t="s">
        <v>4126</v>
      </c>
      <c r="D658" s="7" t="s">
        <v>2573</v>
      </c>
    </row>
    <row r="659" spans="1:4" ht="47.25" customHeight="1" x14ac:dyDescent="0.25">
      <c r="A659" s="5" t="s">
        <v>4127</v>
      </c>
      <c r="B659" s="6" t="s">
        <v>4128</v>
      </c>
      <c r="C659" s="8" t="s">
        <v>505</v>
      </c>
      <c r="D659" s="7" t="s">
        <v>2574</v>
      </c>
    </row>
    <row r="660" spans="1:4" ht="31.5" customHeight="1" x14ac:dyDescent="0.25">
      <c r="A660" s="5" t="s">
        <v>4129</v>
      </c>
      <c r="B660" s="6" t="s">
        <v>4130</v>
      </c>
      <c r="C660" s="8" t="s">
        <v>4131</v>
      </c>
      <c r="D660" s="7" t="s">
        <v>2575</v>
      </c>
    </row>
    <row r="661" spans="1:4" ht="47.25" customHeight="1" x14ac:dyDescent="0.25">
      <c r="A661" s="5" t="s">
        <v>4132</v>
      </c>
      <c r="B661" s="6" t="s">
        <v>4133</v>
      </c>
      <c r="C661" s="8" t="s">
        <v>3670</v>
      </c>
      <c r="D661" s="7" t="s">
        <v>2576</v>
      </c>
    </row>
    <row r="662" spans="1:4" ht="31.5" customHeight="1" x14ac:dyDescent="0.25">
      <c r="A662" s="5" t="s">
        <v>4134</v>
      </c>
      <c r="B662" s="6" t="s">
        <v>4135</v>
      </c>
      <c r="C662" s="8" t="s">
        <v>3432</v>
      </c>
      <c r="D662" s="7" t="s">
        <v>2577</v>
      </c>
    </row>
    <row r="663" spans="1:4" ht="31.5" customHeight="1" x14ac:dyDescent="0.25">
      <c r="A663" s="5" t="s">
        <v>4136</v>
      </c>
      <c r="B663" s="6" t="s">
        <v>4137</v>
      </c>
      <c r="C663" s="8" t="s">
        <v>781</v>
      </c>
      <c r="D663" s="7" t="s">
        <v>2578</v>
      </c>
    </row>
    <row r="664" spans="1:4" ht="47.25" customHeight="1" x14ac:dyDescent="0.25">
      <c r="A664" s="5" t="s">
        <v>4138</v>
      </c>
      <c r="B664" s="6" t="s">
        <v>4139</v>
      </c>
      <c r="C664" s="8" t="s">
        <v>1091</v>
      </c>
      <c r="D664" s="7" t="s">
        <v>2579</v>
      </c>
    </row>
    <row r="665" spans="1:4" ht="31.5" customHeight="1" x14ac:dyDescent="0.25">
      <c r="A665" s="5" t="s">
        <v>4140</v>
      </c>
      <c r="B665" s="6" t="s">
        <v>4141</v>
      </c>
      <c r="C665" s="8" t="s">
        <v>382</v>
      </c>
      <c r="D665" s="7" t="s">
        <v>2580</v>
      </c>
    </row>
    <row r="666" spans="1:4" ht="47.25" customHeight="1" x14ac:dyDescent="0.25">
      <c r="A666" s="5" t="s">
        <v>4142</v>
      </c>
      <c r="B666" s="6" t="s">
        <v>4143</v>
      </c>
      <c r="C666" s="8" t="s">
        <v>4144</v>
      </c>
      <c r="D666" s="7" t="s">
        <v>2581</v>
      </c>
    </row>
    <row r="667" spans="1:4" ht="47.25" customHeight="1" x14ac:dyDescent="0.25">
      <c r="A667" s="5" t="s">
        <v>4145</v>
      </c>
      <c r="B667" s="6" t="s">
        <v>4146</v>
      </c>
      <c r="C667" s="8" t="s">
        <v>4147</v>
      </c>
      <c r="D667" s="7" t="s">
        <v>2582</v>
      </c>
    </row>
    <row r="668" spans="1:4" ht="63" customHeight="1" x14ac:dyDescent="0.25">
      <c r="A668" s="5" t="s">
        <v>4148</v>
      </c>
      <c r="B668" s="6" t="s">
        <v>4149</v>
      </c>
      <c r="C668" s="8" t="s">
        <v>3129</v>
      </c>
      <c r="D668" s="7" t="s">
        <v>2583</v>
      </c>
    </row>
    <row r="669" spans="1:4" ht="31.5" customHeight="1" x14ac:dyDescent="0.25">
      <c r="A669" s="5" t="s">
        <v>4150</v>
      </c>
      <c r="B669" s="6" t="s">
        <v>4151</v>
      </c>
      <c r="C669" s="8" t="s">
        <v>3129</v>
      </c>
      <c r="D669" s="7" t="s">
        <v>2584</v>
      </c>
    </row>
    <row r="670" spans="1:4" ht="31.5" customHeight="1" x14ac:dyDescent="0.25">
      <c r="A670" s="5" t="s">
        <v>4152</v>
      </c>
      <c r="B670" s="6" t="s">
        <v>4153</v>
      </c>
      <c r="C670" s="8" t="s">
        <v>4154</v>
      </c>
      <c r="D670" s="7" t="s">
        <v>2585</v>
      </c>
    </row>
    <row r="671" spans="1:4" ht="31.5" customHeight="1" x14ac:dyDescent="0.25">
      <c r="A671" s="5" t="s">
        <v>4155</v>
      </c>
      <c r="B671" s="6" t="s">
        <v>4156</v>
      </c>
      <c r="C671" s="8" t="s">
        <v>1363</v>
      </c>
      <c r="D671" s="7" t="s">
        <v>2586</v>
      </c>
    </row>
    <row r="672" spans="1:4" ht="63" customHeight="1" x14ac:dyDescent="0.25">
      <c r="A672" s="5" t="s">
        <v>4157</v>
      </c>
      <c r="B672" s="6" t="s">
        <v>4158</v>
      </c>
      <c r="C672" s="8" t="s">
        <v>743</v>
      </c>
      <c r="D672" s="7" t="s">
        <v>2587</v>
      </c>
    </row>
    <row r="673" spans="1:4" ht="47.25" customHeight="1" x14ac:dyDescent="0.25">
      <c r="A673" s="5" t="s">
        <v>4159</v>
      </c>
      <c r="B673" s="6" t="s">
        <v>4160</v>
      </c>
      <c r="C673" s="8" t="s">
        <v>4131</v>
      </c>
      <c r="D673" s="7" t="s">
        <v>2588</v>
      </c>
    </row>
    <row r="674" spans="1:4" ht="63" customHeight="1" x14ac:dyDescent="0.25">
      <c r="A674" s="5" t="s">
        <v>4161</v>
      </c>
      <c r="B674" s="6" t="s">
        <v>4162</v>
      </c>
      <c r="C674" s="8" t="s">
        <v>410</v>
      </c>
      <c r="D674" s="7" t="s">
        <v>2589</v>
      </c>
    </row>
    <row r="675" spans="1:4" ht="63" customHeight="1" x14ac:dyDescent="0.25">
      <c r="A675" s="5" t="s">
        <v>4163</v>
      </c>
      <c r="B675" s="6" t="s">
        <v>4164</v>
      </c>
      <c r="C675" s="8" t="s">
        <v>410</v>
      </c>
      <c r="D675" s="7" t="s">
        <v>2590</v>
      </c>
    </row>
    <row r="676" spans="1:4" ht="47.25" customHeight="1" x14ac:dyDescent="0.25">
      <c r="A676" s="5" t="s">
        <v>4165</v>
      </c>
      <c r="B676" s="6" t="s">
        <v>4166</v>
      </c>
      <c r="C676" s="8" t="s">
        <v>1313</v>
      </c>
      <c r="D676" s="7" t="s">
        <v>2591</v>
      </c>
    </row>
    <row r="677" spans="1:4" ht="31.5" customHeight="1" x14ac:dyDescent="0.25">
      <c r="A677" s="5" t="s">
        <v>4167</v>
      </c>
      <c r="B677" s="6" t="s">
        <v>4168</v>
      </c>
      <c r="C677" s="8" t="s">
        <v>3460</v>
      </c>
      <c r="D677" s="7" t="s">
        <v>2592</v>
      </c>
    </row>
    <row r="678" spans="1:4" ht="31.5" customHeight="1" x14ac:dyDescent="0.25">
      <c r="A678" s="5" t="s">
        <v>4169</v>
      </c>
      <c r="B678" s="6" t="s">
        <v>4170</v>
      </c>
      <c r="C678" s="8" t="s">
        <v>3129</v>
      </c>
      <c r="D678" s="7" t="s">
        <v>2593</v>
      </c>
    </row>
    <row r="679" spans="1:4" ht="47.25" customHeight="1" x14ac:dyDescent="0.25">
      <c r="A679" s="5" t="s">
        <v>4171</v>
      </c>
      <c r="B679" s="6" t="s">
        <v>4172</v>
      </c>
      <c r="C679" s="8" t="s">
        <v>4173</v>
      </c>
      <c r="D679" s="7" t="s">
        <v>2594</v>
      </c>
    </row>
    <row r="680" spans="1:4" ht="31.5" customHeight="1" x14ac:dyDescent="0.25">
      <c r="A680" s="5" t="s">
        <v>4174</v>
      </c>
      <c r="B680" s="6" t="s">
        <v>4175</v>
      </c>
      <c r="C680" s="8" t="s">
        <v>3239</v>
      </c>
      <c r="D680" s="7" t="s">
        <v>2595</v>
      </c>
    </row>
    <row r="681" spans="1:4" ht="47.25" customHeight="1" x14ac:dyDescent="0.25">
      <c r="A681" s="5" t="s">
        <v>4176</v>
      </c>
      <c r="B681" s="6" t="s">
        <v>4177</v>
      </c>
      <c r="C681" s="8" t="s">
        <v>3920</v>
      </c>
      <c r="D681" s="7" t="s">
        <v>2596</v>
      </c>
    </row>
    <row r="682" spans="1:4" ht="31.5" customHeight="1" x14ac:dyDescent="0.25">
      <c r="A682" s="5" t="s">
        <v>4178</v>
      </c>
      <c r="B682" s="6" t="s">
        <v>4179</v>
      </c>
      <c r="C682" s="8" t="s">
        <v>1213</v>
      </c>
      <c r="D682" s="7" t="s">
        <v>2597</v>
      </c>
    </row>
    <row r="683" spans="1:4" ht="31.5" customHeight="1" x14ac:dyDescent="0.25">
      <c r="A683" s="5" t="s">
        <v>4180</v>
      </c>
      <c r="B683" s="6" t="s">
        <v>4181</v>
      </c>
      <c r="C683" s="8" t="s">
        <v>3125</v>
      </c>
      <c r="D683" s="7" t="s">
        <v>2598</v>
      </c>
    </row>
    <row r="684" spans="1:4" ht="31.5" customHeight="1" x14ac:dyDescent="0.25">
      <c r="A684" s="5" t="s">
        <v>4182</v>
      </c>
      <c r="B684" s="6" t="s">
        <v>4183</v>
      </c>
      <c r="C684" s="8" t="s">
        <v>288</v>
      </c>
      <c r="D684" s="7" t="s">
        <v>2599</v>
      </c>
    </row>
    <row r="685" spans="1:4" ht="31.5" customHeight="1" x14ac:dyDescent="0.25">
      <c r="A685" s="5" t="s">
        <v>4184</v>
      </c>
      <c r="B685" s="6" t="s">
        <v>4185</v>
      </c>
      <c r="C685" s="8" t="s">
        <v>3095</v>
      </c>
      <c r="D685" s="7" t="s">
        <v>2600</v>
      </c>
    </row>
    <row r="686" spans="1:4" ht="31.5" customHeight="1" x14ac:dyDescent="0.25">
      <c r="A686" s="5" t="s">
        <v>4186</v>
      </c>
      <c r="B686" s="6" t="s">
        <v>4187</v>
      </c>
      <c r="C686" s="8" t="s">
        <v>282</v>
      </c>
      <c r="D686" s="7" t="s">
        <v>2601</v>
      </c>
    </row>
    <row r="687" spans="1:4" ht="47.25" customHeight="1" x14ac:dyDescent="0.25">
      <c r="A687" s="5" t="s">
        <v>4188</v>
      </c>
      <c r="B687" s="6" t="s">
        <v>4189</v>
      </c>
      <c r="C687" s="8" t="s">
        <v>148</v>
      </c>
      <c r="D687" s="7" t="s">
        <v>2602</v>
      </c>
    </row>
    <row r="688" spans="1:4" ht="47.25" customHeight="1" x14ac:dyDescent="0.25">
      <c r="A688" s="5" t="s">
        <v>4190</v>
      </c>
      <c r="B688" s="6" t="s">
        <v>4191</v>
      </c>
      <c r="C688" s="8" t="s">
        <v>365</v>
      </c>
      <c r="D688" s="7" t="s">
        <v>2603</v>
      </c>
    </row>
    <row r="689" spans="1:4" ht="47.25" customHeight="1" x14ac:dyDescent="0.25">
      <c r="A689" s="5" t="s">
        <v>4192</v>
      </c>
      <c r="B689" s="6" t="s">
        <v>4193</v>
      </c>
      <c r="C689" s="8" t="s">
        <v>4194</v>
      </c>
      <c r="D689" s="7" t="s">
        <v>2604</v>
      </c>
    </row>
    <row r="690" spans="1:4" ht="63" customHeight="1" x14ac:dyDescent="0.25">
      <c r="A690" s="5" t="s">
        <v>4195</v>
      </c>
      <c r="B690" s="6" t="s">
        <v>4196</v>
      </c>
      <c r="C690" s="8" t="s">
        <v>1077</v>
      </c>
      <c r="D690" s="7" t="s">
        <v>2605</v>
      </c>
    </row>
    <row r="691" spans="1:4" ht="47.25" customHeight="1" x14ac:dyDescent="0.25">
      <c r="A691" s="5" t="s">
        <v>4197</v>
      </c>
      <c r="B691" s="6" t="s">
        <v>4198</v>
      </c>
      <c r="C691" s="8" t="s">
        <v>3262</v>
      </c>
      <c r="D691" s="7" t="s">
        <v>2606</v>
      </c>
    </row>
    <row r="692" spans="1:4" ht="47.25" customHeight="1" x14ac:dyDescent="0.25">
      <c r="A692" s="5" t="s">
        <v>4199</v>
      </c>
      <c r="B692" s="6" t="s">
        <v>4200</v>
      </c>
      <c r="C692" s="8" t="s">
        <v>365</v>
      </c>
      <c r="D692" s="7" t="s">
        <v>2607</v>
      </c>
    </row>
    <row r="693" spans="1:4" ht="63" customHeight="1" x14ac:dyDescent="0.25">
      <c r="A693" s="5" t="s">
        <v>4201</v>
      </c>
      <c r="B693" s="6" t="s">
        <v>4202</v>
      </c>
      <c r="C693" s="8" t="s">
        <v>265</v>
      </c>
      <c r="D693" s="7" t="s">
        <v>2608</v>
      </c>
    </row>
    <row r="694" spans="1:4" ht="47.25" customHeight="1" x14ac:dyDescent="0.25">
      <c r="A694" s="5" t="s">
        <v>4203</v>
      </c>
      <c r="B694" s="6" t="s">
        <v>4204</v>
      </c>
      <c r="C694" s="8" t="s">
        <v>4205</v>
      </c>
      <c r="D694" s="7" t="s">
        <v>2609</v>
      </c>
    </row>
    <row r="695" spans="1:4" ht="47.25" customHeight="1" x14ac:dyDescent="0.25">
      <c r="A695" s="5" t="s">
        <v>4206</v>
      </c>
      <c r="B695" s="6" t="s">
        <v>4207</v>
      </c>
      <c r="C695" s="8" t="s">
        <v>1091</v>
      </c>
      <c r="D695" s="7" t="s">
        <v>2610</v>
      </c>
    </row>
    <row r="696" spans="1:4" ht="63" customHeight="1" x14ac:dyDescent="0.25">
      <c r="A696" s="5" t="s">
        <v>4208</v>
      </c>
      <c r="B696" s="6" t="s">
        <v>4209</v>
      </c>
      <c r="C696" s="8" t="s">
        <v>1048</v>
      </c>
      <c r="D696" s="7" t="s">
        <v>2611</v>
      </c>
    </row>
    <row r="697" spans="1:4" ht="63" customHeight="1" x14ac:dyDescent="0.25">
      <c r="A697" s="5" t="s">
        <v>4210</v>
      </c>
      <c r="B697" s="6" t="s">
        <v>4211</v>
      </c>
      <c r="C697" s="8" t="s">
        <v>495</v>
      </c>
      <c r="D697" s="7" t="s">
        <v>2612</v>
      </c>
    </row>
    <row r="698" spans="1:4" ht="47.25" customHeight="1" x14ac:dyDescent="0.25">
      <c r="A698" s="5" t="s">
        <v>4212</v>
      </c>
      <c r="B698" s="6" t="s">
        <v>4213</v>
      </c>
      <c r="C698" s="8" t="s">
        <v>495</v>
      </c>
      <c r="D698" s="7" t="s">
        <v>2613</v>
      </c>
    </row>
    <row r="699" spans="1:4" ht="47.25" customHeight="1" x14ac:dyDescent="0.25">
      <c r="A699" s="5" t="s">
        <v>4214</v>
      </c>
      <c r="B699" s="6" t="s">
        <v>4215</v>
      </c>
      <c r="C699" s="8" t="s">
        <v>4216</v>
      </c>
      <c r="D699" s="7" t="s">
        <v>2614</v>
      </c>
    </row>
    <row r="700" spans="1:4" ht="31.5" customHeight="1" x14ac:dyDescent="0.25">
      <c r="A700" s="5" t="s">
        <v>4217</v>
      </c>
      <c r="B700" s="6" t="s">
        <v>4218</v>
      </c>
      <c r="C700" s="8" t="s">
        <v>1213</v>
      </c>
      <c r="D700" s="7" t="s">
        <v>2615</v>
      </c>
    </row>
    <row r="701" spans="1:4" ht="47.25" customHeight="1" x14ac:dyDescent="0.25">
      <c r="A701" s="5" t="s">
        <v>4219</v>
      </c>
      <c r="B701" s="6" t="s">
        <v>4220</v>
      </c>
      <c r="C701" s="8" t="s">
        <v>1114</v>
      </c>
      <c r="D701" s="7" t="s">
        <v>2616</v>
      </c>
    </row>
    <row r="702" spans="1:4" ht="63" customHeight="1" x14ac:dyDescent="0.25">
      <c r="A702" s="5" t="s">
        <v>4221</v>
      </c>
      <c r="B702" s="6" t="s">
        <v>4222</v>
      </c>
      <c r="C702" s="8" t="s">
        <v>62</v>
      </c>
      <c r="D702" s="7" t="s">
        <v>2617</v>
      </c>
    </row>
    <row r="703" spans="1:4" ht="31.5" customHeight="1" x14ac:dyDescent="0.25">
      <c r="A703" s="5" t="s">
        <v>4223</v>
      </c>
      <c r="B703" s="6" t="s">
        <v>4224</v>
      </c>
      <c r="C703" s="8" t="s">
        <v>4225</v>
      </c>
      <c r="D703" s="7" t="s">
        <v>2618</v>
      </c>
    </row>
    <row r="704" spans="1:4" ht="31.5" customHeight="1" x14ac:dyDescent="0.25">
      <c r="A704" s="5" t="s">
        <v>4226</v>
      </c>
      <c r="B704" s="6" t="s">
        <v>4227</v>
      </c>
      <c r="C704" s="8" t="s">
        <v>4228</v>
      </c>
      <c r="D704" s="7" t="s">
        <v>2619</v>
      </c>
    </row>
    <row r="705" spans="1:4" ht="63" customHeight="1" x14ac:dyDescent="0.25">
      <c r="A705" s="5" t="s">
        <v>4229</v>
      </c>
      <c r="B705" s="6" t="s">
        <v>4230</v>
      </c>
      <c r="C705" s="8" t="s">
        <v>3262</v>
      </c>
      <c r="D705" s="7" t="s">
        <v>2620</v>
      </c>
    </row>
    <row r="706" spans="1:4" ht="31.5" customHeight="1" x14ac:dyDescent="0.25">
      <c r="A706" s="5" t="s">
        <v>4231</v>
      </c>
      <c r="B706" s="6" t="s">
        <v>4232</v>
      </c>
      <c r="C706" s="8" t="s">
        <v>4022</v>
      </c>
      <c r="D706" s="7" t="s">
        <v>2621</v>
      </c>
    </row>
    <row r="707" spans="1:4" ht="63" customHeight="1" x14ac:dyDescent="0.25">
      <c r="A707" s="5" t="s">
        <v>4233</v>
      </c>
      <c r="B707" s="6" t="s">
        <v>4234</v>
      </c>
      <c r="C707" s="8" t="s">
        <v>4235</v>
      </c>
      <c r="D707" s="7" t="s">
        <v>2622</v>
      </c>
    </row>
    <row r="708" spans="1:4" ht="47.25" customHeight="1" x14ac:dyDescent="0.25">
      <c r="A708" s="5" t="s">
        <v>4236</v>
      </c>
      <c r="B708" s="6" t="s">
        <v>4237</v>
      </c>
      <c r="C708" s="8" t="s">
        <v>643</v>
      </c>
      <c r="D708" s="7" t="s">
        <v>2623</v>
      </c>
    </row>
    <row r="709" spans="1:4" ht="31.5" customHeight="1" x14ac:dyDescent="0.25">
      <c r="A709" s="5" t="s">
        <v>4238</v>
      </c>
      <c r="B709" s="6" t="s">
        <v>4239</v>
      </c>
      <c r="C709" s="8" t="s">
        <v>4240</v>
      </c>
      <c r="D709" s="7" t="s">
        <v>2624</v>
      </c>
    </row>
    <row r="710" spans="1:4" ht="63" customHeight="1" x14ac:dyDescent="0.25">
      <c r="A710" s="5" t="s">
        <v>4241</v>
      </c>
      <c r="B710" s="6" t="s">
        <v>4242</v>
      </c>
      <c r="C710" s="8" t="s">
        <v>3617</v>
      </c>
      <c r="D710" s="7" t="s">
        <v>2625</v>
      </c>
    </row>
    <row r="711" spans="1:4" ht="47.25" customHeight="1" x14ac:dyDescent="0.25">
      <c r="A711" s="5" t="s">
        <v>4243</v>
      </c>
      <c r="B711" s="6" t="s">
        <v>4244</v>
      </c>
      <c r="C711" s="8" t="s">
        <v>1141</v>
      </c>
      <c r="D711" s="7" t="s">
        <v>2626</v>
      </c>
    </row>
    <row r="712" spans="1:4" ht="31.5" customHeight="1" x14ac:dyDescent="0.25">
      <c r="A712" s="5" t="s">
        <v>4245</v>
      </c>
      <c r="B712" s="6" t="s">
        <v>4246</v>
      </c>
      <c r="C712" s="8" t="s">
        <v>844</v>
      </c>
      <c r="D712" s="7" t="s">
        <v>2627</v>
      </c>
    </row>
    <row r="713" spans="1:4" ht="47.25" customHeight="1" x14ac:dyDescent="0.25">
      <c r="A713" s="5" t="s">
        <v>4247</v>
      </c>
      <c r="B713" s="6" t="s">
        <v>4248</v>
      </c>
      <c r="C713" s="8" t="s">
        <v>922</v>
      </c>
      <c r="D713" s="7" t="s">
        <v>2628</v>
      </c>
    </row>
    <row r="714" spans="1:4" ht="31.5" customHeight="1" x14ac:dyDescent="0.25">
      <c r="A714" s="5" t="s">
        <v>4249</v>
      </c>
      <c r="B714" s="6" t="s">
        <v>4250</v>
      </c>
      <c r="C714" s="8" t="s">
        <v>3396</v>
      </c>
      <c r="D714" s="7" t="s">
        <v>2629</v>
      </c>
    </row>
    <row r="715" spans="1:4" ht="78.75" customHeight="1" x14ac:dyDescent="0.25">
      <c r="A715" s="5" t="s">
        <v>4251</v>
      </c>
      <c r="B715" s="6" t="s">
        <v>4252</v>
      </c>
      <c r="C715" s="8" t="s">
        <v>4253</v>
      </c>
      <c r="D715" s="7" t="s">
        <v>2630</v>
      </c>
    </row>
    <row r="716" spans="1:4" ht="31.5" customHeight="1" x14ac:dyDescent="0.25">
      <c r="A716" s="5" t="s">
        <v>4254</v>
      </c>
      <c r="B716" s="6" t="s">
        <v>4255</v>
      </c>
      <c r="C716" s="8" t="s">
        <v>1574</v>
      </c>
      <c r="D716" s="7" t="s">
        <v>2631</v>
      </c>
    </row>
    <row r="717" spans="1:4" ht="31.5" customHeight="1" x14ac:dyDescent="0.25">
      <c r="A717" s="5" t="s">
        <v>4256</v>
      </c>
      <c r="B717" s="6" t="s">
        <v>4257</v>
      </c>
      <c r="C717" s="8" t="s">
        <v>546</v>
      </c>
      <c r="D717" s="7" t="s">
        <v>2632</v>
      </c>
    </row>
    <row r="718" spans="1:4" ht="31.5" customHeight="1" x14ac:dyDescent="0.25">
      <c r="A718" s="5" t="s">
        <v>4258</v>
      </c>
      <c r="B718" s="6" t="s">
        <v>4259</v>
      </c>
      <c r="C718" s="8" t="s">
        <v>265</v>
      </c>
      <c r="D718" s="7" t="s">
        <v>2633</v>
      </c>
    </row>
    <row r="719" spans="1:4" ht="31.5" customHeight="1" x14ac:dyDescent="0.25">
      <c r="A719" s="5" t="s">
        <v>4260</v>
      </c>
      <c r="B719" s="6" t="s">
        <v>4261</v>
      </c>
      <c r="C719" s="8" t="s">
        <v>4262</v>
      </c>
      <c r="D719" s="7" t="s">
        <v>2634</v>
      </c>
    </row>
    <row r="720" spans="1:4" ht="63" customHeight="1" x14ac:dyDescent="0.25">
      <c r="A720" s="5" t="s">
        <v>4263</v>
      </c>
      <c r="B720" s="6" t="s">
        <v>4264</v>
      </c>
      <c r="C720" s="8" t="s">
        <v>619</v>
      </c>
      <c r="D720" s="7" t="s">
        <v>2635</v>
      </c>
    </row>
    <row r="721" spans="1:4" ht="47.25" customHeight="1" x14ac:dyDescent="0.25">
      <c r="A721" s="5" t="s">
        <v>4265</v>
      </c>
      <c r="B721" s="6" t="s">
        <v>4266</v>
      </c>
      <c r="C721" s="8" t="s">
        <v>730</v>
      </c>
      <c r="D721" s="7" t="s">
        <v>2636</v>
      </c>
    </row>
    <row r="722" spans="1:4" ht="47.25" customHeight="1" x14ac:dyDescent="0.25">
      <c r="A722" s="5" t="s">
        <v>4267</v>
      </c>
      <c r="B722" s="6" t="s">
        <v>4268</v>
      </c>
      <c r="C722" s="8" t="s">
        <v>1313</v>
      </c>
      <c r="D722" s="7" t="s">
        <v>2637</v>
      </c>
    </row>
    <row r="723" spans="1:4" ht="47.25" customHeight="1" x14ac:dyDescent="0.25">
      <c r="A723" s="5" t="s">
        <v>4269</v>
      </c>
      <c r="B723" s="6" t="s">
        <v>4270</v>
      </c>
      <c r="C723" s="8" t="s">
        <v>3315</v>
      </c>
      <c r="D723" s="7" t="s">
        <v>2638</v>
      </c>
    </row>
    <row r="724" spans="1:4" ht="47.25" customHeight="1" x14ac:dyDescent="0.25">
      <c r="A724" s="5" t="s">
        <v>4271</v>
      </c>
      <c r="B724" s="6" t="s">
        <v>4272</v>
      </c>
      <c r="C724" s="8" t="s">
        <v>3617</v>
      </c>
      <c r="D724" s="7" t="s">
        <v>2639</v>
      </c>
    </row>
    <row r="725" spans="1:4" ht="47.25" customHeight="1" x14ac:dyDescent="0.25">
      <c r="A725" s="5" t="s">
        <v>4273</v>
      </c>
      <c r="B725" s="6" t="s">
        <v>4274</v>
      </c>
      <c r="C725" s="8" t="s">
        <v>4275</v>
      </c>
      <c r="D725" s="7" t="s">
        <v>2640</v>
      </c>
    </row>
    <row r="726" spans="1:4" ht="63" customHeight="1" x14ac:dyDescent="0.25">
      <c r="A726" s="5" t="s">
        <v>4276</v>
      </c>
      <c r="B726" s="6" t="s">
        <v>4277</v>
      </c>
      <c r="C726" s="8" t="s">
        <v>950</v>
      </c>
      <c r="D726" s="7" t="s">
        <v>2641</v>
      </c>
    </row>
    <row r="727" spans="1:4" ht="31.5" customHeight="1" x14ac:dyDescent="0.25">
      <c r="A727" s="5" t="s">
        <v>4278</v>
      </c>
      <c r="B727" s="6" t="s">
        <v>4279</v>
      </c>
      <c r="C727" s="8" t="s">
        <v>1327</v>
      </c>
      <c r="D727" s="7" t="s">
        <v>2642</v>
      </c>
    </row>
    <row r="728" spans="1:4" ht="31.5" customHeight="1" x14ac:dyDescent="0.25">
      <c r="A728" s="5" t="s">
        <v>4280</v>
      </c>
      <c r="B728" s="6" t="s">
        <v>4281</v>
      </c>
      <c r="C728" s="8" t="s">
        <v>1327</v>
      </c>
      <c r="D728" s="7" t="s">
        <v>2643</v>
      </c>
    </row>
    <row r="729" spans="1:4" ht="31.5" customHeight="1" x14ac:dyDescent="0.25">
      <c r="A729" s="5" t="s">
        <v>4282</v>
      </c>
      <c r="B729" s="6" t="s">
        <v>4283</v>
      </c>
      <c r="C729" s="8" t="s">
        <v>1643</v>
      </c>
      <c r="D729" s="7" t="s">
        <v>2644</v>
      </c>
    </row>
    <row r="730" spans="1:4" ht="47.25" customHeight="1" x14ac:dyDescent="0.25">
      <c r="A730" s="5" t="s">
        <v>4284</v>
      </c>
      <c r="B730" s="6" t="s">
        <v>4285</v>
      </c>
      <c r="C730" s="8" t="s">
        <v>4286</v>
      </c>
      <c r="D730" s="7" t="s">
        <v>2645</v>
      </c>
    </row>
    <row r="731" spans="1:4" ht="31.5" customHeight="1" x14ac:dyDescent="0.25">
      <c r="A731" s="5" t="s">
        <v>4287</v>
      </c>
      <c r="B731" s="6" t="s">
        <v>4288</v>
      </c>
      <c r="C731" s="8" t="s">
        <v>3265</v>
      </c>
      <c r="D731" s="7" t="s">
        <v>2646</v>
      </c>
    </row>
    <row r="732" spans="1:4" ht="31.5" customHeight="1" x14ac:dyDescent="0.25">
      <c r="A732" s="5" t="s">
        <v>4289</v>
      </c>
      <c r="B732" s="6" t="s">
        <v>4290</v>
      </c>
      <c r="C732" s="8" t="s">
        <v>3265</v>
      </c>
      <c r="D732" s="7" t="s">
        <v>2647</v>
      </c>
    </row>
    <row r="733" spans="1:4" ht="47.25" customHeight="1" x14ac:dyDescent="0.25">
      <c r="A733" s="5" t="s">
        <v>4291</v>
      </c>
      <c r="B733" s="6" t="s">
        <v>4292</v>
      </c>
      <c r="C733" s="8" t="s">
        <v>1393</v>
      </c>
      <c r="D733" s="7" t="s">
        <v>2648</v>
      </c>
    </row>
    <row r="734" spans="1:4" ht="31.5" customHeight="1" x14ac:dyDescent="0.25">
      <c r="A734" s="5" t="s">
        <v>4293</v>
      </c>
      <c r="B734" s="6" t="s">
        <v>4294</v>
      </c>
      <c r="C734" s="8" t="s">
        <v>3285</v>
      </c>
      <c r="D734" s="7" t="s">
        <v>2649</v>
      </c>
    </row>
    <row r="735" spans="1:4" ht="31.5" customHeight="1" x14ac:dyDescent="0.25">
      <c r="A735" s="5" t="s">
        <v>4295</v>
      </c>
      <c r="B735" s="6" t="s">
        <v>4296</v>
      </c>
      <c r="C735" s="8" t="s">
        <v>678</v>
      </c>
      <c r="D735" s="7" t="s">
        <v>2650</v>
      </c>
    </row>
    <row r="736" spans="1:4" ht="31.5" customHeight="1" x14ac:dyDescent="0.25">
      <c r="A736" s="5" t="s">
        <v>4297</v>
      </c>
      <c r="B736" s="6" t="s">
        <v>4298</v>
      </c>
      <c r="C736" s="8" t="s">
        <v>4299</v>
      </c>
      <c r="D736" s="7" t="s">
        <v>2651</v>
      </c>
    </row>
    <row r="737" spans="1:4" ht="31.5" customHeight="1" x14ac:dyDescent="0.25">
      <c r="A737" s="5" t="s">
        <v>4300</v>
      </c>
      <c r="B737" s="6" t="s">
        <v>4301</v>
      </c>
      <c r="C737" s="8" t="s">
        <v>4302</v>
      </c>
      <c r="D737" s="7" t="s">
        <v>2652</v>
      </c>
    </row>
    <row r="738" spans="1:4" ht="47.25" customHeight="1" x14ac:dyDescent="0.25">
      <c r="A738" s="5" t="s">
        <v>4303</v>
      </c>
      <c r="B738" s="6" t="s">
        <v>4304</v>
      </c>
      <c r="C738" s="8" t="s">
        <v>4305</v>
      </c>
      <c r="D738" s="7" t="s">
        <v>2653</v>
      </c>
    </row>
    <row r="739" spans="1:4" ht="31.5" customHeight="1" x14ac:dyDescent="0.25">
      <c r="A739" s="5" t="s">
        <v>4306</v>
      </c>
      <c r="B739" s="6" t="s">
        <v>4307</v>
      </c>
      <c r="C739" s="8" t="s">
        <v>3204</v>
      </c>
      <c r="D739" s="7" t="s">
        <v>2654</v>
      </c>
    </row>
    <row r="740" spans="1:4" ht="31.5" customHeight="1" x14ac:dyDescent="0.25">
      <c r="A740" s="5" t="s">
        <v>4308</v>
      </c>
      <c r="B740" s="6" t="s">
        <v>4309</v>
      </c>
      <c r="C740" s="8" t="s">
        <v>3204</v>
      </c>
      <c r="D740" s="7" t="s">
        <v>2655</v>
      </c>
    </row>
    <row r="741" spans="1:4" ht="31.5" customHeight="1" x14ac:dyDescent="0.25">
      <c r="A741" s="5" t="s">
        <v>4310</v>
      </c>
      <c r="B741" s="6" t="s">
        <v>4311</v>
      </c>
      <c r="C741" s="8" t="s">
        <v>500</v>
      </c>
      <c r="D741" s="7" t="s">
        <v>2656</v>
      </c>
    </row>
    <row r="742" spans="1:4" ht="47.25" customHeight="1" x14ac:dyDescent="0.25">
      <c r="A742" s="5" t="s">
        <v>4312</v>
      </c>
      <c r="B742" s="6" t="s">
        <v>4313</v>
      </c>
      <c r="C742" s="8" t="s">
        <v>4314</v>
      </c>
      <c r="D742" s="7" t="s">
        <v>2657</v>
      </c>
    </row>
    <row r="743" spans="1:4" ht="31.5" customHeight="1" x14ac:dyDescent="0.25">
      <c r="A743" s="5" t="s">
        <v>4315</v>
      </c>
      <c r="B743" s="6" t="s">
        <v>4316</v>
      </c>
      <c r="C743" s="8" t="s">
        <v>3404</v>
      </c>
      <c r="D743" s="7" t="s">
        <v>2658</v>
      </c>
    </row>
    <row r="744" spans="1:4" ht="63" customHeight="1" x14ac:dyDescent="0.25">
      <c r="A744" s="5" t="s">
        <v>4317</v>
      </c>
      <c r="B744" s="6" t="s">
        <v>4318</v>
      </c>
      <c r="C744" s="8" t="s">
        <v>614</v>
      </c>
      <c r="D744" s="7" t="s">
        <v>2659</v>
      </c>
    </row>
    <row r="745" spans="1:4" ht="31.5" customHeight="1" x14ac:dyDescent="0.25">
      <c r="A745" s="5" t="s">
        <v>4319</v>
      </c>
      <c r="B745" s="6" t="s">
        <v>4320</v>
      </c>
      <c r="C745" s="8" t="s">
        <v>1100</v>
      </c>
      <c r="D745" s="7" t="s">
        <v>2660</v>
      </c>
    </row>
    <row r="746" spans="1:4" ht="63" customHeight="1" x14ac:dyDescent="0.25">
      <c r="A746" s="5" t="s">
        <v>4321</v>
      </c>
      <c r="B746" s="6" t="s">
        <v>4322</v>
      </c>
      <c r="C746" s="8" t="s">
        <v>3307</v>
      </c>
      <c r="D746" s="7" t="s">
        <v>2661</v>
      </c>
    </row>
    <row r="747" spans="1:4" ht="31.5" customHeight="1" x14ac:dyDescent="0.25">
      <c r="A747" s="5" t="s">
        <v>4323</v>
      </c>
      <c r="B747" s="6" t="s">
        <v>4324</v>
      </c>
      <c r="C747" s="8" t="s">
        <v>1512</v>
      </c>
      <c r="D747" s="7" t="s">
        <v>2662</v>
      </c>
    </row>
    <row r="748" spans="1:4" ht="31.5" customHeight="1" x14ac:dyDescent="0.25">
      <c r="A748" s="5" t="s">
        <v>4325</v>
      </c>
      <c r="B748" s="6" t="s">
        <v>4326</v>
      </c>
      <c r="C748" s="8" t="s">
        <v>1313</v>
      </c>
      <c r="D748" s="7" t="s">
        <v>2663</v>
      </c>
    </row>
    <row r="749" spans="1:4" ht="47.25" customHeight="1" x14ac:dyDescent="0.25">
      <c r="A749" s="5" t="s">
        <v>4327</v>
      </c>
      <c r="B749" s="6" t="s">
        <v>4328</v>
      </c>
      <c r="C749" s="8" t="s">
        <v>3171</v>
      </c>
      <c r="D749" s="7" t="s">
        <v>2664</v>
      </c>
    </row>
    <row r="750" spans="1:4" ht="47.25" customHeight="1" x14ac:dyDescent="0.25">
      <c r="A750" s="5" t="s">
        <v>4329</v>
      </c>
      <c r="B750" s="6" t="s">
        <v>4330</v>
      </c>
      <c r="C750" s="8" t="s">
        <v>98</v>
      </c>
      <c r="D750" s="7" t="s">
        <v>2665</v>
      </c>
    </row>
    <row r="751" spans="1:4" ht="47.25" customHeight="1" x14ac:dyDescent="0.25">
      <c r="A751" s="5" t="s">
        <v>4331</v>
      </c>
      <c r="B751" s="6" t="s">
        <v>4332</v>
      </c>
      <c r="C751" s="8" t="s">
        <v>932</v>
      </c>
      <c r="D751" s="7" t="s">
        <v>2666</v>
      </c>
    </row>
    <row r="752" spans="1:4" ht="31.5" customHeight="1" x14ac:dyDescent="0.25">
      <c r="A752" s="5" t="s">
        <v>4333</v>
      </c>
      <c r="B752" s="6" t="s">
        <v>4334</v>
      </c>
      <c r="C752" s="8" t="s">
        <v>4335</v>
      </c>
      <c r="D752" s="7" t="s">
        <v>2667</v>
      </c>
    </row>
    <row r="753" spans="1:4" ht="47.25" customHeight="1" x14ac:dyDescent="0.25">
      <c r="A753" s="5" t="s">
        <v>4336</v>
      </c>
      <c r="B753" s="6" t="s">
        <v>4337</v>
      </c>
      <c r="C753" s="8" t="s">
        <v>1461</v>
      </c>
      <c r="D753" s="7" t="s">
        <v>2668</v>
      </c>
    </row>
    <row r="754" spans="1:4" ht="31.5" customHeight="1" x14ac:dyDescent="0.25">
      <c r="A754" s="5" t="s">
        <v>4338</v>
      </c>
      <c r="B754" s="6" t="s">
        <v>4339</v>
      </c>
      <c r="C754" s="8" t="s">
        <v>3241</v>
      </c>
      <c r="D754" s="7" t="s">
        <v>2669</v>
      </c>
    </row>
    <row r="755" spans="1:4" ht="31.5" customHeight="1" x14ac:dyDescent="0.25">
      <c r="A755" s="5" t="s">
        <v>4340</v>
      </c>
      <c r="B755" s="6" t="s">
        <v>4341</v>
      </c>
      <c r="C755" s="8" t="s">
        <v>4342</v>
      </c>
      <c r="D755" s="7" t="s">
        <v>2670</v>
      </c>
    </row>
    <row r="756" spans="1:4" ht="47.25" customHeight="1" x14ac:dyDescent="0.25">
      <c r="A756" s="5" t="s">
        <v>4343</v>
      </c>
      <c r="B756" s="6" t="s">
        <v>4344</v>
      </c>
      <c r="C756" s="8" t="s">
        <v>4345</v>
      </c>
      <c r="D756" s="7" t="s">
        <v>2671</v>
      </c>
    </row>
    <row r="757" spans="1:4" ht="31.5" customHeight="1" x14ac:dyDescent="0.25">
      <c r="A757" s="5" t="s">
        <v>4346</v>
      </c>
      <c r="B757" s="6" t="s">
        <v>4347</v>
      </c>
      <c r="C757" s="8" t="s">
        <v>999</v>
      </c>
      <c r="D757" s="7" t="s">
        <v>2672</v>
      </c>
    </row>
    <row r="758" spans="1:4" ht="63" customHeight="1" x14ac:dyDescent="0.25">
      <c r="A758" s="5" t="s">
        <v>4348</v>
      </c>
      <c r="B758" s="6" t="s">
        <v>4349</v>
      </c>
      <c r="C758" s="8" t="s">
        <v>1305</v>
      </c>
      <c r="D758" s="7" t="s">
        <v>2673</v>
      </c>
    </row>
    <row r="759" spans="1:4" ht="47.25" customHeight="1" x14ac:dyDescent="0.25">
      <c r="A759" s="5" t="s">
        <v>4350</v>
      </c>
      <c r="B759" s="6" t="s">
        <v>4351</v>
      </c>
      <c r="C759" s="8" t="s">
        <v>4352</v>
      </c>
      <c r="D759" s="7" t="s">
        <v>2674</v>
      </c>
    </row>
    <row r="760" spans="1:4" ht="47.25" customHeight="1" x14ac:dyDescent="0.25">
      <c r="A760" s="5" t="s">
        <v>4353</v>
      </c>
      <c r="B760" s="6" t="s">
        <v>4354</v>
      </c>
      <c r="C760" s="8" t="s">
        <v>3668</v>
      </c>
      <c r="D760" s="7" t="s">
        <v>2675</v>
      </c>
    </row>
    <row r="761" spans="1:4" ht="47.25" customHeight="1" x14ac:dyDescent="0.25">
      <c r="A761" s="5" t="s">
        <v>4355</v>
      </c>
      <c r="B761" s="6" t="s">
        <v>4356</v>
      </c>
      <c r="C761" s="8" t="s">
        <v>4357</v>
      </c>
      <c r="D761" s="7" t="s">
        <v>2676</v>
      </c>
    </row>
    <row r="762" spans="1:4" ht="31.5" customHeight="1" x14ac:dyDescent="0.25">
      <c r="A762" s="5" t="s">
        <v>4358</v>
      </c>
      <c r="B762" s="6" t="s">
        <v>4359</v>
      </c>
      <c r="C762" s="8" t="s">
        <v>1363</v>
      </c>
      <c r="D762" s="7" t="s">
        <v>2677</v>
      </c>
    </row>
    <row r="763" spans="1:4" ht="47.25" customHeight="1" x14ac:dyDescent="0.25">
      <c r="A763" s="5" t="s">
        <v>4360</v>
      </c>
      <c r="B763" s="6" t="s">
        <v>4361</v>
      </c>
      <c r="C763" s="8" t="s">
        <v>1682</v>
      </c>
      <c r="D763" s="7" t="s">
        <v>2678</v>
      </c>
    </row>
    <row r="764" spans="1:4" ht="31.5" customHeight="1" x14ac:dyDescent="0.25">
      <c r="A764" s="5" t="s">
        <v>4362</v>
      </c>
      <c r="B764" s="6" t="s">
        <v>4363</v>
      </c>
      <c r="C764" s="8" t="s">
        <v>4364</v>
      </c>
      <c r="D764" s="7" t="s">
        <v>2679</v>
      </c>
    </row>
    <row r="765" spans="1:4" ht="31.5" customHeight="1" x14ac:dyDescent="0.25">
      <c r="A765" s="5" t="s">
        <v>4365</v>
      </c>
      <c r="B765" s="6" t="s">
        <v>4366</v>
      </c>
      <c r="C765" s="8" t="s">
        <v>365</v>
      </c>
      <c r="D765" s="7" t="s">
        <v>2680</v>
      </c>
    </row>
    <row r="766" spans="1:4" ht="47.25" customHeight="1" x14ac:dyDescent="0.25">
      <c r="A766" s="5" t="s">
        <v>4367</v>
      </c>
      <c r="B766" s="6" t="s">
        <v>4368</v>
      </c>
      <c r="C766" s="8" t="s">
        <v>1512</v>
      </c>
      <c r="D766" s="7" t="s">
        <v>2681</v>
      </c>
    </row>
    <row r="767" spans="1:4" ht="31.5" customHeight="1" x14ac:dyDescent="0.25">
      <c r="A767" s="5" t="s">
        <v>4369</v>
      </c>
      <c r="B767" s="6" t="s">
        <v>4370</v>
      </c>
      <c r="C767" s="8" t="s">
        <v>188</v>
      </c>
      <c r="D767" s="7" t="s">
        <v>2682</v>
      </c>
    </row>
    <row r="768" spans="1:4" ht="47.25" customHeight="1" x14ac:dyDescent="0.25">
      <c r="A768" s="5" t="s">
        <v>4371</v>
      </c>
      <c r="B768" s="6" t="s">
        <v>4372</v>
      </c>
      <c r="C768" s="8" t="s">
        <v>4373</v>
      </c>
      <c r="D768" s="7" t="s">
        <v>2683</v>
      </c>
    </row>
    <row r="769" spans="1:4" ht="47.25" customHeight="1" x14ac:dyDescent="0.25">
      <c r="A769" s="5" t="s">
        <v>4374</v>
      </c>
      <c r="B769" s="6" t="s">
        <v>4375</v>
      </c>
      <c r="C769" s="8" t="s">
        <v>3355</v>
      </c>
      <c r="D769" s="7" t="s">
        <v>2684</v>
      </c>
    </row>
    <row r="770" spans="1:4" ht="31.5" customHeight="1" x14ac:dyDescent="0.25">
      <c r="A770" s="5" t="s">
        <v>4376</v>
      </c>
      <c r="B770" s="6" t="s">
        <v>4377</v>
      </c>
      <c r="C770" s="8" t="s">
        <v>4378</v>
      </c>
      <c r="D770" s="7" t="s">
        <v>2685</v>
      </c>
    </row>
    <row r="771" spans="1:4" ht="63" customHeight="1" x14ac:dyDescent="0.25">
      <c r="A771" s="5" t="s">
        <v>4379</v>
      </c>
      <c r="B771" s="6" t="s">
        <v>4380</v>
      </c>
      <c r="C771" s="8" t="s">
        <v>4381</v>
      </c>
      <c r="D771" s="7" t="s">
        <v>2686</v>
      </c>
    </row>
    <row r="772" spans="1:4" ht="47.25" customHeight="1" x14ac:dyDescent="0.25">
      <c r="A772" s="5" t="s">
        <v>4382</v>
      </c>
      <c r="B772" s="6" t="s">
        <v>4383</v>
      </c>
      <c r="C772" s="8" t="s">
        <v>1313</v>
      </c>
      <c r="D772" s="7" t="s">
        <v>2687</v>
      </c>
    </row>
    <row r="773" spans="1:4" ht="31.5" customHeight="1" x14ac:dyDescent="0.25">
      <c r="A773" s="5" t="s">
        <v>4384</v>
      </c>
      <c r="B773" s="6" t="s">
        <v>4385</v>
      </c>
      <c r="C773" s="8" t="s">
        <v>4386</v>
      </c>
      <c r="D773" s="7" t="s">
        <v>2688</v>
      </c>
    </row>
    <row r="774" spans="1:4" ht="47.25" customHeight="1" x14ac:dyDescent="0.25">
      <c r="A774" s="5" t="s">
        <v>4387</v>
      </c>
      <c r="B774" s="6" t="s">
        <v>4388</v>
      </c>
      <c r="C774" s="8" t="s">
        <v>1461</v>
      </c>
      <c r="D774" s="7" t="s">
        <v>2689</v>
      </c>
    </row>
    <row r="775" spans="1:4" ht="47.25" customHeight="1" x14ac:dyDescent="0.25">
      <c r="A775" s="5" t="s">
        <v>4389</v>
      </c>
      <c r="B775" s="6" t="s">
        <v>4390</v>
      </c>
      <c r="C775" s="8" t="s">
        <v>3382</v>
      </c>
      <c r="D775" s="7" t="s">
        <v>2690</v>
      </c>
    </row>
    <row r="776" spans="1:4" ht="47.25" customHeight="1" x14ac:dyDescent="0.25">
      <c r="A776" s="5" t="s">
        <v>4391</v>
      </c>
      <c r="B776" s="6" t="s">
        <v>4392</v>
      </c>
      <c r="C776" s="8" t="s">
        <v>1461</v>
      </c>
      <c r="D776" s="7" t="s">
        <v>2691</v>
      </c>
    </row>
    <row r="777" spans="1:4" ht="63" customHeight="1" x14ac:dyDescent="0.25">
      <c r="A777" s="5" t="s">
        <v>4393</v>
      </c>
      <c r="B777" s="6" t="s">
        <v>4394</v>
      </c>
      <c r="C777" s="8" t="s">
        <v>4395</v>
      </c>
      <c r="D777" s="7" t="s">
        <v>2692</v>
      </c>
    </row>
    <row r="778" spans="1:4" ht="63" customHeight="1" x14ac:dyDescent="0.25">
      <c r="A778" s="5" t="s">
        <v>4396</v>
      </c>
      <c r="B778" s="6" t="s">
        <v>4397</v>
      </c>
      <c r="C778" s="8" t="s">
        <v>4398</v>
      </c>
      <c r="D778" s="7" t="s">
        <v>2693</v>
      </c>
    </row>
    <row r="779" spans="1:4" ht="31.5" customHeight="1" x14ac:dyDescent="0.25">
      <c r="A779" s="5" t="s">
        <v>4399</v>
      </c>
      <c r="B779" s="6" t="s">
        <v>4400</v>
      </c>
      <c r="C779" s="8" t="s">
        <v>604</v>
      </c>
      <c r="D779" s="7" t="s">
        <v>2694</v>
      </c>
    </row>
    <row r="780" spans="1:4" ht="31.5" customHeight="1" x14ac:dyDescent="0.25">
      <c r="A780" s="5" t="s">
        <v>4401</v>
      </c>
      <c r="B780" s="6" t="s">
        <v>4402</v>
      </c>
      <c r="C780" s="8" t="s">
        <v>365</v>
      </c>
      <c r="D780" s="7" t="s">
        <v>2695</v>
      </c>
    </row>
    <row r="781" spans="1:4" ht="47.25" customHeight="1" x14ac:dyDescent="0.25">
      <c r="A781" s="5" t="s">
        <v>4403</v>
      </c>
      <c r="B781" s="6" t="s">
        <v>4404</v>
      </c>
      <c r="C781" s="8" t="s">
        <v>3315</v>
      </c>
      <c r="D781" s="7" t="s">
        <v>2696</v>
      </c>
    </row>
    <row r="782" spans="1:4" ht="47.25" customHeight="1" x14ac:dyDescent="0.25">
      <c r="A782" s="5" t="s">
        <v>4405</v>
      </c>
      <c r="B782" s="6" t="s">
        <v>4406</v>
      </c>
      <c r="C782" s="8" t="s">
        <v>4407</v>
      </c>
      <c r="D782" s="7" t="s">
        <v>2697</v>
      </c>
    </row>
    <row r="783" spans="1:4" ht="31.5" customHeight="1" x14ac:dyDescent="0.25">
      <c r="A783" s="5" t="s">
        <v>4408</v>
      </c>
      <c r="B783" s="6" t="s">
        <v>4409</v>
      </c>
      <c r="C783" s="8" t="s">
        <v>3207</v>
      </c>
      <c r="D783" s="7" t="s">
        <v>2698</v>
      </c>
    </row>
    <row r="784" spans="1:4" ht="47.25" customHeight="1" x14ac:dyDescent="0.25">
      <c r="A784" s="5" t="s">
        <v>4410</v>
      </c>
      <c r="B784" s="6" t="s">
        <v>4411</v>
      </c>
      <c r="C784" s="8" t="s">
        <v>4412</v>
      </c>
      <c r="D784" s="7" t="s">
        <v>2699</v>
      </c>
    </row>
    <row r="785" spans="1:4" ht="31.5" customHeight="1" x14ac:dyDescent="0.25">
      <c r="A785" s="5" t="s">
        <v>4413</v>
      </c>
      <c r="B785" s="6" t="s">
        <v>4414</v>
      </c>
      <c r="C785" s="8" t="s">
        <v>1363</v>
      </c>
      <c r="D785" s="7" t="s">
        <v>2700</v>
      </c>
    </row>
    <row r="786" spans="1:4" ht="47.25" customHeight="1" x14ac:dyDescent="0.25">
      <c r="A786" s="5" t="s">
        <v>4415</v>
      </c>
      <c r="B786" s="6" t="s">
        <v>4416</v>
      </c>
      <c r="C786" s="8" t="s">
        <v>382</v>
      </c>
      <c r="D786" s="7" t="s">
        <v>2701</v>
      </c>
    </row>
    <row r="787" spans="1:4" ht="47.25" customHeight="1" x14ac:dyDescent="0.25">
      <c r="A787" s="5" t="s">
        <v>4417</v>
      </c>
      <c r="B787" s="6" t="s">
        <v>4418</v>
      </c>
      <c r="C787" s="8" t="s">
        <v>3475</v>
      </c>
      <c r="D787" s="7" t="s">
        <v>2702</v>
      </c>
    </row>
    <row r="788" spans="1:4" ht="47.25" customHeight="1" x14ac:dyDescent="0.25">
      <c r="A788" s="5" t="s">
        <v>4419</v>
      </c>
      <c r="B788" s="6" t="s">
        <v>4420</v>
      </c>
      <c r="C788" s="8" t="s">
        <v>810</v>
      </c>
      <c r="D788" s="7" t="s">
        <v>2703</v>
      </c>
    </row>
    <row r="789" spans="1:4" ht="31.5" customHeight="1" x14ac:dyDescent="0.25">
      <c r="A789" s="5" t="s">
        <v>4421</v>
      </c>
      <c r="B789" s="6" t="s">
        <v>4422</v>
      </c>
      <c r="C789" s="8" t="s">
        <v>4423</v>
      </c>
      <c r="D789" s="7" t="s">
        <v>2704</v>
      </c>
    </row>
    <row r="790" spans="1:4" ht="47.25" customHeight="1" x14ac:dyDescent="0.25">
      <c r="A790" s="5" t="s">
        <v>4424</v>
      </c>
      <c r="B790" s="6" t="s">
        <v>4425</v>
      </c>
      <c r="C790" s="8" t="s">
        <v>415</v>
      </c>
      <c r="D790" s="7" t="s">
        <v>2705</v>
      </c>
    </row>
    <row r="791" spans="1:4" ht="31.5" customHeight="1" x14ac:dyDescent="0.25">
      <c r="A791" s="5" t="s">
        <v>4426</v>
      </c>
      <c r="B791" s="6" t="s">
        <v>4427</v>
      </c>
      <c r="C791" s="8" t="s">
        <v>3457</v>
      </c>
      <c r="D791" s="7" t="s">
        <v>2706</v>
      </c>
    </row>
    <row r="792" spans="1:4" ht="47.25" customHeight="1" x14ac:dyDescent="0.25">
      <c r="A792" s="5" t="s">
        <v>4428</v>
      </c>
      <c r="B792" s="6" t="s">
        <v>4429</v>
      </c>
      <c r="C792" s="8" t="s">
        <v>942</v>
      </c>
      <c r="D792" s="7" t="s">
        <v>2707</v>
      </c>
    </row>
    <row r="793" spans="1:4" ht="47.25" customHeight="1" x14ac:dyDescent="0.25">
      <c r="A793" s="5" t="s">
        <v>4430</v>
      </c>
      <c r="B793" s="6" t="s">
        <v>4431</v>
      </c>
      <c r="C793" s="8" t="s">
        <v>3141</v>
      </c>
      <c r="D793" s="7" t="s">
        <v>2708</v>
      </c>
    </row>
    <row r="794" spans="1:4" ht="63" customHeight="1" x14ac:dyDescent="0.25">
      <c r="A794" s="5" t="s">
        <v>4432</v>
      </c>
      <c r="B794" s="6" t="s">
        <v>4433</v>
      </c>
      <c r="C794" s="8" t="s">
        <v>1091</v>
      </c>
      <c r="D794" s="7" t="s">
        <v>2709</v>
      </c>
    </row>
    <row r="795" spans="1:4" ht="63" customHeight="1" x14ac:dyDescent="0.25">
      <c r="A795" s="5" t="s">
        <v>4434</v>
      </c>
      <c r="B795" s="6" t="s">
        <v>4435</v>
      </c>
      <c r="C795" s="8" t="s">
        <v>564</v>
      </c>
      <c r="D795" s="7" t="s">
        <v>2710</v>
      </c>
    </row>
    <row r="796" spans="1:4" ht="47.25" customHeight="1" x14ac:dyDescent="0.25">
      <c r="A796" s="5" t="s">
        <v>4436</v>
      </c>
      <c r="B796" s="6" t="s">
        <v>4437</v>
      </c>
      <c r="C796" s="8" t="s">
        <v>643</v>
      </c>
      <c r="D796" s="7" t="s">
        <v>2711</v>
      </c>
    </row>
    <row r="797" spans="1:4" ht="78.75" customHeight="1" x14ac:dyDescent="0.25">
      <c r="A797" s="5" t="s">
        <v>4438</v>
      </c>
      <c r="B797" s="6" t="s">
        <v>4439</v>
      </c>
      <c r="C797" s="8" t="s">
        <v>3460</v>
      </c>
      <c r="D797" s="7" t="s">
        <v>2712</v>
      </c>
    </row>
    <row r="798" spans="1:4" ht="63" customHeight="1" x14ac:dyDescent="0.25">
      <c r="A798" s="5" t="s">
        <v>4440</v>
      </c>
      <c r="B798" s="6" t="s">
        <v>4441</v>
      </c>
      <c r="C798" s="8" t="s">
        <v>344</v>
      </c>
      <c r="D798" s="7" t="s">
        <v>2713</v>
      </c>
    </row>
    <row r="799" spans="1:4" ht="31.5" customHeight="1" x14ac:dyDescent="0.25">
      <c r="A799" s="5" t="s">
        <v>4442</v>
      </c>
      <c r="B799" s="6" t="s">
        <v>4443</v>
      </c>
      <c r="C799" s="8" t="s">
        <v>495</v>
      </c>
      <c r="D799" s="7" t="s">
        <v>2714</v>
      </c>
    </row>
    <row r="800" spans="1:4" ht="31.5" customHeight="1" x14ac:dyDescent="0.25">
      <c r="A800" s="5" t="s">
        <v>4444</v>
      </c>
      <c r="B800" s="6" t="s">
        <v>4445</v>
      </c>
      <c r="C800" s="8" t="s">
        <v>1682</v>
      </c>
      <c r="D800" s="7" t="s">
        <v>2715</v>
      </c>
    </row>
    <row r="801" spans="1:4" ht="47.25" customHeight="1" x14ac:dyDescent="0.25">
      <c r="A801" s="5" t="s">
        <v>4446</v>
      </c>
      <c r="B801" s="6" t="s">
        <v>4447</v>
      </c>
      <c r="C801" s="8" t="s">
        <v>619</v>
      </c>
      <c r="D801" s="7" t="s">
        <v>2716</v>
      </c>
    </row>
    <row r="802" spans="1:4" ht="31.5" customHeight="1" x14ac:dyDescent="0.25">
      <c r="A802" s="5" t="s">
        <v>4448</v>
      </c>
      <c r="B802" s="6" t="s">
        <v>4449</v>
      </c>
      <c r="C802" s="8" t="s">
        <v>909</v>
      </c>
      <c r="D802" s="7" t="s">
        <v>2717</v>
      </c>
    </row>
    <row r="803" spans="1:4" ht="47.25" customHeight="1" x14ac:dyDescent="0.25">
      <c r="A803" s="5" t="s">
        <v>4450</v>
      </c>
      <c r="B803" s="6" t="s">
        <v>4451</v>
      </c>
      <c r="C803" s="8" t="s">
        <v>1091</v>
      </c>
      <c r="D803" s="7" t="s">
        <v>2718</v>
      </c>
    </row>
    <row r="804" spans="1:4" ht="47.25" customHeight="1" x14ac:dyDescent="0.25">
      <c r="A804" s="5" t="s">
        <v>4452</v>
      </c>
      <c r="B804" s="6" t="s">
        <v>4453</v>
      </c>
      <c r="C804" s="8" t="s">
        <v>3295</v>
      </c>
      <c r="D804" s="7" t="s">
        <v>2719</v>
      </c>
    </row>
    <row r="805" spans="1:4" ht="47.25" customHeight="1" x14ac:dyDescent="0.25">
      <c r="A805" s="5" t="s">
        <v>4454</v>
      </c>
      <c r="B805" s="6" t="s">
        <v>4455</v>
      </c>
      <c r="C805" s="8" t="s">
        <v>3285</v>
      </c>
      <c r="D805" s="7" t="s">
        <v>2720</v>
      </c>
    </row>
    <row r="806" spans="1:4" ht="47.25" customHeight="1" x14ac:dyDescent="0.25">
      <c r="A806" s="5" t="s">
        <v>4456</v>
      </c>
      <c r="B806" s="6" t="s">
        <v>4457</v>
      </c>
      <c r="C806" s="8" t="s">
        <v>310</v>
      </c>
      <c r="D806" s="7" t="s">
        <v>2721</v>
      </c>
    </row>
    <row r="807" spans="1:4" ht="63" customHeight="1" x14ac:dyDescent="0.25">
      <c r="A807" s="5" t="s">
        <v>4458</v>
      </c>
      <c r="B807" s="6" t="s">
        <v>4459</v>
      </c>
      <c r="C807" s="8" t="s">
        <v>3460</v>
      </c>
      <c r="D807" s="7" t="s">
        <v>2722</v>
      </c>
    </row>
    <row r="808" spans="1:4" ht="47.25" customHeight="1" x14ac:dyDescent="0.25">
      <c r="A808" s="5" t="s">
        <v>4460</v>
      </c>
      <c r="B808" s="6" t="s">
        <v>4461</v>
      </c>
      <c r="C808" s="8" t="s">
        <v>4462</v>
      </c>
      <c r="D808" s="7" t="s">
        <v>2723</v>
      </c>
    </row>
    <row r="809" spans="1:4" ht="47.25" customHeight="1" x14ac:dyDescent="0.25">
      <c r="A809" s="5" t="s">
        <v>4463</v>
      </c>
      <c r="B809" s="6" t="s">
        <v>4464</v>
      </c>
      <c r="C809" s="8" t="s">
        <v>4465</v>
      </c>
      <c r="D809" s="7" t="s">
        <v>2724</v>
      </c>
    </row>
    <row r="810" spans="1:4" ht="47.25" customHeight="1" x14ac:dyDescent="0.25">
      <c r="A810" s="5" t="s">
        <v>4466</v>
      </c>
      <c r="B810" s="6" t="s">
        <v>4467</v>
      </c>
      <c r="C810" s="8" t="s">
        <v>3285</v>
      </c>
      <c r="D810" s="7" t="s">
        <v>2725</v>
      </c>
    </row>
    <row r="811" spans="1:4" ht="47.25" customHeight="1" x14ac:dyDescent="0.25">
      <c r="A811" s="5" t="s">
        <v>4468</v>
      </c>
      <c r="B811" s="6" t="s">
        <v>4469</v>
      </c>
      <c r="C811" s="8" t="s">
        <v>98</v>
      </c>
      <c r="D811" s="7" t="s">
        <v>2726</v>
      </c>
    </row>
    <row r="812" spans="1:4" ht="47.25" customHeight="1" x14ac:dyDescent="0.25">
      <c r="A812" s="5" t="s">
        <v>4470</v>
      </c>
      <c r="B812" s="6" t="s">
        <v>4471</v>
      </c>
      <c r="C812" s="8" t="s">
        <v>4472</v>
      </c>
      <c r="D812" s="7" t="s">
        <v>2727</v>
      </c>
    </row>
    <row r="813" spans="1:4" ht="63" customHeight="1" x14ac:dyDescent="0.25">
      <c r="A813" s="5" t="s">
        <v>4473</v>
      </c>
      <c r="B813" s="6" t="s">
        <v>4474</v>
      </c>
      <c r="C813" s="8" t="s">
        <v>772</v>
      </c>
      <c r="D813" s="7" t="s">
        <v>2728</v>
      </c>
    </row>
    <row r="814" spans="1:4" ht="31.5" customHeight="1" x14ac:dyDescent="0.25">
      <c r="A814" s="5" t="s">
        <v>4475</v>
      </c>
      <c r="B814" s="6" t="s">
        <v>4476</v>
      </c>
      <c r="C814" s="8" t="s">
        <v>1313</v>
      </c>
      <c r="D814" s="7" t="s">
        <v>2729</v>
      </c>
    </row>
    <row r="815" spans="1:4" ht="78.75" customHeight="1" x14ac:dyDescent="0.25">
      <c r="A815" s="5" t="s">
        <v>4477</v>
      </c>
      <c r="B815" s="6" t="s">
        <v>4478</v>
      </c>
      <c r="C815" s="8" t="s">
        <v>4479</v>
      </c>
      <c r="D815" s="7" t="s">
        <v>2730</v>
      </c>
    </row>
    <row r="816" spans="1:4" ht="63" customHeight="1" x14ac:dyDescent="0.25">
      <c r="A816" s="5" t="s">
        <v>4480</v>
      </c>
      <c r="B816" s="6" t="s">
        <v>4481</v>
      </c>
      <c r="C816" s="8" t="s">
        <v>349</v>
      </c>
      <c r="D816" s="7" t="s">
        <v>2731</v>
      </c>
    </row>
    <row r="817" spans="1:4" ht="78.75" customHeight="1" x14ac:dyDescent="0.25">
      <c r="A817" s="5" t="s">
        <v>4482</v>
      </c>
      <c r="B817" s="6" t="s">
        <v>4483</v>
      </c>
      <c r="C817" s="8" t="s">
        <v>213</v>
      </c>
      <c r="D817" s="7" t="s">
        <v>2732</v>
      </c>
    </row>
    <row r="818" spans="1:4" ht="31.5" customHeight="1" x14ac:dyDescent="0.25">
      <c r="A818" s="5" t="s">
        <v>4484</v>
      </c>
      <c r="B818" s="6" t="s">
        <v>4485</v>
      </c>
      <c r="C818" s="8" t="s">
        <v>4486</v>
      </c>
      <c r="D818" s="7" t="s">
        <v>2733</v>
      </c>
    </row>
    <row r="819" spans="1:4" ht="31.5" customHeight="1" x14ac:dyDescent="0.25">
      <c r="A819" s="5" t="s">
        <v>4487</v>
      </c>
      <c r="B819" s="6" t="s">
        <v>4488</v>
      </c>
      <c r="C819" s="8" t="s">
        <v>1313</v>
      </c>
      <c r="D819" s="7" t="s">
        <v>2734</v>
      </c>
    </row>
    <row r="820" spans="1:4" ht="47.25" customHeight="1" x14ac:dyDescent="0.25">
      <c r="A820" s="5" t="s">
        <v>4489</v>
      </c>
      <c r="B820" s="6" t="s">
        <v>4490</v>
      </c>
      <c r="C820" s="8" t="s">
        <v>1512</v>
      </c>
      <c r="D820" s="7" t="s">
        <v>2735</v>
      </c>
    </row>
    <row r="821" spans="1:4" ht="63" customHeight="1" x14ac:dyDescent="0.25">
      <c r="A821" s="5" t="s">
        <v>4491</v>
      </c>
      <c r="B821" s="6" t="s">
        <v>4492</v>
      </c>
      <c r="C821" s="8" t="s">
        <v>4493</v>
      </c>
      <c r="D821" s="7" t="s">
        <v>2736</v>
      </c>
    </row>
    <row r="822" spans="1:4" ht="31.5" customHeight="1" x14ac:dyDescent="0.25">
      <c r="A822" s="5" t="s">
        <v>4494</v>
      </c>
      <c r="B822" s="6" t="s">
        <v>4495</v>
      </c>
      <c r="C822" s="8" t="s">
        <v>3759</v>
      </c>
      <c r="D822" s="7" t="s">
        <v>2737</v>
      </c>
    </row>
    <row r="823" spans="1:4" ht="31.5" customHeight="1" x14ac:dyDescent="0.25">
      <c r="A823" s="5" t="s">
        <v>4496</v>
      </c>
      <c r="B823" s="6" t="s">
        <v>4497</v>
      </c>
      <c r="C823" s="8" t="s">
        <v>1313</v>
      </c>
      <c r="D823" s="7" t="s">
        <v>2738</v>
      </c>
    </row>
    <row r="824" spans="1:4" x14ac:dyDescent="0.25">
      <c r="A824" s="5" t="s">
        <v>4498</v>
      </c>
      <c r="B824" s="6" t="s">
        <v>4499</v>
      </c>
      <c r="C824" s="8" t="s">
        <v>4500</v>
      </c>
      <c r="D824" s="7" t="s">
        <v>2739</v>
      </c>
    </row>
    <row r="825" spans="1:4" ht="31.5" customHeight="1" x14ac:dyDescent="0.25">
      <c r="A825" s="5" t="s">
        <v>4501</v>
      </c>
      <c r="B825" s="6" t="s">
        <v>4502</v>
      </c>
      <c r="C825" s="8" t="s">
        <v>3759</v>
      </c>
      <c r="D825" s="7" t="s">
        <v>2740</v>
      </c>
    </row>
    <row r="826" spans="1:4" ht="63" customHeight="1" x14ac:dyDescent="0.25">
      <c r="A826" s="5" t="s">
        <v>4503</v>
      </c>
      <c r="B826" s="6" t="s">
        <v>4504</v>
      </c>
      <c r="C826" s="8" t="s">
        <v>86</v>
      </c>
      <c r="D826" s="7" t="s">
        <v>2741</v>
      </c>
    </row>
    <row r="827" spans="1:4" ht="78.75" customHeight="1" x14ac:dyDescent="0.25">
      <c r="A827" s="5" t="s">
        <v>4505</v>
      </c>
      <c r="B827" s="6" t="s">
        <v>4506</v>
      </c>
      <c r="C827" s="8" t="s">
        <v>4462</v>
      </c>
      <c r="D827" s="7" t="s">
        <v>2742</v>
      </c>
    </row>
    <row r="828" spans="1:4" ht="47.25" customHeight="1" x14ac:dyDescent="0.25">
      <c r="A828" s="5" t="s">
        <v>4507</v>
      </c>
      <c r="B828" s="6" t="s">
        <v>4508</v>
      </c>
      <c r="C828" s="8" t="s">
        <v>4509</v>
      </c>
      <c r="D828" s="7" t="s">
        <v>2743</v>
      </c>
    </row>
    <row r="829" spans="1:4" ht="31.5" customHeight="1" x14ac:dyDescent="0.25">
      <c r="A829" s="5" t="s">
        <v>4510</v>
      </c>
      <c r="B829" s="6" t="s">
        <v>4511</v>
      </c>
      <c r="C829" s="8" t="s">
        <v>3832</v>
      </c>
      <c r="D829" s="7" t="s">
        <v>2744</v>
      </c>
    </row>
    <row r="830" spans="1:4" ht="63" customHeight="1" x14ac:dyDescent="0.25">
      <c r="A830" s="5" t="s">
        <v>4512</v>
      </c>
      <c r="B830" s="6" t="s">
        <v>4513</v>
      </c>
      <c r="C830" s="8" t="s">
        <v>1466</v>
      </c>
      <c r="D830" s="7" t="s">
        <v>2745</v>
      </c>
    </row>
    <row r="831" spans="1:4" ht="47.25" customHeight="1" x14ac:dyDescent="0.25">
      <c r="A831" s="5" t="s">
        <v>4514</v>
      </c>
      <c r="B831" s="6" t="s">
        <v>4515</v>
      </c>
      <c r="C831" s="8" t="s">
        <v>3832</v>
      </c>
      <c r="D831" s="7" t="s">
        <v>2746</v>
      </c>
    </row>
    <row r="832" spans="1:4" ht="63" customHeight="1" x14ac:dyDescent="0.25">
      <c r="A832" s="5" t="s">
        <v>4516</v>
      </c>
      <c r="B832" s="6" t="s">
        <v>4517</v>
      </c>
      <c r="C832" s="8" t="s">
        <v>619</v>
      </c>
      <c r="D832" s="7" t="s">
        <v>2747</v>
      </c>
    </row>
    <row r="833" spans="1:5" ht="31.5" customHeight="1" x14ac:dyDescent="0.25">
      <c r="A833" s="5" t="s">
        <v>4518</v>
      </c>
      <c r="B833" s="6" t="s">
        <v>4519</v>
      </c>
      <c r="C833" s="8" t="s">
        <v>1284</v>
      </c>
      <c r="D833" s="7" t="s">
        <v>2748</v>
      </c>
    </row>
    <row r="834" spans="1:5" ht="31.5" customHeight="1" x14ac:dyDescent="0.25">
      <c r="A834" s="5" t="s">
        <v>4520</v>
      </c>
      <c r="B834" s="6" t="s">
        <v>4521</v>
      </c>
      <c r="C834" s="8" t="s">
        <v>4522</v>
      </c>
      <c r="D834" s="7" t="s">
        <v>2749</v>
      </c>
    </row>
    <row r="835" spans="1:5" ht="47.25" customHeight="1" x14ac:dyDescent="0.25">
      <c r="A835" s="5" t="s">
        <v>4523</v>
      </c>
      <c r="B835" s="6" t="s">
        <v>4524</v>
      </c>
      <c r="C835" s="8" t="s">
        <v>142</v>
      </c>
      <c r="D835" s="7" t="s">
        <v>2750</v>
      </c>
    </row>
    <row r="836" spans="1:5" ht="47.25" customHeight="1" x14ac:dyDescent="0.25">
      <c r="A836" s="5" t="s">
        <v>4525</v>
      </c>
      <c r="B836" s="6" t="s">
        <v>4526</v>
      </c>
      <c r="C836" s="8" t="s">
        <v>3832</v>
      </c>
      <c r="D836" s="7" t="s">
        <v>2751</v>
      </c>
    </row>
    <row r="837" spans="1:5" ht="63" customHeight="1" x14ac:dyDescent="0.25">
      <c r="A837" s="5" t="s">
        <v>4527</v>
      </c>
      <c r="B837" s="6" t="s">
        <v>4528</v>
      </c>
      <c r="C837" s="8" t="s">
        <v>4529</v>
      </c>
      <c r="D837" s="7" t="s">
        <v>2752</v>
      </c>
    </row>
    <row r="838" spans="1:5" ht="31.5" customHeight="1" x14ac:dyDescent="0.25">
      <c r="A838" s="5" t="s">
        <v>4530</v>
      </c>
      <c r="B838" s="6" t="s">
        <v>4531</v>
      </c>
      <c r="C838" s="8" t="s">
        <v>4412</v>
      </c>
      <c r="D838" s="7" t="s">
        <v>2753</v>
      </c>
    </row>
    <row r="839" spans="1:5" ht="47.25" customHeight="1" x14ac:dyDescent="0.25">
      <c r="A839" s="5" t="s">
        <v>4532</v>
      </c>
      <c r="B839" s="6" t="s">
        <v>4533</v>
      </c>
      <c r="C839" s="8" t="s">
        <v>4534</v>
      </c>
      <c r="D839" s="7" t="s">
        <v>2754</v>
      </c>
    </row>
    <row r="840" spans="1:5" ht="31.5" customHeight="1" x14ac:dyDescent="0.25">
      <c r="A840" s="5" t="s">
        <v>4535</v>
      </c>
      <c r="B840" s="6" t="s">
        <v>4536</v>
      </c>
      <c r="C840" s="8" t="s">
        <v>4537</v>
      </c>
      <c r="D840" s="7" t="s">
        <v>2755</v>
      </c>
    </row>
    <row r="841" spans="1:5" ht="63" customHeight="1" x14ac:dyDescent="0.25">
      <c r="A841" s="5" t="s">
        <v>4538</v>
      </c>
      <c r="B841" s="6" t="s">
        <v>4539</v>
      </c>
      <c r="C841" s="8" t="s">
        <v>4540</v>
      </c>
      <c r="D841" s="7" t="s">
        <v>2756</v>
      </c>
    </row>
    <row r="842" spans="1:5" ht="47.25" customHeight="1" x14ac:dyDescent="0.25">
      <c r="A842" s="5" t="s">
        <v>4541</v>
      </c>
      <c r="B842" s="6" t="s">
        <v>4542</v>
      </c>
      <c r="C842" s="8" t="s">
        <v>4540</v>
      </c>
      <c r="D842" s="7" t="s">
        <v>2757</v>
      </c>
    </row>
    <row r="843" spans="1:5" ht="47.25" customHeight="1" x14ac:dyDescent="0.25">
      <c r="A843" s="5" t="s">
        <v>4543</v>
      </c>
      <c r="B843" s="6" t="s">
        <v>4544</v>
      </c>
      <c r="C843" s="8" t="s">
        <v>4545</v>
      </c>
      <c r="D843" s="7" t="s">
        <v>2758</v>
      </c>
    </row>
    <row r="844" spans="1:5" ht="31.5" customHeight="1" x14ac:dyDescent="0.25">
      <c r="A844" s="5" t="s">
        <v>4546</v>
      </c>
      <c r="B844" s="6" t="s">
        <v>4547</v>
      </c>
      <c r="C844" s="8" t="s">
        <v>1182</v>
      </c>
      <c r="D844" s="7" t="s">
        <v>2759</v>
      </c>
    </row>
    <row r="845" spans="1:5" s="2" customFormat="1" ht="31.5" customHeight="1" x14ac:dyDescent="0.25">
      <c r="A845" s="5" t="s">
        <v>4548</v>
      </c>
      <c r="B845" s="6" t="s">
        <v>4549</v>
      </c>
      <c r="C845" s="8" t="s">
        <v>4550</v>
      </c>
      <c r="D845" s="7" t="s">
        <v>2760</v>
      </c>
      <c r="E845" s="1"/>
    </row>
    <row r="846" spans="1:5" s="2" customFormat="1" ht="63" customHeight="1" x14ac:dyDescent="0.25">
      <c r="A846" s="5" t="s">
        <v>4551</v>
      </c>
      <c r="B846" s="6" t="s">
        <v>4552</v>
      </c>
      <c r="C846" s="8" t="s">
        <v>1517</v>
      </c>
      <c r="D846" s="7" t="s">
        <v>2761</v>
      </c>
      <c r="E846" s="1"/>
    </row>
    <row r="847" spans="1:5" s="2" customFormat="1" ht="31.5" customHeight="1" x14ac:dyDescent="0.25">
      <c r="A847" s="5" t="s">
        <v>4553</v>
      </c>
      <c r="B847" s="6" t="s">
        <v>4554</v>
      </c>
      <c r="C847" s="8" t="s">
        <v>781</v>
      </c>
      <c r="D847" s="7" t="s">
        <v>2762</v>
      </c>
      <c r="E847" s="1"/>
    </row>
    <row r="848" spans="1:5" s="2" customFormat="1" ht="47.25" customHeight="1" x14ac:dyDescent="0.25">
      <c r="A848" s="5" t="s">
        <v>4555</v>
      </c>
      <c r="B848" s="6" t="s">
        <v>4556</v>
      </c>
      <c r="C848" s="8" t="s">
        <v>3475</v>
      </c>
      <c r="D848" s="7" t="s">
        <v>2763</v>
      </c>
      <c r="E848" s="1"/>
    </row>
    <row r="849" spans="1:5" s="2" customFormat="1" ht="31.5" customHeight="1" x14ac:dyDescent="0.25">
      <c r="A849" s="5" t="s">
        <v>4557</v>
      </c>
      <c r="B849" s="6" t="s">
        <v>4558</v>
      </c>
      <c r="C849" s="8" t="s">
        <v>4550</v>
      </c>
      <c r="D849" s="7" t="s">
        <v>2764</v>
      </c>
      <c r="E849" s="1"/>
    </row>
    <row r="850" spans="1:5" s="2" customFormat="1" ht="31.5" customHeight="1" x14ac:dyDescent="0.25">
      <c r="A850" s="5" t="s">
        <v>4559</v>
      </c>
      <c r="B850" s="6" t="s">
        <v>4560</v>
      </c>
      <c r="C850" s="8" t="s">
        <v>3465</v>
      </c>
      <c r="D850" s="7" t="s">
        <v>2765</v>
      </c>
      <c r="E850" s="1"/>
    </row>
    <row r="851" spans="1:5" s="2" customFormat="1" ht="47.25" customHeight="1" x14ac:dyDescent="0.25">
      <c r="A851" s="5" t="s">
        <v>4561</v>
      </c>
      <c r="B851" s="6" t="s">
        <v>4562</v>
      </c>
      <c r="C851" s="8" t="s">
        <v>1461</v>
      </c>
      <c r="D851" s="7" t="s">
        <v>2766</v>
      </c>
      <c r="E851" s="1"/>
    </row>
    <row r="852" spans="1:5" s="2" customFormat="1" ht="31.5" customHeight="1" x14ac:dyDescent="0.25">
      <c r="A852" s="5" t="s">
        <v>4563</v>
      </c>
      <c r="B852" s="6" t="s">
        <v>4564</v>
      </c>
      <c r="C852" s="8" t="s">
        <v>4035</v>
      </c>
      <c r="D852" s="7" t="s">
        <v>2767</v>
      </c>
      <c r="E852" s="1"/>
    </row>
    <row r="853" spans="1:5" s="2" customFormat="1" ht="63" customHeight="1" x14ac:dyDescent="0.25">
      <c r="A853" s="5" t="s">
        <v>4565</v>
      </c>
      <c r="B853" s="6" t="s">
        <v>4566</v>
      </c>
      <c r="C853" s="8" t="s">
        <v>172</v>
      </c>
      <c r="D853" s="7" t="s">
        <v>2768</v>
      </c>
      <c r="E853" s="1"/>
    </row>
    <row r="854" spans="1:5" s="2" customFormat="1" ht="31.5" customHeight="1" x14ac:dyDescent="0.25">
      <c r="A854" s="5" t="s">
        <v>4567</v>
      </c>
      <c r="B854" s="6" t="s">
        <v>4568</v>
      </c>
      <c r="C854" s="8" t="s">
        <v>1358</v>
      </c>
      <c r="D854" s="7" t="s">
        <v>2769</v>
      </c>
      <c r="E854" s="1"/>
    </row>
    <row r="855" spans="1:5" s="2" customFormat="1" ht="31.5" customHeight="1" x14ac:dyDescent="0.25">
      <c r="A855" s="5" t="s">
        <v>4569</v>
      </c>
      <c r="B855" s="6" t="s">
        <v>4570</v>
      </c>
      <c r="C855" s="8" t="s">
        <v>405</v>
      </c>
      <c r="D855" s="7" t="s">
        <v>2770</v>
      </c>
      <c r="E855" s="1"/>
    </row>
    <row r="856" spans="1:5" s="2" customFormat="1" ht="47.25" customHeight="1" x14ac:dyDescent="0.25">
      <c r="A856" s="5" t="s">
        <v>4571</v>
      </c>
      <c r="B856" s="6" t="s">
        <v>4572</v>
      </c>
      <c r="C856" s="8" t="s">
        <v>3832</v>
      </c>
      <c r="D856" s="7" t="s">
        <v>2771</v>
      </c>
      <c r="E856" s="1"/>
    </row>
    <row r="857" spans="1:5" s="2" customFormat="1" ht="63" customHeight="1" x14ac:dyDescent="0.25">
      <c r="A857" s="5" t="s">
        <v>4573</v>
      </c>
      <c r="B857" s="6" t="s">
        <v>4574</v>
      </c>
      <c r="C857" s="8" t="s">
        <v>3670</v>
      </c>
      <c r="D857" s="7" t="s">
        <v>2772</v>
      </c>
      <c r="E857" s="1"/>
    </row>
    <row r="858" spans="1:5" s="2" customFormat="1" ht="31.5" customHeight="1" x14ac:dyDescent="0.25">
      <c r="A858" s="5" t="s">
        <v>4575</v>
      </c>
      <c r="B858" s="6" t="s">
        <v>4576</v>
      </c>
      <c r="C858" s="8" t="s">
        <v>382</v>
      </c>
      <c r="D858" s="7" t="s">
        <v>2773</v>
      </c>
      <c r="E858" s="1"/>
    </row>
    <row r="859" spans="1:5" ht="47.25" customHeight="1" x14ac:dyDescent="0.25">
      <c r="A859" s="5" t="s">
        <v>4577</v>
      </c>
      <c r="B859" s="6" t="s">
        <v>4578</v>
      </c>
      <c r="C859" s="8" t="s">
        <v>1416</v>
      </c>
      <c r="D859" s="7" t="s">
        <v>2774</v>
      </c>
    </row>
    <row r="860" spans="1:5" ht="47.25" customHeight="1" x14ac:dyDescent="0.25">
      <c r="A860" s="5" t="s">
        <v>4579</v>
      </c>
      <c r="B860" s="6" t="s">
        <v>4580</v>
      </c>
      <c r="C860" s="8" t="s">
        <v>172</v>
      </c>
      <c r="D860" s="7" t="s">
        <v>2775</v>
      </c>
    </row>
    <row r="861" spans="1:5" ht="31.5" customHeight="1" x14ac:dyDescent="0.25">
      <c r="A861" s="5" t="s">
        <v>4581</v>
      </c>
      <c r="B861" s="6" t="s">
        <v>4582</v>
      </c>
      <c r="C861" s="8" t="s">
        <v>4583</v>
      </c>
      <c r="D861" s="7" t="s">
        <v>2776</v>
      </c>
    </row>
    <row r="862" spans="1:5" ht="47.25" customHeight="1" x14ac:dyDescent="0.25">
      <c r="A862" s="5" t="s">
        <v>4584</v>
      </c>
      <c r="B862" s="6" t="s">
        <v>4585</v>
      </c>
      <c r="C862" s="8" t="s">
        <v>4586</v>
      </c>
      <c r="D862" s="7" t="s">
        <v>2777</v>
      </c>
    </row>
    <row r="863" spans="1:5" ht="47.25" customHeight="1" x14ac:dyDescent="0.25">
      <c r="A863" s="5" t="s">
        <v>4587</v>
      </c>
      <c r="B863" s="6" t="s">
        <v>4588</v>
      </c>
      <c r="C863" s="8" t="s">
        <v>3428</v>
      </c>
      <c r="D863" s="7" t="s">
        <v>2778</v>
      </c>
    </row>
    <row r="864" spans="1:5" ht="31.5" customHeight="1" x14ac:dyDescent="0.25">
      <c r="A864" s="5" t="s">
        <v>4589</v>
      </c>
      <c r="B864" s="6" t="s">
        <v>4590</v>
      </c>
      <c r="C864" s="8" t="s">
        <v>3759</v>
      </c>
      <c r="D864" s="7" t="s">
        <v>2779</v>
      </c>
    </row>
    <row r="865" spans="1:4" ht="31.5" customHeight="1" x14ac:dyDescent="0.25">
      <c r="A865" s="5" t="s">
        <v>4591</v>
      </c>
      <c r="B865" s="6" t="s">
        <v>4592</v>
      </c>
      <c r="C865" s="8" t="s">
        <v>564</v>
      </c>
      <c r="D865" s="7" t="s">
        <v>2780</v>
      </c>
    </row>
    <row r="866" spans="1:4" ht="47.25" customHeight="1" x14ac:dyDescent="0.25">
      <c r="A866" s="5" t="s">
        <v>4593</v>
      </c>
      <c r="B866" s="6" t="s">
        <v>4594</v>
      </c>
      <c r="C866" s="8" t="s">
        <v>3428</v>
      </c>
      <c r="D866" s="7" t="s">
        <v>2781</v>
      </c>
    </row>
    <row r="867" spans="1:4" ht="47.25" customHeight="1" x14ac:dyDescent="0.25">
      <c r="A867" s="5" t="s">
        <v>4595</v>
      </c>
      <c r="B867" s="6" t="s">
        <v>4596</v>
      </c>
      <c r="C867" s="8" t="s">
        <v>178</v>
      </c>
      <c r="D867" s="7" t="s">
        <v>2782</v>
      </c>
    </row>
    <row r="868" spans="1:4" ht="63" customHeight="1" x14ac:dyDescent="0.25">
      <c r="A868" s="5" t="s">
        <v>4597</v>
      </c>
      <c r="B868" s="6" t="s">
        <v>4598</v>
      </c>
      <c r="C868" s="8" t="s">
        <v>4599</v>
      </c>
      <c r="D868" s="7" t="s">
        <v>2783</v>
      </c>
    </row>
    <row r="869" spans="1:4" ht="47.25" customHeight="1" x14ac:dyDescent="0.25">
      <c r="A869" s="5" t="s">
        <v>4600</v>
      </c>
      <c r="B869" s="6" t="s">
        <v>4601</v>
      </c>
      <c r="C869" s="8" t="s">
        <v>4540</v>
      </c>
      <c r="D869" s="7" t="s">
        <v>2784</v>
      </c>
    </row>
    <row r="870" spans="1:4" ht="31.5" customHeight="1" x14ac:dyDescent="0.25">
      <c r="A870" s="5" t="s">
        <v>4602</v>
      </c>
      <c r="B870" s="6" t="s">
        <v>4603</v>
      </c>
      <c r="C870" s="8" t="s">
        <v>4540</v>
      </c>
      <c r="D870" s="7" t="s">
        <v>2785</v>
      </c>
    </row>
    <row r="871" spans="1:4" ht="31.5" customHeight="1" x14ac:dyDescent="0.25">
      <c r="A871" s="5" t="s">
        <v>4604</v>
      </c>
      <c r="B871" s="6" t="s">
        <v>4605</v>
      </c>
      <c r="C871" s="8" t="s">
        <v>4540</v>
      </c>
      <c r="D871" s="7" t="s">
        <v>2786</v>
      </c>
    </row>
    <row r="872" spans="1:4" ht="31.5" customHeight="1" x14ac:dyDescent="0.25">
      <c r="A872" s="5" t="s">
        <v>4606</v>
      </c>
      <c r="B872" s="6" t="s">
        <v>4607</v>
      </c>
      <c r="C872" s="8" t="s">
        <v>4540</v>
      </c>
      <c r="D872" s="7" t="s">
        <v>2787</v>
      </c>
    </row>
    <row r="873" spans="1:4" ht="31.5" customHeight="1" x14ac:dyDescent="0.25">
      <c r="A873" s="5" t="s">
        <v>4608</v>
      </c>
      <c r="B873" s="6" t="s">
        <v>4609</v>
      </c>
      <c r="C873" s="8" t="s">
        <v>98</v>
      </c>
      <c r="D873" s="7" t="s">
        <v>2788</v>
      </c>
    </row>
    <row r="874" spans="1:4" ht="47.25" customHeight="1" x14ac:dyDescent="0.25">
      <c r="A874" s="5" t="s">
        <v>4610</v>
      </c>
      <c r="B874" s="6" t="s">
        <v>4611</v>
      </c>
      <c r="C874" s="8" t="s">
        <v>98</v>
      </c>
      <c r="D874" s="7" t="s">
        <v>2789</v>
      </c>
    </row>
    <row r="875" spans="1:4" ht="31.5" customHeight="1" x14ac:dyDescent="0.25">
      <c r="A875" s="5" t="s">
        <v>4612</v>
      </c>
      <c r="B875" s="6" t="s">
        <v>4613</v>
      </c>
      <c r="C875" s="8" t="s">
        <v>349</v>
      </c>
      <c r="D875" s="7" t="s">
        <v>2790</v>
      </c>
    </row>
    <row r="876" spans="1:4" ht="47.25" customHeight="1" x14ac:dyDescent="0.25">
      <c r="A876" s="5" t="s">
        <v>4614</v>
      </c>
      <c r="B876" s="6" t="s">
        <v>4615</v>
      </c>
      <c r="C876" s="8" t="s">
        <v>1192</v>
      </c>
      <c r="D876" s="7" t="s">
        <v>2791</v>
      </c>
    </row>
    <row r="877" spans="1:4" ht="31.5" customHeight="1" x14ac:dyDescent="0.25">
      <c r="A877" s="5" t="s">
        <v>4616</v>
      </c>
      <c r="B877" s="6" t="s">
        <v>4617</v>
      </c>
      <c r="C877" s="8" t="s">
        <v>3428</v>
      </c>
      <c r="D877" s="7" t="s">
        <v>2792</v>
      </c>
    </row>
    <row r="878" spans="1:4" ht="47.25" customHeight="1" x14ac:dyDescent="0.25">
      <c r="A878" s="5" t="s">
        <v>4618</v>
      </c>
      <c r="B878" s="6" t="s">
        <v>4619</v>
      </c>
      <c r="C878" s="8" t="s">
        <v>922</v>
      </c>
      <c r="D878" s="7" t="s">
        <v>2793</v>
      </c>
    </row>
    <row r="879" spans="1:4" ht="63" customHeight="1" x14ac:dyDescent="0.25">
      <c r="A879" s="5" t="s">
        <v>4620</v>
      </c>
      <c r="B879" s="6" t="s">
        <v>4621</v>
      </c>
      <c r="C879" s="8" t="s">
        <v>344</v>
      </c>
      <c r="D879" s="7" t="s">
        <v>2794</v>
      </c>
    </row>
    <row r="880" spans="1:4" ht="63" customHeight="1" x14ac:dyDescent="0.25">
      <c r="A880" s="5" t="s">
        <v>4622</v>
      </c>
      <c r="B880" s="6" t="s">
        <v>4623</v>
      </c>
      <c r="C880" s="8" t="s">
        <v>178</v>
      </c>
      <c r="D880" s="7" t="s">
        <v>2795</v>
      </c>
    </row>
    <row r="881" spans="1:4" ht="63" customHeight="1" x14ac:dyDescent="0.25">
      <c r="A881" s="5" t="s">
        <v>4624</v>
      </c>
      <c r="B881" s="6" t="s">
        <v>4625</v>
      </c>
      <c r="C881" s="8" t="s">
        <v>3290</v>
      </c>
      <c r="D881" s="7" t="s">
        <v>2796</v>
      </c>
    </row>
    <row r="882" spans="1:4" ht="63" customHeight="1" x14ac:dyDescent="0.25">
      <c r="A882" s="5" t="s">
        <v>4626</v>
      </c>
      <c r="B882" s="6" t="s">
        <v>4627</v>
      </c>
      <c r="C882" s="8" t="s">
        <v>365</v>
      </c>
      <c r="D882" s="7" t="s">
        <v>2797</v>
      </c>
    </row>
    <row r="883" spans="1:4" ht="63" customHeight="1" x14ac:dyDescent="0.25">
      <c r="A883" s="5" t="s">
        <v>4628</v>
      </c>
      <c r="B883" s="6" t="s">
        <v>4629</v>
      </c>
      <c r="C883" s="8" t="s">
        <v>4630</v>
      </c>
      <c r="D883" s="7" t="s">
        <v>2798</v>
      </c>
    </row>
    <row r="884" spans="1:4" ht="47.25" customHeight="1" x14ac:dyDescent="0.25">
      <c r="A884" s="5" t="s">
        <v>4631</v>
      </c>
      <c r="B884" s="6" t="s">
        <v>4632</v>
      </c>
      <c r="C884" s="8" t="s">
        <v>1114</v>
      </c>
      <c r="D884" s="7" t="s">
        <v>2799</v>
      </c>
    </row>
    <row r="885" spans="1:4" ht="47.25" customHeight="1" x14ac:dyDescent="0.25">
      <c r="A885" s="5" t="s">
        <v>4633</v>
      </c>
      <c r="B885" s="6" t="s">
        <v>4634</v>
      </c>
      <c r="C885" s="8" t="s">
        <v>454</v>
      </c>
      <c r="D885" s="7" t="s">
        <v>2800</v>
      </c>
    </row>
    <row r="886" spans="1:4" ht="47.25" customHeight="1" x14ac:dyDescent="0.25">
      <c r="A886" s="5" t="s">
        <v>4635</v>
      </c>
      <c r="B886" s="6" t="s">
        <v>4636</v>
      </c>
      <c r="C886" s="8" t="s">
        <v>454</v>
      </c>
      <c r="D886" s="7" t="s">
        <v>2801</v>
      </c>
    </row>
    <row r="887" spans="1:4" ht="31.5" customHeight="1" x14ac:dyDescent="0.25">
      <c r="A887" s="5" t="s">
        <v>4637</v>
      </c>
      <c r="B887" s="6" t="s">
        <v>4638</v>
      </c>
      <c r="C887" s="8" t="s">
        <v>4639</v>
      </c>
      <c r="D887" s="7" t="s">
        <v>2802</v>
      </c>
    </row>
    <row r="888" spans="1:4" ht="31.5" customHeight="1" x14ac:dyDescent="0.25">
      <c r="A888" s="5" t="s">
        <v>4640</v>
      </c>
      <c r="B888" s="6" t="s">
        <v>4641</v>
      </c>
      <c r="C888" s="8" t="s">
        <v>3265</v>
      </c>
      <c r="D888" s="7" t="s">
        <v>2803</v>
      </c>
    </row>
    <row r="889" spans="1:4" ht="31.5" customHeight="1" x14ac:dyDescent="0.25">
      <c r="A889" s="5" t="s">
        <v>4642</v>
      </c>
      <c r="B889" s="6" t="s">
        <v>4643</v>
      </c>
      <c r="C889" s="8" t="s">
        <v>3265</v>
      </c>
      <c r="D889" s="7" t="s">
        <v>2804</v>
      </c>
    </row>
    <row r="890" spans="1:4" ht="31.5" customHeight="1" x14ac:dyDescent="0.25">
      <c r="A890" s="5" t="s">
        <v>4644</v>
      </c>
      <c r="B890" s="6" t="s">
        <v>4645</v>
      </c>
      <c r="C890" s="8" t="s">
        <v>3265</v>
      </c>
      <c r="D890" s="7" t="s">
        <v>2805</v>
      </c>
    </row>
    <row r="891" spans="1:4" ht="31.5" customHeight="1" x14ac:dyDescent="0.25">
      <c r="A891" s="5" t="s">
        <v>4646</v>
      </c>
      <c r="B891" s="6" t="s">
        <v>4647</v>
      </c>
      <c r="C891" s="8" t="s">
        <v>4342</v>
      </c>
      <c r="D891" s="7" t="s">
        <v>2806</v>
      </c>
    </row>
    <row r="892" spans="1:4" ht="47.25" customHeight="1" x14ac:dyDescent="0.25">
      <c r="A892" s="5" t="s">
        <v>4648</v>
      </c>
      <c r="B892" s="6" t="s">
        <v>4649</v>
      </c>
      <c r="C892" s="8" t="s">
        <v>4540</v>
      </c>
      <c r="D892" s="7" t="s">
        <v>2807</v>
      </c>
    </row>
    <row r="893" spans="1:4" ht="47.25" customHeight="1" x14ac:dyDescent="0.25">
      <c r="A893" s="5" t="s">
        <v>4650</v>
      </c>
      <c r="B893" s="6" t="s">
        <v>4651</v>
      </c>
      <c r="C893" s="8" t="s">
        <v>1284</v>
      </c>
      <c r="D893" s="7" t="s">
        <v>2808</v>
      </c>
    </row>
    <row r="894" spans="1:4" ht="31.5" customHeight="1" x14ac:dyDescent="0.25">
      <c r="A894" s="5" t="s">
        <v>4652</v>
      </c>
      <c r="B894" s="6" t="s">
        <v>4653</v>
      </c>
      <c r="C894" s="50" t="s">
        <v>4654</v>
      </c>
      <c r="D894" s="7" t="s">
        <v>2809</v>
      </c>
    </row>
    <row r="895" spans="1:4" ht="63" customHeight="1" x14ac:dyDescent="0.25">
      <c r="A895" s="5" t="s">
        <v>4655</v>
      </c>
      <c r="B895" s="6" t="s">
        <v>4656</v>
      </c>
      <c r="C895" s="8" t="s">
        <v>3400</v>
      </c>
      <c r="D895" s="7" t="s">
        <v>2810</v>
      </c>
    </row>
    <row r="896" spans="1:4" ht="47.25" customHeight="1" x14ac:dyDescent="0.25">
      <c r="A896" s="5" t="s">
        <v>4657</v>
      </c>
      <c r="B896" s="6" t="s">
        <v>4658</v>
      </c>
      <c r="C896" s="8" t="s">
        <v>1411</v>
      </c>
      <c r="D896" s="7" t="s">
        <v>2811</v>
      </c>
    </row>
    <row r="897" spans="1:4" ht="47.25" customHeight="1" x14ac:dyDescent="0.25">
      <c r="A897" s="5" t="s">
        <v>4659</v>
      </c>
      <c r="B897" s="6" t="s">
        <v>4660</v>
      </c>
      <c r="C897" s="8" t="s">
        <v>3813</v>
      </c>
      <c r="D897" s="7" t="s">
        <v>2812</v>
      </c>
    </row>
    <row r="898" spans="1:4" ht="63" customHeight="1" x14ac:dyDescent="0.25">
      <c r="A898" s="5" t="s">
        <v>4661</v>
      </c>
      <c r="B898" s="6" t="s">
        <v>4662</v>
      </c>
      <c r="C898" s="8" t="s">
        <v>1109</v>
      </c>
      <c r="D898" s="7" t="s">
        <v>2813</v>
      </c>
    </row>
    <row r="899" spans="1:4" ht="47.25" customHeight="1" x14ac:dyDescent="0.25">
      <c r="A899" s="5" t="s">
        <v>4663</v>
      </c>
      <c r="B899" s="6" t="s">
        <v>4664</v>
      </c>
      <c r="C899" s="8" t="s">
        <v>3732</v>
      </c>
      <c r="D899" s="7" t="s">
        <v>2814</v>
      </c>
    </row>
    <row r="900" spans="1:4" ht="47.25" customHeight="1" x14ac:dyDescent="0.25">
      <c r="A900" s="5" t="s">
        <v>4665</v>
      </c>
      <c r="B900" s="6" t="s">
        <v>4666</v>
      </c>
      <c r="C900" s="8" t="s">
        <v>1305</v>
      </c>
      <c r="D900" s="7" t="s">
        <v>2815</v>
      </c>
    </row>
    <row r="901" spans="1:4" ht="31.5" customHeight="1" x14ac:dyDescent="0.25">
      <c r="A901" s="5" t="s">
        <v>4667</v>
      </c>
      <c r="B901" s="6" t="s">
        <v>4668</v>
      </c>
      <c r="C901" s="8" t="s">
        <v>1849</v>
      </c>
      <c r="D901" s="7" t="s">
        <v>2816</v>
      </c>
    </row>
    <row r="902" spans="1:4" ht="63" customHeight="1" x14ac:dyDescent="0.25">
      <c r="A902" s="5" t="s">
        <v>4669</v>
      </c>
      <c r="B902" s="6" t="s">
        <v>4670</v>
      </c>
      <c r="C902" s="8" t="s">
        <v>909</v>
      </c>
      <c r="D902" s="7" t="s">
        <v>2817</v>
      </c>
    </row>
    <row r="903" spans="1:4" ht="47.25" customHeight="1" x14ac:dyDescent="0.25">
      <c r="A903" s="5" t="s">
        <v>4671</v>
      </c>
      <c r="B903" s="6" t="s">
        <v>4672</v>
      </c>
      <c r="C903" s="8" t="s">
        <v>590</v>
      </c>
      <c r="D903" s="7" t="s">
        <v>2818</v>
      </c>
    </row>
    <row r="904" spans="1:4" ht="47.25" customHeight="1" x14ac:dyDescent="0.25">
      <c r="A904" s="5" t="s">
        <v>4673</v>
      </c>
      <c r="B904" s="6" t="s">
        <v>4674</v>
      </c>
      <c r="C904" s="8" t="s">
        <v>3832</v>
      </c>
      <c r="D904" s="7" t="s">
        <v>2819</v>
      </c>
    </row>
    <row r="905" spans="1:4" ht="47.25" customHeight="1" x14ac:dyDescent="0.25">
      <c r="A905" s="5" t="s">
        <v>4675</v>
      </c>
      <c r="B905" s="6" t="s">
        <v>4676</v>
      </c>
      <c r="C905" s="8" t="s">
        <v>1176</v>
      </c>
      <c r="D905" s="7" t="s">
        <v>2820</v>
      </c>
    </row>
    <row r="906" spans="1:4" ht="31.5" customHeight="1" x14ac:dyDescent="0.25">
      <c r="A906" s="5" t="s">
        <v>4677</v>
      </c>
      <c r="B906" s="6" t="s">
        <v>4678</v>
      </c>
      <c r="C906" s="8" t="s">
        <v>1363</v>
      </c>
      <c r="D906" s="7" t="s">
        <v>2821</v>
      </c>
    </row>
    <row r="907" spans="1:4" ht="31.5" customHeight="1" x14ac:dyDescent="0.25">
      <c r="A907" s="5" t="s">
        <v>4679</v>
      </c>
      <c r="B907" s="6" t="s">
        <v>4680</v>
      </c>
      <c r="C907" s="8" t="s">
        <v>1337</v>
      </c>
      <c r="D907" s="7" t="s">
        <v>2822</v>
      </c>
    </row>
    <row r="908" spans="1:4" ht="47.25" customHeight="1" x14ac:dyDescent="0.25">
      <c r="A908" s="5" t="s">
        <v>4681</v>
      </c>
      <c r="B908" s="6" t="s">
        <v>4682</v>
      </c>
      <c r="C908" s="8" t="s">
        <v>1091</v>
      </c>
      <c r="D908" s="7" t="s">
        <v>2823</v>
      </c>
    </row>
    <row r="909" spans="1:4" ht="78.75" customHeight="1" x14ac:dyDescent="0.25">
      <c r="A909" s="5" t="s">
        <v>4683</v>
      </c>
      <c r="B909" s="6" t="s">
        <v>4684</v>
      </c>
      <c r="C909" s="8" t="s">
        <v>3112</v>
      </c>
      <c r="D909" s="7" t="s">
        <v>2824</v>
      </c>
    </row>
    <row r="910" spans="1:4" ht="31.5" customHeight="1" x14ac:dyDescent="0.25">
      <c r="A910" s="5" t="s">
        <v>4685</v>
      </c>
      <c r="B910" s="6" t="s">
        <v>4686</v>
      </c>
      <c r="C910" s="8" t="s">
        <v>4540</v>
      </c>
      <c r="D910" s="7" t="s">
        <v>2825</v>
      </c>
    </row>
    <row r="911" spans="1:4" ht="47.25" customHeight="1" x14ac:dyDescent="0.25">
      <c r="A911" s="5" t="s">
        <v>4687</v>
      </c>
      <c r="B911" s="6" t="s">
        <v>4688</v>
      </c>
      <c r="C911" s="8" t="s">
        <v>3095</v>
      </c>
      <c r="D911" s="7" t="s">
        <v>2826</v>
      </c>
    </row>
    <row r="912" spans="1:4" ht="31.5" customHeight="1" x14ac:dyDescent="0.25">
      <c r="A912" s="5" t="s">
        <v>4689</v>
      </c>
      <c r="B912" s="6" t="s">
        <v>4690</v>
      </c>
      <c r="C912" s="8" t="s">
        <v>3095</v>
      </c>
      <c r="D912" s="7" t="s">
        <v>2827</v>
      </c>
    </row>
    <row r="913" spans="1:4" ht="31.5" customHeight="1" x14ac:dyDescent="0.25">
      <c r="A913" s="5" t="s">
        <v>4691</v>
      </c>
      <c r="B913" s="6" t="s">
        <v>4692</v>
      </c>
      <c r="C913" s="8" t="s">
        <v>3095</v>
      </c>
      <c r="D913" s="7" t="s">
        <v>2828</v>
      </c>
    </row>
    <row r="914" spans="1:4" ht="31.5" customHeight="1" x14ac:dyDescent="0.25">
      <c r="A914" s="5" t="s">
        <v>4693</v>
      </c>
      <c r="B914" s="6" t="s">
        <v>4694</v>
      </c>
      <c r="C914" s="8" t="s">
        <v>3095</v>
      </c>
      <c r="D914" s="7" t="s">
        <v>2829</v>
      </c>
    </row>
    <row r="915" spans="1:4" ht="47.25" customHeight="1" x14ac:dyDescent="0.25">
      <c r="A915" s="5" t="s">
        <v>4695</v>
      </c>
      <c r="B915" s="6" t="s">
        <v>4696</v>
      </c>
      <c r="C915" s="8" t="s">
        <v>3095</v>
      </c>
      <c r="D915" s="7" t="s">
        <v>2830</v>
      </c>
    </row>
    <row r="916" spans="1:4" ht="31.5" customHeight="1" x14ac:dyDescent="0.25">
      <c r="A916" s="5" t="s">
        <v>4697</v>
      </c>
      <c r="B916" s="6" t="s">
        <v>4698</v>
      </c>
      <c r="C916" s="8" t="s">
        <v>1569</v>
      </c>
      <c r="D916" s="7" t="s">
        <v>2831</v>
      </c>
    </row>
    <row r="917" spans="1:4" ht="31.5" customHeight="1" x14ac:dyDescent="0.25">
      <c r="A917" s="5" t="s">
        <v>4699</v>
      </c>
      <c r="B917" s="6" t="s">
        <v>4700</v>
      </c>
      <c r="C917" s="8" t="s">
        <v>246</v>
      </c>
      <c r="D917" s="7" t="s">
        <v>2832</v>
      </c>
    </row>
    <row r="918" spans="1:4" ht="47.25" customHeight="1" x14ac:dyDescent="0.25">
      <c r="A918" s="5" t="s">
        <v>4701</v>
      </c>
      <c r="B918" s="6" t="s">
        <v>4702</v>
      </c>
      <c r="C918" s="8" t="s">
        <v>500</v>
      </c>
      <c r="D918" s="7" t="s">
        <v>2833</v>
      </c>
    </row>
    <row r="919" spans="1:4" ht="31.5" customHeight="1" x14ac:dyDescent="0.25">
      <c r="A919" s="5" t="s">
        <v>4703</v>
      </c>
      <c r="B919" s="6" t="s">
        <v>4704</v>
      </c>
      <c r="C919" s="8" t="s">
        <v>4705</v>
      </c>
      <c r="D919" s="7" t="s">
        <v>2834</v>
      </c>
    </row>
    <row r="920" spans="1:4" ht="31.5" customHeight="1" x14ac:dyDescent="0.25">
      <c r="A920" s="5" t="s">
        <v>4706</v>
      </c>
      <c r="B920" s="6" t="s">
        <v>4707</v>
      </c>
      <c r="C920" s="8" t="s">
        <v>4708</v>
      </c>
      <c r="D920" s="7" t="s">
        <v>2835</v>
      </c>
    </row>
    <row r="921" spans="1:4" ht="31.5" customHeight="1" x14ac:dyDescent="0.25">
      <c r="A921" s="5" t="s">
        <v>4709</v>
      </c>
      <c r="B921" s="6" t="s">
        <v>4710</v>
      </c>
      <c r="C921" s="8" t="s">
        <v>767</v>
      </c>
      <c r="D921" s="7" t="s">
        <v>2836</v>
      </c>
    </row>
    <row r="922" spans="1:4" ht="63" customHeight="1" x14ac:dyDescent="0.25">
      <c r="A922" s="5" t="s">
        <v>4711</v>
      </c>
      <c r="B922" s="6" t="s">
        <v>4712</v>
      </c>
      <c r="C922" s="8" t="s">
        <v>1037</v>
      </c>
      <c r="D922" s="7" t="s">
        <v>2837</v>
      </c>
    </row>
    <row r="923" spans="1:4" ht="63" customHeight="1" x14ac:dyDescent="0.25">
      <c r="A923" s="5" t="s">
        <v>4713</v>
      </c>
      <c r="B923" s="6" t="s">
        <v>4714</v>
      </c>
      <c r="C923" s="8" t="s">
        <v>4715</v>
      </c>
      <c r="D923" s="7" t="s">
        <v>2838</v>
      </c>
    </row>
    <row r="924" spans="1:4" ht="47.25" customHeight="1" x14ac:dyDescent="0.25">
      <c r="A924" s="5" t="s">
        <v>4716</v>
      </c>
      <c r="B924" s="6" t="s">
        <v>4717</v>
      </c>
      <c r="C924" s="8" t="s">
        <v>81</v>
      </c>
      <c r="D924" s="7" t="s">
        <v>2839</v>
      </c>
    </row>
    <row r="925" spans="1:4" ht="47.25" customHeight="1" x14ac:dyDescent="0.25">
      <c r="A925" s="5" t="s">
        <v>4718</v>
      </c>
      <c r="B925" s="6" t="s">
        <v>4719</v>
      </c>
      <c r="C925" s="8" t="s">
        <v>495</v>
      </c>
      <c r="D925" s="7" t="s">
        <v>2840</v>
      </c>
    </row>
    <row r="926" spans="1:4" ht="47.25" customHeight="1" x14ac:dyDescent="0.25">
      <c r="A926" s="5" t="s">
        <v>4720</v>
      </c>
      <c r="B926" s="6" t="s">
        <v>4721</v>
      </c>
      <c r="C926" s="8" t="s">
        <v>195</v>
      </c>
      <c r="D926" s="7" t="s">
        <v>2841</v>
      </c>
    </row>
    <row r="927" spans="1:4" ht="47.25" customHeight="1" x14ac:dyDescent="0.25">
      <c r="A927" s="5" t="s">
        <v>4722</v>
      </c>
      <c r="B927" s="6" t="s">
        <v>4723</v>
      </c>
      <c r="C927" s="8" t="s">
        <v>3400</v>
      </c>
      <c r="D927" s="7" t="s">
        <v>2842</v>
      </c>
    </row>
    <row r="928" spans="1:4" ht="31.5" customHeight="1" x14ac:dyDescent="0.25">
      <c r="A928" s="5" t="s">
        <v>4724</v>
      </c>
      <c r="B928" s="6" t="s">
        <v>4725</v>
      </c>
      <c r="C928" s="8" t="s">
        <v>3400</v>
      </c>
      <c r="D928" s="7" t="s">
        <v>2843</v>
      </c>
    </row>
    <row r="929" spans="1:4" ht="63" customHeight="1" x14ac:dyDescent="0.25">
      <c r="A929" s="5" t="s">
        <v>4726</v>
      </c>
      <c r="B929" s="6" t="s">
        <v>4727</v>
      </c>
      <c r="C929" s="8" t="s">
        <v>1187</v>
      </c>
      <c r="D929" s="7" t="s">
        <v>2844</v>
      </c>
    </row>
    <row r="930" spans="1:4" ht="47.25" customHeight="1" x14ac:dyDescent="0.25">
      <c r="A930" s="5" t="s">
        <v>4728</v>
      </c>
      <c r="B930" s="6" t="s">
        <v>4729</v>
      </c>
      <c r="C930" s="8" t="s">
        <v>564</v>
      </c>
      <c r="D930" s="7" t="s">
        <v>2845</v>
      </c>
    </row>
    <row r="931" spans="1:4" ht="31.5" customHeight="1" x14ac:dyDescent="0.25">
      <c r="A931" s="5" t="s">
        <v>4730</v>
      </c>
      <c r="B931" s="6" t="s">
        <v>4731</v>
      </c>
      <c r="C931" s="8" t="s">
        <v>772</v>
      </c>
      <c r="D931" s="7" t="s">
        <v>2846</v>
      </c>
    </row>
    <row r="932" spans="1:4" ht="31.5" customHeight="1" x14ac:dyDescent="0.25">
      <c r="A932" s="5" t="s">
        <v>4732</v>
      </c>
      <c r="B932" s="6" t="s">
        <v>4733</v>
      </c>
      <c r="C932" s="8" t="s">
        <v>3155</v>
      </c>
      <c r="D932" s="7" t="s">
        <v>2847</v>
      </c>
    </row>
    <row r="933" spans="1:4" ht="31.5" customHeight="1" x14ac:dyDescent="0.25">
      <c r="A933" s="5" t="s">
        <v>4734</v>
      </c>
      <c r="B933" s="6" t="s">
        <v>4735</v>
      </c>
      <c r="C933" s="8" t="s">
        <v>495</v>
      </c>
      <c r="D933" s="7" t="s">
        <v>2848</v>
      </c>
    </row>
    <row r="934" spans="1:4" ht="47.25" customHeight="1" x14ac:dyDescent="0.25">
      <c r="A934" s="5" t="s">
        <v>4736</v>
      </c>
      <c r="B934" s="6" t="s">
        <v>4737</v>
      </c>
      <c r="C934" s="8" t="s">
        <v>4738</v>
      </c>
      <c r="D934" s="7" t="s">
        <v>2849</v>
      </c>
    </row>
    <row r="935" spans="1:4" ht="47.25" customHeight="1" x14ac:dyDescent="0.25">
      <c r="A935" s="5" t="s">
        <v>4739</v>
      </c>
      <c r="B935" s="6" t="s">
        <v>4740</v>
      </c>
      <c r="C935" s="8" t="s">
        <v>510</v>
      </c>
      <c r="D935" s="7" t="s">
        <v>2850</v>
      </c>
    </row>
    <row r="936" spans="1:4" ht="31.5" customHeight="1" x14ac:dyDescent="0.25">
      <c r="A936" s="5" t="s">
        <v>4741</v>
      </c>
      <c r="B936" s="6" t="s">
        <v>4742</v>
      </c>
      <c r="C936" s="8" t="s">
        <v>1337</v>
      </c>
      <c r="D936" s="7" t="s">
        <v>2851</v>
      </c>
    </row>
    <row r="937" spans="1:4" ht="47.25" customHeight="1" x14ac:dyDescent="0.25">
      <c r="A937" s="5" t="s">
        <v>4743</v>
      </c>
      <c r="B937" s="6" t="s">
        <v>4744</v>
      </c>
      <c r="C937" s="8" t="s">
        <v>3241</v>
      </c>
      <c r="D937" s="7" t="s">
        <v>2852</v>
      </c>
    </row>
    <row r="938" spans="1:4" ht="47.25" customHeight="1" x14ac:dyDescent="0.25">
      <c r="A938" s="5" t="s">
        <v>4745</v>
      </c>
      <c r="B938" s="6" t="s">
        <v>4746</v>
      </c>
      <c r="C938" s="8" t="s">
        <v>942</v>
      </c>
      <c r="D938" s="7" t="s">
        <v>2853</v>
      </c>
    </row>
    <row r="939" spans="1:4" ht="31.5" customHeight="1" x14ac:dyDescent="0.25">
      <c r="A939" s="5" t="s">
        <v>4747</v>
      </c>
      <c r="B939" s="6" t="s">
        <v>4748</v>
      </c>
      <c r="C939" s="8" t="s">
        <v>454</v>
      </c>
      <c r="D939" s="7" t="s">
        <v>2854</v>
      </c>
    </row>
    <row r="940" spans="1:4" ht="31.5" customHeight="1" x14ac:dyDescent="0.25">
      <c r="A940" s="5" t="s">
        <v>4749</v>
      </c>
      <c r="B940" s="6" t="s">
        <v>4750</v>
      </c>
      <c r="C940" s="8" t="s">
        <v>454</v>
      </c>
      <c r="D940" s="7" t="s">
        <v>2855</v>
      </c>
    </row>
    <row r="941" spans="1:4" ht="63" customHeight="1" x14ac:dyDescent="0.25">
      <c r="A941" s="5" t="s">
        <v>4751</v>
      </c>
      <c r="B941" s="6" t="s">
        <v>4752</v>
      </c>
      <c r="C941" s="8" t="s">
        <v>4753</v>
      </c>
      <c r="D941" s="7" t="s">
        <v>2856</v>
      </c>
    </row>
    <row r="942" spans="1:4" ht="47.25" customHeight="1" x14ac:dyDescent="0.25">
      <c r="A942" s="5" t="s">
        <v>4754</v>
      </c>
      <c r="B942" s="6" t="s">
        <v>4755</v>
      </c>
      <c r="C942" s="8" t="s">
        <v>1569</v>
      </c>
      <c r="D942" s="7" t="s">
        <v>2857</v>
      </c>
    </row>
    <row r="943" spans="1:4" ht="31.5" customHeight="1" x14ac:dyDescent="0.25">
      <c r="A943" s="5" t="s">
        <v>4756</v>
      </c>
      <c r="B943" s="6" t="s">
        <v>4757</v>
      </c>
      <c r="C943" s="8" t="s">
        <v>1461</v>
      </c>
      <c r="D943" s="7" t="s">
        <v>2858</v>
      </c>
    </row>
    <row r="944" spans="1:4" ht="47.25" customHeight="1" x14ac:dyDescent="0.25">
      <c r="A944" s="5" t="s">
        <v>4758</v>
      </c>
      <c r="B944" s="6" t="s">
        <v>4759</v>
      </c>
      <c r="C944" s="8" t="s">
        <v>86</v>
      </c>
      <c r="D944" s="7" t="s">
        <v>2859</v>
      </c>
    </row>
    <row r="945" spans="1:4" ht="47.25" customHeight="1" x14ac:dyDescent="0.25">
      <c r="A945" s="5" t="s">
        <v>4760</v>
      </c>
      <c r="B945" s="6" t="s">
        <v>4761</v>
      </c>
      <c r="C945" s="8" t="s">
        <v>4762</v>
      </c>
      <c r="D945" s="7" t="s">
        <v>2860</v>
      </c>
    </row>
    <row r="946" spans="1:4" ht="63" customHeight="1" x14ac:dyDescent="0.25">
      <c r="A946" s="5" t="s">
        <v>4763</v>
      </c>
      <c r="B946" s="6" t="s">
        <v>4764</v>
      </c>
      <c r="C946" s="8" t="s">
        <v>326</v>
      </c>
      <c r="D946" s="7" t="s">
        <v>2861</v>
      </c>
    </row>
    <row r="947" spans="1:4" ht="31.5" customHeight="1" x14ac:dyDescent="0.25">
      <c r="A947" s="5" t="s">
        <v>4765</v>
      </c>
      <c r="B947" s="6" t="s">
        <v>4766</v>
      </c>
      <c r="C947" s="8" t="s">
        <v>178</v>
      </c>
      <c r="D947" s="7" t="s">
        <v>2862</v>
      </c>
    </row>
    <row r="948" spans="1:4" ht="31.5" customHeight="1" x14ac:dyDescent="0.25">
      <c r="A948" s="5" t="s">
        <v>4767</v>
      </c>
      <c r="B948" s="6" t="s">
        <v>4768</v>
      </c>
      <c r="C948" s="8" t="s">
        <v>1569</v>
      </c>
      <c r="D948" s="7" t="s">
        <v>2863</v>
      </c>
    </row>
    <row r="949" spans="1:4" ht="47.25" customHeight="1" x14ac:dyDescent="0.25">
      <c r="A949" s="5" t="s">
        <v>4769</v>
      </c>
      <c r="B949" s="6" t="s">
        <v>4770</v>
      </c>
      <c r="C949" s="8" t="s">
        <v>4771</v>
      </c>
      <c r="D949" s="7" t="s">
        <v>2864</v>
      </c>
    </row>
    <row r="950" spans="1:4" ht="31.5" customHeight="1" x14ac:dyDescent="0.25">
      <c r="A950" s="5" t="s">
        <v>4772</v>
      </c>
      <c r="B950" s="6" t="s">
        <v>4773</v>
      </c>
      <c r="C950" s="8" t="s">
        <v>130</v>
      </c>
      <c r="D950" s="7" t="s">
        <v>2865</v>
      </c>
    </row>
    <row r="951" spans="1:4" ht="47.25" customHeight="1" x14ac:dyDescent="0.25">
      <c r="A951" s="5" t="s">
        <v>4774</v>
      </c>
      <c r="B951" s="6" t="s">
        <v>4775</v>
      </c>
      <c r="C951" s="8" t="s">
        <v>4586</v>
      </c>
      <c r="D951" s="7" t="s">
        <v>2866</v>
      </c>
    </row>
    <row r="952" spans="1:4" ht="47.25" customHeight="1" x14ac:dyDescent="0.25">
      <c r="A952" s="5" t="s">
        <v>4776</v>
      </c>
      <c r="B952" s="6" t="s">
        <v>4777</v>
      </c>
      <c r="C952" s="8" t="s">
        <v>546</v>
      </c>
      <c r="D952" s="7" t="s">
        <v>2867</v>
      </c>
    </row>
    <row r="953" spans="1:4" ht="78.75" customHeight="1" x14ac:dyDescent="0.25">
      <c r="A953" s="5" t="s">
        <v>4778</v>
      </c>
      <c r="B953" s="6" t="s">
        <v>4779</v>
      </c>
      <c r="C953" s="8" t="s">
        <v>1284</v>
      </c>
      <c r="D953" s="7" t="s">
        <v>2868</v>
      </c>
    </row>
    <row r="954" spans="1:4" ht="31.5" customHeight="1" x14ac:dyDescent="0.25">
      <c r="A954" s="5" t="s">
        <v>4780</v>
      </c>
      <c r="B954" s="6" t="s">
        <v>4781</v>
      </c>
      <c r="C954" s="8" t="s">
        <v>1574</v>
      </c>
      <c r="D954" s="7" t="s">
        <v>2869</v>
      </c>
    </row>
    <row r="955" spans="1:4" ht="31.5" customHeight="1" x14ac:dyDescent="0.25">
      <c r="A955" s="5" t="s">
        <v>4782</v>
      </c>
      <c r="B955" s="6" t="s">
        <v>4783</v>
      </c>
      <c r="C955" s="8" t="s">
        <v>4412</v>
      </c>
      <c r="D955" s="7" t="s">
        <v>2870</v>
      </c>
    </row>
    <row r="956" spans="1:4" ht="63" customHeight="1" x14ac:dyDescent="0.25">
      <c r="A956" s="5" t="s">
        <v>4784</v>
      </c>
      <c r="B956" s="6" t="s">
        <v>4785</v>
      </c>
      <c r="C956" s="8" t="s">
        <v>4786</v>
      </c>
      <c r="D956" s="7" t="s">
        <v>2871</v>
      </c>
    </row>
    <row r="957" spans="1:4" ht="31.5" customHeight="1" x14ac:dyDescent="0.25">
      <c r="A957" s="5" t="s">
        <v>4787</v>
      </c>
      <c r="B957" s="6" t="s">
        <v>4788</v>
      </c>
      <c r="C957" s="8" t="s">
        <v>4386</v>
      </c>
      <c r="D957" s="7" t="s">
        <v>2872</v>
      </c>
    </row>
    <row r="958" spans="1:4" ht="31.5" customHeight="1" x14ac:dyDescent="0.25">
      <c r="A958" s="5" t="s">
        <v>4789</v>
      </c>
      <c r="B958" s="6" t="s">
        <v>4790</v>
      </c>
      <c r="C958" s="8" t="s">
        <v>410</v>
      </c>
      <c r="D958" s="7" t="s">
        <v>2873</v>
      </c>
    </row>
    <row r="959" spans="1:4" ht="31.5" customHeight="1" x14ac:dyDescent="0.25">
      <c r="A959" s="5" t="s">
        <v>4791</v>
      </c>
      <c r="B959" s="6" t="s">
        <v>4792</v>
      </c>
      <c r="C959" s="8" t="s">
        <v>3990</v>
      </c>
      <c r="D959" s="7" t="s">
        <v>2874</v>
      </c>
    </row>
    <row r="960" spans="1:4" ht="47.25" customHeight="1" x14ac:dyDescent="0.25">
      <c r="A960" s="5" t="s">
        <v>4793</v>
      </c>
      <c r="B960" s="6" t="s">
        <v>4794</v>
      </c>
      <c r="C960" s="8" t="s">
        <v>469</v>
      </c>
      <c r="D960" s="7" t="s">
        <v>2875</v>
      </c>
    </row>
    <row r="961" spans="1:4" ht="47.25" customHeight="1" x14ac:dyDescent="0.25">
      <c r="A961" s="5" t="s">
        <v>4795</v>
      </c>
      <c r="B961" s="6" t="s">
        <v>4796</v>
      </c>
      <c r="C961" s="8" t="s">
        <v>4797</v>
      </c>
      <c r="D961" s="7" t="s">
        <v>2876</v>
      </c>
    </row>
    <row r="962" spans="1:4" ht="31.5" customHeight="1" x14ac:dyDescent="0.25">
      <c r="A962" s="5" t="s">
        <v>4798</v>
      </c>
      <c r="B962" s="6" t="s">
        <v>4799</v>
      </c>
      <c r="C962" s="8" t="s">
        <v>81</v>
      </c>
      <c r="D962" s="7" t="s">
        <v>2877</v>
      </c>
    </row>
    <row r="963" spans="1:4" ht="63" customHeight="1" x14ac:dyDescent="0.25">
      <c r="A963" s="5" t="s">
        <v>4800</v>
      </c>
      <c r="B963" s="6" t="s">
        <v>4801</v>
      </c>
      <c r="C963" s="8" t="s">
        <v>360</v>
      </c>
      <c r="D963" s="7" t="s">
        <v>2878</v>
      </c>
    </row>
    <row r="964" spans="1:4" ht="47.25" customHeight="1" x14ac:dyDescent="0.25">
      <c r="A964" s="5" t="s">
        <v>4802</v>
      </c>
      <c r="B964" s="6" t="s">
        <v>4803</v>
      </c>
      <c r="C964" s="8" t="s">
        <v>148</v>
      </c>
      <c r="D964" s="7" t="s">
        <v>2879</v>
      </c>
    </row>
    <row r="965" spans="1:4" ht="47.25" customHeight="1" x14ac:dyDescent="0.25">
      <c r="A965" s="5" t="s">
        <v>4804</v>
      </c>
      <c r="B965" s="6" t="s">
        <v>4805</v>
      </c>
      <c r="C965" s="8" t="s">
        <v>950</v>
      </c>
      <c r="D965" s="7" t="s">
        <v>2880</v>
      </c>
    </row>
    <row r="966" spans="1:4" ht="63" customHeight="1" x14ac:dyDescent="0.25">
      <c r="A966" s="5" t="s">
        <v>4806</v>
      </c>
      <c r="B966" s="6" t="s">
        <v>4807</v>
      </c>
      <c r="C966" s="8" t="s">
        <v>382</v>
      </c>
      <c r="D966" s="7" t="s">
        <v>2881</v>
      </c>
    </row>
    <row r="967" spans="1:4" ht="47.25" customHeight="1" x14ac:dyDescent="0.25">
      <c r="A967" s="5" t="s">
        <v>4808</v>
      </c>
      <c r="B967" s="6" t="s">
        <v>4809</v>
      </c>
      <c r="C967" s="8" t="s">
        <v>1569</v>
      </c>
      <c r="D967" s="7" t="s">
        <v>2882</v>
      </c>
    </row>
    <row r="968" spans="1:4" ht="31.5" customHeight="1" x14ac:dyDescent="0.25">
      <c r="A968" s="5" t="s">
        <v>4810</v>
      </c>
      <c r="B968" s="6" t="s">
        <v>4811</v>
      </c>
      <c r="C968" s="8" t="s">
        <v>4812</v>
      </c>
      <c r="D968" s="7" t="s">
        <v>2883</v>
      </c>
    </row>
    <row r="969" spans="1:4" ht="63" customHeight="1" x14ac:dyDescent="0.25">
      <c r="A969" s="5" t="s">
        <v>4813</v>
      </c>
      <c r="B969" s="6" t="s">
        <v>4814</v>
      </c>
      <c r="C969" s="8" t="s">
        <v>1284</v>
      </c>
      <c r="D969" s="7" t="s">
        <v>2884</v>
      </c>
    </row>
    <row r="970" spans="1:4" ht="47.25" customHeight="1" x14ac:dyDescent="0.25">
      <c r="A970" s="5" t="s">
        <v>4815</v>
      </c>
      <c r="B970" s="6" t="s">
        <v>4816</v>
      </c>
      <c r="C970" s="8" t="s">
        <v>1284</v>
      </c>
      <c r="D970" s="7" t="s">
        <v>2885</v>
      </c>
    </row>
    <row r="971" spans="1:4" ht="63" customHeight="1" x14ac:dyDescent="0.25">
      <c r="A971" s="5" t="s">
        <v>4817</v>
      </c>
      <c r="B971" s="6" t="s">
        <v>4818</v>
      </c>
      <c r="C971" s="8" t="s">
        <v>4819</v>
      </c>
      <c r="D971" s="7" t="s">
        <v>2886</v>
      </c>
    </row>
    <row r="972" spans="1:4" ht="47.25" customHeight="1" x14ac:dyDescent="0.25">
      <c r="A972" s="5" t="s">
        <v>4820</v>
      </c>
      <c r="B972" s="6" t="s">
        <v>4821</v>
      </c>
      <c r="C972" s="8" t="s">
        <v>1182</v>
      </c>
      <c r="D972" s="7" t="s">
        <v>2887</v>
      </c>
    </row>
    <row r="973" spans="1:4" ht="31.5" customHeight="1" x14ac:dyDescent="0.25">
      <c r="A973" s="5" t="s">
        <v>4822</v>
      </c>
      <c r="B973" s="6" t="s">
        <v>4823</v>
      </c>
      <c r="C973" s="8" t="s">
        <v>1411</v>
      </c>
      <c r="D973" s="7" t="s">
        <v>2888</v>
      </c>
    </row>
    <row r="974" spans="1:4" ht="47.25" customHeight="1" x14ac:dyDescent="0.25">
      <c r="A974" s="5" t="s">
        <v>4824</v>
      </c>
      <c r="B974" s="6" t="s">
        <v>4825</v>
      </c>
      <c r="C974" s="8" t="s">
        <v>730</v>
      </c>
      <c r="D974" s="7" t="s">
        <v>2889</v>
      </c>
    </row>
    <row r="975" spans="1:4" ht="31.5" customHeight="1" x14ac:dyDescent="0.25">
      <c r="A975" s="5" t="s">
        <v>4826</v>
      </c>
      <c r="B975" s="6" t="s">
        <v>4827</v>
      </c>
      <c r="C975" s="8" t="s">
        <v>4828</v>
      </c>
      <c r="D975" s="7" t="s">
        <v>2890</v>
      </c>
    </row>
    <row r="976" spans="1:4" ht="63" customHeight="1" x14ac:dyDescent="0.25">
      <c r="A976" s="5" t="s">
        <v>4829</v>
      </c>
      <c r="B976" s="6" t="s">
        <v>4830</v>
      </c>
      <c r="C976" s="8" t="s">
        <v>4828</v>
      </c>
      <c r="D976" s="7" t="s">
        <v>2891</v>
      </c>
    </row>
    <row r="977" spans="1:4" ht="47.25" customHeight="1" x14ac:dyDescent="0.25">
      <c r="A977" s="5" t="s">
        <v>4831</v>
      </c>
      <c r="B977" s="6" t="s">
        <v>4832</v>
      </c>
      <c r="C977" s="8" t="s">
        <v>4833</v>
      </c>
      <c r="D977" s="7" t="s">
        <v>2892</v>
      </c>
    </row>
    <row r="978" spans="1:4" ht="31.5" customHeight="1" x14ac:dyDescent="0.25">
      <c r="A978" s="5" t="s">
        <v>4834</v>
      </c>
      <c r="B978" s="6" t="s">
        <v>4835</v>
      </c>
      <c r="C978" s="8" t="s">
        <v>4836</v>
      </c>
      <c r="D978" s="7" t="s">
        <v>2893</v>
      </c>
    </row>
    <row r="979" spans="1:4" ht="47.25" customHeight="1" x14ac:dyDescent="0.25">
      <c r="A979" s="5" t="s">
        <v>4837</v>
      </c>
      <c r="B979" s="6" t="s">
        <v>4838</v>
      </c>
      <c r="C979" s="8" t="s">
        <v>3478</v>
      </c>
      <c r="D979" s="7" t="s">
        <v>2894</v>
      </c>
    </row>
    <row r="980" spans="1:4" ht="31.5" customHeight="1" x14ac:dyDescent="0.25">
      <c r="A980" s="5" t="s">
        <v>4839</v>
      </c>
      <c r="B980" s="6" t="s">
        <v>4840</v>
      </c>
      <c r="C980" s="8" t="s">
        <v>4841</v>
      </c>
      <c r="D980" s="7" t="s">
        <v>2895</v>
      </c>
    </row>
    <row r="981" spans="1:4" ht="47.25" customHeight="1" x14ac:dyDescent="0.25">
      <c r="A981" s="5" t="s">
        <v>4842</v>
      </c>
      <c r="B981" s="6" t="s">
        <v>4843</v>
      </c>
      <c r="C981" s="8" t="s">
        <v>265</v>
      </c>
      <c r="D981" s="7" t="s">
        <v>2896</v>
      </c>
    </row>
    <row r="982" spans="1:4" ht="47.25" customHeight="1" x14ac:dyDescent="0.25">
      <c r="A982" s="5" t="s">
        <v>4844</v>
      </c>
      <c r="B982" s="6" t="s">
        <v>4845</v>
      </c>
      <c r="C982" s="8" t="s">
        <v>638</v>
      </c>
      <c r="D982" s="7" t="s">
        <v>2897</v>
      </c>
    </row>
    <row r="983" spans="1:4" ht="63" customHeight="1" x14ac:dyDescent="0.25">
      <c r="A983" s="5" t="s">
        <v>4846</v>
      </c>
      <c r="B983" s="6" t="s">
        <v>4847</v>
      </c>
      <c r="C983" s="8" t="s">
        <v>1828</v>
      </c>
      <c r="D983" s="7" t="s">
        <v>2898</v>
      </c>
    </row>
    <row r="984" spans="1:4" ht="47.25" customHeight="1" x14ac:dyDescent="0.25">
      <c r="A984" s="5" t="s">
        <v>4848</v>
      </c>
      <c r="B984" s="6" t="s">
        <v>4849</v>
      </c>
      <c r="C984" s="8" t="s">
        <v>344</v>
      </c>
      <c r="D984" s="7" t="s">
        <v>2899</v>
      </c>
    </row>
    <row r="985" spans="1:4" ht="78.75" customHeight="1" x14ac:dyDescent="0.25">
      <c r="A985" s="5" t="s">
        <v>4850</v>
      </c>
      <c r="B985" s="6" t="s">
        <v>4851</v>
      </c>
      <c r="C985" s="8" t="s">
        <v>3460</v>
      </c>
      <c r="D985" s="7" t="s">
        <v>2900</v>
      </c>
    </row>
    <row r="986" spans="1:4" ht="31.5" customHeight="1" x14ac:dyDescent="0.25">
      <c r="A986" s="5" t="s">
        <v>4852</v>
      </c>
      <c r="B986" s="6" t="s">
        <v>4853</v>
      </c>
      <c r="C986" s="8" t="s">
        <v>1337</v>
      </c>
      <c r="D986" s="7" t="s">
        <v>2901</v>
      </c>
    </row>
    <row r="987" spans="1:4" ht="47.25" customHeight="1" x14ac:dyDescent="0.25">
      <c r="A987" s="5" t="s">
        <v>4854</v>
      </c>
      <c r="B987" s="6" t="s">
        <v>4855</v>
      </c>
      <c r="C987" s="8" t="s">
        <v>4856</v>
      </c>
      <c r="D987" s="7" t="s">
        <v>2902</v>
      </c>
    </row>
    <row r="988" spans="1:4" ht="47.25" customHeight="1" x14ac:dyDescent="0.25">
      <c r="A988" s="5" t="s">
        <v>4857</v>
      </c>
      <c r="B988" s="6" t="s">
        <v>4858</v>
      </c>
      <c r="C988" s="8" t="s">
        <v>922</v>
      </c>
      <c r="D988" s="7" t="s">
        <v>2903</v>
      </c>
    </row>
    <row r="989" spans="1:4" ht="31.5" customHeight="1" x14ac:dyDescent="0.25">
      <c r="A989" s="5" t="s">
        <v>4859</v>
      </c>
      <c r="B989" s="6" t="s">
        <v>4860</v>
      </c>
      <c r="C989" s="8" t="s">
        <v>3157</v>
      </c>
      <c r="D989" s="7" t="s">
        <v>2904</v>
      </c>
    </row>
    <row r="990" spans="1:4" ht="47.25" customHeight="1" x14ac:dyDescent="0.25">
      <c r="A990" s="5" t="s">
        <v>4861</v>
      </c>
      <c r="B990" s="6" t="s">
        <v>4862</v>
      </c>
      <c r="C990" s="8" t="s">
        <v>4863</v>
      </c>
      <c r="D990" s="7" t="s">
        <v>2905</v>
      </c>
    </row>
    <row r="991" spans="1:4" ht="47.25" customHeight="1" x14ac:dyDescent="0.25">
      <c r="A991" s="5" t="s">
        <v>4864</v>
      </c>
      <c r="B991" s="6" t="s">
        <v>4865</v>
      </c>
      <c r="C991" s="8" t="s">
        <v>4812</v>
      </c>
      <c r="D991" s="7" t="s">
        <v>2906</v>
      </c>
    </row>
    <row r="992" spans="1:4" ht="47.25" customHeight="1" x14ac:dyDescent="0.25">
      <c r="A992" s="5" t="s">
        <v>4866</v>
      </c>
      <c r="B992" s="6" t="s">
        <v>4867</v>
      </c>
      <c r="C992" s="50" t="s">
        <v>4868</v>
      </c>
      <c r="D992" s="7" t="s">
        <v>2907</v>
      </c>
    </row>
    <row r="993" spans="1:4" ht="63" customHeight="1" x14ac:dyDescent="0.25">
      <c r="A993" s="5" t="s">
        <v>4869</v>
      </c>
      <c r="B993" s="6" t="s">
        <v>4870</v>
      </c>
      <c r="C993" s="8" t="s">
        <v>213</v>
      </c>
      <c r="D993" s="7" t="s">
        <v>2908</v>
      </c>
    </row>
    <row r="994" spans="1:4" ht="63" customHeight="1" x14ac:dyDescent="0.25">
      <c r="A994" s="5" t="s">
        <v>4871</v>
      </c>
      <c r="B994" s="6" t="s">
        <v>4872</v>
      </c>
      <c r="C994" s="8" t="s">
        <v>213</v>
      </c>
      <c r="D994" s="7" t="s">
        <v>2909</v>
      </c>
    </row>
    <row r="995" spans="1:4" ht="47.25" customHeight="1" x14ac:dyDescent="0.25">
      <c r="A995" s="5" t="s">
        <v>4873</v>
      </c>
      <c r="B995" s="6" t="s">
        <v>4874</v>
      </c>
      <c r="C995" s="8" t="s">
        <v>4856</v>
      </c>
      <c r="D995" s="7" t="s">
        <v>2910</v>
      </c>
    </row>
    <row r="996" spans="1:4" ht="47.25" customHeight="1" x14ac:dyDescent="0.25">
      <c r="A996" s="5" t="s">
        <v>4875</v>
      </c>
      <c r="B996" s="6" t="s">
        <v>4876</v>
      </c>
      <c r="C996" s="8" t="s">
        <v>4856</v>
      </c>
      <c r="D996" s="7" t="s">
        <v>2911</v>
      </c>
    </row>
    <row r="997" spans="1:4" ht="47.25" customHeight="1" x14ac:dyDescent="0.25">
      <c r="A997" s="5" t="s">
        <v>4877</v>
      </c>
      <c r="B997" s="6" t="s">
        <v>4878</v>
      </c>
      <c r="C997" s="8" t="s">
        <v>4534</v>
      </c>
      <c r="D997" s="7" t="s">
        <v>2912</v>
      </c>
    </row>
    <row r="998" spans="1:4" ht="31.5" customHeight="1" x14ac:dyDescent="0.25">
      <c r="A998" s="5" t="s">
        <v>4879</v>
      </c>
      <c r="B998" s="6" t="s">
        <v>4880</v>
      </c>
      <c r="C998" s="8" t="s">
        <v>3769</v>
      </c>
      <c r="D998" s="7" t="s">
        <v>2913</v>
      </c>
    </row>
    <row r="999" spans="1:4" ht="31.5" customHeight="1" x14ac:dyDescent="0.25">
      <c r="A999" s="5" t="s">
        <v>4881</v>
      </c>
      <c r="B999" s="6" t="s">
        <v>4882</v>
      </c>
      <c r="C999" s="8" t="s">
        <v>4883</v>
      </c>
      <c r="D999" s="7" t="s">
        <v>2914</v>
      </c>
    </row>
    <row r="1000" spans="1:4" ht="31.5" customHeight="1" x14ac:dyDescent="0.25">
      <c r="A1000" s="5" t="s">
        <v>4884</v>
      </c>
      <c r="B1000" s="6" t="s">
        <v>4885</v>
      </c>
      <c r="C1000" s="8" t="s">
        <v>326</v>
      </c>
      <c r="D1000" s="7" t="s">
        <v>2915</v>
      </c>
    </row>
    <row r="1001" spans="1:4" ht="47.25" customHeight="1" x14ac:dyDescent="0.25">
      <c r="A1001" s="5" t="s">
        <v>4886</v>
      </c>
      <c r="B1001" s="6" t="s">
        <v>4887</v>
      </c>
      <c r="C1001" s="8" t="s">
        <v>3285</v>
      </c>
      <c r="D1001" s="7" t="s">
        <v>2916</v>
      </c>
    </row>
    <row r="1002" spans="1:4" ht="31.5" customHeight="1" x14ac:dyDescent="0.25">
      <c r="A1002" s="5" t="s">
        <v>4888</v>
      </c>
      <c r="B1002" s="6" t="s">
        <v>4889</v>
      </c>
      <c r="C1002" s="8" t="s">
        <v>4890</v>
      </c>
      <c r="D1002" s="7" t="s">
        <v>2917</v>
      </c>
    </row>
    <row r="1003" spans="1:4" ht="31.5" customHeight="1" x14ac:dyDescent="0.25">
      <c r="A1003" s="5" t="s">
        <v>4891</v>
      </c>
      <c r="B1003" s="6" t="s">
        <v>4892</v>
      </c>
      <c r="C1003" s="8" t="s">
        <v>1337</v>
      </c>
      <c r="D1003" s="7" t="s">
        <v>2918</v>
      </c>
    </row>
    <row r="1004" spans="1:4" ht="63" customHeight="1" x14ac:dyDescent="0.25">
      <c r="A1004" s="5" t="s">
        <v>4893</v>
      </c>
      <c r="B1004" s="6" t="s">
        <v>4894</v>
      </c>
      <c r="C1004" s="8" t="s">
        <v>510</v>
      </c>
      <c r="D1004" s="7" t="s">
        <v>2919</v>
      </c>
    </row>
    <row r="1005" spans="1:4" ht="47.25" customHeight="1" x14ac:dyDescent="0.25">
      <c r="A1005" s="5" t="s">
        <v>4895</v>
      </c>
      <c r="B1005" s="6" t="s">
        <v>4896</v>
      </c>
      <c r="C1005" s="8" t="s">
        <v>4897</v>
      </c>
      <c r="D1005" s="7" t="s">
        <v>2920</v>
      </c>
    </row>
    <row r="1006" spans="1:4" ht="31.5" customHeight="1" x14ac:dyDescent="0.25">
      <c r="A1006" s="5" t="s">
        <v>4898</v>
      </c>
      <c r="B1006" s="6" t="s">
        <v>4899</v>
      </c>
      <c r="C1006" s="8" t="s">
        <v>3295</v>
      </c>
      <c r="D1006" s="7" t="s">
        <v>2921</v>
      </c>
    </row>
    <row r="1007" spans="1:4" ht="31.5" customHeight="1" x14ac:dyDescent="0.25">
      <c r="A1007" s="5" t="s">
        <v>4900</v>
      </c>
      <c r="B1007" s="6" t="s">
        <v>4901</v>
      </c>
      <c r="C1007" s="8" t="s">
        <v>1213</v>
      </c>
      <c r="D1007" s="7" t="s">
        <v>2922</v>
      </c>
    </row>
    <row r="1008" spans="1:4" ht="31.5" customHeight="1" x14ac:dyDescent="0.25">
      <c r="A1008" s="5" t="s">
        <v>4902</v>
      </c>
      <c r="B1008" s="6" t="s">
        <v>4903</v>
      </c>
      <c r="C1008" s="8" t="s">
        <v>1213</v>
      </c>
      <c r="D1008" s="7" t="s">
        <v>2923</v>
      </c>
    </row>
    <row r="1009" spans="1:4" ht="31.5" customHeight="1" x14ac:dyDescent="0.25">
      <c r="A1009" s="5" t="s">
        <v>4904</v>
      </c>
      <c r="B1009" s="6" t="s">
        <v>4905</v>
      </c>
      <c r="C1009" s="8" t="s">
        <v>3232</v>
      </c>
      <c r="D1009" s="7" t="s">
        <v>2924</v>
      </c>
    </row>
    <row r="1010" spans="1:4" ht="31.5" customHeight="1" x14ac:dyDescent="0.25">
      <c r="A1010" s="5" t="s">
        <v>4906</v>
      </c>
      <c r="B1010" s="6" t="s">
        <v>4907</v>
      </c>
      <c r="C1010" s="8" t="s">
        <v>3232</v>
      </c>
      <c r="D1010" s="7" t="s">
        <v>2925</v>
      </c>
    </row>
    <row r="1011" spans="1:4" ht="47.25" customHeight="1" x14ac:dyDescent="0.25">
      <c r="A1011" s="5" t="s">
        <v>4908</v>
      </c>
      <c r="B1011" s="6" t="s">
        <v>4909</v>
      </c>
      <c r="C1011" s="8" t="s">
        <v>389</v>
      </c>
      <c r="D1011" s="7" t="s">
        <v>2926</v>
      </c>
    </row>
    <row r="1012" spans="1:4" x14ac:dyDescent="0.25">
      <c r="A1012" s="5" t="s">
        <v>4910</v>
      </c>
      <c r="B1012" s="6" t="s">
        <v>4911</v>
      </c>
      <c r="C1012" s="8" t="s">
        <v>942</v>
      </c>
      <c r="D1012" s="7" t="s">
        <v>2927</v>
      </c>
    </row>
    <row r="1013" spans="1:4" ht="47.25" customHeight="1" x14ac:dyDescent="0.25">
      <c r="A1013" s="5" t="s">
        <v>4912</v>
      </c>
      <c r="B1013" s="6" t="s">
        <v>4913</v>
      </c>
      <c r="C1013" s="8" t="s">
        <v>1363</v>
      </c>
      <c r="D1013" s="7" t="s">
        <v>2928</v>
      </c>
    </row>
    <row r="1014" spans="1:4" ht="47.25" customHeight="1" x14ac:dyDescent="0.25">
      <c r="A1014" s="5" t="s">
        <v>4914</v>
      </c>
      <c r="B1014" s="6" t="s">
        <v>4915</v>
      </c>
      <c r="C1014" s="8" t="s">
        <v>4916</v>
      </c>
      <c r="D1014" s="7" t="s">
        <v>2929</v>
      </c>
    </row>
    <row r="1015" spans="1:4" ht="31.5" customHeight="1" x14ac:dyDescent="0.25">
      <c r="A1015" s="5" t="s">
        <v>4917</v>
      </c>
      <c r="B1015" s="6" t="s">
        <v>4918</v>
      </c>
      <c r="C1015" s="8" t="s">
        <v>4919</v>
      </c>
      <c r="D1015" s="7" t="s">
        <v>2930</v>
      </c>
    </row>
    <row r="1016" spans="1:4" ht="47.25" customHeight="1" x14ac:dyDescent="0.25">
      <c r="A1016" s="5" t="s">
        <v>4920</v>
      </c>
      <c r="B1016" s="6" t="s">
        <v>4921</v>
      </c>
      <c r="C1016" s="8" t="s">
        <v>4225</v>
      </c>
      <c r="D1016" s="7" t="s">
        <v>2931</v>
      </c>
    </row>
    <row r="1017" spans="1:4" ht="47.25" customHeight="1" x14ac:dyDescent="0.25">
      <c r="A1017" s="5" t="s">
        <v>4922</v>
      </c>
      <c r="B1017" s="6" t="s">
        <v>4923</v>
      </c>
      <c r="C1017" s="8" t="s">
        <v>4924</v>
      </c>
      <c r="D1017" s="7" t="s">
        <v>2932</v>
      </c>
    </row>
    <row r="1018" spans="1:4" ht="63" customHeight="1" x14ac:dyDescent="0.25">
      <c r="A1018" s="5" t="s">
        <v>4925</v>
      </c>
      <c r="B1018" s="6" t="s">
        <v>4926</v>
      </c>
      <c r="C1018" s="8" t="s">
        <v>4927</v>
      </c>
      <c r="D1018" s="7" t="s">
        <v>2933</v>
      </c>
    </row>
    <row r="1019" spans="1:4" ht="31.5" customHeight="1" x14ac:dyDescent="0.25">
      <c r="A1019" s="5" t="s">
        <v>4928</v>
      </c>
      <c r="B1019" s="6" t="s">
        <v>4929</v>
      </c>
      <c r="C1019" s="8" t="s">
        <v>4930</v>
      </c>
      <c r="D1019" s="7" t="s">
        <v>2934</v>
      </c>
    </row>
    <row r="1020" spans="1:4" ht="47.25" customHeight="1" x14ac:dyDescent="0.25">
      <c r="A1020" s="5" t="s">
        <v>4931</v>
      </c>
      <c r="B1020" s="6" t="s">
        <v>4932</v>
      </c>
      <c r="C1020" s="8" t="s">
        <v>743</v>
      </c>
      <c r="D1020" s="7" t="s">
        <v>2935</v>
      </c>
    </row>
    <row r="1021" spans="1:4" ht="31.5" customHeight="1" x14ac:dyDescent="0.25">
      <c r="A1021" s="5" t="s">
        <v>4933</v>
      </c>
      <c r="B1021" s="6" t="s">
        <v>4934</v>
      </c>
      <c r="C1021" s="8" t="s">
        <v>743</v>
      </c>
      <c r="D1021" s="7" t="s">
        <v>2936</v>
      </c>
    </row>
    <row r="1022" spans="1:4" ht="47.25" customHeight="1" x14ac:dyDescent="0.25">
      <c r="A1022" s="5" t="s">
        <v>4935</v>
      </c>
      <c r="B1022" s="6" t="s">
        <v>4936</v>
      </c>
      <c r="C1022" s="8" t="s">
        <v>3428</v>
      </c>
      <c r="D1022" s="7" t="s">
        <v>2937</v>
      </c>
    </row>
    <row r="1023" spans="1:4" ht="47.25" customHeight="1" x14ac:dyDescent="0.25">
      <c r="A1023" s="5" t="s">
        <v>4937</v>
      </c>
      <c r="B1023" s="6" t="s">
        <v>4938</v>
      </c>
      <c r="C1023" s="8" t="s">
        <v>4550</v>
      </c>
      <c r="D1023" s="7" t="s">
        <v>2938</v>
      </c>
    </row>
    <row r="1024" spans="1:4" ht="47.25" customHeight="1" x14ac:dyDescent="0.25">
      <c r="A1024" s="5" t="s">
        <v>4939</v>
      </c>
      <c r="B1024" s="6" t="s">
        <v>4940</v>
      </c>
      <c r="C1024" s="8" t="s">
        <v>4941</v>
      </c>
      <c r="D1024" s="7" t="s">
        <v>2939</v>
      </c>
    </row>
    <row r="1025" spans="1:4" ht="47.25" customHeight="1" x14ac:dyDescent="0.25">
      <c r="A1025" s="5" t="s">
        <v>4942</v>
      </c>
      <c r="B1025" s="6" t="s">
        <v>4943</v>
      </c>
      <c r="C1025" s="8" t="s">
        <v>4941</v>
      </c>
      <c r="D1025" s="7" t="s">
        <v>2940</v>
      </c>
    </row>
    <row r="1026" spans="1:4" ht="63" customHeight="1" x14ac:dyDescent="0.25">
      <c r="A1026" s="5" t="s">
        <v>4944</v>
      </c>
      <c r="B1026" s="6" t="s">
        <v>4945</v>
      </c>
      <c r="C1026" s="8" t="s">
        <v>1337</v>
      </c>
      <c r="D1026" s="7" t="s">
        <v>2941</v>
      </c>
    </row>
    <row r="1027" spans="1:4" ht="47.25" customHeight="1" x14ac:dyDescent="0.25">
      <c r="A1027" s="5" t="s">
        <v>4946</v>
      </c>
      <c r="B1027" s="6" t="s">
        <v>4947</v>
      </c>
      <c r="C1027" s="8" t="s">
        <v>1682</v>
      </c>
      <c r="D1027" s="7" t="s">
        <v>2942</v>
      </c>
    </row>
    <row r="1028" spans="1:4" ht="47.25" customHeight="1" x14ac:dyDescent="0.25">
      <c r="A1028" s="5" t="s">
        <v>4948</v>
      </c>
      <c r="B1028" s="6" t="s">
        <v>4949</v>
      </c>
      <c r="C1028" s="8" t="s">
        <v>98</v>
      </c>
      <c r="D1028" s="7" t="s">
        <v>2943</v>
      </c>
    </row>
    <row r="1029" spans="1:4" ht="47.25" customHeight="1" x14ac:dyDescent="0.25">
      <c r="A1029" s="5" t="s">
        <v>4950</v>
      </c>
      <c r="B1029" s="6" t="s">
        <v>4951</v>
      </c>
      <c r="C1029" s="8" t="s">
        <v>1482</v>
      </c>
      <c r="D1029" s="7" t="s">
        <v>2944</v>
      </c>
    </row>
    <row r="1030" spans="1:4" ht="63" customHeight="1" x14ac:dyDescent="0.25">
      <c r="A1030" s="5" t="s">
        <v>4952</v>
      </c>
      <c r="B1030" s="6" t="s">
        <v>4953</v>
      </c>
      <c r="C1030" s="8" t="s">
        <v>148</v>
      </c>
      <c r="D1030" s="7" t="s">
        <v>2945</v>
      </c>
    </row>
    <row r="1031" spans="1:4" ht="47.25" customHeight="1" x14ac:dyDescent="0.25">
      <c r="A1031" s="5" t="s">
        <v>4954</v>
      </c>
      <c r="B1031" s="6" t="s">
        <v>4955</v>
      </c>
      <c r="C1031" s="8" t="s">
        <v>4890</v>
      </c>
      <c r="D1031" s="7" t="s">
        <v>2946</v>
      </c>
    </row>
    <row r="1032" spans="1:4" ht="31.5" customHeight="1" x14ac:dyDescent="0.25">
      <c r="A1032" s="5" t="s">
        <v>4956</v>
      </c>
      <c r="B1032" s="6" t="s">
        <v>4957</v>
      </c>
      <c r="C1032" s="8" t="s">
        <v>360</v>
      </c>
      <c r="D1032" s="7" t="s">
        <v>2947</v>
      </c>
    </row>
    <row r="1033" spans="1:4" ht="31.5" customHeight="1" x14ac:dyDescent="0.25">
      <c r="A1033" s="5" t="s">
        <v>4958</v>
      </c>
      <c r="B1033" s="6" t="s">
        <v>4959</v>
      </c>
      <c r="C1033" s="8" t="s">
        <v>255</v>
      </c>
      <c r="D1033" s="7" t="s">
        <v>2948</v>
      </c>
    </row>
    <row r="1034" spans="1:4" ht="47.25" customHeight="1" x14ac:dyDescent="0.25">
      <c r="A1034" s="5" t="s">
        <v>4960</v>
      </c>
      <c r="B1034" s="6" t="s">
        <v>4961</v>
      </c>
      <c r="C1034" s="8" t="s">
        <v>4962</v>
      </c>
      <c r="D1034" s="7" t="s">
        <v>2949</v>
      </c>
    </row>
    <row r="1035" spans="1:4" ht="47.25" customHeight="1" x14ac:dyDescent="0.25">
      <c r="A1035" s="5" t="s">
        <v>4963</v>
      </c>
      <c r="B1035" s="6" t="s">
        <v>4964</v>
      </c>
      <c r="C1035" s="8" t="s">
        <v>213</v>
      </c>
      <c r="D1035" s="7" t="s">
        <v>2950</v>
      </c>
    </row>
    <row r="1036" spans="1:4" ht="63" customHeight="1" x14ac:dyDescent="0.25">
      <c r="A1036" s="5" t="s">
        <v>4965</v>
      </c>
      <c r="B1036" s="6" t="s">
        <v>4966</v>
      </c>
      <c r="C1036" s="8" t="s">
        <v>344</v>
      </c>
      <c r="D1036" s="7" t="s">
        <v>2951</v>
      </c>
    </row>
    <row r="1037" spans="1:4" ht="31.5" customHeight="1" x14ac:dyDescent="0.25">
      <c r="A1037" s="5" t="s">
        <v>4967</v>
      </c>
      <c r="B1037" s="6" t="s">
        <v>4968</v>
      </c>
      <c r="C1037" s="8" t="s">
        <v>344</v>
      </c>
      <c r="D1037" s="7" t="s">
        <v>2952</v>
      </c>
    </row>
    <row r="1038" spans="1:4" ht="47.25" customHeight="1" x14ac:dyDescent="0.25">
      <c r="A1038" s="5" t="s">
        <v>4969</v>
      </c>
      <c r="B1038" s="6" t="s">
        <v>4970</v>
      </c>
      <c r="C1038" s="8" t="s">
        <v>3813</v>
      </c>
      <c r="D1038" s="7" t="s">
        <v>2953</v>
      </c>
    </row>
    <row r="1039" spans="1:4" ht="47.25" customHeight="1" x14ac:dyDescent="0.25">
      <c r="A1039" s="5" t="s">
        <v>4971</v>
      </c>
      <c r="B1039" s="6" t="s">
        <v>4972</v>
      </c>
      <c r="C1039" s="8" t="s">
        <v>1487</v>
      </c>
      <c r="D1039" s="7" t="s">
        <v>2954</v>
      </c>
    </row>
    <row r="1040" spans="1:4" ht="47.25" customHeight="1" x14ac:dyDescent="0.25">
      <c r="A1040" s="5" t="s">
        <v>4973</v>
      </c>
      <c r="B1040" s="6" t="s">
        <v>4974</v>
      </c>
      <c r="C1040" s="8" t="s">
        <v>510</v>
      </c>
      <c r="D1040" s="7" t="s">
        <v>2955</v>
      </c>
    </row>
    <row r="1041" spans="1:4" ht="47.25" customHeight="1" x14ac:dyDescent="0.25">
      <c r="A1041" s="5" t="s">
        <v>4975</v>
      </c>
      <c r="B1041" s="6" t="s">
        <v>4976</v>
      </c>
      <c r="C1041" s="8" t="s">
        <v>3382</v>
      </c>
      <c r="D1041" s="7" t="s">
        <v>2956</v>
      </c>
    </row>
    <row r="1042" spans="1:4" ht="47.25" customHeight="1" x14ac:dyDescent="0.25">
      <c r="A1042" s="5" t="s">
        <v>4977</v>
      </c>
      <c r="B1042" s="6" t="s">
        <v>4978</v>
      </c>
      <c r="C1042" s="8" t="s">
        <v>4979</v>
      </c>
      <c r="D1042" s="7" t="s">
        <v>2957</v>
      </c>
    </row>
    <row r="1043" spans="1:4" ht="47.25" customHeight="1" x14ac:dyDescent="0.25">
      <c r="A1043" s="5" t="s">
        <v>4980</v>
      </c>
      <c r="B1043" s="6" t="s">
        <v>4981</v>
      </c>
      <c r="C1043" s="8" t="s">
        <v>4982</v>
      </c>
      <c r="D1043" s="7" t="s">
        <v>2958</v>
      </c>
    </row>
    <row r="1044" spans="1:4" ht="47.25" customHeight="1" x14ac:dyDescent="0.25">
      <c r="A1044" s="5" t="s">
        <v>4983</v>
      </c>
      <c r="B1044" s="6" t="s">
        <v>4984</v>
      </c>
      <c r="C1044" s="8" t="s">
        <v>643</v>
      </c>
      <c r="D1044" s="7" t="s">
        <v>2959</v>
      </c>
    </row>
    <row r="1045" spans="1:4" ht="47.25" customHeight="1" x14ac:dyDescent="0.25">
      <c r="A1045" s="5" t="s">
        <v>4985</v>
      </c>
      <c r="B1045" s="6" t="s">
        <v>4986</v>
      </c>
      <c r="C1045" s="8" t="s">
        <v>4987</v>
      </c>
      <c r="D1045" s="7" t="s">
        <v>2960</v>
      </c>
    </row>
    <row r="1046" spans="1:4" ht="47.25" customHeight="1" x14ac:dyDescent="0.25">
      <c r="A1046" s="5" t="s">
        <v>4988</v>
      </c>
      <c r="B1046" s="6" t="s">
        <v>4989</v>
      </c>
      <c r="C1046" s="8" t="s">
        <v>1411</v>
      </c>
      <c r="D1046" s="7" t="s">
        <v>2961</v>
      </c>
    </row>
    <row r="1047" spans="1:4" ht="47.25" customHeight="1" x14ac:dyDescent="0.25">
      <c r="A1047" s="5" t="s">
        <v>4990</v>
      </c>
      <c r="B1047" s="6" t="s">
        <v>4991</v>
      </c>
      <c r="C1047" s="8" t="s">
        <v>3151</v>
      </c>
      <c r="D1047" s="7" t="s">
        <v>2962</v>
      </c>
    </row>
    <row r="1048" spans="1:4" ht="47.25" customHeight="1" x14ac:dyDescent="0.25">
      <c r="A1048" s="5" t="s">
        <v>4992</v>
      </c>
      <c r="B1048" s="6" t="s">
        <v>4993</v>
      </c>
      <c r="C1048" s="8" t="s">
        <v>4994</v>
      </c>
      <c r="D1048" s="7" t="s">
        <v>2963</v>
      </c>
    </row>
    <row r="1049" spans="1:4" ht="31.5" customHeight="1" x14ac:dyDescent="0.25">
      <c r="A1049" s="5" t="s">
        <v>4995</v>
      </c>
      <c r="B1049" s="6" t="s">
        <v>4996</v>
      </c>
      <c r="C1049" s="8" t="s">
        <v>510</v>
      </c>
      <c r="D1049" s="7" t="s">
        <v>2964</v>
      </c>
    </row>
    <row r="1050" spans="1:4" ht="47.25" customHeight="1" x14ac:dyDescent="0.25">
      <c r="A1050" s="5" t="s">
        <v>4997</v>
      </c>
      <c r="B1050" s="6" t="s">
        <v>4998</v>
      </c>
      <c r="C1050" s="8" t="s">
        <v>4999</v>
      </c>
      <c r="D1050" s="7" t="s">
        <v>2965</v>
      </c>
    </row>
    <row r="1051" spans="1:4" ht="31.5" customHeight="1" x14ac:dyDescent="0.25">
      <c r="A1051" s="5" t="s">
        <v>5000</v>
      </c>
      <c r="B1051" s="6" t="s">
        <v>5001</v>
      </c>
      <c r="C1051" s="8" t="s">
        <v>188</v>
      </c>
      <c r="D1051" s="7" t="s">
        <v>2966</v>
      </c>
    </row>
    <row r="1052" spans="1:4" ht="47.25" customHeight="1" x14ac:dyDescent="0.25">
      <c r="A1052" s="5" t="s">
        <v>5002</v>
      </c>
      <c r="B1052" s="6" t="s">
        <v>5003</v>
      </c>
      <c r="C1052" s="8" t="s">
        <v>1091</v>
      </c>
      <c r="D1052" s="7" t="s">
        <v>2967</v>
      </c>
    </row>
    <row r="1053" spans="1:4" ht="47.25" customHeight="1" x14ac:dyDescent="0.25">
      <c r="A1053" s="5" t="s">
        <v>5004</v>
      </c>
      <c r="B1053" s="6" t="s">
        <v>5005</v>
      </c>
      <c r="C1053" s="8" t="s">
        <v>1574</v>
      </c>
      <c r="D1053" s="7" t="s">
        <v>2968</v>
      </c>
    </row>
    <row r="1054" spans="1:4" ht="31.5" customHeight="1" x14ac:dyDescent="0.25">
      <c r="A1054" s="5" t="s">
        <v>5006</v>
      </c>
      <c r="B1054" s="6" t="s">
        <v>5007</v>
      </c>
      <c r="C1054" s="8" t="s">
        <v>5008</v>
      </c>
      <c r="D1054" s="7" t="s">
        <v>2969</v>
      </c>
    </row>
    <row r="1055" spans="1:4" ht="47.25" customHeight="1" x14ac:dyDescent="0.25">
      <c r="A1055" s="5" t="s">
        <v>5009</v>
      </c>
      <c r="B1055" s="6" t="s">
        <v>5010</v>
      </c>
      <c r="C1055" s="8" t="s">
        <v>1574</v>
      </c>
      <c r="D1055" s="7" t="s">
        <v>2970</v>
      </c>
    </row>
    <row r="1056" spans="1:4" ht="47.25" customHeight="1" x14ac:dyDescent="0.25">
      <c r="A1056" s="5" t="s">
        <v>5011</v>
      </c>
      <c r="B1056" s="6" t="s">
        <v>5012</v>
      </c>
      <c r="C1056" s="8" t="s">
        <v>559</v>
      </c>
      <c r="D1056" s="7" t="s">
        <v>2971</v>
      </c>
    </row>
    <row r="1057" spans="1:4" ht="47.25" customHeight="1" x14ac:dyDescent="0.25">
      <c r="A1057" s="5" t="s">
        <v>5013</v>
      </c>
      <c r="B1057" s="6" t="s">
        <v>5014</v>
      </c>
      <c r="C1057" s="8" t="s">
        <v>4088</v>
      </c>
      <c r="D1057" s="7" t="s">
        <v>2972</v>
      </c>
    </row>
    <row r="1058" spans="1:4" ht="47.25" customHeight="1" x14ac:dyDescent="0.25">
      <c r="A1058" s="5" t="s">
        <v>5015</v>
      </c>
      <c r="B1058" s="6" t="s">
        <v>5016</v>
      </c>
      <c r="C1058" s="8" t="s">
        <v>1682</v>
      </c>
      <c r="D1058" s="7" t="s">
        <v>2973</v>
      </c>
    </row>
    <row r="1059" spans="1:4" ht="47.25" customHeight="1" x14ac:dyDescent="0.25">
      <c r="A1059" s="5" t="s">
        <v>5017</v>
      </c>
      <c r="B1059" s="6" t="s">
        <v>5018</v>
      </c>
      <c r="C1059" s="8" t="s">
        <v>922</v>
      </c>
      <c r="D1059" s="7" t="s">
        <v>2974</v>
      </c>
    </row>
    <row r="1060" spans="1:4" ht="31.5" customHeight="1" x14ac:dyDescent="0.25">
      <c r="A1060" s="5" t="s">
        <v>5019</v>
      </c>
      <c r="B1060" s="6" t="s">
        <v>5020</v>
      </c>
      <c r="C1060" s="8" t="s">
        <v>3602</v>
      </c>
      <c r="D1060" s="7" t="s">
        <v>2975</v>
      </c>
    </row>
    <row r="1061" spans="1:4" ht="47.25" customHeight="1" x14ac:dyDescent="0.25">
      <c r="A1061" s="5" t="s">
        <v>5021</v>
      </c>
      <c r="B1061" s="6" t="s">
        <v>5022</v>
      </c>
      <c r="C1061" s="8" t="s">
        <v>909</v>
      </c>
      <c r="D1061" s="7" t="s">
        <v>2976</v>
      </c>
    </row>
    <row r="1062" spans="1:4" ht="47.25" customHeight="1" x14ac:dyDescent="0.25">
      <c r="A1062" s="5" t="s">
        <v>5023</v>
      </c>
      <c r="B1062" s="6" t="s">
        <v>5024</v>
      </c>
      <c r="C1062" s="8" t="s">
        <v>5025</v>
      </c>
      <c r="D1062" s="7" t="s">
        <v>2977</v>
      </c>
    </row>
    <row r="1063" spans="1:4" ht="31.5" customHeight="1" x14ac:dyDescent="0.25">
      <c r="A1063" s="5" t="s">
        <v>5026</v>
      </c>
      <c r="B1063" s="6" t="s">
        <v>5027</v>
      </c>
      <c r="C1063" s="8" t="s">
        <v>619</v>
      </c>
      <c r="D1063" s="7" t="s">
        <v>2978</v>
      </c>
    </row>
    <row r="1064" spans="1:4" ht="47.25" customHeight="1" x14ac:dyDescent="0.25">
      <c r="A1064" s="5" t="s">
        <v>5028</v>
      </c>
      <c r="B1064" s="6" t="s">
        <v>5029</v>
      </c>
      <c r="C1064" s="8" t="s">
        <v>1466</v>
      </c>
      <c r="D1064" s="7" t="s">
        <v>2979</v>
      </c>
    </row>
    <row r="1065" spans="1:4" ht="78.75" customHeight="1" x14ac:dyDescent="0.25">
      <c r="A1065" s="5" t="s">
        <v>5030</v>
      </c>
      <c r="B1065" s="6" t="s">
        <v>5031</v>
      </c>
      <c r="C1065" s="8" t="s">
        <v>909</v>
      </c>
      <c r="D1065" s="7" t="s">
        <v>2980</v>
      </c>
    </row>
    <row r="1066" spans="1:4" ht="47.25" customHeight="1" x14ac:dyDescent="0.25">
      <c r="A1066" s="5" t="s">
        <v>5032</v>
      </c>
      <c r="B1066" s="6" t="s">
        <v>5033</v>
      </c>
      <c r="C1066" s="8" t="s">
        <v>4352</v>
      </c>
      <c r="D1066" s="7" t="s">
        <v>2981</v>
      </c>
    </row>
    <row r="1067" spans="1:4" ht="47.25" customHeight="1" x14ac:dyDescent="0.25">
      <c r="A1067" s="5" t="s">
        <v>5034</v>
      </c>
      <c r="B1067" s="6" t="s">
        <v>5035</v>
      </c>
      <c r="C1067" s="8" t="s">
        <v>4841</v>
      </c>
      <c r="D1067" s="7" t="s">
        <v>2982</v>
      </c>
    </row>
    <row r="1068" spans="1:4" ht="47.25" customHeight="1" x14ac:dyDescent="0.25">
      <c r="A1068" s="5" t="s">
        <v>5036</v>
      </c>
      <c r="B1068" s="6" t="s">
        <v>5037</v>
      </c>
      <c r="C1068" s="8" t="s">
        <v>365</v>
      </c>
      <c r="D1068" s="7" t="s">
        <v>2983</v>
      </c>
    </row>
    <row r="1069" spans="1:4" ht="31.5" customHeight="1" x14ac:dyDescent="0.25">
      <c r="A1069" s="5" t="s">
        <v>5038</v>
      </c>
      <c r="B1069" s="6" t="s">
        <v>5039</v>
      </c>
      <c r="C1069" s="8" t="s">
        <v>999</v>
      </c>
      <c r="D1069" s="7" t="s">
        <v>2984</v>
      </c>
    </row>
    <row r="1070" spans="1:4" ht="63" customHeight="1" x14ac:dyDescent="0.25">
      <c r="A1070" s="5" t="s">
        <v>5040</v>
      </c>
      <c r="B1070" s="6" t="s">
        <v>5041</v>
      </c>
      <c r="C1070" s="8" t="s">
        <v>5042</v>
      </c>
      <c r="D1070" s="7" t="s">
        <v>2985</v>
      </c>
    </row>
    <row r="1071" spans="1:4" ht="31.5" customHeight="1" x14ac:dyDescent="0.25">
      <c r="A1071" s="5" t="s">
        <v>5043</v>
      </c>
      <c r="B1071" s="6" t="s">
        <v>5044</v>
      </c>
      <c r="C1071" s="8" t="s">
        <v>4342</v>
      </c>
      <c r="D1071" s="7" t="s">
        <v>2986</v>
      </c>
    </row>
    <row r="1072" spans="1:4" ht="63" customHeight="1" x14ac:dyDescent="0.25">
      <c r="A1072" s="5" t="s">
        <v>5045</v>
      </c>
      <c r="B1072" s="6" t="s">
        <v>5046</v>
      </c>
      <c r="C1072" s="8" t="s">
        <v>5047</v>
      </c>
      <c r="D1072" s="7" t="s">
        <v>2987</v>
      </c>
    </row>
    <row r="1073" spans="1:4" ht="63" customHeight="1" x14ac:dyDescent="0.25">
      <c r="A1073" s="5" t="s">
        <v>5048</v>
      </c>
      <c r="B1073" s="6" t="s">
        <v>5049</v>
      </c>
      <c r="C1073" s="8" t="s">
        <v>62</v>
      </c>
      <c r="D1073" s="7" t="s">
        <v>2988</v>
      </c>
    </row>
    <row r="1074" spans="1:4" ht="31.5" customHeight="1" x14ac:dyDescent="0.25">
      <c r="A1074" s="5" t="s">
        <v>5050</v>
      </c>
      <c r="B1074" s="6" t="s">
        <v>5051</v>
      </c>
      <c r="C1074" s="8" t="s">
        <v>4022</v>
      </c>
      <c r="D1074" s="7" t="s">
        <v>2989</v>
      </c>
    </row>
    <row r="1075" spans="1:4" ht="31.5" customHeight="1" x14ac:dyDescent="0.25">
      <c r="A1075" s="5" t="s">
        <v>5052</v>
      </c>
      <c r="B1075" s="6" t="s">
        <v>5053</v>
      </c>
      <c r="C1075" s="8" t="s">
        <v>62</v>
      </c>
      <c r="D1075" s="7" t="s">
        <v>2990</v>
      </c>
    </row>
    <row r="1076" spans="1:4" ht="31.5" customHeight="1" x14ac:dyDescent="0.25">
      <c r="A1076" s="5" t="s">
        <v>5054</v>
      </c>
      <c r="B1076" s="6" t="s">
        <v>5055</v>
      </c>
      <c r="C1076" s="8" t="s">
        <v>3177</v>
      </c>
      <c r="D1076" s="7" t="s">
        <v>2991</v>
      </c>
    </row>
    <row r="1077" spans="1:4" ht="47.25" customHeight="1" x14ac:dyDescent="0.25">
      <c r="A1077" s="5" t="s">
        <v>5056</v>
      </c>
      <c r="B1077" s="6" t="s">
        <v>5057</v>
      </c>
      <c r="C1077" s="8" t="s">
        <v>288</v>
      </c>
      <c r="D1077" s="7" t="s">
        <v>2992</v>
      </c>
    </row>
    <row r="1078" spans="1:4" ht="94.5" customHeight="1" x14ac:dyDescent="0.25">
      <c r="A1078" s="5" t="s">
        <v>5058</v>
      </c>
      <c r="B1078" s="6" t="s">
        <v>5059</v>
      </c>
      <c r="C1078" s="8" t="s">
        <v>344</v>
      </c>
      <c r="D1078" s="7" t="s">
        <v>2993</v>
      </c>
    </row>
    <row r="1079" spans="1:4" ht="31.5" customHeight="1" x14ac:dyDescent="0.25">
      <c r="A1079" s="5" t="s">
        <v>5060</v>
      </c>
      <c r="B1079" s="6" t="s">
        <v>5061</v>
      </c>
      <c r="C1079" s="8" t="s">
        <v>853</v>
      </c>
      <c r="D1079" s="7" t="s">
        <v>2994</v>
      </c>
    </row>
    <row r="1080" spans="1:4" ht="31.5" customHeight="1" x14ac:dyDescent="0.25">
      <c r="A1080" s="5" t="s">
        <v>5062</v>
      </c>
      <c r="B1080" s="6" t="s">
        <v>5063</v>
      </c>
      <c r="C1080" s="8" t="s">
        <v>1569</v>
      </c>
      <c r="D1080" s="7" t="s">
        <v>2995</v>
      </c>
    </row>
    <row r="1081" spans="1:4" ht="31.5" customHeight="1" x14ac:dyDescent="0.25">
      <c r="A1081" s="5" t="s">
        <v>5064</v>
      </c>
      <c r="B1081" s="6" t="s">
        <v>5065</v>
      </c>
      <c r="C1081" s="8" t="s">
        <v>4465</v>
      </c>
      <c r="D1081" s="7" t="s">
        <v>2996</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 width="9.140625" style="1" customWidth="1"/>
    <col min="17"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57" t="s">
        <v>5066</v>
      </c>
      <c r="C1" s="255"/>
      <c r="D1" s="255"/>
      <c r="E1" s="255"/>
      <c r="F1" s="255"/>
      <c r="G1" s="255"/>
      <c r="H1" s="255"/>
      <c r="I1" s="255"/>
      <c r="J1" s="255"/>
      <c r="K1" s="255"/>
      <c r="L1" s="255"/>
      <c r="M1" s="255"/>
      <c r="N1" s="256"/>
    </row>
    <row r="2" spans="2:14" ht="20.100000000000001" customHeight="1" x14ac:dyDescent="0.25">
      <c r="B2" s="258" t="s">
        <v>5067</v>
      </c>
      <c r="C2" s="255"/>
      <c r="D2" s="255"/>
      <c r="E2" s="255"/>
      <c r="F2" s="255"/>
      <c r="G2" s="255"/>
      <c r="H2" s="255"/>
      <c r="I2" s="255"/>
      <c r="J2" s="256"/>
    </row>
    <row r="3" spans="2:14" ht="14.1" customHeight="1" x14ac:dyDescent="0.25">
      <c r="B3" s="254" t="s">
        <v>5068</v>
      </c>
      <c r="C3" s="255"/>
      <c r="D3" s="255"/>
      <c r="E3" s="255"/>
      <c r="F3" s="255"/>
      <c r="G3" s="255"/>
      <c r="H3" s="255"/>
      <c r="I3" s="255"/>
      <c r="J3" s="256"/>
    </row>
    <row r="4" spans="2:14" ht="21.95" customHeight="1" x14ac:dyDescent="0.25">
      <c r="B4" s="107" t="s">
        <v>5069</v>
      </c>
      <c r="C4" s="108" t="s">
        <v>63</v>
      </c>
      <c r="D4" s="109" t="s">
        <v>87</v>
      </c>
      <c r="E4" s="110" t="s">
        <v>192</v>
      </c>
      <c r="F4" s="111" t="s">
        <v>204</v>
      </c>
      <c r="G4" s="112" t="s">
        <v>158</v>
      </c>
      <c r="H4" s="113" t="s">
        <v>139</v>
      </c>
      <c r="I4" s="114" t="s">
        <v>386</v>
      </c>
      <c r="K4" s="115" t="s">
        <v>4</v>
      </c>
    </row>
    <row r="5" spans="2:14" ht="20.100000000000001" customHeight="1" x14ac:dyDescent="0.25">
      <c r="B5" s="116" t="s">
        <v>87</v>
      </c>
      <c r="C5" s="117">
        <v>48</v>
      </c>
      <c r="D5" s="118">
        <v>1</v>
      </c>
      <c r="E5" s="119">
        <v>7</v>
      </c>
      <c r="F5" s="120"/>
      <c r="G5" s="120"/>
      <c r="H5" s="120"/>
      <c r="I5" s="121">
        <v>3</v>
      </c>
      <c r="K5" s="122">
        <v>59</v>
      </c>
    </row>
    <row r="6" spans="2:14" ht="20.100000000000001" customHeight="1" x14ac:dyDescent="0.25">
      <c r="B6" s="123" t="s">
        <v>192</v>
      </c>
      <c r="C6" s="117">
        <v>3</v>
      </c>
      <c r="D6" s="118">
        <v>5</v>
      </c>
      <c r="E6" s="120"/>
      <c r="F6" s="120"/>
      <c r="G6" s="120"/>
      <c r="H6" s="120"/>
      <c r="I6" s="120"/>
      <c r="K6" s="122">
        <v>8</v>
      </c>
    </row>
    <row r="7" spans="2:14" ht="20.100000000000001" customHeight="1" x14ac:dyDescent="0.25">
      <c r="B7" s="124" t="s">
        <v>204</v>
      </c>
      <c r="C7" s="120"/>
      <c r="D7" s="120"/>
      <c r="E7" s="119">
        <v>1</v>
      </c>
      <c r="F7" s="120"/>
      <c r="G7" s="120"/>
      <c r="H7" s="120"/>
      <c r="I7" s="120"/>
      <c r="K7" s="122">
        <v>1</v>
      </c>
    </row>
    <row r="8" spans="2:14" ht="20.100000000000001" customHeight="1" x14ac:dyDescent="0.25">
      <c r="B8" s="125" t="s">
        <v>158</v>
      </c>
      <c r="C8" s="117">
        <v>1</v>
      </c>
      <c r="D8" s="120"/>
      <c r="E8" s="120"/>
      <c r="F8" s="120"/>
      <c r="G8" s="120"/>
      <c r="H8" s="120"/>
      <c r="I8" s="120"/>
      <c r="K8" s="122">
        <v>1</v>
      </c>
    </row>
    <row r="9" spans="2:14" ht="21.95" customHeight="1" x14ac:dyDescent="0.25">
      <c r="B9" s="126" t="s">
        <v>4</v>
      </c>
      <c r="C9" s="106">
        <v>52</v>
      </c>
      <c r="D9" s="106">
        <v>6</v>
      </c>
      <c r="E9" s="106">
        <v>8</v>
      </c>
      <c r="F9" s="106"/>
      <c r="G9" s="106"/>
      <c r="H9" s="106"/>
      <c r="I9" s="106">
        <v>3</v>
      </c>
      <c r="K9" s="127">
        <v>69</v>
      </c>
    </row>
    <row r="12" spans="2:14" ht="20.100000000000001" customHeight="1" x14ac:dyDescent="0.25">
      <c r="B12" s="258" t="s">
        <v>5070</v>
      </c>
      <c r="C12" s="255"/>
      <c r="D12" s="255"/>
      <c r="E12" s="255"/>
      <c r="F12" s="255"/>
      <c r="G12" s="255"/>
      <c r="H12" s="255"/>
      <c r="I12" s="255"/>
      <c r="J12" s="255"/>
      <c r="K12" s="255"/>
      <c r="L12" s="255"/>
      <c r="M12" s="256"/>
    </row>
    <row r="13" spans="2:14" ht="14.1" customHeight="1" x14ac:dyDescent="0.25">
      <c r="B13" s="254" t="s">
        <v>5071</v>
      </c>
      <c r="C13" s="255"/>
      <c r="D13" s="255"/>
      <c r="E13" s="255"/>
      <c r="F13" s="255"/>
      <c r="G13" s="255"/>
      <c r="H13" s="255"/>
      <c r="I13" s="255"/>
      <c r="J13" s="255"/>
      <c r="K13" s="255"/>
      <c r="L13" s="255"/>
      <c r="M13" s="256"/>
    </row>
    <row r="14" spans="2:14" ht="20.100000000000001" customHeight="1" x14ac:dyDescent="0.25">
      <c r="B14" s="128" t="s">
        <v>5072</v>
      </c>
      <c r="C14" s="128" t="s">
        <v>5073</v>
      </c>
      <c r="D14" s="128" t="s">
        <v>44</v>
      </c>
      <c r="E14" s="128" t="s">
        <v>40</v>
      </c>
      <c r="F14" s="128" t="s">
        <v>5074</v>
      </c>
      <c r="G14" s="128" t="s">
        <v>5075</v>
      </c>
      <c r="H14" s="128" t="s">
        <v>5076</v>
      </c>
      <c r="I14" s="128" t="s">
        <v>5075</v>
      </c>
      <c r="J14" s="128" t="s">
        <v>5077</v>
      </c>
      <c r="K14" s="128" t="s">
        <v>5075</v>
      </c>
      <c r="L14" s="128" t="s">
        <v>5078</v>
      </c>
      <c r="M14" s="128" t="s">
        <v>5079</v>
      </c>
    </row>
    <row r="15" spans="2:14" ht="15" customHeight="1" x14ac:dyDescent="0.25">
      <c r="B15" s="129">
        <v>1</v>
      </c>
      <c r="C15" s="130" t="s">
        <v>80</v>
      </c>
      <c r="D15" s="131" t="s">
        <v>36</v>
      </c>
      <c r="E15" s="132" t="s">
        <v>81</v>
      </c>
      <c r="F15" s="109" t="s">
        <v>87</v>
      </c>
      <c r="G15" s="133" t="s">
        <v>5075</v>
      </c>
      <c r="H15" s="108" t="s">
        <v>63</v>
      </c>
      <c r="I15" s="133"/>
      <c r="J15" s="134"/>
      <c r="K15" s="133"/>
      <c r="L15" s="134"/>
      <c r="M15" s="129" t="s">
        <v>5080</v>
      </c>
    </row>
    <row r="16" spans="2:14" ht="15" customHeight="1" x14ac:dyDescent="0.25">
      <c r="B16" s="135">
        <v>2</v>
      </c>
      <c r="C16" s="136" t="s">
        <v>89</v>
      </c>
      <c r="D16" s="137" t="s">
        <v>36</v>
      </c>
      <c r="E16" s="138" t="s">
        <v>90</v>
      </c>
      <c r="F16" s="109" t="s">
        <v>87</v>
      </c>
      <c r="G16" s="139" t="s">
        <v>5075</v>
      </c>
      <c r="H16" s="108" t="s">
        <v>63</v>
      </c>
      <c r="I16" s="139"/>
      <c r="J16" s="140"/>
      <c r="K16" s="139"/>
      <c r="L16" s="140"/>
      <c r="M16" s="135" t="s">
        <v>5080</v>
      </c>
    </row>
    <row r="17" spans="2:13" ht="15" customHeight="1" x14ac:dyDescent="0.25">
      <c r="B17" s="129">
        <v>3</v>
      </c>
      <c r="C17" s="130" t="s">
        <v>123</v>
      </c>
      <c r="D17" s="131" t="s">
        <v>36</v>
      </c>
      <c r="E17" s="132" t="s">
        <v>124</v>
      </c>
      <c r="F17" s="109" t="s">
        <v>87</v>
      </c>
      <c r="G17" s="133" t="s">
        <v>5075</v>
      </c>
      <c r="H17" s="108" t="s">
        <v>63</v>
      </c>
      <c r="I17" s="133"/>
      <c r="J17" s="134"/>
      <c r="K17" s="133"/>
      <c r="L17" s="134"/>
      <c r="M17" s="129" t="s">
        <v>5080</v>
      </c>
    </row>
    <row r="18" spans="2:13" ht="15" customHeight="1" x14ac:dyDescent="0.25">
      <c r="B18" s="135">
        <v>4</v>
      </c>
      <c r="C18" s="136" t="s">
        <v>141</v>
      </c>
      <c r="D18" s="137" t="s">
        <v>35</v>
      </c>
      <c r="E18" s="138" t="s">
        <v>142</v>
      </c>
      <c r="F18" s="109" t="s">
        <v>87</v>
      </c>
      <c r="G18" s="139" t="s">
        <v>5075</v>
      </c>
      <c r="H18" s="108" t="s">
        <v>63</v>
      </c>
      <c r="I18" s="139"/>
      <c r="J18" s="140"/>
      <c r="K18" s="139"/>
      <c r="L18" s="140"/>
      <c r="M18" s="135" t="s">
        <v>5080</v>
      </c>
    </row>
    <row r="19" spans="2:13" ht="15" customHeight="1" x14ac:dyDescent="0.25">
      <c r="B19" s="129">
        <v>5</v>
      </c>
      <c r="C19" s="130" t="s">
        <v>165</v>
      </c>
      <c r="D19" s="131" t="s">
        <v>34</v>
      </c>
      <c r="E19" s="132" t="s">
        <v>166</v>
      </c>
      <c r="F19" s="109" t="s">
        <v>87</v>
      </c>
      <c r="G19" s="133" t="s">
        <v>5075</v>
      </c>
      <c r="H19" s="108" t="s">
        <v>63</v>
      </c>
      <c r="I19" s="133"/>
      <c r="J19" s="134"/>
      <c r="K19" s="133"/>
      <c r="L19" s="134"/>
      <c r="M19" s="129" t="s">
        <v>5080</v>
      </c>
    </row>
    <row r="20" spans="2:13" ht="15" customHeight="1" x14ac:dyDescent="0.25">
      <c r="B20" s="135">
        <v>6</v>
      </c>
      <c r="C20" s="136" t="s">
        <v>187</v>
      </c>
      <c r="D20" s="137" t="s">
        <v>36</v>
      </c>
      <c r="E20" s="138" t="s">
        <v>188</v>
      </c>
      <c r="F20" s="109" t="s">
        <v>87</v>
      </c>
      <c r="G20" s="139" t="s">
        <v>5075</v>
      </c>
      <c r="H20" s="110" t="s">
        <v>192</v>
      </c>
      <c r="I20" s="139" t="s">
        <v>5075</v>
      </c>
      <c r="J20" s="108" t="s">
        <v>63</v>
      </c>
      <c r="K20" s="139"/>
      <c r="L20" s="140"/>
      <c r="M20" s="135" t="s">
        <v>5081</v>
      </c>
    </row>
    <row r="21" spans="2:13" ht="15" customHeight="1" x14ac:dyDescent="0.25">
      <c r="B21" s="129">
        <v>7</v>
      </c>
      <c r="C21" s="130" t="s">
        <v>194</v>
      </c>
      <c r="D21" s="131" t="s">
        <v>34</v>
      </c>
      <c r="E21" s="132" t="s">
        <v>195</v>
      </c>
      <c r="F21" s="109" t="s">
        <v>87</v>
      </c>
      <c r="G21" s="133" t="s">
        <v>5075</v>
      </c>
      <c r="H21" s="108" t="s">
        <v>63</v>
      </c>
      <c r="I21" s="133"/>
      <c r="J21" s="134"/>
      <c r="K21" s="133"/>
      <c r="L21" s="134"/>
      <c r="M21" s="129" t="s">
        <v>5080</v>
      </c>
    </row>
    <row r="22" spans="2:13" ht="15" customHeight="1" x14ac:dyDescent="0.25">
      <c r="B22" s="135">
        <v>8</v>
      </c>
      <c r="C22" s="136" t="s">
        <v>199</v>
      </c>
      <c r="D22" s="137" t="s">
        <v>33</v>
      </c>
      <c r="E22" s="138" t="s">
        <v>200</v>
      </c>
      <c r="F22" s="111" t="s">
        <v>204</v>
      </c>
      <c r="G22" s="139" t="s">
        <v>5075</v>
      </c>
      <c r="H22" s="110" t="s">
        <v>192</v>
      </c>
      <c r="I22" s="139"/>
      <c r="J22" s="140"/>
      <c r="K22" s="139"/>
      <c r="L22" s="140"/>
      <c r="M22" s="135" t="s">
        <v>5080</v>
      </c>
    </row>
    <row r="23" spans="2:13" ht="15" customHeight="1" x14ac:dyDescent="0.25">
      <c r="B23" s="129">
        <v>9</v>
      </c>
      <c r="C23" s="130" t="s">
        <v>206</v>
      </c>
      <c r="D23" s="131" t="s">
        <v>33</v>
      </c>
      <c r="E23" s="132" t="s">
        <v>207</v>
      </c>
      <c r="F23" s="109" t="s">
        <v>87</v>
      </c>
      <c r="G23" s="133" t="s">
        <v>5075</v>
      </c>
      <c r="H23" s="110" t="s">
        <v>192</v>
      </c>
      <c r="I23" s="133" t="s">
        <v>5075</v>
      </c>
      <c r="J23" s="108" t="s">
        <v>63</v>
      </c>
      <c r="K23" s="133"/>
      <c r="L23" s="134"/>
      <c r="M23" s="129" t="s">
        <v>5081</v>
      </c>
    </row>
    <row r="24" spans="2:13" ht="15" customHeight="1" x14ac:dyDescent="0.25">
      <c r="B24" s="135">
        <v>10</v>
      </c>
      <c r="C24" s="136" t="s">
        <v>238</v>
      </c>
      <c r="D24" s="137" t="s">
        <v>33</v>
      </c>
      <c r="E24" s="138" t="s">
        <v>154</v>
      </c>
      <c r="F24" s="109" t="s">
        <v>87</v>
      </c>
      <c r="G24" s="139" t="s">
        <v>5075</v>
      </c>
      <c r="H24" s="108" t="s">
        <v>63</v>
      </c>
      <c r="I24" s="139"/>
      <c r="J24" s="140"/>
      <c r="K24" s="139"/>
      <c r="L24" s="140"/>
      <c r="M24" s="135" t="s">
        <v>5080</v>
      </c>
    </row>
    <row r="25" spans="2:13" ht="15" customHeight="1" x14ac:dyDescent="0.25">
      <c r="B25" s="129">
        <v>11</v>
      </c>
      <c r="C25" s="130" t="s">
        <v>275</v>
      </c>
      <c r="D25" s="131" t="s">
        <v>33</v>
      </c>
      <c r="E25" s="132" t="s">
        <v>276</v>
      </c>
      <c r="F25" s="109" t="s">
        <v>87</v>
      </c>
      <c r="G25" s="133" t="s">
        <v>5075</v>
      </c>
      <c r="H25" s="110" t="s">
        <v>192</v>
      </c>
      <c r="I25" s="133" t="s">
        <v>5075</v>
      </c>
      <c r="J25" s="108" t="s">
        <v>63</v>
      </c>
      <c r="K25" s="133"/>
      <c r="L25" s="134"/>
      <c r="M25" s="129" t="s">
        <v>5081</v>
      </c>
    </row>
    <row r="26" spans="2:13" ht="15" customHeight="1" x14ac:dyDescent="0.25">
      <c r="B26" s="135">
        <v>12</v>
      </c>
      <c r="C26" s="136" t="s">
        <v>281</v>
      </c>
      <c r="D26" s="137" t="s">
        <v>33</v>
      </c>
      <c r="E26" s="138" t="s">
        <v>282</v>
      </c>
      <c r="F26" s="112" t="s">
        <v>158</v>
      </c>
      <c r="G26" s="139" t="s">
        <v>5075</v>
      </c>
      <c r="H26" s="108" t="s">
        <v>63</v>
      </c>
      <c r="I26" s="139"/>
      <c r="J26" s="140"/>
      <c r="K26" s="139"/>
      <c r="L26" s="140"/>
      <c r="M26" s="135" t="s">
        <v>5080</v>
      </c>
    </row>
    <row r="27" spans="2:13" ht="15" customHeight="1" x14ac:dyDescent="0.25">
      <c r="B27" s="129">
        <v>13</v>
      </c>
      <c r="C27" s="130" t="s">
        <v>297</v>
      </c>
      <c r="D27" s="131" t="s">
        <v>33</v>
      </c>
      <c r="E27" s="132" t="s">
        <v>293</v>
      </c>
      <c r="F27" s="109" t="s">
        <v>87</v>
      </c>
      <c r="G27" s="133" t="s">
        <v>5075</v>
      </c>
      <c r="H27" s="110" t="s">
        <v>192</v>
      </c>
      <c r="I27" s="133" t="s">
        <v>5075</v>
      </c>
      <c r="J27" s="108" t="s">
        <v>63</v>
      </c>
      <c r="K27" s="133"/>
      <c r="L27" s="134"/>
      <c r="M27" s="129" t="s">
        <v>5081</v>
      </c>
    </row>
    <row r="28" spans="2:13" ht="15" customHeight="1" x14ac:dyDescent="0.25">
      <c r="B28" s="135">
        <v>14</v>
      </c>
      <c r="C28" s="136" t="s">
        <v>320</v>
      </c>
      <c r="D28" s="137" t="s">
        <v>33</v>
      </c>
      <c r="E28" s="138" t="s">
        <v>321</v>
      </c>
      <c r="F28" s="109" t="s">
        <v>87</v>
      </c>
      <c r="G28" s="139" t="s">
        <v>5075</v>
      </c>
      <c r="H28" s="108" t="s">
        <v>63</v>
      </c>
      <c r="I28" s="139"/>
      <c r="J28" s="140"/>
      <c r="K28" s="139"/>
      <c r="L28" s="140"/>
      <c r="M28" s="135" t="s">
        <v>5080</v>
      </c>
    </row>
    <row r="29" spans="2:13" ht="15" customHeight="1" x14ac:dyDescent="0.25">
      <c r="B29" s="129">
        <v>15</v>
      </c>
      <c r="C29" s="130" t="s">
        <v>325</v>
      </c>
      <c r="D29" s="131" t="s">
        <v>33</v>
      </c>
      <c r="E29" s="132" t="s">
        <v>326</v>
      </c>
      <c r="F29" s="109" t="s">
        <v>87</v>
      </c>
      <c r="G29" s="133" t="s">
        <v>5075</v>
      </c>
      <c r="H29" s="110" t="s">
        <v>192</v>
      </c>
      <c r="I29" s="133" t="s">
        <v>5075</v>
      </c>
      <c r="J29" s="108" t="s">
        <v>63</v>
      </c>
      <c r="K29" s="133"/>
      <c r="L29" s="134"/>
      <c r="M29" s="129" t="s">
        <v>5081</v>
      </c>
    </row>
    <row r="30" spans="2:13" ht="15" customHeight="1" x14ac:dyDescent="0.25">
      <c r="B30" s="135">
        <v>16</v>
      </c>
      <c r="C30" s="136" t="s">
        <v>337</v>
      </c>
      <c r="D30" s="137" t="s">
        <v>33</v>
      </c>
      <c r="E30" s="138" t="s">
        <v>338</v>
      </c>
      <c r="F30" s="109" t="s">
        <v>87</v>
      </c>
      <c r="G30" s="139" t="s">
        <v>5075</v>
      </c>
      <c r="H30" s="108" t="s">
        <v>63</v>
      </c>
      <c r="I30" s="139"/>
      <c r="J30" s="140"/>
      <c r="K30" s="139"/>
      <c r="L30" s="140"/>
      <c r="M30" s="135" t="s">
        <v>5080</v>
      </c>
    </row>
    <row r="31" spans="2:13" ht="15" customHeight="1" x14ac:dyDescent="0.25">
      <c r="B31" s="129">
        <v>17</v>
      </c>
      <c r="C31" s="130" t="s">
        <v>343</v>
      </c>
      <c r="D31" s="131" t="s">
        <v>34</v>
      </c>
      <c r="E31" s="132" t="s">
        <v>344</v>
      </c>
      <c r="F31" s="109" t="s">
        <v>87</v>
      </c>
      <c r="G31" s="133" t="s">
        <v>5075</v>
      </c>
      <c r="H31" s="108" t="s">
        <v>63</v>
      </c>
      <c r="I31" s="133"/>
      <c r="J31" s="134"/>
      <c r="K31" s="133"/>
      <c r="L31" s="134"/>
      <c r="M31" s="129" t="s">
        <v>5080</v>
      </c>
    </row>
    <row r="32" spans="2:13" ht="15" customHeight="1" x14ac:dyDescent="0.25">
      <c r="B32" s="135">
        <v>18</v>
      </c>
      <c r="C32" s="136" t="s">
        <v>369</v>
      </c>
      <c r="D32" s="137" t="s">
        <v>33</v>
      </c>
      <c r="E32" s="138" t="s">
        <v>370</v>
      </c>
      <c r="F32" s="109" t="s">
        <v>87</v>
      </c>
      <c r="G32" s="139" t="s">
        <v>5075</v>
      </c>
      <c r="H32" s="108" t="s">
        <v>63</v>
      </c>
      <c r="I32" s="139"/>
      <c r="J32" s="140"/>
      <c r="K32" s="139"/>
      <c r="L32" s="140"/>
      <c r="M32" s="135" t="s">
        <v>5080</v>
      </c>
    </row>
    <row r="33" spans="2:13" ht="15" customHeight="1" x14ac:dyDescent="0.25">
      <c r="B33" s="129">
        <v>19</v>
      </c>
      <c r="C33" s="130" t="s">
        <v>375</v>
      </c>
      <c r="D33" s="131" t="s">
        <v>33</v>
      </c>
      <c r="E33" s="132" t="s">
        <v>376</v>
      </c>
      <c r="F33" s="109" t="s">
        <v>87</v>
      </c>
      <c r="G33" s="133" t="s">
        <v>5075</v>
      </c>
      <c r="H33" s="108" t="s">
        <v>63</v>
      </c>
      <c r="I33" s="133"/>
      <c r="J33" s="134"/>
      <c r="K33" s="133"/>
      <c r="L33" s="134"/>
      <c r="M33" s="129" t="s">
        <v>5080</v>
      </c>
    </row>
    <row r="34" spans="2:13" ht="15" customHeight="1" x14ac:dyDescent="0.25">
      <c r="B34" s="135">
        <v>20</v>
      </c>
      <c r="C34" s="136" t="s">
        <v>381</v>
      </c>
      <c r="D34" s="137" t="s">
        <v>36</v>
      </c>
      <c r="E34" s="138" t="s">
        <v>382</v>
      </c>
      <c r="F34" s="109" t="s">
        <v>87</v>
      </c>
      <c r="G34" s="139" t="s">
        <v>5075</v>
      </c>
      <c r="H34" s="114" t="s">
        <v>386</v>
      </c>
      <c r="I34" s="139"/>
      <c r="J34" s="140"/>
      <c r="K34" s="139"/>
      <c r="L34" s="140"/>
      <c r="M34" s="135" t="s">
        <v>5080</v>
      </c>
    </row>
    <row r="35" spans="2:13" ht="15" customHeight="1" x14ac:dyDescent="0.25">
      <c r="B35" s="129">
        <v>21</v>
      </c>
      <c r="C35" s="130" t="s">
        <v>388</v>
      </c>
      <c r="D35" s="131" t="s">
        <v>33</v>
      </c>
      <c r="E35" s="132" t="s">
        <v>389</v>
      </c>
      <c r="F35" s="109" t="s">
        <v>87</v>
      </c>
      <c r="G35" s="133" t="s">
        <v>5075</v>
      </c>
      <c r="H35" s="114" t="s">
        <v>386</v>
      </c>
      <c r="I35" s="133"/>
      <c r="J35" s="134"/>
      <c r="K35" s="133"/>
      <c r="L35" s="134"/>
      <c r="M35" s="129" t="s">
        <v>5080</v>
      </c>
    </row>
    <row r="36" spans="2:13" ht="15" customHeight="1" x14ac:dyDescent="0.25">
      <c r="B36" s="135">
        <v>22</v>
      </c>
      <c r="C36" s="136" t="s">
        <v>394</v>
      </c>
      <c r="D36" s="137" t="s">
        <v>35</v>
      </c>
      <c r="E36" s="138" t="s">
        <v>365</v>
      </c>
      <c r="F36" s="109" t="s">
        <v>87</v>
      </c>
      <c r="G36" s="139" t="s">
        <v>5075</v>
      </c>
      <c r="H36" s="108" t="s">
        <v>63</v>
      </c>
      <c r="I36" s="139"/>
      <c r="J36" s="140"/>
      <c r="K36" s="139"/>
      <c r="L36" s="140"/>
      <c r="M36" s="135" t="s">
        <v>5080</v>
      </c>
    </row>
    <row r="37" spans="2:13" ht="15" customHeight="1" x14ac:dyDescent="0.25">
      <c r="B37" s="129">
        <v>23</v>
      </c>
      <c r="C37" s="130" t="s">
        <v>398</v>
      </c>
      <c r="D37" s="131" t="s">
        <v>33</v>
      </c>
      <c r="E37" s="132" t="s">
        <v>399</v>
      </c>
      <c r="F37" s="109" t="s">
        <v>87</v>
      </c>
      <c r="G37" s="133" t="s">
        <v>5075</v>
      </c>
      <c r="H37" s="110" t="s">
        <v>192</v>
      </c>
      <c r="I37" s="133"/>
      <c r="J37" s="134"/>
      <c r="K37" s="133"/>
      <c r="L37" s="134"/>
      <c r="M37" s="129" t="s">
        <v>5080</v>
      </c>
    </row>
    <row r="38" spans="2:13" ht="15" customHeight="1" x14ac:dyDescent="0.25">
      <c r="B38" s="135">
        <v>24</v>
      </c>
      <c r="C38" s="136" t="s">
        <v>414</v>
      </c>
      <c r="D38" s="137" t="s">
        <v>34</v>
      </c>
      <c r="E38" s="138" t="s">
        <v>415</v>
      </c>
      <c r="F38" s="109" t="s">
        <v>87</v>
      </c>
      <c r="G38" s="139" t="s">
        <v>5075</v>
      </c>
      <c r="H38" s="109" t="s">
        <v>87</v>
      </c>
      <c r="I38" s="139"/>
      <c r="J38" s="140"/>
      <c r="K38" s="139"/>
      <c r="L38" s="140"/>
      <c r="M38" s="135" t="s">
        <v>5080</v>
      </c>
    </row>
    <row r="39" spans="2:13" ht="15" customHeight="1" x14ac:dyDescent="0.25">
      <c r="B39" s="129">
        <v>25</v>
      </c>
      <c r="C39" s="130" t="s">
        <v>420</v>
      </c>
      <c r="D39" s="131" t="s">
        <v>34</v>
      </c>
      <c r="E39" s="132" t="s">
        <v>415</v>
      </c>
      <c r="F39" s="109" t="s">
        <v>87</v>
      </c>
      <c r="G39" s="133" t="s">
        <v>5075</v>
      </c>
      <c r="H39" s="114" t="s">
        <v>386</v>
      </c>
      <c r="I39" s="133"/>
      <c r="J39" s="134"/>
      <c r="K39" s="133"/>
      <c r="L39" s="134"/>
      <c r="M39" s="129" t="s">
        <v>5080</v>
      </c>
    </row>
    <row r="40" spans="2:13" ht="15" customHeight="1" x14ac:dyDescent="0.25">
      <c r="B40" s="135">
        <v>26</v>
      </c>
      <c r="C40" s="136" t="s">
        <v>429</v>
      </c>
      <c r="D40" s="137" t="s">
        <v>33</v>
      </c>
      <c r="E40" s="138" t="s">
        <v>430</v>
      </c>
      <c r="F40" s="109" t="s">
        <v>87</v>
      </c>
      <c r="G40" s="139" t="s">
        <v>5075</v>
      </c>
      <c r="H40" s="108" t="s">
        <v>63</v>
      </c>
      <c r="I40" s="139"/>
      <c r="J40" s="140"/>
      <c r="K40" s="139"/>
      <c r="L40" s="140"/>
      <c r="M40" s="135" t="s">
        <v>5080</v>
      </c>
    </row>
    <row r="41" spans="2:13" ht="15" customHeight="1" x14ac:dyDescent="0.25">
      <c r="B41" s="129">
        <v>27</v>
      </c>
      <c r="C41" s="130" t="s">
        <v>458</v>
      </c>
      <c r="D41" s="131" t="s">
        <v>33</v>
      </c>
      <c r="E41" s="132" t="s">
        <v>382</v>
      </c>
      <c r="F41" s="109" t="s">
        <v>87</v>
      </c>
      <c r="G41" s="133" t="s">
        <v>5075</v>
      </c>
      <c r="H41" s="110" t="s">
        <v>192</v>
      </c>
      <c r="I41" s="133"/>
      <c r="J41" s="134"/>
      <c r="K41" s="133"/>
      <c r="L41" s="134"/>
      <c r="M41" s="129" t="s">
        <v>5080</v>
      </c>
    </row>
    <row r="42" spans="2:13" ht="15" customHeight="1" x14ac:dyDescent="0.25">
      <c r="B42" s="135">
        <v>28</v>
      </c>
      <c r="C42" s="136" t="s">
        <v>479</v>
      </c>
      <c r="D42" s="137" t="s">
        <v>33</v>
      </c>
      <c r="E42" s="138" t="s">
        <v>480</v>
      </c>
      <c r="F42" s="109" t="s">
        <v>87</v>
      </c>
      <c r="G42" s="139" t="s">
        <v>5075</v>
      </c>
      <c r="H42" s="108" t="s">
        <v>63</v>
      </c>
      <c r="I42" s="139"/>
      <c r="J42" s="140"/>
      <c r="K42" s="139"/>
      <c r="L42" s="140"/>
      <c r="M42" s="135" t="s">
        <v>5080</v>
      </c>
    </row>
    <row r="43" spans="2:13" ht="15" customHeight="1" x14ac:dyDescent="0.25">
      <c r="B43" s="129">
        <v>29</v>
      </c>
      <c r="C43" s="130" t="s">
        <v>488</v>
      </c>
      <c r="D43" s="131" t="s">
        <v>36</v>
      </c>
      <c r="E43" s="132" t="s">
        <v>489</v>
      </c>
      <c r="F43" s="109" t="s">
        <v>87</v>
      </c>
      <c r="G43" s="133" t="s">
        <v>5075</v>
      </c>
      <c r="H43" s="108" t="s">
        <v>63</v>
      </c>
      <c r="I43" s="133"/>
      <c r="J43" s="134"/>
      <c r="K43" s="133"/>
      <c r="L43" s="134"/>
      <c r="M43" s="129" t="s">
        <v>5080</v>
      </c>
    </row>
    <row r="44" spans="2:13" ht="15" customHeight="1" x14ac:dyDescent="0.25">
      <c r="B44" s="135">
        <v>30</v>
      </c>
      <c r="C44" s="136" t="s">
        <v>494</v>
      </c>
      <c r="D44" s="137" t="s">
        <v>34</v>
      </c>
      <c r="E44" s="138" t="s">
        <v>495</v>
      </c>
      <c r="F44" s="109" t="s">
        <v>87</v>
      </c>
      <c r="G44" s="139" t="s">
        <v>5075</v>
      </c>
      <c r="H44" s="108" t="s">
        <v>63</v>
      </c>
      <c r="I44" s="139"/>
      <c r="J44" s="140"/>
      <c r="K44" s="139"/>
      <c r="L44" s="140"/>
      <c r="M44" s="135" t="s">
        <v>5080</v>
      </c>
    </row>
    <row r="45" spans="2:13" ht="15" customHeight="1" x14ac:dyDescent="0.25">
      <c r="B45" s="129">
        <v>31</v>
      </c>
      <c r="C45" s="130" t="s">
        <v>504</v>
      </c>
      <c r="D45" s="131" t="s">
        <v>33</v>
      </c>
      <c r="E45" s="132" t="s">
        <v>505</v>
      </c>
      <c r="F45" s="109" t="s">
        <v>87</v>
      </c>
      <c r="G45" s="133" t="s">
        <v>5075</v>
      </c>
      <c r="H45" s="108" t="s">
        <v>63</v>
      </c>
      <c r="I45" s="133"/>
      <c r="J45" s="134"/>
      <c r="K45" s="133"/>
      <c r="L45" s="134"/>
      <c r="M45" s="129" t="s">
        <v>5080</v>
      </c>
    </row>
    <row r="46" spans="2:13" ht="15" customHeight="1" x14ac:dyDescent="0.25">
      <c r="B46" s="135">
        <v>32</v>
      </c>
      <c r="C46" s="136" t="s">
        <v>509</v>
      </c>
      <c r="D46" s="137" t="s">
        <v>33</v>
      </c>
      <c r="E46" s="138" t="s">
        <v>510</v>
      </c>
      <c r="F46" s="110" t="s">
        <v>192</v>
      </c>
      <c r="G46" s="139" t="s">
        <v>5075</v>
      </c>
      <c r="H46" s="108" t="s">
        <v>63</v>
      </c>
      <c r="I46" s="139"/>
      <c r="J46" s="140"/>
      <c r="K46" s="139"/>
      <c r="L46" s="140"/>
      <c r="M46" s="135" t="s">
        <v>5080</v>
      </c>
    </row>
    <row r="47" spans="2:13" ht="15" customHeight="1" x14ac:dyDescent="0.25">
      <c r="B47" s="129">
        <v>33</v>
      </c>
      <c r="C47" s="130" t="s">
        <v>514</v>
      </c>
      <c r="D47" s="131" t="s">
        <v>33</v>
      </c>
      <c r="E47" s="132" t="s">
        <v>98</v>
      </c>
      <c r="F47" s="110" t="s">
        <v>192</v>
      </c>
      <c r="G47" s="133" t="s">
        <v>5075</v>
      </c>
      <c r="H47" s="109" t="s">
        <v>87</v>
      </c>
      <c r="I47" s="133"/>
      <c r="J47" s="134"/>
      <c r="K47" s="133"/>
      <c r="L47" s="134"/>
      <c r="M47" s="129" t="s">
        <v>5080</v>
      </c>
    </row>
    <row r="48" spans="2:13" ht="15" customHeight="1" x14ac:dyDescent="0.25">
      <c r="B48" s="135">
        <v>34</v>
      </c>
      <c r="C48" s="136" t="s">
        <v>523</v>
      </c>
      <c r="D48" s="137" t="s">
        <v>34</v>
      </c>
      <c r="E48" s="138" t="s">
        <v>524</v>
      </c>
      <c r="F48" s="109" t="s">
        <v>87</v>
      </c>
      <c r="G48" s="139" t="s">
        <v>5075</v>
      </c>
      <c r="H48" s="108" t="s">
        <v>63</v>
      </c>
      <c r="I48" s="139"/>
      <c r="J48" s="140"/>
      <c r="K48" s="139"/>
      <c r="L48" s="140"/>
      <c r="M48" s="135" t="s">
        <v>5080</v>
      </c>
    </row>
    <row r="49" spans="2:13" ht="15" customHeight="1" x14ac:dyDescent="0.25">
      <c r="B49" s="129">
        <v>35</v>
      </c>
      <c r="C49" s="130" t="s">
        <v>541</v>
      </c>
      <c r="D49" s="131" t="s">
        <v>33</v>
      </c>
      <c r="E49" s="132" t="s">
        <v>365</v>
      </c>
      <c r="F49" s="109" t="s">
        <v>87</v>
      </c>
      <c r="G49" s="133" t="s">
        <v>5075</v>
      </c>
      <c r="H49" s="108" t="s">
        <v>63</v>
      </c>
      <c r="I49" s="133"/>
      <c r="J49" s="134"/>
      <c r="K49" s="133"/>
      <c r="L49" s="134"/>
      <c r="M49" s="129" t="s">
        <v>5080</v>
      </c>
    </row>
    <row r="50" spans="2:13" ht="15" customHeight="1" x14ac:dyDescent="0.25">
      <c r="B50" s="135">
        <v>36</v>
      </c>
      <c r="C50" s="136" t="s">
        <v>558</v>
      </c>
      <c r="D50" s="137" t="s">
        <v>34</v>
      </c>
      <c r="E50" s="138" t="s">
        <v>559</v>
      </c>
      <c r="F50" s="109" t="s">
        <v>87</v>
      </c>
      <c r="G50" s="139" t="s">
        <v>5075</v>
      </c>
      <c r="H50" s="108" t="s">
        <v>63</v>
      </c>
      <c r="I50" s="139"/>
      <c r="J50" s="140"/>
      <c r="K50" s="139"/>
      <c r="L50" s="140"/>
      <c r="M50" s="135" t="s">
        <v>5080</v>
      </c>
    </row>
    <row r="51" spans="2:13" ht="15" customHeight="1" x14ac:dyDescent="0.25">
      <c r="B51" s="129">
        <v>37</v>
      </c>
      <c r="C51" s="130" t="s">
        <v>618</v>
      </c>
      <c r="D51" s="131" t="s">
        <v>33</v>
      </c>
      <c r="E51" s="132" t="s">
        <v>619</v>
      </c>
      <c r="F51" s="109" t="s">
        <v>87</v>
      </c>
      <c r="G51" s="133" t="s">
        <v>5075</v>
      </c>
      <c r="H51" s="108" t="s">
        <v>63</v>
      </c>
      <c r="I51" s="133"/>
      <c r="J51" s="134"/>
      <c r="K51" s="133"/>
      <c r="L51" s="134"/>
      <c r="M51" s="129" t="s">
        <v>5080</v>
      </c>
    </row>
    <row r="52" spans="2:13" ht="15" customHeight="1" x14ac:dyDescent="0.25">
      <c r="B52" s="135">
        <v>38</v>
      </c>
      <c r="C52" s="136" t="s">
        <v>647</v>
      </c>
      <c r="D52" s="137" t="s">
        <v>36</v>
      </c>
      <c r="E52" s="138" t="s">
        <v>102</v>
      </c>
      <c r="F52" s="109" t="s">
        <v>87</v>
      </c>
      <c r="G52" s="139" t="s">
        <v>5075</v>
      </c>
      <c r="H52" s="108" t="s">
        <v>63</v>
      </c>
      <c r="I52" s="139"/>
      <c r="J52" s="140"/>
      <c r="K52" s="139"/>
      <c r="L52" s="140"/>
      <c r="M52" s="135" t="s">
        <v>5080</v>
      </c>
    </row>
    <row r="53" spans="2:13" ht="15" customHeight="1" x14ac:dyDescent="0.25">
      <c r="B53" s="129">
        <v>39</v>
      </c>
      <c r="C53" s="130" t="s">
        <v>671</v>
      </c>
      <c r="D53" s="131" t="s">
        <v>33</v>
      </c>
      <c r="E53" s="132" t="s">
        <v>672</v>
      </c>
      <c r="F53" s="109" t="s">
        <v>87</v>
      </c>
      <c r="G53" s="133" t="s">
        <v>5075</v>
      </c>
      <c r="H53" s="108" t="s">
        <v>63</v>
      </c>
      <c r="I53" s="133"/>
      <c r="J53" s="134"/>
      <c r="K53" s="133"/>
      <c r="L53" s="134"/>
      <c r="M53" s="129" t="s">
        <v>5080</v>
      </c>
    </row>
    <row r="54" spans="2:13" ht="15" customHeight="1" x14ac:dyDescent="0.25">
      <c r="B54" s="135">
        <v>40</v>
      </c>
      <c r="C54" s="136" t="s">
        <v>682</v>
      </c>
      <c r="D54" s="137" t="s">
        <v>33</v>
      </c>
      <c r="E54" s="138" t="s">
        <v>683</v>
      </c>
      <c r="F54" s="109" t="s">
        <v>87</v>
      </c>
      <c r="G54" s="139" t="s">
        <v>5075</v>
      </c>
      <c r="H54" s="108" t="s">
        <v>63</v>
      </c>
      <c r="I54" s="139"/>
      <c r="J54" s="140"/>
      <c r="K54" s="139"/>
      <c r="L54" s="140"/>
      <c r="M54" s="135" t="s">
        <v>5080</v>
      </c>
    </row>
    <row r="55" spans="2:13" ht="15" customHeight="1" x14ac:dyDescent="0.25">
      <c r="B55" s="129">
        <v>41</v>
      </c>
      <c r="C55" s="130" t="s">
        <v>688</v>
      </c>
      <c r="D55" s="131" t="s">
        <v>33</v>
      </c>
      <c r="E55" s="132" t="s">
        <v>102</v>
      </c>
      <c r="F55" s="109" t="s">
        <v>87</v>
      </c>
      <c r="G55" s="133" t="s">
        <v>5075</v>
      </c>
      <c r="H55" s="108" t="s">
        <v>63</v>
      </c>
      <c r="I55" s="133"/>
      <c r="J55" s="134"/>
      <c r="K55" s="133"/>
      <c r="L55" s="134"/>
      <c r="M55" s="129" t="s">
        <v>5080</v>
      </c>
    </row>
    <row r="56" spans="2:13" ht="15" customHeight="1" x14ac:dyDescent="0.25">
      <c r="B56" s="135">
        <v>42</v>
      </c>
      <c r="C56" s="136" t="s">
        <v>692</v>
      </c>
      <c r="D56" s="137" t="s">
        <v>33</v>
      </c>
      <c r="E56" s="138" t="s">
        <v>425</v>
      </c>
      <c r="F56" s="109" t="s">
        <v>87</v>
      </c>
      <c r="G56" s="139" t="s">
        <v>5075</v>
      </c>
      <c r="H56" s="108" t="s">
        <v>63</v>
      </c>
      <c r="I56" s="139"/>
      <c r="J56" s="140"/>
      <c r="K56" s="139"/>
      <c r="L56" s="140"/>
      <c r="M56" s="135" t="s">
        <v>5080</v>
      </c>
    </row>
    <row r="57" spans="2:13" ht="15" customHeight="1" x14ac:dyDescent="0.25">
      <c r="B57" s="129">
        <v>43</v>
      </c>
      <c r="C57" s="130" t="s">
        <v>709</v>
      </c>
      <c r="D57" s="131" t="s">
        <v>36</v>
      </c>
      <c r="E57" s="132" t="s">
        <v>710</v>
      </c>
      <c r="F57" s="109" t="s">
        <v>87</v>
      </c>
      <c r="G57" s="133" t="s">
        <v>5075</v>
      </c>
      <c r="H57" s="108" t="s">
        <v>63</v>
      </c>
      <c r="I57" s="133"/>
      <c r="J57" s="134"/>
      <c r="K57" s="133"/>
      <c r="L57" s="134"/>
      <c r="M57" s="129" t="s">
        <v>5080</v>
      </c>
    </row>
    <row r="58" spans="2:13" ht="15" customHeight="1" x14ac:dyDescent="0.25">
      <c r="B58" s="135">
        <v>44</v>
      </c>
      <c r="C58" s="136" t="s">
        <v>719</v>
      </c>
      <c r="D58" s="137" t="s">
        <v>34</v>
      </c>
      <c r="E58" s="138" t="s">
        <v>720</v>
      </c>
      <c r="F58" s="109" t="s">
        <v>87</v>
      </c>
      <c r="G58" s="139" t="s">
        <v>5075</v>
      </c>
      <c r="H58" s="108" t="s">
        <v>63</v>
      </c>
      <c r="I58" s="139"/>
      <c r="J58" s="140"/>
      <c r="K58" s="139"/>
      <c r="L58" s="140"/>
      <c r="M58" s="135" t="s">
        <v>5080</v>
      </c>
    </row>
    <row r="59" spans="2:13" ht="15" customHeight="1" x14ac:dyDescent="0.25">
      <c r="B59" s="129">
        <v>45</v>
      </c>
      <c r="C59" s="130" t="s">
        <v>742</v>
      </c>
      <c r="D59" s="131" t="s">
        <v>33</v>
      </c>
      <c r="E59" s="132" t="s">
        <v>743</v>
      </c>
      <c r="F59" s="109" t="s">
        <v>87</v>
      </c>
      <c r="G59" s="133" t="s">
        <v>5075</v>
      </c>
      <c r="H59" s="108" t="s">
        <v>63</v>
      </c>
      <c r="I59" s="133"/>
      <c r="J59" s="134"/>
      <c r="K59" s="133"/>
      <c r="L59" s="134"/>
      <c r="M59" s="129" t="s">
        <v>5080</v>
      </c>
    </row>
    <row r="60" spans="2:13" ht="15" customHeight="1" x14ac:dyDescent="0.25">
      <c r="B60" s="135">
        <v>46</v>
      </c>
      <c r="C60" s="136" t="s">
        <v>751</v>
      </c>
      <c r="D60" s="137" t="s">
        <v>33</v>
      </c>
      <c r="E60" s="138" t="s">
        <v>475</v>
      </c>
      <c r="F60" s="109" t="s">
        <v>87</v>
      </c>
      <c r="G60" s="139" t="s">
        <v>5075</v>
      </c>
      <c r="H60" s="108" t="s">
        <v>63</v>
      </c>
      <c r="I60" s="139"/>
      <c r="J60" s="140"/>
      <c r="K60" s="139"/>
      <c r="L60" s="140"/>
      <c r="M60" s="135" t="s">
        <v>5080</v>
      </c>
    </row>
    <row r="61" spans="2:13" ht="15" customHeight="1" x14ac:dyDescent="0.25">
      <c r="B61" s="129">
        <v>47</v>
      </c>
      <c r="C61" s="130" t="s">
        <v>790</v>
      </c>
      <c r="D61" s="131" t="s">
        <v>33</v>
      </c>
      <c r="E61" s="132" t="s">
        <v>370</v>
      </c>
      <c r="F61" s="109" t="s">
        <v>87</v>
      </c>
      <c r="G61" s="133" t="s">
        <v>5075</v>
      </c>
      <c r="H61" s="108" t="s">
        <v>63</v>
      </c>
      <c r="I61" s="133"/>
      <c r="J61" s="134"/>
      <c r="K61" s="133"/>
      <c r="L61" s="134"/>
      <c r="M61" s="129" t="s">
        <v>5080</v>
      </c>
    </row>
    <row r="62" spans="2:13" ht="15" customHeight="1" x14ac:dyDescent="0.25">
      <c r="B62" s="135">
        <v>48</v>
      </c>
      <c r="C62" s="136" t="s">
        <v>829</v>
      </c>
      <c r="D62" s="137" t="s">
        <v>36</v>
      </c>
      <c r="E62" s="138" t="s">
        <v>98</v>
      </c>
      <c r="F62" s="110" t="s">
        <v>192</v>
      </c>
      <c r="G62" s="139" t="s">
        <v>5075</v>
      </c>
      <c r="H62" s="109" t="s">
        <v>87</v>
      </c>
      <c r="I62" s="139"/>
      <c r="J62" s="140"/>
      <c r="K62" s="139"/>
      <c r="L62" s="140"/>
      <c r="M62" s="135" t="s">
        <v>5080</v>
      </c>
    </row>
    <row r="63" spans="2:13" ht="15" customHeight="1" x14ac:dyDescent="0.25">
      <c r="B63" s="129">
        <v>49</v>
      </c>
      <c r="C63" s="130" t="s">
        <v>833</v>
      </c>
      <c r="D63" s="131" t="s">
        <v>33</v>
      </c>
      <c r="E63" s="132" t="s">
        <v>834</v>
      </c>
      <c r="F63" s="109" t="s">
        <v>87</v>
      </c>
      <c r="G63" s="133" t="s">
        <v>5075</v>
      </c>
      <c r="H63" s="108" t="s">
        <v>63</v>
      </c>
      <c r="I63" s="133"/>
      <c r="J63" s="134"/>
      <c r="K63" s="133"/>
      <c r="L63" s="134"/>
      <c r="M63" s="129" t="s">
        <v>5080</v>
      </c>
    </row>
    <row r="64" spans="2:13" ht="15" customHeight="1" x14ac:dyDescent="0.25">
      <c r="B64" s="135">
        <v>50</v>
      </c>
      <c r="C64" s="136" t="s">
        <v>848</v>
      </c>
      <c r="D64" s="137" t="s">
        <v>33</v>
      </c>
      <c r="E64" s="138" t="s">
        <v>271</v>
      </c>
      <c r="F64" s="109" t="s">
        <v>87</v>
      </c>
      <c r="G64" s="139" t="s">
        <v>5075</v>
      </c>
      <c r="H64" s="108" t="s">
        <v>63</v>
      </c>
      <c r="I64" s="139"/>
      <c r="J64" s="140"/>
      <c r="K64" s="139"/>
      <c r="L64" s="140"/>
      <c r="M64" s="135" t="s">
        <v>5080</v>
      </c>
    </row>
    <row r="65" spans="2:13" ht="15" customHeight="1" x14ac:dyDescent="0.25">
      <c r="B65" s="129">
        <v>51</v>
      </c>
      <c r="C65" s="130" t="s">
        <v>857</v>
      </c>
      <c r="D65" s="131" t="s">
        <v>34</v>
      </c>
      <c r="E65" s="132" t="s">
        <v>858</v>
      </c>
      <c r="F65" s="109" t="s">
        <v>87</v>
      </c>
      <c r="G65" s="133" t="s">
        <v>5075</v>
      </c>
      <c r="H65" s="108" t="s">
        <v>63</v>
      </c>
      <c r="I65" s="133"/>
      <c r="J65" s="134"/>
      <c r="K65" s="133"/>
      <c r="L65" s="134"/>
      <c r="M65" s="129" t="s">
        <v>5080</v>
      </c>
    </row>
    <row r="66" spans="2:13" ht="15" customHeight="1" x14ac:dyDescent="0.25">
      <c r="B66" s="135">
        <v>52</v>
      </c>
      <c r="C66" s="136" t="s">
        <v>862</v>
      </c>
      <c r="D66" s="137" t="s">
        <v>34</v>
      </c>
      <c r="E66" s="138" t="s">
        <v>863</v>
      </c>
      <c r="F66" s="109" t="s">
        <v>87</v>
      </c>
      <c r="G66" s="139" t="s">
        <v>5075</v>
      </c>
      <c r="H66" s="108" t="s">
        <v>63</v>
      </c>
      <c r="I66" s="139"/>
      <c r="J66" s="140"/>
      <c r="K66" s="139"/>
      <c r="L66" s="140"/>
      <c r="M66" s="135" t="s">
        <v>5080</v>
      </c>
    </row>
    <row r="67" spans="2:13" ht="15" customHeight="1" x14ac:dyDescent="0.25">
      <c r="B67" s="129">
        <v>53</v>
      </c>
      <c r="C67" s="130" t="s">
        <v>875</v>
      </c>
      <c r="D67" s="131" t="s">
        <v>33</v>
      </c>
      <c r="E67" s="132" t="s">
        <v>876</v>
      </c>
      <c r="F67" s="109" t="s">
        <v>87</v>
      </c>
      <c r="G67" s="133" t="s">
        <v>5075</v>
      </c>
      <c r="H67" s="108" t="s">
        <v>63</v>
      </c>
      <c r="I67" s="133"/>
      <c r="J67" s="134"/>
      <c r="K67" s="133"/>
      <c r="L67" s="134"/>
      <c r="M67" s="129" t="s">
        <v>5080</v>
      </c>
    </row>
    <row r="68" spans="2:13" ht="15" customHeight="1" x14ac:dyDescent="0.25">
      <c r="B68" s="135">
        <v>54</v>
      </c>
      <c r="C68" s="136" t="s">
        <v>885</v>
      </c>
      <c r="D68" s="137" t="s">
        <v>33</v>
      </c>
      <c r="E68" s="138" t="s">
        <v>5082</v>
      </c>
      <c r="F68" s="109" t="s">
        <v>87</v>
      </c>
      <c r="G68" s="139" t="s">
        <v>5075</v>
      </c>
      <c r="H68" s="108" t="s">
        <v>63</v>
      </c>
      <c r="I68" s="139"/>
      <c r="J68" s="140"/>
      <c r="K68" s="139"/>
      <c r="L68" s="140"/>
      <c r="M68" s="135" t="s">
        <v>5080</v>
      </c>
    </row>
    <row r="69" spans="2:13" ht="15" customHeight="1" x14ac:dyDescent="0.25">
      <c r="B69" s="129">
        <v>55</v>
      </c>
      <c r="C69" s="130" t="s">
        <v>889</v>
      </c>
      <c r="D69" s="131" t="s">
        <v>33</v>
      </c>
      <c r="E69" s="132" t="s">
        <v>5082</v>
      </c>
      <c r="F69" s="109" t="s">
        <v>87</v>
      </c>
      <c r="G69" s="133" t="s">
        <v>5075</v>
      </c>
      <c r="H69" s="108" t="s">
        <v>63</v>
      </c>
      <c r="I69" s="133"/>
      <c r="J69" s="134"/>
      <c r="K69" s="133"/>
      <c r="L69" s="134"/>
      <c r="M69" s="129" t="s">
        <v>5080</v>
      </c>
    </row>
    <row r="70" spans="2:13" ht="15" customHeight="1" x14ac:dyDescent="0.25">
      <c r="B70" s="135">
        <v>56</v>
      </c>
      <c r="C70" s="136" t="s">
        <v>913</v>
      </c>
      <c r="D70" s="137" t="s">
        <v>33</v>
      </c>
      <c r="E70" s="138" t="s">
        <v>271</v>
      </c>
      <c r="F70" s="109" t="s">
        <v>87</v>
      </c>
      <c r="G70" s="139" t="s">
        <v>5075</v>
      </c>
      <c r="H70" s="108" t="s">
        <v>63</v>
      </c>
      <c r="I70" s="139"/>
      <c r="J70" s="140"/>
      <c r="K70" s="139"/>
      <c r="L70" s="140"/>
      <c r="M70" s="135" t="s">
        <v>5080</v>
      </c>
    </row>
    <row r="71" spans="2:13" ht="15" customHeight="1" x14ac:dyDescent="0.25">
      <c r="B71" s="129">
        <v>57</v>
      </c>
      <c r="C71" s="130" t="s">
        <v>917</v>
      </c>
      <c r="D71" s="131" t="s">
        <v>33</v>
      </c>
      <c r="E71" s="132" t="s">
        <v>510</v>
      </c>
      <c r="F71" s="109" t="s">
        <v>87</v>
      </c>
      <c r="G71" s="133" t="s">
        <v>5075</v>
      </c>
      <c r="H71" s="108" t="s">
        <v>63</v>
      </c>
      <c r="I71" s="133"/>
      <c r="J71" s="134"/>
      <c r="K71" s="133"/>
      <c r="L71" s="134"/>
      <c r="M71" s="129" t="s">
        <v>5080</v>
      </c>
    </row>
    <row r="72" spans="2:13" ht="15" customHeight="1" x14ac:dyDescent="0.25">
      <c r="B72" s="135">
        <v>58</v>
      </c>
      <c r="C72" s="136" t="s">
        <v>926</v>
      </c>
      <c r="D72" s="137" t="s">
        <v>35</v>
      </c>
      <c r="E72" s="138" t="s">
        <v>927</v>
      </c>
      <c r="F72" s="109" t="s">
        <v>87</v>
      </c>
      <c r="G72" s="139" t="s">
        <v>5075</v>
      </c>
      <c r="H72" s="108" t="s">
        <v>63</v>
      </c>
      <c r="I72" s="139"/>
      <c r="J72" s="140"/>
      <c r="K72" s="139"/>
      <c r="L72" s="140"/>
      <c r="M72" s="135" t="s">
        <v>5080</v>
      </c>
    </row>
    <row r="73" spans="2:13" ht="15" customHeight="1" x14ac:dyDescent="0.25">
      <c r="B73" s="129">
        <v>59</v>
      </c>
      <c r="C73" s="130" t="s">
        <v>931</v>
      </c>
      <c r="D73" s="131" t="s">
        <v>34</v>
      </c>
      <c r="E73" s="132" t="s">
        <v>932</v>
      </c>
      <c r="F73" s="109" t="s">
        <v>87</v>
      </c>
      <c r="G73" s="133" t="s">
        <v>5075</v>
      </c>
      <c r="H73" s="108" t="s">
        <v>63</v>
      </c>
      <c r="I73" s="133"/>
      <c r="J73" s="134"/>
      <c r="K73" s="133"/>
      <c r="L73" s="134"/>
      <c r="M73" s="129" t="s">
        <v>5080</v>
      </c>
    </row>
    <row r="74" spans="2:13" ht="15" customHeight="1" x14ac:dyDescent="0.25">
      <c r="B74" s="135">
        <v>60</v>
      </c>
      <c r="C74" s="136" t="s">
        <v>949</v>
      </c>
      <c r="D74" s="137" t="s">
        <v>33</v>
      </c>
      <c r="E74" s="138" t="s">
        <v>950</v>
      </c>
      <c r="F74" s="109" t="s">
        <v>87</v>
      </c>
      <c r="G74" s="139" t="s">
        <v>5075</v>
      </c>
      <c r="H74" s="108" t="s">
        <v>63</v>
      </c>
      <c r="I74" s="139"/>
      <c r="J74" s="140"/>
      <c r="K74" s="139"/>
      <c r="L74" s="140"/>
      <c r="M74" s="135" t="s">
        <v>5080</v>
      </c>
    </row>
    <row r="75" spans="2:13" ht="15" customHeight="1" x14ac:dyDescent="0.25">
      <c r="B75" s="129">
        <v>61</v>
      </c>
      <c r="C75" s="130" t="s">
        <v>955</v>
      </c>
      <c r="D75" s="131" t="s">
        <v>34</v>
      </c>
      <c r="E75" s="132" t="s">
        <v>229</v>
      </c>
      <c r="F75" s="109" t="s">
        <v>87</v>
      </c>
      <c r="G75" s="133" t="s">
        <v>5075</v>
      </c>
      <c r="H75" s="108" t="s">
        <v>63</v>
      </c>
      <c r="I75" s="133"/>
      <c r="J75" s="134"/>
      <c r="K75" s="133"/>
      <c r="L75" s="134"/>
      <c r="M75" s="129" t="s">
        <v>5080</v>
      </c>
    </row>
    <row r="76" spans="2:13" ht="15" customHeight="1" x14ac:dyDescent="0.25">
      <c r="B76" s="135">
        <v>62</v>
      </c>
      <c r="C76" s="136" t="s">
        <v>959</v>
      </c>
      <c r="D76" s="137" t="s">
        <v>35</v>
      </c>
      <c r="E76" s="138" t="s">
        <v>960</v>
      </c>
      <c r="F76" s="109" t="s">
        <v>87</v>
      </c>
      <c r="G76" s="139" t="s">
        <v>5075</v>
      </c>
      <c r="H76" s="108" t="s">
        <v>63</v>
      </c>
      <c r="I76" s="139"/>
      <c r="J76" s="140"/>
      <c r="K76" s="139"/>
      <c r="L76" s="140"/>
      <c r="M76" s="135" t="s">
        <v>5080</v>
      </c>
    </row>
    <row r="77" spans="2:13" ht="15" customHeight="1" x14ac:dyDescent="0.25">
      <c r="B77" s="129">
        <v>63</v>
      </c>
      <c r="C77" s="130" t="s">
        <v>969</v>
      </c>
      <c r="D77" s="131" t="s">
        <v>34</v>
      </c>
      <c r="E77" s="132" t="s">
        <v>970</v>
      </c>
      <c r="F77" s="110" t="s">
        <v>192</v>
      </c>
      <c r="G77" s="133" t="s">
        <v>5075</v>
      </c>
      <c r="H77" s="109" t="s">
        <v>87</v>
      </c>
      <c r="I77" s="133"/>
      <c r="J77" s="134"/>
      <c r="K77" s="133"/>
      <c r="L77" s="134"/>
      <c r="M77" s="129" t="s">
        <v>5080</v>
      </c>
    </row>
    <row r="78" spans="2:13" ht="15" customHeight="1" x14ac:dyDescent="0.25">
      <c r="B78" s="135">
        <v>64</v>
      </c>
      <c r="C78" s="136" t="s">
        <v>993</v>
      </c>
      <c r="D78" s="137" t="s">
        <v>34</v>
      </c>
      <c r="E78" s="138" t="s">
        <v>994</v>
      </c>
      <c r="F78" s="109" t="s">
        <v>87</v>
      </c>
      <c r="G78" s="139" t="s">
        <v>5075</v>
      </c>
      <c r="H78" s="108" t="s">
        <v>63</v>
      </c>
      <c r="I78" s="139"/>
      <c r="J78" s="140"/>
      <c r="K78" s="139"/>
      <c r="L78" s="140"/>
      <c r="M78" s="135" t="s">
        <v>5080</v>
      </c>
    </row>
    <row r="79" spans="2:13" ht="15" customHeight="1" x14ac:dyDescent="0.25">
      <c r="B79" s="129">
        <v>65</v>
      </c>
      <c r="C79" s="130" t="s">
        <v>1008</v>
      </c>
      <c r="D79" s="131" t="s">
        <v>33</v>
      </c>
      <c r="E79" s="132" t="s">
        <v>62</v>
      </c>
      <c r="F79" s="109" t="s">
        <v>87</v>
      </c>
      <c r="G79" s="133" t="s">
        <v>5075</v>
      </c>
      <c r="H79" s="108" t="s">
        <v>63</v>
      </c>
      <c r="I79" s="133"/>
      <c r="J79" s="134"/>
      <c r="K79" s="133"/>
      <c r="L79" s="134"/>
      <c r="M79" s="129" t="s">
        <v>5080</v>
      </c>
    </row>
    <row r="80" spans="2:13" ht="15" customHeight="1" x14ac:dyDescent="0.25">
      <c r="B80" s="135">
        <v>66</v>
      </c>
      <c r="C80" s="136" t="s">
        <v>1021</v>
      </c>
      <c r="D80" s="137" t="s">
        <v>33</v>
      </c>
      <c r="E80" s="138" t="s">
        <v>1022</v>
      </c>
      <c r="F80" s="110" t="s">
        <v>192</v>
      </c>
      <c r="G80" s="139" t="s">
        <v>5075</v>
      </c>
      <c r="H80" s="108" t="s">
        <v>63</v>
      </c>
      <c r="I80" s="139"/>
      <c r="J80" s="140"/>
      <c r="K80" s="139"/>
      <c r="L80" s="140"/>
      <c r="M80" s="135" t="s">
        <v>5080</v>
      </c>
    </row>
    <row r="81" spans="2:13" ht="15" customHeight="1" x14ac:dyDescent="0.25">
      <c r="B81" s="129">
        <v>67</v>
      </c>
      <c r="C81" s="130" t="s">
        <v>1052</v>
      </c>
      <c r="D81" s="131" t="s">
        <v>33</v>
      </c>
      <c r="E81" s="132" t="s">
        <v>98</v>
      </c>
      <c r="F81" s="110" t="s">
        <v>192</v>
      </c>
      <c r="G81" s="133" t="s">
        <v>5075</v>
      </c>
      <c r="H81" s="109" t="s">
        <v>87</v>
      </c>
      <c r="I81" s="133"/>
      <c r="J81" s="134"/>
      <c r="K81" s="133"/>
      <c r="L81" s="134"/>
      <c r="M81" s="129" t="s">
        <v>5080</v>
      </c>
    </row>
    <row r="82" spans="2:13" ht="15" customHeight="1" x14ac:dyDescent="0.25">
      <c r="B82" s="135">
        <v>68</v>
      </c>
      <c r="C82" s="136" t="s">
        <v>1076</v>
      </c>
      <c r="D82" s="137" t="s">
        <v>36</v>
      </c>
      <c r="E82" s="138" t="s">
        <v>1077</v>
      </c>
      <c r="F82" s="110" t="s">
        <v>192</v>
      </c>
      <c r="G82" s="139" t="s">
        <v>5075</v>
      </c>
      <c r="H82" s="108" t="s">
        <v>63</v>
      </c>
      <c r="I82" s="139"/>
      <c r="J82" s="140"/>
      <c r="K82" s="139"/>
      <c r="L82" s="140"/>
      <c r="M82" s="135" t="s">
        <v>5080</v>
      </c>
    </row>
    <row r="83" spans="2:13" ht="15" customHeight="1" x14ac:dyDescent="0.25">
      <c r="B83" s="129">
        <v>69</v>
      </c>
      <c r="C83" s="130" t="s">
        <v>1166</v>
      </c>
      <c r="D83" s="131" t="s">
        <v>33</v>
      </c>
      <c r="E83" s="132" t="s">
        <v>98</v>
      </c>
      <c r="F83" s="110" t="s">
        <v>192</v>
      </c>
      <c r="G83" s="133" t="s">
        <v>5075</v>
      </c>
      <c r="H83" s="109" t="s">
        <v>87</v>
      </c>
      <c r="I83" s="133"/>
      <c r="J83" s="134"/>
      <c r="K83" s="133"/>
      <c r="L83" s="134"/>
      <c r="M83" s="129" t="s">
        <v>5080</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57" t="s">
        <v>5083</v>
      </c>
      <c r="C1" s="255"/>
      <c r="D1" s="255"/>
      <c r="E1" s="255"/>
      <c r="F1" s="255"/>
      <c r="G1" s="255"/>
      <c r="H1" s="256"/>
    </row>
    <row r="3" spans="2:8" ht="18" customHeight="1" x14ac:dyDescent="0.25">
      <c r="B3" s="258" t="s">
        <v>5084</v>
      </c>
      <c r="C3" s="255"/>
      <c r="D3" s="256"/>
    </row>
    <row r="4" spans="2:8" ht="15.95" customHeight="1" x14ac:dyDescent="0.25">
      <c r="B4" s="141" t="s">
        <v>3044</v>
      </c>
      <c r="C4" s="141" t="s">
        <v>5085</v>
      </c>
      <c r="D4" s="141" t="s">
        <v>5086</v>
      </c>
      <c r="E4" s="141" t="s">
        <v>5087</v>
      </c>
    </row>
    <row r="5" spans="2:8" ht="18" customHeight="1" x14ac:dyDescent="0.25">
      <c r="B5" s="142" t="s">
        <v>63</v>
      </c>
      <c r="C5" s="117">
        <v>145</v>
      </c>
      <c r="D5" s="143" t="s">
        <v>5088</v>
      </c>
      <c r="E5" s="144" t="s">
        <v>5089</v>
      </c>
    </row>
    <row r="6" spans="2:8" ht="18" customHeight="1" x14ac:dyDescent="0.25">
      <c r="B6" s="145" t="s">
        <v>87</v>
      </c>
      <c r="C6" s="118">
        <v>97</v>
      </c>
      <c r="D6" s="146" t="s">
        <v>5090</v>
      </c>
      <c r="E6" s="147" t="s">
        <v>5091</v>
      </c>
    </row>
    <row r="7" spans="2:8" ht="18" customHeight="1" x14ac:dyDescent="0.25">
      <c r="B7" s="148" t="s">
        <v>192</v>
      </c>
      <c r="C7" s="119">
        <v>8</v>
      </c>
      <c r="D7" s="149" t="s">
        <v>5092</v>
      </c>
      <c r="E7" s="150" t="s">
        <v>5093</v>
      </c>
    </row>
    <row r="8" spans="2:8" ht="18" customHeight="1" x14ac:dyDescent="0.25">
      <c r="B8" s="151" t="s">
        <v>204</v>
      </c>
      <c r="C8" s="152">
        <v>7</v>
      </c>
      <c r="D8" s="153" t="s">
        <v>5094</v>
      </c>
      <c r="E8" s="154"/>
    </row>
    <row r="9" spans="2:8" ht="18" customHeight="1" x14ac:dyDescent="0.25">
      <c r="B9" s="155" t="s">
        <v>158</v>
      </c>
      <c r="C9" s="156">
        <v>6</v>
      </c>
      <c r="D9" s="157" t="s">
        <v>5095</v>
      </c>
      <c r="E9" s="158"/>
    </row>
    <row r="10" spans="2:8" ht="18" customHeight="1" x14ac:dyDescent="0.25">
      <c r="B10" s="159" t="s">
        <v>139</v>
      </c>
      <c r="C10" s="160">
        <v>5</v>
      </c>
      <c r="D10" s="161" t="s">
        <v>5096</v>
      </c>
      <c r="E10" s="162"/>
    </row>
    <row r="11" spans="2:8" ht="18" customHeight="1" x14ac:dyDescent="0.25">
      <c r="B11" s="163" t="s">
        <v>4</v>
      </c>
      <c r="C11" s="126">
        <v>312</v>
      </c>
    </row>
    <row r="13" spans="2:8" ht="18" customHeight="1" x14ac:dyDescent="0.25">
      <c r="B13" s="258" t="s">
        <v>5097</v>
      </c>
      <c r="C13" s="255"/>
      <c r="D13" s="256"/>
    </row>
    <row r="14" spans="2:8" ht="15.95" customHeight="1" x14ac:dyDescent="0.25">
      <c r="B14" s="141" t="s">
        <v>3043</v>
      </c>
      <c r="C14" s="141" t="s">
        <v>5085</v>
      </c>
      <c r="D14" s="141" t="s">
        <v>5086</v>
      </c>
      <c r="E14" s="141" t="s">
        <v>5087</v>
      </c>
    </row>
    <row r="15" spans="2:8" ht="18" customHeight="1" x14ac:dyDescent="0.25">
      <c r="B15" s="148" t="s">
        <v>33</v>
      </c>
      <c r="C15" s="119">
        <v>222</v>
      </c>
      <c r="D15" s="149" t="s">
        <v>5098</v>
      </c>
      <c r="E15" s="150" t="s">
        <v>5099</v>
      </c>
    </row>
    <row r="16" spans="2:8" ht="18" customHeight="1" x14ac:dyDescent="0.25">
      <c r="B16" s="142" t="s">
        <v>34</v>
      </c>
      <c r="C16" s="117">
        <v>62</v>
      </c>
      <c r="D16" s="143" t="s">
        <v>5100</v>
      </c>
      <c r="E16" s="144" t="s">
        <v>5101</v>
      </c>
    </row>
    <row r="17" spans="2:6" ht="18" customHeight="1" x14ac:dyDescent="0.25">
      <c r="B17" s="145" t="s">
        <v>35</v>
      </c>
      <c r="C17" s="118">
        <v>7</v>
      </c>
      <c r="D17" s="146" t="s">
        <v>5094</v>
      </c>
      <c r="E17" s="147"/>
    </row>
    <row r="18" spans="2:6" ht="18" customHeight="1" x14ac:dyDescent="0.25">
      <c r="B18" s="151" t="s">
        <v>36</v>
      </c>
      <c r="C18" s="152">
        <v>21</v>
      </c>
      <c r="D18" s="153" t="s">
        <v>5102</v>
      </c>
      <c r="E18" s="154" t="s">
        <v>5093</v>
      </c>
    </row>
    <row r="19" spans="2:6" ht="18" customHeight="1" x14ac:dyDescent="0.25">
      <c r="B19" s="163" t="s">
        <v>4</v>
      </c>
      <c r="C19" s="126">
        <v>312</v>
      </c>
    </row>
    <row r="21" spans="2:6" ht="18" customHeight="1" x14ac:dyDescent="0.25">
      <c r="B21" s="258" t="s">
        <v>5103</v>
      </c>
      <c r="C21" s="255"/>
      <c r="D21" s="255"/>
      <c r="E21" s="256"/>
    </row>
    <row r="22" spans="2:6" ht="15.95" customHeight="1" x14ac:dyDescent="0.25">
      <c r="B22" s="141" t="s">
        <v>5104</v>
      </c>
      <c r="C22" s="141" t="s">
        <v>3054</v>
      </c>
      <c r="D22" s="141" t="s">
        <v>3045</v>
      </c>
      <c r="E22" s="141" t="s">
        <v>3046</v>
      </c>
      <c r="F22" s="141" t="s">
        <v>5105</v>
      </c>
    </row>
    <row r="23" spans="2:6" ht="15.95" customHeight="1" x14ac:dyDescent="0.25">
      <c r="B23" s="138" t="s">
        <v>5106</v>
      </c>
      <c r="C23" s="164">
        <v>46</v>
      </c>
      <c r="D23" s="143">
        <v>24</v>
      </c>
      <c r="E23" s="146">
        <v>21</v>
      </c>
      <c r="F23" s="165">
        <v>0</v>
      </c>
    </row>
    <row r="24" spans="2:6" ht="15.95" customHeight="1" x14ac:dyDescent="0.25">
      <c r="B24" s="132" t="s">
        <v>5107</v>
      </c>
      <c r="C24" s="166">
        <v>50</v>
      </c>
      <c r="D24" s="143">
        <v>27</v>
      </c>
      <c r="E24" s="146">
        <v>18</v>
      </c>
      <c r="F24" s="165">
        <v>1</v>
      </c>
    </row>
    <row r="25" spans="2:6" ht="15.95" customHeight="1" x14ac:dyDescent="0.25">
      <c r="B25" s="138" t="s">
        <v>5108</v>
      </c>
      <c r="C25" s="164">
        <v>34</v>
      </c>
      <c r="D25" s="143">
        <v>14</v>
      </c>
      <c r="E25" s="146">
        <v>17</v>
      </c>
      <c r="F25" s="165">
        <v>0</v>
      </c>
    </row>
    <row r="26" spans="2:6" ht="15.95" customHeight="1" x14ac:dyDescent="0.25">
      <c r="B26" s="132" t="s">
        <v>5109</v>
      </c>
      <c r="C26" s="166">
        <v>40</v>
      </c>
      <c r="D26" s="143">
        <v>22</v>
      </c>
      <c r="E26" s="146">
        <v>13</v>
      </c>
      <c r="F26" s="165">
        <v>1</v>
      </c>
    </row>
    <row r="27" spans="2:6" ht="15.95" customHeight="1" x14ac:dyDescent="0.25">
      <c r="B27" s="138" t="s">
        <v>5110</v>
      </c>
      <c r="C27" s="164">
        <v>41</v>
      </c>
      <c r="D27" s="143">
        <v>22</v>
      </c>
      <c r="E27" s="146">
        <v>13</v>
      </c>
      <c r="F27" s="165">
        <v>1</v>
      </c>
    </row>
    <row r="28" spans="2:6" ht="15.95" customHeight="1" x14ac:dyDescent="0.25">
      <c r="B28" s="132" t="s">
        <v>5111</v>
      </c>
      <c r="C28" s="166">
        <v>45</v>
      </c>
      <c r="D28" s="143">
        <v>28</v>
      </c>
      <c r="E28" s="146">
        <v>13</v>
      </c>
      <c r="F28" s="165">
        <v>0</v>
      </c>
    </row>
    <row r="29" spans="2:6" ht="15.95" customHeight="1" x14ac:dyDescent="0.25">
      <c r="B29" s="138" t="s">
        <v>5112</v>
      </c>
      <c r="C29" s="164">
        <v>52</v>
      </c>
      <c r="D29" s="143">
        <v>28</v>
      </c>
      <c r="E29" s="146">
        <v>17</v>
      </c>
      <c r="F29" s="165">
        <v>0</v>
      </c>
    </row>
    <row r="30" spans="2:6" ht="15.95" customHeight="1" x14ac:dyDescent="0.25">
      <c r="B30" s="132" t="s">
        <v>5113</v>
      </c>
      <c r="C30" s="166">
        <v>53</v>
      </c>
      <c r="D30" s="143">
        <v>26</v>
      </c>
      <c r="E30" s="146">
        <v>23</v>
      </c>
      <c r="F30" s="165">
        <v>0</v>
      </c>
    </row>
    <row r="31" spans="2:6" ht="15.95" customHeight="1" x14ac:dyDescent="0.25">
      <c r="B31" s="138" t="s">
        <v>5114</v>
      </c>
      <c r="C31" s="164">
        <v>41</v>
      </c>
      <c r="D31" s="143">
        <v>21</v>
      </c>
      <c r="E31" s="146">
        <v>13</v>
      </c>
      <c r="F31" s="165">
        <v>1</v>
      </c>
    </row>
    <row r="32" spans="2:6" ht="15.95" customHeight="1" x14ac:dyDescent="0.25">
      <c r="B32" s="132" t="s">
        <v>5115</v>
      </c>
      <c r="C32" s="166">
        <v>49</v>
      </c>
      <c r="D32" s="143">
        <v>31</v>
      </c>
      <c r="E32" s="146">
        <v>17</v>
      </c>
      <c r="F32" s="165">
        <v>1</v>
      </c>
    </row>
    <row r="33" spans="2:6" ht="15.95" customHeight="1" x14ac:dyDescent="0.25">
      <c r="B33" s="138" t="s">
        <v>5116</v>
      </c>
      <c r="C33" s="164">
        <v>40</v>
      </c>
      <c r="D33" s="143">
        <v>23</v>
      </c>
      <c r="E33" s="146">
        <v>12</v>
      </c>
      <c r="F33" s="165">
        <v>1</v>
      </c>
    </row>
    <row r="34" spans="2:6" ht="15.95" customHeight="1" x14ac:dyDescent="0.25">
      <c r="B34" s="132" t="s">
        <v>5117</v>
      </c>
      <c r="C34" s="166">
        <v>53</v>
      </c>
      <c r="D34" s="143">
        <v>24</v>
      </c>
      <c r="E34" s="146">
        <v>17</v>
      </c>
      <c r="F34" s="165">
        <v>2</v>
      </c>
    </row>
    <row r="36" spans="2:6" ht="18" customHeight="1" x14ac:dyDescent="0.25">
      <c r="B36" s="258" t="s">
        <v>5118</v>
      </c>
      <c r="C36" s="255"/>
      <c r="D36" s="255"/>
      <c r="E36" s="256"/>
    </row>
    <row r="37" spans="2:6" ht="15.95" customHeight="1" x14ac:dyDescent="0.25">
      <c r="B37" s="141" t="s">
        <v>5119</v>
      </c>
      <c r="C37" s="141" t="s">
        <v>3052</v>
      </c>
      <c r="D37" s="141" t="s">
        <v>3045</v>
      </c>
      <c r="E37" s="141" t="s">
        <v>3046</v>
      </c>
      <c r="F37" s="141" t="s">
        <v>3047</v>
      </c>
    </row>
    <row r="38" spans="2:6" ht="15.95" customHeight="1" x14ac:dyDescent="0.25">
      <c r="B38" s="167" t="s">
        <v>5120</v>
      </c>
      <c r="C38" s="164">
        <v>55</v>
      </c>
      <c r="D38" s="143">
        <v>34</v>
      </c>
      <c r="E38" s="146">
        <v>16</v>
      </c>
      <c r="F38" s="149">
        <v>0</v>
      </c>
    </row>
    <row r="39" spans="2:6" ht="15.95" customHeight="1" x14ac:dyDescent="0.25">
      <c r="B39" s="168" t="s">
        <v>5121</v>
      </c>
      <c r="C39" s="166">
        <v>45</v>
      </c>
      <c r="D39" s="143">
        <v>24</v>
      </c>
      <c r="E39" s="146">
        <v>19</v>
      </c>
      <c r="F39" s="149">
        <v>2</v>
      </c>
    </row>
    <row r="40" spans="2:6" ht="15.95" customHeight="1" x14ac:dyDescent="0.25">
      <c r="B40" s="167" t="s">
        <v>5122</v>
      </c>
      <c r="C40" s="164">
        <v>45</v>
      </c>
      <c r="D40" s="143">
        <v>25</v>
      </c>
      <c r="E40" s="146">
        <v>19</v>
      </c>
      <c r="F40" s="149">
        <v>0</v>
      </c>
    </row>
    <row r="41" spans="2:6" ht="15.95" customHeight="1" x14ac:dyDescent="0.25">
      <c r="B41" s="168" t="s">
        <v>5123</v>
      </c>
      <c r="C41" s="166">
        <v>45</v>
      </c>
      <c r="D41" s="143">
        <v>21</v>
      </c>
      <c r="E41" s="146">
        <v>18</v>
      </c>
      <c r="F41" s="149">
        <v>2</v>
      </c>
    </row>
    <row r="42" spans="2:6" ht="15.95" customHeight="1" x14ac:dyDescent="0.25">
      <c r="B42" s="167" t="s">
        <v>5124</v>
      </c>
      <c r="C42" s="164">
        <v>35</v>
      </c>
      <c r="D42" s="143">
        <v>19</v>
      </c>
      <c r="E42" s="146">
        <v>8</v>
      </c>
      <c r="F42" s="149">
        <v>4</v>
      </c>
    </row>
    <row r="43" spans="2:6" ht="15.95" customHeight="1" x14ac:dyDescent="0.25">
      <c r="B43" s="168" t="s">
        <v>5125</v>
      </c>
      <c r="C43" s="166">
        <v>47</v>
      </c>
      <c r="D43" s="143">
        <v>22</v>
      </c>
      <c r="E43" s="146">
        <v>17</v>
      </c>
      <c r="F43" s="149">
        <v>0</v>
      </c>
    </row>
    <row r="44" spans="2:6" ht="15.95" customHeight="1" x14ac:dyDescent="0.25">
      <c r="B44" s="167" t="s">
        <v>5126</v>
      </c>
      <c r="C44" s="164">
        <v>40</v>
      </c>
      <c r="D44" s="143">
        <v>0</v>
      </c>
      <c r="E44" s="146">
        <v>0</v>
      </c>
      <c r="F44" s="149">
        <v>0</v>
      </c>
    </row>
    <row r="45" spans="2:6" ht="18" customHeight="1" x14ac:dyDescent="0.25">
      <c r="B45" s="163" t="s">
        <v>4</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2026-04-14T13:09:34Z</dcterms:modified>
</cp:coreProperties>
</file>